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externalLinks/_rels/externalLink2.xml.rels" ContentType="application/vnd.openxmlformats-package.relationships+xml"/>
  <Override PartName="/xl/externalLinks/_rels/externalLink1.xml.rels" ContentType="application/vnd.openxmlformats-package.relationship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peningCreditors" sheetId="1" state="visible" r:id="rId3"/>
    <sheet name="Nov" sheetId="2" state="visible" r:id="rId4"/>
    <sheet name="Dec" sheetId="3" state="visible" r:id="rId5"/>
    <sheet name="Jan" sheetId="4" state="visible" r:id="rId6"/>
    <sheet name="Feb" sheetId="5" state="visible" r:id="rId7"/>
    <sheet name="Mar" sheetId="6" state="visible" r:id="rId8"/>
    <sheet name="Apr" sheetId="7" state="visible" r:id="rId9"/>
    <sheet name="May" sheetId="8" state="visible" r:id="rId10"/>
    <sheet name="Jun" sheetId="9" state="visible" r:id="rId11"/>
    <sheet name="Jul" sheetId="10" state="visible" r:id="rId12"/>
    <sheet name="Aug" sheetId="11" state="visible" r:id="rId13"/>
    <sheet name="Sep" sheetId="12" state="visible" r:id="rId14"/>
    <sheet name="Oct" sheetId="13" state="visible" r:id="rId15"/>
    <sheet name="ClosingCreditors" sheetId="14" state="visible" r:id="rId16"/>
  </sheets>
  <externalReferences>
    <externalReference r:id="rId17"/>
    <externalReference r:id="rId18"/>
  </externalReferences>
  <definedNames>
    <definedName function="false" hidden="false" localSheetId="13" name="_xlnm.Print_Area" vbProcedure="false">ClosingCreditors!$A$1:$M$75</definedName>
    <definedName function="false" hidden="false" localSheetId="13" name="_xlnm.Print_Titles" vbProcedure="false">ClosingCreditors!$1:$4</definedName>
    <definedName function="false" hidden="false" localSheetId="0" name="_xlnm.Print_Area" vbProcedure="false">OpeningCreditors!$A$1:$M$75</definedName>
    <definedName function="false" hidden="false" localSheetId="0" name="_xlnm.Print_Titles" vbProcedure="false">OpeningCreditors!$1:$4</definedName>
    <definedName function="false" hidden="false" localSheetId="0" name="_xlnm_Print_Area" vbProcedure="false">OpeningCreditors!$A$1:$M$75</definedName>
    <definedName function="false" hidden="false" localSheetId="0" name="_xlnm_Print_Titles" vbProcedure="false">OpeningCreditors!$1:$4</definedName>
    <definedName function="false" hidden="false" localSheetId="1" name="_xlnm_Print_Area" vbProcedure="false">Apr!$A$1:$AL$75</definedName>
    <definedName function="false" hidden="false" localSheetId="1" name="_xlnm_Print_Titles" vbProcedure="false">(Apr!$A:$C,Apr!$1:$4)</definedName>
    <definedName function="false" hidden="false" localSheetId="2" name="_xlnm_Print_Area" vbProcedure="false">May!$A$1:$AL$75</definedName>
    <definedName function="false" hidden="false" localSheetId="2" name="_xlnm_Print_Titles" vbProcedure="false">(May!$A:$C,May!$1:$4)</definedName>
    <definedName function="false" hidden="false" localSheetId="3" name="_xlnm_Print_Area" vbProcedure="false">Jun!$A$1:$AL$75</definedName>
    <definedName function="false" hidden="false" localSheetId="3" name="_xlnm_Print_Titles" vbProcedure="false">(Jun!$A:$C,Jun!$1:$4)</definedName>
    <definedName function="false" hidden="false" localSheetId="4" name="_xlnm_Print_Area" vbProcedure="false">Jul!$A$1:$AL$75</definedName>
    <definedName function="false" hidden="false" localSheetId="4" name="_xlnm_Print_Titles" vbProcedure="false">(Jul!$A:$C,Jul!$1:$4)</definedName>
    <definedName function="false" hidden="false" localSheetId="5" name="_xlnm_Print_Area" vbProcedure="false">Aug!$A$1:$AL$75</definedName>
    <definedName function="false" hidden="false" localSheetId="5" name="_xlnm_Print_Titles" vbProcedure="false">(Aug!$A:$C,Aug!$1:$4)</definedName>
    <definedName function="false" hidden="false" localSheetId="6" name="_xlnm_Print_Area" vbProcedure="false">Sep!$A$1:$AL$75</definedName>
    <definedName function="false" hidden="false" localSheetId="6" name="_xlnm_Print_Titles" vbProcedure="false">(Sep!$A:$C,Sep!$1:$4)</definedName>
    <definedName function="false" hidden="false" localSheetId="7" name="_xlnm_Print_Area" vbProcedure="false">Oct!$A$1:$AL$75</definedName>
    <definedName function="false" hidden="false" localSheetId="7" name="_xlnm_Print_Titles" vbProcedure="false">(Oct!$A:$C,Oct!$1:$4)</definedName>
    <definedName function="false" hidden="false" localSheetId="8" name="_xlnm_Print_Area" vbProcedure="false">Nov!$A$1:$AL$75</definedName>
    <definedName function="false" hidden="false" localSheetId="8" name="_xlnm_Print_Titles" vbProcedure="false">(Nov!$A:$C,Nov!$1:$4)</definedName>
    <definedName function="false" hidden="false" localSheetId="9" name="_xlnm_Print_Area" vbProcedure="false">Dec!$A$1:$AL$75</definedName>
    <definedName function="false" hidden="false" localSheetId="9" name="_xlnm_Print_Titles" vbProcedure="false">(Dec!$A:$C,Dec!$1:$4)</definedName>
    <definedName function="false" hidden="false" localSheetId="10" name="_xlnm_Print_Area" vbProcedure="false">Jan!$A$1:$AL$75</definedName>
    <definedName function="false" hidden="false" localSheetId="10" name="_xlnm_Print_Titles" vbProcedure="false">(Jan!$A:$C,Jan!$1:$4)</definedName>
    <definedName function="false" hidden="false" localSheetId="11" name="_xlnm_Print_Area" vbProcedure="false">Feb!$A$1:$AL$75</definedName>
    <definedName function="false" hidden="false" localSheetId="11" name="_xlnm_Print_Titles" vbProcedure="false">(Feb!$A:$C,Feb!$1:$4)</definedName>
    <definedName function="false" hidden="false" localSheetId="12" name="_xlnm_Print_Area" vbProcedure="false">Mar!$A$1:$AL$75</definedName>
    <definedName function="false" hidden="false" localSheetId="12" name="_xlnm_Print_Titles" vbProcedure="false">(Mar!$A:$C,Mar!$1:$4)</definedName>
    <definedName function="false" hidden="false" localSheetId="13" name="_xlnm_Print_Area" vbProcedure="false">ClosingCreditors!$A$1:$M$75</definedName>
    <definedName function="false" hidden="false" localSheetId="13" name="_xlnm_Print_Titles" vbProcedure="false">ClosingCreditors!$1:$4</definedName>
  </definedNames>
  <calcPr iterateCount="100" refMode="A1" iterate="false" iterateDelta="0.0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<sst xmlns="http://schemas.openxmlformats.org/spreadsheetml/2006/main" count="2419" uniqueCount="266">
  <si>
    <t xml:space="preserve">Opening Creditors Balance</t>
  </si>
  <si>
    <t xml:space="preserve">Total in C1 should equal F1</t>
  </si>
  <si>
    <t xml:space="preserve">For your information only. Enter How Paid e.g. Cash, Cheque etc.,</t>
  </si>
  <si>
    <t xml:space="preserve">Purchase Date</t>
  </si>
  <si>
    <t xml:space="preserve">Supplier Name</t>
  </si>
  <si>
    <t xml:space="preserve">Purchase Invoice Number or Reference</t>
  </si>
  <si>
    <t xml:space="preserve">Purchase Description</t>
  </si>
  <si>
    <t xml:space="preserve">Total Purchase Value incl Vat</t>
  </si>
  <si>
    <t xml:space="preserve">Purchases           Net of Vat</t>
  </si>
  <si>
    <t xml:space="preserve">Payments Made to Creditors</t>
  </si>
  <si>
    <t xml:space="preserve">Vat Input</t>
  </si>
  <si>
    <t xml:space="preserve">Actual Amount Paid</t>
  </si>
  <si>
    <t xml:space="preserve">Purchases not yet paid</t>
  </si>
  <si>
    <t xml:space="preserve">Purchases Days Outstanding</t>
  </si>
  <si>
    <t xml:space="preserve">WorkSpace Ltd</t>
  </si>
  <si>
    <t xml:space="preserve">WS-2403</t>
  </si>
  <si>
    <t xml:space="preserve">Smith &amp; Co</t>
  </si>
  <si>
    <t xml:space="preserve">SC-2403</t>
  </si>
  <si>
    <t xml:space="preserve">TechParts Ltd</t>
  </si>
  <si>
    <t xml:space="preserve">TP-2403</t>
  </si>
  <si>
    <t xml:space="preserve">Shell</t>
  </si>
  <si>
    <t xml:space="preserve">SH-2403</t>
  </si>
  <si>
    <t xml:space="preserve">Check Total</t>
  </si>
  <si>
    <t xml:space="preserve">Total for Month</t>
  </si>
  <si>
    <t xml:space="preserve">  Enter Expense Code Letter</t>
  </si>
  <si>
    <t xml:space="preserve">Purchases Cost of Sales</t>
  </si>
  <si>
    <t xml:space="preserve"> Directors Wages         Non Paye</t>
  </si>
  <si>
    <t xml:space="preserve">Employee Wages        Non Paye</t>
  </si>
  <si>
    <t xml:space="preserve">Premises </t>
  </si>
  <si>
    <t xml:space="preserve">Distribution Transport Costs</t>
  </si>
  <si>
    <t xml:space="preserve">Equipment Tools &amp; Plant Hire</t>
  </si>
  <si>
    <t xml:space="preserve">Repairs &amp; Maintenance</t>
  </si>
  <si>
    <t xml:space="preserve">Consumable Materials</t>
  </si>
  <si>
    <t xml:space="preserve">Advertising &amp;  Promotion</t>
  </si>
  <si>
    <t xml:space="preserve">Telephone Postage &amp; Stationery</t>
  </si>
  <si>
    <t xml:space="preserve">Travel &amp; Hotel Expenses</t>
  </si>
  <si>
    <t xml:space="preserve">Motor Vehicle Expenses</t>
  </si>
  <si>
    <t xml:space="preserve">Insurance Costs</t>
  </si>
  <si>
    <t xml:space="preserve">Leasing Charges</t>
  </si>
  <si>
    <t xml:space="preserve">Legal &amp; Professional</t>
  </si>
  <si>
    <t xml:space="preserve">Charitable Donations</t>
  </si>
  <si>
    <t xml:space="preserve">Goodwill</t>
  </si>
  <si>
    <t xml:space="preserve">Fixed Asset Purchases</t>
  </si>
  <si>
    <t xml:space="preserve">Business Entertainment</t>
  </si>
  <si>
    <t xml:space="preserve">Contractors </t>
  </si>
  <si>
    <t xml:space="preserve">Direct Materials</t>
  </si>
  <si>
    <t xml:space="preserve">Sub Contractors</t>
  </si>
  <si>
    <t xml:space="preserve">Other Direct Costs</t>
  </si>
  <si>
    <t xml:space="preserve">Rent &amp; Rates</t>
  </si>
  <si>
    <t xml:space="preserve">Light &amp; Heating</t>
  </si>
  <si>
    <t xml:space="preserve">CIS Certificates</t>
  </si>
  <si>
    <t xml:space="preserve">S</t>
  </si>
  <si>
    <t xml:space="preserve">C</t>
  </si>
  <si>
    <t xml:space="preserve">O</t>
  </si>
  <si>
    <t xml:space="preserve">D</t>
  </si>
  <si>
    <t xml:space="preserve">W</t>
  </si>
  <si>
    <t xml:space="preserve">R</t>
  </si>
  <si>
    <t xml:space="preserve">P</t>
  </si>
  <si>
    <t xml:space="preserve">T</t>
  </si>
  <si>
    <t xml:space="preserve">Q</t>
  </si>
  <si>
    <t xml:space="preserve">M</t>
  </si>
  <si>
    <t xml:space="preserve">U</t>
  </si>
  <si>
    <t xml:space="preserve">A</t>
  </si>
  <si>
    <t xml:space="preserve">G</t>
  </si>
  <si>
    <t xml:space="preserve">H</t>
  </si>
  <si>
    <t xml:space="preserve">V</t>
  </si>
  <si>
    <t xml:space="preserve">N</t>
  </si>
  <si>
    <t xml:space="preserve">F</t>
  </si>
  <si>
    <t xml:space="preserve">L</t>
  </si>
  <si>
    <t xml:space="preserve">Y</t>
  </si>
  <si>
    <t xml:space="preserve">Z</t>
  </si>
  <si>
    <t xml:space="preserve">FA</t>
  </si>
  <si>
    <t xml:space="preserve">E</t>
  </si>
  <si>
    <t xml:space="preserve">Tax Paid</t>
  </si>
  <si>
    <t xml:space="preserve">Certificate No</t>
  </si>
  <si>
    <t xml:space="preserve">Monthly office rent</t>
  </si>
  <si>
    <t xml:space="preserve">r</t>
  </si>
  <si>
    <t xml:space="preserve">5200</t>
  </si>
  <si>
    <t xml:space="preserve">Microsoft</t>
  </si>
  <si>
    <t xml:space="preserve">Microsoft 365 subscription</t>
  </si>
  <si>
    <t xml:space="preserve">g</t>
  </si>
  <si>
    <t xml:space="preserve">5501</t>
  </si>
  <si>
    <t xml:space="preserve">Slack</t>
  </si>
  <si>
    <t xml:space="preserve">Slack team subscription</t>
  </si>
  <si>
    <t xml:space="preserve">GitHub</t>
  </si>
  <si>
    <t xml:space="preserve">GitHub Team subscription</t>
  </si>
  <si>
    <t xml:space="preserve">o</t>
  </si>
  <si>
    <t xml:space="preserve">5002</t>
  </si>
  <si>
    <t xml:space="preserve">Hiscox</t>
  </si>
  <si>
    <t xml:space="preserve">Professional indemnity insurance</t>
  </si>
  <si>
    <t xml:space="preserve">n</t>
  </si>
  <si>
    <t xml:space="preserve">5700</t>
  </si>
  <si>
    <t xml:space="preserve">Cloudflare</t>
  </si>
  <si>
    <t xml:space="preserve">CDN and DNS services</t>
  </si>
  <si>
    <t xml:space="preserve">Zoom</t>
  </si>
  <si>
    <t xml:space="preserve">Video conferencing subscription</t>
  </si>
  <si>
    <t xml:space="preserve">AWS</t>
  </si>
  <si>
    <t xml:space="preserve">Cloud hosting charges</t>
  </si>
  <si>
    <t xml:space="preserve">Argos</t>
  </si>
  <si>
    <t xml:space="preserve">Miscellaneous office items</t>
  </si>
  <si>
    <t xml:space="preserve">u</t>
  </si>
  <si>
    <t xml:space="preserve">5401</t>
  </si>
  <si>
    <t xml:space="preserve">Ryman</t>
  </si>
  <si>
    <t xml:space="preserve">Stationery supplies</t>
  </si>
  <si>
    <t xml:space="preserve">BP</t>
  </si>
  <si>
    <t xml:space="preserve">Fuel for company vehicle</t>
  </si>
  <si>
    <t xml:space="preserve">v</t>
  </si>
  <si>
    <t xml:space="preserve">5601</t>
  </si>
  <si>
    <t xml:space="preserve">DigitalOcean</t>
  </si>
  <si>
    <t xml:space="preserve">Cloud VPS hosting</t>
  </si>
  <si>
    <t xml:space="preserve">National Rail</t>
  </si>
  <si>
    <t xml:space="preserve">Train ticket client meeting</t>
  </si>
  <si>
    <t xml:space="preserve">h</t>
  </si>
  <si>
    <t xml:space="preserve">5600</t>
  </si>
  <si>
    <t xml:space="preserve">Amazon</t>
  </si>
  <si>
    <t xml:space="preserve">Office supplies</t>
  </si>
  <si>
    <t xml:space="preserve">Xerox</t>
  </si>
  <si>
    <t xml:space="preserve">Printer lease payment</t>
  </si>
  <si>
    <t xml:space="preserve">f</t>
  </si>
  <si>
    <t xml:space="preserve">5701</t>
  </si>
  <si>
    <t xml:space="preserve">TechParts</t>
  </si>
  <si>
    <t xml:space="preserve">Hardware components for resale</t>
  </si>
  <si>
    <t xml:space="preserve">s</t>
  </si>
  <si>
    <t xml:space="preserve">5000</t>
  </si>
  <si>
    <t xml:space="preserve">NCP</t>
  </si>
  <si>
    <t xml:space="preserve">Parking charges</t>
  </si>
  <si>
    <t xml:space="preserve">Toolstation</t>
  </si>
  <si>
    <t xml:space="preserve">Assorted fixings and parts</t>
  </si>
  <si>
    <t xml:space="preserve">Uber</t>
  </si>
  <si>
    <t xml:space="preserve">Taxi to client site</t>
  </si>
  <si>
    <t xml:space="preserve">Costa Coffee</t>
  </si>
  <si>
    <t xml:space="preserve">Client meeting refreshments</t>
  </si>
  <si>
    <t xml:space="preserve">Royal Mail</t>
  </si>
  <si>
    <t xml:space="preserve">Postage</t>
  </si>
  <si>
    <t xml:space="preserve">Jet</t>
  </si>
  <si>
    <t xml:space="preserve">BT Business</t>
  </si>
  <si>
    <t xml:space="preserve">Telephone line rental</t>
  </si>
  <si>
    <t xml:space="preserve">Office Maintenance Ltd</t>
  </si>
  <si>
    <t xml:space="preserve">Premises maintenance and repairs</t>
  </si>
  <si>
    <t xml:space="preserve">m</t>
  </si>
  <si>
    <t xml:space="preserve">5400</t>
  </si>
  <si>
    <t xml:space="preserve">Greggs</t>
  </si>
  <si>
    <t xml:space="preserve">Working lunch</t>
  </si>
  <si>
    <t xml:space="preserve">Screwfix</t>
  </si>
  <si>
    <t xml:space="preserve">Miscellaneous supplies</t>
  </si>
  <si>
    <t xml:space="preserve">Wilko</t>
  </si>
  <si>
    <t xml:space="preserve">Cleaning and kitchen supplies</t>
  </si>
  <si>
    <t xml:space="preserve">Mileage claim</t>
  </si>
  <si>
    <t xml:space="preserve">Business mileage to Manchester</t>
  </si>
  <si>
    <t xml:space="preserve">Additional fuel purchase</t>
  </si>
  <si>
    <t xml:space="preserve">Monthly accountancy retainer</t>
  </si>
  <si>
    <t xml:space="preserve">l</t>
  </si>
  <si>
    <t xml:space="preserve">5800</t>
  </si>
  <si>
    <t xml:space="preserve">Trainline</t>
  </si>
  <si>
    <t xml:space="preserve">Advance train ticket</t>
  </si>
  <si>
    <t xml:space="preserve">Hilti</t>
  </si>
  <si>
    <t xml:space="preserve">Power tool hire</t>
  </si>
  <si>
    <t xml:space="preserve">q</t>
  </si>
  <si>
    <t xml:space="preserve">5301</t>
  </si>
  <si>
    <t xml:space="preserve">Google Ads</t>
  </si>
  <si>
    <t xml:space="preserve">PPC advertising campaign</t>
  </si>
  <si>
    <t xml:space="preserve">a</t>
  </si>
  <si>
    <t xml:space="preserve">5500</t>
  </si>
  <si>
    <t xml:space="preserve">ComponentsDirect</t>
  </si>
  <si>
    <t xml:space="preserve">Electronic components</t>
  </si>
  <si>
    <t xml:space="preserve">Dell</t>
  </si>
  <si>
    <t xml:space="preserve">PUR-FA-001</t>
  </si>
  <si>
    <t xml:space="preserve">New laptop for development</t>
  </si>
  <si>
    <t xml:space="preserve">fa</t>
  </si>
  <si>
    <t xml:space="preserve">5900</t>
  </si>
  <si>
    <t xml:space="preserve">WHSmith</t>
  </si>
  <si>
    <t xml:space="preserve">Magazines and stationery</t>
  </si>
  <si>
    <t xml:space="preserve">ParcelForce</t>
  </si>
  <si>
    <t xml:space="preserve">Equipment delivery</t>
  </si>
  <si>
    <t xml:space="preserve">t</t>
  </si>
  <si>
    <t xml:space="preserve">5300</t>
  </si>
  <si>
    <t xml:space="preserve">CableCo</t>
  </si>
  <si>
    <t xml:space="preserve">Cabling and connectors</t>
  </si>
  <si>
    <t xml:space="preserve">Halfords</t>
  </si>
  <si>
    <t xml:space="preserve">Vehicle maintenance supplies</t>
  </si>
  <si>
    <t xml:space="preserve">Business mileage to Birmingham</t>
  </si>
  <si>
    <t xml:space="preserve">Vistaprint</t>
  </si>
  <si>
    <t xml:space="preserve">Business cards and flyers</t>
  </si>
  <si>
    <t xml:space="preserve">BuildTech Solutions</t>
  </si>
  <si>
    <t xml:space="preserve">PUR-CIS-001</t>
  </si>
  <si>
    <t xml:space="preserve">Sub-contractor network installation</t>
  </si>
  <si>
    <t xml:space="preserve">c</t>
  </si>
  <si>
    <t xml:space="preserve">5001</t>
  </si>
  <si>
    <t xml:space="preserve">Premier Inn</t>
  </si>
  <si>
    <t xml:space="preserve">Hotel for London client meeting</t>
  </si>
  <si>
    <t xml:space="preserve">ElectroParts</t>
  </si>
  <si>
    <t xml:space="preserve">Specialist electronic components</t>
  </si>
  <si>
    <t xml:space="preserve">EnergySupply</t>
  </si>
  <si>
    <t xml:space="preserve">Quarterly utility bill</t>
  </si>
  <si>
    <t xml:space="preserve">p</t>
  </si>
  <si>
    <t xml:space="preserve">5201</t>
  </si>
  <si>
    <t xml:space="preserve">Business mileage to London</t>
  </si>
  <si>
    <t xml:space="preserve">Directors loan</t>
  </si>
  <si>
    <t xml:space="preserve">PUR-INT-001</t>
  </si>
  <si>
    <t xml:space="preserve">Directors loan interest</t>
  </si>
  <si>
    <t xml:space="preserve">5803</t>
  </si>
  <si>
    <t xml:space="preserve">Precision Tooling Supplies</t>
  </si>
  <si>
    <t xml:space="preserve">PUR-FA-004</t>
  </si>
  <si>
    <t xml:space="preserve">Test rig bought under HP-2025-01</t>
  </si>
  <si>
    <t xml:space="preserve">J. Smith Consulting</t>
  </si>
  <si>
    <t xml:space="preserve">Goodwill amortisation</t>
  </si>
  <si>
    <t xml:space="preserve">z</t>
  </si>
  <si>
    <t xml:space="preserve">5802</t>
  </si>
  <si>
    <t xml:space="preserve">LinkedIn</t>
  </si>
  <si>
    <t xml:space="preserve">Sponsored content campaign</t>
  </si>
  <si>
    <t xml:space="preserve">ToolHire</t>
  </si>
  <si>
    <t xml:space="preserve">Equipment hire for installation</t>
  </si>
  <si>
    <t xml:space="preserve">IKEA</t>
  </si>
  <si>
    <t xml:space="preserve">PUR-FA-003</t>
  </si>
  <si>
    <t xml:space="preserve">Office furniture</t>
  </si>
  <si>
    <t xml:space="preserve">DHL</t>
  </si>
  <si>
    <t xml:space="preserve">International courier</t>
  </si>
  <si>
    <t xml:space="preserve">Business mileage to Leeds</t>
  </si>
  <si>
    <t xml:space="preserve">PC Repair Shop</t>
  </si>
  <si>
    <t xml:space="preserve">Laptop screen repair</t>
  </si>
  <si>
    <t xml:space="preserve">Casual worker</t>
  </si>
  <si>
    <t xml:space="preserve">Temporary labour</t>
  </si>
  <si>
    <t xml:space="preserve">w</t>
  </si>
  <si>
    <t xml:space="preserve">5101</t>
  </si>
  <si>
    <t xml:space="preserve">The Ivy</t>
  </si>
  <si>
    <t xml:space="preserve">Client dinner, project kickoff</t>
  </si>
  <si>
    <t xml:space="preserve">e</t>
  </si>
  <si>
    <t xml:space="preserve">5502</t>
  </si>
  <si>
    <t xml:space="preserve">Special delivery courier</t>
  </si>
  <si>
    <t xml:space="preserve">Jones Solicitors</t>
  </si>
  <si>
    <t xml:space="preserve">Contract review and legal advice</t>
  </si>
  <si>
    <t xml:space="preserve">Business mileage to Bristol</t>
  </si>
  <si>
    <t xml:space="preserve">PUR-INT-002</t>
  </si>
  <si>
    <t xml:space="preserve">PUR-FA-005</t>
  </si>
  <si>
    <t xml:space="preserve">Bench calibration kit bought under HP-2025-02</t>
  </si>
  <si>
    <t xml:space="preserve">Simply Business</t>
  </si>
  <si>
    <t xml:space="preserve">Contents insurance renewal</t>
  </si>
  <si>
    <t xml:space="preserve">PPC advertising campaign Q3</t>
  </si>
  <si>
    <t xml:space="preserve">TechExpo</t>
  </si>
  <si>
    <t xml:space="preserve">Exhibition stand and materials</t>
  </si>
  <si>
    <t xml:space="preserve">Hotel for Birmingham meeting</t>
  </si>
  <si>
    <t xml:space="preserve">Business mileage to Sheffield</t>
  </si>
  <si>
    <t xml:space="preserve">Ford</t>
  </si>
  <si>
    <t xml:space="preserve">PUR-FA-002</t>
  </si>
  <si>
    <t xml:space="preserve">Ford Transit Custom van</t>
  </si>
  <si>
    <t xml:space="preserve">PUR-CIS-002</t>
  </si>
  <si>
    <t xml:space="preserve">Sub-contractor cabling works</t>
  </si>
  <si>
    <t xml:space="preserve">Code Club UK</t>
  </si>
  <si>
    <t xml:space="preserve">Charitable donation</t>
  </si>
  <si>
    <t xml:space="preserve">y</t>
  </si>
  <si>
    <t xml:space="preserve">5801</t>
  </si>
  <si>
    <t xml:space="preserve">Business mileage to Various</t>
  </si>
  <si>
    <t xml:space="preserve">Director</t>
  </si>
  <si>
    <t xml:space="preserve">Director fees (non-PAYE)</t>
  </si>
  <si>
    <t xml:space="preserve">d</t>
  </si>
  <si>
    <t xml:space="preserve">5100</t>
  </si>
  <si>
    <t xml:space="preserve">PUR-INT-003</t>
  </si>
  <si>
    <t xml:space="preserve">Desktop motherboard replacement</t>
  </si>
  <si>
    <t xml:space="preserve">Hotel for two-day workshop</t>
  </si>
  <si>
    <t xml:space="preserve">Business mileage to Nottingham</t>
  </si>
  <si>
    <t xml:space="preserve">PUR-INT-004</t>
  </si>
  <si>
    <t xml:space="preserve">Closing Creditors Balance</t>
  </si>
  <si>
    <t xml:space="preserve">WS-2603</t>
  </si>
  <si>
    <t xml:space="preserve">SC-2603</t>
  </si>
  <si>
    <t xml:space="preserve">BT-2603</t>
  </si>
  <si>
    <t xml:space="preserve">SH-2603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</si>
</sst>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d\-mmm\-yy"/>
    <numFmt numFmtId="166" formatCode="#,##0"/>
    <numFmt numFmtId="167" formatCode="#,##0.00_ ;[RED]\-#,##0.00\ "/>
    <numFmt numFmtId="168" formatCode="0_ ;[RED]\-0\ "/>
    <numFmt numFmtId="169" formatCode="0"/>
    <numFmt numFmtId="170" formatCode="#,##0.00"/>
    <numFmt numFmtId="171" formatCode="#,##0.0_ ;[RED]\-#,##0.0\ "/>
    <numFmt numFmtId="172" formatCode="0.00"/>
    <numFmt numFmtId="173" formatCode="General"/>
  </numFmts>
  <fonts count="11">
    <font>
      <sz val="1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9"/>
      <name val="Times New Roman"/>
      <family val="1"/>
      <charset val="1"/>
    </font>
    <font>
      <sz val="9"/>
      <color rgb="FFFF0000"/>
      <name val="Times New Roman"/>
      <family val="1"/>
      <charset val="1"/>
    </font>
    <font>
      <b val="true"/>
      <sz val="9"/>
      <name val="Times New Roman"/>
      <family val="1"/>
      <charset val="1"/>
    </font>
    <font>
      <i val="true"/>
      <sz val="9"/>
      <name val="Times New Roman"/>
      <family val="1"/>
      <charset val="1"/>
    </font>
    <font>
      <sz val="9"/>
      <color rgb="FF000000"/>
      <name val="Times New Roman"/>
      <family val="1"/>
      <charset val="1"/>
    </font>
    <font>
      <sz val="9"/>
      <name val="Arial"/>
      <family val="2"/>
      <charset val="1"/>
    </font>
    <font>
      <b val="true"/>
      <sz val="9"/>
      <color rgb="FF000000"/>
      <name val="Times New Roman"/>
      <family val="1"/>
      <charset val="1"/>
    </font>
  </fonts>
  <fills count="7">
    <fill>
      <patternFill patternType="none"/>
    </fill>
    <fill>
      <patternFill patternType="gray125"/>
    </fill>
    <fill>
      <patternFill patternType="solid">
        <fgColor rgb="FFFFFFCC"/>
        <bgColor rgb="FFFFFFFF"/>
      </patternFill>
    </fill>
    <fill>
      <patternFill patternType="solid">
        <fgColor rgb="FFCCFFFF"/>
        <bgColor rgb="FFC0F0F0"/>
      </patternFill>
    </fill>
    <fill>
      <patternFill patternType="solid">
        <fgColor rgb="FFC0F0F0"/>
        <bgColor rgb="FFCCFFFF"/>
      </patternFill>
    </fill>
    <fill>
      <patternFill patternType="solid">
        <fgColor rgb="FFCCFFCC"/>
        <bgColor rgb="FFCCFFFF"/>
      </patternFill>
    </fill>
    <fill>
      <patternFill patternType="solid">
        <fgColor rgb="FFFFFF99"/>
        <bgColor rgb="FFFFFFCC"/>
      </patternFill>
    </fill>
  </fills>
  <borders count="5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/>
      <right/>
      <top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9" fontId="4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70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6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6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8" fillId="3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6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4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4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4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4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2" fontId="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4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4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7" fontId="4" fillId="0" borderId="4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5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5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0" fillId="2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7" fontId="6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7" fontId="6" fillId="2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4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4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4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4" fillId="2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0F0F0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externalLink" Target="externalLinks/externalLink1.xml"/><Relationship Id="rId18" Type="http://schemas.openxmlformats.org/officeDocument/2006/relationships/externalLink" Target="externalLinks/externalLink2.xml"/><Relationship Id="rId19" Type="http://schemas.openxmlformats.org/officeDocument/2006/relationships/sharedStrings" Target="sharedStrings.xml"/>
</Relationships>
</file>

<file path=xl/externalLinks/_rels/externalLink1.xml.rels><?xml version="1.0" encoding="UTF-8"?>
<Relationships xmlns="http://schemas.openxmlformats.org/package/2006/relationships"><Relationship Id="rId1" Type="http://schemas.openxmlformats.org/officeDocument/2006/relationships/externalLinkPath" Target="Financialaccounts.xlsx" TargetMode="External"/>
</Relationships>
</file>

<file path=xl/externalLinks/_rels/externalLink2.xml.rels><?xml version="1.0" encoding="UTF-8"?>
<Relationships xmlns="http://schemas.openxmlformats.org/package/2006/relationships"><Relationship Id="rId1" Type="http://schemas.openxmlformats.org/officeDocument/2006/relationships/externalLinkPath" Target="Sales.xlsx" TargetMode="External"/>
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OpenAccounts"/>
      <sheetName val="TrialBalance"/>
      <sheetName val="MnthP&amp;L"/>
      <sheetName val="PubP&amp;L"/>
      <sheetName val="PubBalSht"/>
      <sheetName val="PubNotes"/>
      <sheetName val="Report"/>
      <sheetName val="CorporationTax"/>
      <sheetName val="CT600"/>
      <sheetName val="WagesInterface"/>
      <sheetName val="Stock"/>
      <sheetName val="Admin"/>
    </sheetNames>
    <sheetDataSet>
      <sheetData sheetId="0"/>
      <sheetData sheetId="1">
        <row r="28">
          <cell r="D28">
            <v>-2400</v>
          </cell>
        </row>
        <row r="28">
          <cell r="EJ28">
            <v>-11182.25</v>
          </cell>
        </row>
        <row r="29">
          <cell r="D29">
            <v>0</v>
          </cell>
        </row>
        <row r="29">
          <cell r="EJ29">
            <v>0</v>
          </cell>
        </row>
        <row r="30">
          <cell r="D30">
            <v>0</v>
          </cell>
        </row>
        <row r="30">
          <cell r="EJ30">
            <v>0</v>
          </cell>
        </row>
        <row r="31">
          <cell r="D31">
            <v>0</v>
          </cell>
        </row>
        <row r="31">
          <cell r="EJ31">
            <v>0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OpeningDebtors"/>
      <sheetName val="Nov"/>
      <sheetName val="Dec"/>
      <sheetName val="Jan"/>
      <sheetName val="Feb"/>
      <sheetName val="Mar"/>
      <sheetName val="Apr"/>
      <sheetName val="May"/>
      <sheetName val="Jun"/>
      <sheetName val="Jul"/>
      <sheetName val="Aug"/>
      <sheetName val="Sep"/>
      <sheetName val="Oct"/>
      <sheetName val="ClosingDebtors"/>
    </sheetNames>
    <sheetDataSet>
      <sheetData sheetId="0"/>
      <sheetData sheetId="1">
        <row r="2">
          <cell r="G2">
            <v>20</v>
          </cell>
        </row>
      </sheetData>
      <sheetData sheetId="2">
        <row r="2">
          <cell r="G2">
            <v>20</v>
          </cell>
        </row>
        <row r="4">
          <cell r="G4">
            <v>0</v>
          </cell>
        </row>
      </sheetData>
      <sheetData sheetId="3">
        <row r="2">
          <cell r="G2">
            <v>20</v>
          </cell>
        </row>
        <row r="4">
          <cell r="G4">
            <v>0</v>
          </cell>
        </row>
      </sheetData>
      <sheetData sheetId="4">
        <row r="2">
          <cell r="G2">
            <v>20</v>
          </cell>
        </row>
        <row r="4">
          <cell r="G4">
            <v>0</v>
          </cell>
        </row>
      </sheetData>
      <sheetData sheetId="5">
        <row r="2">
          <cell r="G2">
            <v>20</v>
          </cell>
        </row>
        <row r="4">
          <cell r="G4">
            <v>0</v>
          </cell>
        </row>
      </sheetData>
      <sheetData sheetId="6">
        <row r="2">
          <cell r="G2">
            <v>20</v>
          </cell>
        </row>
        <row r="4">
          <cell r="G4">
            <v>0</v>
          </cell>
        </row>
      </sheetData>
      <sheetData sheetId="7">
        <row r="2">
          <cell r="G2">
            <v>20</v>
          </cell>
        </row>
        <row r="4">
          <cell r="G4">
            <v>0</v>
          </cell>
        </row>
      </sheetData>
      <sheetData sheetId="8">
        <row r="2">
          <cell r="G2">
            <v>20</v>
          </cell>
        </row>
        <row r="4">
          <cell r="G4">
            <v>0</v>
          </cell>
        </row>
      </sheetData>
      <sheetData sheetId="9">
        <row r="2">
          <cell r="G2">
            <v>20</v>
          </cell>
        </row>
        <row r="4">
          <cell r="G4">
            <v>0</v>
          </cell>
        </row>
      </sheetData>
      <sheetData sheetId="10">
        <row r="2">
          <cell r="G2">
            <v>20</v>
          </cell>
        </row>
        <row r="4">
          <cell r="G4">
            <v>0</v>
          </cell>
        </row>
      </sheetData>
      <sheetData sheetId="11">
        <row r="2">
          <cell r="G2">
            <v>20</v>
          </cell>
        </row>
        <row r="4">
          <cell r="G4">
            <v>0</v>
          </cell>
        </row>
      </sheetData>
      <sheetData sheetId="12">
        <row r="2">
          <cell r="G2">
            <v>20</v>
          </cell>
        </row>
        <row r="4">
          <cell r="G4">
            <v>0</v>
          </cell>
        </row>
      </sheetData>
      <sheetData sheetId="13"/>
    </sheetDataSet>
  </externalBook>
</externalLink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0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625" defaultRowHeight="12" zeroHeight="false" outlineLevelRow="0" outlineLevelCol="0"/>
  <cols>
    <col collapsed="false" customWidth="true" hidden="false" outlineLevel="0" max="1" min="1" style="1" width="8.82"/>
    <col collapsed="false" customWidth="true" hidden="false" outlineLevel="0" max="2" min="2" style="2" width="19.66"/>
    <col collapsed="false" customWidth="true" hidden="false" outlineLevel="0" max="3" min="3" style="3" width="11.66"/>
    <col collapsed="false" customWidth="true" hidden="false" outlineLevel="0" max="4" min="4" style="4" width="14.66"/>
    <col collapsed="false" customWidth="true" hidden="false" outlineLevel="0" max="5" min="5" style="5" width="9.66"/>
    <col collapsed="false" customWidth="true" hidden="false" outlineLevel="0" max="6" min="6" style="6" width="10.5"/>
    <col collapsed="false" customWidth="true" hidden="false" outlineLevel="0" max="7" min="7" style="6" width="9.66"/>
    <col collapsed="false" customWidth="true" hidden="false" outlineLevel="0" max="8" min="8" style="6" width="10.66"/>
    <col collapsed="false" customWidth="true" hidden="false" outlineLevel="0" max="9" min="9" style="6" width="0.82"/>
    <col collapsed="false" customWidth="true" hidden="false" outlineLevel="0" max="10" min="10" style="6" width="9.99"/>
    <col collapsed="false" customWidth="true" hidden="false" outlineLevel="0" max="11" min="11" style="6" width="9.66"/>
    <col collapsed="false" customWidth="true" hidden="false" outlineLevel="0" max="12" min="12" style="7" width="9.66"/>
    <col collapsed="false" customWidth="true" hidden="false" outlineLevel="0" max="13" min="13" style="8" width="9.49"/>
    <col collapsed="false" customWidth="false" hidden="false" outlineLevel="0" max="257" min="14" style="2" width="9.15"/>
  </cols>
  <sheetData>
    <row r="1" s="17" customFormat="true" ht="12.75" hidden="false" customHeight="true" outlineLevel="0" collapsed="false">
      <c r="A1" s="9" t="s">
        <v>0</v>
      </c>
      <c r="B1" s="9"/>
      <c r="C1" s="10" t="n">
        <f aca="false">-SUM([1]TrialBalance!$D$28:$D$31)</f>
        <v>2400</v>
      </c>
      <c r="D1" s="11" t="s">
        <v>1</v>
      </c>
      <c r="E1" s="11"/>
      <c r="F1" s="12" t="n">
        <f aca="false">SUM(F2:F200)</f>
        <v>0</v>
      </c>
      <c r="G1" s="12" t="n">
        <f aca="false">SUM(G5:G300)</f>
        <v>0</v>
      </c>
      <c r="H1" s="12" t="n">
        <f aca="false">SUM(H2:H200)</f>
        <v>2220</v>
      </c>
      <c r="I1" s="13"/>
      <c r="J1" s="14" t="s">
        <v>2</v>
      </c>
      <c r="K1" s="15" t="n">
        <f aca="false">SUM(K5:K200)</f>
        <v>0</v>
      </c>
      <c r="L1" s="15" t="n">
        <f aca="false">SUM(L5:L200)</f>
        <v>0</v>
      </c>
      <c r="M1" s="16" t="n">
        <f aca="true">TODAY()</f>
        <v>46278</v>
      </c>
    </row>
    <row r="2" s="17" customFormat="true" ht="13.5" hidden="false" customHeight="true" outlineLevel="0" collapsed="false">
      <c r="A2" s="18" t="s">
        <v>3</v>
      </c>
      <c r="B2" s="19" t="s">
        <v>4</v>
      </c>
      <c r="C2" s="20" t="s">
        <v>5</v>
      </c>
      <c r="D2" s="21" t="s">
        <v>6</v>
      </c>
      <c r="E2" s="21"/>
      <c r="F2" s="19" t="s">
        <v>7</v>
      </c>
      <c r="G2" s="22" t="n">
        <f aca="false">IF([2]Nov!$G$4&gt;0,0,[2]Nov!$G$2)</f>
        <v>20</v>
      </c>
      <c r="H2" s="19" t="s">
        <v>8</v>
      </c>
      <c r="I2" s="13"/>
      <c r="J2" s="14"/>
      <c r="K2" s="23" t="s">
        <v>9</v>
      </c>
      <c r="L2" s="23"/>
      <c r="M2" s="23"/>
    </row>
    <row r="3" s="26" customFormat="true" ht="34.5" hidden="false" customHeight="true" outlineLevel="0" collapsed="false">
      <c r="A3" s="18"/>
      <c r="B3" s="18"/>
      <c r="C3" s="18"/>
      <c r="D3" s="18"/>
      <c r="E3" s="18"/>
      <c r="F3" s="19"/>
      <c r="G3" s="19" t="s">
        <v>10</v>
      </c>
      <c r="H3" s="19"/>
      <c r="I3" s="13"/>
      <c r="J3" s="14"/>
      <c r="K3" s="24" t="s">
        <v>11</v>
      </c>
      <c r="L3" s="24" t="s">
        <v>12</v>
      </c>
      <c r="M3" s="25" t="s">
        <v>13</v>
      </c>
    </row>
    <row r="4" s="27" customFormat="true" ht="12.75" hidden="false" customHeight="true" outlineLevel="0" collapsed="false">
      <c r="A4" s="18"/>
      <c r="B4" s="18"/>
      <c r="C4" s="18"/>
      <c r="D4" s="18"/>
      <c r="E4" s="18"/>
      <c r="F4" s="19"/>
      <c r="G4" s="19"/>
      <c r="H4" s="19"/>
      <c r="I4" s="13"/>
      <c r="J4" s="14"/>
      <c r="K4" s="24"/>
      <c r="L4" s="24"/>
      <c r="M4" s="24"/>
    </row>
    <row r="5" s="5" customFormat="true" ht="12" hidden="false" customHeight="false" outlineLevel="0" collapsed="false">
      <c r="A5" s="28"/>
      <c r="B5" s="5" t="s">
        <v>14</v>
      </c>
      <c r="C5" s="29" t="s">
        <v>15</v>
      </c>
      <c r="E5" s="2"/>
      <c r="F5" s="30"/>
      <c r="G5" s="6" t="str">
        <f aca="false">IF(F5&lt;&gt;0,F5*G$2/(100+G$2)," ")</f>
        <v> </v>
      </c>
      <c r="H5" s="6" t="n">
        <v>1200</v>
      </c>
      <c r="J5" s="6"/>
      <c r="K5" s="6"/>
      <c r="L5" s="7" t="str">
        <f aca="false">IF(F5&lt;&gt;0,F5-K5," ")</f>
        <v> </v>
      </c>
      <c r="M5" s="8" t="str">
        <f aca="false">IF((F5-K5)&lt;&gt;0,M$1-A5," ")</f>
        <v> </v>
      </c>
    </row>
    <row r="6" customFormat="false" ht="12" hidden="false" customHeight="false" outlineLevel="0" collapsed="false">
      <c r="A6" s="28"/>
      <c r="B6" s="2" t="s">
        <v>16</v>
      </c>
      <c r="C6" s="3" t="s">
        <v>17</v>
      </c>
      <c r="E6" s="2"/>
      <c r="G6" s="6" t="str">
        <f aca="false">IF(F6&lt;&gt;0,F6*G$2/(100+G$2)," ")</f>
        <v> </v>
      </c>
      <c r="H6" s="6" t="n">
        <v>300</v>
      </c>
      <c r="L6" s="7" t="str">
        <f aca="false">IF(F6&lt;&gt;0,F6-K6," ")</f>
        <v> </v>
      </c>
      <c r="M6" s="8" t="str">
        <f aca="false">IF((F6-K6)&lt;&gt;0,M$1-A6," ")</f>
        <v> </v>
      </c>
    </row>
    <row r="7" customFormat="false" ht="12" hidden="false" customHeight="false" outlineLevel="0" collapsed="false">
      <c r="A7" s="28"/>
      <c r="B7" s="2" t="s">
        <v>18</v>
      </c>
      <c r="C7" s="3" t="s">
        <v>19</v>
      </c>
      <c r="E7" s="2"/>
      <c r="G7" s="6" t="str">
        <f aca="false">IF(F7&lt;&gt;0,F7*G$2/(100+G$2)," ")</f>
        <v> </v>
      </c>
      <c r="H7" s="6" t="n">
        <v>600</v>
      </c>
      <c r="L7" s="7" t="str">
        <f aca="false">IF(F7&lt;&gt;0,F7-K7," ")</f>
        <v> </v>
      </c>
      <c r="M7" s="8" t="str">
        <f aca="false">IF((F7-K7)&lt;&gt;0,M$1-A7," ")</f>
        <v> </v>
      </c>
    </row>
    <row r="8" customFormat="false" ht="12" hidden="false" customHeight="false" outlineLevel="0" collapsed="false">
      <c r="A8" s="28"/>
      <c r="B8" s="2" t="s">
        <v>20</v>
      </c>
      <c r="C8" s="3" t="s">
        <v>21</v>
      </c>
      <c r="E8" s="2"/>
      <c r="G8" s="6" t="str">
        <f aca="false">IF(F8&lt;&gt;0,F8*G$2/(100+G$2)," ")</f>
        <v> </v>
      </c>
      <c r="H8" s="6" t="n">
        <v>120</v>
      </c>
      <c r="L8" s="7" t="str">
        <f aca="false">IF(F8&lt;&gt;0,F8-K8," ")</f>
        <v> </v>
      </c>
      <c r="M8" s="8" t="str">
        <f aca="false">IF((F8-K8)&lt;&gt;0,M$1-A8," ")</f>
        <v> </v>
      </c>
    </row>
    <row r="9" customFormat="false" ht="12" hidden="false" customHeight="false" outlineLevel="0" collapsed="false">
      <c r="A9" s="28"/>
      <c r="E9" s="2"/>
      <c r="G9" s="6" t="str">
        <f aca="false">IF(F9&lt;&gt;0,F9*G$2/(100+G$2)," ")</f>
        <v> </v>
      </c>
      <c r="L9" s="7" t="str">
        <f aca="false">IF(F9&lt;&gt;0,F9-K9," ")</f>
        <v> </v>
      </c>
      <c r="M9" s="8" t="str">
        <f aca="false">IF((F9-K9)&lt;&gt;0,M$1-A9," ")</f>
        <v> </v>
      </c>
    </row>
    <row r="10" customFormat="false" ht="12" hidden="false" customHeight="false" outlineLevel="0" collapsed="false">
      <c r="A10" s="28"/>
      <c r="E10" s="2"/>
      <c r="G10" s="6" t="str">
        <f aca="false">IF(F10&lt;&gt;0,F10*G$2/(100+G$2)," ")</f>
        <v> </v>
      </c>
      <c r="L10" s="7" t="str">
        <f aca="false">IF(F10&lt;&gt;0,F10-K10," ")</f>
        <v> </v>
      </c>
      <c r="M10" s="8" t="str">
        <f aca="false">IF((F10-K10)&lt;&gt;0,M$1-A10," ")</f>
        <v> </v>
      </c>
    </row>
    <row r="11" customFormat="false" ht="12" hidden="false" customHeight="false" outlineLevel="0" collapsed="false">
      <c r="A11" s="28"/>
      <c r="E11" s="2"/>
      <c r="G11" s="6" t="str">
        <f aca="false">IF(F11&lt;&gt;0,F11*G$2/(100+G$2)," ")</f>
        <v> </v>
      </c>
      <c r="L11" s="7" t="str">
        <f aca="false">IF(F11&lt;&gt;0,F11-K11," ")</f>
        <v> </v>
      </c>
      <c r="M11" s="8" t="str">
        <f aca="false">IF((F11-K11)&lt;&gt;0,M$1-A11," ")</f>
        <v> </v>
      </c>
    </row>
    <row r="12" customFormat="false" ht="12" hidden="false" customHeight="false" outlineLevel="0" collapsed="false">
      <c r="A12" s="28"/>
      <c r="E12" s="2"/>
      <c r="G12" s="6" t="str">
        <f aca="false">IF(F12&lt;&gt;0,F12*G$2/(100+G$2)," ")</f>
        <v> </v>
      </c>
      <c r="L12" s="7" t="str">
        <f aca="false">IF(F12&lt;&gt;0,F12-K12," ")</f>
        <v> </v>
      </c>
      <c r="M12" s="8" t="str">
        <f aca="false">IF((F12-K12)&lt;&gt;0,M$1-A12," ")</f>
        <v> </v>
      </c>
    </row>
    <row r="13" customFormat="false" ht="12" hidden="false" customHeight="false" outlineLevel="0" collapsed="false">
      <c r="A13" s="28"/>
      <c r="E13" s="2"/>
      <c r="G13" s="6" t="str">
        <f aca="false">IF(F13&lt;&gt;0,F13*G$2/(100+G$2)," ")</f>
        <v> </v>
      </c>
      <c r="L13" s="7" t="str">
        <f aca="false">IF(F13&lt;&gt;0,F13-K13," ")</f>
        <v> </v>
      </c>
      <c r="M13" s="8" t="str">
        <f aca="false">IF((F13-K13)&lt;&gt;0,M$1-A13," ")</f>
        <v> </v>
      </c>
    </row>
    <row r="14" customFormat="false" ht="12" hidden="false" customHeight="false" outlineLevel="0" collapsed="false">
      <c r="A14" s="28"/>
      <c r="E14" s="2"/>
      <c r="G14" s="6" t="str">
        <f aca="false">IF(F14&lt;&gt;0,F14*G$2/(100+G$2)," ")</f>
        <v> </v>
      </c>
      <c r="L14" s="7" t="str">
        <f aca="false">IF(F14&lt;&gt;0,F14-K14," ")</f>
        <v> </v>
      </c>
      <c r="M14" s="8" t="str">
        <f aca="false">IF((F14-K14)&lt;&gt;0,M$1-A14," ")</f>
        <v> </v>
      </c>
    </row>
    <row r="15" customFormat="false" ht="12" hidden="false" customHeight="false" outlineLevel="0" collapsed="false">
      <c r="A15" s="28"/>
      <c r="E15" s="2"/>
      <c r="G15" s="6" t="str">
        <f aca="false">IF(F15&lt;&gt;0,F15*G$2/(100+G$2)," ")</f>
        <v> </v>
      </c>
      <c r="L15" s="7" t="str">
        <f aca="false">IF(F15&lt;&gt;0,F15-K15," ")</f>
        <v> </v>
      </c>
      <c r="M15" s="8" t="str">
        <f aca="false">IF((F15-K15)&lt;&gt;0,M$1-A15," ")</f>
        <v> </v>
      </c>
    </row>
    <row r="16" customFormat="false" ht="12" hidden="false" customHeight="false" outlineLevel="0" collapsed="false">
      <c r="A16" s="28"/>
      <c r="E16" s="2"/>
      <c r="G16" s="6" t="str">
        <f aca="false">IF(F16&lt;&gt;0,F16*G$2/(100+G$2)," ")</f>
        <v> </v>
      </c>
      <c r="L16" s="7" t="str">
        <f aca="false">IF(F16&lt;&gt;0,F16-K16," ")</f>
        <v> </v>
      </c>
      <c r="M16" s="8" t="str">
        <f aca="false">IF((F16-K16)&lt;&gt;0,M$1-A16," ")</f>
        <v> </v>
      </c>
    </row>
    <row r="17" customFormat="false" ht="12" hidden="false" customHeight="false" outlineLevel="0" collapsed="false">
      <c r="A17" s="28"/>
      <c r="E17" s="2"/>
      <c r="G17" s="6" t="str">
        <f aca="false">IF(F17&lt;&gt;0,F17*G$2/(100+G$2)," ")</f>
        <v> </v>
      </c>
      <c r="L17" s="7" t="str">
        <f aca="false">IF(F17&lt;&gt;0,F17-K17," ")</f>
        <v> </v>
      </c>
      <c r="M17" s="8" t="str">
        <f aca="false">IF((F17-K17)&lt;&gt;0,M$1-A17," ")</f>
        <v> </v>
      </c>
    </row>
    <row r="18" customFormat="false" ht="12" hidden="false" customHeight="false" outlineLevel="0" collapsed="false">
      <c r="A18" s="28"/>
      <c r="E18" s="2"/>
      <c r="G18" s="6" t="str">
        <f aca="false">IF(F18&lt;&gt;0,F18*G$2/(100+G$2)," ")</f>
        <v> </v>
      </c>
      <c r="L18" s="7" t="str">
        <f aca="false">IF(F18&lt;&gt;0,F18-K18," ")</f>
        <v> </v>
      </c>
      <c r="M18" s="8" t="str">
        <f aca="false">IF((F18-K18)&lt;&gt;0,M$1-A18," ")</f>
        <v> </v>
      </c>
    </row>
    <row r="19" customFormat="false" ht="12" hidden="false" customHeight="false" outlineLevel="0" collapsed="false">
      <c r="A19" s="28"/>
      <c r="E19" s="2"/>
      <c r="G19" s="6" t="str">
        <f aca="false">IF(F19&lt;&gt;0,F19*G$2/(100+G$2)," ")</f>
        <v> </v>
      </c>
      <c r="L19" s="7" t="str">
        <f aca="false">IF(F19&lt;&gt;0,F19-K19," ")</f>
        <v> </v>
      </c>
      <c r="M19" s="8" t="str">
        <f aca="false">IF((F19-K19)&lt;&gt;0,M$1-A19," ")</f>
        <v> </v>
      </c>
    </row>
    <row r="20" customFormat="false" ht="12" hidden="false" customHeight="false" outlineLevel="0" collapsed="false">
      <c r="A20" s="28"/>
      <c r="E20" s="2"/>
      <c r="G20" s="6" t="str">
        <f aca="false">IF(F20&lt;&gt;0,F20*G$2/(100+G$2)," ")</f>
        <v> </v>
      </c>
      <c r="L20" s="7" t="str">
        <f aca="false">IF(F20&lt;&gt;0,F20-K20," ")</f>
        <v> </v>
      </c>
      <c r="M20" s="8" t="str">
        <f aca="false">IF((F20-K20)&lt;&gt;0,M$1-A20," ")</f>
        <v> </v>
      </c>
    </row>
    <row r="21" customFormat="false" ht="12" hidden="false" customHeight="false" outlineLevel="0" collapsed="false">
      <c r="A21" s="28"/>
      <c r="E21" s="2"/>
      <c r="G21" s="6" t="str">
        <f aca="false">IF(F21&lt;&gt;0,F21*G$2/(100+G$2)," ")</f>
        <v> </v>
      </c>
      <c r="L21" s="7" t="str">
        <f aca="false">IF(F21&lt;&gt;0,F21-K21," ")</f>
        <v> </v>
      </c>
      <c r="M21" s="8" t="str">
        <f aca="false">IF((F21-K21)&lt;&gt;0,M$1-A21," ")</f>
        <v> </v>
      </c>
    </row>
    <row r="22" customFormat="false" ht="12" hidden="false" customHeight="false" outlineLevel="0" collapsed="false">
      <c r="A22" s="28"/>
      <c r="D22" s="2"/>
      <c r="E22" s="2"/>
      <c r="G22" s="6" t="str">
        <f aca="false">IF(F22&lt;&gt;0,F22*G$2/(100+G$2)," ")</f>
        <v> </v>
      </c>
      <c r="L22" s="7" t="str">
        <f aca="false">IF(F22&lt;&gt;0,F22-K22," ")</f>
        <v> </v>
      </c>
      <c r="M22" s="8" t="str">
        <f aca="false">IF((F22-K22)&lt;&gt;0,M$1-A22," ")</f>
        <v> </v>
      </c>
    </row>
    <row r="23" customFormat="false" ht="12" hidden="false" customHeight="false" outlineLevel="0" collapsed="false">
      <c r="A23" s="28"/>
      <c r="D23" s="31"/>
      <c r="E23" s="2"/>
      <c r="G23" s="6" t="str">
        <f aca="false">IF(F23&lt;&gt;0,F23*G$2/(100+G$2)," ")</f>
        <v> </v>
      </c>
      <c r="L23" s="7" t="str">
        <f aca="false">IF(F23&lt;&gt;0,F23-K23," ")</f>
        <v> </v>
      </c>
      <c r="M23" s="8" t="str">
        <f aca="false">IF((F23-K23)&lt;&gt;0,M$1-A23," ")</f>
        <v> </v>
      </c>
    </row>
    <row r="24" customFormat="false" ht="12" hidden="false" customHeight="false" outlineLevel="0" collapsed="false">
      <c r="A24" s="28"/>
      <c r="E24" s="2"/>
      <c r="G24" s="6" t="str">
        <f aca="false">IF(F24&lt;&gt;0,F24*G$2/(100+G$2)," ")</f>
        <v> </v>
      </c>
      <c r="L24" s="7" t="str">
        <f aca="false">IF(F24&lt;&gt;0,F24-K24," ")</f>
        <v> </v>
      </c>
      <c r="M24" s="8" t="str">
        <f aca="false">IF((F24-K24)&lt;&gt;0,M$1-A24," ")</f>
        <v> </v>
      </c>
    </row>
    <row r="25" customFormat="false" ht="12" hidden="false" customHeight="false" outlineLevel="0" collapsed="false">
      <c r="A25" s="28"/>
      <c r="E25" s="2"/>
      <c r="G25" s="6" t="str">
        <f aca="false">IF(F25&lt;&gt;0,F25*G$2/(100+G$2)," ")</f>
        <v> </v>
      </c>
      <c r="L25" s="7" t="str">
        <f aca="false">IF(F25&lt;&gt;0,F25-K25," ")</f>
        <v> </v>
      </c>
      <c r="M25" s="8" t="str">
        <f aca="false">IF((F25-K25)&lt;&gt;0,M$1-A25," ")</f>
        <v> </v>
      </c>
    </row>
    <row r="26" customFormat="false" ht="12" hidden="false" customHeight="false" outlineLevel="0" collapsed="false">
      <c r="A26" s="28"/>
      <c r="E26" s="2"/>
      <c r="G26" s="6" t="str">
        <f aca="false">IF(F26&lt;&gt;0,F26*G$2/(100+G$2)," ")</f>
        <v> </v>
      </c>
      <c r="L26" s="7" t="str">
        <f aca="false">IF(F26&lt;&gt;0,F26-K26," ")</f>
        <v> </v>
      </c>
      <c r="M26" s="8" t="str">
        <f aca="false">IF((F26-K26)&lt;&gt;0,M$1-A26," ")</f>
        <v> </v>
      </c>
    </row>
    <row r="27" customFormat="false" ht="12" hidden="false" customHeight="false" outlineLevel="0" collapsed="false">
      <c r="A27" s="28"/>
      <c r="E27" s="2"/>
      <c r="G27" s="6" t="str">
        <f aca="false">IF(F27&lt;&gt;0,F27*G$2/(100+G$2)," ")</f>
        <v> </v>
      </c>
      <c r="L27" s="7" t="str">
        <f aca="false">IF(F27&lt;&gt;0,F27-K27," ")</f>
        <v> </v>
      </c>
      <c r="M27" s="8" t="str">
        <f aca="false">IF((F27-K27)&lt;&gt;0,M$1-A27," ")</f>
        <v> </v>
      </c>
    </row>
    <row r="28" customFormat="false" ht="12" hidden="false" customHeight="false" outlineLevel="0" collapsed="false">
      <c r="A28" s="28"/>
      <c r="E28" s="2"/>
      <c r="G28" s="6" t="str">
        <f aca="false">IF(F28&lt;&gt;0,F28*G$2/(100+G$2)," ")</f>
        <v> </v>
      </c>
      <c r="L28" s="7" t="str">
        <f aca="false">IF(F28&lt;&gt;0,F28-K28," ")</f>
        <v> </v>
      </c>
      <c r="M28" s="8" t="str">
        <f aca="false">IF((F28-K28)&lt;&gt;0,M$1-A28," ")</f>
        <v> </v>
      </c>
    </row>
    <row r="29" customFormat="false" ht="12" hidden="false" customHeight="false" outlineLevel="0" collapsed="false">
      <c r="A29" s="28"/>
      <c r="E29" s="2"/>
      <c r="G29" s="6" t="str">
        <f aca="false">IF(F29&lt;&gt;0,F29*G$2/(100+G$2)," ")</f>
        <v> </v>
      </c>
      <c r="L29" s="7" t="str">
        <f aca="false">IF(F29&lt;&gt;0,F29-K29," ")</f>
        <v> </v>
      </c>
      <c r="M29" s="8" t="str">
        <f aca="false">IF((F29-K29)&lt;&gt;0,M$1-A29," ")</f>
        <v> </v>
      </c>
    </row>
    <row r="30" customFormat="false" ht="12" hidden="false" customHeight="false" outlineLevel="0" collapsed="false">
      <c r="A30" s="28"/>
      <c r="E30" s="2"/>
      <c r="G30" s="6" t="str">
        <f aca="false">IF(F30&lt;&gt;0,F30*G$2/(100+G$2)," ")</f>
        <v> </v>
      </c>
      <c r="L30" s="7" t="str">
        <f aca="false">IF(F30&lt;&gt;0,F30-K30," ")</f>
        <v> </v>
      </c>
      <c r="M30" s="8" t="str">
        <f aca="false">IF((F30-K30)&lt;&gt;0,M$1-A30," ")</f>
        <v> </v>
      </c>
    </row>
    <row r="31" customFormat="false" ht="12" hidden="false" customHeight="false" outlineLevel="0" collapsed="false">
      <c r="A31" s="28"/>
      <c r="E31" s="2"/>
      <c r="G31" s="6" t="str">
        <f aca="false">IF(F31&lt;&gt;0,F31*G$2/(100+G$2)," ")</f>
        <v> </v>
      </c>
      <c r="L31" s="7" t="str">
        <f aca="false">IF(F31&lt;&gt;0,F31-K31," ")</f>
        <v> </v>
      </c>
      <c r="M31" s="8" t="str">
        <f aca="false">IF((F31-K31)&lt;&gt;0,M$1-A31," ")</f>
        <v> </v>
      </c>
    </row>
    <row r="32" customFormat="false" ht="12" hidden="false" customHeight="false" outlineLevel="0" collapsed="false">
      <c r="A32" s="28"/>
      <c r="E32" s="2"/>
      <c r="G32" s="6" t="str">
        <f aca="false">IF(F32&lt;&gt;0,F32*G$2/(100+G$2)," ")</f>
        <v> </v>
      </c>
      <c r="L32" s="7" t="str">
        <f aca="false">IF(F32&lt;&gt;0,F32-K32," ")</f>
        <v> </v>
      </c>
      <c r="M32" s="8" t="str">
        <f aca="false">IF((F32-K32)&lt;&gt;0,M$1-A32," ")</f>
        <v> </v>
      </c>
    </row>
    <row r="33" customFormat="false" ht="12" hidden="false" customHeight="false" outlineLevel="0" collapsed="false">
      <c r="A33" s="28"/>
      <c r="E33" s="2"/>
      <c r="G33" s="6" t="str">
        <f aca="false">IF(F33&lt;&gt;0,F33*G$2/(100+G$2)," ")</f>
        <v> </v>
      </c>
      <c r="L33" s="7" t="str">
        <f aca="false">IF(F33&lt;&gt;0,F33-K33," ")</f>
        <v> </v>
      </c>
      <c r="M33" s="8" t="str">
        <f aca="false">IF((F33-K33)&lt;&gt;0,M$1-A33," ")</f>
        <v> </v>
      </c>
    </row>
    <row r="34" customFormat="false" ht="12" hidden="false" customHeight="false" outlineLevel="0" collapsed="false">
      <c r="A34" s="28"/>
      <c r="E34" s="2"/>
      <c r="G34" s="6" t="str">
        <f aca="false">IF(F34&lt;&gt;0,F34*G$2/(100+G$2)," ")</f>
        <v> </v>
      </c>
      <c r="L34" s="7" t="str">
        <f aca="false">IF(F34&lt;&gt;0,F34-K34," ")</f>
        <v> </v>
      </c>
      <c r="M34" s="8" t="str">
        <f aca="false">IF((F34-K34)&lt;&gt;0,M$1-A34," ")</f>
        <v> </v>
      </c>
    </row>
    <row r="35" customFormat="false" ht="12" hidden="false" customHeight="false" outlineLevel="0" collapsed="false">
      <c r="A35" s="28"/>
      <c r="E35" s="2"/>
      <c r="G35" s="6" t="str">
        <f aca="false">IF(F35&lt;&gt;0,F35*G$2/(100+G$2)," ")</f>
        <v> </v>
      </c>
      <c r="L35" s="7" t="str">
        <f aca="false">IF(F35&lt;&gt;0,F35-K35," ")</f>
        <v> </v>
      </c>
      <c r="M35" s="8" t="str">
        <f aca="false">IF((F35-K35)&lt;&gt;0,M$1-A35," ")</f>
        <v> </v>
      </c>
    </row>
    <row r="36" customFormat="false" ht="12" hidden="false" customHeight="false" outlineLevel="0" collapsed="false">
      <c r="A36" s="28"/>
      <c r="E36" s="2"/>
      <c r="G36" s="6" t="str">
        <f aca="false">IF(F36&lt;&gt;0,F36*G$2/(100+G$2)," ")</f>
        <v> </v>
      </c>
      <c r="L36" s="7" t="str">
        <f aca="false">IF(F36&lt;&gt;0,F36-K36," ")</f>
        <v> </v>
      </c>
      <c r="M36" s="8" t="str">
        <f aca="false">IF((F36-K36)&lt;&gt;0,M$1-A36," ")</f>
        <v> </v>
      </c>
    </row>
    <row r="37" customFormat="false" ht="12" hidden="false" customHeight="false" outlineLevel="0" collapsed="false">
      <c r="A37" s="28"/>
      <c r="E37" s="2"/>
      <c r="G37" s="6" t="str">
        <f aca="false">IF(F37&lt;&gt;0,F37*G$2/(100+G$2)," ")</f>
        <v> </v>
      </c>
      <c r="L37" s="7" t="str">
        <f aca="false">IF(F37&lt;&gt;0,F37-K37," ")</f>
        <v> </v>
      </c>
      <c r="M37" s="8" t="str">
        <f aca="false">IF((F37-K37)&lt;&gt;0,M$1-A37," ")</f>
        <v> </v>
      </c>
    </row>
    <row r="38" customFormat="false" ht="12" hidden="false" customHeight="false" outlineLevel="0" collapsed="false">
      <c r="A38" s="28"/>
      <c r="E38" s="2"/>
      <c r="G38" s="6" t="str">
        <f aca="false">IF(F38&lt;&gt;0,F38*G$2/(100+G$2)," ")</f>
        <v> </v>
      </c>
      <c r="L38" s="7" t="str">
        <f aca="false">IF(F38&lt;&gt;0,F38-K38," ")</f>
        <v> </v>
      </c>
      <c r="M38" s="8" t="str">
        <f aca="false">IF((F38-K38)&lt;&gt;0,M$1-A38," ")</f>
        <v> </v>
      </c>
    </row>
    <row r="39" customFormat="false" ht="12" hidden="false" customHeight="false" outlineLevel="0" collapsed="false">
      <c r="A39" s="28"/>
      <c r="E39" s="2"/>
      <c r="G39" s="6" t="str">
        <f aca="false">IF(F39&lt;&gt;0,F39*G$2/(100+G$2)," ")</f>
        <v> </v>
      </c>
      <c r="L39" s="7" t="str">
        <f aca="false">IF(F39&lt;&gt;0,F39-K39," ")</f>
        <v> </v>
      </c>
      <c r="M39" s="8" t="str">
        <f aca="false">IF((F39-K39)&lt;&gt;0,M$1-A39," ")</f>
        <v> </v>
      </c>
    </row>
    <row r="40" customFormat="false" ht="12" hidden="false" customHeight="false" outlineLevel="0" collapsed="false">
      <c r="A40" s="28"/>
      <c r="E40" s="2"/>
      <c r="G40" s="6" t="str">
        <f aca="false">IF(F40&lt;&gt;0,F40*G$2/(100+G$2)," ")</f>
        <v> </v>
      </c>
      <c r="L40" s="7" t="str">
        <f aca="false">IF(F40&lt;&gt;0,F40-K40," ")</f>
        <v> </v>
      </c>
      <c r="M40" s="8" t="str">
        <f aca="false">IF((F40-K40)&lt;&gt;0,M$1-A40," ")</f>
        <v> </v>
      </c>
    </row>
    <row r="41" customFormat="false" ht="12" hidden="false" customHeight="false" outlineLevel="0" collapsed="false">
      <c r="A41" s="28"/>
      <c r="E41" s="2"/>
      <c r="G41" s="6" t="str">
        <f aca="false">IF(F41&lt;&gt;0,F41*G$2/(100+G$2)," ")</f>
        <v> </v>
      </c>
      <c r="L41" s="7" t="str">
        <f aca="false">IF(F41&lt;&gt;0,F41-K41," ")</f>
        <v> </v>
      </c>
      <c r="M41" s="8" t="str">
        <f aca="false">IF((F41-K41)&lt;&gt;0,M$1-A41," ")</f>
        <v> </v>
      </c>
    </row>
    <row r="42" customFormat="false" ht="12" hidden="false" customHeight="false" outlineLevel="0" collapsed="false">
      <c r="A42" s="28"/>
      <c r="E42" s="2"/>
      <c r="G42" s="6" t="str">
        <f aca="false">IF(F42&lt;&gt;0,F42*G$2/(100+G$2)," ")</f>
        <v> </v>
      </c>
      <c r="L42" s="7" t="str">
        <f aca="false">IF(F42&lt;&gt;0,F42-K42," ")</f>
        <v> </v>
      </c>
      <c r="M42" s="8" t="str">
        <f aca="false">IF((F42-K42)&lt;&gt;0,M$1-A42," ")</f>
        <v> </v>
      </c>
    </row>
    <row r="43" customFormat="false" ht="12" hidden="false" customHeight="false" outlineLevel="0" collapsed="false">
      <c r="A43" s="28"/>
      <c r="E43" s="2"/>
      <c r="G43" s="6" t="str">
        <f aca="false">IF(F43&lt;&gt;0,F43*G$2/(100+G$2)," ")</f>
        <v> </v>
      </c>
      <c r="L43" s="7" t="str">
        <f aca="false">IF(F43&lt;&gt;0,F43-K43," ")</f>
        <v> </v>
      </c>
      <c r="M43" s="8" t="str">
        <f aca="false">IF((F43-K43)&lt;&gt;0,M$1-A43," ")</f>
        <v> </v>
      </c>
    </row>
    <row r="44" customFormat="false" ht="12" hidden="false" customHeight="false" outlineLevel="0" collapsed="false">
      <c r="A44" s="28"/>
      <c r="E44" s="2"/>
      <c r="G44" s="6" t="str">
        <f aca="false">IF(F44&lt;&gt;0,F44*G$2/(100+G$2)," ")</f>
        <v> </v>
      </c>
      <c r="L44" s="7" t="str">
        <f aca="false">IF(F44&lt;&gt;0,F44-K44," ")</f>
        <v> </v>
      </c>
      <c r="M44" s="8" t="str">
        <f aca="false">IF((F44-K44)&lt;&gt;0,M$1-A44," ")</f>
        <v> </v>
      </c>
    </row>
    <row r="45" customFormat="false" ht="12" hidden="false" customHeight="false" outlineLevel="0" collapsed="false">
      <c r="A45" s="28"/>
      <c r="E45" s="2"/>
      <c r="G45" s="6" t="str">
        <f aca="false">IF(F45&lt;&gt;0,F45*G$2/(100+G$2)," ")</f>
        <v> </v>
      </c>
      <c r="L45" s="7" t="str">
        <f aca="false">IF(F45&lt;&gt;0,F45-K45," ")</f>
        <v> </v>
      </c>
      <c r="M45" s="8" t="str">
        <f aca="false">IF((F45-K45)&lt;&gt;0,M$1-A45," ")</f>
        <v> </v>
      </c>
    </row>
    <row r="46" customFormat="false" ht="12" hidden="false" customHeight="false" outlineLevel="0" collapsed="false">
      <c r="A46" s="28"/>
      <c r="E46" s="2"/>
      <c r="G46" s="6" t="str">
        <f aca="false">IF(F46&lt;&gt;0,F46*G$2/(100+G$2)," ")</f>
        <v> </v>
      </c>
      <c r="L46" s="7" t="str">
        <f aca="false">IF(F46&lt;&gt;0,F46-K46," ")</f>
        <v> </v>
      </c>
      <c r="M46" s="8" t="str">
        <f aca="false">IF((F46-K46)&lt;&gt;0,M$1-A46," ")</f>
        <v> </v>
      </c>
    </row>
    <row r="47" customFormat="false" ht="12" hidden="false" customHeight="false" outlineLevel="0" collapsed="false">
      <c r="A47" s="28"/>
      <c r="E47" s="2"/>
      <c r="G47" s="6" t="str">
        <f aca="false">IF(F47&lt;&gt;0,F47*G$2/(100+G$2)," ")</f>
        <v> </v>
      </c>
      <c r="L47" s="7" t="str">
        <f aca="false">IF(F47&lt;&gt;0,F47-K47," ")</f>
        <v> </v>
      </c>
      <c r="M47" s="8" t="str">
        <f aca="false">IF((F47-K47)&lt;&gt;0,M$1-A47," ")</f>
        <v> </v>
      </c>
    </row>
    <row r="48" customFormat="false" ht="12" hidden="false" customHeight="false" outlineLevel="0" collapsed="false">
      <c r="A48" s="28"/>
      <c r="E48" s="2"/>
      <c r="G48" s="6" t="str">
        <f aca="false">IF(F48&lt;&gt;0,F48*G$2/(100+G$2)," ")</f>
        <v> </v>
      </c>
      <c r="L48" s="7" t="str">
        <f aca="false">IF(F48&lt;&gt;0,F48-K48," ")</f>
        <v> </v>
      </c>
      <c r="M48" s="8" t="str">
        <f aca="false">IF((F48-K48)&lt;&gt;0,M$1-A48," ")</f>
        <v> </v>
      </c>
    </row>
    <row r="49" customFormat="false" ht="12" hidden="false" customHeight="false" outlineLevel="0" collapsed="false">
      <c r="A49" s="28"/>
      <c r="E49" s="2"/>
      <c r="G49" s="6" t="str">
        <f aca="false">IF(F49&lt;&gt;0,F49*G$2/(100+G$2)," ")</f>
        <v> </v>
      </c>
      <c r="L49" s="7" t="str">
        <f aca="false">IF(F49&lt;&gt;0,F49-K49," ")</f>
        <v> </v>
      </c>
      <c r="M49" s="8" t="str">
        <f aca="false">IF((F49-K49)&lt;&gt;0,M$1-A49," ")</f>
        <v> </v>
      </c>
    </row>
    <row r="50" customFormat="false" ht="12" hidden="false" customHeight="false" outlineLevel="0" collapsed="false">
      <c r="A50" s="28"/>
      <c r="E50" s="2"/>
      <c r="G50" s="6" t="str">
        <f aca="false">IF(F50&lt;&gt;0,F50*G$2/(100+G$2)," ")</f>
        <v> </v>
      </c>
      <c r="L50" s="7" t="str">
        <f aca="false">IF(F50&lt;&gt;0,F50-K50," ")</f>
        <v> </v>
      </c>
      <c r="M50" s="8" t="str">
        <f aca="false">IF((F50-K50)&lt;&gt;0,M$1-A50," ")</f>
        <v> </v>
      </c>
    </row>
    <row r="51" customFormat="false" ht="12" hidden="false" customHeight="false" outlineLevel="0" collapsed="false">
      <c r="A51" s="28"/>
      <c r="E51" s="2"/>
      <c r="G51" s="6" t="str">
        <f aca="false">IF(F51&lt;&gt;0,F51*G$2/(100+G$2)," ")</f>
        <v> </v>
      </c>
      <c r="L51" s="7" t="str">
        <f aca="false">IF(F51&lt;&gt;0,F51-K51," ")</f>
        <v> </v>
      </c>
      <c r="M51" s="8" t="str">
        <f aca="false">IF((F51-K51)&lt;&gt;0,M$1-A51," ")</f>
        <v> </v>
      </c>
    </row>
    <row r="52" customFormat="false" ht="12" hidden="false" customHeight="false" outlineLevel="0" collapsed="false">
      <c r="A52" s="28"/>
      <c r="E52" s="2"/>
      <c r="G52" s="6" t="str">
        <f aca="false">IF(F52&lt;&gt;0,F52*G$2/(100+G$2)," ")</f>
        <v> </v>
      </c>
      <c r="L52" s="7" t="str">
        <f aca="false">IF(F52&lt;&gt;0,F52-K52," ")</f>
        <v> </v>
      </c>
      <c r="M52" s="8" t="str">
        <f aca="false">IF((F52-K52)&lt;&gt;0,M$1-A52," ")</f>
        <v> </v>
      </c>
    </row>
    <row r="53" customFormat="false" ht="12" hidden="false" customHeight="false" outlineLevel="0" collapsed="false">
      <c r="A53" s="28"/>
      <c r="E53" s="2"/>
      <c r="G53" s="6" t="str">
        <f aca="false">IF(F53&lt;&gt;0,F53*G$2/(100+G$2)," ")</f>
        <v> </v>
      </c>
      <c r="L53" s="7" t="str">
        <f aca="false">IF(F53&lt;&gt;0,F53-K53," ")</f>
        <v> </v>
      </c>
      <c r="M53" s="8" t="str">
        <f aca="false">IF((F53-K53)&lt;&gt;0,M$1-A53," ")</f>
        <v> </v>
      </c>
    </row>
    <row r="54" customFormat="false" ht="12" hidden="false" customHeight="false" outlineLevel="0" collapsed="false">
      <c r="A54" s="28"/>
      <c r="E54" s="2"/>
      <c r="G54" s="6" t="str">
        <f aca="false">IF(F54&lt;&gt;0,F54*G$2/(100+G$2)," ")</f>
        <v> </v>
      </c>
      <c r="L54" s="7" t="str">
        <f aca="false">IF(F54&lt;&gt;0,F54-K54," ")</f>
        <v> </v>
      </c>
      <c r="M54" s="8" t="str">
        <f aca="false">IF((F54-K54)&lt;&gt;0,M$1-A54," ")</f>
        <v> </v>
      </c>
    </row>
    <row r="55" customFormat="false" ht="12" hidden="false" customHeight="false" outlineLevel="0" collapsed="false">
      <c r="A55" s="28"/>
      <c r="E55" s="2"/>
      <c r="G55" s="6" t="str">
        <f aca="false">IF(F55&lt;&gt;0,F55*G$2/(100+G$2)," ")</f>
        <v> </v>
      </c>
      <c r="L55" s="7" t="str">
        <f aca="false">IF(F55&lt;&gt;0,F55-K55," ")</f>
        <v> </v>
      </c>
      <c r="M55" s="8" t="str">
        <f aca="false">IF((F55-K55)&lt;&gt;0,M$1-A55," ")</f>
        <v> </v>
      </c>
    </row>
    <row r="56" customFormat="false" ht="12" hidden="false" customHeight="false" outlineLevel="0" collapsed="false">
      <c r="A56" s="28"/>
      <c r="E56" s="2"/>
      <c r="G56" s="6" t="str">
        <f aca="false">IF(F56&lt;&gt;0,F56*G$2/(100+G$2)," ")</f>
        <v> </v>
      </c>
      <c r="L56" s="7" t="str">
        <f aca="false">IF(F56&lt;&gt;0,F56-K56," ")</f>
        <v> </v>
      </c>
      <c r="M56" s="8" t="str">
        <f aca="false">IF((F56-K56)&lt;&gt;0,M$1-A56," ")</f>
        <v> </v>
      </c>
    </row>
    <row r="57" customFormat="false" ht="12" hidden="false" customHeight="false" outlineLevel="0" collapsed="false">
      <c r="A57" s="28"/>
      <c r="E57" s="2"/>
      <c r="G57" s="6" t="str">
        <f aca="false">IF(F57&lt;&gt;0,F57*G$2/(100+G$2)," ")</f>
        <v> </v>
      </c>
      <c r="L57" s="7" t="str">
        <f aca="false">IF(F57&lt;&gt;0,F57-K57," ")</f>
        <v> </v>
      </c>
      <c r="M57" s="8" t="str">
        <f aca="false">IF((F57-K57)&lt;&gt;0,M$1-A57," ")</f>
        <v> </v>
      </c>
    </row>
    <row r="58" customFormat="false" ht="12" hidden="false" customHeight="false" outlineLevel="0" collapsed="false">
      <c r="A58" s="28"/>
      <c r="E58" s="2"/>
      <c r="G58" s="6" t="str">
        <f aca="false">IF(F58&lt;&gt;0,F58*G$2/(100+G$2)," ")</f>
        <v> </v>
      </c>
      <c r="L58" s="7" t="str">
        <f aca="false">IF(F58&lt;&gt;0,F58-K58," ")</f>
        <v> </v>
      </c>
      <c r="M58" s="8" t="str">
        <f aca="false">IF((F58-K58)&lt;&gt;0,M$1-A58," ")</f>
        <v> </v>
      </c>
    </row>
    <row r="59" customFormat="false" ht="12" hidden="false" customHeight="false" outlineLevel="0" collapsed="false">
      <c r="A59" s="28"/>
      <c r="E59" s="2"/>
      <c r="G59" s="6" t="str">
        <f aca="false">IF(F59&lt;&gt;0,F59*G$2/(100+G$2)," ")</f>
        <v> </v>
      </c>
      <c r="L59" s="7" t="str">
        <f aca="false">IF(F59&lt;&gt;0,F59-K59," ")</f>
        <v> </v>
      </c>
      <c r="M59" s="8" t="str">
        <f aca="false">IF((F59-K59)&lt;&gt;0,M$1-A59," ")</f>
        <v> </v>
      </c>
    </row>
    <row r="60" customFormat="false" ht="12" hidden="false" customHeight="false" outlineLevel="0" collapsed="false">
      <c r="A60" s="28"/>
      <c r="E60" s="2"/>
      <c r="G60" s="6" t="str">
        <f aca="false">IF(F60&lt;&gt;0,F60*G$2/(100+G$2)," ")</f>
        <v> </v>
      </c>
      <c r="L60" s="7" t="str">
        <f aca="false">IF(F60&lt;&gt;0,F60-K60," ")</f>
        <v> </v>
      </c>
      <c r="M60" s="8" t="str">
        <f aca="false">IF((F60-K60)&lt;&gt;0,M$1-A60," ")</f>
        <v> </v>
      </c>
    </row>
    <row r="61" customFormat="false" ht="12" hidden="false" customHeight="false" outlineLevel="0" collapsed="false">
      <c r="A61" s="28"/>
      <c r="E61" s="2"/>
      <c r="G61" s="6" t="str">
        <f aca="false">IF(F61&lt;&gt;0,F61*G$2/(100+G$2)," ")</f>
        <v> </v>
      </c>
      <c r="L61" s="7" t="str">
        <f aca="false">IF(F61&lt;&gt;0,F61-K61," ")</f>
        <v> </v>
      </c>
      <c r="M61" s="8" t="str">
        <f aca="false">IF((F61-K61)&lt;&gt;0,M$1-A61," ")</f>
        <v> </v>
      </c>
    </row>
    <row r="62" customFormat="false" ht="12" hidden="false" customHeight="false" outlineLevel="0" collapsed="false">
      <c r="A62" s="28"/>
      <c r="E62" s="2"/>
      <c r="G62" s="6" t="str">
        <f aca="false">IF(F62&lt;&gt;0,F62*G$2/(100+G$2)," ")</f>
        <v> </v>
      </c>
      <c r="L62" s="7" t="str">
        <f aca="false">IF(F62&lt;&gt;0,F62-K62," ")</f>
        <v> </v>
      </c>
      <c r="M62" s="8" t="str">
        <f aca="false">IF((F62-K62)&lt;&gt;0,M$1-A62," ")</f>
        <v> </v>
      </c>
    </row>
    <row r="63" customFormat="false" ht="12" hidden="false" customHeight="false" outlineLevel="0" collapsed="false">
      <c r="A63" s="28"/>
      <c r="E63" s="2"/>
      <c r="G63" s="6" t="str">
        <f aca="false">IF(F63&lt;&gt;0,F63*G$2/(100+G$2)," ")</f>
        <v> </v>
      </c>
      <c r="L63" s="7" t="str">
        <f aca="false">IF(F63&lt;&gt;0,F63-K63," ")</f>
        <v> </v>
      </c>
      <c r="M63" s="8" t="str">
        <f aca="false">IF((F63-K63)&lt;&gt;0,M$1-A63," ")</f>
        <v> </v>
      </c>
    </row>
    <row r="64" customFormat="false" ht="12" hidden="false" customHeight="false" outlineLevel="0" collapsed="false">
      <c r="A64" s="28"/>
      <c r="E64" s="2"/>
      <c r="G64" s="6" t="str">
        <f aca="false">IF(F64&lt;&gt;0,F64*G$2/(100+G$2)," ")</f>
        <v> </v>
      </c>
      <c r="L64" s="7" t="str">
        <f aca="false">IF(F64&lt;&gt;0,F64-K64," ")</f>
        <v> </v>
      </c>
      <c r="M64" s="8" t="str">
        <f aca="false">IF((F64-K64)&lt;&gt;0,M$1-A64," ")</f>
        <v> </v>
      </c>
    </row>
    <row r="65" customFormat="false" ht="12" hidden="false" customHeight="false" outlineLevel="0" collapsed="false">
      <c r="A65" s="28"/>
      <c r="E65" s="2"/>
      <c r="G65" s="6" t="str">
        <f aca="false">IF(F65&lt;&gt;0,F65*G$2/(100+G$2)," ")</f>
        <v> </v>
      </c>
      <c r="L65" s="7" t="str">
        <f aca="false">IF(F65&lt;&gt;0,F65-K65," ")</f>
        <v> </v>
      </c>
      <c r="M65" s="8" t="str">
        <f aca="false">IF((F65-K65)&lt;&gt;0,M$1-A65," ")</f>
        <v> </v>
      </c>
    </row>
    <row r="66" customFormat="false" ht="12" hidden="false" customHeight="false" outlineLevel="0" collapsed="false">
      <c r="A66" s="28"/>
      <c r="E66" s="2"/>
      <c r="G66" s="6" t="str">
        <f aca="false">IF(F66&lt;&gt;0,F66*G$2/(100+G$2)," ")</f>
        <v> </v>
      </c>
      <c r="L66" s="7" t="str">
        <f aca="false">IF(F66&lt;&gt;0,F66-K66," ")</f>
        <v> </v>
      </c>
      <c r="M66" s="8" t="str">
        <f aca="false">IF((F66-K66)&lt;&gt;0,M$1-A66," ")</f>
        <v> </v>
      </c>
    </row>
    <row r="67" customFormat="false" ht="12" hidden="false" customHeight="false" outlineLevel="0" collapsed="false">
      <c r="A67" s="28"/>
      <c r="E67" s="2"/>
      <c r="G67" s="6" t="str">
        <f aca="false">IF(F67&lt;&gt;0,F67*G$2/(100+G$2)," ")</f>
        <v> </v>
      </c>
      <c r="L67" s="7" t="str">
        <f aca="false">IF(F67&lt;&gt;0,F67-K67," ")</f>
        <v> </v>
      </c>
      <c r="M67" s="8" t="str">
        <f aca="false">IF((F67-K67)&lt;&gt;0,M$1-A67," ")</f>
        <v> </v>
      </c>
    </row>
    <row r="68" customFormat="false" ht="12" hidden="false" customHeight="false" outlineLevel="0" collapsed="false">
      <c r="A68" s="28"/>
      <c r="E68" s="2"/>
      <c r="G68" s="6" t="str">
        <f aca="false">IF(F68&lt;&gt;0,F68*G$2/(100+G$2)," ")</f>
        <v> </v>
      </c>
      <c r="L68" s="7" t="str">
        <f aca="false">IF(F68&lt;&gt;0,F68-K68," ")</f>
        <v> </v>
      </c>
      <c r="M68" s="8" t="str">
        <f aca="false">IF((F68-K68)&lt;&gt;0,M$1-A68," ")</f>
        <v> </v>
      </c>
    </row>
    <row r="69" customFormat="false" ht="12" hidden="false" customHeight="false" outlineLevel="0" collapsed="false">
      <c r="A69" s="28"/>
      <c r="E69" s="2"/>
      <c r="G69" s="6" t="str">
        <f aca="false">IF(F69&lt;&gt;0,F69*G$2/(100+G$2)," ")</f>
        <v> </v>
      </c>
      <c r="L69" s="7" t="str">
        <f aca="false">IF(F69&lt;&gt;0,F69-K69," ")</f>
        <v> </v>
      </c>
      <c r="M69" s="8" t="str">
        <f aca="false">IF((F69-K69)&lt;&gt;0,M$1-A69," ")</f>
        <v> </v>
      </c>
    </row>
    <row r="70" customFormat="false" ht="12" hidden="false" customHeight="false" outlineLevel="0" collapsed="false">
      <c r="A70" s="28"/>
      <c r="E70" s="2"/>
      <c r="G70" s="6" t="str">
        <f aca="false">IF(F70&lt;&gt;0,F70*G$2/(100+G$2)," ")</f>
        <v> </v>
      </c>
      <c r="L70" s="7" t="str">
        <f aca="false">IF(F70&lt;&gt;0,F70-K70," ")</f>
        <v> </v>
      </c>
      <c r="M70" s="8" t="str">
        <f aca="false">IF((F70-K70)&lt;&gt;0,M$1-A70," ")</f>
        <v> </v>
      </c>
    </row>
    <row r="71" customFormat="false" ht="12" hidden="false" customHeight="false" outlineLevel="0" collapsed="false">
      <c r="A71" s="28"/>
      <c r="E71" s="2"/>
      <c r="G71" s="6" t="str">
        <f aca="false">IF(F71&lt;&gt;0,F71*G$2/(100+G$2)," ")</f>
        <v> </v>
      </c>
      <c r="H71" s="6" t="str">
        <f aca="false">IF((F71&lt;&gt;0),F71-G71," ")</f>
        <v> </v>
      </c>
      <c r="L71" s="7" t="str">
        <f aca="false">IF(F71&lt;&gt;0,F71-K71," ")</f>
        <v> </v>
      </c>
      <c r="M71" s="8" t="str">
        <f aca="false">IF((F71-K71)&lt;&gt;0,M$1-A71," ")</f>
        <v> </v>
      </c>
    </row>
    <row r="72" customFormat="false" ht="12" hidden="false" customHeight="false" outlineLevel="0" collapsed="false">
      <c r="A72" s="28"/>
      <c r="E72" s="2"/>
      <c r="G72" s="6" t="str">
        <f aca="false">IF(F72&lt;&gt;0,F72*G$2/(100+G$2)," ")</f>
        <v> </v>
      </c>
      <c r="H72" s="6" t="str">
        <f aca="false">IF((F72&lt;&gt;0),F72-G72," ")</f>
        <v> </v>
      </c>
      <c r="L72" s="7" t="str">
        <f aca="false">IF(F72&lt;&gt;0,F72-K72," ")</f>
        <v> </v>
      </c>
      <c r="M72" s="8" t="str">
        <f aca="false">IF((F72-K72)&lt;&gt;0,M$1-A72," ")</f>
        <v> </v>
      </c>
    </row>
    <row r="73" customFormat="false" ht="12" hidden="false" customHeight="false" outlineLevel="0" collapsed="false">
      <c r="A73" s="28"/>
      <c r="E73" s="2"/>
      <c r="G73" s="6" t="str">
        <f aca="false">IF(F73&lt;&gt;0,F73*G$2/(100+G$2)," ")</f>
        <v> </v>
      </c>
      <c r="H73" s="6" t="str">
        <f aca="false">IF((F73&lt;&gt;0),F73-G73," ")</f>
        <v> </v>
      </c>
      <c r="L73" s="7" t="str">
        <f aca="false">IF(F73&lt;&gt;0,F73-K73," ")</f>
        <v> </v>
      </c>
      <c r="M73" s="8" t="str">
        <f aca="false">IF((F73-K73)&lt;&gt;0,M$1-A73," ")</f>
        <v> </v>
      </c>
    </row>
    <row r="74" customFormat="false" ht="12" hidden="false" customHeight="false" outlineLevel="0" collapsed="false">
      <c r="A74" s="28"/>
      <c r="E74" s="2"/>
      <c r="G74" s="6" t="str">
        <f aca="false">IF(F74&lt;&gt;0,F74*G$2/(100+G$2)," ")</f>
        <v> </v>
      </c>
      <c r="H74" s="6" t="str">
        <f aca="false">IF((F74&lt;&gt;0),F74-G74," ")</f>
        <v> </v>
      </c>
      <c r="L74" s="7" t="str">
        <f aca="false">IF(F74&lt;&gt;0,F74-K74," ")</f>
        <v> </v>
      </c>
      <c r="M74" s="8" t="str">
        <f aca="false">IF((F74-K74)&lt;&gt;0,M$1-A74," ")</f>
        <v> </v>
      </c>
    </row>
    <row r="75" customFormat="false" ht="12" hidden="false" customHeight="false" outlineLevel="0" collapsed="false">
      <c r="A75" s="28"/>
      <c r="E75" s="2"/>
      <c r="G75" s="6" t="str">
        <f aca="false">IF(F75&lt;&gt;0,F75*G$2/(100+G$2)," ")</f>
        <v> </v>
      </c>
      <c r="H75" s="6" t="str">
        <f aca="false">IF((F75&lt;&gt;0),F75-G75," ")</f>
        <v> </v>
      </c>
      <c r="L75" s="7" t="str">
        <f aca="false">IF(F75&lt;&gt;0,F75-K75," ")</f>
        <v> </v>
      </c>
      <c r="M75" s="8" t="str">
        <f aca="false">IF((F75-K75)&lt;&gt;0,M$1-A75," ")</f>
        <v> </v>
      </c>
    </row>
    <row r="76" customFormat="false" ht="12" hidden="false" customHeight="false" outlineLevel="0" collapsed="false">
      <c r="A76" s="28"/>
      <c r="E76" s="2"/>
      <c r="G76" s="6" t="str">
        <f aca="false">IF(F76&lt;&gt;0,F76*G$2/(100+G$2)," ")</f>
        <v> </v>
      </c>
      <c r="H76" s="6" t="str">
        <f aca="false">IF((F76&lt;&gt;0),F76-G76," ")</f>
        <v> </v>
      </c>
      <c r="L76" s="7" t="str">
        <f aca="false">IF(F76&lt;&gt;0,F76-K76," ")</f>
        <v> </v>
      </c>
      <c r="M76" s="8" t="str">
        <f aca="false">IF((F76-K76)&lt;&gt;0,M$1-A76," ")</f>
        <v> </v>
      </c>
    </row>
    <row r="77" customFormat="false" ht="12" hidden="false" customHeight="false" outlineLevel="0" collapsed="false">
      <c r="A77" s="28"/>
      <c r="E77" s="2"/>
      <c r="G77" s="6" t="str">
        <f aca="false">IF(F77&lt;&gt;0,F77*G$2/(100+G$2)," ")</f>
        <v> </v>
      </c>
      <c r="H77" s="6" t="str">
        <f aca="false">IF((F77&lt;&gt;0),F77-G77," ")</f>
        <v> </v>
      </c>
      <c r="L77" s="7" t="str">
        <f aca="false">IF(F77&lt;&gt;0,F77-K77," ")</f>
        <v> </v>
      </c>
      <c r="M77" s="8" t="str">
        <f aca="false">IF((F77-K77)&lt;&gt;0,M$1-A77," ")</f>
        <v> </v>
      </c>
    </row>
    <row r="78" customFormat="false" ht="12" hidden="false" customHeight="false" outlineLevel="0" collapsed="false">
      <c r="A78" s="28"/>
      <c r="E78" s="2"/>
      <c r="G78" s="6" t="str">
        <f aca="false">IF(F78&lt;&gt;0,F78*G$2/(100+G$2)," ")</f>
        <v> </v>
      </c>
      <c r="H78" s="6" t="str">
        <f aca="false">IF((F78&lt;&gt;0),F78-G78," ")</f>
        <v> </v>
      </c>
      <c r="L78" s="7" t="str">
        <f aca="false">IF(F78&lt;&gt;0,F78-K78," ")</f>
        <v> </v>
      </c>
      <c r="M78" s="8" t="str">
        <f aca="false">IF((F78-K78)&lt;&gt;0,M$1-A78," ")</f>
        <v> </v>
      </c>
    </row>
    <row r="79" customFormat="false" ht="12" hidden="false" customHeight="false" outlineLevel="0" collapsed="false">
      <c r="A79" s="28"/>
      <c r="E79" s="2"/>
      <c r="G79" s="6" t="str">
        <f aca="false">IF(F79&lt;&gt;0,F79*G$2/(100+G$2)," ")</f>
        <v> </v>
      </c>
      <c r="H79" s="6" t="str">
        <f aca="false">IF((F79&lt;&gt;0),F79-G79," ")</f>
        <v> </v>
      </c>
      <c r="L79" s="7" t="str">
        <f aca="false">IF(F79&lt;&gt;0,F79-K79," ")</f>
        <v> </v>
      </c>
      <c r="M79" s="8" t="str">
        <f aca="false">IF((F79-K79)&lt;&gt;0,M$1-A79," ")</f>
        <v> </v>
      </c>
    </row>
    <row r="80" customFormat="false" ht="12" hidden="false" customHeight="false" outlineLevel="0" collapsed="false">
      <c r="A80" s="28"/>
      <c r="E80" s="2"/>
      <c r="G80" s="6" t="str">
        <f aca="false">IF(F80&lt;&gt;0,F80*G$2/(100+G$2)," ")</f>
        <v> </v>
      </c>
      <c r="H80" s="6" t="str">
        <f aca="false">IF((F80&lt;&gt;0),F80-G80," ")</f>
        <v> </v>
      </c>
      <c r="L80" s="7" t="str">
        <f aca="false">IF(F80&lt;&gt;0,F80-K80," ")</f>
        <v> </v>
      </c>
      <c r="M80" s="8" t="str">
        <f aca="false">IF((F80-K80)&lt;&gt;0,M$1-A80," ")</f>
        <v> </v>
      </c>
    </row>
    <row r="81" customFormat="false" ht="12" hidden="false" customHeight="false" outlineLevel="0" collapsed="false">
      <c r="A81" s="28"/>
      <c r="E81" s="2"/>
      <c r="G81" s="6" t="str">
        <f aca="false">IF(F81&lt;&gt;0,F81*G$2/(100+G$2)," ")</f>
        <v> </v>
      </c>
      <c r="H81" s="6" t="str">
        <f aca="false">IF((F81&lt;&gt;0),F81-G81," ")</f>
        <v> </v>
      </c>
      <c r="L81" s="7" t="str">
        <f aca="false">IF(F81&lt;&gt;0,F81-K81," ")</f>
        <v> </v>
      </c>
      <c r="M81" s="8" t="str">
        <f aca="false">IF((F81-K81)&lt;&gt;0,M$1-A81," ")</f>
        <v> </v>
      </c>
    </row>
    <row r="82" customFormat="false" ht="12" hidden="false" customHeight="false" outlineLevel="0" collapsed="false">
      <c r="A82" s="28"/>
      <c r="E82" s="2"/>
      <c r="G82" s="6" t="str">
        <f aca="false">IF(F82&lt;&gt;0,F82*G$2/(100+G$2)," ")</f>
        <v> </v>
      </c>
      <c r="H82" s="6" t="str">
        <f aca="false">IF((F82&lt;&gt;0),F82-G82," ")</f>
        <v> </v>
      </c>
      <c r="L82" s="7" t="str">
        <f aca="false">IF(F82&lt;&gt;0,F82-K82," ")</f>
        <v> </v>
      </c>
      <c r="M82" s="8" t="str">
        <f aca="false">IF((F82-K82)&lt;&gt;0,M$1-A82," ")</f>
        <v> </v>
      </c>
    </row>
    <row r="83" customFormat="false" ht="12" hidden="false" customHeight="false" outlineLevel="0" collapsed="false">
      <c r="A83" s="28"/>
      <c r="E83" s="2"/>
      <c r="G83" s="6" t="str">
        <f aca="false">IF(F83&lt;&gt;0,F83*G$2/(100+G$2)," ")</f>
        <v> </v>
      </c>
      <c r="H83" s="6" t="str">
        <f aca="false">IF((F83&lt;&gt;0),F83-G83," ")</f>
        <v> </v>
      </c>
      <c r="L83" s="7" t="str">
        <f aca="false">IF(F83&lt;&gt;0,F83-K83," ")</f>
        <v> </v>
      </c>
      <c r="M83" s="8" t="str">
        <f aca="false">IF((F83-K83)&lt;&gt;0,M$1-A83," ")</f>
        <v> </v>
      </c>
    </row>
    <row r="84" customFormat="false" ht="12" hidden="false" customHeight="false" outlineLevel="0" collapsed="false">
      <c r="A84" s="28"/>
      <c r="E84" s="2"/>
      <c r="G84" s="6" t="str">
        <f aca="false">IF(F84&lt;&gt;0,F84*G$2/(100+G$2)," ")</f>
        <v> </v>
      </c>
      <c r="H84" s="6" t="str">
        <f aca="false">IF((F84&lt;&gt;0),F84-G84," ")</f>
        <v> </v>
      </c>
      <c r="L84" s="7" t="str">
        <f aca="false">IF(F84&lt;&gt;0,F84-K84," ")</f>
        <v> </v>
      </c>
      <c r="M84" s="8" t="str">
        <f aca="false">IF((F84-K84)&lt;&gt;0,M$1-A84," ")</f>
        <v> </v>
      </c>
    </row>
    <row r="85" customFormat="false" ht="12" hidden="false" customHeight="false" outlineLevel="0" collapsed="false">
      <c r="A85" s="28"/>
      <c r="E85" s="2"/>
      <c r="G85" s="6" t="str">
        <f aca="false">IF(F85&lt;&gt;0,F85*G$2/(100+G$2)," ")</f>
        <v> </v>
      </c>
      <c r="H85" s="6" t="str">
        <f aca="false">IF((F85&lt;&gt;0),F85-G85," ")</f>
        <v> </v>
      </c>
      <c r="L85" s="7" t="str">
        <f aca="false">IF(F85&lt;&gt;0,F85-K85," ")</f>
        <v> </v>
      </c>
      <c r="M85" s="8" t="str">
        <f aca="false">IF((F85-K85)&lt;&gt;0,M$1-A85," ")</f>
        <v> </v>
      </c>
    </row>
    <row r="86" customFormat="false" ht="12" hidden="false" customHeight="false" outlineLevel="0" collapsed="false">
      <c r="A86" s="28"/>
      <c r="E86" s="2"/>
      <c r="G86" s="6" t="str">
        <f aca="false">IF(F86&lt;&gt;0,F86*G$2/(100+G$2)," ")</f>
        <v> </v>
      </c>
      <c r="H86" s="6" t="str">
        <f aca="false">IF((F86&lt;&gt;0),F86-G86," ")</f>
        <v> </v>
      </c>
      <c r="L86" s="7" t="str">
        <f aca="false">IF(F86&lt;&gt;0,F86-K86," ")</f>
        <v> </v>
      </c>
      <c r="M86" s="8" t="str">
        <f aca="false">IF((F86-K86)&lt;&gt;0,M$1-A86," ")</f>
        <v> </v>
      </c>
    </row>
    <row r="87" customFormat="false" ht="12" hidden="false" customHeight="false" outlineLevel="0" collapsed="false">
      <c r="A87" s="28"/>
      <c r="E87" s="2"/>
      <c r="G87" s="6" t="str">
        <f aca="false">IF(F87&lt;&gt;0,F87*G$2/(100+G$2)," ")</f>
        <v> </v>
      </c>
      <c r="H87" s="6" t="str">
        <f aca="false">IF((F87&lt;&gt;0),F87-G87," ")</f>
        <v> </v>
      </c>
      <c r="L87" s="7" t="str">
        <f aca="false">IF(F87&lt;&gt;0,F87-K87," ")</f>
        <v> </v>
      </c>
      <c r="M87" s="8" t="str">
        <f aca="false">IF((F87-K87)&lt;&gt;0,M$1-A87," ")</f>
        <v> </v>
      </c>
    </row>
    <row r="88" customFormat="false" ht="12" hidden="false" customHeight="false" outlineLevel="0" collapsed="false">
      <c r="A88" s="28"/>
      <c r="E88" s="2"/>
      <c r="G88" s="6" t="str">
        <f aca="false">IF(F88&lt;&gt;0,F88*G$2/(100+G$2)," ")</f>
        <v> </v>
      </c>
      <c r="H88" s="6" t="str">
        <f aca="false">IF((F88&lt;&gt;0),F88-G88," ")</f>
        <v> </v>
      </c>
      <c r="L88" s="7" t="str">
        <f aca="false">IF(F88&lt;&gt;0,F88-K88," ")</f>
        <v> </v>
      </c>
      <c r="M88" s="8" t="str">
        <f aca="false">IF((F88-K88)&lt;&gt;0,M$1-A88," ")</f>
        <v> </v>
      </c>
    </row>
    <row r="89" customFormat="false" ht="12" hidden="false" customHeight="false" outlineLevel="0" collapsed="false">
      <c r="A89" s="28"/>
      <c r="E89" s="2"/>
      <c r="G89" s="6" t="str">
        <f aca="false">IF(F89&lt;&gt;0,F89*G$2/(100+G$2)," ")</f>
        <v> </v>
      </c>
      <c r="H89" s="6" t="str">
        <f aca="false">IF((F89&lt;&gt;0),F89-G89," ")</f>
        <v> </v>
      </c>
      <c r="L89" s="7" t="str">
        <f aca="false">IF(F89&lt;&gt;0,F89-K89," ")</f>
        <v> </v>
      </c>
      <c r="M89" s="8" t="str">
        <f aca="false">IF((F89-K89)&lt;&gt;0,M$1-A89," ")</f>
        <v> </v>
      </c>
    </row>
    <row r="90" customFormat="false" ht="12" hidden="false" customHeight="false" outlineLevel="0" collapsed="false">
      <c r="A90" s="28"/>
      <c r="E90" s="2"/>
      <c r="G90" s="6" t="str">
        <f aca="false">IF(F90&lt;&gt;0,F90*G$2/(100+G$2)," ")</f>
        <v> </v>
      </c>
      <c r="H90" s="6" t="str">
        <f aca="false">IF((F90&lt;&gt;0),F90-G90," ")</f>
        <v> </v>
      </c>
      <c r="L90" s="7" t="str">
        <f aca="false">IF(F90&lt;&gt;0,F90-K90," ")</f>
        <v> </v>
      </c>
      <c r="M90" s="8" t="str">
        <f aca="false">IF((F90-K90)&lt;&gt;0,M$1-A90," ")</f>
        <v> </v>
      </c>
    </row>
    <row r="91" customFormat="false" ht="12" hidden="false" customHeight="false" outlineLevel="0" collapsed="false">
      <c r="A91" s="28"/>
      <c r="E91" s="2"/>
      <c r="G91" s="6" t="str">
        <f aca="false">IF(F91&lt;&gt;0,F91*G$2/(100+G$2)," ")</f>
        <v> </v>
      </c>
      <c r="H91" s="6" t="str">
        <f aca="false">IF((F91&lt;&gt;0),F91-G91," ")</f>
        <v> </v>
      </c>
      <c r="L91" s="7" t="str">
        <f aca="false">IF(F91&lt;&gt;0,F91-K91," ")</f>
        <v> </v>
      </c>
      <c r="M91" s="8" t="str">
        <f aca="false">IF((F91-K91)&lt;&gt;0,M$1-A91," ")</f>
        <v> </v>
      </c>
    </row>
    <row r="92" customFormat="false" ht="12" hidden="false" customHeight="false" outlineLevel="0" collapsed="false">
      <c r="A92" s="28"/>
      <c r="E92" s="2"/>
      <c r="G92" s="6" t="str">
        <f aca="false">IF(F92&lt;&gt;0,F92*G$2/(100+G$2)," ")</f>
        <v> </v>
      </c>
      <c r="H92" s="6" t="str">
        <f aca="false">IF((F92&lt;&gt;0),F92-G92," ")</f>
        <v> </v>
      </c>
      <c r="L92" s="7" t="str">
        <f aca="false">IF(F92&lt;&gt;0,F92-K92," ")</f>
        <v> </v>
      </c>
      <c r="M92" s="8" t="str">
        <f aca="false">IF((F92-K92)&lt;&gt;0,M$1-A92," ")</f>
        <v> </v>
      </c>
    </row>
    <row r="93" customFormat="false" ht="12" hidden="false" customHeight="false" outlineLevel="0" collapsed="false">
      <c r="A93" s="28"/>
      <c r="E93" s="2"/>
      <c r="G93" s="6" t="str">
        <f aca="false">IF(F93&lt;&gt;0,F93*G$2/(100+G$2)," ")</f>
        <v> </v>
      </c>
      <c r="H93" s="6" t="str">
        <f aca="false">IF((F93&lt;&gt;0),F93-G93," ")</f>
        <v> </v>
      </c>
      <c r="L93" s="7" t="str">
        <f aca="false">IF(F93&lt;&gt;0,F93-K93," ")</f>
        <v> </v>
      </c>
      <c r="M93" s="8" t="str">
        <f aca="false">IF((F93-K93)&lt;&gt;0,M$1-A93," ")</f>
        <v> </v>
      </c>
    </row>
    <row r="94" customFormat="false" ht="12" hidden="false" customHeight="false" outlineLevel="0" collapsed="false">
      <c r="A94" s="28"/>
      <c r="E94" s="2"/>
      <c r="G94" s="6" t="str">
        <f aca="false">IF(F94&lt;&gt;0,F94*G$2/(100+G$2)," ")</f>
        <v> </v>
      </c>
      <c r="H94" s="6" t="str">
        <f aca="false">IF((F94&lt;&gt;0),F94-G94," ")</f>
        <v> </v>
      </c>
      <c r="L94" s="7" t="str">
        <f aca="false">IF(F94&lt;&gt;0,F94-K94," ")</f>
        <v> </v>
      </c>
      <c r="M94" s="8" t="str">
        <f aca="false">IF((F94-K94)&lt;&gt;0,M$1-A94," ")</f>
        <v> </v>
      </c>
    </row>
    <row r="95" customFormat="false" ht="12" hidden="false" customHeight="false" outlineLevel="0" collapsed="false">
      <c r="A95" s="28"/>
      <c r="E95" s="2"/>
      <c r="G95" s="6" t="str">
        <f aca="false">IF(F95&lt;&gt;0,F95*G$2/(100+G$2)," ")</f>
        <v> </v>
      </c>
      <c r="H95" s="6" t="str">
        <f aca="false">IF((F95&lt;&gt;0),F95-G95," ")</f>
        <v> </v>
      </c>
      <c r="L95" s="7" t="str">
        <f aca="false">IF(F95&lt;&gt;0,F95-K95," ")</f>
        <v> </v>
      </c>
      <c r="M95" s="8" t="str">
        <f aca="false">IF((F95-K95)&lt;&gt;0,M$1-A95," ")</f>
        <v> </v>
      </c>
    </row>
    <row r="96" customFormat="false" ht="12" hidden="false" customHeight="false" outlineLevel="0" collapsed="false">
      <c r="A96" s="28"/>
      <c r="E96" s="2"/>
      <c r="G96" s="6" t="str">
        <f aca="false">IF(F96&lt;&gt;0,F96*G$2/(100+G$2)," ")</f>
        <v> </v>
      </c>
      <c r="H96" s="6" t="str">
        <f aca="false">IF((F96&lt;&gt;0),F96-G96," ")</f>
        <v> </v>
      </c>
      <c r="L96" s="7" t="str">
        <f aca="false">IF(F96&lt;&gt;0,F96-K96," ")</f>
        <v> </v>
      </c>
      <c r="M96" s="8" t="str">
        <f aca="false">IF((F96-K96)&lt;&gt;0,M$1-A96," ")</f>
        <v> </v>
      </c>
    </row>
    <row r="97" customFormat="false" ht="12" hidden="false" customHeight="false" outlineLevel="0" collapsed="false">
      <c r="A97" s="28"/>
      <c r="E97" s="2"/>
      <c r="G97" s="6" t="str">
        <f aca="false">IF(F97&lt;&gt;0,F97*G$2/(100+G$2)," ")</f>
        <v> </v>
      </c>
      <c r="H97" s="6" t="str">
        <f aca="false">IF((F97&lt;&gt;0),F97-G97," ")</f>
        <v> </v>
      </c>
      <c r="L97" s="7" t="str">
        <f aca="false">IF(F97&lt;&gt;0,F97-K97," ")</f>
        <v> </v>
      </c>
      <c r="M97" s="8" t="str">
        <f aca="false">IF((F97-K97)&lt;&gt;0,M$1-A97," ")</f>
        <v> </v>
      </c>
    </row>
    <row r="98" customFormat="false" ht="12" hidden="false" customHeight="false" outlineLevel="0" collapsed="false">
      <c r="A98" s="28"/>
      <c r="E98" s="2"/>
      <c r="G98" s="6" t="str">
        <f aca="false">IF(F98&lt;&gt;0,F98*G$2/(100+G$2)," ")</f>
        <v> </v>
      </c>
      <c r="H98" s="6" t="str">
        <f aca="false">IF((F98&lt;&gt;0),F98-G98," ")</f>
        <v> </v>
      </c>
      <c r="L98" s="7" t="str">
        <f aca="false">IF(F98&lt;&gt;0,F98-K98," ")</f>
        <v> </v>
      </c>
      <c r="M98" s="8" t="str">
        <f aca="false">IF((F98-K98)&lt;&gt;0,M$1-A98," ")</f>
        <v> </v>
      </c>
    </row>
    <row r="99" customFormat="false" ht="12" hidden="false" customHeight="false" outlineLevel="0" collapsed="false">
      <c r="A99" s="28"/>
      <c r="E99" s="2"/>
      <c r="G99" s="6" t="str">
        <f aca="false">IF(F99&lt;&gt;0,F99*G$2/(100+G$2)," ")</f>
        <v> </v>
      </c>
      <c r="H99" s="6" t="str">
        <f aca="false">IF((F99&lt;&gt;0),F99-G99," ")</f>
        <v> </v>
      </c>
      <c r="L99" s="7" t="str">
        <f aca="false">IF(F99&lt;&gt;0,F99-K99," ")</f>
        <v> </v>
      </c>
      <c r="M99" s="8" t="str">
        <f aca="false">IF((F99-K99)&lt;&gt;0,M$1-A99," ")</f>
        <v> </v>
      </c>
    </row>
    <row r="100" customFormat="false" ht="12" hidden="false" customHeight="false" outlineLevel="0" collapsed="false">
      <c r="A100" s="28"/>
      <c r="E100" s="2"/>
      <c r="G100" s="6" t="str">
        <f aca="false">IF(F100&lt;&gt;0,F100*G$2/(100+G$2)," ")</f>
        <v> </v>
      </c>
      <c r="H100" s="6" t="str">
        <f aca="false">IF((F100&lt;&gt;0),F100-G100," ")</f>
        <v> </v>
      </c>
      <c r="L100" s="7" t="str">
        <f aca="false">IF(F100&lt;&gt;0,F100-K100," ")</f>
        <v> </v>
      </c>
      <c r="M100" s="8" t="str">
        <f aca="false">IF((F100-K100)&lt;&gt;0,M$1-A100," ")</f>
        <v> </v>
      </c>
    </row>
    <row r="101" customFormat="false" ht="12" hidden="false" customHeight="false" outlineLevel="0" collapsed="false">
      <c r="A101" s="28"/>
      <c r="E101" s="2"/>
      <c r="G101" s="6" t="str">
        <f aca="false">IF(F101&lt;&gt;0,F101*G$2/(100+G$2)," ")</f>
        <v> </v>
      </c>
      <c r="H101" s="6" t="str">
        <f aca="false">IF((F101&lt;&gt;0),F101-G101," ")</f>
        <v> </v>
      </c>
      <c r="L101" s="7" t="str">
        <f aca="false">IF(F101&lt;&gt;0,F101-K101," ")</f>
        <v> </v>
      </c>
      <c r="M101" s="8" t="str">
        <f aca="false">IF((F101-K101)&lt;&gt;0,M$1-A101," ")</f>
        <v> </v>
      </c>
    </row>
    <row r="102" customFormat="false" ht="12" hidden="false" customHeight="false" outlineLevel="0" collapsed="false">
      <c r="A102" s="28"/>
      <c r="E102" s="2"/>
      <c r="G102" s="6" t="str">
        <f aca="false">IF(F102&lt;&gt;0,F102*G$2/(100+G$2)," ")</f>
        <v> </v>
      </c>
      <c r="H102" s="6" t="str">
        <f aca="false">IF((F102&lt;&gt;0),F102-G102," ")</f>
        <v> </v>
      </c>
      <c r="L102" s="7" t="str">
        <f aca="false">IF(F102&lt;&gt;0,F102-K102," ")</f>
        <v> </v>
      </c>
      <c r="M102" s="8" t="str">
        <f aca="false">IF((F102-K102)&lt;&gt;0,M$1-A102," ")</f>
        <v> </v>
      </c>
    </row>
    <row r="103" customFormat="false" ht="12" hidden="false" customHeight="false" outlineLevel="0" collapsed="false">
      <c r="A103" s="28"/>
      <c r="E103" s="2"/>
      <c r="G103" s="6" t="str">
        <f aca="false">IF(F103&lt;&gt;0,F103*G$2/(100+G$2)," ")</f>
        <v> </v>
      </c>
      <c r="H103" s="6" t="str">
        <f aca="false">IF((F103&lt;&gt;0),F103-G103," ")</f>
        <v> </v>
      </c>
      <c r="L103" s="7" t="str">
        <f aca="false">IF(F103&lt;&gt;0,F103-K103," ")</f>
        <v> </v>
      </c>
      <c r="M103" s="8" t="str">
        <f aca="false">IF((F103-K103)&lt;&gt;0,M$1-A103," ")</f>
        <v> </v>
      </c>
    </row>
    <row r="104" customFormat="false" ht="12" hidden="false" customHeight="false" outlineLevel="0" collapsed="false">
      <c r="A104" s="28"/>
      <c r="E104" s="2"/>
      <c r="G104" s="6" t="str">
        <f aca="false">IF(F104&lt;&gt;0,F104*G$2/(100+G$2)," ")</f>
        <v> </v>
      </c>
      <c r="H104" s="6" t="str">
        <f aca="false">IF((F104&lt;&gt;0),F104-G104," ")</f>
        <v> </v>
      </c>
      <c r="L104" s="7" t="str">
        <f aca="false">IF(F104&lt;&gt;0,F104-K104," ")</f>
        <v> </v>
      </c>
      <c r="M104" s="8" t="str">
        <f aca="false">IF((F104-K104)&lt;&gt;0,M$1-A104," ")</f>
        <v> </v>
      </c>
    </row>
    <row r="105" customFormat="false" ht="12" hidden="false" customHeight="false" outlineLevel="0" collapsed="false">
      <c r="A105" s="28"/>
      <c r="E105" s="2"/>
      <c r="G105" s="6" t="str">
        <f aca="false">IF(F105&lt;&gt;0,F105*G$2/(100+G$2)," ")</f>
        <v> </v>
      </c>
      <c r="H105" s="6" t="str">
        <f aca="false">IF((F105&lt;&gt;0),F105-G105," ")</f>
        <v> </v>
      </c>
      <c r="L105" s="7" t="str">
        <f aca="false">IF(F105&lt;&gt;0,F105-K105," ")</f>
        <v> </v>
      </c>
      <c r="M105" s="8" t="str">
        <f aca="false">IF((F105-K105)&lt;&gt;0,M$1-A105," ")</f>
        <v> </v>
      </c>
    </row>
    <row r="106" customFormat="false" ht="12" hidden="false" customHeight="false" outlineLevel="0" collapsed="false">
      <c r="A106" s="28"/>
      <c r="E106" s="2"/>
      <c r="G106" s="6" t="str">
        <f aca="false">IF(F106&lt;&gt;0,F106*G$2/(100+G$2)," ")</f>
        <v> </v>
      </c>
      <c r="H106" s="6" t="str">
        <f aca="false">IF((F106&lt;&gt;0),F106-G106," ")</f>
        <v> </v>
      </c>
      <c r="L106" s="7" t="str">
        <f aca="false">IF(F106&lt;&gt;0,F106-K106," ")</f>
        <v> </v>
      </c>
      <c r="M106" s="8" t="str">
        <f aca="false">IF((F106-K106)&lt;&gt;0,M$1-A106," ")</f>
        <v> </v>
      </c>
    </row>
    <row r="107" customFormat="false" ht="12" hidden="false" customHeight="false" outlineLevel="0" collapsed="false">
      <c r="A107" s="28"/>
      <c r="E107" s="2"/>
      <c r="G107" s="6" t="str">
        <f aca="false">IF(F107&lt;&gt;0,F107*G$2/(100+G$2)," ")</f>
        <v> </v>
      </c>
      <c r="H107" s="6" t="str">
        <f aca="false">IF((F107&lt;&gt;0),F107-G107," ")</f>
        <v> </v>
      </c>
      <c r="L107" s="7" t="str">
        <f aca="false">IF(F107&lt;&gt;0,F107-K107," ")</f>
        <v> </v>
      </c>
      <c r="M107" s="8" t="str">
        <f aca="false">IF((F107-K107)&lt;&gt;0,M$1-A107," ")</f>
        <v> </v>
      </c>
    </row>
    <row r="108" customFormat="false" ht="12" hidden="false" customHeight="false" outlineLevel="0" collapsed="false">
      <c r="A108" s="28"/>
      <c r="E108" s="2"/>
      <c r="G108" s="6" t="str">
        <f aca="false">IF(F108&lt;&gt;0,F108*G$2/(100+G$2)," ")</f>
        <v> </v>
      </c>
      <c r="H108" s="6" t="str">
        <f aca="false">IF((F108&lt;&gt;0),F108-G108," ")</f>
        <v> </v>
      </c>
      <c r="L108" s="7" t="str">
        <f aca="false">IF(F108&lt;&gt;0,F108-K108," ")</f>
        <v> </v>
      </c>
      <c r="M108" s="8" t="str">
        <f aca="false">IF((F108-K108)&lt;&gt;0,M$1-A108," ")</f>
        <v> </v>
      </c>
    </row>
    <row r="109" customFormat="false" ht="12" hidden="false" customHeight="false" outlineLevel="0" collapsed="false">
      <c r="A109" s="28"/>
      <c r="E109" s="2"/>
      <c r="G109" s="6" t="str">
        <f aca="false">IF(F109&lt;&gt;0,F109*G$2/(100+G$2)," ")</f>
        <v> </v>
      </c>
      <c r="H109" s="6" t="str">
        <f aca="false">IF((F109&lt;&gt;0),F109-G109," ")</f>
        <v> </v>
      </c>
      <c r="L109" s="7" t="str">
        <f aca="false">IF(F109&lt;&gt;0,F109-K109," ")</f>
        <v> </v>
      </c>
      <c r="M109" s="8" t="str">
        <f aca="false">IF((F109-K109)&lt;&gt;0,M$1-A109," ")</f>
        <v> </v>
      </c>
    </row>
    <row r="110" customFormat="false" ht="12" hidden="false" customHeight="false" outlineLevel="0" collapsed="false">
      <c r="A110" s="28"/>
      <c r="E110" s="2"/>
      <c r="G110" s="6" t="str">
        <f aca="false">IF(F110&lt;&gt;0,F110*G$2/(100+G$2)," ")</f>
        <v> </v>
      </c>
      <c r="H110" s="6" t="str">
        <f aca="false">IF((F110&lt;&gt;0),F110-G110," ")</f>
        <v> </v>
      </c>
      <c r="L110" s="7" t="str">
        <f aca="false">IF(F110&lt;&gt;0,F110-K110," ")</f>
        <v> </v>
      </c>
      <c r="M110" s="8" t="str">
        <f aca="false">IF((F110-K110)&lt;&gt;0,M$1-A110," ")</f>
        <v> </v>
      </c>
    </row>
    <row r="111" customFormat="false" ht="12" hidden="false" customHeight="false" outlineLevel="0" collapsed="false">
      <c r="A111" s="28"/>
      <c r="E111" s="2"/>
      <c r="G111" s="6" t="str">
        <f aca="false">IF(F111&lt;&gt;0,F111*G$2/(100+G$2)," ")</f>
        <v> </v>
      </c>
      <c r="H111" s="6" t="str">
        <f aca="false">IF((F111&lt;&gt;0),F111-G111," ")</f>
        <v> </v>
      </c>
      <c r="L111" s="7" t="str">
        <f aca="false">IF(F111&lt;&gt;0,F111-K111," ")</f>
        <v> </v>
      </c>
      <c r="M111" s="8" t="str">
        <f aca="false">IF((F111-K111)&lt;&gt;0,M$1-A111," ")</f>
        <v> </v>
      </c>
    </row>
    <row r="112" customFormat="false" ht="12" hidden="false" customHeight="false" outlineLevel="0" collapsed="false">
      <c r="A112" s="28"/>
      <c r="E112" s="2"/>
      <c r="G112" s="6" t="str">
        <f aca="false">IF(F112&lt;&gt;0,F112*G$2/(100+G$2)," ")</f>
        <v> </v>
      </c>
      <c r="H112" s="6" t="str">
        <f aca="false">IF((F112&lt;&gt;0),F112-G112," ")</f>
        <v> </v>
      </c>
      <c r="L112" s="7" t="str">
        <f aca="false">IF(F112&lt;&gt;0,F112-K112," ")</f>
        <v> </v>
      </c>
      <c r="M112" s="8" t="str">
        <f aca="false">IF((F112-K112)&lt;&gt;0,M$1-A112," ")</f>
        <v> </v>
      </c>
    </row>
    <row r="113" customFormat="false" ht="12" hidden="false" customHeight="false" outlineLevel="0" collapsed="false">
      <c r="A113" s="28"/>
      <c r="E113" s="2"/>
      <c r="G113" s="6" t="str">
        <f aca="false">IF(F113&lt;&gt;0,F113*G$2/(100+G$2)," ")</f>
        <v> </v>
      </c>
      <c r="H113" s="6" t="str">
        <f aca="false">IF((F113&lt;&gt;0),F113-G113," ")</f>
        <v> </v>
      </c>
      <c r="L113" s="7" t="str">
        <f aca="false">IF(F113&lt;&gt;0,F113-K113," ")</f>
        <v> </v>
      </c>
      <c r="M113" s="8" t="str">
        <f aca="false">IF((F113-K113)&lt;&gt;0,M$1-A113," ")</f>
        <v> </v>
      </c>
    </row>
    <row r="114" customFormat="false" ht="12" hidden="false" customHeight="false" outlineLevel="0" collapsed="false">
      <c r="A114" s="28"/>
      <c r="E114" s="2"/>
      <c r="G114" s="6" t="str">
        <f aca="false">IF(F114&lt;&gt;0,F114*G$2/(100+G$2)," ")</f>
        <v> </v>
      </c>
      <c r="H114" s="6" t="str">
        <f aca="false">IF((F114&lt;&gt;0),F114-G114," ")</f>
        <v> </v>
      </c>
      <c r="L114" s="7" t="str">
        <f aca="false">IF(F114&lt;&gt;0,F114-K114," ")</f>
        <v> </v>
      </c>
      <c r="M114" s="8" t="str">
        <f aca="false">IF((F114-K114)&lt;&gt;0,M$1-A114," ")</f>
        <v> </v>
      </c>
    </row>
    <row r="115" customFormat="false" ht="12" hidden="false" customHeight="false" outlineLevel="0" collapsed="false">
      <c r="A115" s="28"/>
      <c r="E115" s="2"/>
      <c r="G115" s="6" t="str">
        <f aca="false">IF(F115&lt;&gt;0,F115*G$2/(100+G$2)," ")</f>
        <v> </v>
      </c>
      <c r="H115" s="6" t="str">
        <f aca="false">IF((F115&lt;&gt;0),F115-G115," ")</f>
        <v> </v>
      </c>
      <c r="L115" s="7" t="str">
        <f aca="false">IF(F115&lt;&gt;0,F115-K115," ")</f>
        <v> </v>
      </c>
      <c r="M115" s="8" t="str">
        <f aca="false">IF((F115-K115)&lt;&gt;0,M$1-A115," ")</f>
        <v> </v>
      </c>
    </row>
    <row r="116" customFormat="false" ht="12" hidden="false" customHeight="false" outlineLevel="0" collapsed="false">
      <c r="A116" s="28"/>
      <c r="E116" s="2"/>
      <c r="G116" s="6" t="str">
        <f aca="false">IF(F116&lt;&gt;0,F116*G$2/(100+G$2)," ")</f>
        <v> </v>
      </c>
      <c r="H116" s="6" t="str">
        <f aca="false">IF((F116&lt;&gt;0),F116-G116," ")</f>
        <v> </v>
      </c>
      <c r="L116" s="7" t="str">
        <f aca="false">IF(F116&lt;&gt;0,F116-K116," ")</f>
        <v> </v>
      </c>
      <c r="M116" s="8" t="str">
        <f aca="false">IF((F116-K116)&lt;&gt;0,M$1-A116," ")</f>
        <v> </v>
      </c>
    </row>
    <row r="117" customFormat="false" ht="12" hidden="false" customHeight="false" outlineLevel="0" collapsed="false">
      <c r="A117" s="28"/>
      <c r="E117" s="2"/>
      <c r="G117" s="6" t="str">
        <f aca="false">IF(F117&lt;&gt;0,F117*G$2/(100+G$2)," ")</f>
        <v> </v>
      </c>
      <c r="H117" s="6" t="str">
        <f aca="false">IF((F117&lt;&gt;0),F117-G117," ")</f>
        <v> </v>
      </c>
      <c r="L117" s="7" t="str">
        <f aca="false">IF(F117&lt;&gt;0,F117-K117," ")</f>
        <v> </v>
      </c>
      <c r="M117" s="8" t="str">
        <f aca="false">IF((F117-K117)&lt;&gt;0,M$1-A117," ")</f>
        <v> </v>
      </c>
    </row>
    <row r="118" customFormat="false" ht="12" hidden="false" customHeight="false" outlineLevel="0" collapsed="false">
      <c r="A118" s="28"/>
      <c r="E118" s="2"/>
      <c r="G118" s="6" t="str">
        <f aca="false">IF(F118&lt;&gt;0,F118*G$2/(100+G$2)," ")</f>
        <v> </v>
      </c>
      <c r="H118" s="6" t="str">
        <f aca="false">IF((F118&lt;&gt;0),F118-G118," ")</f>
        <v> </v>
      </c>
      <c r="L118" s="7" t="str">
        <f aca="false">IF(F118&lt;&gt;0,F118-K118," ")</f>
        <v> </v>
      </c>
      <c r="M118" s="8" t="str">
        <f aca="false">IF((F118-K118)&lt;&gt;0,M$1-A118," ")</f>
        <v> </v>
      </c>
    </row>
    <row r="119" customFormat="false" ht="12" hidden="false" customHeight="false" outlineLevel="0" collapsed="false">
      <c r="A119" s="28"/>
      <c r="E119" s="2"/>
      <c r="G119" s="6" t="str">
        <f aca="false">IF(F119&lt;&gt;0,F119*G$2/(100+G$2)," ")</f>
        <v> </v>
      </c>
      <c r="H119" s="6" t="str">
        <f aca="false">IF((F119&lt;&gt;0),F119-G119," ")</f>
        <v> </v>
      </c>
      <c r="L119" s="7" t="str">
        <f aca="false">IF(F119&lt;&gt;0,F119-K119," ")</f>
        <v> </v>
      </c>
      <c r="M119" s="8" t="str">
        <f aca="false">IF((F119-K119)&lt;&gt;0,M$1-A119," ")</f>
        <v> </v>
      </c>
    </row>
    <row r="120" customFormat="false" ht="12" hidden="false" customHeight="false" outlineLevel="0" collapsed="false">
      <c r="A120" s="28"/>
      <c r="E120" s="2"/>
      <c r="G120" s="6" t="str">
        <f aca="false">IF(F120&lt;&gt;0,F120*G$2/(100+G$2)," ")</f>
        <v> </v>
      </c>
      <c r="H120" s="6" t="str">
        <f aca="false">IF((F120&lt;&gt;0),F120-G120," ")</f>
        <v> </v>
      </c>
      <c r="L120" s="7" t="str">
        <f aca="false">IF(F120&lt;&gt;0,F120-K120," ")</f>
        <v> </v>
      </c>
      <c r="M120" s="8" t="str">
        <f aca="false">IF((F120-K120)&lt;&gt;0,M$1-A120," ")</f>
        <v> </v>
      </c>
    </row>
    <row r="121" customFormat="false" ht="12" hidden="false" customHeight="false" outlineLevel="0" collapsed="false">
      <c r="A121" s="28"/>
      <c r="E121" s="2"/>
      <c r="G121" s="6" t="str">
        <f aca="false">IF(F121&lt;&gt;0,F121*G$2/(100+G$2)," ")</f>
        <v> </v>
      </c>
      <c r="H121" s="6" t="str">
        <f aca="false">IF((F121&lt;&gt;0),F121-G121," ")</f>
        <v> </v>
      </c>
      <c r="L121" s="7" t="str">
        <f aca="false">IF(F121&lt;&gt;0,F121-K121," ")</f>
        <v> </v>
      </c>
      <c r="M121" s="8" t="str">
        <f aca="false">IF((F121-K121)&lt;&gt;0,M$1-A121," ")</f>
        <v> </v>
      </c>
    </row>
    <row r="122" customFormat="false" ht="12" hidden="false" customHeight="false" outlineLevel="0" collapsed="false">
      <c r="A122" s="28"/>
      <c r="E122" s="2"/>
      <c r="G122" s="6" t="str">
        <f aca="false">IF(F122&lt;&gt;0,F122*G$2/(100+G$2)," ")</f>
        <v> </v>
      </c>
      <c r="H122" s="6" t="str">
        <f aca="false">IF((F122&lt;&gt;0),F122-G122," ")</f>
        <v> </v>
      </c>
      <c r="L122" s="7" t="str">
        <f aca="false">IF(F122&lt;&gt;0,F122-K122," ")</f>
        <v> </v>
      </c>
      <c r="M122" s="8" t="str">
        <f aca="false">IF((F122-K122)&lt;&gt;0,M$1-A122," ")</f>
        <v> </v>
      </c>
    </row>
    <row r="123" customFormat="false" ht="12" hidden="false" customHeight="false" outlineLevel="0" collapsed="false">
      <c r="A123" s="28"/>
      <c r="E123" s="2"/>
      <c r="G123" s="6" t="str">
        <f aca="false">IF(F123&lt;&gt;0,F123*G$2/(100+G$2)," ")</f>
        <v> </v>
      </c>
      <c r="H123" s="6" t="str">
        <f aca="false">IF((F123&lt;&gt;0),F123-G123," ")</f>
        <v> </v>
      </c>
      <c r="L123" s="7" t="str">
        <f aca="false">IF(F123&lt;&gt;0,F123-K123," ")</f>
        <v> </v>
      </c>
      <c r="M123" s="8" t="str">
        <f aca="false">IF((F123-K123)&lt;&gt;0,M$1-A123," ")</f>
        <v> </v>
      </c>
    </row>
    <row r="124" customFormat="false" ht="12" hidden="false" customHeight="false" outlineLevel="0" collapsed="false">
      <c r="A124" s="28"/>
      <c r="E124" s="2"/>
      <c r="G124" s="6" t="str">
        <f aca="false">IF(F124&lt;&gt;0,F124*G$2/(100+G$2)," ")</f>
        <v> </v>
      </c>
      <c r="H124" s="6" t="str">
        <f aca="false">IF((F124&lt;&gt;0),F124-G124," ")</f>
        <v> </v>
      </c>
      <c r="L124" s="7" t="str">
        <f aca="false">IF(F124&lt;&gt;0,F124-K124," ")</f>
        <v> </v>
      </c>
      <c r="M124" s="8" t="str">
        <f aca="false">IF((F124-K124)&lt;&gt;0,M$1-A124," ")</f>
        <v> </v>
      </c>
    </row>
    <row r="125" customFormat="false" ht="12" hidden="false" customHeight="false" outlineLevel="0" collapsed="false">
      <c r="A125" s="28"/>
      <c r="E125" s="2"/>
      <c r="G125" s="6" t="str">
        <f aca="false">IF(F125&lt;&gt;0,F125*G$2/(100+G$2)," ")</f>
        <v> </v>
      </c>
      <c r="H125" s="6" t="str">
        <f aca="false">IF((F125&lt;&gt;0),F125-G125," ")</f>
        <v> </v>
      </c>
      <c r="L125" s="7" t="str">
        <f aca="false">IF(F125&lt;&gt;0,F125-K125," ")</f>
        <v> </v>
      </c>
      <c r="M125" s="8" t="str">
        <f aca="false">IF((F125-K125)&lt;&gt;0,M$1-A125," ")</f>
        <v> </v>
      </c>
    </row>
    <row r="126" customFormat="false" ht="12" hidden="false" customHeight="false" outlineLevel="0" collapsed="false">
      <c r="A126" s="28"/>
      <c r="E126" s="2"/>
      <c r="G126" s="6" t="str">
        <f aca="false">IF(F126&lt;&gt;0,F126*G$2/(100+G$2)," ")</f>
        <v> </v>
      </c>
      <c r="H126" s="6" t="str">
        <f aca="false">IF((F126&lt;&gt;0),F126-G126," ")</f>
        <v> </v>
      </c>
      <c r="L126" s="7" t="str">
        <f aca="false">IF(F126&lt;&gt;0,F126-K126," ")</f>
        <v> </v>
      </c>
      <c r="M126" s="8" t="str">
        <f aca="false">IF((F126-K126)&lt;&gt;0,M$1-A126," ")</f>
        <v> </v>
      </c>
    </row>
    <row r="127" customFormat="false" ht="12" hidden="false" customHeight="false" outlineLevel="0" collapsed="false">
      <c r="A127" s="28"/>
      <c r="E127" s="2"/>
      <c r="G127" s="6" t="str">
        <f aca="false">IF(F127&lt;&gt;0,F127*G$2/(100+G$2)," ")</f>
        <v> </v>
      </c>
      <c r="H127" s="6" t="str">
        <f aca="false">IF((F127&lt;&gt;0),F127-G127," ")</f>
        <v> </v>
      </c>
      <c r="L127" s="7" t="str">
        <f aca="false">IF(F127&lt;&gt;0,F127-K127," ")</f>
        <v> </v>
      </c>
      <c r="M127" s="8" t="str">
        <f aca="false">IF((F127-K127)&lt;&gt;0,M$1-A127," ")</f>
        <v> </v>
      </c>
    </row>
    <row r="128" customFormat="false" ht="12" hidden="false" customHeight="false" outlineLevel="0" collapsed="false">
      <c r="A128" s="28"/>
      <c r="E128" s="2"/>
      <c r="G128" s="6" t="str">
        <f aca="false">IF(F128&lt;&gt;0,F128*G$2/(100+G$2)," ")</f>
        <v> </v>
      </c>
      <c r="H128" s="6" t="str">
        <f aca="false">IF((F128&lt;&gt;0),F128-G128," ")</f>
        <v> </v>
      </c>
      <c r="L128" s="7" t="str">
        <f aca="false">IF(F128&lt;&gt;0,F128-K128," ")</f>
        <v> </v>
      </c>
      <c r="M128" s="8" t="str">
        <f aca="false">IF((F128-K128)&lt;&gt;0,M$1-A128," ")</f>
        <v> </v>
      </c>
    </row>
    <row r="129" customFormat="false" ht="12" hidden="false" customHeight="false" outlineLevel="0" collapsed="false">
      <c r="A129" s="28"/>
      <c r="E129" s="2"/>
      <c r="G129" s="6" t="str">
        <f aca="false">IF(F129&lt;&gt;0,F129*G$2/(100+G$2)," ")</f>
        <v> </v>
      </c>
      <c r="H129" s="6" t="str">
        <f aca="false">IF((F129&lt;&gt;0),F129-G129," ")</f>
        <v> </v>
      </c>
      <c r="L129" s="7" t="str">
        <f aca="false">IF(F129&lt;&gt;0,F129-K129," ")</f>
        <v> </v>
      </c>
      <c r="M129" s="8" t="str">
        <f aca="false">IF((F129-K129)&lt;&gt;0,M$1-A129," ")</f>
        <v> </v>
      </c>
    </row>
    <row r="130" customFormat="false" ht="12" hidden="false" customHeight="false" outlineLevel="0" collapsed="false">
      <c r="A130" s="28"/>
      <c r="E130" s="2"/>
      <c r="G130" s="6" t="str">
        <f aca="false">IF(F130&lt;&gt;0,F130*G$2/(100+G$2)," ")</f>
        <v> </v>
      </c>
      <c r="H130" s="6" t="str">
        <f aca="false">IF((F130&lt;&gt;0),F130-G130," ")</f>
        <v> </v>
      </c>
      <c r="L130" s="7" t="str">
        <f aca="false">IF(F130&lt;&gt;0,F130-K130," ")</f>
        <v> </v>
      </c>
      <c r="M130" s="8" t="str">
        <f aca="false">IF((F130-K130)&lt;&gt;0,M$1-A130," ")</f>
        <v> </v>
      </c>
    </row>
    <row r="131" customFormat="false" ht="12" hidden="false" customHeight="false" outlineLevel="0" collapsed="false">
      <c r="A131" s="28"/>
      <c r="E131" s="2"/>
      <c r="G131" s="6" t="str">
        <f aca="false">IF(F131&lt;&gt;0,F131*G$2/(100+G$2)," ")</f>
        <v> </v>
      </c>
      <c r="H131" s="6" t="str">
        <f aca="false">IF((F131&lt;&gt;0),F131-G131," ")</f>
        <v> </v>
      </c>
      <c r="L131" s="7" t="str">
        <f aca="false">IF(F131&lt;&gt;0,F131-K131," ")</f>
        <v> </v>
      </c>
      <c r="M131" s="8" t="str">
        <f aca="false">IF((F131-K131)&lt;&gt;0,M$1-A131," ")</f>
        <v> </v>
      </c>
    </row>
    <row r="132" customFormat="false" ht="12" hidden="false" customHeight="false" outlineLevel="0" collapsed="false">
      <c r="A132" s="28"/>
      <c r="E132" s="2"/>
      <c r="G132" s="6" t="str">
        <f aca="false">IF(F132&lt;&gt;0,F132*G$2/(100+G$2)," ")</f>
        <v> </v>
      </c>
      <c r="H132" s="6" t="str">
        <f aca="false">IF((F132&lt;&gt;0),F132-G132," ")</f>
        <v> </v>
      </c>
      <c r="L132" s="7" t="str">
        <f aca="false">IF(F132&lt;&gt;0,F132-K132," ")</f>
        <v> </v>
      </c>
      <c r="M132" s="8" t="str">
        <f aca="false">IF((F132-K132)&lt;&gt;0,M$1-A132," ")</f>
        <v> </v>
      </c>
    </row>
    <row r="133" customFormat="false" ht="12" hidden="false" customHeight="false" outlineLevel="0" collapsed="false">
      <c r="A133" s="28"/>
      <c r="E133" s="2"/>
      <c r="G133" s="6" t="str">
        <f aca="false">IF(F133&lt;&gt;0,F133*G$2/(100+G$2)," ")</f>
        <v> </v>
      </c>
      <c r="H133" s="6" t="str">
        <f aca="false">IF((F133&lt;&gt;0),F133-G133," ")</f>
        <v> </v>
      </c>
      <c r="L133" s="7" t="str">
        <f aca="false">IF(F133&lt;&gt;0,F133-K133," ")</f>
        <v> </v>
      </c>
      <c r="M133" s="8" t="str">
        <f aca="false">IF((F133-K133)&lt;&gt;0,M$1-A133," ")</f>
        <v> </v>
      </c>
    </row>
    <row r="134" customFormat="false" ht="12" hidden="false" customHeight="false" outlineLevel="0" collapsed="false">
      <c r="A134" s="28"/>
      <c r="E134" s="2"/>
      <c r="G134" s="6" t="str">
        <f aca="false">IF(F134&lt;&gt;0,F134*G$2/(100+G$2)," ")</f>
        <v> </v>
      </c>
      <c r="H134" s="6" t="str">
        <f aca="false">IF((F134&lt;&gt;0),F134-G134," ")</f>
        <v> </v>
      </c>
      <c r="L134" s="7" t="str">
        <f aca="false">IF(F134&lt;&gt;0,F134-K134," ")</f>
        <v> </v>
      </c>
      <c r="M134" s="8" t="str">
        <f aca="false">IF((F134-K134)&lt;&gt;0,M$1-A134," ")</f>
        <v> </v>
      </c>
    </row>
    <row r="135" customFormat="false" ht="12" hidden="false" customHeight="false" outlineLevel="0" collapsed="false">
      <c r="A135" s="28"/>
      <c r="E135" s="2"/>
      <c r="G135" s="6" t="str">
        <f aca="false">IF(F135&lt;&gt;0,F135*G$2/(100+G$2)," ")</f>
        <v> </v>
      </c>
      <c r="H135" s="6" t="str">
        <f aca="false">IF((F135&lt;&gt;0),F135-G135," ")</f>
        <v> </v>
      </c>
      <c r="L135" s="7" t="str">
        <f aca="false">IF(F135&lt;&gt;0,F135-K135," ")</f>
        <v> </v>
      </c>
      <c r="M135" s="8" t="str">
        <f aca="false">IF((F135-K135)&lt;&gt;0,M$1-A135," ")</f>
        <v> </v>
      </c>
    </row>
    <row r="136" customFormat="false" ht="12" hidden="false" customHeight="false" outlineLevel="0" collapsed="false">
      <c r="A136" s="28"/>
      <c r="E136" s="2"/>
      <c r="G136" s="6" t="str">
        <f aca="false">IF(F136&lt;&gt;0,F136*G$2/(100+G$2)," ")</f>
        <v> </v>
      </c>
      <c r="H136" s="6" t="str">
        <f aca="false">IF((F136&lt;&gt;0),F136-G136," ")</f>
        <v> </v>
      </c>
      <c r="L136" s="7" t="str">
        <f aca="false">IF(F136&lt;&gt;0,F136-K136," ")</f>
        <v> </v>
      </c>
      <c r="M136" s="8" t="str">
        <f aca="false">IF((F136-K136)&lt;&gt;0,M$1-A136," ")</f>
        <v> </v>
      </c>
    </row>
    <row r="137" customFormat="false" ht="12" hidden="false" customHeight="false" outlineLevel="0" collapsed="false">
      <c r="A137" s="28"/>
      <c r="E137" s="2"/>
      <c r="G137" s="6" t="str">
        <f aca="false">IF(F137&lt;&gt;0,F137*G$2/(100+G$2)," ")</f>
        <v> </v>
      </c>
      <c r="H137" s="6" t="str">
        <f aca="false">IF((F137&lt;&gt;0),F137-G137," ")</f>
        <v> </v>
      </c>
      <c r="L137" s="7" t="str">
        <f aca="false">IF(F137&lt;&gt;0,F137-K137," ")</f>
        <v> </v>
      </c>
      <c r="M137" s="8" t="str">
        <f aca="false">IF((F137-K137)&lt;&gt;0,M$1-A137," ")</f>
        <v> </v>
      </c>
    </row>
    <row r="138" customFormat="false" ht="12" hidden="false" customHeight="false" outlineLevel="0" collapsed="false">
      <c r="A138" s="28"/>
      <c r="E138" s="2"/>
      <c r="G138" s="6" t="str">
        <f aca="false">IF(F138&lt;&gt;0,F138*G$2/(100+G$2)," ")</f>
        <v> </v>
      </c>
      <c r="H138" s="6" t="str">
        <f aca="false">IF((F138&lt;&gt;0),F138-G138," ")</f>
        <v> </v>
      </c>
      <c r="L138" s="7" t="str">
        <f aca="false">IF(F138&lt;&gt;0,F138-K138," ")</f>
        <v> </v>
      </c>
      <c r="M138" s="8" t="str">
        <f aca="false">IF((F138-K138)&lt;&gt;0,M$1-A138," ")</f>
        <v> </v>
      </c>
    </row>
    <row r="139" customFormat="false" ht="12" hidden="false" customHeight="false" outlineLevel="0" collapsed="false">
      <c r="A139" s="28"/>
      <c r="E139" s="2"/>
      <c r="G139" s="6" t="str">
        <f aca="false">IF(F139&lt;&gt;0,F139*G$2/(100+G$2)," ")</f>
        <v> </v>
      </c>
      <c r="H139" s="6" t="str">
        <f aca="false">IF((F139&lt;&gt;0),F139-G139," ")</f>
        <v> </v>
      </c>
      <c r="L139" s="7" t="str">
        <f aca="false">IF(F139&lt;&gt;0,F139-K139," ")</f>
        <v> </v>
      </c>
      <c r="M139" s="8" t="str">
        <f aca="false">IF((F139-K139)&lt;&gt;0,M$1-A139," ")</f>
        <v> </v>
      </c>
    </row>
    <row r="140" customFormat="false" ht="12" hidden="false" customHeight="false" outlineLevel="0" collapsed="false">
      <c r="A140" s="28"/>
      <c r="E140" s="2"/>
      <c r="G140" s="6" t="str">
        <f aca="false">IF(F140&lt;&gt;0,F140*G$2/(100+G$2)," ")</f>
        <v> </v>
      </c>
      <c r="H140" s="6" t="str">
        <f aca="false">IF((F140&lt;&gt;0),F140-G140," ")</f>
        <v> </v>
      </c>
      <c r="L140" s="7" t="str">
        <f aca="false">IF(F140&lt;&gt;0,F140-K140," ")</f>
        <v> </v>
      </c>
      <c r="M140" s="8" t="str">
        <f aca="false">IF((F140-K140)&lt;&gt;0,M$1-A140," ")</f>
        <v> </v>
      </c>
    </row>
    <row r="141" customFormat="false" ht="12" hidden="false" customHeight="false" outlineLevel="0" collapsed="false">
      <c r="A141" s="28"/>
      <c r="E141" s="2"/>
      <c r="G141" s="6" t="str">
        <f aca="false">IF(F141&lt;&gt;0,F141*G$2/(100+G$2)," ")</f>
        <v> </v>
      </c>
      <c r="H141" s="6" t="str">
        <f aca="false">IF((F141&lt;&gt;0),F141-G141," ")</f>
        <v> </v>
      </c>
      <c r="L141" s="7" t="str">
        <f aca="false">IF(F141&lt;&gt;0,F141-K141," ")</f>
        <v> </v>
      </c>
      <c r="M141" s="8" t="str">
        <f aca="false">IF((F141-K141)&lt;&gt;0,M$1-A141," ")</f>
        <v> </v>
      </c>
    </row>
    <row r="142" customFormat="false" ht="12" hidden="false" customHeight="false" outlineLevel="0" collapsed="false">
      <c r="A142" s="28"/>
      <c r="E142" s="2"/>
      <c r="G142" s="6" t="str">
        <f aca="false">IF(F142&lt;&gt;0,F142*G$2/(100+G$2)," ")</f>
        <v> </v>
      </c>
      <c r="H142" s="6" t="str">
        <f aca="false">IF((F142&lt;&gt;0),F142-G142," ")</f>
        <v> </v>
      </c>
      <c r="L142" s="7" t="str">
        <f aca="false">IF(F142&lt;&gt;0,F142-K142," ")</f>
        <v> </v>
      </c>
      <c r="M142" s="8" t="str">
        <f aca="false">IF((F142-K142)&lt;&gt;0,M$1-A142," ")</f>
        <v> </v>
      </c>
    </row>
    <row r="143" customFormat="false" ht="12" hidden="false" customHeight="false" outlineLevel="0" collapsed="false">
      <c r="A143" s="28"/>
      <c r="E143" s="2"/>
      <c r="G143" s="6" t="str">
        <f aca="false">IF(F143&lt;&gt;0,F143*G$2/(100+G$2)," ")</f>
        <v> </v>
      </c>
      <c r="H143" s="6" t="str">
        <f aca="false">IF((F143&lt;&gt;0),F143-G143," ")</f>
        <v> </v>
      </c>
      <c r="L143" s="7" t="str">
        <f aca="false">IF(F143&lt;&gt;0,F143-K143," ")</f>
        <v> </v>
      </c>
      <c r="M143" s="8" t="str">
        <f aca="false">IF((F143-K143)&lt;&gt;0,M$1-A143," ")</f>
        <v> </v>
      </c>
    </row>
    <row r="144" customFormat="false" ht="12" hidden="false" customHeight="false" outlineLevel="0" collapsed="false">
      <c r="A144" s="28"/>
      <c r="E144" s="2"/>
      <c r="G144" s="6" t="str">
        <f aca="false">IF(F144&lt;&gt;0,F144*G$2/(100+G$2)," ")</f>
        <v> </v>
      </c>
      <c r="H144" s="6" t="str">
        <f aca="false">IF((F144&lt;&gt;0),F144-G144," ")</f>
        <v> </v>
      </c>
      <c r="L144" s="7" t="str">
        <f aca="false">IF(F144&lt;&gt;0,F144-K144," ")</f>
        <v> </v>
      </c>
      <c r="M144" s="8" t="str">
        <f aca="false">IF((F144-K144)&lt;&gt;0,M$1-A144," ")</f>
        <v> </v>
      </c>
    </row>
    <row r="145" customFormat="false" ht="12" hidden="false" customHeight="false" outlineLevel="0" collapsed="false">
      <c r="A145" s="28"/>
      <c r="E145" s="2"/>
      <c r="G145" s="6" t="str">
        <f aca="false">IF(F145&lt;&gt;0,F145*G$2/(100+G$2)," ")</f>
        <v> </v>
      </c>
      <c r="H145" s="6" t="str">
        <f aca="false">IF((F145&lt;&gt;0),F145-G145," ")</f>
        <v> </v>
      </c>
      <c r="L145" s="7" t="str">
        <f aca="false">IF(F145&lt;&gt;0,F145-K145," ")</f>
        <v> </v>
      </c>
      <c r="M145" s="8" t="str">
        <f aca="false">IF((F145-K145)&lt;&gt;0,M$1-A145," ")</f>
        <v> </v>
      </c>
    </row>
    <row r="146" customFormat="false" ht="12" hidden="false" customHeight="false" outlineLevel="0" collapsed="false">
      <c r="A146" s="28"/>
      <c r="E146" s="2"/>
      <c r="G146" s="6" t="str">
        <f aca="false">IF(F146&lt;&gt;0,F146*G$2/(100+G$2)," ")</f>
        <v> </v>
      </c>
      <c r="H146" s="6" t="str">
        <f aca="false">IF((F146&lt;&gt;0),F146-G146," ")</f>
        <v> </v>
      </c>
      <c r="L146" s="7" t="str">
        <f aca="false">IF(F146&lt;&gt;0,F146-K146," ")</f>
        <v> </v>
      </c>
      <c r="M146" s="8" t="str">
        <f aca="false">IF((F146-K146)&lt;&gt;0,M$1-A146," ")</f>
        <v> </v>
      </c>
    </row>
    <row r="147" customFormat="false" ht="12" hidden="false" customHeight="false" outlineLevel="0" collapsed="false">
      <c r="A147" s="28"/>
      <c r="E147" s="2"/>
      <c r="G147" s="6" t="str">
        <f aca="false">IF(F147&lt;&gt;0,F147*G$2/(100+G$2)," ")</f>
        <v> </v>
      </c>
      <c r="H147" s="6" t="str">
        <f aca="false">IF((F147&lt;&gt;0),F147-G147," ")</f>
        <v> </v>
      </c>
      <c r="L147" s="7" t="str">
        <f aca="false">IF(F147&lt;&gt;0,F147-K147," ")</f>
        <v> </v>
      </c>
      <c r="M147" s="8" t="str">
        <f aca="false">IF((F147-K147)&lt;&gt;0,M$1-A147," ")</f>
        <v> </v>
      </c>
    </row>
    <row r="148" customFormat="false" ht="12" hidden="false" customHeight="false" outlineLevel="0" collapsed="false">
      <c r="A148" s="28"/>
      <c r="E148" s="2"/>
      <c r="G148" s="6" t="str">
        <f aca="false">IF(F148&lt;&gt;0,F148*G$2/(100+G$2)," ")</f>
        <v> </v>
      </c>
      <c r="H148" s="6" t="str">
        <f aca="false">IF((F148&lt;&gt;0),F148-G148," ")</f>
        <v> </v>
      </c>
      <c r="L148" s="7" t="str">
        <f aca="false">IF(F148&lt;&gt;0,F148-K148," ")</f>
        <v> </v>
      </c>
      <c r="M148" s="8" t="str">
        <f aca="false">IF((F148-K148)&lt;&gt;0,M$1-A148," ")</f>
        <v> </v>
      </c>
    </row>
    <row r="149" customFormat="false" ht="12" hidden="false" customHeight="false" outlineLevel="0" collapsed="false">
      <c r="A149" s="28"/>
      <c r="E149" s="2"/>
      <c r="G149" s="6" t="str">
        <f aca="false">IF(F149&lt;&gt;0,F149*G$2/(100+G$2)," ")</f>
        <v> </v>
      </c>
      <c r="H149" s="6" t="str">
        <f aca="false">IF((F149&lt;&gt;0),F149-G149," ")</f>
        <v> </v>
      </c>
      <c r="L149" s="7" t="str">
        <f aca="false">IF(F149&lt;&gt;0,F149-K149," ")</f>
        <v> </v>
      </c>
      <c r="M149" s="8" t="str">
        <f aca="false">IF((F149-K149)&lt;&gt;0,M$1-A149," ")</f>
        <v> </v>
      </c>
    </row>
    <row r="150" customFormat="false" ht="12" hidden="false" customHeight="false" outlineLevel="0" collapsed="false">
      <c r="A150" s="28"/>
      <c r="E150" s="2"/>
      <c r="G150" s="6" t="str">
        <f aca="false">IF(F150&lt;&gt;0,F150*G$2/(100+G$2)," ")</f>
        <v> </v>
      </c>
      <c r="H150" s="6" t="str">
        <f aca="false">IF((F150&lt;&gt;0),F150-G150," ")</f>
        <v> </v>
      </c>
      <c r="L150" s="7" t="str">
        <f aca="false">IF(F150&lt;&gt;0,F150-K150," ")</f>
        <v> </v>
      </c>
      <c r="M150" s="8" t="str">
        <f aca="false">IF((F150-K150)&lt;&gt;0,M$1-A150," ")</f>
        <v> </v>
      </c>
    </row>
    <row r="151" customFormat="false" ht="12" hidden="false" customHeight="false" outlineLevel="0" collapsed="false">
      <c r="A151" s="28"/>
      <c r="E151" s="2"/>
      <c r="G151" s="6" t="str">
        <f aca="false">IF(F151&lt;&gt;0,F151*G$2/(100+G$2)," ")</f>
        <v> </v>
      </c>
      <c r="H151" s="6" t="str">
        <f aca="false">IF((F151&lt;&gt;0),F151-G151," ")</f>
        <v> </v>
      </c>
      <c r="L151" s="7" t="str">
        <f aca="false">IF(F151&lt;&gt;0,F151-K151," ")</f>
        <v> </v>
      </c>
      <c r="M151" s="8" t="str">
        <f aca="false">IF((F151-K151)&lt;&gt;0,M$1-A151," ")</f>
        <v> </v>
      </c>
    </row>
    <row r="152" customFormat="false" ht="12" hidden="false" customHeight="false" outlineLevel="0" collapsed="false">
      <c r="A152" s="28"/>
      <c r="E152" s="2"/>
      <c r="G152" s="6" t="str">
        <f aca="false">IF(F152&lt;&gt;0,F152*G$2/(100+G$2)," ")</f>
        <v> </v>
      </c>
      <c r="H152" s="6" t="str">
        <f aca="false">IF((F152&lt;&gt;0),F152-G152," ")</f>
        <v> </v>
      </c>
      <c r="L152" s="7" t="str">
        <f aca="false">IF(F152&lt;&gt;0,F152-K152," ")</f>
        <v> </v>
      </c>
      <c r="M152" s="8" t="str">
        <f aca="false">IF((F152-K152)&lt;&gt;0,M$1-A152," ")</f>
        <v> </v>
      </c>
    </row>
    <row r="153" customFormat="false" ht="12" hidden="false" customHeight="false" outlineLevel="0" collapsed="false">
      <c r="A153" s="28"/>
      <c r="E153" s="2"/>
      <c r="G153" s="6" t="str">
        <f aca="false">IF(F153&lt;&gt;0,F153*G$2/(100+G$2)," ")</f>
        <v> </v>
      </c>
      <c r="H153" s="6" t="str">
        <f aca="false">IF((F153&lt;&gt;0),F153-G153," ")</f>
        <v> </v>
      </c>
      <c r="L153" s="7" t="str">
        <f aca="false">IF(F153&lt;&gt;0,F153-K153," ")</f>
        <v> </v>
      </c>
      <c r="M153" s="8" t="str">
        <f aca="false">IF((F153-K153)&lt;&gt;0,M$1-A153," ")</f>
        <v> </v>
      </c>
    </row>
    <row r="154" customFormat="false" ht="12" hidden="false" customHeight="false" outlineLevel="0" collapsed="false">
      <c r="A154" s="28"/>
      <c r="E154" s="2"/>
      <c r="G154" s="6" t="str">
        <f aca="false">IF(F154&lt;&gt;0,F154*G$2/(100+G$2)," ")</f>
        <v> </v>
      </c>
      <c r="H154" s="6" t="str">
        <f aca="false">IF((F154&lt;&gt;0),F154-G154," ")</f>
        <v> </v>
      </c>
      <c r="L154" s="7" t="str">
        <f aca="false">IF(F154&lt;&gt;0,F154-K154," ")</f>
        <v> </v>
      </c>
      <c r="M154" s="8" t="str">
        <f aca="false">IF((F154-K154)&lt;&gt;0,M$1-A154," ")</f>
        <v> </v>
      </c>
    </row>
    <row r="155" customFormat="false" ht="12" hidden="false" customHeight="false" outlineLevel="0" collapsed="false">
      <c r="A155" s="28"/>
      <c r="E155" s="2"/>
      <c r="G155" s="6" t="str">
        <f aca="false">IF(F155&lt;&gt;0,F155*G$2/(100+G$2)," ")</f>
        <v> </v>
      </c>
      <c r="H155" s="6" t="str">
        <f aca="false">IF((F155&lt;&gt;0),F155-G155," ")</f>
        <v> </v>
      </c>
      <c r="L155" s="7" t="str">
        <f aca="false">IF(F155&lt;&gt;0,F155-K155," ")</f>
        <v> </v>
      </c>
      <c r="M155" s="8" t="str">
        <f aca="false">IF((F155-K155)&lt;&gt;0,M$1-A155," ")</f>
        <v> </v>
      </c>
    </row>
    <row r="156" customFormat="false" ht="12" hidden="false" customHeight="false" outlineLevel="0" collapsed="false">
      <c r="A156" s="28"/>
      <c r="E156" s="2"/>
      <c r="G156" s="6" t="str">
        <f aca="false">IF(F156&lt;&gt;0,F156*G$2/(100+G$2)," ")</f>
        <v> </v>
      </c>
      <c r="H156" s="6" t="str">
        <f aca="false">IF((F156&lt;&gt;0),F156-G156," ")</f>
        <v> </v>
      </c>
      <c r="L156" s="7" t="str">
        <f aca="false">IF(F156&lt;&gt;0,F156-K156," ")</f>
        <v> </v>
      </c>
      <c r="M156" s="8" t="str">
        <f aca="false">IF((F156-K156)&lt;&gt;0,M$1-A156," ")</f>
        <v> </v>
      </c>
    </row>
    <row r="157" customFormat="false" ht="12" hidden="false" customHeight="false" outlineLevel="0" collapsed="false">
      <c r="A157" s="28"/>
      <c r="E157" s="2"/>
      <c r="G157" s="6" t="str">
        <f aca="false">IF(F157&lt;&gt;0,F157*G$2/(100+G$2)," ")</f>
        <v> </v>
      </c>
      <c r="H157" s="6" t="str">
        <f aca="false">IF((F157&lt;&gt;0),F157-G157," ")</f>
        <v> </v>
      </c>
      <c r="L157" s="7" t="str">
        <f aca="false">IF(F157&lt;&gt;0,F157-K157," ")</f>
        <v> </v>
      </c>
      <c r="M157" s="8" t="str">
        <f aca="false">IF((F157-K157)&lt;&gt;0,M$1-A157," ")</f>
        <v> </v>
      </c>
    </row>
    <row r="158" customFormat="false" ht="12" hidden="false" customHeight="false" outlineLevel="0" collapsed="false">
      <c r="A158" s="28"/>
      <c r="E158" s="2"/>
      <c r="G158" s="6" t="str">
        <f aca="false">IF(F158&lt;&gt;0,F158*G$2/(100+G$2)," ")</f>
        <v> </v>
      </c>
      <c r="H158" s="6" t="str">
        <f aca="false">IF((F158&lt;&gt;0),F158-G158," ")</f>
        <v> </v>
      </c>
      <c r="L158" s="7" t="str">
        <f aca="false">IF(F158&lt;&gt;0,F158-K158," ")</f>
        <v> </v>
      </c>
      <c r="M158" s="8" t="str">
        <f aca="false">IF((F158-K158)&lt;&gt;0,M$1-A158," ")</f>
        <v> </v>
      </c>
    </row>
    <row r="159" customFormat="false" ht="12" hidden="false" customHeight="false" outlineLevel="0" collapsed="false">
      <c r="A159" s="28"/>
      <c r="E159" s="2"/>
      <c r="G159" s="6" t="str">
        <f aca="false">IF(F159&lt;&gt;0,F159*G$2/(100+G$2)," ")</f>
        <v> </v>
      </c>
      <c r="H159" s="6" t="str">
        <f aca="false">IF((F159&lt;&gt;0),F159-G159," ")</f>
        <v> </v>
      </c>
      <c r="L159" s="7" t="str">
        <f aca="false">IF(F159&lt;&gt;0,F159-K159," ")</f>
        <v> </v>
      </c>
      <c r="M159" s="8" t="str">
        <f aca="false">IF((F159-K159)&lt;&gt;0,M$1-A159," ")</f>
        <v> </v>
      </c>
    </row>
    <row r="160" customFormat="false" ht="12" hidden="false" customHeight="false" outlineLevel="0" collapsed="false">
      <c r="A160" s="28"/>
      <c r="E160" s="2"/>
      <c r="G160" s="6" t="str">
        <f aca="false">IF(F160&lt;&gt;0,F160*G$2/(100+G$2)," ")</f>
        <v> </v>
      </c>
      <c r="H160" s="6" t="str">
        <f aca="false">IF((F160&lt;&gt;0),F160-G160," ")</f>
        <v> </v>
      </c>
      <c r="L160" s="7" t="str">
        <f aca="false">IF(F160&lt;&gt;0,F160-K160," ")</f>
        <v> </v>
      </c>
      <c r="M160" s="8" t="str">
        <f aca="false">IF((F160-K160)&lt;&gt;0,M$1-A160," ")</f>
        <v> </v>
      </c>
    </row>
    <row r="161" customFormat="false" ht="12" hidden="false" customHeight="false" outlineLevel="0" collapsed="false">
      <c r="A161" s="28"/>
      <c r="E161" s="2"/>
      <c r="G161" s="6" t="str">
        <f aca="false">IF(F161&lt;&gt;0,F161*G$2/(100+G$2)," ")</f>
        <v> </v>
      </c>
      <c r="H161" s="6" t="str">
        <f aca="false">IF((F161&lt;&gt;0),F161-G161," ")</f>
        <v> </v>
      </c>
      <c r="L161" s="7" t="str">
        <f aca="false">IF(F161&lt;&gt;0,F161-K161," ")</f>
        <v> </v>
      </c>
      <c r="M161" s="8" t="str">
        <f aca="false">IF((F161-K161)&lt;&gt;0,M$1-A161," ")</f>
        <v> </v>
      </c>
    </row>
    <row r="162" customFormat="false" ht="12" hidden="false" customHeight="false" outlineLevel="0" collapsed="false">
      <c r="A162" s="28"/>
      <c r="E162" s="2"/>
      <c r="G162" s="6" t="str">
        <f aca="false">IF(F162&lt;&gt;0,F162*G$2/(100+G$2)," ")</f>
        <v> </v>
      </c>
      <c r="H162" s="6" t="str">
        <f aca="false">IF((F162&lt;&gt;0),F162-G162," ")</f>
        <v> </v>
      </c>
      <c r="L162" s="7" t="str">
        <f aca="false">IF(F162&lt;&gt;0,F162-K162," ")</f>
        <v> </v>
      </c>
      <c r="M162" s="8" t="str">
        <f aca="false">IF((F162-K162)&lt;&gt;0,M$1-A162," ")</f>
        <v> </v>
      </c>
    </row>
    <row r="163" customFormat="false" ht="12" hidden="false" customHeight="false" outlineLevel="0" collapsed="false">
      <c r="A163" s="28"/>
      <c r="E163" s="2"/>
      <c r="G163" s="6" t="str">
        <f aca="false">IF(F163&lt;&gt;0,F163*G$2/(100+G$2)," ")</f>
        <v> </v>
      </c>
      <c r="H163" s="6" t="str">
        <f aca="false">IF((F163&lt;&gt;0),F163-G163," ")</f>
        <v> </v>
      </c>
      <c r="L163" s="7" t="str">
        <f aca="false">IF(F163&lt;&gt;0,F163-K163," ")</f>
        <v> </v>
      </c>
      <c r="M163" s="8" t="str">
        <f aca="false">IF((F163-K163)&lt;&gt;0,M$1-A163," ")</f>
        <v> </v>
      </c>
    </row>
    <row r="164" customFormat="false" ht="12" hidden="false" customHeight="false" outlineLevel="0" collapsed="false">
      <c r="A164" s="28"/>
      <c r="E164" s="2"/>
      <c r="G164" s="6" t="str">
        <f aca="false">IF(F164&lt;&gt;0,F164*G$2/(100+G$2)," ")</f>
        <v> </v>
      </c>
      <c r="H164" s="6" t="str">
        <f aca="false">IF((F164&lt;&gt;0),F164-G164," ")</f>
        <v> </v>
      </c>
      <c r="L164" s="7" t="str">
        <f aca="false">IF(F164&lt;&gt;0,F164-K164," ")</f>
        <v> </v>
      </c>
      <c r="M164" s="8" t="str">
        <f aca="false">IF((F164-K164)&lt;&gt;0,M$1-A164," ")</f>
        <v> </v>
      </c>
    </row>
    <row r="165" customFormat="false" ht="12" hidden="false" customHeight="false" outlineLevel="0" collapsed="false">
      <c r="A165" s="28"/>
      <c r="E165" s="2"/>
      <c r="G165" s="6" t="str">
        <f aca="false">IF(F165&lt;&gt;0,F165*G$2/(100+G$2)," ")</f>
        <v> </v>
      </c>
      <c r="H165" s="6" t="str">
        <f aca="false">IF((F165&lt;&gt;0),F165-G165," ")</f>
        <v> </v>
      </c>
      <c r="L165" s="7" t="str">
        <f aca="false">IF(F165&lt;&gt;0,F165-K165," ")</f>
        <v> </v>
      </c>
      <c r="M165" s="8" t="str">
        <f aca="false">IF((F165-K165)&lt;&gt;0,M$1-A165," ")</f>
        <v> </v>
      </c>
    </row>
    <row r="166" customFormat="false" ht="12" hidden="false" customHeight="false" outlineLevel="0" collapsed="false">
      <c r="A166" s="28"/>
      <c r="E166" s="2"/>
      <c r="G166" s="6" t="str">
        <f aca="false">IF(F166&lt;&gt;0,F166*G$2/(100+G$2)," ")</f>
        <v> </v>
      </c>
      <c r="H166" s="6" t="str">
        <f aca="false">IF((F166&lt;&gt;0),F166-G166," ")</f>
        <v> </v>
      </c>
      <c r="L166" s="7" t="str">
        <f aca="false">IF(F166&lt;&gt;0,F166-K166," ")</f>
        <v> </v>
      </c>
      <c r="M166" s="8" t="str">
        <f aca="false">IF((F166-K166)&lt;&gt;0,M$1-A166," ")</f>
        <v> </v>
      </c>
    </row>
    <row r="167" customFormat="false" ht="12" hidden="false" customHeight="false" outlineLevel="0" collapsed="false">
      <c r="A167" s="28"/>
      <c r="E167" s="2"/>
      <c r="G167" s="6" t="str">
        <f aca="false">IF(F167&lt;&gt;0,F167*G$2/(100+G$2)," ")</f>
        <v> </v>
      </c>
      <c r="H167" s="6" t="str">
        <f aca="false">IF((F167&lt;&gt;0),F167-G167," ")</f>
        <v> </v>
      </c>
      <c r="L167" s="7" t="str">
        <f aca="false">IF(F167&lt;&gt;0,F167-K167," ")</f>
        <v> </v>
      </c>
      <c r="M167" s="8" t="str">
        <f aca="false">IF((F167-K167)&lt;&gt;0,M$1-A167," ")</f>
        <v> </v>
      </c>
    </row>
    <row r="168" customFormat="false" ht="12" hidden="false" customHeight="false" outlineLevel="0" collapsed="false">
      <c r="A168" s="28"/>
      <c r="E168" s="2"/>
      <c r="G168" s="6" t="str">
        <f aca="false">IF(F168&lt;&gt;0,F168*G$2/(100+G$2)," ")</f>
        <v> </v>
      </c>
      <c r="H168" s="6" t="str">
        <f aca="false">IF((F168&lt;&gt;0),F168-G168," ")</f>
        <v> </v>
      </c>
      <c r="L168" s="7" t="str">
        <f aca="false">IF(F168&lt;&gt;0,F168-K168," ")</f>
        <v> </v>
      </c>
      <c r="M168" s="8" t="str">
        <f aca="false">IF((F168-K168)&lt;&gt;0,M$1-A168," ")</f>
        <v> </v>
      </c>
    </row>
    <row r="169" customFormat="false" ht="12" hidden="false" customHeight="false" outlineLevel="0" collapsed="false">
      <c r="A169" s="28"/>
      <c r="E169" s="2"/>
      <c r="G169" s="6" t="str">
        <f aca="false">IF(F169&lt;&gt;0,F169*G$2/(100+G$2)," ")</f>
        <v> </v>
      </c>
      <c r="H169" s="6" t="str">
        <f aca="false">IF((F169&lt;&gt;0),F169-G169," ")</f>
        <v> </v>
      </c>
      <c r="L169" s="7" t="str">
        <f aca="false">IF(F169&lt;&gt;0,F169-K169," ")</f>
        <v> </v>
      </c>
      <c r="M169" s="8" t="str">
        <f aca="false">IF((F169-K169)&lt;&gt;0,M$1-A169," ")</f>
        <v> </v>
      </c>
    </row>
    <row r="170" customFormat="false" ht="12" hidden="false" customHeight="false" outlineLevel="0" collapsed="false">
      <c r="A170" s="28"/>
      <c r="E170" s="2"/>
      <c r="G170" s="6" t="str">
        <f aca="false">IF(F170&lt;&gt;0,F170*G$2/(100+G$2)," ")</f>
        <v> </v>
      </c>
      <c r="H170" s="6" t="str">
        <f aca="false">IF((F170&lt;&gt;0),F170-G170," ")</f>
        <v> </v>
      </c>
      <c r="L170" s="7" t="str">
        <f aca="false">IF(F170&lt;&gt;0,F170-K170," ")</f>
        <v> </v>
      </c>
      <c r="M170" s="8" t="str">
        <f aca="false">IF((F170-K170)&lt;&gt;0,M$1-A170," ")</f>
        <v> </v>
      </c>
    </row>
    <row r="171" customFormat="false" ht="12" hidden="false" customHeight="false" outlineLevel="0" collapsed="false">
      <c r="A171" s="28"/>
      <c r="E171" s="2"/>
      <c r="G171" s="6" t="str">
        <f aca="false">IF(F171&lt;&gt;0,F171*G$2/(100+G$2)," ")</f>
        <v> </v>
      </c>
      <c r="H171" s="6" t="str">
        <f aca="false">IF((F171&lt;&gt;0),F171-G171," ")</f>
        <v> </v>
      </c>
      <c r="L171" s="7" t="str">
        <f aca="false">IF(F171&lt;&gt;0,F171-K171," ")</f>
        <v> </v>
      </c>
      <c r="M171" s="8" t="str">
        <f aca="false">IF((F171-K171)&lt;&gt;0,M$1-A171," ")</f>
        <v> </v>
      </c>
    </row>
    <row r="172" customFormat="false" ht="12" hidden="false" customHeight="false" outlineLevel="0" collapsed="false">
      <c r="A172" s="28"/>
      <c r="E172" s="2"/>
      <c r="G172" s="6" t="str">
        <f aca="false">IF(F172&lt;&gt;0,F172*G$2/(100+G$2)," ")</f>
        <v> </v>
      </c>
      <c r="H172" s="6" t="str">
        <f aca="false">IF((F172&lt;&gt;0),F172-G172," ")</f>
        <v> </v>
      </c>
      <c r="L172" s="7" t="str">
        <f aca="false">IF(F172&lt;&gt;0,F172-K172," ")</f>
        <v> </v>
      </c>
      <c r="M172" s="8" t="str">
        <f aca="false">IF((F172-K172)&lt;&gt;0,M$1-A172," ")</f>
        <v> </v>
      </c>
    </row>
    <row r="173" customFormat="false" ht="12" hidden="false" customHeight="false" outlineLevel="0" collapsed="false">
      <c r="A173" s="28"/>
      <c r="E173" s="2"/>
      <c r="G173" s="6" t="str">
        <f aca="false">IF(F173&lt;&gt;0,F173*G$2/(100+G$2)," ")</f>
        <v> </v>
      </c>
      <c r="H173" s="6" t="str">
        <f aca="false">IF((F173&lt;&gt;0),F173-G173," ")</f>
        <v> </v>
      </c>
      <c r="L173" s="7" t="str">
        <f aca="false">IF(F173&lt;&gt;0,F173-K173," ")</f>
        <v> </v>
      </c>
      <c r="M173" s="8" t="str">
        <f aca="false">IF((F173-K173)&lt;&gt;0,M$1-A173," ")</f>
        <v> </v>
      </c>
    </row>
    <row r="174" customFormat="false" ht="12" hidden="false" customHeight="false" outlineLevel="0" collapsed="false">
      <c r="A174" s="28"/>
      <c r="E174" s="2"/>
      <c r="G174" s="6" t="str">
        <f aca="false">IF(F174&lt;&gt;0,F174*G$2/(100+G$2)," ")</f>
        <v> </v>
      </c>
      <c r="H174" s="6" t="str">
        <f aca="false">IF((F174&lt;&gt;0),F174-G174," ")</f>
        <v> </v>
      </c>
      <c r="L174" s="7" t="str">
        <f aca="false">IF(F174&lt;&gt;0,F174-K174," ")</f>
        <v> </v>
      </c>
      <c r="M174" s="8" t="str">
        <f aca="false">IF((F174-K174)&lt;&gt;0,M$1-A174," ")</f>
        <v> </v>
      </c>
    </row>
    <row r="175" customFormat="false" ht="12" hidden="false" customHeight="false" outlineLevel="0" collapsed="false">
      <c r="A175" s="28"/>
      <c r="E175" s="2"/>
      <c r="G175" s="6" t="str">
        <f aca="false">IF(F175&lt;&gt;0,F175*G$2/(100+G$2)," ")</f>
        <v> </v>
      </c>
      <c r="H175" s="6" t="str">
        <f aca="false">IF((F175&lt;&gt;0),F175-G175," ")</f>
        <v> </v>
      </c>
      <c r="L175" s="7" t="str">
        <f aca="false">IF(F175&lt;&gt;0,F175-K175," ")</f>
        <v> </v>
      </c>
      <c r="M175" s="8" t="str">
        <f aca="false">IF((F175-K175)&lt;&gt;0,M$1-A175," ")</f>
        <v> </v>
      </c>
    </row>
    <row r="176" customFormat="false" ht="12" hidden="false" customHeight="false" outlineLevel="0" collapsed="false">
      <c r="A176" s="28"/>
      <c r="E176" s="2"/>
      <c r="G176" s="6" t="str">
        <f aca="false">IF(F176&lt;&gt;0,F176*G$2/(100+G$2)," ")</f>
        <v> </v>
      </c>
      <c r="H176" s="6" t="str">
        <f aca="false">IF((F176&lt;&gt;0),F176-G176," ")</f>
        <v> </v>
      </c>
      <c r="L176" s="7" t="str">
        <f aca="false">IF(F176&lt;&gt;0,F176-K176," ")</f>
        <v> </v>
      </c>
      <c r="M176" s="8" t="str">
        <f aca="false">IF((F176-K176)&lt;&gt;0,M$1-A176," ")</f>
        <v> </v>
      </c>
    </row>
    <row r="177" customFormat="false" ht="12" hidden="false" customHeight="false" outlineLevel="0" collapsed="false">
      <c r="A177" s="28"/>
      <c r="E177" s="2"/>
      <c r="G177" s="6" t="str">
        <f aca="false">IF(F177&lt;&gt;0,F177*G$2/(100+G$2)," ")</f>
        <v> </v>
      </c>
      <c r="H177" s="6" t="str">
        <f aca="false">IF((F177&lt;&gt;0),F177-G177," ")</f>
        <v> </v>
      </c>
      <c r="L177" s="7" t="str">
        <f aca="false">IF(F177&lt;&gt;0,F177-K177," ")</f>
        <v> </v>
      </c>
      <c r="M177" s="8" t="str">
        <f aca="false">IF((F177-K177)&lt;&gt;0,M$1-A177," ")</f>
        <v> </v>
      </c>
    </row>
    <row r="178" customFormat="false" ht="12" hidden="false" customHeight="false" outlineLevel="0" collapsed="false">
      <c r="A178" s="28"/>
      <c r="E178" s="2"/>
      <c r="G178" s="6" t="str">
        <f aca="false">IF(F178&lt;&gt;0,F178*G$2/(100+G$2)," ")</f>
        <v> </v>
      </c>
      <c r="H178" s="6" t="str">
        <f aca="false">IF((F178&lt;&gt;0),F178-G178," ")</f>
        <v> </v>
      </c>
      <c r="L178" s="7" t="str">
        <f aca="false">IF(F178&lt;&gt;0,F178-K178," ")</f>
        <v> </v>
      </c>
      <c r="M178" s="8" t="str">
        <f aca="false">IF((F178-K178)&lt;&gt;0,M$1-A178," ")</f>
        <v> </v>
      </c>
    </row>
    <row r="179" customFormat="false" ht="12" hidden="false" customHeight="false" outlineLevel="0" collapsed="false">
      <c r="A179" s="28"/>
      <c r="E179" s="2"/>
      <c r="G179" s="6" t="str">
        <f aca="false">IF(F179&lt;&gt;0,F179*G$2/(100+G$2)," ")</f>
        <v> </v>
      </c>
      <c r="H179" s="6" t="str">
        <f aca="false">IF((F179&lt;&gt;0),F179-G179," ")</f>
        <v> </v>
      </c>
      <c r="L179" s="7" t="str">
        <f aca="false">IF(F179&lt;&gt;0,F179-K179," ")</f>
        <v> </v>
      </c>
      <c r="M179" s="8" t="str">
        <f aca="false">IF((F179-K179)&lt;&gt;0,M$1-A179," ")</f>
        <v> </v>
      </c>
    </row>
    <row r="180" customFormat="false" ht="12" hidden="false" customHeight="false" outlineLevel="0" collapsed="false">
      <c r="A180" s="28"/>
      <c r="E180" s="2"/>
      <c r="G180" s="6" t="str">
        <f aca="false">IF(F180&lt;&gt;0,F180*G$2/(100+G$2)," ")</f>
        <v> </v>
      </c>
      <c r="H180" s="6" t="str">
        <f aca="false">IF((F180&lt;&gt;0),F180-G180," ")</f>
        <v> </v>
      </c>
      <c r="L180" s="7" t="str">
        <f aca="false">IF(F180&lt;&gt;0,F180-K180," ")</f>
        <v> </v>
      </c>
      <c r="M180" s="8" t="str">
        <f aca="false">IF((F180-K180)&lt;&gt;0,M$1-A180," ")</f>
        <v> </v>
      </c>
    </row>
    <row r="181" customFormat="false" ht="12" hidden="false" customHeight="false" outlineLevel="0" collapsed="false">
      <c r="A181" s="28"/>
      <c r="E181" s="2"/>
      <c r="G181" s="6" t="str">
        <f aca="false">IF(F181&lt;&gt;0,F181*G$2/(100+G$2)," ")</f>
        <v> </v>
      </c>
      <c r="H181" s="6" t="str">
        <f aca="false">IF((F181&lt;&gt;0),F181-G181," ")</f>
        <v> </v>
      </c>
      <c r="L181" s="7" t="str">
        <f aca="false">IF(F181&lt;&gt;0,F181-K181," ")</f>
        <v> </v>
      </c>
      <c r="M181" s="8" t="str">
        <f aca="false">IF((F181-K181)&lt;&gt;0,M$1-A181," ")</f>
        <v> </v>
      </c>
    </row>
    <row r="182" customFormat="false" ht="12" hidden="false" customHeight="false" outlineLevel="0" collapsed="false">
      <c r="A182" s="28"/>
      <c r="E182" s="2"/>
      <c r="G182" s="6" t="str">
        <f aca="false">IF(F182&lt;&gt;0,F182*G$2/(100+G$2)," ")</f>
        <v> </v>
      </c>
      <c r="H182" s="6" t="str">
        <f aca="false">IF((F182&lt;&gt;0),F182-G182," ")</f>
        <v> </v>
      </c>
      <c r="L182" s="7" t="str">
        <f aca="false">IF(F182&lt;&gt;0,F182-K182," ")</f>
        <v> </v>
      </c>
      <c r="M182" s="8" t="str">
        <f aca="false">IF((F182-K182)&lt;&gt;0,M$1-A182," ")</f>
        <v> </v>
      </c>
    </row>
    <row r="183" customFormat="false" ht="12" hidden="false" customHeight="false" outlineLevel="0" collapsed="false">
      <c r="A183" s="28"/>
      <c r="E183" s="2"/>
      <c r="G183" s="6" t="str">
        <f aca="false">IF(F183&lt;&gt;0,F183*G$2/(100+G$2)," ")</f>
        <v> </v>
      </c>
      <c r="H183" s="6" t="str">
        <f aca="false">IF((F183&lt;&gt;0),F183-G183," ")</f>
        <v> </v>
      </c>
      <c r="L183" s="7" t="str">
        <f aca="false">IF(F183&lt;&gt;0,F183-K183," ")</f>
        <v> </v>
      </c>
      <c r="M183" s="8" t="str">
        <f aca="false">IF((F183-K183)&lt;&gt;0,M$1-A183," ")</f>
        <v> </v>
      </c>
    </row>
    <row r="184" customFormat="false" ht="12" hidden="false" customHeight="false" outlineLevel="0" collapsed="false">
      <c r="A184" s="28"/>
      <c r="E184" s="2"/>
      <c r="G184" s="6" t="str">
        <f aca="false">IF(F184&lt;&gt;0,F184*G$2/(100+G$2)," ")</f>
        <v> </v>
      </c>
      <c r="H184" s="6" t="str">
        <f aca="false">IF((F184&lt;&gt;0),F184-G184," ")</f>
        <v> </v>
      </c>
      <c r="L184" s="7" t="str">
        <f aca="false">IF(F184&lt;&gt;0,F184-K184," ")</f>
        <v> </v>
      </c>
      <c r="M184" s="8" t="str">
        <f aca="false">IF((F184-K184)&lt;&gt;0,M$1-A184," ")</f>
        <v> </v>
      </c>
    </row>
    <row r="185" customFormat="false" ht="12" hidden="false" customHeight="false" outlineLevel="0" collapsed="false">
      <c r="A185" s="28"/>
      <c r="E185" s="2"/>
      <c r="G185" s="6" t="str">
        <f aca="false">IF(F185&lt;&gt;0,F185*G$2/(100+G$2)," ")</f>
        <v> </v>
      </c>
      <c r="H185" s="6" t="str">
        <f aca="false">IF((F185&lt;&gt;0),F185-G185," ")</f>
        <v> </v>
      </c>
      <c r="L185" s="7" t="str">
        <f aca="false">IF(F185&lt;&gt;0,F185-K185," ")</f>
        <v> </v>
      </c>
      <c r="M185" s="8" t="str">
        <f aca="false">IF((F185-K185)&lt;&gt;0,M$1-A185," ")</f>
        <v> </v>
      </c>
    </row>
    <row r="186" customFormat="false" ht="12" hidden="false" customHeight="false" outlineLevel="0" collapsed="false">
      <c r="A186" s="28"/>
      <c r="E186" s="2"/>
      <c r="G186" s="6" t="str">
        <f aca="false">IF(F186&lt;&gt;0,F186*G$2/(100+G$2)," ")</f>
        <v> </v>
      </c>
      <c r="H186" s="6" t="str">
        <f aca="false">IF((F186&lt;&gt;0),F186-G186," ")</f>
        <v> </v>
      </c>
      <c r="L186" s="7" t="str">
        <f aca="false">IF(F186&lt;&gt;0,F186-K186," ")</f>
        <v> </v>
      </c>
      <c r="M186" s="8" t="str">
        <f aca="false">IF((F186-K186)&lt;&gt;0,M$1-A186," ")</f>
        <v> </v>
      </c>
    </row>
    <row r="187" customFormat="false" ht="12" hidden="false" customHeight="false" outlineLevel="0" collapsed="false">
      <c r="A187" s="28"/>
      <c r="E187" s="2"/>
      <c r="G187" s="6" t="str">
        <f aca="false">IF(F187&lt;&gt;0,F187*G$2/(100+G$2)," ")</f>
        <v> </v>
      </c>
      <c r="H187" s="6" t="str">
        <f aca="false">IF((F187&lt;&gt;0),F187-G187," ")</f>
        <v> </v>
      </c>
      <c r="L187" s="7" t="str">
        <f aca="false">IF(F187&lt;&gt;0,F187-K187," ")</f>
        <v> </v>
      </c>
      <c r="M187" s="8" t="str">
        <f aca="false">IF((F187-K187)&lt;&gt;0,M$1-A187," ")</f>
        <v> </v>
      </c>
    </row>
    <row r="188" customFormat="false" ht="12" hidden="false" customHeight="false" outlineLevel="0" collapsed="false">
      <c r="A188" s="28"/>
      <c r="E188" s="2"/>
      <c r="G188" s="6" t="str">
        <f aca="false">IF(F188&lt;&gt;0,F188*G$2/(100+G$2)," ")</f>
        <v> </v>
      </c>
      <c r="H188" s="6" t="str">
        <f aca="false">IF((F188&lt;&gt;0),F188-G188," ")</f>
        <v> </v>
      </c>
      <c r="L188" s="7" t="str">
        <f aca="false">IF(F188&lt;&gt;0,F188-K188," ")</f>
        <v> </v>
      </c>
      <c r="M188" s="8" t="str">
        <f aca="false">IF((F188-K188)&lt;&gt;0,M$1-A188," ")</f>
        <v> </v>
      </c>
    </row>
    <row r="189" customFormat="false" ht="12" hidden="false" customHeight="false" outlineLevel="0" collapsed="false">
      <c r="A189" s="28"/>
      <c r="E189" s="2"/>
      <c r="G189" s="6" t="str">
        <f aca="false">IF(F189&lt;&gt;0,F189*G$2/(100+G$2)," ")</f>
        <v> </v>
      </c>
      <c r="H189" s="6" t="str">
        <f aca="false">IF((F189&lt;&gt;0),F189-G189," ")</f>
        <v> </v>
      </c>
      <c r="L189" s="7" t="str">
        <f aca="false">IF(F189&lt;&gt;0,F189-K189," ")</f>
        <v> </v>
      </c>
      <c r="M189" s="8" t="str">
        <f aca="false">IF((F189-K189)&lt;&gt;0,M$1-A189," ")</f>
        <v> </v>
      </c>
    </row>
    <row r="190" customFormat="false" ht="12" hidden="false" customHeight="false" outlineLevel="0" collapsed="false">
      <c r="A190" s="28"/>
      <c r="E190" s="2"/>
      <c r="G190" s="6" t="str">
        <f aca="false">IF(F190&lt;&gt;0,F190*G$2/(100+G$2)," ")</f>
        <v> </v>
      </c>
      <c r="H190" s="6" t="str">
        <f aca="false">IF((F190&lt;&gt;0),F190-G190," ")</f>
        <v> </v>
      </c>
      <c r="L190" s="7" t="str">
        <f aca="false">IF(F190&lt;&gt;0,F190-K190," ")</f>
        <v> </v>
      </c>
      <c r="M190" s="8" t="str">
        <f aca="false">IF((F190-K190)&lt;&gt;0,M$1-A190," ")</f>
        <v> </v>
      </c>
    </row>
    <row r="191" customFormat="false" ht="12" hidden="false" customHeight="false" outlineLevel="0" collapsed="false">
      <c r="A191" s="28"/>
      <c r="E191" s="2"/>
      <c r="G191" s="6" t="str">
        <f aca="false">IF(F191&lt;&gt;0,F191*G$2/(100+G$2)," ")</f>
        <v> </v>
      </c>
      <c r="H191" s="6" t="str">
        <f aca="false">IF((F191&lt;&gt;0),F191-G191," ")</f>
        <v> </v>
      </c>
      <c r="L191" s="7" t="str">
        <f aca="false">IF(F191&lt;&gt;0,F191-K191," ")</f>
        <v> </v>
      </c>
      <c r="M191" s="8" t="str">
        <f aca="false">IF((F191-K191)&lt;&gt;0,M$1-A191," ")</f>
        <v> </v>
      </c>
    </row>
    <row r="192" customFormat="false" ht="12" hidden="false" customHeight="false" outlineLevel="0" collapsed="false">
      <c r="A192" s="28"/>
      <c r="E192" s="2"/>
      <c r="G192" s="6" t="str">
        <f aca="false">IF(F192&lt;&gt;0,F192*G$2/(100+G$2)," ")</f>
        <v> </v>
      </c>
      <c r="H192" s="6" t="str">
        <f aca="false">IF((F192&lt;&gt;0),F192-G192," ")</f>
        <v> </v>
      </c>
      <c r="L192" s="7" t="str">
        <f aca="false">IF(F192&lt;&gt;0,F192-K192," ")</f>
        <v> </v>
      </c>
      <c r="M192" s="8" t="str">
        <f aca="false">IF((F192-K192)&lt;&gt;0,M$1-A192," ")</f>
        <v> </v>
      </c>
    </row>
    <row r="193" customFormat="false" ht="12" hidden="false" customHeight="false" outlineLevel="0" collapsed="false">
      <c r="A193" s="28"/>
      <c r="E193" s="2"/>
      <c r="G193" s="6" t="str">
        <f aca="false">IF(F193&lt;&gt;0,F193*G$2/(100+G$2)," ")</f>
        <v> </v>
      </c>
      <c r="H193" s="6" t="str">
        <f aca="false">IF((F193&lt;&gt;0),F193-G193," ")</f>
        <v> </v>
      </c>
      <c r="L193" s="7" t="str">
        <f aca="false">IF(F193&lt;&gt;0,F193-K193," ")</f>
        <v> </v>
      </c>
      <c r="M193" s="8" t="str">
        <f aca="false">IF((F193-K193)&lt;&gt;0,M$1-A193," ")</f>
        <v> </v>
      </c>
    </row>
    <row r="194" customFormat="false" ht="12" hidden="false" customHeight="false" outlineLevel="0" collapsed="false">
      <c r="A194" s="28"/>
      <c r="E194" s="2"/>
      <c r="G194" s="6" t="str">
        <f aca="false">IF(F194&lt;&gt;0,F194*G$2/(100+G$2)," ")</f>
        <v> </v>
      </c>
      <c r="H194" s="6" t="str">
        <f aca="false">IF((F194&lt;&gt;0),F194-G194," ")</f>
        <v> </v>
      </c>
      <c r="L194" s="7" t="str">
        <f aca="false">IF(F194&lt;&gt;0,F194-K194," ")</f>
        <v> </v>
      </c>
      <c r="M194" s="8" t="str">
        <f aca="false">IF((F194-K194)&lt;&gt;0,M$1-A194," ")</f>
        <v> </v>
      </c>
    </row>
    <row r="195" customFormat="false" ht="12" hidden="false" customHeight="false" outlineLevel="0" collapsed="false">
      <c r="A195" s="28"/>
      <c r="E195" s="2"/>
      <c r="G195" s="6" t="str">
        <f aca="false">IF(F195&lt;&gt;0,F195*G$2/(100+G$2)," ")</f>
        <v> </v>
      </c>
      <c r="H195" s="6" t="str">
        <f aca="false">IF((F195&lt;&gt;0),F195-G195," ")</f>
        <v> </v>
      </c>
      <c r="L195" s="7" t="str">
        <f aca="false">IF(F195&lt;&gt;0,F195-K195," ")</f>
        <v> </v>
      </c>
      <c r="M195" s="8" t="str">
        <f aca="false">IF((F195-K195)&lt;&gt;0,M$1-A195," ")</f>
        <v> </v>
      </c>
    </row>
    <row r="196" customFormat="false" ht="12" hidden="false" customHeight="false" outlineLevel="0" collapsed="false">
      <c r="A196" s="28"/>
      <c r="E196" s="2"/>
      <c r="G196" s="6" t="str">
        <f aca="false">IF(F196&lt;&gt;0,F196*G$2/(100+G$2)," ")</f>
        <v> </v>
      </c>
      <c r="H196" s="6" t="str">
        <f aca="false">IF((F196&lt;&gt;0),F196-G196," ")</f>
        <v> </v>
      </c>
      <c r="L196" s="7" t="str">
        <f aca="false">IF(F196&lt;&gt;0,F196-K196," ")</f>
        <v> </v>
      </c>
      <c r="M196" s="8" t="str">
        <f aca="false">IF((F196-K196)&lt;&gt;0,M$1-A196," ")</f>
        <v> </v>
      </c>
    </row>
    <row r="197" customFormat="false" ht="12" hidden="false" customHeight="false" outlineLevel="0" collapsed="false">
      <c r="A197" s="28"/>
      <c r="E197" s="2"/>
      <c r="G197" s="6" t="str">
        <f aca="false">IF(F197&lt;&gt;0,F197*G$2/(100+G$2)," ")</f>
        <v> </v>
      </c>
      <c r="H197" s="6" t="str">
        <f aca="false">IF((F197&lt;&gt;0),F197-G197," ")</f>
        <v> </v>
      </c>
      <c r="L197" s="7" t="str">
        <f aca="false">IF(F197&lt;&gt;0,F197-K197," ")</f>
        <v> </v>
      </c>
      <c r="M197" s="8" t="str">
        <f aca="false">IF((F197-K197)&lt;&gt;0,M$1-A197," ")</f>
        <v> </v>
      </c>
    </row>
    <row r="198" customFormat="false" ht="12" hidden="false" customHeight="false" outlineLevel="0" collapsed="false">
      <c r="A198" s="28"/>
      <c r="E198" s="2"/>
      <c r="G198" s="6" t="str">
        <f aca="false">IF(F198&lt;&gt;0,F198*G$2/(100+G$2)," ")</f>
        <v> </v>
      </c>
      <c r="H198" s="6" t="str">
        <f aca="false">IF((F198&lt;&gt;0),F198-G198," ")</f>
        <v> </v>
      </c>
      <c r="L198" s="7" t="str">
        <f aca="false">IF(F198&lt;&gt;0,F198-K198," ")</f>
        <v> </v>
      </c>
      <c r="M198" s="8" t="str">
        <f aca="false">IF((F198-K198)&lt;&gt;0,M$1-A198," ")</f>
        <v> </v>
      </c>
    </row>
    <row r="199" customFormat="false" ht="12" hidden="false" customHeight="false" outlineLevel="0" collapsed="false">
      <c r="A199" s="28"/>
      <c r="E199" s="2"/>
      <c r="G199" s="6" t="str">
        <f aca="false">IF(F199&lt;&gt;0,F199*G$2/(100+G$2)," ")</f>
        <v> </v>
      </c>
      <c r="H199" s="6" t="str">
        <f aca="false">IF((F199&lt;&gt;0),F199-G199," ")</f>
        <v> </v>
      </c>
      <c r="L199" s="7" t="str">
        <f aca="false">IF(F199&lt;&gt;0,F199-K199," ")</f>
        <v> </v>
      </c>
      <c r="M199" s="8" t="str">
        <f aca="false">IF((F199-K199)&lt;&gt;0,M$1-A199," ")</f>
        <v> </v>
      </c>
    </row>
    <row r="200" customFormat="false" ht="12" hidden="false" customHeight="false" outlineLevel="0" collapsed="false">
      <c r="A200" s="32"/>
      <c r="B200" s="33"/>
      <c r="C200" s="34"/>
      <c r="D200" s="35"/>
      <c r="E200" s="33"/>
      <c r="F200" s="36"/>
      <c r="G200" s="36" t="str">
        <f aca="false">IF(F200&lt;&gt;0,F200*G$2/(100+G$2)," ")</f>
        <v> </v>
      </c>
      <c r="H200" s="36" t="str">
        <f aca="false">IF((F200&lt;&gt;0),F200-G200," ")</f>
        <v> </v>
      </c>
      <c r="J200" s="36"/>
      <c r="K200" s="36"/>
      <c r="L200" s="37" t="str">
        <f aca="false">IF(F200&lt;&gt;0,F200-K200," ")</f>
        <v> </v>
      </c>
      <c r="M200" s="38" t="str">
        <f aca="false">IF((F200-K200)&lt;&gt;0,M$1-A200," ")</f>
        <v> </v>
      </c>
    </row>
  </sheetData>
  <mergeCells count="16">
    <mergeCell ref="A1:B1"/>
    <mergeCell ref="D1:E1"/>
    <mergeCell ref="I1:I4"/>
    <mergeCell ref="J1:J4"/>
    <mergeCell ref="A2:A4"/>
    <mergeCell ref="B2:B4"/>
    <mergeCell ref="C2:C4"/>
    <mergeCell ref="D2:D4"/>
    <mergeCell ref="E2:E4"/>
    <mergeCell ref="F2:F4"/>
    <mergeCell ref="H2:H4"/>
    <mergeCell ref="K2:M2"/>
    <mergeCell ref="G3:G4"/>
    <mergeCell ref="K3:K4"/>
    <mergeCell ref="L3:L4"/>
    <mergeCell ref="M3:M4"/>
  </mergeCells>
  <dataValidations count="1">
    <dataValidation allowBlank="true" error="While dates outside the financial year can be accepted for valid transactions the date may not have been entered in the correct format.&#10;&#10;CORRECT DATE FORMAT IS DD/MM/YY&#10;&#10;Example 25/12/08 then appears as 25-Dec-08&#10;" errorStyle="stop" errorTitle="DATE ERROR" operator="between" showDropDown="false" showErrorMessage="true" showInputMessage="false" sqref="A5:A200" type="date">
      <formula1>38353</formula1>
      <formula2>53327</formula2>
    </dataValidation>
  </dataValidations>
  <printOptions headings="false" gridLines="false" gridLinesSet="true" horizontalCentered="true" verticalCentered="true"/>
  <pageMargins left="0.157638888888889" right="0.157638888888889" top="0.590277777777778" bottom="0.590277777777778" header="0.118055555555556" footer="0.118055555555556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&amp;C&amp;"Arial,Bold"&amp;11OPENING CREDITORS</oddHeader>
    <oddFooter>&amp;L&amp;D  &amp;T&amp;C&amp;P  of  &amp;N&amp;R&amp;F  &amp;A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Z3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625" defaultRowHeight="12" zeroHeight="false" outlineLevelRow="0" outlineLevelCol="0"/>
  <cols>
    <col collapsed="false" customWidth="true" hidden="false" outlineLevel="0" max="1" min="1" style="1" width="8.82"/>
    <col collapsed="false" customWidth="true" hidden="false" outlineLevel="0" max="2" min="2" style="2" width="18.66"/>
    <col collapsed="false" customWidth="true" hidden="false" outlineLevel="0" max="3" min="3" style="3" width="12.66"/>
    <col collapsed="false" customWidth="true" hidden="false" outlineLevel="0" max="4" min="4" style="2" width="14.66"/>
    <col collapsed="false" customWidth="true" hidden="false" outlineLevel="0" max="5" min="5" style="5" width="9.66"/>
    <col collapsed="false" customWidth="true" hidden="false" outlineLevel="0" max="6" min="6" style="6" width="10.5"/>
    <col collapsed="false" customWidth="true" hidden="false" outlineLevel="0" max="7" min="7" style="6" width="9.66"/>
    <col collapsed="false" customWidth="true" hidden="false" outlineLevel="0" max="8" min="8" style="6" width="10.66"/>
    <col collapsed="false" customWidth="true" hidden="false" outlineLevel="0" max="9" min="9" style="6" width="0.82"/>
    <col collapsed="false" customWidth="true" hidden="false" outlineLevel="0" max="10" min="10" style="6" width="9.99"/>
    <col collapsed="false" customWidth="true" hidden="false" outlineLevel="0" max="11" min="11" style="6" width="9.66"/>
    <col collapsed="false" customWidth="true" hidden="false" outlineLevel="0" max="12" min="12" style="7" width="9.66"/>
    <col collapsed="false" customWidth="true" hidden="false" outlineLevel="0" max="13" min="13" style="8" width="9.49"/>
    <col collapsed="false" customWidth="true" hidden="false" outlineLevel="0" max="14" min="14" style="6" width="0.82"/>
    <col collapsed="false" customWidth="true" hidden="false" outlineLevel="0" max="23" min="15" style="17" width="9.66"/>
    <col collapsed="false" customWidth="true" hidden="false" outlineLevel="0" max="28" min="24" style="17" width="10.5"/>
    <col collapsed="false" customWidth="true" hidden="false" outlineLevel="0" max="30" min="29" style="39" width="10.5"/>
    <col collapsed="false" customWidth="true" hidden="false" outlineLevel="0" max="36" min="31" style="17" width="10.5"/>
    <col collapsed="false" customWidth="false" hidden="false" outlineLevel="0" max="37" min="37" style="17" width="9.15"/>
    <col collapsed="false" customWidth="true" hidden="false" outlineLevel="0" max="38" min="38" style="17" width="12.66"/>
    <col collapsed="false" customWidth="false" hidden="false" outlineLevel="0" max="257" min="39" style="2" width="9.15"/>
  </cols>
  <sheetData>
    <row r="1" s="17" customFormat="true" ht="12.75" hidden="false" customHeight="true" outlineLevel="0" collapsed="false">
      <c r="A1" s="40" t="n">
        <f aca="false">F1-G1-SUM(O1:AJ1)</f>
        <v>0</v>
      </c>
      <c r="B1" s="41" t="s">
        <v>22</v>
      </c>
      <c r="C1" s="20" t="s">
        <v>5</v>
      </c>
      <c r="D1" s="42" t="s">
        <v>23</v>
      </c>
      <c r="E1" s="42"/>
      <c r="F1" s="12" t="n">
        <f aca="false">SUM(F5:F300)</f>
        <v>5111.25</v>
      </c>
      <c r="G1" s="12" t="n">
        <f aca="false">SUM(G5:G300)</f>
        <v>851.875</v>
      </c>
      <c r="H1" s="12" t="n">
        <f aca="false">SUM(H5:H300)</f>
        <v>4259.375</v>
      </c>
      <c r="I1" s="13"/>
      <c r="J1" s="14" t="s">
        <v>2</v>
      </c>
      <c r="K1" s="15" t="n">
        <f aca="false">SUM(K5:K300)</f>
        <v>0</v>
      </c>
      <c r="L1" s="15" t="n">
        <f aca="false">SUM(L5:L300)</f>
        <v>5111.25</v>
      </c>
      <c r="M1" s="16" t="n">
        <f aca="true">TODAY()</f>
        <v>46278</v>
      </c>
      <c r="N1" s="13"/>
      <c r="O1" s="12" t="n">
        <f aca="false">SUM(O5:O300)</f>
        <v>500</v>
      </c>
      <c r="P1" s="12" t="n">
        <f aca="false">SUM(P5:P300)</f>
        <v>0</v>
      </c>
      <c r="Q1" s="12" t="n">
        <f aca="false">SUM(Q5:Q300)</f>
        <v>237.5</v>
      </c>
      <c r="R1" s="12" t="n">
        <f aca="false">SUM(R5:R300)</f>
        <v>0</v>
      </c>
      <c r="S1" s="12" t="n">
        <f aca="false">SUM(S5:S300)</f>
        <v>0</v>
      </c>
      <c r="T1" s="12" t="n">
        <f aca="false">SUM(T5:T300)</f>
        <v>1000</v>
      </c>
      <c r="U1" s="12" t="n">
        <f aca="false">SUM(U5:U300)</f>
        <v>0</v>
      </c>
      <c r="V1" s="12" t="n">
        <f aca="false">SUM(V5:V300)</f>
        <v>0</v>
      </c>
      <c r="W1" s="12" t="n">
        <f aca="false">SUM(W5:W300)</f>
        <v>0</v>
      </c>
      <c r="X1" s="12" t="n">
        <f aca="false">SUM(X5:X300)</f>
        <v>100</v>
      </c>
      <c r="Y1" s="12" t="n">
        <f aca="false">SUM(Y5:Y300)</f>
        <v>130.833333333333</v>
      </c>
      <c r="Z1" s="12" t="n">
        <f aca="false">SUM(Z5:Z300)</f>
        <v>0</v>
      </c>
      <c r="AA1" s="12" t="n">
        <f aca="false">SUM(AA5:AA300)</f>
        <v>112.5</v>
      </c>
      <c r="AB1" s="12" t="n">
        <f aca="false">SUM(AB5:AB300)</f>
        <v>76.6666666666667</v>
      </c>
      <c r="AC1" s="12" t="n">
        <f aca="false">SUM(AC5:AC300)</f>
        <v>501.875</v>
      </c>
      <c r="AD1" s="12" t="n">
        <f aca="false">SUM(AD5:AD300)</f>
        <v>1200</v>
      </c>
      <c r="AE1" s="12" t="n">
        <f aca="false">SUM(AE5:AE300)</f>
        <v>150</v>
      </c>
      <c r="AF1" s="12" t="n">
        <f aca="false">SUM(AF5:AF300)</f>
        <v>250</v>
      </c>
      <c r="AG1" s="12" t="n">
        <f aca="false">SUM(AG5:AG300)</f>
        <v>0</v>
      </c>
      <c r="AH1" s="12" t="n">
        <f aca="false">SUM(AH5:AH300)</f>
        <v>0</v>
      </c>
      <c r="AI1" s="12" t="n">
        <f aca="false">SUM(AI5:AI300)</f>
        <v>0</v>
      </c>
      <c r="AJ1" s="12" t="n">
        <f aca="false">SUM(AJ5:AJ300)</f>
        <v>0</v>
      </c>
      <c r="AK1" s="12" t="n">
        <f aca="false">SUM(AK5:AK300)</f>
        <v>0</v>
      </c>
      <c r="AL1" s="43"/>
    </row>
    <row r="2" s="17" customFormat="true" ht="13.5" hidden="false" customHeight="true" outlineLevel="0" collapsed="false">
      <c r="A2" s="18" t="s">
        <v>3</v>
      </c>
      <c r="B2" s="19" t="s">
        <v>4</v>
      </c>
      <c r="C2" s="20"/>
      <c r="D2" s="21" t="s">
        <v>6</v>
      </c>
      <c r="E2" s="21" t="s">
        <v>24</v>
      </c>
      <c r="F2" s="19" t="s">
        <v>7</v>
      </c>
      <c r="G2" s="22" t="n">
        <f aca="false">IF([2]Nov!$G$4&gt;0,0,[2]Nov!$G$2)</f>
        <v>20</v>
      </c>
      <c r="H2" s="19" t="s">
        <v>8</v>
      </c>
      <c r="I2" s="13"/>
      <c r="J2" s="14"/>
      <c r="K2" s="23" t="s">
        <v>9</v>
      </c>
      <c r="L2" s="23"/>
      <c r="M2" s="23"/>
      <c r="N2" s="13"/>
      <c r="O2" s="19" t="s">
        <v>25</v>
      </c>
      <c r="P2" s="19"/>
      <c r="Q2" s="19"/>
      <c r="R2" s="19" t="s">
        <v>26</v>
      </c>
      <c r="S2" s="19" t="s">
        <v>27</v>
      </c>
      <c r="T2" s="19" t="s">
        <v>28</v>
      </c>
      <c r="U2" s="19"/>
      <c r="V2" s="19" t="s">
        <v>29</v>
      </c>
      <c r="W2" s="19" t="s">
        <v>30</v>
      </c>
      <c r="X2" s="19" t="s">
        <v>31</v>
      </c>
      <c r="Y2" s="19" t="s">
        <v>32</v>
      </c>
      <c r="Z2" s="19" t="s">
        <v>33</v>
      </c>
      <c r="AA2" s="19" t="s">
        <v>34</v>
      </c>
      <c r="AB2" s="19" t="s">
        <v>35</v>
      </c>
      <c r="AC2" s="19" t="s">
        <v>36</v>
      </c>
      <c r="AD2" s="19" t="s">
        <v>37</v>
      </c>
      <c r="AE2" s="19" t="s">
        <v>38</v>
      </c>
      <c r="AF2" s="19" t="s">
        <v>39</v>
      </c>
      <c r="AG2" s="19" t="s">
        <v>40</v>
      </c>
      <c r="AH2" s="19" t="s">
        <v>41</v>
      </c>
      <c r="AI2" s="19" t="s">
        <v>42</v>
      </c>
      <c r="AJ2" s="12" t="s">
        <v>43</v>
      </c>
      <c r="AK2" s="19" t="s">
        <v>44</v>
      </c>
      <c r="AL2" s="19"/>
    </row>
    <row r="3" s="26" customFormat="true" ht="34.5" hidden="false" customHeight="true" outlineLevel="0" collapsed="false">
      <c r="A3" s="18"/>
      <c r="B3" s="19"/>
      <c r="C3" s="20"/>
      <c r="D3" s="21"/>
      <c r="E3" s="21"/>
      <c r="F3" s="19"/>
      <c r="G3" s="19" t="s">
        <v>10</v>
      </c>
      <c r="H3" s="19"/>
      <c r="I3" s="13"/>
      <c r="J3" s="14"/>
      <c r="K3" s="24" t="s">
        <v>11</v>
      </c>
      <c r="L3" s="24" t="s">
        <v>12</v>
      </c>
      <c r="M3" s="25" t="s">
        <v>13</v>
      </c>
      <c r="N3" s="13"/>
      <c r="O3" s="21" t="s">
        <v>45</v>
      </c>
      <c r="P3" s="21" t="s">
        <v>46</v>
      </c>
      <c r="Q3" s="21" t="s">
        <v>47</v>
      </c>
      <c r="R3" s="19"/>
      <c r="S3" s="19"/>
      <c r="T3" s="21" t="s">
        <v>48</v>
      </c>
      <c r="U3" s="21" t="s">
        <v>49</v>
      </c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2"/>
      <c r="AK3" s="19" t="s">
        <v>50</v>
      </c>
      <c r="AL3" s="19"/>
    </row>
    <row r="4" s="27" customFormat="true" ht="12.75" hidden="false" customHeight="true" outlineLevel="0" collapsed="false">
      <c r="A4" s="18"/>
      <c r="B4" s="19"/>
      <c r="C4" s="20"/>
      <c r="D4" s="21"/>
      <c r="E4" s="21"/>
      <c r="F4" s="19"/>
      <c r="G4" s="19"/>
      <c r="H4" s="19"/>
      <c r="I4" s="13"/>
      <c r="J4" s="14"/>
      <c r="K4" s="24"/>
      <c r="L4" s="24"/>
      <c r="M4" s="24"/>
      <c r="N4" s="13"/>
      <c r="O4" s="44" t="s">
        <v>51</v>
      </c>
      <c r="P4" s="44" t="s">
        <v>52</v>
      </c>
      <c r="Q4" s="44" t="s">
        <v>53</v>
      </c>
      <c r="R4" s="44" t="s">
        <v>54</v>
      </c>
      <c r="S4" s="44" t="s">
        <v>55</v>
      </c>
      <c r="T4" s="44" t="s">
        <v>56</v>
      </c>
      <c r="U4" s="44" t="s">
        <v>57</v>
      </c>
      <c r="V4" s="44" t="s">
        <v>58</v>
      </c>
      <c r="W4" s="44" t="s">
        <v>59</v>
      </c>
      <c r="X4" s="44" t="s">
        <v>60</v>
      </c>
      <c r="Y4" s="44" t="s">
        <v>61</v>
      </c>
      <c r="Z4" s="44" t="s">
        <v>62</v>
      </c>
      <c r="AA4" s="44" t="s">
        <v>63</v>
      </c>
      <c r="AB4" s="44" t="s">
        <v>64</v>
      </c>
      <c r="AC4" s="45" t="s">
        <v>65</v>
      </c>
      <c r="AD4" s="45" t="s">
        <v>66</v>
      </c>
      <c r="AE4" s="44" t="s">
        <v>67</v>
      </c>
      <c r="AF4" s="44" t="s">
        <v>68</v>
      </c>
      <c r="AG4" s="44" t="s">
        <v>69</v>
      </c>
      <c r="AH4" s="44" t="s">
        <v>70</v>
      </c>
      <c r="AI4" s="44" t="s">
        <v>71</v>
      </c>
      <c r="AJ4" s="12" t="s">
        <v>72</v>
      </c>
      <c r="AK4" s="19" t="s">
        <v>73</v>
      </c>
      <c r="AL4" s="19" t="s">
        <v>74</v>
      </c>
    </row>
    <row r="5" s="5" customFormat="true" ht="12" hidden="false" customHeight="false" outlineLevel="0" collapsed="false">
      <c r="A5" s="28" t="n">
        <v>46327</v>
      </c>
      <c r="B5" s="2" t="s">
        <v>14</v>
      </c>
      <c r="C5" s="3"/>
      <c r="D5" s="2" t="s">
        <v>75</v>
      </c>
      <c r="E5" s="2" t="s">
        <v>76</v>
      </c>
      <c r="F5" s="30" t="n">
        <v>1200</v>
      </c>
      <c r="G5" s="6" t="n">
        <f aca="false">IF(F5&lt;&gt;0,F5*G$2/(100+G$2)," ")</f>
        <v>200</v>
      </c>
      <c r="H5" s="6" t="n">
        <f aca="false">IF((F5&lt;&gt;0),F5-G5," ")</f>
        <v>1000</v>
      </c>
      <c r="J5" s="6"/>
      <c r="K5" s="6"/>
      <c r="L5" s="7" t="n">
        <f aca="false">IF(F5&lt;&gt;0,F5-K5," ")</f>
        <v>1200</v>
      </c>
      <c r="M5" s="8" t="n">
        <f aca="false">IF((F5-K5)&lt;&gt;0,M$1-A5," ")</f>
        <v>-49</v>
      </c>
      <c r="O5" s="17" t="str">
        <f aca="false">IF((E5="s"),H5," ")</f>
        <v> </v>
      </c>
      <c r="P5" s="17" t="str">
        <f aca="false">IF((E5="c"),H5," ")</f>
        <v> </v>
      </c>
      <c r="Q5" s="17" t="str">
        <f aca="false">IF((E5="o"),H5," ")</f>
        <v> </v>
      </c>
      <c r="R5" s="17" t="str">
        <f aca="false">IF((E5="d"),H5," ")</f>
        <v> </v>
      </c>
      <c r="S5" s="17" t="str">
        <f aca="false">IF((E5="w"),H5," ")</f>
        <v> </v>
      </c>
      <c r="T5" s="17" t="n">
        <f aca="false">IF((E5="r"),H5," ")</f>
        <v>1000</v>
      </c>
      <c r="U5" s="17" t="str">
        <f aca="false">IF((E5="p"),H5," ")</f>
        <v> </v>
      </c>
      <c r="V5" s="17" t="str">
        <f aca="false">IF((E5="t"),H5," ")</f>
        <v> </v>
      </c>
      <c r="W5" s="17" t="str">
        <f aca="false">IF((E5="q"),H5," ")</f>
        <v> </v>
      </c>
      <c r="X5" s="17" t="str">
        <f aca="false">IF((E5="m"),H5," ")</f>
        <v> </v>
      </c>
      <c r="Y5" s="17" t="str">
        <f aca="false">IF((E5="u"),H5," ")</f>
        <v> </v>
      </c>
      <c r="Z5" s="17" t="str">
        <f aca="false">IF((E5="a"),H5," ")</f>
        <v> </v>
      </c>
      <c r="AA5" s="17" t="str">
        <f aca="false">IF((E5="g"),H5," ")</f>
        <v> </v>
      </c>
      <c r="AB5" s="17" t="str">
        <f aca="false">IF((E5="h"),H5," ")</f>
        <v> </v>
      </c>
      <c r="AC5" s="30" t="str">
        <f aca="false">IF((E5="v"),H5," ")</f>
        <v> </v>
      </c>
      <c r="AD5" s="30" t="str">
        <f aca="false">IF((E5="n"),H5," ")</f>
        <v> </v>
      </c>
      <c r="AE5" s="17" t="str">
        <f aca="false">IF((E5="f"),H5," ")</f>
        <v> </v>
      </c>
      <c r="AF5" s="17" t="str">
        <f aca="false">IF((E5="l"),H5," ")</f>
        <v> </v>
      </c>
      <c r="AG5" s="17" t="str">
        <f aca="false">IF((E5="y"),H5," ")</f>
        <v> </v>
      </c>
      <c r="AH5" s="17" t="str">
        <f aca="false">IF((E5="z"),H5," ")</f>
        <v> </v>
      </c>
      <c r="AI5" s="17" t="str">
        <f aca="false">IF((E5="fa"),H5," ")</f>
        <v> </v>
      </c>
      <c r="AJ5" s="17" t="str">
        <f aca="false">IF((E5="e"),H5," ")</f>
        <v> </v>
      </c>
      <c r="AK5" s="17"/>
      <c r="AL5" s="17"/>
      <c r="BZ5" s="5" t="s">
        <v>77</v>
      </c>
    </row>
    <row r="6" customFormat="false" ht="12" hidden="false" customHeight="false" outlineLevel="0" collapsed="false">
      <c r="A6" s="28" t="n">
        <v>46327</v>
      </c>
      <c r="B6" s="2" t="s">
        <v>78</v>
      </c>
      <c r="D6" s="2" t="s">
        <v>79</v>
      </c>
      <c r="E6" s="2" t="s">
        <v>80</v>
      </c>
      <c r="F6" s="30" t="n">
        <v>30</v>
      </c>
      <c r="G6" s="6" t="n">
        <f aca="false">IF(F6&lt;&gt;0,F6*G$2/(100+G$2)," ")</f>
        <v>5</v>
      </c>
      <c r="H6" s="6" t="n">
        <f aca="false">IF((F6&lt;&gt;0),F6-G6," ")</f>
        <v>25</v>
      </c>
      <c r="I6" s="5"/>
      <c r="L6" s="7" t="n">
        <f aca="false">IF(F6&lt;&gt;0,F6-K6," ")</f>
        <v>30</v>
      </c>
      <c r="M6" s="8" t="n">
        <f aca="false">IF((F6-K6)&lt;&gt;0,M$1-A6," ")</f>
        <v>-49</v>
      </c>
      <c r="N6" s="5"/>
      <c r="O6" s="17" t="str">
        <f aca="false">IF((E6="s"),H6," ")</f>
        <v> </v>
      </c>
      <c r="P6" s="17" t="str">
        <f aca="false">IF((E6="c"),H6," ")</f>
        <v> </v>
      </c>
      <c r="Q6" s="17" t="str">
        <f aca="false">IF((E6="o"),H6," ")</f>
        <v> </v>
      </c>
      <c r="R6" s="17" t="str">
        <f aca="false">IF((E6="d"),H6," ")</f>
        <v> </v>
      </c>
      <c r="S6" s="17" t="str">
        <f aca="false">IF((E6="w"),H6," ")</f>
        <v> </v>
      </c>
      <c r="T6" s="17" t="str">
        <f aca="false">IF((E6="r"),H6," ")</f>
        <v> </v>
      </c>
      <c r="U6" s="17" t="str">
        <f aca="false">IF((E6="p"),H6," ")</f>
        <v> </v>
      </c>
      <c r="V6" s="17" t="str">
        <f aca="false">IF((E6="t"),H6," ")</f>
        <v> </v>
      </c>
      <c r="W6" s="17" t="str">
        <f aca="false">IF((E6="q"),H6," ")</f>
        <v> </v>
      </c>
      <c r="X6" s="17" t="str">
        <f aca="false">IF((E6="m"),H6," ")</f>
        <v> </v>
      </c>
      <c r="Y6" s="17" t="str">
        <f aca="false">IF((E6="u"),H6," ")</f>
        <v> </v>
      </c>
      <c r="Z6" s="17" t="str">
        <f aca="false">IF((E6="a"),H6," ")</f>
        <v> </v>
      </c>
      <c r="AA6" s="17" t="n">
        <f aca="false">IF((E6="g"),H6," ")</f>
        <v>25</v>
      </c>
      <c r="AB6" s="17" t="str">
        <f aca="false">IF((E6="h"),H6," ")</f>
        <v> </v>
      </c>
      <c r="AC6" s="30" t="str">
        <f aca="false">IF((E6="v"),H6," ")</f>
        <v> </v>
      </c>
      <c r="AD6" s="30" t="str">
        <f aca="false">IF((E6="n"),H6," ")</f>
        <v> </v>
      </c>
      <c r="AE6" s="17" t="str">
        <f aca="false">IF((E6="f"),H6," ")</f>
        <v> </v>
      </c>
      <c r="AF6" s="17" t="str">
        <f aca="false">IF((E6="l"),H6," ")</f>
        <v> </v>
      </c>
      <c r="AG6" s="17" t="str">
        <f aca="false">IF((E6="y"),H6," ")</f>
        <v> </v>
      </c>
      <c r="AH6" s="17" t="str">
        <f aca="false">IF((E6="z"),H6," ")</f>
        <v> </v>
      </c>
      <c r="AI6" s="17" t="str">
        <f aca="false">IF((E6="fa"),H6," ")</f>
        <v> </v>
      </c>
      <c r="AJ6" s="17" t="str">
        <f aca="false">IF((E6="e"),H6," ")</f>
        <v> </v>
      </c>
      <c r="BZ6" s="2" t="s">
        <v>81</v>
      </c>
    </row>
    <row r="7" customFormat="false" ht="12" hidden="false" customHeight="false" outlineLevel="0" collapsed="false">
      <c r="A7" s="28" t="n">
        <v>46327</v>
      </c>
      <c r="B7" s="2" t="s">
        <v>82</v>
      </c>
      <c r="D7" s="2" t="s">
        <v>83</v>
      </c>
      <c r="E7" s="2" t="s">
        <v>80</v>
      </c>
      <c r="F7" s="30" t="n">
        <v>15</v>
      </c>
      <c r="G7" s="6" t="n">
        <f aca="false">IF(F7&lt;&gt;0,F7*G$2/(100+G$2)," ")</f>
        <v>2.5</v>
      </c>
      <c r="H7" s="6" t="n">
        <f aca="false">IF((F7&lt;&gt;0),F7-G7," ")</f>
        <v>12.5</v>
      </c>
      <c r="I7" s="5"/>
      <c r="L7" s="7" t="n">
        <f aca="false">IF(F7&lt;&gt;0,F7-K7," ")</f>
        <v>15</v>
      </c>
      <c r="M7" s="8" t="n">
        <f aca="false">IF((F7-K7)&lt;&gt;0,M$1-A7," ")</f>
        <v>-49</v>
      </c>
      <c r="N7" s="5"/>
      <c r="O7" s="17" t="str">
        <f aca="false">IF((E7="s"),H7," ")</f>
        <v> </v>
      </c>
      <c r="P7" s="17" t="str">
        <f aca="false">IF((E7="c"),H7," ")</f>
        <v> </v>
      </c>
      <c r="Q7" s="17" t="str">
        <f aca="false">IF((E7="o"),H7," ")</f>
        <v> </v>
      </c>
      <c r="R7" s="17" t="str">
        <f aca="false">IF((E7="d"),H7," ")</f>
        <v> </v>
      </c>
      <c r="S7" s="17" t="str">
        <f aca="false">IF((E7="w"),H7," ")</f>
        <v> </v>
      </c>
      <c r="T7" s="17" t="str">
        <f aca="false">IF((E7="r"),H7," ")</f>
        <v> </v>
      </c>
      <c r="U7" s="17" t="str">
        <f aca="false">IF((E7="p"),H7," ")</f>
        <v> </v>
      </c>
      <c r="V7" s="17" t="str">
        <f aca="false">IF((E7="t"),H7," ")</f>
        <v> </v>
      </c>
      <c r="W7" s="17" t="str">
        <f aca="false">IF((E7="q"),H7," ")</f>
        <v> </v>
      </c>
      <c r="X7" s="17" t="str">
        <f aca="false">IF((E7="m"),H7," ")</f>
        <v> </v>
      </c>
      <c r="Y7" s="17" t="str">
        <f aca="false">IF((E7="u"),H7," ")</f>
        <v> </v>
      </c>
      <c r="Z7" s="17" t="str">
        <f aca="false">IF((E7="a"),H7," ")</f>
        <v> </v>
      </c>
      <c r="AA7" s="17" t="n">
        <f aca="false">IF((E7="g"),H7," ")</f>
        <v>12.5</v>
      </c>
      <c r="AB7" s="17" t="str">
        <f aca="false">IF((E7="h"),H7," ")</f>
        <v> </v>
      </c>
      <c r="AC7" s="30" t="str">
        <f aca="false">IF((E7="v"),H7," ")</f>
        <v> </v>
      </c>
      <c r="AD7" s="30" t="str">
        <f aca="false">IF((E7="n"),H7," ")</f>
        <v> </v>
      </c>
      <c r="AE7" s="17" t="str">
        <f aca="false">IF((E7="f"),H7," ")</f>
        <v> </v>
      </c>
      <c r="AF7" s="17" t="str">
        <f aca="false">IF((E7="l"),H7," ")</f>
        <v> </v>
      </c>
      <c r="AG7" s="17" t="str">
        <f aca="false">IF((E7="y"),H7," ")</f>
        <v> </v>
      </c>
      <c r="AH7" s="17" t="str">
        <f aca="false">IF((E7="z"),H7," ")</f>
        <v> </v>
      </c>
      <c r="AI7" s="17" t="str">
        <f aca="false">IF((E7="fa"),H7," ")</f>
        <v> </v>
      </c>
      <c r="AJ7" s="17" t="str">
        <f aca="false">IF((E7="e"),H7," ")</f>
        <v> </v>
      </c>
      <c r="BZ7" s="2" t="s">
        <v>81</v>
      </c>
    </row>
    <row r="8" customFormat="false" ht="12" hidden="false" customHeight="false" outlineLevel="0" collapsed="false">
      <c r="A8" s="28" t="n">
        <v>46327</v>
      </c>
      <c r="B8" s="2" t="s">
        <v>84</v>
      </c>
      <c r="D8" s="2" t="s">
        <v>85</v>
      </c>
      <c r="E8" s="2" t="s">
        <v>86</v>
      </c>
      <c r="F8" s="30" t="n">
        <v>45</v>
      </c>
      <c r="G8" s="6" t="n">
        <f aca="false">IF(F8&lt;&gt;0,F8*G$2/(100+G$2)," ")</f>
        <v>7.5</v>
      </c>
      <c r="H8" s="6" t="n">
        <f aca="false">IF((F8&lt;&gt;0),F8-G8," ")</f>
        <v>37.5</v>
      </c>
      <c r="I8" s="5"/>
      <c r="L8" s="7" t="n">
        <f aca="false">IF(F8&lt;&gt;0,F8-K8," ")</f>
        <v>45</v>
      </c>
      <c r="M8" s="8" t="n">
        <f aca="false">IF((F8-K8)&lt;&gt;0,M$1-A8," ")</f>
        <v>-49</v>
      </c>
      <c r="N8" s="5"/>
      <c r="O8" s="17" t="str">
        <f aca="false">IF((E8="s"),H8," ")</f>
        <v> </v>
      </c>
      <c r="P8" s="17" t="str">
        <f aca="false">IF((E8="c"),H8," ")</f>
        <v> </v>
      </c>
      <c r="Q8" s="17" t="n">
        <f aca="false">IF((E8="o"),H8," ")</f>
        <v>37.5</v>
      </c>
      <c r="R8" s="17" t="str">
        <f aca="false">IF((E8="d"),H8," ")</f>
        <v> </v>
      </c>
      <c r="S8" s="17" t="str">
        <f aca="false">IF((E8="w"),H8," ")</f>
        <v> </v>
      </c>
      <c r="T8" s="17" t="str">
        <f aca="false">IF((E8="r"),H8," ")</f>
        <v> </v>
      </c>
      <c r="U8" s="17" t="str">
        <f aca="false">IF((E8="p"),H8," ")</f>
        <v> </v>
      </c>
      <c r="V8" s="17" t="str">
        <f aca="false">IF((E8="t"),H8," ")</f>
        <v> </v>
      </c>
      <c r="W8" s="17" t="str">
        <f aca="false">IF((E8="q"),H8," ")</f>
        <v> </v>
      </c>
      <c r="X8" s="17" t="str">
        <f aca="false">IF((E8="m"),H8," ")</f>
        <v> </v>
      </c>
      <c r="Y8" s="17" t="str">
        <f aca="false">IF((E8="u"),H8," ")</f>
        <v> </v>
      </c>
      <c r="Z8" s="17" t="str">
        <f aca="false">IF((E8="a"),H8," ")</f>
        <v> </v>
      </c>
      <c r="AA8" s="17" t="str">
        <f aca="false">IF((E8="g"),H8," ")</f>
        <v> </v>
      </c>
      <c r="AB8" s="17" t="str">
        <f aca="false">IF((E8="h"),H8," ")</f>
        <v> </v>
      </c>
      <c r="AC8" s="30" t="str">
        <f aca="false">IF((E8="v"),H8," ")</f>
        <v> </v>
      </c>
      <c r="AD8" s="30" t="str">
        <f aca="false">IF((E8="n"),H8," ")</f>
        <v> </v>
      </c>
      <c r="AE8" s="17" t="str">
        <f aca="false">IF((E8="f"),H8," ")</f>
        <v> </v>
      </c>
      <c r="AF8" s="17" t="str">
        <f aca="false">IF((E8="l"),H8," ")</f>
        <v> </v>
      </c>
      <c r="AG8" s="17" t="str">
        <f aca="false">IF((E8="y"),H8," ")</f>
        <v> </v>
      </c>
      <c r="AH8" s="17" t="str">
        <f aca="false">IF((E8="z"),H8," ")</f>
        <v> </v>
      </c>
      <c r="AI8" s="17" t="str">
        <f aca="false">IF((E8="fa"),H8," ")</f>
        <v> </v>
      </c>
      <c r="AJ8" s="17" t="str">
        <f aca="false">IF((E8="e"),H8," ")</f>
        <v> </v>
      </c>
      <c r="BZ8" s="2" t="s">
        <v>87</v>
      </c>
    </row>
    <row r="9" customFormat="false" ht="12" hidden="false" customHeight="false" outlineLevel="0" collapsed="false">
      <c r="A9" s="28" t="n">
        <v>46327</v>
      </c>
      <c r="B9" s="2" t="s">
        <v>88</v>
      </c>
      <c r="D9" s="2" t="s">
        <v>89</v>
      </c>
      <c r="E9" s="2" t="s">
        <v>90</v>
      </c>
      <c r="F9" s="30" t="n">
        <v>1440</v>
      </c>
      <c r="G9" s="6" t="n">
        <f aca="false">IF(F9&lt;&gt;0,F9*G$2/(100+G$2)," ")</f>
        <v>240</v>
      </c>
      <c r="H9" s="6" t="n">
        <f aca="false">IF((F9&lt;&gt;0),F9-G9," ")</f>
        <v>1200</v>
      </c>
      <c r="I9" s="5"/>
      <c r="L9" s="7" t="n">
        <f aca="false">IF(F9&lt;&gt;0,F9-K9," ")</f>
        <v>1440</v>
      </c>
      <c r="M9" s="8" t="n">
        <f aca="false">IF((F9-K9)&lt;&gt;0,M$1-A9," ")</f>
        <v>-49</v>
      </c>
      <c r="N9" s="5"/>
      <c r="O9" s="17" t="str">
        <f aca="false">IF((E9="s"),H9," ")</f>
        <v> </v>
      </c>
      <c r="P9" s="17" t="str">
        <f aca="false">IF((E9="c"),H9," ")</f>
        <v> </v>
      </c>
      <c r="Q9" s="17" t="str">
        <f aca="false">IF((E9="o"),H9," ")</f>
        <v> </v>
      </c>
      <c r="R9" s="17" t="str">
        <f aca="false">IF((E9="d"),H9," ")</f>
        <v> </v>
      </c>
      <c r="S9" s="17" t="str">
        <f aca="false">IF((E9="w"),H9," ")</f>
        <v> </v>
      </c>
      <c r="T9" s="17" t="str">
        <f aca="false">IF((E9="r"),H9," ")</f>
        <v> </v>
      </c>
      <c r="U9" s="17" t="str">
        <f aca="false">IF((E9="p"),H9," ")</f>
        <v> </v>
      </c>
      <c r="V9" s="17" t="str">
        <f aca="false">IF((E9="t"),H9," ")</f>
        <v> </v>
      </c>
      <c r="W9" s="17" t="str">
        <f aca="false">IF((E9="q"),H9," ")</f>
        <v> </v>
      </c>
      <c r="X9" s="17" t="str">
        <f aca="false">IF((E9="m"),H9," ")</f>
        <v> </v>
      </c>
      <c r="Y9" s="17" t="str">
        <f aca="false">IF((E9="u"),H9," ")</f>
        <v> </v>
      </c>
      <c r="Z9" s="17" t="str">
        <f aca="false">IF((E9="a"),H9," ")</f>
        <v> </v>
      </c>
      <c r="AA9" s="17" t="str">
        <f aca="false">IF((E9="g"),H9," ")</f>
        <v> </v>
      </c>
      <c r="AB9" s="17" t="str">
        <f aca="false">IF((E9="h"),H9," ")</f>
        <v> </v>
      </c>
      <c r="AC9" s="30" t="str">
        <f aca="false">IF((E9="v"),H9," ")</f>
        <v> </v>
      </c>
      <c r="AD9" s="30" t="n">
        <f aca="false">IF((E9="n"),H9," ")</f>
        <v>1200</v>
      </c>
      <c r="AE9" s="17" t="str">
        <f aca="false">IF((E9="f"),H9," ")</f>
        <v> </v>
      </c>
      <c r="AF9" s="17" t="str">
        <f aca="false">IF((E9="l"),H9," ")</f>
        <v> </v>
      </c>
      <c r="AG9" s="17" t="str">
        <f aca="false">IF((E9="y"),H9," ")</f>
        <v> </v>
      </c>
      <c r="AH9" s="17" t="str">
        <f aca="false">IF((E9="z"),H9," ")</f>
        <v> </v>
      </c>
      <c r="AI9" s="17" t="str">
        <f aca="false">IF((E9="fa"),H9," ")</f>
        <v> </v>
      </c>
      <c r="AJ9" s="17" t="str">
        <f aca="false">IF((E9="e"),H9," ")</f>
        <v> </v>
      </c>
      <c r="BZ9" s="2" t="s">
        <v>91</v>
      </c>
    </row>
    <row r="10" customFormat="false" ht="12" hidden="false" customHeight="false" outlineLevel="0" collapsed="false">
      <c r="A10" s="28" t="n">
        <v>46327</v>
      </c>
      <c r="B10" s="2" t="s">
        <v>92</v>
      </c>
      <c r="D10" s="2" t="s">
        <v>93</v>
      </c>
      <c r="E10" s="2" t="s">
        <v>86</v>
      </c>
      <c r="F10" s="30" t="n">
        <v>24</v>
      </c>
      <c r="G10" s="6" t="n">
        <f aca="false">IF(F10&lt;&gt;0,F10*G$2/(100+G$2)," ")</f>
        <v>4</v>
      </c>
      <c r="H10" s="6" t="n">
        <f aca="false">IF((F10&lt;&gt;0),F10-G10," ")</f>
        <v>20</v>
      </c>
      <c r="I10" s="5"/>
      <c r="L10" s="7" t="n">
        <f aca="false">IF(F10&lt;&gt;0,F10-K10," ")</f>
        <v>24</v>
      </c>
      <c r="M10" s="8" t="n">
        <f aca="false">IF((F10-K10)&lt;&gt;0,M$1-A10," ")</f>
        <v>-49</v>
      </c>
      <c r="N10" s="5"/>
      <c r="O10" s="17" t="str">
        <f aca="false">IF((E10="s"),H10," ")</f>
        <v> </v>
      </c>
      <c r="P10" s="17" t="str">
        <f aca="false">IF((E10="c"),H10," ")</f>
        <v> </v>
      </c>
      <c r="Q10" s="17" t="n">
        <f aca="false">IF((E10="o"),H10," ")</f>
        <v>20</v>
      </c>
      <c r="R10" s="17" t="str">
        <f aca="false">IF((E10="d"),H10," ")</f>
        <v> </v>
      </c>
      <c r="S10" s="17" t="str">
        <f aca="false">IF((E10="w"),H10," ")</f>
        <v> </v>
      </c>
      <c r="T10" s="17" t="str">
        <f aca="false">IF((E10="r"),H10," ")</f>
        <v> </v>
      </c>
      <c r="U10" s="17" t="str">
        <f aca="false">IF((E10="p"),H10," ")</f>
        <v> </v>
      </c>
      <c r="V10" s="17" t="str">
        <f aca="false">IF((E10="t"),H10," ")</f>
        <v> </v>
      </c>
      <c r="W10" s="17" t="str">
        <f aca="false">IF((E10="q"),H10," ")</f>
        <v> </v>
      </c>
      <c r="X10" s="17" t="str">
        <f aca="false">IF((E10="m"),H10," ")</f>
        <v> </v>
      </c>
      <c r="Y10" s="17" t="str">
        <f aca="false">IF((E10="u"),H10," ")</f>
        <v> </v>
      </c>
      <c r="Z10" s="17" t="str">
        <f aca="false">IF((E10="a"),H10," ")</f>
        <v> </v>
      </c>
      <c r="AA10" s="17" t="str">
        <f aca="false">IF((E10="g"),H10," ")</f>
        <v> </v>
      </c>
      <c r="AB10" s="17" t="str">
        <f aca="false">IF((E10="h"),H10," ")</f>
        <v> </v>
      </c>
      <c r="AC10" s="30" t="str">
        <f aca="false">IF((E10="v"),H10," ")</f>
        <v> </v>
      </c>
      <c r="AD10" s="30" t="str">
        <f aca="false">IF((E10="n"),H10," ")</f>
        <v> </v>
      </c>
      <c r="AE10" s="17" t="str">
        <f aca="false">IF((E10="f"),H10," ")</f>
        <v> </v>
      </c>
      <c r="AF10" s="17" t="str">
        <f aca="false">IF((E10="l"),H10," ")</f>
        <v> </v>
      </c>
      <c r="AG10" s="17" t="str">
        <f aca="false">IF((E10="y"),H10," ")</f>
        <v> </v>
      </c>
      <c r="AH10" s="17" t="str">
        <f aca="false">IF((E10="z"),H10," ")</f>
        <v> </v>
      </c>
      <c r="AI10" s="17" t="str">
        <f aca="false">IF((E10="fa"),H10," ")</f>
        <v> </v>
      </c>
      <c r="AJ10" s="17" t="str">
        <f aca="false">IF((E10="e"),H10," ")</f>
        <v> </v>
      </c>
      <c r="BZ10" s="2" t="s">
        <v>87</v>
      </c>
    </row>
    <row r="11" customFormat="false" ht="12" hidden="false" customHeight="false" outlineLevel="0" collapsed="false">
      <c r="A11" s="28" t="n">
        <v>46327</v>
      </c>
      <c r="B11" s="2" t="s">
        <v>94</v>
      </c>
      <c r="D11" s="2" t="s">
        <v>95</v>
      </c>
      <c r="E11" s="2" t="s">
        <v>80</v>
      </c>
      <c r="F11" s="30" t="n">
        <v>18</v>
      </c>
      <c r="G11" s="6" t="n">
        <f aca="false">IF(F11&lt;&gt;0,F11*G$2/(100+G$2)," ")</f>
        <v>3</v>
      </c>
      <c r="H11" s="6" t="n">
        <f aca="false">IF((F11&lt;&gt;0),F11-G11," ")</f>
        <v>15</v>
      </c>
      <c r="I11" s="5"/>
      <c r="L11" s="7" t="n">
        <f aca="false">IF(F11&lt;&gt;0,F11-K11," ")</f>
        <v>18</v>
      </c>
      <c r="M11" s="8" t="n">
        <f aca="false">IF((F11-K11)&lt;&gt;0,M$1-A11," ")</f>
        <v>-49</v>
      </c>
      <c r="N11" s="5"/>
      <c r="O11" s="17" t="str">
        <f aca="false">IF((E11="s"),H11," ")</f>
        <v> </v>
      </c>
      <c r="P11" s="17" t="str">
        <f aca="false">IF((E11="c"),H11," ")</f>
        <v> </v>
      </c>
      <c r="Q11" s="17" t="str">
        <f aca="false">IF((E11="o"),H11," ")</f>
        <v> </v>
      </c>
      <c r="R11" s="17" t="str">
        <f aca="false">IF((E11="d"),H11," ")</f>
        <v> </v>
      </c>
      <c r="S11" s="17" t="str">
        <f aca="false">IF((E11="w"),H11," ")</f>
        <v> </v>
      </c>
      <c r="T11" s="17" t="str">
        <f aca="false">IF((E11="r"),H11," ")</f>
        <v> </v>
      </c>
      <c r="U11" s="17" t="str">
        <f aca="false">IF((E11="p"),H11," ")</f>
        <v> </v>
      </c>
      <c r="V11" s="17" t="str">
        <f aca="false">IF((E11="t"),H11," ")</f>
        <v> </v>
      </c>
      <c r="W11" s="17" t="str">
        <f aca="false">IF((E11="q"),H11," ")</f>
        <v> </v>
      </c>
      <c r="X11" s="17" t="str">
        <f aca="false">IF((E11="m"),H11," ")</f>
        <v> </v>
      </c>
      <c r="Y11" s="17" t="str">
        <f aca="false">IF((E11="u"),H11," ")</f>
        <v> </v>
      </c>
      <c r="Z11" s="17" t="str">
        <f aca="false">IF((E11="a"),H11," ")</f>
        <v> </v>
      </c>
      <c r="AA11" s="17" t="n">
        <f aca="false">IF((E11="g"),H11," ")</f>
        <v>15</v>
      </c>
      <c r="AB11" s="17" t="str">
        <f aca="false">IF((E11="h"),H11," ")</f>
        <v> </v>
      </c>
      <c r="AC11" s="30" t="str">
        <f aca="false">IF((E11="v"),H11," ")</f>
        <v> </v>
      </c>
      <c r="AD11" s="30" t="str">
        <f aca="false">IF((E11="n"),H11," ")</f>
        <v> </v>
      </c>
      <c r="AE11" s="17" t="str">
        <f aca="false">IF((E11="f"),H11," ")</f>
        <v> </v>
      </c>
      <c r="AF11" s="17" t="str">
        <f aca="false">IF((E11="l"),H11," ")</f>
        <v> </v>
      </c>
      <c r="AG11" s="17" t="str">
        <f aca="false">IF((E11="y"),H11," ")</f>
        <v> </v>
      </c>
      <c r="AH11" s="17" t="str">
        <f aca="false">IF((E11="z"),H11," ")</f>
        <v> </v>
      </c>
      <c r="AI11" s="17" t="str">
        <f aca="false">IF((E11="fa"),H11," ")</f>
        <v> </v>
      </c>
      <c r="AJ11" s="17" t="str">
        <f aca="false">IF((E11="e"),H11," ")</f>
        <v> </v>
      </c>
      <c r="BZ11" s="2" t="s">
        <v>81</v>
      </c>
    </row>
    <row r="12" customFormat="false" ht="12" hidden="false" customHeight="false" outlineLevel="0" collapsed="false">
      <c r="A12" s="28" t="n">
        <v>46329</v>
      </c>
      <c r="B12" s="2" t="s">
        <v>96</v>
      </c>
      <c r="D12" s="2" t="s">
        <v>97</v>
      </c>
      <c r="E12" s="2" t="s">
        <v>86</v>
      </c>
      <c r="F12" s="30" t="n">
        <v>180</v>
      </c>
      <c r="G12" s="6" t="n">
        <f aca="false">IF(F12&lt;&gt;0,F12*G$2/(100+G$2)," ")</f>
        <v>30</v>
      </c>
      <c r="H12" s="6" t="n">
        <f aca="false">IF((F12&lt;&gt;0),F12-G12," ")</f>
        <v>150</v>
      </c>
      <c r="I12" s="5"/>
      <c r="L12" s="7" t="n">
        <f aca="false">IF(F12&lt;&gt;0,F12-K12," ")</f>
        <v>180</v>
      </c>
      <c r="M12" s="8" t="n">
        <f aca="false">IF((F12-K12)&lt;&gt;0,M$1-A12," ")</f>
        <v>-51</v>
      </c>
      <c r="N12" s="5"/>
      <c r="O12" s="17" t="str">
        <f aca="false">IF((E12="s"),H12," ")</f>
        <v> </v>
      </c>
      <c r="P12" s="17" t="str">
        <f aca="false">IF((E12="c"),H12," ")</f>
        <v> </v>
      </c>
      <c r="Q12" s="17" t="n">
        <f aca="false">IF((E12="o"),H12," ")</f>
        <v>150</v>
      </c>
      <c r="R12" s="17" t="str">
        <f aca="false">IF((E12="d"),H12," ")</f>
        <v> </v>
      </c>
      <c r="S12" s="17" t="str">
        <f aca="false">IF((E12="w"),H12," ")</f>
        <v> </v>
      </c>
      <c r="T12" s="17" t="str">
        <f aca="false">IF((E12="r"),H12," ")</f>
        <v> </v>
      </c>
      <c r="U12" s="17" t="str">
        <f aca="false">IF((E12="p"),H12," ")</f>
        <v> </v>
      </c>
      <c r="V12" s="17" t="str">
        <f aca="false">IF((E12="t"),H12," ")</f>
        <v> </v>
      </c>
      <c r="W12" s="17" t="str">
        <f aca="false">IF((E12="q"),H12," ")</f>
        <v> </v>
      </c>
      <c r="X12" s="17" t="str">
        <f aca="false">IF((E12="m"),H12," ")</f>
        <v> </v>
      </c>
      <c r="Y12" s="17" t="str">
        <f aca="false">IF((E12="u"),H12," ")</f>
        <v> </v>
      </c>
      <c r="Z12" s="17" t="str">
        <f aca="false">IF((E12="a"),H12," ")</f>
        <v> </v>
      </c>
      <c r="AA12" s="17" t="str">
        <f aca="false">IF((E12="g"),H12," ")</f>
        <v> </v>
      </c>
      <c r="AB12" s="17" t="str">
        <f aca="false">IF((E12="h"),H12," ")</f>
        <v> </v>
      </c>
      <c r="AC12" s="30" t="str">
        <f aca="false">IF((E12="v"),H12," ")</f>
        <v> </v>
      </c>
      <c r="AD12" s="30" t="str">
        <f aca="false">IF((E12="n"),H12," ")</f>
        <v> </v>
      </c>
      <c r="AE12" s="17" t="str">
        <f aca="false">IF((E12="f"),H12," ")</f>
        <v> </v>
      </c>
      <c r="AF12" s="17" t="str">
        <f aca="false">IF((E12="l"),H12," ")</f>
        <v> </v>
      </c>
      <c r="AG12" s="17" t="str">
        <f aca="false">IF((E12="y"),H12," ")</f>
        <v> </v>
      </c>
      <c r="AH12" s="17" t="str">
        <f aca="false">IF((E12="z"),H12," ")</f>
        <v> </v>
      </c>
      <c r="AI12" s="17" t="str">
        <f aca="false">IF((E12="fa"),H12," ")</f>
        <v> </v>
      </c>
      <c r="AJ12" s="17" t="str">
        <f aca="false">IF((E12="e"),H12," ")</f>
        <v> </v>
      </c>
      <c r="BZ12" s="2" t="s">
        <v>87</v>
      </c>
    </row>
    <row r="13" customFormat="false" ht="12" hidden="false" customHeight="false" outlineLevel="0" collapsed="false">
      <c r="A13" s="28" t="n">
        <v>46329</v>
      </c>
      <c r="B13" s="2" t="s">
        <v>98</v>
      </c>
      <c r="D13" s="2" t="s">
        <v>99</v>
      </c>
      <c r="E13" s="2" t="s">
        <v>100</v>
      </c>
      <c r="F13" s="30" t="n">
        <v>22</v>
      </c>
      <c r="G13" s="6" t="n">
        <f aca="false">IF(F13&lt;&gt;0,F13*G$2/(100+G$2)," ")</f>
        <v>3.66666666666667</v>
      </c>
      <c r="H13" s="6" t="n">
        <f aca="false">IF((F13&lt;&gt;0),F13-G13," ")</f>
        <v>18.3333333333333</v>
      </c>
      <c r="I13" s="5"/>
      <c r="L13" s="7" t="n">
        <f aca="false">IF(F13&lt;&gt;0,F13-K13," ")</f>
        <v>22</v>
      </c>
      <c r="M13" s="8" t="n">
        <f aca="false">IF((F13-K13)&lt;&gt;0,M$1-A13," ")</f>
        <v>-51</v>
      </c>
      <c r="N13" s="5"/>
      <c r="O13" s="17" t="str">
        <f aca="false">IF((E13="s"),H13," ")</f>
        <v> </v>
      </c>
      <c r="P13" s="17" t="str">
        <f aca="false">IF((E13="c"),H13," ")</f>
        <v> </v>
      </c>
      <c r="Q13" s="17" t="str">
        <f aca="false">IF((E13="o"),H13," ")</f>
        <v> </v>
      </c>
      <c r="R13" s="17" t="str">
        <f aca="false">IF((E13="d"),H13," ")</f>
        <v> </v>
      </c>
      <c r="S13" s="17" t="str">
        <f aca="false">IF((E13="w"),H13," ")</f>
        <v> </v>
      </c>
      <c r="T13" s="17" t="str">
        <f aca="false">IF((E13="r"),H13," ")</f>
        <v> </v>
      </c>
      <c r="U13" s="17" t="str">
        <f aca="false">IF((E13="p"),H13," ")</f>
        <v> </v>
      </c>
      <c r="V13" s="17" t="str">
        <f aca="false">IF((E13="t"),H13," ")</f>
        <v> </v>
      </c>
      <c r="W13" s="17" t="str">
        <f aca="false">IF((E13="q"),H13," ")</f>
        <v> </v>
      </c>
      <c r="X13" s="17" t="str">
        <f aca="false">IF((E13="m"),H13," ")</f>
        <v> </v>
      </c>
      <c r="Y13" s="17" t="n">
        <f aca="false">IF((E13="u"),H13," ")</f>
        <v>18.3333333333333</v>
      </c>
      <c r="Z13" s="17" t="str">
        <f aca="false">IF((E13="a"),H13," ")</f>
        <v> </v>
      </c>
      <c r="AA13" s="17" t="str">
        <f aca="false">IF((E13="g"),H13," ")</f>
        <v> </v>
      </c>
      <c r="AB13" s="17" t="str">
        <f aca="false">IF((E13="h"),H13," ")</f>
        <v> </v>
      </c>
      <c r="AC13" s="30" t="str">
        <f aca="false">IF((E13="v"),H13," ")</f>
        <v> </v>
      </c>
      <c r="AD13" s="30" t="str">
        <f aca="false">IF((E13="n"),H13," ")</f>
        <v> </v>
      </c>
      <c r="AE13" s="17" t="str">
        <f aca="false">IF((E13="f"),H13," ")</f>
        <v> </v>
      </c>
      <c r="AF13" s="17" t="str">
        <f aca="false">IF((E13="l"),H13," ")</f>
        <v> </v>
      </c>
      <c r="AG13" s="17" t="str">
        <f aca="false">IF((E13="y"),H13," ")</f>
        <v> </v>
      </c>
      <c r="AH13" s="17" t="str">
        <f aca="false">IF((E13="z"),H13," ")</f>
        <v> </v>
      </c>
      <c r="AI13" s="17" t="str">
        <f aca="false">IF((E13="fa"),H13," ")</f>
        <v> </v>
      </c>
      <c r="AJ13" s="17" t="str">
        <f aca="false">IF((E13="e"),H13," ")</f>
        <v> </v>
      </c>
      <c r="BZ13" s="2" t="s">
        <v>101</v>
      </c>
    </row>
    <row r="14" customFormat="false" ht="12" hidden="false" customHeight="false" outlineLevel="0" collapsed="false">
      <c r="A14" s="28" t="n">
        <v>46331</v>
      </c>
      <c r="B14" s="2" t="s">
        <v>102</v>
      </c>
      <c r="D14" s="2" t="s">
        <v>103</v>
      </c>
      <c r="E14" s="2" t="s">
        <v>100</v>
      </c>
      <c r="F14" s="30" t="n">
        <v>24</v>
      </c>
      <c r="G14" s="6" t="n">
        <f aca="false">IF(F14&lt;&gt;0,F14*G$2/(100+G$2)," ")</f>
        <v>4</v>
      </c>
      <c r="H14" s="6" t="n">
        <f aca="false">IF((F14&lt;&gt;0),F14-G14," ")</f>
        <v>20</v>
      </c>
      <c r="I14" s="5"/>
      <c r="L14" s="7" t="n">
        <f aca="false">IF(F14&lt;&gt;0,F14-K14," ")</f>
        <v>24</v>
      </c>
      <c r="M14" s="8" t="n">
        <f aca="false">IF((F14-K14)&lt;&gt;0,M$1-A14," ")</f>
        <v>-53</v>
      </c>
      <c r="N14" s="5"/>
      <c r="O14" s="17" t="str">
        <f aca="false">IF((E14="s"),H14," ")</f>
        <v> </v>
      </c>
      <c r="P14" s="17" t="str">
        <f aca="false">IF((E14="c"),H14," ")</f>
        <v> </v>
      </c>
      <c r="Q14" s="17" t="str">
        <f aca="false">IF((E14="o"),H14," ")</f>
        <v> </v>
      </c>
      <c r="R14" s="17" t="str">
        <f aca="false">IF((E14="d"),H14," ")</f>
        <v> </v>
      </c>
      <c r="S14" s="17" t="str">
        <f aca="false">IF((E14="w"),H14," ")</f>
        <v> </v>
      </c>
      <c r="T14" s="17" t="str">
        <f aca="false">IF((E14="r"),H14," ")</f>
        <v> </v>
      </c>
      <c r="U14" s="17" t="str">
        <f aca="false">IF((E14="p"),H14," ")</f>
        <v> </v>
      </c>
      <c r="V14" s="17" t="str">
        <f aca="false">IF((E14="t"),H14," ")</f>
        <v> </v>
      </c>
      <c r="W14" s="17" t="str">
        <f aca="false">IF((E14="q"),H14," ")</f>
        <v> </v>
      </c>
      <c r="X14" s="17" t="str">
        <f aca="false">IF((E14="m"),H14," ")</f>
        <v> </v>
      </c>
      <c r="Y14" s="17" t="n">
        <f aca="false">IF((E14="u"),H14," ")</f>
        <v>20</v>
      </c>
      <c r="Z14" s="17" t="str">
        <f aca="false">IF((E14="a"),H14," ")</f>
        <v> </v>
      </c>
      <c r="AA14" s="17" t="str">
        <f aca="false">IF((E14="g"),H14," ")</f>
        <v> </v>
      </c>
      <c r="AB14" s="17" t="str">
        <f aca="false">IF((E14="h"),H14," ")</f>
        <v> </v>
      </c>
      <c r="AC14" s="30" t="str">
        <f aca="false">IF((E14="v"),H14," ")</f>
        <v> </v>
      </c>
      <c r="AD14" s="30" t="str">
        <f aca="false">IF((E14="n"),H14," ")</f>
        <v> </v>
      </c>
      <c r="AE14" s="17" t="str">
        <f aca="false">IF((E14="f"),H14," ")</f>
        <v> </v>
      </c>
      <c r="AF14" s="17" t="str">
        <f aca="false">IF((E14="l"),H14," ")</f>
        <v> </v>
      </c>
      <c r="AG14" s="17" t="str">
        <f aca="false">IF((E14="y"),H14," ")</f>
        <v> </v>
      </c>
      <c r="AH14" s="17" t="str">
        <f aca="false">IF((E14="z"),H14," ")</f>
        <v> </v>
      </c>
      <c r="AI14" s="17" t="str">
        <f aca="false">IF((E14="fa"),H14," ")</f>
        <v> </v>
      </c>
      <c r="AJ14" s="17" t="str">
        <f aca="false">IF((E14="e"),H14," ")</f>
        <v> </v>
      </c>
      <c r="BZ14" s="2" t="s">
        <v>101</v>
      </c>
    </row>
    <row r="15" customFormat="false" ht="12" hidden="false" customHeight="false" outlineLevel="0" collapsed="false">
      <c r="A15" s="28" t="n">
        <v>46331</v>
      </c>
      <c r="B15" s="2" t="s">
        <v>104</v>
      </c>
      <c r="D15" s="2" t="s">
        <v>105</v>
      </c>
      <c r="E15" s="2" t="s">
        <v>106</v>
      </c>
      <c r="F15" s="30" t="n">
        <v>180</v>
      </c>
      <c r="G15" s="6" t="n">
        <f aca="false">IF(F15&lt;&gt;0,F15*G$2/(100+G$2)," ")</f>
        <v>30</v>
      </c>
      <c r="H15" s="6" t="n">
        <f aca="false">IF((F15&lt;&gt;0),F15-G15," ")</f>
        <v>150</v>
      </c>
      <c r="I15" s="5"/>
      <c r="L15" s="7" t="n">
        <f aca="false">IF(F15&lt;&gt;0,F15-K15," ")</f>
        <v>180</v>
      </c>
      <c r="M15" s="8" t="n">
        <f aca="false">IF((F15-K15)&lt;&gt;0,M$1-A15," ")</f>
        <v>-53</v>
      </c>
      <c r="N15" s="5"/>
      <c r="O15" s="17" t="str">
        <f aca="false">IF((E15="s"),H15," ")</f>
        <v> </v>
      </c>
      <c r="P15" s="17" t="str">
        <f aca="false">IF((E15="c"),H15," ")</f>
        <v> </v>
      </c>
      <c r="Q15" s="17" t="str">
        <f aca="false">IF((E15="o"),H15," ")</f>
        <v> </v>
      </c>
      <c r="R15" s="17" t="str">
        <f aca="false">IF((E15="d"),H15," ")</f>
        <v> </v>
      </c>
      <c r="S15" s="17" t="str">
        <f aca="false">IF((E15="w"),H15," ")</f>
        <v> </v>
      </c>
      <c r="T15" s="17" t="str">
        <f aca="false">IF((E15="r"),H15," ")</f>
        <v> </v>
      </c>
      <c r="U15" s="17" t="str">
        <f aca="false">IF((E15="p"),H15," ")</f>
        <v> </v>
      </c>
      <c r="V15" s="17" t="str">
        <f aca="false">IF((E15="t"),H15," ")</f>
        <v> </v>
      </c>
      <c r="W15" s="17" t="str">
        <f aca="false">IF((E15="q"),H15," ")</f>
        <v> </v>
      </c>
      <c r="X15" s="17" t="str">
        <f aca="false">IF((E15="m"),H15," ")</f>
        <v> </v>
      </c>
      <c r="Y15" s="17" t="str">
        <f aca="false">IF((E15="u"),H15," ")</f>
        <v> </v>
      </c>
      <c r="Z15" s="17" t="str">
        <f aca="false">IF((E15="a"),H15," ")</f>
        <v> </v>
      </c>
      <c r="AA15" s="17" t="str">
        <f aca="false">IF((E15="g"),H15," ")</f>
        <v> </v>
      </c>
      <c r="AB15" s="17" t="str">
        <f aca="false">IF((E15="h"),H15," ")</f>
        <v> </v>
      </c>
      <c r="AC15" s="30" t="n">
        <f aca="false">IF((E15="v"),H15," ")</f>
        <v>150</v>
      </c>
      <c r="AD15" s="30" t="str">
        <f aca="false">IF((E15="n"),H15," ")</f>
        <v> </v>
      </c>
      <c r="AE15" s="17" t="str">
        <f aca="false">IF((E15="f"),H15," ")</f>
        <v> </v>
      </c>
      <c r="AF15" s="17" t="str">
        <f aca="false">IF((E15="l"),H15," ")</f>
        <v> </v>
      </c>
      <c r="AG15" s="17" t="str">
        <f aca="false">IF((E15="y"),H15," ")</f>
        <v> </v>
      </c>
      <c r="AH15" s="17" t="str">
        <f aca="false">IF((E15="z"),H15," ")</f>
        <v> </v>
      </c>
      <c r="AI15" s="17" t="str">
        <f aca="false">IF((E15="fa"),H15," ")</f>
        <v> </v>
      </c>
      <c r="AJ15" s="17" t="str">
        <f aca="false">IF((E15="e"),H15," ")</f>
        <v> </v>
      </c>
      <c r="BZ15" s="2" t="s">
        <v>107</v>
      </c>
    </row>
    <row r="16" customFormat="false" ht="12" hidden="false" customHeight="false" outlineLevel="0" collapsed="false">
      <c r="A16" s="28" t="n">
        <v>46331</v>
      </c>
      <c r="B16" s="2" t="s">
        <v>108</v>
      </c>
      <c r="D16" s="2" t="s">
        <v>109</v>
      </c>
      <c r="E16" s="2" t="s">
        <v>86</v>
      </c>
      <c r="F16" s="30" t="n">
        <v>36</v>
      </c>
      <c r="G16" s="6" t="n">
        <f aca="false">IF(F16&lt;&gt;0,F16*G$2/(100+G$2)," ")</f>
        <v>6</v>
      </c>
      <c r="H16" s="6" t="n">
        <f aca="false">IF((F16&lt;&gt;0),F16-G16," ")</f>
        <v>30</v>
      </c>
      <c r="I16" s="5"/>
      <c r="L16" s="7" t="n">
        <f aca="false">IF(F16&lt;&gt;0,F16-K16," ")</f>
        <v>36</v>
      </c>
      <c r="M16" s="8" t="n">
        <f aca="false">IF((F16-K16)&lt;&gt;0,M$1-A16," ")</f>
        <v>-53</v>
      </c>
      <c r="N16" s="5"/>
      <c r="O16" s="17" t="str">
        <f aca="false">IF((E16="s"),H16," ")</f>
        <v> </v>
      </c>
      <c r="P16" s="17" t="str">
        <f aca="false">IF((E16="c"),H16," ")</f>
        <v> </v>
      </c>
      <c r="Q16" s="17" t="n">
        <f aca="false">IF((E16="o"),H16," ")</f>
        <v>30</v>
      </c>
      <c r="R16" s="17" t="str">
        <f aca="false">IF((E16="d"),H16," ")</f>
        <v> </v>
      </c>
      <c r="S16" s="17" t="str">
        <f aca="false">IF((E16="w"),H16," ")</f>
        <v> </v>
      </c>
      <c r="T16" s="17" t="str">
        <f aca="false">IF((E16="r"),H16," ")</f>
        <v> </v>
      </c>
      <c r="U16" s="17" t="str">
        <f aca="false">IF((E16="p"),H16," ")</f>
        <v> </v>
      </c>
      <c r="V16" s="17" t="str">
        <f aca="false">IF((E16="t"),H16," ")</f>
        <v> </v>
      </c>
      <c r="W16" s="17" t="str">
        <f aca="false">IF((E16="q"),H16," ")</f>
        <v> </v>
      </c>
      <c r="X16" s="17" t="str">
        <f aca="false">IF((E16="m"),H16," ")</f>
        <v> </v>
      </c>
      <c r="Y16" s="17" t="str">
        <f aca="false">IF((E16="u"),H16," ")</f>
        <v> </v>
      </c>
      <c r="Z16" s="17" t="str">
        <f aca="false">IF((E16="a"),H16," ")</f>
        <v> </v>
      </c>
      <c r="AA16" s="17" t="str">
        <f aca="false">IF((E16="g"),H16," ")</f>
        <v> </v>
      </c>
      <c r="AB16" s="17" t="str">
        <f aca="false">IF((E16="h"),H16," ")</f>
        <v> </v>
      </c>
      <c r="AC16" s="30" t="str">
        <f aca="false">IF((E16="v"),H16," ")</f>
        <v> </v>
      </c>
      <c r="AD16" s="30" t="str">
        <f aca="false">IF((E16="n"),H16," ")</f>
        <v> </v>
      </c>
      <c r="AE16" s="17" t="str">
        <f aca="false">IF((E16="f"),H16," ")</f>
        <v> </v>
      </c>
      <c r="AF16" s="17" t="str">
        <f aca="false">IF((E16="l"),H16," ")</f>
        <v> </v>
      </c>
      <c r="AG16" s="17" t="str">
        <f aca="false">IF((E16="y"),H16," ")</f>
        <v> </v>
      </c>
      <c r="AH16" s="17" t="str">
        <f aca="false">IF((E16="z"),H16," ")</f>
        <v> </v>
      </c>
      <c r="AI16" s="17" t="str">
        <f aca="false">IF((E16="fa"),H16," ")</f>
        <v> </v>
      </c>
      <c r="AJ16" s="17" t="str">
        <f aca="false">IF((E16="e"),H16," ")</f>
        <v> </v>
      </c>
      <c r="BZ16" s="2" t="s">
        <v>87</v>
      </c>
    </row>
    <row r="17" customFormat="false" ht="12" hidden="false" customHeight="false" outlineLevel="0" collapsed="false">
      <c r="A17" s="28" t="n">
        <v>46334</v>
      </c>
      <c r="B17" s="2" t="s">
        <v>110</v>
      </c>
      <c r="D17" s="2" t="s">
        <v>111</v>
      </c>
      <c r="E17" s="2" t="s">
        <v>112</v>
      </c>
      <c r="F17" s="30" t="n">
        <v>48</v>
      </c>
      <c r="G17" s="6" t="n">
        <f aca="false">IF(F17&lt;&gt;0,F17*G$2/(100+G$2)," ")</f>
        <v>8</v>
      </c>
      <c r="H17" s="6" t="n">
        <f aca="false">IF((F17&lt;&gt;0),F17-G17," ")</f>
        <v>40</v>
      </c>
      <c r="I17" s="5"/>
      <c r="L17" s="7" t="n">
        <f aca="false">IF(F17&lt;&gt;0,F17-K17," ")</f>
        <v>48</v>
      </c>
      <c r="M17" s="8" t="n">
        <f aca="false">IF((F17-K17)&lt;&gt;0,M$1-A17," ")</f>
        <v>-56</v>
      </c>
      <c r="N17" s="5"/>
      <c r="O17" s="17" t="str">
        <f aca="false">IF((E17="s"),H17," ")</f>
        <v> </v>
      </c>
      <c r="P17" s="17" t="str">
        <f aca="false">IF((E17="c"),H17," ")</f>
        <v> </v>
      </c>
      <c r="Q17" s="17" t="str">
        <f aca="false">IF((E17="o"),H17," ")</f>
        <v> </v>
      </c>
      <c r="R17" s="17" t="str">
        <f aca="false">IF((E17="d"),H17," ")</f>
        <v> </v>
      </c>
      <c r="S17" s="17" t="str">
        <f aca="false">IF((E17="w"),H17," ")</f>
        <v> </v>
      </c>
      <c r="T17" s="17" t="str">
        <f aca="false">IF((E17="r"),H17," ")</f>
        <v> </v>
      </c>
      <c r="U17" s="17" t="str">
        <f aca="false">IF((E17="p"),H17," ")</f>
        <v> </v>
      </c>
      <c r="V17" s="17" t="str">
        <f aca="false">IF((E17="t"),H17," ")</f>
        <v> </v>
      </c>
      <c r="W17" s="17" t="str">
        <f aca="false">IF((E17="q"),H17," ")</f>
        <v> </v>
      </c>
      <c r="X17" s="17" t="str">
        <f aca="false">IF((E17="m"),H17," ")</f>
        <v> </v>
      </c>
      <c r="Y17" s="17" t="str">
        <f aca="false">IF((E17="u"),H17," ")</f>
        <v> </v>
      </c>
      <c r="Z17" s="17" t="str">
        <f aca="false">IF((E17="a"),H17," ")</f>
        <v> </v>
      </c>
      <c r="AA17" s="17" t="str">
        <f aca="false">IF((E17="g"),H17," ")</f>
        <v> </v>
      </c>
      <c r="AB17" s="17" t="n">
        <f aca="false">IF((E17="h"),H17," ")</f>
        <v>40</v>
      </c>
      <c r="AC17" s="30" t="str">
        <f aca="false">IF((E17="v"),H17," ")</f>
        <v> </v>
      </c>
      <c r="AD17" s="30" t="str">
        <f aca="false">IF((E17="n"),H17," ")</f>
        <v> </v>
      </c>
      <c r="AE17" s="17" t="str">
        <f aca="false">IF((E17="f"),H17," ")</f>
        <v> </v>
      </c>
      <c r="AF17" s="17" t="str">
        <f aca="false">IF((E17="l"),H17," ")</f>
        <v> </v>
      </c>
      <c r="AG17" s="17" t="str">
        <f aca="false">IF((E17="y"),H17," ")</f>
        <v> </v>
      </c>
      <c r="AH17" s="17" t="str">
        <f aca="false">IF((E17="z"),H17," ")</f>
        <v> </v>
      </c>
      <c r="AI17" s="17" t="str">
        <f aca="false">IF((E17="fa"),H17," ")</f>
        <v> </v>
      </c>
      <c r="AJ17" s="17" t="str">
        <f aca="false">IF((E17="e"),H17," ")</f>
        <v> </v>
      </c>
      <c r="BZ17" s="2" t="s">
        <v>113</v>
      </c>
    </row>
    <row r="18" customFormat="false" ht="12" hidden="false" customHeight="false" outlineLevel="0" collapsed="false">
      <c r="A18" s="28" t="n">
        <v>46336</v>
      </c>
      <c r="B18" s="2" t="s">
        <v>114</v>
      </c>
      <c r="D18" s="2" t="s">
        <v>115</v>
      </c>
      <c r="E18" s="2" t="s">
        <v>100</v>
      </c>
      <c r="F18" s="30" t="n">
        <v>36</v>
      </c>
      <c r="G18" s="6" t="n">
        <f aca="false">IF(F18&lt;&gt;0,F18*G$2/(100+G$2)," ")</f>
        <v>6</v>
      </c>
      <c r="H18" s="6" t="n">
        <f aca="false">IF((F18&lt;&gt;0),F18-G18," ")</f>
        <v>30</v>
      </c>
      <c r="I18" s="5"/>
      <c r="L18" s="7" t="n">
        <f aca="false">IF(F18&lt;&gt;0,F18-K18," ")</f>
        <v>36</v>
      </c>
      <c r="M18" s="8" t="n">
        <f aca="false">IF((F18-K18)&lt;&gt;0,M$1-A18," ")</f>
        <v>-58</v>
      </c>
      <c r="N18" s="5"/>
      <c r="O18" s="17" t="str">
        <f aca="false">IF((E18="s"),H18," ")</f>
        <v> </v>
      </c>
      <c r="P18" s="17" t="str">
        <f aca="false">IF((E18="c"),H18," ")</f>
        <v> </v>
      </c>
      <c r="Q18" s="17" t="str">
        <f aca="false">IF((E18="o"),H18," ")</f>
        <v> </v>
      </c>
      <c r="R18" s="17" t="str">
        <f aca="false">IF((E18="d"),H18," ")</f>
        <v> </v>
      </c>
      <c r="S18" s="17" t="str">
        <f aca="false">IF((E18="w"),H18," ")</f>
        <v> </v>
      </c>
      <c r="T18" s="17" t="str">
        <f aca="false">IF((E18="r"),H18," ")</f>
        <v> </v>
      </c>
      <c r="U18" s="17" t="str">
        <f aca="false">IF((E18="p"),H18," ")</f>
        <v> </v>
      </c>
      <c r="V18" s="17" t="str">
        <f aca="false">IF((E18="t"),H18," ")</f>
        <v> </v>
      </c>
      <c r="W18" s="17" t="str">
        <f aca="false">IF((E18="q"),H18," ")</f>
        <v> </v>
      </c>
      <c r="X18" s="17" t="str">
        <f aca="false">IF((E18="m"),H18," ")</f>
        <v> </v>
      </c>
      <c r="Y18" s="17" t="n">
        <f aca="false">IF((E18="u"),H18," ")</f>
        <v>30</v>
      </c>
      <c r="Z18" s="17" t="str">
        <f aca="false">IF((E18="a"),H18," ")</f>
        <v> </v>
      </c>
      <c r="AA18" s="17" t="str">
        <f aca="false">IF((E18="g"),H18," ")</f>
        <v> </v>
      </c>
      <c r="AB18" s="17" t="str">
        <f aca="false">IF((E18="h"),H18," ")</f>
        <v> </v>
      </c>
      <c r="AC18" s="30" t="str">
        <f aca="false">IF((E18="v"),H18," ")</f>
        <v> </v>
      </c>
      <c r="AD18" s="30" t="str">
        <f aca="false">IF((E18="n"),H18," ")</f>
        <v> </v>
      </c>
      <c r="AE18" s="17" t="str">
        <f aca="false">IF((E18="f"),H18," ")</f>
        <v> </v>
      </c>
      <c r="AF18" s="17" t="str">
        <f aca="false">IF((E18="l"),H18," ")</f>
        <v> </v>
      </c>
      <c r="AG18" s="17" t="str">
        <f aca="false">IF((E18="y"),H18," ")</f>
        <v> </v>
      </c>
      <c r="AH18" s="17" t="str">
        <f aca="false">IF((E18="z"),H18," ")</f>
        <v> </v>
      </c>
      <c r="AI18" s="17" t="str">
        <f aca="false">IF((E18="fa"),H18," ")</f>
        <v> </v>
      </c>
      <c r="AJ18" s="17" t="str">
        <f aca="false">IF((E18="e"),H18," ")</f>
        <v> </v>
      </c>
      <c r="BZ18" s="2" t="s">
        <v>101</v>
      </c>
    </row>
    <row r="19" customFormat="false" ht="12" hidden="false" customHeight="false" outlineLevel="0" collapsed="false">
      <c r="A19" s="28" t="n">
        <v>46336</v>
      </c>
      <c r="B19" s="2" t="s">
        <v>116</v>
      </c>
      <c r="D19" s="2" t="s">
        <v>117</v>
      </c>
      <c r="E19" s="2" t="s">
        <v>118</v>
      </c>
      <c r="F19" s="30" t="n">
        <v>180</v>
      </c>
      <c r="G19" s="6" t="n">
        <f aca="false">IF(F19&lt;&gt;0,F19*G$2/(100+G$2)," ")</f>
        <v>30</v>
      </c>
      <c r="H19" s="6" t="n">
        <f aca="false">IF((F19&lt;&gt;0),F19-G19," ")</f>
        <v>150</v>
      </c>
      <c r="I19" s="5"/>
      <c r="L19" s="7" t="n">
        <f aca="false">IF(F19&lt;&gt;0,F19-K19," ")</f>
        <v>180</v>
      </c>
      <c r="M19" s="8" t="n">
        <f aca="false">IF((F19-K19)&lt;&gt;0,M$1-A19," ")</f>
        <v>-58</v>
      </c>
      <c r="N19" s="5"/>
      <c r="O19" s="17" t="str">
        <f aca="false">IF((E19="s"),H19," ")</f>
        <v> </v>
      </c>
      <c r="P19" s="17" t="str">
        <f aca="false">IF((E19="c"),H19," ")</f>
        <v> </v>
      </c>
      <c r="Q19" s="17" t="str">
        <f aca="false">IF((E19="o"),H19," ")</f>
        <v> </v>
      </c>
      <c r="R19" s="17" t="str">
        <f aca="false">IF((E19="d"),H19," ")</f>
        <v> </v>
      </c>
      <c r="S19" s="17" t="str">
        <f aca="false">IF((E19="w"),H19," ")</f>
        <v> </v>
      </c>
      <c r="T19" s="17" t="str">
        <f aca="false">IF((E19="r"),H19," ")</f>
        <v> </v>
      </c>
      <c r="U19" s="17" t="str">
        <f aca="false">IF((E19="p"),H19," ")</f>
        <v> </v>
      </c>
      <c r="V19" s="17" t="str">
        <f aca="false">IF((E19="t"),H19," ")</f>
        <v> </v>
      </c>
      <c r="W19" s="17" t="str">
        <f aca="false">IF((E19="q"),H19," ")</f>
        <v> </v>
      </c>
      <c r="X19" s="17" t="str">
        <f aca="false">IF((E19="m"),H19," ")</f>
        <v> </v>
      </c>
      <c r="Y19" s="17" t="str">
        <f aca="false">IF((E19="u"),H19," ")</f>
        <v> </v>
      </c>
      <c r="Z19" s="17" t="str">
        <f aca="false">IF((E19="a"),H19," ")</f>
        <v> </v>
      </c>
      <c r="AA19" s="17" t="str">
        <f aca="false">IF((E19="g"),H19," ")</f>
        <v> </v>
      </c>
      <c r="AB19" s="17" t="str">
        <f aca="false">IF((E19="h"),H19," ")</f>
        <v> </v>
      </c>
      <c r="AC19" s="30" t="str">
        <f aca="false">IF((E19="v"),H19," ")</f>
        <v> </v>
      </c>
      <c r="AD19" s="30" t="str">
        <f aca="false">IF((E19="n"),H19," ")</f>
        <v> </v>
      </c>
      <c r="AE19" s="17" t="n">
        <f aca="false">IF((E19="f"),H19," ")</f>
        <v>150</v>
      </c>
      <c r="AF19" s="17" t="str">
        <f aca="false">IF((E19="l"),H19," ")</f>
        <v> </v>
      </c>
      <c r="AG19" s="17" t="str">
        <f aca="false">IF((E19="y"),H19," ")</f>
        <v> </v>
      </c>
      <c r="AH19" s="17" t="str">
        <f aca="false">IF((E19="z"),H19," ")</f>
        <v> </v>
      </c>
      <c r="AI19" s="17" t="str">
        <f aca="false">IF((E19="fa"),H19," ")</f>
        <v> </v>
      </c>
      <c r="AJ19" s="17" t="str">
        <f aca="false">IF((E19="e"),H19," ")</f>
        <v> </v>
      </c>
      <c r="BZ19" s="2" t="s">
        <v>119</v>
      </c>
    </row>
    <row r="20" customFormat="false" ht="12" hidden="false" customHeight="false" outlineLevel="0" collapsed="false">
      <c r="A20" s="28" t="n">
        <v>46336</v>
      </c>
      <c r="B20" s="2" t="s">
        <v>120</v>
      </c>
      <c r="D20" s="2" t="s">
        <v>121</v>
      </c>
      <c r="E20" s="2" t="s">
        <v>122</v>
      </c>
      <c r="F20" s="30" t="n">
        <v>600</v>
      </c>
      <c r="G20" s="6" t="n">
        <f aca="false">IF(F20&lt;&gt;0,F20*G$2/(100+G$2)," ")</f>
        <v>100</v>
      </c>
      <c r="H20" s="6" t="n">
        <f aca="false">IF((F20&lt;&gt;0),F20-G20," ")</f>
        <v>500</v>
      </c>
      <c r="I20" s="5"/>
      <c r="L20" s="7" t="n">
        <f aca="false">IF(F20&lt;&gt;0,F20-K20," ")</f>
        <v>600</v>
      </c>
      <c r="M20" s="8" t="n">
        <f aca="false">IF((F20-K20)&lt;&gt;0,M$1-A20," ")</f>
        <v>-58</v>
      </c>
      <c r="N20" s="5"/>
      <c r="O20" s="17" t="n">
        <f aca="false">IF((E20="s"),H20," ")</f>
        <v>500</v>
      </c>
      <c r="P20" s="17" t="str">
        <f aca="false">IF((E20="c"),H20," ")</f>
        <v> </v>
      </c>
      <c r="Q20" s="17" t="str">
        <f aca="false">IF((E20="o"),H20," ")</f>
        <v> </v>
      </c>
      <c r="R20" s="17" t="str">
        <f aca="false">IF((E20="d"),H20," ")</f>
        <v> </v>
      </c>
      <c r="S20" s="17" t="str">
        <f aca="false">IF((E20="w"),H20," ")</f>
        <v> </v>
      </c>
      <c r="T20" s="17" t="str">
        <f aca="false">IF((E20="r"),H20," ")</f>
        <v> </v>
      </c>
      <c r="U20" s="17" t="str">
        <f aca="false">IF((E20="p"),H20," ")</f>
        <v> </v>
      </c>
      <c r="V20" s="17" t="str">
        <f aca="false">IF((E20="t"),H20," ")</f>
        <v> </v>
      </c>
      <c r="W20" s="17" t="str">
        <f aca="false">IF((E20="q"),H20," ")</f>
        <v> </v>
      </c>
      <c r="X20" s="17" t="str">
        <f aca="false">IF((E20="m"),H20," ")</f>
        <v> </v>
      </c>
      <c r="Y20" s="17" t="str">
        <f aca="false">IF((E20="u"),H20," ")</f>
        <v> </v>
      </c>
      <c r="Z20" s="17" t="str">
        <f aca="false">IF((E20="a"),H20," ")</f>
        <v> </v>
      </c>
      <c r="AA20" s="17" t="str">
        <f aca="false">IF((E20="g"),H20," ")</f>
        <v> </v>
      </c>
      <c r="AB20" s="17" t="str">
        <f aca="false">IF((E20="h"),H20," ")</f>
        <v> </v>
      </c>
      <c r="AC20" s="30" t="str">
        <f aca="false">IF((E20="v"),H20," ")</f>
        <v> </v>
      </c>
      <c r="AD20" s="30" t="str">
        <f aca="false">IF((E20="n"),H20," ")</f>
        <v> </v>
      </c>
      <c r="AE20" s="17" t="str">
        <f aca="false">IF((E20="f"),H20," ")</f>
        <v> </v>
      </c>
      <c r="AF20" s="17" t="str">
        <f aca="false">IF((E20="l"),H20," ")</f>
        <v> </v>
      </c>
      <c r="AG20" s="17" t="str">
        <f aca="false">IF((E20="y"),H20," ")</f>
        <v> </v>
      </c>
      <c r="AH20" s="17" t="str">
        <f aca="false">IF((E20="z"),H20," ")</f>
        <v> </v>
      </c>
      <c r="AI20" s="17" t="str">
        <f aca="false">IF((E20="fa"),H20," ")</f>
        <v> </v>
      </c>
      <c r="AJ20" s="17" t="str">
        <f aca="false">IF((E20="e"),H20," ")</f>
        <v> </v>
      </c>
      <c r="BZ20" s="2" t="s">
        <v>123</v>
      </c>
    </row>
    <row r="21" customFormat="false" ht="12" hidden="false" customHeight="false" outlineLevel="0" collapsed="false">
      <c r="A21" s="28" t="n">
        <v>46338</v>
      </c>
      <c r="B21" s="2" t="s">
        <v>124</v>
      </c>
      <c r="D21" s="2" t="s">
        <v>125</v>
      </c>
      <c r="E21" s="2" t="s">
        <v>106</v>
      </c>
      <c r="F21" s="30" t="n">
        <v>18</v>
      </c>
      <c r="G21" s="6" t="n">
        <f aca="false">IF(F21&lt;&gt;0,F21*G$2/(100+G$2)," ")</f>
        <v>3</v>
      </c>
      <c r="H21" s="6" t="n">
        <f aca="false">IF((F21&lt;&gt;0),F21-G21," ")</f>
        <v>15</v>
      </c>
      <c r="I21" s="5"/>
      <c r="L21" s="7" t="n">
        <f aca="false">IF(F21&lt;&gt;0,F21-K21," ")</f>
        <v>18</v>
      </c>
      <c r="M21" s="8" t="n">
        <f aca="false">IF((F21-K21)&lt;&gt;0,M$1-A21," ")</f>
        <v>-60</v>
      </c>
      <c r="N21" s="5"/>
      <c r="O21" s="17" t="str">
        <f aca="false">IF((E21="s"),H21," ")</f>
        <v> </v>
      </c>
      <c r="P21" s="17" t="str">
        <f aca="false">IF((E21="c"),H21," ")</f>
        <v> </v>
      </c>
      <c r="Q21" s="17" t="str">
        <f aca="false">IF((E21="o"),H21," ")</f>
        <v> </v>
      </c>
      <c r="R21" s="17" t="str">
        <f aca="false">IF((E21="d"),H21," ")</f>
        <v> </v>
      </c>
      <c r="S21" s="17" t="str">
        <f aca="false">IF((E21="w"),H21," ")</f>
        <v> </v>
      </c>
      <c r="T21" s="17" t="str">
        <f aca="false">IF((E21="r"),H21," ")</f>
        <v> </v>
      </c>
      <c r="U21" s="17" t="str">
        <f aca="false">IF((E21="p"),H21," ")</f>
        <v> </v>
      </c>
      <c r="V21" s="17" t="str">
        <f aca="false">IF((E21="t"),H21," ")</f>
        <v> </v>
      </c>
      <c r="W21" s="17" t="str">
        <f aca="false">IF((E21="q"),H21," ")</f>
        <v> </v>
      </c>
      <c r="X21" s="17" t="str">
        <f aca="false">IF((E21="m"),H21," ")</f>
        <v> </v>
      </c>
      <c r="Y21" s="17" t="str">
        <f aca="false">IF((E21="u"),H21," ")</f>
        <v> </v>
      </c>
      <c r="Z21" s="17" t="str">
        <f aca="false">IF((E21="a"),H21," ")</f>
        <v> </v>
      </c>
      <c r="AA21" s="17" t="str">
        <f aca="false">IF((E21="g"),H21," ")</f>
        <v> </v>
      </c>
      <c r="AB21" s="17" t="str">
        <f aca="false">IF((E21="h"),H21," ")</f>
        <v> </v>
      </c>
      <c r="AC21" s="30" t="n">
        <f aca="false">IF((E21="v"),H21," ")</f>
        <v>15</v>
      </c>
      <c r="AD21" s="30" t="str">
        <f aca="false">IF((E21="n"),H21," ")</f>
        <v> </v>
      </c>
      <c r="AE21" s="17" t="str">
        <f aca="false">IF((E21="f"),H21," ")</f>
        <v> </v>
      </c>
      <c r="AF21" s="17" t="str">
        <f aca="false">IF((E21="l"),H21," ")</f>
        <v> </v>
      </c>
      <c r="AG21" s="17" t="str">
        <f aca="false">IF((E21="y"),H21," ")</f>
        <v> </v>
      </c>
      <c r="AH21" s="17" t="str">
        <f aca="false">IF((E21="z"),H21," ")</f>
        <v> </v>
      </c>
      <c r="AI21" s="17" t="str">
        <f aca="false">IF((E21="fa"),H21," ")</f>
        <v> </v>
      </c>
      <c r="AJ21" s="17" t="str">
        <f aca="false">IF((E21="e"),H21," ")</f>
        <v> </v>
      </c>
      <c r="BZ21" s="2" t="s">
        <v>107</v>
      </c>
    </row>
    <row r="22" customFormat="false" ht="12" hidden="false" customHeight="false" outlineLevel="0" collapsed="false">
      <c r="A22" s="28" t="n">
        <v>46340</v>
      </c>
      <c r="B22" s="2" t="s">
        <v>126</v>
      </c>
      <c r="D22" s="2" t="s">
        <v>127</v>
      </c>
      <c r="E22" s="2" t="s">
        <v>100</v>
      </c>
      <c r="F22" s="30" t="n">
        <v>42</v>
      </c>
      <c r="G22" s="6" t="n">
        <f aca="false">IF(F22&lt;&gt;0,F22*G$2/(100+G$2)," ")</f>
        <v>7</v>
      </c>
      <c r="H22" s="6" t="n">
        <f aca="false">IF((F22&lt;&gt;0),F22-G22," ")</f>
        <v>35</v>
      </c>
      <c r="I22" s="5"/>
      <c r="L22" s="7" t="n">
        <f aca="false">IF(F22&lt;&gt;0,F22-K22," ")</f>
        <v>42</v>
      </c>
      <c r="M22" s="8" t="n">
        <f aca="false">IF((F22-K22)&lt;&gt;0,M$1-A22," ")</f>
        <v>-62</v>
      </c>
      <c r="N22" s="5"/>
      <c r="O22" s="17" t="str">
        <f aca="false">IF((E22="s"),H22," ")</f>
        <v> </v>
      </c>
      <c r="P22" s="17" t="str">
        <f aca="false">IF((E22="c"),H22," ")</f>
        <v> </v>
      </c>
      <c r="Q22" s="17" t="str">
        <f aca="false">IF((E22="o"),H22," ")</f>
        <v> </v>
      </c>
      <c r="R22" s="17" t="str">
        <f aca="false">IF((E22="d"),H22," ")</f>
        <v> </v>
      </c>
      <c r="S22" s="17" t="str">
        <f aca="false">IF((E22="w"),H22," ")</f>
        <v> </v>
      </c>
      <c r="T22" s="17" t="str">
        <f aca="false">IF((E22="r"),H22," ")</f>
        <v> </v>
      </c>
      <c r="U22" s="17" t="str">
        <f aca="false">IF((E22="p"),H22," ")</f>
        <v> </v>
      </c>
      <c r="V22" s="17" t="str">
        <f aca="false">IF((E22="t"),H22," ")</f>
        <v> </v>
      </c>
      <c r="W22" s="17" t="str">
        <f aca="false">IF((E22="q"),H22," ")</f>
        <v> </v>
      </c>
      <c r="X22" s="17" t="str">
        <f aca="false">IF((E22="m"),H22," ")</f>
        <v> </v>
      </c>
      <c r="Y22" s="17" t="n">
        <f aca="false">IF((E22="u"),H22," ")</f>
        <v>35</v>
      </c>
      <c r="Z22" s="17" t="str">
        <f aca="false">IF((E22="a"),H22," ")</f>
        <v> </v>
      </c>
      <c r="AA22" s="17" t="str">
        <f aca="false">IF((E22="g"),H22," ")</f>
        <v> </v>
      </c>
      <c r="AB22" s="17" t="str">
        <f aca="false">IF((E22="h"),H22," ")</f>
        <v> </v>
      </c>
      <c r="AC22" s="30" t="str">
        <f aca="false">IF((E22="v"),H22," ")</f>
        <v> </v>
      </c>
      <c r="AD22" s="30" t="str">
        <f aca="false">IF((E22="n"),H22," ")</f>
        <v> </v>
      </c>
      <c r="AE22" s="17" t="str">
        <f aca="false">IF((E22="f"),H22," ")</f>
        <v> </v>
      </c>
      <c r="AF22" s="17" t="str">
        <f aca="false">IF((E22="l"),H22," ")</f>
        <v> </v>
      </c>
      <c r="AG22" s="17" t="str">
        <f aca="false">IF((E22="y"),H22," ")</f>
        <v> </v>
      </c>
      <c r="AH22" s="17" t="str">
        <f aca="false">IF((E22="z"),H22," ")</f>
        <v> </v>
      </c>
      <c r="AI22" s="17" t="str">
        <f aca="false">IF((E22="fa"),H22," ")</f>
        <v> </v>
      </c>
      <c r="AJ22" s="17" t="str">
        <f aca="false">IF((E22="e"),H22," ")</f>
        <v> </v>
      </c>
      <c r="BZ22" s="2" t="s">
        <v>101</v>
      </c>
    </row>
    <row r="23" customFormat="false" ht="12" hidden="false" customHeight="false" outlineLevel="0" collapsed="false">
      <c r="A23" s="28" t="n">
        <v>46340</v>
      </c>
      <c r="B23" s="2" t="s">
        <v>128</v>
      </c>
      <c r="D23" s="2" t="s">
        <v>129</v>
      </c>
      <c r="E23" s="2" t="s">
        <v>112</v>
      </c>
      <c r="F23" s="30" t="n">
        <v>24</v>
      </c>
      <c r="G23" s="6" t="n">
        <f aca="false">IF(F23&lt;&gt;0,F23*G$2/(100+G$2)," ")</f>
        <v>4</v>
      </c>
      <c r="H23" s="6" t="n">
        <f aca="false">IF((F23&lt;&gt;0),F23-G23," ")</f>
        <v>20</v>
      </c>
      <c r="I23" s="5"/>
      <c r="L23" s="7" t="n">
        <f aca="false">IF(F23&lt;&gt;0,F23-K23," ")</f>
        <v>24</v>
      </c>
      <c r="M23" s="8" t="n">
        <f aca="false">IF((F23-K23)&lt;&gt;0,M$1-A23," ")</f>
        <v>-62</v>
      </c>
      <c r="N23" s="5"/>
      <c r="O23" s="17" t="str">
        <f aca="false">IF((E23="s"),H23," ")</f>
        <v> </v>
      </c>
      <c r="P23" s="17" t="str">
        <f aca="false">IF((E23="c"),H23," ")</f>
        <v> </v>
      </c>
      <c r="Q23" s="17" t="str">
        <f aca="false">IF((E23="o"),H23," ")</f>
        <v> </v>
      </c>
      <c r="R23" s="17" t="str">
        <f aca="false">IF((E23="d"),H23," ")</f>
        <v> </v>
      </c>
      <c r="S23" s="17" t="str">
        <f aca="false">IF((E23="w"),H23," ")</f>
        <v> </v>
      </c>
      <c r="T23" s="17" t="str">
        <f aca="false">IF((E23="r"),H23," ")</f>
        <v> </v>
      </c>
      <c r="U23" s="17" t="str">
        <f aca="false">IF((E23="p"),H23," ")</f>
        <v> </v>
      </c>
      <c r="V23" s="17" t="str">
        <f aca="false">IF((E23="t"),H23," ")</f>
        <v> </v>
      </c>
      <c r="W23" s="17" t="str">
        <f aca="false">IF((E23="q"),H23," ")</f>
        <v> </v>
      </c>
      <c r="X23" s="17" t="str">
        <f aca="false">IF((E23="m"),H23," ")</f>
        <v> </v>
      </c>
      <c r="Y23" s="17" t="str">
        <f aca="false">IF((E23="u"),H23," ")</f>
        <v> </v>
      </c>
      <c r="Z23" s="17" t="str">
        <f aca="false">IF((E23="a"),H23," ")</f>
        <v> </v>
      </c>
      <c r="AA23" s="17" t="str">
        <f aca="false">IF((E23="g"),H23," ")</f>
        <v> </v>
      </c>
      <c r="AB23" s="17" t="n">
        <f aca="false">IF((E23="h"),H23," ")</f>
        <v>20</v>
      </c>
      <c r="AC23" s="30" t="str">
        <f aca="false">IF((E23="v"),H23," ")</f>
        <v> </v>
      </c>
      <c r="AD23" s="30" t="str">
        <f aca="false">IF((E23="n"),H23," ")</f>
        <v> </v>
      </c>
      <c r="AE23" s="17" t="str">
        <f aca="false">IF((E23="f"),H23," ")</f>
        <v> </v>
      </c>
      <c r="AF23" s="17" t="str">
        <f aca="false">IF((E23="l"),H23," ")</f>
        <v> </v>
      </c>
      <c r="AG23" s="17" t="str">
        <f aca="false">IF((E23="y"),H23," ")</f>
        <v> </v>
      </c>
      <c r="AH23" s="17" t="str">
        <f aca="false">IF((E23="z"),H23," ")</f>
        <v> </v>
      </c>
      <c r="AI23" s="17" t="str">
        <f aca="false">IF((E23="fa"),H23," ")</f>
        <v> </v>
      </c>
      <c r="AJ23" s="17" t="str">
        <f aca="false">IF((E23="e"),H23," ")</f>
        <v> </v>
      </c>
      <c r="BZ23" s="2" t="s">
        <v>113</v>
      </c>
    </row>
    <row r="24" customFormat="false" ht="12" hidden="false" customHeight="false" outlineLevel="0" collapsed="false">
      <c r="A24" s="28" t="n">
        <v>46340</v>
      </c>
      <c r="B24" s="2" t="s">
        <v>130</v>
      </c>
      <c r="D24" s="2" t="s">
        <v>131</v>
      </c>
      <c r="E24" s="2" t="s">
        <v>112</v>
      </c>
      <c r="F24" s="30" t="n">
        <v>12</v>
      </c>
      <c r="G24" s="6" t="n">
        <f aca="false">IF(F24&lt;&gt;0,F24*G$2/(100+G$2)," ")</f>
        <v>2</v>
      </c>
      <c r="H24" s="6" t="n">
        <f aca="false">IF((F24&lt;&gt;0),F24-G24," ")</f>
        <v>10</v>
      </c>
      <c r="I24" s="5"/>
      <c r="L24" s="7" t="n">
        <f aca="false">IF(F24&lt;&gt;0,F24-K24," ")</f>
        <v>12</v>
      </c>
      <c r="M24" s="8" t="n">
        <f aca="false">IF((F24-K24)&lt;&gt;0,M$1-A24," ")</f>
        <v>-62</v>
      </c>
      <c r="N24" s="5"/>
      <c r="O24" s="17" t="str">
        <f aca="false">IF((E24="s"),H24," ")</f>
        <v> </v>
      </c>
      <c r="P24" s="17" t="str">
        <f aca="false">IF((E24="c"),H24," ")</f>
        <v> </v>
      </c>
      <c r="Q24" s="17" t="str">
        <f aca="false">IF((E24="o"),H24," ")</f>
        <v> </v>
      </c>
      <c r="R24" s="17" t="str">
        <f aca="false">IF((E24="d"),H24," ")</f>
        <v> </v>
      </c>
      <c r="S24" s="17" t="str">
        <f aca="false">IF((E24="w"),H24," ")</f>
        <v> </v>
      </c>
      <c r="T24" s="17" t="str">
        <f aca="false">IF((E24="r"),H24," ")</f>
        <v> </v>
      </c>
      <c r="U24" s="17" t="str">
        <f aca="false">IF((E24="p"),H24," ")</f>
        <v> </v>
      </c>
      <c r="V24" s="17" t="str">
        <f aca="false">IF((E24="t"),H24," ")</f>
        <v> </v>
      </c>
      <c r="W24" s="17" t="str">
        <f aca="false">IF((E24="q"),H24," ")</f>
        <v> </v>
      </c>
      <c r="X24" s="17" t="str">
        <f aca="false">IF((E24="m"),H24," ")</f>
        <v> </v>
      </c>
      <c r="Y24" s="17" t="str">
        <f aca="false">IF((E24="u"),H24," ")</f>
        <v> </v>
      </c>
      <c r="Z24" s="17" t="str">
        <f aca="false">IF((E24="a"),H24," ")</f>
        <v> </v>
      </c>
      <c r="AA24" s="17" t="str">
        <f aca="false">IF((E24="g"),H24," ")</f>
        <v> </v>
      </c>
      <c r="AB24" s="17" t="n">
        <f aca="false">IF((E24="h"),H24," ")</f>
        <v>10</v>
      </c>
      <c r="AC24" s="30" t="str">
        <f aca="false">IF((E24="v"),H24," ")</f>
        <v> </v>
      </c>
      <c r="AD24" s="30" t="str">
        <f aca="false">IF((E24="n"),H24," ")</f>
        <v> </v>
      </c>
      <c r="AE24" s="17" t="str">
        <f aca="false">IF((E24="f"),H24," ")</f>
        <v> </v>
      </c>
      <c r="AF24" s="17" t="str">
        <f aca="false">IF((E24="l"),H24," ")</f>
        <v> </v>
      </c>
      <c r="AG24" s="17" t="str">
        <f aca="false">IF((E24="y"),H24," ")</f>
        <v> </v>
      </c>
      <c r="AH24" s="17" t="str">
        <f aca="false">IF((E24="z"),H24," ")</f>
        <v> </v>
      </c>
      <c r="AI24" s="17" t="str">
        <f aca="false">IF((E24="fa"),H24," ")</f>
        <v> </v>
      </c>
      <c r="AJ24" s="17" t="str">
        <f aca="false">IF((E24="e"),H24," ")</f>
        <v> </v>
      </c>
      <c r="BZ24" s="2" t="s">
        <v>113</v>
      </c>
    </row>
    <row r="25" customFormat="false" ht="12" hidden="false" customHeight="false" outlineLevel="0" collapsed="false">
      <c r="A25" s="28" t="n">
        <v>46341</v>
      </c>
      <c r="B25" s="2" t="s">
        <v>20</v>
      </c>
      <c r="D25" s="2" t="s">
        <v>105</v>
      </c>
      <c r="E25" s="2" t="s">
        <v>106</v>
      </c>
      <c r="F25" s="30" t="n">
        <v>150</v>
      </c>
      <c r="G25" s="6" t="n">
        <f aca="false">IF(F25&lt;&gt;0,F25*G$2/(100+G$2)," ")</f>
        <v>25</v>
      </c>
      <c r="H25" s="6" t="n">
        <f aca="false">IF((F25&lt;&gt;0),F25-G25," ")</f>
        <v>125</v>
      </c>
      <c r="I25" s="5"/>
      <c r="L25" s="7" t="n">
        <f aca="false">IF(F25&lt;&gt;0,F25-K25," ")</f>
        <v>150</v>
      </c>
      <c r="M25" s="8" t="n">
        <f aca="false">IF((F25-K25)&lt;&gt;0,M$1-A25," ")</f>
        <v>-63</v>
      </c>
      <c r="N25" s="5"/>
      <c r="O25" s="17" t="str">
        <f aca="false">IF((E25="s"),H25," ")</f>
        <v> </v>
      </c>
      <c r="P25" s="17" t="str">
        <f aca="false">IF((E25="c"),H25," ")</f>
        <v> </v>
      </c>
      <c r="Q25" s="17" t="str">
        <f aca="false">IF((E25="o"),H25," ")</f>
        <v> </v>
      </c>
      <c r="R25" s="17" t="str">
        <f aca="false">IF((E25="d"),H25," ")</f>
        <v> </v>
      </c>
      <c r="S25" s="17" t="str">
        <f aca="false">IF((E25="w"),H25," ")</f>
        <v> </v>
      </c>
      <c r="T25" s="17" t="str">
        <f aca="false">IF((E25="r"),H25," ")</f>
        <v> </v>
      </c>
      <c r="U25" s="17" t="str">
        <f aca="false">IF((E25="p"),H25," ")</f>
        <v> </v>
      </c>
      <c r="V25" s="17" t="str">
        <f aca="false">IF((E25="t"),H25," ")</f>
        <v> </v>
      </c>
      <c r="W25" s="17" t="str">
        <f aca="false">IF((E25="q"),H25," ")</f>
        <v> </v>
      </c>
      <c r="X25" s="17" t="str">
        <f aca="false">IF((E25="m"),H25," ")</f>
        <v> </v>
      </c>
      <c r="Y25" s="17" t="str">
        <f aca="false">IF((E25="u"),H25," ")</f>
        <v> </v>
      </c>
      <c r="Z25" s="17" t="str">
        <f aca="false">IF((E25="a"),H25," ")</f>
        <v> </v>
      </c>
      <c r="AA25" s="17" t="str">
        <f aca="false">IF((E25="g"),H25," ")</f>
        <v> </v>
      </c>
      <c r="AB25" s="17" t="str">
        <f aca="false">IF((E25="h"),H25," ")</f>
        <v> </v>
      </c>
      <c r="AC25" s="30" t="n">
        <f aca="false">IF((E25="v"),H25," ")</f>
        <v>125</v>
      </c>
      <c r="AD25" s="30" t="str">
        <f aca="false">IF((E25="n"),H25," ")</f>
        <v> </v>
      </c>
      <c r="AE25" s="17" t="str">
        <f aca="false">IF((E25="f"),H25," ")</f>
        <v> </v>
      </c>
      <c r="AF25" s="17" t="str">
        <f aca="false">IF((E25="l"),H25," ")</f>
        <v> </v>
      </c>
      <c r="AG25" s="17" t="str">
        <f aca="false">IF((E25="y"),H25," ")</f>
        <v> </v>
      </c>
      <c r="AH25" s="17" t="str">
        <f aca="false">IF((E25="z"),H25," ")</f>
        <v> </v>
      </c>
      <c r="AI25" s="17" t="str">
        <f aca="false">IF((E25="fa"),H25," ")</f>
        <v> </v>
      </c>
      <c r="AJ25" s="17" t="str">
        <f aca="false">IF((E25="e"),H25," ")</f>
        <v> </v>
      </c>
      <c r="BZ25" s="2" t="s">
        <v>107</v>
      </c>
    </row>
    <row r="26" customFormat="false" ht="12" hidden="false" customHeight="false" outlineLevel="0" collapsed="false">
      <c r="A26" s="28" t="n">
        <v>46341</v>
      </c>
      <c r="B26" s="2" t="s">
        <v>132</v>
      </c>
      <c r="D26" s="2" t="s">
        <v>133</v>
      </c>
      <c r="E26" s="2" t="s">
        <v>80</v>
      </c>
      <c r="F26" s="30" t="n">
        <v>12</v>
      </c>
      <c r="G26" s="6" t="n">
        <f aca="false">IF(F26&lt;&gt;0,F26*G$2/(100+G$2)," ")</f>
        <v>2</v>
      </c>
      <c r="H26" s="6" t="n">
        <f aca="false">IF((F26&lt;&gt;0),F26-G26," ")</f>
        <v>10</v>
      </c>
      <c r="I26" s="5"/>
      <c r="L26" s="7" t="n">
        <f aca="false">IF(F26&lt;&gt;0,F26-K26," ")</f>
        <v>12</v>
      </c>
      <c r="M26" s="8" t="n">
        <f aca="false">IF((F26-K26)&lt;&gt;0,M$1-A26," ")</f>
        <v>-63</v>
      </c>
      <c r="N26" s="5"/>
      <c r="O26" s="17" t="str">
        <f aca="false">IF((E26="s"),H26," ")</f>
        <v> </v>
      </c>
      <c r="P26" s="17" t="str">
        <f aca="false">IF((E26="c"),H26," ")</f>
        <v> </v>
      </c>
      <c r="Q26" s="17" t="str">
        <f aca="false">IF((E26="o"),H26," ")</f>
        <v> </v>
      </c>
      <c r="R26" s="17" t="str">
        <f aca="false">IF((E26="d"),H26," ")</f>
        <v> </v>
      </c>
      <c r="S26" s="17" t="str">
        <f aca="false">IF((E26="w"),H26," ")</f>
        <v> </v>
      </c>
      <c r="T26" s="17" t="str">
        <f aca="false">IF((E26="r"),H26," ")</f>
        <v> </v>
      </c>
      <c r="U26" s="17" t="str">
        <f aca="false">IF((E26="p"),H26," ")</f>
        <v> </v>
      </c>
      <c r="V26" s="17" t="str">
        <f aca="false">IF((E26="t"),H26," ")</f>
        <v> </v>
      </c>
      <c r="W26" s="17" t="str">
        <f aca="false">IF((E26="q"),H26," ")</f>
        <v> </v>
      </c>
      <c r="X26" s="17" t="str">
        <f aca="false">IF((E26="m"),H26," ")</f>
        <v> </v>
      </c>
      <c r="Y26" s="17" t="str">
        <f aca="false">IF((E26="u"),H26," ")</f>
        <v> </v>
      </c>
      <c r="Z26" s="17" t="str">
        <f aca="false">IF((E26="a"),H26," ")</f>
        <v> </v>
      </c>
      <c r="AA26" s="17" t="n">
        <f aca="false">IF((E26="g"),H26," ")</f>
        <v>10</v>
      </c>
      <c r="AB26" s="17" t="str">
        <f aca="false">IF((E26="h"),H26," ")</f>
        <v> </v>
      </c>
      <c r="AC26" s="30" t="str">
        <f aca="false">IF((E26="v"),H26," ")</f>
        <v> </v>
      </c>
      <c r="AD26" s="30" t="str">
        <f aca="false">IF((E26="n"),H26," ")</f>
        <v> </v>
      </c>
      <c r="AE26" s="17" t="str">
        <f aca="false">IF((E26="f"),H26," ")</f>
        <v> </v>
      </c>
      <c r="AF26" s="17" t="str">
        <f aca="false">IF((E26="l"),H26," ")</f>
        <v> </v>
      </c>
      <c r="AG26" s="17" t="str">
        <f aca="false">IF((E26="y"),H26," ")</f>
        <v> </v>
      </c>
      <c r="AH26" s="17" t="str">
        <f aca="false">IF((E26="z"),H26," ")</f>
        <v> </v>
      </c>
      <c r="AI26" s="17" t="str">
        <f aca="false">IF((E26="fa"),H26," ")</f>
        <v> </v>
      </c>
      <c r="AJ26" s="17" t="str">
        <f aca="false">IF((E26="e"),H26," ")</f>
        <v> </v>
      </c>
      <c r="BZ26" s="2" t="s">
        <v>81</v>
      </c>
    </row>
    <row r="27" customFormat="false" ht="12" hidden="false" customHeight="false" outlineLevel="0" collapsed="false">
      <c r="A27" s="28" t="n">
        <v>46344</v>
      </c>
      <c r="B27" s="2" t="s">
        <v>134</v>
      </c>
      <c r="D27" s="2" t="s">
        <v>105</v>
      </c>
      <c r="E27" s="2" t="s">
        <v>106</v>
      </c>
      <c r="F27" s="30" t="n">
        <v>96</v>
      </c>
      <c r="G27" s="6" t="n">
        <f aca="false">IF(F27&lt;&gt;0,F27*G$2/(100+G$2)," ")</f>
        <v>16</v>
      </c>
      <c r="H27" s="6" t="n">
        <f aca="false">IF((F27&lt;&gt;0),F27-G27," ")</f>
        <v>80</v>
      </c>
      <c r="I27" s="5"/>
      <c r="L27" s="7" t="n">
        <f aca="false">IF(F27&lt;&gt;0,F27-K27," ")</f>
        <v>96</v>
      </c>
      <c r="M27" s="8" t="n">
        <f aca="false">IF((F27-K27)&lt;&gt;0,M$1-A27," ")</f>
        <v>-66</v>
      </c>
      <c r="N27" s="5"/>
      <c r="O27" s="17" t="str">
        <f aca="false">IF((E27="s"),H27," ")</f>
        <v> </v>
      </c>
      <c r="P27" s="17" t="str">
        <f aca="false">IF((E27="c"),H27," ")</f>
        <v> </v>
      </c>
      <c r="Q27" s="17" t="str">
        <f aca="false">IF((E27="o"),H27," ")</f>
        <v> </v>
      </c>
      <c r="R27" s="17" t="str">
        <f aca="false">IF((E27="d"),H27," ")</f>
        <v> </v>
      </c>
      <c r="S27" s="17" t="str">
        <f aca="false">IF((E27="w"),H27," ")</f>
        <v> </v>
      </c>
      <c r="T27" s="17" t="str">
        <f aca="false">IF((E27="r"),H27," ")</f>
        <v> </v>
      </c>
      <c r="U27" s="17" t="str">
        <f aca="false">IF((E27="p"),H27," ")</f>
        <v> </v>
      </c>
      <c r="V27" s="17" t="str">
        <f aca="false">IF((E27="t"),H27," ")</f>
        <v> </v>
      </c>
      <c r="W27" s="17" t="str">
        <f aca="false">IF((E27="q"),H27," ")</f>
        <v> </v>
      </c>
      <c r="X27" s="17" t="str">
        <f aca="false">IF((E27="m"),H27," ")</f>
        <v> </v>
      </c>
      <c r="Y27" s="17" t="str">
        <f aca="false">IF((E27="u"),H27," ")</f>
        <v> </v>
      </c>
      <c r="Z27" s="17" t="str">
        <f aca="false">IF((E27="a"),H27," ")</f>
        <v> </v>
      </c>
      <c r="AA27" s="17" t="str">
        <f aca="false">IF((E27="g"),H27," ")</f>
        <v> </v>
      </c>
      <c r="AB27" s="17" t="str">
        <f aca="false">IF((E27="h"),H27," ")</f>
        <v> </v>
      </c>
      <c r="AC27" s="30" t="n">
        <f aca="false">IF((E27="v"),H27," ")</f>
        <v>80</v>
      </c>
      <c r="AD27" s="30" t="str">
        <f aca="false">IF((E27="n"),H27," ")</f>
        <v> </v>
      </c>
      <c r="AE27" s="17" t="str">
        <f aca="false">IF((E27="f"),H27," ")</f>
        <v> </v>
      </c>
      <c r="AF27" s="17" t="str">
        <f aca="false">IF((E27="l"),H27," ")</f>
        <v> </v>
      </c>
      <c r="AG27" s="17" t="str">
        <f aca="false">IF((E27="y"),H27," ")</f>
        <v> </v>
      </c>
      <c r="AH27" s="17" t="str">
        <f aca="false">IF((E27="z"),H27," ")</f>
        <v> </v>
      </c>
      <c r="AI27" s="17" t="str">
        <f aca="false">IF((E27="fa"),H27," ")</f>
        <v> </v>
      </c>
      <c r="AJ27" s="17" t="str">
        <f aca="false">IF((E27="e"),H27," ")</f>
        <v> </v>
      </c>
      <c r="BZ27" s="2" t="s">
        <v>107</v>
      </c>
    </row>
    <row r="28" customFormat="false" ht="12" hidden="false" customHeight="false" outlineLevel="0" collapsed="false">
      <c r="A28" s="28" t="n">
        <v>46346</v>
      </c>
      <c r="B28" s="2" t="s">
        <v>135</v>
      </c>
      <c r="D28" s="2" t="s">
        <v>136</v>
      </c>
      <c r="E28" s="2" t="s">
        <v>80</v>
      </c>
      <c r="F28" s="30" t="n">
        <v>60</v>
      </c>
      <c r="G28" s="6" t="n">
        <f aca="false">IF(F28&lt;&gt;0,F28*G$2/(100+G$2)," ")</f>
        <v>10</v>
      </c>
      <c r="H28" s="6" t="n">
        <f aca="false">IF((F28&lt;&gt;0),F28-G28," ")</f>
        <v>50</v>
      </c>
      <c r="I28" s="5"/>
      <c r="L28" s="7" t="n">
        <f aca="false">IF(F28&lt;&gt;0,F28-K28," ")</f>
        <v>60</v>
      </c>
      <c r="M28" s="8" t="n">
        <f aca="false">IF((F28-K28)&lt;&gt;0,M$1-A28," ")</f>
        <v>-68</v>
      </c>
      <c r="N28" s="5"/>
      <c r="O28" s="17" t="str">
        <f aca="false">IF((E28="s"),H28," ")</f>
        <v> </v>
      </c>
      <c r="P28" s="17" t="str">
        <f aca="false">IF((E28="c"),H28," ")</f>
        <v> </v>
      </c>
      <c r="Q28" s="17" t="str">
        <f aca="false">IF((E28="o"),H28," ")</f>
        <v> </v>
      </c>
      <c r="R28" s="17" t="str">
        <f aca="false">IF((E28="d"),H28," ")</f>
        <v> </v>
      </c>
      <c r="S28" s="17" t="str">
        <f aca="false">IF((E28="w"),H28," ")</f>
        <v> </v>
      </c>
      <c r="T28" s="17" t="str">
        <f aca="false">IF((E28="r"),H28," ")</f>
        <v> </v>
      </c>
      <c r="U28" s="17" t="str">
        <f aca="false">IF((E28="p"),H28," ")</f>
        <v> </v>
      </c>
      <c r="V28" s="17" t="str">
        <f aca="false">IF((E28="t"),H28," ")</f>
        <v> </v>
      </c>
      <c r="W28" s="17" t="str">
        <f aca="false">IF((E28="q"),H28," ")</f>
        <v> </v>
      </c>
      <c r="X28" s="17" t="str">
        <f aca="false">IF((E28="m"),H28," ")</f>
        <v> </v>
      </c>
      <c r="Y28" s="17" t="str">
        <f aca="false">IF((E28="u"),H28," ")</f>
        <v> </v>
      </c>
      <c r="Z28" s="17" t="str">
        <f aca="false">IF((E28="a"),H28," ")</f>
        <v> </v>
      </c>
      <c r="AA28" s="17" t="n">
        <f aca="false">IF((E28="g"),H28," ")</f>
        <v>50</v>
      </c>
      <c r="AB28" s="17" t="str">
        <f aca="false">IF((E28="h"),H28," ")</f>
        <v> </v>
      </c>
      <c r="AC28" s="30" t="str">
        <f aca="false">IF((E28="v"),H28," ")</f>
        <v> </v>
      </c>
      <c r="AD28" s="30" t="str">
        <f aca="false">IF((E28="n"),H28," ")</f>
        <v> </v>
      </c>
      <c r="AE28" s="17" t="str">
        <f aca="false">IF((E28="f"),H28," ")</f>
        <v> </v>
      </c>
      <c r="AF28" s="17" t="str">
        <f aca="false">IF((E28="l"),H28," ")</f>
        <v> </v>
      </c>
      <c r="AG28" s="17" t="str">
        <f aca="false">IF((E28="y"),H28," ")</f>
        <v> </v>
      </c>
      <c r="AH28" s="17" t="str">
        <f aca="false">IF((E28="z"),H28," ")</f>
        <v> </v>
      </c>
      <c r="AI28" s="17" t="str">
        <f aca="false">IF((E28="fa"),H28," ")</f>
        <v> </v>
      </c>
      <c r="AJ28" s="17" t="str">
        <f aca="false">IF((E28="e"),H28," ")</f>
        <v> </v>
      </c>
      <c r="BZ28" s="2" t="s">
        <v>81</v>
      </c>
    </row>
    <row r="29" customFormat="false" ht="12" hidden="false" customHeight="false" outlineLevel="0" collapsed="false">
      <c r="A29" s="28" t="n">
        <v>46346</v>
      </c>
      <c r="B29" s="2" t="s">
        <v>137</v>
      </c>
      <c r="D29" s="2" t="s">
        <v>138</v>
      </c>
      <c r="E29" s="2" t="s">
        <v>139</v>
      </c>
      <c r="F29" s="30" t="n">
        <v>120</v>
      </c>
      <c r="G29" s="6" t="n">
        <f aca="false">IF(F29&lt;&gt;0,F29*G$2/(100+G$2)," ")</f>
        <v>20</v>
      </c>
      <c r="H29" s="6" t="n">
        <f aca="false">IF((F29&lt;&gt;0),F29-G29," ")</f>
        <v>100</v>
      </c>
      <c r="I29" s="5"/>
      <c r="L29" s="7" t="n">
        <f aca="false">IF(F29&lt;&gt;0,F29-K29," ")</f>
        <v>120</v>
      </c>
      <c r="M29" s="8" t="n">
        <f aca="false">IF((F29-K29)&lt;&gt;0,M$1-A29," ")</f>
        <v>-68</v>
      </c>
      <c r="N29" s="5"/>
      <c r="O29" s="17" t="str">
        <f aca="false">IF((E29="s"),H29," ")</f>
        <v> </v>
      </c>
      <c r="P29" s="17" t="str">
        <f aca="false">IF((E29="c"),H29," ")</f>
        <v> </v>
      </c>
      <c r="Q29" s="17" t="str">
        <f aca="false">IF((E29="o"),H29," ")</f>
        <v> </v>
      </c>
      <c r="R29" s="17" t="str">
        <f aca="false">IF((E29="d"),H29," ")</f>
        <v> </v>
      </c>
      <c r="S29" s="17" t="str">
        <f aca="false">IF((E29="w"),H29," ")</f>
        <v> </v>
      </c>
      <c r="T29" s="17" t="str">
        <f aca="false">IF((E29="r"),H29," ")</f>
        <v> </v>
      </c>
      <c r="U29" s="17" t="str">
        <f aca="false">IF((E29="p"),H29," ")</f>
        <v> </v>
      </c>
      <c r="V29" s="17" t="str">
        <f aca="false">IF((E29="t"),H29," ")</f>
        <v> </v>
      </c>
      <c r="W29" s="17" t="str">
        <f aca="false">IF((E29="q"),H29," ")</f>
        <v> </v>
      </c>
      <c r="X29" s="17" t="n">
        <f aca="false">IF((E29="m"),H29," ")</f>
        <v>100</v>
      </c>
      <c r="Y29" s="17" t="str">
        <f aca="false">IF((E29="u"),H29," ")</f>
        <v> </v>
      </c>
      <c r="Z29" s="17" t="str">
        <f aca="false">IF((E29="a"),H29," ")</f>
        <v> </v>
      </c>
      <c r="AA29" s="17" t="str">
        <f aca="false">IF((E29="g"),H29," ")</f>
        <v> </v>
      </c>
      <c r="AB29" s="17" t="str">
        <f aca="false">IF((E29="h"),H29," ")</f>
        <v> </v>
      </c>
      <c r="AC29" s="30" t="str">
        <f aca="false">IF((E29="v"),H29," ")</f>
        <v> </v>
      </c>
      <c r="AD29" s="30" t="str">
        <f aca="false">IF((E29="n"),H29," ")</f>
        <v> </v>
      </c>
      <c r="AE29" s="17" t="str">
        <f aca="false">IF((E29="f"),H29," ")</f>
        <v> </v>
      </c>
      <c r="AF29" s="17" t="str">
        <f aca="false">IF((E29="l"),H29," ")</f>
        <v> </v>
      </c>
      <c r="AG29" s="17" t="str">
        <f aca="false">IF((E29="y"),H29," ")</f>
        <v> </v>
      </c>
      <c r="AH29" s="17" t="str">
        <f aca="false">IF((E29="z"),H29," ")</f>
        <v> </v>
      </c>
      <c r="AI29" s="17" t="str">
        <f aca="false">IF((E29="fa"),H29," ")</f>
        <v> </v>
      </c>
      <c r="AJ29" s="17" t="str">
        <f aca="false">IF((E29="e"),H29," ")</f>
        <v> </v>
      </c>
      <c r="BZ29" s="2" t="s">
        <v>140</v>
      </c>
    </row>
    <row r="30" customFormat="false" ht="12" hidden="false" customHeight="false" outlineLevel="0" collapsed="false">
      <c r="A30" s="28" t="n">
        <v>46347</v>
      </c>
      <c r="B30" s="2" t="s">
        <v>141</v>
      </c>
      <c r="D30" s="2" t="s">
        <v>142</v>
      </c>
      <c r="E30" s="2" t="s">
        <v>112</v>
      </c>
      <c r="F30" s="30" t="n">
        <v>8</v>
      </c>
      <c r="G30" s="6" t="n">
        <f aca="false">IF(F30&lt;&gt;0,F30*G$2/(100+G$2)," ")</f>
        <v>1.33333333333333</v>
      </c>
      <c r="H30" s="6" t="n">
        <f aca="false">IF((F30&lt;&gt;0),F30-G30," ")</f>
        <v>6.66666666666667</v>
      </c>
      <c r="I30" s="5"/>
      <c r="L30" s="7" t="n">
        <f aca="false">IF(F30&lt;&gt;0,F30-K30," ")</f>
        <v>8</v>
      </c>
      <c r="M30" s="8" t="n">
        <f aca="false">IF((F30-K30)&lt;&gt;0,M$1-A30," ")</f>
        <v>-69</v>
      </c>
      <c r="N30" s="5"/>
      <c r="O30" s="17" t="str">
        <f aca="false">IF((E30="s"),H30," ")</f>
        <v> </v>
      </c>
      <c r="P30" s="17" t="str">
        <f aca="false">IF((E30="c"),H30," ")</f>
        <v> </v>
      </c>
      <c r="Q30" s="17" t="str">
        <f aca="false">IF((E30="o"),H30," ")</f>
        <v> </v>
      </c>
      <c r="R30" s="17" t="str">
        <f aca="false">IF((E30="d"),H30," ")</f>
        <v> </v>
      </c>
      <c r="S30" s="17" t="str">
        <f aca="false">IF((E30="w"),H30," ")</f>
        <v> </v>
      </c>
      <c r="T30" s="17" t="str">
        <f aca="false">IF((E30="r"),H30," ")</f>
        <v> </v>
      </c>
      <c r="U30" s="17" t="str">
        <f aca="false">IF((E30="p"),H30," ")</f>
        <v> </v>
      </c>
      <c r="V30" s="17" t="str">
        <f aca="false">IF((E30="t"),H30," ")</f>
        <v> </v>
      </c>
      <c r="W30" s="17" t="str">
        <f aca="false">IF((E30="q"),H30," ")</f>
        <v> </v>
      </c>
      <c r="X30" s="17" t="str">
        <f aca="false">IF((E30="m"),H30," ")</f>
        <v> </v>
      </c>
      <c r="Y30" s="17" t="str">
        <f aca="false">IF((E30="u"),H30," ")</f>
        <v> </v>
      </c>
      <c r="Z30" s="17" t="str">
        <f aca="false">IF((E30="a"),H30," ")</f>
        <v> </v>
      </c>
      <c r="AA30" s="17" t="str">
        <f aca="false">IF((E30="g"),H30," ")</f>
        <v> </v>
      </c>
      <c r="AB30" s="17" t="n">
        <f aca="false">IF((E30="h"),H30," ")</f>
        <v>6.66666666666667</v>
      </c>
      <c r="AC30" s="30" t="str">
        <f aca="false">IF((E30="v"),H30," ")</f>
        <v> </v>
      </c>
      <c r="AD30" s="30" t="str">
        <f aca="false">IF((E30="n"),H30," ")</f>
        <v> </v>
      </c>
      <c r="AE30" s="17" t="str">
        <f aca="false">IF((E30="f"),H30," ")</f>
        <v> </v>
      </c>
      <c r="AF30" s="17" t="str">
        <f aca="false">IF((E30="l"),H30," ")</f>
        <v> </v>
      </c>
      <c r="AG30" s="17" t="str">
        <f aca="false">IF((E30="y"),H30," ")</f>
        <v> </v>
      </c>
      <c r="AH30" s="17" t="str">
        <f aca="false">IF((E30="z"),H30," ")</f>
        <v> </v>
      </c>
      <c r="AI30" s="17" t="str">
        <f aca="false">IF((E30="fa"),H30," ")</f>
        <v> </v>
      </c>
      <c r="AJ30" s="17" t="str">
        <f aca="false">IF((E30="e"),H30," ")</f>
        <v> </v>
      </c>
      <c r="BZ30" s="2" t="s">
        <v>113</v>
      </c>
    </row>
    <row r="31" customFormat="false" ht="12" hidden="false" customHeight="false" outlineLevel="0" collapsed="false">
      <c r="A31" s="28" t="n">
        <v>46348</v>
      </c>
      <c r="B31" s="2" t="s">
        <v>143</v>
      </c>
      <c r="D31" s="2" t="s">
        <v>144</v>
      </c>
      <c r="E31" s="2" t="s">
        <v>100</v>
      </c>
      <c r="F31" s="30" t="n">
        <v>18</v>
      </c>
      <c r="G31" s="6" t="n">
        <f aca="false">IF(F31&lt;&gt;0,F31*G$2/(100+G$2)," ")</f>
        <v>3</v>
      </c>
      <c r="H31" s="6" t="n">
        <f aca="false">IF((F31&lt;&gt;0),F31-G31," ")</f>
        <v>15</v>
      </c>
      <c r="I31" s="5"/>
      <c r="L31" s="7" t="n">
        <f aca="false">IF(F31&lt;&gt;0,F31-K31," ")</f>
        <v>18</v>
      </c>
      <c r="M31" s="8" t="n">
        <f aca="false">IF((F31-K31)&lt;&gt;0,M$1-A31," ")</f>
        <v>-70</v>
      </c>
      <c r="N31" s="5"/>
      <c r="O31" s="17" t="str">
        <f aca="false">IF((E31="s"),H31," ")</f>
        <v> </v>
      </c>
      <c r="P31" s="17" t="str">
        <f aca="false">IF((E31="c"),H31," ")</f>
        <v> </v>
      </c>
      <c r="Q31" s="17" t="str">
        <f aca="false">IF((E31="o"),H31," ")</f>
        <v> </v>
      </c>
      <c r="R31" s="17" t="str">
        <f aca="false">IF((E31="d"),H31," ")</f>
        <v> </v>
      </c>
      <c r="S31" s="17" t="str">
        <f aca="false">IF((E31="w"),H31," ")</f>
        <v> </v>
      </c>
      <c r="T31" s="17" t="str">
        <f aca="false">IF((E31="r"),H31," ")</f>
        <v> </v>
      </c>
      <c r="U31" s="17" t="str">
        <f aca="false">IF((E31="p"),H31," ")</f>
        <v> </v>
      </c>
      <c r="V31" s="17" t="str">
        <f aca="false">IF((E31="t"),H31," ")</f>
        <v> </v>
      </c>
      <c r="W31" s="17" t="str">
        <f aca="false">IF((E31="q"),H31," ")</f>
        <v> </v>
      </c>
      <c r="X31" s="17" t="str">
        <f aca="false">IF((E31="m"),H31," ")</f>
        <v> </v>
      </c>
      <c r="Y31" s="17" t="n">
        <f aca="false">IF((E31="u"),H31," ")</f>
        <v>15</v>
      </c>
      <c r="Z31" s="17" t="str">
        <f aca="false">IF((E31="a"),H31," ")</f>
        <v> </v>
      </c>
      <c r="AA31" s="17" t="str">
        <f aca="false">IF((E31="g"),H31," ")</f>
        <v> </v>
      </c>
      <c r="AB31" s="17" t="str">
        <f aca="false">IF((E31="h"),H31," ")</f>
        <v> </v>
      </c>
      <c r="AC31" s="30" t="str">
        <f aca="false">IF((E31="v"),H31," ")</f>
        <v> </v>
      </c>
      <c r="AD31" s="30" t="str">
        <f aca="false">IF((E31="n"),H31," ")</f>
        <v> </v>
      </c>
      <c r="AE31" s="17" t="str">
        <f aca="false">IF((E31="f"),H31," ")</f>
        <v> </v>
      </c>
      <c r="AF31" s="17" t="str">
        <f aca="false">IF((E31="l"),H31," ")</f>
        <v> </v>
      </c>
      <c r="AG31" s="17" t="str">
        <f aca="false">IF((E31="y"),H31," ")</f>
        <v> </v>
      </c>
      <c r="AH31" s="17" t="str">
        <f aca="false">IF((E31="z"),H31," ")</f>
        <v> </v>
      </c>
      <c r="AI31" s="17" t="str">
        <f aca="false">IF((E31="fa"),H31," ")</f>
        <v> </v>
      </c>
      <c r="AJ31" s="17" t="str">
        <f aca="false">IF((E31="e"),H31," ")</f>
        <v> </v>
      </c>
      <c r="BZ31" s="2" t="s">
        <v>101</v>
      </c>
    </row>
    <row r="32" customFormat="false" ht="12" hidden="false" customHeight="false" outlineLevel="0" collapsed="false">
      <c r="A32" s="28" t="n">
        <v>46351</v>
      </c>
      <c r="B32" s="2" t="s">
        <v>145</v>
      </c>
      <c r="D32" s="2" t="s">
        <v>146</v>
      </c>
      <c r="E32" s="2" t="s">
        <v>100</v>
      </c>
      <c r="F32" s="30" t="n">
        <v>15</v>
      </c>
      <c r="G32" s="6" t="n">
        <f aca="false">IF(F32&lt;&gt;0,F32*G$2/(100+G$2)," ")</f>
        <v>2.5</v>
      </c>
      <c r="H32" s="6" t="n">
        <f aca="false">IF((F32&lt;&gt;0),F32-G32," ")</f>
        <v>12.5</v>
      </c>
      <c r="I32" s="5"/>
      <c r="L32" s="7" t="n">
        <f aca="false">IF(F32&lt;&gt;0,F32-K32," ")</f>
        <v>15</v>
      </c>
      <c r="M32" s="8" t="n">
        <f aca="false">IF((F32-K32)&lt;&gt;0,M$1-A32," ")</f>
        <v>-73</v>
      </c>
      <c r="N32" s="5"/>
      <c r="O32" s="17" t="str">
        <f aca="false">IF((E32="s"),H32," ")</f>
        <v> </v>
      </c>
      <c r="P32" s="17" t="str">
        <f aca="false">IF((E32="c"),H32," ")</f>
        <v> </v>
      </c>
      <c r="Q32" s="17" t="str">
        <f aca="false">IF((E32="o"),H32," ")</f>
        <v> </v>
      </c>
      <c r="R32" s="17" t="str">
        <f aca="false">IF((E32="d"),H32," ")</f>
        <v> </v>
      </c>
      <c r="S32" s="17" t="str">
        <f aca="false">IF((E32="w"),H32," ")</f>
        <v> </v>
      </c>
      <c r="T32" s="17" t="str">
        <f aca="false">IF((E32="r"),H32," ")</f>
        <v> </v>
      </c>
      <c r="U32" s="17" t="str">
        <f aca="false">IF((E32="p"),H32," ")</f>
        <v> </v>
      </c>
      <c r="V32" s="17" t="str">
        <f aca="false">IF((E32="t"),H32," ")</f>
        <v> </v>
      </c>
      <c r="W32" s="17" t="str">
        <f aca="false">IF((E32="q"),H32," ")</f>
        <v> </v>
      </c>
      <c r="X32" s="17" t="str">
        <f aca="false">IF((E32="m"),H32," ")</f>
        <v> </v>
      </c>
      <c r="Y32" s="17" t="n">
        <f aca="false">IF((E32="u"),H32," ")</f>
        <v>12.5</v>
      </c>
      <c r="Z32" s="17" t="str">
        <f aca="false">IF((E32="a"),H32," ")</f>
        <v> </v>
      </c>
      <c r="AA32" s="17" t="str">
        <f aca="false">IF((E32="g"),H32," ")</f>
        <v> </v>
      </c>
      <c r="AB32" s="17" t="str">
        <f aca="false">IF((E32="h"),H32," ")</f>
        <v> </v>
      </c>
      <c r="AC32" s="30" t="str">
        <f aca="false">IF((E32="v"),H32," ")</f>
        <v> </v>
      </c>
      <c r="AD32" s="30" t="str">
        <f aca="false">IF((E32="n"),H32," ")</f>
        <v> </v>
      </c>
      <c r="AE32" s="17" t="str">
        <f aca="false">IF((E32="f"),H32," ")</f>
        <v> </v>
      </c>
      <c r="AF32" s="17" t="str">
        <f aca="false">IF((E32="l"),H32," ")</f>
        <v> </v>
      </c>
      <c r="AG32" s="17" t="str">
        <f aca="false">IF((E32="y"),H32," ")</f>
        <v> </v>
      </c>
      <c r="AH32" s="17" t="str">
        <f aca="false">IF((E32="z"),H32," ")</f>
        <v> </v>
      </c>
      <c r="AI32" s="17" t="str">
        <f aca="false">IF((E32="fa"),H32," ")</f>
        <v> </v>
      </c>
      <c r="AJ32" s="17" t="str">
        <f aca="false">IF((E32="e"),H32," ")</f>
        <v> </v>
      </c>
      <c r="BZ32" s="2" t="s">
        <v>101</v>
      </c>
    </row>
    <row r="33" customFormat="false" ht="12" hidden="false" customHeight="false" outlineLevel="0" collapsed="false">
      <c r="A33" s="28" t="n">
        <v>46351</v>
      </c>
      <c r="B33" s="2" t="s">
        <v>147</v>
      </c>
      <c r="D33" s="2" t="s">
        <v>148</v>
      </c>
      <c r="E33" s="2" t="s">
        <v>106</v>
      </c>
      <c r="F33" s="30" t="n">
        <v>38.25</v>
      </c>
      <c r="G33" s="6" t="n">
        <f aca="false">IF(F33&lt;&gt;0,F33*G$2/(100+G$2)," ")</f>
        <v>6.375</v>
      </c>
      <c r="H33" s="6" t="n">
        <f aca="false">IF((F33&lt;&gt;0),F33-G33," ")</f>
        <v>31.875</v>
      </c>
      <c r="I33" s="5"/>
      <c r="L33" s="7" t="n">
        <f aca="false">IF(F33&lt;&gt;0,F33-K33," ")</f>
        <v>38.25</v>
      </c>
      <c r="M33" s="8" t="n">
        <f aca="false">IF((F33-K33)&lt;&gt;0,M$1-A33," ")</f>
        <v>-73</v>
      </c>
      <c r="N33" s="5"/>
      <c r="O33" s="17" t="str">
        <f aca="false">IF((E33="s"),H33," ")</f>
        <v> </v>
      </c>
      <c r="P33" s="17" t="str">
        <f aca="false">IF((E33="c"),H33," ")</f>
        <v> </v>
      </c>
      <c r="Q33" s="17" t="str">
        <f aca="false">IF((E33="o"),H33," ")</f>
        <v> </v>
      </c>
      <c r="R33" s="17" t="str">
        <f aca="false">IF((E33="d"),H33," ")</f>
        <v> </v>
      </c>
      <c r="S33" s="17" t="str">
        <f aca="false">IF((E33="w"),H33," ")</f>
        <v> </v>
      </c>
      <c r="T33" s="17" t="str">
        <f aca="false">IF((E33="r"),H33," ")</f>
        <v> </v>
      </c>
      <c r="U33" s="17" t="str">
        <f aca="false">IF((E33="p"),H33," ")</f>
        <v> </v>
      </c>
      <c r="V33" s="17" t="str">
        <f aca="false">IF((E33="t"),H33," ")</f>
        <v> </v>
      </c>
      <c r="W33" s="17" t="str">
        <f aca="false">IF((E33="q"),H33," ")</f>
        <v> </v>
      </c>
      <c r="X33" s="17" t="str">
        <f aca="false">IF((E33="m"),H33," ")</f>
        <v> </v>
      </c>
      <c r="Y33" s="17" t="str">
        <f aca="false">IF((E33="u"),H33," ")</f>
        <v> </v>
      </c>
      <c r="Z33" s="17" t="str">
        <f aca="false">IF((E33="a"),H33," ")</f>
        <v> </v>
      </c>
      <c r="AA33" s="17" t="str">
        <f aca="false">IF((E33="g"),H33," ")</f>
        <v> </v>
      </c>
      <c r="AB33" s="17" t="str">
        <f aca="false">IF((E33="h"),H33," ")</f>
        <v> </v>
      </c>
      <c r="AC33" s="30" t="n">
        <f aca="false">IF((E33="v"),H33," ")</f>
        <v>31.875</v>
      </c>
      <c r="AD33" s="30" t="str">
        <f aca="false">IF((E33="n"),H33," ")</f>
        <v> </v>
      </c>
      <c r="AE33" s="17" t="str">
        <f aca="false">IF((E33="f"),H33," ")</f>
        <v> </v>
      </c>
      <c r="AF33" s="17" t="str">
        <f aca="false">IF((E33="l"),H33," ")</f>
        <v> </v>
      </c>
      <c r="AG33" s="17" t="str">
        <f aca="false">IF((E33="y"),H33," ")</f>
        <v> </v>
      </c>
      <c r="AH33" s="17" t="str">
        <f aca="false">IF((E33="z"),H33," ")</f>
        <v> </v>
      </c>
      <c r="AI33" s="17" t="str">
        <f aca="false">IF((E33="fa"),H33," ")</f>
        <v> </v>
      </c>
      <c r="AJ33" s="17" t="str">
        <f aca="false">IF((E33="e"),H33," ")</f>
        <v> </v>
      </c>
      <c r="BZ33" s="2" t="s">
        <v>107</v>
      </c>
    </row>
    <row r="34" customFormat="false" ht="12" hidden="false" customHeight="false" outlineLevel="0" collapsed="false">
      <c r="A34" s="28" t="n">
        <v>46354</v>
      </c>
      <c r="B34" s="2" t="s">
        <v>20</v>
      </c>
      <c r="D34" s="2" t="s">
        <v>149</v>
      </c>
      <c r="E34" s="2" t="s">
        <v>106</v>
      </c>
      <c r="F34" s="30" t="n">
        <v>120</v>
      </c>
      <c r="G34" s="6" t="n">
        <f aca="false">IF(F34&lt;&gt;0,F34*G$2/(100+G$2)," ")</f>
        <v>20</v>
      </c>
      <c r="H34" s="6" t="n">
        <f aca="false">IF((F34&lt;&gt;0),F34-G34," ")</f>
        <v>100</v>
      </c>
      <c r="I34" s="5"/>
      <c r="L34" s="7" t="n">
        <f aca="false">IF(F34&lt;&gt;0,F34-K34," ")</f>
        <v>120</v>
      </c>
      <c r="M34" s="8" t="n">
        <f aca="false">IF((F34-K34)&lt;&gt;0,M$1-A34," ")</f>
        <v>-76</v>
      </c>
      <c r="N34" s="5"/>
      <c r="O34" s="17" t="str">
        <f aca="false">IF((E34="s"),H34," ")</f>
        <v> </v>
      </c>
      <c r="P34" s="17" t="str">
        <f aca="false">IF((E34="c"),H34," ")</f>
        <v> </v>
      </c>
      <c r="Q34" s="17" t="str">
        <f aca="false">IF((E34="o"),H34," ")</f>
        <v> </v>
      </c>
      <c r="R34" s="17" t="str">
        <f aca="false">IF((E34="d"),H34," ")</f>
        <v> </v>
      </c>
      <c r="S34" s="17" t="str">
        <f aca="false">IF((E34="w"),H34," ")</f>
        <v> </v>
      </c>
      <c r="T34" s="17" t="str">
        <f aca="false">IF((E34="r"),H34," ")</f>
        <v> </v>
      </c>
      <c r="U34" s="17" t="str">
        <f aca="false">IF((E34="p"),H34," ")</f>
        <v> </v>
      </c>
      <c r="V34" s="17" t="str">
        <f aca="false">IF((E34="t"),H34," ")</f>
        <v> </v>
      </c>
      <c r="W34" s="17" t="str">
        <f aca="false">IF((E34="q"),H34," ")</f>
        <v> </v>
      </c>
      <c r="X34" s="17" t="str">
        <f aca="false">IF((E34="m"),H34," ")</f>
        <v> </v>
      </c>
      <c r="Y34" s="17" t="str">
        <f aca="false">IF((E34="u"),H34," ")</f>
        <v> </v>
      </c>
      <c r="Z34" s="17" t="str">
        <f aca="false">IF((E34="a"),H34," ")</f>
        <v> </v>
      </c>
      <c r="AA34" s="17" t="str">
        <f aca="false">IF((E34="g"),H34," ")</f>
        <v> </v>
      </c>
      <c r="AB34" s="17" t="str">
        <f aca="false">IF((E34="h"),H34," ")</f>
        <v> </v>
      </c>
      <c r="AC34" s="30" t="n">
        <f aca="false">IF((E34="v"),H34," ")</f>
        <v>100</v>
      </c>
      <c r="AD34" s="30" t="str">
        <f aca="false">IF((E34="n"),H34," ")</f>
        <v> </v>
      </c>
      <c r="AE34" s="17" t="str">
        <f aca="false">IF((E34="f"),H34," ")</f>
        <v> </v>
      </c>
      <c r="AF34" s="17" t="str">
        <f aca="false">IF((E34="l"),H34," ")</f>
        <v> </v>
      </c>
      <c r="AG34" s="17" t="str">
        <f aca="false">IF((E34="y"),H34," ")</f>
        <v> </v>
      </c>
      <c r="AH34" s="17" t="str">
        <f aca="false">IF((E34="z"),H34," ")</f>
        <v> </v>
      </c>
      <c r="AI34" s="17" t="str">
        <f aca="false">IF((E34="fa"),H34," ")</f>
        <v> </v>
      </c>
      <c r="AJ34" s="17" t="str">
        <f aca="false">IF((E34="e"),H34," ")</f>
        <v> </v>
      </c>
      <c r="BZ34" s="2" t="s">
        <v>107</v>
      </c>
    </row>
    <row r="35" customFormat="false" ht="12" hidden="false" customHeight="false" outlineLevel="0" collapsed="false">
      <c r="A35" s="28" t="n">
        <v>46356</v>
      </c>
      <c r="B35" s="2" t="s">
        <v>16</v>
      </c>
      <c r="D35" s="2" t="s">
        <v>150</v>
      </c>
      <c r="E35" s="2" t="s">
        <v>151</v>
      </c>
      <c r="F35" s="30" t="n">
        <v>300</v>
      </c>
      <c r="G35" s="6" t="n">
        <f aca="false">IF(F35&lt;&gt;0,F35*G$2/(100+G$2)," ")</f>
        <v>50</v>
      </c>
      <c r="H35" s="6" t="n">
        <f aca="false">IF((F35&lt;&gt;0),F35-G35," ")</f>
        <v>250</v>
      </c>
      <c r="I35" s="5"/>
      <c r="L35" s="7" t="n">
        <f aca="false">IF(F35&lt;&gt;0,F35-K35," ")</f>
        <v>300</v>
      </c>
      <c r="M35" s="8" t="n">
        <f aca="false">IF((F35-K35)&lt;&gt;0,M$1-A35," ")</f>
        <v>-78</v>
      </c>
      <c r="N35" s="5"/>
      <c r="O35" s="17" t="str">
        <f aca="false">IF((E35="s"),H35," ")</f>
        <v> </v>
      </c>
      <c r="P35" s="17" t="str">
        <f aca="false">IF((E35="c"),H35," ")</f>
        <v> </v>
      </c>
      <c r="Q35" s="17" t="str">
        <f aca="false">IF((E35="o"),H35," ")</f>
        <v> </v>
      </c>
      <c r="R35" s="17" t="str">
        <f aca="false">IF((E35="d"),H35," ")</f>
        <v> </v>
      </c>
      <c r="S35" s="17" t="str">
        <f aca="false">IF((E35="w"),H35," ")</f>
        <v> </v>
      </c>
      <c r="T35" s="17" t="str">
        <f aca="false">IF((E35="r"),H35," ")</f>
        <v> </v>
      </c>
      <c r="U35" s="17" t="str">
        <f aca="false">IF((E35="p"),H35," ")</f>
        <v> </v>
      </c>
      <c r="V35" s="17" t="str">
        <f aca="false">IF((E35="t"),H35," ")</f>
        <v> </v>
      </c>
      <c r="W35" s="17" t="str">
        <f aca="false">IF((E35="q"),H35," ")</f>
        <v> </v>
      </c>
      <c r="X35" s="17" t="str">
        <f aca="false">IF((E35="m"),H35," ")</f>
        <v> </v>
      </c>
      <c r="Y35" s="17" t="str">
        <f aca="false">IF((E35="u"),H35," ")</f>
        <v> </v>
      </c>
      <c r="Z35" s="17" t="str">
        <f aca="false">IF((E35="a"),H35," ")</f>
        <v> </v>
      </c>
      <c r="AA35" s="17" t="str">
        <f aca="false">IF((E35="g"),H35," ")</f>
        <v> </v>
      </c>
      <c r="AB35" s="17" t="str">
        <f aca="false">IF((E35="h"),H35," ")</f>
        <v> </v>
      </c>
      <c r="AC35" s="30" t="str">
        <f aca="false">IF((E35="v"),H35," ")</f>
        <v> </v>
      </c>
      <c r="AD35" s="30" t="str">
        <f aca="false">IF((E35="n"),H35," ")</f>
        <v> </v>
      </c>
      <c r="AE35" s="17" t="str">
        <f aca="false">IF((E35="f"),H35," ")</f>
        <v> </v>
      </c>
      <c r="AF35" s="17" t="n">
        <f aca="false">IF((E35="l"),H35," ")</f>
        <v>250</v>
      </c>
      <c r="AG35" s="17" t="str">
        <f aca="false">IF((E35="y"),H35," ")</f>
        <v> </v>
      </c>
      <c r="AH35" s="17" t="str">
        <f aca="false">IF((E35="z"),H35," ")</f>
        <v> </v>
      </c>
      <c r="AI35" s="17" t="str">
        <f aca="false">IF((E35="fa"),H35," ")</f>
        <v> </v>
      </c>
      <c r="AJ35" s="17" t="str">
        <f aca="false">IF((E35="e"),H35," ")</f>
        <v> </v>
      </c>
      <c r="BZ35" s="2" t="s">
        <v>152</v>
      </c>
    </row>
    <row r="36" customFormat="false" ht="12" hidden="false" customHeight="false" outlineLevel="0" collapsed="false">
      <c r="A36" s="28"/>
      <c r="E36" s="2"/>
      <c r="F36" s="30"/>
      <c r="G36" s="6" t="str">
        <f aca="false">IF(F36&lt;&gt;0,F36*G$2/(100+G$2)," ")</f>
        <v> </v>
      </c>
      <c r="H36" s="6" t="str">
        <f aca="false">IF((F36&lt;&gt;0),F36-G36," ")</f>
        <v> </v>
      </c>
      <c r="I36" s="5"/>
      <c r="L36" s="7" t="str">
        <f aca="false">IF(F36&lt;&gt;0,F36-K36," ")</f>
        <v> </v>
      </c>
      <c r="M36" s="8" t="str">
        <f aca="false">IF((F36-K36)&lt;&gt;0,M$1-A36," ")</f>
        <v> </v>
      </c>
      <c r="N36" s="5"/>
      <c r="O36" s="17" t="str">
        <f aca="false">IF((E36="s"),H36," ")</f>
        <v> </v>
      </c>
      <c r="P36" s="17" t="str">
        <f aca="false">IF((E36="c"),H36," ")</f>
        <v> </v>
      </c>
      <c r="Q36" s="17" t="str">
        <f aca="false">IF((E36="o"),H36," ")</f>
        <v> </v>
      </c>
      <c r="R36" s="17" t="str">
        <f aca="false">IF((E36="d"),H36," ")</f>
        <v> </v>
      </c>
      <c r="S36" s="17" t="str">
        <f aca="false">IF((E36="w"),H36," ")</f>
        <v> </v>
      </c>
      <c r="T36" s="17" t="str">
        <f aca="false">IF((E36="r"),H36," ")</f>
        <v> </v>
      </c>
      <c r="U36" s="17" t="str">
        <f aca="false">IF((E36="p"),H36," ")</f>
        <v> </v>
      </c>
      <c r="V36" s="17" t="str">
        <f aca="false">IF((E36="t"),H36," ")</f>
        <v> </v>
      </c>
      <c r="W36" s="17" t="str">
        <f aca="false">IF((E36="q"),H36," ")</f>
        <v> </v>
      </c>
      <c r="X36" s="17" t="str">
        <f aca="false">IF((E36="m"),H36," ")</f>
        <v> </v>
      </c>
      <c r="Y36" s="17" t="str">
        <f aca="false">IF((E36="u"),H36," ")</f>
        <v> </v>
      </c>
      <c r="Z36" s="17" t="str">
        <f aca="false">IF((E36="a"),H36," ")</f>
        <v> </v>
      </c>
      <c r="AA36" s="17" t="str">
        <f aca="false">IF((E36="g"),H36," ")</f>
        <v> </v>
      </c>
      <c r="AB36" s="17" t="str">
        <f aca="false">IF((E36="h"),H36," ")</f>
        <v> </v>
      </c>
      <c r="AC36" s="30" t="str">
        <f aca="false">IF((E36="v"),H36," ")</f>
        <v> </v>
      </c>
      <c r="AD36" s="30" t="str">
        <f aca="false">IF((E36="n"),H36," ")</f>
        <v> </v>
      </c>
      <c r="AE36" s="17" t="str">
        <f aca="false">IF((E36="f"),H36," ")</f>
        <v> </v>
      </c>
      <c r="AF36" s="17" t="str">
        <f aca="false">IF((E36="l"),H36," ")</f>
        <v> </v>
      </c>
      <c r="AG36" s="17" t="str">
        <f aca="false">IF((E36="y"),H36," ")</f>
        <v> </v>
      </c>
      <c r="AH36" s="17" t="str">
        <f aca="false">IF((E36="z"),H36," ")</f>
        <v> </v>
      </c>
      <c r="AI36" s="17" t="str">
        <f aca="false">IF((E36="fa"),H36," ")</f>
        <v> </v>
      </c>
      <c r="AJ36" s="17" t="str">
        <f aca="false">IF((E36="e"),H36," ")</f>
        <v> </v>
      </c>
    </row>
    <row r="37" customFormat="false" ht="12" hidden="false" customHeight="false" outlineLevel="0" collapsed="false">
      <c r="A37" s="28"/>
      <c r="E37" s="2"/>
      <c r="F37" s="30"/>
      <c r="G37" s="6" t="str">
        <f aca="false">IF(F37&lt;&gt;0,F37*G$2/(100+G$2)," ")</f>
        <v> </v>
      </c>
      <c r="H37" s="6" t="str">
        <f aca="false">IF((F37&lt;&gt;0),F37-G37," ")</f>
        <v> </v>
      </c>
      <c r="I37" s="5"/>
      <c r="L37" s="7" t="str">
        <f aca="false">IF(F37&lt;&gt;0,F37-K37," ")</f>
        <v> </v>
      </c>
      <c r="M37" s="8" t="str">
        <f aca="false">IF((F37-K37)&lt;&gt;0,M$1-A37," ")</f>
        <v> </v>
      </c>
      <c r="N37" s="5"/>
      <c r="O37" s="17" t="str">
        <f aca="false">IF((E37="s"),H37," ")</f>
        <v> </v>
      </c>
      <c r="P37" s="17" t="str">
        <f aca="false">IF((E37="c"),H37," ")</f>
        <v> </v>
      </c>
      <c r="Q37" s="17" t="str">
        <f aca="false">IF((E37="o"),H37," ")</f>
        <v> </v>
      </c>
      <c r="R37" s="17" t="str">
        <f aca="false">IF((E37="d"),H37," ")</f>
        <v> </v>
      </c>
      <c r="S37" s="17" t="str">
        <f aca="false">IF((E37="w"),H37," ")</f>
        <v> </v>
      </c>
      <c r="T37" s="17" t="str">
        <f aca="false">IF((E37="r"),H37," ")</f>
        <v> </v>
      </c>
      <c r="U37" s="17" t="str">
        <f aca="false">IF((E37="p"),H37," ")</f>
        <v> </v>
      </c>
      <c r="V37" s="17" t="str">
        <f aca="false">IF((E37="t"),H37," ")</f>
        <v> </v>
      </c>
      <c r="W37" s="17" t="str">
        <f aca="false">IF((E37="q"),H37," ")</f>
        <v> </v>
      </c>
      <c r="X37" s="17" t="str">
        <f aca="false">IF((E37="m"),H37," ")</f>
        <v> </v>
      </c>
      <c r="Y37" s="17" t="str">
        <f aca="false">IF((E37="u"),H37," ")</f>
        <v> </v>
      </c>
      <c r="Z37" s="17" t="str">
        <f aca="false">IF((E37="a"),H37," ")</f>
        <v> </v>
      </c>
      <c r="AA37" s="17" t="str">
        <f aca="false">IF((E37="g"),H37," ")</f>
        <v> </v>
      </c>
      <c r="AB37" s="17" t="str">
        <f aca="false">IF((E37="h"),H37," ")</f>
        <v> </v>
      </c>
      <c r="AC37" s="30" t="str">
        <f aca="false">IF((E37="v"),H37," ")</f>
        <v> </v>
      </c>
      <c r="AD37" s="30" t="str">
        <f aca="false">IF((E37="n"),H37," ")</f>
        <v> </v>
      </c>
      <c r="AE37" s="17" t="str">
        <f aca="false">IF((E37="f"),H37," ")</f>
        <v> </v>
      </c>
      <c r="AF37" s="17" t="str">
        <f aca="false">IF((E37="l"),H37," ")</f>
        <v> </v>
      </c>
      <c r="AG37" s="17" t="str">
        <f aca="false">IF((E37="y"),H37," ")</f>
        <v> </v>
      </c>
      <c r="AH37" s="17" t="str">
        <f aca="false">IF((E37="z"),H37," ")</f>
        <v> </v>
      </c>
      <c r="AI37" s="17" t="str">
        <f aca="false">IF((E37="fa"),H37," ")</f>
        <v> </v>
      </c>
      <c r="AJ37" s="17" t="str">
        <f aca="false">IF((E37="e"),H37," ")</f>
        <v> </v>
      </c>
    </row>
    <row r="38" customFormat="false" ht="12" hidden="false" customHeight="false" outlineLevel="0" collapsed="false">
      <c r="A38" s="28"/>
      <c r="E38" s="2"/>
      <c r="F38" s="30"/>
      <c r="G38" s="6" t="str">
        <f aca="false">IF(F38&lt;&gt;0,F38*G$2/(100+G$2)," ")</f>
        <v> </v>
      </c>
      <c r="H38" s="6" t="str">
        <f aca="false">IF((F38&lt;&gt;0),F38-G38," ")</f>
        <v> </v>
      </c>
      <c r="I38" s="5"/>
      <c r="L38" s="7" t="str">
        <f aca="false">IF(F38&lt;&gt;0,F38-K38," ")</f>
        <v> </v>
      </c>
      <c r="M38" s="8" t="str">
        <f aca="false">IF((F38-K38)&lt;&gt;0,M$1-A38," ")</f>
        <v> </v>
      </c>
      <c r="N38" s="5"/>
      <c r="O38" s="17" t="str">
        <f aca="false">IF((E38="s"),H38," ")</f>
        <v> </v>
      </c>
      <c r="P38" s="17" t="str">
        <f aca="false">IF((E38="c"),H38," ")</f>
        <v> </v>
      </c>
      <c r="Q38" s="17" t="str">
        <f aca="false">IF((E38="o"),H38," ")</f>
        <v> </v>
      </c>
      <c r="R38" s="17" t="str">
        <f aca="false">IF((E38="d"),H38," ")</f>
        <v> </v>
      </c>
      <c r="S38" s="17" t="str">
        <f aca="false">IF((E38="w"),H38," ")</f>
        <v> </v>
      </c>
      <c r="T38" s="17" t="str">
        <f aca="false">IF((E38="r"),H38," ")</f>
        <v> </v>
      </c>
      <c r="U38" s="17" t="str">
        <f aca="false">IF((E38="p"),H38," ")</f>
        <v> </v>
      </c>
      <c r="V38" s="17" t="str">
        <f aca="false">IF((E38="t"),H38," ")</f>
        <v> </v>
      </c>
      <c r="W38" s="17" t="str">
        <f aca="false">IF((E38="q"),H38," ")</f>
        <v> </v>
      </c>
      <c r="X38" s="17" t="str">
        <f aca="false">IF((E38="m"),H38," ")</f>
        <v> </v>
      </c>
      <c r="Y38" s="17" t="str">
        <f aca="false">IF((E38="u"),H38," ")</f>
        <v> </v>
      </c>
      <c r="Z38" s="17" t="str">
        <f aca="false">IF((E38="a"),H38," ")</f>
        <v> </v>
      </c>
      <c r="AA38" s="17" t="str">
        <f aca="false">IF((E38="g"),H38," ")</f>
        <v> </v>
      </c>
      <c r="AB38" s="17" t="str">
        <f aca="false">IF((E38="h"),H38," ")</f>
        <v> </v>
      </c>
      <c r="AC38" s="30" t="str">
        <f aca="false">IF((E38="v"),H38," ")</f>
        <v> </v>
      </c>
      <c r="AD38" s="30" t="str">
        <f aca="false">IF((E38="n"),H38," ")</f>
        <v> </v>
      </c>
      <c r="AE38" s="17" t="str">
        <f aca="false">IF((E38="f"),H38," ")</f>
        <v> </v>
      </c>
      <c r="AF38" s="17" t="str">
        <f aca="false">IF((E38="l"),H38," ")</f>
        <v> </v>
      </c>
      <c r="AG38" s="17" t="str">
        <f aca="false">IF((E38="y"),H38," ")</f>
        <v> </v>
      </c>
      <c r="AH38" s="17" t="str">
        <f aca="false">IF((E38="z"),H38," ")</f>
        <v> </v>
      </c>
      <c r="AI38" s="17" t="str">
        <f aca="false">IF((E38="fa"),H38," ")</f>
        <v> </v>
      </c>
      <c r="AJ38" s="17" t="str">
        <f aca="false">IF((E38="e"),H38," ")</f>
        <v> </v>
      </c>
    </row>
    <row r="39" customFormat="false" ht="12" hidden="false" customHeight="false" outlineLevel="0" collapsed="false">
      <c r="A39" s="28"/>
      <c r="E39" s="2"/>
      <c r="F39" s="30"/>
      <c r="G39" s="6" t="str">
        <f aca="false">IF(F39&lt;&gt;0,F39*G$2/(100+G$2)," ")</f>
        <v> </v>
      </c>
      <c r="H39" s="6" t="str">
        <f aca="false">IF((F39&lt;&gt;0),F39-G39," ")</f>
        <v> </v>
      </c>
      <c r="I39" s="5"/>
      <c r="L39" s="7" t="str">
        <f aca="false">IF(F39&lt;&gt;0,F39-K39," ")</f>
        <v> </v>
      </c>
      <c r="M39" s="8" t="str">
        <f aca="false">IF((F39-K39)&lt;&gt;0,M$1-A39," ")</f>
        <v> </v>
      </c>
      <c r="N39" s="5"/>
      <c r="O39" s="17" t="str">
        <f aca="false">IF((E39="s"),H39," ")</f>
        <v> </v>
      </c>
      <c r="P39" s="17" t="str">
        <f aca="false">IF((E39="c"),H39," ")</f>
        <v> </v>
      </c>
      <c r="Q39" s="17" t="str">
        <f aca="false">IF((E39="o"),H39," ")</f>
        <v> </v>
      </c>
      <c r="R39" s="17" t="str">
        <f aca="false">IF((E39="d"),H39," ")</f>
        <v> </v>
      </c>
      <c r="S39" s="17" t="str">
        <f aca="false">IF((E39="w"),H39," ")</f>
        <v> </v>
      </c>
      <c r="T39" s="17" t="str">
        <f aca="false">IF((E39="r"),H39," ")</f>
        <v> </v>
      </c>
      <c r="U39" s="17" t="str">
        <f aca="false">IF((E39="p"),H39," ")</f>
        <v> </v>
      </c>
      <c r="V39" s="17" t="str">
        <f aca="false">IF((E39="t"),H39," ")</f>
        <v> </v>
      </c>
      <c r="W39" s="17" t="str">
        <f aca="false">IF((E39="q"),H39," ")</f>
        <v> </v>
      </c>
      <c r="X39" s="17" t="str">
        <f aca="false">IF((E39="m"),H39," ")</f>
        <v> </v>
      </c>
      <c r="Y39" s="17" t="str">
        <f aca="false">IF((E39="u"),H39," ")</f>
        <v> </v>
      </c>
      <c r="Z39" s="17" t="str">
        <f aca="false">IF((E39="a"),H39," ")</f>
        <v> </v>
      </c>
      <c r="AA39" s="17" t="str">
        <f aca="false">IF((E39="g"),H39," ")</f>
        <v> </v>
      </c>
      <c r="AB39" s="17" t="str">
        <f aca="false">IF((E39="h"),H39," ")</f>
        <v> </v>
      </c>
      <c r="AC39" s="30" t="str">
        <f aca="false">IF((E39="v"),H39," ")</f>
        <v> </v>
      </c>
      <c r="AD39" s="30" t="str">
        <f aca="false">IF((E39="n"),H39," ")</f>
        <v> </v>
      </c>
      <c r="AE39" s="17" t="str">
        <f aca="false">IF((E39="f"),H39," ")</f>
        <v> </v>
      </c>
      <c r="AF39" s="17" t="str">
        <f aca="false">IF((E39="l"),H39," ")</f>
        <v> </v>
      </c>
      <c r="AG39" s="17" t="str">
        <f aca="false">IF((E39="y"),H39," ")</f>
        <v> </v>
      </c>
      <c r="AH39" s="17" t="str">
        <f aca="false">IF((E39="z"),H39," ")</f>
        <v> </v>
      </c>
      <c r="AI39" s="17" t="str">
        <f aca="false">IF((E39="fa"),H39," ")</f>
        <v> </v>
      </c>
      <c r="AJ39" s="17" t="str">
        <f aca="false">IF((E39="e"),H39," ")</f>
        <v> </v>
      </c>
    </row>
    <row r="40" customFormat="false" ht="12" hidden="false" customHeight="false" outlineLevel="0" collapsed="false">
      <c r="A40" s="28"/>
      <c r="E40" s="2"/>
      <c r="F40" s="30"/>
      <c r="G40" s="6" t="str">
        <f aca="false">IF(F40&lt;&gt;0,F40*G$2/(100+G$2)," ")</f>
        <v> </v>
      </c>
      <c r="H40" s="6" t="str">
        <f aca="false">IF((F40&lt;&gt;0),F40-G40," ")</f>
        <v> </v>
      </c>
      <c r="I40" s="5"/>
      <c r="L40" s="7" t="str">
        <f aca="false">IF(F40&lt;&gt;0,F40-K40," ")</f>
        <v> </v>
      </c>
      <c r="M40" s="8" t="str">
        <f aca="false">IF((F40-K40)&lt;&gt;0,M$1-A40," ")</f>
        <v> </v>
      </c>
      <c r="N40" s="5"/>
      <c r="O40" s="17" t="str">
        <f aca="false">IF((E40="s"),H40," ")</f>
        <v> </v>
      </c>
      <c r="P40" s="17" t="str">
        <f aca="false">IF((E40="c"),H40," ")</f>
        <v> </v>
      </c>
      <c r="Q40" s="17" t="str">
        <f aca="false">IF((E40="o"),H40," ")</f>
        <v> </v>
      </c>
      <c r="R40" s="17" t="str">
        <f aca="false">IF((E40="d"),H40," ")</f>
        <v> </v>
      </c>
      <c r="S40" s="17" t="str">
        <f aca="false">IF((E40="w"),H40," ")</f>
        <v> </v>
      </c>
      <c r="T40" s="17" t="str">
        <f aca="false">IF((E40="r"),H40," ")</f>
        <v> </v>
      </c>
      <c r="U40" s="17" t="str">
        <f aca="false">IF((E40="p"),H40," ")</f>
        <v> </v>
      </c>
      <c r="V40" s="17" t="str">
        <f aca="false">IF((E40="t"),H40," ")</f>
        <v> </v>
      </c>
      <c r="W40" s="17" t="str">
        <f aca="false">IF((E40="q"),H40," ")</f>
        <v> </v>
      </c>
      <c r="X40" s="17" t="str">
        <f aca="false">IF((E40="m"),H40," ")</f>
        <v> </v>
      </c>
      <c r="Y40" s="17" t="str">
        <f aca="false">IF((E40="u"),H40," ")</f>
        <v> </v>
      </c>
      <c r="Z40" s="17" t="str">
        <f aca="false">IF((E40="a"),H40," ")</f>
        <v> </v>
      </c>
      <c r="AA40" s="17" t="str">
        <f aca="false">IF((E40="g"),H40," ")</f>
        <v> </v>
      </c>
      <c r="AB40" s="17" t="str">
        <f aca="false">IF((E40="h"),H40," ")</f>
        <v> </v>
      </c>
      <c r="AC40" s="30" t="str">
        <f aca="false">IF((E40="v"),H40," ")</f>
        <v> </v>
      </c>
      <c r="AD40" s="30" t="str">
        <f aca="false">IF((E40="n"),H40," ")</f>
        <v> </v>
      </c>
      <c r="AE40" s="17" t="str">
        <f aca="false">IF((E40="f"),H40," ")</f>
        <v> </v>
      </c>
      <c r="AF40" s="17" t="str">
        <f aca="false">IF((E40="l"),H40," ")</f>
        <v> </v>
      </c>
      <c r="AG40" s="17" t="str">
        <f aca="false">IF((E40="y"),H40," ")</f>
        <v> </v>
      </c>
      <c r="AH40" s="17" t="str">
        <f aca="false">IF((E40="z"),H40," ")</f>
        <v> </v>
      </c>
      <c r="AI40" s="17" t="str">
        <f aca="false">IF((E40="fa"),H40," ")</f>
        <v> </v>
      </c>
      <c r="AJ40" s="17" t="str">
        <f aca="false">IF((E40="e"),H40," ")</f>
        <v> </v>
      </c>
    </row>
    <row r="41" customFormat="false" ht="12" hidden="false" customHeight="false" outlineLevel="0" collapsed="false">
      <c r="A41" s="28"/>
      <c r="E41" s="2"/>
      <c r="F41" s="30"/>
      <c r="G41" s="6" t="str">
        <f aca="false">IF(F41&lt;&gt;0,F41*G$2/(100+G$2)," ")</f>
        <v> </v>
      </c>
      <c r="H41" s="6" t="str">
        <f aca="false">IF((F41&lt;&gt;0),F41-G41," ")</f>
        <v> </v>
      </c>
      <c r="I41" s="5"/>
      <c r="L41" s="7" t="str">
        <f aca="false">IF(F41&lt;&gt;0,F41-K41," ")</f>
        <v> </v>
      </c>
      <c r="M41" s="8" t="str">
        <f aca="false">IF((F41-K41)&lt;&gt;0,M$1-A41," ")</f>
        <v> </v>
      </c>
      <c r="N41" s="5"/>
      <c r="O41" s="17" t="str">
        <f aca="false">IF((E41="s"),H41," ")</f>
        <v> </v>
      </c>
      <c r="P41" s="17" t="str">
        <f aca="false">IF((E41="c"),H41," ")</f>
        <v> </v>
      </c>
      <c r="Q41" s="17" t="str">
        <f aca="false">IF((E41="o"),H41," ")</f>
        <v> </v>
      </c>
      <c r="R41" s="17" t="str">
        <f aca="false">IF((E41="d"),H41," ")</f>
        <v> </v>
      </c>
      <c r="S41" s="17" t="str">
        <f aca="false">IF((E41="w"),H41," ")</f>
        <v> </v>
      </c>
      <c r="T41" s="17" t="str">
        <f aca="false">IF((E41="r"),H41," ")</f>
        <v> </v>
      </c>
      <c r="U41" s="17" t="str">
        <f aca="false">IF((E41="p"),H41," ")</f>
        <v> </v>
      </c>
      <c r="V41" s="17" t="str">
        <f aca="false">IF((E41="t"),H41," ")</f>
        <v> </v>
      </c>
      <c r="W41" s="17" t="str">
        <f aca="false">IF((E41="q"),H41," ")</f>
        <v> </v>
      </c>
      <c r="X41" s="17" t="str">
        <f aca="false">IF((E41="m"),H41," ")</f>
        <v> </v>
      </c>
      <c r="Y41" s="17" t="str">
        <f aca="false">IF((E41="u"),H41," ")</f>
        <v> </v>
      </c>
      <c r="Z41" s="17" t="str">
        <f aca="false">IF((E41="a"),H41," ")</f>
        <v> </v>
      </c>
      <c r="AA41" s="17" t="str">
        <f aca="false">IF((E41="g"),H41," ")</f>
        <v> </v>
      </c>
      <c r="AB41" s="17" t="str">
        <f aca="false">IF((E41="h"),H41," ")</f>
        <v> </v>
      </c>
      <c r="AC41" s="30" t="str">
        <f aca="false">IF((E41="v"),H41," ")</f>
        <v> </v>
      </c>
      <c r="AD41" s="30" t="str">
        <f aca="false">IF((E41="n"),H41," ")</f>
        <v> </v>
      </c>
      <c r="AE41" s="17" t="str">
        <f aca="false">IF((E41="f"),H41," ")</f>
        <v> </v>
      </c>
      <c r="AF41" s="17" t="str">
        <f aca="false">IF((E41="l"),H41," ")</f>
        <v> </v>
      </c>
      <c r="AG41" s="17" t="str">
        <f aca="false">IF((E41="y"),H41," ")</f>
        <v> </v>
      </c>
      <c r="AH41" s="17" t="str">
        <f aca="false">IF((E41="z"),H41," ")</f>
        <v> </v>
      </c>
      <c r="AI41" s="17" t="str">
        <f aca="false">IF((E41="fa"),H41," ")</f>
        <v> </v>
      </c>
      <c r="AJ41" s="17" t="str">
        <f aca="false">IF((E41="e"),H41," ")</f>
        <v> </v>
      </c>
    </row>
    <row r="42" customFormat="false" ht="12" hidden="false" customHeight="false" outlineLevel="0" collapsed="false">
      <c r="A42" s="28"/>
      <c r="E42" s="2"/>
      <c r="F42" s="30"/>
      <c r="G42" s="6" t="str">
        <f aca="false">IF(F42&lt;&gt;0,F42*G$2/(100+G$2)," ")</f>
        <v> </v>
      </c>
      <c r="H42" s="6" t="str">
        <f aca="false">IF((F42&lt;&gt;0),F42-G42," ")</f>
        <v> </v>
      </c>
      <c r="I42" s="5"/>
      <c r="L42" s="7" t="str">
        <f aca="false">IF(F42&lt;&gt;0,F42-K42," ")</f>
        <v> </v>
      </c>
      <c r="M42" s="8" t="str">
        <f aca="false">IF((F42-K42)&lt;&gt;0,M$1-A42," ")</f>
        <v> </v>
      </c>
      <c r="N42" s="5"/>
      <c r="O42" s="17" t="str">
        <f aca="false">IF((E42="s"),H42," ")</f>
        <v> </v>
      </c>
      <c r="P42" s="17" t="str">
        <f aca="false">IF((E42="c"),H42," ")</f>
        <v> </v>
      </c>
      <c r="Q42" s="17" t="str">
        <f aca="false">IF((E42="o"),H42," ")</f>
        <v> </v>
      </c>
      <c r="R42" s="17" t="str">
        <f aca="false">IF((E42="d"),H42," ")</f>
        <v> </v>
      </c>
      <c r="S42" s="17" t="str">
        <f aca="false">IF((E42="w"),H42," ")</f>
        <v> </v>
      </c>
      <c r="T42" s="17" t="str">
        <f aca="false">IF((E42="r"),H42," ")</f>
        <v> </v>
      </c>
      <c r="U42" s="17" t="str">
        <f aca="false">IF((E42="p"),H42," ")</f>
        <v> </v>
      </c>
      <c r="V42" s="17" t="str">
        <f aca="false">IF((E42="t"),H42," ")</f>
        <v> </v>
      </c>
      <c r="W42" s="17" t="str">
        <f aca="false">IF((E42="q"),H42," ")</f>
        <v> </v>
      </c>
      <c r="X42" s="17" t="str">
        <f aca="false">IF((E42="m"),H42," ")</f>
        <v> </v>
      </c>
      <c r="Y42" s="17" t="str">
        <f aca="false">IF((E42="u"),H42," ")</f>
        <v> </v>
      </c>
      <c r="Z42" s="17" t="str">
        <f aca="false">IF((E42="a"),H42," ")</f>
        <v> </v>
      </c>
      <c r="AA42" s="17" t="str">
        <f aca="false">IF((E42="g"),H42," ")</f>
        <v> </v>
      </c>
      <c r="AB42" s="17" t="str">
        <f aca="false">IF((E42="h"),H42," ")</f>
        <v> </v>
      </c>
      <c r="AC42" s="30" t="str">
        <f aca="false">IF((E42="v"),H42," ")</f>
        <v> </v>
      </c>
      <c r="AD42" s="30" t="str">
        <f aca="false">IF((E42="n"),H42," ")</f>
        <v> </v>
      </c>
      <c r="AE42" s="17" t="str">
        <f aca="false">IF((E42="f"),H42," ")</f>
        <v> </v>
      </c>
      <c r="AF42" s="17" t="str">
        <f aca="false">IF((E42="l"),H42," ")</f>
        <v> </v>
      </c>
      <c r="AG42" s="17" t="str">
        <f aca="false">IF((E42="y"),H42," ")</f>
        <v> </v>
      </c>
      <c r="AH42" s="17" t="str">
        <f aca="false">IF((E42="z"),H42," ")</f>
        <v> </v>
      </c>
      <c r="AI42" s="17" t="str">
        <f aca="false">IF((E42="fa"),H42," ")</f>
        <v> </v>
      </c>
      <c r="AJ42" s="17" t="str">
        <f aca="false">IF((E42="e"),H42," ")</f>
        <v> </v>
      </c>
    </row>
    <row r="43" customFormat="false" ht="12" hidden="false" customHeight="false" outlineLevel="0" collapsed="false">
      <c r="A43" s="28"/>
      <c r="E43" s="2"/>
      <c r="F43" s="30"/>
      <c r="G43" s="6" t="str">
        <f aca="false">IF(F43&lt;&gt;0,F43*G$2/(100+G$2)," ")</f>
        <v> </v>
      </c>
      <c r="H43" s="6" t="str">
        <f aca="false">IF((F43&lt;&gt;0),F43-G43," ")</f>
        <v> </v>
      </c>
      <c r="I43" s="5"/>
      <c r="L43" s="7" t="str">
        <f aca="false">IF(F43&lt;&gt;0,F43-K43," ")</f>
        <v> </v>
      </c>
      <c r="M43" s="8" t="str">
        <f aca="false">IF((F43-K43)&lt;&gt;0,M$1-A43," ")</f>
        <v> </v>
      </c>
      <c r="N43" s="5"/>
      <c r="O43" s="17" t="str">
        <f aca="false">IF((E43="s"),H43," ")</f>
        <v> </v>
      </c>
      <c r="P43" s="17" t="str">
        <f aca="false">IF((E43="c"),H43," ")</f>
        <v> </v>
      </c>
      <c r="Q43" s="17" t="str">
        <f aca="false">IF((E43="o"),H43," ")</f>
        <v> </v>
      </c>
      <c r="R43" s="17" t="str">
        <f aca="false">IF((E43="d"),H43," ")</f>
        <v> </v>
      </c>
      <c r="S43" s="17" t="str">
        <f aca="false">IF((E43="w"),H43," ")</f>
        <v> </v>
      </c>
      <c r="T43" s="17" t="str">
        <f aca="false">IF((E43="r"),H43," ")</f>
        <v> </v>
      </c>
      <c r="U43" s="17" t="str">
        <f aca="false">IF((E43="p"),H43," ")</f>
        <v> </v>
      </c>
      <c r="V43" s="17" t="str">
        <f aca="false">IF((E43="t"),H43," ")</f>
        <v> </v>
      </c>
      <c r="W43" s="17" t="str">
        <f aca="false">IF((E43="q"),H43," ")</f>
        <v> </v>
      </c>
      <c r="X43" s="17" t="str">
        <f aca="false">IF((E43="m"),H43," ")</f>
        <v> </v>
      </c>
      <c r="Y43" s="17" t="str">
        <f aca="false">IF((E43="u"),H43," ")</f>
        <v> </v>
      </c>
      <c r="Z43" s="17" t="str">
        <f aca="false">IF((E43="a"),H43," ")</f>
        <v> </v>
      </c>
      <c r="AA43" s="17" t="str">
        <f aca="false">IF((E43="g"),H43," ")</f>
        <v> </v>
      </c>
      <c r="AB43" s="17" t="str">
        <f aca="false">IF((E43="h"),H43," ")</f>
        <v> </v>
      </c>
      <c r="AC43" s="30" t="str">
        <f aca="false">IF((E43="v"),H43," ")</f>
        <v> </v>
      </c>
      <c r="AD43" s="30" t="str">
        <f aca="false">IF((E43="n"),H43," ")</f>
        <v> </v>
      </c>
      <c r="AE43" s="17" t="str">
        <f aca="false">IF((E43="f"),H43," ")</f>
        <v> </v>
      </c>
      <c r="AF43" s="17" t="str">
        <f aca="false">IF((E43="l"),H43," ")</f>
        <v> </v>
      </c>
      <c r="AG43" s="17" t="str">
        <f aca="false">IF((E43="y"),H43," ")</f>
        <v> </v>
      </c>
      <c r="AH43" s="17" t="str">
        <f aca="false">IF((E43="z"),H43," ")</f>
        <v> </v>
      </c>
      <c r="AI43" s="17" t="str">
        <f aca="false">IF((E43="fa"),H43," ")</f>
        <v> </v>
      </c>
      <c r="AJ43" s="17" t="str">
        <f aca="false">IF((E43="e"),H43," ")</f>
        <v> </v>
      </c>
    </row>
    <row r="44" customFormat="false" ht="12" hidden="false" customHeight="false" outlineLevel="0" collapsed="false">
      <c r="A44" s="28"/>
      <c r="E44" s="2"/>
      <c r="F44" s="30"/>
      <c r="G44" s="6" t="str">
        <f aca="false">IF(F44&lt;&gt;0,F44*G$2/(100+G$2)," ")</f>
        <v> </v>
      </c>
      <c r="H44" s="6" t="str">
        <f aca="false">IF((F44&lt;&gt;0),F44-G44," ")</f>
        <v> </v>
      </c>
      <c r="I44" s="5"/>
      <c r="L44" s="7" t="str">
        <f aca="false">IF(F44&lt;&gt;0,F44-K44," ")</f>
        <v> </v>
      </c>
      <c r="M44" s="8" t="str">
        <f aca="false">IF((F44-K44)&lt;&gt;0,M$1-A44," ")</f>
        <v> </v>
      </c>
      <c r="N44" s="5"/>
      <c r="O44" s="17" t="str">
        <f aca="false">IF((E44="s"),H44," ")</f>
        <v> </v>
      </c>
      <c r="P44" s="17" t="str">
        <f aca="false">IF((E44="c"),H44," ")</f>
        <v> </v>
      </c>
      <c r="Q44" s="17" t="str">
        <f aca="false">IF((E44="o"),H44," ")</f>
        <v> </v>
      </c>
      <c r="R44" s="17" t="str">
        <f aca="false">IF((E44="d"),H44," ")</f>
        <v> </v>
      </c>
      <c r="S44" s="17" t="str">
        <f aca="false">IF((E44="w"),H44," ")</f>
        <v> </v>
      </c>
      <c r="T44" s="17" t="str">
        <f aca="false">IF((E44="r"),H44," ")</f>
        <v> </v>
      </c>
      <c r="U44" s="17" t="str">
        <f aca="false">IF((E44="p"),H44," ")</f>
        <v> </v>
      </c>
      <c r="V44" s="17" t="str">
        <f aca="false">IF((E44="t"),H44," ")</f>
        <v> </v>
      </c>
      <c r="W44" s="17" t="str">
        <f aca="false">IF((E44="q"),H44," ")</f>
        <v> </v>
      </c>
      <c r="X44" s="17" t="str">
        <f aca="false">IF((E44="m"),H44," ")</f>
        <v> </v>
      </c>
      <c r="Y44" s="17" t="str">
        <f aca="false">IF((E44="u"),H44," ")</f>
        <v> </v>
      </c>
      <c r="Z44" s="17" t="str">
        <f aca="false">IF((E44="a"),H44," ")</f>
        <v> </v>
      </c>
      <c r="AA44" s="17" t="str">
        <f aca="false">IF((E44="g"),H44," ")</f>
        <v> </v>
      </c>
      <c r="AB44" s="17" t="str">
        <f aca="false">IF((E44="h"),H44," ")</f>
        <v> </v>
      </c>
      <c r="AC44" s="30" t="str">
        <f aca="false">IF((E44="v"),H44," ")</f>
        <v> </v>
      </c>
      <c r="AD44" s="30" t="str">
        <f aca="false">IF((E44="n"),H44," ")</f>
        <v> </v>
      </c>
      <c r="AE44" s="17" t="str">
        <f aca="false">IF((E44="f"),H44," ")</f>
        <v> </v>
      </c>
      <c r="AF44" s="17" t="str">
        <f aca="false">IF((E44="l"),H44," ")</f>
        <v> </v>
      </c>
      <c r="AG44" s="17" t="str">
        <f aca="false">IF((E44="y"),H44," ")</f>
        <v> </v>
      </c>
      <c r="AH44" s="17" t="str">
        <f aca="false">IF((E44="z"),H44," ")</f>
        <v> </v>
      </c>
      <c r="AI44" s="17" t="str">
        <f aca="false">IF((E44="fa"),H44," ")</f>
        <v> </v>
      </c>
      <c r="AJ44" s="17" t="str">
        <f aca="false">IF((E44="e"),H44," ")</f>
        <v> </v>
      </c>
    </row>
    <row r="45" customFormat="false" ht="12" hidden="false" customHeight="false" outlineLevel="0" collapsed="false">
      <c r="A45" s="28"/>
      <c r="E45" s="2"/>
      <c r="F45" s="30"/>
      <c r="G45" s="6" t="str">
        <f aca="false">IF(F45&lt;&gt;0,F45*G$2/(100+G$2)," ")</f>
        <v> </v>
      </c>
      <c r="H45" s="6" t="str">
        <f aca="false">IF((F45&lt;&gt;0),F45-G45," ")</f>
        <v> </v>
      </c>
      <c r="I45" s="5"/>
      <c r="L45" s="7" t="str">
        <f aca="false">IF(F45&lt;&gt;0,F45-K45," ")</f>
        <v> </v>
      </c>
      <c r="M45" s="8" t="str">
        <f aca="false">IF((F45-K45)&lt;&gt;0,M$1-A45," ")</f>
        <v> </v>
      </c>
      <c r="N45" s="5"/>
      <c r="O45" s="17" t="str">
        <f aca="false">IF((E45="s"),H45," ")</f>
        <v> </v>
      </c>
      <c r="P45" s="17" t="str">
        <f aca="false">IF((E45="c"),H45," ")</f>
        <v> </v>
      </c>
      <c r="Q45" s="17" t="str">
        <f aca="false">IF((E45="o"),H45," ")</f>
        <v> </v>
      </c>
      <c r="R45" s="17" t="str">
        <f aca="false">IF((E45="d"),H45," ")</f>
        <v> </v>
      </c>
      <c r="S45" s="17" t="str">
        <f aca="false">IF((E45="w"),H45," ")</f>
        <v> </v>
      </c>
      <c r="T45" s="17" t="str">
        <f aca="false">IF((E45="r"),H45," ")</f>
        <v> </v>
      </c>
      <c r="U45" s="17" t="str">
        <f aca="false">IF((E45="p"),H45," ")</f>
        <v> </v>
      </c>
      <c r="V45" s="17" t="str">
        <f aca="false">IF((E45="t"),H45," ")</f>
        <v> </v>
      </c>
      <c r="W45" s="17" t="str">
        <f aca="false">IF((E45="q"),H45," ")</f>
        <v> </v>
      </c>
      <c r="X45" s="17" t="str">
        <f aca="false">IF((E45="m"),H45," ")</f>
        <v> </v>
      </c>
      <c r="Y45" s="17" t="str">
        <f aca="false">IF((E45="u"),H45," ")</f>
        <v> </v>
      </c>
      <c r="Z45" s="17" t="str">
        <f aca="false">IF((E45="a"),H45," ")</f>
        <v> </v>
      </c>
      <c r="AA45" s="17" t="str">
        <f aca="false">IF((E45="g"),H45," ")</f>
        <v> </v>
      </c>
      <c r="AB45" s="17" t="str">
        <f aca="false">IF((E45="h"),H45," ")</f>
        <v> </v>
      </c>
      <c r="AC45" s="30" t="str">
        <f aca="false">IF((E45="v"),H45," ")</f>
        <v> </v>
      </c>
      <c r="AD45" s="30" t="str">
        <f aca="false">IF((E45="n"),H45," ")</f>
        <v> </v>
      </c>
      <c r="AE45" s="17" t="str">
        <f aca="false">IF((E45="f"),H45," ")</f>
        <v> </v>
      </c>
      <c r="AF45" s="17" t="str">
        <f aca="false">IF((E45="l"),H45," ")</f>
        <v> </v>
      </c>
      <c r="AG45" s="17" t="str">
        <f aca="false">IF((E45="y"),H45," ")</f>
        <v> </v>
      </c>
      <c r="AH45" s="17" t="str">
        <f aca="false">IF((E45="z"),H45," ")</f>
        <v> </v>
      </c>
      <c r="AI45" s="17" t="str">
        <f aca="false">IF((E45="fa"),H45," ")</f>
        <v> </v>
      </c>
      <c r="AJ45" s="17" t="str">
        <f aca="false">IF((E45="e"),H45," ")</f>
        <v> </v>
      </c>
    </row>
    <row r="46" customFormat="false" ht="12" hidden="false" customHeight="false" outlineLevel="0" collapsed="false">
      <c r="A46" s="28"/>
      <c r="E46" s="2"/>
      <c r="F46" s="30"/>
      <c r="G46" s="6" t="str">
        <f aca="false">IF(F46&lt;&gt;0,F46*G$2/(100+G$2)," ")</f>
        <v> </v>
      </c>
      <c r="H46" s="6" t="str">
        <f aca="false">IF((F46&lt;&gt;0),F46-G46," ")</f>
        <v> </v>
      </c>
      <c r="I46" s="5"/>
      <c r="L46" s="7" t="str">
        <f aca="false">IF(F46&lt;&gt;0,F46-K46," ")</f>
        <v> </v>
      </c>
      <c r="M46" s="8" t="str">
        <f aca="false">IF((F46-K46)&lt;&gt;0,M$1-A46," ")</f>
        <v> </v>
      </c>
      <c r="N46" s="5"/>
      <c r="O46" s="17" t="str">
        <f aca="false">IF((E46="s"),H46," ")</f>
        <v> </v>
      </c>
      <c r="P46" s="17" t="str">
        <f aca="false">IF((E46="c"),H46," ")</f>
        <v> </v>
      </c>
      <c r="Q46" s="17" t="str">
        <f aca="false">IF((E46="o"),H46," ")</f>
        <v> </v>
      </c>
      <c r="R46" s="17" t="str">
        <f aca="false">IF((E46="d"),H46," ")</f>
        <v> </v>
      </c>
      <c r="S46" s="17" t="str">
        <f aca="false">IF((E46="w"),H46," ")</f>
        <v> </v>
      </c>
      <c r="T46" s="17" t="str">
        <f aca="false">IF((E46="r"),H46," ")</f>
        <v> </v>
      </c>
      <c r="U46" s="17" t="str">
        <f aca="false">IF((E46="p"),H46," ")</f>
        <v> </v>
      </c>
      <c r="V46" s="17" t="str">
        <f aca="false">IF((E46="t"),H46," ")</f>
        <v> </v>
      </c>
      <c r="W46" s="17" t="str">
        <f aca="false">IF((E46="q"),H46," ")</f>
        <v> </v>
      </c>
      <c r="X46" s="17" t="str">
        <f aca="false">IF((E46="m"),H46," ")</f>
        <v> </v>
      </c>
      <c r="Y46" s="17" t="str">
        <f aca="false">IF((E46="u"),H46," ")</f>
        <v> </v>
      </c>
      <c r="Z46" s="17" t="str">
        <f aca="false">IF((E46="a"),H46," ")</f>
        <v> </v>
      </c>
      <c r="AA46" s="17" t="str">
        <f aca="false">IF((E46="g"),H46," ")</f>
        <v> </v>
      </c>
      <c r="AB46" s="17" t="str">
        <f aca="false">IF((E46="h"),H46," ")</f>
        <v> </v>
      </c>
      <c r="AC46" s="30" t="str">
        <f aca="false">IF((E46="v"),H46," ")</f>
        <v> </v>
      </c>
      <c r="AD46" s="30" t="str">
        <f aca="false">IF((E46="n"),H46," ")</f>
        <v> </v>
      </c>
      <c r="AE46" s="17" t="str">
        <f aca="false">IF((E46="f"),H46," ")</f>
        <v> </v>
      </c>
      <c r="AF46" s="17" t="str">
        <f aca="false">IF((E46="l"),H46," ")</f>
        <v> </v>
      </c>
      <c r="AG46" s="17" t="str">
        <f aca="false">IF((E46="y"),H46," ")</f>
        <v> </v>
      </c>
      <c r="AH46" s="17" t="str">
        <f aca="false">IF((E46="z"),H46," ")</f>
        <v> </v>
      </c>
      <c r="AI46" s="17" t="str">
        <f aca="false">IF((E46="fa"),H46," ")</f>
        <v> </v>
      </c>
      <c r="AJ46" s="17" t="str">
        <f aca="false">IF((E46="e"),H46," ")</f>
        <v> </v>
      </c>
    </row>
    <row r="47" customFormat="false" ht="12" hidden="false" customHeight="false" outlineLevel="0" collapsed="false">
      <c r="A47" s="28"/>
      <c r="E47" s="2"/>
      <c r="F47" s="30"/>
      <c r="G47" s="6" t="str">
        <f aca="false">IF(F47&lt;&gt;0,F47*G$2/(100+G$2)," ")</f>
        <v> </v>
      </c>
      <c r="H47" s="6" t="str">
        <f aca="false">IF((F47&lt;&gt;0),F47-G47," ")</f>
        <v> </v>
      </c>
      <c r="I47" s="5"/>
      <c r="L47" s="7" t="str">
        <f aca="false">IF(F47&lt;&gt;0,F47-K47," ")</f>
        <v> </v>
      </c>
      <c r="M47" s="8" t="str">
        <f aca="false">IF((F47-K47)&lt;&gt;0,M$1-A47," ")</f>
        <v> </v>
      </c>
      <c r="N47" s="5"/>
      <c r="O47" s="17" t="str">
        <f aca="false">IF((E47="s"),H47," ")</f>
        <v> </v>
      </c>
      <c r="P47" s="17" t="str">
        <f aca="false">IF((E47="c"),H47," ")</f>
        <v> </v>
      </c>
      <c r="Q47" s="17" t="str">
        <f aca="false">IF((E47="o"),H47," ")</f>
        <v> </v>
      </c>
      <c r="R47" s="17" t="str">
        <f aca="false">IF((E47="d"),H47," ")</f>
        <v> </v>
      </c>
      <c r="S47" s="17" t="str">
        <f aca="false">IF((E47="w"),H47," ")</f>
        <v> </v>
      </c>
      <c r="T47" s="17" t="str">
        <f aca="false">IF((E47="r"),H47," ")</f>
        <v> </v>
      </c>
      <c r="U47" s="17" t="str">
        <f aca="false">IF((E47="p"),H47," ")</f>
        <v> </v>
      </c>
      <c r="V47" s="17" t="str">
        <f aca="false">IF((E47="t"),H47," ")</f>
        <v> </v>
      </c>
      <c r="W47" s="17" t="str">
        <f aca="false">IF((E47="q"),H47," ")</f>
        <v> </v>
      </c>
      <c r="X47" s="17" t="str">
        <f aca="false">IF((E47="m"),H47," ")</f>
        <v> </v>
      </c>
      <c r="Y47" s="17" t="str">
        <f aca="false">IF((E47="u"),H47," ")</f>
        <v> </v>
      </c>
      <c r="Z47" s="17" t="str">
        <f aca="false">IF((E47="a"),H47," ")</f>
        <v> </v>
      </c>
      <c r="AA47" s="17" t="str">
        <f aca="false">IF((E47="g"),H47," ")</f>
        <v> </v>
      </c>
      <c r="AB47" s="17" t="str">
        <f aca="false">IF((E47="h"),H47," ")</f>
        <v> </v>
      </c>
      <c r="AC47" s="30" t="str">
        <f aca="false">IF((E47="v"),H47," ")</f>
        <v> </v>
      </c>
      <c r="AD47" s="30" t="str">
        <f aca="false">IF((E47="n"),H47," ")</f>
        <v> </v>
      </c>
      <c r="AE47" s="17" t="str">
        <f aca="false">IF((E47="f"),H47," ")</f>
        <v> </v>
      </c>
      <c r="AF47" s="17" t="str">
        <f aca="false">IF((E47="l"),H47," ")</f>
        <v> </v>
      </c>
      <c r="AG47" s="17" t="str">
        <f aca="false">IF((E47="y"),H47," ")</f>
        <v> </v>
      </c>
      <c r="AH47" s="17" t="str">
        <f aca="false">IF((E47="z"),H47," ")</f>
        <v> </v>
      </c>
      <c r="AI47" s="17" t="str">
        <f aca="false">IF((E47="fa"),H47," ")</f>
        <v> </v>
      </c>
      <c r="AJ47" s="17" t="str">
        <f aca="false">IF((E47="e"),H47," ")</f>
        <v> </v>
      </c>
    </row>
    <row r="48" customFormat="false" ht="12" hidden="false" customHeight="false" outlineLevel="0" collapsed="false">
      <c r="A48" s="28"/>
      <c r="E48" s="2"/>
      <c r="F48" s="30"/>
      <c r="G48" s="6" t="str">
        <f aca="false">IF(F48&lt;&gt;0,F48*G$2/(100+G$2)," ")</f>
        <v> </v>
      </c>
      <c r="H48" s="6" t="str">
        <f aca="false">IF((F48&lt;&gt;0),F48-G48," ")</f>
        <v> </v>
      </c>
      <c r="I48" s="5"/>
      <c r="L48" s="7" t="str">
        <f aca="false">IF(F48&lt;&gt;0,F48-K48," ")</f>
        <v> </v>
      </c>
      <c r="M48" s="8" t="str">
        <f aca="false">IF((F48-K48)&lt;&gt;0,M$1-A48," ")</f>
        <v> </v>
      </c>
      <c r="N48" s="5"/>
      <c r="O48" s="17" t="str">
        <f aca="false">IF((E48="s"),H48," ")</f>
        <v> </v>
      </c>
      <c r="P48" s="17" t="str">
        <f aca="false">IF((E48="c"),H48," ")</f>
        <v> </v>
      </c>
      <c r="Q48" s="17" t="str">
        <f aca="false">IF((E48="o"),H48," ")</f>
        <v> </v>
      </c>
      <c r="R48" s="17" t="str">
        <f aca="false">IF((E48="d"),H48," ")</f>
        <v> </v>
      </c>
      <c r="S48" s="17" t="str">
        <f aca="false">IF((E48="w"),H48," ")</f>
        <v> </v>
      </c>
      <c r="T48" s="17" t="str">
        <f aca="false">IF((E48="r"),H48," ")</f>
        <v> </v>
      </c>
      <c r="U48" s="17" t="str">
        <f aca="false">IF((E48="p"),H48," ")</f>
        <v> </v>
      </c>
      <c r="V48" s="17" t="str">
        <f aca="false">IF((E48="t"),H48," ")</f>
        <v> </v>
      </c>
      <c r="W48" s="17" t="str">
        <f aca="false">IF((E48="q"),H48," ")</f>
        <v> </v>
      </c>
      <c r="X48" s="17" t="str">
        <f aca="false">IF((E48="m"),H48," ")</f>
        <v> </v>
      </c>
      <c r="Y48" s="17" t="str">
        <f aca="false">IF((E48="u"),H48," ")</f>
        <v> </v>
      </c>
      <c r="Z48" s="17" t="str">
        <f aca="false">IF((E48="a"),H48," ")</f>
        <v> </v>
      </c>
      <c r="AA48" s="17" t="str">
        <f aca="false">IF((E48="g"),H48," ")</f>
        <v> </v>
      </c>
      <c r="AB48" s="17" t="str">
        <f aca="false">IF((E48="h"),H48," ")</f>
        <v> </v>
      </c>
      <c r="AC48" s="30" t="str">
        <f aca="false">IF((E48="v"),H48," ")</f>
        <v> </v>
      </c>
      <c r="AD48" s="30" t="str">
        <f aca="false">IF((E48="n"),H48," ")</f>
        <v> </v>
      </c>
      <c r="AE48" s="17" t="str">
        <f aca="false">IF((E48="f"),H48," ")</f>
        <v> </v>
      </c>
      <c r="AF48" s="17" t="str">
        <f aca="false">IF((E48="l"),H48," ")</f>
        <v> </v>
      </c>
      <c r="AG48" s="17" t="str">
        <f aca="false">IF((E48="y"),H48," ")</f>
        <v> </v>
      </c>
      <c r="AH48" s="17" t="str">
        <f aca="false">IF((E48="z"),H48," ")</f>
        <v> </v>
      </c>
      <c r="AI48" s="17" t="str">
        <f aca="false">IF((E48="fa"),H48," ")</f>
        <v> </v>
      </c>
      <c r="AJ48" s="17" t="str">
        <f aca="false">IF((E48="e"),H48," ")</f>
        <v> </v>
      </c>
    </row>
    <row r="49" customFormat="false" ht="12" hidden="false" customHeight="false" outlineLevel="0" collapsed="false">
      <c r="A49" s="28"/>
      <c r="E49" s="2"/>
      <c r="F49" s="30"/>
      <c r="G49" s="6" t="str">
        <f aca="false">IF(F49&lt;&gt;0,F49*G$2/(100+G$2)," ")</f>
        <v> </v>
      </c>
      <c r="H49" s="6" t="str">
        <f aca="false">IF((F49&lt;&gt;0),F49-G49," ")</f>
        <v> </v>
      </c>
      <c r="I49" s="5"/>
      <c r="L49" s="7" t="str">
        <f aca="false">IF(F49&lt;&gt;0,F49-K49," ")</f>
        <v> </v>
      </c>
      <c r="M49" s="8" t="str">
        <f aca="false">IF((F49-K49)&lt;&gt;0,M$1-A49," ")</f>
        <v> </v>
      </c>
      <c r="N49" s="5"/>
      <c r="O49" s="17" t="str">
        <f aca="false">IF((E49="s"),H49," ")</f>
        <v> </v>
      </c>
      <c r="P49" s="17" t="str">
        <f aca="false">IF((E49="c"),H49," ")</f>
        <v> </v>
      </c>
      <c r="Q49" s="17" t="str">
        <f aca="false">IF((E49="o"),H49," ")</f>
        <v> </v>
      </c>
      <c r="R49" s="17" t="str">
        <f aca="false">IF((E49="d"),H49," ")</f>
        <v> </v>
      </c>
      <c r="S49" s="17" t="str">
        <f aca="false">IF((E49="w"),H49," ")</f>
        <v> </v>
      </c>
      <c r="T49" s="17" t="str">
        <f aca="false">IF((E49="r"),H49," ")</f>
        <v> </v>
      </c>
      <c r="U49" s="17" t="str">
        <f aca="false">IF((E49="p"),H49," ")</f>
        <v> </v>
      </c>
      <c r="V49" s="17" t="str">
        <f aca="false">IF((E49="t"),H49," ")</f>
        <v> </v>
      </c>
      <c r="W49" s="17" t="str">
        <f aca="false">IF((E49="q"),H49," ")</f>
        <v> </v>
      </c>
      <c r="X49" s="17" t="str">
        <f aca="false">IF((E49="m"),H49," ")</f>
        <v> </v>
      </c>
      <c r="Y49" s="17" t="str">
        <f aca="false">IF((E49="u"),H49," ")</f>
        <v> </v>
      </c>
      <c r="Z49" s="17" t="str">
        <f aca="false">IF((E49="a"),H49," ")</f>
        <v> </v>
      </c>
      <c r="AA49" s="17" t="str">
        <f aca="false">IF((E49="g"),H49," ")</f>
        <v> </v>
      </c>
      <c r="AB49" s="17" t="str">
        <f aca="false">IF((E49="h"),H49," ")</f>
        <v> </v>
      </c>
      <c r="AC49" s="30" t="str">
        <f aca="false">IF((E49="v"),H49," ")</f>
        <v> </v>
      </c>
      <c r="AD49" s="30" t="str">
        <f aca="false">IF((E49="n"),H49," ")</f>
        <v> </v>
      </c>
      <c r="AE49" s="17" t="str">
        <f aca="false">IF((E49="f"),H49," ")</f>
        <v> </v>
      </c>
      <c r="AF49" s="17" t="str">
        <f aca="false">IF((E49="l"),H49," ")</f>
        <v> </v>
      </c>
      <c r="AG49" s="17" t="str">
        <f aca="false">IF((E49="y"),H49," ")</f>
        <v> </v>
      </c>
      <c r="AH49" s="17" t="str">
        <f aca="false">IF((E49="z"),H49," ")</f>
        <v> </v>
      </c>
      <c r="AI49" s="17" t="str">
        <f aca="false">IF((E49="fa"),H49," ")</f>
        <v> </v>
      </c>
      <c r="AJ49" s="17" t="str">
        <f aca="false">IF((E49="e"),H49," ")</f>
        <v> </v>
      </c>
    </row>
    <row r="50" customFormat="false" ht="12" hidden="false" customHeight="false" outlineLevel="0" collapsed="false">
      <c r="A50" s="28"/>
      <c r="E50" s="2"/>
      <c r="F50" s="30"/>
      <c r="G50" s="6" t="str">
        <f aca="false">IF(F50&lt;&gt;0,F50*G$2/(100+G$2)," ")</f>
        <v> </v>
      </c>
      <c r="H50" s="6" t="str">
        <f aca="false">IF((F50&lt;&gt;0),F50-G50," ")</f>
        <v> </v>
      </c>
      <c r="I50" s="5"/>
      <c r="L50" s="7" t="str">
        <f aca="false">IF(F50&lt;&gt;0,F50-K50," ")</f>
        <v> </v>
      </c>
      <c r="M50" s="8" t="str">
        <f aca="false">IF((F50-K50)&lt;&gt;0,M$1-A50," ")</f>
        <v> </v>
      </c>
      <c r="N50" s="5"/>
      <c r="O50" s="17" t="str">
        <f aca="false">IF((E50="s"),H50," ")</f>
        <v> </v>
      </c>
      <c r="P50" s="17" t="str">
        <f aca="false">IF((E50="c"),H50," ")</f>
        <v> </v>
      </c>
      <c r="Q50" s="17" t="str">
        <f aca="false">IF((E50="o"),H50," ")</f>
        <v> </v>
      </c>
      <c r="R50" s="17" t="str">
        <f aca="false">IF((E50="d"),H50," ")</f>
        <v> </v>
      </c>
      <c r="S50" s="17" t="str">
        <f aca="false">IF((E50="w"),H50," ")</f>
        <v> </v>
      </c>
      <c r="T50" s="17" t="str">
        <f aca="false">IF((E50="r"),H50," ")</f>
        <v> </v>
      </c>
      <c r="U50" s="17" t="str">
        <f aca="false">IF((E50="p"),H50," ")</f>
        <v> </v>
      </c>
      <c r="V50" s="17" t="str">
        <f aca="false">IF((E50="t"),H50," ")</f>
        <v> </v>
      </c>
      <c r="W50" s="17" t="str">
        <f aca="false">IF((E50="q"),H50," ")</f>
        <v> </v>
      </c>
      <c r="X50" s="17" t="str">
        <f aca="false">IF((E50="m"),H50," ")</f>
        <v> </v>
      </c>
      <c r="Y50" s="17" t="str">
        <f aca="false">IF((E50="u"),H50," ")</f>
        <v> </v>
      </c>
      <c r="Z50" s="17" t="str">
        <f aca="false">IF((E50="a"),H50," ")</f>
        <v> </v>
      </c>
      <c r="AA50" s="17" t="str">
        <f aca="false">IF((E50="g"),H50," ")</f>
        <v> </v>
      </c>
      <c r="AB50" s="17" t="str">
        <f aca="false">IF((E50="h"),H50," ")</f>
        <v> </v>
      </c>
      <c r="AC50" s="30" t="str">
        <f aca="false">IF((E50="v"),H50," ")</f>
        <v> </v>
      </c>
      <c r="AD50" s="30" t="str">
        <f aca="false">IF((E50="n"),H50," ")</f>
        <v> </v>
      </c>
      <c r="AE50" s="17" t="str">
        <f aca="false">IF((E50="f"),H50," ")</f>
        <v> </v>
      </c>
      <c r="AF50" s="17" t="str">
        <f aca="false">IF((E50="l"),H50," ")</f>
        <v> </v>
      </c>
      <c r="AG50" s="17" t="str">
        <f aca="false">IF((E50="y"),H50," ")</f>
        <v> </v>
      </c>
      <c r="AH50" s="17" t="str">
        <f aca="false">IF((E50="z"),H50," ")</f>
        <v> </v>
      </c>
      <c r="AI50" s="17" t="str">
        <f aca="false">IF((E50="fa"),H50," ")</f>
        <v> </v>
      </c>
      <c r="AJ50" s="17" t="str">
        <f aca="false">IF((E50="e"),H50," ")</f>
        <v> </v>
      </c>
    </row>
    <row r="51" customFormat="false" ht="12" hidden="false" customHeight="false" outlineLevel="0" collapsed="false">
      <c r="A51" s="28"/>
      <c r="E51" s="2"/>
      <c r="F51" s="30"/>
      <c r="G51" s="6" t="str">
        <f aca="false">IF(F51&lt;&gt;0,F51*G$2/(100+G$2)," ")</f>
        <v> </v>
      </c>
      <c r="H51" s="6" t="str">
        <f aca="false">IF((F51&lt;&gt;0),F51-G51," ")</f>
        <v> </v>
      </c>
      <c r="I51" s="5"/>
      <c r="L51" s="7" t="str">
        <f aca="false">IF(F51&lt;&gt;0,F51-K51," ")</f>
        <v> </v>
      </c>
      <c r="M51" s="8" t="str">
        <f aca="false">IF((F51-K51)&lt;&gt;0,M$1-A51," ")</f>
        <v> </v>
      </c>
      <c r="N51" s="5"/>
      <c r="O51" s="17" t="str">
        <f aca="false">IF((E51="s"),H51," ")</f>
        <v> </v>
      </c>
      <c r="P51" s="17" t="str">
        <f aca="false">IF((E51="c"),H51," ")</f>
        <v> </v>
      </c>
      <c r="Q51" s="17" t="str">
        <f aca="false">IF((E51="o"),H51," ")</f>
        <v> </v>
      </c>
      <c r="R51" s="17" t="str">
        <f aca="false">IF((E51="d"),H51," ")</f>
        <v> </v>
      </c>
      <c r="S51" s="17" t="str">
        <f aca="false">IF((E51="w"),H51," ")</f>
        <v> </v>
      </c>
      <c r="T51" s="17" t="str">
        <f aca="false">IF((E51="r"),H51," ")</f>
        <v> </v>
      </c>
      <c r="U51" s="17" t="str">
        <f aca="false">IF((E51="p"),H51," ")</f>
        <v> </v>
      </c>
      <c r="V51" s="17" t="str">
        <f aca="false">IF((E51="t"),H51," ")</f>
        <v> </v>
      </c>
      <c r="W51" s="17" t="str">
        <f aca="false">IF((E51="q"),H51," ")</f>
        <v> </v>
      </c>
      <c r="X51" s="17" t="str">
        <f aca="false">IF((E51="m"),H51," ")</f>
        <v> </v>
      </c>
      <c r="Y51" s="17" t="str">
        <f aca="false">IF((E51="u"),H51," ")</f>
        <v> </v>
      </c>
      <c r="Z51" s="17" t="str">
        <f aca="false">IF((E51="a"),H51," ")</f>
        <v> </v>
      </c>
      <c r="AA51" s="17" t="str">
        <f aca="false">IF((E51="g"),H51," ")</f>
        <v> </v>
      </c>
      <c r="AB51" s="17" t="str">
        <f aca="false">IF((E51="h"),H51," ")</f>
        <v> </v>
      </c>
      <c r="AC51" s="30" t="str">
        <f aca="false">IF((E51="v"),H51," ")</f>
        <v> </v>
      </c>
      <c r="AD51" s="30" t="str">
        <f aca="false">IF((E51="n"),H51," ")</f>
        <v> </v>
      </c>
      <c r="AE51" s="17" t="str">
        <f aca="false">IF((E51="f"),H51," ")</f>
        <v> </v>
      </c>
      <c r="AF51" s="17" t="str">
        <f aca="false">IF((E51="l"),H51," ")</f>
        <v> </v>
      </c>
      <c r="AG51" s="17" t="str">
        <f aca="false">IF((E51="y"),H51," ")</f>
        <v> </v>
      </c>
      <c r="AH51" s="17" t="str">
        <f aca="false">IF((E51="z"),H51," ")</f>
        <v> </v>
      </c>
      <c r="AI51" s="17" t="str">
        <f aca="false">IF((E51="fa"),H51," ")</f>
        <v> </v>
      </c>
      <c r="AJ51" s="17" t="str">
        <f aca="false">IF((E51="e"),H51," ")</f>
        <v> </v>
      </c>
    </row>
    <row r="52" customFormat="false" ht="12" hidden="false" customHeight="false" outlineLevel="0" collapsed="false">
      <c r="A52" s="28"/>
      <c r="E52" s="2"/>
      <c r="F52" s="30"/>
      <c r="G52" s="6" t="str">
        <f aca="false">IF(F52&lt;&gt;0,F52*G$2/(100+G$2)," ")</f>
        <v> </v>
      </c>
      <c r="H52" s="6" t="str">
        <f aca="false">IF((F52&lt;&gt;0),F52-G52," ")</f>
        <v> </v>
      </c>
      <c r="I52" s="5"/>
      <c r="L52" s="7" t="str">
        <f aca="false">IF(F52&lt;&gt;0,F52-K52," ")</f>
        <v> </v>
      </c>
      <c r="M52" s="8" t="str">
        <f aca="false">IF((F52-K52)&lt;&gt;0,M$1-A52," ")</f>
        <v> </v>
      </c>
      <c r="N52" s="5"/>
      <c r="O52" s="17" t="str">
        <f aca="false">IF((E52="s"),H52," ")</f>
        <v> </v>
      </c>
      <c r="P52" s="17" t="str">
        <f aca="false">IF((E52="c"),H52," ")</f>
        <v> </v>
      </c>
      <c r="Q52" s="17" t="str">
        <f aca="false">IF((E52="o"),H52," ")</f>
        <v> </v>
      </c>
      <c r="R52" s="17" t="str">
        <f aca="false">IF((E52="d"),H52," ")</f>
        <v> </v>
      </c>
      <c r="S52" s="17" t="str">
        <f aca="false">IF((E52="w"),H52," ")</f>
        <v> </v>
      </c>
      <c r="T52" s="17" t="str">
        <f aca="false">IF((E52="r"),H52," ")</f>
        <v> </v>
      </c>
      <c r="U52" s="17" t="str">
        <f aca="false">IF((E52="p"),H52," ")</f>
        <v> </v>
      </c>
      <c r="V52" s="17" t="str">
        <f aca="false">IF((E52="t"),H52," ")</f>
        <v> </v>
      </c>
      <c r="W52" s="17" t="str">
        <f aca="false">IF((E52="q"),H52," ")</f>
        <v> </v>
      </c>
      <c r="X52" s="17" t="str">
        <f aca="false">IF((E52="m"),H52," ")</f>
        <v> </v>
      </c>
      <c r="Y52" s="17" t="str">
        <f aca="false">IF((E52="u"),H52," ")</f>
        <v> </v>
      </c>
      <c r="Z52" s="17" t="str">
        <f aca="false">IF((E52="a"),H52," ")</f>
        <v> </v>
      </c>
      <c r="AA52" s="17" t="str">
        <f aca="false">IF((E52="g"),H52," ")</f>
        <v> </v>
      </c>
      <c r="AB52" s="17" t="str">
        <f aca="false">IF((E52="h"),H52," ")</f>
        <v> </v>
      </c>
      <c r="AC52" s="30" t="str">
        <f aca="false">IF((E52="v"),H52," ")</f>
        <v> </v>
      </c>
      <c r="AD52" s="30" t="str">
        <f aca="false">IF((E52="n"),H52," ")</f>
        <v> </v>
      </c>
      <c r="AE52" s="17" t="str">
        <f aca="false">IF((E52="f"),H52," ")</f>
        <v> </v>
      </c>
      <c r="AF52" s="17" t="str">
        <f aca="false">IF((E52="l"),H52," ")</f>
        <v> </v>
      </c>
      <c r="AG52" s="17" t="str">
        <f aca="false">IF((E52="y"),H52," ")</f>
        <v> </v>
      </c>
      <c r="AH52" s="17" t="str">
        <f aca="false">IF((E52="z"),H52," ")</f>
        <v> </v>
      </c>
      <c r="AI52" s="17" t="str">
        <f aca="false">IF((E52="fa"),H52," ")</f>
        <v> </v>
      </c>
      <c r="AJ52" s="17" t="str">
        <f aca="false">IF((E52="e"),H52," ")</f>
        <v> </v>
      </c>
    </row>
    <row r="53" customFormat="false" ht="12" hidden="false" customHeight="false" outlineLevel="0" collapsed="false">
      <c r="A53" s="28"/>
      <c r="E53" s="2"/>
      <c r="F53" s="30"/>
      <c r="G53" s="6" t="str">
        <f aca="false">IF(F53&lt;&gt;0,F53*G$2/(100+G$2)," ")</f>
        <v> </v>
      </c>
      <c r="H53" s="6" t="str">
        <f aca="false">IF((F53&lt;&gt;0),F53-G53," ")</f>
        <v> </v>
      </c>
      <c r="I53" s="5"/>
      <c r="L53" s="7" t="str">
        <f aca="false">IF(F53&lt;&gt;0,F53-K53," ")</f>
        <v> </v>
      </c>
      <c r="M53" s="8" t="str">
        <f aca="false">IF((F53-K53)&lt;&gt;0,M$1-A53," ")</f>
        <v> </v>
      </c>
      <c r="N53" s="5"/>
      <c r="O53" s="17" t="str">
        <f aca="false">IF((E53="s"),H53," ")</f>
        <v> </v>
      </c>
      <c r="P53" s="17" t="str">
        <f aca="false">IF((E53="c"),H53," ")</f>
        <v> </v>
      </c>
      <c r="Q53" s="17" t="str">
        <f aca="false">IF((E53="o"),H53," ")</f>
        <v> </v>
      </c>
      <c r="R53" s="17" t="str">
        <f aca="false">IF((E53="d"),H53," ")</f>
        <v> </v>
      </c>
      <c r="S53" s="17" t="str">
        <f aca="false">IF((E53="w"),H53," ")</f>
        <v> </v>
      </c>
      <c r="T53" s="17" t="str">
        <f aca="false">IF((E53="r"),H53," ")</f>
        <v> </v>
      </c>
      <c r="U53" s="17" t="str">
        <f aca="false">IF((E53="p"),H53," ")</f>
        <v> </v>
      </c>
      <c r="V53" s="17" t="str">
        <f aca="false">IF((E53="t"),H53," ")</f>
        <v> </v>
      </c>
      <c r="W53" s="17" t="str">
        <f aca="false">IF((E53="q"),H53," ")</f>
        <v> </v>
      </c>
      <c r="X53" s="17" t="str">
        <f aca="false">IF((E53="m"),H53," ")</f>
        <v> </v>
      </c>
      <c r="Y53" s="17" t="str">
        <f aca="false">IF((E53="u"),H53," ")</f>
        <v> </v>
      </c>
      <c r="Z53" s="17" t="str">
        <f aca="false">IF((E53="a"),H53," ")</f>
        <v> </v>
      </c>
      <c r="AA53" s="17" t="str">
        <f aca="false">IF((E53="g"),H53," ")</f>
        <v> </v>
      </c>
      <c r="AB53" s="17" t="str">
        <f aca="false">IF((E53="h"),H53," ")</f>
        <v> </v>
      </c>
      <c r="AC53" s="30" t="str">
        <f aca="false">IF((E53="v"),H53," ")</f>
        <v> </v>
      </c>
      <c r="AD53" s="30" t="str">
        <f aca="false">IF((E53="n"),H53," ")</f>
        <v> </v>
      </c>
      <c r="AE53" s="17" t="str">
        <f aca="false">IF((E53="f"),H53," ")</f>
        <v> </v>
      </c>
      <c r="AF53" s="17" t="str">
        <f aca="false">IF((E53="l"),H53," ")</f>
        <v> </v>
      </c>
      <c r="AG53" s="17" t="str">
        <f aca="false">IF((E53="y"),H53," ")</f>
        <v> </v>
      </c>
      <c r="AH53" s="17" t="str">
        <f aca="false">IF((E53="z"),H53," ")</f>
        <v> </v>
      </c>
      <c r="AI53" s="17" t="str">
        <f aca="false">IF((E53="fa"),H53," ")</f>
        <v> </v>
      </c>
      <c r="AJ53" s="17" t="str">
        <f aca="false">IF((E53="e"),H53," ")</f>
        <v> </v>
      </c>
    </row>
    <row r="54" customFormat="false" ht="12" hidden="false" customHeight="false" outlineLevel="0" collapsed="false">
      <c r="A54" s="28"/>
      <c r="E54" s="2"/>
      <c r="F54" s="30"/>
      <c r="G54" s="6" t="str">
        <f aca="false">IF(F54&lt;&gt;0,F54*G$2/(100+G$2)," ")</f>
        <v> </v>
      </c>
      <c r="H54" s="6" t="str">
        <f aca="false">IF((F54&lt;&gt;0),F54-G54," ")</f>
        <v> </v>
      </c>
      <c r="I54" s="5"/>
      <c r="L54" s="7" t="str">
        <f aca="false">IF(F54&lt;&gt;0,F54-K54," ")</f>
        <v> </v>
      </c>
      <c r="M54" s="8" t="str">
        <f aca="false">IF((F54-K54)&lt;&gt;0,M$1-A54," ")</f>
        <v> </v>
      </c>
      <c r="N54" s="5"/>
      <c r="O54" s="17" t="str">
        <f aca="false">IF((E54="s"),H54," ")</f>
        <v> </v>
      </c>
      <c r="P54" s="17" t="str">
        <f aca="false">IF((E54="c"),H54," ")</f>
        <v> </v>
      </c>
      <c r="Q54" s="17" t="str">
        <f aca="false">IF((E54="o"),H54," ")</f>
        <v> </v>
      </c>
      <c r="R54" s="17" t="str">
        <f aca="false">IF((E54="d"),H54," ")</f>
        <v> </v>
      </c>
      <c r="S54" s="17" t="str">
        <f aca="false">IF((E54="w"),H54," ")</f>
        <v> </v>
      </c>
      <c r="T54" s="17" t="str">
        <f aca="false">IF((E54="r"),H54," ")</f>
        <v> </v>
      </c>
      <c r="U54" s="17" t="str">
        <f aca="false">IF((E54="p"),H54," ")</f>
        <v> </v>
      </c>
      <c r="V54" s="17" t="str">
        <f aca="false">IF((E54="t"),H54," ")</f>
        <v> </v>
      </c>
      <c r="W54" s="17" t="str">
        <f aca="false">IF((E54="q"),H54," ")</f>
        <v> </v>
      </c>
      <c r="X54" s="17" t="str">
        <f aca="false">IF((E54="m"),H54," ")</f>
        <v> </v>
      </c>
      <c r="Y54" s="17" t="str">
        <f aca="false">IF((E54="u"),H54," ")</f>
        <v> </v>
      </c>
      <c r="Z54" s="17" t="str">
        <f aca="false">IF((E54="a"),H54," ")</f>
        <v> </v>
      </c>
      <c r="AA54" s="17" t="str">
        <f aca="false">IF((E54="g"),H54," ")</f>
        <v> </v>
      </c>
      <c r="AB54" s="17" t="str">
        <f aca="false">IF((E54="h"),H54," ")</f>
        <v> </v>
      </c>
      <c r="AC54" s="30" t="str">
        <f aca="false">IF((E54="v"),H54," ")</f>
        <v> </v>
      </c>
      <c r="AD54" s="30" t="str">
        <f aca="false">IF((E54="n"),H54," ")</f>
        <v> </v>
      </c>
      <c r="AE54" s="17" t="str">
        <f aca="false">IF((E54="f"),H54," ")</f>
        <v> </v>
      </c>
      <c r="AF54" s="17" t="str">
        <f aca="false">IF((E54="l"),H54," ")</f>
        <v> </v>
      </c>
      <c r="AG54" s="17" t="str">
        <f aca="false">IF((E54="y"),H54," ")</f>
        <v> </v>
      </c>
      <c r="AH54" s="17" t="str">
        <f aca="false">IF((E54="z"),H54," ")</f>
        <v> </v>
      </c>
      <c r="AI54" s="17" t="str">
        <f aca="false">IF((E54="fa"),H54," ")</f>
        <v> </v>
      </c>
      <c r="AJ54" s="17" t="str">
        <f aca="false">IF((E54="e"),H54," ")</f>
        <v> </v>
      </c>
    </row>
    <row r="55" customFormat="false" ht="12" hidden="false" customHeight="false" outlineLevel="0" collapsed="false">
      <c r="A55" s="28"/>
      <c r="E55" s="2"/>
      <c r="F55" s="30"/>
      <c r="G55" s="6" t="str">
        <f aca="false">IF(F55&lt;&gt;0,F55*G$2/(100+G$2)," ")</f>
        <v> </v>
      </c>
      <c r="H55" s="6" t="str">
        <f aca="false">IF((F55&lt;&gt;0),F55-G55," ")</f>
        <v> </v>
      </c>
      <c r="I55" s="5"/>
      <c r="L55" s="7" t="str">
        <f aca="false">IF(F55&lt;&gt;0,F55-K55," ")</f>
        <v> </v>
      </c>
      <c r="M55" s="8" t="str">
        <f aca="false">IF((F55-K55)&lt;&gt;0,M$1-A55," ")</f>
        <v> </v>
      </c>
      <c r="N55" s="5"/>
      <c r="O55" s="17" t="str">
        <f aca="false">IF((E55="s"),H55," ")</f>
        <v> </v>
      </c>
      <c r="P55" s="17" t="str">
        <f aca="false">IF((E55="c"),H55," ")</f>
        <v> </v>
      </c>
      <c r="Q55" s="17" t="str">
        <f aca="false">IF((E55="o"),H55," ")</f>
        <v> </v>
      </c>
      <c r="R55" s="17" t="str">
        <f aca="false">IF((E55="d"),H55," ")</f>
        <v> </v>
      </c>
      <c r="S55" s="17" t="str">
        <f aca="false">IF((E55="w"),H55," ")</f>
        <v> </v>
      </c>
      <c r="T55" s="17" t="str">
        <f aca="false">IF((E55="r"),H55," ")</f>
        <v> </v>
      </c>
      <c r="U55" s="17" t="str">
        <f aca="false">IF((E55="p"),H55," ")</f>
        <v> </v>
      </c>
      <c r="V55" s="17" t="str">
        <f aca="false">IF((E55="t"),H55," ")</f>
        <v> </v>
      </c>
      <c r="W55" s="17" t="str">
        <f aca="false">IF((E55="q"),H55," ")</f>
        <v> </v>
      </c>
      <c r="X55" s="17" t="str">
        <f aca="false">IF((E55="m"),H55," ")</f>
        <v> </v>
      </c>
      <c r="Y55" s="17" t="str">
        <f aca="false">IF((E55="u"),H55," ")</f>
        <v> </v>
      </c>
      <c r="Z55" s="17" t="str">
        <f aca="false">IF((E55="a"),H55," ")</f>
        <v> </v>
      </c>
      <c r="AA55" s="17" t="str">
        <f aca="false">IF((E55="g"),H55," ")</f>
        <v> </v>
      </c>
      <c r="AB55" s="17" t="str">
        <f aca="false">IF((E55="h"),H55," ")</f>
        <v> </v>
      </c>
      <c r="AC55" s="30" t="str">
        <f aca="false">IF((E55="v"),H55," ")</f>
        <v> </v>
      </c>
      <c r="AD55" s="30" t="str">
        <f aca="false">IF((E55="n"),H55," ")</f>
        <v> </v>
      </c>
      <c r="AE55" s="17" t="str">
        <f aca="false">IF((E55="f"),H55," ")</f>
        <v> </v>
      </c>
      <c r="AF55" s="17" t="str">
        <f aca="false">IF((E55="l"),H55," ")</f>
        <v> </v>
      </c>
      <c r="AG55" s="17" t="str">
        <f aca="false">IF((E55="y"),H55," ")</f>
        <v> </v>
      </c>
      <c r="AH55" s="17" t="str">
        <f aca="false">IF((E55="z"),H55," ")</f>
        <v> </v>
      </c>
      <c r="AI55" s="17" t="str">
        <f aca="false">IF((E55="fa"),H55," ")</f>
        <v> </v>
      </c>
      <c r="AJ55" s="17" t="str">
        <f aca="false">IF((E55="e"),H55," ")</f>
        <v> </v>
      </c>
    </row>
    <row r="56" customFormat="false" ht="12" hidden="false" customHeight="false" outlineLevel="0" collapsed="false">
      <c r="A56" s="28"/>
      <c r="E56" s="2"/>
      <c r="F56" s="30"/>
      <c r="G56" s="6" t="str">
        <f aca="false">IF(F56&lt;&gt;0,F56*G$2/(100+G$2)," ")</f>
        <v> </v>
      </c>
      <c r="H56" s="6" t="str">
        <f aca="false">IF((F56&lt;&gt;0),F56-G56," ")</f>
        <v> </v>
      </c>
      <c r="I56" s="5"/>
      <c r="L56" s="7" t="str">
        <f aca="false">IF(F56&lt;&gt;0,F56-K56," ")</f>
        <v> </v>
      </c>
      <c r="M56" s="8" t="str">
        <f aca="false">IF((F56-K56)&lt;&gt;0,M$1-A56," ")</f>
        <v> </v>
      </c>
      <c r="N56" s="5"/>
      <c r="O56" s="17" t="str">
        <f aca="false">IF((E56="s"),H56," ")</f>
        <v> </v>
      </c>
      <c r="P56" s="17" t="str">
        <f aca="false">IF((E56="c"),H56," ")</f>
        <v> </v>
      </c>
      <c r="Q56" s="17" t="str">
        <f aca="false">IF((E56="o"),H56," ")</f>
        <v> </v>
      </c>
      <c r="R56" s="17" t="str">
        <f aca="false">IF((E56="d"),H56," ")</f>
        <v> </v>
      </c>
      <c r="S56" s="17" t="str">
        <f aca="false">IF((E56="w"),H56," ")</f>
        <v> </v>
      </c>
      <c r="T56" s="17" t="str">
        <f aca="false">IF((E56="r"),H56," ")</f>
        <v> </v>
      </c>
      <c r="U56" s="17" t="str">
        <f aca="false">IF((E56="p"),H56," ")</f>
        <v> </v>
      </c>
      <c r="V56" s="17" t="str">
        <f aca="false">IF((E56="t"),H56," ")</f>
        <v> </v>
      </c>
      <c r="W56" s="17" t="str">
        <f aca="false">IF((E56="q"),H56," ")</f>
        <v> </v>
      </c>
      <c r="X56" s="17" t="str">
        <f aca="false">IF((E56="m"),H56," ")</f>
        <v> </v>
      </c>
      <c r="Y56" s="17" t="str">
        <f aca="false">IF((E56="u"),H56," ")</f>
        <v> </v>
      </c>
      <c r="Z56" s="17" t="str">
        <f aca="false">IF((E56="a"),H56," ")</f>
        <v> </v>
      </c>
      <c r="AA56" s="17" t="str">
        <f aca="false">IF((E56="g"),H56," ")</f>
        <v> </v>
      </c>
      <c r="AB56" s="17" t="str">
        <f aca="false">IF((E56="h"),H56," ")</f>
        <v> </v>
      </c>
      <c r="AC56" s="30" t="str">
        <f aca="false">IF((E56="v"),H56," ")</f>
        <v> </v>
      </c>
      <c r="AD56" s="30" t="str">
        <f aca="false">IF((E56="n"),H56," ")</f>
        <v> </v>
      </c>
      <c r="AE56" s="17" t="str">
        <f aca="false">IF((E56="f"),H56," ")</f>
        <v> </v>
      </c>
      <c r="AF56" s="17" t="str">
        <f aca="false">IF((E56="l"),H56," ")</f>
        <v> </v>
      </c>
      <c r="AG56" s="17" t="str">
        <f aca="false">IF((E56="y"),H56," ")</f>
        <v> </v>
      </c>
      <c r="AH56" s="17" t="str">
        <f aca="false">IF((E56="z"),H56," ")</f>
        <v> </v>
      </c>
      <c r="AI56" s="17" t="str">
        <f aca="false">IF((E56="fa"),H56," ")</f>
        <v> </v>
      </c>
      <c r="AJ56" s="17" t="str">
        <f aca="false">IF((E56="e"),H56," ")</f>
        <v> </v>
      </c>
    </row>
    <row r="57" customFormat="false" ht="12" hidden="false" customHeight="false" outlineLevel="0" collapsed="false">
      <c r="A57" s="28"/>
      <c r="E57" s="2"/>
      <c r="F57" s="30"/>
      <c r="G57" s="6" t="str">
        <f aca="false">IF(F57&lt;&gt;0,F57*G$2/(100+G$2)," ")</f>
        <v> </v>
      </c>
      <c r="H57" s="6" t="str">
        <f aca="false">IF((F57&lt;&gt;0),F57-G57," ")</f>
        <v> </v>
      </c>
      <c r="I57" s="5"/>
      <c r="L57" s="7" t="str">
        <f aca="false">IF(F57&lt;&gt;0,F57-K57," ")</f>
        <v> </v>
      </c>
      <c r="M57" s="8" t="str">
        <f aca="false">IF((F57-K57)&lt;&gt;0,M$1-A57," ")</f>
        <v> </v>
      </c>
      <c r="N57" s="5"/>
      <c r="O57" s="17" t="str">
        <f aca="false">IF((E57="s"),H57," ")</f>
        <v> </v>
      </c>
      <c r="P57" s="17" t="str">
        <f aca="false">IF((E57="c"),H57," ")</f>
        <v> </v>
      </c>
      <c r="Q57" s="17" t="str">
        <f aca="false">IF((E57="o"),H57," ")</f>
        <v> </v>
      </c>
      <c r="R57" s="17" t="str">
        <f aca="false">IF((E57="d"),H57," ")</f>
        <v> </v>
      </c>
      <c r="S57" s="17" t="str">
        <f aca="false">IF((E57="w"),H57," ")</f>
        <v> </v>
      </c>
      <c r="T57" s="17" t="str">
        <f aca="false">IF((E57="r"),H57," ")</f>
        <v> </v>
      </c>
      <c r="U57" s="17" t="str">
        <f aca="false">IF((E57="p"),H57," ")</f>
        <v> </v>
      </c>
      <c r="V57" s="17" t="str">
        <f aca="false">IF((E57="t"),H57," ")</f>
        <v> </v>
      </c>
      <c r="W57" s="17" t="str">
        <f aca="false">IF((E57="q"),H57," ")</f>
        <v> </v>
      </c>
      <c r="X57" s="17" t="str">
        <f aca="false">IF((E57="m"),H57," ")</f>
        <v> </v>
      </c>
      <c r="Y57" s="17" t="str">
        <f aca="false">IF((E57="u"),H57," ")</f>
        <v> </v>
      </c>
      <c r="Z57" s="17" t="str">
        <f aca="false">IF((E57="a"),H57," ")</f>
        <v> </v>
      </c>
      <c r="AA57" s="17" t="str">
        <f aca="false">IF((E57="g"),H57," ")</f>
        <v> </v>
      </c>
      <c r="AB57" s="17" t="str">
        <f aca="false">IF((E57="h"),H57," ")</f>
        <v> </v>
      </c>
      <c r="AC57" s="30" t="str">
        <f aca="false">IF((E57="v"),H57," ")</f>
        <v> </v>
      </c>
      <c r="AD57" s="30" t="str">
        <f aca="false">IF((E57="n"),H57," ")</f>
        <v> </v>
      </c>
      <c r="AE57" s="17" t="str">
        <f aca="false">IF((E57="f"),H57," ")</f>
        <v> </v>
      </c>
      <c r="AF57" s="17" t="str">
        <f aca="false">IF((E57="l"),H57," ")</f>
        <v> </v>
      </c>
      <c r="AG57" s="17" t="str">
        <f aca="false">IF((E57="y"),H57," ")</f>
        <v> </v>
      </c>
      <c r="AH57" s="17" t="str">
        <f aca="false">IF((E57="z"),H57," ")</f>
        <v> </v>
      </c>
      <c r="AI57" s="17" t="str">
        <f aca="false">IF((E57="fa"),H57," ")</f>
        <v> </v>
      </c>
      <c r="AJ57" s="17" t="str">
        <f aca="false">IF((E57="e"),H57," ")</f>
        <v> </v>
      </c>
    </row>
    <row r="58" customFormat="false" ht="12" hidden="false" customHeight="false" outlineLevel="0" collapsed="false">
      <c r="A58" s="28"/>
      <c r="E58" s="2"/>
      <c r="F58" s="30"/>
      <c r="G58" s="6" t="str">
        <f aca="false">IF(F58&lt;&gt;0,F58*G$2/(100+G$2)," ")</f>
        <v> </v>
      </c>
      <c r="H58" s="6" t="str">
        <f aca="false">IF((F58&lt;&gt;0),F58-G58," ")</f>
        <v> </v>
      </c>
      <c r="I58" s="5"/>
      <c r="L58" s="7" t="str">
        <f aca="false">IF(F58&lt;&gt;0,F58-K58," ")</f>
        <v> </v>
      </c>
      <c r="M58" s="8" t="str">
        <f aca="false">IF((F58-K58)&lt;&gt;0,M$1-A58," ")</f>
        <v> </v>
      </c>
      <c r="N58" s="5"/>
      <c r="O58" s="17" t="str">
        <f aca="false">IF((E58="s"),H58," ")</f>
        <v> </v>
      </c>
      <c r="P58" s="17" t="str">
        <f aca="false">IF((E58="c"),H58," ")</f>
        <v> </v>
      </c>
      <c r="Q58" s="17" t="str">
        <f aca="false">IF((E58="o"),H58," ")</f>
        <v> </v>
      </c>
      <c r="R58" s="17" t="str">
        <f aca="false">IF((E58="d"),H58," ")</f>
        <v> </v>
      </c>
      <c r="S58" s="17" t="str">
        <f aca="false">IF((E58="w"),H58," ")</f>
        <v> </v>
      </c>
      <c r="T58" s="17" t="str">
        <f aca="false">IF((E58="r"),H58," ")</f>
        <v> </v>
      </c>
      <c r="U58" s="17" t="str">
        <f aca="false">IF((E58="p"),H58," ")</f>
        <v> </v>
      </c>
      <c r="V58" s="17" t="str">
        <f aca="false">IF((E58="t"),H58," ")</f>
        <v> </v>
      </c>
      <c r="W58" s="17" t="str">
        <f aca="false">IF((E58="q"),H58," ")</f>
        <v> </v>
      </c>
      <c r="X58" s="17" t="str">
        <f aca="false">IF((E58="m"),H58," ")</f>
        <v> </v>
      </c>
      <c r="Y58" s="17" t="str">
        <f aca="false">IF((E58="u"),H58," ")</f>
        <v> </v>
      </c>
      <c r="Z58" s="17" t="str">
        <f aca="false">IF((E58="a"),H58," ")</f>
        <v> </v>
      </c>
      <c r="AA58" s="17" t="str">
        <f aca="false">IF((E58="g"),H58," ")</f>
        <v> </v>
      </c>
      <c r="AB58" s="17" t="str">
        <f aca="false">IF((E58="h"),H58," ")</f>
        <v> </v>
      </c>
      <c r="AC58" s="30" t="str">
        <f aca="false">IF((E58="v"),H58," ")</f>
        <v> </v>
      </c>
      <c r="AD58" s="30" t="str">
        <f aca="false">IF((E58="n"),H58," ")</f>
        <v> </v>
      </c>
      <c r="AE58" s="17" t="str">
        <f aca="false">IF((E58="f"),H58," ")</f>
        <v> </v>
      </c>
      <c r="AF58" s="17" t="str">
        <f aca="false">IF((E58="l"),H58," ")</f>
        <v> </v>
      </c>
      <c r="AG58" s="17" t="str">
        <f aca="false">IF((E58="y"),H58," ")</f>
        <v> </v>
      </c>
      <c r="AH58" s="17" t="str">
        <f aca="false">IF((E58="z"),H58," ")</f>
        <v> </v>
      </c>
      <c r="AI58" s="17" t="str">
        <f aca="false">IF((E58="fa"),H58," ")</f>
        <v> </v>
      </c>
      <c r="AJ58" s="17" t="str">
        <f aca="false">IF((E58="e"),H58," ")</f>
        <v> </v>
      </c>
    </row>
    <row r="59" customFormat="false" ht="12" hidden="false" customHeight="false" outlineLevel="0" collapsed="false">
      <c r="A59" s="28"/>
      <c r="E59" s="2"/>
      <c r="F59" s="30"/>
      <c r="G59" s="6" t="str">
        <f aca="false">IF(F59&lt;&gt;0,F59*G$2/(100+G$2)," ")</f>
        <v> </v>
      </c>
      <c r="H59" s="6" t="str">
        <f aca="false">IF((F59&lt;&gt;0),F59-G59," ")</f>
        <v> </v>
      </c>
      <c r="I59" s="5"/>
      <c r="L59" s="7" t="str">
        <f aca="false">IF(F59&lt;&gt;0,F59-K59," ")</f>
        <v> </v>
      </c>
      <c r="M59" s="8" t="str">
        <f aca="false">IF((F59-K59)&lt;&gt;0,M$1-A59," ")</f>
        <v> </v>
      </c>
      <c r="N59" s="5"/>
      <c r="O59" s="17" t="str">
        <f aca="false">IF((E59="s"),H59," ")</f>
        <v> </v>
      </c>
      <c r="P59" s="17" t="str">
        <f aca="false">IF((E59="c"),H59," ")</f>
        <v> </v>
      </c>
      <c r="Q59" s="17" t="str">
        <f aca="false">IF((E59="o"),H59," ")</f>
        <v> </v>
      </c>
      <c r="R59" s="17" t="str">
        <f aca="false">IF((E59="d"),H59," ")</f>
        <v> </v>
      </c>
      <c r="S59" s="17" t="str">
        <f aca="false">IF((E59="w"),H59," ")</f>
        <v> </v>
      </c>
      <c r="T59" s="17" t="str">
        <f aca="false">IF((E59="r"),H59," ")</f>
        <v> </v>
      </c>
      <c r="U59" s="17" t="str">
        <f aca="false">IF((E59="p"),H59," ")</f>
        <v> </v>
      </c>
      <c r="V59" s="17" t="str">
        <f aca="false">IF((E59="t"),H59," ")</f>
        <v> </v>
      </c>
      <c r="W59" s="17" t="str">
        <f aca="false">IF((E59="q"),H59," ")</f>
        <v> </v>
      </c>
      <c r="X59" s="17" t="str">
        <f aca="false">IF((E59="m"),H59," ")</f>
        <v> </v>
      </c>
      <c r="Y59" s="17" t="str">
        <f aca="false">IF((E59="u"),H59," ")</f>
        <v> </v>
      </c>
      <c r="Z59" s="17" t="str">
        <f aca="false">IF((E59="a"),H59," ")</f>
        <v> </v>
      </c>
      <c r="AA59" s="17" t="str">
        <f aca="false">IF((E59="g"),H59," ")</f>
        <v> </v>
      </c>
      <c r="AB59" s="17" t="str">
        <f aca="false">IF((E59="h"),H59," ")</f>
        <v> </v>
      </c>
      <c r="AC59" s="30" t="str">
        <f aca="false">IF((E59="v"),H59," ")</f>
        <v> </v>
      </c>
      <c r="AD59" s="30" t="str">
        <f aca="false">IF((E59="n"),H59," ")</f>
        <v> </v>
      </c>
      <c r="AE59" s="17" t="str">
        <f aca="false">IF((E59="f"),H59," ")</f>
        <v> </v>
      </c>
      <c r="AF59" s="17" t="str">
        <f aca="false">IF((E59="l"),H59," ")</f>
        <v> </v>
      </c>
      <c r="AG59" s="17" t="str">
        <f aca="false">IF((E59="y"),H59," ")</f>
        <v> </v>
      </c>
      <c r="AH59" s="17" t="str">
        <f aca="false">IF((E59="z"),H59," ")</f>
        <v> </v>
      </c>
      <c r="AI59" s="17" t="str">
        <f aca="false">IF((E59="fa"),H59," ")</f>
        <v> </v>
      </c>
      <c r="AJ59" s="17" t="str">
        <f aca="false">IF((E59="e"),H59," ")</f>
        <v> </v>
      </c>
    </row>
    <row r="60" customFormat="false" ht="12" hidden="false" customHeight="false" outlineLevel="0" collapsed="false">
      <c r="A60" s="28"/>
      <c r="E60" s="2"/>
      <c r="F60" s="30"/>
      <c r="G60" s="6" t="str">
        <f aca="false">IF(F60&lt;&gt;0,F60*G$2/(100+G$2)," ")</f>
        <v> </v>
      </c>
      <c r="H60" s="6" t="str">
        <f aca="false">IF((F60&lt;&gt;0),F60-G60," ")</f>
        <v> </v>
      </c>
      <c r="I60" s="5"/>
      <c r="L60" s="7" t="str">
        <f aca="false">IF(F60&lt;&gt;0,F60-K60," ")</f>
        <v> </v>
      </c>
      <c r="M60" s="8" t="str">
        <f aca="false">IF((F60-K60)&lt;&gt;0,M$1-A60," ")</f>
        <v> </v>
      </c>
      <c r="N60" s="5"/>
      <c r="O60" s="17" t="str">
        <f aca="false">IF((E60="s"),H60," ")</f>
        <v> </v>
      </c>
      <c r="P60" s="17" t="str">
        <f aca="false">IF((E60="c"),H60," ")</f>
        <v> </v>
      </c>
      <c r="Q60" s="17" t="str">
        <f aca="false">IF((E60="o"),H60," ")</f>
        <v> </v>
      </c>
      <c r="R60" s="17" t="str">
        <f aca="false">IF((E60="d"),H60," ")</f>
        <v> </v>
      </c>
      <c r="S60" s="17" t="str">
        <f aca="false">IF((E60="w"),H60," ")</f>
        <v> </v>
      </c>
      <c r="T60" s="17" t="str">
        <f aca="false">IF((E60="r"),H60," ")</f>
        <v> </v>
      </c>
      <c r="U60" s="17" t="str">
        <f aca="false">IF((E60="p"),H60," ")</f>
        <v> </v>
      </c>
      <c r="V60" s="17" t="str">
        <f aca="false">IF((E60="t"),H60," ")</f>
        <v> </v>
      </c>
      <c r="W60" s="17" t="str">
        <f aca="false">IF((E60="q"),H60," ")</f>
        <v> </v>
      </c>
      <c r="X60" s="17" t="str">
        <f aca="false">IF((E60="m"),H60," ")</f>
        <v> </v>
      </c>
      <c r="Y60" s="17" t="str">
        <f aca="false">IF((E60="u"),H60," ")</f>
        <v> </v>
      </c>
      <c r="Z60" s="17" t="str">
        <f aca="false">IF((E60="a"),H60," ")</f>
        <v> </v>
      </c>
      <c r="AA60" s="17" t="str">
        <f aca="false">IF((E60="g"),H60," ")</f>
        <v> </v>
      </c>
      <c r="AB60" s="17" t="str">
        <f aca="false">IF((E60="h"),H60," ")</f>
        <v> </v>
      </c>
      <c r="AC60" s="30" t="str">
        <f aca="false">IF((E60="v"),H60," ")</f>
        <v> </v>
      </c>
      <c r="AD60" s="30" t="str">
        <f aca="false">IF((E60="n"),H60," ")</f>
        <v> </v>
      </c>
      <c r="AE60" s="17" t="str">
        <f aca="false">IF((E60="f"),H60," ")</f>
        <v> </v>
      </c>
      <c r="AF60" s="17" t="str">
        <f aca="false">IF((E60="l"),H60," ")</f>
        <v> </v>
      </c>
      <c r="AG60" s="17" t="str">
        <f aca="false">IF((E60="y"),H60," ")</f>
        <v> </v>
      </c>
      <c r="AH60" s="17" t="str">
        <f aca="false">IF((E60="z"),H60," ")</f>
        <v> </v>
      </c>
      <c r="AI60" s="17" t="str">
        <f aca="false">IF((E60="fa"),H60," ")</f>
        <v> </v>
      </c>
      <c r="AJ60" s="17" t="str">
        <f aca="false">IF((E60="e"),H60," ")</f>
        <v> </v>
      </c>
    </row>
    <row r="61" customFormat="false" ht="12" hidden="false" customHeight="false" outlineLevel="0" collapsed="false">
      <c r="A61" s="28"/>
      <c r="E61" s="2"/>
      <c r="F61" s="30"/>
      <c r="G61" s="6" t="str">
        <f aca="false">IF(F61&lt;&gt;0,F61*G$2/(100+G$2)," ")</f>
        <v> </v>
      </c>
      <c r="H61" s="6" t="str">
        <f aca="false">IF((F61&lt;&gt;0),F61-G61," ")</f>
        <v> </v>
      </c>
      <c r="I61" s="5"/>
      <c r="L61" s="7" t="str">
        <f aca="false">IF(F61&lt;&gt;0,F61-K61," ")</f>
        <v> </v>
      </c>
      <c r="M61" s="8" t="str">
        <f aca="false">IF((F61-K61)&lt;&gt;0,M$1-A61," ")</f>
        <v> </v>
      </c>
      <c r="N61" s="5"/>
      <c r="O61" s="17" t="str">
        <f aca="false">IF((E61="s"),H61," ")</f>
        <v> </v>
      </c>
      <c r="P61" s="17" t="str">
        <f aca="false">IF((E61="c"),H61," ")</f>
        <v> </v>
      </c>
      <c r="Q61" s="17" t="str">
        <f aca="false">IF((E61="o"),H61," ")</f>
        <v> </v>
      </c>
      <c r="R61" s="17" t="str">
        <f aca="false">IF((E61="d"),H61," ")</f>
        <v> </v>
      </c>
      <c r="S61" s="17" t="str">
        <f aca="false">IF((E61="w"),H61," ")</f>
        <v> </v>
      </c>
      <c r="T61" s="17" t="str">
        <f aca="false">IF((E61="r"),H61," ")</f>
        <v> </v>
      </c>
      <c r="U61" s="17" t="str">
        <f aca="false">IF((E61="p"),H61," ")</f>
        <v> </v>
      </c>
      <c r="V61" s="17" t="str">
        <f aca="false">IF((E61="t"),H61," ")</f>
        <v> </v>
      </c>
      <c r="W61" s="17" t="str">
        <f aca="false">IF((E61="q"),H61," ")</f>
        <v> </v>
      </c>
      <c r="X61" s="17" t="str">
        <f aca="false">IF((E61="m"),H61," ")</f>
        <v> </v>
      </c>
      <c r="Y61" s="17" t="str">
        <f aca="false">IF((E61="u"),H61," ")</f>
        <v> </v>
      </c>
      <c r="Z61" s="17" t="str">
        <f aca="false">IF((E61="a"),H61," ")</f>
        <v> </v>
      </c>
      <c r="AA61" s="17" t="str">
        <f aca="false">IF((E61="g"),H61," ")</f>
        <v> </v>
      </c>
      <c r="AB61" s="17" t="str">
        <f aca="false">IF((E61="h"),H61," ")</f>
        <v> </v>
      </c>
      <c r="AC61" s="30" t="str">
        <f aca="false">IF((E61="v"),H61," ")</f>
        <v> </v>
      </c>
      <c r="AD61" s="30" t="str">
        <f aca="false">IF((E61="n"),H61," ")</f>
        <v> </v>
      </c>
      <c r="AE61" s="17" t="str">
        <f aca="false">IF((E61="f"),H61," ")</f>
        <v> </v>
      </c>
      <c r="AF61" s="17" t="str">
        <f aca="false">IF((E61="l"),H61," ")</f>
        <v> </v>
      </c>
      <c r="AG61" s="17" t="str">
        <f aca="false">IF((E61="y"),H61," ")</f>
        <v> </v>
      </c>
      <c r="AH61" s="17" t="str">
        <f aca="false">IF((E61="z"),H61," ")</f>
        <v> </v>
      </c>
      <c r="AI61" s="17" t="str">
        <f aca="false">IF((E61="fa"),H61," ")</f>
        <v> </v>
      </c>
      <c r="AJ61" s="17" t="str">
        <f aca="false">IF((E61="e"),H61," ")</f>
        <v> </v>
      </c>
    </row>
    <row r="62" customFormat="false" ht="12" hidden="false" customHeight="false" outlineLevel="0" collapsed="false">
      <c r="A62" s="28"/>
      <c r="E62" s="2"/>
      <c r="F62" s="30"/>
      <c r="G62" s="6" t="str">
        <f aca="false">IF(F62&lt;&gt;0,F62*G$2/(100+G$2)," ")</f>
        <v> </v>
      </c>
      <c r="H62" s="6" t="str">
        <f aca="false">IF((F62&lt;&gt;0),F62-G62," ")</f>
        <v> </v>
      </c>
      <c r="I62" s="5"/>
      <c r="L62" s="7" t="str">
        <f aca="false">IF(F62&lt;&gt;0,F62-K62," ")</f>
        <v> </v>
      </c>
      <c r="M62" s="8" t="str">
        <f aca="false">IF((F62-K62)&lt;&gt;0,M$1-A62," ")</f>
        <v> </v>
      </c>
      <c r="N62" s="5"/>
      <c r="O62" s="17" t="str">
        <f aca="false">IF((E62="s"),H62," ")</f>
        <v> </v>
      </c>
      <c r="P62" s="17" t="str">
        <f aca="false">IF((E62="c"),H62," ")</f>
        <v> </v>
      </c>
      <c r="Q62" s="17" t="str">
        <f aca="false">IF((E62="o"),H62," ")</f>
        <v> </v>
      </c>
      <c r="R62" s="17" t="str">
        <f aca="false">IF((E62="d"),H62," ")</f>
        <v> </v>
      </c>
      <c r="S62" s="17" t="str">
        <f aca="false">IF((E62="w"),H62," ")</f>
        <v> </v>
      </c>
      <c r="T62" s="17" t="str">
        <f aca="false">IF((E62="r"),H62," ")</f>
        <v> </v>
      </c>
      <c r="U62" s="17" t="str">
        <f aca="false">IF((E62="p"),H62," ")</f>
        <v> </v>
      </c>
      <c r="V62" s="17" t="str">
        <f aca="false">IF((E62="t"),H62," ")</f>
        <v> </v>
      </c>
      <c r="W62" s="17" t="str">
        <f aca="false">IF((E62="q"),H62," ")</f>
        <v> </v>
      </c>
      <c r="X62" s="17" t="str">
        <f aca="false">IF((E62="m"),H62," ")</f>
        <v> </v>
      </c>
      <c r="Y62" s="17" t="str">
        <f aca="false">IF((E62="u"),H62," ")</f>
        <v> </v>
      </c>
      <c r="Z62" s="17" t="str">
        <f aca="false">IF((E62="a"),H62," ")</f>
        <v> </v>
      </c>
      <c r="AA62" s="17" t="str">
        <f aca="false">IF((E62="g"),H62," ")</f>
        <v> </v>
      </c>
      <c r="AB62" s="17" t="str">
        <f aca="false">IF((E62="h"),H62," ")</f>
        <v> </v>
      </c>
      <c r="AC62" s="30" t="str">
        <f aca="false">IF((E62="v"),H62," ")</f>
        <v> </v>
      </c>
      <c r="AD62" s="30" t="str">
        <f aca="false">IF((E62="n"),H62," ")</f>
        <v> </v>
      </c>
      <c r="AE62" s="17" t="str">
        <f aca="false">IF((E62="f"),H62," ")</f>
        <v> </v>
      </c>
      <c r="AF62" s="17" t="str">
        <f aca="false">IF((E62="l"),H62," ")</f>
        <v> </v>
      </c>
      <c r="AG62" s="17" t="str">
        <f aca="false">IF((E62="y"),H62," ")</f>
        <v> </v>
      </c>
      <c r="AH62" s="17" t="str">
        <f aca="false">IF((E62="z"),H62," ")</f>
        <v> </v>
      </c>
      <c r="AI62" s="17" t="str">
        <f aca="false">IF((E62="fa"),H62," ")</f>
        <v> </v>
      </c>
      <c r="AJ62" s="17" t="str">
        <f aca="false">IF((E62="e"),H62," ")</f>
        <v> </v>
      </c>
    </row>
    <row r="63" customFormat="false" ht="12" hidden="false" customHeight="false" outlineLevel="0" collapsed="false">
      <c r="A63" s="28"/>
      <c r="E63" s="2"/>
      <c r="F63" s="30"/>
      <c r="G63" s="6" t="str">
        <f aca="false">IF(F63&lt;&gt;0,F63*G$2/(100+G$2)," ")</f>
        <v> </v>
      </c>
      <c r="H63" s="6" t="str">
        <f aca="false">IF((F63&lt;&gt;0),F63-G63," ")</f>
        <v> </v>
      </c>
      <c r="I63" s="5"/>
      <c r="L63" s="7" t="str">
        <f aca="false">IF(F63&lt;&gt;0,F63-K63," ")</f>
        <v> </v>
      </c>
      <c r="M63" s="8" t="str">
        <f aca="false">IF((F63-K63)&lt;&gt;0,M$1-A63," ")</f>
        <v> </v>
      </c>
      <c r="N63" s="5"/>
      <c r="O63" s="17" t="str">
        <f aca="false">IF((E63="s"),H63," ")</f>
        <v> </v>
      </c>
      <c r="P63" s="17" t="str">
        <f aca="false">IF((E63="c"),H63," ")</f>
        <v> </v>
      </c>
      <c r="Q63" s="17" t="str">
        <f aca="false">IF((E63="o"),H63," ")</f>
        <v> </v>
      </c>
      <c r="R63" s="17" t="str">
        <f aca="false">IF((E63="d"),H63," ")</f>
        <v> </v>
      </c>
      <c r="S63" s="17" t="str">
        <f aca="false">IF((E63="w"),H63," ")</f>
        <v> </v>
      </c>
      <c r="T63" s="17" t="str">
        <f aca="false">IF((E63="r"),H63," ")</f>
        <v> </v>
      </c>
      <c r="U63" s="17" t="str">
        <f aca="false">IF((E63="p"),H63," ")</f>
        <v> </v>
      </c>
      <c r="V63" s="17" t="str">
        <f aca="false">IF((E63="t"),H63," ")</f>
        <v> </v>
      </c>
      <c r="W63" s="17" t="str">
        <f aca="false">IF((E63="q"),H63," ")</f>
        <v> </v>
      </c>
      <c r="X63" s="17" t="str">
        <f aca="false">IF((E63="m"),H63," ")</f>
        <v> </v>
      </c>
      <c r="Y63" s="17" t="str">
        <f aca="false">IF((E63="u"),H63," ")</f>
        <v> </v>
      </c>
      <c r="Z63" s="17" t="str">
        <f aca="false">IF((E63="a"),H63," ")</f>
        <v> </v>
      </c>
      <c r="AA63" s="17" t="str">
        <f aca="false">IF((E63="g"),H63," ")</f>
        <v> </v>
      </c>
      <c r="AB63" s="17" t="str">
        <f aca="false">IF((E63="h"),H63," ")</f>
        <v> </v>
      </c>
      <c r="AC63" s="30" t="str">
        <f aca="false">IF((E63="v"),H63," ")</f>
        <v> </v>
      </c>
      <c r="AD63" s="30" t="str">
        <f aca="false">IF((E63="n"),H63," ")</f>
        <v> </v>
      </c>
      <c r="AE63" s="17" t="str">
        <f aca="false">IF((E63="f"),H63," ")</f>
        <v> </v>
      </c>
      <c r="AF63" s="17" t="str">
        <f aca="false">IF((E63="l"),H63," ")</f>
        <v> </v>
      </c>
      <c r="AG63" s="17" t="str">
        <f aca="false">IF((E63="y"),H63," ")</f>
        <v> </v>
      </c>
      <c r="AH63" s="17" t="str">
        <f aca="false">IF((E63="z"),H63," ")</f>
        <v> </v>
      </c>
      <c r="AI63" s="17" t="str">
        <f aca="false">IF((E63="fa"),H63," ")</f>
        <v> </v>
      </c>
      <c r="AJ63" s="17" t="str">
        <f aca="false">IF((E63="e"),H63," ")</f>
        <v> </v>
      </c>
    </row>
    <row r="64" customFormat="false" ht="12" hidden="false" customHeight="false" outlineLevel="0" collapsed="false">
      <c r="A64" s="28"/>
      <c r="E64" s="2"/>
      <c r="F64" s="30"/>
      <c r="G64" s="6" t="str">
        <f aca="false">IF(F64&lt;&gt;0,F64*G$2/(100+G$2)," ")</f>
        <v> </v>
      </c>
      <c r="H64" s="6" t="str">
        <f aca="false">IF((F64&lt;&gt;0),F64-G64," ")</f>
        <v> </v>
      </c>
      <c r="I64" s="5"/>
      <c r="L64" s="7" t="str">
        <f aca="false">IF(F64&lt;&gt;0,F64-K64," ")</f>
        <v> </v>
      </c>
      <c r="M64" s="8" t="str">
        <f aca="false">IF((F64-K64)&lt;&gt;0,M$1-A64," ")</f>
        <v> </v>
      </c>
      <c r="N64" s="5"/>
      <c r="O64" s="17" t="str">
        <f aca="false">IF((E64="s"),H64," ")</f>
        <v> </v>
      </c>
      <c r="P64" s="17" t="str">
        <f aca="false">IF((E64="c"),H64," ")</f>
        <v> </v>
      </c>
      <c r="Q64" s="17" t="str">
        <f aca="false">IF((E64="o"),H64," ")</f>
        <v> </v>
      </c>
      <c r="R64" s="17" t="str">
        <f aca="false">IF((E64="d"),H64," ")</f>
        <v> </v>
      </c>
      <c r="S64" s="17" t="str">
        <f aca="false">IF((E64="w"),H64," ")</f>
        <v> </v>
      </c>
      <c r="T64" s="17" t="str">
        <f aca="false">IF((E64="r"),H64," ")</f>
        <v> </v>
      </c>
      <c r="U64" s="17" t="str">
        <f aca="false">IF((E64="p"),H64," ")</f>
        <v> </v>
      </c>
      <c r="V64" s="17" t="str">
        <f aca="false">IF((E64="t"),H64," ")</f>
        <v> </v>
      </c>
      <c r="W64" s="17" t="str">
        <f aca="false">IF((E64="q"),H64," ")</f>
        <v> </v>
      </c>
      <c r="X64" s="17" t="str">
        <f aca="false">IF((E64="m"),H64," ")</f>
        <v> </v>
      </c>
      <c r="Y64" s="17" t="str">
        <f aca="false">IF((E64="u"),H64," ")</f>
        <v> </v>
      </c>
      <c r="Z64" s="17" t="str">
        <f aca="false">IF((E64="a"),H64," ")</f>
        <v> </v>
      </c>
      <c r="AA64" s="17" t="str">
        <f aca="false">IF((E64="g"),H64," ")</f>
        <v> </v>
      </c>
      <c r="AB64" s="17" t="str">
        <f aca="false">IF((E64="h"),H64," ")</f>
        <v> </v>
      </c>
      <c r="AC64" s="30" t="str">
        <f aca="false">IF((E64="v"),H64," ")</f>
        <v> </v>
      </c>
      <c r="AD64" s="30" t="str">
        <f aca="false">IF((E64="n"),H64," ")</f>
        <v> </v>
      </c>
      <c r="AE64" s="17" t="str">
        <f aca="false">IF((E64="f"),H64," ")</f>
        <v> </v>
      </c>
      <c r="AF64" s="17" t="str">
        <f aca="false">IF((E64="l"),H64," ")</f>
        <v> </v>
      </c>
      <c r="AG64" s="17" t="str">
        <f aca="false">IF((E64="y"),H64," ")</f>
        <v> </v>
      </c>
      <c r="AH64" s="17" t="str">
        <f aca="false">IF((E64="z"),H64," ")</f>
        <v> </v>
      </c>
      <c r="AI64" s="17" t="str">
        <f aca="false">IF((E64="fa"),H64," ")</f>
        <v> </v>
      </c>
      <c r="AJ64" s="17" t="str">
        <f aca="false">IF((E64="e"),H64," ")</f>
        <v> </v>
      </c>
    </row>
    <row r="65" customFormat="false" ht="12" hidden="false" customHeight="false" outlineLevel="0" collapsed="false">
      <c r="A65" s="28"/>
      <c r="E65" s="2"/>
      <c r="F65" s="30"/>
      <c r="G65" s="6" t="str">
        <f aca="false">IF(F65&lt;&gt;0,F65*G$2/(100+G$2)," ")</f>
        <v> </v>
      </c>
      <c r="H65" s="6" t="str">
        <f aca="false">IF((F65&lt;&gt;0),F65-G65," ")</f>
        <v> </v>
      </c>
      <c r="I65" s="5"/>
      <c r="L65" s="7" t="str">
        <f aca="false">IF(F65&lt;&gt;0,F65-K65," ")</f>
        <v> </v>
      </c>
      <c r="M65" s="8" t="str">
        <f aca="false">IF((F65-K65)&lt;&gt;0,M$1-A65," ")</f>
        <v> </v>
      </c>
      <c r="N65" s="5"/>
      <c r="O65" s="17" t="str">
        <f aca="false">IF((E65="s"),H65," ")</f>
        <v> </v>
      </c>
      <c r="P65" s="17" t="str">
        <f aca="false">IF((E65="c"),H65," ")</f>
        <v> </v>
      </c>
      <c r="Q65" s="17" t="str">
        <f aca="false">IF((E65="o"),H65," ")</f>
        <v> </v>
      </c>
      <c r="R65" s="17" t="str">
        <f aca="false">IF((E65="d"),H65," ")</f>
        <v> </v>
      </c>
      <c r="S65" s="17" t="str">
        <f aca="false">IF((E65="w"),H65," ")</f>
        <v> </v>
      </c>
      <c r="T65" s="17" t="str">
        <f aca="false">IF((E65="r"),H65," ")</f>
        <v> </v>
      </c>
      <c r="U65" s="17" t="str">
        <f aca="false">IF((E65="p"),H65," ")</f>
        <v> </v>
      </c>
      <c r="V65" s="17" t="str">
        <f aca="false">IF((E65="t"),H65," ")</f>
        <v> </v>
      </c>
      <c r="W65" s="17" t="str">
        <f aca="false">IF((E65="q"),H65," ")</f>
        <v> </v>
      </c>
      <c r="X65" s="17" t="str">
        <f aca="false">IF((E65="m"),H65," ")</f>
        <v> </v>
      </c>
      <c r="Y65" s="17" t="str">
        <f aca="false">IF((E65="u"),H65," ")</f>
        <v> </v>
      </c>
      <c r="Z65" s="17" t="str">
        <f aca="false">IF((E65="a"),H65," ")</f>
        <v> </v>
      </c>
      <c r="AA65" s="17" t="str">
        <f aca="false">IF((E65="g"),H65," ")</f>
        <v> </v>
      </c>
      <c r="AB65" s="17" t="str">
        <f aca="false">IF((E65="h"),H65," ")</f>
        <v> </v>
      </c>
      <c r="AC65" s="30" t="str">
        <f aca="false">IF((E65="v"),H65," ")</f>
        <v> </v>
      </c>
      <c r="AD65" s="30" t="str">
        <f aca="false">IF((E65="n"),H65," ")</f>
        <v> </v>
      </c>
      <c r="AE65" s="17" t="str">
        <f aca="false">IF((E65="f"),H65," ")</f>
        <v> </v>
      </c>
      <c r="AF65" s="17" t="str">
        <f aca="false">IF((E65="l"),H65," ")</f>
        <v> </v>
      </c>
      <c r="AG65" s="17" t="str">
        <f aca="false">IF((E65="y"),H65," ")</f>
        <v> </v>
      </c>
      <c r="AH65" s="17" t="str">
        <f aca="false">IF((E65="z"),H65," ")</f>
        <v> </v>
      </c>
      <c r="AI65" s="17" t="str">
        <f aca="false">IF((E65="fa"),H65," ")</f>
        <v> </v>
      </c>
      <c r="AJ65" s="17" t="str">
        <f aca="false">IF((E65="e"),H65," ")</f>
        <v> </v>
      </c>
    </row>
    <row r="66" customFormat="false" ht="12" hidden="false" customHeight="false" outlineLevel="0" collapsed="false">
      <c r="A66" s="28"/>
      <c r="E66" s="2"/>
      <c r="F66" s="30"/>
      <c r="G66" s="6" t="str">
        <f aca="false">IF(F66&lt;&gt;0,F66*G$2/(100+G$2)," ")</f>
        <v> </v>
      </c>
      <c r="H66" s="6" t="str">
        <f aca="false">IF((F66&lt;&gt;0),F66-G66," ")</f>
        <v> </v>
      </c>
      <c r="I66" s="5"/>
      <c r="L66" s="7" t="str">
        <f aca="false">IF(F66&lt;&gt;0,F66-K66," ")</f>
        <v> </v>
      </c>
      <c r="M66" s="8" t="str">
        <f aca="false">IF((F66-K66)&lt;&gt;0,M$1-A66," ")</f>
        <v> </v>
      </c>
      <c r="N66" s="5"/>
      <c r="O66" s="17" t="str">
        <f aca="false">IF((E66="s"),H66," ")</f>
        <v> </v>
      </c>
      <c r="P66" s="17" t="str">
        <f aca="false">IF((E66="c"),H66," ")</f>
        <v> </v>
      </c>
      <c r="Q66" s="17" t="str">
        <f aca="false">IF((E66="o"),H66," ")</f>
        <v> </v>
      </c>
      <c r="R66" s="17" t="str">
        <f aca="false">IF((E66="d"),H66," ")</f>
        <v> </v>
      </c>
      <c r="S66" s="17" t="str">
        <f aca="false">IF((E66="w"),H66," ")</f>
        <v> </v>
      </c>
      <c r="T66" s="17" t="str">
        <f aca="false">IF((E66="r"),H66," ")</f>
        <v> </v>
      </c>
      <c r="U66" s="17" t="str">
        <f aca="false">IF((E66="p"),H66," ")</f>
        <v> </v>
      </c>
      <c r="V66" s="17" t="str">
        <f aca="false">IF((E66="t"),H66," ")</f>
        <v> </v>
      </c>
      <c r="W66" s="17" t="str">
        <f aca="false">IF((E66="q"),H66," ")</f>
        <v> </v>
      </c>
      <c r="X66" s="17" t="str">
        <f aca="false">IF((E66="m"),H66," ")</f>
        <v> </v>
      </c>
      <c r="Y66" s="17" t="str">
        <f aca="false">IF((E66="u"),H66," ")</f>
        <v> </v>
      </c>
      <c r="Z66" s="17" t="str">
        <f aca="false">IF((E66="a"),H66," ")</f>
        <v> </v>
      </c>
      <c r="AA66" s="17" t="str">
        <f aca="false">IF((E66="g"),H66," ")</f>
        <v> </v>
      </c>
      <c r="AB66" s="17" t="str">
        <f aca="false">IF((E66="h"),H66," ")</f>
        <v> </v>
      </c>
      <c r="AC66" s="30" t="str">
        <f aca="false">IF((E66="v"),H66," ")</f>
        <v> </v>
      </c>
      <c r="AD66" s="30" t="str">
        <f aca="false">IF((E66="n"),H66," ")</f>
        <v> </v>
      </c>
      <c r="AE66" s="17" t="str">
        <f aca="false">IF((E66="f"),H66," ")</f>
        <v> </v>
      </c>
      <c r="AF66" s="17" t="str">
        <f aca="false">IF((E66="l"),H66," ")</f>
        <v> </v>
      </c>
      <c r="AG66" s="17" t="str">
        <f aca="false">IF((E66="y"),H66," ")</f>
        <v> </v>
      </c>
      <c r="AH66" s="17" t="str">
        <f aca="false">IF((E66="z"),H66," ")</f>
        <v> </v>
      </c>
      <c r="AI66" s="17" t="str">
        <f aca="false">IF((E66="fa"),H66," ")</f>
        <v> </v>
      </c>
      <c r="AJ66" s="17" t="str">
        <f aca="false">IF((E66="e"),H66," ")</f>
        <v> </v>
      </c>
    </row>
    <row r="67" customFormat="false" ht="12" hidden="false" customHeight="false" outlineLevel="0" collapsed="false">
      <c r="A67" s="28"/>
      <c r="E67" s="2"/>
      <c r="F67" s="30"/>
      <c r="G67" s="6" t="str">
        <f aca="false">IF(F67&lt;&gt;0,F67*G$2/(100+G$2)," ")</f>
        <v> </v>
      </c>
      <c r="H67" s="6" t="str">
        <f aca="false">IF((F67&lt;&gt;0),F67-G67," ")</f>
        <v> </v>
      </c>
      <c r="I67" s="5"/>
      <c r="L67" s="7" t="str">
        <f aca="false">IF(F67&lt;&gt;0,F67-K67," ")</f>
        <v> </v>
      </c>
      <c r="M67" s="8" t="str">
        <f aca="false">IF((F67-K67)&lt;&gt;0,M$1-A67," ")</f>
        <v> </v>
      </c>
      <c r="N67" s="5"/>
      <c r="O67" s="17" t="str">
        <f aca="false">IF((E67="s"),H67," ")</f>
        <v> </v>
      </c>
      <c r="P67" s="17" t="str">
        <f aca="false">IF((E67="c"),H67," ")</f>
        <v> </v>
      </c>
      <c r="Q67" s="17" t="str">
        <f aca="false">IF((E67="o"),H67," ")</f>
        <v> </v>
      </c>
      <c r="R67" s="17" t="str">
        <f aca="false">IF((E67="d"),H67," ")</f>
        <v> </v>
      </c>
      <c r="S67" s="17" t="str">
        <f aca="false">IF((E67="w"),H67," ")</f>
        <v> </v>
      </c>
      <c r="T67" s="17" t="str">
        <f aca="false">IF((E67="r"),H67," ")</f>
        <v> </v>
      </c>
      <c r="U67" s="17" t="str">
        <f aca="false">IF((E67="p"),H67," ")</f>
        <v> </v>
      </c>
      <c r="V67" s="17" t="str">
        <f aca="false">IF((E67="t"),H67," ")</f>
        <v> </v>
      </c>
      <c r="W67" s="17" t="str">
        <f aca="false">IF((E67="q"),H67," ")</f>
        <v> </v>
      </c>
      <c r="X67" s="17" t="str">
        <f aca="false">IF((E67="m"),H67," ")</f>
        <v> </v>
      </c>
      <c r="Y67" s="17" t="str">
        <f aca="false">IF((E67="u"),H67," ")</f>
        <v> </v>
      </c>
      <c r="Z67" s="17" t="str">
        <f aca="false">IF((E67="a"),H67," ")</f>
        <v> </v>
      </c>
      <c r="AA67" s="17" t="str">
        <f aca="false">IF((E67="g"),H67," ")</f>
        <v> </v>
      </c>
      <c r="AB67" s="17" t="str">
        <f aca="false">IF((E67="h"),H67," ")</f>
        <v> </v>
      </c>
      <c r="AC67" s="30" t="str">
        <f aca="false">IF((E67="v"),H67," ")</f>
        <v> </v>
      </c>
      <c r="AD67" s="30" t="str">
        <f aca="false">IF((E67="n"),H67," ")</f>
        <v> </v>
      </c>
      <c r="AE67" s="17" t="str">
        <f aca="false">IF((E67="f"),H67," ")</f>
        <v> </v>
      </c>
      <c r="AF67" s="17" t="str">
        <f aca="false">IF((E67="l"),H67," ")</f>
        <v> </v>
      </c>
      <c r="AG67" s="17" t="str">
        <f aca="false">IF((E67="y"),H67," ")</f>
        <v> </v>
      </c>
      <c r="AH67" s="17" t="str">
        <f aca="false">IF((E67="z"),H67," ")</f>
        <v> </v>
      </c>
      <c r="AI67" s="17" t="str">
        <f aca="false">IF((E67="fa"),H67," ")</f>
        <v> </v>
      </c>
      <c r="AJ67" s="17" t="str">
        <f aca="false">IF((E67="e"),H67," ")</f>
        <v> </v>
      </c>
    </row>
    <row r="68" customFormat="false" ht="12" hidden="false" customHeight="false" outlineLevel="0" collapsed="false">
      <c r="A68" s="28"/>
      <c r="E68" s="2"/>
      <c r="F68" s="30"/>
      <c r="G68" s="6" t="str">
        <f aca="false">IF(F68&lt;&gt;0,F68*G$2/(100+G$2)," ")</f>
        <v> </v>
      </c>
      <c r="H68" s="6" t="str">
        <f aca="false">IF((F68&lt;&gt;0),F68-G68," ")</f>
        <v> </v>
      </c>
      <c r="I68" s="5"/>
      <c r="L68" s="7" t="str">
        <f aca="false">IF(F68&lt;&gt;0,F68-K68," ")</f>
        <v> </v>
      </c>
      <c r="M68" s="8" t="str">
        <f aca="false">IF((F68-K68)&lt;&gt;0,M$1-A68," ")</f>
        <v> </v>
      </c>
      <c r="N68" s="5"/>
      <c r="O68" s="17" t="str">
        <f aca="false">IF((E68="s"),H68," ")</f>
        <v> </v>
      </c>
      <c r="P68" s="17" t="str">
        <f aca="false">IF((E68="c"),H68," ")</f>
        <v> </v>
      </c>
      <c r="Q68" s="17" t="str">
        <f aca="false">IF((E68="o"),H68," ")</f>
        <v> </v>
      </c>
      <c r="R68" s="17" t="str">
        <f aca="false">IF((E68="d"),H68," ")</f>
        <v> </v>
      </c>
      <c r="S68" s="17" t="str">
        <f aca="false">IF((E68="w"),H68," ")</f>
        <v> </v>
      </c>
      <c r="T68" s="17" t="str">
        <f aca="false">IF((E68="r"),H68," ")</f>
        <v> </v>
      </c>
      <c r="U68" s="17" t="str">
        <f aca="false">IF((E68="p"),H68," ")</f>
        <v> </v>
      </c>
      <c r="V68" s="17" t="str">
        <f aca="false">IF((E68="t"),H68," ")</f>
        <v> </v>
      </c>
      <c r="W68" s="17" t="str">
        <f aca="false">IF((E68="q"),H68," ")</f>
        <v> </v>
      </c>
      <c r="X68" s="17" t="str">
        <f aca="false">IF((E68="m"),H68," ")</f>
        <v> </v>
      </c>
      <c r="Y68" s="17" t="str">
        <f aca="false">IF((E68="u"),H68," ")</f>
        <v> </v>
      </c>
      <c r="Z68" s="17" t="str">
        <f aca="false">IF((E68="a"),H68," ")</f>
        <v> </v>
      </c>
      <c r="AA68" s="17" t="str">
        <f aca="false">IF((E68="g"),H68," ")</f>
        <v> </v>
      </c>
      <c r="AB68" s="17" t="str">
        <f aca="false">IF((E68="h"),H68," ")</f>
        <v> </v>
      </c>
      <c r="AC68" s="30" t="str">
        <f aca="false">IF((E68="v"),H68," ")</f>
        <v> </v>
      </c>
      <c r="AD68" s="30" t="str">
        <f aca="false">IF((E68="n"),H68," ")</f>
        <v> </v>
      </c>
      <c r="AE68" s="17" t="str">
        <f aca="false">IF((E68="f"),H68," ")</f>
        <v> </v>
      </c>
      <c r="AF68" s="17" t="str">
        <f aca="false">IF((E68="l"),H68," ")</f>
        <v> </v>
      </c>
      <c r="AG68" s="17" t="str">
        <f aca="false">IF((E68="y"),H68," ")</f>
        <v> </v>
      </c>
      <c r="AH68" s="17" t="str">
        <f aca="false">IF((E68="z"),H68," ")</f>
        <v> </v>
      </c>
      <c r="AI68" s="17" t="str">
        <f aca="false">IF((E68="fa"),H68," ")</f>
        <v> </v>
      </c>
      <c r="AJ68" s="17" t="str">
        <f aca="false">IF((E68="e"),H68," ")</f>
        <v> </v>
      </c>
    </row>
    <row r="69" customFormat="false" ht="12" hidden="false" customHeight="false" outlineLevel="0" collapsed="false">
      <c r="A69" s="28"/>
      <c r="E69" s="2"/>
      <c r="F69" s="30"/>
      <c r="G69" s="6" t="str">
        <f aca="false">IF(F69&lt;&gt;0,F69*G$2/(100+G$2)," ")</f>
        <v> </v>
      </c>
      <c r="H69" s="6" t="str">
        <f aca="false">IF((F69&lt;&gt;0),F69-G69," ")</f>
        <v> </v>
      </c>
      <c r="I69" s="5"/>
      <c r="L69" s="7" t="str">
        <f aca="false">IF(F69&lt;&gt;0,F69-K69," ")</f>
        <v> </v>
      </c>
      <c r="M69" s="8" t="str">
        <f aca="false">IF((F69-K69)&lt;&gt;0,M$1-A69," ")</f>
        <v> </v>
      </c>
      <c r="N69" s="5"/>
      <c r="O69" s="17" t="str">
        <f aca="false">IF((E69="s"),H69," ")</f>
        <v> </v>
      </c>
      <c r="P69" s="17" t="str">
        <f aca="false">IF((E69="c"),H69," ")</f>
        <v> </v>
      </c>
      <c r="Q69" s="17" t="str">
        <f aca="false">IF((E69="o"),H69," ")</f>
        <v> </v>
      </c>
      <c r="R69" s="17" t="str">
        <f aca="false">IF((E69="d"),H69," ")</f>
        <v> </v>
      </c>
      <c r="S69" s="17" t="str">
        <f aca="false">IF((E69="w"),H69," ")</f>
        <v> </v>
      </c>
      <c r="T69" s="17" t="str">
        <f aca="false">IF((E69="r"),H69," ")</f>
        <v> </v>
      </c>
      <c r="U69" s="17" t="str">
        <f aca="false">IF((E69="p"),H69," ")</f>
        <v> </v>
      </c>
      <c r="V69" s="17" t="str">
        <f aca="false">IF((E69="t"),H69," ")</f>
        <v> </v>
      </c>
      <c r="W69" s="17" t="str">
        <f aca="false">IF((E69="q"),H69," ")</f>
        <v> </v>
      </c>
      <c r="X69" s="17" t="str">
        <f aca="false">IF((E69="m"),H69," ")</f>
        <v> </v>
      </c>
      <c r="Y69" s="17" t="str">
        <f aca="false">IF((E69="u"),H69," ")</f>
        <v> </v>
      </c>
      <c r="Z69" s="17" t="str">
        <f aca="false">IF((E69="a"),H69," ")</f>
        <v> </v>
      </c>
      <c r="AA69" s="17" t="str">
        <f aca="false">IF((E69="g"),H69," ")</f>
        <v> </v>
      </c>
      <c r="AB69" s="17" t="str">
        <f aca="false">IF((E69="h"),H69," ")</f>
        <v> </v>
      </c>
      <c r="AC69" s="30" t="str">
        <f aca="false">IF((E69="v"),H69," ")</f>
        <v> </v>
      </c>
      <c r="AD69" s="30" t="str">
        <f aca="false">IF((E69="n"),H69," ")</f>
        <v> </v>
      </c>
      <c r="AE69" s="17" t="str">
        <f aca="false">IF((E69="f"),H69," ")</f>
        <v> </v>
      </c>
      <c r="AF69" s="17" t="str">
        <f aca="false">IF((E69="l"),H69," ")</f>
        <v> </v>
      </c>
      <c r="AG69" s="17" t="str">
        <f aca="false">IF((E69="y"),H69," ")</f>
        <v> </v>
      </c>
      <c r="AH69" s="17" t="str">
        <f aca="false">IF((E69="z"),H69," ")</f>
        <v> </v>
      </c>
      <c r="AI69" s="17" t="str">
        <f aca="false">IF((E69="fa"),H69," ")</f>
        <v> </v>
      </c>
      <c r="AJ69" s="17" t="str">
        <f aca="false">IF((E69="e"),H69," ")</f>
        <v> </v>
      </c>
    </row>
    <row r="70" customFormat="false" ht="12" hidden="false" customHeight="false" outlineLevel="0" collapsed="false">
      <c r="A70" s="28"/>
      <c r="E70" s="2" t="str">
        <f aca="false">IF((F70&lt;&gt;0),"Enter Letter"," ")</f>
        <v> </v>
      </c>
      <c r="F70" s="30"/>
      <c r="G70" s="6" t="str">
        <f aca="false">IF(F70&lt;&gt;0,F70*G$2/(100+G$2)," ")</f>
        <v> </v>
      </c>
      <c r="H70" s="6" t="str">
        <f aca="false">IF((F70&lt;&gt;0),F70-G70," ")</f>
        <v> </v>
      </c>
      <c r="I70" s="5"/>
      <c r="L70" s="7" t="str">
        <f aca="false">IF(F70&lt;&gt;0,F70-K70," ")</f>
        <v> </v>
      </c>
      <c r="M70" s="8" t="str">
        <f aca="false">IF((F70-K70)&lt;&gt;0,M$1-A70," ")</f>
        <v> </v>
      </c>
      <c r="N70" s="5"/>
      <c r="O70" s="17" t="str">
        <f aca="false">IF((E70="s"),H70," ")</f>
        <v> </v>
      </c>
      <c r="P70" s="17" t="str">
        <f aca="false">IF((E70="c"),H70," ")</f>
        <v> </v>
      </c>
      <c r="Q70" s="17" t="str">
        <f aca="false">IF((E70="o"),H70," ")</f>
        <v> </v>
      </c>
      <c r="R70" s="17" t="str">
        <f aca="false">IF((E70="d"),H70," ")</f>
        <v> </v>
      </c>
      <c r="S70" s="17" t="str">
        <f aca="false">IF((E70="w"),H70," ")</f>
        <v> </v>
      </c>
      <c r="T70" s="17" t="str">
        <f aca="false">IF((E70="r"),H70," ")</f>
        <v> </v>
      </c>
      <c r="U70" s="17" t="str">
        <f aca="false">IF((E70="p"),H70," ")</f>
        <v> </v>
      </c>
      <c r="V70" s="17" t="str">
        <f aca="false">IF((E70="t"),H70," ")</f>
        <v> </v>
      </c>
      <c r="W70" s="17" t="str">
        <f aca="false">IF((E70="q"),H70," ")</f>
        <v> </v>
      </c>
      <c r="X70" s="17" t="str">
        <f aca="false">IF((E70="m"),H70," ")</f>
        <v> </v>
      </c>
      <c r="Y70" s="17" t="str">
        <f aca="false">IF((E70="u"),H70," ")</f>
        <v> </v>
      </c>
      <c r="Z70" s="17" t="str">
        <f aca="false">IF((E70="a"),H70," ")</f>
        <v> </v>
      </c>
      <c r="AA70" s="17" t="str">
        <f aca="false">IF((E70="g"),H70," ")</f>
        <v> </v>
      </c>
      <c r="AB70" s="17" t="str">
        <f aca="false">IF((E70="h"),H70," ")</f>
        <v> </v>
      </c>
      <c r="AC70" s="30" t="str">
        <f aca="false">IF((E70="v"),H70," ")</f>
        <v> </v>
      </c>
      <c r="AD70" s="30" t="str">
        <f aca="false">IF((E70="n"),H70," ")</f>
        <v> </v>
      </c>
      <c r="AE70" s="17" t="str">
        <f aca="false">IF((E70="f"),H70," ")</f>
        <v> </v>
      </c>
      <c r="AF70" s="17" t="str">
        <f aca="false">IF((E70="l"),H70," ")</f>
        <v> </v>
      </c>
      <c r="AG70" s="17" t="str">
        <f aca="false">IF((E70="y"),H70," ")</f>
        <v> </v>
      </c>
      <c r="AH70" s="17" t="str">
        <f aca="false">IF((E70="z"),H70," ")</f>
        <v> </v>
      </c>
      <c r="AI70" s="17" t="str">
        <f aca="false">IF((E70="fa"),H70," ")</f>
        <v> </v>
      </c>
      <c r="AJ70" s="17" t="str">
        <f aca="false">IF((E70="e"),H70," ")</f>
        <v> </v>
      </c>
    </row>
    <row r="71" customFormat="false" ht="12" hidden="false" customHeight="false" outlineLevel="0" collapsed="false">
      <c r="A71" s="28"/>
      <c r="E71" s="2" t="str">
        <f aca="false">IF((F71&lt;&gt;0),"Enter Letter"," ")</f>
        <v> </v>
      </c>
      <c r="F71" s="30"/>
      <c r="G71" s="6" t="str">
        <f aca="false">IF(F71&lt;&gt;0,F71*G$2/(100+G$2)," ")</f>
        <v> </v>
      </c>
      <c r="H71" s="6" t="str">
        <f aca="false">IF((F71&lt;&gt;0),F71-G71," ")</f>
        <v> </v>
      </c>
      <c r="I71" s="5"/>
      <c r="L71" s="7" t="str">
        <f aca="false">IF(F71&lt;&gt;0,F71-K71," ")</f>
        <v> </v>
      </c>
      <c r="M71" s="8" t="str">
        <f aca="false">IF((F71-K71)&lt;&gt;0,M$1-A71," ")</f>
        <v> </v>
      </c>
      <c r="N71" s="5"/>
      <c r="O71" s="17" t="str">
        <f aca="false">IF((E71="s"),H71," ")</f>
        <v> </v>
      </c>
      <c r="P71" s="17" t="str">
        <f aca="false">IF((E71="c"),H71," ")</f>
        <v> </v>
      </c>
      <c r="Q71" s="17" t="str">
        <f aca="false">IF((E71="o"),H71," ")</f>
        <v> </v>
      </c>
      <c r="R71" s="17" t="str">
        <f aca="false">IF((E71="d"),H71," ")</f>
        <v> </v>
      </c>
      <c r="S71" s="17" t="str">
        <f aca="false">IF((E71="w"),H71," ")</f>
        <v> </v>
      </c>
      <c r="T71" s="17" t="str">
        <f aca="false">IF((E71="r"),H71," ")</f>
        <v> </v>
      </c>
      <c r="U71" s="17" t="str">
        <f aca="false">IF((E71="p"),H71," ")</f>
        <v> </v>
      </c>
      <c r="V71" s="17" t="str">
        <f aca="false">IF((E71="t"),H71," ")</f>
        <v> </v>
      </c>
      <c r="W71" s="17" t="str">
        <f aca="false">IF((E71="q"),H71," ")</f>
        <v> </v>
      </c>
      <c r="X71" s="17" t="str">
        <f aca="false">IF((E71="m"),H71," ")</f>
        <v> </v>
      </c>
      <c r="Y71" s="17" t="str">
        <f aca="false">IF((E71="u"),H71," ")</f>
        <v> </v>
      </c>
      <c r="Z71" s="17" t="str">
        <f aca="false">IF((E71="a"),H71," ")</f>
        <v> </v>
      </c>
      <c r="AA71" s="17" t="str">
        <f aca="false">IF((E71="g"),H71," ")</f>
        <v> </v>
      </c>
      <c r="AB71" s="17" t="str">
        <f aca="false">IF((E71="h"),H71," ")</f>
        <v> </v>
      </c>
      <c r="AC71" s="30" t="str">
        <f aca="false">IF((E71="v"),H71," ")</f>
        <v> </v>
      </c>
      <c r="AD71" s="30" t="str">
        <f aca="false">IF((E71="n"),H71," ")</f>
        <v> </v>
      </c>
      <c r="AE71" s="17" t="str">
        <f aca="false">IF((E71="f"),H71," ")</f>
        <v> </v>
      </c>
      <c r="AF71" s="17" t="str">
        <f aca="false">IF((E71="l"),H71," ")</f>
        <v> </v>
      </c>
      <c r="AG71" s="17" t="str">
        <f aca="false">IF((E71="y"),H71," ")</f>
        <v> </v>
      </c>
      <c r="AH71" s="17" t="str">
        <f aca="false">IF((E71="z"),H71," ")</f>
        <v> </v>
      </c>
      <c r="AI71" s="17" t="str">
        <f aca="false">IF((E71="fa"),H71," ")</f>
        <v> </v>
      </c>
      <c r="AJ71" s="17" t="str">
        <f aca="false">IF((E71="e"),H71," ")</f>
        <v> </v>
      </c>
    </row>
    <row r="72" customFormat="false" ht="12" hidden="false" customHeight="false" outlineLevel="0" collapsed="false">
      <c r="A72" s="28"/>
      <c r="E72" s="2" t="str">
        <f aca="false">IF((F72&lt;&gt;0),"Enter Letter"," ")</f>
        <v> </v>
      </c>
      <c r="F72" s="30"/>
      <c r="G72" s="6" t="str">
        <f aca="false">IF(F72&lt;&gt;0,F72*G$2/(100+G$2)," ")</f>
        <v> </v>
      </c>
      <c r="H72" s="6" t="str">
        <f aca="false">IF((F72&lt;&gt;0),F72-G72," ")</f>
        <v> </v>
      </c>
      <c r="I72" s="5"/>
      <c r="L72" s="7" t="str">
        <f aca="false">IF(F72&lt;&gt;0,F72-K72," ")</f>
        <v> </v>
      </c>
      <c r="M72" s="8" t="str">
        <f aca="false">IF((F72-K72)&lt;&gt;0,M$1-A72," ")</f>
        <v> </v>
      </c>
      <c r="N72" s="5"/>
      <c r="O72" s="17" t="str">
        <f aca="false">IF((E72="s"),H72," ")</f>
        <v> </v>
      </c>
      <c r="P72" s="17" t="str">
        <f aca="false">IF((E72="c"),H72," ")</f>
        <v> </v>
      </c>
      <c r="Q72" s="17" t="str">
        <f aca="false">IF((E72="o"),H72," ")</f>
        <v> </v>
      </c>
      <c r="R72" s="17" t="str">
        <f aca="false">IF((E72="d"),H72," ")</f>
        <v> </v>
      </c>
      <c r="S72" s="17" t="str">
        <f aca="false">IF((E72="w"),H72," ")</f>
        <v> </v>
      </c>
      <c r="T72" s="17" t="str">
        <f aca="false">IF((E72="r"),H72," ")</f>
        <v> </v>
      </c>
      <c r="U72" s="17" t="str">
        <f aca="false">IF((E72="p"),H72," ")</f>
        <v> </v>
      </c>
      <c r="V72" s="17" t="str">
        <f aca="false">IF((E72="t"),H72," ")</f>
        <v> </v>
      </c>
      <c r="W72" s="17" t="str">
        <f aca="false">IF((E72="q"),H72," ")</f>
        <v> </v>
      </c>
      <c r="X72" s="17" t="str">
        <f aca="false">IF((E72="m"),H72," ")</f>
        <v> </v>
      </c>
      <c r="Y72" s="17" t="str">
        <f aca="false">IF((E72="u"),H72," ")</f>
        <v> </v>
      </c>
      <c r="Z72" s="17" t="str">
        <f aca="false">IF((E72="a"),H72," ")</f>
        <v> </v>
      </c>
      <c r="AA72" s="17" t="str">
        <f aca="false">IF((E72="g"),H72," ")</f>
        <v> </v>
      </c>
      <c r="AB72" s="17" t="str">
        <f aca="false">IF((E72="h"),H72," ")</f>
        <v> </v>
      </c>
      <c r="AC72" s="30" t="str">
        <f aca="false">IF((E72="v"),H72," ")</f>
        <v> </v>
      </c>
      <c r="AD72" s="30" t="str">
        <f aca="false">IF((E72="n"),H72," ")</f>
        <v> </v>
      </c>
      <c r="AE72" s="17" t="str">
        <f aca="false">IF((E72="f"),H72," ")</f>
        <v> </v>
      </c>
      <c r="AF72" s="17" t="str">
        <f aca="false">IF((E72="l"),H72," ")</f>
        <v> </v>
      </c>
      <c r="AG72" s="17" t="str">
        <f aca="false">IF((E72="y"),H72," ")</f>
        <v> </v>
      </c>
      <c r="AH72" s="17" t="str">
        <f aca="false">IF((E72="z"),H72," ")</f>
        <v> </v>
      </c>
      <c r="AI72" s="17" t="str">
        <f aca="false">IF((E72="fa"),H72," ")</f>
        <v> </v>
      </c>
      <c r="AJ72" s="17" t="str">
        <f aca="false">IF((E72="e"),H72," ")</f>
        <v> </v>
      </c>
    </row>
    <row r="73" customFormat="false" ht="12" hidden="false" customHeight="false" outlineLevel="0" collapsed="false">
      <c r="A73" s="28"/>
      <c r="E73" s="2" t="str">
        <f aca="false">IF((F73&lt;&gt;0),"Enter Letter"," ")</f>
        <v> </v>
      </c>
      <c r="F73" s="30"/>
      <c r="G73" s="6" t="str">
        <f aca="false">IF(F73&lt;&gt;0,F73*G$2/(100+G$2)," ")</f>
        <v> </v>
      </c>
      <c r="H73" s="6" t="str">
        <f aca="false">IF((F73&lt;&gt;0),F73-G73," ")</f>
        <v> </v>
      </c>
      <c r="I73" s="5"/>
      <c r="L73" s="7" t="str">
        <f aca="false">IF(F73&lt;&gt;0,F73-K73," ")</f>
        <v> </v>
      </c>
      <c r="M73" s="8" t="str">
        <f aca="false">IF((F73-K73)&lt;&gt;0,M$1-A73," ")</f>
        <v> </v>
      </c>
      <c r="N73" s="5"/>
      <c r="O73" s="17" t="str">
        <f aca="false">IF((E73="s"),H73," ")</f>
        <v> </v>
      </c>
      <c r="P73" s="17" t="str">
        <f aca="false">IF((E73="c"),H73," ")</f>
        <v> </v>
      </c>
      <c r="Q73" s="17" t="str">
        <f aca="false">IF((E73="o"),H73," ")</f>
        <v> </v>
      </c>
      <c r="R73" s="17" t="str">
        <f aca="false">IF((E73="d"),H73," ")</f>
        <v> </v>
      </c>
      <c r="S73" s="17" t="str">
        <f aca="false">IF((E73="w"),H73," ")</f>
        <v> </v>
      </c>
      <c r="T73" s="17" t="str">
        <f aca="false">IF((E73="r"),H73," ")</f>
        <v> </v>
      </c>
      <c r="U73" s="17" t="str">
        <f aca="false">IF((E73="p"),H73," ")</f>
        <v> </v>
      </c>
      <c r="V73" s="17" t="str">
        <f aca="false">IF((E73="t"),H73," ")</f>
        <v> </v>
      </c>
      <c r="W73" s="17" t="str">
        <f aca="false">IF((E73="q"),H73," ")</f>
        <v> </v>
      </c>
      <c r="X73" s="17" t="str">
        <f aca="false">IF((E73="m"),H73," ")</f>
        <v> </v>
      </c>
      <c r="Y73" s="17" t="str">
        <f aca="false">IF((E73="u"),H73," ")</f>
        <v> </v>
      </c>
      <c r="Z73" s="17" t="str">
        <f aca="false">IF((E73="a"),H73," ")</f>
        <v> </v>
      </c>
      <c r="AA73" s="17" t="str">
        <f aca="false">IF((E73="g"),H73," ")</f>
        <v> </v>
      </c>
      <c r="AB73" s="17" t="str">
        <f aca="false">IF((E73="h"),H73," ")</f>
        <v> </v>
      </c>
      <c r="AC73" s="30" t="str">
        <f aca="false">IF((E73="v"),H73," ")</f>
        <v> </v>
      </c>
      <c r="AD73" s="30" t="str">
        <f aca="false">IF((E73="n"),H73," ")</f>
        <v> </v>
      </c>
      <c r="AE73" s="17" t="str">
        <f aca="false">IF((E73="f"),H73," ")</f>
        <v> </v>
      </c>
      <c r="AF73" s="17" t="str">
        <f aca="false">IF((E73="l"),H73," ")</f>
        <v> </v>
      </c>
      <c r="AG73" s="17" t="str">
        <f aca="false">IF((E73="y"),H73," ")</f>
        <v> </v>
      </c>
      <c r="AH73" s="17" t="str">
        <f aca="false">IF((E73="z"),H73," ")</f>
        <v> </v>
      </c>
      <c r="AI73" s="17" t="str">
        <f aca="false">IF((E73="fa"),H73," ")</f>
        <v> </v>
      </c>
      <c r="AJ73" s="17" t="str">
        <f aca="false">IF((E73="e"),H73," ")</f>
        <v> </v>
      </c>
    </row>
    <row r="74" customFormat="false" ht="12" hidden="false" customHeight="false" outlineLevel="0" collapsed="false">
      <c r="A74" s="28"/>
      <c r="E74" s="2" t="str">
        <f aca="false">IF((F74&lt;&gt;0),"Enter Letter"," ")</f>
        <v> </v>
      </c>
      <c r="F74" s="30"/>
      <c r="G74" s="6" t="str">
        <f aca="false">IF(F74&lt;&gt;0,F74*G$2/(100+G$2)," ")</f>
        <v> </v>
      </c>
      <c r="H74" s="6" t="str">
        <f aca="false">IF((F74&lt;&gt;0),F74-G74," ")</f>
        <v> </v>
      </c>
      <c r="I74" s="5"/>
      <c r="L74" s="7" t="str">
        <f aca="false">IF(F74&lt;&gt;0,F74-K74," ")</f>
        <v> </v>
      </c>
      <c r="M74" s="8" t="str">
        <f aca="false">IF((F74-K74)&lt;&gt;0,M$1-A74," ")</f>
        <v> </v>
      </c>
      <c r="N74" s="5"/>
      <c r="O74" s="17" t="str">
        <f aca="false">IF((E74="s"),H74," ")</f>
        <v> </v>
      </c>
      <c r="P74" s="17" t="str">
        <f aca="false">IF((E74="c"),H74," ")</f>
        <v> </v>
      </c>
      <c r="Q74" s="17" t="str">
        <f aca="false">IF((E74="o"),H74," ")</f>
        <v> </v>
      </c>
      <c r="R74" s="17" t="str">
        <f aca="false">IF((E74="d"),H74," ")</f>
        <v> </v>
      </c>
      <c r="S74" s="17" t="str">
        <f aca="false">IF((E74="w"),H74," ")</f>
        <v> </v>
      </c>
      <c r="T74" s="17" t="str">
        <f aca="false">IF((E74="r"),H74," ")</f>
        <v> </v>
      </c>
      <c r="U74" s="17" t="str">
        <f aca="false">IF((E74="p"),H74," ")</f>
        <v> </v>
      </c>
      <c r="V74" s="17" t="str">
        <f aca="false">IF((E74="t"),H74," ")</f>
        <v> </v>
      </c>
      <c r="W74" s="17" t="str">
        <f aca="false">IF((E74="q"),H74," ")</f>
        <v> </v>
      </c>
      <c r="X74" s="17" t="str">
        <f aca="false">IF((E74="m"),H74," ")</f>
        <v> </v>
      </c>
      <c r="Y74" s="17" t="str">
        <f aca="false">IF((E74="u"),H74," ")</f>
        <v> </v>
      </c>
      <c r="Z74" s="17" t="str">
        <f aca="false">IF((E74="a"),H74," ")</f>
        <v> </v>
      </c>
      <c r="AA74" s="17" t="str">
        <f aca="false">IF((E74="g"),H74," ")</f>
        <v> </v>
      </c>
      <c r="AB74" s="17" t="str">
        <f aca="false">IF((E74="h"),H74," ")</f>
        <v> </v>
      </c>
      <c r="AC74" s="30" t="str">
        <f aca="false">IF((E74="v"),H74," ")</f>
        <v> </v>
      </c>
      <c r="AD74" s="30" t="str">
        <f aca="false">IF((E74="n"),H74," ")</f>
        <v> </v>
      </c>
      <c r="AE74" s="17" t="str">
        <f aca="false">IF((E74="f"),H74," ")</f>
        <v> </v>
      </c>
      <c r="AF74" s="17" t="str">
        <f aca="false">IF((E74="l"),H74," ")</f>
        <v> </v>
      </c>
      <c r="AG74" s="17" t="str">
        <f aca="false">IF((E74="y"),H74," ")</f>
        <v> </v>
      </c>
      <c r="AH74" s="17" t="str">
        <f aca="false">IF((E74="z"),H74," ")</f>
        <v> </v>
      </c>
      <c r="AI74" s="17" t="str">
        <f aca="false">IF((E74="fa"),H74," ")</f>
        <v> </v>
      </c>
      <c r="AJ74" s="17" t="str">
        <f aca="false">IF((E74="e"),H74," ")</f>
        <v> </v>
      </c>
    </row>
    <row r="75" customFormat="false" ht="12" hidden="false" customHeight="false" outlineLevel="0" collapsed="false">
      <c r="A75" s="28"/>
      <c r="E75" s="2" t="str">
        <f aca="false">IF((F75&lt;&gt;0),"Enter Letter"," ")</f>
        <v> </v>
      </c>
      <c r="F75" s="30"/>
      <c r="G75" s="6" t="str">
        <f aca="false">IF(F75&lt;&gt;0,F75*G$2/(100+G$2)," ")</f>
        <v> </v>
      </c>
      <c r="H75" s="6" t="str">
        <f aca="false">IF((F75&lt;&gt;0),F75-G75," ")</f>
        <v> </v>
      </c>
      <c r="I75" s="5"/>
      <c r="L75" s="7" t="str">
        <f aca="false">IF(F75&lt;&gt;0,F75-K75," ")</f>
        <v> </v>
      </c>
      <c r="M75" s="8" t="str">
        <f aca="false">IF((F75-K75)&lt;&gt;0,M$1-A75," ")</f>
        <v> </v>
      </c>
      <c r="N75" s="5"/>
      <c r="O75" s="17" t="str">
        <f aca="false">IF((E75="s"),H75," ")</f>
        <v> </v>
      </c>
      <c r="P75" s="17" t="str">
        <f aca="false">IF((E75="c"),H75," ")</f>
        <v> </v>
      </c>
      <c r="Q75" s="17" t="str">
        <f aca="false">IF((E75="o"),H75," ")</f>
        <v> </v>
      </c>
      <c r="R75" s="17" t="str">
        <f aca="false">IF((E75="d"),H75," ")</f>
        <v> </v>
      </c>
      <c r="S75" s="17" t="str">
        <f aca="false">IF((E75="w"),H75," ")</f>
        <v> </v>
      </c>
      <c r="T75" s="17" t="str">
        <f aca="false">IF((E75="r"),H75," ")</f>
        <v> </v>
      </c>
      <c r="U75" s="17" t="str">
        <f aca="false">IF((E75="p"),H75," ")</f>
        <v> </v>
      </c>
      <c r="V75" s="17" t="str">
        <f aca="false">IF((E75="t"),H75," ")</f>
        <v> </v>
      </c>
      <c r="W75" s="17" t="str">
        <f aca="false">IF((E75="q"),H75," ")</f>
        <v> </v>
      </c>
      <c r="X75" s="17" t="str">
        <f aca="false">IF((E75="m"),H75," ")</f>
        <v> </v>
      </c>
      <c r="Y75" s="17" t="str">
        <f aca="false">IF((E75="u"),H75," ")</f>
        <v> </v>
      </c>
      <c r="Z75" s="17" t="str">
        <f aca="false">IF((E75="a"),H75," ")</f>
        <v> </v>
      </c>
      <c r="AA75" s="17" t="str">
        <f aca="false">IF((E75="g"),H75," ")</f>
        <v> </v>
      </c>
      <c r="AB75" s="17" t="str">
        <f aca="false">IF((E75="h"),H75," ")</f>
        <v> </v>
      </c>
      <c r="AC75" s="30" t="str">
        <f aca="false">IF((E75="v"),H75," ")</f>
        <v> </v>
      </c>
      <c r="AD75" s="30" t="str">
        <f aca="false">IF((E75="n"),H75," ")</f>
        <v> </v>
      </c>
      <c r="AE75" s="17" t="str">
        <f aca="false">IF((E75="f"),H75," ")</f>
        <v> </v>
      </c>
      <c r="AF75" s="17" t="str">
        <f aca="false">IF((E75="l"),H75," ")</f>
        <v> </v>
      </c>
      <c r="AG75" s="17" t="str">
        <f aca="false">IF((E75="y"),H75," ")</f>
        <v> </v>
      </c>
      <c r="AH75" s="17" t="str">
        <f aca="false">IF((E75="z"),H75," ")</f>
        <v> </v>
      </c>
      <c r="AI75" s="17" t="str">
        <f aca="false">IF((E75="fa"),H75," ")</f>
        <v> </v>
      </c>
      <c r="AJ75" s="17" t="str">
        <f aca="false">IF((E75="e"),H75," ")</f>
        <v> </v>
      </c>
    </row>
    <row r="76" customFormat="false" ht="12" hidden="false" customHeight="false" outlineLevel="0" collapsed="false">
      <c r="A76" s="28"/>
      <c r="E76" s="2" t="str">
        <f aca="false">IF((F76&lt;&gt;0),"Enter Letter"," ")</f>
        <v> </v>
      </c>
      <c r="F76" s="30"/>
      <c r="G76" s="6" t="str">
        <f aca="false">IF(F76&lt;&gt;0,F76*G$2/(100+G$2)," ")</f>
        <v> </v>
      </c>
      <c r="H76" s="6" t="str">
        <f aca="false">IF((F76&lt;&gt;0),F76-G76," ")</f>
        <v> </v>
      </c>
      <c r="I76" s="5"/>
      <c r="L76" s="7" t="str">
        <f aca="false">IF(F76&lt;&gt;0,F76-K76," ")</f>
        <v> </v>
      </c>
      <c r="M76" s="8" t="str">
        <f aca="false">IF((F76-K76)&lt;&gt;0,M$1-A76," ")</f>
        <v> </v>
      </c>
      <c r="N76" s="5"/>
      <c r="O76" s="17" t="str">
        <f aca="false">IF((E76="s"),H76," ")</f>
        <v> </v>
      </c>
      <c r="P76" s="17" t="str">
        <f aca="false">IF((E76="c"),H76," ")</f>
        <v> </v>
      </c>
      <c r="Q76" s="17" t="str">
        <f aca="false">IF((E76="o"),H76," ")</f>
        <v> </v>
      </c>
      <c r="R76" s="17" t="str">
        <f aca="false">IF((E76="d"),H76," ")</f>
        <v> </v>
      </c>
      <c r="S76" s="17" t="str">
        <f aca="false">IF((E76="w"),H76," ")</f>
        <v> </v>
      </c>
      <c r="T76" s="17" t="str">
        <f aca="false">IF((E76="r"),H76," ")</f>
        <v> </v>
      </c>
      <c r="U76" s="17" t="str">
        <f aca="false">IF((E76="p"),H76," ")</f>
        <v> </v>
      </c>
      <c r="V76" s="17" t="str">
        <f aca="false">IF((E76="t"),H76," ")</f>
        <v> </v>
      </c>
      <c r="W76" s="17" t="str">
        <f aca="false">IF((E76="q"),H76," ")</f>
        <v> </v>
      </c>
      <c r="X76" s="17" t="str">
        <f aca="false">IF((E76="m"),H76," ")</f>
        <v> </v>
      </c>
      <c r="Y76" s="17" t="str">
        <f aca="false">IF((E76="u"),H76," ")</f>
        <v> </v>
      </c>
      <c r="Z76" s="17" t="str">
        <f aca="false">IF((E76="a"),H76," ")</f>
        <v> </v>
      </c>
      <c r="AA76" s="17" t="str">
        <f aca="false">IF((E76="g"),H76," ")</f>
        <v> </v>
      </c>
      <c r="AB76" s="17" t="str">
        <f aca="false">IF((E76="h"),H76," ")</f>
        <v> </v>
      </c>
      <c r="AC76" s="30" t="str">
        <f aca="false">IF((E76="v"),H76," ")</f>
        <v> </v>
      </c>
      <c r="AD76" s="30" t="str">
        <f aca="false">IF((E76="n"),H76," ")</f>
        <v> </v>
      </c>
      <c r="AE76" s="17" t="str">
        <f aca="false">IF((E76="f"),H76," ")</f>
        <v> </v>
      </c>
      <c r="AF76" s="17" t="str">
        <f aca="false">IF((E76="l"),H76," ")</f>
        <v> </v>
      </c>
      <c r="AG76" s="17" t="str">
        <f aca="false">IF((E76="y"),H76," ")</f>
        <v> </v>
      </c>
      <c r="AH76" s="17" t="str">
        <f aca="false">IF((E76="z"),H76," ")</f>
        <v> </v>
      </c>
      <c r="AI76" s="17" t="str">
        <f aca="false">IF((E76="fa"),H76," ")</f>
        <v> </v>
      </c>
      <c r="AJ76" s="17" t="str">
        <f aca="false">IF((E76="e"),H76," ")</f>
        <v> </v>
      </c>
    </row>
    <row r="77" customFormat="false" ht="12" hidden="false" customHeight="false" outlineLevel="0" collapsed="false">
      <c r="A77" s="28"/>
      <c r="E77" s="2" t="str">
        <f aca="false">IF((F77&lt;&gt;0),"Enter Letter"," ")</f>
        <v> </v>
      </c>
      <c r="F77" s="30"/>
      <c r="G77" s="6" t="str">
        <f aca="false">IF(F77&lt;&gt;0,F77*G$2/(100+G$2)," ")</f>
        <v> </v>
      </c>
      <c r="H77" s="6" t="str">
        <f aca="false">IF((F77&lt;&gt;0),F77-G77," ")</f>
        <v> </v>
      </c>
      <c r="I77" s="5"/>
      <c r="L77" s="7" t="str">
        <f aca="false">IF(F77&lt;&gt;0,F77-K77," ")</f>
        <v> </v>
      </c>
      <c r="M77" s="8" t="str">
        <f aca="false">IF((F77-K77)&lt;&gt;0,M$1-A77," ")</f>
        <v> </v>
      </c>
      <c r="N77" s="5"/>
      <c r="O77" s="17" t="str">
        <f aca="false">IF((E77="s"),H77," ")</f>
        <v> </v>
      </c>
      <c r="P77" s="17" t="str">
        <f aca="false">IF((E77="c"),H77," ")</f>
        <v> </v>
      </c>
      <c r="Q77" s="17" t="str">
        <f aca="false">IF((E77="o"),H77," ")</f>
        <v> </v>
      </c>
      <c r="R77" s="17" t="str">
        <f aca="false">IF((E77="d"),H77," ")</f>
        <v> </v>
      </c>
      <c r="S77" s="17" t="str">
        <f aca="false">IF((E77="w"),H77," ")</f>
        <v> </v>
      </c>
      <c r="T77" s="17" t="str">
        <f aca="false">IF((E77="r"),H77," ")</f>
        <v> </v>
      </c>
      <c r="U77" s="17" t="str">
        <f aca="false">IF((E77="p"),H77," ")</f>
        <v> </v>
      </c>
      <c r="V77" s="17" t="str">
        <f aca="false">IF((E77="t"),H77," ")</f>
        <v> </v>
      </c>
      <c r="W77" s="17" t="str">
        <f aca="false">IF((E77="q"),H77," ")</f>
        <v> </v>
      </c>
      <c r="X77" s="17" t="str">
        <f aca="false">IF((E77="m"),H77," ")</f>
        <v> </v>
      </c>
      <c r="Y77" s="17" t="str">
        <f aca="false">IF((E77="u"),H77," ")</f>
        <v> </v>
      </c>
      <c r="Z77" s="17" t="str">
        <f aca="false">IF((E77="a"),H77," ")</f>
        <v> </v>
      </c>
      <c r="AA77" s="17" t="str">
        <f aca="false">IF((E77="g"),H77," ")</f>
        <v> </v>
      </c>
      <c r="AB77" s="17" t="str">
        <f aca="false">IF((E77="h"),H77," ")</f>
        <v> </v>
      </c>
      <c r="AC77" s="30" t="str">
        <f aca="false">IF((E77="v"),H77," ")</f>
        <v> </v>
      </c>
      <c r="AD77" s="30" t="str">
        <f aca="false">IF((E77="n"),H77," ")</f>
        <v> </v>
      </c>
      <c r="AE77" s="17" t="str">
        <f aca="false">IF((E77="f"),H77," ")</f>
        <v> </v>
      </c>
      <c r="AF77" s="17" t="str">
        <f aca="false">IF((E77="l"),H77," ")</f>
        <v> </v>
      </c>
      <c r="AG77" s="17" t="str">
        <f aca="false">IF((E77="y"),H77," ")</f>
        <v> </v>
      </c>
      <c r="AH77" s="17" t="str">
        <f aca="false">IF((E77="z"),H77," ")</f>
        <v> </v>
      </c>
      <c r="AI77" s="17" t="str">
        <f aca="false">IF((E77="fa"),H77," ")</f>
        <v> </v>
      </c>
      <c r="AJ77" s="17" t="str">
        <f aca="false">IF((E77="e"),H77," ")</f>
        <v> </v>
      </c>
    </row>
    <row r="78" customFormat="false" ht="12" hidden="false" customHeight="false" outlineLevel="0" collapsed="false">
      <c r="A78" s="28"/>
      <c r="E78" s="2" t="str">
        <f aca="false">IF((F78&lt;&gt;0),"Enter Letter"," ")</f>
        <v> </v>
      </c>
      <c r="F78" s="30"/>
      <c r="G78" s="6" t="str">
        <f aca="false">IF(F78&lt;&gt;0,F78*G$2/(100+G$2)," ")</f>
        <v> </v>
      </c>
      <c r="H78" s="6" t="str">
        <f aca="false">IF((F78&lt;&gt;0),F78-G78," ")</f>
        <v> </v>
      </c>
      <c r="I78" s="5"/>
      <c r="L78" s="7" t="str">
        <f aca="false">IF(F78&lt;&gt;0,F78-K78," ")</f>
        <v> </v>
      </c>
      <c r="M78" s="8" t="str">
        <f aca="false">IF((F78-K78)&lt;&gt;0,M$1-A78," ")</f>
        <v> </v>
      </c>
      <c r="N78" s="5"/>
      <c r="O78" s="17" t="str">
        <f aca="false">IF((E78="s"),H78," ")</f>
        <v> </v>
      </c>
      <c r="P78" s="17" t="str">
        <f aca="false">IF((E78="c"),H78," ")</f>
        <v> </v>
      </c>
      <c r="Q78" s="17" t="str">
        <f aca="false">IF((E78="o"),H78," ")</f>
        <v> </v>
      </c>
      <c r="R78" s="17" t="str">
        <f aca="false">IF((E78="d"),H78," ")</f>
        <v> </v>
      </c>
      <c r="S78" s="17" t="str">
        <f aca="false">IF((E78="w"),H78," ")</f>
        <v> </v>
      </c>
      <c r="T78" s="17" t="str">
        <f aca="false">IF((E78="r"),H78," ")</f>
        <v> </v>
      </c>
      <c r="U78" s="17" t="str">
        <f aca="false">IF((E78="p"),H78," ")</f>
        <v> </v>
      </c>
      <c r="V78" s="17" t="str">
        <f aca="false">IF((E78="t"),H78," ")</f>
        <v> </v>
      </c>
      <c r="W78" s="17" t="str">
        <f aca="false">IF((E78="q"),H78," ")</f>
        <v> </v>
      </c>
      <c r="X78" s="17" t="str">
        <f aca="false">IF((E78="m"),H78," ")</f>
        <v> </v>
      </c>
      <c r="Y78" s="17" t="str">
        <f aca="false">IF((E78="u"),H78," ")</f>
        <v> </v>
      </c>
      <c r="Z78" s="17" t="str">
        <f aca="false">IF((E78="a"),H78," ")</f>
        <v> </v>
      </c>
      <c r="AA78" s="17" t="str">
        <f aca="false">IF((E78="g"),H78," ")</f>
        <v> </v>
      </c>
      <c r="AB78" s="17" t="str">
        <f aca="false">IF((E78="h"),H78," ")</f>
        <v> </v>
      </c>
      <c r="AC78" s="30" t="str">
        <f aca="false">IF((E78="v"),H78," ")</f>
        <v> </v>
      </c>
      <c r="AD78" s="30" t="str">
        <f aca="false">IF((E78="n"),H78," ")</f>
        <v> </v>
      </c>
      <c r="AE78" s="17" t="str">
        <f aca="false">IF((E78="f"),H78," ")</f>
        <v> </v>
      </c>
      <c r="AF78" s="17" t="str">
        <f aca="false">IF((E78="l"),H78," ")</f>
        <v> </v>
      </c>
      <c r="AG78" s="17" t="str">
        <f aca="false">IF((E78="y"),H78," ")</f>
        <v> </v>
      </c>
      <c r="AH78" s="17" t="str">
        <f aca="false">IF((E78="z"),H78," ")</f>
        <v> </v>
      </c>
      <c r="AI78" s="17" t="str">
        <f aca="false">IF((E78="fa"),H78," ")</f>
        <v> </v>
      </c>
      <c r="AJ78" s="17" t="str">
        <f aca="false">IF((E78="e"),H78," ")</f>
        <v> </v>
      </c>
    </row>
    <row r="79" customFormat="false" ht="12" hidden="false" customHeight="false" outlineLevel="0" collapsed="false">
      <c r="A79" s="28"/>
      <c r="E79" s="2" t="str">
        <f aca="false">IF((F79&lt;&gt;0),"Enter Letter"," ")</f>
        <v> </v>
      </c>
      <c r="F79" s="30"/>
      <c r="G79" s="6" t="str">
        <f aca="false">IF(F79&lt;&gt;0,F79*G$2/(100+G$2)," ")</f>
        <v> </v>
      </c>
      <c r="H79" s="6" t="str">
        <f aca="false">IF((F79&lt;&gt;0),F79-G79," ")</f>
        <v> </v>
      </c>
      <c r="I79" s="5"/>
      <c r="L79" s="7" t="str">
        <f aca="false">IF(F79&lt;&gt;0,F79-K79," ")</f>
        <v> </v>
      </c>
      <c r="M79" s="8" t="str">
        <f aca="false">IF((F79-K79)&lt;&gt;0,M$1-A79," ")</f>
        <v> </v>
      </c>
      <c r="N79" s="5"/>
      <c r="O79" s="17" t="str">
        <f aca="false">IF((E79="s"),H79," ")</f>
        <v> </v>
      </c>
      <c r="P79" s="17" t="str">
        <f aca="false">IF((E79="c"),H79," ")</f>
        <v> </v>
      </c>
      <c r="Q79" s="17" t="str">
        <f aca="false">IF((E79="o"),H79," ")</f>
        <v> </v>
      </c>
      <c r="R79" s="17" t="str">
        <f aca="false">IF((E79="d"),H79," ")</f>
        <v> </v>
      </c>
      <c r="S79" s="17" t="str">
        <f aca="false">IF((E79="w"),H79," ")</f>
        <v> </v>
      </c>
      <c r="T79" s="17" t="str">
        <f aca="false">IF((E79="r"),H79," ")</f>
        <v> </v>
      </c>
      <c r="U79" s="17" t="str">
        <f aca="false">IF((E79="p"),H79," ")</f>
        <v> </v>
      </c>
      <c r="V79" s="17" t="str">
        <f aca="false">IF((E79="t"),H79," ")</f>
        <v> </v>
      </c>
      <c r="W79" s="17" t="str">
        <f aca="false">IF((E79="q"),H79," ")</f>
        <v> </v>
      </c>
      <c r="X79" s="17" t="str">
        <f aca="false">IF((E79="m"),H79," ")</f>
        <v> </v>
      </c>
      <c r="Y79" s="17" t="str">
        <f aca="false">IF((E79="u"),H79," ")</f>
        <v> </v>
      </c>
      <c r="Z79" s="17" t="str">
        <f aca="false">IF((E79="a"),H79," ")</f>
        <v> </v>
      </c>
      <c r="AA79" s="17" t="str">
        <f aca="false">IF((E79="g"),H79," ")</f>
        <v> </v>
      </c>
      <c r="AB79" s="17" t="str">
        <f aca="false">IF((E79="h"),H79," ")</f>
        <v> </v>
      </c>
      <c r="AC79" s="30" t="str">
        <f aca="false">IF((E79="v"),H79," ")</f>
        <v> </v>
      </c>
      <c r="AD79" s="30" t="str">
        <f aca="false">IF((E79="n"),H79," ")</f>
        <v> </v>
      </c>
      <c r="AE79" s="17" t="str">
        <f aca="false">IF((E79="f"),H79," ")</f>
        <v> </v>
      </c>
      <c r="AF79" s="17" t="str">
        <f aca="false">IF((E79="l"),H79," ")</f>
        <v> </v>
      </c>
      <c r="AG79" s="17" t="str">
        <f aca="false">IF((E79="y"),H79," ")</f>
        <v> </v>
      </c>
      <c r="AH79" s="17" t="str">
        <f aca="false">IF((E79="z"),H79," ")</f>
        <v> </v>
      </c>
      <c r="AI79" s="17" t="str">
        <f aca="false">IF((E79="fa"),H79," ")</f>
        <v> </v>
      </c>
      <c r="AJ79" s="17" t="str">
        <f aca="false">IF((E79="e"),H79," ")</f>
        <v> </v>
      </c>
    </row>
    <row r="80" customFormat="false" ht="12" hidden="false" customHeight="false" outlineLevel="0" collapsed="false">
      <c r="A80" s="28"/>
      <c r="E80" s="2" t="str">
        <f aca="false">IF((F80&lt;&gt;0),"Enter Letter"," ")</f>
        <v> </v>
      </c>
      <c r="F80" s="30"/>
      <c r="G80" s="6" t="str">
        <f aca="false">IF(F80&lt;&gt;0,F80*G$2/(100+G$2)," ")</f>
        <v> </v>
      </c>
      <c r="H80" s="6" t="str">
        <f aca="false">IF((F80&lt;&gt;0),F80-G80," ")</f>
        <v> </v>
      </c>
      <c r="I80" s="5"/>
      <c r="L80" s="7" t="str">
        <f aca="false">IF(F80&lt;&gt;0,F80-K80," ")</f>
        <v> </v>
      </c>
      <c r="M80" s="8" t="str">
        <f aca="false">IF((F80-K80)&lt;&gt;0,M$1-A80," ")</f>
        <v> </v>
      </c>
      <c r="N80" s="5"/>
      <c r="O80" s="17" t="str">
        <f aca="false">IF((E80="s"),H80," ")</f>
        <v> </v>
      </c>
      <c r="P80" s="17" t="str">
        <f aca="false">IF((E80="c"),H80," ")</f>
        <v> </v>
      </c>
      <c r="Q80" s="17" t="str">
        <f aca="false">IF((E80="o"),H80," ")</f>
        <v> </v>
      </c>
      <c r="R80" s="17" t="str">
        <f aca="false">IF((E80="d"),H80," ")</f>
        <v> </v>
      </c>
      <c r="S80" s="17" t="str">
        <f aca="false">IF((E80="w"),H80," ")</f>
        <v> </v>
      </c>
      <c r="T80" s="17" t="str">
        <f aca="false">IF((E80="r"),H80," ")</f>
        <v> </v>
      </c>
      <c r="U80" s="17" t="str">
        <f aca="false">IF((E80="p"),H80," ")</f>
        <v> </v>
      </c>
      <c r="V80" s="17" t="str">
        <f aca="false">IF((E80="t"),H80," ")</f>
        <v> </v>
      </c>
      <c r="W80" s="17" t="str">
        <f aca="false">IF((E80="q"),H80," ")</f>
        <v> </v>
      </c>
      <c r="X80" s="17" t="str">
        <f aca="false">IF((E80="m"),H80," ")</f>
        <v> </v>
      </c>
      <c r="Y80" s="17" t="str">
        <f aca="false">IF((E80="u"),H80," ")</f>
        <v> </v>
      </c>
      <c r="Z80" s="17" t="str">
        <f aca="false">IF((E80="a"),H80," ")</f>
        <v> </v>
      </c>
      <c r="AA80" s="17" t="str">
        <f aca="false">IF((E80="g"),H80," ")</f>
        <v> </v>
      </c>
      <c r="AB80" s="17" t="str">
        <f aca="false">IF((E80="h"),H80," ")</f>
        <v> </v>
      </c>
      <c r="AC80" s="30" t="str">
        <f aca="false">IF((E80="v"),H80," ")</f>
        <v> </v>
      </c>
      <c r="AD80" s="30" t="str">
        <f aca="false">IF((E80="n"),H80," ")</f>
        <v> </v>
      </c>
      <c r="AE80" s="17" t="str">
        <f aca="false">IF((E80="f"),H80," ")</f>
        <v> </v>
      </c>
      <c r="AF80" s="17" t="str">
        <f aca="false">IF((E80="l"),H80," ")</f>
        <v> </v>
      </c>
      <c r="AG80" s="17" t="str">
        <f aca="false">IF((E80="y"),H80," ")</f>
        <v> </v>
      </c>
      <c r="AH80" s="17" t="str">
        <f aca="false">IF((E80="z"),H80," ")</f>
        <v> </v>
      </c>
      <c r="AI80" s="17" t="str">
        <f aca="false">IF((E80="fa"),H80," ")</f>
        <v> </v>
      </c>
      <c r="AJ80" s="17" t="str">
        <f aca="false">IF((E80="e"),H80," ")</f>
        <v> </v>
      </c>
    </row>
    <row r="81" customFormat="false" ht="12" hidden="false" customHeight="false" outlineLevel="0" collapsed="false">
      <c r="A81" s="28"/>
      <c r="E81" s="2" t="str">
        <f aca="false">IF((F81&lt;&gt;0),"Enter Letter"," ")</f>
        <v> </v>
      </c>
      <c r="F81" s="30"/>
      <c r="G81" s="6" t="str">
        <f aca="false">IF(F81&lt;&gt;0,F81*G$2/(100+G$2)," ")</f>
        <v> </v>
      </c>
      <c r="H81" s="6" t="str">
        <f aca="false">IF((F81&lt;&gt;0),F81-G81," ")</f>
        <v> </v>
      </c>
      <c r="I81" s="5"/>
      <c r="L81" s="7" t="str">
        <f aca="false">IF(F81&lt;&gt;0,F81-K81," ")</f>
        <v> </v>
      </c>
      <c r="M81" s="8" t="str">
        <f aca="false">IF((F81-K81)&lt;&gt;0,M$1-A81," ")</f>
        <v> </v>
      </c>
      <c r="N81" s="5"/>
      <c r="O81" s="17" t="str">
        <f aca="false">IF((E81="s"),H81," ")</f>
        <v> </v>
      </c>
      <c r="P81" s="17" t="str">
        <f aca="false">IF((E81="c"),H81," ")</f>
        <v> </v>
      </c>
      <c r="Q81" s="17" t="str">
        <f aca="false">IF((E81="o"),H81," ")</f>
        <v> </v>
      </c>
      <c r="R81" s="17" t="str">
        <f aca="false">IF((E81="d"),H81," ")</f>
        <v> </v>
      </c>
      <c r="S81" s="17" t="str">
        <f aca="false">IF((E81="w"),H81," ")</f>
        <v> </v>
      </c>
      <c r="T81" s="17" t="str">
        <f aca="false">IF((E81="r"),H81," ")</f>
        <v> </v>
      </c>
      <c r="U81" s="17" t="str">
        <f aca="false">IF((E81="p"),H81," ")</f>
        <v> </v>
      </c>
      <c r="V81" s="17" t="str">
        <f aca="false">IF((E81="t"),H81," ")</f>
        <v> </v>
      </c>
      <c r="W81" s="17" t="str">
        <f aca="false">IF((E81="q"),H81," ")</f>
        <v> </v>
      </c>
      <c r="X81" s="17" t="str">
        <f aca="false">IF((E81="m"),H81," ")</f>
        <v> </v>
      </c>
      <c r="Y81" s="17" t="str">
        <f aca="false">IF((E81="u"),H81," ")</f>
        <v> </v>
      </c>
      <c r="Z81" s="17" t="str">
        <f aca="false">IF((E81="a"),H81," ")</f>
        <v> </v>
      </c>
      <c r="AA81" s="17" t="str">
        <f aca="false">IF((E81="g"),H81," ")</f>
        <v> </v>
      </c>
      <c r="AB81" s="17" t="str">
        <f aca="false">IF((E81="h"),H81," ")</f>
        <v> </v>
      </c>
      <c r="AC81" s="30" t="str">
        <f aca="false">IF((E81="v"),H81," ")</f>
        <v> </v>
      </c>
      <c r="AD81" s="30" t="str">
        <f aca="false">IF((E81="n"),H81," ")</f>
        <v> </v>
      </c>
      <c r="AE81" s="17" t="str">
        <f aca="false">IF((E81="f"),H81," ")</f>
        <v> </v>
      </c>
      <c r="AF81" s="17" t="str">
        <f aca="false">IF((E81="l"),H81," ")</f>
        <v> </v>
      </c>
      <c r="AG81" s="17" t="str">
        <f aca="false">IF((E81="y"),H81," ")</f>
        <v> </v>
      </c>
      <c r="AH81" s="17" t="str">
        <f aca="false">IF((E81="z"),H81," ")</f>
        <v> </v>
      </c>
      <c r="AI81" s="17" t="str">
        <f aca="false">IF((E81="fa"),H81," ")</f>
        <v> </v>
      </c>
      <c r="AJ81" s="17" t="str">
        <f aca="false">IF((E81="e"),H81," ")</f>
        <v> </v>
      </c>
    </row>
    <row r="82" customFormat="false" ht="12" hidden="false" customHeight="false" outlineLevel="0" collapsed="false">
      <c r="A82" s="28"/>
      <c r="E82" s="2" t="str">
        <f aca="false">IF((F82&lt;&gt;0),"Enter Letter"," ")</f>
        <v> </v>
      </c>
      <c r="F82" s="30"/>
      <c r="G82" s="6" t="str">
        <f aca="false">IF(F82&lt;&gt;0,F82*G$2/(100+G$2)," ")</f>
        <v> </v>
      </c>
      <c r="H82" s="6" t="str">
        <f aca="false">IF((F82&lt;&gt;0),F82-G82," ")</f>
        <v> </v>
      </c>
      <c r="I82" s="5"/>
      <c r="L82" s="7" t="str">
        <f aca="false">IF(F82&lt;&gt;0,F82-K82," ")</f>
        <v> </v>
      </c>
      <c r="M82" s="8" t="str">
        <f aca="false">IF((F82-K82)&lt;&gt;0,M$1-A82," ")</f>
        <v> </v>
      </c>
      <c r="N82" s="5"/>
      <c r="O82" s="17" t="str">
        <f aca="false">IF((E82="s"),H82," ")</f>
        <v> </v>
      </c>
      <c r="P82" s="17" t="str">
        <f aca="false">IF((E82="c"),H82," ")</f>
        <v> </v>
      </c>
      <c r="Q82" s="17" t="str">
        <f aca="false">IF((E82="o"),H82," ")</f>
        <v> </v>
      </c>
      <c r="R82" s="17" t="str">
        <f aca="false">IF((E82="d"),H82," ")</f>
        <v> </v>
      </c>
      <c r="S82" s="17" t="str">
        <f aca="false">IF((E82="w"),H82," ")</f>
        <v> </v>
      </c>
      <c r="T82" s="17" t="str">
        <f aca="false">IF((E82="r"),H82," ")</f>
        <v> </v>
      </c>
      <c r="U82" s="17" t="str">
        <f aca="false">IF((E82="p"),H82," ")</f>
        <v> </v>
      </c>
      <c r="V82" s="17" t="str">
        <f aca="false">IF((E82="t"),H82," ")</f>
        <v> </v>
      </c>
      <c r="W82" s="17" t="str">
        <f aca="false">IF((E82="q"),H82," ")</f>
        <v> </v>
      </c>
      <c r="X82" s="17" t="str">
        <f aca="false">IF((E82="m"),H82," ")</f>
        <v> </v>
      </c>
      <c r="Y82" s="17" t="str">
        <f aca="false">IF((E82="u"),H82," ")</f>
        <v> </v>
      </c>
      <c r="Z82" s="17" t="str">
        <f aca="false">IF((E82="a"),H82," ")</f>
        <v> </v>
      </c>
      <c r="AA82" s="17" t="str">
        <f aca="false">IF((E82="g"),H82," ")</f>
        <v> </v>
      </c>
      <c r="AB82" s="17" t="str">
        <f aca="false">IF((E82="h"),H82," ")</f>
        <v> </v>
      </c>
      <c r="AC82" s="30" t="str">
        <f aca="false">IF((E82="v"),H82," ")</f>
        <v> </v>
      </c>
      <c r="AD82" s="30" t="str">
        <f aca="false">IF((E82="n"),H82," ")</f>
        <v> </v>
      </c>
      <c r="AE82" s="17" t="str">
        <f aca="false">IF((E82="f"),H82," ")</f>
        <v> </v>
      </c>
      <c r="AF82" s="17" t="str">
        <f aca="false">IF((E82="l"),H82," ")</f>
        <v> </v>
      </c>
      <c r="AG82" s="17" t="str">
        <f aca="false">IF((E82="y"),H82," ")</f>
        <v> </v>
      </c>
      <c r="AH82" s="17" t="str">
        <f aca="false">IF((E82="z"),H82," ")</f>
        <v> </v>
      </c>
      <c r="AI82" s="17" t="str">
        <f aca="false">IF((E82="fa"),H82," ")</f>
        <v> </v>
      </c>
      <c r="AJ82" s="17" t="str">
        <f aca="false">IF((E82="e"),H82," ")</f>
        <v> </v>
      </c>
    </row>
    <row r="83" customFormat="false" ht="12" hidden="false" customHeight="false" outlineLevel="0" collapsed="false">
      <c r="A83" s="28"/>
      <c r="E83" s="2" t="str">
        <f aca="false">IF((F83&lt;&gt;0),"Enter Letter"," ")</f>
        <v> </v>
      </c>
      <c r="F83" s="30"/>
      <c r="G83" s="6" t="str">
        <f aca="false">IF(F83&lt;&gt;0,F83*G$2/(100+G$2)," ")</f>
        <v> </v>
      </c>
      <c r="H83" s="6" t="str">
        <f aca="false">IF((F83&lt;&gt;0),F83-G83," ")</f>
        <v> </v>
      </c>
      <c r="I83" s="5"/>
      <c r="L83" s="7" t="str">
        <f aca="false">IF(F83&lt;&gt;0,F83-K83," ")</f>
        <v> </v>
      </c>
      <c r="M83" s="8" t="str">
        <f aca="false">IF((F83-K83)&lt;&gt;0,M$1-A83," ")</f>
        <v> </v>
      </c>
      <c r="N83" s="5"/>
      <c r="O83" s="17" t="str">
        <f aca="false">IF((E83="s"),H83," ")</f>
        <v> </v>
      </c>
      <c r="P83" s="17" t="str">
        <f aca="false">IF((E83="c"),H83," ")</f>
        <v> </v>
      </c>
      <c r="Q83" s="17" t="str">
        <f aca="false">IF((E83="o"),H83," ")</f>
        <v> </v>
      </c>
      <c r="R83" s="17" t="str">
        <f aca="false">IF((E83="d"),H83," ")</f>
        <v> </v>
      </c>
      <c r="S83" s="17" t="str">
        <f aca="false">IF((E83="w"),H83," ")</f>
        <v> </v>
      </c>
      <c r="T83" s="17" t="str">
        <f aca="false">IF((E83="r"),H83," ")</f>
        <v> </v>
      </c>
      <c r="U83" s="17" t="str">
        <f aca="false">IF((E83="p"),H83," ")</f>
        <v> </v>
      </c>
      <c r="V83" s="17" t="str">
        <f aca="false">IF((E83="t"),H83," ")</f>
        <v> </v>
      </c>
      <c r="W83" s="17" t="str">
        <f aca="false">IF((E83="q"),H83," ")</f>
        <v> </v>
      </c>
      <c r="X83" s="17" t="str">
        <f aca="false">IF((E83="m"),H83," ")</f>
        <v> </v>
      </c>
      <c r="Y83" s="17" t="str">
        <f aca="false">IF((E83="u"),H83," ")</f>
        <v> </v>
      </c>
      <c r="Z83" s="17" t="str">
        <f aca="false">IF((E83="a"),H83," ")</f>
        <v> </v>
      </c>
      <c r="AA83" s="17" t="str">
        <f aca="false">IF((E83="g"),H83," ")</f>
        <v> </v>
      </c>
      <c r="AB83" s="17" t="str">
        <f aca="false">IF((E83="h"),H83," ")</f>
        <v> </v>
      </c>
      <c r="AC83" s="30" t="str">
        <f aca="false">IF((E83="v"),H83," ")</f>
        <v> </v>
      </c>
      <c r="AD83" s="30" t="str">
        <f aca="false">IF((E83="n"),H83," ")</f>
        <v> </v>
      </c>
      <c r="AE83" s="17" t="str">
        <f aca="false">IF((E83="f"),H83," ")</f>
        <v> </v>
      </c>
      <c r="AF83" s="17" t="str">
        <f aca="false">IF((E83="l"),H83," ")</f>
        <v> </v>
      </c>
      <c r="AG83" s="17" t="str">
        <f aca="false">IF((E83="y"),H83," ")</f>
        <v> </v>
      </c>
      <c r="AH83" s="17" t="str">
        <f aca="false">IF((E83="z"),H83," ")</f>
        <v> </v>
      </c>
      <c r="AI83" s="17" t="str">
        <f aca="false">IF((E83="fa"),H83," ")</f>
        <v> </v>
      </c>
      <c r="AJ83" s="17" t="str">
        <f aca="false">IF((E83="e"),H83," ")</f>
        <v> </v>
      </c>
    </row>
    <row r="84" customFormat="false" ht="12" hidden="false" customHeight="false" outlineLevel="0" collapsed="false">
      <c r="A84" s="28"/>
      <c r="E84" s="2" t="str">
        <f aca="false">IF((F84&lt;&gt;0),"Enter Letter"," ")</f>
        <v> </v>
      </c>
      <c r="F84" s="30"/>
      <c r="G84" s="6" t="str">
        <f aca="false">IF(F84&lt;&gt;0,F84*G$2/(100+G$2)," ")</f>
        <v> </v>
      </c>
      <c r="H84" s="6" t="str">
        <f aca="false">IF((F84&lt;&gt;0),F84-G84," ")</f>
        <v> </v>
      </c>
      <c r="I84" s="5"/>
      <c r="L84" s="7" t="str">
        <f aca="false">IF(F84&lt;&gt;0,F84-K84," ")</f>
        <v> </v>
      </c>
      <c r="M84" s="8" t="str">
        <f aca="false">IF((F84-K84)&lt;&gt;0,M$1-A84," ")</f>
        <v> </v>
      </c>
      <c r="N84" s="5"/>
      <c r="O84" s="17" t="str">
        <f aca="false">IF((E84="s"),H84," ")</f>
        <v> </v>
      </c>
      <c r="P84" s="17" t="str">
        <f aca="false">IF((E84="c"),H84," ")</f>
        <v> </v>
      </c>
      <c r="Q84" s="17" t="str">
        <f aca="false">IF((E84="o"),H84," ")</f>
        <v> </v>
      </c>
      <c r="R84" s="17" t="str">
        <f aca="false">IF((E84="d"),H84," ")</f>
        <v> </v>
      </c>
      <c r="S84" s="17" t="str">
        <f aca="false">IF((E84="w"),H84," ")</f>
        <v> </v>
      </c>
      <c r="T84" s="17" t="str">
        <f aca="false">IF((E84="r"),H84," ")</f>
        <v> </v>
      </c>
      <c r="U84" s="17" t="str">
        <f aca="false">IF((E84="p"),H84," ")</f>
        <v> </v>
      </c>
      <c r="V84" s="17" t="str">
        <f aca="false">IF((E84="t"),H84," ")</f>
        <v> </v>
      </c>
      <c r="W84" s="17" t="str">
        <f aca="false">IF((E84="q"),H84," ")</f>
        <v> </v>
      </c>
      <c r="X84" s="17" t="str">
        <f aca="false">IF((E84="m"),H84," ")</f>
        <v> </v>
      </c>
      <c r="Y84" s="17" t="str">
        <f aca="false">IF((E84="u"),H84," ")</f>
        <v> </v>
      </c>
      <c r="Z84" s="17" t="str">
        <f aca="false">IF((E84="a"),H84," ")</f>
        <v> </v>
      </c>
      <c r="AA84" s="17" t="str">
        <f aca="false">IF((E84="g"),H84," ")</f>
        <v> </v>
      </c>
      <c r="AB84" s="17" t="str">
        <f aca="false">IF((E84="h"),H84," ")</f>
        <v> </v>
      </c>
      <c r="AC84" s="30" t="str">
        <f aca="false">IF((E84="v"),H84," ")</f>
        <v> </v>
      </c>
      <c r="AD84" s="30" t="str">
        <f aca="false">IF((E84="n"),H84," ")</f>
        <v> </v>
      </c>
      <c r="AE84" s="17" t="str">
        <f aca="false">IF((E84="f"),H84," ")</f>
        <v> </v>
      </c>
      <c r="AF84" s="17" t="str">
        <f aca="false">IF((E84="l"),H84," ")</f>
        <v> </v>
      </c>
      <c r="AG84" s="17" t="str">
        <f aca="false">IF((E84="y"),H84," ")</f>
        <v> </v>
      </c>
      <c r="AH84" s="17" t="str">
        <f aca="false">IF((E84="z"),H84," ")</f>
        <v> </v>
      </c>
      <c r="AI84" s="17" t="str">
        <f aca="false">IF((E84="fa"),H84," ")</f>
        <v> </v>
      </c>
      <c r="AJ84" s="17" t="str">
        <f aca="false">IF((E84="e"),H84," ")</f>
        <v> </v>
      </c>
    </row>
    <row r="85" customFormat="false" ht="12" hidden="false" customHeight="false" outlineLevel="0" collapsed="false">
      <c r="A85" s="28"/>
      <c r="E85" s="2" t="str">
        <f aca="false">IF((F85&lt;&gt;0),"Enter Letter"," ")</f>
        <v> </v>
      </c>
      <c r="F85" s="30"/>
      <c r="G85" s="6" t="str">
        <f aca="false">IF(F85&lt;&gt;0,F85*G$2/(100+G$2)," ")</f>
        <v> </v>
      </c>
      <c r="H85" s="6" t="str">
        <f aca="false">IF((F85&lt;&gt;0),F85-G85," ")</f>
        <v> </v>
      </c>
      <c r="I85" s="5"/>
      <c r="L85" s="7" t="str">
        <f aca="false">IF(F85&lt;&gt;0,F85-K85," ")</f>
        <v> </v>
      </c>
      <c r="M85" s="8" t="str">
        <f aca="false">IF((F85-K85)&lt;&gt;0,M$1-A85," ")</f>
        <v> </v>
      </c>
      <c r="N85" s="5"/>
      <c r="O85" s="17" t="str">
        <f aca="false">IF((E85="s"),H85," ")</f>
        <v> </v>
      </c>
      <c r="P85" s="17" t="str">
        <f aca="false">IF((E85="c"),H85," ")</f>
        <v> </v>
      </c>
      <c r="Q85" s="17" t="str">
        <f aca="false">IF((E85="o"),H85," ")</f>
        <v> </v>
      </c>
      <c r="R85" s="17" t="str">
        <f aca="false">IF((E85="d"),H85," ")</f>
        <v> </v>
      </c>
      <c r="S85" s="17" t="str">
        <f aca="false">IF((E85="w"),H85," ")</f>
        <v> </v>
      </c>
      <c r="T85" s="17" t="str">
        <f aca="false">IF((E85="r"),H85," ")</f>
        <v> </v>
      </c>
      <c r="U85" s="17" t="str">
        <f aca="false">IF((E85="p"),H85," ")</f>
        <v> </v>
      </c>
      <c r="V85" s="17" t="str">
        <f aca="false">IF((E85="t"),H85," ")</f>
        <v> </v>
      </c>
      <c r="W85" s="17" t="str">
        <f aca="false">IF((E85="q"),H85," ")</f>
        <v> </v>
      </c>
      <c r="X85" s="17" t="str">
        <f aca="false">IF((E85="m"),H85," ")</f>
        <v> </v>
      </c>
      <c r="Y85" s="17" t="str">
        <f aca="false">IF((E85="u"),H85," ")</f>
        <v> </v>
      </c>
      <c r="Z85" s="17" t="str">
        <f aca="false">IF((E85="a"),H85," ")</f>
        <v> </v>
      </c>
      <c r="AA85" s="17" t="str">
        <f aca="false">IF((E85="g"),H85," ")</f>
        <v> </v>
      </c>
      <c r="AB85" s="17" t="str">
        <f aca="false">IF((E85="h"),H85," ")</f>
        <v> </v>
      </c>
      <c r="AC85" s="30" t="str">
        <f aca="false">IF((E85="v"),H85," ")</f>
        <v> </v>
      </c>
      <c r="AD85" s="30" t="str">
        <f aca="false">IF((E85="n"),H85," ")</f>
        <v> </v>
      </c>
      <c r="AE85" s="17" t="str">
        <f aca="false">IF((E85="f"),H85," ")</f>
        <v> </v>
      </c>
      <c r="AF85" s="17" t="str">
        <f aca="false">IF((E85="l"),H85," ")</f>
        <v> </v>
      </c>
      <c r="AG85" s="17" t="str">
        <f aca="false">IF((E85="y"),H85," ")</f>
        <v> </v>
      </c>
      <c r="AH85" s="17" t="str">
        <f aca="false">IF((E85="z"),H85," ")</f>
        <v> </v>
      </c>
      <c r="AI85" s="17" t="str">
        <f aca="false">IF((E85="fa"),H85," ")</f>
        <v> </v>
      </c>
      <c r="AJ85" s="17" t="str">
        <f aca="false">IF((E85="e"),H85," ")</f>
        <v> </v>
      </c>
    </row>
    <row r="86" customFormat="false" ht="12" hidden="false" customHeight="false" outlineLevel="0" collapsed="false">
      <c r="A86" s="28"/>
      <c r="E86" s="2" t="str">
        <f aca="false">IF((F86&lt;&gt;0),"Enter Letter"," ")</f>
        <v> </v>
      </c>
      <c r="F86" s="30"/>
      <c r="G86" s="6" t="str">
        <f aca="false">IF(F86&lt;&gt;0,F86*G$2/(100+G$2)," ")</f>
        <v> </v>
      </c>
      <c r="H86" s="6" t="str">
        <f aca="false">IF((F86&lt;&gt;0),F86-G86," ")</f>
        <v> </v>
      </c>
      <c r="I86" s="5"/>
      <c r="L86" s="7" t="str">
        <f aca="false">IF(F86&lt;&gt;0,F86-K86," ")</f>
        <v> </v>
      </c>
      <c r="M86" s="8" t="str">
        <f aca="false">IF((F86-K86)&lt;&gt;0,M$1-A86," ")</f>
        <v> </v>
      </c>
      <c r="N86" s="5"/>
      <c r="O86" s="17" t="str">
        <f aca="false">IF((E86="s"),H86," ")</f>
        <v> </v>
      </c>
      <c r="P86" s="17" t="str">
        <f aca="false">IF((E86="c"),H86," ")</f>
        <v> </v>
      </c>
      <c r="Q86" s="17" t="str">
        <f aca="false">IF((E86="o"),H86," ")</f>
        <v> </v>
      </c>
      <c r="R86" s="17" t="str">
        <f aca="false">IF((E86="d"),H86," ")</f>
        <v> </v>
      </c>
      <c r="S86" s="17" t="str">
        <f aca="false">IF((E86="w"),H86," ")</f>
        <v> </v>
      </c>
      <c r="T86" s="17" t="str">
        <f aca="false">IF((E86="r"),H86," ")</f>
        <v> </v>
      </c>
      <c r="U86" s="17" t="str">
        <f aca="false">IF((E86="p"),H86," ")</f>
        <v> </v>
      </c>
      <c r="V86" s="17" t="str">
        <f aca="false">IF((E86="t"),H86," ")</f>
        <v> </v>
      </c>
      <c r="W86" s="17" t="str">
        <f aca="false">IF((E86="q"),H86," ")</f>
        <v> </v>
      </c>
      <c r="X86" s="17" t="str">
        <f aca="false">IF((E86="m"),H86," ")</f>
        <v> </v>
      </c>
      <c r="Y86" s="17" t="str">
        <f aca="false">IF((E86="u"),H86," ")</f>
        <v> </v>
      </c>
      <c r="Z86" s="17" t="str">
        <f aca="false">IF((E86="a"),H86," ")</f>
        <v> </v>
      </c>
      <c r="AA86" s="17" t="str">
        <f aca="false">IF((E86="g"),H86," ")</f>
        <v> </v>
      </c>
      <c r="AB86" s="17" t="str">
        <f aca="false">IF((E86="h"),H86," ")</f>
        <v> </v>
      </c>
      <c r="AC86" s="30" t="str">
        <f aca="false">IF((E86="v"),H86," ")</f>
        <v> </v>
      </c>
      <c r="AD86" s="30" t="str">
        <f aca="false">IF((E86="n"),H86," ")</f>
        <v> </v>
      </c>
      <c r="AE86" s="17" t="str">
        <f aca="false">IF((E86="f"),H86," ")</f>
        <v> </v>
      </c>
      <c r="AF86" s="17" t="str">
        <f aca="false">IF((E86="l"),H86," ")</f>
        <v> </v>
      </c>
      <c r="AG86" s="17" t="str">
        <f aca="false">IF((E86="y"),H86," ")</f>
        <v> </v>
      </c>
      <c r="AH86" s="17" t="str">
        <f aca="false">IF((E86="z"),H86," ")</f>
        <v> </v>
      </c>
      <c r="AI86" s="17" t="str">
        <f aca="false">IF((E86="fa"),H86," ")</f>
        <v> </v>
      </c>
      <c r="AJ86" s="17" t="str">
        <f aca="false">IF((E86="e"),H86," ")</f>
        <v> </v>
      </c>
    </row>
    <row r="87" customFormat="false" ht="12" hidden="false" customHeight="false" outlineLevel="0" collapsed="false">
      <c r="A87" s="28"/>
      <c r="E87" s="2" t="str">
        <f aca="false">IF((F87&lt;&gt;0),"Enter Letter"," ")</f>
        <v> </v>
      </c>
      <c r="F87" s="30"/>
      <c r="G87" s="6" t="str">
        <f aca="false">IF(F87&lt;&gt;0,F87*G$2/(100+G$2)," ")</f>
        <v> </v>
      </c>
      <c r="H87" s="6" t="str">
        <f aca="false">IF((F87&lt;&gt;0),F87-G87," ")</f>
        <v> </v>
      </c>
      <c r="I87" s="5"/>
      <c r="L87" s="7" t="str">
        <f aca="false">IF(F87&lt;&gt;0,F87-K87," ")</f>
        <v> </v>
      </c>
      <c r="M87" s="8" t="str">
        <f aca="false">IF((F87-K87)&lt;&gt;0,M$1-A87," ")</f>
        <v> </v>
      </c>
      <c r="N87" s="5"/>
      <c r="O87" s="17" t="str">
        <f aca="false">IF((E87="s"),H87," ")</f>
        <v> </v>
      </c>
      <c r="P87" s="17" t="str">
        <f aca="false">IF((E87="c"),H87," ")</f>
        <v> </v>
      </c>
      <c r="Q87" s="17" t="str">
        <f aca="false">IF((E87="o"),H87," ")</f>
        <v> </v>
      </c>
      <c r="R87" s="17" t="str">
        <f aca="false">IF((E87="d"),H87," ")</f>
        <v> </v>
      </c>
      <c r="S87" s="17" t="str">
        <f aca="false">IF((E87="w"),H87," ")</f>
        <v> </v>
      </c>
      <c r="T87" s="17" t="str">
        <f aca="false">IF((E87="r"),H87," ")</f>
        <v> </v>
      </c>
      <c r="U87" s="17" t="str">
        <f aca="false">IF((E87="p"),H87," ")</f>
        <v> </v>
      </c>
      <c r="V87" s="17" t="str">
        <f aca="false">IF((E87="t"),H87," ")</f>
        <v> </v>
      </c>
      <c r="W87" s="17" t="str">
        <f aca="false">IF((E87="q"),H87," ")</f>
        <v> </v>
      </c>
      <c r="X87" s="17" t="str">
        <f aca="false">IF((E87="m"),H87," ")</f>
        <v> </v>
      </c>
      <c r="Y87" s="17" t="str">
        <f aca="false">IF((E87="u"),H87," ")</f>
        <v> </v>
      </c>
      <c r="Z87" s="17" t="str">
        <f aca="false">IF((E87="a"),H87," ")</f>
        <v> </v>
      </c>
      <c r="AA87" s="17" t="str">
        <f aca="false">IF((E87="g"),H87," ")</f>
        <v> </v>
      </c>
      <c r="AB87" s="17" t="str">
        <f aca="false">IF((E87="h"),H87," ")</f>
        <v> </v>
      </c>
      <c r="AC87" s="30" t="str">
        <f aca="false">IF((E87="v"),H87," ")</f>
        <v> </v>
      </c>
      <c r="AD87" s="30" t="str">
        <f aca="false">IF((E87="n"),H87," ")</f>
        <v> </v>
      </c>
      <c r="AE87" s="17" t="str">
        <f aca="false">IF((E87="f"),H87," ")</f>
        <v> </v>
      </c>
      <c r="AF87" s="17" t="str">
        <f aca="false">IF((E87="l"),H87," ")</f>
        <v> </v>
      </c>
      <c r="AG87" s="17" t="str">
        <f aca="false">IF((E87="y"),H87," ")</f>
        <v> </v>
      </c>
      <c r="AH87" s="17" t="str">
        <f aca="false">IF((E87="z"),H87," ")</f>
        <v> </v>
      </c>
      <c r="AI87" s="17" t="str">
        <f aca="false">IF((E87="fa"),H87," ")</f>
        <v> </v>
      </c>
      <c r="AJ87" s="17" t="str">
        <f aca="false">IF((E87="e"),H87," ")</f>
        <v> </v>
      </c>
    </row>
    <row r="88" customFormat="false" ht="12" hidden="false" customHeight="false" outlineLevel="0" collapsed="false">
      <c r="A88" s="28"/>
      <c r="E88" s="2" t="str">
        <f aca="false">IF((F88&lt;&gt;0),"Enter Letter"," ")</f>
        <v> </v>
      </c>
      <c r="F88" s="30"/>
      <c r="G88" s="6" t="str">
        <f aca="false">IF(F88&lt;&gt;0,F88*G$2/(100+G$2)," ")</f>
        <v> </v>
      </c>
      <c r="H88" s="6" t="str">
        <f aca="false">IF((F88&lt;&gt;0),F88-G88," ")</f>
        <v> </v>
      </c>
      <c r="I88" s="5"/>
      <c r="L88" s="7" t="str">
        <f aca="false">IF(F88&lt;&gt;0,F88-K88," ")</f>
        <v> </v>
      </c>
      <c r="M88" s="8" t="str">
        <f aca="false">IF((F88-K88)&lt;&gt;0,M$1-A88," ")</f>
        <v> </v>
      </c>
      <c r="N88" s="5"/>
      <c r="O88" s="17" t="str">
        <f aca="false">IF((E88="s"),H88," ")</f>
        <v> </v>
      </c>
      <c r="P88" s="17" t="str">
        <f aca="false">IF((E88="c"),H88," ")</f>
        <v> </v>
      </c>
      <c r="Q88" s="17" t="str">
        <f aca="false">IF((E88="o"),H88," ")</f>
        <v> </v>
      </c>
      <c r="R88" s="17" t="str">
        <f aca="false">IF((E88="d"),H88," ")</f>
        <v> </v>
      </c>
      <c r="S88" s="17" t="str">
        <f aca="false">IF((E88="w"),H88," ")</f>
        <v> </v>
      </c>
      <c r="T88" s="17" t="str">
        <f aca="false">IF((E88="r"),H88," ")</f>
        <v> </v>
      </c>
      <c r="U88" s="17" t="str">
        <f aca="false">IF((E88="p"),H88," ")</f>
        <v> </v>
      </c>
      <c r="V88" s="17" t="str">
        <f aca="false">IF((E88="t"),H88," ")</f>
        <v> </v>
      </c>
      <c r="W88" s="17" t="str">
        <f aca="false">IF((E88="q"),H88," ")</f>
        <v> </v>
      </c>
      <c r="X88" s="17" t="str">
        <f aca="false">IF((E88="m"),H88," ")</f>
        <v> </v>
      </c>
      <c r="Y88" s="17" t="str">
        <f aca="false">IF((E88="u"),H88," ")</f>
        <v> </v>
      </c>
      <c r="Z88" s="17" t="str">
        <f aca="false">IF((E88="a"),H88," ")</f>
        <v> </v>
      </c>
      <c r="AA88" s="17" t="str">
        <f aca="false">IF((E88="g"),H88," ")</f>
        <v> </v>
      </c>
      <c r="AB88" s="17" t="str">
        <f aca="false">IF((E88="h"),H88," ")</f>
        <v> </v>
      </c>
      <c r="AC88" s="30" t="str">
        <f aca="false">IF((E88="v"),H88," ")</f>
        <v> </v>
      </c>
      <c r="AD88" s="30" t="str">
        <f aca="false">IF((E88="n"),H88," ")</f>
        <v> </v>
      </c>
      <c r="AE88" s="17" t="str">
        <f aca="false">IF((E88="f"),H88," ")</f>
        <v> </v>
      </c>
      <c r="AF88" s="17" t="str">
        <f aca="false">IF((E88="l"),H88," ")</f>
        <v> </v>
      </c>
      <c r="AG88" s="17" t="str">
        <f aca="false">IF((E88="y"),H88," ")</f>
        <v> </v>
      </c>
      <c r="AH88" s="17" t="str">
        <f aca="false">IF((E88="z"),H88," ")</f>
        <v> </v>
      </c>
      <c r="AI88" s="17" t="str">
        <f aca="false">IF((E88="fa"),H88," ")</f>
        <v> </v>
      </c>
      <c r="AJ88" s="17" t="str">
        <f aca="false">IF((E88="e"),H88," ")</f>
        <v> </v>
      </c>
    </row>
    <row r="89" customFormat="false" ht="12" hidden="false" customHeight="false" outlineLevel="0" collapsed="false">
      <c r="A89" s="28"/>
      <c r="E89" s="2" t="str">
        <f aca="false">IF((F89&lt;&gt;0),"Enter Letter"," ")</f>
        <v> </v>
      </c>
      <c r="F89" s="30"/>
      <c r="G89" s="6" t="str">
        <f aca="false">IF(F89&lt;&gt;0,F89*G$2/(100+G$2)," ")</f>
        <v> </v>
      </c>
      <c r="H89" s="6" t="str">
        <f aca="false">IF((F89&lt;&gt;0),F89-G89," ")</f>
        <v> </v>
      </c>
      <c r="I89" s="5"/>
      <c r="L89" s="7" t="str">
        <f aca="false">IF(F89&lt;&gt;0,F89-K89," ")</f>
        <v> </v>
      </c>
      <c r="M89" s="8" t="str">
        <f aca="false">IF((F89-K89)&lt;&gt;0,M$1-A89," ")</f>
        <v> </v>
      </c>
      <c r="N89" s="5"/>
      <c r="O89" s="17" t="str">
        <f aca="false">IF((E89="s"),H89," ")</f>
        <v> </v>
      </c>
      <c r="P89" s="17" t="str">
        <f aca="false">IF((E89="c"),H89," ")</f>
        <v> </v>
      </c>
      <c r="Q89" s="17" t="str">
        <f aca="false">IF((E89="o"),H89," ")</f>
        <v> </v>
      </c>
      <c r="R89" s="17" t="str">
        <f aca="false">IF((E89="d"),H89," ")</f>
        <v> </v>
      </c>
      <c r="S89" s="17" t="str">
        <f aca="false">IF((E89="w"),H89," ")</f>
        <v> </v>
      </c>
      <c r="T89" s="17" t="str">
        <f aca="false">IF((E89="r"),H89," ")</f>
        <v> </v>
      </c>
      <c r="U89" s="17" t="str">
        <f aca="false">IF((E89="p"),H89," ")</f>
        <v> </v>
      </c>
      <c r="V89" s="17" t="str">
        <f aca="false">IF((E89="t"),H89," ")</f>
        <v> </v>
      </c>
      <c r="W89" s="17" t="str">
        <f aca="false">IF((E89="q"),H89," ")</f>
        <v> </v>
      </c>
      <c r="X89" s="17" t="str">
        <f aca="false">IF((E89="m"),H89," ")</f>
        <v> </v>
      </c>
      <c r="Y89" s="17" t="str">
        <f aca="false">IF((E89="u"),H89," ")</f>
        <v> </v>
      </c>
      <c r="Z89" s="17" t="str">
        <f aca="false">IF((E89="a"),H89," ")</f>
        <v> </v>
      </c>
      <c r="AA89" s="17" t="str">
        <f aca="false">IF((E89="g"),H89," ")</f>
        <v> </v>
      </c>
      <c r="AB89" s="17" t="str">
        <f aca="false">IF((E89="h"),H89," ")</f>
        <v> </v>
      </c>
      <c r="AC89" s="30" t="str">
        <f aca="false">IF((E89="v"),H89," ")</f>
        <v> </v>
      </c>
      <c r="AD89" s="30" t="str">
        <f aca="false">IF((E89="n"),H89," ")</f>
        <v> </v>
      </c>
      <c r="AE89" s="17" t="str">
        <f aca="false">IF((E89="f"),H89," ")</f>
        <v> </v>
      </c>
      <c r="AF89" s="17" t="str">
        <f aca="false">IF((E89="l"),H89," ")</f>
        <v> </v>
      </c>
      <c r="AG89" s="17" t="str">
        <f aca="false">IF((E89="y"),H89," ")</f>
        <v> </v>
      </c>
      <c r="AH89" s="17" t="str">
        <f aca="false">IF((E89="z"),H89," ")</f>
        <v> </v>
      </c>
      <c r="AI89" s="17" t="str">
        <f aca="false">IF((E89="fa"),H89," ")</f>
        <v> </v>
      </c>
      <c r="AJ89" s="17" t="str">
        <f aca="false">IF((E89="e"),H89," ")</f>
        <v> </v>
      </c>
    </row>
    <row r="90" customFormat="false" ht="12" hidden="false" customHeight="false" outlineLevel="0" collapsed="false">
      <c r="A90" s="28"/>
      <c r="E90" s="2" t="str">
        <f aca="false">IF((F90&lt;&gt;0),"Enter Letter"," ")</f>
        <v> </v>
      </c>
      <c r="F90" s="30"/>
      <c r="G90" s="6" t="str">
        <f aca="false">IF(F90&lt;&gt;0,F90*G$2/(100+G$2)," ")</f>
        <v> </v>
      </c>
      <c r="H90" s="6" t="str">
        <f aca="false">IF((F90&lt;&gt;0),F90-G90," ")</f>
        <v> </v>
      </c>
      <c r="I90" s="5"/>
      <c r="L90" s="7" t="str">
        <f aca="false">IF(F90&lt;&gt;0,F90-K90," ")</f>
        <v> </v>
      </c>
      <c r="M90" s="8" t="str">
        <f aca="false">IF((F90-K90)&lt;&gt;0,M$1-A90," ")</f>
        <v> </v>
      </c>
      <c r="N90" s="5"/>
      <c r="O90" s="17" t="str">
        <f aca="false">IF((E90="s"),H90," ")</f>
        <v> </v>
      </c>
      <c r="P90" s="17" t="str">
        <f aca="false">IF((E90="c"),H90," ")</f>
        <v> </v>
      </c>
      <c r="Q90" s="17" t="str">
        <f aca="false">IF((E90="o"),H90," ")</f>
        <v> </v>
      </c>
      <c r="R90" s="17" t="str">
        <f aca="false">IF((E90="d"),H90," ")</f>
        <v> </v>
      </c>
      <c r="S90" s="17" t="str">
        <f aca="false">IF((E90="w"),H90," ")</f>
        <v> </v>
      </c>
      <c r="T90" s="17" t="str">
        <f aca="false">IF((E90="r"),H90," ")</f>
        <v> </v>
      </c>
      <c r="U90" s="17" t="str">
        <f aca="false">IF((E90="p"),H90," ")</f>
        <v> </v>
      </c>
      <c r="V90" s="17" t="str">
        <f aca="false">IF((E90="t"),H90," ")</f>
        <v> </v>
      </c>
      <c r="W90" s="17" t="str">
        <f aca="false">IF((E90="q"),H90," ")</f>
        <v> </v>
      </c>
      <c r="X90" s="17" t="str">
        <f aca="false">IF((E90="m"),H90," ")</f>
        <v> </v>
      </c>
      <c r="Y90" s="17" t="str">
        <f aca="false">IF((E90="u"),H90," ")</f>
        <v> </v>
      </c>
      <c r="Z90" s="17" t="str">
        <f aca="false">IF((E90="a"),H90," ")</f>
        <v> </v>
      </c>
      <c r="AA90" s="17" t="str">
        <f aca="false">IF((E90="g"),H90," ")</f>
        <v> </v>
      </c>
      <c r="AB90" s="17" t="str">
        <f aca="false">IF((E90="h"),H90," ")</f>
        <v> </v>
      </c>
      <c r="AC90" s="30" t="str">
        <f aca="false">IF((E90="v"),H90," ")</f>
        <v> </v>
      </c>
      <c r="AD90" s="30" t="str">
        <f aca="false">IF((E90="n"),H90," ")</f>
        <v> </v>
      </c>
      <c r="AE90" s="17" t="str">
        <f aca="false">IF((E90="f"),H90," ")</f>
        <v> </v>
      </c>
      <c r="AF90" s="17" t="str">
        <f aca="false">IF((E90="l"),H90," ")</f>
        <v> </v>
      </c>
      <c r="AG90" s="17" t="str">
        <f aca="false">IF((E90="y"),H90," ")</f>
        <v> </v>
      </c>
      <c r="AH90" s="17" t="str">
        <f aca="false">IF((E90="z"),H90," ")</f>
        <v> </v>
      </c>
      <c r="AI90" s="17" t="str">
        <f aca="false">IF((E90="fa"),H90," ")</f>
        <v> </v>
      </c>
      <c r="AJ90" s="17" t="str">
        <f aca="false">IF((E90="e"),H90," ")</f>
        <v> </v>
      </c>
    </row>
    <row r="91" customFormat="false" ht="12" hidden="false" customHeight="false" outlineLevel="0" collapsed="false">
      <c r="A91" s="28"/>
      <c r="E91" s="2" t="str">
        <f aca="false">IF((F91&lt;&gt;0),"Enter Letter"," ")</f>
        <v> </v>
      </c>
      <c r="F91" s="30"/>
      <c r="G91" s="6" t="str">
        <f aca="false">IF(F91&lt;&gt;0,F91*G$2/(100+G$2)," ")</f>
        <v> </v>
      </c>
      <c r="H91" s="6" t="str">
        <f aca="false">IF((F91&lt;&gt;0),F91-G91," ")</f>
        <v> </v>
      </c>
      <c r="I91" s="5"/>
      <c r="L91" s="7" t="str">
        <f aca="false">IF(F91&lt;&gt;0,F91-K91," ")</f>
        <v> </v>
      </c>
      <c r="M91" s="8" t="str">
        <f aca="false">IF((F91-K91)&lt;&gt;0,M$1-A91," ")</f>
        <v> </v>
      </c>
      <c r="N91" s="5"/>
      <c r="O91" s="17" t="str">
        <f aca="false">IF((E91="s"),H91," ")</f>
        <v> </v>
      </c>
      <c r="P91" s="17" t="str">
        <f aca="false">IF((E91="c"),H91," ")</f>
        <v> </v>
      </c>
      <c r="Q91" s="17" t="str">
        <f aca="false">IF((E91="o"),H91," ")</f>
        <v> </v>
      </c>
      <c r="R91" s="17" t="str">
        <f aca="false">IF((E91="d"),H91," ")</f>
        <v> </v>
      </c>
      <c r="S91" s="17" t="str">
        <f aca="false">IF((E91="w"),H91," ")</f>
        <v> </v>
      </c>
      <c r="T91" s="17" t="str">
        <f aca="false">IF((E91="r"),H91," ")</f>
        <v> </v>
      </c>
      <c r="U91" s="17" t="str">
        <f aca="false">IF((E91="p"),H91," ")</f>
        <v> </v>
      </c>
      <c r="V91" s="17" t="str">
        <f aca="false">IF((E91="t"),H91," ")</f>
        <v> </v>
      </c>
      <c r="W91" s="17" t="str">
        <f aca="false">IF((E91="q"),H91," ")</f>
        <v> </v>
      </c>
      <c r="X91" s="17" t="str">
        <f aca="false">IF((E91="m"),H91," ")</f>
        <v> </v>
      </c>
      <c r="Y91" s="17" t="str">
        <f aca="false">IF((E91="u"),H91," ")</f>
        <v> </v>
      </c>
      <c r="Z91" s="17" t="str">
        <f aca="false">IF((E91="a"),H91," ")</f>
        <v> </v>
      </c>
      <c r="AA91" s="17" t="str">
        <f aca="false">IF((E91="g"),H91," ")</f>
        <v> </v>
      </c>
      <c r="AB91" s="17" t="str">
        <f aca="false">IF((E91="h"),H91," ")</f>
        <v> </v>
      </c>
      <c r="AC91" s="30" t="str">
        <f aca="false">IF((E91="v"),H91," ")</f>
        <v> </v>
      </c>
      <c r="AD91" s="30" t="str">
        <f aca="false">IF((E91="n"),H91," ")</f>
        <v> </v>
      </c>
      <c r="AE91" s="17" t="str">
        <f aca="false">IF((E91="f"),H91," ")</f>
        <v> </v>
      </c>
      <c r="AF91" s="17" t="str">
        <f aca="false">IF((E91="l"),H91," ")</f>
        <v> </v>
      </c>
      <c r="AG91" s="17" t="str">
        <f aca="false">IF((E91="y"),H91," ")</f>
        <v> </v>
      </c>
      <c r="AH91" s="17" t="str">
        <f aca="false">IF((E91="z"),H91," ")</f>
        <v> </v>
      </c>
      <c r="AI91" s="17" t="str">
        <f aca="false">IF((E91="fa"),H91," ")</f>
        <v> </v>
      </c>
      <c r="AJ91" s="17" t="str">
        <f aca="false">IF((E91="e"),H91," ")</f>
        <v> </v>
      </c>
    </row>
    <row r="92" customFormat="false" ht="12" hidden="false" customHeight="false" outlineLevel="0" collapsed="false">
      <c r="A92" s="28"/>
      <c r="E92" s="2" t="str">
        <f aca="false">IF((F92&lt;&gt;0),"Enter Letter"," ")</f>
        <v> </v>
      </c>
      <c r="F92" s="30"/>
      <c r="G92" s="6" t="str">
        <f aca="false">IF(F92&lt;&gt;0,F92*G$2/(100+G$2)," ")</f>
        <v> </v>
      </c>
      <c r="H92" s="6" t="str">
        <f aca="false">IF((F92&lt;&gt;0),F92-G92," ")</f>
        <v> </v>
      </c>
      <c r="I92" s="5"/>
      <c r="L92" s="7" t="str">
        <f aca="false">IF(F92&lt;&gt;0,F92-K92," ")</f>
        <v> </v>
      </c>
      <c r="M92" s="8" t="str">
        <f aca="false">IF((F92-K92)&lt;&gt;0,M$1-A92," ")</f>
        <v> </v>
      </c>
      <c r="N92" s="5"/>
      <c r="O92" s="17" t="str">
        <f aca="false">IF((E92="s"),H92," ")</f>
        <v> </v>
      </c>
      <c r="P92" s="17" t="str">
        <f aca="false">IF((E92="c"),H92," ")</f>
        <v> </v>
      </c>
      <c r="Q92" s="17" t="str">
        <f aca="false">IF((E92="o"),H92," ")</f>
        <v> </v>
      </c>
      <c r="R92" s="17" t="str">
        <f aca="false">IF((E92="d"),H92," ")</f>
        <v> </v>
      </c>
      <c r="S92" s="17" t="str">
        <f aca="false">IF((E92="w"),H92," ")</f>
        <v> </v>
      </c>
      <c r="T92" s="17" t="str">
        <f aca="false">IF((E92="r"),H92," ")</f>
        <v> </v>
      </c>
      <c r="U92" s="17" t="str">
        <f aca="false">IF((E92="p"),H92," ")</f>
        <v> </v>
      </c>
      <c r="V92" s="17" t="str">
        <f aca="false">IF((E92="t"),H92," ")</f>
        <v> </v>
      </c>
      <c r="W92" s="17" t="str">
        <f aca="false">IF((E92="q"),H92," ")</f>
        <v> </v>
      </c>
      <c r="X92" s="17" t="str">
        <f aca="false">IF((E92="m"),H92," ")</f>
        <v> </v>
      </c>
      <c r="Y92" s="17" t="str">
        <f aca="false">IF((E92="u"),H92," ")</f>
        <v> </v>
      </c>
      <c r="Z92" s="17" t="str">
        <f aca="false">IF((E92="a"),H92," ")</f>
        <v> </v>
      </c>
      <c r="AA92" s="17" t="str">
        <f aca="false">IF((E92="g"),H92," ")</f>
        <v> </v>
      </c>
      <c r="AB92" s="17" t="str">
        <f aca="false">IF((E92="h"),H92," ")</f>
        <v> </v>
      </c>
      <c r="AC92" s="30" t="str">
        <f aca="false">IF((E92="v"),H92," ")</f>
        <v> </v>
      </c>
      <c r="AD92" s="30" t="str">
        <f aca="false">IF((E92="n"),H92," ")</f>
        <v> </v>
      </c>
      <c r="AE92" s="17" t="str">
        <f aca="false">IF((E92="f"),H92," ")</f>
        <v> </v>
      </c>
      <c r="AF92" s="17" t="str">
        <f aca="false">IF((E92="l"),H92," ")</f>
        <v> </v>
      </c>
      <c r="AG92" s="17" t="str">
        <f aca="false">IF((E92="y"),H92," ")</f>
        <v> </v>
      </c>
      <c r="AH92" s="17" t="str">
        <f aca="false">IF((E92="z"),H92," ")</f>
        <v> </v>
      </c>
      <c r="AI92" s="17" t="str">
        <f aca="false">IF((E92="fa"),H92," ")</f>
        <v> </v>
      </c>
      <c r="AJ92" s="17" t="str">
        <f aca="false">IF((E92="e"),H92," ")</f>
        <v> </v>
      </c>
    </row>
    <row r="93" customFormat="false" ht="12" hidden="false" customHeight="false" outlineLevel="0" collapsed="false">
      <c r="A93" s="28"/>
      <c r="E93" s="2" t="str">
        <f aca="false">IF((F93&lt;&gt;0),"Enter Letter"," ")</f>
        <v> </v>
      </c>
      <c r="F93" s="30"/>
      <c r="G93" s="6" t="str">
        <f aca="false">IF(F93&lt;&gt;0,F93*G$2/(100+G$2)," ")</f>
        <v> </v>
      </c>
      <c r="H93" s="6" t="str">
        <f aca="false">IF((F93&lt;&gt;0),F93-G93," ")</f>
        <v> </v>
      </c>
      <c r="I93" s="5"/>
      <c r="L93" s="7" t="str">
        <f aca="false">IF(F93&lt;&gt;0,F93-K93," ")</f>
        <v> </v>
      </c>
      <c r="M93" s="8" t="str">
        <f aca="false">IF((F93-K93)&lt;&gt;0,M$1-A93," ")</f>
        <v> </v>
      </c>
      <c r="N93" s="5"/>
      <c r="O93" s="17" t="str">
        <f aca="false">IF((E93="s"),H93," ")</f>
        <v> </v>
      </c>
      <c r="P93" s="17" t="str">
        <f aca="false">IF((E93="c"),H93," ")</f>
        <v> </v>
      </c>
      <c r="Q93" s="17" t="str">
        <f aca="false">IF((E93="o"),H93," ")</f>
        <v> </v>
      </c>
      <c r="R93" s="17" t="str">
        <f aca="false">IF((E93="d"),H93," ")</f>
        <v> </v>
      </c>
      <c r="S93" s="17" t="str">
        <f aca="false">IF((E93="w"),H93," ")</f>
        <v> </v>
      </c>
      <c r="T93" s="17" t="str">
        <f aca="false">IF((E93="r"),H93," ")</f>
        <v> </v>
      </c>
      <c r="U93" s="17" t="str">
        <f aca="false">IF((E93="p"),H93," ")</f>
        <v> </v>
      </c>
      <c r="V93" s="17" t="str">
        <f aca="false">IF((E93="t"),H93," ")</f>
        <v> </v>
      </c>
      <c r="W93" s="17" t="str">
        <f aca="false">IF((E93="q"),H93," ")</f>
        <v> </v>
      </c>
      <c r="X93" s="17" t="str">
        <f aca="false">IF((E93="m"),H93," ")</f>
        <v> </v>
      </c>
      <c r="Y93" s="17" t="str">
        <f aca="false">IF((E93="u"),H93," ")</f>
        <v> </v>
      </c>
      <c r="Z93" s="17" t="str">
        <f aca="false">IF((E93="a"),H93," ")</f>
        <v> </v>
      </c>
      <c r="AA93" s="17" t="str">
        <f aca="false">IF((E93="g"),H93," ")</f>
        <v> </v>
      </c>
      <c r="AB93" s="17" t="str">
        <f aca="false">IF((E93="h"),H93," ")</f>
        <v> </v>
      </c>
      <c r="AC93" s="30" t="str">
        <f aca="false">IF((E93="v"),H93," ")</f>
        <v> </v>
      </c>
      <c r="AD93" s="30" t="str">
        <f aca="false">IF((E93="n"),H93," ")</f>
        <v> </v>
      </c>
      <c r="AE93" s="17" t="str">
        <f aca="false">IF((E93="f"),H93," ")</f>
        <v> </v>
      </c>
      <c r="AF93" s="17" t="str">
        <f aca="false">IF((E93="l"),H93," ")</f>
        <v> </v>
      </c>
      <c r="AG93" s="17" t="str">
        <f aca="false">IF((E93="y"),H93," ")</f>
        <v> </v>
      </c>
      <c r="AH93" s="17" t="str">
        <f aca="false">IF((E93="z"),H93," ")</f>
        <v> </v>
      </c>
      <c r="AI93" s="17" t="str">
        <f aca="false">IF((E93="fa"),H93," ")</f>
        <v> </v>
      </c>
      <c r="AJ93" s="17" t="str">
        <f aca="false">IF((E93="e"),H93," ")</f>
        <v> </v>
      </c>
    </row>
    <row r="94" customFormat="false" ht="12" hidden="false" customHeight="false" outlineLevel="0" collapsed="false">
      <c r="A94" s="28"/>
      <c r="E94" s="2" t="str">
        <f aca="false">IF((F94&lt;&gt;0),"Enter Letter"," ")</f>
        <v> </v>
      </c>
      <c r="F94" s="30"/>
      <c r="G94" s="6" t="str">
        <f aca="false">IF(F94&lt;&gt;0,F94*G$2/(100+G$2)," ")</f>
        <v> </v>
      </c>
      <c r="H94" s="6" t="str">
        <f aca="false">IF((F94&lt;&gt;0),F94-G94," ")</f>
        <v> </v>
      </c>
      <c r="I94" s="5"/>
      <c r="L94" s="7" t="str">
        <f aca="false">IF(F94&lt;&gt;0,F94-K94," ")</f>
        <v> </v>
      </c>
      <c r="M94" s="8" t="str">
        <f aca="false">IF((F94-K94)&lt;&gt;0,M$1-A94," ")</f>
        <v> </v>
      </c>
      <c r="N94" s="5"/>
      <c r="O94" s="17" t="str">
        <f aca="false">IF((E94="s"),H94," ")</f>
        <v> </v>
      </c>
      <c r="P94" s="17" t="str">
        <f aca="false">IF((E94="c"),H94," ")</f>
        <v> </v>
      </c>
      <c r="Q94" s="17" t="str">
        <f aca="false">IF((E94="o"),H94," ")</f>
        <v> </v>
      </c>
      <c r="R94" s="17" t="str">
        <f aca="false">IF((E94="d"),H94," ")</f>
        <v> </v>
      </c>
      <c r="S94" s="17" t="str">
        <f aca="false">IF((E94="w"),H94," ")</f>
        <v> </v>
      </c>
      <c r="T94" s="17" t="str">
        <f aca="false">IF((E94="r"),H94," ")</f>
        <v> </v>
      </c>
      <c r="U94" s="17" t="str">
        <f aca="false">IF((E94="p"),H94," ")</f>
        <v> </v>
      </c>
      <c r="V94" s="17" t="str">
        <f aca="false">IF((E94="t"),H94," ")</f>
        <v> </v>
      </c>
      <c r="W94" s="17" t="str">
        <f aca="false">IF((E94="q"),H94," ")</f>
        <v> </v>
      </c>
      <c r="X94" s="17" t="str">
        <f aca="false">IF((E94="m"),H94," ")</f>
        <v> </v>
      </c>
      <c r="Y94" s="17" t="str">
        <f aca="false">IF((E94="u"),H94," ")</f>
        <v> </v>
      </c>
      <c r="Z94" s="17" t="str">
        <f aca="false">IF((E94="a"),H94," ")</f>
        <v> </v>
      </c>
      <c r="AA94" s="17" t="str">
        <f aca="false">IF((E94="g"),H94," ")</f>
        <v> </v>
      </c>
      <c r="AB94" s="17" t="str">
        <f aca="false">IF((E94="h"),H94," ")</f>
        <v> </v>
      </c>
      <c r="AC94" s="30" t="str">
        <f aca="false">IF((E94="v"),H94," ")</f>
        <v> </v>
      </c>
      <c r="AD94" s="30" t="str">
        <f aca="false">IF((E94="n"),H94," ")</f>
        <v> </v>
      </c>
      <c r="AE94" s="17" t="str">
        <f aca="false">IF((E94="f"),H94," ")</f>
        <v> </v>
      </c>
      <c r="AF94" s="17" t="str">
        <f aca="false">IF((E94="l"),H94," ")</f>
        <v> </v>
      </c>
      <c r="AG94" s="17" t="str">
        <f aca="false">IF((E94="y"),H94," ")</f>
        <v> </v>
      </c>
      <c r="AH94" s="17" t="str">
        <f aca="false">IF((E94="z"),H94," ")</f>
        <v> </v>
      </c>
      <c r="AI94" s="17" t="str">
        <f aca="false">IF((E94="fa"),H94," ")</f>
        <v> </v>
      </c>
      <c r="AJ94" s="17" t="str">
        <f aca="false">IF((E94="e"),H94," ")</f>
        <v> </v>
      </c>
    </row>
    <row r="95" customFormat="false" ht="12" hidden="false" customHeight="false" outlineLevel="0" collapsed="false">
      <c r="A95" s="28"/>
      <c r="E95" s="2" t="str">
        <f aca="false">IF((F95&lt;&gt;0),"Enter Letter"," ")</f>
        <v> </v>
      </c>
      <c r="F95" s="30"/>
      <c r="G95" s="6" t="str">
        <f aca="false">IF(F95&lt;&gt;0,F95*G$2/(100+G$2)," ")</f>
        <v> </v>
      </c>
      <c r="H95" s="6" t="str">
        <f aca="false">IF((F95&lt;&gt;0),F95-G95," ")</f>
        <v> </v>
      </c>
      <c r="I95" s="5"/>
      <c r="L95" s="7" t="str">
        <f aca="false">IF(F95&lt;&gt;0,F95-K95," ")</f>
        <v> </v>
      </c>
      <c r="M95" s="8" t="str">
        <f aca="false">IF((F95-K95)&lt;&gt;0,M$1-A95," ")</f>
        <v> </v>
      </c>
      <c r="N95" s="5"/>
      <c r="O95" s="17" t="str">
        <f aca="false">IF((E95="s"),H95," ")</f>
        <v> </v>
      </c>
      <c r="P95" s="17" t="str">
        <f aca="false">IF((E95="c"),H95," ")</f>
        <v> </v>
      </c>
      <c r="Q95" s="17" t="str">
        <f aca="false">IF((E95="o"),H95," ")</f>
        <v> </v>
      </c>
      <c r="R95" s="17" t="str">
        <f aca="false">IF((E95="d"),H95," ")</f>
        <v> </v>
      </c>
      <c r="S95" s="17" t="str">
        <f aca="false">IF((E95="w"),H95," ")</f>
        <v> </v>
      </c>
      <c r="T95" s="17" t="str">
        <f aca="false">IF((E95="r"),H95," ")</f>
        <v> </v>
      </c>
      <c r="U95" s="17" t="str">
        <f aca="false">IF((E95="p"),H95," ")</f>
        <v> </v>
      </c>
      <c r="V95" s="17" t="str">
        <f aca="false">IF((E95="t"),H95," ")</f>
        <v> </v>
      </c>
      <c r="W95" s="17" t="str">
        <f aca="false">IF((E95="q"),H95," ")</f>
        <v> </v>
      </c>
      <c r="X95" s="17" t="str">
        <f aca="false">IF((E95="m"),H95," ")</f>
        <v> </v>
      </c>
      <c r="Y95" s="17" t="str">
        <f aca="false">IF((E95="u"),H95," ")</f>
        <v> </v>
      </c>
      <c r="Z95" s="17" t="str">
        <f aca="false">IF((E95="a"),H95," ")</f>
        <v> </v>
      </c>
      <c r="AA95" s="17" t="str">
        <f aca="false">IF((E95="g"),H95," ")</f>
        <v> </v>
      </c>
      <c r="AB95" s="17" t="str">
        <f aca="false">IF((E95="h"),H95," ")</f>
        <v> </v>
      </c>
      <c r="AC95" s="30" t="str">
        <f aca="false">IF((E95="v"),H95," ")</f>
        <v> </v>
      </c>
      <c r="AD95" s="30" t="str">
        <f aca="false">IF((E95="n"),H95," ")</f>
        <v> </v>
      </c>
      <c r="AE95" s="17" t="str">
        <f aca="false">IF((E95="f"),H95," ")</f>
        <v> </v>
      </c>
      <c r="AF95" s="17" t="str">
        <f aca="false">IF((E95="l"),H95," ")</f>
        <v> </v>
      </c>
      <c r="AG95" s="17" t="str">
        <f aca="false">IF((E95="y"),H95," ")</f>
        <v> </v>
      </c>
      <c r="AH95" s="17" t="str">
        <f aca="false">IF((E95="z"),H95," ")</f>
        <v> </v>
      </c>
      <c r="AI95" s="17" t="str">
        <f aca="false">IF((E95="fa"),H95," ")</f>
        <v> </v>
      </c>
      <c r="AJ95" s="17" t="str">
        <f aca="false">IF((E95="e"),H95," ")</f>
        <v> </v>
      </c>
    </row>
    <row r="96" customFormat="false" ht="12" hidden="false" customHeight="false" outlineLevel="0" collapsed="false">
      <c r="A96" s="28"/>
      <c r="E96" s="2" t="str">
        <f aca="false">IF((F96&lt;&gt;0),"Enter Letter"," ")</f>
        <v> </v>
      </c>
      <c r="F96" s="30"/>
      <c r="G96" s="6" t="str">
        <f aca="false">IF(F96&lt;&gt;0,F96*G$2/(100+G$2)," ")</f>
        <v> </v>
      </c>
      <c r="H96" s="6" t="str">
        <f aca="false">IF((F96&lt;&gt;0),F96-G96," ")</f>
        <v> </v>
      </c>
      <c r="I96" s="5"/>
      <c r="L96" s="7" t="str">
        <f aca="false">IF(F96&lt;&gt;0,F96-K96," ")</f>
        <v> </v>
      </c>
      <c r="M96" s="8" t="str">
        <f aca="false">IF((F96-K96)&lt;&gt;0,M$1-A96," ")</f>
        <v> </v>
      </c>
      <c r="N96" s="5"/>
      <c r="O96" s="17" t="str">
        <f aca="false">IF((E96="s"),H96," ")</f>
        <v> </v>
      </c>
      <c r="P96" s="17" t="str">
        <f aca="false">IF((E96="c"),H96," ")</f>
        <v> </v>
      </c>
      <c r="Q96" s="17" t="str">
        <f aca="false">IF((E96="o"),H96," ")</f>
        <v> </v>
      </c>
      <c r="R96" s="17" t="str">
        <f aca="false">IF((E96="d"),H96," ")</f>
        <v> </v>
      </c>
      <c r="S96" s="17" t="str">
        <f aca="false">IF((E96="w"),H96," ")</f>
        <v> </v>
      </c>
      <c r="T96" s="17" t="str">
        <f aca="false">IF((E96="r"),H96," ")</f>
        <v> </v>
      </c>
      <c r="U96" s="17" t="str">
        <f aca="false">IF((E96="p"),H96," ")</f>
        <v> </v>
      </c>
      <c r="V96" s="17" t="str">
        <f aca="false">IF((E96="t"),H96," ")</f>
        <v> </v>
      </c>
      <c r="W96" s="17" t="str">
        <f aca="false">IF((E96="q"),H96," ")</f>
        <v> </v>
      </c>
      <c r="X96" s="17" t="str">
        <f aca="false">IF((E96="m"),H96," ")</f>
        <v> </v>
      </c>
      <c r="Y96" s="17" t="str">
        <f aca="false">IF((E96="u"),H96," ")</f>
        <v> </v>
      </c>
      <c r="Z96" s="17" t="str">
        <f aca="false">IF((E96="a"),H96," ")</f>
        <v> </v>
      </c>
      <c r="AA96" s="17" t="str">
        <f aca="false">IF((E96="g"),H96," ")</f>
        <v> </v>
      </c>
      <c r="AB96" s="17" t="str">
        <f aca="false">IF((E96="h"),H96," ")</f>
        <v> </v>
      </c>
      <c r="AC96" s="30" t="str">
        <f aca="false">IF((E96="v"),H96," ")</f>
        <v> </v>
      </c>
      <c r="AD96" s="30" t="str">
        <f aca="false">IF((E96="n"),H96," ")</f>
        <v> </v>
      </c>
      <c r="AE96" s="17" t="str">
        <f aca="false">IF((E96="f"),H96," ")</f>
        <v> </v>
      </c>
      <c r="AF96" s="17" t="str">
        <f aca="false">IF((E96="l"),H96," ")</f>
        <v> </v>
      </c>
      <c r="AG96" s="17" t="str">
        <f aca="false">IF((E96="y"),H96," ")</f>
        <v> </v>
      </c>
      <c r="AH96" s="17" t="str">
        <f aca="false">IF((E96="z"),H96," ")</f>
        <v> </v>
      </c>
      <c r="AI96" s="17" t="str">
        <f aca="false">IF((E96="fa"),H96," ")</f>
        <v> </v>
      </c>
      <c r="AJ96" s="17" t="str">
        <f aca="false">IF((E96="e"),H96," ")</f>
        <v> </v>
      </c>
    </row>
    <row r="97" customFormat="false" ht="12" hidden="false" customHeight="false" outlineLevel="0" collapsed="false">
      <c r="A97" s="28"/>
      <c r="E97" s="2" t="str">
        <f aca="false">IF((F97&lt;&gt;0),"Enter Letter"," ")</f>
        <v> </v>
      </c>
      <c r="F97" s="30"/>
      <c r="G97" s="6" t="str">
        <f aca="false">IF(F97&lt;&gt;0,F97*G$2/(100+G$2)," ")</f>
        <v> </v>
      </c>
      <c r="H97" s="6" t="str">
        <f aca="false">IF((F97&lt;&gt;0),F97-G97," ")</f>
        <v> </v>
      </c>
      <c r="I97" s="5"/>
      <c r="L97" s="7" t="str">
        <f aca="false">IF(F97&lt;&gt;0,F97-K97," ")</f>
        <v> </v>
      </c>
      <c r="M97" s="8" t="str">
        <f aca="false">IF((F97-K97)&lt;&gt;0,M$1-A97," ")</f>
        <v> </v>
      </c>
      <c r="N97" s="5"/>
      <c r="O97" s="17" t="str">
        <f aca="false">IF((E97="s"),H97," ")</f>
        <v> </v>
      </c>
      <c r="P97" s="17" t="str">
        <f aca="false">IF((E97="c"),H97," ")</f>
        <v> </v>
      </c>
      <c r="Q97" s="17" t="str">
        <f aca="false">IF((E97="o"),H97," ")</f>
        <v> </v>
      </c>
      <c r="R97" s="17" t="str">
        <f aca="false">IF((E97="d"),H97," ")</f>
        <v> </v>
      </c>
      <c r="S97" s="17" t="str">
        <f aca="false">IF((E97="w"),H97," ")</f>
        <v> </v>
      </c>
      <c r="T97" s="17" t="str">
        <f aca="false">IF((E97="r"),H97," ")</f>
        <v> </v>
      </c>
      <c r="U97" s="17" t="str">
        <f aca="false">IF((E97="p"),H97," ")</f>
        <v> </v>
      </c>
      <c r="V97" s="17" t="str">
        <f aca="false">IF((E97="t"),H97," ")</f>
        <v> </v>
      </c>
      <c r="W97" s="17" t="str">
        <f aca="false">IF((E97="q"),H97," ")</f>
        <v> </v>
      </c>
      <c r="X97" s="17" t="str">
        <f aca="false">IF((E97="m"),H97," ")</f>
        <v> </v>
      </c>
      <c r="Y97" s="17" t="str">
        <f aca="false">IF((E97="u"),H97," ")</f>
        <v> </v>
      </c>
      <c r="Z97" s="17" t="str">
        <f aca="false">IF((E97="a"),H97," ")</f>
        <v> </v>
      </c>
      <c r="AA97" s="17" t="str">
        <f aca="false">IF((E97="g"),H97," ")</f>
        <v> </v>
      </c>
      <c r="AB97" s="17" t="str">
        <f aca="false">IF((E97="h"),H97," ")</f>
        <v> </v>
      </c>
      <c r="AC97" s="30" t="str">
        <f aca="false">IF((E97="v"),H97," ")</f>
        <v> </v>
      </c>
      <c r="AD97" s="30" t="str">
        <f aca="false">IF((E97="n"),H97," ")</f>
        <v> </v>
      </c>
      <c r="AE97" s="17" t="str">
        <f aca="false">IF((E97="f"),H97," ")</f>
        <v> </v>
      </c>
      <c r="AF97" s="17" t="str">
        <f aca="false">IF((E97="l"),H97," ")</f>
        <v> </v>
      </c>
      <c r="AG97" s="17" t="str">
        <f aca="false">IF((E97="y"),H97," ")</f>
        <v> </v>
      </c>
      <c r="AH97" s="17" t="str">
        <f aca="false">IF((E97="z"),H97," ")</f>
        <v> </v>
      </c>
      <c r="AI97" s="17" t="str">
        <f aca="false">IF((E97="fa"),H97," ")</f>
        <v> </v>
      </c>
      <c r="AJ97" s="17" t="str">
        <f aca="false">IF((E97="e"),H97," ")</f>
        <v> </v>
      </c>
    </row>
    <row r="98" customFormat="false" ht="12" hidden="false" customHeight="false" outlineLevel="0" collapsed="false">
      <c r="A98" s="28"/>
      <c r="E98" s="2" t="str">
        <f aca="false">IF((F98&lt;&gt;0),"Enter Letter"," ")</f>
        <v> </v>
      </c>
      <c r="F98" s="30"/>
      <c r="G98" s="6" t="str">
        <f aca="false">IF(F98&lt;&gt;0,F98*G$2/(100+G$2)," ")</f>
        <v> </v>
      </c>
      <c r="H98" s="6" t="str">
        <f aca="false">IF((F98&lt;&gt;0),F98-G98," ")</f>
        <v> </v>
      </c>
      <c r="I98" s="5"/>
      <c r="L98" s="7" t="str">
        <f aca="false">IF(F98&lt;&gt;0,F98-K98," ")</f>
        <v> </v>
      </c>
      <c r="M98" s="8" t="str">
        <f aca="false">IF((F98-K98)&lt;&gt;0,M$1-A98," ")</f>
        <v> </v>
      </c>
      <c r="N98" s="5"/>
      <c r="O98" s="17" t="str">
        <f aca="false">IF((E98="s"),H98," ")</f>
        <v> </v>
      </c>
      <c r="P98" s="17" t="str">
        <f aca="false">IF((E98="c"),H98," ")</f>
        <v> </v>
      </c>
      <c r="Q98" s="17" t="str">
        <f aca="false">IF((E98="o"),H98," ")</f>
        <v> </v>
      </c>
      <c r="R98" s="17" t="str">
        <f aca="false">IF((E98="d"),H98," ")</f>
        <v> </v>
      </c>
      <c r="S98" s="17" t="str">
        <f aca="false">IF((E98="w"),H98," ")</f>
        <v> </v>
      </c>
      <c r="T98" s="17" t="str">
        <f aca="false">IF((E98="r"),H98," ")</f>
        <v> </v>
      </c>
      <c r="U98" s="17" t="str">
        <f aca="false">IF((E98="p"),H98," ")</f>
        <v> </v>
      </c>
      <c r="V98" s="17" t="str">
        <f aca="false">IF((E98="t"),H98," ")</f>
        <v> </v>
      </c>
      <c r="W98" s="17" t="str">
        <f aca="false">IF((E98="q"),H98," ")</f>
        <v> </v>
      </c>
      <c r="X98" s="17" t="str">
        <f aca="false">IF((E98="m"),H98," ")</f>
        <v> </v>
      </c>
      <c r="Y98" s="17" t="str">
        <f aca="false">IF((E98="u"),H98," ")</f>
        <v> </v>
      </c>
      <c r="Z98" s="17" t="str">
        <f aca="false">IF((E98="a"),H98," ")</f>
        <v> </v>
      </c>
      <c r="AA98" s="17" t="str">
        <f aca="false">IF((E98="g"),H98," ")</f>
        <v> </v>
      </c>
      <c r="AB98" s="17" t="str">
        <f aca="false">IF((E98="h"),H98," ")</f>
        <v> </v>
      </c>
      <c r="AC98" s="30" t="str">
        <f aca="false">IF((E98="v"),H98," ")</f>
        <v> </v>
      </c>
      <c r="AD98" s="30" t="str">
        <f aca="false">IF((E98="n"),H98," ")</f>
        <v> </v>
      </c>
      <c r="AE98" s="17" t="str">
        <f aca="false">IF((E98="f"),H98," ")</f>
        <v> </v>
      </c>
      <c r="AF98" s="17" t="str">
        <f aca="false">IF((E98="l"),H98," ")</f>
        <v> </v>
      </c>
      <c r="AG98" s="17" t="str">
        <f aca="false">IF((E98="y"),H98," ")</f>
        <v> </v>
      </c>
      <c r="AH98" s="17" t="str">
        <f aca="false">IF((E98="z"),H98," ")</f>
        <v> </v>
      </c>
      <c r="AI98" s="17" t="str">
        <f aca="false">IF((E98="fa"),H98," ")</f>
        <v> </v>
      </c>
      <c r="AJ98" s="17" t="str">
        <f aca="false">IF((E98="e"),H98," ")</f>
        <v> </v>
      </c>
    </row>
    <row r="99" customFormat="false" ht="12" hidden="false" customHeight="false" outlineLevel="0" collapsed="false">
      <c r="A99" s="28"/>
      <c r="E99" s="2" t="str">
        <f aca="false">IF((F99&lt;&gt;0),"Enter Letter"," ")</f>
        <v> </v>
      </c>
      <c r="F99" s="30"/>
      <c r="G99" s="6" t="str">
        <f aca="false">IF(F99&lt;&gt;0,F99*G$2/(100+G$2)," ")</f>
        <v> </v>
      </c>
      <c r="H99" s="6" t="str">
        <f aca="false">IF((F99&lt;&gt;0),F99-G99," ")</f>
        <v> </v>
      </c>
      <c r="I99" s="5"/>
      <c r="L99" s="7" t="str">
        <f aca="false">IF(F99&lt;&gt;0,F99-K99," ")</f>
        <v> </v>
      </c>
      <c r="M99" s="8" t="str">
        <f aca="false">IF((F99-K99)&lt;&gt;0,M$1-A99," ")</f>
        <v> </v>
      </c>
      <c r="N99" s="5"/>
      <c r="O99" s="17" t="str">
        <f aca="false">IF((E99="s"),H99," ")</f>
        <v> </v>
      </c>
      <c r="P99" s="17" t="str">
        <f aca="false">IF((E99="c"),H99," ")</f>
        <v> </v>
      </c>
      <c r="Q99" s="17" t="str">
        <f aca="false">IF((E99="o"),H99," ")</f>
        <v> </v>
      </c>
      <c r="R99" s="17" t="str">
        <f aca="false">IF((E99="d"),H99," ")</f>
        <v> </v>
      </c>
      <c r="S99" s="17" t="str">
        <f aca="false">IF((E99="w"),H99," ")</f>
        <v> </v>
      </c>
      <c r="T99" s="17" t="str">
        <f aca="false">IF((E99="r"),H99," ")</f>
        <v> </v>
      </c>
      <c r="U99" s="17" t="str">
        <f aca="false">IF((E99="p"),H99," ")</f>
        <v> </v>
      </c>
      <c r="V99" s="17" t="str">
        <f aca="false">IF((E99="t"),H99," ")</f>
        <v> </v>
      </c>
      <c r="W99" s="17" t="str">
        <f aca="false">IF((E99="q"),H99," ")</f>
        <v> </v>
      </c>
      <c r="X99" s="17" t="str">
        <f aca="false">IF((E99="m"),H99," ")</f>
        <v> </v>
      </c>
      <c r="Y99" s="17" t="str">
        <f aca="false">IF((E99="u"),H99," ")</f>
        <v> </v>
      </c>
      <c r="Z99" s="17" t="str">
        <f aca="false">IF((E99="a"),H99," ")</f>
        <v> </v>
      </c>
      <c r="AA99" s="17" t="str">
        <f aca="false">IF((E99="g"),H99," ")</f>
        <v> </v>
      </c>
      <c r="AB99" s="17" t="str">
        <f aca="false">IF((E99="h"),H99," ")</f>
        <v> </v>
      </c>
      <c r="AC99" s="30" t="str">
        <f aca="false">IF((E99="v"),H99," ")</f>
        <v> </v>
      </c>
      <c r="AD99" s="30" t="str">
        <f aca="false">IF((E99="n"),H99," ")</f>
        <v> </v>
      </c>
      <c r="AE99" s="17" t="str">
        <f aca="false">IF((E99="f"),H99," ")</f>
        <v> </v>
      </c>
      <c r="AF99" s="17" t="str">
        <f aca="false">IF((E99="l"),H99," ")</f>
        <v> </v>
      </c>
      <c r="AG99" s="17" t="str">
        <f aca="false">IF((E99="y"),H99," ")</f>
        <v> </v>
      </c>
      <c r="AH99" s="17" t="str">
        <f aca="false">IF((E99="z"),H99," ")</f>
        <v> </v>
      </c>
      <c r="AI99" s="17" t="str">
        <f aca="false">IF((E99="fa"),H99," ")</f>
        <v> </v>
      </c>
      <c r="AJ99" s="17" t="str">
        <f aca="false">IF((E99="e"),H99," ")</f>
        <v> </v>
      </c>
    </row>
    <row r="100" customFormat="false" ht="12" hidden="false" customHeight="false" outlineLevel="0" collapsed="false">
      <c r="A100" s="28"/>
      <c r="E100" s="2" t="str">
        <f aca="false">IF((F100&lt;&gt;0),"Enter Letter"," ")</f>
        <v> </v>
      </c>
      <c r="F100" s="30"/>
      <c r="G100" s="6" t="str">
        <f aca="false">IF(F100&lt;&gt;0,F100*G$2/(100+G$2)," ")</f>
        <v> </v>
      </c>
      <c r="H100" s="6" t="str">
        <f aca="false">IF((F100&lt;&gt;0),F100-G100," ")</f>
        <v> </v>
      </c>
      <c r="I100" s="5"/>
      <c r="L100" s="7" t="str">
        <f aca="false">IF(F100&lt;&gt;0,F100-K100," ")</f>
        <v> </v>
      </c>
      <c r="M100" s="8" t="str">
        <f aca="false">IF((F100-K100)&lt;&gt;0,M$1-A100," ")</f>
        <v> </v>
      </c>
      <c r="N100" s="5"/>
      <c r="O100" s="17" t="str">
        <f aca="false">IF((E100="s"),H100," ")</f>
        <v> </v>
      </c>
      <c r="P100" s="17" t="str">
        <f aca="false">IF((E100="c"),H100," ")</f>
        <v> </v>
      </c>
      <c r="Q100" s="17" t="str">
        <f aca="false">IF((E100="o"),H100," ")</f>
        <v> </v>
      </c>
      <c r="R100" s="17" t="str">
        <f aca="false">IF((E100="d"),H100," ")</f>
        <v> </v>
      </c>
      <c r="S100" s="17" t="str">
        <f aca="false">IF((E100="w"),H100," ")</f>
        <v> </v>
      </c>
      <c r="T100" s="17" t="str">
        <f aca="false">IF((E100="r"),H100," ")</f>
        <v> </v>
      </c>
      <c r="U100" s="17" t="str">
        <f aca="false">IF((E100="p"),H100," ")</f>
        <v> </v>
      </c>
      <c r="V100" s="17" t="str">
        <f aca="false">IF((E100="t"),H100," ")</f>
        <v> </v>
      </c>
      <c r="W100" s="17" t="str">
        <f aca="false">IF((E100="q"),H100," ")</f>
        <v> </v>
      </c>
      <c r="X100" s="17" t="str">
        <f aca="false">IF((E100="m"),H100," ")</f>
        <v> </v>
      </c>
      <c r="Y100" s="17" t="str">
        <f aca="false">IF((E100="u"),H100," ")</f>
        <v> </v>
      </c>
      <c r="Z100" s="17" t="str">
        <f aca="false">IF((E100="a"),H100," ")</f>
        <v> </v>
      </c>
      <c r="AA100" s="17" t="str">
        <f aca="false">IF((E100="g"),H100," ")</f>
        <v> </v>
      </c>
      <c r="AB100" s="17" t="str">
        <f aca="false">IF((E100="h"),H100," ")</f>
        <v> </v>
      </c>
      <c r="AC100" s="30" t="str">
        <f aca="false">IF((E100="v"),H100," ")</f>
        <v> </v>
      </c>
      <c r="AD100" s="30" t="str">
        <f aca="false">IF((E100="n"),H100," ")</f>
        <v> </v>
      </c>
      <c r="AE100" s="17" t="str">
        <f aca="false">IF((E100="f"),H100," ")</f>
        <v> </v>
      </c>
      <c r="AF100" s="17" t="str">
        <f aca="false">IF((E100="l"),H100," ")</f>
        <v> </v>
      </c>
      <c r="AG100" s="17" t="str">
        <f aca="false">IF((E100="y"),H100," ")</f>
        <v> </v>
      </c>
      <c r="AH100" s="17" t="str">
        <f aca="false">IF((E100="z"),H100," ")</f>
        <v> </v>
      </c>
      <c r="AI100" s="17" t="str">
        <f aca="false">IF((E100="fa"),H100," ")</f>
        <v> </v>
      </c>
      <c r="AJ100" s="17" t="str">
        <f aca="false">IF((E100="e"),H100," ")</f>
        <v> </v>
      </c>
    </row>
    <row r="101" customFormat="false" ht="12" hidden="false" customHeight="false" outlineLevel="0" collapsed="false">
      <c r="A101" s="28"/>
      <c r="E101" s="2" t="str">
        <f aca="false">IF((F101&lt;&gt;0),"Enter Letter"," ")</f>
        <v> </v>
      </c>
      <c r="F101" s="30"/>
      <c r="G101" s="6" t="str">
        <f aca="false">IF(F101&lt;&gt;0,F101*G$2/(100+G$2)," ")</f>
        <v> </v>
      </c>
      <c r="H101" s="6" t="str">
        <f aca="false">IF((F101&lt;&gt;0),F101-G101," ")</f>
        <v> </v>
      </c>
      <c r="I101" s="5"/>
      <c r="L101" s="7" t="str">
        <f aca="false">IF(F101&lt;&gt;0,F101-K101," ")</f>
        <v> </v>
      </c>
      <c r="M101" s="8" t="str">
        <f aca="false">IF((F101-K101)&lt;&gt;0,M$1-A101," ")</f>
        <v> </v>
      </c>
      <c r="N101" s="5"/>
      <c r="O101" s="17" t="str">
        <f aca="false">IF((E101="s"),H101," ")</f>
        <v> </v>
      </c>
      <c r="P101" s="17" t="str">
        <f aca="false">IF((E101="c"),H101," ")</f>
        <v> </v>
      </c>
      <c r="Q101" s="17" t="str">
        <f aca="false">IF((E101="o"),H101," ")</f>
        <v> </v>
      </c>
      <c r="R101" s="17" t="str">
        <f aca="false">IF((E101="d"),H101," ")</f>
        <v> </v>
      </c>
      <c r="S101" s="17" t="str">
        <f aca="false">IF((E101="w"),H101," ")</f>
        <v> </v>
      </c>
      <c r="T101" s="17" t="str">
        <f aca="false">IF((E101="r"),H101," ")</f>
        <v> </v>
      </c>
      <c r="U101" s="17" t="str">
        <f aca="false">IF((E101="p"),H101," ")</f>
        <v> </v>
      </c>
      <c r="V101" s="17" t="str">
        <f aca="false">IF((E101="t"),H101," ")</f>
        <v> </v>
      </c>
      <c r="W101" s="17" t="str">
        <f aca="false">IF((E101="q"),H101," ")</f>
        <v> </v>
      </c>
      <c r="X101" s="17" t="str">
        <f aca="false">IF((E101="m"),H101," ")</f>
        <v> </v>
      </c>
      <c r="Y101" s="17" t="str">
        <f aca="false">IF((E101="u"),H101," ")</f>
        <v> </v>
      </c>
      <c r="Z101" s="17" t="str">
        <f aca="false">IF((E101="a"),H101," ")</f>
        <v> </v>
      </c>
      <c r="AA101" s="17" t="str">
        <f aca="false">IF((E101="g"),H101," ")</f>
        <v> </v>
      </c>
      <c r="AB101" s="17" t="str">
        <f aca="false">IF((E101="h"),H101," ")</f>
        <v> </v>
      </c>
      <c r="AC101" s="30" t="str">
        <f aca="false">IF((E101="v"),H101," ")</f>
        <v> </v>
      </c>
      <c r="AD101" s="30" t="str">
        <f aca="false">IF((E101="n"),H101," ")</f>
        <v> </v>
      </c>
      <c r="AE101" s="17" t="str">
        <f aca="false">IF((E101="f"),H101," ")</f>
        <v> </v>
      </c>
      <c r="AF101" s="17" t="str">
        <f aca="false">IF((E101="l"),H101," ")</f>
        <v> </v>
      </c>
      <c r="AG101" s="17" t="str">
        <f aca="false">IF((E101="y"),H101," ")</f>
        <v> </v>
      </c>
      <c r="AH101" s="17" t="str">
        <f aca="false">IF((E101="z"),H101," ")</f>
        <v> </v>
      </c>
      <c r="AI101" s="17" t="str">
        <f aca="false">IF((E101="fa"),H101," ")</f>
        <v> </v>
      </c>
      <c r="AJ101" s="17" t="str">
        <f aca="false">IF((E101="e"),H101," ")</f>
        <v> </v>
      </c>
    </row>
    <row r="102" customFormat="false" ht="12" hidden="false" customHeight="false" outlineLevel="0" collapsed="false">
      <c r="A102" s="28"/>
      <c r="E102" s="2" t="str">
        <f aca="false">IF((F102&lt;&gt;0),"Enter Letter"," ")</f>
        <v> </v>
      </c>
      <c r="F102" s="30"/>
      <c r="G102" s="6" t="str">
        <f aca="false">IF(F102&lt;&gt;0,F102*G$2/(100+G$2)," ")</f>
        <v> </v>
      </c>
      <c r="H102" s="6" t="str">
        <f aca="false">IF((F102&lt;&gt;0),F102-G102," ")</f>
        <v> </v>
      </c>
      <c r="I102" s="5"/>
      <c r="L102" s="7" t="str">
        <f aca="false">IF(F102&lt;&gt;0,F102-K102," ")</f>
        <v> </v>
      </c>
      <c r="M102" s="8" t="str">
        <f aca="false">IF((F102-K102)&lt;&gt;0,M$1-A102," ")</f>
        <v> </v>
      </c>
      <c r="N102" s="5"/>
      <c r="O102" s="17" t="str">
        <f aca="false">IF((E102="s"),H102," ")</f>
        <v> </v>
      </c>
      <c r="P102" s="17" t="str">
        <f aca="false">IF((E102="c"),H102," ")</f>
        <v> </v>
      </c>
      <c r="Q102" s="17" t="str">
        <f aca="false">IF((E102="o"),H102," ")</f>
        <v> </v>
      </c>
      <c r="R102" s="17" t="str">
        <f aca="false">IF((E102="d"),H102," ")</f>
        <v> </v>
      </c>
      <c r="S102" s="17" t="str">
        <f aca="false">IF((E102="w"),H102," ")</f>
        <v> </v>
      </c>
      <c r="T102" s="17" t="str">
        <f aca="false">IF((E102="r"),H102," ")</f>
        <v> </v>
      </c>
      <c r="U102" s="17" t="str">
        <f aca="false">IF((E102="p"),H102," ")</f>
        <v> </v>
      </c>
      <c r="V102" s="17" t="str">
        <f aca="false">IF((E102="t"),H102," ")</f>
        <v> </v>
      </c>
      <c r="W102" s="17" t="str">
        <f aca="false">IF((E102="q"),H102," ")</f>
        <v> </v>
      </c>
      <c r="X102" s="17" t="str">
        <f aca="false">IF((E102="m"),H102," ")</f>
        <v> </v>
      </c>
      <c r="Y102" s="17" t="str">
        <f aca="false">IF((E102="u"),H102," ")</f>
        <v> </v>
      </c>
      <c r="Z102" s="17" t="str">
        <f aca="false">IF((E102="a"),H102," ")</f>
        <v> </v>
      </c>
      <c r="AA102" s="17" t="str">
        <f aca="false">IF((E102="g"),H102," ")</f>
        <v> </v>
      </c>
      <c r="AB102" s="17" t="str">
        <f aca="false">IF((E102="h"),H102," ")</f>
        <v> </v>
      </c>
      <c r="AC102" s="30" t="str">
        <f aca="false">IF((E102="v"),H102," ")</f>
        <v> </v>
      </c>
      <c r="AD102" s="30" t="str">
        <f aca="false">IF((E102="n"),H102," ")</f>
        <v> </v>
      </c>
      <c r="AE102" s="17" t="str">
        <f aca="false">IF((E102="f"),H102," ")</f>
        <v> </v>
      </c>
      <c r="AF102" s="17" t="str">
        <f aca="false">IF((E102="l"),H102," ")</f>
        <v> </v>
      </c>
      <c r="AG102" s="17" t="str">
        <f aca="false">IF((E102="y"),H102," ")</f>
        <v> </v>
      </c>
      <c r="AH102" s="17" t="str">
        <f aca="false">IF((E102="z"),H102," ")</f>
        <v> </v>
      </c>
      <c r="AI102" s="17" t="str">
        <f aca="false">IF((E102="fa"),H102," ")</f>
        <v> </v>
      </c>
      <c r="AJ102" s="17" t="str">
        <f aca="false">IF((E102="e"),H102," ")</f>
        <v> </v>
      </c>
    </row>
    <row r="103" customFormat="false" ht="12" hidden="false" customHeight="false" outlineLevel="0" collapsed="false">
      <c r="A103" s="28"/>
      <c r="E103" s="2" t="str">
        <f aca="false">IF((F103&lt;&gt;0),"Enter Letter"," ")</f>
        <v> </v>
      </c>
      <c r="F103" s="30"/>
      <c r="G103" s="6" t="str">
        <f aca="false">IF(F103&lt;&gt;0,F103*G$2/(100+G$2)," ")</f>
        <v> </v>
      </c>
      <c r="H103" s="6" t="str">
        <f aca="false">IF((F103&lt;&gt;0),F103-G103," ")</f>
        <v> </v>
      </c>
      <c r="I103" s="5"/>
      <c r="L103" s="7" t="str">
        <f aca="false">IF(F103&lt;&gt;0,F103-K103," ")</f>
        <v> </v>
      </c>
      <c r="M103" s="8" t="str">
        <f aca="false">IF((F103-K103)&lt;&gt;0,M$1-A103," ")</f>
        <v> </v>
      </c>
      <c r="N103" s="5"/>
      <c r="O103" s="17" t="str">
        <f aca="false">IF((E103="s"),H103," ")</f>
        <v> </v>
      </c>
      <c r="P103" s="17" t="str">
        <f aca="false">IF((E103="c"),H103," ")</f>
        <v> </v>
      </c>
      <c r="Q103" s="17" t="str">
        <f aca="false">IF((E103="o"),H103," ")</f>
        <v> </v>
      </c>
      <c r="R103" s="17" t="str">
        <f aca="false">IF((E103="d"),H103," ")</f>
        <v> </v>
      </c>
      <c r="S103" s="17" t="str">
        <f aca="false">IF((E103="w"),H103," ")</f>
        <v> </v>
      </c>
      <c r="T103" s="17" t="str">
        <f aca="false">IF((E103="r"),H103," ")</f>
        <v> </v>
      </c>
      <c r="U103" s="17" t="str">
        <f aca="false">IF((E103="p"),H103," ")</f>
        <v> </v>
      </c>
      <c r="V103" s="17" t="str">
        <f aca="false">IF((E103="t"),H103," ")</f>
        <v> </v>
      </c>
      <c r="W103" s="17" t="str">
        <f aca="false">IF((E103="q"),H103," ")</f>
        <v> </v>
      </c>
      <c r="X103" s="17" t="str">
        <f aca="false">IF((E103="m"),H103," ")</f>
        <v> </v>
      </c>
      <c r="Y103" s="17" t="str">
        <f aca="false">IF((E103="u"),H103," ")</f>
        <v> </v>
      </c>
      <c r="Z103" s="17" t="str">
        <f aca="false">IF((E103="a"),H103," ")</f>
        <v> </v>
      </c>
      <c r="AA103" s="17" t="str">
        <f aca="false">IF((E103="g"),H103," ")</f>
        <v> </v>
      </c>
      <c r="AB103" s="17" t="str">
        <f aca="false">IF((E103="h"),H103," ")</f>
        <v> </v>
      </c>
      <c r="AC103" s="30" t="str">
        <f aca="false">IF((E103="v"),H103," ")</f>
        <v> </v>
      </c>
      <c r="AD103" s="30" t="str">
        <f aca="false">IF((E103="n"),H103," ")</f>
        <v> </v>
      </c>
      <c r="AE103" s="17" t="str">
        <f aca="false">IF((E103="f"),H103," ")</f>
        <v> </v>
      </c>
      <c r="AF103" s="17" t="str">
        <f aca="false">IF((E103="l"),H103," ")</f>
        <v> </v>
      </c>
      <c r="AG103" s="17" t="str">
        <f aca="false">IF((E103="y"),H103," ")</f>
        <v> </v>
      </c>
      <c r="AH103" s="17" t="str">
        <f aca="false">IF((E103="z"),H103," ")</f>
        <v> </v>
      </c>
      <c r="AI103" s="17" t="str">
        <f aca="false">IF((E103="fa"),H103," ")</f>
        <v> </v>
      </c>
      <c r="AJ103" s="17" t="str">
        <f aca="false">IF((E103="e"),H103," ")</f>
        <v> </v>
      </c>
    </row>
    <row r="104" customFormat="false" ht="12" hidden="false" customHeight="false" outlineLevel="0" collapsed="false">
      <c r="A104" s="28"/>
      <c r="E104" s="2" t="str">
        <f aca="false">IF((F104&lt;&gt;0),"Enter Letter"," ")</f>
        <v> </v>
      </c>
      <c r="F104" s="30"/>
      <c r="G104" s="6" t="str">
        <f aca="false">IF(F104&lt;&gt;0,F104*G$2/(100+G$2)," ")</f>
        <v> </v>
      </c>
      <c r="H104" s="6" t="str">
        <f aca="false">IF((F104&lt;&gt;0),F104-G104," ")</f>
        <v> </v>
      </c>
      <c r="I104" s="5"/>
      <c r="L104" s="7" t="str">
        <f aca="false">IF(F104&lt;&gt;0,F104-K104," ")</f>
        <v> </v>
      </c>
      <c r="M104" s="8" t="str">
        <f aca="false">IF((F104-K104)&lt;&gt;0,M$1-A104," ")</f>
        <v> </v>
      </c>
      <c r="N104" s="5"/>
      <c r="O104" s="17" t="str">
        <f aca="false">IF((E104="s"),H104," ")</f>
        <v> </v>
      </c>
      <c r="P104" s="17" t="str">
        <f aca="false">IF((E104="c"),H104," ")</f>
        <v> </v>
      </c>
      <c r="Q104" s="17" t="str">
        <f aca="false">IF((E104="o"),H104," ")</f>
        <v> </v>
      </c>
      <c r="R104" s="17" t="str">
        <f aca="false">IF((E104="d"),H104," ")</f>
        <v> </v>
      </c>
      <c r="S104" s="17" t="str">
        <f aca="false">IF((E104="w"),H104," ")</f>
        <v> </v>
      </c>
      <c r="T104" s="17" t="str">
        <f aca="false">IF((E104="r"),H104," ")</f>
        <v> </v>
      </c>
      <c r="U104" s="17" t="str">
        <f aca="false">IF((E104="p"),H104," ")</f>
        <v> </v>
      </c>
      <c r="V104" s="17" t="str">
        <f aca="false">IF((E104="t"),H104," ")</f>
        <v> </v>
      </c>
      <c r="W104" s="17" t="str">
        <f aca="false">IF((E104="q"),H104," ")</f>
        <v> </v>
      </c>
      <c r="X104" s="17" t="str">
        <f aca="false">IF((E104="m"),H104," ")</f>
        <v> </v>
      </c>
      <c r="Y104" s="17" t="str">
        <f aca="false">IF((E104="u"),H104," ")</f>
        <v> </v>
      </c>
      <c r="Z104" s="17" t="str">
        <f aca="false">IF((E104="a"),H104," ")</f>
        <v> </v>
      </c>
      <c r="AA104" s="17" t="str">
        <f aca="false">IF((E104="g"),H104," ")</f>
        <v> </v>
      </c>
      <c r="AB104" s="17" t="str">
        <f aca="false">IF((E104="h"),H104," ")</f>
        <v> </v>
      </c>
      <c r="AC104" s="30" t="str">
        <f aca="false">IF((E104="v"),H104," ")</f>
        <v> </v>
      </c>
      <c r="AD104" s="30" t="str">
        <f aca="false">IF((E104="n"),H104," ")</f>
        <v> </v>
      </c>
      <c r="AE104" s="17" t="str">
        <f aca="false">IF((E104="f"),H104," ")</f>
        <v> </v>
      </c>
      <c r="AF104" s="17" t="str">
        <f aca="false">IF((E104="l"),H104," ")</f>
        <v> </v>
      </c>
      <c r="AG104" s="17" t="str">
        <f aca="false">IF((E104="y"),H104," ")</f>
        <v> </v>
      </c>
      <c r="AH104" s="17" t="str">
        <f aca="false">IF((E104="z"),H104," ")</f>
        <v> </v>
      </c>
      <c r="AI104" s="17" t="str">
        <f aca="false">IF((E104="fa"),H104," ")</f>
        <v> </v>
      </c>
      <c r="AJ104" s="17" t="str">
        <f aca="false">IF((E104="e"),H104," ")</f>
        <v> </v>
      </c>
    </row>
    <row r="105" customFormat="false" ht="12" hidden="false" customHeight="false" outlineLevel="0" collapsed="false">
      <c r="A105" s="28"/>
      <c r="E105" s="2" t="str">
        <f aca="false">IF((F105&lt;&gt;0),"Enter Letter"," ")</f>
        <v> </v>
      </c>
      <c r="F105" s="30"/>
      <c r="G105" s="6" t="str">
        <f aca="false">IF(F105&lt;&gt;0,F105*G$2/(100+G$2)," ")</f>
        <v> </v>
      </c>
      <c r="H105" s="6" t="str">
        <f aca="false">IF((F105&lt;&gt;0),F105-G105," ")</f>
        <v> </v>
      </c>
      <c r="I105" s="5"/>
      <c r="L105" s="7" t="str">
        <f aca="false">IF(F105&lt;&gt;0,F105-K105," ")</f>
        <v> </v>
      </c>
      <c r="M105" s="8" t="str">
        <f aca="false">IF((F105-K105)&lt;&gt;0,M$1-A105," ")</f>
        <v> </v>
      </c>
      <c r="N105" s="5"/>
      <c r="O105" s="17" t="str">
        <f aca="false">IF((E105="s"),H105," ")</f>
        <v> </v>
      </c>
      <c r="P105" s="17" t="str">
        <f aca="false">IF((E105="c"),H105," ")</f>
        <v> </v>
      </c>
      <c r="Q105" s="17" t="str">
        <f aca="false">IF((E105="o"),H105," ")</f>
        <v> </v>
      </c>
      <c r="R105" s="17" t="str">
        <f aca="false">IF((E105="d"),H105," ")</f>
        <v> </v>
      </c>
      <c r="S105" s="17" t="str">
        <f aca="false">IF((E105="w"),H105," ")</f>
        <v> </v>
      </c>
      <c r="T105" s="17" t="str">
        <f aca="false">IF((E105="r"),H105," ")</f>
        <v> </v>
      </c>
      <c r="U105" s="17" t="str">
        <f aca="false">IF((E105="p"),H105," ")</f>
        <v> </v>
      </c>
      <c r="V105" s="17" t="str">
        <f aca="false">IF((E105="t"),H105," ")</f>
        <v> </v>
      </c>
      <c r="W105" s="17" t="str">
        <f aca="false">IF((E105="q"),H105," ")</f>
        <v> </v>
      </c>
      <c r="X105" s="17" t="str">
        <f aca="false">IF((E105="m"),H105," ")</f>
        <v> </v>
      </c>
      <c r="Y105" s="17" t="str">
        <f aca="false">IF((E105="u"),H105," ")</f>
        <v> </v>
      </c>
      <c r="Z105" s="17" t="str">
        <f aca="false">IF((E105="a"),H105," ")</f>
        <v> </v>
      </c>
      <c r="AA105" s="17" t="str">
        <f aca="false">IF((E105="g"),H105," ")</f>
        <v> </v>
      </c>
      <c r="AB105" s="17" t="str">
        <f aca="false">IF((E105="h"),H105," ")</f>
        <v> </v>
      </c>
      <c r="AC105" s="30" t="str">
        <f aca="false">IF((E105="v"),H105," ")</f>
        <v> </v>
      </c>
      <c r="AD105" s="30" t="str">
        <f aca="false">IF((E105="n"),H105," ")</f>
        <v> </v>
      </c>
      <c r="AE105" s="17" t="str">
        <f aca="false">IF((E105="f"),H105," ")</f>
        <v> </v>
      </c>
      <c r="AF105" s="17" t="str">
        <f aca="false">IF((E105="l"),H105," ")</f>
        <v> </v>
      </c>
      <c r="AG105" s="17" t="str">
        <f aca="false">IF((E105="y"),H105," ")</f>
        <v> </v>
      </c>
      <c r="AH105" s="17" t="str">
        <f aca="false">IF((E105="z"),H105," ")</f>
        <v> </v>
      </c>
      <c r="AI105" s="17" t="str">
        <f aca="false">IF((E105="fa"),H105," ")</f>
        <v> </v>
      </c>
      <c r="AJ105" s="17" t="str">
        <f aca="false">IF((E105="e"),H105," ")</f>
        <v> </v>
      </c>
    </row>
    <row r="106" customFormat="false" ht="12" hidden="false" customHeight="false" outlineLevel="0" collapsed="false">
      <c r="A106" s="28"/>
      <c r="E106" s="2" t="str">
        <f aca="false">IF((F106&lt;&gt;0),"Enter Letter"," ")</f>
        <v> </v>
      </c>
      <c r="F106" s="30"/>
      <c r="G106" s="6" t="str">
        <f aca="false">IF(F106&lt;&gt;0,F106*G$2/(100+G$2)," ")</f>
        <v> </v>
      </c>
      <c r="H106" s="6" t="str">
        <f aca="false">IF((F106&lt;&gt;0),F106-G106," ")</f>
        <v> </v>
      </c>
      <c r="I106" s="5"/>
      <c r="L106" s="7" t="str">
        <f aca="false">IF(F106&lt;&gt;0,F106-K106," ")</f>
        <v> </v>
      </c>
      <c r="M106" s="8" t="str">
        <f aca="false">IF((F106-K106)&lt;&gt;0,M$1-A106," ")</f>
        <v> </v>
      </c>
      <c r="N106" s="5"/>
      <c r="O106" s="17" t="str">
        <f aca="false">IF((E106="s"),H106," ")</f>
        <v> </v>
      </c>
      <c r="P106" s="17" t="str">
        <f aca="false">IF((E106="c"),H106," ")</f>
        <v> </v>
      </c>
      <c r="Q106" s="17" t="str">
        <f aca="false">IF((E106="o"),H106," ")</f>
        <v> </v>
      </c>
      <c r="R106" s="17" t="str">
        <f aca="false">IF((E106="d"),H106," ")</f>
        <v> </v>
      </c>
      <c r="S106" s="17" t="str">
        <f aca="false">IF((E106="w"),H106," ")</f>
        <v> </v>
      </c>
      <c r="T106" s="17" t="str">
        <f aca="false">IF((E106="r"),H106," ")</f>
        <v> </v>
      </c>
      <c r="U106" s="17" t="str">
        <f aca="false">IF((E106="p"),H106," ")</f>
        <v> </v>
      </c>
      <c r="V106" s="17" t="str">
        <f aca="false">IF((E106="t"),H106," ")</f>
        <v> </v>
      </c>
      <c r="W106" s="17" t="str">
        <f aca="false">IF((E106="q"),H106," ")</f>
        <v> </v>
      </c>
      <c r="X106" s="17" t="str">
        <f aca="false">IF((E106="m"),H106," ")</f>
        <v> </v>
      </c>
      <c r="Y106" s="17" t="str">
        <f aca="false">IF((E106="u"),H106," ")</f>
        <v> </v>
      </c>
      <c r="Z106" s="17" t="str">
        <f aca="false">IF((E106="a"),H106," ")</f>
        <v> </v>
      </c>
      <c r="AA106" s="17" t="str">
        <f aca="false">IF((E106="g"),H106," ")</f>
        <v> </v>
      </c>
      <c r="AB106" s="17" t="str">
        <f aca="false">IF((E106="h"),H106," ")</f>
        <v> </v>
      </c>
      <c r="AC106" s="30" t="str">
        <f aca="false">IF((E106="v"),H106," ")</f>
        <v> </v>
      </c>
      <c r="AD106" s="30" t="str">
        <f aca="false">IF((E106="n"),H106," ")</f>
        <v> </v>
      </c>
      <c r="AE106" s="17" t="str">
        <f aca="false">IF((E106="f"),H106," ")</f>
        <v> </v>
      </c>
      <c r="AF106" s="17" t="str">
        <f aca="false">IF((E106="l"),H106," ")</f>
        <v> </v>
      </c>
      <c r="AG106" s="17" t="str">
        <f aca="false">IF((E106="y"),H106," ")</f>
        <v> </v>
      </c>
      <c r="AH106" s="17" t="str">
        <f aca="false">IF((E106="z"),H106," ")</f>
        <v> </v>
      </c>
      <c r="AI106" s="17" t="str">
        <f aca="false">IF((E106="fa"),H106," ")</f>
        <v> </v>
      </c>
      <c r="AJ106" s="17" t="str">
        <f aca="false">IF((E106="e"),H106," ")</f>
        <v> </v>
      </c>
    </row>
    <row r="107" customFormat="false" ht="12" hidden="false" customHeight="false" outlineLevel="0" collapsed="false">
      <c r="A107" s="28"/>
      <c r="E107" s="2" t="str">
        <f aca="false">IF((F107&lt;&gt;0),"Enter Letter"," ")</f>
        <v> </v>
      </c>
      <c r="F107" s="30"/>
      <c r="G107" s="6" t="str">
        <f aca="false">IF(F107&lt;&gt;0,F107*G$2/(100+G$2)," ")</f>
        <v> </v>
      </c>
      <c r="H107" s="6" t="str">
        <f aca="false">IF((F107&lt;&gt;0),F107-G107," ")</f>
        <v> </v>
      </c>
      <c r="I107" s="5"/>
      <c r="L107" s="7" t="str">
        <f aca="false">IF(F107&lt;&gt;0,F107-K107," ")</f>
        <v> </v>
      </c>
      <c r="M107" s="8" t="str">
        <f aca="false">IF((F107-K107)&lt;&gt;0,M$1-A107," ")</f>
        <v> </v>
      </c>
      <c r="N107" s="5"/>
      <c r="O107" s="17" t="str">
        <f aca="false">IF((E107="s"),H107," ")</f>
        <v> </v>
      </c>
      <c r="P107" s="17" t="str">
        <f aca="false">IF((E107="c"),H107," ")</f>
        <v> </v>
      </c>
      <c r="Q107" s="17" t="str">
        <f aca="false">IF((E107="o"),H107," ")</f>
        <v> </v>
      </c>
      <c r="R107" s="17" t="str">
        <f aca="false">IF((E107="d"),H107," ")</f>
        <v> </v>
      </c>
      <c r="S107" s="17" t="str">
        <f aca="false">IF((E107="w"),H107," ")</f>
        <v> </v>
      </c>
      <c r="T107" s="17" t="str">
        <f aca="false">IF((E107="r"),H107," ")</f>
        <v> </v>
      </c>
      <c r="U107" s="17" t="str">
        <f aca="false">IF((E107="p"),H107," ")</f>
        <v> </v>
      </c>
      <c r="V107" s="17" t="str">
        <f aca="false">IF((E107="t"),H107," ")</f>
        <v> </v>
      </c>
      <c r="W107" s="17" t="str">
        <f aca="false">IF((E107="q"),H107," ")</f>
        <v> </v>
      </c>
      <c r="X107" s="17" t="str">
        <f aca="false">IF((E107="m"),H107," ")</f>
        <v> </v>
      </c>
      <c r="Y107" s="17" t="str">
        <f aca="false">IF((E107="u"),H107," ")</f>
        <v> </v>
      </c>
      <c r="Z107" s="17" t="str">
        <f aca="false">IF((E107="a"),H107," ")</f>
        <v> </v>
      </c>
      <c r="AA107" s="17" t="str">
        <f aca="false">IF((E107="g"),H107," ")</f>
        <v> </v>
      </c>
      <c r="AB107" s="17" t="str">
        <f aca="false">IF((E107="h"),H107," ")</f>
        <v> </v>
      </c>
      <c r="AC107" s="30" t="str">
        <f aca="false">IF((E107="v"),H107," ")</f>
        <v> </v>
      </c>
      <c r="AD107" s="30" t="str">
        <f aca="false">IF((E107="n"),H107," ")</f>
        <v> </v>
      </c>
      <c r="AE107" s="17" t="str">
        <f aca="false">IF((E107="f"),H107," ")</f>
        <v> </v>
      </c>
      <c r="AF107" s="17" t="str">
        <f aca="false">IF((E107="l"),H107," ")</f>
        <v> </v>
      </c>
      <c r="AG107" s="17" t="str">
        <f aca="false">IF((E107="y"),H107," ")</f>
        <v> </v>
      </c>
      <c r="AH107" s="17" t="str">
        <f aca="false">IF((E107="z"),H107," ")</f>
        <v> </v>
      </c>
      <c r="AI107" s="17" t="str">
        <f aca="false">IF((E107="fa"),H107," ")</f>
        <v> </v>
      </c>
      <c r="AJ107" s="17" t="str">
        <f aca="false">IF((E107="e"),H107," ")</f>
        <v> </v>
      </c>
    </row>
    <row r="108" customFormat="false" ht="12" hidden="false" customHeight="false" outlineLevel="0" collapsed="false">
      <c r="A108" s="28"/>
      <c r="E108" s="2" t="str">
        <f aca="false">IF((F108&lt;&gt;0),"Enter Letter"," ")</f>
        <v> </v>
      </c>
      <c r="F108" s="30"/>
      <c r="G108" s="6" t="str">
        <f aca="false">IF(F108&lt;&gt;0,F108*G$2/(100+G$2)," ")</f>
        <v> </v>
      </c>
      <c r="H108" s="6" t="str">
        <f aca="false">IF((F108&lt;&gt;0),F108-G108," ")</f>
        <v> </v>
      </c>
      <c r="I108" s="5"/>
      <c r="L108" s="7" t="str">
        <f aca="false">IF(F108&lt;&gt;0,F108-K108," ")</f>
        <v> </v>
      </c>
      <c r="M108" s="8" t="str">
        <f aca="false">IF((F108-K108)&lt;&gt;0,M$1-A108," ")</f>
        <v> </v>
      </c>
      <c r="N108" s="5"/>
      <c r="O108" s="17" t="str">
        <f aca="false">IF((E108="s"),H108," ")</f>
        <v> </v>
      </c>
      <c r="P108" s="17" t="str">
        <f aca="false">IF((E108="c"),H108," ")</f>
        <v> </v>
      </c>
      <c r="Q108" s="17" t="str">
        <f aca="false">IF((E108="o"),H108," ")</f>
        <v> </v>
      </c>
      <c r="R108" s="17" t="str">
        <f aca="false">IF((E108="d"),H108," ")</f>
        <v> </v>
      </c>
      <c r="S108" s="17" t="str">
        <f aca="false">IF((E108="w"),H108," ")</f>
        <v> </v>
      </c>
      <c r="T108" s="17" t="str">
        <f aca="false">IF((E108="r"),H108," ")</f>
        <v> </v>
      </c>
      <c r="U108" s="17" t="str">
        <f aca="false">IF((E108="p"),H108," ")</f>
        <v> </v>
      </c>
      <c r="V108" s="17" t="str">
        <f aca="false">IF((E108="t"),H108," ")</f>
        <v> </v>
      </c>
      <c r="W108" s="17" t="str">
        <f aca="false">IF((E108="q"),H108," ")</f>
        <v> </v>
      </c>
      <c r="X108" s="17" t="str">
        <f aca="false">IF((E108="m"),H108," ")</f>
        <v> </v>
      </c>
      <c r="Y108" s="17" t="str">
        <f aca="false">IF((E108="u"),H108," ")</f>
        <v> </v>
      </c>
      <c r="Z108" s="17" t="str">
        <f aca="false">IF((E108="a"),H108," ")</f>
        <v> </v>
      </c>
      <c r="AA108" s="17" t="str">
        <f aca="false">IF((E108="g"),H108," ")</f>
        <v> </v>
      </c>
      <c r="AB108" s="17" t="str">
        <f aca="false">IF((E108="h"),H108," ")</f>
        <v> </v>
      </c>
      <c r="AC108" s="30" t="str">
        <f aca="false">IF((E108="v"),H108," ")</f>
        <v> </v>
      </c>
      <c r="AD108" s="30" t="str">
        <f aca="false">IF((E108="n"),H108," ")</f>
        <v> </v>
      </c>
      <c r="AE108" s="17" t="str">
        <f aca="false">IF((E108="f"),H108," ")</f>
        <v> </v>
      </c>
      <c r="AF108" s="17" t="str">
        <f aca="false">IF((E108="l"),H108," ")</f>
        <v> </v>
      </c>
      <c r="AG108" s="17" t="str">
        <f aca="false">IF((E108="y"),H108," ")</f>
        <v> </v>
      </c>
      <c r="AH108" s="17" t="str">
        <f aca="false">IF((E108="z"),H108," ")</f>
        <v> </v>
      </c>
      <c r="AI108" s="17" t="str">
        <f aca="false">IF((E108="fa"),H108," ")</f>
        <v> </v>
      </c>
      <c r="AJ108" s="17" t="str">
        <f aca="false">IF((E108="e"),H108," ")</f>
        <v> </v>
      </c>
    </row>
    <row r="109" customFormat="false" ht="12" hidden="false" customHeight="false" outlineLevel="0" collapsed="false">
      <c r="A109" s="28"/>
      <c r="E109" s="2" t="str">
        <f aca="false">IF((F109&lt;&gt;0),"Enter Letter"," ")</f>
        <v> </v>
      </c>
      <c r="F109" s="30"/>
      <c r="G109" s="6" t="str">
        <f aca="false">IF(F109&lt;&gt;0,F109*G$2/(100+G$2)," ")</f>
        <v> </v>
      </c>
      <c r="H109" s="6" t="str">
        <f aca="false">IF((F109&lt;&gt;0),F109-G109," ")</f>
        <v> </v>
      </c>
      <c r="I109" s="5"/>
      <c r="L109" s="7" t="str">
        <f aca="false">IF(F109&lt;&gt;0,F109-K109," ")</f>
        <v> </v>
      </c>
      <c r="M109" s="8" t="str">
        <f aca="false">IF((F109-K109)&lt;&gt;0,M$1-A109," ")</f>
        <v> </v>
      </c>
      <c r="N109" s="5"/>
      <c r="O109" s="17" t="str">
        <f aca="false">IF((E109="s"),H109," ")</f>
        <v> </v>
      </c>
      <c r="P109" s="17" t="str">
        <f aca="false">IF((E109="c"),H109," ")</f>
        <v> </v>
      </c>
      <c r="Q109" s="17" t="str">
        <f aca="false">IF((E109="o"),H109," ")</f>
        <v> </v>
      </c>
      <c r="R109" s="17" t="str">
        <f aca="false">IF((E109="d"),H109," ")</f>
        <v> </v>
      </c>
      <c r="S109" s="17" t="str">
        <f aca="false">IF((E109="w"),H109," ")</f>
        <v> </v>
      </c>
      <c r="T109" s="17" t="str">
        <f aca="false">IF((E109="r"),H109," ")</f>
        <v> </v>
      </c>
      <c r="U109" s="17" t="str">
        <f aca="false">IF((E109="p"),H109," ")</f>
        <v> </v>
      </c>
      <c r="V109" s="17" t="str">
        <f aca="false">IF((E109="t"),H109," ")</f>
        <v> </v>
      </c>
      <c r="W109" s="17" t="str">
        <f aca="false">IF((E109="q"),H109," ")</f>
        <v> </v>
      </c>
      <c r="X109" s="17" t="str">
        <f aca="false">IF((E109="m"),H109," ")</f>
        <v> </v>
      </c>
      <c r="Y109" s="17" t="str">
        <f aca="false">IF((E109="u"),H109," ")</f>
        <v> </v>
      </c>
      <c r="Z109" s="17" t="str">
        <f aca="false">IF((E109="a"),H109," ")</f>
        <v> </v>
      </c>
      <c r="AA109" s="17" t="str">
        <f aca="false">IF((E109="g"),H109," ")</f>
        <v> </v>
      </c>
      <c r="AB109" s="17" t="str">
        <f aca="false">IF((E109="h"),H109," ")</f>
        <v> </v>
      </c>
      <c r="AC109" s="30" t="str">
        <f aca="false">IF((E109="v"),H109," ")</f>
        <v> </v>
      </c>
      <c r="AD109" s="30" t="str">
        <f aca="false">IF((E109="n"),H109," ")</f>
        <v> </v>
      </c>
      <c r="AE109" s="17" t="str">
        <f aca="false">IF((E109="f"),H109," ")</f>
        <v> </v>
      </c>
      <c r="AF109" s="17" t="str">
        <f aca="false">IF((E109="l"),H109," ")</f>
        <v> </v>
      </c>
      <c r="AG109" s="17" t="str">
        <f aca="false">IF((E109="y"),H109," ")</f>
        <v> </v>
      </c>
      <c r="AH109" s="17" t="str">
        <f aca="false">IF((E109="z"),H109," ")</f>
        <v> </v>
      </c>
      <c r="AI109" s="17" t="str">
        <f aca="false">IF((E109="fa"),H109," ")</f>
        <v> </v>
      </c>
      <c r="AJ109" s="17" t="str">
        <f aca="false">IF((E109="e"),H109," ")</f>
        <v> </v>
      </c>
    </row>
    <row r="110" customFormat="false" ht="12" hidden="false" customHeight="false" outlineLevel="0" collapsed="false">
      <c r="A110" s="28"/>
      <c r="E110" s="2" t="str">
        <f aca="false">IF((F110&lt;&gt;0),"Enter Letter"," ")</f>
        <v> </v>
      </c>
      <c r="F110" s="30"/>
      <c r="G110" s="6" t="str">
        <f aca="false">IF(F110&lt;&gt;0,F110*G$2/(100+G$2)," ")</f>
        <v> </v>
      </c>
      <c r="H110" s="6" t="str">
        <f aca="false">IF((F110&lt;&gt;0),F110-G110," ")</f>
        <v> </v>
      </c>
      <c r="I110" s="5"/>
      <c r="L110" s="7" t="str">
        <f aca="false">IF(F110&lt;&gt;0,F110-K110," ")</f>
        <v> </v>
      </c>
      <c r="M110" s="8" t="str">
        <f aca="false">IF((F110-K110)&lt;&gt;0,M$1-A110," ")</f>
        <v> </v>
      </c>
      <c r="N110" s="5"/>
      <c r="O110" s="17" t="str">
        <f aca="false">IF((E110="s"),H110," ")</f>
        <v> </v>
      </c>
      <c r="P110" s="17" t="str">
        <f aca="false">IF((E110="c"),H110," ")</f>
        <v> </v>
      </c>
      <c r="Q110" s="17" t="str">
        <f aca="false">IF((E110="o"),H110," ")</f>
        <v> </v>
      </c>
      <c r="R110" s="17" t="str">
        <f aca="false">IF((E110="d"),H110," ")</f>
        <v> </v>
      </c>
      <c r="S110" s="17" t="str">
        <f aca="false">IF((E110="w"),H110," ")</f>
        <v> </v>
      </c>
      <c r="T110" s="17" t="str">
        <f aca="false">IF((E110="r"),H110," ")</f>
        <v> </v>
      </c>
      <c r="U110" s="17" t="str">
        <f aca="false">IF((E110="p"),H110," ")</f>
        <v> </v>
      </c>
      <c r="V110" s="17" t="str">
        <f aca="false">IF((E110="t"),H110," ")</f>
        <v> </v>
      </c>
      <c r="W110" s="17" t="str">
        <f aca="false">IF((E110="q"),H110," ")</f>
        <v> </v>
      </c>
      <c r="X110" s="17" t="str">
        <f aca="false">IF((E110="m"),H110," ")</f>
        <v> </v>
      </c>
      <c r="Y110" s="17" t="str">
        <f aca="false">IF((E110="u"),H110," ")</f>
        <v> </v>
      </c>
      <c r="Z110" s="17" t="str">
        <f aca="false">IF((E110="a"),H110," ")</f>
        <v> </v>
      </c>
      <c r="AA110" s="17" t="str">
        <f aca="false">IF((E110="g"),H110," ")</f>
        <v> </v>
      </c>
      <c r="AB110" s="17" t="str">
        <f aca="false">IF((E110="h"),H110," ")</f>
        <v> </v>
      </c>
      <c r="AC110" s="30" t="str">
        <f aca="false">IF((E110="v"),H110," ")</f>
        <v> </v>
      </c>
      <c r="AD110" s="30" t="str">
        <f aca="false">IF((E110="n"),H110," ")</f>
        <v> </v>
      </c>
      <c r="AE110" s="17" t="str">
        <f aca="false">IF((E110="f"),H110," ")</f>
        <v> </v>
      </c>
      <c r="AF110" s="17" t="str">
        <f aca="false">IF((E110="l"),H110," ")</f>
        <v> </v>
      </c>
      <c r="AG110" s="17" t="str">
        <f aca="false">IF((E110="y"),H110," ")</f>
        <v> </v>
      </c>
      <c r="AH110" s="17" t="str">
        <f aca="false">IF((E110="z"),H110," ")</f>
        <v> </v>
      </c>
      <c r="AI110" s="17" t="str">
        <f aca="false">IF((E110="fa"),H110," ")</f>
        <v> </v>
      </c>
      <c r="AJ110" s="17" t="str">
        <f aca="false">IF((E110="e"),H110," ")</f>
        <v> </v>
      </c>
    </row>
    <row r="111" customFormat="false" ht="12" hidden="false" customHeight="false" outlineLevel="0" collapsed="false">
      <c r="A111" s="28"/>
      <c r="E111" s="2" t="str">
        <f aca="false">IF((F111&lt;&gt;0),"Enter Letter"," ")</f>
        <v> </v>
      </c>
      <c r="F111" s="30"/>
      <c r="G111" s="6" t="str">
        <f aca="false">IF(F111&lt;&gt;0,F111*G$2/(100+G$2)," ")</f>
        <v> </v>
      </c>
      <c r="H111" s="6" t="str">
        <f aca="false">IF((F111&lt;&gt;0),F111-G111," ")</f>
        <v> </v>
      </c>
      <c r="I111" s="5"/>
      <c r="L111" s="7" t="str">
        <f aca="false">IF(F111&lt;&gt;0,F111-K111," ")</f>
        <v> </v>
      </c>
      <c r="M111" s="8" t="str">
        <f aca="false">IF((F111-K111)&lt;&gt;0,M$1-A111," ")</f>
        <v> </v>
      </c>
      <c r="N111" s="5"/>
      <c r="O111" s="17" t="str">
        <f aca="false">IF((E111="s"),H111," ")</f>
        <v> </v>
      </c>
      <c r="P111" s="17" t="str">
        <f aca="false">IF((E111="c"),H111," ")</f>
        <v> </v>
      </c>
      <c r="Q111" s="17" t="str">
        <f aca="false">IF((E111="o"),H111," ")</f>
        <v> </v>
      </c>
      <c r="R111" s="17" t="str">
        <f aca="false">IF((E111="d"),H111," ")</f>
        <v> </v>
      </c>
      <c r="S111" s="17" t="str">
        <f aca="false">IF((E111="w"),H111," ")</f>
        <v> </v>
      </c>
      <c r="T111" s="17" t="str">
        <f aca="false">IF((E111="r"),H111," ")</f>
        <v> </v>
      </c>
      <c r="U111" s="17" t="str">
        <f aca="false">IF((E111="p"),H111," ")</f>
        <v> </v>
      </c>
      <c r="V111" s="17" t="str">
        <f aca="false">IF((E111="t"),H111," ")</f>
        <v> </v>
      </c>
      <c r="W111" s="17" t="str">
        <f aca="false">IF((E111="q"),H111," ")</f>
        <v> </v>
      </c>
      <c r="X111" s="17" t="str">
        <f aca="false">IF((E111="m"),H111," ")</f>
        <v> </v>
      </c>
      <c r="Y111" s="17" t="str">
        <f aca="false">IF((E111="u"),H111," ")</f>
        <v> </v>
      </c>
      <c r="Z111" s="17" t="str">
        <f aca="false">IF((E111="a"),H111," ")</f>
        <v> </v>
      </c>
      <c r="AA111" s="17" t="str">
        <f aca="false">IF((E111="g"),H111," ")</f>
        <v> </v>
      </c>
      <c r="AB111" s="17" t="str">
        <f aca="false">IF((E111="h"),H111," ")</f>
        <v> </v>
      </c>
      <c r="AC111" s="30" t="str">
        <f aca="false">IF((E111="v"),H111," ")</f>
        <v> </v>
      </c>
      <c r="AD111" s="30" t="str">
        <f aca="false">IF((E111="n"),H111," ")</f>
        <v> </v>
      </c>
      <c r="AE111" s="17" t="str">
        <f aca="false">IF((E111="f"),H111," ")</f>
        <v> </v>
      </c>
      <c r="AF111" s="17" t="str">
        <f aca="false">IF((E111="l"),H111," ")</f>
        <v> </v>
      </c>
      <c r="AG111" s="17" t="str">
        <f aca="false">IF((E111="y"),H111," ")</f>
        <v> </v>
      </c>
      <c r="AH111" s="17" t="str">
        <f aca="false">IF((E111="z"),H111," ")</f>
        <v> </v>
      </c>
      <c r="AI111" s="17" t="str">
        <f aca="false">IF((E111="fa"),H111," ")</f>
        <v> </v>
      </c>
      <c r="AJ111" s="17" t="str">
        <f aca="false">IF((E111="e"),H111," ")</f>
        <v> </v>
      </c>
    </row>
    <row r="112" customFormat="false" ht="12" hidden="false" customHeight="false" outlineLevel="0" collapsed="false">
      <c r="A112" s="28"/>
      <c r="E112" s="2" t="str">
        <f aca="false">IF((F112&lt;&gt;0),"Enter Letter"," ")</f>
        <v> </v>
      </c>
      <c r="F112" s="30"/>
      <c r="G112" s="6" t="str">
        <f aca="false">IF(F112&lt;&gt;0,F112*G$2/(100+G$2)," ")</f>
        <v> </v>
      </c>
      <c r="H112" s="6" t="str">
        <f aca="false">IF((F112&lt;&gt;0),F112-G112," ")</f>
        <v> </v>
      </c>
      <c r="I112" s="5"/>
      <c r="L112" s="7" t="str">
        <f aca="false">IF(F112&lt;&gt;0,F112-K112," ")</f>
        <v> </v>
      </c>
      <c r="M112" s="8" t="str">
        <f aca="false">IF((F112-K112)&lt;&gt;0,M$1-A112," ")</f>
        <v> </v>
      </c>
      <c r="N112" s="5"/>
      <c r="O112" s="17" t="str">
        <f aca="false">IF((E112="s"),H112," ")</f>
        <v> </v>
      </c>
      <c r="P112" s="17" t="str">
        <f aca="false">IF((E112="c"),H112," ")</f>
        <v> </v>
      </c>
      <c r="Q112" s="17" t="str">
        <f aca="false">IF((E112="o"),H112," ")</f>
        <v> </v>
      </c>
      <c r="R112" s="17" t="str">
        <f aca="false">IF((E112="d"),H112," ")</f>
        <v> </v>
      </c>
      <c r="S112" s="17" t="str">
        <f aca="false">IF((E112="w"),H112," ")</f>
        <v> </v>
      </c>
      <c r="T112" s="17" t="str">
        <f aca="false">IF((E112="r"),H112," ")</f>
        <v> </v>
      </c>
      <c r="U112" s="17" t="str">
        <f aca="false">IF((E112="p"),H112," ")</f>
        <v> </v>
      </c>
      <c r="V112" s="17" t="str">
        <f aca="false">IF((E112="t"),H112," ")</f>
        <v> </v>
      </c>
      <c r="W112" s="17" t="str">
        <f aca="false">IF((E112="q"),H112," ")</f>
        <v> </v>
      </c>
      <c r="X112" s="17" t="str">
        <f aca="false">IF((E112="m"),H112," ")</f>
        <v> </v>
      </c>
      <c r="Y112" s="17" t="str">
        <f aca="false">IF((E112="u"),H112," ")</f>
        <v> </v>
      </c>
      <c r="Z112" s="17" t="str">
        <f aca="false">IF((E112="a"),H112," ")</f>
        <v> </v>
      </c>
      <c r="AA112" s="17" t="str">
        <f aca="false">IF((E112="g"),H112," ")</f>
        <v> </v>
      </c>
      <c r="AB112" s="17" t="str">
        <f aca="false">IF((E112="h"),H112," ")</f>
        <v> </v>
      </c>
      <c r="AC112" s="30" t="str">
        <f aca="false">IF((E112="v"),H112," ")</f>
        <v> </v>
      </c>
      <c r="AD112" s="30" t="str">
        <f aca="false">IF((E112="n"),H112," ")</f>
        <v> </v>
      </c>
      <c r="AE112" s="17" t="str">
        <f aca="false">IF((E112="f"),H112," ")</f>
        <v> </v>
      </c>
      <c r="AF112" s="17" t="str">
        <f aca="false">IF((E112="l"),H112," ")</f>
        <v> </v>
      </c>
      <c r="AG112" s="17" t="str">
        <f aca="false">IF((E112="y"),H112," ")</f>
        <v> </v>
      </c>
      <c r="AH112" s="17" t="str">
        <f aca="false">IF((E112="z"),H112," ")</f>
        <v> </v>
      </c>
      <c r="AI112" s="17" t="str">
        <f aca="false">IF((E112="fa"),H112," ")</f>
        <v> </v>
      </c>
      <c r="AJ112" s="17" t="str">
        <f aca="false">IF((E112="e"),H112," ")</f>
        <v> </v>
      </c>
    </row>
    <row r="113" customFormat="false" ht="12" hidden="false" customHeight="false" outlineLevel="0" collapsed="false">
      <c r="A113" s="28"/>
      <c r="E113" s="2" t="str">
        <f aca="false">IF((F113&lt;&gt;0),"Enter Letter"," ")</f>
        <v> </v>
      </c>
      <c r="F113" s="30"/>
      <c r="G113" s="6" t="str">
        <f aca="false">IF(F113&lt;&gt;0,F113*G$2/(100+G$2)," ")</f>
        <v> </v>
      </c>
      <c r="H113" s="6" t="str">
        <f aca="false">IF((F113&lt;&gt;0),F113-G113," ")</f>
        <v> </v>
      </c>
      <c r="I113" s="5"/>
      <c r="L113" s="7" t="str">
        <f aca="false">IF(F113&lt;&gt;0,F113-K113," ")</f>
        <v> </v>
      </c>
      <c r="M113" s="8" t="str">
        <f aca="false">IF((F113-K113)&lt;&gt;0,M$1-A113," ")</f>
        <v> </v>
      </c>
      <c r="N113" s="5"/>
      <c r="O113" s="17" t="str">
        <f aca="false">IF((E113="s"),H113," ")</f>
        <v> </v>
      </c>
      <c r="P113" s="17" t="str">
        <f aca="false">IF((E113="c"),H113," ")</f>
        <v> </v>
      </c>
      <c r="Q113" s="17" t="str">
        <f aca="false">IF((E113="o"),H113," ")</f>
        <v> </v>
      </c>
      <c r="R113" s="17" t="str">
        <f aca="false">IF((E113="d"),H113," ")</f>
        <v> </v>
      </c>
      <c r="S113" s="17" t="str">
        <f aca="false">IF((E113="w"),H113," ")</f>
        <v> </v>
      </c>
      <c r="T113" s="17" t="str">
        <f aca="false">IF((E113="r"),H113," ")</f>
        <v> </v>
      </c>
      <c r="U113" s="17" t="str">
        <f aca="false">IF((E113="p"),H113," ")</f>
        <v> </v>
      </c>
      <c r="V113" s="17" t="str">
        <f aca="false">IF((E113="t"),H113," ")</f>
        <v> </v>
      </c>
      <c r="W113" s="17" t="str">
        <f aca="false">IF((E113="q"),H113," ")</f>
        <v> </v>
      </c>
      <c r="X113" s="17" t="str">
        <f aca="false">IF((E113="m"),H113," ")</f>
        <v> </v>
      </c>
      <c r="Y113" s="17" t="str">
        <f aca="false">IF((E113="u"),H113," ")</f>
        <v> </v>
      </c>
      <c r="Z113" s="17" t="str">
        <f aca="false">IF((E113="a"),H113," ")</f>
        <v> </v>
      </c>
      <c r="AA113" s="17" t="str">
        <f aca="false">IF((E113="g"),H113," ")</f>
        <v> </v>
      </c>
      <c r="AB113" s="17" t="str">
        <f aca="false">IF((E113="h"),H113," ")</f>
        <v> </v>
      </c>
      <c r="AC113" s="30" t="str">
        <f aca="false">IF((E113="v"),H113," ")</f>
        <v> </v>
      </c>
      <c r="AD113" s="30" t="str">
        <f aca="false">IF((E113="n"),H113," ")</f>
        <v> </v>
      </c>
      <c r="AE113" s="17" t="str">
        <f aca="false">IF((E113="f"),H113," ")</f>
        <v> </v>
      </c>
      <c r="AF113" s="17" t="str">
        <f aca="false">IF((E113="l"),H113," ")</f>
        <v> </v>
      </c>
      <c r="AG113" s="17" t="str">
        <f aca="false">IF((E113="y"),H113," ")</f>
        <v> </v>
      </c>
      <c r="AH113" s="17" t="str">
        <f aca="false">IF((E113="z"),H113," ")</f>
        <v> </v>
      </c>
      <c r="AI113" s="17" t="str">
        <f aca="false">IF((E113="fa"),H113," ")</f>
        <v> </v>
      </c>
      <c r="AJ113" s="17" t="str">
        <f aca="false">IF((E113="e"),H113," ")</f>
        <v> </v>
      </c>
    </row>
    <row r="114" customFormat="false" ht="12" hidden="false" customHeight="false" outlineLevel="0" collapsed="false">
      <c r="A114" s="28"/>
      <c r="E114" s="2" t="str">
        <f aca="false">IF((F114&lt;&gt;0),"Enter Letter"," ")</f>
        <v> </v>
      </c>
      <c r="F114" s="30"/>
      <c r="G114" s="6" t="str">
        <f aca="false">IF(F114&lt;&gt;0,F114*G$2/(100+G$2)," ")</f>
        <v> </v>
      </c>
      <c r="H114" s="6" t="str">
        <f aca="false">IF((F114&lt;&gt;0),F114-G114," ")</f>
        <v> </v>
      </c>
      <c r="I114" s="5"/>
      <c r="L114" s="7" t="str">
        <f aca="false">IF(F114&lt;&gt;0,F114-K114," ")</f>
        <v> </v>
      </c>
      <c r="M114" s="8" t="str">
        <f aca="false">IF((F114-K114)&lt;&gt;0,M$1-A114," ")</f>
        <v> </v>
      </c>
      <c r="N114" s="5"/>
      <c r="O114" s="17" t="str">
        <f aca="false">IF((E114="s"),H114," ")</f>
        <v> </v>
      </c>
      <c r="P114" s="17" t="str">
        <f aca="false">IF((E114="c"),H114," ")</f>
        <v> </v>
      </c>
      <c r="Q114" s="17" t="str">
        <f aca="false">IF((E114="o"),H114," ")</f>
        <v> </v>
      </c>
      <c r="R114" s="17" t="str">
        <f aca="false">IF((E114="d"),H114," ")</f>
        <v> </v>
      </c>
      <c r="S114" s="17" t="str">
        <f aca="false">IF((E114="w"),H114," ")</f>
        <v> </v>
      </c>
      <c r="T114" s="17" t="str">
        <f aca="false">IF((E114="r"),H114," ")</f>
        <v> </v>
      </c>
      <c r="U114" s="17" t="str">
        <f aca="false">IF((E114="p"),H114," ")</f>
        <v> </v>
      </c>
      <c r="V114" s="17" t="str">
        <f aca="false">IF((E114="t"),H114," ")</f>
        <v> </v>
      </c>
      <c r="W114" s="17" t="str">
        <f aca="false">IF((E114="q"),H114," ")</f>
        <v> </v>
      </c>
      <c r="X114" s="17" t="str">
        <f aca="false">IF((E114="m"),H114," ")</f>
        <v> </v>
      </c>
      <c r="Y114" s="17" t="str">
        <f aca="false">IF((E114="u"),H114," ")</f>
        <v> </v>
      </c>
      <c r="Z114" s="17" t="str">
        <f aca="false">IF((E114="a"),H114," ")</f>
        <v> </v>
      </c>
      <c r="AA114" s="17" t="str">
        <f aca="false">IF((E114="g"),H114," ")</f>
        <v> </v>
      </c>
      <c r="AB114" s="17" t="str">
        <f aca="false">IF((E114="h"),H114," ")</f>
        <v> </v>
      </c>
      <c r="AC114" s="30" t="str">
        <f aca="false">IF((E114="v"),H114," ")</f>
        <v> </v>
      </c>
      <c r="AD114" s="30" t="str">
        <f aca="false">IF((E114="n"),H114," ")</f>
        <v> </v>
      </c>
      <c r="AE114" s="17" t="str">
        <f aca="false">IF((E114="f"),H114," ")</f>
        <v> </v>
      </c>
      <c r="AF114" s="17" t="str">
        <f aca="false">IF((E114="l"),H114," ")</f>
        <v> </v>
      </c>
      <c r="AG114" s="17" t="str">
        <f aca="false">IF((E114="y"),H114," ")</f>
        <v> </v>
      </c>
      <c r="AH114" s="17" t="str">
        <f aca="false">IF((E114="z"),H114," ")</f>
        <v> </v>
      </c>
      <c r="AI114" s="17" t="str">
        <f aca="false">IF((E114="fa"),H114," ")</f>
        <v> </v>
      </c>
      <c r="AJ114" s="17" t="str">
        <f aca="false">IF((E114="e"),H114," ")</f>
        <v> </v>
      </c>
    </row>
    <row r="115" customFormat="false" ht="12" hidden="false" customHeight="false" outlineLevel="0" collapsed="false">
      <c r="A115" s="28"/>
      <c r="E115" s="2" t="str">
        <f aca="false">IF((F115&lt;&gt;0),"Enter Letter"," ")</f>
        <v> </v>
      </c>
      <c r="F115" s="30"/>
      <c r="G115" s="6" t="str">
        <f aca="false">IF(F115&lt;&gt;0,F115*G$2/(100+G$2)," ")</f>
        <v> </v>
      </c>
      <c r="H115" s="6" t="str">
        <f aca="false">IF((F115&lt;&gt;0),F115-G115," ")</f>
        <v> </v>
      </c>
      <c r="I115" s="5"/>
      <c r="L115" s="7" t="str">
        <f aca="false">IF(F115&lt;&gt;0,F115-K115," ")</f>
        <v> </v>
      </c>
      <c r="M115" s="8" t="str">
        <f aca="false">IF((F115-K115)&lt;&gt;0,M$1-A115," ")</f>
        <v> </v>
      </c>
      <c r="N115" s="5"/>
      <c r="O115" s="17" t="str">
        <f aca="false">IF((E115="s"),H115," ")</f>
        <v> </v>
      </c>
      <c r="P115" s="17" t="str">
        <f aca="false">IF((E115="c"),H115," ")</f>
        <v> </v>
      </c>
      <c r="Q115" s="17" t="str">
        <f aca="false">IF((E115="o"),H115," ")</f>
        <v> </v>
      </c>
      <c r="R115" s="17" t="str">
        <f aca="false">IF((E115="d"),H115," ")</f>
        <v> </v>
      </c>
      <c r="S115" s="17" t="str">
        <f aca="false">IF((E115="w"),H115," ")</f>
        <v> </v>
      </c>
      <c r="T115" s="17" t="str">
        <f aca="false">IF((E115="r"),H115," ")</f>
        <v> </v>
      </c>
      <c r="U115" s="17" t="str">
        <f aca="false">IF((E115="p"),H115," ")</f>
        <v> </v>
      </c>
      <c r="V115" s="17" t="str">
        <f aca="false">IF((E115="t"),H115," ")</f>
        <v> </v>
      </c>
      <c r="W115" s="17" t="str">
        <f aca="false">IF((E115="q"),H115," ")</f>
        <v> </v>
      </c>
      <c r="X115" s="17" t="str">
        <f aca="false">IF((E115="m"),H115," ")</f>
        <v> </v>
      </c>
      <c r="Y115" s="17" t="str">
        <f aca="false">IF((E115="u"),H115," ")</f>
        <v> </v>
      </c>
      <c r="Z115" s="17" t="str">
        <f aca="false">IF((E115="a"),H115," ")</f>
        <v> </v>
      </c>
      <c r="AA115" s="17" t="str">
        <f aca="false">IF((E115="g"),H115," ")</f>
        <v> </v>
      </c>
      <c r="AB115" s="17" t="str">
        <f aca="false">IF((E115="h"),H115," ")</f>
        <v> </v>
      </c>
      <c r="AC115" s="30" t="str">
        <f aca="false">IF((E115="v"),H115," ")</f>
        <v> </v>
      </c>
      <c r="AD115" s="30" t="str">
        <f aca="false">IF((E115="n"),H115," ")</f>
        <v> </v>
      </c>
      <c r="AE115" s="17" t="str">
        <f aca="false">IF((E115="f"),H115," ")</f>
        <v> </v>
      </c>
      <c r="AF115" s="17" t="str">
        <f aca="false">IF((E115="l"),H115," ")</f>
        <v> </v>
      </c>
      <c r="AG115" s="17" t="str">
        <f aca="false">IF((E115="y"),H115," ")</f>
        <v> </v>
      </c>
      <c r="AH115" s="17" t="str">
        <f aca="false">IF((E115="z"),H115," ")</f>
        <v> </v>
      </c>
      <c r="AI115" s="17" t="str">
        <f aca="false">IF((E115="fa"),H115," ")</f>
        <v> </v>
      </c>
      <c r="AJ115" s="17" t="str">
        <f aca="false">IF((E115="e"),H115," ")</f>
        <v> </v>
      </c>
    </row>
    <row r="116" customFormat="false" ht="12" hidden="false" customHeight="false" outlineLevel="0" collapsed="false">
      <c r="A116" s="28"/>
      <c r="E116" s="2" t="str">
        <f aca="false">IF((F116&lt;&gt;0),"Enter Letter"," ")</f>
        <v> </v>
      </c>
      <c r="F116" s="30"/>
      <c r="G116" s="6" t="str">
        <f aca="false">IF(F116&lt;&gt;0,F116*G$2/(100+G$2)," ")</f>
        <v> </v>
      </c>
      <c r="H116" s="6" t="str">
        <f aca="false">IF((F116&lt;&gt;0),F116-G116," ")</f>
        <v> </v>
      </c>
      <c r="I116" s="5"/>
      <c r="L116" s="7" t="str">
        <f aca="false">IF(F116&lt;&gt;0,F116-K116," ")</f>
        <v> </v>
      </c>
      <c r="M116" s="8" t="str">
        <f aca="false">IF((F116-K116)&lt;&gt;0,M$1-A116," ")</f>
        <v> </v>
      </c>
      <c r="N116" s="5"/>
      <c r="O116" s="17" t="str">
        <f aca="false">IF((E116="s"),H116," ")</f>
        <v> </v>
      </c>
      <c r="P116" s="17" t="str">
        <f aca="false">IF((E116="c"),H116," ")</f>
        <v> </v>
      </c>
      <c r="Q116" s="17" t="str">
        <f aca="false">IF((E116="o"),H116," ")</f>
        <v> </v>
      </c>
      <c r="R116" s="17" t="str">
        <f aca="false">IF((E116="d"),H116," ")</f>
        <v> </v>
      </c>
      <c r="S116" s="17" t="str">
        <f aca="false">IF((E116="w"),H116," ")</f>
        <v> </v>
      </c>
      <c r="T116" s="17" t="str">
        <f aca="false">IF((E116="r"),H116," ")</f>
        <v> </v>
      </c>
      <c r="U116" s="17" t="str">
        <f aca="false">IF((E116="p"),H116," ")</f>
        <v> </v>
      </c>
      <c r="V116" s="17" t="str">
        <f aca="false">IF((E116="t"),H116," ")</f>
        <v> </v>
      </c>
      <c r="W116" s="17" t="str">
        <f aca="false">IF((E116="q"),H116," ")</f>
        <v> </v>
      </c>
      <c r="X116" s="17" t="str">
        <f aca="false">IF((E116="m"),H116," ")</f>
        <v> </v>
      </c>
      <c r="Y116" s="17" t="str">
        <f aca="false">IF((E116="u"),H116," ")</f>
        <v> </v>
      </c>
      <c r="Z116" s="17" t="str">
        <f aca="false">IF((E116="a"),H116," ")</f>
        <v> </v>
      </c>
      <c r="AA116" s="17" t="str">
        <f aca="false">IF((E116="g"),H116," ")</f>
        <v> </v>
      </c>
      <c r="AB116" s="17" t="str">
        <f aca="false">IF((E116="h"),H116," ")</f>
        <v> </v>
      </c>
      <c r="AC116" s="30" t="str">
        <f aca="false">IF((E116="v"),H116," ")</f>
        <v> </v>
      </c>
      <c r="AD116" s="30" t="str">
        <f aca="false">IF((E116="n"),H116," ")</f>
        <v> </v>
      </c>
      <c r="AE116" s="17" t="str">
        <f aca="false">IF((E116="f"),H116," ")</f>
        <v> </v>
      </c>
      <c r="AF116" s="17" t="str">
        <f aca="false">IF((E116="l"),H116," ")</f>
        <v> </v>
      </c>
      <c r="AG116" s="17" t="str">
        <f aca="false">IF((E116="y"),H116," ")</f>
        <v> </v>
      </c>
      <c r="AH116" s="17" t="str">
        <f aca="false">IF((E116="z"),H116," ")</f>
        <v> </v>
      </c>
      <c r="AI116" s="17" t="str">
        <f aca="false">IF((E116="fa"),H116," ")</f>
        <v> </v>
      </c>
      <c r="AJ116" s="17" t="str">
        <f aca="false">IF((E116="e"),H116," ")</f>
        <v> </v>
      </c>
    </row>
    <row r="117" customFormat="false" ht="12" hidden="false" customHeight="false" outlineLevel="0" collapsed="false">
      <c r="A117" s="28"/>
      <c r="E117" s="2" t="str">
        <f aca="false">IF((F117&lt;&gt;0),"Enter Letter"," ")</f>
        <v> </v>
      </c>
      <c r="F117" s="30"/>
      <c r="G117" s="6" t="str">
        <f aca="false">IF(F117&lt;&gt;0,F117*G$2/(100+G$2)," ")</f>
        <v> </v>
      </c>
      <c r="H117" s="6" t="str">
        <f aca="false">IF((F117&lt;&gt;0),F117-G117," ")</f>
        <v> </v>
      </c>
      <c r="I117" s="5"/>
      <c r="L117" s="7" t="str">
        <f aca="false">IF(F117&lt;&gt;0,F117-K117," ")</f>
        <v> </v>
      </c>
      <c r="M117" s="8" t="str">
        <f aca="false">IF((F117-K117)&lt;&gt;0,M$1-A117," ")</f>
        <v> </v>
      </c>
      <c r="N117" s="5"/>
      <c r="O117" s="17" t="str">
        <f aca="false">IF((E117="s"),H117," ")</f>
        <v> </v>
      </c>
      <c r="P117" s="17" t="str">
        <f aca="false">IF((E117="c"),H117," ")</f>
        <v> </v>
      </c>
      <c r="Q117" s="17" t="str">
        <f aca="false">IF((E117="o"),H117," ")</f>
        <v> </v>
      </c>
      <c r="R117" s="17" t="str">
        <f aca="false">IF((E117="d"),H117," ")</f>
        <v> </v>
      </c>
      <c r="S117" s="17" t="str">
        <f aca="false">IF((E117="w"),H117," ")</f>
        <v> </v>
      </c>
      <c r="T117" s="17" t="str">
        <f aca="false">IF((E117="r"),H117," ")</f>
        <v> </v>
      </c>
      <c r="U117" s="17" t="str">
        <f aca="false">IF((E117="p"),H117," ")</f>
        <v> </v>
      </c>
      <c r="V117" s="17" t="str">
        <f aca="false">IF((E117="t"),H117," ")</f>
        <v> </v>
      </c>
      <c r="W117" s="17" t="str">
        <f aca="false">IF((E117="q"),H117," ")</f>
        <v> </v>
      </c>
      <c r="X117" s="17" t="str">
        <f aca="false">IF((E117="m"),H117," ")</f>
        <v> </v>
      </c>
      <c r="Y117" s="17" t="str">
        <f aca="false">IF((E117="u"),H117," ")</f>
        <v> </v>
      </c>
      <c r="Z117" s="17" t="str">
        <f aca="false">IF((E117="a"),H117," ")</f>
        <v> </v>
      </c>
      <c r="AA117" s="17" t="str">
        <f aca="false">IF((E117="g"),H117," ")</f>
        <v> </v>
      </c>
      <c r="AB117" s="17" t="str">
        <f aca="false">IF((E117="h"),H117," ")</f>
        <v> </v>
      </c>
      <c r="AC117" s="30" t="str">
        <f aca="false">IF((E117="v"),H117," ")</f>
        <v> </v>
      </c>
      <c r="AD117" s="30" t="str">
        <f aca="false">IF((E117="n"),H117," ")</f>
        <v> </v>
      </c>
      <c r="AE117" s="17" t="str">
        <f aca="false">IF((E117="f"),H117," ")</f>
        <v> </v>
      </c>
      <c r="AF117" s="17" t="str">
        <f aca="false">IF((E117="l"),H117," ")</f>
        <v> </v>
      </c>
      <c r="AG117" s="17" t="str">
        <f aca="false">IF((E117="y"),H117," ")</f>
        <v> </v>
      </c>
      <c r="AH117" s="17" t="str">
        <f aca="false">IF((E117="z"),H117," ")</f>
        <v> </v>
      </c>
      <c r="AI117" s="17" t="str">
        <f aca="false">IF((E117="fa"),H117," ")</f>
        <v> </v>
      </c>
      <c r="AJ117" s="17" t="str">
        <f aca="false">IF((E117="e"),H117," ")</f>
        <v> </v>
      </c>
    </row>
    <row r="118" customFormat="false" ht="12" hidden="false" customHeight="false" outlineLevel="0" collapsed="false">
      <c r="A118" s="28"/>
      <c r="E118" s="2" t="str">
        <f aca="false">IF((F118&lt;&gt;0),"Enter Letter"," ")</f>
        <v> </v>
      </c>
      <c r="F118" s="30"/>
      <c r="G118" s="6" t="str">
        <f aca="false">IF(F118&lt;&gt;0,F118*G$2/(100+G$2)," ")</f>
        <v> </v>
      </c>
      <c r="H118" s="6" t="str">
        <f aca="false">IF((F118&lt;&gt;0),F118-G118," ")</f>
        <v> </v>
      </c>
      <c r="I118" s="5"/>
      <c r="L118" s="7" t="str">
        <f aca="false">IF(F118&lt;&gt;0,F118-K118," ")</f>
        <v> </v>
      </c>
      <c r="M118" s="8" t="str">
        <f aca="false">IF((F118-K118)&lt;&gt;0,M$1-A118," ")</f>
        <v> </v>
      </c>
      <c r="N118" s="5"/>
      <c r="O118" s="17" t="str">
        <f aca="false">IF((E118="s"),H118," ")</f>
        <v> </v>
      </c>
      <c r="P118" s="17" t="str">
        <f aca="false">IF((E118="c"),H118," ")</f>
        <v> </v>
      </c>
      <c r="Q118" s="17" t="str">
        <f aca="false">IF((E118="o"),H118," ")</f>
        <v> </v>
      </c>
      <c r="R118" s="17" t="str">
        <f aca="false">IF((E118="d"),H118," ")</f>
        <v> </v>
      </c>
      <c r="S118" s="17" t="str">
        <f aca="false">IF((E118="w"),H118," ")</f>
        <v> </v>
      </c>
      <c r="T118" s="17" t="str">
        <f aca="false">IF((E118="r"),H118," ")</f>
        <v> </v>
      </c>
      <c r="U118" s="17" t="str">
        <f aca="false">IF((E118="p"),H118," ")</f>
        <v> </v>
      </c>
      <c r="V118" s="17" t="str">
        <f aca="false">IF((E118="t"),H118," ")</f>
        <v> </v>
      </c>
      <c r="W118" s="17" t="str">
        <f aca="false">IF((E118="q"),H118," ")</f>
        <v> </v>
      </c>
      <c r="X118" s="17" t="str">
        <f aca="false">IF((E118="m"),H118," ")</f>
        <v> </v>
      </c>
      <c r="Y118" s="17" t="str">
        <f aca="false">IF((E118="u"),H118," ")</f>
        <v> </v>
      </c>
      <c r="Z118" s="17" t="str">
        <f aca="false">IF((E118="a"),H118," ")</f>
        <v> </v>
      </c>
      <c r="AA118" s="17" t="str">
        <f aca="false">IF((E118="g"),H118," ")</f>
        <v> </v>
      </c>
      <c r="AB118" s="17" t="str">
        <f aca="false">IF((E118="h"),H118," ")</f>
        <v> </v>
      </c>
      <c r="AC118" s="30" t="str">
        <f aca="false">IF((E118="v"),H118," ")</f>
        <v> </v>
      </c>
      <c r="AD118" s="30" t="str">
        <f aca="false">IF((E118="n"),H118," ")</f>
        <v> </v>
      </c>
      <c r="AE118" s="17" t="str">
        <f aca="false">IF((E118="f"),H118," ")</f>
        <v> </v>
      </c>
      <c r="AF118" s="17" t="str">
        <f aca="false">IF((E118="l"),H118," ")</f>
        <v> </v>
      </c>
      <c r="AG118" s="17" t="str">
        <f aca="false">IF((E118="y"),H118," ")</f>
        <v> </v>
      </c>
      <c r="AH118" s="17" t="str">
        <f aca="false">IF((E118="z"),H118," ")</f>
        <v> </v>
      </c>
      <c r="AI118" s="17" t="str">
        <f aca="false">IF((E118="fa"),H118," ")</f>
        <v> </v>
      </c>
      <c r="AJ118" s="17" t="str">
        <f aca="false">IF((E118="e"),H118," ")</f>
        <v> </v>
      </c>
    </row>
    <row r="119" customFormat="false" ht="12" hidden="false" customHeight="false" outlineLevel="0" collapsed="false">
      <c r="A119" s="28"/>
      <c r="E119" s="2" t="str">
        <f aca="false">IF((F119&lt;&gt;0),"Enter Letter"," ")</f>
        <v> </v>
      </c>
      <c r="F119" s="30"/>
      <c r="G119" s="6" t="str">
        <f aca="false">IF(F119&lt;&gt;0,F119*G$2/(100+G$2)," ")</f>
        <v> </v>
      </c>
      <c r="H119" s="6" t="str">
        <f aca="false">IF((F119&lt;&gt;0),F119-G119," ")</f>
        <v> </v>
      </c>
      <c r="I119" s="5"/>
      <c r="L119" s="7" t="str">
        <f aca="false">IF(F119&lt;&gt;0,F119-K119," ")</f>
        <v> </v>
      </c>
      <c r="M119" s="8" t="str">
        <f aca="false">IF((F119-K119)&lt;&gt;0,M$1-A119," ")</f>
        <v> </v>
      </c>
      <c r="N119" s="5"/>
      <c r="O119" s="17" t="str">
        <f aca="false">IF((E119="s"),H119," ")</f>
        <v> </v>
      </c>
      <c r="P119" s="17" t="str">
        <f aca="false">IF((E119="c"),H119," ")</f>
        <v> </v>
      </c>
      <c r="Q119" s="17" t="str">
        <f aca="false">IF((E119="o"),H119," ")</f>
        <v> </v>
      </c>
      <c r="R119" s="17" t="str">
        <f aca="false">IF((E119="d"),H119," ")</f>
        <v> </v>
      </c>
      <c r="S119" s="17" t="str">
        <f aca="false">IF((E119="w"),H119," ")</f>
        <v> </v>
      </c>
      <c r="T119" s="17" t="str">
        <f aca="false">IF((E119="r"),H119," ")</f>
        <v> </v>
      </c>
      <c r="U119" s="17" t="str">
        <f aca="false">IF((E119="p"),H119," ")</f>
        <v> </v>
      </c>
      <c r="V119" s="17" t="str">
        <f aca="false">IF((E119="t"),H119," ")</f>
        <v> </v>
      </c>
      <c r="W119" s="17" t="str">
        <f aca="false">IF((E119="q"),H119," ")</f>
        <v> </v>
      </c>
      <c r="X119" s="17" t="str">
        <f aca="false">IF((E119="m"),H119," ")</f>
        <v> </v>
      </c>
      <c r="Y119" s="17" t="str">
        <f aca="false">IF((E119="u"),H119," ")</f>
        <v> </v>
      </c>
      <c r="Z119" s="17" t="str">
        <f aca="false">IF((E119="a"),H119," ")</f>
        <v> </v>
      </c>
      <c r="AA119" s="17" t="str">
        <f aca="false">IF((E119="g"),H119," ")</f>
        <v> </v>
      </c>
      <c r="AB119" s="17" t="str">
        <f aca="false">IF((E119="h"),H119," ")</f>
        <v> </v>
      </c>
      <c r="AC119" s="30" t="str">
        <f aca="false">IF((E119="v"),H119," ")</f>
        <v> </v>
      </c>
      <c r="AD119" s="30" t="str">
        <f aca="false">IF((E119="n"),H119," ")</f>
        <v> </v>
      </c>
      <c r="AE119" s="17" t="str">
        <f aca="false">IF((E119="f"),H119," ")</f>
        <v> </v>
      </c>
      <c r="AF119" s="17" t="str">
        <f aca="false">IF((E119="l"),H119," ")</f>
        <v> </v>
      </c>
      <c r="AG119" s="17" t="str">
        <f aca="false">IF((E119="y"),H119," ")</f>
        <v> </v>
      </c>
      <c r="AH119" s="17" t="str">
        <f aca="false">IF((E119="z"),H119," ")</f>
        <v> </v>
      </c>
      <c r="AI119" s="17" t="str">
        <f aca="false">IF((E119="fa"),H119," ")</f>
        <v> </v>
      </c>
      <c r="AJ119" s="17" t="str">
        <f aca="false">IF((E119="e"),H119," ")</f>
        <v> </v>
      </c>
    </row>
    <row r="120" customFormat="false" ht="12" hidden="false" customHeight="false" outlineLevel="0" collapsed="false">
      <c r="A120" s="28"/>
      <c r="E120" s="2" t="str">
        <f aca="false">IF((F120&lt;&gt;0),"Enter Letter"," ")</f>
        <v> </v>
      </c>
      <c r="F120" s="30"/>
      <c r="G120" s="6" t="str">
        <f aca="false">IF(F120&lt;&gt;0,F120*G$2/(100+G$2)," ")</f>
        <v> </v>
      </c>
      <c r="H120" s="6" t="str">
        <f aca="false">IF((F120&lt;&gt;0),F120-G120," ")</f>
        <v> </v>
      </c>
      <c r="I120" s="5"/>
      <c r="L120" s="7" t="str">
        <f aca="false">IF(F120&lt;&gt;0,F120-K120," ")</f>
        <v> </v>
      </c>
      <c r="M120" s="8" t="str">
        <f aca="false">IF((F120-K120)&lt;&gt;0,M$1-A120," ")</f>
        <v> </v>
      </c>
      <c r="N120" s="5"/>
      <c r="O120" s="17" t="str">
        <f aca="false">IF((E120="s"),H120," ")</f>
        <v> </v>
      </c>
      <c r="P120" s="17" t="str">
        <f aca="false">IF((E120="c"),H120," ")</f>
        <v> </v>
      </c>
      <c r="Q120" s="17" t="str">
        <f aca="false">IF((E120="o"),H120," ")</f>
        <v> </v>
      </c>
      <c r="R120" s="17" t="str">
        <f aca="false">IF((E120="d"),H120," ")</f>
        <v> </v>
      </c>
      <c r="S120" s="17" t="str">
        <f aca="false">IF((E120="w"),H120," ")</f>
        <v> </v>
      </c>
      <c r="T120" s="17" t="str">
        <f aca="false">IF((E120="r"),H120," ")</f>
        <v> </v>
      </c>
      <c r="U120" s="17" t="str">
        <f aca="false">IF((E120="p"),H120," ")</f>
        <v> </v>
      </c>
      <c r="V120" s="17" t="str">
        <f aca="false">IF((E120="t"),H120," ")</f>
        <v> </v>
      </c>
      <c r="W120" s="17" t="str">
        <f aca="false">IF((E120="q"),H120," ")</f>
        <v> </v>
      </c>
      <c r="X120" s="17" t="str">
        <f aca="false">IF((E120="m"),H120," ")</f>
        <v> </v>
      </c>
      <c r="Y120" s="17" t="str">
        <f aca="false">IF((E120="u"),H120," ")</f>
        <v> </v>
      </c>
      <c r="Z120" s="17" t="str">
        <f aca="false">IF((E120="a"),H120," ")</f>
        <v> </v>
      </c>
      <c r="AA120" s="17" t="str">
        <f aca="false">IF((E120="g"),H120," ")</f>
        <v> </v>
      </c>
      <c r="AB120" s="17" t="str">
        <f aca="false">IF((E120="h"),H120," ")</f>
        <v> </v>
      </c>
      <c r="AC120" s="30" t="str">
        <f aca="false">IF((E120="v"),H120," ")</f>
        <v> </v>
      </c>
      <c r="AD120" s="30" t="str">
        <f aca="false">IF((E120="n"),H120," ")</f>
        <v> </v>
      </c>
      <c r="AE120" s="17" t="str">
        <f aca="false">IF((E120="f"),H120," ")</f>
        <v> </v>
      </c>
      <c r="AF120" s="17" t="str">
        <f aca="false">IF((E120="l"),H120," ")</f>
        <v> </v>
      </c>
      <c r="AG120" s="17" t="str">
        <f aca="false">IF((E120="y"),H120," ")</f>
        <v> </v>
      </c>
      <c r="AH120" s="17" t="str">
        <f aca="false">IF((E120="z"),H120," ")</f>
        <v> </v>
      </c>
      <c r="AI120" s="17" t="str">
        <f aca="false">IF((E120="fa"),H120," ")</f>
        <v> </v>
      </c>
      <c r="AJ120" s="17" t="str">
        <f aca="false">IF((E120="e"),H120," ")</f>
        <v> </v>
      </c>
    </row>
    <row r="121" customFormat="false" ht="12" hidden="false" customHeight="false" outlineLevel="0" collapsed="false">
      <c r="A121" s="28"/>
      <c r="E121" s="2" t="str">
        <f aca="false">IF((F121&lt;&gt;0),"Enter Letter"," ")</f>
        <v> </v>
      </c>
      <c r="F121" s="30"/>
      <c r="G121" s="6" t="str">
        <f aca="false">IF(F121&lt;&gt;0,F121*G$2/(100+G$2)," ")</f>
        <v> </v>
      </c>
      <c r="H121" s="6" t="str">
        <f aca="false">IF((F121&lt;&gt;0),F121-G121," ")</f>
        <v> </v>
      </c>
      <c r="I121" s="5"/>
      <c r="L121" s="7" t="str">
        <f aca="false">IF(F121&lt;&gt;0,F121-K121," ")</f>
        <v> </v>
      </c>
      <c r="M121" s="8" t="str">
        <f aca="false">IF((F121-K121)&lt;&gt;0,M$1-A121," ")</f>
        <v> </v>
      </c>
      <c r="N121" s="5"/>
      <c r="O121" s="17" t="str">
        <f aca="false">IF((E121="s"),H121," ")</f>
        <v> </v>
      </c>
      <c r="P121" s="17" t="str">
        <f aca="false">IF((E121="c"),H121," ")</f>
        <v> </v>
      </c>
      <c r="Q121" s="17" t="str">
        <f aca="false">IF((E121="o"),H121," ")</f>
        <v> </v>
      </c>
      <c r="R121" s="17" t="str">
        <f aca="false">IF((E121="d"),H121," ")</f>
        <v> </v>
      </c>
      <c r="S121" s="17" t="str">
        <f aca="false">IF((E121="w"),H121," ")</f>
        <v> </v>
      </c>
      <c r="T121" s="17" t="str">
        <f aca="false">IF((E121="r"),H121," ")</f>
        <v> </v>
      </c>
      <c r="U121" s="17" t="str">
        <f aca="false">IF((E121="p"),H121," ")</f>
        <v> </v>
      </c>
      <c r="V121" s="17" t="str">
        <f aca="false">IF((E121="t"),H121," ")</f>
        <v> </v>
      </c>
      <c r="W121" s="17" t="str">
        <f aca="false">IF((E121="q"),H121," ")</f>
        <v> </v>
      </c>
      <c r="X121" s="17" t="str">
        <f aca="false">IF((E121="m"),H121," ")</f>
        <v> </v>
      </c>
      <c r="Y121" s="17" t="str">
        <f aca="false">IF((E121="u"),H121," ")</f>
        <v> </v>
      </c>
      <c r="Z121" s="17" t="str">
        <f aca="false">IF((E121="a"),H121," ")</f>
        <v> </v>
      </c>
      <c r="AA121" s="17" t="str">
        <f aca="false">IF((E121="g"),H121," ")</f>
        <v> </v>
      </c>
      <c r="AB121" s="17" t="str">
        <f aca="false">IF((E121="h"),H121," ")</f>
        <v> </v>
      </c>
      <c r="AC121" s="30" t="str">
        <f aca="false">IF((E121="v"),H121," ")</f>
        <v> </v>
      </c>
      <c r="AD121" s="30" t="str">
        <f aca="false">IF((E121="n"),H121," ")</f>
        <v> </v>
      </c>
      <c r="AE121" s="17" t="str">
        <f aca="false">IF((E121="f"),H121," ")</f>
        <v> </v>
      </c>
      <c r="AF121" s="17" t="str">
        <f aca="false">IF((E121="l"),H121," ")</f>
        <v> </v>
      </c>
      <c r="AG121" s="17" t="str">
        <f aca="false">IF((E121="y"),H121," ")</f>
        <v> </v>
      </c>
      <c r="AH121" s="17" t="str">
        <f aca="false">IF((E121="z"),H121," ")</f>
        <v> </v>
      </c>
      <c r="AI121" s="17" t="str">
        <f aca="false">IF((E121="fa"),H121," ")</f>
        <v> </v>
      </c>
      <c r="AJ121" s="17" t="str">
        <f aca="false">IF((E121="e"),H121," ")</f>
        <v> </v>
      </c>
    </row>
    <row r="122" customFormat="false" ht="12" hidden="false" customHeight="false" outlineLevel="0" collapsed="false">
      <c r="A122" s="28"/>
      <c r="E122" s="2" t="str">
        <f aca="false">IF((F122&lt;&gt;0),"Enter Letter"," ")</f>
        <v> </v>
      </c>
      <c r="F122" s="30"/>
      <c r="G122" s="6" t="str">
        <f aca="false">IF(F122&lt;&gt;0,F122*G$2/(100+G$2)," ")</f>
        <v> </v>
      </c>
      <c r="H122" s="6" t="str">
        <f aca="false">IF((F122&lt;&gt;0),F122-G122," ")</f>
        <v> </v>
      </c>
      <c r="I122" s="5"/>
      <c r="L122" s="7" t="str">
        <f aca="false">IF(F122&lt;&gt;0,F122-K122," ")</f>
        <v> </v>
      </c>
      <c r="M122" s="8" t="str">
        <f aca="false">IF((F122-K122)&lt;&gt;0,M$1-A122," ")</f>
        <v> </v>
      </c>
      <c r="N122" s="5"/>
      <c r="O122" s="17" t="str">
        <f aca="false">IF((E122="s"),H122," ")</f>
        <v> </v>
      </c>
      <c r="P122" s="17" t="str">
        <f aca="false">IF((E122="c"),H122," ")</f>
        <v> </v>
      </c>
      <c r="Q122" s="17" t="str">
        <f aca="false">IF((E122="o"),H122," ")</f>
        <v> </v>
      </c>
      <c r="R122" s="17" t="str">
        <f aca="false">IF((E122="d"),H122," ")</f>
        <v> </v>
      </c>
      <c r="S122" s="17" t="str">
        <f aca="false">IF((E122="w"),H122," ")</f>
        <v> </v>
      </c>
      <c r="T122" s="17" t="str">
        <f aca="false">IF((E122="r"),H122," ")</f>
        <v> </v>
      </c>
      <c r="U122" s="17" t="str">
        <f aca="false">IF((E122="p"),H122," ")</f>
        <v> </v>
      </c>
      <c r="V122" s="17" t="str">
        <f aca="false">IF((E122="t"),H122," ")</f>
        <v> </v>
      </c>
      <c r="W122" s="17" t="str">
        <f aca="false">IF((E122="q"),H122," ")</f>
        <v> </v>
      </c>
      <c r="X122" s="17" t="str">
        <f aca="false">IF((E122="m"),H122," ")</f>
        <v> </v>
      </c>
      <c r="Y122" s="17" t="str">
        <f aca="false">IF((E122="u"),H122," ")</f>
        <v> </v>
      </c>
      <c r="Z122" s="17" t="str">
        <f aca="false">IF((E122="a"),H122," ")</f>
        <v> </v>
      </c>
      <c r="AA122" s="17" t="str">
        <f aca="false">IF((E122="g"),H122," ")</f>
        <v> </v>
      </c>
      <c r="AB122" s="17" t="str">
        <f aca="false">IF((E122="h"),H122," ")</f>
        <v> </v>
      </c>
      <c r="AC122" s="30" t="str">
        <f aca="false">IF((E122="v"),H122," ")</f>
        <v> </v>
      </c>
      <c r="AD122" s="30" t="str">
        <f aca="false">IF((E122="n"),H122," ")</f>
        <v> </v>
      </c>
      <c r="AE122" s="17" t="str">
        <f aca="false">IF((E122="f"),H122," ")</f>
        <v> </v>
      </c>
      <c r="AF122" s="17" t="str">
        <f aca="false">IF((E122="l"),H122," ")</f>
        <v> </v>
      </c>
      <c r="AG122" s="17" t="str">
        <f aca="false">IF((E122="y"),H122," ")</f>
        <v> </v>
      </c>
      <c r="AH122" s="17" t="str">
        <f aca="false">IF((E122="z"),H122," ")</f>
        <v> </v>
      </c>
      <c r="AI122" s="17" t="str">
        <f aca="false">IF((E122="fa"),H122," ")</f>
        <v> </v>
      </c>
      <c r="AJ122" s="17" t="str">
        <f aca="false">IF((E122="e"),H122," ")</f>
        <v> </v>
      </c>
    </row>
    <row r="123" customFormat="false" ht="12" hidden="false" customHeight="false" outlineLevel="0" collapsed="false">
      <c r="A123" s="28"/>
      <c r="E123" s="2" t="str">
        <f aca="false">IF((F123&lt;&gt;0),"Enter Letter"," ")</f>
        <v> </v>
      </c>
      <c r="F123" s="30"/>
      <c r="G123" s="6" t="str">
        <f aca="false">IF(F123&lt;&gt;0,F123*G$2/(100+G$2)," ")</f>
        <v> </v>
      </c>
      <c r="H123" s="6" t="str">
        <f aca="false">IF((F123&lt;&gt;0),F123-G123," ")</f>
        <v> </v>
      </c>
      <c r="I123" s="5"/>
      <c r="L123" s="7" t="str">
        <f aca="false">IF(F123&lt;&gt;0,F123-K123," ")</f>
        <v> </v>
      </c>
      <c r="M123" s="8" t="str">
        <f aca="false">IF((F123-K123)&lt;&gt;0,M$1-A123," ")</f>
        <v> </v>
      </c>
      <c r="N123" s="5"/>
      <c r="O123" s="17" t="str">
        <f aca="false">IF((E123="s"),H123," ")</f>
        <v> </v>
      </c>
      <c r="P123" s="17" t="str">
        <f aca="false">IF((E123="c"),H123," ")</f>
        <v> </v>
      </c>
      <c r="Q123" s="17" t="str">
        <f aca="false">IF((E123="o"),H123," ")</f>
        <v> </v>
      </c>
      <c r="R123" s="17" t="str">
        <f aca="false">IF((E123="d"),H123," ")</f>
        <v> </v>
      </c>
      <c r="S123" s="17" t="str">
        <f aca="false">IF((E123="w"),H123," ")</f>
        <v> </v>
      </c>
      <c r="T123" s="17" t="str">
        <f aca="false">IF((E123="r"),H123," ")</f>
        <v> </v>
      </c>
      <c r="U123" s="17" t="str">
        <f aca="false">IF((E123="p"),H123," ")</f>
        <v> </v>
      </c>
      <c r="V123" s="17" t="str">
        <f aca="false">IF((E123="t"),H123," ")</f>
        <v> </v>
      </c>
      <c r="W123" s="17" t="str">
        <f aca="false">IF((E123="q"),H123," ")</f>
        <v> </v>
      </c>
      <c r="X123" s="17" t="str">
        <f aca="false">IF((E123="m"),H123," ")</f>
        <v> </v>
      </c>
      <c r="Y123" s="17" t="str">
        <f aca="false">IF((E123="u"),H123," ")</f>
        <v> </v>
      </c>
      <c r="Z123" s="17" t="str">
        <f aca="false">IF((E123="a"),H123," ")</f>
        <v> </v>
      </c>
      <c r="AA123" s="17" t="str">
        <f aca="false">IF((E123="g"),H123," ")</f>
        <v> </v>
      </c>
      <c r="AB123" s="17" t="str">
        <f aca="false">IF((E123="h"),H123," ")</f>
        <v> </v>
      </c>
      <c r="AC123" s="30" t="str">
        <f aca="false">IF((E123="v"),H123," ")</f>
        <v> </v>
      </c>
      <c r="AD123" s="30" t="str">
        <f aca="false">IF((E123="n"),H123," ")</f>
        <v> </v>
      </c>
      <c r="AE123" s="17" t="str">
        <f aca="false">IF((E123="f"),H123," ")</f>
        <v> </v>
      </c>
      <c r="AF123" s="17" t="str">
        <f aca="false">IF((E123="l"),H123," ")</f>
        <v> </v>
      </c>
      <c r="AG123" s="17" t="str">
        <f aca="false">IF((E123="y"),H123," ")</f>
        <v> </v>
      </c>
      <c r="AH123" s="17" t="str">
        <f aca="false">IF((E123="z"),H123," ")</f>
        <v> </v>
      </c>
      <c r="AI123" s="17" t="str">
        <f aca="false">IF((E123="fa"),H123," ")</f>
        <v> </v>
      </c>
      <c r="AJ123" s="17" t="str">
        <f aca="false">IF((E123="e"),H123," ")</f>
        <v> </v>
      </c>
    </row>
    <row r="124" customFormat="false" ht="12" hidden="false" customHeight="false" outlineLevel="0" collapsed="false">
      <c r="A124" s="28"/>
      <c r="E124" s="2" t="str">
        <f aca="false">IF((F124&lt;&gt;0),"Enter Letter"," ")</f>
        <v> </v>
      </c>
      <c r="F124" s="30"/>
      <c r="G124" s="6" t="str">
        <f aca="false">IF(F124&lt;&gt;0,F124*G$2/(100+G$2)," ")</f>
        <v> </v>
      </c>
      <c r="H124" s="6" t="str">
        <f aca="false">IF((F124&lt;&gt;0),F124-G124," ")</f>
        <v> </v>
      </c>
      <c r="I124" s="5"/>
      <c r="L124" s="7" t="str">
        <f aca="false">IF(F124&lt;&gt;0,F124-K124," ")</f>
        <v> </v>
      </c>
      <c r="M124" s="8" t="str">
        <f aca="false">IF((F124-K124)&lt;&gt;0,M$1-A124," ")</f>
        <v> </v>
      </c>
      <c r="N124" s="5"/>
      <c r="O124" s="17" t="str">
        <f aca="false">IF((E124="s"),H124," ")</f>
        <v> </v>
      </c>
      <c r="P124" s="17" t="str">
        <f aca="false">IF((E124="c"),H124," ")</f>
        <v> </v>
      </c>
      <c r="Q124" s="17" t="str">
        <f aca="false">IF((E124="o"),H124," ")</f>
        <v> </v>
      </c>
      <c r="R124" s="17" t="str">
        <f aca="false">IF((E124="d"),H124," ")</f>
        <v> </v>
      </c>
      <c r="S124" s="17" t="str">
        <f aca="false">IF((E124="w"),H124," ")</f>
        <v> </v>
      </c>
      <c r="T124" s="17" t="str">
        <f aca="false">IF((E124="r"),H124," ")</f>
        <v> </v>
      </c>
      <c r="U124" s="17" t="str">
        <f aca="false">IF((E124="p"),H124," ")</f>
        <v> </v>
      </c>
      <c r="V124" s="17" t="str">
        <f aca="false">IF((E124="t"),H124," ")</f>
        <v> </v>
      </c>
      <c r="W124" s="17" t="str">
        <f aca="false">IF((E124="q"),H124," ")</f>
        <v> </v>
      </c>
      <c r="X124" s="17" t="str">
        <f aca="false">IF((E124="m"),H124," ")</f>
        <v> </v>
      </c>
      <c r="Y124" s="17" t="str">
        <f aca="false">IF((E124="u"),H124," ")</f>
        <v> </v>
      </c>
      <c r="Z124" s="17" t="str">
        <f aca="false">IF((E124="a"),H124," ")</f>
        <v> </v>
      </c>
      <c r="AA124" s="17" t="str">
        <f aca="false">IF((E124="g"),H124," ")</f>
        <v> </v>
      </c>
      <c r="AB124" s="17" t="str">
        <f aca="false">IF((E124="h"),H124," ")</f>
        <v> </v>
      </c>
      <c r="AC124" s="30" t="str">
        <f aca="false">IF((E124="v"),H124," ")</f>
        <v> </v>
      </c>
      <c r="AD124" s="30" t="str">
        <f aca="false">IF((E124="n"),H124," ")</f>
        <v> </v>
      </c>
      <c r="AE124" s="17" t="str">
        <f aca="false">IF((E124="f"),H124," ")</f>
        <v> </v>
      </c>
      <c r="AF124" s="17" t="str">
        <f aca="false">IF((E124="l"),H124," ")</f>
        <v> </v>
      </c>
      <c r="AG124" s="17" t="str">
        <f aca="false">IF((E124="y"),H124," ")</f>
        <v> </v>
      </c>
      <c r="AH124" s="17" t="str">
        <f aca="false">IF((E124="z"),H124," ")</f>
        <v> </v>
      </c>
      <c r="AI124" s="17" t="str">
        <f aca="false">IF((E124="fa"),H124," ")</f>
        <v> </v>
      </c>
      <c r="AJ124" s="17" t="str">
        <f aca="false">IF((E124="e"),H124," ")</f>
        <v> </v>
      </c>
    </row>
    <row r="125" customFormat="false" ht="12" hidden="false" customHeight="false" outlineLevel="0" collapsed="false">
      <c r="A125" s="28"/>
      <c r="E125" s="2" t="str">
        <f aca="false">IF((F125&lt;&gt;0),"Enter Letter"," ")</f>
        <v> </v>
      </c>
      <c r="F125" s="30"/>
      <c r="G125" s="6" t="str">
        <f aca="false">IF(F125&lt;&gt;0,F125*G$2/(100+G$2)," ")</f>
        <v> </v>
      </c>
      <c r="H125" s="6" t="str">
        <f aca="false">IF((F125&lt;&gt;0),F125-G125," ")</f>
        <v> </v>
      </c>
      <c r="I125" s="5"/>
      <c r="L125" s="7" t="str">
        <f aca="false">IF(F125&lt;&gt;0,F125-K125," ")</f>
        <v> </v>
      </c>
      <c r="M125" s="8" t="str">
        <f aca="false">IF((F125-K125)&lt;&gt;0,M$1-A125," ")</f>
        <v> </v>
      </c>
      <c r="N125" s="5"/>
      <c r="O125" s="17" t="str">
        <f aca="false">IF((E125="s"),H125," ")</f>
        <v> </v>
      </c>
      <c r="P125" s="17" t="str">
        <f aca="false">IF((E125="c"),H125," ")</f>
        <v> </v>
      </c>
      <c r="Q125" s="17" t="str">
        <f aca="false">IF((E125="o"),H125," ")</f>
        <v> </v>
      </c>
      <c r="R125" s="17" t="str">
        <f aca="false">IF((E125="d"),H125," ")</f>
        <v> </v>
      </c>
      <c r="S125" s="17" t="str">
        <f aca="false">IF((E125="w"),H125," ")</f>
        <v> </v>
      </c>
      <c r="T125" s="17" t="str">
        <f aca="false">IF((E125="r"),H125," ")</f>
        <v> </v>
      </c>
      <c r="U125" s="17" t="str">
        <f aca="false">IF((E125="p"),H125," ")</f>
        <v> </v>
      </c>
      <c r="V125" s="17" t="str">
        <f aca="false">IF((E125="t"),H125," ")</f>
        <v> </v>
      </c>
      <c r="W125" s="17" t="str">
        <f aca="false">IF((E125="q"),H125," ")</f>
        <v> </v>
      </c>
      <c r="X125" s="17" t="str">
        <f aca="false">IF((E125="m"),H125," ")</f>
        <v> </v>
      </c>
      <c r="Y125" s="17" t="str">
        <f aca="false">IF((E125="u"),H125," ")</f>
        <v> </v>
      </c>
      <c r="Z125" s="17" t="str">
        <f aca="false">IF((E125="a"),H125," ")</f>
        <v> </v>
      </c>
      <c r="AA125" s="17" t="str">
        <f aca="false">IF((E125="g"),H125," ")</f>
        <v> </v>
      </c>
      <c r="AB125" s="17" t="str">
        <f aca="false">IF((E125="h"),H125," ")</f>
        <v> </v>
      </c>
      <c r="AC125" s="30" t="str">
        <f aca="false">IF((E125="v"),H125," ")</f>
        <v> </v>
      </c>
      <c r="AD125" s="30" t="str">
        <f aca="false">IF((E125="n"),H125," ")</f>
        <v> </v>
      </c>
      <c r="AE125" s="17" t="str">
        <f aca="false">IF((E125="f"),H125," ")</f>
        <v> </v>
      </c>
      <c r="AF125" s="17" t="str">
        <f aca="false">IF((E125="l"),H125," ")</f>
        <v> </v>
      </c>
      <c r="AG125" s="17" t="str">
        <f aca="false">IF((E125="y"),H125," ")</f>
        <v> </v>
      </c>
      <c r="AH125" s="17" t="str">
        <f aca="false">IF((E125="z"),H125," ")</f>
        <v> </v>
      </c>
      <c r="AI125" s="17" t="str">
        <f aca="false">IF((E125="fa"),H125," ")</f>
        <v> </v>
      </c>
      <c r="AJ125" s="17" t="str">
        <f aca="false">IF((E125="e"),H125," ")</f>
        <v> </v>
      </c>
    </row>
    <row r="126" customFormat="false" ht="12" hidden="false" customHeight="false" outlineLevel="0" collapsed="false">
      <c r="A126" s="28"/>
      <c r="E126" s="2" t="str">
        <f aca="false">IF((F126&lt;&gt;0),"Enter Letter"," ")</f>
        <v> </v>
      </c>
      <c r="F126" s="30"/>
      <c r="G126" s="6" t="str">
        <f aca="false">IF(F126&lt;&gt;0,F126*G$2/(100+G$2)," ")</f>
        <v> </v>
      </c>
      <c r="H126" s="6" t="str">
        <f aca="false">IF((F126&lt;&gt;0),F126-G126," ")</f>
        <v> </v>
      </c>
      <c r="I126" s="5"/>
      <c r="L126" s="7" t="str">
        <f aca="false">IF(F126&lt;&gt;0,F126-K126," ")</f>
        <v> </v>
      </c>
      <c r="M126" s="8" t="str">
        <f aca="false">IF((F126-K126)&lt;&gt;0,M$1-A126," ")</f>
        <v> </v>
      </c>
      <c r="N126" s="5"/>
      <c r="O126" s="17" t="str">
        <f aca="false">IF((E126="s"),H126," ")</f>
        <v> </v>
      </c>
      <c r="P126" s="17" t="str">
        <f aca="false">IF((E126="c"),H126," ")</f>
        <v> </v>
      </c>
      <c r="Q126" s="17" t="str">
        <f aca="false">IF((E126="o"),H126," ")</f>
        <v> </v>
      </c>
      <c r="R126" s="17" t="str">
        <f aca="false">IF((E126="d"),H126," ")</f>
        <v> </v>
      </c>
      <c r="S126" s="17" t="str">
        <f aca="false">IF((E126="w"),H126," ")</f>
        <v> </v>
      </c>
      <c r="T126" s="17" t="str">
        <f aca="false">IF((E126="r"),H126," ")</f>
        <v> </v>
      </c>
      <c r="U126" s="17" t="str">
        <f aca="false">IF((E126="p"),H126," ")</f>
        <v> </v>
      </c>
      <c r="V126" s="17" t="str">
        <f aca="false">IF((E126="t"),H126," ")</f>
        <v> </v>
      </c>
      <c r="W126" s="17" t="str">
        <f aca="false">IF((E126="q"),H126," ")</f>
        <v> </v>
      </c>
      <c r="X126" s="17" t="str">
        <f aca="false">IF((E126="m"),H126," ")</f>
        <v> </v>
      </c>
      <c r="Y126" s="17" t="str">
        <f aca="false">IF((E126="u"),H126," ")</f>
        <v> </v>
      </c>
      <c r="Z126" s="17" t="str">
        <f aca="false">IF((E126="a"),H126," ")</f>
        <v> </v>
      </c>
      <c r="AA126" s="17" t="str">
        <f aca="false">IF((E126="g"),H126," ")</f>
        <v> </v>
      </c>
      <c r="AB126" s="17" t="str">
        <f aca="false">IF((E126="h"),H126," ")</f>
        <v> </v>
      </c>
      <c r="AC126" s="30" t="str">
        <f aca="false">IF((E126="v"),H126," ")</f>
        <v> </v>
      </c>
      <c r="AD126" s="30" t="str">
        <f aca="false">IF((E126="n"),H126," ")</f>
        <v> </v>
      </c>
      <c r="AE126" s="17" t="str">
        <f aca="false">IF((E126="f"),H126," ")</f>
        <v> </v>
      </c>
      <c r="AF126" s="17" t="str">
        <f aca="false">IF((E126="l"),H126," ")</f>
        <v> </v>
      </c>
      <c r="AG126" s="17" t="str">
        <f aca="false">IF((E126="y"),H126," ")</f>
        <v> </v>
      </c>
      <c r="AH126" s="17" t="str">
        <f aca="false">IF((E126="z"),H126," ")</f>
        <v> </v>
      </c>
      <c r="AI126" s="17" t="str">
        <f aca="false">IF((E126="fa"),H126," ")</f>
        <v> </v>
      </c>
      <c r="AJ126" s="17" t="str">
        <f aca="false">IF((E126="e"),H126," ")</f>
        <v> </v>
      </c>
    </row>
    <row r="127" customFormat="false" ht="12" hidden="false" customHeight="false" outlineLevel="0" collapsed="false">
      <c r="A127" s="28"/>
      <c r="E127" s="2" t="str">
        <f aca="false">IF((F127&lt;&gt;0),"Enter Letter"," ")</f>
        <v> </v>
      </c>
      <c r="F127" s="30"/>
      <c r="G127" s="6" t="str">
        <f aca="false">IF(F127&lt;&gt;0,F127*G$2/(100+G$2)," ")</f>
        <v> </v>
      </c>
      <c r="H127" s="6" t="str">
        <f aca="false">IF((F127&lt;&gt;0),F127-G127," ")</f>
        <v> </v>
      </c>
      <c r="I127" s="5"/>
      <c r="L127" s="7" t="str">
        <f aca="false">IF(F127&lt;&gt;0,F127-K127," ")</f>
        <v> </v>
      </c>
      <c r="M127" s="8" t="str">
        <f aca="false">IF((F127-K127)&lt;&gt;0,M$1-A127," ")</f>
        <v> </v>
      </c>
      <c r="N127" s="5"/>
      <c r="O127" s="17" t="str">
        <f aca="false">IF((E127="s"),H127," ")</f>
        <v> </v>
      </c>
      <c r="P127" s="17" t="str">
        <f aca="false">IF((E127="c"),H127," ")</f>
        <v> </v>
      </c>
      <c r="Q127" s="17" t="str">
        <f aca="false">IF((E127="o"),H127," ")</f>
        <v> </v>
      </c>
      <c r="R127" s="17" t="str">
        <f aca="false">IF((E127="d"),H127," ")</f>
        <v> </v>
      </c>
      <c r="S127" s="17" t="str">
        <f aca="false">IF((E127="w"),H127," ")</f>
        <v> </v>
      </c>
      <c r="T127" s="17" t="str">
        <f aca="false">IF((E127="r"),H127," ")</f>
        <v> </v>
      </c>
      <c r="U127" s="17" t="str">
        <f aca="false">IF((E127="p"),H127," ")</f>
        <v> </v>
      </c>
      <c r="V127" s="17" t="str">
        <f aca="false">IF((E127="t"),H127," ")</f>
        <v> </v>
      </c>
      <c r="W127" s="17" t="str">
        <f aca="false">IF((E127="q"),H127," ")</f>
        <v> </v>
      </c>
      <c r="X127" s="17" t="str">
        <f aca="false">IF((E127="m"),H127," ")</f>
        <v> </v>
      </c>
      <c r="Y127" s="17" t="str">
        <f aca="false">IF((E127="u"),H127," ")</f>
        <v> </v>
      </c>
      <c r="Z127" s="17" t="str">
        <f aca="false">IF((E127="a"),H127," ")</f>
        <v> </v>
      </c>
      <c r="AA127" s="17" t="str">
        <f aca="false">IF((E127="g"),H127," ")</f>
        <v> </v>
      </c>
      <c r="AB127" s="17" t="str">
        <f aca="false">IF((E127="h"),H127," ")</f>
        <v> </v>
      </c>
      <c r="AC127" s="30" t="str">
        <f aca="false">IF((E127="v"),H127," ")</f>
        <v> </v>
      </c>
      <c r="AD127" s="30" t="str">
        <f aca="false">IF((E127="n"),H127," ")</f>
        <v> </v>
      </c>
      <c r="AE127" s="17" t="str">
        <f aca="false">IF((E127="f"),H127," ")</f>
        <v> </v>
      </c>
      <c r="AF127" s="17" t="str">
        <f aca="false">IF((E127="l"),H127," ")</f>
        <v> </v>
      </c>
      <c r="AG127" s="17" t="str">
        <f aca="false">IF((E127="y"),H127," ")</f>
        <v> </v>
      </c>
      <c r="AH127" s="17" t="str">
        <f aca="false">IF((E127="z"),H127," ")</f>
        <v> </v>
      </c>
      <c r="AI127" s="17" t="str">
        <f aca="false">IF((E127="fa"),H127," ")</f>
        <v> </v>
      </c>
      <c r="AJ127" s="17" t="str">
        <f aca="false">IF((E127="e"),H127," ")</f>
        <v> </v>
      </c>
    </row>
    <row r="128" customFormat="false" ht="12" hidden="false" customHeight="false" outlineLevel="0" collapsed="false">
      <c r="A128" s="28"/>
      <c r="E128" s="2" t="str">
        <f aca="false">IF((F128&lt;&gt;0),"Enter Letter"," ")</f>
        <v> </v>
      </c>
      <c r="F128" s="30"/>
      <c r="G128" s="6" t="str">
        <f aca="false">IF(F128&lt;&gt;0,F128*G$2/(100+G$2)," ")</f>
        <v> </v>
      </c>
      <c r="H128" s="6" t="str">
        <f aca="false">IF((F128&lt;&gt;0),F128-G128," ")</f>
        <v> </v>
      </c>
      <c r="I128" s="5"/>
      <c r="L128" s="7" t="str">
        <f aca="false">IF(F128&lt;&gt;0,F128-K128," ")</f>
        <v> </v>
      </c>
      <c r="M128" s="8" t="str">
        <f aca="false">IF((F128-K128)&lt;&gt;0,M$1-A128," ")</f>
        <v> </v>
      </c>
      <c r="N128" s="5"/>
      <c r="O128" s="17" t="str">
        <f aca="false">IF((E128="s"),H128," ")</f>
        <v> </v>
      </c>
      <c r="P128" s="17" t="str">
        <f aca="false">IF((E128="c"),H128," ")</f>
        <v> </v>
      </c>
      <c r="Q128" s="17" t="str">
        <f aca="false">IF((E128="o"),H128," ")</f>
        <v> </v>
      </c>
      <c r="R128" s="17" t="str">
        <f aca="false">IF((E128="d"),H128," ")</f>
        <v> </v>
      </c>
      <c r="S128" s="17" t="str">
        <f aca="false">IF((E128="w"),H128," ")</f>
        <v> </v>
      </c>
      <c r="T128" s="17" t="str">
        <f aca="false">IF((E128="r"),H128," ")</f>
        <v> </v>
      </c>
      <c r="U128" s="17" t="str">
        <f aca="false">IF((E128="p"),H128," ")</f>
        <v> </v>
      </c>
      <c r="V128" s="17" t="str">
        <f aca="false">IF((E128="t"),H128," ")</f>
        <v> </v>
      </c>
      <c r="W128" s="17" t="str">
        <f aca="false">IF((E128="q"),H128," ")</f>
        <v> </v>
      </c>
      <c r="X128" s="17" t="str">
        <f aca="false">IF((E128="m"),H128," ")</f>
        <v> </v>
      </c>
      <c r="Y128" s="17" t="str">
        <f aca="false">IF((E128="u"),H128," ")</f>
        <v> </v>
      </c>
      <c r="Z128" s="17" t="str">
        <f aca="false">IF((E128="a"),H128," ")</f>
        <v> </v>
      </c>
      <c r="AA128" s="17" t="str">
        <f aca="false">IF((E128="g"),H128," ")</f>
        <v> </v>
      </c>
      <c r="AB128" s="17" t="str">
        <f aca="false">IF((E128="h"),H128," ")</f>
        <v> </v>
      </c>
      <c r="AC128" s="30" t="str">
        <f aca="false">IF((E128="v"),H128," ")</f>
        <v> </v>
      </c>
      <c r="AD128" s="30" t="str">
        <f aca="false">IF((E128="n"),H128," ")</f>
        <v> </v>
      </c>
      <c r="AE128" s="17" t="str">
        <f aca="false">IF((E128="f"),H128," ")</f>
        <v> </v>
      </c>
      <c r="AF128" s="17" t="str">
        <f aca="false">IF((E128="l"),H128," ")</f>
        <v> </v>
      </c>
      <c r="AG128" s="17" t="str">
        <f aca="false">IF((E128="y"),H128," ")</f>
        <v> </v>
      </c>
      <c r="AH128" s="17" t="str">
        <f aca="false">IF((E128="z"),H128," ")</f>
        <v> </v>
      </c>
      <c r="AI128" s="17" t="str">
        <f aca="false">IF((E128="fa"),H128," ")</f>
        <v> </v>
      </c>
      <c r="AJ128" s="17" t="str">
        <f aca="false">IF((E128="e"),H128," ")</f>
        <v> </v>
      </c>
    </row>
    <row r="129" customFormat="false" ht="12" hidden="false" customHeight="false" outlineLevel="0" collapsed="false">
      <c r="A129" s="28"/>
      <c r="E129" s="2" t="str">
        <f aca="false">IF((F129&lt;&gt;0),"Enter Letter"," ")</f>
        <v> </v>
      </c>
      <c r="F129" s="30"/>
      <c r="G129" s="6" t="str">
        <f aca="false">IF(F129&lt;&gt;0,F129*G$2/(100+G$2)," ")</f>
        <v> </v>
      </c>
      <c r="H129" s="6" t="str">
        <f aca="false">IF((F129&lt;&gt;0),F129-G129," ")</f>
        <v> </v>
      </c>
      <c r="I129" s="5"/>
      <c r="L129" s="7" t="str">
        <f aca="false">IF(F129&lt;&gt;0,F129-K129," ")</f>
        <v> </v>
      </c>
      <c r="M129" s="8" t="str">
        <f aca="false">IF((F129-K129)&lt;&gt;0,M$1-A129," ")</f>
        <v> </v>
      </c>
      <c r="N129" s="5"/>
      <c r="O129" s="17" t="str">
        <f aca="false">IF((E129="s"),H129," ")</f>
        <v> </v>
      </c>
      <c r="P129" s="17" t="str">
        <f aca="false">IF((E129="c"),H129," ")</f>
        <v> </v>
      </c>
      <c r="Q129" s="17" t="str">
        <f aca="false">IF((E129="o"),H129," ")</f>
        <v> </v>
      </c>
      <c r="R129" s="17" t="str">
        <f aca="false">IF((E129="d"),H129," ")</f>
        <v> </v>
      </c>
      <c r="S129" s="17" t="str">
        <f aca="false">IF((E129="w"),H129," ")</f>
        <v> </v>
      </c>
      <c r="T129" s="17" t="str">
        <f aca="false">IF((E129="r"),H129," ")</f>
        <v> </v>
      </c>
      <c r="U129" s="17" t="str">
        <f aca="false">IF((E129="p"),H129," ")</f>
        <v> </v>
      </c>
      <c r="V129" s="17" t="str">
        <f aca="false">IF((E129="t"),H129," ")</f>
        <v> </v>
      </c>
      <c r="W129" s="17" t="str">
        <f aca="false">IF((E129="q"),H129," ")</f>
        <v> </v>
      </c>
      <c r="X129" s="17" t="str">
        <f aca="false">IF((E129="m"),H129," ")</f>
        <v> </v>
      </c>
      <c r="Y129" s="17" t="str">
        <f aca="false">IF((E129="u"),H129," ")</f>
        <v> </v>
      </c>
      <c r="Z129" s="17" t="str">
        <f aca="false">IF((E129="a"),H129," ")</f>
        <v> </v>
      </c>
      <c r="AA129" s="17" t="str">
        <f aca="false">IF((E129="g"),H129," ")</f>
        <v> </v>
      </c>
      <c r="AB129" s="17" t="str">
        <f aca="false">IF((E129="h"),H129," ")</f>
        <v> </v>
      </c>
      <c r="AC129" s="30" t="str">
        <f aca="false">IF((E129="v"),H129," ")</f>
        <v> </v>
      </c>
      <c r="AD129" s="30" t="str">
        <f aca="false">IF((E129="n"),H129," ")</f>
        <v> </v>
      </c>
      <c r="AE129" s="17" t="str">
        <f aca="false">IF((E129="f"),H129," ")</f>
        <v> </v>
      </c>
      <c r="AF129" s="17" t="str">
        <f aca="false">IF((E129="l"),H129," ")</f>
        <v> </v>
      </c>
      <c r="AG129" s="17" t="str">
        <f aca="false">IF((E129="y"),H129," ")</f>
        <v> </v>
      </c>
      <c r="AH129" s="17" t="str">
        <f aca="false">IF((E129="z"),H129," ")</f>
        <v> </v>
      </c>
      <c r="AI129" s="17" t="str">
        <f aca="false">IF((E129="fa"),H129," ")</f>
        <v> </v>
      </c>
      <c r="AJ129" s="17" t="str">
        <f aca="false">IF((E129="e"),H129," ")</f>
        <v> </v>
      </c>
    </row>
    <row r="130" customFormat="false" ht="12" hidden="false" customHeight="false" outlineLevel="0" collapsed="false">
      <c r="A130" s="28"/>
      <c r="E130" s="2" t="str">
        <f aca="false">IF((F130&lt;&gt;0),"Enter Letter"," ")</f>
        <v> </v>
      </c>
      <c r="F130" s="30"/>
      <c r="G130" s="6" t="str">
        <f aca="false">IF(F130&lt;&gt;0,F130*G$2/(100+G$2)," ")</f>
        <v> </v>
      </c>
      <c r="H130" s="6" t="str">
        <f aca="false">IF((F130&lt;&gt;0),F130-G130," ")</f>
        <v> </v>
      </c>
      <c r="I130" s="5"/>
      <c r="L130" s="7" t="str">
        <f aca="false">IF(F130&lt;&gt;0,F130-K130," ")</f>
        <v> </v>
      </c>
      <c r="M130" s="8" t="str">
        <f aca="false">IF((F130-K130)&lt;&gt;0,M$1-A130," ")</f>
        <v> </v>
      </c>
      <c r="N130" s="5"/>
      <c r="O130" s="17" t="str">
        <f aca="false">IF((E130="s"),H130," ")</f>
        <v> </v>
      </c>
      <c r="P130" s="17" t="str">
        <f aca="false">IF((E130="c"),H130," ")</f>
        <v> </v>
      </c>
      <c r="Q130" s="17" t="str">
        <f aca="false">IF((E130="o"),H130," ")</f>
        <v> </v>
      </c>
      <c r="R130" s="17" t="str">
        <f aca="false">IF((E130="d"),H130," ")</f>
        <v> </v>
      </c>
      <c r="S130" s="17" t="str">
        <f aca="false">IF((E130="w"),H130," ")</f>
        <v> </v>
      </c>
      <c r="T130" s="17" t="str">
        <f aca="false">IF((E130="r"),H130," ")</f>
        <v> </v>
      </c>
      <c r="U130" s="17" t="str">
        <f aca="false">IF((E130="p"),H130," ")</f>
        <v> </v>
      </c>
      <c r="V130" s="17" t="str">
        <f aca="false">IF((E130="t"),H130," ")</f>
        <v> </v>
      </c>
      <c r="W130" s="17" t="str">
        <f aca="false">IF((E130="q"),H130," ")</f>
        <v> </v>
      </c>
      <c r="X130" s="17" t="str">
        <f aca="false">IF((E130="m"),H130," ")</f>
        <v> </v>
      </c>
      <c r="Y130" s="17" t="str">
        <f aca="false">IF((E130="u"),H130," ")</f>
        <v> </v>
      </c>
      <c r="Z130" s="17" t="str">
        <f aca="false">IF((E130="a"),H130," ")</f>
        <v> </v>
      </c>
      <c r="AA130" s="17" t="str">
        <f aca="false">IF((E130="g"),H130," ")</f>
        <v> </v>
      </c>
      <c r="AB130" s="17" t="str">
        <f aca="false">IF((E130="h"),H130," ")</f>
        <v> </v>
      </c>
      <c r="AC130" s="30" t="str">
        <f aca="false">IF((E130="v"),H130," ")</f>
        <v> </v>
      </c>
      <c r="AD130" s="30" t="str">
        <f aca="false">IF((E130="n"),H130," ")</f>
        <v> </v>
      </c>
      <c r="AE130" s="17" t="str">
        <f aca="false">IF((E130="f"),H130," ")</f>
        <v> </v>
      </c>
      <c r="AF130" s="17" t="str">
        <f aca="false">IF((E130="l"),H130," ")</f>
        <v> </v>
      </c>
      <c r="AG130" s="17" t="str">
        <f aca="false">IF((E130="y"),H130," ")</f>
        <v> </v>
      </c>
      <c r="AH130" s="17" t="str">
        <f aca="false">IF((E130="z"),H130," ")</f>
        <v> </v>
      </c>
      <c r="AI130" s="17" t="str">
        <f aca="false">IF((E130="fa"),H130," ")</f>
        <v> </v>
      </c>
      <c r="AJ130" s="17" t="str">
        <f aca="false">IF((E130="e"),H130," ")</f>
        <v> </v>
      </c>
    </row>
    <row r="131" customFormat="false" ht="12" hidden="false" customHeight="false" outlineLevel="0" collapsed="false">
      <c r="A131" s="28"/>
      <c r="E131" s="2" t="str">
        <f aca="false">IF((F131&lt;&gt;0),"Enter Letter"," ")</f>
        <v> </v>
      </c>
      <c r="F131" s="30"/>
      <c r="G131" s="6" t="str">
        <f aca="false">IF(F131&lt;&gt;0,F131*G$2/(100+G$2)," ")</f>
        <v> </v>
      </c>
      <c r="H131" s="6" t="str">
        <f aca="false">IF((F131&lt;&gt;0),F131-G131," ")</f>
        <v> </v>
      </c>
      <c r="I131" s="5"/>
      <c r="L131" s="7" t="str">
        <f aca="false">IF(F131&lt;&gt;0,F131-K131," ")</f>
        <v> </v>
      </c>
      <c r="M131" s="8" t="str">
        <f aca="false">IF((F131-K131)&lt;&gt;0,M$1-A131," ")</f>
        <v> </v>
      </c>
      <c r="N131" s="5"/>
      <c r="O131" s="17" t="str">
        <f aca="false">IF((E131="s"),H131," ")</f>
        <v> </v>
      </c>
      <c r="P131" s="17" t="str">
        <f aca="false">IF((E131="c"),H131," ")</f>
        <v> </v>
      </c>
      <c r="Q131" s="17" t="str">
        <f aca="false">IF((E131="o"),H131," ")</f>
        <v> </v>
      </c>
      <c r="R131" s="17" t="str">
        <f aca="false">IF((E131="d"),H131," ")</f>
        <v> </v>
      </c>
      <c r="S131" s="17" t="str">
        <f aca="false">IF((E131="w"),H131," ")</f>
        <v> </v>
      </c>
      <c r="T131" s="17" t="str">
        <f aca="false">IF((E131="r"),H131," ")</f>
        <v> </v>
      </c>
      <c r="U131" s="17" t="str">
        <f aca="false">IF((E131="p"),H131," ")</f>
        <v> </v>
      </c>
      <c r="V131" s="17" t="str">
        <f aca="false">IF((E131="t"),H131," ")</f>
        <v> </v>
      </c>
      <c r="W131" s="17" t="str">
        <f aca="false">IF((E131="q"),H131," ")</f>
        <v> </v>
      </c>
      <c r="X131" s="17" t="str">
        <f aca="false">IF((E131="m"),H131," ")</f>
        <v> </v>
      </c>
      <c r="Y131" s="17" t="str">
        <f aca="false">IF((E131="u"),H131," ")</f>
        <v> </v>
      </c>
      <c r="Z131" s="17" t="str">
        <f aca="false">IF((E131="a"),H131," ")</f>
        <v> </v>
      </c>
      <c r="AA131" s="17" t="str">
        <f aca="false">IF((E131="g"),H131," ")</f>
        <v> </v>
      </c>
      <c r="AB131" s="17" t="str">
        <f aca="false">IF((E131="h"),H131," ")</f>
        <v> </v>
      </c>
      <c r="AC131" s="30" t="str">
        <f aca="false">IF((E131="v"),H131," ")</f>
        <v> </v>
      </c>
      <c r="AD131" s="30" t="str">
        <f aca="false">IF((E131="n"),H131," ")</f>
        <v> </v>
      </c>
      <c r="AE131" s="17" t="str">
        <f aca="false">IF((E131="f"),H131," ")</f>
        <v> </v>
      </c>
      <c r="AF131" s="17" t="str">
        <f aca="false">IF((E131="l"),H131," ")</f>
        <v> </v>
      </c>
      <c r="AG131" s="17" t="str">
        <f aca="false">IF((E131="y"),H131," ")</f>
        <v> </v>
      </c>
      <c r="AH131" s="17" t="str">
        <f aca="false">IF((E131="z"),H131," ")</f>
        <v> </v>
      </c>
      <c r="AI131" s="17" t="str">
        <f aca="false">IF((E131="fa"),H131," ")</f>
        <v> </v>
      </c>
      <c r="AJ131" s="17" t="str">
        <f aca="false">IF((E131="e"),H131," ")</f>
        <v> </v>
      </c>
    </row>
    <row r="132" customFormat="false" ht="12" hidden="false" customHeight="false" outlineLevel="0" collapsed="false">
      <c r="A132" s="28"/>
      <c r="E132" s="2" t="str">
        <f aca="false">IF((F132&lt;&gt;0),"Enter Letter"," ")</f>
        <v> </v>
      </c>
      <c r="F132" s="30"/>
      <c r="G132" s="6" t="str">
        <f aca="false">IF(F132&lt;&gt;0,F132*G$2/(100+G$2)," ")</f>
        <v> </v>
      </c>
      <c r="H132" s="6" t="str">
        <f aca="false">IF((F132&lt;&gt;0),F132-G132," ")</f>
        <v> </v>
      </c>
      <c r="I132" s="5"/>
      <c r="L132" s="7" t="str">
        <f aca="false">IF(F132&lt;&gt;0,F132-K132," ")</f>
        <v> </v>
      </c>
      <c r="M132" s="8" t="str">
        <f aca="false">IF((F132-K132)&lt;&gt;0,M$1-A132," ")</f>
        <v> </v>
      </c>
      <c r="N132" s="5"/>
      <c r="O132" s="17" t="str">
        <f aca="false">IF((E132="s"),H132," ")</f>
        <v> </v>
      </c>
      <c r="P132" s="17" t="str">
        <f aca="false">IF((E132="c"),H132," ")</f>
        <v> </v>
      </c>
      <c r="Q132" s="17" t="str">
        <f aca="false">IF((E132="o"),H132," ")</f>
        <v> </v>
      </c>
      <c r="R132" s="17" t="str">
        <f aca="false">IF((E132="d"),H132," ")</f>
        <v> </v>
      </c>
      <c r="S132" s="17" t="str">
        <f aca="false">IF((E132="w"),H132," ")</f>
        <v> </v>
      </c>
      <c r="T132" s="17" t="str">
        <f aca="false">IF((E132="r"),H132," ")</f>
        <v> </v>
      </c>
      <c r="U132" s="17" t="str">
        <f aca="false">IF((E132="p"),H132," ")</f>
        <v> </v>
      </c>
      <c r="V132" s="17" t="str">
        <f aca="false">IF((E132="t"),H132," ")</f>
        <v> </v>
      </c>
      <c r="W132" s="17" t="str">
        <f aca="false">IF((E132="q"),H132," ")</f>
        <v> </v>
      </c>
      <c r="X132" s="17" t="str">
        <f aca="false">IF((E132="m"),H132," ")</f>
        <v> </v>
      </c>
      <c r="Y132" s="17" t="str">
        <f aca="false">IF((E132="u"),H132," ")</f>
        <v> </v>
      </c>
      <c r="Z132" s="17" t="str">
        <f aca="false">IF((E132="a"),H132," ")</f>
        <v> </v>
      </c>
      <c r="AA132" s="17" t="str">
        <f aca="false">IF((E132="g"),H132," ")</f>
        <v> </v>
      </c>
      <c r="AB132" s="17" t="str">
        <f aca="false">IF((E132="h"),H132," ")</f>
        <v> </v>
      </c>
      <c r="AC132" s="30" t="str">
        <f aca="false">IF((E132="v"),H132," ")</f>
        <v> </v>
      </c>
      <c r="AD132" s="30" t="str">
        <f aca="false">IF((E132="n"),H132," ")</f>
        <v> </v>
      </c>
      <c r="AE132" s="17" t="str">
        <f aca="false">IF((E132="f"),H132," ")</f>
        <v> </v>
      </c>
      <c r="AF132" s="17" t="str">
        <f aca="false">IF((E132="l"),H132," ")</f>
        <v> </v>
      </c>
      <c r="AG132" s="17" t="str">
        <f aca="false">IF((E132="y"),H132," ")</f>
        <v> </v>
      </c>
      <c r="AH132" s="17" t="str">
        <f aca="false">IF((E132="z"),H132," ")</f>
        <v> </v>
      </c>
      <c r="AI132" s="17" t="str">
        <f aca="false">IF((E132="fa"),H132," ")</f>
        <v> </v>
      </c>
      <c r="AJ132" s="17" t="str">
        <f aca="false">IF((E132="e"),H132," ")</f>
        <v> </v>
      </c>
    </row>
    <row r="133" customFormat="false" ht="12" hidden="false" customHeight="false" outlineLevel="0" collapsed="false">
      <c r="A133" s="28"/>
      <c r="E133" s="2" t="str">
        <f aca="false">IF((F133&lt;&gt;0),"Enter Letter"," ")</f>
        <v> </v>
      </c>
      <c r="F133" s="30"/>
      <c r="G133" s="6" t="str">
        <f aca="false">IF(F133&lt;&gt;0,F133*G$2/(100+G$2)," ")</f>
        <v> </v>
      </c>
      <c r="H133" s="6" t="str">
        <f aca="false">IF((F133&lt;&gt;0),F133-G133," ")</f>
        <v> </v>
      </c>
      <c r="I133" s="5"/>
      <c r="L133" s="7" t="str">
        <f aca="false">IF(F133&lt;&gt;0,F133-K133," ")</f>
        <v> </v>
      </c>
      <c r="M133" s="8" t="str">
        <f aca="false">IF((F133-K133)&lt;&gt;0,M$1-A133," ")</f>
        <v> </v>
      </c>
      <c r="N133" s="5"/>
      <c r="O133" s="17" t="str">
        <f aca="false">IF((E133="s"),H133," ")</f>
        <v> </v>
      </c>
      <c r="P133" s="17" t="str">
        <f aca="false">IF((E133="c"),H133," ")</f>
        <v> </v>
      </c>
      <c r="Q133" s="17" t="str">
        <f aca="false">IF((E133="o"),H133," ")</f>
        <v> </v>
      </c>
      <c r="R133" s="17" t="str">
        <f aca="false">IF((E133="d"),H133," ")</f>
        <v> </v>
      </c>
      <c r="S133" s="17" t="str">
        <f aca="false">IF((E133="w"),H133," ")</f>
        <v> </v>
      </c>
      <c r="T133" s="17" t="str">
        <f aca="false">IF((E133="r"),H133," ")</f>
        <v> </v>
      </c>
      <c r="U133" s="17" t="str">
        <f aca="false">IF((E133="p"),H133," ")</f>
        <v> </v>
      </c>
      <c r="V133" s="17" t="str">
        <f aca="false">IF((E133="t"),H133," ")</f>
        <v> </v>
      </c>
      <c r="W133" s="17" t="str">
        <f aca="false">IF((E133="q"),H133," ")</f>
        <v> </v>
      </c>
      <c r="X133" s="17" t="str">
        <f aca="false">IF((E133="m"),H133," ")</f>
        <v> </v>
      </c>
      <c r="Y133" s="17" t="str">
        <f aca="false">IF((E133="u"),H133," ")</f>
        <v> </v>
      </c>
      <c r="Z133" s="17" t="str">
        <f aca="false">IF((E133="a"),H133," ")</f>
        <v> </v>
      </c>
      <c r="AA133" s="17" t="str">
        <f aca="false">IF((E133="g"),H133," ")</f>
        <v> </v>
      </c>
      <c r="AB133" s="17" t="str">
        <f aca="false">IF((E133="h"),H133," ")</f>
        <v> </v>
      </c>
      <c r="AC133" s="30" t="str">
        <f aca="false">IF((E133="v"),H133," ")</f>
        <v> </v>
      </c>
      <c r="AD133" s="30" t="str">
        <f aca="false">IF((E133="n"),H133," ")</f>
        <v> </v>
      </c>
      <c r="AE133" s="17" t="str">
        <f aca="false">IF((E133="f"),H133," ")</f>
        <v> </v>
      </c>
      <c r="AF133" s="17" t="str">
        <f aca="false">IF((E133="l"),H133," ")</f>
        <v> </v>
      </c>
      <c r="AG133" s="17" t="str">
        <f aca="false">IF((E133="y"),H133," ")</f>
        <v> </v>
      </c>
      <c r="AH133" s="17" t="str">
        <f aca="false">IF((E133="z"),H133," ")</f>
        <v> </v>
      </c>
      <c r="AI133" s="17" t="str">
        <f aca="false">IF((E133="fa"),H133," ")</f>
        <v> </v>
      </c>
      <c r="AJ133" s="17" t="str">
        <f aca="false">IF((E133="e"),H133," ")</f>
        <v> </v>
      </c>
    </row>
    <row r="134" customFormat="false" ht="12" hidden="false" customHeight="false" outlineLevel="0" collapsed="false">
      <c r="A134" s="28"/>
      <c r="E134" s="2" t="str">
        <f aca="false">IF((F134&lt;&gt;0),"Enter Letter"," ")</f>
        <v> </v>
      </c>
      <c r="F134" s="30"/>
      <c r="G134" s="6" t="str">
        <f aca="false">IF(F134&lt;&gt;0,F134*G$2/(100+G$2)," ")</f>
        <v> </v>
      </c>
      <c r="H134" s="6" t="str">
        <f aca="false">IF((F134&lt;&gt;0),F134-G134," ")</f>
        <v> </v>
      </c>
      <c r="I134" s="5"/>
      <c r="L134" s="7" t="str">
        <f aca="false">IF(F134&lt;&gt;0,F134-K134," ")</f>
        <v> </v>
      </c>
      <c r="M134" s="8" t="str">
        <f aca="false">IF((F134-K134)&lt;&gt;0,M$1-A134," ")</f>
        <v> </v>
      </c>
      <c r="N134" s="5"/>
      <c r="O134" s="17" t="str">
        <f aca="false">IF((E134="s"),H134," ")</f>
        <v> </v>
      </c>
      <c r="P134" s="17" t="str">
        <f aca="false">IF((E134="c"),H134," ")</f>
        <v> </v>
      </c>
      <c r="Q134" s="17" t="str">
        <f aca="false">IF((E134="o"),H134," ")</f>
        <v> </v>
      </c>
      <c r="R134" s="17" t="str">
        <f aca="false">IF((E134="d"),H134," ")</f>
        <v> </v>
      </c>
      <c r="S134" s="17" t="str">
        <f aca="false">IF((E134="w"),H134," ")</f>
        <v> </v>
      </c>
      <c r="T134" s="17" t="str">
        <f aca="false">IF((E134="r"),H134," ")</f>
        <v> </v>
      </c>
      <c r="U134" s="17" t="str">
        <f aca="false">IF((E134="p"),H134," ")</f>
        <v> </v>
      </c>
      <c r="V134" s="17" t="str">
        <f aca="false">IF((E134="t"),H134," ")</f>
        <v> </v>
      </c>
      <c r="W134" s="17" t="str">
        <f aca="false">IF((E134="q"),H134," ")</f>
        <v> </v>
      </c>
      <c r="X134" s="17" t="str">
        <f aca="false">IF((E134="m"),H134," ")</f>
        <v> </v>
      </c>
      <c r="Y134" s="17" t="str">
        <f aca="false">IF((E134="u"),H134," ")</f>
        <v> </v>
      </c>
      <c r="Z134" s="17" t="str">
        <f aca="false">IF((E134="a"),H134," ")</f>
        <v> </v>
      </c>
      <c r="AA134" s="17" t="str">
        <f aca="false">IF((E134="g"),H134," ")</f>
        <v> </v>
      </c>
      <c r="AB134" s="17" t="str">
        <f aca="false">IF((E134="h"),H134," ")</f>
        <v> </v>
      </c>
      <c r="AC134" s="30" t="str">
        <f aca="false">IF((E134="v"),H134," ")</f>
        <v> </v>
      </c>
      <c r="AD134" s="30" t="str">
        <f aca="false">IF((E134="n"),H134," ")</f>
        <v> </v>
      </c>
      <c r="AE134" s="17" t="str">
        <f aca="false">IF((E134="f"),H134," ")</f>
        <v> </v>
      </c>
      <c r="AF134" s="17" t="str">
        <f aca="false">IF((E134="l"),H134," ")</f>
        <v> </v>
      </c>
      <c r="AG134" s="17" t="str">
        <f aca="false">IF((E134="y"),H134," ")</f>
        <v> </v>
      </c>
      <c r="AH134" s="17" t="str">
        <f aca="false">IF((E134="z"),H134," ")</f>
        <v> </v>
      </c>
      <c r="AI134" s="17" t="str">
        <f aca="false">IF((E134="fa"),H134," ")</f>
        <v> </v>
      </c>
      <c r="AJ134" s="17" t="str">
        <f aca="false">IF((E134="e"),H134," ")</f>
        <v> </v>
      </c>
    </row>
    <row r="135" customFormat="false" ht="12" hidden="false" customHeight="false" outlineLevel="0" collapsed="false">
      <c r="A135" s="28"/>
      <c r="E135" s="2" t="str">
        <f aca="false">IF((F135&lt;&gt;0),"Enter Letter"," ")</f>
        <v> </v>
      </c>
      <c r="F135" s="30"/>
      <c r="G135" s="6" t="str">
        <f aca="false">IF(F135&lt;&gt;0,F135*G$2/(100+G$2)," ")</f>
        <v> </v>
      </c>
      <c r="H135" s="6" t="str">
        <f aca="false">IF((F135&lt;&gt;0),F135-G135," ")</f>
        <v> </v>
      </c>
      <c r="I135" s="5"/>
      <c r="L135" s="7" t="str">
        <f aca="false">IF(F135&lt;&gt;0,F135-K135," ")</f>
        <v> </v>
      </c>
      <c r="M135" s="8" t="str">
        <f aca="false">IF((F135-K135)&lt;&gt;0,M$1-A135," ")</f>
        <v> </v>
      </c>
      <c r="N135" s="5"/>
      <c r="O135" s="17" t="str">
        <f aca="false">IF((E135="s"),H135," ")</f>
        <v> </v>
      </c>
      <c r="P135" s="17" t="str">
        <f aca="false">IF((E135="c"),H135," ")</f>
        <v> </v>
      </c>
      <c r="Q135" s="17" t="str">
        <f aca="false">IF((E135="o"),H135," ")</f>
        <v> </v>
      </c>
      <c r="R135" s="17" t="str">
        <f aca="false">IF((E135="d"),H135," ")</f>
        <v> </v>
      </c>
      <c r="S135" s="17" t="str">
        <f aca="false">IF((E135="w"),H135," ")</f>
        <v> </v>
      </c>
      <c r="T135" s="17" t="str">
        <f aca="false">IF((E135="r"),H135," ")</f>
        <v> </v>
      </c>
      <c r="U135" s="17" t="str">
        <f aca="false">IF((E135="p"),H135," ")</f>
        <v> </v>
      </c>
      <c r="V135" s="17" t="str">
        <f aca="false">IF((E135="t"),H135," ")</f>
        <v> </v>
      </c>
      <c r="W135" s="17" t="str">
        <f aca="false">IF((E135="q"),H135," ")</f>
        <v> </v>
      </c>
      <c r="X135" s="17" t="str">
        <f aca="false">IF((E135="m"),H135," ")</f>
        <v> </v>
      </c>
      <c r="Y135" s="17" t="str">
        <f aca="false">IF((E135="u"),H135," ")</f>
        <v> </v>
      </c>
      <c r="Z135" s="17" t="str">
        <f aca="false">IF((E135="a"),H135," ")</f>
        <v> </v>
      </c>
      <c r="AA135" s="17" t="str">
        <f aca="false">IF((E135="g"),H135," ")</f>
        <v> </v>
      </c>
      <c r="AB135" s="17" t="str">
        <f aca="false">IF((E135="h"),H135," ")</f>
        <v> </v>
      </c>
      <c r="AC135" s="30" t="str">
        <f aca="false">IF((E135="v"),H135," ")</f>
        <v> </v>
      </c>
      <c r="AD135" s="30" t="str">
        <f aca="false">IF((E135="n"),H135," ")</f>
        <v> </v>
      </c>
      <c r="AE135" s="17" t="str">
        <f aca="false">IF((E135="f"),H135," ")</f>
        <v> </v>
      </c>
      <c r="AF135" s="17" t="str">
        <f aca="false">IF((E135="l"),H135," ")</f>
        <v> </v>
      </c>
      <c r="AG135" s="17" t="str">
        <f aca="false">IF((E135="y"),H135," ")</f>
        <v> </v>
      </c>
      <c r="AH135" s="17" t="str">
        <f aca="false">IF((E135="z"),H135," ")</f>
        <v> </v>
      </c>
      <c r="AI135" s="17" t="str">
        <f aca="false">IF((E135="fa"),H135," ")</f>
        <v> </v>
      </c>
      <c r="AJ135" s="17" t="str">
        <f aca="false">IF((E135="e"),H135," ")</f>
        <v> </v>
      </c>
    </row>
    <row r="136" customFormat="false" ht="12" hidden="false" customHeight="false" outlineLevel="0" collapsed="false">
      <c r="A136" s="28"/>
      <c r="E136" s="2" t="str">
        <f aca="false">IF((F136&lt;&gt;0),"Enter Letter"," ")</f>
        <v> </v>
      </c>
      <c r="F136" s="30"/>
      <c r="G136" s="6" t="str">
        <f aca="false">IF(F136&lt;&gt;0,F136*G$2/(100+G$2)," ")</f>
        <v> </v>
      </c>
      <c r="H136" s="6" t="str">
        <f aca="false">IF((F136&lt;&gt;0),F136-G136," ")</f>
        <v> </v>
      </c>
      <c r="I136" s="5"/>
      <c r="L136" s="7" t="str">
        <f aca="false">IF(F136&lt;&gt;0,F136-K136," ")</f>
        <v> </v>
      </c>
      <c r="M136" s="8" t="str">
        <f aca="false">IF((F136-K136)&lt;&gt;0,M$1-A136," ")</f>
        <v> </v>
      </c>
      <c r="N136" s="5"/>
      <c r="O136" s="17" t="str">
        <f aca="false">IF((E136="s"),H136," ")</f>
        <v> </v>
      </c>
      <c r="P136" s="17" t="str">
        <f aca="false">IF((E136="c"),H136," ")</f>
        <v> </v>
      </c>
      <c r="Q136" s="17" t="str">
        <f aca="false">IF((E136="o"),H136," ")</f>
        <v> </v>
      </c>
      <c r="R136" s="17" t="str">
        <f aca="false">IF((E136="d"),H136," ")</f>
        <v> </v>
      </c>
      <c r="S136" s="17" t="str">
        <f aca="false">IF((E136="w"),H136," ")</f>
        <v> </v>
      </c>
      <c r="T136" s="17" t="str">
        <f aca="false">IF((E136="r"),H136," ")</f>
        <v> </v>
      </c>
      <c r="U136" s="17" t="str">
        <f aca="false">IF((E136="p"),H136," ")</f>
        <v> </v>
      </c>
      <c r="V136" s="17" t="str">
        <f aca="false">IF((E136="t"),H136," ")</f>
        <v> </v>
      </c>
      <c r="W136" s="17" t="str">
        <f aca="false">IF((E136="q"),H136," ")</f>
        <v> </v>
      </c>
      <c r="X136" s="17" t="str">
        <f aca="false">IF((E136="m"),H136," ")</f>
        <v> </v>
      </c>
      <c r="Y136" s="17" t="str">
        <f aca="false">IF((E136="u"),H136," ")</f>
        <v> </v>
      </c>
      <c r="Z136" s="17" t="str">
        <f aca="false">IF((E136="a"),H136," ")</f>
        <v> </v>
      </c>
      <c r="AA136" s="17" t="str">
        <f aca="false">IF((E136="g"),H136," ")</f>
        <v> </v>
      </c>
      <c r="AB136" s="17" t="str">
        <f aca="false">IF((E136="h"),H136," ")</f>
        <v> </v>
      </c>
      <c r="AC136" s="30" t="str">
        <f aca="false">IF((E136="v"),H136," ")</f>
        <v> </v>
      </c>
      <c r="AD136" s="30" t="str">
        <f aca="false">IF((E136="n"),H136," ")</f>
        <v> </v>
      </c>
      <c r="AE136" s="17" t="str">
        <f aca="false">IF((E136="f"),H136," ")</f>
        <v> </v>
      </c>
      <c r="AF136" s="17" t="str">
        <f aca="false">IF((E136="l"),H136," ")</f>
        <v> </v>
      </c>
      <c r="AG136" s="17" t="str">
        <f aca="false">IF((E136="y"),H136," ")</f>
        <v> </v>
      </c>
      <c r="AH136" s="17" t="str">
        <f aca="false">IF((E136="z"),H136," ")</f>
        <v> </v>
      </c>
      <c r="AI136" s="17" t="str">
        <f aca="false">IF((E136="fa"),H136," ")</f>
        <v> </v>
      </c>
      <c r="AJ136" s="17" t="str">
        <f aca="false">IF((E136="e"),H136," ")</f>
        <v> </v>
      </c>
    </row>
    <row r="137" customFormat="false" ht="12" hidden="false" customHeight="false" outlineLevel="0" collapsed="false">
      <c r="A137" s="28"/>
      <c r="E137" s="2" t="str">
        <f aca="false">IF((F137&lt;&gt;0),"Enter Letter"," ")</f>
        <v> </v>
      </c>
      <c r="F137" s="30"/>
      <c r="G137" s="6" t="str">
        <f aca="false">IF(F137&lt;&gt;0,F137*G$2/(100+G$2)," ")</f>
        <v> </v>
      </c>
      <c r="H137" s="6" t="str">
        <f aca="false">IF((F137&lt;&gt;0),F137-G137," ")</f>
        <v> </v>
      </c>
      <c r="I137" s="5"/>
      <c r="L137" s="7" t="str">
        <f aca="false">IF(F137&lt;&gt;0,F137-K137," ")</f>
        <v> </v>
      </c>
      <c r="M137" s="8" t="str">
        <f aca="false">IF((F137-K137)&lt;&gt;0,M$1-A137," ")</f>
        <v> </v>
      </c>
      <c r="N137" s="5"/>
      <c r="O137" s="17" t="str">
        <f aca="false">IF((E137="s"),H137," ")</f>
        <v> </v>
      </c>
      <c r="P137" s="17" t="str">
        <f aca="false">IF((E137="c"),H137," ")</f>
        <v> </v>
      </c>
      <c r="Q137" s="17" t="str">
        <f aca="false">IF((E137="o"),H137," ")</f>
        <v> </v>
      </c>
      <c r="R137" s="17" t="str">
        <f aca="false">IF((E137="d"),H137," ")</f>
        <v> </v>
      </c>
      <c r="S137" s="17" t="str">
        <f aca="false">IF((E137="w"),H137," ")</f>
        <v> </v>
      </c>
      <c r="T137" s="17" t="str">
        <f aca="false">IF((E137="r"),H137," ")</f>
        <v> </v>
      </c>
      <c r="U137" s="17" t="str">
        <f aca="false">IF((E137="p"),H137," ")</f>
        <v> </v>
      </c>
      <c r="V137" s="17" t="str">
        <f aca="false">IF((E137="t"),H137," ")</f>
        <v> </v>
      </c>
      <c r="W137" s="17" t="str">
        <f aca="false">IF((E137="q"),H137," ")</f>
        <v> </v>
      </c>
      <c r="X137" s="17" t="str">
        <f aca="false">IF((E137="m"),H137," ")</f>
        <v> </v>
      </c>
      <c r="Y137" s="17" t="str">
        <f aca="false">IF((E137="u"),H137," ")</f>
        <v> </v>
      </c>
      <c r="Z137" s="17" t="str">
        <f aca="false">IF((E137="a"),H137," ")</f>
        <v> </v>
      </c>
      <c r="AA137" s="17" t="str">
        <f aca="false">IF((E137="g"),H137," ")</f>
        <v> </v>
      </c>
      <c r="AB137" s="17" t="str">
        <f aca="false">IF((E137="h"),H137," ")</f>
        <v> </v>
      </c>
      <c r="AC137" s="30" t="str">
        <f aca="false">IF((E137="v"),H137," ")</f>
        <v> </v>
      </c>
      <c r="AD137" s="30" t="str">
        <f aca="false">IF((E137="n"),H137," ")</f>
        <v> </v>
      </c>
      <c r="AE137" s="17" t="str">
        <f aca="false">IF((E137="f"),H137," ")</f>
        <v> </v>
      </c>
      <c r="AF137" s="17" t="str">
        <f aca="false">IF((E137="l"),H137," ")</f>
        <v> </v>
      </c>
      <c r="AG137" s="17" t="str">
        <f aca="false">IF((E137="y"),H137," ")</f>
        <v> </v>
      </c>
      <c r="AH137" s="17" t="str">
        <f aca="false">IF((E137="z"),H137," ")</f>
        <v> </v>
      </c>
      <c r="AI137" s="17" t="str">
        <f aca="false">IF((E137="fa"),H137," ")</f>
        <v> </v>
      </c>
      <c r="AJ137" s="17" t="str">
        <f aca="false">IF((E137="e"),H137," ")</f>
        <v> </v>
      </c>
    </row>
    <row r="138" customFormat="false" ht="12" hidden="false" customHeight="false" outlineLevel="0" collapsed="false">
      <c r="A138" s="28"/>
      <c r="E138" s="2" t="str">
        <f aca="false">IF((F138&lt;&gt;0),"Enter Letter"," ")</f>
        <v> </v>
      </c>
      <c r="F138" s="30"/>
      <c r="G138" s="6" t="str">
        <f aca="false">IF(F138&lt;&gt;0,F138*G$2/(100+G$2)," ")</f>
        <v> </v>
      </c>
      <c r="H138" s="6" t="str">
        <f aca="false">IF((F138&lt;&gt;0),F138-G138," ")</f>
        <v> </v>
      </c>
      <c r="I138" s="5"/>
      <c r="L138" s="7" t="str">
        <f aca="false">IF(F138&lt;&gt;0,F138-K138," ")</f>
        <v> </v>
      </c>
      <c r="M138" s="8" t="str">
        <f aca="false">IF((F138-K138)&lt;&gt;0,M$1-A138," ")</f>
        <v> </v>
      </c>
      <c r="N138" s="5"/>
      <c r="O138" s="17" t="str">
        <f aca="false">IF((E138="s"),H138," ")</f>
        <v> </v>
      </c>
      <c r="P138" s="17" t="str">
        <f aca="false">IF((E138="c"),H138," ")</f>
        <v> </v>
      </c>
      <c r="Q138" s="17" t="str">
        <f aca="false">IF((E138="o"),H138," ")</f>
        <v> </v>
      </c>
      <c r="R138" s="17" t="str">
        <f aca="false">IF((E138="d"),H138," ")</f>
        <v> </v>
      </c>
      <c r="S138" s="17" t="str">
        <f aca="false">IF((E138="w"),H138," ")</f>
        <v> </v>
      </c>
      <c r="T138" s="17" t="str">
        <f aca="false">IF((E138="r"),H138," ")</f>
        <v> </v>
      </c>
      <c r="U138" s="17" t="str">
        <f aca="false">IF((E138="p"),H138," ")</f>
        <v> </v>
      </c>
      <c r="V138" s="17" t="str">
        <f aca="false">IF((E138="t"),H138," ")</f>
        <v> </v>
      </c>
      <c r="W138" s="17" t="str">
        <f aca="false">IF((E138="q"),H138," ")</f>
        <v> </v>
      </c>
      <c r="X138" s="17" t="str">
        <f aca="false">IF((E138="m"),H138," ")</f>
        <v> </v>
      </c>
      <c r="Y138" s="17" t="str">
        <f aca="false">IF((E138="u"),H138," ")</f>
        <v> </v>
      </c>
      <c r="Z138" s="17" t="str">
        <f aca="false">IF((E138="a"),H138," ")</f>
        <v> </v>
      </c>
      <c r="AA138" s="17" t="str">
        <f aca="false">IF((E138="g"),H138," ")</f>
        <v> </v>
      </c>
      <c r="AB138" s="17" t="str">
        <f aca="false">IF((E138="h"),H138," ")</f>
        <v> </v>
      </c>
      <c r="AC138" s="30" t="str">
        <f aca="false">IF((E138="v"),H138," ")</f>
        <v> </v>
      </c>
      <c r="AD138" s="30" t="str">
        <f aca="false">IF((E138="n"),H138," ")</f>
        <v> </v>
      </c>
      <c r="AE138" s="17" t="str">
        <f aca="false">IF((E138="f"),H138," ")</f>
        <v> </v>
      </c>
      <c r="AF138" s="17" t="str">
        <f aca="false">IF((E138="l"),H138," ")</f>
        <v> </v>
      </c>
      <c r="AG138" s="17" t="str">
        <f aca="false">IF((E138="y"),H138," ")</f>
        <v> </v>
      </c>
      <c r="AH138" s="17" t="str">
        <f aca="false">IF((E138="z"),H138," ")</f>
        <v> </v>
      </c>
      <c r="AI138" s="17" t="str">
        <f aca="false">IF((E138="fa"),H138," ")</f>
        <v> </v>
      </c>
      <c r="AJ138" s="17" t="str">
        <f aca="false">IF((E138="e"),H138," ")</f>
        <v> </v>
      </c>
    </row>
    <row r="139" customFormat="false" ht="12" hidden="false" customHeight="false" outlineLevel="0" collapsed="false">
      <c r="A139" s="28"/>
      <c r="E139" s="2" t="str">
        <f aca="false">IF((F139&lt;&gt;0),"Enter Letter"," ")</f>
        <v> </v>
      </c>
      <c r="F139" s="30"/>
      <c r="G139" s="6" t="str">
        <f aca="false">IF(F139&lt;&gt;0,F139*G$2/(100+G$2)," ")</f>
        <v> </v>
      </c>
      <c r="H139" s="6" t="str">
        <f aca="false">IF((F139&lt;&gt;0),F139-G139," ")</f>
        <v> </v>
      </c>
      <c r="I139" s="5"/>
      <c r="L139" s="7" t="str">
        <f aca="false">IF(F139&lt;&gt;0,F139-K139," ")</f>
        <v> </v>
      </c>
      <c r="M139" s="8" t="str">
        <f aca="false">IF((F139-K139)&lt;&gt;0,M$1-A139," ")</f>
        <v> </v>
      </c>
      <c r="N139" s="5"/>
      <c r="O139" s="17" t="str">
        <f aca="false">IF((E139="s"),H139," ")</f>
        <v> </v>
      </c>
      <c r="P139" s="17" t="str">
        <f aca="false">IF((E139="c"),H139," ")</f>
        <v> </v>
      </c>
      <c r="Q139" s="17" t="str">
        <f aca="false">IF((E139="o"),H139," ")</f>
        <v> </v>
      </c>
      <c r="R139" s="17" t="str">
        <f aca="false">IF((E139="d"),H139," ")</f>
        <v> </v>
      </c>
      <c r="S139" s="17" t="str">
        <f aca="false">IF((E139="w"),H139," ")</f>
        <v> </v>
      </c>
      <c r="T139" s="17" t="str">
        <f aca="false">IF((E139="r"),H139," ")</f>
        <v> </v>
      </c>
      <c r="U139" s="17" t="str">
        <f aca="false">IF((E139="p"),H139," ")</f>
        <v> </v>
      </c>
      <c r="V139" s="17" t="str">
        <f aca="false">IF((E139="t"),H139," ")</f>
        <v> </v>
      </c>
      <c r="W139" s="17" t="str">
        <f aca="false">IF((E139="q"),H139," ")</f>
        <v> </v>
      </c>
      <c r="X139" s="17" t="str">
        <f aca="false">IF((E139="m"),H139," ")</f>
        <v> </v>
      </c>
      <c r="Y139" s="17" t="str">
        <f aca="false">IF((E139="u"),H139," ")</f>
        <v> </v>
      </c>
      <c r="Z139" s="17" t="str">
        <f aca="false">IF((E139="a"),H139," ")</f>
        <v> </v>
      </c>
      <c r="AA139" s="17" t="str">
        <f aca="false">IF((E139="g"),H139," ")</f>
        <v> </v>
      </c>
      <c r="AB139" s="17" t="str">
        <f aca="false">IF((E139="h"),H139," ")</f>
        <v> </v>
      </c>
      <c r="AC139" s="30" t="str">
        <f aca="false">IF((E139="v"),H139," ")</f>
        <v> </v>
      </c>
      <c r="AD139" s="30" t="str">
        <f aca="false">IF((E139="n"),H139," ")</f>
        <v> </v>
      </c>
      <c r="AE139" s="17" t="str">
        <f aca="false">IF((E139="f"),H139," ")</f>
        <v> </v>
      </c>
      <c r="AF139" s="17" t="str">
        <f aca="false">IF((E139="l"),H139," ")</f>
        <v> </v>
      </c>
      <c r="AG139" s="17" t="str">
        <f aca="false">IF((E139="y"),H139," ")</f>
        <v> </v>
      </c>
      <c r="AH139" s="17" t="str">
        <f aca="false">IF((E139="z"),H139," ")</f>
        <v> </v>
      </c>
      <c r="AI139" s="17" t="str">
        <f aca="false">IF((E139="fa"),H139," ")</f>
        <v> </v>
      </c>
      <c r="AJ139" s="17" t="str">
        <f aca="false">IF((E139="e"),H139," ")</f>
        <v> </v>
      </c>
    </row>
    <row r="140" customFormat="false" ht="12" hidden="false" customHeight="false" outlineLevel="0" collapsed="false">
      <c r="A140" s="28"/>
      <c r="E140" s="2" t="str">
        <f aca="false">IF((F140&lt;&gt;0),"Enter Letter"," ")</f>
        <v> </v>
      </c>
      <c r="F140" s="30"/>
      <c r="G140" s="6" t="str">
        <f aca="false">IF(F140&lt;&gt;0,F140*G$2/(100+G$2)," ")</f>
        <v> </v>
      </c>
      <c r="H140" s="6" t="str">
        <f aca="false">IF((F140&lt;&gt;0),F140-G140," ")</f>
        <v> </v>
      </c>
      <c r="I140" s="5"/>
      <c r="L140" s="7" t="str">
        <f aca="false">IF(F140&lt;&gt;0,F140-K140," ")</f>
        <v> </v>
      </c>
      <c r="M140" s="8" t="str">
        <f aca="false">IF((F140-K140)&lt;&gt;0,M$1-A140," ")</f>
        <v> </v>
      </c>
      <c r="N140" s="5"/>
      <c r="O140" s="17" t="str">
        <f aca="false">IF((E140="s"),H140," ")</f>
        <v> </v>
      </c>
      <c r="P140" s="17" t="str">
        <f aca="false">IF((E140="c"),H140," ")</f>
        <v> </v>
      </c>
      <c r="Q140" s="17" t="str">
        <f aca="false">IF((E140="o"),H140," ")</f>
        <v> </v>
      </c>
      <c r="R140" s="17" t="str">
        <f aca="false">IF((E140="d"),H140," ")</f>
        <v> </v>
      </c>
      <c r="S140" s="17" t="str">
        <f aca="false">IF((E140="w"),H140," ")</f>
        <v> </v>
      </c>
      <c r="T140" s="17" t="str">
        <f aca="false">IF((E140="r"),H140," ")</f>
        <v> </v>
      </c>
      <c r="U140" s="17" t="str">
        <f aca="false">IF((E140="p"),H140," ")</f>
        <v> </v>
      </c>
      <c r="V140" s="17" t="str">
        <f aca="false">IF((E140="t"),H140," ")</f>
        <v> </v>
      </c>
      <c r="W140" s="17" t="str">
        <f aca="false">IF((E140="q"),H140," ")</f>
        <v> </v>
      </c>
      <c r="X140" s="17" t="str">
        <f aca="false">IF((E140="m"),H140," ")</f>
        <v> </v>
      </c>
      <c r="Y140" s="17" t="str">
        <f aca="false">IF((E140="u"),H140," ")</f>
        <v> </v>
      </c>
      <c r="Z140" s="17" t="str">
        <f aca="false">IF((E140="a"),H140," ")</f>
        <v> </v>
      </c>
      <c r="AA140" s="17" t="str">
        <f aca="false">IF((E140="g"),H140," ")</f>
        <v> </v>
      </c>
      <c r="AB140" s="17" t="str">
        <f aca="false">IF((E140="h"),H140," ")</f>
        <v> </v>
      </c>
      <c r="AC140" s="30" t="str">
        <f aca="false">IF((E140="v"),H140," ")</f>
        <v> </v>
      </c>
      <c r="AD140" s="30" t="str">
        <f aca="false">IF((E140="n"),H140," ")</f>
        <v> </v>
      </c>
      <c r="AE140" s="17" t="str">
        <f aca="false">IF((E140="f"),H140," ")</f>
        <v> </v>
      </c>
      <c r="AF140" s="17" t="str">
        <f aca="false">IF((E140="l"),H140," ")</f>
        <v> </v>
      </c>
      <c r="AG140" s="17" t="str">
        <f aca="false">IF((E140="y"),H140," ")</f>
        <v> </v>
      </c>
      <c r="AH140" s="17" t="str">
        <f aca="false">IF((E140="z"),H140," ")</f>
        <v> </v>
      </c>
      <c r="AI140" s="17" t="str">
        <f aca="false">IF((E140="fa"),H140," ")</f>
        <v> </v>
      </c>
      <c r="AJ140" s="17" t="str">
        <f aca="false">IF((E140="e"),H140," ")</f>
        <v> </v>
      </c>
    </row>
    <row r="141" customFormat="false" ht="12" hidden="false" customHeight="false" outlineLevel="0" collapsed="false">
      <c r="A141" s="28"/>
      <c r="E141" s="2" t="str">
        <f aca="false">IF((F141&lt;&gt;0),"Enter Letter"," ")</f>
        <v> </v>
      </c>
      <c r="F141" s="30"/>
      <c r="G141" s="6" t="str">
        <f aca="false">IF(F141&lt;&gt;0,F141*G$2/(100+G$2)," ")</f>
        <v> </v>
      </c>
      <c r="H141" s="6" t="str">
        <f aca="false">IF((F141&lt;&gt;0),F141-G141," ")</f>
        <v> </v>
      </c>
      <c r="I141" s="5"/>
      <c r="L141" s="7" t="str">
        <f aca="false">IF(F141&lt;&gt;0,F141-K141," ")</f>
        <v> </v>
      </c>
      <c r="M141" s="8" t="str">
        <f aca="false">IF((F141-K141)&lt;&gt;0,M$1-A141," ")</f>
        <v> </v>
      </c>
      <c r="N141" s="5"/>
      <c r="O141" s="17" t="str">
        <f aca="false">IF((E141="s"),H141," ")</f>
        <v> </v>
      </c>
      <c r="P141" s="17" t="str">
        <f aca="false">IF((E141="c"),H141," ")</f>
        <v> </v>
      </c>
      <c r="Q141" s="17" t="str">
        <f aca="false">IF((E141="o"),H141," ")</f>
        <v> </v>
      </c>
      <c r="R141" s="17" t="str">
        <f aca="false">IF((E141="d"),H141," ")</f>
        <v> </v>
      </c>
      <c r="S141" s="17" t="str">
        <f aca="false">IF((E141="w"),H141," ")</f>
        <v> </v>
      </c>
      <c r="T141" s="17" t="str">
        <f aca="false">IF((E141="r"),H141," ")</f>
        <v> </v>
      </c>
      <c r="U141" s="17" t="str">
        <f aca="false">IF((E141="p"),H141," ")</f>
        <v> </v>
      </c>
      <c r="V141" s="17" t="str">
        <f aca="false">IF((E141="t"),H141," ")</f>
        <v> </v>
      </c>
      <c r="W141" s="17" t="str">
        <f aca="false">IF((E141="q"),H141," ")</f>
        <v> </v>
      </c>
      <c r="X141" s="17" t="str">
        <f aca="false">IF((E141="m"),H141," ")</f>
        <v> </v>
      </c>
      <c r="Y141" s="17" t="str">
        <f aca="false">IF((E141="u"),H141," ")</f>
        <v> </v>
      </c>
      <c r="Z141" s="17" t="str">
        <f aca="false">IF((E141="a"),H141," ")</f>
        <v> </v>
      </c>
      <c r="AA141" s="17" t="str">
        <f aca="false">IF((E141="g"),H141," ")</f>
        <v> </v>
      </c>
      <c r="AB141" s="17" t="str">
        <f aca="false">IF((E141="h"),H141," ")</f>
        <v> </v>
      </c>
      <c r="AC141" s="30" t="str">
        <f aca="false">IF((E141="v"),H141," ")</f>
        <v> </v>
      </c>
      <c r="AD141" s="30" t="str">
        <f aca="false">IF((E141="n"),H141," ")</f>
        <v> </v>
      </c>
      <c r="AE141" s="17" t="str">
        <f aca="false">IF((E141="f"),H141," ")</f>
        <v> </v>
      </c>
      <c r="AF141" s="17" t="str">
        <f aca="false">IF((E141="l"),H141," ")</f>
        <v> </v>
      </c>
      <c r="AG141" s="17" t="str">
        <f aca="false">IF((E141="y"),H141," ")</f>
        <v> </v>
      </c>
      <c r="AH141" s="17" t="str">
        <f aca="false">IF((E141="z"),H141," ")</f>
        <v> </v>
      </c>
      <c r="AI141" s="17" t="str">
        <f aca="false">IF((E141="fa"),H141," ")</f>
        <v> </v>
      </c>
      <c r="AJ141" s="17" t="str">
        <f aca="false">IF((E141="e"),H141," ")</f>
        <v> </v>
      </c>
    </row>
    <row r="142" customFormat="false" ht="12" hidden="false" customHeight="false" outlineLevel="0" collapsed="false">
      <c r="A142" s="28"/>
      <c r="E142" s="2" t="str">
        <f aca="false">IF((F142&lt;&gt;0),"Enter Letter"," ")</f>
        <v> </v>
      </c>
      <c r="F142" s="30"/>
      <c r="G142" s="6" t="str">
        <f aca="false">IF(F142&lt;&gt;0,F142*G$2/(100+G$2)," ")</f>
        <v> </v>
      </c>
      <c r="H142" s="6" t="str">
        <f aca="false">IF((F142&lt;&gt;0),F142-G142," ")</f>
        <v> </v>
      </c>
      <c r="I142" s="5"/>
      <c r="L142" s="7" t="str">
        <f aca="false">IF(F142&lt;&gt;0,F142-K142," ")</f>
        <v> </v>
      </c>
      <c r="M142" s="8" t="str">
        <f aca="false">IF((F142-K142)&lt;&gt;0,M$1-A142," ")</f>
        <v> </v>
      </c>
      <c r="N142" s="5"/>
      <c r="O142" s="17" t="str">
        <f aca="false">IF((E142="s"),H142," ")</f>
        <v> </v>
      </c>
      <c r="P142" s="17" t="str">
        <f aca="false">IF((E142="c"),H142," ")</f>
        <v> </v>
      </c>
      <c r="Q142" s="17" t="str">
        <f aca="false">IF((E142="o"),H142," ")</f>
        <v> </v>
      </c>
      <c r="R142" s="17" t="str">
        <f aca="false">IF((E142="d"),H142," ")</f>
        <v> </v>
      </c>
      <c r="S142" s="17" t="str">
        <f aca="false">IF((E142="w"),H142," ")</f>
        <v> </v>
      </c>
      <c r="T142" s="17" t="str">
        <f aca="false">IF((E142="r"),H142," ")</f>
        <v> </v>
      </c>
      <c r="U142" s="17" t="str">
        <f aca="false">IF((E142="p"),H142," ")</f>
        <v> </v>
      </c>
      <c r="V142" s="17" t="str">
        <f aca="false">IF((E142="t"),H142," ")</f>
        <v> </v>
      </c>
      <c r="W142" s="17" t="str">
        <f aca="false">IF((E142="q"),H142," ")</f>
        <v> </v>
      </c>
      <c r="X142" s="17" t="str">
        <f aca="false">IF((E142="m"),H142," ")</f>
        <v> </v>
      </c>
      <c r="Y142" s="17" t="str">
        <f aca="false">IF((E142="u"),H142," ")</f>
        <v> </v>
      </c>
      <c r="Z142" s="17" t="str">
        <f aca="false">IF((E142="a"),H142," ")</f>
        <v> </v>
      </c>
      <c r="AA142" s="17" t="str">
        <f aca="false">IF((E142="g"),H142," ")</f>
        <v> </v>
      </c>
      <c r="AB142" s="17" t="str">
        <f aca="false">IF((E142="h"),H142," ")</f>
        <v> </v>
      </c>
      <c r="AC142" s="30" t="str">
        <f aca="false">IF((E142="v"),H142," ")</f>
        <v> </v>
      </c>
      <c r="AD142" s="30" t="str">
        <f aca="false">IF((E142="n"),H142," ")</f>
        <v> </v>
      </c>
      <c r="AE142" s="17" t="str">
        <f aca="false">IF((E142="f"),H142," ")</f>
        <v> </v>
      </c>
      <c r="AF142" s="17" t="str">
        <f aca="false">IF((E142="l"),H142," ")</f>
        <v> </v>
      </c>
      <c r="AG142" s="17" t="str">
        <f aca="false">IF((E142="y"),H142," ")</f>
        <v> </v>
      </c>
      <c r="AH142" s="17" t="str">
        <f aca="false">IF((E142="z"),H142," ")</f>
        <v> </v>
      </c>
      <c r="AI142" s="17" t="str">
        <f aca="false">IF((E142="fa"),H142," ")</f>
        <v> </v>
      </c>
      <c r="AJ142" s="17" t="str">
        <f aca="false">IF((E142="e"),H142," ")</f>
        <v> </v>
      </c>
    </row>
    <row r="143" customFormat="false" ht="12" hidden="false" customHeight="false" outlineLevel="0" collapsed="false">
      <c r="A143" s="28"/>
      <c r="E143" s="2" t="str">
        <f aca="false">IF((F143&lt;&gt;0),"Enter Letter"," ")</f>
        <v> </v>
      </c>
      <c r="F143" s="30"/>
      <c r="G143" s="6" t="str">
        <f aca="false">IF(F143&lt;&gt;0,F143*G$2/(100+G$2)," ")</f>
        <v> </v>
      </c>
      <c r="H143" s="6" t="str">
        <f aca="false">IF((F143&lt;&gt;0),F143-G143," ")</f>
        <v> </v>
      </c>
      <c r="I143" s="5"/>
      <c r="L143" s="7" t="str">
        <f aca="false">IF(F143&lt;&gt;0,F143-K143," ")</f>
        <v> </v>
      </c>
      <c r="M143" s="8" t="str">
        <f aca="false">IF((F143-K143)&lt;&gt;0,M$1-A143," ")</f>
        <v> </v>
      </c>
      <c r="N143" s="5"/>
      <c r="O143" s="17" t="str">
        <f aca="false">IF((E143="s"),H143," ")</f>
        <v> </v>
      </c>
      <c r="P143" s="17" t="str">
        <f aca="false">IF((E143="c"),H143," ")</f>
        <v> </v>
      </c>
      <c r="Q143" s="17" t="str">
        <f aca="false">IF((E143="o"),H143," ")</f>
        <v> </v>
      </c>
      <c r="R143" s="17" t="str">
        <f aca="false">IF((E143="d"),H143," ")</f>
        <v> </v>
      </c>
      <c r="S143" s="17" t="str">
        <f aca="false">IF((E143="w"),H143," ")</f>
        <v> </v>
      </c>
      <c r="T143" s="17" t="str">
        <f aca="false">IF((E143="r"),H143," ")</f>
        <v> </v>
      </c>
      <c r="U143" s="17" t="str">
        <f aca="false">IF((E143="p"),H143," ")</f>
        <v> </v>
      </c>
      <c r="V143" s="17" t="str">
        <f aca="false">IF((E143="t"),H143," ")</f>
        <v> </v>
      </c>
      <c r="W143" s="17" t="str">
        <f aca="false">IF((E143="q"),H143," ")</f>
        <v> </v>
      </c>
      <c r="X143" s="17" t="str">
        <f aca="false">IF((E143="m"),H143," ")</f>
        <v> </v>
      </c>
      <c r="Y143" s="17" t="str">
        <f aca="false">IF((E143="u"),H143," ")</f>
        <v> </v>
      </c>
      <c r="Z143" s="17" t="str">
        <f aca="false">IF((E143="a"),H143," ")</f>
        <v> </v>
      </c>
      <c r="AA143" s="17" t="str">
        <f aca="false">IF((E143="g"),H143," ")</f>
        <v> </v>
      </c>
      <c r="AB143" s="17" t="str">
        <f aca="false">IF((E143="h"),H143," ")</f>
        <v> </v>
      </c>
      <c r="AC143" s="30" t="str">
        <f aca="false">IF((E143="v"),H143," ")</f>
        <v> </v>
      </c>
      <c r="AD143" s="30" t="str">
        <f aca="false">IF((E143="n"),H143," ")</f>
        <v> </v>
      </c>
      <c r="AE143" s="17" t="str">
        <f aca="false">IF((E143="f"),H143," ")</f>
        <v> </v>
      </c>
      <c r="AF143" s="17" t="str">
        <f aca="false">IF((E143="l"),H143," ")</f>
        <v> </v>
      </c>
      <c r="AG143" s="17" t="str">
        <f aca="false">IF((E143="y"),H143," ")</f>
        <v> </v>
      </c>
      <c r="AH143" s="17" t="str">
        <f aca="false">IF((E143="z"),H143," ")</f>
        <v> </v>
      </c>
      <c r="AI143" s="17" t="str">
        <f aca="false">IF((E143="fa"),H143," ")</f>
        <v> </v>
      </c>
      <c r="AJ143" s="17" t="str">
        <f aca="false">IF((E143="e"),H143," ")</f>
        <v> </v>
      </c>
    </row>
    <row r="144" customFormat="false" ht="12" hidden="false" customHeight="false" outlineLevel="0" collapsed="false">
      <c r="A144" s="28"/>
      <c r="E144" s="2" t="str">
        <f aca="false">IF((F144&lt;&gt;0),"Enter Letter"," ")</f>
        <v> </v>
      </c>
      <c r="F144" s="30"/>
      <c r="G144" s="6" t="str">
        <f aca="false">IF(F144&lt;&gt;0,F144*G$2/(100+G$2)," ")</f>
        <v> </v>
      </c>
      <c r="H144" s="6" t="str">
        <f aca="false">IF((F144&lt;&gt;0),F144-G144," ")</f>
        <v> </v>
      </c>
      <c r="I144" s="5"/>
      <c r="L144" s="7" t="str">
        <f aca="false">IF(F144&lt;&gt;0,F144-K144," ")</f>
        <v> </v>
      </c>
      <c r="M144" s="8" t="str">
        <f aca="false">IF((F144-K144)&lt;&gt;0,M$1-A144," ")</f>
        <v> </v>
      </c>
      <c r="N144" s="5"/>
      <c r="O144" s="17" t="str">
        <f aca="false">IF((E144="s"),H144," ")</f>
        <v> </v>
      </c>
      <c r="P144" s="17" t="str">
        <f aca="false">IF((E144="c"),H144," ")</f>
        <v> </v>
      </c>
      <c r="Q144" s="17" t="str">
        <f aca="false">IF((E144="o"),H144," ")</f>
        <v> </v>
      </c>
      <c r="R144" s="17" t="str">
        <f aca="false">IF((E144="d"),H144," ")</f>
        <v> </v>
      </c>
      <c r="S144" s="17" t="str">
        <f aca="false">IF((E144="w"),H144," ")</f>
        <v> </v>
      </c>
      <c r="T144" s="17" t="str">
        <f aca="false">IF((E144="r"),H144," ")</f>
        <v> </v>
      </c>
      <c r="U144" s="17" t="str">
        <f aca="false">IF((E144="p"),H144," ")</f>
        <v> </v>
      </c>
      <c r="V144" s="17" t="str">
        <f aca="false">IF((E144="t"),H144," ")</f>
        <v> </v>
      </c>
      <c r="W144" s="17" t="str">
        <f aca="false">IF((E144="q"),H144," ")</f>
        <v> </v>
      </c>
      <c r="X144" s="17" t="str">
        <f aca="false">IF((E144="m"),H144," ")</f>
        <v> </v>
      </c>
      <c r="Y144" s="17" t="str">
        <f aca="false">IF((E144="u"),H144," ")</f>
        <v> </v>
      </c>
      <c r="Z144" s="17" t="str">
        <f aca="false">IF((E144="a"),H144," ")</f>
        <v> </v>
      </c>
      <c r="AA144" s="17" t="str">
        <f aca="false">IF((E144="g"),H144," ")</f>
        <v> </v>
      </c>
      <c r="AB144" s="17" t="str">
        <f aca="false">IF((E144="h"),H144," ")</f>
        <v> </v>
      </c>
      <c r="AC144" s="30" t="str">
        <f aca="false">IF((E144="v"),H144," ")</f>
        <v> </v>
      </c>
      <c r="AD144" s="30" t="str">
        <f aca="false">IF((E144="n"),H144," ")</f>
        <v> </v>
      </c>
      <c r="AE144" s="17" t="str">
        <f aca="false">IF((E144="f"),H144," ")</f>
        <v> </v>
      </c>
      <c r="AF144" s="17" t="str">
        <f aca="false">IF((E144="l"),H144," ")</f>
        <v> </v>
      </c>
      <c r="AG144" s="17" t="str">
        <f aca="false">IF((E144="y"),H144," ")</f>
        <v> </v>
      </c>
      <c r="AH144" s="17" t="str">
        <f aca="false">IF((E144="z"),H144," ")</f>
        <v> </v>
      </c>
      <c r="AI144" s="17" t="str">
        <f aca="false">IF((E144="fa"),H144," ")</f>
        <v> </v>
      </c>
      <c r="AJ144" s="17" t="str">
        <f aca="false">IF((E144="e"),H144," ")</f>
        <v> </v>
      </c>
    </row>
    <row r="145" customFormat="false" ht="12" hidden="false" customHeight="false" outlineLevel="0" collapsed="false">
      <c r="A145" s="28"/>
      <c r="E145" s="2" t="str">
        <f aca="false">IF((F145&lt;&gt;0),"Enter Letter"," ")</f>
        <v> </v>
      </c>
      <c r="F145" s="30"/>
      <c r="G145" s="6" t="str">
        <f aca="false">IF(F145&lt;&gt;0,F145*G$2/(100+G$2)," ")</f>
        <v> </v>
      </c>
      <c r="H145" s="6" t="str">
        <f aca="false">IF((F145&lt;&gt;0),F145-G145," ")</f>
        <v> </v>
      </c>
      <c r="I145" s="5"/>
      <c r="L145" s="7" t="str">
        <f aca="false">IF(F145&lt;&gt;0,F145-K145," ")</f>
        <v> </v>
      </c>
      <c r="M145" s="8" t="str">
        <f aca="false">IF((F145-K145)&lt;&gt;0,M$1-A145," ")</f>
        <v> </v>
      </c>
      <c r="N145" s="5"/>
      <c r="O145" s="17" t="str">
        <f aca="false">IF((E145="s"),H145," ")</f>
        <v> </v>
      </c>
      <c r="P145" s="17" t="str">
        <f aca="false">IF((E145="c"),H145," ")</f>
        <v> </v>
      </c>
      <c r="Q145" s="17" t="str">
        <f aca="false">IF((E145="o"),H145," ")</f>
        <v> </v>
      </c>
      <c r="R145" s="17" t="str">
        <f aca="false">IF((E145="d"),H145," ")</f>
        <v> </v>
      </c>
      <c r="S145" s="17" t="str">
        <f aca="false">IF((E145="w"),H145," ")</f>
        <v> </v>
      </c>
      <c r="T145" s="17" t="str">
        <f aca="false">IF((E145="r"),H145," ")</f>
        <v> </v>
      </c>
      <c r="U145" s="17" t="str">
        <f aca="false">IF((E145="p"),H145," ")</f>
        <v> </v>
      </c>
      <c r="V145" s="17" t="str">
        <f aca="false">IF((E145="t"),H145," ")</f>
        <v> </v>
      </c>
      <c r="W145" s="17" t="str">
        <f aca="false">IF((E145="q"),H145," ")</f>
        <v> </v>
      </c>
      <c r="X145" s="17" t="str">
        <f aca="false">IF((E145="m"),H145," ")</f>
        <v> </v>
      </c>
      <c r="Y145" s="17" t="str">
        <f aca="false">IF((E145="u"),H145," ")</f>
        <v> </v>
      </c>
      <c r="Z145" s="17" t="str">
        <f aca="false">IF((E145="a"),H145," ")</f>
        <v> </v>
      </c>
      <c r="AA145" s="17" t="str">
        <f aca="false">IF((E145="g"),H145," ")</f>
        <v> </v>
      </c>
      <c r="AB145" s="17" t="str">
        <f aca="false">IF((E145="h"),H145," ")</f>
        <v> </v>
      </c>
      <c r="AC145" s="30" t="str">
        <f aca="false">IF((E145="v"),H145," ")</f>
        <v> </v>
      </c>
      <c r="AD145" s="30" t="str">
        <f aca="false">IF((E145="n"),H145," ")</f>
        <v> </v>
      </c>
      <c r="AE145" s="17" t="str">
        <f aca="false">IF((E145="f"),H145," ")</f>
        <v> </v>
      </c>
      <c r="AF145" s="17" t="str">
        <f aca="false">IF((E145="l"),H145," ")</f>
        <v> </v>
      </c>
      <c r="AG145" s="17" t="str">
        <f aca="false">IF((E145="y"),H145," ")</f>
        <v> </v>
      </c>
      <c r="AH145" s="17" t="str">
        <f aca="false">IF((E145="z"),H145," ")</f>
        <v> </v>
      </c>
      <c r="AI145" s="17" t="str">
        <f aca="false">IF((E145="fa"),H145," ")</f>
        <v> </v>
      </c>
      <c r="AJ145" s="17" t="str">
        <f aca="false">IF((E145="e"),H145," ")</f>
        <v> </v>
      </c>
    </row>
    <row r="146" customFormat="false" ht="12" hidden="false" customHeight="false" outlineLevel="0" collapsed="false">
      <c r="A146" s="28"/>
      <c r="E146" s="2" t="str">
        <f aca="false">IF((F146&lt;&gt;0),"Enter Letter"," ")</f>
        <v> </v>
      </c>
      <c r="F146" s="30"/>
      <c r="G146" s="6" t="str">
        <f aca="false">IF(F146&lt;&gt;0,F146*G$2/(100+G$2)," ")</f>
        <v> </v>
      </c>
      <c r="H146" s="6" t="str">
        <f aca="false">IF((F146&lt;&gt;0),F146-G146," ")</f>
        <v> </v>
      </c>
      <c r="I146" s="5"/>
      <c r="L146" s="7" t="str">
        <f aca="false">IF(F146&lt;&gt;0,F146-K146," ")</f>
        <v> </v>
      </c>
      <c r="M146" s="8" t="str">
        <f aca="false">IF((F146-K146)&lt;&gt;0,M$1-A146," ")</f>
        <v> </v>
      </c>
      <c r="N146" s="5"/>
      <c r="O146" s="17" t="str">
        <f aca="false">IF((E146="s"),H146," ")</f>
        <v> </v>
      </c>
      <c r="P146" s="17" t="str">
        <f aca="false">IF((E146="c"),H146," ")</f>
        <v> </v>
      </c>
      <c r="Q146" s="17" t="str">
        <f aca="false">IF((E146="o"),H146," ")</f>
        <v> </v>
      </c>
      <c r="R146" s="17" t="str">
        <f aca="false">IF((E146="d"),H146," ")</f>
        <v> </v>
      </c>
      <c r="S146" s="17" t="str">
        <f aca="false">IF((E146="w"),H146," ")</f>
        <v> </v>
      </c>
      <c r="T146" s="17" t="str">
        <f aca="false">IF((E146="r"),H146," ")</f>
        <v> </v>
      </c>
      <c r="U146" s="17" t="str">
        <f aca="false">IF((E146="p"),H146," ")</f>
        <v> </v>
      </c>
      <c r="V146" s="17" t="str">
        <f aca="false">IF((E146="t"),H146," ")</f>
        <v> </v>
      </c>
      <c r="W146" s="17" t="str">
        <f aca="false">IF((E146="q"),H146," ")</f>
        <v> </v>
      </c>
      <c r="X146" s="17" t="str">
        <f aca="false">IF((E146="m"),H146," ")</f>
        <v> </v>
      </c>
      <c r="Y146" s="17" t="str">
        <f aca="false">IF((E146="u"),H146," ")</f>
        <v> </v>
      </c>
      <c r="Z146" s="17" t="str">
        <f aca="false">IF((E146="a"),H146," ")</f>
        <v> </v>
      </c>
      <c r="AA146" s="17" t="str">
        <f aca="false">IF((E146="g"),H146," ")</f>
        <v> </v>
      </c>
      <c r="AB146" s="17" t="str">
        <f aca="false">IF((E146="h"),H146," ")</f>
        <v> </v>
      </c>
      <c r="AC146" s="30" t="str">
        <f aca="false">IF((E146="v"),H146," ")</f>
        <v> </v>
      </c>
      <c r="AD146" s="30" t="str">
        <f aca="false">IF((E146="n"),H146," ")</f>
        <v> </v>
      </c>
      <c r="AE146" s="17" t="str">
        <f aca="false">IF((E146="f"),H146," ")</f>
        <v> </v>
      </c>
      <c r="AF146" s="17" t="str">
        <f aca="false">IF((E146="l"),H146," ")</f>
        <v> </v>
      </c>
      <c r="AG146" s="17" t="str">
        <f aca="false">IF((E146="y"),H146," ")</f>
        <v> </v>
      </c>
      <c r="AH146" s="17" t="str">
        <f aca="false">IF((E146="z"),H146," ")</f>
        <v> </v>
      </c>
      <c r="AI146" s="17" t="str">
        <f aca="false">IF((E146="fa"),H146," ")</f>
        <v> </v>
      </c>
      <c r="AJ146" s="17" t="str">
        <f aca="false">IF((E146="e"),H146," ")</f>
        <v> </v>
      </c>
    </row>
    <row r="147" customFormat="false" ht="12" hidden="false" customHeight="false" outlineLevel="0" collapsed="false">
      <c r="A147" s="28"/>
      <c r="E147" s="2" t="str">
        <f aca="false">IF((F147&lt;&gt;0),"Enter Letter"," ")</f>
        <v> </v>
      </c>
      <c r="F147" s="30"/>
      <c r="G147" s="6" t="str">
        <f aca="false">IF(F147&lt;&gt;0,F147*G$2/(100+G$2)," ")</f>
        <v> </v>
      </c>
      <c r="H147" s="6" t="str">
        <f aca="false">IF((F147&lt;&gt;0),F147-G147," ")</f>
        <v> </v>
      </c>
      <c r="I147" s="5"/>
      <c r="L147" s="7" t="str">
        <f aca="false">IF(F147&lt;&gt;0,F147-K147," ")</f>
        <v> </v>
      </c>
      <c r="M147" s="8" t="str">
        <f aca="false">IF((F147-K147)&lt;&gt;0,M$1-A147," ")</f>
        <v> </v>
      </c>
      <c r="N147" s="5"/>
      <c r="O147" s="17" t="str">
        <f aca="false">IF((E147="s"),H147," ")</f>
        <v> </v>
      </c>
      <c r="P147" s="17" t="str">
        <f aca="false">IF((E147="c"),H147," ")</f>
        <v> </v>
      </c>
      <c r="Q147" s="17" t="str">
        <f aca="false">IF((E147="o"),H147," ")</f>
        <v> </v>
      </c>
      <c r="R147" s="17" t="str">
        <f aca="false">IF((E147="d"),H147," ")</f>
        <v> </v>
      </c>
      <c r="S147" s="17" t="str">
        <f aca="false">IF((E147="w"),H147," ")</f>
        <v> </v>
      </c>
      <c r="T147" s="17" t="str">
        <f aca="false">IF((E147="r"),H147," ")</f>
        <v> </v>
      </c>
      <c r="U147" s="17" t="str">
        <f aca="false">IF((E147="p"),H147," ")</f>
        <v> </v>
      </c>
      <c r="V147" s="17" t="str">
        <f aca="false">IF((E147="t"),H147," ")</f>
        <v> </v>
      </c>
      <c r="W147" s="17" t="str">
        <f aca="false">IF((E147="q"),H147," ")</f>
        <v> </v>
      </c>
      <c r="X147" s="17" t="str">
        <f aca="false">IF((E147="m"),H147," ")</f>
        <v> </v>
      </c>
      <c r="Y147" s="17" t="str">
        <f aca="false">IF((E147="u"),H147," ")</f>
        <v> </v>
      </c>
      <c r="Z147" s="17" t="str">
        <f aca="false">IF((E147="a"),H147," ")</f>
        <v> </v>
      </c>
      <c r="AA147" s="17" t="str">
        <f aca="false">IF((E147="g"),H147," ")</f>
        <v> </v>
      </c>
      <c r="AB147" s="17" t="str">
        <f aca="false">IF((E147="h"),H147," ")</f>
        <v> </v>
      </c>
      <c r="AC147" s="30" t="str">
        <f aca="false">IF((E147="v"),H147," ")</f>
        <v> </v>
      </c>
      <c r="AD147" s="30" t="str">
        <f aca="false">IF((E147="n"),H147," ")</f>
        <v> </v>
      </c>
      <c r="AE147" s="17" t="str">
        <f aca="false">IF((E147="f"),H147," ")</f>
        <v> </v>
      </c>
      <c r="AF147" s="17" t="str">
        <f aca="false">IF((E147="l"),H147," ")</f>
        <v> </v>
      </c>
      <c r="AG147" s="17" t="str">
        <f aca="false">IF((E147="y"),H147," ")</f>
        <v> </v>
      </c>
      <c r="AH147" s="17" t="str">
        <f aca="false">IF((E147="z"),H147," ")</f>
        <v> </v>
      </c>
      <c r="AI147" s="17" t="str">
        <f aca="false">IF((E147="fa"),H147," ")</f>
        <v> </v>
      </c>
      <c r="AJ147" s="17" t="str">
        <f aca="false">IF((E147="e"),H147," ")</f>
        <v> </v>
      </c>
    </row>
    <row r="148" customFormat="false" ht="12" hidden="false" customHeight="false" outlineLevel="0" collapsed="false">
      <c r="A148" s="28"/>
      <c r="E148" s="2" t="str">
        <f aca="false">IF((F148&lt;&gt;0),"Enter Letter"," ")</f>
        <v> </v>
      </c>
      <c r="F148" s="30"/>
      <c r="G148" s="6" t="str">
        <f aca="false">IF(F148&lt;&gt;0,F148*G$2/(100+G$2)," ")</f>
        <v> </v>
      </c>
      <c r="H148" s="6" t="str">
        <f aca="false">IF((F148&lt;&gt;0),F148-G148," ")</f>
        <v> </v>
      </c>
      <c r="I148" s="5"/>
      <c r="L148" s="7" t="str">
        <f aca="false">IF(F148&lt;&gt;0,F148-K148," ")</f>
        <v> </v>
      </c>
      <c r="M148" s="8" t="str">
        <f aca="false">IF((F148-K148)&lt;&gt;0,M$1-A148," ")</f>
        <v> </v>
      </c>
      <c r="N148" s="5"/>
      <c r="O148" s="17" t="str">
        <f aca="false">IF((E148="s"),H148," ")</f>
        <v> </v>
      </c>
      <c r="P148" s="17" t="str">
        <f aca="false">IF((E148="c"),H148," ")</f>
        <v> </v>
      </c>
      <c r="Q148" s="17" t="str">
        <f aca="false">IF((E148="o"),H148," ")</f>
        <v> </v>
      </c>
      <c r="R148" s="17" t="str">
        <f aca="false">IF((E148="d"),H148," ")</f>
        <v> </v>
      </c>
      <c r="S148" s="17" t="str">
        <f aca="false">IF((E148="w"),H148," ")</f>
        <v> </v>
      </c>
      <c r="T148" s="17" t="str">
        <f aca="false">IF((E148="r"),H148," ")</f>
        <v> </v>
      </c>
      <c r="U148" s="17" t="str">
        <f aca="false">IF((E148="p"),H148," ")</f>
        <v> </v>
      </c>
      <c r="V148" s="17" t="str">
        <f aca="false">IF((E148="t"),H148," ")</f>
        <v> </v>
      </c>
      <c r="W148" s="17" t="str">
        <f aca="false">IF((E148="q"),H148," ")</f>
        <v> </v>
      </c>
      <c r="X148" s="17" t="str">
        <f aca="false">IF((E148="m"),H148," ")</f>
        <v> </v>
      </c>
      <c r="Y148" s="17" t="str">
        <f aca="false">IF((E148="u"),H148," ")</f>
        <v> </v>
      </c>
      <c r="Z148" s="17" t="str">
        <f aca="false">IF((E148="a"),H148," ")</f>
        <v> </v>
      </c>
      <c r="AA148" s="17" t="str">
        <f aca="false">IF((E148="g"),H148," ")</f>
        <v> </v>
      </c>
      <c r="AB148" s="17" t="str">
        <f aca="false">IF((E148="h"),H148," ")</f>
        <v> </v>
      </c>
      <c r="AC148" s="30" t="str">
        <f aca="false">IF((E148="v"),H148," ")</f>
        <v> </v>
      </c>
      <c r="AD148" s="30" t="str">
        <f aca="false">IF((E148="n"),H148," ")</f>
        <v> </v>
      </c>
      <c r="AE148" s="17" t="str">
        <f aca="false">IF((E148="f"),H148," ")</f>
        <v> </v>
      </c>
      <c r="AF148" s="17" t="str">
        <f aca="false">IF((E148="l"),H148," ")</f>
        <v> </v>
      </c>
      <c r="AG148" s="17" t="str">
        <f aca="false">IF((E148="y"),H148," ")</f>
        <v> </v>
      </c>
      <c r="AH148" s="17" t="str">
        <f aca="false">IF((E148="z"),H148," ")</f>
        <v> </v>
      </c>
      <c r="AI148" s="17" t="str">
        <f aca="false">IF((E148="fa"),H148," ")</f>
        <v> </v>
      </c>
      <c r="AJ148" s="17" t="str">
        <f aca="false">IF((E148="e"),H148," ")</f>
        <v> </v>
      </c>
    </row>
    <row r="149" customFormat="false" ht="12" hidden="false" customHeight="false" outlineLevel="0" collapsed="false">
      <c r="A149" s="28"/>
      <c r="E149" s="2" t="str">
        <f aca="false">IF((F149&lt;&gt;0),"Enter Letter"," ")</f>
        <v> </v>
      </c>
      <c r="F149" s="30"/>
      <c r="G149" s="6" t="str">
        <f aca="false">IF(F149&lt;&gt;0,F149*G$2/(100+G$2)," ")</f>
        <v> </v>
      </c>
      <c r="H149" s="6" t="str">
        <f aca="false">IF((F149&lt;&gt;0),F149-G149," ")</f>
        <v> </v>
      </c>
      <c r="I149" s="5"/>
      <c r="L149" s="7" t="str">
        <f aca="false">IF(F149&lt;&gt;0,F149-K149," ")</f>
        <v> </v>
      </c>
      <c r="M149" s="8" t="str">
        <f aca="false">IF((F149-K149)&lt;&gt;0,M$1-A149," ")</f>
        <v> </v>
      </c>
      <c r="N149" s="5"/>
      <c r="O149" s="17" t="str">
        <f aca="false">IF((E149="s"),H149," ")</f>
        <v> </v>
      </c>
      <c r="P149" s="17" t="str">
        <f aca="false">IF((E149="c"),H149," ")</f>
        <v> </v>
      </c>
      <c r="Q149" s="17" t="str">
        <f aca="false">IF((E149="o"),H149," ")</f>
        <v> </v>
      </c>
      <c r="R149" s="17" t="str">
        <f aca="false">IF((E149="d"),H149," ")</f>
        <v> </v>
      </c>
      <c r="S149" s="17" t="str">
        <f aca="false">IF((E149="w"),H149," ")</f>
        <v> </v>
      </c>
      <c r="T149" s="17" t="str">
        <f aca="false">IF((E149="r"),H149," ")</f>
        <v> </v>
      </c>
      <c r="U149" s="17" t="str">
        <f aca="false">IF((E149="p"),H149," ")</f>
        <v> </v>
      </c>
      <c r="V149" s="17" t="str">
        <f aca="false">IF((E149="t"),H149," ")</f>
        <v> </v>
      </c>
      <c r="W149" s="17" t="str">
        <f aca="false">IF((E149="q"),H149," ")</f>
        <v> </v>
      </c>
      <c r="X149" s="17" t="str">
        <f aca="false">IF((E149="m"),H149," ")</f>
        <v> </v>
      </c>
      <c r="Y149" s="17" t="str">
        <f aca="false">IF((E149="u"),H149," ")</f>
        <v> </v>
      </c>
      <c r="Z149" s="17" t="str">
        <f aca="false">IF((E149="a"),H149," ")</f>
        <v> </v>
      </c>
      <c r="AA149" s="17" t="str">
        <f aca="false">IF((E149="g"),H149," ")</f>
        <v> </v>
      </c>
      <c r="AB149" s="17" t="str">
        <f aca="false">IF((E149="h"),H149," ")</f>
        <v> </v>
      </c>
      <c r="AC149" s="30" t="str">
        <f aca="false">IF((E149="v"),H149," ")</f>
        <v> </v>
      </c>
      <c r="AD149" s="30" t="str">
        <f aca="false">IF((E149="n"),H149," ")</f>
        <v> </v>
      </c>
      <c r="AE149" s="17" t="str">
        <f aca="false">IF((E149="f"),H149," ")</f>
        <v> </v>
      </c>
      <c r="AF149" s="17" t="str">
        <f aca="false">IF((E149="l"),H149," ")</f>
        <v> </v>
      </c>
      <c r="AG149" s="17" t="str">
        <f aca="false">IF((E149="y"),H149," ")</f>
        <v> </v>
      </c>
      <c r="AH149" s="17" t="str">
        <f aca="false">IF((E149="z"),H149," ")</f>
        <v> </v>
      </c>
      <c r="AI149" s="17" t="str">
        <f aca="false">IF((E149="fa"),H149," ")</f>
        <v> </v>
      </c>
      <c r="AJ149" s="17" t="str">
        <f aca="false">IF((E149="e"),H149," ")</f>
        <v> </v>
      </c>
    </row>
    <row r="150" customFormat="false" ht="12" hidden="false" customHeight="false" outlineLevel="0" collapsed="false">
      <c r="A150" s="28"/>
      <c r="E150" s="2" t="str">
        <f aca="false">IF((F150&lt;&gt;0),"Enter Letter"," ")</f>
        <v> </v>
      </c>
      <c r="F150" s="30"/>
      <c r="G150" s="6" t="str">
        <f aca="false">IF(F150&lt;&gt;0,F150*G$2/(100+G$2)," ")</f>
        <v> </v>
      </c>
      <c r="H150" s="6" t="str">
        <f aca="false">IF((F150&lt;&gt;0),F150-G150," ")</f>
        <v> </v>
      </c>
      <c r="I150" s="5"/>
      <c r="L150" s="7" t="str">
        <f aca="false">IF(F150&lt;&gt;0,F150-K150," ")</f>
        <v> </v>
      </c>
      <c r="M150" s="8" t="str">
        <f aca="false">IF((F150-K150)&lt;&gt;0,M$1-A150," ")</f>
        <v> </v>
      </c>
      <c r="N150" s="5"/>
      <c r="O150" s="17" t="str">
        <f aca="false">IF((E150="s"),H150," ")</f>
        <v> </v>
      </c>
      <c r="P150" s="17" t="str">
        <f aca="false">IF((E150="c"),H150," ")</f>
        <v> </v>
      </c>
      <c r="Q150" s="17" t="str">
        <f aca="false">IF((E150="o"),H150," ")</f>
        <v> </v>
      </c>
      <c r="R150" s="17" t="str">
        <f aca="false">IF((E150="d"),H150," ")</f>
        <v> </v>
      </c>
      <c r="S150" s="17" t="str">
        <f aca="false">IF((E150="w"),H150," ")</f>
        <v> </v>
      </c>
      <c r="T150" s="17" t="str">
        <f aca="false">IF((E150="r"),H150," ")</f>
        <v> </v>
      </c>
      <c r="U150" s="17" t="str">
        <f aca="false">IF((E150="p"),H150," ")</f>
        <v> </v>
      </c>
      <c r="V150" s="17" t="str">
        <f aca="false">IF((E150="t"),H150," ")</f>
        <v> </v>
      </c>
      <c r="W150" s="17" t="str">
        <f aca="false">IF((E150="q"),H150," ")</f>
        <v> </v>
      </c>
      <c r="X150" s="17" t="str">
        <f aca="false">IF((E150="m"),H150," ")</f>
        <v> </v>
      </c>
      <c r="Y150" s="17" t="str">
        <f aca="false">IF((E150="u"),H150," ")</f>
        <v> </v>
      </c>
      <c r="Z150" s="17" t="str">
        <f aca="false">IF((E150="a"),H150," ")</f>
        <v> </v>
      </c>
      <c r="AA150" s="17" t="str">
        <f aca="false">IF((E150="g"),H150," ")</f>
        <v> </v>
      </c>
      <c r="AB150" s="17" t="str">
        <f aca="false">IF((E150="h"),H150," ")</f>
        <v> </v>
      </c>
      <c r="AC150" s="30" t="str">
        <f aca="false">IF((E150="v"),H150," ")</f>
        <v> </v>
      </c>
      <c r="AD150" s="30" t="str">
        <f aca="false">IF((E150="n"),H150," ")</f>
        <v> </v>
      </c>
      <c r="AE150" s="17" t="str">
        <f aca="false">IF((E150="f"),H150," ")</f>
        <v> </v>
      </c>
      <c r="AF150" s="17" t="str">
        <f aca="false">IF((E150="l"),H150," ")</f>
        <v> </v>
      </c>
      <c r="AG150" s="17" t="str">
        <f aca="false">IF((E150="y"),H150," ")</f>
        <v> </v>
      </c>
      <c r="AH150" s="17" t="str">
        <f aca="false">IF((E150="z"),H150," ")</f>
        <v> </v>
      </c>
      <c r="AI150" s="17" t="str">
        <f aca="false">IF((E150="fa"),H150," ")</f>
        <v> </v>
      </c>
      <c r="AJ150" s="17" t="str">
        <f aca="false">IF((E150="e"),H150," ")</f>
        <v> </v>
      </c>
    </row>
    <row r="151" customFormat="false" ht="12" hidden="false" customHeight="false" outlineLevel="0" collapsed="false">
      <c r="A151" s="28"/>
      <c r="E151" s="2" t="str">
        <f aca="false">IF((F151&lt;&gt;0),"Enter Letter"," ")</f>
        <v> </v>
      </c>
      <c r="F151" s="30"/>
      <c r="G151" s="6" t="str">
        <f aca="false">IF(F151&lt;&gt;0,F151*G$2/(100+G$2)," ")</f>
        <v> </v>
      </c>
      <c r="H151" s="6" t="str">
        <f aca="false">IF((F151&lt;&gt;0),F151-G151," ")</f>
        <v> </v>
      </c>
      <c r="I151" s="5"/>
      <c r="L151" s="7" t="str">
        <f aca="false">IF(F151&lt;&gt;0,F151-K151," ")</f>
        <v> </v>
      </c>
      <c r="M151" s="8" t="str">
        <f aca="false">IF((F151-K151)&lt;&gt;0,M$1-A151," ")</f>
        <v> </v>
      </c>
      <c r="N151" s="5"/>
      <c r="O151" s="17" t="str">
        <f aca="false">IF((E151="s"),H151," ")</f>
        <v> </v>
      </c>
      <c r="P151" s="17" t="str">
        <f aca="false">IF((E151="c"),H151," ")</f>
        <v> </v>
      </c>
      <c r="Q151" s="17" t="str">
        <f aca="false">IF((E151="o"),H151," ")</f>
        <v> </v>
      </c>
      <c r="R151" s="17" t="str">
        <f aca="false">IF((E151="d"),H151," ")</f>
        <v> </v>
      </c>
      <c r="S151" s="17" t="str">
        <f aca="false">IF((E151="w"),H151," ")</f>
        <v> </v>
      </c>
      <c r="T151" s="17" t="str">
        <f aca="false">IF((E151="r"),H151," ")</f>
        <v> </v>
      </c>
      <c r="U151" s="17" t="str">
        <f aca="false">IF((E151="p"),H151," ")</f>
        <v> </v>
      </c>
      <c r="V151" s="17" t="str">
        <f aca="false">IF((E151="t"),H151," ")</f>
        <v> </v>
      </c>
      <c r="W151" s="17" t="str">
        <f aca="false">IF((E151="q"),H151," ")</f>
        <v> </v>
      </c>
      <c r="X151" s="17" t="str">
        <f aca="false">IF((E151="m"),H151," ")</f>
        <v> </v>
      </c>
      <c r="Y151" s="17" t="str">
        <f aca="false">IF((E151="u"),H151," ")</f>
        <v> </v>
      </c>
      <c r="Z151" s="17" t="str">
        <f aca="false">IF((E151="a"),H151," ")</f>
        <v> </v>
      </c>
      <c r="AA151" s="17" t="str">
        <f aca="false">IF((E151="g"),H151," ")</f>
        <v> </v>
      </c>
      <c r="AB151" s="17" t="str">
        <f aca="false">IF((E151="h"),H151," ")</f>
        <v> </v>
      </c>
      <c r="AC151" s="30" t="str">
        <f aca="false">IF((E151="v"),H151," ")</f>
        <v> </v>
      </c>
      <c r="AD151" s="30" t="str">
        <f aca="false">IF((E151="n"),H151," ")</f>
        <v> </v>
      </c>
      <c r="AE151" s="17" t="str">
        <f aca="false">IF((E151="f"),H151," ")</f>
        <v> </v>
      </c>
      <c r="AF151" s="17" t="str">
        <f aca="false">IF((E151="l"),H151," ")</f>
        <v> </v>
      </c>
      <c r="AG151" s="17" t="str">
        <f aca="false">IF((E151="y"),H151," ")</f>
        <v> </v>
      </c>
      <c r="AH151" s="17" t="str">
        <f aca="false">IF((E151="z"),H151," ")</f>
        <v> </v>
      </c>
      <c r="AI151" s="17" t="str">
        <f aca="false">IF((E151="fa"),H151," ")</f>
        <v> </v>
      </c>
      <c r="AJ151" s="17" t="str">
        <f aca="false">IF((E151="e"),H151," ")</f>
        <v> </v>
      </c>
    </row>
    <row r="152" customFormat="false" ht="12" hidden="false" customHeight="false" outlineLevel="0" collapsed="false">
      <c r="A152" s="28"/>
      <c r="E152" s="2" t="str">
        <f aca="false">IF((F152&lt;&gt;0),"Enter Letter"," ")</f>
        <v> </v>
      </c>
      <c r="F152" s="30"/>
      <c r="G152" s="6" t="str">
        <f aca="false">IF(F152&lt;&gt;0,F152*G$2/(100+G$2)," ")</f>
        <v> </v>
      </c>
      <c r="H152" s="6" t="str">
        <f aca="false">IF((F152&lt;&gt;0),F152-G152," ")</f>
        <v> </v>
      </c>
      <c r="I152" s="5"/>
      <c r="L152" s="7" t="str">
        <f aca="false">IF(F152&lt;&gt;0,F152-K152," ")</f>
        <v> </v>
      </c>
      <c r="M152" s="8" t="str">
        <f aca="false">IF((F152-K152)&lt;&gt;0,M$1-A152," ")</f>
        <v> </v>
      </c>
      <c r="N152" s="5"/>
      <c r="O152" s="17" t="str">
        <f aca="false">IF((E152="s"),H152," ")</f>
        <v> </v>
      </c>
      <c r="P152" s="17" t="str">
        <f aca="false">IF((E152="c"),H152," ")</f>
        <v> </v>
      </c>
      <c r="Q152" s="17" t="str">
        <f aca="false">IF((E152="o"),H152," ")</f>
        <v> </v>
      </c>
      <c r="R152" s="17" t="str">
        <f aca="false">IF((E152="d"),H152," ")</f>
        <v> </v>
      </c>
      <c r="S152" s="17" t="str">
        <f aca="false">IF((E152="w"),H152," ")</f>
        <v> </v>
      </c>
      <c r="T152" s="17" t="str">
        <f aca="false">IF((E152="r"),H152," ")</f>
        <v> </v>
      </c>
      <c r="U152" s="17" t="str">
        <f aca="false">IF((E152="p"),H152," ")</f>
        <v> </v>
      </c>
      <c r="V152" s="17" t="str">
        <f aca="false">IF((E152="t"),H152," ")</f>
        <v> </v>
      </c>
      <c r="W152" s="17" t="str">
        <f aca="false">IF((E152="q"),H152," ")</f>
        <v> </v>
      </c>
      <c r="X152" s="17" t="str">
        <f aca="false">IF((E152="m"),H152," ")</f>
        <v> </v>
      </c>
      <c r="Y152" s="17" t="str">
        <f aca="false">IF((E152="u"),H152," ")</f>
        <v> </v>
      </c>
      <c r="Z152" s="17" t="str">
        <f aca="false">IF((E152="a"),H152," ")</f>
        <v> </v>
      </c>
      <c r="AA152" s="17" t="str">
        <f aca="false">IF((E152="g"),H152," ")</f>
        <v> </v>
      </c>
      <c r="AB152" s="17" t="str">
        <f aca="false">IF((E152="h"),H152," ")</f>
        <v> </v>
      </c>
      <c r="AC152" s="30" t="str">
        <f aca="false">IF((E152="v"),H152," ")</f>
        <v> </v>
      </c>
      <c r="AD152" s="30" t="str">
        <f aca="false">IF((E152="n"),H152," ")</f>
        <v> </v>
      </c>
      <c r="AE152" s="17" t="str">
        <f aca="false">IF((E152="f"),H152," ")</f>
        <v> </v>
      </c>
      <c r="AF152" s="17" t="str">
        <f aca="false">IF((E152="l"),H152," ")</f>
        <v> </v>
      </c>
      <c r="AG152" s="17" t="str">
        <f aca="false">IF((E152="y"),H152," ")</f>
        <v> </v>
      </c>
      <c r="AH152" s="17" t="str">
        <f aca="false">IF((E152="z"),H152," ")</f>
        <v> </v>
      </c>
      <c r="AI152" s="17" t="str">
        <f aca="false">IF((E152="fa"),H152," ")</f>
        <v> </v>
      </c>
      <c r="AJ152" s="17" t="str">
        <f aca="false">IF((E152="e"),H152," ")</f>
        <v> </v>
      </c>
    </row>
    <row r="153" customFormat="false" ht="12" hidden="false" customHeight="false" outlineLevel="0" collapsed="false">
      <c r="A153" s="28"/>
      <c r="E153" s="2" t="str">
        <f aca="false">IF((F153&lt;&gt;0),"Enter Letter"," ")</f>
        <v> </v>
      </c>
      <c r="F153" s="30"/>
      <c r="G153" s="6" t="str">
        <f aca="false">IF(F153&lt;&gt;0,F153*G$2/(100+G$2)," ")</f>
        <v> </v>
      </c>
      <c r="H153" s="6" t="str">
        <f aca="false">IF((F153&lt;&gt;0),F153-G153," ")</f>
        <v> </v>
      </c>
      <c r="I153" s="5"/>
      <c r="L153" s="7" t="str">
        <f aca="false">IF(F153&lt;&gt;0,F153-K153," ")</f>
        <v> </v>
      </c>
      <c r="M153" s="8" t="str">
        <f aca="false">IF((F153-K153)&lt;&gt;0,M$1-A153," ")</f>
        <v> </v>
      </c>
      <c r="N153" s="5"/>
      <c r="O153" s="17" t="str">
        <f aca="false">IF((E153="s"),H153," ")</f>
        <v> </v>
      </c>
      <c r="P153" s="17" t="str">
        <f aca="false">IF((E153="c"),H153," ")</f>
        <v> </v>
      </c>
      <c r="Q153" s="17" t="str">
        <f aca="false">IF((E153="o"),H153," ")</f>
        <v> </v>
      </c>
      <c r="R153" s="17" t="str">
        <f aca="false">IF((E153="d"),H153," ")</f>
        <v> </v>
      </c>
      <c r="S153" s="17" t="str">
        <f aca="false">IF((E153="w"),H153," ")</f>
        <v> </v>
      </c>
      <c r="T153" s="17" t="str">
        <f aca="false">IF((E153="r"),H153," ")</f>
        <v> </v>
      </c>
      <c r="U153" s="17" t="str">
        <f aca="false">IF((E153="p"),H153," ")</f>
        <v> </v>
      </c>
      <c r="V153" s="17" t="str">
        <f aca="false">IF((E153="t"),H153," ")</f>
        <v> </v>
      </c>
      <c r="W153" s="17" t="str">
        <f aca="false">IF((E153="q"),H153," ")</f>
        <v> </v>
      </c>
      <c r="X153" s="17" t="str">
        <f aca="false">IF((E153="m"),H153," ")</f>
        <v> </v>
      </c>
      <c r="Y153" s="17" t="str">
        <f aca="false">IF((E153="u"),H153," ")</f>
        <v> </v>
      </c>
      <c r="Z153" s="17" t="str">
        <f aca="false">IF((E153="a"),H153," ")</f>
        <v> </v>
      </c>
      <c r="AA153" s="17" t="str">
        <f aca="false">IF((E153="g"),H153," ")</f>
        <v> </v>
      </c>
      <c r="AB153" s="17" t="str">
        <f aca="false">IF((E153="h"),H153," ")</f>
        <v> </v>
      </c>
      <c r="AC153" s="30" t="str">
        <f aca="false">IF((E153="v"),H153," ")</f>
        <v> </v>
      </c>
      <c r="AD153" s="30" t="str">
        <f aca="false">IF((E153="n"),H153," ")</f>
        <v> </v>
      </c>
      <c r="AE153" s="17" t="str">
        <f aca="false">IF((E153="f"),H153," ")</f>
        <v> </v>
      </c>
      <c r="AF153" s="17" t="str">
        <f aca="false">IF((E153="l"),H153," ")</f>
        <v> </v>
      </c>
      <c r="AG153" s="17" t="str">
        <f aca="false">IF((E153="y"),H153," ")</f>
        <v> </v>
      </c>
      <c r="AH153" s="17" t="str">
        <f aca="false">IF((E153="z"),H153," ")</f>
        <v> </v>
      </c>
      <c r="AI153" s="17" t="str">
        <f aca="false">IF((E153="fa"),H153," ")</f>
        <v> </v>
      </c>
      <c r="AJ153" s="17" t="str">
        <f aca="false">IF((E153="e"),H153," ")</f>
        <v> </v>
      </c>
    </row>
    <row r="154" customFormat="false" ht="12" hidden="false" customHeight="false" outlineLevel="0" collapsed="false">
      <c r="A154" s="28"/>
      <c r="E154" s="2" t="str">
        <f aca="false">IF((F154&lt;&gt;0),"Enter Letter"," ")</f>
        <v> </v>
      </c>
      <c r="F154" s="30"/>
      <c r="G154" s="6" t="str">
        <f aca="false">IF(F154&lt;&gt;0,F154*G$2/(100+G$2)," ")</f>
        <v> </v>
      </c>
      <c r="H154" s="6" t="str">
        <f aca="false">IF((F154&lt;&gt;0),F154-G154," ")</f>
        <v> </v>
      </c>
      <c r="I154" s="5"/>
      <c r="L154" s="7" t="str">
        <f aca="false">IF(F154&lt;&gt;0,F154-K154," ")</f>
        <v> </v>
      </c>
      <c r="M154" s="8" t="str">
        <f aca="false">IF((F154-K154)&lt;&gt;0,M$1-A154," ")</f>
        <v> </v>
      </c>
      <c r="N154" s="5"/>
      <c r="O154" s="17" t="str">
        <f aca="false">IF((E154="s"),H154," ")</f>
        <v> </v>
      </c>
      <c r="P154" s="17" t="str">
        <f aca="false">IF((E154="c"),H154," ")</f>
        <v> </v>
      </c>
      <c r="Q154" s="17" t="str">
        <f aca="false">IF((E154="o"),H154," ")</f>
        <v> </v>
      </c>
      <c r="R154" s="17" t="str">
        <f aca="false">IF((E154="d"),H154," ")</f>
        <v> </v>
      </c>
      <c r="S154" s="17" t="str">
        <f aca="false">IF((E154="w"),H154," ")</f>
        <v> </v>
      </c>
      <c r="T154" s="17" t="str">
        <f aca="false">IF((E154="r"),H154," ")</f>
        <v> </v>
      </c>
      <c r="U154" s="17" t="str">
        <f aca="false">IF((E154="p"),H154," ")</f>
        <v> </v>
      </c>
      <c r="V154" s="17" t="str">
        <f aca="false">IF((E154="t"),H154," ")</f>
        <v> </v>
      </c>
      <c r="W154" s="17" t="str">
        <f aca="false">IF((E154="q"),H154," ")</f>
        <v> </v>
      </c>
      <c r="X154" s="17" t="str">
        <f aca="false">IF((E154="m"),H154," ")</f>
        <v> </v>
      </c>
      <c r="Y154" s="17" t="str">
        <f aca="false">IF((E154="u"),H154," ")</f>
        <v> </v>
      </c>
      <c r="Z154" s="17" t="str">
        <f aca="false">IF((E154="a"),H154," ")</f>
        <v> </v>
      </c>
      <c r="AA154" s="17" t="str">
        <f aca="false">IF((E154="g"),H154," ")</f>
        <v> </v>
      </c>
      <c r="AB154" s="17" t="str">
        <f aca="false">IF((E154="h"),H154," ")</f>
        <v> </v>
      </c>
      <c r="AC154" s="30" t="str">
        <f aca="false">IF((E154="v"),H154," ")</f>
        <v> </v>
      </c>
      <c r="AD154" s="30" t="str">
        <f aca="false">IF((E154="n"),H154," ")</f>
        <v> </v>
      </c>
      <c r="AE154" s="17" t="str">
        <f aca="false">IF((E154="f"),H154," ")</f>
        <v> </v>
      </c>
      <c r="AF154" s="17" t="str">
        <f aca="false">IF((E154="l"),H154," ")</f>
        <v> </v>
      </c>
      <c r="AG154" s="17" t="str">
        <f aca="false">IF((E154="y"),H154," ")</f>
        <v> </v>
      </c>
      <c r="AH154" s="17" t="str">
        <f aca="false">IF((E154="z"),H154," ")</f>
        <v> </v>
      </c>
      <c r="AI154" s="17" t="str">
        <f aca="false">IF((E154="fa"),H154," ")</f>
        <v> </v>
      </c>
      <c r="AJ154" s="17" t="str">
        <f aca="false">IF((E154="e"),H154," ")</f>
        <v> </v>
      </c>
    </row>
    <row r="155" customFormat="false" ht="12" hidden="false" customHeight="false" outlineLevel="0" collapsed="false">
      <c r="A155" s="28"/>
      <c r="E155" s="2" t="str">
        <f aca="false">IF((F155&lt;&gt;0),"Enter Letter"," ")</f>
        <v> </v>
      </c>
      <c r="F155" s="30"/>
      <c r="G155" s="6" t="str">
        <f aca="false">IF(F155&lt;&gt;0,F155*G$2/(100+G$2)," ")</f>
        <v> </v>
      </c>
      <c r="H155" s="6" t="str">
        <f aca="false">IF((F155&lt;&gt;0),F155-G155," ")</f>
        <v> </v>
      </c>
      <c r="I155" s="5"/>
      <c r="L155" s="7" t="str">
        <f aca="false">IF(F155&lt;&gt;0,F155-K155," ")</f>
        <v> </v>
      </c>
      <c r="M155" s="8" t="str">
        <f aca="false">IF((F155-K155)&lt;&gt;0,M$1-A155," ")</f>
        <v> </v>
      </c>
      <c r="N155" s="5"/>
      <c r="O155" s="17" t="str">
        <f aca="false">IF((E155="s"),H155," ")</f>
        <v> </v>
      </c>
      <c r="P155" s="17" t="str">
        <f aca="false">IF((E155="c"),H155," ")</f>
        <v> </v>
      </c>
      <c r="Q155" s="17" t="str">
        <f aca="false">IF((E155="o"),H155," ")</f>
        <v> </v>
      </c>
      <c r="R155" s="17" t="str">
        <f aca="false">IF((E155="d"),H155," ")</f>
        <v> </v>
      </c>
      <c r="S155" s="17" t="str">
        <f aca="false">IF((E155="w"),H155," ")</f>
        <v> </v>
      </c>
      <c r="T155" s="17" t="str">
        <f aca="false">IF((E155="r"),H155," ")</f>
        <v> </v>
      </c>
      <c r="U155" s="17" t="str">
        <f aca="false">IF((E155="p"),H155," ")</f>
        <v> </v>
      </c>
      <c r="V155" s="17" t="str">
        <f aca="false">IF((E155="t"),H155," ")</f>
        <v> </v>
      </c>
      <c r="W155" s="17" t="str">
        <f aca="false">IF((E155="q"),H155," ")</f>
        <v> </v>
      </c>
      <c r="X155" s="17" t="str">
        <f aca="false">IF((E155="m"),H155," ")</f>
        <v> </v>
      </c>
      <c r="Y155" s="17" t="str">
        <f aca="false">IF((E155="u"),H155," ")</f>
        <v> </v>
      </c>
      <c r="Z155" s="17" t="str">
        <f aca="false">IF((E155="a"),H155," ")</f>
        <v> </v>
      </c>
      <c r="AA155" s="17" t="str">
        <f aca="false">IF((E155="g"),H155," ")</f>
        <v> </v>
      </c>
      <c r="AB155" s="17" t="str">
        <f aca="false">IF((E155="h"),H155," ")</f>
        <v> </v>
      </c>
      <c r="AC155" s="30" t="str">
        <f aca="false">IF((E155="v"),H155," ")</f>
        <v> </v>
      </c>
      <c r="AD155" s="30" t="str">
        <f aca="false">IF((E155="n"),H155," ")</f>
        <v> </v>
      </c>
      <c r="AE155" s="17" t="str">
        <f aca="false">IF((E155="f"),H155," ")</f>
        <v> </v>
      </c>
      <c r="AF155" s="17" t="str">
        <f aca="false">IF((E155="l"),H155," ")</f>
        <v> </v>
      </c>
      <c r="AG155" s="17" t="str">
        <f aca="false">IF((E155="y"),H155," ")</f>
        <v> </v>
      </c>
      <c r="AH155" s="17" t="str">
        <f aca="false">IF((E155="z"),H155," ")</f>
        <v> </v>
      </c>
      <c r="AI155" s="17" t="str">
        <f aca="false">IF((E155="fa"),H155," ")</f>
        <v> </v>
      </c>
      <c r="AJ155" s="17" t="str">
        <f aca="false">IF((E155="e"),H155," ")</f>
        <v> </v>
      </c>
    </row>
    <row r="156" customFormat="false" ht="12" hidden="false" customHeight="false" outlineLevel="0" collapsed="false">
      <c r="A156" s="28"/>
      <c r="E156" s="2" t="str">
        <f aca="false">IF((F156&lt;&gt;0),"Enter Letter"," ")</f>
        <v> </v>
      </c>
      <c r="F156" s="30"/>
      <c r="G156" s="6" t="str">
        <f aca="false">IF(F156&lt;&gt;0,F156*G$2/(100+G$2)," ")</f>
        <v> </v>
      </c>
      <c r="H156" s="6" t="str">
        <f aca="false">IF((F156&lt;&gt;0),F156-G156," ")</f>
        <v> </v>
      </c>
      <c r="I156" s="5"/>
      <c r="L156" s="7" t="str">
        <f aca="false">IF(F156&lt;&gt;0,F156-K156," ")</f>
        <v> </v>
      </c>
      <c r="M156" s="8" t="str">
        <f aca="false">IF((F156-K156)&lt;&gt;0,M$1-A156," ")</f>
        <v> </v>
      </c>
      <c r="N156" s="5"/>
      <c r="O156" s="17" t="str">
        <f aca="false">IF((E156="s"),H156," ")</f>
        <v> </v>
      </c>
      <c r="P156" s="17" t="str">
        <f aca="false">IF((E156="c"),H156," ")</f>
        <v> </v>
      </c>
      <c r="Q156" s="17" t="str">
        <f aca="false">IF((E156="o"),H156," ")</f>
        <v> </v>
      </c>
      <c r="R156" s="17" t="str">
        <f aca="false">IF((E156="d"),H156," ")</f>
        <v> </v>
      </c>
      <c r="S156" s="17" t="str">
        <f aca="false">IF((E156="w"),H156," ")</f>
        <v> </v>
      </c>
      <c r="T156" s="17" t="str">
        <f aca="false">IF((E156="r"),H156," ")</f>
        <v> </v>
      </c>
      <c r="U156" s="17" t="str">
        <f aca="false">IF((E156="p"),H156," ")</f>
        <v> </v>
      </c>
      <c r="V156" s="17" t="str">
        <f aca="false">IF((E156="t"),H156," ")</f>
        <v> </v>
      </c>
      <c r="W156" s="17" t="str">
        <f aca="false">IF((E156="q"),H156," ")</f>
        <v> </v>
      </c>
      <c r="X156" s="17" t="str">
        <f aca="false">IF((E156="m"),H156," ")</f>
        <v> </v>
      </c>
      <c r="Y156" s="17" t="str">
        <f aca="false">IF((E156="u"),H156," ")</f>
        <v> </v>
      </c>
      <c r="Z156" s="17" t="str">
        <f aca="false">IF((E156="a"),H156," ")</f>
        <v> </v>
      </c>
      <c r="AA156" s="17" t="str">
        <f aca="false">IF((E156="g"),H156," ")</f>
        <v> </v>
      </c>
      <c r="AB156" s="17" t="str">
        <f aca="false">IF((E156="h"),H156," ")</f>
        <v> </v>
      </c>
      <c r="AC156" s="30" t="str">
        <f aca="false">IF((E156="v"),H156," ")</f>
        <v> </v>
      </c>
      <c r="AD156" s="30" t="str">
        <f aca="false">IF((E156="n"),H156," ")</f>
        <v> </v>
      </c>
      <c r="AE156" s="17" t="str">
        <f aca="false">IF((E156="f"),H156," ")</f>
        <v> </v>
      </c>
      <c r="AF156" s="17" t="str">
        <f aca="false">IF((E156="l"),H156," ")</f>
        <v> </v>
      </c>
      <c r="AG156" s="17" t="str">
        <f aca="false">IF((E156="y"),H156," ")</f>
        <v> </v>
      </c>
      <c r="AH156" s="17" t="str">
        <f aca="false">IF((E156="z"),H156," ")</f>
        <v> </v>
      </c>
      <c r="AI156" s="17" t="str">
        <f aca="false">IF((E156="fa"),H156," ")</f>
        <v> </v>
      </c>
      <c r="AJ156" s="17" t="str">
        <f aca="false">IF((E156="e"),H156," ")</f>
        <v> </v>
      </c>
    </row>
    <row r="157" customFormat="false" ht="12" hidden="false" customHeight="false" outlineLevel="0" collapsed="false">
      <c r="A157" s="28"/>
      <c r="E157" s="2" t="str">
        <f aca="false">IF((F157&lt;&gt;0),"Enter Letter"," ")</f>
        <v> </v>
      </c>
      <c r="F157" s="30"/>
      <c r="G157" s="6" t="str">
        <f aca="false">IF(F157&lt;&gt;0,F157*G$2/(100+G$2)," ")</f>
        <v> </v>
      </c>
      <c r="H157" s="6" t="str">
        <f aca="false">IF((F157&lt;&gt;0),F157-G157," ")</f>
        <v> </v>
      </c>
      <c r="I157" s="5"/>
      <c r="L157" s="7" t="str">
        <f aca="false">IF(F157&lt;&gt;0,F157-K157," ")</f>
        <v> </v>
      </c>
      <c r="M157" s="8" t="str">
        <f aca="false">IF((F157-K157)&lt;&gt;0,M$1-A157," ")</f>
        <v> </v>
      </c>
      <c r="N157" s="5"/>
      <c r="O157" s="17" t="str">
        <f aca="false">IF((E157="s"),H157," ")</f>
        <v> </v>
      </c>
      <c r="P157" s="17" t="str">
        <f aca="false">IF((E157="c"),H157," ")</f>
        <v> </v>
      </c>
      <c r="Q157" s="17" t="str">
        <f aca="false">IF((E157="o"),H157," ")</f>
        <v> </v>
      </c>
      <c r="R157" s="17" t="str">
        <f aca="false">IF((E157="d"),H157," ")</f>
        <v> </v>
      </c>
      <c r="S157" s="17" t="str">
        <f aca="false">IF((E157="w"),H157," ")</f>
        <v> </v>
      </c>
      <c r="T157" s="17" t="str">
        <f aca="false">IF((E157="r"),H157," ")</f>
        <v> </v>
      </c>
      <c r="U157" s="17" t="str">
        <f aca="false">IF((E157="p"),H157," ")</f>
        <v> </v>
      </c>
      <c r="V157" s="17" t="str">
        <f aca="false">IF((E157="t"),H157," ")</f>
        <v> </v>
      </c>
      <c r="W157" s="17" t="str">
        <f aca="false">IF((E157="q"),H157," ")</f>
        <v> </v>
      </c>
      <c r="X157" s="17" t="str">
        <f aca="false">IF((E157="m"),H157," ")</f>
        <v> </v>
      </c>
      <c r="Y157" s="17" t="str">
        <f aca="false">IF((E157="u"),H157," ")</f>
        <v> </v>
      </c>
      <c r="Z157" s="17" t="str">
        <f aca="false">IF((E157="a"),H157," ")</f>
        <v> </v>
      </c>
      <c r="AA157" s="17" t="str">
        <f aca="false">IF((E157="g"),H157," ")</f>
        <v> </v>
      </c>
      <c r="AB157" s="17" t="str">
        <f aca="false">IF((E157="h"),H157," ")</f>
        <v> </v>
      </c>
      <c r="AC157" s="30" t="str">
        <f aca="false">IF((E157="v"),H157," ")</f>
        <v> </v>
      </c>
      <c r="AD157" s="30" t="str">
        <f aca="false">IF((E157="n"),H157," ")</f>
        <v> </v>
      </c>
      <c r="AE157" s="17" t="str">
        <f aca="false">IF((E157="f"),H157," ")</f>
        <v> </v>
      </c>
      <c r="AF157" s="17" t="str">
        <f aca="false">IF((E157="l"),H157," ")</f>
        <v> </v>
      </c>
      <c r="AG157" s="17" t="str">
        <f aca="false">IF((E157="y"),H157," ")</f>
        <v> </v>
      </c>
      <c r="AH157" s="17" t="str">
        <f aca="false">IF((E157="z"),H157," ")</f>
        <v> </v>
      </c>
      <c r="AI157" s="17" t="str">
        <f aca="false">IF((E157="fa"),H157," ")</f>
        <v> </v>
      </c>
      <c r="AJ157" s="17" t="str">
        <f aca="false">IF((E157="e"),H157," ")</f>
        <v> </v>
      </c>
    </row>
    <row r="158" customFormat="false" ht="12" hidden="false" customHeight="false" outlineLevel="0" collapsed="false">
      <c r="A158" s="28"/>
      <c r="E158" s="2" t="str">
        <f aca="false">IF((F158&lt;&gt;0),"Enter Letter"," ")</f>
        <v> </v>
      </c>
      <c r="F158" s="30"/>
      <c r="G158" s="6" t="str">
        <f aca="false">IF(F158&lt;&gt;0,F158*G$2/(100+G$2)," ")</f>
        <v> </v>
      </c>
      <c r="H158" s="6" t="str">
        <f aca="false">IF((F158&lt;&gt;0),F158-G158," ")</f>
        <v> </v>
      </c>
      <c r="I158" s="5"/>
      <c r="L158" s="7" t="str">
        <f aca="false">IF(F158&lt;&gt;0,F158-K158," ")</f>
        <v> </v>
      </c>
      <c r="M158" s="8" t="str">
        <f aca="false">IF((F158-K158)&lt;&gt;0,M$1-A158," ")</f>
        <v> </v>
      </c>
      <c r="N158" s="5"/>
      <c r="O158" s="17" t="str">
        <f aca="false">IF((E158="s"),H158," ")</f>
        <v> </v>
      </c>
      <c r="P158" s="17" t="str">
        <f aca="false">IF((E158="c"),H158," ")</f>
        <v> </v>
      </c>
      <c r="Q158" s="17" t="str">
        <f aca="false">IF((E158="o"),H158," ")</f>
        <v> </v>
      </c>
      <c r="R158" s="17" t="str">
        <f aca="false">IF((E158="d"),H158," ")</f>
        <v> </v>
      </c>
      <c r="S158" s="17" t="str">
        <f aca="false">IF((E158="w"),H158," ")</f>
        <v> </v>
      </c>
      <c r="T158" s="17" t="str">
        <f aca="false">IF((E158="r"),H158," ")</f>
        <v> </v>
      </c>
      <c r="U158" s="17" t="str">
        <f aca="false">IF((E158="p"),H158," ")</f>
        <v> </v>
      </c>
      <c r="V158" s="17" t="str">
        <f aca="false">IF((E158="t"),H158," ")</f>
        <v> </v>
      </c>
      <c r="W158" s="17" t="str">
        <f aca="false">IF((E158="q"),H158," ")</f>
        <v> </v>
      </c>
      <c r="X158" s="17" t="str">
        <f aca="false">IF((E158="m"),H158," ")</f>
        <v> </v>
      </c>
      <c r="Y158" s="17" t="str">
        <f aca="false">IF((E158="u"),H158," ")</f>
        <v> </v>
      </c>
      <c r="Z158" s="17" t="str">
        <f aca="false">IF((E158="a"),H158," ")</f>
        <v> </v>
      </c>
      <c r="AA158" s="17" t="str">
        <f aca="false">IF((E158="g"),H158," ")</f>
        <v> </v>
      </c>
      <c r="AB158" s="17" t="str">
        <f aca="false">IF((E158="h"),H158," ")</f>
        <v> </v>
      </c>
      <c r="AC158" s="30" t="str">
        <f aca="false">IF((E158="v"),H158," ")</f>
        <v> </v>
      </c>
      <c r="AD158" s="30" t="str">
        <f aca="false">IF((E158="n"),H158," ")</f>
        <v> </v>
      </c>
      <c r="AE158" s="17" t="str">
        <f aca="false">IF((E158="f"),H158," ")</f>
        <v> </v>
      </c>
      <c r="AF158" s="17" t="str">
        <f aca="false">IF((E158="l"),H158," ")</f>
        <v> </v>
      </c>
      <c r="AG158" s="17" t="str">
        <f aca="false">IF((E158="y"),H158," ")</f>
        <v> </v>
      </c>
      <c r="AH158" s="17" t="str">
        <f aca="false">IF((E158="z"),H158," ")</f>
        <v> </v>
      </c>
      <c r="AI158" s="17" t="str">
        <f aca="false">IF((E158="fa"),H158," ")</f>
        <v> </v>
      </c>
      <c r="AJ158" s="17" t="str">
        <f aca="false">IF((E158="e"),H158," ")</f>
        <v> </v>
      </c>
    </row>
    <row r="159" customFormat="false" ht="12" hidden="false" customHeight="false" outlineLevel="0" collapsed="false">
      <c r="A159" s="28"/>
      <c r="E159" s="2" t="str">
        <f aca="false">IF((F159&lt;&gt;0),"Enter Letter"," ")</f>
        <v> </v>
      </c>
      <c r="F159" s="30"/>
      <c r="G159" s="6" t="str">
        <f aca="false">IF(F159&lt;&gt;0,F159*G$2/(100+G$2)," ")</f>
        <v> </v>
      </c>
      <c r="H159" s="6" t="str">
        <f aca="false">IF((F159&lt;&gt;0),F159-G159," ")</f>
        <v> </v>
      </c>
      <c r="I159" s="5"/>
      <c r="L159" s="7" t="str">
        <f aca="false">IF(F159&lt;&gt;0,F159-K159," ")</f>
        <v> </v>
      </c>
      <c r="M159" s="8" t="str">
        <f aca="false">IF((F159-K159)&lt;&gt;0,M$1-A159," ")</f>
        <v> </v>
      </c>
      <c r="N159" s="5"/>
      <c r="O159" s="17" t="str">
        <f aca="false">IF((E159="s"),H159," ")</f>
        <v> </v>
      </c>
      <c r="P159" s="17" t="str">
        <f aca="false">IF((E159="c"),H159," ")</f>
        <v> </v>
      </c>
      <c r="Q159" s="17" t="str">
        <f aca="false">IF((E159="o"),H159," ")</f>
        <v> </v>
      </c>
      <c r="R159" s="17" t="str">
        <f aca="false">IF((E159="d"),H159," ")</f>
        <v> </v>
      </c>
      <c r="S159" s="17" t="str">
        <f aca="false">IF((E159="w"),H159," ")</f>
        <v> </v>
      </c>
      <c r="T159" s="17" t="str">
        <f aca="false">IF((E159="r"),H159," ")</f>
        <v> </v>
      </c>
      <c r="U159" s="17" t="str">
        <f aca="false">IF((E159="p"),H159," ")</f>
        <v> </v>
      </c>
      <c r="V159" s="17" t="str">
        <f aca="false">IF((E159="t"),H159," ")</f>
        <v> </v>
      </c>
      <c r="W159" s="17" t="str">
        <f aca="false">IF((E159="q"),H159," ")</f>
        <v> </v>
      </c>
      <c r="X159" s="17" t="str">
        <f aca="false">IF((E159="m"),H159," ")</f>
        <v> </v>
      </c>
      <c r="Y159" s="17" t="str">
        <f aca="false">IF((E159="u"),H159," ")</f>
        <v> </v>
      </c>
      <c r="Z159" s="17" t="str">
        <f aca="false">IF((E159="a"),H159," ")</f>
        <v> </v>
      </c>
      <c r="AA159" s="17" t="str">
        <f aca="false">IF((E159="g"),H159," ")</f>
        <v> </v>
      </c>
      <c r="AB159" s="17" t="str">
        <f aca="false">IF((E159="h"),H159," ")</f>
        <v> </v>
      </c>
      <c r="AC159" s="30" t="str">
        <f aca="false">IF((E159="v"),H159," ")</f>
        <v> </v>
      </c>
      <c r="AD159" s="30" t="str">
        <f aca="false">IF((E159="n"),H159," ")</f>
        <v> </v>
      </c>
      <c r="AE159" s="17" t="str">
        <f aca="false">IF((E159="f"),H159," ")</f>
        <v> </v>
      </c>
      <c r="AF159" s="17" t="str">
        <f aca="false">IF((E159="l"),H159," ")</f>
        <v> </v>
      </c>
      <c r="AG159" s="17" t="str">
        <f aca="false">IF((E159="y"),H159," ")</f>
        <v> </v>
      </c>
      <c r="AH159" s="17" t="str">
        <f aca="false">IF((E159="z"),H159," ")</f>
        <v> </v>
      </c>
      <c r="AI159" s="17" t="str">
        <f aca="false">IF((E159="fa"),H159," ")</f>
        <v> </v>
      </c>
      <c r="AJ159" s="17" t="str">
        <f aca="false">IF((E159="e"),H159," ")</f>
        <v> </v>
      </c>
    </row>
    <row r="160" customFormat="false" ht="12" hidden="false" customHeight="false" outlineLevel="0" collapsed="false">
      <c r="A160" s="28"/>
      <c r="E160" s="2" t="str">
        <f aca="false">IF((F160&lt;&gt;0),"Enter Letter"," ")</f>
        <v> </v>
      </c>
      <c r="F160" s="30"/>
      <c r="G160" s="6" t="str">
        <f aca="false">IF(F160&lt;&gt;0,F160*G$2/(100+G$2)," ")</f>
        <v> </v>
      </c>
      <c r="H160" s="6" t="str">
        <f aca="false">IF((F160&lt;&gt;0),F160-G160," ")</f>
        <v> </v>
      </c>
      <c r="I160" s="5"/>
      <c r="L160" s="7" t="str">
        <f aca="false">IF(F160&lt;&gt;0,F160-K160," ")</f>
        <v> </v>
      </c>
      <c r="M160" s="8" t="str">
        <f aca="false">IF((F160-K160)&lt;&gt;0,M$1-A160," ")</f>
        <v> </v>
      </c>
      <c r="N160" s="5"/>
      <c r="O160" s="17" t="str">
        <f aca="false">IF((E160="s"),H160," ")</f>
        <v> </v>
      </c>
      <c r="P160" s="17" t="str">
        <f aca="false">IF((E160="c"),H160," ")</f>
        <v> </v>
      </c>
      <c r="Q160" s="17" t="str">
        <f aca="false">IF((E160="o"),H160," ")</f>
        <v> </v>
      </c>
      <c r="R160" s="17" t="str">
        <f aca="false">IF((E160="d"),H160," ")</f>
        <v> </v>
      </c>
      <c r="S160" s="17" t="str">
        <f aca="false">IF((E160="w"),H160," ")</f>
        <v> </v>
      </c>
      <c r="T160" s="17" t="str">
        <f aca="false">IF((E160="r"),H160," ")</f>
        <v> </v>
      </c>
      <c r="U160" s="17" t="str">
        <f aca="false">IF((E160="p"),H160," ")</f>
        <v> </v>
      </c>
      <c r="V160" s="17" t="str">
        <f aca="false">IF((E160="t"),H160," ")</f>
        <v> </v>
      </c>
      <c r="W160" s="17" t="str">
        <f aca="false">IF((E160="q"),H160," ")</f>
        <v> </v>
      </c>
      <c r="X160" s="17" t="str">
        <f aca="false">IF((E160="m"),H160," ")</f>
        <v> </v>
      </c>
      <c r="Y160" s="17" t="str">
        <f aca="false">IF((E160="u"),H160," ")</f>
        <v> </v>
      </c>
      <c r="Z160" s="17" t="str">
        <f aca="false">IF((E160="a"),H160," ")</f>
        <v> </v>
      </c>
      <c r="AA160" s="17" t="str">
        <f aca="false">IF((E160="g"),H160," ")</f>
        <v> </v>
      </c>
      <c r="AB160" s="17" t="str">
        <f aca="false">IF((E160="h"),H160," ")</f>
        <v> </v>
      </c>
      <c r="AC160" s="30" t="str">
        <f aca="false">IF((E160="v"),H160," ")</f>
        <v> </v>
      </c>
      <c r="AD160" s="30" t="str">
        <f aca="false">IF((E160="n"),H160," ")</f>
        <v> </v>
      </c>
      <c r="AE160" s="17" t="str">
        <f aca="false">IF((E160="f"),H160," ")</f>
        <v> </v>
      </c>
      <c r="AF160" s="17" t="str">
        <f aca="false">IF((E160="l"),H160," ")</f>
        <v> </v>
      </c>
      <c r="AG160" s="17" t="str">
        <f aca="false">IF((E160="y"),H160," ")</f>
        <v> </v>
      </c>
      <c r="AH160" s="17" t="str">
        <f aca="false">IF((E160="z"),H160," ")</f>
        <v> </v>
      </c>
      <c r="AI160" s="17" t="str">
        <f aca="false">IF((E160="fa"),H160," ")</f>
        <v> </v>
      </c>
      <c r="AJ160" s="17" t="str">
        <f aca="false">IF((E160="e"),H160," ")</f>
        <v> </v>
      </c>
    </row>
    <row r="161" customFormat="false" ht="12" hidden="false" customHeight="false" outlineLevel="0" collapsed="false">
      <c r="A161" s="28"/>
      <c r="E161" s="2" t="str">
        <f aca="false">IF((F161&lt;&gt;0),"Enter Letter"," ")</f>
        <v> </v>
      </c>
      <c r="F161" s="30"/>
      <c r="G161" s="6" t="str">
        <f aca="false">IF(F161&lt;&gt;0,F161*G$2/(100+G$2)," ")</f>
        <v> </v>
      </c>
      <c r="H161" s="6" t="str">
        <f aca="false">IF((F161&lt;&gt;0),F161-G161," ")</f>
        <v> </v>
      </c>
      <c r="I161" s="5"/>
      <c r="L161" s="7" t="str">
        <f aca="false">IF(F161&lt;&gt;0,F161-K161," ")</f>
        <v> </v>
      </c>
      <c r="M161" s="8" t="str">
        <f aca="false">IF((F161-K161)&lt;&gt;0,M$1-A161," ")</f>
        <v> </v>
      </c>
      <c r="N161" s="5"/>
      <c r="O161" s="17" t="str">
        <f aca="false">IF((E161="s"),H161," ")</f>
        <v> </v>
      </c>
      <c r="P161" s="17" t="str">
        <f aca="false">IF((E161="c"),H161," ")</f>
        <v> </v>
      </c>
      <c r="Q161" s="17" t="str">
        <f aca="false">IF((E161="o"),H161," ")</f>
        <v> </v>
      </c>
      <c r="R161" s="17" t="str">
        <f aca="false">IF((E161="d"),H161," ")</f>
        <v> </v>
      </c>
      <c r="S161" s="17" t="str">
        <f aca="false">IF((E161="w"),H161," ")</f>
        <v> </v>
      </c>
      <c r="T161" s="17" t="str">
        <f aca="false">IF((E161="r"),H161," ")</f>
        <v> </v>
      </c>
      <c r="U161" s="17" t="str">
        <f aca="false">IF((E161="p"),H161," ")</f>
        <v> </v>
      </c>
      <c r="V161" s="17" t="str">
        <f aca="false">IF((E161="t"),H161," ")</f>
        <v> </v>
      </c>
      <c r="W161" s="17" t="str">
        <f aca="false">IF((E161="q"),H161," ")</f>
        <v> </v>
      </c>
      <c r="X161" s="17" t="str">
        <f aca="false">IF((E161="m"),H161," ")</f>
        <v> </v>
      </c>
      <c r="Y161" s="17" t="str">
        <f aca="false">IF((E161="u"),H161," ")</f>
        <v> </v>
      </c>
      <c r="Z161" s="17" t="str">
        <f aca="false">IF((E161="a"),H161," ")</f>
        <v> </v>
      </c>
      <c r="AA161" s="17" t="str">
        <f aca="false">IF((E161="g"),H161," ")</f>
        <v> </v>
      </c>
      <c r="AB161" s="17" t="str">
        <f aca="false">IF((E161="h"),H161," ")</f>
        <v> </v>
      </c>
      <c r="AC161" s="30" t="str">
        <f aca="false">IF((E161="v"),H161," ")</f>
        <v> </v>
      </c>
      <c r="AD161" s="30" t="str">
        <f aca="false">IF((E161="n"),H161," ")</f>
        <v> </v>
      </c>
      <c r="AE161" s="17" t="str">
        <f aca="false">IF((E161="f"),H161," ")</f>
        <v> </v>
      </c>
      <c r="AF161" s="17" t="str">
        <f aca="false">IF((E161="l"),H161," ")</f>
        <v> </v>
      </c>
      <c r="AG161" s="17" t="str">
        <f aca="false">IF((E161="y"),H161," ")</f>
        <v> </v>
      </c>
      <c r="AH161" s="17" t="str">
        <f aca="false">IF((E161="z"),H161," ")</f>
        <v> </v>
      </c>
      <c r="AI161" s="17" t="str">
        <f aca="false">IF((E161="fa"),H161," ")</f>
        <v> </v>
      </c>
      <c r="AJ161" s="17" t="str">
        <f aca="false">IF((E161="e"),H161," ")</f>
        <v> </v>
      </c>
    </row>
    <row r="162" customFormat="false" ht="12" hidden="false" customHeight="false" outlineLevel="0" collapsed="false">
      <c r="A162" s="28"/>
      <c r="E162" s="2" t="str">
        <f aca="false">IF((F162&lt;&gt;0),"Enter Letter"," ")</f>
        <v> </v>
      </c>
      <c r="F162" s="30"/>
      <c r="G162" s="6" t="str">
        <f aca="false">IF(F162&lt;&gt;0,F162*G$2/(100+G$2)," ")</f>
        <v> </v>
      </c>
      <c r="H162" s="6" t="str">
        <f aca="false">IF((F162&lt;&gt;0),F162-G162," ")</f>
        <v> </v>
      </c>
      <c r="I162" s="5"/>
      <c r="L162" s="7" t="str">
        <f aca="false">IF(F162&lt;&gt;0,F162-K162," ")</f>
        <v> </v>
      </c>
      <c r="M162" s="8" t="str">
        <f aca="false">IF((F162-K162)&lt;&gt;0,M$1-A162," ")</f>
        <v> </v>
      </c>
      <c r="N162" s="5"/>
      <c r="O162" s="17" t="str">
        <f aca="false">IF((E162="s"),H162," ")</f>
        <v> </v>
      </c>
      <c r="P162" s="17" t="str">
        <f aca="false">IF((E162="c"),H162," ")</f>
        <v> </v>
      </c>
      <c r="Q162" s="17" t="str">
        <f aca="false">IF((E162="o"),H162," ")</f>
        <v> </v>
      </c>
      <c r="R162" s="17" t="str">
        <f aca="false">IF((E162="d"),H162," ")</f>
        <v> </v>
      </c>
      <c r="S162" s="17" t="str">
        <f aca="false">IF((E162="w"),H162," ")</f>
        <v> </v>
      </c>
      <c r="T162" s="17" t="str">
        <f aca="false">IF((E162="r"),H162," ")</f>
        <v> </v>
      </c>
      <c r="U162" s="17" t="str">
        <f aca="false">IF((E162="p"),H162," ")</f>
        <v> </v>
      </c>
      <c r="V162" s="17" t="str">
        <f aca="false">IF((E162="t"),H162," ")</f>
        <v> </v>
      </c>
      <c r="W162" s="17" t="str">
        <f aca="false">IF((E162="q"),H162," ")</f>
        <v> </v>
      </c>
      <c r="X162" s="17" t="str">
        <f aca="false">IF((E162="m"),H162," ")</f>
        <v> </v>
      </c>
      <c r="Y162" s="17" t="str">
        <f aca="false">IF((E162="u"),H162," ")</f>
        <v> </v>
      </c>
      <c r="Z162" s="17" t="str">
        <f aca="false">IF((E162="a"),H162," ")</f>
        <v> </v>
      </c>
      <c r="AA162" s="17" t="str">
        <f aca="false">IF((E162="g"),H162," ")</f>
        <v> </v>
      </c>
      <c r="AB162" s="17" t="str">
        <f aca="false">IF((E162="h"),H162," ")</f>
        <v> </v>
      </c>
      <c r="AC162" s="30" t="str">
        <f aca="false">IF((E162="v"),H162," ")</f>
        <v> </v>
      </c>
      <c r="AD162" s="30" t="str">
        <f aca="false">IF((E162="n"),H162," ")</f>
        <v> </v>
      </c>
      <c r="AE162" s="17" t="str">
        <f aca="false">IF((E162="f"),H162," ")</f>
        <v> </v>
      </c>
      <c r="AF162" s="17" t="str">
        <f aca="false">IF((E162="l"),H162," ")</f>
        <v> </v>
      </c>
      <c r="AG162" s="17" t="str">
        <f aca="false">IF((E162="y"),H162," ")</f>
        <v> </v>
      </c>
      <c r="AH162" s="17" t="str">
        <f aca="false">IF((E162="z"),H162," ")</f>
        <v> </v>
      </c>
      <c r="AI162" s="17" t="str">
        <f aca="false">IF((E162="fa"),H162," ")</f>
        <v> </v>
      </c>
      <c r="AJ162" s="17" t="str">
        <f aca="false">IF((E162="e"),H162," ")</f>
        <v> </v>
      </c>
    </row>
    <row r="163" customFormat="false" ht="12" hidden="false" customHeight="false" outlineLevel="0" collapsed="false">
      <c r="A163" s="28"/>
      <c r="E163" s="2" t="str">
        <f aca="false">IF((F163&lt;&gt;0),"Enter Letter"," ")</f>
        <v> </v>
      </c>
      <c r="F163" s="30"/>
      <c r="G163" s="6" t="str">
        <f aca="false">IF(F163&lt;&gt;0,F163*G$2/(100+G$2)," ")</f>
        <v> </v>
      </c>
      <c r="H163" s="6" t="str">
        <f aca="false">IF((F163&lt;&gt;0),F163-G163," ")</f>
        <v> </v>
      </c>
      <c r="I163" s="5"/>
      <c r="L163" s="7" t="str">
        <f aca="false">IF(F163&lt;&gt;0,F163-K163," ")</f>
        <v> </v>
      </c>
      <c r="M163" s="8" t="str">
        <f aca="false">IF((F163-K163)&lt;&gt;0,M$1-A163," ")</f>
        <v> </v>
      </c>
      <c r="N163" s="5"/>
      <c r="O163" s="17" t="str">
        <f aca="false">IF((E163="s"),H163," ")</f>
        <v> </v>
      </c>
      <c r="P163" s="17" t="str">
        <f aca="false">IF((E163="c"),H163," ")</f>
        <v> </v>
      </c>
      <c r="Q163" s="17" t="str">
        <f aca="false">IF((E163="o"),H163," ")</f>
        <v> </v>
      </c>
      <c r="R163" s="17" t="str">
        <f aca="false">IF((E163="d"),H163," ")</f>
        <v> </v>
      </c>
      <c r="S163" s="17" t="str">
        <f aca="false">IF((E163="w"),H163," ")</f>
        <v> </v>
      </c>
      <c r="T163" s="17" t="str">
        <f aca="false">IF((E163="r"),H163," ")</f>
        <v> </v>
      </c>
      <c r="U163" s="17" t="str">
        <f aca="false">IF((E163="p"),H163," ")</f>
        <v> </v>
      </c>
      <c r="V163" s="17" t="str">
        <f aca="false">IF((E163="t"),H163," ")</f>
        <v> </v>
      </c>
      <c r="W163" s="17" t="str">
        <f aca="false">IF((E163="q"),H163," ")</f>
        <v> </v>
      </c>
      <c r="X163" s="17" t="str">
        <f aca="false">IF((E163="m"),H163," ")</f>
        <v> </v>
      </c>
      <c r="Y163" s="17" t="str">
        <f aca="false">IF((E163="u"),H163," ")</f>
        <v> </v>
      </c>
      <c r="Z163" s="17" t="str">
        <f aca="false">IF((E163="a"),H163," ")</f>
        <v> </v>
      </c>
      <c r="AA163" s="17" t="str">
        <f aca="false">IF((E163="g"),H163," ")</f>
        <v> </v>
      </c>
      <c r="AB163" s="17" t="str">
        <f aca="false">IF((E163="h"),H163," ")</f>
        <v> </v>
      </c>
      <c r="AC163" s="30" t="str">
        <f aca="false">IF((E163="v"),H163," ")</f>
        <v> </v>
      </c>
      <c r="AD163" s="30" t="str">
        <f aca="false">IF((E163="n"),H163," ")</f>
        <v> </v>
      </c>
      <c r="AE163" s="17" t="str">
        <f aca="false">IF((E163="f"),H163," ")</f>
        <v> </v>
      </c>
      <c r="AF163" s="17" t="str">
        <f aca="false">IF((E163="l"),H163," ")</f>
        <v> </v>
      </c>
      <c r="AG163" s="17" t="str">
        <f aca="false">IF((E163="y"),H163," ")</f>
        <v> </v>
      </c>
      <c r="AH163" s="17" t="str">
        <f aca="false">IF((E163="z"),H163," ")</f>
        <v> </v>
      </c>
      <c r="AI163" s="17" t="str">
        <f aca="false">IF((E163="fa"),H163," ")</f>
        <v> </v>
      </c>
      <c r="AJ163" s="17" t="str">
        <f aca="false">IF((E163="e"),H163," ")</f>
        <v> </v>
      </c>
    </row>
    <row r="164" customFormat="false" ht="12" hidden="false" customHeight="false" outlineLevel="0" collapsed="false">
      <c r="A164" s="28"/>
      <c r="E164" s="2" t="str">
        <f aca="false">IF((F164&lt;&gt;0),"Enter Letter"," ")</f>
        <v> </v>
      </c>
      <c r="F164" s="30"/>
      <c r="G164" s="6" t="str">
        <f aca="false">IF(F164&lt;&gt;0,F164*G$2/(100+G$2)," ")</f>
        <v> </v>
      </c>
      <c r="H164" s="6" t="str">
        <f aca="false">IF((F164&lt;&gt;0),F164-G164," ")</f>
        <v> </v>
      </c>
      <c r="I164" s="5"/>
      <c r="L164" s="7" t="str">
        <f aca="false">IF(F164&lt;&gt;0,F164-K164," ")</f>
        <v> </v>
      </c>
      <c r="M164" s="8" t="str">
        <f aca="false">IF((F164-K164)&lt;&gt;0,M$1-A164," ")</f>
        <v> </v>
      </c>
      <c r="N164" s="5"/>
      <c r="O164" s="17" t="str">
        <f aca="false">IF((E164="s"),H164," ")</f>
        <v> </v>
      </c>
      <c r="P164" s="17" t="str">
        <f aca="false">IF((E164="c"),H164," ")</f>
        <v> </v>
      </c>
      <c r="Q164" s="17" t="str">
        <f aca="false">IF((E164="o"),H164," ")</f>
        <v> </v>
      </c>
      <c r="R164" s="17" t="str">
        <f aca="false">IF((E164="d"),H164," ")</f>
        <v> </v>
      </c>
      <c r="S164" s="17" t="str">
        <f aca="false">IF((E164="w"),H164," ")</f>
        <v> </v>
      </c>
      <c r="T164" s="17" t="str">
        <f aca="false">IF((E164="r"),H164," ")</f>
        <v> </v>
      </c>
      <c r="U164" s="17" t="str">
        <f aca="false">IF((E164="p"),H164," ")</f>
        <v> </v>
      </c>
      <c r="V164" s="17" t="str">
        <f aca="false">IF((E164="t"),H164," ")</f>
        <v> </v>
      </c>
      <c r="W164" s="17" t="str">
        <f aca="false">IF((E164="q"),H164," ")</f>
        <v> </v>
      </c>
      <c r="X164" s="17" t="str">
        <f aca="false">IF((E164="m"),H164," ")</f>
        <v> </v>
      </c>
      <c r="Y164" s="17" t="str">
        <f aca="false">IF((E164="u"),H164," ")</f>
        <v> </v>
      </c>
      <c r="Z164" s="17" t="str">
        <f aca="false">IF((E164="a"),H164," ")</f>
        <v> </v>
      </c>
      <c r="AA164" s="17" t="str">
        <f aca="false">IF((E164="g"),H164," ")</f>
        <v> </v>
      </c>
      <c r="AB164" s="17" t="str">
        <f aca="false">IF((E164="h"),H164," ")</f>
        <v> </v>
      </c>
      <c r="AC164" s="30" t="str">
        <f aca="false">IF((E164="v"),H164," ")</f>
        <v> </v>
      </c>
      <c r="AD164" s="30" t="str">
        <f aca="false">IF((E164="n"),H164," ")</f>
        <v> </v>
      </c>
      <c r="AE164" s="17" t="str">
        <f aca="false">IF((E164="f"),H164," ")</f>
        <v> </v>
      </c>
      <c r="AF164" s="17" t="str">
        <f aca="false">IF((E164="l"),H164," ")</f>
        <v> </v>
      </c>
      <c r="AG164" s="17" t="str">
        <f aca="false">IF((E164="y"),H164," ")</f>
        <v> </v>
      </c>
      <c r="AH164" s="17" t="str">
        <f aca="false">IF((E164="z"),H164," ")</f>
        <v> </v>
      </c>
      <c r="AI164" s="17" t="str">
        <f aca="false">IF((E164="fa"),H164," ")</f>
        <v> </v>
      </c>
      <c r="AJ164" s="17" t="str">
        <f aca="false">IF((E164="e"),H164," ")</f>
        <v> </v>
      </c>
    </row>
    <row r="165" customFormat="false" ht="12" hidden="false" customHeight="false" outlineLevel="0" collapsed="false">
      <c r="A165" s="28"/>
      <c r="E165" s="2" t="str">
        <f aca="false">IF((F165&lt;&gt;0),"Enter Letter"," ")</f>
        <v> </v>
      </c>
      <c r="F165" s="30"/>
      <c r="G165" s="6" t="str">
        <f aca="false">IF(F165&lt;&gt;0,F165*G$2/(100+G$2)," ")</f>
        <v> </v>
      </c>
      <c r="H165" s="6" t="str">
        <f aca="false">IF((F165&lt;&gt;0),F165-G165," ")</f>
        <v> </v>
      </c>
      <c r="I165" s="5"/>
      <c r="L165" s="7" t="str">
        <f aca="false">IF(F165&lt;&gt;0,F165-K165," ")</f>
        <v> </v>
      </c>
      <c r="M165" s="8" t="str">
        <f aca="false">IF((F165-K165)&lt;&gt;0,M$1-A165," ")</f>
        <v> </v>
      </c>
      <c r="N165" s="5"/>
      <c r="O165" s="17" t="str">
        <f aca="false">IF((E165="s"),H165," ")</f>
        <v> </v>
      </c>
      <c r="P165" s="17" t="str">
        <f aca="false">IF((E165="c"),H165," ")</f>
        <v> </v>
      </c>
      <c r="Q165" s="17" t="str">
        <f aca="false">IF((E165="o"),H165," ")</f>
        <v> </v>
      </c>
      <c r="R165" s="17" t="str">
        <f aca="false">IF((E165="d"),H165," ")</f>
        <v> </v>
      </c>
      <c r="S165" s="17" t="str">
        <f aca="false">IF((E165="w"),H165," ")</f>
        <v> </v>
      </c>
      <c r="T165" s="17" t="str">
        <f aca="false">IF((E165="r"),H165," ")</f>
        <v> </v>
      </c>
      <c r="U165" s="17" t="str">
        <f aca="false">IF((E165="p"),H165," ")</f>
        <v> </v>
      </c>
      <c r="V165" s="17" t="str">
        <f aca="false">IF((E165="t"),H165," ")</f>
        <v> </v>
      </c>
      <c r="W165" s="17" t="str">
        <f aca="false">IF((E165="q"),H165," ")</f>
        <v> </v>
      </c>
      <c r="X165" s="17" t="str">
        <f aca="false">IF((E165="m"),H165," ")</f>
        <v> </v>
      </c>
      <c r="Y165" s="17" t="str">
        <f aca="false">IF((E165="u"),H165," ")</f>
        <v> </v>
      </c>
      <c r="Z165" s="17" t="str">
        <f aca="false">IF((E165="a"),H165," ")</f>
        <v> </v>
      </c>
      <c r="AA165" s="17" t="str">
        <f aca="false">IF((E165="g"),H165," ")</f>
        <v> </v>
      </c>
      <c r="AB165" s="17" t="str">
        <f aca="false">IF((E165="h"),H165," ")</f>
        <v> </v>
      </c>
      <c r="AC165" s="30" t="str">
        <f aca="false">IF((E165="v"),H165," ")</f>
        <v> </v>
      </c>
      <c r="AD165" s="30" t="str">
        <f aca="false">IF((E165="n"),H165," ")</f>
        <v> </v>
      </c>
      <c r="AE165" s="17" t="str">
        <f aca="false">IF((E165="f"),H165," ")</f>
        <v> </v>
      </c>
      <c r="AF165" s="17" t="str">
        <f aca="false">IF((E165="l"),H165," ")</f>
        <v> </v>
      </c>
      <c r="AG165" s="17" t="str">
        <f aca="false">IF((E165="y"),H165," ")</f>
        <v> </v>
      </c>
      <c r="AH165" s="17" t="str">
        <f aca="false">IF((E165="z"),H165," ")</f>
        <v> </v>
      </c>
      <c r="AI165" s="17" t="str">
        <f aca="false">IF((E165="fa"),H165," ")</f>
        <v> </v>
      </c>
      <c r="AJ165" s="17" t="str">
        <f aca="false">IF((E165="e"),H165," ")</f>
        <v> </v>
      </c>
    </row>
    <row r="166" customFormat="false" ht="12" hidden="false" customHeight="false" outlineLevel="0" collapsed="false">
      <c r="A166" s="28"/>
      <c r="E166" s="2" t="str">
        <f aca="false">IF((F166&lt;&gt;0),"Enter Letter"," ")</f>
        <v> </v>
      </c>
      <c r="F166" s="30"/>
      <c r="G166" s="6" t="str">
        <f aca="false">IF(F166&lt;&gt;0,F166*G$2/(100+G$2)," ")</f>
        <v> </v>
      </c>
      <c r="H166" s="6" t="str">
        <f aca="false">IF((F166&lt;&gt;0),F166-G166," ")</f>
        <v> </v>
      </c>
      <c r="I166" s="5"/>
      <c r="L166" s="7" t="str">
        <f aca="false">IF(F166&lt;&gt;0,F166-K166," ")</f>
        <v> </v>
      </c>
      <c r="M166" s="8" t="str">
        <f aca="false">IF((F166-K166)&lt;&gt;0,M$1-A166," ")</f>
        <v> </v>
      </c>
      <c r="N166" s="5"/>
      <c r="O166" s="17" t="str">
        <f aca="false">IF((E166="s"),H166," ")</f>
        <v> </v>
      </c>
      <c r="P166" s="17" t="str">
        <f aca="false">IF((E166="c"),H166," ")</f>
        <v> </v>
      </c>
      <c r="Q166" s="17" t="str">
        <f aca="false">IF((E166="o"),H166," ")</f>
        <v> </v>
      </c>
      <c r="R166" s="17" t="str">
        <f aca="false">IF((E166="d"),H166," ")</f>
        <v> </v>
      </c>
      <c r="S166" s="17" t="str">
        <f aca="false">IF((E166="w"),H166," ")</f>
        <v> </v>
      </c>
      <c r="T166" s="17" t="str">
        <f aca="false">IF((E166="r"),H166," ")</f>
        <v> </v>
      </c>
      <c r="U166" s="17" t="str">
        <f aca="false">IF((E166="p"),H166," ")</f>
        <v> </v>
      </c>
      <c r="V166" s="17" t="str">
        <f aca="false">IF((E166="t"),H166," ")</f>
        <v> </v>
      </c>
      <c r="W166" s="17" t="str">
        <f aca="false">IF((E166="q"),H166," ")</f>
        <v> </v>
      </c>
      <c r="X166" s="17" t="str">
        <f aca="false">IF((E166="m"),H166," ")</f>
        <v> </v>
      </c>
      <c r="Y166" s="17" t="str">
        <f aca="false">IF((E166="u"),H166," ")</f>
        <v> </v>
      </c>
      <c r="Z166" s="17" t="str">
        <f aca="false">IF((E166="a"),H166," ")</f>
        <v> </v>
      </c>
      <c r="AA166" s="17" t="str">
        <f aca="false">IF((E166="g"),H166," ")</f>
        <v> </v>
      </c>
      <c r="AB166" s="17" t="str">
        <f aca="false">IF((E166="h"),H166," ")</f>
        <v> </v>
      </c>
      <c r="AC166" s="30" t="str">
        <f aca="false">IF((E166="v"),H166," ")</f>
        <v> </v>
      </c>
      <c r="AD166" s="30" t="str">
        <f aca="false">IF((E166="n"),H166," ")</f>
        <v> </v>
      </c>
      <c r="AE166" s="17" t="str">
        <f aca="false">IF((E166="f"),H166," ")</f>
        <v> </v>
      </c>
      <c r="AF166" s="17" t="str">
        <f aca="false">IF((E166="l"),H166," ")</f>
        <v> </v>
      </c>
      <c r="AG166" s="17" t="str">
        <f aca="false">IF((E166="y"),H166," ")</f>
        <v> </v>
      </c>
      <c r="AH166" s="17" t="str">
        <f aca="false">IF((E166="z"),H166," ")</f>
        <v> </v>
      </c>
      <c r="AI166" s="17" t="str">
        <f aca="false">IF((E166="fa"),H166," ")</f>
        <v> </v>
      </c>
      <c r="AJ166" s="17" t="str">
        <f aca="false">IF((E166="e"),H166," ")</f>
        <v> </v>
      </c>
    </row>
    <row r="167" customFormat="false" ht="12" hidden="false" customHeight="false" outlineLevel="0" collapsed="false">
      <c r="A167" s="28"/>
      <c r="E167" s="2" t="str">
        <f aca="false">IF((F167&lt;&gt;0),"Enter Letter"," ")</f>
        <v> </v>
      </c>
      <c r="F167" s="30"/>
      <c r="G167" s="6" t="str">
        <f aca="false">IF(F167&lt;&gt;0,F167*G$2/(100+G$2)," ")</f>
        <v> </v>
      </c>
      <c r="H167" s="6" t="str">
        <f aca="false">IF((F167&lt;&gt;0),F167-G167," ")</f>
        <v> </v>
      </c>
      <c r="I167" s="5"/>
      <c r="L167" s="7" t="str">
        <f aca="false">IF(F167&lt;&gt;0,F167-K167," ")</f>
        <v> </v>
      </c>
      <c r="M167" s="8" t="str">
        <f aca="false">IF((F167-K167)&lt;&gt;0,M$1-A167," ")</f>
        <v> </v>
      </c>
      <c r="N167" s="5"/>
      <c r="O167" s="17" t="str">
        <f aca="false">IF((E167="s"),H167," ")</f>
        <v> </v>
      </c>
      <c r="P167" s="17" t="str">
        <f aca="false">IF((E167="c"),H167," ")</f>
        <v> </v>
      </c>
      <c r="Q167" s="17" t="str">
        <f aca="false">IF((E167="o"),H167," ")</f>
        <v> </v>
      </c>
      <c r="R167" s="17" t="str">
        <f aca="false">IF((E167="d"),H167," ")</f>
        <v> </v>
      </c>
      <c r="S167" s="17" t="str">
        <f aca="false">IF((E167="w"),H167," ")</f>
        <v> </v>
      </c>
      <c r="T167" s="17" t="str">
        <f aca="false">IF((E167="r"),H167," ")</f>
        <v> </v>
      </c>
      <c r="U167" s="17" t="str">
        <f aca="false">IF((E167="p"),H167," ")</f>
        <v> </v>
      </c>
      <c r="V167" s="17" t="str">
        <f aca="false">IF((E167="t"),H167," ")</f>
        <v> </v>
      </c>
      <c r="W167" s="17" t="str">
        <f aca="false">IF((E167="q"),H167," ")</f>
        <v> </v>
      </c>
      <c r="X167" s="17" t="str">
        <f aca="false">IF((E167="m"),H167," ")</f>
        <v> </v>
      </c>
      <c r="Y167" s="17" t="str">
        <f aca="false">IF((E167="u"),H167," ")</f>
        <v> </v>
      </c>
      <c r="Z167" s="17" t="str">
        <f aca="false">IF((E167="a"),H167," ")</f>
        <v> </v>
      </c>
      <c r="AA167" s="17" t="str">
        <f aca="false">IF((E167="g"),H167," ")</f>
        <v> </v>
      </c>
      <c r="AB167" s="17" t="str">
        <f aca="false">IF((E167="h"),H167," ")</f>
        <v> </v>
      </c>
      <c r="AC167" s="30" t="str">
        <f aca="false">IF((E167="v"),H167," ")</f>
        <v> </v>
      </c>
      <c r="AD167" s="30" t="str">
        <f aca="false">IF((E167="n"),H167," ")</f>
        <v> </v>
      </c>
      <c r="AE167" s="17" t="str">
        <f aca="false">IF((E167="f"),H167," ")</f>
        <v> </v>
      </c>
      <c r="AF167" s="17" t="str">
        <f aca="false">IF((E167="l"),H167," ")</f>
        <v> </v>
      </c>
      <c r="AG167" s="17" t="str">
        <f aca="false">IF((E167="y"),H167," ")</f>
        <v> </v>
      </c>
      <c r="AH167" s="17" t="str">
        <f aca="false">IF((E167="z"),H167," ")</f>
        <v> </v>
      </c>
      <c r="AI167" s="17" t="str">
        <f aca="false">IF((E167="fa"),H167," ")</f>
        <v> </v>
      </c>
      <c r="AJ167" s="17" t="str">
        <f aca="false">IF((E167="e"),H167," ")</f>
        <v> </v>
      </c>
    </row>
    <row r="168" customFormat="false" ht="12" hidden="false" customHeight="false" outlineLevel="0" collapsed="false">
      <c r="A168" s="28"/>
      <c r="E168" s="2" t="str">
        <f aca="false">IF((F168&lt;&gt;0),"Enter Letter"," ")</f>
        <v> </v>
      </c>
      <c r="F168" s="30"/>
      <c r="G168" s="6" t="str">
        <f aca="false">IF(F168&lt;&gt;0,F168*G$2/(100+G$2)," ")</f>
        <v> </v>
      </c>
      <c r="H168" s="6" t="str">
        <f aca="false">IF((F168&lt;&gt;0),F168-G168," ")</f>
        <v> </v>
      </c>
      <c r="I168" s="5"/>
      <c r="L168" s="7" t="str">
        <f aca="false">IF(F168&lt;&gt;0,F168-K168," ")</f>
        <v> </v>
      </c>
      <c r="M168" s="8" t="str">
        <f aca="false">IF((F168-K168)&lt;&gt;0,M$1-A168," ")</f>
        <v> </v>
      </c>
      <c r="N168" s="5"/>
      <c r="O168" s="17" t="str">
        <f aca="false">IF((E168="s"),H168," ")</f>
        <v> </v>
      </c>
      <c r="P168" s="17" t="str">
        <f aca="false">IF((E168="c"),H168," ")</f>
        <v> </v>
      </c>
      <c r="Q168" s="17" t="str">
        <f aca="false">IF((E168="o"),H168," ")</f>
        <v> </v>
      </c>
      <c r="R168" s="17" t="str">
        <f aca="false">IF((E168="d"),H168," ")</f>
        <v> </v>
      </c>
      <c r="S168" s="17" t="str">
        <f aca="false">IF((E168="w"),H168," ")</f>
        <v> </v>
      </c>
      <c r="T168" s="17" t="str">
        <f aca="false">IF((E168="r"),H168," ")</f>
        <v> </v>
      </c>
      <c r="U168" s="17" t="str">
        <f aca="false">IF((E168="p"),H168," ")</f>
        <v> </v>
      </c>
      <c r="V168" s="17" t="str">
        <f aca="false">IF((E168="t"),H168," ")</f>
        <v> </v>
      </c>
      <c r="W168" s="17" t="str">
        <f aca="false">IF((E168="q"),H168," ")</f>
        <v> </v>
      </c>
      <c r="X168" s="17" t="str">
        <f aca="false">IF((E168="m"),H168," ")</f>
        <v> </v>
      </c>
      <c r="Y168" s="17" t="str">
        <f aca="false">IF((E168="u"),H168," ")</f>
        <v> </v>
      </c>
      <c r="Z168" s="17" t="str">
        <f aca="false">IF((E168="a"),H168," ")</f>
        <v> </v>
      </c>
      <c r="AA168" s="17" t="str">
        <f aca="false">IF((E168="g"),H168," ")</f>
        <v> </v>
      </c>
      <c r="AB168" s="17" t="str">
        <f aca="false">IF((E168="h"),H168," ")</f>
        <v> </v>
      </c>
      <c r="AC168" s="30" t="str">
        <f aca="false">IF((E168="v"),H168," ")</f>
        <v> </v>
      </c>
      <c r="AD168" s="30" t="str">
        <f aca="false">IF((E168="n"),H168," ")</f>
        <v> </v>
      </c>
      <c r="AE168" s="17" t="str">
        <f aca="false">IF((E168="f"),H168," ")</f>
        <v> </v>
      </c>
      <c r="AF168" s="17" t="str">
        <f aca="false">IF((E168="l"),H168," ")</f>
        <v> </v>
      </c>
      <c r="AG168" s="17" t="str">
        <f aca="false">IF((E168="y"),H168," ")</f>
        <v> </v>
      </c>
      <c r="AH168" s="17" t="str">
        <f aca="false">IF((E168="z"),H168," ")</f>
        <v> </v>
      </c>
      <c r="AI168" s="17" t="str">
        <f aca="false">IF((E168="fa"),H168," ")</f>
        <v> </v>
      </c>
      <c r="AJ168" s="17" t="str">
        <f aca="false">IF((E168="e"),H168," ")</f>
        <v> </v>
      </c>
    </row>
    <row r="169" customFormat="false" ht="12" hidden="false" customHeight="false" outlineLevel="0" collapsed="false">
      <c r="A169" s="28"/>
      <c r="E169" s="2" t="str">
        <f aca="false">IF((F169&lt;&gt;0),"Enter Letter"," ")</f>
        <v> </v>
      </c>
      <c r="F169" s="30"/>
      <c r="G169" s="6" t="str">
        <f aca="false">IF(F169&lt;&gt;0,F169*G$2/(100+G$2)," ")</f>
        <v> </v>
      </c>
      <c r="H169" s="6" t="str">
        <f aca="false">IF((F169&lt;&gt;0),F169-G169," ")</f>
        <v> </v>
      </c>
      <c r="I169" s="5"/>
      <c r="L169" s="7" t="str">
        <f aca="false">IF(F169&lt;&gt;0,F169-K169," ")</f>
        <v> </v>
      </c>
      <c r="M169" s="8" t="str">
        <f aca="false">IF((F169-K169)&lt;&gt;0,M$1-A169," ")</f>
        <v> </v>
      </c>
      <c r="N169" s="5"/>
      <c r="O169" s="17" t="str">
        <f aca="false">IF((E169="s"),H169," ")</f>
        <v> </v>
      </c>
      <c r="P169" s="17" t="str">
        <f aca="false">IF((E169="c"),H169," ")</f>
        <v> </v>
      </c>
      <c r="Q169" s="17" t="str">
        <f aca="false">IF((E169="o"),H169," ")</f>
        <v> </v>
      </c>
      <c r="R169" s="17" t="str">
        <f aca="false">IF((E169="d"),H169," ")</f>
        <v> </v>
      </c>
      <c r="S169" s="17" t="str">
        <f aca="false">IF((E169="w"),H169," ")</f>
        <v> </v>
      </c>
      <c r="T169" s="17" t="str">
        <f aca="false">IF((E169="r"),H169," ")</f>
        <v> </v>
      </c>
      <c r="U169" s="17" t="str">
        <f aca="false">IF((E169="p"),H169," ")</f>
        <v> </v>
      </c>
      <c r="V169" s="17" t="str">
        <f aca="false">IF((E169="t"),H169," ")</f>
        <v> </v>
      </c>
      <c r="W169" s="17" t="str">
        <f aca="false">IF((E169="q"),H169," ")</f>
        <v> </v>
      </c>
      <c r="X169" s="17" t="str">
        <f aca="false">IF((E169="m"),H169," ")</f>
        <v> </v>
      </c>
      <c r="Y169" s="17" t="str">
        <f aca="false">IF((E169="u"),H169," ")</f>
        <v> </v>
      </c>
      <c r="Z169" s="17" t="str">
        <f aca="false">IF((E169="a"),H169," ")</f>
        <v> </v>
      </c>
      <c r="AA169" s="17" t="str">
        <f aca="false">IF((E169="g"),H169," ")</f>
        <v> </v>
      </c>
      <c r="AB169" s="17" t="str">
        <f aca="false">IF((E169="h"),H169," ")</f>
        <v> </v>
      </c>
      <c r="AC169" s="30" t="str">
        <f aca="false">IF((E169="v"),H169," ")</f>
        <v> </v>
      </c>
      <c r="AD169" s="30" t="str">
        <f aca="false">IF((E169="n"),H169," ")</f>
        <v> </v>
      </c>
      <c r="AE169" s="17" t="str">
        <f aca="false">IF((E169="f"),H169," ")</f>
        <v> </v>
      </c>
      <c r="AF169" s="17" t="str">
        <f aca="false">IF((E169="l"),H169," ")</f>
        <v> </v>
      </c>
      <c r="AG169" s="17" t="str">
        <f aca="false">IF((E169="y"),H169," ")</f>
        <v> </v>
      </c>
      <c r="AH169" s="17" t="str">
        <f aca="false">IF((E169="z"),H169," ")</f>
        <v> </v>
      </c>
      <c r="AI169" s="17" t="str">
        <f aca="false">IF((E169="fa"),H169," ")</f>
        <v> </v>
      </c>
      <c r="AJ169" s="17" t="str">
        <f aca="false">IF((E169="e"),H169," ")</f>
        <v> </v>
      </c>
    </row>
    <row r="170" customFormat="false" ht="12" hidden="false" customHeight="false" outlineLevel="0" collapsed="false">
      <c r="A170" s="28"/>
      <c r="E170" s="2" t="str">
        <f aca="false">IF((F170&lt;&gt;0),"Enter Letter"," ")</f>
        <v> </v>
      </c>
      <c r="F170" s="30"/>
      <c r="G170" s="6" t="str">
        <f aca="false">IF(F170&lt;&gt;0,F170*G$2/(100+G$2)," ")</f>
        <v> </v>
      </c>
      <c r="H170" s="6" t="str">
        <f aca="false">IF((F170&lt;&gt;0),F170-G170," ")</f>
        <v> </v>
      </c>
      <c r="I170" s="5"/>
      <c r="L170" s="7" t="str">
        <f aca="false">IF(F170&lt;&gt;0,F170-K170," ")</f>
        <v> </v>
      </c>
      <c r="M170" s="8" t="str">
        <f aca="false">IF((F170-K170)&lt;&gt;0,M$1-A170," ")</f>
        <v> </v>
      </c>
      <c r="N170" s="5"/>
      <c r="O170" s="17" t="str">
        <f aca="false">IF((E170="s"),H170," ")</f>
        <v> </v>
      </c>
      <c r="P170" s="17" t="str">
        <f aca="false">IF((E170="c"),H170," ")</f>
        <v> </v>
      </c>
      <c r="Q170" s="17" t="str">
        <f aca="false">IF((E170="o"),H170," ")</f>
        <v> </v>
      </c>
      <c r="R170" s="17" t="str">
        <f aca="false">IF((E170="d"),H170," ")</f>
        <v> </v>
      </c>
      <c r="S170" s="17" t="str">
        <f aca="false">IF((E170="w"),H170," ")</f>
        <v> </v>
      </c>
      <c r="T170" s="17" t="str">
        <f aca="false">IF((E170="r"),H170," ")</f>
        <v> </v>
      </c>
      <c r="U170" s="17" t="str">
        <f aca="false">IF((E170="p"),H170," ")</f>
        <v> </v>
      </c>
      <c r="V170" s="17" t="str">
        <f aca="false">IF((E170="t"),H170," ")</f>
        <v> </v>
      </c>
      <c r="W170" s="17" t="str">
        <f aca="false">IF((E170="q"),H170," ")</f>
        <v> </v>
      </c>
      <c r="X170" s="17" t="str">
        <f aca="false">IF((E170="m"),H170," ")</f>
        <v> </v>
      </c>
      <c r="Y170" s="17" t="str">
        <f aca="false">IF((E170="u"),H170," ")</f>
        <v> </v>
      </c>
      <c r="Z170" s="17" t="str">
        <f aca="false">IF((E170="a"),H170," ")</f>
        <v> </v>
      </c>
      <c r="AA170" s="17" t="str">
        <f aca="false">IF((E170="g"),H170," ")</f>
        <v> </v>
      </c>
      <c r="AB170" s="17" t="str">
        <f aca="false">IF((E170="h"),H170," ")</f>
        <v> </v>
      </c>
      <c r="AC170" s="30" t="str">
        <f aca="false">IF((E170="v"),H170," ")</f>
        <v> </v>
      </c>
      <c r="AD170" s="30" t="str">
        <f aca="false">IF((E170="n"),H170," ")</f>
        <v> </v>
      </c>
      <c r="AE170" s="17" t="str">
        <f aca="false">IF((E170="f"),H170," ")</f>
        <v> </v>
      </c>
      <c r="AF170" s="17" t="str">
        <f aca="false">IF((E170="l"),H170," ")</f>
        <v> </v>
      </c>
      <c r="AG170" s="17" t="str">
        <f aca="false">IF((E170="y"),H170," ")</f>
        <v> </v>
      </c>
      <c r="AH170" s="17" t="str">
        <f aca="false">IF((E170="z"),H170," ")</f>
        <v> </v>
      </c>
      <c r="AI170" s="17" t="str">
        <f aca="false">IF((E170="fa"),H170," ")</f>
        <v> </v>
      </c>
      <c r="AJ170" s="17" t="str">
        <f aca="false">IF((E170="e"),H170," ")</f>
        <v> </v>
      </c>
    </row>
    <row r="171" customFormat="false" ht="12" hidden="false" customHeight="false" outlineLevel="0" collapsed="false">
      <c r="A171" s="28"/>
      <c r="E171" s="2" t="str">
        <f aca="false">IF((F171&lt;&gt;0),"Enter Letter"," ")</f>
        <v> </v>
      </c>
      <c r="F171" s="30"/>
      <c r="G171" s="6" t="str">
        <f aca="false">IF(F171&lt;&gt;0,F171*G$2/(100+G$2)," ")</f>
        <v> </v>
      </c>
      <c r="H171" s="6" t="str">
        <f aca="false">IF((F171&lt;&gt;0),F171-G171," ")</f>
        <v> </v>
      </c>
      <c r="I171" s="5"/>
      <c r="L171" s="7" t="str">
        <f aca="false">IF(F171&lt;&gt;0,F171-K171," ")</f>
        <v> </v>
      </c>
      <c r="M171" s="8" t="str">
        <f aca="false">IF((F171-K171)&lt;&gt;0,M$1-A171," ")</f>
        <v> </v>
      </c>
      <c r="N171" s="5"/>
      <c r="O171" s="17" t="str">
        <f aca="false">IF((E171="s"),H171," ")</f>
        <v> </v>
      </c>
      <c r="P171" s="17" t="str">
        <f aca="false">IF((E171="c"),H171," ")</f>
        <v> </v>
      </c>
      <c r="Q171" s="17" t="str">
        <f aca="false">IF((E171="o"),H171," ")</f>
        <v> </v>
      </c>
      <c r="R171" s="17" t="str">
        <f aca="false">IF((E171="d"),H171," ")</f>
        <v> </v>
      </c>
      <c r="S171" s="17" t="str">
        <f aca="false">IF((E171="w"),H171," ")</f>
        <v> </v>
      </c>
      <c r="T171" s="17" t="str">
        <f aca="false">IF((E171="r"),H171," ")</f>
        <v> </v>
      </c>
      <c r="U171" s="17" t="str">
        <f aca="false">IF((E171="p"),H171," ")</f>
        <v> </v>
      </c>
      <c r="V171" s="17" t="str">
        <f aca="false">IF((E171="t"),H171," ")</f>
        <v> </v>
      </c>
      <c r="W171" s="17" t="str">
        <f aca="false">IF((E171="q"),H171," ")</f>
        <v> </v>
      </c>
      <c r="X171" s="17" t="str">
        <f aca="false">IF((E171="m"),H171," ")</f>
        <v> </v>
      </c>
      <c r="Y171" s="17" t="str">
        <f aca="false">IF((E171="u"),H171," ")</f>
        <v> </v>
      </c>
      <c r="Z171" s="17" t="str">
        <f aca="false">IF((E171="a"),H171," ")</f>
        <v> </v>
      </c>
      <c r="AA171" s="17" t="str">
        <f aca="false">IF((E171="g"),H171," ")</f>
        <v> </v>
      </c>
      <c r="AB171" s="17" t="str">
        <f aca="false">IF((E171="h"),H171," ")</f>
        <v> </v>
      </c>
      <c r="AC171" s="30" t="str">
        <f aca="false">IF((E171="v"),H171," ")</f>
        <v> </v>
      </c>
      <c r="AD171" s="30" t="str">
        <f aca="false">IF((E171="n"),H171," ")</f>
        <v> </v>
      </c>
      <c r="AE171" s="17" t="str">
        <f aca="false">IF((E171="f"),H171," ")</f>
        <v> </v>
      </c>
      <c r="AF171" s="17" t="str">
        <f aca="false">IF((E171="l"),H171," ")</f>
        <v> </v>
      </c>
      <c r="AG171" s="17" t="str">
        <f aca="false">IF((E171="y"),H171," ")</f>
        <v> </v>
      </c>
      <c r="AH171" s="17" t="str">
        <f aca="false">IF((E171="z"),H171," ")</f>
        <v> </v>
      </c>
      <c r="AI171" s="17" t="str">
        <f aca="false">IF((E171="fa"),H171," ")</f>
        <v> </v>
      </c>
      <c r="AJ171" s="17" t="str">
        <f aca="false">IF((E171="e"),H171," ")</f>
        <v> </v>
      </c>
    </row>
    <row r="172" customFormat="false" ht="12" hidden="false" customHeight="false" outlineLevel="0" collapsed="false">
      <c r="A172" s="28"/>
      <c r="E172" s="2" t="str">
        <f aca="false">IF((F172&lt;&gt;0),"Enter Letter"," ")</f>
        <v> </v>
      </c>
      <c r="F172" s="30"/>
      <c r="G172" s="6" t="str">
        <f aca="false">IF(F172&lt;&gt;0,F172*G$2/(100+G$2)," ")</f>
        <v> </v>
      </c>
      <c r="H172" s="6" t="str">
        <f aca="false">IF((F172&lt;&gt;0),F172-G172," ")</f>
        <v> </v>
      </c>
      <c r="I172" s="5"/>
      <c r="L172" s="7" t="str">
        <f aca="false">IF(F172&lt;&gt;0,F172-K172," ")</f>
        <v> </v>
      </c>
      <c r="M172" s="8" t="str">
        <f aca="false">IF((F172-K172)&lt;&gt;0,M$1-A172," ")</f>
        <v> </v>
      </c>
      <c r="N172" s="5"/>
      <c r="O172" s="17" t="str">
        <f aca="false">IF((E172="s"),H172," ")</f>
        <v> </v>
      </c>
      <c r="P172" s="17" t="str">
        <f aca="false">IF((E172="c"),H172," ")</f>
        <v> </v>
      </c>
      <c r="Q172" s="17" t="str">
        <f aca="false">IF((E172="o"),H172," ")</f>
        <v> </v>
      </c>
      <c r="R172" s="17" t="str">
        <f aca="false">IF((E172="d"),H172," ")</f>
        <v> </v>
      </c>
      <c r="S172" s="17" t="str">
        <f aca="false">IF((E172="w"),H172," ")</f>
        <v> </v>
      </c>
      <c r="T172" s="17" t="str">
        <f aca="false">IF((E172="r"),H172," ")</f>
        <v> </v>
      </c>
      <c r="U172" s="17" t="str">
        <f aca="false">IF((E172="p"),H172," ")</f>
        <v> </v>
      </c>
      <c r="V172" s="17" t="str">
        <f aca="false">IF((E172="t"),H172," ")</f>
        <v> </v>
      </c>
      <c r="W172" s="17" t="str">
        <f aca="false">IF((E172="q"),H172," ")</f>
        <v> </v>
      </c>
      <c r="X172" s="17" t="str">
        <f aca="false">IF((E172="m"),H172," ")</f>
        <v> </v>
      </c>
      <c r="Y172" s="17" t="str">
        <f aca="false">IF((E172="u"),H172," ")</f>
        <v> </v>
      </c>
      <c r="Z172" s="17" t="str">
        <f aca="false">IF((E172="a"),H172," ")</f>
        <v> </v>
      </c>
      <c r="AA172" s="17" t="str">
        <f aca="false">IF((E172="g"),H172," ")</f>
        <v> </v>
      </c>
      <c r="AB172" s="17" t="str">
        <f aca="false">IF((E172="h"),H172," ")</f>
        <v> </v>
      </c>
      <c r="AC172" s="30" t="str">
        <f aca="false">IF((E172="v"),H172," ")</f>
        <v> </v>
      </c>
      <c r="AD172" s="30" t="str">
        <f aca="false">IF((E172="n"),H172," ")</f>
        <v> </v>
      </c>
      <c r="AE172" s="17" t="str">
        <f aca="false">IF((E172="f"),H172," ")</f>
        <v> </v>
      </c>
      <c r="AF172" s="17" t="str">
        <f aca="false">IF((E172="l"),H172," ")</f>
        <v> </v>
      </c>
      <c r="AG172" s="17" t="str">
        <f aca="false">IF((E172="y"),H172," ")</f>
        <v> </v>
      </c>
      <c r="AH172" s="17" t="str">
        <f aca="false">IF((E172="z"),H172," ")</f>
        <v> </v>
      </c>
      <c r="AI172" s="17" t="str">
        <f aca="false">IF((E172="fa"),H172," ")</f>
        <v> </v>
      </c>
      <c r="AJ172" s="17" t="str">
        <f aca="false">IF((E172="e"),H172," ")</f>
        <v> </v>
      </c>
    </row>
    <row r="173" customFormat="false" ht="12" hidden="false" customHeight="false" outlineLevel="0" collapsed="false">
      <c r="A173" s="28"/>
      <c r="E173" s="2" t="str">
        <f aca="false">IF((F173&lt;&gt;0),"Enter Letter"," ")</f>
        <v> </v>
      </c>
      <c r="F173" s="30"/>
      <c r="G173" s="6" t="str">
        <f aca="false">IF(F173&lt;&gt;0,F173*G$2/(100+G$2)," ")</f>
        <v> </v>
      </c>
      <c r="H173" s="6" t="str">
        <f aca="false">IF((F173&lt;&gt;0),F173-G173," ")</f>
        <v> </v>
      </c>
      <c r="I173" s="5"/>
      <c r="L173" s="7" t="str">
        <f aca="false">IF(F173&lt;&gt;0,F173-K173," ")</f>
        <v> </v>
      </c>
      <c r="M173" s="8" t="str">
        <f aca="false">IF((F173-K173)&lt;&gt;0,M$1-A173," ")</f>
        <v> </v>
      </c>
      <c r="N173" s="5"/>
      <c r="O173" s="17" t="str">
        <f aca="false">IF((E173="s"),H173," ")</f>
        <v> </v>
      </c>
      <c r="P173" s="17" t="str">
        <f aca="false">IF((E173="c"),H173," ")</f>
        <v> </v>
      </c>
      <c r="Q173" s="17" t="str">
        <f aca="false">IF((E173="o"),H173," ")</f>
        <v> </v>
      </c>
      <c r="R173" s="17" t="str">
        <f aca="false">IF((E173="d"),H173," ")</f>
        <v> </v>
      </c>
      <c r="S173" s="17" t="str">
        <f aca="false">IF((E173="w"),H173," ")</f>
        <v> </v>
      </c>
      <c r="T173" s="17" t="str">
        <f aca="false">IF((E173="r"),H173," ")</f>
        <v> </v>
      </c>
      <c r="U173" s="17" t="str">
        <f aca="false">IF((E173="p"),H173," ")</f>
        <v> </v>
      </c>
      <c r="V173" s="17" t="str">
        <f aca="false">IF((E173="t"),H173," ")</f>
        <v> </v>
      </c>
      <c r="W173" s="17" t="str">
        <f aca="false">IF((E173="q"),H173," ")</f>
        <v> </v>
      </c>
      <c r="X173" s="17" t="str">
        <f aca="false">IF((E173="m"),H173," ")</f>
        <v> </v>
      </c>
      <c r="Y173" s="17" t="str">
        <f aca="false">IF((E173="u"),H173," ")</f>
        <v> </v>
      </c>
      <c r="Z173" s="17" t="str">
        <f aca="false">IF((E173="a"),H173," ")</f>
        <v> </v>
      </c>
      <c r="AA173" s="17" t="str">
        <f aca="false">IF((E173="g"),H173," ")</f>
        <v> </v>
      </c>
      <c r="AB173" s="17" t="str">
        <f aca="false">IF((E173="h"),H173," ")</f>
        <v> </v>
      </c>
      <c r="AC173" s="30" t="str">
        <f aca="false">IF((E173="v"),H173," ")</f>
        <v> </v>
      </c>
      <c r="AD173" s="30" t="str">
        <f aca="false">IF((E173="n"),H173," ")</f>
        <v> </v>
      </c>
      <c r="AE173" s="17" t="str">
        <f aca="false">IF((E173="f"),H173," ")</f>
        <v> </v>
      </c>
      <c r="AF173" s="17" t="str">
        <f aca="false">IF((E173="l"),H173," ")</f>
        <v> </v>
      </c>
      <c r="AG173" s="17" t="str">
        <f aca="false">IF((E173="y"),H173," ")</f>
        <v> </v>
      </c>
      <c r="AH173" s="17" t="str">
        <f aca="false">IF((E173="z"),H173," ")</f>
        <v> </v>
      </c>
      <c r="AI173" s="17" t="str">
        <f aca="false">IF((E173="fa"),H173," ")</f>
        <v> </v>
      </c>
      <c r="AJ173" s="17" t="str">
        <f aca="false">IF((E173="e"),H173," ")</f>
        <v> </v>
      </c>
    </row>
    <row r="174" customFormat="false" ht="12" hidden="false" customHeight="false" outlineLevel="0" collapsed="false">
      <c r="A174" s="28"/>
      <c r="E174" s="2" t="str">
        <f aca="false">IF((F174&lt;&gt;0),"Enter Letter"," ")</f>
        <v> </v>
      </c>
      <c r="F174" s="30"/>
      <c r="G174" s="6" t="str">
        <f aca="false">IF(F174&lt;&gt;0,F174*G$2/(100+G$2)," ")</f>
        <v> </v>
      </c>
      <c r="H174" s="6" t="str">
        <f aca="false">IF((F174&lt;&gt;0),F174-G174," ")</f>
        <v> </v>
      </c>
      <c r="I174" s="5"/>
      <c r="L174" s="7" t="str">
        <f aca="false">IF(F174&lt;&gt;0,F174-K174," ")</f>
        <v> </v>
      </c>
      <c r="M174" s="8" t="str">
        <f aca="false">IF((F174-K174)&lt;&gt;0,M$1-A174," ")</f>
        <v> </v>
      </c>
      <c r="N174" s="5"/>
      <c r="O174" s="17" t="str">
        <f aca="false">IF((E174="s"),H174," ")</f>
        <v> </v>
      </c>
      <c r="P174" s="17" t="str">
        <f aca="false">IF((E174="c"),H174," ")</f>
        <v> </v>
      </c>
      <c r="Q174" s="17" t="str">
        <f aca="false">IF((E174="o"),H174," ")</f>
        <v> </v>
      </c>
      <c r="R174" s="17" t="str">
        <f aca="false">IF((E174="d"),H174," ")</f>
        <v> </v>
      </c>
      <c r="S174" s="17" t="str">
        <f aca="false">IF((E174="w"),H174," ")</f>
        <v> </v>
      </c>
      <c r="T174" s="17" t="str">
        <f aca="false">IF((E174="r"),H174," ")</f>
        <v> </v>
      </c>
      <c r="U174" s="17" t="str">
        <f aca="false">IF((E174="p"),H174," ")</f>
        <v> </v>
      </c>
      <c r="V174" s="17" t="str">
        <f aca="false">IF((E174="t"),H174," ")</f>
        <v> </v>
      </c>
      <c r="W174" s="17" t="str">
        <f aca="false">IF((E174="q"),H174," ")</f>
        <v> </v>
      </c>
      <c r="X174" s="17" t="str">
        <f aca="false">IF((E174="m"),H174," ")</f>
        <v> </v>
      </c>
      <c r="Y174" s="17" t="str">
        <f aca="false">IF((E174="u"),H174," ")</f>
        <v> </v>
      </c>
      <c r="Z174" s="17" t="str">
        <f aca="false">IF((E174="a"),H174," ")</f>
        <v> </v>
      </c>
      <c r="AA174" s="17" t="str">
        <f aca="false">IF((E174="g"),H174," ")</f>
        <v> </v>
      </c>
      <c r="AB174" s="17" t="str">
        <f aca="false">IF((E174="h"),H174," ")</f>
        <v> </v>
      </c>
      <c r="AC174" s="30" t="str">
        <f aca="false">IF((E174="v"),H174," ")</f>
        <v> </v>
      </c>
      <c r="AD174" s="30" t="str">
        <f aca="false">IF((E174="n"),H174," ")</f>
        <v> </v>
      </c>
      <c r="AE174" s="17" t="str">
        <f aca="false">IF((E174="f"),H174," ")</f>
        <v> </v>
      </c>
      <c r="AF174" s="17" t="str">
        <f aca="false">IF((E174="l"),H174," ")</f>
        <v> </v>
      </c>
      <c r="AG174" s="17" t="str">
        <f aca="false">IF((E174="y"),H174," ")</f>
        <v> </v>
      </c>
      <c r="AH174" s="17" t="str">
        <f aca="false">IF((E174="z"),H174," ")</f>
        <v> </v>
      </c>
      <c r="AI174" s="17" t="str">
        <f aca="false">IF((E174="fa"),H174," ")</f>
        <v> </v>
      </c>
      <c r="AJ174" s="17" t="str">
        <f aca="false">IF((E174="e"),H174," ")</f>
        <v> </v>
      </c>
    </row>
    <row r="175" customFormat="false" ht="12" hidden="false" customHeight="false" outlineLevel="0" collapsed="false">
      <c r="A175" s="28"/>
      <c r="E175" s="2" t="str">
        <f aca="false">IF((F175&lt;&gt;0),"Enter Letter"," ")</f>
        <v> </v>
      </c>
      <c r="F175" s="30"/>
      <c r="G175" s="6" t="str">
        <f aca="false">IF(F175&lt;&gt;0,F175*G$2/(100+G$2)," ")</f>
        <v> </v>
      </c>
      <c r="H175" s="6" t="str">
        <f aca="false">IF((F175&lt;&gt;0),F175-G175," ")</f>
        <v> </v>
      </c>
      <c r="I175" s="5"/>
      <c r="L175" s="7" t="str">
        <f aca="false">IF(F175&lt;&gt;0,F175-K175," ")</f>
        <v> </v>
      </c>
      <c r="M175" s="8" t="str">
        <f aca="false">IF((F175-K175)&lt;&gt;0,M$1-A175," ")</f>
        <v> </v>
      </c>
      <c r="N175" s="5"/>
      <c r="O175" s="17" t="str">
        <f aca="false">IF((E175="s"),H175," ")</f>
        <v> </v>
      </c>
      <c r="P175" s="17" t="str">
        <f aca="false">IF((E175="c"),H175," ")</f>
        <v> </v>
      </c>
      <c r="Q175" s="17" t="str">
        <f aca="false">IF((E175="o"),H175," ")</f>
        <v> </v>
      </c>
      <c r="R175" s="17" t="str">
        <f aca="false">IF((E175="d"),H175," ")</f>
        <v> </v>
      </c>
      <c r="S175" s="17" t="str">
        <f aca="false">IF((E175="w"),H175," ")</f>
        <v> </v>
      </c>
      <c r="T175" s="17" t="str">
        <f aca="false">IF((E175="r"),H175," ")</f>
        <v> </v>
      </c>
      <c r="U175" s="17" t="str">
        <f aca="false">IF((E175="p"),H175," ")</f>
        <v> </v>
      </c>
      <c r="V175" s="17" t="str">
        <f aca="false">IF((E175="t"),H175," ")</f>
        <v> </v>
      </c>
      <c r="W175" s="17" t="str">
        <f aca="false">IF((E175="q"),H175," ")</f>
        <v> </v>
      </c>
      <c r="X175" s="17" t="str">
        <f aca="false">IF((E175="m"),H175," ")</f>
        <v> </v>
      </c>
      <c r="Y175" s="17" t="str">
        <f aca="false">IF((E175="u"),H175," ")</f>
        <v> </v>
      </c>
      <c r="Z175" s="17" t="str">
        <f aca="false">IF((E175="a"),H175," ")</f>
        <v> </v>
      </c>
      <c r="AA175" s="17" t="str">
        <f aca="false">IF((E175="g"),H175," ")</f>
        <v> </v>
      </c>
      <c r="AB175" s="17" t="str">
        <f aca="false">IF((E175="h"),H175," ")</f>
        <v> </v>
      </c>
      <c r="AC175" s="30" t="str">
        <f aca="false">IF((E175="v"),H175," ")</f>
        <v> </v>
      </c>
      <c r="AD175" s="30" t="str">
        <f aca="false">IF((E175="n"),H175," ")</f>
        <v> </v>
      </c>
      <c r="AE175" s="17" t="str">
        <f aca="false">IF((E175="f"),H175," ")</f>
        <v> </v>
      </c>
      <c r="AF175" s="17" t="str">
        <f aca="false">IF((E175="l"),H175," ")</f>
        <v> </v>
      </c>
      <c r="AG175" s="17" t="str">
        <f aca="false">IF((E175="y"),H175," ")</f>
        <v> </v>
      </c>
      <c r="AH175" s="17" t="str">
        <f aca="false">IF((E175="z"),H175," ")</f>
        <v> </v>
      </c>
      <c r="AI175" s="17" t="str">
        <f aca="false">IF((E175="fa"),H175," ")</f>
        <v> </v>
      </c>
      <c r="AJ175" s="17" t="str">
        <f aca="false">IF((E175="e"),H175," ")</f>
        <v> </v>
      </c>
    </row>
    <row r="176" customFormat="false" ht="12" hidden="false" customHeight="false" outlineLevel="0" collapsed="false">
      <c r="A176" s="28"/>
      <c r="E176" s="2" t="str">
        <f aca="false">IF((F176&lt;&gt;0),"Enter Letter"," ")</f>
        <v> </v>
      </c>
      <c r="F176" s="30"/>
      <c r="G176" s="6" t="str">
        <f aca="false">IF(F176&lt;&gt;0,F176*G$2/(100+G$2)," ")</f>
        <v> </v>
      </c>
      <c r="H176" s="6" t="str">
        <f aca="false">IF((F176&lt;&gt;0),F176-G176," ")</f>
        <v> </v>
      </c>
      <c r="I176" s="5"/>
      <c r="L176" s="7" t="str">
        <f aca="false">IF(F176&lt;&gt;0,F176-K176," ")</f>
        <v> </v>
      </c>
      <c r="M176" s="8" t="str">
        <f aca="false">IF((F176-K176)&lt;&gt;0,M$1-A176," ")</f>
        <v> </v>
      </c>
      <c r="N176" s="5"/>
      <c r="O176" s="17" t="str">
        <f aca="false">IF((E176="s"),H176," ")</f>
        <v> </v>
      </c>
      <c r="P176" s="17" t="str">
        <f aca="false">IF((E176="c"),H176," ")</f>
        <v> </v>
      </c>
      <c r="Q176" s="17" t="str">
        <f aca="false">IF((E176="o"),H176," ")</f>
        <v> </v>
      </c>
      <c r="R176" s="17" t="str">
        <f aca="false">IF((E176="d"),H176," ")</f>
        <v> </v>
      </c>
      <c r="S176" s="17" t="str">
        <f aca="false">IF((E176="w"),H176," ")</f>
        <v> </v>
      </c>
      <c r="T176" s="17" t="str">
        <f aca="false">IF((E176="r"),H176," ")</f>
        <v> </v>
      </c>
      <c r="U176" s="17" t="str">
        <f aca="false">IF((E176="p"),H176," ")</f>
        <v> </v>
      </c>
      <c r="V176" s="17" t="str">
        <f aca="false">IF((E176="t"),H176," ")</f>
        <v> </v>
      </c>
      <c r="W176" s="17" t="str">
        <f aca="false">IF((E176="q"),H176," ")</f>
        <v> </v>
      </c>
      <c r="X176" s="17" t="str">
        <f aca="false">IF((E176="m"),H176," ")</f>
        <v> </v>
      </c>
      <c r="Y176" s="17" t="str">
        <f aca="false">IF((E176="u"),H176," ")</f>
        <v> </v>
      </c>
      <c r="Z176" s="17" t="str">
        <f aca="false">IF((E176="a"),H176," ")</f>
        <v> </v>
      </c>
      <c r="AA176" s="17" t="str">
        <f aca="false">IF((E176="g"),H176," ")</f>
        <v> </v>
      </c>
      <c r="AB176" s="17" t="str">
        <f aca="false">IF((E176="h"),H176," ")</f>
        <v> </v>
      </c>
      <c r="AC176" s="30" t="str">
        <f aca="false">IF((E176="v"),H176," ")</f>
        <v> </v>
      </c>
      <c r="AD176" s="30" t="str">
        <f aca="false">IF((E176="n"),H176," ")</f>
        <v> </v>
      </c>
      <c r="AE176" s="17" t="str">
        <f aca="false">IF((E176="f"),H176," ")</f>
        <v> </v>
      </c>
      <c r="AF176" s="17" t="str">
        <f aca="false">IF((E176="l"),H176," ")</f>
        <v> </v>
      </c>
      <c r="AG176" s="17" t="str">
        <f aca="false">IF((E176="y"),H176," ")</f>
        <v> </v>
      </c>
      <c r="AH176" s="17" t="str">
        <f aca="false">IF((E176="z"),H176," ")</f>
        <v> </v>
      </c>
      <c r="AI176" s="17" t="str">
        <f aca="false">IF((E176="fa"),H176," ")</f>
        <v> </v>
      </c>
      <c r="AJ176" s="17" t="str">
        <f aca="false">IF((E176="e"),H176," ")</f>
        <v> </v>
      </c>
    </row>
    <row r="177" customFormat="false" ht="12" hidden="false" customHeight="false" outlineLevel="0" collapsed="false">
      <c r="A177" s="28"/>
      <c r="E177" s="2" t="str">
        <f aca="false">IF((F177&lt;&gt;0),"Enter Letter"," ")</f>
        <v> </v>
      </c>
      <c r="F177" s="30"/>
      <c r="G177" s="6" t="str">
        <f aca="false">IF(F177&lt;&gt;0,F177*G$2/(100+G$2)," ")</f>
        <v> </v>
      </c>
      <c r="H177" s="6" t="str">
        <f aca="false">IF((F177&lt;&gt;0),F177-G177," ")</f>
        <v> </v>
      </c>
      <c r="I177" s="5"/>
      <c r="L177" s="7" t="str">
        <f aca="false">IF(F177&lt;&gt;0,F177-K177," ")</f>
        <v> </v>
      </c>
      <c r="M177" s="8" t="str">
        <f aca="false">IF((F177-K177)&lt;&gt;0,M$1-A177," ")</f>
        <v> </v>
      </c>
      <c r="N177" s="5"/>
      <c r="O177" s="17" t="str">
        <f aca="false">IF((E177="s"),H177," ")</f>
        <v> </v>
      </c>
      <c r="P177" s="17" t="str">
        <f aca="false">IF((E177="c"),H177," ")</f>
        <v> </v>
      </c>
      <c r="Q177" s="17" t="str">
        <f aca="false">IF((E177="o"),H177," ")</f>
        <v> </v>
      </c>
      <c r="R177" s="17" t="str">
        <f aca="false">IF((E177="d"),H177," ")</f>
        <v> </v>
      </c>
      <c r="S177" s="17" t="str">
        <f aca="false">IF((E177="w"),H177," ")</f>
        <v> </v>
      </c>
      <c r="T177" s="17" t="str">
        <f aca="false">IF((E177="r"),H177," ")</f>
        <v> </v>
      </c>
      <c r="U177" s="17" t="str">
        <f aca="false">IF((E177="p"),H177," ")</f>
        <v> </v>
      </c>
      <c r="V177" s="17" t="str">
        <f aca="false">IF((E177="t"),H177," ")</f>
        <v> </v>
      </c>
      <c r="W177" s="17" t="str">
        <f aca="false">IF((E177="q"),H177," ")</f>
        <v> </v>
      </c>
      <c r="X177" s="17" t="str">
        <f aca="false">IF((E177="m"),H177," ")</f>
        <v> </v>
      </c>
      <c r="Y177" s="17" t="str">
        <f aca="false">IF((E177="u"),H177," ")</f>
        <v> </v>
      </c>
      <c r="Z177" s="17" t="str">
        <f aca="false">IF((E177="a"),H177," ")</f>
        <v> </v>
      </c>
      <c r="AA177" s="17" t="str">
        <f aca="false">IF((E177="g"),H177," ")</f>
        <v> </v>
      </c>
      <c r="AB177" s="17" t="str">
        <f aca="false">IF((E177="h"),H177," ")</f>
        <v> </v>
      </c>
      <c r="AC177" s="30" t="str">
        <f aca="false">IF((E177="v"),H177," ")</f>
        <v> </v>
      </c>
      <c r="AD177" s="30" t="str">
        <f aca="false">IF((E177="n"),H177," ")</f>
        <v> </v>
      </c>
      <c r="AE177" s="17" t="str">
        <f aca="false">IF((E177="f"),H177," ")</f>
        <v> </v>
      </c>
      <c r="AF177" s="17" t="str">
        <f aca="false">IF((E177="l"),H177," ")</f>
        <v> </v>
      </c>
      <c r="AG177" s="17" t="str">
        <f aca="false">IF((E177="y"),H177," ")</f>
        <v> </v>
      </c>
      <c r="AH177" s="17" t="str">
        <f aca="false">IF((E177="z"),H177," ")</f>
        <v> </v>
      </c>
      <c r="AI177" s="17" t="str">
        <f aca="false">IF((E177="fa"),H177," ")</f>
        <v> </v>
      </c>
      <c r="AJ177" s="17" t="str">
        <f aca="false">IF((E177="e"),H177," ")</f>
        <v> </v>
      </c>
    </row>
    <row r="178" customFormat="false" ht="12" hidden="false" customHeight="false" outlineLevel="0" collapsed="false">
      <c r="A178" s="28"/>
      <c r="E178" s="2" t="str">
        <f aca="false">IF((F178&lt;&gt;0),"Enter Letter"," ")</f>
        <v> </v>
      </c>
      <c r="F178" s="30"/>
      <c r="G178" s="6" t="str">
        <f aca="false">IF(F178&lt;&gt;0,F178*G$2/(100+G$2)," ")</f>
        <v> </v>
      </c>
      <c r="H178" s="6" t="str">
        <f aca="false">IF((F178&lt;&gt;0),F178-G178," ")</f>
        <v> </v>
      </c>
      <c r="I178" s="5"/>
      <c r="L178" s="7" t="str">
        <f aca="false">IF(F178&lt;&gt;0,F178-K178," ")</f>
        <v> </v>
      </c>
      <c r="M178" s="8" t="str">
        <f aca="false">IF((F178-K178)&lt;&gt;0,M$1-A178," ")</f>
        <v> </v>
      </c>
      <c r="N178" s="5"/>
      <c r="O178" s="17" t="str">
        <f aca="false">IF((E178="s"),H178," ")</f>
        <v> </v>
      </c>
      <c r="P178" s="17" t="str">
        <f aca="false">IF((E178="c"),H178," ")</f>
        <v> </v>
      </c>
      <c r="Q178" s="17" t="str">
        <f aca="false">IF((E178="o"),H178," ")</f>
        <v> </v>
      </c>
      <c r="R178" s="17" t="str">
        <f aca="false">IF((E178="d"),H178," ")</f>
        <v> </v>
      </c>
      <c r="S178" s="17" t="str">
        <f aca="false">IF((E178="w"),H178," ")</f>
        <v> </v>
      </c>
      <c r="T178" s="17" t="str">
        <f aca="false">IF((E178="r"),H178," ")</f>
        <v> </v>
      </c>
      <c r="U178" s="17" t="str">
        <f aca="false">IF((E178="p"),H178," ")</f>
        <v> </v>
      </c>
      <c r="V178" s="17" t="str">
        <f aca="false">IF((E178="t"),H178," ")</f>
        <v> </v>
      </c>
      <c r="W178" s="17" t="str">
        <f aca="false">IF((E178="q"),H178," ")</f>
        <v> </v>
      </c>
      <c r="X178" s="17" t="str">
        <f aca="false">IF((E178="m"),H178," ")</f>
        <v> </v>
      </c>
      <c r="Y178" s="17" t="str">
        <f aca="false">IF((E178="u"),H178," ")</f>
        <v> </v>
      </c>
      <c r="Z178" s="17" t="str">
        <f aca="false">IF((E178="a"),H178," ")</f>
        <v> </v>
      </c>
      <c r="AA178" s="17" t="str">
        <f aca="false">IF((E178="g"),H178," ")</f>
        <v> </v>
      </c>
      <c r="AB178" s="17" t="str">
        <f aca="false">IF((E178="h"),H178," ")</f>
        <v> </v>
      </c>
      <c r="AC178" s="30" t="str">
        <f aca="false">IF((E178="v"),H178," ")</f>
        <v> </v>
      </c>
      <c r="AD178" s="30" t="str">
        <f aca="false">IF((E178="n"),H178," ")</f>
        <v> </v>
      </c>
      <c r="AE178" s="17" t="str">
        <f aca="false">IF((E178="f"),H178," ")</f>
        <v> </v>
      </c>
      <c r="AF178" s="17" t="str">
        <f aca="false">IF((E178="l"),H178," ")</f>
        <v> </v>
      </c>
      <c r="AG178" s="17" t="str">
        <f aca="false">IF((E178="y"),H178," ")</f>
        <v> </v>
      </c>
      <c r="AH178" s="17" t="str">
        <f aca="false">IF((E178="z"),H178," ")</f>
        <v> </v>
      </c>
      <c r="AI178" s="17" t="str">
        <f aca="false">IF((E178="fa"),H178," ")</f>
        <v> </v>
      </c>
      <c r="AJ178" s="17" t="str">
        <f aca="false">IF((E178="e"),H178," ")</f>
        <v> </v>
      </c>
    </row>
    <row r="179" customFormat="false" ht="12" hidden="false" customHeight="false" outlineLevel="0" collapsed="false">
      <c r="A179" s="28"/>
      <c r="E179" s="2" t="str">
        <f aca="false">IF((F179&lt;&gt;0),"Enter Letter"," ")</f>
        <v> </v>
      </c>
      <c r="F179" s="30"/>
      <c r="G179" s="6" t="str">
        <f aca="false">IF(F179&lt;&gt;0,F179*G$2/(100+G$2)," ")</f>
        <v> </v>
      </c>
      <c r="H179" s="6" t="str">
        <f aca="false">IF((F179&lt;&gt;0),F179-G179," ")</f>
        <v> </v>
      </c>
      <c r="I179" s="5"/>
      <c r="L179" s="7" t="str">
        <f aca="false">IF(F179&lt;&gt;0,F179-K179," ")</f>
        <v> </v>
      </c>
      <c r="M179" s="8" t="str">
        <f aca="false">IF((F179-K179)&lt;&gt;0,M$1-A179," ")</f>
        <v> </v>
      </c>
      <c r="N179" s="5"/>
      <c r="O179" s="17" t="str">
        <f aca="false">IF((E179="s"),H179," ")</f>
        <v> </v>
      </c>
      <c r="P179" s="17" t="str">
        <f aca="false">IF((E179="c"),H179," ")</f>
        <v> </v>
      </c>
      <c r="Q179" s="17" t="str">
        <f aca="false">IF((E179="o"),H179," ")</f>
        <v> </v>
      </c>
      <c r="R179" s="17" t="str">
        <f aca="false">IF((E179="d"),H179," ")</f>
        <v> </v>
      </c>
      <c r="S179" s="17" t="str">
        <f aca="false">IF((E179="w"),H179," ")</f>
        <v> </v>
      </c>
      <c r="T179" s="17" t="str">
        <f aca="false">IF((E179="r"),H179," ")</f>
        <v> </v>
      </c>
      <c r="U179" s="17" t="str">
        <f aca="false">IF((E179="p"),H179," ")</f>
        <v> </v>
      </c>
      <c r="V179" s="17" t="str">
        <f aca="false">IF((E179="t"),H179," ")</f>
        <v> </v>
      </c>
      <c r="W179" s="17" t="str">
        <f aca="false">IF((E179="q"),H179," ")</f>
        <v> </v>
      </c>
      <c r="X179" s="17" t="str">
        <f aca="false">IF((E179="m"),H179," ")</f>
        <v> </v>
      </c>
      <c r="Y179" s="17" t="str">
        <f aca="false">IF((E179="u"),H179," ")</f>
        <v> </v>
      </c>
      <c r="Z179" s="17" t="str">
        <f aca="false">IF((E179="a"),H179," ")</f>
        <v> </v>
      </c>
      <c r="AA179" s="17" t="str">
        <f aca="false">IF((E179="g"),H179," ")</f>
        <v> </v>
      </c>
      <c r="AB179" s="17" t="str">
        <f aca="false">IF((E179="h"),H179," ")</f>
        <v> </v>
      </c>
      <c r="AC179" s="30" t="str">
        <f aca="false">IF((E179="v"),H179," ")</f>
        <v> </v>
      </c>
      <c r="AD179" s="30" t="str">
        <f aca="false">IF((E179="n"),H179," ")</f>
        <v> </v>
      </c>
      <c r="AE179" s="17" t="str">
        <f aca="false">IF((E179="f"),H179," ")</f>
        <v> </v>
      </c>
      <c r="AF179" s="17" t="str">
        <f aca="false">IF((E179="l"),H179," ")</f>
        <v> </v>
      </c>
      <c r="AG179" s="17" t="str">
        <f aca="false">IF((E179="y"),H179," ")</f>
        <v> </v>
      </c>
      <c r="AH179" s="17" t="str">
        <f aca="false">IF((E179="z"),H179," ")</f>
        <v> </v>
      </c>
      <c r="AI179" s="17" t="str">
        <f aca="false">IF((E179="fa"),H179," ")</f>
        <v> </v>
      </c>
      <c r="AJ179" s="17" t="str">
        <f aca="false">IF((E179="e"),H179," ")</f>
        <v> </v>
      </c>
    </row>
    <row r="180" customFormat="false" ht="12" hidden="false" customHeight="false" outlineLevel="0" collapsed="false">
      <c r="A180" s="28"/>
      <c r="E180" s="2" t="str">
        <f aca="false">IF((F180&lt;&gt;0),"Enter Letter"," ")</f>
        <v> </v>
      </c>
      <c r="F180" s="30"/>
      <c r="G180" s="6" t="str">
        <f aca="false">IF(F180&lt;&gt;0,F180*G$2/(100+G$2)," ")</f>
        <v> </v>
      </c>
      <c r="H180" s="6" t="str">
        <f aca="false">IF((F180&lt;&gt;0),F180-G180," ")</f>
        <v> </v>
      </c>
      <c r="I180" s="5"/>
      <c r="L180" s="7" t="str">
        <f aca="false">IF(F180&lt;&gt;0,F180-K180," ")</f>
        <v> </v>
      </c>
      <c r="M180" s="8" t="str">
        <f aca="false">IF((F180-K180)&lt;&gt;0,M$1-A180," ")</f>
        <v> </v>
      </c>
      <c r="N180" s="5"/>
      <c r="O180" s="17" t="str">
        <f aca="false">IF((E180="s"),H180," ")</f>
        <v> </v>
      </c>
      <c r="P180" s="17" t="str">
        <f aca="false">IF((E180="c"),H180," ")</f>
        <v> </v>
      </c>
      <c r="Q180" s="17" t="str">
        <f aca="false">IF((E180="o"),H180," ")</f>
        <v> </v>
      </c>
      <c r="R180" s="17" t="str">
        <f aca="false">IF((E180="d"),H180," ")</f>
        <v> </v>
      </c>
      <c r="S180" s="17" t="str">
        <f aca="false">IF((E180="w"),H180," ")</f>
        <v> </v>
      </c>
      <c r="T180" s="17" t="str">
        <f aca="false">IF((E180="r"),H180," ")</f>
        <v> </v>
      </c>
      <c r="U180" s="17" t="str">
        <f aca="false">IF((E180="p"),H180," ")</f>
        <v> </v>
      </c>
      <c r="V180" s="17" t="str">
        <f aca="false">IF((E180="t"),H180," ")</f>
        <v> </v>
      </c>
      <c r="W180" s="17" t="str">
        <f aca="false">IF((E180="q"),H180," ")</f>
        <v> </v>
      </c>
      <c r="X180" s="17" t="str">
        <f aca="false">IF((E180="m"),H180," ")</f>
        <v> </v>
      </c>
      <c r="Y180" s="17" t="str">
        <f aca="false">IF((E180="u"),H180," ")</f>
        <v> </v>
      </c>
      <c r="Z180" s="17" t="str">
        <f aca="false">IF((E180="a"),H180," ")</f>
        <v> </v>
      </c>
      <c r="AA180" s="17" t="str">
        <f aca="false">IF((E180="g"),H180," ")</f>
        <v> </v>
      </c>
      <c r="AB180" s="17" t="str">
        <f aca="false">IF((E180="h"),H180," ")</f>
        <v> </v>
      </c>
      <c r="AC180" s="30" t="str">
        <f aca="false">IF((E180="v"),H180," ")</f>
        <v> </v>
      </c>
      <c r="AD180" s="30" t="str">
        <f aca="false">IF((E180="n"),H180," ")</f>
        <v> </v>
      </c>
      <c r="AE180" s="17" t="str">
        <f aca="false">IF((E180="f"),H180," ")</f>
        <v> </v>
      </c>
      <c r="AF180" s="17" t="str">
        <f aca="false">IF((E180="l"),H180," ")</f>
        <v> </v>
      </c>
      <c r="AG180" s="17" t="str">
        <f aca="false">IF((E180="y"),H180," ")</f>
        <v> </v>
      </c>
      <c r="AH180" s="17" t="str">
        <f aca="false">IF((E180="z"),H180," ")</f>
        <v> </v>
      </c>
      <c r="AI180" s="17" t="str">
        <f aca="false">IF((E180="fa"),H180," ")</f>
        <v> </v>
      </c>
      <c r="AJ180" s="17" t="str">
        <f aca="false">IF((E180="e"),H180," ")</f>
        <v> </v>
      </c>
    </row>
    <row r="181" customFormat="false" ht="12" hidden="false" customHeight="false" outlineLevel="0" collapsed="false">
      <c r="A181" s="28"/>
      <c r="E181" s="2" t="str">
        <f aca="false">IF((F181&lt;&gt;0),"Enter Letter"," ")</f>
        <v> </v>
      </c>
      <c r="F181" s="30"/>
      <c r="G181" s="6" t="str">
        <f aca="false">IF(F181&lt;&gt;0,F181*G$2/(100+G$2)," ")</f>
        <v> </v>
      </c>
      <c r="H181" s="6" t="str">
        <f aca="false">IF((F181&lt;&gt;0),F181-G181," ")</f>
        <v> </v>
      </c>
      <c r="I181" s="5"/>
      <c r="L181" s="7" t="str">
        <f aca="false">IF(F181&lt;&gt;0,F181-K181," ")</f>
        <v> </v>
      </c>
      <c r="M181" s="8" t="str">
        <f aca="false">IF((F181-K181)&lt;&gt;0,M$1-A181," ")</f>
        <v> </v>
      </c>
      <c r="N181" s="5"/>
      <c r="O181" s="17" t="str">
        <f aca="false">IF((E181="s"),H181," ")</f>
        <v> </v>
      </c>
      <c r="P181" s="17" t="str">
        <f aca="false">IF((E181="c"),H181," ")</f>
        <v> </v>
      </c>
      <c r="Q181" s="17" t="str">
        <f aca="false">IF((E181="o"),H181," ")</f>
        <v> </v>
      </c>
      <c r="R181" s="17" t="str">
        <f aca="false">IF((E181="d"),H181," ")</f>
        <v> </v>
      </c>
      <c r="S181" s="17" t="str">
        <f aca="false">IF((E181="w"),H181," ")</f>
        <v> </v>
      </c>
      <c r="T181" s="17" t="str">
        <f aca="false">IF((E181="r"),H181," ")</f>
        <v> </v>
      </c>
      <c r="U181" s="17" t="str">
        <f aca="false">IF((E181="p"),H181," ")</f>
        <v> </v>
      </c>
      <c r="V181" s="17" t="str">
        <f aca="false">IF((E181="t"),H181," ")</f>
        <v> </v>
      </c>
      <c r="W181" s="17" t="str">
        <f aca="false">IF((E181="q"),H181," ")</f>
        <v> </v>
      </c>
      <c r="X181" s="17" t="str">
        <f aca="false">IF((E181="m"),H181," ")</f>
        <v> </v>
      </c>
      <c r="Y181" s="17" t="str">
        <f aca="false">IF((E181="u"),H181," ")</f>
        <v> </v>
      </c>
      <c r="Z181" s="17" t="str">
        <f aca="false">IF((E181="a"),H181," ")</f>
        <v> </v>
      </c>
      <c r="AA181" s="17" t="str">
        <f aca="false">IF((E181="g"),H181," ")</f>
        <v> </v>
      </c>
      <c r="AB181" s="17" t="str">
        <f aca="false">IF((E181="h"),H181," ")</f>
        <v> </v>
      </c>
      <c r="AC181" s="30" t="str">
        <f aca="false">IF((E181="v"),H181," ")</f>
        <v> </v>
      </c>
      <c r="AD181" s="30" t="str">
        <f aca="false">IF((E181="n"),H181," ")</f>
        <v> </v>
      </c>
      <c r="AE181" s="17" t="str">
        <f aca="false">IF((E181="f"),H181," ")</f>
        <v> </v>
      </c>
      <c r="AF181" s="17" t="str">
        <f aca="false">IF((E181="l"),H181," ")</f>
        <v> </v>
      </c>
      <c r="AG181" s="17" t="str">
        <f aca="false">IF((E181="y"),H181," ")</f>
        <v> </v>
      </c>
      <c r="AH181" s="17" t="str">
        <f aca="false">IF((E181="z"),H181," ")</f>
        <v> </v>
      </c>
      <c r="AI181" s="17" t="str">
        <f aca="false">IF((E181="fa"),H181," ")</f>
        <v> </v>
      </c>
      <c r="AJ181" s="17" t="str">
        <f aca="false">IF((E181="e"),H181," ")</f>
        <v> </v>
      </c>
    </row>
    <row r="182" customFormat="false" ht="12" hidden="false" customHeight="false" outlineLevel="0" collapsed="false">
      <c r="A182" s="28"/>
      <c r="E182" s="2" t="str">
        <f aca="false">IF((F182&lt;&gt;0),"Enter Letter"," ")</f>
        <v> </v>
      </c>
      <c r="F182" s="30"/>
      <c r="G182" s="6" t="str">
        <f aca="false">IF(F182&lt;&gt;0,F182*G$2/(100+G$2)," ")</f>
        <v> </v>
      </c>
      <c r="H182" s="6" t="str">
        <f aca="false">IF((F182&lt;&gt;0),F182-G182," ")</f>
        <v> </v>
      </c>
      <c r="I182" s="5"/>
      <c r="L182" s="7" t="str">
        <f aca="false">IF(F182&lt;&gt;0,F182-K182," ")</f>
        <v> </v>
      </c>
      <c r="M182" s="8" t="str">
        <f aca="false">IF((F182-K182)&lt;&gt;0,M$1-A182," ")</f>
        <v> </v>
      </c>
      <c r="N182" s="5"/>
      <c r="O182" s="17" t="str">
        <f aca="false">IF((E182="s"),H182," ")</f>
        <v> </v>
      </c>
      <c r="P182" s="17" t="str">
        <f aca="false">IF((E182="c"),H182," ")</f>
        <v> </v>
      </c>
      <c r="Q182" s="17" t="str">
        <f aca="false">IF((E182="o"),H182," ")</f>
        <v> </v>
      </c>
      <c r="R182" s="17" t="str">
        <f aca="false">IF((E182="d"),H182," ")</f>
        <v> </v>
      </c>
      <c r="S182" s="17" t="str">
        <f aca="false">IF((E182="w"),H182," ")</f>
        <v> </v>
      </c>
      <c r="T182" s="17" t="str">
        <f aca="false">IF((E182="r"),H182," ")</f>
        <v> </v>
      </c>
      <c r="U182" s="17" t="str">
        <f aca="false">IF((E182="p"),H182," ")</f>
        <v> </v>
      </c>
      <c r="V182" s="17" t="str">
        <f aca="false">IF((E182="t"),H182," ")</f>
        <v> </v>
      </c>
      <c r="W182" s="17" t="str">
        <f aca="false">IF((E182="q"),H182," ")</f>
        <v> </v>
      </c>
      <c r="X182" s="17" t="str">
        <f aca="false">IF((E182="m"),H182," ")</f>
        <v> </v>
      </c>
      <c r="Y182" s="17" t="str">
        <f aca="false">IF((E182="u"),H182," ")</f>
        <v> </v>
      </c>
      <c r="Z182" s="17" t="str">
        <f aca="false">IF((E182="a"),H182," ")</f>
        <v> </v>
      </c>
      <c r="AA182" s="17" t="str">
        <f aca="false">IF((E182="g"),H182," ")</f>
        <v> </v>
      </c>
      <c r="AB182" s="17" t="str">
        <f aca="false">IF((E182="h"),H182," ")</f>
        <v> </v>
      </c>
      <c r="AC182" s="30" t="str">
        <f aca="false">IF((E182="v"),H182," ")</f>
        <v> </v>
      </c>
      <c r="AD182" s="30" t="str">
        <f aca="false">IF((E182="n"),H182," ")</f>
        <v> </v>
      </c>
      <c r="AE182" s="17" t="str">
        <f aca="false">IF((E182="f"),H182," ")</f>
        <v> </v>
      </c>
      <c r="AF182" s="17" t="str">
        <f aca="false">IF((E182="l"),H182," ")</f>
        <v> </v>
      </c>
      <c r="AG182" s="17" t="str">
        <f aca="false">IF((E182="y"),H182," ")</f>
        <v> </v>
      </c>
      <c r="AH182" s="17" t="str">
        <f aca="false">IF((E182="z"),H182," ")</f>
        <v> </v>
      </c>
      <c r="AI182" s="17" t="str">
        <f aca="false">IF((E182="fa"),H182," ")</f>
        <v> </v>
      </c>
      <c r="AJ182" s="17" t="str">
        <f aca="false">IF((E182="e"),H182," ")</f>
        <v> </v>
      </c>
    </row>
    <row r="183" customFormat="false" ht="12" hidden="false" customHeight="false" outlineLevel="0" collapsed="false">
      <c r="A183" s="28"/>
      <c r="E183" s="2" t="str">
        <f aca="false">IF((F183&lt;&gt;0),"Enter Letter"," ")</f>
        <v> </v>
      </c>
      <c r="F183" s="30"/>
      <c r="G183" s="6" t="str">
        <f aca="false">IF(F183&lt;&gt;0,F183*G$2/(100+G$2)," ")</f>
        <v> </v>
      </c>
      <c r="H183" s="6" t="str">
        <f aca="false">IF((F183&lt;&gt;0),F183-G183," ")</f>
        <v> </v>
      </c>
      <c r="I183" s="5"/>
      <c r="L183" s="7" t="str">
        <f aca="false">IF(F183&lt;&gt;0,F183-K183," ")</f>
        <v> </v>
      </c>
      <c r="M183" s="8" t="str">
        <f aca="false">IF((F183-K183)&lt;&gt;0,M$1-A183," ")</f>
        <v> </v>
      </c>
      <c r="N183" s="5"/>
      <c r="O183" s="17" t="str">
        <f aca="false">IF((E183="s"),H183," ")</f>
        <v> </v>
      </c>
      <c r="P183" s="17" t="str">
        <f aca="false">IF((E183="c"),H183," ")</f>
        <v> </v>
      </c>
      <c r="Q183" s="17" t="str">
        <f aca="false">IF((E183="o"),H183," ")</f>
        <v> </v>
      </c>
      <c r="R183" s="17" t="str">
        <f aca="false">IF((E183="d"),H183," ")</f>
        <v> </v>
      </c>
      <c r="S183" s="17" t="str">
        <f aca="false">IF((E183="w"),H183," ")</f>
        <v> </v>
      </c>
      <c r="T183" s="17" t="str">
        <f aca="false">IF((E183="r"),H183," ")</f>
        <v> </v>
      </c>
      <c r="U183" s="17" t="str">
        <f aca="false">IF((E183="p"),H183," ")</f>
        <v> </v>
      </c>
      <c r="V183" s="17" t="str">
        <f aca="false">IF((E183="t"),H183," ")</f>
        <v> </v>
      </c>
      <c r="W183" s="17" t="str">
        <f aca="false">IF((E183="q"),H183," ")</f>
        <v> </v>
      </c>
      <c r="X183" s="17" t="str">
        <f aca="false">IF((E183="m"),H183," ")</f>
        <v> </v>
      </c>
      <c r="Y183" s="17" t="str">
        <f aca="false">IF((E183="u"),H183," ")</f>
        <v> </v>
      </c>
      <c r="Z183" s="17" t="str">
        <f aca="false">IF((E183="a"),H183," ")</f>
        <v> </v>
      </c>
      <c r="AA183" s="17" t="str">
        <f aca="false">IF((E183="g"),H183," ")</f>
        <v> </v>
      </c>
      <c r="AB183" s="17" t="str">
        <f aca="false">IF((E183="h"),H183," ")</f>
        <v> </v>
      </c>
      <c r="AC183" s="30" t="str">
        <f aca="false">IF((E183="v"),H183," ")</f>
        <v> </v>
      </c>
      <c r="AD183" s="30" t="str">
        <f aca="false">IF((E183="n"),H183," ")</f>
        <v> </v>
      </c>
      <c r="AE183" s="17" t="str">
        <f aca="false">IF((E183="f"),H183," ")</f>
        <v> </v>
      </c>
      <c r="AF183" s="17" t="str">
        <f aca="false">IF((E183="l"),H183," ")</f>
        <v> </v>
      </c>
      <c r="AG183" s="17" t="str">
        <f aca="false">IF((E183="y"),H183," ")</f>
        <v> </v>
      </c>
      <c r="AH183" s="17" t="str">
        <f aca="false">IF((E183="z"),H183," ")</f>
        <v> </v>
      </c>
      <c r="AI183" s="17" t="str">
        <f aca="false">IF((E183="fa"),H183," ")</f>
        <v> </v>
      </c>
      <c r="AJ183" s="17" t="str">
        <f aca="false">IF((E183="e"),H183," ")</f>
        <v> </v>
      </c>
    </row>
    <row r="184" customFormat="false" ht="12" hidden="false" customHeight="false" outlineLevel="0" collapsed="false">
      <c r="A184" s="28"/>
      <c r="E184" s="2" t="str">
        <f aca="false">IF((F184&lt;&gt;0),"Enter Letter"," ")</f>
        <v> </v>
      </c>
      <c r="F184" s="30"/>
      <c r="G184" s="6" t="str">
        <f aca="false">IF(F184&lt;&gt;0,F184*G$2/(100+G$2)," ")</f>
        <v> </v>
      </c>
      <c r="H184" s="6" t="str">
        <f aca="false">IF((F184&lt;&gt;0),F184-G184," ")</f>
        <v> </v>
      </c>
      <c r="I184" s="5"/>
      <c r="L184" s="7" t="str">
        <f aca="false">IF(F184&lt;&gt;0,F184-K184," ")</f>
        <v> </v>
      </c>
      <c r="M184" s="8" t="str">
        <f aca="false">IF((F184-K184)&lt;&gt;0,M$1-A184," ")</f>
        <v> </v>
      </c>
      <c r="N184" s="5"/>
      <c r="O184" s="17" t="str">
        <f aca="false">IF((E184="s"),H184," ")</f>
        <v> </v>
      </c>
      <c r="P184" s="17" t="str">
        <f aca="false">IF((E184="c"),H184," ")</f>
        <v> </v>
      </c>
      <c r="Q184" s="17" t="str">
        <f aca="false">IF((E184="o"),H184," ")</f>
        <v> </v>
      </c>
      <c r="R184" s="17" t="str">
        <f aca="false">IF((E184="d"),H184," ")</f>
        <v> </v>
      </c>
      <c r="S184" s="17" t="str">
        <f aca="false">IF((E184="w"),H184," ")</f>
        <v> </v>
      </c>
      <c r="T184" s="17" t="str">
        <f aca="false">IF((E184="r"),H184," ")</f>
        <v> </v>
      </c>
      <c r="U184" s="17" t="str">
        <f aca="false">IF((E184="p"),H184," ")</f>
        <v> </v>
      </c>
      <c r="V184" s="17" t="str">
        <f aca="false">IF((E184="t"),H184," ")</f>
        <v> </v>
      </c>
      <c r="W184" s="17" t="str">
        <f aca="false">IF((E184="q"),H184," ")</f>
        <v> </v>
      </c>
      <c r="X184" s="17" t="str">
        <f aca="false">IF((E184="m"),H184," ")</f>
        <v> </v>
      </c>
      <c r="Y184" s="17" t="str">
        <f aca="false">IF((E184="u"),H184," ")</f>
        <v> </v>
      </c>
      <c r="Z184" s="17" t="str">
        <f aca="false">IF((E184="a"),H184," ")</f>
        <v> </v>
      </c>
      <c r="AA184" s="17" t="str">
        <f aca="false">IF((E184="g"),H184," ")</f>
        <v> </v>
      </c>
      <c r="AB184" s="17" t="str">
        <f aca="false">IF((E184="h"),H184," ")</f>
        <v> </v>
      </c>
      <c r="AC184" s="30" t="str">
        <f aca="false">IF((E184="v"),H184," ")</f>
        <v> </v>
      </c>
      <c r="AD184" s="30" t="str">
        <f aca="false">IF((E184="n"),H184," ")</f>
        <v> </v>
      </c>
      <c r="AE184" s="17" t="str">
        <f aca="false">IF((E184="f"),H184," ")</f>
        <v> </v>
      </c>
      <c r="AF184" s="17" t="str">
        <f aca="false">IF((E184="l"),H184," ")</f>
        <v> </v>
      </c>
      <c r="AG184" s="17" t="str">
        <f aca="false">IF((E184="y"),H184," ")</f>
        <v> </v>
      </c>
      <c r="AH184" s="17" t="str">
        <f aca="false">IF((E184="z"),H184," ")</f>
        <v> </v>
      </c>
      <c r="AI184" s="17" t="str">
        <f aca="false">IF((E184="fa"),H184," ")</f>
        <v> </v>
      </c>
      <c r="AJ184" s="17" t="str">
        <f aca="false">IF((E184="e"),H184," ")</f>
        <v> </v>
      </c>
    </row>
    <row r="185" customFormat="false" ht="12" hidden="false" customHeight="false" outlineLevel="0" collapsed="false">
      <c r="A185" s="28"/>
      <c r="E185" s="2" t="str">
        <f aca="false">IF((F185&lt;&gt;0),"Enter Letter"," ")</f>
        <v> </v>
      </c>
      <c r="F185" s="30"/>
      <c r="G185" s="6" t="str">
        <f aca="false">IF(F185&lt;&gt;0,F185*G$2/(100+G$2)," ")</f>
        <v> </v>
      </c>
      <c r="H185" s="6" t="str">
        <f aca="false">IF((F185&lt;&gt;0),F185-G185," ")</f>
        <v> </v>
      </c>
      <c r="I185" s="5"/>
      <c r="L185" s="7" t="str">
        <f aca="false">IF(F185&lt;&gt;0,F185-K185," ")</f>
        <v> </v>
      </c>
      <c r="M185" s="8" t="str">
        <f aca="false">IF((F185-K185)&lt;&gt;0,M$1-A185," ")</f>
        <v> </v>
      </c>
      <c r="N185" s="5"/>
      <c r="O185" s="17" t="str">
        <f aca="false">IF((E185="s"),H185," ")</f>
        <v> </v>
      </c>
      <c r="P185" s="17" t="str">
        <f aca="false">IF((E185="c"),H185," ")</f>
        <v> </v>
      </c>
      <c r="Q185" s="17" t="str">
        <f aca="false">IF((E185="o"),H185," ")</f>
        <v> </v>
      </c>
      <c r="R185" s="17" t="str">
        <f aca="false">IF((E185="d"),H185," ")</f>
        <v> </v>
      </c>
      <c r="S185" s="17" t="str">
        <f aca="false">IF((E185="w"),H185," ")</f>
        <v> </v>
      </c>
      <c r="T185" s="17" t="str">
        <f aca="false">IF((E185="r"),H185," ")</f>
        <v> </v>
      </c>
      <c r="U185" s="17" t="str">
        <f aca="false">IF((E185="p"),H185," ")</f>
        <v> </v>
      </c>
      <c r="V185" s="17" t="str">
        <f aca="false">IF((E185="t"),H185," ")</f>
        <v> </v>
      </c>
      <c r="W185" s="17" t="str">
        <f aca="false">IF((E185="q"),H185," ")</f>
        <v> </v>
      </c>
      <c r="X185" s="17" t="str">
        <f aca="false">IF((E185="m"),H185," ")</f>
        <v> </v>
      </c>
      <c r="Y185" s="17" t="str">
        <f aca="false">IF((E185="u"),H185," ")</f>
        <v> </v>
      </c>
      <c r="Z185" s="17" t="str">
        <f aca="false">IF((E185="a"),H185," ")</f>
        <v> </v>
      </c>
      <c r="AA185" s="17" t="str">
        <f aca="false">IF((E185="g"),H185," ")</f>
        <v> </v>
      </c>
      <c r="AB185" s="17" t="str">
        <f aca="false">IF((E185="h"),H185," ")</f>
        <v> </v>
      </c>
      <c r="AC185" s="30" t="str">
        <f aca="false">IF((E185="v"),H185," ")</f>
        <v> </v>
      </c>
      <c r="AD185" s="30" t="str">
        <f aca="false">IF((E185="n"),H185," ")</f>
        <v> </v>
      </c>
      <c r="AE185" s="17" t="str">
        <f aca="false">IF((E185="f"),H185," ")</f>
        <v> </v>
      </c>
      <c r="AF185" s="17" t="str">
        <f aca="false">IF((E185="l"),H185," ")</f>
        <v> </v>
      </c>
      <c r="AG185" s="17" t="str">
        <f aca="false">IF((E185="y"),H185," ")</f>
        <v> </v>
      </c>
      <c r="AH185" s="17" t="str">
        <f aca="false">IF((E185="z"),H185," ")</f>
        <v> </v>
      </c>
      <c r="AI185" s="17" t="str">
        <f aca="false">IF((E185="fa"),H185," ")</f>
        <v> </v>
      </c>
      <c r="AJ185" s="17" t="str">
        <f aca="false">IF((E185="e"),H185," ")</f>
        <v> </v>
      </c>
    </row>
    <row r="186" customFormat="false" ht="12" hidden="false" customHeight="false" outlineLevel="0" collapsed="false">
      <c r="A186" s="28"/>
      <c r="E186" s="2" t="str">
        <f aca="false">IF((F186&lt;&gt;0),"Enter Letter"," ")</f>
        <v> </v>
      </c>
      <c r="F186" s="30"/>
      <c r="G186" s="6" t="str">
        <f aca="false">IF(F186&lt;&gt;0,F186*G$2/(100+G$2)," ")</f>
        <v> </v>
      </c>
      <c r="H186" s="6" t="str">
        <f aca="false">IF((F186&lt;&gt;0),F186-G186," ")</f>
        <v> </v>
      </c>
      <c r="I186" s="5"/>
      <c r="L186" s="7" t="str">
        <f aca="false">IF(F186&lt;&gt;0,F186-K186," ")</f>
        <v> </v>
      </c>
      <c r="M186" s="8" t="str">
        <f aca="false">IF((F186-K186)&lt;&gt;0,M$1-A186," ")</f>
        <v> </v>
      </c>
      <c r="N186" s="5"/>
      <c r="O186" s="17" t="str">
        <f aca="false">IF((E186="s"),H186," ")</f>
        <v> </v>
      </c>
      <c r="P186" s="17" t="str">
        <f aca="false">IF((E186="c"),H186," ")</f>
        <v> </v>
      </c>
      <c r="Q186" s="17" t="str">
        <f aca="false">IF((E186="o"),H186," ")</f>
        <v> </v>
      </c>
      <c r="R186" s="17" t="str">
        <f aca="false">IF((E186="d"),H186," ")</f>
        <v> </v>
      </c>
      <c r="S186" s="17" t="str">
        <f aca="false">IF((E186="w"),H186," ")</f>
        <v> </v>
      </c>
      <c r="T186" s="17" t="str">
        <f aca="false">IF((E186="r"),H186," ")</f>
        <v> </v>
      </c>
      <c r="U186" s="17" t="str">
        <f aca="false">IF((E186="p"),H186," ")</f>
        <v> </v>
      </c>
      <c r="V186" s="17" t="str">
        <f aca="false">IF((E186="t"),H186," ")</f>
        <v> </v>
      </c>
      <c r="W186" s="17" t="str">
        <f aca="false">IF((E186="q"),H186," ")</f>
        <v> </v>
      </c>
      <c r="X186" s="17" t="str">
        <f aca="false">IF((E186="m"),H186," ")</f>
        <v> </v>
      </c>
      <c r="Y186" s="17" t="str">
        <f aca="false">IF((E186="u"),H186," ")</f>
        <v> </v>
      </c>
      <c r="Z186" s="17" t="str">
        <f aca="false">IF((E186="a"),H186," ")</f>
        <v> </v>
      </c>
      <c r="AA186" s="17" t="str">
        <f aca="false">IF((E186="g"),H186," ")</f>
        <v> </v>
      </c>
      <c r="AB186" s="17" t="str">
        <f aca="false">IF((E186="h"),H186," ")</f>
        <v> </v>
      </c>
      <c r="AC186" s="30" t="str">
        <f aca="false">IF((E186="v"),H186," ")</f>
        <v> </v>
      </c>
      <c r="AD186" s="30" t="str">
        <f aca="false">IF((E186="n"),H186," ")</f>
        <v> </v>
      </c>
      <c r="AE186" s="17" t="str">
        <f aca="false">IF((E186="f"),H186," ")</f>
        <v> </v>
      </c>
      <c r="AF186" s="17" t="str">
        <f aca="false">IF((E186="l"),H186," ")</f>
        <v> </v>
      </c>
      <c r="AG186" s="17" t="str">
        <f aca="false">IF((E186="y"),H186," ")</f>
        <v> </v>
      </c>
      <c r="AH186" s="17" t="str">
        <f aca="false">IF((E186="z"),H186," ")</f>
        <v> </v>
      </c>
      <c r="AI186" s="17" t="str">
        <f aca="false">IF((E186="fa"),H186," ")</f>
        <v> </v>
      </c>
      <c r="AJ186" s="17" t="str">
        <f aca="false">IF((E186="e"),H186," ")</f>
        <v> </v>
      </c>
    </row>
    <row r="187" customFormat="false" ht="12" hidden="false" customHeight="false" outlineLevel="0" collapsed="false">
      <c r="A187" s="28"/>
      <c r="E187" s="2" t="str">
        <f aca="false">IF((F187&lt;&gt;0),"Enter Letter"," ")</f>
        <v> </v>
      </c>
      <c r="F187" s="30"/>
      <c r="G187" s="6" t="str">
        <f aca="false">IF(F187&lt;&gt;0,F187*G$2/(100+G$2)," ")</f>
        <v> </v>
      </c>
      <c r="H187" s="6" t="str">
        <f aca="false">IF((F187&lt;&gt;0),F187-G187," ")</f>
        <v> </v>
      </c>
      <c r="I187" s="5"/>
      <c r="L187" s="7" t="str">
        <f aca="false">IF(F187&lt;&gt;0,F187-K187," ")</f>
        <v> </v>
      </c>
      <c r="M187" s="8" t="str">
        <f aca="false">IF((F187-K187)&lt;&gt;0,M$1-A187," ")</f>
        <v> </v>
      </c>
      <c r="N187" s="5"/>
      <c r="O187" s="17" t="str">
        <f aca="false">IF((E187="s"),H187," ")</f>
        <v> </v>
      </c>
      <c r="P187" s="17" t="str">
        <f aca="false">IF((E187="c"),H187," ")</f>
        <v> </v>
      </c>
      <c r="Q187" s="17" t="str">
        <f aca="false">IF((E187="o"),H187," ")</f>
        <v> </v>
      </c>
      <c r="R187" s="17" t="str">
        <f aca="false">IF((E187="d"),H187," ")</f>
        <v> </v>
      </c>
      <c r="S187" s="17" t="str">
        <f aca="false">IF((E187="w"),H187," ")</f>
        <v> </v>
      </c>
      <c r="T187" s="17" t="str">
        <f aca="false">IF((E187="r"),H187," ")</f>
        <v> </v>
      </c>
      <c r="U187" s="17" t="str">
        <f aca="false">IF((E187="p"),H187," ")</f>
        <v> </v>
      </c>
      <c r="V187" s="17" t="str">
        <f aca="false">IF((E187="t"),H187," ")</f>
        <v> </v>
      </c>
      <c r="W187" s="17" t="str">
        <f aca="false">IF((E187="q"),H187," ")</f>
        <v> </v>
      </c>
      <c r="X187" s="17" t="str">
        <f aca="false">IF((E187="m"),H187," ")</f>
        <v> </v>
      </c>
      <c r="Y187" s="17" t="str">
        <f aca="false">IF((E187="u"),H187," ")</f>
        <v> </v>
      </c>
      <c r="Z187" s="17" t="str">
        <f aca="false">IF((E187="a"),H187," ")</f>
        <v> </v>
      </c>
      <c r="AA187" s="17" t="str">
        <f aca="false">IF((E187="g"),H187," ")</f>
        <v> </v>
      </c>
      <c r="AB187" s="17" t="str">
        <f aca="false">IF((E187="h"),H187," ")</f>
        <v> </v>
      </c>
      <c r="AC187" s="30" t="str">
        <f aca="false">IF((E187="v"),H187," ")</f>
        <v> </v>
      </c>
      <c r="AD187" s="30" t="str">
        <f aca="false">IF((E187="n"),H187," ")</f>
        <v> </v>
      </c>
      <c r="AE187" s="17" t="str">
        <f aca="false">IF((E187="f"),H187," ")</f>
        <v> </v>
      </c>
      <c r="AF187" s="17" t="str">
        <f aca="false">IF((E187="l"),H187," ")</f>
        <v> </v>
      </c>
      <c r="AG187" s="17" t="str">
        <f aca="false">IF((E187="y"),H187," ")</f>
        <v> </v>
      </c>
      <c r="AH187" s="17" t="str">
        <f aca="false">IF((E187="z"),H187," ")</f>
        <v> </v>
      </c>
      <c r="AI187" s="17" t="str">
        <f aca="false">IF((E187="fa"),H187," ")</f>
        <v> </v>
      </c>
      <c r="AJ187" s="17" t="str">
        <f aca="false">IF((E187="e"),H187," ")</f>
        <v> </v>
      </c>
    </row>
    <row r="188" customFormat="false" ht="12" hidden="false" customHeight="false" outlineLevel="0" collapsed="false">
      <c r="A188" s="28"/>
      <c r="E188" s="2" t="str">
        <f aca="false">IF((F188&lt;&gt;0),"Enter Letter"," ")</f>
        <v> </v>
      </c>
      <c r="F188" s="30"/>
      <c r="G188" s="6" t="str">
        <f aca="false">IF(F188&lt;&gt;0,F188*G$2/(100+G$2)," ")</f>
        <v> </v>
      </c>
      <c r="H188" s="6" t="str">
        <f aca="false">IF((F188&lt;&gt;0),F188-G188," ")</f>
        <v> </v>
      </c>
      <c r="I188" s="5"/>
      <c r="L188" s="7" t="str">
        <f aca="false">IF(F188&lt;&gt;0,F188-K188," ")</f>
        <v> </v>
      </c>
      <c r="M188" s="8" t="str">
        <f aca="false">IF((F188-K188)&lt;&gt;0,M$1-A188," ")</f>
        <v> </v>
      </c>
      <c r="N188" s="5"/>
      <c r="O188" s="17" t="str">
        <f aca="false">IF((E188="s"),H188," ")</f>
        <v> </v>
      </c>
      <c r="P188" s="17" t="str">
        <f aca="false">IF((E188="c"),H188," ")</f>
        <v> </v>
      </c>
      <c r="Q188" s="17" t="str">
        <f aca="false">IF((E188="o"),H188," ")</f>
        <v> </v>
      </c>
      <c r="R188" s="17" t="str">
        <f aca="false">IF((E188="d"),H188," ")</f>
        <v> </v>
      </c>
      <c r="S188" s="17" t="str">
        <f aca="false">IF((E188="w"),H188," ")</f>
        <v> </v>
      </c>
      <c r="T188" s="17" t="str">
        <f aca="false">IF((E188="r"),H188," ")</f>
        <v> </v>
      </c>
      <c r="U188" s="17" t="str">
        <f aca="false">IF((E188="p"),H188," ")</f>
        <v> </v>
      </c>
      <c r="V188" s="17" t="str">
        <f aca="false">IF((E188="t"),H188," ")</f>
        <v> </v>
      </c>
      <c r="W188" s="17" t="str">
        <f aca="false">IF((E188="q"),H188," ")</f>
        <v> </v>
      </c>
      <c r="X188" s="17" t="str">
        <f aca="false">IF((E188="m"),H188," ")</f>
        <v> </v>
      </c>
      <c r="Y188" s="17" t="str">
        <f aca="false">IF((E188="u"),H188," ")</f>
        <v> </v>
      </c>
      <c r="Z188" s="17" t="str">
        <f aca="false">IF((E188="a"),H188," ")</f>
        <v> </v>
      </c>
      <c r="AA188" s="17" t="str">
        <f aca="false">IF((E188="g"),H188," ")</f>
        <v> </v>
      </c>
      <c r="AB188" s="17" t="str">
        <f aca="false">IF((E188="h"),H188," ")</f>
        <v> </v>
      </c>
      <c r="AC188" s="30" t="str">
        <f aca="false">IF((E188="v"),H188," ")</f>
        <v> </v>
      </c>
      <c r="AD188" s="30" t="str">
        <f aca="false">IF((E188="n"),H188," ")</f>
        <v> </v>
      </c>
      <c r="AE188" s="17" t="str">
        <f aca="false">IF((E188="f"),H188," ")</f>
        <v> </v>
      </c>
      <c r="AF188" s="17" t="str">
        <f aca="false">IF((E188="l"),H188," ")</f>
        <v> </v>
      </c>
      <c r="AG188" s="17" t="str">
        <f aca="false">IF((E188="y"),H188," ")</f>
        <v> </v>
      </c>
      <c r="AH188" s="17" t="str">
        <f aca="false">IF((E188="z"),H188," ")</f>
        <v> </v>
      </c>
      <c r="AI188" s="17" t="str">
        <f aca="false">IF((E188="fa"),H188," ")</f>
        <v> </v>
      </c>
      <c r="AJ188" s="17" t="str">
        <f aca="false">IF((E188="e"),H188," ")</f>
        <v> </v>
      </c>
    </row>
    <row r="189" customFormat="false" ht="12" hidden="false" customHeight="false" outlineLevel="0" collapsed="false">
      <c r="A189" s="28"/>
      <c r="E189" s="2" t="str">
        <f aca="false">IF((F189&lt;&gt;0),"Enter Letter"," ")</f>
        <v> </v>
      </c>
      <c r="F189" s="30"/>
      <c r="G189" s="6" t="str">
        <f aca="false">IF(F189&lt;&gt;0,F189*G$2/(100+G$2)," ")</f>
        <v> </v>
      </c>
      <c r="H189" s="6" t="str">
        <f aca="false">IF((F189&lt;&gt;0),F189-G189," ")</f>
        <v> </v>
      </c>
      <c r="I189" s="5"/>
      <c r="L189" s="7" t="str">
        <f aca="false">IF(F189&lt;&gt;0,F189-K189," ")</f>
        <v> </v>
      </c>
      <c r="M189" s="8" t="str">
        <f aca="false">IF((F189-K189)&lt;&gt;0,M$1-A189," ")</f>
        <v> </v>
      </c>
      <c r="N189" s="5"/>
      <c r="O189" s="17" t="str">
        <f aca="false">IF((E189="s"),H189," ")</f>
        <v> </v>
      </c>
      <c r="P189" s="17" t="str">
        <f aca="false">IF((E189="c"),H189," ")</f>
        <v> </v>
      </c>
      <c r="Q189" s="17" t="str">
        <f aca="false">IF((E189="o"),H189," ")</f>
        <v> </v>
      </c>
      <c r="R189" s="17" t="str">
        <f aca="false">IF((E189="d"),H189," ")</f>
        <v> </v>
      </c>
      <c r="S189" s="17" t="str">
        <f aca="false">IF((E189="w"),H189," ")</f>
        <v> </v>
      </c>
      <c r="T189" s="17" t="str">
        <f aca="false">IF((E189="r"),H189," ")</f>
        <v> </v>
      </c>
      <c r="U189" s="17" t="str">
        <f aca="false">IF((E189="p"),H189," ")</f>
        <v> </v>
      </c>
      <c r="V189" s="17" t="str">
        <f aca="false">IF((E189="t"),H189," ")</f>
        <v> </v>
      </c>
      <c r="W189" s="17" t="str">
        <f aca="false">IF((E189="q"),H189," ")</f>
        <v> </v>
      </c>
      <c r="X189" s="17" t="str">
        <f aca="false">IF((E189="m"),H189," ")</f>
        <v> </v>
      </c>
      <c r="Y189" s="17" t="str">
        <f aca="false">IF((E189="u"),H189," ")</f>
        <v> </v>
      </c>
      <c r="Z189" s="17" t="str">
        <f aca="false">IF((E189="a"),H189," ")</f>
        <v> </v>
      </c>
      <c r="AA189" s="17" t="str">
        <f aca="false">IF((E189="g"),H189," ")</f>
        <v> </v>
      </c>
      <c r="AB189" s="17" t="str">
        <f aca="false">IF((E189="h"),H189," ")</f>
        <v> </v>
      </c>
      <c r="AC189" s="30" t="str">
        <f aca="false">IF((E189="v"),H189," ")</f>
        <v> </v>
      </c>
      <c r="AD189" s="30" t="str">
        <f aca="false">IF((E189="n"),H189," ")</f>
        <v> </v>
      </c>
      <c r="AE189" s="17" t="str">
        <f aca="false">IF((E189="f"),H189," ")</f>
        <v> </v>
      </c>
      <c r="AF189" s="17" t="str">
        <f aca="false">IF((E189="l"),H189," ")</f>
        <v> </v>
      </c>
      <c r="AG189" s="17" t="str">
        <f aca="false">IF((E189="y"),H189," ")</f>
        <v> </v>
      </c>
      <c r="AH189" s="17" t="str">
        <f aca="false">IF((E189="z"),H189," ")</f>
        <v> </v>
      </c>
      <c r="AI189" s="17" t="str">
        <f aca="false">IF((E189="fa"),H189," ")</f>
        <v> </v>
      </c>
      <c r="AJ189" s="17" t="str">
        <f aca="false">IF((E189="e"),H189," ")</f>
        <v> </v>
      </c>
    </row>
    <row r="190" customFormat="false" ht="12" hidden="false" customHeight="false" outlineLevel="0" collapsed="false">
      <c r="A190" s="28"/>
      <c r="E190" s="2" t="str">
        <f aca="false">IF((F190&lt;&gt;0),"Enter Letter"," ")</f>
        <v> </v>
      </c>
      <c r="F190" s="30"/>
      <c r="G190" s="6" t="str">
        <f aca="false">IF(F190&lt;&gt;0,F190*G$2/(100+G$2)," ")</f>
        <v> </v>
      </c>
      <c r="H190" s="6" t="str">
        <f aca="false">IF((F190&lt;&gt;0),F190-G190," ")</f>
        <v> </v>
      </c>
      <c r="I190" s="5"/>
      <c r="L190" s="7" t="str">
        <f aca="false">IF(F190&lt;&gt;0,F190-K190," ")</f>
        <v> </v>
      </c>
      <c r="M190" s="8" t="str">
        <f aca="false">IF((F190-K190)&lt;&gt;0,M$1-A190," ")</f>
        <v> </v>
      </c>
      <c r="N190" s="5"/>
      <c r="O190" s="17" t="str">
        <f aca="false">IF((E190="s"),H190," ")</f>
        <v> </v>
      </c>
      <c r="P190" s="17" t="str">
        <f aca="false">IF((E190="c"),H190," ")</f>
        <v> </v>
      </c>
      <c r="Q190" s="17" t="str">
        <f aca="false">IF((E190="o"),H190," ")</f>
        <v> </v>
      </c>
      <c r="R190" s="17" t="str">
        <f aca="false">IF((E190="d"),H190," ")</f>
        <v> </v>
      </c>
      <c r="S190" s="17" t="str">
        <f aca="false">IF((E190="w"),H190," ")</f>
        <v> </v>
      </c>
      <c r="T190" s="17" t="str">
        <f aca="false">IF((E190="r"),H190," ")</f>
        <v> </v>
      </c>
      <c r="U190" s="17" t="str">
        <f aca="false">IF((E190="p"),H190," ")</f>
        <v> </v>
      </c>
      <c r="V190" s="17" t="str">
        <f aca="false">IF((E190="t"),H190," ")</f>
        <v> </v>
      </c>
      <c r="W190" s="17" t="str">
        <f aca="false">IF((E190="q"),H190," ")</f>
        <v> </v>
      </c>
      <c r="X190" s="17" t="str">
        <f aca="false">IF((E190="m"),H190," ")</f>
        <v> </v>
      </c>
      <c r="Y190" s="17" t="str">
        <f aca="false">IF((E190="u"),H190," ")</f>
        <v> </v>
      </c>
      <c r="Z190" s="17" t="str">
        <f aca="false">IF((E190="a"),H190," ")</f>
        <v> </v>
      </c>
      <c r="AA190" s="17" t="str">
        <f aca="false">IF((E190="g"),H190," ")</f>
        <v> </v>
      </c>
      <c r="AB190" s="17" t="str">
        <f aca="false">IF((E190="h"),H190," ")</f>
        <v> </v>
      </c>
      <c r="AC190" s="30" t="str">
        <f aca="false">IF((E190="v"),H190," ")</f>
        <v> </v>
      </c>
      <c r="AD190" s="30" t="str">
        <f aca="false">IF((E190="n"),H190," ")</f>
        <v> </v>
      </c>
      <c r="AE190" s="17" t="str">
        <f aca="false">IF((E190="f"),H190," ")</f>
        <v> </v>
      </c>
      <c r="AF190" s="17" t="str">
        <f aca="false">IF((E190="l"),H190," ")</f>
        <v> </v>
      </c>
      <c r="AG190" s="17" t="str">
        <f aca="false">IF((E190="y"),H190," ")</f>
        <v> </v>
      </c>
      <c r="AH190" s="17" t="str">
        <f aca="false">IF((E190="z"),H190," ")</f>
        <v> </v>
      </c>
      <c r="AI190" s="17" t="str">
        <f aca="false">IF((E190="fa"),H190," ")</f>
        <v> </v>
      </c>
      <c r="AJ190" s="17" t="str">
        <f aca="false">IF((E190="e"),H190," ")</f>
        <v> </v>
      </c>
    </row>
    <row r="191" customFormat="false" ht="12" hidden="false" customHeight="false" outlineLevel="0" collapsed="false">
      <c r="A191" s="28"/>
      <c r="E191" s="2" t="str">
        <f aca="false">IF((F191&lt;&gt;0),"Enter Letter"," ")</f>
        <v> </v>
      </c>
      <c r="F191" s="30"/>
      <c r="G191" s="6" t="str">
        <f aca="false">IF(F191&lt;&gt;0,F191*G$2/(100+G$2)," ")</f>
        <v> </v>
      </c>
      <c r="H191" s="6" t="str">
        <f aca="false">IF((F191&lt;&gt;0),F191-G191," ")</f>
        <v> </v>
      </c>
      <c r="I191" s="5"/>
      <c r="L191" s="7" t="str">
        <f aca="false">IF(F191&lt;&gt;0,F191-K191," ")</f>
        <v> </v>
      </c>
      <c r="M191" s="8" t="str">
        <f aca="false">IF((F191-K191)&lt;&gt;0,M$1-A191," ")</f>
        <v> </v>
      </c>
      <c r="N191" s="5"/>
      <c r="O191" s="17" t="str">
        <f aca="false">IF((E191="s"),H191," ")</f>
        <v> </v>
      </c>
      <c r="P191" s="17" t="str">
        <f aca="false">IF((E191="c"),H191," ")</f>
        <v> </v>
      </c>
      <c r="Q191" s="17" t="str">
        <f aca="false">IF((E191="o"),H191," ")</f>
        <v> </v>
      </c>
      <c r="R191" s="17" t="str">
        <f aca="false">IF((E191="d"),H191," ")</f>
        <v> </v>
      </c>
      <c r="S191" s="17" t="str">
        <f aca="false">IF((E191="w"),H191," ")</f>
        <v> </v>
      </c>
      <c r="T191" s="17" t="str">
        <f aca="false">IF((E191="r"),H191," ")</f>
        <v> </v>
      </c>
      <c r="U191" s="17" t="str">
        <f aca="false">IF((E191="p"),H191," ")</f>
        <v> </v>
      </c>
      <c r="V191" s="17" t="str">
        <f aca="false">IF((E191="t"),H191," ")</f>
        <v> </v>
      </c>
      <c r="W191" s="17" t="str">
        <f aca="false">IF((E191="q"),H191," ")</f>
        <v> </v>
      </c>
      <c r="X191" s="17" t="str">
        <f aca="false">IF((E191="m"),H191," ")</f>
        <v> </v>
      </c>
      <c r="Y191" s="17" t="str">
        <f aca="false">IF((E191="u"),H191," ")</f>
        <v> </v>
      </c>
      <c r="Z191" s="17" t="str">
        <f aca="false">IF((E191="a"),H191," ")</f>
        <v> </v>
      </c>
      <c r="AA191" s="17" t="str">
        <f aca="false">IF((E191="g"),H191," ")</f>
        <v> </v>
      </c>
      <c r="AB191" s="17" t="str">
        <f aca="false">IF((E191="h"),H191," ")</f>
        <v> </v>
      </c>
      <c r="AC191" s="30" t="str">
        <f aca="false">IF((E191="v"),H191," ")</f>
        <v> </v>
      </c>
      <c r="AD191" s="30" t="str">
        <f aca="false">IF((E191="n"),H191," ")</f>
        <v> </v>
      </c>
      <c r="AE191" s="17" t="str">
        <f aca="false">IF((E191="f"),H191," ")</f>
        <v> </v>
      </c>
      <c r="AF191" s="17" t="str">
        <f aca="false">IF((E191="l"),H191," ")</f>
        <v> </v>
      </c>
      <c r="AG191" s="17" t="str">
        <f aca="false">IF((E191="y"),H191," ")</f>
        <v> </v>
      </c>
      <c r="AH191" s="17" t="str">
        <f aca="false">IF((E191="z"),H191," ")</f>
        <v> </v>
      </c>
      <c r="AI191" s="17" t="str">
        <f aca="false">IF((E191="fa"),H191," ")</f>
        <v> </v>
      </c>
      <c r="AJ191" s="17" t="str">
        <f aca="false">IF((E191="e"),H191," ")</f>
        <v> </v>
      </c>
    </row>
    <row r="192" customFormat="false" ht="12" hidden="false" customHeight="false" outlineLevel="0" collapsed="false">
      <c r="A192" s="28"/>
      <c r="E192" s="2" t="str">
        <f aca="false">IF((F192&lt;&gt;0),"Enter Letter"," ")</f>
        <v> </v>
      </c>
      <c r="F192" s="30"/>
      <c r="G192" s="6" t="str">
        <f aca="false">IF(F192&lt;&gt;0,F192*G$2/(100+G$2)," ")</f>
        <v> </v>
      </c>
      <c r="H192" s="6" t="str">
        <f aca="false">IF((F192&lt;&gt;0),F192-G192," ")</f>
        <v> </v>
      </c>
      <c r="I192" s="5"/>
      <c r="L192" s="7" t="str">
        <f aca="false">IF(F192&lt;&gt;0,F192-K192," ")</f>
        <v> </v>
      </c>
      <c r="M192" s="8" t="str">
        <f aca="false">IF((F192-K192)&lt;&gt;0,M$1-A192," ")</f>
        <v> </v>
      </c>
      <c r="N192" s="5"/>
      <c r="O192" s="17" t="str">
        <f aca="false">IF((E192="s"),H192," ")</f>
        <v> </v>
      </c>
      <c r="P192" s="17" t="str">
        <f aca="false">IF((E192="c"),H192," ")</f>
        <v> </v>
      </c>
      <c r="Q192" s="17" t="str">
        <f aca="false">IF((E192="o"),H192," ")</f>
        <v> </v>
      </c>
      <c r="R192" s="17" t="str">
        <f aca="false">IF((E192="d"),H192," ")</f>
        <v> </v>
      </c>
      <c r="S192" s="17" t="str">
        <f aca="false">IF((E192="w"),H192," ")</f>
        <v> </v>
      </c>
      <c r="T192" s="17" t="str">
        <f aca="false">IF((E192="r"),H192," ")</f>
        <v> </v>
      </c>
      <c r="U192" s="17" t="str">
        <f aca="false">IF((E192="p"),H192," ")</f>
        <v> </v>
      </c>
      <c r="V192" s="17" t="str">
        <f aca="false">IF((E192="t"),H192," ")</f>
        <v> </v>
      </c>
      <c r="W192" s="17" t="str">
        <f aca="false">IF((E192="q"),H192," ")</f>
        <v> </v>
      </c>
      <c r="X192" s="17" t="str">
        <f aca="false">IF((E192="m"),H192," ")</f>
        <v> </v>
      </c>
      <c r="Y192" s="17" t="str">
        <f aca="false">IF((E192="u"),H192," ")</f>
        <v> </v>
      </c>
      <c r="Z192" s="17" t="str">
        <f aca="false">IF((E192="a"),H192," ")</f>
        <v> </v>
      </c>
      <c r="AA192" s="17" t="str">
        <f aca="false">IF((E192="g"),H192," ")</f>
        <v> </v>
      </c>
      <c r="AB192" s="17" t="str">
        <f aca="false">IF((E192="h"),H192," ")</f>
        <v> </v>
      </c>
      <c r="AC192" s="30" t="str">
        <f aca="false">IF((E192="v"),H192," ")</f>
        <v> </v>
      </c>
      <c r="AD192" s="30" t="str">
        <f aca="false">IF((E192="n"),H192," ")</f>
        <v> </v>
      </c>
      <c r="AE192" s="17" t="str">
        <f aca="false">IF((E192="f"),H192," ")</f>
        <v> </v>
      </c>
      <c r="AF192" s="17" t="str">
        <f aca="false">IF((E192="l"),H192," ")</f>
        <v> </v>
      </c>
      <c r="AG192" s="17" t="str">
        <f aca="false">IF((E192="y"),H192," ")</f>
        <v> </v>
      </c>
      <c r="AH192" s="17" t="str">
        <f aca="false">IF((E192="z"),H192," ")</f>
        <v> </v>
      </c>
      <c r="AI192" s="17" t="str">
        <f aca="false">IF((E192="fa"),H192," ")</f>
        <v> </v>
      </c>
      <c r="AJ192" s="17" t="str">
        <f aca="false">IF((E192="e"),H192," ")</f>
        <v> </v>
      </c>
    </row>
    <row r="193" customFormat="false" ht="12" hidden="false" customHeight="false" outlineLevel="0" collapsed="false">
      <c r="A193" s="28"/>
      <c r="E193" s="2" t="str">
        <f aca="false">IF((F193&lt;&gt;0),"Enter Letter"," ")</f>
        <v> </v>
      </c>
      <c r="F193" s="30"/>
      <c r="G193" s="6" t="str">
        <f aca="false">IF(F193&lt;&gt;0,F193*G$2/(100+G$2)," ")</f>
        <v> </v>
      </c>
      <c r="H193" s="6" t="str">
        <f aca="false">IF((F193&lt;&gt;0),F193-G193," ")</f>
        <v> </v>
      </c>
      <c r="I193" s="5"/>
      <c r="L193" s="7" t="str">
        <f aca="false">IF(F193&lt;&gt;0,F193-K193," ")</f>
        <v> </v>
      </c>
      <c r="M193" s="8" t="str">
        <f aca="false">IF((F193-K193)&lt;&gt;0,M$1-A193," ")</f>
        <v> </v>
      </c>
      <c r="N193" s="5"/>
      <c r="O193" s="17" t="str">
        <f aca="false">IF((E193="s"),H193," ")</f>
        <v> </v>
      </c>
      <c r="P193" s="17" t="str">
        <f aca="false">IF((E193="c"),H193," ")</f>
        <v> </v>
      </c>
      <c r="Q193" s="17" t="str">
        <f aca="false">IF((E193="o"),H193," ")</f>
        <v> </v>
      </c>
      <c r="R193" s="17" t="str">
        <f aca="false">IF((E193="d"),H193," ")</f>
        <v> </v>
      </c>
      <c r="S193" s="17" t="str">
        <f aca="false">IF((E193="w"),H193," ")</f>
        <v> </v>
      </c>
      <c r="T193" s="17" t="str">
        <f aca="false">IF((E193="r"),H193," ")</f>
        <v> </v>
      </c>
      <c r="U193" s="17" t="str">
        <f aca="false">IF((E193="p"),H193," ")</f>
        <v> </v>
      </c>
      <c r="V193" s="17" t="str">
        <f aca="false">IF((E193="t"),H193," ")</f>
        <v> </v>
      </c>
      <c r="W193" s="17" t="str">
        <f aca="false">IF((E193="q"),H193," ")</f>
        <v> </v>
      </c>
      <c r="X193" s="17" t="str">
        <f aca="false">IF((E193="m"),H193," ")</f>
        <v> </v>
      </c>
      <c r="Y193" s="17" t="str">
        <f aca="false">IF((E193="u"),H193," ")</f>
        <v> </v>
      </c>
      <c r="Z193" s="17" t="str">
        <f aca="false">IF((E193="a"),H193," ")</f>
        <v> </v>
      </c>
      <c r="AA193" s="17" t="str">
        <f aca="false">IF((E193="g"),H193," ")</f>
        <v> </v>
      </c>
      <c r="AB193" s="17" t="str">
        <f aca="false">IF((E193="h"),H193," ")</f>
        <v> </v>
      </c>
      <c r="AC193" s="30" t="str">
        <f aca="false">IF((E193="v"),H193," ")</f>
        <v> </v>
      </c>
      <c r="AD193" s="30" t="str">
        <f aca="false">IF((E193="n"),H193," ")</f>
        <v> </v>
      </c>
      <c r="AE193" s="17" t="str">
        <f aca="false">IF((E193="f"),H193," ")</f>
        <v> </v>
      </c>
      <c r="AF193" s="17" t="str">
        <f aca="false">IF((E193="l"),H193," ")</f>
        <v> </v>
      </c>
      <c r="AG193" s="17" t="str">
        <f aca="false">IF((E193="y"),H193," ")</f>
        <v> </v>
      </c>
      <c r="AH193" s="17" t="str">
        <f aca="false">IF((E193="z"),H193," ")</f>
        <v> </v>
      </c>
      <c r="AI193" s="17" t="str">
        <f aca="false">IF((E193="fa"),H193," ")</f>
        <v> </v>
      </c>
      <c r="AJ193" s="17" t="str">
        <f aca="false">IF((E193="e"),H193," ")</f>
        <v> </v>
      </c>
    </row>
    <row r="194" customFormat="false" ht="12" hidden="false" customHeight="false" outlineLevel="0" collapsed="false">
      <c r="A194" s="28"/>
      <c r="E194" s="2" t="str">
        <f aca="false">IF((F194&lt;&gt;0),"Enter Letter"," ")</f>
        <v> </v>
      </c>
      <c r="F194" s="30"/>
      <c r="G194" s="6" t="str">
        <f aca="false">IF(F194&lt;&gt;0,F194*G$2/(100+G$2)," ")</f>
        <v> </v>
      </c>
      <c r="H194" s="6" t="str">
        <f aca="false">IF((F194&lt;&gt;0),F194-G194," ")</f>
        <v> </v>
      </c>
      <c r="I194" s="5"/>
      <c r="L194" s="7" t="str">
        <f aca="false">IF(F194&lt;&gt;0,F194-K194," ")</f>
        <v> </v>
      </c>
      <c r="M194" s="8" t="str">
        <f aca="false">IF((F194-K194)&lt;&gt;0,M$1-A194," ")</f>
        <v> </v>
      </c>
      <c r="N194" s="5"/>
      <c r="O194" s="17" t="str">
        <f aca="false">IF((E194="s"),H194," ")</f>
        <v> </v>
      </c>
      <c r="P194" s="17" t="str">
        <f aca="false">IF((E194="c"),H194," ")</f>
        <v> </v>
      </c>
      <c r="Q194" s="17" t="str">
        <f aca="false">IF((E194="o"),H194," ")</f>
        <v> </v>
      </c>
      <c r="R194" s="17" t="str">
        <f aca="false">IF((E194="d"),H194," ")</f>
        <v> </v>
      </c>
      <c r="S194" s="17" t="str">
        <f aca="false">IF((E194="w"),H194," ")</f>
        <v> </v>
      </c>
      <c r="T194" s="17" t="str">
        <f aca="false">IF((E194="r"),H194," ")</f>
        <v> </v>
      </c>
      <c r="U194" s="17" t="str">
        <f aca="false">IF((E194="p"),H194," ")</f>
        <v> </v>
      </c>
      <c r="V194" s="17" t="str">
        <f aca="false">IF((E194="t"),H194," ")</f>
        <v> </v>
      </c>
      <c r="W194" s="17" t="str">
        <f aca="false">IF((E194="q"),H194," ")</f>
        <v> </v>
      </c>
      <c r="X194" s="17" t="str">
        <f aca="false">IF((E194="m"),H194," ")</f>
        <v> </v>
      </c>
      <c r="Y194" s="17" t="str">
        <f aca="false">IF((E194="u"),H194," ")</f>
        <v> </v>
      </c>
      <c r="Z194" s="17" t="str">
        <f aca="false">IF((E194="a"),H194," ")</f>
        <v> </v>
      </c>
      <c r="AA194" s="17" t="str">
        <f aca="false">IF((E194="g"),H194," ")</f>
        <v> </v>
      </c>
      <c r="AB194" s="17" t="str">
        <f aca="false">IF((E194="h"),H194," ")</f>
        <v> </v>
      </c>
      <c r="AC194" s="30" t="str">
        <f aca="false">IF((E194="v"),H194," ")</f>
        <v> </v>
      </c>
      <c r="AD194" s="30" t="str">
        <f aca="false">IF((E194="n"),H194," ")</f>
        <v> </v>
      </c>
      <c r="AE194" s="17" t="str">
        <f aca="false">IF((E194="f"),H194," ")</f>
        <v> </v>
      </c>
      <c r="AF194" s="17" t="str">
        <f aca="false">IF((E194="l"),H194," ")</f>
        <v> </v>
      </c>
      <c r="AG194" s="17" t="str">
        <f aca="false">IF((E194="y"),H194," ")</f>
        <v> </v>
      </c>
      <c r="AH194" s="17" t="str">
        <f aca="false">IF((E194="z"),H194," ")</f>
        <v> </v>
      </c>
      <c r="AI194" s="17" t="str">
        <f aca="false">IF((E194="fa"),H194," ")</f>
        <v> </v>
      </c>
      <c r="AJ194" s="17" t="str">
        <f aca="false">IF((E194="e"),H194," ")</f>
        <v> </v>
      </c>
    </row>
    <row r="195" customFormat="false" ht="12" hidden="false" customHeight="false" outlineLevel="0" collapsed="false">
      <c r="A195" s="28"/>
      <c r="E195" s="2" t="str">
        <f aca="false">IF((F195&lt;&gt;0),"Enter Letter"," ")</f>
        <v> </v>
      </c>
      <c r="F195" s="30"/>
      <c r="G195" s="6" t="str">
        <f aca="false">IF(F195&lt;&gt;0,F195*G$2/(100+G$2)," ")</f>
        <v> </v>
      </c>
      <c r="H195" s="6" t="str">
        <f aca="false">IF((F195&lt;&gt;0),F195-G195," ")</f>
        <v> </v>
      </c>
      <c r="I195" s="5"/>
      <c r="L195" s="7" t="str">
        <f aca="false">IF(F195&lt;&gt;0,F195-K195," ")</f>
        <v> </v>
      </c>
      <c r="M195" s="8" t="str">
        <f aca="false">IF((F195-K195)&lt;&gt;0,M$1-A195," ")</f>
        <v> </v>
      </c>
      <c r="N195" s="5"/>
      <c r="O195" s="17" t="str">
        <f aca="false">IF((E195="s"),H195," ")</f>
        <v> </v>
      </c>
      <c r="P195" s="17" t="str">
        <f aca="false">IF((E195="c"),H195," ")</f>
        <v> </v>
      </c>
      <c r="Q195" s="17" t="str">
        <f aca="false">IF((E195="o"),H195," ")</f>
        <v> </v>
      </c>
      <c r="R195" s="17" t="str">
        <f aca="false">IF((E195="d"),H195," ")</f>
        <v> </v>
      </c>
      <c r="S195" s="17" t="str">
        <f aca="false">IF((E195="w"),H195," ")</f>
        <v> </v>
      </c>
      <c r="T195" s="17" t="str">
        <f aca="false">IF((E195="r"),H195," ")</f>
        <v> </v>
      </c>
      <c r="U195" s="17" t="str">
        <f aca="false">IF((E195="p"),H195," ")</f>
        <v> </v>
      </c>
      <c r="V195" s="17" t="str">
        <f aca="false">IF((E195="t"),H195," ")</f>
        <v> </v>
      </c>
      <c r="W195" s="17" t="str">
        <f aca="false">IF((E195="q"),H195," ")</f>
        <v> </v>
      </c>
      <c r="X195" s="17" t="str">
        <f aca="false">IF((E195="m"),H195," ")</f>
        <v> </v>
      </c>
      <c r="Y195" s="17" t="str">
        <f aca="false">IF((E195="u"),H195," ")</f>
        <v> </v>
      </c>
      <c r="Z195" s="17" t="str">
        <f aca="false">IF((E195="a"),H195," ")</f>
        <v> </v>
      </c>
      <c r="AA195" s="17" t="str">
        <f aca="false">IF((E195="g"),H195," ")</f>
        <v> </v>
      </c>
      <c r="AB195" s="17" t="str">
        <f aca="false">IF((E195="h"),H195," ")</f>
        <v> </v>
      </c>
      <c r="AC195" s="30" t="str">
        <f aca="false">IF((E195="v"),H195," ")</f>
        <v> </v>
      </c>
      <c r="AD195" s="30" t="str">
        <f aca="false">IF((E195="n"),H195," ")</f>
        <v> </v>
      </c>
      <c r="AE195" s="17" t="str">
        <f aca="false">IF((E195="f"),H195," ")</f>
        <v> </v>
      </c>
      <c r="AF195" s="17" t="str">
        <f aca="false">IF((E195="l"),H195," ")</f>
        <v> </v>
      </c>
      <c r="AG195" s="17" t="str">
        <f aca="false">IF((E195="y"),H195," ")</f>
        <v> </v>
      </c>
      <c r="AH195" s="17" t="str">
        <f aca="false">IF((E195="z"),H195," ")</f>
        <v> </v>
      </c>
      <c r="AI195" s="17" t="str">
        <f aca="false">IF((E195="fa"),H195," ")</f>
        <v> </v>
      </c>
      <c r="AJ195" s="17" t="str">
        <f aca="false">IF((E195="e"),H195," ")</f>
        <v> </v>
      </c>
    </row>
    <row r="196" customFormat="false" ht="12" hidden="false" customHeight="false" outlineLevel="0" collapsed="false">
      <c r="A196" s="28"/>
      <c r="E196" s="2" t="str">
        <f aca="false">IF((F196&lt;&gt;0),"Enter Letter"," ")</f>
        <v> </v>
      </c>
      <c r="F196" s="30"/>
      <c r="G196" s="6" t="str">
        <f aca="false">IF(F196&lt;&gt;0,F196*G$2/(100+G$2)," ")</f>
        <v> </v>
      </c>
      <c r="H196" s="6" t="str">
        <f aca="false">IF((F196&lt;&gt;0),F196-G196," ")</f>
        <v> </v>
      </c>
      <c r="I196" s="5"/>
      <c r="L196" s="7" t="str">
        <f aca="false">IF(F196&lt;&gt;0,F196-K196," ")</f>
        <v> </v>
      </c>
      <c r="M196" s="8" t="str">
        <f aca="false">IF((F196-K196)&lt;&gt;0,M$1-A196," ")</f>
        <v> </v>
      </c>
      <c r="N196" s="5"/>
      <c r="O196" s="17" t="str">
        <f aca="false">IF((E196="s"),H196," ")</f>
        <v> </v>
      </c>
      <c r="P196" s="17" t="str">
        <f aca="false">IF((E196="c"),H196," ")</f>
        <v> </v>
      </c>
      <c r="Q196" s="17" t="str">
        <f aca="false">IF((E196="o"),H196," ")</f>
        <v> </v>
      </c>
      <c r="R196" s="17" t="str">
        <f aca="false">IF((E196="d"),H196," ")</f>
        <v> </v>
      </c>
      <c r="S196" s="17" t="str">
        <f aca="false">IF((E196="w"),H196," ")</f>
        <v> </v>
      </c>
      <c r="T196" s="17" t="str">
        <f aca="false">IF((E196="r"),H196," ")</f>
        <v> </v>
      </c>
      <c r="U196" s="17" t="str">
        <f aca="false">IF((E196="p"),H196," ")</f>
        <v> </v>
      </c>
      <c r="V196" s="17" t="str">
        <f aca="false">IF((E196="t"),H196," ")</f>
        <v> </v>
      </c>
      <c r="W196" s="17" t="str">
        <f aca="false">IF((E196="q"),H196," ")</f>
        <v> </v>
      </c>
      <c r="X196" s="17" t="str">
        <f aca="false">IF((E196="m"),H196," ")</f>
        <v> </v>
      </c>
      <c r="Y196" s="17" t="str">
        <f aca="false">IF((E196="u"),H196," ")</f>
        <v> </v>
      </c>
      <c r="Z196" s="17" t="str">
        <f aca="false">IF((E196="a"),H196," ")</f>
        <v> </v>
      </c>
      <c r="AA196" s="17" t="str">
        <f aca="false">IF((E196="g"),H196," ")</f>
        <v> </v>
      </c>
      <c r="AB196" s="17" t="str">
        <f aca="false">IF((E196="h"),H196," ")</f>
        <v> </v>
      </c>
      <c r="AC196" s="30" t="str">
        <f aca="false">IF((E196="v"),H196," ")</f>
        <v> </v>
      </c>
      <c r="AD196" s="30" t="str">
        <f aca="false">IF((E196="n"),H196," ")</f>
        <v> </v>
      </c>
      <c r="AE196" s="17" t="str">
        <f aca="false">IF((E196="f"),H196," ")</f>
        <v> </v>
      </c>
      <c r="AF196" s="17" t="str">
        <f aca="false">IF((E196="l"),H196," ")</f>
        <v> </v>
      </c>
      <c r="AG196" s="17" t="str">
        <f aca="false">IF((E196="y"),H196," ")</f>
        <v> </v>
      </c>
      <c r="AH196" s="17" t="str">
        <f aca="false">IF((E196="z"),H196," ")</f>
        <v> </v>
      </c>
      <c r="AI196" s="17" t="str">
        <f aca="false">IF((E196="fa"),H196," ")</f>
        <v> </v>
      </c>
      <c r="AJ196" s="17" t="str">
        <f aca="false">IF((E196="e"),H196," ")</f>
        <v> </v>
      </c>
    </row>
    <row r="197" customFormat="false" ht="12" hidden="false" customHeight="false" outlineLevel="0" collapsed="false">
      <c r="A197" s="28"/>
      <c r="E197" s="2" t="str">
        <f aca="false">IF((F197&lt;&gt;0),"Enter Letter"," ")</f>
        <v> </v>
      </c>
      <c r="F197" s="30"/>
      <c r="G197" s="6" t="str">
        <f aca="false">IF(F197&lt;&gt;0,F197*G$2/(100+G$2)," ")</f>
        <v> </v>
      </c>
      <c r="H197" s="6" t="str">
        <f aca="false">IF((F197&lt;&gt;0),F197-G197," ")</f>
        <v> </v>
      </c>
      <c r="I197" s="5"/>
      <c r="L197" s="7" t="str">
        <f aca="false">IF(F197&lt;&gt;0,F197-K197," ")</f>
        <v> </v>
      </c>
      <c r="M197" s="8" t="str">
        <f aca="false">IF((F197-K197)&lt;&gt;0,M$1-A197," ")</f>
        <v> </v>
      </c>
      <c r="N197" s="5"/>
      <c r="O197" s="17" t="str">
        <f aca="false">IF((E197="s"),H197," ")</f>
        <v> </v>
      </c>
      <c r="P197" s="17" t="str">
        <f aca="false">IF((E197="c"),H197," ")</f>
        <v> </v>
      </c>
      <c r="Q197" s="17" t="str">
        <f aca="false">IF((E197="o"),H197," ")</f>
        <v> </v>
      </c>
      <c r="R197" s="17" t="str">
        <f aca="false">IF((E197="d"),H197," ")</f>
        <v> </v>
      </c>
      <c r="S197" s="17" t="str">
        <f aca="false">IF((E197="w"),H197," ")</f>
        <v> </v>
      </c>
      <c r="T197" s="17" t="str">
        <f aca="false">IF((E197="r"),H197," ")</f>
        <v> </v>
      </c>
      <c r="U197" s="17" t="str">
        <f aca="false">IF((E197="p"),H197," ")</f>
        <v> </v>
      </c>
      <c r="V197" s="17" t="str">
        <f aca="false">IF((E197="t"),H197," ")</f>
        <v> </v>
      </c>
      <c r="W197" s="17" t="str">
        <f aca="false">IF((E197="q"),H197," ")</f>
        <v> </v>
      </c>
      <c r="X197" s="17" t="str">
        <f aca="false">IF((E197="m"),H197," ")</f>
        <v> </v>
      </c>
      <c r="Y197" s="17" t="str">
        <f aca="false">IF((E197="u"),H197," ")</f>
        <v> </v>
      </c>
      <c r="Z197" s="17" t="str">
        <f aca="false">IF((E197="a"),H197," ")</f>
        <v> </v>
      </c>
      <c r="AA197" s="17" t="str">
        <f aca="false">IF((E197="g"),H197," ")</f>
        <v> </v>
      </c>
      <c r="AB197" s="17" t="str">
        <f aca="false">IF((E197="h"),H197," ")</f>
        <v> </v>
      </c>
      <c r="AC197" s="30" t="str">
        <f aca="false">IF((E197="v"),H197," ")</f>
        <v> </v>
      </c>
      <c r="AD197" s="30" t="str">
        <f aca="false">IF((E197="n"),H197," ")</f>
        <v> </v>
      </c>
      <c r="AE197" s="17" t="str">
        <f aca="false">IF((E197="f"),H197," ")</f>
        <v> </v>
      </c>
      <c r="AF197" s="17" t="str">
        <f aca="false">IF((E197="l"),H197," ")</f>
        <v> </v>
      </c>
      <c r="AG197" s="17" t="str">
        <f aca="false">IF((E197="y"),H197," ")</f>
        <v> </v>
      </c>
      <c r="AH197" s="17" t="str">
        <f aca="false">IF((E197="z"),H197," ")</f>
        <v> </v>
      </c>
      <c r="AI197" s="17" t="str">
        <f aca="false">IF((E197="fa"),H197," ")</f>
        <v> </v>
      </c>
      <c r="AJ197" s="17" t="str">
        <f aca="false">IF((E197="e"),H197," ")</f>
        <v> </v>
      </c>
    </row>
    <row r="198" customFormat="false" ht="12" hidden="false" customHeight="false" outlineLevel="0" collapsed="false">
      <c r="A198" s="28"/>
      <c r="E198" s="2" t="str">
        <f aca="false">IF((F198&lt;&gt;0),"Enter Letter"," ")</f>
        <v> </v>
      </c>
      <c r="F198" s="30"/>
      <c r="G198" s="6" t="str">
        <f aca="false">IF(F198&lt;&gt;0,F198*G$2/(100+G$2)," ")</f>
        <v> </v>
      </c>
      <c r="H198" s="6" t="str">
        <f aca="false">IF((F198&lt;&gt;0),F198-G198," ")</f>
        <v> </v>
      </c>
      <c r="I198" s="5"/>
      <c r="L198" s="7" t="str">
        <f aca="false">IF(F198&lt;&gt;0,F198-K198," ")</f>
        <v> </v>
      </c>
      <c r="M198" s="8" t="str">
        <f aca="false">IF((F198-K198)&lt;&gt;0,M$1-A198," ")</f>
        <v> </v>
      </c>
      <c r="N198" s="5"/>
      <c r="O198" s="17" t="str">
        <f aca="false">IF((E198="s"),H198," ")</f>
        <v> </v>
      </c>
      <c r="P198" s="17" t="str">
        <f aca="false">IF((E198="c"),H198," ")</f>
        <v> </v>
      </c>
      <c r="Q198" s="17" t="str">
        <f aca="false">IF((E198="o"),H198," ")</f>
        <v> </v>
      </c>
      <c r="R198" s="17" t="str">
        <f aca="false">IF((E198="d"),H198," ")</f>
        <v> </v>
      </c>
      <c r="S198" s="17" t="str">
        <f aca="false">IF((E198="w"),H198," ")</f>
        <v> </v>
      </c>
      <c r="T198" s="17" t="str">
        <f aca="false">IF((E198="r"),H198," ")</f>
        <v> </v>
      </c>
      <c r="U198" s="17" t="str">
        <f aca="false">IF((E198="p"),H198," ")</f>
        <v> </v>
      </c>
      <c r="V198" s="17" t="str">
        <f aca="false">IF((E198="t"),H198," ")</f>
        <v> </v>
      </c>
      <c r="W198" s="17" t="str">
        <f aca="false">IF((E198="q"),H198," ")</f>
        <v> </v>
      </c>
      <c r="X198" s="17" t="str">
        <f aca="false">IF((E198="m"),H198," ")</f>
        <v> </v>
      </c>
      <c r="Y198" s="17" t="str">
        <f aca="false">IF((E198="u"),H198," ")</f>
        <v> </v>
      </c>
      <c r="Z198" s="17" t="str">
        <f aca="false">IF((E198="a"),H198," ")</f>
        <v> </v>
      </c>
      <c r="AA198" s="17" t="str">
        <f aca="false">IF((E198="g"),H198," ")</f>
        <v> </v>
      </c>
      <c r="AB198" s="17" t="str">
        <f aca="false">IF((E198="h"),H198," ")</f>
        <v> </v>
      </c>
      <c r="AC198" s="30" t="str">
        <f aca="false">IF((E198="v"),H198," ")</f>
        <v> </v>
      </c>
      <c r="AD198" s="30" t="str">
        <f aca="false">IF((E198="n"),H198," ")</f>
        <v> </v>
      </c>
      <c r="AE198" s="17" t="str">
        <f aca="false">IF((E198="f"),H198," ")</f>
        <v> </v>
      </c>
      <c r="AF198" s="17" t="str">
        <f aca="false">IF((E198="l"),H198," ")</f>
        <v> </v>
      </c>
      <c r="AG198" s="17" t="str">
        <f aca="false">IF((E198="y"),H198," ")</f>
        <v> </v>
      </c>
      <c r="AH198" s="17" t="str">
        <f aca="false">IF((E198="z"),H198," ")</f>
        <v> </v>
      </c>
      <c r="AI198" s="17" t="str">
        <f aca="false">IF((E198="fa"),H198," ")</f>
        <v> </v>
      </c>
      <c r="AJ198" s="17" t="str">
        <f aca="false">IF((E198="e"),H198," ")</f>
        <v> </v>
      </c>
    </row>
    <row r="199" customFormat="false" ht="12" hidden="false" customHeight="false" outlineLevel="0" collapsed="false">
      <c r="A199" s="28"/>
      <c r="E199" s="2" t="str">
        <f aca="false">IF((F199&lt;&gt;0),"Enter Letter"," ")</f>
        <v> </v>
      </c>
      <c r="F199" s="30"/>
      <c r="G199" s="6" t="str">
        <f aca="false">IF(F199&lt;&gt;0,F199*G$2/(100+G$2)," ")</f>
        <v> </v>
      </c>
      <c r="H199" s="6" t="str">
        <f aca="false">IF((F199&lt;&gt;0),F199-G199," ")</f>
        <v> </v>
      </c>
      <c r="I199" s="5"/>
      <c r="L199" s="7" t="str">
        <f aca="false">IF(F199&lt;&gt;0,F199-K199," ")</f>
        <v> </v>
      </c>
      <c r="M199" s="8" t="str">
        <f aca="false">IF((F199-K199)&lt;&gt;0,M$1-A199," ")</f>
        <v> </v>
      </c>
      <c r="N199" s="5"/>
      <c r="O199" s="17" t="str">
        <f aca="false">IF((E199="s"),H199," ")</f>
        <v> </v>
      </c>
      <c r="P199" s="17" t="str">
        <f aca="false">IF((E199="c"),H199," ")</f>
        <v> </v>
      </c>
      <c r="Q199" s="17" t="str">
        <f aca="false">IF((E199="o"),H199," ")</f>
        <v> </v>
      </c>
      <c r="R199" s="17" t="str">
        <f aca="false">IF((E199="d"),H199," ")</f>
        <v> </v>
      </c>
      <c r="S199" s="17" t="str">
        <f aca="false">IF((E199="w"),H199," ")</f>
        <v> </v>
      </c>
      <c r="T199" s="17" t="str">
        <f aca="false">IF((E199="r"),H199," ")</f>
        <v> </v>
      </c>
      <c r="U199" s="17" t="str">
        <f aca="false">IF((E199="p"),H199," ")</f>
        <v> </v>
      </c>
      <c r="V199" s="17" t="str">
        <f aca="false">IF((E199="t"),H199," ")</f>
        <v> </v>
      </c>
      <c r="W199" s="17" t="str">
        <f aca="false">IF((E199="q"),H199," ")</f>
        <v> </v>
      </c>
      <c r="X199" s="17" t="str">
        <f aca="false">IF((E199="m"),H199," ")</f>
        <v> </v>
      </c>
      <c r="Y199" s="17" t="str">
        <f aca="false">IF((E199="u"),H199," ")</f>
        <v> </v>
      </c>
      <c r="Z199" s="17" t="str">
        <f aca="false">IF((E199="a"),H199," ")</f>
        <v> </v>
      </c>
      <c r="AA199" s="17" t="str">
        <f aca="false">IF((E199="g"),H199," ")</f>
        <v> </v>
      </c>
      <c r="AB199" s="17" t="str">
        <f aca="false">IF((E199="h"),H199," ")</f>
        <v> </v>
      </c>
      <c r="AC199" s="30" t="str">
        <f aca="false">IF((E199="v"),H199," ")</f>
        <v> </v>
      </c>
      <c r="AD199" s="30" t="str">
        <f aca="false">IF((E199="n"),H199," ")</f>
        <v> </v>
      </c>
      <c r="AE199" s="17" t="str">
        <f aca="false">IF((E199="f"),H199," ")</f>
        <v> </v>
      </c>
      <c r="AF199" s="17" t="str">
        <f aca="false">IF((E199="l"),H199," ")</f>
        <v> </v>
      </c>
      <c r="AG199" s="17" t="str">
        <f aca="false">IF((E199="y"),H199," ")</f>
        <v> </v>
      </c>
      <c r="AH199" s="17" t="str">
        <f aca="false">IF((E199="z"),H199," ")</f>
        <v> </v>
      </c>
      <c r="AI199" s="17" t="str">
        <f aca="false">IF((E199="fa"),H199," ")</f>
        <v> </v>
      </c>
      <c r="AJ199" s="17" t="str">
        <f aca="false">IF((E199="e"),H199," ")</f>
        <v> </v>
      </c>
    </row>
    <row r="200" customFormat="false" ht="12" hidden="false" customHeight="false" outlineLevel="0" collapsed="false">
      <c r="A200" s="28"/>
      <c r="E200" s="2" t="str">
        <f aca="false">IF((F200&lt;&gt;0),"Enter Letter"," ")</f>
        <v> </v>
      </c>
      <c r="F200" s="30"/>
      <c r="G200" s="6" t="str">
        <f aca="false">IF(F200&lt;&gt;0,F200*G$2/(100+G$2)," ")</f>
        <v> </v>
      </c>
      <c r="H200" s="6" t="str">
        <f aca="false">IF((F200&lt;&gt;0),F200-G200," ")</f>
        <v> </v>
      </c>
      <c r="I200" s="5"/>
      <c r="L200" s="7" t="str">
        <f aca="false">IF(F200&lt;&gt;0,F200-K200," ")</f>
        <v> </v>
      </c>
      <c r="M200" s="8" t="str">
        <f aca="false">IF((F200-K200)&lt;&gt;0,M$1-A200," ")</f>
        <v> </v>
      </c>
      <c r="N200" s="5"/>
      <c r="O200" s="17" t="str">
        <f aca="false">IF((E200="s"),H200," ")</f>
        <v> </v>
      </c>
      <c r="P200" s="17" t="str">
        <f aca="false">IF((E200="c"),H200," ")</f>
        <v> </v>
      </c>
      <c r="Q200" s="17" t="str">
        <f aca="false">IF((E200="o"),H200," ")</f>
        <v> </v>
      </c>
      <c r="R200" s="17" t="str">
        <f aca="false">IF((E200="d"),H200," ")</f>
        <v> </v>
      </c>
      <c r="S200" s="17" t="str">
        <f aca="false">IF((E200="w"),H200," ")</f>
        <v> </v>
      </c>
      <c r="T200" s="17" t="str">
        <f aca="false">IF((E200="r"),H200," ")</f>
        <v> </v>
      </c>
      <c r="U200" s="17" t="str">
        <f aca="false">IF((E200="p"),H200," ")</f>
        <v> </v>
      </c>
      <c r="V200" s="17" t="str">
        <f aca="false">IF((E200="t"),H200," ")</f>
        <v> </v>
      </c>
      <c r="W200" s="17" t="str">
        <f aca="false">IF((E200="q"),H200," ")</f>
        <v> </v>
      </c>
      <c r="X200" s="17" t="str">
        <f aca="false">IF((E200="m"),H200," ")</f>
        <v> </v>
      </c>
      <c r="Y200" s="17" t="str">
        <f aca="false">IF((E200="u"),H200," ")</f>
        <v> </v>
      </c>
      <c r="Z200" s="17" t="str">
        <f aca="false">IF((E200="a"),H200," ")</f>
        <v> </v>
      </c>
      <c r="AA200" s="17" t="str">
        <f aca="false">IF((E200="g"),H200," ")</f>
        <v> </v>
      </c>
      <c r="AB200" s="17" t="str">
        <f aca="false">IF((E200="h"),H200," ")</f>
        <v> </v>
      </c>
      <c r="AC200" s="30" t="str">
        <f aca="false">IF((E200="v"),H200," ")</f>
        <v> </v>
      </c>
      <c r="AD200" s="30" t="str">
        <f aca="false">IF((E200="n"),H200," ")</f>
        <v> </v>
      </c>
      <c r="AE200" s="17" t="str">
        <f aca="false">IF((E200="f"),H200," ")</f>
        <v> </v>
      </c>
      <c r="AF200" s="17" t="str">
        <f aca="false">IF((E200="l"),H200," ")</f>
        <v> </v>
      </c>
      <c r="AG200" s="17" t="str">
        <f aca="false">IF((E200="y"),H200," ")</f>
        <v> </v>
      </c>
      <c r="AH200" s="17" t="str">
        <f aca="false">IF((E200="z"),H200," ")</f>
        <v> </v>
      </c>
      <c r="AI200" s="17" t="str">
        <f aca="false">IF((E200="fa"),H200," ")</f>
        <v> </v>
      </c>
      <c r="AJ200" s="17" t="str">
        <f aca="false">IF((E200="e"),H200," ")</f>
        <v> </v>
      </c>
    </row>
    <row r="201" customFormat="false" ht="12" hidden="false" customHeight="false" outlineLevel="0" collapsed="false">
      <c r="A201" s="28"/>
      <c r="E201" s="2" t="str">
        <f aca="false">IF((F201&lt;&gt;0),"Enter Letter"," ")</f>
        <v> </v>
      </c>
      <c r="F201" s="30"/>
      <c r="G201" s="6" t="str">
        <f aca="false">IF(F201&lt;&gt;0,F201*G$2/(100+G$2)," ")</f>
        <v> </v>
      </c>
      <c r="H201" s="6" t="str">
        <f aca="false">IF((F201&lt;&gt;0),F201-G201," ")</f>
        <v> </v>
      </c>
      <c r="I201" s="5"/>
      <c r="L201" s="7" t="str">
        <f aca="false">IF(F201&lt;&gt;0,F201-K201," ")</f>
        <v> </v>
      </c>
      <c r="M201" s="8" t="str">
        <f aca="false">IF((F201-K201)&lt;&gt;0,M$1-A201," ")</f>
        <v> </v>
      </c>
      <c r="N201" s="5"/>
      <c r="O201" s="17" t="str">
        <f aca="false">IF((E201="s"),H201," ")</f>
        <v> </v>
      </c>
      <c r="P201" s="17" t="str">
        <f aca="false">IF((E201="c"),H201," ")</f>
        <v> </v>
      </c>
      <c r="Q201" s="17" t="str">
        <f aca="false">IF((E201="o"),H201," ")</f>
        <v> </v>
      </c>
      <c r="R201" s="17" t="str">
        <f aca="false">IF((E201="d"),H201," ")</f>
        <v> </v>
      </c>
      <c r="S201" s="17" t="str">
        <f aca="false">IF((E201="w"),H201," ")</f>
        <v> </v>
      </c>
      <c r="T201" s="17" t="str">
        <f aca="false">IF((E201="r"),H201," ")</f>
        <v> </v>
      </c>
      <c r="U201" s="17" t="str">
        <f aca="false">IF((E201="p"),H201," ")</f>
        <v> </v>
      </c>
      <c r="V201" s="17" t="str">
        <f aca="false">IF((E201="t"),H201," ")</f>
        <v> </v>
      </c>
      <c r="W201" s="17" t="str">
        <f aca="false">IF((E201="q"),H201," ")</f>
        <v> </v>
      </c>
      <c r="X201" s="17" t="str">
        <f aca="false">IF((E201="m"),H201," ")</f>
        <v> </v>
      </c>
      <c r="Y201" s="17" t="str">
        <f aca="false">IF((E201="u"),H201," ")</f>
        <v> </v>
      </c>
      <c r="Z201" s="17" t="str">
        <f aca="false">IF((E201="a"),H201," ")</f>
        <v> </v>
      </c>
      <c r="AA201" s="17" t="str">
        <f aca="false">IF((E201="g"),H201," ")</f>
        <v> </v>
      </c>
      <c r="AB201" s="17" t="str">
        <f aca="false">IF((E201="h"),H201," ")</f>
        <v> </v>
      </c>
      <c r="AC201" s="30" t="str">
        <f aca="false">IF((E201="v"),H201," ")</f>
        <v> </v>
      </c>
      <c r="AD201" s="30" t="str">
        <f aca="false">IF((E201="n"),H201," ")</f>
        <v> </v>
      </c>
      <c r="AE201" s="17" t="str">
        <f aca="false">IF((E201="f"),H201," ")</f>
        <v> </v>
      </c>
      <c r="AF201" s="17" t="str">
        <f aca="false">IF((E201="l"),H201," ")</f>
        <v> </v>
      </c>
      <c r="AG201" s="17" t="str">
        <f aca="false">IF((E201="y"),H201," ")</f>
        <v> </v>
      </c>
      <c r="AH201" s="17" t="str">
        <f aca="false">IF((E201="z"),H201," ")</f>
        <v> </v>
      </c>
      <c r="AI201" s="17" t="str">
        <f aca="false">IF((E201="fa"),H201," ")</f>
        <v> </v>
      </c>
      <c r="AJ201" s="17" t="str">
        <f aca="false">IF((E201="e"),H201," ")</f>
        <v> </v>
      </c>
    </row>
    <row r="202" customFormat="false" ht="12" hidden="false" customHeight="false" outlineLevel="0" collapsed="false">
      <c r="A202" s="28"/>
      <c r="E202" s="2" t="str">
        <f aca="false">IF((F202&lt;&gt;0),"Enter Letter"," ")</f>
        <v> </v>
      </c>
      <c r="F202" s="30"/>
      <c r="G202" s="6" t="str">
        <f aca="false">IF(F202&lt;&gt;0,F202*G$2/(100+G$2)," ")</f>
        <v> </v>
      </c>
      <c r="H202" s="6" t="str">
        <f aca="false">IF((F202&lt;&gt;0),F202-G202," ")</f>
        <v> </v>
      </c>
      <c r="I202" s="5"/>
      <c r="L202" s="7" t="str">
        <f aca="false">IF(F202&lt;&gt;0,F202-K202," ")</f>
        <v> </v>
      </c>
      <c r="M202" s="8" t="str">
        <f aca="false">IF((F202-K202)&lt;&gt;0,M$1-A202," ")</f>
        <v> </v>
      </c>
      <c r="N202" s="5"/>
      <c r="O202" s="17" t="str">
        <f aca="false">IF((E202="s"),H202," ")</f>
        <v> </v>
      </c>
      <c r="P202" s="17" t="str">
        <f aca="false">IF((E202="c"),H202," ")</f>
        <v> </v>
      </c>
      <c r="Q202" s="17" t="str">
        <f aca="false">IF((E202="o"),H202," ")</f>
        <v> </v>
      </c>
      <c r="R202" s="17" t="str">
        <f aca="false">IF((E202="d"),H202," ")</f>
        <v> </v>
      </c>
      <c r="S202" s="17" t="str">
        <f aca="false">IF((E202="w"),H202," ")</f>
        <v> </v>
      </c>
      <c r="T202" s="17" t="str">
        <f aca="false">IF((E202="r"),H202," ")</f>
        <v> </v>
      </c>
      <c r="U202" s="17" t="str">
        <f aca="false">IF((E202="p"),H202," ")</f>
        <v> </v>
      </c>
      <c r="V202" s="17" t="str">
        <f aca="false">IF((E202="t"),H202," ")</f>
        <v> </v>
      </c>
      <c r="W202" s="17" t="str">
        <f aca="false">IF((E202="q"),H202," ")</f>
        <v> </v>
      </c>
      <c r="X202" s="17" t="str">
        <f aca="false">IF((E202="m"),H202," ")</f>
        <v> </v>
      </c>
      <c r="Y202" s="17" t="str">
        <f aca="false">IF((E202="u"),H202," ")</f>
        <v> </v>
      </c>
      <c r="Z202" s="17" t="str">
        <f aca="false">IF((E202="a"),H202," ")</f>
        <v> </v>
      </c>
      <c r="AA202" s="17" t="str">
        <f aca="false">IF((E202="g"),H202," ")</f>
        <v> </v>
      </c>
      <c r="AB202" s="17" t="str">
        <f aca="false">IF((E202="h"),H202," ")</f>
        <v> </v>
      </c>
      <c r="AC202" s="30" t="str">
        <f aca="false">IF((E202="v"),H202," ")</f>
        <v> </v>
      </c>
      <c r="AD202" s="30" t="str">
        <f aca="false">IF((E202="n"),H202," ")</f>
        <v> </v>
      </c>
      <c r="AE202" s="17" t="str">
        <f aca="false">IF((E202="f"),H202," ")</f>
        <v> </v>
      </c>
      <c r="AF202" s="17" t="str">
        <f aca="false">IF((E202="l"),H202," ")</f>
        <v> </v>
      </c>
      <c r="AG202" s="17" t="str">
        <f aca="false">IF((E202="y"),H202," ")</f>
        <v> </v>
      </c>
      <c r="AH202" s="17" t="str">
        <f aca="false">IF((E202="z"),H202," ")</f>
        <v> </v>
      </c>
      <c r="AI202" s="17" t="str">
        <f aca="false">IF((E202="fa"),H202," ")</f>
        <v> </v>
      </c>
      <c r="AJ202" s="17" t="str">
        <f aca="false">IF((E202="e"),H202," ")</f>
        <v> </v>
      </c>
    </row>
    <row r="203" customFormat="false" ht="12" hidden="false" customHeight="false" outlineLevel="0" collapsed="false">
      <c r="A203" s="28"/>
      <c r="E203" s="2" t="str">
        <f aca="false">IF((F203&lt;&gt;0),"Enter Letter"," ")</f>
        <v> </v>
      </c>
      <c r="F203" s="30"/>
      <c r="G203" s="6" t="str">
        <f aca="false">IF(F203&lt;&gt;0,F203*G$2/(100+G$2)," ")</f>
        <v> </v>
      </c>
      <c r="H203" s="6" t="str">
        <f aca="false">IF((F203&lt;&gt;0),F203-G203," ")</f>
        <v> </v>
      </c>
      <c r="I203" s="5"/>
      <c r="L203" s="7" t="str">
        <f aca="false">IF(F203&lt;&gt;0,F203-K203," ")</f>
        <v> </v>
      </c>
      <c r="M203" s="8" t="str">
        <f aca="false">IF((F203-K203)&lt;&gt;0,M$1-A203," ")</f>
        <v> </v>
      </c>
      <c r="N203" s="5"/>
      <c r="O203" s="17" t="str">
        <f aca="false">IF((E203="s"),H203," ")</f>
        <v> </v>
      </c>
      <c r="P203" s="17" t="str">
        <f aca="false">IF((E203="c"),H203," ")</f>
        <v> </v>
      </c>
      <c r="Q203" s="17" t="str">
        <f aca="false">IF((E203="o"),H203," ")</f>
        <v> </v>
      </c>
      <c r="R203" s="17" t="str">
        <f aca="false">IF((E203="d"),H203," ")</f>
        <v> </v>
      </c>
      <c r="S203" s="17" t="str">
        <f aca="false">IF((E203="w"),H203," ")</f>
        <v> </v>
      </c>
      <c r="T203" s="17" t="str">
        <f aca="false">IF((E203="r"),H203," ")</f>
        <v> </v>
      </c>
      <c r="U203" s="17" t="str">
        <f aca="false">IF((E203="p"),H203," ")</f>
        <v> </v>
      </c>
      <c r="V203" s="17" t="str">
        <f aca="false">IF((E203="t"),H203," ")</f>
        <v> </v>
      </c>
      <c r="W203" s="17" t="str">
        <f aca="false">IF((E203="q"),H203," ")</f>
        <v> </v>
      </c>
      <c r="X203" s="17" t="str">
        <f aca="false">IF((E203="m"),H203," ")</f>
        <v> </v>
      </c>
      <c r="Y203" s="17" t="str">
        <f aca="false">IF((E203="u"),H203," ")</f>
        <v> </v>
      </c>
      <c r="Z203" s="17" t="str">
        <f aca="false">IF((E203="a"),H203," ")</f>
        <v> </v>
      </c>
      <c r="AA203" s="17" t="str">
        <f aca="false">IF((E203="g"),H203," ")</f>
        <v> </v>
      </c>
      <c r="AB203" s="17" t="str">
        <f aca="false">IF((E203="h"),H203," ")</f>
        <v> </v>
      </c>
      <c r="AC203" s="30" t="str">
        <f aca="false">IF((E203="v"),H203," ")</f>
        <v> </v>
      </c>
      <c r="AD203" s="30" t="str">
        <f aca="false">IF((E203="n"),H203," ")</f>
        <v> </v>
      </c>
      <c r="AE203" s="17" t="str">
        <f aca="false">IF((E203="f"),H203," ")</f>
        <v> </v>
      </c>
      <c r="AF203" s="17" t="str">
        <f aca="false">IF((E203="l"),H203," ")</f>
        <v> </v>
      </c>
      <c r="AG203" s="17" t="str">
        <f aca="false">IF((E203="y"),H203," ")</f>
        <v> </v>
      </c>
      <c r="AH203" s="17" t="str">
        <f aca="false">IF((E203="z"),H203," ")</f>
        <v> </v>
      </c>
      <c r="AI203" s="17" t="str">
        <f aca="false">IF((E203="fa"),H203," ")</f>
        <v> </v>
      </c>
      <c r="AJ203" s="17" t="str">
        <f aca="false">IF((E203="e"),H203," ")</f>
        <v> </v>
      </c>
    </row>
    <row r="204" customFormat="false" ht="12" hidden="false" customHeight="false" outlineLevel="0" collapsed="false">
      <c r="A204" s="28"/>
      <c r="E204" s="2" t="str">
        <f aca="false">IF((F204&lt;&gt;0),"Enter Letter"," ")</f>
        <v> </v>
      </c>
      <c r="F204" s="30"/>
      <c r="G204" s="6" t="str">
        <f aca="false">IF(F204&lt;&gt;0,F204*G$2/(100+G$2)," ")</f>
        <v> </v>
      </c>
      <c r="H204" s="6" t="str">
        <f aca="false">IF((F204&lt;&gt;0),F204-G204," ")</f>
        <v> </v>
      </c>
      <c r="I204" s="5"/>
      <c r="L204" s="7" t="str">
        <f aca="false">IF(F204&lt;&gt;0,F204-K204," ")</f>
        <v> </v>
      </c>
      <c r="M204" s="8" t="str">
        <f aca="false">IF((F204-K204)&lt;&gt;0,M$1-A204," ")</f>
        <v> </v>
      </c>
      <c r="N204" s="5"/>
      <c r="O204" s="17" t="str">
        <f aca="false">IF((E204="s"),H204," ")</f>
        <v> </v>
      </c>
      <c r="P204" s="17" t="str">
        <f aca="false">IF((E204="c"),H204," ")</f>
        <v> </v>
      </c>
      <c r="Q204" s="17" t="str">
        <f aca="false">IF((E204="o"),H204," ")</f>
        <v> </v>
      </c>
      <c r="R204" s="17" t="str">
        <f aca="false">IF((E204="d"),H204," ")</f>
        <v> </v>
      </c>
      <c r="S204" s="17" t="str">
        <f aca="false">IF((E204="w"),H204," ")</f>
        <v> </v>
      </c>
      <c r="T204" s="17" t="str">
        <f aca="false">IF((E204="r"),H204," ")</f>
        <v> </v>
      </c>
      <c r="U204" s="17" t="str">
        <f aca="false">IF((E204="p"),H204," ")</f>
        <v> </v>
      </c>
      <c r="V204" s="17" t="str">
        <f aca="false">IF((E204="t"),H204," ")</f>
        <v> </v>
      </c>
      <c r="W204" s="17" t="str">
        <f aca="false">IF((E204="q"),H204," ")</f>
        <v> </v>
      </c>
      <c r="X204" s="17" t="str">
        <f aca="false">IF((E204="m"),H204," ")</f>
        <v> </v>
      </c>
      <c r="Y204" s="17" t="str">
        <f aca="false">IF((E204="u"),H204," ")</f>
        <v> </v>
      </c>
      <c r="Z204" s="17" t="str">
        <f aca="false">IF((E204="a"),H204," ")</f>
        <v> </v>
      </c>
      <c r="AA204" s="17" t="str">
        <f aca="false">IF((E204="g"),H204," ")</f>
        <v> </v>
      </c>
      <c r="AB204" s="17" t="str">
        <f aca="false">IF((E204="h"),H204," ")</f>
        <v> </v>
      </c>
      <c r="AC204" s="30" t="str">
        <f aca="false">IF((E204="v"),H204," ")</f>
        <v> </v>
      </c>
      <c r="AD204" s="30" t="str">
        <f aca="false">IF((E204="n"),H204," ")</f>
        <v> </v>
      </c>
      <c r="AE204" s="17" t="str">
        <f aca="false">IF((E204="f"),H204," ")</f>
        <v> </v>
      </c>
      <c r="AF204" s="17" t="str">
        <f aca="false">IF((E204="l"),H204," ")</f>
        <v> </v>
      </c>
      <c r="AG204" s="17" t="str">
        <f aca="false">IF((E204="y"),H204," ")</f>
        <v> </v>
      </c>
      <c r="AH204" s="17" t="str">
        <f aca="false">IF((E204="z"),H204," ")</f>
        <v> </v>
      </c>
      <c r="AI204" s="17" t="str">
        <f aca="false">IF((E204="fa"),H204," ")</f>
        <v> </v>
      </c>
      <c r="AJ204" s="17" t="str">
        <f aca="false">IF((E204="e"),H204," ")</f>
        <v> </v>
      </c>
    </row>
    <row r="205" customFormat="false" ht="12" hidden="false" customHeight="false" outlineLevel="0" collapsed="false">
      <c r="A205" s="28"/>
      <c r="E205" s="2" t="str">
        <f aca="false">IF((F205&lt;&gt;0),"Enter Letter"," ")</f>
        <v> </v>
      </c>
      <c r="F205" s="30"/>
      <c r="G205" s="6" t="str">
        <f aca="false">IF(F205&lt;&gt;0,F205*G$2/(100+G$2)," ")</f>
        <v> </v>
      </c>
      <c r="H205" s="6" t="str">
        <f aca="false">IF((F205&lt;&gt;0),F205-G205," ")</f>
        <v> </v>
      </c>
      <c r="I205" s="5"/>
      <c r="L205" s="7" t="str">
        <f aca="false">IF(F205&lt;&gt;0,F205-K205," ")</f>
        <v> </v>
      </c>
      <c r="M205" s="8" t="str">
        <f aca="false">IF((F205-K205)&lt;&gt;0,M$1-A205," ")</f>
        <v> </v>
      </c>
      <c r="N205" s="5"/>
      <c r="O205" s="17" t="str">
        <f aca="false">IF((E205="s"),H205," ")</f>
        <v> </v>
      </c>
      <c r="P205" s="17" t="str">
        <f aca="false">IF((E205="c"),H205," ")</f>
        <v> </v>
      </c>
      <c r="Q205" s="17" t="str">
        <f aca="false">IF((E205="o"),H205," ")</f>
        <v> </v>
      </c>
      <c r="R205" s="17" t="str">
        <f aca="false">IF((E205="d"),H205," ")</f>
        <v> </v>
      </c>
      <c r="S205" s="17" t="str">
        <f aca="false">IF((E205="w"),H205," ")</f>
        <v> </v>
      </c>
      <c r="T205" s="17" t="str">
        <f aca="false">IF((E205="r"),H205," ")</f>
        <v> </v>
      </c>
      <c r="U205" s="17" t="str">
        <f aca="false">IF((E205="p"),H205," ")</f>
        <v> </v>
      </c>
      <c r="V205" s="17" t="str">
        <f aca="false">IF((E205="t"),H205," ")</f>
        <v> </v>
      </c>
      <c r="W205" s="17" t="str">
        <f aca="false">IF((E205="q"),H205," ")</f>
        <v> </v>
      </c>
      <c r="X205" s="17" t="str">
        <f aca="false">IF((E205="m"),H205," ")</f>
        <v> </v>
      </c>
      <c r="Y205" s="17" t="str">
        <f aca="false">IF((E205="u"),H205," ")</f>
        <v> </v>
      </c>
      <c r="Z205" s="17" t="str">
        <f aca="false">IF((E205="a"),H205," ")</f>
        <v> </v>
      </c>
      <c r="AA205" s="17" t="str">
        <f aca="false">IF((E205="g"),H205," ")</f>
        <v> </v>
      </c>
      <c r="AB205" s="17" t="str">
        <f aca="false">IF((E205="h"),H205," ")</f>
        <v> </v>
      </c>
      <c r="AC205" s="30" t="str">
        <f aca="false">IF((E205="v"),H205," ")</f>
        <v> </v>
      </c>
      <c r="AD205" s="30" t="str">
        <f aca="false">IF((E205="n"),H205," ")</f>
        <v> </v>
      </c>
      <c r="AE205" s="17" t="str">
        <f aca="false">IF((E205="f"),H205," ")</f>
        <v> </v>
      </c>
      <c r="AF205" s="17" t="str">
        <f aca="false">IF((E205="l"),H205," ")</f>
        <v> </v>
      </c>
      <c r="AG205" s="17" t="str">
        <f aca="false">IF((E205="y"),H205," ")</f>
        <v> </v>
      </c>
      <c r="AH205" s="17" t="str">
        <f aca="false">IF((E205="z"),H205," ")</f>
        <v> </v>
      </c>
      <c r="AI205" s="17" t="str">
        <f aca="false">IF((E205="fa"),H205," ")</f>
        <v> </v>
      </c>
      <c r="AJ205" s="17" t="str">
        <f aca="false">IF((E205="e"),H205," ")</f>
        <v> </v>
      </c>
    </row>
    <row r="206" customFormat="false" ht="12" hidden="false" customHeight="false" outlineLevel="0" collapsed="false">
      <c r="A206" s="28"/>
      <c r="E206" s="2" t="str">
        <f aca="false">IF((F206&lt;&gt;0),"Enter Letter"," ")</f>
        <v> </v>
      </c>
      <c r="F206" s="30"/>
      <c r="G206" s="6" t="str">
        <f aca="false">IF(F206&lt;&gt;0,F206*G$2/(100+G$2)," ")</f>
        <v> </v>
      </c>
      <c r="H206" s="6" t="str">
        <f aca="false">IF((F206&lt;&gt;0),F206-G206," ")</f>
        <v> </v>
      </c>
      <c r="I206" s="5"/>
      <c r="L206" s="7" t="str">
        <f aca="false">IF(F206&lt;&gt;0,F206-K206," ")</f>
        <v> </v>
      </c>
      <c r="M206" s="8" t="str">
        <f aca="false">IF((F206-K206)&lt;&gt;0,M$1-A206," ")</f>
        <v> </v>
      </c>
      <c r="N206" s="5"/>
      <c r="O206" s="17" t="str">
        <f aca="false">IF((E206="s"),H206," ")</f>
        <v> </v>
      </c>
      <c r="P206" s="17" t="str">
        <f aca="false">IF((E206="c"),H206," ")</f>
        <v> </v>
      </c>
      <c r="Q206" s="17" t="str">
        <f aca="false">IF((E206="o"),H206," ")</f>
        <v> </v>
      </c>
      <c r="R206" s="17" t="str">
        <f aca="false">IF((E206="d"),H206," ")</f>
        <v> </v>
      </c>
      <c r="S206" s="17" t="str">
        <f aca="false">IF((E206="w"),H206," ")</f>
        <v> </v>
      </c>
      <c r="T206" s="17" t="str">
        <f aca="false">IF((E206="r"),H206," ")</f>
        <v> </v>
      </c>
      <c r="U206" s="17" t="str">
        <f aca="false">IF((E206="p"),H206," ")</f>
        <v> </v>
      </c>
      <c r="V206" s="17" t="str">
        <f aca="false">IF((E206="t"),H206," ")</f>
        <v> </v>
      </c>
      <c r="W206" s="17" t="str">
        <f aca="false">IF((E206="q"),H206," ")</f>
        <v> </v>
      </c>
      <c r="X206" s="17" t="str">
        <f aca="false">IF((E206="m"),H206," ")</f>
        <v> </v>
      </c>
      <c r="Y206" s="17" t="str">
        <f aca="false">IF((E206="u"),H206," ")</f>
        <v> </v>
      </c>
      <c r="Z206" s="17" t="str">
        <f aca="false">IF((E206="a"),H206," ")</f>
        <v> </v>
      </c>
      <c r="AA206" s="17" t="str">
        <f aca="false">IF((E206="g"),H206," ")</f>
        <v> </v>
      </c>
      <c r="AB206" s="17" t="str">
        <f aca="false">IF((E206="h"),H206," ")</f>
        <v> </v>
      </c>
      <c r="AC206" s="30" t="str">
        <f aca="false">IF((E206="v"),H206," ")</f>
        <v> </v>
      </c>
      <c r="AD206" s="30" t="str">
        <f aca="false">IF((E206="n"),H206," ")</f>
        <v> </v>
      </c>
      <c r="AE206" s="17" t="str">
        <f aca="false">IF((E206="f"),H206," ")</f>
        <v> </v>
      </c>
      <c r="AF206" s="17" t="str">
        <f aca="false">IF((E206="l"),H206," ")</f>
        <v> </v>
      </c>
      <c r="AG206" s="17" t="str">
        <f aca="false">IF((E206="y"),H206," ")</f>
        <v> </v>
      </c>
      <c r="AH206" s="17" t="str">
        <f aca="false">IF((E206="z"),H206," ")</f>
        <v> </v>
      </c>
      <c r="AI206" s="17" t="str">
        <f aca="false">IF((E206="fa"),H206," ")</f>
        <v> </v>
      </c>
      <c r="AJ206" s="17" t="str">
        <f aca="false">IF((E206="e"),H206," ")</f>
        <v> </v>
      </c>
    </row>
    <row r="207" customFormat="false" ht="12" hidden="false" customHeight="false" outlineLevel="0" collapsed="false">
      <c r="A207" s="28"/>
      <c r="E207" s="2" t="str">
        <f aca="false">IF((F207&lt;&gt;0),"Enter Letter"," ")</f>
        <v> </v>
      </c>
      <c r="F207" s="30"/>
      <c r="G207" s="6" t="str">
        <f aca="false">IF(F207&lt;&gt;0,F207*G$2/(100+G$2)," ")</f>
        <v> </v>
      </c>
      <c r="H207" s="6" t="str">
        <f aca="false">IF((F207&lt;&gt;0),F207-G207," ")</f>
        <v> </v>
      </c>
      <c r="I207" s="5"/>
      <c r="L207" s="7" t="str">
        <f aca="false">IF(F207&lt;&gt;0,F207-K207," ")</f>
        <v> </v>
      </c>
      <c r="M207" s="8" t="str">
        <f aca="false">IF((F207-K207)&lt;&gt;0,M$1-A207," ")</f>
        <v> </v>
      </c>
      <c r="N207" s="5"/>
      <c r="O207" s="17" t="str">
        <f aca="false">IF((E207="s"),H207," ")</f>
        <v> </v>
      </c>
      <c r="P207" s="17" t="str">
        <f aca="false">IF((E207="c"),H207," ")</f>
        <v> </v>
      </c>
      <c r="Q207" s="17" t="str">
        <f aca="false">IF((E207="o"),H207," ")</f>
        <v> </v>
      </c>
      <c r="R207" s="17" t="str">
        <f aca="false">IF((E207="d"),H207," ")</f>
        <v> </v>
      </c>
      <c r="S207" s="17" t="str">
        <f aca="false">IF((E207="w"),H207," ")</f>
        <v> </v>
      </c>
      <c r="T207" s="17" t="str">
        <f aca="false">IF((E207="r"),H207," ")</f>
        <v> </v>
      </c>
      <c r="U207" s="17" t="str">
        <f aca="false">IF((E207="p"),H207," ")</f>
        <v> </v>
      </c>
      <c r="V207" s="17" t="str">
        <f aca="false">IF((E207="t"),H207," ")</f>
        <v> </v>
      </c>
      <c r="W207" s="17" t="str">
        <f aca="false">IF((E207="q"),H207," ")</f>
        <v> </v>
      </c>
      <c r="X207" s="17" t="str">
        <f aca="false">IF((E207="m"),H207," ")</f>
        <v> </v>
      </c>
      <c r="Y207" s="17" t="str">
        <f aca="false">IF((E207="u"),H207," ")</f>
        <v> </v>
      </c>
      <c r="Z207" s="17" t="str">
        <f aca="false">IF((E207="a"),H207," ")</f>
        <v> </v>
      </c>
      <c r="AA207" s="17" t="str">
        <f aca="false">IF((E207="g"),H207," ")</f>
        <v> </v>
      </c>
      <c r="AB207" s="17" t="str">
        <f aca="false">IF((E207="h"),H207," ")</f>
        <v> </v>
      </c>
      <c r="AC207" s="30" t="str">
        <f aca="false">IF((E207="v"),H207," ")</f>
        <v> </v>
      </c>
      <c r="AD207" s="30" t="str">
        <f aca="false">IF((E207="n"),H207," ")</f>
        <v> </v>
      </c>
      <c r="AE207" s="17" t="str">
        <f aca="false">IF((E207="f"),H207," ")</f>
        <v> </v>
      </c>
      <c r="AF207" s="17" t="str">
        <f aca="false">IF((E207="l"),H207," ")</f>
        <v> </v>
      </c>
      <c r="AG207" s="17" t="str">
        <f aca="false">IF((E207="y"),H207," ")</f>
        <v> </v>
      </c>
      <c r="AH207" s="17" t="str">
        <f aca="false">IF((E207="z"),H207," ")</f>
        <v> </v>
      </c>
      <c r="AI207" s="17" t="str">
        <f aca="false">IF((E207="fa"),H207," ")</f>
        <v> </v>
      </c>
      <c r="AJ207" s="17" t="str">
        <f aca="false">IF((E207="e"),H207," ")</f>
        <v> </v>
      </c>
    </row>
    <row r="208" customFormat="false" ht="12" hidden="false" customHeight="false" outlineLevel="0" collapsed="false">
      <c r="A208" s="28"/>
      <c r="E208" s="2" t="str">
        <f aca="false">IF((F208&lt;&gt;0),"Enter Letter"," ")</f>
        <v> </v>
      </c>
      <c r="F208" s="30"/>
      <c r="G208" s="6" t="str">
        <f aca="false">IF(F208&lt;&gt;0,F208*G$2/(100+G$2)," ")</f>
        <v> </v>
      </c>
      <c r="H208" s="6" t="str">
        <f aca="false">IF((F208&lt;&gt;0),F208-G208," ")</f>
        <v> </v>
      </c>
      <c r="I208" s="5"/>
      <c r="L208" s="7" t="str">
        <f aca="false">IF(F208&lt;&gt;0,F208-K208," ")</f>
        <v> </v>
      </c>
      <c r="M208" s="8" t="str">
        <f aca="false">IF((F208-K208)&lt;&gt;0,M$1-A208," ")</f>
        <v> </v>
      </c>
      <c r="N208" s="5"/>
      <c r="O208" s="17" t="str">
        <f aca="false">IF((E208="s"),H208," ")</f>
        <v> </v>
      </c>
      <c r="P208" s="17" t="str">
        <f aca="false">IF((E208="c"),H208," ")</f>
        <v> </v>
      </c>
      <c r="Q208" s="17" t="str">
        <f aca="false">IF((E208="o"),H208," ")</f>
        <v> </v>
      </c>
      <c r="R208" s="17" t="str">
        <f aca="false">IF((E208="d"),H208," ")</f>
        <v> </v>
      </c>
      <c r="S208" s="17" t="str">
        <f aca="false">IF((E208="w"),H208," ")</f>
        <v> </v>
      </c>
      <c r="T208" s="17" t="str">
        <f aca="false">IF((E208="r"),H208," ")</f>
        <v> </v>
      </c>
      <c r="U208" s="17" t="str">
        <f aca="false">IF((E208="p"),H208," ")</f>
        <v> </v>
      </c>
      <c r="V208" s="17" t="str">
        <f aca="false">IF((E208="t"),H208," ")</f>
        <v> </v>
      </c>
      <c r="W208" s="17" t="str">
        <f aca="false">IF((E208="q"),H208," ")</f>
        <v> </v>
      </c>
      <c r="X208" s="17" t="str">
        <f aca="false">IF((E208="m"),H208," ")</f>
        <v> </v>
      </c>
      <c r="Y208" s="17" t="str">
        <f aca="false">IF((E208="u"),H208," ")</f>
        <v> </v>
      </c>
      <c r="Z208" s="17" t="str">
        <f aca="false">IF((E208="a"),H208," ")</f>
        <v> </v>
      </c>
      <c r="AA208" s="17" t="str">
        <f aca="false">IF((E208="g"),H208," ")</f>
        <v> </v>
      </c>
      <c r="AB208" s="17" t="str">
        <f aca="false">IF((E208="h"),H208," ")</f>
        <v> </v>
      </c>
      <c r="AC208" s="30" t="str">
        <f aca="false">IF((E208="v"),H208," ")</f>
        <v> </v>
      </c>
      <c r="AD208" s="30" t="str">
        <f aca="false">IF((E208="n"),H208," ")</f>
        <v> </v>
      </c>
      <c r="AE208" s="17" t="str">
        <f aca="false">IF((E208="f"),H208," ")</f>
        <v> </v>
      </c>
      <c r="AF208" s="17" t="str">
        <f aca="false">IF((E208="l"),H208," ")</f>
        <v> </v>
      </c>
      <c r="AG208" s="17" t="str">
        <f aca="false">IF((E208="y"),H208," ")</f>
        <v> </v>
      </c>
      <c r="AH208" s="17" t="str">
        <f aca="false">IF((E208="z"),H208," ")</f>
        <v> </v>
      </c>
      <c r="AI208" s="17" t="str">
        <f aca="false">IF((E208="fa"),H208," ")</f>
        <v> </v>
      </c>
      <c r="AJ208" s="17" t="str">
        <f aca="false">IF((E208="e"),H208," ")</f>
        <v> </v>
      </c>
    </row>
    <row r="209" customFormat="false" ht="12" hidden="false" customHeight="false" outlineLevel="0" collapsed="false">
      <c r="A209" s="28"/>
      <c r="E209" s="2" t="str">
        <f aca="false">IF((F209&lt;&gt;0),"Enter Letter"," ")</f>
        <v> </v>
      </c>
      <c r="F209" s="30"/>
      <c r="G209" s="6" t="str">
        <f aca="false">IF(F209&lt;&gt;0,F209*G$2/(100+G$2)," ")</f>
        <v> </v>
      </c>
      <c r="H209" s="6" t="str">
        <f aca="false">IF((F209&lt;&gt;0),F209-G209," ")</f>
        <v> </v>
      </c>
      <c r="I209" s="5"/>
      <c r="L209" s="7" t="str">
        <f aca="false">IF(F209&lt;&gt;0,F209-K209," ")</f>
        <v> </v>
      </c>
      <c r="M209" s="8" t="str">
        <f aca="false">IF((F209-K209)&lt;&gt;0,M$1-A209," ")</f>
        <v> </v>
      </c>
      <c r="N209" s="5"/>
      <c r="O209" s="17" t="str">
        <f aca="false">IF((E209="s"),H209," ")</f>
        <v> </v>
      </c>
      <c r="P209" s="17" t="str">
        <f aca="false">IF((E209="c"),H209," ")</f>
        <v> </v>
      </c>
      <c r="Q209" s="17" t="str">
        <f aca="false">IF((E209="o"),H209," ")</f>
        <v> </v>
      </c>
      <c r="R209" s="17" t="str">
        <f aca="false">IF((E209="d"),H209," ")</f>
        <v> </v>
      </c>
      <c r="S209" s="17" t="str">
        <f aca="false">IF((E209="w"),H209," ")</f>
        <v> </v>
      </c>
      <c r="T209" s="17" t="str">
        <f aca="false">IF((E209="r"),H209," ")</f>
        <v> </v>
      </c>
      <c r="U209" s="17" t="str">
        <f aca="false">IF((E209="p"),H209," ")</f>
        <v> </v>
      </c>
      <c r="V209" s="17" t="str">
        <f aca="false">IF((E209="t"),H209," ")</f>
        <v> </v>
      </c>
      <c r="W209" s="17" t="str">
        <f aca="false">IF((E209="q"),H209," ")</f>
        <v> </v>
      </c>
      <c r="X209" s="17" t="str">
        <f aca="false">IF((E209="m"),H209," ")</f>
        <v> </v>
      </c>
      <c r="Y209" s="17" t="str">
        <f aca="false">IF((E209="u"),H209," ")</f>
        <v> </v>
      </c>
      <c r="Z209" s="17" t="str">
        <f aca="false">IF((E209="a"),H209," ")</f>
        <v> </v>
      </c>
      <c r="AA209" s="17" t="str">
        <f aca="false">IF((E209="g"),H209," ")</f>
        <v> </v>
      </c>
      <c r="AB209" s="17" t="str">
        <f aca="false">IF((E209="h"),H209," ")</f>
        <v> </v>
      </c>
      <c r="AC209" s="30" t="str">
        <f aca="false">IF((E209="v"),H209," ")</f>
        <v> </v>
      </c>
      <c r="AD209" s="30" t="str">
        <f aca="false">IF((E209="n"),H209," ")</f>
        <v> </v>
      </c>
      <c r="AE209" s="17" t="str">
        <f aca="false">IF((E209="f"),H209," ")</f>
        <v> </v>
      </c>
      <c r="AF209" s="17" t="str">
        <f aca="false">IF((E209="l"),H209," ")</f>
        <v> </v>
      </c>
      <c r="AG209" s="17" t="str">
        <f aca="false">IF((E209="y"),H209," ")</f>
        <v> </v>
      </c>
      <c r="AH209" s="17" t="str">
        <f aca="false">IF((E209="z"),H209," ")</f>
        <v> </v>
      </c>
      <c r="AI209" s="17" t="str">
        <f aca="false">IF((E209="fa"),H209," ")</f>
        <v> </v>
      </c>
      <c r="AJ209" s="17" t="str">
        <f aca="false">IF((E209="e"),H209," ")</f>
        <v> </v>
      </c>
    </row>
    <row r="210" customFormat="false" ht="12" hidden="false" customHeight="false" outlineLevel="0" collapsed="false">
      <c r="A210" s="28"/>
      <c r="E210" s="2" t="str">
        <f aca="false">IF((F210&lt;&gt;0),"Enter Letter"," ")</f>
        <v> </v>
      </c>
      <c r="F210" s="30"/>
      <c r="G210" s="6" t="str">
        <f aca="false">IF(F210&lt;&gt;0,F210*G$2/(100+G$2)," ")</f>
        <v> </v>
      </c>
      <c r="H210" s="6" t="str">
        <f aca="false">IF((F210&lt;&gt;0),F210-G210," ")</f>
        <v> </v>
      </c>
      <c r="I210" s="5"/>
      <c r="L210" s="7" t="str">
        <f aca="false">IF(F210&lt;&gt;0,F210-K210," ")</f>
        <v> </v>
      </c>
      <c r="M210" s="8" t="str">
        <f aca="false">IF((F210-K210)&lt;&gt;0,M$1-A210," ")</f>
        <v> </v>
      </c>
      <c r="N210" s="5"/>
      <c r="O210" s="17" t="str">
        <f aca="false">IF((E210="s"),H210," ")</f>
        <v> </v>
      </c>
      <c r="P210" s="17" t="str">
        <f aca="false">IF((E210="c"),H210," ")</f>
        <v> </v>
      </c>
      <c r="Q210" s="17" t="str">
        <f aca="false">IF((E210="o"),H210," ")</f>
        <v> </v>
      </c>
      <c r="R210" s="17" t="str">
        <f aca="false">IF((E210="d"),H210," ")</f>
        <v> </v>
      </c>
      <c r="S210" s="17" t="str">
        <f aca="false">IF((E210="w"),H210," ")</f>
        <v> </v>
      </c>
      <c r="T210" s="17" t="str">
        <f aca="false">IF((E210="r"),H210," ")</f>
        <v> </v>
      </c>
      <c r="U210" s="17" t="str">
        <f aca="false">IF((E210="p"),H210," ")</f>
        <v> </v>
      </c>
      <c r="V210" s="17" t="str">
        <f aca="false">IF((E210="t"),H210," ")</f>
        <v> </v>
      </c>
      <c r="W210" s="17" t="str">
        <f aca="false">IF((E210="q"),H210," ")</f>
        <v> </v>
      </c>
      <c r="X210" s="17" t="str">
        <f aca="false">IF((E210="m"),H210," ")</f>
        <v> </v>
      </c>
      <c r="Y210" s="17" t="str">
        <f aca="false">IF((E210="u"),H210," ")</f>
        <v> </v>
      </c>
      <c r="Z210" s="17" t="str">
        <f aca="false">IF((E210="a"),H210," ")</f>
        <v> </v>
      </c>
      <c r="AA210" s="17" t="str">
        <f aca="false">IF((E210="g"),H210," ")</f>
        <v> </v>
      </c>
      <c r="AB210" s="17" t="str">
        <f aca="false">IF((E210="h"),H210," ")</f>
        <v> </v>
      </c>
      <c r="AC210" s="30" t="str">
        <f aca="false">IF((E210="v"),H210," ")</f>
        <v> </v>
      </c>
      <c r="AD210" s="30" t="str">
        <f aca="false">IF((E210="n"),H210," ")</f>
        <v> </v>
      </c>
      <c r="AE210" s="17" t="str">
        <f aca="false">IF((E210="f"),H210," ")</f>
        <v> </v>
      </c>
      <c r="AF210" s="17" t="str">
        <f aca="false">IF((E210="l"),H210," ")</f>
        <v> </v>
      </c>
      <c r="AG210" s="17" t="str">
        <f aca="false">IF((E210="y"),H210," ")</f>
        <v> </v>
      </c>
      <c r="AH210" s="17" t="str">
        <f aca="false">IF((E210="z"),H210," ")</f>
        <v> </v>
      </c>
      <c r="AI210" s="17" t="str">
        <f aca="false">IF((E210="fa"),H210," ")</f>
        <v> </v>
      </c>
      <c r="AJ210" s="17" t="str">
        <f aca="false">IF((E210="e"),H210," ")</f>
        <v> </v>
      </c>
    </row>
    <row r="211" customFormat="false" ht="12" hidden="false" customHeight="false" outlineLevel="0" collapsed="false">
      <c r="A211" s="28"/>
      <c r="E211" s="2" t="str">
        <f aca="false">IF((F211&lt;&gt;0),"Enter Letter"," ")</f>
        <v> </v>
      </c>
      <c r="F211" s="30"/>
      <c r="G211" s="6" t="str">
        <f aca="false">IF(F211&lt;&gt;0,F211*G$2/(100+G$2)," ")</f>
        <v> </v>
      </c>
      <c r="H211" s="6" t="str">
        <f aca="false">IF((F211&lt;&gt;0),F211-G211," ")</f>
        <v> </v>
      </c>
      <c r="I211" s="5"/>
      <c r="L211" s="7" t="str">
        <f aca="false">IF(F211&lt;&gt;0,F211-K211," ")</f>
        <v> </v>
      </c>
      <c r="M211" s="8" t="str">
        <f aca="false">IF((F211-K211)&lt;&gt;0,M$1-A211," ")</f>
        <v> </v>
      </c>
      <c r="N211" s="5"/>
      <c r="O211" s="17" t="str">
        <f aca="false">IF((E211="s"),H211," ")</f>
        <v> </v>
      </c>
      <c r="P211" s="17" t="str">
        <f aca="false">IF((E211="c"),H211," ")</f>
        <v> </v>
      </c>
      <c r="Q211" s="17" t="str">
        <f aca="false">IF((E211="o"),H211," ")</f>
        <v> </v>
      </c>
      <c r="R211" s="17" t="str">
        <f aca="false">IF((E211="d"),H211," ")</f>
        <v> </v>
      </c>
      <c r="S211" s="17" t="str">
        <f aca="false">IF((E211="w"),H211," ")</f>
        <v> </v>
      </c>
      <c r="T211" s="17" t="str">
        <f aca="false">IF((E211="r"),H211," ")</f>
        <v> </v>
      </c>
      <c r="U211" s="17" t="str">
        <f aca="false">IF((E211="p"),H211," ")</f>
        <v> </v>
      </c>
      <c r="V211" s="17" t="str">
        <f aca="false">IF((E211="t"),H211," ")</f>
        <v> </v>
      </c>
      <c r="W211" s="17" t="str">
        <f aca="false">IF((E211="q"),H211," ")</f>
        <v> </v>
      </c>
      <c r="X211" s="17" t="str">
        <f aca="false">IF((E211="m"),H211," ")</f>
        <v> </v>
      </c>
      <c r="Y211" s="17" t="str">
        <f aca="false">IF((E211="u"),H211," ")</f>
        <v> </v>
      </c>
      <c r="Z211" s="17" t="str">
        <f aca="false">IF((E211="a"),H211," ")</f>
        <v> </v>
      </c>
      <c r="AA211" s="17" t="str">
        <f aca="false">IF((E211="g"),H211," ")</f>
        <v> </v>
      </c>
      <c r="AB211" s="17" t="str">
        <f aca="false">IF((E211="h"),H211," ")</f>
        <v> </v>
      </c>
      <c r="AC211" s="30" t="str">
        <f aca="false">IF((E211="v"),H211," ")</f>
        <v> </v>
      </c>
      <c r="AD211" s="30" t="str">
        <f aca="false">IF((E211="n"),H211," ")</f>
        <v> </v>
      </c>
      <c r="AE211" s="17" t="str">
        <f aca="false">IF((E211="f"),H211," ")</f>
        <v> </v>
      </c>
      <c r="AF211" s="17" t="str">
        <f aca="false">IF((E211="l"),H211," ")</f>
        <v> </v>
      </c>
      <c r="AG211" s="17" t="str">
        <f aca="false">IF((E211="y"),H211," ")</f>
        <v> </v>
      </c>
      <c r="AH211" s="17" t="str">
        <f aca="false">IF((E211="z"),H211," ")</f>
        <v> </v>
      </c>
      <c r="AI211" s="17" t="str">
        <f aca="false">IF((E211="fa"),H211," ")</f>
        <v> </v>
      </c>
      <c r="AJ211" s="17" t="str">
        <f aca="false">IF((E211="e"),H211," ")</f>
        <v> </v>
      </c>
    </row>
    <row r="212" customFormat="false" ht="12" hidden="false" customHeight="false" outlineLevel="0" collapsed="false">
      <c r="A212" s="28"/>
      <c r="E212" s="2" t="str">
        <f aca="false">IF((F212&lt;&gt;0),"Enter Letter"," ")</f>
        <v> </v>
      </c>
      <c r="F212" s="30"/>
      <c r="G212" s="6" t="str">
        <f aca="false">IF(F212&lt;&gt;0,F212*G$2/(100+G$2)," ")</f>
        <v> </v>
      </c>
      <c r="H212" s="6" t="str">
        <f aca="false">IF((F212&lt;&gt;0),F212-G212," ")</f>
        <v> </v>
      </c>
      <c r="I212" s="5"/>
      <c r="L212" s="7" t="str">
        <f aca="false">IF(F212&lt;&gt;0,F212-K212," ")</f>
        <v> </v>
      </c>
      <c r="M212" s="8" t="str">
        <f aca="false">IF((F212-K212)&lt;&gt;0,M$1-A212," ")</f>
        <v> </v>
      </c>
      <c r="N212" s="5"/>
      <c r="O212" s="17" t="str">
        <f aca="false">IF((E212="s"),H212," ")</f>
        <v> </v>
      </c>
      <c r="P212" s="17" t="str">
        <f aca="false">IF((E212="c"),H212," ")</f>
        <v> </v>
      </c>
      <c r="Q212" s="17" t="str">
        <f aca="false">IF((E212="o"),H212," ")</f>
        <v> </v>
      </c>
      <c r="R212" s="17" t="str">
        <f aca="false">IF((E212="d"),H212," ")</f>
        <v> </v>
      </c>
      <c r="S212" s="17" t="str">
        <f aca="false">IF((E212="w"),H212," ")</f>
        <v> </v>
      </c>
      <c r="T212" s="17" t="str">
        <f aca="false">IF((E212="r"),H212," ")</f>
        <v> </v>
      </c>
      <c r="U212" s="17" t="str">
        <f aca="false">IF((E212="p"),H212," ")</f>
        <v> </v>
      </c>
      <c r="V212" s="17" t="str">
        <f aca="false">IF((E212="t"),H212," ")</f>
        <v> </v>
      </c>
      <c r="W212" s="17" t="str">
        <f aca="false">IF((E212="q"),H212," ")</f>
        <v> </v>
      </c>
      <c r="X212" s="17" t="str">
        <f aca="false">IF((E212="m"),H212," ")</f>
        <v> </v>
      </c>
      <c r="Y212" s="17" t="str">
        <f aca="false">IF((E212="u"),H212," ")</f>
        <v> </v>
      </c>
      <c r="Z212" s="17" t="str">
        <f aca="false">IF((E212="a"),H212," ")</f>
        <v> </v>
      </c>
      <c r="AA212" s="17" t="str">
        <f aca="false">IF((E212="g"),H212," ")</f>
        <v> </v>
      </c>
      <c r="AB212" s="17" t="str">
        <f aca="false">IF((E212="h"),H212," ")</f>
        <v> </v>
      </c>
      <c r="AC212" s="30" t="str">
        <f aca="false">IF((E212="v"),H212," ")</f>
        <v> </v>
      </c>
      <c r="AD212" s="30" t="str">
        <f aca="false">IF((E212="n"),H212," ")</f>
        <v> </v>
      </c>
      <c r="AE212" s="17" t="str">
        <f aca="false">IF((E212="f"),H212," ")</f>
        <v> </v>
      </c>
      <c r="AF212" s="17" t="str">
        <f aca="false">IF((E212="l"),H212," ")</f>
        <v> </v>
      </c>
      <c r="AG212" s="17" t="str">
        <f aca="false">IF((E212="y"),H212," ")</f>
        <v> </v>
      </c>
      <c r="AH212" s="17" t="str">
        <f aca="false">IF((E212="z"),H212," ")</f>
        <v> </v>
      </c>
      <c r="AI212" s="17" t="str">
        <f aca="false">IF((E212="fa"),H212," ")</f>
        <v> </v>
      </c>
      <c r="AJ212" s="17" t="str">
        <f aca="false">IF((E212="e"),H212," ")</f>
        <v> </v>
      </c>
    </row>
    <row r="213" customFormat="false" ht="12" hidden="false" customHeight="false" outlineLevel="0" collapsed="false">
      <c r="A213" s="28"/>
      <c r="E213" s="2" t="str">
        <f aca="false">IF((F213&lt;&gt;0),"Enter Letter"," ")</f>
        <v> </v>
      </c>
      <c r="F213" s="30"/>
      <c r="G213" s="6" t="str">
        <f aca="false">IF(F213&lt;&gt;0,F213*G$2/(100+G$2)," ")</f>
        <v> </v>
      </c>
      <c r="H213" s="6" t="str">
        <f aca="false">IF((F213&lt;&gt;0),F213-G213," ")</f>
        <v> </v>
      </c>
      <c r="I213" s="5"/>
      <c r="L213" s="7" t="str">
        <f aca="false">IF(F213&lt;&gt;0,F213-K213," ")</f>
        <v> </v>
      </c>
      <c r="M213" s="8" t="str">
        <f aca="false">IF((F213-K213)&lt;&gt;0,M$1-A213," ")</f>
        <v> </v>
      </c>
      <c r="N213" s="5"/>
      <c r="O213" s="17" t="str">
        <f aca="false">IF((E213="s"),H213," ")</f>
        <v> </v>
      </c>
      <c r="P213" s="17" t="str">
        <f aca="false">IF((E213="c"),H213," ")</f>
        <v> </v>
      </c>
      <c r="Q213" s="17" t="str">
        <f aca="false">IF((E213="o"),H213," ")</f>
        <v> </v>
      </c>
      <c r="R213" s="17" t="str">
        <f aca="false">IF((E213="d"),H213," ")</f>
        <v> </v>
      </c>
      <c r="S213" s="17" t="str">
        <f aca="false">IF((E213="w"),H213," ")</f>
        <v> </v>
      </c>
      <c r="T213" s="17" t="str">
        <f aca="false">IF((E213="r"),H213," ")</f>
        <v> </v>
      </c>
      <c r="U213" s="17" t="str">
        <f aca="false">IF((E213="p"),H213," ")</f>
        <v> </v>
      </c>
      <c r="V213" s="17" t="str">
        <f aca="false">IF((E213="t"),H213," ")</f>
        <v> </v>
      </c>
      <c r="W213" s="17" t="str">
        <f aca="false">IF((E213="q"),H213," ")</f>
        <v> </v>
      </c>
      <c r="X213" s="17" t="str">
        <f aca="false">IF((E213="m"),H213," ")</f>
        <v> </v>
      </c>
      <c r="Y213" s="17" t="str">
        <f aca="false">IF((E213="u"),H213," ")</f>
        <v> </v>
      </c>
      <c r="Z213" s="17" t="str">
        <f aca="false">IF((E213="a"),H213," ")</f>
        <v> </v>
      </c>
      <c r="AA213" s="17" t="str">
        <f aca="false">IF((E213="g"),H213," ")</f>
        <v> </v>
      </c>
      <c r="AB213" s="17" t="str">
        <f aca="false">IF((E213="h"),H213," ")</f>
        <v> </v>
      </c>
      <c r="AC213" s="30" t="str">
        <f aca="false">IF((E213="v"),H213," ")</f>
        <v> </v>
      </c>
      <c r="AD213" s="30" t="str">
        <f aca="false">IF((E213="n"),H213," ")</f>
        <v> </v>
      </c>
      <c r="AE213" s="17" t="str">
        <f aca="false">IF((E213="f"),H213," ")</f>
        <v> </v>
      </c>
      <c r="AF213" s="17" t="str">
        <f aca="false">IF((E213="l"),H213," ")</f>
        <v> </v>
      </c>
      <c r="AG213" s="17" t="str">
        <f aca="false">IF((E213="y"),H213," ")</f>
        <v> </v>
      </c>
      <c r="AH213" s="17" t="str">
        <f aca="false">IF((E213="z"),H213," ")</f>
        <v> </v>
      </c>
      <c r="AI213" s="17" t="str">
        <f aca="false">IF((E213="fa"),H213," ")</f>
        <v> </v>
      </c>
      <c r="AJ213" s="17" t="str">
        <f aca="false">IF((E213="e"),H213," ")</f>
        <v> </v>
      </c>
    </row>
    <row r="214" customFormat="false" ht="12" hidden="false" customHeight="false" outlineLevel="0" collapsed="false">
      <c r="A214" s="28"/>
      <c r="E214" s="2" t="str">
        <f aca="false">IF((F214&lt;&gt;0),"Enter Letter"," ")</f>
        <v> </v>
      </c>
      <c r="F214" s="30"/>
      <c r="G214" s="6" t="str">
        <f aca="false">IF(F214&lt;&gt;0,F214*G$2/(100+G$2)," ")</f>
        <v> </v>
      </c>
      <c r="H214" s="6" t="str">
        <f aca="false">IF((F214&lt;&gt;0),F214-G214," ")</f>
        <v> </v>
      </c>
      <c r="I214" s="5"/>
      <c r="L214" s="7" t="str">
        <f aca="false">IF(F214&lt;&gt;0,F214-K214," ")</f>
        <v> </v>
      </c>
      <c r="M214" s="8" t="str">
        <f aca="false">IF((F214-K214)&lt;&gt;0,M$1-A214," ")</f>
        <v> </v>
      </c>
      <c r="N214" s="5"/>
      <c r="O214" s="17" t="str">
        <f aca="false">IF((E214="s"),H214," ")</f>
        <v> </v>
      </c>
      <c r="P214" s="17" t="str">
        <f aca="false">IF((E214="c"),H214," ")</f>
        <v> </v>
      </c>
      <c r="Q214" s="17" t="str">
        <f aca="false">IF((E214="o"),H214," ")</f>
        <v> </v>
      </c>
      <c r="R214" s="17" t="str">
        <f aca="false">IF((E214="d"),H214," ")</f>
        <v> </v>
      </c>
      <c r="S214" s="17" t="str">
        <f aca="false">IF((E214="w"),H214," ")</f>
        <v> </v>
      </c>
      <c r="T214" s="17" t="str">
        <f aca="false">IF((E214="r"),H214," ")</f>
        <v> </v>
      </c>
      <c r="U214" s="17" t="str">
        <f aca="false">IF((E214="p"),H214," ")</f>
        <v> </v>
      </c>
      <c r="V214" s="17" t="str">
        <f aca="false">IF((E214="t"),H214," ")</f>
        <v> </v>
      </c>
      <c r="W214" s="17" t="str">
        <f aca="false">IF((E214="q"),H214," ")</f>
        <v> </v>
      </c>
      <c r="X214" s="17" t="str">
        <f aca="false">IF((E214="m"),H214," ")</f>
        <v> </v>
      </c>
      <c r="Y214" s="17" t="str">
        <f aca="false">IF((E214="u"),H214," ")</f>
        <v> </v>
      </c>
      <c r="Z214" s="17" t="str">
        <f aca="false">IF((E214="a"),H214," ")</f>
        <v> </v>
      </c>
      <c r="AA214" s="17" t="str">
        <f aca="false">IF((E214="g"),H214," ")</f>
        <v> </v>
      </c>
      <c r="AB214" s="17" t="str">
        <f aca="false">IF((E214="h"),H214," ")</f>
        <v> </v>
      </c>
      <c r="AC214" s="30" t="str">
        <f aca="false">IF((E214="v"),H214," ")</f>
        <v> </v>
      </c>
      <c r="AD214" s="30" t="str">
        <f aca="false">IF((E214="n"),H214," ")</f>
        <v> </v>
      </c>
      <c r="AE214" s="17" t="str">
        <f aca="false">IF((E214="f"),H214," ")</f>
        <v> </v>
      </c>
      <c r="AF214" s="17" t="str">
        <f aca="false">IF((E214="l"),H214," ")</f>
        <v> </v>
      </c>
      <c r="AG214" s="17" t="str">
        <f aca="false">IF((E214="y"),H214," ")</f>
        <v> </v>
      </c>
      <c r="AH214" s="17" t="str">
        <f aca="false">IF((E214="z"),H214," ")</f>
        <v> </v>
      </c>
      <c r="AI214" s="17" t="str">
        <f aca="false">IF((E214="fa"),H214," ")</f>
        <v> </v>
      </c>
      <c r="AJ214" s="17" t="str">
        <f aca="false">IF((E214="e"),H214," ")</f>
        <v> </v>
      </c>
    </row>
    <row r="215" customFormat="false" ht="12" hidden="false" customHeight="false" outlineLevel="0" collapsed="false">
      <c r="A215" s="28"/>
      <c r="E215" s="2" t="str">
        <f aca="false">IF((F215&lt;&gt;0),"Enter Letter"," ")</f>
        <v> </v>
      </c>
      <c r="F215" s="30"/>
      <c r="G215" s="6" t="str">
        <f aca="false">IF(F215&lt;&gt;0,F215*G$2/(100+G$2)," ")</f>
        <v> </v>
      </c>
      <c r="H215" s="6" t="str">
        <f aca="false">IF((F215&lt;&gt;0),F215-G215," ")</f>
        <v> </v>
      </c>
      <c r="I215" s="5"/>
      <c r="L215" s="7" t="str">
        <f aca="false">IF(F215&lt;&gt;0,F215-K215," ")</f>
        <v> </v>
      </c>
      <c r="M215" s="8" t="str">
        <f aca="false">IF((F215-K215)&lt;&gt;0,M$1-A215," ")</f>
        <v> </v>
      </c>
      <c r="N215" s="5"/>
      <c r="O215" s="17" t="str">
        <f aca="false">IF((E215="s"),H215," ")</f>
        <v> </v>
      </c>
      <c r="P215" s="17" t="str">
        <f aca="false">IF((E215="c"),H215," ")</f>
        <v> </v>
      </c>
      <c r="Q215" s="17" t="str">
        <f aca="false">IF((E215="o"),H215," ")</f>
        <v> </v>
      </c>
      <c r="R215" s="17" t="str">
        <f aca="false">IF((E215="d"),H215," ")</f>
        <v> </v>
      </c>
      <c r="S215" s="17" t="str">
        <f aca="false">IF((E215="w"),H215," ")</f>
        <v> </v>
      </c>
      <c r="T215" s="17" t="str">
        <f aca="false">IF((E215="r"),H215," ")</f>
        <v> </v>
      </c>
      <c r="U215" s="17" t="str">
        <f aca="false">IF((E215="p"),H215," ")</f>
        <v> </v>
      </c>
      <c r="V215" s="17" t="str">
        <f aca="false">IF((E215="t"),H215," ")</f>
        <v> </v>
      </c>
      <c r="W215" s="17" t="str">
        <f aca="false">IF((E215="q"),H215," ")</f>
        <v> </v>
      </c>
      <c r="X215" s="17" t="str">
        <f aca="false">IF((E215="m"),H215," ")</f>
        <v> </v>
      </c>
      <c r="Y215" s="17" t="str">
        <f aca="false">IF((E215="u"),H215," ")</f>
        <v> </v>
      </c>
      <c r="Z215" s="17" t="str">
        <f aca="false">IF((E215="a"),H215," ")</f>
        <v> </v>
      </c>
      <c r="AA215" s="17" t="str">
        <f aca="false">IF((E215="g"),H215," ")</f>
        <v> </v>
      </c>
      <c r="AB215" s="17" t="str">
        <f aca="false">IF((E215="h"),H215," ")</f>
        <v> </v>
      </c>
      <c r="AC215" s="30" t="str">
        <f aca="false">IF((E215="v"),H215," ")</f>
        <v> </v>
      </c>
      <c r="AD215" s="30" t="str">
        <f aca="false">IF((E215="n"),H215," ")</f>
        <v> </v>
      </c>
      <c r="AE215" s="17" t="str">
        <f aca="false">IF((E215="f"),H215," ")</f>
        <v> </v>
      </c>
      <c r="AF215" s="17" t="str">
        <f aca="false">IF((E215="l"),H215," ")</f>
        <v> </v>
      </c>
      <c r="AG215" s="17" t="str">
        <f aca="false">IF((E215="y"),H215," ")</f>
        <v> </v>
      </c>
      <c r="AH215" s="17" t="str">
        <f aca="false">IF((E215="z"),H215," ")</f>
        <v> </v>
      </c>
      <c r="AI215" s="17" t="str">
        <f aca="false">IF((E215="fa"),H215," ")</f>
        <v> </v>
      </c>
      <c r="AJ215" s="17" t="str">
        <f aca="false">IF((E215="e"),H215," ")</f>
        <v> </v>
      </c>
    </row>
    <row r="216" customFormat="false" ht="12" hidden="false" customHeight="false" outlineLevel="0" collapsed="false">
      <c r="A216" s="28"/>
      <c r="E216" s="2" t="str">
        <f aca="false">IF((F216&lt;&gt;0),"Enter Letter"," ")</f>
        <v> </v>
      </c>
      <c r="F216" s="30"/>
      <c r="G216" s="6" t="str">
        <f aca="false">IF(F216&lt;&gt;0,F216*G$2/(100+G$2)," ")</f>
        <v> </v>
      </c>
      <c r="H216" s="6" t="str">
        <f aca="false">IF((F216&lt;&gt;0),F216-G216," ")</f>
        <v> </v>
      </c>
      <c r="I216" s="5"/>
      <c r="L216" s="7" t="str">
        <f aca="false">IF(F216&lt;&gt;0,F216-K216," ")</f>
        <v> </v>
      </c>
      <c r="M216" s="8" t="str">
        <f aca="false">IF((F216-K216)&lt;&gt;0,M$1-A216," ")</f>
        <v> </v>
      </c>
      <c r="N216" s="5"/>
      <c r="O216" s="17" t="str">
        <f aca="false">IF((E216="s"),H216," ")</f>
        <v> </v>
      </c>
      <c r="P216" s="17" t="str">
        <f aca="false">IF((E216="c"),H216," ")</f>
        <v> </v>
      </c>
      <c r="Q216" s="17" t="str">
        <f aca="false">IF((E216="o"),H216," ")</f>
        <v> </v>
      </c>
      <c r="R216" s="17" t="str">
        <f aca="false">IF((E216="d"),H216," ")</f>
        <v> </v>
      </c>
      <c r="S216" s="17" t="str">
        <f aca="false">IF((E216="w"),H216," ")</f>
        <v> </v>
      </c>
      <c r="T216" s="17" t="str">
        <f aca="false">IF((E216="r"),H216," ")</f>
        <v> </v>
      </c>
      <c r="U216" s="17" t="str">
        <f aca="false">IF((E216="p"),H216," ")</f>
        <v> </v>
      </c>
      <c r="V216" s="17" t="str">
        <f aca="false">IF((E216="t"),H216," ")</f>
        <v> </v>
      </c>
      <c r="W216" s="17" t="str">
        <f aca="false">IF((E216="q"),H216," ")</f>
        <v> </v>
      </c>
      <c r="X216" s="17" t="str">
        <f aca="false">IF((E216="m"),H216," ")</f>
        <v> </v>
      </c>
      <c r="Y216" s="17" t="str">
        <f aca="false">IF((E216="u"),H216," ")</f>
        <v> </v>
      </c>
      <c r="Z216" s="17" t="str">
        <f aca="false">IF((E216="a"),H216," ")</f>
        <v> </v>
      </c>
      <c r="AA216" s="17" t="str">
        <f aca="false">IF((E216="g"),H216," ")</f>
        <v> </v>
      </c>
      <c r="AB216" s="17" t="str">
        <f aca="false">IF((E216="h"),H216," ")</f>
        <v> </v>
      </c>
      <c r="AC216" s="30" t="str">
        <f aca="false">IF((E216="v"),H216," ")</f>
        <v> </v>
      </c>
      <c r="AD216" s="30" t="str">
        <f aca="false">IF((E216="n"),H216," ")</f>
        <v> </v>
      </c>
      <c r="AE216" s="17" t="str">
        <f aca="false">IF((E216="f"),H216," ")</f>
        <v> </v>
      </c>
      <c r="AF216" s="17" t="str">
        <f aca="false">IF((E216="l"),H216," ")</f>
        <v> </v>
      </c>
      <c r="AG216" s="17" t="str">
        <f aca="false">IF((E216="y"),H216," ")</f>
        <v> </v>
      </c>
      <c r="AH216" s="17" t="str">
        <f aca="false">IF((E216="z"),H216," ")</f>
        <v> </v>
      </c>
      <c r="AI216" s="17" t="str">
        <f aca="false">IF((E216="fa"),H216," ")</f>
        <v> </v>
      </c>
      <c r="AJ216" s="17" t="str">
        <f aca="false">IF((E216="e"),H216," ")</f>
        <v> </v>
      </c>
    </row>
    <row r="217" customFormat="false" ht="12" hidden="false" customHeight="false" outlineLevel="0" collapsed="false">
      <c r="A217" s="28"/>
      <c r="E217" s="2" t="str">
        <f aca="false">IF((F217&lt;&gt;0),"Enter Letter"," ")</f>
        <v> </v>
      </c>
      <c r="F217" s="30"/>
      <c r="G217" s="6" t="str">
        <f aca="false">IF(F217&lt;&gt;0,F217*G$2/(100+G$2)," ")</f>
        <v> </v>
      </c>
      <c r="H217" s="6" t="str">
        <f aca="false">IF((F217&lt;&gt;0),F217-G217," ")</f>
        <v> </v>
      </c>
      <c r="I217" s="5"/>
      <c r="L217" s="7" t="str">
        <f aca="false">IF(F217&lt;&gt;0,F217-K217," ")</f>
        <v> </v>
      </c>
      <c r="M217" s="8" t="str">
        <f aca="false">IF((F217-K217)&lt;&gt;0,M$1-A217," ")</f>
        <v> </v>
      </c>
      <c r="N217" s="5"/>
      <c r="O217" s="17" t="str">
        <f aca="false">IF((E217="s"),H217," ")</f>
        <v> </v>
      </c>
      <c r="P217" s="17" t="str">
        <f aca="false">IF((E217="c"),H217," ")</f>
        <v> </v>
      </c>
      <c r="Q217" s="17" t="str">
        <f aca="false">IF((E217="o"),H217," ")</f>
        <v> </v>
      </c>
      <c r="R217" s="17" t="str">
        <f aca="false">IF((E217="d"),H217," ")</f>
        <v> </v>
      </c>
      <c r="S217" s="17" t="str">
        <f aca="false">IF((E217="w"),H217," ")</f>
        <v> </v>
      </c>
      <c r="T217" s="17" t="str">
        <f aca="false">IF((E217="r"),H217," ")</f>
        <v> </v>
      </c>
      <c r="U217" s="17" t="str">
        <f aca="false">IF((E217="p"),H217," ")</f>
        <v> </v>
      </c>
      <c r="V217" s="17" t="str">
        <f aca="false">IF((E217="t"),H217," ")</f>
        <v> </v>
      </c>
      <c r="W217" s="17" t="str">
        <f aca="false">IF((E217="q"),H217," ")</f>
        <v> </v>
      </c>
      <c r="X217" s="17" t="str">
        <f aca="false">IF((E217="m"),H217," ")</f>
        <v> </v>
      </c>
      <c r="Y217" s="17" t="str">
        <f aca="false">IF((E217="u"),H217," ")</f>
        <v> </v>
      </c>
      <c r="Z217" s="17" t="str">
        <f aca="false">IF((E217="a"),H217," ")</f>
        <v> </v>
      </c>
      <c r="AA217" s="17" t="str">
        <f aca="false">IF((E217="g"),H217," ")</f>
        <v> </v>
      </c>
      <c r="AB217" s="17" t="str">
        <f aca="false">IF((E217="h"),H217," ")</f>
        <v> </v>
      </c>
      <c r="AC217" s="30" t="str">
        <f aca="false">IF((E217="v"),H217," ")</f>
        <v> </v>
      </c>
      <c r="AD217" s="30" t="str">
        <f aca="false">IF((E217="n"),H217," ")</f>
        <v> </v>
      </c>
      <c r="AE217" s="17" t="str">
        <f aca="false">IF((E217="f"),H217," ")</f>
        <v> </v>
      </c>
      <c r="AF217" s="17" t="str">
        <f aca="false">IF((E217="l"),H217," ")</f>
        <v> </v>
      </c>
      <c r="AG217" s="17" t="str">
        <f aca="false">IF((E217="y"),H217," ")</f>
        <v> </v>
      </c>
      <c r="AH217" s="17" t="str">
        <f aca="false">IF((E217="z"),H217," ")</f>
        <v> </v>
      </c>
      <c r="AI217" s="17" t="str">
        <f aca="false">IF((E217="fa"),H217," ")</f>
        <v> </v>
      </c>
      <c r="AJ217" s="17" t="str">
        <f aca="false">IF((E217="e"),H217," ")</f>
        <v> </v>
      </c>
    </row>
    <row r="218" customFormat="false" ht="12" hidden="false" customHeight="false" outlineLevel="0" collapsed="false">
      <c r="A218" s="28"/>
      <c r="E218" s="2" t="str">
        <f aca="false">IF((F218&lt;&gt;0),"Enter Letter"," ")</f>
        <v> </v>
      </c>
      <c r="F218" s="30"/>
      <c r="G218" s="6" t="str">
        <f aca="false">IF(F218&lt;&gt;0,F218*G$2/(100+G$2)," ")</f>
        <v> </v>
      </c>
      <c r="H218" s="6" t="str">
        <f aca="false">IF((F218&lt;&gt;0),F218-G218," ")</f>
        <v> </v>
      </c>
      <c r="I218" s="5"/>
      <c r="L218" s="7" t="str">
        <f aca="false">IF(F218&lt;&gt;0,F218-K218," ")</f>
        <v> </v>
      </c>
      <c r="M218" s="8" t="str">
        <f aca="false">IF((F218-K218)&lt;&gt;0,M$1-A218," ")</f>
        <v> </v>
      </c>
      <c r="N218" s="5"/>
      <c r="O218" s="17" t="str">
        <f aca="false">IF((E218="s"),H218," ")</f>
        <v> </v>
      </c>
      <c r="P218" s="17" t="str">
        <f aca="false">IF((E218="c"),H218," ")</f>
        <v> </v>
      </c>
      <c r="Q218" s="17" t="str">
        <f aca="false">IF((E218="o"),H218," ")</f>
        <v> </v>
      </c>
      <c r="R218" s="17" t="str">
        <f aca="false">IF((E218="d"),H218," ")</f>
        <v> </v>
      </c>
      <c r="S218" s="17" t="str">
        <f aca="false">IF((E218="w"),H218," ")</f>
        <v> </v>
      </c>
      <c r="T218" s="17" t="str">
        <f aca="false">IF((E218="r"),H218," ")</f>
        <v> </v>
      </c>
      <c r="U218" s="17" t="str">
        <f aca="false">IF((E218="p"),H218," ")</f>
        <v> </v>
      </c>
      <c r="V218" s="17" t="str">
        <f aca="false">IF((E218="t"),H218," ")</f>
        <v> </v>
      </c>
      <c r="W218" s="17" t="str">
        <f aca="false">IF((E218="q"),H218," ")</f>
        <v> </v>
      </c>
      <c r="X218" s="17" t="str">
        <f aca="false">IF((E218="m"),H218," ")</f>
        <v> </v>
      </c>
      <c r="Y218" s="17" t="str">
        <f aca="false">IF((E218="u"),H218," ")</f>
        <v> </v>
      </c>
      <c r="Z218" s="17" t="str">
        <f aca="false">IF((E218="a"),H218," ")</f>
        <v> </v>
      </c>
      <c r="AA218" s="17" t="str">
        <f aca="false">IF((E218="g"),H218," ")</f>
        <v> </v>
      </c>
      <c r="AB218" s="17" t="str">
        <f aca="false">IF((E218="h"),H218," ")</f>
        <v> </v>
      </c>
      <c r="AC218" s="30" t="str">
        <f aca="false">IF((E218="v"),H218," ")</f>
        <v> </v>
      </c>
      <c r="AD218" s="30" t="str">
        <f aca="false">IF((E218="n"),H218," ")</f>
        <v> </v>
      </c>
      <c r="AE218" s="17" t="str">
        <f aca="false">IF((E218="f"),H218," ")</f>
        <v> </v>
      </c>
      <c r="AF218" s="17" t="str">
        <f aca="false">IF((E218="l"),H218," ")</f>
        <v> </v>
      </c>
      <c r="AG218" s="17" t="str">
        <f aca="false">IF((E218="y"),H218," ")</f>
        <v> </v>
      </c>
      <c r="AH218" s="17" t="str">
        <f aca="false">IF((E218="z"),H218," ")</f>
        <v> </v>
      </c>
      <c r="AI218" s="17" t="str">
        <f aca="false">IF((E218="fa"),H218," ")</f>
        <v> </v>
      </c>
      <c r="AJ218" s="17" t="str">
        <f aca="false">IF((E218="e"),H218," ")</f>
        <v> </v>
      </c>
    </row>
    <row r="219" customFormat="false" ht="12" hidden="false" customHeight="false" outlineLevel="0" collapsed="false">
      <c r="A219" s="28"/>
      <c r="E219" s="2" t="str">
        <f aca="false">IF((F219&lt;&gt;0),"Enter Letter"," ")</f>
        <v> </v>
      </c>
      <c r="F219" s="30"/>
      <c r="G219" s="6" t="str">
        <f aca="false">IF(F219&lt;&gt;0,F219*G$2/(100+G$2)," ")</f>
        <v> </v>
      </c>
      <c r="H219" s="6" t="str">
        <f aca="false">IF((F219&lt;&gt;0),F219-G219," ")</f>
        <v> </v>
      </c>
      <c r="I219" s="5"/>
      <c r="L219" s="7" t="str">
        <f aca="false">IF(F219&lt;&gt;0,F219-K219," ")</f>
        <v> </v>
      </c>
      <c r="M219" s="8" t="str">
        <f aca="false">IF((F219-K219)&lt;&gt;0,M$1-A219," ")</f>
        <v> </v>
      </c>
      <c r="N219" s="5"/>
      <c r="O219" s="17" t="str">
        <f aca="false">IF((E219="s"),H219," ")</f>
        <v> </v>
      </c>
      <c r="P219" s="17" t="str">
        <f aca="false">IF((E219="c"),H219," ")</f>
        <v> </v>
      </c>
      <c r="Q219" s="17" t="str">
        <f aca="false">IF((E219="o"),H219," ")</f>
        <v> </v>
      </c>
      <c r="R219" s="17" t="str">
        <f aca="false">IF((E219="d"),H219," ")</f>
        <v> </v>
      </c>
      <c r="S219" s="17" t="str">
        <f aca="false">IF((E219="w"),H219," ")</f>
        <v> </v>
      </c>
      <c r="T219" s="17" t="str">
        <f aca="false">IF((E219="r"),H219," ")</f>
        <v> </v>
      </c>
      <c r="U219" s="17" t="str">
        <f aca="false">IF((E219="p"),H219," ")</f>
        <v> </v>
      </c>
      <c r="V219" s="17" t="str">
        <f aca="false">IF((E219="t"),H219," ")</f>
        <v> </v>
      </c>
      <c r="W219" s="17" t="str">
        <f aca="false">IF((E219="q"),H219," ")</f>
        <v> </v>
      </c>
      <c r="X219" s="17" t="str">
        <f aca="false">IF((E219="m"),H219," ")</f>
        <v> </v>
      </c>
      <c r="Y219" s="17" t="str">
        <f aca="false">IF((E219="u"),H219," ")</f>
        <v> </v>
      </c>
      <c r="Z219" s="17" t="str">
        <f aca="false">IF((E219="a"),H219," ")</f>
        <v> </v>
      </c>
      <c r="AA219" s="17" t="str">
        <f aca="false">IF((E219="g"),H219," ")</f>
        <v> </v>
      </c>
      <c r="AB219" s="17" t="str">
        <f aca="false">IF((E219="h"),H219," ")</f>
        <v> </v>
      </c>
      <c r="AC219" s="30" t="str">
        <f aca="false">IF((E219="v"),H219," ")</f>
        <v> </v>
      </c>
      <c r="AD219" s="30" t="str">
        <f aca="false">IF((E219="n"),H219," ")</f>
        <v> </v>
      </c>
      <c r="AE219" s="17" t="str">
        <f aca="false">IF((E219="f"),H219," ")</f>
        <v> </v>
      </c>
      <c r="AF219" s="17" t="str">
        <f aca="false">IF((E219="l"),H219," ")</f>
        <v> </v>
      </c>
      <c r="AG219" s="17" t="str">
        <f aca="false">IF((E219="y"),H219," ")</f>
        <v> </v>
      </c>
      <c r="AH219" s="17" t="str">
        <f aca="false">IF((E219="z"),H219," ")</f>
        <v> </v>
      </c>
      <c r="AI219" s="17" t="str">
        <f aca="false">IF((E219="fa"),H219," ")</f>
        <v> </v>
      </c>
      <c r="AJ219" s="17" t="str">
        <f aca="false">IF((E219="e"),H219," ")</f>
        <v> </v>
      </c>
    </row>
    <row r="220" customFormat="false" ht="12" hidden="false" customHeight="false" outlineLevel="0" collapsed="false">
      <c r="A220" s="28"/>
      <c r="E220" s="2" t="str">
        <f aca="false">IF((F220&lt;&gt;0),"Enter Letter"," ")</f>
        <v> </v>
      </c>
      <c r="F220" s="30"/>
      <c r="G220" s="6" t="str">
        <f aca="false">IF(F220&lt;&gt;0,F220*G$2/(100+G$2)," ")</f>
        <v> </v>
      </c>
      <c r="H220" s="6" t="str">
        <f aca="false">IF((F220&lt;&gt;0),F220-G220," ")</f>
        <v> </v>
      </c>
      <c r="I220" s="5"/>
      <c r="L220" s="7" t="str">
        <f aca="false">IF(F220&lt;&gt;0,F220-K220," ")</f>
        <v> </v>
      </c>
      <c r="M220" s="8" t="str">
        <f aca="false">IF((F220-K220)&lt;&gt;0,M$1-A220," ")</f>
        <v> </v>
      </c>
      <c r="N220" s="5"/>
      <c r="O220" s="17" t="str">
        <f aca="false">IF((E220="s"),H220," ")</f>
        <v> </v>
      </c>
      <c r="P220" s="17" t="str">
        <f aca="false">IF((E220="c"),H220," ")</f>
        <v> </v>
      </c>
      <c r="Q220" s="17" t="str">
        <f aca="false">IF((E220="o"),H220," ")</f>
        <v> </v>
      </c>
      <c r="R220" s="17" t="str">
        <f aca="false">IF((E220="d"),H220," ")</f>
        <v> </v>
      </c>
      <c r="S220" s="17" t="str">
        <f aca="false">IF((E220="w"),H220," ")</f>
        <v> </v>
      </c>
      <c r="T220" s="17" t="str">
        <f aca="false">IF((E220="r"),H220," ")</f>
        <v> </v>
      </c>
      <c r="U220" s="17" t="str">
        <f aca="false">IF((E220="p"),H220," ")</f>
        <v> </v>
      </c>
      <c r="V220" s="17" t="str">
        <f aca="false">IF((E220="t"),H220," ")</f>
        <v> </v>
      </c>
      <c r="W220" s="17" t="str">
        <f aca="false">IF((E220="q"),H220," ")</f>
        <v> </v>
      </c>
      <c r="X220" s="17" t="str">
        <f aca="false">IF((E220="m"),H220," ")</f>
        <v> </v>
      </c>
      <c r="Y220" s="17" t="str">
        <f aca="false">IF((E220="u"),H220," ")</f>
        <v> </v>
      </c>
      <c r="Z220" s="17" t="str">
        <f aca="false">IF((E220="a"),H220," ")</f>
        <v> </v>
      </c>
      <c r="AA220" s="17" t="str">
        <f aca="false">IF((E220="g"),H220," ")</f>
        <v> </v>
      </c>
      <c r="AB220" s="17" t="str">
        <f aca="false">IF((E220="h"),H220," ")</f>
        <v> </v>
      </c>
      <c r="AC220" s="30" t="str">
        <f aca="false">IF((E220="v"),H220," ")</f>
        <v> </v>
      </c>
      <c r="AD220" s="30" t="str">
        <f aca="false">IF((E220="n"),H220," ")</f>
        <v> </v>
      </c>
      <c r="AE220" s="17" t="str">
        <f aca="false">IF((E220="f"),H220," ")</f>
        <v> </v>
      </c>
      <c r="AF220" s="17" t="str">
        <f aca="false">IF((E220="l"),H220," ")</f>
        <v> </v>
      </c>
      <c r="AG220" s="17" t="str">
        <f aca="false">IF((E220="y"),H220," ")</f>
        <v> </v>
      </c>
      <c r="AH220" s="17" t="str">
        <f aca="false">IF((E220="z"),H220," ")</f>
        <v> </v>
      </c>
      <c r="AI220" s="17" t="str">
        <f aca="false">IF((E220="fa"),H220," ")</f>
        <v> </v>
      </c>
      <c r="AJ220" s="17" t="str">
        <f aca="false">IF((E220="e"),H220," ")</f>
        <v> </v>
      </c>
    </row>
    <row r="221" customFormat="false" ht="12" hidden="false" customHeight="false" outlineLevel="0" collapsed="false">
      <c r="A221" s="28"/>
      <c r="E221" s="2" t="str">
        <f aca="false">IF((F221&lt;&gt;0),"Enter Letter"," ")</f>
        <v> </v>
      </c>
      <c r="F221" s="30"/>
      <c r="G221" s="6" t="str">
        <f aca="false">IF(F221&lt;&gt;0,F221*G$2/(100+G$2)," ")</f>
        <v> </v>
      </c>
      <c r="H221" s="6" t="str">
        <f aca="false">IF((F221&lt;&gt;0),F221-G221," ")</f>
        <v> </v>
      </c>
      <c r="I221" s="5"/>
      <c r="L221" s="7" t="str">
        <f aca="false">IF(F221&lt;&gt;0,F221-K221," ")</f>
        <v> </v>
      </c>
      <c r="M221" s="8" t="str">
        <f aca="false">IF((F221-K221)&lt;&gt;0,M$1-A221," ")</f>
        <v> </v>
      </c>
      <c r="N221" s="5"/>
      <c r="O221" s="17" t="str">
        <f aca="false">IF((E221="s"),H221," ")</f>
        <v> </v>
      </c>
      <c r="P221" s="17" t="str">
        <f aca="false">IF((E221="c"),H221," ")</f>
        <v> </v>
      </c>
      <c r="Q221" s="17" t="str">
        <f aca="false">IF((E221="o"),H221," ")</f>
        <v> </v>
      </c>
      <c r="R221" s="17" t="str">
        <f aca="false">IF((E221="d"),H221," ")</f>
        <v> </v>
      </c>
      <c r="S221" s="17" t="str">
        <f aca="false">IF((E221="w"),H221," ")</f>
        <v> </v>
      </c>
      <c r="T221" s="17" t="str">
        <f aca="false">IF((E221="r"),H221," ")</f>
        <v> </v>
      </c>
      <c r="U221" s="17" t="str">
        <f aca="false">IF((E221="p"),H221," ")</f>
        <v> </v>
      </c>
      <c r="V221" s="17" t="str">
        <f aca="false">IF((E221="t"),H221," ")</f>
        <v> </v>
      </c>
      <c r="W221" s="17" t="str">
        <f aca="false">IF((E221="q"),H221," ")</f>
        <v> </v>
      </c>
      <c r="X221" s="17" t="str">
        <f aca="false">IF((E221="m"),H221," ")</f>
        <v> </v>
      </c>
      <c r="Y221" s="17" t="str">
        <f aca="false">IF((E221="u"),H221," ")</f>
        <v> </v>
      </c>
      <c r="Z221" s="17" t="str">
        <f aca="false">IF((E221="a"),H221," ")</f>
        <v> </v>
      </c>
      <c r="AA221" s="17" t="str">
        <f aca="false">IF((E221="g"),H221," ")</f>
        <v> </v>
      </c>
      <c r="AB221" s="17" t="str">
        <f aca="false">IF((E221="h"),H221," ")</f>
        <v> </v>
      </c>
      <c r="AC221" s="30" t="str">
        <f aca="false">IF((E221="v"),H221," ")</f>
        <v> </v>
      </c>
      <c r="AD221" s="30" t="str">
        <f aca="false">IF((E221="n"),H221," ")</f>
        <v> </v>
      </c>
      <c r="AE221" s="17" t="str">
        <f aca="false">IF((E221="f"),H221," ")</f>
        <v> </v>
      </c>
      <c r="AF221" s="17" t="str">
        <f aca="false">IF((E221="l"),H221," ")</f>
        <v> </v>
      </c>
      <c r="AG221" s="17" t="str">
        <f aca="false">IF((E221="y"),H221," ")</f>
        <v> </v>
      </c>
      <c r="AH221" s="17" t="str">
        <f aca="false">IF((E221="z"),H221," ")</f>
        <v> </v>
      </c>
      <c r="AI221" s="17" t="str">
        <f aca="false">IF((E221="fa"),H221," ")</f>
        <v> </v>
      </c>
      <c r="AJ221" s="17" t="str">
        <f aca="false">IF((E221="e"),H221," ")</f>
        <v> </v>
      </c>
    </row>
    <row r="222" customFormat="false" ht="12" hidden="false" customHeight="false" outlineLevel="0" collapsed="false">
      <c r="A222" s="28"/>
      <c r="E222" s="2" t="str">
        <f aca="false">IF((F222&lt;&gt;0),"Enter Letter"," ")</f>
        <v> </v>
      </c>
      <c r="F222" s="30"/>
      <c r="G222" s="6" t="str">
        <f aca="false">IF(F222&lt;&gt;0,F222*G$2/(100+G$2)," ")</f>
        <v> </v>
      </c>
      <c r="H222" s="6" t="str">
        <f aca="false">IF((F222&lt;&gt;0),F222-G222," ")</f>
        <v> </v>
      </c>
      <c r="I222" s="5"/>
      <c r="L222" s="7" t="str">
        <f aca="false">IF(F222&lt;&gt;0,F222-K222," ")</f>
        <v> </v>
      </c>
      <c r="M222" s="8" t="str">
        <f aca="false">IF((F222-K222)&lt;&gt;0,M$1-A222," ")</f>
        <v> </v>
      </c>
      <c r="N222" s="5"/>
      <c r="O222" s="17" t="str">
        <f aca="false">IF((E222="s"),H222," ")</f>
        <v> </v>
      </c>
      <c r="P222" s="17" t="str">
        <f aca="false">IF((E222="c"),H222," ")</f>
        <v> </v>
      </c>
      <c r="Q222" s="17" t="str">
        <f aca="false">IF((E222="o"),H222," ")</f>
        <v> </v>
      </c>
      <c r="R222" s="17" t="str">
        <f aca="false">IF((E222="d"),H222," ")</f>
        <v> </v>
      </c>
      <c r="S222" s="17" t="str">
        <f aca="false">IF((E222="w"),H222," ")</f>
        <v> </v>
      </c>
      <c r="T222" s="17" t="str">
        <f aca="false">IF((E222="r"),H222," ")</f>
        <v> </v>
      </c>
      <c r="U222" s="17" t="str">
        <f aca="false">IF((E222="p"),H222," ")</f>
        <v> </v>
      </c>
      <c r="V222" s="17" t="str">
        <f aca="false">IF((E222="t"),H222," ")</f>
        <v> </v>
      </c>
      <c r="W222" s="17" t="str">
        <f aca="false">IF((E222="q"),H222," ")</f>
        <v> </v>
      </c>
      <c r="X222" s="17" t="str">
        <f aca="false">IF((E222="m"),H222," ")</f>
        <v> </v>
      </c>
      <c r="Y222" s="17" t="str">
        <f aca="false">IF((E222="u"),H222," ")</f>
        <v> </v>
      </c>
      <c r="Z222" s="17" t="str">
        <f aca="false">IF((E222="a"),H222," ")</f>
        <v> </v>
      </c>
      <c r="AA222" s="17" t="str">
        <f aca="false">IF((E222="g"),H222," ")</f>
        <v> </v>
      </c>
      <c r="AB222" s="17" t="str">
        <f aca="false">IF((E222="h"),H222," ")</f>
        <v> </v>
      </c>
      <c r="AC222" s="30" t="str">
        <f aca="false">IF((E222="v"),H222," ")</f>
        <v> </v>
      </c>
      <c r="AD222" s="30" t="str">
        <f aca="false">IF((E222="n"),H222," ")</f>
        <v> </v>
      </c>
      <c r="AE222" s="17" t="str">
        <f aca="false">IF((E222="f"),H222," ")</f>
        <v> </v>
      </c>
      <c r="AF222" s="17" t="str">
        <f aca="false">IF((E222="l"),H222," ")</f>
        <v> </v>
      </c>
      <c r="AG222" s="17" t="str">
        <f aca="false">IF((E222="y"),H222," ")</f>
        <v> </v>
      </c>
      <c r="AH222" s="17" t="str">
        <f aca="false">IF((E222="z"),H222," ")</f>
        <v> </v>
      </c>
      <c r="AI222" s="17" t="str">
        <f aca="false">IF((E222="fa"),H222," ")</f>
        <v> </v>
      </c>
      <c r="AJ222" s="17" t="str">
        <f aca="false">IF((E222="e"),H222," ")</f>
        <v> </v>
      </c>
    </row>
    <row r="223" customFormat="false" ht="12" hidden="false" customHeight="false" outlineLevel="0" collapsed="false">
      <c r="A223" s="28"/>
      <c r="E223" s="2" t="str">
        <f aca="false">IF((F223&lt;&gt;0),"Enter Letter"," ")</f>
        <v> </v>
      </c>
      <c r="F223" s="30"/>
      <c r="G223" s="6" t="str">
        <f aca="false">IF(F223&lt;&gt;0,F223*G$2/(100+G$2)," ")</f>
        <v> </v>
      </c>
      <c r="H223" s="6" t="str">
        <f aca="false">IF((F223&lt;&gt;0),F223-G223," ")</f>
        <v> </v>
      </c>
      <c r="I223" s="5"/>
      <c r="L223" s="7" t="str">
        <f aca="false">IF(F223&lt;&gt;0,F223-K223," ")</f>
        <v> </v>
      </c>
      <c r="M223" s="8" t="str">
        <f aca="false">IF((F223-K223)&lt;&gt;0,M$1-A223," ")</f>
        <v> </v>
      </c>
      <c r="N223" s="5"/>
      <c r="O223" s="17" t="str">
        <f aca="false">IF((E223="s"),H223," ")</f>
        <v> </v>
      </c>
      <c r="P223" s="17" t="str">
        <f aca="false">IF((E223="c"),H223," ")</f>
        <v> </v>
      </c>
      <c r="Q223" s="17" t="str">
        <f aca="false">IF((E223="o"),H223," ")</f>
        <v> </v>
      </c>
      <c r="R223" s="17" t="str">
        <f aca="false">IF((E223="d"),H223," ")</f>
        <v> </v>
      </c>
      <c r="S223" s="17" t="str">
        <f aca="false">IF((E223="w"),H223," ")</f>
        <v> </v>
      </c>
      <c r="T223" s="17" t="str">
        <f aca="false">IF((E223="r"),H223," ")</f>
        <v> </v>
      </c>
      <c r="U223" s="17" t="str">
        <f aca="false">IF((E223="p"),H223," ")</f>
        <v> </v>
      </c>
      <c r="V223" s="17" t="str">
        <f aca="false">IF((E223="t"),H223," ")</f>
        <v> </v>
      </c>
      <c r="W223" s="17" t="str">
        <f aca="false">IF((E223="q"),H223," ")</f>
        <v> </v>
      </c>
      <c r="X223" s="17" t="str">
        <f aca="false">IF((E223="m"),H223," ")</f>
        <v> </v>
      </c>
      <c r="Y223" s="17" t="str">
        <f aca="false">IF((E223="u"),H223," ")</f>
        <v> </v>
      </c>
      <c r="Z223" s="17" t="str">
        <f aca="false">IF((E223="a"),H223," ")</f>
        <v> </v>
      </c>
      <c r="AA223" s="17" t="str">
        <f aca="false">IF((E223="g"),H223," ")</f>
        <v> </v>
      </c>
      <c r="AB223" s="17" t="str">
        <f aca="false">IF((E223="h"),H223," ")</f>
        <v> </v>
      </c>
      <c r="AC223" s="30" t="str">
        <f aca="false">IF((E223="v"),H223," ")</f>
        <v> </v>
      </c>
      <c r="AD223" s="30" t="str">
        <f aca="false">IF((E223="n"),H223," ")</f>
        <v> </v>
      </c>
      <c r="AE223" s="17" t="str">
        <f aca="false">IF((E223="f"),H223," ")</f>
        <v> </v>
      </c>
      <c r="AF223" s="17" t="str">
        <f aca="false">IF((E223="l"),H223," ")</f>
        <v> </v>
      </c>
      <c r="AG223" s="17" t="str">
        <f aca="false">IF((E223="y"),H223," ")</f>
        <v> </v>
      </c>
      <c r="AH223" s="17" t="str">
        <f aca="false">IF((E223="z"),H223," ")</f>
        <v> </v>
      </c>
      <c r="AI223" s="17" t="str">
        <f aca="false">IF((E223="fa"),H223," ")</f>
        <v> </v>
      </c>
      <c r="AJ223" s="17" t="str">
        <f aca="false">IF((E223="e"),H223," ")</f>
        <v> </v>
      </c>
    </row>
    <row r="224" customFormat="false" ht="12" hidden="false" customHeight="false" outlineLevel="0" collapsed="false">
      <c r="A224" s="28"/>
      <c r="E224" s="2" t="str">
        <f aca="false">IF((F224&lt;&gt;0),"Enter Letter"," ")</f>
        <v> </v>
      </c>
      <c r="F224" s="30"/>
      <c r="G224" s="6" t="str">
        <f aca="false">IF(F224&lt;&gt;0,F224*G$2/(100+G$2)," ")</f>
        <v> </v>
      </c>
      <c r="H224" s="6" t="str">
        <f aca="false">IF((F224&lt;&gt;0),F224-G224," ")</f>
        <v> </v>
      </c>
      <c r="I224" s="5"/>
      <c r="L224" s="7" t="str">
        <f aca="false">IF(F224&lt;&gt;0,F224-K224," ")</f>
        <v> </v>
      </c>
      <c r="M224" s="8" t="str">
        <f aca="false">IF((F224-K224)&lt;&gt;0,M$1-A224," ")</f>
        <v> </v>
      </c>
      <c r="N224" s="5"/>
      <c r="O224" s="17" t="str">
        <f aca="false">IF((E224="s"),H224," ")</f>
        <v> </v>
      </c>
      <c r="P224" s="17" t="str">
        <f aca="false">IF((E224="c"),H224," ")</f>
        <v> </v>
      </c>
      <c r="Q224" s="17" t="str">
        <f aca="false">IF((E224="o"),H224," ")</f>
        <v> </v>
      </c>
      <c r="R224" s="17" t="str">
        <f aca="false">IF((E224="d"),H224," ")</f>
        <v> </v>
      </c>
      <c r="S224" s="17" t="str">
        <f aca="false">IF((E224="w"),H224," ")</f>
        <v> </v>
      </c>
      <c r="T224" s="17" t="str">
        <f aca="false">IF((E224="r"),H224," ")</f>
        <v> </v>
      </c>
      <c r="U224" s="17" t="str">
        <f aca="false">IF((E224="p"),H224," ")</f>
        <v> </v>
      </c>
      <c r="V224" s="17" t="str">
        <f aca="false">IF((E224="t"),H224," ")</f>
        <v> </v>
      </c>
      <c r="W224" s="17" t="str">
        <f aca="false">IF((E224="q"),H224," ")</f>
        <v> </v>
      </c>
      <c r="X224" s="17" t="str">
        <f aca="false">IF((E224="m"),H224," ")</f>
        <v> </v>
      </c>
      <c r="Y224" s="17" t="str">
        <f aca="false">IF((E224="u"),H224," ")</f>
        <v> </v>
      </c>
      <c r="Z224" s="17" t="str">
        <f aca="false">IF((E224="a"),H224," ")</f>
        <v> </v>
      </c>
      <c r="AA224" s="17" t="str">
        <f aca="false">IF((E224="g"),H224," ")</f>
        <v> </v>
      </c>
      <c r="AB224" s="17" t="str">
        <f aca="false">IF((E224="h"),H224," ")</f>
        <v> </v>
      </c>
      <c r="AC224" s="30" t="str">
        <f aca="false">IF((E224="v"),H224," ")</f>
        <v> </v>
      </c>
      <c r="AD224" s="30" t="str">
        <f aca="false">IF((E224="n"),H224," ")</f>
        <v> </v>
      </c>
      <c r="AE224" s="17" t="str">
        <f aca="false">IF((E224="f"),H224," ")</f>
        <v> </v>
      </c>
      <c r="AF224" s="17" t="str">
        <f aca="false">IF((E224="l"),H224," ")</f>
        <v> </v>
      </c>
      <c r="AG224" s="17" t="str">
        <f aca="false">IF((E224="y"),H224," ")</f>
        <v> </v>
      </c>
      <c r="AH224" s="17" t="str">
        <f aca="false">IF((E224="z"),H224," ")</f>
        <v> </v>
      </c>
      <c r="AI224" s="17" t="str">
        <f aca="false">IF((E224="fa"),H224," ")</f>
        <v> </v>
      </c>
      <c r="AJ224" s="17" t="str">
        <f aca="false">IF((E224="e"),H224," ")</f>
        <v> </v>
      </c>
    </row>
    <row r="225" customFormat="false" ht="12" hidden="false" customHeight="false" outlineLevel="0" collapsed="false">
      <c r="A225" s="28"/>
      <c r="E225" s="2" t="str">
        <f aca="false">IF((F225&lt;&gt;0),"Enter Letter"," ")</f>
        <v> </v>
      </c>
      <c r="F225" s="30"/>
      <c r="G225" s="6" t="str">
        <f aca="false">IF(F225&lt;&gt;0,F225*G$2/(100+G$2)," ")</f>
        <v> </v>
      </c>
      <c r="H225" s="6" t="str">
        <f aca="false">IF((F225&lt;&gt;0),F225-G225," ")</f>
        <v> </v>
      </c>
      <c r="I225" s="5"/>
      <c r="L225" s="7" t="str">
        <f aca="false">IF(F225&lt;&gt;0,F225-K225," ")</f>
        <v> </v>
      </c>
      <c r="M225" s="8" t="str">
        <f aca="false">IF((F225-K225)&lt;&gt;0,M$1-A225," ")</f>
        <v> </v>
      </c>
      <c r="N225" s="5"/>
      <c r="O225" s="17" t="str">
        <f aca="false">IF((E225="s"),H225," ")</f>
        <v> </v>
      </c>
      <c r="P225" s="17" t="str">
        <f aca="false">IF((E225="c"),H225," ")</f>
        <v> </v>
      </c>
      <c r="Q225" s="17" t="str">
        <f aca="false">IF((E225="o"),H225," ")</f>
        <v> </v>
      </c>
      <c r="R225" s="17" t="str">
        <f aca="false">IF((E225="d"),H225," ")</f>
        <v> </v>
      </c>
      <c r="S225" s="17" t="str">
        <f aca="false">IF((E225="w"),H225," ")</f>
        <v> </v>
      </c>
      <c r="T225" s="17" t="str">
        <f aca="false">IF((E225="r"),H225," ")</f>
        <v> </v>
      </c>
      <c r="U225" s="17" t="str">
        <f aca="false">IF((E225="p"),H225," ")</f>
        <v> </v>
      </c>
      <c r="V225" s="17" t="str">
        <f aca="false">IF((E225="t"),H225," ")</f>
        <v> </v>
      </c>
      <c r="W225" s="17" t="str">
        <f aca="false">IF((E225="q"),H225," ")</f>
        <v> </v>
      </c>
      <c r="X225" s="17" t="str">
        <f aca="false">IF((E225="m"),H225," ")</f>
        <v> </v>
      </c>
      <c r="Y225" s="17" t="str">
        <f aca="false">IF((E225="u"),H225," ")</f>
        <v> </v>
      </c>
      <c r="Z225" s="17" t="str">
        <f aca="false">IF((E225="a"),H225," ")</f>
        <v> </v>
      </c>
      <c r="AA225" s="17" t="str">
        <f aca="false">IF((E225="g"),H225," ")</f>
        <v> </v>
      </c>
      <c r="AB225" s="17" t="str">
        <f aca="false">IF((E225="h"),H225," ")</f>
        <v> </v>
      </c>
      <c r="AC225" s="30" t="str">
        <f aca="false">IF((E225="v"),H225," ")</f>
        <v> </v>
      </c>
      <c r="AD225" s="30" t="str">
        <f aca="false">IF((E225="n"),H225," ")</f>
        <v> </v>
      </c>
      <c r="AE225" s="17" t="str">
        <f aca="false">IF((E225="f"),H225," ")</f>
        <v> </v>
      </c>
      <c r="AF225" s="17" t="str">
        <f aca="false">IF((E225="l"),H225," ")</f>
        <v> </v>
      </c>
      <c r="AG225" s="17" t="str">
        <f aca="false">IF((E225="y"),H225," ")</f>
        <v> </v>
      </c>
      <c r="AH225" s="17" t="str">
        <f aca="false">IF((E225="z"),H225," ")</f>
        <v> </v>
      </c>
      <c r="AI225" s="17" t="str">
        <f aca="false">IF((E225="fa"),H225," ")</f>
        <v> </v>
      </c>
      <c r="AJ225" s="17" t="str">
        <f aca="false">IF((E225="e"),H225," ")</f>
        <v> </v>
      </c>
    </row>
    <row r="226" customFormat="false" ht="12" hidden="false" customHeight="false" outlineLevel="0" collapsed="false">
      <c r="A226" s="28"/>
      <c r="E226" s="2" t="str">
        <f aca="false">IF((F226&lt;&gt;0),"Enter Letter"," ")</f>
        <v> </v>
      </c>
      <c r="F226" s="30"/>
      <c r="G226" s="6" t="str">
        <f aca="false">IF(F226&lt;&gt;0,F226*G$2/(100+G$2)," ")</f>
        <v> </v>
      </c>
      <c r="H226" s="6" t="str">
        <f aca="false">IF((F226&lt;&gt;0),F226-G226," ")</f>
        <v> </v>
      </c>
      <c r="I226" s="5"/>
      <c r="L226" s="7" t="str">
        <f aca="false">IF(F226&lt;&gt;0,F226-K226," ")</f>
        <v> </v>
      </c>
      <c r="M226" s="8" t="str">
        <f aca="false">IF((F226-K226)&lt;&gt;0,M$1-A226," ")</f>
        <v> </v>
      </c>
      <c r="N226" s="5"/>
      <c r="O226" s="17" t="str">
        <f aca="false">IF((E226="s"),H226," ")</f>
        <v> </v>
      </c>
      <c r="P226" s="17" t="str">
        <f aca="false">IF((E226="c"),H226," ")</f>
        <v> </v>
      </c>
      <c r="Q226" s="17" t="str">
        <f aca="false">IF((E226="o"),H226," ")</f>
        <v> </v>
      </c>
      <c r="R226" s="17" t="str">
        <f aca="false">IF((E226="d"),H226," ")</f>
        <v> </v>
      </c>
      <c r="S226" s="17" t="str">
        <f aca="false">IF((E226="w"),H226," ")</f>
        <v> </v>
      </c>
      <c r="T226" s="17" t="str">
        <f aca="false">IF((E226="r"),H226," ")</f>
        <v> </v>
      </c>
      <c r="U226" s="17" t="str">
        <f aca="false">IF((E226="p"),H226," ")</f>
        <v> </v>
      </c>
      <c r="V226" s="17" t="str">
        <f aca="false">IF((E226="t"),H226," ")</f>
        <v> </v>
      </c>
      <c r="W226" s="17" t="str">
        <f aca="false">IF((E226="q"),H226," ")</f>
        <v> </v>
      </c>
      <c r="X226" s="17" t="str">
        <f aca="false">IF((E226="m"),H226," ")</f>
        <v> </v>
      </c>
      <c r="Y226" s="17" t="str">
        <f aca="false">IF((E226="u"),H226," ")</f>
        <v> </v>
      </c>
      <c r="Z226" s="17" t="str">
        <f aca="false">IF((E226="a"),H226," ")</f>
        <v> </v>
      </c>
      <c r="AA226" s="17" t="str">
        <f aca="false">IF((E226="g"),H226," ")</f>
        <v> </v>
      </c>
      <c r="AB226" s="17" t="str">
        <f aca="false">IF((E226="h"),H226," ")</f>
        <v> </v>
      </c>
      <c r="AC226" s="30" t="str">
        <f aca="false">IF((E226="v"),H226," ")</f>
        <v> </v>
      </c>
      <c r="AD226" s="30" t="str">
        <f aca="false">IF((E226="n"),H226," ")</f>
        <v> </v>
      </c>
      <c r="AE226" s="17" t="str">
        <f aca="false">IF((E226="f"),H226," ")</f>
        <v> </v>
      </c>
      <c r="AF226" s="17" t="str">
        <f aca="false">IF((E226="l"),H226," ")</f>
        <v> </v>
      </c>
      <c r="AG226" s="17" t="str">
        <f aca="false">IF((E226="y"),H226," ")</f>
        <v> </v>
      </c>
      <c r="AH226" s="17" t="str">
        <f aca="false">IF((E226="z"),H226," ")</f>
        <v> </v>
      </c>
      <c r="AI226" s="17" t="str">
        <f aca="false">IF((E226="fa"),H226," ")</f>
        <v> </v>
      </c>
      <c r="AJ226" s="17" t="str">
        <f aca="false">IF((E226="e"),H226," ")</f>
        <v> </v>
      </c>
    </row>
    <row r="227" customFormat="false" ht="12" hidden="false" customHeight="false" outlineLevel="0" collapsed="false">
      <c r="A227" s="28"/>
      <c r="E227" s="2" t="str">
        <f aca="false">IF((F227&lt;&gt;0),"Enter Letter"," ")</f>
        <v> </v>
      </c>
      <c r="F227" s="30"/>
      <c r="G227" s="6" t="str">
        <f aca="false">IF(F227&lt;&gt;0,F227*G$2/(100+G$2)," ")</f>
        <v> </v>
      </c>
      <c r="H227" s="6" t="str">
        <f aca="false">IF((F227&lt;&gt;0),F227-G227," ")</f>
        <v> </v>
      </c>
      <c r="I227" s="5"/>
      <c r="L227" s="7" t="str">
        <f aca="false">IF(F227&lt;&gt;0,F227-K227," ")</f>
        <v> </v>
      </c>
      <c r="M227" s="8" t="str">
        <f aca="false">IF((F227-K227)&lt;&gt;0,M$1-A227," ")</f>
        <v> </v>
      </c>
      <c r="N227" s="5"/>
      <c r="O227" s="17" t="str">
        <f aca="false">IF((E227="s"),H227," ")</f>
        <v> </v>
      </c>
      <c r="P227" s="17" t="str">
        <f aca="false">IF((E227="c"),H227," ")</f>
        <v> </v>
      </c>
      <c r="Q227" s="17" t="str">
        <f aca="false">IF((E227="o"),H227," ")</f>
        <v> </v>
      </c>
      <c r="R227" s="17" t="str">
        <f aca="false">IF((E227="d"),H227," ")</f>
        <v> </v>
      </c>
      <c r="S227" s="17" t="str">
        <f aca="false">IF((E227="w"),H227," ")</f>
        <v> </v>
      </c>
      <c r="T227" s="17" t="str">
        <f aca="false">IF((E227="r"),H227," ")</f>
        <v> </v>
      </c>
      <c r="U227" s="17" t="str">
        <f aca="false">IF((E227="p"),H227," ")</f>
        <v> </v>
      </c>
      <c r="V227" s="17" t="str">
        <f aca="false">IF((E227="t"),H227," ")</f>
        <v> </v>
      </c>
      <c r="W227" s="17" t="str">
        <f aca="false">IF((E227="q"),H227," ")</f>
        <v> </v>
      </c>
      <c r="X227" s="17" t="str">
        <f aca="false">IF((E227="m"),H227," ")</f>
        <v> </v>
      </c>
      <c r="Y227" s="17" t="str">
        <f aca="false">IF((E227="u"),H227," ")</f>
        <v> </v>
      </c>
      <c r="Z227" s="17" t="str">
        <f aca="false">IF((E227="a"),H227," ")</f>
        <v> </v>
      </c>
      <c r="AA227" s="17" t="str">
        <f aca="false">IF((E227="g"),H227," ")</f>
        <v> </v>
      </c>
      <c r="AB227" s="17" t="str">
        <f aca="false">IF((E227="h"),H227," ")</f>
        <v> </v>
      </c>
      <c r="AC227" s="30" t="str">
        <f aca="false">IF((E227="v"),H227," ")</f>
        <v> </v>
      </c>
      <c r="AD227" s="30" t="str">
        <f aca="false">IF((E227="n"),H227," ")</f>
        <v> </v>
      </c>
      <c r="AE227" s="17" t="str">
        <f aca="false">IF((E227="f"),H227," ")</f>
        <v> </v>
      </c>
      <c r="AF227" s="17" t="str">
        <f aca="false">IF((E227="l"),H227," ")</f>
        <v> </v>
      </c>
      <c r="AG227" s="17" t="str">
        <f aca="false">IF((E227="y"),H227," ")</f>
        <v> </v>
      </c>
      <c r="AH227" s="17" t="str">
        <f aca="false">IF((E227="z"),H227," ")</f>
        <v> </v>
      </c>
      <c r="AI227" s="17" t="str">
        <f aca="false">IF((E227="fa"),H227," ")</f>
        <v> </v>
      </c>
      <c r="AJ227" s="17" t="str">
        <f aca="false">IF((E227="e"),H227," ")</f>
        <v> </v>
      </c>
    </row>
    <row r="228" customFormat="false" ht="12" hidden="false" customHeight="false" outlineLevel="0" collapsed="false">
      <c r="A228" s="28"/>
      <c r="E228" s="2" t="str">
        <f aca="false">IF((F228&lt;&gt;0),"Enter Letter"," ")</f>
        <v> </v>
      </c>
      <c r="F228" s="30"/>
      <c r="G228" s="6" t="str">
        <f aca="false">IF(F228&lt;&gt;0,F228*G$2/(100+G$2)," ")</f>
        <v> </v>
      </c>
      <c r="H228" s="6" t="str">
        <f aca="false">IF((F228&lt;&gt;0),F228-G228," ")</f>
        <v> </v>
      </c>
      <c r="I228" s="5"/>
      <c r="L228" s="7" t="str">
        <f aca="false">IF(F228&lt;&gt;0,F228-K228," ")</f>
        <v> </v>
      </c>
      <c r="M228" s="8" t="str">
        <f aca="false">IF((F228-K228)&lt;&gt;0,M$1-A228," ")</f>
        <v> </v>
      </c>
      <c r="N228" s="5"/>
      <c r="O228" s="17" t="str">
        <f aca="false">IF((E228="s"),H228," ")</f>
        <v> </v>
      </c>
      <c r="P228" s="17" t="str">
        <f aca="false">IF((E228="c"),H228," ")</f>
        <v> </v>
      </c>
      <c r="Q228" s="17" t="str">
        <f aca="false">IF((E228="o"),H228," ")</f>
        <v> </v>
      </c>
      <c r="R228" s="17" t="str">
        <f aca="false">IF((E228="d"),H228," ")</f>
        <v> </v>
      </c>
      <c r="S228" s="17" t="str">
        <f aca="false">IF((E228="w"),H228," ")</f>
        <v> </v>
      </c>
      <c r="T228" s="17" t="str">
        <f aca="false">IF((E228="r"),H228," ")</f>
        <v> </v>
      </c>
      <c r="U228" s="17" t="str">
        <f aca="false">IF((E228="p"),H228," ")</f>
        <v> </v>
      </c>
      <c r="V228" s="17" t="str">
        <f aca="false">IF((E228="t"),H228," ")</f>
        <v> </v>
      </c>
      <c r="W228" s="17" t="str">
        <f aca="false">IF((E228="q"),H228," ")</f>
        <v> </v>
      </c>
      <c r="X228" s="17" t="str">
        <f aca="false">IF((E228="m"),H228," ")</f>
        <v> </v>
      </c>
      <c r="Y228" s="17" t="str">
        <f aca="false">IF((E228="u"),H228," ")</f>
        <v> </v>
      </c>
      <c r="Z228" s="17" t="str">
        <f aca="false">IF((E228="a"),H228," ")</f>
        <v> </v>
      </c>
      <c r="AA228" s="17" t="str">
        <f aca="false">IF((E228="g"),H228," ")</f>
        <v> </v>
      </c>
      <c r="AB228" s="17" t="str">
        <f aca="false">IF((E228="h"),H228," ")</f>
        <v> </v>
      </c>
      <c r="AC228" s="30" t="str">
        <f aca="false">IF((E228="v"),H228," ")</f>
        <v> </v>
      </c>
      <c r="AD228" s="30" t="str">
        <f aca="false">IF((E228="n"),H228," ")</f>
        <v> </v>
      </c>
      <c r="AE228" s="17" t="str">
        <f aca="false">IF((E228="f"),H228," ")</f>
        <v> </v>
      </c>
      <c r="AF228" s="17" t="str">
        <f aca="false">IF((E228="l"),H228," ")</f>
        <v> </v>
      </c>
      <c r="AG228" s="17" t="str">
        <f aca="false">IF((E228="y"),H228," ")</f>
        <v> </v>
      </c>
      <c r="AH228" s="17" t="str">
        <f aca="false">IF((E228="z"),H228," ")</f>
        <v> </v>
      </c>
      <c r="AI228" s="17" t="str">
        <f aca="false">IF((E228="fa"),H228," ")</f>
        <v> </v>
      </c>
      <c r="AJ228" s="17" t="str">
        <f aca="false">IF((E228="e"),H228," ")</f>
        <v> </v>
      </c>
    </row>
    <row r="229" customFormat="false" ht="12" hidden="false" customHeight="false" outlineLevel="0" collapsed="false">
      <c r="A229" s="28"/>
      <c r="E229" s="2" t="str">
        <f aca="false">IF((F229&lt;&gt;0),"Enter Letter"," ")</f>
        <v> </v>
      </c>
      <c r="F229" s="30"/>
      <c r="G229" s="6" t="str">
        <f aca="false">IF(F229&lt;&gt;0,F229*G$2/(100+G$2)," ")</f>
        <v> </v>
      </c>
      <c r="H229" s="6" t="str">
        <f aca="false">IF((F229&lt;&gt;0),F229-G229," ")</f>
        <v> </v>
      </c>
      <c r="I229" s="5"/>
      <c r="L229" s="7" t="str">
        <f aca="false">IF(F229&lt;&gt;0,F229-K229," ")</f>
        <v> </v>
      </c>
      <c r="M229" s="8" t="str">
        <f aca="false">IF((F229-K229)&lt;&gt;0,M$1-A229," ")</f>
        <v> </v>
      </c>
      <c r="N229" s="5"/>
      <c r="O229" s="17" t="str">
        <f aca="false">IF((E229="s"),H229," ")</f>
        <v> </v>
      </c>
      <c r="P229" s="17" t="str">
        <f aca="false">IF((E229="c"),H229," ")</f>
        <v> </v>
      </c>
      <c r="Q229" s="17" t="str">
        <f aca="false">IF((E229="o"),H229," ")</f>
        <v> </v>
      </c>
      <c r="R229" s="17" t="str">
        <f aca="false">IF((E229="d"),H229," ")</f>
        <v> </v>
      </c>
      <c r="S229" s="17" t="str">
        <f aca="false">IF((E229="w"),H229," ")</f>
        <v> </v>
      </c>
      <c r="T229" s="17" t="str">
        <f aca="false">IF((E229="r"),H229," ")</f>
        <v> </v>
      </c>
      <c r="U229" s="17" t="str">
        <f aca="false">IF((E229="p"),H229," ")</f>
        <v> </v>
      </c>
      <c r="V229" s="17" t="str">
        <f aca="false">IF((E229="t"),H229," ")</f>
        <v> </v>
      </c>
      <c r="W229" s="17" t="str">
        <f aca="false">IF((E229="q"),H229," ")</f>
        <v> </v>
      </c>
      <c r="X229" s="17" t="str">
        <f aca="false">IF((E229="m"),H229," ")</f>
        <v> </v>
      </c>
      <c r="Y229" s="17" t="str">
        <f aca="false">IF((E229="u"),H229," ")</f>
        <v> </v>
      </c>
      <c r="Z229" s="17" t="str">
        <f aca="false">IF((E229="a"),H229," ")</f>
        <v> </v>
      </c>
      <c r="AA229" s="17" t="str">
        <f aca="false">IF((E229="g"),H229," ")</f>
        <v> </v>
      </c>
      <c r="AB229" s="17" t="str">
        <f aca="false">IF((E229="h"),H229," ")</f>
        <v> </v>
      </c>
      <c r="AC229" s="30" t="str">
        <f aca="false">IF((E229="v"),H229," ")</f>
        <v> </v>
      </c>
      <c r="AD229" s="30" t="str">
        <f aca="false">IF((E229="n"),H229," ")</f>
        <v> </v>
      </c>
      <c r="AE229" s="17" t="str">
        <f aca="false">IF((E229="f"),H229," ")</f>
        <v> </v>
      </c>
      <c r="AF229" s="17" t="str">
        <f aca="false">IF((E229="l"),H229," ")</f>
        <v> </v>
      </c>
      <c r="AG229" s="17" t="str">
        <f aca="false">IF((E229="y"),H229," ")</f>
        <v> </v>
      </c>
      <c r="AH229" s="17" t="str">
        <f aca="false">IF((E229="z"),H229," ")</f>
        <v> </v>
      </c>
      <c r="AI229" s="17" t="str">
        <f aca="false">IF((E229="fa"),H229," ")</f>
        <v> </v>
      </c>
      <c r="AJ229" s="17" t="str">
        <f aca="false">IF((E229="e"),H229," ")</f>
        <v> </v>
      </c>
    </row>
    <row r="230" customFormat="false" ht="12" hidden="false" customHeight="false" outlineLevel="0" collapsed="false">
      <c r="A230" s="28"/>
      <c r="E230" s="2" t="str">
        <f aca="false">IF((F230&lt;&gt;0),"Enter Letter"," ")</f>
        <v> </v>
      </c>
      <c r="F230" s="30"/>
      <c r="G230" s="6" t="str">
        <f aca="false">IF(F230&lt;&gt;0,F230*G$2/(100+G$2)," ")</f>
        <v> </v>
      </c>
      <c r="H230" s="6" t="str">
        <f aca="false">IF((F230&lt;&gt;0),F230-G230," ")</f>
        <v> </v>
      </c>
      <c r="I230" s="5"/>
      <c r="L230" s="7" t="str">
        <f aca="false">IF(F230&lt;&gt;0,F230-K230," ")</f>
        <v> </v>
      </c>
      <c r="M230" s="8" t="str">
        <f aca="false">IF((F230-K230)&lt;&gt;0,M$1-A230," ")</f>
        <v> </v>
      </c>
      <c r="N230" s="5"/>
      <c r="O230" s="17" t="str">
        <f aca="false">IF((E230="s"),H230," ")</f>
        <v> </v>
      </c>
      <c r="P230" s="17" t="str">
        <f aca="false">IF((E230="c"),H230," ")</f>
        <v> </v>
      </c>
      <c r="Q230" s="17" t="str">
        <f aca="false">IF((E230="o"),H230," ")</f>
        <v> </v>
      </c>
      <c r="R230" s="17" t="str">
        <f aca="false">IF((E230="d"),H230," ")</f>
        <v> </v>
      </c>
      <c r="S230" s="17" t="str">
        <f aca="false">IF((E230="w"),H230," ")</f>
        <v> </v>
      </c>
      <c r="T230" s="17" t="str">
        <f aca="false">IF((E230="r"),H230," ")</f>
        <v> </v>
      </c>
      <c r="U230" s="17" t="str">
        <f aca="false">IF((E230="p"),H230," ")</f>
        <v> </v>
      </c>
      <c r="V230" s="17" t="str">
        <f aca="false">IF((E230="t"),H230," ")</f>
        <v> </v>
      </c>
      <c r="W230" s="17" t="str">
        <f aca="false">IF((E230="q"),H230," ")</f>
        <v> </v>
      </c>
      <c r="X230" s="17" t="str">
        <f aca="false">IF((E230="m"),H230," ")</f>
        <v> </v>
      </c>
      <c r="Y230" s="17" t="str">
        <f aca="false">IF((E230="u"),H230," ")</f>
        <v> </v>
      </c>
      <c r="Z230" s="17" t="str">
        <f aca="false">IF((E230="a"),H230," ")</f>
        <v> </v>
      </c>
      <c r="AA230" s="17" t="str">
        <f aca="false">IF((E230="g"),H230," ")</f>
        <v> </v>
      </c>
      <c r="AB230" s="17" t="str">
        <f aca="false">IF((E230="h"),H230," ")</f>
        <v> </v>
      </c>
      <c r="AC230" s="30" t="str">
        <f aca="false">IF((E230="v"),H230," ")</f>
        <v> </v>
      </c>
      <c r="AD230" s="30" t="str">
        <f aca="false">IF((E230="n"),H230," ")</f>
        <v> </v>
      </c>
      <c r="AE230" s="17" t="str">
        <f aca="false">IF((E230="f"),H230," ")</f>
        <v> </v>
      </c>
      <c r="AF230" s="17" t="str">
        <f aca="false">IF((E230="l"),H230," ")</f>
        <v> </v>
      </c>
      <c r="AG230" s="17" t="str">
        <f aca="false">IF((E230="y"),H230," ")</f>
        <v> </v>
      </c>
      <c r="AH230" s="17" t="str">
        <f aca="false">IF((E230="z"),H230," ")</f>
        <v> </v>
      </c>
      <c r="AI230" s="17" t="str">
        <f aca="false">IF((E230="fa"),H230," ")</f>
        <v> </v>
      </c>
      <c r="AJ230" s="17" t="str">
        <f aca="false">IF((E230="e"),H230," ")</f>
        <v> </v>
      </c>
    </row>
    <row r="231" customFormat="false" ht="12" hidden="false" customHeight="false" outlineLevel="0" collapsed="false">
      <c r="A231" s="28"/>
      <c r="E231" s="2" t="str">
        <f aca="false">IF((F231&lt;&gt;0),"Enter Letter"," ")</f>
        <v> </v>
      </c>
      <c r="F231" s="30"/>
      <c r="G231" s="6" t="str">
        <f aca="false">IF(F231&lt;&gt;0,F231*G$2/(100+G$2)," ")</f>
        <v> </v>
      </c>
      <c r="H231" s="6" t="str">
        <f aca="false">IF((F231&lt;&gt;0),F231-G231," ")</f>
        <v> </v>
      </c>
      <c r="I231" s="5"/>
      <c r="L231" s="7" t="str">
        <f aca="false">IF(F231&lt;&gt;0,F231-K231," ")</f>
        <v> </v>
      </c>
      <c r="M231" s="8" t="str">
        <f aca="false">IF((F231-K231)&lt;&gt;0,M$1-A231," ")</f>
        <v> </v>
      </c>
      <c r="N231" s="5"/>
      <c r="O231" s="17" t="str">
        <f aca="false">IF((E231="s"),H231," ")</f>
        <v> </v>
      </c>
      <c r="P231" s="17" t="str">
        <f aca="false">IF((E231="c"),H231," ")</f>
        <v> </v>
      </c>
      <c r="Q231" s="17" t="str">
        <f aca="false">IF((E231="o"),H231," ")</f>
        <v> </v>
      </c>
      <c r="R231" s="17" t="str">
        <f aca="false">IF((E231="d"),H231," ")</f>
        <v> </v>
      </c>
      <c r="S231" s="17" t="str">
        <f aca="false">IF((E231="w"),H231," ")</f>
        <v> </v>
      </c>
      <c r="T231" s="17" t="str">
        <f aca="false">IF((E231="r"),H231," ")</f>
        <v> </v>
      </c>
      <c r="U231" s="17" t="str">
        <f aca="false">IF((E231="p"),H231," ")</f>
        <v> </v>
      </c>
      <c r="V231" s="17" t="str">
        <f aca="false">IF((E231="t"),H231," ")</f>
        <v> </v>
      </c>
      <c r="W231" s="17" t="str">
        <f aca="false">IF((E231="q"),H231," ")</f>
        <v> </v>
      </c>
      <c r="X231" s="17" t="str">
        <f aca="false">IF((E231="m"),H231," ")</f>
        <v> </v>
      </c>
      <c r="Y231" s="17" t="str">
        <f aca="false">IF((E231="u"),H231," ")</f>
        <v> </v>
      </c>
      <c r="Z231" s="17" t="str">
        <f aca="false">IF((E231="a"),H231," ")</f>
        <v> </v>
      </c>
      <c r="AA231" s="17" t="str">
        <f aca="false">IF((E231="g"),H231," ")</f>
        <v> </v>
      </c>
      <c r="AB231" s="17" t="str">
        <f aca="false">IF((E231="h"),H231," ")</f>
        <v> </v>
      </c>
      <c r="AC231" s="30" t="str">
        <f aca="false">IF((E231="v"),H231," ")</f>
        <v> </v>
      </c>
      <c r="AD231" s="30" t="str">
        <f aca="false">IF((E231="n"),H231," ")</f>
        <v> </v>
      </c>
      <c r="AE231" s="17" t="str">
        <f aca="false">IF((E231="f"),H231," ")</f>
        <v> </v>
      </c>
      <c r="AF231" s="17" t="str">
        <f aca="false">IF((E231="l"),H231," ")</f>
        <v> </v>
      </c>
      <c r="AG231" s="17" t="str">
        <f aca="false">IF((E231="y"),H231," ")</f>
        <v> </v>
      </c>
      <c r="AH231" s="17" t="str">
        <f aca="false">IF((E231="z"),H231," ")</f>
        <v> </v>
      </c>
      <c r="AI231" s="17" t="str">
        <f aca="false">IF((E231="fa"),H231," ")</f>
        <v> </v>
      </c>
      <c r="AJ231" s="17" t="str">
        <f aca="false">IF((E231="e"),H231," ")</f>
        <v> </v>
      </c>
    </row>
    <row r="232" customFormat="false" ht="12" hidden="false" customHeight="false" outlineLevel="0" collapsed="false">
      <c r="A232" s="28"/>
      <c r="E232" s="2" t="str">
        <f aca="false">IF((F232&lt;&gt;0),"Enter Letter"," ")</f>
        <v> </v>
      </c>
      <c r="F232" s="30"/>
      <c r="G232" s="6" t="str">
        <f aca="false">IF(F232&lt;&gt;0,F232*G$2/(100+G$2)," ")</f>
        <v> </v>
      </c>
      <c r="H232" s="6" t="str">
        <f aca="false">IF((F232&lt;&gt;0),F232-G232," ")</f>
        <v> </v>
      </c>
      <c r="I232" s="5"/>
      <c r="L232" s="7" t="str">
        <f aca="false">IF(F232&lt;&gt;0,F232-K232," ")</f>
        <v> </v>
      </c>
      <c r="M232" s="8" t="str">
        <f aca="false">IF((F232-K232)&lt;&gt;0,M$1-A232," ")</f>
        <v> </v>
      </c>
      <c r="N232" s="5"/>
      <c r="O232" s="17" t="str">
        <f aca="false">IF((E232="s"),H232," ")</f>
        <v> </v>
      </c>
      <c r="P232" s="17" t="str">
        <f aca="false">IF((E232="c"),H232," ")</f>
        <v> </v>
      </c>
      <c r="Q232" s="17" t="str">
        <f aca="false">IF((E232="o"),H232," ")</f>
        <v> </v>
      </c>
      <c r="R232" s="17" t="str">
        <f aca="false">IF((E232="d"),H232," ")</f>
        <v> </v>
      </c>
      <c r="S232" s="17" t="str">
        <f aca="false">IF((E232="w"),H232," ")</f>
        <v> </v>
      </c>
      <c r="T232" s="17" t="str">
        <f aca="false">IF((E232="r"),H232," ")</f>
        <v> </v>
      </c>
      <c r="U232" s="17" t="str">
        <f aca="false">IF((E232="p"),H232," ")</f>
        <v> </v>
      </c>
      <c r="V232" s="17" t="str">
        <f aca="false">IF((E232="t"),H232," ")</f>
        <v> </v>
      </c>
      <c r="W232" s="17" t="str">
        <f aca="false">IF((E232="q"),H232," ")</f>
        <v> </v>
      </c>
      <c r="X232" s="17" t="str">
        <f aca="false">IF((E232="m"),H232," ")</f>
        <v> </v>
      </c>
      <c r="Y232" s="17" t="str">
        <f aca="false">IF((E232="u"),H232," ")</f>
        <v> </v>
      </c>
      <c r="Z232" s="17" t="str">
        <f aca="false">IF((E232="a"),H232," ")</f>
        <v> </v>
      </c>
      <c r="AA232" s="17" t="str">
        <f aca="false">IF((E232="g"),H232," ")</f>
        <v> </v>
      </c>
      <c r="AB232" s="17" t="str">
        <f aca="false">IF((E232="h"),H232," ")</f>
        <v> </v>
      </c>
      <c r="AC232" s="30" t="str">
        <f aca="false">IF((E232="v"),H232," ")</f>
        <v> </v>
      </c>
      <c r="AD232" s="30" t="str">
        <f aca="false">IF((E232="n"),H232," ")</f>
        <v> </v>
      </c>
      <c r="AE232" s="17" t="str">
        <f aca="false">IF((E232="f"),H232," ")</f>
        <v> </v>
      </c>
      <c r="AF232" s="17" t="str">
        <f aca="false">IF((E232="l"),H232," ")</f>
        <v> </v>
      </c>
      <c r="AG232" s="17" t="str">
        <f aca="false">IF((E232="y"),H232," ")</f>
        <v> </v>
      </c>
      <c r="AH232" s="17" t="str">
        <f aca="false">IF((E232="z"),H232," ")</f>
        <v> </v>
      </c>
      <c r="AI232" s="17" t="str">
        <f aca="false">IF((E232="fa"),H232," ")</f>
        <v> </v>
      </c>
      <c r="AJ232" s="17" t="str">
        <f aca="false">IF((E232="e"),H232," ")</f>
        <v> </v>
      </c>
    </row>
    <row r="233" customFormat="false" ht="12" hidden="false" customHeight="false" outlineLevel="0" collapsed="false">
      <c r="A233" s="28"/>
      <c r="E233" s="2" t="str">
        <f aca="false">IF((F233&lt;&gt;0),"Enter Letter"," ")</f>
        <v> </v>
      </c>
      <c r="F233" s="30"/>
      <c r="G233" s="6" t="str">
        <f aca="false">IF(F233&lt;&gt;0,F233*G$2/(100+G$2)," ")</f>
        <v> </v>
      </c>
      <c r="H233" s="6" t="str">
        <f aca="false">IF((F233&lt;&gt;0),F233-G233," ")</f>
        <v> </v>
      </c>
      <c r="I233" s="5"/>
      <c r="L233" s="7" t="str">
        <f aca="false">IF(F233&lt;&gt;0,F233-K233," ")</f>
        <v> </v>
      </c>
      <c r="M233" s="8" t="str">
        <f aca="false">IF((F233-K233)&lt;&gt;0,M$1-A233," ")</f>
        <v> </v>
      </c>
      <c r="N233" s="5"/>
      <c r="O233" s="17" t="str">
        <f aca="false">IF((E233="s"),H233," ")</f>
        <v> </v>
      </c>
      <c r="P233" s="17" t="str">
        <f aca="false">IF((E233="c"),H233," ")</f>
        <v> </v>
      </c>
      <c r="Q233" s="17" t="str">
        <f aca="false">IF((E233="o"),H233," ")</f>
        <v> </v>
      </c>
      <c r="R233" s="17" t="str">
        <f aca="false">IF((E233="d"),H233," ")</f>
        <v> </v>
      </c>
      <c r="S233" s="17" t="str">
        <f aca="false">IF((E233="w"),H233," ")</f>
        <v> </v>
      </c>
      <c r="T233" s="17" t="str">
        <f aca="false">IF((E233="r"),H233," ")</f>
        <v> </v>
      </c>
      <c r="U233" s="17" t="str">
        <f aca="false">IF((E233="p"),H233," ")</f>
        <v> </v>
      </c>
      <c r="V233" s="17" t="str">
        <f aca="false">IF((E233="t"),H233," ")</f>
        <v> </v>
      </c>
      <c r="W233" s="17" t="str">
        <f aca="false">IF((E233="q"),H233," ")</f>
        <v> </v>
      </c>
      <c r="X233" s="17" t="str">
        <f aca="false">IF((E233="m"),H233," ")</f>
        <v> </v>
      </c>
      <c r="Y233" s="17" t="str">
        <f aca="false">IF((E233="u"),H233," ")</f>
        <v> </v>
      </c>
      <c r="Z233" s="17" t="str">
        <f aca="false">IF((E233="a"),H233," ")</f>
        <v> </v>
      </c>
      <c r="AA233" s="17" t="str">
        <f aca="false">IF((E233="g"),H233," ")</f>
        <v> </v>
      </c>
      <c r="AB233" s="17" t="str">
        <f aca="false">IF((E233="h"),H233," ")</f>
        <v> </v>
      </c>
      <c r="AC233" s="30" t="str">
        <f aca="false">IF((E233="v"),H233," ")</f>
        <v> </v>
      </c>
      <c r="AD233" s="30" t="str">
        <f aca="false">IF((E233="n"),H233," ")</f>
        <v> </v>
      </c>
      <c r="AE233" s="17" t="str">
        <f aca="false">IF((E233="f"),H233," ")</f>
        <v> </v>
      </c>
      <c r="AF233" s="17" t="str">
        <f aca="false">IF((E233="l"),H233," ")</f>
        <v> </v>
      </c>
      <c r="AG233" s="17" t="str">
        <f aca="false">IF((E233="y"),H233," ")</f>
        <v> </v>
      </c>
      <c r="AH233" s="17" t="str">
        <f aca="false">IF((E233="z"),H233," ")</f>
        <v> </v>
      </c>
      <c r="AI233" s="17" t="str">
        <f aca="false">IF((E233="fa"),H233," ")</f>
        <v> </v>
      </c>
      <c r="AJ233" s="17" t="str">
        <f aca="false">IF((E233="e"),H233," ")</f>
        <v> </v>
      </c>
    </row>
    <row r="234" customFormat="false" ht="12" hidden="false" customHeight="false" outlineLevel="0" collapsed="false">
      <c r="A234" s="28"/>
      <c r="E234" s="2" t="str">
        <f aca="false">IF((F234&lt;&gt;0),"Enter Letter"," ")</f>
        <v> </v>
      </c>
      <c r="F234" s="30"/>
      <c r="G234" s="6" t="str">
        <f aca="false">IF(F234&lt;&gt;0,F234*G$2/(100+G$2)," ")</f>
        <v> </v>
      </c>
      <c r="H234" s="6" t="str">
        <f aca="false">IF((F234&lt;&gt;0),F234-G234," ")</f>
        <v> </v>
      </c>
      <c r="I234" s="5"/>
      <c r="L234" s="7" t="str">
        <f aca="false">IF(F234&lt;&gt;0,F234-K234," ")</f>
        <v> </v>
      </c>
      <c r="M234" s="8" t="str">
        <f aca="false">IF((F234-K234)&lt;&gt;0,M$1-A234," ")</f>
        <v> </v>
      </c>
      <c r="N234" s="5"/>
      <c r="O234" s="17" t="str">
        <f aca="false">IF((E234="s"),H234," ")</f>
        <v> </v>
      </c>
      <c r="P234" s="17" t="str">
        <f aca="false">IF((E234="c"),H234," ")</f>
        <v> </v>
      </c>
      <c r="Q234" s="17" t="str">
        <f aca="false">IF((E234="o"),H234," ")</f>
        <v> </v>
      </c>
      <c r="R234" s="17" t="str">
        <f aca="false">IF((E234="d"),H234," ")</f>
        <v> </v>
      </c>
      <c r="S234" s="17" t="str">
        <f aca="false">IF((E234="w"),H234," ")</f>
        <v> </v>
      </c>
      <c r="T234" s="17" t="str">
        <f aca="false">IF((E234="r"),H234," ")</f>
        <v> </v>
      </c>
      <c r="U234" s="17" t="str">
        <f aca="false">IF((E234="p"),H234," ")</f>
        <v> </v>
      </c>
      <c r="V234" s="17" t="str">
        <f aca="false">IF((E234="t"),H234," ")</f>
        <v> </v>
      </c>
      <c r="W234" s="17" t="str">
        <f aca="false">IF((E234="q"),H234," ")</f>
        <v> </v>
      </c>
      <c r="X234" s="17" t="str">
        <f aca="false">IF((E234="m"),H234," ")</f>
        <v> </v>
      </c>
      <c r="Y234" s="17" t="str">
        <f aca="false">IF((E234="u"),H234," ")</f>
        <v> </v>
      </c>
      <c r="Z234" s="17" t="str">
        <f aca="false">IF((E234="a"),H234," ")</f>
        <v> </v>
      </c>
      <c r="AA234" s="17" t="str">
        <f aca="false">IF((E234="g"),H234," ")</f>
        <v> </v>
      </c>
      <c r="AB234" s="17" t="str">
        <f aca="false">IF((E234="h"),H234," ")</f>
        <v> </v>
      </c>
      <c r="AC234" s="30" t="str">
        <f aca="false">IF((E234="v"),H234," ")</f>
        <v> </v>
      </c>
      <c r="AD234" s="30" t="str">
        <f aca="false">IF((E234="n"),H234," ")</f>
        <v> </v>
      </c>
      <c r="AE234" s="17" t="str">
        <f aca="false">IF((E234="f"),H234," ")</f>
        <v> </v>
      </c>
      <c r="AF234" s="17" t="str">
        <f aca="false">IF((E234="l"),H234," ")</f>
        <v> </v>
      </c>
      <c r="AG234" s="17" t="str">
        <f aca="false">IF((E234="y"),H234," ")</f>
        <v> </v>
      </c>
      <c r="AH234" s="17" t="str">
        <f aca="false">IF((E234="z"),H234," ")</f>
        <v> </v>
      </c>
      <c r="AI234" s="17" t="str">
        <f aca="false">IF((E234="fa"),H234," ")</f>
        <v> </v>
      </c>
      <c r="AJ234" s="17" t="str">
        <f aca="false">IF((E234="e"),H234," ")</f>
        <v> </v>
      </c>
    </row>
    <row r="235" customFormat="false" ht="12" hidden="false" customHeight="false" outlineLevel="0" collapsed="false">
      <c r="A235" s="28"/>
      <c r="E235" s="2" t="str">
        <f aca="false">IF((F235&lt;&gt;0),"Enter Letter"," ")</f>
        <v> </v>
      </c>
      <c r="F235" s="30"/>
      <c r="G235" s="6" t="str">
        <f aca="false">IF(F235&lt;&gt;0,F235*G$2/(100+G$2)," ")</f>
        <v> </v>
      </c>
      <c r="H235" s="6" t="str">
        <f aca="false">IF((F235&lt;&gt;0),F235-G235," ")</f>
        <v> </v>
      </c>
      <c r="I235" s="5"/>
      <c r="L235" s="7" t="str">
        <f aca="false">IF(F235&lt;&gt;0,F235-K235," ")</f>
        <v> </v>
      </c>
      <c r="M235" s="8" t="str">
        <f aca="false">IF((F235-K235)&lt;&gt;0,M$1-A235," ")</f>
        <v> </v>
      </c>
      <c r="N235" s="5"/>
      <c r="O235" s="17" t="str">
        <f aca="false">IF((E235="s"),H235," ")</f>
        <v> </v>
      </c>
      <c r="P235" s="17" t="str">
        <f aca="false">IF((E235="c"),H235," ")</f>
        <v> </v>
      </c>
      <c r="Q235" s="17" t="str">
        <f aca="false">IF((E235="o"),H235," ")</f>
        <v> </v>
      </c>
      <c r="R235" s="17" t="str">
        <f aca="false">IF((E235="d"),H235," ")</f>
        <v> </v>
      </c>
      <c r="S235" s="17" t="str">
        <f aca="false">IF((E235="w"),H235," ")</f>
        <v> </v>
      </c>
      <c r="T235" s="17" t="str">
        <f aca="false">IF((E235="r"),H235," ")</f>
        <v> </v>
      </c>
      <c r="U235" s="17" t="str">
        <f aca="false">IF((E235="p"),H235," ")</f>
        <v> </v>
      </c>
      <c r="V235" s="17" t="str">
        <f aca="false">IF((E235="t"),H235," ")</f>
        <v> </v>
      </c>
      <c r="W235" s="17" t="str">
        <f aca="false">IF((E235="q"),H235," ")</f>
        <v> </v>
      </c>
      <c r="X235" s="17" t="str">
        <f aca="false">IF((E235="m"),H235," ")</f>
        <v> </v>
      </c>
      <c r="Y235" s="17" t="str">
        <f aca="false">IF((E235="u"),H235," ")</f>
        <v> </v>
      </c>
      <c r="Z235" s="17" t="str">
        <f aca="false">IF((E235="a"),H235," ")</f>
        <v> </v>
      </c>
      <c r="AA235" s="17" t="str">
        <f aca="false">IF((E235="g"),H235," ")</f>
        <v> </v>
      </c>
      <c r="AB235" s="17" t="str">
        <f aca="false">IF((E235="h"),H235," ")</f>
        <v> </v>
      </c>
      <c r="AC235" s="30" t="str">
        <f aca="false">IF((E235="v"),H235," ")</f>
        <v> </v>
      </c>
      <c r="AD235" s="30" t="str">
        <f aca="false">IF((E235="n"),H235," ")</f>
        <v> </v>
      </c>
      <c r="AE235" s="17" t="str">
        <f aca="false">IF((E235="f"),H235," ")</f>
        <v> </v>
      </c>
      <c r="AF235" s="17" t="str">
        <f aca="false">IF((E235="l"),H235," ")</f>
        <v> </v>
      </c>
      <c r="AG235" s="17" t="str">
        <f aca="false">IF((E235="y"),H235," ")</f>
        <v> </v>
      </c>
      <c r="AH235" s="17" t="str">
        <f aca="false">IF((E235="z"),H235," ")</f>
        <v> </v>
      </c>
      <c r="AI235" s="17" t="str">
        <f aca="false">IF((E235="fa"),H235," ")</f>
        <v> </v>
      </c>
      <c r="AJ235" s="17" t="str">
        <f aca="false">IF((E235="e"),H235," ")</f>
        <v> </v>
      </c>
    </row>
    <row r="236" customFormat="false" ht="12" hidden="false" customHeight="false" outlineLevel="0" collapsed="false">
      <c r="A236" s="28"/>
      <c r="E236" s="2" t="str">
        <f aca="false">IF((F236&lt;&gt;0),"Enter Letter"," ")</f>
        <v> </v>
      </c>
      <c r="F236" s="30"/>
      <c r="G236" s="6" t="str">
        <f aca="false">IF(F236&lt;&gt;0,F236*G$2/(100+G$2)," ")</f>
        <v> </v>
      </c>
      <c r="H236" s="6" t="str">
        <f aca="false">IF((F236&lt;&gt;0),F236-G236," ")</f>
        <v> </v>
      </c>
      <c r="I236" s="5"/>
      <c r="L236" s="7" t="str">
        <f aca="false">IF(F236&lt;&gt;0,F236-K236," ")</f>
        <v> </v>
      </c>
      <c r="M236" s="8" t="str">
        <f aca="false">IF((F236-K236)&lt;&gt;0,M$1-A236," ")</f>
        <v> </v>
      </c>
      <c r="N236" s="5"/>
      <c r="O236" s="17" t="str">
        <f aca="false">IF((E236="s"),H236," ")</f>
        <v> </v>
      </c>
      <c r="P236" s="17" t="str">
        <f aca="false">IF((E236="c"),H236," ")</f>
        <v> </v>
      </c>
      <c r="Q236" s="17" t="str">
        <f aca="false">IF((E236="o"),H236," ")</f>
        <v> </v>
      </c>
      <c r="R236" s="17" t="str">
        <f aca="false">IF((E236="d"),H236," ")</f>
        <v> </v>
      </c>
      <c r="S236" s="17" t="str">
        <f aca="false">IF((E236="w"),H236," ")</f>
        <v> </v>
      </c>
      <c r="T236" s="17" t="str">
        <f aca="false">IF((E236="r"),H236," ")</f>
        <v> </v>
      </c>
      <c r="U236" s="17" t="str">
        <f aca="false">IF((E236="p"),H236," ")</f>
        <v> </v>
      </c>
      <c r="V236" s="17" t="str">
        <f aca="false">IF((E236="t"),H236," ")</f>
        <v> </v>
      </c>
      <c r="W236" s="17" t="str">
        <f aca="false">IF((E236="q"),H236," ")</f>
        <v> </v>
      </c>
      <c r="X236" s="17" t="str">
        <f aca="false">IF((E236="m"),H236," ")</f>
        <v> </v>
      </c>
      <c r="Y236" s="17" t="str">
        <f aca="false">IF((E236="u"),H236," ")</f>
        <v> </v>
      </c>
      <c r="Z236" s="17" t="str">
        <f aca="false">IF((E236="a"),H236," ")</f>
        <v> </v>
      </c>
      <c r="AA236" s="17" t="str">
        <f aca="false">IF((E236="g"),H236," ")</f>
        <v> </v>
      </c>
      <c r="AB236" s="17" t="str">
        <f aca="false">IF((E236="h"),H236," ")</f>
        <v> </v>
      </c>
      <c r="AC236" s="30" t="str">
        <f aca="false">IF((E236="v"),H236," ")</f>
        <v> </v>
      </c>
      <c r="AD236" s="30" t="str">
        <f aca="false">IF((E236="n"),H236," ")</f>
        <v> </v>
      </c>
      <c r="AE236" s="17" t="str">
        <f aca="false">IF((E236="f"),H236," ")</f>
        <v> </v>
      </c>
      <c r="AF236" s="17" t="str">
        <f aca="false">IF((E236="l"),H236," ")</f>
        <v> </v>
      </c>
      <c r="AG236" s="17" t="str">
        <f aca="false">IF((E236="y"),H236," ")</f>
        <v> </v>
      </c>
      <c r="AH236" s="17" t="str">
        <f aca="false">IF((E236="z"),H236," ")</f>
        <v> </v>
      </c>
      <c r="AI236" s="17" t="str">
        <f aca="false">IF((E236="fa"),H236," ")</f>
        <v> </v>
      </c>
      <c r="AJ236" s="17" t="str">
        <f aca="false">IF((E236="e"),H236," ")</f>
        <v> </v>
      </c>
    </row>
    <row r="237" customFormat="false" ht="12" hidden="false" customHeight="false" outlineLevel="0" collapsed="false">
      <c r="A237" s="28"/>
      <c r="E237" s="2" t="str">
        <f aca="false">IF((F237&lt;&gt;0),"Enter Letter"," ")</f>
        <v> </v>
      </c>
      <c r="F237" s="30"/>
      <c r="G237" s="6" t="str">
        <f aca="false">IF(F237&lt;&gt;0,F237*G$2/(100+G$2)," ")</f>
        <v> </v>
      </c>
      <c r="H237" s="6" t="str">
        <f aca="false">IF((F237&lt;&gt;0),F237-G237," ")</f>
        <v> </v>
      </c>
      <c r="I237" s="5"/>
      <c r="L237" s="7" t="str">
        <f aca="false">IF(F237&lt;&gt;0,F237-K237," ")</f>
        <v> </v>
      </c>
      <c r="M237" s="8" t="str">
        <f aca="false">IF((F237-K237)&lt;&gt;0,M$1-A237," ")</f>
        <v> </v>
      </c>
      <c r="N237" s="5"/>
      <c r="O237" s="17" t="str">
        <f aca="false">IF((E237="s"),H237," ")</f>
        <v> </v>
      </c>
      <c r="P237" s="17" t="str">
        <f aca="false">IF((E237="c"),H237," ")</f>
        <v> </v>
      </c>
      <c r="Q237" s="17" t="str">
        <f aca="false">IF((E237="o"),H237," ")</f>
        <v> </v>
      </c>
      <c r="R237" s="17" t="str">
        <f aca="false">IF((E237="d"),H237," ")</f>
        <v> </v>
      </c>
      <c r="S237" s="17" t="str">
        <f aca="false">IF((E237="w"),H237," ")</f>
        <v> </v>
      </c>
      <c r="T237" s="17" t="str">
        <f aca="false">IF((E237="r"),H237," ")</f>
        <v> </v>
      </c>
      <c r="U237" s="17" t="str">
        <f aca="false">IF((E237="p"),H237," ")</f>
        <v> </v>
      </c>
      <c r="V237" s="17" t="str">
        <f aca="false">IF((E237="t"),H237," ")</f>
        <v> </v>
      </c>
      <c r="W237" s="17" t="str">
        <f aca="false">IF((E237="q"),H237," ")</f>
        <v> </v>
      </c>
      <c r="X237" s="17" t="str">
        <f aca="false">IF((E237="m"),H237," ")</f>
        <v> </v>
      </c>
      <c r="Y237" s="17" t="str">
        <f aca="false">IF((E237="u"),H237," ")</f>
        <v> </v>
      </c>
      <c r="Z237" s="17" t="str">
        <f aca="false">IF((E237="a"),H237," ")</f>
        <v> </v>
      </c>
      <c r="AA237" s="17" t="str">
        <f aca="false">IF((E237="g"),H237," ")</f>
        <v> </v>
      </c>
      <c r="AB237" s="17" t="str">
        <f aca="false">IF((E237="h"),H237," ")</f>
        <v> </v>
      </c>
      <c r="AC237" s="30" t="str">
        <f aca="false">IF((E237="v"),H237," ")</f>
        <v> </v>
      </c>
      <c r="AD237" s="30" t="str">
        <f aca="false">IF((E237="n"),H237," ")</f>
        <v> </v>
      </c>
      <c r="AE237" s="17" t="str">
        <f aca="false">IF((E237="f"),H237," ")</f>
        <v> </v>
      </c>
      <c r="AF237" s="17" t="str">
        <f aca="false">IF((E237="l"),H237," ")</f>
        <v> </v>
      </c>
      <c r="AG237" s="17" t="str">
        <f aca="false">IF((E237="y"),H237," ")</f>
        <v> </v>
      </c>
      <c r="AH237" s="17" t="str">
        <f aca="false">IF((E237="z"),H237," ")</f>
        <v> </v>
      </c>
      <c r="AI237" s="17" t="str">
        <f aca="false">IF((E237="fa"),H237," ")</f>
        <v> </v>
      </c>
      <c r="AJ237" s="17" t="str">
        <f aca="false">IF((E237="e"),H237," ")</f>
        <v> </v>
      </c>
    </row>
    <row r="238" customFormat="false" ht="12" hidden="false" customHeight="false" outlineLevel="0" collapsed="false">
      <c r="A238" s="28"/>
      <c r="E238" s="2" t="str">
        <f aca="false">IF((F238&lt;&gt;0),"Enter Letter"," ")</f>
        <v> </v>
      </c>
      <c r="F238" s="30"/>
      <c r="G238" s="6" t="str">
        <f aca="false">IF(F238&lt;&gt;0,F238*G$2/(100+G$2)," ")</f>
        <v> </v>
      </c>
      <c r="H238" s="6" t="str">
        <f aca="false">IF((F238&lt;&gt;0),F238-G238," ")</f>
        <v> </v>
      </c>
      <c r="I238" s="5"/>
      <c r="L238" s="7" t="str">
        <f aca="false">IF(F238&lt;&gt;0,F238-K238," ")</f>
        <v> </v>
      </c>
      <c r="M238" s="8" t="str">
        <f aca="false">IF((F238-K238)&lt;&gt;0,M$1-A238," ")</f>
        <v> </v>
      </c>
      <c r="N238" s="5"/>
      <c r="O238" s="17" t="str">
        <f aca="false">IF((E238="s"),H238," ")</f>
        <v> </v>
      </c>
      <c r="P238" s="17" t="str">
        <f aca="false">IF((E238="c"),H238," ")</f>
        <v> </v>
      </c>
      <c r="Q238" s="17" t="str">
        <f aca="false">IF((E238="o"),H238," ")</f>
        <v> </v>
      </c>
      <c r="R238" s="17" t="str">
        <f aca="false">IF((E238="d"),H238," ")</f>
        <v> </v>
      </c>
      <c r="S238" s="17" t="str">
        <f aca="false">IF((E238="w"),H238," ")</f>
        <v> </v>
      </c>
      <c r="T238" s="17" t="str">
        <f aca="false">IF((E238="r"),H238," ")</f>
        <v> </v>
      </c>
      <c r="U238" s="17" t="str">
        <f aca="false">IF((E238="p"),H238," ")</f>
        <v> </v>
      </c>
      <c r="V238" s="17" t="str">
        <f aca="false">IF((E238="t"),H238," ")</f>
        <v> </v>
      </c>
      <c r="W238" s="17" t="str">
        <f aca="false">IF((E238="q"),H238," ")</f>
        <v> </v>
      </c>
      <c r="X238" s="17" t="str">
        <f aca="false">IF((E238="m"),H238," ")</f>
        <v> </v>
      </c>
      <c r="Y238" s="17" t="str">
        <f aca="false">IF((E238="u"),H238," ")</f>
        <v> </v>
      </c>
      <c r="Z238" s="17" t="str">
        <f aca="false">IF((E238="a"),H238," ")</f>
        <v> </v>
      </c>
      <c r="AA238" s="17" t="str">
        <f aca="false">IF((E238="g"),H238," ")</f>
        <v> </v>
      </c>
      <c r="AB238" s="17" t="str">
        <f aca="false">IF((E238="h"),H238," ")</f>
        <v> </v>
      </c>
      <c r="AC238" s="30" t="str">
        <f aca="false">IF((E238="v"),H238," ")</f>
        <v> </v>
      </c>
      <c r="AD238" s="30" t="str">
        <f aca="false">IF((E238="n"),H238," ")</f>
        <v> </v>
      </c>
      <c r="AE238" s="17" t="str">
        <f aca="false">IF((E238="f"),H238," ")</f>
        <v> </v>
      </c>
      <c r="AF238" s="17" t="str">
        <f aca="false">IF((E238="l"),H238," ")</f>
        <v> </v>
      </c>
      <c r="AG238" s="17" t="str">
        <f aca="false">IF((E238="y"),H238," ")</f>
        <v> </v>
      </c>
      <c r="AH238" s="17" t="str">
        <f aca="false">IF((E238="z"),H238," ")</f>
        <v> </v>
      </c>
      <c r="AI238" s="17" t="str">
        <f aca="false">IF((E238="fa"),H238," ")</f>
        <v> </v>
      </c>
      <c r="AJ238" s="17" t="str">
        <f aca="false">IF((E238="e"),H238," ")</f>
        <v> </v>
      </c>
    </row>
    <row r="239" customFormat="false" ht="12" hidden="false" customHeight="false" outlineLevel="0" collapsed="false">
      <c r="A239" s="28"/>
      <c r="E239" s="2" t="str">
        <f aca="false">IF((F239&lt;&gt;0),"Enter Letter"," ")</f>
        <v> </v>
      </c>
      <c r="F239" s="30"/>
      <c r="G239" s="6" t="str">
        <f aca="false">IF(F239&lt;&gt;0,F239*G$2/(100+G$2)," ")</f>
        <v> </v>
      </c>
      <c r="H239" s="6" t="str">
        <f aca="false">IF((F239&lt;&gt;0),F239-G239," ")</f>
        <v> </v>
      </c>
      <c r="I239" s="5"/>
      <c r="L239" s="7" t="str">
        <f aca="false">IF(F239&lt;&gt;0,F239-K239," ")</f>
        <v> </v>
      </c>
      <c r="M239" s="8" t="str">
        <f aca="false">IF((F239-K239)&lt;&gt;0,M$1-A239," ")</f>
        <v> </v>
      </c>
      <c r="N239" s="5"/>
      <c r="O239" s="17" t="str">
        <f aca="false">IF((E239="s"),H239," ")</f>
        <v> </v>
      </c>
      <c r="P239" s="17" t="str">
        <f aca="false">IF((E239="c"),H239," ")</f>
        <v> </v>
      </c>
      <c r="Q239" s="17" t="str">
        <f aca="false">IF((E239="o"),H239," ")</f>
        <v> </v>
      </c>
      <c r="R239" s="17" t="str">
        <f aca="false">IF((E239="d"),H239," ")</f>
        <v> </v>
      </c>
      <c r="S239" s="17" t="str">
        <f aca="false">IF((E239="w"),H239," ")</f>
        <v> </v>
      </c>
      <c r="T239" s="17" t="str">
        <f aca="false">IF((E239="r"),H239," ")</f>
        <v> </v>
      </c>
      <c r="U239" s="17" t="str">
        <f aca="false">IF((E239="p"),H239," ")</f>
        <v> </v>
      </c>
      <c r="V239" s="17" t="str">
        <f aca="false">IF((E239="t"),H239," ")</f>
        <v> </v>
      </c>
      <c r="W239" s="17" t="str">
        <f aca="false">IF((E239="q"),H239," ")</f>
        <v> </v>
      </c>
      <c r="X239" s="17" t="str">
        <f aca="false">IF((E239="m"),H239," ")</f>
        <v> </v>
      </c>
      <c r="Y239" s="17" t="str">
        <f aca="false">IF((E239="u"),H239," ")</f>
        <v> </v>
      </c>
      <c r="Z239" s="17" t="str">
        <f aca="false">IF((E239="a"),H239," ")</f>
        <v> </v>
      </c>
      <c r="AA239" s="17" t="str">
        <f aca="false">IF((E239="g"),H239," ")</f>
        <v> </v>
      </c>
      <c r="AB239" s="17" t="str">
        <f aca="false">IF((E239="h"),H239," ")</f>
        <v> </v>
      </c>
      <c r="AC239" s="30" t="str">
        <f aca="false">IF((E239="v"),H239," ")</f>
        <v> </v>
      </c>
      <c r="AD239" s="30" t="str">
        <f aca="false">IF((E239="n"),H239," ")</f>
        <v> </v>
      </c>
      <c r="AE239" s="17" t="str">
        <f aca="false">IF((E239="f"),H239," ")</f>
        <v> </v>
      </c>
      <c r="AF239" s="17" t="str">
        <f aca="false">IF((E239="l"),H239," ")</f>
        <v> </v>
      </c>
      <c r="AG239" s="17" t="str">
        <f aca="false">IF((E239="y"),H239," ")</f>
        <v> </v>
      </c>
      <c r="AH239" s="17" t="str">
        <f aca="false">IF((E239="z"),H239," ")</f>
        <v> </v>
      </c>
      <c r="AI239" s="17" t="str">
        <f aca="false">IF((E239="fa"),H239," ")</f>
        <v> </v>
      </c>
      <c r="AJ239" s="17" t="str">
        <f aca="false">IF((E239="e"),H239," ")</f>
        <v> </v>
      </c>
    </row>
    <row r="240" customFormat="false" ht="12" hidden="false" customHeight="false" outlineLevel="0" collapsed="false">
      <c r="A240" s="28"/>
      <c r="E240" s="2" t="str">
        <f aca="false">IF((F240&lt;&gt;0),"Enter Letter"," ")</f>
        <v> </v>
      </c>
      <c r="F240" s="30"/>
      <c r="G240" s="6" t="str">
        <f aca="false">IF(F240&lt;&gt;0,F240*G$2/(100+G$2)," ")</f>
        <v> </v>
      </c>
      <c r="H240" s="6" t="str">
        <f aca="false">IF((F240&lt;&gt;0),F240-G240," ")</f>
        <v> </v>
      </c>
      <c r="I240" s="5"/>
      <c r="L240" s="7" t="str">
        <f aca="false">IF(F240&lt;&gt;0,F240-K240," ")</f>
        <v> </v>
      </c>
      <c r="M240" s="8" t="str">
        <f aca="false">IF((F240-K240)&lt;&gt;0,M$1-A240," ")</f>
        <v> </v>
      </c>
      <c r="N240" s="5"/>
      <c r="O240" s="17" t="str">
        <f aca="false">IF((E240="s"),H240," ")</f>
        <v> </v>
      </c>
      <c r="P240" s="17" t="str">
        <f aca="false">IF((E240="c"),H240," ")</f>
        <v> </v>
      </c>
      <c r="Q240" s="17" t="str">
        <f aca="false">IF((E240="o"),H240," ")</f>
        <v> </v>
      </c>
      <c r="R240" s="17" t="str">
        <f aca="false">IF((E240="d"),H240," ")</f>
        <v> </v>
      </c>
      <c r="S240" s="17" t="str">
        <f aca="false">IF((E240="w"),H240," ")</f>
        <v> </v>
      </c>
      <c r="T240" s="17" t="str">
        <f aca="false">IF((E240="r"),H240," ")</f>
        <v> </v>
      </c>
      <c r="U240" s="17" t="str">
        <f aca="false">IF((E240="p"),H240," ")</f>
        <v> </v>
      </c>
      <c r="V240" s="17" t="str">
        <f aca="false">IF((E240="t"),H240," ")</f>
        <v> </v>
      </c>
      <c r="W240" s="17" t="str">
        <f aca="false">IF((E240="q"),H240," ")</f>
        <v> </v>
      </c>
      <c r="X240" s="17" t="str">
        <f aca="false">IF((E240="m"),H240," ")</f>
        <v> </v>
      </c>
      <c r="Y240" s="17" t="str">
        <f aca="false">IF((E240="u"),H240," ")</f>
        <v> </v>
      </c>
      <c r="Z240" s="17" t="str">
        <f aca="false">IF((E240="a"),H240," ")</f>
        <v> </v>
      </c>
      <c r="AA240" s="17" t="str">
        <f aca="false">IF((E240="g"),H240," ")</f>
        <v> </v>
      </c>
      <c r="AB240" s="17" t="str">
        <f aca="false">IF((E240="h"),H240," ")</f>
        <v> </v>
      </c>
      <c r="AC240" s="30" t="str">
        <f aca="false">IF((E240="v"),H240," ")</f>
        <v> </v>
      </c>
      <c r="AD240" s="30" t="str">
        <f aca="false">IF((E240="n"),H240," ")</f>
        <v> </v>
      </c>
      <c r="AE240" s="17" t="str">
        <f aca="false">IF((E240="f"),H240," ")</f>
        <v> </v>
      </c>
      <c r="AF240" s="17" t="str">
        <f aca="false">IF((E240="l"),H240," ")</f>
        <v> </v>
      </c>
      <c r="AG240" s="17" t="str">
        <f aca="false">IF((E240="y"),H240," ")</f>
        <v> </v>
      </c>
      <c r="AH240" s="17" t="str">
        <f aca="false">IF((E240="z"),H240," ")</f>
        <v> </v>
      </c>
      <c r="AI240" s="17" t="str">
        <f aca="false">IF((E240="fa"),H240," ")</f>
        <v> </v>
      </c>
      <c r="AJ240" s="17" t="str">
        <f aca="false">IF((E240="e"),H240," ")</f>
        <v> </v>
      </c>
    </row>
    <row r="241" customFormat="false" ht="12" hidden="false" customHeight="false" outlineLevel="0" collapsed="false">
      <c r="A241" s="28"/>
      <c r="E241" s="2" t="str">
        <f aca="false">IF((F241&lt;&gt;0),"Enter Letter"," ")</f>
        <v> </v>
      </c>
      <c r="F241" s="30"/>
      <c r="G241" s="6" t="str">
        <f aca="false">IF(F241&lt;&gt;0,F241*G$2/(100+G$2)," ")</f>
        <v> </v>
      </c>
      <c r="H241" s="6" t="str">
        <f aca="false">IF((F241&lt;&gt;0),F241-G241," ")</f>
        <v> </v>
      </c>
      <c r="I241" s="5"/>
      <c r="L241" s="7" t="str">
        <f aca="false">IF(F241&lt;&gt;0,F241-K241," ")</f>
        <v> </v>
      </c>
      <c r="M241" s="8" t="str">
        <f aca="false">IF((F241-K241)&lt;&gt;0,M$1-A241," ")</f>
        <v> </v>
      </c>
      <c r="N241" s="5"/>
      <c r="O241" s="17" t="str">
        <f aca="false">IF((E241="s"),H241," ")</f>
        <v> </v>
      </c>
      <c r="P241" s="17" t="str">
        <f aca="false">IF((E241="c"),H241," ")</f>
        <v> </v>
      </c>
      <c r="Q241" s="17" t="str">
        <f aca="false">IF((E241="o"),H241," ")</f>
        <v> </v>
      </c>
      <c r="R241" s="17" t="str">
        <f aca="false">IF((E241="d"),H241," ")</f>
        <v> </v>
      </c>
      <c r="S241" s="17" t="str">
        <f aca="false">IF((E241="w"),H241," ")</f>
        <v> </v>
      </c>
      <c r="T241" s="17" t="str">
        <f aca="false">IF((E241="r"),H241," ")</f>
        <v> </v>
      </c>
      <c r="U241" s="17" t="str">
        <f aca="false">IF((E241="p"),H241," ")</f>
        <v> </v>
      </c>
      <c r="V241" s="17" t="str">
        <f aca="false">IF((E241="t"),H241," ")</f>
        <v> </v>
      </c>
      <c r="W241" s="17" t="str">
        <f aca="false">IF((E241="q"),H241," ")</f>
        <v> </v>
      </c>
      <c r="X241" s="17" t="str">
        <f aca="false">IF((E241="m"),H241," ")</f>
        <v> </v>
      </c>
      <c r="Y241" s="17" t="str">
        <f aca="false">IF((E241="u"),H241," ")</f>
        <v> </v>
      </c>
      <c r="Z241" s="17" t="str">
        <f aca="false">IF((E241="a"),H241," ")</f>
        <v> </v>
      </c>
      <c r="AA241" s="17" t="str">
        <f aca="false">IF((E241="g"),H241," ")</f>
        <v> </v>
      </c>
      <c r="AB241" s="17" t="str">
        <f aca="false">IF((E241="h"),H241," ")</f>
        <v> </v>
      </c>
      <c r="AC241" s="30" t="str">
        <f aca="false">IF((E241="v"),H241," ")</f>
        <v> </v>
      </c>
      <c r="AD241" s="30" t="str">
        <f aca="false">IF((E241="n"),H241," ")</f>
        <v> </v>
      </c>
      <c r="AE241" s="17" t="str">
        <f aca="false">IF((E241="f"),H241," ")</f>
        <v> </v>
      </c>
      <c r="AF241" s="17" t="str">
        <f aca="false">IF((E241="l"),H241," ")</f>
        <v> </v>
      </c>
      <c r="AG241" s="17" t="str">
        <f aca="false">IF((E241="y"),H241," ")</f>
        <v> </v>
      </c>
      <c r="AH241" s="17" t="str">
        <f aca="false">IF((E241="z"),H241," ")</f>
        <v> </v>
      </c>
      <c r="AI241" s="17" t="str">
        <f aca="false">IF((E241="fa"),H241," ")</f>
        <v> </v>
      </c>
      <c r="AJ241" s="17" t="str">
        <f aca="false">IF((E241="e"),H241," ")</f>
        <v> </v>
      </c>
    </row>
    <row r="242" customFormat="false" ht="12" hidden="false" customHeight="false" outlineLevel="0" collapsed="false">
      <c r="A242" s="28"/>
      <c r="E242" s="2" t="str">
        <f aca="false">IF((F242&lt;&gt;0),"Enter Letter"," ")</f>
        <v> </v>
      </c>
      <c r="F242" s="30"/>
      <c r="G242" s="6" t="str">
        <f aca="false">IF(F242&lt;&gt;0,F242*G$2/(100+G$2)," ")</f>
        <v> </v>
      </c>
      <c r="H242" s="6" t="str">
        <f aca="false">IF((F242&lt;&gt;0),F242-G242," ")</f>
        <v> </v>
      </c>
      <c r="I242" s="5"/>
      <c r="L242" s="7" t="str">
        <f aca="false">IF(F242&lt;&gt;0,F242-K242," ")</f>
        <v> </v>
      </c>
      <c r="M242" s="8" t="str">
        <f aca="false">IF((F242-K242)&lt;&gt;0,M$1-A242," ")</f>
        <v> </v>
      </c>
      <c r="N242" s="5"/>
      <c r="O242" s="17" t="str">
        <f aca="false">IF((E242="s"),H242," ")</f>
        <v> </v>
      </c>
      <c r="P242" s="17" t="str">
        <f aca="false">IF((E242="c"),H242," ")</f>
        <v> </v>
      </c>
      <c r="Q242" s="17" t="str">
        <f aca="false">IF((E242="o"),H242," ")</f>
        <v> </v>
      </c>
      <c r="R242" s="17" t="str">
        <f aca="false">IF((E242="d"),H242," ")</f>
        <v> </v>
      </c>
      <c r="S242" s="17" t="str">
        <f aca="false">IF((E242="w"),H242," ")</f>
        <v> </v>
      </c>
      <c r="T242" s="17" t="str">
        <f aca="false">IF((E242="r"),H242," ")</f>
        <v> </v>
      </c>
      <c r="U242" s="17" t="str">
        <f aca="false">IF((E242="p"),H242," ")</f>
        <v> </v>
      </c>
      <c r="V242" s="17" t="str">
        <f aca="false">IF((E242="t"),H242," ")</f>
        <v> </v>
      </c>
      <c r="W242" s="17" t="str">
        <f aca="false">IF((E242="q"),H242," ")</f>
        <v> </v>
      </c>
      <c r="X242" s="17" t="str">
        <f aca="false">IF((E242="m"),H242," ")</f>
        <v> </v>
      </c>
      <c r="Y242" s="17" t="str">
        <f aca="false">IF((E242="u"),H242," ")</f>
        <v> </v>
      </c>
      <c r="Z242" s="17" t="str">
        <f aca="false">IF((E242="a"),H242," ")</f>
        <v> </v>
      </c>
      <c r="AA242" s="17" t="str">
        <f aca="false">IF((E242="g"),H242," ")</f>
        <v> </v>
      </c>
      <c r="AB242" s="17" t="str">
        <f aca="false">IF((E242="h"),H242," ")</f>
        <v> </v>
      </c>
      <c r="AC242" s="30" t="str">
        <f aca="false">IF((E242="v"),H242," ")</f>
        <v> </v>
      </c>
      <c r="AD242" s="30" t="str">
        <f aca="false">IF((E242="n"),H242," ")</f>
        <v> </v>
      </c>
      <c r="AE242" s="17" t="str">
        <f aca="false">IF((E242="f"),H242," ")</f>
        <v> </v>
      </c>
      <c r="AF242" s="17" t="str">
        <f aca="false">IF((E242="l"),H242," ")</f>
        <v> </v>
      </c>
      <c r="AG242" s="17" t="str">
        <f aca="false">IF((E242="y"),H242," ")</f>
        <v> </v>
      </c>
      <c r="AH242" s="17" t="str">
        <f aca="false">IF((E242="z"),H242," ")</f>
        <v> </v>
      </c>
      <c r="AI242" s="17" t="str">
        <f aca="false">IF((E242="fa"),H242," ")</f>
        <v> </v>
      </c>
      <c r="AJ242" s="17" t="str">
        <f aca="false">IF((E242="e"),H242," ")</f>
        <v> </v>
      </c>
    </row>
    <row r="243" customFormat="false" ht="12" hidden="false" customHeight="false" outlineLevel="0" collapsed="false">
      <c r="A243" s="28"/>
      <c r="E243" s="2" t="str">
        <f aca="false">IF((F243&lt;&gt;0),"Enter Letter"," ")</f>
        <v> </v>
      </c>
      <c r="F243" s="30"/>
      <c r="G243" s="6" t="str">
        <f aca="false">IF(F243&lt;&gt;0,F243*G$2/(100+G$2)," ")</f>
        <v> </v>
      </c>
      <c r="H243" s="6" t="str">
        <f aca="false">IF((F243&lt;&gt;0),F243-G243," ")</f>
        <v> </v>
      </c>
      <c r="I243" s="5"/>
      <c r="L243" s="7" t="str">
        <f aca="false">IF(F243&lt;&gt;0,F243-K243," ")</f>
        <v> </v>
      </c>
      <c r="M243" s="8" t="str">
        <f aca="false">IF((F243-K243)&lt;&gt;0,M$1-A243," ")</f>
        <v> </v>
      </c>
      <c r="N243" s="5"/>
      <c r="O243" s="17" t="str">
        <f aca="false">IF((E243="s"),H243," ")</f>
        <v> </v>
      </c>
      <c r="P243" s="17" t="str">
        <f aca="false">IF((E243="c"),H243," ")</f>
        <v> </v>
      </c>
      <c r="Q243" s="17" t="str">
        <f aca="false">IF((E243="o"),H243," ")</f>
        <v> </v>
      </c>
      <c r="R243" s="17" t="str">
        <f aca="false">IF((E243="d"),H243," ")</f>
        <v> </v>
      </c>
      <c r="S243" s="17" t="str">
        <f aca="false">IF((E243="w"),H243," ")</f>
        <v> </v>
      </c>
      <c r="T243" s="17" t="str">
        <f aca="false">IF((E243="r"),H243," ")</f>
        <v> </v>
      </c>
      <c r="U243" s="17" t="str">
        <f aca="false">IF((E243="p"),H243," ")</f>
        <v> </v>
      </c>
      <c r="V243" s="17" t="str">
        <f aca="false">IF((E243="t"),H243," ")</f>
        <v> </v>
      </c>
      <c r="W243" s="17" t="str">
        <f aca="false">IF((E243="q"),H243," ")</f>
        <v> </v>
      </c>
      <c r="X243" s="17" t="str">
        <f aca="false">IF((E243="m"),H243," ")</f>
        <v> </v>
      </c>
      <c r="Y243" s="17" t="str">
        <f aca="false">IF((E243="u"),H243," ")</f>
        <v> </v>
      </c>
      <c r="Z243" s="17" t="str">
        <f aca="false">IF((E243="a"),H243," ")</f>
        <v> </v>
      </c>
      <c r="AA243" s="17" t="str">
        <f aca="false">IF((E243="g"),H243," ")</f>
        <v> </v>
      </c>
      <c r="AB243" s="17" t="str">
        <f aca="false">IF((E243="h"),H243," ")</f>
        <v> </v>
      </c>
      <c r="AC243" s="30" t="str">
        <f aca="false">IF((E243="v"),H243," ")</f>
        <v> </v>
      </c>
      <c r="AD243" s="30" t="str">
        <f aca="false">IF((E243="n"),H243," ")</f>
        <v> </v>
      </c>
      <c r="AE243" s="17" t="str">
        <f aca="false">IF((E243="f"),H243," ")</f>
        <v> </v>
      </c>
      <c r="AF243" s="17" t="str">
        <f aca="false">IF((E243="l"),H243," ")</f>
        <v> </v>
      </c>
      <c r="AG243" s="17" t="str">
        <f aca="false">IF((E243="y"),H243," ")</f>
        <v> </v>
      </c>
      <c r="AH243" s="17" t="str">
        <f aca="false">IF((E243="z"),H243," ")</f>
        <v> </v>
      </c>
      <c r="AI243" s="17" t="str">
        <f aca="false">IF((E243="fa"),H243," ")</f>
        <v> </v>
      </c>
      <c r="AJ243" s="17" t="str">
        <f aca="false">IF((E243="e"),H243," ")</f>
        <v> </v>
      </c>
    </row>
    <row r="244" customFormat="false" ht="12" hidden="false" customHeight="false" outlineLevel="0" collapsed="false">
      <c r="A244" s="28"/>
      <c r="E244" s="2" t="str">
        <f aca="false">IF((F244&lt;&gt;0),"Enter Letter"," ")</f>
        <v> </v>
      </c>
      <c r="F244" s="30"/>
      <c r="G244" s="6" t="str">
        <f aca="false">IF(F244&lt;&gt;0,F244*G$2/(100+G$2)," ")</f>
        <v> </v>
      </c>
      <c r="H244" s="6" t="str">
        <f aca="false">IF((F244&lt;&gt;0),F244-G244," ")</f>
        <v> </v>
      </c>
      <c r="I244" s="5"/>
      <c r="L244" s="7" t="str">
        <f aca="false">IF(F244&lt;&gt;0,F244-K244," ")</f>
        <v> </v>
      </c>
      <c r="M244" s="8" t="str">
        <f aca="false">IF((F244-K244)&lt;&gt;0,M$1-A244," ")</f>
        <v> </v>
      </c>
      <c r="N244" s="5"/>
      <c r="O244" s="17" t="str">
        <f aca="false">IF((E244="s"),H244," ")</f>
        <v> </v>
      </c>
      <c r="P244" s="17" t="str">
        <f aca="false">IF((E244="c"),H244," ")</f>
        <v> </v>
      </c>
      <c r="Q244" s="17" t="str">
        <f aca="false">IF((E244="o"),H244," ")</f>
        <v> </v>
      </c>
      <c r="R244" s="17" t="str">
        <f aca="false">IF((E244="d"),H244," ")</f>
        <v> </v>
      </c>
      <c r="S244" s="17" t="str">
        <f aca="false">IF((E244="w"),H244," ")</f>
        <v> </v>
      </c>
      <c r="T244" s="17" t="str">
        <f aca="false">IF((E244="r"),H244," ")</f>
        <v> </v>
      </c>
      <c r="U244" s="17" t="str">
        <f aca="false">IF((E244="p"),H244," ")</f>
        <v> </v>
      </c>
      <c r="V244" s="17" t="str">
        <f aca="false">IF((E244="t"),H244," ")</f>
        <v> </v>
      </c>
      <c r="W244" s="17" t="str">
        <f aca="false">IF((E244="q"),H244," ")</f>
        <v> </v>
      </c>
      <c r="X244" s="17" t="str">
        <f aca="false">IF((E244="m"),H244," ")</f>
        <v> </v>
      </c>
      <c r="Y244" s="17" t="str">
        <f aca="false">IF((E244="u"),H244," ")</f>
        <v> </v>
      </c>
      <c r="Z244" s="17" t="str">
        <f aca="false">IF((E244="a"),H244," ")</f>
        <v> </v>
      </c>
      <c r="AA244" s="17" t="str">
        <f aca="false">IF((E244="g"),H244," ")</f>
        <v> </v>
      </c>
      <c r="AB244" s="17" t="str">
        <f aca="false">IF((E244="h"),H244," ")</f>
        <v> </v>
      </c>
      <c r="AC244" s="30" t="str">
        <f aca="false">IF((E244="v"),H244," ")</f>
        <v> </v>
      </c>
      <c r="AD244" s="30" t="str">
        <f aca="false">IF((E244="n"),H244," ")</f>
        <v> </v>
      </c>
      <c r="AE244" s="17" t="str">
        <f aca="false">IF((E244="f"),H244," ")</f>
        <v> </v>
      </c>
      <c r="AF244" s="17" t="str">
        <f aca="false">IF((E244="l"),H244," ")</f>
        <v> </v>
      </c>
      <c r="AG244" s="17" t="str">
        <f aca="false">IF((E244="y"),H244," ")</f>
        <v> </v>
      </c>
      <c r="AH244" s="17" t="str">
        <f aca="false">IF((E244="z"),H244," ")</f>
        <v> </v>
      </c>
      <c r="AI244" s="17" t="str">
        <f aca="false">IF((E244="fa"),H244," ")</f>
        <v> </v>
      </c>
      <c r="AJ244" s="17" t="str">
        <f aca="false">IF((E244="e"),H244," ")</f>
        <v> </v>
      </c>
    </row>
    <row r="245" customFormat="false" ht="12" hidden="false" customHeight="false" outlineLevel="0" collapsed="false">
      <c r="A245" s="28"/>
      <c r="E245" s="2" t="str">
        <f aca="false">IF((F245&lt;&gt;0),"Enter Letter"," ")</f>
        <v> </v>
      </c>
      <c r="F245" s="30"/>
      <c r="G245" s="6" t="str">
        <f aca="false">IF(F245&lt;&gt;0,F245*G$2/(100+G$2)," ")</f>
        <v> </v>
      </c>
      <c r="H245" s="6" t="str">
        <f aca="false">IF((F245&lt;&gt;0),F245-G245," ")</f>
        <v> </v>
      </c>
      <c r="I245" s="5"/>
      <c r="L245" s="7" t="str">
        <f aca="false">IF(F245&lt;&gt;0,F245-K245," ")</f>
        <v> </v>
      </c>
      <c r="M245" s="8" t="str">
        <f aca="false">IF((F245-K245)&lt;&gt;0,M$1-A245," ")</f>
        <v> </v>
      </c>
      <c r="N245" s="5"/>
      <c r="O245" s="17" t="str">
        <f aca="false">IF((E245="s"),H245," ")</f>
        <v> </v>
      </c>
      <c r="P245" s="17" t="str">
        <f aca="false">IF((E245="c"),H245," ")</f>
        <v> </v>
      </c>
      <c r="Q245" s="17" t="str">
        <f aca="false">IF((E245="o"),H245," ")</f>
        <v> </v>
      </c>
      <c r="R245" s="17" t="str">
        <f aca="false">IF((E245="d"),H245," ")</f>
        <v> </v>
      </c>
      <c r="S245" s="17" t="str">
        <f aca="false">IF((E245="w"),H245," ")</f>
        <v> </v>
      </c>
      <c r="T245" s="17" t="str">
        <f aca="false">IF((E245="r"),H245," ")</f>
        <v> </v>
      </c>
      <c r="U245" s="17" t="str">
        <f aca="false">IF((E245="p"),H245," ")</f>
        <v> </v>
      </c>
      <c r="V245" s="17" t="str">
        <f aca="false">IF((E245="t"),H245," ")</f>
        <v> </v>
      </c>
      <c r="W245" s="17" t="str">
        <f aca="false">IF((E245="q"),H245," ")</f>
        <v> </v>
      </c>
      <c r="X245" s="17" t="str">
        <f aca="false">IF((E245="m"),H245," ")</f>
        <v> </v>
      </c>
      <c r="Y245" s="17" t="str">
        <f aca="false">IF((E245="u"),H245," ")</f>
        <v> </v>
      </c>
      <c r="Z245" s="17" t="str">
        <f aca="false">IF((E245="a"),H245," ")</f>
        <v> </v>
      </c>
      <c r="AA245" s="17" t="str">
        <f aca="false">IF((E245="g"),H245," ")</f>
        <v> </v>
      </c>
      <c r="AB245" s="17" t="str">
        <f aca="false">IF((E245="h"),H245," ")</f>
        <v> </v>
      </c>
      <c r="AC245" s="30" t="str">
        <f aca="false">IF((E245="v"),H245," ")</f>
        <v> </v>
      </c>
      <c r="AD245" s="30" t="str">
        <f aca="false">IF((E245="n"),H245," ")</f>
        <v> </v>
      </c>
      <c r="AE245" s="17" t="str">
        <f aca="false">IF((E245="f"),H245," ")</f>
        <v> </v>
      </c>
      <c r="AF245" s="17" t="str">
        <f aca="false">IF((E245="l"),H245," ")</f>
        <v> </v>
      </c>
      <c r="AG245" s="17" t="str">
        <f aca="false">IF((E245="y"),H245," ")</f>
        <v> </v>
      </c>
      <c r="AH245" s="17" t="str">
        <f aca="false">IF((E245="z"),H245," ")</f>
        <v> </v>
      </c>
      <c r="AI245" s="17" t="str">
        <f aca="false">IF((E245="fa"),H245," ")</f>
        <v> </v>
      </c>
      <c r="AJ245" s="17" t="str">
        <f aca="false">IF((E245="e"),H245," ")</f>
        <v> </v>
      </c>
    </row>
    <row r="246" customFormat="false" ht="12" hidden="false" customHeight="false" outlineLevel="0" collapsed="false">
      <c r="A246" s="28"/>
      <c r="E246" s="2" t="str">
        <f aca="false">IF((F246&lt;&gt;0),"Enter Letter"," ")</f>
        <v> </v>
      </c>
      <c r="F246" s="30"/>
      <c r="G246" s="6" t="str">
        <f aca="false">IF(F246&lt;&gt;0,F246*G$2/(100+G$2)," ")</f>
        <v> </v>
      </c>
      <c r="H246" s="6" t="str">
        <f aca="false">IF((F246&lt;&gt;0),F246-G246," ")</f>
        <v> </v>
      </c>
      <c r="I246" s="5"/>
      <c r="L246" s="7" t="str">
        <f aca="false">IF(F246&lt;&gt;0,F246-K246," ")</f>
        <v> </v>
      </c>
      <c r="M246" s="8" t="str">
        <f aca="false">IF((F246-K246)&lt;&gt;0,M$1-A246," ")</f>
        <v> </v>
      </c>
      <c r="N246" s="5"/>
      <c r="O246" s="17" t="str">
        <f aca="false">IF((E246="s"),H246," ")</f>
        <v> </v>
      </c>
      <c r="P246" s="17" t="str">
        <f aca="false">IF((E246="c"),H246," ")</f>
        <v> </v>
      </c>
      <c r="Q246" s="17" t="str">
        <f aca="false">IF((E246="o"),H246," ")</f>
        <v> </v>
      </c>
      <c r="R246" s="17" t="str">
        <f aca="false">IF((E246="d"),H246," ")</f>
        <v> </v>
      </c>
      <c r="S246" s="17" t="str">
        <f aca="false">IF((E246="w"),H246," ")</f>
        <v> </v>
      </c>
      <c r="T246" s="17" t="str">
        <f aca="false">IF((E246="r"),H246," ")</f>
        <v> </v>
      </c>
      <c r="U246" s="17" t="str">
        <f aca="false">IF((E246="p"),H246," ")</f>
        <v> </v>
      </c>
      <c r="V246" s="17" t="str">
        <f aca="false">IF((E246="t"),H246," ")</f>
        <v> </v>
      </c>
      <c r="W246" s="17" t="str">
        <f aca="false">IF((E246="q"),H246," ")</f>
        <v> </v>
      </c>
      <c r="X246" s="17" t="str">
        <f aca="false">IF((E246="m"),H246," ")</f>
        <v> </v>
      </c>
      <c r="Y246" s="17" t="str">
        <f aca="false">IF((E246="u"),H246," ")</f>
        <v> </v>
      </c>
      <c r="Z246" s="17" t="str">
        <f aca="false">IF((E246="a"),H246," ")</f>
        <v> </v>
      </c>
      <c r="AA246" s="17" t="str">
        <f aca="false">IF((E246="g"),H246," ")</f>
        <v> </v>
      </c>
      <c r="AB246" s="17" t="str">
        <f aca="false">IF((E246="h"),H246," ")</f>
        <v> </v>
      </c>
      <c r="AC246" s="30" t="str">
        <f aca="false">IF((E246="v"),H246," ")</f>
        <v> </v>
      </c>
      <c r="AD246" s="30" t="str">
        <f aca="false">IF((E246="n"),H246," ")</f>
        <v> </v>
      </c>
      <c r="AE246" s="17" t="str">
        <f aca="false">IF((E246="f"),H246," ")</f>
        <v> </v>
      </c>
      <c r="AF246" s="17" t="str">
        <f aca="false">IF((E246="l"),H246," ")</f>
        <v> </v>
      </c>
      <c r="AG246" s="17" t="str">
        <f aca="false">IF((E246="y"),H246," ")</f>
        <v> </v>
      </c>
      <c r="AH246" s="17" t="str">
        <f aca="false">IF((E246="z"),H246," ")</f>
        <v> </v>
      </c>
      <c r="AI246" s="17" t="str">
        <f aca="false">IF((E246="fa"),H246," ")</f>
        <v> </v>
      </c>
      <c r="AJ246" s="17" t="str">
        <f aca="false">IF((E246="e"),H246," ")</f>
        <v> </v>
      </c>
    </row>
    <row r="247" customFormat="false" ht="12" hidden="false" customHeight="false" outlineLevel="0" collapsed="false">
      <c r="A247" s="28"/>
      <c r="E247" s="2" t="str">
        <f aca="false">IF((F247&lt;&gt;0),"Enter Letter"," ")</f>
        <v> </v>
      </c>
      <c r="F247" s="30"/>
      <c r="G247" s="6" t="str">
        <f aca="false">IF(F247&lt;&gt;0,F247*G$2/(100+G$2)," ")</f>
        <v> </v>
      </c>
      <c r="H247" s="6" t="str">
        <f aca="false">IF((F247&lt;&gt;0),F247-G247," ")</f>
        <v> </v>
      </c>
      <c r="I247" s="5"/>
      <c r="L247" s="7" t="str">
        <f aca="false">IF(F247&lt;&gt;0,F247-K247," ")</f>
        <v> </v>
      </c>
      <c r="M247" s="8" t="str">
        <f aca="false">IF((F247-K247)&lt;&gt;0,M$1-A247," ")</f>
        <v> </v>
      </c>
      <c r="N247" s="5"/>
      <c r="O247" s="17" t="str">
        <f aca="false">IF((E247="s"),H247," ")</f>
        <v> </v>
      </c>
      <c r="P247" s="17" t="str">
        <f aca="false">IF((E247="c"),H247," ")</f>
        <v> </v>
      </c>
      <c r="Q247" s="17" t="str">
        <f aca="false">IF((E247="o"),H247," ")</f>
        <v> </v>
      </c>
      <c r="R247" s="17" t="str">
        <f aca="false">IF((E247="d"),H247," ")</f>
        <v> </v>
      </c>
      <c r="S247" s="17" t="str">
        <f aca="false">IF((E247="w"),H247," ")</f>
        <v> </v>
      </c>
      <c r="T247" s="17" t="str">
        <f aca="false">IF((E247="r"),H247," ")</f>
        <v> </v>
      </c>
      <c r="U247" s="17" t="str">
        <f aca="false">IF((E247="p"),H247," ")</f>
        <v> </v>
      </c>
      <c r="V247" s="17" t="str">
        <f aca="false">IF((E247="t"),H247," ")</f>
        <v> </v>
      </c>
      <c r="W247" s="17" t="str">
        <f aca="false">IF((E247="q"),H247," ")</f>
        <v> </v>
      </c>
      <c r="X247" s="17" t="str">
        <f aca="false">IF((E247="m"),H247," ")</f>
        <v> </v>
      </c>
      <c r="Y247" s="17" t="str">
        <f aca="false">IF((E247="u"),H247," ")</f>
        <v> </v>
      </c>
      <c r="Z247" s="17" t="str">
        <f aca="false">IF((E247="a"),H247," ")</f>
        <v> </v>
      </c>
      <c r="AA247" s="17" t="str">
        <f aca="false">IF((E247="g"),H247," ")</f>
        <v> </v>
      </c>
      <c r="AB247" s="17" t="str">
        <f aca="false">IF((E247="h"),H247," ")</f>
        <v> </v>
      </c>
      <c r="AC247" s="30" t="str">
        <f aca="false">IF((E247="v"),H247," ")</f>
        <v> </v>
      </c>
      <c r="AD247" s="30" t="str">
        <f aca="false">IF((E247="n"),H247," ")</f>
        <v> </v>
      </c>
      <c r="AE247" s="17" t="str">
        <f aca="false">IF((E247="f"),H247," ")</f>
        <v> </v>
      </c>
      <c r="AF247" s="17" t="str">
        <f aca="false">IF((E247="l"),H247," ")</f>
        <v> </v>
      </c>
      <c r="AG247" s="17" t="str">
        <f aca="false">IF((E247="y"),H247," ")</f>
        <v> </v>
      </c>
      <c r="AH247" s="17" t="str">
        <f aca="false">IF((E247="z"),H247," ")</f>
        <v> </v>
      </c>
      <c r="AI247" s="17" t="str">
        <f aca="false">IF((E247="fa"),H247," ")</f>
        <v> </v>
      </c>
      <c r="AJ247" s="17" t="str">
        <f aca="false">IF((E247="e"),H247," ")</f>
        <v> </v>
      </c>
    </row>
    <row r="248" customFormat="false" ht="12" hidden="false" customHeight="false" outlineLevel="0" collapsed="false">
      <c r="A248" s="28"/>
      <c r="E248" s="2" t="str">
        <f aca="false">IF((F248&lt;&gt;0),"Enter Letter"," ")</f>
        <v> </v>
      </c>
      <c r="F248" s="30"/>
      <c r="G248" s="6" t="str">
        <f aca="false">IF(F248&lt;&gt;0,F248*G$2/(100+G$2)," ")</f>
        <v> </v>
      </c>
      <c r="H248" s="6" t="str">
        <f aca="false">IF((F248&lt;&gt;0),F248-G248," ")</f>
        <v> </v>
      </c>
      <c r="I248" s="5"/>
      <c r="L248" s="7" t="str">
        <f aca="false">IF(F248&lt;&gt;0,F248-K248," ")</f>
        <v> </v>
      </c>
      <c r="M248" s="8" t="str">
        <f aca="false">IF((F248-K248)&lt;&gt;0,M$1-A248," ")</f>
        <v> </v>
      </c>
      <c r="N248" s="5"/>
      <c r="O248" s="17" t="str">
        <f aca="false">IF((E248="s"),H248," ")</f>
        <v> </v>
      </c>
      <c r="P248" s="17" t="str">
        <f aca="false">IF((E248="c"),H248," ")</f>
        <v> </v>
      </c>
      <c r="Q248" s="17" t="str">
        <f aca="false">IF((E248="o"),H248," ")</f>
        <v> </v>
      </c>
      <c r="R248" s="17" t="str">
        <f aca="false">IF((E248="d"),H248," ")</f>
        <v> </v>
      </c>
      <c r="S248" s="17" t="str">
        <f aca="false">IF((E248="w"),H248," ")</f>
        <v> </v>
      </c>
      <c r="T248" s="17" t="str">
        <f aca="false">IF((E248="r"),H248," ")</f>
        <v> </v>
      </c>
      <c r="U248" s="17" t="str">
        <f aca="false">IF((E248="p"),H248," ")</f>
        <v> </v>
      </c>
      <c r="V248" s="17" t="str">
        <f aca="false">IF((E248="t"),H248," ")</f>
        <v> </v>
      </c>
      <c r="W248" s="17" t="str">
        <f aca="false">IF((E248="q"),H248," ")</f>
        <v> </v>
      </c>
      <c r="X248" s="17" t="str">
        <f aca="false">IF((E248="m"),H248," ")</f>
        <v> </v>
      </c>
      <c r="Y248" s="17" t="str">
        <f aca="false">IF((E248="u"),H248," ")</f>
        <v> </v>
      </c>
      <c r="Z248" s="17" t="str">
        <f aca="false">IF((E248="a"),H248," ")</f>
        <v> </v>
      </c>
      <c r="AA248" s="17" t="str">
        <f aca="false">IF((E248="g"),H248," ")</f>
        <v> </v>
      </c>
      <c r="AB248" s="17" t="str">
        <f aca="false">IF((E248="h"),H248," ")</f>
        <v> </v>
      </c>
      <c r="AC248" s="30" t="str">
        <f aca="false">IF((E248="v"),H248," ")</f>
        <v> </v>
      </c>
      <c r="AD248" s="30" t="str">
        <f aca="false">IF((E248="n"),H248," ")</f>
        <v> </v>
      </c>
      <c r="AE248" s="17" t="str">
        <f aca="false">IF((E248="f"),H248," ")</f>
        <v> </v>
      </c>
      <c r="AF248" s="17" t="str">
        <f aca="false">IF((E248="l"),H248," ")</f>
        <v> </v>
      </c>
      <c r="AG248" s="17" t="str">
        <f aca="false">IF((E248="y"),H248," ")</f>
        <v> </v>
      </c>
      <c r="AH248" s="17" t="str">
        <f aca="false">IF((E248="z"),H248," ")</f>
        <v> </v>
      </c>
      <c r="AI248" s="17" t="str">
        <f aca="false">IF((E248="fa"),H248," ")</f>
        <v> </v>
      </c>
      <c r="AJ248" s="17" t="str">
        <f aca="false">IF((E248="e"),H248," ")</f>
        <v> </v>
      </c>
    </row>
    <row r="249" customFormat="false" ht="12" hidden="false" customHeight="false" outlineLevel="0" collapsed="false">
      <c r="A249" s="28"/>
      <c r="E249" s="2" t="str">
        <f aca="false">IF((F249&lt;&gt;0),"Enter Letter"," ")</f>
        <v> </v>
      </c>
      <c r="F249" s="30"/>
      <c r="G249" s="6" t="str">
        <f aca="false">IF(F249&lt;&gt;0,F249*G$2/(100+G$2)," ")</f>
        <v> </v>
      </c>
      <c r="H249" s="6" t="str">
        <f aca="false">IF((F249&lt;&gt;0),F249-G249," ")</f>
        <v> </v>
      </c>
      <c r="I249" s="5"/>
      <c r="L249" s="7" t="str">
        <f aca="false">IF(F249&lt;&gt;0,F249-K249," ")</f>
        <v> </v>
      </c>
      <c r="M249" s="8" t="str">
        <f aca="false">IF((F249-K249)&lt;&gt;0,M$1-A249," ")</f>
        <v> </v>
      </c>
      <c r="N249" s="5"/>
      <c r="O249" s="17" t="str">
        <f aca="false">IF((E249="s"),H249," ")</f>
        <v> </v>
      </c>
      <c r="P249" s="17" t="str">
        <f aca="false">IF((E249="c"),H249," ")</f>
        <v> </v>
      </c>
      <c r="Q249" s="17" t="str">
        <f aca="false">IF((E249="o"),H249," ")</f>
        <v> </v>
      </c>
      <c r="R249" s="17" t="str">
        <f aca="false">IF((E249="d"),H249," ")</f>
        <v> </v>
      </c>
      <c r="S249" s="17" t="str">
        <f aca="false">IF((E249="w"),H249," ")</f>
        <v> </v>
      </c>
      <c r="T249" s="17" t="str">
        <f aca="false">IF((E249="r"),H249," ")</f>
        <v> </v>
      </c>
      <c r="U249" s="17" t="str">
        <f aca="false">IF((E249="p"),H249," ")</f>
        <v> </v>
      </c>
      <c r="V249" s="17" t="str">
        <f aca="false">IF((E249="t"),H249," ")</f>
        <v> </v>
      </c>
      <c r="W249" s="17" t="str">
        <f aca="false">IF((E249="q"),H249," ")</f>
        <v> </v>
      </c>
      <c r="X249" s="17" t="str">
        <f aca="false">IF((E249="m"),H249," ")</f>
        <v> </v>
      </c>
      <c r="Y249" s="17" t="str">
        <f aca="false">IF((E249="u"),H249," ")</f>
        <v> </v>
      </c>
      <c r="Z249" s="17" t="str">
        <f aca="false">IF((E249="a"),H249," ")</f>
        <v> </v>
      </c>
      <c r="AA249" s="17" t="str">
        <f aca="false">IF((E249="g"),H249," ")</f>
        <v> </v>
      </c>
      <c r="AB249" s="17" t="str">
        <f aca="false">IF((E249="h"),H249," ")</f>
        <v> </v>
      </c>
      <c r="AC249" s="30" t="str">
        <f aca="false">IF((E249="v"),H249," ")</f>
        <v> </v>
      </c>
      <c r="AD249" s="30" t="str">
        <f aca="false">IF((E249="n"),H249," ")</f>
        <v> </v>
      </c>
      <c r="AE249" s="17" t="str">
        <f aca="false">IF((E249="f"),H249," ")</f>
        <v> </v>
      </c>
      <c r="AF249" s="17" t="str">
        <f aca="false">IF((E249="l"),H249," ")</f>
        <v> </v>
      </c>
      <c r="AG249" s="17" t="str">
        <f aca="false">IF((E249="y"),H249," ")</f>
        <v> </v>
      </c>
      <c r="AH249" s="17" t="str">
        <f aca="false">IF((E249="z"),H249," ")</f>
        <v> </v>
      </c>
      <c r="AI249" s="17" t="str">
        <f aca="false">IF((E249="fa"),H249," ")</f>
        <v> </v>
      </c>
      <c r="AJ249" s="17" t="str">
        <f aca="false">IF((E249="e"),H249," ")</f>
        <v> </v>
      </c>
    </row>
    <row r="250" customFormat="false" ht="12" hidden="false" customHeight="false" outlineLevel="0" collapsed="false">
      <c r="A250" s="28"/>
      <c r="E250" s="2" t="str">
        <f aca="false">IF((F250&lt;&gt;0),"Enter Letter"," ")</f>
        <v> </v>
      </c>
      <c r="F250" s="30"/>
      <c r="G250" s="6" t="str">
        <f aca="false">IF(F250&lt;&gt;0,F250*G$2/(100+G$2)," ")</f>
        <v> </v>
      </c>
      <c r="H250" s="6" t="str">
        <f aca="false">IF((F250&lt;&gt;0),F250-G250," ")</f>
        <v> </v>
      </c>
      <c r="I250" s="5"/>
      <c r="L250" s="7" t="str">
        <f aca="false">IF(F250&lt;&gt;0,F250-K250," ")</f>
        <v> </v>
      </c>
      <c r="M250" s="8" t="str">
        <f aca="false">IF((F250-K250)&lt;&gt;0,M$1-A250," ")</f>
        <v> </v>
      </c>
      <c r="N250" s="5"/>
      <c r="O250" s="17" t="str">
        <f aca="false">IF((E250="s"),H250," ")</f>
        <v> </v>
      </c>
      <c r="P250" s="17" t="str">
        <f aca="false">IF((E250="c"),H250," ")</f>
        <v> </v>
      </c>
      <c r="Q250" s="17" t="str">
        <f aca="false">IF((E250="o"),H250," ")</f>
        <v> </v>
      </c>
      <c r="R250" s="17" t="str">
        <f aca="false">IF((E250="d"),H250," ")</f>
        <v> </v>
      </c>
      <c r="S250" s="17" t="str">
        <f aca="false">IF((E250="w"),H250," ")</f>
        <v> </v>
      </c>
      <c r="T250" s="17" t="str">
        <f aca="false">IF((E250="r"),H250," ")</f>
        <v> </v>
      </c>
      <c r="U250" s="17" t="str">
        <f aca="false">IF((E250="p"),H250," ")</f>
        <v> </v>
      </c>
      <c r="V250" s="17" t="str">
        <f aca="false">IF((E250="t"),H250," ")</f>
        <v> </v>
      </c>
      <c r="W250" s="17" t="str">
        <f aca="false">IF((E250="q"),H250," ")</f>
        <v> </v>
      </c>
      <c r="X250" s="17" t="str">
        <f aca="false">IF((E250="m"),H250," ")</f>
        <v> </v>
      </c>
      <c r="Y250" s="17" t="str">
        <f aca="false">IF((E250="u"),H250," ")</f>
        <v> </v>
      </c>
      <c r="Z250" s="17" t="str">
        <f aca="false">IF((E250="a"),H250," ")</f>
        <v> </v>
      </c>
      <c r="AA250" s="17" t="str">
        <f aca="false">IF((E250="g"),H250," ")</f>
        <v> </v>
      </c>
      <c r="AB250" s="17" t="str">
        <f aca="false">IF((E250="h"),H250," ")</f>
        <v> </v>
      </c>
      <c r="AC250" s="30" t="str">
        <f aca="false">IF((E250="v"),H250," ")</f>
        <v> </v>
      </c>
      <c r="AD250" s="30" t="str">
        <f aca="false">IF((E250="n"),H250," ")</f>
        <v> </v>
      </c>
      <c r="AE250" s="17" t="str">
        <f aca="false">IF((E250="f"),H250," ")</f>
        <v> </v>
      </c>
      <c r="AF250" s="17" t="str">
        <f aca="false">IF((E250="l"),H250," ")</f>
        <v> </v>
      </c>
      <c r="AG250" s="17" t="str">
        <f aca="false">IF((E250="y"),H250," ")</f>
        <v> </v>
      </c>
      <c r="AH250" s="17" t="str">
        <f aca="false">IF((E250="z"),H250," ")</f>
        <v> </v>
      </c>
      <c r="AI250" s="17" t="str">
        <f aca="false">IF((E250="fa"),H250," ")</f>
        <v> </v>
      </c>
      <c r="AJ250" s="17" t="str">
        <f aca="false">IF((E250="e"),H250," ")</f>
        <v> </v>
      </c>
    </row>
    <row r="251" customFormat="false" ht="12" hidden="false" customHeight="false" outlineLevel="0" collapsed="false">
      <c r="A251" s="28"/>
      <c r="E251" s="2" t="str">
        <f aca="false">IF((F251&lt;&gt;0),"Enter Letter"," ")</f>
        <v> </v>
      </c>
      <c r="F251" s="30"/>
      <c r="G251" s="6" t="str">
        <f aca="false">IF(F251&lt;&gt;0,F251*G$2/(100+G$2)," ")</f>
        <v> </v>
      </c>
      <c r="H251" s="6" t="str">
        <f aca="false">IF((F251&lt;&gt;0),F251-G251," ")</f>
        <v> </v>
      </c>
      <c r="I251" s="5"/>
      <c r="L251" s="7" t="str">
        <f aca="false">IF(F251&lt;&gt;0,F251-K251," ")</f>
        <v> </v>
      </c>
      <c r="M251" s="8" t="str">
        <f aca="false">IF((F251-K251)&lt;&gt;0,M$1-A251," ")</f>
        <v> </v>
      </c>
      <c r="N251" s="5"/>
      <c r="O251" s="17" t="str">
        <f aca="false">IF((E251="s"),H251," ")</f>
        <v> </v>
      </c>
      <c r="P251" s="17" t="str">
        <f aca="false">IF((E251="c"),H251," ")</f>
        <v> </v>
      </c>
      <c r="Q251" s="17" t="str">
        <f aca="false">IF((E251="o"),H251," ")</f>
        <v> </v>
      </c>
      <c r="R251" s="17" t="str">
        <f aca="false">IF((E251="d"),H251," ")</f>
        <v> </v>
      </c>
      <c r="S251" s="17" t="str">
        <f aca="false">IF((E251="w"),H251," ")</f>
        <v> </v>
      </c>
      <c r="T251" s="17" t="str">
        <f aca="false">IF((E251="r"),H251," ")</f>
        <v> </v>
      </c>
      <c r="U251" s="17" t="str">
        <f aca="false">IF((E251="p"),H251," ")</f>
        <v> </v>
      </c>
      <c r="V251" s="17" t="str">
        <f aca="false">IF((E251="t"),H251," ")</f>
        <v> </v>
      </c>
      <c r="W251" s="17" t="str">
        <f aca="false">IF((E251="q"),H251," ")</f>
        <v> </v>
      </c>
      <c r="X251" s="17" t="str">
        <f aca="false">IF((E251="m"),H251," ")</f>
        <v> </v>
      </c>
      <c r="Y251" s="17" t="str">
        <f aca="false">IF((E251="u"),H251," ")</f>
        <v> </v>
      </c>
      <c r="Z251" s="17" t="str">
        <f aca="false">IF((E251="a"),H251," ")</f>
        <v> </v>
      </c>
      <c r="AA251" s="17" t="str">
        <f aca="false">IF((E251="g"),H251," ")</f>
        <v> </v>
      </c>
      <c r="AB251" s="17" t="str">
        <f aca="false">IF((E251="h"),H251," ")</f>
        <v> </v>
      </c>
      <c r="AC251" s="30" t="str">
        <f aca="false">IF((E251="v"),H251," ")</f>
        <v> </v>
      </c>
      <c r="AD251" s="30" t="str">
        <f aca="false">IF((E251="n"),H251," ")</f>
        <v> </v>
      </c>
      <c r="AE251" s="17" t="str">
        <f aca="false">IF((E251="f"),H251," ")</f>
        <v> </v>
      </c>
      <c r="AF251" s="17" t="str">
        <f aca="false">IF((E251="l"),H251," ")</f>
        <v> </v>
      </c>
      <c r="AG251" s="17" t="str">
        <f aca="false">IF((E251="y"),H251," ")</f>
        <v> </v>
      </c>
      <c r="AH251" s="17" t="str">
        <f aca="false">IF((E251="z"),H251," ")</f>
        <v> </v>
      </c>
      <c r="AI251" s="17" t="str">
        <f aca="false">IF((E251="fa"),H251," ")</f>
        <v> </v>
      </c>
      <c r="AJ251" s="17" t="str">
        <f aca="false">IF((E251="e"),H251," ")</f>
        <v> </v>
      </c>
    </row>
    <row r="252" customFormat="false" ht="12" hidden="false" customHeight="false" outlineLevel="0" collapsed="false">
      <c r="A252" s="28"/>
      <c r="E252" s="2" t="str">
        <f aca="false">IF((F252&lt;&gt;0),"Enter Letter"," ")</f>
        <v> </v>
      </c>
      <c r="F252" s="30"/>
      <c r="G252" s="6" t="str">
        <f aca="false">IF(F252&lt;&gt;0,F252*G$2/(100+G$2)," ")</f>
        <v> </v>
      </c>
      <c r="H252" s="6" t="str">
        <f aca="false">IF((F252&lt;&gt;0),F252-G252," ")</f>
        <v> </v>
      </c>
      <c r="I252" s="5"/>
      <c r="L252" s="7" t="str">
        <f aca="false">IF(F252&lt;&gt;0,F252-K252," ")</f>
        <v> </v>
      </c>
      <c r="M252" s="8" t="str">
        <f aca="false">IF((F252-K252)&lt;&gt;0,M$1-A252," ")</f>
        <v> </v>
      </c>
      <c r="N252" s="5"/>
      <c r="O252" s="17" t="str">
        <f aca="false">IF((E252="s"),H252," ")</f>
        <v> </v>
      </c>
      <c r="P252" s="17" t="str">
        <f aca="false">IF((E252="c"),H252," ")</f>
        <v> </v>
      </c>
      <c r="Q252" s="17" t="str">
        <f aca="false">IF((E252="o"),H252," ")</f>
        <v> </v>
      </c>
      <c r="R252" s="17" t="str">
        <f aca="false">IF((E252="d"),H252," ")</f>
        <v> </v>
      </c>
      <c r="S252" s="17" t="str">
        <f aca="false">IF((E252="w"),H252," ")</f>
        <v> </v>
      </c>
      <c r="T252" s="17" t="str">
        <f aca="false">IF((E252="r"),H252," ")</f>
        <v> </v>
      </c>
      <c r="U252" s="17" t="str">
        <f aca="false">IF((E252="p"),H252," ")</f>
        <v> </v>
      </c>
      <c r="V252" s="17" t="str">
        <f aca="false">IF((E252="t"),H252," ")</f>
        <v> </v>
      </c>
      <c r="W252" s="17" t="str">
        <f aca="false">IF((E252="q"),H252," ")</f>
        <v> </v>
      </c>
      <c r="X252" s="17" t="str">
        <f aca="false">IF((E252="m"),H252," ")</f>
        <v> </v>
      </c>
      <c r="Y252" s="17" t="str">
        <f aca="false">IF((E252="u"),H252," ")</f>
        <v> </v>
      </c>
      <c r="Z252" s="17" t="str">
        <f aca="false">IF((E252="a"),H252," ")</f>
        <v> </v>
      </c>
      <c r="AA252" s="17" t="str">
        <f aca="false">IF((E252="g"),H252," ")</f>
        <v> </v>
      </c>
      <c r="AB252" s="17" t="str">
        <f aca="false">IF((E252="h"),H252," ")</f>
        <v> </v>
      </c>
      <c r="AC252" s="30" t="str">
        <f aca="false">IF((E252="v"),H252," ")</f>
        <v> </v>
      </c>
      <c r="AD252" s="30" t="str">
        <f aca="false">IF((E252="n"),H252," ")</f>
        <v> </v>
      </c>
      <c r="AE252" s="17" t="str">
        <f aca="false">IF((E252="f"),H252," ")</f>
        <v> </v>
      </c>
      <c r="AF252" s="17" t="str">
        <f aca="false">IF((E252="l"),H252," ")</f>
        <v> </v>
      </c>
      <c r="AG252" s="17" t="str">
        <f aca="false">IF((E252="y"),H252," ")</f>
        <v> </v>
      </c>
      <c r="AH252" s="17" t="str">
        <f aca="false">IF((E252="z"),H252," ")</f>
        <v> </v>
      </c>
      <c r="AI252" s="17" t="str">
        <f aca="false">IF((E252="fa"),H252," ")</f>
        <v> </v>
      </c>
      <c r="AJ252" s="17" t="str">
        <f aca="false">IF((E252="e"),H252," ")</f>
        <v> </v>
      </c>
    </row>
    <row r="253" customFormat="false" ht="12" hidden="false" customHeight="false" outlineLevel="0" collapsed="false">
      <c r="A253" s="28"/>
      <c r="E253" s="2" t="str">
        <f aca="false">IF((F253&lt;&gt;0),"Enter Letter"," ")</f>
        <v> </v>
      </c>
      <c r="F253" s="30"/>
      <c r="G253" s="6" t="str">
        <f aca="false">IF(F253&lt;&gt;0,F253*G$2/(100+G$2)," ")</f>
        <v> </v>
      </c>
      <c r="H253" s="6" t="str">
        <f aca="false">IF((F253&lt;&gt;0),F253-G253," ")</f>
        <v> </v>
      </c>
      <c r="I253" s="5"/>
      <c r="L253" s="7" t="str">
        <f aca="false">IF(F253&lt;&gt;0,F253-K253," ")</f>
        <v> </v>
      </c>
      <c r="M253" s="8" t="str">
        <f aca="false">IF((F253-K253)&lt;&gt;0,M$1-A253," ")</f>
        <v> </v>
      </c>
      <c r="N253" s="5"/>
      <c r="O253" s="17" t="str">
        <f aca="false">IF((E253="s"),H253," ")</f>
        <v> </v>
      </c>
      <c r="P253" s="17" t="str">
        <f aca="false">IF((E253="c"),H253," ")</f>
        <v> </v>
      </c>
      <c r="Q253" s="17" t="str">
        <f aca="false">IF((E253="o"),H253," ")</f>
        <v> </v>
      </c>
      <c r="R253" s="17" t="str">
        <f aca="false">IF((E253="d"),H253," ")</f>
        <v> </v>
      </c>
      <c r="S253" s="17" t="str">
        <f aca="false">IF((E253="w"),H253," ")</f>
        <v> </v>
      </c>
      <c r="T253" s="17" t="str">
        <f aca="false">IF((E253="r"),H253," ")</f>
        <v> </v>
      </c>
      <c r="U253" s="17" t="str">
        <f aca="false">IF((E253="p"),H253," ")</f>
        <v> </v>
      </c>
      <c r="V253" s="17" t="str">
        <f aca="false">IF((E253="t"),H253," ")</f>
        <v> </v>
      </c>
      <c r="W253" s="17" t="str">
        <f aca="false">IF((E253="q"),H253," ")</f>
        <v> </v>
      </c>
      <c r="X253" s="17" t="str">
        <f aca="false">IF((E253="m"),H253," ")</f>
        <v> </v>
      </c>
      <c r="Y253" s="17" t="str">
        <f aca="false">IF((E253="u"),H253," ")</f>
        <v> </v>
      </c>
      <c r="Z253" s="17" t="str">
        <f aca="false">IF((E253="a"),H253," ")</f>
        <v> </v>
      </c>
      <c r="AA253" s="17" t="str">
        <f aca="false">IF((E253="g"),H253," ")</f>
        <v> </v>
      </c>
      <c r="AB253" s="17" t="str">
        <f aca="false">IF((E253="h"),H253," ")</f>
        <v> </v>
      </c>
      <c r="AC253" s="30" t="str">
        <f aca="false">IF((E253="v"),H253," ")</f>
        <v> </v>
      </c>
      <c r="AD253" s="30" t="str">
        <f aca="false">IF((E253="n"),H253," ")</f>
        <v> </v>
      </c>
      <c r="AE253" s="17" t="str">
        <f aca="false">IF((E253="f"),H253," ")</f>
        <v> </v>
      </c>
      <c r="AF253" s="17" t="str">
        <f aca="false">IF((E253="l"),H253," ")</f>
        <v> </v>
      </c>
      <c r="AG253" s="17" t="str">
        <f aca="false">IF((E253="y"),H253," ")</f>
        <v> </v>
      </c>
      <c r="AH253" s="17" t="str">
        <f aca="false">IF((E253="z"),H253," ")</f>
        <v> </v>
      </c>
      <c r="AI253" s="17" t="str">
        <f aca="false">IF((E253="fa"),H253," ")</f>
        <v> </v>
      </c>
      <c r="AJ253" s="17" t="str">
        <f aca="false">IF((E253="e"),H253," ")</f>
        <v> </v>
      </c>
    </row>
    <row r="254" customFormat="false" ht="12" hidden="false" customHeight="false" outlineLevel="0" collapsed="false">
      <c r="A254" s="28"/>
      <c r="E254" s="2" t="str">
        <f aca="false">IF((F254&lt;&gt;0),"Enter Letter"," ")</f>
        <v> </v>
      </c>
      <c r="F254" s="30"/>
      <c r="G254" s="6" t="str">
        <f aca="false">IF(F254&lt;&gt;0,F254*G$2/(100+G$2)," ")</f>
        <v> </v>
      </c>
      <c r="H254" s="6" t="str">
        <f aca="false">IF((F254&lt;&gt;0),F254-G254," ")</f>
        <v> </v>
      </c>
      <c r="I254" s="5"/>
      <c r="L254" s="7" t="str">
        <f aca="false">IF(F254&lt;&gt;0,F254-K254," ")</f>
        <v> </v>
      </c>
      <c r="M254" s="8" t="str">
        <f aca="false">IF((F254-K254)&lt;&gt;0,M$1-A254," ")</f>
        <v> </v>
      </c>
      <c r="N254" s="5"/>
      <c r="O254" s="17" t="str">
        <f aca="false">IF((E254="s"),H254," ")</f>
        <v> </v>
      </c>
      <c r="P254" s="17" t="str">
        <f aca="false">IF((E254="c"),H254," ")</f>
        <v> </v>
      </c>
      <c r="Q254" s="17" t="str">
        <f aca="false">IF((E254="o"),H254," ")</f>
        <v> </v>
      </c>
      <c r="R254" s="17" t="str">
        <f aca="false">IF((E254="d"),H254," ")</f>
        <v> </v>
      </c>
      <c r="S254" s="17" t="str">
        <f aca="false">IF((E254="w"),H254," ")</f>
        <v> </v>
      </c>
      <c r="T254" s="17" t="str">
        <f aca="false">IF((E254="r"),H254," ")</f>
        <v> </v>
      </c>
      <c r="U254" s="17" t="str">
        <f aca="false">IF((E254="p"),H254," ")</f>
        <v> </v>
      </c>
      <c r="V254" s="17" t="str">
        <f aca="false">IF((E254="t"),H254," ")</f>
        <v> </v>
      </c>
      <c r="W254" s="17" t="str">
        <f aca="false">IF((E254="q"),H254," ")</f>
        <v> </v>
      </c>
      <c r="X254" s="17" t="str">
        <f aca="false">IF((E254="m"),H254," ")</f>
        <v> </v>
      </c>
      <c r="Y254" s="17" t="str">
        <f aca="false">IF((E254="u"),H254," ")</f>
        <v> </v>
      </c>
      <c r="Z254" s="17" t="str">
        <f aca="false">IF((E254="a"),H254," ")</f>
        <v> </v>
      </c>
      <c r="AA254" s="17" t="str">
        <f aca="false">IF((E254="g"),H254," ")</f>
        <v> </v>
      </c>
      <c r="AB254" s="17" t="str">
        <f aca="false">IF((E254="h"),H254," ")</f>
        <v> </v>
      </c>
      <c r="AC254" s="30" t="str">
        <f aca="false">IF((E254="v"),H254," ")</f>
        <v> </v>
      </c>
      <c r="AD254" s="30" t="str">
        <f aca="false">IF((E254="n"),H254," ")</f>
        <v> </v>
      </c>
      <c r="AE254" s="17" t="str">
        <f aca="false">IF((E254="f"),H254," ")</f>
        <v> </v>
      </c>
      <c r="AF254" s="17" t="str">
        <f aca="false">IF((E254="l"),H254," ")</f>
        <v> </v>
      </c>
      <c r="AG254" s="17" t="str">
        <f aca="false">IF((E254="y"),H254," ")</f>
        <v> </v>
      </c>
      <c r="AH254" s="17" t="str">
        <f aca="false">IF((E254="z"),H254," ")</f>
        <v> </v>
      </c>
      <c r="AI254" s="17" t="str">
        <f aca="false">IF((E254="fa"),H254," ")</f>
        <v> </v>
      </c>
      <c r="AJ254" s="17" t="str">
        <f aca="false">IF((E254="e"),H254," ")</f>
        <v> </v>
      </c>
    </row>
    <row r="255" customFormat="false" ht="12" hidden="false" customHeight="false" outlineLevel="0" collapsed="false">
      <c r="A255" s="28"/>
      <c r="E255" s="2" t="str">
        <f aca="false">IF((F255&lt;&gt;0),"Enter Letter"," ")</f>
        <v> </v>
      </c>
      <c r="F255" s="30"/>
      <c r="G255" s="6" t="str">
        <f aca="false">IF(F255&lt;&gt;0,F255*G$2/(100+G$2)," ")</f>
        <v> </v>
      </c>
      <c r="H255" s="6" t="str">
        <f aca="false">IF((F255&lt;&gt;0),F255-G255," ")</f>
        <v> </v>
      </c>
      <c r="I255" s="5"/>
      <c r="L255" s="7" t="str">
        <f aca="false">IF(F255&lt;&gt;0,F255-K255," ")</f>
        <v> </v>
      </c>
      <c r="M255" s="8" t="str">
        <f aca="false">IF((F255-K255)&lt;&gt;0,M$1-A255," ")</f>
        <v> </v>
      </c>
      <c r="N255" s="5"/>
      <c r="O255" s="17" t="str">
        <f aca="false">IF((E255="s"),H255," ")</f>
        <v> </v>
      </c>
      <c r="P255" s="17" t="str">
        <f aca="false">IF((E255="c"),H255," ")</f>
        <v> </v>
      </c>
      <c r="Q255" s="17" t="str">
        <f aca="false">IF((E255="o"),H255," ")</f>
        <v> </v>
      </c>
      <c r="R255" s="17" t="str">
        <f aca="false">IF((E255="d"),H255," ")</f>
        <v> </v>
      </c>
      <c r="S255" s="17" t="str">
        <f aca="false">IF((E255="w"),H255," ")</f>
        <v> </v>
      </c>
      <c r="T255" s="17" t="str">
        <f aca="false">IF((E255="r"),H255," ")</f>
        <v> </v>
      </c>
      <c r="U255" s="17" t="str">
        <f aca="false">IF((E255="p"),H255," ")</f>
        <v> </v>
      </c>
      <c r="V255" s="17" t="str">
        <f aca="false">IF((E255="t"),H255," ")</f>
        <v> </v>
      </c>
      <c r="W255" s="17" t="str">
        <f aca="false">IF((E255="q"),H255," ")</f>
        <v> </v>
      </c>
      <c r="X255" s="17" t="str">
        <f aca="false">IF((E255="m"),H255," ")</f>
        <v> </v>
      </c>
      <c r="Y255" s="17" t="str">
        <f aca="false">IF((E255="u"),H255," ")</f>
        <v> </v>
      </c>
      <c r="Z255" s="17" t="str">
        <f aca="false">IF((E255="a"),H255," ")</f>
        <v> </v>
      </c>
      <c r="AA255" s="17" t="str">
        <f aca="false">IF((E255="g"),H255," ")</f>
        <v> </v>
      </c>
      <c r="AB255" s="17" t="str">
        <f aca="false">IF((E255="h"),H255," ")</f>
        <v> </v>
      </c>
      <c r="AC255" s="30" t="str">
        <f aca="false">IF((E255="v"),H255," ")</f>
        <v> </v>
      </c>
      <c r="AD255" s="30" t="str">
        <f aca="false">IF((E255="n"),H255," ")</f>
        <v> </v>
      </c>
      <c r="AE255" s="17" t="str">
        <f aca="false">IF((E255="f"),H255," ")</f>
        <v> </v>
      </c>
      <c r="AF255" s="17" t="str">
        <f aca="false">IF((E255="l"),H255," ")</f>
        <v> </v>
      </c>
      <c r="AG255" s="17" t="str">
        <f aca="false">IF((E255="y"),H255," ")</f>
        <v> </v>
      </c>
      <c r="AH255" s="17" t="str">
        <f aca="false">IF((E255="z"),H255," ")</f>
        <v> </v>
      </c>
      <c r="AI255" s="17" t="str">
        <f aca="false">IF((E255="fa"),H255," ")</f>
        <v> </v>
      </c>
      <c r="AJ255" s="17" t="str">
        <f aca="false">IF((E255="e"),H255," ")</f>
        <v> </v>
      </c>
    </row>
    <row r="256" customFormat="false" ht="12" hidden="false" customHeight="false" outlineLevel="0" collapsed="false">
      <c r="A256" s="28"/>
      <c r="E256" s="2" t="str">
        <f aca="false">IF((F256&lt;&gt;0),"Enter Letter"," ")</f>
        <v> </v>
      </c>
      <c r="F256" s="30"/>
      <c r="G256" s="6" t="str">
        <f aca="false">IF(F256&lt;&gt;0,F256*G$2/(100+G$2)," ")</f>
        <v> </v>
      </c>
      <c r="H256" s="6" t="str">
        <f aca="false">IF((F256&lt;&gt;0),F256-G256," ")</f>
        <v> </v>
      </c>
      <c r="I256" s="5"/>
      <c r="L256" s="7" t="str">
        <f aca="false">IF(F256&lt;&gt;0,F256-K256," ")</f>
        <v> </v>
      </c>
      <c r="M256" s="8" t="str">
        <f aca="false">IF((F256-K256)&lt;&gt;0,M$1-A256," ")</f>
        <v> </v>
      </c>
      <c r="N256" s="5"/>
      <c r="O256" s="17" t="str">
        <f aca="false">IF((E256="s"),H256," ")</f>
        <v> </v>
      </c>
      <c r="P256" s="17" t="str">
        <f aca="false">IF((E256="c"),H256," ")</f>
        <v> </v>
      </c>
      <c r="Q256" s="17" t="str">
        <f aca="false">IF((E256="o"),H256," ")</f>
        <v> </v>
      </c>
      <c r="R256" s="17" t="str">
        <f aca="false">IF((E256="d"),H256," ")</f>
        <v> </v>
      </c>
      <c r="S256" s="17" t="str">
        <f aca="false">IF((E256="w"),H256," ")</f>
        <v> </v>
      </c>
      <c r="T256" s="17" t="str">
        <f aca="false">IF((E256="r"),H256," ")</f>
        <v> </v>
      </c>
      <c r="U256" s="17" t="str">
        <f aca="false">IF((E256="p"),H256," ")</f>
        <v> </v>
      </c>
      <c r="V256" s="17" t="str">
        <f aca="false">IF((E256="t"),H256," ")</f>
        <v> </v>
      </c>
      <c r="W256" s="17" t="str">
        <f aca="false">IF((E256="q"),H256," ")</f>
        <v> </v>
      </c>
      <c r="X256" s="17" t="str">
        <f aca="false">IF((E256="m"),H256," ")</f>
        <v> </v>
      </c>
      <c r="Y256" s="17" t="str">
        <f aca="false">IF((E256="u"),H256," ")</f>
        <v> </v>
      </c>
      <c r="Z256" s="17" t="str">
        <f aca="false">IF((E256="a"),H256," ")</f>
        <v> </v>
      </c>
      <c r="AA256" s="17" t="str">
        <f aca="false">IF((E256="g"),H256," ")</f>
        <v> </v>
      </c>
      <c r="AB256" s="17" t="str">
        <f aca="false">IF((E256="h"),H256," ")</f>
        <v> </v>
      </c>
      <c r="AC256" s="30" t="str">
        <f aca="false">IF((E256="v"),H256," ")</f>
        <v> </v>
      </c>
      <c r="AD256" s="30" t="str">
        <f aca="false">IF((E256="n"),H256," ")</f>
        <v> </v>
      </c>
      <c r="AE256" s="17" t="str">
        <f aca="false">IF((E256="f"),H256," ")</f>
        <v> </v>
      </c>
      <c r="AF256" s="17" t="str">
        <f aca="false">IF((E256="l"),H256," ")</f>
        <v> </v>
      </c>
      <c r="AG256" s="17" t="str">
        <f aca="false">IF((E256="y"),H256," ")</f>
        <v> </v>
      </c>
      <c r="AH256" s="17" t="str">
        <f aca="false">IF((E256="z"),H256," ")</f>
        <v> </v>
      </c>
      <c r="AI256" s="17" t="str">
        <f aca="false">IF((E256="fa"),H256," ")</f>
        <v> </v>
      </c>
      <c r="AJ256" s="17" t="str">
        <f aca="false">IF((E256="e"),H256," ")</f>
        <v> </v>
      </c>
    </row>
    <row r="257" customFormat="false" ht="12" hidden="false" customHeight="false" outlineLevel="0" collapsed="false">
      <c r="A257" s="28"/>
      <c r="E257" s="2" t="str">
        <f aca="false">IF((F257&lt;&gt;0),"Enter Letter"," ")</f>
        <v> </v>
      </c>
      <c r="F257" s="30"/>
      <c r="G257" s="6" t="str">
        <f aca="false">IF(F257&lt;&gt;0,F257*G$2/(100+G$2)," ")</f>
        <v> </v>
      </c>
      <c r="H257" s="6" t="str">
        <f aca="false">IF((F257&lt;&gt;0),F257-G257," ")</f>
        <v> </v>
      </c>
      <c r="I257" s="5"/>
      <c r="L257" s="7" t="str">
        <f aca="false">IF(F257&lt;&gt;0,F257-K257," ")</f>
        <v> </v>
      </c>
      <c r="M257" s="8" t="str">
        <f aca="false">IF((F257-K257)&lt;&gt;0,M$1-A257," ")</f>
        <v> </v>
      </c>
      <c r="N257" s="5"/>
      <c r="O257" s="17" t="str">
        <f aca="false">IF((E257="s"),H257," ")</f>
        <v> </v>
      </c>
      <c r="P257" s="17" t="str">
        <f aca="false">IF((E257="c"),H257," ")</f>
        <v> </v>
      </c>
      <c r="Q257" s="17" t="str">
        <f aca="false">IF((E257="o"),H257," ")</f>
        <v> </v>
      </c>
      <c r="R257" s="17" t="str">
        <f aca="false">IF((E257="d"),H257," ")</f>
        <v> </v>
      </c>
      <c r="S257" s="17" t="str">
        <f aca="false">IF((E257="w"),H257," ")</f>
        <v> </v>
      </c>
      <c r="T257" s="17" t="str">
        <f aca="false">IF((E257="r"),H257," ")</f>
        <v> </v>
      </c>
      <c r="U257" s="17" t="str">
        <f aca="false">IF((E257="p"),H257," ")</f>
        <v> </v>
      </c>
      <c r="V257" s="17" t="str">
        <f aca="false">IF((E257="t"),H257," ")</f>
        <v> </v>
      </c>
      <c r="W257" s="17" t="str">
        <f aca="false">IF((E257="q"),H257," ")</f>
        <v> </v>
      </c>
      <c r="X257" s="17" t="str">
        <f aca="false">IF((E257="m"),H257," ")</f>
        <v> </v>
      </c>
      <c r="Y257" s="17" t="str">
        <f aca="false">IF((E257="u"),H257," ")</f>
        <v> </v>
      </c>
      <c r="Z257" s="17" t="str">
        <f aca="false">IF((E257="a"),H257," ")</f>
        <v> </v>
      </c>
      <c r="AA257" s="17" t="str">
        <f aca="false">IF((E257="g"),H257," ")</f>
        <v> </v>
      </c>
      <c r="AB257" s="17" t="str">
        <f aca="false">IF((E257="h"),H257," ")</f>
        <v> </v>
      </c>
      <c r="AC257" s="30" t="str">
        <f aca="false">IF((E257="v"),H257," ")</f>
        <v> </v>
      </c>
      <c r="AD257" s="30" t="str">
        <f aca="false">IF((E257="n"),H257," ")</f>
        <v> </v>
      </c>
      <c r="AE257" s="17" t="str">
        <f aca="false">IF((E257="f"),H257," ")</f>
        <v> </v>
      </c>
      <c r="AF257" s="17" t="str">
        <f aca="false">IF((E257="l"),H257," ")</f>
        <v> </v>
      </c>
      <c r="AG257" s="17" t="str">
        <f aca="false">IF((E257="y"),H257," ")</f>
        <v> </v>
      </c>
      <c r="AH257" s="17" t="str">
        <f aca="false">IF((E257="z"),H257," ")</f>
        <v> </v>
      </c>
      <c r="AI257" s="17" t="str">
        <f aca="false">IF((E257="fa"),H257," ")</f>
        <v> </v>
      </c>
      <c r="AJ257" s="17" t="str">
        <f aca="false">IF((E257="e"),H257," ")</f>
        <v> </v>
      </c>
    </row>
    <row r="258" customFormat="false" ht="12" hidden="false" customHeight="false" outlineLevel="0" collapsed="false">
      <c r="A258" s="28"/>
      <c r="E258" s="2" t="str">
        <f aca="false">IF((F258&lt;&gt;0),"Enter Letter"," ")</f>
        <v> </v>
      </c>
      <c r="F258" s="30"/>
      <c r="G258" s="6" t="str">
        <f aca="false">IF(F258&lt;&gt;0,F258*G$2/(100+G$2)," ")</f>
        <v> </v>
      </c>
      <c r="H258" s="6" t="str">
        <f aca="false">IF((F258&lt;&gt;0),F258-G258," ")</f>
        <v> </v>
      </c>
      <c r="I258" s="5"/>
      <c r="L258" s="7" t="str">
        <f aca="false">IF(F258&lt;&gt;0,F258-K258," ")</f>
        <v> </v>
      </c>
      <c r="M258" s="8" t="str">
        <f aca="false">IF((F258-K258)&lt;&gt;0,M$1-A258," ")</f>
        <v> </v>
      </c>
      <c r="N258" s="5"/>
      <c r="O258" s="17" t="str">
        <f aca="false">IF((E258="s"),H258," ")</f>
        <v> </v>
      </c>
      <c r="P258" s="17" t="str">
        <f aca="false">IF((E258="c"),H258," ")</f>
        <v> </v>
      </c>
      <c r="Q258" s="17" t="str">
        <f aca="false">IF((E258="o"),H258," ")</f>
        <v> </v>
      </c>
      <c r="R258" s="17" t="str">
        <f aca="false">IF((E258="d"),H258," ")</f>
        <v> </v>
      </c>
      <c r="S258" s="17" t="str">
        <f aca="false">IF((E258="w"),H258," ")</f>
        <v> </v>
      </c>
      <c r="T258" s="17" t="str">
        <f aca="false">IF((E258="r"),H258," ")</f>
        <v> </v>
      </c>
      <c r="U258" s="17" t="str">
        <f aca="false">IF((E258="p"),H258," ")</f>
        <v> </v>
      </c>
      <c r="V258" s="17" t="str">
        <f aca="false">IF((E258="t"),H258," ")</f>
        <v> </v>
      </c>
      <c r="W258" s="17" t="str">
        <f aca="false">IF((E258="q"),H258," ")</f>
        <v> </v>
      </c>
      <c r="X258" s="17" t="str">
        <f aca="false">IF((E258="m"),H258," ")</f>
        <v> </v>
      </c>
      <c r="Y258" s="17" t="str">
        <f aca="false">IF((E258="u"),H258," ")</f>
        <v> </v>
      </c>
      <c r="Z258" s="17" t="str">
        <f aca="false">IF((E258="a"),H258," ")</f>
        <v> </v>
      </c>
      <c r="AA258" s="17" t="str">
        <f aca="false">IF((E258="g"),H258," ")</f>
        <v> </v>
      </c>
      <c r="AB258" s="17" t="str">
        <f aca="false">IF((E258="h"),H258," ")</f>
        <v> </v>
      </c>
      <c r="AC258" s="30" t="str">
        <f aca="false">IF((E258="v"),H258," ")</f>
        <v> </v>
      </c>
      <c r="AD258" s="30" t="str">
        <f aca="false">IF((E258="n"),H258," ")</f>
        <v> </v>
      </c>
      <c r="AE258" s="17" t="str">
        <f aca="false">IF((E258="f"),H258," ")</f>
        <v> </v>
      </c>
      <c r="AF258" s="17" t="str">
        <f aca="false">IF((E258="l"),H258," ")</f>
        <v> </v>
      </c>
      <c r="AG258" s="17" t="str">
        <f aca="false">IF((E258="y"),H258," ")</f>
        <v> </v>
      </c>
      <c r="AH258" s="17" t="str">
        <f aca="false">IF((E258="z"),H258," ")</f>
        <v> </v>
      </c>
      <c r="AI258" s="17" t="str">
        <f aca="false">IF((E258="fa"),H258," ")</f>
        <v> </v>
      </c>
      <c r="AJ258" s="17" t="str">
        <f aca="false">IF((E258="e"),H258," ")</f>
        <v> </v>
      </c>
    </row>
    <row r="259" customFormat="false" ht="12" hidden="false" customHeight="false" outlineLevel="0" collapsed="false">
      <c r="A259" s="28"/>
      <c r="E259" s="2" t="str">
        <f aca="false">IF((F259&lt;&gt;0),"Enter Letter"," ")</f>
        <v> </v>
      </c>
      <c r="F259" s="30"/>
      <c r="G259" s="6" t="str">
        <f aca="false">IF(F259&lt;&gt;0,F259*G$2/(100+G$2)," ")</f>
        <v> </v>
      </c>
      <c r="H259" s="6" t="str">
        <f aca="false">IF((F259&lt;&gt;0),F259-G259," ")</f>
        <v> </v>
      </c>
      <c r="I259" s="5"/>
      <c r="L259" s="7" t="str">
        <f aca="false">IF(F259&lt;&gt;0,F259-K259," ")</f>
        <v> </v>
      </c>
      <c r="M259" s="8" t="str">
        <f aca="false">IF((F259-K259)&lt;&gt;0,M$1-A259," ")</f>
        <v> </v>
      </c>
      <c r="N259" s="5"/>
      <c r="O259" s="17" t="str">
        <f aca="false">IF((E259="s"),H259," ")</f>
        <v> </v>
      </c>
      <c r="P259" s="17" t="str">
        <f aca="false">IF((E259="c"),H259," ")</f>
        <v> </v>
      </c>
      <c r="Q259" s="17" t="str">
        <f aca="false">IF((E259="o"),H259," ")</f>
        <v> </v>
      </c>
      <c r="R259" s="17" t="str">
        <f aca="false">IF((E259="d"),H259," ")</f>
        <v> </v>
      </c>
      <c r="S259" s="17" t="str">
        <f aca="false">IF((E259="w"),H259," ")</f>
        <v> </v>
      </c>
      <c r="T259" s="17" t="str">
        <f aca="false">IF((E259="r"),H259," ")</f>
        <v> </v>
      </c>
      <c r="U259" s="17" t="str">
        <f aca="false">IF((E259="p"),H259," ")</f>
        <v> </v>
      </c>
      <c r="V259" s="17" t="str">
        <f aca="false">IF((E259="t"),H259," ")</f>
        <v> </v>
      </c>
      <c r="W259" s="17" t="str">
        <f aca="false">IF((E259="q"),H259," ")</f>
        <v> </v>
      </c>
      <c r="X259" s="17" t="str">
        <f aca="false">IF((E259="m"),H259," ")</f>
        <v> </v>
      </c>
      <c r="Y259" s="17" t="str">
        <f aca="false">IF((E259="u"),H259," ")</f>
        <v> </v>
      </c>
      <c r="Z259" s="17" t="str">
        <f aca="false">IF((E259="a"),H259," ")</f>
        <v> </v>
      </c>
      <c r="AA259" s="17" t="str">
        <f aca="false">IF((E259="g"),H259," ")</f>
        <v> </v>
      </c>
      <c r="AB259" s="17" t="str">
        <f aca="false">IF((E259="h"),H259," ")</f>
        <v> </v>
      </c>
      <c r="AC259" s="30" t="str">
        <f aca="false">IF((E259="v"),H259," ")</f>
        <v> </v>
      </c>
      <c r="AD259" s="30" t="str">
        <f aca="false">IF((E259="n"),H259," ")</f>
        <v> </v>
      </c>
      <c r="AE259" s="17" t="str">
        <f aca="false">IF((E259="f"),H259," ")</f>
        <v> </v>
      </c>
      <c r="AF259" s="17" t="str">
        <f aca="false">IF((E259="l"),H259," ")</f>
        <v> </v>
      </c>
      <c r="AG259" s="17" t="str">
        <f aca="false">IF((E259="y"),H259," ")</f>
        <v> </v>
      </c>
      <c r="AH259" s="17" t="str">
        <f aca="false">IF((E259="z"),H259," ")</f>
        <v> </v>
      </c>
      <c r="AI259" s="17" t="str">
        <f aca="false">IF((E259="fa"),H259," ")</f>
        <v> </v>
      </c>
      <c r="AJ259" s="17" t="str">
        <f aca="false">IF((E259="e"),H259," ")</f>
        <v> </v>
      </c>
    </row>
    <row r="260" customFormat="false" ht="12" hidden="false" customHeight="false" outlineLevel="0" collapsed="false">
      <c r="A260" s="28"/>
      <c r="E260" s="2" t="str">
        <f aca="false">IF((F260&lt;&gt;0),"Enter Letter"," ")</f>
        <v> </v>
      </c>
      <c r="F260" s="30"/>
      <c r="G260" s="6" t="str">
        <f aca="false">IF(F260&lt;&gt;0,F260*G$2/(100+G$2)," ")</f>
        <v> </v>
      </c>
      <c r="H260" s="6" t="str">
        <f aca="false">IF((F260&lt;&gt;0),F260-G260," ")</f>
        <v> </v>
      </c>
      <c r="I260" s="5"/>
      <c r="L260" s="7" t="str">
        <f aca="false">IF(F260&lt;&gt;0,F260-K260," ")</f>
        <v> </v>
      </c>
      <c r="M260" s="8" t="str">
        <f aca="false">IF((F260-K260)&lt;&gt;0,M$1-A260," ")</f>
        <v> </v>
      </c>
      <c r="N260" s="5"/>
      <c r="O260" s="17" t="str">
        <f aca="false">IF((E260="s"),H260," ")</f>
        <v> </v>
      </c>
      <c r="P260" s="17" t="str">
        <f aca="false">IF((E260="c"),H260," ")</f>
        <v> </v>
      </c>
      <c r="Q260" s="17" t="str">
        <f aca="false">IF((E260="o"),H260," ")</f>
        <v> </v>
      </c>
      <c r="R260" s="17" t="str">
        <f aca="false">IF((E260="d"),H260," ")</f>
        <v> </v>
      </c>
      <c r="S260" s="17" t="str">
        <f aca="false">IF((E260="w"),H260," ")</f>
        <v> </v>
      </c>
      <c r="T260" s="17" t="str">
        <f aca="false">IF((E260="r"),H260," ")</f>
        <v> </v>
      </c>
      <c r="U260" s="17" t="str">
        <f aca="false">IF((E260="p"),H260," ")</f>
        <v> </v>
      </c>
      <c r="V260" s="17" t="str">
        <f aca="false">IF((E260="t"),H260," ")</f>
        <v> </v>
      </c>
      <c r="W260" s="17" t="str">
        <f aca="false">IF((E260="q"),H260," ")</f>
        <v> </v>
      </c>
      <c r="X260" s="17" t="str">
        <f aca="false">IF((E260="m"),H260," ")</f>
        <v> </v>
      </c>
      <c r="Y260" s="17" t="str">
        <f aca="false">IF((E260="u"),H260," ")</f>
        <v> </v>
      </c>
      <c r="Z260" s="17" t="str">
        <f aca="false">IF((E260="a"),H260," ")</f>
        <v> </v>
      </c>
      <c r="AA260" s="17" t="str">
        <f aca="false">IF((E260="g"),H260," ")</f>
        <v> </v>
      </c>
      <c r="AB260" s="17" t="str">
        <f aca="false">IF((E260="h"),H260," ")</f>
        <v> </v>
      </c>
      <c r="AC260" s="30" t="str">
        <f aca="false">IF((E260="v"),H260," ")</f>
        <v> </v>
      </c>
      <c r="AD260" s="30" t="str">
        <f aca="false">IF((E260="n"),H260," ")</f>
        <v> </v>
      </c>
      <c r="AE260" s="17" t="str">
        <f aca="false">IF((E260="f"),H260," ")</f>
        <v> </v>
      </c>
      <c r="AF260" s="17" t="str">
        <f aca="false">IF((E260="l"),H260," ")</f>
        <v> </v>
      </c>
      <c r="AG260" s="17" t="str">
        <f aca="false">IF((E260="y"),H260," ")</f>
        <v> </v>
      </c>
      <c r="AH260" s="17" t="str">
        <f aca="false">IF((E260="z"),H260," ")</f>
        <v> </v>
      </c>
      <c r="AI260" s="17" t="str">
        <f aca="false">IF((E260="fa"),H260," ")</f>
        <v> </v>
      </c>
      <c r="AJ260" s="17" t="str">
        <f aca="false">IF((E260="e"),H260," ")</f>
        <v> </v>
      </c>
    </row>
    <row r="261" customFormat="false" ht="12" hidden="false" customHeight="false" outlineLevel="0" collapsed="false">
      <c r="A261" s="28"/>
      <c r="E261" s="2" t="str">
        <f aca="false">IF((F261&lt;&gt;0),"Enter Letter"," ")</f>
        <v> </v>
      </c>
      <c r="F261" s="30"/>
      <c r="G261" s="6" t="str">
        <f aca="false">IF(F261&lt;&gt;0,F261*G$2/(100+G$2)," ")</f>
        <v> </v>
      </c>
      <c r="H261" s="6" t="str">
        <f aca="false">IF((F261&lt;&gt;0),F261-G261," ")</f>
        <v> </v>
      </c>
      <c r="I261" s="5"/>
      <c r="L261" s="7" t="str">
        <f aca="false">IF(F261&lt;&gt;0,F261-K261," ")</f>
        <v> </v>
      </c>
      <c r="M261" s="8" t="str">
        <f aca="false">IF((F261-K261)&lt;&gt;0,M$1-A261," ")</f>
        <v> </v>
      </c>
      <c r="N261" s="5"/>
      <c r="O261" s="17" t="str">
        <f aca="false">IF((E261="s"),H261," ")</f>
        <v> </v>
      </c>
      <c r="P261" s="17" t="str">
        <f aca="false">IF((E261="c"),H261," ")</f>
        <v> </v>
      </c>
      <c r="Q261" s="17" t="str">
        <f aca="false">IF((E261="o"),H261," ")</f>
        <v> </v>
      </c>
      <c r="R261" s="17" t="str">
        <f aca="false">IF((E261="d"),H261," ")</f>
        <v> </v>
      </c>
      <c r="S261" s="17" t="str">
        <f aca="false">IF((E261="w"),H261," ")</f>
        <v> </v>
      </c>
      <c r="T261" s="17" t="str">
        <f aca="false">IF((E261="r"),H261," ")</f>
        <v> </v>
      </c>
      <c r="U261" s="17" t="str">
        <f aca="false">IF((E261="p"),H261," ")</f>
        <v> </v>
      </c>
      <c r="V261" s="17" t="str">
        <f aca="false">IF((E261="t"),H261," ")</f>
        <v> </v>
      </c>
      <c r="W261" s="17" t="str">
        <f aca="false">IF((E261="q"),H261," ")</f>
        <v> </v>
      </c>
      <c r="X261" s="17" t="str">
        <f aca="false">IF((E261="m"),H261," ")</f>
        <v> </v>
      </c>
      <c r="Y261" s="17" t="str">
        <f aca="false">IF((E261="u"),H261," ")</f>
        <v> </v>
      </c>
      <c r="Z261" s="17" t="str">
        <f aca="false">IF((E261="a"),H261," ")</f>
        <v> </v>
      </c>
      <c r="AA261" s="17" t="str">
        <f aca="false">IF((E261="g"),H261," ")</f>
        <v> </v>
      </c>
      <c r="AB261" s="17" t="str">
        <f aca="false">IF((E261="h"),H261," ")</f>
        <v> </v>
      </c>
      <c r="AC261" s="30" t="str">
        <f aca="false">IF((E261="v"),H261," ")</f>
        <v> </v>
      </c>
      <c r="AD261" s="30" t="str">
        <f aca="false">IF((E261="n"),H261," ")</f>
        <v> </v>
      </c>
      <c r="AE261" s="17" t="str">
        <f aca="false">IF((E261="f"),H261," ")</f>
        <v> </v>
      </c>
      <c r="AF261" s="17" t="str">
        <f aca="false">IF((E261="l"),H261," ")</f>
        <v> </v>
      </c>
      <c r="AG261" s="17" t="str">
        <f aca="false">IF((E261="y"),H261," ")</f>
        <v> </v>
      </c>
      <c r="AH261" s="17" t="str">
        <f aca="false">IF((E261="z"),H261," ")</f>
        <v> </v>
      </c>
      <c r="AI261" s="17" t="str">
        <f aca="false">IF((E261="fa"),H261," ")</f>
        <v> </v>
      </c>
      <c r="AJ261" s="17" t="str">
        <f aca="false">IF((E261="e"),H261," ")</f>
        <v> </v>
      </c>
    </row>
    <row r="262" customFormat="false" ht="12" hidden="false" customHeight="false" outlineLevel="0" collapsed="false">
      <c r="A262" s="28"/>
      <c r="E262" s="2" t="str">
        <f aca="false">IF((F262&lt;&gt;0),"Enter Letter"," ")</f>
        <v> </v>
      </c>
      <c r="F262" s="30"/>
      <c r="G262" s="6" t="str">
        <f aca="false">IF(F262&lt;&gt;0,F262*G$2/(100+G$2)," ")</f>
        <v> </v>
      </c>
      <c r="H262" s="6" t="str">
        <f aca="false">IF((F262&lt;&gt;0),F262-G262," ")</f>
        <v> </v>
      </c>
      <c r="I262" s="5"/>
      <c r="L262" s="7" t="str">
        <f aca="false">IF(F262&lt;&gt;0,F262-K262," ")</f>
        <v> </v>
      </c>
      <c r="M262" s="8" t="str">
        <f aca="false">IF((F262-K262)&lt;&gt;0,M$1-A262," ")</f>
        <v> </v>
      </c>
      <c r="N262" s="5"/>
      <c r="O262" s="17" t="str">
        <f aca="false">IF((E262="s"),H262," ")</f>
        <v> </v>
      </c>
      <c r="P262" s="17" t="str">
        <f aca="false">IF((E262="c"),H262," ")</f>
        <v> </v>
      </c>
      <c r="Q262" s="17" t="str">
        <f aca="false">IF((E262="o"),H262," ")</f>
        <v> </v>
      </c>
      <c r="R262" s="17" t="str">
        <f aca="false">IF((E262="d"),H262," ")</f>
        <v> </v>
      </c>
      <c r="S262" s="17" t="str">
        <f aca="false">IF((E262="w"),H262," ")</f>
        <v> </v>
      </c>
      <c r="T262" s="17" t="str">
        <f aca="false">IF((E262="r"),H262," ")</f>
        <v> </v>
      </c>
      <c r="U262" s="17" t="str">
        <f aca="false">IF((E262="p"),H262," ")</f>
        <v> </v>
      </c>
      <c r="V262" s="17" t="str">
        <f aca="false">IF((E262="t"),H262," ")</f>
        <v> </v>
      </c>
      <c r="W262" s="17" t="str">
        <f aca="false">IF((E262="q"),H262," ")</f>
        <v> </v>
      </c>
      <c r="X262" s="17" t="str">
        <f aca="false">IF((E262="m"),H262," ")</f>
        <v> </v>
      </c>
      <c r="Y262" s="17" t="str">
        <f aca="false">IF((E262="u"),H262," ")</f>
        <v> </v>
      </c>
      <c r="Z262" s="17" t="str">
        <f aca="false">IF((E262="a"),H262," ")</f>
        <v> </v>
      </c>
      <c r="AA262" s="17" t="str">
        <f aca="false">IF((E262="g"),H262," ")</f>
        <v> </v>
      </c>
      <c r="AB262" s="17" t="str">
        <f aca="false">IF((E262="h"),H262," ")</f>
        <v> </v>
      </c>
      <c r="AC262" s="30" t="str">
        <f aca="false">IF((E262="v"),H262," ")</f>
        <v> </v>
      </c>
      <c r="AD262" s="30" t="str">
        <f aca="false">IF((E262="n"),H262," ")</f>
        <v> </v>
      </c>
      <c r="AE262" s="17" t="str">
        <f aca="false">IF((E262="f"),H262," ")</f>
        <v> </v>
      </c>
      <c r="AF262" s="17" t="str">
        <f aca="false">IF((E262="l"),H262," ")</f>
        <v> </v>
      </c>
      <c r="AG262" s="17" t="str">
        <f aca="false">IF((E262="y"),H262," ")</f>
        <v> </v>
      </c>
      <c r="AH262" s="17" t="str">
        <f aca="false">IF((E262="z"),H262," ")</f>
        <v> </v>
      </c>
      <c r="AI262" s="17" t="str">
        <f aca="false">IF((E262="fa"),H262," ")</f>
        <v> </v>
      </c>
      <c r="AJ262" s="17" t="str">
        <f aca="false">IF((E262="e"),H262," ")</f>
        <v> </v>
      </c>
    </row>
    <row r="263" customFormat="false" ht="12" hidden="false" customHeight="false" outlineLevel="0" collapsed="false">
      <c r="A263" s="28"/>
      <c r="E263" s="2" t="str">
        <f aca="false">IF((F263&lt;&gt;0),"Enter Letter"," ")</f>
        <v> </v>
      </c>
      <c r="F263" s="30"/>
      <c r="G263" s="6" t="str">
        <f aca="false">IF(F263&lt;&gt;0,F263*G$2/(100+G$2)," ")</f>
        <v> </v>
      </c>
      <c r="H263" s="6" t="str">
        <f aca="false">IF((F263&lt;&gt;0),F263-G263," ")</f>
        <v> </v>
      </c>
      <c r="I263" s="5"/>
      <c r="L263" s="7" t="str">
        <f aca="false">IF(F263&lt;&gt;0,F263-K263," ")</f>
        <v> </v>
      </c>
      <c r="M263" s="8" t="str">
        <f aca="false">IF((F263-K263)&lt;&gt;0,M$1-A263," ")</f>
        <v> </v>
      </c>
      <c r="N263" s="5"/>
      <c r="O263" s="17" t="str">
        <f aca="false">IF((E263="s"),H263," ")</f>
        <v> </v>
      </c>
      <c r="P263" s="17" t="str">
        <f aca="false">IF((E263="c"),H263," ")</f>
        <v> </v>
      </c>
      <c r="Q263" s="17" t="str">
        <f aca="false">IF((E263="o"),H263," ")</f>
        <v> </v>
      </c>
      <c r="R263" s="17" t="str">
        <f aca="false">IF((E263="d"),H263," ")</f>
        <v> </v>
      </c>
      <c r="S263" s="17" t="str">
        <f aca="false">IF((E263="w"),H263," ")</f>
        <v> </v>
      </c>
      <c r="T263" s="17" t="str">
        <f aca="false">IF((E263="r"),H263," ")</f>
        <v> </v>
      </c>
      <c r="U263" s="17" t="str">
        <f aca="false">IF((E263="p"),H263," ")</f>
        <v> </v>
      </c>
      <c r="V263" s="17" t="str">
        <f aca="false">IF((E263="t"),H263," ")</f>
        <v> </v>
      </c>
      <c r="W263" s="17" t="str">
        <f aca="false">IF((E263="q"),H263," ")</f>
        <v> </v>
      </c>
      <c r="X263" s="17" t="str">
        <f aca="false">IF((E263="m"),H263," ")</f>
        <v> </v>
      </c>
      <c r="Y263" s="17" t="str">
        <f aca="false">IF((E263="u"),H263," ")</f>
        <v> </v>
      </c>
      <c r="Z263" s="17" t="str">
        <f aca="false">IF((E263="a"),H263," ")</f>
        <v> </v>
      </c>
      <c r="AA263" s="17" t="str">
        <f aca="false">IF((E263="g"),H263," ")</f>
        <v> </v>
      </c>
      <c r="AB263" s="17" t="str">
        <f aca="false">IF((E263="h"),H263," ")</f>
        <v> </v>
      </c>
      <c r="AC263" s="30" t="str">
        <f aca="false">IF((E263="v"),H263," ")</f>
        <v> </v>
      </c>
      <c r="AD263" s="30" t="str">
        <f aca="false">IF((E263="n"),H263," ")</f>
        <v> </v>
      </c>
      <c r="AE263" s="17" t="str">
        <f aca="false">IF((E263="f"),H263," ")</f>
        <v> </v>
      </c>
      <c r="AF263" s="17" t="str">
        <f aca="false">IF((E263="l"),H263," ")</f>
        <v> </v>
      </c>
      <c r="AG263" s="17" t="str">
        <f aca="false">IF((E263="y"),H263," ")</f>
        <v> </v>
      </c>
      <c r="AH263" s="17" t="str">
        <f aca="false">IF((E263="z"),H263," ")</f>
        <v> </v>
      </c>
      <c r="AI263" s="17" t="str">
        <f aca="false">IF((E263="fa"),H263," ")</f>
        <v> </v>
      </c>
      <c r="AJ263" s="17" t="str">
        <f aca="false">IF((E263="e"),H263," ")</f>
        <v> </v>
      </c>
    </row>
    <row r="264" customFormat="false" ht="12" hidden="false" customHeight="false" outlineLevel="0" collapsed="false">
      <c r="A264" s="28"/>
      <c r="E264" s="2" t="str">
        <f aca="false">IF((F264&lt;&gt;0),"Enter Letter"," ")</f>
        <v> </v>
      </c>
      <c r="F264" s="30"/>
      <c r="G264" s="6" t="str">
        <f aca="false">IF(F264&lt;&gt;0,F264*G$2/(100+G$2)," ")</f>
        <v> </v>
      </c>
      <c r="H264" s="6" t="str">
        <f aca="false">IF((F264&lt;&gt;0),F264-G264," ")</f>
        <v> </v>
      </c>
      <c r="I264" s="5"/>
      <c r="L264" s="7" t="str">
        <f aca="false">IF(F264&lt;&gt;0,F264-K264," ")</f>
        <v> </v>
      </c>
      <c r="M264" s="8" t="str">
        <f aca="false">IF((F264-K264)&lt;&gt;0,M$1-A264," ")</f>
        <v> </v>
      </c>
      <c r="N264" s="5"/>
      <c r="O264" s="17" t="str">
        <f aca="false">IF((E264="s"),H264," ")</f>
        <v> </v>
      </c>
      <c r="P264" s="17" t="str">
        <f aca="false">IF((E264="c"),H264," ")</f>
        <v> </v>
      </c>
      <c r="Q264" s="17" t="str">
        <f aca="false">IF((E264="o"),H264," ")</f>
        <v> </v>
      </c>
      <c r="R264" s="17" t="str">
        <f aca="false">IF((E264="d"),H264," ")</f>
        <v> </v>
      </c>
      <c r="S264" s="17" t="str">
        <f aca="false">IF((E264="w"),H264," ")</f>
        <v> </v>
      </c>
      <c r="T264" s="17" t="str">
        <f aca="false">IF((E264="r"),H264," ")</f>
        <v> </v>
      </c>
      <c r="U264" s="17" t="str">
        <f aca="false">IF((E264="p"),H264," ")</f>
        <v> </v>
      </c>
      <c r="V264" s="17" t="str">
        <f aca="false">IF((E264="t"),H264," ")</f>
        <v> </v>
      </c>
      <c r="W264" s="17" t="str">
        <f aca="false">IF((E264="q"),H264," ")</f>
        <v> </v>
      </c>
      <c r="X264" s="17" t="str">
        <f aca="false">IF((E264="m"),H264," ")</f>
        <v> </v>
      </c>
      <c r="Y264" s="17" t="str">
        <f aca="false">IF((E264="u"),H264," ")</f>
        <v> </v>
      </c>
      <c r="Z264" s="17" t="str">
        <f aca="false">IF((E264="a"),H264," ")</f>
        <v> </v>
      </c>
      <c r="AA264" s="17" t="str">
        <f aca="false">IF((E264="g"),H264," ")</f>
        <v> </v>
      </c>
      <c r="AB264" s="17" t="str">
        <f aca="false">IF((E264="h"),H264," ")</f>
        <v> </v>
      </c>
      <c r="AC264" s="30" t="str">
        <f aca="false">IF((E264="v"),H264," ")</f>
        <v> </v>
      </c>
      <c r="AD264" s="30" t="str">
        <f aca="false">IF((E264="n"),H264," ")</f>
        <v> </v>
      </c>
      <c r="AE264" s="17" t="str">
        <f aca="false">IF((E264="f"),H264," ")</f>
        <v> </v>
      </c>
      <c r="AF264" s="17" t="str">
        <f aca="false">IF((E264="l"),H264," ")</f>
        <v> </v>
      </c>
      <c r="AG264" s="17" t="str">
        <f aca="false">IF((E264="y"),H264," ")</f>
        <v> </v>
      </c>
      <c r="AH264" s="17" t="str">
        <f aca="false">IF((E264="z"),H264," ")</f>
        <v> </v>
      </c>
      <c r="AI264" s="17" t="str">
        <f aca="false">IF((E264="fa"),H264," ")</f>
        <v> </v>
      </c>
      <c r="AJ264" s="17" t="str">
        <f aca="false">IF((E264="e"),H264," ")</f>
        <v> </v>
      </c>
    </row>
    <row r="265" customFormat="false" ht="12" hidden="false" customHeight="false" outlineLevel="0" collapsed="false">
      <c r="A265" s="28"/>
      <c r="E265" s="2" t="str">
        <f aca="false">IF((F265&lt;&gt;0),"Enter Letter"," ")</f>
        <v> </v>
      </c>
      <c r="F265" s="30"/>
      <c r="G265" s="6" t="str">
        <f aca="false">IF(F265&lt;&gt;0,F265*G$2/(100+G$2)," ")</f>
        <v> </v>
      </c>
      <c r="H265" s="6" t="str">
        <f aca="false">IF((F265&lt;&gt;0),F265-G265," ")</f>
        <v> </v>
      </c>
      <c r="I265" s="5"/>
      <c r="L265" s="7" t="str">
        <f aca="false">IF(F265&lt;&gt;0,F265-K265," ")</f>
        <v> </v>
      </c>
      <c r="M265" s="8" t="str">
        <f aca="false">IF((F265-K265)&lt;&gt;0,M$1-A265," ")</f>
        <v> </v>
      </c>
      <c r="N265" s="5"/>
      <c r="O265" s="17" t="str">
        <f aca="false">IF((E265="s"),H265," ")</f>
        <v> </v>
      </c>
      <c r="P265" s="17" t="str">
        <f aca="false">IF((E265="c"),H265," ")</f>
        <v> </v>
      </c>
      <c r="Q265" s="17" t="str">
        <f aca="false">IF((E265="o"),H265," ")</f>
        <v> </v>
      </c>
      <c r="R265" s="17" t="str">
        <f aca="false">IF((E265="d"),H265," ")</f>
        <v> </v>
      </c>
      <c r="S265" s="17" t="str">
        <f aca="false">IF((E265="w"),H265," ")</f>
        <v> </v>
      </c>
      <c r="T265" s="17" t="str">
        <f aca="false">IF((E265="r"),H265," ")</f>
        <v> </v>
      </c>
      <c r="U265" s="17" t="str">
        <f aca="false">IF((E265="p"),H265," ")</f>
        <v> </v>
      </c>
      <c r="V265" s="17" t="str">
        <f aca="false">IF((E265="t"),H265," ")</f>
        <v> </v>
      </c>
      <c r="W265" s="17" t="str">
        <f aca="false">IF((E265="q"),H265," ")</f>
        <v> </v>
      </c>
      <c r="X265" s="17" t="str">
        <f aca="false">IF((E265="m"),H265," ")</f>
        <v> </v>
      </c>
      <c r="Y265" s="17" t="str">
        <f aca="false">IF((E265="u"),H265," ")</f>
        <v> </v>
      </c>
      <c r="Z265" s="17" t="str">
        <f aca="false">IF((E265="a"),H265," ")</f>
        <v> </v>
      </c>
      <c r="AA265" s="17" t="str">
        <f aca="false">IF((E265="g"),H265," ")</f>
        <v> </v>
      </c>
      <c r="AB265" s="17" t="str">
        <f aca="false">IF((E265="h"),H265," ")</f>
        <v> </v>
      </c>
      <c r="AC265" s="30" t="str">
        <f aca="false">IF((E265="v"),H265," ")</f>
        <v> </v>
      </c>
      <c r="AD265" s="30" t="str">
        <f aca="false">IF((E265="n"),H265," ")</f>
        <v> </v>
      </c>
      <c r="AE265" s="17" t="str">
        <f aca="false">IF((E265="f"),H265," ")</f>
        <v> </v>
      </c>
      <c r="AF265" s="17" t="str">
        <f aca="false">IF((E265="l"),H265," ")</f>
        <v> </v>
      </c>
      <c r="AG265" s="17" t="str">
        <f aca="false">IF((E265="y"),H265," ")</f>
        <v> </v>
      </c>
      <c r="AH265" s="17" t="str">
        <f aca="false">IF((E265="z"),H265," ")</f>
        <v> </v>
      </c>
      <c r="AI265" s="17" t="str">
        <f aca="false">IF((E265="fa"),H265," ")</f>
        <v> </v>
      </c>
      <c r="AJ265" s="17" t="str">
        <f aca="false">IF((E265="e"),H265," ")</f>
        <v> </v>
      </c>
    </row>
    <row r="266" customFormat="false" ht="12" hidden="false" customHeight="false" outlineLevel="0" collapsed="false">
      <c r="A266" s="28"/>
      <c r="E266" s="2" t="str">
        <f aca="false">IF((F266&lt;&gt;0),"Enter Letter"," ")</f>
        <v> </v>
      </c>
      <c r="F266" s="30"/>
      <c r="G266" s="6" t="str">
        <f aca="false">IF(F266&lt;&gt;0,F266*G$2/(100+G$2)," ")</f>
        <v> </v>
      </c>
      <c r="H266" s="6" t="str">
        <f aca="false">IF((F266&lt;&gt;0),F266-G266," ")</f>
        <v> </v>
      </c>
      <c r="I266" s="5"/>
      <c r="L266" s="7" t="str">
        <f aca="false">IF(F266&lt;&gt;0,F266-K266," ")</f>
        <v> </v>
      </c>
      <c r="M266" s="8" t="str">
        <f aca="false">IF((F266-K266)&lt;&gt;0,M$1-A266," ")</f>
        <v> </v>
      </c>
      <c r="N266" s="5"/>
      <c r="O266" s="17" t="str">
        <f aca="false">IF((E266="s"),H266," ")</f>
        <v> </v>
      </c>
      <c r="P266" s="17" t="str">
        <f aca="false">IF((E266="c"),H266," ")</f>
        <v> </v>
      </c>
      <c r="Q266" s="17" t="str">
        <f aca="false">IF((E266="o"),H266," ")</f>
        <v> </v>
      </c>
      <c r="R266" s="17" t="str">
        <f aca="false">IF((E266="d"),H266," ")</f>
        <v> </v>
      </c>
      <c r="S266" s="17" t="str">
        <f aca="false">IF((E266="w"),H266," ")</f>
        <v> </v>
      </c>
      <c r="T266" s="17" t="str">
        <f aca="false">IF((E266="r"),H266," ")</f>
        <v> </v>
      </c>
      <c r="U266" s="17" t="str">
        <f aca="false">IF((E266="p"),H266," ")</f>
        <v> </v>
      </c>
      <c r="V266" s="17" t="str">
        <f aca="false">IF((E266="t"),H266," ")</f>
        <v> </v>
      </c>
      <c r="W266" s="17" t="str">
        <f aca="false">IF((E266="q"),H266," ")</f>
        <v> </v>
      </c>
      <c r="X266" s="17" t="str">
        <f aca="false">IF((E266="m"),H266," ")</f>
        <v> </v>
      </c>
      <c r="Y266" s="17" t="str">
        <f aca="false">IF((E266="u"),H266," ")</f>
        <v> </v>
      </c>
      <c r="Z266" s="17" t="str">
        <f aca="false">IF((E266="a"),H266," ")</f>
        <v> </v>
      </c>
      <c r="AA266" s="17" t="str">
        <f aca="false">IF((E266="g"),H266," ")</f>
        <v> </v>
      </c>
      <c r="AB266" s="17" t="str">
        <f aca="false">IF((E266="h"),H266," ")</f>
        <v> </v>
      </c>
      <c r="AC266" s="30" t="str">
        <f aca="false">IF((E266="v"),H266," ")</f>
        <v> </v>
      </c>
      <c r="AD266" s="30" t="str">
        <f aca="false">IF((E266="n"),H266," ")</f>
        <v> </v>
      </c>
      <c r="AE266" s="17" t="str">
        <f aca="false">IF((E266="f"),H266," ")</f>
        <v> </v>
      </c>
      <c r="AF266" s="17" t="str">
        <f aca="false">IF((E266="l"),H266," ")</f>
        <v> </v>
      </c>
      <c r="AG266" s="17" t="str">
        <f aca="false">IF((E266="y"),H266," ")</f>
        <v> </v>
      </c>
      <c r="AH266" s="17" t="str">
        <f aca="false">IF((E266="z"),H266," ")</f>
        <v> </v>
      </c>
      <c r="AI266" s="17" t="str">
        <f aca="false">IF((E266="fa"),H266," ")</f>
        <v> </v>
      </c>
      <c r="AJ266" s="17" t="str">
        <f aca="false">IF((E266="e"),H266," ")</f>
        <v> </v>
      </c>
    </row>
    <row r="267" customFormat="false" ht="12" hidden="false" customHeight="false" outlineLevel="0" collapsed="false">
      <c r="A267" s="28"/>
      <c r="E267" s="2" t="str">
        <f aca="false">IF((F267&lt;&gt;0),"Enter Letter"," ")</f>
        <v> </v>
      </c>
      <c r="F267" s="30"/>
      <c r="G267" s="6" t="str">
        <f aca="false">IF(F267&lt;&gt;0,F267*G$2/(100+G$2)," ")</f>
        <v> </v>
      </c>
      <c r="H267" s="6" t="str">
        <f aca="false">IF((F267&lt;&gt;0),F267-G267," ")</f>
        <v> </v>
      </c>
      <c r="I267" s="5"/>
      <c r="L267" s="7" t="str">
        <f aca="false">IF(F267&lt;&gt;0,F267-K267," ")</f>
        <v> </v>
      </c>
      <c r="M267" s="8" t="str">
        <f aca="false">IF((F267-K267)&lt;&gt;0,M$1-A267," ")</f>
        <v> </v>
      </c>
      <c r="N267" s="5"/>
      <c r="O267" s="17" t="str">
        <f aca="false">IF((E267="s"),H267," ")</f>
        <v> </v>
      </c>
      <c r="P267" s="17" t="str">
        <f aca="false">IF((E267="c"),H267," ")</f>
        <v> </v>
      </c>
      <c r="Q267" s="17" t="str">
        <f aca="false">IF((E267="o"),H267," ")</f>
        <v> </v>
      </c>
      <c r="R267" s="17" t="str">
        <f aca="false">IF((E267="d"),H267," ")</f>
        <v> </v>
      </c>
      <c r="S267" s="17" t="str">
        <f aca="false">IF((E267="w"),H267," ")</f>
        <v> </v>
      </c>
      <c r="T267" s="17" t="str">
        <f aca="false">IF((E267="r"),H267," ")</f>
        <v> </v>
      </c>
      <c r="U267" s="17" t="str">
        <f aca="false">IF((E267="p"),H267," ")</f>
        <v> </v>
      </c>
      <c r="V267" s="17" t="str">
        <f aca="false">IF((E267="t"),H267," ")</f>
        <v> </v>
      </c>
      <c r="W267" s="17" t="str">
        <f aca="false">IF((E267="q"),H267," ")</f>
        <v> </v>
      </c>
      <c r="X267" s="17" t="str">
        <f aca="false">IF((E267="m"),H267," ")</f>
        <v> </v>
      </c>
      <c r="Y267" s="17" t="str">
        <f aca="false">IF((E267="u"),H267," ")</f>
        <v> </v>
      </c>
      <c r="Z267" s="17" t="str">
        <f aca="false">IF((E267="a"),H267," ")</f>
        <v> </v>
      </c>
      <c r="AA267" s="17" t="str">
        <f aca="false">IF((E267="g"),H267," ")</f>
        <v> </v>
      </c>
      <c r="AB267" s="17" t="str">
        <f aca="false">IF((E267="h"),H267," ")</f>
        <v> </v>
      </c>
      <c r="AC267" s="30" t="str">
        <f aca="false">IF((E267="v"),H267," ")</f>
        <v> </v>
      </c>
      <c r="AD267" s="30" t="str">
        <f aca="false">IF((E267="n"),H267," ")</f>
        <v> </v>
      </c>
      <c r="AE267" s="17" t="str">
        <f aca="false">IF((E267="f"),H267," ")</f>
        <v> </v>
      </c>
      <c r="AF267" s="17" t="str">
        <f aca="false">IF((E267="l"),H267," ")</f>
        <v> </v>
      </c>
      <c r="AG267" s="17" t="str">
        <f aca="false">IF((E267="y"),H267," ")</f>
        <v> </v>
      </c>
      <c r="AH267" s="17" t="str">
        <f aca="false">IF((E267="z"),H267," ")</f>
        <v> </v>
      </c>
      <c r="AI267" s="17" t="str">
        <f aca="false">IF((E267="fa"),H267," ")</f>
        <v> </v>
      </c>
      <c r="AJ267" s="17" t="str">
        <f aca="false">IF((E267="e"),H267," ")</f>
        <v> </v>
      </c>
    </row>
    <row r="268" customFormat="false" ht="12" hidden="false" customHeight="false" outlineLevel="0" collapsed="false">
      <c r="A268" s="28"/>
      <c r="E268" s="2" t="str">
        <f aca="false">IF((F268&lt;&gt;0),"Enter Letter"," ")</f>
        <v> </v>
      </c>
      <c r="F268" s="30"/>
      <c r="G268" s="6" t="str">
        <f aca="false">IF(F268&lt;&gt;0,F268*G$2/(100+G$2)," ")</f>
        <v> </v>
      </c>
      <c r="H268" s="6" t="str">
        <f aca="false">IF((F268&lt;&gt;0),F268-G268," ")</f>
        <v> </v>
      </c>
      <c r="I268" s="5"/>
      <c r="L268" s="7" t="str">
        <f aca="false">IF(F268&lt;&gt;0,F268-K268," ")</f>
        <v> </v>
      </c>
      <c r="M268" s="8" t="str">
        <f aca="false">IF((F268-K268)&lt;&gt;0,M$1-A268," ")</f>
        <v> </v>
      </c>
      <c r="N268" s="5"/>
      <c r="O268" s="17" t="str">
        <f aca="false">IF((E268="s"),H268," ")</f>
        <v> </v>
      </c>
      <c r="P268" s="17" t="str">
        <f aca="false">IF((E268="c"),H268," ")</f>
        <v> </v>
      </c>
      <c r="Q268" s="17" t="str">
        <f aca="false">IF((E268="o"),H268," ")</f>
        <v> </v>
      </c>
      <c r="R268" s="17" t="str">
        <f aca="false">IF((E268="d"),H268," ")</f>
        <v> </v>
      </c>
      <c r="S268" s="17" t="str">
        <f aca="false">IF((E268="w"),H268," ")</f>
        <v> </v>
      </c>
      <c r="T268" s="17" t="str">
        <f aca="false">IF((E268="r"),H268," ")</f>
        <v> </v>
      </c>
      <c r="U268" s="17" t="str">
        <f aca="false">IF((E268="p"),H268," ")</f>
        <v> </v>
      </c>
      <c r="V268" s="17" t="str">
        <f aca="false">IF((E268="t"),H268," ")</f>
        <v> </v>
      </c>
      <c r="W268" s="17" t="str">
        <f aca="false">IF((E268="q"),H268," ")</f>
        <v> </v>
      </c>
      <c r="X268" s="17" t="str">
        <f aca="false">IF((E268="m"),H268," ")</f>
        <v> </v>
      </c>
      <c r="Y268" s="17" t="str">
        <f aca="false">IF((E268="u"),H268," ")</f>
        <v> </v>
      </c>
      <c r="Z268" s="17" t="str">
        <f aca="false">IF((E268="a"),H268," ")</f>
        <v> </v>
      </c>
      <c r="AA268" s="17" t="str">
        <f aca="false">IF((E268="g"),H268," ")</f>
        <v> </v>
      </c>
      <c r="AB268" s="17" t="str">
        <f aca="false">IF((E268="h"),H268," ")</f>
        <v> </v>
      </c>
      <c r="AC268" s="30" t="str">
        <f aca="false">IF((E268="v"),H268," ")</f>
        <v> </v>
      </c>
      <c r="AD268" s="30" t="str">
        <f aca="false">IF((E268="n"),H268," ")</f>
        <v> </v>
      </c>
      <c r="AE268" s="17" t="str">
        <f aca="false">IF((E268="f"),H268," ")</f>
        <v> </v>
      </c>
      <c r="AF268" s="17" t="str">
        <f aca="false">IF((E268="l"),H268," ")</f>
        <v> </v>
      </c>
      <c r="AG268" s="17" t="str">
        <f aca="false">IF((E268="y"),H268," ")</f>
        <v> </v>
      </c>
      <c r="AH268" s="17" t="str">
        <f aca="false">IF((E268="z"),H268," ")</f>
        <v> </v>
      </c>
      <c r="AI268" s="17" t="str">
        <f aca="false">IF((E268="fa"),H268," ")</f>
        <v> </v>
      </c>
      <c r="AJ268" s="17" t="str">
        <f aca="false">IF((E268="e"),H268," ")</f>
        <v> </v>
      </c>
    </row>
    <row r="269" customFormat="false" ht="12" hidden="false" customHeight="false" outlineLevel="0" collapsed="false">
      <c r="A269" s="28"/>
      <c r="E269" s="2" t="str">
        <f aca="false">IF((F269&lt;&gt;0),"Enter Letter"," ")</f>
        <v> </v>
      </c>
      <c r="F269" s="30"/>
      <c r="G269" s="6" t="str">
        <f aca="false">IF(F269&lt;&gt;0,F269*G$2/(100+G$2)," ")</f>
        <v> </v>
      </c>
      <c r="H269" s="6" t="str">
        <f aca="false">IF((F269&lt;&gt;0),F269-G269," ")</f>
        <v> </v>
      </c>
      <c r="I269" s="5"/>
      <c r="L269" s="7" t="str">
        <f aca="false">IF(F269&lt;&gt;0,F269-K269," ")</f>
        <v> </v>
      </c>
      <c r="M269" s="8" t="str">
        <f aca="false">IF((F269-K269)&lt;&gt;0,M$1-A269," ")</f>
        <v> </v>
      </c>
      <c r="N269" s="5"/>
      <c r="O269" s="17" t="str">
        <f aca="false">IF((E269="s"),H269," ")</f>
        <v> </v>
      </c>
      <c r="P269" s="17" t="str">
        <f aca="false">IF((E269="c"),H269," ")</f>
        <v> </v>
      </c>
      <c r="Q269" s="17" t="str">
        <f aca="false">IF((E269="o"),H269," ")</f>
        <v> </v>
      </c>
      <c r="R269" s="17" t="str">
        <f aca="false">IF((E269="d"),H269," ")</f>
        <v> </v>
      </c>
      <c r="S269" s="17" t="str">
        <f aca="false">IF((E269="w"),H269," ")</f>
        <v> </v>
      </c>
      <c r="T269" s="17" t="str">
        <f aca="false">IF((E269="r"),H269," ")</f>
        <v> </v>
      </c>
      <c r="U269" s="17" t="str">
        <f aca="false">IF((E269="p"),H269," ")</f>
        <v> </v>
      </c>
      <c r="V269" s="17" t="str">
        <f aca="false">IF((E269="t"),H269," ")</f>
        <v> </v>
      </c>
      <c r="W269" s="17" t="str">
        <f aca="false">IF((E269="q"),H269," ")</f>
        <v> </v>
      </c>
      <c r="X269" s="17" t="str">
        <f aca="false">IF((E269="m"),H269," ")</f>
        <v> </v>
      </c>
      <c r="Y269" s="17" t="str">
        <f aca="false">IF((E269="u"),H269," ")</f>
        <v> </v>
      </c>
      <c r="Z269" s="17" t="str">
        <f aca="false">IF((E269="a"),H269," ")</f>
        <v> </v>
      </c>
      <c r="AA269" s="17" t="str">
        <f aca="false">IF((E269="g"),H269," ")</f>
        <v> </v>
      </c>
      <c r="AB269" s="17" t="str">
        <f aca="false">IF((E269="h"),H269," ")</f>
        <v> </v>
      </c>
      <c r="AC269" s="30" t="str">
        <f aca="false">IF((E269="v"),H269," ")</f>
        <v> </v>
      </c>
      <c r="AD269" s="30" t="str">
        <f aca="false">IF((E269="n"),H269," ")</f>
        <v> </v>
      </c>
      <c r="AE269" s="17" t="str">
        <f aca="false">IF((E269="f"),H269," ")</f>
        <v> </v>
      </c>
      <c r="AF269" s="17" t="str">
        <f aca="false">IF((E269="l"),H269," ")</f>
        <v> </v>
      </c>
      <c r="AG269" s="17" t="str">
        <f aca="false">IF((E269="y"),H269," ")</f>
        <v> </v>
      </c>
      <c r="AH269" s="17" t="str">
        <f aca="false">IF((E269="z"),H269," ")</f>
        <v> </v>
      </c>
      <c r="AI269" s="17" t="str">
        <f aca="false">IF((E269="fa"),H269," ")</f>
        <v> </v>
      </c>
      <c r="AJ269" s="17" t="str">
        <f aca="false">IF((E269="e"),H269," ")</f>
        <v> </v>
      </c>
    </row>
    <row r="270" customFormat="false" ht="12" hidden="false" customHeight="false" outlineLevel="0" collapsed="false">
      <c r="A270" s="28"/>
      <c r="E270" s="2" t="str">
        <f aca="false">IF((F270&lt;&gt;0),"Enter Letter"," ")</f>
        <v> </v>
      </c>
      <c r="F270" s="30"/>
      <c r="G270" s="6" t="str">
        <f aca="false">IF(F270&lt;&gt;0,F270*G$2/(100+G$2)," ")</f>
        <v> </v>
      </c>
      <c r="H270" s="6" t="str">
        <f aca="false">IF((F270&lt;&gt;0),F270-G270," ")</f>
        <v> </v>
      </c>
      <c r="I270" s="5"/>
      <c r="L270" s="7" t="str">
        <f aca="false">IF(F270&lt;&gt;0,F270-K270," ")</f>
        <v> </v>
      </c>
      <c r="M270" s="8" t="str">
        <f aca="false">IF((F270-K270)&lt;&gt;0,M$1-A270," ")</f>
        <v> </v>
      </c>
      <c r="N270" s="5"/>
      <c r="O270" s="17" t="str">
        <f aca="false">IF((E270="s"),H270," ")</f>
        <v> </v>
      </c>
      <c r="P270" s="17" t="str">
        <f aca="false">IF((E270="c"),H270," ")</f>
        <v> </v>
      </c>
      <c r="Q270" s="17" t="str">
        <f aca="false">IF((E270="o"),H270," ")</f>
        <v> </v>
      </c>
      <c r="R270" s="17" t="str">
        <f aca="false">IF((E270="d"),H270," ")</f>
        <v> </v>
      </c>
      <c r="S270" s="17" t="str">
        <f aca="false">IF((E270="w"),H270," ")</f>
        <v> </v>
      </c>
      <c r="T270" s="17" t="str">
        <f aca="false">IF((E270="r"),H270," ")</f>
        <v> </v>
      </c>
      <c r="U270" s="17" t="str">
        <f aca="false">IF((E270="p"),H270," ")</f>
        <v> </v>
      </c>
      <c r="V270" s="17" t="str">
        <f aca="false">IF((E270="t"),H270," ")</f>
        <v> </v>
      </c>
      <c r="W270" s="17" t="str">
        <f aca="false">IF((E270="q"),H270," ")</f>
        <v> </v>
      </c>
      <c r="X270" s="17" t="str">
        <f aca="false">IF((E270="m"),H270," ")</f>
        <v> </v>
      </c>
      <c r="Y270" s="17" t="str">
        <f aca="false">IF((E270="u"),H270," ")</f>
        <v> </v>
      </c>
      <c r="Z270" s="17" t="str">
        <f aca="false">IF((E270="a"),H270," ")</f>
        <v> </v>
      </c>
      <c r="AA270" s="17" t="str">
        <f aca="false">IF((E270="g"),H270," ")</f>
        <v> </v>
      </c>
      <c r="AB270" s="17" t="str">
        <f aca="false">IF((E270="h"),H270," ")</f>
        <v> </v>
      </c>
      <c r="AC270" s="30" t="str">
        <f aca="false">IF((E270="v"),H270," ")</f>
        <v> </v>
      </c>
      <c r="AD270" s="30" t="str">
        <f aca="false">IF((E270="n"),H270," ")</f>
        <v> </v>
      </c>
      <c r="AE270" s="17" t="str">
        <f aca="false">IF((E270="f"),H270," ")</f>
        <v> </v>
      </c>
      <c r="AF270" s="17" t="str">
        <f aca="false">IF((E270="l"),H270," ")</f>
        <v> </v>
      </c>
      <c r="AG270" s="17" t="str">
        <f aca="false">IF((E270="y"),H270," ")</f>
        <v> </v>
      </c>
      <c r="AH270" s="17" t="str">
        <f aca="false">IF((E270="z"),H270," ")</f>
        <v> </v>
      </c>
      <c r="AI270" s="17" t="str">
        <f aca="false">IF((E270="fa"),H270," ")</f>
        <v> </v>
      </c>
      <c r="AJ270" s="17" t="str">
        <f aca="false">IF((E270="e"),H270," ")</f>
        <v> </v>
      </c>
    </row>
    <row r="271" customFormat="false" ht="12" hidden="false" customHeight="false" outlineLevel="0" collapsed="false">
      <c r="A271" s="28"/>
      <c r="E271" s="2" t="str">
        <f aca="false">IF((F271&lt;&gt;0),"Enter Letter"," ")</f>
        <v> </v>
      </c>
      <c r="F271" s="30"/>
      <c r="G271" s="6" t="str">
        <f aca="false">IF(F271&lt;&gt;0,F271*G$2/(100+G$2)," ")</f>
        <v> </v>
      </c>
      <c r="H271" s="6" t="str">
        <f aca="false">IF((F271&lt;&gt;0),F271-G271," ")</f>
        <v> </v>
      </c>
      <c r="I271" s="5"/>
      <c r="L271" s="7" t="str">
        <f aca="false">IF(F271&lt;&gt;0,F271-K271," ")</f>
        <v> </v>
      </c>
      <c r="M271" s="8" t="str">
        <f aca="false">IF((F271-K271)&lt;&gt;0,M$1-A271," ")</f>
        <v> </v>
      </c>
      <c r="N271" s="5"/>
      <c r="O271" s="17" t="str">
        <f aca="false">IF((E271="s"),H271," ")</f>
        <v> </v>
      </c>
      <c r="P271" s="17" t="str">
        <f aca="false">IF((E271="c"),H271," ")</f>
        <v> </v>
      </c>
      <c r="Q271" s="17" t="str">
        <f aca="false">IF((E271="o"),H271," ")</f>
        <v> </v>
      </c>
      <c r="R271" s="17" t="str">
        <f aca="false">IF((E271="d"),H271," ")</f>
        <v> </v>
      </c>
      <c r="S271" s="17" t="str">
        <f aca="false">IF((E271="w"),H271," ")</f>
        <v> </v>
      </c>
      <c r="T271" s="17" t="str">
        <f aca="false">IF((E271="r"),H271," ")</f>
        <v> </v>
      </c>
      <c r="U271" s="17" t="str">
        <f aca="false">IF((E271="p"),H271," ")</f>
        <v> </v>
      </c>
      <c r="V271" s="17" t="str">
        <f aca="false">IF((E271="t"),H271," ")</f>
        <v> </v>
      </c>
      <c r="W271" s="17" t="str">
        <f aca="false">IF((E271="q"),H271," ")</f>
        <v> </v>
      </c>
      <c r="X271" s="17" t="str">
        <f aca="false">IF((E271="m"),H271," ")</f>
        <v> </v>
      </c>
      <c r="Y271" s="17" t="str">
        <f aca="false">IF((E271="u"),H271," ")</f>
        <v> </v>
      </c>
      <c r="Z271" s="17" t="str">
        <f aca="false">IF((E271="a"),H271," ")</f>
        <v> </v>
      </c>
      <c r="AA271" s="17" t="str">
        <f aca="false">IF((E271="g"),H271," ")</f>
        <v> </v>
      </c>
      <c r="AB271" s="17" t="str">
        <f aca="false">IF((E271="h"),H271," ")</f>
        <v> </v>
      </c>
      <c r="AC271" s="30" t="str">
        <f aca="false">IF((E271="v"),H271," ")</f>
        <v> </v>
      </c>
      <c r="AD271" s="30" t="str">
        <f aca="false">IF((E271="n"),H271," ")</f>
        <v> </v>
      </c>
      <c r="AE271" s="17" t="str">
        <f aca="false">IF((E271="f"),H271," ")</f>
        <v> </v>
      </c>
      <c r="AF271" s="17" t="str">
        <f aca="false">IF((E271="l"),H271," ")</f>
        <v> </v>
      </c>
      <c r="AG271" s="17" t="str">
        <f aca="false">IF((E271="y"),H271," ")</f>
        <v> </v>
      </c>
      <c r="AH271" s="17" t="str">
        <f aca="false">IF((E271="z"),H271," ")</f>
        <v> </v>
      </c>
      <c r="AI271" s="17" t="str">
        <f aca="false">IF((E271="fa"),H271," ")</f>
        <v> </v>
      </c>
      <c r="AJ271" s="17" t="str">
        <f aca="false">IF((E271="e"),H271," ")</f>
        <v> </v>
      </c>
    </row>
    <row r="272" customFormat="false" ht="12" hidden="false" customHeight="false" outlineLevel="0" collapsed="false">
      <c r="A272" s="28"/>
      <c r="E272" s="2" t="str">
        <f aca="false">IF((F272&lt;&gt;0),"Enter Letter"," ")</f>
        <v> </v>
      </c>
      <c r="F272" s="30"/>
      <c r="G272" s="6" t="str">
        <f aca="false">IF(F272&lt;&gt;0,F272*G$2/(100+G$2)," ")</f>
        <v> </v>
      </c>
      <c r="H272" s="6" t="str">
        <f aca="false">IF((F272&lt;&gt;0),F272-G272," ")</f>
        <v> </v>
      </c>
      <c r="I272" s="5"/>
      <c r="L272" s="7" t="str">
        <f aca="false">IF(F272&lt;&gt;0,F272-K272," ")</f>
        <v> </v>
      </c>
      <c r="M272" s="8" t="str">
        <f aca="false">IF((F272-K272)&lt;&gt;0,M$1-A272," ")</f>
        <v> </v>
      </c>
      <c r="N272" s="5"/>
      <c r="O272" s="17" t="str">
        <f aca="false">IF((E272="s"),H272," ")</f>
        <v> </v>
      </c>
      <c r="P272" s="17" t="str">
        <f aca="false">IF((E272="c"),H272," ")</f>
        <v> </v>
      </c>
      <c r="Q272" s="17" t="str">
        <f aca="false">IF((E272="o"),H272," ")</f>
        <v> </v>
      </c>
      <c r="R272" s="17" t="str">
        <f aca="false">IF((E272="d"),H272," ")</f>
        <v> </v>
      </c>
      <c r="S272" s="17" t="str">
        <f aca="false">IF((E272="w"),H272," ")</f>
        <v> </v>
      </c>
      <c r="T272" s="17" t="str">
        <f aca="false">IF((E272="r"),H272," ")</f>
        <v> </v>
      </c>
      <c r="U272" s="17" t="str">
        <f aca="false">IF((E272="p"),H272," ")</f>
        <v> </v>
      </c>
      <c r="V272" s="17" t="str">
        <f aca="false">IF((E272="t"),H272," ")</f>
        <v> </v>
      </c>
      <c r="W272" s="17" t="str">
        <f aca="false">IF((E272="q"),H272," ")</f>
        <v> </v>
      </c>
      <c r="X272" s="17" t="str">
        <f aca="false">IF((E272="m"),H272," ")</f>
        <v> </v>
      </c>
      <c r="Y272" s="17" t="str">
        <f aca="false">IF((E272="u"),H272," ")</f>
        <v> </v>
      </c>
      <c r="Z272" s="17" t="str">
        <f aca="false">IF((E272="a"),H272," ")</f>
        <v> </v>
      </c>
      <c r="AA272" s="17" t="str">
        <f aca="false">IF((E272="g"),H272," ")</f>
        <v> </v>
      </c>
      <c r="AB272" s="17" t="str">
        <f aca="false">IF((E272="h"),H272," ")</f>
        <v> </v>
      </c>
      <c r="AC272" s="30" t="str">
        <f aca="false">IF((E272="v"),H272," ")</f>
        <v> </v>
      </c>
      <c r="AD272" s="30" t="str">
        <f aca="false">IF((E272="n"),H272," ")</f>
        <v> </v>
      </c>
      <c r="AE272" s="17" t="str">
        <f aca="false">IF((E272="f"),H272," ")</f>
        <v> </v>
      </c>
      <c r="AF272" s="17" t="str">
        <f aca="false">IF((E272="l"),H272," ")</f>
        <v> </v>
      </c>
      <c r="AG272" s="17" t="str">
        <f aca="false">IF((E272="y"),H272," ")</f>
        <v> </v>
      </c>
      <c r="AH272" s="17" t="str">
        <f aca="false">IF((E272="z"),H272," ")</f>
        <v> </v>
      </c>
      <c r="AI272" s="17" t="str">
        <f aca="false">IF((E272="fa"),H272," ")</f>
        <v> </v>
      </c>
      <c r="AJ272" s="17" t="str">
        <f aca="false">IF((E272="e"),H272," ")</f>
        <v> </v>
      </c>
    </row>
    <row r="273" customFormat="false" ht="12" hidden="false" customHeight="false" outlineLevel="0" collapsed="false">
      <c r="A273" s="28"/>
      <c r="E273" s="2" t="str">
        <f aca="false">IF((F273&lt;&gt;0),"Enter Letter"," ")</f>
        <v> </v>
      </c>
      <c r="F273" s="30"/>
      <c r="G273" s="6" t="str">
        <f aca="false">IF(F273&lt;&gt;0,F273*G$2/(100+G$2)," ")</f>
        <v> </v>
      </c>
      <c r="H273" s="6" t="str">
        <f aca="false">IF((F273&lt;&gt;0),F273-G273," ")</f>
        <v> </v>
      </c>
      <c r="I273" s="5"/>
      <c r="L273" s="7" t="str">
        <f aca="false">IF(F273&lt;&gt;0,F273-K273," ")</f>
        <v> </v>
      </c>
      <c r="M273" s="8" t="str">
        <f aca="false">IF((F273-K273)&lt;&gt;0,M$1-A273," ")</f>
        <v> </v>
      </c>
      <c r="N273" s="5"/>
      <c r="O273" s="17" t="str">
        <f aca="false">IF((E273="s"),H273," ")</f>
        <v> </v>
      </c>
      <c r="P273" s="17" t="str">
        <f aca="false">IF((E273="c"),H273," ")</f>
        <v> </v>
      </c>
      <c r="Q273" s="17" t="str">
        <f aca="false">IF((E273="o"),H273," ")</f>
        <v> </v>
      </c>
      <c r="R273" s="17" t="str">
        <f aca="false">IF((E273="d"),H273," ")</f>
        <v> </v>
      </c>
      <c r="S273" s="17" t="str">
        <f aca="false">IF((E273="w"),H273," ")</f>
        <v> </v>
      </c>
      <c r="T273" s="17" t="str">
        <f aca="false">IF((E273="r"),H273," ")</f>
        <v> </v>
      </c>
      <c r="U273" s="17" t="str">
        <f aca="false">IF((E273="p"),H273," ")</f>
        <v> </v>
      </c>
      <c r="V273" s="17" t="str">
        <f aca="false">IF((E273="t"),H273," ")</f>
        <v> </v>
      </c>
      <c r="W273" s="17" t="str">
        <f aca="false">IF((E273="q"),H273," ")</f>
        <v> </v>
      </c>
      <c r="X273" s="17" t="str">
        <f aca="false">IF((E273="m"),H273," ")</f>
        <v> </v>
      </c>
      <c r="Y273" s="17" t="str">
        <f aca="false">IF((E273="u"),H273," ")</f>
        <v> </v>
      </c>
      <c r="Z273" s="17" t="str">
        <f aca="false">IF((E273="a"),H273," ")</f>
        <v> </v>
      </c>
      <c r="AA273" s="17" t="str">
        <f aca="false">IF((E273="g"),H273," ")</f>
        <v> </v>
      </c>
      <c r="AB273" s="17" t="str">
        <f aca="false">IF((E273="h"),H273," ")</f>
        <v> </v>
      </c>
      <c r="AC273" s="30" t="str">
        <f aca="false">IF((E273="v"),H273," ")</f>
        <v> </v>
      </c>
      <c r="AD273" s="30" t="str">
        <f aca="false">IF((E273="n"),H273," ")</f>
        <v> </v>
      </c>
      <c r="AE273" s="17" t="str">
        <f aca="false">IF((E273="f"),H273," ")</f>
        <v> </v>
      </c>
      <c r="AF273" s="17" t="str">
        <f aca="false">IF((E273="l"),H273," ")</f>
        <v> </v>
      </c>
      <c r="AG273" s="17" t="str">
        <f aca="false">IF((E273="y"),H273," ")</f>
        <v> </v>
      </c>
      <c r="AH273" s="17" t="str">
        <f aca="false">IF((E273="z"),H273," ")</f>
        <v> </v>
      </c>
      <c r="AI273" s="17" t="str">
        <f aca="false">IF((E273="fa"),H273," ")</f>
        <v> </v>
      </c>
      <c r="AJ273" s="17" t="str">
        <f aca="false">IF((E273="e"),H273," ")</f>
        <v> </v>
      </c>
    </row>
    <row r="274" customFormat="false" ht="12" hidden="false" customHeight="false" outlineLevel="0" collapsed="false">
      <c r="A274" s="28"/>
      <c r="E274" s="2" t="str">
        <f aca="false">IF((F274&lt;&gt;0),"Enter Letter"," ")</f>
        <v> </v>
      </c>
      <c r="F274" s="30"/>
      <c r="G274" s="6" t="str">
        <f aca="false">IF(F274&lt;&gt;0,F274*G$2/(100+G$2)," ")</f>
        <v> </v>
      </c>
      <c r="H274" s="6" t="str">
        <f aca="false">IF((F274&lt;&gt;0),F274-G274," ")</f>
        <v> </v>
      </c>
      <c r="I274" s="5"/>
      <c r="L274" s="7" t="str">
        <f aca="false">IF(F274&lt;&gt;0,F274-K274," ")</f>
        <v> </v>
      </c>
      <c r="M274" s="8" t="str">
        <f aca="false">IF((F274-K274)&lt;&gt;0,M$1-A274," ")</f>
        <v> </v>
      </c>
      <c r="N274" s="5"/>
      <c r="O274" s="17" t="str">
        <f aca="false">IF((E274="s"),H274," ")</f>
        <v> </v>
      </c>
      <c r="P274" s="17" t="str">
        <f aca="false">IF((E274="c"),H274," ")</f>
        <v> </v>
      </c>
      <c r="Q274" s="17" t="str">
        <f aca="false">IF((E274="o"),H274," ")</f>
        <v> </v>
      </c>
      <c r="R274" s="17" t="str">
        <f aca="false">IF((E274="d"),H274," ")</f>
        <v> </v>
      </c>
      <c r="S274" s="17" t="str">
        <f aca="false">IF((E274="w"),H274," ")</f>
        <v> </v>
      </c>
      <c r="T274" s="17" t="str">
        <f aca="false">IF((E274="r"),H274," ")</f>
        <v> </v>
      </c>
      <c r="U274" s="17" t="str">
        <f aca="false">IF((E274="p"),H274," ")</f>
        <v> </v>
      </c>
      <c r="V274" s="17" t="str">
        <f aca="false">IF((E274="t"),H274," ")</f>
        <v> </v>
      </c>
      <c r="W274" s="17" t="str">
        <f aca="false">IF((E274="q"),H274," ")</f>
        <v> </v>
      </c>
      <c r="X274" s="17" t="str">
        <f aca="false">IF((E274="m"),H274," ")</f>
        <v> </v>
      </c>
      <c r="Y274" s="17" t="str">
        <f aca="false">IF((E274="u"),H274," ")</f>
        <v> </v>
      </c>
      <c r="Z274" s="17" t="str">
        <f aca="false">IF((E274="a"),H274," ")</f>
        <v> </v>
      </c>
      <c r="AA274" s="17" t="str">
        <f aca="false">IF((E274="g"),H274," ")</f>
        <v> </v>
      </c>
      <c r="AB274" s="17" t="str">
        <f aca="false">IF((E274="h"),H274," ")</f>
        <v> </v>
      </c>
      <c r="AC274" s="30" t="str">
        <f aca="false">IF((E274="v"),H274," ")</f>
        <v> </v>
      </c>
      <c r="AD274" s="30" t="str">
        <f aca="false">IF((E274="n"),H274," ")</f>
        <v> </v>
      </c>
      <c r="AE274" s="17" t="str">
        <f aca="false">IF((E274="f"),H274," ")</f>
        <v> </v>
      </c>
      <c r="AF274" s="17" t="str">
        <f aca="false">IF((E274="l"),H274," ")</f>
        <v> </v>
      </c>
      <c r="AG274" s="17" t="str">
        <f aca="false">IF((E274="y"),H274," ")</f>
        <v> </v>
      </c>
      <c r="AH274" s="17" t="str">
        <f aca="false">IF((E274="z"),H274," ")</f>
        <v> </v>
      </c>
      <c r="AI274" s="17" t="str">
        <f aca="false">IF((E274="fa"),H274," ")</f>
        <v> </v>
      </c>
      <c r="AJ274" s="17" t="str">
        <f aca="false">IF((E274="e"),H274," ")</f>
        <v> </v>
      </c>
    </row>
    <row r="275" customFormat="false" ht="12" hidden="false" customHeight="false" outlineLevel="0" collapsed="false">
      <c r="A275" s="28"/>
      <c r="E275" s="2" t="str">
        <f aca="false">IF((F275&lt;&gt;0),"Enter Letter"," ")</f>
        <v> </v>
      </c>
      <c r="F275" s="30"/>
      <c r="G275" s="6" t="str">
        <f aca="false">IF(F275&lt;&gt;0,F275*G$2/(100+G$2)," ")</f>
        <v> </v>
      </c>
      <c r="H275" s="6" t="str">
        <f aca="false">IF((F275&lt;&gt;0),F275-G275," ")</f>
        <v> </v>
      </c>
      <c r="I275" s="5"/>
      <c r="L275" s="7" t="str">
        <f aca="false">IF(F275&lt;&gt;0,F275-K275," ")</f>
        <v> </v>
      </c>
      <c r="M275" s="8" t="str">
        <f aca="false">IF((F275-K275)&lt;&gt;0,M$1-A275," ")</f>
        <v> </v>
      </c>
      <c r="N275" s="5"/>
      <c r="O275" s="17" t="str">
        <f aca="false">IF((E275="s"),H275," ")</f>
        <v> </v>
      </c>
      <c r="P275" s="17" t="str">
        <f aca="false">IF((E275="c"),H275," ")</f>
        <v> </v>
      </c>
      <c r="Q275" s="17" t="str">
        <f aca="false">IF((E275="o"),H275," ")</f>
        <v> </v>
      </c>
      <c r="R275" s="17" t="str">
        <f aca="false">IF((E275="d"),H275," ")</f>
        <v> </v>
      </c>
      <c r="S275" s="17" t="str">
        <f aca="false">IF((E275="w"),H275," ")</f>
        <v> </v>
      </c>
      <c r="T275" s="17" t="str">
        <f aca="false">IF((E275="r"),H275," ")</f>
        <v> </v>
      </c>
      <c r="U275" s="17" t="str">
        <f aca="false">IF((E275="p"),H275," ")</f>
        <v> </v>
      </c>
      <c r="V275" s="17" t="str">
        <f aca="false">IF((E275="t"),H275," ")</f>
        <v> </v>
      </c>
      <c r="W275" s="17" t="str">
        <f aca="false">IF((E275="q"),H275," ")</f>
        <v> </v>
      </c>
      <c r="X275" s="17" t="str">
        <f aca="false">IF((E275="m"),H275," ")</f>
        <v> </v>
      </c>
      <c r="Y275" s="17" t="str">
        <f aca="false">IF((E275="u"),H275," ")</f>
        <v> </v>
      </c>
      <c r="Z275" s="17" t="str">
        <f aca="false">IF((E275="a"),H275," ")</f>
        <v> </v>
      </c>
      <c r="AA275" s="17" t="str">
        <f aca="false">IF((E275="g"),H275," ")</f>
        <v> </v>
      </c>
      <c r="AB275" s="17" t="str">
        <f aca="false">IF((E275="h"),H275," ")</f>
        <v> </v>
      </c>
      <c r="AC275" s="30" t="str">
        <f aca="false">IF((E275="v"),H275," ")</f>
        <v> </v>
      </c>
      <c r="AD275" s="30" t="str">
        <f aca="false">IF((E275="n"),H275," ")</f>
        <v> </v>
      </c>
      <c r="AE275" s="17" t="str">
        <f aca="false">IF((E275="f"),H275," ")</f>
        <v> </v>
      </c>
      <c r="AF275" s="17" t="str">
        <f aca="false">IF((E275="l"),H275," ")</f>
        <v> </v>
      </c>
      <c r="AG275" s="17" t="str">
        <f aca="false">IF((E275="y"),H275," ")</f>
        <v> </v>
      </c>
      <c r="AH275" s="17" t="str">
        <f aca="false">IF((E275="z"),H275," ")</f>
        <v> </v>
      </c>
      <c r="AI275" s="17" t="str">
        <f aca="false">IF((E275="fa"),H275," ")</f>
        <v> </v>
      </c>
      <c r="AJ275" s="17" t="str">
        <f aca="false">IF((E275="e"),H275," ")</f>
        <v> </v>
      </c>
    </row>
    <row r="276" customFormat="false" ht="12" hidden="false" customHeight="false" outlineLevel="0" collapsed="false">
      <c r="A276" s="28"/>
      <c r="E276" s="2" t="str">
        <f aca="false">IF((F276&lt;&gt;0),"Enter Letter"," ")</f>
        <v> </v>
      </c>
      <c r="F276" s="30"/>
      <c r="G276" s="6" t="str">
        <f aca="false">IF(F276&lt;&gt;0,F276*G$2/(100+G$2)," ")</f>
        <v> </v>
      </c>
      <c r="H276" s="6" t="str">
        <f aca="false">IF((F276&lt;&gt;0),F276-G276," ")</f>
        <v> </v>
      </c>
      <c r="I276" s="5"/>
      <c r="L276" s="7" t="str">
        <f aca="false">IF(F276&lt;&gt;0,F276-K276," ")</f>
        <v> </v>
      </c>
      <c r="M276" s="8" t="str">
        <f aca="false">IF((F276-K276)&lt;&gt;0,M$1-A276," ")</f>
        <v> </v>
      </c>
      <c r="N276" s="5"/>
      <c r="O276" s="17" t="str">
        <f aca="false">IF((E276="s"),H276," ")</f>
        <v> </v>
      </c>
      <c r="P276" s="17" t="str">
        <f aca="false">IF((E276="c"),H276," ")</f>
        <v> </v>
      </c>
      <c r="Q276" s="17" t="str">
        <f aca="false">IF((E276="o"),H276," ")</f>
        <v> </v>
      </c>
      <c r="R276" s="17" t="str">
        <f aca="false">IF((E276="d"),H276," ")</f>
        <v> </v>
      </c>
      <c r="S276" s="17" t="str">
        <f aca="false">IF((E276="w"),H276," ")</f>
        <v> </v>
      </c>
      <c r="T276" s="17" t="str">
        <f aca="false">IF((E276="r"),H276," ")</f>
        <v> </v>
      </c>
      <c r="U276" s="17" t="str">
        <f aca="false">IF((E276="p"),H276," ")</f>
        <v> </v>
      </c>
      <c r="V276" s="17" t="str">
        <f aca="false">IF((E276="t"),H276," ")</f>
        <v> </v>
      </c>
      <c r="W276" s="17" t="str">
        <f aca="false">IF((E276="q"),H276," ")</f>
        <v> </v>
      </c>
      <c r="X276" s="17" t="str">
        <f aca="false">IF((E276="m"),H276," ")</f>
        <v> </v>
      </c>
      <c r="Y276" s="17" t="str">
        <f aca="false">IF((E276="u"),H276," ")</f>
        <v> </v>
      </c>
      <c r="Z276" s="17" t="str">
        <f aca="false">IF((E276="a"),H276," ")</f>
        <v> </v>
      </c>
      <c r="AA276" s="17" t="str">
        <f aca="false">IF((E276="g"),H276," ")</f>
        <v> </v>
      </c>
      <c r="AB276" s="17" t="str">
        <f aca="false">IF((E276="h"),H276," ")</f>
        <v> </v>
      </c>
      <c r="AC276" s="30" t="str">
        <f aca="false">IF((E276="v"),H276," ")</f>
        <v> </v>
      </c>
      <c r="AD276" s="30" t="str">
        <f aca="false">IF((E276="n"),H276," ")</f>
        <v> </v>
      </c>
      <c r="AE276" s="17" t="str">
        <f aca="false">IF((E276="f"),H276," ")</f>
        <v> </v>
      </c>
      <c r="AF276" s="17" t="str">
        <f aca="false">IF((E276="l"),H276," ")</f>
        <v> </v>
      </c>
      <c r="AG276" s="17" t="str">
        <f aca="false">IF((E276="y"),H276," ")</f>
        <v> </v>
      </c>
      <c r="AH276" s="17" t="str">
        <f aca="false">IF((E276="z"),H276," ")</f>
        <v> </v>
      </c>
      <c r="AI276" s="17" t="str">
        <f aca="false">IF((E276="fa"),H276," ")</f>
        <v> </v>
      </c>
      <c r="AJ276" s="17" t="str">
        <f aca="false">IF((E276="e"),H276," ")</f>
        <v> </v>
      </c>
    </row>
    <row r="277" customFormat="false" ht="12" hidden="false" customHeight="false" outlineLevel="0" collapsed="false">
      <c r="A277" s="28"/>
      <c r="E277" s="2" t="str">
        <f aca="false">IF((F277&lt;&gt;0),"Enter Letter"," ")</f>
        <v> </v>
      </c>
      <c r="F277" s="30"/>
      <c r="G277" s="6" t="str">
        <f aca="false">IF(F277&lt;&gt;0,F277*G$2/(100+G$2)," ")</f>
        <v> </v>
      </c>
      <c r="H277" s="6" t="str">
        <f aca="false">IF((F277&lt;&gt;0),F277-G277," ")</f>
        <v> </v>
      </c>
      <c r="I277" s="5"/>
      <c r="L277" s="7" t="str">
        <f aca="false">IF(F277&lt;&gt;0,F277-K277," ")</f>
        <v> </v>
      </c>
      <c r="M277" s="8" t="str">
        <f aca="false">IF((F277-K277)&lt;&gt;0,M$1-A277," ")</f>
        <v> </v>
      </c>
      <c r="N277" s="5"/>
      <c r="O277" s="17" t="str">
        <f aca="false">IF((E277="s"),H277," ")</f>
        <v> </v>
      </c>
      <c r="P277" s="17" t="str">
        <f aca="false">IF((E277="c"),H277," ")</f>
        <v> </v>
      </c>
      <c r="Q277" s="17" t="str">
        <f aca="false">IF((E277="o"),H277," ")</f>
        <v> </v>
      </c>
      <c r="R277" s="17" t="str">
        <f aca="false">IF((E277="d"),H277," ")</f>
        <v> </v>
      </c>
      <c r="S277" s="17" t="str">
        <f aca="false">IF((E277="w"),H277," ")</f>
        <v> </v>
      </c>
      <c r="T277" s="17" t="str">
        <f aca="false">IF((E277="r"),H277," ")</f>
        <v> </v>
      </c>
      <c r="U277" s="17" t="str">
        <f aca="false">IF((E277="p"),H277," ")</f>
        <v> </v>
      </c>
      <c r="V277" s="17" t="str">
        <f aca="false">IF((E277="t"),H277," ")</f>
        <v> </v>
      </c>
      <c r="W277" s="17" t="str">
        <f aca="false">IF((E277="q"),H277," ")</f>
        <v> </v>
      </c>
      <c r="X277" s="17" t="str">
        <f aca="false">IF((E277="m"),H277," ")</f>
        <v> </v>
      </c>
      <c r="Y277" s="17" t="str">
        <f aca="false">IF((E277="u"),H277," ")</f>
        <v> </v>
      </c>
      <c r="Z277" s="17" t="str">
        <f aca="false">IF((E277="a"),H277," ")</f>
        <v> </v>
      </c>
      <c r="AA277" s="17" t="str">
        <f aca="false">IF((E277="g"),H277," ")</f>
        <v> </v>
      </c>
      <c r="AB277" s="17" t="str">
        <f aca="false">IF((E277="h"),H277," ")</f>
        <v> </v>
      </c>
      <c r="AC277" s="30" t="str">
        <f aca="false">IF((E277="v"),H277," ")</f>
        <v> </v>
      </c>
      <c r="AD277" s="30" t="str">
        <f aca="false">IF((E277="n"),H277," ")</f>
        <v> </v>
      </c>
      <c r="AE277" s="17" t="str">
        <f aca="false">IF((E277="f"),H277," ")</f>
        <v> </v>
      </c>
      <c r="AF277" s="17" t="str">
        <f aca="false">IF((E277="l"),H277," ")</f>
        <v> </v>
      </c>
      <c r="AG277" s="17" t="str">
        <f aca="false">IF((E277="y"),H277," ")</f>
        <v> </v>
      </c>
      <c r="AH277" s="17" t="str">
        <f aca="false">IF((E277="z"),H277," ")</f>
        <v> </v>
      </c>
      <c r="AI277" s="17" t="str">
        <f aca="false">IF((E277="fa"),H277," ")</f>
        <v> </v>
      </c>
      <c r="AJ277" s="17" t="str">
        <f aca="false">IF((E277="e"),H277," ")</f>
        <v> </v>
      </c>
    </row>
    <row r="278" customFormat="false" ht="12" hidden="false" customHeight="false" outlineLevel="0" collapsed="false">
      <c r="A278" s="28"/>
      <c r="E278" s="2" t="str">
        <f aca="false">IF((F278&lt;&gt;0),"Enter Letter"," ")</f>
        <v> </v>
      </c>
      <c r="F278" s="30"/>
      <c r="G278" s="6" t="str">
        <f aca="false">IF(F278&lt;&gt;0,F278*G$2/(100+G$2)," ")</f>
        <v> </v>
      </c>
      <c r="H278" s="6" t="str">
        <f aca="false">IF((F278&lt;&gt;0),F278-G278," ")</f>
        <v> </v>
      </c>
      <c r="I278" s="5"/>
      <c r="L278" s="7" t="str">
        <f aca="false">IF(F278&lt;&gt;0,F278-K278," ")</f>
        <v> </v>
      </c>
      <c r="M278" s="8" t="str">
        <f aca="false">IF((F278-K278)&lt;&gt;0,M$1-A278," ")</f>
        <v> </v>
      </c>
      <c r="N278" s="5"/>
      <c r="O278" s="17" t="str">
        <f aca="false">IF((E278="s"),H278," ")</f>
        <v> </v>
      </c>
      <c r="P278" s="17" t="str">
        <f aca="false">IF((E278="c"),H278," ")</f>
        <v> </v>
      </c>
      <c r="Q278" s="17" t="str">
        <f aca="false">IF((E278="o"),H278," ")</f>
        <v> </v>
      </c>
      <c r="R278" s="17" t="str">
        <f aca="false">IF((E278="d"),H278," ")</f>
        <v> </v>
      </c>
      <c r="S278" s="17" t="str">
        <f aca="false">IF((E278="w"),H278," ")</f>
        <v> </v>
      </c>
      <c r="T278" s="17" t="str">
        <f aca="false">IF((E278="r"),H278," ")</f>
        <v> </v>
      </c>
      <c r="U278" s="17" t="str">
        <f aca="false">IF((E278="p"),H278," ")</f>
        <v> </v>
      </c>
      <c r="V278" s="17" t="str">
        <f aca="false">IF((E278="t"),H278," ")</f>
        <v> </v>
      </c>
      <c r="W278" s="17" t="str">
        <f aca="false">IF((E278="q"),H278," ")</f>
        <v> </v>
      </c>
      <c r="X278" s="17" t="str">
        <f aca="false">IF((E278="m"),H278," ")</f>
        <v> </v>
      </c>
      <c r="Y278" s="17" t="str">
        <f aca="false">IF((E278="u"),H278," ")</f>
        <v> </v>
      </c>
      <c r="Z278" s="17" t="str">
        <f aca="false">IF((E278="a"),H278," ")</f>
        <v> </v>
      </c>
      <c r="AA278" s="17" t="str">
        <f aca="false">IF((E278="g"),H278," ")</f>
        <v> </v>
      </c>
      <c r="AB278" s="17" t="str">
        <f aca="false">IF((E278="h"),H278," ")</f>
        <v> </v>
      </c>
      <c r="AC278" s="30" t="str">
        <f aca="false">IF((E278="v"),H278," ")</f>
        <v> </v>
      </c>
      <c r="AD278" s="30" t="str">
        <f aca="false">IF((E278="n"),H278," ")</f>
        <v> </v>
      </c>
      <c r="AE278" s="17" t="str">
        <f aca="false">IF((E278="f"),H278," ")</f>
        <v> </v>
      </c>
      <c r="AF278" s="17" t="str">
        <f aca="false">IF((E278="l"),H278," ")</f>
        <v> </v>
      </c>
      <c r="AG278" s="17" t="str">
        <f aca="false">IF((E278="y"),H278," ")</f>
        <v> </v>
      </c>
      <c r="AH278" s="17" t="str">
        <f aca="false">IF((E278="z"),H278," ")</f>
        <v> </v>
      </c>
      <c r="AI278" s="17" t="str">
        <f aca="false">IF((E278="fa"),H278," ")</f>
        <v> </v>
      </c>
      <c r="AJ278" s="17" t="str">
        <f aca="false">IF((E278="e"),H278," ")</f>
        <v> </v>
      </c>
    </row>
    <row r="279" customFormat="false" ht="12" hidden="false" customHeight="false" outlineLevel="0" collapsed="false">
      <c r="A279" s="28"/>
      <c r="E279" s="2" t="str">
        <f aca="false">IF((F279&lt;&gt;0),"Enter Letter"," ")</f>
        <v> </v>
      </c>
      <c r="F279" s="30"/>
      <c r="G279" s="6" t="str">
        <f aca="false">IF(F279&lt;&gt;0,F279*G$2/(100+G$2)," ")</f>
        <v> </v>
      </c>
      <c r="H279" s="6" t="str">
        <f aca="false">IF((F279&lt;&gt;0),F279-G279," ")</f>
        <v> </v>
      </c>
      <c r="I279" s="5"/>
      <c r="L279" s="7" t="str">
        <f aca="false">IF(F279&lt;&gt;0,F279-K279," ")</f>
        <v> </v>
      </c>
      <c r="M279" s="8" t="str">
        <f aca="false">IF((F279-K279)&lt;&gt;0,M$1-A279," ")</f>
        <v> </v>
      </c>
      <c r="N279" s="5"/>
      <c r="O279" s="17" t="str">
        <f aca="false">IF((E279="s"),H279," ")</f>
        <v> </v>
      </c>
      <c r="P279" s="17" t="str">
        <f aca="false">IF((E279="c"),H279," ")</f>
        <v> </v>
      </c>
      <c r="Q279" s="17" t="str">
        <f aca="false">IF((E279="o"),H279," ")</f>
        <v> </v>
      </c>
      <c r="R279" s="17" t="str">
        <f aca="false">IF((E279="d"),H279," ")</f>
        <v> </v>
      </c>
      <c r="S279" s="17" t="str">
        <f aca="false">IF((E279="w"),H279," ")</f>
        <v> </v>
      </c>
      <c r="T279" s="17" t="str">
        <f aca="false">IF((E279="r"),H279," ")</f>
        <v> </v>
      </c>
      <c r="U279" s="17" t="str">
        <f aca="false">IF((E279="p"),H279," ")</f>
        <v> </v>
      </c>
      <c r="V279" s="17" t="str">
        <f aca="false">IF((E279="t"),H279," ")</f>
        <v> </v>
      </c>
      <c r="W279" s="17" t="str">
        <f aca="false">IF((E279="q"),H279," ")</f>
        <v> </v>
      </c>
      <c r="X279" s="17" t="str">
        <f aca="false">IF((E279="m"),H279," ")</f>
        <v> </v>
      </c>
      <c r="Y279" s="17" t="str">
        <f aca="false">IF((E279="u"),H279," ")</f>
        <v> </v>
      </c>
      <c r="Z279" s="17" t="str">
        <f aca="false">IF((E279="a"),H279," ")</f>
        <v> </v>
      </c>
      <c r="AA279" s="17" t="str">
        <f aca="false">IF((E279="g"),H279," ")</f>
        <v> </v>
      </c>
      <c r="AB279" s="17" t="str">
        <f aca="false">IF((E279="h"),H279," ")</f>
        <v> </v>
      </c>
      <c r="AC279" s="30" t="str">
        <f aca="false">IF((E279="v"),H279," ")</f>
        <v> </v>
      </c>
      <c r="AD279" s="30" t="str">
        <f aca="false">IF((E279="n"),H279," ")</f>
        <v> </v>
      </c>
      <c r="AE279" s="17" t="str">
        <f aca="false">IF((E279="f"),H279," ")</f>
        <v> </v>
      </c>
      <c r="AF279" s="17" t="str">
        <f aca="false">IF((E279="l"),H279," ")</f>
        <v> </v>
      </c>
      <c r="AG279" s="17" t="str">
        <f aca="false">IF((E279="y"),H279," ")</f>
        <v> </v>
      </c>
      <c r="AH279" s="17" t="str">
        <f aca="false">IF((E279="z"),H279," ")</f>
        <v> </v>
      </c>
      <c r="AI279" s="17" t="str">
        <f aca="false">IF((E279="fa"),H279," ")</f>
        <v> </v>
      </c>
      <c r="AJ279" s="17" t="str">
        <f aca="false">IF((E279="e"),H279," ")</f>
        <v> </v>
      </c>
    </row>
    <row r="280" customFormat="false" ht="12" hidden="false" customHeight="false" outlineLevel="0" collapsed="false">
      <c r="A280" s="28"/>
      <c r="E280" s="2" t="str">
        <f aca="false">IF((F280&lt;&gt;0),"Enter Letter"," ")</f>
        <v> </v>
      </c>
      <c r="F280" s="30"/>
      <c r="G280" s="6" t="str">
        <f aca="false">IF(F280&lt;&gt;0,F280*G$2/(100+G$2)," ")</f>
        <v> </v>
      </c>
      <c r="H280" s="6" t="str">
        <f aca="false">IF((F280&lt;&gt;0),F280-G280," ")</f>
        <v> </v>
      </c>
      <c r="I280" s="5"/>
      <c r="L280" s="7" t="str">
        <f aca="false">IF(F280&lt;&gt;0,F280-K280," ")</f>
        <v> </v>
      </c>
      <c r="M280" s="8" t="str">
        <f aca="false">IF((F280-K280)&lt;&gt;0,M$1-A280," ")</f>
        <v> </v>
      </c>
      <c r="N280" s="5"/>
      <c r="O280" s="17" t="str">
        <f aca="false">IF((E280="s"),H280," ")</f>
        <v> </v>
      </c>
      <c r="P280" s="17" t="str">
        <f aca="false">IF((E280="c"),H280," ")</f>
        <v> </v>
      </c>
      <c r="Q280" s="17" t="str">
        <f aca="false">IF((E280="o"),H280," ")</f>
        <v> </v>
      </c>
      <c r="R280" s="17" t="str">
        <f aca="false">IF((E280="d"),H280," ")</f>
        <v> </v>
      </c>
      <c r="S280" s="17" t="str">
        <f aca="false">IF((E280="w"),H280," ")</f>
        <v> </v>
      </c>
      <c r="T280" s="17" t="str">
        <f aca="false">IF((E280="r"),H280," ")</f>
        <v> </v>
      </c>
      <c r="U280" s="17" t="str">
        <f aca="false">IF((E280="p"),H280," ")</f>
        <v> </v>
      </c>
      <c r="V280" s="17" t="str">
        <f aca="false">IF((E280="t"),H280," ")</f>
        <v> </v>
      </c>
      <c r="W280" s="17" t="str">
        <f aca="false">IF((E280="q"),H280," ")</f>
        <v> </v>
      </c>
      <c r="X280" s="17" t="str">
        <f aca="false">IF((E280="m"),H280," ")</f>
        <v> </v>
      </c>
      <c r="Y280" s="17" t="str">
        <f aca="false">IF((E280="u"),H280," ")</f>
        <v> </v>
      </c>
      <c r="Z280" s="17" t="str">
        <f aca="false">IF((E280="a"),H280," ")</f>
        <v> </v>
      </c>
      <c r="AA280" s="17" t="str">
        <f aca="false">IF((E280="g"),H280," ")</f>
        <v> </v>
      </c>
      <c r="AB280" s="17" t="str">
        <f aca="false">IF((E280="h"),H280," ")</f>
        <v> </v>
      </c>
      <c r="AC280" s="30" t="str">
        <f aca="false">IF((E280="v"),H280," ")</f>
        <v> </v>
      </c>
      <c r="AD280" s="30" t="str">
        <f aca="false">IF((E280="n"),H280," ")</f>
        <v> </v>
      </c>
      <c r="AE280" s="17" t="str">
        <f aca="false">IF((E280="f"),H280," ")</f>
        <v> </v>
      </c>
      <c r="AF280" s="17" t="str">
        <f aca="false">IF((E280="l"),H280," ")</f>
        <v> </v>
      </c>
      <c r="AG280" s="17" t="str">
        <f aca="false">IF((E280="y"),H280," ")</f>
        <v> </v>
      </c>
      <c r="AH280" s="17" t="str">
        <f aca="false">IF((E280="z"),H280," ")</f>
        <v> </v>
      </c>
      <c r="AI280" s="17" t="str">
        <f aca="false">IF((E280="fa"),H280," ")</f>
        <v> </v>
      </c>
      <c r="AJ280" s="17" t="str">
        <f aca="false">IF((E280="e"),H280," ")</f>
        <v> </v>
      </c>
    </row>
    <row r="281" customFormat="false" ht="12" hidden="false" customHeight="false" outlineLevel="0" collapsed="false">
      <c r="A281" s="28"/>
      <c r="E281" s="2" t="str">
        <f aca="false">IF((F281&lt;&gt;0),"Enter Letter"," ")</f>
        <v> </v>
      </c>
      <c r="F281" s="30"/>
      <c r="G281" s="6" t="str">
        <f aca="false">IF(F281&lt;&gt;0,F281*G$2/(100+G$2)," ")</f>
        <v> </v>
      </c>
      <c r="H281" s="6" t="str">
        <f aca="false">IF((F281&lt;&gt;0),F281-G281," ")</f>
        <v> </v>
      </c>
      <c r="I281" s="5"/>
      <c r="L281" s="7" t="str">
        <f aca="false">IF(F281&lt;&gt;0,F281-K281," ")</f>
        <v> </v>
      </c>
      <c r="M281" s="8" t="str">
        <f aca="false">IF((F281-K281)&lt;&gt;0,M$1-A281," ")</f>
        <v> </v>
      </c>
      <c r="N281" s="5"/>
      <c r="O281" s="17" t="str">
        <f aca="false">IF((E281="s"),H281," ")</f>
        <v> </v>
      </c>
      <c r="P281" s="17" t="str">
        <f aca="false">IF((E281="c"),H281," ")</f>
        <v> </v>
      </c>
      <c r="Q281" s="17" t="str">
        <f aca="false">IF((E281="o"),H281," ")</f>
        <v> </v>
      </c>
      <c r="R281" s="17" t="str">
        <f aca="false">IF((E281="d"),H281," ")</f>
        <v> </v>
      </c>
      <c r="S281" s="17" t="str">
        <f aca="false">IF((E281="w"),H281," ")</f>
        <v> </v>
      </c>
      <c r="T281" s="17" t="str">
        <f aca="false">IF((E281="r"),H281," ")</f>
        <v> </v>
      </c>
      <c r="U281" s="17" t="str">
        <f aca="false">IF((E281="p"),H281," ")</f>
        <v> </v>
      </c>
      <c r="V281" s="17" t="str">
        <f aca="false">IF((E281="t"),H281," ")</f>
        <v> </v>
      </c>
      <c r="W281" s="17" t="str">
        <f aca="false">IF((E281="q"),H281," ")</f>
        <v> </v>
      </c>
      <c r="X281" s="17" t="str">
        <f aca="false">IF((E281="m"),H281," ")</f>
        <v> </v>
      </c>
      <c r="Y281" s="17" t="str">
        <f aca="false">IF((E281="u"),H281," ")</f>
        <v> </v>
      </c>
      <c r="Z281" s="17" t="str">
        <f aca="false">IF((E281="a"),H281," ")</f>
        <v> </v>
      </c>
      <c r="AA281" s="17" t="str">
        <f aca="false">IF((E281="g"),H281," ")</f>
        <v> </v>
      </c>
      <c r="AB281" s="17" t="str">
        <f aca="false">IF((E281="h"),H281," ")</f>
        <v> </v>
      </c>
      <c r="AC281" s="30" t="str">
        <f aca="false">IF((E281="v"),H281," ")</f>
        <v> </v>
      </c>
      <c r="AD281" s="30" t="str">
        <f aca="false">IF((E281="n"),H281," ")</f>
        <v> </v>
      </c>
      <c r="AE281" s="17" t="str">
        <f aca="false">IF((E281="f"),H281," ")</f>
        <v> </v>
      </c>
      <c r="AF281" s="17" t="str">
        <f aca="false">IF((E281="l"),H281," ")</f>
        <v> </v>
      </c>
      <c r="AG281" s="17" t="str">
        <f aca="false">IF((E281="y"),H281," ")</f>
        <v> </v>
      </c>
      <c r="AH281" s="17" t="str">
        <f aca="false">IF((E281="z"),H281," ")</f>
        <v> </v>
      </c>
      <c r="AI281" s="17" t="str">
        <f aca="false">IF((E281="fa"),H281," ")</f>
        <v> </v>
      </c>
      <c r="AJ281" s="17" t="str">
        <f aca="false">IF((E281="e"),H281," ")</f>
        <v> </v>
      </c>
    </row>
    <row r="282" customFormat="false" ht="12" hidden="false" customHeight="false" outlineLevel="0" collapsed="false">
      <c r="A282" s="28"/>
      <c r="E282" s="2" t="str">
        <f aca="false">IF((F282&lt;&gt;0),"Enter Letter"," ")</f>
        <v> </v>
      </c>
      <c r="F282" s="30"/>
      <c r="G282" s="6" t="str">
        <f aca="false">IF(F282&lt;&gt;0,F282*G$2/(100+G$2)," ")</f>
        <v> </v>
      </c>
      <c r="H282" s="6" t="str">
        <f aca="false">IF((F282&lt;&gt;0),F282-G282," ")</f>
        <v> </v>
      </c>
      <c r="I282" s="5"/>
      <c r="L282" s="7" t="str">
        <f aca="false">IF(F282&lt;&gt;0,F282-K282," ")</f>
        <v> </v>
      </c>
      <c r="M282" s="8" t="str">
        <f aca="false">IF((F282-K282)&lt;&gt;0,M$1-A282," ")</f>
        <v> </v>
      </c>
      <c r="N282" s="5"/>
      <c r="O282" s="17" t="str">
        <f aca="false">IF((E282="s"),H282," ")</f>
        <v> </v>
      </c>
      <c r="P282" s="17" t="str">
        <f aca="false">IF((E282="c"),H282," ")</f>
        <v> </v>
      </c>
      <c r="Q282" s="17" t="str">
        <f aca="false">IF((E282="o"),H282," ")</f>
        <v> </v>
      </c>
      <c r="R282" s="17" t="str">
        <f aca="false">IF((E282="d"),H282," ")</f>
        <v> </v>
      </c>
      <c r="S282" s="17" t="str">
        <f aca="false">IF((E282="w"),H282," ")</f>
        <v> </v>
      </c>
      <c r="T282" s="17" t="str">
        <f aca="false">IF((E282="r"),H282," ")</f>
        <v> </v>
      </c>
      <c r="U282" s="17" t="str">
        <f aca="false">IF((E282="p"),H282," ")</f>
        <v> </v>
      </c>
      <c r="V282" s="17" t="str">
        <f aca="false">IF((E282="t"),H282," ")</f>
        <v> </v>
      </c>
      <c r="W282" s="17" t="str">
        <f aca="false">IF((E282="q"),H282," ")</f>
        <v> </v>
      </c>
      <c r="X282" s="17" t="str">
        <f aca="false">IF((E282="m"),H282," ")</f>
        <v> </v>
      </c>
      <c r="Y282" s="17" t="str">
        <f aca="false">IF((E282="u"),H282," ")</f>
        <v> </v>
      </c>
      <c r="Z282" s="17" t="str">
        <f aca="false">IF((E282="a"),H282," ")</f>
        <v> </v>
      </c>
      <c r="AA282" s="17" t="str">
        <f aca="false">IF((E282="g"),H282," ")</f>
        <v> </v>
      </c>
      <c r="AB282" s="17" t="str">
        <f aca="false">IF((E282="h"),H282," ")</f>
        <v> </v>
      </c>
      <c r="AC282" s="30" t="str">
        <f aca="false">IF((E282="v"),H282," ")</f>
        <v> </v>
      </c>
      <c r="AD282" s="30" t="str">
        <f aca="false">IF((E282="n"),H282," ")</f>
        <v> </v>
      </c>
      <c r="AE282" s="17" t="str">
        <f aca="false">IF((E282="f"),H282," ")</f>
        <v> </v>
      </c>
      <c r="AF282" s="17" t="str">
        <f aca="false">IF((E282="l"),H282," ")</f>
        <v> </v>
      </c>
      <c r="AG282" s="17" t="str">
        <f aca="false">IF((E282="y"),H282," ")</f>
        <v> </v>
      </c>
      <c r="AH282" s="17" t="str">
        <f aca="false">IF((E282="z"),H282," ")</f>
        <v> </v>
      </c>
      <c r="AI282" s="17" t="str">
        <f aca="false">IF((E282="fa"),H282," ")</f>
        <v> </v>
      </c>
      <c r="AJ282" s="17" t="str">
        <f aca="false">IF((E282="e"),H282," ")</f>
        <v> </v>
      </c>
    </row>
    <row r="283" customFormat="false" ht="12" hidden="false" customHeight="false" outlineLevel="0" collapsed="false">
      <c r="A283" s="28"/>
      <c r="E283" s="2" t="str">
        <f aca="false">IF((F283&lt;&gt;0),"Enter Letter"," ")</f>
        <v> </v>
      </c>
      <c r="F283" s="30"/>
      <c r="G283" s="6" t="str">
        <f aca="false">IF(F283&lt;&gt;0,F283*G$2/(100+G$2)," ")</f>
        <v> </v>
      </c>
      <c r="H283" s="6" t="str">
        <f aca="false">IF((F283&lt;&gt;0),F283-G283," ")</f>
        <v> </v>
      </c>
      <c r="I283" s="5"/>
      <c r="L283" s="7" t="str">
        <f aca="false">IF(F283&lt;&gt;0,F283-K283," ")</f>
        <v> </v>
      </c>
      <c r="M283" s="8" t="str">
        <f aca="false">IF((F283-K283)&lt;&gt;0,M$1-A283," ")</f>
        <v> </v>
      </c>
      <c r="N283" s="5"/>
      <c r="O283" s="17" t="str">
        <f aca="false">IF((E283="s"),H283," ")</f>
        <v> </v>
      </c>
      <c r="P283" s="17" t="str">
        <f aca="false">IF((E283="c"),H283," ")</f>
        <v> </v>
      </c>
      <c r="Q283" s="17" t="str">
        <f aca="false">IF((E283="o"),H283," ")</f>
        <v> </v>
      </c>
      <c r="R283" s="17" t="str">
        <f aca="false">IF((E283="d"),H283," ")</f>
        <v> </v>
      </c>
      <c r="S283" s="17" t="str">
        <f aca="false">IF((E283="w"),H283," ")</f>
        <v> </v>
      </c>
      <c r="T283" s="17" t="str">
        <f aca="false">IF((E283="r"),H283," ")</f>
        <v> </v>
      </c>
      <c r="U283" s="17" t="str">
        <f aca="false">IF((E283="p"),H283," ")</f>
        <v> </v>
      </c>
      <c r="V283" s="17" t="str">
        <f aca="false">IF((E283="t"),H283," ")</f>
        <v> </v>
      </c>
      <c r="W283" s="17" t="str">
        <f aca="false">IF((E283="q"),H283," ")</f>
        <v> </v>
      </c>
      <c r="X283" s="17" t="str">
        <f aca="false">IF((E283="m"),H283," ")</f>
        <v> </v>
      </c>
      <c r="Y283" s="17" t="str">
        <f aca="false">IF((E283="u"),H283," ")</f>
        <v> </v>
      </c>
      <c r="Z283" s="17" t="str">
        <f aca="false">IF((E283="a"),H283," ")</f>
        <v> </v>
      </c>
      <c r="AA283" s="17" t="str">
        <f aca="false">IF((E283="g"),H283," ")</f>
        <v> </v>
      </c>
      <c r="AB283" s="17" t="str">
        <f aca="false">IF((E283="h"),H283," ")</f>
        <v> </v>
      </c>
      <c r="AC283" s="30" t="str">
        <f aca="false">IF((E283="v"),H283," ")</f>
        <v> </v>
      </c>
      <c r="AD283" s="30" t="str">
        <f aca="false">IF((E283="n"),H283," ")</f>
        <v> </v>
      </c>
      <c r="AE283" s="17" t="str">
        <f aca="false">IF((E283="f"),H283," ")</f>
        <v> </v>
      </c>
      <c r="AF283" s="17" t="str">
        <f aca="false">IF((E283="l"),H283," ")</f>
        <v> </v>
      </c>
      <c r="AG283" s="17" t="str">
        <f aca="false">IF((E283="y"),H283," ")</f>
        <v> </v>
      </c>
      <c r="AH283" s="17" t="str">
        <f aca="false">IF((E283="z"),H283," ")</f>
        <v> </v>
      </c>
      <c r="AI283" s="17" t="str">
        <f aca="false">IF((E283="fa"),H283," ")</f>
        <v> </v>
      </c>
      <c r="AJ283" s="17" t="str">
        <f aca="false">IF((E283="e"),H283," ")</f>
        <v> </v>
      </c>
    </row>
    <row r="284" customFormat="false" ht="12" hidden="false" customHeight="false" outlineLevel="0" collapsed="false">
      <c r="A284" s="28"/>
      <c r="E284" s="2" t="str">
        <f aca="false">IF((F284&lt;&gt;0),"Enter Letter"," ")</f>
        <v> </v>
      </c>
      <c r="F284" s="30"/>
      <c r="G284" s="6" t="str">
        <f aca="false">IF(F284&lt;&gt;0,F284*G$2/(100+G$2)," ")</f>
        <v> </v>
      </c>
      <c r="H284" s="6" t="str">
        <f aca="false">IF((F284&lt;&gt;0),F284-G284," ")</f>
        <v> </v>
      </c>
      <c r="I284" s="5"/>
      <c r="L284" s="7" t="str">
        <f aca="false">IF(F284&lt;&gt;0,F284-K284," ")</f>
        <v> </v>
      </c>
      <c r="M284" s="8" t="str">
        <f aca="false">IF((F284-K284)&lt;&gt;0,M$1-A284," ")</f>
        <v> </v>
      </c>
      <c r="N284" s="5"/>
      <c r="O284" s="17" t="str">
        <f aca="false">IF((E284="s"),H284," ")</f>
        <v> </v>
      </c>
      <c r="P284" s="17" t="str">
        <f aca="false">IF((E284="c"),H284," ")</f>
        <v> </v>
      </c>
      <c r="Q284" s="17" t="str">
        <f aca="false">IF((E284="o"),H284," ")</f>
        <v> </v>
      </c>
      <c r="R284" s="17" t="str">
        <f aca="false">IF((E284="d"),H284," ")</f>
        <v> </v>
      </c>
      <c r="S284" s="17" t="str">
        <f aca="false">IF((E284="w"),H284," ")</f>
        <v> </v>
      </c>
      <c r="T284" s="17" t="str">
        <f aca="false">IF((E284="r"),H284," ")</f>
        <v> </v>
      </c>
      <c r="U284" s="17" t="str">
        <f aca="false">IF((E284="p"),H284," ")</f>
        <v> </v>
      </c>
      <c r="V284" s="17" t="str">
        <f aca="false">IF((E284="t"),H284," ")</f>
        <v> </v>
      </c>
      <c r="W284" s="17" t="str">
        <f aca="false">IF((E284="q"),H284," ")</f>
        <v> </v>
      </c>
      <c r="X284" s="17" t="str">
        <f aca="false">IF((E284="m"),H284," ")</f>
        <v> </v>
      </c>
      <c r="Y284" s="17" t="str">
        <f aca="false">IF((E284="u"),H284," ")</f>
        <v> </v>
      </c>
      <c r="Z284" s="17" t="str">
        <f aca="false">IF((E284="a"),H284," ")</f>
        <v> </v>
      </c>
      <c r="AA284" s="17" t="str">
        <f aca="false">IF((E284="g"),H284," ")</f>
        <v> </v>
      </c>
      <c r="AB284" s="17" t="str">
        <f aca="false">IF((E284="h"),H284," ")</f>
        <v> </v>
      </c>
      <c r="AC284" s="30" t="str">
        <f aca="false">IF((E284="v"),H284," ")</f>
        <v> </v>
      </c>
      <c r="AD284" s="30" t="str">
        <f aca="false">IF((E284="n"),H284," ")</f>
        <v> </v>
      </c>
      <c r="AE284" s="17" t="str">
        <f aca="false">IF((E284="f"),H284," ")</f>
        <v> </v>
      </c>
      <c r="AF284" s="17" t="str">
        <f aca="false">IF((E284="l"),H284," ")</f>
        <v> </v>
      </c>
      <c r="AG284" s="17" t="str">
        <f aca="false">IF((E284="y"),H284," ")</f>
        <v> </v>
      </c>
      <c r="AH284" s="17" t="str">
        <f aca="false">IF((E284="z"),H284," ")</f>
        <v> </v>
      </c>
      <c r="AI284" s="17" t="str">
        <f aca="false">IF((E284="fa"),H284," ")</f>
        <v> </v>
      </c>
      <c r="AJ284" s="17" t="str">
        <f aca="false">IF((E284="e"),H284," ")</f>
        <v> </v>
      </c>
    </row>
    <row r="285" customFormat="false" ht="12" hidden="false" customHeight="false" outlineLevel="0" collapsed="false">
      <c r="A285" s="28"/>
      <c r="E285" s="2" t="str">
        <f aca="false">IF((F285&lt;&gt;0),"Enter Letter"," ")</f>
        <v> </v>
      </c>
      <c r="F285" s="30"/>
      <c r="G285" s="6" t="str">
        <f aca="false">IF(F285&lt;&gt;0,F285*G$2/(100+G$2)," ")</f>
        <v> </v>
      </c>
      <c r="H285" s="6" t="str">
        <f aca="false">IF((F285&lt;&gt;0),F285-G285," ")</f>
        <v> </v>
      </c>
      <c r="I285" s="5"/>
      <c r="L285" s="7" t="str">
        <f aca="false">IF(F285&lt;&gt;0,F285-K285," ")</f>
        <v> </v>
      </c>
      <c r="M285" s="8" t="str">
        <f aca="false">IF((F285-K285)&lt;&gt;0,M$1-A285," ")</f>
        <v> </v>
      </c>
      <c r="N285" s="5"/>
      <c r="O285" s="17" t="str">
        <f aca="false">IF((E285="s"),H285," ")</f>
        <v> </v>
      </c>
      <c r="P285" s="17" t="str">
        <f aca="false">IF((E285="c"),H285," ")</f>
        <v> </v>
      </c>
      <c r="Q285" s="17" t="str">
        <f aca="false">IF((E285="o"),H285," ")</f>
        <v> </v>
      </c>
      <c r="R285" s="17" t="str">
        <f aca="false">IF((E285="d"),H285," ")</f>
        <v> </v>
      </c>
      <c r="S285" s="17" t="str">
        <f aca="false">IF((E285="w"),H285," ")</f>
        <v> </v>
      </c>
      <c r="T285" s="17" t="str">
        <f aca="false">IF((E285="r"),H285," ")</f>
        <v> </v>
      </c>
      <c r="U285" s="17" t="str">
        <f aca="false">IF((E285="p"),H285," ")</f>
        <v> </v>
      </c>
      <c r="V285" s="17" t="str">
        <f aca="false">IF((E285="t"),H285," ")</f>
        <v> </v>
      </c>
      <c r="W285" s="17" t="str">
        <f aca="false">IF((E285="q"),H285," ")</f>
        <v> </v>
      </c>
      <c r="X285" s="17" t="str">
        <f aca="false">IF((E285="m"),H285," ")</f>
        <v> </v>
      </c>
      <c r="Y285" s="17" t="str">
        <f aca="false">IF((E285="u"),H285," ")</f>
        <v> </v>
      </c>
      <c r="Z285" s="17" t="str">
        <f aca="false">IF((E285="a"),H285," ")</f>
        <v> </v>
      </c>
      <c r="AA285" s="17" t="str">
        <f aca="false">IF((E285="g"),H285," ")</f>
        <v> </v>
      </c>
      <c r="AB285" s="17" t="str">
        <f aca="false">IF((E285="h"),H285," ")</f>
        <v> </v>
      </c>
      <c r="AC285" s="30" t="str">
        <f aca="false">IF((E285="v"),H285," ")</f>
        <v> </v>
      </c>
      <c r="AD285" s="30" t="str">
        <f aca="false">IF((E285="n"),H285," ")</f>
        <v> </v>
      </c>
      <c r="AE285" s="17" t="str">
        <f aca="false">IF((E285="f"),H285," ")</f>
        <v> </v>
      </c>
      <c r="AF285" s="17" t="str">
        <f aca="false">IF((E285="l"),H285," ")</f>
        <v> </v>
      </c>
      <c r="AG285" s="17" t="str">
        <f aca="false">IF((E285="y"),H285," ")</f>
        <v> </v>
      </c>
      <c r="AH285" s="17" t="str">
        <f aca="false">IF((E285="z"),H285," ")</f>
        <v> </v>
      </c>
      <c r="AI285" s="17" t="str">
        <f aca="false">IF((E285="fa"),H285," ")</f>
        <v> </v>
      </c>
      <c r="AJ285" s="17" t="str">
        <f aca="false">IF((E285="e"),H285," ")</f>
        <v> </v>
      </c>
    </row>
    <row r="286" customFormat="false" ht="12" hidden="false" customHeight="false" outlineLevel="0" collapsed="false">
      <c r="A286" s="28"/>
      <c r="E286" s="2" t="str">
        <f aca="false">IF((F286&lt;&gt;0),"Enter Letter"," ")</f>
        <v> </v>
      </c>
      <c r="F286" s="30"/>
      <c r="G286" s="6" t="str">
        <f aca="false">IF(F286&lt;&gt;0,F286*G$2/(100+G$2)," ")</f>
        <v> </v>
      </c>
      <c r="H286" s="6" t="str">
        <f aca="false">IF((F286&lt;&gt;0),F286-G286," ")</f>
        <v> </v>
      </c>
      <c r="I286" s="5"/>
      <c r="L286" s="7" t="str">
        <f aca="false">IF(F286&lt;&gt;0,F286-K286," ")</f>
        <v> </v>
      </c>
      <c r="M286" s="8" t="str">
        <f aca="false">IF((F286-K286)&lt;&gt;0,M$1-A286," ")</f>
        <v> </v>
      </c>
      <c r="N286" s="5"/>
      <c r="O286" s="17" t="str">
        <f aca="false">IF((E286="s"),H286," ")</f>
        <v> </v>
      </c>
      <c r="P286" s="17" t="str">
        <f aca="false">IF((E286="c"),H286," ")</f>
        <v> </v>
      </c>
      <c r="Q286" s="17" t="str">
        <f aca="false">IF((E286="o"),H286," ")</f>
        <v> </v>
      </c>
      <c r="R286" s="17" t="str">
        <f aca="false">IF((E286="d"),H286," ")</f>
        <v> </v>
      </c>
      <c r="S286" s="17" t="str">
        <f aca="false">IF((E286="w"),H286," ")</f>
        <v> </v>
      </c>
      <c r="T286" s="17" t="str">
        <f aca="false">IF((E286="r"),H286," ")</f>
        <v> </v>
      </c>
      <c r="U286" s="17" t="str">
        <f aca="false">IF((E286="p"),H286," ")</f>
        <v> </v>
      </c>
      <c r="V286" s="17" t="str">
        <f aca="false">IF((E286="t"),H286," ")</f>
        <v> </v>
      </c>
      <c r="W286" s="17" t="str">
        <f aca="false">IF((E286="q"),H286," ")</f>
        <v> </v>
      </c>
      <c r="X286" s="17" t="str">
        <f aca="false">IF((E286="m"),H286," ")</f>
        <v> </v>
      </c>
      <c r="Y286" s="17" t="str">
        <f aca="false">IF((E286="u"),H286," ")</f>
        <v> </v>
      </c>
      <c r="Z286" s="17" t="str">
        <f aca="false">IF((E286="a"),H286," ")</f>
        <v> </v>
      </c>
      <c r="AA286" s="17" t="str">
        <f aca="false">IF((E286="g"),H286," ")</f>
        <v> </v>
      </c>
      <c r="AB286" s="17" t="str">
        <f aca="false">IF((E286="h"),H286," ")</f>
        <v> </v>
      </c>
      <c r="AC286" s="30" t="str">
        <f aca="false">IF((E286="v"),H286," ")</f>
        <v> </v>
      </c>
      <c r="AD286" s="30" t="str">
        <f aca="false">IF((E286="n"),H286," ")</f>
        <v> </v>
      </c>
      <c r="AE286" s="17" t="str">
        <f aca="false">IF((E286="f"),H286," ")</f>
        <v> </v>
      </c>
      <c r="AF286" s="17" t="str">
        <f aca="false">IF((E286="l"),H286," ")</f>
        <v> </v>
      </c>
      <c r="AG286" s="17" t="str">
        <f aca="false">IF((E286="y"),H286," ")</f>
        <v> </v>
      </c>
      <c r="AH286" s="17" t="str">
        <f aca="false">IF((E286="z"),H286," ")</f>
        <v> </v>
      </c>
      <c r="AI286" s="17" t="str">
        <f aca="false">IF((E286="fa"),H286," ")</f>
        <v> </v>
      </c>
      <c r="AJ286" s="17" t="str">
        <f aca="false">IF((E286="e"),H286," ")</f>
        <v> </v>
      </c>
    </row>
    <row r="287" customFormat="false" ht="12" hidden="false" customHeight="false" outlineLevel="0" collapsed="false">
      <c r="A287" s="28"/>
      <c r="E287" s="2" t="str">
        <f aca="false">IF((F287&lt;&gt;0),"Enter Letter"," ")</f>
        <v> </v>
      </c>
      <c r="F287" s="30"/>
      <c r="G287" s="6" t="str">
        <f aca="false">IF(F287&lt;&gt;0,F287*G$2/(100+G$2)," ")</f>
        <v> </v>
      </c>
      <c r="H287" s="6" t="str">
        <f aca="false">IF((F287&lt;&gt;0),F287-G287," ")</f>
        <v> </v>
      </c>
      <c r="I287" s="5"/>
      <c r="L287" s="7" t="str">
        <f aca="false">IF(F287&lt;&gt;0,F287-K287," ")</f>
        <v> </v>
      </c>
      <c r="M287" s="8" t="str">
        <f aca="false">IF((F287-K287)&lt;&gt;0,M$1-A287," ")</f>
        <v> </v>
      </c>
      <c r="N287" s="5"/>
      <c r="O287" s="17" t="str">
        <f aca="false">IF((E287="s"),H287," ")</f>
        <v> </v>
      </c>
      <c r="P287" s="17" t="str">
        <f aca="false">IF((E287="c"),H287," ")</f>
        <v> </v>
      </c>
      <c r="Q287" s="17" t="str">
        <f aca="false">IF((E287="o"),H287," ")</f>
        <v> </v>
      </c>
      <c r="R287" s="17" t="str">
        <f aca="false">IF((E287="d"),H287," ")</f>
        <v> </v>
      </c>
      <c r="S287" s="17" t="str">
        <f aca="false">IF((E287="w"),H287," ")</f>
        <v> </v>
      </c>
      <c r="T287" s="17" t="str">
        <f aca="false">IF((E287="r"),H287," ")</f>
        <v> </v>
      </c>
      <c r="U287" s="17" t="str">
        <f aca="false">IF((E287="p"),H287," ")</f>
        <v> </v>
      </c>
      <c r="V287" s="17" t="str">
        <f aca="false">IF((E287="t"),H287," ")</f>
        <v> </v>
      </c>
      <c r="W287" s="17" t="str">
        <f aca="false">IF((E287="q"),H287," ")</f>
        <v> </v>
      </c>
      <c r="X287" s="17" t="str">
        <f aca="false">IF((E287="m"),H287," ")</f>
        <v> </v>
      </c>
      <c r="Y287" s="17" t="str">
        <f aca="false">IF((E287="u"),H287," ")</f>
        <v> </v>
      </c>
      <c r="Z287" s="17" t="str">
        <f aca="false">IF((E287="a"),H287," ")</f>
        <v> </v>
      </c>
      <c r="AA287" s="17" t="str">
        <f aca="false">IF((E287="g"),H287," ")</f>
        <v> </v>
      </c>
      <c r="AB287" s="17" t="str">
        <f aca="false">IF((E287="h"),H287," ")</f>
        <v> </v>
      </c>
      <c r="AC287" s="30" t="str">
        <f aca="false">IF((E287="v"),H287," ")</f>
        <v> </v>
      </c>
      <c r="AD287" s="30" t="str">
        <f aca="false">IF((E287="n"),H287," ")</f>
        <v> </v>
      </c>
      <c r="AE287" s="17" t="str">
        <f aca="false">IF((E287="f"),H287," ")</f>
        <v> </v>
      </c>
      <c r="AF287" s="17" t="str">
        <f aca="false">IF((E287="l"),H287," ")</f>
        <v> </v>
      </c>
      <c r="AG287" s="17" t="str">
        <f aca="false">IF((E287="y"),H287," ")</f>
        <v> </v>
      </c>
      <c r="AH287" s="17" t="str">
        <f aca="false">IF((E287="z"),H287," ")</f>
        <v> </v>
      </c>
      <c r="AI287" s="17" t="str">
        <f aca="false">IF((E287="fa"),H287," ")</f>
        <v> </v>
      </c>
      <c r="AJ287" s="17" t="str">
        <f aca="false">IF((E287="e"),H287," ")</f>
        <v> </v>
      </c>
    </row>
    <row r="288" customFormat="false" ht="12" hidden="false" customHeight="false" outlineLevel="0" collapsed="false">
      <c r="A288" s="28"/>
      <c r="E288" s="2" t="str">
        <f aca="false">IF((F288&lt;&gt;0),"Enter Letter"," ")</f>
        <v> </v>
      </c>
      <c r="F288" s="30"/>
      <c r="G288" s="6" t="str">
        <f aca="false">IF(F288&lt;&gt;0,F288*G$2/(100+G$2)," ")</f>
        <v> </v>
      </c>
      <c r="H288" s="6" t="str">
        <f aca="false">IF((F288&lt;&gt;0),F288-G288," ")</f>
        <v> </v>
      </c>
      <c r="I288" s="5"/>
      <c r="L288" s="7" t="str">
        <f aca="false">IF(F288&lt;&gt;0,F288-K288," ")</f>
        <v> </v>
      </c>
      <c r="M288" s="8" t="str">
        <f aca="false">IF((F288-K288)&lt;&gt;0,M$1-A288," ")</f>
        <v> </v>
      </c>
      <c r="N288" s="5"/>
      <c r="O288" s="17" t="str">
        <f aca="false">IF((E288="s"),H288," ")</f>
        <v> </v>
      </c>
      <c r="P288" s="17" t="str">
        <f aca="false">IF((E288="c"),H288," ")</f>
        <v> </v>
      </c>
      <c r="Q288" s="17" t="str">
        <f aca="false">IF((E288="o"),H288," ")</f>
        <v> </v>
      </c>
      <c r="R288" s="17" t="str">
        <f aca="false">IF((E288="d"),H288," ")</f>
        <v> </v>
      </c>
      <c r="S288" s="17" t="str">
        <f aca="false">IF((E288="w"),H288," ")</f>
        <v> </v>
      </c>
      <c r="T288" s="17" t="str">
        <f aca="false">IF((E288="r"),H288," ")</f>
        <v> </v>
      </c>
      <c r="U288" s="17" t="str">
        <f aca="false">IF((E288="p"),H288," ")</f>
        <v> </v>
      </c>
      <c r="V288" s="17" t="str">
        <f aca="false">IF((E288="t"),H288," ")</f>
        <v> </v>
      </c>
      <c r="W288" s="17" t="str">
        <f aca="false">IF((E288="q"),H288," ")</f>
        <v> </v>
      </c>
      <c r="X288" s="17" t="str">
        <f aca="false">IF((E288="m"),H288," ")</f>
        <v> </v>
      </c>
      <c r="Y288" s="17" t="str">
        <f aca="false">IF((E288="u"),H288," ")</f>
        <v> </v>
      </c>
      <c r="Z288" s="17" t="str">
        <f aca="false">IF((E288="a"),H288," ")</f>
        <v> </v>
      </c>
      <c r="AA288" s="17" t="str">
        <f aca="false">IF((E288="g"),H288," ")</f>
        <v> </v>
      </c>
      <c r="AB288" s="17" t="str">
        <f aca="false">IF((E288="h"),H288," ")</f>
        <v> </v>
      </c>
      <c r="AC288" s="30" t="str">
        <f aca="false">IF((E288="v"),H288," ")</f>
        <v> </v>
      </c>
      <c r="AD288" s="30" t="str">
        <f aca="false">IF((E288="n"),H288," ")</f>
        <v> </v>
      </c>
      <c r="AE288" s="17" t="str">
        <f aca="false">IF((E288="f"),H288," ")</f>
        <v> </v>
      </c>
      <c r="AF288" s="17" t="str">
        <f aca="false">IF((E288="l"),H288," ")</f>
        <v> </v>
      </c>
      <c r="AG288" s="17" t="str">
        <f aca="false">IF((E288="y"),H288," ")</f>
        <v> </v>
      </c>
      <c r="AH288" s="17" t="str">
        <f aca="false">IF((E288="z"),H288," ")</f>
        <v> </v>
      </c>
      <c r="AI288" s="17" t="str">
        <f aca="false">IF((E288="fa"),H288," ")</f>
        <v> </v>
      </c>
      <c r="AJ288" s="17" t="str">
        <f aca="false">IF((E288="e"),H288," ")</f>
        <v> </v>
      </c>
    </row>
    <row r="289" customFormat="false" ht="12" hidden="false" customHeight="false" outlineLevel="0" collapsed="false">
      <c r="A289" s="28"/>
      <c r="E289" s="2" t="str">
        <f aca="false">IF((F289&lt;&gt;0),"Enter Letter"," ")</f>
        <v> </v>
      </c>
      <c r="F289" s="30"/>
      <c r="G289" s="6" t="str">
        <f aca="false">IF(F289&lt;&gt;0,F289*G$2/(100+G$2)," ")</f>
        <v> </v>
      </c>
      <c r="H289" s="6" t="str">
        <f aca="false">IF((F289&lt;&gt;0),F289-G289," ")</f>
        <v> </v>
      </c>
      <c r="I289" s="5"/>
      <c r="L289" s="7" t="str">
        <f aca="false">IF(F289&lt;&gt;0,F289-K289," ")</f>
        <v> </v>
      </c>
      <c r="M289" s="8" t="str">
        <f aca="false">IF((F289-K289)&lt;&gt;0,M$1-A289," ")</f>
        <v> </v>
      </c>
      <c r="N289" s="5"/>
      <c r="O289" s="17" t="str">
        <f aca="false">IF((E289="s"),H289," ")</f>
        <v> </v>
      </c>
      <c r="P289" s="17" t="str">
        <f aca="false">IF((E289="c"),H289," ")</f>
        <v> </v>
      </c>
      <c r="Q289" s="17" t="str">
        <f aca="false">IF((E289="o"),H289," ")</f>
        <v> </v>
      </c>
      <c r="R289" s="17" t="str">
        <f aca="false">IF((E289="d"),H289," ")</f>
        <v> </v>
      </c>
      <c r="S289" s="17" t="str">
        <f aca="false">IF((E289="w"),H289," ")</f>
        <v> </v>
      </c>
      <c r="T289" s="17" t="str">
        <f aca="false">IF((E289="r"),H289," ")</f>
        <v> </v>
      </c>
      <c r="U289" s="17" t="str">
        <f aca="false">IF((E289="p"),H289," ")</f>
        <v> </v>
      </c>
      <c r="V289" s="17" t="str">
        <f aca="false">IF((E289="t"),H289," ")</f>
        <v> </v>
      </c>
      <c r="W289" s="17" t="str">
        <f aca="false">IF((E289="q"),H289," ")</f>
        <v> </v>
      </c>
      <c r="X289" s="17" t="str">
        <f aca="false">IF((E289="m"),H289," ")</f>
        <v> </v>
      </c>
      <c r="Y289" s="17" t="str">
        <f aca="false">IF((E289="u"),H289," ")</f>
        <v> </v>
      </c>
      <c r="Z289" s="17" t="str">
        <f aca="false">IF((E289="a"),H289," ")</f>
        <v> </v>
      </c>
      <c r="AA289" s="17" t="str">
        <f aca="false">IF((E289="g"),H289," ")</f>
        <v> </v>
      </c>
      <c r="AB289" s="17" t="str">
        <f aca="false">IF((E289="h"),H289," ")</f>
        <v> </v>
      </c>
      <c r="AC289" s="30" t="str">
        <f aca="false">IF((E289="v"),H289," ")</f>
        <v> </v>
      </c>
      <c r="AD289" s="30" t="str">
        <f aca="false">IF((E289="n"),H289," ")</f>
        <v> </v>
      </c>
      <c r="AE289" s="17" t="str">
        <f aca="false">IF((E289="f"),H289," ")</f>
        <v> </v>
      </c>
      <c r="AF289" s="17" t="str">
        <f aca="false">IF((E289="l"),H289," ")</f>
        <v> </v>
      </c>
      <c r="AG289" s="17" t="str">
        <f aca="false">IF((E289="y"),H289," ")</f>
        <v> </v>
      </c>
      <c r="AH289" s="17" t="str">
        <f aca="false">IF((E289="z"),H289," ")</f>
        <v> </v>
      </c>
      <c r="AI289" s="17" t="str">
        <f aca="false">IF((E289="fa"),H289," ")</f>
        <v> </v>
      </c>
      <c r="AJ289" s="17" t="str">
        <f aca="false">IF((E289="e"),H289," ")</f>
        <v> </v>
      </c>
    </row>
    <row r="290" customFormat="false" ht="12" hidden="false" customHeight="false" outlineLevel="0" collapsed="false">
      <c r="A290" s="28"/>
      <c r="E290" s="2" t="str">
        <f aca="false">IF((F290&lt;&gt;0),"Enter Letter"," ")</f>
        <v> </v>
      </c>
      <c r="F290" s="30"/>
      <c r="G290" s="6" t="str">
        <f aca="false">IF(F290&lt;&gt;0,F290*G$2/(100+G$2)," ")</f>
        <v> </v>
      </c>
      <c r="H290" s="6" t="str">
        <f aca="false">IF((F290&lt;&gt;0),F290-G290," ")</f>
        <v> </v>
      </c>
      <c r="I290" s="5"/>
      <c r="L290" s="7" t="str">
        <f aca="false">IF(F290&lt;&gt;0,F290-K290," ")</f>
        <v> </v>
      </c>
      <c r="M290" s="8" t="str">
        <f aca="false">IF((F290-K290)&lt;&gt;0,M$1-A290," ")</f>
        <v> </v>
      </c>
      <c r="N290" s="5"/>
      <c r="O290" s="17" t="str">
        <f aca="false">IF((E290="s"),H290," ")</f>
        <v> </v>
      </c>
      <c r="P290" s="17" t="str">
        <f aca="false">IF((E290="c"),H290," ")</f>
        <v> </v>
      </c>
      <c r="Q290" s="17" t="str">
        <f aca="false">IF((E290="o"),H290," ")</f>
        <v> </v>
      </c>
      <c r="R290" s="17" t="str">
        <f aca="false">IF((E290="d"),H290," ")</f>
        <v> </v>
      </c>
      <c r="S290" s="17" t="str">
        <f aca="false">IF((E290="w"),H290," ")</f>
        <v> </v>
      </c>
      <c r="T290" s="17" t="str">
        <f aca="false">IF((E290="r"),H290," ")</f>
        <v> </v>
      </c>
      <c r="U290" s="17" t="str">
        <f aca="false">IF((E290="p"),H290," ")</f>
        <v> </v>
      </c>
      <c r="V290" s="17" t="str">
        <f aca="false">IF((E290="t"),H290," ")</f>
        <v> </v>
      </c>
      <c r="W290" s="17" t="str">
        <f aca="false">IF((E290="q"),H290," ")</f>
        <v> </v>
      </c>
      <c r="X290" s="17" t="str">
        <f aca="false">IF((E290="m"),H290," ")</f>
        <v> </v>
      </c>
      <c r="Y290" s="17" t="str">
        <f aca="false">IF((E290="u"),H290," ")</f>
        <v> </v>
      </c>
      <c r="Z290" s="17" t="str">
        <f aca="false">IF((E290="a"),H290," ")</f>
        <v> </v>
      </c>
      <c r="AA290" s="17" t="str">
        <f aca="false">IF((E290="g"),H290," ")</f>
        <v> </v>
      </c>
      <c r="AB290" s="17" t="str">
        <f aca="false">IF((E290="h"),H290," ")</f>
        <v> </v>
      </c>
      <c r="AC290" s="30" t="str">
        <f aca="false">IF((E290="v"),H290," ")</f>
        <v> </v>
      </c>
      <c r="AD290" s="30" t="str">
        <f aca="false">IF((E290="n"),H290," ")</f>
        <v> </v>
      </c>
      <c r="AE290" s="17" t="str">
        <f aca="false">IF((E290="f"),H290," ")</f>
        <v> </v>
      </c>
      <c r="AF290" s="17" t="str">
        <f aca="false">IF((E290="l"),H290," ")</f>
        <v> </v>
      </c>
      <c r="AG290" s="17" t="str">
        <f aca="false">IF((E290="y"),H290," ")</f>
        <v> </v>
      </c>
      <c r="AH290" s="17" t="str">
        <f aca="false">IF((E290="z"),H290," ")</f>
        <v> </v>
      </c>
      <c r="AI290" s="17" t="str">
        <f aca="false">IF((E290="fa"),H290," ")</f>
        <v> </v>
      </c>
      <c r="AJ290" s="17" t="str">
        <f aca="false">IF((E290="e"),H290," ")</f>
        <v> </v>
      </c>
    </row>
    <row r="291" customFormat="false" ht="12" hidden="false" customHeight="false" outlineLevel="0" collapsed="false">
      <c r="A291" s="28"/>
      <c r="E291" s="2" t="str">
        <f aca="false">IF((F291&lt;&gt;0),"Enter Letter"," ")</f>
        <v> </v>
      </c>
      <c r="F291" s="30"/>
      <c r="G291" s="6" t="str">
        <f aca="false">IF(F291&lt;&gt;0,F291*G$2/(100+G$2)," ")</f>
        <v> </v>
      </c>
      <c r="H291" s="6" t="str">
        <f aca="false">IF((F291&lt;&gt;0),F291-G291," ")</f>
        <v> </v>
      </c>
      <c r="I291" s="5"/>
      <c r="L291" s="7" t="str">
        <f aca="false">IF(F291&lt;&gt;0,F291-K291," ")</f>
        <v> </v>
      </c>
      <c r="M291" s="8" t="str">
        <f aca="false">IF((F291-K291)&lt;&gt;0,M$1-A291," ")</f>
        <v> </v>
      </c>
      <c r="N291" s="5"/>
      <c r="O291" s="17" t="str">
        <f aca="false">IF((E291="s"),H291," ")</f>
        <v> </v>
      </c>
      <c r="P291" s="17" t="str">
        <f aca="false">IF((E291="c"),H291," ")</f>
        <v> </v>
      </c>
      <c r="Q291" s="17" t="str">
        <f aca="false">IF((E291="o"),H291," ")</f>
        <v> </v>
      </c>
      <c r="R291" s="17" t="str">
        <f aca="false">IF((E291="d"),H291," ")</f>
        <v> </v>
      </c>
      <c r="S291" s="17" t="str">
        <f aca="false">IF((E291="w"),H291," ")</f>
        <v> </v>
      </c>
      <c r="T291" s="17" t="str">
        <f aca="false">IF((E291="r"),H291," ")</f>
        <v> </v>
      </c>
      <c r="U291" s="17" t="str">
        <f aca="false">IF((E291="p"),H291," ")</f>
        <v> </v>
      </c>
      <c r="V291" s="17" t="str">
        <f aca="false">IF((E291="t"),H291," ")</f>
        <v> </v>
      </c>
      <c r="W291" s="17" t="str">
        <f aca="false">IF((E291="q"),H291," ")</f>
        <v> </v>
      </c>
      <c r="X291" s="17" t="str">
        <f aca="false">IF((E291="m"),H291," ")</f>
        <v> </v>
      </c>
      <c r="Y291" s="17" t="str">
        <f aca="false">IF((E291="u"),H291," ")</f>
        <v> </v>
      </c>
      <c r="Z291" s="17" t="str">
        <f aca="false">IF((E291="a"),H291," ")</f>
        <v> </v>
      </c>
      <c r="AA291" s="17" t="str">
        <f aca="false">IF((E291="g"),H291," ")</f>
        <v> </v>
      </c>
      <c r="AB291" s="17" t="str">
        <f aca="false">IF((E291="h"),H291," ")</f>
        <v> </v>
      </c>
      <c r="AC291" s="30" t="str">
        <f aca="false">IF((E291="v"),H291," ")</f>
        <v> </v>
      </c>
      <c r="AD291" s="30" t="str">
        <f aca="false">IF((E291="n"),H291," ")</f>
        <v> </v>
      </c>
      <c r="AE291" s="17" t="str">
        <f aca="false">IF((E291="f"),H291," ")</f>
        <v> </v>
      </c>
      <c r="AF291" s="17" t="str">
        <f aca="false">IF((E291="l"),H291," ")</f>
        <v> </v>
      </c>
      <c r="AG291" s="17" t="str">
        <f aca="false">IF((E291="y"),H291," ")</f>
        <v> </v>
      </c>
      <c r="AH291" s="17" t="str">
        <f aca="false">IF((E291="z"),H291," ")</f>
        <v> </v>
      </c>
      <c r="AI291" s="17" t="str">
        <f aca="false">IF((E291="fa"),H291," ")</f>
        <v> </v>
      </c>
      <c r="AJ291" s="17" t="str">
        <f aca="false">IF((E291="e"),H291," ")</f>
        <v> </v>
      </c>
    </row>
    <row r="292" customFormat="false" ht="12" hidden="false" customHeight="false" outlineLevel="0" collapsed="false">
      <c r="A292" s="28"/>
      <c r="E292" s="2" t="str">
        <f aca="false">IF((F292&lt;&gt;0),"Enter Letter"," ")</f>
        <v> </v>
      </c>
      <c r="F292" s="30"/>
      <c r="G292" s="6" t="str">
        <f aca="false">IF(F292&lt;&gt;0,F292*G$2/(100+G$2)," ")</f>
        <v> </v>
      </c>
      <c r="H292" s="6" t="str">
        <f aca="false">IF((F292&lt;&gt;0),F292-G292," ")</f>
        <v> </v>
      </c>
      <c r="I292" s="5"/>
      <c r="L292" s="7" t="str">
        <f aca="false">IF(F292&lt;&gt;0,F292-K292," ")</f>
        <v> </v>
      </c>
      <c r="M292" s="8" t="str">
        <f aca="false">IF((F292-K292)&lt;&gt;0,M$1-A292," ")</f>
        <v> </v>
      </c>
      <c r="N292" s="5"/>
      <c r="O292" s="17" t="str">
        <f aca="false">IF((E292="s"),H292," ")</f>
        <v> </v>
      </c>
      <c r="P292" s="17" t="str">
        <f aca="false">IF((E292="c"),H292," ")</f>
        <v> </v>
      </c>
      <c r="Q292" s="17" t="str">
        <f aca="false">IF((E292="o"),H292," ")</f>
        <v> </v>
      </c>
      <c r="R292" s="17" t="str">
        <f aca="false">IF((E292="d"),H292," ")</f>
        <v> </v>
      </c>
      <c r="S292" s="17" t="str">
        <f aca="false">IF((E292="w"),H292," ")</f>
        <v> </v>
      </c>
      <c r="T292" s="17" t="str">
        <f aca="false">IF((E292="r"),H292," ")</f>
        <v> </v>
      </c>
      <c r="U292" s="17" t="str">
        <f aca="false">IF((E292="p"),H292," ")</f>
        <v> </v>
      </c>
      <c r="V292" s="17" t="str">
        <f aca="false">IF((E292="t"),H292," ")</f>
        <v> </v>
      </c>
      <c r="W292" s="17" t="str">
        <f aca="false">IF((E292="q"),H292," ")</f>
        <v> </v>
      </c>
      <c r="X292" s="17" t="str">
        <f aca="false">IF((E292="m"),H292," ")</f>
        <v> </v>
      </c>
      <c r="Y292" s="17" t="str">
        <f aca="false">IF((E292="u"),H292," ")</f>
        <v> </v>
      </c>
      <c r="Z292" s="17" t="str">
        <f aca="false">IF((E292="a"),H292," ")</f>
        <v> </v>
      </c>
      <c r="AA292" s="17" t="str">
        <f aca="false">IF((E292="g"),H292," ")</f>
        <v> </v>
      </c>
      <c r="AB292" s="17" t="str">
        <f aca="false">IF((E292="h"),H292," ")</f>
        <v> </v>
      </c>
      <c r="AC292" s="30" t="str">
        <f aca="false">IF((E292="v"),H292," ")</f>
        <v> </v>
      </c>
      <c r="AD292" s="30" t="str">
        <f aca="false">IF((E292="n"),H292," ")</f>
        <v> </v>
      </c>
      <c r="AE292" s="17" t="str">
        <f aca="false">IF((E292="f"),H292," ")</f>
        <v> </v>
      </c>
      <c r="AF292" s="17" t="str">
        <f aca="false">IF((E292="l"),H292," ")</f>
        <v> </v>
      </c>
      <c r="AG292" s="17" t="str">
        <f aca="false">IF((E292="y"),H292," ")</f>
        <v> </v>
      </c>
      <c r="AH292" s="17" t="str">
        <f aca="false">IF((E292="z"),H292," ")</f>
        <v> </v>
      </c>
      <c r="AI292" s="17" t="str">
        <f aca="false">IF((E292="fa"),H292," ")</f>
        <v> </v>
      </c>
      <c r="AJ292" s="17" t="str">
        <f aca="false">IF((E292="e"),H292," ")</f>
        <v> </v>
      </c>
    </row>
    <row r="293" customFormat="false" ht="12" hidden="false" customHeight="false" outlineLevel="0" collapsed="false">
      <c r="A293" s="28"/>
      <c r="E293" s="2" t="str">
        <f aca="false">IF((F293&lt;&gt;0),"Enter Letter"," ")</f>
        <v> </v>
      </c>
      <c r="F293" s="30"/>
      <c r="G293" s="6" t="str">
        <f aca="false">IF(F293&lt;&gt;0,F293*G$2/(100+G$2)," ")</f>
        <v> </v>
      </c>
      <c r="H293" s="6" t="str">
        <f aca="false">IF((F293&lt;&gt;0),F293-G293," ")</f>
        <v> </v>
      </c>
      <c r="I293" s="5"/>
      <c r="L293" s="7" t="str">
        <f aca="false">IF(F293&lt;&gt;0,F293-K293," ")</f>
        <v> </v>
      </c>
      <c r="M293" s="8" t="str">
        <f aca="false">IF((F293-K293)&lt;&gt;0,M$1-A293," ")</f>
        <v> </v>
      </c>
      <c r="N293" s="5"/>
      <c r="O293" s="17" t="str">
        <f aca="false">IF((E293="s"),H293," ")</f>
        <v> </v>
      </c>
      <c r="P293" s="17" t="str">
        <f aca="false">IF((E293="c"),H293," ")</f>
        <v> </v>
      </c>
      <c r="Q293" s="17" t="str">
        <f aca="false">IF((E293="o"),H293," ")</f>
        <v> </v>
      </c>
      <c r="R293" s="17" t="str">
        <f aca="false">IF((E293="d"),H293," ")</f>
        <v> </v>
      </c>
      <c r="S293" s="17" t="str">
        <f aca="false">IF((E293="w"),H293," ")</f>
        <v> </v>
      </c>
      <c r="T293" s="17" t="str">
        <f aca="false">IF((E293="r"),H293," ")</f>
        <v> </v>
      </c>
      <c r="U293" s="17" t="str">
        <f aca="false">IF((E293="p"),H293," ")</f>
        <v> </v>
      </c>
      <c r="V293" s="17" t="str">
        <f aca="false">IF((E293="t"),H293," ")</f>
        <v> </v>
      </c>
      <c r="W293" s="17" t="str">
        <f aca="false">IF((E293="q"),H293," ")</f>
        <v> </v>
      </c>
      <c r="X293" s="17" t="str">
        <f aca="false">IF((E293="m"),H293," ")</f>
        <v> </v>
      </c>
      <c r="Y293" s="17" t="str">
        <f aca="false">IF((E293="u"),H293," ")</f>
        <v> </v>
      </c>
      <c r="Z293" s="17" t="str">
        <f aca="false">IF((E293="a"),H293," ")</f>
        <v> </v>
      </c>
      <c r="AA293" s="17" t="str">
        <f aca="false">IF((E293="g"),H293," ")</f>
        <v> </v>
      </c>
      <c r="AB293" s="17" t="str">
        <f aca="false">IF((E293="h"),H293," ")</f>
        <v> </v>
      </c>
      <c r="AC293" s="30" t="str">
        <f aca="false">IF((E293="v"),H293," ")</f>
        <v> </v>
      </c>
      <c r="AD293" s="30" t="str">
        <f aca="false">IF((E293="n"),H293," ")</f>
        <v> </v>
      </c>
      <c r="AE293" s="17" t="str">
        <f aca="false">IF((E293="f"),H293," ")</f>
        <v> </v>
      </c>
      <c r="AF293" s="17" t="str">
        <f aca="false">IF((E293="l"),H293," ")</f>
        <v> </v>
      </c>
      <c r="AG293" s="17" t="str">
        <f aca="false">IF((E293="y"),H293," ")</f>
        <v> </v>
      </c>
      <c r="AH293" s="17" t="str">
        <f aca="false">IF((E293="z"),H293," ")</f>
        <v> </v>
      </c>
      <c r="AI293" s="17" t="str">
        <f aca="false">IF((E293="fa"),H293," ")</f>
        <v> </v>
      </c>
      <c r="AJ293" s="17" t="str">
        <f aca="false">IF((E293="e"),H293," ")</f>
        <v> </v>
      </c>
    </row>
    <row r="294" customFormat="false" ht="12" hidden="false" customHeight="false" outlineLevel="0" collapsed="false">
      <c r="A294" s="28"/>
      <c r="E294" s="2" t="str">
        <f aca="false">IF((F294&lt;&gt;0),"Enter Letter"," ")</f>
        <v> </v>
      </c>
      <c r="F294" s="30"/>
      <c r="G294" s="6" t="str">
        <f aca="false">IF(F294&lt;&gt;0,F294*G$2/(100+G$2)," ")</f>
        <v> </v>
      </c>
      <c r="H294" s="6" t="str">
        <f aca="false">IF((F294&lt;&gt;0),F294-G294," ")</f>
        <v> </v>
      </c>
      <c r="I294" s="5"/>
      <c r="L294" s="7" t="str">
        <f aca="false">IF(F294&lt;&gt;0,F294-K294," ")</f>
        <v> </v>
      </c>
      <c r="M294" s="8" t="str">
        <f aca="false">IF((F294-K294)&lt;&gt;0,M$1-A294," ")</f>
        <v> </v>
      </c>
      <c r="N294" s="5"/>
      <c r="O294" s="17" t="str">
        <f aca="false">IF((E294="s"),H294," ")</f>
        <v> </v>
      </c>
      <c r="P294" s="17" t="str">
        <f aca="false">IF((E294="c"),H294," ")</f>
        <v> </v>
      </c>
      <c r="Q294" s="17" t="str">
        <f aca="false">IF((E294="o"),H294," ")</f>
        <v> </v>
      </c>
      <c r="R294" s="17" t="str">
        <f aca="false">IF((E294="d"),H294," ")</f>
        <v> </v>
      </c>
      <c r="S294" s="17" t="str">
        <f aca="false">IF((E294="w"),H294," ")</f>
        <v> </v>
      </c>
      <c r="T294" s="17" t="str">
        <f aca="false">IF((E294="r"),H294," ")</f>
        <v> </v>
      </c>
      <c r="U294" s="17" t="str">
        <f aca="false">IF((E294="p"),H294," ")</f>
        <v> </v>
      </c>
      <c r="V294" s="17" t="str">
        <f aca="false">IF((E294="t"),H294," ")</f>
        <v> </v>
      </c>
      <c r="W294" s="17" t="str">
        <f aca="false">IF((E294="q"),H294," ")</f>
        <v> </v>
      </c>
      <c r="X294" s="17" t="str">
        <f aca="false">IF((E294="m"),H294," ")</f>
        <v> </v>
      </c>
      <c r="Y294" s="17" t="str">
        <f aca="false">IF((E294="u"),H294," ")</f>
        <v> </v>
      </c>
      <c r="Z294" s="17" t="str">
        <f aca="false">IF((E294="a"),H294," ")</f>
        <v> </v>
      </c>
      <c r="AA294" s="17" t="str">
        <f aca="false">IF((E294="g"),H294," ")</f>
        <v> </v>
      </c>
      <c r="AB294" s="17" t="str">
        <f aca="false">IF((E294="h"),H294," ")</f>
        <v> </v>
      </c>
      <c r="AC294" s="30" t="str">
        <f aca="false">IF((E294="v"),H294," ")</f>
        <v> </v>
      </c>
      <c r="AD294" s="30" t="str">
        <f aca="false">IF((E294="n"),H294," ")</f>
        <v> </v>
      </c>
      <c r="AE294" s="17" t="str">
        <f aca="false">IF((E294="f"),H294," ")</f>
        <v> </v>
      </c>
      <c r="AF294" s="17" t="str">
        <f aca="false">IF((E294="l"),H294," ")</f>
        <v> </v>
      </c>
      <c r="AG294" s="17" t="str">
        <f aca="false">IF((E294="y"),H294," ")</f>
        <v> </v>
      </c>
      <c r="AH294" s="17" t="str">
        <f aca="false">IF((E294="z"),H294," ")</f>
        <v> </v>
      </c>
      <c r="AI294" s="17" t="str">
        <f aca="false">IF((E294="fa"),H294," ")</f>
        <v> </v>
      </c>
      <c r="AJ294" s="17" t="str">
        <f aca="false">IF((E294="e"),H294," ")</f>
        <v> </v>
      </c>
    </row>
    <row r="295" customFormat="false" ht="12" hidden="false" customHeight="false" outlineLevel="0" collapsed="false">
      <c r="A295" s="28"/>
      <c r="E295" s="2" t="str">
        <f aca="false">IF((F295&lt;&gt;0),"Enter Letter"," ")</f>
        <v> </v>
      </c>
      <c r="F295" s="30"/>
      <c r="G295" s="6" t="str">
        <f aca="false">IF(F295&lt;&gt;0,F295*G$2/(100+G$2)," ")</f>
        <v> </v>
      </c>
      <c r="H295" s="6" t="str">
        <f aca="false">IF((F295&lt;&gt;0),F295-G295," ")</f>
        <v> </v>
      </c>
      <c r="I295" s="5"/>
      <c r="L295" s="7" t="str">
        <f aca="false">IF(F295&lt;&gt;0,F295-K295," ")</f>
        <v> </v>
      </c>
      <c r="M295" s="8" t="str">
        <f aca="false">IF((F295-K295)&lt;&gt;0,M$1-A295," ")</f>
        <v> </v>
      </c>
      <c r="N295" s="5"/>
      <c r="O295" s="17" t="str">
        <f aca="false">IF((E295="s"),H295," ")</f>
        <v> </v>
      </c>
      <c r="P295" s="17" t="str">
        <f aca="false">IF((E295="c"),H295," ")</f>
        <v> </v>
      </c>
      <c r="Q295" s="17" t="str">
        <f aca="false">IF((E295="o"),H295," ")</f>
        <v> </v>
      </c>
      <c r="R295" s="17" t="str">
        <f aca="false">IF((E295="d"),H295," ")</f>
        <v> </v>
      </c>
      <c r="S295" s="17" t="str">
        <f aca="false">IF((E295="w"),H295," ")</f>
        <v> </v>
      </c>
      <c r="T295" s="17" t="str">
        <f aca="false">IF((E295="r"),H295," ")</f>
        <v> </v>
      </c>
      <c r="U295" s="17" t="str">
        <f aca="false">IF((E295="p"),H295," ")</f>
        <v> </v>
      </c>
      <c r="V295" s="17" t="str">
        <f aca="false">IF((E295="t"),H295," ")</f>
        <v> </v>
      </c>
      <c r="W295" s="17" t="str">
        <f aca="false">IF((E295="q"),H295," ")</f>
        <v> </v>
      </c>
      <c r="X295" s="17" t="str">
        <f aca="false">IF((E295="m"),H295," ")</f>
        <v> </v>
      </c>
      <c r="Y295" s="17" t="str">
        <f aca="false">IF((E295="u"),H295," ")</f>
        <v> </v>
      </c>
      <c r="Z295" s="17" t="str">
        <f aca="false">IF((E295="a"),H295," ")</f>
        <v> </v>
      </c>
      <c r="AA295" s="17" t="str">
        <f aca="false">IF((E295="g"),H295," ")</f>
        <v> </v>
      </c>
      <c r="AB295" s="17" t="str">
        <f aca="false">IF((E295="h"),H295," ")</f>
        <v> </v>
      </c>
      <c r="AC295" s="30" t="str">
        <f aca="false">IF((E295="v"),H295," ")</f>
        <v> </v>
      </c>
      <c r="AD295" s="30" t="str">
        <f aca="false">IF((E295="n"),H295," ")</f>
        <v> </v>
      </c>
      <c r="AE295" s="17" t="str">
        <f aca="false">IF((E295="f"),H295," ")</f>
        <v> </v>
      </c>
      <c r="AF295" s="17" t="str">
        <f aca="false">IF((E295="l"),H295," ")</f>
        <v> </v>
      </c>
      <c r="AG295" s="17" t="str">
        <f aca="false">IF((E295="y"),H295," ")</f>
        <v> </v>
      </c>
      <c r="AH295" s="17" t="str">
        <f aca="false">IF((E295="z"),H295," ")</f>
        <v> </v>
      </c>
      <c r="AI295" s="17" t="str">
        <f aca="false">IF((E295="fa"),H295," ")</f>
        <v> </v>
      </c>
      <c r="AJ295" s="17" t="str">
        <f aca="false">IF((E295="e"),H295," ")</f>
        <v> </v>
      </c>
    </row>
    <row r="296" customFormat="false" ht="12" hidden="false" customHeight="false" outlineLevel="0" collapsed="false">
      <c r="A296" s="28"/>
      <c r="E296" s="2" t="str">
        <f aca="false">IF((F296&lt;&gt;0),"Enter Letter"," ")</f>
        <v> </v>
      </c>
      <c r="F296" s="30"/>
      <c r="G296" s="6" t="str">
        <f aca="false">IF(F296&lt;&gt;0,F296*G$2/(100+G$2)," ")</f>
        <v> </v>
      </c>
      <c r="H296" s="6" t="str">
        <f aca="false">IF((F296&lt;&gt;0),F296-G296," ")</f>
        <v> </v>
      </c>
      <c r="I296" s="5"/>
      <c r="L296" s="7" t="str">
        <f aca="false">IF(F296&lt;&gt;0,F296-K296," ")</f>
        <v> </v>
      </c>
      <c r="M296" s="8" t="str">
        <f aca="false">IF((F296-K296)&lt;&gt;0,M$1-A296," ")</f>
        <v> </v>
      </c>
      <c r="N296" s="5"/>
      <c r="O296" s="17" t="str">
        <f aca="false">IF((E296="s"),H296," ")</f>
        <v> </v>
      </c>
      <c r="P296" s="17" t="str">
        <f aca="false">IF((E296="c"),H296," ")</f>
        <v> </v>
      </c>
      <c r="Q296" s="17" t="str">
        <f aca="false">IF((E296="o"),H296," ")</f>
        <v> </v>
      </c>
      <c r="R296" s="17" t="str">
        <f aca="false">IF((E296="d"),H296," ")</f>
        <v> </v>
      </c>
      <c r="S296" s="17" t="str">
        <f aca="false">IF((E296="w"),H296," ")</f>
        <v> </v>
      </c>
      <c r="T296" s="17" t="str">
        <f aca="false">IF((E296="r"),H296," ")</f>
        <v> </v>
      </c>
      <c r="U296" s="17" t="str">
        <f aca="false">IF((E296="p"),H296," ")</f>
        <v> </v>
      </c>
      <c r="V296" s="17" t="str">
        <f aca="false">IF((E296="t"),H296," ")</f>
        <v> </v>
      </c>
      <c r="W296" s="17" t="str">
        <f aca="false">IF((E296="q"),H296," ")</f>
        <v> </v>
      </c>
      <c r="X296" s="17" t="str">
        <f aca="false">IF((E296="m"),H296," ")</f>
        <v> </v>
      </c>
      <c r="Y296" s="17" t="str">
        <f aca="false">IF((E296="u"),H296," ")</f>
        <v> </v>
      </c>
      <c r="Z296" s="17" t="str">
        <f aca="false">IF((E296="a"),H296," ")</f>
        <v> </v>
      </c>
      <c r="AA296" s="17" t="str">
        <f aca="false">IF((E296="g"),H296," ")</f>
        <v> </v>
      </c>
      <c r="AB296" s="17" t="str">
        <f aca="false">IF((E296="h"),H296," ")</f>
        <v> </v>
      </c>
      <c r="AC296" s="30" t="str">
        <f aca="false">IF((E296="v"),H296," ")</f>
        <v> </v>
      </c>
      <c r="AD296" s="30" t="str">
        <f aca="false">IF((E296="n"),H296," ")</f>
        <v> </v>
      </c>
      <c r="AE296" s="17" t="str">
        <f aca="false">IF((E296="f"),H296," ")</f>
        <v> </v>
      </c>
      <c r="AF296" s="17" t="str">
        <f aca="false">IF((E296="l"),H296," ")</f>
        <v> </v>
      </c>
      <c r="AG296" s="17" t="str">
        <f aca="false">IF((E296="y"),H296," ")</f>
        <v> </v>
      </c>
      <c r="AH296" s="17" t="str">
        <f aca="false">IF((E296="z"),H296," ")</f>
        <v> </v>
      </c>
      <c r="AI296" s="17" t="str">
        <f aca="false">IF((E296="fa"),H296," ")</f>
        <v> </v>
      </c>
      <c r="AJ296" s="17" t="str">
        <f aca="false">IF((E296="e"),H296," ")</f>
        <v> </v>
      </c>
    </row>
    <row r="297" customFormat="false" ht="12" hidden="false" customHeight="false" outlineLevel="0" collapsed="false">
      <c r="A297" s="28"/>
      <c r="E297" s="2" t="str">
        <f aca="false">IF((F297&lt;&gt;0),"Enter Letter"," ")</f>
        <v> </v>
      </c>
      <c r="F297" s="30"/>
      <c r="G297" s="6" t="str">
        <f aca="false">IF(F297&lt;&gt;0,F297*G$2/(100+G$2)," ")</f>
        <v> </v>
      </c>
      <c r="H297" s="6" t="str">
        <f aca="false">IF((F297&lt;&gt;0),F297-G297," ")</f>
        <v> </v>
      </c>
      <c r="I297" s="5"/>
      <c r="L297" s="7" t="str">
        <f aca="false">IF(F297&lt;&gt;0,F297-K297," ")</f>
        <v> </v>
      </c>
      <c r="M297" s="8" t="str">
        <f aca="false">IF((F297-K297)&lt;&gt;0,M$1-A297," ")</f>
        <v> </v>
      </c>
      <c r="N297" s="5"/>
      <c r="O297" s="17" t="str">
        <f aca="false">IF((E297="s"),H297," ")</f>
        <v> </v>
      </c>
      <c r="P297" s="17" t="str">
        <f aca="false">IF((E297="c"),H297," ")</f>
        <v> </v>
      </c>
      <c r="Q297" s="17" t="str">
        <f aca="false">IF((E297="o"),H297," ")</f>
        <v> </v>
      </c>
      <c r="R297" s="17" t="str">
        <f aca="false">IF((E297="d"),H297," ")</f>
        <v> </v>
      </c>
      <c r="S297" s="17" t="str">
        <f aca="false">IF((E297="w"),H297," ")</f>
        <v> </v>
      </c>
      <c r="T297" s="17" t="str">
        <f aca="false">IF((E297="r"),H297," ")</f>
        <v> </v>
      </c>
      <c r="U297" s="17" t="str">
        <f aca="false">IF((E297="p"),H297," ")</f>
        <v> </v>
      </c>
      <c r="V297" s="17" t="str">
        <f aca="false">IF((E297="t"),H297," ")</f>
        <v> </v>
      </c>
      <c r="W297" s="17" t="str">
        <f aca="false">IF((E297="q"),H297," ")</f>
        <v> </v>
      </c>
      <c r="X297" s="17" t="str">
        <f aca="false">IF((E297="m"),H297," ")</f>
        <v> </v>
      </c>
      <c r="Y297" s="17" t="str">
        <f aca="false">IF((E297="u"),H297," ")</f>
        <v> </v>
      </c>
      <c r="Z297" s="17" t="str">
        <f aca="false">IF((E297="a"),H297," ")</f>
        <v> </v>
      </c>
      <c r="AA297" s="17" t="str">
        <f aca="false">IF((E297="g"),H297," ")</f>
        <v> </v>
      </c>
      <c r="AB297" s="17" t="str">
        <f aca="false">IF((E297="h"),H297," ")</f>
        <v> </v>
      </c>
      <c r="AC297" s="30" t="str">
        <f aca="false">IF((E297="v"),H297," ")</f>
        <v> </v>
      </c>
      <c r="AD297" s="30" t="str">
        <f aca="false">IF((E297="n"),H297," ")</f>
        <v> </v>
      </c>
      <c r="AE297" s="17" t="str">
        <f aca="false">IF((E297="f"),H297," ")</f>
        <v> </v>
      </c>
      <c r="AF297" s="17" t="str">
        <f aca="false">IF((E297="l"),H297," ")</f>
        <v> </v>
      </c>
      <c r="AG297" s="17" t="str">
        <f aca="false">IF((E297="y"),H297," ")</f>
        <v> </v>
      </c>
      <c r="AH297" s="17" t="str">
        <f aca="false">IF((E297="z"),H297," ")</f>
        <v> </v>
      </c>
      <c r="AI297" s="17" t="str">
        <f aca="false">IF((E297="fa"),H297," ")</f>
        <v> </v>
      </c>
      <c r="AJ297" s="17" t="str">
        <f aca="false">IF((E297="e"),H297," ")</f>
        <v> </v>
      </c>
    </row>
    <row r="298" customFormat="false" ht="12" hidden="false" customHeight="false" outlineLevel="0" collapsed="false">
      <c r="A298" s="28"/>
      <c r="E298" s="2" t="str">
        <f aca="false">IF((F298&lt;&gt;0),"Enter Letter"," ")</f>
        <v> </v>
      </c>
      <c r="F298" s="30"/>
      <c r="G298" s="6" t="str">
        <f aca="false">IF(F298&lt;&gt;0,F298*G$2/(100+G$2)," ")</f>
        <v> </v>
      </c>
      <c r="H298" s="6" t="str">
        <f aca="false">IF((F298&lt;&gt;0),F298-G298," ")</f>
        <v> </v>
      </c>
      <c r="I298" s="5"/>
      <c r="L298" s="7" t="str">
        <f aca="false">IF(F298&lt;&gt;0,F298-K298," ")</f>
        <v> </v>
      </c>
      <c r="M298" s="8" t="str">
        <f aca="false">IF((F298-K298)&lt;&gt;0,M$1-A298," ")</f>
        <v> </v>
      </c>
      <c r="N298" s="5"/>
      <c r="O298" s="17" t="str">
        <f aca="false">IF((E298="s"),H298," ")</f>
        <v> </v>
      </c>
      <c r="P298" s="17" t="str">
        <f aca="false">IF((E298="c"),H298," ")</f>
        <v> </v>
      </c>
      <c r="Q298" s="17" t="str">
        <f aca="false">IF((E298="o"),H298," ")</f>
        <v> </v>
      </c>
      <c r="R298" s="17" t="str">
        <f aca="false">IF((E298="d"),H298," ")</f>
        <v> </v>
      </c>
      <c r="S298" s="17" t="str">
        <f aca="false">IF((E298="w"),H298," ")</f>
        <v> </v>
      </c>
      <c r="T298" s="17" t="str">
        <f aca="false">IF((E298="r"),H298," ")</f>
        <v> </v>
      </c>
      <c r="U298" s="17" t="str">
        <f aca="false">IF((E298="p"),H298," ")</f>
        <v> </v>
      </c>
      <c r="V298" s="17" t="str">
        <f aca="false">IF((E298="t"),H298," ")</f>
        <v> </v>
      </c>
      <c r="W298" s="17" t="str">
        <f aca="false">IF((E298="q"),H298," ")</f>
        <v> </v>
      </c>
      <c r="X298" s="17" t="str">
        <f aca="false">IF((E298="m"),H298," ")</f>
        <v> </v>
      </c>
      <c r="Y298" s="17" t="str">
        <f aca="false">IF((E298="u"),H298," ")</f>
        <v> </v>
      </c>
      <c r="Z298" s="17" t="str">
        <f aca="false">IF((E298="a"),H298," ")</f>
        <v> </v>
      </c>
      <c r="AA298" s="17" t="str">
        <f aca="false">IF((E298="g"),H298," ")</f>
        <v> </v>
      </c>
      <c r="AB298" s="17" t="str">
        <f aca="false">IF((E298="h"),H298," ")</f>
        <v> </v>
      </c>
      <c r="AC298" s="30" t="str">
        <f aca="false">IF((E298="v"),H298," ")</f>
        <v> </v>
      </c>
      <c r="AD298" s="30" t="str">
        <f aca="false">IF((E298="n"),H298," ")</f>
        <v> </v>
      </c>
      <c r="AE298" s="17" t="str">
        <f aca="false">IF((E298="f"),H298," ")</f>
        <v> </v>
      </c>
      <c r="AF298" s="17" t="str">
        <f aca="false">IF((E298="l"),H298," ")</f>
        <v> </v>
      </c>
      <c r="AG298" s="17" t="str">
        <f aca="false">IF((E298="y"),H298," ")</f>
        <v> </v>
      </c>
      <c r="AH298" s="17" t="str">
        <f aca="false">IF((E298="z"),H298," ")</f>
        <v> </v>
      </c>
      <c r="AI298" s="17" t="str">
        <f aca="false">IF((E298="fa"),H298," ")</f>
        <v> </v>
      </c>
      <c r="AJ298" s="17" t="str">
        <f aca="false">IF((E298="e"),H298," ")</f>
        <v> </v>
      </c>
    </row>
    <row r="299" customFormat="false" ht="12" hidden="false" customHeight="false" outlineLevel="0" collapsed="false">
      <c r="A299" s="28"/>
      <c r="E299" s="2" t="str">
        <f aca="false">IF((F299&lt;&gt;0),"Enter Letter"," ")</f>
        <v> </v>
      </c>
      <c r="F299" s="30"/>
      <c r="G299" s="6" t="str">
        <f aca="false">IF(F299&lt;&gt;0,F299*G$2/(100+G$2)," ")</f>
        <v> </v>
      </c>
      <c r="H299" s="6" t="str">
        <f aca="false">IF((F299&lt;&gt;0),F299-G299," ")</f>
        <v> </v>
      </c>
      <c r="I299" s="5"/>
      <c r="L299" s="7" t="str">
        <f aca="false">IF(F299&lt;&gt;0,F299-K299," ")</f>
        <v> </v>
      </c>
      <c r="M299" s="8" t="str">
        <f aca="false">IF((F299-K299)&lt;&gt;0,M$1-A299," ")</f>
        <v> </v>
      </c>
      <c r="N299" s="5"/>
      <c r="O299" s="17" t="str">
        <f aca="false">IF((E299="s"),H299," ")</f>
        <v> </v>
      </c>
      <c r="P299" s="17" t="str">
        <f aca="false">IF((E299="c"),H299," ")</f>
        <v> </v>
      </c>
      <c r="Q299" s="17" t="str">
        <f aca="false">IF((E299="o"),H299," ")</f>
        <v> </v>
      </c>
      <c r="R299" s="17" t="str">
        <f aca="false">IF((E299="d"),H299," ")</f>
        <v> </v>
      </c>
      <c r="S299" s="17" t="str">
        <f aca="false">IF((E299="w"),H299," ")</f>
        <v> </v>
      </c>
      <c r="T299" s="17" t="str">
        <f aca="false">IF((E299="r"),H299," ")</f>
        <v> </v>
      </c>
      <c r="U299" s="17" t="str">
        <f aca="false">IF((E299="p"),H299," ")</f>
        <v> </v>
      </c>
      <c r="V299" s="17" t="str">
        <f aca="false">IF((E299="t"),H299," ")</f>
        <v> </v>
      </c>
      <c r="W299" s="17" t="str">
        <f aca="false">IF((E299="q"),H299," ")</f>
        <v> </v>
      </c>
      <c r="X299" s="17" t="str">
        <f aca="false">IF((E299="m"),H299," ")</f>
        <v> </v>
      </c>
      <c r="Y299" s="17" t="str">
        <f aca="false">IF((E299="u"),H299," ")</f>
        <v> </v>
      </c>
      <c r="Z299" s="17" t="str">
        <f aca="false">IF((E299="a"),H299," ")</f>
        <v> </v>
      </c>
      <c r="AA299" s="17" t="str">
        <f aca="false">IF((E299="g"),H299," ")</f>
        <v> </v>
      </c>
      <c r="AB299" s="17" t="str">
        <f aca="false">IF((E299="h"),H299," ")</f>
        <v> </v>
      </c>
      <c r="AC299" s="30" t="str">
        <f aca="false">IF((E299="v"),H299," ")</f>
        <v> </v>
      </c>
      <c r="AD299" s="30" t="str">
        <f aca="false">IF((E299="n"),H299," ")</f>
        <v> </v>
      </c>
      <c r="AE299" s="17" t="str">
        <f aca="false">IF((E299="f"),H299," ")</f>
        <v> </v>
      </c>
      <c r="AF299" s="17" t="str">
        <f aca="false">IF((E299="l"),H299," ")</f>
        <v> </v>
      </c>
      <c r="AG299" s="17" t="str">
        <f aca="false">IF((E299="y"),H299," ")</f>
        <v> </v>
      </c>
      <c r="AH299" s="17" t="str">
        <f aca="false">IF((E299="z"),H299," ")</f>
        <v> </v>
      </c>
      <c r="AI299" s="17" t="str">
        <f aca="false">IF((E299="fa"),H299," ")</f>
        <v> </v>
      </c>
      <c r="AJ299" s="17" t="str">
        <f aca="false">IF((E299="e"),H299," ")</f>
        <v> </v>
      </c>
    </row>
    <row r="300" customFormat="false" ht="12" hidden="false" customHeight="false" outlineLevel="0" collapsed="false">
      <c r="A300" s="32"/>
      <c r="B300" s="33"/>
      <c r="C300" s="34"/>
      <c r="D300" s="33"/>
      <c r="E300" s="46" t="str">
        <f aca="false">IF((F300&lt;&gt;0),"Enter Letter"," ")</f>
        <v> </v>
      </c>
      <c r="F300" s="47"/>
      <c r="G300" s="36" t="str">
        <f aca="false">IF(F300&lt;&gt;0,F300*G$2/(100+G$2)," ")</f>
        <v> </v>
      </c>
      <c r="H300" s="36" t="str">
        <f aca="false">IF((F300&lt;&gt;0),F300-G300," ")</f>
        <v> </v>
      </c>
      <c r="I300" s="48"/>
      <c r="J300" s="36"/>
      <c r="K300" s="36"/>
      <c r="L300" s="37" t="str">
        <f aca="false">IF(F300&lt;&gt;0,F300-K300," ")</f>
        <v> </v>
      </c>
      <c r="M300" s="38" t="str">
        <f aca="false">IF((F300-K300)&lt;&gt;0,M$1-A300," ")</f>
        <v> </v>
      </c>
      <c r="N300" s="48"/>
      <c r="O300" s="49" t="str">
        <f aca="false">IF((E300="s"),H300," ")</f>
        <v> </v>
      </c>
      <c r="P300" s="49" t="str">
        <f aca="false">IF((E300="c"),H300," ")</f>
        <v> </v>
      </c>
      <c r="Q300" s="49" t="str">
        <f aca="false">IF((E300="o"),H300," ")</f>
        <v> </v>
      </c>
      <c r="R300" s="49" t="str">
        <f aca="false">IF((E300="d"),H300," ")</f>
        <v> </v>
      </c>
      <c r="S300" s="49" t="str">
        <f aca="false">IF((E300="w"),H300," ")</f>
        <v> </v>
      </c>
      <c r="T300" s="49" t="str">
        <f aca="false">IF((E300="r"),H300," ")</f>
        <v> </v>
      </c>
      <c r="U300" s="49" t="str">
        <f aca="false">IF((E300="p"),H300," ")</f>
        <v> </v>
      </c>
      <c r="V300" s="49" t="str">
        <f aca="false">IF((E300="t"),H300," ")</f>
        <v> </v>
      </c>
      <c r="W300" s="49" t="str">
        <f aca="false">IF((E300="q"),H300," ")</f>
        <v> </v>
      </c>
      <c r="X300" s="49" t="str">
        <f aca="false">IF((E300="m"),H300," ")</f>
        <v> </v>
      </c>
      <c r="Y300" s="49" t="str">
        <f aca="false">IF((E300="u"),H300," ")</f>
        <v> </v>
      </c>
      <c r="Z300" s="49" t="str">
        <f aca="false">IF((E300="a"),H300," ")</f>
        <v> </v>
      </c>
      <c r="AA300" s="49" t="str">
        <f aca="false">IF((E300="g"),H300," ")</f>
        <v> </v>
      </c>
      <c r="AB300" s="49" t="str">
        <f aca="false">IF((E300="h"),H300," ")</f>
        <v> </v>
      </c>
      <c r="AC300" s="47" t="str">
        <f aca="false">IF((E300="v"),H300," ")</f>
        <v> </v>
      </c>
      <c r="AD300" s="47" t="str">
        <f aca="false">IF((E300="n"),H300," ")</f>
        <v> </v>
      </c>
      <c r="AE300" s="49" t="str">
        <f aca="false">IF((E300="f"),H300," ")</f>
        <v> </v>
      </c>
      <c r="AF300" s="49" t="str">
        <f aca="false">IF((E300="l"),H300," ")</f>
        <v> </v>
      </c>
      <c r="AG300" s="49" t="str">
        <f aca="false">IF((E300="y"),H300," ")</f>
        <v> </v>
      </c>
      <c r="AH300" s="49" t="str">
        <f aca="false">IF((E300="z"),H300," ")</f>
        <v> </v>
      </c>
      <c r="AI300" s="49" t="str">
        <f aca="false">IF((E300="fa"),H300," ")</f>
        <v> </v>
      </c>
      <c r="AJ300" s="49" t="str">
        <f aca="false">IF((E300="e"),H300," ")</f>
        <v> </v>
      </c>
      <c r="AK300" s="49"/>
      <c r="AL300" s="49"/>
    </row>
    <row r="301" customFormat="false" ht="12" hidden="false" customHeight="false" outlineLevel="0" collapsed="false">
      <c r="A301" s="28"/>
    </row>
  </sheetData>
  <mergeCells count="37">
    <mergeCell ref="C1:C4"/>
    <mergeCell ref="D1:E1"/>
    <mergeCell ref="I1:I4"/>
    <mergeCell ref="J1:J4"/>
    <mergeCell ref="N1:N4"/>
    <mergeCell ref="AJ1:AJ4"/>
    <mergeCell ref="A2:A4"/>
    <mergeCell ref="B2:B4"/>
    <mergeCell ref="D2:D4"/>
    <mergeCell ref="E2:E4"/>
    <mergeCell ref="F2:F4"/>
    <mergeCell ref="H2:H4"/>
    <mergeCell ref="K2:M2"/>
    <mergeCell ref="O2:Q2"/>
    <mergeCell ref="R2:R3"/>
    <mergeCell ref="S2:S3"/>
    <mergeCell ref="T2:U2"/>
    <mergeCell ref="V2:V3"/>
    <mergeCell ref="W2:W3"/>
    <mergeCell ref="X2:X3"/>
    <mergeCell ref="Y2:Y3"/>
    <mergeCell ref="Z2:Z3"/>
    <mergeCell ref="AA2:AA3"/>
    <mergeCell ref="AB2:AB3"/>
    <mergeCell ref="AC2:AC3"/>
    <mergeCell ref="AD2:AD3"/>
    <mergeCell ref="AE2:AE3"/>
    <mergeCell ref="AF2:AF3"/>
    <mergeCell ref="AG2:AG3"/>
    <mergeCell ref="AH2:AH3"/>
    <mergeCell ref="AI2:AI3"/>
    <mergeCell ref="AK2:AL2"/>
    <mergeCell ref="G3:G4"/>
    <mergeCell ref="K3:K4"/>
    <mergeCell ref="L3:L4"/>
    <mergeCell ref="M3:M4"/>
    <mergeCell ref="AK3:AL3"/>
  </mergeCells>
  <dataValidations count="4">
    <dataValidation allowBlank="true" error="While dates outside the financial year can be accepted for valid transactions the date may not have been entered in the correct format.&#10;&#10;CORRECT DATE FORMAT IS DD/MM/YY&#10;&#10;Example 25/12/08 then appears as 25-Dec-08&#10;" errorStyle="stop" errorTitle="DATE ERROR" operator="between" showDropDown="false" showErrorMessage="true" showInputMessage="false" sqref="A5:A300" type="date">
      <formula1>38353</formula1>
      <formula2>53327</formula2>
    </dataValidation>
    <dataValidation allowBlank="true" errorStyle="stop" operator="between" prompt="Entries below the line are not included in column totals or analysed.&#10;&#10;To accomodate additional entries the formulae in column totals need changing and sales analysis columns formulae added " promptTitle="PLEASE NOTE" showDropDown="false" showErrorMessage="true" showInputMessage="true" sqref="A301" type="none">
      <formula1>0</formula1>
      <formula2>0</formula2>
    </dataValidation>
    <dataValidation allowBlank="true" errorStyle="stop" operator="between" prompt="An amount in this cell is an indication column H does not equal column F minus G or the analysis in columns O to AI does not add up to total in column H&#10;&#10;CHECK ENTRY CODE LETTERS or ANY MANUAL ENTRIES IN COL G to H and COL O to AI&#10;" promptTitle="ERROR ALERT" showDropDown="false" showErrorMessage="true" showInputMessage="true" sqref="A1" type="none">
      <formula1>0</formula1>
      <formula2>0</formula2>
    </dataValidation>
    <dataValidation allowBlank="true" errorStyle="stop" operator="between" showDropDown="false" showErrorMessage="true" showInputMessage="false" sqref="E5:E300" type="list">
      <formula1>$O$4:$AI$4</formula1>
      <formula2>0</formula2>
    </dataValidation>
  </dataValidations>
  <printOptions headings="false" gridLines="true" gridLinesSet="true" horizontalCentered="false" verticalCentered="false"/>
  <pageMargins left="0.118055555555556" right="0.0784722222222222" top="0.590277777777778" bottom="0.590277777777778" header="0.196527777777778" footer="0.196527777777778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&amp;C&amp;"Arial,Bold"&amp;11Costs and Expenses</oddHeader>
    <oddFooter>&amp;L&amp;D  &amp;T&amp;C&amp;P  of  &amp;N&amp;R&amp;F  &amp;A</oddFooter>
  </headerFooter>
  <colBreaks count="1" manualBreakCount="1">
    <brk id="14" man="true" max="65535" min="0"/>
  </colBreak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Z3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625" defaultRowHeight="12" zeroHeight="false" outlineLevelRow="0" outlineLevelCol="0"/>
  <cols>
    <col collapsed="false" customWidth="true" hidden="false" outlineLevel="0" max="1" min="1" style="1" width="8.82"/>
    <col collapsed="false" customWidth="true" hidden="false" outlineLevel="0" max="2" min="2" style="2" width="18.66"/>
    <col collapsed="false" customWidth="true" hidden="false" outlineLevel="0" max="3" min="3" style="3" width="12.66"/>
    <col collapsed="false" customWidth="true" hidden="false" outlineLevel="0" max="4" min="4" style="2" width="14.66"/>
    <col collapsed="false" customWidth="true" hidden="false" outlineLevel="0" max="5" min="5" style="5" width="9.66"/>
    <col collapsed="false" customWidth="true" hidden="false" outlineLevel="0" max="6" min="6" style="6" width="10.5"/>
    <col collapsed="false" customWidth="true" hidden="false" outlineLevel="0" max="7" min="7" style="6" width="9.66"/>
    <col collapsed="false" customWidth="true" hidden="false" outlineLevel="0" max="8" min="8" style="6" width="10.66"/>
    <col collapsed="false" customWidth="true" hidden="false" outlineLevel="0" max="9" min="9" style="6" width="0.82"/>
    <col collapsed="false" customWidth="true" hidden="false" outlineLevel="0" max="10" min="10" style="6" width="9.99"/>
    <col collapsed="false" customWidth="true" hidden="false" outlineLevel="0" max="11" min="11" style="6" width="9.66"/>
    <col collapsed="false" customWidth="true" hidden="false" outlineLevel="0" max="12" min="12" style="7" width="9.66"/>
    <col collapsed="false" customWidth="true" hidden="false" outlineLevel="0" max="13" min="13" style="8" width="9.49"/>
    <col collapsed="false" customWidth="true" hidden="false" outlineLevel="0" max="14" min="14" style="6" width="0.82"/>
    <col collapsed="false" customWidth="true" hidden="false" outlineLevel="0" max="23" min="15" style="17" width="9.66"/>
    <col collapsed="false" customWidth="true" hidden="false" outlineLevel="0" max="28" min="24" style="17" width="10.5"/>
    <col collapsed="false" customWidth="true" hidden="false" outlineLevel="0" max="30" min="29" style="39" width="10.5"/>
    <col collapsed="false" customWidth="true" hidden="false" outlineLevel="0" max="36" min="31" style="17" width="10.5"/>
    <col collapsed="false" customWidth="false" hidden="false" outlineLevel="0" max="37" min="37" style="17" width="9.15"/>
    <col collapsed="false" customWidth="true" hidden="false" outlineLevel="0" max="38" min="38" style="17" width="12.66"/>
    <col collapsed="false" customWidth="false" hidden="false" outlineLevel="0" max="257" min="39" style="2" width="9.15"/>
  </cols>
  <sheetData>
    <row r="1" s="17" customFormat="true" ht="12.75" hidden="false" customHeight="true" outlineLevel="0" collapsed="false">
      <c r="A1" s="40" t="n">
        <f aca="false">F1-G1-SUM(O1:AJ1)</f>
        <v>0</v>
      </c>
      <c r="B1" s="41" t="s">
        <v>22</v>
      </c>
      <c r="C1" s="20" t="s">
        <v>5</v>
      </c>
      <c r="D1" s="42" t="s">
        <v>23</v>
      </c>
      <c r="E1" s="42"/>
      <c r="F1" s="12" t="n">
        <f aca="false">SUM(F5:F300)</f>
        <v>6375</v>
      </c>
      <c r="G1" s="12" t="n">
        <f aca="false">SUM(G5:G300)</f>
        <v>1062.5</v>
      </c>
      <c r="H1" s="12" t="n">
        <f aca="false">SUM(H5:H300)</f>
        <v>5312.5</v>
      </c>
      <c r="I1" s="13"/>
      <c r="J1" s="14" t="s">
        <v>2</v>
      </c>
      <c r="K1" s="15" t="n">
        <f aca="false">SUM(K5:K300)</f>
        <v>0</v>
      </c>
      <c r="L1" s="15" t="n">
        <f aca="false">SUM(L5:L300)</f>
        <v>6375</v>
      </c>
      <c r="M1" s="16" t="n">
        <f aca="true">TODAY()</f>
        <v>46278</v>
      </c>
      <c r="N1" s="13"/>
      <c r="O1" s="12" t="n">
        <f aca="false">SUM(O5:O300)</f>
        <v>600</v>
      </c>
      <c r="P1" s="12" t="n">
        <f aca="false">SUM(P5:P300)</f>
        <v>0</v>
      </c>
      <c r="Q1" s="12" t="n">
        <f aca="false">SUM(Q5:Q300)</f>
        <v>207.5</v>
      </c>
      <c r="R1" s="12" t="n">
        <f aca="false">SUM(R5:R300)</f>
        <v>0</v>
      </c>
      <c r="S1" s="12" t="n">
        <f aca="false">SUM(S5:S300)</f>
        <v>0</v>
      </c>
      <c r="T1" s="12" t="n">
        <f aca="false">SUM(T5:T300)</f>
        <v>1000</v>
      </c>
      <c r="U1" s="12" t="n">
        <f aca="false">SUM(U5:U300)</f>
        <v>0</v>
      </c>
      <c r="V1" s="12" t="n">
        <f aca="false">SUM(V5:V300)</f>
        <v>150</v>
      </c>
      <c r="W1" s="12" t="n">
        <f aca="false">SUM(W5:W300)</f>
        <v>200</v>
      </c>
      <c r="X1" s="12" t="n">
        <f aca="false">SUM(X5:X300)</f>
        <v>0</v>
      </c>
      <c r="Y1" s="12" t="n">
        <f aca="false">SUM(Y5:Y300)</f>
        <v>95.8333333333333</v>
      </c>
      <c r="Z1" s="12" t="n">
        <f aca="false">SUM(Z5:Z300)</f>
        <v>500</v>
      </c>
      <c r="AA1" s="12" t="n">
        <f aca="false">SUM(AA5:AA300)</f>
        <v>127.5</v>
      </c>
      <c r="AB1" s="12" t="n">
        <f aca="false">SUM(AB5:AB300)</f>
        <v>126.666666666667</v>
      </c>
      <c r="AC1" s="12" t="n">
        <f aca="false">SUM(AC5:AC300)</f>
        <v>555</v>
      </c>
      <c r="AD1" s="12" t="n">
        <f aca="false">SUM(AD5:AD300)</f>
        <v>0</v>
      </c>
      <c r="AE1" s="12" t="n">
        <f aca="false">SUM(AE5:AE300)</f>
        <v>0</v>
      </c>
      <c r="AF1" s="12" t="n">
        <f aca="false">SUM(AF5:AF300)</f>
        <v>250</v>
      </c>
      <c r="AG1" s="12" t="n">
        <f aca="false">SUM(AG5:AG300)</f>
        <v>0</v>
      </c>
      <c r="AH1" s="12" t="n">
        <f aca="false">SUM(AH5:AH300)</f>
        <v>0</v>
      </c>
      <c r="AI1" s="12" t="n">
        <f aca="false">SUM(AI5:AI300)</f>
        <v>1500</v>
      </c>
      <c r="AJ1" s="12" t="n">
        <f aca="false">SUM(AJ5:AJ300)</f>
        <v>0</v>
      </c>
      <c r="AK1" s="12" t="n">
        <f aca="false">SUM(AK5:AK300)</f>
        <v>0</v>
      </c>
      <c r="AL1" s="43"/>
    </row>
    <row r="2" s="17" customFormat="true" ht="13.5" hidden="false" customHeight="true" outlineLevel="0" collapsed="false">
      <c r="A2" s="18" t="s">
        <v>3</v>
      </c>
      <c r="B2" s="19" t="s">
        <v>4</v>
      </c>
      <c r="C2" s="20"/>
      <c r="D2" s="21" t="s">
        <v>6</v>
      </c>
      <c r="E2" s="21" t="s">
        <v>24</v>
      </c>
      <c r="F2" s="19" t="s">
        <v>7</v>
      </c>
      <c r="G2" s="22" t="n">
        <f aca="false">IF([2]Dec!$G$4&gt;0,0,[2]Dec!$G$2)</f>
        <v>20</v>
      </c>
      <c r="H2" s="19" t="s">
        <v>8</v>
      </c>
      <c r="I2" s="13"/>
      <c r="J2" s="14"/>
      <c r="K2" s="23" t="s">
        <v>9</v>
      </c>
      <c r="L2" s="23"/>
      <c r="M2" s="23"/>
      <c r="N2" s="13"/>
      <c r="O2" s="19" t="s">
        <v>25</v>
      </c>
      <c r="P2" s="19"/>
      <c r="Q2" s="19"/>
      <c r="R2" s="19" t="s">
        <v>26</v>
      </c>
      <c r="S2" s="19" t="s">
        <v>27</v>
      </c>
      <c r="T2" s="19" t="s">
        <v>28</v>
      </c>
      <c r="U2" s="19"/>
      <c r="V2" s="19" t="s">
        <v>29</v>
      </c>
      <c r="W2" s="19" t="s">
        <v>30</v>
      </c>
      <c r="X2" s="19" t="s">
        <v>31</v>
      </c>
      <c r="Y2" s="19" t="s">
        <v>32</v>
      </c>
      <c r="Z2" s="19" t="s">
        <v>33</v>
      </c>
      <c r="AA2" s="19" t="s">
        <v>34</v>
      </c>
      <c r="AB2" s="19" t="s">
        <v>35</v>
      </c>
      <c r="AC2" s="19" t="s">
        <v>36</v>
      </c>
      <c r="AD2" s="19" t="s">
        <v>37</v>
      </c>
      <c r="AE2" s="19" t="s">
        <v>38</v>
      </c>
      <c r="AF2" s="19" t="s">
        <v>39</v>
      </c>
      <c r="AG2" s="19" t="s">
        <v>40</v>
      </c>
      <c r="AH2" s="19" t="s">
        <v>41</v>
      </c>
      <c r="AI2" s="19" t="s">
        <v>42</v>
      </c>
      <c r="AJ2" s="12" t="s">
        <v>43</v>
      </c>
      <c r="AK2" s="19" t="s">
        <v>44</v>
      </c>
      <c r="AL2" s="19"/>
    </row>
    <row r="3" s="26" customFormat="true" ht="34.5" hidden="false" customHeight="true" outlineLevel="0" collapsed="false">
      <c r="A3" s="18"/>
      <c r="B3" s="19"/>
      <c r="C3" s="20"/>
      <c r="D3" s="21"/>
      <c r="E3" s="21"/>
      <c r="F3" s="19"/>
      <c r="G3" s="19" t="s">
        <v>10</v>
      </c>
      <c r="H3" s="19"/>
      <c r="I3" s="13"/>
      <c r="J3" s="14"/>
      <c r="K3" s="24" t="s">
        <v>11</v>
      </c>
      <c r="L3" s="24" t="s">
        <v>12</v>
      </c>
      <c r="M3" s="25" t="s">
        <v>13</v>
      </c>
      <c r="N3" s="13"/>
      <c r="O3" s="21" t="s">
        <v>45</v>
      </c>
      <c r="P3" s="21" t="s">
        <v>46</v>
      </c>
      <c r="Q3" s="21" t="s">
        <v>47</v>
      </c>
      <c r="R3" s="19"/>
      <c r="S3" s="19"/>
      <c r="T3" s="21" t="s">
        <v>48</v>
      </c>
      <c r="U3" s="21" t="s">
        <v>49</v>
      </c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2"/>
      <c r="AK3" s="19" t="s">
        <v>50</v>
      </c>
      <c r="AL3" s="19"/>
    </row>
    <row r="4" s="27" customFormat="true" ht="12.75" hidden="false" customHeight="true" outlineLevel="0" collapsed="false">
      <c r="A4" s="18"/>
      <c r="B4" s="19"/>
      <c r="C4" s="20"/>
      <c r="D4" s="21"/>
      <c r="E4" s="21"/>
      <c r="F4" s="19"/>
      <c r="G4" s="19"/>
      <c r="H4" s="19"/>
      <c r="I4" s="13"/>
      <c r="J4" s="14"/>
      <c r="K4" s="24"/>
      <c r="L4" s="24"/>
      <c r="M4" s="24"/>
      <c r="N4" s="13"/>
      <c r="O4" s="44" t="s">
        <v>51</v>
      </c>
      <c r="P4" s="44" t="s">
        <v>52</v>
      </c>
      <c r="Q4" s="44" t="s">
        <v>53</v>
      </c>
      <c r="R4" s="44" t="s">
        <v>54</v>
      </c>
      <c r="S4" s="44" t="s">
        <v>55</v>
      </c>
      <c r="T4" s="44" t="s">
        <v>56</v>
      </c>
      <c r="U4" s="44" t="s">
        <v>57</v>
      </c>
      <c r="V4" s="44" t="s">
        <v>58</v>
      </c>
      <c r="W4" s="44" t="s">
        <v>59</v>
      </c>
      <c r="X4" s="44" t="s">
        <v>60</v>
      </c>
      <c r="Y4" s="44" t="s">
        <v>61</v>
      </c>
      <c r="Z4" s="44" t="s">
        <v>62</v>
      </c>
      <c r="AA4" s="44" t="s">
        <v>63</v>
      </c>
      <c r="AB4" s="44" t="s">
        <v>64</v>
      </c>
      <c r="AC4" s="45" t="s">
        <v>65</v>
      </c>
      <c r="AD4" s="45" t="s">
        <v>66</v>
      </c>
      <c r="AE4" s="44" t="s">
        <v>67</v>
      </c>
      <c r="AF4" s="44" t="s">
        <v>68</v>
      </c>
      <c r="AG4" s="44" t="s">
        <v>69</v>
      </c>
      <c r="AH4" s="44" t="s">
        <v>70</v>
      </c>
      <c r="AI4" s="44" t="s">
        <v>71</v>
      </c>
      <c r="AJ4" s="12" t="s">
        <v>72</v>
      </c>
      <c r="AK4" s="19" t="s">
        <v>73</v>
      </c>
      <c r="AL4" s="19" t="s">
        <v>74</v>
      </c>
    </row>
    <row r="5" s="5" customFormat="true" ht="12" hidden="false" customHeight="false" outlineLevel="0" collapsed="false">
      <c r="A5" s="28" t="n">
        <v>46357</v>
      </c>
      <c r="B5" s="2" t="s">
        <v>14</v>
      </c>
      <c r="C5" s="3"/>
      <c r="D5" s="2" t="s">
        <v>75</v>
      </c>
      <c r="E5" s="2" t="s">
        <v>76</v>
      </c>
      <c r="F5" s="30" t="n">
        <v>1200</v>
      </c>
      <c r="G5" s="6" t="n">
        <f aca="false">IF(F5&lt;&gt;0,F5*G$2/(100+G$2)," ")</f>
        <v>200</v>
      </c>
      <c r="H5" s="6" t="n">
        <f aca="false">IF((F5&lt;&gt;0),F5-G5," ")</f>
        <v>1000</v>
      </c>
      <c r="J5" s="6"/>
      <c r="K5" s="6"/>
      <c r="L5" s="7" t="n">
        <f aca="false">IF(F5&lt;&gt;0,F5-K5," ")</f>
        <v>1200</v>
      </c>
      <c r="M5" s="8" t="n">
        <f aca="false">IF((F5-K5)&lt;&gt;0,M$1-A5," ")</f>
        <v>-79</v>
      </c>
      <c r="O5" s="17" t="str">
        <f aca="false">IF((E5="s"),H5," ")</f>
        <v> </v>
      </c>
      <c r="P5" s="17" t="str">
        <f aca="false">IF((E5="c"),H5," ")</f>
        <v> </v>
      </c>
      <c r="Q5" s="17" t="str">
        <f aca="false">IF((E5="o"),H5," ")</f>
        <v> </v>
      </c>
      <c r="R5" s="17" t="str">
        <f aca="false">IF((E5="d"),H5," ")</f>
        <v> </v>
      </c>
      <c r="S5" s="17" t="str">
        <f aca="false">IF((E5="w"),H5," ")</f>
        <v> </v>
      </c>
      <c r="T5" s="17" t="n">
        <f aca="false">IF((E5="r"),H5," ")</f>
        <v>1000</v>
      </c>
      <c r="U5" s="17" t="str">
        <f aca="false">IF((E5="p"),H5," ")</f>
        <v> </v>
      </c>
      <c r="V5" s="17" t="str">
        <f aca="false">IF((E5="t"),H5," ")</f>
        <v> </v>
      </c>
      <c r="W5" s="17" t="str">
        <f aca="false">IF((E5="q"),H5," ")</f>
        <v> </v>
      </c>
      <c r="X5" s="17" t="str">
        <f aca="false">IF((E5="m"),H5," ")</f>
        <v> </v>
      </c>
      <c r="Y5" s="17" t="str">
        <f aca="false">IF((E5="u"),H5," ")</f>
        <v> </v>
      </c>
      <c r="Z5" s="17" t="str">
        <f aca="false">IF((E5="a"),H5," ")</f>
        <v> </v>
      </c>
      <c r="AA5" s="17" t="str">
        <f aca="false">IF((E5="g"),H5," ")</f>
        <v> </v>
      </c>
      <c r="AB5" s="17" t="str">
        <f aca="false">IF((E5="h"),H5," ")</f>
        <v> </v>
      </c>
      <c r="AC5" s="30" t="str">
        <f aca="false">IF((E5="v"),H5," ")</f>
        <v> </v>
      </c>
      <c r="AD5" s="30" t="str">
        <f aca="false">IF((E5="n"),H5," ")</f>
        <v> </v>
      </c>
      <c r="AE5" s="17" t="str">
        <f aca="false">IF((E5="f"),H5," ")</f>
        <v> </v>
      </c>
      <c r="AF5" s="17" t="str">
        <f aca="false">IF((E5="l"),H5," ")</f>
        <v> </v>
      </c>
      <c r="AG5" s="17" t="str">
        <f aca="false">IF((E5="y"),H5," ")</f>
        <v> </v>
      </c>
      <c r="AH5" s="17" t="str">
        <f aca="false">IF((E5="z"),H5," ")</f>
        <v> </v>
      </c>
      <c r="AI5" s="17" t="str">
        <f aca="false">IF((E5="fa"),H5," ")</f>
        <v> </v>
      </c>
      <c r="AJ5" s="17" t="str">
        <f aca="false">IF((E5="e"),H5," ")</f>
        <v> </v>
      </c>
      <c r="AK5" s="17"/>
      <c r="AL5" s="17"/>
      <c r="BZ5" s="5" t="s">
        <v>77</v>
      </c>
    </row>
    <row r="6" customFormat="false" ht="12" hidden="false" customHeight="false" outlineLevel="0" collapsed="false">
      <c r="A6" s="28" t="n">
        <v>46357</v>
      </c>
      <c r="B6" s="2" t="s">
        <v>78</v>
      </c>
      <c r="D6" s="2" t="s">
        <v>79</v>
      </c>
      <c r="E6" s="2" t="s">
        <v>80</v>
      </c>
      <c r="F6" s="30" t="n">
        <v>30</v>
      </c>
      <c r="G6" s="6" t="n">
        <f aca="false">IF(F6&lt;&gt;0,F6*G$2/(100+G$2)," ")</f>
        <v>5</v>
      </c>
      <c r="H6" s="6" t="n">
        <f aca="false">IF((F6&lt;&gt;0),F6-G6," ")</f>
        <v>25</v>
      </c>
      <c r="I6" s="5"/>
      <c r="L6" s="7" t="n">
        <f aca="false">IF(F6&lt;&gt;0,F6-K6," ")</f>
        <v>30</v>
      </c>
      <c r="M6" s="8" t="n">
        <f aca="false">IF((F6-K6)&lt;&gt;0,M$1-A6," ")</f>
        <v>-79</v>
      </c>
      <c r="N6" s="5"/>
      <c r="O6" s="17" t="str">
        <f aca="false">IF((E6="s"),H6," ")</f>
        <v> </v>
      </c>
      <c r="P6" s="17" t="str">
        <f aca="false">IF((E6="c"),H6," ")</f>
        <v> </v>
      </c>
      <c r="Q6" s="17" t="str">
        <f aca="false">IF((E6="o"),H6," ")</f>
        <v> </v>
      </c>
      <c r="R6" s="17" t="str">
        <f aca="false">IF((E6="d"),H6," ")</f>
        <v> </v>
      </c>
      <c r="S6" s="17" t="str">
        <f aca="false">IF((E6="w"),H6," ")</f>
        <v> </v>
      </c>
      <c r="T6" s="17" t="str">
        <f aca="false">IF((E6="r"),H6," ")</f>
        <v> </v>
      </c>
      <c r="U6" s="17" t="str">
        <f aca="false">IF((E6="p"),H6," ")</f>
        <v> </v>
      </c>
      <c r="V6" s="17" t="str">
        <f aca="false">IF((E6="t"),H6," ")</f>
        <v> </v>
      </c>
      <c r="W6" s="17" t="str">
        <f aca="false">IF((E6="q"),H6," ")</f>
        <v> </v>
      </c>
      <c r="X6" s="17" t="str">
        <f aca="false">IF((E6="m"),H6," ")</f>
        <v> </v>
      </c>
      <c r="Y6" s="17" t="str">
        <f aca="false">IF((E6="u"),H6," ")</f>
        <v> </v>
      </c>
      <c r="Z6" s="17" t="str">
        <f aca="false">IF((E6="a"),H6," ")</f>
        <v> </v>
      </c>
      <c r="AA6" s="17" t="n">
        <f aca="false">IF((E6="g"),H6," ")</f>
        <v>25</v>
      </c>
      <c r="AB6" s="17" t="str">
        <f aca="false">IF((E6="h"),H6," ")</f>
        <v> </v>
      </c>
      <c r="AC6" s="30" t="str">
        <f aca="false">IF((E6="v"),H6," ")</f>
        <v> </v>
      </c>
      <c r="AD6" s="30" t="str">
        <f aca="false">IF((E6="n"),H6," ")</f>
        <v> </v>
      </c>
      <c r="AE6" s="17" t="str">
        <f aca="false">IF((E6="f"),H6," ")</f>
        <v> </v>
      </c>
      <c r="AF6" s="17" t="str">
        <f aca="false">IF((E6="l"),H6," ")</f>
        <v> </v>
      </c>
      <c r="AG6" s="17" t="str">
        <f aca="false">IF((E6="y"),H6," ")</f>
        <v> </v>
      </c>
      <c r="AH6" s="17" t="str">
        <f aca="false">IF((E6="z"),H6," ")</f>
        <v> </v>
      </c>
      <c r="AI6" s="17" t="str">
        <f aca="false">IF((E6="fa"),H6," ")</f>
        <v> </v>
      </c>
      <c r="AJ6" s="17" t="str">
        <f aca="false">IF((E6="e"),H6," ")</f>
        <v> </v>
      </c>
      <c r="BZ6" s="2" t="s">
        <v>81</v>
      </c>
    </row>
    <row r="7" customFormat="false" ht="12" hidden="false" customHeight="false" outlineLevel="0" collapsed="false">
      <c r="A7" s="28" t="n">
        <v>46357</v>
      </c>
      <c r="B7" s="2" t="s">
        <v>82</v>
      </c>
      <c r="D7" s="2" t="s">
        <v>83</v>
      </c>
      <c r="E7" s="2" t="s">
        <v>80</v>
      </c>
      <c r="F7" s="30" t="n">
        <v>15</v>
      </c>
      <c r="G7" s="6" t="n">
        <f aca="false">IF(F7&lt;&gt;0,F7*G$2/(100+G$2)," ")</f>
        <v>2.5</v>
      </c>
      <c r="H7" s="6" t="n">
        <f aca="false">IF((F7&lt;&gt;0),F7-G7," ")</f>
        <v>12.5</v>
      </c>
      <c r="I7" s="5"/>
      <c r="L7" s="7" t="n">
        <f aca="false">IF(F7&lt;&gt;0,F7-K7," ")</f>
        <v>15</v>
      </c>
      <c r="M7" s="8" t="n">
        <f aca="false">IF((F7-K7)&lt;&gt;0,M$1-A7," ")</f>
        <v>-79</v>
      </c>
      <c r="N7" s="5"/>
      <c r="O7" s="17" t="str">
        <f aca="false">IF((E7="s"),H7," ")</f>
        <v> </v>
      </c>
      <c r="P7" s="17" t="str">
        <f aca="false">IF((E7="c"),H7," ")</f>
        <v> </v>
      </c>
      <c r="Q7" s="17" t="str">
        <f aca="false">IF((E7="o"),H7," ")</f>
        <v> </v>
      </c>
      <c r="R7" s="17" t="str">
        <f aca="false">IF((E7="d"),H7," ")</f>
        <v> </v>
      </c>
      <c r="S7" s="17" t="str">
        <f aca="false">IF((E7="w"),H7," ")</f>
        <v> </v>
      </c>
      <c r="T7" s="17" t="str">
        <f aca="false">IF((E7="r"),H7," ")</f>
        <v> </v>
      </c>
      <c r="U7" s="17" t="str">
        <f aca="false">IF((E7="p"),H7," ")</f>
        <v> </v>
      </c>
      <c r="V7" s="17" t="str">
        <f aca="false">IF((E7="t"),H7," ")</f>
        <v> </v>
      </c>
      <c r="W7" s="17" t="str">
        <f aca="false">IF((E7="q"),H7," ")</f>
        <v> </v>
      </c>
      <c r="X7" s="17" t="str">
        <f aca="false">IF((E7="m"),H7," ")</f>
        <v> </v>
      </c>
      <c r="Y7" s="17" t="str">
        <f aca="false">IF((E7="u"),H7," ")</f>
        <v> </v>
      </c>
      <c r="Z7" s="17" t="str">
        <f aca="false">IF((E7="a"),H7," ")</f>
        <v> </v>
      </c>
      <c r="AA7" s="17" t="n">
        <f aca="false">IF((E7="g"),H7," ")</f>
        <v>12.5</v>
      </c>
      <c r="AB7" s="17" t="str">
        <f aca="false">IF((E7="h"),H7," ")</f>
        <v> </v>
      </c>
      <c r="AC7" s="30" t="str">
        <f aca="false">IF((E7="v"),H7," ")</f>
        <v> </v>
      </c>
      <c r="AD7" s="30" t="str">
        <f aca="false">IF((E7="n"),H7," ")</f>
        <v> </v>
      </c>
      <c r="AE7" s="17" t="str">
        <f aca="false">IF((E7="f"),H7," ")</f>
        <v> </v>
      </c>
      <c r="AF7" s="17" t="str">
        <f aca="false">IF((E7="l"),H7," ")</f>
        <v> </v>
      </c>
      <c r="AG7" s="17" t="str">
        <f aca="false">IF((E7="y"),H7," ")</f>
        <v> </v>
      </c>
      <c r="AH7" s="17" t="str">
        <f aca="false">IF((E7="z"),H7," ")</f>
        <v> </v>
      </c>
      <c r="AI7" s="17" t="str">
        <f aca="false">IF((E7="fa"),H7," ")</f>
        <v> </v>
      </c>
      <c r="AJ7" s="17" t="str">
        <f aca="false">IF((E7="e"),H7," ")</f>
        <v> </v>
      </c>
      <c r="BZ7" s="2" t="s">
        <v>81</v>
      </c>
    </row>
    <row r="8" customFormat="false" ht="12" hidden="false" customHeight="false" outlineLevel="0" collapsed="false">
      <c r="A8" s="28" t="n">
        <v>46357</v>
      </c>
      <c r="B8" s="2" t="s">
        <v>84</v>
      </c>
      <c r="D8" s="2" t="s">
        <v>85</v>
      </c>
      <c r="E8" s="2" t="s">
        <v>86</v>
      </c>
      <c r="F8" s="30" t="n">
        <v>45</v>
      </c>
      <c r="G8" s="6" t="n">
        <f aca="false">IF(F8&lt;&gt;0,F8*G$2/(100+G$2)," ")</f>
        <v>7.5</v>
      </c>
      <c r="H8" s="6" t="n">
        <f aca="false">IF((F8&lt;&gt;0),F8-G8," ")</f>
        <v>37.5</v>
      </c>
      <c r="I8" s="5"/>
      <c r="L8" s="7" t="n">
        <f aca="false">IF(F8&lt;&gt;0,F8-K8," ")</f>
        <v>45</v>
      </c>
      <c r="M8" s="8" t="n">
        <f aca="false">IF((F8-K8)&lt;&gt;0,M$1-A8," ")</f>
        <v>-79</v>
      </c>
      <c r="N8" s="5"/>
      <c r="O8" s="17" t="str">
        <f aca="false">IF((E8="s"),H8," ")</f>
        <v> </v>
      </c>
      <c r="P8" s="17" t="str">
        <f aca="false">IF((E8="c"),H8," ")</f>
        <v> </v>
      </c>
      <c r="Q8" s="17" t="n">
        <f aca="false">IF((E8="o"),H8," ")</f>
        <v>37.5</v>
      </c>
      <c r="R8" s="17" t="str">
        <f aca="false">IF((E8="d"),H8," ")</f>
        <v> </v>
      </c>
      <c r="S8" s="17" t="str">
        <f aca="false">IF((E8="w"),H8," ")</f>
        <v> </v>
      </c>
      <c r="T8" s="17" t="str">
        <f aca="false">IF((E8="r"),H8," ")</f>
        <v> </v>
      </c>
      <c r="U8" s="17" t="str">
        <f aca="false">IF((E8="p"),H8," ")</f>
        <v> </v>
      </c>
      <c r="V8" s="17" t="str">
        <f aca="false">IF((E8="t"),H8," ")</f>
        <v> </v>
      </c>
      <c r="W8" s="17" t="str">
        <f aca="false">IF((E8="q"),H8," ")</f>
        <v> </v>
      </c>
      <c r="X8" s="17" t="str">
        <f aca="false">IF((E8="m"),H8," ")</f>
        <v> </v>
      </c>
      <c r="Y8" s="17" t="str">
        <f aca="false">IF((E8="u"),H8," ")</f>
        <v> </v>
      </c>
      <c r="Z8" s="17" t="str">
        <f aca="false">IF((E8="a"),H8," ")</f>
        <v> </v>
      </c>
      <c r="AA8" s="17" t="str">
        <f aca="false">IF((E8="g"),H8," ")</f>
        <v> </v>
      </c>
      <c r="AB8" s="17" t="str">
        <f aca="false">IF((E8="h"),H8," ")</f>
        <v> </v>
      </c>
      <c r="AC8" s="30" t="str">
        <f aca="false">IF((E8="v"),H8," ")</f>
        <v> </v>
      </c>
      <c r="AD8" s="30" t="str">
        <f aca="false">IF((E8="n"),H8," ")</f>
        <v> </v>
      </c>
      <c r="AE8" s="17" t="str">
        <f aca="false">IF((E8="f"),H8," ")</f>
        <v> </v>
      </c>
      <c r="AF8" s="17" t="str">
        <f aca="false">IF((E8="l"),H8," ")</f>
        <v> </v>
      </c>
      <c r="AG8" s="17" t="str">
        <f aca="false">IF((E8="y"),H8," ")</f>
        <v> </v>
      </c>
      <c r="AH8" s="17" t="str">
        <f aca="false">IF((E8="z"),H8," ")</f>
        <v> </v>
      </c>
      <c r="AI8" s="17" t="str">
        <f aca="false">IF((E8="fa"),H8," ")</f>
        <v> </v>
      </c>
      <c r="AJ8" s="17" t="str">
        <f aca="false">IF((E8="e"),H8," ")</f>
        <v> </v>
      </c>
      <c r="BZ8" s="2" t="s">
        <v>87</v>
      </c>
    </row>
    <row r="9" customFormat="false" ht="12" hidden="false" customHeight="false" outlineLevel="0" collapsed="false">
      <c r="A9" s="28" t="n">
        <v>46357</v>
      </c>
      <c r="B9" s="2" t="s">
        <v>92</v>
      </c>
      <c r="D9" s="2" t="s">
        <v>93</v>
      </c>
      <c r="E9" s="2" t="s">
        <v>86</v>
      </c>
      <c r="F9" s="30" t="n">
        <v>24</v>
      </c>
      <c r="G9" s="6" t="n">
        <f aca="false">IF(F9&lt;&gt;0,F9*G$2/(100+G$2)," ")</f>
        <v>4</v>
      </c>
      <c r="H9" s="6" t="n">
        <f aca="false">IF((F9&lt;&gt;0),F9-G9," ")</f>
        <v>20</v>
      </c>
      <c r="I9" s="5"/>
      <c r="L9" s="7" t="n">
        <f aca="false">IF(F9&lt;&gt;0,F9-K9," ")</f>
        <v>24</v>
      </c>
      <c r="M9" s="8" t="n">
        <f aca="false">IF((F9-K9)&lt;&gt;0,M$1-A9," ")</f>
        <v>-79</v>
      </c>
      <c r="N9" s="5"/>
      <c r="O9" s="17" t="str">
        <f aca="false">IF((E9="s"),H9," ")</f>
        <v> </v>
      </c>
      <c r="P9" s="17" t="str">
        <f aca="false">IF((E9="c"),H9," ")</f>
        <v> </v>
      </c>
      <c r="Q9" s="17" t="n">
        <f aca="false">IF((E9="o"),H9," ")</f>
        <v>20</v>
      </c>
      <c r="R9" s="17" t="str">
        <f aca="false">IF((E9="d"),H9," ")</f>
        <v> </v>
      </c>
      <c r="S9" s="17" t="str">
        <f aca="false">IF((E9="w"),H9," ")</f>
        <v> </v>
      </c>
      <c r="T9" s="17" t="str">
        <f aca="false">IF((E9="r"),H9," ")</f>
        <v> </v>
      </c>
      <c r="U9" s="17" t="str">
        <f aca="false">IF((E9="p"),H9," ")</f>
        <v> </v>
      </c>
      <c r="V9" s="17" t="str">
        <f aca="false">IF((E9="t"),H9," ")</f>
        <v> </v>
      </c>
      <c r="W9" s="17" t="str">
        <f aca="false">IF((E9="q"),H9," ")</f>
        <v> </v>
      </c>
      <c r="X9" s="17" t="str">
        <f aca="false">IF((E9="m"),H9," ")</f>
        <v> </v>
      </c>
      <c r="Y9" s="17" t="str">
        <f aca="false">IF((E9="u"),H9," ")</f>
        <v> </v>
      </c>
      <c r="Z9" s="17" t="str">
        <f aca="false">IF((E9="a"),H9," ")</f>
        <v> </v>
      </c>
      <c r="AA9" s="17" t="str">
        <f aca="false">IF((E9="g"),H9," ")</f>
        <v> </v>
      </c>
      <c r="AB9" s="17" t="str">
        <f aca="false">IF((E9="h"),H9," ")</f>
        <v> </v>
      </c>
      <c r="AC9" s="30" t="str">
        <f aca="false">IF((E9="v"),H9," ")</f>
        <v> </v>
      </c>
      <c r="AD9" s="30" t="str">
        <f aca="false">IF((E9="n"),H9," ")</f>
        <v> </v>
      </c>
      <c r="AE9" s="17" t="str">
        <f aca="false">IF((E9="f"),H9," ")</f>
        <v> </v>
      </c>
      <c r="AF9" s="17" t="str">
        <f aca="false">IF((E9="l"),H9," ")</f>
        <v> </v>
      </c>
      <c r="AG9" s="17" t="str">
        <f aca="false">IF((E9="y"),H9," ")</f>
        <v> </v>
      </c>
      <c r="AH9" s="17" t="str">
        <f aca="false">IF((E9="z"),H9," ")</f>
        <v> </v>
      </c>
      <c r="AI9" s="17" t="str">
        <f aca="false">IF((E9="fa"),H9," ")</f>
        <v> </v>
      </c>
      <c r="AJ9" s="17" t="str">
        <f aca="false">IF((E9="e"),H9," ")</f>
        <v> </v>
      </c>
      <c r="BZ9" s="2" t="s">
        <v>87</v>
      </c>
    </row>
    <row r="10" customFormat="false" ht="12" hidden="false" customHeight="false" outlineLevel="0" collapsed="false">
      <c r="A10" s="28" t="n">
        <v>46357</v>
      </c>
      <c r="B10" s="2" t="s">
        <v>94</v>
      </c>
      <c r="D10" s="2" t="s">
        <v>95</v>
      </c>
      <c r="E10" s="2" t="s">
        <v>80</v>
      </c>
      <c r="F10" s="30" t="n">
        <v>18</v>
      </c>
      <c r="G10" s="6" t="n">
        <f aca="false">IF(F10&lt;&gt;0,F10*G$2/(100+G$2)," ")</f>
        <v>3</v>
      </c>
      <c r="H10" s="6" t="n">
        <f aca="false">IF((F10&lt;&gt;0),F10-G10," ")</f>
        <v>15</v>
      </c>
      <c r="I10" s="5"/>
      <c r="L10" s="7" t="n">
        <f aca="false">IF(F10&lt;&gt;0,F10-K10," ")</f>
        <v>18</v>
      </c>
      <c r="M10" s="8" t="n">
        <f aca="false">IF((F10-K10)&lt;&gt;0,M$1-A10," ")</f>
        <v>-79</v>
      </c>
      <c r="N10" s="5"/>
      <c r="O10" s="17" t="str">
        <f aca="false">IF((E10="s"),H10," ")</f>
        <v> </v>
      </c>
      <c r="P10" s="17" t="str">
        <f aca="false">IF((E10="c"),H10," ")</f>
        <v> </v>
      </c>
      <c r="Q10" s="17" t="str">
        <f aca="false">IF((E10="o"),H10," ")</f>
        <v> </v>
      </c>
      <c r="R10" s="17" t="str">
        <f aca="false">IF((E10="d"),H10," ")</f>
        <v> </v>
      </c>
      <c r="S10" s="17" t="str">
        <f aca="false">IF((E10="w"),H10," ")</f>
        <v> </v>
      </c>
      <c r="T10" s="17" t="str">
        <f aca="false">IF((E10="r"),H10," ")</f>
        <v> </v>
      </c>
      <c r="U10" s="17" t="str">
        <f aca="false">IF((E10="p"),H10," ")</f>
        <v> </v>
      </c>
      <c r="V10" s="17" t="str">
        <f aca="false">IF((E10="t"),H10," ")</f>
        <v> </v>
      </c>
      <c r="W10" s="17" t="str">
        <f aca="false">IF((E10="q"),H10," ")</f>
        <v> </v>
      </c>
      <c r="X10" s="17" t="str">
        <f aca="false">IF((E10="m"),H10," ")</f>
        <v> </v>
      </c>
      <c r="Y10" s="17" t="str">
        <f aca="false">IF((E10="u"),H10," ")</f>
        <v> </v>
      </c>
      <c r="Z10" s="17" t="str">
        <f aca="false">IF((E10="a"),H10," ")</f>
        <v> </v>
      </c>
      <c r="AA10" s="17" t="n">
        <f aca="false">IF((E10="g"),H10," ")</f>
        <v>15</v>
      </c>
      <c r="AB10" s="17" t="str">
        <f aca="false">IF((E10="h"),H10," ")</f>
        <v> </v>
      </c>
      <c r="AC10" s="30" t="str">
        <f aca="false">IF((E10="v"),H10," ")</f>
        <v> </v>
      </c>
      <c r="AD10" s="30" t="str">
        <f aca="false">IF((E10="n"),H10," ")</f>
        <v> </v>
      </c>
      <c r="AE10" s="17" t="str">
        <f aca="false">IF((E10="f"),H10," ")</f>
        <v> </v>
      </c>
      <c r="AF10" s="17" t="str">
        <f aca="false">IF((E10="l"),H10," ")</f>
        <v> </v>
      </c>
      <c r="AG10" s="17" t="str">
        <f aca="false">IF((E10="y"),H10," ")</f>
        <v> </v>
      </c>
      <c r="AH10" s="17" t="str">
        <f aca="false">IF((E10="z"),H10," ")</f>
        <v> </v>
      </c>
      <c r="AI10" s="17" t="str">
        <f aca="false">IF((E10="fa"),H10," ")</f>
        <v> </v>
      </c>
      <c r="AJ10" s="17" t="str">
        <f aca="false">IF((E10="e"),H10," ")</f>
        <v> </v>
      </c>
      <c r="BZ10" s="2" t="s">
        <v>81</v>
      </c>
    </row>
    <row r="11" customFormat="false" ht="12" hidden="false" customHeight="false" outlineLevel="0" collapsed="false">
      <c r="A11" s="28" t="n">
        <v>46359</v>
      </c>
      <c r="B11" s="2" t="s">
        <v>96</v>
      </c>
      <c r="D11" s="2" t="s">
        <v>97</v>
      </c>
      <c r="E11" s="2" t="s">
        <v>86</v>
      </c>
      <c r="F11" s="30" t="n">
        <v>180</v>
      </c>
      <c r="G11" s="6" t="n">
        <f aca="false">IF(F11&lt;&gt;0,F11*G$2/(100+G$2)," ")</f>
        <v>30</v>
      </c>
      <c r="H11" s="6" t="n">
        <f aca="false">IF((F11&lt;&gt;0),F11-G11," ")</f>
        <v>150</v>
      </c>
      <c r="I11" s="5"/>
      <c r="L11" s="7" t="n">
        <f aca="false">IF(F11&lt;&gt;0,F11-K11," ")</f>
        <v>180</v>
      </c>
      <c r="M11" s="8" t="n">
        <f aca="false">IF((F11-K11)&lt;&gt;0,M$1-A11," ")</f>
        <v>-81</v>
      </c>
      <c r="N11" s="5"/>
      <c r="O11" s="17" t="str">
        <f aca="false">IF((E11="s"),H11," ")</f>
        <v> </v>
      </c>
      <c r="P11" s="17" t="str">
        <f aca="false">IF((E11="c"),H11," ")</f>
        <v> </v>
      </c>
      <c r="Q11" s="17" t="n">
        <f aca="false">IF((E11="o"),H11," ")</f>
        <v>150</v>
      </c>
      <c r="R11" s="17" t="str">
        <f aca="false">IF((E11="d"),H11," ")</f>
        <v> </v>
      </c>
      <c r="S11" s="17" t="str">
        <f aca="false">IF((E11="w"),H11," ")</f>
        <v> </v>
      </c>
      <c r="T11" s="17" t="str">
        <f aca="false">IF((E11="r"),H11," ")</f>
        <v> </v>
      </c>
      <c r="U11" s="17" t="str">
        <f aca="false">IF((E11="p"),H11," ")</f>
        <v> </v>
      </c>
      <c r="V11" s="17" t="str">
        <f aca="false">IF((E11="t"),H11," ")</f>
        <v> </v>
      </c>
      <c r="W11" s="17" t="str">
        <f aca="false">IF((E11="q"),H11," ")</f>
        <v> </v>
      </c>
      <c r="X11" s="17" t="str">
        <f aca="false">IF((E11="m"),H11," ")</f>
        <v> </v>
      </c>
      <c r="Y11" s="17" t="str">
        <f aca="false">IF((E11="u"),H11," ")</f>
        <v> </v>
      </c>
      <c r="Z11" s="17" t="str">
        <f aca="false">IF((E11="a"),H11," ")</f>
        <v> </v>
      </c>
      <c r="AA11" s="17" t="str">
        <f aca="false">IF((E11="g"),H11," ")</f>
        <v> </v>
      </c>
      <c r="AB11" s="17" t="str">
        <f aca="false">IF((E11="h"),H11," ")</f>
        <v> </v>
      </c>
      <c r="AC11" s="30" t="str">
        <f aca="false">IF((E11="v"),H11," ")</f>
        <v> </v>
      </c>
      <c r="AD11" s="30" t="str">
        <f aca="false">IF((E11="n"),H11," ")</f>
        <v> </v>
      </c>
      <c r="AE11" s="17" t="str">
        <f aca="false">IF((E11="f"),H11," ")</f>
        <v> </v>
      </c>
      <c r="AF11" s="17" t="str">
        <f aca="false">IF((E11="l"),H11," ")</f>
        <v> </v>
      </c>
      <c r="AG11" s="17" t="str">
        <f aca="false">IF((E11="y"),H11," ")</f>
        <v> </v>
      </c>
      <c r="AH11" s="17" t="str">
        <f aca="false">IF((E11="z"),H11," ")</f>
        <v> </v>
      </c>
      <c r="AI11" s="17" t="str">
        <f aca="false">IF((E11="fa"),H11," ")</f>
        <v> </v>
      </c>
      <c r="AJ11" s="17" t="str">
        <f aca="false">IF((E11="e"),H11," ")</f>
        <v> </v>
      </c>
      <c r="BZ11" s="2" t="s">
        <v>87</v>
      </c>
    </row>
    <row r="12" customFormat="false" ht="12" hidden="false" customHeight="false" outlineLevel="0" collapsed="false">
      <c r="A12" s="28" t="n">
        <v>46359</v>
      </c>
      <c r="B12" s="2" t="s">
        <v>98</v>
      </c>
      <c r="D12" s="2" t="s">
        <v>99</v>
      </c>
      <c r="E12" s="2" t="s">
        <v>100</v>
      </c>
      <c r="F12" s="30" t="n">
        <v>22</v>
      </c>
      <c r="G12" s="6" t="n">
        <f aca="false">IF(F12&lt;&gt;0,F12*G$2/(100+G$2)," ")</f>
        <v>3.66666666666667</v>
      </c>
      <c r="H12" s="6" t="n">
        <f aca="false">IF((F12&lt;&gt;0),F12-G12," ")</f>
        <v>18.3333333333333</v>
      </c>
      <c r="I12" s="5"/>
      <c r="L12" s="7" t="n">
        <f aca="false">IF(F12&lt;&gt;0,F12-K12," ")</f>
        <v>22</v>
      </c>
      <c r="M12" s="8" t="n">
        <f aca="false">IF((F12-K12)&lt;&gt;0,M$1-A12," ")</f>
        <v>-81</v>
      </c>
      <c r="N12" s="5"/>
      <c r="O12" s="17" t="str">
        <f aca="false">IF((E12="s"),H12," ")</f>
        <v> </v>
      </c>
      <c r="P12" s="17" t="str">
        <f aca="false">IF((E12="c"),H12," ")</f>
        <v> </v>
      </c>
      <c r="Q12" s="17" t="str">
        <f aca="false">IF((E12="o"),H12," ")</f>
        <v> </v>
      </c>
      <c r="R12" s="17" t="str">
        <f aca="false">IF((E12="d"),H12," ")</f>
        <v> </v>
      </c>
      <c r="S12" s="17" t="str">
        <f aca="false">IF((E12="w"),H12," ")</f>
        <v> </v>
      </c>
      <c r="T12" s="17" t="str">
        <f aca="false">IF((E12="r"),H12," ")</f>
        <v> </v>
      </c>
      <c r="U12" s="17" t="str">
        <f aca="false">IF((E12="p"),H12," ")</f>
        <v> </v>
      </c>
      <c r="V12" s="17" t="str">
        <f aca="false">IF((E12="t"),H12," ")</f>
        <v> </v>
      </c>
      <c r="W12" s="17" t="str">
        <f aca="false">IF((E12="q"),H12," ")</f>
        <v> </v>
      </c>
      <c r="X12" s="17" t="str">
        <f aca="false">IF((E12="m"),H12," ")</f>
        <v> </v>
      </c>
      <c r="Y12" s="17" t="n">
        <f aca="false">IF((E12="u"),H12," ")</f>
        <v>18.3333333333333</v>
      </c>
      <c r="Z12" s="17" t="str">
        <f aca="false">IF((E12="a"),H12," ")</f>
        <v> </v>
      </c>
      <c r="AA12" s="17" t="str">
        <f aca="false">IF((E12="g"),H12," ")</f>
        <v> </v>
      </c>
      <c r="AB12" s="17" t="str">
        <f aca="false">IF((E12="h"),H12," ")</f>
        <v> </v>
      </c>
      <c r="AC12" s="30" t="str">
        <f aca="false">IF((E12="v"),H12," ")</f>
        <v> </v>
      </c>
      <c r="AD12" s="30" t="str">
        <f aca="false">IF((E12="n"),H12," ")</f>
        <v> </v>
      </c>
      <c r="AE12" s="17" t="str">
        <f aca="false">IF((E12="f"),H12," ")</f>
        <v> </v>
      </c>
      <c r="AF12" s="17" t="str">
        <f aca="false">IF((E12="l"),H12," ")</f>
        <v> </v>
      </c>
      <c r="AG12" s="17" t="str">
        <f aca="false">IF((E12="y"),H12," ")</f>
        <v> </v>
      </c>
      <c r="AH12" s="17" t="str">
        <f aca="false">IF((E12="z"),H12," ")</f>
        <v> </v>
      </c>
      <c r="AI12" s="17" t="str">
        <f aca="false">IF((E12="fa"),H12," ")</f>
        <v> </v>
      </c>
      <c r="AJ12" s="17" t="str">
        <f aca="false">IF((E12="e"),H12," ")</f>
        <v> </v>
      </c>
      <c r="BZ12" s="2" t="s">
        <v>101</v>
      </c>
    </row>
    <row r="13" customFormat="false" ht="12" hidden="false" customHeight="false" outlineLevel="0" collapsed="false">
      <c r="A13" s="28" t="n">
        <v>46361</v>
      </c>
      <c r="B13" s="2" t="s">
        <v>102</v>
      </c>
      <c r="D13" s="2" t="s">
        <v>103</v>
      </c>
      <c r="E13" s="2" t="s">
        <v>100</v>
      </c>
      <c r="F13" s="30" t="n">
        <v>24</v>
      </c>
      <c r="G13" s="6" t="n">
        <f aca="false">IF(F13&lt;&gt;0,F13*G$2/(100+G$2)," ")</f>
        <v>4</v>
      </c>
      <c r="H13" s="6" t="n">
        <f aca="false">IF((F13&lt;&gt;0),F13-G13," ")</f>
        <v>20</v>
      </c>
      <c r="I13" s="5"/>
      <c r="L13" s="7" t="n">
        <f aca="false">IF(F13&lt;&gt;0,F13-K13," ")</f>
        <v>24</v>
      </c>
      <c r="M13" s="8" t="n">
        <f aca="false">IF((F13-K13)&lt;&gt;0,M$1-A13," ")</f>
        <v>-83</v>
      </c>
      <c r="N13" s="5"/>
      <c r="O13" s="17" t="str">
        <f aca="false">IF((E13="s"),H13," ")</f>
        <v> </v>
      </c>
      <c r="P13" s="17" t="str">
        <f aca="false">IF((E13="c"),H13," ")</f>
        <v> </v>
      </c>
      <c r="Q13" s="17" t="str">
        <f aca="false">IF((E13="o"),H13," ")</f>
        <v> </v>
      </c>
      <c r="R13" s="17" t="str">
        <f aca="false">IF((E13="d"),H13," ")</f>
        <v> </v>
      </c>
      <c r="S13" s="17" t="str">
        <f aca="false">IF((E13="w"),H13," ")</f>
        <v> </v>
      </c>
      <c r="T13" s="17" t="str">
        <f aca="false">IF((E13="r"),H13," ")</f>
        <v> </v>
      </c>
      <c r="U13" s="17" t="str">
        <f aca="false">IF((E13="p"),H13," ")</f>
        <v> </v>
      </c>
      <c r="V13" s="17" t="str">
        <f aca="false">IF((E13="t"),H13," ")</f>
        <v> </v>
      </c>
      <c r="W13" s="17" t="str">
        <f aca="false">IF((E13="q"),H13," ")</f>
        <v> </v>
      </c>
      <c r="X13" s="17" t="str">
        <f aca="false">IF((E13="m"),H13," ")</f>
        <v> </v>
      </c>
      <c r="Y13" s="17" t="n">
        <f aca="false">IF((E13="u"),H13," ")</f>
        <v>20</v>
      </c>
      <c r="Z13" s="17" t="str">
        <f aca="false">IF((E13="a"),H13," ")</f>
        <v> </v>
      </c>
      <c r="AA13" s="17" t="str">
        <f aca="false">IF((E13="g"),H13," ")</f>
        <v> </v>
      </c>
      <c r="AB13" s="17" t="str">
        <f aca="false">IF((E13="h"),H13," ")</f>
        <v> </v>
      </c>
      <c r="AC13" s="30" t="str">
        <f aca="false">IF((E13="v"),H13," ")</f>
        <v> </v>
      </c>
      <c r="AD13" s="30" t="str">
        <f aca="false">IF((E13="n"),H13," ")</f>
        <v> </v>
      </c>
      <c r="AE13" s="17" t="str">
        <f aca="false">IF((E13="f"),H13," ")</f>
        <v> </v>
      </c>
      <c r="AF13" s="17" t="str">
        <f aca="false">IF((E13="l"),H13," ")</f>
        <v> </v>
      </c>
      <c r="AG13" s="17" t="str">
        <f aca="false">IF((E13="y"),H13," ")</f>
        <v> </v>
      </c>
      <c r="AH13" s="17" t="str">
        <f aca="false">IF((E13="z"),H13," ")</f>
        <v> </v>
      </c>
      <c r="AI13" s="17" t="str">
        <f aca="false">IF((E13="fa"),H13," ")</f>
        <v> </v>
      </c>
      <c r="AJ13" s="17" t="str">
        <f aca="false">IF((E13="e"),H13," ")</f>
        <v> </v>
      </c>
      <c r="BZ13" s="2" t="s">
        <v>101</v>
      </c>
    </row>
    <row r="14" customFormat="false" ht="12" hidden="false" customHeight="false" outlineLevel="0" collapsed="false">
      <c r="A14" s="28" t="n">
        <v>46361</v>
      </c>
      <c r="B14" s="2" t="s">
        <v>104</v>
      </c>
      <c r="D14" s="2" t="s">
        <v>105</v>
      </c>
      <c r="E14" s="2" t="s">
        <v>106</v>
      </c>
      <c r="F14" s="30" t="n">
        <v>180</v>
      </c>
      <c r="G14" s="6" t="n">
        <f aca="false">IF(F14&lt;&gt;0,F14*G$2/(100+G$2)," ")</f>
        <v>30</v>
      </c>
      <c r="H14" s="6" t="n">
        <f aca="false">IF((F14&lt;&gt;0),F14-G14," ")</f>
        <v>150</v>
      </c>
      <c r="I14" s="5"/>
      <c r="L14" s="7" t="n">
        <f aca="false">IF(F14&lt;&gt;0,F14-K14," ")</f>
        <v>180</v>
      </c>
      <c r="M14" s="8" t="n">
        <f aca="false">IF((F14-K14)&lt;&gt;0,M$1-A14," ")</f>
        <v>-83</v>
      </c>
      <c r="N14" s="5"/>
      <c r="O14" s="17" t="str">
        <f aca="false">IF((E14="s"),H14," ")</f>
        <v> </v>
      </c>
      <c r="P14" s="17" t="str">
        <f aca="false">IF((E14="c"),H14," ")</f>
        <v> </v>
      </c>
      <c r="Q14" s="17" t="str">
        <f aca="false">IF((E14="o"),H14," ")</f>
        <v> </v>
      </c>
      <c r="R14" s="17" t="str">
        <f aca="false">IF((E14="d"),H14," ")</f>
        <v> </v>
      </c>
      <c r="S14" s="17" t="str">
        <f aca="false">IF((E14="w"),H14," ")</f>
        <v> </v>
      </c>
      <c r="T14" s="17" t="str">
        <f aca="false">IF((E14="r"),H14," ")</f>
        <v> </v>
      </c>
      <c r="U14" s="17" t="str">
        <f aca="false">IF((E14="p"),H14," ")</f>
        <v> </v>
      </c>
      <c r="V14" s="17" t="str">
        <f aca="false">IF((E14="t"),H14," ")</f>
        <v> </v>
      </c>
      <c r="W14" s="17" t="str">
        <f aca="false">IF((E14="q"),H14," ")</f>
        <v> </v>
      </c>
      <c r="X14" s="17" t="str">
        <f aca="false">IF((E14="m"),H14," ")</f>
        <v> </v>
      </c>
      <c r="Y14" s="17" t="str">
        <f aca="false">IF((E14="u"),H14," ")</f>
        <v> </v>
      </c>
      <c r="Z14" s="17" t="str">
        <f aca="false">IF((E14="a"),H14," ")</f>
        <v> </v>
      </c>
      <c r="AA14" s="17" t="str">
        <f aca="false">IF((E14="g"),H14," ")</f>
        <v> </v>
      </c>
      <c r="AB14" s="17" t="str">
        <f aca="false">IF((E14="h"),H14," ")</f>
        <v> </v>
      </c>
      <c r="AC14" s="30" t="n">
        <f aca="false">IF((E14="v"),H14," ")</f>
        <v>150</v>
      </c>
      <c r="AD14" s="30" t="str">
        <f aca="false">IF((E14="n"),H14," ")</f>
        <v> </v>
      </c>
      <c r="AE14" s="17" t="str">
        <f aca="false">IF((E14="f"),H14," ")</f>
        <v> </v>
      </c>
      <c r="AF14" s="17" t="str">
        <f aca="false">IF((E14="l"),H14," ")</f>
        <v> </v>
      </c>
      <c r="AG14" s="17" t="str">
        <f aca="false">IF((E14="y"),H14," ")</f>
        <v> </v>
      </c>
      <c r="AH14" s="17" t="str">
        <f aca="false">IF((E14="z"),H14," ")</f>
        <v> </v>
      </c>
      <c r="AI14" s="17" t="str">
        <f aca="false">IF((E14="fa"),H14," ")</f>
        <v> </v>
      </c>
      <c r="AJ14" s="17" t="str">
        <f aca="false">IF((E14="e"),H14," ")</f>
        <v> </v>
      </c>
      <c r="BZ14" s="2" t="s">
        <v>107</v>
      </c>
    </row>
    <row r="15" customFormat="false" ht="12" hidden="false" customHeight="false" outlineLevel="0" collapsed="false">
      <c r="A15" s="28" t="n">
        <v>46362</v>
      </c>
      <c r="B15" s="2" t="s">
        <v>153</v>
      </c>
      <c r="D15" s="2" t="s">
        <v>154</v>
      </c>
      <c r="E15" s="2" t="s">
        <v>112</v>
      </c>
      <c r="F15" s="30" t="n">
        <v>60</v>
      </c>
      <c r="G15" s="6" t="n">
        <f aca="false">IF(F15&lt;&gt;0,F15*G$2/(100+G$2)," ")</f>
        <v>10</v>
      </c>
      <c r="H15" s="6" t="n">
        <f aca="false">IF((F15&lt;&gt;0),F15-G15," ")</f>
        <v>50</v>
      </c>
      <c r="I15" s="5"/>
      <c r="L15" s="7" t="n">
        <f aca="false">IF(F15&lt;&gt;0,F15-K15," ")</f>
        <v>60</v>
      </c>
      <c r="M15" s="8" t="n">
        <f aca="false">IF((F15-K15)&lt;&gt;0,M$1-A15," ")</f>
        <v>-84</v>
      </c>
      <c r="N15" s="5"/>
      <c r="O15" s="17" t="str">
        <f aca="false">IF((E15="s"),H15," ")</f>
        <v> </v>
      </c>
      <c r="P15" s="17" t="str">
        <f aca="false">IF((E15="c"),H15," ")</f>
        <v> </v>
      </c>
      <c r="Q15" s="17" t="str">
        <f aca="false">IF((E15="o"),H15," ")</f>
        <v> </v>
      </c>
      <c r="R15" s="17" t="str">
        <f aca="false">IF((E15="d"),H15," ")</f>
        <v> </v>
      </c>
      <c r="S15" s="17" t="str">
        <f aca="false">IF((E15="w"),H15," ")</f>
        <v> </v>
      </c>
      <c r="T15" s="17" t="str">
        <f aca="false">IF((E15="r"),H15," ")</f>
        <v> </v>
      </c>
      <c r="U15" s="17" t="str">
        <f aca="false">IF((E15="p"),H15," ")</f>
        <v> </v>
      </c>
      <c r="V15" s="17" t="str">
        <f aca="false">IF((E15="t"),H15," ")</f>
        <v> </v>
      </c>
      <c r="W15" s="17" t="str">
        <f aca="false">IF((E15="q"),H15," ")</f>
        <v> </v>
      </c>
      <c r="X15" s="17" t="str">
        <f aca="false">IF((E15="m"),H15," ")</f>
        <v> </v>
      </c>
      <c r="Y15" s="17" t="str">
        <f aca="false">IF((E15="u"),H15," ")</f>
        <v> </v>
      </c>
      <c r="Z15" s="17" t="str">
        <f aca="false">IF((E15="a"),H15," ")</f>
        <v> </v>
      </c>
      <c r="AA15" s="17" t="str">
        <f aca="false">IF((E15="g"),H15," ")</f>
        <v> </v>
      </c>
      <c r="AB15" s="17" t="n">
        <f aca="false">IF((E15="h"),H15," ")</f>
        <v>50</v>
      </c>
      <c r="AC15" s="30" t="str">
        <f aca="false">IF((E15="v"),H15," ")</f>
        <v> </v>
      </c>
      <c r="AD15" s="30" t="str">
        <f aca="false">IF((E15="n"),H15," ")</f>
        <v> </v>
      </c>
      <c r="AE15" s="17" t="str">
        <f aca="false">IF((E15="f"),H15," ")</f>
        <v> </v>
      </c>
      <c r="AF15" s="17" t="str">
        <f aca="false">IF((E15="l"),H15," ")</f>
        <v> </v>
      </c>
      <c r="AG15" s="17" t="str">
        <f aca="false">IF((E15="y"),H15," ")</f>
        <v> </v>
      </c>
      <c r="AH15" s="17" t="str">
        <f aca="false">IF((E15="z"),H15," ")</f>
        <v> </v>
      </c>
      <c r="AI15" s="17" t="str">
        <f aca="false">IF((E15="fa"),H15," ")</f>
        <v> </v>
      </c>
      <c r="AJ15" s="17" t="str">
        <f aca="false">IF((E15="e"),H15," ")</f>
        <v> </v>
      </c>
      <c r="BZ15" s="2" t="s">
        <v>113</v>
      </c>
    </row>
    <row r="16" customFormat="false" ht="12" hidden="false" customHeight="false" outlineLevel="0" collapsed="false">
      <c r="A16" s="28" t="n">
        <v>46364</v>
      </c>
      <c r="B16" s="2" t="s">
        <v>110</v>
      </c>
      <c r="D16" s="2" t="s">
        <v>111</v>
      </c>
      <c r="E16" s="2" t="s">
        <v>112</v>
      </c>
      <c r="F16" s="30" t="n">
        <v>48</v>
      </c>
      <c r="G16" s="6" t="n">
        <f aca="false">IF(F16&lt;&gt;0,F16*G$2/(100+G$2)," ")</f>
        <v>8</v>
      </c>
      <c r="H16" s="6" t="n">
        <f aca="false">IF((F16&lt;&gt;0),F16-G16," ")</f>
        <v>40</v>
      </c>
      <c r="I16" s="5"/>
      <c r="L16" s="7" t="n">
        <f aca="false">IF(F16&lt;&gt;0,F16-K16," ")</f>
        <v>48</v>
      </c>
      <c r="M16" s="8" t="n">
        <f aca="false">IF((F16-K16)&lt;&gt;0,M$1-A16," ")</f>
        <v>-86</v>
      </c>
      <c r="N16" s="5"/>
      <c r="O16" s="17" t="str">
        <f aca="false">IF((E16="s"),H16," ")</f>
        <v> </v>
      </c>
      <c r="P16" s="17" t="str">
        <f aca="false">IF((E16="c"),H16," ")</f>
        <v> </v>
      </c>
      <c r="Q16" s="17" t="str">
        <f aca="false">IF((E16="o"),H16," ")</f>
        <v> </v>
      </c>
      <c r="R16" s="17" t="str">
        <f aca="false">IF((E16="d"),H16," ")</f>
        <v> </v>
      </c>
      <c r="S16" s="17" t="str">
        <f aca="false">IF((E16="w"),H16," ")</f>
        <v> </v>
      </c>
      <c r="T16" s="17" t="str">
        <f aca="false">IF((E16="r"),H16," ")</f>
        <v> </v>
      </c>
      <c r="U16" s="17" t="str">
        <f aca="false">IF((E16="p"),H16," ")</f>
        <v> </v>
      </c>
      <c r="V16" s="17" t="str">
        <f aca="false">IF((E16="t"),H16," ")</f>
        <v> </v>
      </c>
      <c r="W16" s="17" t="str">
        <f aca="false">IF((E16="q"),H16," ")</f>
        <v> </v>
      </c>
      <c r="X16" s="17" t="str">
        <f aca="false">IF((E16="m"),H16," ")</f>
        <v> </v>
      </c>
      <c r="Y16" s="17" t="str">
        <f aca="false">IF((E16="u"),H16," ")</f>
        <v> </v>
      </c>
      <c r="Z16" s="17" t="str">
        <f aca="false">IF((E16="a"),H16," ")</f>
        <v> </v>
      </c>
      <c r="AA16" s="17" t="str">
        <f aca="false">IF((E16="g"),H16," ")</f>
        <v> </v>
      </c>
      <c r="AB16" s="17" t="n">
        <f aca="false">IF((E16="h"),H16," ")</f>
        <v>40</v>
      </c>
      <c r="AC16" s="30" t="str">
        <f aca="false">IF((E16="v"),H16," ")</f>
        <v> </v>
      </c>
      <c r="AD16" s="30" t="str">
        <f aca="false">IF((E16="n"),H16," ")</f>
        <v> </v>
      </c>
      <c r="AE16" s="17" t="str">
        <f aca="false">IF((E16="f"),H16," ")</f>
        <v> </v>
      </c>
      <c r="AF16" s="17" t="str">
        <f aca="false">IF((E16="l"),H16," ")</f>
        <v> </v>
      </c>
      <c r="AG16" s="17" t="str">
        <f aca="false">IF((E16="y"),H16," ")</f>
        <v> </v>
      </c>
      <c r="AH16" s="17" t="str">
        <f aca="false">IF((E16="z"),H16," ")</f>
        <v> </v>
      </c>
      <c r="AI16" s="17" t="str">
        <f aca="false">IF((E16="fa"),H16," ")</f>
        <v> </v>
      </c>
      <c r="AJ16" s="17" t="str">
        <f aca="false">IF((E16="e"),H16," ")</f>
        <v> </v>
      </c>
      <c r="BZ16" s="2" t="s">
        <v>113</v>
      </c>
    </row>
    <row r="17" customFormat="false" ht="12" hidden="false" customHeight="false" outlineLevel="0" collapsed="false">
      <c r="A17" s="28" t="n">
        <v>46364</v>
      </c>
      <c r="B17" s="2" t="s">
        <v>155</v>
      </c>
      <c r="D17" s="2" t="s">
        <v>156</v>
      </c>
      <c r="E17" s="2" t="s">
        <v>157</v>
      </c>
      <c r="F17" s="30" t="n">
        <v>240</v>
      </c>
      <c r="G17" s="6" t="n">
        <f aca="false">IF(F17&lt;&gt;0,F17*G$2/(100+G$2)," ")</f>
        <v>40</v>
      </c>
      <c r="H17" s="6" t="n">
        <f aca="false">IF((F17&lt;&gt;0),F17-G17," ")</f>
        <v>200</v>
      </c>
      <c r="I17" s="5"/>
      <c r="L17" s="7" t="n">
        <f aca="false">IF(F17&lt;&gt;0,F17-K17," ")</f>
        <v>240</v>
      </c>
      <c r="M17" s="8" t="n">
        <f aca="false">IF((F17-K17)&lt;&gt;0,M$1-A17," ")</f>
        <v>-86</v>
      </c>
      <c r="N17" s="5"/>
      <c r="O17" s="17" t="str">
        <f aca="false">IF((E17="s"),H17," ")</f>
        <v> </v>
      </c>
      <c r="P17" s="17" t="str">
        <f aca="false">IF((E17="c"),H17," ")</f>
        <v> </v>
      </c>
      <c r="Q17" s="17" t="str">
        <f aca="false">IF((E17="o"),H17," ")</f>
        <v> </v>
      </c>
      <c r="R17" s="17" t="str">
        <f aca="false">IF((E17="d"),H17," ")</f>
        <v> </v>
      </c>
      <c r="S17" s="17" t="str">
        <f aca="false">IF((E17="w"),H17," ")</f>
        <v> </v>
      </c>
      <c r="T17" s="17" t="str">
        <f aca="false">IF((E17="r"),H17," ")</f>
        <v> </v>
      </c>
      <c r="U17" s="17" t="str">
        <f aca="false">IF((E17="p"),H17," ")</f>
        <v> </v>
      </c>
      <c r="V17" s="17" t="str">
        <f aca="false">IF((E17="t"),H17," ")</f>
        <v> </v>
      </c>
      <c r="W17" s="17" t="n">
        <f aca="false">IF((E17="q"),H17," ")</f>
        <v>200</v>
      </c>
      <c r="X17" s="17" t="str">
        <f aca="false">IF((E17="m"),H17," ")</f>
        <v> </v>
      </c>
      <c r="Y17" s="17" t="str">
        <f aca="false">IF((E17="u"),H17," ")</f>
        <v> </v>
      </c>
      <c r="Z17" s="17" t="str">
        <f aca="false">IF((E17="a"),H17," ")</f>
        <v> </v>
      </c>
      <c r="AA17" s="17" t="str">
        <f aca="false">IF((E17="g"),H17," ")</f>
        <v> </v>
      </c>
      <c r="AB17" s="17" t="str">
        <f aca="false">IF((E17="h"),H17," ")</f>
        <v> </v>
      </c>
      <c r="AC17" s="30" t="str">
        <f aca="false">IF((E17="v"),H17," ")</f>
        <v> </v>
      </c>
      <c r="AD17" s="30" t="str">
        <f aca="false">IF((E17="n"),H17," ")</f>
        <v> </v>
      </c>
      <c r="AE17" s="17" t="str">
        <f aca="false">IF((E17="f"),H17," ")</f>
        <v> </v>
      </c>
      <c r="AF17" s="17" t="str">
        <f aca="false">IF((E17="l"),H17," ")</f>
        <v> </v>
      </c>
      <c r="AG17" s="17" t="str">
        <f aca="false">IF((E17="y"),H17," ")</f>
        <v> </v>
      </c>
      <c r="AH17" s="17" t="str">
        <f aca="false">IF((E17="z"),H17," ")</f>
        <v> </v>
      </c>
      <c r="AI17" s="17" t="str">
        <f aca="false">IF((E17="fa"),H17," ")</f>
        <v> </v>
      </c>
      <c r="AJ17" s="17" t="str">
        <f aca="false">IF((E17="e"),H17," ")</f>
        <v> </v>
      </c>
      <c r="BZ17" s="2" t="s">
        <v>158</v>
      </c>
    </row>
    <row r="18" customFormat="false" ht="12" hidden="false" customHeight="false" outlineLevel="0" collapsed="false">
      <c r="A18" s="28" t="n">
        <v>46366</v>
      </c>
      <c r="B18" s="2" t="s">
        <v>114</v>
      </c>
      <c r="D18" s="2" t="s">
        <v>115</v>
      </c>
      <c r="E18" s="2" t="s">
        <v>100</v>
      </c>
      <c r="F18" s="30" t="n">
        <v>36</v>
      </c>
      <c r="G18" s="6" t="n">
        <f aca="false">IF(F18&lt;&gt;0,F18*G$2/(100+G$2)," ")</f>
        <v>6</v>
      </c>
      <c r="H18" s="6" t="n">
        <f aca="false">IF((F18&lt;&gt;0),F18-G18," ")</f>
        <v>30</v>
      </c>
      <c r="I18" s="5"/>
      <c r="L18" s="7" t="n">
        <f aca="false">IF(F18&lt;&gt;0,F18-K18," ")</f>
        <v>36</v>
      </c>
      <c r="M18" s="8" t="n">
        <f aca="false">IF((F18-K18)&lt;&gt;0,M$1-A18," ")</f>
        <v>-88</v>
      </c>
      <c r="N18" s="5"/>
      <c r="O18" s="17" t="str">
        <f aca="false">IF((E18="s"),H18," ")</f>
        <v> </v>
      </c>
      <c r="P18" s="17" t="str">
        <f aca="false">IF((E18="c"),H18," ")</f>
        <v> </v>
      </c>
      <c r="Q18" s="17" t="str">
        <f aca="false">IF((E18="o"),H18," ")</f>
        <v> </v>
      </c>
      <c r="R18" s="17" t="str">
        <f aca="false">IF((E18="d"),H18," ")</f>
        <v> </v>
      </c>
      <c r="S18" s="17" t="str">
        <f aca="false">IF((E18="w"),H18," ")</f>
        <v> </v>
      </c>
      <c r="T18" s="17" t="str">
        <f aca="false">IF((E18="r"),H18," ")</f>
        <v> </v>
      </c>
      <c r="U18" s="17" t="str">
        <f aca="false">IF((E18="p"),H18," ")</f>
        <v> </v>
      </c>
      <c r="V18" s="17" t="str">
        <f aca="false">IF((E18="t"),H18," ")</f>
        <v> </v>
      </c>
      <c r="W18" s="17" t="str">
        <f aca="false">IF((E18="q"),H18," ")</f>
        <v> </v>
      </c>
      <c r="X18" s="17" t="str">
        <f aca="false">IF((E18="m"),H18," ")</f>
        <v> </v>
      </c>
      <c r="Y18" s="17" t="n">
        <f aca="false">IF((E18="u"),H18," ")</f>
        <v>30</v>
      </c>
      <c r="Z18" s="17" t="str">
        <f aca="false">IF((E18="a"),H18," ")</f>
        <v> </v>
      </c>
      <c r="AA18" s="17" t="str">
        <f aca="false">IF((E18="g"),H18," ")</f>
        <v> </v>
      </c>
      <c r="AB18" s="17" t="str">
        <f aca="false">IF((E18="h"),H18," ")</f>
        <v> </v>
      </c>
      <c r="AC18" s="30" t="str">
        <f aca="false">IF((E18="v"),H18," ")</f>
        <v> </v>
      </c>
      <c r="AD18" s="30" t="str">
        <f aca="false">IF((E18="n"),H18," ")</f>
        <v> </v>
      </c>
      <c r="AE18" s="17" t="str">
        <f aca="false">IF((E18="f"),H18," ")</f>
        <v> </v>
      </c>
      <c r="AF18" s="17" t="str">
        <f aca="false">IF((E18="l"),H18," ")</f>
        <v> </v>
      </c>
      <c r="AG18" s="17" t="str">
        <f aca="false">IF((E18="y"),H18," ")</f>
        <v> </v>
      </c>
      <c r="AH18" s="17" t="str">
        <f aca="false">IF((E18="z"),H18," ")</f>
        <v> </v>
      </c>
      <c r="AI18" s="17" t="str">
        <f aca="false">IF((E18="fa"),H18," ")</f>
        <v> </v>
      </c>
      <c r="AJ18" s="17" t="str">
        <f aca="false">IF((E18="e"),H18," ")</f>
        <v> </v>
      </c>
      <c r="BZ18" s="2" t="s">
        <v>101</v>
      </c>
    </row>
    <row r="19" customFormat="false" ht="12" hidden="false" customHeight="false" outlineLevel="0" collapsed="false">
      <c r="A19" s="28" t="n">
        <v>46366</v>
      </c>
      <c r="B19" s="2" t="s">
        <v>159</v>
      </c>
      <c r="D19" s="2" t="s">
        <v>160</v>
      </c>
      <c r="E19" s="2" t="s">
        <v>161</v>
      </c>
      <c r="F19" s="30" t="n">
        <v>600</v>
      </c>
      <c r="G19" s="6" t="n">
        <f aca="false">IF(F19&lt;&gt;0,F19*G$2/(100+G$2)," ")</f>
        <v>100</v>
      </c>
      <c r="H19" s="6" t="n">
        <f aca="false">IF((F19&lt;&gt;0),F19-G19," ")</f>
        <v>500</v>
      </c>
      <c r="I19" s="5"/>
      <c r="L19" s="7" t="n">
        <f aca="false">IF(F19&lt;&gt;0,F19-K19," ")</f>
        <v>600</v>
      </c>
      <c r="M19" s="8" t="n">
        <f aca="false">IF((F19-K19)&lt;&gt;0,M$1-A19," ")</f>
        <v>-88</v>
      </c>
      <c r="N19" s="5"/>
      <c r="O19" s="17" t="str">
        <f aca="false">IF((E19="s"),H19," ")</f>
        <v> </v>
      </c>
      <c r="P19" s="17" t="str">
        <f aca="false">IF((E19="c"),H19," ")</f>
        <v> </v>
      </c>
      <c r="Q19" s="17" t="str">
        <f aca="false">IF((E19="o"),H19," ")</f>
        <v> </v>
      </c>
      <c r="R19" s="17" t="str">
        <f aca="false">IF((E19="d"),H19," ")</f>
        <v> </v>
      </c>
      <c r="S19" s="17" t="str">
        <f aca="false">IF((E19="w"),H19," ")</f>
        <v> </v>
      </c>
      <c r="T19" s="17" t="str">
        <f aca="false">IF((E19="r"),H19," ")</f>
        <v> </v>
      </c>
      <c r="U19" s="17" t="str">
        <f aca="false">IF((E19="p"),H19," ")</f>
        <v> </v>
      </c>
      <c r="V19" s="17" t="str">
        <f aca="false">IF((E19="t"),H19," ")</f>
        <v> </v>
      </c>
      <c r="W19" s="17" t="str">
        <f aca="false">IF((E19="q"),H19," ")</f>
        <v> </v>
      </c>
      <c r="X19" s="17" t="str">
        <f aca="false">IF((E19="m"),H19," ")</f>
        <v> </v>
      </c>
      <c r="Y19" s="17" t="str">
        <f aca="false">IF((E19="u"),H19," ")</f>
        <v> </v>
      </c>
      <c r="Z19" s="17" t="n">
        <f aca="false">IF((E19="a"),H19," ")</f>
        <v>500</v>
      </c>
      <c r="AA19" s="17" t="str">
        <f aca="false">IF((E19="g"),H19," ")</f>
        <v> </v>
      </c>
      <c r="AB19" s="17" t="str">
        <f aca="false">IF((E19="h"),H19," ")</f>
        <v> </v>
      </c>
      <c r="AC19" s="30" t="str">
        <f aca="false">IF((E19="v"),H19," ")</f>
        <v> </v>
      </c>
      <c r="AD19" s="30" t="str">
        <f aca="false">IF((E19="n"),H19," ")</f>
        <v> </v>
      </c>
      <c r="AE19" s="17" t="str">
        <f aca="false">IF((E19="f"),H19," ")</f>
        <v> </v>
      </c>
      <c r="AF19" s="17" t="str">
        <f aca="false">IF((E19="l"),H19," ")</f>
        <v> </v>
      </c>
      <c r="AG19" s="17" t="str">
        <f aca="false">IF((E19="y"),H19," ")</f>
        <v> </v>
      </c>
      <c r="AH19" s="17" t="str">
        <f aca="false">IF((E19="z"),H19," ")</f>
        <v> </v>
      </c>
      <c r="AI19" s="17" t="str">
        <f aca="false">IF((E19="fa"),H19," ")</f>
        <v> </v>
      </c>
      <c r="AJ19" s="17" t="str">
        <f aca="false">IF((E19="e"),H19," ")</f>
        <v> </v>
      </c>
      <c r="BZ19" s="2" t="s">
        <v>162</v>
      </c>
    </row>
    <row r="20" customFormat="false" ht="12" hidden="false" customHeight="false" outlineLevel="0" collapsed="false">
      <c r="A20" s="28" t="n">
        <v>46368</v>
      </c>
      <c r="B20" s="2" t="s">
        <v>124</v>
      </c>
      <c r="D20" s="2" t="s">
        <v>125</v>
      </c>
      <c r="E20" s="2" t="s">
        <v>106</v>
      </c>
      <c r="F20" s="30" t="n">
        <v>18</v>
      </c>
      <c r="G20" s="6" t="n">
        <f aca="false">IF(F20&lt;&gt;0,F20*G$2/(100+G$2)," ")</f>
        <v>3</v>
      </c>
      <c r="H20" s="6" t="n">
        <f aca="false">IF((F20&lt;&gt;0),F20-G20," ")</f>
        <v>15</v>
      </c>
      <c r="I20" s="5"/>
      <c r="L20" s="7" t="n">
        <f aca="false">IF(F20&lt;&gt;0,F20-K20," ")</f>
        <v>18</v>
      </c>
      <c r="M20" s="8" t="n">
        <f aca="false">IF((F20-K20)&lt;&gt;0,M$1-A20," ")</f>
        <v>-90</v>
      </c>
      <c r="N20" s="5"/>
      <c r="O20" s="17" t="str">
        <f aca="false">IF((E20="s"),H20," ")</f>
        <v> </v>
      </c>
      <c r="P20" s="17" t="str">
        <f aca="false">IF((E20="c"),H20," ")</f>
        <v> </v>
      </c>
      <c r="Q20" s="17" t="str">
        <f aca="false">IF((E20="o"),H20," ")</f>
        <v> </v>
      </c>
      <c r="R20" s="17" t="str">
        <f aca="false">IF((E20="d"),H20," ")</f>
        <v> </v>
      </c>
      <c r="S20" s="17" t="str">
        <f aca="false">IF((E20="w"),H20," ")</f>
        <v> </v>
      </c>
      <c r="T20" s="17" t="str">
        <f aca="false">IF((E20="r"),H20," ")</f>
        <v> </v>
      </c>
      <c r="U20" s="17" t="str">
        <f aca="false">IF((E20="p"),H20," ")</f>
        <v> </v>
      </c>
      <c r="V20" s="17" t="str">
        <f aca="false">IF((E20="t"),H20," ")</f>
        <v> </v>
      </c>
      <c r="W20" s="17" t="str">
        <f aca="false">IF((E20="q"),H20," ")</f>
        <v> </v>
      </c>
      <c r="X20" s="17" t="str">
        <f aca="false">IF((E20="m"),H20," ")</f>
        <v> </v>
      </c>
      <c r="Y20" s="17" t="str">
        <f aca="false">IF((E20="u"),H20," ")</f>
        <v> </v>
      </c>
      <c r="Z20" s="17" t="str">
        <f aca="false">IF((E20="a"),H20," ")</f>
        <v> </v>
      </c>
      <c r="AA20" s="17" t="str">
        <f aca="false">IF((E20="g"),H20," ")</f>
        <v> </v>
      </c>
      <c r="AB20" s="17" t="str">
        <f aca="false">IF((E20="h"),H20," ")</f>
        <v> </v>
      </c>
      <c r="AC20" s="30" t="n">
        <f aca="false">IF((E20="v"),H20," ")</f>
        <v>15</v>
      </c>
      <c r="AD20" s="30" t="str">
        <f aca="false">IF((E20="n"),H20," ")</f>
        <v> </v>
      </c>
      <c r="AE20" s="17" t="str">
        <f aca="false">IF((E20="f"),H20," ")</f>
        <v> </v>
      </c>
      <c r="AF20" s="17" t="str">
        <f aca="false">IF((E20="l"),H20," ")</f>
        <v> </v>
      </c>
      <c r="AG20" s="17" t="str">
        <f aca="false">IF((E20="y"),H20," ")</f>
        <v> </v>
      </c>
      <c r="AH20" s="17" t="str">
        <f aca="false">IF((E20="z"),H20," ")</f>
        <v> </v>
      </c>
      <c r="AI20" s="17" t="str">
        <f aca="false">IF((E20="fa"),H20," ")</f>
        <v> </v>
      </c>
      <c r="AJ20" s="17" t="str">
        <f aca="false">IF((E20="e"),H20," ")</f>
        <v> </v>
      </c>
      <c r="BZ20" s="2" t="s">
        <v>107</v>
      </c>
    </row>
    <row r="21" customFormat="false" ht="12" hidden="false" customHeight="false" outlineLevel="0" collapsed="false">
      <c r="A21" s="28" t="n">
        <v>46370</v>
      </c>
      <c r="B21" s="2" t="s">
        <v>128</v>
      </c>
      <c r="D21" s="2" t="s">
        <v>129</v>
      </c>
      <c r="E21" s="2" t="s">
        <v>112</v>
      </c>
      <c r="F21" s="30" t="n">
        <v>24</v>
      </c>
      <c r="G21" s="6" t="n">
        <f aca="false">IF(F21&lt;&gt;0,F21*G$2/(100+G$2)," ")</f>
        <v>4</v>
      </c>
      <c r="H21" s="6" t="n">
        <f aca="false">IF((F21&lt;&gt;0),F21-G21," ")</f>
        <v>20</v>
      </c>
      <c r="I21" s="5"/>
      <c r="L21" s="7" t="n">
        <f aca="false">IF(F21&lt;&gt;0,F21-K21," ")</f>
        <v>24</v>
      </c>
      <c r="M21" s="8" t="n">
        <f aca="false">IF((F21-K21)&lt;&gt;0,M$1-A21," ")</f>
        <v>-92</v>
      </c>
      <c r="N21" s="5"/>
      <c r="O21" s="17" t="str">
        <f aca="false">IF((E21="s"),H21," ")</f>
        <v> </v>
      </c>
      <c r="P21" s="17" t="str">
        <f aca="false">IF((E21="c"),H21," ")</f>
        <v> </v>
      </c>
      <c r="Q21" s="17" t="str">
        <f aca="false">IF((E21="o"),H21," ")</f>
        <v> </v>
      </c>
      <c r="R21" s="17" t="str">
        <f aca="false">IF((E21="d"),H21," ")</f>
        <v> </v>
      </c>
      <c r="S21" s="17" t="str">
        <f aca="false">IF((E21="w"),H21," ")</f>
        <v> </v>
      </c>
      <c r="T21" s="17" t="str">
        <f aca="false">IF((E21="r"),H21," ")</f>
        <v> </v>
      </c>
      <c r="U21" s="17" t="str">
        <f aca="false">IF((E21="p"),H21," ")</f>
        <v> </v>
      </c>
      <c r="V21" s="17" t="str">
        <f aca="false">IF((E21="t"),H21," ")</f>
        <v> </v>
      </c>
      <c r="W21" s="17" t="str">
        <f aca="false">IF((E21="q"),H21," ")</f>
        <v> </v>
      </c>
      <c r="X21" s="17" t="str">
        <f aca="false">IF((E21="m"),H21," ")</f>
        <v> </v>
      </c>
      <c r="Y21" s="17" t="str">
        <f aca="false">IF((E21="u"),H21," ")</f>
        <v> </v>
      </c>
      <c r="Z21" s="17" t="str">
        <f aca="false">IF((E21="a"),H21," ")</f>
        <v> </v>
      </c>
      <c r="AA21" s="17" t="str">
        <f aca="false">IF((E21="g"),H21," ")</f>
        <v> </v>
      </c>
      <c r="AB21" s="17" t="n">
        <f aca="false">IF((E21="h"),H21," ")</f>
        <v>20</v>
      </c>
      <c r="AC21" s="30" t="str">
        <f aca="false">IF((E21="v"),H21," ")</f>
        <v> </v>
      </c>
      <c r="AD21" s="30" t="str">
        <f aca="false">IF((E21="n"),H21," ")</f>
        <v> </v>
      </c>
      <c r="AE21" s="17" t="str">
        <f aca="false">IF((E21="f"),H21," ")</f>
        <v> </v>
      </c>
      <c r="AF21" s="17" t="str">
        <f aca="false">IF((E21="l"),H21," ")</f>
        <v> </v>
      </c>
      <c r="AG21" s="17" t="str">
        <f aca="false">IF((E21="y"),H21," ")</f>
        <v> </v>
      </c>
      <c r="AH21" s="17" t="str">
        <f aca="false">IF((E21="z"),H21," ")</f>
        <v> </v>
      </c>
      <c r="AI21" s="17" t="str">
        <f aca="false">IF((E21="fa"),H21," ")</f>
        <v> </v>
      </c>
      <c r="AJ21" s="17" t="str">
        <f aca="false">IF((E21="e"),H21," ")</f>
        <v> </v>
      </c>
      <c r="BZ21" s="2" t="s">
        <v>113</v>
      </c>
    </row>
    <row r="22" customFormat="false" ht="12" hidden="false" customHeight="false" outlineLevel="0" collapsed="false">
      <c r="A22" s="28" t="n">
        <v>46370</v>
      </c>
      <c r="B22" s="2" t="s">
        <v>130</v>
      </c>
      <c r="D22" s="2" t="s">
        <v>131</v>
      </c>
      <c r="E22" s="2" t="s">
        <v>112</v>
      </c>
      <c r="F22" s="30" t="n">
        <v>12</v>
      </c>
      <c r="G22" s="6" t="n">
        <f aca="false">IF(F22&lt;&gt;0,F22*G$2/(100+G$2)," ")</f>
        <v>2</v>
      </c>
      <c r="H22" s="6" t="n">
        <f aca="false">IF((F22&lt;&gt;0),F22-G22," ")</f>
        <v>10</v>
      </c>
      <c r="I22" s="5"/>
      <c r="L22" s="7" t="n">
        <f aca="false">IF(F22&lt;&gt;0,F22-K22," ")</f>
        <v>12</v>
      </c>
      <c r="M22" s="8" t="n">
        <f aca="false">IF((F22-K22)&lt;&gt;0,M$1-A22," ")</f>
        <v>-92</v>
      </c>
      <c r="N22" s="5"/>
      <c r="O22" s="17" t="str">
        <f aca="false">IF((E22="s"),H22," ")</f>
        <v> </v>
      </c>
      <c r="P22" s="17" t="str">
        <f aca="false">IF((E22="c"),H22," ")</f>
        <v> </v>
      </c>
      <c r="Q22" s="17" t="str">
        <f aca="false">IF((E22="o"),H22," ")</f>
        <v> </v>
      </c>
      <c r="R22" s="17" t="str">
        <f aca="false">IF((E22="d"),H22," ")</f>
        <v> </v>
      </c>
      <c r="S22" s="17" t="str">
        <f aca="false">IF((E22="w"),H22," ")</f>
        <v> </v>
      </c>
      <c r="T22" s="17" t="str">
        <f aca="false">IF((E22="r"),H22," ")</f>
        <v> </v>
      </c>
      <c r="U22" s="17" t="str">
        <f aca="false">IF((E22="p"),H22," ")</f>
        <v> </v>
      </c>
      <c r="V22" s="17" t="str">
        <f aca="false">IF((E22="t"),H22," ")</f>
        <v> </v>
      </c>
      <c r="W22" s="17" t="str">
        <f aca="false">IF((E22="q"),H22," ")</f>
        <v> </v>
      </c>
      <c r="X22" s="17" t="str">
        <f aca="false">IF((E22="m"),H22," ")</f>
        <v> </v>
      </c>
      <c r="Y22" s="17" t="str">
        <f aca="false">IF((E22="u"),H22," ")</f>
        <v> </v>
      </c>
      <c r="Z22" s="17" t="str">
        <f aca="false">IF((E22="a"),H22," ")</f>
        <v> </v>
      </c>
      <c r="AA22" s="17" t="str">
        <f aca="false">IF((E22="g"),H22," ")</f>
        <v> </v>
      </c>
      <c r="AB22" s="17" t="n">
        <f aca="false">IF((E22="h"),H22," ")</f>
        <v>10</v>
      </c>
      <c r="AC22" s="30" t="str">
        <f aca="false">IF((E22="v"),H22," ")</f>
        <v> </v>
      </c>
      <c r="AD22" s="30" t="str">
        <f aca="false">IF((E22="n"),H22," ")</f>
        <v> </v>
      </c>
      <c r="AE22" s="17" t="str">
        <f aca="false">IF((E22="f"),H22," ")</f>
        <v> </v>
      </c>
      <c r="AF22" s="17" t="str">
        <f aca="false">IF((E22="l"),H22," ")</f>
        <v> </v>
      </c>
      <c r="AG22" s="17" t="str">
        <f aca="false">IF((E22="y"),H22," ")</f>
        <v> </v>
      </c>
      <c r="AH22" s="17" t="str">
        <f aca="false">IF((E22="z"),H22," ")</f>
        <v> </v>
      </c>
      <c r="AI22" s="17" t="str">
        <f aca="false">IF((E22="fa"),H22," ")</f>
        <v> </v>
      </c>
      <c r="AJ22" s="17" t="str">
        <f aca="false">IF((E22="e"),H22," ")</f>
        <v> </v>
      </c>
      <c r="BZ22" s="2" t="s">
        <v>113</v>
      </c>
    </row>
    <row r="23" customFormat="false" ht="12" hidden="false" customHeight="false" outlineLevel="0" collapsed="false">
      <c r="A23" s="28" t="n">
        <v>46371</v>
      </c>
      <c r="B23" s="2" t="s">
        <v>20</v>
      </c>
      <c r="D23" s="2" t="s">
        <v>105</v>
      </c>
      <c r="E23" s="2" t="s">
        <v>106</v>
      </c>
      <c r="F23" s="30" t="n">
        <v>150</v>
      </c>
      <c r="G23" s="6" t="n">
        <f aca="false">IF(F23&lt;&gt;0,F23*G$2/(100+G$2)," ")</f>
        <v>25</v>
      </c>
      <c r="H23" s="6" t="n">
        <f aca="false">IF((F23&lt;&gt;0),F23-G23," ")</f>
        <v>125</v>
      </c>
      <c r="I23" s="5"/>
      <c r="L23" s="7" t="n">
        <f aca="false">IF(F23&lt;&gt;0,F23-K23," ")</f>
        <v>150</v>
      </c>
      <c r="M23" s="8" t="n">
        <f aca="false">IF((F23-K23)&lt;&gt;0,M$1-A23," ")</f>
        <v>-93</v>
      </c>
      <c r="N23" s="5"/>
      <c r="O23" s="17" t="str">
        <f aca="false">IF((E23="s"),H23," ")</f>
        <v> </v>
      </c>
      <c r="P23" s="17" t="str">
        <f aca="false">IF((E23="c"),H23," ")</f>
        <v> </v>
      </c>
      <c r="Q23" s="17" t="str">
        <f aca="false">IF((E23="o"),H23," ")</f>
        <v> </v>
      </c>
      <c r="R23" s="17" t="str">
        <f aca="false">IF((E23="d"),H23," ")</f>
        <v> </v>
      </c>
      <c r="S23" s="17" t="str">
        <f aca="false">IF((E23="w"),H23," ")</f>
        <v> </v>
      </c>
      <c r="T23" s="17" t="str">
        <f aca="false">IF((E23="r"),H23," ")</f>
        <v> </v>
      </c>
      <c r="U23" s="17" t="str">
        <f aca="false">IF((E23="p"),H23," ")</f>
        <v> </v>
      </c>
      <c r="V23" s="17" t="str">
        <f aca="false">IF((E23="t"),H23," ")</f>
        <v> </v>
      </c>
      <c r="W23" s="17" t="str">
        <f aca="false">IF((E23="q"),H23," ")</f>
        <v> </v>
      </c>
      <c r="X23" s="17" t="str">
        <f aca="false">IF((E23="m"),H23," ")</f>
        <v> </v>
      </c>
      <c r="Y23" s="17" t="str">
        <f aca="false">IF((E23="u"),H23," ")</f>
        <v> </v>
      </c>
      <c r="Z23" s="17" t="str">
        <f aca="false">IF((E23="a"),H23," ")</f>
        <v> </v>
      </c>
      <c r="AA23" s="17" t="str">
        <f aca="false">IF((E23="g"),H23," ")</f>
        <v> </v>
      </c>
      <c r="AB23" s="17" t="str">
        <f aca="false">IF((E23="h"),H23," ")</f>
        <v> </v>
      </c>
      <c r="AC23" s="30" t="n">
        <f aca="false">IF((E23="v"),H23," ")</f>
        <v>125</v>
      </c>
      <c r="AD23" s="30" t="str">
        <f aca="false">IF((E23="n"),H23," ")</f>
        <v> </v>
      </c>
      <c r="AE23" s="17" t="str">
        <f aca="false">IF((E23="f"),H23," ")</f>
        <v> </v>
      </c>
      <c r="AF23" s="17" t="str">
        <f aca="false">IF((E23="l"),H23," ")</f>
        <v> </v>
      </c>
      <c r="AG23" s="17" t="str">
        <f aca="false">IF((E23="y"),H23," ")</f>
        <v> </v>
      </c>
      <c r="AH23" s="17" t="str">
        <f aca="false">IF((E23="z"),H23," ")</f>
        <v> </v>
      </c>
      <c r="AI23" s="17" t="str">
        <f aca="false">IF((E23="fa"),H23," ")</f>
        <v> </v>
      </c>
      <c r="AJ23" s="17" t="str">
        <f aca="false">IF((E23="e"),H23," ")</f>
        <v> </v>
      </c>
      <c r="BZ23" s="2" t="s">
        <v>107</v>
      </c>
    </row>
    <row r="24" customFormat="false" ht="12" hidden="false" customHeight="false" outlineLevel="0" collapsed="false">
      <c r="A24" s="28" t="n">
        <v>46371</v>
      </c>
      <c r="B24" s="2" t="s">
        <v>132</v>
      </c>
      <c r="D24" s="2" t="s">
        <v>133</v>
      </c>
      <c r="E24" s="2" t="s">
        <v>80</v>
      </c>
      <c r="F24" s="30" t="n">
        <v>12</v>
      </c>
      <c r="G24" s="6" t="n">
        <f aca="false">IF(F24&lt;&gt;0,F24*G$2/(100+G$2)," ")</f>
        <v>2</v>
      </c>
      <c r="H24" s="6" t="n">
        <f aca="false">IF((F24&lt;&gt;0),F24-G24," ")</f>
        <v>10</v>
      </c>
      <c r="I24" s="5"/>
      <c r="L24" s="7" t="n">
        <f aca="false">IF(F24&lt;&gt;0,F24-K24," ")</f>
        <v>12</v>
      </c>
      <c r="M24" s="8" t="n">
        <f aca="false">IF((F24-K24)&lt;&gt;0,M$1-A24," ")</f>
        <v>-93</v>
      </c>
      <c r="N24" s="5"/>
      <c r="O24" s="17" t="str">
        <f aca="false">IF((E24="s"),H24," ")</f>
        <v> </v>
      </c>
      <c r="P24" s="17" t="str">
        <f aca="false">IF((E24="c"),H24," ")</f>
        <v> </v>
      </c>
      <c r="Q24" s="17" t="str">
        <f aca="false">IF((E24="o"),H24," ")</f>
        <v> </v>
      </c>
      <c r="R24" s="17" t="str">
        <f aca="false">IF((E24="d"),H24," ")</f>
        <v> </v>
      </c>
      <c r="S24" s="17" t="str">
        <f aca="false">IF((E24="w"),H24," ")</f>
        <v> </v>
      </c>
      <c r="T24" s="17" t="str">
        <f aca="false">IF((E24="r"),H24," ")</f>
        <v> </v>
      </c>
      <c r="U24" s="17" t="str">
        <f aca="false">IF((E24="p"),H24," ")</f>
        <v> </v>
      </c>
      <c r="V24" s="17" t="str">
        <f aca="false">IF((E24="t"),H24," ")</f>
        <v> </v>
      </c>
      <c r="W24" s="17" t="str">
        <f aca="false">IF((E24="q"),H24," ")</f>
        <v> </v>
      </c>
      <c r="X24" s="17" t="str">
        <f aca="false">IF((E24="m"),H24," ")</f>
        <v> </v>
      </c>
      <c r="Y24" s="17" t="str">
        <f aca="false">IF((E24="u"),H24," ")</f>
        <v> </v>
      </c>
      <c r="Z24" s="17" t="str">
        <f aca="false">IF((E24="a"),H24," ")</f>
        <v> </v>
      </c>
      <c r="AA24" s="17" t="n">
        <f aca="false">IF((E24="g"),H24," ")</f>
        <v>10</v>
      </c>
      <c r="AB24" s="17" t="str">
        <f aca="false">IF((E24="h"),H24," ")</f>
        <v> </v>
      </c>
      <c r="AC24" s="30" t="str">
        <f aca="false">IF((E24="v"),H24," ")</f>
        <v> </v>
      </c>
      <c r="AD24" s="30" t="str">
        <f aca="false">IF((E24="n"),H24," ")</f>
        <v> </v>
      </c>
      <c r="AE24" s="17" t="str">
        <f aca="false">IF((E24="f"),H24," ")</f>
        <v> </v>
      </c>
      <c r="AF24" s="17" t="str">
        <f aca="false">IF((E24="l"),H24," ")</f>
        <v> </v>
      </c>
      <c r="AG24" s="17" t="str">
        <f aca="false">IF((E24="y"),H24," ")</f>
        <v> </v>
      </c>
      <c r="AH24" s="17" t="str">
        <f aca="false">IF((E24="z"),H24," ")</f>
        <v> </v>
      </c>
      <c r="AI24" s="17" t="str">
        <f aca="false">IF((E24="fa"),H24," ")</f>
        <v> </v>
      </c>
      <c r="AJ24" s="17" t="str">
        <f aca="false">IF((E24="e"),H24," ")</f>
        <v> </v>
      </c>
      <c r="BZ24" s="2" t="s">
        <v>81</v>
      </c>
    </row>
    <row r="25" customFormat="false" ht="12" hidden="false" customHeight="false" outlineLevel="0" collapsed="false">
      <c r="A25" s="28" t="n">
        <v>46371</v>
      </c>
      <c r="B25" s="2" t="s">
        <v>163</v>
      </c>
      <c r="D25" s="2" t="s">
        <v>164</v>
      </c>
      <c r="E25" s="2" t="s">
        <v>122</v>
      </c>
      <c r="F25" s="30" t="n">
        <v>480</v>
      </c>
      <c r="G25" s="6" t="n">
        <f aca="false">IF(F25&lt;&gt;0,F25*G$2/(100+G$2)," ")</f>
        <v>80</v>
      </c>
      <c r="H25" s="6" t="n">
        <f aca="false">IF((F25&lt;&gt;0),F25-G25," ")</f>
        <v>400</v>
      </c>
      <c r="I25" s="5"/>
      <c r="L25" s="7" t="n">
        <f aca="false">IF(F25&lt;&gt;0,F25-K25," ")</f>
        <v>480</v>
      </c>
      <c r="M25" s="8" t="n">
        <f aca="false">IF((F25-K25)&lt;&gt;0,M$1-A25," ")</f>
        <v>-93</v>
      </c>
      <c r="N25" s="5"/>
      <c r="O25" s="17" t="n">
        <f aca="false">IF((E25="s"),H25," ")</f>
        <v>400</v>
      </c>
      <c r="P25" s="17" t="str">
        <f aca="false">IF((E25="c"),H25," ")</f>
        <v> </v>
      </c>
      <c r="Q25" s="17" t="str">
        <f aca="false">IF((E25="o"),H25," ")</f>
        <v> </v>
      </c>
      <c r="R25" s="17" t="str">
        <f aca="false">IF((E25="d"),H25," ")</f>
        <v> </v>
      </c>
      <c r="S25" s="17" t="str">
        <f aca="false">IF((E25="w"),H25," ")</f>
        <v> </v>
      </c>
      <c r="T25" s="17" t="str">
        <f aca="false">IF((E25="r"),H25," ")</f>
        <v> </v>
      </c>
      <c r="U25" s="17" t="str">
        <f aca="false">IF((E25="p"),H25," ")</f>
        <v> </v>
      </c>
      <c r="V25" s="17" t="str">
        <f aca="false">IF((E25="t"),H25," ")</f>
        <v> </v>
      </c>
      <c r="W25" s="17" t="str">
        <f aca="false">IF((E25="q"),H25," ")</f>
        <v> </v>
      </c>
      <c r="X25" s="17" t="str">
        <f aca="false">IF((E25="m"),H25," ")</f>
        <v> </v>
      </c>
      <c r="Y25" s="17" t="str">
        <f aca="false">IF((E25="u"),H25," ")</f>
        <v> </v>
      </c>
      <c r="Z25" s="17" t="str">
        <f aca="false">IF((E25="a"),H25," ")</f>
        <v> </v>
      </c>
      <c r="AA25" s="17" t="str">
        <f aca="false">IF((E25="g"),H25," ")</f>
        <v> </v>
      </c>
      <c r="AB25" s="17" t="str">
        <f aca="false">IF((E25="h"),H25," ")</f>
        <v> </v>
      </c>
      <c r="AC25" s="30" t="str">
        <f aca="false">IF((E25="v"),H25," ")</f>
        <v> </v>
      </c>
      <c r="AD25" s="30" t="str">
        <f aca="false">IF((E25="n"),H25," ")</f>
        <v> </v>
      </c>
      <c r="AE25" s="17" t="str">
        <f aca="false">IF((E25="f"),H25," ")</f>
        <v> </v>
      </c>
      <c r="AF25" s="17" t="str">
        <f aca="false">IF((E25="l"),H25," ")</f>
        <v> </v>
      </c>
      <c r="AG25" s="17" t="str">
        <f aca="false">IF((E25="y"),H25," ")</f>
        <v> </v>
      </c>
      <c r="AH25" s="17" t="str">
        <f aca="false">IF((E25="z"),H25," ")</f>
        <v> </v>
      </c>
      <c r="AI25" s="17" t="str">
        <f aca="false">IF((E25="fa"),H25," ")</f>
        <v> </v>
      </c>
      <c r="AJ25" s="17" t="str">
        <f aca="false">IF((E25="e"),H25," ")</f>
        <v> </v>
      </c>
      <c r="BZ25" s="2" t="s">
        <v>123</v>
      </c>
    </row>
    <row r="26" customFormat="false" ht="12" hidden="false" customHeight="false" outlineLevel="0" collapsed="false">
      <c r="A26" s="28" t="n">
        <v>46371</v>
      </c>
      <c r="B26" s="2" t="s">
        <v>165</v>
      </c>
      <c r="C26" s="3" t="s">
        <v>166</v>
      </c>
      <c r="D26" s="2" t="s">
        <v>167</v>
      </c>
      <c r="E26" s="2" t="s">
        <v>168</v>
      </c>
      <c r="F26" s="30" t="n">
        <v>1800</v>
      </c>
      <c r="G26" s="6" t="n">
        <f aca="false">IF(F26&lt;&gt;0,F26*G$2/(100+G$2)," ")</f>
        <v>300</v>
      </c>
      <c r="H26" s="6" t="n">
        <f aca="false">IF((F26&lt;&gt;0),F26-G26," ")</f>
        <v>1500</v>
      </c>
      <c r="I26" s="5"/>
      <c r="L26" s="7" t="n">
        <f aca="false">IF(F26&lt;&gt;0,F26-K26," ")</f>
        <v>1800</v>
      </c>
      <c r="M26" s="8" t="n">
        <f aca="false">IF((F26-K26)&lt;&gt;0,M$1-A26," ")</f>
        <v>-93</v>
      </c>
      <c r="N26" s="5"/>
      <c r="O26" s="17" t="str">
        <f aca="false">IF((E26="s"),H26," ")</f>
        <v> </v>
      </c>
      <c r="P26" s="17" t="str">
        <f aca="false">IF((E26="c"),H26," ")</f>
        <v> </v>
      </c>
      <c r="Q26" s="17" t="str">
        <f aca="false">IF((E26="o"),H26," ")</f>
        <v> </v>
      </c>
      <c r="R26" s="17" t="str">
        <f aca="false">IF((E26="d"),H26," ")</f>
        <v> </v>
      </c>
      <c r="S26" s="17" t="str">
        <f aca="false">IF((E26="w"),H26," ")</f>
        <v> </v>
      </c>
      <c r="T26" s="17" t="str">
        <f aca="false">IF((E26="r"),H26," ")</f>
        <v> </v>
      </c>
      <c r="U26" s="17" t="str">
        <f aca="false">IF((E26="p"),H26," ")</f>
        <v> </v>
      </c>
      <c r="V26" s="17" t="str">
        <f aca="false">IF((E26="t"),H26," ")</f>
        <v> </v>
      </c>
      <c r="W26" s="17" t="str">
        <f aca="false">IF((E26="q"),H26," ")</f>
        <v> </v>
      </c>
      <c r="X26" s="17" t="str">
        <f aca="false">IF((E26="m"),H26," ")</f>
        <v> </v>
      </c>
      <c r="Y26" s="17" t="str">
        <f aca="false">IF((E26="u"),H26," ")</f>
        <v> </v>
      </c>
      <c r="Z26" s="17" t="str">
        <f aca="false">IF((E26="a"),H26," ")</f>
        <v> </v>
      </c>
      <c r="AA26" s="17" t="str">
        <f aca="false">IF((E26="g"),H26," ")</f>
        <v> </v>
      </c>
      <c r="AB26" s="17" t="str">
        <f aca="false">IF((E26="h"),H26," ")</f>
        <v> </v>
      </c>
      <c r="AC26" s="30" t="str">
        <f aca="false">IF((E26="v"),H26," ")</f>
        <v> </v>
      </c>
      <c r="AD26" s="30" t="str">
        <f aca="false">IF((E26="n"),H26," ")</f>
        <v> </v>
      </c>
      <c r="AE26" s="17" t="str">
        <f aca="false">IF((E26="f"),H26," ")</f>
        <v> </v>
      </c>
      <c r="AF26" s="17" t="str">
        <f aca="false">IF((E26="l"),H26," ")</f>
        <v> </v>
      </c>
      <c r="AG26" s="17" t="str">
        <f aca="false">IF((E26="y"),H26," ")</f>
        <v> </v>
      </c>
      <c r="AH26" s="17" t="str">
        <f aca="false">IF((E26="z"),H26," ")</f>
        <v> </v>
      </c>
      <c r="AI26" s="17" t="n">
        <f aca="false">IF((E26="fa"),H26," ")</f>
        <v>1500</v>
      </c>
      <c r="AJ26" s="17" t="str">
        <f aca="false">IF((E26="e"),H26," ")</f>
        <v> </v>
      </c>
      <c r="BZ26" s="2" t="s">
        <v>169</v>
      </c>
    </row>
    <row r="27" customFormat="false" ht="12" hidden="false" customHeight="false" outlineLevel="0" collapsed="false">
      <c r="A27" s="28" t="n">
        <v>46372</v>
      </c>
      <c r="B27" s="2" t="s">
        <v>170</v>
      </c>
      <c r="D27" s="2" t="s">
        <v>171</v>
      </c>
      <c r="E27" s="2" t="s">
        <v>80</v>
      </c>
      <c r="F27" s="30" t="n">
        <v>18</v>
      </c>
      <c r="G27" s="6" t="n">
        <f aca="false">IF(F27&lt;&gt;0,F27*G$2/(100+G$2)," ")</f>
        <v>3</v>
      </c>
      <c r="H27" s="6" t="n">
        <f aca="false">IF((F27&lt;&gt;0),F27-G27," ")</f>
        <v>15</v>
      </c>
      <c r="I27" s="5"/>
      <c r="L27" s="7" t="n">
        <f aca="false">IF(F27&lt;&gt;0,F27-K27," ")</f>
        <v>18</v>
      </c>
      <c r="M27" s="8" t="n">
        <f aca="false">IF((F27-K27)&lt;&gt;0,M$1-A27," ")</f>
        <v>-94</v>
      </c>
      <c r="N27" s="5"/>
      <c r="O27" s="17" t="str">
        <f aca="false">IF((E27="s"),H27," ")</f>
        <v> </v>
      </c>
      <c r="P27" s="17" t="str">
        <f aca="false">IF((E27="c"),H27," ")</f>
        <v> </v>
      </c>
      <c r="Q27" s="17" t="str">
        <f aca="false">IF((E27="o"),H27," ")</f>
        <v> </v>
      </c>
      <c r="R27" s="17" t="str">
        <f aca="false">IF((E27="d"),H27," ")</f>
        <v> </v>
      </c>
      <c r="S27" s="17" t="str">
        <f aca="false">IF((E27="w"),H27," ")</f>
        <v> </v>
      </c>
      <c r="T27" s="17" t="str">
        <f aca="false">IF((E27="r"),H27," ")</f>
        <v> </v>
      </c>
      <c r="U27" s="17" t="str">
        <f aca="false">IF((E27="p"),H27," ")</f>
        <v> </v>
      </c>
      <c r="V27" s="17" t="str">
        <f aca="false">IF((E27="t"),H27," ")</f>
        <v> </v>
      </c>
      <c r="W27" s="17" t="str">
        <f aca="false">IF((E27="q"),H27," ")</f>
        <v> </v>
      </c>
      <c r="X27" s="17" t="str">
        <f aca="false">IF((E27="m"),H27," ")</f>
        <v> </v>
      </c>
      <c r="Y27" s="17" t="str">
        <f aca="false">IF((E27="u"),H27," ")</f>
        <v> </v>
      </c>
      <c r="Z27" s="17" t="str">
        <f aca="false">IF((E27="a"),H27," ")</f>
        <v> </v>
      </c>
      <c r="AA27" s="17" t="n">
        <f aca="false">IF((E27="g"),H27," ")</f>
        <v>15</v>
      </c>
      <c r="AB27" s="17" t="str">
        <f aca="false">IF((E27="h"),H27," ")</f>
        <v> </v>
      </c>
      <c r="AC27" s="30" t="str">
        <f aca="false">IF((E27="v"),H27," ")</f>
        <v> </v>
      </c>
      <c r="AD27" s="30" t="str">
        <f aca="false">IF((E27="n"),H27," ")</f>
        <v> </v>
      </c>
      <c r="AE27" s="17" t="str">
        <f aca="false">IF((E27="f"),H27," ")</f>
        <v> </v>
      </c>
      <c r="AF27" s="17" t="str">
        <f aca="false">IF((E27="l"),H27," ")</f>
        <v> </v>
      </c>
      <c r="AG27" s="17" t="str">
        <f aca="false">IF((E27="y"),H27," ")</f>
        <v> </v>
      </c>
      <c r="AH27" s="17" t="str">
        <f aca="false">IF((E27="z"),H27," ")</f>
        <v> </v>
      </c>
      <c r="AI27" s="17" t="str">
        <f aca="false">IF((E27="fa"),H27," ")</f>
        <v> </v>
      </c>
      <c r="AJ27" s="17" t="str">
        <f aca="false">IF((E27="e"),H27," ")</f>
        <v> </v>
      </c>
      <c r="BZ27" s="2" t="s">
        <v>81</v>
      </c>
    </row>
    <row r="28" customFormat="false" ht="12" hidden="false" customHeight="false" outlineLevel="0" collapsed="false">
      <c r="A28" s="28" t="n">
        <v>46374</v>
      </c>
      <c r="B28" s="2" t="s">
        <v>134</v>
      </c>
      <c r="D28" s="2" t="s">
        <v>105</v>
      </c>
      <c r="E28" s="2" t="s">
        <v>106</v>
      </c>
      <c r="F28" s="30" t="n">
        <v>96</v>
      </c>
      <c r="G28" s="6" t="n">
        <f aca="false">IF(F28&lt;&gt;0,F28*G$2/(100+G$2)," ")</f>
        <v>16</v>
      </c>
      <c r="H28" s="6" t="n">
        <f aca="false">IF((F28&lt;&gt;0),F28-G28," ")</f>
        <v>80</v>
      </c>
      <c r="I28" s="5"/>
      <c r="L28" s="7" t="n">
        <f aca="false">IF(F28&lt;&gt;0,F28-K28," ")</f>
        <v>96</v>
      </c>
      <c r="M28" s="8" t="n">
        <f aca="false">IF((F28-K28)&lt;&gt;0,M$1-A28," ")</f>
        <v>-96</v>
      </c>
      <c r="N28" s="5"/>
      <c r="O28" s="17" t="str">
        <f aca="false">IF((E28="s"),H28," ")</f>
        <v> </v>
      </c>
      <c r="P28" s="17" t="str">
        <f aca="false">IF((E28="c"),H28," ")</f>
        <v> </v>
      </c>
      <c r="Q28" s="17" t="str">
        <f aca="false">IF((E28="o"),H28," ")</f>
        <v> </v>
      </c>
      <c r="R28" s="17" t="str">
        <f aca="false">IF((E28="d"),H28," ")</f>
        <v> </v>
      </c>
      <c r="S28" s="17" t="str">
        <f aca="false">IF((E28="w"),H28," ")</f>
        <v> </v>
      </c>
      <c r="T28" s="17" t="str">
        <f aca="false">IF((E28="r"),H28," ")</f>
        <v> </v>
      </c>
      <c r="U28" s="17" t="str">
        <f aca="false">IF((E28="p"),H28," ")</f>
        <v> </v>
      </c>
      <c r="V28" s="17" t="str">
        <f aca="false">IF((E28="t"),H28," ")</f>
        <v> </v>
      </c>
      <c r="W28" s="17" t="str">
        <f aca="false">IF((E28="q"),H28," ")</f>
        <v> </v>
      </c>
      <c r="X28" s="17" t="str">
        <f aca="false">IF((E28="m"),H28," ")</f>
        <v> </v>
      </c>
      <c r="Y28" s="17" t="str">
        <f aca="false">IF((E28="u"),H28," ")</f>
        <v> </v>
      </c>
      <c r="Z28" s="17" t="str">
        <f aca="false">IF((E28="a"),H28," ")</f>
        <v> </v>
      </c>
      <c r="AA28" s="17" t="str">
        <f aca="false">IF((E28="g"),H28," ")</f>
        <v> </v>
      </c>
      <c r="AB28" s="17" t="str">
        <f aca="false">IF((E28="h"),H28," ")</f>
        <v> </v>
      </c>
      <c r="AC28" s="30" t="n">
        <f aca="false">IF((E28="v"),H28," ")</f>
        <v>80</v>
      </c>
      <c r="AD28" s="30" t="str">
        <f aca="false">IF((E28="n"),H28," ")</f>
        <v> </v>
      </c>
      <c r="AE28" s="17" t="str">
        <f aca="false">IF((E28="f"),H28," ")</f>
        <v> </v>
      </c>
      <c r="AF28" s="17" t="str">
        <f aca="false">IF((E28="l"),H28," ")</f>
        <v> </v>
      </c>
      <c r="AG28" s="17" t="str">
        <f aca="false">IF((E28="y"),H28," ")</f>
        <v> </v>
      </c>
      <c r="AH28" s="17" t="str">
        <f aca="false">IF((E28="z"),H28," ")</f>
        <v> </v>
      </c>
      <c r="AI28" s="17" t="str">
        <f aca="false">IF((E28="fa"),H28," ")</f>
        <v> </v>
      </c>
      <c r="AJ28" s="17" t="str">
        <f aca="false">IF((E28="e"),H28," ")</f>
        <v> </v>
      </c>
      <c r="BZ28" s="2" t="s">
        <v>107</v>
      </c>
    </row>
    <row r="29" customFormat="false" ht="12" hidden="false" customHeight="false" outlineLevel="0" collapsed="false">
      <c r="A29" s="28" t="n">
        <v>46376</v>
      </c>
      <c r="B29" s="2" t="s">
        <v>135</v>
      </c>
      <c r="D29" s="2" t="s">
        <v>136</v>
      </c>
      <c r="E29" s="2" t="s">
        <v>80</v>
      </c>
      <c r="F29" s="30" t="n">
        <v>60</v>
      </c>
      <c r="G29" s="6" t="n">
        <f aca="false">IF(F29&lt;&gt;0,F29*G$2/(100+G$2)," ")</f>
        <v>10</v>
      </c>
      <c r="H29" s="6" t="n">
        <f aca="false">IF((F29&lt;&gt;0),F29-G29," ")</f>
        <v>50</v>
      </c>
      <c r="I29" s="5"/>
      <c r="L29" s="7" t="n">
        <f aca="false">IF(F29&lt;&gt;0,F29-K29," ")</f>
        <v>60</v>
      </c>
      <c r="M29" s="8" t="n">
        <f aca="false">IF((F29-K29)&lt;&gt;0,M$1-A29," ")</f>
        <v>-98</v>
      </c>
      <c r="N29" s="5"/>
      <c r="O29" s="17" t="str">
        <f aca="false">IF((E29="s"),H29," ")</f>
        <v> </v>
      </c>
      <c r="P29" s="17" t="str">
        <f aca="false">IF((E29="c"),H29," ")</f>
        <v> </v>
      </c>
      <c r="Q29" s="17" t="str">
        <f aca="false">IF((E29="o"),H29," ")</f>
        <v> </v>
      </c>
      <c r="R29" s="17" t="str">
        <f aca="false">IF((E29="d"),H29," ")</f>
        <v> </v>
      </c>
      <c r="S29" s="17" t="str">
        <f aca="false">IF((E29="w"),H29," ")</f>
        <v> </v>
      </c>
      <c r="T29" s="17" t="str">
        <f aca="false">IF((E29="r"),H29," ")</f>
        <v> </v>
      </c>
      <c r="U29" s="17" t="str">
        <f aca="false">IF((E29="p"),H29," ")</f>
        <v> </v>
      </c>
      <c r="V29" s="17" t="str">
        <f aca="false">IF((E29="t"),H29," ")</f>
        <v> </v>
      </c>
      <c r="W29" s="17" t="str">
        <f aca="false">IF((E29="q"),H29," ")</f>
        <v> </v>
      </c>
      <c r="X29" s="17" t="str">
        <f aca="false">IF((E29="m"),H29," ")</f>
        <v> </v>
      </c>
      <c r="Y29" s="17" t="str">
        <f aca="false">IF((E29="u"),H29," ")</f>
        <v> </v>
      </c>
      <c r="Z29" s="17" t="str">
        <f aca="false">IF((E29="a"),H29," ")</f>
        <v> </v>
      </c>
      <c r="AA29" s="17" t="n">
        <f aca="false">IF((E29="g"),H29," ")</f>
        <v>50</v>
      </c>
      <c r="AB29" s="17" t="str">
        <f aca="false">IF((E29="h"),H29," ")</f>
        <v> </v>
      </c>
      <c r="AC29" s="30" t="str">
        <f aca="false">IF((E29="v"),H29," ")</f>
        <v> </v>
      </c>
      <c r="AD29" s="30" t="str">
        <f aca="false">IF((E29="n"),H29," ")</f>
        <v> </v>
      </c>
      <c r="AE29" s="17" t="str">
        <f aca="false">IF((E29="f"),H29," ")</f>
        <v> </v>
      </c>
      <c r="AF29" s="17" t="str">
        <f aca="false">IF((E29="l"),H29," ")</f>
        <v> </v>
      </c>
      <c r="AG29" s="17" t="str">
        <f aca="false">IF((E29="y"),H29," ")</f>
        <v> </v>
      </c>
      <c r="AH29" s="17" t="str">
        <f aca="false">IF((E29="z"),H29," ")</f>
        <v> </v>
      </c>
      <c r="AI29" s="17" t="str">
        <f aca="false">IF((E29="fa"),H29," ")</f>
        <v> </v>
      </c>
      <c r="AJ29" s="17" t="str">
        <f aca="false">IF((E29="e"),H29," ")</f>
        <v> </v>
      </c>
      <c r="BZ29" s="2" t="s">
        <v>81</v>
      </c>
    </row>
    <row r="30" customFormat="false" ht="12" hidden="false" customHeight="false" outlineLevel="0" collapsed="false">
      <c r="A30" s="28" t="n">
        <v>46376</v>
      </c>
      <c r="B30" s="2" t="s">
        <v>172</v>
      </c>
      <c r="D30" s="2" t="s">
        <v>173</v>
      </c>
      <c r="E30" s="2" t="s">
        <v>174</v>
      </c>
      <c r="F30" s="30" t="n">
        <v>180</v>
      </c>
      <c r="G30" s="6" t="n">
        <f aca="false">IF(F30&lt;&gt;0,F30*G$2/(100+G$2)," ")</f>
        <v>30</v>
      </c>
      <c r="H30" s="6" t="n">
        <f aca="false">IF((F30&lt;&gt;0),F30-G30," ")</f>
        <v>150</v>
      </c>
      <c r="I30" s="5"/>
      <c r="L30" s="7" t="n">
        <f aca="false">IF(F30&lt;&gt;0,F30-K30," ")</f>
        <v>180</v>
      </c>
      <c r="M30" s="8" t="n">
        <f aca="false">IF((F30-K30)&lt;&gt;0,M$1-A30," ")</f>
        <v>-98</v>
      </c>
      <c r="N30" s="5"/>
      <c r="O30" s="17" t="str">
        <f aca="false">IF((E30="s"),H30," ")</f>
        <v> </v>
      </c>
      <c r="P30" s="17" t="str">
        <f aca="false">IF((E30="c"),H30," ")</f>
        <v> </v>
      </c>
      <c r="Q30" s="17" t="str">
        <f aca="false">IF((E30="o"),H30," ")</f>
        <v> </v>
      </c>
      <c r="R30" s="17" t="str">
        <f aca="false">IF((E30="d"),H30," ")</f>
        <v> </v>
      </c>
      <c r="S30" s="17" t="str">
        <f aca="false">IF((E30="w"),H30," ")</f>
        <v> </v>
      </c>
      <c r="T30" s="17" t="str">
        <f aca="false">IF((E30="r"),H30," ")</f>
        <v> </v>
      </c>
      <c r="U30" s="17" t="str">
        <f aca="false">IF((E30="p"),H30," ")</f>
        <v> </v>
      </c>
      <c r="V30" s="17" t="n">
        <f aca="false">IF((E30="t"),H30," ")</f>
        <v>150</v>
      </c>
      <c r="W30" s="17" t="str">
        <f aca="false">IF((E30="q"),H30," ")</f>
        <v> </v>
      </c>
      <c r="X30" s="17" t="str">
        <f aca="false">IF((E30="m"),H30," ")</f>
        <v> </v>
      </c>
      <c r="Y30" s="17" t="str">
        <f aca="false">IF((E30="u"),H30," ")</f>
        <v> </v>
      </c>
      <c r="Z30" s="17" t="str">
        <f aca="false">IF((E30="a"),H30," ")</f>
        <v> </v>
      </c>
      <c r="AA30" s="17" t="str">
        <f aca="false">IF((E30="g"),H30," ")</f>
        <v> </v>
      </c>
      <c r="AB30" s="17" t="str">
        <f aca="false">IF((E30="h"),H30," ")</f>
        <v> </v>
      </c>
      <c r="AC30" s="30" t="str">
        <f aca="false">IF((E30="v"),H30," ")</f>
        <v> </v>
      </c>
      <c r="AD30" s="30" t="str">
        <f aca="false">IF((E30="n"),H30," ")</f>
        <v> </v>
      </c>
      <c r="AE30" s="17" t="str">
        <f aca="false">IF((E30="f"),H30," ")</f>
        <v> </v>
      </c>
      <c r="AF30" s="17" t="str">
        <f aca="false">IF((E30="l"),H30," ")</f>
        <v> </v>
      </c>
      <c r="AG30" s="17" t="str">
        <f aca="false">IF((E30="y"),H30," ")</f>
        <v> </v>
      </c>
      <c r="AH30" s="17" t="str">
        <f aca="false">IF((E30="z"),H30," ")</f>
        <v> </v>
      </c>
      <c r="AI30" s="17" t="str">
        <f aca="false">IF((E30="fa"),H30," ")</f>
        <v> </v>
      </c>
      <c r="AJ30" s="17" t="str">
        <f aca="false">IF((E30="e"),H30," ")</f>
        <v> </v>
      </c>
      <c r="BZ30" s="2" t="s">
        <v>175</v>
      </c>
    </row>
    <row r="31" customFormat="false" ht="12" hidden="false" customHeight="false" outlineLevel="0" collapsed="false">
      <c r="A31" s="28" t="n">
        <v>46376</v>
      </c>
      <c r="B31" s="2" t="s">
        <v>176</v>
      </c>
      <c r="D31" s="2" t="s">
        <v>177</v>
      </c>
      <c r="E31" s="2" t="s">
        <v>122</v>
      </c>
      <c r="F31" s="30" t="n">
        <v>240</v>
      </c>
      <c r="G31" s="6" t="n">
        <f aca="false">IF(F31&lt;&gt;0,F31*G$2/(100+G$2)," ")</f>
        <v>40</v>
      </c>
      <c r="H31" s="6" t="n">
        <f aca="false">IF((F31&lt;&gt;0),F31-G31," ")</f>
        <v>200</v>
      </c>
      <c r="I31" s="5"/>
      <c r="L31" s="7" t="n">
        <f aca="false">IF(F31&lt;&gt;0,F31-K31," ")</f>
        <v>240</v>
      </c>
      <c r="M31" s="8" t="n">
        <f aca="false">IF((F31-K31)&lt;&gt;0,M$1-A31," ")</f>
        <v>-98</v>
      </c>
      <c r="N31" s="5"/>
      <c r="O31" s="17" t="n">
        <f aca="false">IF((E31="s"),H31," ")</f>
        <v>200</v>
      </c>
      <c r="P31" s="17" t="str">
        <f aca="false">IF((E31="c"),H31," ")</f>
        <v> </v>
      </c>
      <c r="Q31" s="17" t="str">
        <f aca="false">IF((E31="o"),H31," ")</f>
        <v> </v>
      </c>
      <c r="R31" s="17" t="str">
        <f aca="false">IF((E31="d"),H31," ")</f>
        <v> </v>
      </c>
      <c r="S31" s="17" t="str">
        <f aca="false">IF((E31="w"),H31," ")</f>
        <v> </v>
      </c>
      <c r="T31" s="17" t="str">
        <f aca="false">IF((E31="r"),H31," ")</f>
        <v> </v>
      </c>
      <c r="U31" s="17" t="str">
        <f aca="false">IF((E31="p"),H31," ")</f>
        <v> </v>
      </c>
      <c r="V31" s="17" t="str">
        <f aca="false">IF((E31="t"),H31," ")</f>
        <v> </v>
      </c>
      <c r="W31" s="17" t="str">
        <f aca="false">IF((E31="q"),H31," ")</f>
        <v> </v>
      </c>
      <c r="X31" s="17" t="str">
        <f aca="false">IF((E31="m"),H31," ")</f>
        <v> </v>
      </c>
      <c r="Y31" s="17" t="str">
        <f aca="false">IF((E31="u"),H31," ")</f>
        <v> </v>
      </c>
      <c r="Z31" s="17" t="str">
        <f aca="false">IF((E31="a"),H31," ")</f>
        <v> </v>
      </c>
      <c r="AA31" s="17" t="str">
        <f aca="false">IF((E31="g"),H31," ")</f>
        <v> </v>
      </c>
      <c r="AB31" s="17" t="str">
        <f aca="false">IF((E31="h"),H31," ")</f>
        <v> </v>
      </c>
      <c r="AC31" s="30" t="str">
        <f aca="false">IF((E31="v"),H31," ")</f>
        <v> </v>
      </c>
      <c r="AD31" s="30" t="str">
        <f aca="false">IF((E31="n"),H31," ")</f>
        <v> </v>
      </c>
      <c r="AE31" s="17" t="str">
        <f aca="false">IF((E31="f"),H31," ")</f>
        <v> </v>
      </c>
      <c r="AF31" s="17" t="str">
        <f aca="false">IF((E31="l"),H31," ")</f>
        <v> </v>
      </c>
      <c r="AG31" s="17" t="str">
        <f aca="false">IF((E31="y"),H31," ")</f>
        <v> </v>
      </c>
      <c r="AH31" s="17" t="str">
        <f aca="false">IF((E31="z"),H31," ")</f>
        <v> </v>
      </c>
      <c r="AI31" s="17" t="str">
        <f aca="false">IF((E31="fa"),H31," ")</f>
        <v> </v>
      </c>
      <c r="AJ31" s="17" t="str">
        <f aca="false">IF((E31="e"),H31," ")</f>
        <v> </v>
      </c>
      <c r="BZ31" s="2" t="s">
        <v>123</v>
      </c>
    </row>
    <row r="32" customFormat="false" ht="12" hidden="false" customHeight="false" outlineLevel="0" collapsed="false">
      <c r="A32" s="28" t="n">
        <v>46377</v>
      </c>
      <c r="B32" s="2" t="s">
        <v>141</v>
      </c>
      <c r="D32" s="2" t="s">
        <v>142</v>
      </c>
      <c r="E32" s="2" t="s">
        <v>112</v>
      </c>
      <c r="F32" s="30" t="n">
        <v>8</v>
      </c>
      <c r="G32" s="6" t="n">
        <f aca="false">IF(F32&lt;&gt;0,F32*G$2/(100+G$2)," ")</f>
        <v>1.33333333333333</v>
      </c>
      <c r="H32" s="6" t="n">
        <f aca="false">IF((F32&lt;&gt;0),F32-G32," ")</f>
        <v>6.66666666666667</v>
      </c>
      <c r="I32" s="5"/>
      <c r="L32" s="7" t="n">
        <f aca="false">IF(F32&lt;&gt;0,F32-K32," ")</f>
        <v>8</v>
      </c>
      <c r="M32" s="8" t="n">
        <f aca="false">IF((F32-K32)&lt;&gt;0,M$1-A32," ")</f>
        <v>-99</v>
      </c>
      <c r="N32" s="5"/>
      <c r="O32" s="17" t="str">
        <f aca="false">IF((E32="s"),H32," ")</f>
        <v> </v>
      </c>
      <c r="P32" s="17" t="str">
        <f aca="false">IF((E32="c"),H32," ")</f>
        <v> </v>
      </c>
      <c r="Q32" s="17" t="str">
        <f aca="false">IF((E32="o"),H32," ")</f>
        <v> </v>
      </c>
      <c r="R32" s="17" t="str">
        <f aca="false">IF((E32="d"),H32," ")</f>
        <v> </v>
      </c>
      <c r="S32" s="17" t="str">
        <f aca="false">IF((E32="w"),H32," ")</f>
        <v> </v>
      </c>
      <c r="T32" s="17" t="str">
        <f aca="false">IF((E32="r"),H32," ")</f>
        <v> </v>
      </c>
      <c r="U32" s="17" t="str">
        <f aca="false">IF((E32="p"),H32," ")</f>
        <v> </v>
      </c>
      <c r="V32" s="17" t="str">
        <f aca="false">IF((E32="t"),H32," ")</f>
        <v> </v>
      </c>
      <c r="W32" s="17" t="str">
        <f aca="false">IF((E32="q"),H32," ")</f>
        <v> </v>
      </c>
      <c r="X32" s="17" t="str">
        <f aca="false">IF((E32="m"),H32," ")</f>
        <v> </v>
      </c>
      <c r="Y32" s="17" t="str">
        <f aca="false">IF((E32="u"),H32," ")</f>
        <v> </v>
      </c>
      <c r="Z32" s="17" t="str">
        <f aca="false">IF((E32="a"),H32," ")</f>
        <v> </v>
      </c>
      <c r="AA32" s="17" t="str">
        <f aca="false">IF((E32="g"),H32," ")</f>
        <v> </v>
      </c>
      <c r="AB32" s="17" t="n">
        <f aca="false">IF((E32="h"),H32," ")</f>
        <v>6.66666666666667</v>
      </c>
      <c r="AC32" s="30" t="str">
        <f aca="false">IF((E32="v"),H32," ")</f>
        <v> </v>
      </c>
      <c r="AD32" s="30" t="str">
        <f aca="false">IF((E32="n"),H32," ")</f>
        <v> </v>
      </c>
      <c r="AE32" s="17" t="str">
        <f aca="false">IF((E32="f"),H32," ")</f>
        <v> </v>
      </c>
      <c r="AF32" s="17" t="str">
        <f aca="false">IF((E32="l"),H32," ")</f>
        <v> </v>
      </c>
      <c r="AG32" s="17" t="str">
        <f aca="false">IF((E32="y"),H32," ")</f>
        <v> </v>
      </c>
      <c r="AH32" s="17" t="str">
        <f aca="false">IF((E32="z"),H32," ")</f>
        <v> </v>
      </c>
      <c r="AI32" s="17" t="str">
        <f aca="false">IF((E32="fa"),H32," ")</f>
        <v> </v>
      </c>
      <c r="AJ32" s="17" t="str">
        <f aca="false">IF((E32="e"),H32," ")</f>
        <v> </v>
      </c>
      <c r="BZ32" s="2" t="s">
        <v>113</v>
      </c>
    </row>
    <row r="33" customFormat="false" ht="12" hidden="false" customHeight="false" outlineLevel="0" collapsed="false">
      <c r="A33" s="28" t="n">
        <v>46378</v>
      </c>
      <c r="B33" s="2" t="s">
        <v>143</v>
      </c>
      <c r="D33" s="2" t="s">
        <v>144</v>
      </c>
      <c r="E33" s="2" t="s">
        <v>100</v>
      </c>
      <c r="F33" s="30" t="n">
        <v>18</v>
      </c>
      <c r="G33" s="6" t="n">
        <f aca="false">IF(F33&lt;&gt;0,F33*G$2/(100+G$2)," ")</f>
        <v>3</v>
      </c>
      <c r="H33" s="6" t="n">
        <f aca="false">IF((F33&lt;&gt;0),F33-G33," ")</f>
        <v>15</v>
      </c>
      <c r="I33" s="5"/>
      <c r="L33" s="7" t="n">
        <f aca="false">IF(F33&lt;&gt;0,F33-K33," ")</f>
        <v>18</v>
      </c>
      <c r="M33" s="8" t="n">
        <f aca="false">IF((F33-K33)&lt;&gt;0,M$1-A33," ")</f>
        <v>-100</v>
      </c>
      <c r="N33" s="5"/>
      <c r="O33" s="17" t="str">
        <f aca="false">IF((E33="s"),H33," ")</f>
        <v> </v>
      </c>
      <c r="P33" s="17" t="str">
        <f aca="false">IF((E33="c"),H33," ")</f>
        <v> </v>
      </c>
      <c r="Q33" s="17" t="str">
        <f aca="false">IF((E33="o"),H33," ")</f>
        <v> </v>
      </c>
      <c r="R33" s="17" t="str">
        <f aca="false">IF((E33="d"),H33," ")</f>
        <v> </v>
      </c>
      <c r="S33" s="17" t="str">
        <f aca="false">IF((E33="w"),H33," ")</f>
        <v> </v>
      </c>
      <c r="T33" s="17" t="str">
        <f aca="false">IF((E33="r"),H33," ")</f>
        <v> </v>
      </c>
      <c r="U33" s="17" t="str">
        <f aca="false">IF((E33="p"),H33," ")</f>
        <v> </v>
      </c>
      <c r="V33" s="17" t="str">
        <f aca="false">IF((E33="t"),H33," ")</f>
        <v> </v>
      </c>
      <c r="W33" s="17" t="str">
        <f aca="false">IF((E33="q"),H33," ")</f>
        <v> </v>
      </c>
      <c r="X33" s="17" t="str">
        <f aca="false">IF((E33="m"),H33," ")</f>
        <v> </v>
      </c>
      <c r="Y33" s="17" t="n">
        <f aca="false">IF((E33="u"),H33," ")</f>
        <v>15</v>
      </c>
      <c r="Z33" s="17" t="str">
        <f aca="false">IF((E33="a"),H33," ")</f>
        <v> </v>
      </c>
      <c r="AA33" s="17" t="str">
        <f aca="false">IF((E33="g"),H33," ")</f>
        <v> </v>
      </c>
      <c r="AB33" s="17" t="str">
        <f aca="false">IF((E33="h"),H33," ")</f>
        <v> </v>
      </c>
      <c r="AC33" s="30" t="str">
        <f aca="false">IF((E33="v"),H33," ")</f>
        <v> </v>
      </c>
      <c r="AD33" s="30" t="str">
        <f aca="false">IF((E33="n"),H33," ")</f>
        <v> </v>
      </c>
      <c r="AE33" s="17" t="str">
        <f aca="false">IF((E33="f"),H33," ")</f>
        <v> </v>
      </c>
      <c r="AF33" s="17" t="str">
        <f aca="false">IF((E33="l"),H33," ")</f>
        <v> </v>
      </c>
      <c r="AG33" s="17" t="str">
        <f aca="false">IF((E33="y"),H33," ")</f>
        <v> </v>
      </c>
      <c r="AH33" s="17" t="str">
        <f aca="false">IF((E33="z"),H33," ")</f>
        <v> </v>
      </c>
      <c r="AI33" s="17" t="str">
        <f aca="false">IF((E33="fa"),H33," ")</f>
        <v> </v>
      </c>
      <c r="AJ33" s="17" t="str">
        <f aca="false">IF((E33="e"),H33," ")</f>
        <v> </v>
      </c>
      <c r="BZ33" s="2" t="s">
        <v>101</v>
      </c>
    </row>
    <row r="34" customFormat="false" ht="12" hidden="false" customHeight="false" outlineLevel="0" collapsed="false">
      <c r="A34" s="28" t="n">
        <v>46378</v>
      </c>
      <c r="B34" s="2" t="s">
        <v>178</v>
      </c>
      <c r="D34" s="2" t="s">
        <v>179</v>
      </c>
      <c r="E34" s="2" t="s">
        <v>106</v>
      </c>
      <c r="F34" s="30" t="n">
        <v>48</v>
      </c>
      <c r="G34" s="6" t="n">
        <f aca="false">IF(F34&lt;&gt;0,F34*G$2/(100+G$2)," ")</f>
        <v>8</v>
      </c>
      <c r="H34" s="6" t="n">
        <f aca="false">IF((F34&lt;&gt;0),F34-G34," ")</f>
        <v>40</v>
      </c>
      <c r="I34" s="5"/>
      <c r="L34" s="7" t="n">
        <f aca="false">IF(F34&lt;&gt;0,F34-K34," ")</f>
        <v>48</v>
      </c>
      <c r="M34" s="8" t="n">
        <f aca="false">IF((F34-K34)&lt;&gt;0,M$1-A34," ")</f>
        <v>-100</v>
      </c>
      <c r="N34" s="5"/>
      <c r="O34" s="17" t="str">
        <f aca="false">IF((E34="s"),H34," ")</f>
        <v> </v>
      </c>
      <c r="P34" s="17" t="str">
        <f aca="false">IF((E34="c"),H34," ")</f>
        <v> </v>
      </c>
      <c r="Q34" s="17" t="str">
        <f aca="false">IF((E34="o"),H34," ")</f>
        <v> </v>
      </c>
      <c r="R34" s="17" t="str">
        <f aca="false">IF((E34="d"),H34," ")</f>
        <v> </v>
      </c>
      <c r="S34" s="17" t="str">
        <f aca="false">IF((E34="w"),H34," ")</f>
        <v> </v>
      </c>
      <c r="T34" s="17" t="str">
        <f aca="false">IF((E34="r"),H34," ")</f>
        <v> </v>
      </c>
      <c r="U34" s="17" t="str">
        <f aca="false">IF((E34="p"),H34," ")</f>
        <v> </v>
      </c>
      <c r="V34" s="17" t="str">
        <f aca="false">IF((E34="t"),H34," ")</f>
        <v> </v>
      </c>
      <c r="W34" s="17" t="str">
        <f aca="false">IF((E34="q"),H34," ")</f>
        <v> </v>
      </c>
      <c r="X34" s="17" t="str">
        <f aca="false">IF((E34="m"),H34," ")</f>
        <v> </v>
      </c>
      <c r="Y34" s="17" t="str">
        <f aca="false">IF((E34="u"),H34," ")</f>
        <v> </v>
      </c>
      <c r="Z34" s="17" t="str">
        <f aca="false">IF((E34="a"),H34," ")</f>
        <v> </v>
      </c>
      <c r="AA34" s="17" t="str">
        <f aca="false">IF((E34="g"),H34," ")</f>
        <v> </v>
      </c>
      <c r="AB34" s="17" t="str">
        <f aca="false">IF((E34="h"),H34," ")</f>
        <v> </v>
      </c>
      <c r="AC34" s="30" t="n">
        <f aca="false">IF((E34="v"),H34," ")</f>
        <v>40</v>
      </c>
      <c r="AD34" s="30" t="str">
        <f aca="false">IF((E34="n"),H34," ")</f>
        <v> </v>
      </c>
      <c r="AE34" s="17" t="str">
        <f aca="false">IF((E34="f"),H34," ")</f>
        <v> </v>
      </c>
      <c r="AF34" s="17" t="str">
        <f aca="false">IF((E34="l"),H34," ")</f>
        <v> </v>
      </c>
      <c r="AG34" s="17" t="str">
        <f aca="false">IF((E34="y"),H34," ")</f>
        <v> </v>
      </c>
      <c r="AH34" s="17" t="str">
        <f aca="false">IF((E34="z"),H34," ")</f>
        <v> </v>
      </c>
      <c r="AI34" s="17" t="str">
        <f aca="false">IF((E34="fa"),H34," ")</f>
        <v> </v>
      </c>
      <c r="AJ34" s="17" t="str">
        <f aca="false">IF((E34="e"),H34," ")</f>
        <v> </v>
      </c>
      <c r="BZ34" s="2" t="s">
        <v>107</v>
      </c>
    </row>
    <row r="35" customFormat="false" ht="12" hidden="false" customHeight="false" outlineLevel="0" collapsed="false">
      <c r="A35" s="28" t="n">
        <v>46381</v>
      </c>
      <c r="B35" s="2" t="s">
        <v>145</v>
      </c>
      <c r="D35" s="2" t="s">
        <v>146</v>
      </c>
      <c r="E35" s="2" t="s">
        <v>100</v>
      </c>
      <c r="F35" s="30" t="n">
        <v>15</v>
      </c>
      <c r="G35" s="6" t="n">
        <f aca="false">IF(F35&lt;&gt;0,F35*G$2/(100+G$2)," ")</f>
        <v>2.5</v>
      </c>
      <c r="H35" s="6" t="n">
        <f aca="false">IF((F35&lt;&gt;0),F35-G35," ")</f>
        <v>12.5</v>
      </c>
      <c r="I35" s="5"/>
      <c r="L35" s="7" t="n">
        <f aca="false">IF(F35&lt;&gt;0,F35-K35," ")</f>
        <v>15</v>
      </c>
      <c r="M35" s="8" t="n">
        <f aca="false">IF((F35-K35)&lt;&gt;0,M$1-A35," ")</f>
        <v>-103</v>
      </c>
      <c r="N35" s="5"/>
      <c r="O35" s="17" t="str">
        <f aca="false">IF((E35="s"),H35," ")</f>
        <v> </v>
      </c>
      <c r="P35" s="17" t="str">
        <f aca="false">IF((E35="c"),H35," ")</f>
        <v> </v>
      </c>
      <c r="Q35" s="17" t="str">
        <f aca="false">IF((E35="o"),H35," ")</f>
        <v> </v>
      </c>
      <c r="R35" s="17" t="str">
        <f aca="false">IF((E35="d"),H35," ")</f>
        <v> </v>
      </c>
      <c r="S35" s="17" t="str">
        <f aca="false">IF((E35="w"),H35," ")</f>
        <v> </v>
      </c>
      <c r="T35" s="17" t="str">
        <f aca="false">IF((E35="r"),H35," ")</f>
        <v> </v>
      </c>
      <c r="U35" s="17" t="str">
        <f aca="false">IF((E35="p"),H35," ")</f>
        <v> </v>
      </c>
      <c r="V35" s="17" t="str">
        <f aca="false">IF((E35="t"),H35," ")</f>
        <v> </v>
      </c>
      <c r="W35" s="17" t="str">
        <f aca="false">IF((E35="q"),H35," ")</f>
        <v> </v>
      </c>
      <c r="X35" s="17" t="str">
        <f aca="false">IF((E35="m"),H35," ")</f>
        <v> </v>
      </c>
      <c r="Y35" s="17" t="n">
        <f aca="false">IF((E35="u"),H35," ")</f>
        <v>12.5</v>
      </c>
      <c r="Z35" s="17" t="str">
        <f aca="false">IF((E35="a"),H35," ")</f>
        <v> </v>
      </c>
      <c r="AA35" s="17" t="str">
        <f aca="false">IF((E35="g"),H35," ")</f>
        <v> </v>
      </c>
      <c r="AB35" s="17" t="str">
        <f aca="false">IF((E35="h"),H35," ")</f>
        <v> </v>
      </c>
      <c r="AC35" s="30" t="str">
        <f aca="false">IF((E35="v"),H35," ")</f>
        <v> </v>
      </c>
      <c r="AD35" s="30" t="str">
        <f aca="false">IF((E35="n"),H35," ")</f>
        <v> </v>
      </c>
      <c r="AE35" s="17" t="str">
        <f aca="false">IF((E35="f"),H35," ")</f>
        <v> </v>
      </c>
      <c r="AF35" s="17" t="str">
        <f aca="false">IF((E35="l"),H35," ")</f>
        <v> </v>
      </c>
      <c r="AG35" s="17" t="str">
        <f aca="false">IF((E35="y"),H35," ")</f>
        <v> </v>
      </c>
      <c r="AH35" s="17" t="str">
        <f aca="false">IF((E35="z"),H35," ")</f>
        <v> </v>
      </c>
      <c r="AI35" s="17" t="str">
        <f aca="false">IF((E35="fa"),H35," ")</f>
        <v> </v>
      </c>
      <c r="AJ35" s="17" t="str">
        <f aca="false">IF((E35="e"),H35," ")</f>
        <v> </v>
      </c>
      <c r="BZ35" s="2" t="s">
        <v>101</v>
      </c>
    </row>
    <row r="36" customFormat="false" ht="12" hidden="false" customHeight="false" outlineLevel="0" collapsed="false">
      <c r="A36" s="28" t="n">
        <v>46381</v>
      </c>
      <c r="B36" s="2" t="s">
        <v>147</v>
      </c>
      <c r="D36" s="2" t="s">
        <v>180</v>
      </c>
      <c r="E36" s="2" t="s">
        <v>106</v>
      </c>
      <c r="F36" s="30" t="n">
        <v>54</v>
      </c>
      <c r="G36" s="6" t="n">
        <f aca="false">IF(F36&lt;&gt;0,F36*G$2/(100+G$2)," ")</f>
        <v>9</v>
      </c>
      <c r="H36" s="6" t="n">
        <f aca="false">IF((F36&lt;&gt;0),F36-G36," ")</f>
        <v>45</v>
      </c>
      <c r="I36" s="5"/>
      <c r="L36" s="7" t="n">
        <f aca="false">IF(F36&lt;&gt;0,F36-K36," ")</f>
        <v>54</v>
      </c>
      <c r="M36" s="8" t="n">
        <f aca="false">IF((F36-K36)&lt;&gt;0,M$1-A36," ")</f>
        <v>-103</v>
      </c>
      <c r="N36" s="5"/>
      <c r="O36" s="17" t="str">
        <f aca="false">IF((E36="s"),H36," ")</f>
        <v> </v>
      </c>
      <c r="P36" s="17" t="str">
        <f aca="false">IF((E36="c"),H36," ")</f>
        <v> </v>
      </c>
      <c r="Q36" s="17" t="str">
        <f aca="false">IF((E36="o"),H36," ")</f>
        <v> </v>
      </c>
      <c r="R36" s="17" t="str">
        <f aca="false">IF((E36="d"),H36," ")</f>
        <v> </v>
      </c>
      <c r="S36" s="17" t="str">
        <f aca="false">IF((E36="w"),H36," ")</f>
        <v> </v>
      </c>
      <c r="T36" s="17" t="str">
        <f aca="false">IF((E36="r"),H36," ")</f>
        <v> </v>
      </c>
      <c r="U36" s="17" t="str">
        <f aca="false">IF((E36="p"),H36," ")</f>
        <v> </v>
      </c>
      <c r="V36" s="17" t="str">
        <f aca="false">IF((E36="t"),H36," ")</f>
        <v> </v>
      </c>
      <c r="W36" s="17" t="str">
        <f aca="false">IF((E36="q"),H36," ")</f>
        <v> </v>
      </c>
      <c r="X36" s="17" t="str">
        <f aca="false">IF((E36="m"),H36," ")</f>
        <v> </v>
      </c>
      <c r="Y36" s="17" t="str">
        <f aca="false">IF((E36="u"),H36," ")</f>
        <v> </v>
      </c>
      <c r="Z36" s="17" t="str">
        <f aca="false">IF((E36="a"),H36," ")</f>
        <v> </v>
      </c>
      <c r="AA36" s="17" t="str">
        <f aca="false">IF((E36="g"),H36," ")</f>
        <v> </v>
      </c>
      <c r="AB36" s="17" t="str">
        <f aca="false">IF((E36="h"),H36," ")</f>
        <v> </v>
      </c>
      <c r="AC36" s="30" t="n">
        <f aca="false">IF((E36="v"),H36," ")</f>
        <v>45</v>
      </c>
      <c r="AD36" s="30" t="str">
        <f aca="false">IF((E36="n"),H36," ")</f>
        <v> </v>
      </c>
      <c r="AE36" s="17" t="str">
        <f aca="false">IF((E36="f"),H36," ")</f>
        <v> </v>
      </c>
      <c r="AF36" s="17" t="str">
        <f aca="false">IF((E36="l"),H36," ")</f>
        <v> </v>
      </c>
      <c r="AG36" s="17" t="str">
        <f aca="false">IF((E36="y"),H36," ")</f>
        <v> </v>
      </c>
      <c r="AH36" s="17" t="str">
        <f aca="false">IF((E36="z"),H36," ")</f>
        <v> </v>
      </c>
      <c r="AI36" s="17" t="str">
        <f aca="false">IF((E36="fa"),H36," ")</f>
        <v> </v>
      </c>
      <c r="AJ36" s="17" t="str">
        <f aca="false">IF((E36="e"),H36," ")</f>
        <v> </v>
      </c>
      <c r="BZ36" s="2" t="s">
        <v>107</v>
      </c>
    </row>
    <row r="37" customFormat="false" ht="12" hidden="false" customHeight="false" outlineLevel="0" collapsed="false">
      <c r="A37" s="28" t="n">
        <v>46384</v>
      </c>
      <c r="B37" s="2" t="s">
        <v>20</v>
      </c>
      <c r="D37" s="2" t="s">
        <v>149</v>
      </c>
      <c r="E37" s="2" t="s">
        <v>106</v>
      </c>
      <c r="F37" s="30" t="n">
        <v>120</v>
      </c>
      <c r="G37" s="6" t="n">
        <f aca="false">IF(F37&lt;&gt;0,F37*G$2/(100+G$2)," ")</f>
        <v>20</v>
      </c>
      <c r="H37" s="6" t="n">
        <f aca="false">IF((F37&lt;&gt;0),F37-G37," ")</f>
        <v>100</v>
      </c>
      <c r="I37" s="5"/>
      <c r="L37" s="7" t="n">
        <f aca="false">IF(F37&lt;&gt;0,F37-K37," ")</f>
        <v>120</v>
      </c>
      <c r="M37" s="8" t="n">
        <f aca="false">IF((F37-K37)&lt;&gt;0,M$1-A37," ")</f>
        <v>-106</v>
      </c>
      <c r="N37" s="5"/>
      <c r="O37" s="17" t="str">
        <f aca="false">IF((E37="s"),H37," ")</f>
        <v> </v>
      </c>
      <c r="P37" s="17" t="str">
        <f aca="false">IF((E37="c"),H37," ")</f>
        <v> </v>
      </c>
      <c r="Q37" s="17" t="str">
        <f aca="false">IF((E37="o"),H37," ")</f>
        <v> </v>
      </c>
      <c r="R37" s="17" t="str">
        <f aca="false">IF((E37="d"),H37," ")</f>
        <v> </v>
      </c>
      <c r="S37" s="17" t="str">
        <f aca="false">IF((E37="w"),H37," ")</f>
        <v> </v>
      </c>
      <c r="T37" s="17" t="str">
        <f aca="false">IF((E37="r"),H37," ")</f>
        <v> </v>
      </c>
      <c r="U37" s="17" t="str">
        <f aca="false">IF((E37="p"),H37," ")</f>
        <v> </v>
      </c>
      <c r="V37" s="17" t="str">
        <f aca="false">IF((E37="t"),H37," ")</f>
        <v> </v>
      </c>
      <c r="W37" s="17" t="str">
        <f aca="false">IF((E37="q"),H37," ")</f>
        <v> </v>
      </c>
      <c r="X37" s="17" t="str">
        <f aca="false">IF((E37="m"),H37," ")</f>
        <v> </v>
      </c>
      <c r="Y37" s="17" t="str">
        <f aca="false">IF((E37="u"),H37," ")</f>
        <v> </v>
      </c>
      <c r="Z37" s="17" t="str">
        <f aca="false">IF((E37="a"),H37," ")</f>
        <v> </v>
      </c>
      <c r="AA37" s="17" t="str">
        <f aca="false">IF((E37="g"),H37," ")</f>
        <v> </v>
      </c>
      <c r="AB37" s="17" t="str">
        <f aca="false">IF((E37="h"),H37," ")</f>
        <v> </v>
      </c>
      <c r="AC37" s="30" t="n">
        <f aca="false">IF((E37="v"),H37," ")</f>
        <v>100</v>
      </c>
      <c r="AD37" s="30" t="str">
        <f aca="false">IF((E37="n"),H37," ")</f>
        <v> </v>
      </c>
      <c r="AE37" s="17" t="str">
        <f aca="false">IF((E37="f"),H37," ")</f>
        <v> </v>
      </c>
      <c r="AF37" s="17" t="str">
        <f aca="false">IF((E37="l"),H37," ")</f>
        <v> </v>
      </c>
      <c r="AG37" s="17" t="str">
        <f aca="false">IF((E37="y"),H37," ")</f>
        <v> </v>
      </c>
      <c r="AH37" s="17" t="str">
        <f aca="false">IF((E37="z"),H37," ")</f>
        <v> </v>
      </c>
      <c r="AI37" s="17" t="str">
        <f aca="false">IF((E37="fa"),H37," ")</f>
        <v> </v>
      </c>
      <c r="AJ37" s="17" t="str">
        <f aca="false">IF((E37="e"),H37," ")</f>
        <v> </v>
      </c>
      <c r="BZ37" s="2" t="s">
        <v>107</v>
      </c>
    </row>
    <row r="38" customFormat="false" ht="12" hidden="false" customHeight="false" outlineLevel="0" collapsed="false">
      <c r="A38" s="28" t="n">
        <v>46387</v>
      </c>
      <c r="B38" s="2" t="s">
        <v>16</v>
      </c>
      <c r="D38" s="2" t="s">
        <v>150</v>
      </c>
      <c r="E38" s="2" t="s">
        <v>151</v>
      </c>
      <c r="F38" s="30" t="n">
        <v>300</v>
      </c>
      <c r="G38" s="6" t="n">
        <f aca="false">IF(F38&lt;&gt;0,F38*G$2/(100+G$2)," ")</f>
        <v>50</v>
      </c>
      <c r="H38" s="6" t="n">
        <f aca="false">IF((F38&lt;&gt;0),F38-G38," ")</f>
        <v>250</v>
      </c>
      <c r="I38" s="5"/>
      <c r="L38" s="7" t="n">
        <f aca="false">IF(F38&lt;&gt;0,F38-K38," ")</f>
        <v>300</v>
      </c>
      <c r="M38" s="8" t="n">
        <f aca="false">IF((F38-K38)&lt;&gt;0,M$1-A38," ")</f>
        <v>-109</v>
      </c>
      <c r="N38" s="5"/>
      <c r="O38" s="17" t="str">
        <f aca="false">IF((E38="s"),H38," ")</f>
        <v> </v>
      </c>
      <c r="P38" s="17" t="str">
        <f aca="false">IF((E38="c"),H38," ")</f>
        <v> </v>
      </c>
      <c r="Q38" s="17" t="str">
        <f aca="false">IF((E38="o"),H38," ")</f>
        <v> </v>
      </c>
      <c r="R38" s="17" t="str">
        <f aca="false">IF((E38="d"),H38," ")</f>
        <v> </v>
      </c>
      <c r="S38" s="17" t="str">
        <f aca="false">IF((E38="w"),H38," ")</f>
        <v> </v>
      </c>
      <c r="T38" s="17" t="str">
        <f aca="false">IF((E38="r"),H38," ")</f>
        <v> </v>
      </c>
      <c r="U38" s="17" t="str">
        <f aca="false">IF((E38="p"),H38," ")</f>
        <v> </v>
      </c>
      <c r="V38" s="17" t="str">
        <f aca="false">IF((E38="t"),H38," ")</f>
        <v> </v>
      </c>
      <c r="W38" s="17" t="str">
        <f aca="false">IF((E38="q"),H38," ")</f>
        <v> </v>
      </c>
      <c r="X38" s="17" t="str">
        <f aca="false">IF((E38="m"),H38," ")</f>
        <v> </v>
      </c>
      <c r="Y38" s="17" t="str">
        <f aca="false">IF((E38="u"),H38," ")</f>
        <v> </v>
      </c>
      <c r="Z38" s="17" t="str">
        <f aca="false">IF((E38="a"),H38," ")</f>
        <v> </v>
      </c>
      <c r="AA38" s="17" t="str">
        <f aca="false">IF((E38="g"),H38," ")</f>
        <v> </v>
      </c>
      <c r="AB38" s="17" t="str">
        <f aca="false">IF((E38="h"),H38," ")</f>
        <v> </v>
      </c>
      <c r="AC38" s="30" t="str">
        <f aca="false">IF((E38="v"),H38," ")</f>
        <v> </v>
      </c>
      <c r="AD38" s="30" t="str">
        <f aca="false">IF((E38="n"),H38," ")</f>
        <v> </v>
      </c>
      <c r="AE38" s="17" t="str">
        <f aca="false">IF((E38="f"),H38," ")</f>
        <v> </v>
      </c>
      <c r="AF38" s="17" t="n">
        <f aca="false">IF((E38="l"),H38," ")</f>
        <v>250</v>
      </c>
      <c r="AG38" s="17" t="str">
        <f aca="false">IF((E38="y"),H38," ")</f>
        <v> </v>
      </c>
      <c r="AH38" s="17" t="str">
        <f aca="false">IF((E38="z"),H38," ")</f>
        <v> </v>
      </c>
      <c r="AI38" s="17" t="str">
        <f aca="false">IF((E38="fa"),H38," ")</f>
        <v> </v>
      </c>
      <c r="AJ38" s="17" t="str">
        <f aca="false">IF((E38="e"),H38," ")</f>
        <v> </v>
      </c>
      <c r="BZ38" s="2" t="s">
        <v>152</v>
      </c>
    </row>
    <row r="39" customFormat="false" ht="12" hidden="false" customHeight="false" outlineLevel="0" collapsed="false">
      <c r="A39" s="28"/>
      <c r="E39" s="2"/>
      <c r="F39" s="30"/>
      <c r="G39" s="6" t="str">
        <f aca="false">IF(F39&lt;&gt;0,F39*G$2/(100+G$2)," ")</f>
        <v> </v>
      </c>
      <c r="H39" s="6" t="str">
        <f aca="false">IF((F39&lt;&gt;0),F39-G39," ")</f>
        <v> </v>
      </c>
      <c r="I39" s="5"/>
      <c r="L39" s="7" t="str">
        <f aca="false">IF(F39&lt;&gt;0,F39-K39," ")</f>
        <v> </v>
      </c>
      <c r="M39" s="8" t="str">
        <f aca="false">IF((F39-K39)&lt;&gt;0,M$1-A39," ")</f>
        <v> </v>
      </c>
      <c r="N39" s="5"/>
      <c r="O39" s="17" t="str">
        <f aca="false">IF((E39="s"),H39," ")</f>
        <v> </v>
      </c>
      <c r="P39" s="17" t="str">
        <f aca="false">IF((E39="c"),H39," ")</f>
        <v> </v>
      </c>
      <c r="Q39" s="17" t="str">
        <f aca="false">IF((E39="o"),H39," ")</f>
        <v> </v>
      </c>
      <c r="R39" s="17" t="str">
        <f aca="false">IF((E39="d"),H39," ")</f>
        <v> </v>
      </c>
      <c r="S39" s="17" t="str">
        <f aca="false">IF((E39="w"),H39," ")</f>
        <v> </v>
      </c>
      <c r="T39" s="17" t="str">
        <f aca="false">IF((E39="r"),H39," ")</f>
        <v> </v>
      </c>
      <c r="U39" s="17" t="str">
        <f aca="false">IF((E39="p"),H39," ")</f>
        <v> </v>
      </c>
      <c r="V39" s="17" t="str">
        <f aca="false">IF((E39="t"),H39," ")</f>
        <v> </v>
      </c>
      <c r="W39" s="17" t="str">
        <f aca="false">IF((E39="q"),H39," ")</f>
        <v> </v>
      </c>
      <c r="X39" s="17" t="str">
        <f aca="false">IF((E39="m"),H39," ")</f>
        <v> </v>
      </c>
      <c r="Y39" s="17" t="str">
        <f aca="false">IF((E39="u"),H39," ")</f>
        <v> </v>
      </c>
      <c r="Z39" s="17" t="str">
        <f aca="false">IF((E39="a"),H39," ")</f>
        <v> </v>
      </c>
      <c r="AA39" s="17" t="str">
        <f aca="false">IF((E39="g"),H39," ")</f>
        <v> </v>
      </c>
      <c r="AB39" s="17" t="str">
        <f aca="false">IF((E39="h"),H39," ")</f>
        <v> </v>
      </c>
      <c r="AC39" s="30" t="str">
        <f aca="false">IF((E39="v"),H39," ")</f>
        <v> </v>
      </c>
      <c r="AD39" s="30" t="str">
        <f aca="false">IF((E39="n"),H39," ")</f>
        <v> </v>
      </c>
      <c r="AE39" s="17" t="str">
        <f aca="false">IF((E39="f"),H39," ")</f>
        <v> </v>
      </c>
      <c r="AF39" s="17" t="str">
        <f aca="false">IF((E39="l"),H39," ")</f>
        <v> </v>
      </c>
      <c r="AG39" s="17" t="str">
        <f aca="false">IF((E39="y"),H39," ")</f>
        <v> </v>
      </c>
      <c r="AH39" s="17" t="str">
        <f aca="false">IF((E39="z"),H39," ")</f>
        <v> </v>
      </c>
      <c r="AI39" s="17" t="str">
        <f aca="false">IF((E39="fa"),H39," ")</f>
        <v> </v>
      </c>
      <c r="AJ39" s="17" t="str">
        <f aca="false">IF((E39="e"),H39," ")</f>
        <v> </v>
      </c>
    </row>
    <row r="40" customFormat="false" ht="12" hidden="false" customHeight="false" outlineLevel="0" collapsed="false">
      <c r="A40" s="28"/>
      <c r="E40" s="2"/>
      <c r="F40" s="30"/>
      <c r="G40" s="6" t="str">
        <f aca="false">IF(F40&lt;&gt;0,F40*G$2/(100+G$2)," ")</f>
        <v> </v>
      </c>
      <c r="H40" s="6" t="str">
        <f aca="false">IF((F40&lt;&gt;0),F40-G40," ")</f>
        <v> </v>
      </c>
      <c r="I40" s="5"/>
      <c r="L40" s="7" t="str">
        <f aca="false">IF(F40&lt;&gt;0,F40-K40," ")</f>
        <v> </v>
      </c>
      <c r="M40" s="8" t="str">
        <f aca="false">IF((F40-K40)&lt;&gt;0,M$1-A40," ")</f>
        <v> </v>
      </c>
      <c r="N40" s="5"/>
      <c r="O40" s="17" t="str">
        <f aca="false">IF((E40="s"),H40," ")</f>
        <v> </v>
      </c>
      <c r="P40" s="17" t="str">
        <f aca="false">IF((E40="c"),H40," ")</f>
        <v> </v>
      </c>
      <c r="Q40" s="17" t="str">
        <f aca="false">IF((E40="o"),H40," ")</f>
        <v> </v>
      </c>
      <c r="R40" s="17" t="str">
        <f aca="false">IF((E40="d"),H40," ")</f>
        <v> </v>
      </c>
      <c r="S40" s="17" t="str">
        <f aca="false">IF((E40="w"),H40," ")</f>
        <v> </v>
      </c>
      <c r="T40" s="17" t="str">
        <f aca="false">IF((E40="r"),H40," ")</f>
        <v> </v>
      </c>
      <c r="U40" s="17" t="str">
        <f aca="false">IF((E40="p"),H40," ")</f>
        <v> </v>
      </c>
      <c r="V40" s="17" t="str">
        <f aca="false">IF((E40="t"),H40," ")</f>
        <v> </v>
      </c>
      <c r="W40" s="17" t="str">
        <f aca="false">IF((E40="q"),H40," ")</f>
        <v> </v>
      </c>
      <c r="X40" s="17" t="str">
        <f aca="false">IF((E40="m"),H40," ")</f>
        <v> </v>
      </c>
      <c r="Y40" s="17" t="str">
        <f aca="false">IF((E40="u"),H40," ")</f>
        <v> </v>
      </c>
      <c r="Z40" s="17" t="str">
        <f aca="false">IF((E40="a"),H40," ")</f>
        <v> </v>
      </c>
      <c r="AA40" s="17" t="str">
        <f aca="false">IF((E40="g"),H40," ")</f>
        <v> </v>
      </c>
      <c r="AB40" s="17" t="str">
        <f aca="false">IF((E40="h"),H40," ")</f>
        <v> </v>
      </c>
      <c r="AC40" s="30" t="str">
        <f aca="false">IF((E40="v"),H40," ")</f>
        <v> </v>
      </c>
      <c r="AD40" s="30" t="str">
        <f aca="false">IF((E40="n"),H40," ")</f>
        <v> </v>
      </c>
      <c r="AE40" s="17" t="str">
        <f aca="false">IF((E40="f"),H40," ")</f>
        <v> </v>
      </c>
      <c r="AF40" s="17" t="str">
        <f aca="false">IF((E40="l"),H40," ")</f>
        <v> </v>
      </c>
      <c r="AG40" s="17" t="str">
        <f aca="false">IF((E40="y"),H40," ")</f>
        <v> </v>
      </c>
      <c r="AH40" s="17" t="str">
        <f aca="false">IF((E40="z"),H40," ")</f>
        <v> </v>
      </c>
      <c r="AI40" s="17" t="str">
        <f aca="false">IF((E40="fa"),H40," ")</f>
        <v> </v>
      </c>
      <c r="AJ40" s="17" t="str">
        <f aca="false">IF((E40="e"),H40," ")</f>
        <v> </v>
      </c>
    </row>
    <row r="41" customFormat="false" ht="12" hidden="false" customHeight="false" outlineLevel="0" collapsed="false">
      <c r="A41" s="28"/>
      <c r="E41" s="2"/>
      <c r="F41" s="30"/>
      <c r="G41" s="6" t="str">
        <f aca="false">IF(F41&lt;&gt;0,F41*G$2/(100+G$2)," ")</f>
        <v> </v>
      </c>
      <c r="H41" s="6" t="str">
        <f aca="false">IF((F41&lt;&gt;0),F41-G41," ")</f>
        <v> </v>
      </c>
      <c r="I41" s="5"/>
      <c r="L41" s="7" t="str">
        <f aca="false">IF(F41&lt;&gt;0,F41-K41," ")</f>
        <v> </v>
      </c>
      <c r="M41" s="8" t="str">
        <f aca="false">IF((F41-K41)&lt;&gt;0,M$1-A41," ")</f>
        <v> </v>
      </c>
      <c r="N41" s="5"/>
      <c r="O41" s="17" t="str">
        <f aca="false">IF((E41="s"),H41," ")</f>
        <v> </v>
      </c>
      <c r="P41" s="17" t="str">
        <f aca="false">IF((E41="c"),H41," ")</f>
        <v> </v>
      </c>
      <c r="Q41" s="17" t="str">
        <f aca="false">IF((E41="o"),H41," ")</f>
        <v> </v>
      </c>
      <c r="R41" s="17" t="str">
        <f aca="false">IF((E41="d"),H41," ")</f>
        <v> </v>
      </c>
      <c r="S41" s="17" t="str">
        <f aca="false">IF((E41="w"),H41," ")</f>
        <v> </v>
      </c>
      <c r="T41" s="17" t="str">
        <f aca="false">IF((E41="r"),H41," ")</f>
        <v> </v>
      </c>
      <c r="U41" s="17" t="str">
        <f aca="false">IF((E41="p"),H41," ")</f>
        <v> </v>
      </c>
      <c r="V41" s="17" t="str">
        <f aca="false">IF((E41="t"),H41," ")</f>
        <v> </v>
      </c>
      <c r="W41" s="17" t="str">
        <f aca="false">IF((E41="q"),H41," ")</f>
        <v> </v>
      </c>
      <c r="X41" s="17" t="str">
        <f aca="false">IF((E41="m"),H41," ")</f>
        <v> </v>
      </c>
      <c r="Y41" s="17" t="str">
        <f aca="false">IF((E41="u"),H41," ")</f>
        <v> </v>
      </c>
      <c r="Z41" s="17" t="str">
        <f aca="false">IF((E41="a"),H41," ")</f>
        <v> </v>
      </c>
      <c r="AA41" s="17" t="str">
        <f aca="false">IF((E41="g"),H41," ")</f>
        <v> </v>
      </c>
      <c r="AB41" s="17" t="str">
        <f aca="false">IF((E41="h"),H41," ")</f>
        <v> </v>
      </c>
      <c r="AC41" s="30" t="str">
        <f aca="false">IF((E41="v"),H41," ")</f>
        <v> </v>
      </c>
      <c r="AD41" s="30" t="str">
        <f aca="false">IF((E41="n"),H41," ")</f>
        <v> </v>
      </c>
      <c r="AE41" s="17" t="str">
        <f aca="false">IF((E41="f"),H41," ")</f>
        <v> </v>
      </c>
      <c r="AF41" s="17" t="str">
        <f aca="false">IF((E41="l"),H41," ")</f>
        <v> </v>
      </c>
      <c r="AG41" s="17" t="str">
        <f aca="false">IF((E41="y"),H41," ")</f>
        <v> </v>
      </c>
      <c r="AH41" s="17" t="str">
        <f aca="false">IF((E41="z"),H41," ")</f>
        <v> </v>
      </c>
      <c r="AI41" s="17" t="str">
        <f aca="false">IF((E41="fa"),H41," ")</f>
        <v> </v>
      </c>
      <c r="AJ41" s="17" t="str">
        <f aca="false">IF((E41="e"),H41," ")</f>
        <v> </v>
      </c>
    </row>
    <row r="42" customFormat="false" ht="12" hidden="false" customHeight="false" outlineLevel="0" collapsed="false">
      <c r="A42" s="28"/>
      <c r="E42" s="2"/>
      <c r="F42" s="30"/>
      <c r="G42" s="6" t="str">
        <f aca="false">IF(F42&lt;&gt;0,F42*G$2/(100+G$2)," ")</f>
        <v> </v>
      </c>
      <c r="H42" s="6" t="str">
        <f aca="false">IF((F42&lt;&gt;0),F42-G42," ")</f>
        <v> </v>
      </c>
      <c r="I42" s="5"/>
      <c r="L42" s="7" t="str">
        <f aca="false">IF(F42&lt;&gt;0,F42-K42," ")</f>
        <v> </v>
      </c>
      <c r="M42" s="8" t="str">
        <f aca="false">IF((F42-K42)&lt;&gt;0,M$1-A42," ")</f>
        <v> </v>
      </c>
      <c r="N42" s="5"/>
      <c r="O42" s="17" t="str">
        <f aca="false">IF((E42="s"),H42," ")</f>
        <v> </v>
      </c>
      <c r="P42" s="17" t="str">
        <f aca="false">IF((E42="c"),H42," ")</f>
        <v> </v>
      </c>
      <c r="Q42" s="17" t="str">
        <f aca="false">IF((E42="o"),H42," ")</f>
        <v> </v>
      </c>
      <c r="R42" s="17" t="str">
        <f aca="false">IF((E42="d"),H42," ")</f>
        <v> </v>
      </c>
      <c r="S42" s="17" t="str">
        <f aca="false">IF((E42="w"),H42," ")</f>
        <v> </v>
      </c>
      <c r="T42" s="17" t="str">
        <f aca="false">IF((E42="r"),H42," ")</f>
        <v> </v>
      </c>
      <c r="U42" s="17" t="str">
        <f aca="false">IF((E42="p"),H42," ")</f>
        <v> </v>
      </c>
      <c r="V42" s="17" t="str">
        <f aca="false">IF((E42="t"),H42," ")</f>
        <v> </v>
      </c>
      <c r="W42" s="17" t="str">
        <f aca="false">IF((E42="q"),H42," ")</f>
        <v> </v>
      </c>
      <c r="X42" s="17" t="str">
        <f aca="false">IF((E42="m"),H42," ")</f>
        <v> </v>
      </c>
      <c r="Y42" s="17" t="str">
        <f aca="false">IF((E42="u"),H42," ")</f>
        <v> </v>
      </c>
      <c r="Z42" s="17" t="str">
        <f aca="false">IF((E42="a"),H42," ")</f>
        <v> </v>
      </c>
      <c r="AA42" s="17" t="str">
        <f aca="false">IF((E42="g"),H42," ")</f>
        <v> </v>
      </c>
      <c r="AB42" s="17" t="str">
        <f aca="false">IF((E42="h"),H42," ")</f>
        <v> </v>
      </c>
      <c r="AC42" s="30" t="str">
        <f aca="false">IF((E42="v"),H42," ")</f>
        <v> </v>
      </c>
      <c r="AD42" s="30" t="str">
        <f aca="false">IF((E42="n"),H42," ")</f>
        <v> </v>
      </c>
      <c r="AE42" s="17" t="str">
        <f aca="false">IF((E42="f"),H42," ")</f>
        <v> </v>
      </c>
      <c r="AF42" s="17" t="str">
        <f aca="false">IF((E42="l"),H42," ")</f>
        <v> </v>
      </c>
      <c r="AG42" s="17" t="str">
        <f aca="false">IF((E42="y"),H42," ")</f>
        <v> </v>
      </c>
      <c r="AH42" s="17" t="str">
        <f aca="false">IF((E42="z"),H42," ")</f>
        <v> </v>
      </c>
      <c r="AI42" s="17" t="str">
        <f aca="false">IF((E42="fa"),H42," ")</f>
        <v> </v>
      </c>
      <c r="AJ42" s="17" t="str">
        <f aca="false">IF((E42="e"),H42," ")</f>
        <v> </v>
      </c>
    </row>
    <row r="43" customFormat="false" ht="12" hidden="false" customHeight="false" outlineLevel="0" collapsed="false">
      <c r="A43" s="28"/>
      <c r="E43" s="2"/>
      <c r="F43" s="30"/>
      <c r="G43" s="6" t="str">
        <f aca="false">IF(F43&lt;&gt;0,F43*G$2/(100+G$2)," ")</f>
        <v> </v>
      </c>
      <c r="H43" s="6" t="str">
        <f aca="false">IF((F43&lt;&gt;0),F43-G43," ")</f>
        <v> </v>
      </c>
      <c r="I43" s="5"/>
      <c r="L43" s="7" t="str">
        <f aca="false">IF(F43&lt;&gt;0,F43-K43," ")</f>
        <v> </v>
      </c>
      <c r="M43" s="8" t="str">
        <f aca="false">IF((F43-K43)&lt;&gt;0,M$1-A43," ")</f>
        <v> </v>
      </c>
      <c r="N43" s="5"/>
      <c r="O43" s="17" t="str">
        <f aca="false">IF((E43="s"),H43," ")</f>
        <v> </v>
      </c>
      <c r="P43" s="17" t="str">
        <f aca="false">IF((E43="c"),H43," ")</f>
        <v> </v>
      </c>
      <c r="Q43" s="17" t="str">
        <f aca="false">IF((E43="o"),H43," ")</f>
        <v> </v>
      </c>
      <c r="R43" s="17" t="str">
        <f aca="false">IF((E43="d"),H43," ")</f>
        <v> </v>
      </c>
      <c r="S43" s="17" t="str">
        <f aca="false">IF((E43="w"),H43," ")</f>
        <v> </v>
      </c>
      <c r="T43" s="17" t="str">
        <f aca="false">IF((E43="r"),H43," ")</f>
        <v> </v>
      </c>
      <c r="U43" s="17" t="str">
        <f aca="false">IF((E43="p"),H43," ")</f>
        <v> </v>
      </c>
      <c r="V43" s="17" t="str">
        <f aca="false">IF((E43="t"),H43," ")</f>
        <v> </v>
      </c>
      <c r="W43" s="17" t="str">
        <f aca="false">IF((E43="q"),H43," ")</f>
        <v> </v>
      </c>
      <c r="X43" s="17" t="str">
        <f aca="false">IF((E43="m"),H43," ")</f>
        <v> </v>
      </c>
      <c r="Y43" s="17" t="str">
        <f aca="false">IF((E43="u"),H43," ")</f>
        <v> </v>
      </c>
      <c r="Z43" s="17" t="str">
        <f aca="false">IF((E43="a"),H43," ")</f>
        <v> </v>
      </c>
      <c r="AA43" s="17" t="str">
        <f aca="false">IF((E43="g"),H43," ")</f>
        <v> </v>
      </c>
      <c r="AB43" s="17" t="str">
        <f aca="false">IF((E43="h"),H43," ")</f>
        <v> </v>
      </c>
      <c r="AC43" s="30" t="str">
        <f aca="false">IF((E43="v"),H43," ")</f>
        <v> </v>
      </c>
      <c r="AD43" s="30" t="str">
        <f aca="false">IF((E43="n"),H43," ")</f>
        <v> </v>
      </c>
      <c r="AE43" s="17" t="str">
        <f aca="false">IF((E43="f"),H43," ")</f>
        <v> </v>
      </c>
      <c r="AF43" s="17" t="str">
        <f aca="false">IF((E43="l"),H43," ")</f>
        <v> </v>
      </c>
      <c r="AG43" s="17" t="str">
        <f aca="false">IF((E43="y"),H43," ")</f>
        <v> </v>
      </c>
      <c r="AH43" s="17" t="str">
        <f aca="false">IF((E43="z"),H43," ")</f>
        <v> </v>
      </c>
      <c r="AI43" s="17" t="str">
        <f aca="false">IF((E43="fa"),H43," ")</f>
        <v> </v>
      </c>
      <c r="AJ43" s="17" t="str">
        <f aca="false">IF((E43="e"),H43," ")</f>
        <v> </v>
      </c>
    </row>
    <row r="44" customFormat="false" ht="12" hidden="false" customHeight="false" outlineLevel="0" collapsed="false">
      <c r="A44" s="28"/>
      <c r="E44" s="2"/>
      <c r="F44" s="30"/>
      <c r="G44" s="6" t="str">
        <f aca="false">IF(F44&lt;&gt;0,F44*G$2/(100+G$2)," ")</f>
        <v> </v>
      </c>
      <c r="H44" s="6" t="str">
        <f aca="false">IF((F44&lt;&gt;0),F44-G44," ")</f>
        <v> </v>
      </c>
      <c r="I44" s="5"/>
      <c r="L44" s="7" t="str">
        <f aca="false">IF(F44&lt;&gt;0,F44-K44," ")</f>
        <v> </v>
      </c>
      <c r="M44" s="8" t="str">
        <f aca="false">IF((F44-K44)&lt;&gt;0,M$1-A44," ")</f>
        <v> </v>
      </c>
      <c r="N44" s="5"/>
      <c r="O44" s="17" t="str">
        <f aca="false">IF((E44="s"),H44," ")</f>
        <v> </v>
      </c>
      <c r="P44" s="17" t="str">
        <f aca="false">IF((E44="c"),H44," ")</f>
        <v> </v>
      </c>
      <c r="Q44" s="17" t="str">
        <f aca="false">IF((E44="o"),H44," ")</f>
        <v> </v>
      </c>
      <c r="R44" s="17" t="str">
        <f aca="false">IF((E44="d"),H44," ")</f>
        <v> </v>
      </c>
      <c r="S44" s="17" t="str">
        <f aca="false">IF((E44="w"),H44," ")</f>
        <v> </v>
      </c>
      <c r="T44" s="17" t="str">
        <f aca="false">IF((E44="r"),H44," ")</f>
        <v> </v>
      </c>
      <c r="U44" s="17" t="str">
        <f aca="false">IF((E44="p"),H44," ")</f>
        <v> </v>
      </c>
      <c r="V44" s="17" t="str">
        <f aca="false">IF((E44="t"),H44," ")</f>
        <v> </v>
      </c>
      <c r="W44" s="17" t="str">
        <f aca="false">IF((E44="q"),H44," ")</f>
        <v> </v>
      </c>
      <c r="X44" s="17" t="str">
        <f aca="false">IF((E44="m"),H44," ")</f>
        <v> </v>
      </c>
      <c r="Y44" s="17" t="str">
        <f aca="false">IF((E44="u"),H44," ")</f>
        <v> </v>
      </c>
      <c r="Z44" s="17" t="str">
        <f aca="false">IF((E44="a"),H44," ")</f>
        <v> </v>
      </c>
      <c r="AA44" s="17" t="str">
        <f aca="false">IF((E44="g"),H44," ")</f>
        <v> </v>
      </c>
      <c r="AB44" s="17" t="str">
        <f aca="false">IF((E44="h"),H44," ")</f>
        <v> </v>
      </c>
      <c r="AC44" s="30" t="str">
        <f aca="false">IF((E44="v"),H44," ")</f>
        <v> </v>
      </c>
      <c r="AD44" s="30" t="str">
        <f aca="false">IF((E44="n"),H44," ")</f>
        <v> </v>
      </c>
      <c r="AE44" s="17" t="str">
        <f aca="false">IF((E44="f"),H44," ")</f>
        <v> </v>
      </c>
      <c r="AF44" s="17" t="str">
        <f aca="false">IF((E44="l"),H44," ")</f>
        <v> </v>
      </c>
      <c r="AG44" s="17" t="str">
        <f aca="false">IF((E44="y"),H44," ")</f>
        <v> </v>
      </c>
      <c r="AH44" s="17" t="str">
        <f aca="false">IF((E44="z"),H44," ")</f>
        <v> </v>
      </c>
      <c r="AI44" s="17" t="str">
        <f aca="false">IF((E44="fa"),H44," ")</f>
        <v> </v>
      </c>
      <c r="AJ44" s="17" t="str">
        <f aca="false">IF((E44="e"),H44," ")</f>
        <v> </v>
      </c>
    </row>
    <row r="45" customFormat="false" ht="12" hidden="false" customHeight="false" outlineLevel="0" collapsed="false">
      <c r="A45" s="28"/>
      <c r="E45" s="2"/>
      <c r="F45" s="30"/>
      <c r="G45" s="6" t="str">
        <f aca="false">IF(F45&lt;&gt;0,F45*G$2/(100+G$2)," ")</f>
        <v> </v>
      </c>
      <c r="H45" s="6" t="str">
        <f aca="false">IF((F45&lt;&gt;0),F45-G45," ")</f>
        <v> </v>
      </c>
      <c r="I45" s="5"/>
      <c r="L45" s="7" t="str">
        <f aca="false">IF(F45&lt;&gt;0,F45-K45," ")</f>
        <v> </v>
      </c>
      <c r="M45" s="8" t="str">
        <f aca="false">IF((F45-K45)&lt;&gt;0,M$1-A45," ")</f>
        <v> </v>
      </c>
      <c r="N45" s="5"/>
      <c r="O45" s="17" t="str">
        <f aca="false">IF((E45="s"),H45," ")</f>
        <v> </v>
      </c>
      <c r="P45" s="17" t="str">
        <f aca="false">IF((E45="c"),H45," ")</f>
        <v> </v>
      </c>
      <c r="Q45" s="17" t="str">
        <f aca="false">IF((E45="o"),H45," ")</f>
        <v> </v>
      </c>
      <c r="R45" s="17" t="str">
        <f aca="false">IF((E45="d"),H45," ")</f>
        <v> </v>
      </c>
      <c r="S45" s="17" t="str">
        <f aca="false">IF((E45="w"),H45," ")</f>
        <v> </v>
      </c>
      <c r="T45" s="17" t="str">
        <f aca="false">IF((E45="r"),H45," ")</f>
        <v> </v>
      </c>
      <c r="U45" s="17" t="str">
        <f aca="false">IF((E45="p"),H45," ")</f>
        <v> </v>
      </c>
      <c r="V45" s="17" t="str">
        <f aca="false">IF((E45="t"),H45," ")</f>
        <v> </v>
      </c>
      <c r="W45" s="17" t="str">
        <f aca="false">IF((E45="q"),H45," ")</f>
        <v> </v>
      </c>
      <c r="X45" s="17" t="str">
        <f aca="false">IF((E45="m"),H45," ")</f>
        <v> </v>
      </c>
      <c r="Y45" s="17" t="str">
        <f aca="false">IF((E45="u"),H45," ")</f>
        <v> </v>
      </c>
      <c r="Z45" s="17" t="str">
        <f aca="false">IF((E45="a"),H45," ")</f>
        <v> </v>
      </c>
      <c r="AA45" s="17" t="str">
        <f aca="false">IF((E45="g"),H45," ")</f>
        <v> </v>
      </c>
      <c r="AB45" s="17" t="str">
        <f aca="false">IF((E45="h"),H45," ")</f>
        <v> </v>
      </c>
      <c r="AC45" s="30" t="str">
        <f aca="false">IF((E45="v"),H45," ")</f>
        <v> </v>
      </c>
      <c r="AD45" s="30" t="str">
        <f aca="false">IF((E45="n"),H45," ")</f>
        <v> </v>
      </c>
      <c r="AE45" s="17" t="str">
        <f aca="false">IF((E45="f"),H45," ")</f>
        <v> </v>
      </c>
      <c r="AF45" s="17" t="str">
        <f aca="false">IF((E45="l"),H45," ")</f>
        <v> </v>
      </c>
      <c r="AG45" s="17" t="str">
        <f aca="false">IF((E45="y"),H45," ")</f>
        <v> </v>
      </c>
      <c r="AH45" s="17" t="str">
        <f aca="false">IF((E45="z"),H45," ")</f>
        <v> </v>
      </c>
      <c r="AI45" s="17" t="str">
        <f aca="false">IF((E45="fa"),H45," ")</f>
        <v> </v>
      </c>
      <c r="AJ45" s="17" t="str">
        <f aca="false">IF((E45="e"),H45," ")</f>
        <v> </v>
      </c>
    </row>
    <row r="46" customFormat="false" ht="12" hidden="false" customHeight="false" outlineLevel="0" collapsed="false">
      <c r="A46" s="28"/>
      <c r="E46" s="2"/>
      <c r="F46" s="30"/>
      <c r="G46" s="6" t="str">
        <f aca="false">IF(F46&lt;&gt;0,F46*G$2/(100+G$2)," ")</f>
        <v> </v>
      </c>
      <c r="H46" s="6" t="str">
        <f aca="false">IF((F46&lt;&gt;0),F46-G46," ")</f>
        <v> </v>
      </c>
      <c r="I46" s="5"/>
      <c r="L46" s="7" t="str">
        <f aca="false">IF(F46&lt;&gt;0,F46-K46," ")</f>
        <v> </v>
      </c>
      <c r="M46" s="8" t="str">
        <f aca="false">IF((F46-K46)&lt;&gt;0,M$1-A46," ")</f>
        <v> </v>
      </c>
      <c r="N46" s="5"/>
      <c r="O46" s="17" t="str">
        <f aca="false">IF((E46="s"),H46," ")</f>
        <v> </v>
      </c>
      <c r="P46" s="17" t="str">
        <f aca="false">IF((E46="c"),H46," ")</f>
        <v> </v>
      </c>
      <c r="Q46" s="17" t="str">
        <f aca="false">IF((E46="o"),H46," ")</f>
        <v> </v>
      </c>
      <c r="R46" s="17" t="str">
        <f aca="false">IF((E46="d"),H46," ")</f>
        <v> </v>
      </c>
      <c r="S46" s="17" t="str">
        <f aca="false">IF((E46="w"),H46," ")</f>
        <v> </v>
      </c>
      <c r="T46" s="17" t="str">
        <f aca="false">IF((E46="r"),H46," ")</f>
        <v> </v>
      </c>
      <c r="U46" s="17" t="str">
        <f aca="false">IF((E46="p"),H46," ")</f>
        <v> </v>
      </c>
      <c r="V46" s="17" t="str">
        <f aca="false">IF((E46="t"),H46," ")</f>
        <v> </v>
      </c>
      <c r="W46" s="17" t="str">
        <f aca="false">IF((E46="q"),H46," ")</f>
        <v> </v>
      </c>
      <c r="X46" s="17" t="str">
        <f aca="false">IF((E46="m"),H46," ")</f>
        <v> </v>
      </c>
      <c r="Y46" s="17" t="str">
        <f aca="false">IF((E46="u"),H46," ")</f>
        <v> </v>
      </c>
      <c r="Z46" s="17" t="str">
        <f aca="false">IF((E46="a"),H46," ")</f>
        <v> </v>
      </c>
      <c r="AA46" s="17" t="str">
        <f aca="false">IF((E46="g"),H46," ")</f>
        <v> </v>
      </c>
      <c r="AB46" s="17" t="str">
        <f aca="false">IF((E46="h"),H46," ")</f>
        <v> </v>
      </c>
      <c r="AC46" s="30" t="str">
        <f aca="false">IF((E46="v"),H46," ")</f>
        <v> </v>
      </c>
      <c r="AD46" s="30" t="str">
        <f aca="false">IF((E46="n"),H46," ")</f>
        <v> </v>
      </c>
      <c r="AE46" s="17" t="str">
        <f aca="false">IF((E46="f"),H46," ")</f>
        <v> </v>
      </c>
      <c r="AF46" s="17" t="str">
        <f aca="false">IF((E46="l"),H46," ")</f>
        <v> </v>
      </c>
      <c r="AG46" s="17" t="str">
        <f aca="false">IF((E46="y"),H46," ")</f>
        <v> </v>
      </c>
      <c r="AH46" s="17" t="str">
        <f aca="false">IF((E46="z"),H46," ")</f>
        <v> </v>
      </c>
      <c r="AI46" s="17" t="str">
        <f aca="false">IF((E46="fa"),H46," ")</f>
        <v> </v>
      </c>
      <c r="AJ46" s="17" t="str">
        <f aca="false">IF((E46="e"),H46," ")</f>
        <v> </v>
      </c>
    </row>
    <row r="47" customFormat="false" ht="12" hidden="false" customHeight="false" outlineLevel="0" collapsed="false">
      <c r="A47" s="28"/>
      <c r="E47" s="2"/>
      <c r="F47" s="30"/>
      <c r="G47" s="6" t="str">
        <f aca="false">IF(F47&lt;&gt;0,F47*G$2/(100+G$2)," ")</f>
        <v> </v>
      </c>
      <c r="H47" s="6" t="str">
        <f aca="false">IF((F47&lt;&gt;0),F47-G47," ")</f>
        <v> </v>
      </c>
      <c r="I47" s="5"/>
      <c r="L47" s="7" t="str">
        <f aca="false">IF(F47&lt;&gt;0,F47-K47," ")</f>
        <v> </v>
      </c>
      <c r="M47" s="8" t="str">
        <f aca="false">IF((F47-K47)&lt;&gt;0,M$1-A47," ")</f>
        <v> </v>
      </c>
      <c r="N47" s="5"/>
      <c r="O47" s="17" t="str">
        <f aca="false">IF((E47="s"),H47," ")</f>
        <v> </v>
      </c>
      <c r="P47" s="17" t="str">
        <f aca="false">IF((E47="c"),H47," ")</f>
        <v> </v>
      </c>
      <c r="Q47" s="17" t="str">
        <f aca="false">IF((E47="o"),H47," ")</f>
        <v> </v>
      </c>
      <c r="R47" s="17" t="str">
        <f aca="false">IF((E47="d"),H47," ")</f>
        <v> </v>
      </c>
      <c r="S47" s="17" t="str">
        <f aca="false">IF((E47="w"),H47," ")</f>
        <v> </v>
      </c>
      <c r="T47" s="17" t="str">
        <f aca="false">IF((E47="r"),H47," ")</f>
        <v> </v>
      </c>
      <c r="U47" s="17" t="str">
        <f aca="false">IF((E47="p"),H47," ")</f>
        <v> </v>
      </c>
      <c r="V47" s="17" t="str">
        <f aca="false">IF((E47="t"),H47," ")</f>
        <v> </v>
      </c>
      <c r="W47" s="17" t="str">
        <f aca="false">IF((E47="q"),H47," ")</f>
        <v> </v>
      </c>
      <c r="X47" s="17" t="str">
        <f aca="false">IF((E47="m"),H47," ")</f>
        <v> </v>
      </c>
      <c r="Y47" s="17" t="str">
        <f aca="false">IF((E47="u"),H47," ")</f>
        <v> </v>
      </c>
      <c r="Z47" s="17" t="str">
        <f aca="false">IF((E47="a"),H47," ")</f>
        <v> </v>
      </c>
      <c r="AA47" s="17" t="str">
        <f aca="false">IF((E47="g"),H47," ")</f>
        <v> </v>
      </c>
      <c r="AB47" s="17" t="str">
        <f aca="false">IF((E47="h"),H47," ")</f>
        <v> </v>
      </c>
      <c r="AC47" s="30" t="str">
        <f aca="false">IF((E47="v"),H47," ")</f>
        <v> </v>
      </c>
      <c r="AD47" s="30" t="str">
        <f aca="false">IF((E47="n"),H47," ")</f>
        <v> </v>
      </c>
      <c r="AE47" s="17" t="str">
        <f aca="false">IF((E47="f"),H47," ")</f>
        <v> </v>
      </c>
      <c r="AF47" s="17" t="str">
        <f aca="false">IF((E47="l"),H47," ")</f>
        <v> </v>
      </c>
      <c r="AG47" s="17" t="str">
        <f aca="false">IF((E47="y"),H47," ")</f>
        <v> </v>
      </c>
      <c r="AH47" s="17" t="str">
        <f aca="false">IF((E47="z"),H47," ")</f>
        <v> </v>
      </c>
      <c r="AI47" s="17" t="str">
        <f aca="false">IF((E47="fa"),H47," ")</f>
        <v> </v>
      </c>
      <c r="AJ47" s="17" t="str">
        <f aca="false">IF((E47="e"),H47," ")</f>
        <v> </v>
      </c>
    </row>
    <row r="48" customFormat="false" ht="12" hidden="false" customHeight="false" outlineLevel="0" collapsed="false">
      <c r="A48" s="28"/>
      <c r="E48" s="2"/>
      <c r="F48" s="30"/>
      <c r="G48" s="6" t="str">
        <f aca="false">IF(F48&lt;&gt;0,F48*G$2/(100+G$2)," ")</f>
        <v> </v>
      </c>
      <c r="H48" s="6" t="str">
        <f aca="false">IF((F48&lt;&gt;0),F48-G48," ")</f>
        <v> </v>
      </c>
      <c r="I48" s="5"/>
      <c r="L48" s="7" t="str">
        <f aca="false">IF(F48&lt;&gt;0,F48-K48," ")</f>
        <v> </v>
      </c>
      <c r="M48" s="8" t="str">
        <f aca="false">IF((F48-K48)&lt;&gt;0,M$1-A48," ")</f>
        <v> </v>
      </c>
      <c r="N48" s="5"/>
      <c r="O48" s="17" t="str">
        <f aca="false">IF((E48="s"),H48," ")</f>
        <v> </v>
      </c>
      <c r="P48" s="17" t="str">
        <f aca="false">IF((E48="c"),H48," ")</f>
        <v> </v>
      </c>
      <c r="Q48" s="17" t="str">
        <f aca="false">IF((E48="o"),H48," ")</f>
        <v> </v>
      </c>
      <c r="R48" s="17" t="str">
        <f aca="false">IF((E48="d"),H48," ")</f>
        <v> </v>
      </c>
      <c r="S48" s="17" t="str">
        <f aca="false">IF((E48="w"),H48," ")</f>
        <v> </v>
      </c>
      <c r="T48" s="17" t="str">
        <f aca="false">IF((E48="r"),H48," ")</f>
        <v> </v>
      </c>
      <c r="U48" s="17" t="str">
        <f aca="false">IF((E48="p"),H48," ")</f>
        <v> </v>
      </c>
      <c r="V48" s="17" t="str">
        <f aca="false">IF((E48="t"),H48," ")</f>
        <v> </v>
      </c>
      <c r="W48" s="17" t="str">
        <f aca="false">IF((E48="q"),H48," ")</f>
        <v> </v>
      </c>
      <c r="X48" s="17" t="str">
        <f aca="false">IF((E48="m"),H48," ")</f>
        <v> </v>
      </c>
      <c r="Y48" s="17" t="str">
        <f aca="false">IF((E48="u"),H48," ")</f>
        <v> </v>
      </c>
      <c r="Z48" s="17" t="str">
        <f aca="false">IF((E48="a"),H48," ")</f>
        <v> </v>
      </c>
      <c r="AA48" s="17" t="str">
        <f aca="false">IF((E48="g"),H48," ")</f>
        <v> </v>
      </c>
      <c r="AB48" s="17" t="str">
        <f aca="false">IF((E48="h"),H48," ")</f>
        <v> </v>
      </c>
      <c r="AC48" s="30" t="str">
        <f aca="false">IF((E48="v"),H48," ")</f>
        <v> </v>
      </c>
      <c r="AD48" s="30" t="str">
        <f aca="false">IF((E48="n"),H48," ")</f>
        <v> </v>
      </c>
      <c r="AE48" s="17" t="str">
        <f aca="false">IF((E48="f"),H48," ")</f>
        <v> </v>
      </c>
      <c r="AF48" s="17" t="str">
        <f aca="false">IF((E48="l"),H48," ")</f>
        <v> </v>
      </c>
      <c r="AG48" s="17" t="str">
        <f aca="false">IF((E48="y"),H48," ")</f>
        <v> </v>
      </c>
      <c r="AH48" s="17" t="str">
        <f aca="false">IF((E48="z"),H48," ")</f>
        <v> </v>
      </c>
      <c r="AI48" s="17" t="str">
        <f aca="false">IF((E48="fa"),H48," ")</f>
        <v> </v>
      </c>
      <c r="AJ48" s="17" t="str">
        <f aca="false">IF((E48="e"),H48," ")</f>
        <v> </v>
      </c>
    </row>
    <row r="49" customFormat="false" ht="12" hidden="false" customHeight="false" outlineLevel="0" collapsed="false">
      <c r="A49" s="28"/>
      <c r="E49" s="2"/>
      <c r="F49" s="30"/>
      <c r="G49" s="6" t="str">
        <f aca="false">IF(F49&lt;&gt;0,F49*G$2/(100+G$2)," ")</f>
        <v> </v>
      </c>
      <c r="H49" s="6" t="str">
        <f aca="false">IF((F49&lt;&gt;0),F49-G49," ")</f>
        <v> </v>
      </c>
      <c r="I49" s="5"/>
      <c r="L49" s="7" t="str">
        <f aca="false">IF(F49&lt;&gt;0,F49-K49," ")</f>
        <v> </v>
      </c>
      <c r="M49" s="8" t="str">
        <f aca="false">IF((F49-K49)&lt;&gt;0,M$1-A49," ")</f>
        <v> </v>
      </c>
      <c r="N49" s="5"/>
      <c r="O49" s="17" t="str">
        <f aca="false">IF((E49="s"),H49," ")</f>
        <v> </v>
      </c>
      <c r="P49" s="17" t="str">
        <f aca="false">IF((E49="c"),H49," ")</f>
        <v> </v>
      </c>
      <c r="Q49" s="17" t="str">
        <f aca="false">IF((E49="o"),H49," ")</f>
        <v> </v>
      </c>
      <c r="R49" s="17" t="str">
        <f aca="false">IF((E49="d"),H49," ")</f>
        <v> </v>
      </c>
      <c r="S49" s="17" t="str">
        <f aca="false">IF((E49="w"),H49," ")</f>
        <v> </v>
      </c>
      <c r="T49" s="17" t="str">
        <f aca="false">IF((E49="r"),H49," ")</f>
        <v> </v>
      </c>
      <c r="U49" s="17" t="str">
        <f aca="false">IF((E49="p"),H49," ")</f>
        <v> </v>
      </c>
      <c r="V49" s="17" t="str">
        <f aca="false">IF((E49="t"),H49," ")</f>
        <v> </v>
      </c>
      <c r="W49" s="17" t="str">
        <f aca="false">IF((E49="q"),H49," ")</f>
        <v> </v>
      </c>
      <c r="X49" s="17" t="str">
        <f aca="false">IF((E49="m"),H49," ")</f>
        <v> </v>
      </c>
      <c r="Y49" s="17" t="str">
        <f aca="false">IF((E49="u"),H49," ")</f>
        <v> </v>
      </c>
      <c r="Z49" s="17" t="str">
        <f aca="false">IF((E49="a"),H49," ")</f>
        <v> </v>
      </c>
      <c r="AA49" s="17" t="str">
        <f aca="false">IF((E49="g"),H49," ")</f>
        <v> </v>
      </c>
      <c r="AB49" s="17" t="str">
        <f aca="false">IF((E49="h"),H49," ")</f>
        <v> </v>
      </c>
      <c r="AC49" s="30" t="str">
        <f aca="false">IF((E49="v"),H49," ")</f>
        <v> </v>
      </c>
      <c r="AD49" s="30" t="str">
        <f aca="false">IF((E49="n"),H49," ")</f>
        <v> </v>
      </c>
      <c r="AE49" s="17" t="str">
        <f aca="false">IF((E49="f"),H49," ")</f>
        <v> </v>
      </c>
      <c r="AF49" s="17" t="str">
        <f aca="false">IF((E49="l"),H49," ")</f>
        <v> </v>
      </c>
      <c r="AG49" s="17" t="str">
        <f aca="false">IF((E49="y"),H49," ")</f>
        <v> </v>
      </c>
      <c r="AH49" s="17" t="str">
        <f aca="false">IF((E49="z"),H49," ")</f>
        <v> </v>
      </c>
      <c r="AI49" s="17" t="str">
        <f aca="false">IF((E49="fa"),H49," ")</f>
        <v> </v>
      </c>
      <c r="AJ49" s="17" t="str">
        <f aca="false">IF((E49="e"),H49," ")</f>
        <v> </v>
      </c>
    </row>
    <row r="50" customFormat="false" ht="12" hidden="false" customHeight="false" outlineLevel="0" collapsed="false">
      <c r="A50" s="28"/>
      <c r="E50" s="2"/>
      <c r="F50" s="30"/>
      <c r="G50" s="6" t="str">
        <f aca="false">IF(F50&lt;&gt;0,F50*G$2/(100+G$2)," ")</f>
        <v> </v>
      </c>
      <c r="H50" s="6" t="str">
        <f aca="false">IF((F50&lt;&gt;0),F50-G50," ")</f>
        <v> </v>
      </c>
      <c r="I50" s="5"/>
      <c r="L50" s="7" t="str">
        <f aca="false">IF(F50&lt;&gt;0,F50-K50," ")</f>
        <v> </v>
      </c>
      <c r="M50" s="8" t="str">
        <f aca="false">IF((F50-K50)&lt;&gt;0,M$1-A50," ")</f>
        <v> </v>
      </c>
      <c r="N50" s="5"/>
      <c r="O50" s="17" t="str">
        <f aca="false">IF((E50="s"),H50," ")</f>
        <v> </v>
      </c>
      <c r="P50" s="17" t="str">
        <f aca="false">IF((E50="c"),H50," ")</f>
        <v> </v>
      </c>
      <c r="Q50" s="17" t="str">
        <f aca="false">IF((E50="o"),H50," ")</f>
        <v> </v>
      </c>
      <c r="R50" s="17" t="str">
        <f aca="false">IF((E50="d"),H50," ")</f>
        <v> </v>
      </c>
      <c r="S50" s="17" t="str">
        <f aca="false">IF((E50="w"),H50," ")</f>
        <v> </v>
      </c>
      <c r="T50" s="17" t="str">
        <f aca="false">IF((E50="r"),H50," ")</f>
        <v> </v>
      </c>
      <c r="U50" s="17" t="str">
        <f aca="false">IF((E50="p"),H50," ")</f>
        <v> </v>
      </c>
      <c r="V50" s="17" t="str">
        <f aca="false">IF((E50="t"),H50," ")</f>
        <v> </v>
      </c>
      <c r="W50" s="17" t="str">
        <f aca="false">IF((E50="q"),H50," ")</f>
        <v> </v>
      </c>
      <c r="X50" s="17" t="str">
        <f aca="false">IF((E50="m"),H50," ")</f>
        <v> </v>
      </c>
      <c r="Y50" s="17" t="str">
        <f aca="false">IF((E50="u"),H50," ")</f>
        <v> </v>
      </c>
      <c r="Z50" s="17" t="str">
        <f aca="false">IF((E50="a"),H50," ")</f>
        <v> </v>
      </c>
      <c r="AA50" s="17" t="str">
        <f aca="false">IF((E50="g"),H50," ")</f>
        <v> </v>
      </c>
      <c r="AB50" s="17" t="str">
        <f aca="false">IF((E50="h"),H50," ")</f>
        <v> </v>
      </c>
      <c r="AC50" s="30" t="str">
        <f aca="false">IF((E50="v"),H50," ")</f>
        <v> </v>
      </c>
      <c r="AD50" s="30" t="str">
        <f aca="false">IF((E50="n"),H50," ")</f>
        <v> </v>
      </c>
      <c r="AE50" s="17" t="str">
        <f aca="false">IF((E50="f"),H50," ")</f>
        <v> </v>
      </c>
      <c r="AF50" s="17" t="str">
        <f aca="false">IF((E50="l"),H50," ")</f>
        <v> </v>
      </c>
      <c r="AG50" s="17" t="str">
        <f aca="false">IF((E50="y"),H50," ")</f>
        <v> </v>
      </c>
      <c r="AH50" s="17" t="str">
        <f aca="false">IF((E50="z"),H50," ")</f>
        <v> </v>
      </c>
      <c r="AI50" s="17" t="str">
        <f aca="false">IF((E50="fa"),H50," ")</f>
        <v> </v>
      </c>
      <c r="AJ50" s="17" t="str">
        <f aca="false">IF((E50="e"),H50," ")</f>
        <v> </v>
      </c>
    </row>
    <row r="51" customFormat="false" ht="12" hidden="false" customHeight="false" outlineLevel="0" collapsed="false">
      <c r="A51" s="28"/>
      <c r="E51" s="2"/>
      <c r="F51" s="30"/>
      <c r="G51" s="6" t="str">
        <f aca="false">IF(F51&lt;&gt;0,F51*G$2/(100+G$2)," ")</f>
        <v> </v>
      </c>
      <c r="H51" s="6" t="str">
        <f aca="false">IF((F51&lt;&gt;0),F51-G51," ")</f>
        <v> </v>
      </c>
      <c r="I51" s="5"/>
      <c r="L51" s="7" t="str">
        <f aca="false">IF(F51&lt;&gt;0,F51-K51," ")</f>
        <v> </v>
      </c>
      <c r="M51" s="8" t="str">
        <f aca="false">IF((F51-K51)&lt;&gt;0,M$1-A51," ")</f>
        <v> </v>
      </c>
      <c r="N51" s="5"/>
      <c r="O51" s="17" t="str">
        <f aca="false">IF((E51="s"),H51," ")</f>
        <v> </v>
      </c>
      <c r="P51" s="17" t="str">
        <f aca="false">IF((E51="c"),H51," ")</f>
        <v> </v>
      </c>
      <c r="Q51" s="17" t="str">
        <f aca="false">IF((E51="o"),H51," ")</f>
        <v> </v>
      </c>
      <c r="R51" s="17" t="str">
        <f aca="false">IF((E51="d"),H51," ")</f>
        <v> </v>
      </c>
      <c r="S51" s="17" t="str">
        <f aca="false">IF((E51="w"),H51," ")</f>
        <v> </v>
      </c>
      <c r="T51" s="17" t="str">
        <f aca="false">IF((E51="r"),H51," ")</f>
        <v> </v>
      </c>
      <c r="U51" s="17" t="str">
        <f aca="false">IF((E51="p"),H51," ")</f>
        <v> </v>
      </c>
      <c r="V51" s="17" t="str">
        <f aca="false">IF((E51="t"),H51," ")</f>
        <v> </v>
      </c>
      <c r="W51" s="17" t="str">
        <f aca="false">IF((E51="q"),H51," ")</f>
        <v> </v>
      </c>
      <c r="X51" s="17" t="str">
        <f aca="false">IF((E51="m"),H51," ")</f>
        <v> </v>
      </c>
      <c r="Y51" s="17" t="str">
        <f aca="false">IF((E51="u"),H51," ")</f>
        <v> </v>
      </c>
      <c r="Z51" s="17" t="str">
        <f aca="false">IF((E51="a"),H51," ")</f>
        <v> </v>
      </c>
      <c r="AA51" s="17" t="str">
        <f aca="false">IF((E51="g"),H51," ")</f>
        <v> </v>
      </c>
      <c r="AB51" s="17" t="str">
        <f aca="false">IF((E51="h"),H51," ")</f>
        <v> </v>
      </c>
      <c r="AC51" s="30" t="str">
        <f aca="false">IF((E51="v"),H51," ")</f>
        <v> </v>
      </c>
      <c r="AD51" s="30" t="str">
        <f aca="false">IF((E51="n"),H51," ")</f>
        <v> </v>
      </c>
      <c r="AE51" s="17" t="str">
        <f aca="false">IF((E51="f"),H51," ")</f>
        <v> </v>
      </c>
      <c r="AF51" s="17" t="str">
        <f aca="false">IF((E51="l"),H51," ")</f>
        <v> </v>
      </c>
      <c r="AG51" s="17" t="str">
        <f aca="false">IF((E51="y"),H51," ")</f>
        <v> </v>
      </c>
      <c r="AH51" s="17" t="str">
        <f aca="false">IF((E51="z"),H51," ")</f>
        <v> </v>
      </c>
      <c r="AI51" s="17" t="str">
        <f aca="false">IF((E51="fa"),H51," ")</f>
        <v> </v>
      </c>
      <c r="AJ51" s="17" t="str">
        <f aca="false">IF((E51="e"),H51," ")</f>
        <v> </v>
      </c>
    </row>
    <row r="52" customFormat="false" ht="12" hidden="false" customHeight="false" outlineLevel="0" collapsed="false">
      <c r="A52" s="28"/>
      <c r="E52" s="2"/>
      <c r="F52" s="30"/>
      <c r="G52" s="6" t="str">
        <f aca="false">IF(F52&lt;&gt;0,F52*G$2/(100+G$2)," ")</f>
        <v> </v>
      </c>
      <c r="H52" s="6" t="str">
        <f aca="false">IF((F52&lt;&gt;0),F52-G52," ")</f>
        <v> </v>
      </c>
      <c r="I52" s="5"/>
      <c r="L52" s="7" t="str">
        <f aca="false">IF(F52&lt;&gt;0,F52-K52," ")</f>
        <v> </v>
      </c>
      <c r="M52" s="8" t="str">
        <f aca="false">IF((F52-K52)&lt;&gt;0,M$1-A52," ")</f>
        <v> </v>
      </c>
      <c r="N52" s="5"/>
      <c r="O52" s="17" t="str">
        <f aca="false">IF((E52="s"),H52," ")</f>
        <v> </v>
      </c>
      <c r="P52" s="17" t="str">
        <f aca="false">IF((E52="c"),H52," ")</f>
        <v> </v>
      </c>
      <c r="Q52" s="17" t="str">
        <f aca="false">IF((E52="o"),H52," ")</f>
        <v> </v>
      </c>
      <c r="R52" s="17" t="str">
        <f aca="false">IF((E52="d"),H52," ")</f>
        <v> </v>
      </c>
      <c r="S52" s="17" t="str">
        <f aca="false">IF((E52="w"),H52," ")</f>
        <v> </v>
      </c>
      <c r="T52" s="17" t="str">
        <f aca="false">IF((E52="r"),H52," ")</f>
        <v> </v>
      </c>
      <c r="U52" s="17" t="str">
        <f aca="false">IF((E52="p"),H52," ")</f>
        <v> </v>
      </c>
      <c r="V52" s="17" t="str">
        <f aca="false">IF((E52="t"),H52," ")</f>
        <v> </v>
      </c>
      <c r="W52" s="17" t="str">
        <f aca="false">IF((E52="q"),H52," ")</f>
        <v> </v>
      </c>
      <c r="X52" s="17" t="str">
        <f aca="false">IF((E52="m"),H52," ")</f>
        <v> </v>
      </c>
      <c r="Y52" s="17" t="str">
        <f aca="false">IF((E52="u"),H52," ")</f>
        <v> </v>
      </c>
      <c r="Z52" s="17" t="str">
        <f aca="false">IF((E52="a"),H52," ")</f>
        <v> </v>
      </c>
      <c r="AA52" s="17" t="str">
        <f aca="false">IF((E52="g"),H52," ")</f>
        <v> </v>
      </c>
      <c r="AB52" s="17" t="str">
        <f aca="false">IF((E52="h"),H52," ")</f>
        <v> </v>
      </c>
      <c r="AC52" s="30" t="str">
        <f aca="false">IF((E52="v"),H52," ")</f>
        <v> </v>
      </c>
      <c r="AD52" s="30" t="str">
        <f aca="false">IF((E52="n"),H52," ")</f>
        <v> </v>
      </c>
      <c r="AE52" s="17" t="str">
        <f aca="false">IF((E52="f"),H52," ")</f>
        <v> </v>
      </c>
      <c r="AF52" s="17" t="str">
        <f aca="false">IF((E52="l"),H52," ")</f>
        <v> </v>
      </c>
      <c r="AG52" s="17" t="str">
        <f aca="false">IF((E52="y"),H52," ")</f>
        <v> </v>
      </c>
      <c r="AH52" s="17" t="str">
        <f aca="false">IF((E52="z"),H52," ")</f>
        <v> </v>
      </c>
      <c r="AI52" s="17" t="str">
        <f aca="false">IF((E52="fa"),H52," ")</f>
        <v> </v>
      </c>
      <c r="AJ52" s="17" t="str">
        <f aca="false">IF((E52="e"),H52," ")</f>
        <v> </v>
      </c>
    </row>
    <row r="53" customFormat="false" ht="12" hidden="false" customHeight="false" outlineLevel="0" collapsed="false">
      <c r="A53" s="28"/>
      <c r="E53" s="2"/>
      <c r="F53" s="30"/>
      <c r="G53" s="6" t="str">
        <f aca="false">IF(F53&lt;&gt;0,F53*G$2/(100+G$2)," ")</f>
        <v> </v>
      </c>
      <c r="H53" s="6" t="str">
        <f aca="false">IF((F53&lt;&gt;0),F53-G53," ")</f>
        <v> </v>
      </c>
      <c r="I53" s="5"/>
      <c r="L53" s="7" t="str">
        <f aca="false">IF(F53&lt;&gt;0,F53-K53," ")</f>
        <v> </v>
      </c>
      <c r="M53" s="8" t="str">
        <f aca="false">IF((F53-K53)&lt;&gt;0,M$1-A53," ")</f>
        <v> </v>
      </c>
      <c r="N53" s="5"/>
      <c r="O53" s="17" t="str">
        <f aca="false">IF((E53="s"),H53," ")</f>
        <v> </v>
      </c>
      <c r="P53" s="17" t="str">
        <f aca="false">IF((E53="c"),H53," ")</f>
        <v> </v>
      </c>
      <c r="Q53" s="17" t="str">
        <f aca="false">IF((E53="o"),H53," ")</f>
        <v> </v>
      </c>
      <c r="R53" s="17" t="str">
        <f aca="false">IF((E53="d"),H53," ")</f>
        <v> </v>
      </c>
      <c r="S53" s="17" t="str">
        <f aca="false">IF((E53="w"),H53," ")</f>
        <v> </v>
      </c>
      <c r="T53" s="17" t="str">
        <f aca="false">IF((E53="r"),H53," ")</f>
        <v> </v>
      </c>
      <c r="U53" s="17" t="str">
        <f aca="false">IF((E53="p"),H53," ")</f>
        <v> </v>
      </c>
      <c r="V53" s="17" t="str">
        <f aca="false">IF((E53="t"),H53," ")</f>
        <v> </v>
      </c>
      <c r="W53" s="17" t="str">
        <f aca="false">IF((E53="q"),H53," ")</f>
        <v> </v>
      </c>
      <c r="X53" s="17" t="str">
        <f aca="false">IF((E53="m"),H53," ")</f>
        <v> </v>
      </c>
      <c r="Y53" s="17" t="str">
        <f aca="false">IF((E53="u"),H53," ")</f>
        <v> </v>
      </c>
      <c r="Z53" s="17" t="str">
        <f aca="false">IF((E53="a"),H53," ")</f>
        <v> </v>
      </c>
      <c r="AA53" s="17" t="str">
        <f aca="false">IF((E53="g"),H53," ")</f>
        <v> </v>
      </c>
      <c r="AB53" s="17" t="str">
        <f aca="false">IF((E53="h"),H53," ")</f>
        <v> </v>
      </c>
      <c r="AC53" s="30" t="str">
        <f aca="false">IF((E53="v"),H53," ")</f>
        <v> </v>
      </c>
      <c r="AD53" s="30" t="str">
        <f aca="false">IF((E53="n"),H53," ")</f>
        <v> </v>
      </c>
      <c r="AE53" s="17" t="str">
        <f aca="false">IF((E53="f"),H53," ")</f>
        <v> </v>
      </c>
      <c r="AF53" s="17" t="str">
        <f aca="false">IF((E53="l"),H53," ")</f>
        <v> </v>
      </c>
      <c r="AG53" s="17" t="str">
        <f aca="false">IF((E53="y"),H53," ")</f>
        <v> </v>
      </c>
      <c r="AH53" s="17" t="str">
        <f aca="false">IF((E53="z"),H53," ")</f>
        <v> </v>
      </c>
      <c r="AI53" s="17" t="str">
        <f aca="false">IF((E53="fa"),H53," ")</f>
        <v> </v>
      </c>
      <c r="AJ53" s="17" t="str">
        <f aca="false">IF((E53="e"),H53," ")</f>
        <v> </v>
      </c>
    </row>
    <row r="54" customFormat="false" ht="12" hidden="false" customHeight="false" outlineLevel="0" collapsed="false">
      <c r="A54" s="28"/>
      <c r="E54" s="2"/>
      <c r="F54" s="30"/>
      <c r="G54" s="6" t="str">
        <f aca="false">IF(F54&lt;&gt;0,F54*G$2/(100+G$2)," ")</f>
        <v> </v>
      </c>
      <c r="H54" s="6" t="str">
        <f aca="false">IF((F54&lt;&gt;0),F54-G54," ")</f>
        <v> </v>
      </c>
      <c r="I54" s="5"/>
      <c r="L54" s="7" t="str">
        <f aca="false">IF(F54&lt;&gt;0,F54-K54," ")</f>
        <v> </v>
      </c>
      <c r="M54" s="8" t="str">
        <f aca="false">IF((F54-K54)&lt;&gt;0,M$1-A54," ")</f>
        <v> </v>
      </c>
      <c r="N54" s="5"/>
      <c r="O54" s="17" t="str">
        <f aca="false">IF((E54="s"),H54," ")</f>
        <v> </v>
      </c>
      <c r="P54" s="17" t="str">
        <f aca="false">IF((E54="c"),H54," ")</f>
        <v> </v>
      </c>
      <c r="Q54" s="17" t="str">
        <f aca="false">IF((E54="o"),H54," ")</f>
        <v> </v>
      </c>
      <c r="R54" s="17" t="str">
        <f aca="false">IF((E54="d"),H54," ")</f>
        <v> </v>
      </c>
      <c r="S54" s="17" t="str">
        <f aca="false">IF((E54="w"),H54," ")</f>
        <v> </v>
      </c>
      <c r="T54" s="17" t="str">
        <f aca="false">IF((E54="r"),H54," ")</f>
        <v> </v>
      </c>
      <c r="U54" s="17" t="str">
        <f aca="false">IF((E54="p"),H54," ")</f>
        <v> </v>
      </c>
      <c r="V54" s="17" t="str">
        <f aca="false">IF((E54="t"),H54," ")</f>
        <v> </v>
      </c>
      <c r="W54" s="17" t="str">
        <f aca="false">IF((E54="q"),H54," ")</f>
        <v> </v>
      </c>
      <c r="X54" s="17" t="str">
        <f aca="false">IF((E54="m"),H54," ")</f>
        <v> </v>
      </c>
      <c r="Y54" s="17" t="str">
        <f aca="false">IF((E54="u"),H54," ")</f>
        <v> </v>
      </c>
      <c r="Z54" s="17" t="str">
        <f aca="false">IF((E54="a"),H54," ")</f>
        <v> </v>
      </c>
      <c r="AA54" s="17" t="str">
        <f aca="false">IF((E54="g"),H54," ")</f>
        <v> </v>
      </c>
      <c r="AB54" s="17" t="str">
        <f aca="false">IF((E54="h"),H54," ")</f>
        <v> </v>
      </c>
      <c r="AC54" s="30" t="str">
        <f aca="false">IF((E54="v"),H54," ")</f>
        <v> </v>
      </c>
      <c r="AD54" s="30" t="str">
        <f aca="false">IF((E54="n"),H54," ")</f>
        <v> </v>
      </c>
      <c r="AE54" s="17" t="str">
        <f aca="false">IF((E54="f"),H54," ")</f>
        <v> </v>
      </c>
      <c r="AF54" s="17" t="str">
        <f aca="false">IF((E54="l"),H54," ")</f>
        <v> </v>
      </c>
      <c r="AG54" s="17" t="str">
        <f aca="false">IF((E54="y"),H54," ")</f>
        <v> </v>
      </c>
      <c r="AH54" s="17" t="str">
        <f aca="false">IF((E54="z"),H54," ")</f>
        <v> </v>
      </c>
      <c r="AI54" s="17" t="str">
        <f aca="false">IF((E54="fa"),H54," ")</f>
        <v> </v>
      </c>
      <c r="AJ54" s="17" t="str">
        <f aca="false">IF((E54="e"),H54," ")</f>
        <v> </v>
      </c>
    </row>
    <row r="55" customFormat="false" ht="12" hidden="false" customHeight="false" outlineLevel="0" collapsed="false">
      <c r="A55" s="28"/>
      <c r="E55" s="2"/>
      <c r="F55" s="30"/>
      <c r="G55" s="6" t="str">
        <f aca="false">IF(F55&lt;&gt;0,F55*G$2/(100+G$2)," ")</f>
        <v> </v>
      </c>
      <c r="H55" s="6" t="str">
        <f aca="false">IF((F55&lt;&gt;0),F55-G55," ")</f>
        <v> </v>
      </c>
      <c r="I55" s="5"/>
      <c r="L55" s="7" t="str">
        <f aca="false">IF(F55&lt;&gt;0,F55-K55," ")</f>
        <v> </v>
      </c>
      <c r="M55" s="8" t="str">
        <f aca="false">IF((F55-K55)&lt;&gt;0,M$1-A55," ")</f>
        <v> </v>
      </c>
      <c r="N55" s="5"/>
      <c r="O55" s="17" t="str">
        <f aca="false">IF((E55="s"),H55," ")</f>
        <v> </v>
      </c>
      <c r="P55" s="17" t="str">
        <f aca="false">IF((E55="c"),H55," ")</f>
        <v> </v>
      </c>
      <c r="Q55" s="17" t="str">
        <f aca="false">IF((E55="o"),H55," ")</f>
        <v> </v>
      </c>
      <c r="R55" s="17" t="str">
        <f aca="false">IF((E55="d"),H55," ")</f>
        <v> </v>
      </c>
      <c r="S55" s="17" t="str">
        <f aca="false">IF((E55="w"),H55," ")</f>
        <v> </v>
      </c>
      <c r="T55" s="17" t="str">
        <f aca="false">IF((E55="r"),H55," ")</f>
        <v> </v>
      </c>
      <c r="U55" s="17" t="str">
        <f aca="false">IF((E55="p"),H55," ")</f>
        <v> </v>
      </c>
      <c r="V55" s="17" t="str">
        <f aca="false">IF((E55="t"),H55," ")</f>
        <v> </v>
      </c>
      <c r="W55" s="17" t="str">
        <f aca="false">IF((E55="q"),H55," ")</f>
        <v> </v>
      </c>
      <c r="X55" s="17" t="str">
        <f aca="false">IF((E55="m"),H55," ")</f>
        <v> </v>
      </c>
      <c r="Y55" s="17" t="str">
        <f aca="false">IF((E55="u"),H55," ")</f>
        <v> </v>
      </c>
      <c r="Z55" s="17" t="str">
        <f aca="false">IF((E55="a"),H55," ")</f>
        <v> </v>
      </c>
      <c r="AA55" s="17" t="str">
        <f aca="false">IF((E55="g"),H55," ")</f>
        <v> </v>
      </c>
      <c r="AB55" s="17" t="str">
        <f aca="false">IF((E55="h"),H55," ")</f>
        <v> </v>
      </c>
      <c r="AC55" s="30" t="str">
        <f aca="false">IF((E55="v"),H55," ")</f>
        <v> </v>
      </c>
      <c r="AD55" s="30" t="str">
        <f aca="false">IF((E55="n"),H55," ")</f>
        <v> </v>
      </c>
      <c r="AE55" s="17" t="str">
        <f aca="false">IF((E55="f"),H55," ")</f>
        <v> </v>
      </c>
      <c r="AF55" s="17" t="str">
        <f aca="false">IF((E55="l"),H55," ")</f>
        <v> </v>
      </c>
      <c r="AG55" s="17" t="str">
        <f aca="false">IF((E55="y"),H55," ")</f>
        <v> </v>
      </c>
      <c r="AH55" s="17" t="str">
        <f aca="false">IF((E55="z"),H55," ")</f>
        <v> </v>
      </c>
      <c r="AI55" s="17" t="str">
        <f aca="false">IF((E55="fa"),H55," ")</f>
        <v> </v>
      </c>
      <c r="AJ55" s="17" t="str">
        <f aca="false">IF((E55="e"),H55," ")</f>
        <v> </v>
      </c>
    </row>
    <row r="56" customFormat="false" ht="12" hidden="false" customHeight="false" outlineLevel="0" collapsed="false">
      <c r="A56" s="28"/>
      <c r="E56" s="2"/>
      <c r="F56" s="30"/>
      <c r="G56" s="6" t="str">
        <f aca="false">IF(F56&lt;&gt;0,F56*G$2/(100+G$2)," ")</f>
        <v> </v>
      </c>
      <c r="H56" s="6" t="str">
        <f aca="false">IF((F56&lt;&gt;0),F56-G56," ")</f>
        <v> </v>
      </c>
      <c r="I56" s="5"/>
      <c r="L56" s="7" t="str">
        <f aca="false">IF(F56&lt;&gt;0,F56-K56," ")</f>
        <v> </v>
      </c>
      <c r="M56" s="8" t="str">
        <f aca="false">IF((F56-K56)&lt;&gt;0,M$1-A56," ")</f>
        <v> </v>
      </c>
      <c r="N56" s="5"/>
      <c r="O56" s="17" t="str">
        <f aca="false">IF((E56="s"),H56," ")</f>
        <v> </v>
      </c>
      <c r="P56" s="17" t="str">
        <f aca="false">IF((E56="c"),H56," ")</f>
        <v> </v>
      </c>
      <c r="Q56" s="17" t="str">
        <f aca="false">IF((E56="o"),H56," ")</f>
        <v> </v>
      </c>
      <c r="R56" s="17" t="str">
        <f aca="false">IF((E56="d"),H56," ")</f>
        <v> </v>
      </c>
      <c r="S56" s="17" t="str">
        <f aca="false">IF((E56="w"),H56," ")</f>
        <v> </v>
      </c>
      <c r="T56" s="17" t="str">
        <f aca="false">IF((E56="r"),H56," ")</f>
        <v> </v>
      </c>
      <c r="U56" s="17" t="str">
        <f aca="false">IF((E56="p"),H56," ")</f>
        <v> </v>
      </c>
      <c r="V56" s="17" t="str">
        <f aca="false">IF((E56="t"),H56," ")</f>
        <v> </v>
      </c>
      <c r="W56" s="17" t="str">
        <f aca="false">IF((E56="q"),H56," ")</f>
        <v> </v>
      </c>
      <c r="X56" s="17" t="str">
        <f aca="false">IF((E56="m"),H56," ")</f>
        <v> </v>
      </c>
      <c r="Y56" s="17" t="str">
        <f aca="false">IF((E56="u"),H56," ")</f>
        <v> </v>
      </c>
      <c r="Z56" s="17" t="str">
        <f aca="false">IF((E56="a"),H56," ")</f>
        <v> </v>
      </c>
      <c r="AA56" s="17" t="str">
        <f aca="false">IF((E56="g"),H56," ")</f>
        <v> </v>
      </c>
      <c r="AB56" s="17" t="str">
        <f aca="false">IF((E56="h"),H56," ")</f>
        <v> </v>
      </c>
      <c r="AC56" s="30" t="str">
        <f aca="false">IF((E56="v"),H56," ")</f>
        <v> </v>
      </c>
      <c r="AD56" s="30" t="str">
        <f aca="false">IF((E56="n"),H56," ")</f>
        <v> </v>
      </c>
      <c r="AE56" s="17" t="str">
        <f aca="false">IF((E56="f"),H56," ")</f>
        <v> </v>
      </c>
      <c r="AF56" s="17" t="str">
        <f aca="false">IF((E56="l"),H56," ")</f>
        <v> </v>
      </c>
      <c r="AG56" s="17" t="str">
        <f aca="false">IF((E56="y"),H56," ")</f>
        <v> </v>
      </c>
      <c r="AH56" s="17" t="str">
        <f aca="false">IF((E56="z"),H56," ")</f>
        <v> </v>
      </c>
      <c r="AI56" s="17" t="str">
        <f aca="false">IF((E56="fa"),H56," ")</f>
        <v> </v>
      </c>
      <c r="AJ56" s="17" t="str">
        <f aca="false">IF((E56="e"),H56," ")</f>
        <v> </v>
      </c>
    </row>
    <row r="57" customFormat="false" ht="12" hidden="false" customHeight="false" outlineLevel="0" collapsed="false">
      <c r="A57" s="28"/>
      <c r="E57" s="2"/>
      <c r="F57" s="30"/>
      <c r="G57" s="6" t="str">
        <f aca="false">IF(F57&lt;&gt;0,F57*G$2/(100+G$2)," ")</f>
        <v> </v>
      </c>
      <c r="H57" s="6" t="str">
        <f aca="false">IF((F57&lt;&gt;0),F57-G57," ")</f>
        <v> </v>
      </c>
      <c r="I57" s="5"/>
      <c r="L57" s="7" t="str">
        <f aca="false">IF(F57&lt;&gt;0,F57-K57," ")</f>
        <v> </v>
      </c>
      <c r="M57" s="8" t="str">
        <f aca="false">IF((F57-K57)&lt;&gt;0,M$1-A57," ")</f>
        <v> </v>
      </c>
      <c r="N57" s="5"/>
      <c r="O57" s="17" t="str">
        <f aca="false">IF((E57="s"),H57," ")</f>
        <v> </v>
      </c>
      <c r="P57" s="17" t="str">
        <f aca="false">IF((E57="c"),H57," ")</f>
        <v> </v>
      </c>
      <c r="Q57" s="17" t="str">
        <f aca="false">IF((E57="o"),H57," ")</f>
        <v> </v>
      </c>
      <c r="R57" s="17" t="str">
        <f aca="false">IF((E57="d"),H57," ")</f>
        <v> </v>
      </c>
      <c r="S57" s="17" t="str">
        <f aca="false">IF((E57="w"),H57," ")</f>
        <v> </v>
      </c>
      <c r="T57" s="17" t="str">
        <f aca="false">IF((E57="r"),H57," ")</f>
        <v> </v>
      </c>
      <c r="U57" s="17" t="str">
        <f aca="false">IF((E57="p"),H57," ")</f>
        <v> </v>
      </c>
      <c r="V57" s="17" t="str">
        <f aca="false">IF((E57="t"),H57," ")</f>
        <v> </v>
      </c>
      <c r="W57" s="17" t="str">
        <f aca="false">IF((E57="q"),H57," ")</f>
        <v> </v>
      </c>
      <c r="X57" s="17" t="str">
        <f aca="false">IF((E57="m"),H57," ")</f>
        <v> </v>
      </c>
      <c r="Y57" s="17" t="str">
        <f aca="false">IF((E57="u"),H57," ")</f>
        <v> </v>
      </c>
      <c r="Z57" s="17" t="str">
        <f aca="false">IF((E57="a"),H57," ")</f>
        <v> </v>
      </c>
      <c r="AA57" s="17" t="str">
        <f aca="false">IF((E57="g"),H57," ")</f>
        <v> </v>
      </c>
      <c r="AB57" s="17" t="str">
        <f aca="false">IF((E57="h"),H57," ")</f>
        <v> </v>
      </c>
      <c r="AC57" s="30" t="str">
        <f aca="false">IF((E57="v"),H57," ")</f>
        <v> </v>
      </c>
      <c r="AD57" s="30" t="str">
        <f aca="false">IF((E57="n"),H57," ")</f>
        <v> </v>
      </c>
      <c r="AE57" s="17" t="str">
        <f aca="false">IF((E57="f"),H57," ")</f>
        <v> </v>
      </c>
      <c r="AF57" s="17" t="str">
        <f aca="false">IF((E57="l"),H57," ")</f>
        <v> </v>
      </c>
      <c r="AG57" s="17" t="str">
        <f aca="false">IF((E57="y"),H57," ")</f>
        <v> </v>
      </c>
      <c r="AH57" s="17" t="str">
        <f aca="false">IF((E57="z"),H57," ")</f>
        <v> </v>
      </c>
      <c r="AI57" s="17" t="str">
        <f aca="false">IF((E57="fa"),H57," ")</f>
        <v> </v>
      </c>
      <c r="AJ57" s="17" t="str">
        <f aca="false">IF((E57="e"),H57," ")</f>
        <v> </v>
      </c>
    </row>
    <row r="58" customFormat="false" ht="12" hidden="false" customHeight="false" outlineLevel="0" collapsed="false">
      <c r="A58" s="28"/>
      <c r="E58" s="2"/>
      <c r="F58" s="30"/>
      <c r="G58" s="6" t="str">
        <f aca="false">IF(F58&lt;&gt;0,F58*G$2/(100+G$2)," ")</f>
        <v> </v>
      </c>
      <c r="H58" s="6" t="str">
        <f aca="false">IF((F58&lt;&gt;0),F58-G58," ")</f>
        <v> </v>
      </c>
      <c r="I58" s="5"/>
      <c r="L58" s="7" t="str">
        <f aca="false">IF(F58&lt;&gt;0,F58-K58," ")</f>
        <v> </v>
      </c>
      <c r="M58" s="8" t="str">
        <f aca="false">IF((F58-K58)&lt;&gt;0,M$1-A58," ")</f>
        <v> </v>
      </c>
      <c r="N58" s="5"/>
      <c r="O58" s="17" t="str">
        <f aca="false">IF((E58="s"),H58," ")</f>
        <v> </v>
      </c>
      <c r="P58" s="17" t="str">
        <f aca="false">IF((E58="c"),H58," ")</f>
        <v> </v>
      </c>
      <c r="Q58" s="17" t="str">
        <f aca="false">IF((E58="o"),H58," ")</f>
        <v> </v>
      </c>
      <c r="R58" s="17" t="str">
        <f aca="false">IF((E58="d"),H58," ")</f>
        <v> </v>
      </c>
      <c r="S58" s="17" t="str">
        <f aca="false">IF((E58="w"),H58," ")</f>
        <v> </v>
      </c>
      <c r="T58" s="17" t="str">
        <f aca="false">IF((E58="r"),H58," ")</f>
        <v> </v>
      </c>
      <c r="U58" s="17" t="str">
        <f aca="false">IF((E58="p"),H58," ")</f>
        <v> </v>
      </c>
      <c r="V58" s="17" t="str">
        <f aca="false">IF((E58="t"),H58," ")</f>
        <v> </v>
      </c>
      <c r="W58" s="17" t="str">
        <f aca="false">IF((E58="q"),H58," ")</f>
        <v> </v>
      </c>
      <c r="X58" s="17" t="str">
        <f aca="false">IF((E58="m"),H58," ")</f>
        <v> </v>
      </c>
      <c r="Y58" s="17" t="str">
        <f aca="false">IF((E58="u"),H58," ")</f>
        <v> </v>
      </c>
      <c r="Z58" s="17" t="str">
        <f aca="false">IF((E58="a"),H58," ")</f>
        <v> </v>
      </c>
      <c r="AA58" s="17" t="str">
        <f aca="false">IF((E58="g"),H58," ")</f>
        <v> </v>
      </c>
      <c r="AB58" s="17" t="str">
        <f aca="false">IF((E58="h"),H58," ")</f>
        <v> </v>
      </c>
      <c r="AC58" s="30" t="str">
        <f aca="false">IF((E58="v"),H58," ")</f>
        <v> </v>
      </c>
      <c r="AD58" s="30" t="str">
        <f aca="false">IF((E58="n"),H58," ")</f>
        <v> </v>
      </c>
      <c r="AE58" s="17" t="str">
        <f aca="false">IF((E58="f"),H58," ")</f>
        <v> </v>
      </c>
      <c r="AF58" s="17" t="str">
        <f aca="false">IF((E58="l"),H58," ")</f>
        <v> </v>
      </c>
      <c r="AG58" s="17" t="str">
        <f aca="false">IF((E58="y"),H58," ")</f>
        <v> </v>
      </c>
      <c r="AH58" s="17" t="str">
        <f aca="false">IF((E58="z"),H58," ")</f>
        <v> </v>
      </c>
      <c r="AI58" s="17" t="str">
        <f aca="false">IF((E58="fa"),H58," ")</f>
        <v> </v>
      </c>
      <c r="AJ58" s="17" t="str">
        <f aca="false">IF((E58="e"),H58," ")</f>
        <v> </v>
      </c>
    </row>
    <row r="59" customFormat="false" ht="12" hidden="false" customHeight="false" outlineLevel="0" collapsed="false">
      <c r="A59" s="28"/>
      <c r="E59" s="2"/>
      <c r="F59" s="30"/>
      <c r="G59" s="6" t="str">
        <f aca="false">IF(F59&lt;&gt;0,F59*G$2/(100+G$2)," ")</f>
        <v> </v>
      </c>
      <c r="H59" s="6" t="str">
        <f aca="false">IF((F59&lt;&gt;0),F59-G59," ")</f>
        <v> </v>
      </c>
      <c r="I59" s="5"/>
      <c r="L59" s="7" t="str">
        <f aca="false">IF(F59&lt;&gt;0,F59-K59," ")</f>
        <v> </v>
      </c>
      <c r="M59" s="8" t="str">
        <f aca="false">IF((F59-K59)&lt;&gt;0,M$1-A59," ")</f>
        <v> </v>
      </c>
      <c r="N59" s="5"/>
      <c r="O59" s="17" t="str">
        <f aca="false">IF((E59="s"),H59," ")</f>
        <v> </v>
      </c>
      <c r="P59" s="17" t="str">
        <f aca="false">IF((E59="c"),H59," ")</f>
        <v> </v>
      </c>
      <c r="Q59" s="17" t="str">
        <f aca="false">IF((E59="o"),H59," ")</f>
        <v> </v>
      </c>
      <c r="R59" s="17" t="str">
        <f aca="false">IF((E59="d"),H59," ")</f>
        <v> </v>
      </c>
      <c r="S59" s="17" t="str">
        <f aca="false">IF((E59="w"),H59," ")</f>
        <v> </v>
      </c>
      <c r="T59" s="17" t="str">
        <f aca="false">IF((E59="r"),H59," ")</f>
        <v> </v>
      </c>
      <c r="U59" s="17" t="str">
        <f aca="false">IF((E59="p"),H59," ")</f>
        <v> </v>
      </c>
      <c r="V59" s="17" t="str">
        <f aca="false">IF((E59="t"),H59," ")</f>
        <v> </v>
      </c>
      <c r="W59" s="17" t="str">
        <f aca="false">IF((E59="q"),H59," ")</f>
        <v> </v>
      </c>
      <c r="X59" s="17" t="str">
        <f aca="false">IF((E59="m"),H59," ")</f>
        <v> </v>
      </c>
      <c r="Y59" s="17" t="str">
        <f aca="false">IF((E59="u"),H59," ")</f>
        <v> </v>
      </c>
      <c r="Z59" s="17" t="str">
        <f aca="false">IF((E59="a"),H59," ")</f>
        <v> </v>
      </c>
      <c r="AA59" s="17" t="str">
        <f aca="false">IF((E59="g"),H59," ")</f>
        <v> </v>
      </c>
      <c r="AB59" s="17" t="str">
        <f aca="false">IF((E59="h"),H59," ")</f>
        <v> </v>
      </c>
      <c r="AC59" s="30" t="str">
        <f aca="false">IF((E59="v"),H59," ")</f>
        <v> </v>
      </c>
      <c r="AD59" s="30" t="str">
        <f aca="false">IF((E59="n"),H59," ")</f>
        <v> </v>
      </c>
      <c r="AE59" s="17" t="str">
        <f aca="false">IF((E59="f"),H59," ")</f>
        <v> </v>
      </c>
      <c r="AF59" s="17" t="str">
        <f aca="false">IF((E59="l"),H59," ")</f>
        <v> </v>
      </c>
      <c r="AG59" s="17" t="str">
        <f aca="false">IF((E59="y"),H59," ")</f>
        <v> </v>
      </c>
      <c r="AH59" s="17" t="str">
        <f aca="false">IF((E59="z"),H59," ")</f>
        <v> </v>
      </c>
      <c r="AI59" s="17" t="str">
        <f aca="false">IF((E59="fa"),H59," ")</f>
        <v> </v>
      </c>
      <c r="AJ59" s="17" t="str">
        <f aca="false">IF((E59="e"),H59," ")</f>
        <v> </v>
      </c>
    </row>
    <row r="60" customFormat="false" ht="12" hidden="false" customHeight="false" outlineLevel="0" collapsed="false">
      <c r="A60" s="28"/>
      <c r="E60" s="2"/>
      <c r="F60" s="30"/>
      <c r="G60" s="6" t="str">
        <f aca="false">IF(F60&lt;&gt;0,F60*G$2/(100+G$2)," ")</f>
        <v> </v>
      </c>
      <c r="H60" s="6" t="str">
        <f aca="false">IF((F60&lt;&gt;0),F60-G60," ")</f>
        <v> </v>
      </c>
      <c r="I60" s="5"/>
      <c r="L60" s="7" t="str">
        <f aca="false">IF(F60&lt;&gt;0,F60-K60," ")</f>
        <v> </v>
      </c>
      <c r="M60" s="8" t="str">
        <f aca="false">IF((F60-K60)&lt;&gt;0,M$1-A60," ")</f>
        <v> </v>
      </c>
      <c r="N60" s="5"/>
      <c r="O60" s="17" t="str">
        <f aca="false">IF((E60="s"),H60," ")</f>
        <v> </v>
      </c>
      <c r="P60" s="17" t="str">
        <f aca="false">IF((E60="c"),H60," ")</f>
        <v> </v>
      </c>
      <c r="Q60" s="17" t="str">
        <f aca="false">IF((E60="o"),H60," ")</f>
        <v> </v>
      </c>
      <c r="R60" s="17" t="str">
        <f aca="false">IF((E60="d"),H60," ")</f>
        <v> </v>
      </c>
      <c r="S60" s="17" t="str">
        <f aca="false">IF((E60="w"),H60," ")</f>
        <v> </v>
      </c>
      <c r="T60" s="17" t="str">
        <f aca="false">IF((E60="r"),H60," ")</f>
        <v> </v>
      </c>
      <c r="U60" s="17" t="str">
        <f aca="false">IF((E60="p"),H60," ")</f>
        <v> </v>
      </c>
      <c r="V60" s="17" t="str">
        <f aca="false">IF((E60="t"),H60," ")</f>
        <v> </v>
      </c>
      <c r="W60" s="17" t="str">
        <f aca="false">IF((E60="q"),H60," ")</f>
        <v> </v>
      </c>
      <c r="X60" s="17" t="str">
        <f aca="false">IF((E60="m"),H60," ")</f>
        <v> </v>
      </c>
      <c r="Y60" s="17" t="str">
        <f aca="false">IF((E60="u"),H60," ")</f>
        <v> </v>
      </c>
      <c r="Z60" s="17" t="str">
        <f aca="false">IF((E60="a"),H60," ")</f>
        <v> </v>
      </c>
      <c r="AA60" s="17" t="str">
        <f aca="false">IF((E60="g"),H60," ")</f>
        <v> </v>
      </c>
      <c r="AB60" s="17" t="str">
        <f aca="false">IF((E60="h"),H60," ")</f>
        <v> </v>
      </c>
      <c r="AC60" s="30" t="str">
        <f aca="false">IF((E60="v"),H60," ")</f>
        <v> </v>
      </c>
      <c r="AD60" s="30" t="str">
        <f aca="false">IF((E60="n"),H60," ")</f>
        <v> </v>
      </c>
      <c r="AE60" s="17" t="str">
        <f aca="false">IF((E60="f"),H60," ")</f>
        <v> </v>
      </c>
      <c r="AF60" s="17" t="str">
        <f aca="false">IF((E60="l"),H60," ")</f>
        <v> </v>
      </c>
      <c r="AG60" s="17" t="str">
        <f aca="false">IF((E60="y"),H60," ")</f>
        <v> </v>
      </c>
      <c r="AH60" s="17" t="str">
        <f aca="false">IF((E60="z"),H60," ")</f>
        <v> </v>
      </c>
      <c r="AI60" s="17" t="str">
        <f aca="false">IF((E60="fa"),H60," ")</f>
        <v> </v>
      </c>
      <c r="AJ60" s="17" t="str">
        <f aca="false">IF((E60="e"),H60," ")</f>
        <v> </v>
      </c>
    </row>
    <row r="61" customFormat="false" ht="12" hidden="false" customHeight="false" outlineLevel="0" collapsed="false">
      <c r="A61" s="28"/>
      <c r="E61" s="2"/>
      <c r="F61" s="30"/>
      <c r="G61" s="6" t="str">
        <f aca="false">IF(F61&lt;&gt;0,F61*G$2/(100+G$2)," ")</f>
        <v> </v>
      </c>
      <c r="H61" s="6" t="str">
        <f aca="false">IF((F61&lt;&gt;0),F61-G61," ")</f>
        <v> </v>
      </c>
      <c r="I61" s="5"/>
      <c r="L61" s="7" t="str">
        <f aca="false">IF(F61&lt;&gt;0,F61-K61," ")</f>
        <v> </v>
      </c>
      <c r="M61" s="8" t="str">
        <f aca="false">IF((F61-K61)&lt;&gt;0,M$1-A61," ")</f>
        <v> </v>
      </c>
      <c r="N61" s="5"/>
      <c r="O61" s="17" t="str">
        <f aca="false">IF((E61="s"),H61," ")</f>
        <v> </v>
      </c>
      <c r="P61" s="17" t="str">
        <f aca="false">IF((E61="c"),H61," ")</f>
        <v> </v>
      </c>
      <c r="Q61" s="17" t="str">
        <f aca="false">IF((E61="o"),H61," ")</f>
        <v> </v>
      </c>
      <c r="R61" s="17" t="str">
        <f aca="false">IF((E61="d"),H61," ")</f>
        <v> </v>
      </c>
      <c r="S61" s="17" t="str">
        <f aca="false">IF((E61="w"),H61," ")</f>
        <v> </v>
      </c>
      <c r="T61" s="17" t="str">
        <f aca="false">IF((E61="r"),H61," ")</f>
        <v> </v>
      </c>
      <c r="U61" s="17" t="str">
        <f aca="false">IF((E61="p"),H61," ")</f>
        <v> </v>
      </c>
      <c r="V61" s="17" t="str">
        <f aca="false">IF((E61="t"),H61," ")</f>
        <v> </v>
      </c>
      <c r="W61" s="17" t="str">
        <f aca="false">IF((E61="q"),H61," ")</f>
        <v> </v>
      </c>
      <c r="X61" s="17" t="str">
        <f aca="false">IF((E61="m"),H61," ")</f>
        <v> </v>
      </c>
      <c r="Y61" s="17" t="str">
        <f aca="false">IF((E61="u"),H61," ")</f>
        <v> </v>
      </c>
      <c r="Z61" s="17" t="str">
        <f aca="false">IF((E61="a"),H61," ")</f>
        <v> </v>
      </c>
      <c r="AA61" s="17" t="str">
        <f aca="false">IF((E61="g"),H61," ")</f>
        <v> </v>
      </c>
      <c r="AB61" s="17" t="str">
        <f aca="false">IF((E61="h"),H61," ")</f>
        <v> </v>
      </c>
      <c r="AC61" s="30" t="str">
        <f aca="false">IF((E61="v"),H61," ")</f>
        <v> </v>
      </c>
      <c r="AD61" s="30" t="str">
        <f aca="false">IF((E61="n"),H61," ")</f>
        <v> </v>
      </c>
      <c r="AE61" s="17" t="str">
        <f aca="false">IF((E61="f"),H61," ")</f>
        <v> </v>
      </c>
      <c r="AF61" s="17" t="str">
        <f aca="false">IF((E61="l"),H61," ")</f>
        <v> </v>
      </c>
      <c r="AG61" s="17" t="str">
        <f aca="false">IF((E61="y"),H61," ")</f>
        <v> </v>
      </c>
      <c r="AH61" s="17" t="str">
        <f aca="false">IF((E61="z"),H61," ")</f>
        <v> </v>
      </c>
      <c r="AI61" s="17" t="str">
        <f aca="false">IF((E61="fa"),H61," ")</f>
        <v> </v>
      </c>
      <c r="AJ61" s="17" t="str">
        <f aca="false">IF((E61="e"),H61," ")</f>
        <v> </v>
      </c>
    </row>
    <row r="62" customFormat="false" ht="12" hidden="false" customHeight="false" outlineLevel="0" collapsed="false">
      <c r="A62" s="28"/>
      <c r="E62" s="2"/>
      <c r="F62" s="30"/>
      <c r="G62" s="6" t="str">
        <f aca="false">IF(F62&lt;&gt;0,F62*G$2/(100+G$2)," ")</f>
        <v> </v>
      </c>
      <c r="H62" s="6" t="str">
        <f aca="false">IF((F62&lt;&gt;0),F62-G62," ")</f>
        <v> </v>
      </c>
      <c r="I62" s="5"/>
      <c r="L62" s="7" t="str">
        <f aca="false">IF(F62&lt;&gt;0,F62-K62," ")</f>
        <v> </v>
      </c>
      <c r="M62" s="8" t="str">
        <f aca="false">IF((F62-K62)&lt;&gt;0,M$1-A62," ")</f>
        <v> </v>
      </c>
      <c r="N62" s="5"/>
      <c r="O62" s="17" t="str">
        <f aca="false">IF((E62="s"),H62," ")</f>
        <v> </v>
      </c>
      <c r="P62" s="17" t="str">
        <f aca="false">IF((E62="c"),H62," ")</f>
        <v> </v>
      </c>
      <c r="Q62" s="17" t="str">
        <f aca="false">IF((E62="o"),H62," ")</f>
        <v> </v>
      </c>
      <c r="R62" s="17" t="str">
        <f aca="false">IF((E62="d"),H62," ")</f>
        <v> </v>
      </c>
      <c r="S62" s="17" t="str">
        <f aca="false">IF((E62="w"),H62," ")</f>
        <v> </v>
      </c>
      <c r="T62" s="17" t="str">
        <f aca="false">IF((E62="r"),H62," ")</f>
        <v> </v>
      </c>
      <c r="U62" s="17" t="str">
        <f aca="false">IF((E62="p"),H62," ")</f>
        <v> </v>
      </c>
      <c r="V62" s="17" t="str">
        <f aca="false">IF((E62="t"),H62," ")</f>
        <v> </v>
      </c>
      <c r="W62" s="17" t="str">
        <f aca="false">IF((E62="q"),H62," ")</f>
        <v> </v>
      </c>
      <c r="X62" s="17" t="str">
        <f aca="false">IF((E62="m"),H62," ")</f>
        <v> </v>
      </c>
      <c r="Y62" s="17" t="str">
        <f aca="false">IF((E62="u"),H62," ")</f>
        <v> </v>
      </c>
      <c r="Z62" s="17" t="str">
        <f aca="false">IF((E62="a"),H62," ")</f>
        <v> </v>
      </c>
      <c r="AA62" s="17" t="str">
        <f aca="false">IF((E62="g"),H62," ")</f>
        <v> </v>
      </c>
      <c r="AB62" s="17" t="str">
        <f aca="false">IF((E62="h"),H62," ")</f>
        <v> </v>
      </c>
      <c r="AC62" s="30" t="str">
        <f aca="false">IF((E62="v"),H62," ")</f>
        <v> </v>
      </c>
      <c r="AD62" s="30" t="str">
        <f aca="false">IF((E62="n"),H62," ")</f>
        <v> </v>
      </c>
      <c r="AE62" s="17" t="str">
        <f aca="false">IF((E62="f"),H62," ")</f>
        <v> </v>
      </c>
      <c r="AF62" s="17" t="str">
        <f aca="false">IF((E62="l"),H62," ")</f>
        <v> </v>
      </c>
      <c r="AG62" s="17" t="str">
        <f aca="false">IF((E62="y"),H62," ")</f>
        <v> </v>
      </c>
      <c r="AH62" s="17" t="str">
        <f aca="false">IF((E62="z"),H62," ")</f>
        <v> </v>
      </c>
      <c r="AI62" s="17" t="str">
        <f aca="false">IF((E62="fa"),H62," ")</f>
        <v> </v>
      </c>
      <c r="AJ62" s="17" t="str">
        <f aca="false">IF((E62="e"),H62," ")</f>
        <v> </v>
      </c>
    </row>
    <row r="63" customFormat="false" ht="12" hidden="false" customHeight="false" outlineLevel="0" collapsed="false">
      <c r="A63" s="28"/>
      <c r="E63" s="2"/>
      <c r="F63" s="30"/>
      <c r="G63" s="6" t="str">
        <f aca="false">IF(F63&lt;&gt;0,F63*G$2/(100+G$2)," ")</f>
        <v> </v>
      </c>
      <c r="H63" s="6" t="str">
        <f aca="false">IF((F63&lt;&gt;0),F63-G63," ")</f>
        <v> </v>
      </c>
      <c r="I63" s="5"/>
      <c r="L63" s="7" t="str">
        <f aca="false">IF(F63&lt;&gt;0,F63-K63," ")</f>
        <v> </v>
      </c>
      <c r="M63" s="8" t="str">
        <f aca="false">IF((F63-K63)&lt;&gt;0,M$1-A63," ")</f>
        <v> </v>
      </c>
      <c r="N63" s="5"/>
      <c r="O63" s="17" t="str">
        <f aca="false">IF((E63="s"),H63," ")</f>
        <v> </v>
      </c>
      <c r="P63" s="17" t="str">
        <f aca="false">IF((E63="c"),H63," ")</f>
        <v> </v>
      </c>
      <c r="Q63" s="17" t="str">
        <f aca="false">IF((E63="o"),H63," ")</f>
        <v> </v>
      </c>
      <c r="R63" s="17" t="str">
        <f aca="false">IF((E63="d"),H63," ")</f>
        <v> </v>
      </c>
      <c r="S63" s="17" t="str">
        <f aca="false">IF((E63="w"),H63," ")</f>
        <v> </v>
      </c>
      <c r="T63" s="17" t="str">
        <f aca="false">IF((E63="r"),H63," ")</f>
        <v> </v>
      </c>
      <c r="U63" s="17" t="str">
        <f aca="false">IF((E63="p"),H63," ")</f>
        <v> </v>
      </c>
      <c r="V63" s="17" t="str">
        <f aca="false">IF((E63="t"),H63," ")</f>
        <v> </v>
      </c>
      <c r="W63" s="17" t="str">
        <f aca="false">IF((E63="q"),H63," ")</f>
        <v> </v>
      </c>
      <c r="X63" s="17" t="str">
        <f aca="false">IF((E63="m"),H63," ")</f>
        <v> </v>
      </c>
      <c r="Y63" s="17" t="str">
        <f aca="false">IF((E63="u"),H63," ")</f>
        <v> </v>
      </c>
      <c r="Z63" s="17" t="str">
        <f aca="false">IF((E63="a"),H63," ")</f>
        <v> </v>
      </c>
      <c r="AA63" s="17" t="str">
        <f aca="false">IF((E63="g"),H63," ")</f>
        <v> </v>
      </c>
      <c r="AB63" s="17" t="str">
        <f aca="false">IF((E63="h"),H63," ")</f>
        <v> </v>
      </c>
      <c r="AC63" s="30" t="str">
        <f aca="false">IF((E63="v"),H63," ")</f>
        <v> </v>
      </c>
      <c r="AD63" s="30" t="str">
        <f aca="false">IF((E63="n"),H63," ")</f>
        <v> </v>
      </c>
      <c r="AE63" s="17" t="str">
        <f aca="false">IF((E63="f"),H63," ")</f>
        <v> </v>
      </c>
      <c r="AF63" s="17" t="str">
        <f aca="false">IF((E63="l"),H63," ")</f>
        <v> </v>
      </c>
      <c r="AG63" s="17" t="str">
        <f aca="false">IF((E63="y"),H63," ")</f>
        <v> </v>
      </c>
      <c r="AH63" s="17" t="str">
        <f aca="false">IF((E63="z"),H63," ")</f>
        <v> </v>
      </c>
      <c r="AI63" s="17" t="str">
        <f aca="false">IF((E63="fa"),H63," ")</f>
        <v> </v>
      </c>
      <c r="AJ63" s="17" t="str">
        <f aca="false">IF((E63="e"),H63," ")</f>
        <v> </v>
      </c>
    </row>
    <row r="64" customFormat="false" ht="12" hidden="false" customHeight="false" outlineLevel="0" collapsed="false">
      <c r="A64" s="28"/>
      <c r="E64" s="2"/>
      <c r="F64" s="30"/>
      <c r="G64" s="6" t="str">
        <f aca="false">IF(F64&lt;&gt;0,F64*G$2/(100+G$2)," ")</f>
        <v> </v>
      </c>
      <c r="H64" s="6" t="str">
        <f aca="false">IF((F64&lt;&gt;0),F64-G64," ")</f>
        <v> </v>
      </c>
      <c r="I64" s="5"/>
      <c r="L64" s="7" t="str">
        <f aca="false">IF(F64&lt;&gt;0,F64-K64," ")</f>
        <v> </v>
      </c>
      <c r="M64" s="8" t="str">
        <f aca="false">IF((F64-K64)&lt;&gt;0,M$1-A64," ")</f>
        <v> </v>
      </c>
      <c r="N64" s="5"/>
      <c r="O64" s="17" t="str">
        <f aca="false">IF((E64="s"),H64," ")</f>
        <v> </v>
      </c>
      <c r="P64" s="17" t="str">
        <f aca="false">IF((E64="c"),H64," ")</f>
        <v> </v>
      </c>
      <c r="Q64" s="17" t="str">
        <f aca="false">IF((E64="o"),H64," ")</f>
        <v> </v>
      </c>
      <c r="R64" s="17" t="str">
        <f aca="false">IF((E64="d"),H64," ")</f>
        <v> </v>
      </c>
      <c r="S64" s="17" t="str">
        <f aca="false">IF((E64="w"),H64," ")</f>
        <v> </v>
      </c>
      <c r="T64" s="17" t="str">
        <f aca="false">IF((E64="r"),H64," ")</f>
        <v> </v>
      </c>
      <c r="U64" s="17" t="str">
        <f aca="false">IF((E64="p"),H64," ")</f>
        <v> </v>
      </c>
      <c r="V64" s="17" t="str">
        <f aca="false">IF((E64="t"),H64," ")</f>
        <v> </v>
      </c>
      <c r="W64" s="17" t="str">
        <f aca="false">IF((E64="q"),H64," ")</f>
        <v> </v>
      </c>
      <c r="X64" s="17" t="str">
        <f aca="false">IF((E64="m"),H64," ")</f>
        <v> </v>
      </c>
      <c r="Y64" s="17" t="str">
        <f aca="false">IF((E64="u"),H64," ")</f>
        <v> </v>
      </c>
      <c r="Z64" s="17" t="str">
        <f aca="false">IF((E64="a"),H64," ")</f>
        <v> </v>
      </c>
      <c r="AA64" s="17" t="str">
        <f aca="false">IF((E64="g"),H64," ")</f>
        <v> </v>
      </c>
      <c r="AB64" s="17" t="str">
        <f aca="false">IF((E64="h"),H64," ")</f>
        <v> </v>
      </c>
      <c r="AC64" s="30" t="str">
        <f aca="false">IF((E64="v"),H64," ")</f>
        <v> </v>
      </c>
      <c r="AD64" s="30" t="str">
        <f aca="false">IF((E64="n"),H64," ")</f>
        <v> </v>
      </c>
      <c r="AE64" s="17" t="str">
        <f aca="false">IF((E64="f"),H64," ")</f>
        <v> </v>
      </c>
      <c r="AF64" s="17" t="str">
        <f aca="false">IF((E64="l"),H64," ")</f>
        <v> </v>
      </c>
      <c r="AG64" s="17" t="str">
        <f aca="false">IF((E64="y"),H64," ")</f>
        <v> </v>
      </c>
      <c r="AH64" s="17" t="str">
        <f aca="false">IF((E64="z"),H64," ")</f>
        <v> </v>
      </c>
      <c r="AI64" s="17" t="str">
        <f aca="false">IF((E64="fa"),H64," ")</f>
        <v> </v>
      </c>
      <c r="AJ64" s="17" t="str">
        <f aca="false">IF((E64="e"),H64," ")</f>
        <v> </v>
      </c>
    </row>
    <row r="65" customFormat="false" ht="12" hidden="false" customHeight="false" outlineLevel="0" collapsed="false">
      <c r="A65" s="28"/>
      <c r="E65" s="2"/>
      <c r="F65" s="30"/>
      <c r="G65" s="6" t="str">
        <f aca="false">IF(F65&lt;&gt;0,F65*G$2/(100+G$2)," ")</f>
        <v> </v>
      </c>
      <c r="H65" s="6" t="str">
        <f aca="false">IF((F65&lt;&gt;0),F65-G65," ")</f>
        <v> </v>
      </c>
      <c r="I65" s="5"/>
      <c r="L65" s="7" t="str">
        <f aca="false">IF(F65&lt;&gt;0,F65-K65," ")</f>
        <v> </v>
      </c>
      <c r="M65" s="8" t="str">
        <f aca="false">IF((F65-K65)&lt;&gt;0,M$1-A65," ")</f>
        <v> </v>
      </c>
      <c r="N65" s="5"/>
      <c r="O65" s="17" t="str">
        <f aca="false">IF((E65="s"),H65," ")</f>
        <v> </v>
      </c>
      <c r="P65" s="17" t="str">
        <f aca="false">IF((E65="c"),H65," ")</f>
        <v> </v>
      </c>
      <c r="Q65" s="17" t="str">
        <f aca="false">IF((E65="o"),H65," ")</f>
        <v> </v>
      </c>
      <c r="R65" s="17" t="str">
        <f aca="false">IF((E65="d"),H65," ")</f>
        <v> </v>
      </c>
      <c r="S65" s="17" t="str">
        <f aca="false">IF((E65="w"),H65," ")</f>
        <v> </v>
      </c>
      <c r="T65" s="17" t="str">
        <f aca="false">IF((E65="r"),H65," ")</f>
        <v> </v>
      </c>
      <c r="U65" s="17" t="str">
        <f aca="false">IF((E65="p"),H65," ")</f>
        <v> </v>
      </c>
      <c r="V65" s="17" t="str">
        <f aca="false">IF((E65="t"),H65," ")</f>
        <v> </v>
      </c>
      <c r="W65" s="17" t="str">
        <f aca="false">IF((E65="q"),H65," ")</f>
        <v> </v>
      </c>
      <c r="X65" s="17" t="str">
        <f aca="false">IF((E65="m"),H65," ")</f>
        <v> </v>
      </c>
      <c r="Y65" s="17" t="str">
        <f aca="false">IF((E65="u"),H65," ")</f>
        <v> </v>
      </c>
      <c r="Z65" s="17" t="str">
        <f aca="false">IF((E65="a"),H65," ")</f>
        <v> </v>
      </c>
      <c r="AA65" s="17" t="str">
        <f aca="false">IF((E65="g"),H65," ")</f>
        <v> </v>
      </c>
      <c r="AB65" s="17" t="str">
        <f aca="false">IF((E65="h"),H65," ")</f>
        <v> </v>
      </c>
      <c r="AC65" s="30" t="str">
        <f aca="false">IF((E65="v"),H65," ")</f>
        <v> </v>
      </c>
      <c r="AD65" s="30" t="str">
        <f aca="false">IF((E65="n"),H65," ")</f>
        <v> </v>
      </c>
      <c r="AE65" s="17" t="str">
        <f aca="false">IF((E65="f"),H65," ")</f>
        <v> </v>
      </c>
      <c r="AF65" s="17" t="str">
        <f aca="false">IF((E65="l"),H65," ")</f>
        <v> </v>
      </c>
      <c r="AG65" s="17" t="str">
        <f aca="false">IF((E65="y"),H65," ")</f>
        <v> </v>
      </c>
      <c r="AH65" s="17" t="str">
        <f aca="false">IF((E65="z"),H65," ")</f>
        <v> </v>
      </c>
      <c r="AI65" s="17" t="str">
        <f aca="false">IF((E65="fa"),H65," ")</f>
        <v> </v>
      </c>
      <c r="AJ65" s="17" t="str">
        <f aca="false">IF((E65="e"),H65," ")</f>
        <v> </v>
      </c>
    </row>
    <row r="66" customFormat="false" ht="12" hidden="false" customHeight="false" outlineLevel="0" collapsed="false">
      <c r="A66" s="28"/>
      <c r="E66" s="2"/>
      <c r="F66" s="30"/>
      <c r="G66" s="6" t="str">
        <f aca="false">IF(F66&lt;&gt;0,F66*G$2/(100+G$2)," ")</f>
        <v> </v>
      </c>
      <c r="H66" s="6" t="str">
        <f aca="false">IF((F66&lt;&gt;0),F66-G66," ")</f>
        <v> </v>
      </c>
      <c r="I66" s="5"/>
      <c r="L66" s="7" t="str">
        <f aca="false">IF(F66&lt;&gt;0,F66-K66," ")</f>
        <v> </v>
      </c>
      <c r="M66" s="8" t="str">
        <f aca="false">IF((F66-K66)&lt;&gt;0,M$1-A66," ")</f>
        <v> </v>
      </c>
      <c r="N66" s="5"/>
      <c r="O66" s="17" t="str">
        <f aca="false">IF((E66="s"),H66," ")</f>
        <v> </v>
      </c>
      <c r="P66" s="17" t="str">
        <f aca="false">IF((E66="c"),H66," ")</f>
        <v> </v>
      </c>
      <c r="Q66" s="17" t="str">
        <f aca="false">IF((E66="o"),H66," ")</f>
        <v> </v>
      </c>
      <c r="R66" s="17" t="str">
        <f aca="false">IF((E66="d"),H66," ")</f>
        <v> </v>
      </c>
      <c r="S66" s="17" t="str">
        <f aca="false">IF((E66="w"),H66," ")</f>
        <v> </v>
      </c>
      <c r="T66" s="17" t="str">
        <f aca="false">IF((E66="r"),H66," ")</f>
        <v> </v>
      </c>
      <c r="U66" s="17" t="str">
        <f aca="false">IF((E66="p"),H66," ")</f>
        <v> </v>
      </c>
      <c r="V66" s="17" t="str">
        <f aca="false">IF((E66="t"),H66," ")</f>
        <v> </v>
      </c>
      <c r="W66" s="17" t="str">
        <f aca="false">IF((E66="q"),H66," ")</f>
        <v> </v>
      </c>
      <c r="X66" s="17" t="str">
        <f aca="false">IF((E66="m"),H66," ")</f>
        <v> </v>
      </c>
      <c r="Y66" s="17" t="str">
        <f aca="false">IF((E66="u"),H66," ")</f>
        <v> </v>
      </c>
      <c r="Z66" s="17" t="str">
        <f aca="false">IF((E66="a"),H66," ")</f>
        <v> </v>
      </c>
      <c r="AA66" s="17" t="str">
        <f aca="false">IF((E66="g"),H66," ")</f>
        <v> </v>
      </c>
      <c r="AB66" s="17" t="str">
        <f aca="false">IF((E66="h"),H66," ")</f>
        <v> </v>
      </c>
      <c r="AC66" s="30" t="str">
        <f aca="false">IF((E66="v"),H66," ")</f>
        <v> </v>
      </c>
      <c r="AD66" s="30" t="str">
        <f aca="false">IF((E66="n"),H66," ")</f>
        <v> </v>
      </c>
      <c r="AE66" s="17" t="str">
        <f aca="false">IF((E66="f"),H66," ")</f>
        <v> </v>
      </c>
      <c r="AF66" s="17" t="str">
        <f aca="false">IF((E66="l"),H66," ")</f>
        <v> </v>
      </c>
      <c r="AG66" s="17" t="str">
        <f aca="false">IF((E66="y"),H66," ")</f>
        <v> </v>
      </c>
      <c r="AH66" s="17" t="str">
        <f aca="false">IF((E66="z"),H66," ")</f>
        <v> </v>
      </c>
      <c r="AI66" s="17" t="str">
        <f aca="false">IF((E66="fa"),H66," ")</f>
        <v> </v>
      </c>
      <c r="AJ66" s="17" t="str">
        <f aca="false">IF((E66="e"),H66," ")</f>
        <v> </v>
      </c>
    </row>
    <row r="67" customFormat="false" ht="12" hidden="false" customHeight="false" outlineLevel="0" collapsed="false">
      <c r="A67" s="28"/>
      <c r="E67" s="2"/>
      <c r="F67" s="30"/>
      <c r="G67" s="6" t="str">
        <f aca="false">IF(F67&lt;&gt;0,F67*G$2/(100+G$2)," ")</f>
        <v> </v>
      </c>
      <c r="H67" s="6" t="str">
        <f aca="false">IF((F67&lt;&gt;0),F67-G67," ")</f>
        <v> </v>
      </c>
      <c r="I67" s="5"/>
      <c r="L67" s="7" t="str">
        <f aca="false">IF(F67&lt;&gt;0,F67-K67," ")</f>
        <v> </v>
      </c>
      <c r="M67" s="8" t="str">
        <f aca="false">IF((F67-K67)&lt;&gt;0,M$1-A67," ")</f>
        <v> </v>
      </c>
      <c r="N67" s="5"/>
      <c r="O67" s="17" t="str">
        <f aca="false">IF((E67="s"),H67," ")</f>
        <v> </v>
      </c>
      <c r="P67" s="17" t="str">
        <f aca="false">IF((E67="c"),H67," ")</f>
        <v> </v>
      </c>
      <c r="Q67" s="17" t="str">
        <f aca="false">IF((E67="o"),H67," ")</f>
        <v> </v>
      </c>
      <c r="R67" s="17" t="str">
        <f aca="false">IF((E67="d"),H67," ")</f>
        <v> </v>
      </c>
      <c r="S67" s="17" t="str">
        <f aca="false">IF((E67="w"),H67," ")</f>
        <v> </v>
      </c>
      <c r="T67" s="17" t="str">
        <f aca="false">IF((E67="r"),H67," ")</f>
        <v> </v>
      </c>
      <c r="U67" s="17" t="str">
        <f aca="false">IF((E67="p"),H67," ")</f>
        <v> </v>
      </c>
      <c r="V67" s="17" t="str">
        <f aca="false">IF((E67="t"),H67," ")</f>
        <v> </v>
      </c>
      <c r="W67" s="17" t="str">
        <f aca="false">IF((E67="q"),H67," ")</f>
        <v> </v>
      </c>
      <c r="X67" s="17" t="str">
        <f aca="false">IF((E67="m"),H67," ")</f>
        <v> </v>
      </c>
      <c r="Y67" s="17" t="str">
        <f aca="false">IF((E67="u"),H67," ")</f>
        <v> </v>
      </c>
      <c r="Z67" s="17" t="str">
        <f aca="false">IF((E67="a"),H67," ")</f>
        <v> </v>
      </c>
      <c r="AA67" s="17" t="str">
        <f aca="false">IF((E67="g"),H67," ")</f>
        <v> </v>
      </c>
      <c r="AB67" s="17" t="str">
        <f aca="false">IF((E67="h"),H67," ")</f>
        <v> </v>
      </c>
      <c r="AC67" s="30" t="str">
        <f aca="false">IF((E67="v"),H67," ")</f>
        <v> </v>
      </c>
      <c r="AD67" s="30" t="str">
        <f aca="false">IF((E67="n"),H67," ")</f>
        <v> </v>
      </c>
      <c r="AE67" s="17" t="str">
        <f aca="false">IF((E67="f"),H67," ")</f>
        <v> </v>
      </c>
      <c r="AF67" s="17" t="str">
        <f aca="false">IF((E67="l"),H67," ")</f>
        <v> </v>
      </c>
      <c r="AG67" s="17" t="str">
        <f aca="false">IF((E67="y"),H67," ")</f>
        <v> </v>
      </c>
      <c r="AH67" s="17" t="str">
        <f aca="false">IF((E67="z"),H67," ")</f>
        <v> </v>
      </c>
      <c r="AI67" s="17" t="str">
        <f aca="false">IF((E67="fa"),H67," ")</f>
        <v> </v>
      </c>
      <c r="AJ67" s="17" t="str">
        <f aca="false">IF((E67="e"),H67," ")</f>
        <v> </v>
      </c>
    </row>
    <row r="68" customFormat="false" ht="12" hidden="false" customHeight="false" outlineLevel="0" collapsed="false">
      <c r="A68" s="28"/>
      <c r="E68" s="2"/>
      <c r="F68" s="30"/>
      <c r="G68" s="6" t="str">
        <f aca="false">IF(F68&lt;&gt;0,F68*G$2/(100+G$2)," ")</f>
        <v> </v>
      </c>
      <c r="H68" s="6" t="str">
        <f aca="false">IF((F68&lt;&gt;0),F68-G68," ")</f>
        <v> </v>
      </c>
      <c r="I68" s="5"/>
      <c r="L68" s="7" t="str">
        <f aca="false">IF(F68&lt;&gt;0,F68-K68," ")</f>
        <v> </v>
      </c>
      <c r="M68" s="8" t="str">
        <f aca="false">IF((F68-K68)&lt;&gt;0,M$1-A68," ")</f>
        <v> </v>
      </c>
      <c r="N68" s="5"/>
      <c r="O68" s="17" t="str">
        <f aca="false">IF((E68="s"),H68," ")</f>
        <v> </v>
      </c>
      <c r="P68" s="17" t="str">
        <f aca="false">IF((E68="c"),H68," ")</f>
        <v> </v>
      </c>
      <c r="Q68" s="17" t="str">
        <f aca="false">IF((E68="o"),H68," ")</f>
        <v> </v>
      </c>
      <c r="R68" s="17" t="str">
        <f aca="false">IF((E68="d"),H68," ")</f>
        <v> </v>
      </c>
      <c r="S68" s="17" t="str">
        <f aca="false">IF((E68="w"),H68," ")</f>
        <v> </v>
      </c>
      <c r="T68" s="17" t="str">
        <f aca="false">IF((E68="r"),H68," ")</f>
        <v> </v>
      </c>
      <c r="U68" s="17" t="str">
        <f aca="false">IF((E68="p"),H68," ")</f>
        <v> </v>
      </c>
      <c r="V68" s="17" t="str">
        <f aca="false">IF((E68="t"),H68," ")</f>
        <v> </v>
      </c>
      <c r="W68" s="17" t="str">
        <f aca="false">IF((E68="q"),H68," ")</f>
        <v> </v>
      </c>
      <c r="X68" s="17" t="str">
        <f aca="false">IF((E68="m"),H68," ")</f>
        <v> </v>
      </c>
      <c r="Y68" s="17" t="str">
        <f aca="false">IF((E68="u"),H68," ")</f>
        <v> </v>
      </c>
      <c r="Z68" s="17" t="str">
        <f aca="false">IF((E68="a"),H68," ")</f>
        <v> </v>
      </c>
      <c r="AA68" s="17" t="str">
        <f aca="false">IF((E68="g"),H68," ")</f>
        <v> </v>
      </c>
      <c r="AB68" s="17" t="str">
        <f aca="false">IF((E68="h"),H68," ")</f>
        <v> </v>
      </c>
      <c r="AC68" s="30" t="str">
        <f aca="false">IF((E68="v"),H68," ")</f>
        <v> </v>
      </c>
      <c r="AD68" s="30" t="str">
        <f aca="false">IF((E68="n"),H68," ")</f>
        <v> </v>
      </c>
      <c r="AE68" s="17" t="str">
        <f aca="false">IF((E68="f"),H68," ")</f>
        <v> </v>
      </c>
      <c r="AF68" s="17" t="str">
        <f aca="false">IF((E68="l"),H68," ")</f>
        <v> </v>
      </c>
      <c r="AG68" s="17" t="str">
        <f aca="false">IF((E68="y"),H68," ")</f>
        <v> </v>
      </c>
      <c r="AH68" s="17" t="str">
        <f aca="false">IF((E68="z"),H68," ")</f>
        <v> </v>
      </c>
      <c r="AI68" s="17" t="str">
        <f aca="false">IF((E68="fa"),H68," ")</f>
        <v> </v>
      </c>
      <c r="AJ68" s="17" t="str">
        <f aca="false">IF((E68="e"),H68," ")</f>
        <v> </v>
      </c>
    </row>
    <row r="69" customFormat="false" ht="12" hidden="false" customHeight="false" outlineLevel="0" collapsed="false">
      <c r="A69" s="28"/>
      <c r="E69" s="2"/>
      <c r="F69" s="30"/>
      <c r="G69" s="6" t="str">
        <f aca="false">IF(F69&lt;&gt;0,F69*G$2/(100+G$2)," ")</f>
        <v> </v>
      </c>
      <c r="H69" s="6" t="str">
        <f aca="false">IF((F69&lt;&gt;0),F69-G69," ")</f>
        <v> </v>
      </c>
      <c r="I69" s="5"/>
      <c r="L69" s="7" t="str">
        <f aca="false">IF(F69&lt;&gt;0,F69-K69," ")</f>
        <v> </v>
      </c>
      <c r="M69" s="8" t="str">
        <f aca="false">IF((F69-K69)&lt;&gt;0,M$1-A69," ")</f>
        <v> </v>
      </c>
      <c r="N69" s="5"/>
      <c r="O69" s="17" t="str">
        <f aca="false">IF((E69="s"),H69," ")</f>
        <v> </v>
      </c>
      <c r="P69" s="17" t="str">
        <f aca="false">IF((E69="c"),H69," ")</f>
        <v> </v>
      </c>
      <c r="Q69" s="17" t="str">
        <f aca="false">IF((E69="o"),H69," ")</f>
        <v> </v>
      </c>
      <c r="R69" s="17" t="str">
        <f aca="false">IF((E69="d"),H69," ")</f>
        <v> </v>
      </c>
      <c r="S69" s="17" t="str">
        <f aca="false">IF((E69="w"),H69," ")</f>
        <v> </v>
      </c>
      <c r="T69" s="17" t="str">
        <f aca="false">IF((E69="r"),H69," ")</f>
        <v> </v>
      </c>
      <c r="U69" s="17" t="str">
        <f aca="false">IF((E69="p"),H69," ")</f>
        <v> </v>
      </c>
      <c r="V69" s="17" t="str">
        <f aca="false">IF((E69="t"),H69," ")</f>
        <v> </v>
      </c>
      <c r="W69" s="17" t="str">
        <f aca="false">IF((E69="q"),H69," ")</f>
        <v> </v>
      </c>
      <c r="X69" s="17" t="str">
        <f aca="false">IF((E69="m"),H69," ")</f>
        <v> </v>
      </c>
      <c r="Y69" s="17" t="str">
        <f aca="false">IF((E69="u"),H69," ")</f>
        <v> </v>
      </c>
      <c r="Z69" s="17" t="str">
        <f aca="false">IF((E69="a"),H69," ")</f>
        <v> </v>
      </c>
      <c r="AA69" s="17" t="str">
        <f aca="false">IF((E69="g"),H69," ")</f>
        <v> </v>
      </c>
      <c r="AB69" s="17" t="str">
        <f aca="false">IF((E69="h"),H69," ")</f>
        <v> </v>
      </c>
      <c r="AC69" s="30" t="str">
        <f aca="false">IF((E69="v"),H69," ")</f>
        <v> </v>
      </c>
      <c r="AD69" s="30" t="str">
        <f aca="false">IF((E69="n"),H69," ")</f>
        <v> </v>
      </c>
      <c r="AE69" s="17" t="str">
        <f aca="false">IF((E69="f"),H69," ")</f>
        <v> </v>
      </c>
      <c r="AF69" s="17" t="str">
        <f aca="false">IF((E69="l"),H69," ")</f>
        <v> </v>
      </c>
      <c r="AG69" s="17" t="str">
        <f aca="false">IF((E69="y"),H69," ")</f>
        <v> </v>
      </c>
      <c r="AH69" s="17" t="str">
        <f aca="false">IF((E69="z"),H69," ")</f>
        <v> </v>
      </c>
      <c r="AI69" s="17" t="str">
        <f aca="false">IF((E69="fa"),H69," ")</f>
        <v> </v>
      </c>
      <c r="AJ69" s="17" t="str">
        <f aca="false">IF((E69="e"),H69," ")</f>
        <v> </v>
      </c>
    </row>
    <row r="70" customFormat="false" ht="12" hidden="false" customHeight="false" outlineLevel="0" collapsed="false">
      <c r="A70" s="28"/>
      <c r="E70" s="2" t="str">
        <f aca="false">IF((F70&lt;&gt;0),"Enter Letter"," ")</f>
        <v> </v>
      </c>
      <c r="F70" s="30"/>
      <c r="G70" s="6" t="str">
        <f aca="false">IF(F70&lt;&gt;0,F70*G$2/(100+G$2)," ")</f>
        <v> </v>
      </c>
      <c r="H70" s="6" t="str">
        <f aca="false">IF((F70&lt;&gt;0),F70-G70," ")</f>
        <v> </v>
      </c>
      <c r="I70" s="5"/>
      <c r="L70" s="7" t="str">
        <f aca="false">IF(F70&lt;&gt;0,F70-K70," ")</f>
        <v> </v>
      </c>
      <c r="M70" s="8" t="str">
        <f aca="false">IF((F70-K70)&lt;&gt;0,M$1-A70," ")</f>
        <v> </v>
      </c>
      <c r="N70" s="5"/>
      <c r="O70" s="17" t="str">
        <f aca="false">IF((E70="s"),H70," ")</f>
        <v> </v>
      </c>
      <c r="P70" s="17" t="str">
        <f aca="false">IF((E70="c"),H70," ")</f>
        <v> </v>
      </c>
      <c r="Q70" s="17" t="str">
        <f aca="false">IF((E70="o"),H70," ")</f>
        <v> </v>
      </c>
      <c r="R70" s="17" t="str">
        <f aca="false">IF((E70="d"),H70," ")</f>
        <v> </v>
      </c>
      <c r="S70" s="17" t="str">
        <f aca="false">IF((E70="w"),H70," ")</f>
        <v> </v>
      </c>
      <c r="T70" s="17" t="str">
        <f aca="false">IF((E70="r"),H70," ")</f>
        <v> </v>
      </c>
      <c r="U70" s="17" t="str">
        <f aca="false">IF((E70="p"),H70," ")</f>
        <v> </v>
      </c>
      <c r="V70" s="17" t="str">
        <f aca="false">IF((E70="t"),H70," ")</f>
        <v> </v>
      </c>
      <c r="W70" s="17" t="str">
        <f aca="false">IF((E70="q"),H70," ")</f>
        <v> </v>
      </c>
      <c r="X70" s="17" t="str">
        <f aca="false">IF((E70="m"),H70," ")</f>
        <v> </v>
      </c>
      <c r="Y70" s="17" t="str">
        <f aca="false">IF((E70="u"),H70," ")</f>
        <v> </v>
      </c>
      <c r="Z70" s="17" t="str">
        <f aca="false">IF((E70="a"),H70," ")</f>
        <v> </v>
      </c>
      <c r="AA70" s="17" t="str">
        <f aca="false">IF((E70="g"),H70," ")</f>
        <v> </v>
      </c>
      <c r="AB70" s="17" t="str">
        <f aca="false">IF((E70="h"),H70," ")</f>
        <v> </v>
      </c>
      <c r="AC70" s="30" t="str">
        <f aca="false">IF((E70="v"),H70," ")</f>
        <v> </v>
      </c>
      <c r="AD70" s="30" t="str">
        <f aca="false">IF((E70="n"),H70," ")</f>
        <v> </v>
      </c>
      <c r="AE70" s="17" t="str">
        <f aca="false">IF((E70="f"),H70," ")</f>
        <v> </v>
      </c>
      <c r="AF70" s="17" t="str">
        <f aca="false">IF((E70="l"),H70," ")</f>
        <v> </v>
      </c>
      <c r="AG70" s="17" t="str">
        <f aca="false">IF((E70="y"),H70," ")</f>
        <v> </v>
      </c>
      <c r="AH70" s="17" t="str">
        <f aca="false">IF((E70="z"),H70," ")</f>
        <v> </v>
      </c>
      <c r="AI70" s="17" t="str">
        <f aca="false">IF((E70="fa"),H70," ")</f>
        <v> </v>
      </c>
      <c r="AJ70" s="17" t="str">
        <f aca="false">IF((E70="e"),H70," ")</f>
        <v> </v>
      </c>
    </row>
    <row r="71" customFormat="false" ht="12" hidden="false" customHeight="false" outlineLevel="0" collapsed="false">
      <c r="A71" s="28"/>
      <c r="E71" s="2" t="str">
        <f aca="false">IF((F71&lt;&gt;0),"Enter Letter"," ")</f>
        <v> </v>
      </c>
      <c r="F71" s="30"/>
      <c r="G71" s="6" t="str">
        <f aca="false">IF(F71&lt;&gt;0,F71*G$2/(100+G$2)," ")</f>
        <v> </v>
      </c>
      <c r="H71" s="6" t="str">
        <f aca="false">IF((F71&lt;&gt;0),F71-G71," ")</f>
        <v> </v>
      </c>
      <c r="I71" s="5"/>
      <c r="L71" s="7" t="str">
        <f aca="false">IF(F71&lt;&gt;0,F71-K71," ")</f>
        <v> </v>
      </c>
      <c r="M71" s="8" t="str">
        <f aca="false">IF((F71-K71)&lt;&gt;0,M$1-A71," ")</f>
        <v> </v>
      </c>
      <c r="N71" s="5"/>
      <c r="O71" s="17" t="str">
        <f aca="false">IF((E71="s"),H71," ")</f>
        <v> </v>
      </c>
      <c r="P71" s="17" t="str">
        <f aca="false">IF((E71="c"),H71," ")</f>
        <v> </v>
      </c>
      <c r="Q71" s="17" t="str">
        <f aca="false">IF((E71="o"),H71," ")</f>
        <v> </v>
      </c>
      <c r="R71" s="17" t="str">
        <f aca="false">IF((E71="d"),H71," ")</f>
        <v> </v>
      </c>
      <c r="S71" s="17" t="str">
        <f aca="false">IF((E71="w"),H71," ")</f>
        <v> </v>
      </c>
      <c r="T71" s="17" t="str">
        <f aca="false">IF((E71="r"),H71," ")</f>
        <v> </v>
      </c>
      <c r="U71" s="17" t="str">
        <f aca="false">IF((E71="p"),H71," ")</f>
        <v> </v>
      </c>
      <c r="V71" s="17" t="str">
        <f aca="false">IF((E71="t"),H71," ")</f>
        <v> </v>
      </c>
      <c r="W71" s="17" t="str">
        <f aca="false">IF((E71="q"),H71," ")</f>
        <v> </v>
      </c>
      <c r="X71" s="17" t="str">
        <f aca="false">IF((E71="m"),H71," ")</f>
        <v> </v>
      </c>
      <c r="Y71" s="17" t="str">
        <f aca="false">IF((E71="u"),H71," ")</f>
        <v> </v>
      </c>
      <c r="Z71" s="17" t="str">
        <f aca="false">IF((E71="a"),H71," ")</f>
        <v> </v>
      </c>
      <c r="AA71" s="17" t="str">
        <f aca="false">IF((E71="g"),H71," ")</f>
        <v> </v>
      </c>
      <c r="AB71" s="17" t="str">
        <f aca="false">IF((E71="h"),H71," ")</f>
        <v> </v>
      </c>
      <c r="AC71" s="30" t="str">
        <f aca="false">IF((E71="v"),H71," ")</f>
        <v> </v>
      </c>
      <c r="AD71" s="30" t="str">
        <f aca="false">IF((E71="n"),H71," ")</f>
        <v> </v>
      </c>
      <c r="AE71" s="17" t="str">
        <f aca="false">IF((E71="f"),H71," ")</f>
        <v> </v>
      </c>
      <c r="AF71" s="17" t="str">
        <f aca="false">IF((E71="l"),H71," ")</f>
        <v> </v>
      </c>
      <c r="AG71" s="17" t="str">
        <f aca="false">IF((E71="y"),H71," ")</f>
        <v> </v>
      </c>
      <c r="AH71" s="17" t="str">
        <f aca="false">IF((E71="z"),H71," ")</f>
        <v> </v>
      </c>
      <c r="AI71" s="17" t="str">
        <f aca="false">IF((E71="fa"),H71," ")</f>
        <v> </v>
      </c>
      <c r="AJ71" s="17" t="str">
        <f aca="false">IF((E71="e"),H71," ")</f>
        <v> </v>
      </c>
    </row>
    <row r="72" customFormat="false" ht="12" hidden="false" customHeight="false" outlineLevel="0" collapsed="false">
      <c r="A72" s="28"/>
      <c r="E72" s="2" t="str">
        <f aca="false">IF((F72&lt;&gt;0),"Enter Letter"," ")</f>
        <v> </v>
      </c>
      <c r="F72" s="30"/>
      <c r="G72" s="6" t="str">
        <f aca="false">IF(F72&lt;&gt;0,F72*G$2/(100+G$2)," ")</f>
        <v> </v>
      </c>
      <c r="H72" s="6" t="str">
        <f aca="false">IF((F72&lt;&gt;0),F72-G72," ")</f>
        <v> </v>
      </c>
      <c r="I72" s="5"/>
      <c r="L72" s="7" t="str">
        <f aca="false">IF(F72&lt;&gt;0,F72-K72," ")</f>
        <v> </v>
      </c>
      <c r="M72" s="8" t="str">
        <f aca="false">IF((F72-K72)&lt;&gt;0,M$1-A72," ")</f>
        <v> </v>
      </c>
      <c r="N72" s="5"/>
      <c r="O72" s="17" t="str">
        <f aca="false">IF((E72="s"),H72," ")</f>
        <v> </v>
      </c>
      <c r="P72" s="17" t="str">
        <f aca="false">IF((E72="c"),H72," ")</f>
        <v> </v>
      </c>
      <c r="Q72" s="17" t="str">
        <f aca="false">IF((E72="o"),H72," ")</f>
        <v> </v>
      </c>
      <c r="R72" s="17" t="str">
        <f aca="false">IF((E72="d"),H72," ")</f>
        <v> </v>
      </c>
      <c r="S72" s="17" t="str">
        <f aca="false">IF((E72="w"),H72," ")</f>
        <v> </v>
      </c>
      <c r="T72" s="17" t="str">
        <f aca="false">IF((E72="r"),H72," ")</f>
        <v> </v>
      </c>
      <c r="U72" s="17" t="str">
        <f aca="false">IF((E72="p"),H72," ")</f>
        <v> </v>
      </c>
      <c r="V72" s="17" t="str">
        <f aca="false">IF((E72="t"),H72," ")</f>
        <v> </v>
      </c>
      <c r="W72" s="17" t="str">
        <f aca="false">IF((E72="q"),H72," ")</f>
        <v> </v>
      </c>
      <c r="X72" s="17" t="str">
        <f aca="false">IF((E72="m"),H72," ")</f>
        <v> </v>
      </c>
      <c r="Y72" s="17" t="str">
        <f aca="false">IF((E72="u"),H72," ")</f>
        <v> </v>
      </c>
      <c r="Z72" s="17" t="str">
        <f aca="false">IF((E72="a"),H72," ")</f>
        <v> </v>
      </c>
      <c r="AA72" s="17" t="str">
        <f aca="false">IF((E72="g"),H72," ")</f>
        <v> </v>
      </c>
      <c r="AB72" s="17" t="str">
        <f aca="false">IF((E72="h"),H72," ")</f>
        <v> </v>
      </c>
      <c r="AC72" s="30" t="str">
        <f aca="false">IF((E72="v"),H72," ")</f>
        <v> </v>
      </c>
      <c r="AD72" s="30" t="str">
        <f aca="false">IF((E72="n"),H72," ")</f>
        <v> </v>
      </c>
      <c r="AE72" s="17" t="str">
        <f aca="false">IF((E72="f"),H72," ")</f>
        <v> </v>
      </c>
      <c r="AF72" s="17" t="str">
        <f aca="false">IF((E72="l"),H72," ")</f>
        <v> </v>
      </c>
      <c r="AG72" s="17" t="str">
        <f aca="false">IF((E72="y"),H72," ")</f>
        <v> </v>
      </c>
      <c r="AH72" s="17" t="str">
        <f aca="false">IF((E72="z"),H72," ")</f>
        <v> </v>
      </c>
      <c r="AI72" s="17" t="str">
        <f aca="false">IF((E72="fa"),H72," ")</f>
        <v> </v>
      </c>
      <c r="AJ72" s="17" t="str">
        <f aca="false">IF((E72="e"),H72," ")</f>
        <v> </v>
      </c>
    </row>
    <row r="73" customFormat="false" ht="12" hidden="false" customHeight="false" outlineLevel="0" collapsed="false">
      <c r="A73" s="28"/>
      <c r="E73" s="2" t="str">
        <f aca="false">IF((F73&lt;&gt;0),"Enter Letter"," ")</f>
        <v> </v>
      </c>
      <c r="F73" s="30"/>
      <c r="G73" s="6" t="str">
        <f aca="false">IF(F73&lt;&gt;0,F73*G$2/(100+G$2)," ")</f>
        <v> </v>
      </c>
      <c r="H73" s="6" t="str">
        <f aca="false">IF((F73&lt;&gt;0),F73-G73," ")</f>
        <v> </v>
      </c>
      <c r="I73" s="5"/>
      <c r="L73" s="7" t="str">
        <f aca="false">IF(F73&lt;&gt;0,F73-K73," ")</f>
        <v> </v>
      </c>
      <c r="M73" s="8" t="str">
        <f aca="false">IF((F73-K73)&lt;&gt;0,M$1-A73," ")</f>
        <v> </v>
      </c>
      <c r="N73" s="5"/>
      <c r="O73" s="17" t="str">
        <f aca="false">IF((E73="s"),H73," ")</f>
        <v> </v>
      </c>
      <c r="P73" s="17" t="str">
        <f aca="false">IF((E73="c"),H73," ")</f>
        <v> </v>
      </c>
      <c r="Q73" s="17" t="str">
        <f aca="false">IF((E73="o"),H73," ")</f>
        <v> </v>
      </c>
      <c r="R73" s="17" t="str">
        <f aca="false">IF((E73="d"),H73," ")</f>
        <v> </v>
      </c>
      <c r="S73" s="17" t="str">
        <f aca="false">IF((E73="w"),H73," ")</f>
        <v> </v>
      </c>
      <c r="T73" s="17" t="str">
        <f aca="false">IF((E73="r"),H73," ")</f>
        <v> </v>
      </c>
      <c r="U73" s="17" t="str">
        <f aca="false">IF((E73="p"),H73," ")</f>
        <v> </v>
      </c>
      <c r="V73" s="17" t="str">
        <f aca="false">IF((E73="t"),H73," ")</f>
        <v> </v>
      </c>
      <c r="W73" s="17" t="str">
        <f aca="false">IF((E73="q"),H73," ")</f>
        <v> </v>
      </c>
      <c r="X73" s="17" t="str">
        <f aca="false">IF((E73="m"),H73," ")</f>
        <v> </v>
      </c>
      <c r="Y73" s="17" t="str">
        <f aca="false">IF((E73="u"),H73," ")</f>
        <v> </v>
      </c>
      <c r="Z73" s="17" t="str">
        <f aca="false">IF((E73="a"),H73," ")</f>
        <v> </v>
      </c>
      <c r="AA73" s="17" t="str">
        <f aca="false">IF((E73="g"),H73," ")</f>
        <v> </v>
      </c>
      <c r="AB73" s="17" t="str">
        <f aca="false">IF((E73="h"),H73," ")</f>
        <v> </v>
      </c>
      <c r="AC73" s="30" t="str">
        <f aca="false">IF((E73="v"),H73," ")</f>
        <v> </v>
      </c>
      <c r="AD73" s="30" t="str">
        <f aca="false">IF((E73="n"),H73," ")</f>
        <v> </v>
      </c>
      <c r="AE73" s="17" t="str">
        <f aca="false">IF((E73="f"),H73," ")</f>
        <v> </v>
      </c>
      <c r="AF73" s="17" t="str">
        <f aca="false">IF((E73="l"),H73," ")</f>
        <v> </v>
      </c>
      <c r="AG73" s="17" t="str">
        <f aca="false">IF((E73="y"),H73," ")</f>
        <v> </v>
      </c>
      <c r="AH73" s="17" t="str">
        <f aca="false">IF((E73="z"),H73," ")</f>
        <v> </v>
      </c>
      <c r="AI73" s="17" t="str">
        <f aca="false">IF((E73="fa"),H73," ")</f>
        <v> </v>
      </c>
      <c r="AJ73" s="17" t="str">
        <f aca="false">IF((E73="e"),H73," ")</f>
        <v> </v>
      </c>
    </row>
    <row r="74" customFormat="false" ht="12" hidden="false" customHeight="false" outlineLevel="0" collapsed="false">
      <c r="A74" s="28"/>
      <c r="E74" s="2" t="str">
        <f aca="false">IF((F74&lt;&gt;0),"Enter Letter"," ")</f>
        <v> </v>
      </c>
      <c r="F74" s="30"/>
      <c r="G74" s="6" t="str">
        <f aca="false">IF(F74&lt;&gt;0,F74*G$2/(100+G$2)," ")</f>
        <v> </v>
      </c>
      <c r="H74" s="6" t="str">
        <f aca="false">IF((F74&lt;&gt;0),F74-G74," ")</f>
        <v> </v>
      </c>
      <c r="I74" s="5"/>
      <c r="L74" s="7" t="str">
        <f aca="false">IF(F74&lt;&gt;0,F74-K74," ")</f>
        <v> </v>
      </c>
      <c r="M74" s="8" t="str">
        <f aca="false">IF((F74-K74)&lt;&gt;0,M$1-A74," ")</f>
        <v> </v>
      </c>
      <c r="N74" s="5"/>
      <c r="O74" s="17" t="str">
        <f aca="false">IF((E74="s"),H74," ")</f>
        <v> </v>
      </c>
      <c r="P74" s="17" t="str">
        <f aca="false">IF((E74="c"),H74," ")</f>
        <v> </v>
      </c>
      <c r="Q74" s="17" t="str">
        <f aca="false">IF((E74="o"),H74," ")</f>
        <v> </v>
      </c>
      <c r="R74" s="17" t="str">
        <f aca="false">IF((E74="d"),H74," ")</f>
        <v> </v>
      </c>
      <c r="S74" s="17" t="str">
        <f aca="false">IF((E74="w"),H74," ")</f>
        <v> </v>
      </c>
      <c r="T74" s="17" t="str">
        <f aca="false">IF((E74="r"),H74," ")</f>
        <v> </v>
      </c>
      <c r="U74" s="17" t="str">
        <f aca="false">IF((E74="p"),H74," ")</f>
        <v> </v>
      </c>
      <c r="V74" s="17" t="str">
        <f aca="false">IF((E74="t"),H74," ")</f>
        <v> </v>
      </c>
      <c r="W74" s="17" t="str">
        <f aca="false">IF((E74="q"),H74," ")</f>
        <v> </v>
      </c>
      <c r="X74" s="17" t="str">
        <f aca="false">IF((E74="m"),H74," ")</f>
        <v> </v>
      </c>
      <c r="Y74" s="17" t="str">
        <f aca="false">IF((E74="u"),H74," ")</f>
        <v> </v>
      </c>
      <c r="Z74" s="17" t="str">
        <f aca="false">IF((E74="a"),H74," ")</f>
        <v> </v>
      </c>
      <c r="AA74" s="17" t="str">
        <f aca="false">IF((E74="g"),H74," ")</f>
        <v> </v>
      </c>
      <c r="AB74" s="17" t="str">
        <f aca="false">IF((E74="h"),H74," ")</f>
        <v> </v>
      </c>
      <c r="AC74" s="30" t="str">
        <f aca="false">IF((E74="v"),H74," ")</f>
        <v> </v>
      </c>
      <c r="AD74" s="30" t="str">
        <f aca="false">IF((E74="n"),H74," ")</f>
        <v> </v>
      </c>
      <c r="AE74" s="17" t="str">
        <f aca="false">IF((E74="f"),H74," ")</f>
        <v> </v>
      </c>
      <c r="AF74" s="17" t="str">
        <f aca="false">IF((E74="l"),H74," ")</f>
        <v> </v>
      </c>
      <c r="AG74" s="17" t="str">
        <f aca="false">IF((E74="y"),H74," ")</f>
        <v> </v>
      </c>
      <c r="AH74" s="17" t="str">
        <f aca="false">IF((E74="z"),H74," ")</f>
        <v> </v>
      </c>
      <c r="AI74" s="17" t="str">
        <f aca="false">IF((E74="fa"),H74," ")</f>
        <v> </v>
      </c>
      <c r="AJ74" s="17" t="str">
        <f aca="false">IF((E74="e"),H74," ")</f>
        <v> </v>
      </c>
    </row>
    <row r="75" customFormat="false" ht="12" hidden="false" customHeight="false" outlineLevel="0" collapsed="false">
      <c r="A75" s="28"/>
      <c r="E75" s="2" t="str">
        <f aca="false">IF((F75&lt;&gt;0),"Enter Letter"," ")</f>
        <v> </v>
      </c>
      <c r="F75" s="30"/>
      <c r="G75" s="6" t="str">
        <f aca="false">IF(F75&lt;&gt;0,F75*G$2/(100+G$2)," ")</f>
        <v> </v>
      </c>
      <c r="H75" s="6" t="str">
        <f aca="false">IF((F75&lt;&gt;0),F75-G75," ")</f>
        <v> </v>
      </c>
      <c r="I75" s="5"/>
      <c r="L75" s="7" t="str">
        <f aca="false">IF(F75&lt;&gt;0,F75-K75," ")</f>
        <v> </v>
      </c>
      <c r="M75" s="8" t="str">
        <f aca="false">IF((F75-K75)&lt;&gt;0,M$1-A75," ")</f>
        <v> </v>
      </c>
      <c r="N75" s="5"/>
      <c r="O75" s="17" t="str">
        <f aca="false">IF((E75="s"),H75," ")</f>
        <v> </v>
      </c>
      <c r="P75" s="17" t="str">
        <f aca="false">IF((E75="c"),H75," ")</f>
        <v> </v>
      </c>
      <c r="Q75" s="17" t="str">
        <f aca="false">IF((E75="o"),H75," ")</f>
        <v> </v>
      </c>
      <c r="R75" s="17" t="str">
        <f aca="false">IF((E75="d"),H75," ")</f>
        <v> </v>
      </c>
      <c r="S75" s="17" t="str">
        <f aca="false">IF((E75="w"),H75," ")</f>
        <v> </v>
      </c>
      <c r="T75" s="17" t="str">
        <f aca="false">IF((E75="r"),H75," ")</f>
        <v> </v>
      </c>
      <c r="U75" s="17" t="str">
        <f aca="false">IF((E75="p"),H75," ")</f>
        <v> </v>
      </c>
      <c r="V75" s="17" t="str">
        <f aca="false">IF((E75="t"),H75," ")</f>
        <v> </v>
      </c>
      <c r="W75" s="17" t="str">
        <f aca="false">IF((E75="q"),H75," ")</f>
        <v> </v>
      </c>
      <c r="X75" s="17" t="str">
        <f aca="false">IF((E75="m"),H75," ")</f>
        <v> </v>
      </c>
      <c r="Y75" s="17" t="str">
        <f aca="false">IF((E75="u"),H75," ")</f>
        <v> </v>
      </c>
      <c r="Z75" s="17" t="str">
        <f aca="false">IF((E75="a"),H75," ")</f>
        <v> </v>
      </c>
      <c r="AA75" s="17" t="str">
        <f aca="false">IF((E75="g"),H75," ")</f>
        <v> </v>
      </c>
      <c r="AB75" s="17" t="str">
        <f aca="false">IF((E75="h"),H75," ")</f>
        <v> </v>
      </c>
      <c r="AC75" s="30" t="str">
        <f aca="false">IF((E75="v"),H75," ")</f>
        <v> </v>
      </c>
      <c r="AD75" s="30" t="str">
        <f aca="false">IF((E75="n"),H75," ")</f>
        <v> </v>
      </c>
      <c r="AE75" s="17" t="str">
        <f aca="false">IF((E75="f"),H75," ")</f>
        <v> </v>
      </c>
      <c r="AF75" s="17" t="str">
        <f aca="false">IF((E75="l"),H75," ")</f>
        <v> </v>
      </c>
      <c r="AG75" s="17" t="str">
        <f aca="false">IF((E75="y"),H75," ")</f>
        <v> </v>
      </c>
      <c r="AH75" s="17" t="str">
        <f aca="false">IF((E75="z"),H75," ")</f>
        <v> </v>
      </c>
      <c r="AI75" s="17" t="str">
        <f aca="false">IF((E75="fa"),H75," ")</f>
        <v> </v>
      </c>
      <c r="AJ75" s="17" t="str">
        <f aca="false">IF((E75="e"),H75," ")</f>
        <v> </v>
      </c>
    </row>
    <row r="76" customFormat="false" ht="12" hidden="false" customHeight="false" outlineLevel="0" collapsed="false">
      <c r="A76" s="28"/>
      <c r="E76" s="2" t="str">
        <f aca="false">IF((F76&lt;&gt;0),"Enter Letter"," ")</f>
        <v> </v>
      </c>
      <c r="F76" s="30"/>
      <c r="G76" s="6" t="str">
        <f aca="false">IF(F76&lt;&gt;0,F76*G$2/(100+G$2)," ")</f>
        <v> </v>
      </c>
      <c r="H76" s="6" t="str">
        <f aca="false">IF((F76&lt;&gt;0),F76-G76," ")</f>
        <v> </v>
      </c>
      <c r="I76" s="5"/>
      <c r="L76" s="7" t="str">
        <f aca="false">IF(F76&lt;&gt;0,F76-K76," ")</f>
        <v> </v>
      </c>
      <c r="M76" s="8" t="str">
        <f aca="false">IF((F76-K76)&lt;&gt;0,M$1-A76," ")</f>
        <v> </v>
      </c>
      <c r="N76" s="5"/>
      <c r="O76" s="17" t="str">
        <f aca="false">IF((E76="s"),H76," ")</f>
        <v> </v>
      </c>
      <c r="P76" s="17" t="str">
        <f aca="false">IF((E76="c"),H76," ")</f>
        <v> </v>
      </c>
      <c r="Q76" s="17" t="str">
        <f aca="false">IF((E76="o"),H76," ")</f>
        <v> </v>
      </c>
      <c r="R76" s="17" t="str">
        <f aca="false">IF((E76="d"),H76," ")</f>
        <v> </v>
      </c>
      <c r="S76" s="17" t="str">
        <f aca="false">IF((E76="w"),H76," ")</f>
        <v> </v>
      </c>
      <c r="T76" s="17" t="str">
        <f aca="false">IF((E76="r"),H76," ")</f>
        <v> </v>
      </c>
      <c r="U76" s="17" t="str">
        <f aca="false">IF((E76="p"),H76," ")</f>
        <v> </v>
      </c>
      <c r="V76" s="17" t="str">
        <f aca="false">IF((E76="t"),H76," ")</f>
        <v> </v>
      </c>
      <c r="W76" s="17" t="str">
        <f aca="false">IF((E76="q"),H76," ")</f>
        <v> </v>
      </c>
      <c r="X76" s="17" t="str">
        <f aca="false">IF((E76="m"),H76," ")</f>
        <v> </v>
      </c>
      <c r="Y76" s="17" t="str">
        <f aca="false">IF((E76="u"),H76," ")</f>
        <v> </v>
      </c>
      <c r="Z76" s="17" t="str">
        <f aca="false">IF((E76="a"),H76," ")</f>
        <v> </v>
      </c>
      <c r="AA76" s="17" t="str">
        <f aca="false">IF((E76="g"),H76," ")</f>
        <v> </v>
      </c>
      <c r="AB76" s="17" t="str">
        <f aca="false">IF((E76="h"),H76," ")</f>
        <v> </v>
      </c>
      <c r="AC76" s="30" t="str">
        <f aca="false">IF((E76="v"),H76," ")</f>
        <v> </v>
      </c>
      <c r="AD76" s="30" t="str">
        <f aca="false">IF((E76="n"),H76," ")</f>
        <v> </v>
      </c>
      <c r="AE76" s="17" t="str">
        <f aca="false">IF((E76="f"),H76," ")</f>
        <v> </v>
      </c>
      <c r="AF76" s="17" t="str">
        <f aca="false">IF((E76="l"),H76," ")</f>
        <v> </v>
      </c>
      <c r="AG76" s="17" t="str">
        <f aca="false">IF((E76="y"),H76," ")</f>
        <v> </v>
      </c>
      <c r="AH76" s="17" t="str">
        <f aca="false">IF((E76="z"),H76," ")</f>
        <v> </v>
      </c>
      <c r="AI76" s="17" t="str">
        <f aca="false">IF((E76="fa"),H76," ")</f>
        <v> </v>
      </c>
      <c r="AJ76" s="17" t="str">
        <f aca="false">IF((E76="e"),H76," ")</f>
        <v> </v>
      </c>
    </row>
    <row r="77" customFormat="false" ht="12" hidden="false" customHeight="false" outlineLevel="0" collapsed="false">
      <c r="A77" s="28"/>
      <c r="E77" s="2" t="str">
        <f aca="false">IF((F77&lt;&gt;0),"Enter Letter"," ")</f>
        <v> </v>
      </c>
      <c r="F77" s="30"/>
      <c r="G77" s="6" t="str">
        <f aca="false">IF(F77&lt;&gt;0,F77*G$2/(100+G$2)," ")</f>
        <v> </v>
      </c>
      <c r="H77" s="6" t="str">
        <f aca="false">IF((F77&lt;&gt;0),F77-G77," ")</f>
        <v> </v>
      </c>
      <c r="I77" s="5"/>
      <c r="L77" s="7" t="str">
        <f aca="false">IF(F77&lt;&gt;0,F77-K77," ")</f>
        <v> </v>
      </c>
      <c r="M77" s="8" t="str">
        <f aca="false">IF((F77-K77)&lt;&gt;0,M$1-A77," ")</f>
        <v> </v>
      </c>
      <c r="N77" s="5"/>
      <c r="O77" s="17" t="str">
        <f aca="false">IF((E77="s"),H77," ")</f>
        <v> </v>
      </c>
      <c r="P77" s="17" t="str">
        <f aca="false">IF((E77="c"),H77," ")</f>
        <v> </v>
      </c>
      <c r="Q77" s="17" t="str">
        <f aca="false">IF((E77="o"),H77," ")</f>
        <v> </v>
      </c>
      <c r="R77" s="17" t="str">
        <f aca="false">IF((E77="d"),H77," ")</f>
        <v> </v>
      </c>
      <c r="S77" s="17" t="str">
        <f aca="false">IF((E77="w"),H77," ")</f>
        <v> </v>
      </c>
      <c r="T77" s="17" t="str">
        <f aca="false">IF((E77="r"),H77," ")</f>
        <v> </v>
      </c>
      <c r="U77" s="17" t="str">
        <f aca="false">IF((E77="p"),H77," ")</f>
        <v> </v>
      </c>
      <c r="V77" s="17" t="str">
        <f aca="false">IF((E77="t"),H77," ")</f>
        <v> </v>
      </c>
      <c r="W77" s="17" t="str">
        <f aca="false">IF((E77="q"),H77," ")</f>
        <v> </v>
      </c>
      <c r="X77" s="17" t="str">
        <f aca="false">IF((E77="m"),H77," ")</f>
        <v> </v>
      </c>
      <c r="Y77" s="17" t="str">
        <f aca="false">IF((E77="u"),H77," ")</f>
        <v> </v>
      </c>
      <c r="Z77" s="17" t="str">
        <f aca="false">IF((E77="a"),H77," ")</f>
        <v> </v>
      </c>
      <c r="AA77" s="17" t="str">
        <f aca="false">IF((E77="g"),H77," ")</f>
        <v> </v>
      </c>
      <c r="AB77" s="17" t="str">
        <f aca="false">IF((E77="h"),H77," ")</f>
        <v> </v>
      </c>
      <c r="AC77" s="30" t="str">
        <f aca="false">IF((E77="v"),H77," ")</f>
        <v> </v>
      </c>
      <c r="AD77" s="30" t="str">
        <f aca="false">IF((E77="n"),H77," ")</f>
        <v> </v>
      </c>
      <c r="AE77" s="17" t="str">
        <f aca="false">IF((E77="f"),H77," ")</f>
        <v> </v>
      </c>
      <c r="AF77" s="17" t="str">
        <f aca="false">IF((E77="l"),H77," ")</f>
        <v> </v>
      </c>
      <c r="AG77" s="17" t="str">
        <f aca="false">IF((E77="y"),H77," ")</f>
        <v> </v>
      </c>
      <c r="AH77" s="17" t="str">
        <f aca="false">IF((E77="z"),H77," ")</f>
        <v> </v>
      </c>
      <c r="AI77" s="17" t="str">
        <f aca="false">IF((E77="fa"),H77," ")</f>
        <v> </v>
      </c>
      <c r="AJ77" s="17" t="str">
        <f aca="false">IF((E77="e"),H77," ")</f>
        <v> </v>
      </c>
    </row>
    <row r="78" customFormat="false" ht="12" hidden="false" customHeight="false" outlineLevel="0" collapsed="false">
      <c r="A78" s="28"/>
      <c r="E78" s="2" t="str">
        <f aca="false">IF((F78&lt;&gt;0),"Enter Letter"," ")</f>
        <v> </v>
      </c>
      <c r="F78" s="30"/>
      <c r="G78" s="6" t="str">
        <f aca="false">IF(F78&lt;&gt;0,F78*G$2/(100+G$2)," ")</f>
        <v> </v>
      </c>
      <c r="H78" s="6" t="str">
        <f aca="false">IF((F78&lt;&gt;0),F78-G78," ")</f>
        <v> </v>
      </c>
      <c r="I78" s="5"/>
      <c r="L78" s="7" t="str">
        <f aca="false">IF(F78&lt;&gt;0,F78-K78," ")</f>
        <v> </v>
      </c>
      <c r="M78" s="8" t="str">
        <f aca="false">IF((F78-K78)&lt;&gt;0,M$1-A78," ")</f>
        <v> </v>
      </c>
      <c r="N78" s="5"/>
      <c r="O78" s="17" t="str">
        <f aca="false">IF((E78="s"),H78," ")</f>
        <v> </v>
      </c>
      <c r="P78" s="17" t="str">
        <f aca="false">IF((E78="c"),H78," ")</f>
        <v> </v>
      </c>
      <c r="Q78" s="17" t="str">
        <f aca="false">IF((E78="o"),H78," ")</f>
        <v> </v>
      </c>
      <c r="R78" s="17" t="str">
        <f aca="false">IF((E78="d"),H78," ")</f>
        <v> </v>
      </c>
      <c r="S78" s="17" t="str">
        <f aca="false">IF((E78="w"),H78," ")</f>
        <v> </v>
      </c>
      <c r="T78" s="17" t="str">
        <f aca="false">IF((E78="r"),H78," ")</f>
        <v> </v>
      </c>
      <c r="U78" s="17" t="str">
        <f aca="false">IF((E78="p"),H78," ")</f>
        <v> </v>
      </c>
      <c r="V78" s="17" t="str">
        <f aca="false">IF((E78="t"),H78," ")</f>
        <v> </v>
      </c>
      <c r="W78" s="17" t="str">
        <f aca="false">IF((E78="q"),H78," ")</f>
        <v> </v>
      </c>
      <c r="X78" s="17" t="str">
        <f aca="false">IF((E78="m"),H78," ")</f>
        <v> </v>
      </c>
      <c r="Y78" s="17" t="str">
        <f aca="false">IF((E78="u"),H78," ")</f>
        <v> </v>
      </c>
      <c r="Z78" s="17" t="str">
        <f aca="false">IF((E78="a"),H78," ")</f>
        <v> </v>
      </c>
      <c r="AA78" s="17" t="str">
        <f aca="false">IF((E78="g"),H78," ")</f>
        <v> </v>
      </c>
      <c r="AB78" s="17" t="str">
        <f aca="false">IF((E78="h"),H78," ")</f>
        <v> </v>
      </c>
      <c r="AC78" s="30" t="str">
        <f aca="false">IF((E78="v"),H78," ")</f>
        <v> </v>
      </c>
      <c r="AD78" s="30" t="str">
        <f aca="false">IF((E78="n"),H78," ")</f>
        <v> </v>
      </c>
      <c r="AE78" s="17" t="str">
        <f aca="false">IF((E78="f"),H78," ")</f>
        <v> </v>
      </c>
      <c r="AF78" s="17" t="str">
        <f aca="false">IF((E78="l"),H78," ")</f>
        <v> </v>
      </c>
      <c r="AG78" s="17" t="str">
        <f aca="false">IF((E78="y"),H78," ")</f>
        <v> </v>
      </c>
      <c r="AH78" s="17" t="str">
        <f aca="false">IF((E78="z"),H78," ")</f>
        <v> </v>
      </c>
      <c r="AI78" s="17" t="str">
        <f aca="false">IF((E78="fa"),H78," ")</f>
        <v> </v>
      </c>
      <c r="AJ78" s="17" t="str">
        <f aca="false">IF((E78="e"),H78," ")</f>
        <v> </v>
      </c>
    </row>
    <row r="79" customFormat="false" ht="12" hidden="false" customHeight="false" outlineLevel="0" collapsed="false">
      <c r="A79" s="28"/>
      <c r="E79" s="2" t="str">
        <f aca="false">IF((F79&lt;&gt;0),"Enter Letter"," ")</f>
        <v> </v>
      </c>
      <c r="F79" s="30"/>
      <c r="G79" s="6" t="str">
        <f aca="false">IF(F79&lt;&gt;0,F79*G$2/(100+G$2)," ")</f>
        <v> </v>
      </c>
      <c r="H79" s="6" t="str">
        <f aca="false">IF((F79&lt;&gt;0),F79-G79," ")</f>
        <v> </v>
      </c>
      <c r="I79" s="5"/>
      <c r="L79" s="7" t="str">
        <f aca="false">IF(F79&lt;&gt;0,F79-K79," ")</f>
        <v> </v>
      </c>
      <c r="M79" s="8" t="str">
        <f aca="false">IF((F79-K79)&lt;&gt;0,M$1-A79," ")</f>
        <v> </v>
      </c>
      <c r="N79" s="5"/>
      <c r="O79" s="17" t="str">
        <f aca="false">IF((E79="s"),H79," ")</f>
        <v> </v>
      </c>
      <c r="P79" s="17" t="str">
        <f aca="false">IF((E79="c"),H79," ")</f>
        <v> </v>
      </c>
      <c r="Q79" s="17" t="str">
        <f aca="false">IF((E79="o"),H79," ")</f>
        <v> </v>
      </c>
      <c r="R79" s="17" t="str">
        <f aca="false">IF((E79="d"),H79," ")</f>
        <v> </v>
      </c>
      <c r="S79" s="17" t="str">
        <f aca="false">IF((E79="w"),H79," ")</f>
        <v> </v>
      </c>
      <c r="T79" s="17" t="str">
        <f aca="false">IF((E79="r"),H79," ")</f>
        <v> </v>
      </c>
      <c r="U79" s="17" t="str">
        <f aca="false">IF((E79="p"),H79," ")</f>
        <v> </v>
      </c>
      <c r="V79" s="17" t="str">
        <f aca="false">IF((E79="t"),H79," ")</f>
        <v> </v>
      </c>
      <c r="W79" s="17" t="str">
        <f aca="false">IF((E79="q"),H79," ")</f>
        <v> </v>
      </c>
      <c r="X79" s="17" t="str">
        <f aca="false">IF((E79="m"),H79," ")</f>
        <v> </v>
      </c>
      <c r="Y79" s="17" t="str">
        <f aca="false">IF((E79="u"),H79," ")</f>
        <v> </v>
      </c>
      <c r="Z79" s="17" t="str">
        <f aca="false">IF((E79="a"),H79," ")</f>
        <v> </v>
      </c>
      <c r="AA79" s="17" t="str">
        <f aca="false">IF((E79="g"),H79," ")</f>
        <v> </v>
      </c>
      <c r="AB79" s="17" t="str">
        <f aca="false">IF((E79="h"),H79," ")</f>
        <v> </v>
      </c>
      <c r="AC79" s="30" t="str">
        <f aca="false">IF((E79="v"),H79," ")</f>
        <v> </v>
      </c>
      <c r="AD79" s="30" t="str">
        <f aca="false">IF((E79="n"),H79," ")</f>
        <v> </v>
      </c>
      <c r="AE79" s="17" t="str">
        <f aca="false">IF((E79="f"),H79," ")</f>
        <v> </v>
      </c>
      <c r="AF79" s="17" t="str">
        <f aca="false">IF((E79="l"),H79," ")</f>
        <v> </v>
      </c>
      <c r="AG79" s="17" t="str">
        <f aca="false">IF((E79="y"),H79," ")</f>
        <v> </v>
      </c>
      <c r="AH79" s="17" t="str">
        <f aca="false">IF((E79="z"),H79," ")</f>
        <v> </v>
      </c>
      <c r="AI79" s="17" t="str">
        <f aca="false">IF((E79="fa"),H79," ")</f>
        <v> </v>
      </c>
      <c r="AJ79" s="17" t="str">
        <f aca="false">IF((E79="e"),H79," ")</f>
        <v> </v>
      </c>
    </row>
    <row r="80" customFormat="false" ht="12" hidden="false" customHeight="false" outlineLevel="0" collapsed="false">
      <c r="A80" s="28"/>
      <c r="E80" s="2" t="str">
        <f aca="false">IF((F80&lt;&gt;0),"Enter Letter"," ")</f>
        <v> </v>
      </c>
      <c r="F80" s="30"/>
      <c r="G80" s="6" t="str">
        <f aca="false">IF(F80&lt;&gt;0,F80*G$2/(100+G$2)," ")</f>
        <v> </v>
      </c>
      <c r="H80" s="6" t="str">
        <f aca="false">IF((F80&lt;&gt;0),F80-G80," ")</f>
        <v> </v>
      </c>
      <c r="I80" s="5"/>
      <c r="L80" s="7" t="str">
        <f aca="false">IF(F80&lt;&gt;0,F80-K80," ")</f>
        <v> </v>
      </c>
      <c r="M80" s="8" t="str">
        <f aca="false">IF((F80-K80)&lt;&gt;0,M$1-A80," ")</f>
        <v> </v>
      </c>
      <c r="N80" s="5"/>
      <c r="O80" s="17" t="str">
        <f aca="false">IF((E80="s"),H80," ")</f>
        <v> </v>
      </c>
      <c r="P80" s="17" t="str">
        <f aca="false">IF((E80="c"),H80," ")</f>
        <v> </v>
      </c>
      <c r="Q80" s="17" t="str">
        <f aca="false">IF((E80="o"),H80," ")</f>
        <v> </v>
      </c>
      <c r="R80" s="17" t="str">
        <f aca="false">IF((E80="d"),H80," ")</f>
        <v> </v>
      </c>
      <c r="S80" s="17" t="str">
        <f aca="false">IF((E80="w"),H80," ")</f>
        <v> </v>
      </c>
      <c r="T80" s="17" t="str">
        <f aca="false">IF((E80="r"),H80," ")</f>
        <v> </v>
      </c>
      <c r="U80" s="17" t="str">
        <f aca="false">IF((E80="p"),H80," ")</f>
        <v> </v>
      </c>
      <c r="V80" s="17" t="str">
        <f aca="false">IF((E80="t"),H80," ")</f>
        <v> </v>
      </c>
      <c r="W80" s="17" t="str">
        <f aca="false">IF((E80="q"),H80," ")</f>
        <v> </v>
      </c>
      <c r="X80" s="17" t="str">
        <f aca="false">IF((E80="m"),H80," ")</f>
        <v> </v>
      </c>
      <c r="Y80" s="17" t="str">
        <f aca="false">IF((E80="u"),H80," ")</f>
        <v> </v>
      </c>
      <c r="Z80" s="17" t="str">
        <f aca="false">IF((E80="a"),H80," ")</f>
        <v> </v>
      </c>
      <c r="AA80" s="17" t="str">
        <f aca="false">IF((E80="g"),H80," ")</f>
        <v> </v>
      </c>
      <c r="AB80" s="17" t="str">
        <f aca="false">IF((E80="h"),H80," ")</f>
        <v> </v>
      </c>
      <c r="AC80" s="30" t="str">
        <f aca="false">IF((E80="v"),H80," ")</f>
        <v> </v>
      </c>
      <c r="AD80" s="30" t="str">
        <f aca="false">IF((E80="n"),H80," ")</f>
        <v> </v>
      </c>
      <c r="AE80" s="17" t="str">
        <f aca="false">IF((E80="f"),H80," ")</f>
        <v> </v>
      </c>
      <c r="AF80" s="17" t="str">
        <f aca="false">IF((E80="l"),H80," ")</f>
        <v> </v>
      </c>
      <c r="AG80" s="17" t="str">
        <f aca="false">IF((E80="y"),H80," ")</f>
        <v> </v>
      </c>
      <c r="AH80" s="17" t="str">
        <f aca="false">IF((E80="z"),H80," ")</f>
        <v> </v>
      </c>
      <c r="AI80" s="17" t="str">
        <f aca="false">IF((E80="fa"),H80," ")</f>
        <v> </v>
      </c>
      <c r="AJ80" s="17" t="str">
        <f aca="false">IF((E80="e"),H80," ")</f>
        <v> </v>
      </c>
    </row>
    <row r="81" customFormat="false" ht="12" hidden="false" customHeight="false" outlineLevel="0" collapsed="false">
      <c r="A81" s="28"/>
      <c r="E81" s="2" t="str">
        <f aca="false">IF((F81&lt;&gt;0),"Enter Letter"," ")</f>
        <v> </v>
      </c>
      <c r="F81" s="30"/>
      <c r="G81" s="6" t="str">
        <f aca="false">IF(F81&lt;&gt;0,F81*G$2/(100+G$2)," ")</f>
        <v> </v>
      </c>
      <c r="H81" s="6" t="str">
        <f aca="false">IF((F81&lt;&gt;0),F81-G81," ")</f>
        <v> </v>
      </c>
      <c r="I81" s="5"/>
      <c r="L81" s="7" t="str">
        <f aca="false">IF(F81&lt;&gt;0,F81-K81," ")</f>
        <v> </v>
      </c>
      <c r="M81" s="8" t="str">
        <f aca="false">IF((F81-K81)&lt;&gt;0,M$1-A81," ")</f>
        <v> </v>
      </c>
      <c r="N81" s="5"/>
      <c r="O81" s="17" t="str">
        <f aca="false">IF((E81="s"),H81," ")</f>
        <v> </v>
      </c>
      <c r="P81" s="17" t="str">
        <f aca="false">IF((E81="c"),H81," ")</f>
        <v> </v>
      </c>
      <c r="Q81" s="17" t="str">
        <f aca="false">IF((E81="o"),H81," ")</f>
        <v> </v>
      </c>
      <c r="R81" s="17" t="str">
        <f aca="false">IF((E81="d"),H81," ")</f>
        <v> </v>
      </c>
      <c r="S81" s="17" t="str">
        <f aca="false">IF((E81="w"),H81," ")</f>
        <v> </v>
      </c>
      <c r="T81" s="17" t="str">
        <f aca="false">IF((E81="r"),H81," ")</f>
        <v> </v>
      </c>
      <c r="U81" s="17" t="str">
        <f aca="false">IF((E81="p"),H81," ")</f>
        <v> </v>
      </c>
      <c r="V81" s="17" t="str">
        <f aca="false">IF((E81="t"),H81," ")</f>
        <v> </v>
      </c>
      <c r="W81" s="17" t="str">
        <f aca="false">IF((E81="q"),H81," ")</f>
        <v> </v>
      </c>
      <c r="X81" s="17" t="str">
        <f aca="false">IF((E81="m"),H81," ")</f>
        <v> </v>
      </c>
      <c r="Y81" s="17" t="str">
        <f aca="false">IF((E81="u"),H81," ")</f>
        <v> </v>
      </c>
      <c r="Z81" s="17" t="str">
        <f aca="false">IF((E81="a"),H81," ")</f>
        <v> </v>
      </c>
      <c r="AA81" s="17" t="str">
        <f aca="false">IF((E81="g"),H81," ")</f>
        <v> </v>
      </c>
      <c r="AB81" s="17" t="str">
        <f aca="false">IF((E81="h"),H81," ")</f>
        <v> </v>
      </c>
      <c r="AC81" s="30" t="str">
        <f aca="false">IF((E81="v"),H81," ")</f>
        <v> </v>
      </c>
      <c r="AD81" s="30" t="str">
        <f aca="false">IF((E81="n"),H81," ")</f>
        <v> </v>
      </c>
      <c r="AE81" s="17" t="str">
        <f aca="false">IF((E81="f"),H81," ")</f>
        <v> </v>
      </c>
      <c r="AF81" s="17" t="str">
        <f aca="false">IF((E81="l"),H81," ")</f>
        <v> </v>
      </c>
      <c r="AG81" s="17" t="str">
        <f aca="false">IF((E81="y"),H81," ")</f>
        <v> </v>
      </c>
      <c r="AH81" s="17" t="str">
        <f aca="false">IF((E81="z"),H81," ")</f>
        <v> </v>
      </c>
      <c r="AI81" s="17" t="str">
        <f aca="false">IF((E81="fa"),H81," ")</f>
        <v> </v>
      </c>
      <c r="AJ81" s="17" t="str">
        <f aca="false">IF((E81="e"),H81," ")</f>
        <v> </v>
      </c>
    </row>
    <row r="82" customFormat="false" ht="12" hidden="false" customHeight="false" outlineLevel="0" collapsed="false">
      <c r="A82" s="28"/>
      <c r="E82" s="2" t="str">
        <f aca="false">IF((F82&lt;&gt;0),"Enter Letter"," ")</f>
        <v> </v>
      </c>
      <c r="F82" s="30"/>
      <c r="G82" s="6" t="str">
        <f aca="false">IF(F82&lt;&gt;0,F82*G$2/(100+G$2)," ")</f>
        <v> </v>
      </c>
      <c r="H82" s="6" t="str">
        <f aca="false">IF((F82&lt;&gt;0),F82-G82," ")</f>
        <v> </v>
      </c>
      <c r="I82" s="5"/>
      <c r="L82" s="7" t="str">
        <f aca="false">IF(F82&lt;&gt;0,F82-K82," ")</f>
        <v> </v>
      </c>
      <c r="M82" s="8" t="str">
        <f aca="false">IF((F82-K82)&lt;&gt;0,M$1-A82," ")</f>
        <v> </v>
      </c>
      <c r="N82" s="5"/>
      <c r="O82" s="17" t="str">
        <f aca="false">IF((E82="s"),H82," ")</f>
        <v> </v>
      </c>
      <c r="P82" s="17" t="str">
        <f aca="false">IF((E82="c"),H82," ")</f>
        <v> </v>
      </c>
      <c r="Q82" s="17" t="str">
        <f aca="false">IF((E82="o"),H82," ")</f>
        <v> </v>
      </c>
      <c r="R82" s="17" t="str">
        <f aca="false">IF((E82="d"),H82," ")</f>
        <v> </v>
      </c>
      <c r="S82" s="17" t="str">
        <f aca="false">IF((E82="w"),H82," ")</f>
        <v> </v>
      </c>
      <c r="T82" s="17" t="str">
        <f aca="false">IF((E82="r"),H82," ")</f>
        <v> </v>
      </c>
      <c r="U82" s="17" t="str">
        <f aca="false">IF((E82="p"),H82," ")</f>
        <v> </v>
      </c>
      <c r="V82" s="17" t="str">
        <f aca="false">IF((E82="t"),H82," ")</f>
        <v> </v>
      </c>
      <c r="W82" s="17" t="str">
        <f aca="false">IF((E82="q"),H82," ")</f>
        <v> </v>
      </c>
      <c r="X82" s="17" t="str">
        <f aca="false">IF((E82="m"),H82," ")</f>
        <v> </v>
      </c>
      <c r="Y82" s="17" t="str">
        <f aca="false">IF((E82="u"),H82," ")</f>
        <v> </v>
      </c>
      <c r="Z82" s="17" t="str">
        <f aca="false">IF((E82="a"),H82," ")</f>
        <v> </v>
      </c>
      <c r="AA82" s="17" t="str">
        <f aca="false">IF((E82="g"),H82," ")</f>
        <v> </v>
      </c>
      <c r="AB82" s="17" t="str">
        <f aca="false">IF((E82="h"),H82," ")</f>
        <v> </v>
      </c>
      <c r="AC82" s="30" t="str">
        <f aca="false">IF((E82="v"),H82," ")</f>
        <v> </v>
      </c>
      <c r="AD82" s="30" t="str">
        <f aca="false">IF((E82="n"),H82," ")</f>
        <v> </v>
      </c>
      <c r="AE82" s="17" t="str">
        <f aca="false">IF((E82="f"),H82," ")</f>
        <v> </v>
      </c>
      <c r="AF82" s="17" t="str">
        <f aca="false">IF((E82="l"),H82," ")</f>
        <v> </v>
      </c>
      <c r="AG82" s="17" t="str">
        <f aca="false">IF((E82="y"),H82," ")</f>
        <v> </v>
      </c>
      <c r="AH82" s="17" t="str">
        <f aca="false">IF((E82="z"),H82," ")</f>
        <v> </v>
      </c>
      <c r="AI82" s="17" t="str">
        <f aca="false">IF((E82="fa"),H82," ")</f>
        <v> </v>
      </c>
      <c r="AJ82" s="17" t="str">
        <f aca="false">IF((E82="e"),H82," ")</f>
        <v> </v>
      </c>
    </row>
    <row r="83" customFormat="false" ht="12" hidden="false" customHeight="false" outlineLevel="0" collapsed="false">
      <c r="A83" s="28"/>
      <c r="E83" s="2" t="str">
        <f aca="false">IF((F83&lt;&gt;0),"Enter Letter"," ")</f>
        <v> </v>
      </c>
      <c r="F83" s="30"/>
      <c r="G83" s="6" t="str">
        <f aca="false">IF(F83&lt;&gt;0,F83*G$2/(100+G$2)," ")</f>
        <v> </v>
      </c>
      <c r="H83" s="6" t="str">
        <f aca="false">IF((F83&lt;&gt;0),F83-G83," ")</f>
        <v> </v>
      </c>
      <c r="I83" s="5"/>
      <c r="L83" s="7" t="str">
        <f aca="false">IF(F83&lt;&gt;0,F83-K83," ")</f>
        <v> </v>
      </c>
      <c r="M83" s="8" t="str">
        <f aca="false">IF((F83-K83)&lt;&gt;0,M$1-A83," ")</f>
        <v> </v>
      </c>
      <c r="N83" s="5"/>
      <c r="O83" s="17" t="str">
        <f aca="false">IF((E83="s"),H83," ")</f>
        <v> </v>
      </c>
      <c r="P83" s="17" t="str">
        <f aca="false">IF((E83="c"),H83," ")</f>
        <v> </v>
      </c>
      <c r="Q83" s="17" t="str">
        <f aca="false">IF((E83="o"),H83," ")</f>
        <v> </v>
      </c>
      <c r="R83" s="17" t="str">
        <f aca="false">IF((E83="d"),H83," ")</f>
        <v> </v>
      </c>
      <c r="S83" s="17" t="str">
        <f aca="false">IF((E83="w"),H83," ")</f>
        <v> </v>
      </c>
      <c r="T83" s="17" t="str">
        <f aca="false">IF((E83="r"),H83," ")</f>
        <v> </v>
      </c>
      <c r="U83" s="17" t="str">
        <f aca="false">IF((E83="p"),H83," ")</f>
        <v> </v>
      </c>
      <c r="V83" s="17" t="str">
        <f aca="false">IF((E83="t"),H83," ")</f>
        <v> </v>
      </c>
      <c r="W83" s="17" t="str">
        <f aca="false">IF((E83="q"),H83," ")</f>
        <v> </v>
      </c>
      <c r="X83" s="17" t="str">
        <f aca="false">IF((E83="m"),H83," ")</f>
        <v> </v>
      </c>
      <c r="Y83" s="17" t="str">
        <f aca="false">IF((E83="u"),H83," ")</f>
        <v> </v>
      </c>
      <c r="Z83" s="17" t="str">
        <f aca="false">IF((E83="a"),H83," ")</f>
        <v> </v>
      </c>
      <c r="AA83" s="17" t="str">
        <f aca="false">IF((E83="g"),H83," ")</f>
        <v> </v>
      </c>
      <c r="AB83" s="17" t="str">
        <f aca="false">IF((E83="h"),H83," ")</f>
        <v> </v>
      </c>
      <c r="AC83" s="30" t="str">
        <f aca="false">IF((E83="v"),H83," ")</f>
        <v> </v>
      </c>
      <c r="AD83" s="30" t="str">
        <f aca="false">IF((E83="n"),H83," ")</f>
        <v> </v>
      </c>
      <c r="AE83" s="17" t="str">
        <f aca="false">IF((E83="f"),H83," ")</f>
        <v> </v>
      </c>
      <c r="AF83" s="17" t="str">
        <f aca="false">IF((E83="l"),H83," ")</f>
        <v> </v>
      </c>
      <c r="AG83" s="17" t="str">
        <f aca="false">IF((E83="y"),H83," ")</f>
        <v> </v>
      </c>
      <c r="AH83" s="17" t="str">
        <f aca="false">IF((E83="z"),H83," ")</f>
        <v> </v>
      </c>
      <c r="AI83" s="17" t="str">
        <f aca="false">IF((E83="fa"),H83," ")</f>
        <v> </v>
      </c>
      <c r="AJ83" s="17" t="str">
        <f aca="false">IF((E83="e"),H83," ")</f>
        <v> </v>
      </c>
    </row>
    <row r="84" customFormat="false" ht="12" hidden="false" customHeight="false" outlineLevel="0" collapsed="false">
      <c r="A84" s="28"/>
      <c r="E84" s="2" t="str">
        <f aca="false">IF((F84&lt;&gt;0),"Enter Letter"," ")</f>
        <v> </v>
      </c>
      <c r="F84" s="30"/>
      <c r="G84" s="6" t="str">
        <f aca="false">IF(F84&lt;&gt;0,F84*G$2/(100+G$2)," ")</f>
        <v> </v>
      </c>
      <c r="H84" s="6" t="str">
        <f aca="false">IF((F84&lt;&gt;0),F84-G84," ")</f>
        <v> </v>
      </c>
      <c r="I84" s="5"/>
      <c r="L84" s="7" t="str">
        <f aca="false">IF(F84&lt;&gt;0,F84-K84," ")</f>
        <v> </v>
      </c>
      <c r="M84" s="8" t="str">
        <f aca="false">IF((F84-K84)&lt;&gt;0,M$1-A84," ")</f>
        <v> </v>
      </c>
      <c r="N84" s="5"/>
      <c r="O84" s="17" t="str">
        <f aca="false">IF((E84="s"),H84," ")</f>
        <v> </v>
      </c>
      <c r="P84" s="17" t="str">
        <f aca="false">IF((E84="c"),H84," ")</f>
        <v> </v>
      </c>
      <c r="Q84" s="17" t="str">
        <f aca="false">IF((E84="o"),H84," ")</f>
        <v> </v>
      </c>
      <c r="R84" s="17" t="str">
        <f aca="false">IF((E84="d"),H84," ")</f>
        <v> </v>
      </c>
      <c r="S84" s="17" t="str">
        <f aca="false">IF((E84="w"),H84," ")</f>
        <v> </v>
      </c>
      <c r="T84" s="17" t="str">
        <f aca="false">IF((E84="r"),H84," ")</f>
        <v> </v>
      </c>
      <c r="U84" s="17" t="str">
        <f aca="false">IF((E84="p"),H84," ")</f>
        <v> </v>
      </c>
      <c r="V84" s="17" t="str">
        <f aca="false">IF((E84="t"),H84," ")</f>
        <v> </v>
      </c>
      <c r="W84" s="17" t="str">
        <f aca="false">IF((E84="q"),H84," ")</f>
        <v> </v>
      </c>
      <c r="X84" s="17" t="str">
        <f aca="false">IF((E84="m"),H84," ")</f>
        <v> </v>
      </c>
      <c r="Y84" s="17" t="str">
        <f aca="false">IF((E84="u"),H84," ")</f>
        <v> </v>
      </c>
      <c r="Z84" s="17" t="str">
        <f aca="false">IF((E84="a"),H84," ")</f>
        <v> </v>
      </c>
      <c r="AA84" s="17" t="str">
        <f aca="false">IF((E84="g"),H84," ")</f>
        <v> </v>
      </c>
      <c r="AB84" s="17" t="str">
        <f aca="false">IF((E84="h"),H84," ")</f>
        <v> </v>
      </c>
      <c r="AC84" s="30" t="str">
        <f aca="false">IF((E84="v"),H84," ")</f>
        <v> </v>
      </c>
      <c r="AD84" s="30" t="str">
        <f aca="false">IF((E84="n"),H84," ")</f>
        <v> </v>
      </c>
      <c r="AE84" s="17" t="str">
        <f aca="false">IF((E84="f"),H84," ")</f>
        <v> </v>
      </c>
      <c r="AF84" s="17" t="str">
        <f aca="false">IF((E84="l"),H84," ")</f>
        <v> </v>
      </c>
      <c r="AG84" s="17" t="str">
        <f aca="false">IF((E84="y"),H84," ")</f>
        <v> </v>
      </c>
      <c r="AH84" s="17" t="str">
        <f aca="false">IF((E84="z"),H84," ")</f>
        <v> </v>
      </c>
      <c r="AI84" s="17" t="str">
        <f aca="false">IF((E84="fa"),H84," ")</f>
        <v> </v>
      </c>
      <c r="AJ84" s="17" t="str">
        <f aca="false">IF((E84="e"),H84," ")</f>
        <v> </v>
      </c>
    </row>
    <row r="85" customFormat="false" ht="12" hidden="false" customHeight="false" outlineLevel="0" collapsed="false">
      <c r="A85" s="28"/>
      <c r="E85" s="2" t="str">
        <f aca="false">IF((F85&lt;&gt;0),"Enter Letter"," ")</f>
        <v> </v>
      </c>
      <c r="F85" s="30"/>
      <c r="G85" s="6" t="str">
        <f aca="false">IF(F85&lt;&gt;0,F85*G$2/(100+G$2)," ")</f>
        <v> </v>
      </c>
      <c r="H85" s="6" t="str">
        <f aca="false">IF((F85&lt;&gt;0),F85-G85," ")</f>
        <v> </v>
      </c>
      <c r="I85" s="5"/>
      <c r="L85" s="7" t="str">
        <f aca="false">IF(F85&lt;&gt;0,F85-K85," ")</f>
        <v> </v>
      </c>
      <c r="M85" s="8" t="str">
        <f aca="false">IF((F85-K85)&lt;&gt;0,M$1-A85," ")</f>
        <v> </v>
      </c>
      <c r="N85" s="5"/>
      <c r="O85" s="17" t="str">
        <f aca="false">IF((E85="s"),H85," ")</f>
        <v> </v>
      </c>
      <c r="P85" s="17" t="str">
        <f aca="false">IF((E85="c"),H85," ")</f>
        <v> </v>
      </c>
      <c r="Q85" s="17" t="str">
        <f aca="false">IF((E85="o"),H85," ")</f>
        <v> </v>
      </c>
      <c r="R85" s="17" t="str">
        <f aca="false">IF((E85="d"),H85," ")</f>
        <v> </v>
      </c>
      <c r="S85" s="17" t="str">
        <f aca="false">IF((E85="w"),H85," ")</f>
        <v> </v>
      </c>
      <c r="T85" s="17" t="str">
        <f aca="false">IF((E85="r"),H85," ")</f>
        <v> </v>
      </c>
      <c r="U85" s="17" t="str">
        <f aca="false">IF((E85="p"),H85," ")</f>
        <v> </v>
      </c>
      <c r="V85" s="17" t="str">
        <f aca="false">IF((E85="t"),H85," ")</f>
        <v> </v>
      </c>
      <c r="W85" s="17" t="str">
        <f aca="false">IF((E85="q"),H85," ")</f>
        <v> </v>
      </c>
      <c r="X85" s="17" t="str">
        <f aca="false">IF((E85="m"),H85," ")</f>
        <v> </v>
      </c>
      <c r="Y85" s="17" t="str">
        <f aca="false">IF((E85="u"),H85," ")</f>
        <v> </v>
      </c>
      <c r="Z85" s="17" t="str">
        <f aca="false">IF((E85="a"),H85," ")</f>
        <v> </v>
      </c>
      <c r="AA85" s="17" t="str">
        <f aca="false">IF((E85="g"),H85," ")</f>
        <v> </v>
      </c>
      <c r="AB85" s="17" t="str">
        <f aca="false">IF((E85="h"),H85," ")</f>
        <v> </v>
      </c>
      <c r="AC85" s="30" t="str">
        <f aca="false">IF((E85="v"),H85," ")</f>
        <v> </v>
      </c>
      <c r="AD85" s="30" t="str">
        <f aca="false">IF((E85="n"),H85," ")</f>
        <v> </v>
      </c>
      <c r="AE85" s="17" t="str">
        <f aca="false">IF((E85="f"),H85," ")</f>
        <v> </v>
      </c>
      <c r="AF85" s="17" t="str">
        <f aca="false">IF((E85="l"),H85," ")</f>
        <v> </v>
      </c>
      <c r="AG85" s="17" t="str">
        <f aca="false">IF((E85="y"),H85," ")</f>
        <v> </v>
      </c>
      <c r="AH85" s="17" t="str">
        <f aca="false">IF((E85="z"),H85," ")</f>
        <v> </v>
      </c>
      <c r="AI85" s="17" t="str">
        <f aca="false">IF((E85="fa"),H85," ")</f>
        <v> </v>
      </c>
      <c r="AJ85" s="17" t="str">
        <f aca="false">IF((E85="e"),H85," ")</f>
        <v> </v>
      </c>
    </row>
    <row r="86" customFormat="false" ht="12" hidden="false" customHeight="false" outlineLevel="0" collapsed="false">
      <c r="A86" s="28"/>
      <c r="E86" s="2" t="str">
        <f aca="false">IF((F86&lt;&gt;0),"Enter Letter"," ")</f>
        <v> </v>
      </c>
      <c r="F86" s="30"/>
      <c r="G86" s="6" t="str">
        <f aca="false">IF(F86&lt;&gt;0,F86*G$2/(100+G$2)," ")</f>
        <v> </v>
      </c>
      <c r="H86" s="6" t="str">
        <f aca="false">IF((F86&lt;&gt;0),F86-G86," ")</f>
        <v> </v>
      </c>
      <c r="I86" s="5"/>
      <c r="L86" s="7" t="str">
        <f aca="false">IF(F86&lt;&gt;0,F86-K86," ")</f>
        <v> </v>
      </c>
      <c r="M86" s="8" t="str">
        <f aca="false">IF((F86-K86)&lt;&gt;0,M$1-A86," ")</f>
        <v> </v>
      </c>
      <c r="N86" s="5"/>
      <c r="O86" s="17" t="str">
        <f aca="false">IF((E86="s"),H86," ")</f>
        <v> </v>
      </c>
      <c r="P86" s="17" t="str">
        <f aca="false">IF((E86="c"),H86," ")</f>
        <v> </v>
      </c>
      <c r="Q86" s="17" t="str">
        <f aca="false">IF((E86="o"),H86," ")</f>
        <v> </v>
      </c>
      <c r="R86" s="17" t="str">
        <f aca="false">IF((E86="d"),H86," ")</f>
        <v> </v>
      </c>
      <c r="S86" s="17" t="str">
        <f aca="false">IF((E86="w"),H86," ")</f>
        <v> </v>
      </c>
      <c r="T86" s="17" t="str">
        <f aca="false">IF((E86="r"),H86," ")</f>
        <v> </v>
      </c>
      <c r="U86" s="17" t="str">
        <f aca="false">IF((E86="p"),H86," ")</f>
        <v> </v>
      </c>
      <c r="V86" s="17" t="str">
        <f aca="false">IF((E86="t"),H86," ")</f>
        <v> </v>
      </c>
      <c r="W86" s="17" t="str">
        <f aca="false">IF((E86="q"),H86," ")</f>
        <v> </v>
      </c>
      <c r="X86" s="17" t="str">
        <f aca="false">IF((E86="m"),H86," ")</f>
        <v> </v>
      </c>
      <c r="Y86" s="17" t="str">
        <f aca="false">IF((E86="u"),H86," ")</f>
        <v> </v>
      </c>
      <c r="Z86" s="17" t="str">
        <f aca="false">IF((E86="a"),H86," ")</f>
        <v> </v>
      </c>
      <c r="AA86" s="17" t="str">
        <f aca="false">IF((E86="g"),H86," ")</f>
        <v> </v>
      </c>
      <c r="AB86" s="17" t="str">
        <f aca="false">IF((E86="h"),H86," ")</f>
        <v> </v>
      </c>
      <c r="AC86" s="30" t="str">
        <f aca="false">IF((E86="v"),H86," ")</f>
        <v> </v>
      </c>
      <c r="AD86" s="30" t="str">
        <f aca="false">IF((E86="n"),H86," ")</f>
        <v> </v>
      </c>
      <c r="AE86" s="17" t="str">
        <f aca="false">IF((E86="f"),H86," ")</f>
        <v> </v>
      </c>
      <c r="AF86" s="17" t="str">
        <f aca="false">IF((E86="l"),H86," ")</f>
        <v> </v>
      </c>
      <c r="AG86" s="17" t="str">
        <f aca="false">IF((E86="y"),H86," ")</f>
        <v> </v>
      </c>
      <c r="AH86" s="17" t="str">
        <f aca="false">IF((E86="z"),H86," ")</f>
        <v> </v>
      </c>
      <c r="AI86" s="17" t="str">
        <f aca="false">IF((E86="fa"),H86," ")</f>
        <v> </v>
      </c>
      <c r="AJ86" s="17" t="str">
        <f aca="false">IF((E86="e"),H86," ")</f>
        <v> </v>
      </c>
    </row>
    <row r="87" customFormat="false" ht="12" hidden="false" customHeight="false" outlineLevel="0" collapsed="false">
      <c r="A87" s="28"/>
      <c r="E87" s="2" t="str">
        <f aca="false">IF((F87&lt;&gt;0),"Enter Letter"," ")</f>
        <v> </v>
      </c>
      <c r="F87" s="30"/>
      <c r="G87" s="6" t="str">
        <f aca="false">IF(F87&lt;&gt;0,F87*G$2/(100+G$2)," ")</f>
        <v> </v>
      </c>
      <c r="H87" s="6" t="str">
        <f aca="false">IF((F87&lt;&gt;0),F87-G87," ")</f>
        <v> </v>
      </c>
      <c r="I87" s="5"/>
      <c r="L87" s="7" t="str">
        <f aca="false">IF(F87&lt;&gt;0,F87-K87," ")</f>
        <v> </v>
      </c>
      <c r="M87" s="8" t="str">
        <f aca="false">IF((F87-K87)&lt;&gt;0,M$1-A87," ")</f>
        <v> </v>
      </c>
      <c r="N87" s="5"/>
      <c r="O87" s="17" t="str">
        <f aca="false">IF((E87="s"),H87," ")</f>
        <v> </v>
      </c>
      <c r="P87" s="17" t="str">
        <f aca="false">IF((E87="c"),H87," ")</f>
        <v> </v>
      </c>
      <c r="Q87" s="17" t="str">
        <f aca="false">IF((E87="o"),H87," ")</f>
        <v> </v>
      </c>
      <c r="R87" s="17" t="str">
        <f aca="false">IF((E87="d"),H87," ")</f>
        <v> </v>
      </c>
      <c r="S87" s="17" t="str">
        <f aca="false">IF((E87="w"),H87," ")</f>
        <v> </v>
      </c>
      <c r="T87" s="17" t="str">
        <f aca="false">IF((E87="r"),H87," ")</f>
        <v> </v>
      </c>
      <c r="U87" s="17" t="str">
        <f aca="false">IF((E87="p"),H87," ")</f>
        <v> </v>
      </c>
      <c r="V87" s="17" t="str">
        <f aca="false">IF((E87="t"),H87," ")</f>
        <v> </v>
      </c>
      <c r="W87" s="17" t="str">
        <f aca="false">IF((E87="q"),H87," ")</f>
        <v> </v>
      </c>
      <c r="X87" s="17" t="str">
        <f aca="false">IF((E87="m"),H87," ")</f>
        <v> </v>
      </c>
      <c r="Y87" s="17" t="str">
        <f aca="false">IF((E87="u"),H87," ")</f>
        <v> </v>
      </c>
      <c r="Z87" s="17" t="str">
        <f aca="false">IF((E87="a"),H87," ")</f>
        <v> </v>
      </c>
      <c r="AA87" s="17" t="str">
        <f aca="false">IF((E87="g"),H87," ")</f>
        <v> </v>
      </c>
      <c r="AB87" s="17" t="str">
        <f aca="false">IF((E87="h"),H87," ")</f>
        <v> </v>
      </c>
      <c r="AC87" s="30" t="str">
        <f aca="false">IF((E87="v"),H87," ")</f>
        <v> </v>
      </c>
      <c r="AD87" s="30" t="str">
        <f aca="false">IF((E87="n"),H87," ")</f>
        <v> </v>
      </c>
      <c r="AE87" s="17" t="str">
        <f aca="false">IF((E87="f"),H87," ")</f>
        <v> </v>
      </c>
      <c r="AF87" s="17" t="str">
        <f aca="false">IF((E87="l"),H87," ")</f>
        <v> </v>
      </c>
      <c r="AG87" s="17" t="str">
        <f aca="false">IF((E87="y"),H87," ")</f>
        <v> </v>
      </c>
      <c r="AH87" s="17" t="str">
        <f aca="false">IF((E87="z"),H87," ")</f>
        <v> </v>
      </c>
      <c r="AI87" s="17" t="str">
        <f aca="false">IF((E87="fa"),H87," ")</f>
        <v> </v>
      </c>
      <c r="AJ87" s="17" t="str">
        <f aca="false">IF((E87="e"),H87," ")</f>
        <v> </v>
      </c>
    </row>
    <row r="88" customFormat="false" ht="12" hidden="false" customHeight="false" outlineLevel="0" collapsed="false">
      <c r="A88" s="28"/>
      <c r="E88" s="2" t="str">
        <f aca="false">IF((F88&lt;&gt;0),"Enter Letter"," ")</f>
        <v> </v>
      </c>
      <c r="F88" s="30"/>
      <c r="G88" s="6" t="str">
        <f aca="false">IF(F88&lt;&gt;0,F88*G$2/(100+G$2)," ")</f>
        <v> </v>
      </c>
      <c r="H88" s="6" t="str">
        <f aca="false">IF((F88&lt;&gt;0),F88-G88," ")</f>
        <v> </v>
      </c>
      <c r="I88" s="5"/>
      <c r="L88" s="7" t="str">
        <f aca="false">IF(F88&lt;&gt;0,F88-K88," ")</f>
        <v> </v>
      </c>
      <c r="M88" s="8" t="str">
        <f aca="false">IF((F88-K88)&lt;&gt;0,M$1-A88," ")</f>
        <v> </v>
      </c>
      <c r="N88" s="5"/>
      <c r="O88" s="17" t="str">
        <f aca="false">IF((E88="s"),H88," ")</f>
        <v> </v>
      </c>
      <c r="P88" s="17" t="str">
        <f aca="false">IF((E88="c"),H88," ")</f>
        <v> </v>
      </c>
      <c r="Q88" s="17" t="str">
        <f aca="false">IF((E88="o"),H88," ")</f>
        <v> </v>
      </c>
      <c r="R88" s="17" t="str">
        <f aca="false">IF((E88="d"),H88," ")</f>
        <v> </v>
      </c>
      <c r="S88" s="17" t="str">
        <f aca="false">IF((E88="w"),H88," ")</f>
        <v> </v>
      </c>
      <c r="T88" s="17" t="str">
        <f aca="false">IF((E88="r"),H88," ")</f>
        <v> </v>
      </c>
      <c r="U88" s="17" t="str">
        <f aca="false">IF((E88="p"),H88," ")</f>
        <v> </v>
      </c>
      <c r="V88" s="17" t="str">
        <f aca="false">IF((E88="t"),H88," ")</f>
        <v> </v>
      </c>
      <c r="W88" s="17" t="str">
        <f aca="false">IF((E88="q"),H88," ")</f>
        <v> </v>
      </c>
      <c r="X88" s="17" t="str">
        <f aca="false">IF((E88="m"),H88," ")</f>
        <v> </v>
      </c>
      <c r="Y88" s="17" t="str">
        <f aca="false">IF((E88="u"),H88," ")</f>
        <v> </v>
      </c>
      <c r="Z88" s="17" t="str">
        <f aca="false">IF((E88="a"),H88," ")</f>
        <v> </v>
      </c>
      <c r="AA88" s="17" t="str">
        <f aca="false">IF((E88="g"),H88," ")</f>
        <v> </v>
      </c>
      <c r="AB88" s="17" t="str">
        <f aca="false">IF((E88="h"),H88," ")</f>
        <v> </v>
      </c>
      <c r="AC88" s="30" t="str">
        <f aca="false">IF((E88="v"),H88," ")</f>
        <v> </v>
      </c>
      <c r="AD88" s="30" t="str">
        <f aca="false">IF((E88="n"),H88," ")</f>
        <v> </v>
      </c>
      <c r="AE88" s="17" t="str">
        <f aca="false">IF((E88="f"),H88," ")</f>
        <v> </v>
      </c>
      <c r="AF88" s="17" t="str">
        <f aca="false">IF((E88="l"),H88," ")</f>
        <v> </v>
      </c>
      <c r="AG88" s="17" t="str">
        <f aca="false">IF((E88="y"),H88," ")</f>
        <v> </v>
      </c>
      <c r="AH88" s="17" t="str">
        <f aca="false">IF((E88="z"),H88," ")</f>
        <v> </v>
      </c>
      <c r="AI88" s="17" t="str">
        <f aca="false">IF((E88="fa"),H88," ")</f>
        <v> </v>
      </c>
      <c r="AJ88" s="17" t="str">
        <f aca="false">IF((E88="e"),H88," ")</f>
        <v> </v>
      </c>
    </row>
    <row r="89" customFormat="false" ht="12" hidden="false" customHeight="false" outlineLevel="0" collapsed="false">
      <c r="A89" s="28"/>
      <c r="E89" s="2" t="str">
        <f aca="false">IF((F89&lt;&gt;0),"Enter Letter"," ")</f>
        <v> </v>
      </c>
      <c r="F89" s="30"/>
      <c r="G89" s="6" t="str">
        <f aca="false">IF(F89&lt;&gt;0,F89*G$2/(100+G$2)," ")</f>
        <v> </v>
      </c>
      <c r="H89" s="6" t="str">
        <f aca="false">IF((F89&lt;&gt;0),F89-G89," ")</f>
        <v> </v>
      </c>
      <c r="I89" s="5"/>
      <c r="L89" s="7" t="str">
        <f aca="false">IF(F89&lt;&gt;0,F89-K89," ")</f>
        <v> </v>
      </c>
      <c r="M89" s="8" t="str">
        <f aca="false">IF((F89-K89)&lt;&gt;0,M$1-A89," ")</f>
        <v> </v>
      </c>
      <c r="N89" s="5"/>
      <c r="O89" s="17" t="str">
        <f aca="false">IF((E89="s"),H89," ")</f>
        <v> </v>
      </c>
      <c r="P89" s="17" t="str">
        <f aca="false">IF((E89="c"),H89," ")</f>
        <v> </v>
      </c>
      <c r="Q89" s="17" t="str">
        <f aca="false">IF((E89="o"),H89," ")</f>
        <v> </v>
      </c>
      <c r="R89" s="17" t="str">
        <f aca="false">IF((E89="d"),H89," ")</f>
        <v> </v>
      </c>
      <c r="S89" s="17" t="str">
        <f aca="false">IF((E89="w"),H89," ")</f>
        <v> </v>
      </c>
      <c r="T89" s="17" t="str">
        <f aca="false">IF((E89="r"),H89," ")</f>
        <v> </v>
      </c>
      <c r="U89" s="17" t="str">
        <f aca="false">IF((E89="p"),H89," ")</f>
        <v> </v>
      </c>
      <c r="V89" s="17" t="str">
        <f aca="false">IF((E89="t"),H89," ")</f>
        <v> </v>
      </c>
      <c r="W89" s="17" t="str">
        <f aca="false">IF((E89="q"),H89," ")</f>
        <v> </v>
      </c>
      <c r="X89" s="17" t="str">
        <f aca="false">IF((E89="m"),H89," ")</f>
        <v> </v>
      </c>
      <c r="Y89" s="17" t="str">
        <f aca="false">IF((E89="u"),H89," ")</f>
        <v> </v>
      </c>
      <c r="Z89" s="17" t="str">
        <f aca="false">IF((E89="a"),H89," ")</f>
        <v> </v>
      </c>
      <c r="AA89" s="17" t="str">
        <f aca="false">IF((E89="g"),H89," ")</f>
        <v> </v>
      </c>
      <c r="AB89" s="17" t="str">
        <f aca="false">IF((E89="h"),H89," ")</f>
        <v> </v>
      </c>
      <c r="AC89" s="30" t="str">
        <f aca="false">IF((E89="v"),H89," ")</f>
        <v> </v>
      </c>
      <c r="AD89" s="30" t="str">
        <f aca="false">IF((E89="n"),H89," ")</f>
        <v> </v>
      </c>
      <c r="AE89" s="17" t="str">
        <f aca="false">IF((E89="f"),H89," ")</f>
        <v> </v>
      </c>
      <c r="AF89" s="17" t="str">
        <f aca="false">IF((E89="l"),H89," ")</f>
        <v> </v>
      </c>
      <c r="AG89" s="17" t="str">
        <f aca="false">IF((E89="y"),H89," ")</f>
        <v> </v>
      </c>
      <c r="AH89" s="17" t="str">
        <f aca="false">IF((E89="z"),H89," ")</f>
        <v> </v>
      </c>
      <c r="AI89" s="17" t="str">
        <f aca="false">IF((E89="fa"),H89," ")</f>
        <v> </v>
      </c>
      <c r="AJ89" s="17" t="str">
        <f aca="false">IF((E89="e"),H89," ")</f>
        <v> </v>
      </c>
    </row>
    <row r="90" customFormat="false" ht="12" hidden="false" customHeight="false" outlineLevel="0" collapsed="false">
      <c r="A90" s="28"/>
      <c r="E90" s="2" t="str">
        <f aca="false">IF((F90&lt;&gt;0),"Enter Letter"," ")</f>
        <v> </v>
      </c>
      <c r="F90" s="30"/>
      <c r="G90" s="6" t="str">
        <f aca="false">IF(F90&lt;&gt;0,F90*G$2/(100+G$2)," ")</f>
        <v> </v>
      </c>
      <c r="H90" s="6" t="str">
        <f aca="false">IF((F90&lt;&gt;0),F90-G90," ")</f>
        <v> </v>
      </c>
      <c r="I90" s="5"/>
      <c r="L90" s="7" t="str">
        <f aca="false">IF(F90&lt;&gt;0,F90-K90," ")</f>
        <v> </v>
      </c>
      <c r="M90" s="8" t="str">
        <f aca="false">IF((F90-K90)&lt;&gt;0,M$1-A90," ")</f>
        <v> </v>
      </c>
      <c r="N90" s="5"/>
      <c r="O90" s="17" t="str">
        <f aca="false">IF((E90="s"),H90," ")</f>
        <v> </v>
      </c>
      <c r="P90" s="17" t="str">
        <f aca="false">IF((E90="c"),H90," ")</f>
        <v> </v>
      </c>
      <c r="Q90" s="17" t="str">
        <f aca="false">IF((E90="o"),H90," ")</f>
        <v> </v>
      </c>
      <c r="R90" s="17" t="str">
        <f aca="false">IF((E90="d"),H90," ")</f>
        <v> </v>
      </c>
      <c r="S90" s="17" t="str">
        <f aca="false">IF((E90="w"),H90," ")</f>
        <v> </v>
      </c>
      <c r="T90" s="17" t="str">
        <f aca="false">IF((E90="r"),H90," ")</f>
        <v> </v>
      </c>
      <c r="U90" s="17" t="str">
        <f aca="false">IF((E90="p"),H90," ")</f>
        <v> </v>
      </c>
      <c r="V90" s="17" t="str">
        <f aca="false">IF((E90="t"),H90," ")</f>
        <v> </v>
      </c>
      <c r="W90" s="17" t="str">
        <f aca="false">IF((E90="q"),H90," ")</f>
        <v> </v>
      </c>
      <c r="X90" s="17" t="str">
        <f aca="false">IF((E90="m"),H90," ")</f>
        <v> </v>
      </c>
      <c r="Y90" s="17" t="str">
        <f aca="false">IF((E90="u"),H90," ")</f>
        <v> </v>
      </c>
      <c r="Z90" s="17" t="str">
        <f aca="false">IF((E90="a"),H90," ")</f>
        <v> </v>
      </c>
      <c r="AA90" s="17" t="str">
        <f aca="false">IF((E90="g"),H90," ")</f>
        <v> </v>
      </c>
      <c r="AB90" s="17" t="str">
        <f aca="false">IF((E90="h"),H90," ")</f>
        <v> </v>
      </c>
      <c r="AC90" s="30" t="str">
        <f aca="false">IF((E90="v"),H90," ")</f>
        <v> </v>
      </c>
      <c r="AD90" s="30" t="str">
        <f aca="false">IF((E90="n"),H90," ")</f>
        <v> </v>
      </c>
      <c r="AE90" s="17" t="str">
        <f aca="false">IF((E90="f"),H90," ")</f>
        <v> </v>
      </c>
      <c r="AF90" s="17" t="str">
        <f aca="false">IF((E90="l"),H90," ")</f>
        <v> </v>
      </c>
      <c r="AG90" s="17" t="str">
        <f aca="false">IF((E90="y"),H90," ")</f>
        <v> </v>
      </c>
      <c r="AH90" s="17" t="str">
        <f aca="false">IF((E90="z"),H90," ")</f>
        <v> </v>
      </c>
      <c r="AI90" s="17" t="str">
        <f aca="false">IF((E90="fa"),H90," ")</f>
        <v> </v>
      </c>
      <c r="AJ90" s="17" t="str">
        <f aca="false">IF((E90="e"),H90," ")</f>
        <v> </v>
      </c>
    </row>
    <row r="91" customFormat="false" ht="12" hidden="false" customHeight="false" outlineLevel="0" collapsed="false">
      <c r="A91" s="28"/>
      <c r="E91" s="2" t="str">
        <f aca="false">IF((F91&lt;&gt;0),"Enter Letter"," ")</f>
        <v> </v>
      </c>
      <c r="F91" s="30"/>
      <c r="G91" s="6" t="str">
        <f aca="false">IF(F91&lt;&gt;0,F91*G$2/(100+G$2)," ")</f>
        <v> </v>
      </c>
      <c r="H91" s="6" t="str">
        <f aca="false">IF((F91&lt;&gt;0),F91-G91," ")</f>
        <v> </v>
      </c>
      <c r="I91" s="5"/>
      <c r="L91" s="7" t="str">
        <f aca="false">IF(F91&lt;&gt;0,F91-K91," ")</f>
        <v> </v>
      </c>
      <c r="M91" s="8" t="str">
        <f aca="false">IF((F91-K91)&lt;&gt;0,M$1-A91," ")</f>
        <v> </v>
      </c>
      <c r="N91" s="5"/>
      <c r="O91" s="17" t="str">
        <f aca="false">IF((E91="s"),H91," ")</f>
        <v> </v>
      </c>
      <c r="P91" s="17" t="str">
        <f aca="false">IF((E91="c"),H91," ")</f>
        <v> </v>
      </c>
      <c r="Q91" s="17" t="str">
        <f aca="false">IF((E91="o"),H91," ")</f>
        <v> </v>
      </c>
      <c r="R91" s="17" t="str">
        <f aca="false">IF((E91="d"),H91," ")</f>
        <v> </v>
      </c>
      <c r="S91" s="17" t="str">
        <f aca="false">IF((E91="w"),H91," ")</f>
        <v> </v>
      </c>
      <c r="T91" s="17" t="str">
        <f aca="false">IF((E91="r"),H91," ")</f>
        <v> </v>
      </c>
      <c r="U91" s="17" t="str">
        <f aca="false">IF((E91="p"),H91," ")</f>
        <v> </v>
      </c>
      <c r="V91" s="17" t="str">
        <f aca="false">IF((E91="t"),H91," ")</f>
        <v> </v>
      </c>
      <c r="W91" s="17" t="str">
        <f aca="false">IF((E91="q"),H91," ")</f>
        <v> </v>
      </c>
      <c r="X91" s="17" t="str">
        <f aca="false">IF((E91="m"),H91," ")</f>
        <v> </v>
      </c>
      <c r="Y91" s="17" t="str">
        <f aca="false">IF((E91="u"),H91," ")</f>
        <v> </v>
      </c>
      <c r="Z91" s="17" t="str">
        <f aca="false">IF((E91="a"),H91," ")</f>
        <v> </v>
      </c>
      <c r="AA91" s="17" t="str">
        <f aca="false">IF((E91="g"),H91," ")</f>
        <v> </v>
      </c>
      <c r="AB91" s="17" t="str">
        <f aca="false">IF((E91="h"),H91," ")</f>
        <v> </v>
      </c>
      <c r="AC91" s="30" t="str">
        <f aca="false">IF((E91="v"),H91," ")</f>
        <v> </v>
      </c>
      <c r="AD91" s="30" t="str">
        <f aca="false">IF((E91="n"),H91," ")</f>
        <v> </v>
      </c>
      <c r="AE91" s="17" t="str">
        <f aca="false">IF((E91="f"),H91," ")</f>
        <v> </v>
      </c>
      <c r="AF91" s="17" t="str">
        <f aca="false">IF((E91="l"),H91," ")</f>
        <v> </v>
      </c>
      <c r="AG91" s="17" t="str">
        <f aca="false">IF((E91="y"),H91," ")</f>
        <v> </v>
      </c>
      <c r="AH91" s="17" t="str">
        <f aca="false">IF((E91="z"),H91," ")</f>
        <v> </v>
      </c>
      <c r="AI91" s="17" t="str">
        <f aca="false">IF((E91="fa"),H91," ")</f>
        <v> </v>
      </c>
      <c r="AJ91" s="17" t="str">
        <f aca="false">IF((E91="e"),H91," ")</f>
        <v> </v>
      </c>
    </row>
    <row r="92" customFormat="false" ht="12" hidden="false" customHeight="false" outlineLevel="0" collapsed="false">
      <c r="A92" s="28"/>
      <c r="E92" s="2" t="str">
        <f aca="false">IF((F92&lt;&gt;0),"Enter Letter"," ")</f>
        <v> </v>
      </c>
      <c r="F92" s="30"/>
      <c r="G92" s="6" t="str">
        <f aca="false">IF(F92&lt;&gt;0,F92*G$2/(100+G$2)," ")</f>
        <v> </v>
      </c>
      <c r="H92" s="6" t="str">
        <f aca="false">IF((F92&lt;&gt;0),F92-G92," ")</f>
        <v> </v>
      </c>
      <c r="I92" s="5"/>
      <c r="L92" s="7" t="str">
        <f aca="false">IF(F92&lt;&gt;0,F92-K92," ")</f>
        <v> </v>
      </c>
      <c r="M92" s="8" t="str">
        <f aca="false">IF((F92-K92)&lt;&gt;0,M$1-A92," ")</f>
        <v> </v>
      </c>
      <c r="N92" s="5"/>
      <c r="O92" s="17" t="str">
        <f aca="false">IF((E92="s"),H92," ")</f>
        <v> </v>
      </c>
      <c r="P92" s="17" t="str">
        <f aca="false">IF((E92="c"),H92," ")</f>
        <v> </v>
      </c>
      <c r="Q92" s="17" t="str">
        <f aca="false">IF((E92="o"),H92," ")</f>
        <v> </v>
      </c>
      <c r="R92" s="17" t="str">
        <f aca="false">IF((E92="d"),H92," ")</f>
        <v> </v>
      </c>
      <c r="S92" s="17" t="str">
        <f aca="false">IF((E92="w"),H92," ")</f>
        <v> </v>
      </c>
      <c r="T92" s="17" t="str">
        <f aca="false">IF((E92="r"),H92," ")</f>
        <v> </v>
      </c>
      <c r="U92" s="17" t="str">
        <f aca="false">IF((E92="p"),H92," ")</f>
        <v> </v>
      </c>
      <c r="V92" s="17" t="str">
        <f aca="false">IF((E92="t"),H92," ")</f>
        <v> </v>
      </c>
      <c r="W92" s="17" t="str">
        <f aca="false">IF((E92="q"),H92," ")</f>
        <v> </v>
      </c>
      <c r="X92" s="17" t="str">
        <f aca="false">IF((E92="m"),H92," ")</f>
        <v> </v>
      </c>
      <c r="Y92" s="17" t="str">
        <f aca="false">IF((E92="u"),H92," ")</f>
        <v> </v>
      </c>
      <c r="Z92" s="17" t="str">
        <f aca="false">IF((E92="a"),H92," ")</f>
        <v> </v>
      </c>
      <c r="AA92" s="17" t="str">
        <f aca="false">IF((E92="g"),H92," ")</f>
        <v> </v>
      </c>
      <c r="AB92" s="17" t="str">
        <f aca="false">IF((E92="h"),H92," ")</f>
        <v> </v>
      </c>
      <c r="AC92" s="30" t="str">
        <f aca="false">IF((E92="v"),H92," ")</f>
        <v> </v>
      </c>
      <c r="AD92" s="30" t="str">
        <f aca="false">IF((E92="n"),H92," ")</f>
        <v> </v>
      </c>
      <c r="AE92" s="17" t="str">
        <f aca="false">IF((E92="f"),H92," ")</f>
        <v> </v>
      </c>
      <c r="AF92" s="17" t="str">
        <f aca="false">IF((E92="l"),H92," ")</f>
        <v> </v>
      </c>
      <c r="AG92" s="17" t="str">
        <f aca="false">IF((E92="y"),H92," ")</f>
        <v> </v>
      </c>
      <c r="AH92" s="17" t="str">
        <f aca="false">IF((E92="z"),H92," ")</f>
        <v> </v>
      </c>
      <c r="AI92" s="17" t="str">
        <f aca="false">IF((E92="fa"),H92," ")</f>
        <v> </v>
      </c>
      <c r="AJ92" s="17" t="str">
        <f aca="false">IF((E92="e"),H92," ")</f>
        <v> </v>
      </c>
    </row>
    <row r="93" customFormat="false" ht="12" hidden="false" customHeight="false" outlineLevel="0" collapsed="false">
      <c r="A93" s="28"/>
      <c r="E93" s="2" t="str">
        <f aca="false">IF((F93&lt;&gt;0),"Enter Letter"," ")</f>
        <v> </v>
      </c>
      <c r="F93" s="30"/>
      <c r="G93" s="6" t="str">
        <f aca="false">IF(F93&lt;&gt;0,F93*G$2/(100+G$2)," ")</f>
        <v> </v>
      </c>
      <c r="H93" s="6" t="str">
        <f aca="false">IF((F93&lt;&gt;0),F93-G93," ")</f>
        <v> </v>
      </c>
      <c r="I93" s="5"/>
      <c r="L93" s="7" t="str">
        <f aca="false">IF(F93&lt;&gt;0,F93-K93," ")</f>
        <v> </v>
      </c>
      <c r="M93" s="8" t="str">
        <f aca="false">IF((F93-K93)&lt;&gt;0,M$1-A93," ")</f>
        <v> </v>
      </c>
      <c r="N93" s="5"/>
      <c r="O93" s="17" t="str">
        <f aca="false">IF((E93="s"),H93," ")</f>
        <v> </v>
      </c>
      <c r="P93" s="17" t="str">
        <f aca="false">IF((E93="c"),H93," ")</f>
        <v> </v>
      </c>
      <c r="Q93" s="17" t="str">
        <f aca="false">IF((E93="o"),H93," ")</f>
        <v> </v>
      </c>
      <c r="R93" s="17" t="str">
        <f aca="false">IF((E93="d"),H93," ")</f>
        <v> </v>
      </c>
      <c r="S93" s="17" t="str">
        <f aca="false">IF((E93="w"),H93," ")</f>
        <v> </v>
      </c>
      <c r="T93" s="17" t="str">
        <f aca="false">IF((E93="r"),H93," ")</f>
        <v> </v>
      </c>
      <c r="U93" s="17" t="str">
        <f aca="false">IF((E93="p"),H93," ")</f>
        <v> </v>
      </c>
      <c r="V93" s="17" t="str">
        <f aca="false">IF((E93="t"),H93," ")</f>
        <v> </v>
      </c>
      <c r="W93" s="17" t="str">
        <f aca="false">IF((E93="q"),H93," ")</f>
        <v> </v>
      </c>
      <c r="X93" s="17" t="str">
        <f aca="false">IF((E93="m"),H93," ")</f>
        <v> </v>
      </c>
      <c r="Y93" s="17" t="str">
        <f aca="false">IF((E93="u"),H93," ")</f>
        <v> </v>
      </c>
      <c r="Z93" s="17" t="str">
        <f aca="false">IF((E93="a"),H93," ")</f>
        <v> </v>
      </c>
      <c r="AA93" s="17" t="str">
        <f aca="false">IF((E93="g"),H93," ")</f>
        <v> </v>
      </c>
      <c r="AB93" s="17" t="str">
        <f aca="false">IF((E93="h"),H93," ")</f>
        <v> </v>
      </c>
      <c r="AC93" s="30" t="str">
        <f aca="false">IF((E93="v"),H93," ")</f>
        <v> </v>
      </c>
      <c r="AD93" s="30" t="str">
        <f aca="false">IF((E93="n"),H93," ")</f>
        <v> </v>
      </c>
      <c r="AE93" s="17" t="str">
        <f aca="false">IF((E93="f"),H93," ")</f>
        <v> </v>
      </c>
      <c r="AF93" s="17" t="str">
        <f aca="false">IF((E93="l"),H93," ")</f>
        <v> </v>
      </c>
      <c r="AG93" s="17" t="str">
        <f aca="false">IF((E93="y"),H93," ")</f>
        <v> </v>
      </c>
      <c r="AH93" s="17" t="str">
        <f aca="false">IF((E93="z"),H93," ")</f>
        <v> </v>
      </c>
      <c r="AI93" s="17" t="str">
        <f aca="false">IF((E93="fa"),H93," ")</f>
        <v> </v>
      </c>
      <c r="AJ93" s="17" t="str">
        <f aca="false">IF((E93="e"),H93," ")</f>
        <v> </v>
      </c>
    </row>
    <row r="94" customFormat="false" ht="12" hidden="false" customHeight="false" outlineLevel="0" collapsed="false">
      <c r="A94" s="28"/>
      <c r="E94" s="2" t="str">
        <f aca="false">IF((F94&lt;&gt;0),"Enter Letter"," ")</f>
        <v> </v>
      </c>
      <c r="F94" s="30"/>
      <c r="G94" s="6" t="str">
        <f aca="false">IF(F94&lt;&gt;0,F94*G$2/(100+G$2)," ")</f>
        <v> </v>
      </c>
      <c r="H94" s="6" t="str">
        <f aca="false">IF((F94&lt;&gt;0),F94-G94," ")</f>
        <v> </v>
      </c>
      <c r="I94" s="5"/>
      <c r="L94" s="7" t="str">
        <f aca="false">IF(F94&lt;&gt;0,F94-K94," ")</f>
        <v> </v>
      </c>
      <c r="M94" s="8" t="str">
        <f aca="false">IF((F94-K94)&lt;&gt;0,M$1-A94," ")</f>
        <v> </v>
      </c>
      <c r="N94" s="5"/>
      <c r="O94" s="17" t="str">
        <f aca="false">IF((E94="s"),H94," ")</f>
        <v> </v>
      </c>
      <c r="P94" s="17" t="str">
        <f aca="false">IF((E94="c"),H94," ")</f>
        <v> </v>
      </c>
      <c r="Q94" s="17" t="str">
        <f aca="false">IF((E94="o"),H94," ")</f>
        <v> </v>
      </c>
      <c r="R94" s="17" t="str">
        <f aca="false">IF((E94="d"),H94," ")</f>
        <v> </v>
      </c>
      <c r="S94" s="17" t="str">
        <f aca="false">IF((E94="w"),H94," ")</f>
        <v> </v>
      </c>
      <c r="T94" s="17" t="str">
        <f aca="false">IF((E94="r"),H94," ")</f>
        <v> </v>
      </c>
      <c r="U94" s="17" t="str">
        <f aca="false">IF((E94="p"),H94," ")</f>
        <v> </v>
      </c>
      <c r="V94" s="17" t="str">
        <f aca="false">IF((E94="t"),H94," ")</f>
        <v> </v>
      </c>
      <c r="W94" s="17" t="str">
        <f aca="false">IF((E94="q"),H94," ")</f>
        <v> </v>
      </c>
      <c r="X94" s="17" t="str">
        <f aca="false">IF((E94="m"),H94," ")</f>
        <v> </v>
      </c>
      <c r="Y94" s="17" t="str">
        <f aca="false">IF((E94="u"),H94," ")</f>
        <v> </v>
      </c>
      <c r="Z94" s="17" t="str">
        <f aca="false">IF((E94="a"),H94," ")</f>
        <v> </v>
      </c>
      <c r="AA94" s="17" t="str">
        <f aca="false">IF((E94="g"),H94," ")</f>
        <v> </v>
      </c>
      <c r="AB94" s="17" t="str">
        <f aca="false">IF((E94="h"),H94," ")</f>
        <v> </v>
      </c>
      <c r="AC94" s="30" t="str">
        <f aca="false">IF((E94="v"),H94," ")</f>
        <v> </v>
      </c>
      <c r="AD94" s="30" t="str">
        <f aca="false">IF((E94="n"),H94," ")</f>
        <v> </v>
      </c>
      <c r="AE94" s="17" t="str">
        <f aca="false">IF((E94="f"),H94," ")</f>
        <v> </v>
      </c>
      <c r="AF94" s="17" t="str">
        <f aca="false">IF((E94="l"),H94," ")</f>
        <v> </v>
      </c>
      <c r="AG94" s="17" t="str">
        <f aca="false">IF((E94="y"),H94," ")</f>
        <v> </v>
      </c>
      <c r="AH94" s="17" t="str">
        <f aca="false">IF((E94="z"),H94," ")</f>
        <v> </v>
      </c>
      <c r="AI94" s="17" t="str">
        <f aca="false">IF((E94="fa"),H94," ")</f>
        <v> </v>
      </c>
      <c r="AJ94" s="17" t="str">
        <f aca="false">IF((E94="e"),H94," ")</f>
        <v> </v>
      </c>
    </row>
    <row r="95" customFormat="false" ht="12" hidden="false" customHeight="false" outlineLevel="0" collapsed="false">
      <c r="A95" s="28"/>
      <c r="E95" s="2" t="str">
        <f aca="false">IF((F95&lt;&gt;0),"Enter Letter"," ")</f>
        <v> </v>
      </c>
      <c r="F95" s="30"/>
      <c r="G95" s="6" t="str">
        <f aca="false">IF(F95&lt;&gt;0,F95*G$2/(100+G$2)," ")</f>
        <v> </v>
      </c>
      <c r="H95" s="6" t="str">
        <f aca="false">IF((F95&lt;&gt;0),F95-G95," ")</f>
        <v> </v>
      </c>
      <c r="I95" s="5"/>
      <c r="L95" s="7" t="str">
        <f aca="false">IF(F95&lt;&gt;0,F95-K95," ")</f>
        <v> </v>
      </c>
      <c r="M95" s="8" t="str">
        <f aca="false">IF((F95-K95)&lt;&gt;0,M$1-A95," ")</f>
        <v> </v>
      </c>
      <c r="N95" s="5"/>
      <c r="O95" s="17" t="str">
        <f aca="false">IF((E95="s"),H95," ")</f>
        <v> </v>
      </c>
      <c r="P95" s="17" t="str">
        <f aca="false">IF((E95="c"),H95," ")</f>
        <v> </v>
      </c>
      <c r="Q95" s="17" t="str">
        <f aca="false">IF((E95="o"),H95," ")</f>
        <v> </v>
      </c>
      <c r="R95" s="17" t="str">
        <f aca="false">IF((E95="d"),H95," ")</f>
        <v> </v>
      </c>
      <c r="S95" s="17" t="str">
        <f aca="false">IF((E95="w"),H95," ")</f>
        <v> </v>
      </c>
      <c r="T95" s="17" t="str">
        <f aca="false">IF((E95="r"),H95," ")</f>
        <v> </v>
      </c>
      <c r="U95" s="17" t="str">
        <f aca="false">IF((E95="p"),H95," ")</f>
        <v> </v>
      </c>
      <c r="V95" s="17" t="str">
        <f aca="false">IF((E95="t"),H95," ")</f>
        <v> </v>
      </c>
      <c r="W95" s="17" t="str">
        <f aca="false">IF((E95="q"),H95," ")</f>
        <v> </v>
      </c>
      <c r="X95" s="17" t="str">
        <f aca="false">IF((E95="m"),H95," ")</f>
        <v> </v>
      </c>
      <c r="Y95" s="17" t="str">
        <f aca="false">IF((E95="u"),H95," ")</f>
        <v> </v>
      </c>
      <c r="Z95" s="17" t="str">
        <f aca="false">IF((E95="a"),H95," ")</f>
        <v> </v>
      </c>
      <c r="AA95" s="17" t="str">
        <f aca="false">IF((E95="g"),H95," ")</f>
        <v> </v>
      </c>
      <c r="AB95" s="17" t="str">
        <f aca="false">IF((E95="h"),H95," ")</f>
        <v> </v>
      </c>
      <c r="AC95" s="30" t="str">
        <f aca="false">IF((E95="v"),H95," ")</f>
        <v> </v>
      </c>
      <c r="AD95" s="30" t="str">
        <f aca="false">IF((E95="n"),H95," ")</f>
        <v> </v>
      </c>
      <c r="AE95" s="17" t="str">
        <f aca="false">IF((E95="f"),H95," ")</f>
        <v> </v>
      </c>
      <c r="AF95" s="17" t="str">
        <f aca="false">IF((E95="l"),H95," ")</f>
        <v> </v>
      </c>
      <c r="AG95" s="17" t="str">
        <f aca="false">IF((E95="y"),H95," ")</f>
        <v> </v>
      </c>
      <c r="AH95" s="17" t="str">
        <f aca="false">IF((E95="z"),H95," ")</f>
        <v> </v>
      </c>
      <c r="AI95" s="17" t="str">
        <f aca="false">IF((E95="fa"),H95," ")</f>
        <v> </v>
      </c>
      <c r="AJ95" s="17" t="str">
        <f aca="false">IF((E95="e"),H95," ")</f>
        <v> </v>
      </c>
    </row>
    <row r="96" customFormat="false" ht="12" hidden="false" customHeight="false" outlineLevel="0" collapsed="false">
      <c r="A96" s="28"/>
      <c r="E96" s="2" t="str">
        <f aca="false">IF((F96&lt;&gt;0),"Enter Letter"," ")</f>
        <v> </v>
      </c>
      <c r="F96" s="30"/>
      <c r="G96" s="6" t="str">
        <f aca="false">IF(F96&lt;&gt;0,F96*G$2/(100+G$2)," ")</f>
        <v> </v>
      </c>
      <c r="H96" s="6" t="str">
        <f aca="false">IF((F96&lt;&gt;0),F96-G96," ")</f>
        <v> </v>
      </c>
      <c r="I96" s="5"/>
      <c r="L96" s="7" t="str">
        <f aca="false">IF(F96&lt;&gt;0,F96-K96," ")</f>
        <v> </v>
      </c>
      <c r="M96" s="8" t="str">
        <f aca="false">IF((F96-K96)&lt;&gt;0,M$1-A96," ")</f>
        <v> </v>
      </c>
      <c r="N96" s="5"/>
      <c r="O96" s="17" t="str">
        <f aca="false">IF((E96="s"),H96," ")</f>
        <v> </v>
      </c>
      <c r="P96" s="17" t="str">
        <f aca="false">IF((E96="c"),H96," ")</f>
        <v> </v>
      </c>
      <c r="Q96" s="17" t="str">
        <f aca="false">IF((E96="o"),H96," ")</f>
        <v> </v>
      </c>
      <c r="R96" s="17" t="str">
        <f aca="false">IF((E96="d"),H96," ")</f>
        <v> </v>
      </c>
      <c r="S96" s="17" t="str">
        <f aca="false">IF((E96="w"),H96," ")</f>
        <v> </v>
      </c>
      <c r="T96" s="17" t="str">
        <f aca="false">IF((E96="r"),H96," ")</f>
        <v> </v>
      </c>
      <c r="U96" s="17" t="str">
        <f aca="false">IF((E96="p"),H96," ")</f>
        <v> </v>
      </c>
      <c r="V96" s="17" t="str">
        <f aca="false">IF((E96="t"),H96," ")</f>
        <v> </v>
      </c>
      <c r="W96" s="17" t="str">
        <f aca="false">IF((E96="q"),H96," ")</f>
        <v> </v>
      </c>
      <c r="X96" s="17" t="str">
        <f aca="false">IF((E96="m"),H96," ")</f>
        <v> </v>
      </c>
      <c r="Y96" s="17" t="str">
        <f aca="false">IF((E96="u"),H96," ")</f>
        <v> </v>
      </c>
      <c r="Z96" s="17" t="str">
        <f aca="false">IF((E96="a"),H96," ")</f>
        <v> </v>
      </c>
      <c r="AA96" s="17" t="str">
        <f aca="false">IF((E96="g"),H96," ")</f>
        <v> </v>
      </c>
      <c r="AB96" s="17" t="str">
        <f aca="false">IF((E96="h"),H96," ")</f>
        <v> </v>
      </c>
      <c r="AC96" s="30" t="str">
        <f aca="false">IF((E96="v"),H96," ")</f>
        <v> </v>
      </c>
      <c r="AD96" s="30" t="str">
        <f aca="false">IF((E96="n"),H96," ")</f>
        <v> </v>
      </c>
      <c r="AE96" s="17" t="str">
        <f aca="false">IF((E96="f"),H96," ")</f>
        <v> </v>
      </c>
      <c r="AF96" s="17" t="str">
        <f aca="false">IF((E96="l"),H96," ")</f>
        <v> </v>
      </c>
      <c r="AG96" s="17" t="str">
        <f aca="false">IF((E96="y"),H96," ")</f>
        <v> </v>
      </c>
      <c r="AH96" s="17" t="str">
        <f aca="false">IF((E96="z"),H96," ")</f>
        <v> </v>
      </c>
      <c r="AI96" s="17" t="str">
        <f aca="false">IF((E96="fa"),H96," ")</f>
        <v> </v>
      </c>
      <c r="AJ96" s="17" t="str">
        <f aca="false">IF((E96="e"),H96," ")</f>
        <v> </v>
      </c>
    </row>
    <row r="97" customFormat="false" ht="12" hidden="false" customHeight="false" outlineLevel="0" collapsed="false">
      <c r="A97" s="28"/>
      <c r="E97" s="2" t="str">
        <f aca="false">IF((F97&lt;&gt;0),"Enter Letter"," ")</f>
        <v> </v>
      </c>
      <c r="F97" s="30"/>
      <c r="G97" s="6" t="str">
        <f aca="false">IF(F97&lt;&gt;0,F97*G$2/(100+G$2)," ")</f>
        <v> </v>
      </c>
      <c r="H97" s="6" t="str">
        <f aca="false">IF((F97&lt;&gt;0),F97-G97," ")</f>
        <v> </v>
      </c>
      <c r="I97" s="5"/>
      <c r="L97" s="7" t="str">
        <f aca="false">IF(F97&lt;&gt;0,F97-K97," ")</f>
        <v> </v>
      </c>
      <c r="M97" s="8" t="str">
        <f aca="false">IF((F97-K97)&lt;&gt;0,M$1-A97," ")</f>
        <v> </v>
      </c>
      <c r="N97" s="5"/>
      <c r="O97" s="17" t="str">
        <f aca="false">IF((E97="s"),H97," ")</f>
        <v> </v>
      </c>
      <c r="P97" s="17" t="str">
        <f aca="false">IF((E97="c"),H97," ")</f>
        <v> </v>
      </c>
      <c r="Q97" s="17" t="str">
        <f aca="false">IF((E97="o"),H97," ")</f>
        <v> </v>
      </c>
      <c r="R97" s="17" t="str">
        <f aca="false">IF((E97="d"),H97," ")</f>
        <v> </v>
      </c>
      <c r="S97" s="17" t="str">
        <f aca="false">IF((E97="w"),H97," ")</f>
        <v> </v>
      </c>
      <c r="T97" s="17" t="str">
        <f aca="false">IF((E97="r"),H97," ")</f>
        <v> </v>
      </c>
      <c r="U97" s="17" t="str">
        <f aca="false">IF((E97="p"),H97," ")</f>
        <v> </v>
      </c>
      <c r="V97" s="17" t="str">
        <f aca="false">IF((E97="t"),H97," ")</f>
        <v> </v>
      </c>
      <c r="W97" s="17" t="str">
        <f aca="false">IF((E97="q"),H97," ")</f>
        <v> </v>
      </c>
      <c r="X97" s="17" t="str">
        <f aca="false">IF((E97="m"),H97," ")</f>
        <v> </v>
      </c>
      <c r="Y97" s="17" t="str">
        <f aca="false">IF((E97="u"),H97," ")</f>
        <v> </v>
      </c>
      <c r="Z97" s="17" t="str">
        <f aca="false">IF((E97="a"),H97," ")</f>
        <v> </v>
      </c>
      <c r="AA97" s="17" t="str">
        <f aca="false">IF((E97="g"),H97," ")</f>
        <v> </v>
      </c>
      <c r="AB97" s="17" t="str">
        <f aca="false">IF((E97="h"),H97," ")</f>
        <v> </v>
      </c>
      <c r="AC97" s="30" t="str">
        <f aca="false">IF((E97="v"),H97," ")</f>
        <v> </v>
      </c>
      <c r="AD97" s="30" t="str">
        <f aca="false">IF((E97="n"),H97," ")</f>
        <v> </v>
      </c>
      <c r="AE97" s="17" t="str">
        <f aca="false">IF((E97="f"),H97," ")</f>
        <v> </v>
      </c>
      <c r="AF97" s="17" t="str">
        <f aca="false">IF((E97="l"),H97," ")</f>
        <v> </v>
      </c>
      <c r="AG97" s="17" t="str">
        <f aca="false">IF((E97="y"),H97," ")</f>
        <v> </v>
      </c>
      <c r="AH97" s="17" t="str">
        <f aca="false">IF((E97="z"),H97," ")</f>
        <v> </v>
      </c>
      <c r="AI97" s="17" t="str">
        <f aca="false">IF((E97="fa"),H97," ")</f>
        <v> </v>
      </c>
      <c r="AJ97" s="17" t="str">
        <f aca="false">IF((E97="e"),H97," ")</f>
        <v> </v>
      </c>
    </row>
    <row r="98" customFormat="false" ht="12" hidden="false" customHeight="false" outlineLevel="0" collapsed="false">
      <c r="A98" s="28"/>
      <c r="E98" s="2" t="str">
        <f aca="false">IF((F98&lt;&gt;0),"Enter Letter"," ")</f>
        <v> </v>
      </c>
      <c r="F98" s="30"/>
      <c r="G98" s="6" t="str">
        <f aca="false">IF(F98&lt;&gt;0,F98*G$2/(100+G$2)," ")</f>
        <v> </v>
      </c>
      <c r="H98" s="6" t="str">
        <f aca="false">IF((F98&lt;&gt;0),F98-G98," ")</f>
        <v> </v>
      </c>
      <c r="I98" s="5"/>
      <c r="L98" s="7" t="str">
        <f aca="false">IF(F98&lt;&gt;0,F98-K98," ")</f>
        <v> </v>
      </c>
      <c r="M98" s="8" t="str">
        <f aca="false">IF((F98-K98)&lt;&gt;0,M$1-A98," ")</f>
        <v> </v>
      </c>
      <c r="N98" s="5"/>
      <c r="O98" s="17" t="str">
        <f aca="false">IF((E98="s"),H98," ")</f>
        <v> </v>
      </c>
      <c r="P98" s="17" t="str">
        <f aca="false">IF((E98="c"),H98," ")</f>
        <v> </v>
      </c>
      <c r="Q98" s="17" t="str">
        <f aca="false">IF((E98="o"),H98," ")</f>
        <v> </v>
      </c>
      <c r="R98" s="17" t="str">
        <f aca="false">IF((E98="d"),H98," ")</f>
        <v> </v>
      </c>
      <c r="S98" s="17" t="str">
        <f aca="false">IF((E98="w"),H98," ")</f>
        <v> </v>
      </c>
      <c r="T98" s="17" t="str">
        <f aca="false">IF((E98="r"),H98," ")</f>
        <v> </v>
      </c>
      <c r="U98" s="17" t="str">
        <f aca="false">IF((E98="p"),H98," ")</f>
        <v> </v>
      </c>
      <c r="V98" s="17" t="str">
        <f aca="false">IF((E98="t"),H98," ")</f>
        <v> </v>
      </c>
      <c r="W98" s="17" t="str">
        <f aca="false">IF((E98="q"),H98," ")</f>
        <v> </v>
      </c>
      <c r="X98" s="17" t="str">
        <f aca="false">IF((E98="m"),H98," ")</f>
        <v> </v>
      </c>
      <c r="Y98" s="17" t="str">
        <f aca="false">IF((E98="u"),H98," ")</f>
        <v> </v>
      </c>
      <c r="Z98" s="17" t="str">
        <f aca="false">IF((E98="a"),H98," ")</f>
        <v> </v>
      </c>
      <c r="AA98" s="17" t="str">
        <f aca="false">IF((E98="g"),H98," ")</f>
        <v> </v>
      </c>
      <c r="AB98" s="17" t="str">
        <f aca="false">IF((E98="h"),H98," ")</f>
        <v> </v>
      </c>
      <c r="AC98" s="30" t="str">
        <f aca="false">IF((E98="v"),H98," ")</f>
        <v> </v>
      </c>
      <c r="AD98" s="30" t="str">
        <f aca="false">IF((E98="n"),H98," ")</f>
        <v> </v>
      </c>
      <c r="AE98" s="17" t="str">
        <f aca="false">IF((E98="f"),H98," ")</f>
        <v> </v>
      </c>
      <c r="AF98" s="17" t="str">
        <f aca="false">IF((E98="l"),H98," ")</f>
        <v> </v>
      </c>
      <c r="AG98" s="17" t="str">
        <f aca="false">IF((E98="y"),H98," ")</f>
        <v> </v>
      </c>
      <c r="AH98" s="17" t="str">
        <f aca="false">IF((E98="z"),H98," ")</f>
        <v> </v>
      </c>
      <c r="AI98" s="17" t="str">
        <f aca="false">IF((E98="fa"),H98," ")</f>
        <v> </v>
      </c>
      <c r="AJ98" s="17" t="str">
        <f aca="false">IF((E98="e"),H98," ")</f>
        <v> </v>
      </c>
    </row>
    <row r="99" customFormat="false" ht="12" hidden="false" customHeight="false" outlineLevel="0" collapsed="false">
      <c r="A99" s="28"/>
      <c r="E99" s="2" t="str">
        <f aca="false">IF((F99&lt;&gt;0),"Enter Letter"," ")</f>
        <v> </v>
      </c>
      <c r="F99" s="30"/>
      <c r="G99" s="6" t="str">
        <f aca="false">IF(F99&lt;&gt;0,F99*G$2/(100+G$2)," ")</f>
        <v> </v>
      </c>
      <c r="H99" s="6" t="str">
        <f aca="false">IF((F99&lt;&gt;0),F99-G99," ")</f>
        <v> </v>
      </c>
      <c r="I99" s="5"/>
      <c r="L99" s="7" t="str">
        <f aca="false">IF(F99&lt;&gt;0,F99-K99," ")</f>
        <v> </v>
      </c>
      <c r="M99" s="8" t="str">
        <f aca="false">IF((F99-K99)&lt;&gt;0,M$1-A99," ")</f>
        <v> </v>
      </c>
      <c r="N99" s="5"/>
      <c r="O99" s="17" t="str">
        <f aca="false">IF((E99="s"),H99," ")</f>
        <v> </v>
      </c>
      <c r="P99" s="17" t="str">
        <f aca="false">IF((E99="c"),H99," ")</f>
        <v> </v>
      </c>
      <c r="Q99" s="17" t="str">
        <f aca="false">IF((E99="o"),H99," ")</f>
        <v> </v>
      </c>
      <c r="R99" s="17" t="str">
        <f aca="false">IF((E99="d"),H99," ")</f>
        <v> </v>
      </c>
      <c r="S99" s="17" t="str">
        <f aca="false">IF((E99="w"),H99," ")</f>
        <v> </v>
      </c>
      <c r="T99" s="17" t="str">
        <f aca="false">IF((E99="r"),H99," ")</f>
        <v> </v>
      </c>
      <c r="U99" s="17" t="str">
        <f aca="false">IF((E99="p"),H99," ")</f>
        <v> </v>
      </c>
      <c r="V99" s="17" t="str">
        <f aca="false">IF((E99="t"),H99," ")</f>
        <v> </v>
      </c>
      <c r="W99" s="17" t="str">
        <f aca="false">IF((E99="q"),H99," ")</f>
        <v> </v>
      </c>
      <c r="X99" s="17" t="str">
        <f aca="false">IF((E99="m"),H99," ")</f>
        <v> </v>
      </c>
      <c r="Y99" s="17" t="str">
        <f aca="false">IF((E99="u"),H99," ")</f>
        <v> </v>
      </c>
      <c r="Z99" s="17" t="str">
        <f aca="false">IF((E99="a"),H99," ")</f>
        <v> </v>
      </c>
      <c r="AA99" s="17" t="str">
        <f aca="false">IF((E99="g"),H99," ")</f>
        <v> </v>
      </c>
      <c r="AB99" s="17" t="str">
        <f aca="false">IF((E99="h"),H99," ")</f>
        <v> </v>
      </c>
      <c r="AC99" s="30" t="str">
        <f aca="false">IF((E99="v"),H99," ")</f>
        <v> </v>
      </c>
      <c r="AD99" s="30" t="str">
        <f aca="false">IF((E99="n"),H99," ")</f>
        <v> </v>
      </c>
      <c r="AE99" s="17" t="str">
        <f aca="false">IF((E99="f"),H99," ")</f>
        <v> </v>
      </c>
      <c r="AF99" s="17" t="str">
        <f aca="false">IF((E99="l"),H99," ")</f>
        <v> </v>
      </c>
      <c r="AG99" s="17" t="str">
        <f aca="false">IF((E99="y"),H99," ")</f>
        <v> </v>
      </c>
      <c r="AH99" s="17" t="str">
        <f aca="false">IF((E99="z"),H99," ")</f>
        <v> </v>
      </c>
      <c r="AI99" s="17" t="str">
        <f aca="false">IF((E99="fa"),H99," ")</f>
        <v> </v>
      </c>
      <c r="AJ99" s="17" t="str">
        <f aca="false">IF((E99="e"),H99," ")</f>
        <v> </v>
      </c>
    </row>
    <row r="100" customFormat="false" ht="12" hidden="false" customHeight="false" outlineLevel="0" collapsed="false">
      <c r="A100" s="28"/>
      <c r="E100" s="2" t="str">
        <f aca="false">IF((F100&lt;&gt;0),"Enter Letter"," ")</f>
        <v> </v>
      </c>
      <c r="F100" s="30"/>
      <c r="G100" s="6" t="str">
        <f aca="false">IF(F100&lt;&gt;0,F100*G$2/(100+G$2)," ")</f>
        <v> </v>
      </c>
      <c r="H100" s="6" t="str">
        <f aca="false">IF((F100&lt;&gt;0),F100-G100," ")</f>
        <v> </v>
      </c>
      <c r="I100" s="5"/>
      <c r="L100" s="7" t="str">
        <f aca="false">IF(F100&lt;&gt;0,F100-K100," ")</f>
        <v> </v>
      </c>
      <c r="M100" s="8" t="str">
        <f aca="false">IF((F100-K100)&lt;&gt;0,M$1-A100," ")</f>
        <v> </v>
      </c>
      <c r="N100" s="5"/>
      <c r="O100" s="17" t="str">
        <f aca="false">IF((E100="s"),H100," ")</f>
        <v> </v>
      </c>
      <c r="P100" s="17" t="str">
        <f aca="false">IF((E100="c"),H100," ")</f>
        <v> </v>
      </c>
      <c r="Q100" s="17" t="str">
        <f aca="false">IF((E100="o"),H100," ")</f>
        <v> </v>
      </c>
      <c r="R100" s="17" t="str">
        <f aca="false">IF((E100="d"),H100," ")</f>
        <v> </v>
      </c>
      <c r="S100" s="17" t="str">
        <f aca="false">IF((E100="w"),H100," ")</f>
        <v> </v>
      </c>
      <c r="T100" s="17" t="str">
        <f aca="false">IF((E100="r"),H100," ")</f>
        <v> </v>
      </c>
      <c r="U100" s="17" t="str">
        <f aca="false">IF((E100="p"),H100," ")</f>
        <v> </v>
      </c>
      <c r="V100" s="17" t="str">
        <f aca="false">IF((E100="t"),H100," ")</f>
        <v> </v>
      </c>
      <c r="W100" s="17" t="str">
        <f aca="false">IF((E100="q"),H100," ")</f>
        <v> </v>
      </c>
      <c r="X100" s="17" t="str">
        <f aca="false">IF((E100="m"),H100," ")</f>
        <v> </v>
      </c>
      <c r="Y100" s="17" t="str">
        <f aca="false">IF((E100="u"),H100," ")</f>
        <v> </v>
      </c>
      <c r="Z100" s="17" t="str">
        <f aca="false">IF((E100="a"),H100," ")</f>
        <v> </v>
      </c>
      <c r="AA100" s="17" t="str">
        <f aca="false">IF((E100="g"),H100," ")</f>
        <v> </v>
      </c>
      <c r="AB100" s="17" t="str">
        <f aca="false">IF((E100="h"),H100," ")</f>
        <v> </v>
      </c>
      <c r="AC100" s="30" t="str">
        <f aca="false">IF((E100="v"),H100," ")</f>
        <v> </v>
      </c>
      <c r="AD100" s="30" t="str">
        <f aca="false">IF((E100="n"),H100," ")</f>
        <v> </v>
      </c>
      <c r="AE100" s="17" t="str">
        <f aca="false">IF((E100="f"),H100," ")</f>
        <v> </v>
      </c>
      <c r="AF100" s="17" t="str">
        <f aca="false">IF((E100="l"),H100," ")</f>
        <v> </v>
      </c>
      <c r="AG100" s="17" t="str">
        <f aca="false">IF((E100="y"),H100," ")</f>
        <v> </v>
      </c>
      <c r="AH100" s="17" t="str">
        <f aca="false">IF((E100="z"),H100," ")</f>
        <v> </v>
      </c>
      <c r="AI100" s="17" t="str">
        <f aca="false">IF((E100="fa"),H100," ")</f>
        <v> </v>
      </c>
      <c r="AJ100" s="17" t="str">
        <f aca="false">IF((E100="e"),H100," ")</f>
        <v> </v>
      </c>
    </row>
    <row r="101" customFormat="false" ht="12" hidden="false" customHeight="false" outlineLevel="0" collapsed="false">
      <c r="A101" s="28"/>
      <c r="E101" s="2" t="str">
        <f aca="false">IF((F101&lt;&gt;0),"Enter Letter"," ")</f>
        <v> </v>
      </c>
      <c r="F101" s="30"/>
      <c r="G101" s="6" t="str">
        <f aca="false">IF(F101&lt;&gt;0,F101*G$2/(100+G$2)," ")</f>
        <v> </v>
      </c>
      <c r="H101" s="6" t="str">
        <f aca="false">IF((F101&lt;&gt;0),F101-G101," ")</f>
        <v> </v>
      </c>
      <c r="I101" s="5"/>
      <c r="L101" s="7" t="str">
        <f aca="false">IF(F101&lt;&gt;0,F101-K101," ")</f>
        <v> </v>
      </c>
      <c r="M101" s="8" t="str">
        <f aca="false">IF((F101-K101)&lt;&gt;0,M$1-A101," ")</f>
        <v> </v>
      </c>
      <c r="N101" s="5"/>
      <c r="O101" s="17" t="str">
        <f aca="false">IF((E101="s"),H101," ")</f>
        <v> </v>
      </c>
      <c r="P101" s="17" t="str">
        <f aca="false">IF((E101="c"),H101," ")</f>
        <v> </v>
      </c>
      <c r="Q101" s="17" t="str">
        <f aca="false">IF((E101="o"),H101," ")</f>
        <v> </v>
      </c>
      <c r="R101" s="17" t="str">
        <f aca="false">IF((E101="d"),H101," ")</f>
        <v> </v>
      </c>
      <c r="S101" s="17" t="str">
        <f aca="false">IF((E101="w"),H101," ")</f>
        <v> </v>
      </c>
      <c r="T101" s="17" t="str">
        <f aca="false">IF((E101="r"),H101," ")</f>
        <v> </v>
      </c>
      <c r="U101" s="17" t="str">
        <f aca="false">IF((E101="p"),H101," ")</f>
        <v> </v>
      </c>
      <c r="V101" s="17" t="str">
        <f aca="false">IF((E101="t"),H101," ")</f>
        <v> </v>
      </c>
      <c r="W101" s="17" t="str">
        <f aca="false">IF((E101="q"),H101," ")</f>
        <v> </v>
      </c>
      <c r="X101" s="17" t="str">
        <f aca="false">IF((E101="m"),H101," ")</f>
        <v> </v>
      </c>
      <c r="Y101" s="17" t="str">
        <f aca="false">IF((E101="u"),H101," ")</f>
        <v> </v>
      </c>
      <c r="Z101" s="17" t="str">
        <f aca="false">IF((E101="a"),H101," ")</f>
        <v> </v>
      </c>
      <c r="AA101" s="17" t="str">
        <f aca="false">IF((E101="g"),H101," ")</f>
        <v> </v>
      </c>
      <c r="AB101" s="17" t="str">
        <f aca="false">IF((E101="h"),H101," ")</f>
        <v> </v>
      </c>
      <c r="AC101" s="30" t="str">
        <f aca="false">IF((E101="v"),H101," ")</f>
        <v> </v>
      </c>
      <c r="AD101" s="30" t="str">
        <f aca="false">IF((E101="n"),H101," ")</f>
        <v> </v>
      </c>
      <c r="AE101" s="17" t="str">
        <f aca="false">IF((E101="f"),H101," ")</f>
        <v> </v>
      </c>
      <c r="AF101" s="17" t="str">
        <f aca="false">IF((E101="l"),H101," ")</f>
        <v> </v>
      </c>
      <c r="AG101" s="17" t="str">
        <f aca="false">IF((E101="y"),H101," ")</f>
        <v> </v>
      </c>
      <c r="AH101" s="17" t="str">
        <f aca="false">IF((E101="z"),H101," ")</f>
        <v> </v>
      </c>
      <c r="AI101" s="17" t="str">
        <f aca="false">IF((E101="fa"),H101," ")</f>
        <v> </v>
      </c>
      <c r="AJ101" s="17" t="str">
        <f aca="false">IF((E101="e"),H101," ")</f>
        <v> </v>
      </c>
    </row>
    <row r="102" customFormat="false" ht="12" hidden="false" customHeight="false" outlineLevel="0" collapsed="false">
      <c r="A102" s="28"/>
      <c r="E102" s="2" t="str">
        <f aca="false">IF((F102&lt;&gt;0),"Enter Letter"," ")</f>
        <v> </v>
      </c>
      <c r="F102" s="30"/>
      <c r="G102" s="6" t="str">
        <f aca="false">IF(F102&lt;&gt;0,F102*G$2/(100+G$2)," ")</f>
        <v> </v>
      </c>
      <c r="H102" s="6" t="str">
        <f aca="false">IF((F102&lt;&gt;0),F102-G102," ")</f>
        <v> </v>
      </c>
      <c r="I102" s="5"/>
      <c r="L102" s="7" t="str">
        <f aca="false">IF(F102&lt;&gt;0,F102-K102," ")</f>
        <v> </v>
      </c>
      <c r="M102" s="8" t="str">
        <f aca="false">IF((F102-K102)&lt;&gt;0,M$1-A102," ")</f>
        <v> </v>
      </c>
      <c r="N102" s="5"/>
      <c r="O102" s="17" t="str">
        <f aca="false">IF((E102="s"),H102," ")</f>
        <v> </v>
      </c>
      <c r="P102" s="17" t="str">
        <f aca="false">IF((E102="c"),H102," ")</f>
        <v> </v>
      </c>
      <c r="Q102" s="17" t="str">
        <f aca="false">IF((E102="o"),H102," ")</f>
        <v> </v>
      </c>
      <c r="R102" s="17" t="str">
        <f aca="false">IF((E102="d"),H102," ")</f>
        <v> </v>
      </c>
      <c r="S102" s="17" t="str">
        <f aca="false">IF((E102="w"),H102," ")</f>
        <v> </v>
      </c>
      <c r="T102" s="17" t="str">
        <f aca="false">IF((E102="r"),H102," ")</f>
        <v> </v>
      </c>
      <c r="U102" s="17" t="str">
        <f aca="false">IF((E102="p"),H102," ")</f>
        <v> </v>
      </c>
      <c r="V102" s="17" t="str">
        <f aca="false">IF((E102="t"),H102," ")</f>
        <v> </v>
      </c>
      <c r="W102" s="17" t="str">
        <f aca="false">IF((E102="q"),H102," ")</f>
        <v> </v>
      </c>
      <c r="X102" s="17" t="str">
        <f aca="false">IF((E102="m"),H102," ")</f>
        <v> </v>
      </c>
      <c r="Y102" s="17" t="str">
        <f aca="false">IF((E102="u"),H102," ")</f>
        <v> </v>
      </c>
      <c r="Z102" s="17" t="str">
        <f aca="false">IF((E102="a"),H102," ")</f>
        <v> </v>
      </c>
      <c r="AA102" s="17" t="str">
        <f aca="false">IF((E102="g"),H102," ")</f>
        <v> </v>
      </c>
      <c r="AB102" s="17" t="str">
        <f aca="false">IF((E102="h"),H102," ")</f>
        <v> </v>
      </c>
      <c r="AC102" s="30" t="str">
        <f aca="false">IF((E102="v"),H102," ")</f>
        <v> </v>
      </c>
      <c r="AD102" s="30" t="str">
        <f aca="false">IF((E102="n"),H102," ")</f>
        <v> </v>
      </c>
      <c r="AE102" s="17" t="str">
        <f aca="false">IF((E102="f"),H102," ")</f>
        <v> </v>
      </c>
      <c r="AF102" s="17" t="str">
        <f aca="false">IF((E102="l"),H102," ")</f>
        <v> </v>
      </c>
      <c r="AG102" s="17" t="str">
        <f aca="false">IF((E102="y"),H102," ")</f>
        <v> </v>
      </c>
      <c r="AH102" s="17" t="str">
        <f aca="false">IF((E102="z"),H102," ")</f>
        <v> </v>
      </c>
      <c r="AI102" s="17" t="str">
        <f aca="false">IF((E102="fa"),H102," ")</f>
        <v> </v>
      </c>
      <c r="AJ102" s="17" t="str">
        <f aca="false">IF((E102="e"),H102," ")</f>
        <v> </v>
      </c>
    </row>
    <row r="103" customFormat="false" ht="12" hidden="false" customHeight="false" outlineLevel="0" collapsed="false">
      <c r="A103" s="28"/>
      <c r="E103" s="2" t="str">
        <f aca="false">IF((F103&lt;&gt;0),"Enter Letter"," ")</f>
        <v> </v>
      </c>
      <c r="F103" s="30"/>
      <c r="G103" s="6" t="str">
        <f aca="false">IF(F103&lt;&gt;0,F103*G$2/(100+G$2)," ")</f>
        <v> </v>
      </c>
      <c r="H103" s="6" t="str">
        <f aca="false">IF((F103&lt;&gt;0),F103-G103," ")</f>
        <v> </v>
      </c>
      <c r="I103" s="5"/>
      <c r="L103" s="7" t="str">
        <f aca="false">IF(F103&lt;&gt;0,F103-K103," ")</f>
        <v> </v>
      </c>
      <c r="M103" s="8" t="str">
        <f aca="false">IF((F103-K103)&lt;&gt;0,M$1-A103," ")</f>
        <v> </v>
      </c>
      <c r="N103" s="5"/>
      <c r="O103" s="17" t="str">
        <f aca="false">IF((E103="s"),H103," ")</f>
        <v> </v>
      </c>
      <c r="P103" s="17" t="str">
        <f aca="false">IF((E103="c"),H103," ")</f>
        <v> </v>
      </c>
      <c r="Q103" s="17" t="str">
        <f aca="false">IF((E103="o"),H103," ")</f>
        <v> </v>
      </c>
      <c r="R103" s="17" t="str">
        <f aca="false">IF((E103="d"),H103," ")</f>
        <v> </v>
      </c>
      <c r="S103" s="17" t="str">
        <f aca="false">IF((E103="w"),H103," ")</f>
        <v> </v>
      </c>
      <c r="T103" s="17" t="str">
        <f aca="false">IF((E103="r"),H103," ")</f>
        <v> </v>
      </c>
      <c r="U103" s="17" t="str">
        <f aca="false">IF((E103="p"),H103," ")</f>
        <v> </v>
      </c>
      <c r="V103" s="17" t="str">
        <f aca="false">IF((E103="t"),H103," ")</f>
        <v> </v>
      </c>
      <c r="W103" s="17" t="str">
        <f aca="false">IF((E103="q"),H103," ")</f>
        <v> </v>
      </c>
      <c r="X103" s="17" t="str">
        <f aca="false">IF((E103="m"),H103," ")</f>
        <v> </v>
      </c>
      <c r="Y103" s="17" t="str">
        <f aca="false">IF((E103="u"),H103," ")</f>
        <v> </v>
      </c>
      <c r="Z103" s="17" t="str">
        <f aca="false">IF((E103="a"),H103," ")</f>
        <v> </v>
      </c>
      <c r="AA103" s="17" t="str">
        <f aca="false">IF((E103="g"),H103," ")</f>
        <v> </v>
      </c>
      <c r="AB103" s="17" t="str">
        <f aca="false">IF((E103="h"),H103," ")</f>
        <v> </v>
      </c>
      <c r="AC103" s="30" t="str">
        <f aca="false">IF((E103="v"),H103," ")</f>
        <v> </v>
      </c>
      <c r="AD103" s="30" t="str">
        <f aca="false">IF((E103="n"),H103," ")</f>
        <v> </v>
      </c>
      <c r="AE103" s="17" t="str">
        <f aca="false">IF((E103="f"),H103," ")</f>
        <v> </v>
      </c>
      <c r="AF103" s="17" t="str">
        <f aca="false">IF((E103="l"),H103," ")</f>
        <v> </v>
      </c>
      <c r="AG103" s="17" t="str">
        <f aca="false">IF((E103="y"),H103," ")</f>
        <v> </v>
      </c>
      <c r="AH103" s="17" t="str">
        <f aca="false">IF((E103="z"),H103," ")</f>
        <v> </v>
      </c>
      <c r="AI103" s="17" t="str">
        <f aca="false">IF((E103="fa"),H103," ")</f>
        <v> </v>
      </c>
      <c r="AJ103" s="17" t="str">
        <f aca="false">IF((E103="e"),H103," ")</f>
        <v> </v>
      </c>
    </row>
    <row r="104" customFormat="false" ht="12" hidden="false" customHeight="false" outlineLevel="0" collapsed="false">
      <c r="A104" s="28"/>
      <c r="E104" s="2" t="str">
        <f aca="false">IF((F104&lt;&gt;0),"Enter Letter"," ")</f>
        <v> </v>
      </c>
      <c r="F104" s="30"/>
      <c r="G104" s="6" t="str">
        <f aca="false">IF(F104&lt;&gt;0,F104*G$2/(100+G$2)," ")</f>
        <v> </v>
      </c>
      <c r="H104" s="6" t="str">
        <f aca="false">IF((F104&lt;&gt;0),F104-G104," ")</f>
        <v> </v>
      </c>
      <c r="I104" s="5"/>
      <c r="L104" s="7" t="str">
        <f aca="false">IF(F104&lt;&gt;0,F104-K104," ")</f>
        <v> </v>
      </c>
      <c r="M104" s="8" t="str">
        <f aca="false">IF((F104-K104)&lt;&gt;0,M$1-A104," ")</f>
        <v> </v>
      </c>
      <c r="N104" s="5"/>
      <c r="O104" s="17" t="str">
        <f aca="false">IF((E104="s"),H104," ")</f>
        <v> </v>
      </c>
      <c r="P104" s="17" t="str">
        <f aca="false">IF((E104="c"),H104," ")</f>
        <v> </v>
      </c>
      <c r="Q104" s="17" t="str">
        <f aca="false">IF((E104="o"),H104," ")</f>
        <v> </v>
      </c>
      <c r="R104" s="17" t="str">
        <f aca="false">IF((E104="d"),H104," ")</f>
        <v> </v>
      </c>
      <c r="S104" s="17" t="str">
        <f aca="false">IF((E104="w"),H104," ")</f>
        <v> </v>
      </c>
      <c r="T104" s="17" t="str">
        <f aca="false">IF((E104="r"),H104," ")</f>
        <v> </v>
      </c>
      <c r="U104" s="17" t="str">
        <f aca="false">IF((E104="p"),H104," ")</f>
        <v> </v>
      </c>
      <c r="V104" s="17" t="str">
        <f aca="false">IF((E104="t"),H104," ")</f>
        <v> </v>
      </c>
      <c r="W104" s="17" t="str">
        <f aca="false">IF((E104="q"),H104," ")</f>
        <v> </v>
      </c>
      <c r="X104" s="17" t="str">
        <f aca="false">IF((E104="m"),H104," ")</f>
        <v> </v>
      </c>
      <c r="Y104" s="17" t="str">
        <f aca="false">IF((E104="u"),H104," ")</f>
        <v> </v>
      </c>
      <c r="Z104" s="17" t="str">
        <f aca="false">IF((E104="a"),H104," ")</f>
        <v> </v>
      </c>
      <c r="AA104" s="17" t="str">
        <f aca="false">IF((E104="g"),H104," ")</f>
        <v> </v>
      </c>
      <c r="AB104" s="17" t="str">
        <f aca="false">IF((E104="h"),H104," ")</f>
        <v> </v>
      </c>
      <c r="AC104" s="30" t="str">
        <f aca="false">IF((E104="v"),H104," ")</f>
        <v> </v>
      </c>
      <c r="AD104" s="30" t="str">
        <f aca="false">IF((E104="n"),H104," ")</f>
        <v> </v>
      </c>
      <c r="AE104" s="17" t="str">
        <f aca="false">IF((E104="f"),H104," ")</f>
        <v> </v>
      </c>
      <c r="AF104" s="17" t="str">
        <f aca="false">IF((E104="l"),H104," ")</f>
        <v> </v>
      </c>
      <c r="AG104" s="17" t="str">
        <f aca="false">IF((E104="y"),H104," ")</f>
        <v> </v>
      </c>
      <c r="AH104" s="17" t="str">
        <f aca="false">IF((E104="z"),H104," ")</f>
        <v> </v>
      </c>
      <c r="AI104" s="17" t="str">
        <f aca="false">IF((E104="fa"),H104," ")</f>
        <v> </v>
      </c>
      <c r="AJ104" s="17" t="str">
        <f aca="false">IF((E104="e"),H104," ")</f>
        <v> </v>
      </c>
    </row>
    <row r="105" customFormat="false" ht="12" hidden="false" customHeight="false" outlineLevel="0" collapsed="false">
      <c r="A105" s="28"/>
      <c r="E105" s="2" t="str">
        <f aca="false">IF((F105&lt;&gt;0),"Enter Letter"," ")</f>
        <v> </v>
      </c>
      <c r="F105" s="30"/>
      <c r="G105" s="6" t="str">
        <f aca="false">IF(F105&lt;&gt;0,F105*G$2/(100+G$2)," ")</f>
        <v> </v>
      </c>
      <c r="H105" s="6" t="str">
        <f aca="false">IF((F105&lt;&gt;0),F105-G105," ")</f>
        <v> </v>
      </c>
      <c r="I105" s="5"/>
      <c r="L105" s="7" t="str">
        <f aca="false">IF(F105&lt;&gt;0,F105-K105," ")</f>
        <v> </v>
      </c>
      <c r="M105" s="8" t="str">
        <f aca="false">IF((F105-K105)&lt;&gt;0,M$1-A105," ")</f>
        <v> </v>
      </c>
      <c r="N105" s="5"/>
      <c r="O105" s="17" t="str">
        <f aca="false">IF((E105="s"),H105," ")</f>
        <v> </v>
      </c>
      <c r="P105" s="17" t="str">
        <f aca="false">IF((E105="c"),H105," ")</f>
        <v> </v>
      </c>
      <c r="Q105" s="17" t="str">
        <f aca="false">IF((E105="o"),H105," ")</f>
        <v> </v>
      </c>
      <c r="R105" s="17" t="str">
        <f aca="false">IF((E105="d"),H105," ")</f>
        <v> </v>
      </c>
      <c r="S105" s="17" t="str">
        <f aca="false">IF((E105="w"),H105," ")</f>
        <v> </v>
      </c>
      <c r="T105" s="17" t="str">
        <f aca="false">IF((E105="r"),H105," ")</f>
        <v> </v>
      </c>
      <c r="U105" s="17" t="str">
        <f aca="false">IF((E105="p"),H105," ")</f>
        <v> </v>
      </c>
      <c r="V105" s="17" t="str">
        <f aca="false">IF((E105="t"),H105," ")</f>
        <v> </v>
      </c>
      <c r="W105" s="17" t="str">
        <f aca="false">IF((E105="q"),H105," ")</f>
        <v> </v>
      </c>
      <c r="X105" s="17" t="str">
        <f aca="false">IF((E105="m"),H105," ")</f>
        <v> </v>
      </c>
      <c r="Y105" s="17" t="str">
        <f aca="false">IF((E105="u"),H105," ")</f>
        <v> </v>
      </c>
      <c r="Z105" s="17" t="str">
        <f aca="false">IF((E105="a"),H105," ")</f>
        <v> </v>
      </c>
      <c r="AA105" s="17" t="str">
        <f aca="false">IF((E105="g"),H105," ")</f>
        <v> </v>
      </c>
      <c r="AB105" s="17" t="str">
        <f aca="false">IF((E105="h"),H105," ")</f>
        <v> </v>
      </c>
      <c r="AC105" s="30" t="str">
        <f aca="false">IF((E105="v"),H105," ")</f>
        <v> </v>
      </c>
      <c r="AD105" s="30" t="str">
        <f aca="false">IF((E105="n"),H105," ")</f>
        <v> </v>
      </c>
      <c r="AE105" s="17" t="str">
        <f aca="false">IF((E105="f"),H105," ")</f>
        <v> </v>
      </c>
      <c r="AF105" s="17" t="str">
        <f aca="false">IF((E105="l"),H105," ")</f>
        <v> </v>
      </c>
      <c r="AG105" s="17" t="str">
        <f aca="false">IF((E105="y"),H105," ")</f>
        <v> </v>
      </c>
      <c r="AH105" s="17" t="str">
        <f aca="false">IF((E105="z"),H105," ")</f>
        <v> </v>
      </c>
      <c r="AI105" s="17" t="str">
        <f aca="false">IF((E105="fa"),H105," ")</f>
        <v> </v>
      </c>
      <c r="AJ105" s="17" t="str">
        <f aca="false">IF((E105="e"),H105," ")</f>
        <v> </v>
      </c>
    </row>
    <row r="106" customFormat="false" ht="12" hidden="false" customHeight="false" outlineLevel="0" collapsed="false">
      <c r="A106" s="28"/>
      <c r="E106" s="2" t="str">
        <f aca="false">IF((F106&lt;&gt;0),"Enter Letter"," ")</f>
        <v> </v>
      </c>
      <c r="F106" s="30"/>
      <c r="G106" s="6" t="str">
        <f aca="false">IF(F106&lt;&gt;0,F106*G$2/(100+G$2)," ")</f>
        <v> </v>
      </c>
      <c r="H106" s="6" t="str">
        <f aca="false">IF((F106&lt;&gt;0),F106-G106," ")</f>
        <v> </v>
      </c>
      <c r="I106" s="5"/>
      <c r="L106" s="7" t="str">
        <f aca="false">IF(F106&lt;&gt;0,F106-K106," ")</f>
        <v> </v>
      </c>
      <c r="M106" s="8" t="str">
        <f aca="false">IF((F106-K106)&lt;&gt;0,M$1-A106," ")</f>
        <v> </v>
      </c>
      <c r="N106" s="5"/>
      <c r="O106" s="17" t="str">
        <f aca="false">IF((E106="s"),H106," ")</f>
        <v> </v>
      </c>
      <c r="P106" s="17" t="str">
        <f aca="false">IF((E106="c"),H106," ")</f>
        <v> </v>
      </c>
      <c r="Q106" s="17" t="str">
        <f aca="false">IF((E106="o"),H106," ")</f>
        <v> </v>
      </c>
      <c r="R106" s="17" t="str">
        <f aca="false">IF((E106="d"),H106," ")</f>
        <v> </v>
      </c>
      <c r="S106" s="17" t="str">
        <f aca="false">IF((E106="w"),H106," ")</f>
        <v> </v>
      </c>
      <c r="T106" s="17" t="str">
        <f aca="false">IF((E106="r"),H106," ")</f>
        <v> </v>
      </c>
      <c r="U106" s="17" t="str">
        <f aca="false">IF((E106="p"),H106," ")</f>
        <v> </v>
      </c>
      <c r="V106" s="17" t="str">
        <f aca="false">IF((E106="t"),H106," ")</f>
        <v> </v>
      </c>
      <c r="W106" s="17" t="str">
        <f aca="false">IF((E106="q"),H106," ")</f>
        <v> </v>
      </c>
      <c r="X106" s="17" t="str">
        <f aca="false">IF((E106="m"),H106," ")</f>
        <v> </v>
      </c>
      <c r="Y106" s="17" t="str">
        <f aca="false">IF((E106="u"),H106," ")</f>
        <v> </v>
      </c>
      <c r="Z106" s="17" t="str">
        <f aca="false">IF((E106="a"),H106," ")</f>
        <v> </v>
      </c>
      <c r="AA106" s="17" t="str">
        <f aca="false">IF((E106="g"),H106," ")</f>
        <v> </v>
      </c>
      <c r="AB106" s="17" t="str">
        <f aca="false">IF((E106="h"),H106," ")</f>
        <v> </v>
      </c>
      <c r="AC106" s="30" t="str">
        <f aca="false">IF((E106="v"),H106," ")</f>
        <v> </v>
      </c>
      <c r="AD106" s="30" t="str">
        <f aca="false">IF((E106="n"),H106," ")</f>
        <v> </v>
      </c>
      <c r="AE106" s="17" t="str">
        <f aca="false">IF((E106="f"),H106," ")</f>
        <v> </v>
      </c>
      <c r="AF106" s="17" t="str">
        <f aca="false">IF((E106="l"),H106," ")</f>
        <v> </v>
      </c>
      <c r="AG106" s="17" t="str">
        <f aca="false">IF((E106="y"),H106," ")</f>
        <v> </v>
      </c>
      <c r="AH106" s="17" t="str">
        <f aca="false">IF((E106="z"),H106," ")</f>
        <v> </v>
      </c>
      <c r="AI106" s="17" t="str">
        <f aca="false">IF((E106="fa"),H106," ")</f>
        <v> </v>
      </c>
      <c r="AJ106" s="17" t="str">
        <f aca="false">IF((E106="e"),H106," ")</f>
        <v> </v>
      </c>
    </row>
    <row r="107" customFormat="false" ht="12" hidden="false" customHeight="false" outlineLevel="0" collapsed="false">
      <c r="A107" s="28"/>
      <c r="E107" s="2" t="str">
        <f aca="false">IF((F107&lt;&gt;0),"Enter Letter"," ")</f>
        <v> </v>
      </c>
      <c r="F107" s="30"/>
      <c r="G107" s="6" t="str">
        <f aca="false">IF(F107&lt;&gt;0,F107*G$2/(100+G$2)," ")</f>
        <v> </v>
      </c>
      <c r="H107" s="6" t="str">
        <f aca="false">IF((F107&lt;&gt;0),F107-G107," ")</f>
        <v> </v>
      </c>
      <c r="I107" s="5"/>
      <c r="L107" s="7" t="str">
        <f aca="false">IF(F107&lt;&gt;0,F107-K107," ")</f>
        <v> </v>
      </c>
      <c r="M107" s="8" t="str">
        <f aca="false">IF((F107-K107)&lt;&gt;0,M$1-A107," ")</f>
        <v> </v>
      </c>
      <c r="N107" s="5"/>
      <c r="O107" s="17" t="str">
        <f aca="false">IF((E107="s"),H107," ")</f>
        <v> </v>
      </c>
      <c r="P107" s="17" t="str">
        <f aca="false">IF((E107="c"),H107," ")</f>
        <v> </v>
      </c>
      <c r="Q107" s="17" t="str">
        <f aca="false">IF((E107="o"),H107," ")</f>
        <v> </v>
      </c>
      <c r="R107" s="17" t="str">
        <f aca="false">IF((E107="d"),H107," ")</f>
        <v> </v>
      </c>
      <c r="S107" s="17" t="str">
        <f aca="false">IF((E107="w"),H107," ")</f>
        <v> </v>
      </c>
      <c r="T107" s="17" t="str">
        <f aca="false">IF((E107="r"),H107," ")</f>
        <v> </v>
      </c>
      <c r="U107" s="17" t="str">
        <f aca="false">IF((E107="p"),H107," ")</f>
        <v> </v>
      </c>
      <c r="V107" s="17" t="str">
        <f aca="false">IF((E107="t"),H107," ")</f>
        <v> </v>
      </c>
      <c r="W107" s="17" t="str">
        <f aca="false">IF((E107="q"),H107," ")</f>
        <v> </v>
      </c>
      <c r="X107" s="17" t="str">
        <f aca="false">IF((E107="m"),H107," ")</f>
        <v> </v>
      </c>
      <c r="Y107" s="17" t="str">
        <f aca="false">IF((E107="u"),H107," ")</f>
        <v> </v>
      </c>
      <c r="Z107" s="17" t="str">
        <f aca="false">IF((E107="a"),H107," ")</f>
        <v> </v>
      </c>
      <c r="AA107" s="17" t="str">
        <f aca="false">IF((E107="g"),H107," ")</f>
        <v> </v>
      </c>
      <c r="AB107" s="17" t="str">
        <f aca="false">IF((E107="h"),H107," ")</f>
        <v> </v>
      </c>
      <c r="AC107" s="30" t="str">
        <f aca="false">IF((E107="v"),H107," ")</f>
        <v> </v>
      </c>
      <c r="AD107" s="30" t="str">
        <f aca="false">IF((E107="n"),H107," ")</f>
        <v> </v>
      </c>
      <c r="AE107" s="17" t="str">
        <f aca="false">IF((E107="f"),H107," ")</f>
        <v> </v>
      </c>
      <c r="AF107" s="17" t="str">
        <f aca="false">IF((E107="l"),H107," ")</f>
        <v> </v>
      </c>
      <c r="AG107" s="17" t="str">
        <f aca="false">IF((E107="y"),H107," ")</f>
        <v> </v>
      </c>
      <c r="AH107" s="17" t="str">
        <f aca="false">IF((E107="z"),H107," ")</f>
        <v> </v>
      </c>
      <c r="AI107" s="17" t="str">
        <f aca="false">IF((E107="fa"),H107," ")</f>
        <v> </v>
      </c>
      <c r="AJ107" s="17" t="str">
        <f aca="false">IF((E107="e"),H107," ")</f>
        <v> </v>
      </c>
    </row>
    <row r="108" customFormat="false" ht="12" hidden="false" customHeight="false" outlineLevel="0" collapsed="false">
      <c r="A108" s="28"/>
      <c r="E108" s="2" t="str">
        <f aca="false">IF((F108&lt;&gt;0),"Enter Letter"," ")</f>
        <v> </v>
      </c>
      <c r="F108" s="30"/>
      <c r="G108" s="6" t="str">
        <f aca="false">IF(F108&lt;&gt;0,F108*G$2/(100+G$2)," ")</f>
        <v> </v>
      </c>
      <c r="H108" s="6" t="str">
        <f aca="false">IF((F108&lt;&gt;0),F108-G108," ")</f>
        <v> </v>
      </c>
      <c r="I108" s="5"/>
      <c r="L108" s="7" t="str">
        <f aca="false">IF(F108&lt;&gt;0,F108-K108," ")</f>
        <v> </v>
      </c>
      <c r="M108" s="8" t="str">
        <f aca="false">IF((F108-K108)&lt;&gt;0,M$1-A108," ")</f>
        <v> </v>
      </c>
      <c r="N108" s="5"/>
      <c r="O108" s="17" t="str">
        <f aca="false">IF((E108="s"),H108," ")</f>
        <v> </v>
      </c>
      <c r="P108" s="17" t="str">
        <f aca="false">IF((E108="c"),H108," ")</f>
        <v> </v>
      </c>
      <c r="Q108" s="17" t="str">
        <f aca="false">IF((E108="o"),H108," ")</f>
        <v> </v>
      </c>
      <c r="R108" s="17" t="str">
        <f aca="false">IF((E108="d"),H108," ")</f>
        <v> </v>
      </c>
      <c r="S108" s="17" t="str">
        <f aca="false">IF((E108="w"),H108," ")</f>
        <v> </v>
      </c>
      <c r="T108" s="17" t="str">
        <f aca="false">IF((E108="r"),H108," ")</f>
        <v> </v>
      </c>
      <c r="U108" s="17" t="str">
        <f aca="false">IF((E108="p"),H108," ")</f>
        <v> </v>
      </c>
      <c r="V108" s="17" t="str">
        <f aca="false">IF((E108="t"),H108," ")</f>
        <v> </v>
      </c>
      <c r="W108" s="17" t="str">
        <f aca="false">IF((E108="q"),H108," ")</f>
        <v> </v>
      </c>
      <c r="X108" s="17" t="str">
        <f aca="false">IF((E108="m"),H108," ")</f>
        <v> </v>
      </c>
      <c r="Y108" s="17" t="str">
        <f aca="false">IF((E108="u"),H108," ")</f>
        <v> </v>
      </c>
      <c r="Z108" s="17" t="str">
        <f aca="false">IF((E108="a"),H108," ")</f>
        <v> </v>
      </c>
      <c r="AA108" s="17" t="str">
        <f aca="false">IF((E108="g"),H108," ")</f>
        <v> </v>
      </c>
      <c r="AB108" s="17" t="str">
        <f aca="false">IF((E108="h"),H108," ")</f>
        <v> </v>
      </c>
      <c r="AC108" s="30" t="str">
        <f aca="false">IF((E108="v"),H108," ")</f>
        <v> </v>
      </c>
      <c r="AD108" s="30" t="str">
        <f aca="false">IF((E108="n"),H108," ")</f>
        <v> </v>
      </c>
      <c r="AE108" s="17" t="str">
        <f aca="false">IF((E108="f"),H108," ")</f>
        <v> </v>
      </c>
      <c r="AF108" s="17" t="str">
        <f aca="false">IF((E108="l"),H108," ")</f>
        <v> </v>
      </c>
      <c r="AG108" s="17" t="str">
        <f aca="false">IF((E108="y"),H108," ")</f>
        <v> </v>
      </c>
      <c r="AH108" s="17" t="str">
        <f aca="false">IF((E108="z"),H108," ")</f>
        <v> </v>
      </c>
      <c r="AI108" s="17" t="str">
        <f aca="false">IF((E108="fa"),H108," ")</f>
        <v> </v>
      </c>
      <c r="AJ108" s="17" t="str">
        <f aca="false">IF((E108="e"),H108," ")</f>
        <v> </v>
      </c>
    </row>
    <row r="109" customFormat="false" ht="12" hidden="false" customHeight="false" outlineLevel="0" collapsed="false">
      <c r="A109" s="28"/>
      <c r="E109" s="2" t="str">
        <f aca="false">IF((F109&lt;&gt;0),"Enter Letter"," ")</f>
        <v> </v>
      </c>
      <c r="F109" s="30"/>
      <c r="G109" s="6" t="str">
        <f aca="false">IF(F109&lt;&gt;0,F109*G$2/(100+G$2)," ")</f>
        <v> </v>
      </c>
      <c r="H109" s="6" t="str">
        <f aca="false">IF((F109&lt;&gt;0),F109-G109," ")</f>
        <v> </v>
      </c>
      <c r="I109" s="5"/>
      <c r="L109" s="7" t="str">
        <f aca="false">IF(F109&lt;&gt;0,F109-K109," ")</f>
        <v> </v>
      </c>
      <c r="M109" s="8" t="str">
        <f aca="false">IF((F109-K109)&lt;&gt;0,M$1-A109," ")</f>
        <v> </v>
      </c>
      <c r="N109" s="5"/>
      <c r="O109" s="17" t="str">
        <f aca="false">IF((E109="s"),H109," ")</f>
        <v> </v>
      </c>
      <c r="P109" s="17" t="str">
        <f aca="false">IF((E109="c"),H109," ")</f>
        <v> </v>
      </c>
      <c r="Q109" s="17" t="str">
        <f aca="false">IF((E109="o"),H109," ")</f>
        <v> </v>
      </c>
      <c r="R109" s="17" t="str">
        <f aca="false">IF((E109="d"),H109," ")</f>
        <v> </v>
      </c>
      <c r="S109" s="17" t="str">
        <f aca="false">IF((E109="w"),H109," ")</f>
        <v> </v>
      </c>
      <c r="T109" s="17" t="str">
        <f aca="false">IF((E109="r"),H109," ")</f>
        <v> </v>
      </c>
      <c r="U109" s="17" t="str">
        <f aca="false">IF((E109="p"),H109," ")</f>
        <v> </v>
      </c>
      <c r="V109" s="17" t="str">
        <f aca="false">IF((E109="t"),H109," ")</f>
        <v> </v>
      </c>
      <c r="W109" s="17" t="str">
        <f aca="false">IF((E109="q"),H109," ")</f>
        <v> </v>
      </c>
      <c r="X109" s="17" t="str">
        <f aca="false">IF((E109="m"),H109," ")</f>
        <v> </v>
      </c>
      <c r="Y109" s="17" t="str">
        <f aca="false">IF((E109="u"),H109," ")</f>
        <v> </v>
      </c>
      <c r="Z109" s="17" t="str">
        <f aca="false">IF((E109="a"),H109," ")</f>
        <v> </v>
      </c>
      <c r="AA109" s="17" t="str">
        <f aca="false">IF((E109="g"),H109," ")</f>
        <v> </v>
      </c>
      <c r="AB109" s="17" t="str">
        <f aca="false">IF((E109="h"),H109," ")</f>
        <v> </v>
      </c>
      <c r="AC109" s="30" t="str">
        <f aca="false">IF((E109="v"),H109," ")</f>
        <v> </v>
      </c>
      <c r="AD109" s="30" t="str">
        <f aca="false">IF((E109="n"),H109," ")</f>
        <v> </v>
      </c>
      <c r="AE109" s="17" t="str">
        <f aca="false">IF((E109="f"),H109," ")</f>
        <v> </v>
      </c>
      <c r="AF109" s="17" t="str">
        <f aca="false">IF((E109="l"),H109," ")</f>
        <v> </v>
      </c>
      <c r="AG109" s="17" t="str">
        <f aca="false">IF((E109="y"),H109," ")</f>
        <v> </v>
      </c>
      <c r="AH109" s="17" t="str">
        <f aca="false">IF((E109="z"),H109," ")</f>
        <v> </v>
      </c>
      <c r="AI109" s="17" t="str">
        <f aca="false">IF((E109="fa"),H109," ")</f>
        <v> </v>
      </c>
      <c r="AJ109" s="17" t="str">
        <f aca="false">IF((E109="e"),H109," ")</f>
        <v> </v>
      </c>
    </row>
    <row r="110" customFormat="false" ht="12" hidden="false" customHeight="false" outlineLevel="0" collapsed="false">
      <c r="A110" s="28"/>
      <c r="E110" s="2" t="str">
        <f aca="false">IF((F110&lt;&gt;0),"Enter Letter"," ")</f>
        <v> </v>
      </c>
      <c r="F110" s="30"/>
      <c r="G110" s="6" t="str">
        <f aca="false">IF(F110&lt;&gt;0,F110*G$2/(100+G$2)," ")</f>
        <v> </v>
      </c>
      <c r="H110" s="6" t="str">
        <f aca="false">IF((F110&lt;&gt;0),F110-G110," ")</f>
        <v> </v>
      </c>
      <c r="I110" s="5"/>
      <c r="L110" s="7" t="str">
        <f aca="false">IF(F110&lt;&gt;0,F110-K110," ")</f>
        <v> </v>
      </c>
      <c r="M110" s="8" t="str">
        <f aca="false">IF((F110-K110)&lt;&gt;0,M$1-A110," ")</f>
        <v> </v>
      </c>
      <c r="N110" s="5"/>
      <c r="O110" s="17" t="str">
        <f aca="false">IF((E110="s"),H110," ")</f>
        <v> </v>
      </c>
      <c r="P110" s="17" t="str">
        <f aca="false">IF((E110="c"),H110," ")</f>
        <v> </v>
      </c>
      <c r="Q110" s="17" t="str">
        <f aca="false">IF((E110="o"),H110," ")</f>
        <v> </v>
      </c>
      <c r="R110" s="17" t="str">
        <f aca="false">IF((E110="d"),H110," ")</f>
        <v> </v>
      </c>
      <c r="S110" s="17" t="str">
        <f aca="false">IF((E110="w"),H110," ")</f>
        <v> </v>
      </c>
      <c r="T110" s="17" t="str">
        <f aca="false">IF((E110="r"),H110," ")</f>
        <v> </v>
      </c>
      <c r="U110" s="17" t="str">
        <f aca="false">IF((E110="p"),H110," ")</f>
        <v> </v>
      </c>
      <c r="V110" s="17" t="str">
        <f aca="false">IF((E110="t"),H110," ")</f>
        <v> </v>
      </c>
      <c r="W110" s="17" t="str">
        <f aca="false">IF((E110="q"),H110," ")</f>
        <v> </v>
      </c>
      <c r="X110" s="17" t="str">
        <f aca="false">IF((E110="m"),H110," ")</f>
        <v> </v>
      </c>
      <c r="Y110" s="17" t="str">
        <f aca="false">IF((E110="u"),H110," ")</f>
        <v> </v>
      </c>
      <c r="Z110" s="17" t="str">
        <f aca="false">IF((E110="a"),H110," ")</f>
        <v> </v>
      </c>
      <c r="AA110" s="17" t="str">
        <f aca="false">IF((E110="g"),H110," ")</f>
        <v> </v>
      </c>
      <c r="AB110" s="17" t="str">
        <f aca="false">IF((E110="h"),H110," ")</f>
        <v> </v>
      </c>
      <c r="AC110" s="30" t="str">
        <f aca="false">IF((E110="v"),H110," ")</f>
        <v> </v>
      </c>
      <c r="AD110" s="30" t="str">
        <f aca="false">IF((E110="n"),H110," ")</f>
        <v> </v>
      </c>
      <c r="AE110" s="17" t="str">
        <f aca="false">IF((E110="f"),H110," ")</f>
        <v> </v>
      </c>
      <c r="AF110" s="17" t="str">
        <f aca="false">IF((E110="l"),H110," ")</f>
        <v> </v>
      </c>
      <c r="AG110" s="17" t="str">
        <f aca="false">IF((E110="y"),H110," ")</f>
        <v> </v>
      </c>
      <c r="AH110" s="17" t="str">
        <f aca="false">IF((E110="z"),H110," ")</f>
        <v> </v>
      </c>
      <c r="AI110" s="17" t="str">
        <f aca="false">IF((E110="fa"),H110," ")</f>
        <v> </v>
      </c>
      <c r="AJ110" s="17" t="str">
        <f aca="false">IF((E110="e"),H110," ")</f>
        <v> </v>
      </c>
    </row>
    <row r="111" customFormat="false" ht="12" hidden="false" customHeight="false" outlineLevel="0" collapsed="false">
      <c r="A111" s="28"/>
      <c r="E111" s="2" t="str">
        <f aca="false">IF((F111&lt;&gt;0),"Enter Letter"," ")</f>
        <v> </v>
      </c>
      <c r="F111" s="30"/>
      <c r="G111" s="6" t="str">
        <f aca="false">IF(F111&lt;&gt;0,F111*G$2/(100+G$2)," ")</f>
        <v> </v>
      </c>
      <c r="H111" s="6" t="str">
        <f aca="false">IF((F111&lt;&gt;0),F111-G111," ")</f>
        <v> </v>
      </c>
      <c r="I111" s="5"/>
      <c r="L111" s="7" t="str">
        <f aca="false">IF(F111&lt;&gt;0,F111-K111," ")</f>
        <v> </v>
      </c>
      <c r="M111" s="8" t="str">
        <f aca="false">IF((F111-K111)&lt;&gt;0,M$1-A111," ")</f>
        <v> </v>
      </c>
      <c r="N111" s="5"/>
      <c r="O111" s="17" t="str">
        <f aca="false">IF((E111="s"),H111," ")</f>
        <v> </v>
      </c>
      <c r="P111" s="17" t="str">
        <f aca="false">IF((E111="c"),H111," ")</f>
        <v> </v>
      </c>
      <c r="Q111" s="17" t="str">
        <f aca="false">IF((E111="o"),H111," ")</f>
        <v> </v>
      </c>
      <c r="R111" s="17" t="str">
        <f aca="false">IF((E111="d"),H111," ")</f>
        <v> </v>
      </c>
      <c r="S111" s="17" t="str">
        <f aca="false">IF((E111="w"),H111," ")</f>
        <v> </v>
      </c>
      <c r="T111" s="17" t="str">
        <f aca="false">IF((E111="r"),H111," ")</f>
        <v> </v>
      </c>
      <c r="U111" s="17" t="str">
        <f aca="false">IF((E111="p"),H111," ")</f>
        <v> </v>
      </c>
      <c r="V111" s="17" t="str">
        <f aca="false">IF((E111="t"),H111," ")</f>
        <v> </v>
      </c>
      <c r="W111" s="17" t="str">
        <f aca="false">IF((E111="q"),H111," ")</f>
        <v> </v>
      </c>
      <c r="X111" s="17" t="str">
        <f aca="false">IF((E111="m"),H111," ")</f>
        <v> </v>
      </c>
      <c r="Y111" s="17" t="str">
        <f aca="false">IF((E111="u"),H111," ")</f>
        <v> </v>
      </c>
      <c r="Z111" s="17" t="str">
        <f aca="false">IF((E111="a"),H111," ")</f>
        <v> </v>
      </c>
      <c r="AA111" s="17" t="str">
        <f aca="false">IF((E111="g"),H111," ")</f>
        <v> </v>
      </c>
      <c r="AB111" s="17" t="str">
        <f aca="false">IF((E111="h"),H111," ")</f>
        <v> </v>
      </c>
      <c r="AC111" s="30" t="str">
        <f aca="false">IF((E111="v"),H111," ")</f>
        <v> </v>
      </c>
      <c r="AD111" s="30" t="str">
        <f aca="false">IF((E111="n"),H111," ")</f>
        <v> </v>
      </c>
      <c r="AE111" s="17" t="str">
        <f aca="false">IF((E111="f"),H111," ")</f>
        <v> </v>
      </c>
      <c r="AF111" s="17" t="str">
        <f aca="false">IF((E111="l"),H111," ")</f>
        <v> </v>
      </c>
      <c r="AG111" s="17" t="str">
        <f aca="false">IF((E111="y"),H111," ")</f>
        <v> </v>
      </c>
      <c r="AH111" s="17" t="str">
        <f aca="false">IF((E111="z"),H111," ")</f>
        <v> </v>
      </c>
      <c r="AI111" s="17" t="str">
        <f aca="false">IF((E111="fa"),H111," ")</f>
        <v> </v>
      </c>
      <c r="AJ111" s="17" t="str">
        <f aca="false">IF((E111="e"),H111," ")</f>
        <v> </v>
      </c>
    </row>
    <row r="112" customFormat="false" ht="12" hidden="false" customHeight="false" outlineLevel="0" collapsed="false">
      <c r="A112" s="28"/>
      <c r="E112" s="2" t="str">
        <f aca="false">IF((F112&lt;&gt;0),"Enter Letter"," ")</f>
        <v> </v>
      </c>
      <c r="F112" s="30"/>
      <c r="G112" s="6" t="str">
        <f aca="false">IF(F112&lt;&gt;0,F112*G$2/(100+G$2)," ")</f>
        <v> </v>
      </c>
      <c r="H112" s="6" t="str">
        <f aca="false">IF((F112&lt;&gt;0),F112-G112," ")</f>
        <v> </v>
      </c>
      <c r="I112" s="5"/>
      <c r="L112" s="7" t="str">
        <f aca="false">IF(F112&lt;&gt;0,F112-K112," ")</f>
        <v> </v>
      </c>
      <c r="M112" s="8" t="str">
        <f aca="false">IF((F112-K112)&lt;&gt;0,M$1-A112," ")</f>
        <v> </v>
      </c>
      <c r="N112" s="5"/>
      <c r="O112" s="17" t="str">
        <f aca="false">IF((E112="s"),H112," ")</f>
        <v> </v>
      </c>
      <c r="P112" s="17" t="str">
        <f aca="false">IF((E112="c"),H112," ")</f>
        <v> </v>
      </c>
      <c r="Q112" s="17" t="str">
        <f aca="false">IF((E112="o"),H112," ")</f>
        <v> </v>
      </c>
      <c r="R112" s="17" t="str">
        <f aca="false">IF((E112="d"),H112," ")</f>
        <v> </v>
      </c>
      <c r="S112" s="17" t="str">
        <f aca="false">IF((E112="w"),H112," ")</f>
        <v> </v>
      </c>
      <c r="T112" s="17" t="str">
        <f aca="false">IF((E112="r"),H112," ")</f>
        <v> </v>
      </c>
      <c r="U112" s="17" t="str">
        <f aca="false">IF((E112="p"),H112," ")</f>
        <v> </v>
      </c>
      <c r="V112" s="17" t="str">
        <f aca="false">IF((E112="t"),H112," ")</f>
        <v> </v>
      </c>
      <c r="W112" s="17" t="str">
        <f aca="false">IF((E112="q"),H112," ")</f>
        <v> </v>
      </c>
      <c r="X112" s="17" t="str">
        <f aca="false">IF((E112="m"),H112," ")</f>
        <v> </v>
      </c>
      <c r="Y112" s="17" t="str">
        <f aca="false">IF((E112="u"),H112," ")</f>
        <v> </v>
      </c>
      <c r="Z112" s="17" t="str">
        <f aca="false">IF((E112="a"),H112," ")</f>
        <v> </v>
      </c>
      <c r="AA112" s="17" t="str">
        <f aca="false">IF((E112="g"),H112," ")</f>
        <v> </v>
      </c>
      <c r="AB112" s="17" t="str">
        <f aca="false">IF((E112="h"),H112," ")</f>
        <v> </v>
      </c>
      <c r="AC112" s="30" t="str">
        <f aca="false">IF((E112="v"),H112," ")</f>
        <v> </v>
      </c>
      <c r="AD112" s="30" t="str">
        <f aca="false">IF((E112="n"),H112," ")</f>
        <v> </v>
      </c>
      <c r="AE112" s="17" t="str">
        <f aca="false">IF((E112="f"),H112," ")</f>
        <v> </v>
      </c>
      <c r="AF112" s="17" t="str">
        <f aca="false">IF((E112="l"),H112," ")</f>
        <v> </v>
      </c>
      <c r="AG112" s="17" t="str">
        <f aca="false">IF((E112="y"),H112," ")</f>
        <v> </v>
      </c>
      <c r="AH112" s="17" t="str">
        <f aca="false">IF((E112="z"),H112," ")</f>
        <v> </v>
      </c>
      <c r="AI112" s="17" t="str">
        <f aca="false">IF((E112="fa"),H112," ")</f>
        <v> </v>
      </c>
      <c r="AJ112" s="17" t="str">
        <f aca="false">IF((E112="e"),H112," ")</f>
        <v> </v>
      </c>
    </row>
    <row r="113" customFormat="false" ht="12" hidden="false" customHeight="false" outlineLevel="0" collapsed="false">
      <c r="A113" s="28"/>
      <c r="E113" s="2" t="str">
        <f aca="false">IF((F113&lt;&gt;0),"Enter Letter"," ")</f>
        <v> </v>
      </c>
      <c r="F113" s="30"/>
      <c r="G113" s="6" t="str">
        <f aca="false">IF(F113&lt;&gt;0,F113*G$2/(100+G$2)," ")</f>
        <v> </v>
      </c>
      <c r="H113" s="6" t="str">
        <f aca="false">IF((F113&lt;&gt;0),F113-G113," ")</f>
        <v> </v>
      </c>
      <c r="I113" s="5"/>
      <c r="L113" s="7" t="str">
        <f aca="false">IF(F113&lt;&gt;0,F113-K113," ")</f>
        <v> </v>
      </c>
      <c r="M113" s="8" t="str">
        <f aca="false">IF((F113-K113)&lt;&gt;0,M$1-A113," ")</f>
        <v> </v>
      </c>
      <c r="N113" s="5"/>
      <c r="O113" s="17" t="str">
        <f aca="false">IF((E113="s"),H113," ")</f>
        <v> </v>
      </c>
      <c r="P113" s="17" t="str">
        <f aca="false">IF((E113="c"),H113," ")</f>
        <v> </v>
      </c>
      <c r="Q113" s="17" t="str">
        <f aca="false">IF((E113="o"),H113," ")</f>
        <v> </v>
      </c>
      <c r="R113" s="17" t="str">
        <f aca="false">IF((E113="d"),H113," ")</f>
        <v> </v>
      </c>
      <c r="S113" s="17" t="str">
        <f aca="false">IF((E113="w"),H113," ")</f>
        <v> </v>
      </c>
      <c r="T113" s="17" t="str">
        <f aca="false">IF((E113="r"),H113," ")</f>
        <v> </v>
      </c>
      <c r="U113" s="17" t="str">
        <f aca="false">IF((E113="p"),H113," ")</f>
        <v> </v>
      </c>
      <c r="V113" s="17" t="str">
        <f aca="false">IF((E113="t"),H113," ")</f>
        <v> </v>
      </c>
      <c r="W113" s="17" t="str">
        <f aca="false">IF((E113="q"),H113," ")</f>
        <v> </v>
      </c>
      <c r="X113" s="17" t="str">
        <f aca="false">IF((E113="m"),H113," ")</f>
        <v> </v>
      </c>
      <c r="Y113" s="17" t="str">
        <f aca="false">IF((E113="u"),H113," ")</f>
        <v> </v>
      </c>
      <c r="Z113" s="17" t="str">
        <f aca="false">IF((E113="a"),H113," ")</f>
        <v> </v>
      </c>
      <c r="AA113" s="17" t="str">
        <f aca="false">IF((E113="g"),H113," ")</f>
        <v> </v>
      </c>
      <c r="AB113" s="17" t="str">
        <f aca="false">IF((E113="h"),H113," ")</f>
        <v> </v>
      </c>
      <c r="AC113" s="30" t="str">
        <f aca="false">IF((E113="v"),H113," ")</f>
        <v> </v>
      </c>
      <c r="AD113" s="30" t="str">
        <f aca="false">IF((E113="n"),H113," ")</f>
        <v> </v>
      </c>
      <c r="AE113" s="17" t="str">
        <f aca="false">IF((E113="f"),H113," ")</f>
        <v> </v>
      </c>
      <c r="AF113" s="17" t="str">
        <f aca="false">IF((E113="l"),H113," ")</f>
        <v> </v>
      </c>
      <c r="AG113" s="17" t="str">
        <f aca="false">IF((E113="y"),H113," ")</f>
        <v> </v>
      </c>
      <c r="AH113" s="17" t="str">
        <f aca="false">IF((E113="z"),H113," ")</f>
        <v> </v>
      </c>
      <c r="AI113" s="17" t="str">
        <f aca="false">IF((E113="fa"),H113," ")</f>
        <v> </v>
      </c>
      <c r="AJ113" s="17" t="str">
        <f aca="false">IF((E113="e"),H113," ")</f>
        <v> </v>
      </c>
    </row>
    <row r="114" customFormat="false" ht="12" hidden="false" customHeight="false" outlineLevel="0" collapsed="false">
      <c r="A114" s="28"/>
      <c r="E114" s="2" t="str">
        <f aca="false">IF((F114&lt;&gt;0),"Enter Letter"," ")</f>
        <v> </v>
      </c>
      <c r="F114" s="30"/>
      <c r="G114" s="6" t="str">
        <f aca="false">IF(F114&lt;&gt;0,F114*G$2/(100+G$2)," ")</f>
        <v> </v>
      </c>
      <c r="H114" s="6" t="str">
        <f aca="false">IF((F114&lt;&gt;0),F114-G114," ")</f>
        <v> </v>
      </c>
      <c r="I114" s="5"/>
      <c r="L114" s="7" t="str">
        <f aca="false">IF(F114&lt;&gt;0,F114-K114," ")</f>
        <v> </v>
      </c>
      <c r="M114" s="8" t="str">
        <f aca="false">IF((F114-K114)&lt;&gt;0,M$1-A114," ")</f>
        <v> </v>
      </c>
      <c r="N114" s="5"/>
      <c r="O114" s="17" t="str">
        <f aca="false">IF((E114="s"),H114," ")</f>
        <v> </v>
      </c>
      <c r="P114" s="17" t="str">
        <f aca="false">IF((E114="c"),H114," ")</f>
        <v> </v>
      </c>
      <c r="Q114" s="17" t="str">
        <f aca="false">IF((E114="o"),H114," ")</f>
        <v> </v>
      </c>
      <c r="R114" s="17" t="str">
        <f aca="false">IF((E114="d"),H114," ")</f>
        <v> </v>
      </c>
      <c r="S114" s="17" t="str">
        <f aca="false">IF((E114="w"),H114," ")</f>
        <v> </v>
      </c>
      <c r="T114" s="17" t="str">
        <f aca="false">IF((E114="r"),H114," ")</f>
        <v> </v>
      </c>
      <c r="U114" s="17" t="str">
        <f aca="false">IF((E114="p"),H114," ")</f>
        <v> </v>
      </c>
      <c r="V114" s="17" t="str">
        <f aca="false">IF((E114="t"),H114," ")</f>
        <v> </v>
      </c>
      <c r="W114" s="17" t="str">
        <f aca="false">IF((E114="q"),H114," ")</f>
        <v> </v>
      </c>
      <c r="X114" s="17" t="str">
        <f aca="false">IF((E114="m"),H114," ")</f>
        <v> </v>
      </c>
      <c r="Y114" s="17" t="str">
        <f aca="false">IF((E114="u"),H114," ")</f>
        <v> </v>
      </c>
      <c r="Z114" s="17" t="str">
        <f aca="false">IF((E114="a"),H114," ")</f>
        <v> </v>
      </c>
      <c r="AA114" s="17" t="str">
        <f aca="false">IF((E114="g"),H114," ")</f>
        <v> </v>
      </c>
      <c r="AB114" s="17" t="str">
        <f aca="false">IF((E114="h"),H114," ")</f>
        <v> </v>
      </c>
      <c r="AC114" s="30" t="str">
        <f aca="false">IF((E114="v"),H114," ")</f>
        <v> </v>
      </c>
      <c r="AD114" s="30" t="str">
        <f aca="false">IF((E114="n"),H114," ")</f>
        <v> </v>
      </c>
      <c r="AE114" s="17" t="str">
        <f aca="false">IF((E114="f"),H114," ")</f>
        <v> </v>
      </c>
      <c r="AF114" s="17" t="str">
        <f aca="false">IF((E114="l"),H114," ")</f>
        <v> </v>
      </c>
      <c r="AG114" s="17" t="str">
        <f aca="false">IF((E114="y"),H114," ")</f>
        <v> </v>
      </c>
      <c r="AH114" s="17" t="str">
        <f aca="false">IF((E114="z"),H114," ")</f>
        <v> </v>
      </c>
      <c r="AI114" s="17" t="str">
        <f aca="false">IF((E114="fa"),H114," ")</f>
        <v> </v>
      </c>
      <c r="AJ114" s="17" t="str">
        <f aca="false">IF((E114="e"),H114," ")</f>
        <v> </v>
      </c>
    </row>
    <row r="115" customFormat="false" ht="12" hidden="false" customHeight="false" outlineLevel="0" collapsed="false">
      <c r="A115" s="28"/>
      <c r="E115" s="2" t="str">
        <f aca="false">IF((F115&lt;&gt;0),"Enter Letter"," ")</f>
        <v> </v>
      </c>
      <c r="F115" s="30"/>
      <c r="G115" s="6" t="str">
        <f aca="false">IF(F115&lt;&gt;0,F115*G$2/(100+G$2)," ")</f>
        <v> </v>
      </c>
      <c r="H115" s="6" t="str">
        <f aca="false">IF((F115&lt;&gt;0),F115-G115," ")</f>
        <v> </v>
      </c>
      <c r="I115" s="5"/>
      <c r="L115" s="7" t="str">
        <f aca="false">IF(F115&lt;&gt;0,F115-K115," ")</f>
        <v> </v>
      </c>
      <c r="M115" s="8" t="str">
        <f aca="false">IF((F115-K115)&lt;&gt;0,M$1-A115," ")</f>
        <v> </v>
      </c>
      <c r="N115" s="5"/>
      <c r="O115" s="17" t="str">
        <f aca="false">IF((E115="s"),H115," ")</f>
        <v> </v>
      </c>
      <c r="P115" s="17" t="str">
        <f aca="false">IF((E115="c"),H115," ")</f>
        <v> </v>
      </c>
      <c r="Q115" s="17" t="str">
        <f aca="false">IF((E115="o"),H115," ")</f>
        <v> </v>
      </c>
      <c r="R115" s="17" t="str">
        <f aca="false">IF((E115="d"),H115," ")</f>
        <v> </v>
      </c>
      <c r="S115" s="17" t="str">
        <f aca="false">IF((E115="w"),H115," ")</f>
        <v> </v>
      </c>
      <c r="T115" s="17" t="str">
        <f aca="false">IF((E115="r"),H115," ")</f>
        <v> </v>
      </c>
      <c r="U115" s="17" t="str">
        <f aca="false">IF((E115="p"),H115," ")</f>
        <v> </v>
      </c>
      <c r="V115" s="17" t="str">
        <f aca="false">IF((E115="t"),H115," ")</f>
        <v> </v>
      </c>
      <c r="W115" s="17" t="str">
        <f aca="false">IF((E115="q"),H115," ")</f>
        <v> </v>
      </c>
      <c r="X115" s="17" t="str">
        <f aca="false">IF((E115="m"),H115," ")</f>
        <v> </v>
      </c>
      <c r="Y115" s="17" t="str">
        <f aca="false">IF((E115="u"),H115," ")</f>
        <v> </v>
      </c>
      <c r="Z115" s="17" t="str">
        <f aca="false">IF((E115="a"),H115," ")</f>
        <v> </v>
      </c>
      <c r="AA115" s="17" t="str">
        <f aca="false">IF((E115="g"),H115," ")</f>
        <v> </v>
      </c>
      <c r="AB115" s="17" t="str">
        <f aca="false">IF((E115="h"),H115," ")</f>
        <v> </v>
      </c>
      <c r="AC115" s="30" t="str">
        <f aca="false">IF((E115="v"),H115," ")</f>
        <v> </v>
      </c>
      <c r="AD115" s="30" t="str">
        <f aca="false">IF((E115="n"),H115," ")</f>
        <v> </v>
      </c>
      <c r="AE115" s="17" t="str">
        <f aca="false">IF((E115="f"),H115," ")</f>
        <v> </v>
      </c>
      <c r="AF115" s="17" t="str">
        <f aca="false">IF((E115="l"),H115," ")</f>
        <v> </v>
      </c>
      <c r="AG115" s="17" t="str">
        <f aca="false">IF((E115="y"),H115," ")</f>
        <v> </v>
      </c>
      <c r="AH115" s="17" t="str">
        <f aca="false">IF((E115="z"),H115," ")</f>
        <v> </v>
      </c>
      <c r="AI115" s="17" t="str">
        <f aca="false">IF((E115="fa"),H115," ")</f>
        <v> </v>
      </c>
      <c r="AJ115" s="17" t="str">
        <f aca="false">IF((E115="e"),H115," ")</f>
        <v> </v>
      </c>
    </row>
    <row r="116" customFormat="false" ht="12" hidden="false" customHeight="false" outlineLevel="0" collapsed="false">
      <c r="A116" s="28"/>
      <c r="E116" s="2" t="str">
        <f aca="false">IF((F116&lt;&gt;0),"Enter Letter"," ")</f>
        <v> </v>
      </c>
      <c r="F116" s="30"/>
      <c r="G116" s="6" t="str">
        <f aca="false">IF(F116&lt;&gt;0,F116*G$2/(100+G$2)," ")</f>
        <v> </v>
      </c>
      <c r="H116" s="6" t="str">
        <f aca="false">IF((F116&lt;&gt;0),F116-G116," ")</f>
        <v> </v>
      </c>
      <c r="I116" s="5"/>
      <c r="L116" s="7" t="str">
        <f aca="false">IF(F116&lt;&gt;0,F116-K116," ")</f>
        <v> </v>
      </c>
      <c r="M116" s="8" t="str">
        <f aca="false">IF((F116-K116)&lt;&gt;0,M$1-A116," ")</f>
        <v> </v>
      </c>
      <c r="N116" s="5"/>
      <c r="O116" s="17" t="str">
        <f aca="false">IF((E116="s"),H116," ")</f>
        <v> </v>
      </c>
      <c r="P116" s="17" t="str">
        <f aca="false">IF((E116="c"),H116," ")</f>
        <v> </v>
      </c>
      <c r="Q116" s="17" t="str">
        <f aca="false">IF((E116="o"),H116," ")</f>
        <v> </v>
      </c>
      <c r="R116" s="17" t="str">
        <f aca="false">IF((E116="d"),H116," ")</f>
        <v> </v>
      </c>
      <c r="S116" s="17" t="str">
        <f aca="false">IF((E116="w"),H116," ")</f>
        <v> </v>
      </c>
      <c r="T116" s="17" t="str">
        <f aca="false">IF((E116="r"),H116," ")</f>
        <v> </v>
      </c>
      <c r="U116" s="17" t="str">
        <f aca="false">IF((E116="p"),H116," ")</f>
        <v> </v>
      </c>
      <c r="V116" s="17" t="str">
        <f aca="false">IF((E116="t"),H116," ")</f>
        <v> </v>
      </c>
      <c r="W116" s="17" t="str">
        <f aca="false">IF((E116="q"),H116," ")</f>
        <v> </v>
      </c>
      <c r="X116" s="17" t="str">
        <f aca="false">IF((E116="m"),H116," ")</f>
        <v> </v>
      </c>
      <c r="Y116" s="17" t="str">
        <f aca="false">IF((E116="u"),H116," ")</f>
        <v> </v>
      </c>
      <c r="Z116" s="17" t="str">
        <f aca="false">IF((E116="a"),H116," ")</f>
        <v> </v>
      </c>
      <c r="AA116" s="17" t="str">
        <f aca="false">IF((E116="g"),H116," ")</f>
        <v> </v>
      </c>
      <c r="AB116" s="17" t="str">
        <f aca="false">IF((E116="h"),H116," ")</f>
        <v> </v>
      </c>
      <c r="AC116" s="30" t="str">
        <f aca="false">IF((E116="v"),H116," ")</f>
        <v> </v>
      </c>
      <c r="AD116" s="30" t="str">
        <f aca="false">IF((E116="n"),H116," ")</f>
        <v> </v>
      </c>
      <c r="AE116" s="17" t="str">
        <f aca="false">IF((E116="f"),H116," ")</f>
        <v> </v>
      </c>
      <c r="AF116" s="17" t="str">
        <f aca="false">IF((E116="l"),H116," ")</f>
        <v> </v>
      </c>
      <c r="AG116" s="17" t="str">
        <f aca="false">IF((E116="y"),H116," ")</f>
        <v> </v>
      </c>
      <c r="AH116" s="17" t="str">
        <f aca="false">IF((E116="z"),H116," ")</f>
        <v> </v>
      </c>
      <c r="AI116" s="17" t="str">
        <f aca="false">IF((E116="fa"),H116," ")</f>
        <v> </v>
      </c>
      <c r="AJ116" s="17" t="str">
        <f aca="false">IF((E116="e"),H116," ")</f>
        <v> </v>
      </c>
    </row>
    <row r="117" customFormat="false" ht="12" hidden="false" customHeight="false" outlineLevel="0" collapsed="false">
      <c r="A117" s="28"/>
      <c r="E117" s="2" t="str">
        <f aca="false">IF((F117&lt;&gt;0),"Enter Letter"," ")</f>
        <v> </v>
      </c>
      <c r="F117" s="30"/>
      <c r="G117" s="6" t="str">
        <f aca="false">IF(F117&lt;&gt;0,F117*G$2/(100+G$2)," ")</f>
        <v> </v>
      </c>
      <c r="H117" s="6" t="str">
        <f aca="false">IF((F117&lt;&gt;0),F117-G117," ")</f>
        <v> </v>
      </c>
      <c r="I117" s="5"/>
      <c r="L117" s="7" t="str">
        <f aca="false">IF(F117&lt;&gt;0,F117-K117," ")</f>
        <v> </v>
      </c>
      <c r="M117" s="8" t="str">
        <f aca="false">IF((F117-K117)&lt;&gt;0,M$1-A117," ")</f>
        <v> </v>
      </c>
      <c r="N117" s="5"/>
      <c r="O117" s="17" t="str">
        <f aca="false">IF((E117="s"),H117," ")</f>
        <v> </v>
      </c>
      <c r="P117" s="17" t="str">
        <f aca="false">IF((E117="c"),H117," ")</f>
        <v> </v>
      </c>
      <c r="Q117" s="17" t="str">
        <f aca="false">IF((E117="o"),H117," ")</f>
        <v> </v>
      </c>
      <c r="R117" s="17" t="str">
        <f aca="false">IF((E117="d"),H117," ")</f>
        <v> </v>
      </c>
      <c r="S117" s="17" t="str">
        <f aca="false">IF((E117="w"),H117," ")</f>
        <v> </v>
      </c>
      <c r="T117" s="17" t="str">
        <f aca="false">IF((E117="r"),H117," ")</f>
        <v> </v>
      </c>
      <c r="U117" s="17" t="str">
        <f aca="false">IF((E117="p"),H117," ")</f>
        <v> </v>
      </c>
      <c r="V117" s="17" t="str">
        <f aca="false">IF((E117="t"),H117," ")</f>
        <v> </v>
      </c>
      <c r="W117" s="17" t="str">
        <f aca="false">IF((E117="q"),H117," ")</f>
        <v> </v>
      </c>
      <c r="X117" s="17" t="str">
        <f aca="false">IF((E117="m"),H117," ")</f>
        <v> </v>
      </c>
      <c r="Y117" s="17" t="str">
        <f aca="false">IF((E117="u"),H117," ")</f>
        <v> </v>
      </c>
      <c r="Z117" s="17" t="str">
        <f aca="false">IF((E117="a"),H117," ")</f>
        <v> </v>
      </c>
      <c r="AA117" s="17" t="str">
        <f aca="false">IF((E117="g"),H117," ")</f>
        <v> </v>
      </c>
      <c r="AB117" s="17" t="str">
        <f aca="false">IF((E117="h"),H117," ")</f>
        <v> </v>
      </c>
      <c r="AC117" s="30" t="str">
        <f aca="false">IF((E117="v"),H117," ")</f>
        <v> </v>
      </c>
      <c r="AD117" s="30" t="str">
        <f aca="false">IF((E117="n"),H117," ")</f>
        <v> </v>
      </c>
      <c r="AE117" s="17" t="str">
        <f aca="false">IF((E117="f"),H117," ")</f>
        <v> </v>
      </c>
      <c r="AF117" s="17" t="str">
        <f aca="false">IF((E117="l"),H117," ")</f>
        <v> </v>
      </c>
      <c r="AG117" s="17" t="str">
        <f aca="false">IF((E117="y"),H117," ")</f>
        <v> </v>
      </c>
      <c r="AH117" s="17" t="str">
        <f aca="false">IF((E117="z"),H117," ")</f>
        <v> </v>
      </c>
      <c r="AI117" s="17" t="str">
        <f aca="false">IF((E117="fa"),H117," ")</f>
        <v> </v>
      </c>
      <c r="AJ117" s="17" t="str">
        <f aca="false">IF((E117="e"),H117," ")</f>
        <v> </v>
      </c>
    </row>
    <row r="118" customFormat="false" ht="12" hidden="false" customHeight="false" outlineLevel="0" collapsed="false">
      <c r="A118" s="28"/>
      <c r="E118" s="2" t="str">
        <f aca="false">IF((F118&lt;&gt;0),"Enter Letter"," ")</f>
        <v> </v>
      </c>
      <c r="F118" s="30"/>
      <c r="G118" s="6" t="str">
        <f aca="false">IF(F118&lt;&gt;0,F118*G$2/(100+G$2)," ")</f>
        <v> </v>
      </c>
      <c r="H118" s="6" t="str">
        <f aca="false">IF((F118&lt;&gt;0),F118-G118," ")</f>
        <v> </v>
      </c>
      <c r="I118" s="5"/>
      <c r="L118" s="7" t="str">
        <f aca="false">IF(F118&lt;&gt;0,F118-K118," ")</f>
        <v> </v>
      </c>
      <c r="M118" s="8" t="str">
        <f aca="false">IF((F118-K118)&lt;&gt;0,M$1-A118," ")</f>
        <v> </v>
      </c>
      <c r="N118" s="5"/>
      <c r="O118" s="17" t="str">
        <f aca="false">IF((E118="s"),H118," ")</f>
        <v> </v>
      </c>
      <c r="P118" s="17" t="str">
        <f aca="false">IF((E118="c"),H118," ")</f>
        <v> </v>
      </c>
      <c r="Q118" s="17" t="str">
        <f aca="false">IF((E118="o"),H118," ")</f>
        <v> </v>
      </c>
      <c r="R118" s="17" t="str">
        <f aca="false">IF((E118="d"),H118," ")</f>
        <v> </v>
      </c>
      <c r="S118" s="17" t="str">
        <f aca="false">IF((E118="w"),H118," ")</f>
        <v> </v>
      </c>
      <c r="T118" s="17" t="str">
        <f aca="false">IF((E118="r"),H118," ")</f>
        <v> </v>
      </c>
      <c r="U118" s="17" t="str">
        <f aca="false">IF((E118="p"),H118," ")</f>
        <v> </v>
      </c>
      <c r="V118" s="17" t="str">
        <f aca="false">IF((E118="t"),H118," ")</f>
        <v> </v>
      </c>
      <c r="W118" s="17" t="str">
        <f aca="false">IF((E118="q"),H118," ")</f>
        <v> </v>
      </c>
      <c r="X118" s="17" t="str">
        <f aca="false">IF((E118="m"),H118," ")</f>
        <v> </v>
      </c>
      <c r="Y118" s="17" t="str">
        <f aca="false">IF((E118="u"),H118," ")</f>
        <v> </v>
      </c>
      <c r="Z118" s="17" t="str">
        <f aca="false">IF((E118="a"),H118," ")</f>
        <v> </v>
      </c>
      <c r="AA118" s="17" t="str">
        <f aca="false">IF((E118="g"),H118," ")</f>
        <v> </v>
      </c>
      <c r="AB118" s="17" t="str">
        <f aca="false">IF((E118="h"),H118," ")</f>
        <v> </v>
      </c>
      <c r="AC118" s="30" t="str">
        <f aca="false">IF((E118="v"),H118," ")</f>
        <v> </v>
      </c>
      <c r="AD118" s="30" t="str">
        <f aca="false">IF((E118="n"),H118," ")</f>
        <v> </v>
      </c>
      <c r="AE118" s="17" t="str">
        <f aca="false">IF((E118="f"),H118," ")</f>
        <v> </v>
      </c>
      <c r="AF118" s="17" t="str">
        <f aca="false">IF((E118="l"),H118," ")</f>
        <v> </v>
      </c>
      <c r="AG118" s="17" t="str">
        <f aca="false">IF((E118="y"),H118," ")</f>
        <v> </v>
      </c>
      <c r="AH118" s="17" t="str">
        <f aca="false">IF((E118="z"),H118," ")</f>
        <v> </v>
      </c>
      <c r="AI118" s="17" t="str">
        <f aca="false">IF((E118="fa"),H118," ")</f>
        <v> </v>
      </c>
      <c r="AJ118" s="17" t="str">
        <f aca="false">IF((E118="e"),H118," ")</f>
        <v> </v>
      </c>
    </row>
    <row r="119" customFormat="false" ht="12" hidden="false" customHeight="false" outlineLevel="0" collapsed="false">
      <c r="A119" s="28"/>
      <c r="E119" s="2" t="str">
        <f aca="false">IF((F119&lt;&gt;0),"Enter Letter"," ")</f>
        <v> </v>
      </c>
      <c r="F119" s="30"/>
      <c r="G119" s="6" t="str">
        <f aca="false">IF(F119&lt;&gt;0,F119*G$2/(100+G$2)," ")</f>
        <v> </v>
      </c>
      <c r="H119" s="6" t="str">
        <f aca="false">IF((F119&lt;&gt;0),F119-G119," ")</f>
        <v> </v>
      </c>
      <c r="I119" s="5"/>
      <c r="L119" s="7" t="str">
        <f aca="false">IF(F119&lt;&gt;0,F119-K119," ")</f>
        <v> </v>
      </c>
      <c r="M119" s="8" t="str">
        <f aca="false">IF((F119-K119)&lt;&gt;0,M$1-A119," ")</f>
        <v> </v>
      </c>
      <c r="N119" s="5"/>
      <c r="O119" s="17" t="str">
        <f aca="false">IF((E119="s"),H119," ")</f>
        <v> </v>
      </c>
      <c r="P119" s="17" t="str">
        <f aca="false">IF((E119="c"),H119," ")</f>
        <v> </v>
      </c>
      <c r="Q119" s="17" t="str">
        <f aca="false">IF((E119="o"),H119," ")</f>
        <v> </v>
      </c>
      <c r="R119" s="17" t="str">
        <f aca="false">IF((E119="d"),H119," ")</f>
        <v> </v>
      </c>
      <c r="S119" s="17" t="str">
        <f aca="false">IF((E119="w"),H119," ")</f>
        <v> </v>
      </c>
      <c r="T119" s="17" t="str">
        <f aca="false">IF((E119="r"),H119," ")</f>
        <v> </v>
      </c>
      <c r="U119" s="17" t="str">
        <f aca="false">IF((E119="p"),H119," ")</f>
        <v> </v>
      </c>
      <c r="V119" s="17" t="str">
        <f aca="false">IF((E119="t"),H119," ")</f>
        <v> </v>
      </c>
      <c r="W119" s="17" t="str">
        <f aca="false">IF((E119="q"),H119," ")</f>
        <v> </v>
      </c>
      <c r="X119" s="17" t="str">
        <f aca="false">IF((E119="m"),H119," ")</f>
        <v> </v>
      </c>
      <c r="Y119" s="17" t="str">
        <f aca="false">IF((E119="u"),H119," ")</f>
        <v> </v>
      </c>
      <c r="Z119" s="17" t="str">
        <f aca="false">IF((E119="a"),H119," ")</f>
        <v> </v>
      </c>
      <c r="AA119" s="17" t="str">
        <f aca="false">IF((E119="g"),H119," ")</f>
        <v> </v>
      </c>
      <c r="AB119" s="17" t="str">
        <f aca="false">IF((E119="h"),H119," ")</f>
        <v> </v>
      </c>
      <c r="AC119" s="30" t="str">
        <f aca="false">IF((E119="v"),H119," ")</f>
        <v> </v>
      </c>
      <c r="AD119" s="30" t="str">
        <f aca="false">IF((E119="n"),H119," ")</f>
        <v> </v>
      </c>
      <c r="AE119" s="17" t="str">
        <f aca="false">IF((E119="f"),H119," ")</f>
        <v> </v>
      </c>
      <c r="AF119" s="17" t="str">
        <f aca="false">IF((E119="l"),H119," ")</f>
        <v> </v>
      </c>
      <c r="AG119" s="17" t="str">
        <f aca="false">IF((E119="y"),H119," ")</f>
        <v> </v>
      </c>
      <c r="AH119" s="17" t="str">
        <f aca="false">IF((E119="z"),H119," ")</f>
        <v> </v>
      </c>
      <c r="AI119" s="17" t="str">
        <f aca="false">IF((E119="fa"),H119," ")</f>
        <v> </v>
      </c>
      <c r="AJ119" s="17" t="str">
        <f aca="false">IF((E119="e"),H119," ")</f>
        <v> </v>
      </c>
    </row>
    <row r="120" customFormat="false" ht="12" hidden="false" customHeight="false" outlineLevel="0" collapsed="false">
      <c r="A120" s="28"/>
      <c r="E120" s="2" t="str">
        <f aca="false">IF((F120&lt;&gt;0),"Enter Letter"," ")</f>
        <v> </v>
      </c>
      <c r="F120" s="30"/>
      <c r="G120" s="6" t="str">
        <f aca="false">IF(F120&lt;&gt;0,F120*G$2/(100+G$2)," ")</f>
        <v> </v>
      </c>
      <c r="H120" s="6" t="str">
        <f aca="false">IF((F120&lt;&gt;0),F120-G120," ")</f>
        <v> </v>
      </c>
      <c r="I120" s="5"/>
      <c r="L120" s="7" t="str">
        <f aca="false">IF(F120&lt;&gt;0,F120-K120," ")</f>
        <v> </v>
      </c>
      <c r="M120" s="8" t="str">
        <f aca="false">IF((F120-K120)&lt;&gt;0,M$1-A120," ")</f>
        <v> </v>
      </c>
      <c r="N120" s="5"/>
      <c r="O120" s="17" t="str">
        <f aca="false">IF((E120="s"),H120," ")</f>
        <v> </v>
      </c>
      <c r="P120" s="17" t="str">
        <f aca="false">IF((E120="c"),H120," ")</f>
        <v> </v>
      </c>
      <c r="Q120" s="17" t="str">
        <f aca="false">IF((E120="o"),H120," ")</f>
        <v> </v>
      </c>
      <c r="R120" s="17" t="str">
        <f aca="false">IF((E120="d"),H120," ")</f>
        <v> </v>
      </c>
      <c r="S120" s="17" t="str">
        <f aca="false">IF((E120="w"),H120," ")</f>
        <v> </v>
      </c>
      <c r="T120" s="17" t="str">
        <f aca="false">IF((E120="r"),H120," ")</f>
        <v> </v>
      </c>
      <c r="U120" s="17" t="str">
        <f aca="false">IF((E120="p"),H120," ")</f>
        <v> </v>
      </c>
      <c r="V120" s="17" t="str">
        <f aca="false">IF((E120="t"),H120," ")</f>
        <v> </v>
      </c>
      <c r="W120" s="17" t="str">
        <f aca="false">IF((E120="q"),H120," ")</f>
        <v> </v>
      </c>
      <c r="X120" s="17" t="str">
        <f aca="false">IF((E120="m"),H120," ")</f>
        <v> </v>
      </c>
      <c r="Y120" s="17" t="str">
        <f aca="false">IF((E120="u"),H120," ")</f>
        <v> </v>
      </c>
      <c r="Z120" s="17" t="str">
        <f aca="false">IF((E120="a"),H120," ")</f>
        <v> </v>
      </c>
      <c r="AA120" s="17" t="str">
        <f aca="false">IF((E120="g"),H120," ")</f>
        <v> </v>
      </c>
      <c r="AB120" s="17" t="str">
        <f aca="false">IF((E120="h"),H120," ")</f>
        <v> </v>
      </c>
      <c r="AC120" s="30" t="str">
        <f aca="false">IF((E120="v"),H120," ")</f>
        <v> </v>
      </c>
      <c r="AD120" s="30" t="str">
        <f aca="false">IF((E120="n"),H120," ")</f>
        <v> </v>
      </c>
      <c r="AE120" s="17" t="str">
        <f aca="false">IF((E120="f"),H120," ")</f>
        <v> </v>
      </c>
      <c r="AF120" s="17" t="str">
        <f aca="false">IF((E120="l"),H120," ")</f>
        <v> </v>
      </c>
      <c r="AG120" s="17" t="str">
        <f aca="false">IF((E120="y"),H120," ")</f>
        <v> </v>
      </c>
      <c r="AH120" s="17" t="str">
        <f aca="false">IF((E120="z"),H120," ")</f>
        <v> </v>
      </c>
      <c r="AI120" s="17" t="str">
        <f aca="false">IF((E120="fa"),H120," ")</f>
        <v> </v>
      </c>
      <c r="AJ120" s="17" t="str">
        <f aca="false">IF((E120="e"),H120," ")</f>
        <v> </v>
      </c>
    </row>
    <row r="121" customFormat="false" ht="12" hidden="false" customHeight="false" outlineLevel="0" collapsed="false">
      <c r="A121" s="28"/>
      <c r="E121" s="2" t="str">
        <f aca="false">IF((F121&lt;&gt;0),"Enter Letter"," ")</f>
        <v> </v>
      </c>
      <c r="F121" s="30"/>
      <c r="G121" s="6" t="str">
        <f aca="false">IF(F121&lt;&gt;0,F121*G$2/(100+G$2)," ")</f>
        <v> </v>
      </c>
      <c r="H121" s="6" t="str">
        <f aca="false">IF((F121&lt;&gt;0),F121-G121," ")</f>
        <v> </v>
      </c>
      <c r="I121" s="5"/>
      <c r="L121" s="7" t="str">
        <f aca="false">IF(F121&lt;&gt;0,F121-K121," ")</f>
        <v> </v>
      </c>
      <c r="M121" s="8" t="str">
        <f aca="false">IF((F121-K121)&lt;&gt;0,M$1-A121," ")</f>
        <v> </v>
      </c>
      <c r="N121" s="5"/>
      <c r="O121" s="17" t="str">
        <f aca="false">IF((E121="s"),H121," ")</f>
        <v> </v>
      </c>
      <c r="P121" s="17" t="str">
        <f aca="false">IF((E121="c"),H121," ")</f>
        <v> </v>
      </c>
      <c r="Q121" s="17" t="str">
        <f aca="false">IF((E121="o"),H121," ")</f>
        <v> </v>
      </c>
      <c r="R121" s="17" t="str">
        <f aca="false">IF((E121="d"),H121," ")</f>
        <v> </v>
      </c>
      <c r="S121" s="17" t="str">
        <f aca="false">IF((E121="w"),H121," ")</f>
        <v> </v>
      </c>
      <c r="T121" s="17" t="str">
        <f aca="false">IF((E121="r"),H121," ")</f>
        <v> </v>
      </c>
      <c r="U121" s="17" t="str">
        <f aca="false">IF((E121="p"),H121," ")</f>
        <v> </v>
      </c>
      <c r="V121" s="17" t="str">
        <f aca="false">IF((E121="t"),H121," ")</f>
        <v> </v>
      </c>
      <c r="W121" s="17" t="str">
        <f aca="false">IF((E121="q"),H121," ")</f>
        <v> </v>
      </c>
      <c r="X121" s="17" t="str">
        <f aca="false">IF((E121="m"),H121," ")</f>
        <v> </v>
      </c>
      <c r="Y121" s="17" t="str">
        <f aca="false">IF((E121="u"),H121," ")</f>
        <v> </v>
      </c>
      <c r="Z121" s="17" t="str">
        <f aca="false">IF((E121="a"),H121," ")</f>
        <v> </v>
      </c>
      <c r="AA121" s="17" t="str">
        <f aca="false">IF((E121="g"),H121," ")</f>
        <v> </v>
      </c>
      <c r="AB121" s="17" t="str">
        <f aca="false">IF((E121="h"),H121," ")</f>
        <v> </v>
      </c>
      <c r="AC121" s="30" t="str">
        <f aca="false">IF((E121="v"),H121," ")</f>
        <v> </v>
      </c>
      <c r="AD121" s="30" t="str">
        <f aca="false">IF((E121="n"),H121," ")</f>
        <v> </v>
      </c>
      <c r="AE121" s="17" t="str">
        <f aca="false">IF((E121="f"),H121," ")</f>
        <v> </v>
      </c>
      <c r="AF121" s="17" t="str">
        <f aca="false">IF((E121="l"),H121," ")</f>
        <v> </v>
      </c>
      <c r="AG121" s="17" t="str">
        <f aca="false">IF((E121="y"),H121," ")</f>
        <v> </v>
      </c>
      <c r="AH121" s="17" t="str">
        <f aca="false">IF((E121="z"),H121," ")</f>
        <v> </v>
      </c>
      <c r="AI121" s="17" t="str">
        <f aca="false">IF((E121="fa"),H121," ")</f>
        <v> </v>
      </c>
      <c r="AJ121" s="17" t="str">
        <f aca="false">IF((E121="e"),H121," ")</f>
        <v> </v>
      </c>
    </row>
    <row r="122" customFormat="false" ht="12" hidden="false" customHeight="false" outlineLevel="0" collapsed="false">
      <c r="A122" s="28"/>
      <c r="E122" s="2" t="str">
        <f aca="false">IF((F122&lt;&gt;0),"Enter Letter"," ")</f>
        <v> </v>
      </c>
      <c r="F122" s="30"/>
      <c r="G122" s="6" t="str">
        <f aca="false">IF(F122&lt;&gt;0,F122*G$2/(100+G$2)," ")</f>
        <v> </v>
      </c>
      <c r="H122" s="6" t="str">
        <f aca="false">IF((F122&lt;&gt;0),F122-G122," ")</f>
        <v> </v>
      </c>
      <c r="I122" s="5"/>
      <c r="L122" s="7" t="str">
        <f aca="false">IF(F122&lt;&gt;0,F122-K122," ")</f>
        <v> </v>
      </c>
      <c r="M122" s="8" t="str">
        <f aca="false">IF((F122-K122)&lt;&gt;0,M$1-A122," ")</f>
        <v> </v>
      </c>
      <c r="N122" s="5"/>
      <c r="O122" s="17" t="str">
        <f aca="false">IF((E122="s"),H122," ")</f>
        <v> </v>
      </c>
      <c r="P122" s="17" t="str">
        <f aca="false">IF((E122="c"),H122," ")</f>
        <v> </v>
      </c>
      <c r="Q122" s="17" t="str">
        <f aca="false">IF((E122="o"),H122," ")</f>
        <v> </v>
      </c>
      <c r="R122" s="17" t="str">
        <f aca="false">IF((E122="d"),H122," ")</f>
        <v> </v>
      </c>
      <c r="S122" s="17" t="str">
        <f aca="false">IF((E122="w"),H122," ")</f>
        <v> </v>
      </c>
      <c r="T122" s="17" t="str">
        <f aca="false">IF((E122="r"),H122," ")</f>
        <v> </v>
      </c>
      <c r="U122" s="17" t="str">
        <f aca="false">IF((E122="p"),H122," ")</f>
        <v> </v>
      </c>
      <c r="V122" s="17" t="str">
        <f aca="false">IF((E122="t"),H122," ")</f>
        <v> </v>
      </c>
      <c r="W122" s="17" t="str">
        <f aca="false">IF((E122="q"),H122," ")</f>
        <v> </v>
      </c>
      <c r="X122" s="17" t="str">
        <f aca="false">IF((E122="m"),H122," ")</f>
        <v> </v>
      </c>
      <c r="Y122" s="17" t="str">
        <f aca="false">IF((E122="u"),H122," ")</f>
        <v> </v>
      </c>
      <c r="Z122" s="17" t="str">
        <f aca="false">IF((E122="a"),H122," ")</f>
        <v> </v>
      </c>
      <c r="AA122" s="17" t="str">
        <f aca="false">IF((E122="g"),H122," ")</f>
        <v> </v>
      </c>
      <c r="AB122" s="17" t="str">
        <f aca="false">IF((E122="h"),H122," ")</f>
        <v> </v>
      </c>
      <c r="AC122" s="30" t="str">
        <f aca="false">IF((E122="v"),H122," ")</f>
        <v> </v>
      </c>
      <c r="AD122" s="30" t="str">
        <f aca="false">IF((E122="n"),H122," ")</f>
        <v> </v>
      </c>
      <c r="AE122" s="17" t="str">
        <f aca="false">IF((E122="f"),H122," ")</f>
        <v> </v>
      </c>
      <c r="AF122" s="17" t="str">
        <f aca="false">IF((E122="l"),H122," ")</f>
        <v> </v>
      </c>
      <c r="AG122" s="17" t="str">
        <f aca="false">IF((E122="y"),H122," ")</f>
        <v> </v>
      </c>
      <c r="AH122" s="17" t="str">
        <f aca="false">IF((E122="z"),H122," ")</f>
        <v> </v>
      </c>
      <c r="AI122" s="17" t="str">
        <f aca="false">IF((E122="fa"),H122," ")</f>
        <v> </v>
      </c>
      <c r="AJ122" s="17" t="str">
        <f aca="false">IF((E122="e"),H122," ")</f>
        <v> </v>
      </c>
    </row>
    <row r="123" customFormat="false" ht="12" hidden="false" customHeight="false" outlineLevel="0" collapsed="false">
      <c r="A123" s="28"/>
      <c r="E123" s="2" t="str">
        <f aca="false">IF((F123&lt;&gt;0),"Enter Letter"," ")</f>
        <v> </v>
      </c>
      <c r="F123" s="30"/>
      <c r="G123" s="6" t="str">
        <f aca="false">IF(F123&lt;&gt;0,F123*G$2/(100+G$2)," ")</f>
        <v> </v>
      </c>
      <c r="H123" s="6" t="str">
        <f aca="false">IF((F123&lt;&gt;0),F123-G123," ")</f>
        <v> </v>
      </c>
      <c r="I123" s="5"/>
      <c r="L123" s="7" t="str">
        <f aca="false">IF(F123&lt;&gt;0,F123-K123," ")</f>
        <v> </v>
      </c>
      <c r="M123" s="8" t="str">
        <f aca="false">IF((F123-K123)&lt;&gt;0,M$1-A123," ")</f>
        <v> </v>
      </c>
      <c r="N123" s="5"/>
      <c r="O123" s="17" t="str">
        <f aca="false">IF((E123="s"),H123," ")</f>
        <v> </v>
      </c>
      <c r="P123" s="17" t="str">
        <f aca="false">IF((E123="c"),H123," ")</f>
        <v> </v>
      </c>
      <c r="Q123" s="17" t="str">
        <f aca="false">IF((E123="o"),H123," ")</f>
        <v> </v>
      </c>
      <c r="R123" s="17" t="str">
        <f aca="false">IF((E123="d"),H123," ")</f>
        <v> </v>
      </c>
      <c r="S123" s="17" t="str">
        <f aca="false">IF((E123="w"),H123," ")</f>
        <v> </v>
      </c>
      <c r="T123" s="17" t="str">
        <f aca="false">IF((E123="r"),H123," ")</f>
        <v> </v>
      </c>
      <c r="U123" s="17" t="str">
        <f aca="false">IF((E123="p"),H123," ")</f>
        <v> </v>
      </c>
      <c r="V123" s="17" t="str">
        <f aca="false">IF((E123="t"),H123," ")</f>
        <v> </v>
      </c>
      <c r="W123" s="17" t="str">
        <f aca="false">IF((E123="q"),H123," ")</f>
        <v> </v>
      </c>
      <c r="X123" s="17" t="str">
        <f aca="false">IF((E123="m"),H123," ")</f>
        <v> </v>
      </c>
      <c r="Y123" s="17" t="str">
        <f aca="false">IF((E123="u"),H123," ")</f>
        <v> </v>
      </c>
      <c r="Z123" s="17" t="str">
        <f aca="false">IF((E123="a"),H123," ")</f>
        <v> </v>
      </c>
      <c r="AA123" s="17" t="str">
        <f aca="false">IF((E123="g"),H123," ")</f>
        <v> </v>
      </c>
      <c r="AB123" s="17" t="str">
        <f aca="false">IF((E123="h"),H123," ")</f>
        <v> </v>
      </c>
      <c r="AC123" s="30" t="str">
        <f aca="false">IF((E123="v"),H123," ")</f>
        <v> </v>
      </c>
      <c r="AD123" s="30" t="str">
        <f aca="false">IF((E123="n"),H123," ")</f>
        <v> </v>
      </c>
      <c r="AE123" s="17" t="str">
        <f aca="false">IF((E123="f"),H123," ")</f>
        <v> </v>
      </c>
      <c r="AF123" s="17" t="str">
        <f aca="false">IF((E123="l"),H123," ")</f>
        <v> </v>
      </c>
      <c r="AG123" s="17" t="str">
        <f aca="false">IF((E123="y"),H123," ")</f>
        <v> </v>
      </c>
      <c r="AH123" s="17" t="str">
        <f aca="false">IF((E123="z"),H123," ")</f>
        <v> </v>
      </c>
      <c r="AI123" s="17" t="str">
        <f aca="false">IF((E123="fa"),H123," ")</f>
        <v> </v>
      </c>
      <c r="AJ123" s="17" t="str">
        <f aca="false">IF((E123="e"),H123," ")</f>
        <v> </v>
      </c>
    </row>
    <row r="124" customFormat="false" ht="12" hidden="false" customHeight="false" outlineLevel="0" collapsed="false">
      <c r="A124" s="28"/>
      <c r="E124" s="2" t="str">
        <f aca="false">IF((F124&lt;&gt;0),"Enter Letter"," ")</f>
        <v> </v>
      </c>
      <c r="F124" s="30"/>
      <c r="G124" s="6" t="str">
        <f aca="false">IF(F124&lt;&gt;0,F124*G$2/(100+G$2)," ")</f>
        <v> </v>
      </c>
      <c r="H124" s="6" t="str">
        <f aca="false">IF((F124&lt;&gt;0),F124-G124," ")</f>
        <v> </v>
      </c>
      <c r="I124" s="5"/>
      <c r="L124" s="7" t="str">
        <f aca="false">IF(F124&lt;&gt;0,F124-K124," ")</f>
        <v> </v>
      </c>
      <c r="M124" s="8" t="str">
        <f aca="false">IF((F124-K124)&lt;&gt;0,M$1-A124," ")</f>
        <v> </v>
      </c>
      <c r="N124" s="5"/>
      <c r="O124" s="17" t="str">
        <f aca="false">IF((E124="s"),H124," ")</f>
        <v> </v>
      </c>
      <c r="P124" s="17" t="str">
        <f aca="false">IF((E124="c"),H124," ")</f>
        <v> </v>
      </c>
      <c r="Q124" s="17" t="str">
        <f aca="false">IF((E124="o"),H124," ")</f>
        <v> </v>
      </c>
      <c r="R124" s="17" t="str">
        <f aca="false">IF((E124="d"),H124," ")</f>
        <v> </v>
      </c>
      <c r="S124" s="17" t="str">
        <f aca="false">IF((E124="w"),H124," ")</f>
        <v> </v>
      </c>
      <c r="T124" s="17" t="str">
        <f aca="false">IF((E124="r"),H124," ")</f>
        <v> </v>
      </c>
      <c r="U124" s="17" t="str">
        <f aca="false">IF((E124="p"),H124," ")</f>
        <v> </v>
      </c>
      <c r="V124" s="17" t="str">
        <f aca="false">IF((E124="t"),H124," ")</f>
        <v> </v>
      </c>
      <c r="W124" s="17" t="str">
        <f aca="false">IF((E124="q"),H124," ")</f>
        <v> </v>
      </c>
      <c r="X124" s="17" t="str">
        <f aca="false">IF((E124="m"),H124," ")</f>
        <v> </v>
      </c>
      <c r="Y124" s="17" t="str">
        <f aca="false">IF((E124="u"),H124," ")</f>
        <v> </v>
      </c>
      <c r="Z124" s="17" t="str">
        <f aca="false">IF((E124="a"),H124," ")</f>
        <v> </v>
      </c>
      <c r="AA124" s="17" t="str">
        <f aca="false">IF((E124="g"),H124," ")</f>
        <v> </v>
      </c>
      <c r="AB124" s="17" t="str">
        <f aca="false">IF((E124="h"),H124," ")</f>
        <v> </v>
      </c>
      <c r="AC124" s="30" t="str">
        <f aca="false">IF((E124="v"),H124," ")</f>
        <v> </v>
      </c>
      <c r="AD124" s="30" t="str">
        <f aca="false">IF((E124="n"),H124," ")</f>
        <v> </v>
      </c>
      <c r="AE124" s="17" t="str">
        <f aca="false">IF((E124="f"),H124," ")</f>
        <v> </v>
      </c>
      <c r="AF124" s="17" t="str">
        <f aca="false">IF((E124="l"),H124," ")</f>
        <v> </v>
      </c>
      <c r="AG124" s="17" t="str">
        <f aca="false">IF((E124="y"),H124," ")</f>
        <v> </v>
      </c>
      <c r="AH124" s="17" t="str">
        <f aca="false">IF((E124="z"),H124," ")</f>
        <v> </v>
      </c>
      <c r="AI124" s="17" t="str">
        <f aca="false">IF((E124="fa"),H124," ")</f>
        <v> </v>
      </c>
      <c r="AJ124" s="17" t="str">
        <f aca="false">IF((E124="e"),H124," ")</f>
        <v> </v>
      </c>
    </row>
    <row r="125" customFormat="false" ht="12" hidden="false" customHeight="false" outlineLevel="0" collapsed="false">
      <c r="A125" s="28"/>
      <c r="E125" s="2" t="str">
        <f aca="false">IF((F125&lt;&gt;0),"Enter Letter"," ")</f>
        <v> </v>
      </c>
      <c r="F125" s="30"/>
      <c r="G125" s="6" t="str">
        <f aca="false">IF(F125&lt;&gt;0,F125*G$2/(100+G$2)," ")</f>
        <v> </v>
      </c>
      <c r="H125" s="6" t="str">
        <f aca="false">IF((F125&lt;&gt;0),F125-G125," ")</f>
        <v> </v>
      </c>
      <c r="I125" s="5"/>
      <c r="L125" s="7" t="str">
        <f aca="false">IF(F125&lt;&gt;0,F125-K125," ")</f>
        <v> </v>
      </c>
      <c r="M125" s="8" t="str">
        <f aca="false">IF((F125-K125)&lt;&gt;0,M$1-A125," ")</f>
        <v> </v>
      </c>
      <c r="N125" s="5"/>
      <c r="O125" s="17" t="str">
        <f aca="false">IF((E125="s"),H125," ")</f>
        <v> </v>
      </c>
      <c r="P125" s="17" t="str">
        <f aca="false">IF((E125="c"),H125," ")</f>
        <v> </v>
      </c>
      <c r="Q125" s="17" t="str">
        <f aca="false">IF((E125="o"),H125," ")</f>
        <v> </v>
      </c>
      <c r="R125" s="17" t="str">
        <f aca="false">IF((E125="d"),H125," ")</f>
        <v> </v>
      </c>
      <c r="S125" s="17" t="str">
        <f aca="false">IF((E125="w"),H125," ")</f>
        <v> </v>
      </c>
      <c r="T125" s="17" t="str">
        <f aca="false">IF((E125="r"),H125," ")</f>
        <v> </v>
      </c>
      <c r="U125" s="17" t="str">
        <f aca="false">IF((E125="p"),H125," ")</f>
        <v> </v>
      </c>
      <c r="V125" s="17" t="str">
        <f aca="false">IF((E125="t"),H125," ")</f>
        <v> </v>
      </c>
      <c r="W125" s="17" t="str">
        <f aca="false">IF((E125="q"),H125," ")</f>
        <v> </v>
      </c>
      <c r="X125" s="17" t="str">
        <f aca="false">IF((E125="m"),H125," ")</f>
        <v> </v>
      </c>
      <c r="Y125" s="17" t="str">
        <f aca="false">IF((E125="u"),H125," ")</f>
        <v> </v>
      </c>
      <c r="Z125" s="17" t="str">
        <f aca="false">IF((E125="a"),H125," ")</f>
        <v> </v>
      </c>
      <c r="AA125" s="17" t="str">
        <f aca="false">IF((E125="g"),H125," ")</f>
        <v> </v>
      </c>
      <c r="AB125" s="17" t="str">
        <f aca="false">IF((E125="h"),H125," ")</f>
        <v> </v>
      </c>
      <c r="AC125" s="30" t="str">
        <f aca="false">IF((E125="v"),H125," ")</f>
        <v> </v>
      </c>
      <c r="AD125" s="30" t="str">
        <f aca="false">IF((E125="n"),H125," ")</f>
        <v> </v>
      </c>
      <c r="AE125" s="17" t="str">
        <f aca="false">IF((E125="f"),H125," ")</f>
        <v> </v>
      </c>
      <c r="AF125" s="17" t="str">
        <f aca="false">IF((E125="l"),H125," ")</f>
        <v> </v>
      </c>
      <c r="AG125" s="17" t="str">
        <f aca="false">IF((E125="y"),H125," ")</f>
        <v> </v>
      </c>
      <c r="AH125" s="17" t="str">
        <f aca="false">IF((E125="z"),H125," ")</f>
        <v> </v>
      </c>
      <c r="AI125" s="17" t="str">
        <f aca="false">IF((E125="fa"),H125," ")</f>
        <v> </v>
      </c>
      <c r="AJ125" s="17" t="str">
        <f aca="false">IF((E125="e"),H125," ")</f>
        <v> </v>
      </c>
    </row>
    <row r="126" customFormat="false" ht="12" hidden="false" customHeight="false" outlineLevel="0" collapsed="false">
      <c r="A126" s="28"/>
      <c r="E126" s="2" t="str">
        <f aca="false">IF((F126&lt;&gt;0),"Enter Letter"," ")</f>
        <v> </v>
      </c>
      <c r="F126" s="30"/>
      <c r="G126" s="6" t="str">
        <f aca="false">IF(F126&lt;&gt;0,F126*G$2/(100+G$2)," ")</f>
        <v> </v>
      </c>
      <c r="H126" s="6" t="str">
        <f aca="false">IF((F126&lt;&gt;0),F126-G126," ")</f>
        <v> </v>
      </c>
      <c r="I126" s="5"/>
      <c r="L126" s="7" t="str">
        <f aca="false">IF(F126&lt;&gt;0,F126-K126," ")</f>
        <v> </v>
      </c>
      <c r="M126" s="8" t="str">
        <f aca="false">IF((F126-K126)&lt;&gt;0,M$1-A126," ")</f>
        <v> </v>
      </c>
      <c r="N126" s="5"/>
      <c r="O126" s="17" t="str">
        <f aca="false">IF((E126="s"),H126," ")</f>
        <v> </v>
      </c>
      <c r="P126" s="17" t="str">
        <f aca="false">IF((E126="c"),H126," ")</f>
        <v> </v>
      </c>
      <c r="Q126" s="17" t="str">
        <f aca="false">IF((E126="o"),H126," ")</f>
        <v> </v>
      </c>
      <c r="R126" s="17" t="str">
        <f aca="false">IF((E126="d"),H126," ")</f>
        <v> </v>
      </c>
      <c r="S126" s="17" t="str">
        <f aca="false">IF((E126="w"),H126," ")</f>
        <v> </v>
      </c>
      <c r="T126" s="17" t="str">
        <f aca="false">IF((E126="r"),H126," ")</f>
        <v> </v>
      </c>
      <c r="U126" s="17" t="str">
        <f aca="false">IF((E126="p"),H126," ")</f>
        <v> </v>
      </c>
      <c r="V126" s="17" t="str">
        <f aca="false">IF((E126="t"),H126," ")</f>
        <v> </v>
      </c>
      <c r="W126" s="17" t="str">
        <f aca="false">IF((E126="q"),H126," ")</f>
        <v> </v>
      </c>
      <c r="X126" s="17" t="str">
        <f aca="false">IF((E126="m"),H126," ")</f>
        <v> </v>
      </c>
      <c r="Y126" s="17" t="str">
        <f aca="false">IF((E126="u"),H126," ")</f>
        <v> </v>
      </c>
      <c r="Z126" s="17" t="str">
        <f aca="false">IF((E126="a"),H126," ")</f>
        <v> </v>
      </c>
      <c r="AA126" s="17" t="str">
        <f aca="false">IF((E126="g"),H126," ")</f>
        <v> </v>
      </c>
      <c r="AB126" s="17" t="str">
        <f aca="false">IF((E126="h"),H126," ")</f>
        <v> </v>
      </c>
      <c r="AC126" s="30" t="str">
        <f aca="false">IF((E126="v"),H126," ")</f>
        <v> </v>
      </c>
      <c r="AD126" s="30" t="str">
        <f aca="false">IF((E126="n"),H126," ")</f>
        <v> </v>
      </c>
      <c r="AE126" s="17" t="str">
        <f aca="false">IF((E126="f"),H126," ")</f>
        <v> </v>
      </c>
      <c r="AF126" s="17" t="str">
        <f aca="false">IF((E126="l"),H126," ")</f>
        <v> </v>
      </c>
      <c r="AG126" s="17" t="str">
        <f aca="false">IF((E126="y"),H126," ")</f>
        <v> </v>
      </c>
      <c r="AH126" s="17" t="str">
        <f aca="false">IF((E126="z"),H126," ")</f>
        <v> </v>
      </c>
      <c r="AI126" s="17" t="str">
        <f aca="false">IF((E126="fa"),H126," ")</f>
        <v> </v>
      </c>
      <c r="AJ126" s="17" t="str">
        <f aca="false">IF((E126="e"),H126," ")</f>
        <v> </v>
      </c>
    </row>
    <row r="127" customFormat="false" ht="12" hidden="false" customHeight="false" outlineLevel="0" collapsed="false">
      <c r="A127" s="28"/>
      <c r="E127" s="2" t="str">
        <f aca="false">IF((F127&lt;&gt;0),"Enter Letter"," ")</f>
        <v> </v>
      </c>
      <c r="F127" s="30"/>
      <c r="G127" s="6" t="str">
        <f aca="false">IF(F127&lt;&gt;0,F127*G$2/(100+G$2)," ")</f>
        <v> </v>
      </c>
      <c r="H127" s="6" t="str">
        <f aca="false">IF((F127&lt;&gt;0),F127-G127," ")</f>
        <v> </v>
      </c>
      <c r="I127" s="5"/>
      <c r="L127" s="7" t="str">
        <f aca="false">IF(F127&lt;&gt;0,F127-K127," ")</f>
        <v> </v>
      </c>
      <c r="M127" s="8" t="str">
        <f aca="false">IF((F127-K127)&lt;&gt;0,M$1-A127," ")</f>
        <v> </v>
      </c>
      <c r="N127" s="5"/>
      <c r="O127" s="17" t="str">
        <f aca="false">IF((E127="s"),H127," ")</f>
        <v> </v>
      </c>
      <c r="P127" s="17" t="str">
        <f aca="false">IF((E127="c"),H127," ")</f>
        <v> </v>
      </c>
      <c r="Q127" s="17" t="str">
        <f aca="false">IF((E127="o"),H127," ")</f>
        <v> </v>
      </c>
      <c r="R127" s="17" t="str">
        <f aca="false">IF((E127="d"),H127," ")</f>
        <v> </v>
      </c>
      <c r="S127" s="17" t="str">
        <f aca="false">IF((E127="w"),H127," ")</f>
        <v> </v>
      </c>
      <c r="T127" s="17" t="str">
        <f aca="false">IF((E127="r"),H127," ")</f>
        <v> </v>
      </c>
      <c r="U127" s="17" t="str">
        <f aca="false">IF((E127="p"),H127," ")</f>
        <v> </v>
      </c>
      <c r="V127" s="17" t="str">
        <f aca="false">IF((E127="t"),H127," ")</f>
        <v> </v>
      </c>
      <c r="W127" s="17" t="str">
        <f aca="false">IF((E127="q"),H127," ")</f>
        <v> </v>
      </c>
      <c r="X127" s="17" t="str">
        <f aca="false">IF((E127="m"),H127," ")</f>
        <v> </v>
      </c>
      <c r="Y127" s="17" t="str">
        <f aca="false">IF((E127="u"),H127," ")</f>
        <v> </v>
      </c>
      <c r="Z127" s="17" t="str">
        <f aca="false">IF((E127="a"),H127," ")</f>
        <v> </v>
      </c>
      <c r="AA127" s="17" t="str">
        <f aca="false">IF((E127="g"),H127," ")</f>
        <v> </v>
      </c>
      <c r="AB127" s="17" t="str">
        <f aca="false">IF((E127="h"),H127," ")</f>
        <v> </v>
      </c>
      <c r="AC127" s="30" t="str">
        <f aca="false">IF((E127="v"),H127," ")</f>
        <v> </v>
      </c>
      <c r="AD127" s="30" t="str">
        <f aca="false">IF((E127="n"),H127," ")</f>
        <v> </v>
      </c>
      <c r="AE127" s="17" t="str">
        <f aca="false">IF((E127="f"),H127," ")</f>
        <v> </v>
      </c>
      <c r="AF127" s="17" t="str">
        <f aca="false">IF((E127="l"),H127," ")</f>
        <v> </v>
      </c>
      <c r="AG127" s="17" t="str">
        <f aca="false">IF((E127="y"),H127," ")</f>
        <v> </v>
      </c>
      <c r="AH127" s="17" t="str">
        <f aca="false">IF((E127="z"),H127," ")</f>
        <v> </v>
      </c>
      <c r="AI127" s="17" t="str">
        <f aca="false">IF((E127="fa"),H127," ")</f>
        <v> </v>
      </c>
      <c r="AJ127" s="17" t="str">
        <f aca="false">IF((E127="e"),H127," ")</f>
        <v> </v>
      </c>
    </row>
    <row r="128" customFormat="false" ht="12" hidden="false" customHeight="false" outlineLevel="0" collapsed="false">
      <c r="A128" s="28"/>
      <c r="E128" s="2" t="str">
        <f aca="false">IF((F128&lt;&gt;0),"Enter Letter"," ")</f>
        <v> </v>
      </c>
      <c r="F128" s="30"/>
      <c r="G128" s="6" t="str">
        <f aca="false">IF(F128&lt;&gt;0,F128*G$2/(100+G$2)," ")</f>
        <v> </v>
      </c>
      <c r="H128" s="6" t="str">
        <f aca="false">IF((F128&lt;&gt;0),F128-G128," ")</f>
        <v> </v>
      </c>
      <c r="I128" s="5"/>
      <c r="L128" s="7" t="str">
        <f aca="false">IF(F128&lt;&gt;0,F128-K128," ")</f>
        <v> </v>
      </c>
      <c r="M128" s="8" t="str">
        <f aca="false">IF((F128-K128)&lt;&gt;0,M$1-A128," ")</f>
        <v> </v>
      </c>
      <c r="N128" s="5"/>
      <c r="O128" s="17" t="str">
        <f aca="false">IF((E128="s"),H128," ")</f>
        <v> </v>
      </c>
      <c r="P128" s="17" t="str">
        <f aca="false">IF((E128="c"),H128," ")</f>
        <v> </v>
      </c>
      <c r="Q128" s="17" t="str">
        <f aca="false">IF((E128="o"),H128," ")</f>
        <v> </v>
      </c>
      <c r="R128" s="17" t="str">
        <f aca="false">IF((E128="d"),H128," ")</f>
        <v> </v>
      </c>
      <c r="S128" s="17" t="str">
        <f aca="false">IF((E128="w"),H128," ")</f>
        <v> </v>
      </c>
      <c r="T128" s="17" t="str">
        <f aca="false">IF((E128="r"),H128," ")</f>
        <v> </v>
      </c>
      <c r="U128" s="17" t="str">
        <f aca="false">IF((E128="p"),H128," ")</f>
        <v> </v>
      </c>
      <c r="V128" s="17" t="str">
        <f aca="false">IF((E128="t"),H128," ")</f>
        <v> </v>
      </c>
      <c r="W128" s="17" t="str">
        <f aca="false">IF((E128="q"),H128," ")</f>
        <v> </v>
      </c>
      <c r="X128" s="17" t="str">
        <f aca="false">IF((E128="m"),H128," ")</f>
        <v> </v>
      </c>
      <c r="Y128" s="17" t="str">
        <f aca="false">IF((E128="u"),H128," ")</f>
        <v> </v>
      </c>
      <c r="Z128" s="17" t="str">
        <f aca="false">IF((E128="a"),H128," ")</f>
        <v> </v>
      </c>
      <c r="AA128" s="17" t="str">
        <f aca="false">IF((E128="g"),H128," ")</f>
        <v> </v>
      </c>
      <c r="AB128" s="17" t="str">
        <f aca="false">IF((E128="h"),H128," ")</f>
        <v> </v>
      </c>
      <c r="AC128" s="30" t="str">
        <f aca="false">IF((E128="v"),H128," ")</f>
        <v> </v>
      </c>
      <c r="AD128" s="30" t="str">
        <f aca="false">IF((E128="n"),H128," ")</f>
        <v> </v>
      </c>
      <c r="AE128" s="17" t="str">
        <f aca="false">IF((E128="f"),H128," ")</f>
        <v> </v>
      </c>
      <c r="AF128" s="17" t="str">
        <f aca="false">IF((E128="l"),H128," ")</f>
        <v> </v>
      </c>
      <c r="AG128" s="17" t="str">
        <f aca="false">IF((E128="y"),H128," ")</f>
        <v> </v>
      </c>
      <c r="AH128" s="17" t="str">
        <f aca="false">IF((E128="z"),H128," ")</f>
        <v> </v>
      </c>
      <c r="AI128" s="17" t="str">
        <f aca="false">IF((E128="fa"),H128," ")</f>
        <v> </v>
      </c>
      <c r="AJ128" s="17" t="str">
        <f aca="false">IF((E128="e"),H128," ")</f>
        <v> </v>
      </c>
    </row>
    <row r="129" customFormat="false" ht="12" hidden="false" customHeight="false" outlineLevel="0" collapsed="false">
      <c r="A129" s="28"/>
      <c r="E129" s="2" t="str">
        <f aca="false">IF((F129&lt;&gt;0),"Enter Letter"," ")</f>
        <v> </v>
      </c>
      <c r="F129" s="30"/>
      <c r="G129" s="6" t="str">
        <f aca="false">IF(F129&lt;&gt;0,F129*G$2/(100+G$2)," ")</f>
        <v> </v>
      </c>
      <c r="H129" s="6" t="str">
        <f aca="false">IF((F129&lt;&gt;0),F129-G129," ")</f>
        <v> </v>
      </c>
      <c r="I129" s="5"/>
      <c r="L129" s="7" t="str">
        <f aca="false">IF(F129&lt;&gt;0,F129-K129," ")</f>
        <v> </v>
      </c>
      <c r="M129" s="8" t="str">
        <f aca="false">IF((F129-K129)&lt;&gt;0,M$1-A129," ")</f>
        <v> </v>
      </c>
      <c r="N129" s="5"/>
      <c r="O129" s="17" t="str">
        <f aca="false">IF((E129="s"),H129," ")</f>
        <v> </v>
      </c>
      <c r="P129" s="17" t="str">
        <f aca="false">IF((E129="c"),H129," ")</f>
        <v> </v>
      </c>
      <c r="Q129" s="17" t="str">
        <f aca="false">IF((E129="o"),H129," ")</f>
        <v> </v>
      </c>
      <c r="R129" s="17" t="str">
        <f aca="false">IF((E129="d"),H129," ")</f>
        <v> </v>
      </c>
      <c r="S129" s="17" t="str">
        <f aca="false">IF((E129="w"),H129," ")</f>
        <v> </v>
      </c>
      <c r="T129" s="17" t="str">
        <f aca="false">IF((E129="r"),H129," ")</f>
        <v> </v>
      </c>
      <c r="U129" s="17" t="str">
        <f aca="false">IF((E129="p"),H129," ")</f>
        <v> </v>
      </c>
      <c r="V129" s="17" t="str">
        <f aca="false">IF((E129="t"),H129," ")</f>
        <v> </v>
      </c>
      <c r="W129" s="17" t="str">
        <f aca="false">IF((E129="q"),H129," ")</f>
        <v> </v>
      </c>
      <c r="X129" s="17" t="str">
        <f aca="false">IF((E129="m"),H129," ")</f>
        <v> </v>
      </c>
      <c r="Y129" s="17" t="str">
        <f aca="false">IF((E129="u"),H129," ")</f>
        <v> </v>
      </c>
      <c r="Z129" s="17" t="str">
        <f aca="false">IF((E129="a"),H129," ")</f>
        <v> </v>
      </c>
      <c r="AA129" s="17" t="str">
        <f aca="false">IF((E129="g"),H129," ")</f>
        <v> </v>
      </c>
      <c r="AB129" s="17" t="str">
        <f aca="false">IF((E129="h"),H129," ")</f>
        <v> </v>
      </c>
      <c r="AC129" s="30" t="str">
        <f aca="false">IF((E129="v"),H129," ")</f>
        <v> </v>
      </c>
      <c r="AD129" s="30" t="str">
        <f aca="false">IF((E129="n"),H129," ")</f>
        <v> </v>
      </c>
      <c r="AE129" s="17" t="str">
        <f aca="false">IF((E129="f"),H129," ")</f>
        <v> </v>
      </c>
      <c r="AF129" s="17" t="str">
        <f aca="false">IF((E129="l"),H129," ")</f>
        <v> </v>
      </c>
      <c r="AG129" s="17" t="str">
        <f aca="false">IF((E129="y"),H129," ")</f>
        <v> </v>
      </c>
      <c r="AH129" s="17" t="str">
        <f aca="false">IF((E129="z"),H129," ")</f>
        <v> </v>
      </c>
      <c r="AI129" s="17" t="str">
        <f aca="false">IF((E129="fa"),H129," ")</f>
        <v> </v>
      </c>
      <c r="AJ129" s="17" t="str">
        <f aca="false">IF((E129="e"),H129," ")</f>
        <v> </v>
      </c>
    </row>
    <row r="130" customFormat="false" ht="12" hidden="false" customHeight="false" outlineLevel="0" collapsed="false">
      <c r="A130" s="28"/>
      <c r="E130" s="2" t="str">
        <f aca="false">IF((F130&lt;&gt;0),"Enter Letter"," ")</f>
        <v> </v>
      </c>
      <c r="F130" s="30"/>
      <c r="G130" s="6" t="str">
        <f aca="false">IF(F130&lt;&gt;0,F130*G$2/(100+G$2)," ")</f>
        <v> </v>
      </c>
      <c r="H130" s="6" t="str">
        <f aca="false">IF((F130&lt;&gt;0),F130-G130," ")</f>
        <v> </v>
      </c>
      <c r="I130" s="5"/>
      <c r="L130" s="7" t="str">
        <f aca="false">IF(F130&lt;&gt;0,F130-K130," ")</f>
        <v> </v>
      </c>
      <c r="M130" s="8" t="str">
        <f aca="false">IF((F130-K130)&lt;&gt;0,M$1-A130," ")</f>
        <v> </v>
      </c>
      <c r="N130" s="5"/>
      <c r="O130" s="17" t="str">
        <f aca="false">IF((E130="s"),H130," ")</f>
        <v> </v>
      </c>
      <c r="P130" s="17" t="str">
        <f aca="false">IF((E130="c"),H130," ")</f>
        <v> </v>
      </c>
      <c r="Q130" s="17" t="str">
        <f aca="false">IF((E130="o"),H130," ")</f>
        <v> </v>
      </c>
      <c r="R130" s="17" t="str">
        <f aca="false">IF((E130="d"),H130," ")</f>
        <v> </v>
      </c>
      <c r="S130" s="17" t="str">
        <f aca="false">IF((E130="w"),H130," ")</f>
        <v> </v>
      </c>
      <c r="T130" s="17" t="str">
        <f aca="false">IF((E130="r"),H130," ")</f>
        <v> </v>
      </c>
      <c r="U130" s="17" t="str">
        <f aca="false">IF((E130="p"),H130," ")</f>
        <v> </v>
      </c>
      <c r="V130" s="17" t="str">
        <f aca="false">IF((E130="t"),H130," ")</f>
        <v> </v>
      </c>
      <c r="W130" s="17" t="str">
        <f aca="false">IF((E130="q"),H130," ")</f>
        <v> </v>
      </c>
      <c r="X130" s="17" t="str">
        <f aca="false">IF((E130="m"),H130," ")</f>
        <v> </v>
      </c>
      <c r="Y130" s="17" t="str">
        <f aca="false">IF((E130="u"),H130," ")</f>
        <v> </v>
      </c>
      <c r="Z130" s="17" t="str">
        <f aca="false">IF((E130="a"),H130," ")</f>
        <v> </v>
      </c>
      <c r="AA130" s="17" t="str">
        <f aca="false">IF((E130="g"),H130," ")</f>
        <v> </v>
      </c>
      <c r="AB130" s="17" t="str">
        <f aca="false">IF((E130="h"),H130," ")</f>
        <v> </v>
      </c>
      <c r="AC130" s="30" t="str">
        <f aca="false">IF((E130="v"),H130," ")</f>
        <v> </v>
      </c>
      <c r="AD130" s="30" t="str">
        <f aca="false">IF((E130="n"),H130," ")</f>
        <v> </v>
      </c>
      <c r="AE130" s="17" t="str">
        <f aca="false">IF((E130="f"),H130," ")</f>
        <v> </v>
      </c>
      <c r="AF130" s="17" t="str">
        <f aca="false">IF((E130="l"),H130," ")</f>
        <v> </v>
      </c>
      <c r="AG130" s="17" t="str">
        <f aca="false">IF((E130="y"),H130," ")</f>
        <v> </v>
      </c>
      <c r="AH130" s="17" t="str">
        <f aca="false">IF((E130="z"),H130," ")</f>
        <v> </v>
      </c>
      <c r="AI130" s="17" t="str">
        <f aca="false">IF((E130="fa"),H130," ")</f>
        <v> </v>
      </c>
      <c r="AJ130" s="17" t="str">
        <f aca="false">IF((E130="e"),H130," ")</f>
        <v> </v>
      </c>
    </row>
    <row r="131" customFormat="false" ht="12" hidden="false" customHeight="false" outlineLevel="0" collapsed="false">
      <c r="A131" s="28"/>
      <c r="E131" s="2" t="str">
        <f aca="false">IF((F131&lt;&gt;0),"Enter Letter"," ")</f>
        <v> </v>
      </c>
      <c r="F131" s="30"/>
      <c r="G131" s="6" t="str">
        <f aca="false">IF(F131&lt;&gt;0,F131*G$2/(100+G$2)," ")</f>
        <v> </v>
      </c>
      <c r="H131" s="6" t="str">
        <f aca="false">IF((F131&lt;&gt;0),F131-G131," ")</f>
        <v> </v>
      </c>
      <c r="I131" s="5"/>
      <c r="L131" s="7" t="str">
        <f aca="false">IF(F131&lt;&gt;0,F131-K131," ")</f>
        <v> </v>
      </c>
      <c r="M131" s="8" t="str">
        <f aca="false">IF((F131-K131)&lt;&gt;0,M$1-A131," ")</f>
        <v> </v>
      </c>
      <c r="N131" s="5"/>
      <c r="O131" s="17" t="str">
        <f aca="false">IF((E131="s"),H131," ")</f>
        <v> </v>
      </c>
      <c r="P131" s="17" t="str">
        <f aca="false">IF((E131="c"),H131," ")</f>
        <v> </v>
      </c>
      <c r="Q131" s="17" t="str">
        <f aca="false">IF((E131="o"),H131," ")</f>
        <v> </v>
      </c>
      <c r="R131" s="17" t="str">
        <f aca="false">IF((E131="d"),H131," ")</f>
        <v> </v>
      </c>
      <c r="S131" s="17" t="str">
        <f aca="false">IF((E131="w"),H131," ")</f>
        <v> </v>
      </c>
      <c r="T131" s="17" t="str">
        <f aca="false">IF((E131="r"),H131," ")</f>
        <v> </v>
      </c>
      <c r="U131" s="17" t="str">
        <f aca="false">IF((E131="p"),H131," ")</f>
        <v> </v>
      </c>
      <c r="V131" s="17" t="str">
        <f aca="false">IF((E131="t"),H131," ")</f>
        <v> </v>
      </c>
      <c r="W131" s="17" t="str">
        <f aca="false">IF((E131="q"),H131," ")</f>
        <v> </v>
      </c>
      <c r="X131" s="17" t="str">
        <f aca="false">IF((E131="m"),H131," ")</f>
        <v> </v>
      </c>
      <c r="Y131" s="17" t="str">
        <f aca="false">IF((E131="u"),H131," ")</f>
        <v> </v>
      </c>
      <c r="Z131" s="17" t="str">
        <f aca="false">IF((E131="a"),H131," ")</f>
        <v> </v>
      </c>
      <c r="AA131" s="17" t="str">
        <f aca="false">IF((E131="g"),H131," ")</f>
        <v> </v>
      </c>
      <c r="AB131" s="17" t="str">
        <f aca="false">IF((E131="h"),H131," ")</f>
        <v> </v>
      </c>
      <c r="AC131" s="30" t="str">
        <f aca="false">IF((E131="v"),H131," ")</f>
        <v> </v>
      </c>
      <c r="AD131" s="30" t="str">
        <f aca="false">IF((E131="n"),H131," ")</f>
        <v> </v>
      </c>
      <c r="AE131" s="17" t="str">
        <f aca="false">IF((E131="f"),H131," ")</f>
        <v> </v>
      </c>
      <c r="AF131" s="17" t="str">
        <f aca="false">IF((E131="l"),H131," ")</f>
        <v> </v>
      </c>
      <c r="AG131" s="17" t="str">
        <f aca="false">IF((E131="y"),H131," ")</f>
        <v> </v>
      </c>
      <c r="AH131" s="17" t="str">
        <f aca="false">IF((E131="z"),H131," ")</f>
        <v> </v>
      </c>
      <c r="AI131" s="17" t="str">
        <f aca="false">IF((E131="fa"),H131," ")</f>
        <v> </v>
      </c>
      <c r="AJ131" s="17" t="str">
        <f aca="false">IF((E131="e"),H131," ")</f>
        <v> </v>
      </c>
    </row>
    <row r="132" customFormat="false" ht="12" hidden="false" customHeight="false" outlineLevel="0" collapsed="false">
      <c r="A132" s="28"/>
      <c r="E132" s="2" t="str">
        <f aca="false">IF((F132&lt;&gt;0),"Enter Letter"," ")</f>
        <v> </v>
      </c>
      <c r="F132" s="30"/>
      <c r="G132" s="6" t="str">
        <f aca="false">IF(F132&lt;&gt;0,F132*G$2/(100+G$2)," ")</f>
        <v> </v>
      </c>
      <c r="H132" s="6" t="str">
        <f aca="false">IF((F132&lt;&gt;0),F132-G132," ")</f>
        <v> </v>
      </c>
      <c r="I132" s="5"/>
      <c r="L132" s="7" t="str">
        <f aca="false">IF(F132&lt;&gt;0,F132-K132," ")</f>
        <v> </v>
      </c>
      <c r="M132" s="8" t="str">
        <f aca="false">IF((F132-K132)&lt;&gt;0,M$1-A132," ")</f>
        <v> </v>
      </c>
      <c r="N132" s="5"/>
      <c r="O132" s="17" t="str">
        <f aca="false">IF((E132="s"),H132," ")</f>
        <v> </v>
      </c>
      <c r="P132" s="17" t="str">
        <f aca="false">IF((E132="c"),H132," ")</f>
        <v> </v>
      </c>
      <c r="Q132" s="17" t="str">
        <f aca="false">IF((E132="o"),H132," ")</f>
        <v> </v>
      </c>
      <c r="R132" s="17" t="str">
        <f aca="false">IF((E132="d"),H132," ")</f>
        <v> </v>
      </c>
      <c r="S132" s="17" t="str">
        <f aca="false">IF((E132="w"),H132," ")</f>
        <v> </v>
      </c>
      <c r="T132" s="17" t="str">
        <f aca="false">IF((E132="r"),H132," ")</f>
        <v> </v>
      </c>
      <c r="U132" s="17" t="str">
        <f aca="false">IF((E132="p"),H132," ")</f>
        <v> </v>
      </c>
      <c r="V132" s="17" t="str">
        <f aca="false">IF((E132="t"),H132," ")</f>
        <v> </v>
      </c>
      <c r="W132" s="17" t="str">
        <f aca="false">IF((E132="q"),H132," ")</f>
        <v> </v>
      </c>
      <c r="X132" s="17" t="str">
        <f aca="false">IF((E132="m"),H132," ")</f>
        <v> </v>
      </c>
      <c r="Y132" s="17" t="str">
        <f aca="false">IF((E132="u"),H132," ")</f>
        <v> </v>
      </c>
      <c r="Z132" s="17" t="str">
        <f aca="false">IF((E132="a"),H132," ")</f>
        <v> </v>
      </c>
      <c r="AA132" s="17" t="str">
        <f aca="false">IF((E132="g"),H132," ")</f>
        <v> </v>
      </c>
      <c r="AB132" s="17" t="str">
        <f aca="false">IF((E132="h"),H132," ")</f>
        <v> </v>
      </c>
      <c r="AC132" s="30" t="str">
        <f aca="false">IF((E132="v"),H132," ")</f>
        <v> </v>
      </c>
      <c r="AD132" s="30" t="str">
        <f aca="false">IF((E132="n"),H132," ")</f>
        <v> </v>
      </c>
      <c r="AE132" s="17" t="str">
        <f aca="false">IF((E132="f"),H132," ")</f>
        <v> </v>
      </c>
      <c r="AF132" s="17" t="str">
        <f aca="false">IF((E132="l"),H132," ")</f>
        <v> </v>
      </c>
      <c r="AG132" s="17" t="str">
        <f aca="false">IF((E132="y"),H132," ")</f>
        <v> </v>
      </c>
      <c r="AH132" s="17" t="str">
        <f aca="false">IF((E132="z"),H132," ")</f>
        <v> </v>
      </c>
      <c r="AI132" s="17" t="str">
        <f aca="false">IF((E132="fa"),H132," ")</f>
        <v> </v>
      </c>
      <c r="AJ132" s="17" t="str">
        <f aca="false">IF((E132="e"),H132," ")</f>
        <v> </v>
      </c>
    </row>
    <row r="133" customFormat="false" ht="12" hidden="false" customHeight="false" outlineLevel="0" collapsed="false">
      <c r="A133" s="28"/>
      <c r="E133" s="2" t="str">
        <f aca="false">IF((F133&lt;&gt;0),"Enter Letter"," ")</f>
        <v> </v>
      </c>
      <c r="F133" s="30"/>
      <c r="G133" s="6" t="str">
        <f aca="false">IF(F133&lt;&gt;0,F133*G$2/(100+G$2)," ")</f>
        <v> </v>
      </c>
      <c r="H133" s="6" t="str">
        <f aca="false">IF((F133&lt;&gt;0),F133-G133," ")</f>
        <v> </v>
      </c>
      <c r="I133" s="5"/>
      <c r="L133" s="7" t="str">
        <f aca="false">IF(F133&lt;&gt;0,F133-K133," ")</f>
        <v> </v>
      </c>
      <c r="M133" s="8" t="str">
        <f aca="false">IF((F133-K133)&lt;&gt;0,M$1-A133," ")</f>
        <v> </v>
      </c>
      <c r="N133" s="5"/>
      <c r="O133" s="17" t="str">
        <f aca="false">IF((E133="s"),H133," ")</f>
        <v> </v>
      </c>
      <c r="P133" s="17" t="str">
        <f aca="false">IF((E133="c"),H133," ")</f>
        <v> </v>
      </c>
      <c r="Q133" s="17" t="str">
        <f aca="false">IF((E133="o"),H133," ")</f>
        <v> </v>
      </c>
      <c r="R133" s="17" t="str">
        <f aca="false">IF((E133="d"),H133," ")</f>
        <v> </v>
      </c>
      <c r="S133" s="17" t="str">
        <f aca="false">IF((E133="w"),H133," ")</f>
        <v> </v>
      </c>
      <c r="T133" s="17" t="str">
        <f aca="false">IF((E133="r"),H133," ")</f>
        <v> </v>
      </c>
      <c r="U133" s="17" t="str">
        <f aca="false">IF((E133="p"),H133," ")</f>
        <v> </v>
      </c>
      <c r="V133" s="17" t="str">
        <f aca="false">IF((E133="t"),H133," ")</f>
        <v> </v>
      </c>
      <c r="W133" s="17" t="str">
        <f aca="false">IF((E133="q"),H133," ")</f>
        <v> </v>
      </c>
      <c r="X133" s="17" t="str">
        <f aca="false">IF((E133="m"),H133," ")</f>
        <v> </v>
      </c>
      <c r="Y133" s="17" t="str">
        <f aca="false">IF((E133="u"),H133," ")</f>
        <v> </v>
      </c>
      <c r="Z133" s="17" t="str">
        <f aca="false">IF((E133="a"),H133," ")</f>
        <v> </v>
      </c>
      <c r="AA133" s="17" t="str">
        <f aca="false">IF((E133="g"),H133," ")</f>
        <v> </v>
      </c>
      <c r="AB133" s="17" t="str">
        <f aca="false">IF((E133="h"),H133," ")</f>
        <v> </v>
      </c>
      <c r="AC133" s="30" t="str">
        <f aca="false">IF((E133="v"),H133," ")</f>
        <v> </v>
      </c>
      <c r="AD133" s="30" t="str">
        <f aca="false">IF((E133="n"),H133," ")</f>
        <v> </v>
      </c>
      <c r="AE133" s="17" t="str">
        <f aca="false">IF((E133="f"),H133," ")</f>
        <v> </v>
      </c>
      <c r="AF133" s="17" t="str">
        <f aca="false">IF((E133="l"),H133," ")</f>
        <v> </v>
      </c>
      <c r="AG133" s="17" t="str">
        <f aca="false">IF((E133="y"),H133," ")</f>
        <v> </v>
      </c>
      <c r="AH133" s="17" t="str">
        <f aca="false">IF((E133="z"),H133," ")</f>
        <v> </v>
      </c>
      <c r="AI133" s="17" t="str">
        <f aca="false">IF((E133="fa"),H133," ")</f>
        <v> </v>
      </c>
      <c r="AJ133" s="17" t="str">
        <f aca="false">IF((E133="e"),H133," ")</f>
        <v> </v>
      </c>
    </row>
    <row r="134" customFormat="false" ht="12" hidden="false" customHeight="false" outlineLevel="0" collapsed="false">
      <c r="A134" s="28"/>
      <c r="E134" s="2" t="str">
        <f aca="false">IF((F134&lt;&gt;0),"Enter Letter"," ")</f>
        <v> </v>
      </c>
      <c r="F134" s="30"/>
      <c r="G134" s="6" t="str">
        <f aca="false">IF(F134&lt;&gt;0,F134*G$2/(100+G$2)," ")</f>
        <v> </v>
      </c>
      <c r="H134" s="6" t="str">
        <f aca="false">IF((F134&lt;&gt;0),F134-G134," ")</f>
        <v> </v>
      </c>
      <c r="I134" s="5"/>
      <c r="L134" s="7" t="str">
        <f aca="false">IF(F134&lt;&gt;0,F134-K134," ")</f>
        <v> </v>
      </c>
      <c r="M134" s="8" t="str">
        <f aca="false">IF((F134-K134)&lt;&gt;0,M$1-A134," ")</f>
        <v> </v>
      </c>
      <c r="N134" s="5"/>
      <c r="O134" s="17" t="str">
        <f aca="false">IF((E134="s"),H134," ")</f>
        <v> </v>
      </c>
      <c r="P134" s="17" t="str">
        <f aca="false">IF((E134="c"),H134," ")</f>
        <v> </v>
      </c>
      <c r="Q134" s="17" t="str">
        <f aca="false">IF((E134="o"),H134," ")</f>
        <v> </v>
      </c>
      <c r="R134" s="17" t="str">
        <f aca="false">IF((E134="d"),H134," ")</f>
        <v> </v>
      </c>
      <c r="S134" s="17" t="str">
        <f aca="false">IF((E134="w"),H134," ")</f>
        <v> </v>
      </c>
      <c r="T134" s="17" t="str">
        <f aca="false">IF((E134="r"),H134," ")</f>
        <v> </v>
      </c>
      <c r="U134" s="17" t="str">
        <f aca="false">IF((E134="p"),H134," ")</f>
        <v> </v>
      </c>
      <c r="V134" s="17" t="str">
        <f aca="false">IF((E134="t"),H134," ")</f>
        <v> </v>
      </c>
      <c r="W134" s="17" t="str">
        <f aca="false">IF((E134="q"),H134," ")</f>
        <v> </v>
      </c>
      <c r="X134" s="17" t="str">
        <f aca="false">IF((E134="m"),H134," ")</f>
        <v> </v>
      </c>
      <c r="Y134" s="17" t="str">
        <f aca="false">IF((E134="u"),H134," ")</f>
        <v> </v>
      </c>
      <c r="Z134" s="17" t="str">
        <f aca="false">IF((E134="a"),H134," ")</f>
        <v> </v>
      </c>
      <c r="AA134" s="17" t="str">
        <f aca="false">IF((E134="g"),H134," ")</f>
        <v> </v>
      </c>
      <c r="AB134" s="17" t="str">
        <f aca="false">IF((E134="h"),H134," ")</f>
        <v> </v>
      </c>
      <c r="AC134" s="30" t="str">
        <f aca="false">IF((E134="v"),H134," ")</f>
        <v> </v>
      </c>
      <c r="AD134" s="30" t="str">
        <f aca="false">IF((E134="n"),H134," ")</f>
        <v> </v>
      </c>
      <c r="AE134" s="17" t="str">
        <f aca="false">IF((E134="f"),H134," ")</f>
        <v> </v>
      </c>
      <c r="AF134" s="17" t="str">
        <f aca="false">IF((E134="l"),H134," ")</f>
        <v> </v>
      </c>
      <c r="AG134" s="17" t="str">
        <f aca="false">IF((E134="y"),H134," ")</f>
        <v> </v>
      </c>
      <c r="AH134" s="17" t="str">
        <f aca="false">IF((E134="z"),H134," ")</f>
        <v> </v>
      </c>
      <c r="AI134" s="17" t="str">
        <f aca="false">IF((E134="fa"),H134," ")</f>
        <v> </v>
      </c>
      <c r="AJ134" s="17" t="str">
        <f aca="false">IF((E134="e"),H134," ")</f>
        <v> </v>
      </c>
    </row>
    <row r="135" customFormat="false" ht="12" hidden="false" customHeight="false" outlineLevel="0" collapsed="false">
      <c r="A135" s="28"/>
      <c r="E135" s="2" t="str">
        <f aca="false">IF((F135&lt;&gt;0),"Enter Letter"," ")</f>
        <v> </v>
      </c>
      <c r="F135" s="30"/>
      <c r="G135" s="6" t="str">
        <f aca="false">IF(F135&lt;&gt;0,F135*G$2/(100+G$2)," ")</f>
        <v> </v>
      </c>
      <c r="H135" s="6" t="str">
        <f aca="false">IF((F135&lt;&gt;0),F135-G135," ")</f>
        <v> </v>
      </c>
      <c r="I135" s="5"/>
      <c r="L135" s="7" t="str">
        <f aca="false">IF(F135&lt;&gt;0,F135-K135," ")</f>
        <v> </v>
      </c>
      <c r="M135" s="8" t="str">
        <f aca="false">IF((F135-K135)&lt;&gt;0,M$1-A135," ")</f>
        <v> </v>
      </c>
      <c r="N135" s="5"/>
      <c r="O135" s="17" t="str">
        <f aca="false">IF((E135="s"),H135," ")</f>
        <v> </v>
      </c>
      <c r="P135" s="17" t="str">
        <f aca="false">IF((E135="c"),H135," ")</f>
        <v> </v>
      </c>
      <c r="Q135" s="17" t="str">
        <f aca="false">IF((E135="o"),H135," ")</f>
        <v> </v>
      </c>
      <c r="R135" s="17" t="str">
        <f aca="false">IF((E135="d"),H135," ")</f>
        <v> </v>
      </c>
      <c r="S135" s="17" t="str">
        <f aca="false">IF((E135="w"),H135," ")</f>
        <v> </v>
      </c>
      <c r="T135" s="17" t="str">
        <f aca="false">IF((E135="r"),H135," ")</f>
        <v> </v>
      </c>
      <c r="U135" s="17" t="str">
        <f aca="false">IF((E135="p"),H135," ")</f>
        <v> </v>
      </c>
      <c r="V135" s="17" t="str">
        <f aca="false">IF((E135="t"),H135," ")</f>
        <v> </v>
      </c>
      <c r="W135" s="17" t="str">
        <f aca="false">IF((E135="q"),H135," ")</f>
        <v> </v>
      </c>
      <c r="X135" s="17" t="str">
        <f aca="false">IF((E135="m"),H135," ")</f>
        <v> </v>
      </c>
      <c r="Y135" s="17" t="str">
        <f aca="false">IF((E135="u"),H135," ")</f>
        <v> </v>
      </c>
      <c r="Z135" s="17" t="str">
        <f aca="false">IF((E135="a"),H135," ")</f>
        <v> </v>
      </c>
      <c r="AA135" s="17" t="str">
        <f aca="false">IF((E135="g"),H135," ")</f>
        <v> </v>
      </c>
      <c r="AB135" s="17" t="str">
        <f aca="false">IF((E135="h"),H135," ")</f>
        <v> </v>
      </c>
      <c r="AC135" s="30" t="str">
        <f aca="false">IF((E135="v"),H135," ")</f>
        <v> </v>
      </c>
      <c r="AD135" s="30" t="str">
        <f aca="false">IF((E135="n"),H135," ")</f>
        <v> </v>
      </c>
      <c r="AE135" s="17" t="str">
        <f aca="false">IF((E135="f"),H135," ")</f>
        <v> </v>
      </c>
      <c r="AF135" s="17" t="str">
        <f aca="false">IF((E135="l"),H135," ")</f>
        <v> </v>
      </c>
      <c r="AG135" s="17" t="str">
        <f aca="false">IF((E135="y"),H135," ")</f>
        <v> </v>
      </c>
      <c r="AH135" s="17" t="str">
        <f aca="false">IF((E135="z"),H135," ")</f>
        <v> </v>
      </c>
      <c r="AI135" s="17" t="str">
        <f aca="false">IF((E135="fa"),H135," ")</f>
        <v> </v>
      </c>
      <c r="AJ135" s="17" t="str">
        <f aca="false">IF((E135="e"),H135," ")</f>
        <v> </v>
      </c>
    </row>
    <row r="136" customFormat="false" ht="12" hidden="false" customHeight="false" outlineLevel="0" collapsed="false">
      <c r="A136" s="28"/>
      <c r="E136" s="2" t="str">
        <f aca="false">IF((F136&lt;&gt;0),"Enter Letter"," ")</f>
        <v> </v>
      </c>
      <c r="F136" s="30"/>
      <c r="G136" s="6" t="str">
        <f aca="false">IF(F136&lt;&gt;0,F136*G$2/(100+G$2)," ")</f>
        <v> </v>
      </c>
      <c r="H136" s="6" t="str">
        <f aca="false">IF((F136&lt;&gt;0),F136-G136," ")</f>
        <v> </v>
      </c>
      <c r="I136" s="5"/>
      <c r="L136" s="7" t="str">
        <f aca="false">IF(F136&lt;&gt;0,F136-K136," ")</f>
        <v> </v>
      </c>
      <c r="M136" s="8" t="str">
        <f aca="false">IF((F136-K136)&lt;&gt;0,M$1-A136," ")</f>
        <v> </v>
      </c>
      <c r="N136" s="5"/>
      <c r="O136" s="17" t="str">
        <f aca="false">IF((E136="s"),H136," ")</f>
        <v> </v>
      </c>
      <c r="P136" s="17" t="str">
        <f aca="false">IF((E136="c"),H136," ")</f>
        <v> </v>
      </c>
      <c r="Q136" s="17" t="str">
        <f aca="false">IF((E136="o"),H136," ")</f>
        <v> </v>
      </c>
      <c r="R136" s="17" t="str">
        <f aca="false">IF((E136="d"),H136," ")</f>
        <v> </v>
      </c>
      <c r="S136" s="17" t="str">
        <f aca="false">IF((E136="w"),H136," ")</f>
        <v> </v>
      </c>
      <c r="T136" s="17" t="str">
        <f aca="false">IF((E136="r"),H136," ")</f>
        <v> </v>
      </c>
      <c r="U136" s="17" t="str">
        <f aca="false">IF((E136="p"),H136," ")</f>
        <v> </v>
      </c>
      <c r="V136" s="17" t="str">
        <f aca="false">IF((E136="t"),H136," ")</f>
        <v> </v>
      </c>
      <c r="W136" s="17" t="str">
        <f aca="false">IF((E136="q"),H136," ")</f>
        <v> </v>
      </c>
      <c r="X136" s="17" t="str">
        <f aca="false">IF((E136="m"),H136," ")</f>
        <v> </v>
      </c>
      <c r="Y136" s="17" t="str">
        <f aca="false">IF((E136="u"),H136," ")</f>
        <v> </v>
      </c>
      <c r="Z136" s="17" t="str">
        <f aca="false">IF((E136="a"),H136," ")</f>
        <v> </v>
      </c>
      <c r="AA136" s="17" t="str">
        <f aca="false">IF((E136="g"),H136," ")</f>
        <v> </v>
      </c>
      <c r="AB136" s="17" t="str">
        <f aca="false">IF((E136="h"),H136," ")</f>
        <v> </v>
      </c>
      <c r="AC136" s="30" t="str">
        <f aca="false">IF((E136="v"),H136," ")</f>
        <v> </v>
      </c>
      <c r="AD136" s="30" t="str">
        <f aca="false">IF((E136="n"),H136," ")</f>
        <v> </v>
      </c>
      <c r="AE136" s="17" t="str">
        <f aca="false">IF((E136="f"),H136," ")</f>
        <v> </v>
      </c>
      <c r="AF136" s="17" t="str">
        <f aca="false">IF((E136="l"),H136," ")</f>
        <v> </v>
      </c>
      <c r="AG136" s="17" t="str">
        <f aca="false">IF((E136="y"),H136," ")</f>
        <v> </v>
      </c>
      <c r="AH136" s="17" t="str">
        <f aca="false">IF((E136="z"),H136," ")</f>
        <v> </v>
      </c>
      <c r="AI136" s="17" t="str">
        <f aca="false">IF((E136="fa"),H136," ")</f>
        <v> </v>
      </c>
      <c r="AJ136" s="17" t="str">
        <f aca="false">IF((E136="e"),H136," ")</f>
        <v> </v>
      </c>
    </row>
    <row r="137" customFormat="false" ht="12" hidden="false" customHeight="false" outlineLevel="0" collapsed="false">
      <c r="A137" s="28"/>
      <c r="E137" s="2" t="str">
        <f aca="false">IF((F137&lt;&gt;0),"Enter Letter"," ")</f>
        <v> </v>
      </c>
      <c r="F137" s="30"/>
      <c r="G137" s="6" t="str">
        <f aca="false">IF(F137&lt;&gt;0,F137*G$2/(100+G$2)," ")</f>
        <v> </v>
      </c>
      <c r="H137" s="6" t="str">
        <f aca="false">IF((F137&lt;&gt;0),F137-G137," ")</f>
        <v> </v>
      </c>
      <c r="I137" s="5"/>
      <c r="L137" s="7" t="str">
        <f aca="false">IF(F137&lt;&gt;0,F137-K137," ")</f>
        <v> </v>
      </c>
      <c r="M137" s="8" t="str">
        <f aca="false">IF((F137-K137)&lt;&gt;0,M$1-A137," ")</f>
        <v> </v>
      </c>
      <c r="N137" s="5"/>
      <c r="O137" s="17" t="str">
        <f aca="false">IF((E137="s"),H137," ")</f>
        <v> </v>
      </c>
      <c r="P137" s="17" t="str">
        <f aca="false">IF((E137="c"),H137," ")</f>
        <v> </v>
      </c>
      <c r="Q137" s="17" t="str">
        <f aca="false">IF((E137="o"),H137," ")</f>
        <v> </v>
      </c>
      <c r="R137" s="17" t="str">
        <f aca="false">IF((E137="d"),H137," ")</f>
        <v> </v>
      </c>
      <c r="S137" s="17" t="str">
        <f aca="false">IF((E137="w"),H137," ")</f>
        <v> </v>
      </c>
      <c r="T137" s="17" t="str">
        <f aca="false">IF((E137="r"),H137," ")</f>
        <v> </v>
      </c>
      <c r="U137" s="17" t="str">
        <f aca="false">IF((E137="p"),H137," ")</f>
        <v> </v>
      </c>
      <c r="V137" s="17" t="str">
        <f aca="false">IF((E137="t"),H137," ")</f>
        <v> </v>
      </c>
      <c r="W137" s="17" t="str">
        <f aca="false">IF((E137="q"),H137," ")</f>
        <v> </v>
      </c>
      <c r="X137" s="17" t="str">
        <f aca="false">IF((E137="m"),H137," ")</f>
        <v> </v>
      </c>
      <c r="Y137" s="17" t="str">
        <f aca="false">IF((E137="u"),H137," ")</f>
        <v> </v>
      </c>
      <c r="Z137" s="17" t="str">
        <f aca="false">IF((E137="a"),H137," ")</f>
        <v> </v>
      </c>
      <c r="AA137" s="17" t="str">
        <f aca="false">IF((E137="g"),H137," ")</f>
        <v> </v>
      </c>
      <c r="AB137" s="17" t="str">
        <f aca="false">IF((E137="h"),H137," ")</f>
        <v> </v>
      </c>
      <c r="AC137" s="30" t="str">
        <f aca="false">IF((E137="v"),H137," ")</f>
        <v> </v>
      </c>
      <c r="AD137" s="30" t="str">
        <f aca="false">IF((E137="n"),H137," ")</f>
        <v> </v>
      </c>
      <c r="AE137" s="17" t="str">
        <f aca="false">IF((E137="f"),H137," ")</f>
        <v> </v>
      </c>
      <c r="AF137" s="17" t="str">
        <f aca="false">IF((E137="l"),H137," ")</f>
        <v> </v>
      </c>
      <c r="AG137" s="17" t="str">
        <f aca="false">IF((E137="y"),H137," ")</f>
        <v> </v>
      </c>
      <c r="AH137" s="17" t="str">
        <f aca="false">IF((E137="z"),H137," ")</f>
        <v> </v>
      </c>
      <c r="AI137" s="17" t="str">
        <f aca="false">IF((E137="fa"),H137," ")</f>
        <v> </v>
      </c>
      <c r="AJ137" s="17" t="str">
        <f aca="false">IF((E137="e"),H137," ")</f>
        <v> </v>
      </c>
    </row>
    <row r="138" customFormat="false" ht="12" hidden="false" customHeight="false" outlineLevel="0" collapsed="false">
      <c r="A138" s="28"/>
      <c r="E138" s="2" t="str">
        <f aca="false">IF((F138&lt;&gt;0),"Enter Letter"," ")</f>
        <v> </v>
      </c>
      <c r="F138" s="30"/>
      <c r="G138" s="6" t="str">
        <f aca="false">IF(F138&lt;&gt;0,F138*G$2/(100+G$2)," ")</f>
        <v> </v>
      </c>
      <c r="H138" s="6" t="str">
        <f aca="false">IF((F138&lt;&gt;0),F138-G138," ")</f>
        <v> </v>
      </c>
      <c r="I138" s="5"/>
      <c r="L138" s="7" t="str">
        <f aca="false">IF(F138&lt;&gt;0,F138-K138," ")</f>
        <v> </v>
      </c>
      <c r="M138" s="8" t="str">
        <f aca="false">IF((F138-K138)&lt;&gt;0,M$1-A138," ")</f>
        <v> </v>
      </c>
      <c r="N138" s="5"/>
      <c r="O138" s="17" t="str">
        <f aca="false">IF((E138="s"),H138," ")</f>
        <v> </v>
      </c>
      <c r="P138" s="17" t="str">
        <f aca="false">IF((E138="c"),H138," ")</f>
        <v> </v>
      </c>
      <c r="Q138" s="17" t="str">
        <f aca="false">IF((E138="o"),H138," ")</f>
        <v> </v>
      </c>
      <c r="R138" s="17" t="str">
        <f aca="false">IF((E138="d"),H138," ")</f>
        <v> </v>
      </c>
      <c r="S138" s="17" t="str">
        <f aca="false">IF((E138="w"),H138," ")</f>
        <v> </v>
      </c>
      <c r="T138" s="17" t="str">
        <f aca="false">IF((E138="r"),H138," ")</f>
        <v> </v>
      </c>
      <c r="U138" s="17" t="str">
        <f aca="false">IF((E138="p"),H138," ")</f>
        <v> </v>
      </c>
      <c r="V138" s="17" t="str">
        <f aca="false">IF((E138="t"),H138," ")</f>
        <v> </v>
      </c>
      <c r="W138" s="17" t="str">
        <f aca="false">IF((E138="q"),H138," ")</f>
        <v> </v>
      </c>
      <c r="X138" s="17" t="str">
        <f aca="false">IF((E138="m"),H138," ")</f>
        <v> </v>
      </c>
      <c r="Y138" s="17" t="str">
        <f aca="false">IF((E138="u"),H138," ")</f>
        <v> </v>
      </c>
      <c r="Z138" s="17" t="str">
        <f aca="false">IF((E138="a"),H138," ")</f>
        <v> </v>
      </c>
      <c r="AA138" s="17" t="str">
        <f aca="false">IF((E138="g"),H138," ")</f>
        <v> </v>
      </c>
      <c r="AB138" s="17" t="str">
        <f aca="false">IF((E138="h"),H138," ")</f>
        <v> </v>
      </c>
      <c r="AC138" s="30" t="str">
        <f aca="false">IF((E138="v"),H138," ")</f>
        <v> </v>
      </c>
      <c r="AD138" s="30" t="str">
        <f aca="false">IF((E138="n"),H138," ")</f>
        <v> </v>
      </c>
      <c r="AE138" s="17" t="str">
        <f aca="false">IF((E138="f"),H138," ")</f>
        <v> </v>
      </c>
      <c r="AF138" s="17" t="str">
        <f aca="false">IF((E138="l"),H138," ")</f>
        <v> </v>
      </c>
      <c r="AG138" s="17" t="str">
        <f aca="false">IF((E138="y"),H138," ")</f>
        <v> </v>
      </c>
      <c r="AH138" s="17" t="str">
        <f aca="false">IF((E138="z"),H138," ")</f>
        <v> </v>
      </c>
      <c r="AI138" s="17" t="str">
        <f aca="false">IF((E138="fa"),H138," ")</f>
        <v> </v>
      </c>
      <c r="AJ138" s="17" t="str">
        <f aca="false">IF((E138="e"),H138," ")</f>
        <v> </v>
      </c>
    </row>
    <row r="139" customFormat="false" ht="12" hidden="false" customHeight="false" outlineLevel="0" collapsed="false">
      <c r="A139" s="28"/>
      <c r="E139" s="2" t="str">
        <f aca="false">IF((F139&lt;&gt;0),"Enter Letter"," ")</f>
        <v> </v>
      </c>
      <c r="F139" s="30"/>
      <c r="G139" s="6" t="str">
        <f aca="false">IF(F139&lt;&gt;0,F139*G$2/(100+G$2)," ")</f>
        <v> </v>
      </c>
      <c r="H139" s="6" t="str">
        <f aca="false">IF((F139&lt;&gt;0),F139-G139," ")</f>
        <v> </v>
      </c>
      <c r="I139" s="5"/>
      <c r="L139" s="7" t="str">
        <f aca="false">IF(F139&lt;&gt;0,F139-K139," ")</f>
        <v> </v>
      </c>
      <c r="M139" s="8" t="str">
        <f aca="false">IF((F139-K139)&lt;&gt;0,M$1-A139," ")</f>
        <v> </v>
      </c>
      <c r="N139" s="5"/>
      <c r="O139" s="17" t="str">
        <f aca="false">IF((E139="s"),H139," ")</f>
        <v> </v>
      </c>
      <c r="P139" s="17" t="str">
        <f aca="false">IF((E139="c"),H139," ")</f>
        <v> </v>
      </c>
      <c r="Q139" s="17" t="str">
        <f aca="false">IF((E139="o"),H139," ")</f>
        <v> </v>
      </c>
      <c r="R139" s="17" t="str">
        <f aca="false">IF((E139="d"),H139," ")</f>
        <v> </v>
      </c>
      <c r="S139" s="17" t="str">
        <f aca="false">IF((E139="w"),H139," ")</f>
        <v> </v>
      </c>
      <c r="T139" s="17" t="str">
        <f aca="false">IF((E139="r"),H139," ")</f>
        <v> </v>
      </c>
      <c r="U139" s="17" t="str">
        <f aca="false">IF((E139="p"),H139," ")</f>
        <v> </v>
      </c>
      <c r="V139" s="17" t="str">
        <f aca="false">IF((E139="t"),H139," ")</f>
        <v> </v>
      </c>
      <c r="W139" s="17" t="str">
        <f aca="false">IF((E139="q"),H139," ")</f>
        <v> </v>
      </c>
      <c r="X139" s="17" t="str">
        <f aca="false">IF((E139="m"),H139," ")</f>
        <v> </v>
      </c>
      <c r="Y139" s="17" t="str">
        <f aca="false">IF((E139="u"),H139," ")</f>
        <v> </v>
      </c>
      <c r="Z139" s="17" t="str">
        <f aca="false">IF((E139="a"),H139," ")</f>
        <v> </v>
      </c>
      <c r="AA139" s="17" t="str">
        <f aca="false">IF((E139="g"),H139," ")</f>
        <v> </v>
      </c>
      <c r="AB139" s="17" t="str">
        <f aca="false">IF((E139="h"),H139," ")</f>
        <v> </v>
      </c>
      <c r="AC139" s="30" t="str">
        <f aca="false">IF((E139="v"),H139," ")</f>
        <v> </v>
      </c>
      <c r="AD139" s="30" t="str">
        <f aca="false">IF((E139="n"),H139," ")</f>
        <v> </v>
      </c>
      <c r="AE139" s="17" t="str">
        <f aca="false">IF((E139="f"),H139," ")</f>
        <v> </v>
      </c>
      <c r="AF139" s="17" t="str">
        <f aca="false">IF((E139="l"),H139," ")</f>
        <v> </v>
      </c>
      <c r="AG139" s="17" t="str">
        <f aca="false">IF((E139="y"),H139," ")</f>
        <v> </v>
      </c>
      <c r="AH139" s="17" t="str">
        <f aca="false">IF((E139="z"),H139," ")</f>
        <v> </v>
      </c>
      <c r="AI139" s="17" t="str">
        <f aca="false">IF((E139="fa"),H139," ")</f>
        <v> </v>
      </c>
      <c r="AJ139" s="17" t="str">
        <f aca="false">IF((E139="e"),H139," ")</f>
        <v> </v>
      </c>
    </row>
    <row r="140" customFormat="false" ht="12" hidden="false" customHeight="false" outlineLevel="0" collapsed="false">
      <c r="A140" s="28"/>
      <c r="E140" s="2" t="str">
        <f aca="false">IF((F140&lt;&gt;0),"Enter Letter"," ")</f>
        <v> </v>
      </c>
      <c r="F140" s="30"/>
      <c r="G140" s="6" t="str">
        <f aca="false">IF(F140&lt;&gt;0,F140*G$2/(100+G$2)," ")</f>
        <v> </v>
      </c>
      <c r="H140" s="6" t="str">
        <f aca="false">IF((F140&lt;&gt;0),F140-G140," ")</f>
        <v> </v>
      </c>
      <c r="I140" s="5"/>
      <c r="L140" s="7" t="str">
        <f aca="false">IF(F140&lt;&gt;0,F140-K140," ")</f>
        <v> </v>
      </c>
      <c r="M140" s="8" t="str">
        <f aca="false">IF((F140-K140)&lt;&gt;0,M$1-A140," ")</f>
        <v> </v>
      </c>
      <c r="N140" s="5"/>
      <c r="O140" s="17" t="str">
        <f aca="false">IF((E140="s"),H140," ")</f>
        <v> </v>
      </c>
      <c r="P140" s="17" t="str">
        <f aca="false">IF((E140="c"),H140," ")</f>
        <v> </v>
      </c>
      <c r="Q140" s="17" t="str">
        <f aca="false">IF((E140="o"),H140," ")</f>
        <v> </v>
      </c>
      <c r="R140" s="17" t="str">
        <f aca="false">IF((E140="d"),H140," ")</f>
        <v> </v>
      </c>
      <c r="S140" s="17" t="str">
        <f aca="false">IF((E140="w"),H140," ")</f>
        <v> </v>
      </c>
      <c r="T140" s="17" t="str">
        <f aca="false">IF((E140="r"),H140," ")</f>
        <v> </v>
      </c>
      <c r="U140" s="17" t="str">
        <f aca="false">IF((E140="p"),H140," ")</f>
        <v> </v>
      </c>
      <c r="V140" s="17" t="str">
        <f aca="false">IF((E140="t"),H140," ")</f>
        <v> </v>
      </c>
      <c r="W140" s="17" t="str">
        <f aca="false">IF((E140="q"),H140," ")</f>
        <v> </v>
      </c>
      <c r="X140" s="17" t="str">
        <f aca="false">IF((E140="m"),H140," ")</f>
        <v> </v>
      </c>
      <c r="Y140" s="17" t="str">
        <f aca="false">IF((E140="u"),H140," ")</f>
        <v> </v>
      </c>
      <c r="Z140" s="17" t="str">
        <f aca="false">IF((E140="a"),H140," ")</f>
        <v> </v>
      </c>
      <c r="AA140" s="17" t="str">
        <f aca="false">IF((E140="g"),H140," ")</f>
        <v> </v>
      </c>
      <c r="AB140" s="17" t="str">
        <f aca="false">IF((E140="h"),H140," ")</f>
        <v> </v>
      </c>
      <c r="AC140" s="30" t="str">
        <f aca="false">IF((E140="v"),H140," ")</f>
        <v> </v>
      </c>
      <c r="AD140" s="30" t="str">
        <f aca="false">IF((E140="n"),H140," ")</f>
        <v> </v>
      </c>
      <c r="AE140" s="17" t="str">
        <f aca="false">IF((E140="f"),H140," ")</f>
        <v> </v>
      </c>
      <c r="AF140" s="17" t="str">
        <f aca="false">IF((E140="l"),H140," ")</f>
        <v> </v>
      </c>
      <c r="AG140" s="17" t="str">
        <f aca="false">IF((E140="y"),H140," ")</f>
        <v> </v>
      </c>
      <c r="AH140" s="17" t="str">
        <f aca="false">IF((E140="z"),H140," ")</f>
        <v> </v>
      </c>
      <c r="AI140" s="17" t="str">
        <f aca="false">IF((E140="fa"),H140," ")</f>
        <v> </v>
      </c>
      <c r="AJ140" s="17" t="str">
        <f aca="false">IF((E140="e"),H140," ")</f>
        <v> </v>
      </c>
    </row>
    <row r="141" customFormat="false" ht="12" hidden="false" customHeight="false" outlineLevel="0" collapsed="false">
      <c r="A141" s="28"/>
      <c r="E141" s="2" t="str">
        <f aca="false">IF((F141&lt;&gt;0),"Enter Letter"," ")</f>
        <v> </v>
      </c>
      <c r="F141" s="30"/>
      <c r="G141" s="6" t="str">
        <f aca="false">IF(F141&lt;&gt;0,F141*G$2/(100+G$2)," ")</f>
        <v> </v>
      </c>
      <c r="H141" s="6" t="str">
        <f aca="false">IF((F141&lt;&gt;0),F141-G141," ")</f>
        <v> </v>
      </c>
      <c r="I141" s="5"/>
      <c r="L141" s="7" t="str">
        <f aca="false">IF(F141&lt;&gt;0,F141-K141," ")</f>
        <v> </v>
      </c>
      <c r="M141" s="8" t="str">
        <f aca="false">IF((F141-K141)&lt;&gt;0,M$1-A141," ")</f>
        <v> </v>
      </c>
      <c r="N141" s="5"/>
      <c r="O141" s="17" t="str">
        <f aca="false">IF((E141="s"),H141," ")</f>
        <v> </v>
      </c>
      <c r="P141" s="17" t="str">
        <f aca="false">IF((E141="c"),H141," ")</f>
        <v> </v>
      </c>
      <c r="Q141" s="17" t="str">
        <f aca="false">IF((E141="o"),H141," ")</f>
        <v> </v>
      </c>
      <c r="R141" s="17" t="str">
        <f aca="false">IF((E141="d"),H141," ")</f>
        <v> </v>
      </c>
      <c r="S141" s="17" t="str">
        <f aca="false">IF((E141="w"),H141," ")</f>
        <v> </v>
      </c>
      <c r="T141" s="17" t="str">
        <f aca="false">IF((E141="r"),H141," ")</f>
        <v> </v>
      </c>
      <c r="U141" s="17" t="str">
        <f aca="false">IF((E141="p"),H141," ")</f>
        <v> </v>
      </c>
      <c r="V141" s="17" t="str">
        <f aca="false">IF((E141="t"),H141," ")</f>
        <v> </v>
      </c>
      <c r="W141" s="17" t="str">
        <f aca="false">IF((E141="q"),H141," ")</f>
        <v> </v>
      </c>
      <c r="X141" s="17" t="str">
        <f aca="false">IF((E141="m"),H141," ")</f>
        <v> </v>
      </c>
      <c r="Y141" s="17" t="str">
        <f aca="false">IF((E141="u"),H141," ")</f>
        <v> </v>
      </c>
      <c r="Z141" s="17" t="str">
        <f aca="false">IF((E141="a"),H141," ")</f>
        <v> </v>
      </c>
      <c r="AA141" s="17" t="str">
        <f aca="false">IF((E141="g"),H141," ")</f>
        <v> </v>
      </c>
      <c r="AB141" s="17" t="str">
        <f aca="false">IF((E141="h"),H141," ")</f>
        <v> </v>
      </c>
      <c r="AC141" s="30" t="str">
        <f aca="false">IF((E141="v"),H141," ")</f>
        <v> </v>
      </c>
      <c r="AD141" s="30" t="str">
        <f aca="false">IF((E141="n"),H141," ")</f>
        <v> </v>
      </c>
      <c r="AE141" s="17" t="str">
        <f aca="false">IF((E141="f"),H141," ")</f>
        <v> </v>
      </c>
      <c r="AF141" s="17" t="str">
        <f aca="false">IF((E141="l"),H141," ")</f>
        <v> </v>
      </c>
      <c r="AG141" s="17" t="str">
        <f aca="false">IF((E141="y"),H141," ")</f>
        <v> </v>
      </c>
      <c r="AH141" s="17" t="str">
        <f aca="false">IF((E141="z"),H141," ")</f>
        <v> </v>
      </c>
      <c r="AI141" s="17" t="str">
        <f aca="false">IF((E141="fa"),H141," ")</f>
        <v> </v>
      </c>
      <c r="AJ141" s="17" t="str">
        <f aca="false">IF((E141="e"),H141," ")</f>
        <v> </v>
      </c>
    </row>
    <row r="142" customFormat="false" ht="12" hidden="false" customHeight="false" outlineLevel="0" collapsed="false">
      <c r="A142" s="28"/>
      <c r="E142" s="2" t="str">
        <f aca="false">IF((F142&lt;&gt;0),"Enter Letter"," ")</f>
        <v> </v>
      </c>
      <c r="F142" s="30"/>
      <c r="G142" s="6" t="str">
        <f aca="false">IF(F142&lt;&gt;0,F142*G$2/(100+G$2)," ")</f>
        <v> </v>
      </c>
      <c r="H142" s="6" t="str">
        <f aca="false">IF((F142&lt;&gt;0),F142-G142," ")</f>
        <v> </v>
      </c>
      <c r="I142" s="5"/>
      <c r="L142" s="7" t="str">
        <f aca="false">IF(F142&lt;&gt;0,F142-K142," ")</f>
        <v> </v>
      </c>
      <c r="M142" s="8" t="str">
        <f aca="false">IF((F142-K142)&lt;&gt;0,M$1-A142," ")</f>
        <v> </v>
      </c>
      <c r="N142" s="5"/>
      <c r="O142" s="17" t="str">
        <f aca="false">IF((E142="s"),H142," ")</f>
        <v> </v>
      </c>
      <c r="P142" s="17" t="str">
        <f aca="false">IF((E142="c"),H142," ")</f>
        <v> </v>
      </c>
      <c r="Q142" s="17" t="str">
        <f aca="false">IF((E142="o"),H142," ")</f>
        <v> </v>
      </c>
      <c r="R142" s="17" t="str">
        <f aca="false">IF((E142="d"),H142," ")</f>
        <v> </v>
      </c>
      <c r="S142" s="17" t="str">
        <f aca="false">IF((E142="w"),H142," ")</f>
        <v> </v>
      </c>
      <c r="T142" s="17" t="str">
        <f aca="false">IF((E142="r"),H142," ")</f>
        <v> </v>
      </c>
      <c r="U142" s="17" t="str">
        <f aca="false">IF((E142="p"),H142," ")</f>
        <v> </v>
      </c>
      <c r="V142" s="17" t="str">
        <f aca="false">IF((E142="t"),H142," ")</f>
        <v> </v>
      </c>
      <c r="W142" s="17" t="str">
        <f aca="false">IF((E142="q"),H142," ")</f>
        <v> </v>
      </c>
      <c r="X142" s="17" t="str">
        <f aca="false">IF((E142="m"),H142," ")</f>
        <v> </v>
      </c>
      <c r="Y142" s="17" t="str">
        <f aca="false">IF((E142="u"),H142," ")</f>
        <v> </v>
      </c>
      <c r="Z142" s="17" t="str">
        <f aca="false">IF((E142="a"),H142," ")</f>
        <v> </v>
      </c>
      <c r="AA142" s="17" t="str">
        <f aca="false">IF((E142="g"),H142," ")</f>
        <v> </v>
      </c>
      <c r="AB142" s="17" t="str">
        <f aca="false">IF((E142="h"),H142," ")</f>
        <v> </v>
      </c>
      <c r="AC142" s="30" t="str">
        <f aca="false">IF((E142="v"),H142," ")</f>
        <v> </v>
      </c>
      <c r="AD142" s="30" t="str">
        <f aca="false">IF((E142="n"),H142," ")</f>
        <v> </v>
      </c>
      <c r="AE142" s="17" t="str">
        <f aca="false">IF((E142="f"),H142," ")</f>
        <v> </v>
      </c>
      <c r="AF142" s="17" t="str">
        <f aca="false">IF((E142="l"),H142," ")</f>
        <v> </v>
      </c>
      <c r="AG142" s="17" t="str">
        <f aca="false">IF((E142="y"),H142," ")</f>
        <v> </v>
      </c>
      <c r="AH142" s="17" t="str">
        <f aca="false">IF((E142="z"),H142," ")</f>
        <v> </v>
      </c>
      <c r="AI142" s="17" t="str">
        <f aca="false">IF((E142="fa"),H142," ")</f>
        <v> </v>
      </c>
      <c r="AJ142" s="17" t="str">
        <f aca="false">IF((E142="e"),H142," ")</f>
        <v> </v>
      </c>
    </row>
    <row r="143" customFormat="false" ht="12" hidden="false" customHeight="false" outlineLevel="0" collapsed="false">
      <c r="A143" s="28"/>
      <c r="E143" s="2" t="str">
        <f aca="false">IF((F143&lt;&gt;0),"Enter Letter"," ")</f>
        <v> </v>
      </c>
      <c r="F143" s="30"/>
      <c r="G143" s="6" t="str">
        <f aca="false">IF(F143&lt;&gt;0,F143*G$2/(100+G$2)," ")</f>
        <v> </v>
      </c>
      <c r="H143" s="6" t="str">
        <f aca="false">IF((F143&lt;&gt;0),F143-G143," ")</f>
        <v> </v>
      </c>
      <c r="I143" s="5"/>
      <c r="L143" s="7" t="str">
        <f aca="false">IF(F143&lt;&gt;0,F143-K143," ")</f>
        <v> </v>
      </c>
      <c r="M143" s="8" t="str">
        <f aca="false">IF((F143-K143)&lt;&gt;0,M$1-A143," ")</f>
        <v> </v>
      </c>
      <c r="N143" s="5"/>
      <c r="O143" s="17" t="str">
        <f aca="false">IF((E143="s"),H143," ")</f>
        <v> </v>
      </c>
      <c r="P143" s="17" t="str">
        <f aca="false">IF((E143="c"),H143," ")</f>
        <v> </v>
      </c>
      <c r="Q143" s="17" t="str">
        <f aca="false">IF((E143="o"),H143," ")</f>
        <v> </v>
      </c>
      <c r="R143" s="17" t="str">
        <f aca="false">IF((E143="d"),H143," ")</f>
        <v> </v>
      </c>
      <c r="S143" s="17" t="str">
        <f aca="false">IF((E143="w"),H143," ")</f>
        <v> </v>
      </c>
      <c r="T143" s="17" t="str">
        <f aca="false">IF((E143="r"),H143," ")</f>
        <v> </v>
      </c>
      <c r="U143" s="17" t="str">
        <f aca="false">IF((E143="p"),H143," ")</f>
        <v> </v>
      </c>
      <c r="V143" s="17" t="str">
        <f aca="false">IF((E143="t"),H143," ")</f>
        <v> </v>
      </c>
      <c r="W143" s="17" t="str">
        <f aca="false">IF((E143="q"),H143," ")</f>
        <v> </v>
      </c>
      <c r="X143" s="17" t="str">
        <f aca="false">IF((E143="m"),H143," ")</f>
        <v> </v>
      </c>
      <c r="Y143" s="17" t="str">
        <f aca="false">IF((E143="u"),H143," ")</f>
        <v> </v>
      </c>
      <c r="Z143" s="17" t="str">
        <f aca="false">IF((E143="a"),H143," ")</f>
        <v> </v>
      </c>
      <c r="AA143" s="17" t="str">
        <f aca="false">IF((E143="g"),H143," ")</f>
        <v> </v>
      </c>
      <c r="AB143" s="17" t="str">
        <f aca="false">IF((E143="h"),H143," ")</f>
        <v> </v>
      </c>
      <c r="AC143" s="30" t="str">
        <f aca="false">IF((E143="v"),H143," ")</f>
        <v> </v>
      </c>
      <c r="AD143" s="30" t="str">
        <f aca="false">IF((E143="n"),H143," ")</f>
        <v> </v>
      </c>
      <c r="AE143" s="17" t="str">
        <f aca="false">IF((E143="f"),H143," ")</f>
        <v> </v>
      </c>
      <c r="AF143" s="17" t="str">
        <f aca="false">IF((E143="l"),H143," ")</f>
        <v> </v>
      </c>
      <c r="AG143" s="17" t="str">
        <f aca="false">IF((E143="y"),H143," ")</f>
        <v> </v>
      </c>
      <c r="AH143" s="17" t="str">
        <f aca="false">IF((E143="z"),H143," ")</f>
        <v> </v>
      </c>
      <c r="AI143" s="17" t="str">
        <f aca="false">IF((E143="fa"),H143," ")</f>
        <v> </v>
      </c>
      <c r="AJ143" s="17" t="str">
        <f aca="false">IF((E143="e"),H143," ")</f>
        <v> </v>
      </c>
    </row>
    <row r="144" customFormat="false" ht="12" hidden="false" customHeight="false" outlineLevel="0" collapsed="false">
      <c r="A144" s="28"/>
      <c r="E144" s="2" t="str">
        <f aca="false">IF((F144&lt;&gt;0),"Enter Letter"," ")</f>
        <v> </v>
      </c>
      <c r="F144" s="30"/>
      <c r="G144" s="6" t="str">
        <f aca="false">IF(F144&lt;&gt;0,F144*G$2/(100+G$2)," ")</f>
        <v> </v>
      </c>
      <c r="H144" s="6" t="str">
        <f aca="false">IF((F144&lt;&gt;0),F144-G144," ")</f>
        <v> </v>
      </c>
      <c r="I144" s="5"/>
      <c r="L144" s="7" t="str">
        <f aca="false">IF(F144&lt;&gt;0,F144-K144," ")</f>
        <v> </v>
      </c>
      <c r="M144" s="8" t="str">
        <f aca="false">IF((F144-K144)&lt;&gt;0,M$1-A144," ")</f>
        <v> </v>
      </c>
      <c r="N144" s="5"/>
      <c r="O144" s="17" t="str">
        <f aca="false">IF((E144="s"),H144," ")</f>
        <v> </v>
      </c>
      <c r="P144" s="17" t="str">
        <f aca="false">IF((E144="c"),H144," ")</f>
        <v> </v>
      </c>
      <c r="Q144" s="17" t="str">
        <f aca="false">IF((E144="o"),H144," ")</f>
        <v> </v>
      </c>
      <c r="R144" s="17" t="str">
        <f aca="false">IF((E144="d"),H144," ")</f>
        <v> </v>
      </c>
      <c r="S144" s="17" t="str">
        <f aca="false">IF((E144="w"),H144," ")</f>
        <v> </v>
      </c>
      <c r="T144" s="17" t="str">
        <f aca="false">IF((E144="r"),H144," ")</f>
        <v> </v>
      </c>
      <c r="U144" s="17" t="str">
        <f aca="false">IF((E144="p"),H144," ")</f>
        <v> </v>
      </c>
      <c r="V144" s="17" t="str">
        <f aca="false">IF((E144="t"),H144," ")</f>
        <v> </v>
      </c>
      <c r="W144" s="17" t="str">
        <f aca="false">IF((E144="q"),H144," ")</f>
        <v> </v>
      </c>
      <c r="X144" s="17" t="str">
        <f aca="false">IF((E144="m"),H144," ")</f>
        <v> </v>
      </c>
      <c r="Y144" s="17" t="str">
        <f aca="false">IF((E144="u"),H144," ")</f>
        <v> </v>
      </c>
      <c r="Z144" s="17" t="str">
        <f aca="false">IF((E144="a"),H144," ")</f>
        <v> </v>
      </c>
      <c r="AA144" s="17" t="str">
        <f aca="false">IF((E144="g"),H144," ")</f>
        <v> </v>
      </c>
      <c r="AB144" s="17" t="str">
        <f aca="false">IF((E144="h"),H144," ")</f>
        <v> </v>
      </c>
      <c r="AC144" s="30" t="str">
        <f aca="false">IF((E144="v"),H144," ")</f>
        <v> </v>
      </c>
      <c r="AD144" s="30" t="str">
        <f aca="false">IF((E144="n"),H144," ")</f>
        <v> </v>
      </c>
      <c r="AE144" s="17" t="str">
        <f aca="false">IF((E144="f"),H144," ")</f>
        <v> </v>
      </c>
      <c r="AF144" s="17" t="str">
        <f aca="false">IF((E144="l"),H144," ")</f>
        <v> </v>
      </c>
      <c r="AG144" s="17" t="str">
        <f aca="false">IF((E144="y"),H144," ")</f>
        <v> </v>
      </c>
      <c r="AH144" s="17" t="str">
        <f aca="false">IF((E144="z"),H144," ")</f>
        <v> </v>
      </c>
      <c r="AI144" s="17" t="str">
        <f aca="false">IF((E144="fa"),H144," ")</f>
        <v> </v>
      </c>
      <c r="AJ144" s="17" t="str">
        <f aca="false">IF((E144="e"),H144," ")</f>
        <v> </v>
      </c>
    </row>
    <row r="145" customFormat="false" ht="12" hidden="false" customHeight="false" outlineLevel="0" collapsed="false">
      <c r="A145" s="28"/>
      <c r="E145" s="2" t="str">
        <f aca="false">IF((F145&lt;&gt;0),"Enter Letter"," ")</f>
        <v> </v>
      </c>
      <c r="F145" s="30"/>
      <c r="G145" s="6" t="str">
        <f aca="false">IF(F145&lt;&gt;0,F145*G$2/(100+G$2)," ")</f>
        <v> </v>
      </c>
      <c r="H145" s="6" t="str">
        <f aca="false">IF((F145&lt;&gt;0),F145-G145," ")</f>
        <v> </v>
      </c>
      <c r="I145" s="5"/>
      <c r="L145" s="7" t="str">
        <f aca="false">IF(F145&lt;&gt;0,F145-K145," ")</f>
        <v> </v>
      </c>
      <c r="M145" s="8" t="str">
        <f aca="false">IF((F145-K145)&lt;&gt;0,M$1-A145," ")</f>
        <v> </v>
      </c>
      <c r="N145" s="5"/>
      <c r="O145" s="17" t="str">
        <f aca="false">IF((E145="s"),H145," ")</f>
        <v> </v>
      </c>
      <c r="P145" s="17" t="str">
        <f aca="false">IF((E145="c"),H145," ")</f>
        <v> </v>
      </c>
      <c r="Q145" s="17" t="str">
        <f aca="false">IF((E145="o"),H145," ")</f>
        <v> </v>
      </c>
      <c r="R145" s="17" t="str">
        <f aca="false">IF((E145="d"),H145," ")</f>
        <v> </v>
      </c>
      <c r="S145" s="17" t="str">
        <f aca="false">IF((E145="w"),H145," ")</f>
        <v> </v>
      </c>
      <c r="T145" s="17" t="str">
        <f aca="false">IF((E145="r"),H145," ")</f>
        <v> </v>
      </c>
      <c r="U145" s="17" t="str">
        <f aca="false">IF((E145="p"),H145," ")</f>
        <v> </v>
      </c>
      <c r="V145" s="17" t="str">
        <f aca="false">IF((E145="t"),H145," ")</f>
        <v> </v>
      </c>
      <c r="W145" s="17" t="str">
        <f aca="false">IF((E145="q"),H145," ")</f>
        <v> </v>
      </c>
      <c r="X145" s="17" t="str">
        <f aca="false">IF((E145="m"),H145," ")</f>
        <v> </v>
      </c>
      <c r="Y145" s="17" t="str">
        <f aca="false">IF((E145="u"),H145," ")</f>
        <v> </v>
      </c>
      <c r="Z145" s="17" t="str">
        <f aca="false">IF((E145="a"),H145," ")</f>
        <v> </v>
      </c>
      <c r="AA145" s="17" t="str">
        <f aca="false">IF((E145="g"),H145," ")</f>
        <v> </v>
      </c>
      <c r="AB145" s="17" t="str">
        <f aca="false">IF((E145="h"),H145," ")</f>
        <v> </v>
      </c>
      <c r="AC145" s="30" t="str">
        <f aca="false">IF((E145="v"),H145," ")</f>
        <v> </v>
      </c>
      <c r="AD145" s="30" t="str">
        <f aca="false">IF((E145="n"),H145," ")</f>
        <v> </v>
      </c>
      <c r="AE145" s="17" t="str">
        <f aca="false">IF((E145="f"),H145," ")</f>
        <v> </v>
      </c>
      <c r="AF145" s="17" t="str">
        <f aca="false">IF((E145="l"),H145," ")</f>
        <v> </v>
      </c>
      <c r="AG145" s="17" t="str">
        <f aca="false">IF((E145="y"),H145," ")</f>
        <v> </v>
      </c>
      <c r="AH145" s="17" t="str">
        <f aca="false">IF((E145="z"),H145," ")</f>
        <v> </v>
      </c>
      <c r="AI145" s="17" t="str">
        <f aca="false">IF((E145="fa"),H145," ")</f>
        <v> </v>
      </c>
      <c r="AJ145" s="17" t="str">
        <f aca="false">IF((E145="e"),H145," ")</f>
        <v> </v>
      </c>
    </row>
    <row r="146" customFormat="false" ht="12" hidden="false" customHeight="false" outlineLevel="0" collapsed="false">
      <c r="A146" s="28"/>
      <c r="E146" s="2" t="str">
        <f aca="false">IF((F146&lt;&gt;0),"Enter Letter"," ")</f>
        <v> </v>
      </c>
      <c r="F146" s="30"/>
      <c r="G146" s="6" t="str">
        <f aca="false">IF(F146&lt;&gt;0,F146*G$2/(100+G$2)," ")</f>
        <v> </v>
      </c>
      <c r="H146" s="6" t="str">
        <f aca="false">IF((F146&lt;&gt;0),F146-G146," ")</f>
        <v> </v>
      </c>
      <c r="I146" s="5"/>
      <c r="L146" s="7" t="str">
        <f aca="false">IF(F146&lt;&gt;0,F146-K146," ")</f>
        <v> </v>
      </c>
      <c r="M146" s="8" t="str">
        <f aca="false">IF((F146-K146)&lt;&gt;0,M$1-A146," ")</f>
        <v> </v>
      </c>
      <c r="N146" s="5"/>
      <c r="O146" s="17" t="str">
        <f aca="false">IF((E146="s"),H146," ")</f>
        <v> </v>
      </c>
      <c r="P146" s="17" t="str">
        <f aca="false">IF((E146="c"),H146," ")</f>
        <v> </v>
      </c>
      <c r="Q146" s="17" t="str">
        <f aca="false">IF((E146="o"),H146," ")</f>
        <v> </v>
      </c>
      <c r="R146" s="17" t="str">
        <f aca="false">IF((E146="d"),H146," ")</f>
        <v> </v>
      </c>
      <c r="S146" s="17" t="str">
        <f aca="false">IF((E146="w"),H146," ")</f>
        <v> </v>
      </c>
      <c r="T146" s="17" t="str">
        <f aca="false">IF((E146="r"),H146," ")</f>
        <v> </v>
      </c>
      <c r="U146" s="17" t="str">
        <f aca="false">IF((E146="p"),H146," ")</f>
        <v> </v>
      </c>
      <c r="V146" s="17" t="str">
        <f aca="false">IF((E146="t"),H146," ")</f>
        <v> </v>
      </c>
      <c r="W146" s="17" t="str">
        <f aca="false">IF((E146="q"),H146," ")</f>
        <v> </v>
      </c>
      <c r="X146" s="17" t="str">
        <f aca="false">IF((E146="m"),H146," ")</f>
        <v> </v>
      </c>
      <c r="Y146" s="17" t="str">
        <f aca="false">IF((E146="u"),H146," ")</f>
        <v> </v>
      </c>
      <c r="Z146" s="17" t="str">
        <f aca="false">IF((E146="a"),H146," ")</f>
        <v> </v>
      </c>
      <c r="AA146" s="17" t="str">
        <f aca="false">IF((E146="g"),H146," ")</f>
        <v> </v>
      </c>
      <c r="AB146" s="17" t="str">
        <f aca="false">IF((E146="h"),H146," ")</f>
        <v> </v>
      </c>
      <c r="AC146" s="30" t="str">
        <f aca="false">IF((E146="v"),H146," ")</f>
        <v> </v>
      </c>
      <c r="AD146" s="30" t="str">
        <f aca="false">IF((E146="n"),H146," ")</f>
        <v> </v>
      </c>
      <c r="AE146" s="17" t="str">
        <f aca="false">IF((E146="f"),H146," ")</f>
        <v> </v>
      </c>
      <c r="AF146" s="17" t="str">
        <f aca="false">IF((E146="l"),H146," ")</f>
        <v> </v>
      </c>
      <c r="AG146" s="17" t="str">
        <f aca="false">IF((E146="y"),H146," ")</f>
        <v> </v>
      </c>
      <c r="AH146" s="17" t="str">
        <f aca="false">IF((E146="z"),H146," ")</f>
        <v> </v>
      </c>
      <c r="AI146" s="17" t="str">
        <f aca="false">IF((E146="fa"),H146," ")</f>
        <v> </v>
      </c>
      <c r="AJ146" s="17" t="str">
        <f aca="false">IF((E146="e"),H146," ")</f>
        <v> </v>
      </c>
    </row>
    <row r="147" customFormat="false" ht="12" hidden="false" customHeight="false" outlineLevel="0" collapsed="false">
      <c r="A147" s="28"/>
      <c r="E147" s="2" t="str">
        <f aca="false">IF((F147&lt;&gt;0),"Enter Letter"," ")</f>
        <v> </v>
      </c>
      <c r="F147" s="30"/>
      <c r="G147" s="6" t="str">
        <f aca="false">IF(F147&lt;&gt;0,F147*G$2/(100+G$2)," ")</f>
        <v> </v>
      </c>
      <c r="H147" s="6" t="str">
        <f aca="false">IF((F147&lt;&gt;0),F147-G147," ")</f>
        <v> </v>
      </c>
      <c r="I147" s="5"/>
      <c r="L147" s="7" t="str">
        <f aca="false">IF(F147&lt;&gt;0,F147-K147," ")</f>
        <v> </v>
      </c>
      <c r="M147" s="8" t="str">
        <f aca="false">IF((F147-K147)&lt;&gt;0,M$1-A147," ")</f>
        <v> </v>
      </c>
      <c r="N147" s="5"/>
      <c r="O147" s="17" t="str">
        <f aca="false">IF((E147="s"),H147," ")</f>
        <v> </v>
      </c>
      <c r="P147" s="17" t="str">
        <f aca="false">IF((E147="c"),H147," ")</f>
        <v> </v>
      </c>
      <c r="Q147" s="17" t="str">
        <f aca="false">IF((E147="o"),H147," ")</f>
        <v> </v>
      </c>
      <c r="R147" s="17" t="str">
        <f aca="false">IF((E147="d"),H147," ")</f>
        <v> </v>
      </c>
      <c r="S147" s="17" t="str">
        <f aca="false">IF((E147="w"),H147," ")</f>
        <v> </v>
      </c>
      <c r="T147" s="17" t="str">
        <f aca="false">IF((E147="r"),H147," ")</f>
        <v> </v>
      </c>
      <c r="U147" s="17" t="str">
        <f aca="false">IF((E147="p"),H147," ")</f>
        <v> </v>
      </c>
      <c r="V147" s="17" t="str">
        <f aca="false">IF((E147="t"),H147," ")</f>
        <v> </v>
      </c>
      <c r="W147" s="17" t="str">
        <f aca="false">IF((E147="q"),H147," ")</f>
        <v> </v>
      </c>
      <c r="X147" s="17" t="str">
        <f aca="false">IF((E147="m"),H147," ")</f>
        <v> </v>
      </c>
      <c r="Y147" s="17" t="str">
        <f aca="false">IF((E147="u"),H147," ")</f>
        <v> </v>
      </c>
      <c r="Z147" s="17" t="str">
        <f aca="false">IF((E147="a"),H147," ")</f>
        <v> </v>
      </c>
      <c r="AA147" s="17" t="str">
        <f aca="false">IF((E147="g"),H147," ")</f>
        <v> </v>
      </c>
      <c r="AB147" s="17" t="str">
        <f aca="false">IF((E147="h"),H147," ")</f>
        <v> </v>
      </c>
      <c r="AC147" s="30" t="str">
        <f aca="false">IF((E147="v"),H147," ")</f>
        <v> </v>
      </c>
      <c r="AD147" s="30" t="str">
        <f aca="false">IF((E147="n"),H147," ")</f>
        <v> </v>
      </c>
      <c r="AE147" s="17" t="str">
        <f aca="false">IF((E147="f"),H147," ")</f>
        <v> </v>
      </c>
      <c r="AF147" s="17" t="str">
        <f aca="false">IF((E147="l"),H147," ")</f>
        <v> </v>
      </c>
      <c r="AG147" s="17" t="str">
        <f aca="false">IF((E147="y"),H147," ")</f>
        <v> </v>
      </c>
      <c r="AH147" s="17" t="str">
        <f aca="false">IF((E147="z"),H147," ")</f>
        <v> </v>
      </c>
      <c r="AI147" s="17" t="str">
        <f aca="false">IF((E147="fa"),H147," ")</f>
        <v> </v>
      </c>
      <c r="AJ147" s="17" t="str">
        <f aca="false">IF((E147="e"),H147," ")</f>
        <v> </v>
      </c>
    </row>
    <row r="148" customFormat="false" ht="12" hidden="false" customHeight="false" outlineLevel="0" collapsed="false">
      <c r="A148" s="28"/>
      <c r="E148" s="2" t="str">
        <f aca="false">IF((F148&lt;&gt;0),"Enter Letter"," ")</f>
        <v> </v>
      </c>
      <c r="F148" s="30"/>
      <c r="G148" s="6" t="str">
        <f aca="false">IF(F148&lt;&gt;0,F148*G$2/(100+G$2)," ")</f>
        <v> </v>
      </c>
      <c r="H148" s="6" t="str">
        <f aca="false">IF((F148&lt;&gt;0),F148-G148," ")</f>
        <v> </v>
      </c>
      <c r="I148" s="5"/>
      <c r="L148" s="7" t="str">
        <f aca="false">IF(F148&lt;&gt;0,F148-K148," ")</f>
        <v> </v>
      </c>
      <c r="M148" s="8" t="str">
        <f aca="false">IF((F148-K148)&lt;&gt;0,M$1-A148," ")</f>
        <v> </v>
      </c>
      <c r="N148" s="5"/>
      <c r="O148" s="17" t="str">
        <f aca="false">IF((E148="s"),H148," ")</f>
        <v> </v>
      </c>
      <c r="P148" s="17" t="str">
        <f aca="false">IF((E148="c"),H148," ")</f>
        <v> </v>
      </c>
      <c r="Q148" s="17" t="str">
        <f aca="false">IF((E148="o"),H148," ")</f>
        <v> </v>
      </c>
      <c r="R148" s="17" t="str">
        <f aca="false">IF((E148="d"),H148," ")</f>
        <v> </v>
      </c>
      <c r="S148" s="17" t="str">
        <f aca="false">IF((E148="w"),H148," ")</f>
        <v> </v>
      </c>
      <c r="T148" s="17" t="str">
        <f aca="false">IF((E148="r"),H148," ")</f>
        <v> </v>
      </c>
      <c r="U148" s="17" t="str">
        <f aca="false">IF((E148="p"),H148," ")</f>
        <v> </v>
      </c>
      <c r="V148" s="17" t="str">
        <f aca="false">IF((E148="t"),H148," ")</f>
        <v> </v>
      </c>
      <c r="W148" s="17" t="str">
        <f aca="false">IF((E148="q"),H148," ")</f>
        <v> </v>
      </c>
      <c r="X148" s="17" t="str">
        <f aca="false">IF((E148="m"),H148," ")</f>
        <v> </v>
      </c>
      <c r="Y148" s="17" t="str">
        <f aca="false">IF((E148="u"),H148," ")</f>
        <v> </v>
      </c>
      <c r="Z148" s="17" t="str">
        <f aca="false">IF((E148="a"),H148," ")</f>
        <v> </v>
      </c>
      <c r="AA148" s="17" t="str">
        <f aca="false">IF((E148="g"),H148," ")</f>
        <v> </v>
      </c>
      <c r="AB148" s="17" t="str">
        <f aca="false">IF((E148="h"),H148," ")</f>
        <v> </v>
      </c>
      <c r="AC148" s="30" t="str">
        <f aca="false">IF((E148="v"),H148," ")</f>
        <v> </v>
      </c>
      <c r="AD148" s="30" t="str">
        <f aca="false">IF((E148="n"),H148," ")</f>
        <v> </v>
      </c>
      <c r="AE148" s="17" t="str">
        <f aca="false">IF((E148="f"),H148," ")</f>
        <v> </v>
      </c>
      <c r="AF148" s="17" t="str">
        <f aca="false">IF((E148="l"),H148," ")</f>
        <v> </v>
      </c>
      <c r="AG148" s="17" t="str">
        <f aca="false">IF((E148="y"),H148," ")</f>
        <v> </v>
      </c>
      <c r="AH148" s="17" t="str">
        <f aca="false">IF((E148="z"),H148," ")</f>
        <v> </v>
      </c>
      <c r="AI148" s="17" t="str">
        <f aca="false">IF((E148="fa"),H148," ")</f>
        <v> </v>
      </c>
      <c r="AJ148" s="17" t="str">
        <f aca="false">IF((E148="e"),H148," ")</f>
        <v> </v>
      </c>
    </row>
    <row r="149" customFormat="false" ht="12" hidden="false" customHeight="false" outlineLevel="0" collapsed="false">
      <c r="A149" s="28"/>
      <c r="E149" s="2" t="str">
        <f aca="false">IF((F149&lt;&gt;0),"Enter Letter"," ")</f>
        <v> </v>
      </c>
      <c r="F149" s="30"/>
      <c r="G149" s="6" t="str">
        <f aca="false">IF(F149&lt;&gt;0,F149*G$2/(100+G$2)," ")</f>
        <v> </v>
      </c>
      <c r="H149" s="6" t="str">
        <f aca="false">IF((F149&lt;&gt;0),F149-G149," ")</f>
        <v> </v>
      </c>
      <c r="I149" s="5"/>
      <c r="L149" s="7" t="str">
        <f aca="false">IF(F149&lt;&gt;0,F149-K149," ")</f>
        <v> </v>
      </c>
      <c r="M149" s="8" t="str">
        <f aca="false">IF((F149-K149)&lt;&gt;0,M$1-A149," ")</f>
        <v> </v>
      </c>
      <c r="N149" s="5"/>
      <c r="O149" s="17" t="str">
        <f aca="false">IF((E149="s"),H149," ")</f>
        <v> </v>
      </c>
      <c r="P149" s="17" t="str">
        <f aca="false">IF((E149="c"),H149," ")</f>
        <v> </v>
      </c>
      <c r="Q149" s="17" t="str">
        <f aca="false">IF((E149="o"),H149," ")</f>
        <v> </v>
      </c>
      <c r="R149" s="17" t="str">
        <f aca="false">IF((E149="d"),H149," ")</f>
        <v> </v>
      </c>
      <c r="S149" s="17" t="str">
        <f aca="false">IF((E149="w"),H149," ")</f>
        <v> </v>
      </c>
      <c r="T149" s="17" t="str">
        <f aca="false">IF((E149="r"),H149," ")</f>
        <v> </v>
      </c>
      <c r="U149" s="17" t="str">
        <f aca="false">IF((E149="p"),H149," ")</f>
        <v> </v>
      </c>
      <c r="V149" s="17" t="str">
        <f aca="false">IF((E149="t"),H149," ")</f>
        <v> </v>
      </c>
      <c r="W149" s="17" t="str">
        <f aca="false">IF((E149="q"),H149," ")</f>
        <v> </v>
      </c>
      <c r="X149" s="17" t="str">
        <f aca="false">IF((E149="m"),H149," ")</f>
        <v> </v>
      </c>
      <c r="Y149" s="17" t="str">
        <f aca="false">IF((E149="u"),H149," ")</f>
        <v> </v>
      </c>
      <c r="Z149" s="17" t="str">
        <f aca="false">IF((E149="a"),H149," ")</f>
        <v> </v>
      </c>
      <c r="AA149" s="17" t="str">
        <f aca="false">IF((E149="g"),H149," ")</f>
        <v> </v>
      </c>
      <c r="AB149" s="17" t="str">
        <f aca="false">IF((E149="h"),H149," ")</f>
        <v> </v>
      </c>
      <c r="AC149" s="30" t="str">
        <f aca="false">IF((E149="v"),H149," ")</f>
        <v> </v>
      </c>
      <c r="AD149" s="30" t="str">
        <f aca="false">IF((E149="n"),H149," ")</f>
        <v> </v>
      </c>
      <c r="AE149" s="17" t="str">
        <f aca="false">IF((E149="f"),H149," ")</f>
        <v> </v>
      </c>
      <c r="AF149" s="17" t="str">
        <f aca="false">IF((E149="l"),H149," ")</f>
        <v> </v>
      </c>
      <c r="AG149" s="17" t="str">
        <f aca="false">IF((E149="y"),H149," ")</f>
        <v> </v>
      </c>
      <c r="AH149" s="17" t="str">
        <f aca="false">IF((E149="z"),H149," ")</f>
        <v> </v>
      </c>
      <c r="AI149" s="17" t="str">
        <f aca="false">IF((E149="fa"),H149," ")</f>
        <v> </v>
      </c>
      <c r="AJ149" s="17" t="str">
        <f aca="false">IF((E149="e"),H149," ")</f>
        <v> </v>
      </c>
    </row>
    <row r="150" customFormat="false" ht="12" hidden="false" customHeight="false" outlineLevel="0" collapsed="false">
      <c r="A150" s="28"/>
      <c r="E150" s="2" t="str">
        <f aca="false">IF((F150&lt;&gt;0),"Enter Letter"," ")</f>
        <v> </v>
      </c>
      <c r="F150" s="30"/>
      <c r="G150" s="6" t="str">
        <f aca="false">IF(F150&lt;&gt;0,F150*G$2/(100+G$2)," ")</f>
        <v> </v>
      </c>
      <c r="H150" s="6" t="str">
        <f aca="false">IF((F150&lt;&gt;0),F150-G150," ")</f>
        <v> </v>
      </c>
      <c r="I150" s="5"/>
      <c r="L150" s="7" t="str">
        <f aca="false">IF(F150&lt;&gt;0,F150-K150," ")</f>
        <v> </v>
      </c>
      <c r="M150" s="8" t="str">
        <f aca="false">IF((F150-K150)&lt;&gt;0,M$1-A150," ")</f>
        <v> </v>
      </c>
      <c r="N150" s="5"/>
      <c r="O150" s="17" t="str">
        <f aca="false">IF((E150="s"),H150," ")</f>
        <v> </v>
      </c>
      <c r="P150" s="17" t="str">
        <f aca="false">IF((E150="c"),H150," ")</f>
        <v> </v>
      </c>
      <c r="Q150" s="17" t="str">
        <f aca="false">IF((E150="o"),H150," ")</f>
        <v> </v>
      </c>
      <c r="R150" s="17" t="str">
        <f aca="false">IF((E150="d"),H150," ")</f>
        <v> </v>
      </c>
      <c r="S150" s="17" t="str">
        <f aca="false">IF((E150="w"),H150," ")</f>
        <v> </v>
      </c>
      <c r="T150" s="17" t="str">
        <f aca="false">IF((E150="r"),H150," ")</f>
        <v> </v>
      </c>
      <c r="U150" s="17" t="str">
        <f aca="false">IF((E150="p"),H150," ")</f>
        <v> </v>
      </c>
      <c r="V150" s="17" t="str">
        <f aca="false">IF((E150="t"),H150," ")</f>
        <v> </v>
      </c>
      <c r="W150" s="17" t="str">
        <f aca="false">IF((E150="q"),H150," ")</f>
        <v> </v>
      </c>
      <c r="X150" s="17" t="str">
        <f aca="false">IF((E150="m"),H150," ")</f>
        <v> </v>
      </c>
      <c r="Y150" s="17" t="str">
        <f aca="false">IF((E150="u"),H150," ")</f>
        <v> </v>
      </c>
      <c r="Z150" s="17" t="str">
        <f aca="false">IF((E150="a"),H150," ")</f>
        <v> </v>
      </c>
      <c r="AA150" s="17" t="str">
        <f aca="false">IF((E150="g"),H150," ")</f>
        <v> </v>
      </c>
      <c r="AB150" s="17" t="str">
        <f aca="false">IF((E150="h"),H150," ")</f>
        <v> </v>
      </c>
      <c r="AC150" s="30" t="str">
        <f aca="false">IF((E150="v"),H150," ")</f>
        <v> </v>
      </c>
      <c r="AD150" s="30" t="str">
        <f aca="false">IF((E150="n"),H150," ")</f>
        <v> </v>
      </c>
      <c r="AE150" s="17" t="str">
        <f aca="false">IF((E150="f"),H150," ")</f>
        <v> </v>
      </c>
      <c r="AF150" s="17" t="str">
        <f aca="false">IF((E150="l"),H150," ")</f>
        <v> </v>
      </c>
      <c r="AG150" s="17" t="str">
        <f aca="false">IF((E150="y"),H150," ")</f>
        <v> </v>
      </c>
      <c r="AH150" s="17" t="str">
        <f aca="false">IF((E150="z"),H150," ")</f>
        <v> </v>
      </c>
      <c r="AI150" s="17" t="str">
        <f aca="false">IF((E150="fa"),H150," ")</f>
        <v> </v>
      </c>
      <c r="AJ150" s="17" t="str">
        <f aca="false">IF((E150="e"),H150," ")</f>
        <v> </v>
      </c>
    </row>
    <row r="151" customFormat="false" ht="12" hidden="false" customHeight="false" outlineLevel="0" collapsed="false">
      <c r="A151" s="28"/>
      <c r="E151" s="2" t="str">
        <f aca="false">IF((F151&lt;&gt;0),"Enter Letter"," ")</f>
        <v> </v>
      </c>
      <c r="F151" s="30"/>
      <c r="G151" s="6" t="str">
        <f aca="false">IF(F151&lt;&gt;0,F151*G$2/(100+G$2)," ")</f>
        <v> </v>
      </c>
      <c r="H151" s="6" t="str">
        <f aca="false">IF((F151&lt;&gt;0),F151-G151," ")</f>
        <v> </v>
      </c>
      <c r="I151" s="5"/>
      <c r="L151" s="7" t="str">
        <f aca="false">IF(F151&lt;&gt;0,F151-K151," ")</f>
        <v> </v>
      </c>
      <c r="M151" s="8" t="str">
        <f aca="false">IF((F151-K151)&lt;&gt;0,M$1-A151," ")</f>
        <v> </v>
      </c>
      <c r="N151" s="5"/>
      <c r="O151" s="17" t="str">
        <f aca="false">IF((E151="s"),H151," ")</f>
        <v> </v>
      </c>
      <c r="P151" s="17" t="str">
        <f aca="false">IF((E151="c"),H151," ")</f>
        <v> </v>
      </c>
      <c r="Q151" s="17" t="str">
        <f aca="false">IF((E151="o"),H151," ")</f>
        <v> </v>
      </c>
      <c r="R151" s="17" t="str">
        <f aca="false">IF((E151="d"),H151," ")</f>
        <v> </v>
      </c>
      <c r="S151" s="17" t="str">
        <f aca="false">IF((E151="w"),H151," ")</f>
        <v> </v>
      </c>
      <c r="T151" s="17" t="str">
        <f aca="false">IF((E151="r"),H151," ")</f>
        <v> </v>
      </c>
      <c r="U151" s="17" t="str">
        <f aca="false">IF((E151="p"),H151," ")</f>
        <v> </v>
      </c>
      <c r="V151" s="17" t="str">
        <f aca="false">IF((E151="t"),H151," ")</f>
        <v> </v>
      </c>
      <c r="W151" s="17" t="str">
        <f aca="false">IF((E151="q"),H151," ")</f>
        <v> </v>
      </c>
      <c r="X151" s="17" t="str">
        <f aca="false">IF((E151="m"),H151," ")</f>
        <v> </v>
      </c>
      <c r="Y151" s="17" t="str">
        <f aca="false">IF((E151="u"),H151," ")</f>
        <v> </v>
      </c>
      <c r="Z151" s="17" t="str">
        <f aca="false">IF((E151="a"),H151," ")</f>
        <v> </v>
      </c>
      <c r="AA151" s="17" t="str">
        <f aca="false">IF((E151="g"),H151," ")</f>
        <v> </v>
      </c>
      <c r="AB151" s="17" t="str">
        <f aca="false">IF((E151="h"),H151," ")</f>
        <v> </v>
      </c>
      <c r="AC151" s="30" t="str">
        <f aca="false">IF((E151="v"),H151," ")</f>
        <v> </v>
      </c>
      <c r="AD151" s="30" t="str">
        <f aca="false">IF((E151="n"),H151," ")</f>
        <v> </v>
      </c>
      <c r="AE151" s="17" t="str">
        <f aca="false">IF((E151="f"),H151," ")</f>
        <v> </v>
      </c>
      <c r="AF151" s="17" t="str">
        <f aca="false">IF((E151="l"),H151," ")</f>
        <v> </v>
      </c>
      <c r="AG151" s="17" t="str">
        <f aca="false">IF((E151="y"),H151," ")</f>
        <v> </v>
      </c>
      <c r="AH151" s="17" t="str">
        <f aca="false">IF((E151="z"),H151," ")</f>
        <v> </v>
      </c>
      <c r="AI151" s="17" t="str">
        <f aca="false">IF((E151="fa"),H151," ")</f>
        <v> </v>
      </c>
      <c r="AJ151" s="17" t="str">
        <f aca="false">IF((E151="e"),H151," ")</f>
        <v> </v>
      </c>
    </row>
    <row r="152" customFormat="false" ht="12" hidden="false" customHeight="false" outlineLevel="0" collapsed="false">
      <c r="A152" s="28"/>
      <c r="E152" s="2" t="str">
        <f aca="false">IF((F152&lt;&gt;0),"Enter Letter"," ")</f>
        <v> </v>
      </c>
      <c r="F152" s="30"/>
      <c r="G152" s="6" t="str">
        <f aca="false">IF(F152&lt;&gt;0,F152*G$2/(100+G$2)," ")</f>
        <v> </v>
      </c>
      <c r="H152" s="6" t="str">
        <f aca="false">IF((F152&lt;&gt;0),F152-G152," ")</f>
        <v> </v>
      </c>
      <c r="I152" s="5"/>
      <c r="L152" s="7" t="str">
        <f aca="false">IF(F152&lt;&gt;0,F152-K152," ")</f>
        <v> </v>
      </c>
      <c r="M152" s="8" t="str">
        <f aca="false">IF((F152-K152)&lt;&gt;0,M$1-A152," ")</f>
        <v> </v>
      </c>
      <c r="N152" s="5"/>
      <c r="O152" s="17" t="str">
        <f aca="false">IF((E152="s"),H152," ")</f>
        <v> </v>
      </c>
      <c r="P152" s="17" t="str">
        <f aca="false">IF((E152="c"),H152," ")</f>
        <v> </v>
      </c>
      <c r="Q152" s="17" t="str">
        <f aca="false">IF((E152="o"),H152," ")</f>
        <v> </v>
      </c>
      <c r="R152" s="17" t="str">
        <f aca="false">IF((E152="d"),H152," ")</f>
        <v> </v>
      </c>
      <c r="S152" s="17" t="str">
        <f aca="false">IF((E152="w"),H152," ")</f>
        <v> </v>
      </c>
      <c r="T152" s="17" t="str">
        <f aca="false">IF((E152="r"),H152," ")</f>
        <v> </v>
      </c>
      <c r="U152" s="17" t="str">
        <f aca="false">IF((E152="p"),H152," ")</f>
        <v> </v>
      </c>
      <c r="V152" s="17" t="str">
        <f aca="false">IF((E152="t"),H152," ")</f>
        <v> </v>
      </c>
      <c r="W152" s="17" t="str">
        <f aca="false">IF((E152="q"),H152," ")</f>
        <v> </v>
      </c>
      <c r="X152" s="17" t="str">
        <f aca="false">IF((E152="m"),H152," ")</f>
        <v> </v>
      </c>
      <c r="Y152" s="17" t="str">
        <f aca="false">IF((E152="u"),H152," ")</f>
        <v> </v>
      </c>
      <c r="Z152" s="17" t="str">
        <f aca="false">IF((E152="a"),H152," ")</f>
        <v> </v>
      </c>
      <c r="AA152" s="17" t="str">
        <f aca="false">IF((E152="g"),H152," ")</f>
        <v> </v>
      </c>
      <c r="AB152" s="17" t="str">
        <f aca="false">IF((E152="h"),H152," ")</f>
        <v> </v>
      </c>
      <c r="AC152" s="30" t="str">
        <f aca="false">IF((E152="v"),H152," ")</f>
        <v> </v>
      </c>
      <c r="AD152" s="30" t="str">
        <f aca="false">IF((E152="n"),H152," ")</f>
        <v> </v>
      </c>
      <c r="AE152" s="17" t="str">
        <f aca="false">IF((E152="f"),H152," ")</f>
        <v> </v>
      </c>
      <c r="AF152" s="17" t="str">
        <f aca="false">IF((E152="l"),H152," ")</f>
        <v> </v>
      </c>
      <c r="AG152" s="17" t="str">
        <f aca="false">IF((E152="y"),H152," ")</f>
        <v> </v>
      </c>
      <c r="AH152" s="17" t="str">
        <f aca="false">IF((E152="z"),H152," ")</f>
        <v> </v>
      </c>
      <c r="AI152" s="17" t="str">
        <f aca="false">IF((E152="fa"),H152," ")</f>
        <v> </v>
      </c>
      <c r="AJ152" s="17" t="str">
        <f aca="false">IF((E152="e"),H152," ")</f>
        <v> </v>
      </c>
    </row>
    <row r="153" customFormat="false" ht="12" hidden="false" customHeight="false" outlineLevel="0" collapsed="false">
      <c r="A153" s="28"/>
      <c r="E153" s="2" t="str">
        <f aca="false">IF((F153&lt;&gt;0),"Enter Letter"," ")</f>
        <v> </v>
      </c>
      <c r="F153" s="30"/>
      <c r="G153" s="6" t="str">
        <f aca="false">IF(F153&lt;&gt;0,F153*G$2/(100+G$2)," ")</f>
        <v> </v>
      </c>
      <c r="H153" s="6" t="str">
        <f aca="false">IF((F153&lt;&gt;0),F153-G153," ")</f>
        <v> </v>
      </c>
      <c r="I153" s="5"/>
      <c r="L153" s="7" t="str">
        <f aca="false">IF(F153&lt;&gt;0,F153-K153," ")</f>
        <v> </v>
      </c>
      <c r="M153" s="8" t="str">
        <f aca="false">IF((F153-K153)&lt;&gt;0,M$1-A153," ")</f>
        <v> </v>
      </c>
      <c r="N153" s="5"/>
      <c r="O153" s="17" t="str">
        <f aca="false">IF((E153="s"),H153," ")</f>
        <v> </v>
      </c>
      <c r="P153" s="17" t="str">
        <f aca="false">IF((E153="c"),H153," ")</f>
        <v> </v>
      </c>
      <c r="Q153" s="17" t="str">
        <f aca="false">IF((E153="o"),H153," ")</f>
        <v> </v>
      </c>
      <c r="R153" s="17" t="str">
        <f aca="false">IF((E153="d"),H153," ")</f>
        <v> </v>
      </c>
      <c r="S153" s="17" t="str">
        <f aca="false">IF((E153="w"),H153," ")</f>
        <v> </v>
      </c>
      <c r="T153" s="17" t="str">
        <f aca="false">IF((E153="r"),H153," ")</f>
        <v> </v>
      </c>
      <c r="U153" s="17" t="str">
        <f aca="false">IF((E153="p"),H153," ")</f>
        <v> </v>
      </c>
      <c r="V153" s="17" t="str">
        <f aca="false">IF((E153="t"),H153," ")</f>
        <v> </v>
      </c>
      <c r="W153" s="17" t="str">
        <f aca="false">IF((E153="q"),H153," ")</f>
        <v> </v>
      </c>
      <c r="X153" s="17" t="str">
        <f aca="false">IF((E153="m"),H153," ")</f>
        <v> </v>
      </c>
      <c r="Y153" s="17" t="str">
        <f aca="false">IF((E153="u"),H153," ")</f>
        <v> </v>
      </c>
      <c r="Z153" s="17" t="str">
        <f aca="false">IF((E153="a"),H153," ")</f>
        <v> </v>
      </c>
      <c r="AA153" s="17" t="str">
        <f aca="false">IF((E153="g"),H153," ")</f>
        <v> </v>
      </c>
      <c r="AB153" s="17" t="str">
        <f aca="false">IF((E153="h"),H153," ")</f>
        <v> </v>
      </c>
      <c r="AC153" s="30" t="str">
        <f aca="false">IF((E153="v"),H153," ")</f>
        <v> </v>
      </c>
      <c r="AD153" s="30" t="str">
        <f aca="false">IF((E153="n"),H153," ")</f>
        <v> </v>
      </c>
      <c r="AE153" s="17" t="str">
        <f aca="false">IF((E153="f"),H153," ")</f>
        <v> </v>
      </c>
      <c r="AF153" s="17" t="str">
        <f aca="false">IF((E153="l"),H153," ")</f>
        <v> </v>
      </c>
      <c r="AG153" s="17" t="str">
        <f aca="false">IF((E153="y"),H153," ")</f>
        <v> </v>
      </c>
      <c r="AH153" s="17" t="str">
        <f aca="false">IF((E153="z"),H153," ")</f>
        <v> </v>
      </c>
      <c r="AI153" s="17" t="str">
        <f aca="false">IF((E153="fa"),H153," ")</f>
        <v> </v>
      </c>
      <c r="AJ153" s="17" t="str">
        <f aca="false">IF((E153="e"),H153," ")</f>
        <v> </v>
      </c>
    </row>
    <row r="154" customFormat="false" ht="12" hidden="false" customHeight="false" outlineLevel="0" collapsed="false">
      <c r="A154" s="28"/>
      <c r="E154" s="2" t="str">
        <f aca="false">IF((F154&lt;&gt;0),"Enter Letter"," ")</f>
        <v> </v>
      </c>
      <c r="F154" s="30"/>
      <c r="G154" s="6" t="str">
        <f aca="false">IF(F154&lt;&gt;0,F154*G$2/(100+G$2)," ")</f>
        <v> </v>
      </c>
      <c r="H154" s="6" t="str">
        <f aca="false">IF((F154&lt;&gt;0),F154-G154," ")</f>
        <v> </v>
      </c>
      <c r="I154" s="5"/>
      <c r="L154" s="7" t="str">
        <f aca="false">IF(F154&lt;&gt;0,F154-K154," ")</f>
        <v> </v>
      </c>
      <c r="M154" s="8" t="str">
        <f aca="false">IF((F154-K154)&lt;&gt;0,M$1-A154," ")</f>
        <v> </v>
      </c>
      <c r="N154" s="5"/>
      <c r="O154" s="17" t="str">
        <f aca="false">IF((E154="s"),H154," ")</f>
        <v> </v>
      </c>
      <c r="P154" s="17" t="str">
        <f aca="false">IF((E154="c"),H154," ")</f>
        <v> </v>
      </c>
      <c r="Q154" s="17" t="str">
        <f aca="false">IF((E154="o"),H154," ")</f>
        <v> </v>
      </c>
      <c r="R154" s="17" t="str">
        <f aca="false">IF((E154="d"),H154," ")</f>
        <v> </v>
      </c>
      <c r="S154" s="17" t="str">
        <f aca="false">IF((E154="w"),H154," ")</f>
        <v> </v>
      </c>
      <c r="T154" s="17" t="str">
        <f aca="false">IF((E154="r"),H154," ")</f>
        <v> </v>
      </c>
      <c r="U154" s="17" t="str">
        <f aca="false">IF((E154="p"),H154," ")</f>
        <v> </v>
      </c>
      <c r="V154" s="17" t="str">
        <f aca="false">IF((E154="t"),H154," ")</f>
        <v> </v>
      </c>
      <c r="W154" s="17" t="str">
        <f aca="false">IF((E154="q"),H154," ")</f>
        <v> </v>
      </c>
      <c r="X154" s="17" t="str">
        <f aca="false">IF((E154="m"),H154," ")</f>
        <v> </v>
      </c>
      <c r="Y154" s="17" t="str">
        <f aca="false">IF((E154="u"),H154," ")</f>
        <v> </v>
      </c>
      <c r="Z154" s="17" t="str">
        <f aca="false">IF((E154="a"),H154," ")</f>
        <v> </v>
      </c>
      <c r="AA154" s="17" t="str">
        <f aca="false">IF((E154="g"),H154," ")</f>
        <v> </v>
      </c>
      <c r="AB154" s="17" t="str">
        <f aca="false">IF((E154="h"),H154," ")</f>
        <v> </v>
      </c>
      <c r="AC154" s="30" t="str">
        <f aca="false">IF((E154="v"),H154," ")</f>
        <v> </v>
      </c>
      <c r="AD154" s="30" t="str">
        <f aca="false">IF((E154="n"),H154," ")</f>
        <v> </v>
      </c>
      <c r="AE154" s="17" t="str">
        <f aca="false">IF((E154="f"),H154," ")</f>
        <v> </v>
      </c>
      <c r="AF154" s="17" t="str">
        <f aca="false">IF((E154="l"),H154," ")</f>
        <v> </v>
      </c>
      <c r="AG154" s="17" t="str">
        <f aca="false">IF((E154="y"),H154," ")</f>
        <v> </v>
      </c>
      <c r="AH154" s="17" t="str">
        <f aca="false">IF((E154="z"),H154," ")</f>
        <v> </v>
      </c>
      <c r="AI154" s="17" t="str">
        <f aca="false">IF((E154="fa"),H154," ")</f>
        <v> </v>
      </c>
      <c r="AJ154" s="17" t="str">
        <f aca="false">IF((E154="e"),H154," ")</f>
        <v> </v>
      </c>
    </row>
    <row r="155" customFormat="false" ht="12" hidden="false" customHeight="false" outlineLevel="0" collapsed="false">
      <c r="A155" s="28"/>
      <c r="E155" s="2" t="str">
        <f aca="false">IF((F155&lt;&gt;0),"Enter Letter"," ")</f>
        <v> </v>
      </c>
      <c r="F155" s="30"/>
      <c r="G155" s="6" t="str">
        <f aca="false">IF(F155&lt;&gt;0,F155*G$2/(100+G$2)," ")</f>
        <v> </v>
      </c>
      <c r="H155" s="6" t="str">
        <f aca="false">IF((F155&lt;&gt;0),F155-G155," ")</f>
        <v> </v>
      </c>
      <c r="I155" s="5"/>
      <c r="L155" s="7" t="str">
        <f aca="false">IF(F155&lt;&gt;0,F155-K155," ")</f>
        <v> </v>
      </c>
      <c r="M155" s="8" t="str">
        <f aca="false">IF((F155-K155)&lt;&gt;0,M$1-A155," ")</f>
        <v> </v>
      </c>
      <c r="N155" s="5"/>
      <c r="O155" s="17" t="str">
        <f aca="false">IF((E155="s"),H155," ")</f>
        <v> </v>
      </c>
      <c r="P155" s="17" t="str">
        <f aca="false">IF((E155="c"),H155," ")</f>
        <v> </v>
      </c>
      <c r="Q155" s="17" t="str">
        <f aca="false">IF((E155="o"),H155," ")</f>
        <v> </v>
      </c>
      <c r="R155" s="17" t="str">
        <f aca="false">IF((E155="d"),H155," ")</f>
        <v> </v>
      </c>
      <c r="S155" s="17" t="str">
        <f aca="false">IF((E155="w"),H155," ")</f>
        <v> </v>
      </c>
      <c r="T155" s="17" t="str">
        <f aca="false">IF((E155="r"),H155," ")</f>
        <v> </v>
      </c>
      <c r="U155" s="17" t="str">
        <f aca="false">IF((E155="p"),H155," ")</f>
        <v> </v>
      </c>
      <c r="V155" s="17" t="str">
        <f aca="false">IF((E155="t"),H155," ")</f>
        <v> </v>
      </c>
      <c r="W155" s="17" t="str">
        <f aca="false">IF((E155="q"),H155," ")</f>
        <v> </v>
      </c>
      <c r="X155" s="17" t="str">
        <f aca="false">IF((E155="m"),H155," ")</f>
        <v> </v>
      </c>
      <c r="Y155" s="17" t="str">
        <f aca="false">IF((E155="u"),H155," ")</f>
        <v> </v>
      </c>
      <c r="Z155" s="17" t="str">
        <f aca="false">IF((E155="a"),H155," ")</f>
        <v> </v>
      </c>
      <c r="AA155" s="17" t="str">
        <f aca="false">IF((E155="g"),H155," ")</f>
        <v> </v>
      </c>
      <c r="AB155" s="17" t="str">
        <f aca="false">IF((E155="h"),H155," ")</f>
        <v> </v>
      </c>
      <c r="AC155" s="30" t="str">
        <f aca="false">IF((E155="v"),H155," ")</f>
        <v> </v>
      </c>
      <c r="AD155" s="30" t="str">
        <f aca="false">IF((E155="n"),H155," ")</f>
        <v> </v>
      </c>
      <c r="AE155" s="17" t="str">
        <f aca="false">IF((E155="f"),H155," ")</f>
        <v> </v>
      </c>
      <c r="AF155" s="17" t="str">
        <f aca="false">IF((E155="l"),H155," ")</f>
        <v> </v>
      </c>
      <c r="AG155" s="17" t="str">
        <f aca="false">IF((E155="y"),H155," ")</f>
        <v> </v>
      </c>
      <c r="AH155" s="17" t="str">
        <f aca="false">IF((E155="z"),H155," ")</f>
        <v> </v>
      </c>
      <c r="AI155" s="17" t="str">
        <f aca="false">IF((E155="fa"),H155," ")</f>
        <v> </v>
      </c>
      <c r="AJ155" s="17" t="str">
        <f aca="false">IF((E155="e"),H155," ")</f>
        <v> </v>
      </c>
    </row>
    <row r="156" customFormat="false" ht="12" hidden="false" customHeight="false" outlineLevel="0" collapsed="false">
      <c r="A156" s="28"/>
      <c r="E156" s="2" t="str">
        <f aca="false">IF((F156&lt;&gt;0),"Enter Letter"," ")</f>
        <v> </v>
      </c>
      <c r="F156" s="30"/>
      <c r="G156" s="6" t="str">
        <f aca="false">IF(F156&lt;&gt;0,F156*G$2/(100+G$2)," ")</f>
        <v> </v>
      </c>
      <c r="H156" s="6" t="str">
        <f aca="false">IF((F156&lt;&gt;0),F156-G156," ")</f>
        <v> </v>
      </c>
      <c r="I156" s="5"/>
      <c r="L156" s="7" t="str">
        <f aca="false">IF(F156&lt;&gt;0,F156-K156," ")</f>
        <v> </v>
      </c>
      <c r="M156" s="8" t="str">
        <f aca="false">IF((F156-K156)&lt;&gt;0,M$1-A156," ")</f>
        <v> </v>
      </c>
      <c r="N156" s="5"/>
      <c r="O156" s="17" t="str">
        <f aca="false">IF((E156="s"),H156," ")</f>
        <v> </v>
      </c>
      <c r="P156" s="17" t="str">
        <f aca="false">IF((E156="c"),H156," ")</f>
        <v> </v>
      </c>
      <c r="Q156" s="17" t="str">
        <f aca="false">IF((E156="o"),H156," ")</f>
        <v> </v>
      </c>
      <c r="R156" s="17" t="str">
        <f aca="false">IF((E156="d"),H156," ")</f>
        <v> </v>
      </c>
      <c r="S156" s="17" t="str">
        <f aca="false">IF((E156="w"),H156," ")</f>
        <v> </v>
      </c>
      <c r="T156" s="17" t="str">
        <f aca="false">IF((E156="r"),H156," ")</f>
        <v> </v>
      </c>
      <c r="U156" s="17" t="str">
        <f aca="false">IF((E156="p"),H156," ")</f>
        <v> </v>
      </c>
      <c r="V156" s="17" t="str">
        <f aca="false">IF((E156="t"),H156," ")</f>
        <v> </v>
      </c>
      <c r="W156" s="17" t="str">
        <f aca="false">IF((E156="q"),H156," ")</f>
        <v> </v>
      </c>
      <c r="X156" s="17" t="str">
        <f aca="false">IF((E156="m"),H156," ")</f>
        <v> </v>
      </c>
      <c r="Y156" s="17" t="str">
        <f aca="false">IF((E156="u"),H156," ")</f>
        <v> </v>
      </c>
      <c r="Z156" s="17" t="str">
        <f aca="false">IF((E156="a"),H156," ")</f>
        <v> </v>
      </c>
      <c r="AA156" s="17" t="str">
        <f aca="false">IF((E156="g"),H156," ")</f>
        <v> </v>
      </c>
      <c r="AB156" s="17" t="str">
        <f aca="false">IF((E156="h"),H156," ")</f>
        <v> </v>
      </c>
      <c r="AC156" s="30" t="str">
        <f aca="false">IF((E156="v"),H156," ")</f>
        <v> </v>
      </c>
      <c r="AD156" s="30" t="str">
        <f aca="false">IF((E156="n"),H156," ")</f>
        <v> </v>
      </c>
      <c r="AE156" s="17" t="str">
        <f aca="false">IF((E156="f"),H156," ")</f>
        <v> </v>
      </c>
      <c r="AF156" s="17" t="str">
        <f aca="false">IF((E156="l"),H156," ")</f>
        <v> </v>
      </c>
      <c r="AG156" s="17" t="str">
        <f aca="false">IF((E156="y"),H156," ")</f>
        <v> </v>
      </c>
      <c r="AH156" s="17" t="str">
        <f aca="false">IF((E156="z"),H156," ")</f>
        <v> </v>
      </c>
      <c r="AI156" s="17" t="str">
        <f aca="false">IF((E156="fa"),H156," ")</f>
        <v> </v>
      </c>
      <c r="AJ156" s="17" t="str">
        <f aca="false">IF((E156="e"),H156," ")</f>
        <v> </v>
      </c>
    </row>
    <row r="157" customFormat="false" ht="12" hidden="false" customHeight="false" outlineLevel="0" collapsed="false">
      <c r="A157" s="28"/>
      <c r="E157" s="2" t="str">
        <f aca="false">IF((F157&lt;&gt;0),"Enter Letter"," ")</f>
        <v> </v>
      </c>
      <c r="F157" s="30"/>
      <c r="G157" s="6" t="str">
        <f aca="false">IF(F157&lt;&gt;0,F157*G$2/(100+G$2)," ")</f>
        <v> </v>
      </c>
      <c r="H157" s="6" t="str">
        <f aca="false">IF((F157&lt;&gt;0),F157-G157," ")</f>
        <v> </v>
      </c>
      <c r="I157" s="5"/>
      <c r="L157" s="7" t="str">
        <f aca="false">IF(F157&lt;&gt;0,F157-K157," ")</f>
        <v> </v>
      </c>
      <c r="M157" s="8" t="str">
        <f aca="false">IF((F157-K157)&lt;&gt;0,M$1-A157," ")</f>
        <v> </v>
      </c>
      <c r="N157" s="5"/>
      <c r="O157" s="17" t="str">
        <f aca="false">IF((E157="s"),H157," ")</f>
        <v> </v>
      </c>
      <c r="P157" s="17" t="str">
        <f aca="false">IF((E157="c"),H157," ")</f>
        <v> </v>
      </c>
      <c r="Q157" s="17" t="str">
        <f aca="false">IF((E157="o"),H157," ")</f>
        <v> </v>
      </c>
      <c r="R157" s="17" t="str">
        <f aca="false">IF((E157="d"),H157," ")</f>
        <v> </v>
      </c>
      <c r="S157" s="17" t="str">
        <f aca="false">IF((E157="w"),H157," ")</f>
        <v> </v>
      </c>
      <c r="T157" s="17" t="str">
        <f aca="false">IF((E157="r"),H157," ")</f>
        <v> </v>
      </c>
      <c r="U157" s="17" t="str">
        <f aca="false">IF((E157="p"),H157," ")</f>
        <v> </v>
      </c>
      <c r="V157" s="17" t="str">
        <f aca="false">IF((E157="t"),H157," ")</f>
        <v> </v>
      </c>
      <c r="W157" s="17" t="str">
        <f aca="false">IF((E157="q"),H157," ")</f>
        <v> </v>
      </c>
      <c r="X157" s="17" t="str">
        <f aca="false">IF((E157="m"),H157," ")</f>
        <v> </v>
      </c>
      <c r="Y157" s="17" t="str">
        <f aca="false">IF((E157="u"),H157," ")</f>
        <v> </v>
      </c>
      <c r="Z157" s="17" t="str">
        <f aca="false">IF((E157="a"),H157," ")</f>
        <v> </v>
      </c>
      <c r="AA157" s="17" t="str">
        <f aca="false">IF((E157="g"),H157," ")</f>
        <v> </v>
      </c>
      <c r="AB157" s="17" t="str">
        <f aca="false">IF((E157="h"),H157," ")</f>
        <v> </v>
      </c>
      <c r="AC157" s="30" t="str">
        <f aca="false">IF((E157="v"),H157," ")</f>
        <v> </v>
      </c>
      <c r="AD157" s="30" t="str">
        <f aca="false">IF((E157="n"),H157," ")</f>
        <v> </v>
      </c>
      <c r="AE157" s="17" t="str">
        <f aca="false">IF((E157="f"),H157," ")</f>
        <v> </v>
      </c>
      <c r="AF157" s="17" t="str">
        <f aca="false">IF((E157="l"),H157," ")</f>
        <v> </v>
      </c>
      <c r="AG157" s="17" t="str">
        <f aca="false">IF((E157="y"),H157," ")</f>
        <v> </v>
      </c>
      <c r="AH157" s="17" t="str">
        <f aca="false">IF((E157="z"),H157," ")</f>
        <v> </v>
      </c>
      <c r="AI157" s="17" t="str">
        <f aca="false">IF((E157="fa"),H157," ")</f>
        <v> </v>
      </c>
      <c r="AJ157" s="17" t="str">
        <f aca="false">IF((E157="e"),H157," ")</f>
        <v> </v>
      </c>
    </row>
    <row r="158" customFormat="false" ht="12" hidden="false" customHeight="false" outlineLevel="0" collapsed="false">
      <c r="A158" s="28"/>
      <c r="E158" s="2" t="str">
        <f aca="false">IF((F158&lt;&gt;0),"Enter Letter"," ")</f>
        <v> </v>
      </c>
      <c r="F158" s="30"/>
      <c r="G158" s="6" t="str">
        <f aca="false">IF(F158&lt;&gt;0,F158*G$2/(100+G$2)," ")</f>
        <v> </v>
      </c>
      <c r="H158" s="6" t="str">
        <f aca="false">IF((F158&lt;&gt;0),F158-G158," ")</f>
        <v> </v>
      </c>
      <c r="I158" s="5"/>
      <c r="L158" s="7" t="str">
        <f aca="false">IF(F158&lt;&gt;0,F158-K158," ")</f>
        <v> </v>
      </c>
      <c r="M158" s="8" t="str">
        <f aca="false">IF((F158-K158)&lt;&gt;0,M$1-A158," ")</f>
        <v> </v>
      </c>
      <c r="N158" s="5"/>
      <c r="O158" s="17" t="str">
        <f aca="false">IF((E158="s"),H158," ")</f>
        <v> </v>
      </c>
      <c r="P158" s="17" t="str">
        <f aca="false">IF((E158="c"),H158," ")</f>
        <v> </v>
      </c>
      <c r="Q158" s="17" t="str">
        <f aca="false">IF((E158="o"),H158," ")</f>
        <v> </v>
      </c>
      <c r="R158" s="17" t="str">
        <f aca="false">IF((E158="d"),H158," ")</f>
        <v> </v>
      </c>
      <c r="S158" s="17" t="str">
        <f aca="false">IF((E158="w"),H158," ")</f>
        <v> </v>
      </c>
      <c r="T158" s="17" t="str">
        <f aca="false">IF((E158="r"),H158," ")</f>
        <v> </v>
      </c>
      <c r="U158" s="17" t="str">
        <f aca="false">IF((E158="p"),H158," ")</f>
        <v> </v>
      </c>
      <c r="V158" s="17" t="str">
        <f aca="false">IF((E158="t"),H158," ")</f>
        <v> </v>
      </c>
      <c r="W158" s="17" t="str">
        <f aca="false">IF((E158="q"),H158," ")</f>
        <v> </v>
      </c>
      <c r="X158" s="17" t="str">
        <f aca="false">IF((E158="m"),H158," ")</f>
        <v> </v>
      </c>
      <c r="Y158" s="17" t="str">
        <f aca="false">IF((E158="u"),H158," ")</f>
        <v> </v>
      </c>
      <c r="Z158" s="17" t="str">
        <f aca="false">IF((E158="a"),H158," ")</f>
        <v> </v>
      </c>
      <c r="AA158" s="17" t="str">
        <f aca="false">IF((E158="g"),H158," ")</f>
        <v> </v>
      </c>
      <c r="AB158" s="17" t="str">
        <f aca="false">IF((E158="h"),H158," ")</f>
        <v> </v>
      </c>
      <c r="AC158" s="30" t="str">
        <f aca="false">IF((E158="v"),H158," ")</f>
        <v> </v>
      </c>
      <c r="AD158" s="30" t="str">
        <f aca="false">IF((E158="n"),H158," ")</f>
        <v> </v>
      </c>
      <c r="AE158" s="17" t="str">
        <f aca="false">IF((E158="f"),H158," ")</f>
        <v> </v>
      </c>
      <c r="AF158" s="17" t="str">
        <f aca="false">IF((E158="l"),H158," ")</f>
        <v> </v>
      </c>
      <c r="AG158" s="17" t="str">
        <f aca="false">IF((E158="y"),H158," ")</f>
        <v> </v>
      </c>
      <c r="AH158" s="17" t="str">
        <f aca="false">IF((E158="z"),H158," ")</f>
        <v> </v>
      </c>
      <c r="AI158" s="17" t="str">
        <f aca="false">IF((E158="fa"),H158," ")</f>
        <v> </v>
      </c>
      <c r="AJ158" s="17" t="str">
        <f aca="false">IF((E158="e"),H158," ")</f>
        <v> </v>
      </c>
    </row>
    <row r="159" customFormat="false" ht="12" hidden="false" customHeight="false" outlineLevel="0" collapsed="false">
      <c r="A159" s="28"/>
      <c r="E159" s="2" t="str">
        <f aca="false">IF((F159&lt;&gt;0),"Enter Letter"," ")</f>
        <v> </v>
      </c>
      <c r="F159" s="30"/>
      <c r="G159" s="6" t="str">
        <f aca="false">IF(F159&lt;&gt;0,F159*G$2/(100+G$2)," ")</f>
        <v> </v>
      </c>
      <c r="H159" s="6" t="str">
        <f aca="false">IF((F159&lt;&gt;0),F159-G159," ")</f>
        <v> </v>
      </c>
      <c r="I159" s="5"/>
      <c r="L159" s="7" t="str">
        <f aca="false">IF(F159&lt;&gt;0,F159-K159," ")</f>
        <v> </v>
      </c>
      <c r="M159" s="8" t="str">
        <f aca="false">IF((F159-K159)&lt;&gt;0,M$1-A159," ")</f>
        <v> </v>
      </c>
      <c r="N159" s="5"/>
      <c r="O159" s="17" t="str">
        <f aca="false">IF((E159="s"),H159," ")</f>
        <v> </v>
      </c>
      <c r="P159" s="17" t="str">
        <f aca="false">IF((E159="c"),H159," ")</f>
        <v> </v>
      </c>
      <c r="Q159" s="17" t="str">
        <f aca="false">IF((E159="o"),H159," ")</f>
        <v> </v>
      </c>
      <c r="R159" s="17" t="str">
        <f aca="false">IF((E159="d"),H159," ")</f>
        <v> </v>
      </c>
      <c r="S159" s="17" t="str">
        <f aca="false">IF((E159="w"),H159," ")</f>
        <v> </v>
      </c>
      <c r="T159" s="17" t="str">
        <f aca="false">IF((E159="r"),H159," ")</f>
        <v> </v>
      </c>
      <c r="U159" s="17" t="str">
        <f aca="false">IF((E159="p"),H159," ")</f>
        <v> </v>
      </c>
      <c r="V159" s="17" t="str">
        <f aca="false">IF((E159="t"),H159," ")</f>
        <v> </v>
      </c>
      <c r="W159" s="17" t="str">
        <f aca="false">IF((E159="q"),H159," ")</f>
        <v> </v>
      </c>
      <c r="X159" s="17" t="str">
        <f aca="false">IF((E159="m"),H159," ")</f>
        <v> </v>
      </c>
      <c r="Y159" s="17" t="str">
        <f aca="false">IF((E159="u"),H159," ")</f>
        <v> </v>
      </c>
      <c r="Z159" s="17" t="str">
        <f aca="false">IF((E159="a"),H159," ")</f>
        <v> </v>
      </c>
      <c r="AA159" s="17" t="str">
        <f aca="false">IF((E159="g"),H159," ")</f>
        <v> </v>
      </c>
      <c r="AB159" s="17" t="str">
        <f aca="false">IF((E159="h"),H159," ")</f>
        <v> </v>
      </c>
      <c r="AC159" s="30" t="str">
        <f aca="false">IF((E159="v"),H159," ")</f>
        <v> </v>
      </c>
      <c r="AD159" s="30" t="str">
        <f aca="false">IF((E159="n"),H159," ")</f>
        <v> </v>
      </c>
      <c r="AE159" s="17" t="str">
        <f aca="false">IF((E159="f"),H159," ")</f>
        <v> </v>
      </c>
      <c r="AF159" s="17" t="str">
        <f aca="false">IF((E159="l"),H159," ")</f>
        <v> </v>
      </c>
      <c r="AG159" s="17" t="str">
        <f aca="false">IF((E159="y"),H159," ")</f>
        <v> </v>
      </c>
      <c r="AH159" s="17" t="str">
        <f aca="false">IF((E159="z"),H159," ")</f>
        <v> </v>
      </c>
      <c r="AI159" s="17" t="str">
        <f aca="false">IF((E159="fa"),H159," ")</f>
        <v> </v>
      </c>
      <c r="AJ159" s="17" t="str">
        <f aca="false">IF((E159="e"),H159," ")</f>
        <v> </v>
      </c>
    </row>
    <row r="160" customFormat="false" ht="12" hidden="false" customHeight="false" outlineLevel="0" collapsed="false">
      <c r="A160" s="28"/>
      <c r="E160" s="2" t="str">
        <f aca="false">IF((F160&lt;&gt;0),"Enter Letter"," ")</f>
        <v> </v>
      </c>
      <c r="F160" s="30"/>
      <c r="G160" s="6" t="str">
        <f aca="false">IF(F160&lt;&gt;0,F160*G$2/(100+G$2)," ")</f>
        <v> </v>
      </c>
      <c r="H160" s="6" t="str">
        <f aca="false">IF((F160&lt;&gt;0),F160-G160," ")</f>
        <v> </v>
      </c>
      <c r="I160" s="5"/>
      <c r="L160" s="7" t="str">
        <f aca="false">IF(F160&lt;&gt;0,F160-K160," ")</f>
        <v> </v>
      </c>
      <c r="M160" s="8" t="str">
        <f aca="false">IF((F160-K160)&lt;&gt;0,M$1-A160," ")</f>
        <v> </v>
      </c>
      <c r="N160" s="5"/>
      <c r="O160" s="17" t="str">
        <f aca="false">IF((E160="s"),H160," ")</f>
        <v> </v>
      </c>
      <c r="P160" s="17" t="str">
        <f aca="false">IF((E160="c"),H160," ")</f>
        <v> </v>
      </c>
      <c r="Q160" s="17" t="str">
        <f aca="false">IF((E160="o"),H160," ")</f>
        <v> </v>
      </c>
      <c r="R160" s="17" t="str">
        <f aca="false">IF((E160="d"),H160," ")</f>
        <v> </v>
      </c>
      <c r="S160" s="17" t="str">
        <f aca="false">IF((E160="w"),H160," ")</f>
        <v> </v>
      </c>
      <c r="T160" s="17" t="str">
        <f aca="false">IF((E160="r"),H160," ")</f>
        <v> </v>
      </c>
      <c r="U160" s="17" t="str">
        <f aca="false">IF((E160="p"),H160," ")</f>
        <v> </v>
      </c>
      <c r="V160" s="17" t="str">
        <f aca="false">IF((E160="t"),H160," ")</f>
        <v> </v>
      </c>
      <c r="W160" s="17" t="str">
        <f aca="false">IF((E160="q"),H160," ")</f>
        <v> </v>
      </c>
      <c r="X160" s="17" t="str">
        <f aca="false">IF((E160="m"),H160," ")</f>
        <v> </v>
      </c>
      <c r="Y160" s="17" t="str">
        <f aca="false">IF((E160="u"),H160," ")</f>
        <v> </v>
      </c>
      <c r="Z160" s="17" t="str">
        <f aca="false">IF((E160="a"),H160," ")</f>
        <v> </v>
      </c>
      <c r="AA160" s="17" t="str">
        <f aca="false">IF((E160="g"),H160," ")</f>
        <v> </v>
      </c>
      <c r="AB160" s="17" t="str">
        <f aca="false">IF((E160="h"),H160," ")</f>
        <v> </v>
      </c>
      <c r="AC160" s="30" t="str">
        <f aca="false">IF((E160="v"),H160," ")</f>
        <v> </v>
      </c>
      <c r="AD160" s="30" t="str">
        <f aca="false">IF((E160="n"),H160," ")</f>
        <v> </v>
      </c>
      <c r="AE160" s="17" t="str">
        <f aca="false">IF((E160="f"),H160," ")</f>
        <v> </v>
      </c>
      <c r="AF160" s="17" t="str">
        <f aca="false">IF((E160="l"),H160," ")</f>
        <v> </v>
      </c>
      <c r="AG160" s="17" t="str">
        <f aca="false">IF((E160="y"),H160," ")</f>
        <v> </v>
      </c>
      <c r="AH160" s="17" t="str">
        <f aca="false">IF((E160="z"),H160," ")</f>
        <v> </v>
      </c>
      <c r="AI160" s="17" t="str">
        <f aca="false">IF((E160="fa"),H160," ")</f>
        <v> </v>
      </c>
      <c r="AJ160" s="17" t="str">
        <f aca="false">IF((E160="e"),H160," ")</f>
        <v> </v>
      </c>
    </row>
    <row r="161" customFormat="false" ht="12" hidden="false" customHeight="false" outlineLevel="0" collapsed="false">
      <c r="A161" s="28"/>
      <c r="E161" s="2" t="str">
        <f aca="false">IF((F161&lt;&gt;0),"Enter Letter"," ")</f>
        <v> </v>
      </c>
      <c r="F161" s="30"/>
      <c r="G161" s="6" t="str">
        <f aca="false">IF(F161&lt;&gt;0,F161*G$2/(100+G$2)," ")</f>
        <v> </v>
      </c>
      <c r="H161" s="6" t="str">
        <f aca="false">IF((F161&lt;&gt;0),F161-G161," ")</f>
        <v> </v>
      </c>
      <c r="I161" s="5"/>
      <c r="L161" s="7" t="str">
        <f aca="false">IF(F161&lt;&gt;0,F161-K161," ")</f>
        <v> </v>
      </c>
      <c r="M161" s="8" t="str">
        <f aca="false">IF((F161-K161)&lt;&gt;0,M$1-A161," ")</f>
        <v> </v>
      </c>
      <c r="N161" s="5"/>
      <c r="O161" s="17" t="str">
        <f aca="false">IF((E161="s"),H161," ")</f>
        <v> </v>
      </c>
      <c r="P161" s="17" t="str">
        <f aca="false">IF((E161="c"),H161," ")</f>
        <v> </v>
      </c>
      <c r="Q161" s="17" t="str">
        <f aca="false">IF((E161="o"),H161," ")</f>
        <v> </v>
      </c>
      <c r="R161" s="17" t="str">
        <f aca="false">IF((E161="d"),H161," ")</f>
        <v> </v>
      </c>
      <c r="S161" s="17" t="str">
        <f aca="false">IF((E161="w"),H161," ")</f>
        <v> </v>
      </c>
      <c r="T161" s="17" t="str">
        <f aca="false">IF((E161="r"),H161," ")</f>
        <v> </v>
      </c>
      <c r="U161" s="17" t="str">
        <f aca="false">IF((E161="p"),H161," ")</f>
        <v> </v>
      </c>
      <c r="V161" s="17" t="str">
        <f aca="false">IF((E161="t"),H161," ")</f>
        <v> </v>
      </c>
      <c r="W161" s="17" t="str">
        <f aca="false">IF((E161="q"),H161," ")</f>
        <v> </v>
      </c>
      <c r="X161" s="17" t="str">
        <f aca="false">IF((E161="m"),H161," ")</f>
        <v> </v>
      </c>
      <c r="Y161" s="17" t="str">
        <f aca="false">IF((E161="u"),H161," ")</f>
        <v> </v>
      </c>
      <c r="Z161" s="17" t="str">
        <f aca="false">IF((E161="a"),H161," ")</f>
        <v> </v>
      </c>
      <c r="AA161" s="17" t="str">
        <f aca="false">IF((E161="g"),H161," ")</f>
        <v> </v>
      </c>
      <c r="AB161" s="17" t="str">
        <f aca="false">IF((E161="h"),H161," ")</f>
        <v> </v>
      </c>
      <c r="AC161" s="30" t="str">
        <f aca="false">IF((E161="v"),H161," ")</f>
        <v> </v>
      </c>
      <c r="AD161" s="30" t="str">
        <f aca="false">IF((E161="n"),H161," ")</f>
        <v> </v>
      </c>
      <c r="AE161" s="17" t="str">
        <f aca="false">IF((E161="f"),H161," ")</f>
        <v> </v>
      </c>
      <c r="AF161" s="17" t="str">
        <f aca="false">IF((E161="l"),H161," ")</f>
        <v> </v>
      </c>
      <c r="AG161" s="17" t="str">
        <f aca="false">IF((E161="y"),H161," ")</f>
        <v> </v>
      </c>
      <c r="AH161" s="17" t="str">
        <f aca="false">IF((E161="z"),H161," ")</f>
        <v> </v>
      </c>
      <c r="AI161" s="17" t="str">
        <f aca="false">IF((E161="fa"),H161," ")</f>
        <v> </v>
      </c>
      <c r="AJ161" s="17" t="str">
        <f aca="false">IF((E161="e"),H161," ")</f>
        <v> </v>
      </c>
    </row>
    <row r="162" customFormat="false" ht="12" hidden="false" customHeight="false" outlineLevel="0" collapsed="false">
      <c r="A162" s="28"/>
      <c r="E162" s="2" t="str">
        <f aca="false">IF((F162&lt;&gt;0),"Enter Letter"," ")</f>
        <v> </v>
      </c>
      <c r="F162" s="30"/>
      <c r="G162" s="6" t="str">
        <f aca="false">IF(F162&lt;&gt;0,F162*G$2/(100+G$2)," ")</f>
        <v> </v>
      </c>
      <c r="H162" s="6" t="str">
        <f aca="false">IF((F162&lt;&gt;0),F162-G162," ")</f>
        <v> </v>
      </c>
      <c r="I162" s="5"/>
      <c r="L162" s="7" t="str">
        <f aca="false">IF(F162&lt;&gt;0,F162-K162," ")</f>
        <v> </v>
      </c>
      <c r="M162" s="8" t="str">
        <f aca="false">IF((F162-K162)&lt;&gt;0,M$1-A162," ")</f>
        <v> </v>
      </c>
      <c r="N162" s="5"/>
      <c r="O162" s="17" t="str">
        <f aca="false">IF((E162="s"),H162," ")</f>
        <v> </v>
      </c>
      <c r="P162" s="17" t="str">
        <f aca="false">IF((E162="c"),H162," ")</f>
        <v> </v>
      </c>
      <c r="Q162" s="17" t="str">
        <f aca="false">IF((E162="o"),H162," ")</f>
        <v> </v>
      </c>
      <c r="R162" s="17" t="str">
        <f aca="false">IF((E162="d"),H162," ")</f>
        <v> </v>
      </c>
      <c r="S162" s="17" t="str">
        <f aca="false">IF((E162="w"),H162," ")</f>
        <v> </v>
      </c>
      <c r="T162" s="17" t="str">
        <f aca="false">IF((E162="r"),H162," ")</f>
        <v> </v>
      </c>
      <c r="U162" s="17" t="str">
        <f aca="false">IF((E162="p"),H162," ")</f>
        <v> </v>
      </c>
      <c r="V162" s="17" t="str">
        <f aca="false">IF((E162="t"),H162," ")</f>
        <v> </v>
      </c>
      <c r="W162" s="17" t="str">
        <f aca="false">IF((E162="q"),H162," ")</f>
        <v> </v>
      </c>
      <c r="X162" s="17" t="str">
        <f aca="false">IF((E162="m"),H162," ")</f>
        <v> </v>
      </c>
      <c r="Y162" s="17" t="str">
        <f aca="false">IF((E162="u"),H162," ")</f>
        <v> </v>
      </c>
      <c r="Z162" s="17" t="str">
        <f aca="false">IF((E162="a"),H162," ")</f>
        <v> </v>
      </c>
      <c r="AA162" s="17" t="str">
        <f aca="false">IF((E162="g"),H162," ")</f>
        <v> </v>
      </c>
      <c r="AB162" s="17" t="str">
        <f aca="false">IF((E162="h"),H162," ")</f>
        <v> </v>
      </c>
      <c r="AC162" s="30" t="str">
        <f aca="false">IF((E162="v"),H162," ")</f>
        <v> </v>
      </c>
      <c r="AD162" s="30" t="str">
        <f aca="false">IF((E162="n"),H162," ")</f>
        <v> </v>
      </c>
      <c r="AE162" s="17" t="str">
        <f aca="false">IF((E162="f"),H162," ")</f>
        <v> </v>
      </c>
      <c r="AF162" s="17" t="str">
        <f aca="false">IF((E162="l"),H162," ")</f>
        <v> </v>
      </c>
      <c r="AG162" s="17" t="str">
        <f aca="false">IF((E162="y"),H162," ")</f>
        <v> </v>
      </c>
      <c r="AH162" s="17" t="str">
        <f aca="false">IF((E162="z"),H162," ")</f>
        <v> </v>
      </c>
      <c r="AI162" s="17" t="str">
        <f aca="false">IF((E162="fa"),H162," ")</f>
        <v> </v>
      </c>
      <c r="AJ162" s="17" t="str">
        <f aca="false">IF((E162="e"),H162," ")</f>
        <v> </v>
      </c>
    </row>
    <row r="163" customFormat="false" ht="12" hidden="false" customHeight="false" outlineLevel="0" collapsed="false">
      <c r="A163" s="28"/>
      <c r="E163" s="2" t="str">
        <f aca="false">IF((F163&lt;&gt;0),"Enter Letter"," ")</f>
        <v> </v>
      </c>
      <c r="F163" s="30"/>
      <c r="G163" s="6" t="str">
        <f aca="false">IF(F163&lt;&gt;0,F163*G$2/(100+G$2)," ")</f>
        <v> </v>
      </c>
      <c r="H163" s="6" t="str">
        <f aca="false">IF((F163&lt;&gt;0),F163-G163," ")</f>
        <v> </v>
      </c>
      <c r="I163" s="5"/>
      <c r="L163" s="7" t="str">
        <f aca="false">IF(F163&lt;&gt;0,F163-K163," ")</f>
        <v> </v>
      </c>
      <c r="M163" s="8" t="str">
        <f aca="false">IF((F163-K163)&lt;&gt;0,M$1-A163," ")</f>
        <v> </v>
      </c>
      <c r="N163" s="5"/>
      <c r="O163" s="17" t="str">
        <f aca="false">IF((E163="s"),H163," ")</f>
        <v> </v>
      </c>
      <c r="P163" s="17" t="str">
        <f aca="false">IF((E163="c"),H163," ")</f>
        <v> </v>
      </c>
      <c r="Q163" s="17" t="str">
        <f aca="false">IF((E163="o"),H163," ")</f>
        <v> </v>
      </c>
      <c r="R163" s="17" t="str">
        <f aca="false">IF((E163="d"),H163," ")</f>
        <v> </v>
      </c>
      <c r="S163" s="17" t="str">
        <f aca="false">IF((E163="w"),H163," ")</f>
        <v> </v>
      </c>
      <c r="T163" s="17" t="str">
        <f aca="false">IF((E163="r"),H163," ")</f>
        <v> </v>
      </c>
      <c r="U163" s="17" t="str">
        <f aca="false">IF((E163="p"),H163," ")</f>
        <v> </v>
      </c>
      <c r="V163" s="17" t="str">
        <f aca="false">IF((E163="t"),H163," ")</f>
        <v> </v>
      </c>
      <c r="W163" s="17" t="str">
        <f aca="false">IF((E163="q"),H163," ")</f>
        <v> </v>
      </c>
      <c r="X163" s="17" t="str">
        <f aca="false">IF((E163="m"),H163," ")</f>
        <v> </v>
      </c>
      <c r="Y163" s="17" t="str">
        <f aca="false">IF((E163="u"),H163," ")</f>
        <v> </v>
      </c>
      <c r="Z163" s="17" t="str">
        <f aca="false">IF((E163="a"),H163," ")</f>
        <v> </v>
      </c>
      <c r="AA163" s="17" t="str">
        <f aca="false">IF((E163="g"),H163," ")</f>
        <v> </v>
      </c>
      <c r="AB163" s="17" t="str">
        <f aca="false">IF((E163="h"),H163," ")</f>
        <v> </v>
      </c>
      <c r="AC163" s="30" t="str">
        <f aca="false">IF((E163="v"),H163," ")</f>
        <v> </v>
      </c>
      <c r="AD163" s="30" t="str">
        <f aca="false">IF((E163="n"),H163," ")</f>
        <v> </v>
      </c>
      <c r="AE163" s="17" t="str">
        <f aca="false">IF((E163="f"),H163," ")</f>
        <v> </v>
      </c>
      <c r="AF163" s="17" t="str">
        <f aca="false">IF((E163="l"),H163," ")</f>
        <v> </v>
      </c>
      <c r="AG163" s="17" t="str">
        <f aca="false">IF((E163="y"),H163," ")</f>
        <v> </v>
      </c>
      <c r="AH163" s="17" t="str">
        <f aca="false">IF((E163="z"),H163," ")</f>
        <v> </v>
      </c>
      <c r="AI163" s="17" t="str">
        <f aca="false">IF((E163="fa"),H163," ")</f>
        <v> </v>
      </c>
      <c r="AJ163" s="17" t="str">
        <f aca="false">IF((E163="e"),H163," ")</f>
        <v> </v>
      </c>
    </row>
    <row r="164" customFormat="false" ht="12" hidden="false" customHeight="false" outlineLevel="0" collapsed="false">
      <c r="A164" s="28"/>
      <c r="E164" s="2" t="str">
        <f aca="false">IF((F164&lt;&gt;0),"Enter Letter"," ")</f>
        <v> </v>
      </c>
      <c r="F164" s="30"/>
      <c r="G164" s="6" t="str">
        <f aca="false">IF(F164&lt;&gt;0,F164*G$2/(100+G$2)," ")</f>
        <v> </v>
      </c>
      <c r="H164" s="6" t="str">
        <f aca="false">IF((F164&lt;&gt;0),F164-G164," ")</f>
        <v> </v>
      </c>
      <c r="I164" s="5"/>
      <c r="L164" s="7" t="str">
        <f aca="false">IF(F164&lt;&gt;0,F164-K164," ")</f>
        <v> </v>
      </c>
      <c r="M164" s="8" t="str">
        <f aca="false">IF((F164-K164)&lt;&gt;0,M$1-A164," ")</f>
        <v> </v>
      </c>
      <c r="N164" s="5"/>
      <c r="O164" s="17" t="str">
        <f aca="false">IF((E164="s"),H164," ")</f>
        <v> </v>
      </c>
      <c r="P164" s="17" t="str">
        <f aca="false">IF((E164="c"),H164," ")</f>
        <v> </v>
      </c>
      <c r="Q164" s="17" t="str">
        <f aca="false">IF((E164="o"),H164," ")</f>
        <v> </v>
      </c>
      <c r="R164" s="17" t="str">
        <f aca="false">IF((E164="d"),H164," ")</f>
        <v> </v>
      </c>
      <c r="S164" s="17" t="str">
        <f aca="false">IF((E164="w"),H164," ")</f>
        <v> </v>
      </c>
      <c r="T164" s="17" t="str">
        <f aca="false">IF((E164="r"),H164," ")</f>
        <v> </v>
      </c>
      <c r="U164" s="17" t="str">
        <f aca="false">IF((E164="p"),H164," ")</f>
        <v> </v>
      </c>
      <c r="V164" s="17" t="str">
        <f aca="false">IF((E164="t"),H164," ")</f>
        <v> </v>
      </c>
      <c r="W164" s="17" t="str">
        <f aca="false">IF((E164="q"),H164," ")</f>
        <v> </v>
      </c>
      <c r="X164" s="17" t="str">
        <f aca="false">IF((E164="m"),H164," ")</f>
        <v> </v>
      </c>
      <c r="Y164" s="17" t="str">
        <f aca="false">IF((E164="u"),H164," ")</f>
        <v> </v>
      </c>
      <c r="Z164" s="17" t="str">
        <f aca="false">IF((E164="a"),H164," ")</f>
        <v> </v>
      </c>
      <c r="AA164" s="17" t="str">
        <f aca="false">IF((E164="g"),H164," ")</f>
        <v> </v>
      </c>
      <c r="AB164" s="17" t="str">
        <f aca="false">IF((E164="h"),H164," ")</f>
        <v> </v>
      </c>
      <c r="AC164" s="30" t="str">
        <f aca="false">IF((E164="v"),H164," ")</f>
        <v> </v>
      </c>
      <c r="AD164" s="30" t="str">
        <f aca="false">IF((E164="n"),H164," ")</f>
        <v> </v>
      </c>
      <c r="AE164" s="17" t="str">
        <f aca="false">IF((E164="f"),H164," ")</f>
        <v> </v>
      </c>
      <c r="AF164" s="17" t="str">
        <f aca="false">IF((E164="l"),H164," ")</f>
        <v> </v>
      </c>
      <c r="AG164" s="17" t="str">
        <f aca="false">IF((E164="y"),H164," ")</f>
        <v> </v>
      </c>
      <c r="AH164" s="17" t="str">
        <f aca="false">IF((E164="z"),H164," ")</f>
        <v> </v>
      </c>
      <c r="AI164" s="17" t="str">
        <f aca="false">IF((E164="fa"),H164," ")</f>
        <v> </v>
      </c>
      <c r="AJ164" s="17" t="str">
        <f aca="false">IF((E164="e"),H164," ")</f>
        <v> </v>
      </c>
    </row>
    <row r="165" customFormat="false" ht="12" hidden="false" customHeight="false" outlineLevel="0" collapsed="false">
      <c r="A165" s="28"/>
      <c r="E165" s="2" t="str">
        <f aca="false">IF((F165&lt;&gt;0),"Enter Letter"," ")</f>
        <v> </v>
      </c>
      <c r="F165" s="30"/>
      <c r="G165" s="6" t="str">
        <f aca="false">IF(F165&lt;&gt;0,F165*G$2/(100+G$2)," ")</f>
        <v> </v>
      </c>
      <c r="H165" s="6" t="str">
        <f aca="false">IF((F165&lt;&gt;0),F165-G165," ")</f>
        <v> </v>
      </c>
      <c r="I165" s="5"/>
      <c r="L165" s="7" t="str">
        <f aca="false">IF(F165&lt;&gt;0,F165-K165," ")</f>
        <v> </v>
      </c>
      <c r="M165" s="8" t="str">
        <f aca="false">IF((F165-K165)&lt;&gt;0,M$1-A165," ")</f>
        <v> </v>
      </c>
      <c r="N165" s="5"/>
      <c r="O165" s="17" t="str">
        <f aca="false">IF((E165="s"),H165," ")</f>
        <v> </v>
      </c>
      <c r="P165" s="17" t="str">
        <f aca="false">IF((E165="c"),H165," ")</f>
        <v> </v>
      </c>
      <c r="Q165" s="17" t="str">
        <f aca="false">IF((E165="o"),H165," ")</f>
        <v> </v>
      </c>
      <c r="R165" s="17" t="str">
        <f aca="false">IF((E165="d"),H165," ")</f>
        <v> </v>
      </c>
      <c r="S165" s="17" t="str">
        <f aca="false">IF((E165="w"),H165," ")</f>
        <v> </v>
      </c>
      <c r="T165" s="17" t="str">
        <f aca="false">IF((E165="r"),H165," ")</f>
        <v> </v>
      </c>
      <c r="U165" s="17" t="str">
        <f aca="false">IF((E165="p"),H165," ")</f>
        <v> </v>
      </c>
      <c r="V165" s="17" t="str">
        <f aca="false">IF((E165="t"),H165," ")</f>
        <v> </v>
      </c>
      <c r="W165" s="17" t="str">
        <f aca="false">IF((E165="q"),H165," ")</f>
        <v> </v>
      </c>
      <c r="X165" s="17" t="str">
        <f aca="false">IF((E165="m"),H165," ")</f>
        <v> </v>
      </c>
      <c r="Y165" s="17" t="str">
        <f aca="false">IF((E165="u"),H165," ")</f>
        <v> </v>
      </c>
      <c r="Z165" s="17" t="str">
        <f aca="false">IF((E165="a"),H165," ")</f>
        <v> </v>
      </c>
      <c r="AA165" s="17" t="str">
        <f aca="false">IF((E165="g"),H165," ")</f>
        <v> </v>
      </c>
      <c r="AB165" s="17" t="str">
        <f aca="false">IF((E165="h"),H165," ")</f>
        <v> </v>
      </c>
      <c r="AC165" s="30" t="str">
        <f aca="false">IF((E165="v"),H165," ")</f>
        <v> </v>
      </c>
      <c r="AD165" s="30" t="str">
        <f aca="false">IF((E165="n"),H165," ")</f>
        <v> </v>
      </c>
      <c r="AE165" s="17" t="str">
        <f aca="false">IF((E165="f"),H165," ")</f>
        <v> </v>
      </c>
      <c r="AF165" s="17" t="str">
        <f aca="false">IF((E165="l"),H165," ")</f>
        <v> </v>
      </c>
      <c r="AG165" s="17" t="str">
        <f aca="false">IF((E165="y"),H165," ")</f>
        <v> </v>
      </c>
      <c r="AH165" s="17" t="str">
        <f aca="false">IF((E165="z"),H165," ")</f>
        <v> </v>
      </c>
      <c r="AI165" s="17" t="str">
        <f aca="false">IF((E165="fa"),H165," ")</f>
        <v> </v>
      </c>
      <c r="AJ165" s="17" t="str">
        <f aca="false">IF((E165="e"),H165," ")</f>
        <v> </v>
      </c>
    </row>
    <row r="166" customFormat="false" ht="12" hidden="false" customHeight="false" outlineLevel="0" collapsed="false">
      <c r="A166" s="28"/>
      <c r="E166" s="2" t="str">
        <f aca="false">IF((F166&lt;&gt;0),"Enter Letter"," ")</f>
        <v> </v>
      </c>
      <c r="F166" s="30"/>
      <c r="G166" s="6" t="str">
        <f aca="false">IF(F166&lt;&gt;0,F166*G$2/(100+G$2)," ")</f>
        <v> </v>
      </c>
      <c r="H166" s="6" t="str">
        <f aca="false">IF((F166&lt;&gt;0),F166-G166," ")</f>
        <v> </v>
      </c>
      <c r="I166" s="5"/>
      <c r="L166" s="7" t="str">
        <f aca="false">IF(F166&lt;&gt;0,F166-K166," ")</f>
        <v> </v>
      </c>
      <c r="M166" s="8" t="str">
        <f aca="false">IF((F166-K166)&lt;&gt;0,M$1-A166," ")</f>
        <v> </v>
      </c>
      <c r="N166" s="5"/>
      <c r="O166" s="17" t="str">
        <f aca="false">IF((E166="s"),H166," ")</f>
        <v> </v>
      </c>
      <c r="P166" s="17" t="str">
        <f aca="false">IF((E166="c"),H166," ")</f>
        <v> </v>
      </c>
      <c r="Q166" s="17" t="str">
        <f aca="false">IF((E166="o"),H166," ")</f>
        <v> </v>
      </c>
      <c r="R166" s="17" t="str">
        <f aca="false">IF((E166="d"),H166," ")</f>
        <v> </v>
      </c>
      <c r="S166" s="17" t="str">
        <f aca="false">IF((E166="w"),H166," ")</f>
        <v> </v>
      </c>
      <c r="T166" s="17" t="str">
        <f aca="false">IF((E166="r"),H166," ")</f>
        <v> </v>
      </c>
      <c r="U166" s="17" t="str">
        <f aca="false">IF((E166="p"),H166," ")</f>
        <v> </v>
      </c>
      <c r="V166" s="17" t="str">
        <f aca="false">IF((E166="t"),H166," ")</f>
        <v> </v>
      </c>
      <c r="W166" s="17" t="str">
        <f aca="false">IF((E166="q"),H166," ")</f>
        <v> </v>
      </c>
      <c r="X166" s="17" t="str">
        <f aca="false">IF((E166="m"),H166," ")</f>
        <v> </v>
      </c>
      <c r="Y166" s="17" t="str">
        <f aca="false">IF((E166="u"),H166," ")</f>
        <v> </v>
      </c>
      <c r="Z166" s="17" t="str">
        <f aca="false">IF((E166="a"),H166," ")</f>
        <v> </v>
      </c>
      <c r="AA166" s="17" t="str">
        <f aca="false">IF((E166="g"),H166," ")</f>
        <v> </v>
      </c>
      <c r="AB166" s="17" t="str">
        <f aca="false">IF((E166="h"),H166," ")</f>
        <v> </v>
      </c>
      <c r="AC166" s="30" t="str">
        <f aca="false">IF((E166="v"),H166," ")</f>
        <v> </v>
      </c>
      <c r="AD166" s="30" t="str">
        <f aca="false">IF((E166="n"),H166," ")</f>
        <v> </v>
      </c>
      <c r="AE166" s="17" t="str">
        <f aca="false">IF((E166="f"),H166," ")</f>
        <v> </v>
      </c>
      <c r="AF166" s="17" t="str">
        <f aca="false">IF((E166="l"),H166," ")</f>
        <v> </v>
      </c>
      <c r="AG166" s="17" t="str">
        <f aca="false">IF((E166="y"),H166," ")</f>
        <v> </v>
      </c>
      <c r="AH166" s="17" t="str">
        <f aca="false">IF((E166="z"),H166," ")</f>
        <v> </v>
      </c>
      <c r="AI166" s="17" t="str">
        <f aca="false">IF((E166="fa"),H166," ")</f>
        <v> </v>
      </c>
      <c r="AJ166" s="17" t="str">
        <f aca="false">IF((E166="e"),H166," ")</f>
        <v> </v>
      </c>
    </row>
    <row r="167" customFormat="false" ht="12" hidden="false" customHeight="false" outlineLevel="0" collapsed="false">
      <c r="A167" s="28"/>
      <c r="E167" s="2" t="str">
        <f aca="false">IF((F167&lt;&gt;0),"Enter Letter"," ")</f>
        <v> </v>
      </c>
      <c r="F167" s="30"/>
      <c r="G167" s="6" t="str">
        <f aca="false">IF(F167&lt;&gt;0,F167*G$2/(100+G$2)," ")</f>
        <v> </v>
      </c>
      <c r="H167" s="6" t="str">
        <f aca="false">IF((F167&lt;&gt;0),F167-G167," ")</f>
        <v> </v>
      </c>
      <c r="I167" s="5"/>
      <c r="L167" s="7" t="str">
        <f aca="false">IF(F167&lt;&gt;0,F167-K167," ")</f>
        <v> </v>
      </c>
      <c r="M167" s="8" t="str">
        <f aca="false">IF((F167-K167)&lt;&gt;0,M$1-A167," ")</f>
        <v> </v>
      </c>
      <c r="N167" s="5"/>
      <c r="O167" s="17" t="str">
        <f aca="false">IF((E167="s"),H167," ")</f>
        <v> </v>
      </c>
      <c r="P167" s="17" t="str">
        <f aca="false">IF((E167="c"),H167," ")</f>
        <v> </v>
      </c>
      <c r="Q167" s="17" t="str">
        <f aca="false">IF((E167="o"),H167," ")</f>
        <v> </v>
      </c>
      <c r="R167" s="17" t="str">
        <f aca="false">IF((E167="d"),H167," ")</f>
        <v> </v>
      </c>
      <c r="S167" s="17" t="str">
        <f aca="false">IF((E167="w"),H167," ")</f>
        <v> </v>
      </c>
      <c r="T167" s="17" t="str">
        <f aca="false">IF((E167="r"),H167," ")</f>
        <v> </v>
      </c>
      <c r="U167" s="17" t="str">
        <f aca="false">IF((E167="p"),H167," ")</f>
        <v> </v>
      </c>
      <c r="V167" s="17" t="str">
        <f aca="false">IF((E167="t"),H167," ")</f>
        <v> </v>
      </c>
      <c r="W167" s="17" t="str">
        <f aca="false">IF((E167="q"),H167," ")</f>
        <v> </v>
      </c>
      <c r="X167" s="17" t="str">
        <f aca="false">IF((E167="m"),H167," ")</f>
        <v> </v>
      </c>
      <c r="Y167" s="17" t="str">
        <f aca="false">IF((E167="u"),H167," ")</f>
        <v> </v>
      </c>
      <c r="Z167" s="17" t="str">
        <f aca="false">IF((E167="a"),H167," ")</f>
        <v> </v>
      </c>
      <c r="AA167" s="17" t="str">
        <f aca="false">IF((E167="g"),H167," ")</f>
        <v> </v>
      </c>
      <c r="AB167" s="17" t="str">
        <f aca="false">IF((E167="h"),H167," ")</f>
        <v> </v>
      </c>
      <c r="AC167" s="30" t="str">
        <f aca="false">IF((E167="v"),H167," ")</f>
        <v> </v>
      </c>
      <c r="AD167" s="30" t="str">
        <f aca="false">IF((E167="n"),H167," ")</f>
        <v> </v>
      </c>
      <c r="AE167" s="17" t="str">
        <f aca="false">IF((E167="f"),H167," ")</f>
        <v> </v>
      </c>
      <c r="AF167" s="17" t="str">
        <f aca="false">IF((E167="l"),H167," ")</f>
        <v> </v>
      </c>
      <c r="AG167" s="17" t="str">
        <f aca="false">IF((E167="y"),H167," ")</f>
        <v> </v>
      </c>
      <c r="AH167" s="17" t="str">
        <f aca="false">IF((E167="z"),H167," ")</f>
        <v> </v>
      </c>
      <c r="AI167" s="17" t="str">
        <f aca="false">IF((E167="fa"),H167," ")</f>
        <v> </v>
      </c>
      <c r="AJ167" s="17" t="str">
        <f aca="false">IF((E167="e"),H167," ")</f>
        <v> </v>
      </c>
    </row>
    <row r="168" customFormat="false" ht="12" hidden="false" customHeight="false" outlineLevel="0" collapsed="false">
      <c r="A168" s="28"/>
      <c r="E168" s="2" t="str">
        <f aca="false">IF((F168&lt;&gt;0),"Enter Letter"," ")</f>
        <v> </v>
      </c>
      <c r="F168" s="30"/>
      <c r="G168" s="6" t="str">
        <f aca="false">IF(F168&lt;&gt;0,F168*G$2/(100+G$2)," ")</f>
        <v> </v>
      </c>
      <c r="H168" s="6" t="str">
        <f aca="false">IF((F168&lt;&gt;0),F168-G168," ")</f>
        <v> </v>
      </c>
      <c r="I168" s="5"/>
      <c r="L168" s="7" t="str">
        <f aca="false">IF(F168&lt;&gt;0,F168-K168," ")</f>
        <v> </v>
      </c>
      <c r="M168" s="8" t="str">
        <f aca="false">IF((F168-K168)&lt;&gt;0,M$1-A168," ")</f>
        <v> </v>
      </c>
      <c r="N168" s="5"/>
      <c r="O168" s="17" t="str">
        <f aca="false">IF((E168="s"),H168," ")</f>
        <v> </v>
      </c>
      <c r="P168" s="17" t="str">
        <f aca="false">IF((E168="c"),H168," ")</f>
        <v> </v>
      </c>
      <c r="Q168" s="17" t="str">
        <f aca="false">IF((E168="o"),H168," ")</f>
        <v> </v>
      </c>
      <c r="R168" s="17" t="str">
        <f aca="false">IF((E168="d"),H168," ")</f>
        <v> </v>
      </c>
      <c r="S168" s="17" t="str">
        <f aca="false">IF((E168="w"),H168," ")</f>
        <v> </v>
      </c>
      <c r="T168" s="17" t="str">
        <f aca="false">IF((E168="r"),H168," ")</f>
        <v> </v>
      </c>
      <c r="U168" s="17" t="str">
        <f aca="false">IF((E168="p"),H168," ")</f>
        <v> </v>
      </c>
      <c r="V168" s="17" t="str">
        <f aca="false">IF((E168="t"),H168," ")</f>
        <v> </v>
      </c>
      <c r="W168" s="17" t="str">
        <f aca="false">IF((E168="q"),H168," ")</f>
        <v> </v>
      </c>
      <c r="X168" s="17" t="str">
        <f aca="false">IF((E168="m"),H168," ")</f>
        <v> </v>
      </c>
      <c r="Y168" s="17" t="str">
        <f aca="false">IF((E168="u"),H168," ")</f>
        <v> </v>
      </c>
      <c r="Z168" s="17" t="str">
        <f aca="false">IF((E168="a"),H168," ")</f>
        <v> </v>
      </c>
      <c r="AA168" s="17" t="str">
        <f aca="false">IF((E168="g"),H168," ")</f>
        <v> </v>
      </c>
      <c r="AB168" s="17" t="str">
        <f aca="false">IF((E168="h"),H168," ")</f>
        <v> </v>
      </c>
      <c r="AC168" s="30" t="str">
        <f aca="false">IF((E168="v"),H168," ")</f>
        <v> </v>
      </c>
      <c r="AD168" s="30" t="str">
        <f aca="false">IF((E168="n"),H168," ")</f>
        <v> </v>
      </c>
      <c r="AE168" s="17" t="str">
        <f aca="false">IF((E168="f"),H168," ")</f>
        <v> </v>
      </c>
      <c r="AF168" s="17" t="str">
        <f aca="false">IF((E168="l"),H168," ")</f>
        <v> </v>
      </c>
      <c r="AG168" s="17" t="str">
        <f aca="false">IF((E168="y"),H168," ")</f>
        <v> </v>
      </c>
      <c r="AH168" s="17" t="str">
        <f aca="false">IF((E168="z"),H168," ")</f>
        <v> </v>
      </c>
      <c r="AI168" s="17" t="str">
        <f aca="false">IF((E168="fa"),H168," ")</f>
        <v> </v>
      </c>
      <c r="AJ168" s="17" t="str">
        <f aca="false">IF((E168="e"),H168," ")</f>
        <v> </v>
      </c>
    </row>
    <row r="169" customFormat="false" ht="12" hidden="false" customHeight="false" outlineLevel="0" collapsed="false">
      <c r="A169" s="28"/>
      <c r="E169" s="2" t="str">
        <f aca="false">IF((F169&lt;&gt;0),"Enter Letter"," ")</f>
        <v> </v>
      </c>
      <c r="F169" s="30"/>
      <c r="G169" s="6" t="str">
        <f aca="false">IF(F169&lt;&gt;0,F169*G$2/(100+G$2)," ")</f>
        <v> </v>
      </c>
      <c r="H169" s="6" t="str">
        <f aca="false">IF((F169&lt;&gt;0),F169-G169," ")</f>
        <v> </v>
      </c>
      <c r="I169" s="5"/>
      <c r="L169" s="7" t="str">
        <f aca="false">IF(F169&lt;&gt;0,F169-K169," ")</f>
        <v> </v>
      </c>
      <c r="M169" s="8" t="str">
        <f aca="false">IF((F169-K169)&lt;&gt;0,M$1-A169," ")</f>
        <v> </v>
      </c>
      <c r="N169" s="5"/>
      <c r="O169" s="17" t="str">
        <f aca="false">IF((E169="s"),H169," ")</f>
        <v> </v>
      </c>
      <c r="P169" s="17" t="str">
        <f aca="false">IF((E169="c"),H169," ")</f>
        <v> </v>
      </c>
      <c r="Q169" s="17" t="str">
        <f aca="false">IF((E169="o"),H169," ")</f>
        <v> </v>
      </c>
      <c r="R169" s="17" t="str">
        <f aca="false">IF((E169="d"),H169," ")</f>
        <v> </v>
      </c>
      <c r="S169" s="17" t="str">
        <f aca="false">IF((E169="w"),H169," ")</f>
        <v> </v>
      </c>
      <c r="T169" s="17" t="str">
        <f aca="false">IF((E169="r"),H169," ")</f>
        <v> </v>
      </c>
      <c r="U169" s="17" t="str">
        <f aca="false">IF((E169="p"),H169," ")</f>
        <v> </v>
      </c>
      <c r="V169" s="17" t="str">
        <f aca="false">IF((E169="t"),H169," ")</f>
        <v> </v>
      </c>
      <c r="W169" s="17" t="str">
        <f aca="false">IF((E169="q"),H169," ")</f>
        <v> </v>
      </c>
      <c r="X169" s="17" t="str">
        <f aca="false">IF((E169="m"),H169," ")</f>
        <v> </v>
      </c>
      <c r="Y169" s="17" t="str">
        <f aca="false">IF((E169="u"),H169," ")</f>
        <v> </v>
      </c>
      <c r="Z169" s="17" t="str">
        <f aca="false">IF((E169="a"),H169," ")</f>
        <v> </v>
      </c>
      <c r="AA169" s="17" t="str">
        <f aca="false">IF((E169="g"),H169," ")</f>
        <v> </v>
      </c>
      <c r="AB169" s="17" t="str">
        <f aca="false">IF((E169="h"),H169," ")</f>
        <v> </v>
      </c>
      <c r="AC169" s="30" t="str">
        <f aca="false">IF((E169="v"),H169," ")</f>
        <v> </v>
      </c>
      <c r="AD169" s="30" t="str">
        <f aca="false">IF((E169="n"),H169," ")</f>
        <v> </v>
      </c>
      <c r="AE169" s="17" t="str">
        <f aca="false">IF((E169="f"),H169," ")</f>
        <v> </v>
      </c>
      <c r="AF169" s="17" t="str">
        <f aca="false">IF((E169="l"),H169," ")</f>
        <v> </v>
      </c>
      <c r="AG169" s="17" t="str">
        <f aca="false">IF((E169="y"),H169," ")</f>
        <v> </v>
      </c>
      <c r="AH169" s="17" t="str">
        <f aca="false">IF((E169="z"),H169," ")</f>
        <v> </v>
      </c>
      <c r="AI169" s="17" t="str">
        <f aca="false">IF((E169="fa"),H169," ")</f>
        <v> </v>
      </c>
      <c r="AJ169" s="17" t="str">
        <f aca="false">IF((E169="e"),H169," ")</f>
        <v> </v>
      </c>
    </row>
    <row r="170" customFormat="false" ht="12" hidden="false" customHeight="false" outlineLevel="0" collapsed="false">
      <c r="A170" s="28"/>
      <c r="E170" s="2" t="str">
        <f aca="false">IF((F170&lt;&gt;0),"Enter Letter"," ")</f>
        <v> </v>
      </c>
      <c r="F170" s="30"/>
      <c r="G170" s="6" t="str">
        <f aca="false">IF(F170&lt;&gt;0,F170*G$2/(100+G$2)," ")</f>
        <v> </v>
      </c>
      <c r="H170" s="6" t="str">
        <f aca="false">IF((F170&lt;&gt;0),F170-G170," ")</f>
        <v> </v>
      </c>
      <c r="I170" s="5"/>
      <c r="L170" s="7" t="str">
        <f aca="false">IF(F170&lt;&gt;0,F170-K170," ")</f>
        <v> </v>
      </c>
      <c r="M170" s="8" t="str">
        <f aca="false">IF((F170-K170)&lt;&gt;0,M$1-A170," ")</f>
        <v> </v>
      </c>
      <c r="N170" s="5"/>
      <c r="O170" s="17" t="str">
        <f aca="false">IF((E170="s"),H170," ")</f>
        <v> </v>
      </c>
      <c r="P170" s="17" t="str">
        <f aca="false">IF((E170="c"),H170," ")</f>
        <v> </v>
      </c>
      <c r="Q170" s="17" t="str">
        <f aca="false">IF((E170="o"),H170," ")</f>
        <v> </v>
      </c>
      <c r="R170" s="17" t="str">
        <f aca="false">IF((E170="d"),H170," ")</f>
        <v> </v>
      </c>
      <c r="S170" s="17" t="str">
        <f aca="false">IF((E170="w"),H170," ")</f>
        <v> </v>
      </c>
      <c r="T170" s="17" t="str">
        <f aca="false">IF((E170="r"),H170," ")</f>
        <v> </v>
      </c>
      <c r="U170" s="17" t="str">
        <f aca="false">IF((E170="p"),H170," ")</f>
        <v> </v>
      </c>
      <c r="V170" s="17" t="str">
        <f aca="false">IF((E170="t"),H170," ")</f>
        <v> </v>
      </c>
      <c r="W170" s="17" t="str">
        <f aca="false">IF((E170="q"),H170," ")</f>
        <v> </v>
      </c>
      <c r="X170" s="17" t="str">
        <f aca="false">IF((E170="m"),H170," ")</f>
        <v> </v>
      </c>
      <c r="Y170" s="17" t="str">
        <f aca="false">IF((E170="u"),H170," ")</f>
        <v> </v>
      </c>
      <c r="Z170" s="17" t="str">
        <f aca="false">IF((E170="a"),H170," ")</f>
        <v> </v>
      </c>
      <c r="AA170" s="17" t="str">
        <f aca="false">IF((E170="g"),H170," ")</f>
        <v> </v>
      </c>
      <c r="AB170" s="17" t="str">
        <f aca="false">IF((E170="h"),H170," ")</f>
        <v> </v>
      </c>
      <c r="AC170" s="30" t="str">
        <f aca="false">IF((E170="v"),H170," ")</f>
        <v> </v>
      </c>
      <c r="AD170" s="30" t="str">
        <f aca="false">IF((E170="n"),H170," ")</f>
        <v> </v>
      </c>
      <c r="AE170" s="17" t="str">
        <f aca="false">IF((E170="f"),H170," ")</f>
        <v> </v>
      </c>
      <c r="AF170" s="17" t="str">
        <f aca="false">IF((E170="l"),H170," ")</f>
        <v> </v>
      </c>
      <c r="AG170" s="17" t="str">
        <f aca="false">IF((E170="y"),H170," ")</f>
        <v> </v>
      </c>
      <c r="AH170" s="17" t="str">
        <f aca="false">IF((E170="z"),H170," ")</f>
        <v> </v>
      </c>
      <c r="AI170" s="17" t="str">
        <f aca="false">IF((E170="fa"),H170," ")</f>
        <v> </v>
      </c>
      <c r="AJ170" s="17" t="str">
        <f aca="false">IF((E170="e"),H170," ")</f>
        <v> </v>
      </c>
    </row>
    <row r="171" customFormat="false" ht="12" hidden="false" customHeight="false" outlineLevel="0" collapsed="false">
      <c r="A171" s="28"/>
      <c r="E171" s="2" t="str">
        <f aca="false">IF((F171&lt;&gt;0),"Enter Letter"," ")</f>
        <v> </v>
      </c>
      <c r="F171" s="30"/>
      <c r="G171" s="6" t="str">
        <f aca="false">IF(F171&lt;&gt;0,F171*G$2/(100+G$2)," ")</f>
        <v> </v>
      </c>
      <c r="H171" s="6" t="str">
        <f aca="false">IF((F171&lt;&gt;0),F171-G171," ")</f>
        <v> </v>
      </c>
      <c r="I171" s="5"/>
      <c r="L171" s="7" t="str">
        <f aca="false">IF(F171&lt;&gt;0,F171-K171," ")</f>
        <v> </v>
      </c>
      <c r="M171" s="8" t="str">
        <f aca="false">IF((F171-K171)&lt;&gt;0,M$1-A171," ")</f>
        <v> </v>
      </c>
      <c r="N171" s="5"/>
      <c r="O171" s="17" t="str">
        <f aca="false">IF((E171="s"),H171," ")</f>
        <v> </v>
      </c>
      <c r="P171" s="17" t="str">
        <f aca="false">IF((E171="c"),H171," ")</f>
        <v> </v>
      </c>
      <c r="Q171" s="17" t="str">
        <f aca="false">IF((E171="o"),H171," ")</f>
        <v> </v>
      </c>
      <c r="R171" s="17" t="str">
        <f aca="false">IF((E171="d"),H171," ")</f>
        <v> </v>
      </c>
      <c r="S171" s="17" t="str">
        <f aca="false">IF((E171="w"),H171," ")</f>
        <v> </v>
      </c>
      <c r="T171" s="17" t="str">
        <f aca="false">IF((E171="r"),H171," ")</f>
        <v> </v>
      </c>
      <c r="U171" s="17" t="str">
        <f aca="false">IF((E171="p"),H171," ")</f>
        <v> </v>
      </c>
      <c r="V171" s="17" t="str">
        <f aca="false">IF((E171="t"),H171," ")</f>
        <v> </v>
      </c>
      <c r="W171" s="17" t="str">
        <f aca="false">IF((E171="q"),H171," ")</f>
        <v> </v>
      </c>
      <c r="X171" s="17" t="str">
        <f aca="false">IF((E171="m"),H171," ")</f>
        <v> </v>
      </c>
      <c r="Y171" s="17" t="str">
        <f aca="false">IF((E171="u"),H171," ")</f>
        <v> </v>
      </c>
      <c r="Z171" s="17" t="str">
        <f aca="false">IF((E171="a"),H171," ")</f>
        <v> </v>
      </c>
      <c r="AA171" s="17" t="str">
        <f aca="false">IF((E171="g"),H171," ")</f>
        <v> </v>
      </c>
      <c r="AB171" s="17" t="str">
        <f aca="false">IF((E171="h"),H171," ")</f>
        <v> </v>
      </c>
      <c r="AC171" s="30" t="str">
        <f aca="false">IF((E171="v"),H171," ")</f>
        <v> </v>
      </c>
      <c r="AD171" s="30" t="str">
        <f aca="false">IF((E171="n"),H171," ")</f>
        <v> </v>
      </c>
      <c r="AE171" s="17" t="str">
        <f aca="false">IF((E171="f"),H171," ")</f>
        <v> </v>
      </c>
      <c r="AF171" s="17" t="str">
        <f aca="false">IF((E171="l"),H171," ")</f>
        <v> </v>
      </c>
      <c r="AG171" s="17" t="str">
        <f aca="false">IF((E171="y"),H171," ")</f>
        <v> </v>
      </c>
      <c r="AH171" s="17" t="str">
        <f aca="false">IF((E171="z"),H171," ")</f>
        <v> </v>
      </c>
      <c r="AI171" s="17" t="str">
        <f aca="false">IF((E171="fa"),H171," ")</f>
        <v> </v>
      </c>
      <c r="AJ171" s="17" t="str">
        <f aca="false">IF((E171="e"),H171," ")</f>
        <v> </v>
      </c>
    </row>
    <row r="172" customFormat="false" ht="12" hidden="false" customHeight="false" outlineLevel="0" collapsed="false">
      <c r="A172" s="28"/>
      <c r="E172" s="2" t="str">
        <f aca="false">IF((F172&lt;&gt;0),"Enter Letter"," ")</f>
        <v> </v>
      </c>
      <c r="F172" s="30"/>
      <c r="G172" s="6" t="str">
        <f aca="false">IF(F172&lt;&gt;0,F172*G$2/(100+G$2)," ")</f>
        <v> </v>
      </c>
      <c r="H172" s="6" t="str">
        <f aca="false">IF((F172&lt;&gt;0),F172-G172," ")</f>
        <v> </v>
      </c>
      <c r="I172" s="5"/>
      <c r="L172" s="7" t="str">
        <f aca="false">IF(F172&lt;&gt;0,F172-K172," ")</f>
        <v> </v>
      </c>
      <c r="M172" s="8" t="str">
        <f aca="false">IF((F172-K172)&lt;&gt;0,M$1-A172," ")</f>
        <v> </v>
      </c>
      <c r="N172" s="5"/>
      <c r="O172" s="17" t="str">
        <f aca="false">IF((E172="s"),H172," ")</f>
        <v> </v>
      </c>
      <c r="P172" s="17" t="str">
        <f aca="false">IF((E172="c"),H172," ")</f>
        <v> </v>
      </c>
      <c r="Q172" s="17" t="str">
        <f aca="false">IF((E172="o"),H172," ")</f>
        <v> </v>
      </c>
      <c r="R172" s="17" t="str">
        <f aca="false">IF((E172="d"),H172," ")</f>
        <v> </v>
      </c>
      <c r="S172" s="17" t="str">
        <f aca="false">IF((E172="w"),H172," ")</f>
        <v> </v>
      </c>
      <c r="T172" s="17" t="str">
        <f aca="false">IF((E172="r"),H172," ")</f>
        <v> </v>
      </c>
      <c r="U172" s="17" t="str">
        <f aca="false">IF((E172="p"),H172," ")</f>
        <v> </v>
      </c>
      <c r="V172" s="17" t="str">
        <f aca="false">IF((E172="t"),H172," ")</f>
        <v> </v>
      </c>
      <c r="W172" s="17" t="str">
        <f aca="false">IF((E172="q"),H172," ")</f>
        <v> </v>
      </c>
      <c r="X172" s="17" t="str">
        <f aca="false">IF((E172="m"),H172," ")</f>
        <v> </v>
      </c>
      <c r="Y172" s="17" t="str">
        <f aca="false">IF((E172="u"),H172," ")</f>
        <v> </v>
      </c>
      <c r="Z172" s="17" t="str">
        <f aca="false">IF((E172="a"),H172," ")</f>
        <v> </v>
      </c>
      <c r="AA172" s="17" t="str">
        <f aca="false">IF((E172="g"),H172," ")</f>
        <v> </v>
      </c>
      <c r="AB172" s="17" t="str">
        <f aca="false">IF((E172="h"),H172," ")</f>
        <v> </v>
      </c>
      <c r="AC172" s="30" t="str">
        <f aca="false">IF((E172="v"),H172," ")</f>
        <v> </v>
      </c>
      <c r="AD172" s="30" t="str">
        <f aca="false">IF((E172="n"),H172," ")</f>
        <v> </v>
      </c>
      <c r="AE172" s="17" t="str">
        <f aca="false">IF((E172="f"),H172," ")</f>
        <v> </v>
      </c>
      <c r="AF172" s="17" t="str">
        <f aca="false">IF((E172="l"),H172," ")</f>
        <v> </v>
      </c>
      <c r="AG172" s="17" t="str">
        <f aca="false">IF((E172="y"),H172," ")</f>
        <v> </v>
      </c>
      <c r="AH172" s="17" t="str">
        <f aca="false">IF((E172="z"),H172," ")</f>
        <v> </v>
      </c>
      <c r="AI172" s="17" t="str">
        <f aca="false">IF((E172="fa"),H172," ")</f>
        <v> </v>
      </c>
      <c r="AJ172" s="17" t="str">
        <f aca="false">IF((E172="e"),H172," ")</f>
        <v> </v>
      </c>
    </row>
    <row r="173" customFormat="false" ht="12" hidden="false" customHeight="false" outlineLevel="0" collapsed="false">
      <c r="A173" s="28"/>
      <c r="E173" s="2" t="str">
        <f aca="false">IF((F173&lt;&gt;0),"Enter Letter"," ")</f>
        <v> </v>
      </c>
      <c r="F173" s="30"/>
      <c r="G173" s="6" t="str">
        <f aca="false">IF(F173&lt;&gt;0,F173*G$2/(100+G$2)," ")</f>
        <v> </v>
      </c>
      <c r="H173" s="6" t="str">
        <f aca="false">IF((F173&lt;&gt;0),F173-G173," ")</f>
        <v> </v>
      </c>
      <c r="I173" s="5"/>
      <c r="L173" s="7" t="str">
        <f aca="false">IF(F173&lt;&gt;0,F173-K173," ")</f>
        <v> </v>
      </c>
      <c r="M173" s="8" t="str">
        <f aca="false">IF((F173-K173)&lt;&gt;0,M$1-A173," ")</f>
        <v> </v>
      </c>
      <c r="N173" s="5"/>
      <c r="O173" s="17" t="str">
        <f aca="false">IF((E173="s"),H173," ")</f>
        <v> </v>
      </c>
      <c r="P173" s="17" t="str">
        <f aca="false">IF((E173="c"),H173," ")</f>
        <v> </v>
      </c>
      <c r="Q173" s="17" t="str">
        <f aca="false">IF((E173="o"),H173," ")</f>
        <v> </v>
      </c>
      <c r="R173" s="17" t="str">
        <f aca="false">IF((E173="d"),H173," ")</f>
        <v> </v>
      </c>
      <c r="S173" s="17" t="str">
        <f aca="false">IF((E173="w"),H173," ")</f>
        <v> </v>
      </c>
      <c r="T173" s="17" t="str">
        <f aca="false">IF((E173="r"),H173," ")</f>
        <v> </v>
      </c>
      <c r="U173" s="17" t="str">
        <f aca="false">IF((E173="p"),H173," ")</f>
        <v> </v>
      </c>
      <c r="V173" s="17" t="str">
        <f aca="false">IF((E173="t"),H173," ")</f>
        <v> </v>
      </c>
      <c r="W173" s="17" t="str">
        <f aca="false">IF((E173="q"),H173," ")</f>
        <v> </v>
      </c>
      <c r="X173" s="17" t="str">
        <f aca="false">IF((E173="m"),H173," ")</f>
        <v> </v>
      </c>
      <c r="Y173" s="17" t="str">
        <f aca="false">IF((E173="u"),H173," ")</f>
        <v> </v>
      </c>
      <c r="Z173" s="17" t="str">
        <f aca="false">IF((E173="a"),H173," ")</f>
        <v> </v>
      </c>
      <c r="AA173" s="17" t="str">
        <f aca="false">IF((E173="g"),H173," ")</f>
        <v> </v>
      </c>
      <c r="AB173" s="17" t="str">
        <f aca="false">IF((E173="h"),H173," ")</f>
        <v> </v>
      </c>
      <c r="AC173" s="30" t="str">
        <f aca="false">IF((E173="v"),H173," ")</f>
        <v> </v>
      </c>
      <c r="AD173" s="30" t="str">
        <f aca="false">IF((E173="n"),H173," ")</f>
        <v> </v>
      </c>
      <c r="AE173" s="17" t="str">
        <f aca="false">IF((E173="f"),H173," ")</f>
        <v> </v>
      </c>
      <c r="AF173" s="17" t="str">
        <f aca="false">IF((E173="l"),H173," ")</f>
        <v> </v>
      </c>
      <c r="AG173" s="17" t="str">
        <f aca="false">IF((E173="y"),H173," ")</f>
        <v> </v>
      </c>
      <c r="AH173" s="17" t="str">
        <f aca="false">IF((E173="z"),H173," ")</f>
        <v> </v>
      </c>
      <c r="AI173" s="17" t="str">
        <f aca="false">IF((E173="fa"),H173," ")</f>
        <v> </v>
      </c>
      <c r="AJ173" s="17" t="str">
        <f aca="false">IF((E173="e"),H173," ")</f>
        <v> </v>
      </c>
    </row>
    <row r="174" customFormat="false" ht="12" hidden="false" customHeight="false" outlineLevel="0" collapsed="false">
      <c r="A174" s="28"/>
      <c r="E174" s="2" t="str">
        <f aca="false">IF((F174&lt;&gt;0),"Enter Letter"," ")</f>
        <v> </v>
      </c>
      <c r="F174" s="30"/>
      <c r="G174" s="6" t="str">
        <f aca="false">IF(F174&lt;&gt;0,F174*G$2/(100+G$2)," ")</f>
        <v> </v>
      </c>
      <c r="H174" s="6" t="str">
        <f aca="false">IF((F174&lt;&gt;0),F174-G174," ")</f>
        <v> </v>
      </c>
      <c r="I174" s="5"/>
      <c r="L174" s="7" t="str">
        <f aca="false">IF(F174&lt;&gt;0,F174-K174," ")</f>
        <v> </v>
      </c>
      <c r="M174" s="8" t="str">
        <f aca="false">IF((F174-K174)&lt;&gt;0,M$1-A174," ")</f>
        <v> </v>
      </c>
      <c r="N174" s="5"/>
      <c r="O174" s="17" t="str">
        <f aca="false">IF((E174="s"),H174," ")</f>
        <v> </v>
      </c>
      <c r="P174" s="17" t="str">
        <f aca="false">IF((E174="c"),H174," ")</f>
        <v> </v>
      </c>
      <c r="Q174" s="17" t="str">
        <f aca="false">IF((E174="o"),H174," ")</f>
        <v> </v>
      </c>
      <c r="R174" s="17" t="str">
        <f aca="false">IF((E174="d"),H174," ")</f>
        <v> </v>
      </c>
      <c r="S174" s="17" t="str">
        <f aca="false">IF((E174="w"),H174," ")</f>
        <v> </v>
      </c>
      <c r="T174" s="17" t="str">
        <f aca="false">IF((E174="r"),H174," ")</f>
        <v> </v>
      </c>
      <c r="U174" s="17" t="str">
        <f aca="false">IF((E174="p"),H174," ")</f>
        <v> </v>
      </c>
      <c r="V174" s="17" t="str">
        <f aca="false">IF((E174="t"),H174," ")</f>
        <v> </v>
      </c>
      <c r="W174" s="17" t="str">
        <f aca="false">IF((E174="q"),H174," ")</f>
        <v> </v>
      </c>
      <c r="X174" s="17" t="str">
        <f aca="false">IF((E174="m"),H174," ")</f>
        <v> </v>
      </c>
      <c r="Y174" s="17" t="str">
        <f aca="false">IF((E174="u"),H174," ")</f>
        <v> </v>
      </c>
      <c r="Z174" s="17" t="str">
        <f aca="false">IF((E174="a"),H174," ")</f>
        <v> </v>
      </c>
      <c r="AA174" s="17" t="str">
        <f aca="false">IF((E174="g"),H174," ")</f>
        <v> </v>
      </c>
      <c r="AB174" s="17" t="str">
        <f aca="false">IF((E174="h"),H174," ")</f>
        <v> </v>
      </c>
      <c r="AC174" s="30" t="str">
        <f aca="false">IF((E174="v"),H174," ")</f>
        <v> </v>
      </c>
      <c r="AD174" s="30" t="str">
        <f aca="false">IF((E174="n"),H174," ")</f>
        <v> </v>
      </c>
      <c r="AE174" s="17" t="str">
        <f aca="false">IF((E174="f"),H174," ")</f>
        <v> </v>
      </c>
      <c r="AF174" s="17" t="str">
        <f aca="false">IF((E174="l"),H174," ")</f>
        <v> </v>
      </c>
      <c r="AG174" s="17" t="str">
        <f aca="false">IF((E174="y"),H174," ")</f>
        <v> </v>
      </c>
      <c r="AH174" s="17" t="str">
        <f aca="false">IF((E174="z"),H174," ")</f>
        <v> </v>
      </c>
      <c r="AI174" s="17" t="str">
        <f aca="false">IF((E174="fa"),H174," ")</f>
        <v> </v>
      </c>
      <c r="AJ174" s="17" t="str">
        <f aca="false">IF((E174="e"),H174," ")</f>
        <v> </v>
      </c>
    </row>
    <row r="175" customFormat="false" ht="12" hidden="false" customHeight="false" outlineLevel="0" collapsed="false">
      <c r="A175" s="28"/>
      <c r="E175" s="2" t="str">
        <f aca="false">IF((F175&lt;&gt;0),"Enter Letter"," ")</f>
        <v> </v>
      </c>
      <c r="F175" s="30"/>
      <c r="G175" s="6" t="str">
        <f aca="false">IF(F175&lt;&gt;0,F175*G$2/(100+G$2)," ")</f>
        <v> </v>
      </c>
      <c r="H175" s="6" t="str">
        <f aca="false">IF((F175&lt;&gt;0),F175-G175," ")</f>
        <v> </v>
      </c>
      <c r="I175" s="5"/>
      <c r="L175" s="7" t="str">
        <f aca="false">IF(F175&lt;&gt;0,F175-K175," ")</f>
        <v> </v>
      </c>
      <c r="M175" s="8" t="str">
        <f aca="false">IF((F175-K175)&lt;&gt;0,M$1-A175," ")</f>
        <v> </v>
      </c>
      <c r="N175" s="5"/>
      <c r="O175" s="17" t="str">
        <f aca="false">IF((E175="s"),H175," ")</f>
        <v> </v>
      </c>
      <c r="P175" s="17" t="str">
        <f aca="false">IF((E175="c"),H175," ")</f>
        <v> </v>
      </c>
      <c r="Q175" s="17" t="str">
        <f aca="false">IF((E175="o"),H175," ")</f>
        <v> </v>
      </c>
      <c r="R175" s="17" t="str">
        <f aca="false">IF((E175="d"),H175," ")</f>
        <v> </v>
      </c>
      <c r="S175" s="17" t="str">
        <f aca="false">IF((E175="w"),H175," ")</f>
        <v> </v>
      </c>
      <c r="T175" s="17" t="str">
        <f aca="false">IF((E175="r"),H175," ")</f>
        <v> </v>
      </c>
      <c r="U175" s="17" t="str">
        <f aca="false">IF((E175="p"),H175," ")</f>
        <v> </v>
      </c>
      <c r="V175" s="17" t="str">
        <f aca="false">IF((E175="t"),H175," ")</f>
        <v> </v>
      </c>
      <c r="W175" s="17" t="str">
        <f aca="false">IF((E175="q"),H175," ")</f>
        <v> </v>
      </c>
      <c r="X175" s="17" t="str">
        <f aca="false">IF((E175="m"),H175," ")</f>
        <v> </v>
      </c>
      <c r="Y175" s="17" t="str">
        <f aca="false">IF((E175="u"),H175," ")</f>
        <v> </v>
      </c>
      <c r="Z175" s="17" t="str">
        <f aca="false">IF((E175="a"),H175," ")</f>
        <v> </v>
      </c>
      <c r="AA175" s="17" t="str">
        <f aca="false">IF((E175="g"),H175," ")</f>
        <v> </v>
      </c>
      <c r="AB175" s="17" t="str">
        <f aca="false">IF((E175="h"),H175," ")</f>
        <v> </v>
      </c>
      <c r="AC175" s="30" t="str">
        <f aca="false">IF((E175="v"),H175," ")</f>
        <v> </v>
      </c>
      <c r="AD175" s="30" t="str">
        <f aca="false">IF((E175="n"),H175," ")</f>
        <v> </v>
      </c>
      <c r="AE175" s="17" t="str">
        <f aca="false">IF((E175="f"),H175," ")</f>
        <v> </v>
      </c>
      <c r="AF175" s="17" t="str">
        <f aca="false">IF((E175="l"),H175," ")</f>
        <v> </v>
      </c>
      <c r="AG175" s="17" t="str">
        <f aca="false">IF((E175="y"),H175," ")</f>
        <v> </v>
      </c>
      <c r="AH175" s="17" t="str">
        <f aca="false">IF((E175="z"),H175," ")</f>
        <v> </v>
      </c>
      <c r="AI175" s="17" t="str">
        <f aca="false">IF((E175="fa"),H175," ")</f>
        <v> </v>
      </c>
      <c r="AJ175" s="17" t="str">
        <f aca="false">IF((E175="e"),H175," ")</f>
        <v> </v>
      </c>
    </row>
    <row r="176" customFormat="false" ht="12" hidden="false" customHeight="false" outlineLevel="0" collapsed="false">
      <c r="A176" s="28"/>
      <c r="E176" s="2" t="str">
        <f aca="false">IF((F176&lt;&gt;0),"Enter Letter"," ")</f>
        <v> </v>
      </c>
      <c r="F176" s="30"/>
      <c r="G176" s="6" t="str">
        <f aca="false">IF(F176&lt;&gt;0,F176*G$2/(100+G$2)," ")</f>
        <v> </v>
      </c>
      <c r="H176" s="6" t="str">
        <f aca="false">IF((F176&lt;&gt;0),F176-G176," ")</f>
        <v> </v>
      </c>
      <c r="I176" s="5"/>
      <c r="L176" s="7" t="str">
        <f aca="false">IF(F176&lt;&gt;0,F176-K176," ")</f>
        <v> </v>
      </c>
      <c r="M176" s="8" t="str">
        <f aca="false">IF((F176-K176)&lt;&gt;0,M$1-A176," ")</f>
        <v> </v>
      </c>
      <c r="N176" s="5"/>
      <c r="O176" s="17" t="str">
        <f aca="false">IF((E176="s"),H176," ")</f>
        <v> </v>
      </c>
      <c r="P176" s="17" t="str">
        <f aca="false">IF((E176="c"),H176," ")</f>
        <v> </v>
      </c>
      <c r="Q176" s="17" t="str">
        <f aca="false">IF((E176="o"),H176," ")</f>
        <v> </v>
      </c>
      <c r="R176" s="17" t="str">
        <f aca="false">IF((E176="d"),H176," ")</f>
        <v> </v>
      </c>
      <c r="S176" s="17" t="str">
        <f aca="false">IF((E176="w"),H176," ")</f>
        <v> </v>
      </c>
      <c r="T176" s="17" t="str">
        <f aca="false">IF((E176="r"),H176," ")</f>
        <v> </v>
      </c>
      <c r="U176" s="17" t="str">
        <f aca="false">IF((E176="p"),H176," ")</f>
        <v> </v>
      </c>
      <c r="V176" s="17" t="str">
        <f aca="false">IF((E176="t"),H176," ")</f>
        <v> </v>
      </c>
      <c r="W176" s="17" t="str">
        <f aca="false">IF((E176="q"),H176," ")</f>
        <v> </v>
      </c>
      <c r="X176" s="17" t="str">
        <f aca="false">IF((E176="m"),H176," ")</f>
        <v> </v>
      </c>
      <c r="Y176" s="17" t="str">
        <f aca="false">IF((E176="u"),H176," ")</f>
        <v> </v>
      </c>
      <c r="Z176" s="17" t="str">
        <f aca="false">IF((E176="a"),H176," ")</f>
        <v> </v>
      </c>
      <c r="AA176" s="17" t="str">
        <f aca="false">IF((E176="g"),H176," ")</f>
        <v> </v>
      </c>
      <c r="AB176" s="17" t="str">
        <f aca="false">IF((E176="h"),H176," ")</f>
        <v> </v>
      </c>
      <c r="AC176" s="30" t="str">
        <f aca="false">IF((E176="v"),H176," ")</f>
        <v> </v>
      </c>
      <c r="AD176" s="30" t="str">
        <f aca="false">IF((E176="n"),H176," ")</f>
        <v> </v>
      </c>
      <c r="AE176" s="17" t="str">
        <f aca="false">IF((E176="f"),H176," ")</f>
        <v> </v>
      </c>
      <c r="AF176" s="17" t="str">
        <f aca="false">IF((E176="l"),H176," ")</f>
        <v> </v>
      </c>
      <c r="AG176" s="17" t="str">
        <f aca="false">IF((E176="y"),H176," ")</f>
        <v> </v>
      </c>
      <c r="AH176" s="17" t="str">
        <f aca="false">IF((E176="z"),H176," ")</f>
        <v> </v>
      </c>
      <c r="AI176" s="17" t="str">
        <f aca="false">IF((E176="fa"),H176," ")</f>
        <v> </v>
      </c>
      <c r="AJ176" s="17" t="str">
        <f aca="false">IF((E176="e"),H176," ")</f>
        <v> </v>
      </c>
    </row>
    <row r="177" customFormat="false" ht="12" hidden="false" customHeight="false" outlineLevel="0" collapsed="false">
      <c r="A177" s="28"/>
      <c r="E177" s="2" t="str">
        <f aca="false">IF((F177&lt;&gt;0),"Enter Letter"," ")</f>
        <v> </v>
      </c>
      <c r="F177" s="30"/>
      <c r="G177" s="6" t="str">
        <f aca="false">IF(F177&lt;&gt;0,F177*G$2/(100+G$2)," ")</f>
        <v> </v>
      </c>
      <c r="H177" s="6" t="str">
        <f aca="false">IF((F177&lt;&gt;0),F177-G177," ")</f>
        <v> </v>
      </c>
      <c r="I177" s="5"/>
      <c r="L177" s="7" t="str">
        <f aca="false">IF(F177&lt;&gt;0,F177-K177," ")</f>
        <v> </v>
      </c>
      <c r="M177" s="8" t="str">
        <f aca="false">IF((F177-K177)&lt;&gt;0,M$1-A177," ")</f>
        <v> </v>
      </c>
      <c r="N177" s="5"/>
      <c r="O177" s="17" t="str">
        <f aca="false">IF((E177="s"),H177," ")</f>
        <v> </v>
      </c>
      <c r="P177" s="17" t="str">
        <f aca="false">IF((E177="c"),H177," ")</f>
        <v> </v>
      </c>
      <c r="Q177" s="17" t="str">
        <f aca="false">IF((E177="o"),H177," ")</f>
        <v> </v>
      </c>
      <c r="R177" s="17" t="str">
        <f aca="false">IF((E177="d"),H177," ")</f>
        <v> </v>
      </c>
      <c r="S177" s="17" t="str">
        <f aca="false">IF((E177="w"),H177," ")</f>
        <v> </v>
      </c>
      <c r="T177" s="17" t="str">
        <f aca="false">IF((E177="r"),H177," ")</f>
        <v> </v>
      </c>
      <c r="U177" s="17" t="str">
        <f aca="false">IF((E177="p"),H177," ")</f>
        <v> </v>
      </c>
      <c r="V177" s="17" t="str">
        <f aca="false">IF((E177="t"),H177," ")</f>
        <v> </v>
      </c>
      <c r="W177" s="17" t="str">
        <f aca="false">IF((E177="q"),H177," ")</f>
        <v> </v>
      </c>
      <c r="X177" s="17" t="str">
        <f aca="false">IF((E177="m"),H177," ")</f>
        <v> </v>
      </c>
      <c r="Y177" s="17" t="str">
        <f aca="false">IF((E177="u"),H177," ")</f>
        <v> </v>
      </c>
      <c r="Z177" s="17" t="str">
        <f aca="false">IF((E177="a"),H177," ")</f>
        <v> </v>
      </c>
      <c r="AA177" s="17" t="str">
        <f aca="false">IF((E177="g"),H177," ")</f>
        <v> </v>
      </c>
      <c r="AB177" s="17" t="str">
        <f aca="false">IF((E177="h"),H177," ")</f>
        <v> </v>
      </c>
      <c r="AC177" s="30" t="str">
        <f aca="false">IF((E177="v"),H177," ")</f>
        <v> </v>
      </c>
      <c r="AD177" s="30" t="str">
        <f aca="false">IF((E177="n"),H177," ")</f>
        <v> </v>
      </c>
      <c r="AE177" s="17" t="str">
        <f aca="false">IF((E177="f"),H177," ")</f>
        <v> </v>
      </c>
      <c r="AF177" s="17" t="str">
        <f aca="false">IF((E177="l"),H177," ")</f>
        <v> </v>
      </c>
      <c r="AG177" s="17" t="str">
        <f aca="false">IF((E177="y"),H177," ")</f>
        <v> </v>
      </c>
      <c r="AH177" s="17" t="str">
        <f aca="false">IF((E177="z"),H177," ")</f>
        <v> </v>
      </c>
      <c r="AI177" s="17" t="str">
        <f aca="false">IF((E177="fa"),H177," ")</f>
        <v> </v>
      </c>
      <c r="AJ177" s="17" t="str">
        <f aca="false">IF((E177="e"),H177," ")</f>
        <v> </v>
      </c>
    </row>
    <row r="178" customFormat="false" ht="12" hidden="false" customHeight="false" outlineLevel="0" collapsed="false">
      <c r="A178" s="28"/>
      <c r="E178" s="2" t="str">
        <f aca="false">IF((F178&lt;&gt;0),"Enter Letter"," ")</f>
        <v> </v>
      </c>
      <c r="F178" s="30"/>
      <c r="G178" s="6" t="str">
        <f aca="false">IF(F178&lt;&gt;0,F178*G$2/(100+G$2)," ")</f>
        <v> </v>
      </c>
      <c r="H178" s="6" t="str">
        <f aca="false">IF((F178&lt;&gt;0),F178-G178," ")</f>
        <v> </v>
      </c>
      <c r="I178" s="5"/>
      <c r="L178" s="7" t="str">
        <f aca="false">IF(F178&lt;&gt;0,F178-K178," ")</f>
        <v> </v>
      </c>
      <c r="M178" s="8" t="str">
        <f aca="false">IF((F178-K178)&lt;&gt;0,M$1-A178," ")</f>
        <v> </v>
      </c>
      <c r="N178" s="5"/>
      <c r="O178" s="17" t="str">
        <f aca="false">IF((E178="s"),H178," ")</f>
        <v> </v>
      </c>
      <c r="P178" s="17" t="str">
        <f aca="false">IF((E178="c"),H178," ")</f>
        <v> </v>
      </c>
      <c r="Q178" s="17" t="str">
        <f aca="false">IF((E178="o"),H178," ")</f>
        <v> </v>
      </c>
      <c r="R178" s="17" t="str">
        <f aca="false">IF((E178="d"),H178," ")</f>
        <v> </v>
      </c>
      <c r="S178" s="17" t="str">
        <f aca="false">IF((E178="w"),H178," ")</f>
        <v> </v>
      </c>
      <c r="T178" s="17" t="str">
        <f aca="false">IF((E178="r"),H178," ")</f>
        <v> </v>
      </c>
      <c r="U178" s="17" t="str">
        <f aca="false">IF((E178="p"),H178," ")</f>
        <v> </v>
      </c>
      <c r="V178" s="17" t="str">
        <f aca="false">IF((E178="t"),H178," ")</f>
        <v> </v>
      </c>
      <c r="W178" s="17" t="str">
        <f aca="false">IF((E178="q"),H178," ")</f>
        <v> </v>
      </c>
      <c r="X178" s="17" t="str">
        <f aca="false">IF((E178="m"),H178," ")</f>
        <v> </v>
      </c>
      <c r="Y178" s="17" t="str">
        <f aca="false">IF((E178="u"),H178," ")</f>
        <v> </v>
      </c>
      <c r="Z178" s="17" t="str">
        <f aca="false">IF((E178="a"),H178," ")</f>
        <v> </v>
      </c>
      <c r="AA178" s="17" t="str">
        <f aca="false">IF((E178="g"),H178," ")</f>
        <v> </v>
      </c>
      <c r="AB178" s="17" t="str">
        <f aca="false">IF((E178="h"),H178," ")</f>
        <v> </v>
      </c>
      <c r="AC178" s="30" t="str">
        <f aca="false">IF((E178="v"),H178," ")</f>
        <v> </v>
      </c>
      <c r="AD178" s="30" t="str">
        <f aca="false">IF((E178="n"),H178," ")</f>
        <v> </v>
      </c>
      <c r="AE178" s="17" t="str">
        <f aca="false">IF((E178="f"),H178," ")</f>
        <v> </v>
      </c>
      <c r="AF178" s="17" t="str">
        <f aca="false">IF((E178="l"),H178," ")</f>
        <v> </v>
      </c>
      <c r="AG178" s="17" t="str">
        <f aca="false">IF((E178="y"),H178," ")</f>
        <v> </v>
      </c>
      <c r="AH178" s="17" t="str">
        <f aca="false">IF((E178="z"),H178," ")</f>
        <v> </v>
      </c>
      <c r="AI178" s="17" t="str">
        <f aca="false">IF((E178="fa"),H178," ")</f>
        <v> </v>
      </c>
      <c r="AJ178" s="17" t="str">
        <f aca="false">IF((E178="e"),H178," ")</f>
        <v> </v>
      </c>
    </row>
    <row r="179" customFormat="false" ht="12" hidden="false" customHeight="false" outlineLevel="0" collapsed="false">
      <c r="A179" s="28"/>
      <c r="E179" s="2" t="str">
        <f aca="false">IF((F179&lt;&gt;0),"Enter Letter"," ")</f>
        <v> </v>
      </c>
      <c r="F179" s="30"/>
      <c r="G179" s="6" t="str">
        <f aca="false">IF(F179&lt;&gt;0,F179*G$2/(100+G$2)," ")</f>
        <v> </v>
      </c>
      <c r="H179" s="6" t="str">
        <f aca="false">IF((F179&lt;&gt;0),F179-G179," ")</f>
        <v> </v>
      </c>
      <c r="I179" s="5"/>
      <c r="L179" s="7" t="str">
        <f aca="false">IF(F179&lt;&gt;0,F179-K179," ")</f>
        <v> </v>
      </c>
      <c r="M179" s="8" t="str">
        <f aca="false">IF((F179-K179)&lt;&gt;0,M$1-A179," ")</f>
        <v> </v>
      </c>
      <c r="N179" s="5"/>
      <c r="O179" s="17" t="str">
        <f aca="false">IF((E179="s"),H179," ")</f>
        <v> </v>
      </c>
      <c r="P179" s="17" t="str">
        <f aca="false">IF((E179="c"),H179," ")</f>
        <v> </v>
      </c>
      <c r="Q179" s="17" t="str">
        <f aca="false">IF((E179="o"),H179," ")</f>
        <v> </v>
      </c>
      <c r="R179" s="17" t="str">
        <f aca="false">IF((E179="d"),H179," ")</f>
        <v> </v>
      </c>
      <c r="S179" s="17" t="str">
        <f aca="false">IF((E179="w"),H179," ")</f>
        <v> </v>
      </c>
      <c r="T179" s="17" t="str">
        <f aca="false">IF((E179="r"),H179," ")</f>
        <v> </v>
      </c>
      <c r="U179" s="17" t="str">
        <f aca="false">IF((E179="p"),H179," ")</f>
        <v> </v>
      </c>
      <c r="V179" s="17" t="str">
        <f aca="false">IF((E179="t"),H179," ")</f>
        <v> </v>
      </c>
      <c r="W179" s="17" t="str">
        <f aca="false">IF((E179="q"),H179," ")</f>
        <v> </v>
      </c>
      <c r="X179" s="17" t="str">
        <f aca="false">IF((E179="m"),H179," ")</f>
        <v> </v>
      </c>
      <c r="Y179" s="17" t="str">
        <f aca="false">IF((E179="u"),H179," ")</f>
        <v> </v>
      </c>
      <c r="Z179" s="17" t="str">
        <f aca="false">IF((E179="a"),H179," ")</f>
        <v> </v>
      </c>
      <c r="AA179" s="17" t="str">
        <f aca="false">IF((E179="g"),H179," ")</f>
        <v> </v>
      </c>
      <c r="AB179" s="17" t="str">
        <f aca="false">IF((E179="h"),H179," ")</f>
        <v> </v>
      </c>
      <c r="AC179" s="30" t="str">
        <f aca="false">IF((E179="v"),H179," ")</f>
        <v> </v>
      </c>
      <c r="AD179" s="30" t="str">
        <f aca="false">IF((E179="n"),H179," ")</f>
        <v> </v>
      </c>
      <c r="AE179" s="17" t="str">
        <f aca="false">IF((E179="f"),H179," ")</f>
        <v> </v>
      </c>
      <c r="AF179" s="17" t="str">
        <f aca="false">IF((E179="l"),H179," ")</f>
        <v> </v>
      </c>
      <c r="AG179" s="17" t="str">
        <f aca="false">IF((E179="y"),H179," ")</f>
        <v> </v>
      </c>
      <c r="AH179" s="17" t="str">
        <f aca="false">IF((E179="z"),H179," ")</f>
        <v> </v>
      </c>
      <c r="AI179" s="17" t="str">
        <f aca="false">IF((E179="fa"),H179," ")</f>
        <v> </v>
      </c>
      <c r="AJ179" s="17" t="str">
        <f aca="false">IF((E179="e"),H179," ")</f>
        <v> </v>
      </c>
    </row>
    <row r="180" customFormat="false" ht="12" hidden="false" customHeight="false" outlineLevel="0" collapsed="false">
      <c r="A180" s="28"/>
      <c r="E180" s="2" t="str">
        <f aca="false">IF((F180&lt;&gt;0),"Enter Letter"," ")</f>
        <v> </v>
      </c>
      <c r="F180" s="30"/>
      <c r="G180" s="6" t="str">
        <f aca="false">IF(F180&lt;&gt;0,F180*G$2/(100+G$2)," ")</f>
        <v> </v>
      </c>
      <c r="H180" s="6" t="str">
        <f aca="false">IF((F180&lt;&gt;0),F180-G180," ")</f>
        <v> </v>
      </c>
      <c r="I180" s="5"/>
      <c r="L180" s="7" t="str">
        <f aca="false">IF(F180&lt;&gt;0,F180-K180," ")</f>
        <v> </v>
      </c>
      <c r="M180" s="8" t="str">
        <f aca="false">IF((F180-K180)&lt;&gt;0,M$1-A180," ")</f>
        <v> </v>
      </c>
      <c r="N180" s="5"/>
      <c r="O180" s="17" t="str">
        <f aca="false">IF((E180="s"),H180," ")</f>
        <v> </v>
      </c>
      <c r="P180" s="17" t="str">
        <f aca="false">IF((E180="c"),H180," ")</f>
        <v> </v>
      </c>
      <c r="Q180" s="17" t="str">
        <f aca="false">IF((E180="o"),H180," ")</f>
        <v> </v>
      </c>
      <c r="R180" s="17" t="str">
        <f aca="false">IF((E180="d"),H180," ")</f>
        <v> </v>
      </c>
      <c r="S180" s="17" t="str">
        <f aca="false">IF((E180="w"),H180," ")</f>
        <v> </v>
      </c>
      <c r="T180" s="17" t="str">
        <f aca="false">IF((E180="r"),H180," ")</f>
        <v> </v>
      </c>
      <c r="U180" s="17" t="str">
        <f aca="false">IF((E180="p"),H180," ")</f>
        <v> </v>
      </c>
      <c r="V180" s="17" t="str">
        <f aca="false">IF((E180="t"),H180," ")</f>
        <v> </v>
      </c>
      <c r="W180" s="17" t="str">
        <f aca="false">IF((E180="q"),H180," ")</f>
        <v> </v>
      </c>
      <c r="X180" s="17" t="str">
        <f aca="false">IF((E180="m"),H180," ")</f>
        <v> </v>
      </c>
      <c r="Y180" s="17" t="str">
        <f aca="false">IF((E180="u"),H180," ")</f>
        <v> </v>
      </c>
      <c r="Z180" s="17" t="str">
        <f aca="false">IF((E180="a"),H180," ")</f>
        <v> </v>
      </c>
      <c r="AA180" s="17" t="str">
        <f aca="false">IF((E180="g"),H180," ")</f>
        <v> </v>
      </c>
      <c r="AB180" s="17" t="str">
        <f aca="false">IF((E180="h"),H180," ")</f>
        <v> </v>
      </c>
      <c r="AC180" s="30" t="str">
        <f aca="false">IF((E180="v"),H180," ")</f>
        <v> </v>
      </c>
      <c r="AD180" s="30" t="str">
        <f aca="false">IF((E180="n"),H180," ")</f>
        <v> </v>
      </c>
      <c r="AE180" s="17" t="str">
        <f aca="false">IF((E180="f"),H180," ")</f>
        <v> </v>
      </c>
      <c r="AF180" s="17" t="str">
        <f aca="false">IF((E180="l"),H180," ")</f>
        <v> </v>
      </c>
      <c r="AG180" s="17" t="str">
        <f aca="false">IF((E180="y"),H180," ")</f>
        <v> </v>
      </c>
      <c r="AH180" s="17" t="str">
        <f aca="false">IF((E180="z"),H180," ")</f>
        <v> </v>
      </c>
      <c r="AI180" s="17" t="str">
        <f aca="false">IF((E180="fa"),H180," ")</f>
        <v> </v>
      </c>
      <c r="AJ180" s="17" t="str">
        <f aca="false">IF((E180="e"),H180," ")</f>
        <v> </v>
      </c>
    </row>
    <row r="181" customFormat="false" ht="12" hidden="false" customHeight="false" outlineLevel="0" collapsed="false">
      <c r="A181" s="28"/>
      <c r="E181" s="2" t="str">
        <f aca="false">IF((F181&lt;&gt;0),"Enter Letter"," ")</f>
        <v> </v>
      </c>
      <c r="F181" s="30"/>
      <c r="G181" s="6" t="str">
        <f aca="false">IF(F181&lt;&gt;0,F181*G$2/(100+G$2)," ")</f>
        <v> </v>
      </c>
      <c r="H181" s="6" t="str">
        <f aca="false">IF((F181&lt;&gt;0),F181-G181," ")</f>
        <v> </v>
      </c>
      <c r="I181" s="5"/>
      <c r="L181" s="7" t="str">
        <f aca="false">IF(F181&lt;&gt;0,F181-K181," ")</f>
        <v> </v>
      </c>
      <c r="M181" s="8" t="str">
        <f aca="false">IF((F181-K181)&lt;&gt;0,M$1-A181," ")</f>
        <v> </v>
      </c>
      <c r="N181" s="5"/>
      <c r="O181" s="17" t="str">
        <f aca="false">IF((E181="s"),H181," ")</f>
        <v> </v>
      </c>
      <c r="P181" s="17" t="str">
        <f aca="false">IF((E181="c"),H181," ")</f>
        <v> </v>
      </c>
      <c r="Q181" s="17" t="str">
        <f aca="false">IF((E181="o"),H181," ")</f>
        <v> </v>
      </c>
      <c r="R181" s="17" t="str">
        <f aca="false">IF((E181="d"),H181," ")</f>
        <v> </v>
      </c>
      <c r="S181" s="17" t="str">
        <f aca="false">IF((E181="w"),H181," ")</f>
        <v> </v>
      </c>
      <c r="T181" s="17" t="str">
        <f aca="false">IF((E181="r"),H181," ")</f>
        <v> </v>
      </c>
      <c r="U181" s="17" t="str">
        <f aca="false">IF((E181="p"),H181," ")</f>
        <v> </v>
      </c>
      <c r="V181" s="17" t="str">
        <f aca="false">IF((E181="t"),H181," ")</f>
        <v> </v>
      </c>
      <c r="W181" s="17" t="str">
        <f aca="false">IF((E181="q"),H181," ")</f>
        <v> </v>
      </c>
      <c r="X181" s="17" t="str">
        <f aca="false">IF((E181="m"),H181," ")</f>
        <v> </v>
      </c>
      <c r="Y181" s="17" t="str">
        <f aca="false">IF((E181="u"),H181," ")</f>
        <v> </v>
      </c>
      <c r="Z181" s="17" t="str">
        <f aca="false">IF((E181="a"),H181," ")</f>
        <v> </v>
      </c>
      <c r="AA181" s="17" t="str">
        <f aca="false">IF((E181="g"),H181," ")</f>
        <v> </v>
      </c>
      <c r="AB181" s="17" t="str">
        <f aca="false">IF((E181="h"),H181," ")</f>
        <v> </v>
      </c>
      <c r="AC181" s="30" t="str">
        <f aca="false">IF((E181="v"),H181," ")</f>
        <v> </v>
      </c>
      <c r="AD181" s="30" t="str">
        <f aca="false">IF((E181="n"),H181," ")</f>
        <v> </v>
      </c>
      <c r="AE181" s="17" t="str">
        <f aca="false">IF((E181="f"),H181," ")</f>
        <v> </v>
      </c>
      <c r="AF181" s="17" t="str">
        <f aca="false">IF((E181="l"),H181," ")</f>
        <v> </v>
      </c>
      <c r="AG181" s="17" t="str">
        <f aca="false">IF((E181="y"),H181," ")</f>
        <v> </v>
      </c>
      <c r="AH181" s="17" t="str">
        <f aca="false">IF((E181="z"),H181," ")</f>
        <v> </v>
      </c>
      <c r="AI181" s="17" t="str">
        <f aca="false">IF((E181="fa"),H181," ")</f>
        <v> </v>
      </c>
      <c r="AJ181" s="17" t="str">
        <f aca="false">IF((E181="e"),H181," ")</f>
        <v> </v>
      </c>
    </row>
    <row r="182" customFormat="false" ht="12" hidden="false" customHeight="false" outlineLevel="0" collapsed="false">
      <c r="A182" s="28"/>
      <c r="E182" s="2" t="str">
        <f aca="false">IF((F182&lt;&gt;0),"Enter Letter"," ")</f>
        <v> </v>
      </c>
      <c r="F182" s="30"/>
      <c r="G182" s="6" t="str">
        <f aca="false">IF(F182&lt;&gt;0,F182*G$2/(100+G$2)," ")</f>
        <v> </v>
      </c>
      <c r="H182" s="6" t="str">
        <f aca="false">IF((F182&lt;&gt;0),F182-G182," ")</f>
        <v> </v>
      </c>
      <c r="I182" s="5"/>
      <c r="L182" s="7" t="str">
        <f aca="false">IF(F182&lt;&gt;0,F182-K182," ")</f>
        <v> </v>
      </c>
      <c r="M182" s="8" t="str">
        <f aca="false">IF((F182-K182)&lt;&gt;0,M$1-A182," ")</f>
        <v> </v>
      </c>
      <c r="N182" s="5"/>
      <c r="O182" s="17" t="str">
        <f aca="false">IF((E182="s"),H182," ")</f>
        <v> </v>
      </c>
      <c r="P182" s="17" t="str">
        <f aca="false">IF((E182="c"),H182," ")</f>
        <v> </v>
      </c>
      <c r="Q182" s="17" t="str">
        <f aca="false">IF((E182="o"),H182," ")</f>
        <v> </v>
      </c>
      <c r="R182" s="17" t="str">
        <f aca="false">IF((E182="d"),H182," ")</f>
        <v> </v>
      </c>
      <c r="S182" s="17" t="str">
        <f aca="false">IF((E182="w"),H182," ")</f>
        <v> </v>
      </c>
      <c r="T182" s="17" t="str">
        <f aca="false">IF((E182="r"),H182," ")</f>
        <v> </v>
      </c>
      <c r="U182" s="17" t="str">
        <f aca="false">IF((E182="p"),H182," ")</f>
        <v> </v>
      </c>
      <c r="V182" s="17" t="str">
        <f aca="false">IF((E182="t"),H182," ")</f>
        <v> </v>
      </c>
      <c r="W182" s="17" t="str">
        <f aca="false">IF((E182="q"),H182," ")</f>
        <v> </v>
      </c>
      <c r="X182" s="17" t="str">
        <f aca="false">IF((E182="m"),H182," ")</f>
        <v> </v>
      </c>
      <c r="Y182" s="17" t="str">
        <f aca="false">IF((E182="u"),H182," ")</f>
        <v> </v>
      </c>
      <c r="Z182" s="17" t="str">
        <f aca="false">IF((E182="a"),H182," ")</f>
        <v> </v>
      </c>
      <c r="AA182" s="17" t="str">
        <f aca="false">IF((E182="g"),H182," ")</f>
        <v> </v>
      </c>
      <c r="AB182" s="17" t="str">
        <f aca="false">IF((E182="h"),H182," ")</f>
        <v> </v>
      </c>
      <c r="AC182" s="30" t="str">
        <f aca="false">IF((E182="v"),H182," ")</f>
        <v> </v>
      </c>
      <c r="AD182" s="30" t="str">
        <f aca="false">IF((E182="n"),H182," ")</f>
        <v> </v>
      </c>
      <c r="AE182" s="17" t="str">
        <f aca="false">IF((E182="f"),H182," ")</f>
        <v> </v>
      </c>
      <c r="AF182" s="17" t="str">
        <f aca="false">IF((E182="l"),H182," ")</f>
        <v> </v>
      </c>
      <c r="AG182" s="17" t="str">
        <f aca="false">IF((E182="y"),H182," ")</f>
        <v> </v>
      </c>
      <c r="AH182" s="17" t="str">
        <f aca="false">IF((E182="z"),H182," ")</f>
        <v> </v>
      </c>
      <c r="AI182" s="17" t="str">
        <f aca="false">IF((E182="fa"),H182," ")</f>
        <v> </v>
      </c>
      <c r="AJ182" s="17" t="str">
        <f aca="false">IF((E182="e"),H182," ")</f>
        <v> </v>
      </c>
    </row>
    <row r="183" customFormat="false" ht="12" hidden="false" customHeight="false" outlineLevel="0" collapsed="false">
      <c r="A183" s="28"/>
      <c r="E183" s="2" t="str">
        <f aca="false">IF((F183&lt;&gt;0),"Enter Letter"," ")</f>
        <v> </v>
      </c>
      <c r="F183" s="30"/>
      <c r="G183" s="6" t="str">
        <f aca="false">IF(F183&lt;&gt;0,F183*G$2/(100+G$2)," ")</f>
        <v> </v>
      </c>
      <c r="H183" s="6" t="str">
        <f aca="false">IF((F183&lt;&gt;0),F183-G183," ")</f>
        <v> </v>
      </c>
      <c r="I183" s="5"/>
      <c r="L183" s="7" t="str">
        <f aca="false">IF(F183&lt;&gt;0,F183-K183," ")</f>
        <v> </v>
      </c>
      <c r="M183" s="8" t="str">
        <f aca="false">IF((F183-K183)&lt;&gt;0,M$1-A183," ")</f>
        <v> </v>
      </c>
      <c r="N183" s="5"/>
      <c r="O183" s="17" t="str">
        <f aca="false">IF((E183="s"),H183," ")</f>
        <v> </v>
      </c>
      <c r="P183" s="17" t="str">
        <f aca="false">IF((E183="c"),H183," ")</f>
        <v> </v>
      </c>
      <c r="Q183" s="17" t="str">
        <f aca="false">IF((E183="o"),H183," ")</f>
        <v> </v>
      </c>
      <c r="R183" s="17" t="str">
        <f aca="false">IF((E183="d"),H183," ")</f>
        <v> </v>
      </c>
      <c r="S183" s="17" t="str">
        <f aca="false">IF((E183="w"),H183," ")</f>
        <v> </v>
      </c>
      <c r="T183" s="17" t="str">
        <f aca="false">IF((E183="r"),H183," ")</f>
        <v> </v>
      </c>
      <c r="U183" s="17" t="str">
        <f aca="false">IF((E183="p"),H183," ")</f>
        <v> </v>
      </c>
      <c r="V183" s="17" t="str">
        <f aca="false">IF((E183="t"),H183," ")</f>
        <v> </v>
      </c>
      <c r="W183" s="17" t="str">
        <f aca="false">IF((E183="q"),H183," ")</f>
        <v> </v>
      </c>
      <c r="X183" s="17" t="str">
        <f aca="false">IF((E183="m"),H183," ")</f>
        <v> </v>
      </c>
      <c r="Y183" s="17" t="str">
        <f aca="false">IF((E183="u"),H183," ")</f>
        <v> </v>
      </c>
      <c r="Z183" s="17" t="str">
        <f aca="false">IF((E183="a"),H183," ")</f>
        <v> </v>
      </c>
      <c r="AA183" s="17" t="str">
        <f aca="false">IF((E183="g"),H183," ")</f>
        <v> </v>
      </c>
      <c r="AB183" s="17" t="str">
        <f aca="false">IF((E183="h"),H183," ")</f>
        <v> </v>
      </c>
      <c r="AC183" s="30" t="str">
        <f aca="false">IF((E183="v"),H183," ")</f>
        <v> </v>
      </c>
      <c r="AD183" s="30" t="str">
        <f aca="false">IF((E183="n"),H183," ")</f>
        <v> </v>
      </c>
      <c r="AE183" s="17" t="str">
        <f aca="false">IF((E183="f"),H183," ")</f>
        <v> </v>
      </c>
      <c r="AF183" s="17" t="str">
        <f aca="false">IF((E183="l"),H183," ")</f>
        <v> </v>
      </c>
      <c r="AG183" s="17" t="str">
        <f aca="false">IF((E183="y"),H183," ")</f>
        <v> </v>
      </c>
      <c r="AH183" s="17" t="str">
        <f aca="false">IF((E183="z"),H183," ")</f>
        <v> </v>
      </c>
      <c r="AI183" s="17" t="str">
        <f aca="false">IF((E183="fa"),H183," ")</f>
        <v> </v>
      </c>
      <c r="AJ183" s="17" t="str">
        <f aca="false">IF((E183="e"),H183," ")</f>
        <v> </v>
      </c>
    </row>
    <row r="184" customFormat="false" ht="12" hidden="false" customHeight="false" outlineLevel="0" collapsed="false">
      <c r="A184" s="28"/>
      <c r="E184" s="2" t="str">
        <f aca="false">IF((F184&lt;&gt;0),"Enter Letter"," ")</f>
        <v> </v>
      </c>
      <c r="F184" s="30"/>
      <c r="G184" s="6" t="str">
        <f aca="false">IF(F184&lt;&gt;0,F184*G$2/(100+G$2)," ")</f>
        <v> </v>
      </c>
      <c r="H184" s="6" t="str">
        <f aca="false">IF((F184&lt;&gt;0),F184-G184," ")</f>
        <v> </v>
      </c>
      <c r="I184" s="5"/>
      <c r="L184" s="7" t="str">
        <f aca="false">IF(F184&lt;&gt;0,F184-K184," ")</f>
        <v> </v>
      </c>
      <c r="M184" s="8" t="str">
        <f aca="false">IF((F184-K184)&lt;&gt;0,M$1-A184," ")</f>
        <v> </v>
      </c>
      <c r="N184" s="5"/>
      <c r="O184" s="17" t="str">
        <f aca="false">IF((E184="s"),H184," ")</f>
        <v> </v>
      </c>
      <c r="P184" s="17" t="str">
        <f aca="false">IF((E184="c"),H184," ")</f>
        <v> </v>
      </c>
      <c r="Q184" s="17" t="str">
        <f aca="false">IF((E184="o"),H184," ")</f>
        <v> </v>
      </c>
      <c r="R184" s="17" t="str">
        <f aca="false">IF((E184="d"),H184," ")</f>
        <v> </v>
      </c>
      <c r="S184" s="17" t="str">
        <f aca="false">IF((E184="w"),H184," ")</f>
        <v> </v>
      </c>
      <c r="T184" s="17" t="str">
        <f aca="false">IF((E184="r"),H184," ")</f>
        <v> </v>
      </c>
      <c r="U184" s="17" t="str">
        <f aca="false">IF((E184="p"),H184," ")</f>
        <v> </v>
      </c>
      <c r="V184" s="17" t="str">
        <f aca="false">IF((E184="t"),H184," ")</f>
        <v> </v>
      </c>
      <c r="W184" s="17" t="str">
        <f aca="false">IF((E184="q"),H184," ")</f>
        <v> </v>
      </c>
      <c r="X184" s="17" t="str">
        <f aca="false">IF((E184="m"),H184," ")</f>
        <v> </v>
      </c>
      <c r="Y184" s="17" t="str">
        <f aca="false">IF((E184="u"),H184," ")</f>
        <v> </v>
      </c>
      <c r="Z184" s="17" t="str">
        <f aca="false">IF((E184="a"),H184," ")</f>
        <v> </v>
      </c>
      <c r="AA184" s="17" t="str">
        <f aca="false">IF((E184="g"),H184," ")</f>
        <v> </v>
      </c>
      <c r="AB184" s="17" t="str">
        <f aca="false">IF((E184="h"),H184," ")</f>
        <v> </v>
      </c>
      <c r="AC184" s="30" t="str">
        <f aca="false">IF((E184="v"),H184," ")</f>
        <v> </v>
      </c>
      <c r="AD184" s="30" t="str">
        <f aca="false">IF((E184="n"),H184," ")</f>
        <v> </v>
      </c>
      <c r="AE184" s="17" t="str">
        <f aca="false">IF((E184="f"),H184," ")</f>
        <v> </v>
      </c>
      <c r="AF184" s="17" t="str">
        <f aca="false">IF((E184="l"),H184," ")</f>
        <v> </v>
      </c>
      <c r="AG184" s="17" t="str">
        <f aca="false">IF((E184="y"),H184," ")</f>
        <v> </v>
      </c>
      <c r="AH184" s="17" t="str">
        <f aca="false">IF((E184="z"),H184," ")</f>
        <v> </v>
      </c>
      <c r="AI184" s="17" t="str">
        <f aca="false">IF((E184="fa"),H184," ")</f>
        <v> </v>
      </c>
      <c r="AJ184" s="17" t="str">
        <f aca="false">IF((E184="e"),H184," ")</f>
        <v> </v>
      </c>
    </row>
    <row r="185" customFormat="false" ht="12" hidden="false" customHeight="false" outlineLevel="0" collapsed="false">
      <c r="A185" s="28"/>
      <c r="E185" s="2" t="str">
        <f aca="false">IF((F185&lt;&gt;0),"Enter Letter"," ")</f>
        <v> </v>
      </c>
      <c r="F185" s="30"/>
      <c r="G185" s="6" t="str">
        <f aca="false">IF(F185&lt;&gt;0,F185*G$2/(100+G$2)," ")</f>
        <v> </v>
      </c>
      <c r="H185" s="6" t="str">
        <f aca="false">IF((F185&lt;&gt;0),F185-G185," ")</f>
        <v> </v>
      </c>
      <c r="I185" s="5"/>
      <c r="L185" s="7" t="str">
        <f aca="false">IF(F185&lt;&gt;0,F185-K185," ")</f>
        <v> </v>
      </c>
      <c r="M185" s="8" t="str">
        <f aca="false">IF((F185-K185)&lt;&gt;0,M$1-A185," ")</f>
        <v> </v>
      </c>
      <c r="N185" s="5"/>
      <c r="O185" s="17" t="str">
        <f aca="false">IF((E185="s"),H185," ")</f>
        <v> </v>
      </c>
      <c r="P185" s="17" t="str">
        <f aca="false">IF((E185="c"),H185," ")</f>
        <v> </v>
      </c>
      <c r="Q185" s="17" t="str">
        <f aca="false">IF((E185="o"),H185," ")</f>
        <v> </v>
      </c>
      <c r="R185" s="17" t="str">
        <f aca="false">IF((E185="d"),H185," ")</f>
        <v> </v>
      </c>
      <c r="S185" s="17" t="str">
        <f aca="false">IF((E185="w"),H185," ")</f>
        <v> </v>
      </c>
      <c r="T185" s="17" t="str">
        <f aca="false">IF((E185="r"),H185," ")</f>
        <v> </v>
      </c>
      <c r="U185" s="17" t="str">
        <f aca="false">IF((E185="p"),H185," ")</f>
        <v> </v>
      </c>
      <c r="V185" s="17" t="str">
        <f aca="false">IF((E185="t"),H185," ")</f>
        <v> </v>
      </c>
      <c r="W185" s="17" t="str">
        <f aca="false">IF((E185="q"),H185," ")</f>
        <v> </v>
      </c>
      <c r="X185" s="17" t="str">
        <f aca="false">IF((E185="m"),H185," ")</f>
        <v> </v>
      </c>
      <c r="Y185" s="17" t="str">
        <f aca="false">IF((E185="u"),H185," ")</f>
        <v> </v>
      </c>
      <c r="Z185" s="17" t="str">
        <f aca="false">IF((E185="a"),H185," ")</f>
        <v> </v>
      </c>
      <c r="AA185" s="17" t="str">
        <f aca="false">IF((E185="g"),H185," ")</f>
        <v> </v>
      </c>
      <c r="AB185" s="17" t="str">
        <f aca="false">IF((E185="h"),H185," ")</f>
        <v> </v>
      </c>
      <c r="AC185" s="30" t="str">
        <f aca="false">IF((E185="v"),H185," ")</f>
        <v> </v>
      </c>
      <c r="AD185" s="30" t="str">
        <f aca="false">IF((E185="n"),H185," ")</f>
        <v> </v>
      </c>
      <c r="AE185" s="17" t="str">
        <f aca="false">IF((E185="f"),H185," ")</f>
        <v> </v>
      </c>
      <c r="AF185" s="17" t="str">
        <f aca="false">IF((E185="l"),H185," ")</f>
        <v> </v>
      </c>
      <c r="AG185" s="17" t="str">
        <f aca="false">IF((E185="y"),H185," ")</f>
        <v> </v>
      </c>
      <c r="AH185" s="17" t="str">
        <f aca="false">IF((E185="z"),H185," ")</f>
        <v> </v>
      </c>
      <c r="AI185" s="17" t="str">
        <f aca="false">IF((E185="fa"),H185," ")</f>
        <v> </v>
      </c>
      <c r="AJ185" s="17" t="str">
        <f aca="false">IF((E185="e"),H185," ")</f>
        <v> </v>
      </c>
    </row>
    <row r="186" customFormat="false" ht="12" hidden="false" customHeight="false" outlineLevel="0" collapsed="false">
      <c r="A186" s="28"/>
      <c r="E186" s="2" t="str">
        <f aca="false">IF((F186&lt;&gt;0),"Enter Letter"," ")</f>
        <v> </v>
      </c>
      <c r="F186" s="30"/>
      <c r="G186" s="6" t="str">
        <f aca="false">IF(F186&lt;&gt;0,F186*G$2/(100+G$2)," ")</f>
        <v> </v>
      </c>
      <c r="H186" s="6" t="str">
        <f aca="false">IF((F186&lt;&gt;0),F186-G186," ")</f>
        <v> </v>
      </c>
      <c r="I186" s="5"/>
      <c r="L186" s="7" t="str">
        <f aca="false">IF(F186&lt;&gt;0,F186-K186," ")</f>
        <v> </v>
      </c>
      <c r="M186" s="8" t="str">
        <f aca="false">IF((F186-K186)&lt;&gt;0,M$1-A186," ")</f>
        <v> </v>
      </c>
      <c r="N186" s="5"/>
      <c r="O186" s="17" t="str">
        <f aca="false">IF((E186="s"),H186," ")</f>
        <v> </v>
      </c>
      <c r="P186" s="17" t="str">
        <f aca="false">IF((E186="c"),H186," ")</f>
        <v> </v>
      </c>
      <c r="Q186" s="17" t="str">
        <f aca="false">IF((E186="o"),H186," ")</f>
        <v> </v>
      </c>
      <c r="R186" s="17" t="str">
        <f aca="false">IF((E186="d"),H186," ")</f>
        <v> </v>
      </c>
      <c r="S186" s="17" t="str">
        <f aca="false">IF((E186="w"),H186," ")</f>
        <v> </v>
      </c>
      <c r="T186" s="17" t="str">
        <f aca="false">IF((E186="r"),H186," ")</f>
        <v> </v>
      </c>
      <c r="U186" s="17" t="str">
        <f aca="false">IF((E186="p"),H186," ")</f>
        <v> </v>
      </c>
      <c r="V186" s="17" t="str">
        <f aca="false">IF((E186="t"),H186," ")</f>
        <v> </v>
      </c>
      <c r="W186" s="17" t="str">
        <f aca="false">IF((E186="q"),H186," ")</f>
        <v> </v>
      </c>
      <c r="X186" s="17" t="str">
        <f aca="false">IF((E186="m"),H186," ")</f>
        <v> </v>
      </c>
      <c r="Y186" s="17" t="str">
        <f aca="false">IF((E186="u"),H186," ")</f>
        <v> </v>
      </c>
      <c r="Z186" s="17" t="str">
        <f aca="false">IF((E186="a"),H186," ")</f>
        <v> </v>
      </c>
      <c r="AA186" s="17" t="str">
        <f aca="false">IF((E186="g"),H186," ")</f>
        <v> </v>
      </c>
      <c r="AB186" s="17" t="str">
        <f aca="false">IF((E186="h"),H186," ")</f>
        <v> </v>
      </c>
      <c r="AC186" s="30" t="str">
        <f aca="false">IF((E186="v"),H186," ")</f>
        <v> </v>
      </c>
      <c r="AD186" s="30" t="str">
        <f aca="false">IF((E186="n"),H186," ")</f>
        <v> </v>
      </c>
      <c r="AE186" s="17" t="str">
        <f aca="false">IF((E186="f"),H186," ")</f>
        <v> </v>
      </c>
      <c r="AF186" s="17" t="str">
        <f aca="false">IF((E186="l"),H186," ")</f>
        <v> </v>
      </c>
      <c r="AG186" s="17" t="str">
        <f aca="false">IF((E186="y"),H186," ")</f>
        <v> </v>
      </c>
      <c r="AH186" s="17" t="str">
        <f aca="false">IF((E186="z"),H186," ")</f>
        <v> </v>
      </c>
      <c r="AI186" s="17" t="str">
        <f aca="false">IF((E186="fa"),H186," ")</f>
        <v> </v>
      </c>
      <c r="AJ186" s="17" t="str">
        <f aca="false">IF((E186="e"),H186," ")</f>
        <v> </v>
      </c>
    </row>
    <row r="187" customFormat="false" ht="12" hidden="false" customHeight="false" outlineLevel="0" collapsed="false">
      <c r="A187" s="28"/>
      <c r="E187" s="2" t="str">
        <f aca="false">IF((F187&lt;&gt;0),"Enter Letter"," ")</f>
        <v> </v>
      </c>
      <c r="F187" s="30"/>
      <c r="G187" s="6" t="str">
        <f aca="false">IF(F187&lt;&gt;0,F187*G$2/(100+G$2)," ")</f>
        <v> </v>
      </c>
      <c r="H187" s="6" t="str">
        <f aca="false">IF((F187&lt;&gt;0),F187-G187," ")</f>
        <v> </v>
      </c>
      <c r="I187" s="5"/>
      <c r="L187" s="7" t="str">
        <f aca="false">IF(F187&lt;&gt;0,F187-K187," ")</f>
        <v> </v>
      </c>
      <c r="M187" s="8" t="str">
        <f aca="false">IF((F187-K187)&lt;&gt;0,M$1-A187," ")</f>
        <v> </v>
      </c>
      <c r="N187" s="5"/>
      <c r="O187" s="17" t="str">
        <f aca="false">IF((E187="s"),H187," ")</f>
        <v> </v>
      </c>
      <c r="P187" s="17" t="str">
        <f aca="false">IF((E187="c"),H187," ")</f>
        <v> </v>
      </c>
      <c r="Q187" s="17" t="str">
        <f aca="false">IF((E187="o"),H187," ")</f>
        <v> </v>
      </c>
      <c r="R187" s="17" t="str">
        <f aca="false">IF((E187="d"),H187," ")</f>
        <v> </v>
      </c>
      <c r="S187" s="17" t="str">
        <f aca="false">IF((E187="w"),H187," ")</f>
        <v> </v>
      </c>
      <c r="T187" s="17" t="str">
        <f aca="false">IF((E187="r"),H187," ")</f>
        <v> </v>
      </c>
      <c r="U187" s="17" t="str">
        <f aca="false">IF((E187="p"),H187," ")</f>
        <v> </v>
      </c>
      <c r="V187" s="17" t="str">
        <f aca="false">IF((E187="t"),H187," ")</f>
        <v> </v>
      </c>
      <c r="W187" s="17" t="str">
        <f aca="false">IF((E187="q"),H187," ")</f>
        <v> </v>
      </c>
      <c r="X187" s="17" t="str">
        <f aca="false">IF((E187="m"),H187," ")</f>
        <v> </v>
      </c>
      <c r="Y187" s="17" t="str">
        <f aca="false">IF((E187="u"),H187," ")</f>
        <v> </v>
      </c>
      <c r="Z187" s="17" t="str">
        <f aca="false">IF((E187="a"),H187," ")</f>
        <v> </v>
      </c>
      <c r="AA187" s="17" t="str">
        <f aca="false">IF((E187="g"),H187," ")</f>
        <v> </v>
      </c>
      <c r="AB187" s="17" t="str">
        <f aca="false">IF((E187="h"),H187," ")</f>
        <v> </v>
      </c>
      <c r="AC187" s="30" t="str">
        <f aca="false">IF((E187="v"),H187," ")</f>
        <v> </v>
      </c>
      <c r="AD187" s="30" t="str">
        <f aca="false">IF((E187="n"),H187," ")</f>
        <v> </v>
      </c>
      <c r="AE187" s="17" t="str">
        <f aca="false">IF((E187="f"),H187," ")</f>
        <v> </v>
      </c>
      <c r="AF187" s="17" t="str">
        <f aca="false">IF((E187="l"),H187," ")</f>
        <v> </v>
      </c>
      <c r="AG187" s="17" t="str">
        <f aca="false">IF((E187="y"),H187," ")</f>
        <v> </v>
      </c>
      <c r="AH187" s="17" t="str">
        <f aca="false">IF((E187="z"),H187," ")</f>
        <v> </v>
      </c>
      <c r="AI187" s="17" t="str">
        <f aca="false">IF((E187="fa"),H187," ")</f>
        <v> </v>
      </c>
      <c r="AJ187" s="17" t="str">
        <f aca="false">IF((E187="e"),H187," ")</f>
        <v> </v>
      </c>
    </row>
    <row r="188" customFormat="false" ht="12" hidden="false" customHeight="false" outlineLevel="0" collapsed="false">
      <c r="A188" s="28"/>
      <c r="E188" s="2" t="str">
        <f aca="false">IF((F188&lt;&gt;0),"Enter Letter"," ")</f>
        <v> </v>
      </c>
      <c r="F188" s="30"/>
      <c r="G188" s="6" t="str">
        <f aca="false">IF(F188&lt;&gt;0,F188*G$2/(100+G$2)," ")</f>
        <v> </v>
      </c>
      <c r="H188" s="6" t="str">
        <f aca="false">IF((F188&lt;&gt;0),F188-G188," ")</f>
        <v> </v>
      </c>
      <c r="I188" s="5"/>
      <c r="L188" s="7" t="str">
        <f aca="false">IF(F188&lt;&gt;0,F188-K188," ")</f>
        <v> </v>
      </c>
      <c r="M188" s="8" t="str">
        <f aca="false">IF((F188-K188)&lt;&gt;0,M$1-A188," ")</f>
        <v> </v>
      </c>
      <c r="N188" s="5"/>
      <c r="O188" s="17" t="str">
        <f aca="false">IF((E188="s"),H188," ")</f>
        <v> </v>
      </c>
      <c r="P188" s="17" t="str">
        <f aca="false">IF((E188="c"),H188," ")</f>
        <v> </v>
      </c>
      <c r="Q188" s="17" t="str">
        <f aca="false">IF((E188="o"),H188," ")</f>
        <v> </v>
      </c>
      <c r="R188" s="17" t="str">
        <f aca="false">IF((E188="d"),H188," ")</f>
        <v> </v>
      </c>
      <c r="S188" s="17" t="str">
        <f aca="false">IF((E188="w"),H188," ")</f>
        <v> </v>
      </c>
      <c r="T188" s="17" t="str">
        <f aca="false">IF((E188="r"),H188," ")</f>
        <v> </v>
      </c>
      <c r="U188" s="17" t="str">
        <f aca="false">IF((E188="p"),H188," ")</f>
        <v> </v>
      </c>
      <c r="V188" s="17" t="str">
        <f aca="false">IF((E188="t"),H188," ")</f>
        <v> </v>
      </c>
      <c r="W188" s="17" t="str">
        <f aca="false">IF((E188="q"),H188," ")</f>
        <v> </v>
      </c>
      <c r="X188" s="17" t="str">
        <f aca="false">IF((E188="m"),H188," ")</f>
        <v> </v>
      </c>
      <c r="Y188" s="17" t="str">
        <f aca="false">IF((E188="u"),H188," ")</f>
        <v> </v>
      </c>
      <c r="Z188" s="17" t="str">
        <f aca="false">IF((E188="a"),H188," ")</f>
        <v> </v>
      </c>
      <c r="AA188" s="17" t="str">
        <f aca="false">IF((E188="g"),H188," ")</f>
        <v> </v>
      </c>
      <c r="AB188" s="17" t="str">
        <f aca="false">IF((E188="h"),H188," ")</f>
        <v> </v>
      </c>
      <c r="AC188" s="30" t="str">
        <f aca="false">IF((E188="v"),H188," ")</f>
        <v> </v>
      </c>
      <c r="AD188" s="30" t="str">
        <f aca="false">IF((E188="n"),H188," ")</f>
        <v> </v>
      </c>
      <c r="AE188" s="17" t="str">
        <f aca="false">IF((E188="f"),H188," ")</f>
        <v> </v>
      </c>
      <c r="AF188" s="17" t="str">
        <f aca="false">IF((E188="l"),H188," ")</f>
        <v> </v>
      </c>
      <c r="AG188" s="17" t="str">
        <f aca="false">IF((E188="y"),H188," ")</f>
        <v> </v>
      </c>
      <c r="AH188" s="17" t="str">
        <f aca="false">IF((E188="z"),H188," ")</f>
        <v> </v>
      </c>
      <c r="AI188" s="17" t="str">
        <f aca="false">IF((E188="fa"),H188," ")</f>
        <v> </v>
      </c>
      <c r="AJ188" s="17" t="str">
        <f aca="false">IF((E188="e"),H188," ")</f>
        <v> </v>
      </c>
    </row>
    <row r="189" customFormat="false" ht="12" hidden="false" customHeight="false" outlineLevel="0" collapsed="false">
      <c r="A189" s="28"/>
      <c r="E189" s="2" t="str">
        <f aca="false">IF((F189&lt;&gt;0),"Enter Letter"," ")</f>
        <v> </v>
      </c>
      <c r="F189" s="30"/>
      <c r="G189" s="6" t="str">
        <f aca="false">IF(F189&lt;&gt;0,F189*G$2/(100+G$2)," ")</f>
        <v> </v>
      </c>
      <c r="H189" s="6" t="str">
        <f aca="false">IF((F189&lt;&gt;0),F189-G189," ")</f>
        <v> </v>
      </c>
      <c r="I189" s="5"/>
      <c r="L189" s="7" t="str">
        <f aca="false">IF(F189&lt;&gt;0,F189-K189," ")</f>
        <v> </v>
      </c>
      <c r="M189" s="8" t="str">
        <f aca="false">IF((F189-K189)&lt;&gt;0,M$1-A189," ")</f>
        <v> </v>
      </c>
      <c r="N189" s="5"/>
      <c r="O189" s="17" t="str">
        <f aca="false">IF((E189="s"),H189," ")</f>
        <v> </v>
      </c>
      <c r="P189" s="17" t="str">
        <f aca="false">IF((E189="c"),H189," ")</f>
        <v> </v>
      </c>
      <c r="Q189" s="17" t="str">
        <f aca="false">IF((E189="o"),H189," ")</f>
        <v> </v>
      </c>
      <c r="R189" s="17" t="str">
        <f aca="false">IF((E189="d"),H189," ")</f>
        <v> </v>
      </c>
      <c r="S189" s="17" t="str">
        <f aca="false">IF((E189="w"),H189," ")</f>
        <v> </v>
      </c>
      <c r="T189" s="17" t="str">
        <f aca="false">IF((E189="r"),H189," ")</f>
        <v> </v>
      </c>
      <c r="U189" s="17" t="str">
        <f aca="false">IF((E189="p"),H189," ")</f>
        <v> </v>
      </c>
      <c r="V189" s="17" t="str">
        <f aca="false">IF((E189="t"),H189," ")</f>
        <v> </v>
      </c>
      <c r="W189" s="17" t="str">
        <f aca="false">IF((E189="q"),H189," ")</f>
        <v> </v>
      </c>
      <c r="X189" s="17" t="str">
        <f aca="false">IF((E189="m"),H189," ")</f>
        <v> </v>
      </c>
      <c r="Y189" s="17" t="str">
        <f aca="false">IF((E189="u"),H189," ")</f>
        <v> </v>
      </c>
      <c r="Z189" s="17" t="str">
        <f aca="false">IF((E189="a"),H189," ")</f>
        <v> </v>
      </c>
      <c r="AA189" s="17" t="str">
        <f aca="false">IF((E189="g"),H189," ")</f>
        <v> </v>
      </c>
      <c r="AB189" s="17" t="str">
        <f aca="false">IF((E189="h"),H189," ")</f>
        <v> </v>
      </c>
      <c r="AC189" s="30" t="str">
        <f aca="false">IF((E189="v"),H189," ")</f>
        <v> </v>
      </c>
      <c r="AD189" s="30" t="str">
        <f aca="false">IF((E189="n"),H189," ")</f>
        <v> </v>
      </c>
      <c r="AE189" s="17" t="str">
        <f aca="false">IF((E189="f"),H189," ")</f>
        <v> </v>
      </c>
      <c r="AF189" s="17" t="str">
        <f aca="false">IF((E189="l"),H189," ")</f>
        <v> </v>
      </c>
      <c r="AG189" s="17" t="str">
        <f aca="false">IF((E189="y"),H189," ")</f>
        <v> </v>
      </c>
      <c r="AH189" s="17" t="str">
        <f aca="false">IF((E189="z"),H189," ")</f>
        <v> </v>
      </c>
      <c r="AI189" s="17" t="str">
        <f aca="false">IF((E189="fa"),H189," ")</f>
        <v> </v>
      </c>
      <c r="AJ189" s="17" t="str">
        <f aca="false">IF((E189="e"),H189," ")</f>
        <v> </v>
      </c>
    </row>
    <row r="190" customFormat="false" ht="12" hidden="false" customHeight="false" outlineLevel="0" collapsed="false">
      <c r="A190" s="28"/>
      <c r="E190" s="2" t="str">
        <f aca="false">IF((F190&lt;&gt;0),"Enter Letter"," ")</f>
        <v> </v>
      </c>
      <c r="F190" s="30"/>
      <c r="G190" s="6" t="str">
        <f aca="false">IF(F190&lt;&gt;0,F190*G$2/(100+G$2)," ")</f>
        <v> </v>
      </c>
      <c r="H190" s="6" t="str">
        <f aca="false">IF((F190&lt;&gt;0),F190-G190," ")</f>
        <v> </v>
      </c>
      <c r="I190" s="5"/>
      <c r="L190" s="7" t="str">
        <f aca="false">IF(F190&lt;&gt;0,F190-K190," ")</f>
        <v> </v>
      </c>
      <c r="M190" s="8" t="str">
        <f aca="false">IF((F190-K190)&lt;&gt;0,M$1-A190," ")</f>
        <v> </v>
      </c>
      <c r="N190" s="5"/>
      <c r="O190" s="17" t="str">
        <f aca="false">IF((E190="s"),H190," ")</f>
        <v> </v>
      </c>
      <c r="P190" s="17" t="str">
        <f aca="false">IF((E190="c"),H190," ")</f>
        <v> </v>
      </c>
      <c r="Q190" s="17" t="str">
        <f aca="false">IF((E190="o"),H190," ")</f>
        <v> </v>
      </c>
      <c r="R190" s="17" t="str">
        <f aca="false">IF((E190="d"),H190," ")</f>
        <v> </v>
      </c>
      <c r="S190" s="17" t="str">
        <f aca="false">IF((E190="w"),H190," ")</f>
        <v> </v>
      </c>
      <c r="T190" s="17" t="str">
        <f aca="false">IF((E190="r"),H190," ")</f>
        <v> </v>
      </c>
      <c r="U190" s="17" t="str">
        <f aca="false">IF((E190="p"),H190," ")</f>
        <v> </v>
      </c>
      <c r="V190" s="17" t="str">
        <f aca="false">IF((E190="t"),H190," ")</f>
        <v> </v>
      </c>
      <c r="W190" s="17" t="str">
        <f aca="false">IF((E190="q"),H190," ")</f>
        <v> </v>
      </c>
      <c r="X190" s="17" t="str">
        <f aca="false">IF((E190="m"),H190," ")</f>
        <v> </v>
      </c>
      <c r="Y190" s="17" t="str">
        <f aca="false">IF((E190="u"),H190," ")</f>
        <v> </v>
      </c>
      <c r="Z190" s="17" t="str">
        <f aca="false">IF((E190="a"),H190," ")</f>
        <v> </v>
      </c>
      <c r="AA190" s="17" t="str">
        <f aca="false">IF((E190="g"),H190," ")</f>
        <v> </v>
      </c>
      <c r="AB190" s="17" t="str">
        <f aca="false">IF((E190="h"),H190," ")</f>
        <v> </v>
      </c>
      <c r="AC190" s="30" t="str">
        <f aca="false">IF((E190="v"),H190," ")</f>
        <v> </v>
      </c>
      <c r="AD190" s="30" t="str">
        <f aca="false">IF((E190="n"),H190," ")</f>
        <v> </v>
      </c>
      <c r="AE190" s="17" t="str">
        <f aca="false">IF((E190="f"),H190," ")</f>
        <v> </v>
      </c>
      <c r="AF190" s="17" t="str">
        <f aca="false">IF((E190="l"),H190," ")</f>
        <v> </v>
      </c>
      <c r="AG190" s="17" t="str">
        <f aca="false">IF((E190="y"),H190," ")</f>
        <v> </v>
      </c>
      <c r="AH190" s="17" t="str">
        <f aca="false">IF((E190="z"),H190," ")</f>
        <v> </v>
      </c>
      <c r="AI190" s="17" t="str">
        <f aca="false">IF((E190="fa"),H190," ")</f>
        <v> </v>
      </c>
      <c r="AJ190" s="17" t="str">
        <f aca="false">IF((E190="e"),H190," ")</f>
        <v> </v>
      </c>
    </row>
    <row r="191" customFormat="false" ht="12" hidden="false" customHeight="false" outlineLevel="0" collapsed="false">
      <c r="A191" s="28"/>
      <c r="E191" s="2" t="str">
        <f aca="false">IF((F191&lt;&gt;0),"Enter Letter"," ")</f>
        <v> </v>
      </c>
      <c r="F191" s="30"/>
      <c r="G191" s="6" t="str">
        <f aca="false">IF(F191&lt;&gt;0,F191*G$2/(100+G$2)," ")</f>
        <v> </v>
      </c>
      <c r="H191" s="6" t="str">
        <f aca="false">IF((F191&lt;&gt;0),F191-G191," ")</f>
        <v> </v>
      </c>
      <c r="I191" s="5"/>
      <c r="L191" s="7" t="str">
        <f aca="false">IF(F191&lt;&gt;0,F191-K191," ")</f>
        <v> </v>
      </c>
      <c r="M191" s="8" t="str">
        <f aca="false">IF((F191-K191)&lt;&gt;0,M$1-A191," ")</f>
        <v> </v>
      </c>
      <c r="N191" s="5"/>
      <c r="O191" s="17" t="str">
        <f aca="false">IF((E191="s"),H191," ")</f>
        <v> </v>
      </c>
      <c r="P191" s="17" t="str">
        <f aca="false">IF((E191="c"),H191," ")</f>
        <v> </v>
      </c>
      <c r="Q191" s="17" t="str">
        <f aca="false">IF((E191="o"),H191," ")</f>
        <v> </v>
      </c>
      <c r="R191" s="17" t="str">
        <f aca="false">IF((E191="d"),H191," ")</f>
        <v> </v>
      </c>
      <c r="S191" s="17" t="str">
        <f aca="false">IF((E191="w"),H191," ")</f>
        <v> </v>
      </c>
      <c r="T191" s="17" t="str">
        <f aca="false">IF((E191="r"),H191," ")</f>
        <v> </v>
      </c>
      <c r="U191" s="17" t="str">
        <f aca="false">IF((E191="p"),H191," ")</f>
        <v> </v>
      </c>
      <c r="V191" s="17" t="str">
        <f aca="false">IF((E191="t"),H191," ")</f>
        <v> </v>
      </c>
      <c r="W191" s="17" t="str">
        <f aca="false">IF((E191="q"),H191," ")</f>
        <v> </v>
      </c>
      <c r="X191" s="17" t="str">
        <f aca="false">IF((E191="m"),H191," ")</f>
        <v> </v>
      </c>
      <c r="Y191" s="17" t="str">
        <f aca="false">IF((E191="u"),H191," ")</f>
        <v> </v>
      </c>
      <c r="Z191" s="17" t="str">
        <f aca="false">IF((E191="a"),H191," ")</f>
        <v> </v>
      </c>
      <c r="AA191" s="17" t="str">
        <f aca="false">IF((E191="g"),H191," ")</f>
        <v> </v>
      </c>
      <c r="AB191" s="17" t="str">
        <f aca="false">IF((E191="h"),H191," ")</f>
        <v> </v>
      </c>
      <c r="AC191" s="30" t="str">
        <f aca="false">IF((E191="v"),H191," ")</f>
        <v> </v>
      </c>
      <c r="AD191" s="30" t="str">
        <f aca="false">IF((E191="n"),H191," ")</f>
        <v> </v>
      </c>
      <c r="AE191" s="17" t="str">
        <f aca="false">IF((E191="f"),H191," ")</f>
        <v> </v>
      </c>
      <c r="AF191" s="17" t="str">
        <f aca="false">IF((E191="l"),H191," ")</f>
        <v> </v>
      </c>
      <c r="AG191" s="17" t="str">
        <f aca="false">IF((E191="y"),H191," ")</f>
        <v> </v>
      </c>
      <c r="AH191" s="17" t="str">
        <f aca="false">IF((E191="z"),H191," ")</f>
        <v> </v>
      </c>
      <c r="AI191" s="17" t="str">
        <f aca="false">IF((E191="fa"),H191," ")</f>
        <v> </v>
      </c>
      <c r="AJ191" s="17" t="str">
        <f aca="false">IF((E191="e"),H191," ")</f>
        <v> </v>
      </c>
    </row>
    <row r="192" customFormat="false" ht="12" hidden="false" customHeight="false" outlineLevel="0" collapsed="false">
      <c r="A192" s="28"/>
      <c r="E192" s="2" t="str">
        <f aca="false">IF((F192&lt;&gt;0),"Enter Letter"," ")</f>
        <v> </v>
      </c>
      <c r="F192" s="30"/>
      <c r="G192" s="6" t="str">
        <f aca="false">IF(F192&lt;&gt;0,F192*G$2/(100+G$2)," ")</f>
        <v> </v>
      </c>
      <c r="H192" s="6" t="str">
        <f aca="false">IF((F192&lt;&gt;0),F192-G192," ")</f>
        <v> </v>
      </c>
      <c r="I192" s="5"/>
      <c r="L192" s="7" t="str">
        <f aca="false">IF(F192&lt;&gt;0,F192-K192," ")</f>
        <v> </v>
      </c>
      <c r="M192" s="8" t="str">
        <f aca="false">IF((F192-K192)&lt;&gt;0,M$1-A192," ")</f>
        <v> </v>
      </c>
      <c r="N192" s="5"/>
      <c r="O192" s="17" t="str">
        <f aca="false">IF((E192="s"),H192," ")</f>
        <v> </v>
      </c>
      <c r="P192" s="17" t="str">
        <f aca="false">IF((E192="c"),H192," ")</f>
        <v> </v>
      </c>
      <c r="Q192" s="17" t="str">
        <f aca="false">IF((E192="o"),H192," ")</f>
        <v> </v>
      </c>
      <c r="R192" s="17" t="str">
        <f aca="false">IF((E192="d"),H192," ")</f>
        <v> </v>
      </c>
      <c r="S192" s="17" t="str">
        <f aca="false">IF((E192="w"),H192," ")</f>
        <v> </v>
      </c>
      <c r="T192" s="17" t="str">
        <f aca="false">IF((E192="r"),H192," ")</f>
        <v> </v>
      </c>
      <c r="U192" s="17" t="str">
        <f aca="false">IF((E192="p"),H192," ")</f>
        <v> </v>
      </c>
      <c r="V192" s="17" t="str">
        <f aca="false">IF((E192="t"),H192," ")</f>
        <v> </v>
      </c>
      <c r="W192" s="17" t="str">
        <f aca="false">IF((E192="q"),H192," ")</f>
        <v> </v>
      </c>
      <c r="X192" s="17" t="str">
        <f aca="false">IF((E192="m"),H192," ")</f>
        <v> </v>
      </c>
      <c r="Y192" s="17" t="str">
        <f aca="false">IF((E192="u"),H192," ")</f>
        <v> </v>
      </c>
      <c r="Z192" s="17" t="str">
        <f aca="false">IF((E192="a"),H192," ")</f>
        <v> </v>
      </c>
      <c r="AA192" s="17" t="str">
        <f aca="false">IF((E192="g"),H192," ")</f>
        <v> </v>
      </c>
      <c r="AB192" s="17" t="str">
        <f aca="false">IF((E192="h"),H192," ")</f>
        <v> </v>
      </c>
      <c r="AC192" s="30" t="str">
        <f aca="false">IF((E192="v"),H192," ")</f>
        <v> </v>
      </c>
      <c r="AD192" s="30" t="str">
        <f aca="false">IF((E192="n"),H192," ")</f>
        <v> </v>
      </c>
      <c r="AE192" s="17" t="str">
        <f aca="false">IF((E192="f"),H192," ")</f>
        <v> </v>
      </c>
      <c r="AF192" s="17" t="str">
        <f aca="false">IF((E192="l"),H192," ")</f>
        <v> </v>
      </c>
      <c r="AG192" s="17" t="str">
        <f aca="false">IF((E192="y"),H192," ")</f>
        <v> </v>
      </c>
      <c r="AH192" s="17" t="str">
        <f aca="false">IF((E192="z"),H192," ")</f>
        <v> </v>
      </c>
      <c r="AI192" s="17" t="str">
        <f aca="false">IF((E192="fa"),H192," ")</f>
        <v> </v>
      </c>
      <c r="AJ192" s="17" t="str">
        <f aca="false">IF((E192="e"),H192," ")</f>
        <v> </v>
      </c>
    </row>
    <row r="193" customFormat="false" ht="12" hidden="false" customHeight="false" outlineLevel="0" collapsed="false">
      <c r="A193" s="28"/>
      <c r="E193" s="2" t="str">
        <f aca="false">IF((F193&lt;&gt;0),"Enter Letter"," ")</f>
        <v> </v>
      </c>
      <c r="F193" s="30"/>
      <c r="G193" s="6" t="str">
        <f aca="false">IF(F193&lt;&gt;0,F193*G$2/(100+G$2)," ")</f>
        <v> </v>
      </c>
      <c r="H193" s="6" t="str">
        <f aca="false">IF((F193&lt;&gt;0),F193-G193," ")</f>
        <v> </v>
      </c>
      <c r="I193" s="5"/>
      <c r="L193" s="7" t="str">
        <f aca="false">IF(F193&lt;&gt;0,F193-K193," ")</f>
        <v> </v>
      </c>
      <c r="M193" s="8" t="str">
        <f aca="false">IF((F193-K193)&lt;&gt;0,M$1-A193," ")</f>
        <v> </v>
      </c>
      <c r="N193" s="5"/>
      <c r="O193" s="17" t="str">
        <f aca="false">IF((E193="s"),H193," ")</f>
        <v> </v>
      </c>
      <c r="P193" s="17" t="str">
        <f aca="false">IF((E193="c"),H193," ")</f>
        <v> </v>
      </c>
      <c r="Q193" s="17" t="str">
        <f aca="false">IF((E193="o"),H193," ")</f>
        <v> </v>
      </c>
      <c r="R193" s="17" t="str">
        <f aca="false">IF((E193="d"),H193," ")</f>
        <v> </v>
      </c>
      <c r="S193" s="17" t="str">
        <f aca="false">IF((E193="w"),H193," ")</f>
        <v> </v>
      </c>
      <c r="T193" s="17" t="str">
        <f aca="false">IF((E193="r"),H193," ")</f>
        <v> </v>
      </c>
      <c r="U193" s="17" t="str">
        <f aca="false">IF((E193="p"),H193," ")</f>
        <v> </v>
      </c>
      <c r="V193" s="17" t="str">
        <f aca="false">IF((E193="t"),H193," ")</f>
        <v> </v>
      </c>
      <c r="W193" s="17" t="str">
        <f aca="false">IF((E193="q"),H193," ")</f>
        <v> </v>
      </c>
      <c r="X193" s="17" t="str">
        <f aca="false">IF((E193="m"),H193," ")</f>
        <v> </v>
      </c>
      <c r="Y193" s="17" t="str">
        <f aca="false">IF((E193="u"),H193," ")</f>
        <v> </v>
      </c>
      <c r="Z193" s="17" t="str">
        <f aca="false">IF((E193="a"),H193," ")</f>
        <v> </v>
      </c>
      <c r="AA193" s="17" t="str">
        <f aca="false">IF((E193="g"),H193," ")</f>
        <v> </v>
      </c>
      <c r="AB193" s="17" t="str">
        <f aca="false">IF((E193="h"),H193," ")</f>
        <v> </v>
      </c>
      <c r="AC193" s="30" t="str">
        <f aca="false">IF((E193="v"),H193," ")</f>
        <v> </v>
      </c>
      <c r="AD193" s="30" t="str">
        <f aca="false">IF((E193="n"),H193," ")</f>
        <v> </v>
      </c>
      <c r="AE193" s="17" t="str">
        <f aca="false">IF((E193="f"),H193," ")</f>
        <v> </v>
      </c>
      <c r="AF193" s="17" t="str">
        <f aca="false">IF((E193="l"),H193," ")</f>
        <v> </v>
      </c>
      <c r="AG193" s="17" t="str">
        <f aca="false">IF((E193="y"),H193," ")</f>
        <v> </v>
      </c>
      <c r="AH193" s="17" t="str">
        <f aca="false">IF((E193="z"),H193," ")</f>
        <v> </v>
      </c>
      <c r="AI193" s="17" t="str">
        <f aca="false">IF((E193="fa"),H193," ")</f>
        <v> </v>
      </c>
      <c r="AJ193" s="17" t="str">
        <f aca="false">IF((E193="e"),H193," ")</f>
        <v> </v>
      </c>
    </row>
    <row r="194" customFormat="false" ht="12" hidden="false" customHeight="false" outlineLevel="0" collapsed="false">
      <c r="A194" s="28"/>
      <c r="E194" s="2" t="str">
        <f aca="false">IF((F194&lt;&gt;0),"Enter Letter"," ")</f>
        <v> </v>
      </c>
      <c r="F194" s="30"/>
      <c r="G194" s="6" t="str">
        <f aca="false">IF(F194&lt;&gt;0,F194*G$2/(100+G$2)," ")</f>
        <v> </v>
      </c>
      <c r="H194" s="6" t="str">
        <f aca="false">IF((F194&lt;&gt;0),F194-G194," ")</f>
        <v> </v>
      </c>
      <c r="I194" s="5"/>
      <c r="L194" s="7" t="str">
        <f aca="false">IF(F194&lt;&gt;0,F194-K194," ")</f>
        <v> </v>
      </c>
      <c r="M194" s="8" t="str">
        <f aca="false">IF((F194-K194)&lt;&gt;0,M$1-A194," ")</f>
        <v> </v>
      </c>
      <c r="N194" s="5"/>
      <c r="O194" s="17" t="str">
        <f aca="false">IF((E194="s"),H194," ")</f>
        <v> </v>
      </c>
      <c r="P194" s="17" t="str">
        <f aca="false">IF((E194="c"),H194," ")</f>
        <v> </v>
      </c>
      <c r="Q194" s="17" t="str">
        <f aca="false">IF((E194="o"),H194," ")</f>
        <v> </v>
      </c>
      <c r="R194" s="17" t="str">
        <f aca="false">IF((E194="d"),H194," ")</f>
        <v> </v>
      </c>
      <c r="S194" s="17" t="str">
        <f aca="false">IF((E194="w"),H194," ")</f>
        <v> </v>
      </c>
      <c r="T194" s="17" t="str">
        <f aca="false">IF((E194="r"),H194," ")</f>
        <v> </v>
      </c>
      <c r="U194" s="17" t="str">
        <f aca="false">IF((E194="p"),H194," ")</f>
        <v> </v>
      </c>
      <c r="V194" s="17" t="str">
        <f aca="false">IF((E194="t"),H194," ")</f>
        <v> </v>
      </c>
      <c r="W194" s="17" t="str">
        <f aca="false">IF((E194="q"),H194," ")</f>
        <v> </v>
      </c>
      <c r="X194" s="17" t="str">
        <f aca="false">IF((E194="m"),H194," ")</f>
        <v> </v>
      </c>
      <c r="Y194" s="17" t="str">
        <f aca="false">IF((E194="u"),H194," ")</f>
        <v> </v>
      </c>
      <c r="Z194" s="17" t="str">
        <f aca="false">IF((E194="a"),H194," ")</f>
        <v> </v>
      </c>
      <c r="AA194" s="17" t="str">
        <f aca="false">IF((E194="g"),H194," ")</f>
        <v> </v>
      </c>
      <c r="AB194" s="17" t="str">
        <f aca="false">IF((E194="h"),H194," ")</f>
        <v> </v>
      </c>
      <c r="AC194" s="30" t="str">
        <f aca="false">IF((E194="v"),H194," ")</f>
        <v> </v>
      </c>
      <c r="AD194" s="30" t="str">
        <f aca="false">IF((E194="n"),H194," ")</f>
        <v> </v>
      </c>
      <c r="AE194" s="17" t="str">
        <f aca="false">IF((E194="f"),H194," ")</f>
        <v> </v>
      </c>
      <c r="AF194" s="17" t="str">
        <f aca="false">IF((E194="l"),H194," ")</f>
        <v> </v>
      </c>
      <c r="AG194" s="17" t="str">
        <f aca="false">IF((E194="y"),H194," ")</f>
        <v> </v>
      </c>
      <c r="AH194" s="17" t="str">
        <f aca="false">IF((E194="z"),H194," ")</f>
        <v> </v>
      </c>
      <c r="AI194" s="17" t="str">
        <f aca="false">IF((E194="fa"),H194," ")</f>
        <v> </v>
      </c>
      <c r="AJ194" s="17" t="str">
        <f aca="false">IF((E194="e"),H194," ")</f>
        <v> </v>
      </c>
    </row>
    <row r="195" customFormat="false" ht="12" hidden="false" customHeight="false" outlineLevel="0" collapsed="false">
      <c r="A195" s="28"/>
      <c r="E195" s="2" t="str">
        <f aca="false">IF((F195&lt;&gt;0),"Enter Letter"," ")</f>
        <v> </v>
      </c>
      <c r="F195" s="30"/>
      <c r="G195" s="6" t="str">
        <f aca="false">IF(F195&lt;&gt;0,F195*G$2/(100+G$2)," ")</f>
        <v> </v>
      </c>
      <c r="H195" s="6" t="str">
        <f aca="false">IF((F195&lt;&gt;0),F195-G195," ")</f>
        <v> </v>
      </c>
      <c r="I195" s="5"/>
      <c r="L195" s="7" t="str">
        <f aca="false">IF(F195&lt;&gt;0,F195-K195," ")</f>
        <v> </v>
      </c>
      <c r="M195" s="8" t="str">
        <f aca="false">IF((F195-K195)&lt;&gt;0,M$1-A195," ")</f>
        <v> </v>
      </c>
      <c r="N195" s="5"/>
      <c r="O195" s="17" t="str">
        <f aca="false">IF((E195="s"),H195," ")</f>
        <v> </v>
      </c>
      <c r="P195" s="17" t="str">
        <f aca="false">IF((E195="c"),H195," ")</f>
        <v> </v>
      </c>
      <c r="Q195" s="17" t="str">
        <f aca="false">IF((E195="o"),H195," ")</f>
        <v> </v>
      </c>
      <c r="R195" s="17" t="str">
        <f aca="false">IF((E195="d"),H195," ")</f>
        <v> </v>
      </c>
      <c r="S195" s="17" t="str">
        <f aca="false">IF((E195="w"),H195," ")</f>
        <v> </v>
      </c>
      <c r="T195" s="17" t="str">
        <f aca="false">IF((E195="r"),H195," ")</f>
        <v> </v>
      </c>
      <c r="U195" s="17" t="str">
        <f aca="false">IF((E195="p"),H195," ")</f>
        <v> </v>
      </c>
      <c r="V195" s="17" t="str">
        <f aca="false">IF((E195="t"),H195," ")</f>
        <v> </v>
      </c>
      <c r="W195" s="17" t="str">
        <f aca="false">IF((E195="q"),H195," ")</f>
        <v> </v>
      </c>
      <c r="X195" s="17" t="str">
        <f aca="false">IF((E195="m"),H195," ")</f>
        <v> </v>
      </c>
      <c r="Y195" s="17" t="str">
        <f aca="false">IF((E195="u"),H195," ")</f>
        <v> </v>
      </c>
      <c r="Z195" s="17" t="str">
        <f aca="false">IF((E195="a"),H195," ")</f>
        <v> </v>
      </c>
      <c r="AA195" s="17" t="str">
        <f aca="false">IF((E195="g"),H195," ")</f>
        <v> </v>
      </c>
      <c r="AB195" s="17" t="str">
        <f aca="false">IF((E195="h"),H195," ")</f>
        <v> </v>
      </c>
      <c r="AC195" s="30" t="str">
        <f aca="false">IF((E195="v"),H195," ")</f>
        <v> </v>
      </c>
      <c r="AD195" s="30" t="str">
        <f aca="false">IF((E195="n"),H195," ")</f>
        <v> </v>
      </c>
      <c r="AE195" s="17" t="str">
        <f aca="false">IF((E195="f"),H195," ")</f>
        <v> </v>
      </c>
      <c r="AF195" s="17" t="str">
        <f aca="false">IF((E195="l"),H195," ")</f>
        <v> </v>
      </c>
      <c r="AG195" s="17" t="str">
        <f aca="false">IF((E195="y"),H195," ")</f>
        <v> </v>
      </c>
      <c r="AH195" s="17" t="str">
        <f aca="false">IF((E195="z"),H195," ")</f>
        <v> </v>
      </c>
      <c r="AI195" s="17" t="str">
        <f aca="false">IF((E195="fa"),H195," ")</f>
        <v> </v>
      </c>
      <c r="AJ195" s="17" t="str">
        <f aca="false">IF((E195="e"),H195," ")</f>
        <v> </v>
      </c>
    </row>
    <row r="196" customFormat="false" ht="12" hidden="false" customHeight="false" outlineLevel="0" collapsed="false">
      <c r="A196" s="28"/>
      <c r="E196" s="2" t="str">
        <f aca="false">IF((F196&lt;&gt;0),"Enter Letter"," ")</f>
        <v> </v>
      </c>
      <c r="F196" s="30"/>
      <c r="G196" s="6" t="str">
        <f aca="false">IF(F196&lt;&gt;0,F196*G$2/(100+G$2)," ")</f>
        <v> </v>
      </c>
      <c r="H196" s="6" t="str">
        <f aca="false">IF((F196&lt;&gt;0),F196-G196," ")</f>
        <v> </v>
      </c>
      <c r="I196" s="5"/>
      <c r="L196" s="7" t="str">
        <f aca="false">IF(F196&lt;&gt;0,F196-K196," ")</f>
        <v> </v>
      </c>
      <c r="M196" s="8" t="str">
        <f aca="false">IF((F196-K196)&lt;&gt;0,M$1-A196," ")</f>
        <v> </v>
      </c>
      <c r="N196" s="5"/>
      <c r="O196" s="17" t="str">
        <f aca="false">IF((E196="s"),H196," ")</f>
        <v> </v>
      </c>
      <c r="P196" s="17" t="str">
        <f aca="false">IF((E196="c"),H196," ")</f>
        <v> </v>
      </c>
      <c r="Q196" s="17" t="str">
        <f aca="false">IF((E196="o"),H196," ")</f>
        <v> </v>
      </c>
      <c r="R196" s="17" t="str">
        <f aca="false">IF((E196="d"),H196," ")</f>
        <v> </v>
      </c>
      <c r="S196" s="17" t="str">
        <f aca="false">IF((E196="w"),H196," ")</f>
        <v> </v>
      </c>
      <c r="T196" s="17" t="str">
        <f aca="false">IF((E196="r"),H196," ")</f>
        <v> </v>
      </c>
      <c r="U196" s="17" t="str">
        <f aca="false">IF((E196="p"),H196," ")</f>
        <v> </v>
      </c>
      <c r="V196" s="17" t="str">
        <f aca="false">IF((E196="t"),H196," ")</f>
        <v> </v>
      </c>
      <c r="W196" s="17" t="str">
        <f aca="false">IF((E196="q"),H196," ")</f>
        <v> </v>
      </c>
      <c r="X196" s="17" t="str">
        <f aca="false">IF((E196="m"),H196," ")</f>
        <v> </v>
      </c>
      <c r="Y196" s="17" t="str">
        <f aca="false">IF((E196="u"),H196," ")</f>
        <v> </v>
      </c>
      <c r="Z196" s="17" t="str">
        <f aca="false">IF((E196="a"),H196," ")</f>
        <v> </v>
      </c>
      <c r="AA196" s="17" t="str">
        <f aca="false">IF((E196="g"),H196," ")</f>
        <v> </v>
      </c>
      <c r="AB196" s="17" t="str">
        <f aca="false">IF((E196="h"),H196," ")</f>
        <v> </v>
      </c>
      <c r="AC196" s="30" t="str">
        <f aca="false">IF((E196="v"),H196," ")</f>
        <v> </v>
      </c>
      <c r="AD196" s="30" t="str">
        <f aca="false">IF((E196="n"),H196," ")</f>
        <v> </v>
      </c>
      <c r="AE196" s="17" t="str">
        <f aca="false">IF((E196="f"),H196," ")</f>
        <v> </v>
      </c>
      <c r="AF196" s="17" t="str">
        <f aca="false">IF((E196="l"),H196," ")</f>
        <v> </v>
      </c>
      <c r="AG196" s="17" t="str">
        <f aca="false">IF((E196="y"),H196," ")</f>
        <v> </v>
      </c>
      <c r="AH196" s="17" t="str">
        <f aca="false">IF((E196="z"),H196," ")</f>
        <v> </v>
      </c>
      <c r="AI196" s="17" t="str">
        <f aca="false">IF((E196="fa"),H196," ")</f>
        <v> </v>
      </c>
      <c r="AJ196" s="17" t="str">
        <f aca="false">IF((E196="e"),H196," ")</f>
        <v> </v>
      </c>
    </row>
    <row r="197" customFormat="false" ht="12" hidden="false" customHeight="false" outlineLevel="0" collapsed="false">
      <c r="A197" s="28"/>
      <c r="E197" s="2" t="str">
        <f aca="false">IF((F197&lt;&gt;0),"Enter Letter"," ")</f>
        <v> </v>
      </c>
      <c r="F197" s="30"/>
      <c r="G197" s="6" t="str">
        <f aca="false">IF(F197&lt;&gt;0,F197*G$2/(100+G$2)," ")</f>
        <v> </v>
      </c>
      <c r="H197" s="6" t="str">
        <f aca="false">IF((F197&lt;&gt;0),F197-G197," ")</f>
        <v> </v>
      </c>
      <c r="I197" s="5"/>
      <c r="L197" s="7" t="str">
        <f aca="false">IF(F197&lt;&gt;0,F197-K197," ")</f>
        <v> </v>
      </c>
      <c r="M197" s="8" t="str">
        <f aca="false">IF((F197-K197)&lt;&gt;0,M$1-A197," ")</f>
        <v> </v>
      </c>
      <c r="N197" s="5"/>
      <c r="O197" s="17" t="str">
        <f aca="false">IF((E197="s"),H197," ")</f>
        <v> </v>
      </c>
      <c r="P197" s="17" t="str">
        <f aca="false">IF((E197="c"),H197," ")</f>
        <v> </v>
      </c>
      <c r="Q197" s="17" t="str">
        <f aca="false">IF((E197="o"),H197," ")</f>
        <v> </v>
      </c>
      <c r="R197" s="17" t="str">
        <f aca="false">IF((E197="d"),H197," ")</f>
        <v> </v>
      </c>
      <c r="S197" s="17" t="str">
        <f aca="false">IF((E197="w"),H197," ")</f>
        <v> </v>
      </c>
      <c r="T197" s="17" t="str">
        <f aca="false">IF((E197="r"),H197," ")</f>
        <v> </v>
      </c>
      <c r="U197" s="17" t="str">
        <f aca="false">IF((E197="p"),H197," ")</f>
        <v> </v>
      </c>
      <c r="V197" s="17" t="str">
        <f aca="false">IF((E197="t"),H197," ")</f>
        <v> </v>
      </c>
      <c r="W197" s="17" t="str">
        <f aca="false">IF((E197="q"),H197," ")</f>
        <v> </v>
      </c>
      <c r="X197" s="17" t="str">
        <f aca="false">IF((E197="m"),H197," ")</f>
        <v> </v>
      </c>
      <c r="Y197" s="17" t="str">
        <f aca="false">IF((E197="u"),H197," ")</f>
        <v> </v>
      </c>
      <c r="Z197" s="17" t="str">
        <f aca="false">IF((E197="a"),H197," ")</f>
        <v> </v>
      </c>
      <c r="AA197" s="17" t="str">
        <f aca="false">IF((E197="g"),H197," ")</f>
        <v> </v>
      </c>
      <c r="AB197" s="17" t="str">
        <f aca="false">IF((E197="h"),H197," ")</f>
        <v> </v>
      </c>
      <c r="AC197" s="30" t="str">
        <f aca="false">IF((E197="v"),H197," ")</f>
        <v> </v>
      </c>
      <c r="AD197" s="30" t="str">
        <f aca="false">IF((E197="n"),H197," ")</f>
        <v> </v>
      </c>
      <c r="AE197" s="17" t="str">
        <f aca="false">IF((E197="f"),H197," ")</f>
        <v> </v>
      </c>
      <c r="AF197" s="17" t="str">
        <f aca="false">IF((E197="l"),H197," ")</f>
        <v> </v>
      </c>
      <c r="AG197" s="17" t="str">
        <f aca="false">IF((E197="y"),H197," ")</f>
        <v> </v>
      </c>
      <c r="AH197" s="17" t="str">
        <f aca="false">IF((E197="z"),H197," ")</f>
        <v> </v>
      </c>
      <c r="AI197" s="17" t="str">
        <f aca="false">IF((E197="fa"),H197," ")</f>
        <v> </v>
      </c>
      <c r="AJ197" s="17" t="str">
        <f aca="false">IF((E197="e"),H197," ")</f>
        <v> </v>
      </c>
    </row>
    <row r="198" customFormat="false" ht="12" hidden="false" customHeight="false" outlineLevel="0" collapsed="false">
      <c r="A198" s="28"/>
      <c r="E198" s="2" t="str">
        <f aca="false">IF((F198&lt;&gt;0),"Enter Letter"," ")</f>
        <v> </v>
      </c>
      <c r="F198" s="30"/>
      <c r="G198" s="6" t="str">
        <f aca="false">IF(F198&lt;&gt;0,F198*G$2/(100+G$2)," ")</f>
        <v> </v>
      </c>
      <c r="H198" s="6" t="str">
        <f aca="false">IF((F198&lt;&gt;0),F198-G198," ")</f>
        <v> </v>
      </c>
      <c r="I198" s="5"/>
      <c r="L198" s="7" t="str">
        <f aca="false">IF(F198&lt;&gt;0,F198-K198," ")</f>
        <v> </v>
      </c>
      <c r="M198" s="8" t="str">
        <f aca="false">IF((F198-K198)&lt;&gt;0,M$1-A198," ")</f>
        <v> </v>
      </c>
      <c r="N198" s="5"/>
      <c r="O198" s="17" t="str">
        <f aca="false">IF((E198="s"),H198," ")</f>
        <v> </v>
      </c>
      <c r="P198" s="17" t="str">
        <f aca="false">IF((E198="c"),H198," ")</f>
        <v> </v>
      </c>
      <c r="Q198" s="17" t="str">
        <f aca="false">IF((E198="o"),H198," ")</f>
        <v> </v>
      </c>
      <c r="R198" s="17" t="str">
        <f aca="false">IF((E198="d"),H198," ")</f>
        <v> </v>
      </c>
      <c r="S198" s="17" t="str">
        <f aca="false">IF((E198="w"),H198," ")</f>
        <v> </v>
      </c>
      <c r="T198" s="17" t="str">
        <f aca="false">IF((E198="r"),H198," ")</f>
        <v> </v>
      </c>
      <c r="U198" s="17" t="str">
        <f aca="false">IF((E198="p"),H198," ")</f>
        <v> </v>
      </c>
      <c r="V198" s="17" t="str">
        <f aca="false">IF((E198="t"),H198," ")</f>
        <v> </v>
      </c>
      <c r="W198" s="17" t="str">
        <f aca="false">IF((E198="q"),H198," ")</f>
        <v> </v>
      </c>
      <c r="X198" s="17" t="str">
        <f aca="false">IF((E198="m"),H198," ")</f>
        <v> </v>
      </c>
      <c r="Y198" s="17" t="str">
        <f aca="false">IF((E198="u"),H198," ")</f>
        <v> </v>
      </c>
      <c r="Z198" s="17" t="str">
        <f aca="false">IF((E198="a"),H198," ")</f>
        <v> </v>
      </c>
      <c r="AA198" s="17" t="str">
        <f aca="false">IF((E198="g"),H198," ")</f>
        <v> </v>
      </c>
      <c r="AB198" s="17" t="str">
        <f aca="false">IF((E198="h"),H198," ")</f>
        <v> </v>
      </c>
      <c r="AC198" s="30" t="str">
        <f aca="false">IF((E198="v"),H198," ")</f>
        <v> </v>
      </c>
      <c r="AD198" s="30" t="str">
        <f aca="false">IF((E198="n"),H198," ")</f>
        <v> </v>
      </c>
      <c r="AE198" s="17" t="str">
        <f aca="false">IF((E198="f"),H198," ")</f>
        <v> </v>
      </c>
      <c r="AF198" s="17" t="str">
        <f aca="false">IF((E198="l"),H198," ")</f>
        <v> </v>
      </c>
      <c r="AG198" s="17" t="str">
        <f aca="false">IF((E198="y"),H198," ")</f>
        <v> </v>
      </c>
      <c r="AH198" s="17" t="str">
        <f aca="false">IF((E198="z"),H198," ")</f>
        <v> </v>
      </c>
      <c r="AI198" s="17" t="str">
        <f aca="false">IF((E198="fa"),H198," ")</f>
        <v> </v>
      </c>
      <c r="AJ198" s="17" t="str">
        <f aca="false">IF((E198="e"),H198," ")</f>
        <v> </v>
      </c>
    </row>
    <row r="199" customFormat="false" ht="12" hidden="false" customHeight="false" outlineLevel="0" collapsed="false">
      <c r="A199" s="28"/>
      <c r="E199" s="2" t="str">
        <f aca="false">IF((F199&lt;&gt;0),"Enter Letter"," ")</f>
        <v> </v>
      </c>
      <c r="F199" s="30"/>
      <c r="G199" s="6" t="str">
        <f aca="false">IF(F199&lt;&gt;0,F199*G$2/(100+G$2)," ")</f>
        <v> </v>
      </c>
      <c r="H199" s="6" t="str">
        <f aca="false">IF((F199&lt;&gt;0),F199-G199," ")</f>
        <v> </v>
      </c>
      <c r="I199" s="5"/>
      <c r="L199" s="7" t="str">
        <f aca="false">IF(F199&lt;&gt;0,F199-K199," ")</f>
        <v> </v>
      </c>
      <c r="M199" s="8" t="str">
        <f aca="false">IF((F199-K199)&lt;&gt;0,M$1-A199," ")</f>
        <v> </v>
      </c>
      <c r="N199" s="5"/>
      <c r="O199" s="17" t="str">
        <f aca="false">IF((E199="s"),H199," ")</f>
        <v> </v>
      </c>
      <c r="P199" s="17" t="str">
        <f aca="false">IF((E199="c"),H199," ")</f>
        <v> </v>
      </c>
      <c r="Q199" s="17" t="str">
        <f aca="false">IF((E199="o"),H199," ")</f>
        <v> </v>
      </c>
      <c r="R199" s="17" t="str">
        <f aca="false">IF((E199="d"),H199," ")</f>
        <v> </v>
      </c>
      <c r="S199" s="17" t="str">
        <f aca="false">IF((E199="w"),H199," ")</f>
        <v> </v>
      </c>
      <c r="T199" s="17" t="str">
        <f aca="false">IF((E199="r"),H199," ")</f>
        <v> </v>
      </c>
      <c r="U199" s="17" t="str">
        <f aca="false">IF((E199="p"),H199," ")</f>
        <v> </v>
      </c>
      <c r="V199" s="17" t="str">
        <f aca="false">IF((E199="t"),H199," ")</f>
        <v> </v>
      </c>
      <c r="W199" s="17" t="str">
        <f aca="false">IF((E199="q"),H199," ")</f>
        <v> </v>
      </c>
      <c r="X199" s="17" t="str">
        <f aca="false">IF((E199="m"),H199," ")</f>
        <v> </v>
      </c>
      <c r="Y199" s="17" t="str">
        <f aca="false">IF((E199="u"),H199," ")</f>
        <v> </v>
      </c>
      <c r="Z199" s="17" t="str">
        <f aca="false">IF((E199="a"),H199," ")</f>
        <v> </v>
      </c>
      <c r="AA199" s="17" t="str">
        <f aca="false">IF((E199="g"),H199," ")</f>
        <v> </v>
      </c>
      <c r="AB199" s="17" t="str">
        <f aca="false">IF((E199="h"),H199," ")</f>
        <v> </v>
      </c>
      <c r="AC199" s="30" t="str">
        <f aca="false">IF((E199="v"),H199," ")</f>
        <v> </v>
      </c>
      <c r="AD199" s="30" t="str">
        <f aca="false">IF((E199="n"),H199," ")</f>
        <v> </v>
      </c>
      <c r="AE199" s="17" t="str">
        <f aca="false">IF((E199="f"),H199," ")</f>
        <v> </v>
      </c>
      <c r="AF199" s="17" t="str">
        <f aca="false">IF((E199="l"),H199," ")</f>
        <v> </v>
      </c>
      <c r="AG199" s="17" t="str">
        <f aca="false">IF((E199="y"),H199," ")</f>
        <v> </v>
      </c>
      <c r="AH199" s="17" t="str">
        <f aca="false">IF((E199="z"),H199," ")</f>
        <v> </v>
      </c>
      <c r="AI199" s="17" t="str">
        <f aca="false">IF((E199="fa"),H199," ")</f>
        <v> </v>
      </c>
      <c r="AJ199" s="17" t="str">
        <f aca="false">IF((E199="e"),H199," ")</f>
        <v> </v>
      </c>
    </row>
    <row r="200" customFormat="false" ht="12" hidden="false" customHeight="false" outlineLevel="0" collapsed="false">
      <c r="A200" s="28"/>
      <c r="E200" s="2" t="str">
        <f aca="false">IF((F200&lt;&gt;0),"Enter Letter"," ")</f>
        <v> </v>
      </c>
      <c r="F200" s="30"/>
      <c r="G200" s="6" t="str">
        <f aca="false">IF(F200&lt;&gt;0,F200*G$2/(100+G$2)," ")</f>
        <v> </v>
      </c>
      <c r="H200" s="6" t="str">
        <f aca="false">IF((F200&lt;&gt;0),F200-G200," ")</f>
        <v> </v>
      </c>
      <c r="I200" s="5"/>
      <c r="L200" s="7" t="str">
        <f aca="false">IF(F200&lt;&gt;0,F200-K200," ")</f>
        <v> </v>
      </c>
      <c r="M200" s="8" t="str">
        <f aca="false">IF((F200-K200)&lt;&gt;0,M$1-A200," ")</f>
        <v> </v>
      </c>
      <c r="N200" s="5"/>
      <c r="O200" s="17" t="str">
        <f aca="false">IF((E200="s"),H200," ")</f>
        <v> </v>
      </c>
      <c r="P200" s="17" t="str">
        <f aca="false">IF((E200="c"),H200," ")</f>
        <v> </v>
      </c>
      <c r="Q200" s="17" t="str">
        <f aca="false">IF((E200="o"),H200," ")</f>
        <v> </v>
      </c>
      <c r="R200" s="17" t="str">
        <f aca="false">IF((E200="d"),H200," ")</f>
        <v> </v>
      </c>
      <c r="S200" s="17" t="str">
        <f aca="false">IF((E200="w"),H200," ")</f>
        <v> </v>
      </c>
      <c r="T200" s="17" t="str">
        <f aca="false">IF((E200="r"),H200," ")</f>
        <v> </v>
      </c>
      <c r="U200" s="17" t="str">
        <f aca="false">IF((E200="p"),H200," ")</f>
        <v> </v>
      </c>
      <c r="V200" s="17" t="str">
        <f aca="false">IF((E200="t"),H200," ")</f>
        <v> </v>
      </c>
      <c r="W200" s="17" t="str">
        <f aca="false">IF((E200="q"),H200," ")</f>
        <v> </v>
      </c>
      <c r="X200" s="17" t="str">
        <f aca="false">IF((E200="m"),H200," ")</f>
        <v> </v>
      </c>
      <c r="Y200" s="17" t="str">
        <f aca="false">IF((E200="u"),H200," ")</f>
        <v> </v>
      </c>
      <c r="Z200" s="17" t="str">
        <f aca="false">IF((E200="a"),H200," ")</f>
        <v> </v>
      </c>
      <c r="AA200" s="17" t="str">
        <f aca="false">IF((E200="g"),H200," ")</f>
        <v> </v>
      </c>
      <c r="AB200" s="17" t="str">
        <f aca="false">IF((E200="h"),H200," ")</f>
        <v> </v>
      </c>
      <c r="AC200" s="30" t="str">
        <f aca="false">IF((E200="v"),H200," ")</f>
        <v> </v>
      </c>
      <c r="AD200" s="30" t="str">
        <f aca="false">IF((E200="n"),H200," ")</f>
        <v> </v>
      </c>
      <c r="AE200" s="17" t="str">
        <f aca="false">IF((E200="f"),H200," ")</f>
        <v> </v>
      </c>
      <c r="AF200" s="17" t="str">
        <f aca="false">IF((E200="l"),H200," ")</f>
        <v> </v>
      </c>
      <c r="AG200" s="17" t="str">
        <f aca="false">IF((E200="y"),H200," ")</f>
        <v> </v>
      </c>
      <c r="AH200" s="17" t="str">
        <f aca="false">IF((E200="z"),H200," ")</f>
        <v> </v>
      </c>
      <c r="AI200" s="17" t="str">
        <f aca="false">IF((E200="fa"),H200," ")</f>
        <v> </v>
      </c>
      <c r="AJ200" s="17" t="str">
        <f aca="false">IF((E200="e"),H200," ")</f>
        <v> </v>
      </c>
    </row>
    <row r="201" customFormat="false" ht="12" hidden="false" customHeight="false" outlineLevel="0" collapsed="false">
      <c r="A201" s="28"/>
      <c r="E201" s="2" t="str">
        <f aca="false">IF((F201&lt;&gt;0),"Enter Letter"," ")</f>
        <v> </v>
      </c>
      <c r="F201" s="30"/>
      <c r="G201" s="6" t="str">
        <f aca="false">IF(F201&lt;&gt;0,F201*G$2/(100+G$2)," ")</f>
        <v> </v>
      </c>
      <c r="H201" s="6" t="str">
        <f aca="false">IF((F201&lt;&gt;0),F201-G201," ")</f>
        <v> </v>
      </c>
      <c r="I201" s="5"/>
      <c r="L201" s="7" t="str">
        <f aca="false">IF(F201&lt;&gt;0,F201-K201," ")</f>
        <v> </v>
      </c>
      <c r="M201" s="8" t="str">
        <f aca="false">IF((F201-K201)&lt;&gt;0,M$1-A201," ")</f>
        <v> </v>
      </c>
      <c r="N201" s="5"/>
      <c r="O201" s="17" t="str">
        <f aca="false">IF((E201="s"),H201," ")</f>
        <v> </v>
      </c>
      <c r="P201" s="17" t="str">
        <f aca="false">IF((E201="c"),H201," ")</f>
        <v> </v>
      </c>
      <c r="Q201" s="17" t="str">
        <f aca="false">IF((E201="o"),H201," ")</f>
        <v> </v>
      </c>
      <c r="R201" s="17" t="str">
        <f aca="false">IF((E201="d"),H201," ")</f>
        <v> </v>
      </c>
      <c r="S201" s="17" t="str">
        <f aca="false">IF((E201="w"),H201," ")</f>
        <v> </v>
      </c>
      <c r="T201" s="17" t="str">
        <f aca="false">IF((E201="r"),H201," ")</f>
        <v> </v>
      </c>
      <c r="U201" s="17" t="str">
        <f aca="false">IF((E201="p"),H201," ")</f>
        <v> </v>
      </c>
      <c r="V201" s="17" t="str">
        <f aca="false">IF((E201="t"),H201," ")</f>
        <v> </v>
      </c>
      <c r="W201" s="17" t="str">
        <f aca="false">IF((E201="q"),H201," ")</f>
        <v> </v>
      </c>
      <c r="X201" s="17" t="str">
        <f aca="false">IF((E201="m"),H201," ")</f>
        <v> </v>
      </c>
      <c r="Y201" s="17" t="str">
        <f aca="false">IF((E201="u"),H201," ")</f>
        <v> </v>
      </c>
      <c r="Z201" s="17" t="str">
        <f aca="false">IF((E201="a"),H201," ")</f>
        <v> </v>
      </c>
      <c r="AA201" s="17" t="str">
        <f aca="false">IF((E201="g"),H201," ")</f>
        <v> </v>
      </c>
      <c r="AB201" s="17" t="str">
        <f aca="false">IF((E201="h"),H201," ")</f>
        <v> </v>
      </c>
      <c r="AC201" s="30" t="str">
        <f aca="false">IF((E201="v"),H201," ")</f>
        <v> </v>
      </c>
      <c r="AD201" s="30" t="str">
        <f aca="false">IF((E201="n"),H201," ")</f>
        <v> </v>
      </c>
      <c r="AE201" s="17" t="str">
        <f aca="false">IF((E201="f"),H201," ")</f>
        <v> </v>
      </c>
      <c r="AF201" s="17" t="str">
        <f aca="false">IF((E201="l"),H201," ")</f>
        <v> </v>
      </c>
      <c r="AG201" s="17" t="str">
        <f aca="false">IF((E201="y"),H201," ")</f>
        <v> </v>
      </c>
      <c r="AH201" s="17" t="str">
        <f aca="false">IF((E201="z"),H201," ")</f>
        <v> </v>
      </c>
      <c r="AI201" s="17" t="str">
        <f aca="false">IF((E201="fa"),H201," ")</f>
        <v> </v>
      </c>
      <c r="AJ201" s="17" t="str">
        <f aca="false">IF((E201="e"),H201," ")</f>
        <v> </v>
      </c>
    </row>
    <row r="202" customFormat="false" ht="12" hidden="false" customHeight="false" outlineLevel="0" collapsed="false">
      <c r="A202" s="28"/>
      <c r="E202" s="2" t="str">
        <f aca="false">IF((F202&lt;&gt;0),"Enter Letter"," ")</f>
        <v> </v>
      </c>
      <c r="F202" s="30"/>
      <c r="G202" s="6" t="str">
        <f aca="false">IF(F202&lt;&gt;0,F202*G$2/(100+G$2)," ")</f>
        <v> </v>
      </c>
      <c r="H202" s="6" t="str">
        <f aca="false">IF((F202&lt;&gt;0),F202-G202," ")</f>
        <v> </v>
      </c>
      <c r="I202" s="5"/>
      <c r="L202" s="7" t="str">
        <f aca="false">IF(F202&lt;&gt;0,F202-K202," ")</f>
        <v> </v>
      </c>
      <c r="M202" s="8" t="str">
        <f aca="false">IF((F202-K202)&lt;&gt;0,M$1-A202," ")</f>
        <v> </v>
      </c>
      <c r="N202" s="5"/>
      <c r="O202" s="17" t="str">
        <f aca="false">IF((E202="s"),H202," ")</f>
        <v> </v>
      </c>
      <c r="P202" s="17" t="str">
        <f aca="false">IF((E202="c"),H202," ")</f>
        <v> </v>
      </c>
      <c r="Q202" s="17" t="str">
        <f aca="false">IF((E202="o"),H202," ")</f>
        <v> </v>
      </c>
      <c r="R202" s="17" t="str">
        <f aca="false">IF((E202="d"),H202," ")</f>
        <v> </v>
      </c>
      <c r="S202" s="17" t="str">
        <f aca="false">IF((E202="w"),H202," ")</f>
        <v> </v>
      </c>
      <c r="T202" s="17" t="str">
        <f aca="false">IF((E202="r"),H202," ")</f>
        <v> </v>
      </c>
      <c r="U202" s="17" t="str">
        <f aca="false">IF((E202="p"),H202," ")</f>
        <v> </v>
      </c>
      <c r="V202" s="17" t="str">
        <f aca="false">IF((E202="t"),H202," ")</f>
        <v> </v>
      </c>
      <c r="W202" s="17" t="str">
        <f aca="false">IF((E202="q"),H202," ")</f>
        <v> </v>
      </c>
      <c r="X202" s="17" t="str">
        <f aca="false">IF((E202="m"),H202," ")</f>
        <v> </v>
      </c>
      <c r="Y202" s="17" t="str">
        <f aca="false">IF((E202="u"),H202," ")</f>
        <v> </v>
      </c>
      <c r="Z202" s="17" t="str">
        <f aca="false">IF((E202="a"),H202," ")</f>
        <v> </v>
      </c>
      <c r="AA202" s="17" t="str">
        <f aca="false">IF((E202="g"),H202," ")</f>
        <v> </v>
      </c>
      <c r="AB202" s="17" t="str">
        <f aca="false">IF((E202="h"),H202," ")</f>
        <v> </v>
      </c>
      <c r="AC202" s="30" t="str">
        <f aca="false">IF((E202="v"),H202," ")</f>
        <v> </v>
      </c>
      <c r="AD202" s="30" t="str">
        <f aca="false">IF((E202="n"),H202," ")</f>
        <v> </v>
      </c>
      <c r="AE202" s="17" t="str">
        <f aca="false">IF((E202="f"),H202," ")</f>
        <v> </v>
      </c>
      <c r="AF202" s="17" t="str">
        <f aca="false">IF((E202="l"),H202," ")</f>
        <v> </v>
      </c>
      <c r="AG202" s="17" t="str">
        <f aca="false">IF((E202="y"),H202," ")</f>
        <v> </v>
      </c>
      <c r="AH202" s="17" t="str">
        <f aca="false">IF((E202="z"),H202," ")</f>
        <v> </v>
      </c>
      <c r="AI202" s="17" t="str">
        <f aca="false">IF((E202="fa"),H202," ")</f>
        <v> </v>
      </c>
      <c r="AJ202" s="17" t="str">
        <f aca="false">IF((E202="e"),H202," ")</f>
        <v> </v>
      </c>
    </row>
    <row r="203" customFormat="false" ht="12" hidden="false" customHeight="false" outlineLevel="0" collapsed="false">
      <c r="A203" s="28"/>
      <c r="E203" s="2" t="str">
        <f aca="false">IF((F203&lt;&gt;0),"Enter Letter"," ")</f>
        <v> </v>
      </c>
      <c r="F203" s="30"/>
      <c r="G203" s="6" t="str">
        <f aca="false">IF(F203&lt;&gt;0,F203*G$2/(100+G$2)," ")</f>
        <v> </v>
      </c>
      <c r="H203" s="6" t="str">
        <f aca="false">IF((F203&lt;&gt;0),F203-G203," ")</f>
        <v> </v>
      </c>
      <c r="I203" s="5"/>
      <c r="L203" s="7" t="str">
        <f aca="false">IF(F203&lt;&gt;0,F203-K203," ")</f>
        <v> </v>
      </c>
      <c r="M203" s="8" t="str">
        <f aca="false">IF((F203-K203)&lt;&gt;0,M$1-A203," ")</f>
        <v> </v>
      </c>
      <c r="N203" s="5"/>
      <c r="O203" s="17" t="str">
        <f aca="false">IF((E203="s"),H203," ")</f>
        <v> </v>
      </c>
      <c r="P203" s="17" t="str">
        <f aca="false">IF((E203="c"),H203," ")</f>
        <v> </v>
      </c>
      <c r="Q203" s="17" t="str">
        <f aca="false">IF((E203="o"),H203," ")</f>
        <v> </v>
      </c>
      <c r="R203" s="17" t="str">
        <f aca="false">IF((E203="d"),H203," ")</f>
        <v> </v>
      </c>
      <c r="S203" s="17" t="str">
        <f aca="false">IF((E203="w"),H203," ")</f>
        <v> </v>
      </c>
      <c r="T203" s="17" t="str">
        <f aca="false">IF((E203="r"),H203," ")</f>
        <v> </v>
      </c>
      <c r="U203" s="17" t="str">
        <f aca="false">IF((E203="p"),H203," ")</f>
        <v> </v>
      </c>
      <c r="V203" s="17" t="str">
        <f aca="false">IF((E203="t"),H203," ")</f>
        <v> </v>
      </c>
      <c r="W203" s="17" t="str">
        <f aca="false">IF((E203="q"),H203," ")</f>
        <v> </v>
      </c>
      <c r="X203" s="17" t="str">
        <f aca="false">IF((E203="m"),H203," ")</f>
        <v> </v>
      </c>
      <c r="Y203" s="17" t="str">
        <f aca="false">IF((E203="u"),H203," ")</f>
        <v> </v>
      </c>
      <c r="Z203" s="17" t="str">
        <f aca="false">IF((E203="a"),H203," ")</f>
        <v> </v>
      </c>
      <c r="AA203" s="17" t="str">
        <f aca="false">IF((E203="g"),H203," ")</f>
        <v> </v>
      </c>
      <c r="AB203" s="17" t="str">
        <f aca="false">IF((E203="h"),H203," ")</f>
        <v> </v>
      </c>
      <c r="AC203" s="30" t="str">
        <f aca="false">IF((E203="v"),H203," ")</f>
        <v> </v>
      </c>
      <c r="AD203" s="30" t="str">
        <f aca="false">IF((E203="n"),H203," ")</f>
        <v> </v>
      </c>
      <c r="AE203" s="17" t="str">
        <f aca="false">IF((E203="f"),H203," ")</f>
        <v> </v>
      </c>
      <c r="AF203" s="17" t="str">
        <f aca="false">IF((E203="l"),H203," ")</f>
        <v> </v>
      </c>
      <c r="AG203" s="17" t="str">
        <f aca="false">IF((E203="y"),H203," ")</f>
        <v> </v>
      </c>
      <c r="AH203" s="17" t="str">
        <f aca="false">IF((E203="z"),H203," ")</f>
        <v> </v>
      </c>
      <c r="AI203" s="17" t="str">
        <f aca="false">IF((E203="fa"),H203," ")</f>
        <v> </v>
      </c>
      <c r="AJ203" s="17" t="str">
        <f aca="false">IF((E203="e"),H203," ")</f>
        <v> </v>
      </c>
    </row>
    <row r="204" customFormat="false" ht="12" hidden="false" customHeight="false" outlineLevel="0" collapsed="false">
      <c r="A204" s="28"/>
      <c r="E204" s="2" t="str">
        <f aca="false">IF((F204&lt;&gt;0),"Enter Letter"," ")</f>
        <v> </v>
      </c>
      <c r="F204" s="30"/>
      <c r="G204" s="6" t="str">
        <f aca="false">IF(F204&lt;&gt;0,F204*G$2/(100+G$2)," ")</f>
        <v> </v>
      </c>
      <c r="H204" s="6" t="str">
        <f aca="false">IF((F204&lt;&gt;0),F204-G204," ")</f>
        <v> </v>
      </c>
      <c r="I204" s="5"/>
      <c r="L204" s="7" t="str">
        <f aca="false">IF(F204&lt;&gt;0,F204-K204," ")</f>
        <v> </v>
      </c>
      <c r="M204" s="8" t="str">
        <f aca="false">IF((F204-K204)&lt;&gt;0,M$1-A204," ")</f>
        <v> </v>
      </c>
      <c r="N204" s="5"/>
      <c r="O204" s="17" t="str">
        <f aca="false">IF((E204="s"),H204," ")</f>
        <v> </v>
      </c>
      <c r="P204" s="17" t="str">
        <f aca="false">IF((E204="c"),H204," ")</f>
        <v> </v>
      </c>
      <c r="Q204" s="17" t="str">
        <f aca="false">IF((E204="o"),H204," ")</f>
        <v> </v>
      </c>
      <c r="R204" s="17" t="str">
        <f aca="false">IF((E204="d"),H204," ")</f>
        <v> </v>
      </c>
      <c r="S204" s="17" t="str">
        <f aca="false">IF((E204="w"),H204," ")</f>
        <v> </v>
      </c>
      <c r="T204" s="17" t="str">
        <f aca="false">IF((E204="r"),H204," ")</f>
        <v> </v>
      </c>
      <c r="U204" s="17" t="str">
        <f aca="false">IF((E204="p"),H204," ")</f>
        <v> </v>
      </c>
      <c r="V204" s="17" t="str">
        <f aca="false">IF((E204="t"),H204," ")</f>
        <v> </v>
      </c>
      <c r="W204" s="17" t="str">
        <f aca="false">IF((E204="q"),H204," ")</f>
        <v> </v>
      </c>
      <c r="X204" s="17" t="str">
        <f aca="false">IF((E204="m"),H204," ")</f>
        <v> </v>
      </c>
      <c r="Y204" s="17" t="str">
        <f aca="false">IF((E204="u"),H204," ")</f>
        <v> </v>
      </c>
      <c r="Z204" s="17" t="str">
        <f aca="false">IF((E204="a"),H204," ")</f>
        <v> </v>
      </c>
      <c r="AA204" s="17" t="str">
        <f aca="false">IF((E204="g"),H204," ")</f>
        <v> </v>
      </c>
      <c r="AB204" s="17" t="str">
        <f aca="false">IF((E204="h"),H204," ")</f>
        <v> </v>
      </c>
      <c r="AC204" s="30" t="str">
        <f aca="false">IF((E204="v"),H204," ")</f>
        <v> </v>
      </c>
      <c r="AD204" s="30" t="str">
        <f aca="false">IF((E204="n"),H204," ")</f>
        <v> </v>
      </c>
      <c r="AE204" s="17" t="str">
        <f aca="false">IF((E204="f"),H204," ")</f>
        <v> </v>
      </c>
      <c r="AF204" s="17" t="str">
        <f aca="false">IF((E204="l"),H204," ")</f>
        <v> </v>
      </c>
      <c r="AG204" s="17" t="str">
        <f aca="false">IF((E204="y"),H204," ")</f>
        <v> </v>
      </c>
      <c r="AH204" s="17" t="str">
        <f aca="false">IF((E204="z"),H204," ")</f>
        <v> </v>
      </c>
      <c r="AI204" s="17" t="str">
        <f aca="false">IF((E204="fa"),H204," ")</f>
        <v> </v>
      </c>
      <c r="AJ204" s="17" t="str">
        <f aca="false">IF((E204="e"),H204," ")</f>
        <v> </v>
      </c>
    </row>
    <row r="205" customFormat="false" ht="12" hidden="false" customHeight="false" outlineLevel="0" collapsed="false">
      <c r="A205" s="28"/>
      <c r="E205" s="2" t="str">
        <f aca="false">IF((F205&lt;&gt;0),"Enter Letter"," ")</f>
        <v> </v>
      </c>
      <c r="F205" s="30"/>
      <c r="G205" s="6" t="str">
        <f aca="false">IF(F205&lt;&gt;0,F205*G$2/(100+G$2)," ")</f>
        <v> </v>
      </c>
      <c r="H205" s="6" t="str">
        <f aca="false">IF((F205&lt;&gt;0),F205-G205," ")</f>
        <v> </v>
      </c>
      <c r="I205" s="5"/>
      <c r="L205" s="7" t="str">
        <f aca="false">IF(F205&lt;&gt;0,F205-K205," ")</f>
        <v> </v>
      </c>
      <c r="M205" s="8" t="str">
        <f aca="false">IF((F205-K205)&lt;&gt;0,M$1-A205," ")</f>
        <v> </v>
      </c>
      <c r="N205" s="5"/>
      <c r="O205" s="17" t="str">
        <f aca="false">IF((E205="s"),H205," ")</f>
        <v> </v>
      </c>
      <c r="P205" s="17" t="str">
        <f aca="false">IF((E205="c"),H205," ")</f>
        <v> </v>
      </c>
      <c r="Q205" s="17" t="str">
        <f aca="false">IF((E205="o"),H205," ")</f>
        <v> </v>
      </c>
      <c r="R205" s="17" t="str">
        <f aca="false">IF((E205="d"),H205," ")</f>
        <v> </v>
      </c>
      <c r="S205" s="17" t="str">
        <f aca="false">IF((E205="w"),H205," ")</f>
        <v> </v>
      </c>
      <c r="T205" s="17" t="str">
        <f aca="false">IF((E205="r"),H205," ")</f>
        <v> </v>
      </c>
      <c r="U205" s="17" t="str">
        <f aca="false">IF((E205="p"),H205," ")</f>
        <v> </v>
      </c>
      <c r="V205" s="17" t="str">
        <f aca="false">IF((E205="t"),H205," ")</f>
        <v> </v>
      </c>
      <c r="W205" s="17" t="str">
        <f aca="false">IF((E205="q"),H205," ")</f>
        <v> </v>
      </c>
      <c r="X205" s="17" t="str">
        <f aca="false">IF((E205="m"),H205," ")</f>
        <v> </v>
      </c>
      <c r="Y205" s="17" t="str">
        <f aca="false">IF((E205="u"),H205," ")</f>
        <v> </v>
      </c>
      <c r="Z205" s="17" t="str">
        <f aca="false">IF((E205="a"),H205," ")</f>
        <v> </v>
      </c>
      <c r="AA205" s="17" t="str">
        <f aca="false">IF((E205="g"),H205," ")</f>
        <v> </v>
      </c>
      <c r="AB205" s="17" t="str">
        <f aca="false">IF((E205="h"),H205," ")</f>
        <v> </v>
      </c>
      <c r="AC205" s="30" t="str">
        <f aca="false">IF((E205="v"),H205," ")</f>
        <v> </v>
      </c>
      <c r="AD205" s="30" t="str">
        <f aca="false">IF((E205="n"),H205," ")</f>
        <v> </v>
      </c>
      <c r="AE205" s="17" t="str">
        <f aca="false">IF((E205="f"),H205," ")</f>
        <v> </v>
      </c>
      <c r="AF205" s="17" t="str">
        <f aca="false">IF((E205="l"),H205," ")</f>
        <v> </v>
      </c>
      <c r="AG205" s="17" t="str">
        <f aca="false">IF((E205="y"),H205," ")</f>
        <v> </v>
      </c>
      <c r="AH205" s="17" t="str">
        <f aca="false">IF((E205="z"),H205," ")</f>
        <v> </v>
      </c>
      <c r="AI205" s="17" t="str">
        <f aca="false">IF((E205="fa"),H205," ")</f>
        <v> </v>
      </c>
      <c r="AJ205" s="17" t="str">
        <f aca="false">IF((E205="e"),H205," ")</f>
        <v> </v>
      </c>
    </row>
    <row r="206" customFormat="false" ht="12" hidden="false" customHeight="false" outlineLevel="0" collapsed="false">
      <c r="A206" s="28"/>
      <c r="E206" s="2" t="str">
        <f aca="false">IF((F206&lt;&gt;0),"Enter Letter"," ")</f>
        <v> </v>
      </c>
      <c r="F206" s="30"/>
      <c r="G206" s="6" t="str">
        <f aca="false">IF(F206&lt;&gt;0,F206*G$2/(100+G$2)," ")</f>
        <v> </v>
      </c>
      <c r="H206" s="6" t="str">
        <f aca="false">IF((F206&lt;&gt;0),F206-G206," ")</f>
        <v> </v>
      </c>
      <c r="I206" s="5"/>
      <c r="L206" s="7" t="str">
        <f aca="false">IF(F206&lt;&gt;0,F206-K206," ")</f>
        <v> </v>
      </c>
      <c r="M206" s="8" t="str">
        <f aca="false">IF((F206-K206)&lt;&gt;0,M$1-A206," ")</f>
        <v> </v>
      </c>
      <c r="N206" s="5"/>
      <c r="O206" s="17" t="str">
        <f aca="false">IF((E206="s"),H206," ")</f>
        <v> </v>
      </c>
      <c r="P206" s="17" t="str">
        <f aca="false">IF((E206="c"),H206," ")</f>
        <v> </v>
      </c>
      <c r="Q206" s="17" t="str">
        <f aca="false">IF((E206="o"),H206," ")</f>
        <v> </v>
      </c>
      <c r="R206" s="17" t="str">
        <f aca="false">IF((E206="d"),H206," ")</f>
        <v> </v>
      </c>
      <c r="S206" s="17" t="str">
        <f aca="false">IF((E206="w"),H206," ")</f>
        <v> </v>
      </c>
      <c r="T206" s="17" t="str">
        <f aca="false">IF((E206="r"),H206," ")</f>
        <v> </v>
      </c>
      <c r="U206" s="17" t="str">
        <f aca="false">IF((E206="p"),H206," ")</f>
        <v> </v>
      </c>
      <c r="V206" s="17" t="str">
        <f aca="false">IF((E206="t"),H206," ")</f>
        <v> </v>
      </c>
      <c r="W206" s="17" t="str">
        <f aca="false">IF((E206="q"),H206," ")</f>
        <v> </v>
      </c>
      <c r="X206" s="17" t="str">
        <f aca="false">IF((E206="m"),H206," ")</f>
        <v> </v>
      </c>
      <c r="Y206" s="17" t="str">
        <f aca="false">IF((E206="u"),H206," ")</f>
        <v> </v>
      </c>
      <c r="Z206" s="17" t="str">
        <f aca="false">IF((E206="a"),H206," ")</f>
        <v> </v>
      </c>
      <c r="AA206" s="17" t="str">
        <f aca="false">IF((E206="g"),H206," ")</f>
        <v> </v>
      </c>
      <c r="AB206" s="17" t="str">
        <f aca="false">IF((E206="h"),H206," ")</f>
        <v> </v>
      </c>
      <c r="AC206" s="30" t="str">
        <f aca="false">IF((E206="v"),H206," ")</f>
        <v> </v>
      </c>
      <c r="AD206" s="30" t="str">
        <f aca="false">IF((E206="n"),H206," ")</f>
        <v> </v>
      </c>
      <c r="AE206" s="17" t="str">
        <f aca="false">IF((E206="f"),H206," ")</f>
        <v> </v>
      </c>
      <c r="AF206" s="17" t="str">
        <f aca="false">IF((E206="l"),H206," ")</f>
        <v> </v>
      </c>
      <c r="AG206" s="17" t="str">
        <f aca="false">IF((E206="y"),H206," ")</f>
        <v> </v>
      </c>
      <c r="AH206" s="17" t="str">
        <f aca="false">IF((E206="z"),H206," ")</f>
        <v> </v>
      </c>
      <c r="AI206" s="17" t="str">
        <f aca="false">IF((E206="fa"),H206," ")</f>
        <v> </v>
      </c>
      <c r="AJ206" s="17" t="str">
        <f aca="false">IF((E206="e"),H206," ")</f>
        <v> </v>
      </c>
    </row>
    <row r="207" customFormat="false" ht="12" hidden="false" customHeight="false" outlineLevel="0" collapsed="false">
      <c r="A207" s="28"/>
      <c r="E207" s="2" t="str">
        <f aca="false">IF((F207&lt;&gt;0),"Enter Letter"," ")</f>
        <v> </v>
      </c>
      <c r="F207" s="30"/>
      <c r="G207" s="6" t="str">
        <f aca="false">IF(F207&lt;&gt;0,F207*G$2/(100+G$2)," ")</f>
        <v> </v>
      </c>
      <c r="H207" s="6" t="str">
        <f aca="false">IF((F207&lt;&gt;0),F207-G207," ")</f>
        <v> </v>
      </c>
      <c r="I207" s="5"/>
      <c r="L207" s="7" t="str">
        <f aca="false">IF(F207&lt;&gt;0,F207-K207," ")</f>
        <v> </v>
      </c>
      <c r="M207" s="8" t="str">
        <f aca="false">IF((F207-K207)&lt;&gt;0,M$1-A207," ")</f>
        <v> </v>
      </c>
      <c r="N207" s="5"/>
      <c r="O207" s="17" t="str">
        <f aca="false">IF((E207="s"),H207," ")</f>
        <v> </v>
      </c>
      <c r="P207" s="17" t="str">
        <f aca="false">IF((E207="c"),H207," ")</f>
        <v> </v>
      </c>
      <c r="Q207" s="17" t="str">
        <f aca="false">IF((E207="o"),H207," ")</f>
        <v> </v>
      </c>
      <c r="R207" s="17" t="str">
        <f aca="false">IF((E207="d"),H207," ")</f>
        <v> </v>
      </c>
      <c r="S207" s="17" t="str">
        <f aca="false">IF((E207="w"),H207," ")</f>
        <v> </v>
      </c>
      <c r="T207" s="17" t="str">
        <f aca="false">IF((E207="r"),H207," ")</f>
        <v> </v>
      </c>
      <c r="U207" s="17" t="str">
        <f aca="false">IF((E207="p"),H207," ")</f>
        <v> </v>
      </c>
      <c r="V207" s="17" t="str">
        <f aca="false">IF((E207="t"),H207," ")</f>
        <v> </v>
      </c>
      <c r="W207" s="17" t="str">
        <f aca="false">IF((E207="q"),H207," ")</f>
        <v> </v>
      </c>
      <c r="X207" s="17" t="str">
        <f aca="false">IF((E207="m"),H207," ")</f>
        <v> </v>
      </c>
      <c r="Y207" s="17" t="str">
        <f aca="false">IF((E207="u"),H207," ")</f>
        <v> </v>
      </c>
      <c r="Z207" s="17" t="str">
        <f aca="false">IF((E207="a"),H207," ")</f>
        <v> </v>
      </c>
      <c r="AA207" s="17" t="str">
        <f aca="false">IF((E207="g"),H207," ")</f>
        <v> </v>
      </c>
      <c r="AB207" s="17" t="str">
        <f aca="false">IF((E207="h"),H207," ")</f>
        <v> </v>
      </c>
      <c r="AC207" s="30" t="str">
        <f aca="false">IF((E207="v"),H207," ")</f>
        <v> </v>
      </c>
      <c r="AD207" s="30" t="str">
        <f aca="false">IF((E207="n"),H207," ")</f>
        <v> </v>
      </c>
      <c r="AE207" s="17" t="str">
        <f aca="false">IF((E207="f"),H207," ")</f>
        <v> </v>
      </c>
      <c r="AF207" s="17" t="str">
        <f aca="false">IF((E207="l"),H207," ")</f>
        <v> </v>
      </c>
      <c r="AG207" s="17" t="str">
        <f aca="false">IF((E207="y"),H207," ")</f>
        <v> </v>
      </c>
      <c r="AH207" s="17" t="str">
        <f aca="false">IF((E207="z"),H207," ")</f>
        <v> </v>
      </c>
      <c r="AI207" s="17" t="str">
        <f aca="false">IF((E207="fa"),H207," ")</f>
        <v> </v>
      </c>
      <c r="AJ207" s="17" t="str">
        <f aca="false">IF((E207="e"),H207," ")</f>
        <v> </v>
      </c>
    </row>
    <row r="208" customFormat="false" ht="12" hidden="false" customHeight="false" outlineLevel="0" collapsed="false">
      <c r="A208" s="28"/>
      <c r="E208" s="2" t="str">
        <f aca="false">IF((F208&lt;&gt;0),"Enter Letter"," ")</f>
        <v> </v>
      </c>
      <c r="F208" s="30"/>
      <c r="G208" s="6" t="str">
        <f aca="false">IF(F208&lt;&gt;0,F208*G$2/(100+G$2)," ")</f>
        <v> </v>
      </c>
      <c r="H208" s="6" t="str">
        <f aca="false">IF((F208&lt;&gt;0),F208-G208," ")</f>
        <v> </v>
      </c>
      <c r="I208" s="5"/>
      <c r="L208" s="7" t="str">
        <f aca="false">IF(F208&lt;&gt;0,F208-K208," ")</f>
        <v> </v>
      </c>
      <c r="M208" s="8" t="str">
        <f aca="false">IF((F208-K208)&lt;&gt;0,M$1-A208," ")</f>
        <v> </v>
      </c>
      <c r="N208" s="5"/>
      <c r="O208" s="17" t="str">
        <f aca="false">IF((E208="s"),H208," ")</f>
        <v> </v>
      </c>
      <c r="P208" s="17" t="str">
        <f aca="false">IF((E208="c"),H208," ")</f>
        <v> </v>
      </c>
      <c r="Q208" s="17" t="str">
        <f aca="false">IF((E208="o"),H208," ")</f>
        <v> </v>
      </c>
      <c r="R208" s="17" t="str">
        <f aca="false">IF((E208="d"),H208," ")</f>
        <v> </v>
      </c>
      <c r="S208" s="17" t="str">
        <f aca="false">IF((E208="w"),H208," ")</f>
        <v> </v>
      </c>
      <c r="T208" s="17" t="str">
        <f aca="false">IF((E208="r"),H208," ")</f>
        <v> </v>
      </c>
      <c r="U208" s="17" t="str">
        <f aca="false">IF((E208="p"),H208," ")</f>
        <v> </v>
      </c>
      <c r="V208" s="17" t="str">
        <f aca="false">IF((E208="t"),H208," ")</f>
        <v> </v>
      </c>
      <c r="W208" s="17" t="str">
        <f aca="false">IF((E208="q"),H208," ")</f>
        <v> </v>
      </c>
      <c r="X208" s="17" t="str">
        <f aca="false">IF((E208="m"),H208," ")</f>
        <v> </v>
      </c>
      <c r="Y208" s="17" t="str">
        <f aca="false">IF((E208="u"),H208," ")</f>
        <v> </v>
      </c>
      <c r="Z208" s="17" t="str">
        <f aca="false">IF((E208="a"),H208," ")</f>
        <v> </v>
      </c>
      <c r="AA208" s="17" t="str">
        <f aca="false">IF((E208="g"),H208," ")</f>
        <v> </v>
      </c>
      <c r="AB208" s="17" t="str">
        <f aca="false">IF((E208="h"),H208," ")</f>
        <v> </v>
      </c>
      <c r="AC208" s="30" t="str">
        <f aca="false">IF((E208="v"),H208," ")</f>
        <v> </v>
      </c>
      <c r="AD208" s="30" t="str">
        <f aca="false">IF((E208="n"),H208," ")</f>
        <v> </v>
      </c>
      <c r="AE208" s="17" t="str">
        <f aca="false">IF((E208="f"),H208," ")</f>
        <v> </v>
      </c>
      <c r="AF208" s="17" t="str">
        <f aca="false">IF((E208="l"),H208," ")</f>
        <v> </v>
      </c>
      <c r="AG208" s="17" t="str">
        <f aca="false">IF((E208="y"),H208," ")</f>
        <v> </v>
      </c>
      <c r="AH208" s="17" t="str">
        <f aca="false">IF((E208="z"),H208," ")</f>
        <v> </v>
      </c>
      <c r="AI208" s="17" t="str">
        <f aca="false">IF((E208="fa"),H208," ")</f>
        <v> </v>
      </c>
      <c r="AJ208" s="17" t="str">
        <f aca="false">IF((E208="e"),H208," ")</f>
        <v> </v>
      </c>
    </row>
    <row r="209" customFormat="false" ht="12" hidden="false" customHeight="false" outlineLevel="0" collapsed="false">
      <c r="A209" s="28"/>
      <c r="E209" s="2" t="str">
        <f aca="false">IF((F209&lt;&gt;0),"Enter Letter"," ")</f>
        <v> </v>
      </c>
      <c r="F209" s="30"/>
      <c r="G209" s="6" t="str">
        <f aca="false">IF(F209&lt;&gt;0,F209*G$2/(100+G$2)," ")</f>
        <v> </v>
      </c>
      <c r="H209" s="6" t="str">
        <f aca="false">IF((F209&lt;&gt;0),F209-G209," ")</f>
        <v> </v>
      </c>
      <c r="I209" s="5"/>
      <c r="L209" s="7" t="str">
        <f aca="false">IF(F209&lt;&gt;0,F209-K209," ")</f>
        <v> </v>
      </c>
      <c r="M209" s="8" t="str">
        <f aca="false">IF((F209-K209)&lt;&gt;0,M$1-A209," ")</f>
        <v> </v>
      </c>
      <c r="N209" s="5"/>
      <c r="O209" s="17" t="str">
        <f aca="false">IF((E209="s"),H209," ")</f>
        <v> </v>
      </c>
      <c r="P209" s="17" t="str">
        <f aca="false">IF((E209="c"),H209," ")</f>
        <v> </v>
      </c>
      <c r="Q209" s="17" t="str">
        <f aca="false">IF((E209="o"),H209," ")</f>
        <v> </v>
      </c>
      <c r="R209" s="17" t="str">
        <f aca="false">IF((E209="d"),H209," ")</f>
        <v> </v>
      </c>
      <c r="S209" s="17" t="str">
        <f aca="false">IF((E209="w"),H209," ")</f>
        <v> </v>
      </c>
      <c r="T209" s="17" t="str">
        <f aca="false">IF((E209="r"),H209," ")</f>
        <v> </v>
      </c>
      <c r="U209" s="17" t="str">
        <f aca="false">IF((E209="p"),H209," ")</f>
        <v> </v>
      </c>
      <c r="V209" s="17" t="str">
        <f aca="false">IF((E209="t"),H209," ")</f>
        <v> </v>
      </c>
      <c r="W209" s="17" t="str">
        <f aca="false">IF((E209="q"),H209," ")</f>
        <v> </v>
      </c>
      <c r="X209" s="17" t="str">
        <f aca="false">IF((E209="m"),H209," ")</f>
        <v> </v>
      </c>
      <c r="Y209" s="17" t="str">
        <f aca="false">IF((E209="u"),H209," ")</f>
        <v> </v>
      </c>
      <c r="Z209" s="17" t="str">
        <f aca="false">IF((E209="a"),H209," ")</f>
        <v> </v>
      </c>
      <c r="AA209" s="17" t="str">
        <f aca="false">IF((E209="g"),H209," ")</f>
        <v> </v>
      </c>
      <c r="AB209" s="17" t="str">
        <f aca="false">IF((E209="h"),H209," ")</f>
        <v> </v>
      </c>
      <c r="AC209" s="30" t="str">
        <f aca="false">IF((E209="v"),H209," ")</f>
        <v> </v>
      </c>
      <c r="AD209" s="30" t="str">
        <f aca="false">IF((E209="n"),H209," ")</f>
        <v> </v>
      </c>
      <c r="AE209" s="17" t="str">
        <f aca="false">IF((E209="f"),H209," ")</f>
        <v> </v>
      </c>
      <c r="AF209" s="17" t="str">
        <f aca="false">IF((E209="l"),H209," ")</f>
        <v> </v>
      </c>
      <c r="AG209" s="17" t="str">
        <f aca="false">IF((E209="y"),H209," ")</f>
        <v> </v>
      </c>
      <c r="AH209" s="17" t="str">
        <f aca="false">IF((E209="z"),H209," ")</f>
        <v> </v>
      </c>
      <c r="AI209" s="17" t="str">
        <f aca="false">IF((E209="fa"),H209," ")</f>
        <v> </v>
      </c>
      <c r="AJ209" s="17" t="str">
        <f aca="false">IF((E209="e"),H209," ")</f>
        <v> </v>
      </c>
    </row>
    <row r="210" customFormat="false" ht="12" hidden="false" customHeight="false" outlineLevel="0" collapsed="false">
      <c r="A210" s="28"/>
      <c r="E210" s="2" t="str">
        <f aca="false">IF((F210&lt;&gt;0),"Enter Letter"," ")</f>
        <v> </v>
      </c>
      <c r="F210" s="30"/>
      <c r="G210" s="6" t="str">
        <f aca="false">IF(F210&lt;&gt;0,F210*G$2/(100+G$2)," ")</f>
        <v> </v>
      </c>
      <c r="H210" s="6" t="str">
        <f aca="false">IF((F210&lt;&gt;0),F210-G210," ")</f>
        <v> </v>
      </c>
      <c r="I210" s="5"/>
      <c r="L210" s="7" t="str">
        <f aca="false">IF(F210&lt;&gt;0,F210-K210," ")</f>
        <v> </v>
      </c>
      <c r="M210" s="8" t="str">
        <f aca="false">IF((F210-K210)&lt;&gt;0,M$1-A210," ")</f>
        <v> </v>
      </c>
      <c r="N210" s="5"/>
      <c r="O210" s="17" t="str">
        <f aca="false">IF((E210="s"),H210," ")</f>
        <v> </v>
      </c>
      <c r="P210" s="17" t="str">
        <f aca="false">IF((E210="c"),H210," ")</f>
        <v> </v>
      </c>
      <c r="Q210" s="17" t="str">
        <f aca="false">IF((E210="o"),H210," ")</f>
        <v> </v>
      </c>
      <c r="R210" s="17" t="str">
        <f aca="false">IF((E210="d"),H210," ")</f>
        <v> </v>
      </c>
      <c r="S210" s="17" t="str">
        <f aca="false">IF((E210="w"),H210," ")</f>
        <v> </v>
      </c>
      <c r="T210" s="17" t="str">
        <f aca="false">IF((E210="r"),H210," ")</f>
        <v> </v>
      </c>
      <c r="U210" s="17" t="str">
        <f aca="false">IF((E210="p"),H210," ")</f>
        <v> </v>
      </c>
      <c r="V210" s="17" t="str">
        <f aca="false">IF((E210="t"),H210," ")</f>
        <v> </v>
      </c>
      <c r="W210" s="17" t="str">
        <f aca="false">IF((E210="q"),H210," ")</f>
        <v> </v>
      </c>
      <c r="X210" s="17" t="str">
        <f aca="false">IF((E210="m"),H210," ")</f>
        <v> </v>
      </c>
      <c r="Y210" s="17" t="str">
        <f aca="false">IF((E210="u"),H210," ")</f>
        <v> </v>
      </c>
      <c r="Z210" s="17" t="str">
        <f aca="false">IF((E210="a"),H210," ")</f>
        <v> </v>
      </c>
      <c r="AA210" s="17" t="str">
        <f aca="false">IF((E210="g"),H210," ")</f>
        <v> </v>
      </c>
      <c r="AB210" s="17" t="str">
        <f aca="false">IF((E210="h"),H210," ")</f>
        <v> </v>
      </c>
      <c r="AC210" s="30" t="str">
        <f aca="false">IF((E210="v"),H210," ")</f>
        <v> </v>
      </c>
      <c r="AD210" s="30" t="str">
        <f aca="false">IF((E210="n"),H210," ")</f>
        <v> </v>
      </c>
      <c r="AE210" s="17" t="str">
        <f aca="false">IF((E210="f"),H210," ")</f>
        <v> </v>
      </c>
      <c r="AF210" s="17" t="str">
        <f aca="false">IF((E210="l"),H210," ")</f>
        <v> </v>
      </c>
      <c r="AG210" s="17" t="str">
        <f aca="false">IF((E210="y"),H210," ")</f>
        <v> </v>
      </c>
      <c r="AH210" s="17" t="str">
        <f aca="false">IF((E210="z"),H210," ")</f>
        <v> </v>
      </c>
      <c r="AI210" s="17" t="str">
        <f aca="false">IF((E210="fa"),H210," ")</f>
        <v> </v>
      </c>
      <c r="AJ210" s="17" t="str">
        <f aca="false">IF((E210="e"),H210," ")</f>
        <v> </v>
      </c>
    </row>
    <row r="211" customFormat="false" ht="12" hidden="false" customHeight="false" outlineLevel="0" collapsed="false">
      <c r="A211" s="28"/>
      <c r="E211" s="2" t="str">
        <f aca="false">IF((F211&lt;&gt;0),"Enter Letter"," ")</f>
        <v> </v>
      </c>
      <c r="F211" s="30"/>
      <c r="G211" s="6" t="str">
        <f aca="false">IF(F211&lt;&gt;0,F211*G$2/(100+G$2)," ")</f>
        <v> </v>
      </c>
      <c r="H211" s="6" t="str">
        <f aca="false">IF((F211&lt;&gt;0),F211-G211," ")</f>
        <v> </v>
      </c>
      <c r="I211" s="5"/>
      <c r="L211" s="7" t="str">
        <f aca="false">IF(F211&lt;&gt;0,F211-K211," ")</f>
        <v> </v>
      </c>
      <c r="M211" s="8" t="str">
        <f aca="false">IF((F211-K211)&lt;&gt;0,M$1-A211," ")</f>
        <v> </v>
      </c>
      <c r="N211" s="5"/>
      <c r="O211" s="17" t="str">
        <f aca="false">IF((E211="s"),H211," ")</f>
        <v> </v>
      </c>
      <c r="P211" s="17" t="str">
        <f aca="false">IF((E211="c"),H211," ")</f>
        <v> </v>
      </c>
      <c r="Q211" s="17" t="str">
        <f aca="false">IF((E211="o"),H211," ")</f>
        <v> </v>
      </c>
      <c r="R211" s="17" t="str">
        <f aca="false">IF((E211="d"),H211," ")</f>
        <v> </v>
      </c>
      <c r="S211" s="17" t="str">
        <f aca="false">IF((E211="w"),H211," ")</f>
        <v> </v>
      </c>
      <c r="T211" s="17" t="str">
        <f aca="false">IF((E211="r"),H211," ")</f>
        <v> </v>
      </c>
      <c r="U211" s="17" t="str">
        <f aca="false">IF((E211="p"),H211," ")</f>
        <v> </v>
      </c>
      <c r="V211" s="17" t="str">
        <f aca="false">IF((E211="t"),H211," ")</f>
        <v> </v>
      </c>
      <c r="W211" s="17" t="str">
        <f aca="false">IF((E211="q"),H211," ")</f>
        <v> </v>
      </c>
      <c r="X211" s="17" t="str">
        <f aca="false">IF((E211="m"),H211," ")</f>
        <v> </v>
      </c>
      <c r="Y211" s="17" t="str">
        <f aca="false">IF((E211="u"),H211," ")</f>
        <v> </v>
      </c>
      <c r="Z211" s="17" t="str">
        <f aca="false">IF((E211="a"),H211," ")</f>
        <v> </v>
      </c>
      <c r="AA211" s="17" t="str">
        <f aca="false">IF((E211="g"),H211," ")</f>
        <v> </v>
      </c>
      <c r="AB211" s="17" t="str">
        <f aca="false">IF((E211="h"),H211," ")</f>
        <v> </v>
      </c>
      <c r="AC211" s="30" t="str">
        <f aca="false">IF((E211="v"),H211," ")</f>
        <v> </v>
      </c>
      <c r="AD211" s="30" t="str">
        <f aca="false">IF((E211="n"),H211," ")</f>
        <v> </v>
      </c>
      <c r="AE211" s="17" t="str">
        <f aca="false">IF((E211="f"),H211," ")</f>
        <v> </v>
      </c>
      <c r="AF211" s="17" t="str">
        <f aca="false">IF((E211="l"),H211," ")</f>
        <v> </v>
      </c>
      <c r="AG211" s="17" t="str">
        <f aca="false">IF((E211="y"),H211," ")</f>
        <v> </v>
      </c>
      <c r="AH211" s="17" t="str">
        <f aca="false">IF((E211="z"),H211," ")</f>
        <v> </v>
      </c>
      <c r="AI211" s="17" t="str">
        <f aca="false">IF((E211="fa"),H211," ")</f>
        <v> </v>
      </c>
      <c r="AJ211" s="17" t="str">
        <f aca="false">IF((E211="e"),H211," ")</f>
        <v> </v>
      </c>
    </row>
    <row r="212" customFormat="false" ht="12" hidden="false" customHeight="false" outlineLevel="0" collapsed="false">
      <c r="A212" s="28"/>
      <c r="E212" s="2" t="str">
        <f aca="false">IF((F212&lt;&gt;0),"Enter Letter"," ")</f>
        <v> </v>
      </c>
      <c r="F212" s="30"/>
      <c r="G212" s="6" t="str">
        <f aca="false">IF(F212&lt;&gt;0,F212*G$2/(100+G$2)," ")</f>
        <v> </v>
      </c>
      <c r="H212" s="6" t="str">
        <f aca="false">IF((F212&lt;&gt;0),F212-G212," ")</f>
        <v> </v>
      </c>
      <c r="I212" s="5"/>
      <c r="L212" s="7" t="str">
        <f aca="false">IF(F212&lt;&gt;0,F212-K212," ")</f>
        <v> </v>
      </c>
      <c r="M212" s="8" t="str">
        <f aca="false">IF((F212-K212)&lt;&gt;0,M$1-A212," ")</f>
        <v> </v>
      </c>
      <c r="N212" s="5"/>
      <c r="O212" s="17" t="str">
        <f aca="false">IF((E212="s"),H212," ")</f>
        <v> </v>
      </c>
      <c r="P212" s="17" t="str">
        <f aca="false">IF((E212="c"),H212," ")</f>
        <v> </v>
      </c>
      <c r="Q212" s="17" t="str">
        <f aca="false">IF((E212="o"),H212," ")</f>
        <v> </v>
      </c>
      <c r="R212" s="17" t="str">
        <f aca="false">IF((E212="d"),H212," ")</f>
        <v> </v>
      </c>
      <c r="S212" s="17" t="str">
        <f aca="false">IF((E212="w"),H212," ")</f>
        <v> </v>
      </c>
      <c r="T212" s="17" t="str">
        <f aca="false">IF((E212="r"),H212," ")</f>
        <v> </v>
      </c>
      <c r="U212" s="17" t="str">
        <f aca="false">IF((E212="p"),H212," ")</f>
        <v> </v>
      </c>
      <c r="V212" s="17" t="str">
        <f aca="false">IF((E212="t"),H212," ")</f>
        <v> </v>
      </c>
      <c r="W212" s="17" t="str">
        <f aca="false">IF((E212="q"),H212," ")</f>
        <v> </v>
      </c>
      <c r="X212" s="17" t="str">
        <f aca="false">IF((E212="m"),H212," ")</f>
        <v> </v>
      </c>
      <c r="Y212" s="17" t="str">
        <f aca="false">IF((E212="u"),H212," ")</f>
        <v> </v>
      </c>
      <c r="Z212" s="17" t="str">
        <f aca="false">IF((E212="a"),H212," ")</f>
        <v> </v>
      </c>
      <c r="AA212" s="17" t="str">
        <f aca="false">IF((E212="g"),H212," ")</f>
        <v> </v>
      </c>
      <c r="AB212" s="17" t="str">
        <f aca="false">IF((E212="h"),H212," ")</f>
        <v> </v>
      </c>
      <c r="AC212" s="30" t="str">
        <f aca="false">IF((E212="v"),H212," ")</f>
        <v> </v>
      </c>
      <c r="AD212" s="30" t="str">
        <f aca="false">IF((E212="n"),H212," ")</f>
        <v> </v>
      </c>
      <c r="AE212" s="17" t="str">
        <f aca="false">IF((E212="f"),H212," ")</f>
        <v> </v>
      </c>
      <c r="AF212" s="17" t="str">
        <f aca="false">IF((E212="l"),H212," ")</f>
        <v> </v>
      </c>
      <c r="AG212" s="17" t="str">
        <f aca="false">IF((E212="y"),H212," ")</f>
        <v> </v>
      </c>
      <c r="AH212" s="17" t="str">
        <f aca="false">IF((E212="z"),H212," ")</f>
        <v> </v>
      </c>
      <c r="AI212" s="17" t="str">
        <f aca="false">IF((E212="fa"),H212," ")</f>
        <v> </v>
      </c>
      <c r="AJ212" s="17" t="str">
        <f aca="false">IF((E212="e"),H212," ")</f>
        <v> </v>
      </c>
    </row>
    <row r="213" customFormat="false" ht="12" hidden="false" customHeight="false" outlineLevel="0" collapsed="false">
      <c r="A213" s="28"/>
      <c r="E213" s="2" t="str">
        <f aca="false">IF((F213&lt;&gt;0),"Enter Letter"," ")</f>
        <v> </v>
      </c>
      <c r="F213" s="30"/>
      <c r="G213" s="6" t="str">
        <f aca="false">IF(F213&lt;&gt;0,F213*G$2/(100+G$2)," ")</f>
        <v> </v>
      </c>
      <c r="H213" s="6" t="str">
        <f aca="false">IF((F213&lt;&gt;0),F213-G213," ")</f>
        <v> </v>
      </c>
      <c r="I213" s="5"/>
      <c r="L213" s="7" t="str">
        <f aca="false">IF(F213&lt;&gt;0,F213-K213," ")</f>
        <v> </v>
      </c>
      <c r="M213" s="8" t="str">
        <f aca="false">IF((F213-K213)&lt;&gt;0,M$1-A213," ")</f>
        <v> </v>
      </c>
      <c r="N213" s="5"/>
      <c r="O213" s="17" t="str">
        <f aca="false">IF((E213="s"),H213," ")</f>
        <v> </v>
      </c>
      <c r="P213" s="17" t="str">
        <f aca="false">IF((E213="c"),H213," ")</f>
        <v> </v>
      </c>
      <c r="Q213" s="17" t="str">
        <f aca="false">IF((E213="o"),H213," ")</f>
        <v> </v>
      </c>
      <c r="R213" s="17" t="str">
        <f aca="false">IF((E213="d"),H213," ")</f>
        <v> </v>
      </c>
      <c r="S213" s="17" t="str">
        <f aca="false">IF((E213="w"),H213," ")</f>
        <v> </v>
      </c>
      <c r="T213" s="17" t="str">
        <f aca="false">IF((E213="r"),H213," ")</f>
        <v> </v>
      </c>
      <c r="U213" s="17" t="str">
        <f aca="false">IF((E213="p"),H213," ")</f>
        <v> </v>
      </c>
      <c r="V213" s="17" t="str">
        <f aca="false">IF((E213="t"),H213," ")</f>
        <v> </v>
      </c>
      <c r="W213" s="17" t="str">
        <f aca="false">IF((E213="q"),H213," ")</f>
        <v> </v>
      </c>
      <c r="X213" s="17" t="str">
        <f aca="false">IF((E213="m"),H213," ")</f>
        <v> </v>
      </c>
      <c r="Y213" s="17" t="str">
        <f aca="false">IF((E213="u"),H213," ")</f>
        <v> </v>
      </c>
      <c r="Z213" s="17" t="str">
        <f aca="false">IF((E213="a"),H213," ")</f>
        <v> </v>
      </c>
      <c r="AA213" s="17" t="str">
        <f aca="false">IF((E213="g"),H213," ")</f>
        <v> </v>
      </c>
      <c r="AB213" s="17" t="str">
        <f aca="false">IF((E213="h"),H213," ")</f>
        <v> </v>
      </c>
      <c r="AC213" s="30" t="str">
        <f aca="false">IF((E213="v"),H213," ")</f>
        <v> </v>
      </c>
      <c r="AD213" s="30" t="str">
        <f aca="false">IF((E213="n"),H213," ")</f>
        <v> </v>
      </c>
      <c r="AE213" s="17" t="str">
        <f aca="false">IF((E213="f"),H213," ")</f>
        <v> </v>
      </c>
      <c r="AF213" s="17" t="str">
        <f aca="false">IF((E213="l"),H213," ")</f>
        <v> </v>
      </c>
      <c r="AG213" s="17" t="str">
        <f aca="false">IF((E213="y"),H213," ")</f>
        <v> </v>
      </c>
      <c r="AH213" s="17" t="str">
        <f aca="false">IF((E213="z"),H213," ")</f>
        <v> </v>
      </c>
      <c r="AI213" s="17" t="str">
        <f aca="false">IF((E213="fa"),H213," ")</f>
        <v> </v>
      </c>
      <c r="AJ213" s="17" t="str">
        <f aca="false">IF((E213="e"),H213," ")</f>
        <v> </v>
      </c>
    </row>
    <row r="214" customFormat="false" ht="12" hidden="false" customHeight="false" outlineLevel="0" collapsed="false">
      <c r="A214" s="28"/>
      <c r="E214" s="2" t="str">
        <f aca="false">IF((F214&lt;&gt;0),"Enter Letter"," ")</f>
        <v> </v>
      </c>
      <c r="F214" s="30"/>
      <c r="G214" s="6" t="str">
        <f aca="false">IF(F214&lt;&gt;0,F214*G$2/(100+G$2)," ")</f>
        <v> </v>
      </c>
      <c r="H214" s="6" t="str">
        <f aca="false">IF((F214&lt;&gt;0),F214-G214," ")</f>
        <v> </v>
      </c>
      <c r="I214" s="5"/>
      <c r="L214" s="7" t="str">
        <f aca="false">IF(F214&lt;&gt;0,F214-K214," ")</f>
        <v> </v>
      </c>
      <c r="M214" s="8" t="str">
        <f aca="false">IF((F214-K214)&lt;&gt;0,M$1-A214," ")</f>
        <v> </v>
      </c>
      <c r="N214" s="5"/>
      <c r="O214" s="17" t="str">
        <f aca="false">IF((E214="s"),H214," ")</f>
        <v> </v>
      </c>
      <c r="P214" s="17" t="str">
        <f aca="false">IF((E214="c"),H214," ")</f>
        <v> </v>
      </c>
      <c r="Q214" s="17" t="str">
        <f aca="false">IF((E214="o"),H214," ")</f>
        <v> </v>
      </c>
      <c r="R214" s="17" t="str">
        <f aca="false">IF((E214="d"),H214," ")</f>
        <v> </v>
      </c>
      <c r="S214" s="17" t="str">
        <f aca="false">IF((E214="w"),H214," ")</f>
        <v> </v>
      </c>
      <c r="T214" s="17" t="str">
        <f aca="false">IF((E214="r"),H214," ")</f>
        <v> </v>
      </c>
      <c r="U214" s="17" t="str">
        <f aca="false">IF((E214="p"),H214," ")</f>
        <v> </v>
      </c>
      <c r="V214" s="17" t="str">
        <f aca="false">IF((E214="t"),H214," ")</f>
        <v> </v>
      </c>
      <c r="W214" s="17" t="str">
        <f aca="false">IF((E214="q"),H214," ")</f>
        <v> </v>
      </c>
      <c r="X214" s="17" t="str">
        <f aca="false">IF((E214="m"),H214," ")</f>
        <v> </v>
      </c>
      <c r="Y214" s="17" t="str">
        <f aca="false">IF((E214="u"),H214," ")</f>
        <v> </v>
      </c>
      <c r="Z214" s="17" t="str">
        <f aca="false">IF((E214="a"),H214," ")</f>
        <v> </v>
      </c>
      <c r="AA214" s="17" t="str">
        <f aca="false">IF((E214="g"),H214," ")</f>
        <v> </v>
      </c>
      <c r="AB214" s="17" t="str">
        <f aca="false">IF((E214="h"),H214," ")</f>
        <v> </v>
      </c>
      <c r="AC214" s="30" t="str">
        <f aca="false">IF((E214="v"),H214," ")</f>
        <v> </v>
      </c>
      <c r="AD214" s="30" t="str">
        <f aca="false">IF((E214="n"),H214," ")</f>
        <v> </v>
      </c>
      <c r="AE214" s="17" t="str">
        <f aca="false">IF((E214="f"),H214," ")</f>
        <v> </v>
      </c>
      <c r="AF214" s="17" t="str">
        <f aca="false">IF((E214="l"),H214," ")</f>
        <v> </v>
      </c>
      <c r="AG214" s="17" t="str">
        <f aca="false">IF((E214="y"),H214," ")</f>
        <v> </v>
      </c>
      <c r="AH214" s="17" t="str">
        <f aca="false">IF((E214="z"),H214," ")</f>
        <v> </v>
      </c>
      <c r="AI214" s="17" t="str">
        <f aca="false">IF((E214="fa"),H214," ")</f>
        <v> </v>
      </c>
      <c r="AJ214" s="17" t="str">
        <f aca="false">IF((E214="e"),H214," ")</f>
        <v> </v>
      </c>
    </row>
    <row r="215" customFormat="false" ht="12" hidden="false" customHeight="false" outlineLevel="0" collapsed="false">
      <c r="A215" s="28"/>
      <c r="E215" s="2" t="str">
        <f aca="false">IF((F215&lt;&gt;0),"Enter Letter"," ")</f>
        <v> </v>
      </c>
      <c r="F215" s="30"/>
      <c r="G215" s="6" t="str">
        <f aca="false">IF(F215&lt;&gt;0,F215*G$2/(100+G$2)," ")</f>
        <v> </v>
      </c>
      <c r="H215" s="6" t="str">
        <f aca="false">IF((F215&lt;&gt;0),F215-G215," ")</f>
        <v> </v>
      </c>
      <c r="I215" s="5"/>
      <c r="L215" s="7" t="str">
        <f aca="false">IF(F215&lt;&gt;0,F215-K215," ")</f>
        <v> </v>
      </c>
      <c r="M215" s="8" t="str">
        <f aca="false">IF((F215-K215)&lt;&gt;0,M$1-A215," ")</f>
        <v> </v>
      </c>
      <c r="N215" s="5"/>
      <c r="O215" s="17" t="str">
        <f aca="false">IF((E215="s"),H215," ")</f>
        <v> </v>
      </c>
      <c r="P215" s="17" t="str">
        <f aca="false">IF((E215="c"),H215," ")</f>
        <v> </v>
      </c>
      <c r="Q215" s="17" t="str">
        <f aca="false">IF((E215="o"),H215," ")</f>
        <v> </v>
      </c>
      <c r="R215" s="17" t="str">
        <f aca="false">IF((E215="d"),H215," ")</f>
        <v> </v>
      </c>
      <c r="S215" s="17" t="str">
        <f aca="false">IF((E215="w"),H215," ")</f>
        <v> </v>
      </c>
      <c r="T215" s="17" t="str">
        <f aca="false">IF((E215="r"),H215," ")</f>
        <v> </v>
      </c>
      <c r="U215" s="17" t="str">
        <f aca="false">IF((E215="p"),H215," ")</f>
        <v> </v>
      </c>
      <c r="V215" s="17" t="str">
        <f aca="false">IF((E215="t"),H215," ")</f>
        <v> </v>
      </c>
      <c r="W215" s="17" t="str">
        <f aca="false">IF((E215="q"),H215," ")</f>
        <v> </v>
      </c>
      <c r="X215" s="17" t="str">
        <f aca="false">IF((E215="m"),H215," ")</f>
        <v> </v>
      </c>
      <c r="Y215" s="17" t="str">
        <f aca="false">IF((E215="u"),H215," ")</f>
        <v> </v>
      </c>
      <c r="Z215" s="17" t="str">
        <f aca="false">IF((E215="a"),H215," ")</f>
        <v> </v>
      </c>
      <c r="AA215" s="17" t="str">
        <f aca="false">IF((E215="g"),H215," ")</f>
        <v> </v>
      </c>
      <c r="AB215" s="17" t="str">
        <f aca="false">IF((E215="h"),H215," ")</f>
        <v> </v>
      </c>
      <c r="AC215" s="30" t="str">
        <f aca="false">IF((E215="v"),H215," ")</f>
        <v> </v>
      </c>
      <c r="AD215" s="30" t="str">
        <f aca="false">IF((E215="n"),H215," ")</f>
        <v> </v>
      </c>
      <c r="AE215" s="17" t="str">
        <f aca="false">IF((E215="f"),H215," ")</f>
        <v> </v>
      </c>
      <c r="AF215" s="17" t="str">
        <f aca="false">IF((E215="l"),H215," ")</f>
        <v> </v>
      </c>
      <c r="AG215" s="17" t="str">
        <f aca="false">IF((E215="y"),H215," ")</f>
        <v> </v>
      </c>
      <c r="AH215" s="17" t="str">
        <f aca="false">IF((E215="z"),H215," ")</f>
        <v> </v>
      </c>
      <c r="AI215" s="17" t="str">
        <f aca="false">IF((E215="fa"),H215," ")</f>
        <v> </v>
      </c>
      <c r="AJ215" s="17" t="str">
        <f aca="false">IF((E215="e"),H215," ")</f>
        <v> </v>
      </c>
    </row>
    <row r="216" customFormat="false" ht="12" hidden="false" customHeight="false" outlineLevel="0" collapsed="false">
      <c r="A216" s="28"/>
      <c r="E216" s="2" t="str">
        <f aca="false">IF((F216&lt;&gt;0),"Enter Letter"," ")</f>
        <v> </v>
      </c>
      <c r="F216" s="30"/>
      <c r="G216" s="6" t="str">
        <f aca="false">IF(F216&lt;&gt;0,F216*G$2/(100+G$2)," ")</f>
        <v> </v>
      </c>
      <c r="H216" s="6" t="str">
        <f aca="false">IF((F216&lt;&gt;0),F216-G216," ")</f>
        <v> </v>
      </c>
      <c r="I216" s="5"/>
      <c r="L216" s="7" t="str">
        <f aca="false">IF(F216&lt;&gt;0,F216-K216," ")</f>
        <v> </v>
      </c>
      <c r="M216" s="8" t="str">
        <f aca="false">IF((F216-K216)&lt;&gt;0,M$1-A216," ")</f>
        <v> </v>
      </c>
      <c r="N216" s="5"/>
      <c r="O216" s="17" t="str">
        <f aca="false">IF((E216="s"),H216," ")</f>
        <v> </v>
      </c>
      <c r="P216" s="17" t="str">
        <f aca="false">IF((E216="c"),H216," ")</f>
        <v> </v>
      </c>
      <c r="Q216" s="17" t="str">
        <f aca="false">IF((E216="o"),H216," ")</f>
        <v> </v>
      </c>
      <c r="R216" s="17" t="str">
        <f aca="false">IF((E216="d"),H216," ")</f>
        <v> </v>
      </c>
      <c r="S216" s="17" t="str">
        <f aca="false">IF((E216="w"),H216," ")</f>
        <v> </v>
      </c>
      <c r="T216" s="17" t="str">
        <f aca="false">IF((E216="r"),H216," ")</f>
        <v> </v>
      </c>
      <c r="U216" s="17" t="str">
        <f aca="false">IF((E216="p"),H216," ")</f>
        <v> </v>
      </c>
      <c r="V216" s="17" t="str">
        <f aca="false">IF((E216="t"),H216," ")</f>
        <v> </v>
      </c>
      <c r="W216" s="17" t="str">
        <f aca="false">IF((E216="q"),H216," ")</f>
        <v> </v>
      </c>
      <c r="X216" s="17" t="str">
        <f aca="false">IF((E216="m"),H216," ")</f>
        <v> </v>
      </c>
      <c r="Y216" s="17" t="str">
        <f aca="false">IF((E216="u"),H216," ")</f>
        <v> </v>
      </c>
      <c r="Z216" s="17" t="str">
        <f aca="false">IF((E216="a"),H216," ")</f>
        <v> </v>
      </c>
      <c r="AA216" s="17" t="str">
        <f aca="false">IF((E216="g"),H216," ")</f>
        <v> </v>
      </c>
      <c r="AB216" s="17" t="str">
        <f aca="false">IF((E216="h"),H216," ")</f>
        <v> </v>
      </c>
      <c r="AC216" s="30" t="str">
        <f aca="false">IF((E216="v"),H216," ")</f>
        <v> </v>
      </c>
      <c r="AD216" s="30" t="str">
        <f aca="false">IF((E216="n"),H216," ")</f>
        <v> </v>
      </c>
      <c r="AE216" s="17" t="str">
        <f aca="false">IF((E216="f"),H216," ")</f>
        <v> </v>
      </c>
      <c r="AF216" s="17" t="str">
        <f aca="false">IF((E216="l"),H216," ")</f>
        <v> </v>
      </c>
      <c r="AG216" s="17" t="str">
        <f aca="false">IF((E216="y"),H216," ")</f>
        <v> </v>
      </c>
      <c r="AH216" s="17" t="str">
        <f aca="false">IF((E216="z"),H216," ")</f>
        <v> </v>
      </c>
      <c r="AI216" s="17" t="str">
        <f aca="false">IF((E216="fa"),H216," ")</f>
        <v> </v>
      </c>
      <c r="AJ216" s="17" t="str">
        <f aca="false">IF((E216="e"),H216," ")</f>
        <v> </v>
      </c>
    </row>
    <row r="217" customFormat="false" ht="12" hidden="false" customHeight="false" outlineLevel="0" collapsed="false">
      <c r="A217" s="28"/>
      <c r="E217" s="2" t="str">
        <f aca="false">IF((F217&lt;&gt;0),"Enter Letter"," ")</f>
        <v> </v>
      </c>
      <c r="F217" s="30"/>
      <c r="G217" s="6" t="str">
        <f aca="false">IF(F217&lt;&gt;0,F217*G$2/(100+G$2)," ")</f>
        <v> </v>
      </c>
      <c r="H217" s="6" t="str">
        <f aca="false">IF((F217&lt;&gt;0),F217-G217," ")</f>
        <v> </v>
      </c>
      <c r="I217" s="5"/>
      <c r="L217" s="7" t="str">
        <f aca="false">IF(F217&lt;&gt;0,F217-K217," ")</f>
        <v> </v>
      </c>
      <c r="M217" s="8" t="str">
        <f aca="false">IF((F217-K217)&lt;&gt;0,M$1-A217," ")</f>
        <v> </v>
      </c>
      <c r="N217" s="5"/>
      <c r="O217" s="17" t="str">
        <f aca="false">IF((E217="s"),H217," ")</f>
        <v> </v>
      </c>
      <c r="P217" s="17" t="str">
        <f aca="false">IF((E217="c"),H217," ")</f>
        <v> </v>
      </c>
      <c r="Q217" s="17" t="str">
        <f aca="false">IF((E217="o"),H217," ")</f>
        <v> </v>
      </c>
      <c r="R217" s="17" t="str">
        <f aca="false">IF((E217="d"),H217," ")</f>
        <v> </v>
      </c>
      <c r="S217" s="17" t="str">
        <f aca="false">IF((E217="w"),H217," ")</f>
        <v> </v>
      </c>
      <c r="T217" s="17" t="str">
        <f aca="false">IF((E217="r"),H217," ")</f>
        <v> </v>
      </c>
      <c r="U217" s="17" t="str">
        <f aca="false">IF((E217="p"),H217," ")</f>
        <v> </v>
      </c>
      <c r="V217" s="17" t="str">
        <f aca="false">IF((E217="t"),H217," ")</f>
        <v> </v>
      </c>
      <c r="W217" s="17" t="str">
        <f aca="false">IF((E217="q"),H217," ")</f>
        <v> </v>
      </c>
      <c r="X217" s="17" t="str">
        <f aca="false">IF((E217="m"),H217," ")</f>
        <v> </v>
      </c>
      <c r="Y217" s="17" t="str">
        <f aca="false">IF((E217="u"),H217," ")</f>
        <v> </v>
      </c>
      <c r="Z217" s="17" t="str">
        <f aca="false">IF((E217="a"),H217," ")</f>
        <v> </v>
      </c>
      <c r="AA217" s="17" t="str">
        <f aca="false">IF((E217="g"),H217," ")</f>
        <v> </v>
      </c>
      <c r="AB217" s="17" t="str">
        <f aca="false">IF((E217="h"),H217," ")</f>
        <v> </v>
      </c>
      <c r="AC217" s="30" t="str">
        <f aca="false">IF((E217="v"),H217," ")</f>
        <v> </v>
      </c>
      <c r="AD217" s="30" t="str">
        <f aca="false">IF((E217="n"),H217," ")</f>
        <v> </v>
      </c>
      <c r="AE217" s="17" t="str">
        <f aca="false">IF((E217="f"),H217," ")</f>
        <v> </v>
      </c>
      <c r="AF217" s="17" t="str">
        <f aca="false">IF((E217="l"),H217," ")</f>
        <v> </v>
      </c>
      <c r="AG217" s="17" t="str">
        <f aca="false">IF((E217="y"),H217," ")</f>
        <v> </v>
      </c>
      <c r="AH217" s="17" t="str">
        <f aca="false">IF((E217="z"),H217," ")</f>
        <v> </v>
      </c>
      <c r="AI217" s="17" t="str">
        <f aca="false">IF((E217="fa"),H217," ")</f>
        <v> </v>
      </c>
      <c r="AJ217" s="17" t="str">
        <f aca="false">IF((E217="e"),H217," ")</f>
        <v> </v>
      </c>
    </row>
    <row r="218" customFormat="false" ht="12" hidden="false" customHeight="false" outlineLevel="0" collapsed="false">
      <c r="A218" s="28"/>
      <c r="E218" s="2" t="str">
        <f aca="false">IF((F218&lt;&gt;0),"Enter Letter"," ")</f>
        <v> </v>
      </c>
      <c r="F218" s="30"/>
      <c r="G218" s="6" t="str">
        <f aca="false">IF(F218&lt;&gt;0,F218*G$2/(100+G$2)," ")</f>
        <v> </v>
      </c>
      <c r="H218" s="6" t="str">
        <f aca="false">IF((F218&lt;&gt;0),F218-G218," ")</f>
        <v> </v>
      </c>
      <c r="I218" s="5"/>
      <c r="L218" s="7" t="str">
        <f aca="false">IF(F218&lt;&gt;0,F218-K218," ")</f>
        <v> </v>
      </c>
      <c r="M218" s="8" t="str">
        <f aca="false">IF((F218-K218)&lt;&gt;0,M$1-A218," ")</f>
        <v> </v>
      </c>
      <c r="N218" s="5"/>
      <c r="O218" s="17" t="str">
        <f aca="false">IF((E218="s"),H218," ")</f>
        <v> </v>
      </c>
      <c r="P218" s="17" t="str">
        <f aca="false">IF((E218="c"),H218," ")</f>
        <v> </v>
      </c>
      <c r="Q218" s="17" t="str">
        <f aca="false">IF((E218="o"),H218," ")</f>
        <v> </v>
      </c>
      <c r="R218" s="17" t="str">
        <f aca="false">IF((E218="d"),H218," ")</f>
        <v> </v>
      </c>
      <c r="S218" s="17" t="str">
        <f aca="false">IF((E218="w"),H218," ")</f>
        <v> </v>
      </c>
      <c r="T218" s="17" t="str">
        <f aca="false">IF((E218="r"),H218," ")</f>
        <v> </v>
      </c>
      <c r="U218" s="17" t="str">
        <f aca="false">IF((E218="p"),H218," ")</f>
        <v> </v>
      </c>
      <c r="V218" s="17" t="str">
        <f aca="false">IF((E218="t"),H218," ")</f>
        <v> </v>
      </c>
      <c r="W218" s="17" t="str">
        <f aca="false">IF((E218="q"),H218," ")</f>
        <v> </v>
      </c>
      <c r="X218" s="17" t="str">
        <f aca="false">IF((E218="m"),H218," ")</f>
        <v> </v>
      </c>
      <c r="Y218" s="17" t="str">
        <f aca="false">IF((E218="u"),H218," ")</f>
        <v> </v>
      </c>
      <c r="Z218" s="17" t="str">
        <f aca="false">IF((E218="a"),H218," ")</f>
        <v> </v>
      </c>
      <c r="AA218" s="17" t="str">
        <f aca="false">IF((E218="g"),H218," ")</f>
        <v> </v>
      </c>
      <c r="AB218" s="17" t="str">
        <f aca="false">IF((E218="h"),H218," ")</f>
        <v> </v>
      </c>
      <c r="AC218" s="30" t="str">
        <f aca="false">IF((E218="v"),H218," ")</f>
        <v> </v>
      </c>
      <c r="AD218" s="30" t="str">
        <f aca="false">IF((E218="n"),H218," ")</f>
        <v> </v>
      </c>
      <c r="AE218" s="17" t="str">
        <f aca="false">IF((E218="f"),H218," ")</f>
        <v> </v>
      </c>
      <c r="AF218" s="17" t="str">
        <f aca="false">IF((E218="l"),H218," ")</f>
        <v> </v>
      </c>
      <c r="AG218" s="17" t="str">
        <f aca="false">IF((E218="y"),H218," ")</f>
        <v> </v>
      </c>
      <c r="AH218" s="17" t="str">
        <f aca="false">IF((E218="z"),H218," ")</f>
        <v> </v>
      </c>
      <c r="AI218" s="17" t="str">
        <f aca="false">IF((E218="fa"),H218," ")</f>
        <v> </v>
      </c>
      <c r="AJ218" s="17" t="str">
        <f aca="false">IF((E218="e"),H218," ")</f>
        <v> </v>
      </c>
    </row>
    <row r="219" customFormat="false" ht="12" hidden="false" customHeight="false" outlineLevel="0" collapsed="false">
      <c r="A219" s="28"/>
      <c r="E219" s="2" t="str">
        <f aca="false">IF((F219&lt;&gt;0),"Enter Letter"," ")</f>
        <v> </v>
      </c>
      <c r="F219" s="30"/>
      <c r="G219" s="6" t="str">
        <f aca="false">IF(F219&lt;&gt;0,F219*G$2/(100+G$2)," ")</f>
        <v> </v>
      </c>
      <c r="H219" s="6" t="str">
        <f aca="false">IF((F219&lt;&gt;0),F219-G219," ")</f>
        <v> </v>
      </c>
      <c r="I219" s="5"/>
      <c r="L219" s="7" t="str">
        <f aca="false">IF(F219&lt;&gt;0,F219-K219," ")</f>
        <v> </v>
      </c>
      <c r="M219" s="8" t="str">
        <f aca="false">IF((F219-K219)&lt;&gt;0,M$1-A219," ")</f>
        <v> </v>
      </c>
      <c r="N219" s="5"/>
      <c r="O219" s="17" t="str">
        <f aca="false">IF((E219="s"),H219," ")</f>
        <v> </v>
      </c>
      <c r="P219" s="17" t="str">
        <f aca="false">IF((E219="c"),H219," ")</f>
        <v> </v>
      </c>
      <c r="Q219" s="17" t="str">
        <f aca="false">IF((E219="o"),H219," ")</f>
        <v> </v>
      </c>
      <c r="R219" s="17" t="str">
        <f aca="false">IF((E219="d"),H219," ")</f>
        <v> </v>
      </c>
      <c r="S219" s="17" t="str">
        <f aca="false">IF((E219="w"),H219," ")</f>
        <v> </v>
      </c>
      <c r="T219" s="17" t="str">
        <f aca="false">IF((E219="r"),H219," ")</f>
        <v> </v>
      </c>
      <c r="U219" s="17" t="str">
        <f aca="false">IF((E219="p"),H219," ")</f>
        <v> </v>
      </c>
      <c r="V219" s="17" t="str">
        <f aca="false">IF((E219="t"),H219," ")</f>
        <v> </v>
      </c>
      <c r="W219" s="17" t="str">
        <f aca="false">IF((E219="q"),H219," ")</f>
        <v> </v>
      </c>
      <c r="X219" s="17" t="str">
        <f aca="false">IF((E219="m"),H219," ")</f>
        <v> </v>
      </c>
      <c r="Y219" s="17" t="str">
        <f aca="false">IF((E219="u"),H219," ")</f>
        <v> </v>
      </c>
      <c r="Z219" s="17" t="str">
        <f aca="false">IF((E219="a"),H219," ")</f>
        <v> </v>
      </c>
      <c r="AA219" s="17" t="str">
        <f aca="false">IF((E219="g"),H219," ")</f>
        <v> </v>
      </c>
      <c r="AB219" s="17" t="str">
        <f aca="false">IF((E219="h"),H219," ")</f>
        <v> </v>
      </c>
      <c r="AC219" s="30" t="str">
        <f aca="false">IF((E219="v"),H219," ")</f>
        <v> </v>
      </c>
      <c r="AD219" s="30" t="str">
        <f aca="false">IF((E219="n"),H219," ")</f>
        <v> </v>
      </c>
      <c r="AE219" s="17" t="str">
        <f aca="false">IF((E219="f"),H219," ")</f>
        <v> </v>
      </c>
      <c r="AF219" s="17" t="str">
        <f aca="false">IF((E219="l"),H219," ")</f>
        <v> </v>
      </c>
      <c r="AG219" s="17" t="str">
        <f aca="false">IF((E219="y"),H219," ")</f>
        <v> </v>
      </c>
      <c r="AH219" s="17" t="str">
        <f aca="false">IF((E219="z"),H219," ")</f>
        <v> </v>
      </c>
      <c r="AI219" s="17" t="str">
        <f aca="false">IF((E219="fa"),H219," ")</f>
        <v> </v>
      </c>
      <c r="AJ219" s="17" t="str">
        <f aca="false">IF((E219="e"),H219," ")</f>
        <v> </v>
      </c>
    </row>
    <row r="220" customFormat="false" ht="12" hidden="false" customHeight="false" outlineLevel="0" collapsed="false">
      <c r="A220" s="28"/>
      <c r="E220" s="2" t="str">
        <f aca="false">IF((F220&lt;&gt;0),"Enter Letter"," ")</f>
        <v> </v>
      </c>
      <c r="F220" s="30"/>
      <c r="G220" s="6" t="str">
        <f aca="false">IF(F220&lt;&gt;0,F220*G$2/(100+G$2)," ")</f>
        <v> </v>
      </c>
      <c r="H220" s="6" t="str">
        <f aca="false">IF((F220&lt;&gt;0),F220-G220," ")</f>
        <v> </v>
      </c>
      <c r="I220" s="5"/>
      <c r="L220" s="7" t="str">
        <f aca="false">IF(F220&lt;&gt;0,F220-K220," ")</f>
        <v> </v>
      </c>
      <c r="M220" s="8" t="str">
        <f aca="false">IF((F220-K220)&lt;&gt;0,M$1-A220," ")</f>
        <v> </v>
      </c>
      <c r="N220" s="5"/>
      <c r="O220" s="17" t="str">
        <f aca="false">IF((E220="s"),H220," ")</f>
        <v> </v>
      </c>
      <c r="P220" s="17" t="str">
        <f aca="false">IF((E220="c"),H220," ")</f>
        <v> </v>
      </c>
      <c r="Q220" s="17" t="str">
        <f aca="false">IF((E220="o"),H220," ")</f>
        <v> </v>
      </c>
      <c r="R220" s="17" t="str">
        <f aca="false">IF((E220="d"),H220," ")</f>
        <v> </v>
      </c>
      <c r="S220" s="17" t="str">
        <f aca="false">IF((E220="w"),H220," ")</f>
        <v> </v>
      </c>
      <c r="T220" s="17" t="str">
        <f aca="false">IF((E220="r"),H220," ")</f>
        <v> </v>
      </c>
      <c r="U220" s="17" t="str">
        <f aca="false">IF((E220="p"),H220," ")</f>
        <v> </v>
      </c>
      <c r="V220" s="17" t="str">
        <f aca="false">IF((E220="t"),H220," ")</f>
        <v> </v>
      </c>
      <c r="W220" s="17" t="str">
        <f aca="false">IF((E220="q"),H220," ")</f>
        <v> </v>
      </c>
      <c r="X220" s="17" t="str">
        <f aca="false">IF((E220="m"),H220," ")</f>
        <v> </v>
      </c>
      <c r="Y220" s="17" t="str">
        <f aca="false">IF((E220="u"),H220," ")</f>
        <v> </v>
      </c>
      <c r="Z220" s="17" t="str">
        <f aca="false">IF((E220="a"),H220," ")</f>
        <v> </v>
      </c>
      <c r="AA220" s="17" t="str">
        <f aca="false">IF((E220="g"),H220," ")</f>
        <v> </v>
      </c>
      <c r="AB220" s="17" t="str">
        <f aca="false">IF((E220="h"),H220," ")</f>
        <v> </v>
      </c>
      <c r="AC220" s="30" t="str">
        <f aca="false">IF((E220="v"),H220," ")</f>
        <v> </v>
      </c>
      <c r="AD220" s="30" t="str">
        <f aca="false">IF((E220="n"),H220," ")</f>
        <v> </v>
      </c>
      <c r="AE220" s="17" t="str">
        <f aca="false">IF((E220="f"),H220," ")</f>
        <v> </v>
      </c>
      <c r="AF220" s="17" t="str">
        <f aca="false">IF((E220="l"),H220," ")</f>
        <v> </v>
      </c>
      <c r="AG220" s="17" t="str">
        <f aca="false">IF((E220="y"),H220," ")</f>
        <v> </v>
      </c>
      <c r="AH220" s="17" t="str">
        <f aca="false">IF((E220="z"),H220," ")</f>
        <v> </v>
      </c>
      <c r="AI220" s="17" t="str">
        <f aca="false">IF((E220="fa"),H220," ")</f>
        <v> </v>
      </c>
      <c r="AJ220" s="17" t="str">
        <f aca="false">IF((E220="e"),H220," ")</f>
        <v> </v>
      </c>
    </row>
    <row r="221" customFormat="false" ht="12" hidden="false" customHeight="false" outlineLevel="0" collapsed="false">
      <c r="A221" s="28"/>
      <c r="E221" s="2" t="str">
        <f aca="false">IF((F221&lt;&gt;0),"Enter Letter"," ")</f>
        <v> </v>
      </c>
      <c r="F221" s="30"/>
      <c r="G221" s="6" t="str">
        <f aca="false">IF(F221&lt;&gt;0,F221*G$2/(100+G$2)," ")</f>
        <v> </v>
      </c>
      <c r="H221" s="6" t="str">
        <f aca="false">IF((F221&lt;&gt;0),F221-G221," ")</f>
        <v> </v>
      </c>
      <c r="I221" s="5"/>
      <c r="L221" s="7" t="str">
        <f aca="false">IF(F221&lt;&gt;0,F221-K221," ")</f>
        <v> </v>
      </c>
      <c r="M221" s="8" t="str">
        <f aca="false">IF((F221-K221)&lt;&gt;0,M$1-A221," ")</f>
        <v> </v>
      </c>
      <c r="N221" s="5"/>
      <c r="O221" s="17" t="str">
        <f aca="false">IF((E221="s"),H221," ")</f>
        <v> </v>
      </c>
      <c r="P221" s="17" t="str">
        <f aca="false">IF((E221="c"),H221," ")</f>
        <v> </v>
      </c>
      <c r="Q221" s="17" t="str">
        <f aca="false">IF((E221="o"),H221," ")</f>
        <v> </v>
      </c>
      <c r="R221" s="17" t="str">
        <f aca="false">IF((E221="d"),H221," ")</f>
        <v> </v>
      </c>
      <c r="S221" s="17" t="str">
        <f aca="false">IF((E221="w"),H221," ")</f>
        <v> </v>
      </c>
      <c r="T221" s="17" t="str">
        <f aca="false">IF((E221="r"),H221," ")</f>
        <v> </v>
      </c>
      <c r="U221" s="17" t="str">
        <f aca="false">IF((E221="p"),H221," ")</f>
        <v> </v>
      </c>
      <c r="V221" s="17" t="str">
        <f aca="false">IF((E221="t"),H221," ")</f>
        <v> </v>
      </c>
      <c r="W221" s="17" t="str">
        <f aca="false">IF((E221="q"),H221," ")</f>
        <v> </v>
      </c>
      <c r="X221" s="17" t="str">
        <f aca="false">IF((E221="m"),H221," ")</f>
        <v> </v>
      </c>
      <c r="Y221" s="17" t="str">
        <f aca="false">IF((E221="u"),H221," ")</f>
        <v> </v>
      </c>
      <c r="Z221" s="17" t="str">
        <f aca="false">IF((E221="a"),H221," ")</f>
        <v> </v>
      </c>
      <c r="AA221" s="17" t="str">
        <f aca="false">IF((E221="g"),H221," ")</f>
        <v> </v>
      </c>
      <c r="AB221" s="17" t="str">
        <f aca="false">IF((E221="h"),H221," ")</f>
        <v> </v>
      </c>
      <c r="AC221" s="30" t="str">
        <f aca="false">IF((E221="v"),H221," ")</f>
        <v> </v>
      </c>
      <c r="AD221" s="30" t="str">
        <f aca="false">IF((E221="n"),H221," ")</f>
        <v> </v>
      </c>
      <c r="AE221" s="17" t="str">
        <f aca="false">IF((E221="f"),H221," ")</f>
        <v> </v>
      </c>
      <c r="AF221" s="17" t="str">
        <f aca="false">IF((E221="l"),H221," ")</f>
        <v> </v>
      </c>
      <c r="AG221" s="17" t="str">
        <f aca="false">IF((E221="y"),H221," ")</f>
        <v> </v>
      </c>
      <c r="AH221" s="17" t="str">
        <f aca="false">IF((E221="z"),H221," ")</f>
        <v> </v>
      </c>
      <c r="AI221" s="17" t="str">
        <f aca="false">IF((E221="fa"),H221," ")</f>
        <v> </v>
      </c>
      <c r="AJ221" s="17" t="str">
        <f aca="false">IF((E221="e"),H221," ")</f>
        <v> </v>
      </c>
    </row>
    <row r="222" customFormat="false" ht="12" hidden="false" customHeight="false" outlineLevel="0" collapsed="false">
      <c r="A222" s="28"/>
      <c r="E222" s="2" t="str">
        <f aca="false">IF((F222&lt;&gt;0),"Enter Letter"," ")</f>
        <v> </v>
      </c>
      <c r="F222" s="30"/>
      <c r="G222" s="6" t="str">
        <f aca="false">IF(F222&lt;&gt;0,F222*G$2/(100+G$2)," ")</f>
        <v> </v>
      </c>
      <c r="H222" s="6" t="str">
        <f aca="false">IF((F222&lt;&gt;0),F222-G222," ")</f>
        <v> </v>
      </c>
      <c r="I222" s="5"/>
      <c r="L222" s="7" t="str">
        <f aca="false">IF(F222&lt;&gt;0,F222-K222," ")</f>
        <v> </v>
      </c>
      <c r="M222" s="8" t="str">
        <f aca="false">IF((F222-K222)&lt;&gt;0,M$1-A222," ")</f>
        <v> </v>
      </c>
      <c r="N222" s="5"/>
      <c r="O222" s="17" t="str">
        <f aca="false">IF((E222="s"),H222," ")</f>
        <v> </v>
      </c>
      <c r="P222" s="17" t="str">
        <f aca="false">IF((E222="c"),H222," ")</f>
        <v> </v>
      </c>
      <c r="Q222" s="17" t="str">
        <f aca="false">IF((E222="o"),H222," ")</f>
        <v> </v>
      </c>
      <c r="R222" s="17" t="str">
        <f aca="false">IF((E222="d"),H222," ")</f>
        <v> </v>
      </c>
      <c r="S222" s="17" t="str">
        <f aca="false">IF((E222="w"),H222," ")</f>
        <v> </v>
      </c>
      <c r="T222" s="17" t="str">
        <f aca="false">IF((E222="r"),H222," ")</f>
        <v> </v>
      </c>
      <c r="U222" s="17" t="str">
        <f aca="false">IF((E222="p"),H222," ")</f>
        <v> </v>
      </c>
      <c r="V222" s="17" t="str">
        <f aca="false">IF((E222="t"),H222," ")</f>
        <v> </v>
      </c>
      <c r="W222" s="17" t="str">
        <f aca="false">IF((E222="q"),H222," ")</f>
        <v> </v>
      </c>
      <c r="X222" s="17" t="str">
        <f aca="false">IF((E222="m"),H222," ")</f>
        <v> </v>
      </c>
      <c r="Y222" s="17" t="str">
        <f aca="false">IF((E222="u"),H222," ")</f>
        <v> </v>
      </c>
      <c r="Z222" s="17" t="str">
        <f aca="false">IF((E222="a"),H222," ")</f>
        <v> </v>
      </c>
      <c r="AA222" s="17" t="str">
        <f aca="false">IF((E222="g"),H222," ")</f>
        <v> </v>
      </c>
      <c r="AB222" s="17" t="str">
        <f aca="false">IF((E222="h"),H222," ")</f>
        <v> </v>
      </c>
      <c r="AC222" s="30" t="str">
        <f aca="false">IF((E222="v"),H222," ")</f>
        <v> </v>
      </c>
      <c r="AD222" s="30" t="str">
        <f aca="false">IF((E222="n"),H222," ")</f>
        <v> </v>
      </c>
      <c r="AE222" s="17" t="str">
        <f aca="false">IF((E222="f"),H222," ")</f>
        <v> </v>
      </c>
      <c r="AF222" s="17" t="str">
        <f aca="false">IF((E222="l"),H222," ")</f>
        <v> </v>
      </c>
      <c r="AG222" s="17" t="str">
        <f aca="false">IF((E222="y"),H222," ")</f>
        <v> </v>
      </c>
      <c r="AH222" s="17" t="str">
        <f aca="false">IF((E222="z"),H222," ")</f>
        <v> </v>
      </c>
      <c r="AI222" s="17" t="str">
        <f aca="false">IF((E222="fa"),H222," ")</f>
        <v> </v>
      </c>
      <c r="AJ222" s="17" t="str">
        <f aca="false">IF((E222="e"),H222," ")</f>
        <v> </v>
      </c>
    </row>
    <row r="223" customFormat="false" ht="12" hidden="false" customHeight="false" outlineLevel="0" collapsed="false">
      <c r="A223" s="28"/>
      <c r="E223" s="2" t="str">
        <f aca="false">IF((F223&lt;&gt;0),"Enter Letter"," ")</f>
        <v> </v>
      </c>
      <c r="F223" s="30"/>
      <c r="G223" s="6" t="str">
        <f aca="false">IF(F223&lt;&gt;0,F223*G$2/(100+G$2)," ")</f>
        <v> </v>
      </c>
      <c r="H223" s="6" t="str">
        <f aca="false">IF((F223&lt;&gt;0),F223-G223," ")</f>
        <v> </v>
      </c>
      <c r="I223" s="5"/>
      <c r="L223" s="7" t="str">
        <f aca="false">IF(F223&lt;&gt;0,F223-K223," ")</f>
        <v> </v>
      </c>
      <c r="M223" s="8" t="str">
        <f aca="false">IF((F223-K223)&lt;&gt;0,M$1-A223," ")</f>
        <v> </v>
      </c>
      <c r="N223" s="5"/>
      <c r="O223" s="17" t="str">
        <f aca="false">IF((E223="s"),H223," ")</f>
        <v> </v>
      </c>
      <c r="P223" s="17" t="str">
        <f aca="false">IF((E223="c"),H223," ")</f>
        <v> </v>
      </c>
      <c r="Q223" s="17" t="str">
        <f aca="false">IF((E223="o"),H223," ")</f>
        <v> </v>
      </c>
      <c r="R223" s="17" t="str">
        <f aca="false">IF((E223="d"),H223," ")</f>
        <v> </v>
      </c>
      <c r="S223" s="17" t="str">
        <f aca="false">IF((E223="w"),H223," ")</f>
        <v> </v>
      </c>
      <c r="T223" s="17" t="str">
        <f aca="false">IF((E223="r"),H223," ")</f>
        <v> </v>
      </c>
      <c r="U223" s="17" t="str">
        <f aca="false">IF((E223="p"),H223," ")</f>
        <v> </v>
      </c>
      <c r="V223" s="17" t="str">
        <f aca="false">IF((E223="t"),H223," ")</f>
        <v> </v>
      </c>
      <c r="W223" s="17" t="str">
        <f aca="false">IF((E223="q"),H223," ")</f>
        <v> </v>
      </c>
      <c r="X223" s="17" t="str">
        <f aca="false">IF((E223="m"),H223," ")</f>
        <v> </v>
      </c>
      <c r="Y223" s="17" t="str">
        <f aca="false">IF((E223="u"),H223," ")</f>
        <v> </v>
      </c>
      <c r="Z223" s="17" t="str">
        <f aca="false">IF((E223="a"),H223," ")</f>
        <v> </v>
      </c>
      <c r="AA223" s="17" t="str">
        <f aca="false">IF((E223="g"),H223," ")</f>
        <v> </v>
      </c>
      <c r="AB223" s="17" t="str">
        <f aca="false">IF((E223="h"),H223," ")</f>
        <v> </v>
      </c>
      <c r="AC223" s="30" t="str">
        <f aca="false">IF((E223="v"),H223," ")</f>
        <v> </v>
      </c>
      <c r="AD223" s="30" t="str">
        <f aca="false">IF((E223="n"),H223," ")</f>
        <v> </v>
      </c>
      <c r="AE223" s="17" t="str">
        <f aca="false">IF((E223="f"),H223," ")</f>
        <v> </v>
      </c>
      <c r="AF223" s="17" t="str">
        <f aca="false">IF((E223="l"),H223," ")</f>
        <v> </v>
      </c>
      <c r="AG223" s="17" t="str">
        <f aca="false">IF((E223="y"),H223," ")</f>
        <v> </v>
      </c>
      <c r="AH223" s="17" t="str">
        <f aca="false">IF((E223="z"),H223," ")</f>
        <v> </v>
      </c>
      <c r="AI223" s="17" t="str">
        <f aca="false">IF((E223="fa"),H223," ")</f>
        <v> </v>
      </c>
      <c r="AJ223" s="17" t="str">
        <f aca="false">IF((E223="e"),H223," ")</f>
        <v> </v>
      </c>
    </row>
    <row r="224" customFormat="false" ht="12" hidden="false" customHeight="false" outlineLevel="0" collapsed="false">
      <c r="A224" s="28"/>
      <c r="E224" s="2" t="str">
        <f aca="false">IF((F224&lt;&gt;0),"Enter Letter"," ")</f>
        <v> </v>
      </c>
      <c r="F224" s="30"/>
      <c r="G224" s="6" t="str">
        <f aca="false">IF(F224&lt;&gt;0,F224*G$2/(100+G$2)," ")</f>
        <v> </v>
      </c>
      <c r="H224" s="6" t="str">
        <f aca="false">IF((F224&lt;&gt;0),F224-G224," ")</f>
        <v> </v>
      </c>
      <c r="I224" s="5"/>
      <c r="L224" s="7" t="str">
        <f aca="false">IF(F224&lt;&gt;0,F224-K224," ")</f>
        <v> </v>
      </c>
      <c r="M224" s="8" t="str">
        <f aca="false">IF((F224-K224)&lt;&gt;0,M$1-A224," ")</f>
        <v> </v>
      </c>
      <c r="N224" s="5"/>
      <c r="O224" s="17" t="str">
        <f aca="false">IF((E224="s"),H224," ")</f>
        <v> </v>
      </c>
      <c r="P224" s="17" t="str">
        <f aca="false">IF((E224="c"),H224," ")</f>
        <v> </v>
      </c>
      <c r="Q224" s="17" t="str">
        <f aca="false">IF((E224="o"),H224," ")</f>
        <v> </v>
      </c>
      <c r="R224" s="17" t="str">
        <f aca="false">IF((E224="d"),H224," ")</f>
        <v> </v>
      </c>
      <c r="S224" s="17" t="str">
        <f aca="false">IF((E224="w"),H224," ")</f>
        <v> </v>
      </c>
      <c r="T224" s="17" t="str">
        <f aca="false">IF((E224="r"),H224," ")</f>
        <v> </v>
      </c>
      <c r="U224" s="17" t="str">
        <f aca="false">IF((E224="p"),H224," ")</f>
        <v> </v>
      </c>
      <c r="V224" s="17" t="str">
        <f aca="false">IF((E224="t"),H224," ")</f>
        <v> </v>
      </c>
      <c r="W224" s="17" t="str">
        <f aca="false">IF((E224="q"),H224," ")</f>
        <v> </v>
      </c>
      <c r="X224" s="17" t="str">
        <f aca="false">IF((E224="m"),H224," ")</f>
        <v> </v>
      </c>
      <c r="Y224" s="17" t="str">
        <f aca="false">IF((E224="u"),H224," ")</f>
        <v> </v>
      </c>
      <c r="Z224" s="17" t="str">
        <f aca="false">IF((E224="a"),H224," ")</f>
        <v> </v>
      </c>
      <c r="AA224" s="17" t="str">
        <f aca="false">IF((E224="g"),H224," ")</f>
        <v> </v>
      </c>
      <c r="AB224" s="17" t="str">
        <f aca="false">IF((E224="h"),H224," ")</f>
        <v> </v>
      </c>
      <c r="AC224" s="30" t="str">
        <f aca="false">IF((E224="v"),H224," ")</f>
        <v> </v>
      </c>
      <c r="AD224" s="30" t="str">
        <f aca="false">IF((E224="n"),H224," ")</f>
        <v> </v>
      </c>
      <c r="AE224" s="17" t="str">
        <f aca="false">IF((E224="f"),H224," ")</f>
        <v> </v>
      </c>
      <c r="AF224" s="17" t="str">
        <f aca="false">IF((E224="l"),H224," ")</f>
        <v> </v>
      </c>
      <c r="AG224" s="17" t="str">
        <f aca="false">IF((E224="y"),H224," ")</f>
        <v> </v>
      </c>
      <c r="AH224" s="17" t="str">
        <f aca="false">IF((E224="z"),H224," ")</f>
        <v> </v>
      </c>
      <c r="AI224" s="17" t="str">
        <f aca="false">IF((E224="fa"),H224," ")</f>
        <v> </v>
      </c>
      <c r="AJ224" s="17" t="str">
        <f aca="false">IF((E224="e"),H224," ")</f>
        <v> </v>
      </c>
    </row>
    <row r="225" customFormat="false" ht="12" hidden="false" customHeight="false" outlineLevel="0" collapsed="false">
      <c r="A225" s="28"/>
      <c r="E225" s="2" t="str">
        <f aca="false">IF((F225&lt;&gt;0),"Enter Letter"," ")</f>
        <v> </v>
      </c>
      <c r="F225" s="30"/>
      <c r="G225" s="6" t="str">
        <f aca="false">IF(F225&lt;&gt;0,F225*G$2/(100+G$2)," ")</f>
        <v> </v>
      </c>
      <c r="H225" s="6" t="str">
        <f aca="false">IF((F225&lt;&gt;0),F225-G225," ")</f>
        <v> </v>
      </c>
      <c r="I225" s="5"/>
      <c r="L225" s="7" t="str">
        <f aca="false">IF(F225&lt;&gt;0,F225-K225," ")</f>
        <v> </v>
      </c>
      <c r="M225" s="8" t="str">
        <f aca="false">IF((F225-K225)&lt;&gt;0,M$1-A225," ")</f>
        <v> </v>
      </c>
      <c r="N225" s="5"/>
      <c r="O225" s="17" t="str">
        <f aca="false">IF((E225="s"),H225," ")</f>
        <v> </v>
      </c>
      <c r="P225" s="17" t="str">
        <f aca="false">IF((E225="c"),H225," ")</f>
        <v> </v>
      </c>
      <c r="Q225" s="17" t="str">
        <f aca="false">IF((E225="o"),H225," ")</f>
        <v> </v>
      </c>
      <c r="R225" s="17" t="str">
        <f aca="false">IF((E225="d"),H225," ")</f>
        <v> </v>
      </c>
      <c r="S225" s="17" t="str">
        <f aca="false">IF((E225="w"),H225," ")</f>
        <v> </v>
      </c>
      <c r="T225" s="17" t="str">
        <f aca="false">IF((E225="r"),H225," ")</f>
        <v> </v>
      </c>
      <c r="U225" s="17" t="str">
        <f aca="false">IF((E225="p"),H225," ")</f>
        <v> </v>
      </c>
      <c r="V225" s="17" t="str">
        <f aca="false">IF((E225="t"),H225," ")</f>
        <v> </v>
      </c>
      <c r="W225" s="17" t="str">
        <f aca="false">IF((E225="q"),H225," ")</f>
        <v> </v>
      </c>
      <c r="X225" s="17" t="str">
        <f aca="false">IF((E225="m"),H225," ")</f>
        <v> </v>
      </c>
      <c r="Y225" s="17" t="str">
        <f aca="false">IF((E225="u"),H225," ")</f>
        <v> </v>
      </c>
      <c r="Z225" s="17" t="str">
        <f aca="false">IF((E225="a"),H225," ")</f>
        <v> </v>
      </c>
      <c r="AA225" s="17" t="str">
        <f aca="false">IF((E225="g"),H225," ")</f>
        <v> </v>
      </c>
      <c r="AB225" s="17" t="str">
        <f aca="false">IF((E225="h"),H225," ")</f>
        <v> </v>
      </c>
      <c r="AC225" s="30" t="str">
        <f aca="false">IF((E225="v"),H225," ")</f>
        <v> </v>
      </c>
      <c r="AD225" s="30" t="str">
        <f aca="false">IF((E225="n"),H225," ")</f>
        <v> </v>
      </c>
      <c r="AE225" s="17" t="str">
        <f aca="false">IF((E225="f"),H225," ")</f>
        <v> </v>
      </c>
      <c r="AF225" s="17" t="str">
        <f aca="false">IF((E225="l"),H225," ")</f>
        <v> </v>
      </c>
      <c r="AG225" s="17" t="str">
        <f aca="false">IF((E225="y"),H225," ")</f>
        <v> </v>
      </c>
      <c r="AH225" s="17" t="str">
        <f aca="false">IF((E225="z"),H225," ")</f>
        <v> </v>
      </c>
      <c r="AI225" s="17" t="str">
        <f aca="false">IF((E225="fa"),H225," ")</f>
        <v> </v>
      </c>
      <c r="AJ225" s="17" t="str">
        <f aca="false">IF((E225="e"),H225," ")</f>
        <v> </v>
      </c>
    </row>
    <row r="226" customFormat="false" ht="12" hidden="false" customHeight="false" outlineLevel="0" collapsed="false">
      <c r="A226" s="28"/>
      <c r="E226" s="2" t="str">
        <f aca="false">IF((F226&lt;&gt;0),"Enter Letter"," ")</f>
        <v> </v>
      </c>
      <c r="F226" s="30"/>
      <c r="G226" s="6" t="str">
        <f aca="false">IF(F226&lt;&gt;0,F226*G$2/(100+G$2)," ")</f>
        <v> </v>
      </c>
      <c r="H226" s="6" t="str">
        <f aca="false">IF((F226&lt;&gt;0),F226-G226," ")</f>
        <v> </v>
      </c>
      <c r="I226" s="5"/>
      <c r="L226" s="7" t="str">
        <f aca="false">IF(F226&lt;&gt;0,F226-K226," ")</f>
        <v> </v>
      </c>
      <c r="M226" s="8" t="str">
        <f aca="false">IF((F226-K226)&lt;&gt;0,M$1-A226," ")</f>
        <v> </v>
      </c>
      <c r="N226" s="5"/>
      <c r="O226" s="17" t="str">
        <f aca="false">IF((E226="s"),H226," ")</f>
        <v> </v>
      </c>
      <c r="P226" s="17" t="str">
        <f aca="false">IF((E226="c"),H226," ")</f>
        <v> </v>
      </c>
      <c r="Q226" s="17" t="str">
        <f aca="false">IF((E226="o"),H226," ")</f>
        <v> </v>
      </c>
      <c r="R226" s="17" t="str">
        <f aca="false">IF((E226="d"),H226," ")</f>
        <v> </v>
      </c>
      <c r="S226" s="17" t="str">
        <f aca="false">IF((E226="w"),H226," ")</f>
        <v> </v>
      </c>
      <c r="T226" s="17" t="str">
        <f aca="false">IF((E226="r"),H226," ")</f>
        <v> </v>
      </c>
      <c r="U226" s="17" t="str">
        <f aca="false">IF((E226="p"),H226," ")</f>
        <v> </v>
      </c>
      <c r="V226" s="17" t="str">
        <f aca="false">IF((E226="t"),H226," ")</f>
        <v> </v>
      </c>
      <c r="W226" s="17" t="str">
        <f aca="false">IF((E226="q"),H226," ")</f>
        <v> </v>
      </c>
      <c r="X226" s="17" t="str">
        <f aca="false">IF((E226="m"),H226," ")</f>
        <v> </v>
      </c>
      <c r="Y226" s="17" t="str">
        <f aca="false">IF((E226="u"),H226," ")</f>
        <v> </v>
      </c>
      <c r="Z226" s="17" t="str">
        <f aca="false">IF((E226="a"),H226," ")</f>
        <v> </v>
      </c>
      <c r="AA226" s="17" t="str">
        <f aca="false">IF((E226="g"),H226," ")</f>
        <v> </v>
      </c>
      <c r="AB226" s="17" t="str">
        <f aca="false">IF((E226="h"),H226," ")</f>
        <v> </v>
      </c>
      <c r="AC226" s="30" t="str">
        <f aca="false">IF((E226="v"),H226," ")</f>
        <v> </v>
      </c>
      <c r="AD226" s="30" t="str">
        <f aca="false">IF((E226="n"),H226," ")</f>
        <v> </v>
      </c>
      <c r="AE226" s="17" t="str">
        <f aca="false">IF((E226="f"),H226," ")</f>
        <v> </v>
      </c>
      <c r="AF226" s="17" t="str">
        <f aca="false">IF((E226="l"),H226," ")</f>
        <v> </v>
      </c>
      <c r="AG226" s="17" t="str">
        <f aca="false">IF((E226="y"),H226," ")</f>
        <v> </v>
      </c>
      <c r="AH226" s="17" t="str">
        <f aca="false">IF((E226="z"),H226," ")</f>
        <v> </v>
      </c>
      <c r="AI226" s="17" t="str">
        <f aca="false">IF((E226="fa"),H226," ")</f>
        <v> </v>
      </c>
      <c r="AJ226" s="17" t="str">
        <f aca="false">IF((E226="e"),H226," ")</f>
        <v> </v>
      </c>
    </row>
    <row r="227" customFormat="false" ht="12" hidden="false" customHeight="false" outlineLevel="0" collapsed="false">
      <c r="A227" s="28"/>
      <c r="E227" s="2" t="str">
        <f aca="false">IF((F227&lt;&gt;0),"Enter Letter"," ")</f>
        <v> </v>
      </c>
      <c r="F227" s="30"/>
      <c r="G227" s="6" t="str">
        <f aca="false">IF(F227&lt;&gt;0,F227*G$2/(100+G$2)," ")</f>
        <v> </v>
      </c>
      <c r="H227" s="6" t="str">
        <f aca="false">IF((F227&lt;&gt;0),F227-G227," ")</f>
        <v> </v>
      </c>
      <c r="I227" s="5"/>
      <c r="L227" s="7" t="str">
        <f aca="false">IF(F227&lt;&gt;0,F227-K227," ")</f>
        <v> </v>
      </c>
      <c r="M227" s="8" t="str">
        <f aca="false">IF((F227-K227)&lt;&gt;0,M$1-A227," ")</f>
        <v> </v>
      </c>
      <c r="N227" s="5"/>
      <c r="O227" s="17" t="str">
        <f aca="false">IF((E227="s"),H227," ")</f>
        <v> </v>
      </c>
      <c r="P227" s="17" t="str">
        <f aca="false">IF((E227="c"),H227," ")</f>
        <v> </v>
      </c>
      <c r="Q227" s="17" t="str">
        <f aca="false">IF((E227="o"),H227," ")</f>
        <v> </v>
      </c>
      <c r="R227" s="17" t="str">
        <f aca="false">IF((E227="d"),H227," ")</f>
        <v> </v>
      </c>
      <c r="S227" s="17" t="str">
        <f aca="false">IF((E227="w"),H227," ")</f>
        <v> </v>
      </c>
      <c r="T227" s="17" t="str">
        <f aca="false">IF((E227="r"),H227," ")</f>
        <v> </v>
      </c>
      <c r="U227" s="17" t="str">
        <f aca="false">IF((E227="p"),H227," ")</f>
        <v> </v>
      </c>
      <c r="V227" s="17" t="str">
        <f aca="false">IF((E227="t"),H227," ")</f>
        <v> </v>
      </c>
      <c r="W227" s="17" t="str">
        <f aca="false">IF((E227="q"),H227," ")</f>
        <v> </v>
      </c>
      <c r="X227" s="17" t="str">
        <f aca="false">IF((E227="m"),H227," ")</f>
        <v> </v>
      </c>
      <c r="Y227" s="17" t="str">
        <f aca="false">IF((E227="u"),H227," ")</f>
        <v> </v>
      </c>
      <c r="Z227" s="17" t="str">
        <f aca="false">IF((E227="a"),H227," ")</f>
        <v> </v>
      </c>
      <c r="AA227" s="17" t="str">
        <f aca="false">IF((E227="g"),H227," ")</f>
        <v> </v>
      </c>
      <c r="AB227" s="17" t="str">
        <f aca="false">IF((E227="h"),H227," ")</f>
        <v> </v>
      </c>
      <c r="AC227" s="30" t="str">
        <f aca="false">IF((E227="v"),H227," ")</f>
        <v> </v>
      </c>
      <c r="AD227" s="30" t="str">
        <f aca="false">IF((E227="n"),H227," ")</f>
        <v> </v>
      </c>
      <c r="AE227" s="17" t="str">
        <f aca="false">IF((E227="f"),H227," ")</f>
        <v> </v>
      </c>
      <c r="AF227" s="17" t="str">
        <f aca="false">IF((E227="l"),H227," ")</f>
        <v> </v>
      </c>
      <c r="AG227" s="17" t="str">
        <f aca="false">IF((E227="y"),H227," ")</f>
        <v> </v>
      </c>
      <c r="AH227" s="17" t="str">
        <f aca="false">IF((E227="z"),H227," ")</f>
        <v> </v>
      </c>
      <c r="AI227" s="17" t="str">
        <f aca="false">IF((E227="fa"),H227," ")</f>
        <v> </v>
      </c>
      <c r="AJ227" s="17" t="str">
        <f aca="false">IF((E227="e"),H227," ")</f>
        <v> </v>
      </c>
    </row>
    <row r="228" customFormat="false" ht="12" hidden="false" customHeight="false" outlineLevel="0" collapsed="false">
      <c r="A228" s="28"/>
      <c r="E228" s="2" t="str">
        <f aca="false">IF((F228&lt;&gt;0),"Enter Letter"," ")</f>
        <v> </v>
      </c>
      <c r="F228" s="30"/>
      <c r="G228" s="6" t="str">
        <f aca="false">IF(F228&lt;&gt;0,F228*G$2/(100+G$2)," ")</f>
        <v> </v>
      </c>
      <c r="H228" s="6" t="str">
        <f aca="false">IF((F228&lt;&gt;0),F228-G228," ")</f>
        <v> </v>
      </c>
      <c r="I228" s="5"/>
      <c r="L228" s="7" t="str">
        <f aca="false">IF(F228&lt;&gt;0,F228-K228," ")</f>
        <v> </v>
      </c>
      <c r="M228" s="8" t="str">
        <f aca="false">IF((F228-K228)&lt;&gt;0,M$1-A228," ")</f>
        <v> </v>
      </c>
      <c r="N228" s="5"/>
      <c r="O228" s="17" t="str">
        <f aca="false">IF((E228="s"),H228," ")</f>
        <v> </v>
      </c>
      <c r="P228" s="17" t="str">
        <f aca="false">IF((E228="c"),H228," ")</f>
        <v> </v>
      </c>
      <c r="Q228" s="17" t="str">
        <f aca="false">IF((E228="o"),H228," ")</f>
        <v> </v>
      </c>
      <c r="R228" s="17" t="str">
        <f aca="false">IF((E228="d"),H228," ")</f>
        <v> </v>
      </c>
      <c r="S228" s="17" t="str">
        <f aca="false">IF((E228="w"),H228," ")</f>
        <v> </v>
      </c>
      <c r="T228" s="17" t="str">
        <f aca="false">IF((E228="r"),H228," ")</f>
        <v> </v>
      </c>
      <c r="U228" s="17" t="str">
        <f aca="false">IF((E228="p"),H228," ")</f>
        <v> </v>
      </c>
      <c r="V228" s="17" t="str">
        <f aca="false">IF((E228="t"),H228," ")</f>
        <v> </v>
      </c>
      <c r="W228" s="17" t="str">
        <f aca="false">IF((E228="q"),H228," ")</f>
        <v> </v>
      </c>
      <c r="X228" s="17" t="str">
        <f aca="false">IF((E228="m"),H228," ")</f>
        <v> </v>
      </c>
      <c r="Y228" s="17" t="str">
        <f aca="false">IF((E228="u"),H228," ")</f>
        <v> </v>
      </c>
      <c r="Z228" s="17" t="str">
        <f aca="false">IF((E228="a"),H228," ")</f>
        <v> </v>
      </c>
      <c r="AA228" s="17" t="str">
        <f aca="false">IF((E228="g"),H228," ")</f>
        <v> </v>
      </c>
      <c r="AB228" s="17" t="str">
        <f aca="false">IF((E228="h"),H228," ")</f>
        <v> </v>
      </c>
      <c r="AC228" s="30" t="str">
        <f aca="false">IF((E228="v"),H228," ")</f>
        <v> </v>
      </c>
      <c r="AD228" s="30" t="str">
        <f aca="false">IF((E228="n"),H228," ")</f>
        <v> </v>
      </c>
      <c r="AE228" s="17" t="str">
        <f aca="false">IF((E228="f"),H228," ")</f>
        <v> </v>
      </c>
      <c r="AF228" s="17" t="str">
        <f aca="false">IF((E228="l"),H228," ")</f>
        <v> </v>
      </c>
      <c r="AG228" s="17" t="str">
        <f aca="false">IF((E228="y"),H228," ")</f>
        <v> </v>
      </c>
      <c r="AH228" s="17" t="str">
        <f aca="false">IF((E228="z"),H228," ")</f>
        <v> </v>
      </c>
      <c r="AI228" s="17" t="str">
        <f aca="false">IF((E228="fa"),H228," ")</f>
        <v> </v>
      </c>
      <c r="AJ228" s="17" t="str">
        <f aca="false">IF((E228="e"),H228," ")</f>
        <v> </v>
      </c>
    </row>
    <row r="229" customFormat="false" ht="12" hidden="false" customHeight="false" outlineLevel="0" collapsed="false">
      <c r="A229" s="28"/>
      <c r="E229" s="2" t="str">
        <f aca="false">IF((F229&lt;&gt;0),"Enter Letter"," ")</f>
        <v> </v>
      </c>
      <c r="F229" s="30"/>
      <c r="G229" s="6" t="str">
        <f aca="false">IF(F229&lt;&gt;0,F229*G$2/(100+G$2)," ")</f>
        <v> </v>
      </c>
      <c r="H229" s="6" t="str">
        <f aca="false">IF((F229&lt;&gt;0),F229-G229," ")</f>
        <v> </v>
      </c>
      <c r="I229" s="5"/>
      <c r="L229" s="7" t="str">
        <f aca="false">IF(F229&lt;&gt;0,F229-K229," ")</f>
        <v> </v>
      </c>
      <c r="M229" s="8" t="str">
        <f aca="false">IF((F229-K229)&lt;&gt;0,M$1-A229," ")</f>
        <v> </v>
      </c>
      <c r="N229" s="5"/>
      <c r="O229" s="17" t="str">
        <f aca="false">IF((E229="s"),H229," ")</f>
        <v> </v>
      </c>
      <c r="P229" s="17" t="str">
        <f aca="false">IF((E229="c"),H229," ")</f>
        <v> </v>
      </c>
      <c r="Q229" s="17" t="str">
        <f aca="false">IF((E229="o"),H229," ")</f>
        <v> </v>
      </c>
      <c r="R229" s="17" t="str">
        <f aca="false">IF((E229="d"),H229," ")</f>
        <v> </v>
      </c>
      <c r="S229" s="17" t="str">
        <f aca="false">IF((E229="w"),H229," ")</f>
        <v> </v>
      </c>
      <c r="T229" s="17" t="str">
        <f aca="false">IF((E229="r"),H229," ")</f>
        <v> </v>
      </c>
      <c r="U229" s="17" t="str">
        <f aca="false">IF((E229="p"),H229," ")</f>
        <v> </v>
      </c>
      <c r="V229" s="17" t="str">
        <f aca="false">IF((E229="t"),H229," ")</f>
        <v> </v>
      </c>
      <c r="W229" s="17" t="str">
        <f aca="false">IF((E229="q"),H229," ")</f>
        <v> </v>
      </c>
      <c r="X229" s="17" t="str">
        <f aca="false">IF((E229="m"),H229," ")</f>
        <v> </v>
      </c>
      <c r="Y229" s="17" t="str">
        <f aca="false">IF((E229="u"),H229," ")</f>
        <v> </v>
      </c>
      <c r="Z229" s="17" t="str">
        <f aca="false">IF((E229="a"),H229," ")</f>
        <v> </v>
      </c>
      <c r="AA229" s="17" t="str">
        <f aca="false">IF((E229="g"),H229," ")</f>
        <v> </v>
      </c>
      <c r="AB229" s="17" t="str">
        <f aca="false">IF((E229="h"),H229," ")</f>
        <v> </v>
      </c>
      <c r="AC229" s="30" t="str">
        <f aca="false">IF((E229="v"),H229," ")</f>
        <v> </v>
      </c>
      <c r="AD229" s="30" t="str">
        <f aca="false">IF((E229="n"),H229," ")</f>
        <v> </v>
      </c>
      <c r="AE229" s="17" t="str">
        <f aca="false">IF((E229="f"),H229," ")</f>
        <v> </v>
      </c>
      <c r="AF229" s="17" t="str">
        <f aca="false">IF((E229="l"),H229," ")</f>
        <v> </v>
      </c>
      <c r="AG229" s="17" t="str">
        <f aca="false">IF((E229="y"),H229," ")</f>
        <v> </v>
      </c>
      <c r="AH229" s="17" t="str">
        <f aca="false">IF((E229="z"),H229," ")</f>
        <v> </v>
      </c>
      <c r="AI229" s="17" t="str">
        <f aca="false">IF((E229="fa"),H229," ")</f>
        <v> </v>
      </c>
      <c r="AJ229" s="17" t="str">
        <f aca="false">IF((E229="e"),H229," ")</f>
        <v> </v>
      </c>
    </row>
    <row r="230" customFormat="false" ht="12" hidden="false" customHeight="false" outlineLevel="0" collapsed="false">
      <c r="A230" s="28"/>
      <c r="E230" s="2" t="str">
        <f aca="false">IF((F230&lt;&gt;0),"Enter Letter"," ")</f>
        <v> </v>
      </c>
      <c r="F230" s="30"/>
      <c r="G230" s="6" t="str">
        <f aca="false">IF(F230&lt;&gt;0,F230*G$2/(100+G$2)," ")</f>
        <v> </v>
      </c>
      <c r="H230" s="6" t="str">
        <f aca="false">IF((F230&lt;&gt;0),F230-G230," ")</f>
        <v> </v>
      </c>
      <c r="I230" s="5"/>
      <c r="L230" s="7" t="str">
        <f aca="false">IF(F230&lt;&gt;0,F230-K230," ")</f>
        <v> </v>
      </c>
      <c r="M230" s="8" t="str">
        <f aca="false">IF((F230-K230)&lt;&gt;0,M$1-A230," ")</f>
        <v> </v>
      </c>
      <c r="N230" s="5"/>
      <c r="O230" s="17" t="str">
        <f aca="false">IF((E230="s"),H230," ")</f>
        <v> </v>
      </c>
      <c r="P230" s="17" t="str">
        <f aca="false">IF((E230="c"),H230," ")</f>
        <v> </v>
      </c>
      <c r="Q230" s="17" t="str">
        <f aca="false">IF((E230="o"),H230," ")</f>
        <v> </v>
      </c>
      <c r="R230" s="17" t="str">
        <f aca="false">IF((E230="d"),H230," ")</f>
        <v> </v>
      </c>
      <c r="S230" s="17" t="str">
        <f aca="false">IF((E230="w"),H230," ")</f>
        <v> </v>
      </c>
      <c r="T230" s="17" t="str">
        <f aca="false">IF((E230="r"),H230," ")</f>
        <v> </v>
      </c>
      <c r="U230" s="17" t="str">
        <f aca="false">IF((E230="p"),H230," ")</f>
        <v> </v>
      </c>
      <c r="V230" s="17" t="str">
        <f aca="false">IF((E230="t"),H230," ")</f>
        <v> </v>
      </c>
      <c r="W230" s="17" t="str">
        <f aca="false">IF((E230="q"),H230," ")</f>
        <v> </v>
      </c>
      <c r="X230" s="17" t="str">
        <f aca="false">IF((E230="m"),H230," ")</f>
        <v> </v>
      </c>
      <c r="Y230" s="17" t="str">
        <f aca="false">IF((E230="u"),H230," ")</f>
        <v> </v>
      </c>
      <c r="Z230" s="17" t="str">
        <f aca="false">IF((E230="a"),H230," ")</f>
        <v> </v>
      </c>
      <c r="AA230" s="17" t="str">
        <f aca="false">IF((E230="g"),H230," ")</f>
        <v> </v>
      </c>
      <c r="AB230" s="17" t="str">
        <f aca="false">IF((E230="h"),H230," ")</f>
        <v> </v>
      </c>
      <c r="AC230" s="30" t="str">
        <f aca="false">IF((E230="v"),H230," ")</f>
        <v> </v>
      </c>
      <c r="AD230" s="30" t="str">
        <f aca="false">IF((E230="n"),H230," ")</f>
        <v> </v>
      </c>
      <c r="AE230" s="17" t="str">
        <f aca="false">IF((E230="f"),H230," ")</f>
        <v> </v>
      </c>
      <c r="AF230" s="17" t="str">
        <f aca="false">IF((E230="l"),H230," ")</f>
        <v> </v>
      </c>
      <c r="AG230" s="17" t="str">
        <f aca="false">IF((E230="y"),H230," ")</f>
        <v> </v>
      </c>
      <c r="AH230" s="17" t="str">
        <f aca="false">IF((E230="z"),H230," ")</f>
        <v> </v>
      </c>
      <c r="AI230" s="17" t="str">
        <f aca="false">IF((E230="fa"),H230," ")</f>
        <v> </v>
      </c>
      <c r="AJ230" s="17" t="str">
        <f aca="false">IF((E230="e"),H230," ")</f>
        <v> </v>
      </c>
    </row>
    <row r="231" customFormat="false" ht="12" hidden="false" customHeight="false" outlineLevel="0" collapsed="false">
      <c r="A231" s="28"/>
      <c r="E231" s="2" t="str">
        <f aca="false">IF((F231&lt;&gt;0),"Enter Letter"," ")</f>
        <v> </v>
      </c>
      <c r="F231" s="30"/>
      <c r="G231" s="6" t="str">
        <f aca="false">IF(F231&lt;&gt;0,F231*G$2/(100+G$2)," ")</f>
        <v> </v>
      </c>
      <c r="H231" s="6" t="str">
        <f aca="false">IF((F231&lt;&gt;0),F231-G231," ")</f>
        <v> </v>
      </c>
      <c r="I231" s="5"/>
      <c r="L231" s="7" t="str">
        <f aca="false">IF(F231&lt;&gt;0,F231-K231," ")</f>
        <v> </v>
      </c>
      <c r="M231" s="8" t="str">
        <f aca="false">IF((F231-K231)&lt;&gt;0,M$1-A231," ")</f>
        <v> </v>
      </c>
      <c r="N231" s="5"/>
      <c r="O231" s="17" t="str">
        <f aca="false">IF((E231="s"),H231," ")</f>
        <v> </v>
      </c>
      <c r="P231" s="17" t="str">
        <f aca="false">IF((E231="c"),H231," ")</f>
        <v> </v>
      </c>
      <c r="Q231" s="17" t="str">
        <f aca="false">IF((E231="o"),H231," ")</f>
        <v> </v>
      </c>
      <c r="R231" s="17" t="str">
        <f aca="false">IF((E231="d"),H231," ")</f>
        <v> </v>
      </c>
      <c r="S231" s="17" t="str">
        <f aca="false">IF((E231="w"),H231," ")</f>
        <v> </v>
      </c>
      <c r="T231" s="17" t="str">
        <f aca="false">IF((E231="r"),H231," ")</f>
        <v> </v>
      </c>
      <c r="U231" s="17" t="str">
        <f aca="false">IF((E231="p"),H231," ")</f>
        <v> </v>
      </c>
      <c r="V231" s="17" t="str">
        <f aca="false">IF((E231="t"),H231," ")</f>
        <v> </v>
      </c>
      <c r="W231" s="17" t="str">
        <f aca="false">IF((E231="q"),H231," ")</f>
        <v> </v>
      </c>
      <c r="X231" s="17" t="str">
        <f aca="false">IF((E231="m"),H231," ")</f>
        <v> </v>
      </c>
      <c r="Y231" s="17" t="str">
        <f aca="false">IF((E231="u"),H231," ")</f>
        <v> </v>
      </c>
      <c r="Z231" s="17" t="str">
        <f aca="false">IF((E231="a"),H231," ")</f>
        <v> </v>
      </c>
      <c r="AA231" s="17" t="str">
        <f aca="false">IF((E231="g"),H231," ")</f>
        <v> </v>
      </c>
      <c r="AB231" s="17" t="str">
        <f aca="false">IF((E231="h"),H231," ")</f>
        <v> </v>
      </c>
      <c r="AC231" s="30" t="str">
        <f aca="false">IF((E231="v"),H231," ")</f>
        <v> </v>
      </c>
      <c r="AD231" s="30" t="str">
        <f aca="false">IF((E231="n"),H231," ")</f>
        <v> </v>
      </c>
      <c r="AE231" s="17" t="str">
        <f aca="false">IF((E231="f"),H231," ")</f>
        <v> </v>
      </c>
      <c r="AF231" s="17" t="str">
        <f aca="false">IF((E231="l"),H231," ")</f>
        <v> </v>
      </c>
      <c r="AG231" s="17" t="str">
        <f aca="false">IF((E231="y"),H231," ")</f>
        <v> </v>
      </c>
      <c r="AH231" s="17" t="str">
        <f aca="false">IF((E231="z"),H231," ")</f>
        <v> </v>
      </c>
      <c r="AI231" s="17" t="str">
        <f aca="false">IF((E231="fa"),H231," ")</f>
        <v> </v>
      </c>
      <c r="AJ231" s="17" t="str">
        <f aca="false">IF((E231="e"),H231," ")</f>
        <v> </v>
      </c>
    </row>
    <row r="232" customFormat="false" ht="12" hidden="false" customHeight="false" outlineLevel="0" collapsed="false">
      <c r="A232" s="28"/>
      <c r="E232" s="2" t="str">
        <f aca="false">IF((F232&lt;&gt;0),"Enter Letter"," ")</f>
        <v> </v>
      </c>
      <c r="F232" s="30"/>
      <c r="G232" s="6" t="str">
        <f aca="false">IF(F232&lt;&gt;0,F232*G$2/(100+G$2)," ")</f>
        <v> </v>
      </c>
      <c r="H232" s="6" t="str">
        <f aca="false">IF((F232&lt;&gt;0),F232-G232," ")</f>
        <v> </v>
      </c>
      <c r="I232" s="5"/>
      <c r="L232" s="7" t="str">
        <f aca="false">IF(F232&lt;&gt;0,F232-K232," ")</f>
        <v> </v>
      </c>
      <c r="M232" s="8" t="str">
        <f aca="false">IF((F232-K232)&lt;&gt;0,M$1-A232," ")</f>
        <v> </v>
      </c>
      <c r="N232" s="5"/>
      <c r="O232" s="17" t="str">
        <f aca="false">IF((E232="s"),H232," ")</f>
        <v> </v>
      </c>
      <c r="P232" s="17" t="str">
        <f aca="false">IF((E232="c"),H232," ")</f>
        <v> </v>
      </c>
      <c r="Q232" s="17" t="str">
        <f aca="false">IF((E232="o"),H232," ")</f>
        <v> </v>
      </c>
      <c r="R232" s="17" t="str">
        <f aca="false">IF((E232="d"),H232," ")</f>
        <v> </v>
      </c>
      <c r="S232" s="17" t="str">
        <f aca="false">IF((E232="w"),H232," ")</f>
        <v> </v>
      </c>
      <c r="T232" s="17" t="str">
        <f aca="false">IF((E232="r"),H232," ")</f>
        <v> </v>
      </c>
      <c r="U232" s="17" t="str">
        <f aca="false">IF((E232="p"),H232," ")</f>
        <v> </v>
      </c>
      <c r="V232" s="17" t="str">
        <f aca="false">IF((E232="t"),H232," ")</f>
        <v> </v>
      </c>
      <c r="W232" s="17" t="str">
        <f aca="false">IF((E232="q"),H232," ")</f>
        <v> </v>
      </c>
      <c r="X232" s="17" t="str">
        <f aca="false">IF((E232="m"),H232," ")</f>
        <v> </v>
      </c>
      <c r="Y232" s="17" t="str">
        <f aca="false">IF((E232="u"),H232," ")</f>
        <v> </v>
      </c>
      <c r="Z232" s="17" t="str">
        <f aca="false">IF((E232="a"),H232," ")</f>
        <v> </v>
      </c>
      <c r="AA232" s="17" t="str">
        <f aca="false">IF((E232="g"),H232," ")</f>
        <v> </v>
      </c>
      <c r="AB232" s="17" t="str">
        <f aca="false">IF((E232="h"),H232," ")</f>
        <v> </v>
      </c>
      <c r="AC232" s="30" t="str">
        <f aca="false">IF((E232="v"),H232," ")</f>
        <v> </v>
      </c>
      <c r="AD232" s="30" t="str">
        <f aca="false">IF((E232="n"),H232," ")</f>
        <v> </v>
      </c>
      <c r="AE232" s="17" t="str">
        <f aca="false">IF((E232="f"),H232," ")</f>
        <v> </v>
      </c>
      <c r="AF232" s="17" t="str">
        <f aca="false">IF((E232="l"),H232," ")</f>
        <v> </v>
      </c>
      <c r="AG232" s="17" t="str">
        <f aca="false">IF((E232="y"),H232," ")</f>
        <v> </v>
      </c>
      <c r="AH232" s="17" t="str">
        <f aca="false">IF((E232="z"),H232," ")</f>
        <v> </v>
      </c>
      <c r="AI232" s="17" t="str">
        <f aca="false">IF((E232="fa"),H232," ")</f>
        <v> </v>
      </c>
      <c r="AJ232" s="17" t="str">
        <f aca="false">IF((E232="e"),H232," ")</f>
        <v> </v>
      </c>
    </row>
    <row r="233" customFormat="false" ht="12" hidden="false" customHeight="false" outlineLevel="0" collapsed="false">
      <c r="A233" s="28"/>
      <c r="E233" s="2" t="str">
        <f aca="false">IF((F233&lt;&gt;0),"Enter Letter"," ")</f>
        <v> </v>
      </c>
      <c r="F233" s="30"/>
      <c r="G233" s="6" t="str">
        <f aca="false">IF(F233&lt;&gt;0,F233*G$2/(100+G$2)," ")</f>
        <v> </v>
      </c>
      <c r="H233" s="6" t="str">
        <f aca="false">IF((F233&lt;&gt;0),F233-G233," ")</f>
        <v> </v>
      </c>
      <c r="I233" s="5"/>
      <c r="L233" s="7" t="str">
        <f aca="false">IF(F233&lt;&gt;0,F233-K233," ")</f>
        <v> </v>
      </c>
      <c r="M233" s="8" t="str">
        <f aca="false">IF((F233-K233)&lt;&gt;0,M$1-A233," ")</f>
        <v> </v>
      </c>
      <c r="N233" s="5"/>
      <c r="O233" s="17" t="str">
        <f aca="false">IF((E233="s"),H233," ")</f>
        <v> </v>
      </c>
      <c r="P233" s="17" t="str">
        <f aca="false">IF((E233="c"),H233," ")</f>
        <v> </v>
      </c>
      <c r="Q233" s="17" t="str">
        <f aca="false">IF((E233="o"),H233," ")</f>
        <v> </v>
      </c>
      <c r="R233" s="17" t="str">
        <f aca="false">IF((E233="d"),H233," ")</f>
        <v> </v>
      </c>
      <c r="S233" s="17" t="str">
        <f aca="false">IF((E233="w"),H233," ")</f>
        <v> </v>
      </c>
      <c r="T233" s="17" t="str">
        <f aca="false">IF((E233="r"),H233," ")</f>
        <v> </v>
      </c>
      <c r="U233" s="17" t="str">
        <f aca="false">IF((E233="p"),H233," ")</f>
        <v> </v>
      </c>
      <c r="V233" s="17" t="str">
        <f aca="false">IF((E233="t"),H233," ")</f>
        <v> </v>
      </c>
      <c r="W233" s="17" t="str">
        <f aca="false">IF((E233="q"),H233," ")</f>
        <v> </v>
      </c>
      <c r="X233" s="17" t="str">
        <f aca="false">IF((E233="m"),H233," ")</f>
        <v> </v>
      </c>
      <c r="Y233" s="17" t="str">
        <f aca="false">IF((E233="u"),H233," ")</f>
        <v> </v>
      </c>
      <c r="Z233" s="17" t="str">
        <f aca="false">IF((E233="a"),H233," ")</f>
        <v> </v>
      </c>
      <c r="AA233" s="17" t="str">
        <f aca="false">IF((E233="g"),H233," ")</f>
        <v> </v>
      </c>
      <c r="AB233" s="17" t="str">
        <f aca="false">IF((E233="h"),H233," ")</f>
        <v> </v>
      </c>
      <c r="AC233" s="30" t="str">
        <f aca="false">IF((E233="v"),H233," ")</f>
        <v> </v>
      </c>
      <c r="AD233" s="30" t="str">
        <f aca="false">IF((E233="n"),H233," ")</f>
        <v> </v>
      </c>
      <c r="AE233" s="17" t="str">
        <f aca="false">IF((E233="f"),H233," ")</f>
        <v> </v>
      </c>
      <c r="AF233" s="17" t="str">
        <f aca="false">IF((E233="l"),H233," ")</f>
        <v> </v>
      </c>
      <c r="AG233" s="17" t="str">
        <f aca="false">IF((E233="y"),H233," ")</f>
        <v> </v>
      </c>
      <c r="AH233" s="17" t="str">
        <f aca="false">IF((E233="z"),H233," ")</f>
        <v> </v>
      </c>
      <c r="AI233" s="17" t="str">
        <f aca="false">IF((E233="fa"),H233," ")</f>
        <v> </v>
      </c>
      <c r="AJ233" s="17" t="str">
        <f aca="false">IF((E233="e"),H233," ")</f>
        <v> </v>
      </c>
    </row>
    <row r="234" customFormat="false" ht="12" hidden="false" customHeight="false" outlineLevel="0" collapsed="false">
      <c r="A234" s="28"/>
      <c r="E234" s="2" t="str">
        <f aca="false">IF((F234&lt;&gt;0),"Enter Letter"," ")</f>
        <v> </v>
      </c>
      <c r="F234" s="30"/>
      <c r="G234" s="6" t="str">
        <f aca="false">IF(F234&lt;&gt;0,F234*G$2/(100+G$2)," ")</f>
        <v> </v>
      </c>
      <c r="H234" s="6" t="str">
        <f aca="false">IF((F234&lt;&gt;0),F234-G234," ")</f>
        <v> </v>
      </c>
      <c r="I234" s="5"/>
      <c r="L234" s="7" t="str">
        <f aca="false">IF(F234&lt;&gt;0,F234-K234," ")</f>
        <v> </v>
      </c>
      <c r="M234" s="8" t="str">
        <f aca="false">IF((F234-K234)&lt;&gt;0,M$1-A234," ")</f>
        <v> </v>
      </c>
      <c r="N234" s="5"/>
      <c r="O234" s="17" t="str">
        <f aca="false">IF((E234="s"),H234," ")</f>
        <v> </v>
      </c>
      <c r="P234" s="17" t="str">
        <f aca="false">IF((E234="c"),H234," ")</f>
        <v> </v>
      </c>
      <c r="Q234" s="17" t="str">
        <f aca="false">IF((E234="o"),H234," ")</f>
        <v> </v>
      </c>
      <c r="R234" s="17" t="str">
        <f aca="false">IF((E234="d"),H234," ")</f>
        <v> </v>
      </c>
      <c r="S234" s="17" t="str">
        <f aca="false">IF((E234="w"),H234," ")</f>
        <v> </v>
      </c>
      <c r="T234" s="17" t="str">
        <f aca="false">IF((E234="r"),H234," ")</f>
        <v> </v>
      </c>
      <c r="U234" s="17" t="str">
        <f aca="false">IF((E234="p"),H234," ")</f>
        <v> </v>
      </c>
      <c r="V234" s="17" t="str">
        <f aca="false">IF((E234="t"),H234," ")</f>
        <v> </v>
      </c>
      <c r="W234" s="17" t="str">
        <f aca="false">IF((E234="q"),H234," ")</f>
        <v> </v>
      </c>
      <c r="X234" s="17" t="str">
        <f aca="false">IF((E234="m"),H234," ")</f>
        <v> </v>
      </c>
      <c r="Y234" s="17" t="str">
        <f aca="false">IF((E234="u"),H234," ")</f>
        <v> </v>
      </c>
      <c r="Z234" s="17" t="str">
        <f aca="false">IF((E234="a"),H234," ")</f>
        <v> </v>
      </c>
      <c r="AA234" s="17" t="str">
        <f aca="false">IF((E234="g"),H234," ")</f>
        <v> </v>
      </c>
      <c r="AB234" s="17" t="str">
        <f aca="false">IF((E234="h"),H234," ")</f>
        <v> </v>
      </c>
      <c r="AC234" s="30" t="str">
        <f aca="false">IF((E234="v"),H234," ")</f>
        <v> </v>
      </c>
      <c r="AD234" s="30" t="str">
        <f aca="false">IF((E234="n"),H234," ")</f>
        <v> </v>
      </c>
      <c r="AE234" s="17" t="str">
        <f aca="false">IF((E234="f"),H234," ")</f>
        <v> </v>
      </c>
      <c r="AF234" s="17" t="str">
        <f aca="false">IF((E234="l"),H234," ")</f>
        <v> </v>
      </c>
      <c r="AG234" s="17" t="str">
        <f aca="false">IF((E234="y"),H234," ")</f>
        <v> </v>
      </c>
      <c r="AH234" s="17" t="str">
        <f aca="false">IF((E234="z"),H234," ")</f>
        <v> </v>
      </c>
      <c r="AI234" s="17" t="str">
        <f aca="false">IF((E234="fa"),H234," ")</f>
        <v> </v>
      </c>
      <c r="AJ234" s="17" t="str">
        <f aca="false">IF((E234="e"),H234," ")</f>
        <v> </v>
      </c>
    </row>
    <row r="235" customFormat="false" ht="12" hidden="false" customHeight="false" outlineLevel="0" collapsed="false">
      <c r="A235" s="28"/>
      <c r="E235" s="2" t="str">
        <f aca="false">IF((F235&lt;&gt;0),"Enter Letter"," ")</f>
        <v> </v>
      </c>
      <c r="F235" s="30"/>
      <c r="G235" s="6" t="str">
        <f aca="false">IF(F235&lt;&gt;0,F235*G$2/(100+G$2)," ")</f>
        <v> </v>
      </c>
      <c r="H235" s="6" t="str">
        <f aca="false">IF((F235&lt;&gt;0),F235-G235," ")</f>
        <v> </v>
      </c>
      <c r="I235" s="5"/>
      <c r="L235" s="7" t="str">
        <f aca="false">IF(F235&lt;&gt;0,F235-K235," ")</f>
        <v> </v>
      </c>
      <c r="M235" s="8" t="str">
        <f aca="false">IF((F235-K235)&lt;&gt;0,M$1-A235," ")</f>
        <v> </v>
      </c>
      <c r="N235" s="5"/>
      <c r="O235" s="17" t="str">
        <f aca="false">IF((E235="s"),H235," ")</f>
        <v> </v>
      </c>
      <c r="P235" s="17" t="str">
        <f aca="false">IF((E235="c"),H235," ")</f>
        <v> </v>
      </c>
      <c r="Q235" s="17" t="str">
        <f aca="false">IF((E235="o"),H235," ")</f>
        <v> </v>
      </c>
      <c r="R235" s="17" t="str">
        <f aca="false">IF((E235="d"),H235," ")</f>
        <v> </v>
      </c>
      <c r="S235" s="17" t="str">
        <f aca="false">IF((E235="w"),H235," ")</f>
        <v> </v>
      </c>
      <c r="T235" s="17" t="str">
        <f aca="false">IF((E235="r"),H235," ")</f>
        <v> </v>
      </c>
      <c r="U235" s="17" t="str">
        <f aca="false">IF((E235="p"),H235," ")</f>
        <v> </v>
      </c>
      <c r="V235" s="17" t="str">
        <f aca="false">IF((E235="t"),H235," ")</f>
        <v> </v>
      </c>
      <c r="W235" s="17" t="str">
        <f aca="false">IF((E235="q"),H235," ")</f>
        <v> </v>
      </c>
      <c r="X235" s="17" t="str">
        <f aca="false">IF((E235="m"),H235," ")</f>
        <v> </v>
      </c>
      <c r="Y235" s="17" t="str">
        <f aca="false">IF((E235="u"),H235," ")</f>
        <v> </v>
      </c>
      <c r="Z235" s="17" t="str">
        <f aca="false">IF((E235="a"),H235," ")</f>
        <v> </v>
      </c>
      <c r="AA235" s="17" t="str">
        <f aca="false">IF((E235="g"),H235," ")</f>
        <v> </v>
      </c>
      <c r="AB235" s="17" t="str">
        <f aca="false">IF((E235="h"),H235," ")</f>
        <v> </v>
      </c>
      <c r="AC235" s="30" t="str">
        <f aca="false">IF((E235="v"),H235," ")</f>
        <v> </v>
      </c>
      <c r="AD235" s="30" t="str">
        <f aca="false">IF((E235="n"),H235," ")</f>
        <v> </v>
      </c>
      <c r="AE235" s="17" t="str">
        <f aca="false">IF((E235="f"),H235," ")</f>
        <v> </v>
      </c>
      <c r="AF235" s="17" t="str">
        <f aca="false">IF((E235="l"),H235," ")</f>
        <v> </v>
      </c>
      <c r="AG235" s="17" t="str">
        <f aca="false">IF((E235="y"),H235," ")</f>
        <v> </v>
      </c>
      <c r="AH235" s="17" t="str">
        <f aca="false">IF((E235="z"),H235," ")</f>
        <v> </v>
      </c>
      <c r="AI235" s="17" t="str">
        <f aca="false">IF((E235="fa"),H235," ")</f>
        <v> </v>
      </c>
      <c r="AJ235" s="17" t="str">
        <f aca="false">IF((E235="e"),H235," ")</f>
        <v> </v>
      </c>
    </row>
    <row r="236" customFormat="false" ht="12" hidden="false" customHeight="false" outlineLevel="0" collapsed="false">
      <c r="A236" s="28"/>
      <c r="E236" s="2" t="str">
        <f aca="false">IF((F236&lt;&gt;0),"Enter Letter"," ")</f>
        <v> </v>
      </c>
      <c r="F236" s="30"/>
      <c r="G236" s="6" t="str">
        <f aca="false">IF(F236&lt;&gt;0,F236*G$2/(100+G$2)," ")</f>
        <v> </v>
      </c>
      <c r="H236" s="6" t="str">
        <f aca="false">IF((F236&lt;&gt;0),F236-G236," ")</f>
        <v> </v>
      </c>
      <c r="I236" s="5"/>
      <c r="L236" s="7" t="str">
        <f aca="false">IF(F236&lt;&gt;0,F236-K236," ")</f>
        <v> </v>
      </c>
      <c r="M236" s="8" t="str">
        <f aca="false">IF((F236-K236)&lt;&gt;0,M$1-A236," ")</f>
        <v> </v>
      </c>
      <c r="N236" s="5"/>
      <c r="O236" s="17" t="str">
        <f aca="false">IF((E236="s"),H236," ")</f>
        <v> </v>
      </c>
      <c r="P236" s="17" t="str">
        <f aca="false">IF((E236="c"),H236," ")</f>
        <v> </v>
      </c>
      <c r="Q236" s="17" t="str">
        <f aca="false">IF((E236="o"),H236," ")</f>
        <v> </v>
      </c>
      <c r="R236" s="17" t="str">
        <f aca="false">IF((E236="d"),H236," ")</f>
        <v> </v>
      </c>
      <c r="S236" s="17" t="str">
        <f aca="false">IF((E236="w"),H236," ")</f>
        <v> </v>
      </c>
      <c r="T236" s="17" t="str">
        <f aca="false">IF((E236="r"),H236," ")</f>
        <v> </v>
      </c>
      <c r="U236" s="17" t="str">
        <f aca="false">IF((E236="p"),H236," ")</f>
        <v> </v>
      </c>
      <c r="V236" s="17" t="str">
        <f aca="false">IF((E236="t"),H236," ")</f>
        <v> </v>
      </c>
      <c r="W236" s="17" t="str">
        <f aca="false">IF((E236="q"),H236," ")</f>
        <v> </v>
      </c>
      <c r="X236" s="17" t="str">
        <f aca="false">IF((E236="m"),H236," ")</f>
        <v> </v>
      </c>
      <c r="Y236" s="17" t="str">
        <f aca="false">IF((E236="u"),H236," ")</f>
        <v> </v>
      </c>
      <c r="Z236" s="17" t="str">
        <f aca="false">IF((E236="a"),H236," ")</f>
        <v> </v>
      </c>
      <c r="AA236" s="17" t="str">
        <f aca="false">IF((E236="g"),H236," ")</f>
        <v> </v>
      </c>
      <c r="AB236" s="17" t="str">
        <f aca="false">IF((E236="h"),H236," ")</f>
        <v> </v>
      </c>
      <c r="AC236" s="30" t="str">
        <f aca="false">IF((E236="v"),H236," ")</f>
        <v> </v>
      </c>
      <c r="AD236" s="30" t="str">
        <f aca="false">IF((E236="n"),H236," ")</f>
        <v> </v>
      </c>
      <c r="AE236" s="17" t="str">
        <f aca="false">IF((E236="f"),H236," ")</f>
        <v> </v>
      </c>
      <c r="AF236" s="17" t="str">
        <f aca="false">IF((E236="l"),H236," ")</f>
        <v> </v>
      </c>
      <c r="AG236" s="17" t="str">
        <f aca="false">IF((E236="y"),H236," ")</f>
        <v> </v>
      </c>
      <c r="AH236" s="17" t="str">
        <f aca="false">IF((E236="z"),H236," ")</f>
        <v> </v>
      </c>
      <c r="AI236" s="17" t="str">
        <f aca="false">IF((E236="fa"),H236," ")</f>
        <v> </v>
      </c>
      <c r="AJ236" s="17" t="str">
        <f aca="false">IF((E236="e"),H236," ")</f>
        <v> </v>
      </c>
    </row>
    <row r="237" customFormat="false" ht="12" hidden="false" customHeight="false" outlineLevel="0" collapsed="false">
      <c r="A237" s="28"/>
      <c r="E237" s="2" t="str">
        <f aca="false">IF((F237&lt;&gt;0),"Enter Letter"," ")</f>
        <v> </v>
      </c>
      <c r="F237" s="30"/>
      <c r="G237" s="6" t="str">
        <f aca="false">IF(F237&lt;&gt;0,F237*G$2/(100+G$2)," ")</f>
        <v> </v>
      </c>
      <c r="H237" s="6" t="str">
        <f aca="false">IF((F237&lt;&gt;0),F237-G237," ")</f>
        <v> </v>
      </c>
      <c r="I237" s="5"/>
      <c r="L237" s="7" t="str">
        <f aca="false">IF(F237&lt;&gt;0,F237-K237," ")</f>
        <v> </v>
      </c>
      <c r="M237" s="8" t="str">
        <f aca="false">IF((F237-K237)&lt;&gt;0,M$1-A237," ")</f>
        <v> </v>
      </c>
      <c r="N237" s="5"/>
      <c r="O237" s="17" t="str">
        <f aca="false">IF((E237="s"),H237," ")</f>
        <v> </v>
      </c>
      <c r="P237" s="17" t="str">
        <f aca="false">IF((E237="c"),H237," ")</f>
        <v> </v>
      </c>
      <c r="Q237" s="17" t="str">
        <f aca="false">IF((E237="o"),H237," ")</f>
        <v> </v>
      </c>
      <c r="R237" s="17" t="str">
        <f aca="false">IF((E237="d"),H237," ")</f>
        <v> </v>
      </c>
      <c r="S237" s="17" t="str">
        <f aca="false">IF((E237="w"),H237," ")</f>
        <v> </v>
      </c>
      <c r="T237" s="17" t="str">
        <f aca="false">IF((E237="r"),H237," ")</f>
        <v> </v>
      </c>
      <c r="U237" s="17" t="str">
        <f aca="false">IF((E237="p"),H237," ")</f>
        <v> </v>
      </c>
      <c r="V237" s="17" t="str">
        <f aca="false">IF((E237="t"),H237," ")</f>
        <v> </v>
      </c>
      <c r="W237" s="17" t="str">
        <f aca="false">IF((E237="q"),H237," ")</f>
        <v> </v>
      </c>
      <c r="X237" s="17" t="str">
        <f aca="false">IF((E237="m"),H237," ")</f>
        <v> </v>
      </c>
      <c r="Y237" s="17" t="str">
        <f aca="false">IF((E237="u"),H237," ")</f>
        <v> </v>
      </c>
      <c r="Z237" s="17" t="str">
        <f aca="false">IF((E237="a"),H237," ")</f>
        <v> </v>
      </c>
      <c r="AA237" s="17" t="str">
        <f aca="false">IF((E237="g"),H237," ")</f>
        <v> </v>
      </c>
      <c r="AB237" s="17" t="str">
        <f aca="false">IF((E237="h"),H237," ")</f>
        <v> </v>
      </c>
      <c r="AC237" s="30" t="str">
        <f aca="false">IF((E237="v"),H237," ")</f>
        <v> </v>
      </c>
      <c r="AD237" s="30" t="str">
        <f aca="false">IF((E237="n"),H237," ")</f>
        <v> </v>
      </c>
      <c r="AE237" s="17" t="str">
        <f aca="false">IF((E237="f"),H237," ")</f>
        <v> </v>
      </c>
      <c r="AF237" s="17" t="str">
        <f aca="false">IF((E237="l"),H237," ")</f>
        <v> </v>
      </c>
      <c r="AG237" s="17" t="str">
        <f aca="false">IF((E237="y"),H237," ")</f>
        <v> </v>
      </c>
      <c r="AH237" s="17" t="str">
        <f aca="false">IF((E237="z"),H237," ")</f>
        <v> </v>
      </c>
      <c r="AI237" s="17" t="str">
        <f aca="false">IF((E237="fa"),H237," ")</f>
        <v> </v>
      </c>
      <c r="AJ237" s="17" t="str">
        <f aca="false">IF((E237="e"),H237," ")</f>
        <v> </v>
      </c>
    </row>
    <row r="238" customFormat="false" ht="12" hidden="false" customHeight="false" outlineLevel="0" collapsed="false">
      <c r="A238" s="28"/>
      <c r="E238" s="2" t="str">
        <f aca="false">IF((F238&lt;&gt;0),"Enter Letter"," ")</f>
        <v> </v>
      </c>
      <c r="F238" s="30"/>
      <c r="G238" s="6" t="str">
        <f aca="false">IF(F238&lt;&gt;0,F238*G$2/(100+G$2)," ")</f>
        <v> </v>
      </c>
      <c r="H238" s="6" t="str">
        <f aca="false">IF((F238&lt;&gt;0),F238-G238," ")</f>
        <v> </v>
      </c>
      <c r="I238" s="5"/>
      <c r="L238" s="7" t="str">
        <f aca="false">IF(F238&lt;&gt;0,F238-K238," ")</f>
        <v> </v>
      </c>
      <c r="M238" s="8" t="str">
        <f aca="false">IF((F238-K238)&lt;&gt;0,M$1-A238," ")</f>
        <v> </v>
      </c>
      <c r="N238" s="5"/>
      <c r="O238" s="17" t="str">
        <f aca="false">IF((E238="s"),H238," ")</f>
        <v> </v>
      </c>
      <c r="P238" s="17" t="str">
        <f aca="false">IF((E238="c"),H238," ")</f>
        <v> </v>
      </c>
      <c r="Q238" s="17" t="str">
        <f aca="false">IF((E238="o"),H238," ")</f>
        <v> </v>
      </c>
      <c r="R238" s="17" t="str">
        <f aca="false">IF((E238="d"),H238," ")</f>
        <v> </v>
      </c>
      <c r="S238" s="17" t="str">
        <f aca="false">IF((E238="w"),H238," ")</f>
        <v> </v>
      </c>
      <c r="T238" s="17" t="str">
        <f aca="false">IF((E238="r"),H238," ")</f>
        <v> </v>
      </c>
      <c r="U238" s="17" t="str">
        <f aca="false">IF((E238="p"),H238," ")</f>
        <v> </v>
      </c>
      <c r="V238" s="17" t="str">
        <f aca="false">IF((E238="t"),H238," ")</f>
        <v> </v>
      </c>
      <c r="W238" s="17" t="str">
        <f aca="false">IF((E238="q"),H238," ")</f>
        <v> </v>
      </c>
      <c r="X238" s="17" t="str">
        <f aca="false">IF((E238="m"),H238," ")</f>
        <v> </v>
      </c>
      <c r="Y238" s="17" t="str">
        <f aca="false">IF((E238="u"),H238," ")</f>
        <v> </v>
      </c>
      <c r="Z238" s="17" t="str">
        <f aca="false">IF((E238="a"),H238," ")</f>
        <v> </v>
      </c>
      <c r="AA238" s="17" t="str">
        <f aca="false">IF((E238="g"),H238," ")</f>
        <v> </v>
      </c>
      <c r="AB238" s="17" t="str">
        <f aca="false">IF((E238="h"),H238," ")</f>
        <v> </v>
      </c>
      <c r="AC238" s="30" t="str">
        <f aca="false">IF((E238="v"),H238," ")</f>
        <v> </v>
      </c>
      <c r="AD238" s="30" t="str">
        <f aca="false">IF((E238="n"),H238," ")</f>
        <v> </v>
      </c>
      <c r="AE238" s="17" t="str">
        <f aca="false">IF((E238="f"),H238," ")</f>
        <v> </v>
      </c>
      <c r="AF238" s="17" t="str">
        <f aca="false">IF((E238="l"),H238," ")</f>
        <v> </v>
      </c>
      <c r="AG238" s="17" t="str">
        <f aca="false">IF((E238="y"),H238," ")</f>
        <v> </v>
      </c>
      <c r="AH238" s="17" t="str">
        <f aca="false">IF((E238="z"),H238," ")</f>
        <v> </v>
      </c>
      <c r="AI238" s="17" t="str">
        <f aca="false">IF((E238="fa"),H238," ")</f>
        <v> </v>
      </c>
      <c r="AJ238" s="17" t="str">
        <f aca="false">IF((E238="e"),H238," ")</f>
        <v> </v>
      </c>
    </row>
    <row r="239" customFormat="false" ht="12" hidden="false" customHeight="false" outlineLevel="0" collapsed="false">
      <c r="A239" s="28"/>
      <c r="E239" s="2" t="str">
        <f aca="false">IF((F239&lt;&gt;0),"Enter Letter"," ")</f>
        <v> </v>
      </c>
      <c r="F239" s="30"/>
      <c r="G239" s="6" t="str">
        <f aca="false">IF(F239&lt;&gt;0,F239*G$2/(100+G$2)," ")</f>
        <v> </v>
      </c>
      <c r="H239" s="6" t="str">
        <f aca="false">IF((F239&lt;&gt;0),F239-G239," ")</f>
        <v> </v>
      </c>
      <c r="I239" s="5"/>
      <c r="L239" s="7" t="str">
        <f aca="false">IF(F239&lt;&gt;0,F239-K239," ")</f>
        <v> </v>
      </c>
      <c r="M239" s="8" t="str">
        <f aca="false">IF((F239-K239)&lt;&gt;0,M$1-A239," ")</f>
        <v> </v>
      </c>
      <c r="N239" s="5"/>
      <c r="O239" s="17" t="str">
        <f aca="false">IF((E239="s"),H239," ")</f>
        <v> </v>
      </c>
      <c r="P239" s="17" t="str">
        <f aca="false">IF((E239="c"),H239," ")</f>
        <v> </v>
      </c>
      <c r="Q239" s="17" t="str">
        <f aca="false">IF((E239="o"),H239," ")</f>
        <v> </v>
      </c>
      <c r="R239" s="17" t="str">
        <f aca="false">IF((E239="d"),H239," ")</f>
        <v> </v>
      </c>
      <c r="S239" s="17" t="str">
        <f aca="false">IF((E239="w"),H239," ")</f>
        <v> </v>
      </c>
      <c r="T239" s="17" t="str">
        <f aca="false">IF((E239="r"),H239," ")</f>
        <v> </v>
      </c>
      <c r="U239" s="17" t="str">
        <f aca="false">IF((E239="p"),H239," ")</f>
        <v> </v>
      </c>
      <c r="V239" s="17" t="str">
        <f aca="false">IF((E239="t"),H239," ")</f>
        <v> </v>
      </c>
      <c r="W239" s="17" t="str">
        <f aca="false">IF((E239="q"),H239," ")</f>
        <v> </v>
      </c>
      <c r="X239" s="17" t="str">
        <f aca="false">IF((E239="m"),H239," ")</f>
        <v> </v>
      </c>
      <c r="Y239" s="17" t="str">
        <f aca="false">IF((E239="u"),H239," ")</f>
        <v> </v>
      </c>
      <c r="Z239" s="17" t="str">
        <f aca="false">IF((E239="a"),H239," ")</f>
        <v> </v>
      </c>
      <c r="AA239" s="17" t="str">
        <f aca="false">IF((E239="g"),H239," ")</f>
        <v> </v>
      </c>
      <c r="AB239" s="17" t="str">
        <f aca="false">IF((E239="h"),H239," ")</f>
        <v> </v>
      </c>
      <c r="AC239" s="30" t="str">
        <f aca="false">IF((E239="v"),H239," ")</f>
        <v> </v>
      </c>
      <c r="AD239" s="30" t="str">
        <f aca="false">IF((E239="n"),H239," ")</f>
        <v> </v>
      </c>
      <c r="AE239" s="17" t="str">
        <f aca="false">IF((E239="f"),H239," ")</f>
        <v> </v>
      </c>
      <c r="AF239" s="17" t="str">
        <f aca="false">IF((E239="l"),H239," ")</f>
        <v> </v>
      </c>
      <c r="AG239" s="17" t="str">
        <f aca="false">IF((E239="y"),H239," ")</f>
        <v> </v>
      </c>
      <c r="AH239" s="17" t="str">
        <f aca="false">IF((E239="z"),H239," ")</f>
        <v> </v>
      </c>
      <c r="AI239" s="17" t="str">
        <f aca="false">IF((E239="fa"),H239," ")</f>
        <v> </v>
      </c>
      <c r="AJ239" s="17" t="str">
        <f aca="false">IF((E239="e"),H239," ")</f>
        <v> </v>
      </c>
    </row>
    <row r="240" customFormat="false" ht="12" hidden="false" customHeight="false" outlineLevel="0" collapsed="false">
      <c r="A240" s="28"/>
      <c r="E240" s="2" t="str">
        <f aca="false">IF((F240&lt;&gt;0),"Enter Letter"," ")</f>
        <v> </v>
      </c>
      <c r="F240" s="30"/>
      <c r="G240" s="6" t="str">
        <f aca="false">IF(F240&lt;&gt;0,F240*G$2/(100+G$2)," ")</f>
        <v> </v>
      </c>
      <c r="H240" s="6" t="str">
        <f aca="false">IF((F240&lt;&gt;0),F240-G240," ")</f>
        <v> </v>
      </c>
      <c r="I240" s="5"/>
      <c r="L240" s="7" t="str">
        <f aca="false">IF(F240&lt;&gt;0,F240-K240," ")</f>
        <v> </v>
      </c>
      <c r="M240" s="8" t="str">
        <f aca="false">IF((F240-K240)&lt;&gt;0,M$1-A240," ")</f>
        <v> </v>
      </c>
      <c r="N240" s="5"/>
      <c r="O240" s="17" t="str">
        <f aca="false">IF((E240="s"),H240," ")</f>
        <v> </v>
      </c>
      <c r="P240" s="17" t="str">
        <f aca="false">IF((E240="c"),H240," ")</f>
        <v> </v>
      </c>
      <c r="Q240" s="17" t="str">
        <f aca="false">IF((E240="o"),H240," ")</f>
        <v> </v>
      </c>
      <c r="R240" s="17" t="str">
        <f aca="false">IF((E240="d"),H240," ")</f>
        <v> </v>
      </c>
      <c r="S240" s="17" t="str">
        <f aca="false">IF((E240="w"),H240," ")</f>
        <v> </v>
      </c>
      <c r="T240" s="17" t="str">
        <f aca="false">IF((E240="r"),H240," ")</f>
        <v> </v>
      </c>
      <c r="U240" s="17" t="str">
        <f aca="false">IF((E240="p"),H240," ")</f>
        <v> </v>
      </c>
      <c r="V240" s="17" t="str">
        <f aca="false">IF((E240="t"),H240," ")</f>
        <v> </v>
      </c>
      <c r="W240" s="17" t="str">
        <f aca="false">IF((E240="q"),H240," ")</f>
        <v> </v>
      </c>
      <c r="X240" s="17" t="str">
        <f aca="false">IF((E240="m"),H240," ")</f>
        <v> </v>
      </c>
      <c r="Y240" s="17" t="str">
        <f aca="false">IF((E240="u"),H240," ")</f>
        <v> </v>
      </c>
      <c r="Z240" s="17" t="str">
        <f aca="false">IF((E240="a"),H240," ")</f>
        <v> </v>
      </c>
      <c r="AA240" s="17" t="str">
        <f aca="false">IF((E240="g"),H240," ")</f>
        <v> </v>
      </c>
      <c r="AB240" s="17" t="str">
        <f aca="false">IF((E240="h"),H240," ")</f>
        <v> </v>
      </c>
      <c r="AC240" s="30" t="str">
        <f aca="false">IF((E240="v"),H240," ")</f>
        <v> </v>
      </c>
      <c r="AD240" s="30" t="str">
        <f aca="false">IF((E240="n"),H240," ")</f>
        <v> </v>
      </c>
      <c r="AE240" s="17" t="str">
        <f aca="false">IF((E240="f"),H240," ")</f>
        <v> </v>
      </c>
      <c r="AF240" s="17" t="str">
        <f aca="false">IF((E240="l"),H240," ")</f>
        <v> </v>
      </c>
      <c r="AG240" s="17" t="str">
        <f aca="false">IF((E240="y"),H240," ")</f>
        <v> </v>
      </c>
      <c r="AH240" s="17" t="str">
        <f aca="false">IF((E240="z"),H240," ")</f>
        <v> </v>
      </c>
      <c r="AI240" s="17" t="str">
        <f aca="false">IF((E240="fa"),H240," ")</f>
        <v> </v>
      </c>
      <c r="AJ240" s="17" t="str">
        <f aca="false">IF((E240="e"),H240," ")</f>
        <v> </v>
      </c>
    </row>
    <row r="241" customFormat="false" ht="12" hidden="false" customHeight="false" outlineLevel="0" collapsed="false">
      <c r="A241" s="28"/>
      <c r="E241" s="2" t="str">
        <f aca="false">IF((F241&lt;&gt;0),"Enter Letter"," ")</f>
        <v> </v>
      </c>
      <c r="F241" s="30"/>
      <c r="G241" s="6" t="str">
        <f aca="false">IF(F241&lt;&gt;0,F241*G$2/(100+G$2)," ")</f>
        <v> </v>
      </c>
      <c r="H241" s="6" t="str">
        <f aca="false">IF((F241&lt;&gt;0),F241-G241," ")</f>
        <v> </v>
      </c>
      <c r="I241" s="5"/>
      <c r="L241" s="7" t="str">
        <f aca="false">IF(F241&lt;&gt;0,F241-K241," ")</f>
        <v> </v>
      </c>
      <c r="M241" s="8" t="str">
        <f aca="false">IF((F241-K241)&lt;&gt;0,M$1-A241," ")</f>
        <v> </v>
      </c>
      <c r="N241" s="5"/>
      <c r="O241" s="17" t="str">
        <f aca="false">IF((E241="s"),H241," ")</f>
        <v> </v>
      </c>
      <c r="P241" s="17" t="str">
        <f aca="false">IF((E241="c"),H241," ")</f>
        <v> </v>
      </c>
      <c r="Q241" s="17" t="str">
        <f aca="false">IF((E241="o"),H241," ")</f>
        <v> </v>
      </c>
      <c r="R241" s="17" t="str">
        <f aca="false">IF((E241="d"),H241," ")</f>
        <v> </v>
      </c>
      <c r="S241" s="17" t="str">
        <f aca="false">IF((E241="w"),H241," ")</f>
        <v> </v>
      </c>
      <c r="T241" s="17" t="str">
        <f aca="false">IF((E241="r"),H241," ")</f>
        <v> </v>
      </c>
      <c r="U241" s="17" t="str">
        <f aca="false">IF((E241="p"),H241," ")</f>
        <v> </v>
      </c>
      <c r="V241" s="17" t="str">
        <f aca="false">IF((E241="t"),H241," ")</f>
        <v> </v>
      </c>
      <c r="W241" s="17" t="str">
        <f aca="false">IF((E241="q"),H241," ")</f>
        <v> </v>
      </c>
      <c r="X241" s="17" t="str">
        <f aca="false">IF((E241="m"),H241," ")</f>
        <v> </v>
      </c>
      <c r="Y241" s="17" t="str">
        <f aca="false">IF((E241="u"),H241," ")</f>
        <v> </v>
      </c>
      <c r="Z241" s="17" t="str">
        <f aca="false">IF((E241="a"),H241," ")</f>
        <v> </v>
      </c>
      <c r="AA241" s="17" t="str">
        <f aca="false">IF((E241="g"),H241," ")</f>
        <v> </v>
      </c>
      <c r="AB241" s="17" t="str">
        <f aca="false">IF((E241="h"),H241," ")</f>
        <v> </v>
      </c>
      <c r="AC241" s="30" t="str">
        <f aca="false">IF((E241="v"),H241," ")</f>
        <v> </v>
      </c>
      <c r="AD241" s="30" t="str">
        <f aca="false">IF((E241="n"),H241," ")</f>
        <v> </v>
      </c>
      <c r="AE241" s="17" t="str">
        <f aca="false">IF((E241="f"),H241," ")</f>
        <v> </v>
      </c>
      <c r="AF241" s="17" t="str">
        <f aca="false">IF((E241="l"),H241," ")</f>
        <v> </v>
      </c>
      <c r="AG241" s="17" t="str">
        <f aca="false">IF((E241="y"),H241," ")</f>
        <v> </v>
      </c>
      <c r="AH241" s="17" t="str">
        <f aca="false">IF((E241="z"),H241," ")</f>
        <v> </v>
      </c>
      <c r="AI241" s="17" t="str">
        <f aca="false">IF((E241="fa"),H241," ")</f>
        <v> </v>
      </c>
      <c r="AJ241" s="17" t="str">
        <f aca="false">IF((E241="e"),H241," ")</f>
        <v> </v>
      </c>
    </row>
    <row r="242" customFormat="false" ht="12" hidden="false" customHeight="false" outlineLevel="0" collapsed="false">
      <c r="A242" s="28"/>
      <c r="E242" s="2" t="str">
        <f aca="false">IF((F242&lt;&gt;0),"Enter Letter"," ")</f>
        <v> </v>
      </c>
      <c r="F242" s="30"/>
      <c r="G242" s="6" t="str">
        <f aca="false">IF(F242&lt;&gt;0,F242*G$2/(100+G$2)," ")</f>
        <v> </v>
      </c>
      <c r="H242" s="6" t="str">
        <f aca="false">IF((F242&lt;&gt;0),F242-G242," ")</f>
        <v> </v>
      </c>
      <c r="I242" s="5"/>
      <c r="L242" s="7" t="str">
        <f aca="false">IF(F242&lt;&gt;0,F242-K242," ")</f>
        <v> </v>
      </c>
      <c r="M242" s="8" t="str">
        <f aca="false">IF((F242-K242)&lt;&gt;0,M$1-A242," ")</f>
        <v> </v>
      </c>
      <c r="N242" s="5"/>
      <c r="O242" s="17" t="str">
        <f aca="false">IF((E242="s"),H242," ")</f>
        <v> </v>
      </c>
      <c r="P242" s="17" t="str">
        <f aca="false">IF((E242="c"),H242," ")</f>
        <v> </v>
      </c>
      <c r="Q242" s="17" t="str">
        <f aca="false">IF((E242="o"),H242," ")</f>
        <v> </v>
      </c>
      <c r="R242" s="17" t="str">
        <f aca="false">IF((E242="d"),H242," ")</f>
        <v> </v>
      </c>
      <c r="S242" s="17" t="str">
        <f aca="false">IF((E242="w"),H242," ")</f>
        <v> </v>
      </c>
      <c r="T242" s="17" t="str">
        <f aca="false">IF((E242="r"),H242," ")</f>
        <v> </v>
      </c>
      <c r="U242" s="17" t="str">
        <f aca="false">IF((E242="p"),H242," ")</f>
        <v> </v>
      </c>
      <c r="V242" s="17" t="str">
        <f aca="false">IF((E242="t"),H242," ")</f>
        <v> </v>
      </c>
      <c r="W242" s="17" t="str">
        <f aca="false">IF((E242="q"),H242," ")</f>
        <v> </v>
      </c>
      <c r="X242" s="17" t="str">
        <f aca="false">IF((E242="m"),H242," ")</f>
        <v> </v>
      </c>
      <c r="Y242" s="17" t="str">
        <f aca="false">IF((E242="u"),H242," ")</f>
        <v> </v>
      </c>
      <c r="Z242" s="17" t="str">
        <f aca="false">IF((E242="a"),H242," ")</f>
        <v> </v>
      </c>
      <c r="AA242" s="17" t="str">
        <f aca="false">IF((E242="g"),H242," ")</f>
        <v> </v>
      </c>
      <c r="AB242" s="17" t="str">
        <f aca="false">IF((E242="h"),H242," ")</f>
        <v> </v>
      </c>
      <c r="AC242" s="30" t="str">
        <f aca="false">IF((E242="v"),H242," ")</f>
        <v> </v>
      </c>
      <c r="AD242" s="30" t="str">
        <f aca="false">IF((E242="n"),H242," ")</f>
        <v> </v>
      </c>
      <c r="AE242" s="17" t="str">
        <f aca="false">IF((E242="f"),H242," ")</f>
        <v> </v>
      </c>
      <c r="AF242" s="17" t="str">
        <f aca="false">IF((E242="l"),H242," ")</f>
        <v> </v>
      </c>
      <c r="AG242" s="17" t="str">
        <f aca="false">IF((E242="y"),H242," ")</f>
        <v> </v>
      </c>
      <c r="AH242" s="17" t="str">
        <f aca="false">IF((E242="z"),H242," ")</f>
        <v> </v>
      </c>
      <c r="AI242" s="17" t="str">
        <f aca="false">IF((E242="fa"),H242," ")</f>
        <v> </v>
      </c>
      <c r="AJ242" s="17" t="str">
        <f aca="false">IF((E242="e"),H242," ")</f>
        <v> </v>
      </c>
    </row>
    <row r="243" customFormat="false" ht="12" hidden="false" customHeight="false" outlineLevel="0" collapsed="false">
      <c r="A243" s="28"/>
      <c r="E243" s="2" t="str">
        <f aca="false">IF((F243&lt;&gt;0),"Enter Letter"," ")</f>
        <v> </v>
      </c>
      <c r="F243" s="30"/>
      <c r="G243" s="6" t="str">
        <f aca="false">IF(F243&lt;&gt;0,F243*G$2/(100+G$2)," ")</f>
        <v> </v>
      </c>
      <c r="H243" s="6" t="str">
        <f aca="false">IF((F243&lt;&gt;0),F243-G243," ")</f>
        <v> </v>
      </c>
      <c r="I243" s="5"/>
      <c r="L243" s="7" t="str">
        <f aca="false">IF(F243&lt;&gt;0,F243-K243," ")</f>
        <v> </v>
      </c>
      <c r="M243" s="8" t="str">
        <f aca="false">IF((F243-K243)&lt;&gt;0,M$1-A243," ")</f>
        <v> </v>
      </c>
      <c r="N243" s="5"/>
      <c r="O243" s="17" t="str">
        <f aca="false">IF((E243="s"),H243," ")</f>
        <v> </v>
      </c>
      <c r="P243" s="17" t="str">
        <f aca="false">IF((E243="c"),H243," ")</f>
        <v> </v>
      </c>
      <c r="Q243" s="17" t="str">
        <f aca="false">IF((E243="o"),H243," ")</f>
        <v> </v>
      </c>
      <c r="R243" s="17" t="str">
        <f aca="false">IF((E243="d"),H243," ")</f>
        <v> </v>
      </c>
      <c r="S243" s="17" t="str">
        <f aca="false">IF((E243="w"),H243," ")</f>
        <v> </v>
      </c>
      <c r="T243" s="17" t="str">
        <f aca="false">IF((E243="r"),H243," ")</f>
        <v> </v>
      </c>
      <c r="U243" s="17" t="str">
        <f aca="false">IF((E243="p"),H243," ")</f>
        <v> </v>
      </c>
      <c r="V243" s="17" t="str">
        <f aca="false">IF((E243="t"),H243," ")</f>
        <v> </v>
      </c>
      <c r="W243" s="17" t="str">
        <f aca="false">IF((E243="q"),H243," ")</f>
        <v> </v>
      </c>
      <c r="X243" s="17" t="str">
        <f aca="false">IF((E243="m"),H243," ")</f>
        <v> </v>
      </c>
      <c r="Y243" s="17" t="str">
        <f aca="false">IF((E243="u"),H243," ")</f>
        <v> </v>
      </c>
      <c r="Z243" s="17" t="str">
        <f aca="false">IF((E243="a"),H243," ")</f>
        <v> </v>
      </c>
      <c r="AA243" s="17" t="str">
        <f aca="false">IF((E243="g"),H243," ")</f>
        <v> </v>
      </c>
      <c r="AB243" s="17" t="str">
        <f aca="false">IF((E243="h"),H243," ")</f>
        <v> </v>
      </c>
      <c r="AC243" s="30" t="str">
        <f aca="false">IF((E243="v"),H243," ")</f>
        <v> </v>
      </c>
      <c r="AD243" s="30" t="str">
        <f aca="false">IF((E243="n"),H243," ")</f>
        <v> </v>
      </c>
      <c r="AE243" s="17" t="str">
        <f aca="false">IF((E243="f"),H243," ")</f>
        <v> </v>
      </c>
      <c r="AF243" s="17" t="str">
        <f aca="false">IF((E243="l"),H243," ")</f>
        <v> </v>
      </c>
      <c r="AG243" s="17" t="str">
        <f aca="false">IF((E243="y"),H243," ")</f>
        <v> </v>
      </c>
      <c r="AH243" s="17" t="str">
        <f aca="false">IF((E243="z"),H243," ")</f>
        <v> </v>
      </c>
      <c r="AI243" s="17" t="str">
        <f aca="false">IF((E243="fa"),H243," ")</f>
        <v> </v>
      </c>
      <c r="AJ243" s="17" t="str">
        <f aca="false">IF((E243="e"),H243," ")</f>
        <v> </v>
      </c>
    </row>
    <row r="244" customFormat="false" ht="12" hidden="false" customHeight="false" outlineLevel="0" collapsed="false">
      <c r="A244" s="28"/>
      <c r="E244" s="2" t="str">
        <f aca="false">IF((F244&lt;&gt;0),"Enter Letter"," ")</f>
        <v> </v>
      </c>
      <c r="F244" s="30"/>
      <c r="G244" s="6" t="str">
        <f aca="false">IF(F244&lt;&gt;0,F244*G$2/(100+G$2)," ")</f>
        <v> </v>
      </c>
      <c r="H244" s="6" t="str">
        <f aca="false">IF((F244&lt;&gt;0),F244-G244," ")</f>
        <v> </v>
      </c>
      <c r="I244" s="5"/>
      <c r="L244" s="7" t="str">
        <f aca="false">IF(F244&lt;&gt;0,F244-K244," ")</f>
        <v> </v>
      </c>
      <c r="M244" s="8" t="str">
        <f aca="false">IF((F244-K244)&lt;&gt;0,M$1-A244," ")</f>
        <v> </v>
      </c>
      <c r="N244" s="5"/>
      <c r="O244" s="17" t="str">
        <f aca="false">IF((E244="s"),H244," ")</f>
        <v> </v>
      </c>
      <c r="P244" s="17" t="str">
        <f aca="false">IF((E244="c"),H244," ")</f>
        <v> </v>
      </c>
      <c r="Q244" s="17" t="str">
        <f aca="false">IF((E244="o"),H244," ")</f>
        <v> </v>
      </c>
      <c r="R244" s="17" t="str">
        <f aca="false">IF((E244="d"),H244," ")</f>
        <v> </v>
      </c>
      <c r="S244" s="17" t="str">
        <f aca="false">IF((E244="w"),H244," ")</f>
        <v> </v>
      </c>
      <c r="T244" s="17" t="str">
        <f aca="false">IF((E244="r"),H244," ")</f>
        <v> </v>
      </c>
      <c r="U244" s="17" t="str">
        <f aca="false">IF((E244="p"),H244," ")</f>
        <v> </v>
      </c>
      <c r="V244" s="17" t="str">
        <f aca="false">IF((E244="t"),H244," ")</f>
        <v> </v>
      </c>
      <c r="W244" s="17" t="str">
        <f aca="false">IF((E244="q"),H244," ")</f>
        <v> </v>
      </c>
      <c r="X244" s="17" t="str">
        <f aca="false">IF((E244="m"),H244," ")</f>
        <v> </v>
      </c>
      <c r="Y244" s="17" t="str">
        <f aca="false">IF((E244="u"),H244," ")</f>
        <v> </v>
      </c>
      <c r="Z244" s="17" t="str">
        <f aca="false">IF((E244="a"),H244," ")</f>
        <v> </v>
      </c>
      <c r="AA244" s="17" t="str">
        <f aca="false">IF((E244="g"),H244," ")</f>
        <v> </v>
      </c>
      <c r="AB244" s="17" t="str">
        <f aca="false">IF((E244="h"),H244," ")</f>
        <v> </v>
      </c>
      <c r="AC244" s="30" t="str">
        <f aca="false">IF((E244="v"),H244," ")</f>
        <v> </v>
      </c>
      <c r="AD244" s="30" t="str">
        <f aca="false">IF((E244="n"),H244," ")</f>
        <v> </v>
      </c>
      <c r="AE244" s="17" t="str">
        <f aca="false">IF((E244="f"),H244," ")</f>
        <v> </v>
      </c>
      <c r="AF244" s="17" t="str">
        <f aca="false">IF((E244="l"),H244," ")</f>
        <v> </v>
      </c>
      <c r="AG244" s="17" t="str">
        <f aca="false">IF((E244="y"),H244," ")</f>
        <v> </v>
      </c>
      <c r="AH244" s="17" t="str">
        <f aca="false">IF((E244="z"),H244," ")</f>
        <v> </v>
      </c>
      <c r="AI244" s="17" t="str">
        <f aca="false">IF((E244="fa"),H244," ")</f>
        <v> </v>
      </c>
      <c r="AJ244" s="17" t="str">
        <f aca="false">IF((E244="e"),H244," ")</f>
        <v> </v>
      </c>
    </row>
    <row r="245" customFormat="false" ht="12" hidden="false" customHeight="false" outlineLevel="0" collapsed="false">
      <c r="A245" s="28"/>
      <c r="E245" s="2" t="str">
        <f aca="false">IF((F245&lt;&gt;0),"Enter Letter"," ")</f>
        <v> </v>
      </c>
      <c r="F245" s="30"/>
      <c r="G245" s="6" t="str">
        <f aca="false">IF(F245&lt;&gt;0,F245*G$2/(100+G$2)," ")</f>
        <v> </v>
      </c>
      <c r="H245" s="6" t="str">
        <f aca="false">IF((F245&lt;&gt;0),F245-G245," ")</f>
        <v> </v>
      </c>
      <c r="I245" s="5"/>
      <c r="L245" s="7" t="str">
        <f aca="false">IF(F245&lt;&gt;0,F245-K245," ")</f>
        <v> </v>
      </c>
      <c r="M245" s="8" t="str">
        <f aca="false">IF((F245-K245)&lt;&gt;0,M$1-A245," ")</f>
        <v> </v>
      </c>
      <c r="N245" s="5"/>
      <c r="O245" s="17" t="str">
        <f aca="false">IF((E245="s"),H245," ")</f>
        <v> </v>
      </c>
      <c r="P245" s="17" t="str">
        <f aca="false">IF((E245="c"),H245," ")</f>
        <v> </v>
      </c>
      <c r="Q245" s="17" t="str">
        <f aca="false">IF((E245="o"),H245," ")</f>
        <v> </v>
      </c>
      <c r="R245" s="17" t="str">
        <f aca="false">IF((E245="d"),H245," ")</f>
        <v> </v>
      </c>
      <c r="S245" s="17" t="str">
        <f aca="false">IF((E245="w"),H245," ")</f>
        <v> </v>
      </c>
      <c r="T245" s="17" t="str">
        <f aca="false">IF((E245="r"),H245," ")</f>
        <v> </v>
      </c>
      <c r="U245" s="17" t="str">
        <f aca="false">IF((E245="p"),H245," ")</f>
        <v> </v>
      </c>
      <c r="V245" s="17" t="str">
        <f aca="false">IF((E245="t"),H245," ")</f>
        <v> </v>
      </c>
      <c r="W245" s="17" t="str">
        <f aca="false">IF((E245="q"),H245," ")</f>
        <v> </v>
      </c>
      <c r="X245" s="17" t="str">
        <f aca="false">IF((E245="m"),H245," ")</f>
        <v> </v>
      </c>
      <c r="Y245" s="17" t="str">
        <f aca="false">IF((E245="u"),H245," ")</f>
        <v> </v>
      </c>
      <c r="Z245" s="17" t="str">
        <f aca="false">IF((E245="a"),H245," ")</f>
        <v> </v>
      </c>
      <c r="AA245" s="17" t="str">
        <f aca="false">IF((E245="g"),H245," ")</f>
        <v> </v>
      </c>
      <c r="AB245" s="17" t="str">
        <f aca="false">IF((E245="h"),H245," ")</f>
        <v> </v>
      </c>
      <c r="AC245" s="30" t="str">
        <f aca="false">IF((E245="v"),H245," ")</f>
        <v> </v>
      </c>
      <c r="AD245" s="30" t="str">
        <f aca="false">IF((E245="n"),H245," ")</f>
        <v> </v>
      </c>
      <c r="AE245" s="17" t="str">
        <f aca="false">IF((E245="f"),H245," ")</f>
        <v> </v>
      </c>
      <c r="AF245" s="17" t="str">
        <f aca="false">IF((E245="l"),H245," ")</f>
        <v> </v>
      </c>
      <c r="AG245" s="17" t="str">
        <f aca="false">IF((E245="y"),H245," ")</f>
        <v> </v>
      </c>
      <c r="AH245" s="17" t="str">
        <f aca="false">IF((E245="z"),H245," ")</f>
        <v> </v>
      </c>
      <c r="AI245" s="17" t="str">
        <f aca="false">IF((E245="fa"),H245," ")</f>
        <v> </v>
      </c>
      <c r="AJ245" s="17" t="str">
        <f aca="false">IF((E245="e"),H245," ")</f>
        <v> </v>
      </c>
    </row>
    <row r="246" customFormat="false" ht="12" hidden="false" customHeight="false" outlineLevel="0" collapsed="false">
      <c r="A246" s="28"/>
      <c r="E246" s="2" t="str">
        <f aca="false">IF((F246&lt;&gt;0),"Enter Letter"," ")</f>
        <v> </v>
      </c>
      <c r="F246" s="30"/>
      <c r="G246" s="6" t="str">
        <f aca="false">IF(F246&lt;&gt;0,F246*G$2/(100+G$2)," ")</f>
        <v> </v>
      </c>
      <c r="H246" s="6" t="str">
        <f aca="false">IF((F246&lt;&gt;0),F246-G246," ")</f>
        <v> </v>
      </c>
      <c r="I246" s="5"/>
      <c r="L246" s="7" t="str">
        <f aca="false">IF(F246&lt;&gt;0,F246-K246," ")</f>
        <v> </v>
      </c>
      <c r="M246" s="8" t="str">
        <f aca="false">IF((F246-K246)&lt;&gt;0,M$1-A246," ")</f>
        <v> </v>
      </c>
      <c r="N246" s="5"/>
      <c r="O246" s="17" t="str">
        <f aca="false">IF((E246="s"),H246," ")</f>
        <v> </v>
      </c>
      <c r="P246" s="17" t="str">
        <f aca="false">IF((E246="c"),H246," ")</f>
        <v> </v>
      </c>
      <c r="Q246" s="17" t="str">
        <f aca="false">IF((E246="o"),H246," ")</f>
        <v> </v>
      </c>
      <c r="R246" s="17" t="str">
        <f aca="false">IF((E246="d"),H246," ")</f>
        <v> </v>
      </c>
      <c r="S246" s="17" t="str">
        <f aca="false">IF((E246="w"),H246," ")</f>
        <v> </v>
      </c>
      <c r="T246" s="17" t="str">
        <f aca="false">IF((E246="r"),H246," ")</f>
        <v> </v>
      </c>
      <c r="U246" s="17" t="str">
        <f aca="false">IF((E246="p"),H246," ")</f>
        <v> </v>
      </c>
      <c r="V246" s="17" t="str">
        <f aca="false">IF((E246="t"),H246," ")</f>
        <v> </v>
      </c>
      <c r="W246" s="17" t="str">
        <f aca="false">IF((E246="q"),H246," ")</f>
        <v> </v>
      </c>
      <c r="X246" s="17" t="str">
        <f aca="false">IF((E246="m"),H246," ")</f>
        <v> </v>
      </c>
      <c r="Y246" s="17" t="str">
        <f aca="false">IF((E246="u"),H246," ")</f>
        <v> </v>
      </c>
      <c r="Z246" s="17" t="str">
        <f aca="false">IF((E246="a"),H246," ")</f>
        <v> </v>
      </c>
      <c r="AA246" s="17" t="str">
        <f aca="false">IF((E246="g"),H246," ")</f>
        <v> </v>
      </c>
      <c r="AB246" s="17" t="str">
        <f aca="false">IF((E246="h"),H246," ")</f>
        <v> </v>
      </c>
      <c r="AC246" s="30" t="str">
        <f aca="false">IF((E246="v"),H246," ")</f>
        <v> </v>
      </c>
      <c r="AD246" s="30" t="str">
        <f aca="false">IF((E246="n"),H246," ")</f>
        <v> </v>
      </c>
      <c r="AE246" s="17" t="str">
        <f aca="false">IF((E246="f"),H246," ")</f>
        <v> </v>
      </c>
      <c r="AF246" s="17" t="str">
        <f aca="false">IF((E246="l"),H246," ")</f>
        <v> </v>
      </c>
      <c r="AG246" s="17" t="str">
        <f aca="false">IF((E246="y"),H246," ")</f>
        <v> </v>
      </c>
      <c r="AH246" s="17" t="str">
        <f aca="false">IF((E246="z"),H246," ")</f>
        <v> </v>
      </c>
      <c r="AI246" s="17" t="str">
        <f aca="false">IF((E246="fa"),H246," ")</f>
        <v> </v>
      </c>
      <c r="AJ246" s="17" t="str">
        <f aca="false">IF((E246="e"),H246," ")</f>
        <v> </v>
      </c>
    </row>
    <row r="247" customFormat="false" ht="12" hidden="false" customHeight="false" outlineLevel="0" collapsed="false">
      <c r="A247" s="28"/>
      <c r="E247" s="2" t="str">
        <f aca="false">IF((F247&lt;&gt;0),"Enter Letter"," ")</f>
        <v> </v>
      </c>
      <c r="F247" s="30"/>
      <c r="G247" s="6" t="str">
        <f aca="false">IF(F247&lt;&gt;0,F247*G$2/(100+G$2)," ")</f>
        <v> </v>
      </c>
      <c r="H247" s="6" t="str">
        <f aca="false">IF((F247&lt;&gt;0),F247-G247," ")</f>
        <v> </v>
      </c>
      <c r="I247" s="5"/>
      <c r="L247" s="7" t="str">
        <f aca="false">IF(F247&lt;&gt;0,F247-K247," ")</f>
        <v> </v>
      </c>
      <c r="M247" s="8" t="str">
        <f aca="false">IF((F247-K247)&lt;&gt;0,M$1-A247," ")</f>
        <v> </v>
      </c>
      <c r="N247" s="5"/>
      <c r="O247" s="17" t="str">
        <f aca="false">IF((E247="s"),H247," ")</f>
        <v> </v>
      </c>
      <c r="P247" s="17" t="str">
        <f aca="false">IF((E247="c"),H247," ")</f>
        <v> </v>
      </c>
      <c r="Q247" s="17" t="str">
        <f aca="false">IF((E247="o"),H247," ")</f>
        <v> </v>
      </c>
      <c r="R247" s="17" t="str">
        <f aca="false">IF((E247="d"),H247," ")</f>
        <v> </v>
      </c>
      <c r="S247" s="17" t="str">
        <f aca="false">IF((E247="w"),H247," ")</f>
        <v> </v>
      </c>
      <c r="T247" s="17" t="str">
        <f aca="false">IF((E247="r"),H247," ")</f>
        <v> </v>
      </c>
      <c r="U247" s="17" t="str">
        <f aca="false">IF((E247="p"),H247," ")</f>
        <v> </v>
      </c>
      <c r="V247" s="17" t="str">
        <f aca="false">IF((E247="t"),H247," ")</f>
        <v> </v>
      </c>
      <c r="W247" s="17" t="str">
        <f aca="false">IF((E247="q"),H247," ")</f>
        <v> </v>
      </c>
      <c r="X247" s="17" t="str">
        <f aca="false">IF((E247="m"),H247," ")</f>
        <v> </v>
      </c>
      <c r="Y247" s="17" t="str">
        <f aca="false">IF((E247="u"),H247," ")</f>
        <v> </v>
      </c>
      <c r="Z247" s="17" t="str">
        <f aca="false">IF((E247="a"),H247," ")</f>
        <v> </v>
      </c>
      <c r="AA247" s="17" t="str">
        <f aca="false">IF((E247="g"),H247," ")</f>
        <v> </v>
      </c>
      <c r="AB247" s="17" t="str">
        <f aca="false">IF((E247="h"),H247," ")</f>
        <v> </v>
      </c>
      <c r="AC247" s="30" t="str">
        <f aca="false">IF((E247="v"),H247," ")</f>
        <v> </v>
      </c>
      <c r="AD247" s="30" t="str">
        <f aca="false">IF((E247="n"),H247," ")</f>
        <v> </v>
      </c>
      <c r="AE247" s="17" t="str">
        <f aca="false">IF((E247="f"),H247," ")</f>
        <v> </v>
      </c>
      <c r="AF247" s="17" t="str">
        <f aca="false">IF((E247="l"),H247," ")</f>
        <v> </v>
      </c>
      <c r="AG247" s="17" t="str">
        <f aca="false">IF((E247="y"),H247," ")</f>
        <v> </v>
      </c>
      <c r="AH247" s="17" t="str">
        <f aca="false">IF((E247="z"),H247," ")</f>
        <v> </v>
      </c>
      <c r="AI247" s="17" t="str">
        <f aca="false">IF((E247="fa"),H247," ")</f>
        <v> </v>
      </c>
      <c r="AJ247" s="17" t="str">
        <f aca="false">IF((E247="e"),H247," ")</f>
        <v> </v>
      </c>
    </row>
    <row r="248" customFormat="false" ht="12" hidden="false" customHeight="false" outlineLevel="0" collapsed="false">
      <c r="A248" s="28"/>
      <c r="E248" s="2" t="str">
        <f aca="false">IF((F248&lt;&gt;0),"Enter Letter"," ")</f>
        <v> </v>
      </c>
      <c r="F248" s="30"/>
      <c r="G248" s="6" t="str">
        <f aca="false">IF(F248&lt;&gt;0,F248*G$2/(100+G$2)," ")</f>
        <v> </v>
      </c>
      <c r="H248" s="6" t="str">
        <f aca="false">IF((F248&lt;&gt;0),F248-G248," ")</f>
        <v> </v>
      </c>
      <c r="I248" s="5"/>
      <c r="L248" s="7" t="str">
        <f aca="false">IF(F248&lt;&gt;0,F248-K248," ")</f>
        <v> </v>
      </c>
      <c r="M248" s="8" t="str">
        <f aca="false">IF((F248-K248)&lt;&gt;0,M$1-A248," ")</f>
        <v> </v>
      </c>
      <c r="N248" s="5"/>
      <c r="O248" s="17" t="str">
        <f aca="false">IF((E248="s"),H248," ")</f>
        <v> </v>
      </c>
      <c r="P248" s="17" t="str">
        <f aca="false">IF((E248="c"),H248," ")</f>
        <v> </v>
      </c>
      <c r="Q248" s="17" t="str">
        <f aca="false">IF((E248="o"),H248," ")</f>
        <v> </v>
      </c>
      <c r="R248" s="17" t="str">
        <f aca="false">IF((E248="d"),H248," ")</f>
        <v> </v>
      </c>
      <c r="S248" s="17" t="str">
        <f aca="false">IF((E248="w"),H248," ")</f>
        <v> </v>
      </c>
      <c r="T248" s="17" t="str">
        <f aca="false">IF((E248="r"),H248," ")</f>
        <v> </v>
      </c>
      <c r="U248" s="17" t="str">
        <f aca="false">IF((E248="p"),H248," ")</f>
        <v> </v>
      </c>
      <c r="V248" s="17" t="str">
        <f aca="false">IF((E248="t"),H248," ")</f>
        <v> </v>
      </c>
      <c r="W248" s="17" t="str">
        <f aca="false">IF((E248="q"),H248," ")</f>
        <v> </v>
      </c>
      <c r="X248" s="17" t="str">
        <f aca="false">IF((E248="m"),H248," ")</f>
        <v> </v>
      </c>
      <c r="Y248" s="17" t="str">
        <f aca="false">IF((E248="u"),H248," ")</f>
        <v> </v>
      </c>
      <c r="Z248" s="17" t="str">
        <f aca="false">IF((E248="a"),H248," ")</f>
        <v> </v>
      </c>
      <c r="AA248" s="17" t="str">
        <f aca="false">IF((E248="g"),H248," ")</f>
        <v> </v>
      </c>
      <c r="AB248" s="17" t="str">
        <f aca="false">IF((E248="h"),H248," ")</f>
        <v> </v>
      </c>
      <c r="AC248" s="30" t="str">
        <f aca="false">IF((E248="v"),H248," ")</f>
        <v> </v>
      </c>
      <c r="AD248" s="30" t="str">
        <f aca="false">IF((E248="n"),H248," ")</f>
        <v> </v>
      </c>
      <c r="AE248" s="17" t="str">
        <f aca="false">IF((E248="f"),H248," ")</f>
        <v> </v>
      </c>
      <c r="AF248" s="17" t="str">
        <f aca="false">IF((E248="l"),H248," ")</f>
        <v> </v>
      </c>
      <c r="AG248" s="17" t="str">
        <f aca="false">IF((E248="y"),H248," ")</f>
        <v> </v>
      </c>
      <c r="AH248" s="17" t="str">
        <f aca="false">IF((E248="z"),H248," ")</f>
        <v> </v>
      </c>
      <c r="AI248" s="17" t="str">
        <f aca="false">IF((E248="fa"),H248," ")</f>
        <v> </v>
      </c>
      <c r="AJ248" s="17" t="str">
        <f aca="false">IF((E248="e"),H248," ")</f>
        <v> </v>
      </c>
    </row>
    <row r="249" customFormat="false" ht="12" hidden="false" customHeight="false" outlineLevel="0" collapsed="false">
      <c r="A249" s="28"/>
      <c r="E249" s="2" t="str">
        <f aca="false">IF((F249&lt;&gt;0),"Enter Letter"," ")</f>
        <v> </v>
      </c>
      <c r="F249" s="30"/>
      <c r="G249" s="6" t="str">
        <f aca="false">IF(F249&lt;&gt;0,F249*G$2/(100+G$2)," ")</f>
        <v> </v>
      </c>
      <c r="H249" s="6" t="str">
        <f aca="false">IF((F249&lt;&gt;0),F249-G249," ")</f>
        <v> </v>
      </c>
      <c r="I249" s="5"/>
      <c r="L249" s="7" t="str">
        <f aca="false">IF(F249&lt;&gt;0,F249-K249," ")</f>
        <v> </v>
      </c>
      <c r="M249" s="8" t="str">
        <f aca="false">IF((F249-K249)&lt;&gt;0,M$1-A249," ")</f>
        <v> </v>
      </c>
      <c r="N249" s="5"/>
      <c r="O249" s="17" t="str">
        <f aca="false">IF((E249="s"),H249," ")</f>
        <v> </v>
      </c>
      <c r="P249" s="17" t="str">
        <f aca="false">IF((E249="c"),H249," ")</f>
        <v> </v>
      </c>
      <c r="Q249" s="17" t="str">
        <f aca="false">IF((E249="o"),H249," ")</f>
        <v> </v>
      </c>
      <c r="R249" s="17" t="str">
        <f aca="false">IF((E249="d"),H249," ")</f>
        <v> </v>
      </c>
      <c r="S249" s="17" t="str">
        <f aca="false">IF((E249="w"),H249," ")</f>
        <v> </v>
      </c>
      <c r="T249" s="17" t="str">
        <f aca="false">IF((E249="r"),H249," ")</f>
        <v> </v>
      </c>
      <c r="U249" s="17" t="str">
        <f aca="false">IF((E249="p"),H249," ")</f>
        <v> </v>
      </c>
      <c r="V249" s="17" t="str">
        <f aca="false">IF((E249="t"),H249," ")</f>
        <v> </v>
      </c>
      <c r="W249" s="17" t="str">
        <f aca="false">IF((E249="q"),H249," ")</f>
        <v> </v>
      </c>
      <c r="X249" s="17" t="str">
        <f aca="false">IF((E249="m"),H249," ")</f>
        <v> </v>
      </c>
      <c r="Y249" s="17" t="str">
        <f aca="false">IF((E249="u"),H249," ")</f>
        <v> </v>
      </c>
      <c r="Z249" s="17" t="str">
        <f aca="false">IF((E249="a"),H249," ")</f>
        <v> </v>
      </c>
      <c r="AA249" s="17" t="str">
        <f aca="false">IF((E249="g"),H249," ")</f>
        <v> </v>
      </c>
      <c r="AB249" s="17" t="str">
        <f aca="false">IF((E249="h"),H249," ")</f>
        <v> </v>
      </c>
      <c r="AC249" s="30" t="str">
        <f aca="false">IF((E249="v"),H249," ")</f>
        <v> </v>
      </c>
      <c r="AD249" s="30" t="str">
        <f aca="false">IF((E249="n"),H249," ")</f>
        <v> </v>
      </c>
      <c r="AE249" s="17" t="str">
        <f aca="false">IF((E249="f"),H249," ")</f>
        <v> </v>
      </c>
      <c r="AF249" s="17" t="str">
        <f aca="false">IF((E249="l"),H249," ")</f>
        <v> </v>
      </c>
      <c r="AG249" s="17" t="str">
        <f aca="false">IF((E249="y"),H249," ")</f>
        <v> </v>
      </c>
      <c r="AH249" s="17" t="str">
        <f aca="false">IF((E249="z"),H249," ")</f>
        <v> </v>
      </c>
      <c r="AI249" s="17" t="str">
        <f aca="false">IF((E249="fa"),H249," ")</f>
        <v> </v>
      </c>
      <c r="AJ249" s="17" t="str">
        <f aca="false">IF((E249="e"),H249," ")</f>
        <v> </v>
      </c>
    </row>
    <row r="250" customFormat="false" ht="12" hidden="false" customHeight="false" outlineLevel="0" collapsed="false">
      <c r="A250" s="28"/>
      <c r="E250" s="2" t="str">
        <f aca="false">IF((F250&lt;&gt;0),"Enter Letter"," ")</f>
        <v> </v>
      </c>
      <c r="F250" s="30"/>
      <c r="G250" s="6" t="str">
        <f aca="false">IF(F250&lt;&gt;0,F250*G$2/(100+G$2)," ")</f>
        <v> </v>
      </c>
      <c r="H250" s="6" t="str">
        <f aca="false">IF((F250&lt;&gt;0),F250-G250," ")</f>
        <v> </v>
      </c>
      <c r="I250" s="5"/>
      <c r="L250" s="7" t="str">
        <f aca="false">IF(F250&lt;&gt;0,F250-K250," ")</f>
        <v> </v>
      </c>
      <c r="M250" s="8" t="str">
        <f aca="false">IF((F250-K250)&lt;&gt;0,M$1-A250," ")</f>
        <v> </v>
      </c>
      <c r="N250" s="5"/>
      <c r="O250" s="17" t="str">
        <f aca="false">IF((E250="s"),H250," ")</f>
        <v> </v>
      </c>
      <c r="P250" s="17" t="str">
        <f aca="false">IF((E250="c"),H250," ")</f>
        <v> </v>
      </c>
      <c r="Q250" s="17" t="str">
        <f aca="false">IF((E250="o"),H250," ")</f>
        <v> </v>
      </c>
      <c r="R250" s="17" t="str">
        <f aca="false">IF((E250="d"),H250," ")</f>
        <v> </v>
      </c>
      <c r="S250" s="17" t="str">
        <f aca="false">IF((E250="w"),H250," ")</f>
        <v> </v>
      </c>
      <c r="T250" s="17" t="str">
        <f aca="false">IF((E250="r"),H250," ")</f>
        <v> </v>
      </c>
      <c r="U250" s="17" t="str">
        <f aca="false">IF((E250="p"),H250," ")</f>
        <v> </v>
      </c>
      <c r="V250" s="17" t="str">
        <f aca="false">IF((E250="t"),H250," ")</f>
        <v> </v>
      </c>
      <c r="W250" s="17" t="str">
        <f aca="false">IF((E250="q"),H250," ")</f>
        <v> </v>
      </c>
      <c r="X250" s="17" t="str">
        <f aca="false">IF((E250="m"),H250," ")</f>
        <v> </v>
      </c>
      <c r="Y250" s="17" t="str">
        <f aca="false">IF((E250="u"),H250," ")</f>
        <v> </v>
      </c>
      <c r="Z250" s="17" t="str">
        <f aca="false">IF((E250="a"),H250," ")</f>
        <v> </v>
      </c>
      <c r="AA250" s="17" t="str">
        <f aca="false">IF((E250="g"),H250," ")</f>
        <v> </v>
      </c>
      <c r="AB250" s="17" t="str">
        <f aca="false">IF((E250="h"),H250," ")</f>
        <v> </v>
      </c>
      <c r="AC250" s="30" t="str">
        <f aca="false">IF((E250="v"),H250," ")</f>
        <v> </v>
      </c>
      <c r="AD250" s="30" t="str">
        <f aca="false">IF((E250="n"),H250," ")</f>
        <v> </v>
      </c>
      <c r="AE250" s="17" t="str">
        <f aca="false">IF((E250="f"),H250," ")</f>
        <v> </v>
      </c>
      <c r="AF250" s="17" t="str">
        <f aca="false">IF((E250="l"),H250," ")</f>
        <v> </v>
      </c>
      <c r="AG250" s="17" t="str">
        <f aca="false">IF((E250="y"),H250," ")</f>
        <v> </v>
      </c>
      <c r="AH250" s="17" t="str">
        <f aca="false">IF((E250="z"),H250," ")</f>
        <v> </v>
      </c>
      <c r="AI250" s="17" t="str">
        <f aca="false">IF((E250="fa"),H250," ")</f>
        <v> </v>
      </c>
      <c r="AJ250" s="17" t="str">
        <f aca="false">IF((E250="e"),H250," ")</f>
        <v> </v>
      </c>
    </row>
    <row r="251" customFormat="false" ht="12" hidden="false" customHeight="false" outlineLevel="0" collapsed="false">
      <c r="A251" s="28"/>
      <c r="E251" s="2" t="str">
        <f aca="false">IF((F251&lt;&gt;0),"Enter Letter"," ")</f>
        <v> </v>
      </c>
      <c r="F251" s="30"/>
      <c r="G251" s="6" t="str">
        <f aca="false">IF(F251&lt;&gt;0,F251*G$2/(100+G$2)," ")</f>
        <v> </v>
      </c>
      <c r="H251" s="6" t="str">
        <f aca="false">IF((F251&lt;&gt;0),F251-G251," ")</f>
        <v> </v>
      </c>
      <c r="I251" s="5"/>
      <c r="L251" s="7" t="str">
        <f aca="false">IF(F251&lt;&gt;0,F251-K251," ")</f>
        <v> </v>
      </c>
      <c r="M251" s="8" t="str">
        <f aca="false">IF((F251-K251)&lt;&gt;0,M$1-A251," ")</f>
        <v> </v>
      </c>
      <c r="N251" s="5"/>
      <c r="O251" s="17" t="str">
        <f aca="false">IF((E251="s"),H251," ")</f>
        <v> </v>
      </c>
      <c r="P251" s="17" t="str">
        <f aca="false">IF((E251="c"),H251," ")</f>
        <v> </v>
      </c>
      <c r="Q251" s="17" t="str">
        <f aca="false">IF((E251="o"),H251," ")</f>
        <v> </v>
      </c>
      <c r="R251" s="17" t="str">
        <f aca="false">IF((E251="d"),H251," ")</f>
        <v> </v>
      </c>
      <c r="S251" s="17" t="str">
        <f aca="false">IF((E251="w"),H251," ")</f>
        <v> </v>
      </c>
      <c r="T251" s="17" t="str">
        <f aca="false">IF((E251="r"),H251," ")</f>
        <v> </v>
      </c>
      <c r="U251" s="17" t="str">
        <f aca="false">IF((E251="p"),H251," ")</f>
        <v> </v>
      </c>
      <c r="V251" s="17" t="str">
        <f aca="false">IF((E251="t"),H251," ")</f>
        <v> </v>
      </c>
      <c r="W251" s="17" t="str">
        <f aca="false">IF((E251="q"),H251," ")</f>
        <v> </v>
      </c>
      <c r="X251" s="17" t="str">
        <f aca="false">IF((E251="m"),H251," ")</f>
        <v> </v>
      </c>
      <c r="Y251" s="17" t="str">
        <f aca="false">IF((E251="u"),H251," ")</f>
        <v> </v>
      </c>
      <c r="Z251" s="17" t="str">
        <f aca="false">IF((E251="a"),H251," ")</f>
        <v> </v>
      </c>
      <c r="AA251" s="17" t="str">
        <f aca="false">IF((E251="g"),H251," ")</f>
        <v> </v>
      </c>
      <c r="AB251" s="17" t="str">
        <f aca="false">IF((E251="h"),H251," ")</f>
        <v> </v>
      </c>
      <c r="AC251" s="30" t="str">
        <f aca="false">IF((E251="v"),H251," ")</f>
        <v> </v>
      </c>
      <c r="AD251" s="30" t="str">
        <f aca="false">IF((E251="n"),H251," ")</f>
        <v> </v>
      </c>
      <c r="AE251" s="17" t="str">
        <f aca="false">IF((E251="f"),H251," ")</f>
        <v> </v>
      </c>
      <c r="AF251" s="17" t="str">
        <f aca="false">IF((E251="l"),H251," ")</f>
        <v> </v>
      </c>
      <c r="AG251" s="17" t="str">
        <f aca="false">IF((E251="y"),H251," ")</f>
        <v> </v>
      </c>
      <c r="AH251" s="17" t="str">
        <f aca="false">IF((E251="z"),H251," ")</f>
        <v> </v>
      </c>
      <c r="AI251" s="17" t="str">
        <f aca="false">IF((E251="fa"),H251," ")</f>
        <v> </v>
      </c>
      <c r="AJ251" s="17" t="str">
        <f aca="false">IF((E251="e"),H251," ")</f>
        <v> </v>
      </c>
    </row>
    <row r="252" customFormat="false" ht="12" hidden="false" customHeight="false" outlineLevel="0" collapsed="false">
      <c r="A252" s="28"/>
      <c r="E252" s="2" t="str">
        <f aca="false">IF((F252&lt;&gt;0),"Enter Letter"," ")</f>
        <v> </v>
      </c>
      <c r="F252" s="30"/>
      <c r="G252" s="6" t="str">
        <f aca="false">IF(F252&lt;&gt;0,F252*G$2/(100+G$2)," ")</f>
        <v> </v>
      </c>
      <c r="H252" s="6" t="str">
        <f aca="false">IF((F252&lt;&gt;0),F252-G252," ")</f>
        <v> </v>
      </c>
      <c r="I252" s="5"/>
      <c r="L252" s="7" t="str">
        <f aca="false">IF(F252&lt;&gt;0,F252-K252," ")</f>
        <v> </v>
      </c>
      <c r="M252" s="8" t="str">
        <f aca="false">IF((F252-K252)&lt;&gt;0,M$1-A252," ")</f>
        <v> </v>
      </c>
      <c r="N252" s="5"/>
      <c r="O252" s="17" t="str">
        <f aca="false">IF((E252="s"),H252," ")</f>
        <v> </v>
      </c>
      <c r="P252" s="17" t="str">
        <f aca="false">IF((E252="c"),H252," ")</f>
        <v> </v>
      </c>
      <c r="Q252" s="17" t="str">
        <f aca="false">IF((E252="o"),H252," ")</f>
        <v> </v>
      </c>
      <c r="R252" s="17" t="str">
        <f aca="false">IF((E252="d"),H252," ")</f>
        <v> </v>
      </c>
      <c r="S252" s="17" t="str">
        <f aca="false">IF((E252="w"),H252," ")</f>
        <v> </v>
      </c>
      <c r="T252" s="17" t="str">
        <f aca="false">IF((E252="r"),H252," ")</f>
        <v> </v>
      </c>
      <c r="U252" s="17" t="str">
        <f aca="false">IF((E252="p"),H252," ")</f>
        <v> </v>
      </c>
      <c r="V252" s="17" t="str">
        <f aca="false">IF((E252="t"),H252," ")</f>
        <v> </v>
      </c>
      <c r="W252" s="17" t="str">
        <f aca="false">IF((E252="q"),H252," ")</f>
        <v> </v>
      </c>
      <c r="X252" s="17" t="str">
        <f aca="false">IF((E252="m"),H252," ")</f>
        <v> </v>
      </c>
      <c r="Y252" s="17" t="str">
        <f aca="false">IF((E252="u"),H252," ")</f>
        <v> </v>
      </c>
      <c r="Z252" s="17" t="str">
        <f aca="false">IF((E252="a"),H252," ")</f>
        <v> </v>
      </c>
      <c r="AA252" s="17" t="str">
        <f aca="false">IF((E252="g"),H252," ")</f>
        <v> </v>
      </c>
      <c r="AB252" s="17" t="str">
        <f aca="false">IF((E252="h"),H252," ")</f>
        <v> </v>
      </c>
      <c r="AC252" s="30" t="str">
        <f aca="false">IF((E252="v"),H252," ")</f>
        <v> </v>
      </c>
      <c r="AD252" s="30" t="str">
        <f aca="false">IF((E252="n"),H252," ")</f>
        <v> </v>
      </c>
      <c r="AE252" s="17" t="str">
        <f aca="false">IF((E252="f"),H252," ")</f>
        <v> </v>
      </c>
      <c r="AF252" s="17" t="str">
        <f aca="false">IF((E252="l"),H252," ")</f>
        <v> </v>
      </c>
      <c r="AG252" s="17" t="str">
        <f aca="false">IF((E252="y"),H252," ")</f>
        <v> </v>
      </c>
      <c r="AH252" s="17" t="str">
        <f aca="false">IF((E252="z"),H252," ")</f>
        <v> </v>
      </c>
      <c r="AI252" s="17" t="str">
        <f aca="false">IF((E252="fa"),H252," ")</f>
        <v> </v>
      </c>
      <c r="AJ252" s="17" t="str">
        <f aca="false">IF((E252="e"),H252," ")</f>
        <v> </v>
      </c>
    </row>
    <row r="253" customFormat="false" ht="12" hidden="false" customHeight="false" outlineLevel="0" collapsed="false">
      <c r="A253" s="28"/>
      <c r="E253" s="2" t="str">
        <f aca="false">IF((F253&lt;&gt;0),"Enter Letter"," ")</f>
        <v> </v>
      </c>
      <c r="F253" s="30"/>
      <c r="G253" s="6" t="str">
        <f aca="false">IF(F253&lt;&gt;0,F253*G$2/(100+G$2)," ")</f>
        <v> </v>
      </c>
      <c r="H253" s="6" t="str">
        <f aca="false">IF((F253&lt;&gt;0),F253-G253," ")</f>
        <v> </v>
      </c>
      <c r="I253" s="5"/>
      <c r="L253" s="7" t="str">
        <f aca="false">IF(F253&lt;&gt;0,F253-K253," ")</f>
        <v> </v>
      </c>
      <c r="M253" s="8" t="str">
        <f aca="false">IF((F253-K253)&lt;&gt;0,M$1-A253," ")</f>
        <v> </v>
      </c>
      <c r="N253" s="5"/>
      <c r="O253" s="17" t="str">
        <f aca="false">IF((E253="s"),H253," ")</f>
        <v> </v>
      </c>
      <c r="P253" s="17" t="str">
        <f aca="false">IF((E253="c"),H253," ")</f>
        <v> </v>
      </c>
      <c r="Q253" s="17" t="str">
        <f aca="false">IF((E253="o"),H253," ")</f>
        <v> </v>
      </c>
      <c r="R253" s="17" t="str">
        <f aca="false">IF((E253="d"),H253," ")</f>
        <v> </v>
      </c>
      <c r="S253" s="17" t="str">
        <f aca="false">IF((E253="w"),H253," ")</f>
        <v> </v>
      </c>
      <c r="T253" s="17" t="str">
        <f aca="false">IF((E253="r"),H253," ")</f>
        <v> </v>
      </c>
      <c r="U253" s="17" t="str">
        <f aca="false">IF((E253="p"),H253," ")</f>
        <v> </v>
      </c>
      <c r="V253" s="17" t="str">
        <f aca="false">IF((E253="t"),H253," ")</f>
        <v> </v>
      </c>
      <c r="W253" s="17" t="str">
        <f aca="false">IF((E253="q"),H253," ")</f>
        <v> </v>
      </c>
      <c r="X253" s="17" t="str">
        <f aca="false">IF((E253="m"),H253," ")</f>
        <v> </v>
      </c>
      <c r="Y253" s="17" t="str">
        <f aca="false">IF((E253="u"),H253," ")</f>
        <v> </v>
      </c>
      <c r="Z253" s="17" t="str">
        <f aca="false">IF((E253="a"),H253," ")</f>
        <v> </v>
      </c>
      <c r="AA253" s="17" t="str">
        <f aca="false">IF((E253="g"),H253," ")</f>
        <v> </v>
      </c>
      <c r="AB253" s="17" t="str">
        <f aca="false">IF((E253="h"),H253," ")</f>
        <v> </v>
      </c>
      <c r="AC253" s="30" t="str">
        <f aca="false">IF((E253="v"),H253," ")</f>
        <v> </v>
      </c>
      <c r="AD253" s="30" t="str">
        <f aca="false">IF((E253="n"),H253," ")</f>
        <v> </v>
      </c>
      <c r="AE253" s="17" t="str">
        <f aca="false">IF((E253="f"),H253," ")</f>
        <v> </v>
      </c>
      <c r="AF253" s="17" t="str">
        <f aca="false">IF((E253="l"),H253," ")</f>
        <v> </v>
      </c>
      <c r="AG253" s="17" t="str">
        <f aca="false">IF((E253="y"),H253," ")</f>
        <v> </v>
      </c>
      <c r="AH253" s="17" t="str">
        <f aca="false">IF((E253="z"),H253," ")</f>
        <v> </v>
      </c>
      <c r="AI253" s="17" t="str">
        <f aca="false">IF((E253="fa"),H253," ")</f>
        <v> </v>
      </c>
      <c r="AJ253" s="17" t="str">
        <f aca="false">IF((E253="e"),H253," ")</f>
        <v> </v>
      </c>
    </row>
    <row r="254" customFormat="false" ht="12" hidden="false" customHeight="false" outlineLevel="0" collapsed="false">
      <c r="A254" s="28"/>
      <c r="E254" s="2" t="str">
        <f aca="false">IF((F254&lt;&gt;0),"Enter Letter"," ")</f>
        <v> </v>
      </c>
      <c r="F254" s="30"/>
      <c r="G254" s="6" t="str">
        <f aca="false">IF(F254&lt;&gt;0,F254*G$2/(100+G$2)," ")</f>
        <v> </v>
      </c>
      <c r="H254" s="6" t="str">
        <f aca="false">IF((F254&lt;&gt;0),F254-G254," ")</f>
        <v> </v>
      </c>
      <c r="I254" s="5"/>
      <c r="L254" s="7" t="str">
        <f aca="false">IF(F254&lt;&gt;0,F254-K254," ")</f>
        <v> </v>
      </c>
      <c r="M254" s="8" t="str">
        <f aca="false">IF((F254-K254)&lt;&gt;0,M$1-A254," ")</f>
        <v> </v>
      </c>
      <c r="N254" s="5"/>
      <c r="O254" s="17" t="str">
        <f aca="false">IF((E254="s"),H254," ")</f>
        <v> </v>
      </c>
      <c r="P254" s="17" t="str">
        <f aca="false">IF((E254="c"),H254," ")</f>
        <v> </v>
      </c>
      <c r="Q254" s="17" t="str">
        <f aca="false">IF((E254="o"),H254," ")</f>
        <v> </v>
      </c>
      <c r="R254" s="17" t="str">
        <f aca="false">IF((E254="d"),H254," ")</f>
        <v> </v>
      </c>
      <c r="S254" s="17" t="str">
        <f aca="false">IF((E254="w"),H254," ")</f>
        <v> </v>
      </c>
      <c r="T254" s="17" t="str">
        <f aca="false">IF((E254="r"),H254," ")</f>
        <v> </v>
      </c>
      <c r="U254" s="17" t="str">
        <f aca="false">IF((E254="p"),H254," ")</f>
        <v> </v>
      </c>
      <c r="V254" s="17" t="str">
        <f aca="false">IF((E254="t"),H254," ")</f>
        <v> </v>
      </c>
      <c r="W254" s="17" t="str">
        <f aca="false">IF((E254="q"),H254," ")</f>
        <v> </v>
      </c>
      <c r="X254" s="17" t="str">
        <f aca="false">IF((E254="m"),H254," ")</f>
        <v> </v>
      </c>
      <c r="Y254" s="17" t="str">
        <f aca="false">IF((E254="u"),H254," ")</f>
        <v> </v>
      </c>
      <c r="Z254" s="17" t="str">
        <f aca="false">IF((E254="a"),H254," ")</f>
        <v> </v>
      </c>
      <c r="AA254" s="17" t="str">
        <f aca="false">IF((E254="g"),H254," ")</f>
        <v> </v>
      </c>
      <c r="AB254" s="17" t="str">
        <f aca="false">IF((E254="h"),H254," ")</f>
        <v> </v>
      </c>
      <c r="AC254" s="30" t="str">
        <f aca="false">IF((E254="v"),H254," ")</f>
        <v> </v>
      </c>
      <c r="AD254" s="30" t="str">
        <f aca="false">IF((E254="n"),H254," ")</f>
        <v> </v>
      </c>
      <c r="AE254" s="17" t="str">
        <f aca="false">IF((E254="f"),H254," ")</f>
        <v> </v>
      </c>
      <c r="AF254" s="17" t="str">
        <f aca="false">IF((E254="l"),H254," ")</f>
        <v> </v>
      </c>
      <c r="AG254" s="17" t="str">
        <f aca="false">IF((E254="y"),H254," ")</f>
        <v> </v>
      </c>
      <c r="AH254" s="17" t="str">
        <f aca="false">IF((E254="z"),H254," ")</f>
        <v> </v>
      </c>
      <c r="AI254" s="17" t="str">
        <f aca="false">IF((E254="fa"),H254," ")</f>
        <v> </v>
      </c>
      <c r="AJ254" s="17" t="str">
        <f aca="false">IF((E254="e"),H254," ")</f>
        <v> </v>
      </c>
    </row>
    <row r="255" customFormat="false" ht="12" hidden="false" customHeight="false" outlineLevel="0" collapsed="false">
      <c r="A255" s="28"/>
      <c r="E255" s="2" t="str">
        <f aca="false">IF((F255&lt;&gt;0),"Enter Letter"," ")</f>
        <v> </v>
      </c>
      <c r="F255" s="30"/>
      <c r="G255" s="6" t="str">
        <f aca="false">IF(F255&lt;&gt;0,F255*G$2/(100+G$2)," ")</f>
        <v> </v>
      </c>
      <c r="H255" s="6" t="str">
        <f aca="false">IF((F255&lt;&gt;0),F255-G255," ")</f>
        <v> </v>
      </c>
      <c r="I255" s="5"/>
      <c r="L255" s="7" t="str">
        <f aca="false">IF(F255&lt;&gt;0,F255-K255," ")</f>
        <v> </v>
      </c>
      <c r="M255" s="8" t="str">
        <f aca="false">IF((F255-K255)&lt;&gt;0,M$1-A255," ")</f>
        <v> </v>
      </c>
      <c r="N255" s="5"/>
      <c r="O255" s="17" t="str">
        <f aca="false">IF((E255="s"),H255," ")</f>
        <v> </v>
      </c>
      <c r="P255" s="17" t="str">
        <f aca="false">IF((E255="c"),H255," ")</f>
        <v> </v>
      </c>
      <c r="Q255" s="17" t="str">
        <f aca="false">IF((E255="o"),H255," ")</f>
        <v> </v>
      </c>
      <c r="R255" s="17" t="str">
        <f aca="false">IF((E255="d"),H255," ")</f>
        <v> </v>
      </c>
      <c r="S255" s="17" t="str">
        <f aca="false">IF((E255="w"),H255," ")</f>
        <v> </v>
      </c>
      <c r="T255" s="17" t="str">
        <f aca="false">IF((E255="r"),H255," ")</f>
        <v> </v>
      </c>
      <c r="U255" s="17" t="str">
        <f aca="false">IF((E255="p"),H255," ")</f>
        <v> </v>
      </c>
      <c r="V255" s="17" t="str">
        <f aca="false">IF((E255="t"),H255," ")</f>
        <v> </v>
      </c>
      <c r="W255" s="17" t="str">
        <f aca="false">IF((E255="q"),H255," ")</f>
        <v> </v>
      </c>
      <c r="X255" s="17" t="str">
        <f aca="false">IF((E255="m"),H255," ")</f>
        <v> </v>
      </c>
      <c r="Y255" s="17" t="str">
        <f aca="false">IF((E255="u"),H255," ")</f>
        <v> </v>
      </c>
      <c r="Z255" s="17" t="str">
        <f aca="false">IF((E255="a"),H255," ")</f>
        <v> </v>
      </c>
      <c r="AA255" s="17" t="str">
        <f aca="false">IF((E255="g"),H255," ")</f>
        <v> </v>
      </c>
      <c r="AB255" s="17" t="str">
        <f aca="false">IF((E255="h"),H255," ")</f>
        <v> </v>
      </c>
      <c r="AC255" s="30" t="str">
        <f aca="false">IF((E255="v"),H255," ")</f>
        <v> </v>
      </c>
      <c r="AD255" s="30" t="str">
        <f aca="false">IF((E255="n"),H255," ")</f>
        <v> </v>
      </c>
      <c r="AE255" s="17" t="str">
        <f aca="false">IF((E255="f"),H255," ")</f>
        <v> </v>
      </c>
      <c r="AF255" s="17" t="str">
        <f aca="false">IF((E255="l"),H255," ")</f>
        <v> </v>
      </c>
      <c r="AG255" s="17" t="str">
        <f aca="false">IF((E255="y"),H255," ")</f>
        <v> </v>
      </c>
      <c r="AH255" s="17" t="str">
        <f aca="false">IF((E255="z"),H255," ")</f>
        <v> </v>
      </c>
      <c r="AI255" s="17" t="str">
        <f aca="false">IF((E255="fa"),H255," ")</f>
        <v> </v>
      </c>
      <c r="AJ255" s="17" t="str">
        <f aca="false">IF((E255="e"),H255," ")</f>
        <v> </v>
      </c>
    </row>
    <row r="256" customFormat="false" ht="12" hidden="false" customHeight="false" outlineLevel="0" collapsed="false">
      <c r="A256" s="28"/>
      <c r="E256" s="2" t="str">
        <f aca="false">IF((F256&lt;&gt;0),"Enter Letter"," ")</f>
        <v> </v>
      </c>
      <c r="F256" s="30"/>
      <c r="G256" s="6" t="str">
        <f aca="false">IF(F256&lt;&gt;0,F256*G$2/(100+G$2)," ")</f>
        <v> </v>
      </c>
      <c r="H256" s="6" t="str">
        <f aca="false">IF((F256&lt;&gt;0),F256-G256," ")</f>
        <v> </v>
      </c>
      <c r="I256" s="5"/>
      <c r="L256" s="7" t="str">
        <f aca="false">IF(F256&lt;&gt;0,F256-K256," ")</f>
        <v> </v>
      </c>
      <c r="M256" s="8" t="str">
        <f aca="false">IF((F256-K256)&lt;&gt;0,M$1-A256," ")</f>
        <v> </v>
      </c>
      <c r="N256" s="5"/>
      <c r="O256" s="17" t="str">
        <f aca="false">IF((E256="s"),H256," ")</f>
        <v> </v>
      </c>
      <c r="P256" s="17" t="str">
        <f aca="false">IF((E256="c"),H256," ")</f>
        <v> </v>
      </c>
      <c r="Q256" s="17" t="str">
        <f aca="false">IF((E256="o"),H256," ")</f>
        <v> </v>
      </c>
      <c r="R256" s="17" t="str">
        <f aca="false">IF((E256="d"),H256," ")</f>
        <v> </v>
      </c>
      <c r="S256" s="17" t="str">
        <f aca="false">IF((E256="w"),H256," ")</f>
        <v> </v>
      </c>
      <c r="T256" s="17" t="str">
        <f aca="false">IF((E256="r"),H256," ")</f>
        <v> </v>
      </c>
      <c r="U256" s="17" t="str">
        <f aca="false">IF((E256="p"),H256," ")</f>
        <v> </v>
      </c>
      <c r="V256" s="17" t="str">
        <f aca="false">IF((E256="t"),H256," ")</f>
        <v> </v>
      </c>
      <c r="W256" s="17" t="str">
        <f aca="false">IF((E256="q"),H256," ")</f>
        <v> </v>
      </c>
      <c r="X256" s="17" t="str">
        <f aca="false">IF((E256="m"),H256," ")</f>
        <v> </v>
      </c>
      <c r="Y256" s="17" t="str">
        <f aca="false">IF((E256="u"),H256," ")</f>
        <v> </v>
      </c>
      <c r="Z256" s="17" t="str">
        <f aca="false">IF((E256="a"),H256," ")</f>
        <v> </v>
      </c>
      <c r="AA256" s="17" t="str">
        <f aca="false">IF((E256="g"),H256," ")</f>
        <v> </v>
      </c>
      <c r="AB256" s="17" t="str">
        <f aca="false">IF((E256="h"),H256," ")</f>
        <v> </v>
      </c>
      <c r="AC256" s="30" t="str">
        <f aca="false">IF((E256="v"),H256," ")</f>
        <v> </v>
      </c>
      <c r="AD256" s="30" t="str">
        <f aca="false">IF((E256="n"),H256," ")</f>
        <v> </v>
      </c>
      <c r="AE256" s="17" t="str">
        <f aca="false">IF((E256="f"),H256," ")</f>
        <v> </v>
      </c>
      <c r="AF256" s="17" t="str">
        <f aca="false">IF((E256="l"),H256," ")</f>
        <v> </v>
      </c>
      <c r="AG256" s="17" t="str">
        <f aca="false">IF((E256="y"),H256," ")</f>
        <v> </v>
      </c>
      <c r="AH256" s="17" t="str">
        <f aca="false">IF((E256="z"),H256," ")</f>
        <v> </v>
      </c>
      <c r="AI256" s="17" t="str">
        <f aca="false">IF((E256="fa"),H256," ")</f>
        <v> </v>
      </c>
      <c r="AJ256" s="17" t="str">
        <f aca="false">IF((E256="e"),H256," ")</f>
        <v> </v>
      </c>
    </row>
    <row r="257" customFormat="false" ht="12" hidden="false" customHeight="false" outlineLevel="0" collapsed="false">
      <c r="A257" s="28"/>
      <c r="E257" s="2" t="str">
        <f aca="false">IF((F257&lt;&gt;0),"Enter Letter"," ")</f>
        <v> </v>
      </c>
      <c r="F257" s="30"/>
      <c r="G257" s="6" t="str">
        <f aca="false">IF(F257&lt;&gt;0,F257*G$2/(100+G$2)," ")</f>
        <v> </v>
      </c>
      <c r="H257" s="6" t="str">
        <f aca="false">IF((F257&lt;&gt;0),F257-G257," ")</f>
        <v> </v>
      </c>
      <c r="I257" s="5"/>
      <c r="L257" s="7" t="str">
        <f aca="false">IF(F257&lt;&gt;0,F257-K257," ")</f>
        <v> </v>
      </c>
      <c r="M257" s="8" t="str">
        <f aca="false">IF((F257-K257)&lt;&gt;0,M$1-A257," ")</f>
        <v> </v>
      </c>
      <c r="N257" s="5"/>
      <c r="O257" s="17" t="str">
        <f aca="false">IF((E257="s"),H257," ")</f>
        <v> </v>
      </c>
      <c r="P257" s="17" t="str">
        <f aca="false">IF((E257="c"),H257," ")</f>
        <v> </v>
      </c>
      <c r="Q257" s="17" t="str">
        <f aca="false">IF((E257="o"),H257," ")</f>
        <v> </v>
      </c>
      <c r="R257" s="17" t="str">
        <f aca="false">IF((E257="d"),H257," ")</f>
        <v> </v>
      </c>
      <c r="S257" s="17" t="str">
        <f aca="false">IF((E257="w"),H257," ")</f>
        <v> </v>
      </c>
      <c r="T257" s="17" t="str">
        <f aca="false">IF((E257="r"),H257," ")</f>
        <v> </v>
      </c>
      <c r="U257" s="17" t="str">
        <f aca="false">IF((E257="p"),H257," ")</f>
        <v> </v>
      </c>
      <c r="V257" s="17" t="str">
        <f aca="false">IF((E257="t"),H257," ")</f>
        <v> </v>
      </c>
      <c r="W257" s="17" t="str">
        <f aca="false">IF((E257="q"),H257," ")</f>
        <v> </v>
      </c>
      <c r="X257" s="17" t="str">
        <f aca="false">IF((E257="m"),H257," ")</f>
        <v> </v>
      </c>
      <c r="Y257" s="17" t="str">
        <f aca="false">IF((E257="u"),H257," ")</f>
        <v> </v>
      </c>
      <c r="Z257" s="17" t="str">
        <f aca="false">IF((E257="a"),H257," ")</f>
        <v> </v>
      </c>
      <c r="AA257" s="17" t="str">
        <f aca="false">IF((E257="g"),H257," ")</f>
        <v> </v>
      </c>
      <c r="AB257" s="17" t="str">
        <f aca="false">IF((E257="h"),H257," ")</f>
        <v> </v>
      </c>
      <c r="AC257" s="30" t="str">
        <f aca="false">IF((E257="v"),H257," ")</f>
        <v> </v>
      </c>
      <c r="AD257" s="30" t="str">
        <f aca="false">IF((E257="n"),H257," ")</f>
        <v> </v>
      </c>
      <c r="AE257" s="17" t="str">
        <f aca="false">IF((E257="f"),H257," ")</f>
        <v> </v>
      </c>
      <c r="AF257" s="17" t="str">
        <f aca="false">IF((E257="l"),H257," ")</f>
        <v> </v>
      </c>
      <c r="AG257" s="17" t="str">
        <f aca="false">IF((E257="y"),H257," ")</f>
        <v> </v>
      </c>
      <c r="AH257" s="17" t="str">
        <f aca="false">IF((E257="z"),H257," ")</f>
        <v> </v>
      </c>
      <c r="AI257" s="17" t="str">
        <f aca="false">IF((E257="fa"),H257," ")</f>
        <v> </v>
      </c>
      <c r="AJ257" s="17" t="str">
        <f aca="false">IF((E257="e"),H257," ")</f>
        <v> </v>
      </c>
    </row>
    <row r="258" customFormat="false" ht="12" hidden="false" customHeight="false" outlineLevel="0" collapsed="false">
      <c r="A258" s="28"/>
      <c r="E258" s="2" t="str">
        <f aca="false">IF((F258&lt;&gt;0),"Enter Letter"," ")</f>
        <v> </v>
      </c>
      <c r="F258" s="30"/>
      <c r="G258" s="6" t="str">
        <f aca="false">IF(F258&lt;&gt;0,F258*G$2/(100+G$2)," ")</f>
        <v> </v>
      </c>
      <c r="H258" s="6" t="str">
        <f aca="false">IF((F258&lt;&gt;0),F258-G258," ")</f>
        <v> </v>
      </c>
      <c r="I258" s="5"/>
      <c r="L258" s="7" t="str">
        <f aca="false">IF(F258&lt;&gt;0,F258-K258," ")</f>
        <v> </v>
      </c>
      <c r="M258" s="8" t="str">
        <f aca="false">IF((F258-K258)&lt;&gt;0,M$1-A258," ")</f>
        <v> </v>
      </c>
      <c r="N258" s="5"/>
      <c r="O258" s="17" t="str">
        <f aca="false">IF((E258="s"),H258," ")</f>
        <v> </v>
      </c>
      <c r="P258" s="17" t="str">
        <f aca="false">IF((E258="c"),H258," ")</f>
        <v> </v>
      </c>
      <c r="Q258" s="17" t="str">
        <f aca="false">IF((E258="o"),H258," ")</f>
        <v> </v>
      </c>
      <c r="R258" s="17" t="str">
        <f aca="false">IF((E258="d"),H258," ")</f>
        <v> </v>
      </c>
      <c r="S258" s="17" t="str">
        <f aca="false">IF((E258="w"),H258," ")</f>
        <v> </v>
      </c>
      <c r="T258" s="17" t="str">
        <f aca="false">IF((E258="r"),H258," ")</f>
        <v> </v>
      </c>
      <c r="U258" s="17" t="str">
        <f aca="false">IF((E258="p"),H258," ")</f>
        <v> </v>
      </c>
      <c r="V258" s="17" t="str">
        <f aca="false">IF((E258="t"),H258," ")</f>
        <v> </v>
      </c>
      <c r="W258" s="17" t="str">
        <f aca="false">IF((E258="q"),H258," ")</f>
        <v> </v>
      </c>
      <c r="X258" s="17" t="str">
        <f aca="false">IF((E258="m"),H258," ")</f>
        <v> </v>
      </c>
      <c r="Y258" s="17" t="str">
        <f aca="false">IF((E258="u"),H258," ")</f>
        <v> </v>
      </c>
      <c r="Z258" s="17" t="str">
        <f aca="false">IF((E258="a"),H258," ")</f>
        <v> </v>
      </c>
      <c r="AA258" s="17" t="str">
        <f aca="false">IF((E258="g"),H258," ")</f>
        <v> </v>
      </c>
      <c r="AB258" s="17" t="str">
        <f aca="false">IF((E258="h"),H258," ")</f>
        <v> </v>
      </c>
      <c r="AC258" s="30" t="str">
        <f aca="false">IF((E258="v"),H258," ")</f>
        <v> </v>
      </c>
      <c r="AD258" s="30" t="str">
        <f aca="false">IF((E258="n"),H258," ")</f>
        <v> </v>
      </c>
      <c r="AE258" s="17" t="str">
        <f aca="false">IF((E258="f"),H258," ")</f>
        <v> </v>
      </c>
      <c r="AF258" s="17" t="str">
        <f aca="false">IF((E258="l"),H258," ")</f>
        <v> </v>
      </c>
      <c r="AG258" s="17" t="str">
        <f aca="false">IF((E258="y"),H258," ")</f>
        <v> </v>
      </c>
      <c r="AH258" s="17" t="str">
        <f aca="false">IF((E258="z"),H258," ")</f>
        <v> </v>
      </c>
      <c r="AI258" s="17" t="str">
        <f aca="false">IF((E258="fa"),H258," ")</f>
        <v> </v>
      </c>
      <c r="AJ258" s="17" t="str">
        <f aca="false">IF((E258="e"),H258," ")</f>
        <v> </v>
      </c>
    </row>
    <row r="259" customFormat="false" ht="12" hidden="false" customHeight="false" outlineLevel="0" collapsed="false">
      <c r="A259" s="28"/>
      <c r="E259" s="2" t="str">
        <f aca="false">IF((F259&lt;&gt;0),"Enter Letter"," ")</f>
        <v> </v>
      </c>
      <c r="F259" s="30"/>
      <c r="G259" s="6" t="str">
        <f aca="false">IF(F259&lt;&gt;0,F259*G$2/(100+G$2)," ")</f>
        <v> </v>
      </c>
      <c r="H259" s="6" t="str">
        <f aca="false">IF((F259&lt;&gt;0),F259-G259," ")</f>
        <v> </v>
      </c>
      <c r="I259" s="5"/>
      <c r="L259" s="7" t="str">
        <f aca="false">IF(F259&lt;&gt;0,F259-K259," ")</f>
        <v> </v>
      </c>
      <c r="M259" s="8" t="str">
        <f aca="false">IF((F259-K259)&lt;&gt;0,M$1-A259," ")</f>
        <v> </v>
      </c>
      <c r="N259" s="5"/>
      <c r="O259" s="17" t="str">
        <f aca="false">IF((E259="s"),H259," ")</f>
        <v> </v>
      </c>
      <c r="P259" s="17" t="str">
        <f aca="false">IF((E259="c"),H259," ")</f>
        <v> </v>
      </c>
      <c r="Q259" s="17" t="str">
        <f aca="false">IF((E259="o"),H259," ")</f>
        <v> </v>
      </c>
      <c r="R259" s="17" t="str">
        <f aca="false">IF((E259="d"),H259," ")</f>
        <v> </v>
      </c>
      <c r="S259" s="17" t="str">
        <f aca="false">IF((E259="w"),H259," ")</f>
        <v> </v>
      </c>
      <c r="T259" s="17" t="str">
        <f aca="false">IF((E259="r"),H259," ")</f>
        <v> </v>
      </c>
      <c r="U259" s="17" t="str">
        <f aca="false">IF((E259="p"),H259," ")</f>
        <v> </v>
      </c>
      <c r="V259" s="17" t="str">
        <f aca="false">IF((E259="t"),H259," ")</f>
        <v> </v>
      </c>
      <c r="W259" s="17" t="str">
        <f aca="false">IF((E259="q"),H259," ")</f>
        <v> </v>
      </c>
      <c r="X259" s="17" t="str">
        <f aca="false">IF((E259="m"),H259," ")</f>
        <v> </v>
      </c>
      <c r="Y259" s="17" t="str">
        <f aca="false">IF((E259="u"),H259," ")</f>
        <v> </v>
      </c>
      <c r="Z259" s="17" t="str">
        <f aca="false">IF((E259="a"),H259," ")</f>
        <v> </v>
      </c>
      <c r="AA259" s="17" t="str">
        <f aca="false">IF((E259="g"),H259," ")</f>
        <v> </v>
      </c>
      <c r="AB259" s="17" t="str">
        <f aca="false">IF((E259="h"),H259," ")</f>
        <v> </v>
      </c>
      <c r="AC259" s="30" t="str">
        <f aca="false">IF((E259="v"),H259," ")</f>
        <v> </v>
      </c>
      <c r="AD259" s="30" t="str">
        <f aca="false">IF((E259="n"),H259," ")</f>
        <v> </v>
      </c>
      <c r="AE259" s="17" t="str">
        <f aca="false">IF((E259="f"),H259," ")</f>
        <v> </v>
      </c>
      <c r="AF259" s="17" t="str">
        <f aca="false">IF((E259="l"),H259," ")</f>
        <v> </v>
      </c>
      <c r="AG259" s="17" t="str">
        <f aca="false">IF((E259="y"),H259," ")</f>
        <v> </v>
      </c>
      <c r="AH259" s="17" t="str">
        <f aca="false">IF((E259="z"),H259," ")</f>
        <v> </v>
      </c>
      <c r="AI259" s="17" t="str">
        <f aca="false">IF((E259="fa"),H259," ")</f>
        <v> </v>
      </c>
      <c r="AJ259" s="17" t="str">
        <f aca="false">IF((E259="e"),H259," ")</f>
        <v> </v>
      </c>
    </row>
    <row r="260" customFormat="false" ht="12" hidden="false" customHeight="false" outlineLevel="0" collapsed="false">
      <c r="A260" s="28"/>
      <c r="E260" s="2" t="str">
        <f aca="false">IF((F260&lt;&gt;0),"Enter Letter"," ")</f>
        <v> </v>
      </c>
      <c r="F260" s="30"/>
      <c r="G260" s="6" t="str">
        <f aca="false">IF(F260&lt;&gt;0,F260*G$2/(100+G$2)," ")</f>
        <v> </v>
      </c>
      <c r="H260" s="6" t="str">
        <f aca="false">IF((F260&lt;&gt;0),F260-G260," ")</f>
        <v> </v>
      </c>
      <c r="I260" s="5"/>
      <c r="L260" s="7" t="str">
        <f aca="false">IF(F260&lt;&gt;0,F260-K260," ")</f>
        <v> </v>
      </c>
      <c r="M260" s="8" t="str">
        <f aca="false">IF((F260-K260)&lt;&gt;0,M$1-A260," ")</f>
        <v> </v>
      </c>
      <c r="N260" s="5"/>
      <c r="O260" s="17" t="str">
        <f aca="false">IF((E260="s"),H260," ")</f>
        <v> </v>
      </c>
      <c r="P260" s="17" t="str">
        <f aca="false">IF((E260="c"),H260," ")</f>
        <v> </v>
      </c>
      <c r="Q260" s="17" t="str">
        <f aca="false">IF((E260="o"),H260," ")</f>
        <v> </v>
      </c>
      <c r="R260" s="17" t="str">
        <f aca="false">IF((E260="d"),H260," ")</f>
        <v> </v>
      </c>
      <c r="S260" s="17" t="str">
        <f aca="false">IF((E260="w"),H260," ")</f>
        <v> </v>
      </c>
      <c r="T260" s="17" t="str">
        <f aca="false">IF((E260="r"),H260," ")</f>
        <v> </v>
      </c>
      <c r="U260" s="17" t="str">
        <f aca="false">IF((E260="p"),H260," ")</f>
        <v> </v>
      </c>
      <c r="V260" s="17" t="str">
        <f aca="false">IF((E260="t"),H260," ")</f>
        <v> </v>
      </c>
      <c r="W260" s="17" t="str">
        <f aca="false">IF((E260="q"),H260," ")</f>
        <v> </v>
      </c>
      <c r="X260" s="17" t="str">
        <f aca="false">IF((E260="m"),H260," ")</f>
        <v> </v>
      </c>
      <c r="Y260" s="17" t="str">
        <f aca="false">IF((E260="u"),H260," ")</f>
        <v> </v>
      </c>
      <c r="Z260" s="17" t="str">
        <f aca="false">IF((E260="a"),H260," ")</f>
        <v> </v>
      </c>
      <c r="AA260" s="17" t="str">
        <f aca="false">IF((E260="g"),H260," ")</f>
        <v> </v>
      </c>
      <c r="AB260" s="17" t="str">
        <f aca="false">IF((E260="h"),H260," ")</f>
        <v> </v>
      </c>
      <c r="AC260" s="30" t="str">
        <f aca="false">IF((E260="v"),H260," ")</f>
        <v> </v>
      </c>
      <c r="AD260" s="30" t="str">
        <f aca="false">IF((E260="n"),H260," ")</f>
        <v> </v>
      </c>
      <c r="AE260" s="17" t="str">
        <f aca="false">IF((E260="f"),H260," ")</f>
        <v> </v>
      </c>
      <c r="AF260" s="17" t="str">
        <f aca="false">IF((E260="l"),H260," ")</f>
        <v> </v>
      </c>
      <c r="AG260" s="17" t="str">
        <f aca="false">IF((E260="y"),H260," ")</f>
        <v> </v>
      </c>
      <c r="AH260" s="17" t="str">
        <f aca="false">IF((E260="z"),H260," ")</f>
        <v> </v>
      </c>
      <c r="AI260" s="17" t="str">
        <f aca="false">IF((E260="fa"),H260," ")</f>
        <v> </v>
      </c>
      <c r="AJ260" s="17" t="str">
        <f aca="false">IF((E260="e"),H260," ")</f>
        <v> </v>
      </c>
    </row>
    <row r="261" customFormat="false" ht="12" hidden="false" customHeight="false" outlineLevel="0" collapsed="false">
      <c r="A261" s="28"/>
      <c r="E261" s="2" t="str">
        <f aca="false">IF((F261&lt;&gt;0),"Enter Letter"," ")</f>
        <v> </v>
      </c>
      <c r="F261" s="30"/>
      <c r="G261" s="6" t="str">
        <f aca="false">IF(F261&lt;&gt;0,F261*G$2/(100+G$2)," ")</f>
        <v> </v>
      </c>
      <c r="H261" s="6" t="str">
        <f aca="false">IF((F261&lt;&gt;0),F261-G261," ")</f>
        <v> </v>
      </c>
      <c r="I261" s="5"/>
      <c r="L261" s="7" t="str">
        <f aca="false">IF(F261&lt;&gt;0,F261-K261," ")</f>
        <v> </v>
      </c>
      <c r="M261" s="8" t="str">
        <f aca="false">IF((F261-K261)&lt;&gt;0,M$1-A261," ")</f>
        <v> </v>
      </c>
      <c r="N261" s="5"/>
      <c r="O261" s="17" t="str">
        <f aca="false">IF((E261="s"),H261," ")</f>
        <v> </v>
      </c>
      <c r="P261" s="17" t="str">
        <f aca="false">IF((E261="c"),H261," ")</f>
        <v> </v>
      </c>
      <c r="Q261" s="17" t="str">
        <f aca="false">IF((E261="o"),H261," ")</f>
        <v> </v>
      </c>
      <c r="R261" s="17" t="str">
        <f aca="false">IF((E261="d"),H261," ")</f>
        <v> </v>
      </c>
      <c r="S261" s="17" t="str">
        <f aca="false">IF((E261="w"),H261," ")</f>
        <v> </v>
      </c>
      <c r="T261" s="17" t="str">
        <f aca="false">IF((E261="r"),H261," ")</f>
        <v> </v>
      </c>
      <c r="U261" s="17" t="str">
        <f aca="false">IF((E261="p"),H261," ")</f>
        <v> </v>
      </c>
      <c r="V261" s="17" t="str">
        <f aca="false">IF((E261="t"),H261," ")</f>
        <v> </v>
      </c>
      <c r="W261" s="17" t="str">
        <f aca="false">IF((E261="q"),H261," ")</f>
        <v> </v>
      </c>
      <c r="X261" s="17" t="str">
        <f aca="false">IF((E261="m"),H261," ")</f>
        <v> </v>
      </c>
      <c r="Y261" s="17" t="str">
        <f aca="false">IF((E261="u"),H261," ")</f>
        <v> </v>
      </c>
      <c r="Z261" s="17" t="str">
        <f aca="false">IF((E261="a"),H261," ")</f>
        <v> </v>
      </c>
      <c r="AA261" s="17" t="str">
        <f aca="false">IF((E261="g"),H261," ")</f>
        <v> </v>
      </c>
      <c r="AB261" s="17" t="str">
        <f aca="false">IF((E261="h"),H261," ")</f>
        <v> </v>
      </c>
      <c r="AC261" s="30" t="str">
        <f aca="false">IF((E261="v"),H261," ")</f>
        <v> </v>
      </c>
      <c r="AD261" s="30" t="str">
        <f aca="false">IF((E261="n"),H261," ")</f>
        <v> </v>
      </c>
      <c r="AE261" s="17" t="str">
        <f aca="false">IF((E261="f"),H261," ")</f>
        <v> </v>
      </c>
      <c r="AF261" s="17" t="str">
        <f aca="false">IF((E261="l"),H261," ")</f>
        <v> </v>
      </c>
      <c r="AG261" s="17" t="str">
        <f aca="false">IF((E261="y"),H261," ")</f>
        <v> </v>
      </c>
      <c r="AH261" s="17" t="str">
        <f aca="false">IF((E261="z"),H261," ")</f>
        <v> </v>
      </c>
      <c r="AI261" s="17" t="str">
        <f aca="false">IF((E261="fa"),H261," ")</f>
        <v> </v>
      </c>
      <c r="AJ261" s="17" t="str">
        <f aca="false">IF((E261="e"),H261," ")</f>
        <v> </v>
      </c>
    </row>
    <row r="262" customFormat="false" ht="12" hidden="false" customHeight="false" outlineLevel="0" collapsed="false">
      <c r="A262" s="28"/>
      <c r="E262" s="2" t="str">
        <f aca="false">IF((F262&lt;&gt;0),"Enter Letter"," ")</f>
        <v> </v>
      </c>
      <c r="F262" s="30"/>
      <c r="G262" s="6" t="str">
        <f aca="false">IF(F262&lt;&gt;0,F262*G$2/(100+G$2)," ")</f>
        <v> </v>
      </c>
      <c r="H262" s="6" t="str">
        <f aca="false">IF((F262&lt;&gt;0),F262-G262," ")</f>
        <v> </v>
      </c>
      <c r="I262" s="5"/>
      <c r="L262" s="7" t="str">
        <f aca="false">IF(F262&lt;&gt;0,F262-K262," ")</f>
        <v> </v>
      </c>
      <c r="M262" s="8" t="str">
        <f aca="false">IF((F262-K262)&lt;&gt;0,M$1-A262," ")</f>
        <v> </v>
      </c>
      <c r="N262" s="5"/>
      <c r="O262" s="17" t="str">
        <f aca="false">IF((E262="s"),H262," ")</f>
        <v> </v>
      </c>
      <c r="P262" s="17" t="str">
        <f aca="false">IF((E262="c"),H262," ")</f>
        <v> </v>
      </c>
      <c r="Q262" s="17" t="str">
        <f aca="false">IF((E262="o"),H262," ")</f>
        <v> </v>
      </c>
      <c r="R262" s="17" t="str">
        <f aca="false">IF((E262="d"),H262," ")</f>
        <v> </v>
      </c>
      <c r="S262" s="17" t="str">
        <f aca="false">IF((E262="w"),H262," ")</f>
        <v> </v>
      </c>
      <c r="T262" s="17" t="str">
        <f aca="false">IF((E262="r"),H262," ")</f>
        <v> </v>
      </c>
      <c r="U262" s="17" t="str">
        <f aca="false">IF((E262="p"),H262," ")</f>
        <v> </v>
      </c>
      <c r="V262" s="17" t="str">
        <f aca="false">IF((E262="t"),H262," ")</f>
        <v> </v>
      </c>
      <c r="W262" s="17" t="str">
        <f aca="false">IF((E262="q"),H262," ")</f>
        <v> </v>
      </c>
      <c r="X262" s="17" t="str">
        <f aca="false">IF((E262="m"),H262," ")</f>
        <v> </v>
      </c>
      <c r="Y262" s="17" t="str">
        <f aca="false">IF((E262="u"),H262," ")</f>
        <v> </v>
      </c>
      <c r="Z262" s="17" t="str">
        <f aca="false">IF((E262="a"),H262," ")</f>
        <v> </v>
      </c>
      <c r="AA262" s="17" t="str">
        <f aca="false">IF((E262="g"),H262," ")</f>
        <v> </v>
      </c>
      <c r="AB262" s="17" t="str">
        <f aca="false">IF((E262="h"),H262," ")</f>
        <v> </v>
      </c>
      <c r="AC262" s="30" t="str">
        <f aca="false">IF((E262="v"),H262," ")</f>
        <v> </v>
      </c>
      <c r="AD262" s="30" t="str">
        <f aca="false">IF((E262="n"),H262," ")</f>
        <v> </v>
      </c>
      <c r="AE262" s="17" t="str">
        <f aca="false">IF((E262="f"),H262," ")</f>
        <v> </v>
      </c>
      <c r="AF262" s="17" t="str">
        <f aca="false">IF((E262="l"),H262," ")</f>
        <v> </v>
      </c>
      <c r="AG262" s="17" t="str">
        <f aca="false">IF((E262="y"),H262," ")</f>
        <v> </v>
      </c>
      <c r="AH262" s="17" t="str">
        <f aca="false">IF((E262="z"),H262," ")</f>
        <v> </v>
      </c>
      <c r="AI262" s="17" t="str">
        <f aca="false">IF((E262="fa"),H262," ")</f>
        <v> </v>
      </c>
      <c r="AJ262" s="17" t="str">
        <f aca="false">IF((E262="e"),H262," ")</f>
        <v> </v>
      </c>
    </row>
    <row r="263" customFormat="false" ht="12" hidden="false" customHeight="false" outlineLevel="0" collapsed="false">
      <c r="A263" s="28"/>
      <c r="E263" s="2" t="str">
        <f aca="false">IF((F263&lt;&gt;0),"Enter Letter"," ")</f>
        <v> </v>
      </c>
      <c r="F263" s="30"/>
      <c r="G263" s="6" t="str">
        <f aca="false">IF(F263&lt;&gt;0,F263*G$2/(100+G$2)," ")</f>
        <v> </v>
      </c>
      <c r="H263" s="6" t="str">
        <f aca="false">IF((F263&lt;&gt;0),F263-G263," ")</f>
        <v> </v>
      </c>
      <c r="I263" s="5"/>
      <c r="L263" s="7" t="str">
        <f aca="false">IF(F263&lt;&gt;0,F263-K263," ")</f>
        <v> </v>
      </c>
      <c r="M263" s="8" t="str">
        <f aca="false">IF((F263-K263)&lt;&gt;0,M$1-A263," ")</f>
        <v> </v>
      </c>
      <c r="N263" s="5"/>
      <c r="O263" s="17" t="str">
        <f aca="false">IF((E263="s"),H263," ")</f>
        <v> </v>
      </c>
      <c r="P263" s="17" t="str">
        <f aca="false">IF((E263="c"),H263," ")</f>
        <v> </v>
      </c>
      <c r="Q263" s="17" t="str">
        <f aca="false">IF((E263="o"),H263," ")</f>
        <v> </v>
      </c>
      <c r="R263" s="17" t="str">
        <f aca="false">IF((E263="d"),H263," ")</f>
        <v> </v>
      </c>
      <c r="S263" s="17" t="str">
        <f aca="false">IF((E263="w"),H263," ")</f>
        <v> </v>
      </c>
      <c r="T263" s="17" t="str">
        <f aca="false">IF((E263="r"),H263," ")</f>
        <v> </v>
      </c>
      <c r="U263" s="17" t="str">
        <f aca="false">IF((E263="p"),H263," ")</f>
        <v> </v>
      </c>
      <c r="V263" s="17" t="str">
        <f aca="false">IF((E263="t"),H263," ")</f>
        <v> </v>
      </c>
      <c r="W263" s="17" t="str">
        <f aca="false">IF((E263="q"),H263," ")</f>
        <v> </v>
      </c>
      <c r="X263" s="17" t="str">
        <f aca="false">IF((E263="m"),H263," ")</f>
        <v> </v>
      </c>
      <c r="Y263" s="17" t="str">
        <f aca="false">IF((E263="u"),H263," ")</f>
        <v> </v>
      </c>
      <c r="Z263" s="17" t="str">
        <f aca="false">IF((E263="a"),H263," ")</f>
        <v> </v>
      </c>
      <c r="AA263" s="17" t="str">
        <f aca="false">IF((E263="g"),H263," ")</f>
        <v> </v>
      </c>
      <c r="AB263" s="17" t="str">
        <f aca="false">IF((E263="h"),H263," ")</f>
        <v> </v>
      </c>
      <c r="AC263" s="30" t="str">
        <f aca="false">IF((E263="v"),H263," ")</f>
        <v> </v>
      </c>
      <c r="AD263" s="30" t="str">
        <f aca="false">IF((E263="n"),H263," ")</f>
        <v> </v>
      </c>
      <c r="AE263" s="17" t="str">
        <f aca="false">IF((E263="f"),H263," ")</f>
        <v> </v>
      </c>
      <c r="AF263" s="17" t="str">
        <f aca="false">IF((E263="l"),H263," ")</f>
        <v> </v>
      </c>
      <c r="AG263" s="17" t="str">
        <f aca="false">IF((E263="y"),H263," ")</f>
        <v> </v>
      </c>
      <c r="AH263" s="17" t="str">
        <f aca="false">IF((E263="z"),H263," ")</f>
        <v> </v>
      </c>
      <c r="AI263" s="17" t="str">
        <f aca="false">IF((E263="fa"),H263," ")</f>
        <v> </v>
      </c>
      <c r="AJ263" s="17" t="str">
        <f aca="false">IF((E263="e"),H263," ")</f>
        <v> </v>
      </c>
    </row>
    <row r="264" customFormat="false" ht="12" hidden="false" customHeight="false" outlineLevel="0" collapsed="false">
      <c r="A264" s="28"/>
      <c r="E264" s="2" t="str">
        <f aca="false">IF((F264&lt;&gt;0),"Enter Letter"," ")</f>
        <v> </v>
      </c>
      <c r="F264" s="30"/>
      <c r="G264" s="6" t="str">
        <f aca="false">IF(F264&lt;&gt;0,F264*G$2/(100+G$2)," ")</f>
        <v> </v>
      </c>
      <c r="H264" s="6" t="str">
        <f aca="false">IF((F264&lt;&gt;0),F264-G264," ")</f>
        <v> </v>
      </c>
      <c r="I264" s="5"/>
      <c r="L264" s="7" t="str">
        <f aca="false">IF(F264&lt;&gt;0,F264-K264," ")</f>
        <v> </v>
      </c>
      <c r="M264" s="8" t="str">
        <f aca="false">IF((F264-K264)&lt;&gt;0,M$1-A264," ")</f>
        <v> </v>
      </c>
      <c r="N264" s="5"/>
      <c r="O264" s="17" t="str">
        <f aca="false">IF((E264="s"),H264," ")</f>
        <v> </v>
      </c>
      <c r="P264" s="17" t="str">
        <f aca="false">IF((E264="c"),H264," ")</f>
        <v> </v>
      </c>
      <c r="Q264" s="17" t="str">
        <f aca="false">IF((E264="o"),H264," ")</f>
        <v> </v>
      </c>
      <c r="R264" s="17" t="str">
        <f aca="false">IF((E264="d"),H264," ")</f>
        <v> </v>
      </c>
      <c r="S264" s="17" t="str">
        <f aca="false">IF((E264="w"),H264," ")</f>
        <v> </v>
      </c>
      <c r="T264" s="17" t="str">
        <f aca="false">IF((E264="r"),H264," ")</f>
        <v> </v>
      </c>
      <c r="U264" s="17" t="str">
        <f aca="false">IF((E264="p"),H264," ")</f>
        <v> </v>
      </c>
      <c r="V264" s="17" t="str">
        <f aca="false">IF((E264="t"),H264," ")</f>
        <v> </v>
      </c>
      <c r="W264" s="17" t="str">
        <f aca="false">IF((E264="q"),H264," ")</f>
        <v> </v>
      </c>
      <c r="X264" s="17" t="str">
        <f aca="false">IF((E264="m"),H264," ")</f>
        <v> </v>
      </c>
      <c r="Y264" s="17" t="str">
        <f aca="false">IF((E264="u"),H264," ")</f>
        <v> </v>
      </c>
      <c r="Z264" s="17" t="str">
        <f aca="false">IF((E264="a"),H264," ")</f>
        <v> </v>
      </c>
      <c r="AA264" s="17" t="str">
        <f aca="false">IF((E264="g"),H264," ")</f>
        <v> </v>
      </c>
      <c r="AB264" s="17" t="str">
        <f aca="false">IF((E264="h"),H264," ")</f>
        <v> </v>
      </c>
      <c r="AC264" s="30" t="str">
        <f aca="false">IF((E264="v"),H264," ")</f>
        <v> </v>
      </c>
      <c r="AD264" s="30" t="str">
        <f aca="false">IF((E264="n"),H264," ")</f>
        <v> </v>
      </c>
      <c r="AE264" s="17" t="str">
        <f aca="false">IF((E264="f"),H264," ")</f>
        <v> </v>
      </c>
      <c r="AF264" s="17" t="str">
        <f aca="false">IF((E264="l"),H264," ")</f>
        <v> </v>
      </c>
      <c r="AG264" s="17" t="str">
        <f aca="false">IF((E264="y"),H264," ")</f>
        <v> </v>
      </c>
      <c r="AH264" s="17" t="str">
        <f aca="false">IF((E264="z"),H264," ")</f>
        <v> </v>
      </c>
      <c r="AI264" s="17" t="str">
        <f aca="false">IF((E264="fa"),H264," ")</f>
        <v> </v>
      </c>
      <c r="AJ264" s="17" t="str">
        <f aca="false">IF((E264="e"),H264," ")</f>
        <v> </v>
      </c>
    </row>
    <row r="265" customFormat="false" ht="12" hidden="false" customHeight="false" outlineLevel="0" collapsed="false">
      <c r="A265" s="28"/>
      <c r="E265" s="2" t="str">
        <f aca="false">IF((F265&lt;&gt;0),"Enter Letter"," ")</f>
        <v> </v>
      </c>
      <c r="F265" s="30"/>
      <c r="G265" s="6" t="str">
        <f aca="false">IF(F265&lt;&gt;0,F265*G$2/(100+G$2)," ")</f>
        <v> </v>
      </c>
      <c r="H265" s="6" t="str">
        <f aca="false">IF((F265&lt;&gt;0),F265-G265," ")</f>
        <v> </v>
      </c>
      <c r="I265" s="5"/>
      <c r="L265" s="7" t="str">
        <f aca="false">IF(F265&lt;&gt;0,F265-K265," ")</f>
        <v> </v>
      </c>
      <c r="M265" s="8" t="str">
        <f aca="false">IF((F265-K265)&lt;&gt;0,M$1-A265," ")</f>
        <v> </v>
      </c>
      <c r="N265" s="5"/>
      <c r="O265" s="17" t="str">
        <f aca="false">IF((E265="s"),H265," ")</f>
        <v> </v>
      </c>
      <c r="P265" s="17" t="str">
        <f aca="false">IF((E265="c"),H265," ")</f>
        <v> </v>
      </c>
      <c r="Q265" s="17" t="str">
        <f aca="false">IF((E265="o"),H265," ")</f>
        <v> </v>
      </c>
      <c r="R265" s="17" t="str">
        <f aca="false">IF((E265="d"),H265," ")</f>
        <v> </v>
      </c>
      <c r="S265" s="17" t="str">
        <f aca="false">IF((E265="w"),H265," ")</f>
        <v> </v>
      </c>
      <c r="T265" s="17" t="str">
        <f aca="false">IF((E265="r"),H265," ")</f>
        <v> </v>
      </c>
      <c r="U265" s="17" t="str">
        <f aca="false">IF((E265="p"),H265," ")</f>
        <v> </v>
      </c>
      <c r="V265" s="17" t="str">
        <f aca="false">IF((E265="t"),H265," ")</f>
        <v> </v>
      </c>
      <c r="W265" s="17" t="str">
        <f aca="false">IF((E265="q"),H265," ")</f>
        <v> </v>
      </c>
      <c r="X265" s="17" t="str">
        <f aca="false">IF((E265="m"),H265," ")</f>
        <v> </v>
      </c>
      <c r="Y265" s="17" t="str">
        <f aca="false">IF((E265="u"),H265," ")</f>
        <v> </v>
      </c>
      <c r="Z265" s="17" t="str">
        <f aca="false">IF((E265="a"),H265," ")</f>
        <v> </v>
      </c>
      <c r="AA265" s="17" t="str">
        <f aca="false">IF((E265="g"),H265," ")</f>
        <v> </v>
      </c>
      <c r="AB265" s="17" t="str">
        <f aca="false">IF((E265="h"),H265," ")</f>
        <v> </v>
      </c>
      <c r="AC265" s="30" t="str">
        <f aca="false">IF((E265="v"),H265," ")</f>
        <v> </v>
      </c>
      <c r="AD265" s="30" t="str">
        <f aca="false">IF((E265="n"),H265," ")</f>
        <v> </v>
      </c>
      <c r="AE265" s="17" t="str">
        <f aca="false">IF((E265="f"),H265," ")</f>
        <v> </v>
      </c>
      <c r="AF265" s="17" t="str">
        <f aca="false">IF((E265="l"),H265," ")</f>
        <v> </v>
      </c>
      <c r="AG265" s="17" t="str">
        <f aca="false">IF((E265="y"),H265," ")</f>
        <v> </v>
      </c>
      <c r="AH265" s="17" t="str">
        <f aca="false">IF((E265="z"),H265," ")</f>
        <v> </v>
      </c>
      <c r="AI265" s="17" t="str">
        <f aca="false">IF((E265="fa"),H265," ")</f>
        <v> </v>
      </c>
      <c r="AJ265" s="17" t="str">
        <f aca="false">IF((E265="e"),H265," ")</f>
        <v> </v>
      </c>
    </row>
    <row r="266" customFormat="false" ht="12" hidden="false" customHeight="false" outlineLevel="0" collapsed="false">
      <c r="A266" s="28"/>
      <c r="E266" s="2" t="str">
        <f aca="false">IF((F266&lt;&gt;0),"Enter Letter"," ")</f>
        <v> </v>
      </c>
      <c r="F266" s="30"/>
      <c r="G266" s="6" t="str">
        <f aca="false">IF(F266&lt;&gt;0,F266*G$2/(100+G$2)," ")</f>
        <v> </v>
      </c>
      <c r="H266" s="6" t="str">
        <f aca="false">IF((F266&lt;&gt;0),F266-G266," ")</f>
        <v> </v>
      </c>
      <c r="I266" s="5"/>
      <c r="L266" s="7" t="str">
        <f aca="false">IF(F266&lt;&gt;0,F266-K266," ")</f>
        <v> </v>
      </c>
      <c r="M266" s="8" t="str">
        <f aca="false">IF((F266-K266)&lt;&gt;0,M$1-A266," ")</f>
        <v> </v>
      </c>
      <c r="N266" s="5"/>
      <c r="O266" s="17" t="str">
        <f aca="false">IF((E266="s"),H266," ")</f>
        <v> </v>
      </c>
      <c r="P266" s="17" t="str">
        <f aca="false">IF((E266="c"),H266," ")</f>
        <v> </v>
      </c>
      <c r="Q266" s="17" t="str">
        <f aca="false">IF((E266="o"),H266," ")</f>
        <v> </v>
      </c>
      <c r="R266" s="17" t="str">
        <f aca="false">IF((E266="d"),H266," ")</f>
        <v> </v>
      </c>
      <c r="S266" s="17" t="str">
        <f aca="false">IF((E266="w"),H266," ")</f>
        <v> </v>
      </c>
      <c r="T266" s="17" t="str">
        <f aca="false">IF((E266="r"),H266," ")</f>
        <v> </v>
      </c>
      <c r="U266" s="17" t="str">
        <f aca="false">IF((E266="p"),H266," ")</f>
        <v> </v>
      </c>
      <c r="V266" s="17" t="str">
        <f aca="false">IF((E266="t"),H266," ")</f>
        <v> </v>
      </c>
      <c r="W266" s="17" t="str">
        <f aca="false">IF((E266="q"),H266," ")</f>
        <v> </v>
      </c>
      <c r="X266" s="17" t="str">
        <f aca="false">IF((E266="m"),H266," ")</f>
        <v> </v>
      </c>
      <c r="Y266" s="17" t="str">
        <f aca="false">IF((E266="u"),H266," ")</f>
        <v> </v>
      </c>
      <c r="Z266" s="17" t="str">
        <f aca="false">IF((E266="a"),H266," ")</f>
        <v> </v>
      </c>
      <c r="AA266" s="17" t="str">
        <f aca="false">IF((E266="g"),H266," ")</f>
        <v> </v>
      </c>
      <c r="AB266" s="17" t="str">
        <f aca="false">IF((E266="h"),H266," ")</f>
        <v> </v>
      </c>
      <c r="AC266" s="30" t="str">
        <f aca="false">IF((E266="v"),H266," ")</f>
        <v> </v>
      </c>
      <c r="AD266" s="30" t="str">
        <f aca="false">IF((E266="n"),H266," ")</f>
        <v> </v>
      </c>
      <c r="AE266" s="17" t="str">
        <f aca="false">IF((E266="f"),H266," ")</f>
        <v> </v>
      </c>
      <c r="AF266" s="17" t="str">
        <f aca="false">IF((E266="l"),H266," ")</f>
        <v> </v>
      </c>
      <c r="AG266" s="17" t="str">
        <f aca="false">IF((E266="y"),H266," ")</f>
        <v> </v>
      </c>
      <c r="AH266" s="17" t="str">
        <f aca="false">IF((E266="z"),H266," ")</f>
        <v> </v>
      </c>
      <c r="AI266" s="17" t="str">
        <f aca="false">IF((E266="fa"),H266," ")</f>
        <v> </v>
      </c>
      <c r="AJ266" s="17" t="str">
        <f aca="false">IF((E266="e"),H266," ")</f>
        <v> </v>
      </c>
    </row>
    <row r="267" customFormat="false" ht="12" hidden="false" customHeight="false" outlineLevel="0" collapsed="false">
      <c r="A267" s="28"/>
      <c r="E267" s="2" t="str">
        <f aca="false">IF((F267&lt;&gt;0),"Enter Letter"," ")</f>
        <v> </v>
      </c>
      <c r="F267" s="30"/>
      <c r="G267" s="6" t="str">
        <f aca="false">IF(F267&lt;&gt;0,F267*G$2/(100+G$2)," ")</f>
        <v> </v>
      </c>
      <c r="H267" s="6" t="str">
        <f aca="false">IF((F267&lt;&gt;0),F267-G267," ")</f>
        <v> </v>
      </c>
      <c r="I267" s="5"/>
      <c r="L267" s="7" t="str">
        <f aca="false">IF(F267&lt;&gt;0,F267-K267," ")</f>
        <v> </v>
      </c>
      <c r="M267" s="8" t="str">
        <f aca="false">IF((F267-K267)&lt;&gt;0,M$1-A267," ")</f>
        <v> </v>
      </c>
      <c r="N267" s="5"/>
      <c r="O267" s="17" t="str">
        <f aca="false">IF((E267="s"),H267," ")</f>
        <v> </v>
      </c>
      <c r="P267" s="17" t="str">
        <f aca="false">IF((E267="c"),H267," ")</f>
        <v> </v>
      </c>
      <c r="Q267" s="17" t="str">
        <f aca="false">IF((E267="o"),H267," ")</f>
        <v> </v>
      </c>
      <c r="R267" s="17" t="str">
        <f aca="false">IF((E267="d"),H267," ")</f>
        <v> </v>
      </c>
      <c r="S267" s="17" t="str">
        <f aca="false">IF((E267="w"),H267," ")</f>
        <v> </v>
      </c>
      <c r="T267" s="17" t="str">
        <f aca="false">IF((E267="r"),H267," ")</f>
        <v> </v>
      </c>
      <c r="U267" s="17" t="str">
        <f aca="false">IF((E267="p"),H267," ")</f>
        <v> </v>
      </c>
      <c r="V267" s="17" t="str">
        <f aca="false">IF((E267="t"),H267," ")</f>
        <v> </v>
      </c>
      <c r="W267" s="17" t="str">
        <f aca="false">IF((E267="q"),H267," ")</f>
        <v> </v>
      </c>
      <c r="X267" s="17" t="str">
        <f aca="false">IF((E267="m"),H267," ")</f>
        <v> </v>
      </c>
      <c r="Y267" s="17" t="str">
        <f aca="false">IF((E267="u"),H267," ")</f>
        <v> </v>
      </c>
      <c r="Z267" s="17" t="str">
        <f aca="false">IF((E267="a"),H267," ")</f>
        <v> </v>
      </c>
      <c r="AA267" s="17" t="str">
        <f aca="false">IF((E267="g"),H267," ")</f>
        <v> </v>
      </c>
      <c r="AB267" s="17" t="str">
        <f aca="false">IF((E267="h"),H267," ")</f>
        <v> </v>
      </c>
      <c r="AC267" s="30" t="str">
        <f aca="false">IF((E267="v"),H267," ")</f>
        <v> </v>
      </c>
      <c r="AD267" s="30" t="str">
        <f aca="false">IF((E267="n"),H267," ")</f>
        <v> </v>
      </c>
      <c r="AE267" s="17" t="str">
        <f aca="false">IF((E267="f"),H267," ")</f>
        <v> </v>
      </c>
      <c r="AF267" s="17" t="str">
        <f aca="false">IF((E267="l"),H267," ")</f>
        <v> </v>
      </c>
      <c r="AG267" s="17" t="str">
        <f aca="false">IF((E267="y"),H267," ")</f>
        <v> </v>
      </c>
      <c r="AH267" s="17" t="str">
        <f aca="false">IF((E267="z"),H267," ")</f>
        <v> </v>
      </c>
      <c r="AI267" s="17" t="str">
        <f aca="false">IF((E267="fa"),H267," ")</f>
        <v> </v>
      </c>
      <c r="AJ267" s="17" t="str">
        <f aca="false">IF((E267="e"),H267," ")</f>
        <v> </v>
      </c>
    </row>
    <row r="268" customFormat="false" ht="12" hidden="false" customHeight="false" outlineLevel="0" collapsed="false">
      <c r="A268" s="28"/>
      <c r="E268" s="2" t="str">
        <f aca="false">IF((F268&lt;&gt;0),"Enter Letter"," ")</f>
        <v> </v>
      </c>
      <c r="F268" s="30"/>
      <c r="G268" s="6" t="str">
        <f aca="false">IF(F268&lt;&gt;0,F268*G$2/(100+G$2)," ")</f>
        <v> </v>
      </c>
      <c r="H268" s="6" t="str">
        <f aca="false">IF((F268&lt;&gt;0),F268-G268," ")</f>
        <v> </v>
      </c>
      <c r="I268" s="5"/>
      <c r="L268" s="7" t="str">
        <f aca="false">IF(F268&lt;&gt;0,F268-K268," ")</f>
        <v> </v>
      </c>
      <c r="M268" s="8" t="str">
        <f aca="false">IF((F268-K268)&lt;&gt;0,M$1-A268," ")</f>
        <v> </v>
      </c>
      <c r="N268" s="5"/>
      <c r="O268" s="17" t="str">
        <f aca="false">IF((E268="s"),H268," ")</f>
        <v> </v>
      </c>
      <c r="P268" s="17" t="str">
        <f aca="false">IF((E268="c"),H268," ")</f>
        <v> </v>
      </c>
      <c r="Q268" s="17" t="str">
        <f aca="false">IF((E268="o"),H268," ")</f>
        <v> </v>
      </c>
      <c r="R268" s="17" t="str">
        <f aca="false">IF((E268="d"),H268," ")</f>
        <v> </v>
      </c>
      <c r="S268" s="17" t="str">
        <f aca="false">IF((E268="w"),H268," ")</f>
        <v> </v>
      </c>
      <c r="T268" s="17" t="str">
        <f aca="false">IF((E268="r"),H268," ")</f>
        <v> </v>
      </c>
      <c r="U268" s="17" t="str">
        <f aca="false">IF((E268="p"),H268," ")</f>
        <v> </v>
      </c>
      <c r="V268" s="17" t="str">
        <f aca="false">IF((E268="t"),H268," ")</f>
        <v> </v>
      </c>
      <c r="W268" s="17" t="str">
        <f aca="false">IF((E268="q"),H268," ")</f>
        <v> </v>
      </c>
      <c r="X268" s="17" t="str">
        <f aca="false">IF((E268="m"),H268," ")</f>
        <v> </v>
      </c>
      <c r="Y268" s="17" t="str">
        <f aca="false">IF((E268="u"),H268," ")</f>
        <v> </v>
      </c>
      <c r="Z268" s="17" t="str">
        <f aca="false">IF((E268="a"),H268," ")</f>
        <v> </v>
      </c>
      <c r="AA268" s="17" t="str">
        <f aca="false">IF((E268="g"),H268," ")</f>
        <v> </v>
      </c>
      <c r="AB268" s="17" t="str">
        <f aca="false">IF((E268="h"),H268," ")</f>
        <v> </v>
      </c>
      <c r="AC268" s="30" t="str">
        <f aca="false">IF((E268="v"),H268," ")</f>
        <v> </v>
      </c>
      <c r="AD268" s="30" t="str">
        <f aca="false">IF((E268="n"),H268," ")</f>
        <v> </v>
      </c>
      <c r="AE268" s="17" t="str">
        <f aca="false">IF((E268="f"),H268," ")</f>
        <v> </v>
      </c>
      <c r="AF268" s="17" t="str">
        <f aca="false">IF((E268="l"),H268," ")</f>
        <v> </v>
      </c>
      <c r="AG268" s="17" t="str">
        <f aca="false">IF((E268="y"),H268," ")</f>
        <v> </v>
      </c>
      <c r="AH268" s="17" t="str">
        <f aca="false">IF((E268="z"),H268," ")</f>
        <v> </v>
      </c>
      <c r="AI268" s="17" t="str">
        <f aca="false">IF((E268="fa"),H268," ")</f>
        <v> </v>
      </c>
      <c r="AJ268" s="17" t="str">
        <f aca="false">IF((E268="e"),H268," ")</f>
        <v> </v>
      </c>
    </row>
    <row r="269" customFormat="false" ht="12" hidden="false" customHeight="false" outlineLevel="0" collapsed="false">
      <c r="A269" s="28"/>
      <c r="E269" s="2" t="str">
        <f aca="false">IF((F269&lt;&gt;0),"Enter Letter"," ")</f>
        <v> </v>
      </c>
      <c r="F269" s="30"/>
      <c r="G269" s="6" t="str">
        <f aca="false">IF(F269&lt;&gt;0,F269*G$2/(100+G$2)," ")</f>
        <v> </v>
      </c>
      <c r="H269" s="6" t="str">
        <f aca="false">IF((F269&lt;&gt;0),F269-G269," ")</f>
        <v> </v>
      </c>
      <c r="I269" s="5"/>
      <c r="L269" s="7" t="str">
        <f aca="false">IF(F269&lt;&gt;0,F269-K269," ")</f>
        <v> </v>
      </c>
      <c r="M269" s="8" t="str">
        <f aca="false">IF((F269-K269)&lt;&gt;0,M$1-A269," ")</f>
        <v> </v>
      </c>
      <c r="N269" s="5"/>
      <c r="O269" s="17" t="str">
        <f aca="false">IF((E269="s"),H269," ")</f>
        <v> </v>
      </c>
      <c r="P269" s="17" t="str">
        <f aca="false">IF((E269="c"),H269," ")</f>
        <v> </v>
      </c>
      <c r="Q269" s="17" t="str">
        <f aca="false">IF((E269="o"),H269," ")</f>
        <v> </v>
      </c>
      <c r="R269" s="17" t="str">
        <f aca="false">IF((E269="d"),H269," ")</f>
        <v> </v>
      </c>
      <c r="S269" s="17" t="str">
        <f aca="false">IF((E269="w"),H269," ")</f>
        <v> </v>
      </c>
      <c r="T269" s="17" t="str">
        <f aca="false">IF((E269="r"),H269," ")</f>
        <v> </v>
      </c>
      <c r="U269" s="17" t="str">
        <f aca="false">IF((E269="p"),H269," ")</f>
        <v> </v>
      </c>
      <c r="V269" s="17" t="str">
        <f aca="false">IF((E269="t"),H269," ")</f>
        <v> </v>
      </c>
      <c r="W269" s="17" t="str">
        <f aca="false">IF((E269="q"),H269," ")</f>
        <v> </v>
      </c>
      <c r="X269" s="17" t="str">
        <f aca="false">IF((E269="m"),H269," ")</f>
        <v> </v>
      </c>
      <c r="Y269" s="17" t="str">
        <f aca="false">IF((E269="u"),H269," ")</f>
        <v> </v>
      </c>
      <c r="Z269" s="17" t="str">
        <f aca="false">IF((E269="a"),H269," ")</f>
        <v> </v>
      </c>
      <c r="AA269" s="17" t="str">
        <f aca="false">IF((E269="g"),H269," ")</f>
        <v> </v>
      </c>
      <c r="AB269" s="17" t="str">
        <f aca="false">IF((E269="h"),H269," ")</f>
        <v> </v>
      </c>
      <c r="AC269" s="30" t="str">
        <f aca="false">IF((E269="v"),H269," ")</f>
        <v> </v>
      </c>
      <c r="AD269" s="30" t="str">
        <f aca="false">IF((E269="n"),H269," ")</f>
        <v> </v>
      </c>
      <c r="AE269" s="17" t="str">
        <f aca="false">IF((E269="f"),H269," ")</f>
        <v> </v>
      </c>
      <c r="AF269" s="17" t="str">
        <f aca="false">IF((E269="l"),H269," ")</f>
        <v> </v>
      </c>
      <c r="AG269" s="17" t="str">
        <f aca="false">IF((E269="y"),H269," ")</f>
        <v> </v>
      </c>
      <c r="AH269" s="17" t="str">
        <f aca="false">IF((E269="z"),H269," ")</f>
        <v> </v>
      </c>
      <c r="AI269" s="17" t="str">
        <f aca="false">IF((E269="fa"),H269," ")</f>
        <v> </v>
      </c>
      <c r="AJ269" s="17" t="str">
        <f aca="false">IF((E269="e"),H269," ")</f>
        <v> </v>
      </c>
    </row>
    <row r="270" customFormat="false" ht="12" hidden="false" customHeight="false" outlineLevel="0" collapsed="false">
      <c r="A270" s="28"/>
      <c r="E270" s="2" t="str">
        <f aca="false">IF((F270&lt;&gt;0),"Enter Letter"," ")</f>
        <v> </v>
      </c>
      <c r="F270" s="30"/>
      <c r="G270" s="6" t="str">
        <f aca="false">IF(F270&lt;&gt;0,F270*G$2/(100+G$2)," ")</f>
        <v> </v>
      </c>
      <c r="H270" s="6" t="str">
        <f aca="false">IF((F270&lt;&gt;0),F270-G270," ")</f>
        <v> </v>
      </c>
      <c r="I270" s="5"/>
      <c r="L270" s="7" t="str">
        <f aca="false">IF(F270&lt;&gt;0,F270-K270," ")</f>
        <v> </v>
      </c>
      <c r="M270" s="8" t="str">
        <f aca="false">IF((F270-K270)&lt;&gt;0,M$1-A270," ")</f>
        <v> </v>
      </c>
      <c r="N270" s="5"/>
      <c r="O270" s="17" t="str">
        <f aca="false">IF((E270="s"),H270," ")</f>
        <v> </v>
      </c>
      <c r="P270" s="17" t="str">
        <f aca="false">IF((E270="c"),H270," ")</f>
        <v> </v>
      </c>
      <c r="Q270" s="17" t="str">
        <f aca="false">IF((E270="o"),H270," ")</f>
        <v> </v>
      </c>
      <c r="R270" s="17" t="str">
        <f aca="false">IF((E270="d"),H270," ")</f>
        <v> </v>
      </c>
      <c r="S270" s="17" t="str">
        <f aca="false">IF((E270="w"),H270," ")</f>
        <v> </v>
      </c>
      <c r="T270" s="17" t="str">
        <f aca="false">IF((E270="r"),H270," ")</f>
        <v> </v>
      </c>
      <c r="U270" s="17" t="str">
        <f aca="false">IF((E270="p"),H270," ")</f>
        <v> </v>
      </c>
      <c r="V270" s="17" t="str">
        <f aca="false">IF((E270="t"),H270," ")</f>
        <v> </v>
      </c>
      <c r="W270" s="17" t="str">
        <f aca="false">IF((E270="q"),H270," ")</f>
        <v> </v>
      </c>
      <c r="X270" s="17" t="str">
        <f aca="false">IF((E270="m"),H270," ")</f>
        <v> </v>
      </c>
      <c r="Y270" s="17" t="str">
        <f aca="false">IF((E270="u"),H270," ")</f>
        <v> </v>
      </c>
      <c r="Z270" s="17" t="str">
        <f aca="false">IF((E270="a"),H270," ")</f>
        <v> </v>
      </c>
      <c r="AA270" s="17" t="str">
        <f aca="false">IF((E270="g"),H270," ")</f>
        <v> </v>
      </c>
      <c r="AB270" s="17" t="str">
        <f aca="false">IF((E270="h"),H270," ")</f>
        <v> </v>
      </c>
      <c r="AC270" s="30" t="str">
        <f aca="false">IF((E270="v"),H270," ")</f>
        <v> </v>
      </c>
      <c r="AD270" s="30" t="str">
        <f aca="false">IF((E270="n"),H270," ")</f>
        <v> </v>
      </c>
      <c r="AE270" s="17" t="str">
        <f aca="false">IF((E270="f"),H270," ")</f>
        <v> </v>
      </c>
      <c r="AF270" s="17" t="str">
        <f aca="false">IF((E270="l"),H270," ")</f>
        <v> </v>
      </c>
      <c r="AG270" s="17" t="str">
        <f aca="false">IF((E270="y"),H270," ")</f>
        <v> </v>
      </c>
      <c r="AH270" s="17" t="str">
        <f aca="false">IF((E270="z"),H270," ")</f>
        <v> </v>
      </c>
      <c r="AI270" s="17" t="str">
        <f aca="false">IF((E270="fa"),H270," ")</f>
        <v> </v>
      </c>
      <c r="AJ270" s="17" t="str">
        <f aca="false">IF((E270="e"),H270," ")</f>
        <v> </v>
      </c>
    </row>
    <row r="271" customFormat="false" ht="12" hidden="false" customHeight="false" outlineLevel="0" collapsed="false">
      <c r="A271" s="28"/>
      <c r="E271" s="2" t="str">
        <f aca="false">IF((F271&lt;&gt;0),"Enter Letter"," ")</f>
        <v> </v>
      </c>
      <c r="F271" s="30"/>
      <c r="G271" s="6" t="str">
        <f aca="false">IF(F271&lt;&gt;0,F271*G$2/(100+G$2)," ")</f>
        <v> </v>
      </c>
      <c r="H271" s="6" t="str">
        <f aca="false">IF((F271&lt;&gt;0),F271-G271," ")</f>
        <v> </v>
      </c>
      <c r="I271" s="5"/>
      <c r="L271" s="7" t="str">
        <f aca="false">IF(F271&lt;&gt;0,F271-K271," ")</f>
        <v> </v>
      </c>
      <c r="M271" s="8" t="str">
        <f aca="false">IF((F271-K271)&lt;&gt;0,M$1-A271," ")</f>
        <v> </v>
      </c>
      <c r="N271" s="5"/>
      <c r="O271" s="17" t="str">
        <f aca="false">IF((E271="s"),H271," ")</f>
        <v> </v>
      </c>
      <c r="P271" s="17" t="str">
        <f aca="false">IF((E271="c"),H271," ")</f>
        <v> </v>
      </c>
      <c r="Q271" s="17" t="str">
        <f aca="false">IF((E271="o"),H271," ")</f>
        <v> </v>
      </c>
      <c r="R271" s="17" t="str">
        <f aca="false">IF((E271="d"),H271," ")</f>
        <v> </v>
      </c>
      <c r="S271" s="17" t="str">
        <f aca="false">IF((E271="w"),H271," ")</f>
        <v> </v>
      </c>
      <c r="T271" s="17" t="str">
        <f aca="false">IF((E271="r"),H271," ")</f>
        <v> </v>
      </c>
      <c r="U271" s="17" t="str">
        <f aca="false">IF((E271="p"),H271," ")</f>
        <v> </v>
      </c>
      <c r="V271" s="17" t="str">
        <f aca="false">IF((E271="t"),H271," ")</f>
        <v> </v>
      </c>
      <c r="W271" s="17" t="str">
        <f aca="false">IF((E271="q"),H271," ")</f>
        <v> </v>
      </c>
      <c r="X271" s="17" t="str">
        <f aca="false">IF((E271="m"),H271," ")</f>
        <v> </v>
      </c>
      <c r="Y271" s="17" t="str">
        <f aca="false">IF((E271="u"),H271," ")</f>
        <v> </v>
      </c>
      <c r="Z271" s="17" t="str">
        <f aca="false">IF((E271="a"),H271," ")</f>
        <v> </v>
      </c>
      <c r="AA271" s="17" t="str">
        <f aca="false">IF((E271="g"),H271," ")</f>
        <v> </v>
      </c>
      <c r="AB271" s="17" t="str">
        <f aca="false">IF((E271="h"),H271," ")</f>
        <v> </v>
      </c>
      <c r="AC271" s="30" t="str">
        <f aca="false">IF((E271="v"),H271," ")</f>
        <v> </v>
      </c>
      <c r="AD271" s="30" t="str">
        <f aca="false">IF((E271="n"),H271," ")</f>
        <v> </v>
      </c>
      <c r="AE271" s="17" t="str">
        <f aca="false">IF((E271="f"),H271," ")</f>
        <v> </v>
      </c>
      <c r="AF271" s="17" t="str">
        <f aca="false">IF((E271="l"),H271," ")</f>
        <v> </v>
      </c>
      <c r="AG271" s="17" t="str">
        <f aca="false">IF((E271="y"),H271," ")</f>
        <v> </v>
      </c>
      <c r="AH271" s="17" t="str">
        <f aca="false">IF((E271="z"),H271," ")</f>
        <v> </v>
      </c>
      <c r="AI271" s="17" t="str">
        <f aca="false">IF((E271="fa"),H271," ")</f>
        <v> </v>
      </c>
      <c r="AJ271" s="17" t="str">
        <f aca="false">IF((E271="e"),H271," ")</f>
        <v> </v>
      </c>
    </row>
    <row r="272" customFormat="false" ht="12" hidden="false" customHeight="false" outlineLevel="0" collapsed="false">
      <c r="A272" s="28"/>
      <c r="E272" s="2" t="str">
        <f aca="false">IF((F272&lt;&gt;0),"Enter Letter"," ")</f>
        <v> </v>
      </c>
      <c r="F272" s="30"/>
      <c r="G272" s="6" t="str">
        <f aca="false">IF(F272&lt;&gt;0,F272*G$2/(100+G$2)," ")</f>
        <v> </v>
      </c>
      <c r="H272" s="6" t="str">
        <f aca="false">IF((F272&lt;&gt;0),F272-G272," ")</f>
        <v> </v>
      </c>
      <c r="I272" s="5"/>
      <c r="L272" s="7" t="str">
        <f aca="false">IF(F272&lt;&gt;0,F272-K272," ")</f>
        <v> </v>
      </c>
      <c r="M272" s="8" t="str">
        <f aca="false">IF((F272-K272)&lt;&gt;0,M$1-A272," ")</f>
        <v> </v>
      </c>
      <c r="N272" s="5"/>
      <c r="O272" s="17" t="str">
        <f aca="false">IF((E272="s"),H272," ")</f>
        <v> </v>
      </c>
      <c r="P272" s="17" t="str">
        <f aca="false">IF((E272="c"),H272," ")</f>
        <v> </v>
      </c>
      <c r="Q272" s="17" t="str">
        <f aca="false">IF((E272="o"),H272," ")</f>
        <v> </v>
      </c>
      <c r="R272" s="17" t="str">
        <f aca="false">IF((E272="d"),H272," ")</f>
        <v> </v>
      </c>
      <c r="S272" s="17" t="str">
        <f aca="false">IF((E272="w"),H272," ")</f>
        <v> </v>
      </c>
      <c r="T272" s="17" t="str">
        <f aca="false">IF((E272="r"),H272," ")</f>
        <v> </v>
      </c>
      <c r="U272" s="17" t="str">
        <f aca="false">IF((E272="p"),H272," ")</f>
        <v> </v>
      </c>
      <c r="V272" s="17" t="str">
        <f aca="false">IF((E272="t"),H272," ")</f>
        <v> </v>
      </c>
      <c r="W272" s="17" t="str">
        <f aca="false">IF((E272="q"),H272," ")</f>
        <v> </v>
      </c>
      <c r="X272" s="17" t="str">
        <f aca="false">IF((E272="m"),H272," ")</f>
        <v> </v>
      </c>
      <c r="Y272" s="17" t="str">
        <f aca="false">IF((E272="u"),H272," ")</f>
        <v> </v>
      </c>
      <c r="Z272" s="17" t="str">
        <f aca="false">IF((E272="a"),H272," ")</f>
        <v> </v>
      </c>
      <c r="AA272" s="17" t="str">
        <f aca="false">IF((E272="g"),H272," ")</f>
        <v> </v>
      </c>
      <c r="AB272" s="17" t="str">
        <f aca="false">IF((E272="h"),H272," ")</f>
        <v> </v>
      </c>
      <c r="AC272" s="30" t="str">
        <f aca="false">IF((E272="v"),H272," ")</f>
        <v> </v>
      </c>
      <c r="AD272" s="30" t="str">
        <f aca="false">IF((E272="n"),H272," ")</f>
        <v> </v>
      </c>
      <c r="AE272" s="17" t="str">
        <f aca="false">IF((E272="f"),H272," ")</f>
        <v> </v>
      </c>
      <c r="AF272" s="17" t="str">
        <f aca="false">IF((E272="l"),H272," ")</f>
        <v> </v>
      </c>
      <c r="AG272" s="17" t="str">
        <f aca="false">IF((E272="y"),H272," ")</f>
        <v> </v>
      </c>
      <c r="AH272" s="17" t="str">
        <f aca="false">IF((E272="z"),H272," ")</f>
        <v> </v>
      </c>
      <c r="AI272" s="17" t="str">
        <f aca="false">IF((E272="fa"),H272," ")</f>
        <v> </v>
      </c>
      <c r="AJ272" s="17" t="str">
        <f aca="false">IF((E272="e"),H272," ")</f>
        <v> </v>
      </c>
    </row>
    <row r="273" customFormat="false" ht="12" hidden="false" customHeight="false" outlineLevel="0" collapsed="false">
      <c r="A273" s="28"/>
      <c r="E273" s="2" t="str">
        <f aca="false">IF((F273&lt;&gt;0),"Enter Letter"," ")</f>
        <v> </v>
      </c>
      <c r="F273" s="30"/>
      <c r="G273" s="6" t="str">
        <f aca="false">IF(F273&lt;&gt;0,F273*G$2/(100+G$2)," ")</f>
        <v> </v>
      </c>
      <c r="H273" s="6" t="str">
        <f aca="false">IF((F273&lt;&gt;0),F273-G273," ")</f>
        <v> </v>
      </c>
      <c r="I273" s="5"/>
      <c r="L273" s="7" t="str">
        <f aca="false">IF(F273&lt;&gt;0,F273-K273," ")</f>
        <v> </v>
      </c>
      <c r="M273" s="8" t="str">
        <f aca="false">IF((F273-K273)&lt;&gt;0,M$1-A273," ")</f>
        <v> </v>
      </c>
      <c r="N273" s="5"/>
      <c r="O273" s="17" t="str">
        <f aca="false">IF((E273="s"),H273," ")</f>
        <v> </v>
      </c>
      <c r="P273" s="17" t="str">
        <f aca="false">IF((E273="c"),H273," ")</f>
        <v> </v>
      </c>
      <c r="Q273" s="17" t="str">
        <f aca="false">IF((E273="o"),H273," ")</f>
        <v> </v>
      </c>
      <c r="R273" s="17" t="str">
        <f aca="false">IF((E273="d"),H273," ")</f>
        <v> </v>
      </c>
      <c r="S273" s="17" t="str">
        <f aca="false">IF((E273="w"),H273," ")</f>
        <v> </v>
      </c>
      <c r="T273" s="17" t="str">
        <f aca="false">IF((E273="r"),H273," ")</f>
        <v> </v>
      </c>
      <c r="U273" s="17" t="str">
        <f aca="false">IF((E273="p"),H273," ")</f>
        <v> </v>
      </c>
      <c r="V273" s="17" t="str">
        <f aca="false">IF((E273="t"),H273," ")</f>
        <v> </v>
      </c>
      <c r="W273" s="17" t="str">
        <f aca="false">IF((E273="q"),H273," ")</f>
        <v> </v>
      </c>
      <c r="X273" s="17" t="str">
        <f aca="false">IF((E273="m"),H273," ")</f>
        <v> </v>
      </c>
      <c r="Y273" s="17" t="str">
        <f aca="false">IF((E273="u"),H273," ")</f>
        <v> </v>
      </c>
      <c r="Z273" s="17" t="str">
        <f aca="false">IF((E273="a"),H273," ")</f>
        <v> </v>
      </c>
      <c r="AA273" s="17" t="str">
        <f aca="false">IF((E273="g"),H273," ")</f>
        <v> </v>
      </c>
      <c r="AB273" s="17" t="str">
        <f aca="false">IF((E273="h"),H273," ")</f>
        <v> </v>
      </c>
      <c r="AC273" s="30" t="str">
        <f aca="false">IF((E273="v"),H273," ")</f>
        <v> </v>
      </c>
      <c r="AD273" s="30" t="str">
        <f aca="false">IF((E273="n"),H273," ")</f>
        <v> </v>
      </c>
      <c r="AE273" s="17" t="str">
        <f aca="false">IF((E273="f"),H273," ")</f>
        <v> </v>
      </c>
      <c r="AF273" s="17" t="str">
        <f aca="false">IF((E273="l"),H273," ")</f>
        <v> </v>
      </c>
      <c r="AG273" s="17" t="str">
        <f aca="false">IF((E273="y"),H273," ")</f>
        <v> </v>
      </c>
      <c r="AH273" s="17" t="str">
        <f aca="false">IF((E273="z"),H273," ")</f>
        <v> </v>
      </c>
      <c r="AI273" s="17" t="str">
        <f aca="false">IF((E273="fa"),H273," ")</f>
        <v> </v>
      </c>
      <c r="AJ273" s="17" t="str">
        <f aca="false">IF((E273="e"),H273," ")</f>
        <v> </v>
      </c>
    </row>
    <row r="274" customFormat="false" ht="12" hidden="false" customHeight="false" outlineLevel="0" collapsed="false">
      <c r="A274" s="28"/>
      <c r="E274" s="2" t="str">
        <f aca="false">IF((F274&lt;&gt;0),"Enter Letter"," ")</f>
        <v> </v>
      </c>
      <c r="F274" s="30"/>
      <c r="G274" s="6" t="str">
        <f aca="false">IF(F274&lt;&gt;0,F274*G$2/(100+G$2)," ")</f>
        <v> </v>
      </c>
      <c r="H274" s="6" t="str">
        <f aca="false">IF((F274&lt;&gt;0),F274-G274," ")</f>
        <v> </v>
      </c>
      <c r="I274" s="5"/>
      <c r="L274" s="7" t="str">
        <f aca="false">IF(F274&lt;&gt;0,F274-K274," ")</f>
        <v> </v>
      </c>
      <c r="M274" s="8" t="str">
        <f aca="false">IF((F274-K274)&lt;&gt;0,M$1-A274," ")</f>
        <v> </v>
      </c>
      <c r="N274" s="5"/>
      <c r="O274" s="17" t="str">
        <f aca="false">IF((E274="s"),H274," ")</f>
        <v> </v>
      </c>
      <c r="P274" s="17" t="str">
        <f aca="false">IF((E274="c"),H274," ")</f>
        <v> </v>
      </c>
      <c r="Q274" s="17" t="str">
        <f aca="false">IF((E274="o"),H274," ")</f>
        <v> </v>
      </c>
      <c r="R274" s="17" t="str">
        <f aca="false">IF((E274="d"),H274," ")</f>
        <v> </v>
      </c>
      <c r="S274" s="17" t="str">
        <f aca="false">IF((E274="w"),H274," ")</f>
        <v> </v>
      </c>
      <c r="T274" s="17" t="str">
        <f aca="false">IF((E274="r"),H274," ")</f>
        <v> </v>
      </c>
      <c r="U274" s="17" t="str">
        <f aca="false">IF((E274="p"),H274," ")</f>
        <v> </v>
      </c>
      <c r="V274" s="17" t="str">
        <f aca="false">IF((E274="t"),H274," ")</f>
        <v> </v>
      </c>
      <c r="W274" s="17" t="str">
        <f aca="false">IF((E274="q"),H274," ")</f>
        <v> </v>
      </c>
      <c r="X274" s="17" t="str">
        <f aca="false">IF((E274="m"),H274," ")</f>
        <v> </v>
      </c>
      <c r="Y274" s="17" t="str">
        <f aca="false">IF((E274="u"),H274," ")</f>
        <v> </v>
      </c>
      <c r="Z274" s="17" t="str">
        <f aca="false">IF((E274="a"),H274," ")</f>
        <v> </v>
      </c>
      <c r="AA274" s="17" t="str">
        <f aca="false">IF((E274="g"),H274," ")</f>
        <v> </v>
      </c>
      <c r="AB274" s="17" t="str">
        <f aca="false">IF((E274="h"),H274," ")</f>
        <v> </v>
      </c>
      <c r="AC274" s="30" t="str">
        <f aca="false">IF((E274="v"),H274," ")</f>
        <v> </v>
      </c>
      <c r="AD274" s="30" t="str">
        <f aca="false">IF((E274="n"),H274," ")</f>
        <v> </v>
      </c>
      <c r="AE274" s="17" t="str">
        <f aca="false">IF((E274="f"),H274," ")</f>
        <v> </v>
      </c>
      <c r="AF274" s="17" t="str">
        <f aca="false">IF((E274="l"),H274," ")</f>
        <v> </v>
      </c>
      <c r="AG274" s="17" t="str">
        <f aca="false">IF((E274="y"),H274," ")</f>
        <v> </v>
      </c>
      <c r="AH274" s="17" t="str">
        <f aca="false">IF((E274="z"),H274," ")</f>
        <v> </v>
      </c>
      <c r="AI274" s="17" t="str">
        <f aca="false">IF((E274="fa"),H274," ")</f>
        <v> </v>
      </c>
      <c r="AJ274" s="17" t="str">
        <f aca="false">IF((E274="e"),H274," ")</f>
        <v> </v>
      </c>
    </row>
    <row r="275" customFormat="false" ht="12" hidden="false" customHeight="false" outlineLevel="0" collapsed="false">
      <c r="A275" s="28"/>
      <c r="E275" s="2" t="str">
        <f aca="false">IF((F275&lt;&gt;0),"Enter Letter"," ")</f>
        <v> </v>
      </c>
      <c r="F275" s="30"/>
      <c r="G275" s="6" t="str">
        <f aca="false">IF(F275&lt;&gt;0,F275*G$2/(100+G$2)," ")</f>
        <v> </v>
      </c>
      <c r="H275" s="6" t="str">
        <f aca="false">IF((F275&lt;&gt;0),F275-G275," ")</f>
        <v> </v>
      </c>
      <c r="I275" s="5"/>
      <c r="L275" s="7" t="str">
        <f aca="false">IF(F275&lt;&gt;0,F275-K275," ")</f>
        <v> </v>
      </c>
      <c r="M275" s="8" t="str">
        <f aca="false">IF((F275-K275)&lt;&gt;0,M$1-A275," ")</f>
        <v> </v>
      </c>
      <c r="N275" s="5"/>
      <c r="O275" s="17" t="str">
        <f aca="false">IF((E275="s"),H275," ")</f>
        <v> </v>
      </c>
      <c r="P275" s="17" t="str">
        <f aca="false">IF((E275="c"),H275," ")</f>
        <v> </v>
      </c>
      <c r="Q275" s="17" t="str">
        <f aca="false">IF((E275="o"),H275," ")</f>
        <v> </v>
      </c>
      <c r="R275" s="17" t="str">
        <f aca="false">IF((E275="d"),H275," ")</f>
        <v> </v>
      </c>
      <c r="S275" s="17" t="str">
        <f aca="false">IF((E275="w"),H275," ")</f>
        <v> </v>
      </c>
      <c r="T275" s="17" t="str">
        <f aca="false">IF((E275="r"),H275," ")</f>
        <v> </v>
      </c>
      <c r="U275" s="17" t="str">
        <f aca="false">IF((E275="p"),H275," ")</f>
        <v> </v>
      </c>
      <c r="V275" s="17" t="str">
        <f aca="false">IF((E275="t"),H275," ")</f>
        <v> </v>
      </c>
      <c r="W275" s="17" t="str">
        <f aca="false">IF((E275="q"),H275," ")</f>
        <v> </v>
      </c>
      <c r="X275" s="17" t="str">
        <f aca="false">IF((E275="m"),H275," ")</f>
        <v> </v>
      </c>
      <c r="Y275" s="17" t="str">
        <f aca="false">IF((E275="u"),H275," ")</f>
        <v> </v>
      </c>
      <c r="Z275" s="17" t="str">
        <f aca="false">IF((E275="a"),H275," ")</f>
        <v> </v>
      </c>
      <c r="AA275" s="17" t="str">
        <f aca="false">IF((E275="g"),H275," ")</f>
        <v> </v>
      </c>
      <c r="AB275" s="17" t="str">
        <f aca="false">IF((E275="h"),H275," ")</f>
        <v> </v>
      </c>
      <c r="AC275" s="30" t="str">
        <f aca="false">IF((E275="v"),H275," ")</f>
        <v> </v>
      </c>
      <c r="AD275" s="30" t="str">
        <f aca="false">IF((E275="n"),H275," ")</f>
        <v> </v>
      </c>
      <c r="AE275" s="17" t="str">
        <f aca="false">IF((E275="f"),H275," ")</f>
        <v> </v>
      </c>
      <c r="AF275" s="17" t="str">
        <f aca="false">IF((E275="l"),H275," ")</f>
        <v> </v>
      </c>
      <c r="AG275" s="17" t="str">
        <f aca="false">IF((E275="y"),H275," ")</f>
        <v> </v>
      </c>
      <c r="AH275" s="17" t="str">
        <f aca="false">IF((E275="z"),H275," ")</f>
        <v> </v>
      </c>
      <c r="AI275" s="17" t="str">
        <f aca="false">IF((E275="fa"),H275," ")</f>
        <v> </v>
      </c>
      <c r="AJ275" s="17" t="str">
        <f aca="false">IF((E275="e"),H275," ")</f>
        <v> </v>
      </c>
    </row>
    <row r="276" customFormat="false" ht="12" hidden="false" customHeight="false" outlineLevel="0" collapsed="false">
      <c r="A276" s="28"/>
      <c r="E276" s="2" t="str">
        <f aca="false">IF((F276&lt;&gt;0),"Enter Letter"," ")</f>
        <v> </v>
      </c>
      <c r="F276" s="30"/>
      <c r="G276" s="6" t="str">
        <f aca="false">IF(F276&lt;&gt;0,F276*G$2/(100+G$2)," ")</f>
        <v> </v>
      </c>
      <c r="H276" s="6" t="str">
        <f aca="false">IF((F276&lt;&gt;0),F276-G276," ")</f>
        <v> </v>
      </c>
      <c r="I276" s="5"/>
      <c r="L276" s="7" t="str">
        <f aca="false">IF(F276&lt;&gt;0,F276-K276," ")</f>
        <v> </v>
      </c>
      <c r="M276" s="8" t="str">
        <f aca="false">IF((F276-K276)&lt;&gt;0,M$1-A276," ")</f>
        <v> </v>
      </c>
      <c r="N276" s="5"/>
      <c r="O276" s="17" t="str">
        <f aca="false">IF((E276="s"),H276," ")</f>
        <v> </v>
      </c>
      <c r="P276" s="17" t="str">
        <f aca="false">IF((E276="c"),H276," ")</f>
        <v> </v>
      </c>
      <c r="Q276" s="17" t="str">
        <f aca="false">IF((E276="o"),H276," ")</f>
        <v> </v>
      </c>
      <c r="R276" s="17" t="str">
        <f aca="false">IF((E276="d"),H276," ")</f>
        <v> </v>
      </c>
      <c r="S276" s="17" t="str">
        <f aca="false">IF((E276="w"),H276," ")</f>
        <v> </v>
      </c>
      <c r="T276" s="17" t="str">
        <f aca="false">IF((E276="r"),H276," ")</f>
        <v> </v>
      </c>
      <c r="U276" s="17" t="str">
        <f aca="false">IF((E276="p"),H276," ")</f>
        <v> </v>
      </c>
      <c r="V276" s="17" t="str">
        <f aca="false">IF((E276="t"),H276," ")</f>
        <v> </v>
      </c>
      <c r="W276" s="17" t="str">
        <f aca="false">IF((E276="q"),H276," ")</f>
        <v> </v>
      </c>
      <c r="X276" s="17" t="str">
        <f aca="false">IF((E276="m"),H276," ")</f>
        <v> </v>
      </c>
      <c r="Y276" s="17" t="str">
        <f aca="false">IF((E276="u"),H276," ")</f>
        <v> </v>
      </c>
      <c r="Z276" s="17" t="str">
        <f aca="false">IF((E276="a"),H276," ")</f>
        <v> </v>
      </c>
      <c r="AA276" s="17" t="str">
        <f aca="false">IF((E276="g"),H276," ")</f>
        <v> </v>
      </c>
      <c r="AB276" s="17" t="str">
        <f aca="false">IF((E276="h"),H276," ")</f>
        <v> </v>
      </c>
      <c r="AC276" s="30" t="str">
        <f aca="false">IF((E276="v"),H276," ")</f>
        <v> </v>
      </c>
      <c r="AD276" s="30" t="str">
        <f aca="false">IF((E276="n"),H276," ")</f>
        <v> </v>
      </c>
      <c r="AE276" s="17" t="str">
        <f aca="false">IF((E276="f"),H276," ")</f>
        <v> </v>
      </c>
      <c r="AF276" s="17" t="str">
        <f aca="false">IF((E276="l"),H276," ")</f>
        <v> </v>
      </c>
      <c r="AG276" s="17" t="str">
        <f aca="false">IF((E276="y"),H276," ")</f>
        <v> </v>
      </c>
      <c r="AH276" s="17" t="str">
        <f aca="false">IF((E276="z"),H276," ")</f>
        <v> </v>
      </c>
      <c r="AI276" s="17" t="str">
        <f aca="false">IF((E276="fa"),H276," ")</f>
        <v> </v>
      </c>
      <c r="AJ276" s="17" t="str">
        <f aca="false">IF((E276="e"),H276," ")</f>
        <v> </v>
      </c>
    </row>
    <row r="277" customFormat="false" ht="12" hidden="false" customHeight="false" outlineLevel="0" collapsed="false">
      <c r="A277" s="28"/>
      <c r="E277" s="2" t="str">
        <f aca="false">IF((F277&lt;&gt;0),"Enter Letter"," ")</f>
        <v> </v>
      </c>
      <c r="F277" s="30"/>
      <c r="G277" s="6" t="str">
        <f aca="false">IF(F277&lt;&gt;0,F277*G$2/(100+G$2)," ")</f>
        <v> </v>
      </c>
      <c r="H277" s="6" t="str">
        <f aca="false">IF((F277&lt;&gt;0),F277-G277," ")</f>
        <v> </v>
      </c>
      <c r="I277" s="5"/>
      <c r="L277" s="7" t="str">
        <f aca="false">IF(F277&lt;&gt;0,F277-K277," ")</f>
        <v> </v>
      </c>
      <c r="M277" s="8" t="str">
        <f aca="false">IF((F277-K277)&lt;&gt;0,M$1-A277," ")</f>
        <v> </v>
      </c>
      <c r="N277" s="5"/>
      <c r="O277" s="17" t="str">
        <f aca="false">IF((E277="s"),H277," ")</f>
        <v> </v>
      </c>
      <c r="P277" s="17" t="str">
        <f aca="false">IF((E277="c"),H277," ")</f>
        <v> </v>
      </c>
      <c r="Q277" s="17" t="str">
        <f aca="false">IF((E277="o"),H277," ")</f>
        <v> </v>
      </c>
      <c r="R277" s="17" t="str">
        <f aca="false">IF((E277="d"),H277," ")</f>
        <v> </v>
      </c>
      <c r="S277" s="17" t="str">
        <f aca="false">IF((E277="w"),H277," ")</f>
        <v> </v>
      </c>
      <c r="T277" s="17" t="str">
        <f aca="false">IF((E277="r"),H277," ")</f>
        <v> </v>
      </c>
      <c r="U277" s="17" t="str">
        <f aca="false">IF((E277="p"),H277," ")</f>
        <v> </v>
      </c>
      <c r="V277" s="17" t="str">
        <f aca="false">IF((E277="t"),H277," ")</f>
        <v> </v>
      </c>
      <c r="W277" s="17" t="str">
        <f aca="false">IF((E277="q"),H277," ")</f>
        <v> </v>
      </c>
      <c r="X277" s="17" t="str">
        <f aca="false">IF((E277="m"),H277," ")</f>
        <v> </v>
      </c>
      <c r="Y277" s="17" t="str">
        <f aca="false">IF((E277="u"),H277," ")</f>
        <v> </v>
      </c>
      <c r="Z277" s="17" t="str">
        <f aca="false">IF((E277="a"),H277," ")</f>
        <v> </v>
      </c>
      <c r="AA277" s="17" t="str">
        <f aca="false">IF((E277="g"),H277," ")</f>
        <v> </v>
      </c>
      <c r="AB277" s="17" t="str">
        <f aca="false">IF((E277="h"),H277," ")</f>
        <v> </v>
      </c>
      <c r="AC277" s="30" t="str">
        <f aca="false">IF((E277="v"),H277," ")</f>
        <v> </v>
      </c>
      <c r="AD277" s="30" t="str">
        <f aca="false">IF((E277="n"),H277," ")</f>
        <v> </v>
      </c>
      <c r="AE277" s="17" t="str">
        <f aca="false">IF((E277="f"),H277," ")</f>
        <v> </v>
      </c>
      <c r="AF277" s="17" t="str">
        <f aca="false">IF((E277="l"),H277," ")</f>
        <v> </v>
      </c>
      <c r="AG277" s="17" t="str">
        <f aca="false">IF((E277="y"),H277," ")</f>
        <v> </v>
      </c>
      <c r="AH277" s="17" t="str">
        <f aca="false">IF((E277="z"),H277," ")</f>
        <v> </v>
      </c>
      <c r="AI277" s="17" t="str">
        <f aca="false">IF((E277="fa"),H277," ")</f>
        <v> </v>
      </c>
      <c r="AJ277" s="17" t="str">
        <f aca="false">IF((E277="e"),H277," ")</f>
        <v> </v>
      </c>
    </row>
    <row r="278" customFormat="false" ht="12" hidden="false" customHeight="false" outlineLevel="0" collapsed="false">
      <c r="A278" s="28"/>
      <c r="E278" s="2" t="str">
        <f aca="false">IF((F278&lt;&gt;0),"Enter Letter"," ")</f>
        <v> </v>
      </c>
      <c r="F278" s="30"/>
      <c r="G278" s="6" t="str">
        <f aca="false">IF(F278&lt;&gt;0,F278*G$2/(100+G$2)," ")</f>
        <v> </v>
      </c>
      <c r="H278" s="6" t="str">
        <f aca="false">IF((F278&lt;&gt;0),F278-G278," ")</f>
        <v> </v>
      </c>
      <c r="I278" s="5"/>
      <c r="L278" s="7" t="str">
        <f aca="false">IF(F278&lt;&gt;0,F278-K278," ")</f>
        <v> </v>
      </c>
      <c r="M278" s="8" t="str">
        <f aca="false">IF((F278-K278)&lt;&gt;0,M$1-A278," ")</f>
        <v> </v>
      </c>
      <c r="N278" s="5"/>
      <c r="O278" s="17" t="str">
        <f aca="false">IF((E278="s"),H278," ")</f>
        <v> </v>
      </c>
      <c r="P278" s="17" t="str">
        <f aca="false">IF((E278="c"),H278," ")</f>
        <v> </v>
      </c>
      <c r="Q278" s="17" t="str">
        <f aca="false">IF((E278="o"),H278," ")</f>
        <v> </v>
      </c>
      <c r="R278" s="17" t="str">
        <f aca="false">IF((E278="d"),H278," ")</f>
        <v> </v>
      </c>
      <c r="S278" s="17" t="str">
        <f aca="false">IF((E278="w"),H278," ")</f>
        <v> </v>
      </c>
      <c r="T278" s="17" t="str">
        <f aca="false">IF((E278="r"),H278," ")</f>
        <v> </v>
      </c>
      <c r="U278" s="17" t="str">
        <f aca="false">IF((E278="p"),H278," ")</f>
        <v> </v>
      </c>
      <c r="V278" s="17" t="str">
        <f aca="false">IF((E278="t"),H278," ")</f>
        <v> </v>
      </c>
      <c r="W278" s="17" t="str">
        <f aca="false">IF((E278="q"),H278," ")</f>
        <v> </v>
      </c>
      <c r="X278" s="17" t="str">
        <f aca="false">IF((E278="m"),H278," ")</f>
        <v> </v>
      </c>
      <c r="Y278" s="17" t="str">
        <f aca="false">IF((E278="u"),H278," ")</f>
        <v> </v>
      </c>
      <c r="Z278" s="17" t="str">
        <f aca="false">IF((E278="a"),H278," ")</f>
        <v> </v>
      </c>
      <c r="AA278" s="17" t="str">
        <f aca="false">IF((E278="g"),H278," ")</f>
        <v> </v>
      </c>
      <c r="AB278" s="17" t="str">
        <f aca="false">IF((E278="h"),H278," ")</f>
        <v> </v>
      </c>
      <c r="AC278" s="30" t="str">
        <f aca="false">IF((E278="v"),H278," ")</f>
        <v> </v>
      </c>
      <c r="AD278" s="30" t="str">
        <f aca="false">IF((E278="n"),H278," ")</f>
        <v> </v>
      </c>
      <c r="AE278" s="17" t="str">
        <f aca="false">IF((E278="f"),H278," ")</f>
        <v> </v>
      </c>
      <c r="AF278" s="17" t="str">
        <f aca="false">IF((E278="l"),H278," ")</f>
        <v> </v>
      </c>
      <c r="AG278" s="17" t="str">
        <f aca="false">IF((E278="y"),H278," ")</f>
        <v> </v>
      </c>
      <c r="AH278" s="17" t="str">
        <f aca="false">IF((E278="z"),H278," ")</f>
        <v> </v>
      </c>
      <c r="AI278" s="17" t="str">
        <f aca="false">IF((E278="fa"),H278," ")</f>
        <v> </v>
      </c>
      <c r="AJ278" s="17" t="str">
        <f aca="false">IF((E278="e"),H278," ")</f>
        <v> </v>
      </c>
    </row>
    <row r="279" customFormat="false" ht="12" hidden="false" customHeight="false" outlineLevel="0" collapsed="false">
      <c r="A279" s="28"/>
      <c r="E279" s="2" t="str">
        <f aca="false">IF((F279&lt;&gt;0),"Enter Letter"," ")</f>
        <v> </v>
      </c>
      <c r="F279" s="30"/>
      <c r="G279" s="6" t="str">
        <f aca="false">IF(F279&lt;&gt;0,F279*G$2/(100+G$2)," ")</f>
        <v> </v>
      </c>
      <c r="H279" s="6" t="str">
        <f aca="false">IF((F279&lt;&gt;0),F279-G279," ")</f>
        <v> </v>
      </c>
      <c r="I279" s="5"/>
      <c r="L279" s="7" t="str">
        <f aca="false">IF(F279&lt;&gt;0,F279-K279," ")</f>
        <v> </v>
      </c>
      <c r="M279" s="8" t="str">
        <f aca="false">IF((F279-K279)&lt;&gt;0,M$1-A279," ")</f>
        <v> </v>
      </c>
      <c r="N279" s="5"/>
      <c r="O279" s="17" t="str">
        <f aca="false">IF((E279="s"),H279," ")</f>
        <v> </v>
      </c>
      <c r="P279" s="17" t="str">
        <f aca="false">IF((E279="c"),H279," ")</f>
        <v> </v>
      </c>
      <c r="Q279" s="17" t="str">
        <f aca="false">IF((E279="o"),H279," ")</f>
        <v> </v>
      </c>
      <c r="R279" s="17" t="str">
        <f aca="false">IF((E279="d"),H279," ")</f>
        <v> </v>
      </c>
      <c r="S279" s="17" t="str">
        <f aca="false">IF((E279="w"),H279," ")</f>
        <v> </v>
      </c>
      <c r="T279" s="17" t="str">
        <f aca="false">IF((E279="r"),H279," ")</f>
        <v> </v>
      </c>
      <c r="U279" s="17" t="str">
        <f aca="false">IF((E279="p"),H279," ")</f>
        <v> </v>
      </c>
      <c r="V279" s="17" t="str">
        <f aca="false">IF((E279="t"),H279," ")</f>
        <v> </v>
      </c>
      <c r="W279" s="17" t="str">
        <f aca="false">IF((E279="q"),H279," ")</f>
        <v> </v>
      </c>
      <c r="X279" s="17" t="str">
        <f aca="false">IF((E279="m"),H279," ")</f>
        <v> </v>
      </c>
      <c r="Y279" s="17" t="str">
        <f aca="false">IF((E279="u"),H279," ")</f>
        <v> </v>
      </c>
      <c r="Z279" s="17" t="str">
        <f aca="false">IF((E279="a"),H279," ")</f>
        <v> </v>
      </c>
      <c r="AA279" s="17" t="str">
        <f aca="false">IF((E279="g"),H279," ")</f>
        <v> </v>
      </c>
      <c r="AB279" s="17" t="str">
        <f aca="false">IF((E279="h"),H279," ")</f>
        <v> </v>
      </c>
      <c r="AC279" s="30" t="str">
        <f aca="false">IF((E279="v"),H279," ")</f>
        <v> </v>
      </c>
      <c r="AD279" s="30" t="str">
        <f aca="false">IF((E279="n"),H279," ")</f>
        <v> </v>
      </c>
      <c r="AE279" s="17" t="str">
        <f aca="false">IF((E279="f"),H279," ")</f>
        <v> </v>
      </c>
      <c r="AF279" s="17" t="str">
        <f aca="false">IF((E279="l"),H279," ")</f>
        <v> </v>
      </c>
      <c r="AG279" s="17" t="str">
        <f aca="false">IF((E279="y"),H279," ")</f>
        <v> </v>
      </c>
      <c r="AH279" s="17" t="str">
        <f aca="false">IF((E279="z"),H279," ")</f>
        <v> </v>
      </c>
      <c r="AI279" s="17" t="str">
        <f aca="false">IF((E279="fa"),H279," ")</f>
        <v> </v>
      </c>
      <c r="AJ279" s="17" t="str">
        <f aca="false">IF((E279="e"),H279," ")</f>
        <v> </v>
      </c>
    </row>
    <row r="280" customFormat="false" ht="12" hidden="false" customHeight="false" outlineLevel="0" collapsed="false">
      <c r="A280" s="28"/>
      <c r="E280" s="2" t="str">
        <f aca="false">IF((F280&lt;&gt;0),"Enter Letter"," ")</f>
        <v> </v>
      </c>
      <c r="F280" s="30"/>
      <c r="G280" s="6" t="str">
        <f aca="false">IF(F280&lt;&gt;0,F280*G$2/(100+G$2)," ")</f>
        <v> </v>
      </c>
      <c r="H280" s="6" t="str">
        <f aca="false">IF((F280&lt;&gt;0),F280-G280," ")</f>
        <v> </v>
      </c>
      <c r="I280" s="5"/>
      <c r="L280" s="7" t="str">
        <f aca="false">IF(F280&lt;&gt;0,F280-K280," ")</f>
        <v> </v>
      </c>
      <c r="M280" s="8" t="str">
        <f aca="false">IF((F280-K280)&lt;&gt;0,M$1-A280," ")</f>
        <v> </v>
      </c>
      <c r="N280" s="5"/>
      <c r="O280" s="17" t="str">
        <f aca="false">IF((E280="s"),H280," ")</f>
        <v> </v>
      </c>
      <c r="P280" s="17" t="str">
        <f aca="false">IF((E280="c"),H280," ")</f>
        <v> </v>
      </c>
      <c r="Q280" s="17" t="str">
        <f aca="false">IF((E280="o"),H280," ")</f>
        <v> </v>
      </c>
      <c r="R280" s="17" t="str">
        <f aca="false">IF((E280="d"),H280," ")</f>
        <v> </v>
      </c>
      <c r="S280" s="17" t="str">
        <f aca="false">IF((E280="w"),H280," ")</f>
        <v> </v>
      </c>
      <c r="T280" s="17" t="str">
        <f aca="false">IF((E280="r"),H280," ")</f>
        <v> </v>
      </c>
      <c r="U280" s="17" t="str">
        <f aca="false">IF((E280="p"),H280," ")</f>
        <v> </v>
      </c>
      <c r="V280" s="17" t="str">
        <f aca="false">IF((E280="t"),H280," ")</f>
        <v> </v>
      </c>
      <c r="W280" s="17" t="str">
        <f aca="false">IF((E280="q"),H280," ")</f>
        <v> </v>
      </c>
      <c r="X280" s="17" t="str">
        <f aca="false">IF((E280="m"),H280," ")</f>
        <v> </v>
      </c>
      <c r="Y280" s="17" t="str">
        <f aca="false">IF((E280="u"),H280," ")</f>
        <v> </v>
      </c>
      <c r="Z280" s="17" t="str">
        <f aca="false">IF((E280="a"),H280," ")</f>
        <v> </v>
      </c>
      <c r="AA280" s="17" t="str">
        <f aca="false">IF((E280="g"),H280," ")</f>
        <v> </v>
      </c>
      <c r="AB280" s="17" t="str">
        <f aca="false">IF((E280="h"),H280," ")</f>
        <v> </v>
      </c>
      <c r="AC280" s="30" t="str">
        <f aca="false">IF((E280="v"),H280," ")</f>
        <v> </v>
      </c>
      <c r="AD280" s="30" t="str">
        <f aca="false">IF((E280="n"),H280," ")</f>
        <v> </v>
      </c>
      <c r="AE280" s="17" t="str">
        <f aca="false">IF((E280="f"),H280," ")</f>
        <v> </v>
      </c>
      <c r="AF280" s="17" t="str">
        <f aca="false">IF((E280="l"),H280," ")</f>
        <v> </v>
      </c>
      <c r="AG280" s="17" t="str">
        <f aca="false">IF((E280="y"),H280," ")</f>
        <v> </v>
      </c>
      <c r="AH280" s="17" t="str">
        <f aca="false">IF((E280="z"),H280," ")</f>
        <v> </v>
      </c>
      <c r="AI280" s="17" t="str">
        <f aca="false">IF((E280="fa"),H280," ")</f>
        <v> </v>
      </c>
      <c r="AJ280" s="17" t="str">
        <f aca="false">IF((E280="e"),H280," ")</f>
        <v> </v>
      </c>
    </row>
    <row r="281" customFormat="false" ht="12" hidden="false" customHeight="false" outlineLevel="0" collapsed="false">
      <c r="A281" s="28"/>
      <c r="E281" s="2" t="str">
        <f aca="false">IF((F281&lt;&gt;0),"Enter Letter"," ")</f>
        <v> </v>
      </c>
      <c r="F281" s="30"/>
      <c r="G281" s="6" t="str">
        <f aca="false">IF(F281&lt;&gt;0,F281*G$2/(100+G$2)," ")</f>
        <v> </v>
      </c>
      <c r="H281" s="6" t="str">
        <f aca="false">IF((F281&lt;&gt;0),F281-G281," ")</f>
        <v> </v>
      </c>
      <c r="I281" s="5"/>
      <c r="L281" s="7" t="str">
        <f aca="false">IF(F281&lt;&gt;0,F281-K281," ")</f>
        <v> </v>
      </c>
      <c r="M281" s="8" t="str">
        <f aca="false">IF((F281-K281)&lt;&gt;0,M$1-A281," ")</f>
        <v> </v>
      </c>
      <c r="N281" s="5"/>
      <c r="O281" s="17" t="str">
        <f aca="false">IF((E281="s"),H281," ")</f>
        <v> </v>
      </c>
      <c r="P281" s="17" t="str">
        <f aca="false">IF((E281="c"),H281," ")</f>
        <v> </v>
      </c>
      <c r="Q281" s="17" t="str">
        <f aca="false">IF((E281="o"),H281," ")</f>
        <v> </v>
      </c>
      <c r="R281" s="17" t="str">
        <f aca="false">IF((E281="d"),H281," ")</f>
        <v> </v>
      </c>
      <c r="S281" s="17" t="str">
        <f aca="false">IF((E281="w"),H281," ")</f>
        <v> </v>
      </c>
      <c r="T281" s="17" t="str">
        <f aca="false">IF((E281="r"),H281," ")</f>
        <v> </v>
      </c>
      <c r="U281" s="17" t="str">
        <f aca="false">IF((E281="p"),H281," ")</f>
        <v> </v>
      </c>
      <c r="V281" s="17" t="str">
        <f aca="false">IF((E281="t"),H281," ")</f>
        <v> </v>
      </c>
      <c r="W281" s="17" t="str">
        <f aca="false">IF((E281="q"),H281," ")</f>
        <v> </v>
      </c>
      <c r="X281" s="17" t="str">
        <f aca="false">IF((E281="m"),H281," ")</f>
        <v> </v>
      </c>
      <c r="Y281" s="17" t="str">
        <f aca="false">IF((E281="u"),H281," ")</f>
        <v> </v>
      </c>
      <c r="Z281" s="17" t="str">
        <f aca="false">IF((E281="a"),H281," ")</f>
        <v> </v>
      </c>
      <c r="AA281" s="17" t="str">
        <f aca="false">IF((E281="g"),H281," ")</f>
        <v> </v>
      </c>
      <c r="AB281" s="17" t="str">
        <f aca="false">IF((E281="h"),H281," ")</f>
        <v> </v>
      </c>
      <c r="AC281" s="30" t="str">
        <f aca="false">IF((E281="v"),H281," ")</f>
        <v> </v>
      </c>
      <c r="AD281" s="30" t="str">
        <f aca="false">IF((E281="n"),H281," ")</f>
        <v> </v>
      </c>
      <c r="AE281" s="17" t="str">
        <f aca="false">IF((E281="f"),H281," ")</f>
        <v> </v>
      </c>
      <c r="AF281" s="17" t="str">
        <f aca="false">IF((E281="l"),H281," ")</f>
        <v> </v>
      </c>
      <c r="AG281" s="17" t="str">
        <f aca="false">IF((E281="y"),H281," ")</f>
        <v> </v>
      </c>
      <c r="AH281" s="17" t="str">
        <f aca="false">IF((E281="z"),H281," ")</f>
        <v> </v>
      </c>
      <c r="AI281" s="17" t="str">
        <f aca="false">IF((E281="fa"),H281," ")</f>
        <v> </v>
      </c>
      <c r="AJ281" s="17" t="str">
        <f aca="false">IF((E281="e"),H281," ")</f>
        <v> </v>
      </c>
    </row>
    <row r="282" customFormat="false" ht="12" hidden="false" customHeight="false" outlineLevel="0" collapsed="false">
      <c r="A282" s="28"/>
      <c r="E282" s="2" t="str">
        <f aca="false">IF((F282&lt;&gt;0),"Enter Letter"," ")</f>
        <v> </v>
      </c>
      <c r="F282" s="30"/>
      <c r="G282" s="6" t="str">
        <f aca="false">IF(F282&lt;&gt;0,F282*G$2/(100+G$2)," ")</f>
        <v> </v>
      </c>
      <c r="H282" s="6" t="str">
        <f aca="false">IF((F282&lt;&gt;0),F282-G282," ")</f>
        <v> </v>
      </c>
      <c r="I282" s="5"/>
      <c r="L282" s="7" t="str">
        <f aca="false">IF(F282&lt;&gt;0,F282-K282," ")</f>
        <v> </v>
      </c>
      <c r="M282" s="8" t="str">
        <f aca="false">IF((F282-K282)&lt;&gt;0,M$1-A282," ")</f>
        <v> </v>
      </c>
      <c r="N282" s="5"/>
      <c r="O282" s="17" t="str">
        <f aca="false">IF((E282="s"),H282," ")</f>
        <v> </v>
      </c>
      <c r="P282" s="17" t="str">
        <f aca="false">IF((E282="c"),H282," ")</f>
        <v> </v>
      </c>
      <c r="Q282" s="17" t="str">
        <f aca="false">IF((E282="o"),H282," ")</f>
        <v> </v>
      </c>
      <c r="R282" s="17" t="str">
        <f aca="false">IF((E282="d"),H282," ")</f>
        <v> </v>
      </c>
      <c r="S282" s="17" t="str">
        <f aca="false">IF((E282="w"),H282," ")</f>
        <v> </v>
      </c>
      <c r="T282" s="17" t="str">
        <f aca="false">IF((E282="r"),H282," ")</f>
        <v> </v>
      </c>
      <c r="U282" s="17" t="str">
        <f aca="false">IF((E282="p"),H282," ")</f>
        <v> </v>
      </c>
      <c r="V282" s="17" t="str">
        <f aca="false">IF((E282="t"),H282," ")</f>
        <v> </v>
      </c>
      <c r="W282" s="17" t="str">
        <f aca="false">IF((E282="q"),H282," ")</f>
        <v> </v>
      </c>
      <c r="X282" s="17" t="str">
        <f aca="false">IF((E282="m"),H282," ")</f>
        <v> </v>
      </c>
      <c r="Y282" s="17" t="str">
        <f aca="false">IF((E282="u"),H282," ")</f>
        <v> </v>
      </c>
      <c r="Z282" s="17" t="str">
        <f aca="false">IF((E282="a"),H282," ")</f>
        <v> </v>
      </c>
      <c r="AA282" s="17" t="str">
        <f aca="false">IF((E282="g"),H282," ")</f>
        <v> </v>
      </c>
      <c r="AB282" s="17" t="str">
        <f aca="false">IF((E282="h"),H282," ")</f>
        <v> </v>
      </c>
      <c r="AC282" s="30" t="str">
        <f aca="false">IF((E282="v"),H282," ")</f>
        <v> </v>
      </c>
      <c r="AD282" s="30" t="str">
        <f aca="false">IF((E282="n"),H282," ")</f>
        <v> </v>
      </c>
      <c r="AE282" s="17" t="str">
        <f aca="false">IF((E282="f"),H282," ")</f>
        <v> </v>
      </c>
      <c r="AF282" s="17" t="str">
        <f aca="false">IF((E282="l"),H282," ")</f>
        <v> </v>
      </c>
      <c r="AG282" s="17" t="str">
        <f aca="false">IF((E282="y"),H282," ")</f>
        <v> </v>
      </c>
      <c r="AH282" s="17" t="str">
        <f aca="false">IF((E282="z"),H282," ")</f>
        <v> </v>
      </c>
      <c r="AI282" s="17" t="str">
        <f aca="false">IF((E282="fa"),H282," ")</f>
        <v> </v>
      </c>
      <c r="AJ282" s="17" t="str">
        <f aca="false">IF((E282="e"),H282," ")</f>
        <v> </v>
      </c>
    </row>
    <row r="283" customFormat="false" ht="12" hidden="false" customHeight="false" outlineLevel="0" collapsed="false">
      <c r="A283" s="28"/>
      <c r="E283" s="2" t="str">
        <f aca="false">IF((F283&lt;&gt;0),"Enter Letter"," ")</f>
        <v> </v>
      </c>
      <c r="F283" s="30"/>
      <c r="G283" s="6" t="str">
        <f aca="false">IF(F283&lt;&gt;0,F283*G$2/(100+G$2)," ")</f>
        <v> </v>
      </c>
      <c r="H283" s="6" t="str">
        <f aca="false">IF((F283&lt;&gt;0),F283-G283," ")</f>
        <v> </v>
      </c>
      <c r="I283" s="5"/>
      <c r="L283" s="7" t="str">
        <f aca="false">IF(F283&lt;&gt;0,F283-K283," ")</f>
        <v> </v>
      </c>
      <c r="M283" s="8" t="str">
        <f aca="false">IF((F283-K283)&lt;&gt;0,M$1-A283," ")</f>
        <v> </v>
      </c>
      <c r="N283" s="5"/>
      <c r="O283" s="17" t="str">
        <f aca="false">IF((E283="s"),H283," ")</f>
        <v> </v>
      </c>
      <c r="P283" s="17" t="str">
        <f aca="false">IF((E283="c"),H283," ")</f>
        <v> </v>
      </c>
      <c r="Q283" s="17" t="str">
        <f aca="false">IF((E283="o"),H283," ")</f>
        <v> </v>
      </c>
      <c r="R283" s="17" t="str">
        <f aca="false">IF((E283="d"),H283," ")</f>
        <v> </v>
      </c>
      <c r="S283" s="17" t="str">
        <f aca="false">IF((E283="w"),H283," ")</f>
        <v> </v>
      </c>
      <c r="T283" s="17" t="str">
        <f aca="false">IF((E283="r"),H283," ")</f>
        <v> </v>
      </c>
      <c r="U283" s="17" t="str">
        <f aca="false">IF((E283="p"),H283," ")</f>
        <v> </v>
      </c>
      <c r="V283" s="17" t="str">
        <f aca="false">IF((E283="t"),H283," ")</f>
        <v> </v>
      </c>
      <c r="W283" s="17" t="str">
        <f aca="false">IF((E283="q"),H283," ")</f>
        <v> </v>
      </c>
      <c r="X283" s="17" t="str">
        <f aca="false">IF((E283="m"),H283," ")</f>
        <v> </v>
      </c>
      <c r="Y283" s="17" t="str">
        <f aca="false">IF((E283="u"),H283," ")</f>
        <v> </v>
      </c>
      <c r="Z283" s="17" t="str">
        <f aca="false">IF((E283="a"),H283," ")</f>
        <v> </v>
      </c>
      <c r="AA283" s="17" t="str">
        <f aca="false">IF((E283="g"),H283," ")</f>
        <v> </v>
      </c>
      <c r="AB283" s="17" t="str">
        <f aca="false">IF((E283="h"),H283," ")</f>
        <v> </v>
      </c>
      <c r="AC283" s="30" t="str">
        <f aca="false">IF((E283="v"),H283," ")</f>
        <v> </v>
      </c>
      <c r="AD283" s="30" t="str">
        <f aca="false">IF((E283="n"),H283," ")</f>
        <v> </v>
      </c>
      <c r="AE283" s="17" t="str">
        <f aca="false">IF((E283="f"),H283," ")</f>
        <v> </v>
      </c>
      <c r="AF283" s="17" t="str">
        <f aca="false">IF((E283="l"),H283," ")</f>
        <v> </v>
      </c>
      <c r="AG283" s="17" t="str">
        <f aca="false">IF((E283="y"),H283," ")</f>
        <v> </v>
      </c>
      <c r="AH283" s="17" t="str">
        <f aca="false">IF((E283="z"),H283," ")</f>
        <v> </v>
      </c>
      <c r="AI283" s="17" t="str">
        <f aca="false">IF((E283="fa"),H283," ")</f>
        <v> </v>
      </c>
      <c r="AJ283" s="17" t="str">
        <f aca="false">IF((E283="e"),H283," ")</f>
        <v> </v>
      </c>
    </row>
    <row r="284" customFormat="false" ht="12" hidden="false" customHeight="false" outlineLevel="0" collapsed="false">
      <c r="A284" s="28"/>
      <c r="E284" s="2" t="str">
        <f aca="false">IF((F284&lt;&gt;0),"Enter Letter"," ")</f>
        <v> </v>
      </c>
      <c r="F284" s="30"/>
      <c r="G284" s="6" t="str">
        <f aca="false">IF(F284&lt;&gt;0,F284*G$2/(100+G$2)," ")</f>
        <v> </v>
      </c>
      <c r="H284" s="6" t="str">
        <f aca="false">IF((F284&lt;&gt;0),F284-G284," ")</f>
        <v> </v>
      </c>
      <c r="I284" s="5"/>
      <c r="L284" s="7" t="str">
        <f aca="false">IF(F284&lt;&gt;0,F284-K284," ")</f>
        <v> </v>
      </c>
      <c r="M284" s="8" t="str">
        <f aca="false">IF((F284-K284)&lt;&gt;0,M$1-A284," ")</f>
        <v> </v>
      </c>
      <c r="N284" s="5"/>
      <c r="O284" s="17" t="str">
        <f aca="false">IF((E284="s"),H284," ")</f>
        <v> </v>
      </c>
      <c r="P284" s="17" t="str">
        <f aca="false">IF((E284="c"),H284," ")</f>
        <v> </v>
      </c>
      <c r="Q284" s="17" t="str">
        <f aca="false">IF((E284="o"),H284," ")</f>
        <v> </v>
      </c>
      <c r="R284" s="17" t="str">
        <f aca="false">IF((E284="d"),H284," ")</f>
        <v> </v>
      </c>
      <c r="S284" s="17" t="str">
        <f aca="false">IF((E284="w"),H284," ")</f>
        <v> </v>
      </c>
      <c r="T284" s="17" t="str">
        <f aca="false">IF((E284="r"),H284," ")</f>
        <v> </v>
      </c>
      <c r="U284" s="17" t="str">
        <f aca="false">IF((E284="p"),H284," ")</f>
        <v> </v>
      </c>
      <c r="V284" s="17" t="str">
        <f aca="false">IF((E284="t"),H284," ")</f>
        <v> </v>
      </c>
      <c r="W284" s="17" t="str">
        <f aca="false">IF((E284="q"),H284," ")</f>
        <v> </v>
      </c>
      <c r="X284" s="17" t="str">
        <f aca="false">IF((E284="m"),H284," ")</f>
        <v> </v>
      </c>
      <c r="Y284" s="17" t="str">
        <f aca="false">IF((E284="u"),H284," ")</f>
        <v> </v>
      </c>
      <c r="Z284" s="17" t="str">
        <f aca="false">IF((E284="a"),H284," ")</f>
        <v> </v>
      </c>
      <c r="AA284" s="17" t="str">
        <f aca="false">IF((E284="g"),H284," ")</f>
        <v> </v>
      </c>
      <c r="AB284" s="17" t="str">
        <f aca="false">IF((E284="h"),H284," ")</f>
        <v> </v>
      </c>
      <c r="AC284" s="30" t="str">
        <f aca="false">IF((E284="v"),H284," ")</f>
        <v> </v>
      </c>
      <c r="AD284" s="30" t="str">
        <f aca="false">IF((E284="n"),H284," ")</f>
        <v> </v>
      </c>
      <c r="AE284" s="17" t="str">
        <f aca="false">IF((E284="f"),H284," ")</f>
        <v> </v>
      </c>
      <c r="AF284" s="17" t="str">
        <f aca="false">IF((E284="l"),H284," ")</f>
        <v> </v>
      </c>
      <c r="AG284" s="17" t="str">
        <f aca="false">IF((E284="y"),H284," ")</f>
        <v> </v>
      </c>
      <c r="AH284" s="17" t="str">
        <f aca="false">IF((E284="z"),H284," ")</f>
        <v> </v>
      </c>
      <c r="AI284" s="17" t="str">
        <f aca="false">IF((E284="fa"),H284," ")</f>
        <v> </v>
      </c>
      <c r="AJ284" s="17" t="str">
        <f aca="false">IF((E284="e"),H284," ")</f>
        <v> </v>
      </c>
    </row>
    <row r="285" customFormat="false" ht="12" hidden="false" customHeight="false" outlineLevel="0" collapsed="false">
      <c r="A285" s="28"/>
      <c r="E285" s="2" t="str">
        <f aca="false">IF((F285&lt;&gt;0),"Enter Letter"," ")</f>
        <v> </v>
      </c>
      <c r="F285" s="30"/>
      <c r="G285" s="6" t="str">
        <f aca="false">IF(F285&lt;&gt;0,F285*G$2/(100+G$2)," ")</f>
        <v> </v>
      </c>
      <c r="H285" s="6" t="str">
        <f aca="false">IF((F285&lt;&gt;0),F285-G285," ")</f>
        <v> </v>
      </c>
      <c r="I285" s="5"/>
      <c r="L285" s="7" t="str">
        <f aca="false">IF(F285&lt;&gt;0,F285-K285," ")</f>
        <v> </v>
      </c>
      <c r="M285" s="8" t="str">
        <f aca="false">IF((F285-K285)&lt;&gt;0,M$1-A285," ")</f>
        <v> </v>
      </c>
      <c r="N285" s="5"/>
      <c r="O285" s="17" t="str">
        <f aca="false">IF((E285="s"),H285," ")</f>
        <v> </v>
      </c>
      <c r="P285" s="17" t="str">
        <f aca="false">IF((E285="c"),H285," ")</f>
        <v> </v>
      </c>
      <c r="Q285" s="17" t="str">
        <f aca="false">IF((E285="o"),H285," ")</f>
        <v> </v>
      </c>
      <c r="R285" s="17" t="str">
        <f aca="false">IF((E285="d"),H285," ")</f>
        <v> </v>
      </c>
      <c r="S285" s="17" t="str">
        <f aca="false">IF((E285="w"),H285," ")</f>
        <v> </v>
      </c>
      <c r="T285" s="17" t="str">
        <f aca="false">IF((E285="r"),H285," ")</f>
        <v> </v>
      </c>
      <c r="U285" s="17" t="str">
        <f aca="false">IF((E285="p"),H285," ")</f>
        <v> </v>
      </c>
      <c r="V285" s="17" t="str">
        <f aca="false">IF((E285="t"),H285," ")</f>
        <v> </v>
      </c>
      <c r="W285" s="17" t="str">
        <f aca="false">IF((E285="q"),H285," ")</f>
        <v> </v>
      </c>
      <c r="X285" s="17" t="str">
        <f aca="false">IF((E285="m"),H285," ")</f>
        <v> </v>
      </c>
      <c r="Y285" s="17" t="str">
        <f aca="false">IF((E285="u"),H285," ")</f>
        <v> </v>
      </c>
      <c r="Z285" s="17" t="str">
        <f aca="false">IF((E285="a"),H285," ")</f>
        <v> </v>
      </c>
      <c r="AA285" s="17" t="str">
        <f aca="false">IF((E285="g"),H285," ")</f>
        <v> </v>
      </c>
      <c r="AB285" s="17" t="str">
        <f aca="false">IF((E285="h"),H285," ")</f>
        <v> </v>
      </c>
      <c r="AC285" s="30" t="str">
        <f aca="false">IF((E285="v"),H285," ")</f>
        <v> </v>
      </c>
      <c r="AD285" s="30" t="str">
        <f aca="false">IF((E285="n"),H285," ")</f>
        <v> </v>
      </c>
      <c r="AE285" s="17" t="str">
        <f aca="false">IF((E285="f"),H285," ")</f>
        <v> </v>
      </c>
      <c r="AF285" s="17" t="str">
        <f aca="false">IF((E285="l"),H285," ")</f>
        <v> </v>
      </c>
      <c r="AG285" s="17" t="str">
        <f aca="false">IF((E285="y"),H285," ")</f>
        <v> </v>
      </c>
      <c r="AH285" s="17" t="str">
        <f aca="false">IF((E285="z"),H285," ")</f>
        <v> </v>
      </c>
      <c r="AI285" s="17" t="str">
        <f aca="false">IF((E285="fa"),H285," ")</f>
        <v> </v>
      </c>
      <c r="AJ285" s="17" t="str">
        <f aca="false">IF((E285="e"),H285," ")</f>
        <v> </v>
      </c>
    </row>
    <row r="286" customFormat="false" ht="12" hidden="false" customHeight="false" outlineLevel="0" collapsed="false">
      <c r="A286" s="28"/>
      <c r="E286" s="2" t="str">
        <f aca="false">IF((F286&lt;&gt;0),"Enter Letter"," ")</f>
        <v> </v>
      </c>
      <c r="F286" s="30"/>
      <c r="G286" s="6" t="str">
        <f aca="false">IF(F286&lt;&gt;0,F286*G$2/(100+G$2)," ")</f>
        <v> </v>
      </c>
      <c r="H286" s="6" t="str">
        <f aca="false">IF((F286&lt;&gt;0),F286-G286," ")</f>
        <v> </v>
      </c>
      <c r="I286" s="5"/>
      <c r="L286" s="7" t="str">
        <f aca="false">IF(F286&lt;&gt;0,F286-K286," ")</f>
        <v> </v>
      </c>
      <c r="M286" s="8" t="str">
        <f aca="false">IF((F286-K286)&lt;&gt;0,M$1-A286," ")</f>
        <v> </v>
      </c>
      <c r="N286" s="5"/>
      <c r="O286" s="17" t="str">
        <f aca="false">IF((E286="s"),H286," ")</f>
        <v> </v>
      </c>
      <c r="P286" s="17" t="str">
        <f aca="false">IF((E286="c"),H286," ")</f>
        <v> </v>
      </c>
      <c r="Q286" s="17" t="str">
        <f aca="false">IF((E286="o"),H286," ")</f>
        <v> </v>
      </c>
      <c r="R286" s="17" t="str">
        <f aca="false">IF((E286="d"),H286," ")</f>
        <v> </v>
      </c>
      <c r="S286" s="17" t="str">
        <f aca="false">IF((E286="w"),H286," ")</f>
        <v> </v>
      </c>
      <c r="T286" s="17" t="str">
        <f aca="false">IF((E286="r"),H286," ")</f>
        <v> </v>
      </c>
      <c r="U286" s="17" t="str">
        <f aca="false">IF((E286="p"),H286," ")</f>
        <v> </v>
      </c>
      <c r="V286" s="17" t="str">
        <f aca="false">IF((E286="t"),H286," ")</f>
        <v> </v>
      </c>
      <c r="W286" s="17" t="str">
        <f aca="false">IF((E286="q"),H286," ")</f>
        <v> </v>
      </c>
      <c r="X286" s="17" t="str">
        <f aca="false">IF((E286="m"),H286," ")</f>
        <v> </v>
      </c>
      <c r="Y286" s="17" t="str">
        <f aca="false">IF((E286="u"),H286," ")</f>
        <v> </v>
      </c>
      <c r="Z286" s="17" t="str">
        <f aca="false">IF((E286="a"),H286," ")</f>
        <v> </v>
      </c>
      <c r="AA286" s="17" t="str">
        <f aca="false">IF((E286="g"),H286," ")</f>
        <v> </v>
      </c>
      <c r="AB286" s="17" t="str">
        <f aca="false">IF((E286="h"),H286," ")</f>
        <v> </v>
      </c>
      <c r="AC286" s="30" t="str">
        <f aca="false">IF((E286="v"),H286," ")</f>
        <v> </v>
      </c>
      <c r="AD286" s="30" t="str">
        <f aca="false">IF((E286="n"),H286," ")</f>
        <v> </v>
      </c>
      <c r="AE286" s="17" t="str">
        <f aca="false">IF((E286="f"),H286," ")</f>
        <v> </v>
      </c>
      <c r="AF286" s="17" t="str">
        <f aca="false">IF((E286="l"),H286," ")</f>
        <v> </v>
      </c>
      <c r="AG286" s="17" t="str">
        <f aca="false">IF((E286="y"),H286," ")</f>
        <v> </v>
      </c>
      <c r="AH286" s="17" t="str">
        <f aca="false">IF((E286="z"),H286," ")</f>
        <v> </v>
      </c>
      <c r="AI286" s="17" t="str">
        <f aca="false">IF((E286="fa"),H286," ")</f>
        <v> </v>
      </c>
      <c r="AJ286" s="17" t="str">
        <f aca="false">IF((E286="e"),H286," ")</f>
        <v> </v>
      </c>
    </row>
    <row r="287" customFormat="false" ht="12" hidden="false" customHeight="false" outlineLevel="0" collapsed="false">
      <c r="A287" s="28"/>
      <c r="E287" s="2" t="str">
        <f aca="false">IF((F287&lt;&gt;0),"Enter Letter"," ")</f>
        <v> </v>
      </c>
      <c r="F287" s="30"/>
      <c r="G287" s="6" t="str">
        <f aca="false">IF(F287&lt;&gt;0,F287*G$2/(100+G$2)," ")</f>
        <v> </v>
      </c>
      <c r="H287" s="6" t="str">
        <f aca="false">IF((F287&lt;&gt;0),F287-G287," ")</f>
        <v> </v>
      </c>
      <c r="I287" s="5"/>
      <c r="L287" s="7" t="str">
        <f aca="false">IF(F287&lt;&gt;0,F287-K287," ")</f>
        <v> </v>
      </c>
      <c r="M287" s="8" t="str">
        <f aca="false">IF((F287-K287)&lt;&gt;0,M$1-A287," ")</f>
        <v> </v>
      </c>
      <c r="N287" s="5"/>
      <c r="O287" s="17" t="str">
        <f aca="false">IF((E287="s"),H287," ")</f>
        <v> </v>
      </c>
      <c r="P287" s="17" t="str">
        <f aca="false">IF((E287="c"),H287," ")</f>
        <v> </v>
      </c>
      <c r="Q287" s="17" t="str">
        <f aca="false">IF((E287="o"),H287," ")</f>
        <v> </v>
      </c>
      <c r="R287" s="17" t="str">
        <f aca="false">IF((E287="d"),H287," ")</f>
        <v> </v>
      </c>
      <c r="S287" s="17" t="str">
        <f aca="false">IF((E287="w"),H287," ")</f>
        <v> </v>
      </c>
      <c r="T287" s="17" t="str">
        <f aca="false">IF((E287="r"),H287," ")</f>
        <v> </v>
      </c>
      <c r="U287" s="17" t="str">
        <f aca="false">IF((E287="p"),H287," ")</f>
        <v> </v>
      </c>
      <c r="V287" s="17" t="str">
        <f aca="false">IF((E287="t"),H287," ")</f>
        <v> </v>
      </c>
      <c r="W287" s="17" t="str">
        <f aca="false">IF((E287="q"),H287," ")</f>
        <v> </v>
      </c>
      <c r="X287" s="17" t="str">
        <f aca="false">IF((E287="m"),H287," ")</f>
        <v> </v>
      </c>
      <c r="Y287" s="17" t="str">
        <f aca="false">IF((E287="u"),H287," ")</f>
        <v> </v>
      </c>
      <c r="Z287" s="17" t="str">
        <f aca="false">IF((E287="a"),H287," ")</f>
        <v> </v>
      </c>
      <c r="AA287" s="17" t="str">
        <f aca="false">IF((E287="g"),H287," ")</f>
        <v> </v>
      </c>
      <c r="AB287" s="17" t="str">
        <f aca="false">IF((E287="h"),H287," ")</f>
        <v> </v>
      </c>
      <c r="AC287" s="30" t="str">
        <f aca="false">IF((E287="v"),H287," ")</f>
        <v> </v>
      </c>
      <c r="AD287" s="30" t="str">
        <f aca="false">IF((E287="n"),H287," ")</f>
        <v> </v>
      </c>
      <c r="AE287" s="17" t="str">
        <f aca="false">IF((E287="f"),H287," ")</f>
        <v> </v>
      </c>
      <c r="AF287" s="17" t="str">
        <f aca="false">IF((E287="l"),H287," ")</f>
        <v> </v>
      </c>
      <c r="AG287" s="17" t="str">
        <f aca="false">IF((E287="y"),H287," ")</f>
        <v> </v>
      </c>
      <c r="AH287" s="17" t="str">
        <f aca="false">IF((E287="z"),H287," ")</f>
        <v> </v>
      </c>
      <c r="AI287" s="17" t="str">
        <f aca="false">IF((E287="fa"),H287," ")</f>
        <v> </v>
      </c>
      <c r="AJ287" s="17" t="str">
        <f aca="false">IF((E287="e"),H287," ")</f>
        <v> </v>
      </c>
    </row>
    <row r="288" customFormat="false" ht="12" hidden="false" customHeight="false" outlineLevel="0" collapsed="false">
      <c r="A288" s="28"/>
      <c r="E288" s="2" t="str">
        <f aca="false">IF((F288&lt;&gt;0),"Enter Letter"," ")</f>
        <v> </v>
      </c>
      <c r="F288" s="30"/>
      <c r="G288" s="6" t="str">
        <f aca="false">IF(F288&lt;&gt;0,F288*G$2/(100+G$2)," ")</f>
        <v> </v>
      </c>
      <c r="H288" s="6" t="str">
        <f aca="false">IF((F288&lt;&gt;0),F288-G288," ")</f>
        <v> </v>
      </c>
      <c r="I288" s="5"/>
      <c r="L288" s="7" t="str">
        <f aca="false">IF(F288&lt;&gt;0,F288-K288," ")</f>
        <v> </v>
      </c>
      <c r="M288" s="8" t="str">
        <f aca="false">IF((F288-K288)&lt;&gt;0,M$1-A288," ")</f>
        <v> </v>
      </c>
      <c r="N288" s="5"/>
      <c r="O288" s="17" t="str">
        <f aca="false">IF((E288="s"),H288," ")</f>
        <v> </v>
      </c>
      <c r="P288" s="17" t="str">
        <f aca="false">IF((E288="c"),H288," ")</f>
        <v> </v>
      </c>
      <c r="Q288" s="17" t="str">
        <f aca="false">IF((E288="o"),H288," ")</f>
        <v> </v>
      </c>
      <c r="R288" s="17" t="str">
        <f aca="false">IF((E288="d"),H288," ")</f>
        <v> </v>
      </c>
      <c r="S288" s="17" t="str">
        <f aca="false">IF((E288="w"),H288," ")</f>
        <v> </v>
      </c>
      <c r="T288" s="17" t="str">
        <f aca="false">IF((E288="r"),H288," ")</f>
        <v> </v>
      </c>
      <c r="U288" s="17" t="str">
        <f aca="false">IF((E288="p"),H288," ")</f>
        <v> </v>
      </c>
      <c r="V288" s="17" t="str">
        <f aca="false">IF((E288="t"),H288," ")</f>
        <v> </v>
      </c>
      <c r="W288" s="17" t="str">
        <f aca="false">IF((E288="q"),H288," ")</f>
        <v> </v>
      </c>
      <c r="X288" s="17" t="str">
        <f aca="false">IF((E288="m"),H288," ")</f>
        <v> </v>
      </c>
      <c r="Y288" s="17" t="str">
        <f aca="false">IF((E288="u"),H288," ")</f>
        <v> </v>
      </c>
      <c r="Z288" s="17" t="str">
        <f aca="false">IF((E288="a"),H288," ")</f>
        <v> </v>
      </c>
      <c r="AA288" s="17" t="str">
        <f aca="false">IF((E288="g"),H288," ")</f>
        <v> </v>
      </c>
      <c r="AB288" s="17" t="str">
        <f aca="false">IF((E288="h"),H288," ")</f>
        <v> </v>
      </c>
      <c r="AC288" s="30" t="str">
        <f aca="false">IF((E288="v"),H288," ")</f>
        <v> </v>
      </c>
      <c r="AD288" s="30" t="str">
        <f aca="false">IF((E288="n"),H288," ")</f>
        <v> </v>
      </c>
      <c r="AE288" s="17" t="str">
        <f aca="false">IF((E288="f"),H288," ")</f>
        <v> </v>
      </c>
      <c r="AF288" s="17" t="str">
        <f aca="false">IF((E288="l"),H288," ")</f>
        <v> </v>
      </c>
      <c r="AG288" s="17" t="str">
        <f aca="false">IF((E288="y"),H288," ")</f>
        <v> </v>
      </c>
      <c r="AH288" s="17" t="str">
        <f aca="false">IF((E288="z"),H288," ")</f>
        <v> </v>
      </c>
      <c r="AI288" s="17" t="str">
        <f aca="false">IF((E288="fa"),H288," ")</f>
        <v> </v>
      </c>
      <c r="AJ288" s="17" t="str">
        <f aca="false">IF((E288="e"),H288," ")</f>
        <v> </v>
      </c>
    </row>
    <row r="289" customFormat="false" ht="12" hidden="false" customHeight="false" outlineLevel="0" collapsed="false">
      <c r="A289" s="28"/>
      <c r="E289" s="2" t="str">
        <f aca="false">IF((F289&lt;&gt;0),"Enter Letter"," ")</f>
        <v> </v>
      </c>
      <c r="F289" s="30"/>
      <c r="G289" s="6" t="str">
        <f aca="false">IF(F289&lt;&gt;0,F289*G$2/(100+G$2)," ")</f>
        <v> </v>
      </c>
      <c r="H289" s="6" t="str">
        <f aca="false">IF((F289&lt;&gt;0),F289-G289," ")</f>
        <v> </v>
      </c>
      <c r="I289" s="5"/>
      <c r="L289" s="7" t="str">
        <f aca="false">IF(F289&lt;&gt;0,F289-K289," ")</f>
        <v> </v>
      </c>
      <c r="M289" s="8" t="str">
        <f aca="false">IF((F289-K289)&lt;&gt;0,M$1-A289," ")</f>
        <v> </v>
      </c>
      <c r="N289" s="5"/>
      <c r="O289" s="17" t="str">
        <f aca="false">IF((E289="s"),H289," ")</f>
        <v> </v>
      </c>
      <c r="P289" s="17" t="str">
        <f aca="false">IF((E289="c"),H289," ")</f>
        <v> </v>
      </c>
      <c r="Q289" s="17" t="str">
        <f aca="false">IF((E289="o"),H289," ")</f>
        <v> </v>
      </c>
      <c r="R289" s="17" t="str">
        <f aca="false">IF((E289="d"),H289," ")</f>
        <v> </v>
      </c>
      <c r="S289" s="17" t="str">
        <f aca="false">IF((E289="w"),H289," ")</f>
        <v> </v>
      </c>
      <c r="T289" s="17" t="str">
        <f aca="false">IF((E289="r"),H289," ")</f>
        <v> </v>
      </c>
      <c r="U289" s="17" t="str">
        <f aca="false">IF((E289="p"),H289," ")</f>
        <v> </v>
      </c>
      <c r="V289" s="17" t="str">
        <f aca="false">IF((E289="t"),H289," ")</f>
        <v> </v>
      </c>
      <c r="W289" s="17" t="str">
        <f aca="false">IF((E289="q"),H289," ")</f>
        <v> </v>
      </c>
      <c r="X289" s="17" t="str">
        <f aca="false">IF((E289="m"),H289," ")</f>
        <v> </v>
      </c>
      <c r="Y289" s="17" t="str">
        <f aca="false">IF((E289="u"),H289," ")</f>
        <v> </v>
      </c>
      <c r="Z289" s="17" t="str">
        <f aca="false">IF((E289="a"),H289," ")</f>
        <v> </v>
      </c>
      <c r="AA289" s="17" t="str">
        <f aca="false">IF((E289="g"),H289," ")</f>
        <v> </v>
      </c>
      <c r="AB289" s="17" t="str">
        <f aca="false">IF((E289="h"),H289," ")</f>
        <v> </v>
      </c>
      <c r="AC289" s="30" t="str">
        <f aca="false">IF((E289="v"),H289," ")</f>
        <v> </v>
      </c>
      <c r="AD289" s="30" t="str">
        <f aca="false">IF((E289="n"),H289," ")</f>
        <v> </v>
      </c>
      <c r="AE289" s="17" t="str">
        <f aca="false">IF((E289="f"),H289," ")</f>
        <v> </v>
      </c>
      <c r="AF289" s="17" t="str">
        <f aca="false">IF((E289="l"),H289," ")</f>
        <v> </v>
      </c>
      <c r="AG289" s="17" t="str">
        <f aca="false">IF((E289="y"),H289," ")</f>
        <v> </v>
      </c>
      <c r="AH289" s="17" t="str">
        <f aca="false">IF((E289="z"),H289," ")</f>
        <v> </v>
      </c>
      <c r="AI289" s="17" t="str">
        <f aca="false">IF((E289="fa"),H289," ")</f>
        <v> </v>
      </c>
      <c r="AJ289" s="17" t="str">
        <f aca="false">IF((E289="e"),H289," ")</f>
        <v> </v>
      </c>
    </row>
    <row r="290" customFormat="false" ht="12" hidden="false" customHeight="false" outlineLevel="0" collapsed="false">
      <c r="A290" s="28"/>
      <c r="E290" s="2" t="str">
        <f aca="false">IF((F290&lt;&gt;0),"Enter Letter"," ")</f>
        <v> </v>
      </c>
      <c r="F290" s="30"/>
      <c r="G290" s="6" t="str">
        <f aca="false">IF(F290&lt;&gt;0,F290*G$2/(100+G$2)," ")</f>
        <v> </v>
      </c>
      <c r="H290" s="6" t="str">
        <f aca="false">IF((F290&lt;&gt;0),F290-G290," ")</f>
        <v> </v>
      </c>
      <c r="I290" s="5"/>
      <c r="L290" s="7" t="str">
        <f aca="false">IF(F290&lt;&gt;0,F290-K290," ")</f>
        <v> </v>
      </c>
      <c r="M290" s="8" t="str">
        <f aca="false">IF((F290-K290)&lt;&gt;0,M$1-A290," ")</f>
        <v> </v>
      </c>
      <c r="N290" s="5"/>
      <c r="O290" s="17" t="str">
        <f aca="false">IF((E290="s"),H290," ")</f>
        <v> </v>
      </c>
      <c r="P290" s="17" t="str">
        <f aca="false">IF((E290="c"),H290," ")</f>
        <v> </v>
      </c>
      <c r="Q290" s="17" t="str">
        <f aca="false">IF((E290="o"),H290," ")</f>
        <v> </v>
      </c>
      <c r="R290" s="17" t="str">
        <f aca="false">IF((E290="d"),H290," ")</f>
        <v> </v>
      </c>
      <c r="S290" s="17" t="str">
        <f aca="false">IF((E290="w"),H290," ")</f>
        <v> </v>
      </c>
      <c r="T290" s="17" t="str">
        <f aca="false">IF((E290="r"),H290," ")</f>
        <v> </v>
      </c>
      <c r="U290" s="17" t="str">
        <f aca="false">IF((E290="p"),H290," ")</f>
        <v> </v>
      </c>
      <c r="V290" s="17" t="str">
        <f aca="false">IF((E290="t"),H290," ")</f>
        <v> </v>
      </c>
      <c r="W290" s="17" t="str">
        <f aca="false">IF((E290="q"),H290," ")</f>
        <v> </v>
      </c>
      <c r="X290" s="17" t="str">
        <f aca="false">IF((E290="m"),H290," ")</f>
        <v> </v>
      </c>
      <c r="Y290" s="17" t="str">
        <f aca="false">IF((E290="u"),H290," ")</f>
        <v> </v>
      </c>
      <c r="Z290" s="17" t="str">
        <f aca="false">IF((E290="a"),H290," ")</f>
        <v> </v>
      </c>
      <c r="AA290" s="17" t="str">
        <f aca="false">IF((E290="g"),H290," ")</f>
        <v> </v>
      </c>
      <c r="AB290" s="17" t="str">
        <f aca="false">IF((E290="h"),H290," ")</f>
        <v> </v>
      </c>
      <c r="AC290" s="30" t="str">
        <f aca="false">IF((E290="v"),H290," ")</f>
        <v> </v>
      </c>
      <c r="AD290" s="30" t="str">
        <f aca="false">IF((E290="n"),H290," ")</f>
        <v> </v>
      </c>
      <c r="AE290" s="17" t="str">
        <f aca="false">IF((E290="f"),H290," ")</f>
        <v> </v>
      </c>
      <c r="AF290" s="17" t="str">
        <f aca="false">IF((E290="l"),H290," ")</f>
        <v> </v>
      </c>
      <c r="AG290" s="17" t="str">
        <f aca="false">IF((E290="y"),H290," ")</f>
        <v> </v>
      </c>
      <c r="AH290" s="17" t="str">
        <f aca="false">IF((E290="z"),H290," ")</f>
        <v> </v>
      </c>
      <c r="AI290" s="17" t="str">
        <f aca="false">IF((E290="fa"),H290," ")</f>
        <v> </v>
      </c>
      <c r="AJ290" s="17" t="str">
        <f aca="false">IF((E290="e"),H290," ")</f>
        <v> </v>
      </c>
    </row>
    <row r="291" customFormat="false" ht="12" hidden="false" customHeight="false" outlineLevel="0" collapsed="false">
      <c r="A291" s="28"/>
      <c r="E291" s="2" t="str">
        <f aca="false">IF((F291&lt;&gt;0),"Enter Letter"," ")</f>
        <v> </v>
      </c>
      <c r="F291" s="30"/>
      <c r="G291" s="6" t="str">
        <f aca="false">IF(F291&lt;&gt;0,F291*G$2/(100+G$2)," ")</f>
        <v> </v>
      </c>
      <c r="H291" s="6" t="str">
        <f aca="false">IF((F291&lt;&gt;0),F291-G291," ")</f>
        <v> </v>
      </c>
      <c r="I291" s="5"/>
      <c r="L291" s="7" t="str">
        <f aca="false">IF(F291&lt;&gt;0,F291-K291," ")</f>
        <v> </v>
      </c>
      <c r="M291" s="8" t="str">
        <f aca="false">IF((F291-K291)&lt;&gt;0,M$1-A291," ")</f>
        <v> </v>
      </c>
      <c r="N291" s="5"/>
      <c r="O291" s="17" t="str">
        <f aca="false">IF((E291="s"),H291," ")</f>
        <v> </v>
      </c>
      <c r="P291" s="17" t="str">
        <f aca="false">IF((E291="c"),H291," ")</f>
        <v> </v>
      </c>
      <c r="Q291" s="17" t="str">
        <f aca="false">IF((E291="o"),H291," ")</f>
        <v> </v>
      </c>
      <c r="R291" s="17" t="str">
        <f aca="false">IF((E291="d"),H291," ")</f>
        <v> </v>
      </c>
      <c r="S291" s="17" t="str">
        <f aca="false">IF((E291="w"),H291," ")</f>
        <v> </v>
      </c>
      <c r="T291" s="17" t="str">
        <f aca="false">IF((E291="r"),H291," ")</f>
        <v> </v>
      </c>
      <c r="U291" s="17" t="str">
        <f aca="false">IF((E291="p"),H291," ")</f>
        <v> </v>
      </c>
      <c r="V291" s="17" t="str">
        <f aca="false">IF((E291="t"),H291," ")</f>
        <v> </v>
      </c>
      <c r="W291" s="17" t="str">
        <f aca="false">IF((E291="q"),H291," ")</f>
        <v> </v>
      </c>
      <c r="X291" s="17" t="str">
        <f aca="false">IF((E291="m"),H291," ")</f>
        <v> </v>
      </c>
      <c r="Y291" s="17" t="str">
        <f aca="false">IF((E291="u"),H291," ")</f>
        <v> </v>
      </c>
      <c r="Z291" s="17" t="str">
        <f aca="false">IF((E291="a"),H291," ")</f>
        <v> </v>
      </c>
      <c r="AA291" s="17" t="str">
        <f aca="false">IF((E291="g"),H291," ")</f>
        <v> </v>
      </c>
      <c r="AB291" s="17" t="str">
        <f aca="false">IF((E291="h"),H291," ")</f>
        <v> </v>
      </c>
      <c r="AC291" s="30" t="str">
        <f aca="false">IF((E291="v"),H291," ")</f>
        <v> </v>
      </c>
      <c r="AD291" s="30" t="str">
        <f aca="false">IF((E291="n"),H291," ")</f>
        <v> </v>
      </c>
      <c r="AE291" s="17" t="str">
        <f aca="false">IF((E291="f"),H291," ")</f>
        <v> </v>
      </c>
      <c r="AF291" s="17" t="str">
        <f aca="false">IF((E291="l"),H291," ")</f>
        <v> </v>
      </c>
      <c r="AG291" s="17" t="str">
        <f aca="false">IF((E291="y"),H291," ")</f>
        <v> </v>
      </c>
      <c r="AH291" s="17" t="str">
        <f aca="false">IF((E291="z"),H291," ")</f>
        <v> </v>
      </c>
      <c r="AI291" s="17" t="str">
        <f aca="false">IF((E291="fa"),H291," ")</f>
        <v> </v>
      </c>
      <c r="AJ291" s="17" t="str">
        <f aca="false">IF((E291="e"),H291," ")</f>
        <v> </v>
      </c>
    </row>
    <row r="292" customFormat="false" ht="12" hidden="false" customHeight="false" outlineLevel="0" collapsed="false">
      <c r="A292" s="28"/>
      <c r="E292" s="2" t="str">
        <f aca="false">IF((F292&lt;&gt;0),"Enter Letter"," ")</f>
        <v> </v>
      </c>
      <c r="F292" s="30"/>
      <c r="G292" s="6" t="str">
        <f aca="false">IF(F292&lt;&gt;0,F292*G$2/(100+G$2)," ")</f>
        <v> </v>
      </c>
      <c r="H292" s="6" t="str">
        <f aca="false">IF((F292&lt;&gt;0),F292-G292," ")</f>
        <v> </v>
      </c>
      <c r="I292" s="5"/>
      <c r="L292" s="7" t="str">
        <f aca="false">IF(F292&lt;&gt;0,F292-K292," ")</f>
        <v> </v>
      </c>
      <c r="M292" s="8" t="str">
        <f aca="false">IF((F292-K292)&lt;&gt;0,M$1-A292," ")</f>
        <v> </v>
      </c>
      <c r="N292" s="5"/>
      <c r="O292" s="17" t="str">
        <f aca="false">IF((E292="s"),H292," ")</f>
        <v> </v>
      </c>
      <c r="P292" s="17" t="str">
        <f aca="false">IF((E292="c"),H292," ")</f>
        <v> </v>
      </c>
      <c r="Q292" s="17" t="str">
        <f aca="false">IF((E292="o"),H292," ")</f>
        <v> </v>
      </c>
      <c r="R292" s="17" t="str">
        <f aca="false">IF((E292="d"),H292," ")</f>
        <v> </v>
      </c>
      <c r="S292" s="17" t="str">
        <f aca="false">IF((E292="w"),H292," ")</f>
        <v> </v>
      </c>
      <c r="T292" s="17" t="str">
        <f aca="false">IF((E292="r"),H292," ")</f>
        <v> </v>
      </c>
      <c r="U292" s="17" t="str">
        <f aca="false">IF((E292="p"),H292," ")</f>
        <v> </v>
      </c>
      <c r="V292" s="17" t="str">
        <f aca="false">IF((E292="t"),H292," ")</f>
        <v> </v>
      </c>
      <c r="W292" s="17" t="str">
        <f aca="false">IF((E292="q"),H292," ")</f>
        <v> </v>
      </c>
      <c r="X292" s="17" t="str">
        <f aca="false">IF((E292="m"),H292," ")</f>
        <v> </v>
      </c>
      <c r="Y292" s="17" t="str">
        <f aca="false">IF((E292="u"),H292," ")</f>
        <v> </v>
      </c>
      <c r="Z292" s="17" t="str">
        <f aca="false">IF((E292="a"),H292," ")</f>
        <v> </v>
      </c>
      <c r="AA292" s="17" t="str">
        <f aca="false">IF((E292="g"),H292," ")</f>
        <v> </v>
      </c>
      <c r="AB292" s="17" t="str">
        <f aca="false">IF((E292="h"),H292," ")</f>
        <v> </v>
      </c>
      <c r="AC292" s="30" t="str">
        <f aca="false">IF((E292="v"),H292," ")</f>
        <v> </v>
      </c>
      <c r="AD292" s="30" t="str">
        <f aca="false">IF((E292="n"),H292," ")</f>
        <v> </v>
      </c>
      <c r="AE292" s="17" t="str">
        <f aca="false">IF((E292="f"),H292," ")</f>
        <v> </v>
      </c>
      <c r="AF292" s="17" t="str">
        <f aca="false">IF((E292="l"),H292," ")</f>
        <v> </v>
      </c>
      <c r="AG292" s="17" t="str">
        <f aca="false">IF((E292="y"),H292," ")</f>
        <v> </v>
      </c>
      <c r="AH292" s="17" t="str">
        <f aca="false">IF((E292="z"),H292," ")</f>
        <v> </v>
      </c>
      <c r="AI292" s="17" t="str">
        <f aca="false">IF((E292="fa"),H292," ")</f>
        <v> </v>
      </c>
      <c r="AJ292" s="17" t="str">
        <f aca="false">IF((E292="e"),H292," ")</f>
        <v> </v>
      </c>
    </row>
    <row r="293" customFormat="false" ht="12" hidden="false" customHeight="false" outlineLevel="0" collapsed="false">
      <c r="A293" s="28"/>
      <c r="E293" s="2" t="str">
        <f aca="false">IF((F293&lt;&gt;0),"Enter Letter"," ")</f>
        <v> </v>
      </c>
      <c r="F293" s="30"/>
      <c r="G293" s="6" t="str">
        <f aca="false">IF(F293&lt;&gt;0,F293*G$2/(100+G$2)," ")</f>
        <v> </v>
      </c>
      <c r="H293" s="6" t="str">
        <f aca="false">IF((F293&lt;&gt;0),F293-G293," ")</f>
        <v> </v>
      </c>
      <c r="I293" s="5"/>
      <c r="L293" s="7" t="str">
        <f aca="false">IF(F293&lt;&gt;0,F293-K293," ")</f>
        <v> </v>
      </c>
      <c r="M293" s="8" t="str">
        <f aca="false">IF((F293-K293)&lt;&gt;0,M$1-A293," ")</f>
        <v> </v>
      </c>
      <c r="N293" s="5"/>
      <c r="O293" s="17" t="str">
        <f aca="false">IF((E293="s"),H293," ")</f>
        <v> </v>
      </c>
      <c r="P293" s="17" t="str">
        <f aca="false">IF((E293="c"),H293," ")</f>
        <v> </v>
      </c>
      <c r="Q293" s="17" t="str">
        <f aca="false">IF((E293="o"),H293," ")</f>
        <v> </v>
      </c>
      <c r="R293" s="17" t="str">
        <f aca="false">IF((E293="d"),H293," ")</f>
        <v> </v>
      </c>
      <c r="S293" s="17" t="str">
        <f aca="false">IF((E293="w"),H293," ")</f>
        <v> </v>
      </c>
      <c r="T293" s="17" t="str">
        <f aca="false">IF((E293="r"),H293," ")</f>
        <v> </v>
      </c>
      <c r="U293" s="17" t="str">
        <f aca="false">IF((E293="p"),H293," ")</f>
        <v> </v>
      </c>
      <c r="V293" s="17" t="str">
        <f aca="false">IF((E293="t"),H293," ")</f>
        <v> </v>
      </c>
      <c r="W293" s="17" t="str">
        <f aca="false">IF((E293="q"),H293," ")</f>
        <v> </v>
      </c>
      <c r="X293" s="17" t="str">
        <f aca="false">IF((E293="m"),H293," ")</f>
        <v> </v>
      </c>
      <c r="Y293" s="17" t="str">
        <f aca="false">IF((E293="u"),H293," ")</f>
        <v> </v>
      </c>
      <c r="Z293" s="17" t="str">
        <f aca="false">IF((E293="a"),H293," ")</f>
        <v> </v>
      </c>
      <c r="AA293" s="17" t="str">
        <f aca="false">IF((E293="g"),H293," ")</f>
        <v> </v>
      </c>
      <c r="AB293" s="17" t="str">
        <f aca="false">IF((E293="h"),H293," ")</f>
        <v> </v>
      </c>
      <c r="AC293" s="30" t="str">
        <f aca="false">IF((E293="v"),H293," ")</f>
        <v> </v>
      </c>
      <c r="AD293" s="30" t="str">
        <f aca="false">IF((E293="n"),H293," ")</f>
        <v> </v>
      </c>
      <c r="AE293" s="17" t="str">
        <f aca="false">IF((E293="f"),H293," ")</f>
        <v> </v>
      </c>
      <c r="AF293" s="17" t="str">
        <f aca="false">IF((E293="l"),H293," ")</f>
        <v> </v>
      </c>
      <c r="AG293" s="17" t="str">
        <f aca="false">IF((E293="y"),H293," ")</f>
        <v> </v>
      </c>
      <c r="AH293" s="17" t="str">
        <f aca="false">IF((E293="z"),H293," ")</f>
        <v> </v>
      </c>
      <c r="AI293" s="17" t="str">
        <f aca="false">IF((E293="fa"),H293," ")</f>
        <v> </v>
      </c>
      <c r="AJ293" s="17" t="str">
        <f aca="false">IF((E293="e"),H293," ")</f>
        <v> </v>
      </c>
    </row>
    <row r="294" customFormat="false" ht="12" hidden="false" customHeight="false" outlineLevel="0" collapsed="false">
      <c r="A294" s="28"/>
      <c r="E294" s="2" t="str">
        <f aca="false">IF((F294&lt;&gt;0),"Enter Letter"," ")</f>
        <v> </v>
      </c>
      <c r="F294" s="30"/>
      <c r="G294" s="6" t="str">
        <f aca="false">IF(F294&lt;&gt;0,F294*G$2/(100+G$2)," ")</f>
        <v> </v>
      </c>
      <c r="H294" s="6" t="str">
        <f aca="false">IF((F294&lt;&gt;0),F294-G294," ")</f>
        <v> </v>
      </c>
      <c r="I294" s="5"/>
      <c r="L294" s="7" t="str">
        <f aca="false">IF(F294&lt;&gt;0,F294-K294," ")</f>
        <v> </v>
      </c>
      <c r="M294" s="8" t="str">
        <f aca="false">IF((F294-K294)&lt;&gt;0,M$1-A294," ")</f>
        <v> </v>
      </c>
      <c r="N294" s="5"/>
      <c r="O294" s="17" t="str">
        <f aca="false">IF((E294="s"),H294," ")</f>
        <v> </v>
      </c>
      <c r="P294" s="17" t="str">
        <f aca="false">IF((E294="c"),H294," ")</f>
        <v> </v>
      </c>
      <c r="Q294" s="17" t="str">
        <f aca="false">IF((E294="o"),H294," ")</f>
        <v> </v>
      </c>
      <c r="R294" s="17" t="str">
        <f aca="false">IF((E294="d"),H294," ")</f>
        <v> </v>
      </c>
      <c r="S294" s="17" t="str">
        <f aca="false">IF((E294="w"),H294," ")</f>
        <v> </v>
      </c>
      <c r="T294" s="17" t="str">
        <f aca="false">IF((E294="r"),H294," ")</f>
        <v> </v>
      </c>
      <c r="U294" s="17" t="str">
        <f aca="false">IF((E294="p"),H294," ")</f>
        <v> </v>
      </c>
      <c r="V294" s="17" t="str">
        <f aca="false">IF((E294="t"),H294," ")</f>
        <v> </v>
      </c>
      <c r="W294" s="17" t="str">
        <f aca="false">IF((E294="q"),H294," ")</f>
        <v> </v>
      </c>
      <c r="X294" s="17" t="str">
        <f aca="false">IF((E294="m"),H294," ")</f>
        <v> </v>
      </c>
      <c r="Y294" s="17" t="str">
        <f aca="false">IF((E294="u"),H294," ")</f>
        <v> </v>
      </c>
      <c r="Z294" s="17" t="str">
        <f aca="false">IF((E294="a"),H294," ")</f>
        <v> </v>
      </c>
      <c r="AA294" s="17" t="str">
        <f aca="false">IF((E294="g"),H294," ")</f>
        <v> </v>
      </c>
      <c r="AB294" s="17" t="str">
        <f aca="false">IF((E294="h"),H294," ")</f>
        <v> </v>
      </c>
      <c r="AC294" s="30" t="str">
        <f aca="false">IF((E294="v"),H294," ")</f>
        <v> </v>
      </c>
      <c r="AD294" s="30" t="str">
        <f aca="false">IF((E294="n"),H294," ")</f>
        <v> </v>
      </c>
      <c r="AE294" s="17" t="str">
        <f aca="false">IF((E294="f"),H294," ")</f>
        <v> </v>
      </c>
      <c r="AF294" s="17" t="str">
        <f aca="false">IF((E294="l"),H294," ")</f>
        <v> </v>
      </c>
      <c r="AG294" s="17" t="str">
        <f aca="false">IF((E294="y"),H294," ")</f>
        <v> </v>
      </c>
      <c r="AH294" s="17" t="str">
        <f aca="false">IF((E294="z"),H294," ")</f>
        <v> </v>
      </c>
      <c r="AI294" s="17" t="str">
        <f aca="false">IF((E294="fa"),H294," ")</f>
        <v> </v>
      </c>
      <c r="AJ294" s="17" t="str">
        <f aca="false">IF((E294="e"),H294," ")</f>
        <v> </v>
      </c>
    </row>
    <row r="295" customFormat="false" ht="12" hidden="false" customHeight="false" outlineLevel="0" collapsed="false">
      <c r="A295" s="28"/>
      <c r="E295" s="2" t="str">
        <f aca="false">IF((F295&lt;&gt;0),"Enter Letter"," ")</f>
        <v> </v>
      </c>
      <c r="F295" s="30"/>
      <c r="G295" s="6" t="str">
        <f aca="false">IF(F295&lt;&gt;0,F295*G$2/(100+G$2)," ")</f>
        <v> </v>
      </c>
      <c r="H295" s="6" t="str">
        <f aca="false">IF((F295&lt;&gt;0),F295-G295," ")</f>
        <v> </v>
      </c>
      <c r="I295" s="5"/>
      <c r="L295" s="7" t="str">
        <f aca="false">IF(F295&lt;&gt;0,F295-K295," ")</f>
        <v> </v>
      </c>
      <c r="M295" s="8" t="str">
        <f aca="false">IF((F295-K295)&lt;&gt;0,M$1-A295," ")</f>
        <v> </v>
      </c>
      <c r="N295" s="5"/>
      <c r="O295" s="17" t="str">
        <f aca="false">IF((E295="s"),H295," ")</f>
        <v> </v>
      </c>
      <c r="P295" s="17" t="str">
        <f aca="false">IF((E295="c"),H295," ")</f>
        <v> </v>
      </c>
      <c r="Q295" s="17" t="str">
        <f aca="false">IF((E295="o"),H295," ")</f>
        <v> </v>
      </c>
      <c r="R295" s="17" t="str">
        <f aca="false">IF((E295="d"),H295," ")</f>
        <v> </v>
      </c>
      <c r="S295" s="17" t="str">
        <f aca="false">IF((E295="w"),H295," ")</f>
        <v> </v>
      </c>
      <c r="T295" s="17" t="str">
        <f aca="false">IF((E295="r"),H295," ")</f>
        <v> </v>
      </c>
      <c r="U295" s="17" t="str">
        <f aca="false">IF((E295="p"),H295," ")</f>
        <v> </v>
      </c>
      <c r="V295" s="17" t="str">
        <f aca="false">IF((E295="t"),H295," ")</f>
        <v> </v>
      </c>
      <c r="W295" s="17" t="str">
        <f aca="false">IF((E295="q"),H295," ")</f>
        <v> </v>
      </c>
      <c r="X295" s="17" t="str">
        <f aca="false">IF((E295="m"),H295," ")</f>
        <v> </v>
      </c>
      <c r="Y295" s="17" t="str">
        <f aca="false">IF((E295="u"),H295," ")</f>
        <v> </v>
      </c>
      <c r="Z295" s="17" t="str">
        <f aca="false">IF((E295="a"),H295," ")</f>
        <v> </v>
      </c>
      <c r="AA295" s="17" t="str">
        <f aca="false">IF((E295="g"),H295," ")</f>
        <v> </v>
      </c>
      <c r="AB295" s="17" t="str">
        <f aca="false">IF((E295="h"),H295," ")</f>
        <v> </v>
      </c>
      <c r="AC295" s="30" t="str">
        <f aca="false">IF((E295="v"),H295," ")</f>
        <v> </v>
      </c>
      <c r="AD295" s="30" t="str">
        <f aca="false">IF((E295="n"),H295," ")</f>
        <v> </v>
      </c>
      <c r="AE295" s="17" t="str">
        <f aca="false">IF((E295="f"),H295," ")</f>
        <v> </v>
      </c>
      <c r="AF295" s="17" t="str">
        <f aca="false">IF((E295="l"),H295," ")</f>
        <v> </v>
      </c>
      <c r="AG295" s="17" t="str">
        <f aca="false">IF((E295="y"),H295," ")</f>
        <v> </v>
      </c>
      <c r="AH295" s="17" t="str">
        <f aca="false">IF((E295="z"),H295," ")</f>
        <v> </v>
      </c>
      <c r="AI295" s="17" t="str">
        <f aca="false">IF((E295="fa"),H295," ")</f>
        <v> </v>
      </c>
      <c r="AJ295" s="17" t="str">
        <f aca="false">IF((E295="e"),H295," ")</f>
        <v> </v>
      </c>
    </row>
    <row r="296" customFormat="false" ht="12" hidden="false" customHeight="false" outlineLevel="0" collapsed="false">
      <c r="A296" s="28"/>
      <c r="E296" s="2" t="str">
        <f aca="false">IF((F296&lt;&gt;0),"Enter Letter"," ")</f>
        <v> </v>
      </c>
      <c r="F296" s="30"/>
      <c r="G296" s="6" t="str">
        <f aca="false">IF(F296&lt;&gt;0,F296*G$2/(100+G$2)," ")</f>
        <v> </v>
      </c>
      <c r="H296" s="6" t="str">
        <f aca="false">IF((F296&lt;&gt;0),F296-G296," ")</f>
        <v> </v>
      </c>
      <c r="I296" s="5"/>
      <c r="L296" s="7" t="str">
        <f aca="false">IF(F296&lt;&gt;0,F296-K296," ")</f>
        <v> </v>
      </c>
      <c r="M296" s="8" t="str">
        <f aca="false">IF((F296-K296)&lt;&gt;0,M$1-A296," ")</f>
        <v> </v>
      </c>
      <c r="N296" s="5"/>
      <c r="O296" s="17" t="str">
        <f aca="false">IF((E296="s"),H296," ")</f>
        <v> </v>
      </c>
      <c r="P296" s="17" t="str">
        <f aca="false">IF((E296="c"),H296," ")</f>
        <v> </v>
      </c>
      <c r="Q296" s="17" t="str">
        <f aca="false">IF((E296="o"),H296," ")</f>
        <v> </v>
      </c>
      <c r="R296" s="17" t="str">
        <f aca="false">IF((E296="d"),H296," ")</f>
        <v> </v>
      </c>
      <c r="S296" s="17" t="str">
        <f aca="false">IF((E296="w"),H296," ")</f>
        <v> </v>
      </c>
      <c r="T296" s="17" t="str">
        <f aca="false">IF((E296="r"),H296," ")</f>
        <v> </v>
      </c>
      <c r="U296" s="17" t="str">
        <f aca="false">IF((E296="p"),H296," ")</f>
        <v> </v>
      </c>
      <c r="V296" s="17" t="str">
        <f aca="false">IF((E296="t"),H296," ")</f>
        <v> </v>
      </c>
      <c r="W296" s="17" t="str">
        <f aca="false">IF((E296="q"),H296," ")</f>
        <v> </v>
      </c>
      <c r="X296" s="17" t="str">
        <f aca="false">IF((E296="m"),H296," ")</f>
        <v> </v>
      </c>
      <c r="Y296" s="17" t="str">
        <f aca="false">IF((E296="u"),H296," ")</f>
        <v> </v>
      </c>
      <c r="Z296" s="17" t="str">
        <f aca="false">IF((E296="a"),H296," ")</f>
        <v> </v>
      </c>
      <c r="AA296" s="17" t="str">
        <f aca="false">IF((E296="g"),H296," ")</f>
        <v> </v>
      </c>
      <c r="AB296" s="17" t="str">
        <f aca="false">IF((E296="h"),H296," ")</f>
        <v> </v>
      </c>
      <c r="AC296" s="30" t="str">
        <f aca="false">IF((E296="v"),H296," ")</f>
        <v> </v>
      </c>
      <c r="AD296" s="30" t="str">
        <f aca="false">IF((E296="n"),H296," ")</f>
        <v> </v>
      </c>
      <c r="AE296" s="17" t="str">
        <f aca="false">IF((E296="f"),H296," ")</f>
        <v> </v>
      </c>
      <c r="AF296" s="17" t="str">
        <f aca="false">IF((E296="l"),H296," ")</f>
        <v> </v>
      </c>
      <c r="AG296" s="17" t="str">
        <f aca="false">IF((E296="y"),H296," ")</f>
        <v> </v>
      </c>
      <c r="AH296" s="17" t="str">
        <f aca="false">IF((E296="z"),H296," ")</f>
        <v> </v>
      </c>
      <c r="AI296" s="17" t="str">
        <f aca="false">IF((E296="fa"),H296," ")</f>
        <v> </v>
      </c>
      <c r="AJ296" s="17" t="str">
        <f aca="false">IF((E296="e"),H296," ")</f>
        <v> </v>
      </c>
    </row>
    <row r="297" customFormat="false" ht="12" hidden="false" customHeight="false" outlineLevel="0" collapsed="false">
      <c r="A297" s="28"/>
      <c r="E297" s="2" t="str">
        <f aca="false">IF((F297&lt;&gt;0),"Enter Letter"," ")</f>
        <v> </v>
      </c>
      <c r="F297" s="30"/>
      <c r="G297" s="6" t="str">
        <f aca="false">IF(F297&lt;&gt;0,F297*G$2/(100+G$2)," ")</f>
        <v> </v>
      </c>
      <c r="H297" s="6" t="str">
        <f aca="false">IF((F297&lt;&gt;0),F297-G297," ")</f>
        <v> </v>
      </c>
      <c r="I297" s="5"/>
      <c r="L297" s="7" t="str">
        <f aca="false">IF(F297&lt;&gt;0,F297-K297," ")</f>
        <v> </v>
      </c>
      <c r="M297" s="8" t="str">
        <f aca="false">IF((F297-K297)&lt;&gt;0,M$1-A297," ")</f>
        <v> </v>
      </c>
      <c r="N297" s="5"/>
      <c r="O297" s="17" t="str">
        <f aca="false">IF((E297="s"),H297," ")</f>
        <v> </v>
      </c>
      <c r="P297" s="17" t="str">
        <f aca="false">IF((E297="c"),H297," ")</f>
        <v> </v>
      </c>
      <c r="Q297" s="17" t="str">
        <f aca="false">IF((E297="o"),H297," ")</f>
        <v> </v>
      </c>
      <c r="R297" s="17" t="str">
        <f aca="false">IF((E297="d"),H297," ")</f>
        <v> </v>
      </c>
      <c r="S297" s="17" t="str">
        <f aca="false">IF((E297="w"),H297," ")</f>
        <v> </v>
      </c>
      <c r="T297" s="17" t="str">
        <f aca="false">IF((E297="r"),H297," ")</f>
        <v> </v>
      </c>
      <c r="U297" s="17" t="str">
        <f aca="false">IF((E297="p"),H297," ")</f>
        <v> </v>
      </c>
      <c r="V297" s="17" t="str">
        <f aca="false">IF((E297="t"),H297," ")</f>
        <v> </v>
      </c>
      <c r="W297" s="17" t="str">
        <f aca="false">IF((E297="q"),H297," ")</f>
        <v> </v>
      </c>
      <c r="X297" s="17" t="str">
        <f aca="false">IF((E297="m"),H297," ")</f>
        <v> </v>
      </c>
      <c r="Y297" s="17" t="str">
        <f aca="false">IF((E297="u"),H297," ")</f>
        <v> </v>
      </c>
      <c r="Z297" s="17" t="str">
        <f aca="false">IF((E297="a"),H297," ")</f>
        <v> </v>
      </c>
      <c r="AA297" s="17" t="str">
        <f aca="false">IF((E297="g"),H297," ")</f>
        <v> </v>
      </c>
      <c r="AB297" s="17" t="str">
        <f aca="false">IF((E297="h"),H297," ")</f>
        <v> </v>
      </c>
      <c r="AC297" s="30" t="str">
        <f aca="false">IF((E297="v"),H297," ")</f>
        <v> </v>
      </c>
      <c r="AD297" s="30" t="str">
        <f aca="false">IF((E297="n"),H297," ")</f>
        <v> </v>
      </c>
      <c r="AE297" s="17" t="str">
        <f aca="false">IF((E297="f"),H297," ")</f>
        <v> </v>
      </c>
      <c r="AF297" s="17" t="str">
        <f aca="false">IF((E297="l"),H297," ")</f>
        <v> </v>
      </c>
      <c r="AG297" s="17" t="str">
        <f aca="false">IF((E297="y"),H297," ")</f>
        <v> </v>
      </c>
      <c r="AH297" s="17" t="str">
        <f aca="false">IF((E297="z"),H297," ")</f>
        <v> </v>
      </c>
      <c r="AI297" s="17" t="str">
        <f aca="false">IF((E297="fa"),H297," ")</f>
        <v> </v>
      </c>
      <c r="AJ297" s="17" t="str">
        <f aca="false">IF((E297="e"),H297," ")</f>
        <v> </v>
      </c>
    </row>
    <row r="298" customFormat="false" ht="12" hidden="false" customHeight="false" outlineLevel="0" collapsed="false">
      <c r="A298" s="28"/>
      <c r="E298" s="2" t="str">
        <f aca="false">IF((F298&lt;&gt;0),"Enter Letter"," ")</f>
        <v> </v>
      </c>
      <c r="F298" s="30"/>
      <c r="G298" s="6" t="str">
        <f aca="false">IF(F298&lt;&gt;0,F298*G$2/(100+G$2)," ")</f>
        <v> </v>
      </c>
      <c r="H298" s="6" t="str">
        <f aca="false">IF((F298&lt;&gt;0),F298-G298," ")</f>
        <v> </v>
      </c>
      <c r="I298" s="5"/>
      <c r="L298" s="7" t="str">
        <f aca="false">IF(F298&lt;&gt;0,F298-K298," ")</f>
        <v> </v>
      </c>
      <c r="M298" s="8" t="str">
        <f aca="false">IF((F298-K298)&lt;&gt;0,M$1-A298," ")</f>
        <v> </v>
      </c>
      <c r="N298" s="5"/>
      <c r="O298" s="17" t="str">
        <f aca="false">IF((E298="s"),H298," ")</f>
        <v> </v>
      </c>
      <c r="P298" s="17" t="str">
        <f aca="false">IF((E298="c"),H298," ")</f>
        <v> </v>
      </c>
      <c r="Q298" s="17" t="str">
        <f aca="false">IF((E298="o"),H298," ")</f>
        <v> </v>
      </c>
      <c r="R298" s="17" t="str">
        <f aca="false">IF((E298="d"),H298," ")</f>
        <v> </v>
      </c>
      <c r="S298" s="17" t="str">
        <f aca="false">IF((E298="w"),H298," ")</f>
        <v> </v>
      </c>
      <c r="T298" s="17" t="str">
        <f aca="false">IF((E298="r"),H298," ")</f>
        <v> </v>
      </c>
      <c r="U298" s="17" t="str">
        <f aca="false">IF((E298="p"),H298," ")</f>
        <v> </v>
      </c>
      <c r="V298" s="17" t="str">
        <f aca="false">IF((E298="t"),H298," ")</f>
        <v> </v>
      </c>
      <c r="W298" s="17" t="str">
        <f aca="false">IF((E298="q"),H298," ")</f>
        <v> </v>
      </c>
      <c r="X298" s="17" t="str">
        <f aca="false">IF((E298="m"),H298," ")</f>
        <v> </v>
      </c>
      <c r="Y298" s="17" t="str">
        <f aca="false">IF((E298="u"),H298," ")</f>
        <v> </v>
      </c>
      <c r="Z298" s="17" t="str">
        <f aca="false">IF((E298="a"),H298," ")</f>
        <v> </v>
      </c>
      <c r="AA298" s="17" t="str">
        <f aca="false">IF((E298="g"),H298," ")</f>
        <v> </v>
      </c>
      <c r="AB298" s="17" t="str">
        <f aca="false">IF((E298="h"),H298," ")</f>
        <v> </v>
      </c>
      <c r="AC298" s="30" t="str">
        <f aca="false">IF((E298="v"),H298," ")</f>
        <v> </v>
      </c>
      <c r="AD298" s="30" t="str">
        <f aca="false">IF((E298="n"),H298," ")</f>
        <v> </v>
      </c>
      <c r="AE298" s="17" t="str">
        <f aca="false">IF((E298="f"),H298," ")</f>
        <v> </v>
      </c>
      <c r="AF298" s="17" t="str">
        <f aca="false">IF((E298="l"),H298," ")</f>
        <v> </v>
      </c>
      <c r="AG298" s="17" t="str">
        <f aca="false">IF((E298="y"),H298," ")</f>
        <v> </v>
      </c>
      <c r="AH298" s="17" t="str">
        <f aca="false">IF((E298="z"),H298," ")</f>
        <v> </v>
      </c>
      <c r="AI298" s="17" t="str">
        <f aca="false">IF((E298="fa"),H298," ")</f>
        <v> </v>
      </c>
      <c r="AJ298" s="17" t="str">
        <f aca="false">IF((E298="e"),H298," ")</f>
        <v> </v>
      </c>
    </row>
    <row r="299" customFormat="false" ht="12" hidden="false" customHeight="false" outlineLevel="0" collapsed="false">
      <c r="A299" s="28"/>
      <c r="E299" s="2" t="str">
        <f aca="false">IF((F299&lt;&gt;0),"Enter Letter"," ")</f>
        <v> </v>
      </c>
      <c r="F299" s="30"/>
      <c r="G299" s="6" t="str">
        <f aca="false">IF(F299&lt;&gt;0,F299*G$2/(100+G$2)," ")</f>
        <v> </v>
      </c>
      <c r="H299" s="6" t="str">
        <f aca="false">IF((F299&lt;&gt;0),F299-G299," ")</f>
        <v> </v>
      </c>
      <c r="I299" s="5"/>
      <c r="L299" s="7" t="str">
        <f aca="false">IF(F299&lt;&gt;0,F299-K299," ")</f>
        <v> </v>
      </c>
      <c r="M299" s="8" t="str">
        <f aca="false">IF((F299-K299)&lt;&gt;0,M$1-A299," ")</f>
        <v> </v>
      </c>
      <c r="N299" s="5"/>
      <c r="O299" s="17" t="str">
        <f aca="false">IF((E299="s"),H299," ")</f>
        <v> </v>
      </c>
      <c r="P299" s="17" t="str">
        <f aca="false">IF((E299="c"),H299," ")</f>
        <v> </v>
      </c>
      <c r="Q299" s="17" t="str">
        <f aca="false">IF((E299="o"),H299," ")</f>
        <v> </v>
      </c>
      <c r="R299" s="17" t="str">
        <f aca="false">IF((E299="d"),H299," ")</f>
        <v> </v>
      </c>
      <c r="S299" s="17" t="str">
        <f aca="false">IF((E299="w"),H299," ")</f>
        <v> </v>
      </c>
      <c r="T299" s="17" t="str">
        <f aca="false">IF((E299="r"),H299," ")</f>
        <v> </v>
      </c>
      <c r="U299" s="17" t="str">
        <f aca="false">IF((E299="p"),H299," ")</f>
        <v> </v>
      </c>
      <c r="V299" s="17" t="str">
        <f aca="false">IF((E299="t"),H299," ")</f>
        <v> </v>
      </c>
      <c r="W299" s="17" t="str">
        <f aca="false">IF((E299="q"),H299," ")</f>
        <v> </v>
      </c>
      <c r="X299" s="17" t="str">
        <f aca="false">IF((E299="m"),H299," ")</f>
        <v> </v>
      </c>
      <c r="Y299" s="17" t="str">
        <f aca="false">IF((E299="u"),H299," ")</f>
        <v> </v>
      </c>
      <c r="Z299" s="17" t="str">
        <f aca="false">IF((E299="a"),H299," ")</f>
        <v> </v>
      </c>
      <c r="AA299" s="17" t="str">
        <f aca="false">IF((E299="g"),H299," ")</f>
        <v> </v>
      </c>
      <c r="AB299" s="17" t="str">
        <f aca="false">IF((E299="h"),H299," ")</f>
        <v> </v>
      </c>
      <c r="AC299" s="30" t="str">
        <f aca="false">IF((E299="v"),H299," ")</f>
        <v> </v>
      </c>
      <c r="AD299" s="30" t="str">
        <f aca="false">IF((E299="n"),H299," ")</f>
        <v> </v>
      </c>
      <c r="AE299" s="17" t="str">
        <f aca="false">IF((E299="f"),H299," ")</f>
        <v> </v>
      </c>
      <c r="AF299" s="17" t="str">
        <f aca="false">IF((E299="l"),H299," ")</f>
        <v> </v>
      </c>
      <c r="AG299" s="17" t="str">
        <f aca="false">IF((E299="y"),H299," ")</f>
        <v> </v>
      </c>
      <c r="AH299" s="17" t="str">
        <f aca="false">IF((E299="z"),H299," ")</f>
        <v> </v>
      </c>
      <c r="AI299" s="17" t="str">
        <f aca="false">IF((E299="fa"),H299," ")</f>
        <v> </v>
      </c>
      <c r="AJ299" s="17" t="str">
        <f aca="false">IF((E299="e"),H299," ")</f>
        <v> </v>
      </c>
    </row>
    <row r="300" customFormat="false" ht="12" hidden="false" customHeight="false" outlineLevel="0" collapsed="false">
      <c r="A300" s="32"/>
      <c r="B300" s="33"/>
      <c r="C300" s="34"/>
      <c r="D300" s="33"/>
      <c r="E300" s="46" t="str">
        <f aca="false">IF((F300&lt;&gt;0),"Enter Letter"," ")</f>
        <v> </v>
      </c>
      <c r="F300" s="47"/>
      <c r="G300" s="36" t="str">
        <f aca="false">IF(F300&lt;&gt;0,F300*G$2/(100+G$2)," ")</f>
        <v> </v>
      </c>
      <c r="H300" s="36" t="str">
        <f aca="false">IF((F300&lt;&gt;0),F300-G300," ")</f>
        <v> </v>
      </c>
      <c r="I300" s="48"/>
      <c r="J300" s="36"/>
      <c r="K300" s="36"/>
      <c r="L300" s="37" t="str">
        <f aca="false">IF(F300&lt;&gt;0,F300-K300," ")</f>
        <v> </v>
      </c>
      <c r="M300" s="38" t="str">
        <f aca="false">IF((F300-K300)&lt;&gt;0,M$1-A300," ")</f>
        <v> </v>
      </c>
      <c r="N300" s="48"/>
      <c r="O300" s="49" t="str">
        <f aca="false">IF((E300="s"),H300," ")</f>
        <v> </v>
      </c>
      <c r="P300" s="49" t="str">
        <f aca="false">IF((E300="c"),H300," ")</f>
        <v> </v>
      </c>
      <c r="Q300" s="49" t="str">
        <f aca="false">IF((E300="o"),H300," ")</f>
        <v> </v>
      </c>
      <c r="R300" s="49" t="str">
        <f aca="false">IF((E300="d"),H300," ")</f>
        <v> </v>
      </c>
      <c r="S300" s="49" t="str">
        <f aca="false">IF((E300="w"),H300," ")</f>
        <v> </v>
      </c>
      <c r="T300" s="49" t="str">
        <f aca="false">IF((E300="r"),H300," ")</f>
        <v> </v>
      </c>
      <c r="U300" s="49" t="str">
        <f aca="false">IF((E300="p"),H300," ")</f>
        <v> </v>
      </c>
      <c r="V300" s="49" t="str">
        <f aca="false">IF((E300="t"),H300," ")</f>
        <v> </v>
      </c>
      <c r="W300" s="49" t="str">
        <f aca="false">IF((E300="q"),H300," ")</f>
        <v> </v>
      </c>
      <c r="X300" s="49" t="str">
        <f aca="false">IF((E300="m"),H300," ")</f>
        <v> </v>
      </c>
      <c r="Y300" s="49" t="str">
        <f aca="false">IF((E300="u"),H300," ")</f>
        <v> </v>
      </c>
      <c r="Z300" s="49" t="str">
        <f aca="false">IF((E300="a"),H300," ")</f>
        <v> </v>
      </c>
      <c r="AA300" s="49" t="str">
        <f aca="false">IF((E300="g"),H300," ")</f>
        <v> </v>
      </c>
      <c r="AB300" s="49" t="str">
        <f aca="false">IF((E300="h"),H300," ")</f>
        <v> </v>
      </c>
      <c r="AC300" s="47" t="str">
        <f aca="false">IF((E300="v"),H300," ")</f>
        <v> </v>
      </c>
      <c r="AD300" s="47" t="str">
        <f aca="false">IF((E300="n"),H300," ")</f>
        <v> </v>
      </c>
      <c r="AE300" s="49" t="str">
        <f aca="false">IF((E300="f"),H300," ")</f>
        <v> </v>
      </c>
      <c r="AF300" s="49" t="str">
        <f aca="false">IF((E300="l"),H300," ")</f>
        <v> </v>
      </c>
      <c r="AG300" s="49" t="str">
        <f aca="false">IF((E300="y"),H300," ")</f>
        <v> </v>
      </c>
      <c r="AH300" s="49" t="str">
        <f aca="false">IF((E300="z"),H300," ")</f>
        <v> </v>
      </c>
      <c r="AI300" s="49" t="str">
        <f aca="false">IF((E300="fa"),H300," ")</f>
        <v> </v>
      </c>
      <c r="AJ300" s="49" t="str">
        <f aca="false">IF((E300="e"),H300," ")</f>
        <v> </v>
      </c>
      <c r="AK300" s="49"/>
      <c r="AL300" s="49"/>
    </row>
    <row r="301" customFormat="false" ht="12" hidden="false" customHeight="false" outlineLevel="0" collapsed="false">
      <c r="A301" s="28"/>
    </row>
  </sheetData>
  <mergeCells count="37">
    <mergeCell ref="C1:C4"/>
    <mergeCell ref="D1:E1"/>
    <mergeCell ref="I1:I4"/>
    <mergeCell ref="J1:J4"/>
    <mergeCell ref="N1:N4"/>
    <mergeCell ref="AJ1:AJ4"/>
    <mergeCell ref="A2:A4"/>
    <mergeCell ref="B2:B4"/>
    <mergeCell ref="D2:D4"/>
    <mergeCell ref="E2:E4"/>
    <mergeCell ref="F2:F4"/>
    <mergeCell ref="H2:H4"/>
    <mergeCell ref="K2:M2"/>
    <mergeCell ref="O2:Q2"/>
    <mergeCell ref="R2:R3"/>
    <mergeCell ref="S2:S3"/>
    <mergeCell ref="T2:U2"/>
    <mergeCell ref="V2:V3"/>
    <mergeCell ref="W2:W3"/>
    <mergeCell ref="X2:X3"/>
    <mergeCell ref="Y2:Y3"/>
    <mergeCell ref="Z2:Z3"/>
    <mergeCell ref="AA2:AA3"/>
    <mergeCell ref="AB2:AB3"/>
    <mergeCell ref="AC2:AC3"/>
    <mergeCell ref="AD2:AD3"/>
    <mergeCell ref="AE2:AE3"/>
    <mergeCell ref="AF2:AF3"/>
    <mergeCell ref="AG2:AG3"/>
    <mergeCell ref="AH2:AH3"/>
    <mergeCell ref="AI2:AI3"/>
    <mergeCell ref="AK2:AL2"/>
    <mergeCell ref="G3:G4"/>
    <mergeCell ref="K3:K4"/>
    <mergeCell ref="L3:L4"/>
    <mergeCell ref="M3:M4"/>
    <mergeCell ref="AK3:AL3"/>
  </mergeCells>
  <dataValidations count="4">
    <dataValidation allowBlank="true" error="While dates outside the financial year can be accepted for valid transactions the date may not have been entered in the correct format.&#10;&#10;CORRECT DATE FORMAT IS DD/MM/YY&#10;&#10;Example 25/12/08 then appears as 25-Dec-08&#10;" errorStyle="stop" errorTitle="DATE ERROR" operator="between" showDropDown="false" showErrorMessage="true" showInputMessage="false" sqref="A5:A300" type="date">
      <formula1>38353</formula1>
      <formula2>53327</formula2>
    </dataValidation>
    <dataValidation allowBlank="true" errorStyle="stop" operator="between" prompt="Entries below the line are not included in column totals or analysed.&#10;&#10;To accomodate additional entries the formulae in column totals need changing and sales analysis columns formulae added " promptTitle="PLEASE NOTE" showDropDown="false" showErrorMessage="true" showInputMessage="true" sqref="A301" type="none">
      <formula1>0</formula1>
      <formula2>0</formula2>
    </dataValidation>
    <dataValidation allowBlank="true" errorStyle="stop" operator="between" prompt="An amount in this cell is an indication column H does not equal column F minus G or the analysis in columns O to AI does not add up to total in column H&#10;&#10;CHECK ENTRY CODE LETTERS or ANY MANUAL ENTRIES IN COL G to H and COL O to AI&#10;" promptTitle="ERROR ALERT" showDropDown="false" showErrorMessage="true" showInputMessage="true" sqref="A1" type="none">
      <formula1>0</formula1>
      <formula2>0</formula2>
    </dataValidation>
    <dataValidation allowBlank="true" errorStyle="stop" operator="between" showDropDown="false" showErrorMessage="true" showInputMessage="false" sqref="E5:E300" type="list">
      <formula1>$O$4:$AI$4</formula1>
      <formula2>0</formula2>
    </dataValidation>
  </dataValidations>
  <printOptions headings="false" gridLines="true" gridLinesSet="true" horizontalCentered="false" verticalCentered="false"/>
  <pageMargins left="0.118055555555556" right="0.0784722222222222" top="0.590277777777778" bottom="0.590277777777778" header="0.196527777777778" footer="0.196527777777778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&amp;C&amp;"Arial,Bold"&amp;11Costs and Expenses</oddHeader>
    <oddFooter>&amp;L&amp;D  &amp;T&amp;C&amp;P  of  &amp;N&amp;R&amp;F  &amp;A</oddFooter>
  </headerFooter>
  <colBreaks count="1" manualBreakCount="1">
    <brk id="24" man="true" max="65535" min="0"/>
  </colBreak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Z3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625" defaultRowHeight="12" zeroHeight="false" outlineLevelRow="0" outlineLevelCol="0"/>
  <cols>
    <col collapsed="false" customWidth="true" hidden="false" outlineLevel="0" max="1" min="1" style="1" width="8.82"/>
    <col collapsed="false" customWidth="true" hidden="false" outlineLevel="0" max="2" min="2" style="2" width="18.66"/>
    <col collapsed="false" customWidth="true" hidden="false" outlineLevel="0" max="3" min="3" style="3" width="12.66"/>
    <col collapsed="false" customWidth="true" hidden="false" outlineLevel="0" max="4" min="4" style="2" width="14.66"/>
    <col collapsed="false" customWidth="true" hidden="false" outlineLevel="0" max="5" min="5" style="5" width="9.66"/>
    <col collapsed="false" customWidth="true" hidden="false" outlineLevel="0" max="6" min="6" style="6" width="10.5"/>
    <col collapsed="false" customWidth="true" hidden="false" outlineLevel="0" max="7" min="7" style="6" width="9.66"/>
    <col collapsed="false" customWidth="true" hidden="false" outlineLevel="0" max="8" min="8" style="6" width="10.66"/>
    <col collapsed="false" customWidth="true" hidden="false" outlineLevel="0" max="9" min="9" style="6" width="0.82"/>
    <col collapsed="false" customWidth="true" hidden="false" outlineLevel="0" max="10" min="10" style="6" width="9.99"/>
    <col collapsed="false" customWidth="true" hidden="false" outlineLevel="0" max="11" min="11" style="6" width="9.66"/>
    <col collapsed="false" customWidth="true" hidden="false" outlineLevel="0" max="12" min="12" style="7" width="9.66"/>
    <col collapsed="false" customWidth="true" hidden="false" outlineLevel="0" max="13" min="13" style="8" width="9.49"/>
    <col collapsed="false" customWidth="true" hidden="false" outlineLevel="0" max="14" min="14" style="6" width="0.82"/>
    <col collapsed="false" customWidth="true" hidden="false" outlineLevel="0" max="23" min="15" style="17" width="9.66"/>
    <col collapsed="false" customWidth="true" hidden="false" outlineLevel="0" max="28" min="24" style="17" width="10.5"/>
    <col collapsed="false" customWidth="true" hidden="false" outlineLevel="0" max="30" min="29" style="39" width="10.5"/>
    <col collapsed="false" customWidth="true" hidden="false" outlineLevel="0" max="36" min="31" style="17" width="10.5"/>
    <col collapsed="false" customWidth="false" hidden="false" outlineLevel="0" max="37" min="37" style="17" width="9.15"/>
    <col collapsed="false" customWidth="true" hidden="false" outlineLevel="0" max="38" min="38" style="17" width="12.66"/>
    <col collapsed="false" customWidth="false" hidden="false" outlineLevel="0" max="257" min="39" style="2" width="9.15"/>
  </cols>
  <sheetData>
    <row r="1" s="17" customFormat="true" ht="12.75" hidden="false" customHeight="true" outlineLevel="0" collapsed="false">
      <c r="A1" s="40" t="n">
        <f aca="false">F1-G1-SUM(O1:AJ1)</f>
        <v>0</v>
      </c>
      <c r="B1" s="41" t="s">
        <v>22</v>
      </c>
      <c r="C1" s="20" t="s">
        <v>5</v>
      </c>
      <c r="D1" s="42" t="s">
        <v>23</v>
      </c>
      <c r="E1" s="42"/>
      <c r="F1" s="12" t="n">
        <f aca="false">SUM(F5:F300)</f>
        <v>24657</v>
      </c>
      <c r="G1" s="12" t="n">
        <f aca="false">SUM(G5:G300)</f>
        <v>4109.5</v>
      </c>
      <c r="H1" s="12" t="n">
        <f aca="false">SUM(H5:H300)</f>
        <v>20547.5</v>
      </c>
      <c r="I1" s="13"/>
      <c r="J1" s="14" t="s">
        <v>2</v>
      </c>
      <c r="K1" s="15" t="n">
        <f aca="false">SUM(K5:K300)</f>
        <v>0</v>
      </c>
      <c r="L1" s="15" t="n">
        <f aca="false">SUM(L5:L300)</f>
        <v>24657</v>
      </c>
      <c r="M1" s="16" t="n">
        <f aca="true">TODAY()</f>
        <v>46278</v>
      </c>
      <c r="N1" s="13"/>
      <c r="O1" s="12" t="n">
        <f aca="false">SUM(O5:O300)</f>
        <v>300</v>
      </c>
      <c r="P1" s="12" t="n">
        <f aca="false">SUM(P5:P300)</f>
        <v>4166.66666666667</v>
      </c>
      <c r="Q1" s="12" t="n">
        <f aca="false">SUM(Q5:Q300)</f>
        <v>237.5</v>
      </c>
      <c r="R1" s="12" t="n">
        <f aca="false">SUM(R5:R300)</f>
        <v>0</v>
      </c>
      <c r="S1" s="12" t="n">
        <f aca="false">SUM(S5:S300)</f>
        <v>0</v>
      </c>
      <c r="T1" s="12" t="n">
        <f aca="false">SUM(T5:T300)</f>
        <v>1000</v>
      </c>
      <c r="U1" s="12" t="n">
        <f aca="false">SUM(U5:U300)</f>
        <v>300</v>
      </c>
      <c r="V1" s="12" t="n">
        <f aca="false">SUM(V5:V300)</f>
        <v>0</v>
      </c>
      <c r="W1" s="12" t="n">
        <f aca="false">SUM(W5:W300)</f>
        <v>0</v>
      </c>
      <c r="X1" s="12" t="n">
        <f aca="false">SUM(X5:X300)</f>
        <v>0</v>
      </c>
      <c r="Y1" s="12" t="n">
        <f aca="false">SUM(Y5:Y300)</f>
        <v>120.833333333333</v>
      </c>
      <c r="Z1" s="12" t="n">
        <f aca="false">SUM(Z5:Z300)</f>
        <v>0</v>
      </c>
      <c r="AA1" s="12" t="n">
        <f aca="false">SUM(AA5:AA300)</f>
        <v>192.5</v>
      </c>
      <c r="AB1" s="12" t="n">
        <f aca="false">SUM(AB5:AB300)</f>
        <v>226.666666666667</v>
      </c>
      <c r="AC1" s="12" t="n">
        <f aca="false">SUM(AC5:AC300)</f>
        <v>545</v>
      </c>
      <c r="AD1" s="12" t="n">
        <f aca="false">SUM(AD5:AD300)</f>
        <v>0</v>
      </c>
      <c r="AE1" s="12" t="n">
        <f aca="false">SUM(AE5:AE300)</f>
        <v>0</v>
      </c>
      <c r="AF1" s="12" t="n">
        <f aca="false">SUM(AF5:AF300)</f>
        <v>458.333333333333</v>
      </c>
      <c r="AG1" s="12" t="n">
        <f aca="false">SUM(AG5:AG300)</f>
        <v>0</v>
      </c>
      <c r="AH1" s="12" t="n">
        <f aca="false">SUM(AH5:AH300)</f>
        <v>0</v>
      </c>
      <c r="AI1" s="12" t="n">
        <f aca="false">SUM(AI5:AI300)</f>
        <v>13000</v>
      </c>
      <c r="AJ1" s="12" t="n">
        <f aca="false">SUM(AJ5:AJ300)</f>
        <v>0</v>
      </c>
      <c r="AK1" s="12" t="n">
        <f aca="false">SUM(AK5:AK300)</f>
        <v>1000</v>
      </c>
      <c r="AL1" s="43"/>
    </row>
    <row r="2" s="17" customFormat="true" ht="13.5" hidden="false" customHeight="true" outlineLevel="0" collapsed="false">
      <c r="A2" s="18" t="s">
        <v>3</v>
      </c>
      <c r="B2" s="19" t="s">
        <v>4</v>
      </c>
      <c r="C2" s="20"/>
      <c r="D2" s="21" t="s">
        <v>6</v>
      </c>
      <c r="E2" s="21" t="s">
        <v>24</v>
      </c>
      <c r="F2" s="19" t="s">
        <v>7</v>
      </c>
      <c r="G2" s="22" t="n">
        <f aca="false">IF([2]Jan!$G$4&gt;0,0,[2]Jan!$G$2)</f>
        <v>20</v>
      </c>
      <c r="H2" s="19" t="s">
        <v>8</v>
      </c>
      <c r="I2" s="13"/>
      <c r="J2" s="14"/>
      <c r="K2" s="23" t="s">
        <v>9</v>
      </c>
      <c r="L2" s="23"/>
      <c r="M2" s="23"/>
      <c r="N2" s="13"/>
      <c r="O2" s="19" t="s">
        <v>25</v>
      </c>
      <c r="P2" s="19"/>
      <c r="Q2" s="19"/>
      <c r="R2" s="19" t="s">
        <v>26</v>
      </c>
      <c r="S2" s="19" t="s">
        <v>27</v>
      </c>
      <c r="T2" s="19" t="s">
        <v>28</v>
      </c>
      <c r="U2" s="19"/>
      <c r="V2" s="19" t="s">
        <v>29</v>
      </c>
      <c r="W2" s="19" t="s">
        <v>30</v>
      </c>
      <c r="X2" s="19" t="s">
        <v>31</v>
      </c>
      <c r="Y2" s="19" t="s">
        <v>32</v>
      </c>
      <c r="Z2" s="19" t="s">
        <v>33</v>
      </c>
      <c r="AA2" s="19" t="s">
        <v>34</v>
      </c>
      <c r="AB2" s="19" t="s">
        <v>35</v>
      </c>
      <c r="AC2" s="19" t="s">
        <v>36</v>
      </c>
      <c r="AD2" s="19" t="s">
        <v>37</v>
      </c>
      <c r="AE2" s="19" t="s">
        <v>38</v>
      </c>
      <c r="AF2" s="19" t="s">
        <v>39</v>
      </c>
      <c r="AG2" s="19" t="s">
        <v>40</v>
      </c>
      <c r="AH2" s="19" t="s">
        <v>41</v>
      </c>
      <c r="AI2" s="19" t="s">
        <v>42</v>
      </c>
      <c r="AJ2" s="12" t="s">
        <v>43</v>
      </c>
      <c r="AK2" s="19" t="s">
        <v>44</v>
      </c>
      <c r="AL2" s="19"/>
    </row>
    <row r="3" s="26" customFormat="true" ht="34.5" hidden="false" customHeight="true" outlineLevel="0" collapsed="false">
      <c r="A3" s="18"/>
      <c r="B3" s="19"/>
      <c r="C3" s="20"/>
      <c r="D3" s="21"/>
      <c r="E3" s="21"/>
      <c r="F3" s="19"/>
      <c r="G3" s="19" t="s">
        <v>10</v>
      </c>
      <c r="H3" s="19"/>
      <c r="I3" s="13"/>
      <c r="J3" s="14"/>
      <c r="K3" s="24" t="s">
        <v>11</v>
      </c>
      <c r="L3" s="24" t="s">
        <v>12</v>
      </c>
      <c r="M3" s="25" t="s">
        <v>13</v>
      </c>
      <c r="N3" s="13"/>
      <c r="O3" s="21" t="s">
        <v>45</v>
      </c>
      <c r="P3" s="21" t="s">
        <v>46</v>
      </c>
      <c r="Q3" s="21" t="s">
        <v>47</v>
      </c>
      <c r="R3" s="19"/>
      <c r="S3" s="19"/>
      <c r="T3" s="21" t="s">
        <v>48</v>
      </c>
      <c r="U3" s="21" t="s">
        <v>49</v>
      </c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2"/>
      <c r="AK3" s="19" t="s">
        <v>50</v>
      </c>
      <c r="AL3" s="19"/>
    </row>
    <row r="4" s="27" customFormat="true" ht="12.75" hidden="false" customHeight="true" outlineLevel="0" collapsed="false">
      <c r="A4" s="18"/>
      <c r="B4" s="19"/>
      <c r="C4" s="20"/>
      <c r="D4" s="21"/>
      <c r="E4" s="21"/>
      <c r="F4" s="19"/>
      <c r="G4" s="19"/>
      <c r="H4" s="19"/>
      <c r="I4" s="13"/>
      <c r="J4" s="14"/>
      <c r="K4" s="24"/>
      <c r="L4" s="24"/>
      <c r="M4" s="24"/>
      <c r="N4" s="13"/>
      <c r="O4" s="44" t="s">
        <v>51</v>
      </c>
      <c r="P4" s="44" t="s">
        <v>52</v>
      </c>
      <c r="Q4" s="44" t="s">
        <v>53</v>
      </c>
      <c r="R4" s="44" t="s">
        <v>54</v>
      </c>
      <c r="S4" s="44" t="s">
        <v>55</v>
      </c>
      <c r="T4" s="44" t="s">
        <v>56</v>
      </c>
      <c r="U4" s="44" t="s">
        <v>57</v>
      </c>
      <c r="V4" s="44" t="s">
        <v>58</v>
      </c>
      <c r="W4" s="44" t="s">
        <v>59</v>
      </c>
      <c r="X4" s="44" t="s">
        <v>60</v>
      </c>
      <c r="Y4" s="44" t="s">
        <v>61</v>
      </c>
      <c r="Z4" s="44" t="s">
        <v>62</v>
      </c>
      <c r="AA4" s="44" t="s">
        <v>63</v>
      </c>
      <c r="AB4" s="44" t="s">
        <v>64</v>
      </c>
      <c r="AC4" s="45" t="s">
        <v>65</v>
      </c>
      <c r="AD4" s="45" t="s">
        <v>66</v>
      </c>
      <c r="AE4" s="44" t="s">
        <v>67</v>
      </c>
      <c r="AF4" s="44" t="s">
        <v>68</v>
      </c>
      <c r="AG4" s="44" t="s">
        <v>69</v>
      </c>
      <c r="AH4" s="44" t="s">
        <v>70</v>
      </c>
      <c r="AI4" s="44" t="s">
        <v>71</v>
      </c>
      <c r="AJ4" s="12" t="s">
        <v>72</v>
      </c>
      <c r="AK4" s="19" t="s">
        <v>73</v>
      </c>
      <c r="AL4" s="19" t="s">
        <v>74</v>
      </c>
    </row>
    <row r="5" s="5" customFormat="true" ht="12" hidden="false" customHeight="false" outlineLevel="0" collapsed="false">
      <c r="A5" s="28" t="n">
        <v>46388</v>
      </c>
      <c r="B5" s="2" t="s">
        <v>14</v>
      </c>
      <c r="C5" s="3"/>
      <c r="D5" s="2" t="s">
        <v>75</v>
      </c>
      <c r="E5" s="2" t="s">
        <v>76</v>
      </c>
      <c r="F5" s="30" t="n">
        <v>1200</v>
      </c>
      <c r="G5" s="6" t="n">
        <f aca="false">IF(F5&lt;&gt;0,F5*G$2/(100+G$2)," ")</f>
        <v>200</v>
      </c>
      <c r="H5" s="6" t="n">
        <f aca="false">IF((F5&lt;&gt;0),F5-G5," ")</f>
        <v>1000</v>
      </c>
      <c r="J5" s="6"/>
      <c r="K5" s="6"/>
      <c r="L5" s="7" t="n">
        <f aca="false">IF(F5&lt;&gt;0,F5-K5," ")</f>
        <v>1200</v>
      </c>
      <c r="M5" s="8" t="n">
        <f aca="false">IF((F5-K5)&lt;&gt;0,M$1-A5," ")</f>
        <v>-110</v>
      </c>
      <c r="O5" s="17" t="str">
        <f aca="false">IF((E5="s"),H5," ")</f>
        <v> </v>
      </c>
      <c r="P5" s="17" t="str">
        <f aca="false">IF((E5="c"),H5," ")</f>
        <v> </v>
      </c>
      <c r="Q5" s="17" t="str">
        <f aca="false">IF((E5="o"),H5," ")</f>
        <v> </v>
      </c>
      <c r="R5" s="17" t="str">
        <f aca="false">IF((E5="d"),H5," ")</f>
        <v> </v>
      </c>
      <c r="S5" s="17" t="str">
        <f aca="false">IF((E5="w"),H5," ")</f>
        <v> </v>
      </c>
      <c r="T5" s="17" t="n">
        <f aca="false">IF((E5="r"),H5," ")</f>
        <v>1000</v>
      </c>
      <c r="U5" s="17" t="str">
        <f aca="false">IF((E5="p"),H5," ")</f>
        <v> </v>
      </c>
      <c r="V5" s="17" t="str">
        <f aca="false">IF((E5="t"),H5," ")</f>
        <v> </v>
      </c>
      <c r="W5" s="17" t="str">
        <f aca="false">IF((E5="q"),H5," ")</f>
        <v> </v>
      </c>
      <c r="X5" s="17" t="str">
        <f aca="false">IF((E5="m"),H5," ")</f>
        <v> </v>
      </c>
      <c r="Y5" s="17" t="str">
        <f aca="false">IF((E5="u"),H5," ")</f>
        <v> </v>
      </c>
      <c r="Z5" s="17" t="str">
        <f aca="false">IF((E5="a"),H5," ")</f>
        <v> </v>
      </c>
      <c r="AA5" s="17" t="str">
        <f aca="false">IF((E5="g"),H5," ")</f>
        <v> </v>
      </c>
      <c r="AB5" s="17" t="str">
        <f aca="false">IF((E5="h"),H5," ")</f>
        <v> </v>
      </c>
      <c r="AC5" s="30" t="str">
        <f aca="false">IF((E5="v"),H5," ")</f>
        <v> </v>
      </c>
      <c r="AD5" s="30" t="str">
        <f aca="false">IF((E5="n"),H5," ")</f>
        <v> </v>
      </c>
      <c r="AE5" s="17" t="str">
        <f aca="false">IF((E5="f"),H5," ")</f>
        <v> </v>
      </c>
      <c r="AF5" s="17" t="str">
        <f aca="false">IF((E5="l"),H5," ")</f>
        <v> </v>
      </c>
      <c r="AG5" s="17" t="str">
        <f aca="false">IF((E5="y"),H5," ")</f>
        <v> </v>
      </c>
      <c r="AH5" s="17" t="str">
        <f aca="false">IF((E5="z"),H5," ")</f>
        <v> </v>
      </c>
      <c r="AI5" s="17" t="str">
        <f aca="false">IF((E5="fa"),H5," ")</f>
        <v> </v>
      </c>
      <c r="AJ5" s="17" t="str">
        <f aca="false">IF((E5="e"),H5," ")</f>
        <v> </v>
      </c>
      <c r="AK5" s="17"/>
      <c r="AL5" s="17"/>
      <c r="BZ5" s="5" t="s">
        <v>77</v>
      </c>
    </row>
    <row r="6" customFormat="false" ht="12" hidden="false" customHeight="false" outlineLevel="0" collapsed="false">
      <c r="A6" s="28" t="n">
        <v>46388</v>
      </c>
      <c r="B6" s="2" t="s">
        <v>78</v>
      </c>
      <c r="D6" s="2" t="s">
        <v>79</v>
      </c>
      <c r="E6" s="2" t="s">
        <v>80</v>
      </c>
      <c r="F6" s="30" t="n">
        <v>30</v>
      </c>
      <c r="G6" s="6" t="n">
        <f aca="false">IF(F6&lt;&gt;0,F6*G$2/(100+G$2)," ")</f>
        <v>5</v>
      </c>
      <c r="H6" s="6" t="n">
        <f aca="false">IF((F6&lt;&gt;0),F6-G6," ")</f>
        <v>25</v>
      </c>
      <c r="I6" s="5"/>
      <c r="L6" s="7" t="n">
        <f aca="false">IF(F6&lt;&gt;0,F6-K6," ")</f>
        <v>30</v>
      </c>
      <c r="M6" s="8" t="n">
        <f aca="false">IF((F6-K6)&lt;&gt;0,M$1-A6," ")</f>
        <v>-110</v>
      </c>
      <c r="N6" s="5"/>
      <c r="O6" s="17" t="str">
        <f aca="false">IF((E6="s"),H6," ")</f>
        <v> </v>
      </c>
      <c r="P6" s="17" t="str">
        <f aca="false">IF((E6="c"),H6," ")</f>
        <v> </v>
      </c>
      <c r="Q6" s="17" t="str">
        <f aca="false">IF((E6="o"),H6," ")</f>
        <v> </v>
      </c>
      <c r="R6" s="17" t="str">
        <f aca="false">IF((E6="d"),H6," ")</f>
        <v> </v>
      </c>
      <c r="S6" s="17" t="str">
        <f aca="false">IF((E6="w"),H6," ")</f>
        <v> </v>
      </c>
      <c r="T6" s="17" t="str">
        <f aca="false">IF((E6="r"),H6," ")</f>
        <v> </v>
      </c>
      <c r="U6" s="17" t="str">
        <f aca="false">IF((E6="p"),H6," ")</f>
        <v> </v>
      </c>
      <c r="V6" s="17" t="str">
        <f aca="false">IF((E6="t"),H6," ")</f>
        <v> </v>
      </c>
      <c r="W6" s="17" t="str">
        <f aca="false">IF((E6="q"),H6," ")</f>
        <v> </v>
      </c>
      <c r="X6" s="17" t="str">
        <f aca="false">IF((E6="m"),H6," ")</f>
        <v> </v>
      </c>
      <c r="Y6" s="17" t="str">
        <f aca="false">IF((E6="u"),H6," ")</f>
        <v> </v>
      </c>
      <c r="Z6" s="17" t="str">
        <f aca="false">IF((E6="a"),H6," ")</f>
        <v> </v>
      </c>
      <c r="AA6" s="17" t="n">
        <f aca="false">IF((E6="g"),H6," ")</f>
        <v>25</v>
      </c>
      <c r="AB6" s="17" t="str">
        <f aca="false">IF((E6="h"),H6," ")</f>
        <v> </v>
      </c>
      <c r="AC6" s="30" t="str">
        <f aca="false">IF((E6="v"),H6," ")</f>
        <v> </v>
      </c>
      <c r="AD6" s="30" t="str">
        <f aca="false">IF((E6="n"),H6," ")</f>
        <v> </v>
      </c>
      <c r="AE6" s="17" t="str">
        <f aca="false">IF((E6="f"),H6," ")</f>
        <v> </v>
      </c>
      <c r="AF6" s="17" t="str">
        <f aca="false">IF((E6="l"),H6," ")</f>
        <v> </v>
      </c>
      <c r="AG6" s="17" t="str">
        <f aca="false">IF((E6="y"),H6," ")</f>
        <v> </v>
      </c>
      <c r="AH6" s="17" t="str">
        <f aca="false">IF((E6="z"),H6," ")</f>
        <v> </v>
      </c>
      <c r="AI6" s="17" t="str">
        <f aca="false">IF((E6="fa"),H6," ")</f>
        <v> </v>
      </c>
      <c r="AJ6" s="17" t="str">
        <f aca="false">IF((E6="e"),H6," ")</f>
        <v> </v>
      </c>
      <c r="BZ6" s="2" t="s">
        <v>81</v>
      </c>
    </row>
    <row r="7" customFormat="false" ht="12" hidden="false" customHeight="false" outlineLevel="0" collapsed="false">
      <c r="A7" s="28" t="n">
        <v>46388</v>
      </c>
      <c r="B7" s="2" t="s">
        <v>82</v>
      </c>
      <c r="D7" s="2" t="s">
        <v>83</v>
      </c>
      <c r="E7" s="2" t="s">
        <v>80</v>
      </c>
      <c r="F7" s="30" t="n">
        <v>15</v>
      </c>
      <c r="G7" s="6" t="n">
        <f aca="false">IF(F7&lt;&gt;0,F7*G$2/(100+G$2)," ")</f>
        <v>2.5</v>
      </c>
      <c r="H7" s="6" t="n">
        <f aca="false">IF((F7&lt;&gt;0),F7-G7," ")</f>
        <v>12.5</v>
      </c>
      <c r="I7" s="5"/>
      <c r="L7" s="7" t="n">
        <f aca="false">IF(F7&lt;&gt;0,F7-K7," ")</f>
        <v>15</v>
      </c>
      <c r="M7" s="8" t="n">
        <f aca="false">IF((F7-K7)&lt;&gt;0,M$1-A7," ")</f>
        <v>-110</v>
      </c>
      <c r="N7" s="5"/>
      <c r="O7" s="17" t="str">
        <f aca="false">IF((E7="s"),H7," ")</f>
        <v> </v>
      </c>
      <c r="P7" s="17" t="str">
        <f aca="false">IF((E7="c"),H7," ")</f>
        <v> </v>
      </c>
      <c r="Q7" s="17" t="str">
        <f aca="false">IF((E7="o"),H7," ")</f>
        <v> </v>
      </c>
      <c r="R7" s="17" t="str">
        <f aca="false">IF((E7="d"),H7," ")</f>
        <v> </v>
      </c>
      <c r="S7" s="17" t="str">
        <f aca="false">IF((E7="w"),H7," ")</f>
        <v> </v>
      </c>
      <c r="T7" s="17" t="str">
        <f aca="false">IF((E7="r"),H7," ")</f>
        <v> </v>
      </c>
      <c r="U7" s="17" t="str">
        <f aca="false">IF((E7="p"),H7," ")</f>
        <v> </v>
      </c>
      <c r="V7" s="17" t="str">
        <f aca="false">IF((E7="t"),H7," ")</f>
        <v> </v>
      </c>
      <c r="W7" s="17" t="str">
        <f aca="false">IF((E7="q"),H7," ")</f>
        <v> </v>
      </c>
      <c r="X7" s="17" t="str">
        <f aca="false">IF((E7="m"),H7," ")</f>
        <v> </v>
      </c>
      <c r="Y7" s="17" t="str">
        <f aca="false">IF((E7="u"),H7," ")</f>
        <v> </v>
      </c>
      <c r="Z7" s="17" t="str">
        <f aca="false">IF((E7="a"),H7," ")</f>
        <v> </v>
      </c>
      <c r="AA7" s="17" t="n">
        <f aca="false">IF((E7="g"),H7," ")</f>
        <v>12.5</v>
      </c>
      <c r="AB7" s="17" t="str">
        <f aca="false">IF((E7="h"),H7," ")</f>
        <v> </v>
      </c>
      <c r="AC7" s="30" t="str">
        <f aca="false">IF((E7="v"),H7," ")</f>
        <v> </v>
      </c>
      <c r="AD7" s="30" t="str">
        <f aca="false">IF((E7="n"),H7," ")</f>
        <v> </v>
      </c>
      <c r="AE7" s="17" t="str">
        <f aca="false">IF((E7="f"),H7," ")</f>
        <v> </v>
      </c>
      <c r="AF7" s="17" t="str">
        <f aca="false">IF((E7="l"),H7," ")</f>
        <v> </v>
      </c>
      <c r="AG7" s="17" t="str">
        <f aca="false">IF((E7="y"),H7," ")</f>
        <v> </v>
      </c>
      <c r="AH7" s="17" t="str">
        <f aca="false">IF((E7="z"),H7," ")</f>
        <v> </v>
      </c>
      <c r="AI7" s="17" t="str">
        <f aca="false">IF((E7="fa"),H7," ")</f>
        <v> </v>
      </c>
      <c r="AJ7" s="17" t="str">
        <f aca="false">IF((E7="e"),H7," ")</f>
        <v> </v>
      </c>
      <c r="BZ7" s="2" t="s">
        <v>81</v>
      </c>
    </row>
    <row r="8" customFormat="false" ht="12" hidden="false" customHeight="false" outlineLevel="0" collapsed="false">
      <c r="A8" s="28" t="n">
        <v>46388</v>
      </c>
      <c r="B8" s="2" t="s">
        <v>84</v>
      </c>
      <c r="D8" s="2" t="s">
        <v>85</v>
      </c>
      <c r="E8" s="2" t="s">
        <v>86</v>
      </c>
      <c r="F8" s="30" t="n">
        <v>45</v>
      </c>
      <c r="G8" s="6" t="n">
        <f aca="false">IF(F8&lt;&gt;0,F8*G$2/(100+G$2)," ")</f>
        <v>7.5</v>
      </c>
      <c r="H8" s="6" t="n">
        <f aca="false">IF((F8&lt;&gt;0),F8-G8," ")</f>
        <v>37.5</v>
      </c>
      <c r="I8" s="5"/>
      <c r="L8" s="7" t="n">
        <f aca="false">IF(F8&lt;&gt;0,F8-K8," ")</f>
        <v>45</v>
      </c>
      <c r="M8" s="8" t="n">
        <f aca="false">IF((F8-K8)&lt;&gt;0,M$1-A8," ")</f>
        <v>-110</v>
      </c>
      <c r="N8" s="5"/>
      <c r="O8" s="17" t="str">
        <f aca="false">IF((E8="s"),H8," ")</f>
        <v> </v>
      </c>
      <c r="P8" s="17" t="str">
        <f aca="false">IF((E8="c"),H8," ")</f>
        <v> </v>
      </c>
      <c r="Q8" s="17" t="n">
        <f aca="false">IF((E8="o"),H8," ")</f>
        <v>37.5</v>
      </c>
      <c r="R8" s="17" t="str">
        <f aca="false">IF((E8="d"),H8," ")</f>
        <v> </v>
      </c>
      <c r="S8" s="17" t="str">
        <f aca="false">IF((E8="w"),H8," ")</f>
        <v> </v>
      </c>
      <c r="T8" s="17" t="str">
        <f aca="false">IF((E8="r"),H8," ")</f>
        <v> </v>
      </c>
      <c r="U8" s="17" t="str">
        <f aca="false">IF((E8="p"),H8," ")</f>
        <v> </v>
      </c>
      <c r="V8" s="17" t="str">
        <f aca="false">IF((E8="t"),H8," ")</f>
        <v> </v>
      </c>
      <c r="W8" s="17" t="str">
        <f aca="false">IF((E8="q"),H8," ")</f>
        <v> </v>
      </c>
      <c r="X8" s="17" t="str">
        <f aca="false">IF((E8="m"),H8," ")</f>
        <v> </v>
      </c>
      <c r="Y8" s="17" t="str">
        <f aca="false">IF((E8="u"),H8," ")</f>
        <v> </v>
      </c>
      <c r="Z8" s="17" t="str">
        <f aca="false">IF((E8="a"),H8," ")</f>
        <v> </v>
      </c>
      <c r="AA8" s="17" t="str">
        <f aca="false">IF((E8="g"),H8," ")</f>
        <v> </v>
      </c>
      <c r="AB8" s="17" t="str">
        <f aca="false">IF((E8="h"),H8," ")</f>
        <v> </v>
      </c>
      <c r="AC8" s="30" t="str">
        <f aca="false">IF((E8="v"),H8," ")</f>
        <v> </v>
      </c>
      <c r="AD8" s="30" t="str">
        <f aca="false">IF((E8="n"),H8," ")</f>
        <v> </v>
      </c>
      <c r="AE8" s="17" t="str">
        <f aca="false">IF((E8="f"),H8," ")</f>
        <v> </v>
      </c>
      <c r="AF8" s="17" t="str">
        <f aca="false">IF((E8="l"),H8," ")</f>
        <v> </v>
      </c>
      <c r="AG8" s="17" t="str">
        <f aca="false">IF((E8="y"),H8," ")</f>
        <v> </v>
      </c>
      <c r="AH8" s="17" t="str">
        <f aca="false">IF((E8="z"),H8," ")</f>
        <v> </v>
      </c>
      <c r="AI8" s="17" t="str">
        <f aca="false">IF((E8="fa"),H8," ")</f>
        <v> </v>
      </c>
      <c r="AJ8" s="17" t="str">
        <f aca="false">IF((E8="e"),H8," ")</f>
        <v> </v>
      </c>
      <c r="BZ8" s="2" t="s">
        <v>87</v>
      </c>
    </row>
    <row r="9" customFormat="false" ht="12" hidden="false" customHeight="false" outlineLevel="0" collapsed="false">
      <c r="A9" s="28" t="n">
        <v>46388</v>
      </c>
      <c r="B9" s="2" t="s">
        <v>92</v>
      </c>
      <c r="D9" s="2" t="s">
        <v>93</v>
      </c>
      <c r="E9" s="2" t="s">
        <v>86</v>
      </c>
      <c r="F9" s="30" t="n">
        <v>24</v>
      </c>
      <c r="G9" s="6" t="n">
        <f aca="false">IF(F9&lt;&gt;0,F9*G$2/(100+G$2)," ")</f>
        <v>4</v>
      </c>
      <c r="H9" s="6" t="n">
        <f aca="false">IF((F9&lt;&gt;0),F9-G9," ")</f>
        <v>20</v>
      </c>
      <c r="I9" s="5"/>
      <c r="L9" s="7" t="n">
        <f aca="false">IF(F9&lt;&gt;0,F9-K9," ")</f>
        <v>24</v>
      </c>
      <c r="M9" s="8" t="n">
        <f aca="false">IF((F9-K9)&lt;&gt;0,M$1-A9," ")</f>
        <v>-110</v>
      </c>
      <c r="N9" s="5"/>
      <c r="O9" s="17" t="str">
        <f aca="false">IF((E9="s"),H9," ")</f>
        <v> </v>
      </c>
      <c r="P9" s="17" t="str">
        <f aca="false">IF((E9="c"),H9," ")</f>
        <v> </v>
      </c>
      <c r="Q9" s="17" t="n">
        <f aca="false">IF((E9="o"),H9," ")</f>
        <v>20</v>
      </c>
      <c r="R9" s="17" t="str">
        <f aca="false">IF((E9="d"),H9," ")</f>
        <v> </v>
      </c>
      <c r="S9" s="17" t="str">
        <f aca="false">IF((E9="w"),H9," ")</f>
        <v> </v>
      </c>
      <c r="T9" s="17" t="str">
        <f aca="false">IF((E9="r"),H9," ")</f>
        <v> </v>
      </c>
      <c r="U9" s="17" t="str">
        <f aca="false">IF((E9="p"),H9," ")</f>
        <v> </v>
      </c>
      <c r="V9" s="17" t="str">
        <f aca="false">IF((E9="t"),H9," ")</f>
        <v> </v>
      </c>
      <c r="W9" s="17" t="str">
        <f aca="false">IF((E9="q"),H9," ")</f>
        <v> </v>
      </c>
      <c r="X9" s="17" t="str">
        <f aca="false">IF((E9="m"),H9," ")</f>
        <v> </v>
      </c>
      <c r="Y9" s="17" t="str">
        <f aca="false">IF((E9="u"),H9," ")</f>
        <v> </v>
      </c>
      <c r="Z9" s="17" t="str">
        <f aca="false">IF((E9="a"),H9," ")</f>
        <v> </v>
      </c>
      <c r="AA9" s="17" t="str">
        <f aca="false">IF((E9="g"),H9," ")</f>
        <v> </v>
      </c>
      <c r="AB9" s="17" t="str">
        <f aca="false">IF((E9="h"),H9," ")</f>
        <v> </v>
      </c>
      <c r="AC9" s="30" t="str">
        <f aca="false">IF((E9="v"),H9," ")</f>
        <v> </v>
      </c>
      <c r="AD9" s="30" t="str">
        <f aca="false">IF((E9="n"),H9," ")</f>
        <v> </v>
      </c>
      <c r="AE9" s="17" t="str">
        <f aca="false">IF((E9="f"),H9," ")</f>
        <v> </v>
      </c>
      <c r="AF9" s="17" t="str">
        <f aca="false">IF((E9="l"),H9," ")</f>
        <v> </v>
      </c>
      <c r="AG9" s="17" t="str">
        <f aca="false">IF((E9="y"),H9," ")</f>
        <v> </v>
      </c>
      <c r="AH9" s="17" t="str">
        <f aca="false">IF((E9="z"),H9," ")</f>
        <v> </v>
      </c>
      <c r="AI9" s="17" t="str">
        <f aca="false">IF((E9="fa"),H9," ")</f>
        <v> </v>
      </c>
      <c r="AJ9" s="17" t="str">
        <f aca="false">IF((E9="e"),H9," ")</f>
        <v> </v>
      </c>
      <c r="BZ9" s="2" t="s">
        <v>87</v>
      </c>
    </row>
    <row r="10" customFormat="false" ht="12" hidden="false" customHeight="false" outlineLevel="0" collapsed="false">
      <c r="A10" s="28" t="n">
        <v>46388</v>
      </c>
      <c r="B10" s="2" t="s">
        <v>94</v>
      </c>
      <c r="D10" s="2" t="s">
        <v>95</v>
      </c>
      <c r="E10" s="2" t="s">
        <v>80</v>
      </c>
      <c r="F10" s="30" t="n">
        <v>18</v>
      </c>
      <c r="G10" s="6" t="n">
        <f aca="false">IF(F10&lt;&gt;0,F10*G$2/(100+G$2)," ")</f>
        <v>3</v>
      </c>
      <c r="H10" s="6" t="n">
        <f aca="false">IF((F10&lt;&gt;0),F10-G10," ")</f>
        <v>15</v>
      </c>
      <c r="I10" s="5"/>
      <c r="L10" s="7" t="n">
        <f aca="false">IF(F10&lt;&gt;0,F10-K10," ")</f>
        <v>18</v>
      </c>
      <c r="M10" s="8" t="n">
        <f aca="false">IF((F10-K10)&lt;&gt;0,M$1-A10," ")</f>
        <v>-110</v>
      </c>
      <c r="N10" s="5"/>
      <c r="O10" s="17" t="str">
        <f aca="false">IF((E10="s"),H10," ")</f>
        <v> </v>
      </c>
      <c r="P10" s="17" t="str">
        <f aca="false">IF((E10="c"),H10," ")</f>
        <v> </v>
      </c>
      <c r="Q10" s="17" t="str">
        <f aca="false">IF((E10="o"),H10," ")</f>
        <v> </v>
      </c>
      <c r="R10" s="17" t="str">
        <f aca="false">IF((E10="d"),H10," ")</f>
        <v> </v>
      </c>
      <c r="S10" s="17" t="str">
        <f aca="false">IF((E10="w"),H10," ")</f>
        <v> </v>
      </c>
      <c r="T10" s="17" t="str">
        <f aca="false">IF((E10="r"),H10," ")</f>
        <v> </v>
      </c>
      <c r="U10" s="17" t="str">
        <f aca="false">IF((E10="p"),H10," ")</f>
        <v> </v>
      </c>
      <c r="V10" s="17" t="str">
        <f aca="false">IF((E10="t"),H10," ")</f>
        <v> </v>
      </c>
      <c r="W10" s="17" t="str">
        <f aca="false">IF((E10="q"),H10," ")</f>
        <v> </v>
      </c>
      <c r="X10" s="17" t="str">
        <f aca="false">IF((E10="m"),H10," ")</f>
        <v> </v>
      </c>
      <c r="Y10" s="17" t="str">
        <f aca="false">IF((E10="u"),H10," ")</f>
        <v> </v>
      </c>
      <c r="Z10" s="17" t="str">
        <f aca="false">IF((E10="a"),H10," ")</f>
        <v> </v>
      </c>
      <c r="AA10" s="17" t="n">
        <f aca="false">IF((E10="g"),H10," ")</f>
        <v>15</v>
      </c>
      <c r="AB10" s="17" t="str">
        <f aca="false">IF((E10="h"),H10," ")</f>
        <v> </v>
      </c>
      <c r="AC10" s="30" t="str">
        <f aca="false">IF((E10="v"),H10," ")</f>
        <v> </v>
      </c>
      <c r="AD10" s="30" t="str">
        <f aca="false">IF((E10="n"),H10," ")</f>
        <v> </v>
      </c>
      <c r="AE10" s="17" t="str">
        <f aca="false">IF((E10="f"),H10," ")</f>
        <v> </v>
      </c>
      <c r="AF10" s="17" t="str">
        <f aca="false">IF((E10="l"),H10," ")</f>
        <v> </v>
      </c>
      <c r="AG10" s="17" t="str">
        <f aca="false">IF((E10="y"),H10," ")</f>
        <v> </v>
      </c>
      <c r="AH10" s="17" t="str">
        <f aca="false">IF((E10="z"),H10," ")</f>
        <v> </v>
      </c>
      <c r="AI10" s="17" t="str">
        <f aca="false">IF((E10="fa"),H10," ")</f>
        <v> </v>
      </c>
      <c r="AJ10" s="17" t="str">
        <f aca="false">IF((E10="e"),H10," ")</f>
        <v> </v>
      </c>
      <c r="BZ10" s="2" t="s">
        <v>81</v>
      </c>
    </row>
    <row r="11" customFormat="false" ht="12" hidden="false" customHeight="false" outlineLevel="0" collapsed="false">
      <c r="A11" s="28" t="n">
        <v>46390</v>
      </c>
      <c r="B11" s="2" t="s">
        <v>96</v>
      </c>
      <c r="D11" s="2" t="s">
        <v>97</v>
      </c>
      <c r="E11" s="2" t="s">
        <v>86</v>
      </c>
      <c r="F11" s="30" t="n">
        <v>180</v>
      </c>
      <c r="G11" s="6" t="n">
        <f aca="false">IF(F11&lt;&gt;0,F11*G$2/(100+G$2)," ")</f>
        <v>30</v>
      </c>
      <c r="H11" s="6" t="n">
        <f aca="false">IF((F11&lt;&gt;0),F11-G11," ")</f>
        <v>150</v>
      </c>
      <c r="I11" s="5"/>
      <c r="L11" s="7" t="n">
        <f aca="false">IF(F11&lt;&gt;0,F11-K11," ")</f>
        <v>180</v>
      </c>
      <c r="M11" s="8" t="n">
        <f aca="false">IF((F11-K11)&lt;&gt;0,M$1-A11," ")</f>
        <v>-112</v>
      </c>
      <c r="N11" s="5"/>
      <c r="O11" s="17" t="str">
        <f aca="false">IF((E11="s"),H11," ")</f>
        <v> </v>
      </c>
      <c r="P11" s="17" t="str">
        <f aca="false">IF((E11="c"),H11," ")</f>
        <v> </v>
      </c>
      <c r="Q11" s="17" t="n">
        <f aca="false">IF((E11="o"),H11," ")</f>
        <v>150</v>
      </c>
      <c r="R11" s="17" t="str">
        <f aca="false">IF((E11="d"),H11," ")</f>
        <v> </v>
      </c>
      <c r="S11" s="17" t="str">
        <f aca="false">IF((E11="w"),H11," ")</f>
        <v> </v>
      </c>
      <c r="T11" s="17" t="str">
        <f aca="false">IF((E11="r"),H11," ")</f>
        <v> </v>
      </c>
      <c r="U11" s="17" t="str">
        <f aca="false">IF((E11="p"),H11," ")</f>
        <v> </v>
      </c>
      <c r="V11" s="17" t="str">
        <f aca="false">IF((E11="t"),H11," ")</f>
        <v> </v>
      </c>
      <c r="W11" s="17" t="str">
        <f aca="false">IF((E11="q"),H11," ")</f>
        <v> </v>
      </c>
      <c r="X11" s="17" t="str">
        <f aca="false">IF((E11="m"),H11," ")</f>
        <v> </v>
      </c>
      <c r="Y11" s="17" t="str">
        <f aca="false">IF((E11="u"),H11," ")</f>
        <v> </v>
      </c>
      <c r="Z11" s="17" t="str">
        <f aca="false">IF((E11="a"),H11," ")</f>
        <v> </v>
      </c>
      <c r="AA11" s="17" t="str">
        <f aca="false">IF((E11="g"),H11," ")</f>
        <v> </v>
      </c>
      <c r="AB11" s="17" t="str">
        <f aca="false">IF((E11="h"),H11," ")</f>
        <v> </v>
      </c>
      <c r="AC11" s="30" t="str">
        <f aca="false">IF((E11="v"),H11," ")</f>
        <v> </v>
      </c>
      <c r="AD11" s="30" t="str">
        <f aca="false">IF((E11="n"),H11," ")</f>
        <v> </v>
      </c>
      <c r="AE11" s="17" t="str">
        <f aca="false">IF((E11="f"),H11," ")</f>
        <v> </v>
      </c>
      <c r="AF11" s="17" t="str">
        <f aca="false">IF((E11="l"),H11," ")</f>
        <v> </v>
      </c>
      <c r="AG11" s="17" t="str">
        <f aca="false">IF((E11="y"),H11," ")</f>
        <v> </v>
      </c>
      <c r="AH11" s="17" t="str">
        <f aca="false">IF((E11="z"),H11," ")</f>
        <v> </v>
      </c>
      <c r="AI11" s="17" t="str">
        <f aca="false">IF((E11="fa"),H11," ")</f>
        <v> </v>
      </c>
      <c r="AJ11" s="17" t="str">
        <f aca="false">IF((E11="e"),H11," ")</f>
        <v> </v>
      </c>
      <c r="BZ11" s="2" t="s">
        <v>87</v>
      </c>
    </row>
    <row r="12" customFormat="false" ht="12" hidden="false" customHeight="false" outlineLevel="0" collapsed="false">
      <c r="A12" s="28" t="n">
        <v>46390</v>
      </c>
      <c r="B12" s="2" t="s">
        <v>98</v>
      </c>
      <c r="D12" s="2" t="s">
        <v>99</v>
      </c>
      <c r="E12" s="2" t="s">
        <v>100</v>
      </c>
      <c r="F12" s="30" t="n">
        <v>22</v>
      </c>
      <c r="G12" s="6" t="n">
        <f aca="false">IF(F12&lt;&gt;0,F12*G$2/(100+G$2)," ")</f>
        <v>3.66666666666667</v>
      </c>
      <c r="H12" s="6" t="n">
        <f aca="false">IF((F12&lt;&gt;0),F12-G12," ")</f>
        <v>18.3333333333333</v>
      </c>
      <c r="I12" s="5"/>
      <c r="L12" s="7" t="n">
        <f aca="false">IF(F12&lt;&gt;0,F12-K12," ")</f>
        <v>22</v>
      </c>
      <c r="M12" s="8" t="n">
        <f aca="false">IF((F12-K12)&lt;&gt;0,M$1-A12," ")</f>
        <v>-112</v>
      </c>
      <c r="N12" s="5"/>
      <c r="O12" s="17" t="str">
        <f aca="false">IF((E12="s"),H12," ")</f>
        <v> </v>
      </c>
      <c r="P12" s="17" t="str">
        <f aca="false">IF((E12="c"),H12," ")</f>
        <v> </v>
      </c>
      <c r="Q12" s="17" t="str">
        <f aca="false">IF((E12="o"),H12," ")</f>
        <v> </v>
      </c>
      <c r="R12" s="17" t="str">
        <f aca="false">IF((E12="d"),H12," ")</f>
        <v> </v>
      </c>
      <c r="S12" s="17" t="str">
        <f aca="false">IF((E12="w"),H12," ")</f>
        <v> </v>
      </c>
      <c r="T12" s="17" t="str">
        <f aca="false">IF((E12="r"),H12," ")</f>
        <v> </v>
      </c>
      <c r="U12" s="17" t="str">
        <f aca="false">IF((E12="p"),H12," ")</f>
        <v> </v>
      </c>
      <c r="V12" s="17" t="str">
        <f aca="false">IF((E12="t"),H12," ")</f>
        <v> </v>
      </c>
      <c r="W12" s="17" t="str">
        <f aca="false">IF((E12="q"),H12," ")</f>
        <v> </v>
      </c>
      <c r="X12" s="17" t="str">
        <f aca="false">IF((E12="m"),H12," ")</f>
        <v> </v>
      </c>
      <c r="Y12" s="17" t="n">
        <f aca="false">IF((E12="u"),H12," ")</f>
        <v>18.3333333333333</v>
      </c>
      <c r="Z12" s="17" t="str">
        <f aca="false">IF((E12="a"),H12," ")</f>
        <v> </v>
      </c>
      <c r="AA12" s="17" t="str">
        <f aca="false">IF((E12="g"),H12," ")</f>
        <v> </v>
      </c>
      <c r="AB12" s="17" t="str">
        <f aca="false">IF((E12="h"),H12," ")</f>
        <v> </v>
      </c>
      <c r="AC12" s="30" t="str">
        <f aca="false">IF((E12="v"),H12," ")</f>
        <v> </v>
      </c>
      <c r="AD12" s="30" t="str">
        <f aca="false">IF((E12="n"),H12," ")</f>
        <v> </v>
      </c>
      <c r="AE12" s="17" t="str">
        <f aca="false">IF((E12="f"),H12," ")</f>
        <v> </v>
      </c>
      <c r="AF12" s="17" t="str">
        <f aca="false">IF((E12="l"),H12," ")</f>
        <v> </v>
      </c>
      <c r="AG12" s="17" t="str">
        <f aca="false">IF((E12="y"),H12," ")</f>
        <v> </v>
      </c>
      <c r="AH12" s="17" t="str">
        <f aca="false">IF((E12="z"),H12," ")</f>
        <v> </v>
      </c>
      <c r="AI12" s="17" t="str">
        <f aca="false">IF((E12="fa"),H12," ")</f>
        <v> </v>
      </c>
      <c r="AJ12" s="17" t="str">
        <f aca="false">IF((E12="e"),H12," ")</f>
        <v> </v>
      </c>
      <c r="BZ12" s="2" t="s">
        <v>101</v>
      </c>
    </row>
    <row r="13" customFormat="false" ht="12" hidden="false" customHeight="false" outlineLevel="0" collapsed="false">
      <c r="A13" s="28" t="n">
        <v>46392</v>
      </c>
      <c r="B13" s="2" t="s">
        <v>102</v>
      </c>
      <c r="D13" s="2" t="s">
        <v>103</v>
      </c>
      <c r="E13" s="2" t="s">
        <v>100</v>
      </c>
      <c r="F13" s="30" t="n">
        <v>24</v>
      </c>
      <c r="G13" s="6" t="n">
        <f aca="false">IF(F13&lt;&gt;0,F13*G$2/(100+G$2)," ")</f>
        <v>4</v>
      </c>
      <c r="H13" s="6" t="n">
        <f aca="false">IF((F13&lt;&gt;0),F13-G13," ")</f>
        <v>20</v>
      </c>
      <c r="I13" s="5"/>
      <c r="L13" s="7" t="n">
        <f aca="false">IF(F13&lt;&gt;0,F13-K13," ")</f>
        <v>24</v>
      </c>
      <c r="M13" s="8" t="n">
        <f aca="false">IF((F13-K13)&lt;&gt;0,M$1-A13," ")</f>
        <v>-114</v>
      </c>
      <c r="N13" s="5"/>
      <c r="O13" s="17" t="str">
        <f aca="false">IF((E13="s"),H13," ")</f>
        <v> </v>
      </c>
      <c r="P13" s="17" t="str">
        <f aca="false">IF((E13="c"),H13," ")</f>
        <v> </v>
      </c>
      <c r="Q13" s="17" t="str">
        <f aca="false">IF((E13="o"),H13," ")</f>
        <v> </v>
      </c>
      <c r="R13" s="17" t="str">
        <f aca="false">IF((E13="d"),H13," ")</f>
        <v> </v>
      </c>
      <c r="S13" s="17" t="str">
        <f aca="false">IF((E13="w"),H13," ")</f>
        <v> </v>
      </c>
      <c r="T13" s="17" t="str">
        <f aca="false">IF((E13="r"),H13," ")</f>
        <v> </v>
      </c>
      <c r="U13" s="17" t="str">
        <f aca="false">IF((E13="p"),H13," ")</f>
        <v> </v>
      </c>
      <c r="V13" s="17" t="str">
        <f aca="false">IF((E13="t"),H13," ")</f>
        <v> </v>
      </c>
      <c r="W13" s="17" t="str">
        <f aca="false">IF((E13="q"),H13," ")</f>
        <v> </v>
      </c>
      <c r="X13" s="17" t="str">
        <f aca="false">IF((E13="m"),H13," ")</f>
        <v> </v>
      </c>
      <c r="Y13" s="17" t="n">
        <f aca="false">IF((E13="u"),H13," ")</f>
        <v>20</v>
      </c>
      <c r="Z13" s="17" t="str">
        <f aca="false">IF((E13="a"),H13," ")</f>
        <v> </v>
      </c>
      <c r="AA13" s="17" t="str">
        <f aca="false">IF((E13="g"),H13," ")</f>
        <v> </v>
      </c>
      <c r="AB13" s="17" t="str">
        <f aca="false">IF((E13="h"),H13," ")</f>
        <v> </v>
      </c>
      <c r="AC13" s="30" t="str">
        <f aca="false">IF((E13="v"),H13," ")</f>
        <v> </v>
      </c>
      <c r="AD13" s="30" t="str">
        <f aca="false">IF((E13="n"),H13," ")</f>
        <v> </v>
      </c>
      <c r="AE13" s="17" t="str">
        <f aca="false">IF((E13="f"),H13," ")</f>
        <v> </v>
      </c>
      <c r="AF13" s="17" t="str">
        <f aca="false">IF((E13="l"),H13," ")</f>
        <v> </v>
      </c>
      <c r="AG13" s="17" t="str">
        <f aca="false">IF((E13="y"),H13," ")</f>
        <v> </v>
      </c>
      <c r="AH13" s="17" t="str">
        <f aca="false">IF((E13="z"),H13," ")</f>
        <v> </v>
      </c>
      <c r="AI13" s="17" t="str">
        <f aca="false">IF((E13="fa"),H13," ")</f>
        <v> </v>
      </c>
      <c r="AJ13" s="17" t="str">
        <f aca="false">IF((E13="e"),H13," ")</f>
        <v> </v>
      </c>
      <c r="BZ13" s="2" t="s">
        <v>101</v>
      </c>
    </row>
    <row r="14" customFormat="false" ht="12" hidden="false" customHeight="false" outlineLevel="0" collapsed="false">
      <c r="A14" s="28" t="n">
        <v>46392</v>
      </c>
      <c r="B14" s="2" t="s">
        <v>104</v>
      </c>
      <c r="D14" s="2" t="s">
        <v>105</v>
      </c>
      <c r="E14" s="2" t="s">
        <v>106</v>
      </c>
      <c r="F14" s="30" t="n">
        <v>180</v>
      </c>
      <c r="G14" s="6" t="n">
        <f aca="false">IF(F14&lt;&gt;0,F14*G$2/(100+G$2)," ")</f>
        <v>30</v>
      </c>
      <c r="H14" s="6" t="n">
        <f aca="false">IF((F14&lt;&gt;0),F14-G14," ")</f>
        <v>150</v>
      </c>
      <c r="I14" s="5"/>
      <c r="L14" s="7" t="n">
        <f aca="false">IF(F14&lt;&gt;0,F14-K14," ")</f>
        <v>180</v>
      </c>
      <c r="M14" s="8" t="n">
        <f aca="false">IF((F14-K14)&lt;&gt;0,M$1-A14," ")</f>
        <v>-114</v>
      </c>
      <c r="N14" s="5"/>
      <c r="O14" s="17" t="str">
        <f aca="false">IF((E14="s"),H14," ")</f>
        <v> </v>
      </c>
      <c r="P14" s="17" t="str">
        <f aca="false">IF((E14="c"),H14," ")</f>
        <v> </v>
      </c>
      <c r="Q14" s="17" t="str">
        <f aca="false">IF((E14="o"),H14," ")</f>
        <v> </v>
      </c>
      <c r="R14" s="17" t="str">
        <f aca="false">IF((E14="d"),H14," ")</f>
        <v> </v>
      </c>
      <c r="S14" s="17" t="str">
        <f aca="false">IF((E14="w"),H14," ")</f>
        <v> </v>
      </c>
      <c r="T14" s="17" t="str">
        <f aca="false">IF((E14="r"),H14," ")</f>
        <v> </v>
      </c>
      <c r="U14" s="17" t="str">
        <f aca="false">IF((E14="p"),H14," ")</f>
        <v> </v>
      </c>
      <c r="V14" s="17" t="str">
        <f aca="false">IF((E14="t"),H14," ")</f>
        <v> </v>
      </c>
      <c r="W14" s="17" t="str">
        <f aca="false">IF((E14="q"),H14," ")</f>
        <v> </v>
      </c>
      <c r="X14" s="17" t="str">
        <f aca="false">IF((E14="m"),H14," ")</f>
        <v> </v>
      </c>
      <c r="Y14" s="17" t="str">
        <f aca="false">IF((E14="u"),H14," ")</f>
        <v> </v>
      </c>
      <c r="Z14" s="17" t="str">
        <f aca="false">IF((E14="a"),H14," ")</f>
        <v> </v>
      </c>
      <c r="AA14" s="17" t="str">
        <f aca="false">IF((E14="g"),H14," ")</f>
        <v> </v>
      </c>
      <c r="AB14" s="17" t="str">
        <f aca="false">IF((E14="h"),H14," ")</f>
        <v> </v>
      </c>
      <c r="AC14" s="30" t="n">
        <f aca="false">IF((E14="v"),H14," ")</f>
        <v>150</v>
      </c>
      <c r="AD14" s="30" t="str">
        <f aca="false">IF((E14="n"),H14," ")</f>
        <v> </v>
      </c>
      <c r="AE14" s="17" t="str">
        <f aca="false">IF((E14="f"),H14," ")</f>
        <v> </v>
      </c>
      <c r="AF14" s="17" t="str">
        <f aca="false">IF((E14="l"),H14," ")</f>
        <v> </v>
      </c>
      <c r="AG14" s="17" t="str">
        <f aca="false">IF((E14="y"),H14," ")</f>
        <v> </v>
      </c>
      <c r="AH14" s="17" t="str">
        <f aca="false">IF((E14="z"),H14," ")</f>
        <v> </v>
      </c>
      <c r="AI14" s="17" t="str">
        <f aca="false">IF((E14="fa"),H14," ")</f>
        <v> </v>
      </c>
      <c r="AJ14" s="17" t="str">
        <f aca="false">IF((E14="e"),H14," ")</f>
        <v> </v>
      </c>
      <c r="BZ14" s="2" t="s">
        <v>107</v>
      </c>
    </row>
    <row r="15" customFormat="false" ht="12" hidden="false" customHeight="false" outlineLevel="0" collapsed="false">
      <c r="A15" s="28" t="n">
        <v>46392</v>
      </c>
      <c r="B15" s="2" t="s">
        <v>108</v>
      </c>
      <c r="D15" s="2" t="s">
        <v>109</v>
      </c>
      <c r="E15" s="2" t="s">
        <v>86</v>
      </c>
      <c r="F15" s="30" t="n">
        <v>36</v>
      </c>
      <c r="G15" s="6" t="n">
        <f aca="false">IF(F15&lt;&gt;0,F15*G$2/(100+G$2)," ")</f>
        <v>6</v>
      </c>
      <c r="H15" s="6" t="n">
        <f aca="false">IF((F15&lt;&gt;0),F15-G15," ")</f>
        <v>30</v>
      </c>
      <c r="I15" s="5"/>
      <c r="L15" s="7" t="n">
        <f aca="false">IF(F15&lt;&gt;0,F15-K15," ")</f>
        <v>36</v>
      </c>
      <c r="M15" s="8" t="n">
        <f aca="false">IF((F15-K15)&lt;&gt;0,M$1-A15," ")</f>
        <v>-114</v>
      </c>
      <c r="N15" s="5"/>
      <c r="O15" s="17" t="str">
        <f aca="false">IF((E15="s"),H15," ")</f>
        <v> </v>
      </c>
      <c r="P15" s="17" t="str">
        <f aca="false">IF((E15="c"),H15," ")</f>
        <v> </v>
      </c>
      <c r="Q15" s="17" t="n">
        <f aca="false">IF((E15="o"),H15," ")</f>
        <v>30</v>
      </c>
      <c r="R15" s="17" t="str">
        <f aca="false">IF((E15="d"),H15," ")</f>
        <v> </v>
      </c>
      <c r="S15" s="17" t="str">
        <f aca="false">IF((E15="w"),H15," ")</f>
        <v> </v>
      </c>
      <c r="T15" s="17" t="str">
        <f aca="false">IF((E15="r"),H15," ")</f>
        <v> </v>
      </c>
      <c r="U15" s="17" t="str">
        <f aca="false">IF((E15="p"),H15," ")</f>
        <v> </v>
      </c>
      <c r="V15" s="17" t="str">
        <f aca="false">IF((E15="t"),H15," ")</f>
        <v> </v>
      </c>
      <c r="W15" s="17" t="str">
        <f aca="false">IF((E15="q"),H15," ")</f>
        <v> </v>
      </c>
      <c r="X15" s="17" t="str">
        <f aca="false">IF((E15="m"),H15," ")</f>
        <v> </v>
      </c>
      <c r="Y15" s="17" t="str">
        <f aca="false">IF((E15="u"),H15," ")</f>
        <v> </v>
      </c>
      <c r="Z15" s="17" t="str">
        <f aca="false">IF((E15="a"),H15," ")</f>
        <v> </v>
      </c>
      <c r="AA15" s="17" t="str">
        <f aca="false">IF((E15="g"),H15," ")</f>
        <v> </v>
      </c>
      <c r="AB15" s="17" t="str">
        <f aca="false">IF((E15="h"),H15," ")</f>
        <v> </v>
      </c>
      <c r="AC15" s="30" t="str">
        <f aca="false">IF((E15="v"),H15," ")</f>
        <v> </v>
      </c>
      <c r="AD15" s="30" t="str">
        <f aca="false">IF((E15="n"),H15," ")</f>
        <v> </v>
      </c>
      <c r="AE15" s="17" t="str">
        <f aca="false">IF((E15="f"),H15," ")</f>
        <v> </v>
      </c>
      <c r="AF15" s="17" t="str">
        <f aca="false">IF((E15="l"),H15," ")</f>
        <v> </v>
      </c>
      <c r="AG15" s="17" t="str">
        <f aca="false">IF((E15="y"),H15," ")</f>
        <v> </v>
      </c>
      <c r="AH15" s="17" t="str">
        <f aca="false">IF((E15="z"),H15," ")</f>
        <v> </v>
      </c>
      <c r="AI15" s="17" t="str">
        <f aca="false">IF((E15="fa"),H15," ")</f>
        <v> </v>
      </c>
      <c r="AJ15" s="17" t="str">
        <f aca="false">IF((E15="e"),H15," ")</f>
        <v> </v>
      </c>
      <c r="BZ15" s="2" t="s">
        <v>87</v>
      </c>
    </row>
    <row r="16" customFormat="false" ht="12" hidden="false" customHeight="false" outlineLevel="0" collapsed="false">
      <c r="A16" s="28" t="n">
        <v>46395</v>
      </c>
      <c r="B16" s="2" t="s">
        <v>110</v>
      </c>
      <c r="D16" s="2" t="s">
        <v>111</v>
      </c>
      <c r="E16" s="2" t="s">
        <v>112</v>
      </c>
      <c r="F16" s="30" t="n">
        <v>48</v>
      </c>
      <c r="G16" s="6" t="n">
        <f aca="false">IF(F16&lt;&gt;0,F16*G$2/(100+G$2)," ")</f>
        <v>8</v>
      </c>
      <c r="H16" s="6" t="n">
        <f aca="false">IF((F16&lt;&gt;0),F16-G16," ")</f>
        <v>40</v>
      </c>
      <c r="I16" s="5"/>
      <c r="L16" s="7" t="n">
        <f aca="false">IF(F16&lt;&gt;0,F16-K16," ")</f>
        <v>48</v>
      </c>
      <c r="M16" s="8" t="n">
        <f aca="false">IF((F16-K16)&lt;&gt;0,M$1-A16," ")</f>
        <v>-117</v>
      </c>
      <c r="N16" s="5"/>
      <c r="O16" s="17" t="str">
        <f aca="false">IF((E16="s"),H16," ")</f>
        <v> </v>
      </c>
      <c r="P16" s="17" t="str">
        <f aca="false">IF((E16="c"),H16," ")</f>
        <v> </v>
      </c>
      <c r="Q16" s="17" t="str">
        <f aca="false">IF((E16="o"),H16," ")</f>
        <v> </v>
      </c>
      <c r="R16" s="17" t="str">
        <f aca="false">IF((E16="d"),H16," ")</f>
        <v> </v>
      </c>
      <c r="S16" s="17" t="str">
        <f aca="false">IF((E16="w"),H16," ")</f>
        <v> </v>
      </c>
      <c r="T16" s="17" t="str">
        <f aca="false">IF((E16="r"),H16," ")</f>
        <v> </v>
      </c>
      <c r="U16" s="17" t="str">
        <f aca="false">IF((E16="p"),H16," ")</f>
        <v> </v>
      </c>
      <c r="V16" s="17" t="str">
        <f aca="false">IF((E16="t"),H16," ")</f>
        <v> </v>
      </c>
      <c r="W16" s="17" t="str">
        <f aca="false">IF((E16="q"),H16," ")</f>
        <v> </v>
      </c>
      <c r="X16" s="17" t="str">
        <f aca="false">IF((E16="m"),H16," ")</f>
        <v> </v>
      </c>
      <c r="Y16" s="17" t="str">
        <f aca="false">IF((E16="u"),H16," ")</f>
        <v> </v>
      </c>
      <c r="Z16" s="17" t="str">
        <f aca="false">IF((E16="a"),H16," ")</f>
        <v> </v>
      </c>
      <c r="AA16" s="17" t="str">
        <f aca="false">IF((E16="g"),H16," ")</f>
        <v> </v>
      </c>
      <c r="AB16" s="17" t="n">
        <f aca="false">IF((E16="h"),H16," ")</f>
        <v>40</v>
      </c>
      <c r="AC16" s="30" t="str">
        <f aca="false">IF((E16="v"),H16," ")</f>
        <v> </v>
      </c>
      <c r="AD16" s="30" t="str">
        <f aca="false">IF((E16="n"),H16," ")</f>
        <v> </v>
      </c>
      <c r="AE16" s="17" t="str">
        <f aca="false">IF((E16="f"),H16," ")</f>
        <v> </v>
      </c>
      <c r="AF16" s="17" t="str">
        <f aca="false">IF((E16="l"),H16," ")</f>
        <v> </v>
      </c>
      <c r="AG16" s="17" t="str">
        <f aca="false">IF((E16="y"),H16," ")</f>
        <v> </v>
      </c>
      <c r="AH16" s="17" t="str">
        <f aca="false">IF((E16="z"),H16," ")</f>
        <v> </v>
      </c>
      <c r="AI16" s="17" t="str">
        <f aca="false">IF((E16="fa"),H16," ")</f>
        <v> </v>
      </c>
      <c r="AJ16" s="17" t="str">
        <f aca="false">IF((E16="e"),H16," ")</f>
        <v> </v>
      </c>
      <c r="BZ16" s="2" t="s">
        <v>113</v>
      </c>
    </row>
    <row r="17" customFormat="false" ht="12" hidden="false" customHeight="false" outlineLevel="0" collapsed="false">
      <c r="A17" s="28" t="n">
        <v>46397</v>
      </c>
      <c r="B17" s="2" t="s">
        <v>114</v>
      </c>
      <c r="D17" s="2" t="s">
        <v>115</v>
      </c>
      <c r="E17" s="2" t="s">
        <v>100</v>
      </c>
      <c r="F17" s="30" t="n">
        <v>36</v>
      </c>
      <c r="G17" s="6" t="n">
        <f aca="false">IF(F17&lt;&gt;0,F17*G$2/(100+G$2)," ")</f>
        <v>6</v>
      </c>
      <c r="H17" s="6" t="n">
        <f aca="false">IF((F17&lt;&gt;0),F17-G17," ")</f>
        <v>30</v>
      </c>
      <c r="I17" s="5"/>
      <c r="L17" s="7" t="n">
        <f aca="false">IF(F17&lt;&gt;0,F17-K17," ")</f>
        <v>36</v>
      </c>
      <c r="M17" s="8" t="n">
        <f aca="false">IF((F17-K17)&lt;&gt;0,M$1-A17," ")</f>
        <v>-119</v>
      </c>
      <c r="N17" s="5"/>
      <c r="O17" s="17" t="str">
        <f aca="false">IF((E17="s"),H17," ")</f>
        <v> </v>
      </c>
      <c r="P17" s="17" t="str">
        <f aca="false">IF((E17="c"),H17," ")</f>
        <v> </v>
      </c>
      <c r="Q17" s="17" t="str">
        <f aca="false">IF((E17="o"),H17," ")</f>
        <v> </v>
      </c>
      <c r="R17" s="17" t="str">
        <f aca="false">IF((E17="d"),H17," ")</f>
        <v> </v>
      </c>
      <c r="S17" s="17" t="str">
        <f aca="false">IF((E17="w"),H17," ")</f>
        <v> </v>
      </c>
      <c r="T17" s="17" t="str">
        <f aca="false">IF((E17="r"),H17," ")</f>
        <v> </v>
      </c>
      <c r="U17" s="17" t="str">
        <f aca="false">IF((E17="p"),H17," ")</f>
        <v> </v>
      </c>
      <c r="V17" s="17" t="str">
        <f aca="false">IF((E17="t"),H17," ")</f>
        <v> </v>
      </c>
      <c r="W17" s="17" t="str">
        <f aca="false">IF((E17="q"),H17," ")</f>
        <v> </v>
      </c>
      <c r="X17" s="17" t="str">
        <f aca="false">IF((E17="m"),H17," ")</f>
        <v> </v>
      </c>
      <c r="Y17" s="17" t="n">
        <f aca="false">IF((E17="u"),H17," ")</f>
        <v>30</v>
      </c>
      <c r="Z17" s="17" t="str">
        <f aca="false">IF((E17="a"),H17," ")</f>
        <v> </v>
      </c>
      <c r="AA17" s="17" t="str">
        <f aca="false">IF((E17="g"),H17," ")</f>
        <v> </v>
      </c>
      <c r="AB17" s="17" t="str">
        <f aca="false">IF((E17="h"),H17," ")</f>
        <v> </v>
      </c>
      <c r="AC17" s="30" t="str">
        <f aca="false">IF((E17="v"),H17," ")</f>
        <v> </v>
      </c>
      <c r="AD17" s="30" t="str">
        <f aca="false">IF((E17="n"),H17," ")</f>
        <v> </v>
      </c>
      <c r="AE17" s="17" t="str">
        <f aca="false">IF((E17="f"),H17," ")</f>
        <v> </v>
      </c>
      <c r="AF17" s="17" t="str">
        <f aca="false">IF((E17="l"),H17," ")</f>
        <v> </v>
      </c>
      <c r="AG17" s="17" t="str">
        <f aca="false">IF((E17="y"),H17," ")</f>
        <v> </v>
      </c>
      <c r="AH17" s="17" t="str">
        <f aca="false">IF((E17="z"),H17," ")</f>
        <v> </v>
      </c>
      <c r="AI17" s="17" t="str">
        <f aca="false">IF((E17="fa"),H17," ")</f>
        <v> </v>
      </c>
      <c r="AJ17" s="17" t="str">
        <f aca="false">IF((E17="e"),H17," ")</f>
        <v> </v>
      </c>
      <c r="BZ17" s="2" t="s">
        <v>101</v>
      </c>
    </row>
    <row r="18" customFormat="false" ht="12" hidden="false" customHeight="false" outlineLevel="0" collapsed="false">
      <c r="A18" s="28" t="n">
        <v>46397</v>
      </c>
      <c r="B18" s="2" t="s">
        <v>181</v>
      </c>
      <c r="D18" s="2" t="s">
        <v>182</v>
      </c>
      <c r="E18" s="2" t="s">
        <v>80</v>
      </c>
      <c r="F18" s="30" t="n">
        <v>96</v>
      </c>
      <c r="G18" s="6" t="n">
        <f aca="false">IF(F18&lt;&gt;0,F18*G$2/(100+G$2)," ")</f>
        <v>16</v>
      </c>
      <c r="H18" s="6" t="n">
        <f aca="false">IF((F18&lt;&gt;0),F18-G18," ")</f>
        <v>80</v>
      </c>
      <c r="I18" s="5"/>
      <c r="L18" s="7" t="n">
        <f aca="false">IF(F18&lt;&gt;0,F18-K18," ")</f>
        <v>96</v>
      </c>
      <c r="M18" s="8" t="n">
        <f aca="false">IF((F18-K18)&lt;&gt;0,M$1-A18," ")</f>
        <v>-119</v>
      </c>
      <c r="N18" s="5"/>
      <c r="O18" s="17" t="str">
        <f aca="false">IF((E18="s"),H18," ")</f>
        <v> </v>
      </c>
      <c r="P18" s="17" t="str">
        <f aca="false">IF((E18="c"),H18," ")</f>
        <v> </v>
      </c>
      <c r="Q18" s="17" t="str">
        <f aca="false">IF((E18="o"),H18," ")</f>
        <v> </v>
      </c>
      <c r="R18" s="17" t="str">
        <f aca="false">IF((E18="d"),H18," ")</f>
        <v> </v>
      </c>
      <c r="S18" s="17" t="str">
        <f aca="false">IF((E18="w"),H18," ")</f>
        <v> </v>
      </c>
      <c r="T18" s="17" t="str">
        <f aca="false">IF((E18="r"),H18," ")</f>
        <v> </v>
      </c>
      <c r="U18" s="17" t="str">
        <f aca="false">IF((E18="p"),H18," ")</f>
        <v> </v>
      </c>
      <c r="V18" s="17" t="str">
        <f aca="false">IF((E18="t"),H18," ")</f>
        <v> </v>
      </c>
      <c r="W18" s="17" t="str">
        <f aca="false">IF((E18="q"),H18," ")</f>
        <v> </v>
      </c>
      <c r="X18" s="17" t="str">
        <f aca="false">IF((E18="m"),H18," ")</f>
        <v> </v>
      </c>
      <c r="Y18" s="17" t="str">
        <f aca="false">IF((E18="u"),H18," ")</f>
        <v> </v>
      </c>
      <c r="Z18" s="17" t="str">
        <f aca="false">IF((E18="a"),H18," ")</f>
        <v> </v>
      </c>
      <c r="AA18" s="17" t="n">
        <f aca="false">IF((E18="g"),H18," ")</f>
        <v>80</v>
      </c>
      <c r="AB18" s="17" t="str">
        <f aca="false">IF((E18="h"),H18," ")</f>
        <v> </v>
      </c>
      <c r="AC18" s="30" t="str">
        <f aca="false">IF((E18="v"),H18," ")</f>
        <v> </v>
      </c>
      <c r="AD18" s="30" t="str">
        <f aca="false">IF((E18="n"),H18," ")</f>
        <v> </v>
      </c>
      <c r="AE18" s="17" t="str">
        <f aca="false">IF((E18="f"),H18," ")</f>
        <v> </v>
      </c>
      <c r="AF18" s="17" t="str">
        <f aca="false">IF((E18="l"),H18," ")</f>
        <v> </v>
      </c>
      <c r="AG18" s="17" t="str">
        <f aca="false">IF((E18="y"),H18," ")</f>
        <v> </v>
      </c>
      <c r="AH18" s="17" t="str">
        <f aca="false">IF((E18="z"),H18," ")</f>
        <v> </v>
      </c>
      <c r="AI18" s="17" t="str">
        <f aca="false">IF((E18="fa"),H18," ")</f>
        <v> </v>
      </c>
      <c r="AJ18" s="17" t="str">
        <f aca="false">IF((E18="e"),H18," ")</f>
        <v> </v>
      </c>
      <c r="BZ18" s="2" t="s">
        <v>81</v>
      </c>
    </row>
    <row r="19" customFormat="false" ht="12" hidden="false" customHeight="false" outlineLevel="0" collapsed="false">
      <c r="A19" s="28" t="n">
        <v>46399</v>
      </c>
      <c r="B19" s="2" t="s">
        <v>124</v>
      </c>
      <c r="D19" s="2" t="s">
        <v>125</v>
      </c>
      <c r="E19" s="2" t="s">
        <v>106</v>
      </c>
      <c r="F19" s="30" t="n">
        <v>18</v>
      </c>
      <c r="G19" s="6" t="n">
        <f aca="false">IF(F19&lt;&gt;0,F19*G$2/(100+G$2)," ")</f>
        <v>3</v>
      </c>
      <c r="H19" s="6" t="n">
        <f aca="false">IF((F19&lt;&gt;0),F19-G19," ")</f>
        <v>15</v>
      </c>
      <c r="I19" s="5"/>
      <c r="L19" s="7" t="n">
        <f aca="false">IF(F19&lt;&gt;0,F19-K19," ")</f>
        <v>18</v>
      </c>
      <c r="M19" s="8" t="n">
        <f aca="false">IF((F19-K19)&lt;&gt;0,M$1-A19," ")</f>
        <v>-121</v>
      </c>
      <c r="N19" s="5"/>
      <c r="O19" s="17" t="str">
        <f aca="false">IF((E19="s"),H19," ")</f>
        <v> </v>
      </c>
      <c r="P19" s="17" t="str">
        <f aca="false">IF((E19="c"),H19," ")</f>
        <v> </v>
      </c>
      <c r="Q19" s="17" t="str">
        <f aca="false">IF((E19="o"),H19," ")</f>
        <v> </v>
      </c>
      <c r="R19" s="17" t="str">
        <f aca="false">IF((E19="d"),H19," ")</f>
        <v> </v>
      </c>
      <c r="S19" s="17" t="str">
        <f aca="false">IF((E19="w"),H19," ")</f>
        <v> </v>
      </c>
      <c r="T19" s="17" t="str">
        <f aca="false">IF((E19="r"),H19," ")</f>
        <v> </v>
      </c>
      <c r="U19" s="17" t="str">
        <f aca="false">IF((E19="p"),H19," ")</f>
        <v> </v>
      </c>
      <c r="V19" s="17" t="str">
        <f aca="false">IF((E19="t"),H19," ")</f>
        <v> </v>
      </c>
      <c r="W19" s="17" t="str">
        <f aca="false">IF((E19="q"),H19," ")</f>
        <v> </v>
      </c>
      <c r="X19" s="17" t="str">
        <f aca="false">IF((E19="m"),H19," ")</f>
        <v> </v>
      </c>
      <c r="Y19" s="17" t="str">
        <f aca="false">IF((E19="u"),H19," ")</f>
        <v> </v>
      </c>
      <c r="Z19" s="17" t="str">
        <f aca="false">IF((E19="a"),H19," ")</f>
        <v> </v>
      </c>
      <c r="AA19" s="17" t="str">
        <f aca="false">IF((E19="g"),H19," ")</f>
        <v> </v>
      </c>
      <c r="AB19" s="17" t="str">
        <f aca="false">IF((E19="h"),H19," ")</f>
        <v> </v>
      </c>
      <c r="AC19" s="30" t="n">
        <f aca="false">IF((E19="v"),H19," ")</f>
        <v>15</v>
      </c>
      <c r="AD19" s="30" t="str">
        <f aca="false">IF((E19="n"),H19," ")</f>
        <v> </v>
      </c>
      <c r="AE19" s="17" t="str">
        <f aca="false">IF((E19="f"),H19," ")</f>
        <v> </v>
      </c>
      <c r="AF19" s="17" t="str">
        <f aca="false">IF((E19="l"),H19," ")</f>
        <v> </v>
      </c>
      <c r="AG19" s="17" t="str">
        <f aca="false">IF((E19="y"),H19," ")</f>
        <v> </v>
      </c>
      <c r="AH19" s="17" t="str">
        <f aca="false">IF((E19="z"),H19," ")</f>
        <v> </v>
      </c>
      <c r="AI19" s="17" t="str">
        <f aca="false">IF((E19="fa"),H19," ")</f>
        <v> </v>
      </c>
      <c r="AJ19" s="17" t="str">
        <f aca="false">IF((E19="e"),H19," ")</f>
        <v> </v>
      </c>
      <c r="BZ19" s="2" t="s">
        <v>107</v>
      </c>
    </row>
    <row r="20" customFormat="false" ht="12" hidden="false" customHeight="false" outlineLevel="0" collapsed="false">
      <c r="A20" s="28" t="n">
        <v>46401</v>
      </c>
      <c r="B20" s="2" t="s">
        <v>126</v>
      </c>
      <c r="D20" s="2" t="s">
        <v>127</v>
      </c>
      <c r="E20" s="2" t="s">
        <v>100</v>
      </c>
      <c r="F20" s="30" t="n">
        <v>30</v>
      </c>
      <c r="G20" s="6" t="n">
        <f aca="false">IF(F20&lt;&gt;0,F20*G$2/(100+G$2)," ")</f>
        <v>5</v>
      </c>
      <c r="H20" s="6" t="n">
        <f aca="false">IF((F20&lt;&gt;0),F20-G20," ")</f>
        <v>25</v>
      </c>
      <c r="I20" s="5"/>
      <c r="L20" s="7" t="n">
        <f aca="false">IF(F20&lt;&gt;0,F20-K20," ")</f>
        <v>30</v>
      </c>
      <c r="M20" s="8" t="n">
        <f aca="false">IF((F20-K20)&lt;&gt;0,M$1-A20," ")</f>
        <v>-123</v>
      </c>
      <c r="N20" s="5"/>
      <c r="O20" s="17" t="str">
        <f aca="false">IF((E20="s"),H20," ")</f>
        <v> </v>
      </c>
      <c r="P20" s="17" t="str">
        <f aca="false">IF((E20="c"),H20," ")</f>
        <v> </v>
      </c>
      <c r="Q20" s="17" t="str">
        <f aca="false">IF((E20="o"),H20," ")</f>
        <v> </v>
      </c>
      <c r="R20" s="17" t="str">
        <f aca="false">IF((E20="d"),H20," ")</f>
        <v> </v>
      </c>
      <c r="S20" s="17" t="str">
        <f aca="false">IF((E20="w"),H20," ")</f>
        <v> </v>
      </c>
      <c r="T20" s="17" t="str">
        <f aca="false">IF((E20="r"),H20," ")</f>
        <v> </v>
      </c>
      <c r="U20" s="17" t="str">
        <f aca="false">IF((E20="p"),H20," ")</f>
        <v> </v>
      </c>
      <c r="V20" s="17" t="str">
        <f aca="false">IF((E20="t"),H20," ")</f>
        <v> </v>
      </c>
      <c r="W20" s="17" t="str">
        <f aca="false">IF((E20="q"),H20," ")</f>
        <v> </v>
      </c>
      <c r="X20" s="17" t="str">
        <f aca="false">IF((E20="m"),H20," ")</f>
        <v> </v>
      </c>
      <c r="Y20" s="17" t="n">
        <f aca="false">IF((E20="u"),H20," ")</f>
        <v>25</v>
      </c>
      <c r="Z20" s="17" t="str">
        <f aca="false">IF((E20="a"),H20," ")</f>
        <v> </v>
      </c>
      <c r="AA20" s="17" t="str">
        <f aca="false">IF((E20="g"),H20," ")</f>
        <v> </v>
      </c>
      <c r="AB20" s="17" t="str">
        <f aca="false">IF((E20="h"),H20," ")</f>
        <v> </v>
      </c>
      <c r="AC20" s="30" t="str">
        <f aca="false">IF((E20="v"),H20," ")</f>
        <v> </v>
      </c>
      <c r="AD20" s="30" t="str">
        <f aca="false">IF((E20="n"),H20," ")</f>
        <v> </v>
      </c>
      <c r="AE20" s="17" t="str">
        <f aca="false">IF((E20="f"),H20," ")</f>
        <v> </v>
      </c>
      <c r="AF20" s="17" t="str">
        <f aca="false">IF((E20="l"),H20," ")</f>
        <v> </v>
      </c>
      <c r="AG20" s="17" t="str">
        <f aca="false">IF((E20="y"),H20," ")</f>
        <v> </v>
      </c>
      <c r="AH20" s="17" t="str">
        <f aca="false">IF((E20="z"),H20," ")</f>
        <v> </v>
      </c>
      <c r="AI20" s="17" t="str">
        <f aca="false">IF((E20="fa"),H20," ")</f>
        <v> </v>
      </c>
      <c r="AJ20" s="17" t="str">
        <f aca="false">IF((E20="e"),H20," ")</f>
        <v> </v>
      </c>
      <c r="BZ20" s="2" t="s">
        <v>101</v>
      </c>
    </row>
    <row r="21" customFormat="false" ht="12" hidden="false" customHeight="false" outlineLevel="0" collapsed="false">
      <c r="A21" s="28" t="n">
        <v>46401</v>
      </c>
      <c r="B21" s="2" t="s">
        <v>128</v>
      </c>
      <c r="D21" s="2" t="s">
        <v>129</v>
      </c>
      <c r="E21" s="2" t="s">
        <v>112</v>
      </c>
      <c r="F21" s="30" t="n">
        <v>24</v>
      </c>
      <c r="G21" s="6" t="n">
        <f aca="false">IF(F21&lt;&gt;0,F21*G$2/(100+G$2)," ")</f>
        <v>4</v>
      </c>
      <c r="H21" s="6" t="n">
        <f aca="false">IF((F21&lt;&gt;0),F21-G21," ")</f>
        <v>20</v>
      </c>
      <c r="I21" s="5"/>
      <c r="L21" s="7" t="n">
        <f aca="false">IF(F21&lt;&gt;0,F21-K21," ")</f>
        <v>24</v>
      </c>
      <c r="M21" s="8" t="n">
        <f aca="false">IF((F21-K21)&lt;&gt;0,M$1-A21," ")</f>
        <v>-123</v>
      </c>
      <c r="N21" s="5"/>
      <c r="O21" s="17" t="str">
        <f aca="false">IF((E21="s"),H21," ")</f>
        <v> </v>
      </c>
      <c r="P21" s="17" t="str">
        <f aca="false">IF((E21="c"),H21," ")</f>
        <v> </v>
      </c>
      <c r="Q21" s="17" t="str">
        <f aca="false">IF((E21="o"),H21," ")</f>
        <v> </v>
      </c>
      <c r="R21" s="17" t="str">
        <f aca="false">IF((E21="d"),H21," ")</f>
        <v> </v>
      </c>
      <c r="S21" s="17" t="str">
        <f aca="false">IF((E21="w"),H21," ")</f>
        <v> </v>
      </c>
      <c r="T21" s="17" t="str">
        <f aca="false">IF((E21="r"),H21," ")</f>
        <v> </v>
      </c>
      <c r="U21" s="17" t="str">
        <f aca="false">IF((E21="p"),H21," ")</f>
        <v> </v>
      </c>
      <c r="V21" s="17" t="str">
        <f aca="false">IF((E21="t"),H21," ")</f>
        <v> </v>
      </c>
      <c r="W21" s="17" t="str">
        <f aca="false">IF((E21="q"),H21," ")</f>
        <v> </v>
      </c>
      <c r="X21" s="17" t="str">
        <f aca="false">IF((E21="m"),H21," ")</f>
        <v> </v>
      </c>
      <c r="Y21" s="17" t="str">
        <f aca="false">IF((E21="u"),H21," ")</f>
        <v> </v>
      </c>
      <c r="Z21" s="17" t="str">
        <f aca="false">IF((E21="a"),H21," ")</f>
        <v> </v>
      </c>
      <c r="AA21" s="17" t="str">
        <f aca="false">IF((E21="g"),H21," ")</f>
        <v> </v>
      </c>
      <c r="AB21" s="17" t="n">
        <f aca="false">IF((E21="h"),H21," ")</f>
        <v>20</v>
      </c>
      <c r="AC21" s="30" t="str">
        <f aca="false">IF((E21="v"),H21," ")</f>
        <v> </v>
      </c>
      <c r="AD21" s="30" t="str">
        <f aca="false">IF((E21="n"),H21," ")</f>
        <v> </v>
      </c>
      <c r="AE21" s="17" t="str">
        <f aca="false">IF((E21="f"),H21," ")</f>
        <v> </v>
      </c>
      <c r="AF21" s="17" t="str">
        <f aca="false">IF((E21="l"),H21," ")</f>
        <v> </v>
      </c>
      <c r="AG21" s="17" t="str">
        <f aca="false">IF((E21="y"),H21," ")</f>
        <v> </v>
      </c>
      <c r="AH21" s="17" t="str">
        <f aca="false">IF((E21="z"),H21," ")</f>
        <v> </v>
      </c>
      <c r="AI21" s="17" t="str">
        <f aca="false">IF((E21="fa"),H21," ")</f>
        <v> </v>
      </c>
      <c r="AJ21" s="17" t="str">
        <f aca="false">IF((E21="e"),H21," ")</f>
        <v> </v>
      </c>
      <c r="BZ21" s="2" t="s">
        <v>113</v>
      </c>
    </row>
    <row r="22" customFormat="false" ht="12" hidden="false" customHeight="false" outlineLevel="0" collapsed="false">
      <c r="A22" s="28" t="n">
        <v>46401</v>
      </c>
      <c r="B22" s="2" t="s">
        <v>130</v>
      </c>
      <c r="D22" s="2" t="s">
        <v>131</v>
      </c>
      <c r="E22" s="2" t="s">
        <v>112</v>
      </c>
      <c r="F22" s="30" t="n">
        <v>12</v>
      </c>
      <c r="G22" s="6" t="n">
        <f aca="false">IF(F22&lt;&gt;0,F22*G$2/(100+G$2)," ")</f>
        <v>2</v>
      </c>
      <c r="H22" s="6" t="n">
        <f aca="false">IF((F22&lt;&gt;0),F22-G22," ")</f>
        <v>10</v>
      </c>
      <c r="I22" s="5"/>
      <c r="L22" s="7" t="n">
        <f aca="false">IF(F22&lt;&gt;0,F22-K22," ")</f>
        <v>12</v>
      </c>
      <c r="M22" s="8" t="n">
        <f aca="false">IF((F22-K22)&lt;&gt;0,M$1-A22," ")</f>
        <v>-123</v>
      </c>
      <c r="N22" s="5"/>
      <c r="O22" s="17" t="str">
        <f aca="false">IF((E22="s"),H22," ")</f>
        <v> </v>
      </c>
      <c r="P22" s="17" t="str">
        <f aca="false">IF((E22="c"),H22," ")</f>
        <v> </v>
      </c>
      <c r="Q22" s="17" t="str">
        <f aca="false">IF((E22="o"),H22," ")</f>
        <v> </v>
      </c>
      <c r="R22" s="17" t="str">
        <f aca="false">IF((E22="d"),H22," ")</f>
        <v> </v>
      </c>
      <c r="S22" s="17" t="str">
        <f aca="false">IF((E22="w"),H22," ")</f>
        <v> </v>
      </c>
      <c r="T22" s="17" t="str">
        <f aca="false">IF((E22="r"),H22," ")</f>
        <v> </v>
      </c>
      <c r="U22" s="17" t="str">
        <f aca="false">IF((E22="p"),H22," ")</f>
        <v> </v>
      </c>
      <c r="V22" s="17" t="str">
        <f aca="false">IF((E22="t"),H22," ")</f>
        <v> </v>
      </c>
      <c r="W22" s="17" t="str">
        <f aca="false">IF((E22="q"),H22," ")</f>
        <v> </v>
      </c>
      <c r="X22" s="17" t="str">
        <f aca="false">IF((E22="m"),H22," ")</f>
        <v> </v>
      </c>
      <c r="Y22" s="17" t="str">
        <f aca="false">IF((E22="u"),H22," ")</f>
        <v> </v>
      </c>
      <c r="Z22" s="17" t="str">
        <f aca="false">IF((E22="a"),H22," ")</f>
        <v> </v>
      </c>
      <c r="AA22" s="17" t="str">
        <f aca="false">IF((E22="g"),H22," ")</f>
        <v> </v>
      </c>
      <c r="AB22" s="17" t="n">
        <f aca="false">IF((E22="h"),H22," ")</f>
        <v>10</v>
      </c>
      <c r="AC22" s="30" t="str">
        <f aca="false">IF((E22="v"),H22," ")</f>
        <v> </v>
      </c>
      <c r="AD22" s="30" t="str">
        <f aca="false">IF((E22="n"),H22," ")</f>
        <v> </v>
      </c>
      <c r="AE22" s="17" t="str">
        <f aca="false">IF((E22="f"),H22," ")</f>
        <v> </v>
      </c>
      <c r="AF22" s="17" t="str">
        <f aca="false">IF((E22="l"),H22," ")</f>
        <v> </v>
      </c>
      <c r="AG22" s="17" t="str">
        <f aca="false">IF((E22="y"),H22," ")</f>
        <v> </v>
      </c>
      <c r="AH22" s="17" t="str">
        <f aca="false">IF((E22="z"),H22," ")</f>
        <v> </v>
      </c>
      <c r="AI22" s="17" t="str">
        <f aca="false">IF((E22="fa"),H22," ")</f>
        <v> </v>
      </c>
      <c r="AJ22" s="17" t="str">
        <f aca="false">IF((E22="e"),H22," ")</f>
        <v> </v>
      </c>
      <c r="BZ22" s="2" t="s">
        <v>113</v>
      </c>
    </row>
    <row r="23" customFormat="false" ht="12" hidden="false" customHeight="false" outlineLevel="0" collapsed="false">
      <c r="A23" s="28" t="n">
        <v>46402</v>
      </c>
      <c r="B23" s="2" t="s">
        <v>20</v>
      </c>
      <c r="D23" s="2" t="s">
        <v>105</v>
      </c>
      <c r="E23" s="2" t="s">
        <v>106</v>
      </c>
      <c r="F23" s="30" t="n">
        <v>150</v>
      </c>
      <c r="G23" s="6" t="n">
        <f aca="false">IF(F23&lt;&gt;0,F23*G$2/(100+G$2)," ")</f>
        <v>25</v>
      </c>
      <c r="H23" s="6" t="n">
        <f aca="false">IF((F23&lt;&gt;0),F23-G23," ")</f>
        <v>125</v>
      </c>
      <c r="I23" s="5"/>
      <c r="L23" s="7" t="n">
        <f aca="false">IF(F23&lt;&gt;0,F23-K23," ")</f>
        <v>150</v>
      </c>
      <c r="M23" s="8" t="n">
        <f aca="false">IF((F23-K23)&lt;&gt;0,M$1-A23," ")</f>
        <v>-124</v>
      </c>
      <c r="N23" s="5"/>
      <c r="O23" s="17" t="str">
        <f aca="false">IF((E23="s"),H23," ")</f>
        <v> </v>
      </c>
      <c r="P23" s="17" t="str">
        <f aca="false">IF((E23="c"),H23," ")</f>
        <v> </v>
      </c>
      <c r="Q23" s="17" t="str">
        <f aca="false">IF((E23="o"),H23," ")</f>
        <v> </v>
      </c>
      <c r="R23" s="17" t="str">
        <f aca="false">IF((E23="d"),H23," ")</f>
        <v> </v>
      </c>
      <c r="S23" s="17" t="str">
        <f aca="false">IF((E23="w"),H23," ")</f>
        <v> </v>
      </c>
      <c r="T23" s="17" t="str">
        <f aca="false">IF((E23="r"),H23," ")</f>
        <v> </v>
      </c>
      <c r="U23" s="17" t="str">
        <f aca="false">IF((E23="p"),H23," ")</f>
        <v> </v>
      </c>
      <c r="V23" s="17" t="str">
        <f aca="false">IF((E23="t"),H23," ")</f>
        <v> </v>
      </c>
      <c r="W23" s="17" t="str">
        <f aca="false">IF((E23="q"),H23," ")</f>
        <v> </v>
      </c>
      <c r="X23" s="17" t="str">
        <f aca="false">IF((E23="m"),H23," ")</f>
        <v> </v>
      </c>
      <c r="Y23" s="17" t="str">
        <f aca="false">IF((E23="u"),H23," ")</f>
        <v> </v>
      </c>
      <c r="Z23" s="17" t="str">
        <f aca="false">IF((E23="a"),H23," ")</f>
        <v> </v>
      </c>
      <c r="AA23" s="17" t="str">
        <f aca="false">IF((E23="g"),H23," ")</f>
        <v> </v>
      </c>
      <c r="AB23" s="17" t="str">
        <f aca="false">IF((E23="h"),H23," ")</f>
        <v> </v>
      </c>
      <c r="AC23" s="30" t="n">
        <f aca="false">IF((E23="v"),H23," ")</f>
        <v>125</v>
      </c>
      <c r="AD23" s="30" t="str">
        <f aca="false">IF((E23="n"),H23," ")</f>
        <v> </v>
      </c>
      <c r="AE23" s="17" t="str">
        <f aca="false">IF((E23="f"),H23," ")</f>
        <v> </v>
      </c>
      <c r="AF23" s="17" t="str">
        <f aca="false">IF((E23="l"),H23," ")</f>
        <v> </v>
      </c>
      <c r="AG23" s="17" t="str">
        <f aca="false">IF((E23="y"),H23," ")</f>
        <v> </v>
      </c>
      <c r="AH23" s="17" t="str">
        <f aca="false">IF((E23="z"),H23," ")</f>
        <v> </v>
      </c>
      <c r="AI23" s="17" t="str">
        <f aca="false">IF((E23="fa"),H23," ")</f>
        <v> </v>
      </c>
      <c r="AJ23" s="17" t="str">
        <f aca="false">IF((E23="e"),H23," ")</f>
        <v> </v>
      </c>
      <c r="BZ23" s="2" t="s">
        <v>107</v>
      </c>
    </row>
    <row r="24" customFormat="false" ht="12" hidden="false" customHeight="false" outlineLevel="0" collapsed="false">
      <c r="A24" s="28" t="n">
        <v>46402</v>
      </c>
      <c r="B24" s="2" t="s">
        <v>132</v>
      </c>
      <c r="D24" s="2" t="s">
        <v>133</v>
      </c>
      <c r="E24" s="2" t="s">
        <v>80</v>
      </c>
      <c r="F24" s="30" t="n">
        <v>12</v>
      </c>
      <c r="G24" s="6" t="n">
        <f aca="false">IF(F24&lt;&gt;0,F24*G$2/(100+G$2)," ")</f>
        <v>2</v>
      </c>
      <c r="H24" s="6" t="n">
        <f aca="false">IF((F24&lt;&gt;0),F24-G24," ")</f>
        <v>10</v>
      </c>
      <c r="I24" s="5"/>
      <c r="L24" s="7" t="n">
        <f aca="false">IF(F24&lt;&gt;0,F24-K24," ")</f>
        <v>12</v>
      </c>
      <c r="M24" s="8" t="n">
        <f aca="false">IF((F24-K24)&lt;&gt;0,M$1-A24," ")</f>
        <v>-124</v>
      </c>
      <c r="N24" s="5"/>
      <c r="O24" s="17" t="str">
        <f aca="false">IF((E24="s"),H24," ")</f>
        <v> </v>
      </c>
      <c r="P24" s="17" t="str">
        <f aca="false">IF((E24="c"),H24," ")</f>
        <v> </v>
      </c>
      <c r="Q24" s="17" t="str">
        <f aca="false">IF((E24="o"),H24," ")</f>
        <v> </v>
      </c>
      <c r="R24" s="17" t="str">
        <f aca="false">IF((E24="d"),H24," ")</f>
        <v> </v>
      </c>
      <c r="S24" s="17" t="str">
        <f aca="false">IF((E24="w"),H24," ")</f>
        <v> </v>
      </c>
      <c r="T24" s="17" t="str">
        <f aca="false">IF((E24="r"),H24," ")</f>
        <v> </v>
      </c>
      <c r="U24" s="17" t="str">
        <f aca="false">IF((E24="p"),H24," ")</f>
        <v> </v>
      </c>
      <c r="V24" s="17" t="str">
        <f aca="false">IF((E24="t"),H24," ")</f>
        <v> </v>
      </c>
      <c r="W24" s="17" t="str">
        <f aca="false">IF((E24="q"),H24," ")</f>
        <v> </v>
      </c>
      <c r="X24" s="17" t="str">
        <f aca="false">IF((E24="m"),H24," ")</f>
        <v> </v>
      </c>
      <c r="Y24" s="17" t="str">
        <f aca="false">IF((E24="u"),H24," ")</f>
        <v> </v>
      </c>
      <c r="Z24" s="17" t="str">
        <f aca="false">IF((E24="a"),H24," ")</f>
        <v> </v>
      </c>
      <c r="AA24" s="17" t="n">
        <f aca="false">IF((E24="g"),H24," ")</f>
        <v>10</v>
      </c>
      <c r="AB24" s="17" t="str">
        <f aca="false">IF((E24="h"),H24," ")</f>
        <v> </v>
      </c>
      <c r="AC24" s="30" t="str">
        <f aca="false">IF((E24="v"),H24," ")</f>
        <v> </v>
      </c>
      <c r="AD24" s="30" t="str">
        <f aca="false">IF((E24="n"),H24," ")</f>
        <v> </v>
      </c>
      <c r="AE24" s="17" t="str">
        <f aca="false">IF((E24="f"),H24," ")</f>
        <v> </v>
      </c>
      <c r="AF24" s="17" t="str">
        <f aca="false">IF((E24="l"),H24," ")</f>
        <v> </v>
      </c>
      <c r="AG24" s="17" t="str">
        <f aca="false">IF((E24="y"),H24," ")</f>
        <v> </v>
      </c>
      <c r="AH24" s="17" t="str">
        <f aca="false">IF((E24="z"),H24," ")</f>
        <v> </v>
      </c>
      <c r="AI24" s="17" t="str">
        <f aca="false">IF((E24="fa"),H24," ")</f>
        <v> </v>
      </c>
      <c r="AJ24" s="17" t="str">
        <f aca="false">IF((E24="e"),H24," ")</f>
        <v> </v>
      </c>
      <c r="BZ24" s="2" t="s">
        <v>81</v>
      </c>
    </row>
    <row r="25" customFormat="false" ht="12" hidden="false" customHeight="false" outlineLevel="0" collapsed="false">
      <c r="A25" s="28" t="n">
        <v>46402</v>
      </c>
      <c r="B25" s="2" t="s">
        <v>183</v>
      </c>
      <c r="C25" s="3" t="s">
        <v>184</v>
      </c>
      <c r="D25" s="2" t="s">
        <v>185</v>
      </c>
      <c r="E25" s="2" t="s">
        <v>186</v>
      </c>
      <c r="F25" s="30" t="n">
        <v>5000</v>
      </c>
      <c r="G25" s="6" t="n">
        <f aca="false">IF(F25&lt;&gt;0,F25*G$2/(100+G$2)," ")</f>
        <v>833.333333333333</v>
      </c>
      <c r="H25" s="6" t="n">
        <f aca="false">IF((F25&lt;&gt;0),F25-G25," ")</f>
        <v>4166.66666666667</v>
      </c>
      <c r="I25" s="5"/>
      <c r="L25" s="7" t="n">
        <f aca="false">IF(F25&lt;&gt;0,F25-K25," ")</f>
        <v>5000</v>
      </c>
      <c r="M25" s="8" t="n">
        <f aca="false">IF((F25-K25)&lt;&gt;0,M$1-A25," ")</f>
        <v>-124</v>
      </c>
      <c r="N25" s="5"/>
      <c r="O25" s="17" t="str">
        <f aca="false">IF((E25="s"),H25," ")</f>
        <v> </v>
      </c>
      <c r="P25" s="17" t="n">
        <f aca="false">IF((E25="c"),H25," ")</f>
        <v>4166.66666666667</v>
      </c>
      <c r="Q25" s="17" t="str">
        <f aca="false">IF((E25="o"),H25," ")</f>
        <v> </v>
      </c>
      <c r="R25" s="17" t="str">
        <f aca="false">IF((E25="d"),H25," ")</f>
        <v> </v>
      </c>
      <c r="S25" s="17" t="str">
        <f aca="false">IF((E25="w"),H25," ")</f>
        <v> </v>
      </c>
      <c r="T25" s="17" t="str">
        <f aca="false">IF((E25="r"),H25," ")</f>
        <v> </v>
      </c>
      <c r="U25" s="17" t="str">
        <f aca="false">IF((E25="p"),H25," ")</f>
        <v> </v>
      </c>
      <c r="V25" s="17" t="str">
        <f aca="false">IF((E25="t"),H25," ")</f>
        <v> </v>
      </c>
      <c r="W25" s="17" t="str">
        <f aca="false">IF((E25="q"),H25," ")</f>
        <v> </v>
      </c>
      <c r="X25" s="17" t="str">
        <f aca="false">IF((E25="m"),H25," ")</f>
        <v> </v>
      </c>
      <c r="Y25" s="17" t="str">
        <f aca="false">IF((E25="u"),H25," ")</f>
        <v> </v>
      </c>
      <c r="Z25" s="17" t="str">
        <f aca="false">IF((E25="a"),H25," ")</f>
        <v> </v>
      </c>
      <c r="AA25" s="17" t="str">
        <f aca="false">IF((E25="g"),H25," ")</f>
        <v> </v>
      </c>
      <c r="AB25" s="17" t="str">
        <f aca="false">IF((E25="h"),H25," ")</f>
        <v> </v>
      </c>
      <c r="AC25" s="30" t="str">
        <f aca="false">IF((E25="v"),H25," ")</f>
        <v> </v>
      </c>
      <c r="AD25" s="30" t="str">
        <f aca="false">IF((E25="n"),H25," ")</f>
        <v> </v>
      </c>
      <c r="AE25" s="17" t="str">
        <f aca="false">IF((E25="f"),H25," ")</f>
        <v> </v>
      </c>
      <c r="AF25" s="17" t="str">
        <f aca="false">IF((E25="l"),H25," ")</f>
        <v> </v>
      </c>
      <c r="AG25" s="17" t="str">
        <f aca="false">IF((E25="y"),H25," ")</f>
        <v> </v>
      </c>
      <c r="AH25" s="17" t="str">
        <f aca="false">IF((E25="z"),H25," ")</f>
        <v> </v>
      </c>
      <c r="AI25" s="17" t="str">
        <f aca="false">IF((E25="fa"),H25," ")</f>
        <v> </v>
      </c>
      <c r="AJ25" s="17" t="str">
        <f aca="false">IF((E25="e"),H25," ")</f>
        <v> </v>
      </c>
      <c r="AK25" s="17" t="n">
        <v>1000</v>
      </c>
      <c r="BZ25" s="2" t="s">
        <v>187</v>
      </c>
    </row>
    <row r="26" customFormat="false" ht="12" hidden="false" customHeight="false" outlineLevel="0" collapsed="false">
      <c r="A26" s="28" t="n">
        <v>46405</v>
      </c>
      <c r="B26" s="2" t="s">
        <v>188</v>
      </c>
      <c r="D26" s="2" t="s">
        <v>189</v>
      </c>
      <c r="E26" s="2" t="s">
        <v>112</v>
      </c>
      <c r="F26" s="30" t="n">
        <v>180</v>
      </c>
      <c r="G26" s="6" t="n">
        <f aca="false">IF(F26&lt;&gt;0,F26*G$2/(100+G$2)," ")</f>
        <v>30</v>
      </c>
      <c r="H26" s="6" t="n">
        <f aca="false">IF((F26&lt;&gt;0),F26-G26," ")</f>
        <v>150</v>
      </c>
      <c r="I26" s="5"/>
      <c r="L26" s="7" t="n">
        <f aca="false">IF(F26&lt;&gt;0,F26-K26," ")</f>
        <v>180</v>
      </c>
      <c r="M26" s="8" t="n">
        <f aca="false">IF((F26-K26)&lt;&gt;0,M$1-A26," ")</f>
        <v>-127</v>
      </c>
      <c r="N26" s="5"/>
      <c r="O26" s="17" t="str">
        <f aca="false">IF((E26="s"),H26," ")</f>
        <v> </v>
      </c>
      <c r="P26" s="17" t="str">
        <f aca="false">IF((E26="c"),H26," ")</f>
        <v> </v>
      </c>
      <c r="Q26" s="17" t="str">
        <f aca="false">IF((E26="o"),H26," ")</f>
        <v> </v>
      </c>
      <c r="R26" s="17" t="str">
        <f aca="false">IF((E26="d"),H26," ")</f>
        <v> </v>
      </c>
      <c r="S26" s="17" t="str">
        <f aca="false">IF((E26="w"),H26," ")</f>
        <v> </v>
      </c>
      <c r="T26" s="17" t="str">
        <f aca="false">IF((E26="r"),H26," ")</f>
        <v> </v>
      </c>
      <c r="U26" s="17" t="str">
        <f aca="false">IF((E26="p"),H26," ")</f>
        <v> </v>
      </c>
      <c r="V26" s="17" t="str">
        <f aca="false">IF((E26="t"),H26," ")</f>
        <v> </v>
      </c>
      <c r="W26" s="17" t="str">
        <f aca="false">IF((E26="q"),H26," ")</f>
        <v> </v>
      </c>
      <c r="X26" s="17" t="str">
        <f aca="false">IF((E26="m"),H26," ")</f>
        <v> </v>
      </c>
      <c r="Y26" s="17" t="str">
        <f aca="false">IF((E26="u"),H26," ")</f>
        <v> </v>
      </c>
      <c r="Z26" s="17" t="str">
        <f aca="false">IF((E26="a"),H26," ")</f>
        <v> </v>
      </c>
      <c r="AA26" s="17" t="str">
        <f aca="false">IF((E26="g"),H26," ")</f>
        <v> </v>
      </c>
      <c r="AB26" s="17" t="n">
        <f aca="false">IF((E26="h"),H26," ")</f>
        <v>150</v>
      </c>
      <c r="AC26" s="30" t="str">
        <f aca="false">IF((E26="v"),H26," ")</f>
        <v> </v>
      </c>
      <c r="AD26" s="30" t="str">
        <f aca="false">IF((E26="n"),H26," ")</f>
        <v> </v>
      </c>
      <c r="AE26" s="17" t="str">
        <f aca="false">IF((E26="f"),H26," ")</f>
        <v> </v>
      </c>
      <c r="AF26" s="17" t="str">
        <f aca="false">IF((E26="l"),H26," ")</f>
        <v> </v>
      </c>
      <c r="AG26" s="17" t="str">
        <f aca="false">IF((E26="y"),H26," ")</f>
        <v> </v>
      </c>
      <c r="AH26" s="17" t="str">
        <f aca="false">IF((E26="z"),H26," ")</f>
        <v> </v>
      </c>
      <c r="AI26" s="17" t="str">
        <f aca="false">IF((E26="fa"),H26," ")</f>
        <v> </v>
      </c>
      <c r="AJ26" s="17" t="str">
        <f aca="false">IF((E26="e"),H26," ")</f>
        <v> </v>
      </c>
      <c r="BZ26" s="2" t="s">
        <v>113</v>
      </c>
    </row>
    <row r="27" customFormat="false" ht="12" hidden="false" customHeight="false" outlineLevel="0" collapsed="false">
      <c r="A27" s="28" t="n">
        <v>46405</v>
      </c>
      <c r="B27" s="2" t="s">
        <v>190</v>
      </c>
      <c r="D27" s="2" t="s">
        <v>191</v>
      </c>
      <c r="E27" s="2" t="s">
        <v>122</v>
      </c>
      <c r="F27" s="30" t="n">
        <v>360</v>
      </c>
      <c r="G27" s="6" t="n">
        <f aca="false">IF(F27&lt;&gt;0,F27*G$2/(100+G$2)," ")</f>
        <v>60</v>
      </c>
      <c r="H27" s="6" t="n">
        <f aca="false">IF((F27&lt;&gt;0),F27-G27," ")</f>
        <v>300</v>
      </c>
      <c r="I27" s="5"/>
      <c r="L27" s="7" t="n">
        <f aca="false">IF(F27&lt;&gt;0,F27-K27," ")</f>
        <v>360</v>
      </c>
      <c r="M27" s="8" t="n">
        <f aca="false">IF((F27-K27)&lt;&gt;0,M$1-A27," ")</f>
        <v>-127</v>
      </c>
      <c r="N27" s="5"/>
      <c r="O27" s="17" t="n">
        <f aca="false">IF((E27="s"),H27," ")</f>
        <v>300</v>
      </c>
      <c r="P27" s="17" t="str">
        <f aca="false">IF((E27="c"),H27," ")</f>
        <v> </v>
      </c>
      <c r="Q27" s="17" t="str">
        <f aca="false">IF((E27="o"),H27," ")</f>
        <v> </v>
      </c>
      <c r="R27" s="17" t="str">
        <f aca="false">IF((E27="d"),H27," ")</f>
        <v> </v>
      </c>
      <c r="S27" s="17" t="str">
        <f aca="false">IF((E27="w"),H27," ")</f>
        <v> </v>
      </c>
      <c r="T27" s="17" t="str">
        <f aca="false">IF((E27="r"),H27," ")</f>
        <v> </v>
      </c>
      <c r="U27" s="17" t="str">
        <f aca="false">IF((E27="p"),H27," ")</f>
        <v> </v>
      </c>
      <c r="V27" s="17" t="str">
        <f aca="false">IF((E27="t"),H27," ")</f>
        <v> </v>
      </c>
      <c r="W27" s="17" t="str">
        <f aca="false">IF((E27="q"),H27," ")</f>
        <v> </v>
      </c>
      <c r="X27" s="17" t="str">
        <f aca="false">IF((E27="m"),H27," ")</f>
        <v> </v>
      </c>
      <c r="Y27" s="17" t="str">
        <f aca="false">IF((E27="u"),H27," ")</f>
        <v> </v>
      </c>
      <c r="Z27" s="17" t="str">
        <f aca="false">IF((E27="a"),H27," ")</f>
        <v> </v>
      </c>
      <c r="AA27" s="17" t="str">
        <f aca="false">IF((E27="g"),H27," ")</f>
        <v> </v>
      </c>
      <c r="AB27" s="17" t="str">
        <f aca="false">IF((E27="h"),H27," ")</f>
        <v> </v>
      </c>
      <c r="AC27" s="30" t="str">
        <f aca="false">IF((E27="v"),H27," ")</f>
        <v> </v>
      </c>
      <c r="AD27" s="30" t="str">
        <f aca="false">IF((E27="n"),H27," ")</f>
        <v> </v>
      </c>
      <c r="AE27" s="17" t="str">
        <f aca="false">IF((E27="f"),H27," ")</f>
        <v> </v>
      </c>
      <c r="AF27" s="17" t="str">
        <f aca="false">IF((E27="l"),H27," ")</f>
        <v> </v>
      </c>
      <c r="AG27" s="17" t="str">
        <f aca="false">IF((E27="y"),H27," ")</f>
        <v> </v>
      </c>
      <c r="AH27" s="17" t="str">
        <f aca="false">IF((E27="z"),H27," ")</f>
        <v> </v>
      </c>
      <c r="AI27" s="17" t="str">
        <f aca="false">IF((E27="fa"),H27," ")</f>
        <v> </v>
      </c>
      <c r="AJ27" s="17" t="str">
        <f aca="false">IF((E27="e"),H27," ")</f>
        <v> </v>
      </c>
      <c r="BZ27" s="2" t="s">
        <v>123</v>
      </c>
    </row>
    <row r="28" customFormat="false" ht="12" hidden="false" customHeight="false" outlineLevel="0" collapsed="false">
      <c r="A28" s="28" t="n">
        <v>46405</v>
      </c>
      <c r="B28" s="2" t="s">
        <v>134</v>
      </c>
      <c r="D28" s="2" t="s">
        <v>105</v>
      </c>
      <c r="E28" s="2" t="s">
        <v>106</v>
      </c>
      <c r="F28" s="30" t="n">
        <v>96</v>
      </c>
      <c r="G28" s="6" t="n">
        <f aca="false">IF(F28&lt;&gt;0,F28*G$2/(100+G$2)," ")</f>
        <v>16</v>
      </c>
      <c r="H28" s="6" t="n">
        <f aca="false">IF((F28&lt;&gt;0),F28-G28," ")</f>
        <v>80</v>
      </c>
      <c r="I28" s="5"/>
      <c r="L28" s="7" t="n">
        <f aca="false">IF(F28&lt;&gt;0,F28-K28," ")</f>
        <v>96</v>
      </c>
      <c r="M28" s="8" t="n">
        <f aca="false">IF((F28-K28)&lt;&gt;0,M$1-A28," ")</f>
        <v>-127</v>
      </c>
      <c r="N28" s="5"/>
      <c r="O28" s="17" t="str">
        <f aca="false">IF((E28="s"),H28," ")</f>
        <v> </v>
      </c>
      <c r="P28" s="17" t="str">
        <f aca="false">IF((E28="c"),H28," ")</f>
        <v> </v>
      </c>
      <c r="Q28" s="17" t="str">
        <f aca="false">IF((E28="o"),H28," ")</f>
        <v> </v>
      </c>
      <c r="R28" s="17" t="str">
        <f aca="false">IF((E28="d"),H28," ")</f>
        <v> </v>
      </c>
      <c r="S28" s="17" t="str">
        <f aca="false">IF((E28="w"),H28," ")</f>
        <v> </v>
      </c>
      <c r="T28" s="17" t="str">
        <f aca="false">IF((E28="r"),H28," ")</f>
        <v> </v>
      </c>
      <c r="U28" s="17" t="str">
        <f aca="false">IF((E28="p"),H28," ")</f>
        <v> </v>
      </c>
      <c r="V28" s="17" t="str">
        <f aca="false">IF((E28="t"),H28," ")</f>
        <v> </v>
      </c>
      <c r="W28" s="17" t="str">
        <f aca="false">IF((E28="q"),H28," ")</f>
        <v> </v>
      </c>
      <c r="X28" s="17" t="str">
        <f aca="false">IF((E28="m"),H28," ")</f>
        <v> </v>
      </c>
      <c r="Y28" s="17" t="str">
        <f aca="false">IF((E28="u"),H28," ")</f>
        <v> </v>
      </c>
      <c r="Z28" s="17" t="str">
        <f aca="false">IF((E28="a"),H28," ")</f>
        <v> </v>
      </c>
      <c r="AA28" s="17" t="str">
        <f aca="false">IF((E28="g"),H28," ")</f>
        <v> </v>
      </c>
      <c r="AB28" s="17" t="str">
        <f aca="false">IF((E28="h"),H28," ")</f>
        <v> </v>
      </c>
      <c r="AC28" s="30" t="n">
        <f aca="false">IF((E28="v"),H28," ")</f>
        <v>80</v>
      </c>
      <c r="AD28" s="30" t="str">
        <f aca="false">IF((E28="n"),H28," ")</f>
        <v> </v>
      </c>
      <c r="AE28" s="17" t="str">
        <f aca="false">IF((E28="f"),H28," ")</f>
        <v> </v>
      </c>
      <c r="AF28" s="17" t="str">
        <f aca="false">IF((E28="l"),H28," ")</f>
        <v> </v>
      </c>
      <c r="AG28" s="17" t="str">
        <f aca="false">IF((E28="y"),H28," ")</f>
        <v> </v>
      </c>
      <c r="AH28" s="17" t="str">
        <f aca="false">IF((E28="z"),H28," ")</f>
        <v> </v>
      </c>
      <c r="AI28" s="17" t="str">
        <f aca="false">IF((E28="fa"),H28," ")</f>
        <v> </v>
      </c>
      <c r="AJ28" s="17" t="str">
        <f aca="false">IF((E28="e"),H28," ")</f>
        <v> </v>
      </c>
      <c r="BZ28" s="2" t="s">
        <v>107</v>
      </c>
    </row>
    <row r="29" customFormat="false" ht="12" hidden="false" customHeight="false" outlineLevel="0" collapsed="false">
      <c r="A29" s="28" t="n">
        <v>46407</v>
      </c>
      <c r="B29" s="2" t="s">
        <v>135</v>
      </c>
      <c r="D29" s="2" t="s">
        <v>136</v>
      </c>
      <c r="E29" s="2" t="s">
        <v>80</v>
      </c>
      <c r="F29" s="30" t="n">
        <v>60</v>
      </c>
      <c r="G29" s="6" t="n">
        <f aca="false">IF(F29&lt;&gt;0,F29*G$2/(100+G$2)," ")</f>
        <v>10</v>
      </c>
      <c r="H29" s="6" t="n">
        <f aca="false">IF((F29&lt;&gt;0),F29-G29," ")</f>
        <v>50</v>
      </c>
      <c r="I29" s="5"/>
      <c r="L29" s="7" t="n">
        <f aca="false">IF(F29&lt;&gt;0,F29-K29," ")</f>
        <v>60</v>
      </c>
      <c r="M29" s="8" t="n">
        <f aca="false">IF((F29-K29)&lt;&gt;0,M$1-A29," ")</f>
        <v>-129</v>
      </c>
      <c r="N29" s="5"/>
      <c r="O29" s="17" t="str">
        <f aca="false">IF((E29="s"),H29," ")</f>
        <v> </v>
      </c>
      <c r="P29" s="17" t="str">
        <f aca="false">IF((E29="c"),H29," ")</f>
        <v> </v>
      </c>
      <c r="Q29" s="17" t="str">
        <f aca="false">IF((E29="o"),H29," ")</f>
        <v> </v>
      </c>
      <c r="R29" s="17" t="str">
        <f aca="false">IF((E29="d"),H29," ")</f>
        <v> </v>
      </c>
      <c r="S29" s="17" t="str">
        <f aca="false">IF((E29="w"),H29," ")</f>
        <v> </v>
      </c>
      <c r="T29" s="17" t="str">
        <f aca="false">IF((E29="r"),H29," ")</f>
        <v> </v>
      </c>
      <c r="U29" s="17" t="str">
        <f aca="false">IF((E29="p"),H29," ")</f>
        <v> </v>
      </c>
      <c r="V29" s="17" t="str">
        <f aca="false">IF((E29="t"),H29," ")</f>
        <v> </v>
      </c>
      <c r="W29" s="17" t="str">
        <f aca="false">IF((E29="q"),H29," ")</f>
        <v> </v>
      </c>
      <c r="X29" s="17" t="str">
        <f aca="false">IF((E29="m"),H29," ")</f>
        <v> </v>
      </c>
      <c r="Y29" s="17" t="str">
        <f aca="false">IF((E29="u"),H29," ")</f>
        <v> </v>
      </c>
      <c r="Z29" s="17" t="str">
        <f aca="false">IF((E29="a"),H29," ")</f>
        <v> </v>
      </c>
      <c r="AA29" s="17" t="n">
        <f aca="false">IF((E29="g"),H29," ")</f>
        <v>50</v>
      </c>
      <c r="AB29" s="17" t="str">
        <f aca="false">IF((E29="h"),H29," ")</f>
        <v> </v>
      </c>
      <c r="AC29" s="30" t="str">
        <f aca="false">IF((E29="v"),H29," ")</f>
        <v> </v>
      </c>
      <c r="AD29" s="30" t="str">
        <f aca="false">IF((E29="n"),H29," ")</f>
        <v> </v>
      </c>
      <c r="AE29" s="17" t="str">
        <f aca="false">IF((E29="f"),H29," ")</f>
        <v> </v>
      </c>
      <c r="AF29" s="17" t="str">
        <f aca="false">IF((E29="l"),H29," ")</f>
        <v> </v>
      </c>
      <c r="AG29" s="17" t="str">
        <f aca="false">IF((E29="y"),H29," ")</f>
        <v> </v>
      </c>
      <c r="AH29" s="17" t="str">
        <f aca="false">IF((E29="z"),H29," ")</f>
        <v> </v>
      </c>
      <c r="AI29" s="17" t="str">
        <f aca="false">IF((E29="fa"),H29," ")</f>
        <v> </v>
      </c>
      <c r="AJ29" s="17" t="str">
        <f aca="false">IF((E29="e"),H29," ")</f>
        <v> </v>
      </c>
      <c r="BZ29" s="2" t="s">
        <v>81</v>
      </c>
    </row>
    <row r="30" customFormat="false" ht="12" hidden="false" customHeight="false" outlineLevel="0" collapsed="false">
      <c r="A30" s="28" t="n">
        <v>46408</v>
      </c>
      <c r="B30" s="2" t="s">
        <v>141</v>
      </c>
      <c r="D30" s="2" t="s">
        <v>142</v>
      </c>
      <c r="E30" s="2" t="s">
        <v>112</v>
      </c>
      <c r="F30" s="30" t="n">
        <v>8</v>
      </c>
      <c r="G30" s="6" t="n">
        <f aca="false">IF(F30&lt;&gt;0,F30*G$2/(100+G$2)," ")</f>
        <v>1.33333333333333</v>
      </c>
      <c r="H30" s="6" t="n">
        <f aca="false">IF((F30&lt;&gt;0),F30-G30," ")</f>
        <v>6.66666666666667</v>
      </c>
      <c r="I30" s="5"/>
      <c r="L30" s="7" t="n">
        <f aca="false">IF(F30&lt;&gt;0,F30-K30," ")</f>
        <v>8</v>
      </c>
      <c r="M30" s="8" t="n">
        <f aca="false">IF((F30-K30)&lt;&gt;0,M$1-A30," ")</f>
        <v>-130</v>
      </c>
      <c r="N30" s="5"/>
      <c r="O30" s="17" t="str">
        <f aca="false">IF((E30="s"),H30," ")</f>
        <v> </v>
      </c>
      <c r="P30" s="17" t="str">
        <f aca="false">IF((E30="c"),H30," ")</f>
        <v> </v>
      </c>
      <c r="Q30" s="17" t="str">
        <f aca="false">IF((E30="o"),H30," ")</f>
        <v> </v>
      </c>
      <c r="R30" s="17" t="str">
        <f aca="false">IF((E30="d"),H30," ")</f>
        <v> </v>
      </c>
      <c r="S30" s="17" t="str">
        <f aca="false">IF((E30="w"),H30," ")</f>
        <v> </v>
      </c>
      <c r="T30" s="17" t="str">
        <f aca="false">IF((E30="r"),H30," ")</f>
        <v> </v>
      </c>
      <c r="U30" s="17" t="str">
        <f aca="false">IF((E30="p"),H30," ")</f>
        <v> </v>
      </c>
      <c r="V30" s="17" t="str">
        <f aca="false">IF((E30="t"),H30," ")</f>
        <v> </v>
      </c>
      <c r="W30" s="17" t="str">
        <f aca="false">IF((E30="q"),H30," ")</f>
        <v> </v>
      </c>
      <c r="X30" s="17" t="str">
        <f aca="false">IF((E30="m"),H30," ")</f>
        <v> </v>
      </c>
      <c r="Y30" s="17" t="str">
        <f aca="false">IF((E30="u"),H30," ")</f>
        <v> </v>
      </c>
      <c r="Z30" s="17" t="str">
        <f aca="false">IF((E30="a"),H30," ")</f>
        <v> </v>
      </c>
      <c r="AA30" s="17" t="str">
        <f aca="false">IF((E30="g"),H30," ")</f>
        <v> </v>
      </c>
      <c r="AB30" s="17" t="n">
        <f aca="false">IF((E30="h"),H30," ")</f>
        <v>6.66666666666667</v>
      </c>
      <c r="AC30" s="30" t="str">
        <f aca="false">IF((E30="v"),H30," ")</f>
        <v> </v>
      </c>
      <c r="AD30" s="30" t="str">
        <f aca="false">IF((E30="n"),H30," ")</f>
        <v> </v>
      </c>
      <c r="AE30" s="17" t="str">
        <f aca="false">IF((E30="f"),H30," ")</f>
        <v> </v>
      </c>
      <c r="AF30" s="17" t="str">
        <f aca="false">IF((E30="l"),H30," ")</f>
        <v> </v>
      </c>
      <c r="AG30" s="17" t="str">
        <f aca="false">IF((E30="y"),H30," ")</f>
        <v> </v>
      </c>
      <c r="AH30" s="17" t="str">
        <f aca="false">IF((E30="z"),H30," ")</f>
        <v> </v>
      </c>
      <c r="AI30" s="17" t="str">
        <f aca="false">IF((E30="fa"),H30," ")</f>
        <v> </v>
      </c>
      <c r="AJ30" s="17" t="str">
        <f aca="false">IF((E30="e"),H30," ")</f>
        <v> </v>
      </c>
      <c r="BZ30" s="2" t="s">
        <v>113</v>
      </c>
    </row>
    <row r="31" customFormat="false" ht="12" hidden="false" customHeight="false" outlineLevel="0" collapsed="false">
      <c r="A31" s="28" t="n">
        <v>46409</v>
      </c>
      <c r="B31" s="2" t="s">
        <v>143</v>
      </c>
      <c r="D31" s="2" t="s">
        <v>144</v>
      </c>
      <c r="E31" s="2" t="s">
        <v>100</v>
      </c>
      <c r="F31" s="30" t="n">
        <v>18</v>
      </c>
      <c r="G31" s="6" t="n">
        <f aca="false">IF(F31&lt;&gt;0,F31*G$2/(100+G$2)," ")</f>
        <v>3</v>
      </c>
      <c r="H31" s="6" t="n">
        <f aca="false">IF((F31&lt;&gt;0),F31-G31," ")</f>
        <v>15</v>
      </c>
      <c r="I31" s="5"/>
      <c r="L31" s="7" t="n">
        <f aca="false">IF(F31&lt;&gt;0,F31-K31," ")</f>
        <v>18</v>
      </c>
      <c r="M31" s="8" t="n">
        <f aca="false">IF((F31-K31)&lt;&gt;0,M$1-A31," ")</f>
        <v>-131</v>
      </c>
      <c r="N31" s="5"/>
      <c r="O31" s="17" t="str">
        <f aca="false">IF((E31="s"),H31," ")</f>
        <v> </v>
      </c>
      <c r="P31" s="17" t="str">
        <f aca="false">IF((E31="c"),H31," ")</f>
        <v> </v>
      </c>
      <c r="Q31" s="17" t="str">
        <f aca="false">IF((E31="o"),H31," ")</f>
        <v> </v>
      </c>
      <c r="R31" s="17" t="str">
        <f aca="false">IF((E31="d"),H31," ")</f>
        <v> </v>
      </c>
      <c r="S31" s="17" t="str">
        <f aca="false">IF((E31="w"),H31," ")</f>
        <v> </v>
      </c>
      <c r="T31" s="17" t="str">
        <f aca="false">IF((E31="r"),H31," ")</f>
        <v> </v>
      </c>
      <c r="U31" s="17" t="str">
        <f aca="false">IF((E31="p"),H31," ")</f>
        <v> </v>
      </c>
      <c r="V31" s="17" t="str">
        <f aca="false">IF((E31="t"),H31," ")</f>
        <v> </v>
      </c>
      <c r="W31" s="17" t="str">
        <f aca="false">IF((E31="q"),H31," ")</f>
        <v> </v>
      </c>
      <c r="X31" s="17" t="str">
        <f aca="false">IF((E31="m"),H31," ")</f>
        <v> </v>
      </c>
      <c r="Y31" s="17" t="n">
        <f aca="false">IF((E31="u"),H31," ")</f>
        <v>15</v>
      </c>
      <c r="Z31" s="17" t="str">
        <f aca="false">IF((E31="a"),H31," ")</f>
        <v> </v>
      </c>
      <c r="AA31" s="17" t="str">
        <f aca="false">IF((E31="g"),H31," ")</f>
        <v> </v>
      </c>
      <c r="AB31" s="17" t="str">
        <f aca="false">IF((E31="h"),H31," ")</f>
        <v> </v>
      </c>
      <c r="AC31" s="30" t="str">
        <f aca="false">IF((E31="v"),H31," ")</f>
        <v> </v>
      </c>
      <c r="AD31" s="30" t="str">
        <f aca="false">IF((E31="n"),H31," ")</f>
        <v> </v>
      </c>
      <c r="AE31" s="17" t="str">
        <f aca="false">IF((E31="f"),H31," ")</f>
        <v> </v>
      </c>
      <c r="AF31" s="17" t="str">
        <f aca="false">IF((E31="l"),H31," ")</f>
        <v> </v>
      </c>
      <c r="AG31" s="17" t="str">
        <f aca="false">IF((E31="y"),H31," ")</f>
        <v> </v>
      </c>
      <c r="AH31" s="17" t="str">
        <f aca="false">IF((E31="z"),H31," ")</f>
        <v> </v>
      </c>
      <c r="AI31" s="17" t="str">
        <f aca="false">IF((E31="fa"),H31," ")</f>
        <v> </v>
      </c>
      <c r="AJ31" s="17" t="str">
        <f aca="false">IF((E31="e"),H31," ")</f>
        <v> </v>
      </c>
      <c r="BZ31" s="2" t="s">
        <v>101</v>
      </c>
    </row>
    <row r="32" customFormat="false" ht="12" hidden="false" customHeight="false" outlineLevel="0" collapsed="false">
      <c r="A32" s="28" t="n">
        <v>46412</v>
      </c>
      <c r="B32" s="2" t="s">
        <v>192</v>
      </c>
      <c r="D32" s="2" t="s">
        <v>193</v>
      </c>
      <c r="E32" s="2" t="s">
        <v>194</v>
      </c>
      <c r="F32" s="30" t="n">
        <v>360</v>
      </c>
      <c r="G32" s="6" t="n">
        <f aca="false">IF(F32&lt;&gt;0,F32*G$2/(100+G$2)," ")</f>
        <v>60</v>
      </c>
      <c r="H32" s="6" t="n">
        <f aca="false">IF((F32&lt;&gt;0),F32-G32," ")</f>
        <v>300</v>
      </c>
      <c r="I32" s="5"/>
      <c r="L32" s="7" t="n">
        <f aca="false">IF(F32&lt;&gt;0,F32-K32," ")</f>
        <v>360</v>
      </c>
      <c r="M32" s="8" t="n">
        <f aca="false">IF((F32-K32)&lt;&gt;0,M$1-A32," ")</f>
        <v>-134</v>
      </c>
      <c r="N32" s="5"/>
      <c r="O32" s="17" t="str">
        <f aca="false">IF((E32="s"),H32," ")</f>
        <v> </v>
      </c>
      <c r="P32" s="17" t="str">
        <f aca="false">IF((E32="c"),H32," ")</f>
        <v> </v>
      </c>
      <c r="Q32" s="17" t="str">
        <f aca="false">IF((E32="o"),H32," ")</f>
        <v> </v>
      </c>
      <c r="R32" s="17" t="str">
        <f aca="false">IF((E32="d"),H32," ")</f>
        <v> </v>
      </c>
      <c r="S32" s="17" t="str">
        <f aca="false">IF((E32="w"),H32," ")</f>
        <v> </v>
      </c>
      <c r="T32" s="17" t="str">
        <f aca="false">IF((E32="r"),H32," ")</f>
        <v> </v>
      </c>
      <c r="U32" s="17" t="n">
        <f aca="false">IF((E32="p"),H32," ")</f>
        <v>300</v>
      </c>
      <c r="V32" s="17" t="str">
        <f aca="false">IF((E32="t"),H32," ")</f>
        <v> </v>
      </c>
      <c r="W32" s="17" t="str">
        <f aca="false">IF((E32="q"),H32," ")</f>
        <v> </v>
      </c>
      <c r="X32" s="17" t="str">
        <f aca="false">IF((E32="m"),H32," ")</f>
        <v> </v>
      </c>
      <c r="Y32" s="17" t="str">
        <f aca="false">IF((E32="u"),H32," ")</f>
        <v> </v>
      </c>
      <c r="Z32" s="17" t="str">
        <f aca="false">IF((E32="a"),H32," ")</f>
        <v> </v>
      </c>
      <c r="AA32" s="17" t="str">
        <f aca="false">IF((E32="g"),H32," ")</f>
        <v> </v>
      </c>
      <c r="AB32" s="17" t="str">
        <f aca="false">IF((E32="h"),H32," ")</f>
        <v> </v>
      </c>
      <c r="AC32" s="30" t="str">
        <f aca="false">IF((E32="v"),H32," ")</f>
        <v> </v>
      </c>
      <c r="AD32" s="30" t="str">
        <f aca="false">IF((E32="n"),H32," ")</f>
        <v> </v>
      </c>
      <c r="AE32" s="17" t="str">
        <f aca="false">IF((E32="f"),H32," ")</f>
        <v> </v>
      </c>
      <c r="AF32" s="17" t="str">
        <f aca="false">IF((E32="l"),H32," ")</f>
        <v> </v>
      </c>
      <c r="AG32" s="17" t="str">
        <f aca="false">IF((E32="y"),H32," ")</f>
        <v> </v>
      </c>
      <c r="AH32" s="17" t="str">
        <f aca="false">IF((E32="z"),H32," ")</f>
        <v> </v>
      </c>
      <c r="AI32" s="17" t="str">
        <f aca="false">IF((E32="fa"),H32," ")</f>
        <v> </v>
      </c>
      <c r="AJ32" s="17" t="str">
        <f aca="false">IF((E32="e"),H32," ")</f>
        <v> </v>
      </c>
      <c r="BZ32" s="2" t="s">
        <v>195</v>
      </c>
    </row>
    <row r="33" customFormat="false" ht="12" hidden="false" customHeight="false" outlineLevel="0" collapsed="false">
      <c r="A33" s="28" t="n">
        <v>46412</v>
      </c>
      <c r="B33" s="2" t="s">
        <v>145</v>
      </c>
      <c r="D33" s="2" t="s">
        <v>146</v>
      </c>
      <c r="E33" s="2" t="s">
        <v>100</v>
      </c>
      <c r="F33" s="30" t="n">
        <v>15</v>
      </c>
      <c r="G33" s="6" t="n">
        <f aca="false">IF(F33&lt;&gt;0,F33*G$2/(100+G$2)," ")</f>
        <v>2.5</v>
      </c>
      <c r="H33" s="6" t="n">
        <f aca="false">IF((F33&lt;&gt;0),F33-G33," ")</f>
        <v>12.5</v>
      </c>
      <c r="I33" s="5"/>
      <c r="L33" s="7" t="n">
        <f aca="false">IF(F33&lt;&gt;0,F33-K33," ")</f>
        <v>15</v>
      </c>
      <c r="M33" s="8" t="n">
        <f aca="false">IF((F33-K33)&lt;&gt;0,M$1-A33," ")</f>
        <v>-134</v>
      </c>
      <c r="N33" s="5"/>
      <c r="O33" s="17" t="str">
        <f aca="false">IF((E33="s"),H33," ")</f>
        <v> </v>
      </c>
      <c r="P33" s="17" t="str">
        <f aca="false">IF((E33="c"),H33," ")</f>
        <v> </v>
      </c>
      <c r="Q33" s="17" t="str">
        <f aca="false">IF((E33="o"),H33," ")</f>
        <v> </v>
      </c>
      <c r="R33" s="17" t="str">
        <f aca="false">IF((E33="d"),H33," ")</f>
        <v> </v>
      </c>
      <c r="S33" s="17" t="str">
        <f aca="false">IF((E33="w"),H33," ")</f>
        <v> </v>
      </c>
      <c r="T33" s="17" t="str">
        <f aca="false">IF((E33="r"),H33," ")</f>
        <v> </v>
      </c>
      <c r="U33" s="17" t="str">
        <f aca="false">IF((E33="p"),H33," ")</f>
        <v> </v>
      </c>
      <c r="V33" s="17" t="str">
        <f aca="false">IF((E33="t"),H33," ")</f>
        <v> </v>
      </c>
      <c r="W33" s="17" t="str">
        <f aca="false">IF((E33="q"),H33," ")</f>
        <v> </v>
      </c>
      <c r="X33" s="17" t="str">
        <f aca="false">IF((E33="m"),H33," ")</f>
        <v> </v>
      </c>
      <c r="Y33" s="17" t="n">
        <f aca="false">IF((E33="u"),H33," ")</f>
        <v>12.5</v>
      </c>
      <c r="Z33" s="17" t="str">
        <f aca="false">IF((E33="a"),H33," ")</f>
        <v> </v>
      </c>
      <c r="AA33" s="17" t="str">
        <f aca="false">IF((E33="g"),H33," ")</f>
        <v> </v>
      </c>
      <c r="AB33" s="17" t="str">
        <f aca="false">IF((E33="h"),H33," ")</f>
        <v> </v>
      </c>
      <c r="AC33" s="30" t="str">
        <f aca="false">IF((E33="v"),H33," ")</f>
        <v> </v>
      </c>
      <c r="AD33" s="30" t="str">
        <f aca="false">IF((E33="n"),H33," ")</f>
        <v> </v>
      </c>
      <c r="AE33" s="17" t="str">
        <f aca="false">IF((E33="f"),H33," ")</f>
        <v> </v>
      </c>
      <c r="AF33" s="17" t="str">
        <f aca="false">IF((E33="l"),H33," ")</f>
        <v> </v>
      </c>
      <c r="AG33" s="17" t="str">
        <f aca="false">IF((E33="y"),H33," ")</f>
        <v> </v>
      </c>
      <c r="AH33" s="17" t="str">
        <f aca="false">IF((E33="z"),H33," ")</f>
        <v> </v>
      </c>
      <c r="AI33" s="17" t="str">
        <f aca="false">IF((E33="fa"),H33," ")</f>
        <v> </v>
      </c>
      <c r="AJ33" s="17" t="str">
        <f aca="false">IF((E33="e"),H33," ")</f>
        <v> </v>
      </c>
      <c r="BZ33" s="2" t="s">
        <v>101</v>
      </c>
    </row>
    <row r="34" customFormat="false" ht="12" hidden="false" customHeight="false" outlineLevel="0" collapsed="false">
      <c r="A34" s="28" t="n">
        <v>46412</v>
      </c>
      <c r="B34" s="2" t="s">
        <v>147</v>
      </c>
      <c r="D34" s="2" t="s">
        <v>196</v>
      </c>
      <c r="E34" s="2" t="s">
        <v>106</v>
      </c>
      <c r="F34" s="30" t="n">
        <v>90</v>
      </c>
      <c r="G34" s="6" t="n">
        <f aca="false">IF(F34&lt;&gt;0,F34*G$2/(100+G$2)," ")</f>
        <v>15</v>
      </c>
      <c r="H34" s="6" t="n">
        <f aca="false">IF((F34&lt;&gt;0),F34-G34," ")</f>
        <v>75</v>
      </c>
      <c r="I34" s="5"/>
      <c r="L34" s="7" t="n">
        <f aca="false">IF(F34&lt;&gt;0,F34-K34," ")</f>
        <v>90</v>
      </c>
      <c r="M34" s="8" t="n">
        <f aca="false">IF((F34-K34)&lt;&gt;0,M$1-A34," ")</f>
        <v>-134</v>
      </c>
      <c r="N34" s="5"/>
      <c r="O34" s="17" t="str">
        <f aca="false">IF((E34="s"),H34," ")</f>
        <v> </v>
      </c>
      <c r="P34" s="17" t="str">
        <f aca="false">IF((E34="c"),H34," ")</f>
        <v> </v>
      </c>
      <c r="Q34" s="17" t="str">
        <f aca="false">IF((E34="o"),H34," ")</f>
        <v> </v>
      </c>
      <c r="R34" s="17" t="str">
        <f aca="false">IF((E34="d"),H34," ")</f>
        <v> </v>
      </c>
      <c r="S34" s="17" t="str">
        <f aca="false">IF((E34="w"),H34," ")</f>
        <v> </v>
      </c>
      <c r="T34" s="17" t="str">
        <f aca="false">IF((E34="r"),H34," ")</f>
        <v> </v>
      </c>
      <c r="U34" s="17" t="str">
        <f aca="false">IF((E34="p"),H34," ")</f>
        <v> </v>
      </c>
      <c r="V34" s="17" t="str">
        <f aca="false">IF((E34="t"),H34," ")</f>
        <v> </v>
      </c>
      <c r="W34" s="17" t="str">
        <f aca="false">IF((E34="q"),H34," ")</f>
        <v> </v>
      </c>
      <c r="X34" s="17" t="str">
        <f aca="false">IF((E34="m"),H34," ")</f>
        <v> </v>
      </c>
      <c r="Y34" s="17" t="str">
        <f aca="false">IF((E34="u"),H34," ")</f>
        <v> </v>
      </c>
      <c r="Z34" s="17" t="str">
        <f aca="false">IF((E34="a"),H34," ")</f>
        <v> </v>
      </c>
      <c r="AA34" s="17" t="str">
        <f aca="false">IF((E34="g"),H34," ")</f>
        <v> </v>
      </c>
      <c r="AB34" s="17" t="str">
        <f aca="false">IF((E34="h"),H34," ")</f>
        <v> </v>
      </c>
      <c r="AC34" s="30" t="n">
        <f aca="false">IF((E34="v"),H34," ")</f>
        <v>75</v>
      </c>
      <c r="AD34" s="30" t="str">
        <f aca="false">IF((E34="n"),H34," ")</f>
        <v> </v>
      </c>
      <c r="AE34" s="17" t="str">
        <f aca="false">IF((E34="f"),H34," ")</f>
        <v> </v>
      </c>
      <c r="AF34" s="17" t="str">
        <f aca="false">IF((E34="l"),H34," ")</f>
        <v> </v>
      </c>
      <c r="AG34" s="17" t="str">
        <f aca="false">IF((E34="y"),H34," ")</f>
        <v> </v>
      </c>
      <c r="AH34" s="17" t="str">
        <f aca="false">IF((E34="z"),H34," ")</f>
        <v> </v>
      </c>
      <c r="AI34" s="17" t="str">
        <f aca="false">IF((E34="fa"),H34," ")</f>
        <v> </v>
      </c>
      <c r="AJ34" s="17" t="str">
        <f aca="false">IF((E34="e"),H34," ")</f>
        <v> </v>
      </c>
      <c r="BZ34" s="2" t="s">
        <v>107</v>
      </c>
    </row>
    <row r="35" customFormat="false" ht="12" hidden="false" customHeight="false" outlineLevel="0" collapsed="false">
      <c r="A35" s="28" t="n">
        <v>46415</v>
      </c>
      <c r="B35" s="2" t="s">
        <v>20</v>
      </c>
      <c r="D35" s="2" t="s">
        <v>149</v>
      </c>
      <c r="E35" s="2" t="s">
        <v>106</v>
      </c>
      <c r="F35" s="30" t="n">
        <v>120</v>
      </c>
      <c r="G35" s="6" t="n">
        <f aca="false">IF(F35&lt;&gt;0,F35*G$2/(100+G$2)," ")</f>
        <v>20</v>
      </c>
      <c r="H35" s="6" t="n">
        <f aca="false">IF((F35&lt;&gt;0),F35-G35," ")</f>
        <v>100</v>
      </c>
      <c r="I35" s="5"/>
      <c r="L35" s="7" t="n">
        <f aca="false">IF(F35&lt;&gt;0,F35-K35," ")</f>
        <v>120</v>
      </c>
      <c r="M35" s="8" t="n">
        <f aca="false">IF((F35-K35)&lt;&gt;0,M$1-A35," ")</f>
        <v>-137</v>
      </c>
      <c r="N35" s="5"/>
      <c r="O35" s="17" t="str">
        <f aca="false">IF((E35="s"),H35," ")</f>
        <v> </v>
      </c>
      <c r="P35" s="17" t="str">
        <f aca="false">IF((E35="c"),H35," ")</f>
        <v> </v>
      </c>
      <c r="Q35" s="17" t="str">
        <f aca="false">IF((E35="o"),H35," ")</f>
        <v> </v>
      </c>
      <c r="R35" s="17" t="str">
        <f aca="false">IF((E35="d"),H35," ")</f>
        <v> </v>
      </c>
      <c r="S35" s="17" t="str">
        <f aca="false">IF((E35="w"),H35," ")</f>
        <v> </v>
      </c>
      <c r="T35" s="17" t="str">
        <f aca="false">IF((E35="r"),H35," ")</f>
        <v> </v>
      </c>
      <c r="U35" s="17" t="str">
        <f aca="false">IF((E35="p"),H35," ")</f>
        <v> </v>
      </c>
      <c r="V35" s="17" t="str">
        <f aca="false">IF((E35="t"),H35," ")</f>
        <v> </v>
      </c>
      <c r="W35" s="17" t="str">
        <f aca="false">IF((E35="q"),H35," ")</f>
        <v> </v>
      </c>
      <c r="X35" s="17" t="str">
        <f aca="false">IF((E35="m"),H35," ")</f>
        <v> </v>
      </c>
      <c r="Y35" s="17" t="str">
        <f aca="false">IF((E35="u"),H35," ")</f>
        <v> </v>
      </c>
      <c r="Z35" s="17" t="str">
        <f aca="false">IF((E35="a"),H35," ")</f>
        <v> </v>
      </c>
      <c r="AA35" s="17" t="str">
        <f aca="false">IF((E35="g"),H35," ")</f>
        <v> </v>
      </c>
      <c r="AB35" s="17" t="str">
        <f aca="false">IF((E35="h"),H35," ")</f>
        <v> </v>
      </c>
      <c r="AC35" s="30" t="n">
        <f aca="false">IF((E35="v"),H35," ")</f>
        <v>100</v>
      </c>
      <c r="AD35" s="30" t="str">
        <f aca="false">IF((E35="n"),H35," ")</f>
        <v> </v>
      </c>
      <c r="AE35" s="17" t="str">
        <f aca="false">IF((E35="f"),H35," ")</f>
        <v> </v>
      </c>
      <c r="AF35" s="17" t="str">
        <f aca="false">IF((E35="l"),H35," ")</f>
        <v> </v>
      </c>
      <c r="AG35" s="17" t="str">
        <f aca="false">IF((E35="y"),H35," ")</f>
        <v> </v>
      </c>
      <c r="AH35" s="17" t="str">
        <f aca="false">IF((E35="z"),H35," ")</f>
        <v> </v>
      </c>
      <c r="AI35" s="17" t="str">
        <f aca="false">IF((E35="fa"),H35," ")</f>
        <v> </v>
      </c>
      <c r="AJ35" s="17" t="str">
        <f aca="false">IF((E35="e"),H35," ")</f>
        <v> </v>
      </c>
      <c r="BZ35" s="2" t="s">
        <v>107</v>
      </c>
    </row>
    <row r="36" customFormat="false" ht="12" hidden="false" customHeight="false" outlineLevel="0" collapsed="false">
      <c r="A36" s="28" t="n">
        <v>46417</v>
      </c>
      <c r="B36" s="2" t="s">
        <v>16</v>
      </c>
      <c r="D36" s="2" t="s">
        <v>150</v>
      </c>
      <c r="E36" s="2" t="s">
        <v>151</v>
      </c>
      <c r="F36" s="30" t="n">
        <v>300</v>
      </c>
      <c r="G36" s="6" t="n">
        <f aca="false">IF(F36&lt;&gt;0,F36*G$2/(100+G$2)," ")</f>
        <v>50</v>
      </c>
      <c r="H36" s="6" t="n">
        <f aca="false">IF((F36&lt;&gt;0),F36-G36," ")</f>
        <v>250</v>
      </c>
      <c r="I36" s="5"/>
      <c r="L36" s="7" t="n">
        <f aca="false">IF(F36&lt;&gt;0,F36-K36," ")</f>
        <v>300</v>
      </c>
      <c r="M36" s="8" t="n">
        <f aca="false">IF((F36-K36)&lt;&gt;0,M$1-A36," ")</f>
        <v>-139</v>
      </c>
      <c r="N36" s="5"/>
      <c r="O36" s="17" t="str">
        <f aca="false">IF((E36="s"),H36," ")</f>
        <v> </v>
      </c>
      <c r="P36" s="17" t="str">
        <f aca="false">IF((E36="c"),H36," ")</f>
        <v> </v>
      </c>
      <c r="Q36" s="17" t="str">
        <f aca="false">IF((E36="o"),H36," ")</f>
        <v> </v>
      </c>
      <c r="R36" s="17" t="str">
        <f aca="false">IF((E36="d"),H36," ")</f>
        <v> </v>
      </c>
      <c r="S36" s="17" t="str">
        <f aca="false">IF((E36="w"),H36," ")</f>
        <v> </v>
      </c>
      <c r="T36" s="17" t="str">
        <f aca="false">IF((E36="r"),H36," ")</f>
        <v> </v>
      </c>
      <c r="U36" s="17" t="str">
        <f aca="false">IF((E36="p"),H36," ")</f>
        <v> </v>
      </c>
      <c r="V36" s="17" t="str">
        <f aca="false">IF((E36="t"),H36," ")</f>
        <v> </v>
      </c>
      <c r="W36" s="17" t="str">
        <f aca="false">IF((E36="q"),H36," ")</f>
        <v> </v>
      </c>
      <c r="X36" s="17" t="str">
        <f aca="false">IF((E36="m"),H36," ")</f>
        <v> </v>
      </c>
      <c r="Y36" s="17" t="str">
        <f aca="false">IF((E36="u"),H36," ")</f>
        <v> </v>
      </c>
      <c r="Z36" s="17" t="str">
        <f aca="false">IF((E36="a"),H36," ")</f>
        <v> </v>
      </c>
      <c r="AA36" s="17" t="str">
        <f aca="false">IF((E36="g"),H36," ")</f>
        <v> </v>
      </c>
      <c r="AB36" s="17" t="str">
        <f aca="false">IF((E36="h"),H36," ")</f>
        <v> </v>
      </c>
      <c r="AC36" s="30" t="str">
        <f aca="false">IF((E36="v"),H36," ")</f>
        <v> </v>
      </c>
      <c r="AD36" s="30" t="str">
        <f aca="false">IF((E36="n"),H36," ")</f>
        <v> </v>
      </c>
      <c r="AE36" s="17" t="str">
        <f aca="false">IF((E36="f"),H36," ")</f>
        <v> </v>
      </c>
      <c r="AF36" s="17" t="n">
        <f aca="false">IF((E36="l"),H36," ")</f>
        <v>250</v>
      </c>
      <c r="AG36" s="17" t="str">
        <f aca="false">IF((E36="y"),H36," ")</f>
        <v> </v>
      </c>
      <c r="AH36" s="17" t="str">
        <f aca="false">IF((E36="z"),H36," ")</f>
        <v> </v>
      </c>
      <c r="AI36" s="17" t="str">
        <f aca="false">IF((E36="fa"),H36," ")</f>
        <v> </v>
      </c>
      <c r="AJ36" s="17" t="str">
        <f aca="false">IF((E36="e"),H36," ")</f>
        <v> </v>
      </c>
      <c r="BZ36" s="2" t="s">
        <v>152</v>
      </c>
    </row>
    <row r="37" customFormat="false" ht="12" hidden="false" customHeight="false" outlineLevel="0" collapsed="false">
      <c r="A37" s="28" t="n">
        <v>46417</v>
      </c>
      <c r="B37" s="2" t="s">
        <v>197</v>
      </c>
      <c r="C37" s="3" t="s">
        <v>198</v>
      </c>
      <c r="D37" s="2" t="s">
        <v>199</v>
      </c>
      <c r="E37" s="2" t="s">
        <v>151</v>
      </c>
      <c r="F37" s="30" t="n">
        <v>250</v>
      </c>
      <c r="G37" s="6" t="n">
        <f aca="false">IF(F37&lt;&gt;0,F37*G$2/(100+G$2)," ")</f>
        <v>41.6666666666667</v>
      </c>
      <c r="H37" s="6" t="n">
        <f aca="false">IF((F37&lt;&gt;0),F37-G37," ")</f>
        <v>208.333333333333</v>
      </c>
      <c r="I37" s="5"/>
      <c r="L37" s="7" t="n">
        <f aca="false">IF(F37&lt;&gt;0,F37-K37," ")</f>
        <v>250</v>
      </c>
      <c r="M37" s="8" t="n">
        <f aca="false">IF((F37-K37)&lt;&gt;0,M$1-A37," ")</f>
        <v>-139</v>
      </c>
      <c r="N37" s="5"/>
      <c r="O37" s="17" t="str">
        <f aca="false">IF((E37="s"),H37," ")</f>
        <v> </v>
      </c>
      <c r="P37" s="17" t="str">
        <f aca="false">IF((E37="c"),H37," ")</f>
        <v> </v>
      </c>
      <c r="Q37" s="17" t="str">
        <f aca="false">IF((E37="o"),H37," ")</f>
        <v> </v>
      </c>
      <c r="R37" s="17" t="str">
        <f aca="false">IF((E37="d"),H37," ")</f>
        <v> </v>
      </c>
      <c r="S37" s="17" t="str">
        <f aca="false">IF((E37="w"),H37," ")</f>
        <v> </v>
      </c>
      <c r="T37" s="17" t="str">
        <f aca="false">IF((E37="r"),H37," ")</f>
        <v> </v>
      </c>
      <c r="U37" s="17" t="str">
        <f aca="false">IF((E37="p"),H37," ")</f>
        <v> </v>
      </c>
      <c r="V37" s="17" t="str">
        <f aca="false">IF((E37="t"),H37," ")</f>
        <v> </v>
      </c>
      <c r="W37" s="17" t="str">
        <f aca="false">IF((E37="q"),H37," ")</f>
        <v> </v>
      </c>
      <c r="X37" s="17" t="str">
        <f aca="false">IF((E37="m"),H37," ")</f>
        <v> </v>
      </c>
      <c r="Y37" s="17" t="str">
        <f aca="false">IF((E37="u"),H37," ")</f>
        <v> </v>
      </c>
      <c r="Z37" s="17" t="str">
        <f aca="false">IF((E37="a"),H37," ")</f>
        <v> </v>
      </c>
      <c r="AA37" s="17" t="str">
        <f aca="false">IF((E37="g"),H37," ")</f>
        <v> </v>
      </c>
      <c r="AB37" s="17" t="str">
        <f aca="false">IF((E37="h"),H37," ")</f>
        <v> </v>
      </c>
      <c r="AC37" s="30" t="str">
        <f aca="false">IF((E37="v"),H37," ")</f>
        <v> </v>
      </c>
      <c r="AD37" s="30" t="str">
        <f aca="false">IF((E37="n"),H37," ")</f>
        <v> </v>
      </c>
      <c r="AE37" s="17" t="str">
        <f aca="false">IF((E37="f"),H37," ")</f>
        <v> </v>
      </c>
      <c r="AF37" s="17" t="n">
        <f aca="false">IF((E37="l"),H37," ")</f>
        <v>208.333333333333</v>
      </c>
      <c r="AG37" s="17" t="str">
        <f aca="false">IF((E37="y"),H37," ")</f>
        <v> </v>
      </c>
      <c r="AH37" s="17" t="str">
        <f aca="false">IF((E37="z"),H37," ")</f>
        <v> </v>
      </c>
      <c r="AI37" s="17" t="str">
        <f aca="false">IF((E37="fa"),H37," ")</f>
        <v> </v>
      </c>
      <c r="AJ37" s="17" t="str">
        <f aca="false">IF((E37="e"),H37," ")</f>
        <v> </v>
      </c>
      <c r="BZ37" s="2" t="s">
        <v>200</v>
      </c>
    </row>
    <row r="38" customFormat="false" ht="12" hidden="false" customHeight="false" outlineLevel="0" collapsed="false">
      <c r="A38" s="28" t="n">
        <v>46388</v>
      </c>
      <c r="B38" s="2" t="s">
        <v>201</v>
      </c>
      <c r="C38" s="3" t="s">
        <v>202</v>
      </c>
      <c r="D38" s="2" t="s">
        <v>203</v>
      </c>
      <c r="E38" s="2" t="s">
        <v>168</v>
      </c>
      <c r="F38" s="30" t="n">
        <v>15600</v>
      </c>
      <c r="G38" s="6" t="n">
        <f aca="false">IF(F38&lt;&gt;0,F38*G$2/(100+G$2)," ")</f>
        <v>2600</v>
      </c>
      <c r="H38" s="6" t="n">
        <f aca="false">IF((F38&lt;&gt;0),F38-G38," ")</f>
        <v>13000</v>
      </c>
      <c r="I38" s="5"/>
      <c r="L38" s="7" t="n">
        <f aca="false">IF(F38&lt;&gt;0,F38-K38," ")</f>
        <v>15600</v>
      </c>
      <c r="M38" s="8" t="n">
        <f aca="false">IF((F38-K38)&lt;&gt;0,M$1-A38," ")</f>
        <v>-110</v>
      </c>
      <c r="N38" s="5"/>
      <c r="O38" s="17" t="str">
        <f aca="false">IF((E38="s"),H38," ")</f>
        <v> </v>
      </c>
      <c r="P38" s="17" t="str">
        <f aca="false">IF((E38="c"),H38," ")</f>
        <v> </v>
      </c>
      <c r="Q38" s="17" t="str">
        <f aca="false">IF((E38="o"),H38," ")</f>
        <v> </v>
      </c>
      <c r="R38" s="17" t="str">
        <f aca="false">IF((E38="d"),H38," ")</f>
        <v> </v>
      </c>
      <c r="S38" s="17" t="str">
        <f aca="false">IF((E38="w"),H38," ")</f>
        <v> </v>
      </c>
      <c r="T38" s="17" t="str">
        <f aca="false">IF((E38="r"),H38," ")</f>
        <v> </v>
      </c>
      <c r="U38" s="17" t="str">
        <f aca="false">IF((E38="p"),H38," ")</f>
        <v> </v>
      </c>
      <c r="V38" s="17" t="str">
        <f aca="false">IF((E38="t"),H38," ")</f>
        <v> </v>
      </c>
      <c r="W38" s="17" t="str">
        <f aca="false">IF((E38="q"),H38," ")</f>
        <v> </v>
      </c>
      <c r="X38" s="17" t="str">
        <f aca="false">IF((E38="m"),H38," ")</f>
        <v> </v>
      </c>
      <c r="Y38" s="17" t="str">
        <f aca="false">IF((E38="u"),H38," ")</f>
        <v> </v>
      </c>
      <c r="Z38" s="17" t="str">
        <f aca="false">IF((E38="a"),H38," ")</f>
        <v> </v>
      </c>
      <c r="AA38" s="17" t="str">
        <f aca="false">IF((E38="g"),H38," ")</f>
        <v> </v>
      </c>
      <c r="AB38" s="17" t="str">
        <f aca="false">IF((E38="h"),H38," ")</f>
        <v> </v>
      </c>
      <c r="AC38" s="30" t="str">
        <f aca="false">IF((E38="v"),H38," ")</f>
        <v> </v>
      </c>
      <c r="AD38" s="30" t="str">
        <f aca="false">IF((E38="n"),H38," ")</f>
        <v> </v>
      </c>
      <c r="AE38" s="17" t="str">
        <f aca="false">IF((E38="f"),H38," ")</f>
        <v> </v>
      </c>
      <c r="AF38" s="17" t="str">
        <f aca="false">IF((E38="l"),H38," ")</f>
        <v> </v>
      </c>
      <c r="AG38" s="17" t="str">
        <f aca="false">IF((E38="y"),H38," ")</f>
        <v> </v>
      </c>
      <c r="AH38" s="17" t="str">
        <f aca="false">IF((E38="z"),H38," ")</f>
        <v> </v>
      </c>
      <c r="AI38" s="17" t="n">
        <f aca="false">IF((E38="fa"),H38," ")</f>
        <v>13000</v>
      </c>
      <c r="AJ38" s="17" t="str">
        <f aca="false">IF((E38="e"),H38," ")</f>
        <v> </v>
      </c>
      <c r="BZ38" s="2" t="s">
        <v>169</v>
      </c>
    </row>
    <row r="39" customFormat="false" ht="12" hidden="false" customHeight="false" outlineLevel="0" collapsed="false">
      <c r="A39" s="28"/>
      <c r="E39" s="2"/>
      <c r="F39" s="30"/>
      <c r="G39" s="6" t="str">
        <f aca="false">IF(F39&lt;&gt;0,F39*G$2/(100+G$2)," ")</f>
        <v> </v>
      </c>
      <c r="H39" s="6" t="str">
        <f aca="false">IF((F39&lt;&gt;0),F39-G39," ")</f>
        <v> </v>
      </c>
      <c r="I39" s="5"/>
      <c r="L39" s="7" t="str">
        <f aca="false">IF(F39&lt;&gt;0,F39-K39," ")</f>
        <v> </v>
      </c>
      <c r="M39" s="8" t="str">
        <f aca="false">IF((F39-K39)&lt;&gt;0,M$1-A39," ")</f>
        <v> </v>
      </c>
      <c r="N39" s="5"/>
      <c r="O39" s="17" t="str">
        <f aca="false">IF((E39="s"),H39," ")</f>
        <v> </v>
      </c>
      <c r="P39" s="17" t="str">
        <f aca="false">IF((E39="c"),H39," ")</f>
        <v> </v>
      </c>
      <c r="Q39" s="17" t="str">
        <f aca="false">IF((E39="o"),H39," ")</f>
        <v> </v>
      </c>
      <c r="R39" s="17" t="str">
        <f aca="false">IF((E39="d"),H39," ")</f>
        <v> </v>
      </c>
      <c r="S39" s="17" t="str">
        <f aca="false">IF((E39="w"),H39," ")</f>
        <v> </v>
      </c>
      <c r="T39" s="17" t="str">
        <f aca="false">IF((E39="r"),H39," ")</f>
        <v> </v>
      </c>
      <c r="U39" s="17" t="str">
        <f aca="false">IF((E39="p"),H39," ")</f>
        <v> </v>
      </c>
      <c r="V39" s="17" t="str">
        <f aca="false">IF((E39="t"),H39," ")</f>
        <v> </v>
      </c>
      <c r="W39" s="17" t="str">
        <f aca="false">IF((E39="q"),H39," ")</f>
        <v> </v>
      </c>
      <c r="X39" s="17" t="str">
        <f aca="false">IF((E39="m"),H39," ")</f>
        <v> </v>
      </c>
      <c r="Y39" s="17" t="str">
        <f aca="false">IF((E39="u"),H39," ")</f>
        <v> </v>
      </c>
      <c r="Z39" s="17" t="str">
        <f aca="false">IF((E39="a"),H39," ")</f>
        <v> </v>
      </c>
      <c r="AA39" s="17" t="str">
        <f aca="false">IF((E39="g"),H39," ")</f>
        <v> </v>
      </c>
      <c r="AB39" s="17" t="str">
        <f aca="false">IF((E39="h"),H39," ")</f>
        <v> </v>
      </c>
      <c r="AC39" s="30" t="str">
        <f aca="false">IF((E39="v"),H39," ")</f>
        <v> </v>
      </c>
      <c r="AD39" s="30" t="str">
        <f aca="false">IF((E39="n"),H39," ")</f>
        <v> </v>
      </c>
      <c r="AE39" s="17" t="str">
        <f aca="false">IF((E39="f"),H39," ")</f>
        <v> </v>
      </c>
      <c r="AF39" s="17" t="str">
        <f aca="false">IF((E39="l"),H39," ")</f>
        <v> </v>
      </c>
      <c r="AG39" s="17" t="str">
        <f aca="false">IF((E39="y"),H39," ")</f>
        <v> </v>
      </c>
      <c r="AH39" s="17" t="str">
        <f aca="false">IF((E39="z"),H39," ")</f>
        <v> </v>
      </c>
      <c r="AI39" s="17" t="str">
        <f aca="false">IF((E39="fa"),H39," ")</f>
        <v> </v>
      </c>
      <c r="AJ39" s="17" t="str">
        <f aca="false">IF((E39="e"),H39," ")</f>
        <v> </v>
      </c>
    </row>
    <row r="40" customFormat="false" ht="12" hidden="false" customHeight="false" outlineLevel="0" collapsed="false">
      <c r="A40" s="28"/>
      <c r="E40" s="2"/>
      <c r="F40" s="30"/>
      <c r="G40" s="6" t="str">
        <f aca="false">IF(F40&lt;&gt;0,F40*G$2/(100+G$2)," ")</f>
        <v> </v>
      </c>
      <c r="H40" s="6" t="str">
        <f aca="false">IF((F40&lt;&gt;0),F40-G40," ")</f>
        <v> </v>
      </c>
      <c r="I40" s="5"/>
      <c r="L40" s="7" t="str">
        <f aca="false">IF(F40&lt;&gt;0,F40-K40," ")</f>
        <v> </v>
      </c>
      <c r="M40" s="8" t="str">
        <f aca="false">IF((F40-K40)&lt;&gt;0,M$1-A40," ")</f>
        <v> </v>
      </c>
      <c r="N40" s="5"/>
      <c r="O40" s="17" t="str">
        <f aca="false">IF((E40="s"),H40," ")</f>
        <v> </v>
      </c>
      <c r="P40" s="17" t="str">
        <f aca="false">IF((E40="c"),H40," ")</f>
        <v> </v>
      </c>
      <c r="Q40" s="17" t="str">
        <f aca="false">IF((E40="o"),H40," ")</f>
        <v> </v>
      </c>
      <c r="R40" s="17" t="str">
        <f aca="false">IF((E40="d"),H40," ")</f>
        <v> </v>
      </c>
      <c r="S40" s="17" t="str">
        <f aca="false">IF((E40="w"),H40," ")</f>
        <v> </v>
      </c>
      <c r="T40" s="17" t="str">
        <f aca="false">IF((E40="r"),H40," ")</f>
        <v> </v>
      </c>
      <c r="U40" s="17" t="str">
        <f aca="false">IF((E40="p"),H40," ")</f>
        <v> </v>
      </c>
      <c r="V40" s="17" t="str">
        <f aca="false">IF((E40="t"),H40," ")</f>
        <v> </v>
      </c>
      <c r="W40" s="17" t="str">
        <f aca="false">IF((E40="q"),H40," ")</f>
        <v> </v>
      </c>
      <c r="X40" s="17" t="str">
        <f aca="false">IF((E40="m"),H40," ")</f>
        <v> </v>
      </c>
      <c r="Y40" s="17" t="str">
        <f aca="false">IF((E40="u"),H40," ")</f>
        <v> </v>
      </c>
      <c r="Z40" s="17" t="str">
        <f aca="false">IF((E40="a"),H40," ")</f>
        <v> </v>
      </c>
      <c r="AA40" s="17" t="str">
        <f aca="false">IF((E40="g"),H40," ")</f>
        <v> </v>
      </c>
      <c r="AB40" s="17" t="str">
        <f aca="false">IF((E40="h"),H40," ")</f>
        <v> </v>
      </c>
      <c r="AC40" s="30" t="str">
        <f aca="false">IF((E40="v"),H40," ")</f>
        <v> </v>
      </c>
      <c r="AD40" s="30" t="str">
        <f aca="false">IF((E40="n"),H40," ")</f>
        <v> </v>
      </c>
      <c r="AE40" s="17" t="str">
        <f aca="false">IF((E40="f"),H40," ")</f>
        <v> </v>
      </c>
      <c r="AF40" s="17" t="str">
        <f aca="false">IF((E40="l"),H40," ")</f>
        <v> </v>
      </c>
      <c r="AG40" s="17" t="str">
        <f aca="false">IF((E40="y"),H40," ")</f>
        <v> </v>
      </c>
      <c r="AH40" s="17" t="str">
        <f aca="false">IF((E40="z"),H40," ")</f>
        <v> </v>
      </c>
      <c r="AI40" s="17" t="str">
        <f aca="false">IF((E40="fa"),H40," ")</f>
        <v> </v>
      </c>
      <c r="AJ40" s="17" t="str">
        <f aca="false">IF((E40="e"),H40," ")</f>
        <v> </v>
      </c>
    </row>
    <row r="41" customFormat="false" ht="12" hidden="false" customHeight="false" outlineLevel="0" collapsed="false">
      <c r="A41" s="28"/>
      <c r="E41" s="2"/>
      <c r="F41" s="30"/>
      <c r="G41" s="6" t="str">
        <f aca="false">IF(F41&lt;&gt;0,F41*G$2/(100+G$2)," ")</f>
        <v> </v>
      </c>
      <c r="H41" s="6" t="str">
        <f aca="false">IF((F41&lt;&gt;0),F41-G41," ")</f>
        <v> </v>
      </c>
      <c r="I41" s="5"/>
      <c r="L41" s="7" t="str">
        <f aca="false">IF(F41&lt;&gt;0,F41-K41," ")</f>
        <v> </v>
      </c>
      <c r="M41" s="8" t="str">
        <f aca="false">IF((F41-K41)&lt;&gt;0,M$1-A41," ")</f>
        <v> </v>
      </c>
      <c r="N41" s="5"/>
      <c r="O41" s="17" t="str">
        <f aca="false">IF((E41="s"),H41," ")</f>
        <v> </v>
      </c>
      <c r="P41" s="17" t="str">
        <f aca="false">IF((E41="c"),H41," ")</f>
        <v> </v>
      </c>
      <c r="Q41" s="17" t="str">
        <f aca="false">IF((E41="o"),H41," ")</f>
        <v> </v>
      </c>
      <c r="R41" s="17" t="str">
        <f aca="false">IF((E41="d"),H41," ")</f>
        <v> </v>
      </c>
      <c r="S41" s="17" t="str">
        <f aca="false">IF((E41="w"),H41," ")</f>
        <v> </v>
      </c>
      <c r="T41" s="17" t="str">
        <f aca="false">IF((E41="r"),H41," ")</f>
        <v> </v>
      </c>
      <c r="U41" s="17" t="str">
        <f aca="false">IF((E41="p"),H41," ")</f>
        <v> </v>
      </c>
      <c r="V41" s="17" t="str">
        <f aca="false">IF((E41="t"),H41," ")</f>
        <v> </v>
      </c>
      <c r="W41" s="17" t="str">
        <f aca="false">IF((E41="q"),H41," ")</f>
        <v> </v>
      </c>
      <c r="X41" s="17" t="str">
        <f aca="false">IF((E41="m"),H41," ")</f>
        <v> </v>
      </c>
      <c r="Y41" s="17" t="str">
        <f aca="false">IF((E41="u"),H41," ")</f>
        <v> </v>
      </c>
      <c r="Z41" s="17" t="str">
        <f aca="false">IF((E41="a"),H41," ")</f>
        <v> </v>
      </c>
      <c r="AA41" s="17" t="str">
        <f aca="false">IF((E41="g"),H41," ")</f>
        <v> </v>
      </c>
      <c r="AB41" s="17" t="str">
        <f aca="false">IF((E41="h"),H41," ")</f>
        <v> </v>
      </c>
      <c r="AC41" s="30" t="str">
        <f aca="false">IF((E41="v"),H41," ")</f>
        <v> </v>
      </c>
      <c r="AD41" s="30" t="str">
        <f aca="false">IF((E41="n"),H41," ")</f>
        <v> </v>
      </c>
      <c r="AE41" s="17" t="str">
        <f aca="false">IF((E41="f"),H41," ")</f>
        <v> </v>
      </c>
      <c r="AF41" s="17" t="str">
        <f aca="false">IF((E41="l"),H41," ")</f>
        <v> </v>
      </c>
      <c r="AG41" s="17" t="str">
        <f aca="false">IF((E41="y"),H41," ")</f>
        <v> </v>
      </c>
      <c r="AH41" s="17" t="str">
        <f aca="false">IF((E41="z"),H41," ")</f>
        <v> </v>
      </c>
      <c r="AI41" s="17" t="str">
        <f aca="false">IF((E41="fa"),H41," ")</f>
        <v> </v>
      </c>
      <c r="AJ41" s="17" t="str">
        <f aca="false">IF((E41="e"),H41," ")</f>
        <v> </v>
      </c>
    </row>
    <row r="42" customFormat="false" ht="12" hidden="false" customHeight="false" outlineLevel="0" collapsed="false">
      <c r="A42" s="28"/>
      <c r="E42" s="2"/>
      <c r="F42" s="30"/>
      <c r="G42" s="6" t="str">
        <f aca="false">IF(F42&lt;&gt;0,F42*G$2/(100+G$2)," ")</f>
        <v> </v>
      </c>
      <c r="H42" s="6" t="str">
        <f aca="false">IF((F42&lt;&gt;0),F42-G42," ")</f>
        <v> </v>
      </c>
      <c r="I42" s="5"/>
      <c r="L42" s="7" t="str">
        <f aca="false">IF(F42&lt;&gt;0,F42-K42," ")</f>
        <v> </v>
      </c>
      <c r="M42" s="8" t="str">
        <f aca="false">IF((F42-K42)&lt;&gt;0,M$1-A42," ")</f>
        <v> </v>
      </c>
      <c r="N42" s="5"/>
      <c r="O42" s="17" t="str">
        <f aca="false">IF((E42="s"),H42," ")</f>
        <v> </v>
      </c>
      <c r="P42" s="17" t="str">
        <f aca="false">IF((E42="c"),H42," ")</f>
        <v> </v>
      </c>
      <c r="Q42" s="17" t="str">
        <f aca="false">IF((E42="o"),H42," ")</f>
        <v> </v>
      </c>
      <c r="R42" s="17" t="str">
        <f aca="false">IF((E42="d"),H42," ")</f>
        <v> </v>
      </c>
      <c r="S42" s="17" t="str">
        <f aca="false">IF((E42="w"),H42," ")</f>
        <v> </v>
      </c>
      <c r="T42" s="17" t="str">
        <f aca="false">IF((E42="r"),H42," ")</f>
        <v> </v>
      </c>
      <c r="U42" s="17" t="str">
        <f aca="false">IF((E42="p"),H42," ")</f>
        <v> </v>
      </c>
      <c r="V42" s="17" t="str">
        <f aca="false">IF((E42="t"),H42," ")</f>
        <v> </v>
      </c>
      <c r="W42" s="17" t="str">
        <f aca="false">IF((E42="q"),H42," ")</f>
        <v> </v>
      </c>
      <c r="X42" s="17" t="str">
        <f aca="false">IF((E42="m"),H42," ")</f>
        <v> </v>
      </c>
      <c r="Y42" s="17" t="str">
        <f aca="false">IF((E42="u"),H42," ")</f>
        <v> </v>
      </c>
      <c r="Z42" s="17" t="str">
        <f aca="false">IF((E42="a"),H42," ")</f>
        <v> </v>
      </c>
      <c r="AA42" s="17" t="str">
        <f aca="false">IF((E42="g"),H42," ")</f>
        <v> </v>
      </c>
      <c r="AB42" s="17" t="str">
        <f aca="false">IF((E42="h"),H42," ")</f>
        <v> </v>
      </c>
      <c r="AC42" s="30" t="str">
        <f aca="false">IF((E42="v"),H42," ")</f>
        <v> </v>
      </c>
      <c r="AD42" s="30" t="str">
        <f aca="false">IF((E42="n"),H42," ")</f>
        <v> </v>
      </c>
      <c r="AE42" s="17" t="str">
        <f aca="false">IF((E42="f"),H42," ")</f>
        <v> </v>
      </c>
      <c r="AF42" s="17" t="str">
        <f aca="false">IF((E42="l"),H42," ")</f>
        <v> </v>
      </c>
      <c r="AG42" s="17" t="str">
        <f aca="false">IF((E42="y"),H42," ")</f>
        <v> </v>
      </c>
      <c r="AH42" s="17" t="str">
        <f aca="false">IF((E42="z"),H42," ")</f>
        <v> </v>
      </c>
      <c r="AI42" s="17" t="str">
        <f aca="false">IF((E42="fa"),H42," ")</f>
        <v> </v>
      </c>
      <c r="AJ42" s="17" t="str">
        <f aca="false">IF((E42="e"),H42," ")</f>
        <v> </v>
      </c>
    </row>
    <row r="43" customFormat="false" ht="12" hidden="false" customHeight="false" outlineLevel="0" collapsed="false">
      <c r="A43" s="28"/>
      <c r="E43" s="2"/>
      <c r="F43" s="30"/>
      <c r="G43" s="6" t="str">
        <f aca="false">IF(F43&lt;&gt;0,F43*G$2/(100+G$2)," ")</f>
        <v> </v>
      </c>
      <c r="H43" s="6" t="str">
        <f aca="false">IF((F43&lt;&gt;0),F43-G43," ")</f>
        <v> </v>
      </c>
      <c r="I43" s="5"/>
      <c r="L43" s="7" t="str">
        <f aca="false">IF(F43&lt;&gt;0,F43-K43," ")</f>
        <v> </v>
      </c>
      <c r="M43" s="8" t="str">
        <f aca="false">IF((F43-K43)&lt;&gt;0,M$1-A43," ")</f>
        <v> </v>
      </c>
      <c r="N43" s="5"/>
      <c r="O43" s="17" t="str">
        <f aca="false">IF((E43="s"),H43," ")</f>
        <v> </v>
      </c>
      <c r="P43" s="17" t="str">
        <f aca="false">IF((E43="c"),H43," ")</f>
        <v> </v>
      </c>
      <c r="Q43" s="17" t="str">
        <f aca="false">IF((E43="o"),H43," ")</f>
        <v> </v>
      </c>
      <c r="R43" s="17" t="str">
        <f aca="false">IF((E43="d"),H43," ")</f>
        <v> </v>
      </c>
      <c r="S43" s="17" t="str">
        <f aca="false">IF((E43="w"),H43," ")</f>
        <v> </v>
      </c>
      <c r="T43" s="17" t="str">
        <f aca="false">IF((E43="r"),H43," ")</f>
        <v> </v>
      </c>
      <c r="U43" s="17" t="str">
        <f aca="false">IF((E43="p"),H43," ")</f>
        <v> </v>
      </c>
      <c r="V43" s="17" t="str">
        <f aca="false">IF((E43="t"),H43," ")</f>
        <v> </v>
      </c>
      <c r="W43" s="17" t="str">
        <f aca="false">IF((E43="q"),H43," ")</f>
        <v> </v>
      </c>
      <c r="X43" s="17" t="str">
        <f aca="false">IF((E43="m"),H43," ")</f>
        <v> </v>
      </c>
      <c r="Y43" s="17" t="str">
        <f aca="false">IF((E43="u"),H43," ")</f>
        <v> </v>
      </c>
      <c r="Z43" s="17" t="str">
        <f aca="false">IF((E43="a"),H43," ")</f>
        <v> </v>
      </c>
      <c r="AA43" s="17" t="str">
        <f aca="false">IF((E43="g"),H43," ")</f>
        <v> </v>
      </c>
      <c r="AB43" s="17" t="str">
        <f aca="false">IF((E43="h"),H43," ")</f>
        <v> </v>
      </c>
      <c r="AC43" s="30" t="str">
        <f aca="false">IF((E43="v"),H43," ")</f>
        <v> </v>
      </c>
      <c r="AD43" s="30" t="str">
        <f aca="false">IF((E43="n"),H43," ")</f>
        <v> </v>
      </c>
      <c r="AE43" s="17" t="str">
        <f aca="false">IF((E43="f"),H43," ")</f>
        <v> </v>
      </c>
      <c r="AF43" s="17" t="str">
        <f aca="false">IF((E43="l"),H43," ")</f>
        <v> </v>
      </c>
      <c r="AG43" s="17" t="str">
        <f aca="false">IF((E43="y"),H43," ")</f>
        <v> </v>
      </c>
      <c r="AH43" s="17" t="str">
        <f aca="false">IF((E43="z"),H43," ")</f>
        <v> </v>
      </c>
      <c r="AI43" s="17" t="str">
        <f aca="false">IF((E43="fa"),H43," ")</f>
        <v> </v>
      </c>
      <c r="AJ43" s="17" t="str">
        <f aca="false">IF((E43="e"),H43," ")</f>
        <v> </v>
      </c>
    </row>
    <row r="44" customFormat="false" ht="12" hidden="false" customHeight="false" outlineLevel="0" collapsed="false">
      <c r="A44" s="28"/>
      <c r="E44" s="2"/>
      <c r="F44" s="30"/>
      <c r="G44" s="6" t="str">
        <f aca="false">IF(F44&lt;&gt;0,F44*G$2/(100+G$2)," ")</f>
        <v> </v>
      </c>
      <c r="H44" s="6" t="str">
        <f aca="false">IF((F44&lt;&gt;0),F44-G44," ")</f>
        <v> </v>
      </c>
      <c r="I44" s="5"/>
      <c r="L44" s="7" t="str">
        <f aca="false">IF(F44&lt;&gt;0,F44-K44," ")</f>
        <v> </v>
      </c>
      <c r="M44" s="8" t="str">
        <f aca="false">IF((F44-K44)&lt;&gt;0,M$1-A44," ")</f>
        <v> </v>
      </c>
      <c r="N44" s="5"/>
      <c r="O44" s="17" t="str">
        <f aca="false">IF((E44="s"),H44," ")</f>
        <v> </v>
      </c>
      <c r="P44" s="17" t="str">
        <f aca="false">IF((E44="c"),H44," ")</f>
        <v> </v>
      </c>
      <c r="Q44" s="17" t="str">
        <f aca="false">IF((E44="o"),H44," ")</f>
        <v> </v>
      </c>
      <c r="R44" s="17" t="str">
        <f aca="false">IF((E44="d"),H44," ")</f>
        <v> </v>
      </c>
      <c r="S44" s="17" t="str">
        <f aca="false">IF((E44="w"),H44," ")</f>
        <v> </v>
      </c>
      <c r="T44" s="17" t="str">
        <f aca="false">IF((E44="r"),H44," ")</f>
        <v> </v>
      </c>
      <c r="U44" s="17" t="str">
        <f aca="false">IF((E44="p"),H44," ")</f>
        <v> </v>
      </c>
      <c r="V44" s="17" t="str">
        <f aca="false">IF((E44="t"),H44," ")</f>
        <v> </v>
      </c>
      <c r="W44" s="17" t="str">
        <f aca="false">IF((E44="q"),H44," ")</f>
        <v> </v>
      </c>
      <c r="X44" s="17" t="str">
        <f aca="false">IF((E44="m"),H44," ")</f>
        <v> </v>
      </c>
      <c r="Y44" s="17" t="str">
        <f aca="false">IF((E44="u"),H44," ")</f>
        <v> </v>
      </c>
      <c r="Z44" s="17" t="str">
        <f aca="false">IF((E44="a"),H44," ")</f>
        <v> </v>
      </c>
      <c r="AA44" s="17" t="str">
        <f aca="false">IF((E44="g"),H44," ")</f>
        <v> </v>
      </c>
      <c r="AB44" s="17" t="str">
        <f aca="false">IF((E44="h"),H44," ")</f>
        <v> </v>
      </c>
      <c r="AC44" s="30" t="str">
        <f aca="false">IF((E44="v"),H44," ")</f>
        <v> </v>
      </c>
      <c r="AD44" s="30" t="str">
        <f aca="false">IF((E44="n"),H44," ")</f>
        <v> </v>
      </c>
      <c r="AE44" s="17" t="str">
        <f aca="false">IF((E44="f"),H44," ")</f>
        <v> </v>
      </c>
      <c r="AF44" s="17" t="str">
        <f aca="false">IF((E44="l"),H44," ")</f>
        <v> </v>
      </c>
      <c r="AG44" s="17" t="str">
        <f aca="false">IF((E44="y"),H44," ")</f>
        <v> </v>
      </c>
      <c r="AH44" s="17" t="str">
        <f aca="false">IF((E44="z"),H44," ")</f>
        <v> </v>
      </c>
      <c r="AI44" s="17" t="str">
        <f aca="false">IF((E44="fa"),H44," ")</f>
        <v> </v>
      </c>
      <c r="AJ44" s="17" t="str">
        <f aca="false">IF((E44="e"),H44," ")</f>
        <v> </v>
      </c>
    </row>
    <row r="45" customFormat="false" ht="12" hidden="false" customHeight="false" outlineLevel="0" collapsed="false">
      <c r="A45" s="28"/>
      <c r="E45" s="2"/>
      <c r="F45" s="30"/>
      <c r="G45" s="6" t="str">
        <f aca="false">IF(F45&lt;&gt;0,F45*G$2/(100+G$2)," ")</f>
        <v> </v>
      </c>
      <c r="H45" s="6" t="str">
        <f aca="false">IF((F45&lt;&gt;0),F45-G45," ")</f>
        <v> </v>
      </c>
      <c r="I45" s="5"/>
      <c r="L45" s="7" t="str">
        <f aca="false">IF(F45&lt;&gt;0,F45-K45," ")</f>
        <v> </v>
      </c>
      <c r="M45" s="8" t="str">
        <f aca="false">IF((F45-K45)&lt;&gt;0,M$1-A45," ")</f>
        <v> </v>
      </c>
      <c r="N45" s="5"/>
      <c r="O45" s="17" t="str">
        <f aca="false">IF((E45="s"),H45," ")</f>
        <v> </v>
      </c>
      <c r="P45" s="17" t="str">
        <f aca="false">IF((E45="c"),H45," ")</f>
        <v> </v>
      </c>
      <c r="Q45" s="17" t="str">
        <f aca="false">IF((E45="o"),H45," ")</f>
        <v> </v>
      </c>
      <c r="R45" s="17" t="str">
        <f aca="false">IF((E45="d"),H45," ")</f>
        <v> </v>
      </c>
      <c r="S45" s="17" t="str">
        <f aca="false">IF((E45="w"),H45," ")</f>
        <v> </v>
      </c>
      <c r="T45" s="17" t="str">
        <f aca="false">IF((E45="r"),H45," ")</f>
        <v> </v>
      </c>
      <c r="U45" s="17" t="str">
        <f aca="false">IF((E45="p"),H45," ")</f>
        <v> </v>
      </c>
      <c r="V45" s="17" t="str">
        <f aca="false">IF((E45="t"),H45," ")</f>
        <v> </v>
      </c>
      <c r="W45" s="17" t="str">
        <f aca="false">IF((E45="q"),H45," ")</f>
        <v> </v>
      </c>
      <c r="X45" s="17" t="str">
        <f aca="false">IF((E45="m"),H45," ")</f>
        <v> </v>
      </c>
      <c r="Y45" s="17" t="str">
        <f aca="false">IF((E45="u"),H45," ")</f>
        <v> </v>
      </c>
      <c r="Z45" s="17" t="str">
        <f aca="false">IF((E45="a"),H45," ")</f>
        <v> </v>
      </c>
      <c r="AA45" s="17" t="str">
        <f aca="false">IF((E45="g"),H45," ")</f>
        <v> </v>
      </c>
      <c r="AB45" s="17" t="str">
        <f aca="false">IF((E45="h"),H45," ")</f>
        <v> </v>
      </c>
      <c r="AC45" s="30" t="str">
        <f aca="false">IF((E45="v"),H45," ")</f>
        <v> </v>
      </c>
      <c r="AD45" s="30" t="str">
        <f aca="false">IF((E45="n"),H45," ")</f>
        <v> </v>
      </c>
      <c r="AE45" s="17" t="str">
        <f aca="false">IF((E45="f"),H45," ")</f>
        <v> </v>
      </c>
      <c r="AF45" s="17" t="str">
        <f aca="false">IF((E45="l"),H45," ")</f>
        <v> </v>
      </c>
      <c r="AG45" s="17" t="str">
        <f aca="false">IF((E45="y"),H45," ")</f>
        <v> </v>
      </c>
      <c r="AH45" s="17" t="str">
        <f aca="false">IF((E45="z"),H45," ")</f>
        <v> </v>
      </c>
      <c r="AI45" s="17" t="str">
        <f aca="false">IF((E45="fa"),H45," ")</f>
        <v> </v>
      </c>
      <c r="AJ45" s="17" t="str">
        <f aca="false">IF((E45="e"),H45," ")</f>
        <v> </v>
      </c>
    </row>
    <row r="46" customFormat="false" ht="12" hidden="false" customHeight="false" outlineLevel="0" collapsed="false">
      <c r="A46" s="28"/>
      <c r="E46" s="2"/>
      <c r="F46" s="30"/>
      <c r="G46" s="6" t="str">
        <f aca="false">IF(F46&lt;&gt;0,F46*G$2/(100+G$2)," ")</f>
        <v> </v>
      </c>
      <c r="H46" s="6" t="str">
        <f aca="false">IF((F46&lt;&gt;0),F46-G46," ")</f>
        <v> </v>
      </c>
      <c r="I46" s="5"/>
      <c r="L46" s="7" t="str">
        <f aca="false">IF(F46&lt;&gt;0,F46-K46," ")</f>
        <v> </v>
      </c>
      <c r="M46" s="8" t="str">
        <f aca="false">IF((F46-K46)&lt;&gt;0,M$1-A46," ")</f>
        <v> </v>
      </c>
      <c r="N46" s="5"/>
      <c r="O46" s="17" t="str">
        <f aca="false">IF((E46="s"),H46," ")</f>
        <v> </v>
      </c>
      <c r="P46" s="17" t="str">
        <f aca="false">IF((E46="c"),H46," ")</f>
        <v> </v>
      </c>
      <c r="Q46" s="17" t="str">
        <f aca="false">IF((E46="o"),H46," ")</f>
        <v> </v>
      </c>
      <c r="R46" s="17" t="str">
        <f aca="false">IF((E46="d"),H46," ")</f>
        <v> </v>
      </c>
      <c r="S46" s="17" t="str">
        <f aca="false">IF((E46="w"),H46," ")</f>
        <v> </v>
      </c>
      <c r="T46" s="17" t="str">
        <f aca="false">IF((E46="r"),H46," ")</f>
        <v> </v>
      </c>
      <c r="U46" s="17" t="str">
        <f aca="false">IF((E46="p"),H46," ")</f>
        <v> </v>
      </c>
      <c r="V46" s="17" t="str">
        <f aca="false">IF((E46="t"),H46," ")</f>
        <v> </v>
      </c>
      <c r="W46" s="17" t="str">
        <f aca="false">IF((E46="q"),H46," ")</f>
        <v> </v>
      </c>
      <c r="X46" s="17" t="str">
        <f aca="false">IF((E46="m"),H46," ")</f>
        <v> </v>
      </c>
      <c r="Y46" s="17" t="str">
        <f aca="false">IF((E46="u"),H46," ")</f>
        <v> </v>
      </c>
      <c r="Z46" s="17" t="str">
        <f aca="false">IF((E46="a"),H46," ")</f>
        <v> </v>
      </c>
      <c r="AA46" s="17" t="str">
        <f aca="false">IF((E46="g"),H46," ")</f>
        <v> </v>
      </c>
      <c r="AB46" s="17" t="str">
        <f aca="false">IF((E46="h"),H46," ")</f>
        <v> </v>
      </c>
      <c r="AC46" s="30" t="str">
        <f aca="false">IF((E46="v"),H46," ")</f>
        <v> </v>
      </c>
      <c r="AD46" s="30" t="str">
        <f aca="false">IF((E46="n"),H46," ")</f>
        <v> </v>
      </c>
      <c r="AE46" s="17" t="str">
        <f aca="false">IF((E46="f"),H46," ")</f>
        <v> </v>
      </c>
      <c r="AF46" s="17" t="str">
        <f aca="false">IF((E46="l"),H46," ")</f>
        <v> </v>
      </c>
      <c r="AG46" s="17" t="str">
        <f aca="false">IF((E46="y"),H46," ")</f>
        <v> </v>
      </c>
      <c r="AH46" s="17" t="str">
        <f aca="false">IF((E46="z"),H46," ")</f>
        <v> </v>
      </c>
      <c r="AI46" s="17" t="str">
        <f aca="false">IF((E46="fa"),H46," ")</f>
        <v> </v>
      </c>
      <c r="AJ46" s="17" t="str">
        <f aca="false">IF((E46="e"),H46," ")</f>
        <v> </v>
      </c>
    </row>
    <row r="47" customFormat="false" ht="12" hidden="false" customHeight="false" outlineLevel="0" collapsed="false">
      <c r="A47" s="28"/>
      <c r="E47" s="2"/>
      <c r="F47" s="30"/>
      <c r="G47" s="6" t="str">
        <f aca="false">IF(F47&lt;&gt;0,F47*G$2/(100+G$2)," ")</f>
        <v> </v>
      </c>
      <c r="H47" s="6" t="str">
        <f aca="false">IF((F47&lt;&gt;0),F47-G47," ")</f>
        <v> </v>
      </c>
      <c r="I47" s="5"/>
      <c r="L47" s="7" t="str">
        <f aca="false">IF(F47&lt;&gt;0,F47-K47," ")</f>
        <v> </v>
      </c>
      <c r="M47" s="8" t="str">
        <f aca="false">IF((F47-K47)&lt;&gt;0,M$1-A47," ")</f>
        <v> </v>
      </c>
      <c r="N47" s="5"/>
      <c r="O47" s="17" t="str">
        <f aca="false">IF((E47="s"),H47," ")</f>
        <v> </v>
      </c>
      <c r="P47" s="17" t="str">
        <f aca="false">IF((E47="c"),H47," ")</f>
        <v> </v>
      </c>
      <c r="Q47" s="17" t="str">
        <f aca="false">IF((E47="o"),H47," ")</f>
        <v> </v>
      </c>
      <c r="R47" s="17" t="str">
        <f aca="false">IF((E47="d"),H47," ")</f>
        <v> </v>
      </c>
      <c r="S47" s="17" t="str">
        <f aca="false">IF((E47="w"),H47," ")</f>
        <v> </v>
      </c>
      <c r="T47" s="17" t="str">
        <f aca="false">IF((E47="r"),H47," ")</f>
        <v> </v>
      </c>
      <c r="U47" s="17" t="str">
        <f aca="false">IF((E47="p"),H47," ")</f>
        <v> </v>
      </c>
      <c r="V47" s="17" t="str">
        <f aca="false">IF((E47="t"),H47," ")</f>
        <v> </v>
      </c>
      <c r="W47" s="17" t="str">
        <f aca="false">IF((E47="q"),H47," ")</f>
        <v> </v>
      </c>
      <c r="X47" s="17" t="str">
        <f aca="false">IF((E47="m"),H47," ")</f>
        <v> </v>
      </c>
      <c r="Y47" s="17" t="str">
        <f aca="false">IF((E47="u"),H47," ")</f>
        <v> </v>
      </c>
      <c r="Z47" s="17" t="str">
        <f aca="false">IF((E47="a"),H47," ")</f>
        <v> </v>
      </c>
      <c r="AA47" s="17" t="str">
        <f aca="false">IF((E47="g"),H47," ")</f>
        <v> </v>
      </c>
      <c r="AB47" s="17" t="str">
        <f aca="false">IF((E47="h"),H47," ")</f>
        <v> </v>
      </c>
      <c r="AC47" s="30" t="str">
        <f aca="false">IF((E47="v"),H47," ")</f>
        <v> </v>
      </c>
      <c r="AD47" s="30" t="str">
        <f aca="false">IF((E47="n"),H47," ")</f>
        <v> </v>
      </c>
      <c r="AE47" s="17" t="str">
        <f aca="false">IF((E47="f"),H47," ")</f>
        <v> </v>
      </c>
      <c r="AF47" s="17" t="str">
        <f aca="false">IF((E47="l"),H47," ")</f>
        <v> </v>
      </c>
      <c r="AG47" s="17" t="str">
        <f aca="false">IF((E47="y"),H47," ")</f>
        <v> </v>
      </c>
      <c r="AH47" s="17" t="str">
        <f aca="false">IF((E47="z"),H47," ")</f>
        <v> </v>
      </c>
      <c r="AI47" s="17" t="str">
        <f aca="false">IF((E47="fa"),H47," ")</f>
        <v> </v>
      </c>
      <c r="AJ47" s="17" t="str">
        <f aca="false">IF((E47="e"),H47," ")</f>
        <v> </v>
      </c>
    </row>
    <row r="48" customFormat="false" ht="12" hidden="false" customHeight="false" outlineLevel="0" collapsed="false">
      <c r="A48" s="28"/>
      <c r="E48" s="2"/>
      <c r="F48" s="30"/>
      <c r="G48" s="6" t="str">
        <f aca="false">IF(F48&lt;&gt;0,F48*G$2/(100+G$2)," ")</f>
        <v> </v>
      </c>
      <c r="H48" s="6" t="str">
        <f aca="false">IF((F48&lt;&gt;0),F48-G48," ")</f>
        <v> </v>
      </c>
      <c r="I48" s="5"/>
      <c r="L48" s="7" t="str">
        <f aca="false">IF(F48&lt;&gt;0,F48-K48," ")</f>
        <v> </v>
      </c>
      <c r="M48" s="8" t="str">
        <f aca="false">IF((F48-K48)&lt;&gt;0,M$1-A48," ")</f>
        <v> </v>
      </c>
      <c r="N48" s="5"/>
      <c r="O48" s="17" t="str">
        <f aca="false">IF((E48="s"),H48," ")</f>
        <v> </v>
      </c>
      <c r="P48" s="17" t="str">
        <f aca="false">IF((E48="c"),H48," ")</f>
        <v> </v>
      </c>
      <c r="Q48" s="17" t="str">
        <f aca="false">IF((E48="o"),H48," ")</f>
        <v> </v>
      </c>
      <c r="R48" s="17" t="str">
        <f aca="false">IF((E48="d"),H48," ")</f>
        <v> </v>
      </c>
      <c r="S48" s="17" t="str">
        <f aca="false">IF((E48="w"),H48," ")</f>
        <v> </v>
      </c>
      <c r="T48" s="17" t="str">
        <f aca="false">IF((E48="r"),H48," ")</f>
        <v> </v>
      </c>
      <c r="U48" s="17" t="str">
        <f aca="false">IF((E48="p"),H48," ")</f>
        <v> </v>
      </c>
      <c r="V48" s="17" t="str">
        <f aca="false">IF((E48="t"),H48," ")</f>
        <v> </v>
      </c>
      <c r="W48" s="17" t="str">
        <f aca="false">IF((E48="q"),H48," ")</f>
        <v> </v>
      </c>
      <c r="X48" s="17" t="str">
        <f aca="false">IF((E48="m"),H48," ")</f>
        <v> </v>
      </c>
      <c r="Y48" s="17" t="str">
        <f aca="false">IF((E48="u"),H48," ")</f>
        <v> </v>
      </c>
      <c r="Z48" s="17" t="str">
        <f aca="false">IF((E48="a"),H48," ")</f>
        <v> </v>
      </c>
      <c r="AA48" s="17" t="str">
        <f aca="false">IF((E48="g"),H48," ")</f>
        <v> </v>
      </c>
      <c r="AB48" s="17" t="str">
        <f aca="false">IF((E48="h"),H48," ")</f>
        <v> </v>
      </c>
      <c r="AC48" s="30" t="str">
        <f aca="false">IF((E48="v"),H48," ")</f>
        <v> </v>
      </c>
      <c r="AD48" s="30" t="str">
        <f aca="false">IF((E48="n"),H48," ")</f>
        <v> </v>
      </c>
      <c r="AE48" s="17" t="str">
        <f aca="false">IF((E48="f"),H48," ")</f>
        <v> </v>
      </c>
      <c r="AF48" s="17" t="str">
        <f aca="false">IF((E48="l"),H48," ")</f>
        <v> </v>
      </c>
      <c r="AG48" s="17" t="str">
        <f aca="false">IF((E48="y"),H48," ")</f>
        <v> </v>
      </c>
      <c r="AH48" s="17" t="str">
        <f aca="false">IF((E48="z"),H48," ")</f>
        <v> </v>
      </c>
      <c r="AI48" s="17" t="str">
        <f aca="false">IF((E48="fa"),H48," ")</f>
        <v> </v>
      </c>
      <c r="AJ48" s="17" t="str">
        <f aca="false">IF((E48="e"),H48," ")</f>
        <v> </v>
      </c>
    </row>
    <row r="49" customFormat="false" ht="12" hidden="false" customHeight="false" outlineLevel="0" collapsed="false">
      <c r="A49" s="28"/>
      <c r="E49" s="2"/>
      <c r="F49" s="30"/>
      <c r="G49" s="6" t="str">
        <f aca="false">IF(F49&lt;&gt;0,F49*G$2/(100+G$2)," ")</f>
        <v> </v>
      </c>
      <c r="H49" s="6" t="str">
        <f aca="false">IF((F49&lt;&gt;0),F49-G49," ")</f>
        <v> </v>
      </c>
      <c r="I49" s="5"/>
      <c r="L49" s="7" t="str">
        <f aca="false">IF(F49&lt;&gt;0,F49-K49," ")</f>
        <v> </v>
      </c>
      <c r="M49" s="8" t="str">
        <f aca="false">IF((F49-K49)&lt;&gt;0,M$1-A49," ")</f>
        <v> </v>
      </c>
      <c r="N49" s="5"/>
      <c r="O49" s="17" t="str">
        <f aca="false">IF((E49="s"),H49," ")</f>
        <v> </v>
      </c>
      <c r="P49" s="17" t="str">
        <f aca="false">IF((E49="c"),H49," ")</f>
        <v> </v>
      </c>
      <c r="Q49" s="17" t="str">
        <f aca="false">IF((E49="o"),H49," ")</f>
        <v> </v>
      </c>
      <c r="R49" s="17" t="str">
        <f aca="false">IF((E49="d"),H49," ")</f>
        <v> </v>
      </c>
      <c r="S49" s="17" t="str">
        <f aca="false">IF((E49="w"),H49," ")</f>
        <v> </v>
      </c>
      <c r="T49" s="17" t="str">
        <f aca="false">IF((E49="r"),H49," ")</f>
        <v> </v>
      </c>
      <c r="U49" s="17" t="str">
        <f aca="false">IF((E49="p"),H49," ")</f>
        <v> </v>
      </c>
      <c r="V49" s="17" t="str">
        <f aca="false">IF((E49="t"),H49," ")</f>
        <v> </v>
      </c>
      <c r="W49" s="17" t="str">
        <f aca="false">IF((E49="q"),H49," ")</f>
        <v> </v>
      </c>
      <c r="X49" s="17" t="str">
        <f aca="false">IF((E49="m"),H49," ")</f>
        <v> </v>
      </c>
      <c r="Y49" s="17" t="str">
        <f aca="false">IF((E49="u"),H49," ")</f>
        <v> </v>
      </c>
      <c r="Z49" s="17" t="str">
        <f aca="false">IF((E49="a"),H49," ")</f>
        <v> </v>
      </c>
      <c r="AA49" s="17" t="str">
        <f aca="false">IF((E49="g"),H49," ")</f>
        <v> </v>
      </c>
      <c r="AB49" s="17" t="str">
        <f aca="false">IF((E49="h"),H49," ")</f>
        <v> </v>
      </c>
      <c r="AC49" s="30" t="str">
        <f aca="false">IF((E49="v"),H49," ")</f>
        <v> </v>
      </c>
      <c r="AD49" s="30" t="str">
        <f aca="false">IF((E49="n"),H49," ")</f>
        <v> </v>
      </c>
      <c r="AE49" s="17" t="str">
        <f aca="false">IF((E49="f"),H49," ")</f>
        <v> </v>
      </c>
      <c r="AF49" s="17" t="str">
        <f aca="false">IF((E49="l"),H49," ")</f>
        <v> </v>
      </c>
      <c r="AG49" s="17" t="str">
        <f aca="false">IF((E49="y"),H49," ")</f>
        <v> </v>
      </c>
      <c r="AH49" s="17" t="str">
        <f aca="false">IF((E49="z"),H49," ")</f>
        <v> </v>
      </c>
      <c r="AI49" s="17" t="str">
        <f aca="false">IF((E49="fa"),H49," ")</f>
        <v> </v>
      </c>
      <c r="AJ49" s="17" t="str">
        <f aca="false">IF((E49="e"),H49," ")</f>
        <v> </v>
      </c>
    </row>
    <row r="50" customFormat="false" ht="12" hidden="false" customHeight="false" outlineLevel="0" collapsed="false">
      <c r="A50" s="28"/>
      <c r="E50" s="2"/>
      <c r="F50" s="30"/>
      <c r="G50" s="6" t="str">
        <f aca="false">IF(F50&lt;&gt;0,F50*G$2/(100+G$2)," ")</f>
        <v> </v>
      </c>
      <c r="H50" s="6" t="str">
        <f aca="false">IF((F50&lt;&gt;0),F50-G50," ")</f>
        <v> </v>
      </c>
      <c r="I50" s="5"/>
      <c r="L50" s="7" t="str">
        <f aca="false">IF(F50&lt;&gt;0,F50-K50," ")</f>
        <v> </v>
      </c>
      <c r="M50" s="8" t="str">
        <f aca="false">IF((F50-K50)&lt;&gt;0,M$1-A50," ")</f>
        <v> </v>
      </c>
      <c r="N50" s="5"/>
      <c r="O50" s="17" t="str">
        <f aca="false">IF((E50="s"),H50," ")</f>
        <v> </v>
      </c>
      <c r="P50" s="17" t="str">
        <f aca="false">IF((E50="c"),H50," ")</f>
        <v> </v>
      </c>
      <c r="Q50" s="17" t="str">
        <f aca="false">IF((E50="o"),H50," ")</f>
        <v> </v>
      </c>
      <c r="R50" s="17" t="str">
        <f aca="false">IF((E50="d"),H50," ")</f>
        <v> </v>
      </c>
      <c r="S50" s="17" t="str">
        <f aca="false">IF((E50="w"),H50," ")</f>
        <v> </v>
      </c>
      <c r="T50" s="17" t="str">
        <f aca="false">IF((E50="r"),H50," ")</f>
        <v> </v>
      </c>
      <c r="U50" s="17" t="str">
        <f aca="false">IF((E50="p"),H50," ")</f>
        <v> </v>
      </c>
      <c r="V50" s="17" t="str">
        <f aca="false">IF((E50="t"),H50," ")</f>
        <v> </v>
      </c>
      <c r="W50" s="17" t="str">
        <f aca="false">IF((E50="q"),H50," ")</f>
        <v> </v>
      </c>
      <c r="X50" s="17" t="str">
        <f aca="false">IF((E50="m"),H50," ")</f>
        <v> </v>
      </c>
      <c r="Y50" s="17" t="str">
        <f aca="false">IF((E50="u"),H50," ")</f>
        <v> </v>
      </c>
      <c r="Z50" s="17" t="str">
        <f aca="false">IF((E50="a"),H50," ")</f>
        <v> </v>
      </c>
      <c r="AA50" s="17" t="str">
        <f aca="false">IF((E50="g"),H50," ")</f>
        <v> </v>
      </c>
      <c r="AB50" s="17" t="str">
        <f aca="false">IF((E50="h"),H50," ")</f>
        <v> </v>
      </c>
      <c r="AC50" s="30" t="str">
        <f aca="false">IF((E50="v"),H50," ")</f>
        <v> </v>
      </c>
      <c r="AD50" s="30" t="str">
        <f aca="false">IF((E50="n"),H50," ")</f>
        <v> </v>
      </c>
      <c r="AE50" s="17" t="str">
        <f aca="false">IF((E50="f"),H50," ")</f>
        <v> </v>
      </c>
      <c r="AF50" s="17" t="str">
        <f aca="false">IF((E50="l"),H50," ")</f>
        <v> </v>
      </c>
      <c r="AG50" s="17" t="str">
        <f aca="false">IF((E50="y"),H50," ")</f>
        <v> </v>
      </c>
      <c r="AH50" s="17" t="str">
        <f aca="false">IF((E50="z"),H50," ")</f>
        <v> </v>
      </c>
      <c r="AI50" s="17" t="str">
        <f aca="false">IF((E50="fa"),H50," ")</f>
        <v> </v>
      </c>
      <c r="AJ50" s="17" t="str">
        <f aca="false">IF((E50="e"),H50," ")</f>
        <v> </v>
      </c>
    </row>
    <row r="51" customFormat="false" ht="12" hidden="false" customHeight="false" outlineLevel="0" collapsed="false">
      <c r="A51" s="28"/>
      <c r="E51" s="2"/>
      <c r="F51" s="30"/>
      <c r="G51" s="6" t="str">
        <f aca="false">IF(F51&lt;&gt;0,F51*G$2/(100+G$2)," ")</f>
        <v> </v>
      </c>
      <c r="H51" s="6" t="str">
        <f aca="false">IF((F51&lt;&gt;0),F51-G51," ")</f>
        <v> </v>
      </c>
      <c r="I51" s="5"/>
      <c r="L51" s="7" t="str">
        <f aca="false">IF(F51&lt;&gt;0,F51-K51," ")</f>
        <v> </v>
      </c>
      <c r="M51" s="8" t="str">
        <f aca="false">IF((F51-K51)&lt;&gt;0,M$1-A51," ")</f>
        <v> </v>
      </c>
      <c r="N51" s="5"/>
      <c r="O51" s="17" t="str">
        <f aca="false">IF((E51="s"),H51," ")</f>
        <v> </v>
      </c>
      <c r="P51" s="17" t="str">
        <f aca="false">IF((E51="c"),H51," ")</f>
        <v> </v>
      </c>
      <c r="Q51" s="17" t="str">
        <f aca="false">IF((E51="o"),H51," ")</f>
        <v> </v>
      </c>
      <c r="R51" s="17" t="str">
        <f aca="false">IF((E51="d"),H51," ")</f>
        <v> </v>
      </c>
      <c r="S51" s="17" t="str">
        <f aca="false">IF((E51="w"),H51," ")</f>
        <v> </v>
      </c>
      <c r="T51" s="17" t="str">
        <f aca="false">IF((E51="r"),H51," ")</f>
        <v> </v>
      </c>
      <c r="U51" s="17" t="str">
        <f aca="false">IF((E51="p"),H51," ")</f>
        <v> </v>
      </c>
      <c r="V51" s="17" t="str">
        <f aca="false">IF((E51="t"),H51," ")</f>
        <v> </v>
      </c>
      <c r="W51" s="17" t="str">
        <f aca="false">IF((E51="q"),H51," ")</f>
        <v> </v>
      </c>
      <c r="X51" s="17" t="str">
        <f aca="false">IF((E51="m"),H51," ")</f>
        <v> </v>
      </c>
      <c r="Y51" s="17" t="str">
        <f aca="false">IF((E51="u"),H51," ")</f>
        <v> </v>
      </c>
      <c r="Z51" s="17" t="str">
        <f aca="false">IF((E51="a"),H51," ")</f>
        <v> </v>
      </c>
      <c r="AA51" s="17" t="str">
        <f aca="false">IF((E51="g"),H51," ")</f>
        <v> </v>
      </c>
      <c r="AB51" s="17" t="str">
        <f aca="false">IF((E51="h"),H51," ")</f>
        <v> </v>
      </c>
      <c r="AC51" s="30" t="str">
        <f aca="false">IF((E51="v"),H51," ")</f>
        <v> </v>
      </c>
      <c r="AD51" s="30" t="str">
        <f aca="false">IF((E51="n"),H51," ")</f>
        <v> </v>
      </c>
      <c r="AE51" s="17" t="str">
        <f aca="false">IF((E51="f"),H51," ")</f>
        <v> </v>
      </c>
      <c r="AF51" s="17" t="str">
        <f aca="false">IF((E51="l"),H51," ")</f>
        <v> </v>
      </c>
      <c r="AG51" s="17" t="str">
        <f aca="false">IF((E51="y"),H51," ")</f>
        <v> </v>
      </c>
      <c r="AH51" s="17" t="str">
        <f aca="false">IF((E51="z"),H51," ")</f>
        <v> </v>
      </c>
      <c r="AI51" s="17" t="str">
        <f aca="false">IF((E51="fa"),H51," ")</f>
        <v> </v>
      </c>
      <c r="AJ51" s="17" t="str">
        <f aca="false">IF((E51="e"),H51," ")</f>
        <v> </v>
      </c>
    </row>
    <row r="52" customFormat="false" ht="12" hidden="false" customHeight="false" outlineLevel="0" collapsed="false">
      <c r="A52" s="28"/>
      <c r="E52" s="2"/>
      <c r="F52" s="30"/>
      <c r="G52" s="6" t="str">
        <f aca="false">IF(F52&lt;&gt;0,F52*G$2/(100+G$2)," ")</f>
        <v> </v>
      </c>
      <c r="H52" s="6" t="str">
        <f aca="false">IF((F52&lt;&gt;0),F52-G52," ")</f>
        <v> </v>
      </c>
      <c r="I52" s="5"/>
      <c r="L52" s="7" t="str">
        <f aca="false">IF(F52&lt;&gt;0,F52-K52," ")</f>
        <v> </v>
      </c>
      <c r="M52" s="8" t="str">
        <f aca="false">IF((F52-K52)&lt;&gt;0,M$1-A52," ")</f>
        <v> </v>
      </c>
      <c r="N52" s="5"/>
      <c r="O52" s="17" t="str">
        <f aca="false">IF((E52="s"),H52," ")</f>
        <v> </v>
      </c>
      <c r="P52" s="17" t="str">
        <f aca="false">IF((E52="c"),H52," ")</f>
        <v> </v>
      </c>
      <c r="Q52" s="17" t="str">
        <f aca="false">IF((E52="o"),H52," ")</f>
        <v> </v>
      </c>
      <c r="R52" s="17" t="str">
        <f aca="false">IF((E52="d"),H52," ")</f>
        <v> </v>
      </c>
      <c r="S52" s="17" t="str">
        <f aca="false">IF((E52="w"),H52," ")</f>
        <v> </v>
      </c>
      <c r="T52" s="17" t="str">
        <f aca="false">IF((E52="r"),H52," ")</f>
        <v> </v>
      </c>
      <c r="U52" s="17" t="str">
        <f aca="false">IF((E52="p"),H52," ")</f>
        <v> </v>
      </c>
      <c r="V52" s="17" t="str">
        <f aca="false">IF((E52="t"),H52," ")</f>
        <v> </v>
      </c>
      <c r="W52" s="17" t="str">
        <f aca="false">IF((E52="q"),H52," ")</f>
        <v> </v>
      </c>
      <c r="X52" s="17" t="str">
        <f aca="false">IF((E52="m"),H52," ")</f>
        <v> </v>
      </c>
      <c r="Y52" s="17" t="str">
        <f aca="false">IF((E52="u"),H52," ")</f>
        <v> </v>
      </c>
      <c r="Z52" s="17" t="str">
        <f aca="false">IF((E52="a"),H52," ")</f>
        <v> </v>
      </c>
      <c r="AA52" s="17" t="str">
        <f aca="false">IF((E52="g"),H52," ")</f>
        <v> </v>
      </c>
      <c r="AB52" s="17" t="str">
        <f aca="false">IF((E52="h"),H52," ")</f>
        <v> </v>
      </c>
      <c r="AC52" s="30" t="str">
        <f aca="false">IF((E52="v"),H52," ")</f>
        <v> </v>
      </c>
      <c r="AD52" s="30" t="str">
        <f aca="false">IF((E52="n"),H52," ")</f>
        <v> </v>
      </c>
      <c r="AE52" s="17" t="str">
        <f aca="false">IF((E52="f"),H52," ")</f>
        <v> </v>
      </c>
      <c r="AF52" s="17" t="str">
        <f aca="false">IF((E52="l"),H52," ")</f>
        <v> </v>
      </c>
      <c r="AG52" s="17" t="str">
        <f aca="false">IF((E52="y"),H52," ")</f>
        <v> </v>
      </c>
      <c r="AH52" s="17" t="str">
        <f aca="false">IF((E52="z"),H52," ")</f>
        <v> </v>
      </c>
      <c r="AI52" s="17" t="str">
        <f aca="false">IF((E52="fa"),H52," ")</f>
        <v> </v>
      </c>
      <c r="AJ52" s="17" t="str">
        <f aca="false">IF((E52="e"),H52," ")</f>
        <v> </v>
      </c>
    </row>
    <row r="53" customFormat="false" ht="12" hidden="false" customHeight="false" outlineLevel="0" collapsed="false">
      <c r="A53" s="28"/>
      <c r="E53" s="2"/>
      <c r="F53" s="30"/>
      <c r="G53" s="6" t="str">
        <f aca="false">IF(F53&lt;&gt;0,F53*G$2/(100+G$2)," ")</f>
        <v> </v>
      </c>
      <c r="H53" s="6" t="str">
        <f aca="false">IF((F53&lt;&gt;0),F53-G53," ")</f>
        <v> </v>
      </c>
      <c r="I53" s="5"/>
      <c r="L53" s="7" t="str">
        <f aca="false">IF(F53&lt;&gt;0,F53-K53," ")</f>
        <v> </v>
      </c>
      <c r="M53" s="8" t="str">
        <f aca="false">IF((F53-K53)&lt;&gt;0,M$1-A53," ")</f>
        <v> </v>
      </c>
      <c r="N53" s="5"/>
      <c r="O53" s="17" t="str">
        <f aca="false">IF((E53="s"),H53," ")</f>
        <v> </v>
      </c>
      <c r="P53" s="17" t="str">
        <f aca="false">IF((E53="c"),H53," ")</f>
        <v> </v>
      </c>
      <c r="Q53" s="17" t="str">
        <f aca="false">IF((E53="o"),H53," ")</f>
        <v> </v>
      </c>
      <c r="R53" s="17" t="str">
        <f aca="false">IF((E53="d"),H53," ")</f>
        <v> </v>
      </c>
      <c r="S53" s="17" t="str">
        <f aca="false">IF((E53="w"),H53," ")</f>
        <v> </v>
      </c>
      <c r="T53" s="17" t="str">
        <f aca="false">IF((E53="r"),H53," ")</f>
        <v> </v>
      </c>
      <c r="U53" s="17" t="str">
        <f aca="false">IF((E53="p"),H53," ")</f>
        <v> </v>
      </c>
      <c r="V53" s="17" t="str">
        <f aca="false">IF((E53="t"),H53," ")</f>
        <v> </v>
      </c>
      <c r="W53" s="17" t="str">
        <f aca="false">IF((E53="q"),H53," ")</f>
        <v> </v>
      </c>
      <c r="X53" s="17" t="str">
        <f aca="false">IF((E53="m"),H53," ")</f>
        <v> </v>
      </c>
      <c r="Y53" s="17" t="str">
        <f aca="false">IF((E53="u"),H53," ")</f>
        <v> </v>
      </c>
      <c r="Z53" s="17" t="str">
        <f aca="false">IF((E53="a"),H53," ")</f>
        <v> </v>
      </c>
      <c r="AA53" s="17" t="str">
        <f aca="false">IF((E53="g"),H53," ")</f>
        <v> </v>
      </c>
      <c r="AB53" s="17" t="str">
        <f aca="false">IF((E53="h"),H53," ")</f>
        <v> </v>
      </c>
      <c r="AC53" s="30" t="str">
        <f aca="false">IF((E53="v"),H53," ")</f>
        <v> </v>
      </c>
      <c r="AD53" s="30" t="str">
        <f aca="false">IF((E53="n"),H53," ")</f>
        <v> </v>
      </c>
      <c r="AE53" s="17" t="str">
        <f aca="false">IF((E53="f"),H53," ")</f>
        <v> </v>
      </c>
      <c r="AF53" s="17" t="str">
        <f aca="false">IF((E53="l"),H53," ")</f>
        <v> </v>
      </c>
      <c r="AG53" s="17" t="str">
        <f aca="false">IF((E53="y"),H53," ")</f>
        <v> </v>
      </c>
      <c r="AH53" s="17" t="str">
        <f aca="false">IF((E53="z"),H53," ")</f>
        <v> </v>
      </c>
      <c r="AI53" s="17" t="str">
        <f aca="false">IF((E53="fa"),H53," ")</f>
        <v> </v>
      </c>
      <c r="AJ53" s="17" t="str">
        <f aca="false">IF((E53="e"),H53," ")</f>
        <v> </v>
      </c>
    </row>
    <row r="54" customFormat="false" ht="12" hidden="false" customHeight="false" outlineLevel="0" collapsed="false">
      <c r="A54" s="28"/>
      <c r="E54" s="2"/>
      <c r="F54" s="30"/>
      <c r="G54" s="6" t="str">
        <f aca="false">IF(F54&lt;&gt;0,F54*G$2/(100+G$2)," ")</f>
        <v> </v>
      </c>
      <c r="H54" s="6" t="str">
        <f aca="false">IF((F54&lt;&gt;0),F54-G54," ")</f>
        <v> </v>
      </c>
      <c r="I54" s="5"/>
      <c r="L54" s="7" t="str">
        <f aca="false">IF(F54&lt;&gt;0,F54-K54," ")</f>
        <v> </v>
      </c>
      <c r="M54" s="8" t="str">
        <f aca="false">IF((F54-K54)&lt;&gt;0,M$1-A54," ")</f>
        <v> </v>
      </c>
      <c r="N54" s="5"/>
      <c r="O54" s="17" t="str">
        <f aca="false">IF((E54="s"),H54," ")</f>
        <v> </v>
      </c>
      <c r="P54" s="17" t="str">
        <f aca="false">IF((E54="c"),H54," ")</f>
        <v> </v>
      </c>
      <c r="Q54" s="17" t="str">
        <f aca="false">IF((E54="o"),H54," ")</f>
        <v> </v>
      </c>
      <c r="R54" s="17" t="str">
        <f aca="false">IF((E54="d"),H54," ")</f>
        <v> </v>
      </c>
      <c r="S54" s="17" t="str">
        <f aca="false">IF((E54="w"),H54," ")</f>
        <v> </v>
      </c>
      <c r="T54" s="17" t="str">
        <f aca="false">IF((E54="r"),H54," ")</f>
        <v> </v>
      </c>
      <c r="U54" s="17" t="str">
        <f aca="false">IF((E54="p"),H54," ")</f>
        <v> </v>
      </c>
      <c r="V54" s="17" t="str">
        <f aca="false">IF((E54="t"),H54," ")</f>
        <v> </v>
      </c>
      <c r="W54" s="17" t="str">
        <f aca="false">IF((E54="q"),H54," ")</f>
        <v> </v>
      </c>
      <c r="X54" s="17" t="str">
        <f aca="false">IF((E54="m"),H54," ")</f>
        <v> </v>
      </c>
      <c r="Y54" s="17" t="str">
        <f aca="false">IF((E54="u"),H54," ")</f>
        <v> </v>
      </c>
      <c r="Z54" s="17" t="str">
        <f aca="false">IF((E54="a"),H54," ")</f>
        <v> </v>
      </c>
      <c r="AA54" s="17" t="str">
        <f aca="false">IF((E54="g"),H54," ")</f>
        <v> </v>
      </c>
      <c r="AB54" s="17" t="str">
        <f aca="false">IF((E54="h"),H54," ")</f>
        <v> </v>
      </c>
      <c r="AC54" s="30" t="str">
        <f aca="false">IF((E54="v"),H54," ")</f>
        <v> </v>
      </c>
      <c r="AD54" s="30" t="str">
        <f aca="false">IF((E54="n"),H54," ")</f>
        <v> </v>
      </c>
      <c r="AE54" s="17" t="str">
        <f aca="false">IF((E54="f"),H54," ")</f>
        <v> </v>
      </c>
      <c r="AF54" s="17" t="str">
        <f aca="false">IF((E54="l"),H54," ")</f>
        <v> </v>
      </c>
      <c r="AG54" s="17" t="str">
        <f aca="false">IF((E54="y"),H54," ")</f>
        <v> </v>
      </c>
      <c r="AH54" s="17" t="str">
        <f aca="false">IF((E54="z"),H54," ")</f>
        <v> </v>
      </c>
      <c r="AI54" s="17" t="str">
        <f aca="false">IF((E54="fa"),H54," ")</f>
        <v> </v>
      </c>
      <c r="AJ54" s="17" t="str">
        <f aca="false">IF((E54="e"),H54," ")</f>
        <v> </v>
      </c>
    </row>
    <row r="55" customFormat="false" ht="12" hidden="false" customHeight="false" outlineLevel="0" collapsed="false">
      <c r="A55" s="28"/>
      <c r="E55" s="2"/>
      <c r="F55" s="30"/>
      <c r="G55" s="6" t="str">
        <f aca="false">IF(F55&lt;&gt;0,F55*G$2/(100+G$2)," ")</f>
        <v> </v>
      </c>
      <c r="H55" s="6" t="str">
        <f aca="false">IF((F55&lt;&gt;0),F55-G55," ")</f>
        <v> </v>
      </c>
      <c r="I55" s="5"/>
      <c r="L55" s="7" t="str">
        <f aca="false">IF(F55&lt;&gt;0,F55-K55," ")</f>
        <v> </v>
      </c>
      <c r="M55" s="8" t="str">
        <f aca="false">IF((F55-K55)&lt;&gt;0,M$1-A55," ")</f>
        <v> </v>
      </c>
      <c r="N55" s="5"/>
      <c r="O55" s="17" t="str">
        <f aca="false">IF((E55="s"),H55," ")</f>
        <v> </v>
      </c>
      <c r="P55" s="17" t="str">
        <f aca="false">IF((E55="c"),H55," ")</f>
        <v> </v>
      </c>
      <c r="Q55" s="17" t="str">
        <f aca="false">IF((E55="o"),H55," ")</f>
        <v> </v>
      </c>
      <c r="R55" s="17" t="str">
        <f aca="false">IF((E55="d"),H55," ")</f>
        <v> </v>
      </c>
      <c r="S55" s="17" t="str">
        <f aca="false">IF((E55="w"),H55," ")</f>
        <v> </v>
      </c>
      <c r="T55" s="17" t="str">
        <f aca="false">IF((E55="r"),H55," ")</f>
        <v> </v>
      </c>
      <c r="U55" s="17" t="str">
        <f aca="false">IF((E55="p"),H55," ")</f>
        <v> </v>
      </c>
      <c r="V55" s="17" t="str">
        <f aca="false">IF((E55="t"),H55," ")</f>
        <v> </v>
      </c>
      <c r="W55" s="17" t="str">
        <f aca="false">IF((E55="q"),H55," ")</f>
        <v> </v>
      </c>
      <c r="X55" s="17" t="str">
        <f aca="false">IF((E55="m"),H55," ")</f>
        <v> </v>
      </c>
      <c r="Y55" s="17" t="str">
        <f aca="false">IF((E55="u"),H55," ")</f>
        <v> </v>
      </c>
      <c r="Z55" s="17" t="str">
        <f aca="false">IF((E55="a"),H55," ")</f>
        <v> </v>
      </c>
      <c r="AA55" s="17" t="str">
        <f aca="false">IF((E55="g"),H55," ")</f>
        <v> </v>
      </c>
      <c r="AB55" s="17" t="str">
        <f aca="false">IF((E55="h"),H55," ")</f>
        <v> </v>
      </c>
      <c r="AC55" s="30" t="str">
        <f aca="false">IF((E55="v"),H55," ")</f>
        <v> </v>
      </c>
      <c r="AD55" s="30" t="str">
        <f aca="false">IF((E55="n"),H55," ")</f>
        <v> </v>
      </c>
      <c r="AE55" s="17" t="str">
        <f aca="false">IF((E55="f"),H55," ")</f>
        <v> </v>
      </c>
      <c r="AF55" s="17" t="str">
        <f aca="false">IF((E55="l"),H55," ")</f>
        <v> </v>
      </c>
      <c r="AG55" s="17" t="str">
        <f aca="false">IF((E55="y"),H55," ")</f>
        <v> </v>
      </c>
      <c r="AH55" s="17" t="str">
        <f aca="false">IF((E55="z"),H55," ")</f>
        <v> </v>
      </c>
      <c r="AI55" s="17" t="str">
        <f aca="false">IF((E55="fa"),H55," ")</f>
        <v> </v>
      </c>
      <c r="AJ55" s="17" t="str">
        <f aca="false">IF((E55="e"),H55," ")</f>
        <v> </v>
      </c>
    </row>
    <row r="56" customFormat="false" ht="12" hidden="false" customHeight="false" outlineLevel="0" collapsed="false">
      <c r="A56" s="28"/>
      <c r="E56" s="2"/>
      <c r="F56" s="30"/>
      <c r="G56" s="6" t="str">
        <f aca="false">IF(F56&lt;&gt;0,F56*G$2/(100+G$2)," ")</f>
        <v> </v>
      </c>
      <c r="H56" s="6" t="str">
        <f aca="false">IF((F56&lt;&gt;0),F56-G56," ")</f>
        <v> </v>
      </c>
      <c r="I56" s="5"/>
      <c r="L56" s="7" t="str">
        <f aca="false">IF(F56&lt;&gt;0,F56-K56," ")</f>
        <v> </v>
      </c>
      <c r="M56" s="8" t="str">
        <f aca="false">IF((F56-K56)&lt;&gt;0,M$1-A56," ")</f>
        <v> </v>
      </c>
      <c r="N56" s="5"/>
      <c r="O56" s="17" t="str">
        <f aca="false">IF((E56="s"),H56," ")</f>
        <v> </v>
      </c>
      <c r="P56" s="17" t="str">
        <f aca="false">IF((E56="c"),H56," ")</f>
        <v> </v>
      </c>
      <c r="Q56" s="17" t="str">
        <f aca="false">IF((E56="o"),H56," ")</f>
        <v> </v>
      </c>
      <c r="R56" s="17" t="str">
        <f aca="false">IF((E56="d"),H56," ")</f>
        <v> </v>
      </c>
      <c r="S56" s="17" t="str">
        <f aca="false">IF((E56="w"),H56," ")</f>
        <v> </v>
      </c>
      <c r="T56" s="17" t="str">
        <f aca="false">IF((E56="r"),H56," ")</f>
        <v> </v>
      </c>
      <c r="U56" s="17" t="str">
        <f aca="false">IF((E56="p"),H56," ")</f>
        <v> </v>
      </c>
      <c r="V56" s="17" t="str">
        <f aca="false">IF((E56="t"),H56," ")</f>
        <v> </v>
      </c>
      <c r="W56" s="17" t="str">
        <f aca="false">IF((E56="q"),H56," ")</f>
        <v> </v>
      </c>
      <c r="X56" s="17" t="str">
        <f aca="false">IF((E56="m"),H56," ")</f>
        <v> </v>
      </c>
      <c r="Y56" s="17" t="str">
        <f aca="false">IF((E56="u"),H56," ")</f>
        <v> </v>
      </c>
      <c r="Z56" s="17" t="str">
        <f aca="false">IF((E56="a"),H56," ")</f>
        <v> </v>
      </c>
      <c r="AA56" s="17" t="str">
        <f aca="false">IF((E56="g"),H56," ")</f>
        <v> </v>
      </c>
      <c r="AB56" s="17" t="str">
        <f aca="false">IF((E56="h"),H56," ")</f>
        <v> </v>
      </c>
      <c r="AC56" s="30" t="str">
        <f aca="false">IF((E56="v"),H56," ")</f>
        <v> </v>
      </c>
      <c r="AD56" s="30" t="str">
        <f aca="false">IF((E56="n"),H56," ")</f>
        <v> </v>
      </c>
      <c r="AE56" s="17" t="str">
        <f aca="false">IF((E56="f"),H56," ")</f>
        <v> </v>
      </c>
      <c r="AF56" s="17" t="str">
        <f aca="false">IF((E56="l"),H56," ")</f>
        <v> </v>
      </c>
      <c r="AG56" s="17" t="str">
        <f aca="false">IF((E56="y"),H56," ")</f>
        <v> </v>
      </c>
      <c r="AH56" s="17" t="str">
        <f aca="false">IF((E56="z"),H56," ")</f>
        <v> </v>
      </c>
      <c r="AI56" s="17" t="str">
        <f aca="false">IF((E56="fa"),H56," ")</f>
        <v> </v>
      </c>
      <c r="AJ56" s="17" t="str">
        <f aca="false">IF((E56="e"),H56," ")</f>
        <v> </v>
      </c>
    </row>
    <row r="57" customFormat="false" ht="12" hidden="false" customHeight="false" outlineLevel="0" collapsed="false">
      <c r="A57" s="28"/>
      <c r="E57" s="2"/>
      <c r="F57" s="30"/>
      <c r="G57" s="6" t="str">
        <f aca="false">IF(F57&lt;&gt;0,F57*G$2/(100+G$2)," ")</f>
        <v> </v>
      </c>
      <c r="H57" s="6" t="str">
        <f aca="false">IF((F57&lt;&gt;0),F57-G57," ")</f>
        <v> </v>
      </c>
      <c r="I57" s="5"/>
      <c r="L57" s="7" t="str">
        <f aca="false">IF(F57&lt;&gt;0,F57-K57," ")</f>
        <v> </v>
      </c>
      <c r="M57" s="8" t="str">
        <f aca="false">IF((F57-K57)&lt;&gt;0,M$1-A57," ")</f>
        <v> </v>
      </c>
      <c r="N57" s="5"/>
      <c r="O57" s="17" t="str">
        <f aca="false">IF((E57="s"),H57," ")</f>
        <v> </v>
      </c>
      <c r="P57" s="17" t="str">
        <f aca="false">IF((E57="c"),H57," ")</f>
        <v> </v>
      </c>
      <c r="Q57" s="17" t="str">
        <f aca="false">IF((E57="o"),H57," ")</f>
        <v> </v>
      </c>
      <c r="R57" s="17" t="str">
        <f aca="false">IF((E57="d"),H57," ")</f>
        <v> </v>
      </c>
      <c r="S57" s="17" t="str">
        <f aca="false">IF((E57="w"),H57," ")</f>
        <v> </v>
      </c>
      <c r="T57" s="17" t="str">
        <f aca="false">IF((E57="r"),H57," ")</f>
        <v> </v>
      </c>
      <c r="U57" s="17" t="str">
        <f aca="false">IF((E57="p"),H57," ")</f>
        <v> </v>
      </c>
      <c r="V57" s="17" t="str">
        <f aca="false">IF((E57="t"),H57," ")</f>
        <v> </v>
      </c>
      <c r="W57" s="17" t="str">
        <f aca="false">IF((E57="q"),H57," ")</f>
        <v> </v>
      </c>
      <c r="X57" s="17" t="str">
        <f aca="false">IF((E57="m"),H57," ")</f>
        <v> </v>
      </c>
      <c r="Y57" s="17" t="str">
        <f aca="false">IF((E57="u"),H57," ")</f>
        <v> </v>
      </c>
      <c r="Z57" s="17" t="str">
        <f aca="false">IF((E57="a"),H57," ")</f>
        <v> </v>
      </c>
      <c r="AA57" s="17" t="str">
        <f aca="false">IF((E57="g"),H57," ")</f>
        <v> </v>
      </c>
      <c r="AB57" s="17" t="str">
        <f aca="false">IF((E57="h"),H57," ")</f>
        <v> </v>
      </c>
      <c r="AC57" s="30" t="str">
        <f aca="false">IF((E57="v"),H57," ")</f>
        <v> </v>
      </c>
      <c r="AD57" s="30" t="str">
        <f aca="false">IF((E57="n"),H57," ")</f>
        <v> </v>
      </c>
      <c r="AE57" s="17" t="str">
        <f aca="false">IF((E57="f"),H57," ")</f>
        <v> </v>
      </c>
      <c r="AF57" s="17" t="str">
        <f aca="false">IF((E57="l"),H57," ")</f>
        <v> </v>
      </c>
      <c r="AG57" s="17" t="str">
        <f aca="false">IF((E57="y"),H57," ")</f>
        <v> </v>
      </c>
      <c r="AH57" s="17" t="str">
        <f aca="false">IF((E57="z"),H57," ")</f>
        <v> </v>
      </c>
      <c r="AI57" s="17" t="str">
        <f aca="false">IF((E57="fa"),H57," ")</f>
        <v> </v>
      </c>
      <c r="AJ57" s="17" t="str">
        <f aca="false">IF((E57="e"),H57," ")</f>
        <v> </v>
      </c>
    </row>
    <row r="58" customFormat="false" ht="12" hidden="false" customHeight="false" outlineLevel="0" collapsed="false">
      <c r="A58" s="28"/>
      <c r="E58" s="2"/>
      <c r="F58" s="30"/>
      <c r="G58" s="6" t="str">
        <f aca="false">IF(F58&lt;&gt;0,F58*G$2/(100+G$2)," ")</f>
        <v> </v>
      </c>
      <c r="H58" s="6" t="str">
        <f aca="false">IF((F58&lt;&gt;0),F58-G58," ")</f>
        <v> </v>
      </c>
      <c r="I58" s="5"/>
      <c r="L58" s="7" t="str">
        <f aca="false">IF(F58&lt;&gt;0,F58-K58," ")</f>
        <v> </v>
      </c>
      <c r="M58" s="8" t="str">
        <f aca="false">IF((F58-K58)&lt;&gt;0,M$1-A58," ")</f>
        <v> </v>
      </c>
      <c r="N58" s="5"/>
      <c r="O58" s="17" t="str">
        <f aca="false">IF((E58="s"),H58," ")</f>
        <v> </v>
      </c>
      <c r="P58" s="17" t="str">
        <f aca="false">IF((E58="c"),H58," ")</f>
        <v> </v>
      </c>
      <c r="Q58" s="17" t="str">
        <f aca="false">IF((E58="o"),H58," ")</f>
        <v> </v>
      </c>
      <c r="R58" s="17" t="str">
        <f aca="false">IF((E58="d"),H58," ")</f>
        <v> </v>
      </c>
      <c r="S58" s="17" t="str">
        <f aca="false">IF((E58="w"),H58," ")</f>
        <v> </v>
      </c>
      <c r="T58" s="17" t="str">
        <f aca="false">IF((E58="r"),H58," ")</f>
        <v> </v>
      </c>
      <c r="U58" s="17" t="str">
        <f aca="false">IF((E58="p"),H58," ")</f>
        <v> </v>
      </c>
      <c r="V58" s="17" t="str">
        <f aca="false">IF((E58="t"),H58," ")</f>
        <v> </v>
      </c>
      <c r="W58" s="17" t="str">
        <f aca="false">IF((E58="q"),H58," ")</f>
        <v> </v>
      </c>
      <c r="X58" s="17" t="str">
        <f aca="false">IF((E58="m"),H58," ")</f>
        <v> </v>
      </c>
      <c r="Y58" s="17" t="str">
        <f aca="false">IF((E58="u"),H58," ")</f>
        <v> </v>
      </c>
      <c r="Z58" s="17" t="str">
        <f aca="false">IF((E58="a"),H58," ")</f>
        <v> </v>
      </c>
      <c r="AA58" s="17" t="str">
        <f aca="false">IF((E58="g"),H58," ")</f>
        <v> </v>
      </c>
      <c r="AB58" s="17" t="str">
        <f aca="false">IF((E58="h"),H58," ")</f>
        <v> </v>
      </c>
      <c r="AC58" s="30" t="str">
        <f aca="false">IF((E58="v"),H58," ")</f>
        <v> </v>
      </c>
      <c r="AD58" s="30" t="str">
        <f aca="false">IF((E58="n"),H58," ")</f>
        <v> </v>
      </c>
      <c r="AE58" s="17" t="str">
        <f aca="false">IF((E58="f"),H58," ")</f>
        <v> </v>
      </c>
      <c r="AF58" s="17" t="str">
        <f aca="false">IF((E58="l"),H58," ")</f>
        <v> </v>
      </c>
      <c r="AG58" s="17" t="str">
        <f aca="false">IF((E58="y"),H58," ")</f>
        <v> </v>
      </c>
      <c r="AH58" s="17" t="str">
        <f aca="false">IF((E58="z"),H58," ")</f>
        <v> </v>
      </c>
      <c r="AI58" s="17" t="str">
        <f aca="false">IF((E58="fa"),H58," ")</f>
        <v> </v>
      </c>
      <c r="AJ58" s="17" t="str">
        <f aca="false">IF((E58="e"),H58," ")</f>
        <v> </v>
      </c>
    </row>
    <row r="59" customFormat="false" ht="12" hidden="false" customHeight="false" outlineLevel="0" collapsed="false">
      <c r="A59" s="28"/>
      <c r="E59" s="2"/>
      <c r="F59" s="30"/>
      <c r="G59" s="6" t="str">
        <f aca="false">IF(F59&lt;&gt;0,F59*G$2/(100+G$2)," ")</f>
        <v> </v>
      </c>
      <c r="H59" s="6" t="str">
        <f aca="false">IF((F59&lt;&gt;0),F59-G59," ")</f>
        <v> </v>
      </c>
      <c r="I59" s="5"/>
      <c r="L59" s="7" t="str">
        <f aca="false">IF(F59&lt;&gt;0,F59-K59," ")</f>
        <v> </v>
      </c>
      <c r="M59" s="8" t="str">
        <f aca="false">IF((F59-K59)&lt;&gt;0,M$1-A59," ")</f>
        <v> </v>
      </c>
      <c r="N59" s="5"/>
      <c r="O59" s="17" t="str">
        <f aca="false">IF((E59="s"),H59," ")</f>
        <v> </v>
      </c>
      <c r="P59" s="17" t="str">
        <f aca="false">IF((E59="c"),H59," ")</f>
        <v> </v>
      </c>
      <c r="Q59" s="17" t="str">
        <f aca="false">IF((E59="o"),H59," ")</f>
        <v> </v>
      </c>
      <c r="R59" s="17" t="str">
        <f aca="false">IF((E59="d"),H59," ")</f>
        <v> </v>
      </c>
      <c r="S59" s="17" t="str">
        <f aca="false">IF((E59="w"),H59," ")</f>
        <v> </v>
      </c>
      <c r="T59" s="17" t="str">
        <f aca="false">IF((E59="r"),H59," ")</f>
        <v> </v>
      </c>
      <c r="U59" s="17" t="str">
        <f aca="false">IF((E59="p"),H59," ")</f>
        <v> </v>
      </c>
      <c r="V59" s="17" t="str">
        <f aca="false">IF((E59="t"),H59," ")</f>
        <v> </v>
      </c>
      <c r="W59" s="17" t="str">
        <f aca="false">IF((E59="q"),H59," ")</f>
        <v> </v>
      </c>
      <c r="X59" s="17" t="str">
        <f aca="false">IF((E59="m"),H59," ")</f>
        <v> </v>
      </c>
      <c r="Y59" s="17" t="str">
        <f aca="false">IF((E59="u"),H59," ")</f>
        <v> </v>
      </c>
      <c r="Z59" s="17" t="str">
        <f aca="false">IF((E59="a"),H59," ")</f>
        <v> </v>
      </c>
      <c r="AA59" s="17" t="str">
        <f aca="false">IF((E59="g"),H59," ")</f>
        <v> </v>
      </c>
      <c r="AB59" s="17" t="str">
        <f aca="false">IF((E59="h"),H59," ")</f>
        <v> </v>
      </c>
      <c r="AC59" s="30" t="str">
        <f aca="false">IF((E59="v"),H59," ")</f>
        <v> </v>
      </c>
      <c r="AD59" s="30" t="str">
        <f aca="false">IF((E59="n"),H59," ")</f>
        <v> </v>
      </c>
      <c r="AE59" s="17" t="str">
        <f aca="false">IF((E59="f"),H59," ")</f>
        <v> </v>
      </c>
      <c r="AF59" s="17" t="str">
        <f aca="false">IF((E59="l"),H59," ")</f>
        <v> </v>
      </c>
      <c r="AG59" s="17" t="str">
        <f aca="false">IF((E59="y"),H59," ")</f>
        <v> </v>
      </c>
      <c r="AH59" s="17" t="str">
        <f aca="false">IF((E59="z"),H59," ")</f>
        <v> </v>
      </c>
      <c r="AI59" s="17" t="str">
        <f aca="false">IF((E59="fa"),H59," ")</f>
        <v> </v>
      </c>
      <c r="AJ59" s="17" t="str">
        <f aca="false">IF((E59="e"),H59," ")</f>
        <v> </v>
      </c>
    </row>
    <row r="60" customFormat="false" ht="12" hidden="false" customHeight="false" outlineLevel="0" collapsed="false">
      <c r="A60" s="28"/>
      <c r="E60" s="2"/>
      <c r="F60" s="30"/>
      <c r="G60" s="6" t="str">
        <f aca="false">IF(F60&lt;&gt;0,F60*G$2/(100+G$2)," ")</f>
        <v> </v>
      </c>
      <c r="H60" s="6" t="str">
        <f aca="false">IF((F60&lt;&gt;0),F60-G60," ")</f>
        <v> </v>
      </c>
      <c r="I60" s="5"/>
      <c r="L60" s="7" t="str">
        <f aca="false">IF(F60&lt;&gt;0,F60-K60," ")</f>
        <v> </v>
      </c>
      <c r="M60" s="8" t="str">
        <f aca="false">IF((F60-K60)&lt;&gt;0,M$1-A60," ")</f>
        <v> </v>
      </c>
      <c r="N60" s="5"/>
      <c r="O60" s="17" t="str">
        <f aca="false">IF((E60="s"),H60," ")</f>
        <v> </v>
      </c>
      <c r="P60" s="17" t="str">
        <f aca="false">IF((E60="c"),H60," ")</f>
        <v> </v>
      </c>
      <c r="Q60" s="17" t="str">
        <f aca="false">IF((E60="o"),H60," ")</f>
        <v> </v>
      </c>
      <c r="R60" s="17" t="str">
        <f aca="false">IF((E60="d"),H60," ")</f>
        <v> </v>
      </c>
      <c r="S60" s="17" t="str">
        <f aca="false">IF((E60="w"),H60," ")</f>
        <v> </v>
      </c>
      <c r="T60" s="17" t="str">
        <f aca="false">IF((E60="r"),H60," ")</f>
        <v> </v>
      </c>
      <c r="U60" s="17" t="str">
        <f aca="false">IF((E60="p"),H60," ")</f>
        <v> </v>
      </c>
      <c r="V60" s="17" t="str">
        <f aca="false">IF((E60="t"),H60," ")</f>
        <v> </v>
      </c>
      <c r="W60" s="17" t="str">
        <f aca="false">IF((E60="q"),H60," ")</f>
        <v> </v>
      </c>
      <c r="X60" s="17" t="str">
        <f aca="false">IF((E60="m"),H60," ")</f>
        <v> </v>
      </c>
      <c r="Y60" s="17" t="str">
        <f aca="false">IF((E60="u"),H60," ")</f>
        <v> </v>
      </c>
      <c r="Z60" s="17" t="str">
        <f aca="false">IF((E60="a"),H60," ")</f>
        <v> </v>
      </c>
      <c r="AA60" s="17" t="str">
        <f aca="false">IF((E60="g"),H60," ")</f>
        <v> </v>
      </c>
      <c r="AB60" s="17" t="str">
        <f aca="false">IF((E60="h"),H60," ")</f>
        <v> </v>
      </c>
      <c r="AC60" s="30" t="str">
        <f aca="false">IF((E60="v"),H60," ")</f>
        <v> </v>
      </c>
      <c r="AD60" s="30" t="str">
        <f aca="false">IF((E60="n"),H60," ")</f>
        <v> </v>
      </c>
      <c r="AE60" s="17" t="str">
        <f aca="false">IF((E60="f"),H60," ")</f>
        <v> </v>
      </c>
      <c r="AF60" s="17" t="str">
        <f aca="false">IF((E60="l"),H60," ")</f>
        <v> </v>
      </c>
      <c r="AG60" s="17" t="str">
        <f aca="false">IF((E60="y"),H60," ")</f>
        <v> </v>
      </c>
      <c r="AH60" s="17" t="str">
        <f aca="false">IF((E60="z"),H60," ")</f>
        <v> </v>
      </c>
      <c r="AI60" s="17" t="str">
        <f aca="false">IF((E60="fa"),H60," ")</f>
        <v> </v>
      </c>
      <c r="AJ60" s="17" t="str">
        <f aca="false">IF((E60="e"),H60," ")</f>
        <v> </v>
      </c>
    </row>
    <row r="61" customFormat="false" ht="12" hidden="false" customHeight="false" outlineLevel="0" collapsed="false">
      <c r="A61" s="28"/>
      <c r="E61" s="2"/>
      <c r="F61" s="30"/>
      <c r="G61" s="6" t="str">
        <f aca="false">IF(F61&lt;&gt;0,F61*G$2/(100+G$2)," ")</f>
        <v> </v>
      </c>
      <c r="H61" s="6" t="str">
        <f aca="false">IF((F61&lt;&gt;0),F61-G61," ")</f>
        <v> </v>
      </c>
      <c r="I61" s="5"/>
      <c r="L61" s="7" t="str">
        <f aca="false">IF(F61&lt;&gt;0,F61-K61," ")</f>
        <v> </v>
      </c>
      <c r="M61" s="8" t="str">
        <f aca="false">IF((F61-K61)&lt;&gt;0,M$1-A61," ")</f>
        <v> </v>
      </c>
      <c r="N61" s="5"/>
      <c r="O61" s="17" t="str">
        <f aca="false">IF((E61="s"),H61," ")</f>
        <v> </v>
      </c>
      <c r="P61" s="17" t="str">
        <f aca="false">IF((E61="c"),H61," ")</f>
        <v> </v>
      </c>
      <c r="Q61" s="17" t="str">
        <f aca="false">IF((E61="o"),H61," ")</f>
        <v> </v>
      </c>
      <c r="R61" s="17" t="str">
        <f aca="false">IF((E61="d"),H61," ")</f>
        <v> </v>
      </c>
      <c r="S61" s="17" t="str">
        <f aca="false">IF((E61="w"),H61," ")</f>
        <v> </v>
      </c>
      <c r="T61" s="17" t="str">
        <f aca="false">IF((E61="r"),H61," ")</f>
        <v> </v>
      </c>
      <c r="U61" s="17" t="str">
        <f aca="false">IF((E61="p"),H61," ")</f>
        <v> </v>
      </c>
      <c r="V61" s="17" t="str">
        <f aca="false">IF((E61="t"),H61," ")</f>
        <v> </v>
      </c>
      <c r="W61" s="17" t="str">
        <f aca="false">IF((E61="q"),H61," ")</f>
        <v> </v>
      </c>
      <c r="X61" s="17" t="str">
        <f aca="false">IF((E61="m"),H61," ")</f>
        <v> </v>
      </c>
      <c r="Y61" s="17" t="str">
        <f aca="false">IF((E61="u"),H61," ")</f>
        <v> </v>
      </c>
      <c r="Z61" s="17" t="str">
        <f aca="false">IF((E61="a"),H61," ")</f>
        <v> </v>
      </c>
      <c r="AA61" s="17" t="str">
        <f aca="false">IF((E61="g"),H61," ")</f>
        <v> </v>
      </c>
      <c r="AB61" s="17" t="str">
        <f aca="false">IF((E61="h"),H61," ")</f>
        <v> </v>
      </c>
      <c r="AC61" s="30" t="str">
        <f aca="false">IF((E61="v"),H61," ")</f>
        <v> </v>
      </c>
      <c r="AD61" s="30" t="str">
        <f aca="false">IF((E61="n"),H61," ")</f>
        <v> </v>
      </c>
      <c r="AE61" s="17" t="str">
        <f aca="false">IF((E61="f"),H61," ")</f>
        <v> </v>
      </c>
      <c r="AF61" s="17" t="str">
        <f aca="false">IF((E61="l"),H61," ")</f>
        <v> </v>
      </c>
      <c r="AG61" s="17" t="str">
        <f aca="false">IF((E61="y"),H61," ")</f>
        <v> </v>
      </c>
      <c r="AH61" s="17" t="str">
        <f aca="false">IF((E61="z"),H61," ")</f>
        <v> </v>
      </c>
      <c r="AI61" s="17" t="str">
        <f aca="false">IF((E61="fa"),H61," ")</f>
        <v> </v>
      </c>
      <c r="AJ61" s="17" t="str">
        <f aca="false">IF((E61="e"),H61," ")</f>
        <v> </v>
      </c>
    </row>
    <row r="62" customFormat="false" ht="12" hidden="false" customHeight="false" outlineLevel="0" collapsed="false">
      <c r="A62" s="28"/>
      <c r="E62" s="2"/>
      <c r="F62" s="30"/>
      <c r="G62" s="6" t="str">
        <f aca="false">IF(F62&lt;&gt;0,F62*G$2/(100+G$2)," ")</f>
        <v> </v>
      </c>
      <c r="H62" s="6" t="str">
        <f aca="false">IF((F62&lt;&gt;0),F62-G62," ")</f>
        <v> </v>
      </c>
      <c r="I62" s="5"/>
      <c r="L62" s="7" t="str">
        <f aca="false">IF(F62&lt;&gt;0,F62-K62," ")</f>
        <v> </v>
      </c>
      <c r="M62" s="8" t="str">
        <f aca="false">IF((F62-K62)&lt;&gt;0,M$1-A62," ")</f>
        <v> </v>
      </c>
      <c r="N62" s="5"/>
      <c r="O62" s="17" t="str">
        <f aca="false">IF((E62="s"),H62," ")</f>
        <v> </v>
      </c>
      <c r="P62" s="17" t="str">
        <f aca="false">IF((E62="c"),H62," ")</f>
        <v> </v>
      </c>
      <c r="Q62" s="17" t="str">
        <f aca="false">IF((E62="o"),H62," ")</f>
        <v> </v>
      </c>
      <c r="R62" s="17" t="str">
        <f aca="false">IF((E62="d"),H62," ")</f>
        <v> </v>
      </c>
      <c r="S62" s="17" t="str">
        <f aca="false">IF((E62="w"),H62," ")</f>
        <v> </v>
      </c>
      <c r="T62" s="17" t="str">
        <f aca="false">IF((E62="r"),H62," ")</f>
        <v> </v>
      </c>
      <c r="U62" s="17" t="str">
        <f aca="false">IF((E62="p"),H62," ")</f>
        <v> </v>
      </c>
      <c r="V62" s="17" t="str">
        <f aca="false">IF((E62="t"),H62," ")</f>
        <v> </v>
      </c>
      <c r="W62" s="17" t="str">
        <f aca="false">IF((E62="q"),H62," ")</f>
        <v> </v>
      </c>
      <c r="X62" s="17" t="str">
        <f aca="false">IF((E62="m"),H62," ")</f>
        <v> </v>
      </c>
      <c r="Y62" s="17" t="str">
        <f aca="false">IF((E62="u"),H62," ")</f>
        <v> </v>
      </c>
      <c r="Z62" s="17" t="str">
        <f aca="false">IF((E62="a"),H62," ")</f>
        <v> </v>
      </c>
      <c r="AA62" s="17" t="str">
        <f aca="false">IF((E62="g"),H62," ")</f>
        <v> </v>
      </c>
      <c r="AB62" s="17" t="str">
        <f aca="false">IF((E62="h"),H62," ")</f>
        <v> </v>
      </c>
      <c r="AC62" s="30" t="str">
        <f aca="false">IF((E62="v"),H62," ")</f>
        <v> </v>
      </c>
      <c r="AD62" s="30" t="str">
        <f aca="false">IF((E62="n"),H62," ")</f>
        <v> </v>
      </c>
      <c r="AE62" s="17" t="str">
        <f aca="false">IF((E62="f"),H62," ")</f>
        <v> </v>
      </c>
      <c r="AF62" s="17" t="str">
        <f aca="false">IF((E62="l"),H62," ")</f>
        <v> </v>
      </c>
      <c r="AG62" s="17" t="str">
        <f aca="false">IF((E62="y"),H62," ")</f>
        <v> </v>
      </c>
      <c r="AH62" s="17" t="str">
        <f aca="false">IF((E62="z"),H62," ")</f>
        <v> </v>
      </c>
      <c r="AI62" s="17" t="str">
        <f aca="false">IF((E62="fa"),H62," ")</f>
        <v> </v>
      </c>
      <c r="AJ62" s="17" t="str">
        <f aca="false">IF((E62="e"),H62," ")</f>
        <v> </v>
      </c>
    </row>
    <row r="63" customFormat="false" ht="12" hidden="false" customHeight="false" outlineLevel="0" collapsed="false">
      <c r="A63" s="28"/>
      <c r="E63" s="2"/>
      <c r="F63" s="30"/>
      <c r="G63" s="6" t="str">
        <f aca="false">IF(F63&lt;&gt;0,F63*G$2/(100+G$2)," ")</f>
        <v> </v>
      </c>
      <c r="H63" s="6" t="str">
        <f aca="false">IF((F63&lt;&gt;0),F63-G63," ")</f>
        <v> </v>
      </c>
      <c r="I63" s="5"/>
      <c r="L63" s="7" t="str">
        <f aca="false">IF(F63&lt;&gt;0,F63-K63," ")</f>
        <v> </v>
      </c>
      <c r="M63" s="8" t="str">
        <f aca="false">IF((F63-K63)&lt;&gt;0,M$1-A63," ")</f>
        <v> </v>
      </c>
      <c r="N63" s="5"/>
      <c r="O63" s="17" t="str">
        <f aca="false">IF((E63="s"),H63," ")</f>
        <v> </v>
      </c>
      <c r="P63" s="17" t="str">
        <f aca="false">IF((E63="c"),H63," ")</f>
        <v> </v>
      </c>
      <c r="Q63" s="17" t="str">
        <f aca="false">IF((E63="o"),H63," ")</f>
        <v> </v>
      </c>
      <c r="R63" s="17" t="str">
        <f aca="false">IF((E63="d"),H63," ")</f>
        <v> </v>
      </c>
      <c r="S63" s="17" t="str">
        <f aca="false">IF((E63="w"),H63," ")</f>
        <v> </v>
      </c>
      <c r="T63" s="17" t="str">
        <f aca="false">IF((E63="r"),H63," ")</f>
        <v> </v>
      </c>
      <c r="U63" s="17" t="str">
        <f aca="false">IF((E63="p"),H63," ")</f>
        <v> </v>
      </c>
      <c r="V63" s="17" t="str">
        <f aca="false">IF((E63="t"),H63," ")</f>
        <v> </v>
      </c>
      <c r="W63" s="17" t="str">
        <f aca="false">IF((E63="q"),H63," ")</f>
        <v> </v>
      </c>
      <c r="X63" s="17" t="str">
        <f aca="false">IF((E63="m"),H63," ")</f>
        <v> </v>
      </c>
      <c r="Y63" s="17" t="str">
        <f aca="false">IF((E63="u"),H63," ")</f>
        <v> </v>
      </c>
      <c r="Z63" s="17" t="str">
        <f aca="false">IF((E63="a"),H63," ")</f>
        <v> </v>
      </c>
      <c r="AA63" s="17" t="str">
        <f aca="false">IF((E63="g"),H63," ")</f>
        <v> </v>
      </c>
      <c r="AB63" s="17" t="str">
        <f aca="false">IF((E63="h"),H63," ")</f>
        <v> </v>
      </c>
      <c r="AC63" s="30" t="str">
        <f aca="false">IF((E63="v"),H63," ")</f>
        <v> </v>
      </c>
      <c r="AD63" s="30" t="str">
        <f aca="false">IF((E63="n"),H63," ")</f>
        <v> </v>
      </c>
      <c r="AE63" s="17" t="str">
        <f aca="false">IF((E63="f"),H63," ")</f>
        <v> </v>
      </c>
      <c r="AF63" s="17" t="str">
        <f aca="false">IF((E63="l"),H63," ")</f>
        <v> </v>
      </c>
      <c r="AG63" s="17" t="str">
        <f aca="false">IF((E63="y"),H63," ")</f>
        <v> </v>
      </c>
      <c r="AH63" s="17" t="str">
        <f aca="false">IF((E63="z"),H63," ")</f>
        <v> </v>
      </c>
      <c r="AI63" s="17" t="str">
        <f aca="false">IF((E63="fa"),H63," ")</f>
        <v> </v>
      </c>
      <c r="AJ63" s="17" t="str">
        <f aca="false">IF((E63="e"),H63," ")</f>
        <v> </v>
      </c>
    </row>
    <row r="64" customFormat="false" ht="12" hidden="false" customHeight="false" outlineLevel="0" collapsed="false">
      <c r="A64" s="28"/>
      <c r="E64" s="2"/>
      <c r="F64" s="30"/>
      <c r="G64" s="6" t="str">
        <f aca="false">IF(F64&lt;&gt;0,F64*G$2/(100+G$2)," ")</f>
        <v> </v>
      </c>
      <c r="H64" s="6" t="str">
        <f aca="false">IF((F64&lt;&gt;0),F64-G64," ")</f>
        <v> </v>
      </c>
      <c r="I64" s="5"/>
      <c r="L64" s="7" t="str">
        <f aca="false">IF(F64&lt;&gt;0,F64-K64," ")</f>
        <v> </v>
      </c>
      <c r="M64" s="8" t="str">
        <f aca="false">IF((F64-K64)&lt;&gt;0,M$1-A64," ")</f>
        <v> </v>
      </c>
      <c r="N64" s="5"/>
      <c r="O64" s="17" t="str">
        <f aca="false">IF((E64="s"),H64," ")</f>
        <v> </v>
      </c>
      <c r="P64" s="17" t="str">
        <f aca="false">IF((E64="c"),H64," ")</f>
        <v> </v>
      </c>
      <c r="Q64" s="17" t="str">
        <f aca="false">IF((E64="o"),H64," ")</f>
        <v> </v>
      </c>
      <c r="R64" s="17" t="str">
        <f aca="false">IF((E64="d"),H64," ")</f>
        <v> </v>
      </c>
      <c r="S64" s="17" t="str">
        <f aca="false">IF((E64="w"),H64," ")</f>
        <v> </v>
      </c>
      <c r="T64" s="17" t="str">
        <f aca="false">IF((E64="r"),H64," ")</f>
        <v> </v>
      </c>
      <c r="U64" s="17" t="str">
        <f aca="false">IF((E64="p"),H64," ")</f>
        <v> </v>
      </c>
      <c r="V64" s="17" t="str">
        <f aca="false">IF((E64="t"),H64," ")</f>
        <v> </v>
      </c>
      <c r="W64" s="17" t="str">
        <f aca="false">IF((E64="q"),H64," ")</f>
        <v> </v>
      </c>
      <c r="X64" s="17" t="str">
        <f aca="false">IF((E64="m"),H64," ")</f>
        <v> </v>
      </c>
      <c r="Y64" s="17" t="str">
        <f aca="false">IF((E64="u"),H64," ")</f>
        <v> </v>
      </c>
      <c r="Z64" s="17" t="str">
        <f aca="false">IF((E64="a"),H64," ")</f>
        <v> </v>
      </c>
      <c r="AA64" s="17" t="str">
        <f aca="false">IF((E64="g"),H64," ")</f>
        <v> </v>
      </c>
      <c r="AB64" s="17" t="str">
        <f aca="false">IF((E64="h"),H64," ")</f>
        <v> </v>
      </c>
      <c r="AC64" s="30" t="str">
        <f aca="false">IF((E64="v"),H64," ")</f>
        <v> </v>
      </c>
      <c r="AD64" s="30" t="str">
        <f aca="false">IF((E64="n"),H64," ")</f>
        <v> </v>
      </c>
      <c r="AE64" s="17" t="str">
        <f aca="false">IF((E64="f"),H64," ")</f>
        <v> </v>
      </c>
      <c r="AF64" s="17" t="str">
        <f aca="false">IF((E64="l"),H64," ")</f>
        <v> </v>
      </c>
      <c r="AG64" s="17" t="str">
        <f aca="false">IF((E64="y"),H64," ")</f>
        <v> </v>
      </c>
      <c r="AH64" s="17" t="str">
        <f aca="false">IF((E64="z"),H64," ")</f>
        <v> </v>
      </c>
      <c r="AI64" s="17" t="str">
        <f aca="false">IF((E64="fa"),H64," ")</f>
        <v> </v>
      </c>
      <c r="AJ64" s="17" t="str">
        <f aca="false">IF((E64="e"),H64," ")</f>
        <v> </v>
      </c>
    </row>
    <row r="65" customFormat="false" ht="12" hidden="false" customHeight="false" outlineLevel="0" collapsed="false">
      <c r="A65" s="28"/>
      <c r="E65" s="2"/>
      <c r="F65" s="30"/>
      <c r="G65" s="6" t="str">
        <f aca="false">IF(F65&lt;&gt;0,F65*G$2/(100+G$2)," ")</f>
        <v> </v>
      </c>
      <c r="H65" s="6" t="str">
        <f aca="false">IF((F65&lt;&gt;0),F65-G65," ")</f>
        <v> </v>
      </c>
      <c r="I65" s="5"/>
      <c r="L65" s="7" t="str">
        <f aca="false">IF(F65&lt;&gt;0,F65-K65," ")</f>
        <v> </v>
      </c>
      <c r="M65" s="8" t="str">
        <f aca="false">IF((F65-K65)&lt;&gt;0,M$1-A65," ")</f>
        <v> </v>
      </c>
      <c r="N65" s="5"/>
      <c r="O65" s="17" t="str">
        <f aca="false">IF((E65="s"),H65," ")</f>
        <v> </v>
      </c>
      <c r="P65" s="17" t="str">
        <f aca="false">IF((E65="c"),H65," ")</f>
        <v> </v>
      </c>
      <c r="Q65" s="17" t="str">
        <f aca="false">IF((E65="o"),H65," ")</f>
        <v> </v>
      </c>
      <c r="R65" s="17" t="str">
        <f aca="false">IF((E65="d"),H65," ")</f>
        <v> </v>
      </c>
      <c r="S65" s="17" t="str">
        <f aca="false">IF((E65="w"),H65," ")</f>
        <v> </v>
      </c>
      <c r="T65" s="17" t="str">
        <f aca="false">IF((E65="r"),H65," ")</f>
        <v> </v>
      </c>
      <c r="U65" s="17" t="str">
        <f aca="false">IF((E65="p"),H65," ")</f>
        <v> </v>
      </c>
      <c r="V65" s="17" t="str">
        <f aca="false">IF((E65="t"),H65," ")</f>
        <v> </v>
      </c>
      <c r="W65" s="17" t="str">
        <f aca="false">IF((E65="q"),H65," ")</f>
        <v> </v>
      </c>
      <c r="X65" s="17" t="str">
        <f aca="false">IF((E65="m"),H65," ")</f>
        <v> </v>
      </c>
      <c r="Y65" s="17" t="str">
        <f aca="false">IF((E65="u"),H65," ")</f>
        <v> </v>
      </c>
      <c r="Z65" s="17" t="str">
        <f aca="false">IF((E65="a"),H65," ")</f>
        <v> </v>
      </c>
      <c r="AA65" s="17" t="str">
        <f aca="false">IF((E65="g"),H65," ")</f>
        <v> </v>
      </c>
      <c r="AB65" s="17" t="str">
        <f aca="false">IF((E65="h"),H65," ")</f>
        <v> </v>
      </c>
      <c r="AC65" s="30" t="str">
        <f aca="false">IF((E65="v"),H65," ")</f>
        <v> </v>
      </c>
      <c r="AD65" s="30" t="str">
        <f aca="false">IF((E65="n"),H65," ")</f>
        <v> </v>
      </c>
      <c r="AE65" s="17" t="str">
        <f aca="false">IF((E65="f"),H65," ")</f>
        <v> </v>
      </c>
      <c r="AF65" s="17" t="str">
        <f aca="false">IF((E65="l"),H65," ")</f>
        <v> </v>
      </c>
      <c r="AG65" s="17" t="str">
        <f aca="false">IF((E65="y"),H65," ")</f>
        <v> </v>
      </c>
      <c r="AH65" s="17" t="str">
        <f aca="false">IF((E65="z"),H65," ")</f>
        <v> </v>
      </c>
      <c r="AI65" s="17" t="str">
        <f aca="false">IF((E65="fa"),H65," ")</f>
        <v> </v>
      </c>
      <c r="AJ65" s="17" t="str">
        <f aca="false">IF((E65="e"),H65," ")</f>
        <v> </v>
      </c>
    </row>
    <row r="66" customFormat="false" ht="12" hidden="false" customHeight="false" outlineLevel="0" collapsed="false">
      <c r="A66" s="28"/>
      <c r="E66" s="2"/>
      <c r="F66" s="30"/>
      <c r="G66" s="6" t="str">
        <f aca="false">IF(F66&lt;&gt;0,F66*G$2/(100+G$2)," ")</f>
        <v> </v>
      </c>
      <c r="H66" s="6" t="str">
        <f aca="false">IF((F66&lt;&gt;0),F66-G66," ")</f>
        <v> </v>
      </c>
      <c r="I66" s="5"/>
      <c r="L66" s="7" t="str">
        <f aca="false">IF(F66&lt;&gt;0,F66-K66," ")</f>
        <v> </v>
      </c>
      <c r="M66" s="8" t="str">
        <f aca="false">IF((F66-K66)&lt;&gt;0,M$1-A66," ")</f>
        <v> </v>
      </c>
      <c r="N66" s="5"/>
      <c r="O66" s="17" t="str">
        <f aca="false">IF((E66="s"),H66," ")</f>
        <v> </v>
      </c>
      <c r="P66" s="17" t="str">
        <f aca="false">IF((E66="c"),H66," ")</f>
        <v> </v>
      </c>
      <c r="Q66" s="17" t="str">
        <f aca="false">IF((E66="o"),H66," ")</f>
        <v> </v>
      </c>
      <c r="R66" s="17" t="str">
        <f aca="false">IF((E66="d"),H66," ")</f>
        <v> </v>
      </c>
      <c r="S66" s="17" t="str">
        <f aca="false">IF((E66="w"),H66," ")</f>
        <v> </v>
      </c>
      <c r="T66" s="17" t="str">
        <f aca="false">IF((E66="r"),H66," ")</f>
        <v> </v>
      </c>
      <c r="U66" s="17" t="str">
        <f aca="false">IF((E66="p"),H66," ")</f>
        <v> </v>
      </c>
      <c r="V66" s="17" t="str">
        <f aca="false">IF((E66="t"),H66," ")</f>
        <v> </v>
      </c>
      <c r="W66" s="17" t="str">
        <f aca="false">IF((E66="q"),H66," ")</f>
        <v> </v>
      </c>
      <c r="X66" s="17" t="str">
        <f aca="false">IF((E66="m"),H66," ")</f>
        <v> </v>
      </c>
      <c r="Y66" s="17" t="str">
        <f aca="false">IF((E66="u"),H66," ")</f>
        <v> </v>
      </c>
      <c r="Z66" s="17" t="str">
        <f aca="false">IF((E66="a"),H66," ")</f>
        <v> </v>
      </c>
      <c r="AA66" s="17" t="str">
        <f aca="false">IF((E66="g"),H66," ")</f>
        <v> </v>
      </c>
      <c r="AB66" s="17" t="str">
        <f aca="false">IF((E66="h"),H66," ")</f>
        <v> </v>
      </c>
      <c r="AC66" s="30" t="str">
        <f aca="false">IF((E66="v"),H66," ")</f>
        <v> </v>
      </c>
      <c r="AD66" s="30" t="str">
        <f aca="false">IF((E66="n"),H66," ")</f>
        <v> </v>
      </c>
      <c r="AE66" s="17" t="str">
        <f aca="false">IF((E66="f"),H66," ")</f>
        <v> </v>
      </c>
      <c r="AF66" s="17" t="str">
        <f aca="false">IF((E66="l"),H66," ")</f>
        <v> </v>
      </c>
      <c r="AG66" s="17" t="str">
        <f aca="false">IF((E66="y"),H66," ")</f>
        <v> </v>
      </c>
      <c r="AH66" s="17" t="str">
        <f aca="false">IF((E66="z"),H66," ")</f>
        <v> </v>
      </c>
      <c r="AI66" s="17" t="str">
        <f aca="false">IF((E66="fa"),H66," ")</f>
        <v> </v>
      </c>
      <c r="AJ66" s="17" t="str">
        <f aca="false">IF((E66="e"),H66," ")</f>
        <v> </v>
      </c>
    </row>
    <row r="67" customFormat="false" ht="12" hidden="false" customHeight="false" outlineLevel="0" collapsed="false">
      <c r="A67" s="28"/>
      <c r="E67" s="2"/>
      <c r="F67" s="30"/>
      <c r="G67" s="6" t="str">
        <f aca="false">IF(F67&lt;&gt;0,F67*G$2/(100+G$2)," ")</f>
        <v> </v>
      </c>
      <c r="H67" s="6" t="str">
        <f aca="false">IF((F67&lt;&gt;0),F67-G67," ")</f>
        <v> </v>
      </c>
      <c r="I67" s="5"/>
      <c r="L67" s="7" t="str">
        <f aca="false">IF(F67&lt;&gt;0,F67-K67," ")</f>
        <v> </v>
      </c>
      <c r="M67" s="8" t="str">
        <f aca="false">IF((F67-K67)&lt;&gt;0,M$1-A67," ")</f>
        <v> </v>
      </c>
      <c r="N67" s="5"/>
      <c r="O67" s="17" t="str">
        <f aca="false">IF((E67="s"),H67," ")</f>
        <v> </v>
      </c>
      <c r="P67" s="17" t="str">
        <f aca="false">IF((E67="c"),H67," ")</f>
        <v> </v>
      </c>
      <c r="Q67" s="17" t="str">
        <f aca="false">IF((E67="o"),H67," ")</f>
        <v> </v>
      </c>
      <c r="R67" s="17" t="str">
        <f aca="false">IF((E67="d"),H67," ")</f>
        <v> </v>
      </c>
      <c r="S67" s="17" t="str">
        <f aca="false">IF((E67="w"),H67," ")</f>
        <v> </v>
      </c>
      <c r="T67" s="17" t="str">
        <f aca="false">IF((E67="r"),H67," ")</f>
        <v> </v>
      </c>
      <c r="U67" s="17" t="str">
        <f aca="false">IF((E67="p"),H67," ")</f>
        <v> </v>
      </c>
      <c r="V67" s="17" t="str">
        <f aca="false">IF((E67="t"),H67," ")</f>
        <v> </v>
      </c>
      <c r="W67" s="17" t="str">
        <f aca="false">IF((E67="q"),H67," ")</f>
        <v> </v>
      </c>
      <c r="X67" s="17" t="str">
        <f aca="false">IF((E67="m"),H67," ")</f>
        <v> </v>
      </c>
      <c r="Y67" s="17" t="str">
        <f aca="false">IF((E67="u"),H67," ")</f>
        <v> </v>
      </c>
      <c r="Z67" s="17" t="str">
        <f aca="false">IF((E67="a"),H67," ")</f>
        <v> </v>
      </c>
      <c r="AA67" s="17" t="str">
        <f aca="false">IF((E67="g"),H67," ")</f>
        <v> </v>
      </c>
      <c r="AB67" s="17" t="str">
        <f aca="false">IF((E67="h"),H67," ")</f>
        <v> </v>
      </c>
      <c r="AC67" s="30" t="str">
        <f aca="false">IF((E67="v"),H67," ")</f>
        <v> </v>
      </c>
      <c r="AD67" s="30" t="str">
        <f aca="false">IF((E67="n"),H67," ")</f>
        <v> </v>
      </c>
      <c r="AE67" s="17" t="str">
        <f aca="false">IF((E67="f"),H67," ")</f>
        <v> </v>
      </c>
      <c r="AF67" s="17" t="str">
        <f aca="false">IF((E67="l"),H67," ")</f>
        <v> </v>
      </c>
      <c r="AG67" s="17" t="str">
        <f aca="false">IF((E67="y"),H67," ")</f>
        <v> </v>
      </c>
      <c r="AH67" s="17" t="str">
        <f aca="false">IF((E67="z"),H67," ")</f>
        <v> </v>
      </c>
      <c r="AI67" s="17" t="str">
        <f aca="false">IF((E67="fa"),H67," ")</f>
        <v> </v>
      </c>
      <c r="AJ67" s="17" t="str">
        <f aca="false">IF((E67="e"),H67," ")</f>
        <v> </v>
      </c>
    </row>
    <row r="68" customFormat="false" ht="12" hidden="false" customHeight="false" outlineLevel="0" collapsed="false">
      <c r="A68" s="28"/>
      <c r="E68" s="2"/>
      <c r="F68" s="30"/>
      <c r="G68" s="6" t="str">
        <f aca="false">IF(F68&lt;&gt;0,F68*G$2/(100+G$2)," ")</f>
        <v> </v>
      </c>
      <c r="H68" s="6" t="str">
        <f aca="false">IF((F68&lt;&gt;0),F68-G68," ")</f>
        <v> </v>
      </c>
      <c r="I68" s="5"/>
      <c r="L68" s="7" t="str">
        <f aca="false">IF(F68&lt;&gt;0,F68-K68," ")</f>
        <v> </v>
      </c>
      <c r="M68" s="8" t="str">
        <f aca="false">IF((F68-K68)&lt;&gt;0,M$1-A68," ")</f>
        <v> </v>
      </c>
      <c r="N68" s="5"/>
      <c r="O68" s="17" t="str">
        <f aca="false">IF((E68="s"),H68," ")</f>
        <v> </v>
      </c>
      <c r="P68" s="17" t="str">
        <f aca="false">IF((E68="c"),H68," ")</f>
        <v> </v>
      </c>
      <c r="Q68" s="17" t="str">
        <f aca="false">IF((E68="o"),H68," ")</f>
        <v> </v>
      </c>
      <c r="R68" s="17" t="str">
        <f aca="false">IF((E68="d"),H68," ")</f>
        <v> </v>
      </c>
      <c r="S68" s="17" t="str">
        <f aca="false">IF((E68="w"),H68," ")</f>
        <v> </v>
      </c>
      <c r="T68" s="17" t="str">
        <f aca="false">IF((E68="r"),H68," ")</f>
        <v> </v>
      </c>
      <c r="U68" s="17" t="str">
        <f aca="false">IF((E68="p"),H68," ")</f>
        <v> </v>
      </c>
      <c r="V68" s="17" t="str">
        <f aca="false">IF((E68="t"),H68," ")</f>
        <v> </v>
      </c>
      <c r="W68" s="17" t="str">
        <f aca="false">IF((E68="q"),H68," ")</f>
        <v> </v>
      </c>
      <c r="X68" s="17" t="str">
        <f aca="false">IF((E68="m"),H68," ")</f>
        <v> </v>
      </c>
      <c r="Y68" s="17" t="str">
        <f aca="false">IF((E68="u"),H68," ")</f>
        <v> </v>
      </c>
      <c r="Z68" s="17" t="str">
        <f aca="false">IF((E68="a"),H68," ")</f>
        <v> </v>
      </c>
      <c r="AA68" s="17" t="str">
        <f aca="false">IF((E68="g"),H68," ")</f>
        <v> </v>
      </c>
      <c r="AB68" s="17" t="str">
        <f aca="false">IF((E68="h"),H68," ")</f>
        <v> </v>
      </c>
      <c r="AC68" s="30" t="str">
        <f aca="false">IF((E68="v"),H68," ")</f>
        <v> </v>
      </c>
      <c r="AD68" s="30" t="str">
        <f aca="false">IF((E68="n"),H68," ")</f>
        <v> </v>
      </c>
      <c r="AE68" s="17" t="str">
        <f aca="false">IF((E68="f"),H68," ")</f>
        <v> </v>
      </c>
      <c r="AF68" s="17" t="str">
        <f aca="false">IF((E68="l"),H68," ")</f>
        <v> </v>
      </c>
      <c r="AG68" s="17" t="str">
        <f aca="false">IF((E68="y"),H68," ")</f>
        <v> </v>
      </c>
      <c r="AH68" s="17" t="str">
        <f aca="false">IF((E68="z"),H68," ")</f>
        <v> </v>
      </c>
      <c r="AI68" s="17" t="str">
        <f aca="false">IF((E68="fa"),H68," ")</f>
        <v> </v>
      </c>
      <c r="AJ68" s="17" t="str">
        <f aca="false">IF((E68="e"),H68," ")</f>
        <v> </v>
      </c>
    </row>
    <row r="69" customFormat="false" ht="12" hidden="false" customHeight="false" outlineLevel="0" collapsed="false">
      <c r="A69" s="28"/>
      <c r="E69" s="2"/>
      <c r="F69" s="30"/>
      <c r="G69" s="6" t="str">
        <f aca="false">IF(F69&lt;&gt;0,F69*G$2/(100+G$2)," ")</f>
        <v> </v>
      </c>
      <c r="H69" s="6" t="str">
        <f aca="false">IF((F69&lt;&gt;0),F69-G69," ")</f>
        <v> </v>
      </c>
      <c r="I69" s="5"/>
      <c r="L69" s="7" t="str">
        <f aca="false">IF(F69&lt;&gt;0,F69-K69," ")</f>
        <v> </v>
      </c>
      <c r="M69" s="8" t="str">
        <f aca="false">IF((F69-K69)&lt;&gt;0,M$1-A69," ")</f>
        <v> </v>
      </c>
      <c r="N69" s="5"/>
      <c r="O69" s="17" t="str">
        <f aca="false">IF((E69="s"),H69," ")</f>
        <v> </v>
      </c>
      <c r="P69" s="17" t="str">
        <f aca="false">IF((E69="c"),H69," ")</f>
        <v> </v>
      </c>
      <c r="Q69" s="17" t="str">
        <f aca="false">IF((E69="o"),H69," ")</f>
        <v> </v>
      </c>
      <c r="R69" s="17" t="str">
        <f aca="false">IF((E69="d"),H69," ")</f>
        <v> </v>
      </c>
      <c r="S69" s="17" t="str">
        <f aca="false">IF((E69="w"),H69," ")</f>
        <v> </v>
      </c>
      <c r="T69" s="17" t="str">
        <f aca="false">IF((E69="r"),H69," ")</f>
        <v> </v>
      </c>
      <c r="U69" s="17" t="str">
        <f aca="false">IF((E69="p"),H69," ")</f>
        <v> </v>
      </c>
      <c r="V69" s="17" t="str">
        <f aca="false">IF((E69="t"),H69," ")</f>
        <v> </v>
      </c>
      <c r="W69" s="17" t="str">
        <f aca="false">IF((E69="q"),H69," ")</f>
        <v> </v>
      </c>
      <c r="X69" s="17" t="str">
        <f aca="false">IF((E69="m"),H69," ")</f>
        <v> </v>
      </c>
      <c r="Y69" s="17" t="str">
        <f aca="false">IF((E69="u"),H69," ")</f>
        <v> </v>
      </c>
      <c r="Z69" s="17" t="str">
        <f aca="false">IF((E69="a"),H69," ")</f>
        <v> </v>
      </c>
      <c r="AA69" s="17" t="str">
        <f aca="false">IF((E69="g"),H69," ")</f>
        <v> </v>
      </c>
      <c r="AB69" s="17" t="str">
        <f aca="false">IF((E69="h"),H69," ")</f>
        <v> </v>
      </c>
      <c r="AC69" s="30" t="str">
        <f aca="false">IF((E69="v"),H69," ")</f>
        <v> </v>
      </c>
      <c r="AD69" s="30" t="str">
        <f aca="false">IF((E69="n"),H69," ")</f>
        <v> </v>
      </c>
      <c r="AE69" s="17" t="str">
        <f aca="false">IF((E69="f"),H69," ")</f>
        <v> </v>
      </c>
      <c r="AF69" s="17" t="str">
        <f aca="false">IF((E69="l"),H69," ")</f>
        <v> </v>
      </c>
      <c r="AG69" s="17" t="str">
        <f aca="false">IF((E69="y"),H69," ")</f>
        <v> </v>
      </c>
      <c r="AH69" s="17" t="str">
        <f aca="false">IF((E69="z"),H69," ")</f>
        <v> </v>
      </c>
      <c r="AI69" s="17" t="str">
        <f aca="false">IF((E69="fa"),H69," ")</f>
        <v> </v>
      </c>
      <c r="AJ69" s="17" t="str">
        <f aca="false">IF((E69="e"),H69," ")</f>
        <v> </v>
      </c>
    </row>
    <row r="70" customFormat="false" ht="12" hidden="false" customHeight="false" outlineLevel="0" collapsed="false">
      <c r="A70" s="28"/>
      <c r="E70" s="2" t="str">
        <f aca="false">IF((F70&lt;&gt;0),"Enter Letter"," ")</f>
        <v> </v>
      </c>
      <c r="F70" s="30"/>
      <c r="G70" s="6" t="str">
        <f aca="false">IF(F70&lt;&gt;0,F70*G$2/(100+G$2)," ")</f>
        <v> </v>
      </c>
      <c r="H70" s="6" t="str">
        <f aca="false">IF((F70&lt;&gt;0),F70-G70," ")</f>
        <v> </v>
      </c>
      <c r="I70" s="5"/>
      <c r="L70" s="7" t="str">
        <f aca="false">IF(F70&lt;&gt;0,F70-K70," ")</f>
        <v> </v>
      </c>
      <c r="M70" s="8" t="str">
        <f aca="false">IF((F70-K70)&lt;&gt;0,M$1-A70," ")</f>
        <v> </v>
      </c>
      <c r="N70" s="5"/>
      <c r="O70" s="17" t="str">
        <f aca="false">IF((E70="s"),H70," ")</f>
        <v> </v>
      </c>
      <c r="P70" s="17" t="str">
        <f aca="false">IF((E70="c"),H70," ")</f>
        <v> </v>
      </c>
      <c r="Q70" s="17" t="str">
        <f aca="false">IF((E70="o"),H70," ")</f>
        <v> </v>
      </c>
      <c r="R70" s="17" t="str">
        <f aca="false">IF((E70="d"),H70," ")</f>
        <v> </v>
      </c>
      <c r="S70" s="17" t="str">
        <f aca="false">IF((E70="w"),H70," ")</f>
        <v> </v>
      </c>
      <c r="T70" s="17" t="str">
        <f aca="false">IF((E70="r"),H70," ")</f>
        <v> </v>
      </c>
      <c r="U70" s="17" t="str">
        <f aca="false">IF((E70="p"),H70," ")</f>
        <v> </v>
      </c>
      <c r="V70" s="17" t="str">
        <f aca="false">IF((E70="t"),H70," ")</f>
        <v> </v>
      </c>
      <c r="W70" s="17" t="str">
        <f aca="false">IF((E70="q"),H70," ")</f>
        <v> </v>
      </c>
      <c r="X70" s="17" t="str">
        <f aca="false">IF((E70="m"),H70," ")</f>
        <v> </v>
      </c>
      <c r="Y70" s="17" t="str">
        <f aca="false">IF((E70="u"),H70," ")</f>
        <v> </v>
      </c>
      <c r="Z70" s="17" t="str">
        <f aca="false">IF((E70="a"),H70," ")</f>
        <v> </v>
      </c>
      <c r="AA70" s="17" t="str">
        <f aca="false">IF((E70="g"),H70," ")</f>
        <v> </v>
      </c>
      <c r="AB70" s="17" t="str">
        <f aca="false">IF((E70="h"),H70," ")</f>
        <v> </v>
      </c>
      <c r="AC70" s="30" t="str">
        <f aca="false">IF((E70="v"),H70," ")</f>
        <v> </v>
      </c>
      <c r="AD70" s="30" t="str">
        <f aca="false">IF((E70="n"),H70," ")</f>
        <v> </v>
      </c>
      <c r="AE70" s="17" t="str">
        <f aca="false">IF((E70="f"),H70," ")</f>
        <v> </v>
      </c>
      <c r="AF70" s="17" t="str">
        <f aca="false">IF((E70="l"),H70," ")</f>
        <v> </v>
      </c>
      <c r="AG70" s="17" t="str">
        <f aca="false">IF((E70="y"),H70," ")</f>
        <v> </v>
      </c>
      <c r="AH70" s="17" t="str">
        <f aca="false">IF((E70="z"),H70," ")</f>
        <v> </v>
      </c>
      <c r="AI70" s="17" t="str">
        <f aca="false">IF((E70="fa"),H70," ")</f>
        <v> </v>
      </c>
      <c r="AJ70" s="17" t="str">
        <f aca="false">IF((E70="e"),H70," ")</f>
        <v> </v>
      </c>
    </row>
    <row r="71" customFormat="false" ht="12" hidden="false" customHeight="false" outlineLevel="0" collapsed="false">
      <c r="A71" s="28"/>
      <c r="E71" s="2" t="str">
        <f aca="false">IF((F71&lt;&gt;0),"Enter Letter"," ")</f>
        <v> </v>
      </c>
      <c r="F71" s="30"/>
      <c r="G71" s="6" t="str">
        <f aca="false">IF(F71&lt;&gt;0,F71*G$2/(100+G$2)," ")</f>
        <v> </v>
      </c>
      <c r="H71" s="6" t="str">
        <f aca="false">IF((F71&lt;&gt;0),F71-G71," ")</f>
        <v> </v>
      </c>
      <c r="I71" s="5"/>
      <c r="L71" s="7" t="str">
        <f aca="false">IF(F71&lt;&gt;0,F71-K71," ")</f>
        <v> </v>
      </c>
      <c r="M71" s="8" t="str">
        <f aca="false">IF((F71-K71)&lt;&gt;0,M$1-A71," ")</f>
        <v> </v>
      </c>
      <c r="N71" s="5"/>
      <c r="O71" s="17" t="str">
        <f aca="false">IF((E71="s"),H71," ")</f>
        <v> </v>
      </c>
      <c r="P71" s="17" t="str">
        <f aca="false">IF((E71="c"),H71," ")</f>
        <v> </v>
      </c>
      <c r="Q71" s="17" t="str">
        <f aca="false">IF((E71="o"),H71," ")</f>
        <v> </v>
      </c>
      <c r="R71" s="17" t="str">
        <f aca="false">IF((E71="d"),H71," ")</f>
        <v> </v>
      </c>
      <c r="S71" s="17" t="str">
        <f aca="false">IF((E71="w"),H71," ")</f>
        <v> </v>
      </c>
      <c r="T71" s="17" t="str">
        <f aca="false">IF((E71="r"),H71," ")</f>
        <v> </v>
      </c>
      <c r="U71" s="17" t="str">
        <f aca="false">IF((E71="p"),H71," ")</f>
        <v> </v>
      </c>
      <c r="V71" s="17" t="str">
        <f aca="false">IF((E71="t"),H71," ")</f>
        <v> </v>
      </c>
      <c r="W71" s="17" t="str">
        <f aca="false">IF((E71="q"),H71," ")</f>
        <v> </v>
      </c>
      <c r="X71" s="17" t="str">
        <f aca="false">IF((E71="m"),H71," ")</f>
        <v> </v>
      </c>
      <c r="Y71" s="17" t="str">
        <f aca="false">IF((E71="u"),H71," ")</f>
        <v> </v>
      </c>
      <c r="Z71" s="17" t="str">
        <f aca="false">IF((E71="a"),H71," ")</f>
        <v> </v>
      </c>
      <c r="AA71" s="17" t="str">
        <f aca="false">IF((E71="g"),H71," ")</f>
        <v> </v>
      </c>
      <c r="AB71" s="17" t="str">
        <f aca="false">IF((E71="h"),H71," ")</f>
        <v> </v>
      </c>
      <c r="AC71" s="30" t="str">
        <f aca="false">IF((E71="v"),H71," ")</f>
        <v> </v>
      </c>
      <c r="AD71" s="30" t="str">
        <f aca="false">IF((E71="n"),H71," ")</f>
        <v> </v>
      </c>
      <c r="AE71" s="17" t="str">
        <f aca="false">IF((E71="f"),H71," ")</f>
        <v> </v>
      </c>
      <c r="AF71" s="17" t="str">
        <f aca="false">IF((E71="l"),H71," ")</f>
        <v> </v>
      </c>
      <c r="AG71" s="17" t="str">
        <f aca="false">IF((E71="y"),H71," ")</f>
        <v> </v>
      </c>
      <c r="AH71" s="17" t="str">
        <f aca="false">IF((E71="z"),H71," ")</f>
        <v> </v>
      </c>
      <c r="AI71" s="17" t="str">
        <f aca="false">IF((E71="fa"),H71," ")</f>
        <v> </v>
      </c>
      <c r="AJ71" s="17" t="str">
        <f aca="false">IF((E71="e"),H71," ")</f>
        <v> </v>
      </c>
    </row>
    <row r="72" customFormat="false" ht="12" hidden="false" customHeight="false" outlineLevel="0" collapsed="false">
      <c r="A72" s="28"/>
      <c r="E72" s="2" t="str">
        <f aca="false">IF((F72&lt;&gt;0),"Enter Letter"," ")</f>
        <v> </v>
      </c>
      <c r="F72" s="30"/>
      <c r="G72" s="6" t="str">
        <f aca="false">IF(F72&lt;&gt;0,F72*G$2/(100+G$2)," ")</f>
        <v> </v>
      </c>
      <c r="H72" s="6" t="str">
        <f aca="false">IF((F72&lt;&gt;0),F72-G72," ")</f>
        <v> </v>
      </c>
      <c r="I72" s="5"/>
      <c r="L72" s="7" t="str">
        <f aca="false">IF(F72&lt;&gt;0,F72-K72," ")</f>
        <v> </v>
      </c>
      <c r="M72" s="8" t="str">
        <f aca="false">IF((F72-K72)&lt;&gt;0,M$1-A72," ")</f>
        <v> </v>
      </c>
      <c r="N72" s="5"/>
      <c r="O72" s="17" t="str">
        <f aca="false">IF((E72="s"),H72," ")</f>
        <v> </v>
      </c>
      <c r="P72" s="17" t="str">
        <f aca="false">IF((E72="c"),H72," ")</f>
        <v> </v>
      </c>
      <c r="Q72" s="17" t="str">
        <f aca="false">IF((E72="o"),H72," ")</f>
        <v> </v>
      </c>
      <c r="R72" s="17" t="str">
        <f aca="false">IF((E72="d"),H72," ")</f>
        <v> </v>
      </c>
      <c r="S72" s="17" t="str">
        <f aca="false">IF((E72="w"),H72," ")</f>
        <v> </v>
      </c>
      <c r="T72" s="17" t="str">
        <f aca="false">IF((E72="r"),H72," ")</f>
        <v> </v>
      </c>
      <c r="U72" s="17" t="str">
        <f aca="false">IF((E72="p"),H72," ")</f>
        <v> </v>
      </c>
      <c r="V72" s="17" t="str">
        <f aca="false">IF((E72="t"),H72," ")</f>
        <v> </v>
      </c>
      <c r="W72" s="17" t="str">
        <f aca="false">IF((E72="q"),H72," ")</f>
        <v> </v>
      </c>
      <c r="X72" s="17" t="str">
        <f aca="false">IF((E72="m"),H72," ")</f>
        <v> </v>
      </c>
      <c r="Y72" s="17" t="str">
        <f aca="false">IF((E72="u"),H72," ")</f>
        <v> </v>
      </c>
      <c r="Z72" s="17" t="str">
        <f aca="false">IF((E72="a"),H72," ")</f>
        <v> </v>
      </c>
      <c r="AA72" s="17" t="str">
        <f aca="false">IF((E72="g"),H72," ")</f>
        <v> </v>
      </c>
      <c r="AB72" s="17" t="str">
        <f aca="false">IF((E72="h"),H72," ")</f>
        <v> </v>
      </c>
      <c r="AC72" s="30" t="str">
        <f aca="false">IF((E72="v"),H72," ")</f>
        <v> </v>
      </c>
      <c r="AD72" s="30" t="str">
        <f aca="false">IF((E72="n"),H72," ")</f>
        <v> </v>
      </c>
      <c r="AE72" s="17" t="str">
        <f aca="false">IF((E72="f"),H72," ")</f>
        <v> </v>
      </c>
      <c r="AF72" s="17" t="str">
        <f aca="false">IF((E72="l"),H72," ")</f>
        <v> </v>
      </c>
      <c r="AG72" s="17" t="str">
        <f aca="false">IF((E72="y"),H72," ")</f>
        <v> </v>
      </c>
      <c r="AH72" s="17" t="str">
        <f aca="false">IF((E72="z"),H72," ")</f>
        <v> </v>
      </c>
      <c r="AI72" s="17" t="str">
        <f aca="false">IF((E72="fa"),H72," ")</f>
        <v> </v>
      </c>
      <c r="AJ72" s="17" t="str">
        <f aca="false">IF((E72="e"),H72," ")</f>
        <v> </v>
      </c>
    </row>
    <row r="73" customFormat="false" ht="12" hidden="false" customHeight="false" outlineLevel="0" collapsed="false">
      <c r="A73" s="28"/>
      <c r="E73" s="2" t="str">
        <f aca="false">IF((F73&lt;&gt;0),"Enter Letter"," ")</f>
        <v> </v>
      </c>
      <c r="F73" s="30"/>
      <c r="G73" s="6" t="str">
        <f aca="false">IF(F73&lt;&gt;0,F73*G$2/(100+G$2)," ")</f>
        <v> </v>
      </c>
      <c r="H73" s="6" t="str">
        <f aca="false">IF((F73&lt;&gt;0),F73-G73," ")</f>
        <v> </v>
      </c>
      <c r="I73" s="5"/>
      <c r="L73" s="7" t="str">
        <f aca="false">IF(F73&lt;&gt;0,F73-K73," ")</f>
        <v> </v>
      </c>
      <c r="M73" s="8" t="str">
        <f aca="false">IF((F73-K73)&lt;&gt;0,M$1-A73," ")</f>
        <v> </v>
      </c>
      <c r="N73" s="5"/>
      <c r="O73" s="17" t="str">
        <f aca="false">IF((E73="s"),H73," ")</f>
        <v> </v>
      </c>
      <c r="P73" s="17" t="str">
        <f aca="false">IF((E73="c"),H73," ")</f>
        <v> </v>
      </c>
      <c r="Q73" s="17" t="str">
        <f aca="false">IF((E73="o"),H73," ")</f>
        <v> </v>
      </c>
      <c r="R73" s="17" t="str">
        <f aca="false">IF((E73="d"),H73," ")</f>
        <v> </v>
      </c>
      <c r="S73" s="17" t="str">
        <f aca="false">IF((E73="w"),H73," ")</f>
        <v> </v>
      </c>
      <c r="T73" s="17" t="str">
        <f aca="false">IF((E73="r"),H73," ")</f>
        <v> </v>
      </c>
      <c r="U73" s="17" t="str">
        <f aca="false">IF((E73="p"),H73," ")</f>
        <v> </v>
      </c>
      <c r="V73" s="17" t="str">
        <f aca="false">IF((E73="t"),H73," ")</f>
        <v> </v>
      </c>
      <c r="W73" s="17" t="str">
        <f aca="false">IF((E73="q"),H73," ")</f>
        <v> </v>
      </c>
      <c r="X73" s="17" t="str">
        <f aca="false">IF((E73="m"),H73," ")</f>
        <v> </v>
      </c>
      <c r="Y73" s="17" t="str">
        <f aca="false">IF((E73="u"),H73," ")</f>
        <v> </v>
      </c>
      <c r="Z73" s="17" t="str">
        <f aca="false">IF((E73="a"),H73," ")</f>
        <v> </v>
      </c>
      <c r="AA73" s="17" t="str">
        <f aca="false">IF((E73="g"),H73," ")</f>
        <v> </v>
      </c>
      <c r="AB73" s="17" t="str">
        <f aca="false">IF((E73="h"),H73," ")</f>
        <v> </v>
      </c>
      <c r="AC73" s="30" t="str">
        <f aca="false">IF((E73="v"),H73," ")</f>
        <v> </v>
      </c>
      <c r="AD73" s="30" t="str">
        <f aca="false">IF((E73="n"),H73," ")</f>
        <v> </v>
      </c>
      <c r="AE73" s="17" t="str">
        <f aca="false">IF((E73="f"),H73," ")</f>
        <v> </v>
      </c>
      <c r="AF73" s="17" t="str">
        <f aca="false">IF((E73="l"),H73," ")</f>
        <v> </v>
      </c>
      <c r="AG73" s="17" t="str">
        <f aca="false">IF((E73="y"),H73," ")</f>
        <v> </v>
      </c>
      <c r="AH73" s="17" t="str">
        <f aca="false">IF((E73="z"),H73," ")</f>
        <v> </v>
      </c>
      <c r="AI73" s="17" t="str">
        <f aca="false">IF((E73="fa"),H73," ")</f>
        <v> </v>
      </c>
      <c r="AJ73" s="17" t="str">
        <f aca="false">IF((E73="e"),H73," ")</f>
        <v> </v>
      </c>
    </row>
    <row r="74" customFormat="false" ht="12" hidden="false" customHeight="false" outlineLevel="0" collapsed="false">
      <c r="A74" s="28"/>
      <c r="E74" s="2" t="str">
        <f aca="false">IF((F74&lt;&gt;0),"Enter Letter"," ")</f>
        <v> </v>
      </c>
      <c r="F74" s="30"/>
      <c r="G74" s="6" t="str">
        <f aca="false">IF(F74&lt;&gt;0,F74*G$2/(100+G$2)," ")</f>
        <v> </v>
      </c>
      <c r="H74" s="6" t="str">
        <f aca="false">IF((F74&lt;&gt;0),F74-G74," ")</f>
        <v> </v>
      </c>
      <c r="I74" s="5"/>
      <c r="L74" s="7" t="str">
        <f aca="false">IF(F74&lt;&gt;0,F74-K74," ")</f>
        <v> </v>
      </c>
      <c r="M74" s="8" t="str">
        <f aca="false">IF((F74-K74)&lt;&gt;0,M$1-A74," ")</f>
        <v> </v>
      </c>
      <c r="N74" s="5"/>
      <c r="O74" s="17" t="str">
        <f aca="false">IF((E74="s"),H74," ")</f>
        <v> </v>
      </c>
      <c r="P74" s="17" t="str">
        <f aca="false">IF((E74="c"),H74," ")</f>
        <v> </v>
      </c>
      <c r="Q74" s="17" t="str">
        <f aca="false">IF((E74="o"),H74," ")</f>
        <v> </v>
      </c>
      <c r="R74" s="17" t="str">
        <f aca="false">IF((E74="d"),H74," ")</f>
        <v> </v>
      </c>
      <c r="S74" s="17" t="str">
        <f aca="false">IF((E74="w"),H74," ")</f>
        <v> </v>
      </c>
      <c r="T74" s="17" t="str">
        <f aca="false">IF((E74="r"),H74," ")</f>
        <v> </v>
      </c>
      <c r="U74" s="17" t="str">
        <f aca="false">IF((E74="p"),H74," ")</f>
        <v> </v>
      </c>
      <c r="V74" s="17" t="str">
        <f aca="false">IF((E74="t"),H74," ")</f>
        <v> </v>
      </c>
      <c r="W74" s="17" t="str">
        <f aca="false">IF((E74="q"),H74," ")</f>
        <v> </v>
      </c>
      <c r="X74" s="17" t="str">
        <f aca="false">IF((E74="m"),H74," ")</f>
        <v> </v>
      </c>
      <c r="Y74" s="17" t="str">
        <f aca="false">IF((E74="u"),H74," ")</f>
        <v> </v>
      </c>
      <c r="Z74" s="17" t="str">
        <f aca="false">IF((E74="a"),H74," ")</f>
        <v> </v>
      </c>
      <c r="AA74" s="17" t="str">
        <f aca="false">IF((E74="g"),H74," ")</f>
        <v> </v>
      </c>
      <c r="AB74" s="17" t="str">
        <f aca="false">IF((E74="h"),H74," ")</f>
        <v> </v>
      </c>
      <c r="AC74" s="30" t="str">
        <f aca="false">IF((E74="v"),H74," ")</f>
        <v> </v>
      </c>
      <c r="AD74" s="30" t="str">
        <f aca="false">IF((E74="n"),H74," ")</f>
        <v> </v>
      </c>
      <c r="AE74" s="17" t="str">
        <f aca="false">IF((E74="f"),H74," ")</f>
        <v> </v>
      </c>
      <c r="AF74" s="17" t="str">
        <f aca="false">IF((E74="l"),H74," ")</f>
        <v> </v>
      </c>
      <c r="AG74" s="17" t="str">
        <f aca="false">IF((E74="y"),H74," ")</f>
        <v> </v>
      </c>
      <c r="AH74" s="17" t="str">
        <f aca="false">IF((E74="z"),H74," ")</f>
        <v> </v>
      </c>
      <c r="AI74" s="17" t="str">
        <f aca="false">IF((E74="fa"),H74," ")</f>
        <v> </v>
      </c>
      <c r="AJ74" s="17" t="str">
        <f aca="false">IF((E74="e"),H74," ")</f>
        <v> </v>
      </c>
    </row>
    <row r="75" customFormat="false" ht="12" hidden="false" customHeight="false" outlineLevel="0" collapsed="false">
      <c r="A75" s="28"/>
      <c r="E75" s="2" t="str">
        <f aca="false">IF((F75&lt;&gt;0),"Enter Letter"," ")</f>
        <v> </v>
      </c>
      <c r="F75" s="30"/>
      <c r="G75" s="6" t="str">
        <f aca="false">IF(F75&lt;&gt;0,F75*G$2/(100+G$2)," ")</f>
        <v> </v>
      </c>
      <c r="H75" s="6" t="str">
        <f aca="false">IF((F75&lt;&gt;0),F75-G75," ")</f>
        <v> </v>
      </c>
      <c r="I75" s="5"/>
      <c r="L75" s="7" t="str">
        <f aca="false">IF(F75&lt;&gt;0,F75-K75," ")</f>
        <v> </v>
      </c>
      <c r="M75" s="8" t="str">
        <f aca="false">IF((F75-K75)&lt;&gt;0,M$1-A75," ")</f>
        <v> </v>
      </c>
      <c r="N75" s="5"/>
      <c r="O75" s="17" t="str">
        <f aca="false">IF((E75="s"),H75," ")</f>
        <v> </v>
      </c>
      <c r="P75" s="17" t="str">
        <f aca="false">IF((E75="c"),H75," ")</f>
        <v> </v>
      </c>
      <c r="Q75" s="17" t="str">
        <f aca="false">IF((E75="o"),H75," ")</f>
        <v> </v>
      </c>
      <c r="R75" s="17" t="str">
        <f aca="false">IF((E75="d"),H75," ")</f>
        <v> </v>
      </c>
      <c r="S75" s="17" t="str">
        <f aca="false">IF((E75="w"),H75," ")</f>
        <v> </v>
      </c>
      <c r="T75" s="17" t="str">
        <f aca="false">IF((E75="r"),H75," ")</f>
        <v> </v>
      </c>
      <c r="U75" s="17" t="str">
        <f aca="false">IF((E75="p"),H75," ")</f>
        <v> </v>
      </c>
      <c r="V75" s="17" t="str">
        <f aca="false">IF((E75="t"),H75," ")</f>
        <v> </v>
      </c>
      <c r="W75" s="17" t="str">
        <f aca="false">IF((E75="q"),H75," ")</f>
        <v> </v>
      </c>
      <c r="X75" s="17" t="str">
        <f aca="false">IF((E75="m"),H75," ")</f>
        <v> </v>
      </c>
      <c r="Y75" s="17" t="str">
        <f aca="false">IF((E75="u"),H75," ")</f>
        <v> </v>
      </c>
      <c r="Z75" s="17" t="str">
        <f aca="false">IF((E75="a"),H75," ")</f>
        <v> </v>
      </c>
      <c r="AA75" s="17" t="str">
        <f aca="false">IF((E75="g"),H75," ")</f>
        <v> </v>
      </c>
      <c r="AB75" s="17" t="str">
        <f aca="false">IF((E75="h"),H75," ")</f>
        <v> </v>
      </c>
      <c r="AC75" s="30" t="str">
        <f aca="false">IF((E75="v"),H75," ")</f>
        <v> </v>
      </c>
      <c r="AD75" s="30" t="str">
        <f aca="false">IF((E75="n"),H75," ")</f>
        <v> </v>
      </c>
      <c r="AE75" s="17" t="str">
        <f aca="false">IF((E75="f"),H75," ")</f>
        <v> </v>
      </c>
      <c r="AF75" s="17" t="str">
        <f aca="false">IF((E75="l"),H75," ")</f>
        <v> </v>
      </c>
      <c r="AG75" s="17" t="str">
        <f aca="false">IF((E75="y"),H75," ")</f>
        <v> </v>
      </c>
      <c r="AH75" s="17" t="str">
        <f aca="false">IF((E75="z"),H75," ")</f>
        <v> </v>
      </c>
      <c r="AI75" s="17" t="str">
        <f aca="false">IF((E75="fa"),H75," ")</f>
        <v> </v>
      </c>
      <c r="AJ75" s="17" t="str">
        <f aca="false">IF((E75="e"),H75," ")</f>
        <v> </v>
      </c>
    </row>
    <row r="76" customFormat="false" ht="12" hidden="false" customHeight="false" outlineLevel="0" collapsed="false">
      <c r="A76" s="28"/>
      <c r="E76" s="2" t="str">
        <f aca="false">IF((F76&lt;&gt;0),"Enter Letter"," ")</f>
        <v> </v>
      </c>
      <c r="F76" s="30"/>
      <c r="G76" s="6" t="str">
        <f aca="false">IF(F76&lt;&gt;0,F76*G$2/(100+G$2)," ")</f>
        <v> </v>
      </c>
      <c r="H76" s="6" t="str">
        <f aca="false">IF((F76&lt;&gt;0),F76-G76," ")</f>
        <v> </v>
      </c>
      <c r="I76" s="5"/>
      <c r="L76" s="7" t="str">
        <f aca="false">IF(F76&lt;&gt;0,F76-K76," ")</f>
        <v> </v>
      </c>
      <c r="M76" s="8" t="str">
        <f aca="false">IF((F76-K76)&lt;&gt;0,M$1-A76," ")</f>
        <v> </v>
      </c>
      <c r="N76" s="5"/>
      <c r="O76" s="17" t="str">
        <f aca="false">IF((E76="s"),H76," ")</f>
        <v> </v>
      </c>
      <c r="P76" s="17" t="str">
        <f aca="false">IF((E76="c"),H76," ")</f>
        <v> </v>
      </c>
      <c r="Q76" s="17" t="str">
        <f aca="false">IF((E76="o"),H76," ")</f>
        <v> </v>
      </c>
      <c r="R76" s="17" t="str">
        <f aca="false">IF((E76="d"),H76," ")</f>
        <v> </v>
      </c>
      <c r="S76" s="17" t="str">
        <f aca="false">IF((E76="w"),H76," ")</f>
        <v> </v>
      </c>
      <c r="T76" s="17" t="str">
        <f aca="false">IF((E76="r"),H76," ")</f>
        <v> </v>
      </c>
      <c r="U76" s="17" t="str">
        <f aca="false">IF((E76="p"),H76," ")</f>
        <v> </v>
      </c>
      <c r="V76" s="17" t="str">
        <f aca="false">IF((E76="t"),H76," ")</f>
        <v> </v>
      </c>
      <c r="W76" s="17" t="str">
        <f aca="false">IF((E76="q"),H76," ")</f>
        <v> </v>
      </c>
      <c r="X76" s="17" t="str">
        <f aca="false">IF((E76="m"),H76," ")</f>
        <v> </v>
      </c>
      <c r="Y76" s="17" t="str">
        <f aca="false">IF((E76="u"),H76," ")</f>
        <v> </v>
      </c>
      <c r="Z76" s="17" t="str">
        <f aca="false">IF((E76="a"),H76," ")</f>
        <v> </v>
      </c>
      <c r="AA76" s="17" t="str">
        <f aca="false">IF((E76="g"),H76," ")</f>
        <v> </v>
      </c>
      <c r="AB76" s="17" t="str">
        <f aca="false">IF((E76="h"),H76," ")</f>
        <v> </v>
      </c>
      <c r="AC76" s="30" t="str">
        <f aca="false">IF((E76="v"),H76," ")</f>
        <v> </v>
      </c>
      <c r="AD76" s="30" t="str">
        <f aca="false">IF((E76="n"),H76," ")</f>
        <v> </v>
      </c>
      <c r="AE76" s="17" t="str">
        <f aca="false">IF((E76="f"),H76," ")</f>
        <v> </v>
      </c>
      <c r="AF76" s="17" t="str">
        <f aca="false">IF((E76="l"),H76," ")</f>
        <v> </v>
      </c>
      <c r="AG76" s="17" t="str">
        <f aca="false">IF((E76="y"),H76," ")</f>
        <v> </v>
      </c>
      <c r="AH76" s="17" t="str">
        <f aca="false">IF((E76="z"),H76," ")</f>
        <v> </v>
      </c>
      <c r="AI76" s="17" t="str">
        <f aca="false">IF((E76="fa"),H76," ")</f>
        <v> </v>
      </c>
      <c r="AJ76" s="17" t="str">
        <f aca="false">IF((E76="e"),H76," ")</f>
        <v> </v>
      </c>
    </row>
    <row r="77" customFormat="false" ht="12" hidden="false" customHeight="false" outlineLevel="0" collapsed="false">
      <c r="A77" s="28"/>
      <c r="E77" s="2" t="str">
        <f aca="false">IF((F77&lt;&gt;0),"Enter Letter"," ")</f>
        <v> </v>
      </c>
      <c r="F77" s="30"/>
      <c r="G77" s="6" t="str">
        <f aca="false">IF(F77&lt;&gt;0,F77*G$2/(100+G$2)," ")</f>
        <v> </v>
      </c>
      <c r="H77" s="6" t="str">
        <f aca="false">IF((F77&lt;&gt;0),F77-G77," ")</f>
        <v> </v>
      </c>
      <c r="I77" s="5"/>
      <c r="L77" s="7" t="str">
        <f aca="false">IF(F77&lt;&gt;0,F77-K77," ")</f>
        <v> </v>
      </c>
      <c r="M77" s="8" t="str">
        <f aca="false">IF((F77-K77)&lt;&gt;0,M$1-A77," ")</f>
        <v> </v>
      </c>
      <c r="N77" s="5"/>
      <c r="O77" s="17" t="str">
        <f aca="false">IF((E77="s"),H77," ")</f>
        <v> </v>
      </c>
      <c r="P77" s="17" t="str">
        <f aca="false">IF((E77="c"),H77," ")</f>
        <v> </v>
      </c>
      <c r="Q77" s="17" t="str">
        <f aca="false">IF((E77="o"),H77," ")</f>
        <v> </v>
      </c>
      <c r="R77" s="17" t="str">
        <f aca="false">IF((E77="d"),H77," ")</f>
        <v> </v>
      </c>
      <c r="S77" s="17" t="str">
        <f aca="false">IF((E77="w"),H77," ")</f>
        <v> </v>
      </c>
      <c r="T77" s="17" t="str">
        <f aca="false">IF((E77="r"),H77," ")</f>
        <v> </v>
      </c>
      <c r="U77" s="17" t="str">
        <f aca="false">IF((E77="p"),H77," ")</f>
        <v> </v>
      </c>
      <c r="V77" s="17" t="str">
        <f aca="false">IF((E77="t"),H77," ")</f>
        <v> </v>
      </c>
      <c r="W77" s="17" t="str">
        <f aca="false">IF((E77="q"),H77," ")</f>
        <v> </v>
      </c>
      <c r="X77" s="17" t="str">
        <f aca="false">IF((E77="m"),H77," ")</f>
        <v> </v>
      </c>
      <c r="Y77" s="17" t="str">
        <f aca="false">IF((E77="u"),H77," ")</f>
        <v> </v>
      </c>
      <c r="Z77" s="17" t="str">
        <f aca="false">IF((E77="a"),H77," ")</f>
        <v> </v>
      </c>
      <c r="AA77" s="17" t="str">
        <f aca="false">IF((E77="g"),H77," ")</f>
        <v> </v>
      </c>
      <c r="AB77" s="17" t="str">
        <f aca="false">IF((E77="h"),H77," ")</f>
        <v> </v>
      </c>
      <c r="AC77" s="30" t="str">
        <f aca="false">IF((E77="v"),H77," ")</f>
        <v> </v>
      </c>
      <c r="AD77" s="30" t="str">
        <f aca="false">IF((E77="n"),H77," ")</f>
        <v> </v>
      </c>
      <c r="AE77" s="17" t="str">
        <f aca="false">IF((E77="f"),H77," ")</f>
        <v> </v>
      </c>
      <c r="AF77" s="17" t="str">
        <f aca="false">IF((E77="l"),H77," ")</f>
        <v> </v>
      </c>
      <c r="AG77" s="17" t="str">
        <f aca="false">IF((E77="y"),H77," ")</f>
        <v> </v>
      </c>
      <c r="AH77" s="17" t="str">
        <f aca="false">IF((E77="z"),H77," ")</f>
        <v> </v>
      </c>
      <c r="AI77" s="17" t="str">
        <f aca="false">IF((E77="fa"),H77," ")</f>
        <v> </v>
      </c>
      <c r="AJ77" s="17" t="str">
        <f aca="false">IF((E77="e"),H77," ")</f>
        <v> </v>
      </c>
    </row>
    <row r="78" customFormat="false" ht="12" hidden="false" customHeight="false" outlineLevel="0" collapsed="false">
      <c r="A78" s="28"/>
      <c r="E78" s="2" t="str">
        <f aca="false">IF((F78&lt;&gt;0),"Enter Letter"," ")</f>
        <v> </v>
      </c>
      <c r="F78" s="30"/>
      <c r="G78" s="6" t="str">
        <f aca="false">IF(F78&lt;&gt;0,F78*G$2/(100+G$2)," ")</f>
        <v> </v>
      </c>
      <c r="H78" s="6" t="str">
        <f aca="false">IF((F78&lt;&gt;0),F78-G78," ")</f>
        <v> </v>
      </c>
      <c r="I78" s="5"/>
      <c r="L78" s="7" t="str">
        <f aca="false">IF(F78&lt;&gt;0,F78-K78," ")</f>
        <v> </v>
      </c>
      <c r="M78" s="8" t="str">
        <f aca="false">IF((F78-K78)&lt;&gt;0,M$1-A78," ")</f>
        <v> </v>
      </c>
      <c r="N78" s="5"/>
      <c r="O78" s="17" t="str">
        <f aca="false">IF((E78="s"),H78," ")</f>
        <v> </v>
      </c>
      <c r="P78" s="17" t="str">
        <f aca="false">IF((E78="c"),H78," ")</f>
        <v> </v>
      </c>
      <c r="Q78" s="17" t="str">
        <f aca="false">IF((E78="o"),H78," ")</f>
        <v> </v>
      </c>
      <c r="R78" s="17" t="str">
        <f aca="false">IF((E78="d"),H78," ")</f>
        <v> </v>
      </c>
      <c r="S78" s="17" t="str">
        <f aca="false">IF((E78="w"),H78," ")</f>
        <v> </v>
      </c>
      <c r="T78" s="17" t="str">
        <f aca="false">IF((E78="r"),H78," ")</f>
        <v> </v>
      </c>
      <c r="U78" s="17" t="str">
        <f aca="false">IF((E78="p"),H78," ")</f>
        <v> </v>
      </c>
      <c r="V78" s="17" t="str">
        <f aca="false">IF((E78="t"),H78," ")</f>
        <v> </v>
      </c>
      <c r="W78" s="17" t="str">
        <f aca="false">IF((E78="q"),H78," ")</f>
        <v> </v>
      </c>
      <c r="X78" s="17" t="str">
        <f aca="false">IF((E78="m"),H78," ")</f>
        <v> </v>
      </c>
      <c r="Y78" s="17" t="str">
        <f aca="false">IF((E78="u"),H78," ")</f>
        <v> </v>
      </c>
      <c r="Z78" s="17" t="str">
        <f aca="false">IF((E78="a"),H78," ")</f>
        <v> </v>
      </c>
      <c r="AA78" s="17" t="str">
        <f aca="false">IF((E78="g"),H78," ")</f>
        <v> </v>
      </c>
      <c r="AB78" s="17" t="str">
        <f aca="false">IF((E78="h"),H78," ")</f>
        <v> </v>
      </c>
      <c r="AC78" s="30" t="str">
        <f aca="false">IF((E78="v"),H78," ")</f>
        <v> </v>
      </c>
      <c r="AD78" s="30" t="str">
        <f aca="false">IF((E78="n"),H78," ")</f>
        <v> </v>
      </c>
      <c r="AE78" s="17" t="str">
        <f aca="false">IF((E78="f"),H78," ")</f>
        <v> </v>
      </c>
      <c r="AF78" s="17" t="str">
        <f aca="false">IF((E78="l"),H78," ")</f>
        <v> </v>
      </c>
      <c r="AG78" s="17" t="str">
        <f aca="false">IF((E78="y"),H78," ")</f>
        <v> </v>
      </c>
      <c r="AH78" s="17" t="str">
        <f aca="false">IF((E78="z"),H78," ")</f>
        <v> </v>
      </c>
      <c r="AI78" s="17" t="str">
        <f aca="false">IF((E78="fa"),H78," ")</f>
        <v> </v>
      </c>
      <c r="AJ78" s="17" t="str">
        <f aca="false">IF((E78="e"),H78," ")</f>
        <v> </v>
      </c>
    </row>
    <row r="79" customFormat="false" ht="12" hidden="false" customHeight="false" outlineLevel="0" collapsed="false">
      <c r="A79" s="28"/>
      <c r="E79" s="2" t="str">
        <f aca="false">IF((F79&lt;&gt;0),"Enter Letter"," ")</f>
        <v> </v>
      </c>
      <c r="F79" s="30"/>
      <c r="G79" s="6" t="str">
        <f aca="false">IF(F79&lt;&gt;0,F79*G$2/(100+G$2)," ")</f>
        <v> </v>
      </c>
      <c r="H79" s="6" t="str">
        <f aca="false">IF((F79&lt;&gt;0),F79-G79," ")</f>
        <v> </v>
      </c>
      <c r="I79" s="5"/>
      <c r="L79" s="7" t="str">
        <f aca="false">IF(F79&lt;&gt;0,F79-K79," ")</f>
        <v> </v>
      </c>
      <c r="M79" s="8" t="str">
        <f aca="false">IF((F79-K79)&lt;&gt;0,M$1-A79," ")</f>
        <v> </v>
      </c>
      <c r="N79" s="5"/>
      <c r="O79" s="17" t="str">
        <f aca="false">IF((E79="s"),H79," ")</f>
        <v> </v>
      </c>
      <c r="P79" s="17" t="str">
        <f aca="false">IF((E79="c"),H79," ")</f>
        <v> </v>
      </c>
      <c r="Q79" s="17" t="str">
        <f aca="false">IF((E79="o"),H79," ")</f>
        <v> </v>
      </c>
      <c r="R79" s="17" t="str">
        <f aca="false">IF((E79="d"),H79," ")</f>
        <v> </v>
      </c>
      <c r="S79" s="17" t="str">
        <f aca="false">IF((E79="w"),H79," ")</f>
        <v> </v>
      </c>
      <c r="T79" s="17" t="str">
        <f aca="false">IF((E79="r"),H79," ")</f>
        <v> </v>
      </c>
      <c r="U79" s="17" t="str">
        <f aca="false">IF((E79="p"),H79," ")</f>
        <v> </v>
      </c>
      <c r="V79" s="17" t="str">
        <f aca="false">IF((E79="t"),H79," ")</f>
        <v> </v>
      </c>
      <c r="W79" s="17" t="str">
        <f aca="false">IF((E79="q"),H79," ")</f>
        <v> </v>
      </c>
      <c r="X79" s="17" t="str">
        <f aca="false">IF((E79="m"),H79," ")</f>
        <v> </v>
      </c>
      <c r="Y79" s="17" t="str">
        <f aca="false">IF((E79="u"),H79," ")</f>
        <v> </v>
      </c>
      <c r="Z79" s="17" t="str">
        <f aca="false">IF((E79="a"),H79," ")</f>
        <v> </v>
      </c>
      <c r="AA79" s="17" t="str">
        <f aca="false">IF((E79="g"),H79," ")</f>
        <v> </v>
      </c>
      <c r="AB79" s="17" t="str">
        <f aca="false">IF((E79="h"),H79," ")</f>
        <v> </v>
      </c>
      <c r="AC79" s="30" t="str">
        <f aca="false">IF((E79="v"),H79," ")</f>
        <v> </v>
      </c>
      <c r="AD79" s="30" t="str">
        <f aca="false">IF((E79="n"),H79," ")</f>
        <v> </v>
      </c>
      <c r="AE79" s="17" t="str">
        <f aca="false">IF((E79="f"),H79," ")</f>
        <v> </v>
      </c>
      <c r="AF79" s="17" t="str">
        <f aca="false">IF((E79="l"),H79," ")</f>
        <v> </v>
      </c>
      <c r="AG79" s="17" t="str">
        <f aca="false">IF((E79="y"),H79," ")</f>
        <v> </v>
      </c>
      <c r="AH79" s="17" t="str">
        <f aca="false">IF((E79="z"),H79," ")</f>
        <v> </v>
      </c>
      <c r="AI79" s="17" t="str">
        <f aca="false">IF((E79="fa"),H79," ")</f>
        <v> </v>
      </c>
      <c r="AJ79" s="17" t="str">
        <f aca="false">IF((E79="e"),H79," ")</f>
        <v> </v>
      </c>
    </row>
    <row r="80" customFormat="false" ht="12" hidden="false" customHeight="false" outlineLevel="0" collapsed="false">
      <c r="A80" s="28"/>
      <c r="E80" s="2" t="str">
        <f aca="false">IF((F80&lt;&gt;0),"Enter Letter"," ")</f>
        <v> </v>
      </c>
      <c r="F80" s="30"/>
      <c r="G80" s="6" t="str">
        <f aca="false">IF(F80&lt;&gt;0,F80*G$2/(100+G$2)," ")</f>
        <v> </v>
      </c>
      <c r="H80" s="6" t="str">
        <f aca="false">IF((F80&lt;&gt;0),F80-G80," ")</f>
        <v> </v>
      </c>
      <c r="I80" s="5"/>
      <c r="L80" s="7" t="str">
        <f aca="false">IF(F80&lt;&gt;0,F80-K80," ")</f>
        <v> </v>
      </c>
      <c r="M80" s="8" t="str">
        <f aca="false">IF((F80-K80)&lt;&gt;0,M$1-A80," ")</f>
        <v> </v>
      </c>
      <c r="N80" s="5"/>
      <c r="O80" s="17" t="str">
        <f aca="false">IF((E80="s"),H80," ")</f>
        <v> </v>
      </c>
      <c r="P80" s="17" t="str">
        <f aca="false">IF((E80="c"),H80," ")</f>
        <v> </v>
      </c>
      <c r="Q80" s="17" t="str">
        <f aca="false">IF((E80="o"),H80," ")</f>
        <v> </v>
      </c>
      <c r="R80" s="17" t="str">
        <f aca="false">IF((E80="d"),H80," ")</f>
        <v> </v>
      </c>
      <c r="S80" s="17" t="str">
        <f aca="false">IF((E80="w"),H80," ")</f>
        <v> </v>
      </c>
      <c r="T80" s="17" t="str">
        <f aca="false">IF((E80="r"),H80," ")</f>
        <v> </v>
      </c>
      <c r="U80" s="17" t="str">
        <f aca="false">IF((E80="p"),H80," ")</f>
        <v> </v>
      </c>
      <c r="V80" s="17" t="str">
        <f aca="false">IF((E80="t"),H80," ")</f>
        <v> </v>
      </c>
      <c r="W80" s="17" t="str">
        <f aca="false">IF((E80="q"),H80," ")</f>
        <v> </v>
      </c>
      <c r="X80" s="17" t="str">
        <f aca="false">IF((E80="m"),H80," ")</f>
        <v> </v>
      </c>
      <c r="Y80" s="17" t="str">
        <f aca="false">IF((E80="u"),H80," ")</f>
        <v> </v>
      </c>
      <c r="Z80" s="17" t="str">
        <f aca="false">IF((E80="a"),H80," ")</f>
        <v> </v>
      </c>
      <c r="AA80" s="17" t="str">
        <f aca="false">IF((E80="g"),H80," ")</f>
        <v> </v>
      </c>
      <c r="AB80" s="17" t="str">
        <f aca="false">IF((E80="h"),H80," ")</f>
        <v> </v>
      </c>
      <c r="AC80" s="30" t="str">
        <f aca="false">IF((E80="v"),H80," ")</f>
        <v> </v>
      </c>
      <c r="AD80" s="30" t="str">
        <f aca="false">IF((E80="n"),H80," ")</f>
        <v> </v>
      </c>
      <c r="AE80" s="17" t="str">
        <f aca="false">IF((E80="f"),H80," ")</f>
        <v> </v>
      </c>
      <c r="AF80" s="17" t="str">
        <f aca="false">IF((E80="l"),H80," ")</f>
        <v> </v>
      </c>
      <c r="AG80" s="17" t="str">
        <f aca="false">IF((E80="y"),H80," ")</f>
        <v> </v>
      </c>
      <c r="AH80" s="17" t="str">
        <f aca="false">IF((E80="z"),H80," ")</f>
        <v> </v>
      </c>
      <c r="AI80" s="17" t="str">
        <f aca="false">IF((E80="fa"),H80," ")</f>
        <v> </v>
      </c>
      <c r="AJ80" s="17" t="str">
        <f aca="false">IF((E80="e"),H80," ")</f>
        <v> </v>
      </c>
    </row>
    <row r="81" customFormat="false" ht="12" hidden="false" customHeight="false" outlineLevel="0" collapsed="false">
      <c r="A81" s="28"/>
      <c r="E81" s="2" t="str">
        <f aca="false">IF((F81&lt;&gt;0),"Enter Letter"," ")</f>
        <v> </v>
      </c>
      <c r="F81" s="30"/>
      <c r="G81" s="6" t="str">
        <f aca="false">IF(F81&lt;&gt;0,F81*G$2/(100+G$2)," ")</f>
        <v> </v>
      </c>
      <c r="H81" s="6" t="str">
        <f aca="false">IF((F81&lt;&gt;0),F81-G81," ")</f>
        <v> </v>
      </c>
      <c r="I81" s="5"/>
      <c r="L81" s="7" t="str">
        <f aca="false">IF(F81&lt;&gt;0,F81-K81," ")</f>
        <v> </v>
      </c>
      <c r="M81" s="8" t="str">
        <f aca="false">IF((F81-K81)&lt;&gt;0,M$1-A81," ")</f>
        <v> </v>
      </c>
      <c r="N81" s="5"/>
      <c r="O81" s="17" t="str">
        <f aca="false">IF((E81="s"),H81," ")</f>
        <v> </v>
      </c>
      <c r="P81" s="17" t="str">
        <f aca="false">IF((E81="c"),H81," ")</f>
        <v> </v>
      </c>
      <c r="Q81" s="17" t="str">
        <f aca="false">IF((E81="o"),H81," ")</f>
        <v> </v>
      </c>
      <c r="R81" s="17" t="str">
        <f aca="false">IF((E81="d"),H81," ")</f>
        <v> </v>
      </c>
      <c r="S81" s="17" t="str">
        <f aca="false">IF((E81="w"),H81," ")</f>
        <v> </v>
      </c>
      <c r="T81" s="17" t="str">
        <f aca="false">IF((E81="r"),H81," ")</f>
        <v> </v>
      </c>
      <c r="U81" s="17" t="str">
        <f aca="false">IF((E81="p"),H81," ")</f>
        <v> </v>
      </c>
      <c r="V81" s="17" t="str">
        <f aca="false">IF((E81="t"),H81," ")</f>
        <v> </v>
      </c>
      <c r="W81" s="17" t="str">
        <f aca="false">IF((E81="q"),H81," ")</f>
        <v> </v>
      </c>
      <c r="X81" s="17" t="str">
        <f aca="false">IF((E81="m"),H81," ")</f>
        <v> </v>
      </c>
      <c r="Y81" s="17" t="str">
        <f aca="false">IF((E81="u"),H81," ")</f>
        <v> </v>
      </c>
      <c r="Z81" s="17" t="str">
        <f aca="false">IF((E81="a"),H81," ")</f>
        <v> </v>
      </c>
      <c r="AA81" s="17" t="str">
        <f aca="false">IF((E81="g"),H81," ")</f>
        <v> </v>
      </c>
      <c r="AB81" s="17" t="str">
        <f aca="false">IF((E81="h"),H81," ")</f>
        <v> </v>
      </c>
      <c r="AC81" s="30" t="str">
        <f aca="false">IF((E81="v"),H81," ")</f>
        <v> </v>
      </c>
      <c r="AD81" s="30" t="str">
        <f aca="false">IF((E81="n"),H81," ")</f>
        <v> </v>
      </c>
      <c r="AE81" s="17" t="str">
        <f aca="false">IF((E81="f"),H81," ")</f>
        <v> </v>
      </c>
      <c r="AF81" s="17" t="str">
        <f aca="false">IF((E81="l"),H81," ")</f>
        <v> </v>
      </c>
      <c r="AG81" s="17" t="str">
        <f aca="false">IF((E81="y"),H81," ")</f>
        <v> </v>
      </c>
      <c r="AH81" s="17" t="str">
        <f aca="false">IF((E81="z"),H81," ")</f>
        <v> </v>
      </c>
      <c r="AI81" s="17" t="str">
        <f aca="false">IF((E81="fa"),H81," ")</f>
        <v> </v>
      </c>
      <c r="AJ81" s="17" t="str">
        <f aca="false">IF((E81="e"),H81," ")</f>
        <v> </v>
      </c>
    </row>
    <row r="82" customFormat="false" ht="12" hidden="false" customHeight="false" outlineLevel="0" collapsed="false">
      <c r="A82" s="28"/>
      <c r="E82" s="2" t="str">
        <f aca="false">IF((F82&lt;&gt;0),"Enter Letter"," ")</f>
        <v> </v>
      </c>
      <c r="F82" s="30"/>
      <c r="G82" s="6" t="str">
        <f aca="false">IF(F82&lt;&gt;0,F82*G$2/(100+G$2)," ")</f>
        <v> </v>
      </c>
      <c r="H82" s="6" t="str">
        <f aca="false">IF((F82&lt;&gt;0),F82-G82," ")</f>
        <v> </v>
      </c>
      <c r="I82" s="5"/>
      <c r="L82" s="7" t="str">
        <f aca="false">IF(F82&lt;&gt;0,F82-K82," ")</f>
        <v> </v>
      </c>
      <c r="M82" s="8" t="str">
        <f aca="false">IF((F82-K82)&lt;&gt;0,M$1-A82," ")</f>
        <v> </v>
      </c>
      <c r="N82" s="5"/>
      <c r="O82" s="17" t="str">
        <f aca="false">IF((E82="s"),H82," ")</f>
        <v> </v>
      </c>
      <c r="P82" s="17" t="str">
        <f aca="false">IF((E82="c"),H82," ")</f>
        <v> </v>
      </c>
      <c r="Q82" s="17" t="str">
        <f aca="false">IF((E82="o"),H82," ")</f>
        <v> </v>
      </c>
      <c r="R82" s="17" t="str">
        <f aca="false">IF((E82="d"),H82," ")</f>
        <v> </v>
      </c>
      <c r="S82" s="17" t="str">
        <f aca="false">IF((E82="w"),H82," ")</f>
        <v> </v>
      </c>
      <c r="T82" s="17" t="str">
        <f aca="false">IF((E82="r"),H82," ")</f>
        <v> </v>
      </c>
      <c r="U82" s="17" t="str">
        <f aca="false">IF((E82="p"),H82," ")</f>
        <v> </v>
      </c>
      <c r="V82" s="17" t="str">
        <f aca="false">IF((E82="t"),H82," ")</f>
        <v> </v>
      </c>
      <c r="W82" s="17" t="str">
        <f aca="false">IF((E82="q"),H82," ")</f>
        <v> </v>
      </c>
      <c r="X82" s="17" t="str">
        <f aca="false">IF((E82="m"),H82," ")</f>
        <v> </v>
      </c>
      <c r="Y82" s="17" t="str">
        <f aca="false">IF((E82="u"),H82," ")</f>
        <v> </v>
      </c>
      <c r="Z82" s="17" t="str">
        <f aca="false">IF((E82="a"),H82," ")</f>
        <v> </v>
      </c>
      <c r="AA82" s="17" t="str">
        <f aca="false">IF((E82="g"),H82," ")</f>
        <v> </v>
      </c>
      <c r="AB82" s="17" t="str">
        <f aca="false">IF((E82="h"),H82," ")</f>
        <v> </v>
      </c>
      <c r="AC82" s="30" t="str">
        <f aca="false">IF((E82="v"),H82," ")</f>
        <v> </v>
      </c>
      <c r="AD82" s="30" t="str">
        <f aca="false">IF((E82="n"),H82," ")</f>
        <v> </v>
      </c>
      <c r="AE82" s="17" t="str">
        <f aca="false">IF((E82="f"),H82," ")</f>
        <v> </v>
      </c>
      <c r="AF82" s="17" t="str">
        <f aca="false">IF((E82="l"),H82," ")</f>
        <v> </v>
      </c>
      <c r="AG82" s="17" t="str">
        <f aca="false">IF((E82="y"),H82," ")</f>
        <v> </v>
      </c>
      <c r="AH82" s="17" t="str">
        <f aca="false">IF((E82="z"),H82," ")</f>
        <v> </v>
      </c>
      <c r="AI82" s="17" t="str">
        <f aca="false">IF((E82="fa"),H82," ")</f>
        <v> </v>
      </c>
      <c r="AJ82" s="17" t="str">
        <f aca="false">IF((E82="e"),H82," ")</f>
        <v> </v>
      </c>
    </row>
    <row r="83" customFormat="false" ht="12" hidden="false" customHeight="false" outlineLevel="0" collapsed="false">
      <c r="A83" s="28"/>
      <c r="E83" s="2" t="str">
        <f aca="false">IF((F83&lt;&gt;0),"Enter Letter"," ")</f>
        <v> </v>
      </c>
      <c r="F83" s="30"/>
      <c r="G83" s="6" t="str">
        <f aca="false">IF(F83&lt;&gt;0,F83*G$2/(100+G$2)," ")</f>
        <v> </v>
      </c>
      <c r="H83" s="6" t="str">
        <f aca="false">IF((F83&lt;&gt;0),F83-G83," ")</f>
        <v> </v>
      </c>
      <c r="I83" s="5"/>
      <c r="L83" s="7" t="str">
        <f aca="false">IF(F83&lt;&gt;0,F83-K83," ")</f>
        <v> </v>
      </c>
      <c r="M83" s="8" t="str">
        <f aca="false">IF((F83-K83)&lt;&gt;0,M$1-A83," ")</f>
        <v> </v>
      </c>
      <c r="N83" s="5"/>
      <c r="O83" s="17" t="str">
        <f aca="false">IF((E83="s"),H83," ")</f>
        <v> </v>
      </c>
      <c r="P83" s="17" t="str">
        <f aca="false">IF((E83="c"),H83," ")</f>
        <v> </v>
      </c>
      <c r="Q83" s="17" t="str">
        <f aca="false">IF((E83="o"),H83," ")</f>
        <v> </v>
      </c>
      <c r="R83" s="17" t="str">
        <f aca="false">IF((E83="d"),H83," ")</f>
        <v> </v>
      </c>
      <c r="S83" s="17" t="str">
        <f aca="false">IF((E83="w"),H83," ")</f>
        <v> </v>
      </c>
      <c r="T83" s="17" t="str">
        <f aca="false">IF((E83="r"),H83," ")</f>
        <v> </v>
      </c>
      <c r="U83" s="17" t="str">
        <f aca="false">IF((E83="p"),H83," ")</f>
        <v> </v>
      </c>
      <c r="V83" s="17" t="str">
        <f aca="false">IF((E83="t"),H83," ")</f>
        <v> </v>
      </c>
      <c r="W83" s="17" t="str">
        <f aca="false">IF((E83="q"),H83," ")</f>
        <v> </v>
      </c>
      <c r="X83" s="17" t="str">
        <f aca="false">IF((E83="m"),H83," ")</f>
        <v> </v>
      </c>
      <c r="Y83" s="17" t="str">
        <f aca="false">IF((E83="u"),H83," ")</f>
        <v> </v>
      </c>
      <c r="Z83" s="17" t="str">
        <f aca="false">IF((E83="a"),H83," ")</f>
        <v> </v>
      </c>
      <c r="AA83" s="17" t="str">
        <f aca="false">IF((E83="g"),H83," ")</f>
        <v> </v>
      </c>
      <c r="AB83" s="17" t="str">
        <f aca="false">IF((E83="h"),H83," ")</f>
        <v> </v>
      </c>
      <c r="AC83" s="30" t="str">
        <f aca="false">IF((E83="v"),H83," ")</f>
        <v> </v>
      </c>
      <c r="AD83" s="30" t="str">
        <f aca="false">IF((E83="n"),H83," ")</f>
        <v> </v>
      </c>
      <c r="AE83" s="17" t="str">
        <f aca="false">IF((E83="f"),H83," ")</f>
        <v> </v>
      </c>
      <c r="AF83" s="17" t="str">
        <f aca="false">IF((E83="l"),H83," ")</f>
        <v> </v>
      </c>
      <c r="AG83" s="17" t="str">
        <f aca="false">IF((E83="y"),H83," ")</f>
        <v> </v>
      </c>
      <c r="AH83" s="17" t="str">
        <f aca="false">IF((E83="z"),H83," ")</f>
        <v> </v>
      </c>
      <c r="AI83" s="17" t="str">
        <f aca="false">IF((E83="fa"),H83," ")</f>
        <v> </v>
      </c>
      <c r="AJ83" s="17" t="str">
        <f aca="false">IF((E83="e"),H83," ")</f>
        <v> </v>
      </c>
    </row>
    <row r="84" customFormat="false" ht="12" hidden="false" customHeight="false" outlineLevel="0" collapsed="false">
      <c r="A84" s="28"/>
      <c r="E84" s="2" t="str">
        <f aca="false">IF((F84&lt;&gt;0),"Enter Letter"," ")</f>
        <v> </v>
      </c>
      <c r="F84" s="30"/>
      <c r="G84" s="6" t="str">
        <f aca="false">IF(F84&lt;&gt;0,F84*G$2/(100+G$2)," ")</f>
        <v> </v>
      </c>
      <c r="H84" s="6" t="str">
        <f aca="false">IF((F84&lt;&gt;0),F84-G84," ")</f>
        <v> </v>
      </c>
      <c r="I84" s="5"/>
      <c r="L84" s="7" t="str">
        <f aca="false">IF(F84&lt;&gt;0,F84-K84," ")</f>
        <v> </v>
      </c>
      <c r="M84" s="8" t="str">
        <f aca="false">IF((F84-K84)&lt;&gt;0,M$1-A84," ")</f>
        <v> </v>
      </c>
      <c r="N84" s="5"/>
      <c r="O84" s="17" t="str">
        <f aca="false">IF((E84="s"),H84," ")</f>
        <v> </v>
      </c>
      <c r="P84" s="17" t="str">
        <f aca="false">IF((E84="c"),H84," ")</f>
        <v> </v>
      </c>
      <c r="Q84" s="17" t="str">
        <f aca="false">IF((E84="o"),H84," ")</f>
        <v> </v>
      </c>
      <c r="R84" s="17" t="str">
        <f aca="false">IF((E84="d"),H84," ")</f>
        <v> </v>
      </c>
      <c r="S84" s="17" t="str">
        <f aca="false">IF((E84="w"),H84," ")</f>
        <v> </v>
      </c>
      <c r="T84" s="17" t="str">
        <f aca="false">IF((E84="r"),H84," ")</f>
        <v> </v>
      </c>
      <c r="U84" s="17" t="str">
        <f aca="false">IF((E84="p"),H84," ")</f>
        <v> </v>
      </c>
      <c r="V84" s="17" t="str">
        <f aca="false">IF((E84="t"),H84," ")</f>
        <v> </v>
      </c>
      <c r="W84" s="17" t="str">
        <f aca="false">IF((E84="q"),H84," ")</f>
        <v> </v>
      </c>
      <c r="X84" s="17" t="str">
        <f aca="false">IF((E84="m"),H84," ")</f>
        <v> </v>
      </c>
      <c r="Y84" s="17" t="str">
        <f aca="false">IF((E84="u"),H84," ")</f>
        <v> </v>
      </c>
      <c r="Z84" s="17" t="str">
        <f aca="false">IF((E84="a"),H84," ")</f>
        <v> </v>
      </c>
      <c r="AA84" s="17" t="str">
        <f aca="false">IF((E84="g"),H84," ")</f>
        <v> </v>
      </c>
      <c r="AB84" s="17" t="str">
        <f aca="false">IF((E84="h"),H84," ")</f>
        <v> </v>
      </c>
      <c r="AC84" s="30" t="str">
        <f aca="false">IF((E84="v"),H84," ")</f>
        <v> </v>
      </c>
      <c r="AD84" s="30" t="str">
        <f aca="false">IF((E84="n"),H84," ")</f>
        <v> </v>
      </c>
      <c r="AE84" s="17" t="str">
        <f aca="false">IF((E84="f"),H84," ")</f>
        <v> </v>
      </c>
      <c r="AF84" s="17" t="str">
        <f aca="false">IF((E84="l"),H84," ")</f>
        <v> </v>
      </c>
      <c r="AG84" s="17" t="str">
        <f aca="false">IF((E84="y"),H84," ")</f>
        <v> </v>
      </c>
      <c r="AH84" s="17" t="str">
        <f aca="false">IF((E84="z"),H84," ")</f>
        <v> </v>
      </c>
      <c r="AI84" s="17" t="str">
        <f aca="false">IF((E84="fa"),H84," ")</f>
        <v> </v>
      </c>
      <c r="AJ84" s="17" t="str">
        <f aca="false">IF((E84="e"),H84," ")</f>
        <v> </v>
      </c>
    </row>
    <row r="85" customFormat="false" ht="12" hidden="false" customHeight="false" outlineLevel="0" collapsed="false">
      <c r="A85" s="28"/>
      <c r="E85" s="2" t="str">
        <f aca="false">IF((F85&lt;&gt;0),"Enter Letter"," ")</f>
        <v> </v>
      </c>
      <c r="F85" s="30"/>
      <c r="G85" s="6" t="str">
        <f aca="false">IF(F85&lt;&gt;0,F85*G$2/(100+G$2)," ")</f>
        <v> </v>
      </c>
      <c r="H85" s="6" t="str">
        <f aca="false">IF((F85&lt;&gt;0),F85-G85," ")</f>
        <v> </v>
      </c>
      <c r="I85" s="5"/>
      <c r="L85" s="7" t="str">
        <f aca="false">IF(F85&lt;&gt;0,F85-K85," ")</f>
        <v> </v>
      </c>
      <c r="M85" s="8" t="str">
        <f aca="false">IF((F85-K85)&lt;&gt;0,M$1-A85," ")</f>
        <v> </v>
      </c>
      <c r="N85" s="5"/>
      <c r="O85" s="17" t="str">
        <f aca="false">IF((E85="s"),H85," ")</f>
        <v> </v>
      </c>
      <c r="P85" s="17" t="str">
        <f aca="false">IF((E85="c"),H85," ")</f>
        <v> </v>
      </c>
      <c r="Q85" s="17" t="str">
        <f aca="false">IF((E85="o"),H85," ")</f>
        <v> </v>
      </c>
      <c r="R85" s="17" t="str">
        <f aca="false">IF((E85="d"),H85," ")</f>
        <v> </v>
      </c>
      <c r="S85" s="17" t="str">
        <f aca="false">IF((E85="w"),H85," ")</f>
        <v> </v>
      </c>
      <c r="T85" s="17" t="str">
        <f aca="false">IF((E85="r"),H85," ")</f>
        <v> </v>
      </c>
      <c r="U85" s="17" t="str">
        <f aca="false">IF((E85="p"),H85," ")</f>
        <v> </v>
      </c>
      <c r="V85" s="17" t="str">
        <f aca="false">IF((E85="t"),H85," ")</f>
        <v> </v>
      </c>
      <c r="W85" s="17" t="str">
        <f aca="false">IF((E85="q"),H85," ")</f>
        <v> </v>
      </c>
      <c r="X85" s="17" t="str">
        <f aca="false">IF((E85="m"),H85," ")</f>
        <v> </v>
      </c>
      <c r="Y85" s="17" t="str">
        <f aca="false">IF((E85="u"),H85," ")</f>
        <v> </v>
      </c>
      <c r="Z85" s="17" t="str">
        <f aca="false">IF((E85="a"),H85," ")</f>
        <v> </v>
      </c>
      <c r="AA85" s="17" t="str">
        <f aca="false">IF((E85="g"),H85," ")</f>
        <v> </v>
      </c>
      <c r="AB85" s="17" t="str">
        <f aca="false">IF((E85="h"),H85," ")</f>
        <v> </v>
      </c>
      <c r="AC85" s="30" t="str">
        <f aca="false">IF((E85="v"),H85," ")</f>
        <v> </v>
      </c>
      <c r="AD85" s="30" t="str">
        <f aca="false">IF((E85="n"),H85," ")</f>
        <v> </v>
      </c>
      <c r="AE85" s="17" t="str">
        <f aca="false">IF((E85="f"),H85," ")</f>
        <v> </v>
      </c>
      <c r="AF85" s="17" t="str">
        <f aca="false">IF((E85="l"),H85," ")</f>
        <v> </v>
      </c>
      <c r="AG85" s="17" t="str">
        <f aca="false">IF((E85="y"),H85," ")</f>
        <v> </v>
      </c>
      <c r="AH85" s="17" t="str">
        <f aca="false">IF((E85="z"),H85," ")</f>
        <v> </v>
      </c>
      <c r="AI85" s="17" t="str">
        <f aca="false">IF((E85="fa"),H85," ")</f>
        <v> </v>
      </c>
      <c r="AJ85" s="17" t="str">
        <f aca="false">IF((E85="e"),H85," ")</f>
        <v> </v>
      </c>
    </row>
    <row r="86" customFormat="false" ht="12" hidden="false" customHeight="false" outlineLevel="0" collapsed="false">
      <c r="A86" s="28"/>
      <c r="E86" s="2" t="str">
        <f aca="false">IF((F86&lt;&gt;0),"Enter Letter"," ")</f>
        <v> </v>
      </c>
      <c r="F86" s="30"/>
      <c r="G86" s="6" t="str">
        <f aca="false">IF(F86&lt;&gt;0,F86*G$2/(100+G$2)," ")</f>
        <v> </v>
      </c>
      <c r="H86" s="6" t="str">
        <f aca="false">IF((F86&lt;&gt;0),F86-G86," ")</f>
        <v> </v>
      </c>
      <c r="I86" s="5"/>
      <c r="L86" s="7" t="str">
        <f aca="false">IF(F86&lt;&gt;0,F86-K86," ")</f>
        <v> </v>
      </c>
      <c r="M86" s="8" t="str">
        <f aca="false">IF((F86-K86)&lt;&gt;0,M$1-A86," ")</f>
        <v> </v>
      </c>
      <c r="N86" s="5"/>
      <c r="O86" s="17" t="str">
        <f aca="false">IF((E86="s"),H86," ")</f>
        <v> </v>
      </c>
      <c r="P86" s="17" t="str">
        <f aca="false">IF((E86="c"),H86," ")</f>
        <v> </v>
      </c>
      <c r="Q86" s="17" t="str">
        <f aca="false">IF((E86="o"),H86," ")</f>
        <v> </v>
      </c>
      <c r="R86" s="17" t="str">
        <f aca="false">IF((E86="d"),H86," ")</f>
        <v> </v>
      </c>
      <c r="S86" s="17" t="str">
        <f aca="false">IF((E86="w"),H86," ")</f>
        <v> </v>
      </c>
      <c r="T86" s="17" t="str">
        <f aca="false">IF((E86="r"),H86," ")</f>
        <v> </v>
      </c>
      <c r="U86" s="17" t="str">
        <f aca="false">IF((E86="p"),H86," ")</f>
        <v> </v>
      </c>
      <c r="V86" s="17" t="str">
        <f aca="false">IF((E86="t"),H86," ")</f>
        <v> </v>
      </c>
      <c r="W86" s="17" t="str">
        <f aca="false">IF((E86="q"),H86," ")</f>
        <v> </v>
      </c>
      <c r="X86" s="17" t="str">
        <f aca="false">IF((E86="m"),H86," ")</f>
        <v> </v>
      </c>
      <c r="Y86" s="17" t="str">
        <f aca="false">IF((E86="u"),H86," ")</f>
        <v> </v>
      </c>
      <c r="Z86" s="17" t="str">
        <f aca="false">IF((E86="a"),H86," ")</f>
        <v> </v>
      </c>
      <c r="AA86" s="17" t="str">
        <f aca="false">IF((E86="g"),H86," ")</f>
        <v> </v>
      </c>
      <c r="AB86" s="17" t="str">
        <f aca="false">IF((E86="h"),H86," ")</f>
        <v> </v>
      </c>
      <c r="AC86" s="30" t="str">
        <f aca="false">IF((E86="v"),H86," ")</f>
        <v> </v>
      </c>
      <c r="AD86" s="30" t="str">
        <f aca="false">IF((E86="n"),H86," ")</f>
        <v> </v>
      </c>
      <c r="AE86" s="17" t="str">
        <f aca="false">IF((E86="f"),H86," ")</f>
        <v> </v>
      </c>
      <c r="AF86" s="17" t="str">
        <f aca="false">IF((E86="l"),H86," ")</f>
        <v> </v>
      </c>
      <c r="AG86" s="17" t="str">
        <f aca="false">IF((E86="y"),H86," ")</f>
        <v> </v>
      </c>
      <c r="AH86" s="17" t="str">
        <f aca="false">IF((E86="z"),H86," ")</f>
        <v> </v>
      </c>
      <c r="AI86" s="17" t="str">
        <f aca="false">IF((E86="fa"),H86," ")</f>
        <v> </v>
      </c>
      <c r="AJ86" s="17" t="str">
        <f aca="false">IF((E86="e"),H86," ")</f>
        <v> </v>
      </c>
    </row>
    <row r="87" customFormat="false" ht="12" hidden="false" customHeight="false" outlineLevel="0" collapsed="false">
      <c r="A87" s="28"/>
      <c r="E87" s="2" t="str">
        <f aca="false">IF((F87&lt;&gt;0),"Enter Letter"," ")</f>
        <v> </v>
      </c>
      <c r="F87" s="30"/>
      <c r="G87" s="6" t="str">
        <f aca="false">IF(F87&lt;&gt;0,F87*G$2/(100+G$2)," ")</f>
        <v> </v>
      </c>
      <c r="H87" s="6" t="str">
        <f aca="false">IF((F87&lt;&gt;0),F87-G87," ")</f>
        <v> </v>
      </c>
      <c r="I87" s="5"/>
      <c r="L87" s="7" t="str">
        <f aca="false">IF(F87&lt;&gt;0,F87-K87," ")</f>
        <v> </v>
      </c>
      <c r="M87" s="8" t="str">
        <f aca="false">IF((F87-K87)&lt;&gt;0,M$1-A87," ")</f>
        <v> </v>
      </c>
      <c r="N87" s="5"/>
      <c r="O87" s="17" t="str">
        <f aca="false">IF((E87="s"),H87," ")</f>
        <v> </v>
      </c>
      <c r="P87" s="17" t="str">
        <f aca="false">IF((E87="c"),H87," ")</f>
        <v> </v>
      </c>
      <c r="Q87" s="17" t="str">
        <f aca="false">IF((E87="o"),H87," ")</f>
        <v> </v>
      </c>
      <c r="R87" s="17" t="str">
        <f aca="false">IF((E87="d"),H87," ")</f>
        <v> </v>
      </c>
      <c r="S87" s="17" t="str">
        <f aca="false">IF((E87="w"),H87," ")</f>
        <v> </v>
      </c>
      <c r="T87" s="17" t="str">
        <f aca="false">IF((E87="r"),H87," ")</f>
        <v> </v>
      </c>
      <c r="U87" s="17" t="str">
        <f aca="false">IF((E87="p"),H87," ")</f>
        <v> </v>
      </c>
      <c r="V87" s="17" t="str">
        <f aca="false">IF((E87="t"),H87," ")</f>
        <v> </v>
      </c>
      <c r="W87" s="17" t="str">
        <f aca="false">IF((E87="q"),H87," ")</f>
        <v> </v>
      </c>
      <c r="X87" s="17" t="str">
        <f aca="false">IF((E87="m"),H87," ")</f>
        <v> </v>
      </c>
      <c r="Y87" s="17" t="str">
        <f aca="false">IF((E87="u"),H87," ")</f>
        <v> </v>
      </c>
      <c r="Z87" s="17" t="str">
        <f aca="false">IF((E87="a"),H87," ")</f>
        <v> </v>
      </c>
      <c r="AA87" s="17" t="str">
        <f aca="false">IF((E87="g"),H87," ")</f>
        <v> </v>
      </c>
      <c r="AB87" s="17" t="str">
        <f aca="false">IF((E87="h"),H87," ")</f>
        <v> </v>
      </c>
      <c r="AC87" s="30" t="str">
        <f aca="false">IF((E87="v"),H87," ")</f>
        <v> </v>
      </c>
      <c r="AD87" s="30" t="str">
        <f aca="false">IF((E87="n"),H87," ")</f>
        <v> </v>
      </c>
      <c r="AE87" s="17" t="str">
        <f aca="false">IF((E87="f"),H87," ")</f>
        <v> </v>
      </c>
      <c r="AF87" s="17" t="str">
        <f aca="false">IF((E87="l"),H87," ")</f>
        <v> </v>
      </c>
      <c r="AG87" s="17" t="str">
        <f aca="false">IF((E87="y"),H87," ")</f>
        <v> </v>
      </c>
      <c r="AH87" s="17" t="str">
        <f aca="false">IF((E87="z"),H87," ")</f>
        <v> </v>
      </c>
      <c r="AI87" s="17" t="str">
        <f aca="false">IF((E87="fa"),H87," ")</f>
        <v> </v>
      </c>
      <c r="AJ87" s="17" t="str">
        <f aca="false">IF((E87="e"),H87," ")</f>
        <v> </v>
      </c>
    </row>
    <row r="88" customFormat="false" ht="12" hidden="false" customHeight="false" outlineLevel="0" collapsed="false">
      <c r="A88" s="28"/>
      <c r="E88" s="2" t="str">
        <f aca="false">IF((F88&lt;&gt;0),"Enter Letter"," ")</f>
        <v> </v>
      </c>
      <c r="F88" s="30"/>
      <c r="G88" s="6" t="str">
        <f aca="false">IF(F88&lt;&gt;0,F88*G$2/(100+G$2)," ")</f>
        <v> </v>
      </c>
      <c r="H88" s="6" t="str">
        <f aca="false">IF((F88&lt;&gt;0),F88-G88," ")</f>
        <v> </v>
      </c>
      <c r="I88" s="5"/>
      <c r="L88" s="7" t="str">
        <f aca="false">IF(F88&lt;&gt;0,F88-K88," ")</f>
        <v> </v>
      </c>
      <c r="M88" s="8" t="str">
        <f aca="false">IF((F88-K88)&lt;&gt;0,M$1-A88," ")</f>
        <v> </v>
      </c>
      <c r="N88" s="5"/>
      <c r="O88" s="17" t="str">
        <f aca="false">IF((E88="s"),H88," ")</f>
        <v> </v>
      </c>
      <c r="P88" s="17" t="str">
        <f aca="false">IF((E88="c"),H88," ")</f>
        <v> </v>
      </c>
      <c r="Q88" s="17" t="str">
        <f aca="false">IF((E88="o"),H88," ")</f>
        <v> </v>
      </c>
      <c r="R88" s="17" t="str">
        <f aca="false">IF((E88="d"),H88," ")</f>
        <v> </v>
      </c>
      <c r="S88" s="17" t="str">
        <f aca="false">IF((E88="w"),H88," ")</f>
        <v> </v>
      </c>
      <c r="T88" s="17" t="str">
        <f aca="false">IF((E88="r"),H88," ")</f>
        <v> </v>
      </c>
      <c r="U88" s="17" t="str">
        <f aca="false">IF((E88="p"),H88," ")</f>
        <v> </v>
      </c>
      <c r="V88" s="17" t="str">
        <f aca="false">IF((E88="t"),H88," ")</f>
        <v> </v>
      </c>
      <c r="W88" s="17" t="str">
        <f aca="false">IF((E88="q"),H88," ")</f>
        <v> </v>
      </c>
      <c r="X88" s="17" t="str">
        <f aca="false">IF((E88="m"),H88," ")</f>
        <v> </v>
      </c>
      <c r="Y88" s="17" t="str">
        <f aca="false">IF((E88="u"),H88," ")</f>
        <v> </v>
      </c>
      <c r="Z88" s="17" t="str">
        <f aca="false">IF((E88="a"),H88," ")</f>
        <v> </v>
      </c>
      <c r="AA88" s="17" t="str">
        <f aca="false">IF((E88="g"),H88," ")</f>
        <v> </v>
      </c>
      <c r="AB88" s="17" t="str">
        <f aca="false">IF((E88="h"),H88," ")</f>
        <v> </v>
      </c>
      <c r="AC88" s="30" t="str">
        <f aca="false">IF((E88="v"),H88," ")</f>
        <v> </v>
      </c>
      <c r="AD88" s="30" t="str">
        <f aca="false">IF((E88="n"),H88," ")</f>
        <v> </v>
      </c>
      <c r="AE88" s="17" t="str">
        <f aca="false">IF((E88="f"),H88," ")</f>
        <v> </v>
      </c>
      <c r="AF88" s="17" t="str">
        <f aca="false">IF((E88="l"),H88," ")</f>
        <v> </v>
      </c>
      <c r="AG88" s="17" t="str">
        <f aca="false">IF((E88="y"),H88," ")</f>
        <v> </v>
      </c>
      <c r="AH88" s="17" t="str">
        <f aca="false">IF((E88="z"),H88," ")</f>
        <v> </v>
      </c>
      <c r="AI88" s="17" t="str">
        <f aca="false">IF((E88="fa"),H88," ")</f>
        <v> </v>
      </c>
      <c r="AJ88" s="17" t="str">
        <f aca="false">IF((E88="e"),H88," ")</f>
        <v> </v>
      </c>
    </row>
    <row r="89" customFormat="false" ht="12" hidden="false" customHeight="false" outlineLevel="0" collapsed="false">
      <c r="A89" s="28"/>
      <c r="E89" s="2" t="str">
        <f aca="false">IF((F89&lt;&gt;0),"Enter Letter"," ")</f>
        <v> </v>
      </c>
      <c r="F89" s="30"/>
      <c r="G89" s="6" t="str">
        <f aca="false">IF(F89&lt;&gt;0,F89*G$2/(100+G$2)," ")</f>
        <v> </v>
      </c>
      <c r="H89" s="6" t="str">
        <f aca="false">IF((F89&lt;&gt;0),F89-G89," ")</f>
        <v> </v>
      </c>
      <c r="I89" s="5"/>
      <c r="L89" s="7" t="str">
        <f aca="false">IF(F89&lt;&gt;0,F89-K89," ")</f>
        <v> </v>
      </c>
      <c r="M89" s="8" t="str">
        <f aca="false">IF((F89-K89)&lt;&gt;0,M$1-A89," ")</f>
        <v> </v>
      </c>
      <c r="N89" s="5"/>
      <c r="O89" s="17" t="str">
        <f aca="false">IF((E89="s"),H89," ")</f>
        <v> </v>
      </c>
      <c r="P89" s="17" t="str">
        <f aca="false">IF((E89="c"),H89," ")</f>
        <v> </v>
      </c>
      <c r="Q89" s="17" t="str">
        <f aca="false">IF((E89="o"),H89," ")</f>
        <v> </v>
      </c>
      <c r="R89" s="17" t="str">
        <f aca="false">IF((E89="d"),H89," ")</f>
        <v> </v>
      </c>
      <c r="S89" s="17" t="str">
        <f aca="false">IF((E89="w"),H89," ")</f>
        <v> </v>
      </c>
      <c r="T89" s="17" t="str">
        <f aca="false">IF((E89="r"),H89," ")</f>
        <v> </v>
      </c>
      <c r="U89" s="17" t="str">
        <f aca="false">IF((E89="p"),H89," ")</f>
        <v> </v>
      </c>
      <c r="V89" s="17" t="str">
        <f aca="false">IF((E89="t"),H89," ")</f>
        <v> </v>
      </c>
      <c r="W89" s="17" t="str">
        <f aca="false">IF((E89="q"),H89," ")</f>
        <v> </v>
      </c>
      <c r="X89" s="17" t="str">
        <f aca="false">IF((E89="m"),H89," ")</f>
        <v> </v>
      </c>
      <c r="Y89" s="17" t="str">
        <f aca="false">IF((E89="u"),H89," ")</f>
        <v> </v>
      </c>
      <c r="Z89" s="17" t="str">
        <f aca="false">IF((E89="a"),H89," ")</f>
        <v> </v>
      </c>
      <c r="AA89" s="17" t="str">
        <f aca="false">IF((E89="g"),H89," ")</f>
        <v> </v>
      </c>
      <c r="AB89" s="17" t="str">
        <f aca="false">IF((E89="h"),H89," ")</f>
        <v> </v>
      </c>
      <c r="AC89" s="30" t="str">
        <f aca="false">IF((E89="v"),H89," ")</f>
        <v> </v>
      </c>
      <c r="AD89" s="30" t="str">
        <f aca="false">IF((E89="n"),H89," ")</f>
        <v> </v>
      </c>
      <c r="AE89" s="17" t="str">
        <f aca="false">IF((E89="f"),H89," ")</f>
        <v> </v>
      </c>
      <c r="AF89" s="17" t="str">
        <f aca="false">IF((E89="l"),H89," ")</f>
        <v> </v>
      </c>
      <c r="AG89" s="17" t="str">
        <f aca="false">IF((E89="y"),H89," ")</f>
        <v> </v>
      </c>
      <c r="AH89" s="17" t="str">
        <f aca="false">IF((E89="z"),H89," ")</f>
        <v> </v>
      </c>
      <c r="AI89" s="17" t="str">
        <f aca="false">IF((E89="fa"),H89," ")</f>
        <v> </v>
      </c>
      <c r="AJ89" s="17" t="str">
        <f aca="false">IF((E89="e"),H89," ")</f>
        <v> </v>
      </c>
    </row>
    <row r="90" customFormat="false" ht="12" hidden="false" customHeight="false" outlineLevel="0" collapsed="false">
      <c r="A90" s="28"/>
      <c r="E90" s="2" t="str">
        <f aca="false">IF((F90&lt;&gt;0),"Enter Letter"," ")</f>
        <v> </v>
      </c>
      <c r="F90" s="30"/>
      <c r="G90" s="6" t="str">
        <f aca="false">IF(F90&lt;&gt;0,F90*G$2/(100+G$2)," ")</f>
        <v> </v>
      </c>
      <c r="H90" s="6" t="str">
        <f aca="false">IF((F90&lt;&gt;0),F90-G90," ")</f>
        <v> </v>
      </c>
      <c r="I90" s="5"/>
      <c r="L90" s="7" t="str">
        <f aca="false">IF(F90&lt;&gt;0,F90-K90," ")</f>
        <v> </v>
      </c>
      <c r="M90" s="8" t="str">
        <f aca="false">IF((F90-K90)&lt;&gt;0,M$1-A90," ")</f>
        <v> </v>
      </c>
      <c r="N90" s="5"/>
      <c r="O90" s="17" t="str">
        <f aca="false">IF((E90="s"),H90," ")</f>
        <v> </v>
      </c>
      <c r="P90" s="17" t="str">
        <f aca="false">IF((E90="c"),H90," ")</f>
        <v> </v>
      </c>
      <c r="Q90" s="17" t="str">
        <f aca="false">IF((E90="o"),H90," ")</f>
        <v> </v>
      </c>
      <c r="R90" s="17" t="str">
        <f aca="false">IF((E90="d"),H90," ")</f>
        <v> </v>
      </c>
      <c r="S90" s="17" t="str">
        <f aca="false">IF((E90="w"),H90," ")</f>
        <v> </v>
      </c>
      <c r="T90" s="17" t="str">
        <f aca="false">IF((E90="r"),H90," ")</f>
        <v> </v>
      </c>
      <c r="U90" s="17" t="str">
        <f aca="false">IF((E90="p"),H90," ")</f>
        <v> </v>
      </c>
      <c r="V90" s="17" t="str">
        <f aca="false">IF((E90="t"),H90," ")</f>
        <v> </v>
      </c>
      <c r="W90" s="17" t="str">
        <f aca="false">IF((E90="q"),H90," ")</f>
        <v> </v>
      </c>
      <c r="X90" s="17" t="str">
        <f aca="false">IF((E90="m"),H90," ")</f>
        <v> </v>
      </c>
      <c r="Y90" s="17" t="str">
        <f aca="false">IF((E90="u"),H90," ")</f>
        <v> </v>
      </c>
      <c r="Z90" s="17" t="str">
        <f aca="false">IF((E90="a"),H90," ")</f>
        <v> </v>
      </c>
      <c r="AA90" s="17" t="str">
        <f aca="false">IF((E90="g"),H90," ")</f>
        <v> </v>
      </c>
      <c r="AB90" s="17" t="str">
        <f aca="false">IF((E90="h"),H90," ")</f>
        <v> </v>
      </c>
      <c r="AC90" s="30" t="str">
        <f aca="false">IF((E90="v"),H90," ")</f>
        <v> </v>
      </c>
      <c r="AD90" s="30" t="str">
        <f aca="false">IF((E90="n"),H90," ")</f>
        <v> </v>
      </c>
      <c r="AE90" s="17" t="str">
        <f aca="false">IF((E90="f"),H90," ")</f>
        <v> </v>
      </c>
      <c r="AF90" s="17" t="str">
        <f aca="false">IF((E90="l"),H90," ")</f>
        <v> </v>
      </c>
      <c r="AG90" s="17" t="str">
        <f aca="false">IF((E90="y"),H90," ")</f>
        <v> </v>
      </c>
      <c r="AH90" s="17" t="str">
        <f aca="false">IF((E90="z"),H90," ")</f>
        <v> </v>
      </c>
      <c r="AI90" s="17" t="str">
        <f aca="false">IF((E90="fa"),H90," ")</f>
        <v> </v>
      </c>
      <c r="AJ90" s="17" t="str">
        <f aca="false">IF((E90="e"),H90," ")</f>
        <v> </v>
      </c>
    </row>
    <row r="91" customFormat="false" ht="12" hidden="false" customHeight="false" outlineLevel="0" collapsed="false">
      <c r="A91" s="28"/>
      <c r="E91" s="2" t="str">
        <f aca="false">IF((F91&lt;&gt;0),"Enter Letter"," ")</f>
        <v> </v>
      </c>
      <c r="F91" s="30"/>
      <c r="G91" s="6" t="str">
        <f aca="false">IF(F91&lt;&gt;0,F91*G$2/(100+G$2)," ")</f>
        <v> </v>
      </c>
      <c r="H91" s="6" t="str">
        <f aca="false">IF((F91&lt;&gt;0),F91-G91," ")</f>
        <v> </v>
      </c>
      <c r="I91" s="5"/>
      <c r="L91" s="7" t="str">
        <f aca="false">IF(F91&lt;&gt;0,F91-K91," ")</f>
        <v> </v>
      </c>
      <c r="M91" s="8" t="str">
        <f aca="false">IF((F91-K91)&lt;&gt;0,M$1-A91," ")</f>
        <v> </v>
      </c>
      <c r="N91" s="5"/>
      <c r="O91" s="17" t="str">
        <f aca="false">IF((E91="s"),H91," ")</f>
        <v> </v>
      </c>
      <c r="P91" s="17" t="str">
        <f aca="false">IF((E91="c"),H91," ")</f>
        <v> </v>
      </c>
      <c r="Q91" s="17" t="str">
        <f aca="false">IF((E91="o"),H91," ")</f>
        <v> </v>
      </c>
      <c r="R91" s="17" t="str">
        <f aca="false">IF((E91="d"),H91," ")</f>
        <v> </v>
      </c>
      <c r="S91" s="17" t="str">
        <f aca="false">IF((E91="w"),H91," ")</f>
        <v> </v>
      </c>
      <c r="T91" s="17" t="str">
        <f aca="false">IF((E91="r"),H91," ")</f>
        <v> </v>
      </c>
      <c r="U91" s="17" t="str">
        <f aca="false">IF((E91="p"),H91," ")</f>
        <v> </v>
      </c>
      <c r="V91" s="17" t="str">
        <f aca="false">IF((E91="t"),H91," ")</f>
        <v> </v>
      </c>
      <c r="W91" s="17" t="str">
        <f aca="false">IF((E91="q"),H91," ")</f>
        <v> </v>
      </c>
      <c r="X91" s="17" t="str">
        <f aca="false">IF((E91="m"),H91," ")</f>
        <v> </v>
      </c>
      <c r="Y91" s="17" t="str">
        <f aca="false">IF((E91="u"),H91," ")</f>
        <v> </v>
      </c>
      <c r="Z91" s="17" t="str">
        <f aca="false">IF((E91="a"),H91," ")</f>
        <v> </v>
      </c>
      <c r="AA91" s="17" t="str">
        <f aca="false">IF((E91="g"),H91," ")</f>
        <v> </v>
      </c>
      <c r="AB91" s="17" t="str">
        <f aca="false">IF((E91="h"),H91," ")</f>
        <v> </v>
      </c>
      <c r="AC91" s="30" t="str">
        <f aca="false">IF((E91="v"),H91," ")</f>
        <v> </v>
      </c>
      <c r="AD91" s="30" t="str">
        <f aca="false">IF((E91="n"),H91," ")</f>
        <v> </v>
      </c>
      <c r="AE91" s="17" t="str">
        <f aca="false">IF((E91="f"),H91," ")</f>
        <v> </v>
      </c>
      <c r="AF91" s="17" t="str">
        <f aca="false">IF((E91="l"),H91," ")</f>
        <v> </v>
      </c>
      <c r="AG91" s="17" t="str">
        <f aca="false">IF((E91="y"),H91," ")</f>
        <v> </v>
      </c>
      <c r="AH91" s="17" t="str">
        <f aca="false">IF((E91="z"),H91," ")</f>
        <v> </v>
      </c>
      <c r="AI91" s="17" t="str">
        <f aca="false">IF((E91="fa"),H91," ")</f>
        <v> </v>
      </c>
      <c r="AJ91" s="17" t="str">
        <f aca="false">IF((E91="e"),H91," ")</f>
        <v> </v>
      </c>
    </row>
    <row r="92" customFormat="false" ht="12" hidden="false" customHeight="false" outlineLevel="0" collapsed="false">
      <c r="A92" s="28"/>
      <c r="E92" s="2" t="str">
        <f aca="false">IF((F92&lt;&gt;0),"Enter Letter"," ")</f>
        <v> </v>
      </c>
      <c r="F92" s="30"/>
      <c r="G92" s="6" t="str">
        <f aca="false">IF(F92&lt;&gt;0,F92*G$2/(100+G$2)," ")</f>
        <v> </v>
      </c>
      <c r="H92" s="6" t="str">
        <f aca="false">IF((F92&lt;&gt;0),F92-G92," ")</f>
        <v> </v>
      </c>
      <c r="I92" s="5"/>
      <c r="L92" s="7" t="str">
        <f aca="false">IF(F92&lt;&gt;0,F92-K92," ")</f>
        <v> </v>
      </c>
      <c r="M92" s="8" t="str">
        <f aca="false">IF((F92-K92)&lt;&gt;0,M$1-A92," ")</f>
        <v> </v>
      </c>
      <c r="N92" s="5"/>
      <c r="O92" s="17" t="str">
        <f aca="false">IF((E92="s"),H92," ")</f>
        <v> </v>
      </c>
      <c r="P92" s="17" t="str">
        <f aca="false">IF((E92="c"),H92," ")</f>
        <v> </v>
      </c>
      <c r="Q92" s="17" t="str">
        <f aca="false">IF((E92="o"),H92," ")</f>
        <v> </v>
      </c>
      <c r="R92" s="17" t="str">
        <f aca="false">IF((E92="d"),H92," ")</f>
        <v> </v>
      </c>
      <c r="S92" s="17" t="str">
        <f aca="false">IF((E92="w"),H92," ")</f>
        <v> </v>
      </c>
      <c r="T92" s="17" t="str">
        <f aca="false">IF((E92="r"),H92," ")</f>
        <v> </v>
      </c>
      <c r="U92" s="17" t="str">
        <f aca="false">IF((E92="p"),H92," ")</f>
        <v> </v>
      </c>
      <c r="V92" s="17" t="str">
        <f aca="false">IF((E92="t"),H92," ")</f>
        <v> </v>
      </c>
      <c r="W92" s="17" t="str">
        <f aca="false">IF((E92="q"),H92," ")</f>
        <v> </v>
      </c>
      <c r="X92" s="17" t="str">
        <f aca="false">IF((E92="m"),H92," ")</f>
        <v> </v>
      </c>
      <c r="Y92" s="17" t="str">
        <f aca="false">IF((E92="u"),H92," ")</f>
        <v> </v>
      </c>
      <c r="Z92" s="17" t="str">
        <f aca="false">IF((E92="a"),H92," ")</f>
        <v> </v>
      </c>
      <c r="AA92" s="17" t="str">
        <f aca="false">IF((E92="g"),H92," ")</f>
        <v> </v>
      </c>
      <c r="AB92" s="17" t="str">
        <f aca="false">IF((E92="h"),H92," ")</f>
        <v> </v>
      </c>
      <c r="AC92" s="30" t="str">
        <f aca="false">IF((E92="v"),H92," ")</f>
        <v> </v>
      </c>
      <c r="AD92" s="30" t="str">
        <f aca="false">IF((E92="n"),H92," ")</f>
        <v> </v>
      </c>
      <c r="AE92" s="17" t="str">
        <f aca="false">IF((E92="f"),H92," ")</f>
        <v> </v>
      </c>
      <c r="AF92" s="17" t="str">
        <f aca="false">IF((E92="l"),H92," ")</f>
        <v> </v>
      </c>
      <c r="AG92" s="17" t="str">
        <f aca="false">IF((E92="y"),H92," ")</f>
        <v> </v>
      </c>
      <c r="AH92" s="17" t="str">
        <f aca="false">IF((E92="z"),H92," ")</f>
        <v> </v>
      </c>
      <c r="AI92" s="17" t="str">
        <f aca="false">IF((E92="fa"),H92," ")</f>
        <v> </v>
      </c>
      <c r="AJ92" s="17" t="str">
        <f aca="false">IF((E92="e"),H92," ")</f>
        <v> </v>
      </c>
    </row>
    <row r="93" customFormat="false" ht="12" hidden="false" customHeight="false" outlineLevel="0" collapsed="false">
      <c r="A93" s="28"/>
      <c r="E93" s="2" t="str">
        <f aca="false">IF((F93&lt;&gt;0),"Enter Letter"," ")</f>
        <v> </v>
      </c>
      <c r="F93" s="30"/>
      <c r="G93" s="6" t="str">
        <f aca="false">IF(F93&lt;&gt;0,F93*G$2/(100+G$2)," ")</f>
        <v> </v>
      </c>
      <c r="H93" s="6" t="str">
        <f aca="false">IF((F93&lt;&gt;0),F93-G93," ")</f>
        <v> </v>
      </c>
      <c r="I93" s="5"/>
      <c r="L93" s="7" t="str">
        <f aca="false">IF(F93&lt;&gt;0,F93-K93," ")</f>
        <v> </v>
      </c>
      <c r="M93" s="8" t="str">
        <f aca="false">IF((F93-K93)&lt;&gt;0,M$1-A93," ")</f>
        <v> </v>
      </c>
      <c r="N93" s="5"/>
      <c r="O93" s="17" t="str">
        <f aca="false">IF((E93="s"),H93," ")</f>
        <v> </v>
      </c>
      <c r="P93" s="17" t="str">
        <f aca="false">IF((E93="c"),H93," ")</f>
        <v> </v>
      </c>
      <c r="Q93" s="17" t="str">
        <f aca="false">IF((E93="o"),H93," ")</f>
        <v> </v>
      </c>
      <c r="R93" s="17" t="str">
        <f aca="false">IF((E93="d"),H93," ")</f>
        <v> </v>
      </c>
      <c r="S93" s="17" t="str">
        <f aca="false">IF((E93="w"),H93," ")</f>
        <v> </v>
      </c>
      <c r="T93" s="17" t="str">
        <f aca="false">IF((E93="r"),H93," ")</f>
        <v> </v>
      </c>
      <c r="U93" s="17" t="str">
        <f aca="false">IF((E93="p"),H93," ")</f>
        <v> </v>
      </c>
      <c r="V93" s="17" t="str">
        <f aca="false">IF((E93="t"),H93," ")</f>
        <v> </v>
      </c>
      <c r="W93" s="17" t="str">
        <f aca="false">IF((E93="q"),H93," ")</f>
        <v> </v>
      </c>
      <c r="X93" s="17" t="str">
        <f aca="false">IF((E93="m"),H93," ")</f>
        <v> </v>
      </c>
      <c r="Y93" s="17" t="str">
        <f aca="false">IF((E93="u"),H93," ")</f>
        <v> </v>
      </c>
      <c r="Z93" s="17" t="str">
        <f aca="false">IF((E93="a"),H93," ")</f>
        <v> </v>
      </c>
      <c r="AA93" s="17" t="str">
        <f aca="false">IF((E93="g"),H93," ")</f>
        <v> </v>
      </c>
      <c r="AB93" s="17" t="str">
        <f aca="false">IF((E93="h"),H93," ")</f>
        <v> </v>
      </c>
      <c r="AC93" s="30" t="str">
        <f aca="false">IF((E93="v"),H93," ")</f>
        <v> </v>
      </c>
      <c r="AD93" s="30" t="str">
        <f aca="false">IF((E93="n"),H93," ")</f>
        <v> </v>
      </c>
      <c r="AE93" s="17" t="str">
        <f aca="false">IF((E93="f"),H93," ")</f>
        <v> </v>
      </c>
      <c r="AF93" s="17" t="str">
        <f aca="false">IF((E93="l"),H93," ")</f>
        <v> </v>
      </c>
      <c r="AG93" s="17" t="str">
        <f aca="false">IF((E93="y"),H93," ")</f>
        <v> </v>
      </c>
      <c r="AH93" s="17" t="str">
        <f aca="false">IF((E93="z"),H93," ")</f>
        <v> </v>
      </c>
      <c r="AI93" s="17" t="str">
        <f aca="false">IF((E93="fa"),H93," ")</f>
        <v> </v>
      </c>
      <c r="AJ93" s="17" t="str">
        <f aca="false">IF((E93="e"),H93," ")</f>
        <v> </v>
      </c>
    </row>
    <row r="94" customFormat="false" ht="12" hidden="false" customHeight="false" outlineLevel="0" collapsed="false">
      <c r="A94" s="28"/>
      <c r="E94" s="2" t="str">
        <f aca="false">IF((F94&lt;&gt;0),"Enter Letter"," ")</f>
        <v> </v>
      </c>
      <c r="F94" s="30"/>
      <c r="G94" s="6" t="str">
        <f aca="false">IF(F94&lt;&gt;0,F94*G$2/(100+G$2)," ")</f>
        <v> </v>
      </c>
      <c r="H94" s="6" t="str">
        <f aca="false">IF((F94&lt;&gt;0),F94-G94," ")</f>
        <v> </v>
      </c>
      <c r="I94" s="5"/>
      <c r="L94" s="7" t="str">
        <f aca="false">IF(F94&lt;&gt;0,F94-K94," ")</f>
        <v> </v>
      </c>
      <c r="M94" s="8" t="str">
        <f aca="false">IF((F94-K94)&lt;&gt;0,M$1-A94," ")</f>
        <v> </v>
      </c>
      <c r="N94" s="5"/>
      <c r="O94" s="17" t="str">
        <f aca="false">IF((E94="s"),H94," ")</f>
        <v> </v>
      </c>
      <c r="P94" s="17" t="str">
        <f aca="false">IF((E94="c"),H94," ")</f>
        <v> </v>
      </c>
      <c r="Q94" s="17" t="str">
        <f aca="false">IF((E94="o"),H94," ")</f>
        <v> </v>
      </c>
      <c r="R94" s="17" t="str">
        <f aca="false">IF((E94="d"),H94," ")</f>
        <v> </v>
      </c>
      <c r="S94" s="17" t="str">
        <f aca="false">IF((E94="w"),H94," ")</f>
        <v> </v>
      </c>
      <c r="T94" s="17" t="str">
        <f aca="false">IF((E94="r"),H94," ")</f>
        <v> </v>
      </c>
      <c r="U94" s="17" t="str">
        <f aca="false">IF((E94="p"),H94," ")</f>
        <v> </v>
      </c>
      <c r="V94" s="17" t="str">
        <f aca="false">IF((E94="t"),H94," ")</f>
        <v> </v>
      </c>
      <c r="W94" s="17" t="str">
        <f aca="false">IF((E94="q"),H94," ")</f>
        <v> </v>
      </c>
      <c r="X94" s="17" t="str">
        <f aca="false">IF((E94="m"),H94," ")</f>
        <v> </v>
      </c>
      <c r="Y94" s="17" t="str">
        <f aca="false">IF((E94="u"),H94," ")</f>
        <v> </v>
      </c>
      <c r="Z94" s="17" t="str">
        <f aca="false">IF((E94="a"),H94," ")</f>
        <v> </v>
      </c>
      <c r="AA94" s="17" t="str">
        <f aca="false">IF((E94="g"),H94," ")</f>
        <v> </v>
      </c>
      <c r="AB94" s="17" t="str">
        <f aca="false">IF((E94="h"),H94," ")</f>
        <v> </v>
      </c>
      <c r="AC94" s="30" t="str">
        <f aca="false">IF((E94="v"),H94," ")</f>
        <v> </v>
      </c>
      <c r="AD94" s="30" t="str">
        <f aca="false">IF((E94="n"),H94," ")</f>
        <v> </v>
      </c>
      <c r="AE94" s="17" t="str">
        <f aca="false">IF((E94="f"),H94," ")</f>
        <v> </v>
      </c>
      <c r="AF94" s="17" t="str">
        <f aca="false">IF((E94="l"),H94," ")</f>
        <v> </v>
      </c>
      <c r="AG94" s="17" t="str">
        <f aca="false">IF((E94="y"),H94," ")</f>
        <v> </v>
      </c>
      <c r="AH94" s="17" t="str">
        <f aca="false">IF((E94="z"),H94," ")</f>
        <v> </v>
      </c>
      <c r="AI94" s="17" t="str">
        <f aca="false">IF((E94="fa"),H94," ")</f>
        <v> </v>
      </c>
      <c r="AJ94" s="17" t="str">
        <f aca="false">IF((E94="e"),H94," ")</f>
        <v> </v>
      </c>
    </row>
    <row r="95" customFormat="false" ht="12" hidden="false" customHeight="false" outlineLevel="0" collapsed="false">
      <c r="A95" s="28"/>
      <c r="E95" s="2" t="str">
        <f aca="false">IF((F95&lt;&gt;0),"Enter Letter"," ")</f>
        <v> </v>
      </c>
      <c r="F95" s="30"/>
      <c r="G95" s="6" t="str">
        <f aca="false">IF(F95&lt;&gt;0,F95*G$2/(100+G$2)," ")</f>
        <v> </v>
      </c>
      <c r="H95" s="6" t="str">
        <f aca="false">IF((F95&lt;&gt;0),F95-G95," ")</f>
        <v> </v>
      </c>
      <c r="I95" s="5"/>
      <c r="L95" s="7" t="str">
        <f aca="false">IF(F95&lt;&gt;0,F95-K95," ")</f>
        <v> </v>
      </c>
      <c r="M95" s="8" t="str">
        <f aca="false">IF((F95-K95)&lt;&gt;0,M$1-A95," ")</f>
        <v> </v>
      </c>
      <c r="N95" s="5"/>
      <c r="O95" s="17" t="str">
        <f aca="false">IF((E95="s"),H95," ")</f>
        <v> </v>
      </c>
      <c r="P95" s="17" t="str">
        <f aca="false">IF((E95="c"),H95," ")</f>
        <v> </v>
      </c>
      <c r="Q95" s="17" t="str">
        <f aca="false">IF((E95="o"),H95," ")</f>
        <v> </v>
      </c>
      <c r="R95" s="17" t="str">
        <f aca="false">IF((E95="d"),H95," ")</f>
        <v> </v>
      </c>
      <c r="S95" s="17" t="str">
        <f aca="false">IF((E95="w"),H95," ")</f>
        <v> </v>
      </c>
      <c r="T95" s="17" t="str">
        <f aca="false">IF((E95="r"),H95," ")</f>
        <v> </v>
      </c>
      <c r="U95" s="17" t="str">
        <f aca="false">IF((E95="p"),H95," ")</f>
        <v> </v>
      </c>
      <c r="V95" s="17" t="str">
        <f aca="false">IF((E95="t"),H95," ")</f>
        <v> </v>
      </c>
      <c r="W95" s="17" t="str">
        <f aca="false">IF((E95="q"),H95," ")</f>
        <v> </v>
      </c>
      <c r="X95" s="17" t="str">
        <f aca="false">IF((E95="m"),H95," ")</f>
        <v> </v>
      </c>
      <c r="Y95" s="17" t="str">
        <f aca="false">IF((E95="u"),H95," ")</f>
        <v> </v>
      </c>
      <c r="Z95" s="17" t="str">
        <f aca="false">IF((E95="a"),H95," ")</f>
        <v> </v>
      </c>
      <c r="AA95" s="17" t="str">
        <f aca="false">IF((E95="g"),H95," ")</f>
        <v> </v>
      </c>
      <c r="AB95" s="17" t="str">
        <f aca="false">IF((E95="h"),H95," ")</f>
        <v> </v>
      </c>
      <c r="AC95" s="30" t="str">
        <f aca="false">IF((E95="v"),H95," ")</f>
        <v> </v>
      </c>
      <c r="AD95" s="30" t="str">
        <f aca="false">IF((E95="n"),H95," ")</f>
        <v> </v>
      </c>
      <c r="AE95" s="17" t="str">
        <f aca="false">IF((E95="f"),H95," ")</f>
        <v> </v>
      </c>
      <c r="AF95" s="17" t="str">
        <f aca="false">IF((E95="l"),H95," ")</f>
        <v> </v>
      </c>
      <c r="AG95" s="17" t="str">
        <f aca="false">IF((E95="y"),H95," ")</f>
        <v> </v>
      </c>
      <c r="AH95" s="17" t="str">
        <f aca="false">IF((E95="z"),H95," ")</f>
        <v> </v>
      </c>
      <c r="AI95" s="17" t="str">
        <f aca="false">IF((E95="fa"),H95," ")</f>
        <v> </v>
      </c>
      <c r="AJ95" s="17" t="str">
        <f aca="false">IF((E95="e"),H95," ")</f>
        <v> </v>
      </c>
    </row>
    <row r="96" customFormat="false" ht="12" hidden="false" customHeight="false" outlineLevel="0" collapsed="false">
      <c r="A96" s="28"/>
      <c r="E96" s="2" t="str">
        <f aca="false">IF((F96&lt;&gt;0),"Enter Letter"," ")</f>
        <v> </v>
      </c>
      <c r="F96" s="30"/>
      <c r="G96" s="6" t="str">
        <f aca="false">IF(F96&lt;&gt;0,F96*G$2/(100+G$2)," ")</f>
        <v> </v>
      </c>
      <c r="H96" s="6" t="str">
        <f aca="false">IF((F96&lt;&gt;0),F96-G96," ")</f>
        <v> </v>
      </c>
      <c r="I96" s="5"/>
      <c r="L96" s="7" t="str">
        <f aca="false">IF(F96&lt;&gt;0,F96-K96," ")</f>
        <v> </v>
      </c>
      <c r="M96" s="8" t="str">
        <f aca="false">IF((F96-K96)&lt;&gt;0,M$1-A96," ")</f>
        <v> </v>
      </c>
      <c r="N96" s="5"/>
      <c r="O96" s="17" t="str">
        <f aca="false">IF((E96="s"),H96," ")</f>
        <v> </v>
      </c>
      <c r="P96" s="17" t="str">
        <f aca="false">IF((E96="c"),H96," ")</f>
        <v> </v>
      </c>
      <c r="Q96" s="17" t="str">
        <f aca="false">IF((E96="o"),H96," ")</f>
        <v> </v>
      </c>
      <c r="R96" s="17" t="str">
        <f aca="false">IF((E96="d"),H96," ")</f>
        <v> </v>
      </c>
      <c r="S96" s="17" t="str">
        <f aca="false">IF((E96="w"),H96," ")</f>
        <v> </v>
      </c>
      <c r="T96" s="17" t="str">
        <f aca="false">IF((E96="r"),H96," ")</f>
        <v> </v>
      </c>
      <c r="U96" s="17" t="str">
        <f aca="false">IF((E96="p"),H96," ")</f>
        <v> </v>
      </c>
      <c r="V96" s="17" t="str">
        <f aca="false">IF((E96="t"),H96," ")</f>
        <v> </v>
      </c>
      <c r="W96" s="17" t="str">
        <f aca="false">IF((E96="q"),H96," ")</f>
        <v> </v>
      </c>
      <c r="X96" s="17" t="str">
        <f aca="false">IF((E96="m"),H96," ")</f>
        <v> </v>
      </c>
      <c r="Y96" s="17" t="str">
        <f aca="false">IF((E96="u"),H96," ")</f>
        <v> </v>
      </c>
      <c r="Z96" s="17" t="str">
        <f aca="false">IF((E96="a"),H96," ")</f>
        <v> </v>
      </c>
      <c r="AA96" s="17" t="str">
        <f aca="false">IF((E96="g"),H96," ")</f>
        <v> </v>
      </c>
      <c r="AB96" s="17" t="str">
        <f aca="false">IF((E96="h"),H96," ")</f>
        <v> </v>
      </c>
      <c r="AC96" s="30" t="str">
        <f aca="false">IF((E96="v"),H96," ")</f>
        <v> </v>
      </c>
      <c r="AD96" s="30" t="str">
        <f aca="false">IF((E96="n"),H96," ")</f>
        <v> </v>
      </c>
      <c r="AE96" s="17" t="str">
        <f aca="false">IF((E96="f"),H96," ")</f>
        <v> </v>
      </c>
      <c r="AF96" s="17" t="str">
        <f aca="false">IF((E96="l"),H96," ")</f>
        <v> </v>
      </c>
      <c r="AG96" s="17" t="str">
        <f aca="false">IF((E96="y"),H96," ")</f>
        <v> </v>
      </c>
      <c r="AH96" s="17" t="str">
        <f aca="false">IF((E96="z"),H96," ")</f>
        <v> </v>
      </c>
      <c r="AI96" s="17" t="str">
        <f aca="false">IF((E96="fa"),H96," ")</f>
        <v> </v>
      </c>
      <c r="AJ96" s="17" t="str">
        <f aca="false">IF((E96="e"),H96," ")</f>
        <v> </v>
      </c>
    </row>
    <row r="97" customFormat="false" ht="12" hidden="false" customHeight="false" outlineLevel="0" collapsed="false">
      <c r="A97" s="28"/>
      <c r="E97" s="2" t="str">
        <f aca="false">IF((F97&lt;&gt;0),"Enter Letter"," ")</f>
        <v> </v>
      </c>
      <c r="F97" s="30"/>
      <c r="G97" s="6" t="str">
        <f aca="false">IF(F97&lt;&gt;0,F97*G$2/(100+G$2)," ")</f>
        <v> </v>
      </c>
      <c r="H97" s="6" t="str">
        <f aca="false">IF((F97&lt;&gt;0),F97-G97," ")</f>
        <v> </v>
      </c>
      <c r="I97" s="5"/>
      <c r="L97" s="7" t="str">
        <f aca="false">IF(F97&lt;&gt;0,F97-K97," ")</f>
        <v> </v>
      </c>
      <c r="M97" s="8" t="str">
        <f aca="false">IF((F97-K97)&lt;&gt;0,M$1-A97," ")</f>
        <v> </v>
      </c>
      <c r="N97" s="5"/>
      <c r="O97" s="17" t="str">
        <f aca="false">IF((E97="s"),H97," ")</f>
        <v> </v>
      </c>
      <c r="P97" s="17" t="str">
        <f aca="false">IF((E97="c"),H97," ")</f>
        <v> </v>
      </c>
      <c r="Q97" s="17" t="str">
        <f aca="false">IF((E97="o"),H97," ")</f>
        <v> </v>
      </c>
      <c r="R97" s="17" t="str">
        <f aca="false">IF((E97="d"),H97," ")</f>
        <v> </v>
      </c>
      <c r="S97" s="17" t="str">
        <f aca="false">IF((E97="w"),H97," ")</f>
        <v> </v>
      </c>
      <c r="T97" s="17" t="str">
        <f aca="false">IF((E97="r"),H97," ")</f>
        <v> </v>
      </c>
      <c r="U97" s="17" t="str">
        <f aca="false">IF((E97="p"),H97," ")</f>
        <v> </v>
      </c>
      <c r="V97" s="17" t="str">
        <f aca="false">IF((E97="t"),H97," ")</f>
        <v> </v>
      </c>
      <c r="W97" s="17" t="str">
        <f aca="false">IF((E97="q"),H97," ")</f>
        <v> </v>
      </c>
      <c r="X97" s="17" t="str">
        <f aca="false">IF((E97="m"),H97," ")</f>
        <v> </v>
      </c>
      <c r="Y97" s="17" t="str">
        <f aca="false">IF((E97="u"),H97," ")</f>
        <v> </v>
      </c>
      <c r="Z97" s="17" t="str">
        <f aca="false">IF((E97="a"),H97," ")</f>
        <v> </v>
      </c>
      <c r="AA97" s="17" t="str">
        <f aca="false">IF((E97="g"),H97," ")</f>
        <v> </v>
      </c>
      <c r="AB97" s="17" t="str">
        <f aca="false">IF((E97="h"),H97," ")</f>
        <v> </v>
      </c>
      <c r="AC97" s="30" t="str">
        <f aca="false">IF((E97="v"),H97," ")</f>
        <v> </v>
      </c>
      <c r="AD97" s="30" t="str">
        <f aca="false">IF((E97="n"),H97," ")</f>
        <v> </v>
      </c>
      <c r="AE97" s="17" t="str">
        <f aca="false">IF((E97="f"),H97," ")</f>
        <v> </v>
      </c>
      <c r="AF97" s="17" t="str">
        <f aca="false">IF((E97="l"),H97," ")</f>
        <v> </v>
      </c>
      <c r="AG97" s="17" t="str">
        <f aca="false">IF((E97="y"),H97," ")</f>
        <v> </v>
      </c>
      <c r="AH97" s="17" t="str">
        <f aca="false">IF((E97="z"),H97," ")</f>
        <v> </v>
      </c>
      <c r="AI97" s="17" t="str">
        <f aca="false">IF((E97="fa"),H97," ")</f>
        <v> </v>
      </c>
      <c r="AJ97" s="17" t="str">
        <f aca="false">IF((E97="e"),H97," ")</f>
        <v> </v>
      </c>
    </row>
    <row r="98" customFormat="false" ht="12" hidden="false" customHeight="false" outlineLevel="0" collapsed="false">
      <c r="A98" s="28"/>
      <c r="E98" s="2" t="str">
        <f aca="false">IF((F98&lt;&gt;0),"Enter Letter"," ")</f>
        <v> </v>
      </c>
      <c r="F98" s="30"/>
      <c r="G98" s="6" t="str">
        <f aca="false">IF(F98&lt;&gt;0,F98*G$2/(100+G$2)," ")</f>
        <v> </v>
      </c>
      <c r="H98" s="6" t="str">
        <f aca="false">IF((F98&lt;&gt;0),F98-G98," ")</f>
        <v> </v>
      </c>
      <c r="I98" s="5"/>
      <c r="L98" s="7" t="str">
        <f aca="false">IF(F98&lt;&gt;0,F98-K98," ")</f>
        <v> </v>
      </c>
      <c r="M98" s="8" t="str">
        <f aca="false">IF((F98-K98)&lt;&gt;0,M$1-A98," ")</f>
        <v> </v>
      </c>
      <c r="N98" s="5"/>
      <c r="O98" s="17" t="str">
        <f aca="false">IF((E98="s"),H98," ")</f>
        <v> </v>
      </c>
      <c r="P98" s="17" t="str">
        <f aca="false">IF((E98="c"),H98," ")</f>
        <v> </v>
      </c>
      <c r="Q98" s="17" t="str">
        <f aca="false">IF((E98="o"),H98," ")</f>
        <v> </v>
      </c>
      <c r="R98" s="17" t="str">
        <f aca="false">IF((E98="d"),H98," ")</f>
        <v> </v>
      </c>
      <c r="S98" s="17" t="str">
        <f aca="false">IF((E98="w"),H98," ")</f>
        <v> </v>
      </c>
      <c r="T98" s="17" t="str">
        <f aca="false">IF((E98="r"),H98," ")</f>
        <v> </v>
      </c>
      <c r="U98" s="17" t="str">
        <f aca="false">IF((E98="p"),H98," ")</f>
        <v> </v>
      </c>
      <c r="V98" s="17" t="str">
        <f aca="false">IF((E98="t"),H98," ")</f>
        <v> </v>
      </c>
      <c r="W98" s="17" t="str">
        <f aca="false">IF((E98="q"),H98," ")</f>
        <v> </v>
      </c>
      <c r="X98" s="17" t="str">
        <f aca="false">IF((E98="m"),H98," ")</f>
        <v> </v>
      </c>
      <c r="Y98" s="17" t="str">
        <f aca="false">IF((E98="u"),H98," ")</f>
        <v> </v>
      </c>
      <c r="Z98" s="17" t="str">
        <f aca="false">IF((E98="a"),H98," ")</f>
        <v> </v>
      </c>
      <c r="AA98" s="17" t="str">
        <f aca="false">IF((E98="g"),H98," ")</f>
        <v> </v>
      </c>
      <c r="AB98" s="17" t="str">
        <f aca="false">IF((E98="h"),H98," ")</f>
        <v> </v>
      </c>
      <c r="AC98" s="30" t="str">
        <f aca="false">IF((E98="v"),H98," ")</f>
        <v> </v>
      </c>
      <c r="AD98" s="30" t="str">
        <f aca="false">IF((E98="n"),H98," ")</f>
        <v> </v>
      </c>
      <c r="AE98" s="17" t="str">
        <f aca="false">IF((E98="f"),H98," ")</f>
        <v> </v>
      </c>
      <c r="AF98" s="17" t="str">
        <f aca="false">IF((E98="l"),H98," ")</f>
        <v> </v>
      </c>
      <c r="AG98" s="17" t="str">
        <f aca="false">IF((E98="y"),H98," ")</f>
        <v> </v>
      </c>
      <c r="AH98" s="17" t="str">
        <f aca="false">IF((E98="z"),H98," ")</f>
        <v> </v>
      </c>
      <c r="AI98" s="17" t="str">
        <f aca="false">IF((E98="fa"),H98," ")</f>
        <v> </v>
      </c>
      <c r="AJ98" s="17" t="str">
        <f aca="false">IF((E98="e"),H98," ")</f>
        <v> </v>
      </c>
    </row>
    <row r="99" customFormat="false" ht="12" hidden="false" customHeight="false" outlineLevel="0" collapsed="false">
      <c r="A99" s="28"/>
      <c r="E99" s="2" t="str">
        <f aca="false">IF((F99&lt;&gt;0),"Enter Letter"," ")</f>
        <v> </v>
      </c>
      <c r="F99" s="30"/>
      <c r="G99" s="6" t="str">
        <f aca="false">IF(F99&lt;&gt;0,F99*G$2/(100+G$2)," ")</f>
        <v> </v>
      </c>
      <c r="H99" s="6" t="str">
        <f aca="false">IF((F99&lt;&gt;0),F99-G99," ")</f>
        <v> </v>
      </c>
      <c r="I99" s="5"/>
      <c r="L99" s="7" t="str">
        <f aca="false">IF(F99&lt;&gt;0,F99-K99," ")</f>
        <v> </v>
      </c>
      <c r="M99" s="8" t="str">
        <f aca="false">IF((F99-K99)&lt;&gt;0,M$1-A99," ")</f>
        <v> </v>
      </c>
      <c r="N99" s="5"/>
      <c r="O99" s="17" t="str">
        <f aca="false">IF((E99="s"),H99," ")</f>
        <v> </v>
      </c>
      <c r="P99" s="17" t="str">
        <f aca="false">IF((E99="c"),H99," ")</f>
        <v> </v>
      </c>
      <c r="Q99" s="17" t="str">
        <f aca="false">IF((E99="o"),H99," ")</f>
        <v> </v>
      </c>
      <c r="R99" s="17" t="str">
        <f aca="false">IF((E99="d"),H99," ")</f>
        <v> </v>
      </c>
      <c r="S99" s="17" t="str">
        <f aca="false">IF((E99="w"),H99," ")</f>
        <v> </v>
      </c>
      <c r="T99" s="17" t="str">
        <f aca="false">IF((E99="r"),H99," ")</f>
        <v> </v>
      </c>
      <c r="U99" s="17" t="str">
        <f aca="false">IF((E99="p"),H99," ")</f>
        <v> </v>
      </c>
      <c r="V99" s="17" t="str">
        <f aca="false">IF((E99="t"),H99," ")</f>
        <v> </v>
      </c>
      <c r="W99" s="17" t="str">
        <f aca="false">IF((E99="q"),H99," ")</f>
        <v> </v>
      </c>
      <c r="X99" s="17" t="str">
        <f aca="false">IF((E99="m"),H99," ")</f>
        <v> </v>
      </c>
      <c r="Y99" s="17" t="str">
        <f aca="false">IF((E99="u"),H99," ")</f>
        <v> </v>
      </c>
      <c r="Z99" s="17" t="str">
        <f aca="false">IF((E99="a"),H99," ")</f>
        <v> </v>
      </c>
      <c r="AA99" s="17" t="str">
        <f aca="false">IF((E99="g"),H99," ")</f>
        <v> </v>
      </c>
      <c r="AB99" s="17" t="str">
        <f aca="false">IF((E99="h"),H99," ")</f>
        <v> </v>
      </c>
      <c r="AC99" s="30" t="str">
        <f aca="false">IF((E99="v"),H99," ")</f>
        <v> </v>
      </c>
      <c r="AD99" s="30" t="str">
        <f aca="false">IF((E99="n"),H99," ")</f>
        <v> </v>
      </c>
      <c r="AE99" s="17" t="str">
        <f aca="false">IF((E99="f"),H99," ")</f>
        <v> </v>
      </c>
      <c r="AF99" s="17" t="str">
        <f aca="false">IF((E99="l"),H99," ")</f>
        <v> </v>
      </c>
      <c r="AG99" s="17" t="str">
        <f aca="false">IF((E99="y"),H99," ")</f>
        <v> </v>
      </c>
      <c r="AH99" s="17" t="str">
        <f aca="false">IF((E99="z"),H99," ")</f>
        <v> </v>
      </c>
      <c r="AI99" s="17" t="str">
        <f aca="false">IF((E99="fa"),H99," ")</f>
        <v> </v>
      </c>
      <c r="AJ99" s="17" t="str">
        <f aca="false">IF((E99="e"),H99," ")</f>
        <v> </v>
      </c>
    </row>
    <row r="100" customFormat="false" ht="12" hidden="false" customHeight="false" outlineLevel="0" collapsed="false">
      <c r="A100" s="28"/>
      <c r="E100" s="2" t="str">
        <f aca="false">IF((F100&lt;&gt;0),"Enter Letter"," ")</f>
        <v> </v>
      </c>
      <c r="F100" s="30"/>
      <c r="G100" s="6" t="str">
        <f aca="false">IF(F100&lt;&gt;0,F100*G$2/(100+G$2)," ")</f>
        <v> </v>
      </c>
      <c r="H100" s="6" t="str">
        <f aca="false">IF((F100&lt;&gt;0),F100-G100," ")</f>
        <v> </v>
      </c>
      <c r="I100" s="5"/>
      <c r="L100" s="7" t="str">
        <f aca="false">IF(F100&lt;&gt;0,F100-K100," ")</f>
        <v> </v>
      </c>
      <c r="M100" s="8" t="str">
        <f aca="false">IF((F100-K100)&lt;&gt;0,M$1-A100," ")</f>
        <v> </v>
      </c>
      <c r="N100" s="5"/>
      <c r="O100" s="17" t="str">
        <f aca="false">IF((E100="s"),H100," ")</f>
        <v> </v>
      </c>
      <c r="P100" s="17" t="str">
        <f aca="false">IF((E100="c"),H100," ")</f>
        <v> </v>
      </c>
      <c r="Q100" s="17" t="str">
        <f aca="false">IF((E100="o"),H100," ")</f>
        <v> </v>
      </c>
      <c r="R100" s="17" t="str">
        <f aca="false">IF((E100="d"),H100," ")</f>
        <v> </v>
      </c>
      <c r="S100" s="17" t="str">
        <f aca="false">IF((E100="w"),H100," ")</f>
        <v> </v>
      </c>
      <c r="T100" s="17" t="str">
        <f aca="false">IF((E100="r"),H100," ")</f>
        <v> </v>
      </c>
      <c r="U100" s="17" t="str">
        <f aca="false">IF((E100="p"),H100," ")</f>
        <v> </v>
      </c>
      <c r="V100" s="17" t="str">
        <f aca="false">IF((E100="t"),H100," ")</f>
        <v> </v>
      </c>
      <c r="W100" s="17" t="str">
        <f aca="false">IF((E100="q"),H100," ")</f>
        <v> </v>
      </c>
      <c r="X100" s="17" t="str">
        <f aca="false">IF((E100="m"),H100," ")</f>
        <v> </v>
      </c>
      <c r="Y100" s="17" t="str">
        <f aca="false">IF((E100="u"),H100," ")</f>
        <v> </v>
      </c>
      <c r="Z100" s="17" t="str">
        <f aca="false">IF((E100="a"),H100," ")</f>
        <v> </v>
      </c>
      <c r="AA100" s="17" t="str">
        <f aca="false">IF((E100="g"),H100," ")</f>
        <v> </v>
      </c>
      <c r="AB100" s="17" t="str">
        <f aca="false">IF((E100="h"),H100," ")</f>
        <v> </v>
      </c>
      <c r="AC100" s="30" t="str">
        <f aca="false">IF((E100="v"),H100," ")</f>
        <v> </v>
      </c>
      <c r="AD100" s="30" t="str">
        <f aca="false">IF((E100="n"),H100," ")</f>
        <v> </v>
      </c>
      <c r="AE100" s="17" t="str">
        <f aca="false">IF((E100="f"),H100," ")</f>
        <v> </v>
      </c>
      <c r="AF100" s="17" t="str">
        <f aca="false">IF((E100="l"),H100," ")</f>
        <v> </v>
      </c>
      <c r="AG100" s="17" t="str">
        <f aca="false">IF((E100="y"),H100," ")</f>
        <v> </v>
      </c>
      <c r="AH100" s="17" t="str">
        <f aca="false">IF((E100="z"),H100," ")</f>
        <v> </v>
      </c>
      <c r="AI100" s="17" t="str">
        <f aca="false">IF((E100="fa"),H100," ")</f>
        <v> </v>
      </c>
      <c r="AJ100" s="17" t="str">
        <f aca="false">IF((E100="e"),H100," ")</f>
        <v> </v>
      </c>
    </row>
    <row r="101" customFormat="false" ht="12" hidden="false" customHeight="false" outlineLevel="0" collapsed="false">
      <c r="A101" s="28"/>
      <c r="E101" s="2" t="str">
        <f aca="false">IF((F101&lt;&gt;0),"Enter Letter"," ")</f>
        <v> </v>
      </c>
      <c r="F101" s="30"/>
      <c r="G101" s="6" t="str">
        <f aca="false">IF(F101&lt;&gt;0,F101*G$2/(100+G$2)," ")</f>
        <v> </v>
      </c>
      <c r="H101" s="6" t="str">
        <f aca="false">IF((F101&lt;&gt;0),F101-G101," ")</f>
        <v> </v>
      </c>
      <c r="I101" s="5"/>
      <c r="L101" s="7" t="str">
        <f aca="false">IF(F101&lt;&gt;0,F101-K101," ")</f>
        <v> </v>
      </c>
      <c r="M101" s="8" t="str">
        <f aca="false">IF((F101-K101)&lt;&gt;0,M$1-A101," ")</f>
        <v> </v>
      </c>
      <c r="N101" s="5"/>
      <c r="O101" s="17" t="str">
        <f aca="false">IF((E101="s"),H101," ")</f>
        <v> </v>
      </c>
      <c r="P101" s="17" t="str">
        <f aca="false">IF((E101="c"),H101," ")</f>
        <v> </v>
      </c>
      <c r="Q101" s="17" t="str">
        <f aca="false">IF((E101="o"),H101," ")</f>
        <v> </v>
      </c>
      <c r="R101" s="17" t="str">
        <f aca="false">IF((E101="d"),H101," ")</f>
        <v> </v>
      </c>
      <c r="S101" s="17" t="str">
        <f aca="false">IF((E101="w"),H101," ")</f>
        <v> </v>
      </c>
      <c r="T101" s="17" t="str">
        <f aca="false">IF((E101="r"),H101," ")</f>
        <v> </v>
      </c>
      <c r="U101" s="17" t="str">
        <f aca="false">IF((E101="p"),H101," ")</f>
        <v> </v>
      </c>
      <c r="V101" s="17" t="str">
        <f aca="false">IF((E101="t"),H101," ")</f>
        <v> </v>
      </c>
      <c r="W101" s="17" t="str">
        <f aca="false">IF((E101="q"),H101," ")</f>
        <v> </v>
      </c>
      <c r="X101" s="17" t="str">
        <f aca="false">IF((E101="m"),H101," ")</f>
        <v> </v>
      </c>
      <c r="Y101" s="17" t="str">
        <f aca="false">IF((E101="u"),H101," ")</f>
        <v> </v>
      </c>
      <c r="Z101" s="17" t="str">
        <f aca="false">IF((E101="a"),H101," ")</f>
        <v> </v>
      </c>
      <c r="AA101" s="17" t="str">
        <f aca="false">IF((E101="g"),H101," ")</f>
        <v> </v>
      </c>
      <c r="AB101" s="17" t="str">
        <f aca="false">IF((E101="h"),H101," ")</f>
        <v> </v>
      </c>
      <c r="AC101" s="30" t="str">
        <f aca="false">IF((E101="v"),H101," ")</f>
        <v> </v>
      </c>
      <c r="AD101" s="30" t="str">
        <f aca="false">IF((E101="n"),H101," ")</f>
        <v> </v>
      </c>
      <c r="AE101" s="17" t="str">
        <f aca="false">IF((E101="f"),H101," ")</f>
        <v> </v>
      </c>
      <c r="AF101" s="17" t="str">
        <f aca="false">IF((E101="l"),H101," ")</f>
        <v> </v>
      </c>
      <c r="AG101" s="17" t="str">
        <f aca="false">IF((E101="y"),H101," ")</f>
        <v> </v>
      </c>
      <c r="AH101" s="17" t="str">
        <f aca="false">IF((E101="z"),H101," ")</f>
        <v> </v>
      </c>
      <c r="AI101" s="17" t="str">
        <f aca="false">IF((E101="fa"),H101," ")</f>
        <v> </v>
      </c>
      <c r="AJ101" s="17" t="str">
        <f aca="false">IF((E101="e"),H101," ")</f>
        <v> </v>
      </c>
    </row>
    <row r="102" customFormat="false" ht="12" hidden="false" customHeight="false" outlineLevel="0" collapsed="false">
      <c r="A102" s="28"/>
      <c r="E102" s="2" t="str">
        <f aca="false">IF((F102&lt;&gt;0),"Enter Letter"," ")</f>
        <v> </v>
      </c>
      <c r="F102" s="30"/>
      <c r="G102" s="6" t="str">
        <f aca="false">IF(F102&lt;&gt;0,F102*G$2/(100+G$2)," ")</f>
        <v> </v>
      </c>
      <c r="H102" s="6" t="str">
        <f aca="false">IF((F102&lt;&gt;0),F102-G102," ")</f>
        <v> </v>
      </c>
      <c r="I102" s="5"/>
      <c r="L102" s="7" t="str">
        <f aca="false">IF(F102&lt;&gt;0,F102-K102," ")</f>
        <v> </v>
      </c>
      <c r="M102" s="8" t="str">
        <f aca="false">IF((F102-K102)&lt;&gt;0,M$1-A102," ")</f>
        <v> </v>
      </c>
      <c r="N102" s="5"/>
      <c r="O102" s="17" t="str">
        <f aca="false">IF((E102="s"),H102," ")</f>
        <v> </v>
      </c>
      <c r="P102" s="17" t="str">
        <f aca="false">IF((E102="c"),H102," ")</f>
        <v> </v>
      </c>
      <c r="Q102" s="17" t="str">
        <f aca="false">IF((E102="o"),H102," ")</f>
        <v> </v>
      </c>
      <c r="R102" s="17" t="str">
        <f aca="false">IF((E102="d"),H102," ")</f>
        <v> </v>
      </c>
      <c r="S102" s="17" t="str">
        <f aca="false">IF((E102="w"),H102," ")</f>
        <v> </v>
      </c>
      <c r="T102" s="17" t="str">
        <f aca="false">IF((E102="r"),H102," ")</f>
        <v> </v>
      </c>
      <c r="U102" s="17" t="str">
        <f aca="false">IF((E102="p"),H102," ")</f>
        <v> </v>
      </c>
      <c r="V102" s="17" t="str">
        <f aca="false">IF((E102="t"),H102," ")</f>
        <v> </v>
      </c>
      <c r="W102" s="17" t="str">
        <f aca="false">IF((E102="q"),H102," ")</f>
        <v> </v>
      </c>
      <c r="X102" s="17" t="str">
        <f aca="false">IF((E102="m"),H102," ")</f>
        <v> </v>
      </c>
      <c r="Y102" s="17" t="str">
        <f aca="false">IF((E102="u"),H102," ")</f>
        <v> </v>
      </c>
      <c r="Z102" s="17" t="str">
        <f aca="false">IF((E102="a"),H102," ")</f>
        <v> </v>
      </c>
      <c r="AA102" s="17" t="str">
        <f aca="false">IF((E102="g"),H102," ")</f>
        <v> </v>
      </c>
      <c r="AB102" s="17" t="str">
        <f aca="false">IF((E102="h"),H102," ")</f>
        <v> </v>
      </c>
      <c r="AC102" s="30" t="str">
        <f aca="false">IF((E102="v"),H102," ")</f>
        <v> </v>
      </c>
      <c r="AD102" s="30" t="str">
        <f aca="false">IF((E102="n"),H102," ")</f>
        <v> </v>
      </c>
      <c r="AE102" s="17" t="str">
        <f aca="false">IF((E102="f"),H102," ")</f>
        <v> </v>
      </c>
      <c r="AF102" s="17" t="str">
        <f aca="false">IF((E102="l"),H102," ")</f>
        <v> </v>
      </c>
      <c r="AG102" s="17" t="str">
        <f aca="false">IF((E102="y"),H102," ")</f>
        <v> </v>
      </c>
      <c r="AH102" s="17" t="str">
        <f aca="false">IF((E102="z"),H102," ")</f>
        <v> </v>
      </c>
      <c r="AI102" s="17" t="str">
        <f aca="false">IF((E102="fa"),H102," ")</f>
        <v> </v>
      </c>
      <c r="AJ102" s="17" t="str">
        <f aca="false">IF((E102="e"),H102," ")</f>
        <v> </v>
      </c>
    </row>
    <row r="103" customFormat="false" ht="12" hidden="false" customHeight="false" outlineLevel="0" collapsed="false">
      <c r="A103" s="28"/>
      <c r="E103" s="2" t="str">
        <f aca="false">IF((F103&lt;&gt;0),"Enter Letter"," ")</f>
        <v> </v>
      </c>
      <c r="F103" s="30"/>
      <c r="G103" s="6" t="str">
        <f aca="false">IF(F103&lt;&gt;0,F103*G$2/(100+G$2)," ")</f>
        <v> </v>
      </c>
      <c r="H103" s="6" t="str">
        <f aca="false">IF((F103&lt;&gt;0),F103-G103," ")</f>
        <v> </v>
      </c>
      <c r="I103" s="5"/>
      <c r="L103" s="7" t="str">
        <f aca="false">IF(F103&lt;&gt;0,F103-K103," ")</f>
        <v> </v>
      </c>
      <c r="M103" s="8" t="str">
        <f aca="false">IF((F103-K103)&lt;&gt;0,M$1-A103," ")</f>
        <v> </v>
      </c>
      <c r="N103" s="5"/>
      <c r="O103" s="17" t="str">
        <f aca="false">IF((E103="s"),H103," ")</f>
        <v> </v>
      </c>
      <c r="P103" s="17" t="str">
        <f aca="false">IF((E103="c"),H103," ")</f>
        <v> </v>
      </c>
      <c r="Q103" s="17" t="str">
        <f aca="false">IF((E103="o"),H103," ")</f>
        <v> </v>
      </c>
      <c r="R103" s="17" t="str">
        <f aca="false">IF((E103="d"),H103," ")</f>
        <v> </v>
      </c>
      <c r="S103" s="17" t="str">
        <f aca="false">IF((E103="w"),H103," ")</f>
        <v> </v>
      </c>
      <c r="T103" s="17" t="str">
        <f aca="false">IF((E103="r"),H103," ")</f>
        <v> </v>
      </c>
      <c r="U103" s="17" t="str">
        <f aca="false">IF((E103="p"),H103," ")</f>
        <v> </v>
      </c>
      <c r="V103" s="17" t="str">
        <f aca="false">IF((E103="t"),H103," ")</f>
        <v> </v>
      </c>
      <c r="W103" s="17" t="str">
        <f aca="false">IF((E103="q"),H103," ")</f>
        <v> </v>
      </c>
      <c r="X103" s="17" t="str">
        <f aca="false">IF((E103="m"),H103," ")</f>
        <v> </v>
      </c>
      <c r="Y103" s="17" t="str">
        <f aca="false">IF((E103="u"),H103," ")</f>
        <v> </v>
      </c>
      <c r="Z103" s="17" t="str">
        <f aca="false">IF((E103="a"),H103," ")</f>
        <v> </v>
      </c>
      <c r="AA103" s="17" t="str">
        <f aca="false">IF((E103="g"),H103," ")</f>
        <v> </v>
      </c>
      <c r="AB103" s="17" t="str">
        <f aca="false">IF((E103="h"),H103," ")</f>
        <v> </v>
      </c>
      <c r="AC103" s="30" t="str">
        <f aca="false">IF((E103="v"),H103," ")</f>
        <v> </v>
      </c>
      <c r="AD103" s="30" t="str">
        <f aca="false">IF((E103="n"),H103," ")</f>
        <v> </v>
      </c>
      <c r="AE103" s="17" t="str">
        <f aca="false">IF((E103="f"),H103," ")</f>
        <v> </v>
      </c>
      <c r="AF103" s="17" t="str">
        <f aca="false">IF((E103="l"),H103," ")</f>
        <v> </v>
      </c>
      <c r="AG103" s="17" t="str">
        <f aca="false">IF((E103="y"),H103," ")</f>
        <v> </v>
      </c>
      <c r="AH103" s="17" t="str">
        <f aca="false">IF((E103="z"),H103," ")</f>
        <v> </v>
      </c>
      <c r="AI103" s="17" t="str">
        <f aca="false">IF((E103="fa"),H103," ")</f>
        <v> </v>
      </c>
      <c r="AJ103" s="17" t="str">
        <f aca="false">IF((E103="e"),H103," ")</f>
        <v> </v>
      </c>
    </row>
    <row r="104" customFormat="false" ht="12" hidden="false" customHeight="false" outlineLevel="0" collapsed="false">
      <c r="A104" s="28"/>
      <c r="E104" s="2" t="str">
        <f aca="false">IF((F104&lt;&gt;0),"Enter Letter"," ")</f>
        <v> </v>
      </c>
      <c r="F104" s="30"/>
      <c r="G104" s="6" t="str">
        <f aca="false">IF(F104&lt;&gt;0,F104*G$2/(100+G$2)," ")</f>
        <v> </v>
      </c>
      <c r="H104" s="6" t="str">
        <f aca="false">IF((F104&lt;&gt;0),F104-G104," ")</f>
        <v> </v>
      </c>
      <c r="I104" s="5"/>
      <c r="L104" s="7" t="str">
        <f aca="false">IF(F104&lt;&gt;0,F104-K104," ")</f>
        <v> </v>
      </c>
      <c r="M104" s="8" t="str">
        <f aca="false">IF((F104-K104)&lt;&gt;0,M$1-A104," ")</f>
        <v> </v>
      </c>
      <c r="N104" s="5"/>
      <c r="O104" s="17" t="str">
        <f aca="false">IF((E104="s"),H104," ")</f>
        <v> </v>
      </c>
      <c r="P104" s="17" t="str">
        <f aca="false">IF((E104="c"),H104," ")</f>
        <v> </v>
      </c>
      <c r="Q104" s="17" t="str">
        <f aca="false">IF((E104="o"),H104," ")</f>
        <v> </v>
      </c>
      <c r="R104" s="17" t="str">
        <f aca="false">IF((E104="d"),H104," ")</f>
        <v> </v>
      </c>
      <c r="S104" s="17" t="str">
        <f aca="false">IF((E104="w"),H104," ")</f>
        <v> </v>
      </c>
      <c r="T104" s="17" t="str">
        <f aca="false">IF((E104="r"),H104," ")</f>
        <v> </v>
      </c>
      <c r="U104" s="17" t="str">
        <f aca="false">IF((E104="p"),H104," ")</f>
        <v> </v>
      </c>
      <c r="V104" s="17" t="str">
        <f aca="false">IF((E104="t"),H104," ")</f>
        <v> </v>
      </c>
      <c r="W104" s="17" t="str">
        <f aca="false">IF((E104="q"),H104," ")</f>
        <v> </v>
      </c>
      <c r="X104" s="17" t="str">
        <f aca="false">IF((E104="m"),H104," ")</f>
        <v> </v>
      </c>
      <c r="Y104" s="17" t="str">
        <f aca="false">IF((E104="u"),H104," ")</f>
        <v> </v>
      </c>
      <c r="Z104" s="17" t="str">
        <f aca="false">IF((E104="a"),H104," ")</f>
        <v> </v>
      </c>
      <c r="AA104" s="17" t="str">
        <f aca="false">IF((E104="g"),H104," ")</f>
        <v> </v>
      </c>
      <c r="AB104" s="17" t="str">
        <f aca="false">IF((E104="h"),H104," ")</f>
        <v> </v>
      </c>
      <c r="AC104" s="30" t="str">
        <f aca="false">IF((E104="v"),H104," ")</f>
        <v> </v>
      </c>
      <c r="AD104" s="30" t="str">
        <f aca="false">IF((E104="n"),H104," ")</f>
        <v> </v>
      </c>
      <c r="AE104" s="17" t="str">
        <f aca="false">IF((E104="f"),H104," ")</f>
        <v> </v>
      </c>
      <c r="AF104" s="17" t="str">
        <f aca="false">IF((E104="l"),H104," ")</f>
        <v> </v>
      </c>
      <c r="AG104" s="17" t="str">
        <f aca="false">IF((E104="y"),H104," ")</f>
        <v> </v>
      </c>
      <c r="AH104" s="17" t="str">
        <f aca="false">IF((E104="z"),H104," ")</f>
        <v> </v>
      </c>
      <c r="AI104" s="17" t="str">
        <f aca="false">IF((E104="fa"),H104," ")</f>
        <v> </v>
      </c>
      <c r="AJ104" s="17" t="str">
        <f aca="false">IF((E104="e"),H104," ")</f>
        <v> </v>
      </c>
    </row>
    <row r="105" customFormat="false" ht="12" hidden="false" customHeight="false" outlineLevel="0" collapsed="false">
      <c r="A105" s="28"/>
      <c r="E105" s="2" t="str">
        <f aca="false">IF((F105&lt;&gt;0),"Enter Letter"," ")</f>
        <v> </v>
      </c>
      <c r="F105" s="30"/>
      <c r="G105" s="6" t="str">
        <f aca="false">IF(F105&lt;&gt;0,F105*G$2/(100+G$2)," ")</f>
        <v> </v>
      </c>
      <c r="H105" s="6" t="str">
        <f aca="false">IF((F105&lt;&gt;0),F105-G105," ")</f>
        <v> </v>
      </c>
      <c r="I105" s="5"/>
      <c r="L105" s="7" t="str">
        <f aca="false">IF(F105&lt;&gt;0,F105-K105," ")</f>
        <v> </v>
      </c>
      <c r="M105" s="8" t="str">
        <f aca="false">IF((F105-K105)&lt;&gt;0,M$1-A105," ")</f>
        <v> </v>
      </c>
      <c r="N105" s="5"/>
      <c r="O105" s="17" t="str">
        <f aca="false">IF((E105="s"),H105," ")</f>
        <v> </v>
      </c>
      <c r="P105" s="17" t="str">
        <f aca="false">IF((E105="c"),H105," ")</f>
        <v> </v>
      </c>
      <c r="Q105" s="17" t="str">
        <f aca="false">IF((E105="o"),H105," ")</f>
        <v> </v>
      </c>
      <c r="R105" s="17" t="str">
        <f aca="false">IF((E105="d"),H105," ")</f>
        <v> </v>
      </c>
      <c r="S105" s="17" t="str">
        <f aca="false">IF((E105="w"),H105," ")</f>
        <v> </v>
      </c>
      <c r="T105" s="17" t="str">
        <f aca="false">IF((E105="r"),H105," ")</f>
        <v> </v>
      </c>
      <c r="U105" s="17" t="str">
        <f aca="false">IF((E105="p"),H105," ")</f>
        <v> </v>
      </c>
      <c r="V105" s="17" t="str">
        <f aca="false">IF((E105="t"),H105," ")</f>
        <v> </v>
      </c>
      <c r="W105" s="17" t="str">
        <f aca="false">IF((E105="q"),H105," ")</f>
        <v> </v>
      </c>
      <c r="X105" s="17" t="str">
        <f aca="false">IF((E105="m"),H105," ")</f>
        <v> </v>
      </c>
      <c r="Y105" s="17" t="str">
        <f aca="false">IF((E105="u"),H105," ")</f>
        <v> </v>
      </c>
      <c r="Z105" s="17" t="str">
        <f aca="false">IF((E105="a"),H105," ")</f>
        <v> </v>
      </c>
      <c r="AA105" s="17" t="str">
        <f aca="false">IF((E105="g"),H105," ")</f>
        <v> </v>
      </c>
      <c r="AB105" s="17" t="str">
        <f aca="false">IF((E105="h"),H105," ")</f>
        <v> </v>
      </c>
      <c r="AC105" s="30" t="str">
        <f aca="false">IF((E105="v"),H105," ")</f>
        <v> </v>
      </c>
      <c r="AD105" s="30" t="str">
        <f aca="false">IF((E105="n"),H105," ")</f>
        <v> </v>
      </c>
      <c r="AE105" s="17" t="str">
        <f aca="false">IF((E105="f"),H105," ")</f>
        <v> </v>
      </c>
      <c r="AF105" s="17" t="str">
        <f aca="false">IF((E105="l"),H105," ")</f>
        <v> </v>
      </c>
      <c r="AG105" s="17" t="str">
        <f aca="false">IF((E105="y"),H105," ")</f>
        <v> </v>
      </c>
      <c r="AH105" s="17" t="str">
        <f aca="false">IF((E105="z"),H105," ")</f>
        <v> </v>
      </c>
      <c r="AI105" s="17" t="str">
        <f aca="false">IF((E105="fa"),H105," ")</f>
        <v> </v>
      </c>
      <c r="AJ105" s="17" t="str">
        <f aca="false">IF((E105="e"),H105," ")</f>
        <v> </v>
      </c>
    </row>
    <row r="106" customFormat="false" ht="12" hidden="false" customHeight="false" outlineLevel="0" collapsed="false">
      <c r="A106" s="28"/>
      <c r="E106" s="2" t="str">
        <f aca="false">IF((F106&lt;&gt;0),"Enter Letter"," ")</f>
        <v> </v>
      </c>
      <c r="F106" s="30"/>
      <c r="G106" s="6" t="str">
        <f aca="false">IF(F106&lt;&gt;0,F106*G$2/(100+G$2)," ")</f>
        <v> </v>
      </c>
      <c r="H106" s="6" t="str">
        <f aca="false">IF((F106&lt;&gt;0),F106-G106," ")</f>
        <v> </v>
      </c>
      <c r="I106" s="5"/>
      <c r="L106" s="7" t="str">
        <f aca="false">IF(F106&lt;&gt;0,F106-K106," ")</f>
        <v> </v>
      </c>
      <c r="M106" s="8" t="str">
        <f aca="false">IF((F106-K106)&lt;&gt;0,M$1-A106," ")</f>
        <v> </v>
      </c>
      <c r="N106" s="5"/>
      <c r="O106" s="17" t="str">
        <f aca="false">IF((E106="s"),H106," ")</f>
        <v> </v>
      </c>
      <c r="P106" s="17" t="str">
        <f aca="false">IF((E106="c"),H106," ")</f>
        <v> </v>
      </c>
      <c r="Q106" s="17" t="str">
        <f aca="false">IF((E106="o"),H106," ")</f>
        <v> </v>
      </c>
      <c r="R106" s="17" t="str">
        <f aca="false">IF((E106="d"),H106," ")</f>
        <v> </v>
      </c>
      <c r="S106" s="17" t="str">
        <f aca="false">IF((E106="w"),H106," ")</f>
        <v> </v>
      </c>
      <c r="T106" s="17" t="str">
        <f aca="false">IF((E106="r"),H106," ")</f>
        <v> </v>
      </c>
      <c r="U106" s="17" t="str">
        <f aca="false">IF((E106="p"),H106," ")</f>
        <v> </v>
      </c>
      <c r="V106" s="17" t="str">
        <f aca="false">IF((E106="t"),H106," ")</f>
        <v> </v>
      </c>
      <c r="W106" s="17" t="str">
        <f aca="false">IF((E106="q"),H106," ")</f>
        <v> </v>
      </c>
      <c r="X106" s="17" t="str">
        <f aca="false">IF((E106="m"),H106," ")</f>
        <v> </v>
      </c>
      <c r="Y106" s="17" t="str">
        <f aca="false">IF((E106="u"),H106," ")</f>
        <v> </v>
      </c>
      <c r="Z106" s="17" t="str">
        <f aca="false">IF((E106="a"),H106," ")</f>
        <v> </v>
      </c>
      <c r="AA106" s="17" t="str">
        <f aca="false">IF((E106="g"),H106," ")</f>
        <v> </v>
      </c>
      <c r="AB106" s="17" t="str">
        <f aca="false">IF((E106="h"),H106," ")</f>
        <v> </v>
      </c>
      <c r="AC106" s="30" t="str">
        <f aca="false">IF((E106="v"),H106," ")</f>
        <v> </v>
      </c>
      <c r="AD106" s="30" t="str">
        <f aca="false">IF((E106="n"),H106," ")</f>
        <v> </v>
      </c>
      <c r="AE106" s="17" t="str">
        <f aca="false">IF((E106="f"),H106," ")</f>
        <v> </v>
      </c>
      <c r="AF106" s="17" t="str">
        <f aca="false">IF((E106="l"),H106," ")</f>
        <v> </v>
      </c>
      <c r="AG106" s="17" t="str">
        <f aca="false">IF((E106="y"),H106," ")</f>
        <v> </v>
      </c>
      <c r="AH106" s="17" t="str">
        <f aca="false">IF((E106="z"),H106," ")</f>
        <v> </v>
      </c>
      <c r="AI106" s="17" t="str">
        <f aca="false">IF((E106="fa"),H106," ")</f>
        <v> </v>
      </c>
      <c r="AJ106" s="17" t="str">
        <f aca="false">IF((E106="e"),H106," ")</f>
        <v> </v>
      </c>
    </row>
    <row r="107" customFormat="false" ht="12" hidden="false" customHeight="false" outlineLevel="0" collapsed="false">
      <c r="A107" s="28"/>
      <c r="E107" s="2" t="str">
        <f aca="false">IF((F107&lt;&gt;0),"Enter Letter"," ")</f>
        <v> </v>
      </c>
      <c r="F107" s="30"/>
      <c r="G107" s="6" t="str">
        <f aca="false">IF(F107&lt;&gt;0,F107*G$2/(100+G$2)," ")</f>
        <v> </v>
      </c>
      <c r="H107" s="6" t="str">
        <f aca="false">IF((F107&lt;&gt;0),F107-G107," ")</f>
        <v> </v>
      </c>
      <c r="I107" s="5"/>
      <c r="L107" s="7" t="str">
        <f aca="false">IF(F107&lt;&gt;0,F107-K107," ")</f>
        <v> </v>
      </c>
      <c r="M107" s="8" t="str">
        <f aca="false">IF((F107-K107)&lt;&gt;0,M$1-A107," ")</f>
        <v> </v>
      </c>
      <c r="N107" s="5"/>
      <c r="O107" s="17" t="str">
        <f aca="false">IF((E107="s"),H107," ")</f>
        <v> </v>
      </c>
      <c r="P107" s="17" t="str">
        <f aca="false">IF((E107="c"),H107," ")</f>
        <v> </v>
      </c>
      <c r="Q107" s="17" t="str">
        <f aca="false">IF((E107="o"),H107," ")</f>
        <v> </v>
      </c>
      <c r="R107" s="17" t="str">
        <f aca="false">IF((E107="d"),H107," ")</f>
        <v> </v>
      </c>
      <c r="S107" s="17" t="str">
        <f aca="false">IF((E107="w"),H107," ")</f>
        <v> </v>
      </c>
      <c r="T107" s="17" t="str">
        <f aca="false">IF((E107="r"),H107," ")</f>
        <v> </v>
      </c>
      <c r="U107" s="17" t="str">
        <f aca="false">IF((E107="p"),H107," ")</f>
        <v> </v>
      </c>
      <c r="V107" s="17" t="str">
        <f aca="false">IF((E107="t"),H107," ")</f>
        <v> </v>
      </c>
      <c r="W107" s="17" t="str">
        <f aca="false">IF((E107="q"),H107," ")</f>
        <v> </v>
      </c>
      <c r="X107" s="17" t="str">
        <f aca="false">IF((E107="m"),H107," ")</f>
        <v> </v>
      </c>
      <c r="Y107" s="17" t="str">
        <f aca="false">IF((E107="u"),H107," ")</f>
        <v> </v>
      </c>
      <c r="Z107" s="17" t="str">
        <f aca="false">IF((E107="a"),H107," ")</f>
        <v> </v>
      </c>
      <c r="AA107" s="17" t="str">
        <f aca="false">IF((E107="g"),H107," ")</f>
        <v> </v>
      </c>
      <c r="AB107" s="17" t="str">
        <f aca="false">IF((E107="h"),H107," ")</f>
        <v> </v>
      </c>
      <c r="AC107" s="30" t="str">
        <f aca="false">IF((E107="v"),H107," ")</f>
        <v> </v>
      </c>
      <c r="AD107" s="30" t="str">
        <f aca="false">IF((E107="n"),H107," ")</f>
        <v> </v>
      </c>
      <c r="AE107" s="17" t="str">
        <f aca="false">IF((E107="f"),H107," ")</f>
        <v> </v>
      </c>
      <c r="AF107" s="17" t="str">
        <f aca="false">IF((E107="l"),H107," ")</f>
        <v> </v>
      </c>
      <c r="AG107" s="17" t="str">
        <f aca="false">IF((E107="y"),H107," ")</f>
        <v> </v>
      </c>
      <c r="AH107" s="17" t="str">
        <f aca="false">IF((E107="z"),H107," ")</f>
        <v> </v>
      </c>
      <c r="AI107" s="17" t="str">
        <f aca="false">IF((E107="fa"),H107," ")</f>
        <v> </v>
      </c>
      <c r="AJ107" s="17" t="str">
        <f aca="false">IF((E107="e"),H107," ")</f>
        <v> </v>
      </c>
    </row>
    <row r="108" customFormat="false" ht="12" hidden="false" customHeight="false" outlineLevel="0" collapsed="false">
      <c r="A108" s="28"/>
      <c r="E108" s="2" t="str">
        <f aca="false">IF((F108&lt;&gt;0),"Enter Letter"," ")</f>
        <v> </v>
      </c>
      <c r="F108" s="30"/>
      <c r="G108" s="6" t="str">
        <f aca="false">IF(F108&lt;&gt;0,F108*G$2/(100+G$2)," ")</f>
        <v> </v>
      </c>
      <c r="H108" s="6" t="str">
        <f aca="false">IF((F108&lt;&gt;0),F108-G108," ")</f>
        <v> </v>
      </c>
      <c r="I108" s="5"/>
      <c r="L108" s="7" t="str">
        <f aca="false">IF(F108&lt;&gt;0,F108-K108," ")</f>
        <v> </v>
      </c>
      <c r="M108" s="8" t="str">
        <f aca="false">IF((F108-K108)&lt;&gt;0,M$1-A108," ")</f>
        <v> </v>
      </c>
      <c r="N108" s="5"/>
      <c r="O108" s="17" t="str">
        <f aca="false">IF((E108="s"),H108," ")</f>
        <v> </v>
      </c>
      <c r="P108" s="17" t="str">
        <f aca="false">IF((E108="c"),H108," ")</f>
        <v> </v>
      </c>
      <c r="Q108" s="17" t="str">
        <f aca="false">IF((E108="o"),H108," ")</f>
        <v> </v>
      </c>
      <c r="R108" s="17" t="str">
        <f aca="false">IF((E108="d"),H108," ")</f>
        <v> </v>
      </c>
      <c r="S108" s="17" t="str">
        <f aca="false">IF((E108="w"),H108," ")</f>
        <v> </v>
      </c>
      <c r="T108" s="17" t="str">
        <f aca="false">IF((E108="r"),H108," ")</f>
        <v> </v>
      </c>
      <c r="U108" s="17" t="str">
        <f aca="false">IF((E108="p"),H108," ")</f>
        <v> </v>
      </c>
      <c r="V108" s="17" t="str">
        <f aca="false">IF((E108="t"),H108," ")</f>
        <v> </v>
      </c>
      <c r="W108" s="17" t="str">
        <f aca="false">IF((E108="q"),H108," ")</f>
        <v> </v>
      </c>
      <c r="X108" s="17" t="str">
        <f aca="false">IF((E108="m"),H108," ")</f>
        <v> </v>
      </c>
      <c r="Y108" s="17" t="str">
        <f aca="false">IF((E108="u"),H108," ")</f>
        <v> </v>
      </c>
      <c r="Z108" s="17" t="str">
        <f aca="false">IF((E108="a"),H108," ")</f>
        <v> </v>
      </c>
      <c r="AA108" s="17" t="str">
        <f aca="false">IF((E108="g"),H108," ")</f>
        <v> </v>
      </c>
      <c r="AB108" s="17" t="str">
        <f aca="false">IF((E108="h"),H108," ")</f>
        <v> </v>
      </c>
      <c r="AC108" s="30" t="str">
        <f aca="false">IF((E108="v"),H108," ")</f>
        <v> </v>
      </c>
      <c r="AD108" s="30" t="str">
        <f aca="false">IF((E108="n"),H108," ")</f>
        <v> </v>
      </c>
      <c r="AE108" s="17" t="str">
        <f aca="false">IF((E108="f"),H108," ")</f>
        <v> </v>
      </c>
      <c r="AF108" s="17" t="str">
        <f aca="false">IF((E108="l"),H108," ")</f>
        <v> </v>
      </c>
      <c r="AG108" s="17" t="str">
        <f aca="false">IF((E108="y"),H108," ")</f>
        <v> </v>
      </c>
      <c r="AH108" s="17" t="str">
        <f aca="false">IF((E108="z"),H108," ")</f>
        <v> </v>
      </c>
      <c r="AI108" s="17" t="str">
        <f aca="false">IF((E108="fa"),H108," ")</f>
        <v> </v>
      </c>
      <c r="AJ108" s="17" t="str">
        <f aca="false">IF((E108="e"),H108," ")</f>
        <v> </v>
      </c>
    </row>
    <row r="109" customFormat="false" ht="12" hidden="false" customHeight="false" outlineLevel="0" collapsed="false">
      <c r="A109" s="28"/>
      <c r="E109" s="2" t="str">
        <f aca="false">IF((F109&lt;&gt;0),"Enter Letter"," ")</f>
        <v> </v>
      </c>
      <c r="F109" s="30"/>
      <c r="G109" s="6" t="str">
        <f aca="false">IF(F109&lt;&gt;0,F109*G$2/(100+G$2)," ")</f>
        <v> </v>
      </c>
      <c r="H109" s="6" t="str">
        <f aca="false">IF((F109&lt;&gt;0),F109-G109," ")</f>
        <v> </v>
      </c>
      <c r="I109" s="5"/>
      <c r="L109" s="7" t="str">
        <f aca="false">IF(F109&lt;&gt;0,F109-K109," ")</f>
        <v> </v>
      </c>
      <c r="M109" s="8" t="str">
        <f aca="false">IF((F109-K109)&lt;&gt;0,M$1-A109," ")</f>
        <v> </v>
      </c>
      <c r="N109" s="5"/>
      <c r="O109" s="17" t="str">
        <f aca="false">IF((E109="s"),H109," ")</f>
        <v> </v>
      </c>
      <c r="P109" s="17" t="str">
        <f aca="false">IF((E109="c"),H109," ")</f>
        <v> </v>
      </c>
      <c r="Q109" s="17" t="str">
        <f aca="false">IF((E109="o"),H109," ")</f>
        <v> </v>
      </c>
      <c r="R109" s="17" t="str">
        <f aca="false">IF((E109="d"),H109," ")</f>
        <v> </v>
      </c>
      <c r="S109" s="17" t="str">
        <f aca="false">IF((E109="w"),H109," ")</f>
        <v> </v>
      </c>
      <c r="T109" s="17" t="str">
        <f aca="false">IF((E109="r"),H109," ")</f>
        <v> </v>
      </c>
      <c r="U109" s="17" t="str">
        <f aca="false">IF((E109="p"),H109," ")</f>
        <v> </v>
      </c>
      <c r="V109" s="17" t="str">
        <f aca="false">IF((E109="t"),H109," ")</f>
        <v> </v>
      </c>
      <c r="W109" s="17" t="str">
        <f aca="false">IF((E109="q"),H109," ")</f>
        <v> </v>
      </c>
      <c r="X109" s="17" t="str">
        <f aca="false">IF((E109="m"),H109," ")</f>
        <v> </v>
      </c>
      <c r="Y109" s="17" t="str">
        <f aca="false">IF((E109="u"),H109," ")</f>
        <v> </v>
      </c>
      <c r="Z109" s="17" t="str">
        <f aca="false">IF((E109="a"),H109," ")</f>
        <v> </v>
      </c>
      <c r="AA109" s="17" t="str">
        <f aca="false">IF((E109="g"),H109," ")</f>
        <v> </v>
      </c>
      <c r="AB109" s="17" t="str">
        <f aca="false">IF((E109="h"),H109," ")</f>
        <v> </v>
      </c>
      <c r="AC109" s="30" t="str">
        <f aca="false">IF((E109="v"),H109," ")</f>
        <v> </v>
      </c>
      <c r="AD109" s="30" t="str">
        <f aca="false">IF((E109="n"),H109," ")</f>
        <v> </v>
      </c>
      <c r="AE109" s="17" t="str">
        <f aca="false">IF((E109="f"),H109," ")</f>
        <v> </v>
      </c>
      <c r="AF109" s="17" t="str">
        <f aca="false">IF((E109="l"),H109," ")</f>
        <v> </v>
      </c>
      <c r="AG109" s="17" t="str">
        <f aca="false">IF((E109="y"),H109," ")</f>
        <v> </v>
      </c>
      <c r="AH109" s="17" t="str">
        <f aca="false">IF((E109="z"),H109," ")</f>
        <v> </v>
      </c>
      <c r="AI109" s="17" t="str">
        <f aca="false">IF((E109="fa"),H109," ")</f>
        <v> </v>
      </c>
      <c r="AJ109" s="17" t="str">
        <f aca="false">IF((E109="e"),H109," ")</f>
        <v> </v>
      </c>
    </row>
    <row r="110" customFormat="false" ht="12" hidden="false" customHeight="false" outlineLevel="0" collapsed="false">
      <c r="A110" s="28"/>
      <c r="E110" s="2" t="str">
        <f aca="false">IF((F110&lt;&gt;0),"Enter Letter"," ")</f>
        <v> </v>
      </c>
      <c r="F110" s="30"/>
      <c r="G110" s="6" t="str">
        <f aca="false">IF(F110&lt;&gt;0,F110*G$2/(100+G$2)," ")</f>
        <v> </v>
      </c>
      <c r="H110" s="6" t="str">
        <f aca="false">IF((F110&lt;&gt;0),F110-G110," ")</f>
        <v> </v>
      </c>
      <c r="I110" s="5"/>
      <c r="L110" s="7" t="str">
        <f aca="false">IF(F110&lt;&gt;0,F110-K110," ")</f>
        <v> </v>
      </c>
      <c r="M110" s="8" t="str">
        <f aca="false">IF((F110-K110)&lt;&gt;0,M$1-A110," ")</f>
        <v> </v>
      </c>
      <c r="N110" s="5"/>
      <c r="O110" s="17" t="str">
        <f aca="false">IF((E110="s"),H110," ")</f>
        <v> </v>
      </c>
      <c r="P110" s="17" t="str">
        <f aca="false">IF((E110="c"),H110," ")</f>
        <v> </v>
      </c>
      <c r="Q110" s="17" t="str">
        <f aca="false">IF((E110="o"),H110," ")</f>
        <v> </v>
      </c>
      <c r="R110" s="17" t="str">
        <f aca="false">IF((E110="d"),H110," ")</f>
        <v> </v>
      </c>
      <c r="S110" s="17" t="str">
        <f aca="false">IF((E110="w"),H110," ")</f>
        <v> </v>
      </c>
      <c r="T110" s="17" t="str">
        <f aca="false">IF((E110="r"),H110," ")</f>
        <v> </v>
      </c>
      <c r="U110" s="17" t="str">
        <f aca="false">IF((E110="p"),H110," ")</f>
        <v> </v>
      </c>
      <c r="V110" s="17" t="str">
        <f aca="false">IF((E110="t"),H110," ")</f>
        <v> </v>
      </c>
      <c r="W110" s="17" t="str">
        <f aca="false">IF((E110="q"),H110," ")</f>
        <v> </v>
      </c>
      <c r="X110" s="17" t="str">
        <f aca="false">IF((E110="m"),H110," ")</f>
        <v> </v>
      </c>
      <c r="Y110" s="17" t="str">
        <f aca="false">IF((E110="u"),H110," ")</f>
        <v> </v>
      </c>
      <c r="Z110" s="17" t="str">
        <f aca="false">IF((E110="a"),H110," ")</f>
        <v> </v>
      </c>
      <c r="AA110" s="17" t="str">
        <f aca="false">IF((E110="g"),H110," ")</f>
        <v> </v>
      </c>
      <c r="AB110" s="17" t="str">
        <f aca="false">IF((E110="h"),H110," ")</f>
        <v> </v>
      </c>
      <c r="AC110" s="30" t="str">
        <f aca="false">IF((E110="v"),H110," ")</f>
        <v> </v>
      </c>
      <c r="AD110" s="30" t="str">
        <f aca="false">IF((E110="n"),H110," ")</f>
        <v> </v>
      </c>
      <c r="AE110" s="17" t="str">
        <f aca="false">IF((E110="f"),H110," ")</f>
        <v> </v>
      </c>
      <c r="AF110" s="17" t="str">
        <f aca="false">IF((E110="l"),H110," ")</f>
        <v> </v>
      </c>
      <c r="AG110" s="17" t="str">
        <f aca="false">IF((E110="y"),H110," ")</f>
        <v> </v>
      </c>
      <c r="AH110" s="17" t="str">
        <f aca="false">IF((E110="z"),H110," ")</f>
        <v> </v>
      </c>
      <c r="AI110" s="17" t="str">
        <f aca="false">IF((E110="fa"),H110," ")</f>
        <v> </v>
      </c>
      <c r="AJ110" s="17" t="str">
        <f aca="false">IF((E110="e"),H110," ")</f>
        <v> </v>
      </c>
    </row>
    <row r="111" customFormat="false" ht="12" hidden="false" customHeight="false" outlineLevel="0" collapsed="false">
      <c r="A111" s="28"/>
      <c r="E111" s="2" t="str">
        <f aca="false">IF((F111&lt;&gt;0),"Enter Letter"," ")</f>
        <v> </v>
      </c>
      <c r="F111" s="30"/>
      <c r="G111" s="6" t="str">
        <f aca="false">IF(F111&lt;&gt;0,F111*G$2/(100+G$2)," ")</f>
        <v> </v>
      </c>
      <c r="H111" s="6" t="str">
        <f aca="false">IF((F111&lt;&gt;0),F111-G111," ")</f>
        <v> </v>
      </c>
      <c r="I111" s="5"/>
      <c r="L111" s="7" t="str">
        <f aca="false">IF(F111&lt;&gt;0,F111-K111," ")</f>
        <v> </v>
      </c>
      <c r="M111" s="8" t="str">
        <f aca="false">IF((F111-K111)&lt;&gt;0,M$1-A111," ")</f>
        <v> </v>
      </c>
      <c r="N111" s="5"/>
      <c r="O111" s="17" t="str">
        <f aca="false">IF((E111="s"),H111," ")</f>
        <v> </v>
      </c>
      <c r="P111" s="17" t="str">
        <f aca="false">IF((E111="c"),H111," ")</f>
        <v> </v>
      </c>
      <c r="Q111" s="17" t="str">
        <f aca="false">IF((E111="o"),H111," ")</f>
        <v> </v>
      </c>
      <c r="R111" s="17" t="str">
        <f aca="false">IF((E111="d"),H111," ")</f>
        <v> </v>
      </c>
      <c r="S111" s="17" t="str">
        <f aca="false">IF((E111="w"),H111," ")</f>
        <v> </v>
      </c>
      <c r="T111" s="17" t="str">
        <f aca="false">IF((E111="r"),H111," ")</f>
        <v> </v>
      </c>
      <c r="U111" s="17" t="str">
        <f aca="false">IF((E111="p"),H111," ")</f>
        <v> </v>
      </c>
      <c r="V111" s="17" t="str">
        <f aca="false">IF((E111="t"),H111," ")</f>
        <v> </v>
      </c>
      <c r="W111" s="17" t="str">
        <f aca="false">IF((E111="q"),H111," ")</f>
        <v> </v>
      </c>
      <c r="X111" s="17" t="str">
        <f aca="false">IF((E111="m"),H111," ")</f>
        <v> </v>
      </c>
      <c r="Y111" s="17" t="str">
        <f aca="false">IF((E111="u"),H111," ")</f>
        <v> </v>
      </c>
      <c r="Z111" s="17" t="str">
        <f aca="false">IF((E111="a"),H111," ")</f>
        <v> </v>
      </c>
      <c r="AA111" s="17" t="str">
        <f aca="false">IF((E111="g"),H111," ")</f>
        <v> </v>
      </c>
      <c r="AB111" s="17" t="str">
        <f aca="false">IF((E111="h"),H111," ")</f>
        <v> </v>
      </c>
      <c r="AC111" s="30" t="str">
        <f aca="false">IF((E111="v"),H111," ")</f>
        <v> </v>
      </c>
      <c r="AD111" s="30" t="str">
        <f aca="false">IF((E111="n"),H111," ")</f>
        <v> </v>
      </c>
      <c r="AE111" s="17" t="str">
        <f aca="false">IF((E111="f"),H111," ")</f>
        <v> </v>
      </c>
      <c r="AF111" s="17" t="str">
        <f aca="false">IF((E111="l"),H111," ")</f>
        <v> </v>
      </c>
      <c r="AG111" s="17" t="str">
        <f aca="false">IF((E111="y"),H111," ")</f>
        <v> </v>
      </c>
      <c r="AH111" s="17" t="str">
        <f aca="false">IF((E111="z"),H111," ")</f>
        <v> </v>
      </c>
      <c r="AI111" s="17" t="str">
        <f aca="false">IF((E111="fa"),H111," ")</f>
        <v> </v>
      </c>
      <c r="AJ111" s="17" t="str">
        <f aca="false">IF((E111="e"),H111," ")</f>
        <v> </v>
      </c>
    </row>
    <row r="112" customFormat="false" ht="12" hidden="false" customHeight="false" outlineLevel="0" collapsed="false">
      <c r="A112" s="28"/>
      <c r="E112" s="2" t="str">
        <f aca="false">IF((F112&lt;&gt;0),"Enter Letter"," ")</f>
        <v> </v>
      </c>
      <c r="F112" s="30"/>
      <c r="G112" s="6" t="str">
        <f aca="false">IF(F112&lt;&gt;0,F112*G$2/(100+G$2)," ")</f>
        <v> </v>
      </c>
      <c r="H112" s="6" t="str">
        <f aca="false">IF((F112&lt;&gt;0),F112-G112," ")</f>
        <v> </v>
      </c>
      <c r="I112" s="5"/>
      <c r="L112" s="7" t="str">
        <f aca="false">IF(F112&lt;&gt;0,F112-K112," ")</f>
        <v> </v>
      </c>
      <c r="M112" s="8" t="str">
        <f aca="false">IF((F112-K112)&lt;&gt;0,M$1-A112," ")</f>
        <v> </v>
      </c>
      <c r="N112" s="5"/>
      <c r="O112" s="17" t="str">
        <f aca="false">IF((E112="s"),H112," ")</f>
        <v> </v>
      </c>
      <c r="P112" s="17" t="str">
        <f aca="false">IF((E112="c"),H112," ")</f>
        <v> </v>
      </c>
      <c r="Q112" s="17" t="str">
        <f aca="false">IF((E112="o"),H112," ")</f>
        <v> </v>
      </c>
      <c r="R112" s="17" t="str">
        <f aca="false">IF((E112="d"),H112," ")</f>
        <v> </v>
      </c>
      <c r="S112" s="17" t="str">
        <f aca="false">IF((E112="w"),H112," ")</f>
        <v> </v>
      </c>
      <c r="T112" s="17" t="str">
        <f aca="false">IF((E112="r"),H112," ")</f>
        <v> </v>
      </c>
      <c r="U112" s="17" t="str">
        <f aca="false">IF((E112="p"),H112," ")</f>
        <v> </v>
      </c>
      <c r="V112" s="17" t="str">
        <f aca="false">IF((E112="t"),H112," ")</f>
        <v> </v>
      </c>
      <c r="W112" s="17" t="str">
        <f aca="false">IF((E112="q"),H112," ")</f>
        <v> </v>
      </c>
      <c r="X112" s="17" t="str">
        <f aca="false">IF((E112="m"),H112," ")</f>
        <v> </v>
      </c>
      <c r="Y112" s="17" t="str">
        <f aca="false">IF((E112="u"),H112," ")</f>
        <v> </v>
      </c>
      <c r="Z112" s="17" t="str">
        <f aca="false">IF((E112="a"),H112," ")</f>
        <v> </v>
      </c>
      <c r="AA112" s="17" t="str">
        <f aca="false">IF((E112="g"),H112," ")</f>
        <v> </v>
      </c>
      <c r="AB112" s="17" t="str">
        <f aca="false">IF((E112="h"),H112," ")</f>
        <v> </v>
      </c>
      <c r="AC112" s="30" t="str">
        <f aca="false">IF((E112="v"),H112," ")</f>
        <v> </v>
      </c>
      <c r="AD112" s="30" t="str">
        <f aca="false">IF((E112="n"),H112," ")</f>
        <v> </v>
      </c>
      <c r="AE112" s="17" t="str">
        <f aca="false">IF((E112="f"),H112," ")</f>
        <v> </v>
      </c>
      <c r="AF112" s="17" t="str">
        <f aca="false">IF((E112="l"),H112," ")</f>
        <v> </v>
      </c>
      <c r="AG112" s="17" t="str">
        <f aca="false">IF((E112="y"),H112," ")</f>
        <v> </v>
      </c>
      <c r="AH112" s="17" t="str">
        <f aca="false">IF((E112="z"),H112," ")</f>
        <v> </v>
      </c>
      <c r="AI112" s="17" t="str">
        <f aca="false">IF((E112="fa"),H112," ")</f>
        <v> </v>
      </c>
      <c r="AJ112" s="17" t="str">
        <f aca="false">IF((E112="e"),H112," ")</f>
        <v> </v>
      </c>
    </row>
    <row r="113" customFormat="false" ht="12" hidden="false" customHeight="false" outlineLevel="0" collapsed="false">
      <c r="A113" s="28"/>
      <c r="E113" s="2" t="str">
        <f aca="false">IF((F113&lt;&gt;0),"Enter Letter"," ")</f>
        <v> </v>
      </c>
      <c r="F113" s="30"/>
      <c r="G113" s="6" t="str">
        <f aca="false">IF(F113&lt;&gt;0,F113*G$2/(100+G$2)," ")</f>
        <v> </v>
      </c>
      <c r="H113" s="6" t="str">
        <f aca="false">IF((F113&lt;&gt;0),F113-G113," ")</f>
        <v> </v>
      </c>
      <c r="I113" s="5"/>
      <c r="L113" s="7" t="str">
        <f aca="false">IF(F113&lt;&gt;0,F113-K113," ")</f>
        <v> </v>
      </c>
      <c r="M113" s="8" t="str">
        <f aca="false">IF((F113-K113)&lt;&gt;0,M$1-A113," ")</f>
        <v> </v>
      </c>
      <c r="N113" s="5"/>
      <c r="O113" s="17" t="str">
        <f aca="false">IF((E113="s"),H113," ")</f>
        <v> </v>
      </c>
      <c r="P113" s="17" t="str">
        <f aca="false">IF((E113="c"),H113," ")</f>
        <v> </v>
      </c>
      <c r="Q113" s="17" t="str">
        <f aca="false">IF((E113="o"),H113," ")</f>
        <v> </v>
      </c>
      <c r="R113" s="17" t="str">
        <f aca="false">IF((E113="d"),H113," ")</f>
        <v> </v>
      </c>
      <c r="S113" s="17" t="str">
        <f aca="false">IF((E113="w"),H113," ")</f>
        <v> </v>
      </c>
      <c r="T113" s="17" t="str">
        <f aca="false">IF((E113="r"),H113," ")</f>
        <v> </v>
      </c>
      <c r="U113" s="17" t="str">
        <f aca="false">IF((E113="p"),H113," ")</f>
        <v> </v>
      </c>
      <c r="V113" s="17" t="str">
        <f aca="false">IF((E113="t"),H113," ")</f>
        <v> </v>
      </c>
      <c r="W113" s="17" t="str">
        <f aca="false">IF((E113="q"),H113," ")</f>
        <v> </v>
      </c>
      <c r="X113" s="17" t="str">
        <f aca="false">IF((E113="m"),H113," ")</f>
        <v> </v>
      </c>
      <c r="Y113" s="17" t="str">
        <f aca="false">IF((E113="u"),H113," ")</f>
        <v> </v>
      </c>
      <c r="Z113" s="17" t="str">
        <f aca="false">IF((E113="a"),H113," ")</f>
        <v> </v>
      </c>
      <c r="AA113" s="17" t="str">
        <f aca="false">IF((E113="g"),H113," ")</f>
        <v> </v>
      </c>
      <c r="AB113" s="17" t="str">
        <f aca="false">IF((E113="h"),H113," ")</f>
        <v> </v>
      </c>
      <c r="AC113" s="30" t="str">
        <f aca="false">IF((E113="v"),H113," ")</f>
        <v> </v>
      </c>
      <c r="AD113" s="30" t="str">
        <f aca="false">IF((E113="n"),H113," ")</f>
        <v> </v>
      </c>
      <c r="AE113" s="17" t="str">
        <f aca="false">IF((E113="f"),H113," ")</f>
        <v> </v>
      </c>
      <c r="AF113" s="17" t="str">
        <f aca="false">IF((E113="l"),H113," ")</f>
        <v> </v>
      </c>
      <c r="AG113" s="17" t="str">
        <f aca="false">IF((E113="y"),H113," ")</f>
        <v> </v>
      </c>
      <c r="AH113" s="17" t="str">
        <f aca="false">IF((E113="z"),H113," ")</f>
        <v> </v>
      </c>
      <c r="AI113" s="17" t="str">
        <f aca="false">IF((E113="fa"),H113," ")</f>
        <v> </v>
      </c>
      <c r="AJ113" s="17" t="str">
        <f aca="false">IF((E113="e"),H113," ")</f>
        <v> </v>
      </c>
    </row>
    <row r="114" customFormat="false" ht="12" hidden="false" customHeight="false" outlineLevel="0" collapsed="false">
      <c r="A114" s="28"/>
      <c r="E114" s="2" t="str">
        <f aca="false">IF((F114&lt;&gt;0),"Enter Letter"," ")</f>
        <v> </v>
      </c>
      <c r="F114" s="30"/>
      <c r="G114" s="6" t="str">
        <f aca="false">IF(F114&lt;&gt;0,F114*G$2/(100+G$2)," ")</f>
        <v> </v>
      </c>
      <c r="H114" s="6" t="str">
        <f aca="false">IF((F114&lt;&gt;0),F114-G114," ")</f>
        <v> </v>
      </c>
      <c r="I114" s="5"/>
      <c r="L114" s="7" t="str">
        <f aca="false">IF(F114&lt;&gt;0,F114-K114," ")</f>
        <v> </v>
      </c>
      <c r="M114" s="8" t="str">
        <f aca="false">IF((F114-K114)&lt;&gt;0,M$1-A114," ")</f>
        <v> </v>
      </c>
      <c r="N114" s="5"/>
      <c r="O114" s="17" t="str">
        <f aca="false">IF((E114="s"),H114," ")</f>
        <v> </v>
      </c>
      <c r="P114" s="17" t="str">
        <f aca="false">IF((E114="c"),H114," ")</f>
        <v> </v>
      </c>
      <c r="Q114" s="17" t="str">
        <f aca="false">IF((E114="o"),H114," ")</f>
        <v> </v>
      </c>
      <c r="R114" s="17" t="str">
        <f aca="false">IF((E114="d"),H114," ")</f>
        <v> </v>
      </c>
      <c r="S114" s="17" t="str">
        <f aca="false">IF((E114="w"),H114," ")</f>
        <v> </v>
      </c>
      <c r="T114" s="17" t="str">
        <f aca="false">IF((E114="r"),H114," ")</f>
        <v> </v>
      </c>
      <c r="U114" s="17" t="str">
        <f aca="false">IF((E114="p"),H114," ")</f>
        <v> </v>
      </c>
      <c r="V114" s="17" t="str">
        <f aca="false">IF((E114="t"),H114," ")</f>
        <v> </v>
      </c>
      <c r="W114" s="17" t="str">
        <f aca="false">IF((E114="q"),H114," ")</f>
        <v> </v>
      </c>
      <c r="X114" s="17" t="str">
        <f aca="false">IF((E114="m"),H114," ")</f>
        <v> </v>
      </c>
      <c r="Y114" s="17" t="str">
        <f aca="false">IF((E114="u"),H114," ")</f>
        <v> </v>
      </c>
      <c r="Z114" s="17" t="str">
        <f aca="false">IF((E114="a"),H114," ")</f>
        <v> </v>
      </c>
      <c r="AA114" s="17" t="str">
        <f aca="false">IF((E114="g"),H114," ")</f>
        <v> </v>
      </c>
      <c r="AB114" s="17" t="str">
        <f aca="false">IF((E114="h"),H114," ")</f>
        <v> </v>
      </c>
      <c r="AC114" s="30" t="str">
        <f aca="false">IF((E114="v"),H114," ")</f>
        <v> </v>
      </c>
      <c r="AD114" s="30" t="str">
        <f aca="false">IF((E114="n"),H114," ")</f>
        <v> </v>
      </c>
      <c r="AE114" s="17" t="str">
        <f aca="false">IF((E114="f"),H114," ")</f>
        <v> </v>
      </c>
      <c r="AF114" s="17" t="str">
        <f aca="false">IF((E114="l"),H114," ")</f>
        <v> </v>
      </c>
      <c r="AG114" s="17" t="str">
        <f aca="false">IF((E114="y"),H114," ")</f>
        <v> </v>
      </c>
      <c r="AH114" s="17" t="str">
        <f aca="false">IF((E114="z"),H114," ")</f>
        <v> </v>
      </c>
      <c r="AI114" s="17" t="str">
        <f aca="false">IF((E114="fa"),H114," ")</f>
        <v> </v>
      </c>
      <c r="AJ114" s="17" t="str">
        <f aca="false">IF((E114="e"),H114," ")</f>
        <v> </v>
      </c>
    </row>
    <row r="115" customFormat="false" ht="12" hidden="false" customHeight="false" outlineLevel="0" collapsed="false">
      <c r="A115" s="28"/>
      <c r="E115" s="2" t="str">
        <f aca="false">IF((F115&lt;&gt;0),"Enter Letter"," ")</f>
        <v> </v>
      </c>
      <c r="F115" s="30"/>
      <c r="G115" s="6" t="str">
        <f aca="false">IF(F115&lt;&gt;0,F115*G$2/(100+G$2)," ")</f>
        <v> </v>
      </c>
      <c r="H115" s="6" t="str">
        <f aca="false">IF((F115&lt;&gt;0),F115-G115," ")</f>
        <v> </v>
      </c>
      <c r="I115" s="5"/>
      <c r="L115" s="7" t="str">
        <f aca="false">IF(F115&lt;&gt;0,F115-K115," ")</f>
        <v> </v>
      </c>
      <c r="M115" s="8" t="str">
        <f aca="false">IF((F115-K115)&lt;&gt;0,M$1-A115," ")</f>
        <v> </v>
      </c>
      <c r="N115" s="5"/>
      <c r="O115" s="17" t="str">
        <f aca="false">IF((E115="s"),H115," ")</f>
        <v> </v>
      </c>
      <c r="P115" s="17" t="str">
        <f aca="false">IF((E115="c"),H115," ")</f>
        <v> </v>
      </c>
      <c r="Q115" s="17" t="str">
        <f aca="false">IF((E115="o"),H115," ")</f>
        <v> </v>
      </c>
      <c r="R115" s="17" t="str">
        <f aca="false">IF((E115="d"),H115," ")</f>
        <v> </v>
      </c>
      <c r="S115" s="17" t="str">
        <f aca="false">IF((E115="w"),H115," ")</f>
        <v> </v>
      </c>
      <c r="T115" s="17" t="str">
        <f aca="false">IF((E115="r"),H115," ")</f>
        <v> </v>
      </c>
      <c r="U115" s="17" t="str">
        <f aca="false">IF((E115="p"),H115," ")</f>
        <v> </v>
      </c>
      <c r="V115" s="17" t="str">
        <f aca="false">IF((E115="t"),H115," ")</f>
        <v> </v>
      </c>
      <c r="W115" s="17" t="str">
        <f aca="false">IF((E115="q"),H115," ")</f>
        <v> </v>
      </c>
      <c r="X115" s="17" t="str">
        <f aca="false">IF((E115="m"),H115," ")</f>
        <v> </v>
      </c>
      <c r="Y115" s="17" t="str">
        <f aca="false">IF((E115="u"),H115," ")</f>
        <v> </v>
      </c>
      <c r="Z115" s="17" t="str">
        <f aca="false">IF((E115="a"),H115," ")</f>
        <v> </v>
      </c>
      <c r="AA115" s="17" t="str">
        <f aca="false">IF((E115="g"),H115," ")</f>
        <v> </v>
      </c>
      <c r="AB115" s="17" t="str">
        <f aca="false">IF((E115="h"),H115," ")</f>
        <v> </v>
      </c>
      <c r="AC115" s="30" t="str">
        <f aca="false">IF((E115="v"),H115," ")</f>
        <v> </v>
      </c>
      <c r="AD115" s="30" t="str">
        <f aca="false">IF((E115="n"),H115," ")</f>
        <v> </v>
      </c>
      <c r="AE115" s="17" t="str">
        <f aca="false">IF((E115="f"),H115," ")</f>
        <v> </v>
      </c>
      <c r="AF115" s="17" t="str">
        <f aca="false">IF((E115="l"),H115," ")</f>
        <v> </v>
      </c>
      <c r="AG115" s="17" t="str">
        <f aca="false">IF((E115="y"),H115," ")</f>
        <v> </v>
      </c>
      <c r="AH115" s="17" t="str">
        <f aca="false">IF((E115="z"),H115," ")</f>
        <v> </v>
      </c>
      <c r="AI115" s="17" t="str">
        <f aca="false">IF((E115="fa"),H115," ")</f>
        <v> </v>
      </c>
      <c r="AJ115" s="17" t="str">
        <f aca="false">IF((E115="e"),H115," ")</f>
        <v> </v>
      </c>
    </row>
    <row r="116" customFormat="false" ht="12" hidden="false" customHeight="false" outlineLevel="0" collapsed="false">
      <c r="A116" s="28"/>
      <c r="E116" s="2" t="str">
        <f aca="false">IF((F116&lt;&gt;0),"Enter Letter"," ")</f>
        <v> </v>
      </c>
      <c r="F116" s="30"/>
      <c r="G116" s="6" t="str">
        <f aca="false">IF(F116&lt;&gt;0,F116*G$2/(100+G$2)," ")</f>
        <v> </v>
      </c>
      <c r="H116" s="6" t="str">
        <f aca="false">IF((F116&lt;&gt;0),F116-G116," ")</f>
        <v> </v>
      </c>
      <c r="I116" s="5"/>
      <c r="L116" s="7" t="str">
        <f aca="false">IF(F116&lt;&gt;0,F116-K116," ")</f>
        <v> </v>
      </c>
      <c r="M116" s="8" t="str">
        <f aca="false">IF((F116-K116)&lt;&gt;0,M$1-A116," ")</f>
        <v> </v>
      </c>
      <c r="N116" s="5"/>
      <c r="O116" s="17" t="str">
        <f aca="false">IF((E116="s"),H116," ")</f>
        <v> </v>
      </c>
      <c r="P116" s="17" t="str">
        <f aca="false">IF((E116="c"),H116," ")</f>
        <v> </v>
      </c>
      <c r="Q116" s="17" t="str">
        <f aca="false">IF((E116="o"),H116," ")</f>
        <v> </v>
      </c>
      <c r="R116" s="17" t="str">
        <f aca="false">IF((E116="d"),H116," ")</f>
        <v> </v>
      </c>
      <c r="S116" s="17" t="str">
        <f aca="false">IF((E116="w"),H116," ")</f>
        <v> </v>
      </c>
      <c r="T116" s="17" t="str">
        <f aca="false">IF((E116="r"),H116," ")</f>
        <v> </v>
      </c>
      <c r="U116" s="17" t="str">
        <f aca="false">IF((E116="p"),H116," ")</f>
        <v> </v>
      </c>
      <c r="V116" s="17" t="str">
        <f aca="false">IF((E116="t"),H116," ")</f>
        <v> </v>
      </c>
      <c r="W116" s="17" t="str">
        <f aca="false">IF((E116="q"),H116," ")</f>
        <v> </v>
      </c>
      <c r="X116" s="17" t="str">
        <f aca="false">IF((E116="m"),H116," ")</f>
        <v> </v>
      </c>
      <c r="Y116" s="17" t="str">
        <f aca="false">IF((E116="u"),H116," ")</f>
        <v> </v>
      </c>
      <c r="Z116" s="17" t="str">
        <f aca="false">IF((E116="a"),H116," ")</f>
        <v> </v>
      </c>
      <c r="AA116" s="17" t="str">
        <f aca="false">IF((E116="g"),H116," ")</f>
        <v> </v>
      </c>
      <c r="AB116" s="17" t="str">
        <f aca="false">IF((E116="h"),H116," ")</f>
        <v> </v>
      </c>
      <c r="AC116" s="30" t="str">
        <f aca="false">IF((E116="v"),H116," ")</f>
        <v> </v>
      </c>
      <c r="AD116" s="30" t="str">
        <f aca="false">IF((E116="n"),H116," ")</f>
        <v> </v>
      </c>
      <c r="AE116" s="17" t="str">
        <f aca="false">IF((E116="f"),H116," ")</f>
        <v> </v>
      </c>
      <c r="AF116" s="17" t="str">
        <f aca="false">IF((E116="l"),H116," ")</f>
        <v> </v>
      </c>
      <c r="AG116" s="17" t="str">
        <f aca="false">IF((E116="y"),H116," ")</f>
        <v> </v>
      </c>
      <c r="AH116" s="17" t="str">
        <f aca="false">IF((E116="z"),H116," ")</f>
        <v> </v>
      </c>
      <c r="AI116" s="17" t="str">
        <f aca="false">IF((E116="fa"),H116," ")</f>
        <v> </v>
      </c>
      <c r="AJ116" s="17" t="str">
        <f aca="false">IF((E116="e"),H116," ")</f>
        <v> </v>
      </c>
    </row>
    <row r="117" customFormat="false" ht="12" hidden="false" customHeight="false" outlineLevel="0" collapsed="false">
      <c r="A117" s="28"/>
      <c r="E117" s="2" t="str">
        <f aca="false">IF((F117&lt;&gt;0),"Enter Letter"," ")</f>
        <v> </v>
      </c>
      <c r="F117" s="30"/>
      <c r="G117" s="6" t="str">
        <f aca="false">IF(F117&lt;&gt;0,F117*G$2/(100+G$2)," ")</f>
        <v> </v>
      </c>
      <c r="H117" s="6" t="str">
        <f aca="false">IF((F117&lt;&gt;0),F117-G117," ")</f>
        <v> </v>
      </c>
      <c r="I117" s="5"/>
      <c r="L117" s="7" t="str">
        <f aca="false">IF(F117&lt;&gt;0,F117-K117," ")</f>
        <v> </v>
      </c>
      <c r="M117" s="8" t="str">
        <f aca="false">IF((F117-K117)&lt;&gt;0,M$1-A117," ")</f>
        <v> </v>
      </c>
      <c r="N117" s="5"/>
      <c r="O117" s="17" t="str">
        <f aca="false">IF((E117="s"),H117," ")</f>
        <v> </v>
      </c>
      <c r="P117" s="17" t="str">
        <f aca="false">IF((E117="c"),H117," ")</f>
        <v> </v>
      </c>
      <c r="Q117" s="17" t="str">
        <f aca="false">IF((E117="o"),H117," ")</f>
        <v> </v>
      </c>
      <c r="R117" s="17" t="str">
        <f aca="false">IF((E117="d"),H117," ")</f>
        <v> </v>
      </c>
      <c r="S117" s="17" t="str">
        <f aca="false">IF((E117="w"),H117," ")</f>
        <v> </v>
      </c>
      <c r="T117" s="17" t="str">
        <f aca="false">IF((E117="r"),H117," ")</f>
        <v> </v>
      </c>
      <c r="U117" s="17" t="str">
        <f aca="false">IF((E117="p"),H117," ")</f>
        <v> </v>
      </c>
      <c r="V117" s="17" t="str">
        <f aca="false">IF((E117="t"),H117," ")</f>
        <v> </v>
      </c>
      <c r="W117" s="17" t="str">
        <f aca="false">IF((E117="q"),H117," ")</f>
        <v> </v>
      </c>
      <c r="X117" s="17" t="str">
        <f aca="false">IF((E117="m"),H117," ")</f>
        <v> </v>
      </c>
      <c r="Y117" s="17" t="str">
        <f aca="false">IF((E117="u"),H117," ")</f>
        <v> </v>
      </c>
      <c r="Z117" s="17" t="str">
        <f aca="false">IF((E117="a"),H117," ")</f>
        <v> </v>
      </c>
      <c r="AA117" s="17" t="str">
        <f aca="false">IF((E117="g"),H117," ")</f>
        <v> </v>
      </c>
      <c r="AB117" s="17" t="str">
        <f aca="false">IF((E117="h"),H117," ")</f>
        <v> </v>
      </c>
      <c r="AC117" s="30" t="str">
        <f aca="false">IF((E117="v"),H117," ")</f>
        <v> </v>
      </c>
      <c r="AD117" s="30" t="str">
        <f aca="false">IF((E117="n"),H117," ")</f>
        <v> </v>
      </c>
      <c r="AE117" s="17" t="str">
        <f aca="false">IF((E117="f"),H117," ")</f>
        <v> </v>
      </c>
      <c r="AF117" s="17" t="str">
        <f aca="false">IF((E117="l"),H117," ")</f>
        <v> </v>
      </c>
      <c r="AG117" s="17" t="str">
        <f aca="false">IF((E117="y"),H117," ")</f>
        <v> </v>
      </c>
      <c r="AH117" s="17" t="str">
        <f aca="false">IF((E117="z"),H117," ")</f>
        <v> </v>
      </c>
      <c r="AI117" s="17" t="str">
        <f aca="false">IF((E117="fa"),H117," ")</f>
        <v> </v>
      </c>
      <c r="AJ117" s="17" t="str">
        <f aca="false">IF((E117="e"),H117," ")</f>
        <v> </v>
      </c>
    </row>
    <row r="118" customFormat="false" ht="12" hidden="false" customHeight="false" outlineLevel="0" collapsed="false">
      <c r="A118" s="28"/>
      <c r="E118" s="2" t="str">
        <f aca="false">IF((F118&lt;&gt;0),"Enter Letter"," ")</f>
        <v> </v>
      </c>
      <c r="F118" s="30"/>
      <c r="G118" s="6" t="str">
        <f aca="false">IF(F118&lt;&gt;0,F118*G$2/(100+G$2)," ")</f>
        <v> </v>
      </c>
      <c r="H118" s="6" t="str">
        <f aca="false">IF((F118&lt;&gt;0),F118-G118," ")</f>
        <v> </v>
      </c>
      <c r="I118" s="5"/>
      <c r="L118" s="7" t="str">
        <f aca="false">IF(F118&lt;&gt;0,F118-K118," ")</f>
        <v> </v>
      </c>
      <c r="M118" s="8" t="str">
        <f aca="false">IF((F118-K118)&lt;&gt;0,M$1-A118," ")</f>
        <v> </v>
      </c>
      <c r="N118" s="5"/>
      <c r="O118" s="17" t="str">
        <f aca="false">IF((E118="s"),H118," ")</f>
        <v> </v>
      </c>
      <c r="P118" s="17" t="str">
        <f aca="false">IF((E118="c"),H118," ")</f>
        <v> </v>
      </c>
      <c r="Q118" s="17" t="str">
        <f aca="false">IF((E118="o"),H118," ")</f>
        <v> </v>
      </c>
      <c r="R118" s="17" t="str">
        <f aca="false">IF((E118="d"),H118," ")</f>
        <v> </v>
      </c>
      <c r="S118" s="17" t="str">
        <f aca="false">IF((E118="w"),H118," ")</f>
        <v> </v>
      </c>
      <c r="T118" s="17" t="str">
        <f aca="false">IF((E118="r"),H118," ")</f>
        <v> </v>
      </c>
      <c r="U118" s="17" t="str">
        <f aca="false">IF((E118="p"),H118," ")</f>
        <v> </v>
      </c>
      <c r="V118" s="17" t="str">
        <f aca="false">IF((E118="t"),H118," ")</f>
        <v> </v>
      </c>
      <c r="W118" s="17" t="str">
        <f aca="false">IF((E118="q"),H118," ")</f>
        <v> </v>
      </c>
      <c r="X118" s="17" t="str">
        <f aca="false">IF((E118="m"),H118," ")</f>
        <v> </v>
      </c>
      <c r="Y118" s="17" t="str">
        <f aca="false">IF((E118="u"),H118," ")</f>
        <v> </v>
      </c>
      <c r="Z118" s="17" t="str">
        <f aca="false">IF((E118="a"),H118," ")</f>
        <v> </v>
      </c>
      <c r="AA118" s="17" t="str">
        <f aca="false">IF((E118="g"),H118," ")</f>
        <v> </v>
      </c>
      <c r="AB118" s="17" t="str">
        <f aca="false">IF((E118="h"),H118," ")</f>
        <v> </v>
      </c>
      <c r="AC118" s="30" t="str">
        <f aca="false">IF((E118="v"),H118," ")</f>
        <v> </v>
      </c>
      <c r="AD118" s="30" t="str">
        <f aca="false">IF((E118="n"),H118," ")</f>
        <v> </v>
      </c>
      <c r="AE118" s="17" t="str">
        <f aca="false">IF((E118="f"),H118," ")</f>
        <v> </v>
      </c>
      <c r="AF118" s="17" t="str">
        <f aca="false">IF((E118="l"),H118," ")</f>
        <v> </v>
      </c>
      <c r="AG118" s="17" t="str">
        <f aca="false">IF((E118="y"),H118," ")</f>
        <v> </v>
      </c>
      <c r="AH118" s="17" t="str">
        <f aca="false">IF((E118="z"),H118," ")</f>
        <v> </v>
      </c>
      <c r="AI118" s="17" t="str">
        <f aca="false">IF((E118="fa"),H118," ")</f>
        <v> </v>
      </c>
      <c r="AJ118" s="17" t="str">
        <f aca="false">IF((E118="e"),H118," ")</f>
        <v> </v>
      </c>
    </row>
    <row r="119" customFormat="false" ht="12" hidden="false" customHeight="false" outlineLevel="0" collapsed="false">
      <c r="A119" s="28"/>
      <c r="E119" s="2" t="str">
        <f aca="false">IF((F119&lt;&gt;0),"Enter Letter"," ")</f>
        <v> </v>
      </c>
      <c r="F119" s="30"/>
      <c r="G119" s="6" t="str">
        <f aca="false">IF(F119&lt;&gt;0,F119*G$2/(100+G$2)," ")</f>
        <v> </v>
      </c>
      <c r="H119" s="6" t="str">
        <f aca="false">IF((F119&lt;&gt;0),F119-G119," ")</f>
        <v> </v>
      </c>
      <c r="I119" s="5"/>
      <c r="L119" s="7" t="str">
        <f aca="false">IF(F119&lt;&gt;0,F119-K119," ")</f>
        <v> </v>
      </c>
      <c r="M119" s="8" t="str">
        <f aca="false">IF((F119-K119)&lt;&gt;0,M$1-A119," ")</f>
        <v> </v>
      </c>
      <c r="N119" s="5"/>
      <c r="O119" s="17" t="str">
        <f aca="false">IF((E119="s"),H119," ")</f>
        <v> </v>
      </c>
      <c r="P119" s="17" t="str">
        <f aca="false">IF((E119="c"),H119," ")</f>
        <v> </v>
      </c>
      <c r="Q119" s="17" t="str">
        <f aca="false">IF((E119="o"),H119," ")</f>
        <v> </v>
      </c>
      <c r="R119" s="17" t="str">
        <f aca="false">IF((E119="d"),H119," ")</f>
        <v> </v>
      </c>
      <c r="S119" s="17" t="str">
        <f aca="false">IF((E119="w"),H119," ")</f>
        <v> </v>
      </c>
      <c r="T119" s="17" t="str">
        <f aca="false">IF((E119="r"),H119," ")</f>
        <v> </v>
      </c>
      <c r="U119" s="17" t="str">
        <f aca="false">IF((E119="p"),H119," ")</f>
        <v> </v>
      </c>
      <c r="V119" s="17" t="str">
        <f aca="false">IF((E119="t"),H119," ")</f>
        <v> </v>
      </c>
      <c r="W119" s="17" t="str">
        <f aca="false">IF((E119="q"),H119," ")</f>
        <v> </v>
      </c>
      <c r="X119" s="17" t="str">
        <f aca="false">IF((E119="m"),H119," ")</f>
        <v> </v>
      </c>
      <c r="Y119" s="17" t="str">
        <f aca="false">IF((E119="u"),H119," ")</f>
        <v> </v>
      </c>
      <c r="Z119" s="17" t="str">
        <f aca="false">IF((E119="a"),H119," ")</f>
        <v> </v>
      </c>
      <c r="AA119" s="17" t="str">
        <f aca="false">IF((E119="g"),H119," ")</f>
        <v> </v>
      </c>
      <c r="AB119" s="17" t="str">
        <f aca="false">IF((E119="h"),H119," ")</f>
        <v> </v>
      </c>
      <c r="AC119" s="30" t="str">
        <f aca="false">IF((E119="v"),H119," ")</f>
        <v> </v>
      </c>
      <c r="AD119" s="30" t="str">
        <f aca="false">IF((E119="n"),H119," ")</f>
        <v> </v>
      </c>
      <c r="AE119" s="17" t="str">
        <f aca="false">IF((E119="f"),H119," ")</f>
        <v> </v>
      </c>
      <c r="AF119" s="17" t="str">
        <f aca="false">IF((E119="l"),H119," ")</f>
        <v> </v>
      </c>
      <c r="AG119" s="17" t="str">
        <f aca="false">IF((E119="y"),H119," ")</f>
        <v> </v>
      </c>
      <c r="AH119" s="17" t="str">
        <f aca="false">IF((E119="z"),H119," ")</f>
        <v> </v>
      </c>
      <c r="AI119" s="17" t="str">
        <f aca="false">IF((E119="fa"),H119," ")</f>
        <v> </v>
      </c>
      <c r="AJ119" s="17" t="str">
        <f aca="false">IF((E119="e"),H119," ")</f>
        <v> </v>
      </c>
    </row>
    <row r="120" customFormat="false" ht="12" hidden="false" customHeight="false" outlineLevel="0" collapsed="false">
      <c r="A120" s="28"/>
      <c r="E120" s="2" t="str">
        <f aca="false">IF((F120&lt;&gt;0),"Enter Letter"," ")</f>
        <v> </v>
      </c>
      <c r="F120" s="30"/>
      <c r="G120" s="6" t="str">
        <f aca="false">IF(F120&lt;&gt;0,F120*G$2/(100+G$2)," ")</f>
        <v> </v>
      </c>
      <c r="H120" s="6" t="str">
        <f aca="false">IF((F120&lt;&gt;0),F120-G120," ")</f>
        <v> </v>
      </c>
      <c r="I120" s="5"/>
      <c r="L120" s="7" t="str">
        <f aca="false">IF(F120&lt;&gt;0,F120-K120," ")</f>
        <v> </v>
      </c>
      <c r="M120" s="8" t="str">
        <f aca="false">IF((F120-K120)&lt;&gt;0,M$1-A120," ")</f>
        <v> </v>
      </c>
      <c r="N120" s="5"/>
      <c r="O120" s="17" t="str">
        <f aca="false">IF((E120="s"),H120," ")</f>
        <v> </v>
      </c>
      <c r="P120" s="17" t="str">
        <f aca="false">IF((E120="c"),H120," ")</f>
        <v> </v>
      </c>
      <c r="Q120" s="17" t="str">
        <f aca="false">IF((E120="o"),H120," ")</f>
        <v> </v>
      </c>
      <c r="R120" s="17" t="str">
        <f aca="false">IF((E120="d"),H120," ")</f>
        <v> </v>
      </c>
      <c r="S120" s="17" t="str">
        <f aca="false">IF((E120="w"),H120," ")</f>
        <v> </v>
      </c>
      <c r="T120" s="17" t="str">
        <f aca="false">IF((E120="r"),H120," ")</f>
        <v> </v>
      </c>
      <c r="U120" s="17" t="str">
        <f aca="false">IF((E120="p"),H120," ")</f>
        <v> </v>
      </c>
      <c r="V120" s="17" t="str">
        <f aca="false">IF((E120="t"),H120," ")</f>
        <v> </v>
      </c>
      <c r="W120" s="17" t="str">
        <f aca="false">IF((E120="q"),H120," ")</f>
        <v> </v>
      </c>
      <c r="X120" s="17" t="str">
        <f aca="false">IF((E120="m"),H120," ")</f>
        <v> </v>
      </c>
      <c r="Y120" s="17" t="str">
        <f aca="false">IF((E120="u"),H120," ")</f>
        <v> </v>
      </c>
      <c r="Z120" s="17" t="str">
        <f aca="false">IF((E120="a"),H120," ")</f>
        <v> </v>
      </c>
      <c r="AA120" s="17" t="str">
        <f aca="false">IF((E120="g"),H120," ")</f>
        <v> </v>
      </c>
      <c r="AB120" s="17" t="str">
        <f aca="false">IF((E120="h"),H120," ")</f>
        <v> </v>
      </c>
      <c r="AC120" s="30" t="str">
        <f aca="false">IF((E120="v"),H120," ")</f>
        <v> </v>
      </c>
      <c r="AD120" s="30" t="str">
        <f aca="false">IF((E120="n"),H120," ")</f>
        <v> </v>
      </c>
      <c r="AE120" s="17" t="str">
        <f aca="false">IF((E120="f"),H120," ")</f>
        <v> </v>
      </c>
      <c r="AF120" s="17" t="str">
        <f aca="false">IF((E120="l"),H120," ")</f>
        <v> </v>
      </c>
      <c r="AG120" s="17" t="str">
        <f aca="false">IF((E120="y"),H120," ")</f>
        <v> </v>
      </c>
      <c r="AH120" s="17" t="str">
        <f aca="false">IF((E120="z"),H120," ")</f>
        <v> </v>
      </c>
      <c r="AI120" s="17" t="str">
        <f aca="false">IF((E120="fa"),H120," ")</f>
        <v> </v>
      </c>
      <c r="AJ120" s="17" t="str">
        <f aca="false">IF((E120="e"),H120," ")</f>
        <v> </v>
      </c>
    </row>
    <row r="121" customFormat="false" ht="12" hidden="false" customHeight="false" outlineLevel="0" collapsed="false">
      <c r="A121" s="28"/>
      <c r="E121" s="2" t="str">
        <f aca="false">IF((F121&lt;&gt;0),"Enter Letter"," ")</f>
        <v> </v>
      </c>
      <c r="F121" s="30"/>
      <c r="G121" s="6" t="str">
        <f aca="false">IF(F121&lt;&gt;0,F121*G$2/(100+G$2)," ")</f>
        <v> </v>
      </c>
      <c r="H121" s="6" t="str">
        <f aca="false">IF((F121&lt;&gt;0),F121-G121," ")</f>
        <v> </v>
      </c>
      <c r="I121" s="5"/>
      <c r="L121" s="7" t="str">
        <f aca="false">IF(F121&lt;&gt;0,F121-K121," ")</f>
        <v> </v>
      </c>
      <c r="M121" s="8" t="str">
        <f aca="false">IF((F121-K121)&lt;&gt;0,M$1-A121," ")</f>
        <v> </v>
      </c>
      <c r="N121" s="5"/>
      <c r="O121" s="17" t="str">
        <f aca="false">IF((E121="s"),H121," ")</f>
        <v> </v>
      </c>
      <c r="P121" s="17" t="str">
        <f aca="false">IF((E121="c"),H121," ")</f>
        <v> </v>
      </c>
      <c r="Q121" s="17" t="str">
        <f aca="false">IF((E121="o"),H121," ")</f>
        <v> </v>
      </c>
      <c r="R121" s="17" t="str">
        <f aca="false">IF((E121="d"),H121," ")</f>
        <v> </v>
      </c>
      <c r="S121" s="17" t="str">
        <f aca="false">IF((E121="w"),H121," ")</f>
        <v> </v>
      </c>
      <c r="T121" s="17" t="str">
        <f aca="false">IF((E121="r"),H121," ")</f>
        <v> </v>
      </c>
      <c r="U121" s="17" t="str">
        <f aca="false">IF((E121="p"),H121," ")</f>
        <v> </v>
      </c>
      <c r="V121" s="17" t="str">
        <f aca="false">IF((E121="t"),H121," ")</f>
        <v> </v>
      </c>
      <c r="W121" s="17" t="str">
        <f aca="false">IF((E121="q"),H121," ")</f>
        <v> </v>
      </c>
      <c r="X121" s="17" t="str">
        <f aca="false">IF((E121="m"),H121," ")</f>
        <v> </v>
      </c>
      <c r="Y121" s="17" t="str">
        <f aca="false">IF((E121="u"),H121," ")</f>
        <v> </v>
      </c>
      <c r="Z121" s="17" t="str">
        <f aca="false">IF((E121="a"),H121," ")</f>
        <v> </v>
      </c>
      <c r="AA121" s="17" t="str">
        <f aca="false">IF((E121="g"),H121," ")</f>
        <v> </v>
      </c>
      <c r="AB121" s="17" t="str">
        <f aca="false">IF((E121="h"),H121," ")</f>
        <v> </v>
      </c>
      <c r="AC121" s="30" t="str">
        <f aca="false">IF((E121="v"),H121," ")</f>
        <v> </v>
      </c>
      <c r="AD121" s="30" t="str">
        <f aca="false">IF((E121="n"),H121," ")</f>
        <v> </v>
      </c>
      <c r="AE121" s="17" t="str">
        <f aca="false">IF((E121="f"),H121," ")</f>
        <v> </v>
      </c>
      <c r="AF121" s="17" t="str">
        <f aca="false">IF((E121="l"),H121," ")</f>
        <v> </v>
      </c>
      <c r="AG121" s="17" t="str">
        <f aca="false">IF((E121="y"),H121," ")</f>
        <v> </v>
      </c>
      <c r="AH121" s="17" t="str">
        <f aca="false">IF((E121="z"),H121," ")</f>
        <v> </v>
      </c>
      <c r="AI121" s="17" t="str">
        <f aca="false">IF((E121="fa"),H121," ")</f>
        <v> </v>
      </c>
      <c r="AJ121" s="17" t="str">
        <f aca="false">IF((E121="e"),H121," ")</f>
        <v> </v>
      </c>
    </row>
    <row r="122" customFormat="false" ht="12" hidden="false" customHeight="false" outlineLevel="0" collapsed="false">
      <c r="A122" s="28"/>
      <c r="E122" s="2" t="str">
        <f aca="false">IF((F122&lt;&gt;0),"Enter Letter"," ")</f>
        <v> </v>
      </c>
      <c r="F122" s="30"/>
      <c r="G122" s="6" t="str">
        <f aca="false">IF(F122&lt;&gt;0,F122*G$2/(100+G$2)," ")</f>
        <v> </v>
      </c>
      <c r="H122" s="6" t="str">
        <f aca="false">IF((F122&lt;&gt;0),F122-G122," ")</f>
        <v> </v>
      </c>
      <c r="I122" s="5"/>
      <c r="L122" s="7" t="str">
        <f aca="false">IF(F122&lt;&gt;0,F122-K122," ")</f>
        <v> </v>
      </c>
      <c r="M122" s="8" t="str">
        <f aca="false">IF((F122-K122)&lt;&gt;0,M$1-A122," ")</f>
        <v> </v>
      </c>
      <c r="N122" s="5"/>
      <c r="O122" s="17" t="str">
        <f aca="false">IF((E122="s"),H122," ")</f>
        <v> </v>
      </c>
      <c r="P122" s="17" t="str">
        <f aca="false">IF((E122="c"),H122," ")</f>
        <v> </v>
      </c>
      <c r="Q122" s="17" t="str">
        <f aca="false">IF((E122="o"),H122," ")</f>
        <v> </v>
      </c>
      <c r="R122" s="17" t="str">
        <f aca="false">IF((E122="d"),H122," ")</f>
        <v> </v>
      </c>
      <c r="S122" s="17" t="str">
        <f aca="false">IF((E122="w"),H122," ")</f>
        <v> </v>
      </c>
      <c r="T122" s="17" t="str">
        <f aca="false">IF((E122="r"),H122," ")</f>
        <v> </v>
      </c>
      <c r="U122" s="17" t="str">
        <f aca="false">IF((E122="p"),H122," ")</f>
        <v> </v>
      </c>
      <c r="V122" s="17" t="str">
        <f aca="false">IF((E122="t"),H122," ")</f>
        <v> </v>
      </c>
      <c r="W122" s="17" t="str">
        <f aca="false">IF((E122="q"),H122," ")</f>
        <v> </v>
      </c>
      <c r="X122" s="17" t="str">
        <f aca="false">IF((E122="m"),H122," ")</f>
        <v> </v>
      </c>
      <c r="Y122" s="17" t="str">
        <f aca="false">IF((E122="u"),H122," ")</f>
        <v> </v>
      </c>
      <c r="Z122" s="17" t="str">
        <f aca="false">IF((E122="a"),H122," ")</f>
        <v> </v>
      </c>
      <c r="AA122" s="17" t="str">
        <f aca="false">IF((E122="g"),H122," ")</f>
        <v> </v>
      </c>
      <c r="AB122" s="17" t="str">
        <f aca="false">IF((E122="h"),H122," ")</f>
        <v> </v>
      </c>
      <c r="AC122" s="30" t="str">
        <f aca="false">IF((E122="v"),H122," ")</f>
        <v> </v>
      </c>
      <c r="AD122" s="30" t="str">
        <f aca="false">IF((E122="n"),H122," ")</f>
        <v> </v>
      </c>
      <c r="AE122" s="17" t="str">
        <f aca="false">IF((E122="f"),H122," ")</f>
        <v> </v>
      </c>
      <c r="AF122" s="17" t="str">
        <f aca="false">IF((E122="l"),H122," ")</f>
        <v> </v>
      </c>
      <c r="AG122" s="17" t="str">
        <f aca="false">IF((E122="y"),H122," ")</f>
        <v> </v>
      </c>
      <c r="AH122" s="17" t="str">
        <f aca="false">IF((E122="z"),H122," ")</f>
        <v> </v>
      </c>
      <c r="AI122" s="17" t="str">
        <f aca="false">IF((E122="fa"),H122," ")</f>
        <v> </v>
      </c>
      <c r="AJ122" s="17" t="str">
        <f aca="false">IF((E122="e"),H122," ")</f>
        <v> </v>
      </c>
    </row>
    <row r="123" customFormat="false" ht="12" hidden="false" customHeight="false" outlineLevel="0" collapsed="false">
      <c r="A123" s="28"/>
      <c r="E123" s="2" t="str">
        <f aca="false">IF((F123&lt;&gt;0),"Enter Letter"," ")</f>
        <v> </v>
      </c>
      <c r="F123" s="30"/>
      <c r="G123" s="6" t="str">
        <f aca="false">IF(F123&lt;&gt;0,F123*G$2/(100+G$2)," ")</f>
        <v> </v>
      </c>
      <c r="H123" s="6" t="str">
        <f aca="false">IF((F123&lt;&gt;0),F123-G123," ")</f>
        <v> </v>
      </c>
      <c r="I123" s="5"/>
      <c r="L123" s="7" t="str">
        <f aca="false">IF(F123&lt;&gt;0,F123-K123," ")</f>
        <v> </v>
      </c>
      <c r="M123" s="8" t="str">
        <f aca="false">IF((F123-K123)&lt;&gt;0,M$1-A123," ")</f>
        <v> </v>
      </c>
      <c r="N123" s="5"/>
      <c r="O123" s="17" t="str">
        <f aca="false">IF((E123="s"),H123," ")</f>
        <v> </v>
      </c>
      <c r="P123" s="17" t="str">
        <f aca="false">IF((E123="c"),H123," ")</f>
        <v> </v>
      </c>
      <c r="Q123" s="17" t="str">
        <f aca="false">IF((E123="o"),H123," ")</f>
        <v> </v>
      </c>
      <c r="R123" s="17" t="str">
        <f aca="false">IF((E123="d"),H123," ")</f>
        <v> </v>
      </c>
      <c r="S123" s="17" t="str">
        <f aca="false">IF((E123="w"),H123," ")</f>
        <v> </v>
      </c>
      <c r="T123" s="17" t="str">
        <f aca="false">IF((E123="r"),H123," ")</f>
        <v> </v>
      </c>
      <c r="U123" s="17" t="str">
        <f aca="false">IF((E123="p"),H123," ")</f>
        <v> </v>
      </c>
      <c r="V123" s="17" t="str">
        <f aca="false">IF((E123="t"),H123," ")</f>
        <v> </v>
      </c>
      <c r="W123" s="17" t="str">
        <f aca="false">IF((E123="q"),H123," ")</f>
        <v> </v>
      </c>
      <c r="X123" s="17" t="str">
        <f aca="false">IF((E123="m"),H123," ")</f>
        <v> </v>
      </c>
      <c r="Y123" s="17" t="str">
        <f aca="false">IF((E123="u"),H123," ")</f>
        <v> </v>
      </c>
      <c r="Z123" s="17" t="str">
        <f aca="false">IF((E123="a"),H123," ")</f>
        <v> </v>
      </c>
      <c r="AA123" s="17" t="str">
        <f aca="false">IF((E123="g"),H123," ")</f>
        <v> </v>
      </c>
      <c r="AB123" s="17" t="str">
        <f aca="false">IF((E123="h"),H123," ")</f>
        <v> </v>
      </c>
      <c r="AC123" s="30" t="str">
        <f aca="false">IF((E123="v"),H123," ")</f>
        <v> </v>
      </c>
      <c r="AD123" s="30" t="str">
        <f aca="false">IF((E123="n"),H123," ")</f>
        <v> </v>
      </c>
      <c r="AE123" s="17" t="str">
        <f aca="false">IF((E123="f"),H123," ")</f>
        <v> </v>
      </c>
      <c r="AF123" s="17" t="str">
        <f aca="false">IF((E123="l"),H123," ")</f>
        <v> </v>
      </c>
      <c r="AG123" s="17" t="str">
        <f aca="false">IF((E123="y"),H123," ")</f>
        <v> </v>
      </c>
      <c r="AH123" s="17" t="str">
        <f aca="false">IF((E123="z"),H123," ")</f>
        <v> </v>
      </c>
      <c r="AI123" s="17" t="str">
        <f aca="false">IF((E123="fa"),H123," ")</f>
        <v> </v>
      </c>
      <c r="AJ123" s="17" t="str">
        <f aca="false">IF((E123="e"),H123," ")</f>
        <v> </v>
      </c>
    </row>
    <row r="124" customFormat="false" ht="12" hidden="false" customHeight="false" outlineLevel="0" collapsed="false">
      <c r="A124" s="28"/>
      <c r="E124" s="2" t="str">
        <f aca="false">IF((F124&lt;&gt;0),"Enter Letter"," ")</f>
        <v> </v>
      </c>
      <c r="F124" s="30"/>
      <c r="G124" s="6" t="str">
        <f aca="false">IF(F124&lt;&gt;0,F124*G$2/(100+G$2)," ")</f>
        <v> </v>
      </c>
      <c r="H124" s="6" t="str">
        <f aca="false">IF((F124&lt;&gt;0),F124-G124," ")</f>
        <v> </v>
      </c>
      <c r="I124" s="5"/>
      <c r="L124" s="7" t="str">
        <f aca="false">IF(F124&lt;&gt;0,F124-K124," ")</f>
        <v> </v>
      </c>
      <c r="M124" s="8" t="str">
        <f aca="false">IF((F124-K124)&lt;&gt;0,M$1-A124," ")</f>
        <v> </v>
      </c>
      <c r="N124" s="5"/>
      <c r="O124" s="17" t="str">
        <f aca="false">IF((E124="s"),H124," ")</f>
        <v> </v>
      </c>
      <c r="P124" s="17" t="str">
        <f aca="false">IF((E124="c"),H124," ")</f>
        <v> </v>
      </c>
      <c r="Q124" s="17" t="str">
        <f aca="false">IF((E124="o"),H124," ")</f>
        <v> </v>
      </c>
      <c r="R124" s="17" t="str">
        <f aca="false">IF((E124="d"),H124," ")</f>
        <v> </v>
      </c>
      <c r="S124" s="17" t="str">
        <f aca="false">IF((E124="w"),H124," ")</f>
        <v> </v>
      </c>
      <c r="T124" s="17" t="str">
        <f aca="false">IF((E124="r"),H124," ")</f>
        <v> </v>
      </c>
      <c r="U124" s="17" t="str">
        <f aca="false">IF((E124="p"),H124," ")</f>
        <v> </v>
      </c>
      <c r="V124" s="17" t="str">
        <f aca="false">IF((E124="t"),H124," ")</f>
        <v> </v>
      </c>
      <c r="W124" s="17" t="str">
        <f aca="false">IF((E124="q"),H124," ")</f>
        <v> </v>
      </c>
      <c r="X124" s="17" t="str">
        <f aca="false">IF((E124="m"),H124," ")</f>
        <v> </v>
      </c>
      <c r="Y124" s="17" t="str">
        <f aca="false">IF((E124="u"),H124," ")</f>
        <v> </v>
      </c>
      <c r="Z124" s="17" t="str">
        <f aca="false">IF((E124="a"),H124," ")</f>
        <v> </v>
      </c>
      <c r="AA124" s="17" t="str">
        <f aca="false">IF((E124="g"),H124," ")</f>
        <v> </v>
      </c>
      <c r="AB124" s="17" t="str">
        <f aca="false">IF((E124="h"),H124," ")</f>
        <v> </v>
      </c>
      <c r="AC124" s="30" t="str">
        <f aca="false">IF((E124="v"),H124," ")</f>
        <v> </v>
      </c>
      <c r="AD124" s="30" t="str">
        <f aca="false">IF((E124="n"),H124," ")</f>
        <v> </v>
      </c>
      <c r="AE124" s="17" t="str">
        <f aca="false">IF((E124="f"),H124," ")</f>
        <v> </v>
      </c>
      <c r="AF124" s="17" t="str">
        <f aca="false">IF((E124="l"),H124," ")</f>
        <v> </v>
      </c>
      <c r="AG124" s="17" t="str">
        <f aca="false">IF((E124="y"),H124," ")</f>
        <v> </v>
      </c>
      <c r="AH124" s="17" t="str">
        <f aca="false">IF((E124="z"),H124," ")</f>
        <v> </v>
      </c>
      <c r="AI124" s="17" t="str">
        <f aca="false">IF((E124="fa"),H124," ")</f>
        <v> </v>
      </c>
      <c r="AJ124" s="17" t="str">
        <f aca="false">IF((E124="e"),H124," ")</f>
        <v> </v>
      </c>
    </row>
    <row r="125" customFormat="false" ht="12" hidden="false" customHeight="false" outlineLevel="0" collapsed="false">
      <c r="A125" s="28"/>
      <c r="E125" s="2" t="str">
        <f aca="false">IF((F125&lt;&gt;0),"Enter Letter"," ")</f>
        <v> </v>
      </c>
      <c r="F125" s="30"/>
      <c r="G125" s="6" t="str">
        <f aca="false">IF(F125&lt;&gt;0,F125*G$2/(100+G$2)," ")</f>
        <v> </v>
      </c>
      <c r="H125" s="6" t="str">
        <f aca="false">IF((F125&lt;&gt;0),F125-G125," ")</f>
        <v> </v>
      </c>
      <c r="I125" s="5"/>
      <c r="L125" s="7" t="str">
        <f aca="false">IF(F125&lt;&gt;0,F125-K125," ")</f>
        <v> </v>
      </c>
      <c r="M125" s="8" t="str">
        <f aca="false">IF((F125-K125)&lt;&gt;0,M$1-A125," ")</f>
        <v> </v>
      </c>
      <c r="N125" s="5"/>
      <c r="O125" s="17" t="str">
        <f aca="false">IF((E125="s"),H125," ")</f>
        <v> </v>
      </c>
      <c r="P125" s="17" t="str">
        <f aca="false">IF((E125="c"),H125," ")</f>
        <v> </v>
      </c>
      <c r="Q125" s="17" t="str">
        <f aca="false">IF((E125="o"),H125," ")</f>
        <v> </v>
      </c>
      <c r="R125" s="17" t="str">
        <f aca="false">IF((E125="d"),H125," ")</f>
        <v> </v>
      </c>
      <c r="S125" s="17" t="str">
        <f aca="false">IF((E125="w"),H125," ")</f>
        <v> </v>
      </c>
      <c r="T125" s="17" t="str">
        <f aca="false">IF((E125="r"),H125," ")</f>
        <v> </v>
      </c>
      <c r="U125" s="17" t="str">
        <f aca="false">IF((E125="p"),H125," ")</f>
        <v> </v>
      </c>
      <c r="V125" s="17" t="str">
        <f aca="false">IF((E125="t"),H125," ")</f>
        <v> </v>
      </c>
      <c r="W125" s="17" t="str">
        <f aca="false">IF((E125="q"),H125," ")</f>
        <v> </v>
      </c>
      <c r="X125" s="17" t="str">
        <f aca="false">IF((E125="m"),H125," ")</f>
        <v> </v>
      </c>
      <c r="Y125" s="17" t="str">
        <f aca="false">IF((E125="u"),H125," ")</f>
        <v> </v>
      </c>
      <c r="Z125" s="17" t="str">
        <f aca="false">IF((E125="a"),H125," ")</f>
        <v> </v>
      </c>
      <c r="AA125" s="17" t="str">
        <f aca="false">IF((E125="g"),H125," ")</f>
        <v> </v>
      </c>
      <c r="AB125" s="17" t="str">
        <f aca="false">IF((E125="h"),H125," ")</f>
        <v> </v>
      </c>
      <c r="AC125" s="30" t="str">
        <f aca="false">IF((E125="v"),H125," ")</f>
        <v> </v>
      </c>
      <c r="AD125" s="30" t="str">
        <f aca="false">IF((E125="n"),H125," ")</f>
        <v> </v>
      </c>
      <c r="AE125" s="17" t="str">
        <f aca="false">IF((E125="f"),H125," ")</f>
        <v> </v>
      </c>
      <c r="AF125" s="17" t="str">
        <f aca="false">IF((E125="l"),H125," ")</f>
        <v> </v>
      </c>
      <c r="AG125" s="17" t="str">
        <f aca="false">IF((E125="y"),H125," ")</f>
        <v> </v>
      </c>
      <c r="AH125" s="17" t="str">
        <f aca="false">IF((E125="z"),H125," ")</f>
        <v> </v>
      </c>
      <c r="AI125" s="17" t="str">
        <f aca="false">IF((E125="fa"),H125," ")</f>
        <v> </v>
      </c>
      <c r="AJ125" s="17" t="str">
        <f aca="false">IF((E125="e"),H125," ")</f>
        <v> </v>
      </c>
    </row>
    <row r="126" customFormat="false" ht="12" hidden="false" customHeight="false" outlineLevel="0" collapsed="false">
      <c r="A126" s="28"/>
      <c r="E126" s="2" t="str">
        <f aca="false">IF((F126&lt;&gt;0),"Enter Letter"," ")</f>
        <v> </v>
      </c>
      <c r="F126" s="30"/>
      <c r="G126" s="6" t="str">
        <f aca="false">IF(F126&lt;&gt;0,F126*G$2/(100+G$2)," ")</f>
        <v> </v>
      </c>
      <c r="H126" s="6" t="str">
        <f aca="false">IF((F126&lt;&gt;0),F126-G126," ")</f>
        <v> </v>
      </c>
      <c r="I126" s="5"/>
      <c r="L126" s="7" t="str">
        <f aca="false">IF(F126&lt;&gt;0,F126-K126," ")</f>
        <v> </v>
      </c>
      <c r="M126" s="8" t="str">
        <f aca="false">IF((F126-K126)&lt;&gt;0,M$1-A126," ")</f>
        <v> </v>
      </c>
      <c r="N126" s="5"/>
      <c r="O126" s="17" t="str">
        <f aca="false">IF((E126="s"),H126," ")</f>
        <v> </v>
      </c>
      <c r="P126" s="17" t="str">
        <f aca="false">IF((E126="c"),H126," ")</f>
        <v> </v>
      </c>
      <c r="Q126" s="17" t="str">
        <f aca="false">IF((E126="o"),H126," ")</f>
        <v> </v>
      </c>
      <c r="R126" s="17" t="str">
        <f aca="false">IF((E126="d"),H126," ")</f>
        <v> </v>
      </c>
      <c r="S126" s="17" t="str">
        <f aca="false">IF((E126="w"),H126," ")</f>
        <v> </v>
      </c>
      <c r="T126" s="17" t="str">
        <f aca="false">IF((E126="r"),H126," ")</f>
        <v> </v>
      </c>
      <c r="U126" s="17" t="str">
        <f aca="false">IF((E126="p"),H126," ")</f>
        <v> </v>
      </c>
      <c r="V126" s="17" t="str">
        <f aca="false">IF((E126="t"),H126," ")</f>
        <v> </v>
      </c>
      <c r="W126" s="17" t="str">
        <f aca="false">IF((E126="q"),H126," ")</f>
        <v> </v>
      </c>
      <c r="X126" s="17" t="str">
        <f aca="false">IF((E126="m"),H126," ")</f>
        <v> </v>
      </c>
      <c r="Y126" s="17" t="str">
        <f aca="false">IF((E126="u"),H126," ")</f>
        <v> </v>
      </c>
      <c r="Z126" s="17" t="str">
        <f aca="false">IF((E126="a"),H126," ")</f>
        <v> </v>
      </c>
      <c r="AA126" s="17" t="str">
        <f aca="false">IF((E126="g"),H126," ")</f>
        <v> </v>
      </c>
      <c r="AB126" s="17" t="str">
        <f aca="false">IF((E126="h"),H126," ")</f>
        <v> </v>
      </c>
      <c r="AC126" s="30" t="str">
        <f aca="false">IF((E126="v"),H126," ")</f>
        <v> </v>
      </c>
      <c r="AD126" s="30" t="str">
        <f aca="false">IF((E126="n"),H126," ")</f>
        <v> </v>
      </c>
      <c r="AE126" s="17" t="str">
        <f aca="false">IF((E126="f"),H126," ")</f>
        <v> </v>
      </c>
      <c r="AF126" s="17" t="str">
        <f aca="false">IF((E126="l"),H126," ")</f>
        <v> </v>
      </c>
      <c r="AG126" s="17" t="str">
        <f aca="false">IF((E126="y"),H126," ")</f>
        <v> </v>
      </c>
      <c r="AH126" s="17" t="str">
        <f aca="false">IF((E126="z"),H126," ")</f>
        <v> </v>
      </c>
      <c r="AI126" s="17" t="str">
        <f aca="false">IF((E126="fa"),H126," ")</f>
        <v> </v>
      </c>
      <c r="AJ126" s="17" t="str">
        <f aca="false">IF((E126="e"),H126," ")</f>
        <v> </v>
      </c>
    </row>
    <row r="127" customFormat="false" ht="12" hidden="false" customHeight="false" outlineLevel="0" collapsed="false">
      <c r="A127" s="28"/>
      <c r="E127" s="2" t="str">
        <f aca="false">IF((F127&lt;&gt;0),"Enter Letter"," ")</f>
        <v> </v>
      </c>
      <c r="F127" s="30"/>
      <c r="G127" s="6" t="str">
        <f aca="false">IF(F127&lt;&gt;0,F127*G$2/(100+G$2)," ")</f>
        <v> </v>
      </c>
      <c r="H127" s="6" t="str">
        <f aca="false">IF((F127&lt;&gt;0),F127-G127," ")</f>
        <v> </v>
      </c>
      <c r="I127" s="5"/>
      <c r="L127" s="7" t="str">
        <f aca="false">IF(F127&lt;&gt;0,F127-K127," ")</f>
        <v> </v>
      </c>
      <c r="M127" s="8" t="str">
        <f aca="false">IF((F127-K127)&lt;&gt;0,M$1-A127," ")</f>
        <v> </v>
      </c>
      <c r="N127" s="5"/>
      <c r="O127" s="17" t="str">
        <f aca="false">IF((E127="s"),H127," ")</f>
        <v> </v>
      </c>
      <c r="P127" s="17" t="str">
        <f aca="false">IF((E127="c"),H127," ")</f>
        <v> </v>
      </c>
      <c r="Q127" s="17" t="str">
        <f aca="false">IF((E127="o"),H127," ")</f>
        <v> </v>
      </c>
      <c r="R127" s="17" t="str">
        <f aca="false">IF((E127="d"),H127," ")</f>
        <v> </v>
      </c>
      <c r="S127" s="17" t="str">
        <f aca="false">IF((E127="w"),H127," ")</f>
        <v> </v>
      </c>
      <c r="T127" s="17" t="str">
        <f aca="false">IF((E127="r"),H127," ")</f>
        <v> </v>
      </c>
      <c r="U127" s="17" t="str">
        <f aca="false">IF((E127="p"),H127," ")</f>
        <v> </v>
      </c>
      <c r="V127" s="17" t="str">
        <f aca="false">IF((E127="t"),H127," ")</f>
        <v> </v>
      </c>
      <c r="W127" s="17" t="str">
        <f aca="false">IF((E127="q"),H127," ")</f>
        <v> </v>
      </c>
      <c r="X127" s="17" t="str">
        <f aca="false">IF((E127="m"),H127," ")</f>
        <v> </v>
      </c>
      <c r="Y127" s="17" t="str">
        <f aca="false">IF((E127="u"),H127," ")</f>
        <v> </v>
      </c>
      <c r="Z127" s="17" t="str">
        <f aca="false">IF((E127="a"),H127," ")</f>
        <v> </v>
      </c>
      <c r="AA127" s="17" t="str">
        <f aca="false">IF((E127="g"),H127," ")</f>
        <v> </v>
      </c>
      <c r="AB127" s="17" t="str">
        <f aca="false">IF((E127="h"),H127," ")</f>
        <v> </v>
      </c>
      <c r="AC127" s="30" t="str">
        <f aca="false">IF((E127="v"),H127," ")</f>
        <v> </v>
      </c>
      <c r="AD127" s="30" t="str">
        <f aca="false">IF((E127="n"),H127," ")</f>
        <v> </v>
      </c>
      <c r="AE127" s="17" t="str">
        <f aca="false">IF((E127="f"),H127," ")</f>
        <v> </v>
      </c>
      <c r="AF127" s="17" t="str">
        <f aca="false">IF((E127="l"),H127," ")</f>
        <v> </v>
      </c>
      <c r="AG127" s="17" t="str">
        <f aca="false">IF((E127="y"),H127," ")</f>
        <v> </v>
      </c>
      <c r="AH127" s="17" t="str">
        <f aca="false">IF((E127="z"),H127," ")</f>
        <v> </v>
      </c>
      <c r="AI127" s="17" t="str">
        <f aca="false">IF((E127="fa"),H127," ")</f>
        <v> </v>
      </c>
      <c r="AJ127" s="17" t="str">
        <f aca="false">IF((E127="e"),H127," ")</f>
        <v> </v>
      </c>
    </row>
    <row r="128" customFormat="false" ht="12" hidden="false" customHeight="false" outlineLevel="0" collapsed="false">
      <c r="A128" s="28"/>
      <c r="E128" s="2" t="str">
        <f aca="false">IF((F128&lt;&gt;0),"Enter Letter"," ")</f>
        <v> </v>
      </c>
      <c r="F128" s="30"/>
      <c r="G128" s="6" t="str">
        <f aca="false">IF(F128&lt;&gt;0,F128*G$2/(100+G$2)," ")</f>
        <v> </v>
      </c>
      <c r="H128" s="6" t="str">
        <f aca="false">IF((F128&lt;&gt;0),F128-G128," ")</f>
        <v> </v>
      </c>
      <c r="I128" s="5"/>
      <c r="L128" s="7" t="str">
        <f aca="false">IF(F128&lt;&gt;0,F128-K128," ")</f>
        <v> </v>
      </c>
      <c r="M128" s="8" t="str">
        <f aca="false">IF((F128-K128)&lt;&gt;0,M$1-A128," ")</f>
        <v> </v>
      </c>
      <c r="N128" s="5"/>
      <c r="O128" s="17" t="str">
        <f aca="false">IF((E128="s"),H128," ")</f>
        <v> </v>
      </c>
      <c r="P128" s="17" t="str">
        <f aca="false">IF((E128="c"),H128," ")</f>
        <v> </v>
      </c>
      <c r="Q128" s="17" t="str">
        <f aca="false">IF((E128="o"),H128," ")</f>
        <v> </v>
      </c>
      <c r="R128" s="17" t="str">
        <f aca="false">IF((E128="d"),H128," ")</f>
        <v> </v>
      </c>
      <c r="S128" s="17" t="str">
        <f aca="false">IF((E128="w"),H128," ")</f>
        <v> </v>
      </c>
      <c r="T128" s="17" t="str">
        <f aca="false">IF((E128="r"),H128," ")</f>
        <v> </v>
      </c>
      <c r="U128" s="17" t="str">
        <f aca="false">IF((E128="p"),H128," ")</f>
        <v> </v>
      </c>
      <c r="V128" s="17" t="str">
        <f aca="false">IF((E128="t"),H128," ")</f>
        <v> </v>
      </c>
      <c r="W128" s="17" t="str">
        <f aca="false">IF((E128="q"),H128," ")</f>
        <v> </v>
      </c>
      <c r="X128" s="17" t="str">
        <f aca="false">IF((E128="m"),H128," ")</f>
        <v> </v>
      </c>
      <c r="Y128" s="17" t="str">
        <f aca="false">IF((E128="u"),H128," ")</f>
        <v> </v>
      </c>
      <c r="Z128" s="17" t="str">
        <f aca="false">IF((E128="a"),H128," ")</f>
        <v> </v>
      </c>
      <c r="AA128" s="17" t="str">
        <f aca="false">IF((E128="g"),H128," ")</f>
        <v> </v>
      </c>
      <c r="AB128" s="17" t="str">
        <f aca="false">IF((E128="h"),H128," ")</f>
        <v> </v>
      </c>
      <c r="AC128" s="30" t="str">
        <f aca="false">IF((E128="v"),H128," ")</f>
        <v> </v>
      </c>
      <c r="AD128" s="30" t="str">
        <f aca="false">IF((E128="n"),H128," ")</f>
        <v> </v>
      </c>
      <c r="AE128" s="17" t="str">
        <f aca="false">IF((E128="f"),H128," ")</f>
        <v> </v>
      </c>
      <c r="AF128" s="17" t="str">
        <f aca="false">IF((E128="l"),H128," ")</f>
        <v> </v>
      </c>
      <c r="AG128" s="17" t="str">
        <f aca="false">IF((E128="y"),H128," ")</f>
        <v> </v>
      </c>
      <c r="AH128" s="17" t="str">
        <f aca="false">IF((E128="z"),H128," ")</f>
        <v> </v>
      </c>
      <c r="AI128" s="17" t="str">
        <f aca="false">IF((E128="fa"),H128," ")</f>
        <v> </v>
      </c>
      <c r="AJ128" s="17" t="str">
        <f aca="false">IF((E128="e"),H128," ")</f>
        <v> </v>
      </c>
    </row>
    <row r="129" customFormat="false" ht="12" hidden="false" customHeight="false" outlineLevel="0" collapsed="false">
      <c r="A129" s="28"/>
      <c r="E129" s="2" t="str">
        <f aca="false">IF((F129&lt;&gt;0),"Enter Letter"," ")</f>
        <v> </v>
      </c>
      <c r="F129" s="30"/>
      <c r="G129" s="6" t="str">
        <f aca="false">IF(F129&lt;&gt;0,F129*G$2/(100+G$2)," ")</f>
        <v> </v>
      </c>
      <c r="H129" s="6" t="str">
        <f aca="false">IF((F129&lt;&gt;0),F129-G129," ")</f>
        <v> </v>
      </c>
      <c r="I129" s="5"/>
      <c r="L129" s="7" t="str">
        <f aca="false">IF(F129&lt;&gt;0,F129-K129," ")</f>
        <v> </v>
      </c>
      <c r="M129" s="8" t="str">
        <f aca="false">IF((F129-K129)&lt;&gt;0,M$1-A129," ")</f>
        <v> </v>
      </c>
      <c r="N129" s="5"/>
      <c r="O129" s="17" t="str">
        <f aca="false">IF((E129="s"),H129," ")</f>
        <v> </v>
      </c>
      <c r="P129" s="17" t="str">
        <f aca="false">IF((E129="c"),H129," ")</f>
        <v> </v>
      </c>
      <c r="Q129" s="17" t="str">
        <f aca="false">IF((E129="o"),H129," ")</f>
        <v> </v>
      </c>
      <c r="R129" s="17" t="str">
        <f aca="false">IF((E129="d"),H129," ")</f>
        <v> </v>
      </c>
      <c r="S129" s="17" t="str">
        <f aca="false">IF((E129="w"),H129," ")</f>
        <v> </v>
      </c>
      <c r="T129" s="17" t="str">
        <f aca="false">IF((E129="r"),H129," ")</f>
        <v> </v>
      </c>
      <c r="U129" s="17" t="str">
        <f aca="false">IF((E129="p"),H129," ")</f>
        <v> </v>
      </c>
      <c r="V129" s="17" t="str">
        <f aca="false">IF((E129="t"),H129," ")</f>
        <v> </v>
      </c>
      <c r="W129" s="17" t="str">
        <f aca="false">IF((E129="q"),H129," ")</f>
        <v> </v>
      </c>
      <c r="X129" s="17" t="str">
        <f aca="false">IF((E129="m"),H129," ")</f>
        <v> </v>
      </c>
      <c r="Y129" s="17" t="str">
        <f aca="false">IF((E129="u"),H129," ")</f>
        <v> </v>
      </c>
      <c r="Z129" s="17" t="str">
        <f aca="false">IF((E129="a"),H129," ")</f>
        <v> </v>
      </c>
      <c r="AA129" s="17" t="str">
        <f aca="false">IF((E129="g"),H129," ")</f>
        <v> </v>
      </c>
      <c r="AB129" s="17" t="str">
        <f aca="false">IF((E129="h"),H129," ")</f>
        <v> </v>
      </c>
      <c r="AC129" s="30" t="str">
        <f aca="false">IF((E129="v"),H129," ")</f>
        <v> </v>
      </c>
      <c r="AD129" s="30" t="str">
        <f aca="false">IF((E129="n"),H129," ")</f>
        <v> </v>
      </c>
      <c r="AE129" s="17" t="str">
        <f aca="false">IF((E129="f"),H129," ")</f>
        <v> </v>
      </c>
      <c r="AF129" s="17" t="str">
        <f aca="false">IF((E129="l"),H129," ")</f>
        <v> </v>
      </c>
      <c r="AG129" s="17" t="str">
        <f aca="false">IF((E129="y"),H129," ")</f>
        <v> </v>
      </c>
      <c r="AH129" s="17" t="str">
        <f aca="false">IF((E129="z"),H129," ")</f>
        <v> </v>
      </c>
      <c r="AI129" s="17" t="str">
        <f aca="false">IF((E129="fa"),H129," ")</f>
        <v> </v>
      </c>
      <c r="AJ129" s="17" t="str">
        <f aca="false">IF((E129="e"),H129," ")</f>
        <v> </v>
      </c>
    </row>
    <row r="130" customFormat="false" ht="12" hidden="false" customHeight="false" outlineLevel="0" collapsed="false">
      <c r="A130" s="28"/>
      <c r="E130" s="2" t="str">
        <f aca="false">IF((F130&lt;&gt;0),"Enter Letter"," ")</f>
        <v> </v>
      </c>
      <c r="F130" s="30"/>
      <c r="G130" s="6" t="str">
        <f aca="false">IF(F130&lt;&gt;0,F130*G$2/(100+G$2)," ")</f>
        <v> </v>
      </c>
      <c r="H130" s="6" t="str">
        <f aca="false">IF((F130&lt;&gt;0),F130-G130," ")</f>
        <v> </v>
      </c>
      <c r="I130" s="5"/>
      <c r="L130" s="7" t="str">
        <f aca="false">IF(F130&lt;&gt;0,F130-K130," ")</f>
        <v> </v>
      </c>
      <c r="M130" s="8" t="str">
        <f aca="false">IF((F130-K130)&lt;&gt;0,M$1-A130," ")</f>
        <v> </v>
      </c>
      <c r="N130" s="5"/>
      <c r="O130" s="17" t="str">
        <f aca="false">IF((E130="s"),H130," ")</f>
        <v> </v>
      </c>
      <c r="P130" s="17" t="str">
        <f aca="false">IF((E130="c"),H130," ")</f>
        <v> </v>
      </c>
      <c r="Q130" s="17" t="str">
        <f aca="false">IF((E130="o"),H130," ")</f>
        <v> </v>
      </c>
      <c r="R130" s="17" t="str">
        <f aca="false">IF((E130="d"),H130," ")</f>
        <v> </v>
      </c>
      <c r="S130" s="17" t="str">
        <f aca="false">IF((E130="w"),H130," ")</f>
        <v> </v>
      </c>
      <c r="T130" s="17" t="str">
        <f aca="false">IF((E130="r"),H130," ")</f>
        <v> </v>
      </c>
      <c r="U130" s="17" t="str">
        <f aca="false">IF((E130="p"),H130," ")</f>
        <v> </v>
      </c>
      <c r="V130" s="17" t="str">
        <f aca="false">IF((E130="t"),H130," ")</f>
        <v> </v>
      </c>
      <c r="W130" s="17" t="str">
        <f aca="false">IF((E130="q"),H130," ")</f>
        <v> </v>
      </c>
      <c r="X130" s="17" t="str">
        <f aca="false">IF((E130="m"),H130," ")</f>
        <v> </v>
      </c>
      <c r="Y130" s="17" t="str">
        <f aca="false">IF((E130="u"),H130," ")</f>
        <v> </v>
      </c>
      <c r="Z130" s="17" t="str">
        <f aca="false">IF((E130="a"),H130," ")</f>
        <v> </v>
      </c>
      <c r="AA130" s="17" t="str">
        <f aca="false">IF((E130="g"),H130," ")</f>
        <v> </v>
      </c>
      <c r="AB130" s="17" t="str">
        <f aca="false">IF((E130="h"),H130," ")</f>
        <v> </v>
      </c>
      <c r="AC130" s="30" t="str">
        <f aca="false">IF((E130="v"),H130," ")</f>
        <v> </v>
      </c>
      <c r="AD130" s="30" t="str">
        <f aca="false">IF((E130="n"),H130," ")</f>
        <v> </v>
      </c>
      <c r="AE130" s="17" t="str">
        <f aca="false">IF((E130="f"),H130," ")</f>
        <v> </v>
      </c>
      <c r="AF130" s="17" t="str">
        <f aca="false">IF((E130="l"),H130," ")</f>
        <v> </v>
      </c>
      <c r="AG130" s="17" t="str">
        <f aca="false">IF((E130="y"),H130," ")</f>
        <v> </v>
      </c>
      <c r="AH130" s="17" t="str">
        <f aca="false">IF((E130="z"),H130," ")</f>
        <v> </v>
      </c>
      <c r="AI130" s="17" t="str">
        <f aca="false">IF((E130="fa"),H130," ")</f>
        <v> </v>
      </c>
      <c r="AJ130" s="17" t="str">
        <f aca="false">IF((E130="e"),H130," ")</f>
        <v> </v>
      </c>
    </row>
    <row r="131" customFormat="false" ht="12" hidden="false" customHeight="false" outlineLevel="0" collapsed="false">
      <c r="A131" s="28"/>
      <c r="E131" s="2" t="str">
        <f aca="false">IF((F131&lt;&gt;0),"Enter Letter"," ")</f>
        <v> </v>
      </c>
      <c r="F131" s="30"/>
      <c r="G131" s="6" t="str">
        <f aca="false">IF(F131&lt;&gt;0,F131*G$2/(100+G$2)," ")</f>
        <v> </v>
      </c>
      <c r="H131" s="6" t="str">
        <f aca="false">IF((F131&lt;&gt;0),F131-G131," ")</f>
        <v> </v>
      </c>
      <c r="I131" s="5"/>
      <c r="L131" s="7" t="str">
        <f aca="false">IF(F131&lt;&gt;0,F131-K131," ")</f>
        <v> </v>
      </c>
      <c r="M131" s="8" t="str">
        <f aca="false">IF((F131-K131)&lt;&gt;0,M$1-A131," ")</f>
        <v> </v>
      </c>
      <c r="N131" s="5"/>
      <c r="O131" s="17" t="str">
        <f aca="false">IF((E131="s"),H131," ")</f>
        <v> </v>
      </c>
      <c r="P131" s="17" t="str">
        <f aca="false">IF((E131="c"),H131," ")</f>
        <v> </v>
      </c>
      <c r="Q131" s="17" t="str">
        <f aca="false">IF((E131="o"),H131," ")</f>
        <v> </v>
      </c>
      <c r="R131" s="17" t="str">
        <f aca="false">IF((E131="d"),H131," ")</f>
        <v> </v>
      </c>
      <c r="S131" s="17" t="str">
        <f aca="false">IF((E131="w"),H131," ")</f>
        <v> </v>
      </c>
      <c r="T131" s="17" t="str">
        <f aca="false">IF((E131="r"),H131," ")</f>
        <v> </v>
      </c>
      <c r="U131" s="17" t="str">
        <f aca="false">IF((E131="p"),H131," ")</f>
        <v> </v>
      </c>
      <c r="V131" s="17" t="str">
        <f aca="false">IF((E131="t"),H131," ")</f>
        <v> </v>
      </c>
      <c r="W131" s="17" t="str">
        <f aca="false">IF((E131="q"),H131," ")</f>
        <v> </v>
      </c>
      <c r="X131" s="17" t="str">
        <f aca="false">IF((E131="m"),H131," ")</f>
        <v> </v>
      </c>
      <c r="Y131" s="17" t="str">
        <f aca="false">IF((E131="u"),H131," ")</f>
        <v> </v>
      </c>
      <c r="Z131" s="17" t="str">
        <f aca="false">IF((E131="a"),H131," ")</f>
        <v> </v>
      </c>
      <c r="AA131" s="17" t="str">
        <f aca="false">IF((E131="g"),H131," ")</f>
        <v> </v>
      </c>
      <c r="AB131" s="17" t="str">
        <f aca="false">IF((E131="h"),H131," ")</f>
        <v> </v>
      </c>
      <c r="AC131" s="30" t="str">
        <f aca="false">IF((E131="v"),H131," ")</f>
        <v> </v>
      </c>
      <c r="AD131" s="30" t="str">
        <f aca="false">IF((E131="n"),H131," ")</f>
        <v> </v>
      </c>
      <c r="AE131" s="17" t="str">
        <f aca="false">IF((E131="f"),H131," ")</f>
        <v> </v>
      </c>
      <c r="AF131" s="17" t="str">
        <f aca="false">IF((E131="l"),H131," ")</f>
        <v> </v>
      </c>
      <c r="AG131" s="17" t="str">
        <f aca="false">IF((E131="y"),H131," ")</f>
        <v> </v>
      </c>
      <c r="AH131" s="17" t="str">
        <f aca="false">IF((E131="z"),H131," ")</f>
        <v> </v>
      </c>
      <c r="AI131" s="17" t="str">
        <f aca="false">IF((E131="fa"),H131," ")</f>
        <v> </v>
      </c>
      <c r="AJ131" s="17" t="str">
        <f aca="false">IF((E131="e"),H131," ")</f>
        <v> </v>
      </c>
    </row>
    <row r="132" customFormat="false" ht="12" hidden="false" customHeight="false" outlineLevel="0" collapsed="false">
      <c r="A132" s="28"/>
      <c r="E132" s="2" t="str">
        <f aca="false">IF((F132&lt;&gt;0),"Enter Letter"," ")</f>
        <v> </v>
      </c>
      <c r="F132" s="30"/>
      <c r="G132" s="6" t="str">
        <f aca="false">IF(F132&lt;&gt;0,F132*G$2/(100+G$2)," ")</f>
        <v> </v>
      </c>
      <c r="H132" s="6" t="str">
        <f aca="false">IF((F132&lt;&gt;0),F132-G132," ")</f>
        <v> </v>
      </c>
      <c r="I132" s="5"/>
      <c r="L132" s="7" t="str">
        <f aca="false">IF(F132&lt;&gt;0,F132-K132," ")</f>
        <v> </v>
      </c>
      <c r="M132" s="8" t="str">
        <f aca="false">IF((F132-K132)&lt;&gt;0,M$1-A132," ")</f>
        <v> </v>
      </c>
      <c r="N132" s="5"/>
      <c r="O132" s="17" t="str">
        <f aca="false">IF((E132="s"),H132," ")</f>
        <v> </v>
      </c>
      <c r="P132" s="17" t="str">
        <f aca="false">IF((E132="c"),H132," ")</f>
        <v> </v>
      </c>
      <c r="Q132" s="17" t="str">
        <f aca="false">IF((E132="o"),H132," ")</f>
        <v> </v>
      </c>
      <c r="R132" s="17" t="str">
        <f aca="false">IF((E132="d"),H132," ")</f>
        <v> </v>
      </c>
      <c r="S132" s="17" t="str">
        <f aca="false">IF((E132="w"),H132," ")</f>
        <v> </v>
      </c>
      <c r="T132" s="17" t="str">
        <f aca="false">IF((E132="r"),H132," ")</f>
        <v> </v>
      </c>
      <c r="U132" s="17" t="str">
        <f aca="false">IF((E132="p"),H132," ")</f>
        <v> </v>
      </c>
      <c r="V132" s="17" t="str">
        <f aca="false">IF((E132="t"),H132," ")</f>
        <v> </v>
      </c>
      <c r="W132" s="17" t="str">
        <f aca="false">IF((E132="q"),H132," ")</f>
        <v> </v>
      </c>
      <c r="X132" s="17" t="str">
        <f aca="false">IF((E132="m"),H132," ")</f>
        <v> </v>
      </c>
      <c r="Y132" s="17" t="str">
        <f aca="false">IF((E132="u"),H132," ")</f>
        <v> </v>
      </c>
      <c r="Z132" s="17" t="str">
        <f aca="false">IF((E132="a"),H132," ")</f>
        <v> </v>
      </c>
      <c r="AA132" s="17" t="str">
        <f aca="false">IF((E132="g"),H132," ")</f>
        <v> </v>
      </c>
      <c r="AB132" s="17" t="str">
        <f aca="false">IF((E132="h"),H132," ")</f>
        <v> </v>
      </c>
      <c r="AC132" s="30" t="str">
        <f aca="false">IF((E132="v"),H132," ")</f>
        <v> </v>
      </c>
      <c r="AD132" s="30" t="str">
        <f aca="false">IF((E132="n"),H132," ")</f>
        <v> </v>
      </c>
      <c r="AE132" s="17" t="str">
        <f aca="false">IF((E132="f"),H132," ")</f>
        <v> </v>
      </c>
      <c r="AF132" s="17" t="str">
        <f aca="false">IF((E132="l"),H132," ")</f>
        <v> </v>
      </c>
      <c r="AG132" s="17" t="str">
        <f aca="false">IF((E132="y"),H132," ")</f>
        <v> </v>
      </c>
      <c r="AH132" s="17" t="str">
        <f aca="false">IF((E132="z"),H132," ")</f>
        <v> </v>
      </c>
      <c r="AI132" s="17" t="str">
        <f aca="false">IF((E132="fa"),H132," ")</f>
        <v> </v>
      </c>
      <c r="AJ132" s="17" t="str">
        <f aca="false">IF((E132="e"),H132," ")</f>
        <v> </v>
      </c>
    </row>
    <row r="133" customFormat="false" ht="12" hidden="false" customHeight="false" outlineLevel="0" collapsed="false">
      <c r="A133" s="28"/>
      <c r="E133" s="2" t="str">
        <f aca="false">IF((F133&lt;&gt;0),"Enter Letter"," ")</f>
        <v> </v>
      </c>
      <c r="F133" s="30"/>
      <c r="G133" s="6" t="str">
        <f aca="false">IF(F133&lt;&gt;0,F133*G$2/(100+G$2)," ")</f>
        <v> </v>
      </c>
      <c r="H133" s="6" t="str">
        <f aca="false">IF((F133&lt;&gt;0),F133-G133," ")</f>
        <v> </v>
      </c>
      <c r="I133" s="5"/>
      <c r="L133" s="7" t="str">
        <f aca="false">IF(F133&lt;&gt;0,F133-K133," ")</f>
        <v> </v>
      </c>
      <c r="M133" s="8" t="str">
        <f aca="false">IF((F133-K133)&lt;&gt;0,M$1-A133," ")</f>
        <v> </v>
      </c>
      <c r="N133" s="5"/>
      <c r="O133" s="17" t="str">
        <f aca="false">IF((E133="s"),H133," ")</f>
        <v> </v>
      </c>
      <c r="P133" s="17" t="str">
        <f aca="false">IF((E133="c"),H133," ")</f>
        <v> </v>
      </c>
      <c r="Q133" s="17" t="str">
        <f aca="false">IF((E133="o"),H133," ")</f>
        <v> </v>
      </c>
      <c r="R133" s="17" t="str">
        <f aca="false">IF((E133="d"),H133," ")</f>
        <v> </v>
      </c>
      <c r="S133" s="17" t="str">
        <f aca="false">IF((E133="w"),H133," ")</f>
        <v> </v>
      </c>
      <c r="T133" s="17" t="str">
        <f aca="false">IF((E133="r"),H133," ")</f>
        <v> </v>
      </c>
      <c r="U133" s="17" t="str">
        <f aca="false">IF((E133="p"),H133," ")</f>
        <v> </v>
      </c>
      <c r="V133" s="17" t="str">
        <f aca="false">IF((E133="t"),H133," ")</f>
        <v> </v>
      </c>
      <c r="W133" s="17" t="str">
        <f aca="false">IF((E133="q"),H133," ")</f>
        <v> </v>
      </c>
      <c r="X133" s="17" t="str">
        <f aca="false">IF((E133="m"),H133," ")</f>
        <v> </v>
      </c>
      <c r="Y133" s="17" t="str">
        <f aca="false">IF((E133="u"),H133," ")</f>
        <v> </v>
      </c>
      <c r="Z133" s="17" t="str">
        <f aca="false">IF((E133="a"),H133," ")</f>
        <v> </v>
      </c>
      <c r="AA133" s="17" t="str">
        <f aca="false">IF((E133="g"),H133," ")</f>
        <v> </v>
      </c>
      <c r="AB133" s="17" t="str">
        <f aca="false">IF((E133="h"),H133," ")</f>
        <v> </v>
      </c>
      <c r="AC133" s="30" t="str">
        <f aca="false">IF((E133="v"),H133," ")</f>
        <v> </v>
      </c>
      <c r="AD133" s="30" t="str">
        <f aca="false">IF((E133="n"),H133," ")</f>
        <v> </v>
      </c>
      <c r="AE133" s="17" t="str">
        <f aca="false">IF((E133="f"),H133," ")</f>
        <v> </v>
      </c>
      <c r="AF133" s="17" t="str">
        <f aca="false">IF((E133="l"),H133," ")</f>
        <v> </v>
      </c>
      <c r="AG133" s="17" t="str">
        <f aca="false">IF((E133="y"),H133," ")</f>
        <v> </v>
      </c>
      <c r="AH133" s="17" t="str">
        <f aca="false">IF((E133="z"),H133," ")</f>
        <v> </v>
      </c>
      <c r="AI133" s="17" t="str">
        <f aca="false">IF((E133="fa"),H133," ")</f>
        <v> </v>
      </c>
      <c r="AJ133" s="17" t="str">
        <f aca="false">IF((E133="e"),H133," ")</f>
        <v> </v>
      </c>
    </row>
    <row r="134" customFormat="false" ht="12" hidden="false" customHeight="false" outlineLevel="0" collapsed="false">
      <c r="A134" s="28"/>
      <c r="E134" s="2" t="str">
        <f aca="false">IF((F134&lt;&gt;0),"Enter Letter"," ")</f>
        <v> </v>
      </c>
      <c r="F134" s="30"/>
      <c r="G134" s="6" t="str">
        <f aca="false">IF(F134&lt;&gt;0,F134*G$2/(100+G$2)," ")</f>
        <v> </v>
      </c>
      <c r="H134" s="6" t="str">
        <f aca="false">IF((F134&lt;&gt;0),F134-G134," ")</f>
        <v> </v>
      </c>
      <c r="I134" s="5"/>
      <c r="L134" s="7" t="str">
        <f aca="false">IF(F134&lt;&gt;0,F134-K134," ")</f>
        <v> </v>
      </c>
      <c r="M134" s="8" t="str">
        <f aca="false">IF((F134-K134)&lt;&gt;0,M$1-A134," ")</f>
        <v> </v>
      </c>
      <c r="N134" s="5"/>
      <c r="O134" s="17" t="str">
        <f aca="false">IF((E134="s"),H134," ")</f>
        <v> </v>
      </c>
      <c r="P134" s="17" t="str">
        <f aca="false">IF((E134="c"),H134," ")</f>
        <v> </v>
      </c>
      <c r="Q134" s="17" t="str">
        <f aca="false">IF((E134="o"),H134," ")</f>
        <v> </v>
      </c>
      <c r="R134" s="17" t="str">
        <f aca="false">IF((E134="d"),H134," ")</f>
        <v> </v>
      </c>
      <c r="S134" s="17" t="str">
        <f aca="false">IF((E134="w"),H134," ")</f>
        <v> </v>
      </c>
      <c r="T134" s="17" t="str">
        <f aca="false">IF((E134="r"),H134," ")</f>
        <v> </v>
      </c>
      <c r="U134" s="17" t="str">
        <f aca="false">IF((E134="p"),H134," ")</f>
        <v> </v>
      </c>
      <c r="V134" s="17" t="str">
        <f aca="false">IF((E134="t"),H134," ")</f>
        <v> </v>
      </c>
      <c r="W134" s="17" t="str">
        <f aca="false">IF((E134="q"),H134," ")</f>
        <v> </v>
      </c>
      <c r="X134" s="17" t="str">
        <f aca="false">IF((E134="m"),H134," ")</f>
        <v> </v>
      </c>
      <c r="Y134" s="17" t="str">
        <f aca="false">IF((E134="u"),H134," ")</f>
        <v> </v>
      </c>
      <c r="Z134" s="17" t="str">
        <f aca="false">IF((E134="a"),H134," ")</f>
        <v> </v>
      </c>
      <c r="AA134" s="17" t="str">
        <f aca="false">IF((E134="g"),H134," ")</f>
        <v> </v>
      </c>
      <c r="AB134" s="17" t="str">
        <f aca="false">IF((E134="h"),H134," ")</f>
        <v> </v>
      </c>
      <c r="AC134" s="30" t="str">
        <f aca="false">IF((E134="v"),H134," ")</f>
        <v> </v>
      </c>
      <c r="AD134" s="30" t="str">
        <f aca="false">IF((E134="n"),H134," ")</f>
        <v> </v>
      </c>
      <c r="AE134" s="17" t="str">
        <f aca="false">IF((E134="f"),H134," ")</f>
        <v> </v>
      </c>
      <c r="AF134" s="17" t="str">
        <f aca="false">IF((E134="l"),H134," ")</f>
        <v> </v>
      </c>
      <c r="AG134" s="17" t="str">
        <f aca="false">IF((E134="y"),H134," ")</f>
        <v> </v>
      </c>
      <c r="AH134" s="17" t="str">
        <f aca="false">IF((E134="z"),H134," ")</f>
        <v> </v>
      </c>
      <c r="AI134" s="17" t="str">
        <f aca="false">IF((E134="fa"),H134," ")</f>
        <v> </v>
      </c>
      <c r="AJ134" s="17" t="str">
        <f aca="false">IF((E134="e"),H134," ")</f>
        <v> </v>
      </c>
    </row>
    <row r="135" customFormat="false" ht="12" hidden="false" customHeight="false" outlineLevel="0" collapsed="false">
      <c r="A135" s="28"/>
      <c r="E135" s="2" t="str">
        <f aca="false">IF((F135&lt;&gt;0),"Enter Letter"," ")</f>
        <v> </v>
      </c>
      <c r="F135" s="30"/>
      <c r="G135" s="6" t="str">
        <f aca="false">IF(F135&lt;&gt;0,F135*G$2/(100+G$2)," ")</f>
        <v> </v>
      </c>
      <c r="H135" s="6" t="str">
        <f aca="false">IF((F135&lt;&gt;0),F135-G135," ")</f>
        <v> </v>
      </c>
      <c r="I135" s="5"/>
      <c r="L135" s="7" t="str">
        <f aca="false">IF(F135&lt;&gt;0,F135-K135," ")</f>
        <v> </v>
      </c>
      <c r="M135" s="8" t="str">
        <f aca="false">IF((F135-K135)&lt;&gt;0,M$1-A135," ")</f>
        <v> </v>
      </c>
      <c r="N135" s="5"/>
      <c r="O135" s="17" t="str">
        <f aca="false">IF((E135="s"),H135," ")</f>
        <v> </v>
      </c>
      <c r="P135" s="17" t="str">
        <f aca="false">IF((E135="c"),H135," ")</f>
        <v> </v>
      </c>
      <c r="Q135" s="17" t="str">
        <f aca="false">IF((E135="o"),H135," ")</f>
        <v> </v>
      </c>
      <c r="R135" s="17" t="str">
        <f aca="false">IF((E135="d"),H135," ")</f>
        <v> </v>
      </c>
      <c r="S135" s="17" t="str">
        <f aca="false">IF((E135="w"),H135," ")</f>
        <v> </v>
      </c>
      <c r="T135" s="17" t="str">
        <f aca="false">IF((E135="r"),H135," ")</f>
        <v> </v>
      </c>
      <c r="U135" s="17" t="str">
        <f aca="false">IF((E135="p"),H135," ")</f>
        <v> </v>
      </c>
      <c r="V135" s="17" t="str">
        <f aca="false">IF((E135="t"),H135," ")</f>
        <v> </v>
      </c>
      <c r="W135" s="17" t="str">
        <f aca="false">IF((E135="q"),H135," ")</f>
        <v> </v>
      </c>
      <c r="X135" s="17" t="str">
        <f aca="false">IF((E135="m"),H135," ")</f>
        <v> </v>
      </c>
      <c r="Y135" s="17" t="str">
        <f aca="false">IF((E135="u"),H135," ")</f>
        <v> </v>
      </c>
      <c r="Z135" s="17" t="str">
        <f aca="false">IF((E135="a"),H135," ")</f>
        <v> </v>
      </c>
      <c r="AA135" s="17" t="str">
        <f aca="false">IF((E135="g"),H135," ")</f>
        <v> </v>
      </c>
      <c r="AB135" s="17" t="str">
        <f aca="false">IF((E135="h"),H135," ")</f>
        <v> </v>
      </c>
      <c r="AC135" s="30" t="str">
        <f aca="false">IF((E135="v"),H135," ")</f>
        <v> </v>
      </c>
      <c r="AD135" s="30" t="str">
        <f aca="false">IF((E135="n"),H135," ")</f>
        <v> </v>
      </c>
      <c r="AE135" s="17" t="str">
        <f aca="false">IF((E135="f"),H135," ")</f>
        <v> </v>
      </c>
      <c r="AF135" s="17" t="str">
        <f aca="false">IF((E135="l"),H135," ")</f>
        <v> </v>
      </c>
      <c r="AG135" s="17" t="str">
        <f aca="false">IF((E135="y"),H135," ")</f>
        <v> </v>
      </c>
      <c r="AH135" s="17" t="str">
        <f aca="false">IF((E135="z"),H135," ")</f>
        <v> </v>
      </c>
      <c r="AI135" s="17" t="str">
        <f aca="false">IF((E135="fa"),H135," ")</f>
        <v> </v>
      </c>
      <c r="AJ135" s="17" t="str">
        <f aca="false">IF((E135="e"),H135," ")</f>
        <v> </v>
      </c>
    </row>
    <row r="136" customFormat="false" ht="12" hidden="false" customHeight="false" outlineLevel="0" collapsed="false">
      <c r="A136" s="28"/>
      <c r="E136" s="2" t="str">
        <f aca="false">IF((F136&lt;&gt;0),"Enter Letter"," ")</f>
        <v> </v>
      </c>
      <c r="F136" s="30"/>
      <c r="G136" s="6" t="str">
        <f aca="false">IF(F136&lt;&gt;0,F136*G$2/(100+G$2)," ")</f>
        <v> </v>
      </c>
      <c r="H136" s="6" t="str">
        <f aca="false">IF((F136&lt;&gt;0),F136-G136," ")</f>
        <v> </v>
      </c>
      <c r="I136" s="5"/>
      <c r="L136" s="7" t="str">
        <f aca="false">IF(F136&lt;&gt;0,F136-K136," ")</f>
        <v> </v>
      </c>
      <c r="M136" s="8" t="str">
        <f aca="false">IF((F136-K136)&lt;&gt;0,M$1-A136," ")</f>
        <v> </v>
      </c>
      <c r="N136" s="5"/>
      <c r="O136" s="17" t="str">
        <f aca="false">IF((E136="s"),H136," ")</f>
        <v> </v>
      </c>
      <c r="P136" s="17" t="str">
        <f aca="false">IF((E136="c"),H136," ")</f>
        <v> </v>
      </c>
      <c r="Q136" s="17" t="str">
        <f aca="false">IF((E136="o"),H136," ")</f>
        <v> </v>
      </c>
      <c r="R136" s="17" t="str">
        <f aca="false">IF((E136="d"),H136," ")</f>
        <v> </v>
      </c>
      <c r="S136" s="17" t="str">
        <f aca="false">IF((E136="w"),H136," ")</f>
        <v> </v>
      </c>
      <c r="T136" s="17" t="str">
        <f aca="false">IF((E136="r"),H136," ")</f>
        <v> </v>
      </c>
      <c r="U136" s="17" t="str">
        <f aca="false">IF((E136="p"),H136," ")</f>
        <v> </v>
      </c>
      <c r="V136" s="17" t="str">
        <f aca="false">IF((E136="t"),H136," ")</f>
        <v> </v>
      </c>
      <c r="W136" s="17" t="str">
        <f aca="false">IF((E136="q"),H136," ")</f>
        <v> </v>
      </c>
      <c r="X136" s="17" t="str">
        <f aca="false">IF((E136="m"),H136," ")</f>
        <v> </v>
      </c>
      <c r="Y136" s="17" t="str">
        <f aca="false">IF((E136="u"),H136," ")</f>
        <v> </v>
      </c>
      <c r="Z136" s="17" t="str">
        <f aca="false">IF((E136="a"),H136," ")</f>
        <v> </v>
      </c>
      <c r="AA136" s="17" t="str">
        <f aca="false">IF((E136="g"),H136," ")</f>
        <v> </v>
      </c>
      <c r="AB136" s="17" t="str">
        <f aca="false">IF((E136="h"),H136," ")</f>
        <v> </v>
      </c>
      <c r="AC136" s="30" t="str">
        <f aca="false">IF((E136="v"),H136," ")</f>
        <v> </v>
      </c>
      <c r="AD136" s="30" t="str">
        <f aca="false">IF((E136="n"),H136," ")</f>
        <v> </v>
      </c>
      <c r="AE136" s="17" t="str">
        <f aca="false">IF((E136="f"),H136," ")</f>
        <v> </v>
      </c>
      <c r="AF136" s="17" t="str">
        <f aca="false">IF((E136="l"),H136," ")</f>
        <v> </v>
      </c>
      <c r="AG136" s="17" t="str">
        <f aca="false">IF((E136="y"),H136," ")</f>
        <v> </v>
      </c>
      <c r="AH136" s="17" t="str">
        <f aca="false">IF((E136="z"),H136," ")</f>
        <v> </v>
      </c>
      <c r="AI136" s="17" t="str">
        <f aca="false">IF((E136="fa"),H136," ")</f>
        <v> </v>
      </c>
      <c r="AJ136" s="17" t="str">
        <f aca="false">IF((E136="e"),H136," ")</f>
        <v> </v>
      </c>
    </row>
    <row r="137" customFormat="false" ht="12" hidden="false" customHeight="false" outlineLevel="0" collapsed="false">
      <c r="A137" s="28"/>
      <c r="E137" s="2" t="str">
        <f aca="false">IF((F137&lt;&gt;0),"Enter Letter"," ")</f>
        <v> </v>
      </c>
      <c r="F137" s="30"/>
      <c r="G137" s="6" t="str">
        <f aca="false">IF(F137&lt;&gt;0,F137*G$2/(100+G$2)," ")</f>
        <v> </v>
      </c>
      <c r="H137" s="6" t="str">
        <f aca="false">IF((F137&lt;&gt;0),F137-G137," ")</f>
        <v> </v>
      </c>
      <c r="I137" s="5"/>
      <c r="L137" s="7" t="str">
        <f aca="false">IF(F137&lt;&gt;0,F137-K137," ")</f>
        <v> </v>
      </c>
      <c r="M137" s="8" t="str">
        <f aca="false">IF((F137-K137)&lt;&gt;0,M$1-A137," ")</f>
        <v> </v>
      </c>
      <c r="N137" s="5"/>
      <c r="O137" s="17" t="str">
        <f aca="false">IF((E137="s"),H137," ")</f>
        <v> </v>
      </c>
      <c r="P137" s="17" t="str">
        <f aca="false">IF((E137="c"),H137," ")</f>
        <v> </v>
      </c>
      <c r="Q137" s="17" t="str">
        <f aca="false">IF((E137="o"),H137," ")</f>
        <v> </v>
      </c>
      <c r="R137" s="17" t="str">
        <f aca="false">IF((E137="d"),H137," ")</f>
        <v> </v>
      </c>
      <c r="S137" s="17" t="str">
        <f aca="false">IF((E137="w"),H137," ")</f>
        <v> </v>
      </c>
      <c r="T137" s="17" t="str">
        <f aca="false">IF((E137="r"),H137," ")</f>
        <v> </v>
      </c>
      <c r="U137" s="17" t="str">
        <f aca="false">IF((E137="p"),H137," ")</f>
        <v> </v>
      </c>
      <c r="V137" s="17" t="str">
        <f aca="false">IF((E137="t"),H137," ")</f>
        <v> </v>
      </c>
      <c r="W137" s="17" t="str">
        <f aca="false">IF((E137="q"),H137," ")</f>
        <v> </v>
      </c>
      <c r="X137" s="17" t="str">
        <f aca="false">IF((E137="m"),H137," ")</f>
        <v> </v>
      </c>
      <c r="Y137" s="17" t="str">
        <f aca="false">IF((E137="u"),H137," ")</f>
        <v> </v>
      </c>
      <c r="Z137" s="17" t="str">
        <f aca="false">IF((E137="a"),H137," ")</f>
        <v> </v>
      </c>
      <c r="AA137" s="17" t="str">
        <f aca="false">IF((E137="g"),H137," ")</f>
        <v> </v>
      </c>
      <c r="AB137" s="17" t="str">
        <f aca="false">IF((E137="h"),H137," ")</f>
        <v> </v>
      </c>
      <c r="AC137" s="30" t="str">
        <f aca="false">IF((E137="v"),H137," ")</f>
        <v> </v>
      </c>
      <c r="AD137" s="30" t="str">
        <f aca="false">IF((E137="n"),H137," ")</f>
        <v> </v>
      </c>
      <c r="AE137" s="17" t="str">
        <f aca="false">IF((E137="f"),H137," ")</f>
        <v> </v>
      </c>
      <c r="AF137" s="17" t="str">
        <f aca="false">IF((E137="l"),H137," ")</f>
        <v> </v>
      </c>
      <c r="AG137" s="17" t="str">
        <f aca="false">IF((E137="y"),H137," ")</f>
        <v> </v>
      </c>
      <c r="AH137" s="17" t="str">
        <f aca="false">IF((E137="z"),H137," ")</f>
        <v> </v>
      </c>
      <c r="AI137" s="17" t="str">
        <f aca="false">IF((E137="fa"),H137," ")</f>
        <v> </v>
      </c>
      <c r="AJ137" s="17" t="str">
        <f aca="false">IF((E137="e"),H137," ")</f>
        <v> </v>
      </c>
    </row>
    <row r="138" customFormat="false" ht="12" hidden="false" customHeight="false" outlineLevel="0" collapsed="false">
      <c r="A138" s="28"/>
      <c r="E138" s="2" t="str">
        <f aca="false">IF((F138&lt;&gt;0),"Enter Letter"," ")</f>
        <v> </v>
      </c>
      <c r="F138" s="30"/>
      <c r="G138" s="6" t="str">
        <f aca="false">IF(F138&lt;&gt;0,F138*G$2/(100+G$2)," ")</f>
        <v> </v>
      </c>
      <c r="H138" s="6" t="str">
        <f aca="false">IF((F138&lt;&gt;0),F138-G138," ")</f>
        <v> </v>
      </c>
      <c r="I138" s="5"/>
      <c r="L138" s="7" t="str">
        <f aca="false">IF(F138&lt;&gt;0,F138-K138," ")</f>
        <v> </v>
      </c>
      <c r="M138" s="8" t="str">
        <f aca="false">IF((F138-K138)&lt;&gt;0,M$1-A138," ")</f>
        <v> </v>
      </c>
      <c r="N138" s="5"/>
      <c r="O138" s="17" t="str">
        <f aca="false">IF((E138="s"),H138," ")</f>
        <v> </v>
      </c>
      <c r="P138" s="17" t="str">
        <f aca="false">IF((E138="c"),H138," ")</f>
        <v> </v>
      </c>
      <c r="Q138" s="17" t="str">
        <f aca="false">IF((E138="o"),H138," ")</f>
        <v> </v>
      </c>
      <c r="R138" s="17" t="str">
        <f aca="false">IF((E138="d"),H138," ")</f>
        <v> </v>
      </c>
      <c r="S138" s="17" t="str">
        <f aca="false">IF((E138="w"),H138," ")</f>
        <v> </v>
      </c>
      <c r="T138" s="17" t="str">
        <f aca="false">IF((E138="r"),H138," ")</f>
        <v> </v>
      </c>
      <c r="U138" s="17" t="str">
        <f aca="false">IF((E138="p"),H138," ")</f>
        <v> </v>
      </c>
      <c r="V138" s="17" t="str">
        <f aca="false">IF((E138="t"),H138," ")</f>
        <v> </v>
      </c>
      <c r="W138" s="17" t="str">
        <f aca="false">IF((E138="q"),H138," ")</f>
        <v> </v>
      </c>
      <c r="X138" s="17" t="str">
        <f aca="false">IF((E138="m"),H138," ")</f>
        <v> </v>
      </c>
      <c r="Y138" s="17" t="str">
        <f aca="false">IF((E138="u"),H138," ")</f>
        <v> </v>
      </c>
      <c r="Z138" s="17" t="str">
        <f aca="false">IF((E138="a"),H138," ")</f>
        <v> </v>
      </c>
      <c r="AA138" s="17" t="str">
        <f aca="false">IF((E138="g"),H138," ")</f>
        <v> </v>
      </c>
      <c r="AB138" s="17" t="str">
        <f aca="false">IF((E138="h"),H138," ")</f>
        <v> </v>
      </c>
      <c r="AC138" s="30" t="str">
        <f aca="false">IF((E138="v"),H138," ")</f>
        <v> </v>
      </c>
      <c r="AD138" s="30" t="str">
        <f aca="false">IF((E138="n"),H138," ")</f>
        <v> </v>
      </c>
      <c r="AE138" s="17" t="str">
        <f aca="false">IF((E138="f"),H138," ")</f>
        <v> </v>
      </c>
      <c r="AF138" s="17" t="str">
        <f aca="false">IF((E138="l"),H138," ")</f>
        <v> </v>
      </c>
      <c r="AG138" s="17" t="str">
        <f aca="false">IF((E138="y"),H138," ")</f>
        <v> </v>
      </c>
      <c r="AH138" s="17" t="str">
        <f aca="false">IF((E138="z"),H138," ")</f>
        <v> </v>
      </c>
      <c r="AI138" s="17" t="str">
        <f aca="false">IF((E138="fa"),H138," ")</f>
        <v> </v>
      </c>
      <c r="AJ138" s="17" t="str">
        <f aca="false">IF((E138="e"),H138," ")</f>
        <v> </v>
      </c>
    </row>
    <row r="139" customFormat="false" ht="12" hidden="false" customHeight="false" outlineLevel="0" collapsed="false">
      <c r="A139" s="28"/>
      <c r="E139" s="2" t="str">
        <f aca="false">IF((F139&lt;&gt;0),"Enter Letter"," ")</f>
        <v> </v>
      </c>
      <c r="F139" s="30"/>
      <c r="G139" s="6" t="str">
        <f aca="false">IF(F139&lt;&gt;0,F139*G$2/(100+G$2)," ")</f>
        <v> </v>
      </c>
      <c r="H139" s="6" t="str">
        <f aca="false">IF((F139&lt;&gt;0),F139-G139," ")</f>
        <v> </v>
      </c>
      <c r="I139" s="5"/>
      <c r="L139" s="7" t="str">
        <f aca="false">IF(F139&lt;&gt;0,F139-K139," ")</f>
        <v> </v>
      </c>
      <c r="M139" s="8" t="str">
        <f aca="false">IF((F139-K139)&lt;&gt;0,M$1-A139," ")</f>
        <v> </v>
      </c>
      <c r="N139" s="5"/>
      <c r="O139" s="17" t="str">
        <f aca="false">IF((E139="s"),H139," ")</f>
        <v> </v>
      </c>
      <c r="P139" s="17" t="str">
        <f aca="false">IF((E139="c"),H139," ")</f>
        <v> </v>
      </c>
      <c r="Q139" s="17" t="str">
        <f aca="false">IF((E139="o"),H139," ")</f>
        <v> </v>
      </c>
      <c r="R139" s="17" t="str">
        <f aca="false">IF((E139="d"),H139," ")</f>
        <v> </v>
      </c>
      <c r="S139" s="17" t="str">
        <f aca="false">IF((E139="w"),H139," ")</f>
        <v> </v>
      </c>
      <c r="T139" s="17" t="str">
        <f aca="false">IF((E139="r"),H139," ")</f>
        <v> </v>
      </c>
      <c r="U139" s="17" t="str">
        <f aca="false">IF((E139="p"),H139," ")</f>
        <v> </v>
      </c>
      <c r="V139" s="17" t="str">
        <f aca="false">IF((E139="t"),H139," ")</f>
        <v> </v>
      </c>
      <c r="W139" s="17" t="str">
        <f aca="false">IF((E139="q"),H139," ")</f>
        <v> </v>
      </c>
      <c r="X139" s="17" t="str">
        <f aca="false">IF((E139="m"),H139," ")</f>
        <v> </v>
      </c>
      <c r="Y139" s="17" t="str">
        <f aca="false">IF((E139="u"),H139," ")</f>
        <v> </v>
      </c>
      <c r="Z139" s="17" t="str">
        <f aca="false">IF((E139="a"),H139," ")</f>
        <v> </v>
      </c>
      <c r="AA139" s="17" t="str">
        <f aca="false">IF((E139="g"),H139," ")</f>
        <v> </v>
      </c>
      <c r="AB139" s="17" t="str">
        <f aca="false">IF((E139="h"),H139," ")</f>
        <v> </v>
      </c>
      <c r="AC139" s="30" t="str">
        <f aca="false">IF((E139="v"),H139," ")</f>
        <v> </v>
      </c>
      <c r="AD139" s="30" t="str">
        <f aca="false">IF((E139="n"),H139," ")</f>
        <v> </v>
      </c>
      <c r="AE139" s="17" t="str">
        <f aca="false">IF((E139="f"),H139," ")</f>
        <v> </v>
      </c>
      <c r="AF139" s="17" t="str">
        <f aca="false">IF((E139="l"),H139," ")</f>
        <v> </v>
      </c>
      <c r="AG139" s="17" t="str">
        <f aca="false">IF((E139="y"),H139," ")</f>
        <v> </v>
      </c>
      <c r="AH139" s="17" t="str">
        <f aca="false">IF((E139="z"),H139," ")</f>
        <v> </v>
      </c>
      <c r="AI139" s="17" t="str">
        <f aca="false">IF((E139="fa"),H139," ")</f>
        <v> </v>
      </c>
      <c r="AJ139" s="17" t="str">
        <f aca="false">IF((E139="e"),H139," ")</f>
        <v> </v>
      </c>
    </row>
    <row r="140" customFormat="false" ht="12" hidden="false" customHeight="false" outlineLevel="0" collapsed="false">
      <c r="A140" s="28"/>
      <c r="E140" s="2" t="str">
        <f aca="false">IF((F140&lt;&gt;0),"Enter Letter"," ")</f>
        <v> </v>
      </c>
      <c r="F140" s="30"/>
      <c r="G140" s="6" t="str">
        <f aca="false">IF(F140&lt;&gt;0,F140*G$2/(100+G$2)," ")</f>
        <v> </v>
      </c>
      <c r="H140" s="6" t="str">
        <f aca="false">IF((F140&lt;&gt;0),F140-G140," ")</f>
        <v> </v>
      </c>
      <c r="I140" s="5"/>
      <c r="L140" s="7" t="str">
        <f aca="false">IF(F140&lt;&gt;0,F140-K140," ")</f>
        <v> </v>
      </c>
      <c r="M140" s="8" t="str">
        <f aca="false">IF((F140-K140)&lt;&gt;0,M$1-A140," ")</f>
        <v> </v>
      </c>
      <c r="N140" s="5"/>
      <c r="O140" s="17" t="str">
        <f aca="false">IF((E140="s"),H140," ")</f>
        <v> </v>
      </c>
      <c r="P140" s="17" t="str">
        <f aca="false">IF((E140="c"),H140," ")</f>
        <v> </v>
      </c>
      <c r="Q140" s="17" t="str">
        <f aca="false">IF((E140="o"),H140," ")</f>
        <v> </v>
      </c>
      <c r="R140" s="17" t="str">
        <f aca="false">IF((E140="d"),H140," ")</f>
        <v> </v>
      </c>
      <c r="S140" s="17" t="str">
        <f aca="false">IF((E140="w"),H140," ")</f>
        <v> </v>
      </c>
      <c r="T140" s="17" t="str">
        <f aca="false">IF((E140="r"),H140," ")</f>
        <v> </v>
      </c>
      <c r="U140" s="17" t="str">
        <f aca="false">IF((E140="p"),H140," ")</f>
        <v> </v>
      </c>
      <c r="V140" s="17" t="str">
        <f aca="false">IF((E140="t"),H140," ")</f>
        <v> </v>
      </c>
      <c r="W140" s="17" t="str">
        <f aca="false">IF((E140="q"),H140," ")</f>
        <v> </v>
      </c>
      <c r="X140" s="17" t="str">
        <f aca="false">IF((E140="m"),H140," ")</f>
        <v> </v>
      </c>
      <c r="Y140" s="17" t="str">
        <f aca="false">IF((E140="u"),H140," ")</f>
        <v> </v>
      </c>
      <c r="Z140" s="17" t="str">
        <f aca="false">IF((E140="a"),H140," ")</f>
        <v> </v>
      </c>
      <c r="AA140" s="17" t="str">
        <f aca="false">IF((E140="g"),H140," ")</f>
        <v> </v>
      </c>
      <c r="AB140" s="17" t="str">
        <f aca="false">IF((E140="h"),H140," ")</f>
        <v> </v>
      </c>
      <c r="AC140" s="30" t="str">
        <f aca="false">IF((E140="v"),H140," ")</f>
        <v> </v>
      </c>
      <c r="AD140" s="30" t="str">
        <f aca="false">IF((E140="n"),H140," ")</f>
        <v> </v>
      </c>
      <c r="AE140" s="17" t="str">
        <f aca="false">IF((E140="f"),H140," ")</f>
        <v> </v>
      </c>
      <c r="AF140" s="17" t="str">
        <f aca="false">IF((E140="l"),H140," ")</f>
        <v> </v>
      </c>
      <c r="AG140" s="17" t="str">
        <f aca="false">IF((E140="y"),H140," ")</f>
        <v> </v>
      </c>
      <c r="AH140" s="17" t="str">
        <f aca="false">IF((E140="z"),H140," ")</f>
        <v> </v>
      </c>
      <c r="AI140" s="17" t="str">
        <f aca="false">IF((E140="fa"),H140," ")</f>
        <v> </v>
      </c>
      <c r="AJ140" s="17" t="str">
        <f aca="false">IF((E140="e"),H140," ")</f>
        <v> </v>
      </c>
    </row>
    <row r="141" customFormat="false" ht="12" hidden="false" customHeight="false" outlineLevel="0" collapsed="false">
      <c r="A141" s="28"/>
      <c r="E141" s="2" t="str">
        <f aca="false">IF((F141&lt;&gt;0),"Enter Letter"," ")</f>
        <v> </v>
      </c>
      <c r="F141" s="30"/>
      <c r="G141" s="6" t="str">
        <f aca="false">IF(F141&lt;&gt;0,F141*G$2/(100+G$2)," ")</f>
        <v> </v>
      </c>
      <c r="H141" s="6" t="str">
        <f aca="false">IF((F141&lt;&gt;0),F141-G141," ")</f>
        <v> </v>
      </c>
      <c r="I141" s="5"/>
      <c r="L141" s="7" t="str">
        <f aca="false">IF(F141&lt;&gt;0,F141-K141," ")</f>
        <v> </v>
      </c>
      <c r="M141" s="8" t="str">
        <f aca="false">IF((F141-K141)&lt;&gt;0,M$1-A141," ")</f>
        <v> </v>
      </c>
      <c r="N141" s="5"/>
      <c r="O141" s="17" t="str">
        <f aca="false">IF((E141="s"),H141," ")</f>
        <v> </v>
      </c>
      <c r="P141" s="17" t="str">
        <f aca="false">IF((E141="c"),H141," ")</f>
        <v> </v>
      </c>
      <c r="Q141" s="17" t="str">
        <f aca="false">IF((E141="o"),H141," ")</f>
        <v> </v>
      </c>
      <c r="R141" s="17" t="str">
        <f aca="false">IF((E141="d"),H141," ")</f>
        <v> </v>
      </c>
      <c r="S141" s="17" t="str">
        <f aca="false">IF((E141="w"),H141," ")</f>
        <v> </v>
      </c>
      <c r="T141" s="17" t="str">
        <f aca="false">IF((E141="r"),H141," ")</f>
        <v> </v>
      </c>
      <c r="U141" s="17" t="str">
        <f aca="false">IF((E141="p"),H141," ")</f>
        <v> </v>
      </c>
      <c r="V141" s="17" t="str">
        <f aca="false">IF((E141="t"),H141," ")</f>
        <v> </v>
      </c>
      <c r="W141" s="17" t="str">
        <f aca="false">IF((E141="q"),H141," ")</f>
        <v> </v>
      </c>
      <c r="X141" s="17" t="str">
        <f aca="false">IF((E141="m"),H141," ")</f>
        <v> </v>
      </c>
      <c r="Y141" s="17" t="str">
        <f aca="false">IF((E141="u"),H141," ")</f>
        <v> </v>
      </c>
      <c r="Z141" s="17" t="str">
        <f aca="false">IF((E141="a"),H141," ")</f>
        <v> </v>
      </c>
      <c r="AA141" s="17" t="str">
        <f aca="false">IF((E141="g"),H141," ")</f>
        <v> </v>
      </c>
      <c r="AB141" s="17" t="str">
        <f aca="false">IF((E141="h"),H141," ")</f>
        <v> </v>
      </c>
      <c r="AC141" s="30" t="str">
        <f aca="false">IF((E141="v"),H141," ")</f>
        <v> </v>
      </c>
      <c r="AD141" s="30" t="str">
        <f aca="false">IF((E141="n"),H141," ")</f>
        <v> </v>
      </c>
      <c r="AE141" s="17" t="str">
        <f aca="false">IF((E141="f"),H141," ")</f>
        <v> </v>
      </c>
      <c r="AF141" s="17" t="str">
        <f aca="false">IF((E141="l"),H141," ")</f>
        <v> </v>
      </c>
      <c r="AG141" s="17" t="str">
        <f aca="false">IF((E141="y"),H141," ")</f>
        <v> </v>
      </c>
      <c r="AH141" s="17" t="str">
        <f aca="false">IF((E141="z"),H141," ")</f>
        <v> </v>
      </c>
      <c r="AI141" s="17" t="str">
        <f aca="false">IF((E141="fa"),H141," ")</f>
        <v> </v>
      </c>
      <c r="AJ141" s="17" t="str">
        <f aca="false">IF((E141="e"),H141," ")</f>
        <v> </v>
      </c>
    </row>
    <row r="142" customFormat="false" ht="12" hidden="false" customHeight="false" outlineLevel="0" collapsed="false">
      <c r="A142" s="28"/>
      <c r="E142" s="2" t="str">
        <f aca="false">IF((F142&lt;&gt;0),"Enter Letter"," ")</f>
        <v> </v>
      </c>
      <c r="F142" s="30"/>
      <c r="G142" s="6" t="str">
        <f aca="false">IF(F142&lt;&gt;0,F142*G$2/(100+G$2)," ")</f>
        <v> </v>
      </c>
      <c r="H142" s="6" t="str">
        <f aca="false">IF((F142&lt;&gt;0),F142-G142," ")</f>
        <v> </v>
      </c>
      <c r="I142" s="5"/>
      <c r="L142" s="7" t="str">
        <f aca="false">IF(F142&lt;&gt;0,F142-K142," ")</f>
        <v> </v>
      </c>
      <c r="M142" s="8" t="str">
        <f aca="false">IF((F142-K142)&lt;&gt;0,M$1-A142," ")</f>
        <v> </v>
      </c>
      <c r="N142" s="5"/>
      <c r="O142" s="17" t="str">
        <f aca="false">IF((E142="s"),H142," ")</f>
        <v> </v>
      </c>
      <c r="P142" s="17" t="str">
        <f aca="false">IF((E142="c"),H142," ")</f>
        <v> </v>
      </c>
      <c r="Q142" s="17" t="str">
        <f aca="false">IF((E142="o"),H142," ")</f>
        <v> </v>
      </c>
      <c r="R142" s="17" t="str">
        <f aca="false">IF((E142="d"),H142," ")</f>
        <v> </v>
      </c>
      <c r="S142" s="17" t="str">
        <f aca="false">IF((E142="w"),H142," ")</f>
        <v> </v>
      </c>
      <c r="T142" s="17" t="str">
        <f aca="false">IF((E142="r"),H142," ")</f>
        <v> </v>
      </c>
      <c r="U142" s="17" t="str">
        <f aca="false">IF((E142="p"),H142," ")</f>
        <v> </v>
      </c>
      <c r="V142" s="17" t="str">
        <f aca="false">IF((E142="t"),H142," ")</f>
        <v> </v>
      </c>
      <c r="W142" s="17" t="str">
        <f aca="false">IF((E142="q"),H142," ")</f>
        <v> </v>
      </c>
      <c r="X142" s="17" t="str">
        <f aca="false">IF((E142="m"),H142," ")</f>
        <v> </v>
      </c>
      <c r="Y142" s="17" t="str">
        <f aca="false">IF((E142="u"),H142," ")</f>
        <v> </v>
      </c>
      <c r="Z142" s="17" t="str">
        <f aca="false">IF((E142="a"),H142," ")</f>
        <v> </v>
      </c>
      <c r="AA142" s="17" t="str">
        <f aca="false">IF((E142="g"),H142," ")</f>
        <v> </v>
      </c>
      <c r="AB142" s="17" t="str">
        <f aca="false">IF((E142="h"),H142," ")</f>
        <v> </v>
      </c>
      <c r="AC142" s="30" t="str">
        <f aca="false">IF((E142="v"),H142," ")</f>
        <v> </v>
      </c>
      <c r="AD142" s="30" t="str">
        <f aca="false">IF((E142="n"),H142," ")</f>
        <v> </v>
      </c>
      <c r="AE142" s="17" t="str">
        <f aca="false">IF((E142="f"),H142," ")</f>
        <v> </v>
      </c>
      <c r="AF142" s="17" t="str">
        <f aca="false">IF((E142="l"),H142," ")</f>
        <v> </v>
      </c>
      <c r="AG142" s="17" t="str">
        <f aca="false">IF((E142="y"),H142," ")</f>
        <v> </v>
      </c>
      <c r="AH142" s="17" t="str">
        <f aca="false">IF((E142="z"),H142," ")</f>
        <v> </v>
      </c>
      <c r="AI142" s="17" t="str">
        <f aca="false">IF((E142="fa"),H142," ")</f>
        <v> </v>
      </c>
      <c r="AJ142" s="17" t="str">
        <f aca="false">IF((E142="e"),H142," ")</f>
        <v> </v>
      </c>
    </row>
    <row r="143" customFormat="false" ht="12" hidden="false" customHeight="false" outlineLevel="0" collapsed="false">
      <c r="A143" s="28"/>
      <c r="E143" s="2" t="str">
        <f aca="false">IF((F143&lt;&gt;0),"Enter Letter"," ")</f>
        <v> </v>
      </c>
      <c r="F143" s="30"/>
      <c r="G143" s="6" t="str">
        <f aca="false">IF(F143&lt;&gt;0,F143*G$2/(100+G$2)," ")</f>
        <v> </v>
      </c>
      <c r="H143" s="6" t="str">
        <f aca="false">IF((F143&lt;&gt;0),F143-G143," ")</f>
        <v> </v>
      </c>
      <c r="I143" s="5"/>
      <c r="L143" s="7" t="str">
        <f aca="false">IF(F143&lt;&gt;0,F143-K143," ")</f>
        <v> </v>
      </c>
      <c r="M143" s="8" t="str">
        <f aca="false">IF((F143-K143)&lt;&gt;0,M$1-A143," ")</f>
        <v> </v>
      </c>
      <c r="N143" s="5"/>
      <c r="O143" s="17" t="str">
        <f aca="false">IF((E143="s"),H143," ")</f>
        <v> </v>
      </c>
      <c r="P143" s="17" t="str">
        <f aca="false">IF((E143="c"),H143," ")</f>
        <v> </v>
      </c>
      <c r="Q143" s="17" t="str">
        <f aca="false">IF((E143="o"),H143," ")</f>
        <v> </v>
      </c>
      <c r="R143" s="17" t="str">
        <f aca="false">IF((E143="d"),H143," ")</f>
        <v> </v>
      </c>
      <c r="S143" s="17" t="str">
        <f aca="false">IF((E143="w"),H143," ")</f>
        <v> </v>
      </c>
      <c r="T143" s="17" t="str">
        <f aca="false">IF((E143="r"),H143," ")</f>
        <v> </v>
      </c>
      <c r="U143" s="17" t="str">
        <f aca="false">IF((E143="p"),H143," ")</f>
        <v> </v>
      </c>
      <c r="V143" s="17" t="str">
        <f aca="false">IF((E143="t"),H143," ")</f>
        <v> </v>
      </c>
      <c r="W143" s="17" t="str">
        <f aca="false">IF((E143="q"),H143," ")</f>
        <v> </v>
      </c>
      <c r="X143" s="17" t="str">
        <f aca="false">IF((E143="m"),H143," ")</f>
        <v> </v>
      </c>
      <c r="Y143" s="17" t="str">
        <f aca="false">IF((E143="u"),H143," ")</f>
        <v> </v>
      </c>
      <c r="Z143" s="17" t="str">
        <f aca="false">IF((E143="a"),H143," ")</f>
        <v> </v>
      </c>
      <c r="AA143" s="17" t="str">
        <f aca="false">IF((E143="g"),H143," ")</f>
        <v> </v>
      </c>
      <c r="AB143" s="17" t="str">
        <f aca="false">IF((E143="h"),H143," ")</f>
        <v> </v>
      </c>
      <c r="AC143" s="30" t="str">
        <f aca="false">IF((E143="v"),H143," ")</f>
        <v> </v>
      </c>
      <c r="AD143" s="30" t="str">
        <f aca="false">IF((E143="n"),H143," ")</f>
        <v> </v>
      </c>
      <c r="AE143" s="17" t="str">
        <f aca="false">IF((E143="f"),H143," ")</f>
        <v> </v>
      </c>
      <c r="AF143" s="17" t="str">
        <f aca="false">IF((E143="l"),H143," ")</f>
        <v> </v>
      </c>
      <c r="AG143" s="17" t="str">
        <f aca="false">IF((E143="y"),H143," ")</f>
        <v> </v>
      </c>
      <c r="AH143" s="17" t="str">
        <f aca="false">IF((E143="z"),H143," ")</f>
        <v> </v>
      </c>
      <c r="AI143" s="17" t="str">
        <f aca="false">IF((E143="fa"),H143," ")</f>
        <v> </v>
      </c>
      <c r="AJ143" s="17" t="str">
        <f aca="false">IF((E143="e"),H143," ")</f>
        <v> </v>
      </c>
    </row>
    <row r="144" customFormat="false" ht="12" hidden="false" customHeight="false" outlineLevel="0" collapsed="false">
      <c r="A144" s="28"/>
      <c r="E144" s="2" t="str">
        <f aca="false">IF((F144&lt;&gt;0),"Enter Letter"," ")</f>
        <v> </v>
      </c>
      <c r="F144" s="30"/>
      <c r="G144" s="6" t="str">
        <f aca="false">IF(F144&lt;&gt;0,F144*G$2/(100+G$2)," ")</f>
        <v> </v>
      </c>
      <c r="H144" s="6" t="str">
        <f aca="false">IF((F144&lt;&gt;0),F144-G144," ")</f>
        <v> </v>
      </c>
      <c r="I144" s="5"/>
      <c r="L144" s="7" t="str">
        <f aca="false">IF(F144&lt;&gt;0,F144-K144," ")</f>
        <v> </v>
      </c>
      <c r="M144" s="8" t="str">
        <f aca="false">IF((F144-K144)&lt;&gt;0,M$1-A144," ")</f>
        <v> </v>
      </c>
      <c r="N144" s="5"/>
      <c r="O144" s="17" t="str">
        <f aca="false">IF((E144="s"),H144," ")</f>
        <v> </v>
      </c>
      <c r="P144" s="17" t="str">
        <f aca="false">IF((E144="c"),H144," ")</f>
        <v> </v>
      </c>
      <c r="Q144" s="17" t="str">
        <f aca="false">IF((E144="o"),H144," ")</f>
        <v> </v>
      </c>
      <c r="R144" s="17" t="str">
        <f aca="false">IF((E144="d"),H144," ")</f>
        <v> </v>
      </c>
      <c r="S144" s="17" t="str">
        <f aca="false">IF((E144="w"),H144," ")</f>
        <v> </v>
      </c>
      <c r="T144" s="17" t="str">
        <f aca="false">IF((E144="r"),H144," ")</f>
        <v> </v>
      </c>
      <c r="U144" s="17" t="str">
        <f aca="false">IF((E144="p"),H144," ")</f>
        <v> </v>
      </c>
      <c r="V144" s="17" t="str">
        <f aca="false">IF((E144="t"),H144," ")</f>
        <v> </v>
      </c>
      <c r="W144" s="17" t="str">
        <f aca="false">IF((E144="q"),H144," ")</f>
        <v> </v>
      </c>
      <c r="X144" s="17" t="str">
        <f aca="false">IF((E144="m"),H144," ")</f>
        <v> </v>
      </c>
      <c r="Y144" s="17" t="str">
        <f aca="false">IF((E144="u"),H144," ")</f>
        <v> </v>
      </c>
      <c r="Z144" s="17" t="str">
        <f aca="false">IF((E144="a"),H144," ")</f>
        <v> </v>
      </c>
      <c r="AA144" s="17" t="str">
        <f aca="false">IF((E144="g"),H144," ")</f>
        <v> </v>
      </c>
      <c r="AB144" s="17" t="str">
        <f aca="false">IF((E144="h"),H144," ")</f>
        <v> </v>
      </c>
      <c r="AC144" s="30" t="str">
        <f aca="false">IF((E144="v"),H144," ")</f>
        <v> </v>
      </c>
      <c r="AD144" s="30" t="str">
        <f aca="false">IF((E144="n"),H144," ")</f>
        <v> </v>
      </c>
      <c r="AE144" s="17" t="str">
        <f aca="false">IF((E144="f"),H144," ")</f>
        <v> </v>
      </c>
      <c r="AF144" s="17" t="str">
        <f aca="false">IF((E144="l"),H144," ")</f>
        <v> </v>
      </c>
      <c r="AG144" s="17" t="str">
        <f aca="false">IF((E144="y"),H144," ")</f>
        <v> </v>
      </c>
      <c r="AH144" s="17" t="str">
        <f aca="false">IF((E144="z"),H144," ")</f>
        <v> </v>
      </c>
      <c r="AI144" s="17" t="str">
        <f aca="false">IF((E144="fa"),H144," ")</f>
        <v> </v>
      </c>
      <c r="AJ144" s="17" t="str">
        <f aca="false">IF((E144="e"),H144," ")</f>
        <v> </v>
      </c>
    </row>
    <row r="145" customFormat="false" ht="12" hidden="false" customHeight="false" outlineLevel="0" collapsed="false">
      <c r="A145" s="28"/>
      <c r="E145" s="2" t="str">
        <f aca="false">IF((F145&lt;&gt;0),"Enter Letter"," ")</f>
        <v> </v>
      </c>
      <c r="F145" s="30"/>
      <c r="G145" s="6" t="str">
        <f aca="false">IF(F145&lt;&gt;0,F145*G$2/(100+G$2)," ")</f>
        <v> </v>
      </c>
      <c r="H145" s="6" t="str">
        <f aca="false">IF((F145&lt;&gt;0),F145-G145," ")</f>
        <v> </v>
      </c>
      <c r="I145" s="5"/>
      <c r="L145" s="7" t="str">
        <f aca="false">IF(F145&lt;&gt;0,F145-K145," ")</f>
        <v> </v>
      </c>
      <c r="M145" s="8" t="str">
        <f aca="false">IF((F145-K145)&lt;&gt;0,M$1-A145," ")</f>
        <v> </v>
      </c>
      <c r="N145" s="5"/>
      <c r="O145" s="17" t="str">
        <f aca="false">IF((E145="s"),H145," ")</f>
        <v> </v>
      </c>
      <c r="P145" s="17" t="str">
        <f aca="false">IF((E145="c"),H145," ")</f>
        <v> </v>
      </c>
      <c r="Q145" s="17" t="str">
        <f aca="false">IF((E145="o"),H145," ")</f>
        <v> </v>
      </c>
      <c r="R145" s="17" t="str">
        <f aca="false">IF((E145="d"),H145," ")</f>
        <v> </v>
      </c>
      <c r="S145" s="17" t="str">
        <f aca="false">IF((E145="w"),H145," ")</f>
        <v> </v>
      </c>
      <c r="T145" s="17" t="str">
        <f aca="false">IF((E145="r"),H145," ")</f>
        <v> </v>
      </c>
      <c r="U145" s="17" t="str">
        <f aca="false">IF((E145="p"),H145," ")</f>
        <v> </v>
      </c>
      <c r="V145" s="17" t="str">
        <f aca="false">IF((E145="t"),H145," ")</f>
        <v> </v>
      </c>
      <c r="W145" s="17" t="str">
        <f aca="false">IF((E145="q"),H145," ")</f>
        <v> </v>
      </c>
      <c r="X145" s="17" t="str">
        <f aca="false">IF((E145="m"),H145," ")</f>
        <v> </v>
      </c>
      <c r="Y145" s="17" t="str">
        <f aca="false">IF((E145="u"),H145," ")</f>
        <v> </v>
      </c>
      <c r="Z145" s="17" t="str">
        <f aca="false">IF((E145="a"),H145," ")</f>
        <v> </v>
      </c>
      <c r="AA145" s="17" t="str">
        <f aca="false">IF((E145="g"),H145," ")</f>
        <v> </v>
      </c>
      <c r="AB145" s="17" t="str">
        <f aca="false">IF((E145="h"),H145," ")</f>
        <v> </v>
      </c>
      <c r="AC145" s="30" t="str">
        <f aca="false">IF((E145="v"),H145," ")</f>
        <v> </v>
      </c>
      <c r="AD145" s="30" t="str">
        <f aca="false">IF((E145="n"),H145," ")</f>
        <v> </v>
      </c>
      <c r="AE145" s="17" t="str">
        <f aca="false">IF((E145="f"),H145," ")</f>
        <v> </v>
      </c>
      <c r="AF145" s="17" t="str">
        <f aca="false">IF((E145="l"),H145," ")</f>
        <v> </v>
      </c>
      <c r="AG145" s="17" t="str">
        <f aca="false">IF((E145="y"),H145," ")</f>
        <v> </v>
      </c>
      <c r="AH145" s="17" t="str">
        <f aca="false">IF((E145="z"),H145," ")</f>
        <v> </v>
      </c>
      <c r="AI145" s="17" t="str">
        <f aca="false">IF((E145="fa"),H145," ")</f>
        <v> </v>
      </c>
      <c r="AJ145" s="17" t="str">
        <f aca="false">IF((E145="e"),H145," ")</f>
        <v> </v>
      </c>
    </row>
    <row r="146" customFormat="false" ht="12" hidden="false" customHeight="false" outlineLevel="0" collapsed="false">
      <c r="A146" s="28"/>
      <c r="E146" s="2" t="str">
        <f aca="false">IF((F146&lt;&gt;0),"Enter Letter"," ")</f>
        <v> </v>
      </c>
      <c r="F146" s="30"/>
      <c r="G146" s="6" t="str">
        <f aca="false">IF(F146&lt;&gt;0,F146*G$2/(100+G$2)," ")</f>
        <v> </v>
      </c>
      <c r="H146" s="6" t="str">
        <f aca="false">IF((F146&lt;&gt;0),F146-G146," ")</f>
        <v> </v>
      </c>
      <c r="I146" s="5"/>
      <c r="L146" s="7" t="str">
        <f aca="false">IF(F146&lt;&gt;0,F146-K146," ")</f>
        <v> </v>
      </c>
      <c r="M146" s="8" t="str">
        <f aca="false">IF((F146-K146)&lt;&gt;0,M$1-A146," ")</f>
        <v> </v>
      </c>
      <c r="N146" s="5"/>
      <c r="O146" s="17" t="str">
        <f aca="false">IF((E146="s"),H146," ")</f>
        <v> </v>
      </c>
      <c r="P146" s="17" t="str">
        <f aca="false">IF((E146="c"),H146," ")</f>
        <v> </v>
      </c>
      <c r="Q146" s="17" t="str">
        <f aca="false">IF((E146="o"),H146," ")</f>
        <v> </v>
      </c>
      <c r="R146" s="17" t="str">
        <f aca="false">IF((E146="d"),H146," ")</f>
        <v> </v>
      </c>
      <c r="S146" s="17" t="str">
        <f aca="false">IF((E146="w"),H146," ")</f>
        <v> </v>
      </c>
      <c r="T146" s="17" t="str">
        <f aca="false">IF((E146="r"),H146," ")</f>
        <v> </v>
      </c>
      <c r="U146" s="17" t="str">
        <f aca="false">IF((E146="p"),H146," ")</f>
        <v> </v>
      </c>
      <c r="V146" s="17" t="str">
        <f aca="false">IF((E146="t"),H146," ")</f>
        <v> </v>
      </c>
      <c r="W146" s="17" t="str">
        <f aca="false">IF((E146="q"),H146," ")</f>
        <v> </v>
      </c>
      <c r="X146" s="17" t="str">
        <f aca="false">IF((E146="m"),H146," ")</f>
        <v> </v>
      </c>
      <c r="Y146" s="17" t="str">
        <f aca="false">IF((E146="u"),H146," ")</f>
        <v> </v>
      </c>
      <c r="Z146" s="17" t="str">
        <f aca="false">IF((E146="a"),H146," ")</f>
        <v> </v>
      </c>
      <c r="AA146" s="17" t="str">
        <f aca="false">IF((E146="g"),H146," ")</f>
        <v> </v>
      </c>
      <c r="AB146" s="17" t="str">
        <f aca="false">IF((E146="h"),H146," ")</f>
        <v> </v>
      </c>
      <c r="AC146" s="30" t="str">
        <f aca="false">IF((E146="v"),H146," ")</f>
        <v> </v>
      </c>
      <c r="AD146" s="30" t="str">
        <f aca="false">IF((E146="n"),H146," ")</f>
        <v> </v>
      </c>
      <c r="AE146" s="17" t="str">
        <f aca="false">IF((E146="f"),H146," ")</f>
        <v> </v>
      </c>
      <c r="AF146" s="17" t="str">
        <f aca="false">IF((E146="l"),H146," ")</f>
        <v> </v>
      </c>
      <c r="AG146" s="17" t="str">
        <f aca="false">IF((E146="y"),H146," ")</f>
        <v> </v>
      </c>
      <c r="AH146" s="17" t="str">
        <f aca="false">IF((E146="z"),H146," ")</f>
        <v> </v>
      </c>
      <c r="AI146" s="17" t="str">
        <f aca="false">IF((E146="fa"),H146," ")</f>
        <v> </v>
      </c>
      <c r="AJ146" s="17" t="str">
        <f aca="false">IF((E146="e"),H146," ")</f>
        <v> </v>
      </c>
    </row>
    <row r="147" customFormat="false" ht="12" hidden="false" customHeight="false" outlineLevel="0" collapsed="false">
      <c r="A147" s="28"/>
      <c r="E147" s="2" t="str">
        <f aca="false">IF((F147&lt;&gt;0),"Enter Letter"," ")</f>
        <v> </v>
      </c>
      <c r="F147" s="30"/>
      <c r="G147" s="6" t="str">
        <f aca="false">IF(F147&lt;&gt;0,F147*G$2/(100+G$2)," ")</f>
        <v> </v>
      </c>
      <c r="H147" s="6" t="str">
        <f aca="false">IF((F147&lt;&gt;0),F147-G147," ")</f>
        <v> </v>
      </c>
      <c r="I147" s="5"/>
      <c r="L147" s="7" t="str">
        <f aca="false">IF(F147&lt;&gt;0,F147-K147," ")</f>
        <v> </v>
      </c>
      <c r="M147" s="8" t="str">
        <f aca="false">IF((F147-K147)&lt;&gt;0,M$1-A147," ")</f>
        <v> </v>
      </c>
      <c r="N147" s="5"/>
      <c r="O147" s="17" t="str">
        <f aca="false">IF((E147="s"),H147," ")</f>
        <v> </v>
      </c>
      <c r="P147" s="17" t="str">
        <f aca="false">IF((E147="c"),H147," ")</f>
        <v> </v>
      </c>
      <c r="Q147" s="17" t="str">
        <f aca="false">IF((E147="o"),H147," ")</f>
        <v> </v>
      </c>
      <c r="R147" s="17" t="str">
        <f aca="false">IF((E147="d"),H147," ")</f>
        <v> </v>
      </c>
      <c r="S147" s="17" t="str">
        <f aca="false">IF((E147="w"),H147," ")</f>
        <v> </v>
      </c>
      <c r="T147" s="17" t="str">
        <f aca="false">IF((E147="r"),H147," ")</f>
        <v> </v>
      </c>
      <c r="U147" s="17" t="str">
        <f aca="false">IF((E147="p"),H147," ")</f>
        <v> </v>
      </c>
      <c r="V147" s="17" t="str">
        <f aca="false">IF((E147="t"),H147," ")</f>
        <v> </v>
      </c>
      <c r="W147" s="17" t="str">
        <f aca="false">IF((E147="q"),H147," ")</f>
        <v> </v>
      </c>
      <c r="X147" s="17" t="str">
        <f aca="false">IF((E147="m"),H147," ")</f>
        <v> </v>
      </c>
      <c r="Y147" s="17" t="str">
        <f aca="false">IF((E147="u"),H147," ")</f>
        <v> </v>
      </c>
      <c r="Z147" s="17" t="str">
        <f aca="false">IF((E147="a"),H147," ")</f>
        <v> </v>
      </c>
      <c r="AA147" s="17" t="str">
        <f aca="false">IF((E147="g"),H147," ")</f>
        <v> </v>
      </c>
      <c r="AB147" s="17" t="str">
        <f aca="false">IF((E147="h"),H147," ")</f>
        <v> </v>
      </c>
      <c r="AC147" s="30" t="str">
        <f aca="false">IF((E147="v"),H147," ")</f>
        <v> </v>
      </c>
      <c r="AD147" s="30" t="str">
        <f aca="false">IF((E147="n"),H147," ")</f>
        <v> </v>
      </c>
      <c r="AE147" s="17" t="str">
        <f aca="false">IF((E147="f"),H147," ")</f>
        <v> </v>
      </c>
      <c r="AF147" s="17" t="str">
        <f aca="false">IF((E147="l"),H147," ")</f>
        <v> </v>
      </c>
      <c r="AG147" s="17" t="str">
        <f aca="false">IF((E147="y"),H147," ")</f>
        <v> </v>
      </c>
      <c r="AH147" s="17" t="str">
        <f aca="false">IF((E147="z"),H147," ")</f>
        <v> </v>
      </c>
      <c r="AI147" s="17" t="str">
        <f aca="false">IF((E147="fa"),H147," ")</f>
        <v> </v>
      </c>
      <c r="AJ147" s="17" t="str">
        <f aca="false">IF((E147="e"),H147," ")</f>
        <v> </v>
      </c>
    </row>
    <row r="148" customFormat="false" ht="12" hidden="false" customHeight="false" outlineLevel="0" collapsed="false">
      <c r="A148" s="28"/>
      <c r="E148" s="2" t="str">
        <f aca="false">IF((F148&lt;&gt;0),"Enter Letter"," ")</f>
        <v> </v>
      </c>
      <c r="F148" s="30"/>
      <c r="G148" s="6" t="str">
        <f aca="false">IF(F148&lt;&gt;0,F148*G$2/(100+G$2)," ")</f>
        <v> </v>
      </c>
      <c r="H148" s="6" t="str">
        <f aca="false">IF((F148&lt;&gt;0),F148-G148," ")</f>
        <v> </v>
      </c>
      <c r="I148" s="5"/>
      <c r="L148" s="7" t="str">
        <f aca="false">IF(F148&lt;&gt;0,F148-K148," ")</f>
        <v> </v>
      </c>
      <c r="M148" s="8" t="str">
        <f aca="false">IF((F148-K148)&lt;&gt;0,M$1-A148," ")</f>
        <v> </v>
      </c>
      <c r="N148" s="5"/>
      <c r="O148" s="17" t="str">
        <f aca="false">IF((E148="s"),H148," ")</f>
        <v> </v>
      </c>
      <c r="P148" s="17" t="str">
        <f aca="false">IF((E148="c"),H148," ")</f>
        <v> </v>
      </c>
      <c r="Q148" s="17" t="str">
        <f aca="false">IF((E148="o"),H148," ")</f>
        <v> </v>
      </c>
      <c r="R148" s="17" t="str">
        <f aca="false">IF((E148="d"),H148," ")</f>
        <v> </v>
      </c>
      <c r="S148" s="17" t="str">
        <f aca="false">IF((E148="w"),H148," ")</f>
        <v> </v>
      </c>
      <c r="T148" s="17" t="str">
        <f aca="false">IF((E148="r"),H148," ")</f>
        <v> </v>
      </c>
      <c r="U148" s="17" t="str">
        <f aca="false">IF((E148="p"),H148," ")</f>
        <v> </v>
      </c>
      <c r="V148" s="17" t="str">
        <f aca="false">IF((E148="t"),H148," ")</f>
        <v> </v>
      </c>
      <c r="W148" s="17" t="str">
        <f aca="false">IF((E148="q"),H148," ")</f>
        <v> </v>
      </c>
      <c r="X148" s="17" t="str">
        <f aca="false">IF((E148="m"),H148," ")</f>
        <v> </v>
      </c>
      <c r="Y148" s="17" t="str">
        <f aca="false">IF((E148="u"),H148," ")</f>
        <v> </v>
      </c>
      <c r="Z148" s="17" t="str">
        <f aca="false">IF((E148="a"),H148," ")</f>
        <v> </v>
      </c>
      <c r="AA148" s="17" t="str">
        <f aca="false">IF((E148="g"),H148," ")</f>
        <v> </v>
      </c>
      <c r="AB148" s="17" t="str">
        <f aca="false">IF((E148="h"),H148," ")</f>
        <v> </v>
      </c>
      <c r="AC148" s="30" t="str">
        <f aca="false">IF((E148="v"),H148," ")</f>
        <v> </v>
      </c>
      <c r="AD148" s="30" t="str">
        <f aca="false">IF((E148="n"),H148," ")</f>
        <v> </v>
      </c>
      <c r="AE148" s="17" t="str">
        <f aca="false">IF((E148="f"),H148," ")</f>
        <v> </v>
      </c>
      <c r="AF148" s="17" t="str">
        <f aca="false">IF((E148="l"),H148," ")</f>
        <v> </v>
      </c>
      <c r="AG148" s="17" t="str">
        <f aca="false">IF((E148="y"),H148," ")</f>
        <v> </v>
      </c>
      <c r="AH148" s="17" t="str">
        <f aca="false">IF((E148="z"),H148," ")</f>
        <v> </v>
      </c>
      <c r="AI148" s="17" t="str">
        <f aca="false">IF((E148="fa"),H148," ")</f>
        <v> </v>
      </c>
      <c r="AJ148" s="17" t="str">
        <f aca="false">IF((E148="e"),H148," ")</f>
        <v> </v>
      </c>
    </row>
    <row r="149" customFormat="false" ht="12" hidden="false" customHeight="false" outlineLevel="0" collapsed="false">
      <c r="A149" s="28"/>
      <c r="E149" s="2" t="str">
        <f aca="false">IF((F149&lt;&gt;0),"Enter Letter"," ")</f>
        <v> </v>
      </c>
      <c r="F149" s="30"/>
      <c r="G149" s="6" t="str">
        <f aca="false">IF(F149&lt;&gt;0,F149*G$2/(100+G$2)," ")</f>
        <v> </v>
      </c>
      <c r="H149" s="6" t="str">
        <f aca="false">IF((F149&lt;&gt;0),F149-G149," ")</f>
        <v> </v>
      </c>
      <c r="I149" s="5"/>
      <c r="L149" s="7" t="str">
        <f aca="false">IF(F149&lt;&gt;0,F149-K149," ")</f>
        <v> </v>
      </c>
      <c r="M149" s="8" t="str">
        <f aca="false">IF((F149-K149)&lt;&gt;0,M$1-A149," ")</f>
        <v> </v>
      </c>
      <c r="N149" s="5"/>
      <c r="O149" s="17" t="str">
        <f aca="false">IF((E149="s"),H149," ")</f>
        <v> </v>
      </c>
      <c r="P149" s="17" t="str">
        <f aca="false">IF((E149="c"),H149," ")</f>
        <v> </v>
      </c>
      <c r="Q149" s="17" t="str">
        <f aca="false">IF((E149="o"),H149," ")</f>
        <v> </v>
      </c>
      <c r="R149" s="17" t="str">
        <f aca="false">IF((E149="d"),H149," ")</f>
        <v> </v>
      </c>
      <c r="S149" s="17" t="str">
        <f aca="false">IF((E149="w"),H149," ")</f>
        <v> </v>
      </c>
      <c r="T149" s="17" t="str">
        <f aca="false">IF((E149="r"),H149," ")</f>
        <v> </v>
      </c>
      <c r="U149" s="17" t="str">
        <f aca="false">IF((E149="p"),H149," ")</f>
        <v> </v>
      </c>
      <c r="V149" s="17" t="str">
        <f aca="false">IF((E149="t"),H149," ")</f>
        <v> </v>
      </c>
      <c r="W149" s="17" t="str">
        <f aca="false">IF((E149="q"),H149," ")</f>
        <v> </v>
      </c>
      <c r="X149" s="17" t="str">
        <f aca="false">IF((E149="m"),H149," ")</f>
        <v> </v>
      </c>
      <c r="Y149" s="17" t="str">
        <f aca="false">IF((E149="u"),H149," ")</f>
        <v> </v>
      </c>
      <c r="Z149" s="17" t="str">
        <f aca="false">IF((E149="a"),H149," ")</f>
        <v> </v>
      </c>
      <c r="AA149" s="17" t="str">
        <f aca="false">IF((E149="g"),H149," ")</f>
        <v> </v>
      </c>
      <c r="AB149" s="17" t="str">
        <f aca="false">IF((E149="h"),H149," ")</f>
        <v> </v>
      </c>
      <c r="AC149" s="30" t="str">
        <f aca="false">IF((E149="v"),H149," ")</f>
        <v> </v>
      </c>
      <c r="AD149" s="30" t="str">
        <f aca="false">IF((E149="n"),H149," ")</f>
        <v> </v>
      </c>
      <c r="AE149" s="17" t="str">
        <f aca="false">IF((E149="f"),H149," ")</f>
        <v> </v>
      </c>
      <c r="AF149" s="17" t="str">
        <f aca="false">IF((E149="l"),H149," ")</f>
        <v> </v>
      </c>
      <c r="AG149" s="17" t="str">
        <f aca="false">IF((E149="y"),H149," ")</f>
        <v> </v>
      </c>
      <c r="AH149" s="17" t="str">
        <f aca="false">IF((E149="z"),H149," ")</f>
        <v> </v>
      </c>
      <c r="AI149" s="17" t="str">
        <f aca="false">IF((E149="fa"),H149," ")</f>
        <v> </v>
      </c>
      <c r="AJ149" s="17" t="str">
        <f aca="false">IF((E149="e"),H149," ")</f>
        <v> </v>
      </c>
    </row>
    <row r="150" customFormat="false" ht="12" hidden="false" customHeight="false" outlineLevel="0" collapsed="false">
      <c r="A150" s="28"/>
      <c r="E150" s="2" t="str">
        <f aca="false">IF((F150&lt;&gt;0),"Enter Letter"," ")</f>
        <v> </v>
      </c>
      <c r="F150" s="30"/>
      <c r="G150" s="6" t="str">
        <f aca="false">IF(F150&lt;&gt;0,F150*G$2/(100+G$2)," ")</f>
        <v> </v>
      </c>
      <c r="H150" s="6" t="str">
        <f aca="false">IF((F150&lt;&gt;0),F150-G150," ")</f>
        <v> </v>
      </c>
      <c r="I150" s="5"/>
      <c r="L150" s="7" t="str">
        <f aca="false">IF(F150&lt;&gt;0,F150-K150," ")</f>
        <v> </v>
      </c>
      <c r="M150" s="8" t="str">
        <f aca="false">IF((F150-K150)&lt;&gt;0,M$1-A150," ")</f>
        <v> </v>
      </c>
      <c r="N150" s="5"/>
      <c r="O150" s="17" t="str">
        <f aca="false">IF((E150="s"),H150," ")</f>
        <v> </v>
      </c>
      <c r="P150" s="17" t="str">
        <f aca="false">IF((E150="c"),H150," ")</f>
        <v> </v>
      </c>
      <c r="Q150" s="17" t="str">
        <f aca="false">IF((E150="o"),H150," ")</f>
        <v> </v>
      </c>
      <c r="R150" s="17" t="str">
        <f aca="false">IF((E150="d"),H150," ")</f>
        <v> </v>
      </c>
      <c r="S150" s="17" t="str">
        <f aca="false">IF((E150="w"),H150," ")</f>
        <v> </v>
      </c>
      <c r="T150" s="17" t="str">
        <f aca="false">IF((E150="r"),H150," ")</f>
        <v> </v>
      </c>
      <c r="U150" s="17" t="str">
        <f aca="false">IF((E150="p"),H150," ")</f>
        <v> </v>
      </c>
      <c r="V150" s="17" t="str">
        <f aca="false">IF((E150="t"),H150," ")</f>
        <v> </v>
      </c>
      <c r="W150" s="17" t="str">
        <f aca="false">IF((E150="q"),H150," ")</f>
        <v> </v>
      </c>
      <c r="X150" s="17" t="str">
        <f aca="false">IF((E150="m"),H150," ")</f>
        <v> </v>
      </c>
      <c r="Y150" s="17" t="str">
        <f aca="false">IF((E150="u"),H150," ")</f>
        <v> </v>
      </c>
      <c r="Z150" s="17" t="str">
        <f aca="false">IF((E150="a"),H150," ")</f>
        <v> </v>
      </c>
      <c r="AA150" s="17" t="str">
        <f aca="false">IF((E150="g"),H150," ")</f>
        <v> </v>
      </c>
      <c r="AB150" s="17" t="str">
        <f aca="false">IF((E150="h"),H150," ")</f>
        <v> </v>
      </c>
      <c r="AC150" s="30" t="str">
        <f aca="false">IF((E150="v"),H150," ")</f>
        <v> </v>
      </c>
      <c r="AD150" s="30" t="str">
        <f aca="false">IF((E150="n"),H150," ")</f>
        <v> </v>
      </c>
      <c r="AE150" s="17" t="str">
        <f aca="false">IF((E150="f"),H150," ")</f>
        <v> </v>
      </c>
      <c r="AF150" s="17" t="str">
        <f aca="false">IF((E150="l"),H150," ")</f>
        <v> </v>
      </c>
      <c r="AG150" s="17" t="str">
        <f aca="false">IF((E150="y"),H150," ")</f>
        <v> </v>
      </c>
      <c r="AH150" s="17" t="str">
        <f aca="false">IF((E150="z"),H150," ")</f>
        <v> </v>
      </c>
      <c r="AI150" s="17" t="str">
        <f aca="false">IF((E150="fa"),H150," ")</f>
        <v> </v>
      </c>
      <c r="AJ150" s="17" t="str">
        <f aca="false">IF((E150="e"),H150," ")</f>
        <v> </v>
      </c>
    </row>
    <row r="151" customFormat="false" ht="12" hidden="false" customHeight="false" outlineLevel="0" collapsed="false">
      <c r="A151" s="28"/>
      <c r="E151" s="2" t="str">
        <f aca="false">IF((F151&lt;&gt;0),"Enter Letter"," ")</f>
        <v> </v>
      </c>
      <c r="F151" s="30"/>
      <c r="G151" s="6" t="str">
        <f aca="false">IF(F151&lt;&gt;0,F151*G$2/(100+G$2)," ")</f>
        <v> </v>
      </c>
      <c r="H151" s="6" t="str">
        <f aca="false">IF((F151&lt;&gt;0),F151-G151," ")</f>
        <v> </v>
      </c>
      <c r="I151" s="5"/>
      <c r="L151" s="7" t="str">
        <f aca="false">IF(F151&lt;&gt;0,F151-K151," ")</f>
        <v> </v>
      </c>
      <c r="M151" s="8" t="str">
        <f aca="false">IF((F151-K151)&lt;&gt;0,M$1-A151," ")</f>
        <v> </v>
      </c>
      <c r="N151" s="5"/>
      <c r="O151" s="17" t="str">
        <f aca="false">IF((E151="s"),H151," ")</f>
        <v> </v>
      </c>
      <c r="P151" s="17" t="str">
        <f aca="false">IF((E151="c"),H151," ")</f>
        <v> </v>
      </c>
      <c r="Q151" s="17" t="str">
        <f aca="false">IF((E151="o"),H151," ")</f>
        <v> </v>
      </c>
      <c r="R151" s="17" t="str">
        <f aca="false">IF((E151="d"),H151," ")</f>
        <v> </v>
      </c>
      <c r="S151" s="17" t="str">
        <f aca="false">IF((E151="w"),H151," ")</f>
        <v> </v>
      </c>
      <c r="T151" s="17" t="str">
        <f aca="false">IF((E151="r"),H151," ")</f>
        <v> </v>
      </c>
      <c r="U151" s="17" t="str">
        <f aca="false">IF((E151="p"),H151," ")</f>
        <v> </v>
      </c>
      <c r="V151" s="17" t="str">
        <f aca="false">IF((E151="t"),H151," ")</f>
        <v> </v>
      </c>
      <c r="W151" s="17" t="str">
        <f aca="false">IF((E151="q"),H151," ")</f>
        <v> </v>
      </c>
      <c r="X151" s="17" t="str">
        <f aca="false">IF((E151="m"),H151," ")</f>
        <v> </v>
      </c>
      <c r="Y151" s="17" t="str">
        <f aca="false">IF((E151="u"),H151," ")</f>
        <v> </v>
      </c>
      <c r="Z151" s="17" t="str">
        <f aca="false">IF((E151="a"),H151," ")</f>
        <v> </v>
      </c>
      <c r="AA151" s="17" t="str">
        <f aca="false">IF((E151="g"),H151," ")</f>
        <v> </v>
      </c>
      <c r="AB151" s="17" t="str">
        <f aca="false">IF((E151="h"),H151," ")</f>
        <v> </v>
      </c>
      <c r="AC151" s="30" t="str">
        <f aca="false">IF((E151="v"),H151," ")</f>
        <v> </v>
      </c>
      <c r="AD151" s="30" t="str">
        <f aca="false">IF((E151="n"),H151," ")</f>
        <v> </v>
      </c>
      <c r="AE151" s="17" t="str">
        <f aca="false">IF((E151="f"),H151," ")</f>
        <v> </v>
      </c>
      <c r="AF151" s="17" t="str">
        <f aca="false">IF((E151="l"),H151," ")</f>
        <v> </v>
      </c>
      <c r="AG151" s="17" t="str">
        <f aca="false">IF((E151="y"),H151," ")</f>
        <v> </v>
      </c>
      <c r="AH151" s="17" t="str">
        <f aca="false">IF((E151="z"),H151," ")</f>
        <v> </v>
      </c>
      <c r="AI151" s="17" t="str">
        <f aca="false">IF((E151="fa"),H151," ")</f>
        <v> </v>
      </c>
      <c r="AJ151" s="17" t="str">
        <f aca="false">IF((E151="e"),H151," ")</f>
        <v> </v>
      </c>
    </row>
    <row r="152" customFormat="false" ht="12" hidden="false" customHeight="false" outlineLevel="0" collapsed="false">
      <c r="A152" s="28"/>
      <c r="E152" s="2" t="str">
        <f aca="false">IF((F152&lt;&gt;0),"Enter Letter"," ")</f>
        <v> </v>
      </c>
      <c r="F152" s="30"/>
      <c r="G152" s="6" t="str">
        <f aca="false">IF(F152&lt;&gt;0,F152*G$2/(100+G$2)," ")</f>
        <v> </v>
      </c>
      <c r="H152" s="6" t="str">
        <f aca="false">IF((F152&lt;&gt;0),F152-G152," ")</f>
        <v> </v>
      </c>
      <c r="I152" s="5"/>
      <c r="L152" s="7" t="str">
        <f aca="false">IF(F152&lt;&gt;0,F152-K152," ")</f>
        <v> </v>
      </c>
      <c r="M152" s="8" t="str">
        <f aca="false">IF((F152-K152)&lt;&gt;0,M$1-A152," ")</f>
        <v> </v>
      </c>
      <c r="N152" s="5"/>
      <c r="O152" s="17" t="str">
        <f aca="false">IF((E152="s"),H152," ")</f>
        <v> </v>
      </c>
      <c r="P152" s="17" t="str">
        <f aca="false">IF((E152="c"),H152," ")</f>
        <v> </v>
      </c>
      <c r="Q152" s="17" t="str">
        <f aca="false">IF((E152="o"),H152," ")</f>
        <v> </v>
      </c>
      <c r="R152" s="17" t="str">
        <f aca="false">IF((E152="d"),H152," ")</f>
        <v> </v>
      </c>
      <c r="S152" s="17" t="str">
        <f aca="false">IF((E152="w"),H152," ")</f>
        <v> </v>
      </c>
      <c r="T152" s="17" t="str">
        <f aca="false">IF((E152="r"),H152," ")</f>
        <v> </v>
      </c>
      <c r="U152" s="17" t="str">
        <f aca="false">IF((E152="p"),H152," ")</f>
        <v> </v>
      </c>
      <c r="V152" s="17" t="str">
        <f aca="false">IF((E152="t"),H152," ")</f>
        <v> </v>
      </c>
      <c r="W152" s="17" t="str">
        <f aca="false">IF((E152="q"),H152," ")</f>
        <v> </v>
      </c>
      <c r="X152" s="17" t="str">
        <f aca="false">IF((E152="m"),H152," ")</f>
        <v> </v>
      </c>
      <c r="Y152" s="17" t="str">
        <f aca="false">IF((E152="u"),H152," ")</f>
        <v> </v>
      </c>
      <c r="Z152" s="17" t="str">
        <f aca="false">IF((E152="a"),H152," ")</f>
        <v> </v>
      </c>
      <c r="AA152" s="17" t="str">
        <f aca="false">IF((E152="g"),H152," ")</f>
        <v> </v>
      </c>
      <c r="AB152" s="17" t="str">
        <f aca="false">IF((E152="h"),H152," ")</f>
        <v> </v>
      </c>
      <c r="AC152" s="30" t="str">
        <f aca="false">IF((E152="v"),H152," ")</f>
        <v> </v>
      </c>
      <c r="AD152" s="30" t="str">
        <f aca="false">IF((E152="n"),H152," ")</f>
        <v> </v>
      </c>
      <c r="AE152" s="17" t="str">
        <f aca="false">IF((E152="f"),H152," ")</f>
        <v> </v>
      </c>
      <c r="AF152" s="17" t="str">
        <f aca="false">IF((E152="l"),H152," ")</f>
        <v> </v>
      </c>
      <c r="AG152" s="17" t="str">
        <f aca="false">IF((E152="y"),H152," ")</f>
        <v> </v>
      </c>
      <c r="AH152" s="17" t="str">
        <f aca="false">IF((E152="z"),H152," ")</f>
        <v> </v>
      </c>
      <c r="AI152" s="17" t="str">
        <f aca="false">IF((E152="fa"),H152," ")</f>
        <v> </v>
      </c>
      <c r="AJ152" s="17" t="str">
        <f aca="false">IF((E152="e"),H152," ")</f>
        <v> </v>
      </c>
    </row>
    <row r="153" customFormat="false" ht="12" hidden="false" customHeight="false" outlineLevel="0" collapsed="false">
      <c r="A153" s="28"/>
      <c r="E153" s="2" t="str">
        <f aca="false">IF((F153&lt;&gt;0),"Enter Letter"," ")</f>
        <v> </v>
      </c>
      <c r="F153" s="30"/>
      <c r="G153" s="6" t="str">
        <f aca="false">IF(F153&lt;&gt;0,F153*G$2/(100+G$2)," ")</f>
        <v> </v>
      </c>
      <c r="H153" s="6" t="str">
        <f aca="false">IF((F153&lt;&gt;0),F153-G153," ")</f>
        <v> </v>
      </c>
      <c r="I153" s="5"/>
      <c r="L153" s="7" t="str">
        <f aca="false">IF(F153&lt;&gt;0,F153-K153," ")</f>
        <v> </v>
      </c>
      <c r="M153" s="8" t="str">
        <f aca="false">IF((F153-K153)&lt;&gt;0,M$1-A153," ")</f>
        <v> </v>
      </c>
      <c r="N153" s="5"/>
      <c r="O153" s="17" t="str">
        <f aca="false">IF((E153="s"),H153," ")</f>
        <v> </v>
      </c>
      <c r="P153" s="17" t="str">
        <f aca="false">IF((E153="c"),H153," ")</f>
        <v> </v>
      </c>
      <c r="Q153" s="17" t="str">
        <f aca="false">IF((E153="o"),H153," ")</f>
        <v> </v>
      </c>
      <c r="R153" s="17" t="str">
        <f aca="false">IF((E153="d"),H153," ")</f>
        <v> </v>
      </c>
      <c r="S153" s="17" t="str">
        <f aca="false">IF((E153="w"),H153," ")</f>
        <v> </v>
      </c>
      <c r="T153" s="17" t="str">
        <f aca="false">IF((E153="r"),H153," ")</f>
        <v> </v>
      </c>
      <c r="U153" s="17" t="str">
        <f aca="false">IF((E153="p"),H153," ")</f>
        <v> </v>
      </c>
      <c r="V153" s="17" t="str">
        <f aca="false">IF((E153="t"),H153," ")</f>
        <v> </v>
      </c>
      <c r="W153" s="17" t="str">
        <f aca="false">IF((E153="q"),H153," ")</f>
        <v> </v>
      </c>
      <c r="X153" s="17" t="str">
        <f aca="false">IF((E153="m"),H153," ")</f>
        <v> </v>
      </c>
      <c r="Y153" s="17" t="str">
        <f aca="false">IF((E153="u"),H153," ")</f>
        <v> </v>
      </c>
      <c r="Z153" s="17" t="str">
        <f aca="false">IF((E153="a"),H153," ")</f>
        <v> </v>
      </c>
      <c r="AA153" s="17" t="str">
        <f aca="false">IF((E153="g"),H153," ")</f>
        <v> </v>
      </c>
      <c r="AB153" s="17" t="str">
        <f aca="false">IF((E153="h"),H153," ")</f>
        <v> </v>
      </c>
      <c r="AC153" s="30" t="str">
        <f aca="false">IF((E153="v"),H153," ")</f>
        <v> </v>
      </c>
      <c r="AD153" s="30" t="str">
        <f aca="false">IF((E153="n"),H153," ")</f>
        <v> </v>
      </c>
      <c r="AE153" s="17" t="str">
        <f aca="false">IF((E153="f"),H153," ")</f>
        <v> </v>
      </c>
      <c r="AF153" s="17" t="str">
        <f aca="false">IF((E153="l"),H153," ")</f>
        <v> </v>
      </c>
      <c r="AG153" s="17" t="str">
        <f aca="false">IF((E153="y"),H153," ")</f>
        <v> </v>
      </c>
      <c r="AH153" s="17" t="str">
        <f aca="false">IF((E153="z"),H153," ")</f>
        <v> </v>
      </c>
      <c r="AI153" s="17" t="str">
        <f aca="false">IF((E153="fa"),H153," ")</f>
        <v> </v>
      </c>
      <c r="AJ153" s="17" t="str">
        <f aca="false">IF((E153="e"),H153," ")</f>
        <v> </v>
      </c>
    </row>
    <row r="154" customFormat="false" ht="12" hidden="false" customHeight="false" outlineLevel="0" collapsed="false">
      <c r="A154" s="28"/>
      <c r="E154" s="2" t="str">
        <f aca="false">IF((F154&lt;&gt;0),"Enter Letter"," ")</f>
        <v> </v>
      </c>
      <c r="F154" s="30"/>
      <c r="G154" s="6" t="str">
        <f aca="false">IF(F154&lt;&gt;0,F154*G$2/(100+G$2)," ")</f>
        <v> </v>
      </c>
      <c r="H154" s="6" t="str">
        <f aca="false">IF((F154&lt;&gt;0),F154-G154," ")</f>
        <v> </v>
      </c>
      <c r="I154" s="5"/>
      <c r="L154" s="7" t="str">
        <f aca="false">IF(F154&lt;&gt;0,F154-K154," ")</f>
        <v> </v>
      </c>
      <c r="M154" s="8" t="str">
        <f aca="false">IF((F154-K154)&lt;&gt;0,M$1-A154," ")</f>
        <v> </v>
      </c>
      <c r="N154" s="5"/>
      <c r="O154" s="17" t="str">
        <f aca="false">IF((E154="s"),H154," ")</f>
        <v> </v>
      </c>
      <c r="P154" s="17" t="str">
        <f aca="false">IF((E154="c"),H154," ")</f>
        <v> </v>
      </c>
      <c r="Q154" s="17" t="str">
        <f aca="false">IF((E154="o"),H154," ")</f>
        <v> </v>
      </c>
      <c r="R154" s="17" t="str">
        <f aca="false">IF((E154="d"),H154," ")</f>
        <v> </v>
      </c>
      <c r="S154" s="17" t="str">
        <f aca="false">IF((E154="w"),H154," ")</f>
        <v> </v>
      </c>
      <c r="T154" s="17" t="str">
        <f aca="false">IF((E154="r"),H154," ")</f>
        <v> </v>
      </c>
      <c r="U154" s="17" t="str">
        <f aca="false">IF((E154="p"),H154," ")</f>
        <v> </v>
      </c>
      <c r="V154" s="17" t="str">
        <f aca="false">IF((E154="t"),H154," ")</f>
        <v> </v>
      </c>
      <c r="W154" s="17" t="str">
        <f aca="false">IF((E154="q"),H154," ")</f>
        <v> </v>
      </c>
      <c r="X154" s="17" t="str">
        <f aca="false">IF((E154="m"),H154," ")</f>
        <v> </v>
      </c>
      <c r="Y154" s="17" t="str">
        <f aca="false">IF((E154="u"),H154," ")</f>
        <v> </v>
      </c>
      <c r="Z154" s="17" t="str">
        <f aca="false">IF((E154="a"),H154," ")</f>
        <v> </v>
      </c>
      <c r="AA154" s="17" t="str">
        <f aca="false">IF((E154="g"),H154," ")</f>
        <v> </v>
      </c>
      <c r="AB154" s="17" t="str">
        <f aca="false">IF((E154="h"),H154," ")</f>
        <v> </v>
      </c>
      <c r="AC154" s="30" t="str">
        <f aca="false">IF((E154="v"),H154," ")</f>
        <v> </v>
      </c>
      <c r="AD154" s="30" t="str">
        <f aca="false">IF((E154="n"),H154," ")</f>
        <v> </v>
      </c>
      <c r="AE154" s="17" t="str">
        <f aca="false">IF((E154="f"),H154," ")</f>
        <v> </v>
      </c>
      <c r="AF154" s="17" t="str">
        <f aca="false">IF((E154="l"),H154," ")</f>
        <v> </v>
      </c>
      <c r="AG154" s="17" t="str">
        <f aca="false">IF((E154="y"),H154," ")</f>
        <v> </v>
      </c>
      <c r="AH154" s="17" t="str">
        <f aca="false">IF((E154="z"),H154," ")</f>
        <v> </v>
      </c>
      <c r="AI154" s="17" t="str">
        <f aca="false">IF((E154="fa"),H154," ")</f>
        <v> </v>
      </c>
      <c r="AJ154" s="17" t="str">
        <f aca="false">IF((E154="e"),H154," ")</f>
        <v> </v>
      </c>
    </row>
    <row r="155" customFormat="false" ht="12" hidden="false" customHeight="false" outlineLevel="0" collapsed="false">
      <c r="A155" s="28"/>
      <c r="E155" s="2" t="str">
        <f aca="false">IF((F155&lt;&gt;0),"Enter Letter"," ")</f>
        <v> </v>
      </c>
      <c r="F155" s="30"/>
      <c r="G155" s="6" t="str">
        <f aca="false">IF(F155&lt;&gt;0,F155*G$2/(100+G$2)," ")</f>
        <v> </v>
      </c>
      <c r="H155" s="6" t="str">
        <f aca="false">IF((F155&lt;&gt;0),F155-G155," ")</f>
        <v> </v>
      </c>
      <c r="I155" s="5"/>
      <c r="L155" s="7" t="str">
        <f aca="false">IF(F155&lt;&gt;0,F155-K155," ")</f>
        <v> </v>
      </c>
      <c r="M155" s="8" t="str">
        <f aca="false">IF((F155-K155)&lt;&gt;0,M$1-A155," ")</f>
        <v> </v>
      </c>
      <c r="N155" s="5"/>
      <c r="O155" s="17" t="str">
        <f aca="false">IF((E155="s"),H155," ")</f>
        <v> </v>
      </c>
      <c r="P155" s="17" t="str">
        <f aca="false">IF((E155="c"),H155," ")</f>
        <v> </v>
      </c>
      <c r="Q155" s="17" t="str">
        <f aca="false">IF((E155="o"),H155," ")</f>
        <v> </v>
      </c>
      <c r="R155" s="17" t="str">
        <f aca="false">IF((E155="d"),H155," ")</f>
        <v> </v>
      </c>
      <c r="S155" s="17" t="str">
        <f aca="false">IF((E155="w"),H155," ")</f>
        <v> </v>
      </c>
      <c r="T155" s="17" t="str">
        <f aca="false">IF((E155="r"),H155," ")</f>
        <v> </v>
      </c>
      <c r="U155" s="17" t="str">
        <f aca="false">IF((E155="p"),H155," ")</f>
        <v> </v>
      </c>
      <c r="V155" s="17" t="str">
        <f aca="false">IF((E155="t"),H155," ")</f>
        <v> </v>
      </c>
      <c r="W155" s="17" t="str">
        <f aca="false">IF((E155="q"),H155," ")</f>
        <v> </v>
      </c>
      <c r="X155" s="17" t="str">
        <f aca="false">IF((E155="m"),H155," ")</f>
        <v> </v>
      </c>
      <c r="Y155" s="17" t="str">
        <f aca="false">IF((E155="u"),H155," ")</f>
        <v> </v>
      </c>
      <c r="Z155" s="17" t="str">
        <f aca="false">IF((E155="a"),H155," ")</f>
        <v> </v>
      </c>
      <c r="AA155" s="17" t="str">
        <f aca="false">IF((E155="g"),H155," ")</f>
        <v> </v>
      </c>
      <c r="AB155" s="17" t="str">
        <f aca="false">IF((E155="h"),H155," ")</f>
        <v> </v>
      </c>
      <c r="AC155" s="30" t="str">
        <f aca="false">IF((E155="v"),H155," ")</f>
        <v> </v>
      </c>
      <c r="AD155" s="30" t="str">
        <f aca="false">IF((E155="n"),H155," ")</f>
        <v> </v>
      </c>
      <c r="AE155" s="17" t="str">
        <f aca="false">IF((E155="f"),H155," ")</f>
        <v> </v>
      </c>
      <c r="AF155" s="17" t="str">
        <f aca="false">IF((E155="l"),H155," ")</f>
        <v> </v>
      </c>
      <c r="AG155" s="17" t="str">
        <f aca="false">IF((E155="y"),H155," ")</f>
        <v> </v>
      </c>
      <c r="AH155" s="17" t="str">
        <f aca="false">IF((E155="z"),H155," ")</f>
        <v> </v>
      </c>
      <c r="AI155" s="17" t="str">
        <f aca="false">IF((E155="fa"),H155," ")</f>
        <v> </v>
      </c>
      <c r="AJ155" s="17" t="str">
        <f aca="false">IF((E155="e"),H155," ")</f>
        <v> </v>
      </c>
    </row>
    <row r="156" customFormat="false" ht="12" hidden="false" customHeight="false" outlineLevel="0" collapsed="false">
      <c r="A156" s="28"/>
      <c r="E156" s="2" t="str">
        <f aca="false">IF((F156&lt;&gt;0),"Enter Letter"," ")</f>
        <v> </v>
      </c>
      <c r="F156" s="30"/>
      <c r="G156" s="6" t="str">
        <f aca="false">IF(F156&lt;&gt;0,F156*G$2/(100+G$2)," ")</f>
        <v> </v>
      </c>
      <c r="H156" s="6" t="str">
        <f aca="false">IF((F156&lt;&gt;0),F156-G156," ")</f>
        <v> </v>
      </c>
      <c r="I156" s="5"/>
      <c r="L156" s="7" t="str">
        <f aca="false">IF(F156&lt;&gt;0,F156-K156," ")</f>
        <v> </v>
      </c>
      <c r="M156" s="8" t="str">
        <f aca="false">IF((F156-K156)&lt;&gt;0,M$1-A156," ")</f>
        <v> </v>
      </c>
      <c r="N156" s="5"/>
      <c r="O156" s="17" t="str">
        <f aca="false">IF((E156="s"),H156," ")</f>
        <v> </v>
      </c>
      <c r="P156" s="17" t="str">
        <f aca="false">IF((E156="c"),H156," ")</f>
        <v> </v>
      </c>
      <c r="Q156" s="17" t="str">
        <f aca="false">IF((E156="o"),H156," ")</f>
        <v> </v>
      </c>
      <c r="R156" s="17" t="str">
        <f aca="false">IF((E156="d"),H156," ")</f>
        <v> </v>
      </c>
      <c r="S156" s="17" t="str">
        <f aca="false">IF((E156="w"),H156," ")</f>
        <v> </v>
      </c>
      <c r="T156" s="17" t="str">
        <f aca="false">IF((E156="r"),H156," ")</f>
        <v> </v>
      </c>
      <c r="U156" s="17" t="str">
        <f aca="false">IF((E156="p"),H156," ")</f>
        <v> </v>
      </c>
      <c r="V156" s="17" t="str">
        <f aca="false">IF((E156="t"),H156," ")</f>
        <v> </v>
      </c>
      <c r="W156" s="17" t="str">
        <f aca="false">IF((E156="q"),H156," ")</f>
        <v> </v>
      </c>
      <c r="X156" s="17" t="str">
        <f aca="false">IF((E156="m"),H156," ")</f>
        <v> </v>
      </c>
      <c r="Y156" s="17" t="str">
        <f aca="false">IF((E156="u"),H156," ")</f>
        <v> </v>
      </c>
      <c r="Z156" s="17" t="str">
        <f aca="false">IF((E156="a"),H156," ")</f>
        <v> </v>
      </c>
      <c r="AA156" s="17" t="str">
        <f aca="false">IF((E156="g"),H156," ")</f>
        <v> </v>
      </c>
      <c r="AB156" s="17" t="str">
        <f aca="false">IF((E156="h"),H156," ")</f>
        <v> </v>
      </c>
      <c r="AC156" s="30" t="str">
        <f aca="false">IF((E156="v"),H156," ")</f>
        <v> </v>
      </c>
      <c r="AD156" s="30" t="str">
        <f aca="false">IF((E156="n"),H156," ")</f>
        <v> </v>
      </c>
      <c r="AE156" s="17" t="str">
        <f aca="false">IF((E156="f"),H156," ")</f>
        <v> </v>
      </c>
      <c r="AF156" s="17" t="str">
        <f aca="false">IF((E156="l"),H156," ")</f>
        <v> </v>
      </c>
      <c r="AG156" s="17" t="str">
        <f aca="false">IF((E156="y"),H156," ")</f>
        <v> </v>
      </c>
      <c r="AH156" s="17" t="str">
        <f aca="false">IF((E156="z"),H156," ")</f>
        <v> </v>
      </c>
      <c r="AI156" s="17" t="str">
        <f aca="false">IF((E156="fa"),H156," ")</f>
        <v> </v>
      </c>
      <c r="AJ156" s="17" t="str">
        <f aca="false">IF((E156="e"),H156," ")</f>
        <v> </v>
      </c>
    </row>
    <row r="157" customFormat="false" ht="12" hidden="false" customHeight="false" outlineLevel="0" collapsed="false">
      <c r="A157" s="28"/>
      <c r="E157" s="2" t="str">
        <f aca="false">IF((F157&lt;&gt;0),"Enter Letter"," ")</f>
        <v> </v>
      </c>
      <c r="F157" s="30"/>
      <c r="G157" s="6" t="str">
        <f aca="false">IF(F157&lt;&gt;0,F157*G$2/(100+G$2)," ")</f>
        <v> </v>
      </c>
      <c r="H157" s="6" t="str">
        <f aca="false">IF((F157&lt;&gt;0),F157-G157," ")</f>
        <v> </v>
      </c>
      <c r="I157" s="5"/>
      <c r="L157" s="7" t="str">
        <f aca="false">IF(F157&lt;&gt;0,F157-K157," ")</f>
        <v> </v>
      </c>
      <c r="M157" s="8" t="str">
        <f aca="false">IF((F157-K157)&lt;&gt;0,M$1-A157," ")</f>
        <v> </v>
      </c>
      <c r="N157" s="5"/>
      <c r="O157" s="17" t="str">
        <f aca="false">IF((E157="s"),H157," ")</f>
        <v> </v>
      </c>
      <c r="P157" s="17" t="str">
        <f aca="false">IF((E157="c"),H157," ")</f>
        <v> </v>
      </c>
      <c r="Q157" s="17" t="str">
        <f aca="false">IF((E157="o"),H157," ")</f>
        <v> </v>
      </c>
      <c r="R157" s="17" t="str">
        <f aca="false">IF((E157="d"),H157," ")</f>
        <v> </v>
      </c>
      <c r="S157" s="17" t="str">
        <f aca="false">IF((E157="w"),H157," ")</f>
        <v> </v>
      </c>
      <c r="T157" s="17" t="str">
        <f aca="false">IF((E157="r"),H157," ")</f>
        <v> </v>
      </c>
      <c r="U157" s="17" t="str">
        <f aca="false">IF((E157="p"),H157," ")</f>
        <v> </v>
      </c>
      <c r="V157" s="17" t="str">
        <f aca="false">IF((E157="t"),H157," ")</f>
        <v> </v>
      </c>
      <c r="W157" s="17" t="str">
        <f aca="false">IF((E157="q"),H157," ")</f>
        <v> </v>
      </c>
      <c r="X157" s="17" t="str">
        <f aca="false">IF((E157="m"),H157," ")</f>
        <v> </v>
      </c>
      <c r="Y157" s="17" t="str">
        <f aca="false">IF((E157="u"),H157," ")</f>
        <v> </v>
      </c>
      <c r="Z157" s="17" t="str">
        <f aca="false">IF((E157="a"),H157," ")</f>
        <v> </v>
      </c>
      <c r="AA157" s="17" t="str">
        <f aca="false">IF((E157="g"),H157," ")</f>
        <v> </v>
      </c>
      <c r="AB157" s="17" t="str">
        <f aca="false">IF((E157="h"),H157," ")</f>
        <v> </v>
      </c>
      <c r="AC157" s="30" t="str">
        <f aca="false">IF((E157="v"),H157," ")</f>
        <v> </v>
      </c>
      <c r="AD157" s="30" t="str">
        <f aca="false">IF((E157="n"),H157," ")</f>
        <v> </v>
      </c>
      <c r="AE157" s="17" t="str">
        <f aca="false">IF((E157="f"),H157," ")</f>
        <v> </v>
      </c>
      <c r="AF157" s="17" t="str">
        <f aca="false">IF((E157="l"),H157," ")</f>
        <v> </v>
      </c>
      <c r="AG157" s="17" t="str">
        <f aca="false">IF((E157="y"),H157," ")</f>
        <v> </v>
      </c>
      <c r="AH157" s="17" t="str">
        <f aca="false">IF((E157="z"),H157," ")</f>
        <v> </v>
      </c>
      <c r="AI157" s="17" t="str">
        <f aca="false">IF((E157="fa"),H157," ")</f>
        <v> </v>
      </c>
      <c r="AJ157" s="17" t="str">
        <f aca="false">IF((E157="e"),H157," ")</f>
        <v> </v>
      </c>
    </row>
    <row r="158" customFormat="false" ht="12" hidden="false" customHeight="false" outlineLevel="0" collapsed="false">
      <c r="A158" s="28"/>
      <c r="E158" s="2" t="str">
        <f aca="false">IF((F158&lt;&gt;0),"Enter Letter"," ")</f>
        <v> </v>
      </c>
      <c r="F158" s="30"/>
      <c r="G158" s="6" t="str">
        <f aca="false">IF(F158&lt;&gt;0,F158*G$2/(100+G$2)," ")</f>
        <v> </v>
      </c>
      <c r="H158" s="6" t="str">
        <f aca="false">IF((F158&lt;&gt;0),F158-G158," ")</f>
        <v> </v>
      </c>
      <c r="I158" s="5"/>
      <c r="L158" s="7" t="str">
        <f aca="false">IF(F158&lt;&gt;0,F158-K158," ")</f>
        <v> </v>
      </c>
      <c r="M158" s="8" t="str">
        <f aca="false">IF((F158-K158)&lt;&gt;0,M$1-A158," ")</f>
        <v> </v>
      </c>
      <c r="N158" s="5"/>
      <c r="O158" s="17" t="str">
        <f aca="false">IF((E158="s"),H158," ")</f>
        <v> </v>
      </c>
      <c r="P158" s="17" t="str">
        <f aca="false">IF((E158="c"),H158," ")</f>
        <v> </v>
      </c>
      <c r="Q158" s="17" t="str">
        <f aca="false">IF((E158="o"),H158," ")</f>
        <v> </v>
      </c>
      <c r="R158" s="17" t="str">
        <f aca="false">IF((E158="d"),H158," ")</f>
        <v> </v>
      </c>
      <c r="S158" s="17" t="str">
        <f aca="false">IF((E158="w"),H158," ")</f>
        <v> </v>
      </c>
      <c r="T158" s="17" t="str">
        <f aca="false">IF((E158="r"),H158," ")</f>
        <v> </v>
      </c>
      <c r="U158" s="17" t="str">
        <f aca="false">IF((E158="p"),H158," ")</f>
        <v> </v>
      </c>
      <c r="V158" s="17" t="str">
        <f aca="false">IF((E158="t"),H158," ")</f>
        <v> </v>
      </c>
      <c r="W158" s="17" t="str">
        <f aca="false">IF((E158="q"),H158," ")</f>
        <v> </v>
      </c>
      <c r="X158" s="17" t="str">
        <f aca="false">IF((E158="m"),H158," ")</f>
        <v> </v>
      </c>
      <c r="Y158" s="17" t="str">
        <f aca="false">IF((E158="u"),H158," ")</f>
        <v> </v>
      </c>
      <c r="Z158" s="17" t="str">
        <f aca="false">IF((E158="a"),H158," ")</f>
        <v> </v>
      </c>
      <c r="AA158" s="17" t="str">
        <f aca="false">IF((E158="g"),H158," ")</f>
        <v> </v>
      </c>
      <c r="AB158" s="17" t="str">
        <f aca="false">IF((E158="h"),H158," ")</f>
        <v> </v>
      </c>
      <c r="AC158" s="30" t="str">
        <f aca="false">IF((E158="v"),H158," ")</f>
        <v> </v>
      </c>
      <c r="AD158" s="30" t="str">
        <f aca="false">IF((E158="n"),H158," ")</f>
        <v> </v>
      </c>
      <c r="AE158" s="17" t="str">
        <f aca="false">IF((E158="f"),H158," ")</f>
        <v> </v>
      </c>
      <c r="AF158" s="17" t="str">
        <f aca="false">IF((E158="l"),H158," ")</f>
        <v> </v>
      </c>
      <c r="AG158" s="17" t="str">
        <f aca="false">IF((E158="y"),H158," ")</f>
        <v> </v>
      </c>
      <c r="AH158" s="17" t="str">
        <f aca="false">IF((E158="z"),H158," ")</f>
        <v> </v>
      </c>
      <c r="AI158" s="17" t="str">
        <f aca="false">IF((E158="fa"),H158," ")</f>
        <v> </v>
      </c>
      <c r="AJ158" s="17" t="str">
        <f aca="false">IF((E158="e"),H158," ")</f>
        <v> </v>
      </c>
    </row>
    <row r="159" customFormat="false" ht="12" hidden="false" customHeight="false" outlineLevel="0" collapsed="false">
      <c r="A159" s="28"/>
      <c r="E159" s="2" t="str">
        <f aca="false">IF((F159&lt;&gt;0),"Enter Letter"," ")</f>
        <v> </v>
      </c>
      <c r="F159" s="30"/>
      <c r="G159" s="6" t="str">
        <f aca="false">IF(F159&lt;&gt;0,F159*G$2/(100+G$2)," ")</f>
        <v> </v>
      </c>
      <c r="H159" s="6" t="str">
        <f aca="false">IF((F159&lt;&gt;0),F159-G159," ")</f>
        <v> </v>
      </c>
      <c r="I159" s="5"/>
      <c r="L159" s="7" t="str">
        <f aca="false">IF(F159&lt;&gt;0,F159-K159," ")</f>
        <v> </v>
      </c>
      <c r="M159" s="8" t="str">
        <f aca="false">IF((F159-K159)&lt;&gt;0,M$1-A159," ")</f>
        <v> </v>
      </c>
      <c r="N159" s="5"/>
      <c r="O159" s="17" t="str">
        <f aca="false">IF((E159="s"),H159," ")</f>
        <v> </v>
      </c>
      <c r="P159" s="17" t="str">
        <f aca="false">IF((E159="c"),H159," ")</f>
        <v> </v>
      </c>
      <c r="Q159" s="17" t="str">
        <f aca="false">IF((E159="o"),H159," ")</f>
        <v> </v>
      </c>
      <c r="R159" s="17" t="str">
        <f aca="false">IF((E159="d"),H159," ")</f>
        <v> </v>
      </c>
      <c r="S159" s="17" t="str">
        <f aca="false">IF((E159="w"),H159," ")</f>
        <v> </v>
      </c>
      <c r="T159" s="17" t="str">
        <f aca="false">IF((E159="r"),H159," ")</f>
        <v> </v>
      </c>
      <c r="U159" s="17" t="str">
        <f aca="false">IF((E159="p"),H159," ")</f>
        <v> </v>
      </c>
      <c r="V159" s="17" t="str">
        <f aca="false">IF((E159="t"),H159," ")</f>
        <v> </v>
      </c>
      <c r="W159" s="17" t="str">
        <f aca="false">IF((E159="q"),H159," ")</f>
        <v> </v>
      </c>
      <c r="X159" s="17" t="str">
        <f aca="false">IF((E159="m"),H159," ")</f>
        <v> </v>
      </c>
      <c r="Y159" s="17" t="str">
        <f aca="false">IF((E159="u"),H159," ")</f>
        <v> </v>
      </c>
      <c r="Z159" s="17" t="str">
        <f aca="false">IF((E159="a"),H159," ")</f>
        <v> </v>
      </c>
      <c r="AA159" s="17" t="str">
        <f aca="false">IF((E159="g"),H159," ")</f>
        <v> </v>
      </c>
      <c r="AB159" s="17" t="str">
        <f aca="false">IF((E159="h"),H159," ")</f>
        <v> </v>
      </c>
      <c r="AC159" s="30" t="str">
        <f aca="false">IF((E159="v"),H159," ")</f>
        <v> </v>
      </c>
      <c r="AD159" s="30" t="str">
        <f aca="false">IF((E159="n"),H159," ")</f>
        <v> </v>
      </c>
      <c r="AE159" s="17" t="str">
        <f aca="false">IF((E159="f"),H159," ")</f>
        <v> </v>
      </c>
      <c r="AF159" s="17" t="str">
        <f aca="false">IF((E159="l"),H159," ")</f>
        <v> </v>
      </c>
      <c r="AG159" s="17" t="str">
        <f aca="false">IF((E159="y"),H159," ")</f>
        <v> </v>
      </c>
      <c r="AH159" s="17" t="str">
        <f aca="false">IF((E159="z"),H159," ")</f>
        <v> </v>
      </c>
      <c r="AI159" s="17" t="str">
        <f aca="false">IF((E159="fa"),H159," ")</f>
        <v> </v>
      </c>
      <c r="AJ159" s="17" t="str">
        <f aca="false">IF((E159="e"),H159," ")</f>
        <v> </v>
      </c>
    </row>
    <row r="160" customFormat="false" ht="12" hidden="false" customHeight="false" outlineLevel="0" collapsed="false">
      <c r="A160" s="28"/>
      <c r="E160" s="2" t="str">
        <f aca="false">IF((F160&lt;&gt;0),"Enter Letter"," ")</f>
        <v> </v>
      </c>
      <c r="F160" s="30"/>
      <c r="G160" s="6" t="str">
        <f aca="false">IF(F160&lt;&gt;0,F160*G$2/(100+G$2)," ")</f>
        <v> </v>
      </c>
      <c r="H160" s="6" t="str">
        <f aca="false">IF((F160&lt;&gt;0),F160-G160," ")</f>
        <v> </v>
      </c>
      <c r="I160" s="5"/>
      <c r="L160" s="7" t="str">
        <f aca="false">IF(F160&lt;&gt;0,F160-K160," ")</f>
        <v> </v>
      </c>
      <c r="M160" s="8" t="str">
        <f aca="false">IF((F160-K160)&lt;&gt;0,M$1-A160," ")</f>
        <v> </v>
      </c>
      <c r="N160" s="5"/>
      <c r="O160" s="17" t="str">
        <f aca="false">IF((E160="s"),H160," ")</f>
        <v> </v>
      </c>
      <c r="P160" s="17" t="str">
        <f aca="false">IF((E160="c"),H160," ")</f>
        <v> </v>
      </c>
      <c r="Q160" s="17" t="str">
        <f aca="false">IF((E160="o"),H160," ")</f>
        <v> </v>
      </c>
      <c r="R160" s="17" t="str">
        <f aca="false">IF((E160="d"),H160," ")</f>
        <v> </v>
      </c>
      <c r="S160" s="17" t="str">
        <f aca="false">IF((E160="w"),H160," ")</f>
        <v> </v>
      </c>
      <c r="T160" s="17" t="str">
        <f aca="false">IF((E160="r"),H160," ")</f>
        <v> </v>
      </c>
      <c r="U160" s="17" t="str">
        <f aca="false">IF((E160="p"),H160," ")</f>
        <v> </v>
      </c>
      <c r="V160" s="17" t="str">
        <f aca="false">IF((E160="t"),H160," ")</f>
        <v> </v>
      </c>
      <c r="W160" s="17" t="str">
        <f aca="false">IF((E160="q"),H160," ")</f>
        <v> </v>
      </c>
      <c r="X160" s="17" t="str">
        <f aca="false">IF((E160="m"),H160," ")</f>
        <v> </v>
      </c>
      <c r="Y160" s="17" t="str">
        <f aca="false">IF((E160="u"),H160," ")</f>
        <v> </v>
      </c>
      <c r="Z160" s="17" t="str">
        <f aca="false">IF((E160="a"),H160," ")</f>
        <v> </v>
      </c>
      <c r="AA160" s="17" t="str">
        <f aca="false">IF((E160="g"),H160," ")</f>
        <v> </v>
      </c>
      <c r="AB160" s="17" t="str">
        <f aca="false">IF((E160="h"),H160," ")</f>
        <v> </v>
      </c>
      <c r="AC160" s="30" t="str">
        <f aca="false">IF((E160="v"),H160," ")</f>
        <v> </v>
      </c>
      <c r="AD160" s="30" t="str">
        <f aca="false">IF((E160="n"),H160," ")</f>
        <v> </v>
      </c>
      <c r="AE160" s="17" t="str">
        <f aca="false">IF((E160="f"),H160," ")</f>
        <v> </v>
      </c>
      <c r="AF160" s="17" t="str">
        <f aca="false">IF((E160="l"),H160," ")</f>
        <v> </v>
      </c>
      <c r="AG160" s="17" t="str">
        <f aca="false">IF((E160="y"),H160," ")</f>
        <v> </v>
      </c>
      <c r="AH160" s="17" t="str">
        <f aca="false">IF((E160="z"),H160," ")</f>
        <v> </v>
      </c>
      <c r="AI160" s="17" t="str">
        <f aca="false">IF((E160="fa"),H160," ")</f>
        <v> </v>
      </c>
      <c r="AJ160" s="17" t="str">
        <f aca="false">IF((E160="e"),H160," ")</f>
        <v> </v>
      </c>
    </row>
    <row r="161" customFormat="false" ht="12" hidden="false" customHeight="false" outlineLevel="0" collapsed="false">
      <c r="A161" s="28"/>
      <c r="E161" s="2" t="str">
        <f aca="false">IF((F161&lt;&gt;0),"Enter Letter"," ")</f>
        <v> </v>
      </c>
      <c r="F161" s="30"/>
      <c r="G161" s="6" t="str">
        <f aca="false">IF(F161&lt;&gt;0,F161*G$2/(100+G$2)," ")</f>
        <v> </v>
      </c>
      <c r="H161" s="6" t="str">
        <f aca="false">IF((F161&lt;&gt;0),F161-G161," ")</f>
        <v> </v>
      </c>
      <c r="I161" s="5"/>
      <c r="L161" s="7" t="str">
        <f aca="false">IF(F161&lt;&gt;0,F161-K161," ")</f>
        <v> </v>
      </c>
      <c r="M161" s="8" t="str">
        <f aca="false">IF((F161-K161)&lt;&gt;0,M$1-A161," ")</f>
        <v> </v>
      </c>
      <c r="N161" s="5"/>
      <c r="O161" s="17" t="str">
        <f aca="false">IF((E161="s"),H161," ")</f>
        <v> </v>
      </c>
      <c r="P161" s="17" t="str">
        <f aca="false">IF((E161="c"),H161," ")</f>
        <v> </v>
      </c>
      <c r="Q161" s="17" t="str">
        <f aca="false">IF((E161="o"),H161," ")</f>
        <v> </v>
      </c>
      <c r="R161" s="17" t="str">
        <f aca="false">IF((E161="d"),H161," ")</f>
        <v> </v>
      </c>
      <c r="S161" s="17" t="str">
        <f aca="false">IF((E161="w"),H161," ")</f>
        <v> </v>
      </c>
      <c r="T161" s="17" t="str">
        <f aca="false">IF((E161="r"),H161," ")</f>
        <v> </v>
      </c>
      <c r="U161" s="17" t="str">
        <f aca="false">IF((E161="p"),H161," ")</f>
        <v> </v>
      </c>
      <c r="V161" s="17" t="str">
        <f aca="false">IF((E161="t"),H161," ")</f>
        <v> </v>
      </c>
      <c r="W161" s="17" t="str">
        <f aca="false">IF((E161="q"),H161," ")</f>
        <v> </v>
      </c>
      <c r="X161" s="17" t="str">
        <f aca="false">IF((E161="m"),H161," ")</f>
        <v> </v>
      </c>
      <c r="Y161" s="17" t="str">
        <f aca="false">IF((E161="u"),H161," ")</f>
        <v> </v>
      </c>
      <c r="Z161" s="17" t="str">
        <f aca="false">IF((E161="a"),H161," ")</f>
        <v> </v>
      </c>
      <c r="AA161" s="17" t="str">
        <f aca="false">IF((E161="g"),H161," ")</f>
        <v> </v>
      </c>
      <c r="AB161" s="17" t="str">
        <f aca="false">IF((E161="h"),H161," ")</f>
        <v> </v>
      </c>
      <c r="AC161" s="30" t="str">
        <f aca="false">IF((E161="v"),H161," ")</f>
        <v> </v>
      </c>
      <c r="AD161" s="30" t="str">
        <f aca="false">IF((E161="n"),H161," ")</f>
        <v> </v>
      </c>
      <c r="AE161" s="17" t="str">
        <f aca="false">IF((E161="f"),H161," ")</f>
        <v> </v>
      </c>
      <c r="AF161" s="17" t="str">
        <f aca="false">IF((E161="l"),H161," ")</f>
        <v> </v>
      </c>
      <c r="AG161" s="17" t="str">
        <f aca="false">IF((E161="y"),H161," ")</f>
        <v> </v>
      </c>
      <c r="AH161" s="17" t="str">
        <f aca="false">IF((E161="z"),H161," ")</f>
        <v> </v>
      </c>
      <c r="AI161" s="17" t="str">
        <f aca="false">IF((E161="fa"),H161," ")</f>
        <v> </v>
      </c>
      <c r="AJ161" s="17" t="str">
        <f aca="false">IF((E161="e"),H161," ")</f>
        <v> </v>
      </c>
    </row>
    <row r="162" customFormat="false" ht="12" hidden="false" customHeight="false" outlineLevel="0" collapsed="false">
      <c r="A162" s="28"/>
      <c r="E162" s="2" t="str">
        <f aca="false">IF((F162&lt;&gt;0),"Enter Letter"," ")</f>
        <v> </v>
      </c>
      <c r="F162" s="30"/>
      <c r="G162" s="6" t="str">
        <f aca="false">IF(F162&lt;&gt;0,F162*G$2/(100+G$2)," ")</f>
        <v> </v>
      </c>
      <c r="H162" s="6" t="str">
        <f aca="false">IF((F162&lt;&gt;0),F162-G162," ")</f>
        <v> </v>
      </c>
      <c r="I162" s="5"/>
      <c r="L162" s="7" t="str">
        <f aca="false">IF(F162&lt;&gt;0,F162-K162," ")</f>
        <v> </v>
      </c>
      <c r="M162" s="8" t="str">
        <f aca="false">IF((F162-K162)&lt;&gt;0,M$1-A162," ")</f>
        <v> </v>
      </c>
      <c r="N162" s="5"/>
      <c r="O162" s="17" t="str">
        <f aca="false">IF((E162="s"),H162," ")</f>
        <v> </v>
      </c>
      <c r="P162" s="17" t="str">
        <f aca="false">IF((E162="c"),H162," ")</f>
        <v> </v>
      </c>
      <c r="Q162" s="17" t="str">
        <f aca="false">IF((E162="o"),H162," ")</f>
        <v> </v>
      </c>
      <c r="R162" s="17" t="str">
        <f aca="false">IF((E162="d"),H162," ")</f>
        <v> </v>
      </c>
      <c r="S162" s="17" t="str">
        <f aca="false">IF((E162="w"),H162," ")</f>
        <v> </v>
      </c>
      <c r="T162" s="17" t="str">
        <f aca="false">IF((E162="r"),H162," ")</f>
        <v> </v>
      </c>
      <c r="U162" s="17" t="str">
        <f aca="false">IF((E162="p"),H162," ")</f>
        <v> </v>
      </c>
      <c r="V162" s="17" t="str">
        <f aca="false">IF((E162="t"),H162," ")</f>
        <v> </v>
      </c>
      <c r="W162" s="17" t="str">
        <f aca="false">IF((E162="q"),H162," ")</f>
        <v> </v>
      </c>
      <c r="X162" s="17" t="str">
        <f aca="false">IF((E162="m"),H162," ")</f>
        <v> </v>
      </c>
      <c r="Y162" s="17" t="str">
        <f aca="false">IF((E162="u"),H162," ")</f>
        <v> </v>
      </c>
      <c r="Z162" s="17" t="str">
        <f aca="false">IF((E162="a"),H162," ")</f>
        <v> </v>
      </c>
      <c r="AA162" s="17" t="str">
        <f aca="false">IF((E162="g"),H162," ")</f>
        <v> </v>
      </c>
      <c r="AB162" s="17" t="str">
        <f aca="false">IF((E162="h"),H162," ")</f>
        <v> </v>
      </c>
      <c r="AC162" s="30" t="str">
        <f aca="false">IF((E162="v"),H162," ")</f>
        <v> </v>
      </c>
      <c r="AD162" s="30" t="str">
        <f aca="false">IF((E162="n"),H162," ")</f>
        <v> </v>
      </c>
      <c r="AE162" s="17" t="str">
        <f aca="false">IF((E162="f"),H162," ")</f>
        <v> </v>
      </c>
      <c r="AF162" s="17" t="str">
        <f aca="false">IF((E162="l"),H162," ")</f>
        <v> </v>
      </c>
      <c r="AG162" s="17" t="str">
        <f aca="false">IF((E162="y"),H162," ")</f>
        <v> </v>
      </c>
      <c r="AH162" s="17" t="str">
        <f aca="false">IF((E162="z"),H162," ")</f>
        <v> </v>
      </c>
      <c r="AI162" s="17" t="str">
        <f aca="false">IF((E162="fa"),H162," ")</f>
        <v> </v>
      </c>
      <c r="AJ162" s="17" t="str">
        <f aca="false">IF((E162="e"),H162," ")</f>
        <v> </v>
      </c>
    </row>
    <row r="163" customFormat="false" ht="12" hidden="false" customHeight="false" outlineLevel="0" collapsed="false">
      <c r="A163" s="28"/>
      <c r="E163" s="2" t="str">
        <f aca="false">IF((F163&lt;&gt;0),"Enter Letter"," ")</f>
        <v> </v>
      </c>
      <c r="F163" s="30"/>
      <c r="G163" s="6" t="str">
        <f aca="false">IF(F163&lt;&gt;0,F163*G$2/(100+G$2)," ")</f>
        <v> </v>
      </c>
      <c r="H163" s="6" t="str">
        <f aca="false">IF((F163&lt;&gt;0),F163-G163," ")</f>
        <v> </v>
      </c>
      <c r="I163" s="5"/>
      <c r="L163" s="7" t="str">
        <f aca="false">IF(F163&lt;&gt;0,F163-K163," ")</f>
        <v> </v>
      </c>
      <c r="M163" s="8" t="str">
        <f aca="false">IF((F163-K163)&lt;&gt;0,M$1-A163," ")</f>
        <v> </v>
      </c>
      <c r="N163" s="5"/>
      <c r="O163" s="17" t="str">
        <f aca="false">IF((E163="s"),H163," ")</f>
        <v> </v>
      </c>
      <c r="P163" s="17" t="str">
        <f aca="false">IF((E163="c"),H163," ")</f>
        <v> </v>
      </c>
      <c r="Q163" s="17" t="str">
        <f aca="false">IF((E163="o"),H163," ")</f>
        <v> </v>
      </c>
      <c r="R163" s="17" t="str">
        <f aca="false">IF((E163="d"),H163," ")</f>
        <v> </v>
      </c>
      <c r="S163" s="17" t="str">
        <f aca="false">IF((E163="w"),H163," ")</f>
        <v> </v>
      </c>
      <c r="T163" s="17" t="str">
        <f aca="false">IF((E163="r"),H163," ")</f>
        <v> </v>
      </c>
      <c r="U163" s="17" t="str">
        <f aca="false">IF((E163="p"),H163," ")</f>
        <v> </v>
      </c>
      <c r="V163" s="17" t="str">
        <f aca="false">IF((E163="t"),H163," ")</f>
        <v> </v>
      </c>
      <c r="W163" s="17" t="str">
        <f aca="false">IF((E163="q"),H163," ")</f>
        <v> </v>
      </c>
      <c r="X163" s="17" t="str">
        <f aca="false">IF((E163="m"),H163," ")</f>
        <v> </v>
      </c>
      <c r="Y163" s="17" t="str">
        <f aca="false">IF((E163="u"),H163," ")</f>
        <v> </v>
      </c>
      <c r="Z163" s="17" t="str">
        <f aca="false">IF((E163="a"),H163," ")</f>
        <v> </v>
      </c>
      <c r="AA163" s="17" t="str">
        <f aca="false">IF((E163="g"),H163," ")</f>
        <v> </v>
      </c>
      <c r="AB163" s="17" t="str">
        <f aca="false">IF((E163="h"),H163," ")</f>
        <v> </v>
      </c>
      <c r="AC163" s="30" t="str">
        <f aca="false">IF((E163="v"),H163," ")</f>
        <v> </v>
      </c>
      <c r="AD163" s="30" t="str">
        <f aca="false">IF((E163="n"),H163," ")</f>
        <v> </v>
      </c>
      <c r="AE163" s="17" t="str">
        <f aca="false">IF((E163="f"),H163," ")</f>
        <v> </v>
      </c>
      <c r="AF163" s="17" t="str">
        <f aca="false">IF((E163="l"),H163," ")</f>
        <v> </v>
      </c>
      <c r="AG163" s="17" t="str">
        <f aca="false">IF((E163="y"),H163," ")</f>
        <v> </v>
      </c>
      <c r="AH163" s="17" t="str">
        <f aca="false">IF((E163="z"),H163," ")</f>
        <v> </v>
      </c>
      <c r="AI163" s="17" t="str">
        <f aca="false">IF((E163="fa"),H163," ")</f>
        <v> </v>
      </c>
      <c r="AJ163" s="17" t="str">
        <f aca="false">IF((E163="e"),H163," ")</f>
        <v> </v>
      </c>
    </row>
    <row r="164" customFormat="false" ht="12" hidden="false" customHeight="false" outlineLevel="0" collapsed="false">
      <c r="A164" s="28"/>
      <c r="E164" s="2" t="str">
        <f aca="false">IF((F164&lt;&gt;0),"Enter Letter"," ")</f>
        <v> </v>
      </c>
      <c r="F164" s="30"/>
      <c r="G164" s="6" t="str">
        <f aca="false">IF(F164&lt;&gt;0,F164*G$2/(100+G$2)," ")</f>
        <v> </v>
      </c>
      <c r="H164" s="6" t="str">
        <f aca="false">IF((F164&lt;&gt;0),F164-G164," ")</f>
        <v> </v>
      </c>
      <c r="I164" s="5"/>
      <c r="L164" s="7" t="str">
        <f aca="false">IF(F164&lt;&gt;0,F164-K164," ")</f>
        <v> </v>
      </c>
      <c r="M164" s="8" t="str">
        <f aca="false">IF((F164-K164)&lt;&gt;0,M$1-A164," ")</f>
        <v> </v>
      </c>
      <c r="N164" s="5"/>
      <c r="O164" s="17" t="str">
        <f aca="false">IF((E164="s"),H164," ")</f>
        <v> </v>
      </c>
      <c r="P164" s="17" t="str">
        <f aca="false">IF((E164="c"),H164," ")</f>
        <v> </v>
      </c>
      <c r="Q164" s="17" t="str">
        <f aca="false">IF((E164="o"),H164," ")</f>
        <v> </v>
      </c>
      <c r="R164" s="17" t="str">
        <f aca="false">IF((E164="d"),H164," ")</f>
        <v> </v>
      </c>
      <c r="S164" s="17" t="str">
        <f aca="false">IF((E164="w"),H164," ")</f>
        <v> </v>
      </c>
      <c r="T164" s="17" t="str">
        <f aca="false">IF((E164="r"),H164," ")</f>
        <v> </v>
      </c>
      <c r="U164" s="17" t="str">
        <f aca="false">IF((E164="p"),H164," ")</f>
        <v> </v>
      </c>
      <c r="V164" s="17" t="str">
        <f aca="false">IF((E164="t"),H164," ")</f>
        <v> </v>
      </c>
      <c r="W164" s="17" t="str">
        <f aca="false">IF((E164="q"),H164," ")</f>
        <v> </v>
      </c>
      <c r="X164" s="17" t="str">
        <f aca="false">IF((E164="m"),H164," ")</f>
        <v> </v>
      </c>
      <c r="Y164" s="17" t="str">
        <f aca="false">IF((E164="u"),H164," ")</f>
        <v> </v>
      </c>
      <c r="Z164" s="17" t="str">
        <f aca="false">IF((E164="a"),H164," ")</f>
        <v> </v>
      </c>
      <c r="AA164" s="17" t="str">
        <f aca="false">IF((E164="g"),H164," ")</f>
        <v> </v>
      </c>
      <c r="AB164" s="17" t="str">
        <f aca="false">IF((E164="h"),H164," ")</f>
        <v> </v>
      </c>
      <c r="AC164" s="30" t="str">
        <f aca="false">IF((E164="v"),H164," ")</f>
        <v> </v>
      </c>
      <c r="AD164" s="30" t="str">
        <f aca="false">IF((E164="n"),H164," ")</f>
        <v> </v>
      </c>
      <c r="AE164" s="17" t="str">
        <f aca="false">IF((E164="f"),H164," ")</f>
        <v> </v>
      </c>
      <c r="AF164" s="17" t="str">
        <f aca="false">IF((E164="l"),H164," ")</f>
        <v> </v>
      </c>
      <c r="AG164" s="17" t="str">
        <f aca="false">IF((E164="y"),H164," ")</f>
        <v> </v>
      </c>
      <c r="AH164" s="17" t="str">
        <f aca="false">IF((E164="z"),H164," ")</f>
        <v> </v>
      </c>
      <c r="AI164" s="17" t="str">
        <f aca="false">IF((E164="fa"),H164," ")</f>
        <v> </v>
      </c>
      <c r="AJ164" s="17" t="str">
        <f aca="false">IF((E164="e"),H164," ")</f>
        <v> </v>
      </c>
    </row>
    <row r="165" customFormat="false" ht="12" hidden="false" customHeight="false" outlineLevel="0" collapsed="false">
      <c r="A165" s="28"/>
      <c r="E165" s="2" t="str">
        <f aca="false">IF((F165&lt;&gt;0),"Enter Letter"," ")</f>
        <v> </v>
      </c>
      <c r="F165" s="30"/>
      <c r="G165" s="6" t="str">
        <f aca="false">IF(F165&lt;&gt;0,F165*G$2/(100+G$2)," ")</f>
        <v> </v>
      </c>
      <c r="H165" s="6" t="str">
        <f aca="false">IF((F165&lt;&gt;0),F165-G165," ")</f>
        <v> </v>
      </c>
      <c r="I165" s="5"/>
      <c r="L165" s="7" t="str">
        <f aca="false">IF(F165&lt;&gt;0,F165-K165," ")</f>
        <v> </v>
      </c>
      <c r="M165" s="8" t="str">
        <f aca="false">IF((F165-K165)&lt;&gt;0,M$1-A165," ")</f>
        <v> </v>
      </c>
      <c r="N165" s="5"/>
      <c r="O165" s="17" t="str">
        <f aca="false">IF((E165="s"),H165," ")</f>
        <v> </v>
      </c>
      <c r="P165" s="17" t="str">
        <f aca="false">IF((E165="c"),H165," ")</f>
        <v> </v>
      </c>
      <c r="Q165" s="17" t="str">
        <f aca="false">IF((E165="o"),H165," ")</f>
        <v> </v>
      </c>
      <c r="R165" s="17" t="str">
        <f aca="false">IF((E165="d"),H165," ")</f>
        <v> </v>
      </c>
      <c r="S165" s="17" t="str">
        <f aca="false">IF((E165="w"),H165," ")</f>
        <v> </v>
      </c>
      <c r="T165" s="17" t="str">
        <f aca="false">IF((E165="r"),H165," ")</f>
        <v> </v>
      </c>
      <c r="U165" s="17" t="str">
        <f aca="false">IF((E165="p"),H165," ")</f>
        <v> </v>
      </c>
      <c r="V165" s="17" t="str">
        <f aca="false">IF((E165="t"),H165," ")</f>
        <v> </v>
      </c>
      <c r="W165" s="17" t="str">
        <f aca="false">IF((E165="q"),H165," ")</f>
        <v> </v>
      </c>
      <c r="X165" s="17" t="str">
        <f aca="false">IF((E165="m"),H165," ")</f>
        <v> </v>
      </c>
      <c r="Y165" s="17" t="str">
        <f aca="false">IF((E165="u"),H165," ")</f>
        <v> </v>
      </c>
      <c r="Z165" s="17" t="str">
        <f aca="false">IF((E165="a"),H165," ")</f>
        <v> </v>
      </c>
      <c r="AA165" s="17" t="str">
        <f aca="false">IF((E165="g"),H165," ")</f>
        <v> </v>
      </c>
      <c r="AB165" s="17" t="str">
        <f aca="false">IF((E165="h"),H165," ")</f>
        <v> </v>
      </c>
      <c r="AC165" s="30" t="str">
        <f aca="false">IF((E165="v"),H165," ")</f>
        <v> </v>
      </c>
      <c r="AD165" s="30" t="str">
        <f aca="false">IF((E165="n"),H165," ")</f>
        <v> </v>
      </c>
      <c r="AE165" s="17" t="str">
        <f aca="false">IF((E165="f"),H165," ")</f>
        <v> </v>
      </c>
      <c r="AF165" s="17" t="str">
        <f aca="false">IF((E165="l"),H165," ")</f>
        <v> </v>
      </c>
      <c r="AG165" s="17" t="str">
        <f aca="false">IF((E165="y"),H165," ")</f>
        <v> </v>
      </c>
      <c r="AH165" s="17" t="str">
        <f aca="false">IF((E165="z"),H165," ")</f>
        <v> </v>
      </c>
      <c r="AI165" s="17" t="str">
        <f aca="false">IF((E165="fa"),H165," ")</f>
        <v> </v>
      </c>
      <c r="AJ165" s="17" t="str">
        <f aca="false">IF((E165="e"),H165," ")</f>
        <v> </v>
      </c>
    </row>
    <row r="166" customFormat="false" ht="12" hidden="false" customHeight="false" outlineLevel="0" collapsed="false">
      <c r="A166" s="28"/>
      <c r="E166" s="2" t="str">
        <f aca="false">IF((F166&lt;&gt;0),"Enter Letter"," ")</f>
        <v> </v>
      </c>
      <c r="F166" s="30"/>
      <c r="G166" s="6" t="str">
        <f aca="false">IF(F166&lt;&gt;0,F166*G$2/(100+G$2)," ")</f>
        <v> </v>
      </c>
      <c r="H166" s="6" t="str">
        <f aca="false">IF((F166&lt;&gt;0),F166-G166," ")</f>
        <v> </v>
      </c>
      <c r="I166" s="5"/>
      <c r="L166" s="7" t="str">
        <f aca="false">IF(F166&lt;&gt;0,F166-K166," ")</f>
        <v> </v>
      </c>
      <c r="M166" s="8" t="str">
        <f aca="false">IF((F166-K166)&lt;&gt;0,M$1-A166," ")</f>
        <v> </v>
      </c>
      <c r="N166" s="5"/>
      <c r="O166" s="17" t="str">
        <f aca="false">IF((E166="s"),H166," ")</f>
        <v> </v>
      </c>
      <c r="P166" s="17" t="str">
        <f aca="false">IF((E166="c"),H166," ")</f>
        <v> </v>
      </c>
      <c r="Q166" s="17" t="str">
        <f aca="false">IF((E166="o"),H166," ")</f>
        <v> </v>
      </c>
      <c r="R166" s="17" t="str">
        <f aca="false">IF((E166="d"),H166," ")</f>
        <v> </v>
      </c>
      <c r="S166" s="17" t="str">
        <f aca="false">IF((E166="w"),H166," ")</f>
        <v> </v>
      </c>
      <c r="T166" s="17" t="str">
        <f aca="false">IF((E166="r"),H166," ")</f>
        <v> </v>
      </c>
      <c r="U166" s="17" t="str">
        <f aca="false">IF((E166="p"),H166," ")</f>
        <v> </v>
      </c>
      <c r="V166" s="17" t="str">
        <f aca="false">IF((E166="t"),H166," ")</f>
        <v> </v>
      </c>
      <c r="W166" s="17" t="str">
        <f aca="false">IF((E166="q"),H166," ")</f>
        <v> </v>
      </c>
      <c r="X166" s="17" t="str">
        <f aca="false">IF((E166="m"),H166," ")</f>
        <v> </v>
      </c>
      <c r="Y166" s="17" t="str">
        <f aca="false">IF((E166="u"),H166," ")</f>
        <v> </v>
      </c>
      <c r="Z166" s="17" t="str">
        <f aca="false">IF((E166="a"),H166," ")</f>
        <v> </v>
      </c>
      <c r="AA166" s="17" t="str">
        <f aca="false">IF((E166="g"),H166," ")</f>
        <v> </v>
      </c>
      <c r="AB166" s="17" t="str">
        <f aca="false">IF((E166="h"),H166," ")</f>
        <v> </v>
      </c>
      <c r="AC166" s="30" t="str">
        <f aca="false">IF((E166="v"),H166," ")</f>
        <v> </v>
      </c>
      <c r="AD166" s="30" t="str">
        <f aca="false">IF((E166="n"),H166," ")</f>
        <v> </v>
      </c>
      <c r="AE166" s="17" t="str">
        <f aca="false">IF((E166="f"),H166," ")</f>
        <v> </v>
      </c>
      <c r="AF166" s="17" t="str">
        <f aca="false">IF((E166="l"),H166," ")</f>
        <v> </v>
      </c>
      <c r="AG166" s="17" t="str">
        <f aca="false">IF((E166="y"),H166," ")</f>
        <v> </v>
      </c>
      <c r="AH166" s="17" t="str">
        <f aca="false">IF((E166="z"),H166," ")</f>
        <v> </v>
      </c>
      <c r="AI166" s="17" t="str">
        <f aca="false">IF((E166="fa"),H166," ")</f>
        <v> </v>
      </c>
      <c r="AJ166" s="17" t="str">
        <f aca="false">IF((E166="e"),H166," ")</f>
        <v> </v>
      </c>
    </row>
    <row r="167" customFormat="false" ht="12" hidden="false" customHeight="false" outlineLevel="0" collapsed="false">
      <c r="A167" s="28"/>
      <c r="E167" s="2" t="str">
        <f aca="false">IF((F167&lt;&gt;0),"Enter Letter"," ")</f>
        <v> </v>
      </c>
      <c r="F167" s="30"/>
      <c r="G167" s="6" t="str">
        <f aca="false">IF(F167&lt;&gt;0,F167*G$2/(100+G$2)," ")</f>
        <v> </v>
      </c>
      <c r="H167" s="6" t="str">
        <f aca="false">IF((F167&lt;&gt;0),F167-G167," ")</f>
        <v> </v>
      </c>
      <c r="I167" s="5"/>
      <c r="L167" s="7" t="str">
        <f aca="false">IF(F167&lt;&gt;0,F167-K167," ")</f>
        <v> </v>
      </c>
      <c r="M167" s="8" t="str">
        <f aca="false">IF((F167-K167)&lt;&gt;0,M$1-A167," ")</f>
        <v> </v>
      </c>
      <c r="N167" s="5"/>
      <c r="O167" s="17" t="str">
        <f aca="false">IF((E167="s"),H167," ")</f>
        <v> </v>
      </c>
      <c r="P167" s="17" t="str">
        <f aca="false">IF((E167="c"),H167," ")</f>
        <v> </v>
      </c>
      <c r="Q167" s="17" t="str">
        <f aca="false">IF((E167="o"),H167," ")</f>
        <v> </v>
      </c>
      <c r="R167" s="17" t="str">
        <f aca="false">IF((E167="d"),H167," ")</f>
        <v> </v>
      </c>
      <c r="S167" s="17" t="str">
        <f aca="false">IF((E167="w"),H167," ")</f>
        <v> </v>
      </c>
      <c r="T167" s="17" t="str">
        <f aca="false">IF((E167="r"),H167," ")</f>
        <v> </v>
      </c>
      <c r="U167" s="17" t="str">
        <f aca="false">IF((E167="p"),H167," ")</f>
        <v> </v>
      </c>
      <c r="V167" s="17" t="str">
        <f aca="false">IF((E167="t"),H167," ")</f>
        <v> </v>
      </c>
      <c r="W167" s="17" t="str">
        <f aca="false">IF((E167="q"),H167," ")</f>
        <v> </v>
      </c>
      <c r="X167" s="17" t="str">
        <f aca="false">IF((E167="m"),H167," ")</f>
        <v> </v>
      </c>
      <c r="Y167" s="17" t="str">
        <f aca="false">IF((E167="u"),H167," ")</f>
        <v> </v>
      </c>
      <c r="Z167" s="17" t="str">
        <f aca="false">IF((E167="a"),H167," ")</f>
        <v> </v>
      </c>
      <c r="AA167" s="17" t="str">
        <f aca="false">IF((E167="g"),H167," ")</f>
        <v> </v>
      </c>
      <c r="AB167" s="17" t="str">
        <f aca="false">IF((E167="h"),H167," ")</f>
        <v> </v>
      </c>
      <c r="AC167" s="30" t="str">
        <f aca="false">IF((E167="v"),H167," ")</f>
        <v> </v>
      </c>
      <c r="AD167" s="30" t="str">
        <f aca="false">IF((E167="n"),H167," ")</f>
        <v> </v>
      </c>
      <c r="AE167" s="17" t="str">
        <f aca="false">IF((E167="f"),H167," ")</f>
        <v> </v>
      </c>
      <c r="AF167" s="17" t="str">
        <f aca="false">IF((E167="l"),H167," ")</f>
        <v> </v>
      </c>
      <c r="AG167" s="17" t="str">
        <f aca="false">IF((E167="y"),H167," ")</f>
        <v> </v>
      </c>
      <c r="AH167" s="17" t="str">
        <f aca="false">IF((E167="z"),H167," ")</f>
        <v> </v>
      </c>
      <c r="AI167" s="17" t="str">
        <f aca="false">IF((E167="fa"),H167," ")</f>
        <v> </v>
      </c>
      <c r="AJ167" s="17" t="str">
        <f aca="false">IF((E167="e"),H167," ")</f>
        <v> </v>
      </c>
    </row>
    <row r="168" customFormat="false" ht="12" hidden="false" customHeight="false" outlineLevel="0" collapsed="false">
      <c r="A168" s="28"/>
      <c r="E168" s="2" t="str">
        <f aca="false">IF((F168&lt;&gt;0),"Enter Letter"," ")</f>
        <v> </v>
      </c>
      <c r="F168" s="30"/>
      <c r="G168" s="6" t="str">
        <f aca="false">IF(F168&lt;&gt;0,F168*G$2/(100+G$2)," ")</f>
        <v> </v>
      </c>
      <c r="H168" s="6" t="str">
        <f aca="false">IF((F168&lt;&gt;0),F168-G168," ")</f>
        <v> </v>
      </c>
      <c r="I168" s="5"/>
      <c r="L168" s="7" t="str">
        <f aca="false">IF(F168&lt;&gt;0,F168-K168," ")</f>
        <v> </v>
      </c>
      <c r="M168" s="8" t="str">
        <f aca="false">IF((F168-K168)&lt;&gt;0,M$1-A168," ")</f>
        <v> </v>
      </c>
      <c r="N168" s="5"/>
      <c r="O168" s="17" t="str">
        <f aca="false">IF((E168="s"),H168," ")</f>
        <v> </v>
      </c>
      <c r="P168" s="17" t="str">
        <f aca="false">IF((E168="c"),H168," ")</f>
        <v> </v>
      </c>
      <c r="Q168" s="17" t="str">
        <f aca="false">IF((E168="o"),H168," ")</f>
        <v> </v>
      </c>
      <c r="R168" s="17" t="str">
        <f aca="false">IF((E168="d"),H168," ")</f>
        <v> </v>
      </c>
      <c r="S168" s="17" t="str">
        <f aca="false">IF((E168="w"),H168," ")</f>
        <v> </v>
      </c>
      <c r="T168" s="17" t="str">
        <f aca="false">IF((E168="r"),H168," ")</f>
        <v> </v>
      </c>
      <c r="U168" s="17" t="str">
        <f aca="false">IF((E168="p"),H168," ")</f>
        <v> </v>
      </c>
      <c r="V168" s="17" t="str">
        <f aca="false">IF((E168="t"),H168," ")</f>
        <v> </v>
      </c>
      <c r="W168" s="17" t="str">
        <f aca="false">IF((E168="q"),H168," ")</f>
        <v> </v>
      </c>
      <c r="X168" s="17" t="str">
        <f aca="false">IF((E168="m"),H168," ")</f>
        <v> </v>
      </c>
      <c r="Y168" s="17" t="str">
        <f aca="false">IF((E168="u"),H168," ")</f>
        <v> </v>
      </c>
      <c r="Z168" s="17" t="str">
        <f aca="false">IF((E168="a"),H168," ")</f>
        <v> </v>
      </c>
      <c r="AA168" s="17" t="str">
        <f aca="false">IF((E168="g"),H168," ")</f>
        <v> </v>
      </c>
      <c r="AB168" s="17" t="str">
        <f aca="false">IF((E168="h"),H168," ")</f>
        <v> </v>
      </c>
      <c r="AC168" s="30" t="str">
        <f aca="false">IF((E168="v"),H168," ")</f>
        <v> </v>
      </c>
      <c r="AD168" s="30" t="str">
        <f aca="false">IF((E168="n"),H168," ")</f>
        <v> </v>
      </c>
      <c r="AE168" s="17" t="str">
        <f aca="false">IF((E168="f"),H168," ")</f>
        <v> </v>
      </c>
      <c r="AF168" s="17" t="str">
        <f aca="false">IF((E168="l"),H168," ")</f>
        <v> </v>
      </c>
      <c r="AG168" s="17" t="str">
        <f aca="false">IF((E168="y"),H168," ")</f>
        <v> </v>
      </c>
      <c r="AH168" s="17" t="str">
        <f aca="false">IF((E168="z"),H168," ")</f>
        <v> </v>
      </c>
      <c r="AI168" s="17" t="str">
        <f aca="false">IF((E168="fa"),H168," ")</f>
        <v> </v>
      </c>
      <c r="AJ168" s="17" t="str">
        <f aca="false">IF((E168="e"),H168," ")</f>
        <v> </v>
      </c>
    </row>
    <row r="169" customFormat="false" ht="12" hidden="false" customHeight="false" outlineLevel="0" collapsed="false">
      <c r="A169" s="28"/>
      <c r="E169" s="2" t="str">
        <f aca="false">IF((F169&lt;&gt;0),"Enter Letter"," ")</f>
        <v> </v>
      </c>
      <c r="F169" s="30"/>
      <c r="G169" s="6" t="str">
        <f aca="false">IF(F169&lt;&gt;0,F169*G$2/(100+G$2)," ")</f>
        <v> </v>
      </c>
      <c r="H169" s="6" t="str">
        <f aca="false">IF((F169&lt;&gt;0),F169-G169," ")</f>
        <v> </v>
      </c>
      <c r="I169" s="5"/>
      <c r="L169" s="7" t="str">
        <f aca="false">IF(F169&lt;&gt;0,F169-K169," ")</f>
        <v> </v>
      </c>
      <c r="M169" s="8" t="str">
        <f aca="false">IF((F169-K169)&lt;&gt;0,M$1-A169," ")</f>
        <v> </v>
      </c>
      <c r="N169" s="5"/>
      <c r="O169" s="17" t="str">
        <f aca="false">IF((E169="s"),H169," ")</f>
        <v> </v>
      </c>
      <c r="P169" s="17" t="str">
        <f aca="false">IF((E169="c"),H169," ")</f>
        <v> </v>
      </c>
      <c r="Q169" s="17" t="str">
        <f aca="false">IF((E169="o"),H169," ")</f>
        <v> </v>
      </c>
      <c r="R169" s="17" t="str">
        <f aca="false">IF((E169="d"),H169," ")</f>
        <v> </v>
      </c>
      <c r="S169" s="17" t="str">
        <f aca="false">IF((E169="w"),H169," ")</f>
        <v> </v>
      </c>
      <c r="T169" s="17" t="str">
        <f aca="false">IF((E169="r"),H169," ")</f>
        <v> </v>
      </c>
      <c r="U169" s="17" t="str">
        <f aca="false">IF((E169="p"),H169," ")</f>
        <v> </v>
      </c>
      <c r="V169" s="17" t="str">
        <f aca="false">IF((E169="t"),H169," ")</f>
        <v> </v>
      </c>
      <c r="W169" s="17" t="str">
        <f aca="false">IF((E169="q"),H169," ")</f>
        <v> </v>
      </c>
      <c r="X169" s="17" t="str">
        <f aca="false">IF((E169="m"),H169," ")</f>
        <v> </v>
      </c>
      <c r="Y169" s="17" t="str">
        <f aca="false">IF((E169="u"),H169," ")</f>
        <v> </v>
      </c>
      <c r="Z169" s="17" t="str">
        <f aca="false">IF((E169="a"),H169," ")</f>
        <v> </v>
      </c>
      <c r="AA169" s="17" t="str">
        <f aca="false">IF((E169="g"),H169," ")</f>
        <v> </v>
      </c>
      <c r="AB169" s="17" t="str">
        <f aca="false">IF((E169="h"),H169," ")</f>
        <v> </v>
      </c>
      <c r="AC169" s="30" t="str">
        <f aca="false">IF((E169="v"),H169," ")</f>
        <v> </v>
      </c>
      <c r="AD169" s="30" t="str">
        <f aca="false">IF((E169="n"),H169," ")</f>
        <v> </v>
      </c>
      <c r="AE169" s="17" t="str">
        <f aca="false">IF((E169="f"),H169," ")</f>
        <v> </v>
      </c>
      <c r="AF169" s="17" t="str">
        <f aca="false">IF((E169="l"),H169," ")</f>
        <v> </v>
      </c>
      <c r="AG169" s="17" t="str">
        <f aca="false">IF((E169="y"),H169," ")</f>
        <v> </v>
      </c>
      <c r="AH169" s="17" t="str">
        <f aca="false">IF((E169="z"),H169," ")</f>
        <v> </v>
      </c>
      <c r="AI169" s="17" t="str">
        <f aca="false">IF((E169="fa"),H169," ")</f>
        <v> </v>
      </c>
      <c r="AJ169" s="17" t="str">
        <f aca="false">IF((E169="e"),H169," ")</f>
        <v> </v>
      </c>
    </row>
    <row r="170" customFormat="false" ht="12" hidden="false" customHeight="false" outlineLevel="0" collapsed="false">
      <c r="A170" s="28"/>
      <c r="E170" s="2" t="str">
        <f aca="false">IF((F170&lt;&gt;0),"Enter Letter"," ")</f>
        <v> </v>
      </c>
      <c r="F170" s="30"/>
      <c r="G170" s="6" t="str">
        <f aca="false">IF(F170&lt;&gt;0,F170*G$2/(100+G$2)," ")</f>
        <v> </v>
      </c>
      <c r="H170" s="6" t="str">
        <f aca="false">IF((F170&lt;&gt;0),F170-G170," ")</f>
        <v> </v>
      </c>
      <c r="I170" s="5"/>
      <c r="L170" s="7" t="str">
        <f aca="false">IF(F170&lt;&gt;0,F170-K170," ")</f>
        <v> </v>
      </c>
      <c r="M170" s="8" t="str">
        <f aca="false">IF((F170-K170)&lt;&gt;0,M$1-A170," ")</f>
        <v> </v>
      </c>
      <c r="N170" s="5"/>
      <c r="O170" s="17" t="str">
        <f aca="false">IF((E170="s"),H170," ")</f>
        <v> </v>
      </c>
      <c r="P170" s="17" t="str">
        <f aca="false">IF((E170="c"),H170," ")</f>
        <v> </v>
      </c>
      <c r="Q170" s="17" t="str">
        <f aca="false">IF((E170="o"),H170," ")</f>
        <v> </v>
      </c>
      <c r="R170" s="17" t="str">
        <f aca="false">IF((E170="d"),H170," ")</f>
        <v> </v>
      </c>
      <c r="S170" s="17" t="str">
        <f aca="false">IF((E170="w"),H170," ")</f>
        <v> </v>
      </c>
      <c r="T170" s="17" t="str">
        <f aca="false">IF((E170="r"),H170," ")</f>
        <v> </v>
      </c>
      <c r="U170" s="17" t="str">
        <f aca="false">IF((E170="p"),H170," ")</f>
        <v> </v>
      </c>
      <c r="V170" s="17" t="str">
        <f aca="false">IF((E170="t"),H170," ")</f>
        <v> </v>
      </c>
      <c r="W170" s="17" t="str">
        <f aca="false">IF((E170="q"),H170," ")</f>
        <v> </v>
      </c>
      <c r="X170" s="17" t="str">
        <f aca="false">IF((E170="m"),H170," ")</f>
        <v> </v>
      </c>
      <c r="Y170" s="17" t="str">
        <f aca="false">IF((E170="u"),H170," ")</f>
        <v> </v>
      </c>
      <c r="Z170" s="17" t="str">
        <f aca="false">IF((E170="a"),H170," ")</f>
        <v> </v>
      </c>
      <c r="AA170" s="17" t="str">
        <f aca="false">IF((E170="g"),H170," ")</f>
        <v> </v>
      </c>
      <c r="AB170" s="17" t="str">
        <f aca="false">IF((E170="h"),H170," ")</f>
        <v> </v>
      </c>
      <c r="AC170" s="30" t="str">
        <f aca="false">IF((E170="v"),H170," ")</f>
        <v> </v>
      </c>
      <c r="AD170" s="30" t="str">
        <f aca="false">IF((E170="n"),H170," ")</f>
        <v> </v>
      </c>
      <c r="AE170" s="17" t="str">
        <f aca="false">IF((E170="f"),H170," ")</f>
        <v> </v>
      </c>
      <c r="AF170" s="17" t="str">
        <f aca="false">IF((E170="l"),H170," ")</f>
        <v> </v>
      </c>
      <c r="AG170" s="17" t="str">
        <f aca="false">IF((E170="y"),H170," ")</f>
        <v> </v>
      </c>
      <c r="AH170" s="17" t="str">
        <f aca="false">IF((E170="z"),H170," ")</f>
        <v> </v>
      </c>
      <c r="AI170" s="17" t="str">
        <f aca="false">IF((E170="fa"),H170," ")</f>
        <v> </v>
      </c>
      <c r="AJ170" s="17" t="str">
        <f aca="false">IF((E170="e"),H170," ")</f>
        <v> </v>
      </c>
    </row>
    <row r="171" customFormat="false" ht="12" hidden="false" customHeight="false" outlineLevel="0" collapsed="false">
      <c r="A171" s="28"/>
      <c r="E171" s="2" t="str">
        <f aca="false">IF((F171&lt;&gt;0),"Enter Letter"," ")</f>
        <v> </v>
      </c>
      <c r="F171" s="30"/>
      <c r="G171" s="6" t="str">
        <f aca="false">IF(F171&lt;&gt;0,F171*G$2/(100+G$2)," ")</f>
        <v> </v>
      </c>
      <c r="H171" s="6" t="str">
        <f aca="false">IF((F171&lt;&gt;0),F171-G171," ")</f>
        <v> </v>
      </c>
      <c r="I171" s="5"/>
      <c r="L171" s="7" t="str">
        <f aca="false">IF(F171&lt;&gt;0,F171-K171," ")</f>
        <v> </v>
      </c>
      <c r="M171" s="8" t="str">
        <f aca="false">IF((F171-K171)&lt;&gt;0,M$1-A171," ")</f>
        <v> </v>
      </c>
      <c r="N171" s="5"/>
      <c r="O171" s="17" t="str">
        <f aca="false">IF((E171="s"),H171," ")</f>
        <v> </v>
      </c>
      <c r="P171" s="17" t="str">
        <f aca="false">IF((E171="c"),H171," ")</f>
        <v> </v>
      </c>
      <c r="Q171" s="17" t="str">
        <f aca="false">IF((E171="o"),H171," ")</f>
        <v> </v>
      </c>
      <c r="R171" s="17" t="str">
        <f aca="false">IF((E171="d"),H171," ")</f>
        <v> </v>
      </c>
      <c r="S171" s="17" t="str">
        <f aca="false">IF((E171="w"),H171," ")</f>
        <v> </v>
      </c>
      <c r="T171" s="17" t="str">
        <f aca="false">IF((E171="r"),H171," ")</f>
        <v> </v>
      </c>
      <c r="U171" s="17" t="str">
        <f aca="false">IF((E171="p"),H171," ")</f>
        <v> </v>
      </c>
      <c r="V171" s="17" t="str">
        <f aca="false">IF((E171="t"),H171," ")</f>
        <v> </v>
      </c>
      <c r="W171" s="17" t="str">
        <f aca="false">IF((E171="q"),H171," ")</f>
        <v> </v>
      </c>
      <c r="X171" s="17" t="str">
        <f aca="false">IF((E171="m"),H171," ")</f>
        <v> </v>
      </c>
      <c r="Y171" s="17" t="str">
        <f aca="false">IF((E171="u"),H171," ")</f>
        <v> </v>
      </c>
      <c r="Z171" s="17" t="str">
        <f aca="false">IF((E171="a"),H171," ")</f>
        <v> </v>
      </c>
      <c r="AA171" s="17" t="str">
        <f aca="false">IF((E171="g"),H171," ")</f>
        <v> </v>
      </c>
      <c r="AB171" s="17" t="str">
        <f aca="false">IF((E171="h"),H171," ")</f>
        <v> </v>
      </c>
      <c r="AC171" s="30" t="str">
        <f aca="false">IF((E171="v"),H171," ")</f>
        <v> </v>
      </c>
      <c r="AD171" s="30" t="str">
        <f aca="false">IF((E171="n"),H171," ")</f>
        <v> </v>
      </c>
      <c r="AE171" s="17" t="str">
        <f aca="false">IF((E171="f"),H171," ")</f>
        <v> </v>
      </c>
      <c r="AF171" s="17" t="str">
        <f aca="false">IF((E171="l"),H171," ")</f>
        <v> </v>
      </c>
      <c r="AG171" s="17" t="str">
        <f aca="false">IF((E171="y"),H171," ")</f>
        <v> </v>
      </c>
      <c r="AH171" s="17" t="str">
        <f aca="false">IF((E171="z"),H171," ")</f>
        <v> </v>
      </c>
      <c r="AI171" s="17" t="str">
        <f aca="false">IF((E171="fa"),H171," ")</f>
        <v> </v>
      </c>
      <c r="AJ171" s="17" t="str">
        <f aca="false">IF((E171="e"),H171," ")</f>
        <v> </v>
      </c>
    </row>
    <row r="172" customFormat="false" ht="12" hidden="false" customHeight="false" outlineLevel="0" collapsed="false">
      <c r="A172" s="28"/>
      <c r="E172" s="2" t="str">
        <f aca="false">IF((F172&lt;&gt;0),"Enter Letter"," ")</f>
        <v> </v>
      </c>
      <c r="F172" s="30"/>
      <c r="G172" s="6" t="str">
        <f aca="false">IF(F172&lt;&gt;0,F172*G$2/(100+G$2)," ")</f>
        <v> </v>
      </c>
      <c r="H172" s="6" t="str">
        <f aca="false">IF((F172&lt;&gt;0),F172-G172," ")</f>
        <v> </v>
      </c>
      <c r="I172" s="5"/>
      <c r="L172" s="7" t="str">
        <f aca="false">IF(F172&lt;&gt;0,F172-K172," ")</f>
        <v> </v>
      </c>
      <c r="M172" s="8" t="str">
        <f aca="false">IF((F172-K172)&lt;&gt;0,M$1-A172," ")</f>
        <v> </v>
      </c>
      <c r="N172" s="5"/>
      <c r="O172" s="17" t="str">
        <f aca="false">IF((E172="s"),H172," ")</f>
        <v> </v>
      </c>
      <c r="P172" s="17" t="str">
        <f aca="false">IF((E172="c"),H172," ")</f>
        <v> </v>
      </c>
      <c r="Q172" s="17" t="str">
        <f aca="false">IF((E172="o"),H172," ")</f>
        <v> </v>
      </c>
      <c r="R172" s="17" t="str">
        <f aca="false">IF((E172="d"),H172," ")</f>
        <v> </v>
      </c>
      <c r="S172" s="17" t="str">
        <f aca="false">IF((E172="w"),H172," ")</f>
        <v> </v>
      </c>
      <c r="T172" s="17" t="str">
        <f aca="false">IF((E172="r"),H172," ")</f>
        <v> </v>
      </c>
      <c r="U172" s="17" t="str">
        <f aca="false">IF((E172="p"),H172," ")</f>
        <v> </v>
      </c>
      <c r="V172" s="17" t="str">
        <f aca="false">IF((E172="t"),H172," ")</f>
        <v> </v>
      </c>
      <c r="W172" s="17" t="str">
        <f aca="false">IF((E172="q"),H172," ")</f>
        <v> </v>
      </c>
      <c r="X172" s="17" t="str">
        <f aca="false">IF((E172="m"),H172," ")</f>
        <v> </v>
      </c>
      <c r="Y172" s="17" t="str">
        <f aca="false">IF((E172="u"),H172," ")</f>
        <v> </v>
      </c>
      <c r="Z172" s="17" t="str">
        <f aca="false">IF((E172="a"),H172," ")</f>
        <v> </v>
      </c>
      <c r="AA172" s="17" t="str">
        <f aca="false">IF((E172="g"),H172," ")</f>
        <v> </v>
      </c>
      <c r="AB172" s="17" t="str">
        <f aca="false">IF((E172="h"),H172," ")</f>
        <v> </v>
      </c>
      <c r="AC172" s="30" t="str">
        <f aca="false">IF((E172="v"),H172," ")</f>
        <v> </v>
      </c>
      <c r="AD172" s="30" t="str">
        <f aca="false">IF((E172="n"),H172," ")</f>
        <v> </v>
      </c>
      <c r="AE172" s="17" t="str">
        <f aca="false">IF((E172="f"),H172," ")</f>
        <v> </v>
      </c>
      <c r="AF172" s="17" t="str">
        <f aca="false">IF((E172="l"),H172," ")</f>
        <v> </v>
      </c>
      <c r="AG172" s="17" t="str">
        <f aca="false">IF((E172="y"),H172," ")</f>
        <v> </v>
      </c>
      <c r="AH172" s="17" t="str">
        <f aca="false">IF((E172="z"),H172," ")</f>
        <v> </v>
      </c>
      <c r="AI172" s="17" t="str">
        <f aca="false">IF((E172="fa"),H172," ")</f>
        <v> </v>
      </c>
      <c r="AJ172" s="17" t="str">
        <f aca="false">IF((E172="e"),H172," ")</f>
        <v> </v>
      </c>
    </row>
    <row r="173" customFormat="false" ht="12" hidden="false" customHeight="false" outlineLevel="0" collapsed="false">
      <c r="A173" s="28"/>
      <c r="E173" s="2" t="str">
        <f aca="false">IF((F173&lt;&gt;0),"Enter Letter"," ")</f>
        <v> </v>
      </c>
      <c r="F173" s="30"/>
      <c r="G173" s="6" t="str">
        <f aca="false">IF(F173&lt;&gt;0,F173*G$2/(100+G$2)," ")</f>
        <v> </v>
      </c>
      <c r="H173" s="6" t="str">
        <f aca="false">IF((F173&lt;&gt;0),F173-G173," ")</f>
        <v> </v>
      </c>
      <c r="I173" s="5"/>
      <c r="L173" s="7" t="str">
        <f aca="false">IF(F173&lt;&gt;0,F173-K173," ")</f>
        <v> </v>
      </c>
      <c r="M173" s="8" t="str">
        <f aca="false">IF((F173-K173)&lt;&gt;0,M$1-A173," ")</f>
        <v> </v>
      </c>
      <c r="N173" s="5"/>
      <c r="O173" s="17" t="str">
        <f aca="false">IF((E173="s"),H173," ")</f>
        <v> </v>
      </c>
      <c r="P173" s="17" t="str">
        <f aca="false">IF((E173="c"),H173," ")</f>
        <v> </v>
      </c>
      <c r="Q173" s="17" t="str">
        <f aca="false">IF((E173="o"),H173," ")</f>
        <v> </v>
      </c>
      <c r="R173" s="17" t="str">
        <f aca="false">IF((E173="d"),H173," ")</f>
        <v> </v>
      </c>
      <c r="S173" s="17" t="str">
        <f aca="false">IF((E173="w"),H173," ")</f>
        <v> </v>
      </c>
      <c r="T173" s="17" t="str">
        <f aca="false">IF((E173="r"),H173," ")</f>
        <v> </v>
      </c>
      <c r="U173" s="17" t="str">
        <f aca="false">IF((E173="p"),H173," ")</f>
        <v> </v>
      </c>
      <c r="V173" s="17" t="str">
        <f aca="false">IF((E173="t"),H173," ")</f>
        <v> </v>
      </c>
      <c r="W173" s="17" t="str">
        <f aca="false">IF((E173="q"),H173," ")</f>
        <v> </v>
      </c>
      <c r="X173" s="17" t="str">
        <f aca="false">IF((E173="m"),H173," ")</f>
        <v> </v>
      </c>
      <c r="Y173" s="17" t="str">
        <f aca="false">IF((E173="u"),H173," ")</f>
        <v> </v>
      </c>
      <c r="Z173" s="17" t="str">
        <f aca="false">IF((E173="a"),H173," ")</f>
        <v> </v>
      </c>
      <c r="AA173" s="17" t="str">
        <f aca="false">IF((E173="g"),H173," ")</f>
        <v> </v>
      </c>
      <c r="AB173" s="17" t="str">
        <f aca="false">IF((E173="h"),H173," ")</f>
        <v> </v>
      </c>
      <c r="AC173" s="30" t="str">
        <f aca="false">IF((E173="v"),H173," ")</f>
        <v> </v>
      </c>
      <c r="AD173" s="30" t="str">
        <f aca="false">IF((E173="n"),H173," ")</f>
        <v> </v>
      </c>
      <c r="AE173" s="17" t="str">
        <f aca="false">IF((E173="f"),H173," ")</f>
        <v> </v>
      </c>
      <c r="AF173" s="17" t="str">
        <f aca="false">IF((E173="l"),H173," ")</f>
        <v> </v>
      </c>
      <c r="AG173" s="17" t="str">
        <f aca="false">IF((E173="y"),H173," ")</f>
        <v> </v>
      </c>
      <c r="AH173" s="17" t="str">
        <f aca="false">IF((E173="z"),H173," ")</f>
        <v> </v>
      </c>
      <c r="AI173" s="17" t="str">
        <f aca="false">IF((E173="fa"),H173," ")</f>
        <v> </v>
      </c>
      <c r="AJ173" s="17" t="str">
        <f aca="false">IF((E173="e"),H173," ")</f>
        <v> </v>
      </c>
    </row>
    <row r="174" customFormat="false" ht="12" hidden="false" customHeight="false" outlineLevel="0" collapsed="false">
      <c r="A174" s="28"/>
      <c r="E174" s="2" t="str">
        <f aca="false">IF((F174&lt;&gt;0),"Enter Letter"," ")</f>
        <v> </v>
      </c>
      <c r="F174" s="30"/>
      <c r="G174" s="6" t="str">
        <f aca="false">IF(F174&lt;&gt;0,F174*G$2/(100+G$2)," ")</f>
        <v> </v>
      </c>
      <c r="H174" s="6" t="str">
        <f aca="false">IF((F174&lt;&gt;0),F174-G174," ")</f>
        <v> </v>
      </c>
      <c r="I174" s="5"/>
      <c r="L174" s="7" t="str">
        <f aca="false">IF(F174&lt;&gt;0,F174-K174," ")</f>
        <v> </v>
      </c>
      <c r="M174" s="8" t="str">
        <f aca="false">IF((F174-K174)&lt;&gt;0,M$1-A174," ")</f>
        <v> </v>
      </c>
      <c r="N174" s="5"/>
      <c r="O174" s="17" t="str">
        <f aca="false">IF((E174="s"),H174," ")</f>
        <v> </v>
      </c>
      <c r="P174" s="17" t="str">
        <f aca="false">IF((E174="c"),H174," ")</f>
        <v> </v>
      </c>
      <c r="Q174" s="17" t="str">
        <f aca="false">IF((E174="o"),H174," ")</f>
        <v> </v>
      </c>
      <c r="R174" s="17" t="str">
        <f aca="false">IF((E174="d"),H174," ")</f>
        <v> </v>
      </c>
      <c r="S174" s="17" t="str">
        <f aca="false">IF((E174="w"),H174," ")</f>
        <v> </v>
      </c>
      <c r="T174" s="17" t="str">
        <f aca="false">IF((E174="r"),H174," ")</f>
        <v> </v>
      </c>
      <c r="U174" s="17" t="str">
        <f aca="false">IF((E174="p"),H174," ")</f>
        <v> </v>
      </c>
      <c r="V174" s="17" t="str">
        <f aca="false">IF((E174="t"),H174," ")</f>
        <v> </v>
      </c>
      <c r="W174" s="17" t="str">
        <f aca="false">IF((E174="q"),H174," ")</f>
        <v> </v>
      </c>
      <c r="X174" s="17" t="str">
        <f aca="false">IF((E174="m"),H174," ")</f>
        <v> </v>
      </c>
      <c r="Y174" s="17" t="str">
        <f aca="false">IF((E174="u"),H174," ")</f>
        <v> </v>
      </c>
      <c r="Z174" s="17" t="str">
        <f aca="false">IF((E174="a"),H174," ")</f>
        <v> </v>
      </c>
      <c r="AA174" s="17" t="str">
        <f aca="false">IF((E174="g"),H174," ")</f>
        <v> </v>
      </c>
      <c r="AB174" s="17" t="str">
        <f aca="false">IF((E174="h"),H174," ")</f>
        <v> </v>
      </c>
      <c r="AC174" s="30" t="str">
        <f aca="false">IF((E174="v"),H174," ")</f>
        <v> </v>
      </c>
      <c r="AD174" s="30" t="str">
        <f aca="false">IF((E174="n"),H174," ")</f>
        <v> </v>
      </c>
      <c r="AE174" s="17" t="str">
        <f aca="false">IF((E174="f"),H174," ")</f>
        <v> </v>
      </c>
      <c r="AF174" s="17" t="str">
        <f aca="false">IF((E174="l"),H174," ")</f>
        <v> </v>
      </c>
      <c r="AG174" s="17" t="str">
        <f aca="false">IF((E174="y"),H174," ")</f>
        <v> </v>
      </c>
      <c r="AH174" s="17" t="str">
        <f aca="false">IF((E174="z"),H174," ")</f>
        <v> </v>
      </c>
      <c r="AI174" s="17" t="str">
        <f aca="false">IF((E174="fa"),H174," ")</f>
        <v> </v>
      </c>
      <c r="AJ174" s="17" t="str">
        <f aca="false">IF((E174="e"),H174," ")</f>
        <v> </v>
      </c>
    </row>
    <row r="175" customFormat="false" ht="12" hidden="false" customHeight="false" outlineLevel="0" collapsed="false">
      <c r="A175" s="28"/>
      <c r="E175" s="2" t="str">
        <f aca="false">IF((F175&lt;&gt;0),"Enter Letter"," ")</f>
        <v> </v>
      </c>
      <c r="F175" s="30"/>
      <c r="G175" s="6" t="str">
        <f aca="false">IF(F175&lt;&gt;0,F175*G$2/(100+G$2)," ")</f>
        <v> </v>
      </c>
      <c r="H175" s="6" t="str">
        <f aca="false">IF((F175&lt;&gt;0),F175-G175," ")</f>
        <v> </v>
      </c>
      <c r="I175" s="5"/>
      <c r="L175" s="7" t="str">
        <f aca="false">IF(F175&lt;&gt;0,F175-K175," ")</f>
        <v> </v>
      </c>
      <c r="M175" s="8" t="str">
        <f aca="false">IF((F175-K175)&lt;&gt;0,M$1-A175," ")</f>
        <v> </v>
      </c>
      <c r="N175" s="5"/>
      <c r="O175" s="17" t="str">
        <f aca="false">IF((E175="s"),H175," ")</f>
        <v> </v>
      </c>
      <c r="P175" s="17" t="str">
        <f aca="false">IF((E175="c"),H175," ")</f>
        <v> </v>
      </c>
      <c r="Q175" s="17" t="str">
        <f aca="false">IF((E175="o"),H175," ")</f>
        <v> </v>
      </c>
      <c r="R175" s="17" t="str">
        <f aca="false">IF((E175="d"),H175," ")</f>
        <v> </v>
      </c>
      <c r="S175" s="17" t="str">
        <f aca="false">IF((E175="w"),H175," ")</f>
        <v> </v>
      </c>
      <c r="T175" s="17" t="str">
        <f aca="false">IF((E175="r"),H175," ")</f>
        <v> </v>
      </c>
      <c r="U175" s="17" t="str">
        <f aca="false">IF((E175="p"),H175," ")</f>
        <v> </v>
      </c>
      <c r="V175" s="17" t="str">
        <f aca="false">IF((E175="t"),H175," ")</f>
        <v> </v>
      </c>
      <c r="W175" s="17" t="str">
        <f aca="false">IF((E175="q"),H175," ")</f>
        <v> </v>
      </c>
      <c r="X175" s="17" t="str">
        <f aca="false">IF((E175="m"),H175," ")</f>
        <v> </v>
      </c>
      <c r="Y175" s="17" t="str">
        <f aca="false">IF((E175="u"),H175," ")</f>
        <v> </v>
      </c>
      <c r="Z175" s="17" t="str">
        <f aca="false">IF((E175="a"),H175," ")</f>
        <v> </v>
      </c>
      <c r="AA175" s="17" t="str">
        <f aca="false">IF((E175="g"),H175," ")</f>
        <v> </v>
      </c>
      <c r="AB175" s="17" t="str">
        <f aca="false">IF((E175="h"),H175," ")</f>
        <v> </v>
      </c>
      <c r="AC175" s="30" t="str">
        <f aca="false">IF((E175="v"),H175," ")</f>
        <v> </v>
      </c>
      <c r="AD175" s="30" t="str">
        <f aca="false">IF((E175="n"),H175," ")</f>
        <v> </v>
      </c>
      <c r="AE175" s="17" t="str">
        <f aca="false">IF((E175="f"),H175," ")</f>
        <v> </v>
      </c>
      <c r="AF175" s="17" t="str">
        <f aca="false">IF((E175="l"),H175," ")</f>
        <v> </v>
      </c>
      <c r="AG175" s="17" t="str">
        <f aca="false">IF((E175="y"),H175," ")</f>
        <v> </v>
      </c>
      <c r="AH175" s="17" t="str">
        <f aca="false">IF((E175="z"),H175," ")</f>
        <v> </v>
      </c>
      <c r="AI175" s="17" t="str">
        <f aca="false">IF((E175="fa"),H175," ")</f>
        <v> </v>
      </c>
      <c r="AJ175" s="17" t="str">
        <f aca="false">IF((E175="e"),H175," ")</f>
        <v> </v>
      </c>
    </row>
    <row r="176" customFormat="false" ht="12" hidden="false" customHeight="false" outlineLevel="0" collapsed="false">
      <c r="A176" s="28"/>
      <c r="E176" s="2" t="str">
        <f aca="false">IF((F176&lt;&gt;0),"Enter Letter"," ")</f>
        <v> </v>
      </c>
      <c r="F176" s="30"/>
      <c r="G176" s="6" t="str">
        <f aca="false">IF(F176&lt;&gt;0,F176*G$2/(100+G$2)," ")</f>
        <v> </v>
      </c>
      <c r="H176" s="6" t="str">
        <f aca="false">IF((F176&lt;&gt;0),F176-G176," ")</f>
        <v> </v>
      </c>
      <c r="I176" s="5"/>
      <c r="L176" s="7" t="str">
        <f aca="false">IF(F176&lt;&gt;0,F176-K176," ")</f>
        <v> </v>
      </c>
      <c r="M176" s="8" t="str">
        <f aca="false">IF((F176-K176)&lt;&gt;0,M$1-A176," ")</f>
        <v> </v>
      </c>
      <c r="N176" s="5"/>
      <c r="O176" s="17" t="str">
        <f aca="false">IF((E176="s"),H176," ")</f>
        <v> </v>
      </c>
      <c r="P176" s="17" t="str">
        <f aca="false">IF((E176="c"),H176," ")</f>
        <v> </v>
      </c>
      <c r="Q176" s="17" t="str">
        <f aca="false">IF((E176="o"),H176," ")</f>
        <v> </v>
      </c>
      <c r="R176" s="17" t="str">
        <f aca="false">IF((E176="d"),H176," ")</f>
        <v> </v>
      </c>
      <c r="S176" s="17" t="str">
        <f aca="false">IF((E176="w"),H176," ")</f>
        <v> </v>
      </c>
      <c r="T176" s="17" t="str">
        <f aca="false">IF((E176="r"),H176," ")</f>
        <v> </v>
      </c>
      <c r="U176" s="17" t="str">
        <f aca="false">IF((E176="p"),H176," ")</f>
        <v> </v>
      </c>
      <c r="V176" s="17" t="str">
        <f aca="false">IF((E176="t"),H176," ")</f>
        <v> </v>
      </c>
      <c r="W176" s="17" t="str">
        <f aca="false">IF((E176="q"),H176," ")</f>
        <v> </v>
      </c>
      <c r="X176" s="17" t="str">
        <f aca="false">IF((E176="m"),H176," ")</f>
        <v> </v>
      </c>
      <c r="Y176" s="17" t="str">
        <f aca="false">IF((E176="u"),H176," ")</f>
        <v> </v>
      </c>
      <c r="Z176" s="17" t="str">
        <f aca="false">IF((E176="a"),H176," ")</f>
        <v> </v>
      </c>
      <c r="AA176" s="17" t="str">
        <f aca="false">IF((E176="g"),H176," ")</f>
        <v> </v>
      </c>
      <c r="AB176" s="17" t="str">
        <f aca="false">IF((E176="h"),H176," ")</f>
        <v> </v>
      </c>
      <c r="AC176" s="30" t="str">
        <f aca="false">IF((E176="v"),H176," ")</f>
        <v> </v>
      </c>
      <c r="AD176" s="30" t="str">
        <f aca="false">IF((E176="n"),H176," ")</f>
        <v> </v>
      </c>
      <c r="AE176" s="17" t="str">
        <f aca="false">IF((E176="f"),H176," ")</f>
        <v> </v>
      </c>
      <c r="AF176" s="17" t="str">
        <f aca="false">IF((E176="l"),H176," ")</f>
        <v> </v>
      </c>
      <c r="AG176" s="17" t="str">
        <f aca="false">IF((E176="y"),H176," ")</f>
        <v> </v>
      </c>
      <c r="AH176" s="17" t="str">
        <f aca="false">IF((E176="z"),H176," ")</f>
        <v> </v>
      </c>
      <c r="AI176" s="17" t="str">
        <f aca="false">IF((E176="fa"),H176," ")</f>
        <v> </v>
      </c>
      <c r="AJ176" s="17" t="str">
        <f aca="false">IF((E176="e"),H176," ")</f>
        <v> </v>
      </c>
    </row>
    <row r="177" customFormat="false" ht="12" hidden="false" customHeight="false" outlineLevel="0" collapsed="false">
      <c r="A177" s="28"/>
      <c r="E177" s="2" t="str">
        <f aca="false">IF((F177&lt;&gt;0),"Enter Letter"," ")</f>
        <v> </v>
      </c>
      <c r="F177" s="30"/>
      <c r="G177" s="6" t="str">
        <f aca="false">IF(F177&lt;&gt;0,F177*G$2/(100+G$2)," ")</f>
        <v> </v>
      </c>
      <c r="H177" s="6" t="str">
        <f aca="false">IF((F177&lt;&gt;0),F177-G177," ")</f>
        <v> </v>
      </c>
      <c r="I177" s="5"/>
      <c r="L177" s="7" t="str">
        <f aca="false">IF(F177&lt;&gt;0,F177-K177," ")</f>
        <v> </v>
      </c>
      <c r="M177" s="8" t="str">
        <f aca="false">IF((F177-K177)&lt;&gt;0,M$1-A177," ")</f>
        <v> </v>
      </c>
      <c r="N177" s="5"/>
      <c r="O177" s="17" t="str">
        <f aca="false">IF((E177="s"),H177," ")</f>
        <v> </v>
      </c>
      <c r="P177" s="17" t="str">
        <f aca="false">IF((E177="c"),H177," ")</f>
        <v> </v>
      </c>
      <c r="Q177" s="17" t="str">
        <f aca="false">IF((E177="o"),H177," ")</f>
        <v> </v>
      </c>
      <c r="R177" s="17" t="str">
        <f aca="false">IF((E177="d"),H177," ")</f>
        <v> </v>
      </c>
      <c r="S177" s="17" t="str">
        <f aca="false">IF((E177="w"),H177," ")</f>
        <v> </v>
      </c>
      <c r="T177" s="17" t="str">
        <f aca="false">IF((E177="r"),H177," ")</f>
        <v> </v>
      </c>
      <c r="U177" s="17" t="str">
        <f aca="false">IF((E177="p"),H177," ")</f>
        <v> </v>
      </c>
      <c r="V177" s="17" t="str">
        <f aca="false">IF((E177="t"),H177," ")</f>
        <v> </v>
      </c>
      <c r="W177" s="17" t="str">
        <f aca="false">IF((E177="q"),H177," ")</f>
        <v> </v>
      </c>
      <c r="X177" s="17" t="str">
        <f aca="false">IF((E177="m"),H177," ")</f>
        <v> </v>
      </c>
      <c r="Y177" s="17" t="str">
        <f aca="false">IF((E177="u"),H177," ")</f>
        <v> </v>
      </c>
      <c r="Z177" s="17" t="str">
        <f aca="false">IF((E177="a"),H177," ")</f>
        <v> </v>
      </c>
      <c r="AA177" s="17" t="str">
        <f aca="false">IF((E177="g"),H177," ")</f>
        <v> </v>
      </c>
      <c r="AB177" s="17" t="str">
        <f aca="false">IF((E177="h"),H177," ")</f>
        <v> </v>
      </c>
      <c r="AC177" s="30" t="str">
        <f aca="false">IF((E177="v"),H177," ")</f>
        <v> </v>
      </c>
      <c r="AD177" s="30" t="str">
        <f aca="false">IF((E177="n"),H177," ")</f>
        <v> </v>
      </c>
      <c r="AE177" s="17" t="str">
        <f aca="false">IF((E177="f"),H177," ")</f>
        <v> </v>
      </c>
      <c r="AF177" s="17" t="str">
        <f aca="false">IF((E177="l"),H177," ")</f>
        <v> </v>
      </c>
      <c r="AG177" s="17" t="str">
        <f aca="false">IF((E177="y"),H177," ")</f>
        <v> </v>
      </c>
      <c r="AH177" s="17" t="str">
        <f aca="false">IF((E177="z"),H177," ")</f>
        <v> </v>
      </c>
      <c r="AI177" s="17" t="str">
        <f aca="false">IF((E177="fa"),H177," ")</f>
        <v> </v>
      </c>
      <c r="AJ177" s="17" t="str">
        <f aca="false">IF((E177="e"),H177," ")</f>
        <v> </v>
      </c>
    </row>
    <row r="178" customFormat="false" ht="12" hidden="false" customHeight="false" outlineLevel="0" collapsed="false">
      <c r="A178" s="28"/>
      <c r="E178" s="2" t="str">
        <f aca="false">IF((F178&lt;&gt;0),"Enter Letter"," ")</f>
        <v> </v>
      </c>
      <c r="F178" s="30"/>
      <c r="G178" s="6" t="str">
        <f aca="false">IF(F178&lt;&gt;0,F178*G$2/(100+G$2)," ")</f>
        <v> </v>
      </c>
      <c r="H178" s="6" t="str">
        <f aca="false">IF((F178&lt;&gt;0),F178-G178," ")</f>
        <v> </v>
      </c>
      <c r="I178" s="5"/>
      <c r="L178" s="7" t="str">
        <f aca="false">IF(F178&lt;&gt;0,F178-K178," ")</f>
        <v> </v>
      </c>
      <c r="M178" s="8" t="str">
        <f aca="false">IF((F178-K178)&lt;&gt;0,M$1-A178," ")</f>
        <v> </v>
      </c>
      <c r="N178" s="5"/>
      <c r="O178" s="17" t="str">
        <f aca="false">IF((E178="s"),H178," ")</f>
        <v> </v>
      </c>
      <c r="P178" s="17" t="str">
        <f aca="false">IF((E178="c"),H178," ")</f>
        <v> </v>
      </c>
      <c r="Q178" s="17" t="str">
        <f aca="false">IF((E178="o"),H178," ")</f>
        <v> </v>
      </c>
      <c r="R178" s="17" t="str">
        <f aca="false">IF((E178="d"),H178," ")</f>
        <v> </v>
      </c>
      <c r="S178" s="17" t="str">
        <f aca="false">IF((E178="w"),H178," ")</f>
        <v> </v>
      </c>
      <c r="T178" s="17" t="str">
        <f aca="false">IF((E178="r"),H178," ")</f>
        <v> </v>
      </c>
      <c r="U178" s="17" t="str">
        <f aca="false">IF((E178="p"),H178," ")</f>
        <v> </v>
      </c>
      <c r="V178" s="17" t="str">
        <f aca="false">IF((E178="t"),H178," ")</f>
        <v> </v>
      </c>
      <c r="W178" s="17" t="str">
        <f aca="false">IF((E178="q"),H178," ")</f>
        <v> </v>
      </c>
      <c r="X178" s="17" t="str">
        <f aca="false">IF((E178="m"),H178," ")</f>
        <v> </v>
      </c>
      <c r="Y178" s="17" t="str">
        <f aca="false">IF((E178="u"),H178," ")</f>
        <v> </v>
      </c>
      <c r="Z178" s="17" t="str">
        <f aca="false">IF((E178="a"),H178," ")</f>
        <v> </v>
      </c>
      <c r="AA178" s="17" t="str">
        <f aca="false">IF((E178="g"),H178," ")</f>
        <v> </v>
      </c>
      <c r="AB178" s="17" t="str">
        <f aca="false">IF((E178="h"),H178," ")</f>
        <v> </v>
      </c>
      <c r="AC178" s="30" t="str">
        <f aca="false">IF((E178="v"),H178," ")</f>
        <v> </v>
      </c>
      <c r="AD178" s="30" t="str">
        <f aca="false">IF((E178="n"),H178," ")</f>
        <v> </v>
      </c>
      <c r="AE178" s="17" t="str">
        <f aca="false">IF((E178="f"),H178," ")</f>
        <v> </v>
      </c>
      <c r="AF178" s="17" t="str">
        <f aca="false">IF((E178="l"),H178," ")</f>
        <v> </v>
      </c>
      <c r="AG178" s="17" t="str">
        <f aca="false">IF((E178="y"),H178," ")</f>
        <v> </v>
      </c>
      <c r="AH178" s="17" t="str">
        <f aca="false">IF((E178="z"),H178," ")</f>
        <v> </v>
      </c>
      <c r="AI178" s="17" t="str">
        <f aca="false">IF((E178="fa"),H178," ")</f>
        <v> </v>
      </c>
      <c r="AJ178" s="17" t="str">
        <f aca="false">IF((E178="e"),H178," ")</f>
        <v> </v>
      </c>
    </row>
    <row r="179" customFormat="false" ht="12" hidden="false" customHeight="false" outlineLevel="0" collapsed="false">
      <c r="A179" s="28"/>
      <c r="E179" s="2" t="str">
        <f aca="false">IF((F179&lt;&gt;0),"Enter Letter"," ")</f>
        <v> </v>
      </c>
      <c r="F179" s="30"/>
      <c r="G179" s="6" t="str">
        <f aca="false">IF(F179&lt;&gt;0,F179*G$2/(100+G$2)," ")</f>
        <v> </v>
      </c>
      <c r="H179" s="6" t="str">
        <f aca="false">IF((F179&lt;&gt;0),F179-G179," ")</f>
        <v> </v>
      </c>
      <c r="I179" s="5"/>
      <c r="L179" s="7" t="str">
        <f aca="false">IF(F179&lt;&gt;0,F179-K179," ")</f>
        <v> </v>
      </c>
      <c r="M179" s="8" t="str">
        <f aca="false">IF((F179-K179)&lt;&gt;0,M$1-A179," ")</f>
        <v> </v>
      </c>
      <c r="N179" s="5"/>
      <c r="O179" s="17" t="str">
        <f aca="false">IF((E179="s"),H179," ")</f>
        <v> </v>
      </c>
      <c r="P179" s="17" t="str">
        <f aca="false">IF((E179="c"),H179," ")</f>
        <v> </v>
      </c>
      <c r="Q179" s="17" t="str">
        <f aca="false">IF((E179="o"),H179," ")</f>
        <v> </v>
      </c>
      <c r="R179" s="17" t="str">
        <f aca="false">IF((E179="d"),H179," ")</f>
        <v> </v>
      </c>
      <c r="S179" s="17" t="str">
        <f aca="false">IF((E179="w"),H179," ")</f>
        <v> </v>
      </c>
      <c r="T179" s="17" t="str">
        <f aca="false">IF((E179="r"),H179," ")</f>
        <v> </v>
      </c>
      <c r="U179" s="17" t="str">
        <f aca="false">IF((E179="p"),H179," ")</f>
        <v> </v>
      </c>
      <c r="V179" s="17" t="str">
        <f aca="false">IF((E179="t"),H179," ")</f>
        <v> </v>
      </c>
      <c r="W179" s="17" t="str">
        <f aca="false">IF((E179="q"),H179," ")</f>
        <v> </v>
      </c>
      <c r="X179" s="17" t="str">
        <f aca="false">IF((E179="m"),H179," ")</f>
        <v> </v>
      </c>
      <c r="Y179" s="17" t="str">
        <f aca="false">IF((E179="u"),H179," ")</f>
        <v> </v>
      </c>
      <c r="Z179" s="17" t="str">
        <f aca="false">IF((E179="a"),H179," ")</f>
        <v> </v>
      </c>
      <c r="AA179" s="17" t="str">
        <f aca="false">IF((E179="g"),H179," ")</f>
        <v> </v>
      </c>
      <c r="AB179" s="17" t="str">
        <f aca="false">IF((E179="h"),H179," ")</f>
        <v> </v>
      </c>
      <c r="AC179" s="30" t="str">
        <f aca="false">IF((E179="v"),H179," ")</f>
        <v> </v>
      </c>
      <c r="AD179" s="30" t="str">
        <f aca="false">IF((E179="n"),H179," ")</f>
        <v> </v>
      </c>
      <c r="AE179" s="17" t="str">
        <f aca="false">IF((E179="f"),H179," ")</f>
        <v> </v>
      </c>
      <c r="AF179" s="17" t="str">
        <f aca="false">IF((E179="l"),H179," ")</f>
        <v> </v>
      </c>
      <c r="AG179" s="17" t="str">
        <f aca="false">IF((E179="y"),H179," ")</f>
        <v> </v>
      </c>
      <c r="AH179" s="17" t="str">
        <f aca="false">IF((E179="z"),H179," ")</f>
        <v> </v>
      </c>
      <c r="AI179" s="17" t="str">
        <f aca="false">IF((E179="fa"),H179," ")</f>
        <v> </v>
      </c>
      <c r="AJ179" s="17" t="str">
        <f aca="false">IF((E179="e"),H179," ")</f>
        <v> </v>
      </c>
    </row>
    <row r="180" customFormat="false" ht="12" hidden="false" customHeight="false" outlineLevel="0" collapsed="false">
      <c r="A180" s="28"/>
      <c r="E180" s="2" t="str">
        <f aca="false">IF((F180&lt;&gt;0),"Enter Letter"," ")</f>
        <v> </v>
      </c>
      <c r="F180" s="30"/>
      <c r="G180" s="6" t="str">
        <f aca="false">IF(F180&lt;&gt;0,F180*G$2/(100+G$2)," ")</f>
        <v> </v>
      </c>
      <c r="H180" s="6" t="str">
        <f aca="false">IF((F180&lt;&gt;0),F180-G180," ")</f>
        <v> </v>
      </c>
      <c r="I180" s="5"/>
      <c r="L180" s="7" t="str">
        <f aca="false">IF(F180&lt;&gt;0,F180-K180," ")</f>
        <v> </v>
      </c>
      <c r="M180" s="8" t="str">
        <f aca="false">IF((F180-K180)&lt;&gt;0,M$1-A180," ")</f>
        <v> </v>
      </c>
      <c r="N180" s="5"/>
      <c r="O180" s="17" t="str">
        <f aca="false">IF((E180="s"),H180," ")</f>
        <v> </v>
      </c>
      <c r="P180" s="17" t="str">
        <f aca="false">IF((E180="c"),H180," ")</f>
        <v> </v>
      </c>
      <c r="Q180" s="17" t="str">
        <f aca="false">IF((E180="o"),H180," ")</f>
        <v> </v>
      </c>
      <c r="R180" s="17" t="str">
        <f aca="false">IF((E180="d"),H180," ")</f>
        <v> </v>
      </c>
      <c r="S180" s="17" t="str">
        <f aca="false">IF((E180="w"),H180," ")</f>
        <v> </v>
      </c>
      <c r="T180" s="17" t="str">
        <f aca="false">IF((E180="r"),H180," ")</f>
        <v> </v>
      </c>
      <c r="U180" s="17" t="str">
        <f aca="false">IF((E180="p"),H180," ")</f>
        <v> </v>
      </c>
      <c r="V180" s="17" t="str">
        <f aca="false">IF((E180="t"),H180," ")</f>
        <v> </v>
      </c>
      <c r="W180" s="17" t="str">
        <f aca="false">IF((E180="q"),H180," ")</f>
        <v> </v>
      </c>
      <c r="X180" s="17" t="str">
        <f aca="false">IF((E180="m"),H180," ")</f>
        <v> </v>
      </c>
      <c r="Y180" s="17" t="str">
        <f aca="false">IF((E180="u"),H180," ")</f>
        <v> </v>
      </c>
      <c r="Z180" s="17" t="str">
        <f aca="false">IF((E180="a"),H180," ")</f>
        <v> </v>
      </c>
      <c r="AA180" s="17" t="str">
        <f aca="false">IF((E180="g"),H180," ")</f>
        <v> </v>
      </c>
      <c r="AB180" s="17" t="str">
        <f aca="false">IF((E180="h"),H180," ")</f>
        <v> </v>
      </c>
      <c r="AC180" s="30" t="str">
        <f aca="false">IF((E180="v"),H180," ")</f>
        <v> </v>
      </c>
      <c r="AD180" s="30" t="str">
        <f aca="false">IF((E180="n"),H180," ")</f>
        <v> </v>
      </c>
      <c r="AE180" s="17" t="str">
        <f aca="false">IF((E180="f"),H180," ")</f>
        <v> </v>
      </c>
      <c r="AF180" s="17" t="str">
        <f aca="false">IF((E180="l"),H180," ")</f>
        <v> </v>
      </c>
      <c r="AG180" s="17" t="str">
        <f aca="false">IF((E180="y"),H180," ")</f>
        <v> </v>
      </c>
      <c r="AH180" s="17" t="str">
        <f aca="false">IF((E180="z"),H180," ")</f>
        <v> </v>
      </c>
      <c r="AI180" s="17" t="str">
        <f aca="false">IF((E180="fa"),H180," ")</f>
        <v> </v>
      </c>
      <c r="AJ180" s="17" t="str">
        <f aca="false">IF((E180="e"),H180," ")</f>
        <v> </v>
      </c>
    </row>
    <row r="181" customFormat="false" ht="12" hidden="false" customHeight="false" outlineLevel="0" collapsed="false">
      <c r="A181" s="28"/>
      <c r="E181" s="2" t="str">
        <f aca="false">IF((F181&lt;&gt;0),"Enter Letter"," ")</f>
        <v> </v>
      </c>
      <c r="F181" s="30"/>
      <c r="G181" s="6" t="str">
        <f aca="false">IF(F181&lt;&gt;0,F181*G$2/(100+G$2)," ")</f>
        <v> </v>
      </c>
      <c r="H181" s="6" t="str">
        <f aca="false">IF((F181&lt;&gt;0),F181-G181," ")</f>
        <v> </v>
      </c>
      <c r="I181" s="5"/>
      <c r="L181" s="7" t="str">
        <f aca="false">IF(F181&lt;&gt;0,F181-K181," ")</f>
        <v> </v>
      </c>
      <c r="M181" s="8" t="str">
        <f aca="false">IF((F181-K181)&lt;&gt;0,M$1-A181," ")</f>
        <v> </v>
      </c>
      <c r="N181" s="5"/>
      <c r="O181" s="17" t="str">
        <f aca="false">IF((E181="s"),H181," ")</f>
        <v> </v>
      </c>
      <c r="P181" s="17" t="str">
        <f aca="false">IF((E181="c"),H181," ")</f>
        <v> </v>
      </c>
      <c r="Q181" s="17" t="str">
        <f aca="false">IF((E181="o"),H181," ")</f>
        <v> </v>
      </c>
      <c r="R181" s="17" t="str">
        <f aca="false">IF((E181="d"),H181," ")</f>
        <v> </v>
      </c>
      <c r="S181" s="17" t="str">
        <f aca="false">IF((E181="w"),H181," ")</f>
        <v> </v>
      </c>
      <c r="T181" s="17" t="str">
        <f aca="false">IF((E181="r"),H181," ")</f>
        <v> </v>
      </c>
      <c r="U181" s="17" t="str">
        <f aca="false">IF((E181="p"),H181," ")</f>
        <v> </v>
      </c>
      <c r="V181" s="17" t="str">
        <f aca="false">IF((E181="t"),H181," ")</f>
        <v> </v>
      </c>
      <c r="W181" s="17" t="str">
        <f aca="false">IF((E181="q"),H181," ")</f>
        <v> </v>
      </c>
      <c r="X181" s="17" t="str">
        <f aca="false">IF((E181="m"),H181," ")</f>
        <v> </v>
      </c>
      <c r="Y181" s="17" t="str">
        <f aca="false">IF((E181="u"),H181," ")</f>
        <v> </v>
      </c>
      <c r="Z181" s="17" t="str">
        <f aca="false">IF((E181="a"),H181," ")</f>
        <v> </v>
      </c>
      <c r="AA181" s="17" t="str">
        <f aca="false">IF((E181="g"),H181," ")</f>
        <v> </v>
      </c>
      <c r="AB181" s="17" t="str">
        <f aca="false">IF((E181="h"),H181," ")</f>
        <v> </v>
      </c>
      <c r="AC181" s="30" t="str">
        <f aca="false">IF((E181="v"),H181," ")</f>
        <v> </v>
      </c>
      <c r="AD181" s="30" t="str">
        <f aca="false">IF((E181="n"),H181," ")</f>
        <v> </v>
      </c>
      <c r="AE181" s="17" t="str">
        <f aca="false">IF((E181="f"),H181," ")</f>
        <v> </v>
      </c>
      <c r="AF181" s="17" t="str">
        <f aca="false">IF((E181="l"),H181," ")</f>
        <v> </v>
      </c>
      <c r="AG181" s="17" t="str">
        <f aca="false">IF((E181="y"),H181," ")</f>
        <v> </v>
      </c>
      <c r="AH181" s="17" t="str">
        <f aca="false">IF((E181="z"),H181," ")</f>
        <v> </v>
      </c>
      <c r="AI181" s="17" t="str">
        <f aca="false">IF((E181="fa"),H181," ")</f>
        <v> </v>
      </c>
      <c r="AJ181" s="17" t="str">
        <f aca="false">IF((E181="e"),H181," ")</f>
        <v> </v>
      </c>
    </row>
    <row r="182" customFormat="false" ht="12" hidden="false" customHeight="false" outlineLevel="0" collapsed="false">
      <c r="A182" s="28"/>
      <c r="E182" s="2" t="str">
        <f aca="false">IF((F182&lt;&gt;0),"Enter Letter"," ")</f>
        <v> </v>
      </c>
      <c r="F182" s="30"/>
      <c r="G182" s="6" t="str">
        <f aca="false">IF(F182&lt;&gt;0,F182*G$2/(100+G$2)," ")</f>
        <v> </v>
      </c>
      <c r="H182" s="6" t="str">
        <f aca="false">IF((F182&lt;&gt;0),F182-G182," ")</f>
        <v> </v>
      </c>
      <c r="I182" s="5"/>
      <c r="L182" s="7" t="str">
        <f aca="false">IF(F182&lt;&gt;0,F182-K182," ")</f>
        <v> </v>
      </c>
      <c r="M182" s="8" t="str">
        <f aca="false">IF((F182-K182)&lt;&gt;0,M$1-A182," ")</f>
        <v> </v>
      </c>
      <c r="N182" s="5"/>
      <c r="O182" s="17" t="str">
        <f aca="false">IF((E182="s"),H182," ")</f>
        <v> </v>
      </c>
      <c r="P182" s="17" t="str">
        <f aca="false">IF((E182="c"),H182," ")</f>
        <v> </v>
      </c>
      <c r="Q182" s="17" t="str">
        <f aca="false">IF((E182="o"),H182," ")</f>
        <v> </v>
      </c>
      <c r="R182" s="17" t="str">
        <f aca="false">IF((E182="d"),H182," ")</f>
        <v> </v>
      </c>
      <c r="S182" s="17" t="str">
        <f aca="false">IF((E182="w"),H182," ")</f>
        <v> </v>
      </c>
      <c r="T182" s="17" t="str">
        <f aca="false">IF((E182="r"),H182," ")</f>
        <v> </v>
      </c>
      <c r="U182" s="17" t="str">
        <f aca="false">IF((E182="p"),H182," ")</f>
        <v> </v>
      </c>
      <c r="V182" s="17" t="str">
        <f aca="false">IF((E182="t"),H182," ")</f>
        <v> </v>
      </c>
      <c r="W182" s="17" t="str">
        <f aca="false">IF((E182="q"),H182," ")</f>
        <v> </v>
      </c>
      <c r="X182" s="17" t="str">
        <f aca="false">IF((E182="m"),H182," ")</f>
        <v> </v>
      </c>
      <c r="Y182" s="17" t="str">
        <f aca="false">IF((E182="u"),H182," ")</f>
        <v> </v>
      </c>
      <c r="Z182" s="17" t="str">
        <f aca="false">IF((E182="a"),H182," ")</f>
        <v> </v>
      </c>
      <c r="AA182" s="17" t="str">
        <f aca="false">IF((E182="g"),H182," ")</f>
        <v> </v>
      </c>
      <c r="AB182" s="17" t="str">
        <f aca="false">IF((E182="h"),H182," ")</f>
        <v> </v>
      </c>
      <c r="AC182" s="30" t="str">
        <f aca="false">IF((E182="v"),H182," ")</f>
        <v> </v>
      </c>
      <c r="AD182" s="30" t="str">
        <f aca="false">IF((E182="n"),H182," ")</f>
        <v> </v>
      </c>
      <c r="AE182" s="17" t="str">
        <f aca="false">IF((E182="f"),H182," ")</f>
        <v> </v>
      </c>
      <c r="AF182" s="17" t="str">
        <f aca="false">IF((E182="l"),H182," ")</f>
        <v> </v>
      </c>
      <c r="AG182" s="17" t="str">
        <f aca="false">IF((E182="y"),H182," ")</f>
        <v> </v>
      </c>
      <c r="AH182" s="17" t="str">
        <f aca="false">IF((E182="z"),H182," ")</f>
        <v> </v>
      </c>
      <c r="AI182" s="17" t="str">
        <f aca="false">IF((E182="fa"),H182," ")</f>
        <v> </v>
      </c>
      <c r="AJ182" s="17" t="str">
        <f aca="false">IF((E182="e"),H182," ")</f>
        <v> </v>
      </c>
    </row>
    <row r="183" customFormat="false" ht="12" hidden="false" customHeight="false" outlineLevel="0" collapsed="false">
      <c r="A183" s="28"/>
      <c r="E183" s="2" t="str">
        <f aca="false">IF((F183&lt;&gt;0),"Enter Letter"," ")</f>
        <v> </v>
      </c>
      <c r="F183" s="30"/>
      <c r="G183" s="6" t="str">
        <f aca="false">IF(F183&lt;&gt;0,F183*G$2/(100+G$2)," ")</f>
        <v> </v>
      </c>
      <c r="H183" s="6" t="str">
        <f aca="false">IF((F183&lt;&gt;0),F183-G183," ")</f>
        <v> </v>
      </c>
      <c r="I183" s="5"/>
      <c r="L183" s="7" t="str">
        <f aca="false">IF(F183&lt;&gt;0,F183-K183," ")</f>
        <v> </v>
      </c>
      <c r="M183" s="8" t="str">
        <f aca="false">IF((F183-K183)&lt;&gt;0,M$1-A183," ")</f>
        <v> </v>
      </c>
      <c r="N183" s="5"/>
      <c r="O183" s="17" t="str">
        <f aca="false">IF((E183="s"),H183," ")</f>
        <v> </v>
      </c>
      <c r="P183" s="17" t="str">
        <f aca="false">IF((E183="c"),H183," ")</f>
        <v> </v>
      </c>
      <c r="Q183" s="17" t="str">
        <f aca="false">IF((E183="o"),H183," ")</f>
        <v> </v>
      </c>
      <c r="R183" s="17" t="str">
        <f aca="false">IF((E183="d"),H183," ")</f>
        <v> </v>
      </c>
      <c r="S183" s="17" t="str">
        <f aca="false">IF((E183="w"),H183," ")</f>
        <v> </v>
      </c>
      <c r="T183" s="17" t="str">
        <f aca="false">IF((E183="r"),H183," ")</f>
        <v> </v>
      </c>
      <c r="U183" s="17" t="str">
        <f aca="false">IF((E183="p"),H183," ")</f>
        <v> </v>
      </c>
      <c r="V183" s="17" t="str">
        <f aca="false">IF((E183="t"),H183," ")</f>
        <v> </v>
      </c>
      <c r="W183" s="17" t="str">
        <f aca="false">IF((E183="q"),H183," ")</f>
        <v> </v>
      </c>
      <c r="X183" s="17" t="str">
        <f aca="false">IF((E183="m"),H183," ")</f>
        <v> </v>
      </c>
      <c r="Y183" s="17" t="str">
        <f aca="false">IF((E183="u"),H183," ")</f>
        <v> </v>
      </c>
      <c r="Z183" s="17" t="str">
        <f aca="false">IF((E183="a"),H183," ")</f>
        <v> </v>
      </c>
      <c r="AA183" s="17" t="str">
        <f aca="false">IF((E183="g"),H183," ")</f>
        <v> </v>
      </c>
      <c r="AB183" s="17" t="str">
        <f aca="false">IF((E183="h"),H183," ")</f>
        <v> </v>
      </c>
      <c r="AC183" s="30" t="str">
        <f aca="false">IF((E183="v"),H183," ")</f>
        <v> </v>
      </c>
      <c r="AD183" s="30" t="str">
        <f aca="false">IF((E183="n"),H183," ")</f>
        <v> </v>
      </c>
      <c r="AE183" s="17" t="str">
        <f aca="false">IF((E183="f"),H183," ")</f>
        <v> </v>
      </c>
      <c r="AF183" s="17" t="str">
        <f aca="false">IF((E183="l"),H183," ")</f>
        <v> </v>
      </c>
      <c r="AG183" s="17" t="str">
        <f aca="false">IF((E183="y"),H183," ")</f>
        <v> </v>
      </c>
      <c r="AH183" s="17" t="str">
        <f aca="false">IF((E183="z"),H183," ")</f>
        <v> </v>
      </c>
      <c r="AI183" s="17" t="str">
        <f aca="false">IF((E183="fa"),H183," ")</f>
        <v> </v>
      </c>
      <c r="AJ183" s="17" t="str">
        <f aca="false">IF((E183="e"),H183," ")</f>
        <v> </v>
      </c>
    </row>
    <row r="184" customFormat="false" ht="12" hidden="false" customHeight="false" outlineLevel="0" collapsed="false">
      <c r="A184" s="28"/>
      <c r="E184" s="2" t="str">
        <f aca="false">IF((F184&lt;&gt;0),"Enter Letter"," ")</f>
        <v> </v>
      </c>
      <c r="F184" s="30"/>
      <c r="G184" s="6" t="str">
        <f aca="false">IF(F184&lt;&gt;0,F184*G$2/(100+G$2)," ")</f>
        <v> </v>
      </c>
      <c r="H184" s="6" t="str">
        <f aca="false">IF((F184&lt;&gt;0),F184-G184," ")</f>
        <v> </v>
      </c>
      <c r="I184" s="5"/>
      <c r="L184" s="7" t="str">
        <f aca="false">IF(F184&lt;&gt;0,F184-K184," ")</f>
        <v> </v>
      </c>
      <c r="M184" s="8" t="str">
        <f aca="false">IF((F184-K184)&lt;&gt;0,M$1-A184," ")</f>
        <v> </v>
      </c>
      <c r="N184" s="5"/>
      <c r="O184" s="17" t="str">
        <f aca="false">IF((E184="s"),H184," ")</f>
        <v> </v>
      </c>
      <c r="P184" s="17" t="str">
        <f aca="false">IF((E184="c"),H184," ")</f>
        <v> </v>
      </c>
      <c r="Q184" s="17" t="str">
        <f aca="false">IF((E184="o"),H184," ")</f>
        <v> </v>
      </c>
      <c r="R184" s="17" t="str">
        <f aca="false">IF((E184="d"),H184," ")</f>
        <v> </v>
      </c>
      <c r="S184" s="17" t="str">
        <f aca="false">IF((E184="w"),H184," ")</f>
        <v> </v>
      </c>
      <c r="T184" s="17" t="str">
        <f aca="false">IF((E184="r"),H184," ")</f>
        <v> </v>
      </c>
      <c r="U184" s="17" t="str">
        <f aca="false">IF((E184="p"),H184," ")</f>
        <v> </v>
      </c>
      <c r="V184" s="17" t="str">
        <f aca="false">IF((E184="t"),H184," ")</f>
        <v> </v>
      </c>
      <c r="W184" s="17" t="str">
        <f aca="false">IF((E184="q"),H184," ")</f>
        <v> </v>
      </c>
      <c r="X184" s="17" t="str">
        <f aca="false">IF((E184="m"),H184," ")</f>
        <v> </v>
      </c>
      <c r="Y184" s="17" t="str">
        <f aca="false">IF((E184="u"),H184," ")</f>
        <v> </v>
      </c>
      <c r="Z184" s="17" t="str">
        <f aca="false">IF((E184="a"),H184," ")</f>
        <v> </v>
      </c>
      <c r="AA184" s="17" t="str">
        <f aca="false">IF((E184="g"),H184," ")</f>
        <v> </v>
      </c>
      <c r="AB184" s="17" t="str">
        <f aca="false">IF((E184="h"),H184," ")</f>
        <v> </v>
      </c>
      <c r="AC184" s="30" t="str">
        <f aca="false">IF((E184="v"),H184," ")</f>
        <v> </v>
      </c>
      <c r="AD184" s="30" t="str">
        <f aca="false">IF((E184="n"),H184," ")</f>
        <v> </v>
      </c>
      <c r="AE184" s="17" t="str">
        <f aca="false">IF((E184="f"),H184," ")</f>
        <v> </v>
      </c>
      <c r="AF184" s="17" t="str">
        <f aca="false">IF((E184="l"),H184," ")</f>
        <v> </v>
      </c>
      <c r="AG184" s="17" t="str">
        <f aca="false">IF((E184="y"),H184," ")</f>
        <v> </v>
      </c>
      <c r="AH184" s="17" t="str">
        <f aca="false">IF((E184="z"),H184," ")</f>
        <v> </v>
      </c>
      <c r="AI184" s="17" t="str">
        <f aca="false">IF((E184="fa"),H184," ")</f>
        <v> </v>
      </c>
      <c r="AJ184" s="17" t="str">
        <f aca="false">IF((E184="e"),H184," ")</f>
        <v> </v>
      </c>
    </row>
    <row r="185" customFormat="false" ht="12" hidden="false" customHeight="false" outlineLevel="0" collapsed="false">
      <c r="A185" s="28"/>
      <c r="E185" s="2" t="str">
        <f aca="false">IF((F185&lt;&gt;0),"Enter Letter"," ")</f>
        <v> </v>
      </c>
      <c r="F185" s="30"/>
      <c r="G185" s="6" t="str">
        <f aca="false">IF(F185&lt;&gt;0,F185*G$2/(100+G$2)," ")</f>
        <v> </v>
      </c>
      <c r="H185" s="6" t="str">
        <f aca="false">IF((F185&lt;&gt;0),F185-G185," ")</f>
        <v> </v>
      </c>
      <c r="I185" s="5"/>
      <c r="L185" s="7" t="str">
        <f aca="false">IF(F185&lt;&gt;0,F185-K185," ")</f>
        <v> </v>
      </c>
      <c r="M185" s="8" t="str">
        <f aca="false">IF((F185-K185)&lt;&gt;0,M$1-A185," ")</f>
        <v> </v>
      </c>
      <c r="N185" s="5"/>
      <c r="O185" s="17" t="str">
        <f aca="false">IF((E185="s"),H185," ")</f>
        <v> </v>
      </c>
      <c r="P185" s="17" t="str">
        <f aca="false">IF((E185="c"),H185," ")</f>
        <v> </v>
      </c>
      <c r="Q185" s="17" t="str">
        <f aca="false">IF((E185="o"),H185," ")</f>
        <v> </v>
      </c>
      <c r="R185" s="17" t="str">
        <f aca="false">IF((E185="d"),H185," ")</f>
        <v> </v>
      </c>
      <c r="S185" s="17" t="str">
        <f aca="false">IF((E185="w"),H185," ")</f>
        <v> </v>
      </c>
      <c r="T185" s="17" t="str">
        <f aca="false">IF((E185="r"),H185," ")</f>
        <v> </v>
      </c>
      <c r="U185" s="17" t="str">
        <f aca="false">IF((E185="p"),H185," ")</f>
        <v> </v>
      </c>
      <c r="V185" s="17" t="str">
        <f aca="false">IF((E185="t"),H185," ")</f>
        <v> </v>
      </c>
      <c r="W185" s="17" t="str">
        <f aca="false">IF((E185="q"),H185," ")</f>
        <v> </v>
      </c>
      <c r="X185" s="17" t="str">
        <f aca="false">IF((E185="m"),H185," ")</f>
        <v> </v>
      </c>
      <c r="Y185" s="17" t="str">
        <f aca="false">IF((E185="u"),H185," ")</f>
        <v> </v>
      </c>
      <c r="Z185" s="17" t="str">
        <f aca="false">IF((E185="a"),H185," ")</f>
        <v> </v>
      </c>
      <c r="AA185" s="17" t="str">
        <f aca="false">IF((E185="g"),H185," ")</f>
        <v> </v>
      </c>
      <c r="AB185" s="17" t="str">
        <f aca="false">IF((E185="h"),H185," ")</f>
        <v> </v>
      </c>
      <c r="AC185" s="30" t="str">
        <f aca="false">IF((E185="v"),H185," ")</f>
        <v> </v>
      </c>
      <c r="AD185" s="30" t="str">
        <f aca="false">IF((E185="n"),H185," ")</f>
        <v> </v>
      </c>
      <c r="AE185" s="17" t="str">
        <f aca="false">IF((E185="f"),H185," ")</f>
        <v> </v>
      </c>
      <c r="AF185" s="17" t="str">
        <f aca="false">IF((E185="l"),H185," ")</f>
        <v> </v>
      </c>
      <c r="AG185" s="17" t="str">
        <f aca="false">IF((E185="y"),H185," ")</f>
        <v> </v>
      </c>
      <c r="AH185" s="17" t="str">
        <f aca="false">IF((E185="z"),H185," ")</f>
        <v> </v>
      </c>
      <c r="AI185" s="17" t="str">
        <f aca="false">IF((E185="fa"),H185," ")</f>
        <v> </v>
      </c>
      <c r="AJ185" s="17" t="str">
        <f aca="false">IF((E185="e"),H185," ")</f>
        <v> </v>
      </c>
    </row>
    <row r="186" customFormat="false" ht="12" hidden="false" customHeight="false" outlineLevel="0" collapsed="false">
      <c r="A186" s="28"/>
      <c r="E186" s="2" t="str">
        <f aca="false">IF((F186&lt;&gt;0),"Enter Letter"," ")</f>
        <v> </v>
      </c>
      <c r="F186" s="30"/>
      <c r="G186" s="6" t="str">
        <f aca="false">IF(F186&lt;&gt;0,F186*G$2/(100+G$2)," ")</f>
        <v> </v>
      </c>
      <c r="H186" s="6" t="str">
        <f aca="false">IF((F186&lt;&gt;0),F186-G186," ")</f>
        <v> </v>
      </c>
      <c r="I186" s="5"/>
      <c r="L186" s="7" t="str">
        <f aca="false">IF(F186&lt;&gt;0,F186-K186," ")</f>
        <v> </v>
      </c>
      <c r="M186" s="8" t="str">
        <f aca="false">IF((F186-K186)&lt;&gt;0,M$1-A186," ")</f>
        <v> </v>
      </c>
      <c r="N186" s="5"/>
      <c r="O186" s="17" t="str">
        <f aca="false">IF((E186="s"),H186," ")</f>
        <v> </v>
      </c>
      <c r="P186" s="17" t="str">
        <f aca="false">IF((E186="c"),H186," ")</f>
        <v> </v>
      </c>
      <c r="Q186" s="17" t="str">
        <f aca="false">IF((E186="o"),H186," ")</f>
        <v> </v>
      </c>
      <c r="R186" s="17" t="str">
        <f aca="false">IF((E186="d"),H186," ")</f>
        <v> </v>
      </c>
      <c r="S186" s="17" t="str">
        <f aca="false">IF((E186="w"),H186," ")</f>
        <v> </v>
      </c>
      <c r="T186" s="17" t="str">
        <f aca="false">IF((E186="r"),H186," ")</f>
        <v> </v>
      </c>
      <c r="U186" s="17" t="str">
        <f aca="false">IF((E186="p"),H186," ")</f>
        <v> </v>
      </c>
      <c r="V186" s="17" t="str">
        <f aca="false">IF((E186="t"),H186," ")</f>
        <v> </v>
      </c>
      <c r="W186" s="17" t="str">
        <f aca="false">IF((E186="q"),H186," ")</f>
        <v> </v>
      </c>
      <c r="X186" s="17" t="str">
        <f aca="false">IF((E186="m"),H186," ")</f>
        <v> </v>
      </c>
      <c r="Y186" s="17" t="str">
        <f aca="false">IF((E186="u"),H186," ")</f>
        <v> </v>
      </c>
      <c r="Z186" s="17" t="str">
        <f aca="false">IF((E186="a"),H186," ")</f>
        <v> </v>
      </c>
      <c r="AA186" s="17" t="str">
        <f aca="false">IF((E186="g"),H186," ")</f>
        <v> </v>
      </c>
      <c r="AB186" s="17" t="str">
        <f aca="false">IF((E186="h"),H186," ")</f>
        <v> </v>
      </c>
      <c r="AC186" s="30" t="str">
        <f aca="false">IF((E186="v"),H186," ")</f>
        <v> </v>
      </c>
      <c r="AD186" s="30" t="str">
        <f aca="false">IF((E186="n"),H186," ")</f>
        <v> </v>
      </c>
      <c r="AE186" s="17" t="str">
        <f aca="false">IF((E186="f"),H186," ")</f>
        <v> </v>
      </c>
      <c r="AF186" s="17" t="str">
        <f aca="false">IF((E186="l"),H186," ")</f>
        <v> </v>
      </c>
      <c r="AG186" s="17" t="str">
        <f aca="false">IF((E186="y"),H186," ")</f>
        <v> </v>
      </c>
      <c r="AH186" s="17" t="str">
        <f aca="false">IF((E186="z"),H186," ")</f>
        <v> </v>
      </c>
      <c r="AI186" s="17" t="str">
        <f aca="false">IF((E186="fa"),H186," ")</f>
        <v> </v>
      </c>
      <c r="AJ186" s="17" t="str">
        <f aca="false">IF((E186="e"),H186," ")</f>
        <v> </v>
      </c>
    </row>
    <row r="187" customFormat="false" ht="12" hidden="false" customHeight="false" outlineLevel="0" collapsed="false">
      <c r="A187" s="28"/>
      <c r="E187" s="2" t="str">
        <f aca="false">IF((F187&lt;&gt;0),"Enter Letter"," ")</f>
        <v> </v>
      </c>
      <c r="F187" s="30"/>
      <c r="G187" s="6" t="str">
        <f aca="false">IF(F187&lt;&gt;0,F187*G$2/(100+G$2)," ")</f>
        <v> </v>
      </c>
      <c r="H187" s="6" t="str">
        <f aca="false">IF((F187&lt;&gt;0),F187-G187," ")</f>
        <v> </v>
      </c>
      <c r="I187" s="5"/>
      <c r="L187" s="7" t="str">
        <f aca="false">IF(F187&lt;&gt;0,F187-K187," ")</f>
        <v> </v>
      </c>
      <c r="M187" s="8" t="str">
        <f aca="false">IF((F187-K187)&lt;&gt;0,M$1-A187," ")</f>
        <v> </v>
      </c>
      <c r="N187" s="5"/>
      <c r="O187" s="17" t="str">
        <f aca="false">IF((E187="s"),H187," ")</f>
        <v> </v>
      </c>
      <c r="P187" s="17" t="str">
        <f aca="false">IF((E187="c"),H187," ")</f>
        <v> </v>
      </c>
      <c r="Q187" s="17" t="str">
        <f aca="false">IF((E187="o"),H187," ")</f>
        <v> </v>
      </c>
      <c r="R187" s="17" t="str">
        <f aca="false">IF((E187="d"),H187," ")</f>
        <v> </v>
      </c>
      <c r="S187" s="17" t="str">
        <f aca="false">IF((E187="w"),H187," ")</f>
        <v> </v>
      </c>
      <c r="T187" s="17" t="str">
        <f aca="false">IF((E187="r"),H187," ")</f>
        <v> </v>
      </c>
      <c r="U187" s="17" t="str">
        <f aca="false">IF((E187="p"),H187," ")</f>
        <v> </v>
      </c>
      <c r="V187" s="17" t="str">
        <f aca="false">IF((E187="t"),H187," ")</f>
        <v> </v>
      </c>
      <c r="W187" s="17" t="str">
        <f aca="false">IF((E187="q"),H187," ")</f>
        <v> </v>
      </c>
      <c r="X187" s="17" t="str">
        <f aca="false">IF((E187="m"),H187," ")</f>
        <v> </v>
      </c>
      <c r="Y187" s="17" t="str">
        <f aca="false">IF((E187="u"),H187," ")</f>
        <v> </v>
      </c>
      <c r="Z187" s="17" t="str">
        <f aca="false">IF((E187="a"),H187," ")</f>
        <v> </v>
      </c>
      <c r="AA187" s="17" t="str">
        <f aca="false">IF((E187="g"),H187," ")</f>
        <v> </v>
      </c>
      <c r="AB187" s="17" t="str">
        <f aca="false">IF((E187="h"),H187," ")</f>
        <v> </v>
      </c>
      <c r="AC187" s="30" t="str">
        <f aca="false">IF((E187="v"),H187," ")</f>
        <v> </v>
      </c>
      <c r="AD187" s="30" t="str">
        <f aca="false">IF((E187="n"),H187," ")</f>
        <v> </v>
      </c>
      <c r="AE187" s="17" t="str">
        <f aca="false">IF((E187="f"),H187," ")</f>
        <v> </v>
      </c>
      <c r="AF187" s="17" t="str">
        <f aca="false">IF((E187="l"),H187," ")</f>
        <v> </v>
      </c>
      <c r="AG187" s="17" t="str">
        <f aca="false">IF((E187="y"),H187," ")</f>
        <v> </v>
      </c>
      <c r="AH187" s="17" t="str">
        <f aca="false">IF((E187="z"),H187," ")</f>
        <v> </v>
      </c>
      <c r="AI187" s="17" t="str">
        <f aca="false">IF((E187="fa"),H187," ")</f>
        <v> </v>
      </c>
      <c r="AJ187" s="17" t="str">
        <f aca="false">IF((E187="e"),H187," ")</f>
        <v> </v>
      </c>
    </row>
    <row r="188" customFormat="false" ht="12" hidden="false" customHeight="false" outlineLevel="0" collapsed="false">
      <c r="A188" s="28"/>
      <c r="E188" s="2" t="str">
        <f aca="false">IF((F188&lt;&gt;0),"Enter Letter"," ")</f>
        <v> </v>
      </c>
      <c r="F188" s="30"/>
      <c r="G188" s="6" t="str">
        <f aca="false">IF(F188&lt;&gt;0,F188*G$2/(100+G$2)," ")</f>
        <v> </v>
      </c>
      <c r="H188" s="6" t="str">
        <f aca="false">IF((F188&lt;&gt;0),F188-G188," ")</f>
        <v> </v>
      </c>
      <c r="I188" s="5"/>
      <c r="L188" s="7" t="str">
        <f aca="false">IF(F188&lt;&gt;0,F188-K188," ")</f>
        <v> </v>
      </c>
      <c r="M188" s="8" t="str">
        <f aca="false">IF((F188-K188)&lt;&gt;0,M$1-A188," ")</f>
        <v> </v>
      </c>
      <c r="N188" s="5"/>
      <c r="O188" s="17" t="str">
        <f aca="false">IF((E188="s"),H188," ")</f>
        <v> </v>
      </c>
      <c r="P188" s="17" t="str">
        <f aca="false">IF((E188="c"),H188," ")</f>
        <v> </v>
      </c>
      <c r="Q188" s="17" t="str">
        <f aca="false">IF((E188="o"),H188," ")</f>
        <v> </v>
      </c>
      <c r="R188" s="17" t="str">
        <f aca="false">IF((E188="d"),H188," ")</f>
        <v> </v>
      </c>
      <c r="S188" s="17" t="str">
        <f aca="false">IF((E188="w"),H188," ")</f>
        <v> </v>
      </c>
      <c r="T188" s="17" t="str">
        <f aca="false">IF((E188="r"),H188," ")</f>
        <v> </v>
      </c>
      <c r="U188" s="17" t="str">
        <f aca="false">IF((E188="p"),H188," ")</f>
        <v> </v>
      </c>
      <c r="V188" s="17" t="str">
        <f aca="false">IF((E188="t"),H188," ")</f>
        <v> </v>
      </c>
      <c r="W188" s="17" t="str">
        <f aca="false">IF((E188="q"),H188," ")</f>
        <v> </v>
      </c>
      <c r="X188" s="17" t="str">
        <f aca="false">IF((E188="m"),H188," ")</f>
        <v> </v>
      </c>
      <c r="Y188" s="17" t="str">
        <f aca="false">IF((E188="u"),H188," ")</f>
        <v> </v>
      </c>
      <c r="Z188" s="17" t="str">
        <f aca="false">IF((E188="a"),H188," ")</f>
        <v> </v>
      </c>
      <c r="AA188" s="17" t="str">
        <f aca="false">IF((E188="g"),H188," ")</f>
        <v> </v>
      </c>
      <c r="AB188" s="17" t="str">
        <f aca="false">IF((E188="h"),H188," ")</f>
        <v> </v>
      </c>
      <c r="AC188" s="30" t="str">
        <f aca="false">IF((E188="v"),H188," ")</f>
        <v> </v>
      </c>
      <c r="AD188" s="30" t="str">
        <f aca="false">IF((E188="n"),H188," ")</f>
        <v> </v>
      </c>
      <c r="AE188" s="17" t="str">
        <f aca="false">IF((E188="f"),H188," ")</f>
        <v> </v>
      </c>
      <c r="AF188" s="17" t="str">
        <f aca="false">IF((E188="l"),H188," ")</f>
        <v> </v>
      </c>
      <c r="AG188" s="17" t="str">
        <f aca="false">IF((E188="y"),H188," ")</f>
        <v> </v>
      </c>
      <c r="AH188" s="17" t="str">
        <f aca="false">IF((E188="z"),H188," ")</f>
        <v> </v>
      </c>
      <c r="AI188" s="17" t="str">
        <f aca="false">IF((E188="fa"),H188," ")</f>
        <v> </v>
      </c>
      <c r="AJ188" s="17" t="str">
        <f aca="false">IF((E188="e"),H188," ")</f>
        <v> </v>
      </c>
    </row>
    <row r="189" customFormat="false" ht="12" hidden="false" customHeight="false" outlineLevel="0" collapsed="false">
      <c r="A189" s="28"/>
      <c r="E189" s="2" t="str">
        <f aca="false">IF((F189&lt;&gt;0),"Enter Letter"," ")</f>
        <v> </v>
      </c>
      <c r="F189" s="30"/>
      <c r="G189" s="6" t="str">
        <f aca="false">IF(F189&lt;&gt;0,F189*G$2/(100+G$2)," ")</f>
        <v> </v>
      </c>
      <c r="H189" s="6" t="str">
        <f aca="false">IF((F189&lt;&gt;0),F189-G189," ")</f>
        <v> </v>
      </c>
      <c r="I189" s="5"/>
      <c r="L189" s="7" t="str">
        <f aca="false">IF(F189&lt;&gt;0,F189-K189," ")</f>
        <v> </v>
      </c>
      <c r="M189" s="8" t="str">
        <f aca="false">IF((F189-K189)&lt;&gt;0,M$1-A189," ")</f>
        <v> </v>
      </c>
      <c r="N189" s="5"/>
      <c r="O189" s="17" t="str">
        <f aca="false">IF((E189="s"),H189," ")</f>
        <v> </v>
      </c>
      <c r="P189" s="17" t="str">
        <f aca="false">IF((E189="c"),H189," ")</f>
        <v> </v>
      </c>
      <c r="Q189" s="17" t="str">
        <f aca="false">IF((E189="o"),H189," ")</f>
        <v> </v>
      </c>
      <c r="R189" s="17" t="str">
        <f aca="false">IF((E189="d"),H189," ")</f>
        <v> </v>
      </c>
      <c r="S189" s="17" t="str">
        <f aca="false">IF((E189="w"),H189," ")</f>
        <v> </v>
      </c>
      <c r="T189" s="17" t="str">
        <f aca="false">IF((E189="r"),H189," ")</f>
        <v> </v>
      </c>
      <c r="U189" s="17" t="str">
        <f aca="false">IF((E189="p"),H189," ")</f>
        <v> </v>
      </c>
      <c r="V189" s="17" t="str">
        <f aca="false">IF((E189="t"),H189," ")</f>
        <v> </v>
      </c>
      <c r="W189" s="17" t="str">
        <f aca="false">IF((E189="q"),H189," ")</f>
        <v> </v>
      </c>
      <c r="X189" s="17" t="str">
        <f aca="false">IF((E189="m"),H189," ")</f>
        <v> </v>
      </c>
      <c r="Y189" s="17" t="str">
        <f aca="false">IF((E189="u"),H189," ")</f>
        <v> </v>
      </c>
      <c r="Z189" s="17" t="str">
        <f aca="false">IF((E189="a"),H189," ")</f>
        <v> </v>
      </c>
      <c r="AA189" s="17" t="str">
        <f aca="false">IF((E189="g"),H189," ")</f>
        <v> </v>
      </c>
      <c r="AB189" s="17" t="str">
        <f aca="false">IF((E189="h"),H189," ")</f>
        <v> </v>
      </c>
      <c r="AC189" s="30" t="str">
        <f aca="false">IF((E189="v"),H189," ")</f>
        <v> </v>
      </c>
      <c r="AD189" s="30" t="str">
        <f aca="false">IF((E189="n"),H189," ")</f>
        <v> </v>
      </c>
      <c r="AE189" s="17" t="str">
        <f aca="false">IF((E189="f"),H189," ")</f>
        <v> </v>
      </c>
      <c r="AF189" s="17" t="str">
        <f aca="false">IF((E189="l"),H189," ")</f>
        <v> </v>
      </c>
      <c r="AG189" s="17" t="str">
        <f aca="false">IF((E189="y"),H189," ")</f>
        <v> </v>
      </c>
      <c r="AH189" s="17" t="str">
        <f aca="false">IF((E189="z"),H189," ")</f>
        <v> </v>
      </c>
      <c r="AI189" s="17" t="str">
        <f aca="false">IF((E189="fa"),H189," ")</f>
        <v> </v>
      </c>
      <c r="AJ189" s="17" t="str">
        <f aca="false">IF((E189="e"),H189," ")</f>
        <v> </v>
      </c>
    </row>
    <row r="190" customFormat="false" ht="12" hidden="false" customHeight="false" outlineLevel="0" collapsed="false">
      <c r="A190" s="28"/>
      <c r="E190" s="2" t="str">
        <f aca="false">IF((F190&lt;&gt;0),"Enter Letter"," ")</f>
        <v> </v>
      </c>
      <c r="F190" s="30"/>
      <c r="G190" s="6" t="str">
        <f aca="false">IF(F190&lt;&gt;0,F190*G$2/(100+G$2)," ")</f>
        <v> </v>
      </c>
      <c r="H190" s="6" t="str">
        <f aca="false">IF((F190&lt;&gt;0),F190-G190," ")</f>
        <v> </v>
      </c>
      <c r="I190" s="5"/>
      <c r="L190" s="7" t="str">
        <f aca="false">IF(F190&lt;&gt;0,F190-K190," ")</f>
        <v> </v>
      </c>
      <c r="M190" s="8" t="str">
        <f aca="false">IF((F190-K190)&lt;&gt;0,M$1-A190," ")</f>
        <v> </v>
      </c>
      <c r="N190" s="5"/>
      <c r="O190" s="17" t="str">
        <f aca="false">IF((E190="s"),H190," ")</f>
        <v> </v>
      </c>
      <c r="P190" s="17" t="str">
        <f aca="false">IF((E190="c"),H190," ")</f>
        <v> </v>
      </c>
      <c r="Q190" s="17" t="str">
        <f aca="false">IF((E190="o"),H190," ")</f>
        <v> </v>
      </c>
      <c r="R190" s="17" t="str">
        <f aca="false">IF((E190="d"),H190," ")</f>
        <v> </v>
      </c>
      <c r="S190" s="17" t="str">
        <f aca="false">IF((E190="w"),H190," ")</f>
        <v> </v>
      </c>
      <c r="T190" s="17" t="str">
        <f aca="false">IF((E190="r"),H190," ")</f>
        <v> </v>
      </c>
      <c r="U190" s="17" t="str">
        <f aca="false">IF((E190="p"),H190," ")</f>
        <v> </v>
      </c>
      <c r="V190" s="17" t="str">
        <f aca="false">IF((E190="t"),H190," ")</f>
        <v> </v>
      </c>
      <c r="W190" s="17" t="str">
        <f aca="false">IF((E190="q"),H190," ")</f>
        <v> </v>
      </c>
      <c r="X190" s="17" t="str">
        <f aca="false">IF((E190="m"),H190," ")</f>
        <v> </v>
      </c>
      <c r="Y190" s="17" t="str">
        <f aca="false">IF((E190="u"),H190," ")</f>
        <v> </v>
      </c>
      <c r="Z190" s="17" t="str">
        <f aca="false">IF((E190="a"),H190," ")</f>
        <v> </v>
      </c>
      <c r="AA190" s="17" t="str">
        <f aca="false">IF((E190="g"),H190," ")</f>
        <v> </v>
      </c>
      <c r="AB190" s="17" t="str">
        <f aca="false">IF((E190="h"),H190," ")</f>
        <v> </v>
      </c>
      <c r="AC190" s="30" t="str">
        <f aca="false">IF((E190="v"),H190," ")</f>
        <v> </v>
      </c>
      <c r="AD190" s="30" t="str">
        <f aca="false">IF((E190="n"),H190," ")</f>
        <v> </v>
      </c>
      <c r="AE190" s="17" t="str">
        <f aca="false">IF((E190="f"),H190," ")</f>
        <v> </v>
      </c>
      <c r="AF190" s="17" t="str">
        <f aca="false">IF((E190="l"),H190," ")</f>
        <v> </v>
      </c>
      <c r="AG190" s="17" t="str">
        <f aca="false">IF((E190="y"),H190," ")</f>
        <v> </v>
      </c>
      <c r="AH190" s="17" t="str">
        <f aca="false">IF((E190="z"),H190," ")</f>
        <v> </v>
      </c>
      <c r="AI190" s="17" t="str">
        <f aca="false">IF((E190="fa"),H190," ")</f>
        <v> </v>
      </c>
      <c r="AJ190" s="17" t="str">
        <f aca="false">IF((E190="e"),H190," ")</f>
        <v> </v>
      </c>
    </row>
    <row r="191" customFormat="false" ht="12" hidden="false" customHeight="false" outlineLevel="0" collapsed="false">
      <c r="A191" s="28"/>
      <c r="E191" s="2" t="str">
        <f aca="false">IF((F191&lt;&gt;0),"Enter Letter"," ")</f>
        <v> </v>
      </c>
      <c r="F191" s="30"/>
      <c r="G191" s="6" t="str">
        <f aca="false">IF(F191&lt;&gt;0,F191*G$2/(100+G$2)," ")</f>
        <v> </v>
      </c>
      <c r="H191" s="6" t="str">
        <f aca="false">IF((F191&lt;&gt;0),F191-G191," ")</f>
        <v> </v>
      </c>
      <c r="I191" s="5"/>
      <c r="L191" s="7" t="str">
        <f aca="false">IF(F191&lt;&gt;0,F191-K191," ")</f>
        <v> </v>
      </c>
      <c r="M191" s="8" t="str">
        <f aca="false">IF((F191-K191)&lt;&gt;0,M$1-A191," ")</f>
        <v> </v>
      </c>
      <c r="N191" s="5"/>
      <c r="O191" s="17" t="str">
        <f aca="false">IF((E191="s"),H191," ")</f>
        <v> </v>
      </c>
      <c r="P191" s="17" t="str">
        <f aca="false">IF((E191="c"),H191," ")</f>
        <v> </v>
      </c>
      <c r="Q191" s="17" t="str">
        <f aca="false">IF((E191="o"),H191," ")</f>
        <v> </v>
      </c>
      <c r="R191" s="17" t="str">
        <f aca="false">IF((E191="d"),H191," ")</f>
        <v> </v>
      </c>
      <c r="S191" s="17" t="str">
        <f aca="false">IF((E191="w"),H191," ")</f>
        <v> </v>
      </c>
      <c r="T191" s="17" t="str">
        <f aca="false">IF((E191="r"),H191," ")</f>
        <v> </v>
      </c>
      <c r="U191" s="17" t="str">
        <f aca="false">IF((E191="p"),H191," ")</f>
        <v> </v>
      </c>
      <c r="V191" s="17" t="str">
        <f aca="false">IF((E191="t"),H191," ")</f>
        <v> </v>
      </c>
      <c r="W191" s="17" t="str">
        <f aca="false">IF((E191="q"),H191," ")</f>
        <v> </v>
      </c>
      <c r="X191" s="17" t="str">
        <f aca="false">IF((E191="m"),H191," ")</f>
        <v> </v>
      </c>
      <c r="Y191" s="17" t="str">
        <f aca="false">IF((E191="u"),H191," ")</f>
        <v> </v>
      </c>
      <c r="Z191" s="17" t="str">
        <f aca="false">IF((E191="a"),H191," ")</f>
        <v> </v>
      </c>
      <c r="AA191" s="17" t="str">
        <f aca="false">IF((E191="g"),H191," ")</f>
        <v> </v>
      </c>
      <c r="AB191" s="17" t="str">
        <f aca="false">IF((E191="h"),H191," ")</f>
        <v> </v>
      </c>
      <c r="AC191" s="30" t="str">
        <f aca="false">IF((E191="v"),H191," ")</f>
        <v> </v>
      </c>
      <c r="AD191" s="30" t="str">
        <f aca="false">IF((E191="n"),H191," ")</f>
        <v> </v>
      </c>
      <c r="AE191" s="17" t="str">
        <f aca="false">IF((E191="f"),H191," ")</f>
        <v> </v>
      </c>
      <c r="AF191" s="17" t="str">
        <f aca="false">IF((E191="l"),H191," ")</f>
        <v> </v>
      </c>
      <c r="AG191" s="17" t="str">
        <f aca="false">IF((E191="y"),H191," ")</f>
        <v> </v>
      </c>
      <c r="AH191" s="17" t="str">
        <f aca="false">IF((E191="z"),H191," ")</f>
        <v> </v>
      </c>
      <c r="AI191" s="17" t="str">
        <f aca="false">IF((E191="fa"),H191," ")</f>
        <v> </v>
      </c>
      <c r="AJ191" s="17" t="str">
        <f aca="false">IF((E191="e"),H191," ")</f>
        <v> </v>
      </c>
    </row>
    <row r="192" customFormat="false" ht="12" hidden="false" customHeight="false" outlineLevel="0" collapsed="false">
      <c r="A192" s="28"/>
      <c r="E192" s="2" t="str">
        <f aca="false">IF((F192&lt;&gt;0),"Enter Letter"," ")</f>
        <v> </v>
      </c>
      <c r="F192" s="30"/>
      <c r="G192" s="6" t="str">
        <f aca="false">IF(F192&lt;&gt;0,F192*G$2/(100+G$2)," ")</f>
        <v> </v>
      </c>
      <c r="H192" s="6" t="str">
        <f aca="false">IF((F192&lt;&gt;0),F192-G192," ")</f>
        <v> </v>
      </c>
      <c r="I192" s="5"/>
      <c r="L192" s="7" t="str">
        <f aca="false">IF(F192&lt;&gt;0,F192-K192," ")</f>
        <v> </v>
      </c>
      <c r="M192" s="8" t="str">
        <f aca="false">IF((F192-K192)&lt;&gt;0,M$1-A192," ")</f>
        <v> </v>
      </c>
      <c r="N192" s="5"/>
      <c r="O192" s="17" t="str">
        <f aca="false">IF((E192="s"),H192," ")</f>
        <v> </v>
      </c>
      <c r="P192" s="17" t="str">
        <f aca="false">IF((E192="c"),H192," ")</f>
        <v> </v>
      </c>
      <c r="Q192" s="17" t="str">
        <f aca="false">IF((E192="o"),H192," ")</f>
        <v> </v>
      </c>
      <c r="R192" s="17" t="str">
        <f aca="false">IF((E192="d"),H192," ")</f>
        <v> </v>
      </c>
      <c r="S192" s="17" t="str">
        <f aca="false">IF((E192="w"),H192," ")</f>
        <v> </v>
      </c>
      <c r="T192" s="17" t="str">
        <f aca="false">IF((E192="r"),H192," ")</f>
        <v> </v>
      </c>
      <c r="U192" s="17" t="str">
        <f aca="false">IF((E192="p"),H192," ")</f>
        <v> </v>
      </c>
      <c r="V192" s="17" t="str">
        <f aca="false">IF((E192="t"),H192," ")</f>
        <v> </v>
      </c>
      <c r="W192" s="17" t="str">
        <f aca="false">IF((E192="q"),H192," ")</f>
        <v> </v>
      </c>
      <c r="X192" s="17" t="str">
        <f aca="false">IF((E192="m"),H192," ")</f>
        <v> </v>
      </c>
      <c r="Y192" s="17" t="str">
        <f aca="false">IF((E192="u"),H192," ")</f>
        <v> </v>
      </c>
      <c r="Z192" s="17" t="str">
        <f aca="false">IF((E192="a"),H192," ")</f>
        <v> </v>
      </c>
      <c r="AA192" s="17" t="str">
        <f aca="false">IF((E192="g"),H192," ")</f>
        <v> </v>
      </c>
      <c r="AB192" s="17" t="str">
        <f aca="false">IF((E192="h"),H192," ")</f>
        <v> </v>
      </c>
      <c r="AC192" s="30" t="str">
        <f aca="false">IF((E192="v"),H192," ")</f>
        <v> </v>
      </c>
      <c r="AD192" s="30" t="str">
        <f aca="false">IF((E192="n"),H192," ")</f>
        <v> </v>
      </c>
      <c r="AE192" s="17" t="str">
        <f aca="false">IF((E192="f"),H192," ")</f>
        <v> </v>
      </c>
      <c r="AF192" s="17" t="str">
        <f aca="false">IF((E192="l"),H192," ")</f>
        <v> </v>
      </c>
      <c r="AG192" s="17" t="str">
        <f aca="false">IF((E192="y"),H192," ")</f>
        <v> </v>
      </c>
      <c r="AH192" s="17" t="str">
        <f aca="false">IF((E192="z"),H192," ")</f>
        <v> </v>
      </c>
      <c r="AI192" s="17" t="str">
        <f aca="false">IF((E192="fa"),H192," ")</f>
        <v> </v>
      </c>
      <c r="AJ192" s="17" t="str">
        <f aca="false">IF((E192="e"),H192," ")</f>
        <v> </v>
      </c>
    </row>
    <row r="193" customFormat="false" ht="12" hidden="false" customHeight="false" outlineLevel="0" collapsed="false">
      <c r="A193" s="28"/>
      <c r="E193" s="2" t="str">
        <f aca="false">IF((F193&lt;&gt;0),"Enter Letter"," ")</f>
        <v> </v>
      </c>
      <c r="F193" s="30"/>
      <c r="G193" s="6" t="str">
        <f aca="false">IF(F193&lt;&gt;0,F193*G$2/(100+G$2)," ")</f>
        <v> </v>
      </c>
      <c r="H193" s="6" t="str">
        <f aca="false">IF((F193&lt;&gt;0),F193-G193," ")</f>
        <v> </v>
      </c>
      <c r="I193" s="5"/>
      <c r="L193" s="7" t="str">
        <f aca="false">IF(F193&lt;&gt;0,F193-K193," ")</f>
        <v> </v>
      </c>
      <c r="M193" s="8" t="str">
        <f aca="false">IF((F193-K193)&lt;&gt;0,M$1-A193," ")</f>
        <v> </v>
      </c>
      <c r="N193" s="5"/>
      <c r="O193" s="17" t="str">
        <f aca="false">IF((E193="s"),H193," ")</f>
        <v> </v>
      </c>
      <c r="P193" s="17" t="str">
        <f aca="false">IF((E193="c"),H193," ")</f>
        <v> </v>
      </c>
      <c r="Q193" s="17" t="str">
        <f aca="false">IF((E193="o"),H193," ")</f>
        <v> </v>
      </c>
      <c r="R193" s="17" t="str">
        <f aca="false">IF((E193="d"),H193," ")</f>
        <v> </v>
      </c>
      <c r="S193" s="17" t="str">
        <f aca="false">IF((E193="w"),H193," ")</f>
        <v> </v>
      </c>
      <c r="T193" s="17" t="str">
        <f aca="false">IF((E193="r"),H193," ")</f>
        <v> </v>
      </c>
      <c r="U193" s="17" t="str">
        <f aca="false">IF((E193="p"),H193," ")</f>
        <v> </v>
      </c>
      <c r="V193" s="17" t="str">
        <f aca="false">IF((E193="t"),H193," ")</f>
        <v> </v>
      </c>
      <c r="W193" s="17" t="str">
        <f aca="false">IF((E193="q"),H193," ")</f>
        <v> </v>
      </c>
      <c r="X193" s="17" t="str">
        <f aca="false">IF((E193="m"),H193," ")</f>
        <v> </v>
      </c>
      <c r="Y193" s="17" t="str">
        <f aca="false">IF((E193="u"),H193," ")</f>
        <v> </v>
      </c>
      <c r="Z193" s="17" t="str">
        <f aca="false">IF((E193="a"),H193," ")</f>
        <v> </v>
      </c>
      <c r="AA193" s="17" t="str">
        <f aca="false">IF((E193="g"),H193," ")</f>
        <v> </v>
      </c>
      <c r="AB193" s="17" t="str">
        <f aca="false">IF((E193="h"),H193," ")</f>
        <v> </v>
      </c>
      <c r="AC193" s="30" t="str">
        <f aca="false">IF((E193="v"),H193," ")</f>
        <v> </v>
      </c>
      <c r="AD193" s="30" t="str">
        <f aca="false">IF((E193="n"),H193," ")</f>
        <v> </v>
      </c>
      <c r="AE193" s="17" t="str">
        <f aca="false">IF((E193="f"),H193," ")</f>
        <v> </v>
      </c>
      <c r="AF193" s="17" t="str">
        <f aca="false">IF((E193="l"),H193," ")</f>
        <v> </v>
      </c>
      <c r="AG193" s="17" t="str">
        <f aca="false">IF((E193="y"),H193," ")</f>
        <v> </v>
      </c>
      <c r="AH193" s="17" t="str">
        <f aca="false">IF((E193="z"),H193," ")</f>
        <v> </v>
      </c>
      <c r="AI193" s="17" t="str">
        <f aca="false">IF((E193="fa"),H193," ")</f>
        <v> </v>
      </c>
      <c r="AJ193" s="17" t="str">
        <f aca="false">IF((E193="e"),H193," ")</f>
        <v> </v>
      </c>
    </row>
    <row r="194" customFormat="false" ht="12" hidden="false" customHeight="false" outlineLevel="0" collapsed="false">
      <c r="A194" s="28"/>
      <c r="E194" s="2" t="str">
        <f aca="false">IF((F194&lt;&gt;0),"Enter Letter"," ")</f>
        <v> </v>
      </c>
      <c r="F194" s="30"/>
      <c r="G194" s="6" t="str">
        <f aca="false">IF(F194&lt;&gt;0,F194*G$2/(100+G$2)," ")</f>
        <v> </v>
      </c>
      <c r="H194" s="6" t="str">
        <f aca="false">IF((F194&lt;&gt;0),F194-G194," ")</f>
        <v> </v>
      </c>
      <c r="I194" s="5"/>
      <c r="L194" s="7" t="str">
        <f aca="false">IF(F194&lt;&gt;0,F194-K194," ")</f>
        <v> </v>
      </c>
      <c r="M194" s="8" t="str">
        <f aca="false">IF((F194-K194)&lt;&gt;0,M$1-A194," ")</f>
        <v> </v>
      </c>
      <c r="N194" s="5"/>
      <c r="O194" s="17" t="str">
        <f aca="false">IF((E194="s"),H194," ")</f>
        <v> </v>
      </c>
      <c r="P194" s="17" t="str">
        <f aca="false">IF((E194="c"),H194," ")</f>
        <v> </v>
      </c>
      <c r="Q194" s="17" t="str">
        <f aca="false">IF((E194="o"),H194," ")</f>
        <v> </v>
      </c>
      <c r="R194" s="17" t="str">
        <f aca="false">IF((E194="d"),H194," ")</f>
        <v> </v>
      </c>
      <c r="S194" s="17" t="str">
        <f aca="false">IF((E194="w"),H194," ")</f>
        <v> </v>
      </c>
      <c r="T194" s="17" t="str">
        <f aca="false">IF((E194="r"),H194," ")</f>
        <v> </v>
      </c>
      <c r="U194" s="17" t="str">
        <f aca="false">IF((E194="p"),H194," ")</f>
        <v> </v>
      </c>
      <c r="V194" s="17" t="str">
        <f aca="false">IF((E194="t"),H194," ")</f>
        <v> </v>
      </c>
      <c r="W194" s="17" t="str">
        <f aca="false">IF((E194="q"),H194," ")</f>
        <v> </v>
      </c>
      <c r="X194" s="17" t="str">
        <f aca="false">IF((E194="m"),H194," ")</f>
        <v> </v>
      </c>
      <c r="Y194" s="17" t="str">
        <f aca="false">IF((E194="u"),H194," ")</f>
        <v> </v>
      </c>
      <c r="Z194" s="17" t="str">
        <f aca="false">IF((E194="a"),H194," ")</f>
        <v> </v>
      </c>
      <c r="AA194" s="17" t="str">
        <f aca="false">IF((E194="g"),H194," ")</f>
        <v> </v>
      </c>
      <c r="AB194" s="17" t="str">
        <f aca="false">IF((E194="h"),H194," ")</f>
        <v> </v>
      </c>
      <c r="AC194" s="30" t="str">
        <f aca="false">IF((E194="v"),H194," ")</f>
        <v> </v>
      </c>
      <c r="AD194" s="30" t="str">
        <f aca="false">IF((E194="n"),H194," ")</f>
        <v> </v>
      </c>
      <c r="AE194" s="17" t="str">
        <f aca="false">IF((E194="f"),H194," ")</f>
        <v> </v>
      </c>
      <c r="AF194" s="17" t="str">
        <f aca="false">IF((E194="l"),H194," ")</f>
        <v> </v>
      </c>
      <c r="AG194" s="17" t="str">
        <f aca="false">IF((E194="y"),H194," ")</f>
        <v> </v>
      </c>
      <c r="AH194" s="17" t="str">
        <f aca="false">IF((E194="z"),H194," ")</f>
        <v> </v>
      </c>
      <c r="AI194" s="17" t="str">
        <f aca="false">IF((E194="fa"),H194," ")</f>
        <v> </v>
      </c>
      <c r="AJ194" s="17" t="str">
        <f aca="false">IF((E194="e"),H194," ")</f>
        <v> </v>
      </c>
    </row>
    <row r="195" customFormat="false" ht="12" hidden="false" customHeight="false" outlineLevel="0" collapsed="false">
      <c r="A195" s="28"/>
      <c r="E195" s="2" t="str">
        <f aca="false">IF((F195&lt;&gt;0),"Enter Letter"," ")</f>
        <v> </v>
      </c>
      <c r="F195" s="30"/>
      <c r="G195" s="6" t="str">
        <f aca="false">IF(F195&lt;&gt;0,F195*G$2/(100+G$2)," ")</f>
        <v> </v>
      </c>
      <c r="H195" s="6" t="str">
        <f aca="false">IF((F195&lt;&gt;0),F195-G195," ")</f>
        <v> </v>
      </c>
      <c r="I195" s="5"/>
      <c r="L195" s="7" t="str">
        <f aca="false">IF(F195&lt;&gt;0,F195-K195," ")</f>
        <v> </v>
      </c>
      <c r="M195" s="8" t="str">
        <f aca="false">IF((F195-K195)&lt;&gt;0,M$1-A195," ")</f>
        <v> </v>
      </c>
      <c r="N195" s="5"/>
      <c r="O195" s="17" t="str">
        <f aca="false">IF((E195="s"),H195," ")</f>
        <v> </v>
      </c>
      <c r="P195" s="17" t="str">
        <f aca="false">IF((E195="c"),H195," ")</f>
        <v> </v>
      </c>
      <c r="Q195" s="17" t="str">
        <f aca="false">IF((E195="o"),H195," ")</f>
        <v> </v>
      </c>
      <c r="R195" s="17" t="str">
        <f aca="false">IF((E195="d"),H195," ")</f>
        <v> </v>
      </c>
      <c r="S195" s="17" t="str">
        <f aca="false">IF((E195="w"),H195," ")</f>
        <v> </v>
      </c>
      <c r="T195" s="17" t="str">
        <f aca="false">IF((E195="r"),H195," ")</f>
        <v> </v>
      </c>
      <c r="U195" s="17" t="str">
        <f aca="false">IF((E195="p"),H195," ")</f>
        <v> </v>
      </c>
      <c r="V195" s="17" t="str">
        <f aca="false">IF((E195="t"),H195," ")</f>
        <v> </v>
      </c>
      <c r="W195" s="17" t="str">
        <f aca="false">IF((E195="q"),H195," ")</f>
        <v> </v>
      </c>
      <c r="X195" s="17" t="str">
        <f aca="false">IF((E195="m"),H195," ")</f>
        <v> </v>
      </c>
      <c r="Y195" s="17" t="str">
        <f aca="false">IF((E195="u"),H195," ")</f>
        <v> </v>
      </c>
      <c r="Z195" s="17" t="str">
        <f aca="false">IF((E195="a"),H195," ")</f>
        <v> </v>
      </c>
      <c r="AA195" s="17" t="str">
        <f aca="false">IF((E195="g"),H195," ")</f>
        <v> </v>
      </c>
      <c r="AB195" s="17" t="str">
        <f aca="false">IF((E195="h"),H195," ")</f>
        <v> </v>
      </c>
      <c r="AC195" s="30" t="str">
        <f aca="false">IF((E195="v"),H195," ")</f>
        <v> </v>
      </c>
      <c r="AD195" s="30" t="str">
        <f aca="false">IF((E195="n"),H195," ")</f>
        <v> </v>
      </c>
      <c r="AE195" s="17" t="str">
        <f aca="false">IF((E195="f"),H195," ")</f>
        <v> </v>
      </c>
      <c r="AF195" s="17" t="str">
        <f aca="false">IF((E195="l"),H195," ")</f>
        <v> </v>
      </c>
      <c r="AG195" s="17" t="str">
        <f aca="false">IF((E195="y"),H195," ")</f>
        <v> </v>
      </c>
      <c r="AH195" s="17" t="str">
        <f aca="false">IF((E195="z"),H195," ")</f>
        <v> </v>
      </c>
      <c r="AI195" s="17" t="str">
        <f aca="false">IF((E195="fa"),H195," ")</f>
        <v> </v>
      </c>
      <c r="AJ195" s="17" t="str">
        <f aca="false">IF((E195="e"),H195," ")</f>
        <v> </v>
      </c>
    </row>
    <row r="196" customFormat="false" ht="12" hidden="false" customHeight="false" outlineLevel="0" collapsed="false">
      <c r="A196" s="28"/>
      <c r="E196" s="2" t="str">
        <f aca="false">IF((F196&lt;&gt;0),"Enter Letter"," ")</f>
        <v> </v>
      </c>
      <c r="F196" s="30"/>
      <c r="G196" s="6" t="str">
        <f aca="false">IF(F196&lt;&gt;0,F196*G$2/(100+G$2)," ")</f>
        <v> </v>
      </c>
      <c r="H196" s="6" t="str">
        <f aca="false">IF((F196&lt;&gt;0),F196-G196," ")</f>
        <v> </v>
      </c>
      <c r="I196" s="5"/>
      <c r="L196" s="7" t="str">
        <f aca="false">IF(F196&lt;&gt;0,F196-K196," ")</f>
        <v> </v>
      </c>
      <c r="M196" s="8" t="str">
        <f aca="false">IF((F196-K196)&lt;&gt;0,M$1-A196," ")</f>
        <v> </v>
      </c>
      <c r="N196" s="5"/>
      <c r="O196" s="17" t="str">
        <f aca="false">IF((E196="s"),H196," ")</f>
        <v> </v>
      </c>
      <c r="P196" s="17" t="str">
        <f aca="false">IF((E196="c"),H196," ")</f>
        <v> </v>
      </c>
      <c r="Q196" s="17" t="str">
        <f aca="false">IF((E196="o"),H196," ")</f>
        <v> </v>
      </c>
      <c r="R196" s="17" t="str">
        <f aca="false">IF((E196="d"),H196," ")</f>
        <v> </v>
      </c>
      <c r="S196" s="17" t="str">
        <f aca="false">IF((E196="w"),H196," ")</f>
        <v> </v>
      </c>
      <c r="T196" s="17" t="str">
        <f aca="false">IF((E196="r"),H196," ")</f>
        <v> </v>
      </c>
      <c r="U196" s="17" t="str">
        <f aca="false">IF((E196="p"),H196," ")</f>
        <v> </v>
      </c>
      <c r="V196" s="17" t="str">
        <f aca="false">IF((E196="t"),H196," ")</f>
        <v> </v>
      </c>
      <c r="W196" s="17" t="str">
        <f aca="false">IF((E196="q"),H196," ")</f>
        <v> </v>
      </c>
      <c r="X196" s="17" t="str">
        <f aca="false">IF((E196="m"),H196," ")</f>
        <v> </v>
      </c>
      <c r="Y196" s="17" t="str">
        <f aca="false">IF((E196="u"),H196," ")</f>
        <v> </v>
      </c>
      <c r="Z196" s="17" t="str">
        <f aca="false">IF((E196="a"),H196," ")</f>
        <v> </v>
      </c>
      <c r="AA196" s="17" t="str">
        <f aca="false">IF((E196="g"),H196," ")</f>
        <v> </v>
      </c>
      <c r="AB196" s="17" t="str">
        <f aca="false">IF((E196="h"),H196," ")</f>
        <v> </v>
      </c>
      <c r="AC196" s="30" t="str">
        <f aca="false">IF((E196="v"),H196," ")</f>
        <v> </v>
      </c>
      <c r="AD196" s="30" t="str">
        <f aca="false">IF((E196="n"),H196," ")</f>
        <v> </v>
      </c>
      <c r="AE196" s="17" t="str">
        <f aca="false">IF((E196="f"),H196," ")</f>
        <v> </v>
      </c>
      <c r="AF196" s="17" t="str">
        <f aca="false">IF((E196="l"),H196," ")</f>
        <v> </v>
      </c>
      <c r="AG196" s="17" t="str">
        <f aca="false">IF((E196="y"),H196," ")</f>
        <v> </v>
      </c>
      <c r="AH196" s="17" t="str">
        <f aca="false">IF((E196="z"),H196," ")</f>
        <v> </v>
      </c>
      <c r="AI196" s="17" t="str">
        <f aca="false">IF((E196="fa"),H196," ")</f>
        <v> </v>
      </c>
      <c r="AJ196" s="17" t="str">
        <f aca="false">IF((E196="e"),H196," ")</f>
        <v> </v>
      </c>
    </row>
    <row r="197" customFormat="false" ht="12" hidden="false" customHeight="false" outlineLevel="0" collapsed="false">
      <c r="A197" s="28"/>
      <c r="E197" s="2" t="str">
        <f aca="false">IF((F197&lt;&gt;0),"Enter Letter"," ")</f>
        <v> </v>
      </c>
      <c r="F197" s="30"/>
      <c r="G197" s="6" t="str">
        <f aca="false">IF(F197&lt;&gt;0,F197*G$2/(100+G$2)," ")</f>
        <v> </v>
      </c>
      <c r="H197" s="6" t="str">
        <f aca="false">IF((F197&lt;&gt;0),F197-G197," ")</f>
        <v> </v>
      </c>
      <c r="I197" s="5"/>
      <c r="L197" s="7" t="str">
        <f aca="false">IF(F197&lt;&gt;0,F197-K197," ")</f>
        <v> </v>
      </c>
      <c r="M197" s="8" t="str">
        <f aca="false">IF((F197-K197)&lt;&gt;0,M$1-A197," ")</f>
        <v> </v>
      </c>
      <c r="N197" s="5"/>
      <c r="O197" s="17" t="str">
        <f aca="false">IF((E197="s"),H197," ")</f>
        <v> </v>
      </c>
      <c r="P197" s="17" t="str">
        <f aca="false">IF((E197="c"),H197," ")</f>
        <v> </v>
      </c>
      <c r="Q197" s="17" t="str">
        <f aca="false">IF((E197="o"),H197," ")</f>
        <v> </v>
      </c>
      <c r="R197" s="17" t="str">
        <f aca="false">IF((E197="d"),H197," ")</f>
        <v> </v>
      </c>
      <c r="S197" s="17" t="str">
        <f aca="false">IF((E197="w"),H197," ")</f>
        <v> </v>
      </c>
      <c r="T197" s="17" t="str">
        <f aca="false">IF((E197="r"),H197," ")</f>
        <v> </v>
      </c>
      <c r="U197" s="17" t="str">
        <f aca="false">IF((E197="p"),H197," ")</f>
        <v> </v>
      </c>
      <c r="V197" s="17" t="str">
        <f aca="false">IF((E197="t"),H197," ")</f>
        <v> </v>
      </c>
      <c r="W197" s="17" t="str">
        <f aca="false">IF((E197="q"),H197," ")</f>
        <v> </v>
      </c>
      <c r="X197" s="17" t="str">
        <f aca="false">IF((E197="m"),H197," ")</f>
        <v> </v>
      </c>
      <c r="Y197" s="17" t="str">
        <f aca="false">IF((E197="u"),H197," ")</f>
        <v> </v>
      </c>
      <c r="Z197" s="17" t="str">
        <f aca="false">IF((E197="a"),H197," ")</f>
        <v> </v>
      </c>
      <c r="AA197" s="17" t="str">
        <f aca="false">IF((E197="g"),H197," ")</f>
        <v> </v>
      </c>
      <c r="AB197" s="17" t="str">
        <f aca="false">IF((E197="h"),H197," ")</f>
        <v> </v>
      </c>
      <c r="AC197" s="30" t="str">
        <f aca="false">IF((E197="v"),H197," ")</f>
        <v> </v>
      </c>
      <c r="AD197" s="30" t="str">
        <f aca="false">IF((E197="n"),H197," ")</f>
        <v> </v>
      </c>
      <c r="AE197" s="17" t="str">
        <f aca="false">IF((E197="f"),H197," ")</f>
        <v> </v>
      </c>
      <c r="AF197" s="17" t="str">
        <f aca="false">IF((E197="l"),H197," ")</f>
        <v> </v>
      </c>
      <c r="AG197" s="17" t="str">
        <f aca="false">IF((E197="y"),H197," ")</f>
        <v> </v>
      </c>
      <c r="AH197" s="17" t="str">
        <f aca="false">IF((E197="z"),H197," ")</f>
        <v> </v>
      </c>
      <c r="AI197" s="17" t="str">
        <f aca="false">IF((E197="fa"),H197," ")</f>
        <v> </v>
      </c>
      <c r="AJ197" s="17" t="str">
        <f aca="false">IF((E197="e"),H197," ")</f>
        <v> </v>
      </c>
    </row>
    <row r="198" customFormat="false" ht="12" hidden="false" customHeight="false" outlineLevel="0" collapsed="false">
      <c r="A198" s="28"/>
      <c r="E198" s="2" t="str">
        <f aca="false">IF((F198&lt;&gt;0),"Enter Letter"," ")</f>
        <v> </v>
      </c>
      <c r="F198" s="30"/>
      <c r="G198" s="6" t="str">
        <f aca="false">IF(F198&lt;&gt;0,F198*G$2/(100+G$2)," ")</f>
        <v> </v>
      </c>
      <c r="H198" s="6" t="str">
        <f aca="false">IF((F198&lt;&gt;0),F198-G198," ")</f>
        <v> </v>
      </c>
      <c r="I198" s="5"/>
      <c r="L198" s="7" t="str">
        <f aca="false">IF(F198&lt;&gt;0,F198-K198," ")</f>
        <v> </v>
      </c>
      <c r="M198" s="8" t="str">
        <f aca="false">IF((F198-K198)&lt;&gt;0,M$1-A198," ")</f>
        <v> </v>
      </c>
      <c r="N198" s="5"/>
      <c r="O198" s="17" t="str">
        <f aca="false">IF((E198="s"),H198," ")</f>
        <v> </v>
      </c>
      <c r="P198" s="17" t="str">
        <f aca="false">IF((E198="c"),H198," ")</f>
        <v> </v>
      </c>
      <c r="Q198" s="17" t="str">
        <f aca="false">IF((E198="o"),H198," ")</f>
        <v> </v>
      </c>
      <c r="R198" s="17" t="str">
        <f aca="false">IF((E198="d"),H198," ")</f>
        <v> </v>
      </c>
      <c r="S198" s="17" t="str">
        <f aca="false">IF((E198="w"),H198," ")</f>
        <v> </v>
      </c>
      <c r="T198" s="17" t="str">
        <f aca="false">IF((E198="r"),H198," ")</f>
        <v> </v>
      </c>
      <c r="U198" s="17" t="str">
        <f aca="false">IF((E198="p"),H198," ")</f>
        <v> </v>
      </c>
      <c r="V198" s="17" t="str">
        <f aca="false">IF((E198="t"),H198," ")</f>
        <v> </v>
      </c>
      <c r="W198" s="17" t="str">
        <f aca="false">IF((E198="q"),H198," ")</f>
        <v> </v>
      </c>
      <c r="X198" s="17" t="str">
        <f aca="false">IF((E198="m"),H198," ")</f>
        <v> </v>
      </c>
      <c r="Y198" s="17" t="str">
        <f aca="false">IF((E198="u"),H198," ")</f>
        <v> </v>
      </c>
      <c r="Z198" s="17" t="str">
        <f aca="false">IF((E198="a"),H198," ")</f>
        <v> </v>
      </c>
      <c r="AA198" s="17" t="str">
        <f aca="false">IF((E198="g"),H198," ")</f>
        <v> </v>
      </c>
      <c r="AB198" s="17" t="str">
        <f aca="false">IF((E198="h"),H198," ")</f>
        <v> </v>
      </c>
      <c r="AC198" s="30" t="str">
        <f aca="false">IF((E198="v"),H198," ")</f>
        <v> </v>
      </c>
      <c r="AD198" s="30" t="str">
        <f aca="false">IF((E198="n"),H198," ")</f>
        <v> </v>
      </c>
      <c r="AE198" s="17" t="str">
        <f aca="false">IF((E198="f"),H198," ")</f>
        <v> </v>
      </c>
      <c r="AF198" s="17" t="str">
        <f aca="false">IF((E198="l"),H198," ")</f>
        <v> </v>
      </c>
      <c r="AG198" s="17" t="str">
        <f aca="false">IF((E198="y"),H198," ")</f>
        <v> </v>
      </c>
      <c r="AH198" s="17" t="str">
        <f aca="false">IF((E198="z"),H198," ")</f>
        <v> </v>
      </c>
      <c r="AI198" s="17" t="str">
        <f aca="false">IF((E198="fa"),H198," ")</f>
        <v> </v>
      </c>
      <c r="AJ198" s="17" t="str">
        <f aca="false">IF((E198="e"),H198," ")</f>
        <v> </v>
      </c>
    </row>
    <row r="199" customFormat="false" ht="12" hidden="false" customHeight="false" outlineLevel="0" collapsed="false">
      <c r="A199" s="28"/>
      <c r="E199" s="2" t="str">
        <f aca="false">IF((F199&lt;&gt;0),"Enter Letter"," ")</f>
        <v> </v>
      </c>
      <c r="F199" s="30"/>
      <c r="G199" s="6" t="str">
        <f aca="false">IF(F199&lt;&gt;0,F199*G$2/(100+G$2)," ")</f>
        <v> </v>
      </c>
      <c r="H199" s="6" t="str">
        <f aca="false">IF((F199&lt;&gt;0),F199-G199," ")</f>
        <v> </v>
      </c>
      <c r="I199" s="5"/>
      <c r="L199" s="7" t="str">
        <f aca="false">IF(F199&lt;&gt;0,F199-K199," ")</f>
        <v> </v>
      </c>
      <c r="M199" s="8" t="str">
        <f aca="false">IF((F199-K199)&lt;&gt;0,M$1-A199," ")</f>
        <v> </v>
      </c>
      <c r="N199" s="5"/>
      <c r="O199" s="17" t="str">
        <f aca="false">IF((E199="s"),H199," ")</f>
        <v> </v>
      </c>
      <c r="P199" s="17" t="str">
        <f aca="false">IF((E199="c"),H199," ")</f>
        <v> </v>
      </c>
      <c r="Q199" s="17" t="str">
        <f aca="false">IF((E199="o"),H199," ")</f>
        <v> </v>
      </c>
      <c r="R199" s="17" t="str">
        <f aca="false">IF((E199="d"),H199," ")</f>
        <v> </v>
      </c>
      <c r="S199" s="17" t="str">
        <f aca="false">IF((E199="w"),H199," ")</f>
        <v> </v>
      </c>
      <c r="T199" s="17" t="str">
        <f aca="false">IF((E199="r"),H199," ")</f>
        <v> </v>
      </c>
      <c r="U199" s="17" t="str">
        <f aca="false">IF((E199="p"),H199," ")</f>
        <v> </v>
      </c>
      <c r="V199" s="17" t="str">
        <f aca="false">IF((E199="t"),H199," ")</f>
        <v> </v>
      </c>
      <c r="W199" s="17" t="str">
        <f aca="false">IF((E199="q"),H199," ")</f>
        <v> </v>
      </c>
      <c r="X199" s="17" t="str">
        <f aca="false">IF((E199="m"),H199," ")</f>
        <v> </v>
      </c>
      <c r="Y199" s="17" t="str">
        <f aca="false">IF((E199="u"),H199," ")</f>
        <v> </v>
      </c>
      <c r="Z199" s="17" t="str">
        <f aca="false">IF((E199="a"),H199," ")</f>
        <v> </v>
      </c>
      <c r="AA199" s="17" t="str">
        <f aca="false">IF((E199="g"),H199," ")</f>
        <v> </v>
      </c>
      <c r="AB199" s="17" t="str">
        <f aca="false">IF((E199="h"),H199," ")</f>
        <v> </v>
      </c>
      <c r="AC199" s="30" t="str">
        <f aca="false">IF((E199="v"),H199," ")</f>
        <v> </v>
      </c>
      <c r="AD199" s="30" t="str">
        <f aca="false">IF((E199="n"),H199," ")</f>
        <v> </v>
      </c>
      <c r="AE199" s="17" t="str">
        <f aca="false">IF((E199="f"),H199," ")</f>
        <v> </v>
      </c>
      <c r="AF199" s="17" t="str">
        <f aca="false">IF((E199="l"),H199," ")</f>
        <v> </v>
      </c>
      <c r="AG199" s="17" t="str">
        <f aca="false">IF((E199="y"),H199," ")</f>
        <v> </v>
      </c>
      <c r="AH199" s="17" t="str">
        <f aca="false">IF((E199="z"),H199," ")</f>
        <v> </v>
      </c>
      <c r="AI199" s="17" t="str">
        <f aca="false">IF((E199="fa"),H199," ")</f>
        <v> </v>
      </c>
      <c r="AJ199" s="17" t="str">
        <f aca="false">IF((E199="e"),H199," ")</f>
        <v> </v>
      </c>
    </row>
    <row r="200" customFormat="false" ht="12" hidden="false" customHeight="false" outlineLevel="0" collapsed="false">
      <c r="A200" s="28"/>
      <c r="E200" s="2" t="str">
        <f aca="false">IF((F200&lt;&gt;0),"Enter Letter"," ")</f>
        <v> </v>
      </c>
      <c r="F200" s="30"/>
      <c r="G200" s="6" t="str">
        <f aca="false">IF(F200&lt;&gt;0,F200*G$2/(100+G$2)," ")</f>
        <v> </v>
      </c>
      <c r="H200" s="6" t="str">
        <f aca="false">IF((F200&lt;&gt;0),F200-G200," ")</f>
        <v> </v>
      </c>
      <c r="I200" s="5"/>
      <c r="L200" s="7" t="str">
        <f aca="false">IF(F200&lt;&gt;0,F200-K200," ")</f>
        <v> </v>
      </c>
      <c r="M200" s="8" t="str">
        <f aca="false">IF((F200-K200)&lt;&gt;0,M$1-A200," ")</f>
        <v> </v>
      </c>
      <c r="N200" s="5"/>
      <c r="O200" s="17" t="str">
        <f aca="false">IF((E200="s"),H200," ")</f>
        <v> </v>
      </c>
      <c r="P200" s="17" t="str">
        <f aca="false">IF((E200="c"),H200," ")</f>
        <v> </v>
      </c>
      <c r="Q200" s="17" t="str">
        <f aca="false">IF((E200="o"),H200," ")</f>
        <v> </v>
      </c>
      <c r="R200" s="17" t="str">
        <f aca="false">IF((E200="d"),H200," ")</f>
        <v> </v>
      </c>
      <c r="S200" s="17" t="str">
        <f aca="false">IF((E200="w"),H200," ")</f>
        <v> </v>
      </c>
      <c r="T200" s="17" t="str">
        <f aca="false">IF((E200="r"),H200," ")</f>
        <v> </v>
      </c>
      <c r="U200" s="17" t="str">
        <f aca="false">IF((E200="p"),H200," ")</f>
        <v> </v>
      </c>
      <c r="V200" s="17" t="str">
        <f aca="false">IF((E200="t"),H200," ")</f>
        <v> </v>
      </c>
      <c r="W200" s="17" t="str">
        <f aca="false">IF((E200="q"),H200," ")</f>
        <v> </v>
      </c>
      <c r="X200" s="17" t="str">
        <f aca="false">IF((E200="m"),H200," ")</f>
        <v> </v>
      </c>
      <c r="Y200" s="17" t="str">
        <f aca="false">IF((E200="u"),H200," ")</f>
        <v> </v>
      </c>
      <c r="Z200" s="17" t="str">
        <f aca="false">IF((E200="a"),H200," ")</f>
        <v> </v>
      </c>
      <c r="AA200" s="17" t="str">
        <f aca="false">IF((E200="g"),H200," ")</f>
        <v> </v>
      </c>
      <c r="AB200" s="17" t="str">
        <f aca="false">IF((E200="h"),H200," ")</f>
        <v> </v>
      </c>
      <c r="AC200" s="30" t="str">
        <f aca="false">IF((E200="v"),H200," ")</f>
        <v> </v>
      </c>
      <c r="AD200" s="30" t="str">
        <f aca="false">IF((E200="n"),H200," ")</f>
        <v> </v>
      </c>
      <c r="AE200" s="17" t="str">
        <f aca="false">IF((E200="f"),H200," ")</f>
        <v> </v>
      </c>
      <c r="AF200" s="17" t="str">
        <f aca="false">IF((E200="l"),H200," ")</f>
        <v> </v>
      </c>
      <c r="AG200" s="17" t="str">
        <f aca="false">IF((E200="y"),H200," ")</f>
        <v> </v>
      </c>
      <c r="AH200" s="17" t="str">
        <f aca="false">IF((E200="z"),H200," ")</f>
        <v> </v>
      </c>
      <c r="AI200" s="17" t="str">
        <f aca="false">IF((E200="fa"),H200," ")</f>
        <v> </v>
      </c>
      <c r="AJ200" s="17" t="str">
        <f aca="false">IF((E200="e"),H200," ")</f>
        <v> </v>
      </c>
    </row>
    <row r="201" customFormat="false" ht="12" hidden="false" customHeight="false" outlineLevel="0" collapsed="false">
      <c r="A201" s="28"/>
      <c r="E201" s="2" t="str">
        <f aca="false">IF((F201&lt;&gt;0),"Enter Letter"," ")</f>
        <v> </v>
      </c>
      <c r="F201" s="30"/>
      <c r="G201" s="6" t="str">
        <f aca="false">IF(F201&lt;&gt;0,F201*G$2/(100+G$2)," ")</f>
        <v> </v>
      </c>
      <c r="H201" s="6" t="str">
        <f aca="false">IF((F201&lt;&gt;0),F201-G201," ")</f>
        <v> </v>
      </c>
      <c r="I201" s="5"/>
      <c r="L201" s="7" t="str">
        <f aca="false">IF(F201&lt;&gt;0,F201-K201," ")</f>
        <v> </v>
      </c>
      <c r="M201" s="8" t="str">
        <f aca="false">IF((F201-K201)&lt;&gt;0,M$1-A201," ")</f>
        <v> </v>
      </c>
      <c r="N201" s="5"/>
      <c r="O201" s="17" t="str">
        <f aca="false">IF((E201="s"),H201," ")</f>
        <v> </v>
      </c>
      <c r="P201" s="17" t="str">
        <f aca="false">IF((E201="c"),H201," ")</f>
        <v> </v>
      </c>
      <c r="Q201" s="17" t="str">
        <f aca="false">IF((E201="o"),H201," ")</f>
        <v> </v>
      </c>
      <c r="R201" s="17" t="str">
        <f aca="false">IF((E201="d"),H201," ")</f>
        <v> </v>
      </c>
      <c r="S201" s="17" t="str">
        <f aca="false">IF((E201="w"),H201," ")</f>
        <v> </v>
      </c>
      <c r="T201" s="17" t="str">
        <f aca="false">IF((E201="r"),H201," ")</f>
        <v> </v>
      </c>
      <c r="U201" s="17" t="str">
        <f aca="false">IF((E201="p"),H201," ")</f>
        <v> </v>
      </c>
      <c r="V201" s="17" t="str">
        <f aca="false">IF((E201="t"),H201," ")</f>
        <v> </v>
      </c>
      <c r="W201" s="17" t="str">
        <f aca="false">IF((E201="q"),H201," ")</f>
        <v> </v>
      </c>
      <c r="X201" s="17" t="str">
        <f aca="false">IF((E201="m"),H201," ")</f>
        <v> </v>
      </c>
      <c r="Y201" s="17" t="str">
        <f aca="false">IF((E201="u"),H201," ")</f>
        <v> </v>
      </c>
      <c r="Z201" s="17" t="str">
        <f aca="false">IF((E201="a"),H201," ")</f>
        <v> </v>
      </c>
      <c r="AA201" s="17" t="str">
        <f aca="false">IF((E201="g"),H201," ")</f>
        <v> </v>
      </c>
      <c r="AB201" s="17" t="str">
        <f aca="false">IF((E201="h"),H201," ")</f>
        <v> </v>
      </c>
      <c r="AC201" s="30" t="str">
        <f aca="false">IF((E201="v"),H201," ")</f>
        <v> </v>
      </c>
      <c r="AD201" s="30" t="str">
        <f aca="false">IF((E201="n"),H201," ")</f>
        <v> </v>
      </c>
      <c r="AE201" s="17" t="str">
        <f aca="false">IF((E201="f"),H201," ")</f>
        <v> </v>
      </c>
      <c r="AF201" s="17" t="str">
        <f aca="false">IF((E201="l"),H201," ")</f>
        <v> </v>
      </c>
      <c r="AG201" s="17" t="str">
        <f aca="false">IF((E201="y"),H201," ")</f>
        <v> </v>
      </c>
      <c r="AH201" s="17" t="str">
        <f aca="false">IF((E201="z"),H201," ")</f>
        <v> </v>
      </c>
      <c r="AI201" s="17" t="str">
        <f aca="false">IF((E201="fa"),H201," ")</f>
        <v> </v>
      </c>
      <c r="AJ201" s="17" t="str">
        <f aca="false">IF((E201="e"),H201," ")</f>
        <v> </v>
      </c>
    </row>
    <row r="202" customFormat="false" ht="12" hidden="false" customHeight="false" outlineLevel="0" collapsed="false">
      <c r="A202" s="28"/>
      <c r="E202" s="2" t="str">
        <f aca="false">IF((F202&lt;&gt;0),"Enter Letter"," ")</f>
        <v> </v>
      </c>
      <c r="F202" s="30"/>
      <c r="G202" s="6" t="str">
        <f aca="false">IF(F202&lt;&gt;0,F202*G$2/(100+G$2)," ")</f>
        <v> </v>
      </c>
      <c r="H202" s="6" t="str">
        <f aca="false">IF((F202&lt;&gt;0),F202-G202," ")</f>
        <v> </v>
      </c>
      <c r="I202" s="5"/>
      <c r="L202" s="7" t="str">
        <f aca="false">IF(F202&lt;&gt;0,F202-K202," ")</f>
        <v> </v>
      </c>
      <c r="M202" s="8" t="str">
        <f aca="false">IF((F202-K202)&lt;&gt;0,M$1-A202," ")</f>
        <v> </v>
      </c>
      <c r="N202" s="5"/>
      <c r="O202" s="17" t="str">
        <f aca="false">IF((E202="s"),H202," ")</f>
        <v> </v>
      </c>
      <c r="P202" s="17" t="str">
        <f aca="false">IF((E202="c"),H202," ")</f>
        <v> </v>
      </c>
      <c r="Q202" s="17" t="str">
        <f aca="false">IF((E202="o"),H202," ")</f>
        <v> </v>
      </c>
      <c r="R202" s="17" t="str">
        <f aca="false">IF((E202="d"),H202," ")</f>
        <v> </v>
      </c>
      <c r="S202" s="17" t="str">
        <f aca="false">IF((E202="w"),H202," ")</f>
        <v> </v>
      </c>
      <c r="T202" s="17" t="str">
        <f aca="false">IF((E202="r"),H202," ")</f>
        <v> </v>
      </c>
      <c r="U202" s="17" t="str">
        <f aca="false">IF((E202="p"),H202," ")</f>
        <v> </v>
      </c>
      <c r="V202" s="17" t="str">
        <f aca="false">IF((E202="t"),H202," ")</f>
        <v> </v>
      </c>
      <c r="W202" s="17" t="str">
        <f aca="false">IF((E202="q"),H202," ")</f>
        <v> </v>
      </c>
      <c r="X202" s="17" t="str">
        <f aca="false">IF((E202="m"),H202," ")</f>
        <v> </v>
      </c>
      <c r="Y202" s="17" t="str">
        <f aca="false">IF((E202="u"),H202," ")</f>
        <v> </v>
      </c>
      <c r="Z202" s="17" t="str">
        <f aca="false">IF((E202="a"),H202," ")</f>
        <v> </v>
      </c>
      <c r="AA202" s="17" t="str">
        <f aca="false">IF((E202="g"),H202," ")</f>
        <v> </v>
      </c>
      <c r="AB202" s="17" t="str">
        <f aca="false">IF((E202="h"),H202," ")</f>
        <v> </v>
      </c>
      <c r="AC202" s="30" t="str">
        <f aca="false">IF((E202="v"),H202," ")</f>
        <v> </v>
      </c>
      <c r="AD202" s="30" t="str">
        <f aca="false">IF((E202="n"),H202," ")</f>
        <v> </v>
      </c>
      <c r="AE202" s="17" t="str">
        <f aca="false">IF((E202="f"),H202," ")</f>
        <v> </v>
      </c>
      <c r="AF202" s="17" t="str">
        <f aca="false">IF((E202="l"),H202," ")</f>
        <v> </v>
      </c>
      <c r="AG202" s="17" t="str">
        <f aca="false">IF((E202="y"),H202," ")</f>
        <v> </v>
      </c>
      <c r="AH202" s="17" t="str">
        <f aca="false">IF((E202="z"),H202," ")</f>
        <v> </v>
      </c>
      <c r="AI202" s="17" t="str">
        <f aca="false">IF((E202="fa"),H202," ")</f>
        <v> </v>
      </c>
      <c r="AJ202" s="17" t="str">
        <f aca="false">IF((E202="e"),H202," ")</f>
        <v> </v>
      </c>
    </row>
    <row r="203" customFormat="false" ht="12" hidden="false" customHeight="false" outlineLevel="0" collapsed="false">
      <c r="A203" s="28"/>
      <c r="E203" s="2" t="str">
        <f aca="false">IF((F203&lt;&gt;0),"Enter Letter"," ")</f>
        <v> </v>
      </c>
      <c r="F203" s="30"/>
      <c r="G203" s="6" t="str">
        <f aca="false">IF(F203&lt;&gt;0,F203*G$2/(100+G$2)," ")</f>
        <v> </v>
      </c>
      <c r="H203" s="6" t="str">
        <f aca="false">IF((F203&lt;&gt;0),F203-G203," ")</f>
        <v> </v>
      </c>
      <c r="I203" s="5"/>
      <c r="L203" s="7" t="str">
        <f aca="false">IF(F203&lt;&gt;0,F203-K203," ")</f>
        <v> </v>
      </c>
      <c r="M203" s="8" t="str">
        <f aca="false">IF((F203-K203)&lt;&gt;0,M$1-A203," ")</f>
        <v> </v>
      </c>
      <c r="N203" s="5"/>
      <c r="O203" s="17" t="str">
        <f aca="false">IF((E203="s"),H203," ")</f>
        <v> </v>
      </c>
      <c r="P203" s="17" t="str">
        <f aca="false">IF((E203="c"),H203," ")</f>
        <v> </v>
      </c>
      <c r="Q203" s="17" t="str">
        <f aca="false">IF((E203="o"),H203," ")</f>
        <v> </v>
      </c>
      <c r="R203" s="17" t="str">
        <f aca="false">IF((E203="d"),H203," ")</f>
        <v> </v>
      </c>
      <c r="S203" s="17" t="str">
        <f aca="false">IF((E203="w"),H203," ")</f>
        <v> </v>
      </c>
      <c r="T203" s="17" t="str">
        <f aca="false">IF((E203="r"),H203," ")</f>
        <v> </v>
      </c>
      <c r="U203" s="17" t="str">
        <f aca="false">IF((E203="p"),H203," ")</f>
        <v> </v>
      </c>
      <c r="V203" s="17" t="str">
        <f aca="false">IF((E203="t"),H203," ")</f>
        <v> </v>
      </c>
      <c r="W203" s="17" t="str">
        <f aca="false">IF((E203="q"),H203," ")</f>
        <v> </v>
      </c>
      <c r="X203" s="17" t="str">
        <f aca="false">IF((E203="m"),H203," ")</f>
        <v> </v>
      </c>
      <c r="Y203" s="17" t="str">
        <f aca="false">IF((E203="u"),H203," ")</f>
        <v> </v>
      </c>
      <c r="Z203" s="17" t="str">
        <f aca="false">IF((E203="a"),H203," ")</f>
        <v> </v>
      </c>
      <c r="AA203" s="17" t="str">
        <f aca="false">IF((E203="g"),H203," ")</f>
        <v> </v>
      </c>
      <c r="AB203" s="17" t="str">
        <f aca="false">IF((E203="h"),H203," ")</f>
        <v> </v>
      </c>
      <c r="AC203" s="30" t="str">
        <f aca="false">IF((E203="v"),H203," ")</f>
        <v> </v>
      </c>
      <c r="AD203" s="30" t="str">
        <f aca="false">IF((E203="n"),H203," ")</f>
        <v> </v>
      </c>
      <c r="AE203" s="17" t="str">
        <f aca="false">IF((E203="f"),H203," ")</f>
        <v> </v>
      </c>
      <c r="AF203" s="17" t="str">
        <f aca="false">IF((E203="l"),H203," ")</f>
        <v> </v>
      </c>
      <c r="AG203" s="17" t="str">
        <f aca="false">IF((E203="y"),H203," ")</f>
        <v> </v>
      </c>
      <c r="AH203" s="17" t="str">
        <f aca="false">IF((E203="z"),H203," ")</f>
        <v> </v>
      </c>
      <c r="AI203" s="17" t="str">
        <f aca="false">IF((E203="fa"),H203," ")</f>
        <v> </v>
      </c>
      <c r="AJ203" s="17" t="str">
        <f aca="false">IF((E203="e"),H203," ")</f>
        <v> </v>
      </c>
    </row>
    <row r="204" customFormat="false" ht="12" hidden="false" customHeight="false" outlineLevel="0" collapsed="false">
      <c r="A204" s="28"/>
      <c r="E204" s="2" t="str">
        <f aca="false">IF((F204&lt;&gt;0),"Enter Letter"," ")</f>
        <v> </v>
      </c>
      <c r="F204" s="30"/>
      <c r="G204" s="6" t="str">
        <f aca="false">IF(F204&lt;&gt;0,F204*G$2/(100+G$2)," ")</f>
        <v> </v>
      </c>
      <c r="H204" s="6" t="str">
        <f aca="false">IF((F204&lt;&gt;0),F204-G204," ")</f>
        <v> </v>
      </c>
      <c r="I204" s="5"/>
      <c r="L204" s="7" t="str">
        <f aca="false">IF(F204&lt;&gt;0,F204-K204," ")</f>
        <v> </v>
      </c>
      <c r="M204" s="8" t="str">
        <f aca="false">IF((F204-K204)&lt;&gt;0,M$1-A204," ")</f>
        <v> </v>
      </c>
      <c r="N204" s="5"/>
      <c r="O204" s="17" t="str">
        <f aca="false">IF((E204="s"),H204," ")</f>
        <v> </v>
      </c>
      <c r="P204" s="17" t="str">
        <f aca="false">IF((E204="c"),H204," ")</f>
        <v> </v>
      </c>
      <c r="Q204" s="17" t="str">
        <f aca="false">IF((E204="o"),H204," ")</f>
        <v> </v>
      </c>
      <c r="R204" s="17" t="str">
        <f aca="false">IF((E204="d"),H204," ")</f>
        <v> </v>
      </c>
      <c r="S204" s="17" t="str">
        <f aca="false">IF((E204="w"),H204," ")</f>
        <v> </v>
      </c>
      <c r="T204" s="17" t="str">
        <f aca="false">IF((E204="r"),H204," ")</f>
        <v> </v>
      </c>
      <c r="U204" s="17" t="str">
        <f aca="false">IF((E204="p"),H204," ")</f>
        <v> </v>
      </c>
      <c r="V204" s="17" t="str">
        <f aca="false">IF((E204="t"),H204," ")</f>
        <v> </v>
      </c>
      <c r="W204" s="17" t="str">
        <f aca="false">IF((E204="q"),H204," ")</f>
        <v> </v>
      </c>
      <c r="X204" s="17" t="str">
        <f aca="false">IF((E204="m"),H204," ")</f>
        <v> </v>
      </c>
      <c r="Y204" s="17" t="str">
        <f aca="false">IF((E204="u"),H204," ")</f>
        <v> </v>
      </c>
      <c r="Z204" s="17" t="str">
        <f aca="false">IF((E204="a"),H204," ")</f>
        <v> </v>
      </c>
      <c r="AA204" s="17" t="str">
        <f aca="false">IF((E204="g"),H204," ")</f>
        <v> </v>
      </c>
      <c r="AB204" s="17" t="str">
        <f aca="false">IF((E204="h"),H204," ")</f>
        <v> </v>
      </c>
      <c r="AC204" s="30" t="str">
        <f aca="false">IF((E204="v"),H204," ")</f>
        <v> </v>
      </c>
      <c r="AD204" s="30" t="str">
        <f aca="false">IF((E204="n"),H204," ")</f>
        <v> </v>
      </c>
      <c r="AE204" s="17" t="str">
        <f aca="false">IF((E204="f"),H204," ")</f>
        <v> </v>
      </c>
      <c r="AF204" s="17" t="str">
        <f aca="false">IF((E204="l"),H204," ")</f>
        <v> </v>
      </c>
      <c r="AG204" s="17" t="str">
        <f aca="false">IF((E204="y"),H204," ")</f>
        <v> </v>
      </c>
      <c r="AH204" s="17" t="str">
        <f aca="false">IF((E204="z"),H204," ")</f>
        <v> </v>
      </c>
      <c r="AI204" s="17" t="str">
        <f aca="false">IF((E204="fa"),H204," ")</f>
        <v> </v>
      </c>
      <c r="AJ204" s="17" t="str">
        <f aca="false">IF((E204="e"),H204," ")</f>
        <v> </v>
      </c>
    </row>
    <row r="205" customFormat="false" ht="12" hidden="false" customHeight="false" outlineLevel="0" collapsed="false">
      <c r="A205" s="28"/>
      <c r="E205" s="2" t="str">
        <f aca="false">IF((F205&lt;&gt;0),"Enter Letter"," ")</f>
        <v> </v>
      </c>
      <c r="F205" s="30"/>
      <c r="G205" s="6" t="str">
        <f aca="false">IF(F205&lt;&gt;0,F205*G$2/(100+G$2)," ")</f>
        <v> </v>
      </c>
      <c r="H205" s="6" t="str">
        <f aca="false">IF((F205&lt;&gt;0),F205-G205," ")</f>
        <v> </v>
      </c>
      <c r="I205" s="5"/>
      <c r="L205" s="7" t="str">
        <f aca="false">IF(F205&lt;&gt;0,F205-K205," ")</f>
        <v> </v>
      </c>
      <c r="M205" s="8" t="str">
        <f aca="false">IF((F205-K205)&lt;&gt;0,M$1-A205," ")</f>
        <v> </v>
      </c>
      <c r="N205" s="5"/>
      <c r="O205" s="17" t="str">
        <f aca="false">IF((E205="s"),H205," ")</f>
        <v> </v>
      </c>
      <c r="P205" s="17" t="str">
        <f aca="false">IF((E205="c"),H205," ")</f>
        <v> </v>
      </c>
      <c r="Q205" s="17" t="str">
        <f aca="false">IF((E205="o"),H205," ")</f>
        <v> </v>
      </c>
      <c r="R205" s="17" t="str">
        <f aca="false">IF((E205="d"),H205," ")</f>
        <v> </v>
      </c>
      <c r="S205" s="17" t="str">
        <f aca="false">IF((E205="w"),H205," ")</f>
        <v> </v>
      </c>
      <c r="T205" s="17" t="str">
        <f aca="false">IF((E205="r"),H205," ")</f>
        <v> </v>
      </c>
      <c r="U205" s="17" t="str">
        <f aca="false">IF((E205="p"),H205," ")</f>
        <v> </v>
      </c>
      <c r="V205" s="17" t="str">
        <f aca="false">IF((E205="t"),H205," ")</f>
        <v> </v>
      </c>
      <c r="W205" s="17" t="str">
        <f aca="false">IF((E205="q"),H205," ")</f>
        <v> </v>
      </c>
      <c r="X205" s="17" t="str">
        <f aca="false">IF((E205="m"),H205," ")</f>
        <v> </v>
      </c>
      <c r="Y205" s="17" t="str">
        <f aca="false">IF((E205="u"),H205," ")</f>
        <v> </v>
      </c>
      <c r="Z205" s="17" t="str">
        <f aca="false">IF((E205="a"),H205," ")</f>
        <v> </v>
      </c>
      <c r="AA205" s="17" t="str">
        <f aca="false">IF((E205="g"),H205," ")</f>
        <v> </v>
      </c>
      <c r="AB205" s="17" t="str">
        <f aca="false">IF((E205="h"),H205," ")</f>
        <v> </v>
      </c>
      <c r="AC205" s="30" t="str">
        <f aca="false">IF((E205="v"),H205," ")</f>
        <v> </v>
      </c>
      <c r="AD205" s="30" t="str">
        <f aca="false">IF((E205="n"),H205," ")</f>
        <v> </v>
      </c>
      <c r="AE205" s="17" t="str">
        <f aca="false">IF((E205="f"),H205," ")</f>
        <v> </v>
      </c>
      <c r="AF205" s="17" t="str">
        <f aca="false">IF((E205="l"),H205," ")</f>
        <v> </v>
      </c>
      <c r="AG205" s="17" t="str">
        <f aca="false">IF((E205="y"),H205," ")</f>
        <v> </v>
      </c>
      <c r="AH205" s="17" t="str">
        <f aca="false">IF((E205="z"),H205," ")</f>
        <v> </v>
      </c>
      <c r="AI205" s="17" t="str">
        <f aca="false">IF((E205="fa"),H205," ")</f>
        <v> </v>
      </c>
      <c r="AJ205" s="17" t="str">
        <f aca="false">IF((E205="e"),H205," ")</f>
        <v> </v>
      </c>
    </row>
    <row r="206" customFormat="false" ht="12" hidden="false" customHeight="false" outlineLevel="0" collapsed="false">
      <c r="A206" s="28"/>
      <c r="E206" s="2" t="str">
        <f aca="false">IF((F206&lt;&gt;0),"Enter Letter"," ")</f>
        <v> </v>
      </c>
      <c r="F206" s="30"/>
      <c r="G206" s="6" t="str">
        <f aca="false">IF(F206&lt;&gt;0,F206*G$2/(100+G$2)," ")</f>
        <v> </v>
      </c>
      <c r="H206" s="6" t="str">
        <f aca="false">IF((F206&lt;&gt;0),F206-G206," ")</f>
        <v> </v>
      </c>
      <c r="I206" s="5"/>
      <c r="L206" s="7" t="str">
        <f aca="false">IF(F206&lt;&gt;0,F206-K206," ")</f>
        <v> </v>
      </c>
      <c r="M206" s="8" t="str">
        <f aca="false">IF((F206-K206)&lt;&gt;0,M$1-A206," ")</f>
        <v> </v>
      </c>
      <c r="N206" s="5"/>
      <c r="O206" s="17" t="str">
        <f aca="false">IF((E206="s"),H206," ")</f>
        <v> </v>
      </c>
      <c r="P206" s="17" t="str">
        <f aca="false">IF((E206="c"),H206," ")</f>
        <v> </v>
      </c>
      <c r="Q206" s="17" t="str">
        <f aca="false">IF((E206="o"),H206," ")</f>
        <v> </v>
      </c>
      <c r="R206" s="17" t="str">
        <f aca="false">IF((E206="d"),H206," ")</f>
        <v> </v>
      </c>
      <c r="S206" s="17" t="str">
        <f aca="false">IF((E206="w"),H206," ")</f>
        <v> </v>
      </c>
      <c r="T206" s="17" t="str">
        <f aca="false">IF((E206="r"),H206," ")</f>
        <v> </v>
      </c>
      <c r="U206" s="17" t="str">
        <f aca="false">IF((E206="p"),H206," ")</f>
        <v> </v>
      </c>
      <c r="V206" s="17" t="str">
        <f aca="false">IF((E206="t"),H206," ")</f>
        <v> </v>
      </c>
      <c r="W206" s="17" t="str">
        <f aca="false">IF((E206="q"),H206," ")</f>
        <v> </v>
      </c>
      <c r="X206" s="17" t="str">
        <f aca="false">IF((E206="m"),H206," ")</f>
        <v> </v>
      </c>
      <c r="Y206" s="17" t="str">
        <f aca="false">IF((E206="u"),H206," ")</f>
        <v> </v>
      </c>
      <c r="Z206" s="17" t="str">
        <f aca="false">IF((E206="a"),H206," ")</f>
        <v> </v>
      </c>
      <c r="AA206" s="17" t="str">
        <f aca="false">IF((E206="g"),H206," ")</f>
        <v> </v>
      </c>
      <c r="AB206" s="17" t="str">
        <f aca="false">IF((E206="h"),H206," ")</f>
        <v> </v>
      </c>
      <c r="AC206" s="30" t="str">
        <f aca="false">IF((E206="v"),H206," ")</f>
        <v> </v>
      </c>
      <c r="AD206" s="30" t="str">
        <f aca="false">IF((E206="n"),H206," ")</f>
        <v> </v>
      </c>
      <c r="AE206" s="17" t="str">
        <f aca="false">IF((E206="f"),H206," ")</f>
        <v> </v>
      </c>
      <c r="AF206" s="17" t="str">
        <f aca="false">IF((E206="l"),H206," ")</f>
        <v> </v>
      </c>
      <c r="AG206" s="17" t="str">
        <f aca="false">IF((E206="y"),H206," ")</f>
        <v> </v>
      </c>
      <c r="AH206" s="17" t="str">
        <f aca="false">IF((E206="z"),H206," ")</f>
        <v> </v>
      </c>
      <c r="AI206" s="17" t="str">
        <f aca="false">IF((E206="fa"),H206," ")</f>
        <v> </v>
      </c>
      <c r="AJ206" s="17" t="str">
        <f aca="false">IF((E206="e"),H206," ")</f>
        <v> </v>
      </c>
    </row>
    <row r="207" customFormat="false" ht="12" hidden="false" customHeight="false" outlineLevel="0" collapsed="false">
      <c r="A207" s="28"/>
      <c r="E207" s="2" t="str">
        <f aca="false">IF((F207&lt;&gt;0),"Enter Letter"," ")</f>
        <v> </v>
      </c>
      <c r="F207" s="30"/>
      <c r="G207" s="6" t="str">
        <f aca="false">IF(F207&lt;&gt;0,F207*G$2/(100+G$2)," ")</f>
        <v> </v>
      </c>
      <c r="H207" s="6" t="str">
        <f aca="false">IF((F207&lt;&gt;0),F207-G207," ")</f>
        <v> </v>
      </c>
      <c r="I207" s="5"/>
      <c r="L207" s="7" t="str">
        <f aca="false">IF(F207&lt;&gt;0,F207-K207," ")</f>
        <v> </v>
      </c>
      <c r="M207" s="8" t="str">
        <f aca="false">IF((F207-K207)&lt;&gt;0,M$1-A207," ")</f>
        <v> </v>
      </c>
      <c r="N207" s="5"/>
      <c r="O207" s="17" t="str">
        <f aca="false">IF((E207="s"),H207," ")</f>
        <v> </v>
      </c>
      <c r="P207" s="17" t="str">
        <f aca="false">IF((E207="c"),H207," ")</f>
        <v> </v>
      </c>
      <c r="Q207" s="17" t="str">
        <f aca="false">IF((E207="o"),H207," ")</f>
        <v> </v>
      </c>
      <c r="R207" s="17" t="str">
        <f aca="false">IF((E207="d"),H207," ")</f>
        <v> </v>
      </c>
      <c r="S207" s="17" t="str">
        <f aca="false">IF((E207="w"),H207," ")</f>
        <v> </v>
      </c>
      <c r="T207" s="17" t="str">
        <f aca="false">IF((E207="r"),H207," ")</f>
        <v> </v>
      </c>
      <c r="U207" s="17" t="str">
        <f aca="false">IF((E207="p"),H207," ")</f>
        <v> </v>
      </c>
      <c r="V207" s="17" t="str">
        <f aca="false">IF((E207="t"),H207," ")</f>
        <v> </v>
      </c>
      <c r="W207" s="17" t="str">
        <f aca="false">IF((E207="q"),H207," ")</f>
        <v> </v>
      </c>
      <c r="X207" s="17" t="str">
        <f aca="false">IF((E207="m"),H207," ")</f>
        <v> </v>
      </c>
      <c r="Y207" s="17" t="str">
        <f aca="false">IF((E207="u"),H207," ")</f>
        <v> </v>
      </c>
      <c r="Z207" s="17" t="str">
        <f aca="false">IF((E207="a"),H207," ")</f>
        <v> </v>
      </c>
      <c r="AA207" s="17" t="str">
        <f aca="false">IF((E207="g"),H207," ")</f>
        <v> </v>
      </c>
      <c r="AB207" s="17" t="str">
        <f aca="false">IF((E207="h"),H207," ")</f>
        <v> </v>
      </c>
      <c r="AC207" s="30" t="str">
        <f aca="false">IF((E207="v"),H207," ")</f>
        <v> </v>
      </c>
      <c r="AD207" s="30" t="str">
        <f aca="false">IF((E207="n"),H207," ")</f>
        <v> </v>
      </c>
      <c r="AE207" s="17" t="str">
        <f aca="false">IF((E207="f"),H207," ")</f>
        <v> </v>
      </c>
      <c r="AF207" s="17" t="str">
        <f aca="false">IF((E207="l"),H207," ")</f>
        <v> </v>
      </c>
      <c r="AG207" s="17" t="str">
        <f aca="false">IF((E207="y"),H207," ")</f>
        <v> </v>
      </c>
      <c r="AH207" s="17" t="str">
        <f aca="false">IF((E207="z"),H207," ")</f>
        <v> </v>
      </c>
      <c r="AI207" s="17" t="str">
        <f aca="false">IF((E207="fa"),H207," ")</f>
        <v> </v>
      </c>
      <c r="AJ207" s="17" t="str">
        <f aca="false">IF((E207="e"),H207," ")</f>
        <v> </v>
      </c>
    </row>
    <row r="208" customFormat="false" ht="12" hidden="false" customHeight="false" outlineLevel="0" collapsed="false">
      <c r="A208" s="28"/>
      <c r="E208" s="2" t="str">
        <f aca="false">IF((F208&lt;&gt;0),"Enter Letter"," ")</f>
        <v> </v>
      </c>
      <c r="F208" s="30"/>
      <c r="G208" s="6" t="str">
        <f aca="false">IF(F208&lt;&gt;0,F208*G$2/(100+G$2)," ")</f>
        <v> </v>
      </c>
      <c r="H208" s="6" t="str">
        <f aca="false">IF((F208&lt;&gt;0),F208-G208," ")</f>
        <v> </v>
      </c>
      <c r="I208" s="5"/>
      <c r="L208" s="7" t="str">
        <f aca="false">IF(F208&lt;&gt;0,F208-K208," ")</f>
        <v> </v>
      </c>
      <c r="M208" s="8" t="str">
        <f aca="false">IF((F208-K208)&lt;&gt;0,M$1-A208," ")</f>
        <v> </v>
      </c>
      <c r="N208" s="5"/>
      <c r="O208" s="17" t="str">
        <f aca="false">IF((E208="s"),H208," ")</f>
        <v> </v>
      </c>
      <c r="P208" s="17" t="str">
        <f aca="false">IF((E208="c"),H208," ")</f>
        <v> </v>
      </c>
      <c r="Q208" s="17" t="str">
        <f aca="false">IF((E208="o"),H208," ")</f>
        <v> </v>
      </c>
      <c r="R208" s="17" t="str">
        <f aca="false">IF((E208="d"),H208," ")</f>
        <v> </v>
      </c>
      <c r="S208" s="17" t="str">
        <f aca="false">IF((E208="w"),H208," ")</f>
        <v> </v>
      </c>
      <c r="T208" s="17" t="str">
        <f aca="false">IF((E208="r"),H208," ")</f>
        <v> </v>
      </c>
      <c r="U208" s="17" t="str">
        <f aca="false">IF((E208="p"),H208," ")</f>
        <v> </v>
      </c>
      <c r="V208" s="17" t="str">
        <f aca="false">IF((E208="t"),H208," ")</f>
        <v> </v>
      </c>
      <c r="W208" s="17" t="str">
        <f aca="false">IF((E208="q"),H208," ")</f>
        <v> </v>
      </c>
      <c r="X208" s="17" t="str">
        <f aca="false">IF((E208="m"),H208," ")</f>
        <v> </v>
      </c>
      <c r="Y208" s="17" t="str">
        <f aca="false">IF((E208="u"),H208," ")</f>
        <v> </v>
      </c>
      <c r="Z208" s="17" t="str">
        <f aca="false">IF((E208="a"),H208," ")</f>
        <v> </v>
      </c>
      <c r="AA208" s="17" t="str">
        <f aca="false">IF((E208="g"),H208," ")</f>
        <v> </v>
      </c>
      <c r="AB208" s="17" t="str">
        <f aca="false">IF((E208="h"),H208," ")</f>
        <v> </v>
      </c>
      <c r="AC208" s="30" t="str">
        <f aca="false">IF((E208="v"),H208," ")</f>
        <v> </v>
      </c>
      <c r="AD208" s="30" t="str">
        <f aca="false">IF((E208="n"),H208," ")</f>
        <v> </v>
      </c>
      <c r="AE208" s="17" t="str">
        <f aca="false">IF((E208="f"),H208," ")</f>
        <v> </v>
      </c>
      <c r="AF208" s="17" t="str">
        <f aca="false">IF((E208="l"),H208," ")</f>
        <v> </v>
      </c>
      <c r="AG208" s="17" t="str">
        <f aca="false">IF((E208="y"),H208," ")</f>
        <v> </v>
      </c>
      <c r="AH208" s="17" t="str">
        <f aca="false">IF((E208="z"),H208," ")</f>
        <v> </v>
      </c>
      <c r="AI208" s="17" t="str">
        <f aca="false">IF((E208="fa"),H208," ")</f>
        <v> </v>
      </c>
      <c r="AJ208" s="17" t="str">
        <f aca="false">IF((E208="e"),H208," ")</f>
        <v> </v>
      </c>
    </row>
    <row r="209" customFormat="false" ht="12" hidden="false" customHeight="false" outlineLevel="0" collapsed="false">
      <c r="A209" s="28"/>
      <c r="E209" s="2" t="str">
        <f aca="false">IF((F209&lt;&gt;0),"Enter Letter"," ")</f>
        <v> </v>
      </c>
      <c r="F209" s="30"/>
      <c r="G209" s="6" t="str">
        <f aca="false">IF(F209&lt;&gt;0,F209*G$2/(100+G$2)," ")</f>
        <v> </v>
      </c>
      <c r="H209" s="6" t="str">
        <f aca="false">IF((F209&lt;&gt;0),F209-G209," ")</f>
        <v> </v>
      </c>
      <c r="I209" s="5"/>
      <c r="L209" s="7" t="str">
        <f aca="false">IF(F209&lt;&gt;0,F209-K209," ")</f>
        <v> </v>
      </c>
      <c r="M209" s="8" t="str">
        <f aca="false">IF((F209-K209)&lt;&gt;0,M$1-A209," ")</f>
        <v> </v>
      </c>
      <c r="N209" s="5"/>
      <c r="O209" s="17" t="str">
        <f aca="false">IF((E209="s"),H209," ")</f>
        <v> </v>
      </c>
      <c r="P209" s="17" t="str">
        <f aca="false">IF((E209="c"),H209," ")</f>
        <v> </v>
      </c>
      <c r="Q209" s="17" t="str">
        <f aca="false">IF((E209="o"),H209," ")</f>
        <v> </v>
      </c>
      <c r="R209" s="17" t="str">
        <f aca="false">IF((E209="d"),H209," ")</f>
        <v> </v>
      </c>
      <c r="S209" s="17" t="str">
        <f aca="false">IF((E209="w"),H209," ")</f>
        <v> </v>
      </c>
      <c r="T209" s="17" t="str">
        <f aca="false">IF((E209="r"),H209," ")</f>
        <v> </v>
      </c>
      <c r="U209" s="17" t="str">
        <f aca="false">IF((E209="p"),H209," ")</f>
        <v> </v>
      </c>
      <c r="V209" s="17" t="str">
        <f aca="false">IF((E209="t"),H209," ")</f>
        <v> </v>
      </c>
      <c r="W209" s="17" t="str">
        <f aca="false">IF((E209="q"),H209," ")</f>
        <v> </v>
      </c>
      <c r="X209" s="17" t="str">
        <f aca="false">IF((E209="m"),H209," ")</f>
        <v> </v>
      </c>
      <c r="Y209" s="17" t="str">
        <f aca="false">IF((E209="u"),H209," ")</f>
        <v> </v>
      </c>
      <c r="Z209" s="17" t="str">
        <f aca="false">IF((E209="a"),H209," ")</f>
        <v> </v>
      </c>
      <c r="AA209" s="17" t="str">
        <f aca="false">IF((E209="g"),H209," ")</f>
        <v> </v>
      </c>
      <c r="AB209" s="17" t="str">
        <f aca="false">IF((E209="h"),H209," ")</f>
        <v> </v>
      </c>
      <c r="AC209" s="30" t="str">
        <f aca="false">IF((E209="v"),H209," ")</f>
        <v> </v>
      </c>
      <c r="AD209" s="30" t="str">
        <f aca="false">IF((E209="n"),H209," ")</f>
        <v> </v>
      </c>
      <c r="AE209" s="17" t="str">
        <f aca="false">IF((E209="f"),H209," ")</f>
        <v> </v>
      </c>
      <c r="AF209" s="17" t="str">
        <f aca="false">IF((E209="l"),H209," ")</f>
        <v> </v>
      </c>
      <c r="AG209" s="17" t="str">
        <f aca="false">IF((E209="y"),H209," ")</f>
        <v> </v>
      </c>
      <c r="AH209" s="17" t="str">
        <f aca="false">IF((E209="z"),H209," ")</f>
        <v> </v>
      </c>
      <c r="AI209" s="17" t="str">
        <f aca="false">IF((E209="fa"),H209," ")</f>
        <v> </v>
      </c>
      <c r="AJ209" s="17" t="str">
        <f aca="false">IF((E209="e"),H209," ")</f>
        <v> </v>
      </c>
    </row>
    <row r="210" customFormat="false" ht="12" hidden="false" customHeight="false" outlineLevel="0" collapsed="false">
      <c r="A210" s="28"/>
      <c r="E210" s="2" t="str">
        <f aca="false">IF((F210&lt;&gt;0),"Enter Letter"," ")</f>
        <v> </v>
      </c>
      <c r="F210" s="30"/>
      <c r="G210" s="6" t="str">
        <f aca="false">IF(F210&lt;&gt;0,F210*G$2/(100+G$2)," ")</f>
        <v> </v>
      </c>
      <c r="H210" s="6" t="str">
        <f aca="false">IF((F210&lt;&gt;0),F210-G210," ")</f>
        <v> </v>
      </c>
      <c r="I210" s="5"/>
      <c r="L210" s="7" t="str">
        <f aca="false">IF(F210&lt;&gt;0,F210-K210," ")</f>
        <v> </v>
      </c>
      <c r="M210" s="8" t="str">
        <f aca="false">IF((F210-K210)&lt;&gt;0,M$1-A210," ")</f>
        <v> </v>
      </c>
      <c r="N210" s="5"/>
      <c r="O210" s="17" t="str">
        <f aca="false">IF((E210="s"),H210," ")</f>
        <v> </v>
      </c>
      <c r="P210" s="17" t="str">
        <f aca="false">IF((E210="c"),H210," ")</f>
        <v> </v>
      </c>
      <c r="Q210" s="17" t="str">
        <f aca="false">IF((E210="o"),H210," ")</f>
        <v> </v>
      </c>
      <c r="R210" s="17" t="str">
        <f aca="false">IF((E210="d"),H210," ")</f>
        <v> </v>
      </c>
      <c r="S210" s="17" t="str">
        <f aca="false">IF((E210="w"),H210," ")</f>
        <v> </v>
      </c>
      <c r="T210" s="17" t="str">
        <f aca="false">IF((E210="r"),H210," ")</f>
        <v> </v>
      </c>
      <c r="U210" s="17" t="str">
        <f aca="false">IF((E210="p"),H210," ")</f>
        <v> </v>
      </c>
      <c r="V210" s="17" t="str">
        <f aca="false">IF((E210="t"),H210," ")</f>
        <v> </v>
      </c>
      <c r="W210" s="17" t="str">
        <f aca="false">IF((E210="q"),H210," ")</f>
        <v> </v>
      </c>
      <c r="X210" s="17" t="str">
        <f aca="false">IF((E210="m"),H210," ")</f>
        <v> </v>
      </c>
      <c r="Y210" s="17" t="str">
        <f aca="false">IF((E210="u"),H210," ")</f>
        <v> </v>
      </c>
      <c r="Z210" s="17" t="str">
        <f aca="false">IF((E210="a"),H210," ")</f>
        <v> </v>
      </c>
      <c r="AA210" s="17" t="str">
        <f aca="false">IF((E210="g"),H210," ")</f>
        <v> </v>
      </c>
      <c r="AB210" s="17" t="str">
        <f aca="false">IF((E210="h"),H210," ")</f>
        <v> </v>
      </c>
      <c r="AC210" s="30" t="str">
        <f aca="false">IF((E210="v"),H210," ")</f>
        <v> </v>
      </c>
      <c r="AD210" s="30" t="str">
        <f aca="false">IF((E210="n"),H210," ")</f>
        <v> </v>
      </c>
      <c r="AE210" s="17" t="str">
        <f aca="false">IF((E210="f"),H210," ")</f>
        <v> </v>
      </c>
      <c r="AF210" s="17" t="str">
        <f aca="false">IF((E210="l"),H210," ")</f>
        <v> </v>
      </c>
      <c r="AG210" s="17" t="str">
        <f aca="false">IF((E210="y"),H210," ")</f>
        <v> </v>
      </c>
      <c r="AH210" s="17" t="str">
        <f aca="false">IF((E210="z"),H210," ")</f>
        <v> </v>
      </c>
      <c r="AI210" s="17" t="str">
        <f aca="false">IF((E210="fa"),H210," ")</f>
        <v> </v>
      </c>
      <c r="AJ210" s="17" t="str">
        <f aca="false">IF((E210="e"),H210," ")</f>
        <v> </v>
      </c>
    </row>
    <row r="211" customFormat="false" ht="12" hidden="false" customHeight="false" outlineLevel="0" collapsed="false">
      <c r="A211" s="28"/>
      <c r="E211" s="2" t="str">
        <f aca="false">IF((F211&lt;&gt;0),"Enter Letter"," ")</f>
        <v> </v>
      </c>
      <c r="F211" s="30"/>
      <c r="G211" s="6" t="str">
        <f aca="false">IF(F211&lt;&gt;0,F211*G$2/(100+G$2)," ")</f>
        <v> </v>
      </c>
      <c r="H211" s="6" t="str">
        <f aca="false">IF((F211&lt;&gt;0),F211-G211," ")</f>
        <v> </v>
      </c>
      <c r="I211" s="5"/>
      <c r="L211" s="7" t="str">
        <f aca="false">IF(F211&lt;&gt;0,F211-K211," ")</f>
        <v> </v>
      </c>
      <c r="M211" s="8" t="str">
        <f aca="false">IF((F211-K211)&lt;&gt;0,M$1-A211," ")</f>
        <v> </v>
      </c>
      <c r="N211" s="5"/>
      <c r="O211" s="17" t="str">
        <f aca="false">IF((E211="s"),H211," ")</f>
        <v> </v>
      </c>
      <c r="P211" s="17" t="str">
        <f aca="false">IF((E211="c"),H211," ")</f>
        <v> </v>
      </c>
      <c r="Q211" s="17" t="str">
        <f aca="false">IF((E211="o"),H211," ")</f>
        <v> </v>
      </c>
      <c r="R211" s="17" t="str">
        <f aca="false">IF((E211="d"),H211," ")</f>
        <v> </v>
      </c>
      <c r="S211" s="17" t="str">
        <f aca="false">IF((E211="w"),H211," ")</f>
        <v> </v>
      </c>
      <c r="T211" s="17" t="str">
        <f aca="false">IF((E211="r"),H211," ")</f>
        <v> </v>
      </c>
      <c r="U211" s="17" t="str">
        <f aca="false">IF((E211="p"),H211," ")</f>
        <v> </v>
      </c>
      <c r="V211" s="17" t="str">
        <f aca="false">IF((E211="t"),H211," ")</f>
        <v> </v>
      </c>
      <c r="W211" s="17" t="str">
        <f aca="false">IF((E211="q"),H211," ")</f>
        <v> </v>
      </c>
      <c r="X211" s="17" t="str">
        <f aca="false">IF((E211="m"),H211," ")</f>
        <v> </v>
      </c>
      <c r="Y211" s="17" t="str">
        <f aca="false">IF((E211="u"),H211," ")</f>
        <v> </v>
      </c>
      <c r="Z211" s="17" t="str">
        <f aca="false">IF((E211="a"),H211," ")</f>
        <v> </v>
      </c>
      <c r="AA211" s="17" t="str">
        <f aca="false">IF((E211="g"),H211," ")</f>
        <v> </v>
      </c>
      <c r="AB211" s="17" t="str">
        <f aca="false">IF((E211="h"),H211," ")</f>
        <v> </v>
      </c>
      <c r="AC211" s="30" t="str">
        <f aca="false">IF((E211="v"),H211," ")</f>
        <v> </v>
      </c>
      <c r="AD211" s="30" t="str">
        <f aca="false">IF((E211="n"),H211," ")</f>
        <v> </v>
      </c>
      <c r="AE211" s="17" t="str">
        <f aca="false">IF((E211="f"),H211," ")</f>
        <v> </v>
      </c>
      <c r="AF211" s="17" t="str">
        <f aca="false">IF((E211="l"),H211," ")</f>
        <v> </v>
      </c>
      <c r="AG211" s="17" t="str">
        <f aca="false">IF((E211="y"),H211," ")</f>
        <v> </v>
      </c>
      <c r="AH211" s="17" t="str">
        <f aca="false">IF((E211="z"),H211," ")</f>
        <v> </v>
      </c>
      <c r="AI211" s="17" t="str">
        <f aca="false">IF((E211="fa"),H211," ")</f>
        <v> </v>
      </c>
      <c r="AJ211" s="17" t="str">
        <f aca="false">IF((E211="e"),H211," ")</f>
        <v> </v>
      </c>
    </row>
    <row r="212" customFormat="false" ht="12" hidden="false" customHeight="false" outlineLevel="0" collapsed="false">
      <c r="A212" s="28"/>
      <c r="E212" s="2" t="str">
        <f aca="false">IF((F212&lt;&gt;0),"Enter Letter"," ")</f>
        <v> </v>
      </c>
      <c r="F212" s="30"/>
      <c r="G212" s="6" t="str">
        <f aca="false">IF(F212&lt;&gt;0,F212*G$2/(100+G$2)," ")</f>
        <v> </v>
      </c>
      <c r="H212" s="6" t="str">
        <f aca="false">IF((F212&lt;&gt;0),F212-G212," ")</f>
        <v> </v>
      </c>
      <c r="I212" s="5"/>
      <c r="L212" s="7" t="str">
        <f aca="false">IF(F212&lt;&gt;0,F212-K212," ")</f>
        <v> </v>
      </c>
      <c r="M212" s="8" t="str">
        <f aca="false">IF((F212-K212)&lt;&gt;0,M$1-A212," ")</f>
        <v> </v>
      </c>
      <c r="N212" s="5"/>
      <c r="O212" s="17" t="str">
        <f aca="false">IF((E212="s"),H212," ")</f>
        <v> </v>
      </c>
      <c r="P212" s="17" t="str">
        <f aca="false">IF((E212="c"),H212," ")</f>
        <v> </v>
      </c>
      <c r="Q212" s="17" t="str">
        <f aca="false">IF((E212="o"),H212," ")</f>
        <v> </v>
      </c>
      <c r="R212" s="17" t="str">
        <f aca="false">IF((E212="d"),H212," ")</f>
        <v> </v>
      </c>
      <c r="S212" s="17" t="str">
        <f aca="false">IF((E212="w"),H212," ")</f>
        <v> </v>
      </c>
      <c r="T212" s="17" t="str">
        <f aca="false">IF((E212="r"),H212," ")</f>
        <v> </v>
      </c>
      <c r="U212" s="17" t="str">
        <f aca="false">IF((E212="p"),H212," ")</f>
        <v> </v>
      </c>
      <c r="V212" s="17" t="str">
        <f aca="false">IF((E212="t"),H212," ")</f>
        <v> </v>
      </c>
      <c r="W212" s="17" t="str">
        <f aca="false">IF((E212="q"),H212," ")</f>
        <v> </v>
      </c>
      <c r="X212" s="17" t="str">
        <f aca="false">IF((E212="m"),H212," ")</f>
        <v> </v>
      </c>
      <c r="Y212" s="17" t="str">
        <f aca="false">IF((E212="u"),H212," ")</f>
        <v> </v>
      </c>
      <c r="Z212" s="17" t="str">
        <f aca="false">IF((E212="a"),H212," ")</f>
        <v> </v>
      </c>
      <c r="AA212" s="17" t="str">
        <f aca="false">IF((E212="g"),H212," ")</f>
        <v> </v>
      </c>
      <c r="AB212" s="17" t="str">
        <f aca="false">IF((E212="h"),H212," ")</f>
        <v> </v>
      </c>
      <c r="AC212" s="30" t="str">
        <f aca="false">IF((E212="v"),H212," ")</f>
        <v> </v>
      </c>
      <c r="AD212" s="30" t="str">
        <f aca="false">IF((E212="n"),H212," ")</f>
        <v> </v>
      </c>
      <c r="AE212" s="17" t="str">
        <f aca="false">IF((E212="f"),H212," ")</f>
        <v> </v>
      </c>
      <c r="AF212" s="17" t="str">
        <f aca="false">IF((E212="l"),H212," ")</f>
        <v> </v>
      </c>
      <c r="AG212" s="17" t="str">
        <f aca="false">IF((E212="y"),H212," ")</f>
        <v> </v>
      </c>
      <c r="AH212" s="17" t="str">
        <f aca="false">IF((E212="z"),H212," ")</f>
        <v> </v>
      </c>
      <c r="AI212" s="17" t="str">
        <f aca="false">IF((E212="fa"),H212," ")</f>
        <v> </v>
      </c>
      <c r="AJ212" s="17" t="str">
        <f aca="false">IF((E212="e"),H212," ")</f>
        <v> </v>
      </c>
    </row>
    <row r="213" customFormat="false" ht="12" hidden="false" customHeight="false" outlineLevel="0" collapsed="false">
      <c r="A213" s="28"/>
      <c r="E213" s="2" t="str">
        <f aca="false">IF((F213&lt;&gt;0),"Enter Letter"," ")</f>
        <v> </v>
      </c>
      <c r="F213" s="30"/>
      <c r="G213" s="6" t="str">
        <f aca="false">IF(F213&lt;&gt;0,F213*G$2/(100+G$2)," ")</f>
        <v> </v>
      </c>
      <c r="H213" s="6" t="str">
        <f aca="false">IF((F213&lt;&gt;0),F213-G213," ")</f>
        <v> </v>
      </c>
      <c r="I213" s="5"/>
      <c r="L213" s="7" t="str">
        <f aca="false">IF(F213&lt;&gt;0,F213-K213," ")</f>
        <v> </v>
      </c>
      <c r="M213" s="8" t="str">
        <f aca="false">IF((F213-K213)&lt;&gt;0,M$1-A213," ")</f>
        <v> </v>
      </c>
      <c r="N213" s="5"/>
      <c r="O213" s="17" t="str">
        <f aca="false">IF((E213="s"),H213," ")</f>
        <v> </v>
      </c>
      <c r="P213" s="17" t="str">
        <f aca="false">IF((E213="c"),H213," ")</f>
        <v> </v>
      </c>
      <c r="Q213" s="17" t="str">
        <f aca="false">IF((E213="o"),H213," ")</f>
        <v> </v>
      </c>
      <c r="R213" s="17" t="str">
        <f aca="false">IF((E213="d"),H213," ")</f>
        <v> </v>
      </c>
      <c r="S213" s="17" t="str">
        <f aca="false">IF((E213="w"),H213," ")</f>
        <v> </v>
      </c>
      <c r="T213" s="17" t="str">
        <f aca="false">IF((E213="r"),H213," ")</f>
        <v> </v>
      </c>
      <c r="U213" s="17" t="str">
        <f aca="false">IF((E213="p"),H213," ")</f>
        <v> </v>
      </c>
      <c r="V213" s="17" t="str">
        <f aca="false">IF((E213="t"),H213," ")</f>
        <v> </v>
      </c>
      <c r="W213" s="17" t="str">
        <f aca="false">IF((E213="q"),H213," ")</f>
        <v> </v>
      </c>
      <c r="X213" s="17" t="str">
        <f aca="false">IF((E213="m"),H213," ")</f>
        <v> </v>
      </c>
      <c r="Y213" s="17" t="str">
        <f aca="false">IF((E213="u"),H213," ")</f>
        <v> </v>
      </c>
      <c r="Z213" s="17" t="str">
        <f aca="false">IF((E213="a"),H213," ")</f>
        <v> </v>
      </c>
      <c r="AA213" s="17" t="str">
        <f aca="false">IF((E213="g"),H213," ")</f>
        <v> </v>
      </c>
      <c r="AB213" s="17" t="str">
        <f aca="false">IF((E213="h"),H213," ")</f>
        <v> </v>
      </c>
      <c r="AC213" s="30" t="str">
        <f aca="false">IF((E213="v"),H213," ")</f>
        <v> </v>
      </c>
      <c r="AD213" s="30" t="str">
        <f aca="false">IF((E213="n"),H213," ")</f>
        <v> </v>
      </c>
      <c r="AE213" s="17" t="str">
        <f aca="false">IF((E213="f"),H213," ")</f>
        <v> </v>
      </c>
      <c r="AF213" s="17" t="str">
        <f aca="false">IF((E213="l"),H213," ")</f>
        <v> </v>
      </c>
      <c r="AG213" s="17" t="str">
        <f aca="false">IF((E213="y"),H213," ")</f>
        <v> </v>
      </c>
      <c r="AH213" s="17" t="str">
        <f aca="false">IF((E213="z"),H213," ")</f>
        <v> </v>
      </c>
      <c r="AI213" s="17" t="str">
        <f aca="false">IF((E213="fa"),H213," ")</f>
        <v> </v>
      </c>
      <c r="AJ213" s="17" t="str">
        <f aca="false">IF((E213="e"),H213," ")</f>
        <v> </v>
      </c>
    </row>
    <row r="214" customFormat="false" ht="12" hidden="false" customHeight="false" outlineLevel="0" collapsed="false">
      <c r="A214" s="28"/>
      <c r="E214" s="2" t="str">
        <f aca="false">IF((F214&lt;&gt;0),"Enter Letter"," ")</f>
        <v> </v>
      </c>
      <c r="F214" s="30"/>
      <c r="G214" s="6" t="str">
        <f aca="false">IF(F214&lt;&gt;0,F214*G$2/(100+G$2)," ")</f>
        <v> </v>
      </c>
      <c r="H214" s="6" t="str">
        <f aca="false">IF((F214&lt;&gt;0),F214-G214," ")</f>
        <v> </v>
      </c>
      <c r="I214" s="5"/>
      <c r="L214" s="7" t="str">
        <f aca="false">IF(F214&lt;&gt;0,F214-K214," ")</f>
        <v> </v>
      </c>
      <c r="M214" s="8" t="str">
        <f aca="false">IF((F214-K214)&lt;&gt;0,M$1-A214," ")</f>
        <v> </v>
      </c>
      <c r="N214" s="5"/>
      <c r="O214" s="17" t="str">
        <f aca="false">IF((E214="s"),H214," ")</f>
        <v> </v>
      </c>
      <c r="P214" s="17" t="str">
        <f aca="false">IF((E214="c"),H214," ")</f>
        <v> </v>
      </c>
      <c r="Q214" s="17" t="str">
        <f aca="false">IF((E214="o"),H214," ")</f>
        <v> </v>
      </c>
      <c r="R214" s="17" t="str">
        <f aca="false">IF((E214="d"),H214," ")</f>
        <v> </v>
      </c>
      <c r="S214" s="17" t="str">
        <f aca="false">IF((E214="w"),H214," ")</f>
        <v> </v>
      </c>
      <c r="T214" s="17" t="str">
        <f aca="false">IF((E214="r"),H214," ")</f>
        <v> </v>
      </c>
      <c r="U214" s="17" t="str">
        <f aca="false">IF((E214="p"),H214," ")</f>
        <v> </v>
      </c>
      <c r="V214" s="17" t="str">
        <f aca="false">IF((E214="t"),H214," ")</f>
        <v> </v>
      </c>
      <c r="W214" s="17" t="str">
        <f aca="false">IF((E214="q"),H214," ")</f>
        <v> </v>
      </c>
      <c r="X214" s="17" t="str">
        <f aca="false">IF((E214="m"),H214," ")</f>
        <v> </v>
      </c>
      <c r="Y214" s="17" t="str">
        <f aca="false">IF((E214="u"),H214," ")</f>
        <v> </v>
      </c>
      <c r="Z214" s="17" t="str">
        <f aca="false">IF((E214="a"),H214," ")</f>
        <v> </v>
      </c>
      <c r="AA214" s="17" t="str">
        <f aca="false">IF((E214="g"),H214," ")</f>
        <v> </v>
      </c>
      <c r="AB214" s="17" t="str">
        <f aca="false">IF((E214="h"),H214," ")</f>
        <v> </v>
      </c>
      <c r="AC214" s="30" t="str">
        <f aca="false">IF((E214="v"),H214," ")</f>
        <v> </v>
      </c>
      <c r="AD214" s="30" t="str">
        <f aca="false">IF((E214="n"),H214," ")</f>
        <v> </v>
      </c>
      <c r="AE214" s="17" t="str">
        <f aca="false">IF((E214="f"),H214," ")</f>
        <v> </v>
      </c>
      <c r="AF214" s="17" t="str">
        <f aca="false">IF((E214="l"),H214," ")</f>
        <v> </v>
      </c>
      <c r="AG214" s="17" t="str">
        <f aca="false">IF((E214="y"),H214," ")</f>
        <v> </v>
      </c>
      <c r="AH214" s="17" t="str">
        <f aca="false">IF((E214="z"),H214," ")</f>
        <v> </v>
      </c>
      <c r="AI214" s="17" t="str">
        <f aca="false">IF((E214="fa"),H214," ")</f>
        <v> </v>
      </c>
      <c r="AJ214" s="17" t="str">
        <f aca="false">IF((E214="e"),H214," ")</f>
        <v> </v>
      </c>
    </row>
    <row r="215" customFormat="false" ht="12" hidden="false" customHeight="false" outlineLevel="0" collapsed="false">
      <c r="A215" s="28"/>
      <c r="E215" s="2" t="str">
        <f aca="false">IF((F215&lt;&gt;0),"Enter Letter"," ")</f>
        <v> </v>
      </c>
      <c r="F215" s="30"/>
      <c r="G215" s="6" t="str">
        <f aca="false">IF(F215&lt;&gt;0,F215*G$2/(100+G$2)," ")</f>
        <v> </v>
      </c>
      <c r="H215" s="6" t="str">
        <f aca="false">IF((F215&lt;&gt;0),F215-G215," ")</f>
        <v> </v>
      </c>
      <c r="I215" s="5"/>
      <c r="L215" s="7" t="str">
        <f aca="false">IF(F215&lt;&gt;0,F215-K215," ")</f>
        <v> </v>
      </c>
      <c r="M215" s="8" t="str">
        <f aca="false">IF((F215-K215)&lt;&gt;0,M$1-A215," ")</f>
        <v> </v>
      </c>
      <c r="N215" s="5"/>
      <c r="O215" s="17" t="str">
        <f aca="false">IF((E215="s"),H215," ")</f>
        <v> </v>
      </c>
      <c r="P215" s="17" t="str">
        <f aca="false">IF((E215="c"),H215," ")</f>
        <v> </v>
      </c>
      <c r="Q215" s="17" t="str">
        <f aca="false">IF((E215="o"),H215," ")</f>
        <v> </v>
      </c>
      <c r="R215" s="17" t="str">
        <f aca="false">IF((E215="d"),H215," ")</f>
        <v> </v>
      </c>
      <c r="S215" s="17" t="str">
        <f aca="false">IF((E215="w"),H215," ")</f>
        <v> </v>
      </c>
      <c r="T215" s="17" t="str">
        <f aca="false">IF((E215="r"),H215," ")</f>
        <v> </v>
      </c>
      <c r="U215" s="17" t="str">
        <f aca="false">IF((E215="p"),H215," ")</f>
        <v> </v>
      </c>
      <c r="V215" s="17" t="str">
        <f aca="false">IF((E215="t"),H215," ")</f>
        <v> </v>
      </c>
      <c r="W215" s="17" t="str">
        <f aca="false">IF((E215="q"),H215," ")</f>
        <v> </v>
      </c>
      <c r="X215" s="17" t="str">
        <f aca="false">IF((E215="m"),H215," ")</f>
        <v> </v>
      </c>
      <c r="Y215" s="17" t="str">
        <f aca="false">IF((E215="u"),H215," ")</f>
        <v> </v>
      </c>
      <c r="Z215" s="17" t="str">
        <f aca="false">IF((E215="a"),H215," ")</f>
        <v> </v>
      </c>
      <c r="AA215" s="17" t="str">
        <f aca="false">IF((E215="g"),H215," ")</f>
        <v> </v>
      </c>
      <c r="AB215" s="17" t="str">
        <f aca="false">IF((E215="h"),H215," ")</f>
        <v> </v>
      </c>
      <c r="AC215" s="30" t="str">
        <f aca="false">IF((E215="v"),H215," ")</f>
        <v> </v>
      </c>
      <c r="AD215" s="30" t="str">
        <f aca="false">IF((E215="n"),H215," ")</f>
        <v> </v>
      </c>
      <c r="AE215" s="17" t="str">
        <f aca="false">IF((E215="f"),H215," ")</f>
        <v> </v>
      </c>
      <c r="AF215" s="17" t="str">
        <f aca="false">IF((E215="l"),H215," ")</f>
        <v> </v>
      </c>
      <c r="AG215" s="17" t="str">
        <f aca="false">IF((E215="y"),H215," ")</f>
        <v> </v>
      </c>
      <c r="AH215" s="17" t="str">
        <f aca="false">IF((E215="z"),H215," ")</f>
        <v> </v>
      </c>
      <c r="AI215" s="17" t="str">
        <f aca="false">IF((E215="fa"),H215," ")</f>
        <v> </v>
      </c>
      <c r="AJ215" s="17" t="str">
        <f aca="false">IF((E215="e"),H215," ")</f>
        <v> </v>
      </c>
    </row>
    <row r="216" customFormat="false" ht="12" hidden="false" customHeight="false" outlineLevel="0" collapsed="false">
      <c r="A216" s="28"/>
      <c r="E216" s="2" t="str">
        <f aca="false">IF((F216&lt;&gt;0),"Enter Letter"," ")</f>
        <v> </v>
      </c>
      <c r="F216" s="30"/>
      <c r="G216" s="6" t="str">
        <f aca="false">IF(F216&lt;&gt;0,F216*G$2/(100+G$2)," ")</f>
        <v> </v>
      </c>
      <c r="H216" s="6" t="str">
        <f aca="false">IF((F216&lt;&gt;0),F216-G216," ")</f>
        <v> </v>
      </c>
      <c r="I216" s="5"/>
      <c r="L216" s="7" t="str">
        <f aca="false">IF(F216&lt;&gt;0,F216-K216," ")</f>
        <v> </v>
      </c>
      <c r="M216" s="8" t="str">
        <f aca="false">IF((F216-K216)&lt;&gt;0,M$1-A216," ")</f>
        <v> </v>
      </c>
      <c r="N216" s="5"/>
      <c r="O216" s="17" t="str">
        <f aca="false">IF((E216="s"),H216," ")</f>
        <v> </v>
      </c>
      <c r="P216" s="17" t="str">
        <f aca="false">IF((E216="c"),H216," ")</f>
        <v> </v>
      </c>
      <c r="Q216" s="17" t="str">
        <f aca="false">IF((E216="o"),H216," ")</f>
        <v> </v>
      </c>
      <c r="R216" s="17" t="str">
        <f aca="false">IF((E216="d"),H216," ")</f>
        <v> </v>
      </c>
      <c r="S216" s="17" t="str">
        <f aca="false">IF((E216="w"),H216," ")</f>
        <v> </v>
      </c>
      <c r="T216" s="17" t="str">
        <f aca="false">IF((E216="r"),H216," ")</f>
        <v> </v>
      </c>
      <c r="U216" s="17" t="str">
        <f aca="false">IF((E216="p"),H216," ")</f>
        <v> </v>
      </c>
      <c r="V216" s="17" t="str">
        <f aca="false">IF((E216="t"),H216," ")</f>
        <v> </v>
      </c>
      <c r="W216" s="17" t="str">
        <f aca="false">IF((E216="q"),H216," ")</f>
        <v> </v>
      </c>
      <c r="X216" s="17" t="str">
        <f aca="false">IF((E216="m"),H216," ")</f>
        <v> </v>
      </c>
      <c r="Y216" s="17" t="str">
        <f aca="false">IF((E216="u"),H216," ")</f>
        <v> </v>
      </c>
      <c r="Z216" s="17" t="str">
        <f aca="false">IF((E216="a"),H216," ")</f>
        <v> </v>
      </c>
      <c r="AA216" s="17" t="str">
        <f aca="false">IF((E216="g"),H216," ")</f>
        <v> </v>
      </c>
      <c r="AB216" s="17" t="str">
        <f aca="false">IF((E216="h"),H216," ")</f>
        <v> </v>
      </c>
      <c r="AC216" s="30" t="str">
        <f aca="false">IF((E216="v"),H216," ")</f>
        <v> </v>
      </c>
      <c r="AD216" s="30" t="str">
        <f aca="false">IF((E216="n"),H216," ")</f>
        <v> </v>
      </c>
      <c r="AE216" s="17" t="str">
        <f aca="false">IF((E216="f"),H216," ")</f>
        <v> </v>
      </c>
      <c r="AF216" s="17" t="str">
        <f aca="false">IF((E216="l"),H216," ")</f>
        <v> </v>
      </c>
      <c r="AG216" s="17" t="str">
        <f aca="false">IF((E216="y"),H216," ")</f>
        <v> </v>
      </c>
      <c r="AH216" s="17" t="str">
        <f aca="false">IF((E216="z"),H216," ")</f>
        <v> </v>
      </c>
      <c r="AI216" s="17" t="str">
        <f aca="false">IF((E216="fa"),H216," ")</f>
        <v> </v>
      </c>
      <c r="AJ216" s="17" t="str">
        <f aca="false">IF((E216="e"),H216," ")</f>
        <v> </v>
      </c>
    </row>
    <row r="217" customFormat="false" ht="12" hidden="false" customHeight="false" outlineLevel="0" collapsed="false">
      <c r="A217" s="28"/>
      <c r="E217" s="2" t="str">
        <f aca="false">IF((F217&lt;&gt;0),"Enter Letter"," ")</f>
        <v> </v>
      </c>
      <c r="F217" s="30"/>
      <c r="G217" s="6" t="str">
        <f aca="false">IF(F217&lt;&gt;0,F217*G$2/(100+G$2)," ")</f>
        <v> </v>
      </c>
      <c r="H217" s="6" t="str">
        <f aca="false">IF((F217&lt;&gt;0),F217-G217," ")</f>
        <v> </v>
      </c>
      <c r="I217" s="5"/>
      <c r="L217" s="7" t="str">
        <f aca="false">IF(F217&lt;&gt;0,F217-K217," ")</f>
        <v> </v>
      </c>
      <c r="M217" s="8" t="str">
        <f aca="false">IF((F217-K217)&lt;&gt;0,M$1-A217," ")</f>
        <v> </v>
      </c>
      <c r="N217" s="5"/>
      <c r="O217" s="17" t="str">
        <f aca="false">IF((E217="s"),H217," ")</f>
        <v> </v>
      </c>
      <c r="P217" s="17" t="str">
        <f aca="false">IF((E217="c"),H217," ")</f>
        <v> </v>
      </c>
      <c r="Q217" s="17" t="str">
        <f aca="false">IF((E217="o"),H217," ")</f>
        <v> </v>
      </c>
      <c r="R217" s="17" t="str">
        <f aca="false">IF((E217="d"),H217," ")</f>
        <v> </v>
      </c>
      <c r="S217" s="17" t="str">
        <f aca="false">IF((E217="w"),H217," ")</f>
        <v> </v>
      </c>
      <c r="T217" s="17" t="str">
        <f aca="false">IF((E217="r"),H217," ")</f>
        <v> </v>
      </c>
      <c r="U217" s="17" t="str">
        <f aca="false">IF((E217="p"),H217," ")</f>
        <v> </v>
      </c>
      <c r="V217" s="17" t="str">
        <f aca="false">IF((E217="t"),H217," ")</f>
        <v> </v>
      </c>
      <c r="W217" s="17" t="str">
        <f aca="false">IF((E217="q"),H217," ")</f>
        <v> </v>
      </c>
      <c r="X217" s="17" t="str">
        <f aca="false">IF((E217="m"),H217," ")</f>
        <v> </v>
      </c>
      <c r="Y217" s="17" t="str">
        <f aca="false">IF((E217="u"),H217," ")</f>
        <v> </v>
      </c>
      <c r="Z217" s="17" t="str">
        <f aca="false">IF((E217="a"),H217," ")</f>
        <v> </v>
      </c>
      <c r="AA217" s="17" t="str">
        <f aca="false">IF((E217="g"),H217," ")</f>
        <v> </v>
      </c>
      <c r="AB217" s="17" t="str">
        <f aca="false">IF((E217="h"),H217," ")</f>
        <v> </v>
      </c>
      <c r="AC217" s="30" t="str">
        <f aca="false">IF((E217="v"),H217," ")</f>
        <v> </v>
      </c>
      <c r="AD217" s="30" t="str">
        <f aca="false">IF((E217="n"),H217," ")</f>
        <v> </v>
      </c>
      <c r="AE217" s="17" t="str">
        <f aca="false">IF((E217="f"),H217," ")</f>
        <v> </v>
      </c>
      <c r="AF217" s="17" t="str">
        <f aca="false">IF((E217="l"),H217," ")</f>
        <v> </v>
      </c>
      <c r="AG217" s="17" t="str">
        <f aca="false">IF((E217="y"),H217," ")</f>
        <v> </v>
      </c>
      <c r="AH217" s="17" t="str">
        <f aca="false">IF((E217="z"),H217," ")</f>
        <v> </v>
      </c>
      <c r="AI217" s="17" t="str">
        <f aca="false">IF((E217="fa"),H217," ")</f>
        <v> </v>
      </c>
      <c r="AJ217" s="17" t="str">
        <f aca="false">IF((E217="e"),H217," ")</f>
        <v> </v>
      </c>
    </row>
    <row r="218" customFormat="false" ht="12" hidden="false" customHeight="false" outlineLevel="0" collapsed="false">
      <c r="A218" s="28"/>
      <c r="E218" s="2" t="str">
        <f aca="false">IF((F218&lt;&gt;0),"Enter Letter"," ")</f>
        <v> </v>
      </c>
      <c r="F218" s="30"/>
      <c r="G218" s="6" t="str">
        <f aca="false">IF(F218&lt;&gt;0,F218*G$2/(100+G$2)," ")</f>
        <v> </v>
      </c>
      <c r="H218" s="6" t="str">
        <f aca="false">IF((F218&lt;&gt;0),F218-G218," ")</f>
        <v> </v>
      </c>
      <c r="I218" s="5"/>
      <c r="L218" s="7" t="str">
        <f aca="false">IF(F218&lt;&gt;0,F218-K218," ")</f>
        <v> </v>
      </c>
      <c r="M218" s="8" t="str">
        <f aca="false">IF((F218-K218)&lt;&gt;0,M$1-A218," ")</f>
        <v> </v>
      </c>
      <c r="N218" s="5"/>
      <c r="O218" s="17" t="str">
        <f aca="false">IF((E218="s"),H218," ")</f>
        <v> </v>
      </c>
      <c r="P218" s="17" t="str">
        <f aca="false">IF((E218="c"),H218," ")</f>
        <v> </v>
      </c>
      <c r="Q218" s="17" t="str">
        <f aca="false">IF((E218="o"),H218," ")</f>
        <v> </v>
      </c>
      <c r="R218" s="17" t="str">
        <f aca="false">IF((E218="d"),H218," ")</f>
        <v> </v>
      </c>
      <c r="S218" s="17" t="str">
        <f aca="false">IF((E218="w"),H218," ")</f>
        <v> </v>
      </c>
      <c r="T218" s="17" t="str">
        <f aca="false">IF((E218="r"),H218," ")</f>
        <v> </v>
      </c>
      <c r="U218" s="17" t="str">
        <f aca="false">IF((E218="p"),H218," ")</f>
        <v> </v>
      </c>
      <c r="V218" s="17" t="str">
        <f aca="false">IF((E218="t"),H218," ")</f>
        <v> </v>
      </c>
      <c r="W218" s="17" t="str">
        <f aca="false">IF((E218="q"),H218," ")</f>
        <v> </v>
      </c>
      <c r="X218" s="17" t="str">
        <f aca="false">IF((E218="m"),H218," ")</f>
        <v> </v>
      </c>
      <c r="Y218" s="17" t="str">
        <f aca="false">IF((E218="u"),H218," ")</f>
        <v> </v>
      </c>
      <c r="Z218" s="17" t="str">
        <f aca="false">IF((E218="a"),H218," ")</f>
        <v> </v>
      </c>
      <c r="AA218" s="17" t="str">
        <f aca="false">IF((E218="g"),H218," ")</f>
        <v> </v>
      </c>
      <c r="AB218" s="17" t="str">
        <f aca="false">IF((E218="h"),H218," ")</f>
        <v> </v>
      </c>
      <c r="AC218" s="30" t="str">
        <f aca="false">IF((E218="v"),H218," ")</f>
        <v> </v>
      </c>
      <c r="AD218" s="30" t="str">
        <f aca="false">IF((E218="n"),H218," ")</f>
        <v> </v>
      </c>
      <c r="AE218" s="17" t="str">
        <f aca="false">IF((E218="f"),H218," ")</f>
        <v> </v>
      </c>
      <c r="AF218" s="17" t="str">
        <f aca="false">IF((E218="l"),H218," ")</f>
        <v> </v>
      </c>
      <c r="AG218" s="17" t="str">
        <f aca="false">IF((E218="y"),H218," ")</f>
        <v> </v>
      </c>
      <c r="AH218" s="17" t="str">
        <f aca="false">IF((E218="z"),H218," ")</f>
        <v> </v>
      </c>
      <c r="AI218" s="17" t="str">
        <f aca="false">IF((E218="fa"),H218," ")</f>
        <v> </v>
      </c>
      <c r="AJ218" s="17" t="str">
        <f aca="false">IF((E218="e"),H218," ")</f>
        <v> </v>
      </c>
    </row>
    <row r="219" customFormat="false" ht="12" hidden="false" customHeight="false" outlineLevel="0" collapsed="false">
      <c r="A219" s="28"/>
      <c r="E219" s="2" t="str">
        <f aca="false">IF((F219&lt;&gt;0),"Enter Letter"," ")</f>
        <v> </v>
      </c>
      <c r="F219" s="30"/>
      <c r="G219" s="6" t="str">
        <f aca="false">IF(F219&lt;&gt;0,F219*G$2/(100+G$2)," ")</f>
        <v> </v>
      </c>
      <c r="H219" s="6" t="str">
        <f aca="false">IF((F219&lt;&gt;0),F219-G219," ")</f>
        <v> </v>
      </c>
      <c r="I219" s="5"/>
      <c r="L219" s="7" t="str">
        <f aca="false">IF(F219&lt;&gt;0,F219-K219," ")</f>
        <v> </v>
      </c>
      <c r="M219" s="8" t="str">
        <f aca="false">IF((F219-K219)&lt;&gt;0,M$1-A219," ")</f>
        <v> </v>
      </c>
      <c r="N219" s="5"/>
      <c r="O219" s="17" t="str">
        <f aca="false">IF((E219="s"),H219," ")</f>
        <v> </v>
      </c>
      <c r="P219" s="17" t="str">
        <f aca="false">IF((E219="c"),H219," ")</f>
        <v> </v>
      </c>
      <c r="Q219" s="17" t="str">
        <f aca="false">IF((E219="o"),H219," ")</f>
        <v> </v>
      </c>
      <c r="R219" s="17" t="str">
        <f aca="false">IF((E219="d"),H219," ")</f>
        <v> </v>
      </c>
      <c r="S219" s="17" t="str">
        <f aca="false">IF((E219="w"),H219," ")</f>
        <v> </v>
      </c>
      <c r="T219" s="17" t="str">
        <f aca="false">IF((E219="r"),H219," ")</f>
        <v> </v>
      </c>
      <c r="U219" s="17" t="str">
        <f aca="false">IF((E219="p"),H219," ")</f>
        <v> </v>
      </c>
      <c r="V219" s="17" t="str">
        <f aca="false">IF((E219="t"),H219," ")</f>
        <v> </v>
      </c>
      <c r="W219" s="17" t="str">
        <f aca="false">IF((E219="q"),H219," ")</f>
        <v> </v>
      </c>
      <c r="X219" s="17" t="str">
        <f aca="false">IF((E219="m"),H219," ")</f>
        <v> </v>
      </c>
      <c r="Y219" s="17" t="str">
        <f aca="false">IF((E219="u"),H219," ")</f>
        <v> </v>
      </c>
      <c r="Z219" s="17" t="str">
        <f aca="false">IF((E219="a"),H219," ")</f>
        <v> </v>
      </c>
      <c r="AA219" s="17" t="str">
        <f aca="false">IF((E219="g"),H219," ")</f>
        <v> </v>
      </c>
      <c r="AB219" s="17" t="str">
        <f aca="false">IF((E219="h"),H219," ")</f>
        <v> </v>
      </c>
      <c r="AC219" s="30" t="str">
        <f aca="false">IF((E219="v"),H219," ")</f>
        <v> </v>
      </c>
      <c r="AD219" s="30" t="str">
        <f aca="false">IF((E219="n"),H219," ")</f>
        <v> </v>
      </c>
      <c r="AE219" s="17" t="str">
        <f aca="false">IF((E219="f"),H219," ")</f>
        <v> </v>
      </c>
      <c r="AF219" s="17" t="str">
        <f aca="false">IF((E219="l"),H219," ")</f>
        <v> </v>
      </c>
      <c r="AG219" s="17" t="str">
        <f aca="false">IF((E219="y"),H219," ")</f>
        <v> </v>
      </c>
      <c r="AH219" s="17" t="str">
        <f aca="false">IF((E219="z"),H219," ")</f>
        <v> </v>
      </c>
      <c r="AI219" s="17" t="str">
        <f aca="false">IF((E219="fa"),H219," ")</f>
        <v> </v>
      </c>
      <c r="AJ219" s="17" t="str">
        <f aca="false">IF((E219="e"),H219," ")</f>
        <v> </v>
      </c>
    </row>
    <row r="220" customFormat="false" ht="12" hidden="false" customHeight="false" outlineLevel="0" collapsed="false">
      <c r="A220" s="28"/>
      <c r="E220" s="2" t="str">
        <f aca="false">IF((F220&lt;&gt;0),"Enter Letter"," ")</f>
        <v> </v>
      </c>
      <c r="F220" s="30"/>
      <c r="G220" s="6" t="str">
        <f aca="false">IF(F220&lt;&gt;0,F220*G$2/(100+G$2)," ")</f>
        <v> </v>
      </c>
      <c r="H220" s="6" t="str">
        <f aca="false">IF((F220&lt;&gt;0),F220-G220," ")</f>
        <v> </v>
      </c>
      <c r="I220" s="5"/>
      <c r="L220" s="7" t="str">
        <f aca="false">IF(F220&lt;&gt;0,F220-K220," ")</f>
        <v> </v>
      </c>
      <c r="M220" s="8" t="str">
        <f aca="false">IF((F220-K220)&lt;&gt;0,M$1-A220," ")</f>
        <v> </v>
      </c>
      <c r="N220" s="5"/>
      <c r="O220" s="17" t="str">
        <f aca="false">IF((E220="s"),H220," ")</f>
        <v> </v>
      </c>
      <c r="P220" s="17" t="str">
        <f aca="false">IF((E220="c"),H220," ")</f>
        <v> </v>
      </c>
      <c r="Q220" s="17" t="str">
        <f aca="false">IF((E220="o"),H220," ")</f>
        <v> </v>
      </c>
      <c r="R220" s="17" t="str">
        <f aca="false">IF((E220="d"),H220," ")</f>
        <v> </v>
      </c>
      <c r="S220" s="17" t="str">
        <f aca="false">IF((E220="w"),H220," ")</f>
        <v> </v>
      </c>
      <c r="T220" s="17" t="str">
        <f aca="false">IF((E220="r"),H220," ")</f>
        <v> </v>
      </c>
      <c r="U220" s="17" t="str">
        <f aca="false">IF((E220="p"),H220," ")</f>
        <v> </v>
      </c>
      <c r="V220" s="17" t="str">
        <f aca="false">IF((E220="t"),H220," ")</f>
        <v> </v>
      </c>
      <c r="W220" s="17" t="str">
        <f aca="false">IF((E220="q"),H220," ")</f>
        <v> </v>
      </c>
      <c r="X220" s="17" t="str">
        <f aca="false">IF((E220="m"),H220," ")</f>
        <v> </v>
      </c>
      <c r="Y220" s="17" t="str">
        <f aca="false">IF((E220="u"),H220," ")</f>
        <v> </v>
      </c>
      <c r="Z220" s="17" t="str">
        <f aca="false">IF((E220="a"),H220," ")</f>
        <v> </v>
      </c>
      <c r="AA220" s="17" t="str">
        <f aca="false">IF((E220="g"),H220," ")</f>
        <v> </v>
      </c>
      <c r="AB220" s="17" t="str">
        <f aca="false">IF((E220="h"),H220," ")</f>
        <v> </v>
      </c>
      <c r="AC220" s="30" t="str">
        <f aca="false">IF((E220="v"),H220," ")</f>
        <v> </v>
      </c>
      <c r="AD220" s="30" t="str">
        <f aca="false">IF((E220="n"),H220," ")</f>
        <v> </v>
      </c>
      <c r="AE220" s="17" t="str">
        <f aca="false">IF((E220="f"),H220," ")</f>
        <v> </v>
      </c>
      <c r="AF220" s="17" t="str">
        <f aca="false">IF((E220="l"),H220," ")</f>
        <v> </v>
      </c>
      <c r="AG220" s="17" t="str">
        <f aca="false">IF((E220="y"),H220," ")</f>
        <v> </v>
      </c>
      <c r="AH220" s="17" t="str">
        <f aca="false">IF((E220="z"),H220," ")</f>
        <v> </v>
      </c>
      <c r="AI220" s="17" t="str">
        <f aca="false">IF((E220="fa"),H220," ")</f>
        <v> </v>
      </c>
      <c r="AJ220" s="17" t="str">
        <f aca="false">IF((E220="e"),H220," ")</f>
        <v> </v>
      </c>
    </row>
    <row r="221" customFormat="false" ht="12" hidden="false" customHeight="false" outlineLevel="0" collapsed="false">
      <c r="A221" s="28"/>
      <c r="E221" s="2" t="str">
        <f aca="false">IF((F221&lt;&gt;0),"Enter Letter"," ")</f>
        <v> </v>
      </c>
      <c r="F221" s="30"/>
      <c r="G221" s="6" t="str">
        <f aca="false">IF(F221&lt;&gt;0,F221*G$2/(100+G$2)," ")</f>
        <v> </v>
      </c>
      <c r="H221" s="6" t="str">
        <f aca="false">IF((F221&lt;&gt;0),F221-G221," ")</f>
        <v> </v>
      </c>
      <c r="I221" s="5"/>
      <c r="L221" s="7" t="str">
        <f aca="false">IF(F221&lt;&gt;0,F221-K221," ")</f>
        <v> </v>
      </c>
      <c r="M221" s="8" t="str">
        <f aca="false">IF((F221-K221)&lt;&gt;0,M$1-A221," ")</f>
        <v> </v>
      </c>
      <c r="N221" s="5"/>
      <c r="O221" s="17" t="str">
        <f aca="false">IF((E221="s"),H221," ")</f>
        <v> </v>
      </c>
      <c r="P221" s="17" t="str">
        <f aca="false">IF((E221="c"),H221," ")</f>
        <v> </v>
      </c>
      <c r="Q221" s="17" t="str">
        <f aca="false">IF((E221="o"),H221," ")</f>
        <v> </v>
      </c>
      <c r="R221" s="17" t="str">
        <f aca="false">IF((E221="d"),H221," ")</f>
        <v> </v>
      </c>
      <c r="S221" s="17" t="str">
        <f aca="false">IF((E221="w"),H221," ")</f>
        <v> </v>
      </c>
      <c r="T221" s="17" t="str">
        <f aca="false">IF((E221="r"),H221," ")</f>
        <v> </v>
      </c>
      <c r="U221" s="17" t="str">
        <f aca="false">IF((E221="p"),H221," ")</f>
        <v> </v>
      </c>
      <c r="V221" s="17" t="str">
        <f aca="false">IF((E221="t"),H221," ")</f>
        <v> </v>
      </c>
      <c r="W221" s="17" t="str">
        <f aca="false">IF((E221="q"),H221," ")</f>
        <v> </v>
      </c>
      <c r="X221" s="17" t="str">
        <f aca="false">IF((E221="m"),H221," ")</f>
        <v> </v>
      </c>
      <c r="Y221" s="17" t="str">
        <f aca="false">IF((E221="u"),H221," ")</f>
        <v> </v>
      </c>
      <c r="Z221" s="17" t="str">
        <f aca="false">IF((E221="a"),H221," ")</f>
        <v> </v>
      </c>
      <c r="AA221" s="17" t="str">
        <f aca="false">IF((E221="g"),H221," ")</f>
        <v> </v>
      </c>
      <c r="AB221" s="17" t="str">
        <f aca="false">IF((E221="h"),H221," ")</f>
        <v> </v>
      </c>
      <c r="AC221" s="30" t="str">
        <f aca="false">IF((E221="v"),H221," ")</f>
        <v> </v>
      </c>
      <c r="AD221" s="30" t="str">
        <f aca="false">IF((E221="n"),H221," ")</f>
        <v> </v>
      </c>
      <c r="AE221" s="17" t="str">
        <f aca="false">IF((E221="f"),H221," ")</f>
        <v> </v>
      </c>
      <c r="AF221" s="17" t="str">
        <f aca="false">IF((E221="l"),H221," ")</f>
        <v> </v>
      </c>
      <c r="AG221" s="17" t="str">
        <f aca="false">IF((E221="y"),H221," ")</f>
        <v> </v>
      </c>
      <c r="AH221" s="17" t="str">
        <f aca="false">IF((E221="z"),H221," ")</f>
        <v> </v>
      </c>
      <c r="AI221" s="17" t="str">
        <f aca="false">IF((E221="fa"),H221," ")</f>
        <v> </v>
      </c>
      <c r="AJ221" s="17" t="str">
        <f aca="false">IF((E221="e"),H221," ")</f>
        <v> </v>
      </c>
    </row>
    <row r="222" customFormat="false" ht="12" hidden="false" customHeight="false" outlineLevel="0" collapsed="false">
      <c r="A222" s="28"/>
      <c r="E222" s="2" t="str">
        <f aca="false">IF((F222&lt;&gt;0),"Enter Letter"," ")</f>
        <v> </v>
      </c>
      <c r="F222" s="30"/>
      <c r="G222" s="6" t="str">
        <f aca="false">IF(F222&lt;&gt;0,F222*G$2/(100+G$2)," ")</f>
        <v> </v>
      </c>
      <c r="H222" s="6" t="str">
        <f aca="false">IF((F222&lt;&gt;0),F222-G222," ")</f>
        <v> </v>
      </c>
      <c r="I222" s="5"/>
      <c r="L222" s="7" t="str">
        <f aca="false">IF(F222&lt;&gt;0,F222-K222," ")</f>
        <v> </v>
      </c>
      <c r="M222" s="8" t="str">
        <f aca="false">IF((F222-K222)&lt;&gt;0,M$1-A222," ")</f>
        <v> </v>
      </c>
      <c r="N222" s="5"/>
      <c r="O222" s="17" t="str">
        <f aca="false">IF((E222="s"),H222," ")</f>
        <v> </v>
      </c>
      <c r="P222" s="17" t="str">
        <f aca="false">IF((E222="c"),H222," ")</f>
        <v> </v>
      </c>
      <c r="Q222" s="17" t="str">
        <f aca="false">IF((E222="o"),H222," ")</f>
        <v> </v>
      </c>
      <c r="R222" s="17" t="str">
        <f aca="false">IF((E222="d"),H222," ")</f>
        <v> </v>
      </c>
      <c r="S222" s="17" t="str">
        <f aca="false">IF((E222="w"),H222," ")</f>
        <v> </v>
      </c>
      <c r="T222" s="17" t="str">
        <f aca="false">IF((E222="r"),H222," ")</f>
        <v> </v>
      </c>
      <c r="U222" s="17" t="str">
        <f aca="false">IF((E222="p"),H222," ")</f>
        <v> </v>
      </c>
      <c r="V222" s="17" t="str">
        <f aca="false">IF((E222="t"),H222," ")</f>
        <v> </v>
      </c>
      <c r="W222" s="17" t="str">
        <f aca="false">IF((E222="q"),H222," ")</f>
        <v> </v>
      </c>
      <c r="X222" s="17" t="str">
        <f aca="false">IF((E222="m"),H222," ")</f>
        <v> </v>
      </c>
      <c r="Y222" s="17" t="str">
        <f aca="false">IF((E222="u"),H222," ")</f>
        <v> </v>
      </c>
      <c r="Z222" s="17" t="str">
        <f aca="false">IF((E222="a"),H222," ")</f>
        <v> </v>
      </c>
      <c r="AA222" s="17" t="str">
        <f aca="false">IF((E222="g"),H222," ")</f>
        <v> </v>
      </c>
      <c r="AB222" s="17" t="str">
        <f aca="false">IF((E222="h"),H222," ")</f>
        <v> </v>
      </c>
      <c r="AC222" s="30" t="str">
        <f aca="false">IF((E222="v"),H222," ")</f>
        <v> </v>
      </c>
      <c r="AD222" s="30" t="str">
        <f aca="false">IF((E222="n"),H222," ")</f>
        <v> </v>
      </c>
      <c r="AE222" s="17" t="str">
        <f aca="false">IF((E222="f"),H222," ")</f>
        <v> </v>
      </c>
      <c r="AF222" s="17" t="str">
        <f aca="false">IF((E222="l"),H222," ")</f>
        <v> </v>
      </c>
      <c r="AG222" s="17" t="str">
        <f aca="false">IF((E222="y"),H222," ")</f>
        <v> </v>
      </c>
      <c r="AH222" s="17" t="str">
        <f aca="false">IF((E222="z"),H222," ")</f>
        <v> </v>
      </c>
      <c r="AI222" s="17" t="str">
        <f aca="false">IF((E222="fa"),H222," ")</f>
        <v> </v>
      </c>
      <c r="AJ222" s="17" t="str">
        <f aca="false">IF((E222="e"),H222," ")</f>
        <v> </v>
      </c>
    </row>
    <row r="223" customFormat="false" ht="12" hidden="false" customHeight="false" outlineLevel="0" collapsed="false">
      <c r="A223" s="28"/>
      <c r="E223" s="2" t="str">
        <f aca="false">IF((F223&lt;&gt;0),"Enter Letter"," ")</f>
        <v> </v>
      </c>
      <c r="F223" s="30"/>
      <c r="G223" s="6" t="str">
        <f aca="false">IF(F223&lt;&gt;0,F223*G$2/(100+G$2)," ")</f>
        <v> </v>
      </c>
      <c r="H223" s="6" t="str">
        <f aca="false">IF((F223&lt;&gt;0),F223-G223," ")</f>
        <v> </v>
      </c>
      <c r="I223" s="5"/>
      <c r="L223" s="7" t="str">
        <f aca="false">IF(F223&lt;&gt;0,F223-K223," ")</f>
        <v> </v>
      </c>
      <c r="M223" s="8" t="str">
        <f aca="false">IF((F223-K223)&lt;&gt;0,M$1-A223," ")</f>
        <v> </v>
      </c>
      <c r="N223" s="5"/>
      <c r="O223" s="17" t="str">
        <f aca="false">IF((E223="s"),H223," ")</f>
        <v> </v>
      </c>
      <c r="P223" s="17" t="str">
        <f aca="false">IF((E223="c"),H223," ")</f>
        <v> </v>
      </c>
      <c r="Q223" s="17" t="str">
        <f aca="false">IF((E223="o"),H223," ")</f>
        <v> </v>
      </c>
      <c r="R223" s="17" t="str">
        <f aca="false">IF((E223="d"),H223," ")</f>
        <v> </v>
      </c>
      <c r="S223" s="17" t="str">
        <f aca="false">IF((E223="w"),H223," ")</f>
        <v> </v>
      </c>
      <c r="T223" s="17" t="str">
        <f aca="false">IF((E223="r"),H223," ")</f>
        <v> </v>
      </c>
      <c r="U223" s="17" t="str">
        <f aca="false">IF((E223="p"),H223," ")</f>
        <v> </v>
      </c>
      <c r="V223" s="17" t="str">
        <f aca="false">IF((E223="t"),H223," ")</f>
        <v> </v>
      </c>
      <c r="W223" s="17" t="str">
        <f aca="false">IF((E223="q"),H223," ")</f>
        <v> </v>
      </c>
      <c r="X223" s="17" t="str">
        <f aca="false">IF((E223="m"),H223," ")</f>
        <v> </v>
      </c>
      <c r="Y223" s="17" t="str">
        <f aca="false">IF((E223="u"),H223," ")</f>
        <v> </v>
      </c>
      <c r="Z223" s="17" t="str">
        <f aca="false">IF((E223="a"),H223," ")</f>
        <v> </v>
      </c>
      <c r="AA223" s="17" t="str">
        <f aca="false">IF((E223="g"),H223," ")</f>
        <v> </v>
      </c>
      <c r="AB223" s="17" t="str">
        <f aca="false">IF((E223="h"),H223," ")</f>
        <v> </v>
      </c>
      <c r="AC223" s="30" t="str">
        <f aca="false">IF((E223="v"),H223," ")</f>
        <v> </v>
      </c>
      <c r="AD223" s="30" t="str">
        <f aca="false">IF((E223="n"),H223," ")</f>
        <v> </v>
      </c>
      <c r="AE223" s="17" t="str">
        <f aca="false">IF((E223="f"),H223," ")</f>
        <v> </v>
      </c>
      <c r="AF223" s="17" t="str">
        <f aca="false">IF((E223="l"),H223," ")</f>
        <v> </v>
      </c>
      <c r="AG223" s="17" t="str">
        <f aca="false">IF((E223="y"),H223," ")</f>
        <v> </v>
      </c>
      <c r="AH223" s="17" t="str">
        <f aca="false">IF((E223="z"),H223," ")</f>
        <v> </v>
      </c>
      <c r="AI223" s="17" t="str">
        <f aca="false">IF((E223="fa"),H223," ")</f>
        <v> </v>
      </c>
      <c r="AJ223" s="17" t="str">
        <f aca="false">IF((E223="e"),H223," ")</f>
        <v> </v>
      </c>
    </row>
    <row r="224" customFormat="false" ht="12" hidden="false" customHeight="false" outlineLevel="0" collapsed="false">
      <c r="A224" s="28"/>
      <c r="E224" s="2" t="str">
        <f aca="false">IF((F224&lt;&gt;0),"Enter Letter"," ")</f>
        <v> </v>
      </c>
      <c r="F224" s="30"/>
      <c r="G224" s="6" t="str">
        <f aca="false">IF(F224&lt;&gt;0,F224*G$2/(100+G$2)," ")</f>
        <v> </v>
      </c>
      <c r="H224" s="6" t="str">
        <f aca="false">IF((F224&lt;&gt;0),F224-G224," ")</f>
        <v> </v>
      </c>
      <c r="I224" s="5"/>
      <c r="L224" s="7" t="str">
        <f aca="false">IF(F224&lt;&gt;0,F224-K224," ")</f>
        <v> </v>
      </c>
      <c r="M224" s="8" t="str">
        <f aca="false">IF((F224-K224)&lt;&gt;0,M$1-A224," ")</f>
        <v> </v>
      </c>
      <c r="N224" s="5"/>
      <c r="O224" s="17" t="str">
        <f aca="false">IF((E224="s"),H224," ")</f>
        <v> </v>
      </c>
      <c r="P224" s="17" t="str">
        <f aca="false">IF((E224="c"),H224," ")</f>
        <v> </v>
      </c>
      <c r="Q224" s="17" t="str">
        <f aca="false">IF((E224="o"),H224," ")</f>
        <v> </v>
      </c>
      <c r="R224" s="17" t="str">
        <f aca="false">IF((E224="d"),H224," ")</f>
        <v> </v>
      </c>
      <c r="S224" s="17" t="str">
        <f aca="false">IF((E224="w"),H224," ")</f>
        <v> </v>
      </c>
      <c r="T224" s="17" t="str">
        <f aca="false">IF((E224="r"),H224," ")</f>
        <v> </v>
      </c>
      <c r="U224" s="17" t="str">
        <f aca="false">IF((E224="p"),H224," ")</f>
        <v> </v>
      </c>
      <c r="V224" s="17" t="str">
        <f aca="false">IF((E224="t"),H224," ")</f>
        <v> </v>
      </c>
      <c r="W224" s="17" t="str">
        <f aca="false">IF((E224="q"),H224," ")</f>
        <v> </v>
      </c>
      <c r="X224" s="17" t="str">
        <f aca="false">IF((E224="m"),H224," ")</f>
        <v> </v>
      </c>
      <c r="Y224" s="17" t="str">
        <f aca="false">IF((E224="u"),H224," ")</f>
        <v> </v>
      </c>
      <c r="Z224" s="17" t="str">
        <f aca="false">IF((E224="a"),H224," ")</f>
        <v> </v>
      </c>
      <c r="AA224" s="17" t="str">
        <f aca="false">IF((E224="g"),H224," ")</f>
        <v> </v>
      </c>
      <c r="AB224" s="17" t="str">
        <f aca="false">IF((E224="h"),H224," ")</f>
        <v> </v>
      </c>
      <c r="AC224" s="30" t="str">
        <f aca="false">IF((E224="v"),H224," ")</f>
        <v> </v>
      </c>
      <c r="AD224" s="30" t="str">
        <f aca="false">IF((E224="n"),H224," ")</f>
        <v> </v>
      </c>
      <c r="AE224" s="17" t="str">
        <f aca="false">IF((E224="f"),H224," ")</f>
        <v> </v>
      </c>
      <c r="AF224" s="17" t="str">
        <f aca="false">IF((E224="l"),H224," ")</f>
        <v> </v>
      </c>
      <c r="AG224" s="17" t="str">
        <f aca="false">IF((E224="y"),H224," ")</f>
        <v> </v>
      </c>
      <c r="AH224" s="17" t="str">
        <f aca="false">IF((E224="z"),H224," ")</f>
        <v> </v>
      </c>
      <c r="AI224" s="17" t="str">
        <f aca="false">IF((E224="fa"),H224," ")</f>
        <v> </v>
      </c>
      <c r="AJ224" s="17" t="str">
        <f aca="false">IF((E224="e"),H224," ")</f>
        <v> </v>
      </c>
    </row>
    <row r="225" customFormat="false" ht="12" hidden="false" customHeight="false" outlineLevel="0" collapsed="false">
      <c r="A225" s="28"/>
      <c r="E225" s="2" t="str">
        <f aca="false">IF((F225&lt;&gt;0),"Enter Letter"," ")</f>
        <v> </v>
      </c>
      <c r="F225" s="30"/>
      <c r="G225" s="6" t="str">
        <f aca="false">IF(F225&lt;&gt;0,F225*G$2/(100+G$2)," ")</f>
        <v> </v>
      </c>
      <c r="H225" s="6" t="str">
        <f aca="false">IF((F225&lt;&gt;0),F225-G225," ")</f>
        <v> </v>
      </c>
      <c r="I225" s="5"/>
      <c r="L225" s="7" t="str">
        <f aca="false">IF(F225&lt;&gt;0,F225-K225," ")</f>
        <v> </v>
      </c>
      <c r="M225" s="8" t="str">
        <f aca="false">IF((F225-K225)&lt;&gt;0,M$1-A225," ")</f>
        <v> </v>
      </c>
      <c r="N225" s="5"/>
      <c r="O225" s="17" t="str">
        <f aca="false">IF((E225="s"),H225," ")</f>
        <v> </v>
      </c>
      <c r="P225" s="17" t="str">
        <f aca="false">IF((E225="c"),H225," ")</f>
        <v> </v>
      </c>
      <c r="Q225" s="17" t="str">
        <f aca="false">IF((E225="o"),H225," ")</f>
        <v> </v>
      </c>
      <c r="R225" s="17" t="str">
        <f aca="false">IF((E225="d"),H225," ")</f>
        <v> </v>
      </c>
      <c r="S225" s="17" t="str">
        <f aca="false">IF((E225="w"),H225," ")</f>
        <v> </v>
      </c>
      <c r="T225" s="17" t="str">
        <f aca="false">IF((E225="r"),H225," ")</f>
        <v> </v>
      </c>
      <c r="U225" s="17" t="str">
        <f aca="false">IF((E225="p"),H225," ")</f>
        <v> </v>
      </c>
      <c r="V225" s="17" t="str">
        <f aca="false">IF((E225="t"),H225," ")</f>
        <v> </v>
      </c>
      <c r="W225" s="17" t="str">
        <f aca="false">IF((E225="q"),H225," ")</f>
        <v> </v>
      </c>
      <c r="X225" s="17" t="str">
        <f aca="false">IF((E225="m"),H225," ")</f>
        <v> </v>
      </c>
      <c r="Y225" s="17" t="str">
        <f aca="false">IF((E225="u"),H225," ")</f>
        <v> </v>
      </c>
      <c r="Z225" s="17" t="str">
        <f aca="false">IF((E225="a"),H225," ")</f>
        <v> </v>
      </c>
      <c r="AA225" s="17" t="str">
        <f aca="false">IF((E225="g"),H225," ")</f>
        <v> </v>
      </c>
      <c r="AB225" s="17" t="str">
        <f aca="false">IF((E225="h"),H225," ")</f>
        <v> </v>
      </c>
      <c r="AC225" s="30" t="str">
        <f aca="false">IF((E225="v"),H225," ")</f>
        <v> </v>
      </c>
      <c r="AD225" s="30" t="str">
        <f aca="false">IF((E225="n"),H225," ")</f>
        <v> </v>
      </c>
      <c r="AE225" s="17" t="str">
        <f aca="false">IF((E225="f"),H225," ")</f>
        <v> </v>
      </c>
      <c r="AF225" s="17" t="str">
        <f aca="false">IF((E225="l"),H225," ")</f>
        <v> </v>
      </c>
      <c r="AG225" s="17" t="str">
        <f aca="false">IF((E225="y"),H225," ")</f>
        <v> </v>
      </c>
      <c r="AH225" s="17" t="str">
        <f aca="false">IF((E225="z"),H225," ")</f>
        <v> </v>
      </c>
      <c r="AI225" s="17" t="str">
        <f aca="false">IF((E225="fa"),H225," ")</f>
        <v> </v>
      </c>
      <c r="AJ225" s="17" t="str">
        <f aca="false">IF((E225="e"),H225," ")</f>
        <v> </v>
      </c>
    </row>
    <row r="226" customFormat="false" ht="12" hidden="false" customHeight="false" outlineLevel="0" collapsed="false">
      <c r="A226" s="28"/>
      <c r="E226" s="2" t="str">
        <f aca="false">IF((F226&lt;&gt;0),"Enter Letter"," ")</f>
        <v> </v>
      </c>
      <c r="F226" s="30"/>
      <c r="G226" s="6" t="str">
        <f aca="false">IF(F226&lt;&gt;0,F226*G$2/(100+G$2)," ")</f>
        <v> </v>
      </c>
      <c r="H226" s="6" t="str">
        <f aca="false">IF((F226&lt;&gt;0),F226-G226," ")</f>
        <v> </v>
      </c>
      <c r="I226" s="5"/>
      <c r="L226" s="7" t="str">
        <f aca="false">IF(F226&lt;&gt;0,F226-K226," ")</f>
        <v> </v>
      </c>
      <c r="M226" s="8" t="str">
        <f aca="false">IF((F226-K226)&lt;&gt;0,M$1-A226," ")</f>
        <v> </v>
      </c>
      <c r="N226" s="5"/>
      <c r="O226" s="17" t="str">
        <f aca="false">IF((E226="s"),H226," ")</f>
        <v> </v>
      </c>
      <c r="P226" s="17" t="str">
        <f aca="false">IF((E226="c"),H226," ")</f>
        <v> </v>
      </c>
      <c r="Q226" s="17" t="str">
        <f aca="false">IF((E226="o"),H226," ")</f>
        <v> </v>
      </c>
      <c r="R226" s="17" t="str">
        <f aca="false">IF((E226="d"),H226," ")</f>
        <v> </v>
      </c>
      <c r="S226" s="17" t="str">
        <f aca="false">IF((E226="w"),H226," ")</f>
        <v> </v>
      </c>
      <c r="T226" s="17" t="str">
        <f aca="false">IF((E226="r"),H226," ")</f>
        <v> </v>
      </c>
      <c r="U226" s="17" t="str">
        <f aca="false">IF((E226="p"),H226," ")</f>
        <v> </v>
      </c>
      <c r="V226" s="17" t="str">
        <f aca="false">IF((E226="t"),H226," ")</f>
        <v> </v>
      </c>
      <c r="W226" s="17" t="str">
        <f aca="false">IF((E226="q"),H226," ")</f>
        <v> </v>
      </c>
      <c r="X226" s="17" t="str">
        <f aca="false">IF((E226="m"),H226," ")</f>
        <v> </v>
      </c>
      <c r="Y226" s="17" t="str">
        <f aca="false">IF((E226="u"),H226," ")</f>
        <v> </v>
      </c>
      <c r="Z226" s="17" t="str">
        <f aca="false">IF((E226="a"),H226," ")</f>
        <v> </v>
      </c>
      <c r="AA226" s="17" t="str">
        <f aca="false">IF((E226="g"),H226," ")</f>
        <v> </v>
      </c>
      <c r="AB226" s="17" t="str">
        <f aca="false">IF((E226="h"),H226," ")</f>
        <v> </v>
      </c>
      <c r="AC226" s="30" t="str">
        <f aca="false">IF((E226="v"),H226," ")</f>
        <v> </v>
      </c>
      <c r="AD226" s="30" t="str">
        <f aca="false">IF((E226="n"),H226," ")</f>
        <v> </v>
      </c>
      <c r="AE226" s="17" t="str">
        <f aca="false">IF((E226="f"),H226," ")</f>
        <v> </v>
      </c>
      <c r="AF226" s="17" t="str">
        <f aca="false">IF((E226="l"),H226," ")</f>
        <v> </v>
      </c>
      <c r="AG226" s="17" t="str">
        <f aca="false">IF((E226="y"),H226," ")</f>
        <v> </v>
      </c>
      <c r="AH226" s="17" t="str">
        <f aca="false">IF((E226="z"),H226," ")</f>
        <v> </v>
      </c>
      <c r="AI226" s="17" t="str">
        <f aca="false">IF((E226="fa"),H226," ")</f>
        <v> </v>
      </c>
      <c r="AJ226" s="17" t="str">
        <f aca="false">IF((E226="e"),H226," ")</f>
        <v> </v>
      </c>
    </row>
    <row r="227" customFormat="false" ht="12" hidden="false" customHeight="false" outlineLevel="0" collapsed="false">
      <c r="A227" s="28"/>
      <c r="E227" s="2" t="str">
        <f aca="false">IF((F227&lt;&gt;0),"Enter Letter"," ")</f>
        <v> </v>
      </c>
      <c r="F227" s="30"/>
      <c r="G227" s="6" t="str">
        <f aca="false">IF(F227&lt;&gt;0,F227*G$2/(100+G$2)," ")</f>
        <v> </v>
      </c>
      <c r="H227" s="6" t="str">
        <f aca="false">IF((F227&lt;&gt;0),F227-G227," ")</f>
        <v> </v>
      </c>
      <c r="I227" s="5"/>
      <c r="L227" s="7" t="str">
        <f aca="false">IF(F227&lt;&gt;0,F227-K227," ")</f>
        <v> </v>
      </c>
      <c r="M227" s="8" t="str">
        <f aca="false">IF((F227-K227)&lt;&gt;0,M$1-A227," ")</f>
        <v> </v>
      </c>
      <c r="N227" s="5"/>
      <c r="O227" s="17" t="str">
        <f aca="false">IF((E227="s"),H227," ")</f>
        <v> </v>
      </c>
      <c r="P227" s="17" t="str">
        <f aca="false">IF((E227="c"),H227," ")</f>
        <v> </v>
      </c>
      <c r="Q227" s="17" t="str">
        <f aca="false">IF((E227="o"),H227," ")</f>
        <v> </v>
      </c>
      <c r="R227" s="17" t="str">
        <f aca="false">IF((E227="d"),H227," ")</f>
        <v> </v>
      </c>
      <c r="S227" s="17" t="str">
        <f aca="false">IF((E227="w"),H227," ")</f>
        <v> </v>
      </c>
      <c r="T227" s="17" t="str">
        <f aca="false">IF((E227="r"),H227," ")</f>
        <v> </v>
      </c>
      <c r="U227" s="17" t="str">
        <f aca="false">IF((E227="p"),H227," ")</f>
        <v> </v>
      </c>
      <c r="V227" s="17" t="str">
        <f aca="false">IF((E227="t"),H227," ")</f>
        <v> </v>
      </c>
      <c r="W227" s="17" t="str">
        <f aca="false">IF((E227="q"),H227," ")</f>
        <v> </v>
      </c>
      <c r="X227" s="17" t="str">
        <f aca="false">IF((E227="m"),H227," ")</f>
        <v> </v>
      </c>
      <c r="Y227" s="17" t="str">
        <f aca="false">IF((E227="u"),H227," ")</f>
        <v> </v>
      </c>
      <c r="Z227" s="17" t="str">
        <f aca="false">IF((E227="a"),H227," ")</f>
        <v> </v>
      </c>
      <c r="AA227" s="17" t="str">
        <f aca="false">IF((E227="g"),H227," ")</f>
        <v> </v>
      </c>
      <c r="AB227" s="17" t="str">
        <f aca="false">IF((E227="h"),H227," ")</f>
        <v> </v>
      </c>
      <c r="AC227" s="30" t="str">
        <f aca="false">IF((E227="v"),H227," ")</f>
        <v> </v>
      </c>
      <c r="AD227" s="30" t="str">
        <f aca="false">IF((E227="n"),H227," ")</f>
        <v> </v>
      </c>
      <c r="AE227" s="17" t="str">
        <f aca="false">IF((E227="f"),H227," ")</f>
        <v> </v>
      </c>
      <c r="AF227" s="17" t="str">
        <f aca="false">IF((E227="l"),H227," ")</f>
        <v> </v>
      </c>
      <c r="AG227" s="17" t="str">
        <f aca="false">IF((E227="y"),H227," ")</f>
        <v> </v>
      </c>
      <c r="AH227" s="17" t="str">
        <f aca="false">IF((E227="z"),H227," ")</f>
        <v> </v>
      </c>
      <c r="AI227" s="17" t="str">
        <f aca="false">IF((E227="fa"),H227," ")</f>
        <v> </v>
      </c>
      <c r="AJ227" s="17" t="str">
        <f aca="false">IF((E227="e"),H227," ")</f>
        <v> </v>
      </c>
    </row>
    <row r="228" customFormat="false" ht="12" hidden="false" customHeight="false" outlineLevel="0" collapsed="false">
      <c r="A228" s="28"/>
      <c r="E228" s="2" t="str">
        <f aca="false">IF((F228&lt;&gt;0),"Enter Letter"," ")</f>
        <v> </v>
      </c>
      <c r="F228" s="30"/>
      <c r="G228" s="6" t="str">
        <f aca="false">IF(F228&lt;&gt;0,F228*G$2/(100+G$2)," ")</f>
        <v> </v>
      </c>
      <c r="H228" s="6" t="str">
        <f aca="false">IF((F228&lt;&gt;0),F228-G228," ")</f>
        <v> </v>
      </c>
      <c r="I228" s="5"/>
      <c r="L228" s="7" t="str">
        <f aca="false">IF(F228&lt;&gt;0,F228-K228," ")</f>
        <v> </v>
      </c>
      <c r="M228" s="8" t="str">
        <f aca="false">IF((F228-K228)&lt;&gt;0,M$1-A228," ")</f>
        <v> </v>
      </c>
      <c r="N228" s="5"/>
      <c r="O228" s="17" t="str">
        <f aca="false">IF((E228="s"),H228," ")</f>
        <v> </v>
      </c>
      <c r="P228" s="17" t="str">
        <f aca="false">IF((E228="c"),H228," ")</f>
        <v> </v>
      </c>
      <c r="Q228" s="17" t="str">
        <f aca="false">IF((E228="o"),H228," ")</f>
        <v> </v>
      </c>
      <c r="R228" s="17" t="str">
        <f aca="false">IF((E228="d"),H228," ")</f>
        <v> </v>
      </c>
      <c r="S228" s="17" t="str">
        <f aca="false">IF((E228="w"),H228," ")</f>
        <v> </v>
      </c>
      <c r="T228" s="17" t="str">
        <f aca="false">IF((E228="r"),H228," ")</f>
        <v> </v>
      </c>
      <c r="U228" s="17" t="str">
        <f aca="false">IF((E228="p"),H228," ")</f>
        <v> </v>
      </c>
      <c r="V228" s="17" t="str">
        <f aca="false">IF((E228="t"),H228," ")</f>
        <v> </v>
      </c>
      <c r="W228" s="17" t="str">
        <f aca="false">IF((E228="q"),H228," ")</f>
        <v> </v>
      </c>
      <c r="X228" s="17" t="str">
        <f aca="false">IF((E228="m"),H228," ")</f>
        <v> </v>
      </c>
      <c r="Y228" s="17" t="str">
        <f aca="false">IF((E228="u"),H228," ")</f>
        <v> </v>
      </c>
      <c r="Z228" s="17" t="str">
        <f aca="false">IF((E228="a"),H228," ")</f>
        <v> </v>
      </c>
      <c r="AA228" s="17" t="str">
        <f aca="false">IF((E228="g"),H228," ")</f>
        <v> </v>
      </c>
      <c r="AB228" s="17" t="str">
        <f aca="false">IF((E228="h"),H228," ")</f>
        <v> </v>
      </c>
      <c r="AC228" s="30" t="str">
        <f aca="false">IF((E228="v"),H228," ")</f>
        <v> </v>
      </c>
      <c r="AD228" s="30" t="str">
        <f aca="false">IF((E228="n"),H228," ")</f>
        <v> </v>
      </c>
      <c r="AE228" s="17" t="str">
        <f aca="false">IF((E228="f"),H228," ")</f>
        <v> </v>
      </c>
      <c r="AF228" s="17" t="str">
        <f aca="false">IF((E228="l"),H228," ")</f>
        <v> </v>
      </c>
      <c r="AG228" s="17" t="str">
        <f aca="false">IF((E228="y"),H228," ")</f>
        <v> </v>
      </c>
      <c r="AH228" s="17" t="str">
        <f aca="false">IF((E228="z"),H228," ")</f>
        <v> </v>
      </c>
      <c r="AI228" s="17" t="str">
        <f aca="false">IF((E228="fa"),H228," ")</f>
        <v> </v>
      </c>
      <c r="AJ228" s="17" t="str">
        <f aca="false">IF((E228="e"),H228," ")</f>
        <v> </v>
      </c>
    </row>
    <row r="229" customFormat="false" ht="12" hidden="false" customHeight="false" outlineLevel="0" collapsed="false">
      <c r="A229" s="28"/>
      <c r="E229" s="2" t="str">
        <f aca="false">IF((F229&lt;&gt;0),"Enter Letter"," ")</f>
        <v> </v>
      </c>
      <c r="F229" s="30"/>
      <c r="G229" s="6" t="str">
        <f aca="false">IF(F229&lt;&gt;0,F229*G$2/(100+G$2)," ")</f>
        <v> </v>
      </c>
      <c r="H229" s="6" t="str">
        <f aca="false">IF((F229&lt;&gt;0),F229-G229," ")</f>
        <v> </v>
      </c>
      <c r="I229" s="5"/>
      <c r="L229" s="7" t="str">
        <f aca="false">IF(F229&lt;&gt;0,F229-K229," ")</f>
        <v> </v>
      </c>
      <c r="M229" s="8" t="str">
        <f aca="false">IF((F229-K229)&lt;&gt;0,M$1-A229," ")</f>
        <v> </v>
      </c>
      <c r="N229" s="5"/>
      <c r="O229" s="17" t="str">
        <f aca="false">IF((E229="s"),H229," ")</f>
        <v> </v>
      </c>
      <c r="P229" s="17" t="str">
        <f aca="false">IF((E229="c"),H229," ")</f>
        <v> </v>
      </c>
      <c r="Q229" s="17" t="str">
        <f aca="false">IF((E229="o"),H229," ")</f>
        <v> </v>
      </c>
      <c r="R229" s="17" t="str">
        <f aca="false">IF((E229="d"),H229," ")</f>
        <v> </v>
      </c>
      <c r="S229" s="17" t="str">
        <f aca="false">IF((E229="w"),H229," ")</f>
        <v> </v>
      </c>
      <c r="T229" s="17" t="str">
        <f aca="false">IF((E229="r"),H229," ")</f>
        <v> </v>
      </c>
      <c r="U229" s="17" t="str">
        <f aca="false">IF((E229="p"),H229," ")</f>
        <v> </v>
      </c>
      <c r="V229" s="17" t="str">
        <f aca="false">IF((E229="t"),H229," ")</f>
        <v> </v>
      </c>
      <c r="W229" s="17" t="str">
        <f aca="false">IF((E229="q"),H229," ")</f>
        <v> </v>
      </c>
      <c r="X229" s="17" t="str">
        <f aca="false">IF((E229="m"),H229," ")</f>
        <v> </v>
      </c>
      <c r="Y229" s="17" t="str">
        <f aca="false">IF((E229="u"),H229," ")</f>
        <v> </v>
      </c>
      <c r="Z229" s="17" t="str">
        <f aca="false">IF((E229="a"),H229," ")</f>
        <v> </v>
      </c>
      <c r="AA229" s="17" t="str">
        <f aca="false">IF((E229="g"),H229," ")</f>
        <v> </v>
      </c>
      <c r="AB229" s="17" t="str">
        <f aca="false">IF((E229="h"),H229," ")</f>
        <v> </v>
      </c>
      <c r="AC229" s="30" t="str">
        <f aca="false">IF((E229="v"),H229," ")</f>
        <v> </v>
      </c>
      <c r="AD229" s="30" t="str">
        <f aca="false">IF((E229="n"),H229," ")</f>
        <v> </v>
      </c>
      <c r="AE229" s="17" t="str">
        <f aca="false">IF((E229="f"),H229," ")</f>
        <v> </v>
      </c>
      <c r="AF229" s="17" t="str">
        <f aca="false">IF((E229="l"),H229," ")</f>
        <v> </v>
      </c>
      <c r="AG229" s="17" t="str">
        <f aca="false">IF((E229="y"),H229," ")</f>
        <v> </v>
      </c>
      <c r="AH229" s="17" t="str">
        <f aca="false">IF((E229="z"),H229," ")</f>
        <v> </v>
      </c>
      <c r="AI229" s="17" t="str">
        <f aca="false">IF((E229="fa"),H229," ")</f>
        <v> </v>
      </c>
      <c r="AJ229" s="17" t="str">
        <f aca="false">IF((E229="e"),H229," ")</f>
        <v> </v>
      </c>
    </row>
    <row r="230" customFormat="false" ht="12" hidden="false" customHeight="false" outlineLevel="0" collapsed="false">
      <c r="A230" s="28"/>
      <c r="E230" s="2" t="str">
        <f aca="false">IF((F230&lt;&gt;0),"Enter Letter"," ")</f>
        <v> </v>
      </c>
      <c r="F230" s="30"/>
      <c r="G230" s="6" t="str">
        <f aca="false">IF(F230&lt;&gt;0,F230*G$2/(100+G$2)," ")</f>
        <v> </v>
      </c>
      <c r="H230" s="6" t="str">
        <f aca="false">IF((F230&lt;&gt;0),F230-G230," ")</f>
        <v> </v>
      </c>
      <c r="I230" s="5"/>
      <c r="L230" s="7" t="str">
        <f aca="false">IF(F230&lt;&gt;0,F230-K230," ")</f>
        <v> </v>
      </c>
      <c r="M230" s="8" t="str">
        <f aca="false">IF((F230-K230)&lt;&gt;0,M$1-A230," ")</f>
        <v> </v>
      </c>
      <c r="N230" s="5"/>
      <c r="O230" s="17" t="str">
        <f aca="false">IF((E230="s"),H230," ")</f>
        <v> </v>
      </c>
      <c r="P230" s="17" t="str">
        <f aca="false">IF((E230="c"),H230," ")</f>
        <v> </v>
      </c>
      <c r="Q230" s="17" t="str">
        <f aca="false">IF((E230="o"),H230," ")</f>
        <v> </v>
      </c>
      <c r="R230" s="17" t="str">
        <f aca="false">IF((E230="d"),H230," ")</f>
        <v> </v>
      </c>
      <c r="S230" s="17" t="str">
        <f aca="false">IF((E230="w"),H230," ")</f>
        <v> </v>
      </c>
      <c r="T230" s="17" t="str">
        <f aca="false">IF((E230="r"),H230," ")</f>
        <v> </v>
      </c>
      <c r="U230" s="17" t="str">
        <f aca="false">IF((E230="p"),H230," ")</f>
        <v> </v>
      </c>
      <c r="V230" s="17" t="str">
        <f aca="false">IF((E230="t"),H230," ")</f>
        <v> </v>
      </c>
      <c r="W230" s="17" t="str">
        <f aca="false">IF((E230="q"),H230," ")</f>
        <v> </v>
      </c>
      <c r="X230" s="17" t="str">
        <f aca="false">IF((E230="m"),H230," ")</f>
        <v> </v>
      </c>
      <c r="Y230" s="17" t="str">
        <f aca="false">IF((E230="u"),H230," ")</f>
        <v> </v>
      </c>
      <c r="Z230" s="17" t="str">
        <f aca="false">IF((E230="a"),H230," ")</f>
        <v> </v>
      </c>
      <c r="AA230" s="17" t="str">
        <f aca="false">IF((E230="g"),H230," ")</f>
        <v> </v>
      </c>
      <c r="AB230" s="17" t="str">
        <f aca="false">IF((E230="h"),H230," ")</f>
        <v> </v>
      </c>
      <c r="AC230" s="30" t="str">
        <f aca="false">IF((E230="v"),H230," ")</f>
        <v> </v>
      </c>
      <c r="AD230" s="30" t="str">
        <f aca="false">IF((E230="n"),H230," ")</f>
        <v> </v>
      </c>
      <c r="AE230" s="17" t="str">
        <f aca="false">IF((E230="f"),H230," ")</f>
        <v> </v>
      </c>
      <c r="AF230" s="17" t="str">
        <f aca="false">IF((E230="l"),H230," ")</f>
        <v> </v>
      </c>
      <c r="AG230" s="17" t="str">
        <f aca="false">IF((E230="y"),H230," ")</f>
        <v> </v>
      </c>
      <c r="AH230" s="17" t="str">
        <f aca="false">IF((E230="z"),H230," ")</f>
        <v> </v>
      </c>
      <c r="AI230" s="17" t="str">
        <f aca="false">IF((E230="fa"),H230," ")</f>
        <v> </v>
      </c>
      <c r="AJ230" s="17" t="str">
        <f aca="false">IF((E230="e"),H230," ")</f>
        <v> </v>
      </c>
    </row>
    <row r="231" customFormat="false" ht="12" hidden="false" customHeight="false" outlineLevel="0" collapsed="false">
      <c r="A231" s="28"/>
      <c r="E231" s="2" t="str">
        <f aca="false">IF((F231&lt;&gt;0),"Enter Letter"," ")</f>
        <v> </v>
      </c>
      <c r="F231" s="30"/>
      <c r="G231" s="6" t="str">
        <f aca="false">IF(F231&lt;&gt;0,F231*G$2/(100+G$2)," ")</f>
        <v> </v>
      </c>
      <c r="H231" s="6" t="str">
        <f aca="false">IF((F231&lt;&gt;0),F231-G231," ")</f>
        <v> </v>
      </c>
      <c r="I231" s="5"/>
      <c r="L231" s="7" t="str">
        <f aca="false">IF(F231&lt;&gt;0,F231-K231," ")</f>
        <v> </v>
      </c>
      <c r="M231" s="8" t="str">
        <f aca="false">IF((F231-K231)&lt;&gt;0,M$1-A231," ")</f>
        <v> </v>
      </c>
      <c r="N231" s="5"/>
      <c r="O231" s="17" t="str">
        <f aca="false">IF((E231="s"),H231," ")</f>
        <v> </v>
      </c>
      <c r="P231" s="17" t="str">
        <f aca="false">IF((E231="c"),H231," ")</f>
        <v> </v>
      </c>
      <c r="Q231" s="17" t="str">
        <f aca="false">IF((E231="o"),H231," ")</f>
        <v> </v>
      </c>
      <c r="R231" s="17" t="str">
        <f aca="false">IF((E231="d"),H231," ")</f>
        <v> </v>
      </c>
      <c r="S231" s="17" t="str">
        <f aca="false">IF((E231="w"),H231," ")</f>
        <v> </v>
      </c>
      <c r="T231" s="17" t="str">
        <f aca="false">IF((E231="r"),H231," ")</f>
        <v> </v>
      </c>
      <c r="U231" s="17" t="str">
        <f aca="false">IF((E231="p"),H231," ")</f>
        <v> </v>
      </c>
      <c r="V231" s="17" t="str">
        <f aca="false">IF((E231="t"),H231," ")</f>
        <v> </v>
      </c>
      <c r="W231" s="17" t="str">
        <f aca="false">IF((E231="q"),H231," ")</f>
        <v> </v>
      </c>
      <c r="X231" s="17" t="str">
        <f aca="false">IF((E231="m"),H231," ")</f>
        <v> </v>
      </c>
      <c r="Y231" s="17" t="str">
        <f aca="false">IF((E231="u"),H231," ")</f>
        <v> </v>
      </c>
      <c r="Z231" s="17" t="str">
        <f aca="false">IF((E231="a"),H231," ")</f>
        <v> </v>
      </c>
      <c r="AA231" s="17" t="str">
        <f aca="false">IF((E231="g"),H231," ")</f>
        <v> </v>
      </c>
      <c r="AB231" s="17" t="str">
        <f aca="false">IF((E231="h"),H231," ")</f>
        <v> </v>
      </c>
      <c r="AC231" s="30" t="str">
        <f aca="false">IF((E231="v"),H231," ")</f>
        <v> </v>
      </c>
      <c r="AD231" s="30" t="str">
        <f aca="false">IF((E231="n"),H231," ")</f>
        <v> </v>
      </c>
      <c r="AE231" s="17" t="str">
        <f aca="false">IF((E231="f"),H231," ")</f>
        <v> </v>
      </c>
      <c r="AF231" s="17" t="str">
        <f aca="false">IF((E231="l"),H231," ")</f>
        <v> </v>
      </c>
      <c r="AG231" s="17" t="str">
        <f aca="false">IF((E231="y"),H231," ")</f>
        <v> </v>
      </c>
      <c r="AH231" s="17" t="str">
        <f aca="false">IF((E231="z"),H231," ")</f>
        <v> </v>
      </c>
      <c r="AI231" s="17" t="str">
        <f aca="false">IF((E231="fa"),H231," ")</f>
        <v> </v>
      </c>
      <c r="AJ231" s="17" t="str">
        <f aca="false">IF((E231="e"),H231," ")</f>
        <v> </v>
      </c>
    </row>
    <row r="232" customFormat="false" ht="12" hidden="false" customHeight="false" outlineLevel="0" collapsed="false">
      <c r="A232" s="28"/>
      <c r="E232" s="2" t="str">
        <f aca="false">IF((F232&lt;&gt;0),"Enter Letter"," ")</f>
        <v> </v>
      </c>
      <c r="F232" s="30"/>
      <c r="G232" s="6" t="str">
        <f aca="false">IF(F232&lt;&gt;0,F232*G$2/(100+G$2)," ")</f>
        <v> </v>
      </c>
      <c r="H232" s="6" t="str">
        <f aca="false">IF((F232&lt;&gt;0),F232-G232," ")</f>
        <v> </v>
      </c>
      <c r="I232" s="5"/>
      <c r="L232" s="7" t="str">
        <f aca="false">IF(F232&lt;&gt;0,F232-K232," ")</f>
        <v> </v>
      </c>
      <c r="M232" s="8" t="str">
        <f aca="false">IF((F232-K232)&lt;&gt;0,M$1-A232," ")</f>
        <v> </v>
      </c>
      <c r="N232" s="5"/>
      <c r="O232" s="17" t="str">
        <f aca="false">IF((E232="s"),H232," ")</f>
        <v> </v>
      </c>
      <c r="P232" s="17" t="str">
        <f aca="false">IF((E232="c"),H232," ")</f>
        <v> </v>
      </c>
      <c r="Q232" s="17" t="str">
        <f aca="false">IF((E232="o"),H232," ")</f>
        <v> </v>
      </c>
      <c r="R232" s="17" t="str">
        <f aca="false">IF((E232="d"),H232," ")</f>
        <v> </v>
      </c>
      <c r="S232" s="17" t="str">
        <f aca="false">IF((E232="w"),H232," ")</f>
        <v> </v>
      </c>
      <c r="T232" s="17" t="str">
        <f aca="false">IF((E232="r"),H232," ")</f>
        <v> </v>
      </c>
      <c r="U232" s="17" t="str">
        <f aca="false">IF((E232="p"),H232," ")</f>
        <v> </v>
      </c>
      <c r="V232" s="17" t="str">
        <f aca="false">IF((E232="t"),H232," ")</f>
        <v> </v>
      </c>
      <c r="W232" s="17" t="str">
        <f aca="false">IF((E232="q"),H232," ")</f>
        <v> </v>
      </c>
      <c r="X232" s="17" t="str">
        <f aca="false">IF((E232="m"),H232," ")</f>
        <v> </v>
      </c>
      <c r="Y232" s="17" t="str">
        <f aca="false">IF((E232="u"),H232," ")</f>
        <v> </v>
      </c>
      <c r="Z232" s="17" t="str">
        <f aca="false">IF((E232="a"),H232," ")</f>
        <v> </v>
      </c>
      <c r="AA232" s="17" t="str">
        <f aca="false">IF((E232="g"),H232," ")</f>
        <v> </v>
      </c>
      <c r="AB232" s="17" t="str">
        <f aca="false">IF((E232="h"),H232," ")</f>
        <v> </v>
      </c>
      <c r="AC232" s="30" t="str">
        <f aca="false">IF((E232="v"),H232," ")</f>
        <v> </v>
      </c>
      <c r="AD232" s="30" t="str">
        <f aca="false">IF((E232="n"),H232," ")</f>
        <v> </v>
      </c>
      <c r="AE232" s="17" t="str">
        <f aca="false">IF((E232="f"),H232," ")</f>
        <v> </v>
      </c>
      <c r="AF232" s="17" t="str">
        <f aca="false">IF((E232="l"),H232," ")</f>
        <v> </v>
      </c>
      <c r="AG232" s="17" t="str">
        <f aca="false">IF((E232="y"),H232," ")</f>
        <v> </v>
      </c>
      <c r="AH232" s="17" t="str">
        <f aca="false">IF((E232="z"),H232," ")</f>
        <v> </v>
      </c>
      <c r="AI232" s="17" t="str">
        <f aca="false">IF((E232="fa"),H232," ")</f>
        <v> </v>
      </c>
      <c r="AJ232" s="17" t="str">
        <f aca="false">IF((E232="e"),H232," ")</f>
        <v> </v>
      </c>
    </row>
    <row r="233" customFormat="false" ht="12" hidden="false" customHeight="false" outlineLevel="0" collapsed="false">
      <c r="A233" s="28"/>
      <c r="E233" s="2" t="str">
        <f aca="false">IF((F233&lt;&gt;0),"Enter Letter"," ")</f>
        <v> </v>
      </c>
      <c r="F233" s="30"/>
      <c r="G233" s="6" t="str">
        <f aca="false">IF(F233&lt;&gt;0,F233*G$2/(100+G$2)," ")</f>
        <v> </v>
      </c>
      <c r="H233" s="6" t="str">
        <f aca="false">IF((F233&lt;&gt;0),F233-G233," ")</f>
        <v> </v>
      </c>
      <c r="I233" s="5"/>
      <c r="L233" s="7" t="str">
        <f aca="false">IF(F233&lt;&gt;0,F233-K233," ")</f>
        <v> </v>
      </c>
      <c r="M233" s="8" t="str">
        <f aca="false">IF((F233-K233)&lt;&gt;0,M$1-A233," ")</f>
        <v> </v>
      </c>
      <c r="N233" s="5"/>
      <c r="O233" s="17" t="str">
        <f aca="false">IF((E233="s"),H233," ")</f>
        <v> </v>
      </c>
      <c r="P233" s="17" t="str">
        <f aca="false">IF((E233="c"),H233," ")</f>
        <v> </v>
      </c>
      <c r="Q233" s="17" t="str">
        <f aca="false">IF((E233="o"),H233," ")</f>
        <v> </v>
      </c>
      <c r="R233" s="17" t="str">
        <f aca="false">IF((E233="d"),H233," ")</f>
        <v> </v>
      </c>
      <c r="S233" s="17" t="str">
        <f aca="false">IF((E233="w"),H233," ")</f>
        <v> </v>
      </c>
      <c r="T233" s="17" t="str">
        <f aca="false">IF((E233="r"),H233," ")</f>
        <v> </v>
      </c>
      <c r="U233" s="17" t="str">
        <f aca="false">IF((E233="p"),H233," ")</f>
        <v> </v>
      </c>
      <c r="V233" s="17" t="str">
        <f aca="false">IF((E233="t"),H233," ")</f>
        <v> </v>
      </c>
      <c r="W233" s="17" t="str">
        <f aca="false">IF((E233="q"),H233," ")</f>
        <v> </v>
      </c>
      <c r="X233" s="17" t="str">
        <f aca="false">IF((E233="m"),H233," ")</f>
        <v> </v>
      </c>
      <c r="Y233" s="17" t="str">
        <f aca="false">IF((E233="u"),H233," ")</f>
        <v> </v>
      </c>
      <c r="Z233" s="17" t="str">
        <f aca="false">IF((E233="a"),H233," ")</f>
        <v> </v>
      </c>
      <c r="AA233" s="17" t="str">
        <f aca="false">IF((E233="g"),H233," ")</f>
        <v> </v>
      </c>
      <c r="AB233" s="17" t="str">
        <f aca="false">IF((E233="h"),H233," ")</f>
        <v> </v>
      </c>
      <c r="AC233" s="30" t="str">
        <f aca="false">IF((E233="v"),H233," ")</f>
        <v> </v>
      </c>
      <c r="AD233" s="30" t="str">
        <f aca="false">IF((E233="n"),H233," ")</f>
        <v> </v>
      </c>
      <c r="AE233" s="17" t="str">
        <f aca="false">IF((E233="f"),H233," ")</f>
        <v> </v>
      </c>
      <c r="AF233" s="17" t="str">
        <f aca="false">IF((E233="l"),H233," ")</f>
        <v> </v>
      </c>
      <c r="AG233" s="17" t="str">
        <f aca="false">IF((E233="y"),H233," ")</f>
        <v> </v>
      </c>
      <c r="AH233" s="17" t="str">
        <f aca="false">IF((E233="z"),H233," ")</f>
        <v> </v>
      </c>
      <c r="AI233" s="17" t="str">
        <f aca="false">IF((E233="fa"),H233," ")</f>
        <v> </v>
      </c>
      <c r="AJ233" s="17" t="str">
        <f aca="false">IF((E233="e"),H233," ")</f>
        <v> </v>
      </c>
    </row>
    <row r="234" customFormat="false" ht="12" hidden="false" customHeight="false" outlineLevel="0" collapsed="false">
      <c r="A234" s="28"/>
      <c r="E234" s="2" t="str">
        <f aca="false">IF((F234&lt;&gt;0),"Enter Letter"," ")</f>
        <v> </v>
      </c>
      <c r="F234" s="30"/>
      <c r="G234" s="6" t="str">
        <f aca="false">IF(F234&lt;&gt;0,F234*G$2/(100+G$2)," ")</f>
        <v> </v>
      </c>
      <c r="H234" s="6" t="str">
        <f aca="false">IF((F234&lt;&gt;0),F234-G234," ")</f>
        <v> </v>
      </c>
      <c r="I234" s="5"/>
      <c r="L234" s="7" t="str">
        <f aca="false">IF(F234&lt;&gt;0,F234-K234," ")</f>
        <v> </v>
      </c>
      <c r="M234" s="8" t="str">
        <f aca="false">IF((F234-K234)&lt;&gt;0,M$1-A234," ")</f>
        <v> </v>
      </c>
      <c r="N234" s="5"/>
      <c r="O234" s="17" t="str">
        <f aca="false">IF((E234="s"),H234," ")</f>
        <v> </v>
      </c>
      <c r="P234" s="17" t="str">
        <f aca="false">IF((E234="c"),H234," ")</f>
        <v> </v>
      </c>
      <c r="Q234" s="17" t="str">
        <f aca="false">IF((E234="o"),H234," ")</f>
        <v> </v>
      </c>
      <c r="R234" s="17" t="str">
        <f aca="false">IF((E234="d"),H234," ")</f>
        <v> </v>
      </c>
      <c r="S234" s="17" t="str">
        <f aca="false">IF((E234="w"),H234," ")</f>
        <v> </v>
      </c>
      <c r="T234" s="17" t="str">
        <f aca="false">IF((E234="r"),H234," ")</f>
        <v> </v>
      </c>
      <c r="U234" s="17" t="str">
        <f aca="false">IF((E234="p"),H234," ")</f>
        <v> </v>
      </c>
      <c r="V234" s="17" t="str">
        <f aca="false">IF((E234="t"),H234," ")</f>
        <v> </v>
      </c>
      <c r="W234" s="17" t="str">
        <f aca="false">IF((E234="q"),H234," ")</f>
        <v> </v>
      </c>
      <c r="X234" s="17" t="str">
        <f aca="false">IF((E234="m"),H234," ")</f>
        <v> </v>
      </c>
      <c r="Y234" s="17" t="str">
        <f aca="false">IF((E234="u"),H234," ")</f>
        <v> </v>
      </c>
      <c r="Z234" s="17" t="str">
        <f aca="false">IF((E234="a"),H234," ")</f>
        <v> </v>
      </c>
      <c r="AA234" s="17" t="str">
        <f aca="false">IF((E234="g"),H234," ")</f>
        <v> </v>
      </c>
      <c r="AB234" s="17" t="str">
        <f aca="false">IF((E234="h"),H234," ")</f>
        <v> </v>
      </c>
      <c r="AC234" s="30" t="str">
        <f aca="false">IF((E234="v"),H234," ")</f>
        <v> </v>
      </c>
      <c r="AD234" s="30" t="str">
        <f aca="false">IF((E234="n"),H234," ")</f>
        <v> </v>
      </c>
      <c r="AE234" s="17" t="str">
        <f aca="false">IF((E234="f"),H234," ")</f>
        <v> </v>
      </c>
      <c r="AF234" s="17" t="str">
        <f aca="false">IF((E234="l"),H234," ")</f>
        <v> </v>
      </c>
      <c r="AG234" s="17" t="str">
        <f aca="false">IF((E234="y"),H234," ")</f>
        <v> </v>
      </c>
      <c r="AH234" s="17" t="str">
        <f aca="false">IF((E234="z"),H234," ")</f>
        <v> </v>
      </c>
      <c r="AI234" s="17" t="str">
        <f aca="false">IF((E234="fa"),H234," ")</f>
        <v> </v>
      </c>
      <c r="AJ234" s="17" t="str">
        <f aca="false">IF((E234="e"),H234," ")</f>
        <v> </v>
      </c>
    </row>
    <row r="235" customFormat="false" ht="12" hidden="false" customHeight="false" outlineLevel="0" collapsed="false">
      <c r="A235" s="28"/>
      <c r="E235" s="2" t="str">
        <f aca="false">IF((F235&lt;&gt;0),"Enter Letter"," ")</f>
        <v> </v>
      </c>
      <c r="F235" s="30"/>
      <c r="G235" s="6" t="str">
        <f aca="false">IF(F235&lt;&gt;0,F235*G$2/(100+G$2)," ")</f>
        <v> </v>
      </c>
      <c r="H235" s="6" t="str">
        <f aca="false">IF((F235&lt;&gt;0),F235-G235," ")</f>
        <v> </v>
      </c>
      <c r="I235" s="5"/>
      <c r="L235" s="7" t="str">
        <f aca="false">IF(F235&lt;&gt;0,F235-K235," ")</f>
        <v> </v>
      </c>
      <c r="M235" s="8" t="str">
        <f aca="false">IF((F235-K235)&lt;&gt;0,M$1-A235," ")</f>
        <v> </v>
      </c>
      <c r="N235" s="5"/>
      <c r="O235" s="17" t="str">
        <f aca="false">IF((E235="s"),H235," ")</f>
        <v> </v>
      </c>
      <c r="P235" s="17" t="str">
        <f aca="false">IF((E235="c"),H235," ")</f>
        <v> </v>
      </c>
      <c r="Q235" s="17" t="str">
        <f aca="false">IF((E235="o"),H235," ")</f>
        <v> </v>
      </c>
      <c r="R235" s="17" t="str">
        <f aca="false">IF((E235="d"),H235," ")</f>
        <v> </v>
      </c>
      <c r="S235" s="17" t="str">
        <f aca="false">IF((E235="w"),H235," ")</f>
        <v> </v>
      </c>
      <c r="T235" s="17" t="str">
        <f aca="false">IF((E235="r"),H235," ")</f>
        <v> </v>
      </c>
      <c r="U235" s="17" t="str">
        <f aca="false">IF((E235="p"),H235," ")</f>
        <v> </v>
      </c>
      <c r="V235" s="17" t="str">
        <f aca="false">IF((E235="t"),H235," ")</f>
        <v> </v>
      </c>
      <c r="W235" s="17" t="str">
        <f aca="false">IF((E235="q"),H235," ")</f>
        <v> </v>
      </c>
      <c r="X235" s="17" t="str">
        <f aca="false">IF((E235="m"),H235," ")</f>
        <v> </v>
      </c>
      <c r="Y235" s="17" t="str">
        <f aca="false">IF((E235="u"),H235," ")</f>
        <v> </v>
      </c>
      <c r="Z235" s="17" t="str">
        <f aca="false">IF((E235="a"),H235," ")</f>
        <v> </v>
      </c>
      <c r="AA235" s="17" t="str">
        <f aca="false">IF((E235="g"),H235," ")</f>
        <v> </v>
      </c>
      <c r="AB235" s="17" t="str">
        <f aca="false">IF((E235="h"),H235," ")</f>
        <v> </v>
      </c>
      <c r="AC235" s="30" t="str">
        <f aca="false">IF((E235="v"),H235," ")</f>
        <v> </v>
      </c>
      <c r="AD235" s="30" t="str">
        <f aca="false">IF((E235="n"),H235," ")</f>
        <v> </v>
      </c>
      <c r="AE235" s="17" t="str">
        <f aca="false">IF((E235="f"),H235," ")</f>
        <v> </v>
      </c>
      <c r="AF235" s="17" t="str">
        <f aca="false">IF((E235="l"),H235," ")</f>
        <v> </v>
      </c>
      <c r="AG235" s="17" t="str">
        <f aca="false">IF((E235="y"),H235," ")</f>
        <v> </v>
      </c>
      <c r="AH235" s="17" t="str">
        <f aca="false">IF((E235="z"),H235," ")</f>
        <v> </v>
      </c>
      <c r="AI235" s="17" t="str">
        <f aca="false">IF((E235="fa"),H235," ")</f>
        <v> </v>
      </c>
      <c r="AJ235" s="17" t="str">
        <f aca="false">IF((E235="e"),H235," ")</f>
        <v> </v>
      </c>
    </row>
    <row r="236" customFormat="false" ht="12" hidden="false" customHeight="false" outlineLevel="0" collapsed="false">
      <c r="A236" s="28"/>
      <c r="E236" s="2" t="str">
        <f aca="false">IF((F236&lt;&gt;0),"Enter Letter"," ")</f>
        <v> </v>
      </c>
      <c r="F236" s="30"/>
      <c r="G236" s="6" t="str">
        <f aca="false">IF(F236&lt;&gt;0,F236*G$2/(100+G$2)," ")</f>
        <v> </v>
      </c>
      <c r="H236" s="6" t="str">
        <f aca="false">IF((F236&lt;&gt;0),F236-G236," ")</f>
        <v> </v>
      </c>
      <c r="I236" s="5"/>
      <c r="L236" s="7" t="str">
        <f aca="false">IF(F236&lt;&gt;0,F236-K236," ")</f>
        <v> </v>
      </c>
      <c r="M236" s="8" t="str">
        <f aca="false">IF((F236-K236)&lt;&gt;0,M$1-A236," ")</f>
        <v> </v>
      </c>
      <c r="N236" s="5"/>
      <c r="O236" s="17" t="str">
        <f aca="false">IF((E236="s"),H236," ")</f>
        <v> </v>
      </c>
      <c r="P236" s="17" t="str">
        <f aca="false">IF((E236="c"),H236," ")</f>
        <v> </v>
      </c>
      <c r="Q236" s="17" t="str">
        <f aca="false">IF((E236="o"),H236," ")</f>
        <v> </v>
      </c>
      <c r="R236" s="17" t="str">
        <f aca="false">IF((E236="d"),H236," ")</f>
        <v> </v>
      </c>
      <c r="S236" s="17" t="str">
        <f aca="false">IF((E236="w"),H236," ")</f>
        <v> </v>
      </c>
      <c r="T236" s="17" t="str">
        <f aca="false">IF((E236="r"),H236," ")</f>
        <v> </v>
      </c>
      <c r="U236" s="17" t="str">
        <f aca="false">IF((E236="p"),H236," ")</f>
        <v> </v>
      </c>
      <c r="V236" s="17" t="str">
        <f aca="false">IF((E236="t"),H236," ")</f>
        <v> </v>
      </c>
      <c r="W236" s="17" t="str">
        <f aca="false">IF((E236="q"),H236," ")</f>
        <v> </v>
      </c>
      <c r="X236" s="17" t="str">
        <f aca="false">IF((E236="m"),H236," ")</f>
        <v> </v>
      </c>
      <c r="Y236" s="17" t="str">
        <f aca="false">IF((E236="u"),H236," ")</f>
        <v> </v>
      </c>
      <c r="Z236" s="17" t="str">
        <f aca="false">IF((E236="a"),H236," ")</f>
        <v> </v>
      </c>
      <c r="AA236" s="17" t="str">
        <f aca="false">IF((E236="g"),H236," ")</f>
        <v> </v>
      </c>
      <c r="AB236" s="17" t="str">
        <f aca="false">IF((E236="h"),H236," ")</f>
        <v> </v>
      </c>
      <c r="AC236" s="30" t="str">
        <f aca="false">IF((E236="v"),H236," ")</f>
        <v> </v>
      </c>
      <c r="AD236" s="30" t="str">
        <f aca="false">IF((E236="n"),H236," ")</f>
        <v> </v>
      </c>
      <c r="AE236" s="17" t="str">
        <f aca="false">IF((E236="f"),H236," ")</f>
        <v> </v>
      </c>
      <c r="AF236" s="17" t="str">
        <f aca="false">IF((E236="l"),H236," ")</f>
        <v> </v>
      </c>
      <c r="AG236" s="17" t="str">
        <f aca="false">IF((E236="y"),H236," ")</f>
        <v> </v>
      </c>
      <c r="AH236" s="17" t="str">
        <f aca="false">IF((E236="z"),H236," ")</f>
        <v> </v>
      </c>
      <c r="AI236" s="17" t="str">
        <f aca="false">IF((E236="fa"),H236," ")</f>
        <v> </v>
      </c>
      <c r="AJ236" s="17" t="str">
        <f aca="false">IF((E236="e"),H236," ")</f>
        <v> </v>
      </c>
    </row>
    <row r="237" customFormat="false" ht="12" hidden="false" customHeight="false" outlineLevel="0" collapsed="false">
      <c r="A237" s="28"/>
      <c r="E237" s="2" t="str">
        <f aca="false">IF((F237&lt;&gt;0),"Enter Letter"," ")</f>
        <v> </v>
      </c>
      <c r="F237" s="30"/>
      <c r="G237" s="6" t="str">
        <f aca="false">IF(F237&lt;&gt;0,F237*G$2/(100+G$2)," ")</f>
        <v> </v>
      </c>
      <c r="H237" s="6" t="str">
        <f aca="false">IF((F237&lt;&gt;0),F237-G237," ")</f>
        <v> </v>
      </c>
      <c r="I237" s="5"/>
      <c r="L237" s="7" t="str">
        <f aca="false">IF(F237&lt;&gt;0,F237-K237," ")</f>
        <v> </v>
      </c>
      <c r="M237" s="8" t="str">
        <f aca="false">IF((F237-K237)&lt;&gt;0,M$1-A237," ")</f>
        <v> </v>
      </c>
      <c r="N237" s="5"/>
      <c r="O237" s="17" t="str">
        <f aca="false">IF((E237="s"),H237," ")</f>
        <v> </v>
      </c>
      <c r="P237" s="17" t="str">
        <f aca="false">IF((E237="c"),H237," ")</f>
        <v> </v>
      </c>
      <c r="Q237" s="17" t="str">
        <f aca="false">IF((E237="o"),H237," ")</f>
        <v> </v>
      </c>
      <c r="R237" s="17" t="str">
        <f aca="false">IF((E237="d"),H237," ")</f>
        <v> </v>
      </c>
      <c r="S237" s="17" t="str">
        <f aca="false">IF((E237="w"),H237," ")</f>
        <v> </v>
      </c>
      <c r="T237" s="17" t="str">
        <f aca="false">IF((E237="r"),H237," ")</f>
        <v> </v>
      </c>
      <c r="U237" s="17" t="str">
        <f aca="false">IF((E237="p"),H237," ")</f>
        <v> </v>
      </c>
      <c r="V237" s="17" t="str">
        <f aca="false">IF((E237="t"),H237," ")</f>
        <v> </v>
      </c>
      <c r="W237" s="17" t="str">
        <f aca="false">IF((E237="q"),H237," ")</f>
        <v> </v>
      </c>
      <c r="X237" s="17" t="str">
        <f aca="false">IF((E237="m"),H237," ")</f>
        <v> </v>
      </c>
      <c r="Y237" s="17" t="str">
        <f aca="false">IF((E237="u"),H237," ")</f>
        <v> </v>
      </c>
      <c r="Z237" s="17" t="str">
        <f aca="false">IF((E237="a"),H237," ")</f>
        <v> </v>
      </c>
      <c r="AA237" s="17" t="str">
        <f aca="false">IF((E237="g"),H237," ")</f>
        <v> </v>
      </c>
      <c r="AB237" s="17" t="str">
        <f aca="false">IF((E237="h"),H237," ")</f>
        <v> </v>
      </c>
      <c r="AC237" s="30" t="str">
        <f aca="false">IF((E237="v"),H237," ")</f>
        <v> </v>
      </c>
      <c r="AD237" s="30" t="str">
        <f aca="false">IF((E237="n"),H237," ")</f>
        <v> </v>
      </c>
      <c r="AE237" s="17" t="str">
        <f aca="false">IF((E237="f"),H237," ")</f>
        <v> </v>
      </c>
      <c r="AF237" s="17" t="str">
        <f aca="false">IF((E237="l"),H237," ")</f>
        <v> </v>
      </c>
      <c r="AG237" s="17" t="str">
        <f aca="false">IF((E237="y"),H237," ")</f>
        <v> </v>
      </c>
      <c r="AH237" s="17" t="str">
        <f aca="false">IF((E237="z"),H237," ")</f>
        <v> </v>
      </c>
      <c r="AI237" s="17" t="str">
        <f aca="false">IF((E237="fa"),H237," ")</f>
        <v> </v>
      </c>
      <c r="AJ237" s="17" t="str">
        <f aca="false">IF((E237="e"),H237," ")</f>
        <v> </v>
      </c>
    </row>
    <row r="238" customFormat="false" ht="12" hidden="false" customHeight="false" outlineLevel="0" collapsed="false">
      <c r="A238" s="28"/>
      <c r="E238" s="2" t="str">
        <f aca="false">IF((F238&lt;&gt;0),"Enter Letter"," ")</f>
        <v> </v>
      </c>
      <c r="F238" s="30"/>
      <c r="G238" s="6" t="str">
        <f aca="false">IF(F238&lt;&gt;0,F238*G$2/(100+G$2)," ")</f>
        <v> </v>
      </c>
      <c r="H238" s="6" t="str">
        <f aca="false">IF((F238&lt;&gt;0),F238-G238," ")</f>
        <v> </v>
      </c>
      <c r="I238" s="5"/>
      <c r="L238" s="7" t="str">
        <f aca="false">IF(F238&lt;&gt;0,F238-K238," ")</f>
        <v> </v>
      </c>
      <c r="M238" s="8" t="str">
        <f aca="false">IF((F238-K238)&lt;&gt;0,M$1-A238," ")</f>
        <v> </v>
      </c>
      <c r="N238" s="5"/>
      <c r="O238" s="17" t="str">
        <f aca="false">IF((E238="s"),H238," ")</f>
        <v> </v>
      </c>
      <c r="P238" s="17" t="str">
        <f aca="false">IF((E238="c"),H238," ")</f>
        <v> </v>
      </c>
      <c r="Q238" s="17" t="str">
        <f aca="false">IF((E238="o"),H238," ")</f>
        <v> </v>
      </c>
      <c r="R238" s="17" t="str">
        <f aca="false">IF((E238="d"),H238," ")</f>
        <v> </v>
      </c>
      <c r="S238" s="17" t="str">
        <f aca="false">IF((E238="w"),H238," ")</f>
        <v> </v>
      </c>
      <c r="T238" s="17" t="str">
        <f aca="false">IF((E238="r"),H238," ")</f>
        <v> </v>
      </c>
      <c r="U238" s="17" t="str">
        <f aca="false">IF((E238="p"),H238," ")</f>
        <v> </v>
      </c>
      <c r="V238" s="17" t="str">
        <f aca="false">IF((E238="t"),H238," ")</f>
        <v> </v>
      </c>
      <c r="W238" s="17" t="str">
        <f aca="false">IF((E238="q"),H238," ")</f>
        <v> </v>
      </c>
      <c r="X238" s="17" t="str">
        <f aca="false">IF((E238="m"),H238," ")</f>
        <v> </v>
      </c>
      <c r="Y238" s="17" t="str">
        <f aca="false">IF((E238="u"),H238," ")</f>
        <v> </v>
      </c>
      <c r="Z238" s="17" t="str">
        <f aca="false">IF((E238="a"),H238," ")</f>
        <v> </v>
      </c>
      <c r="AA238" s="17" t="str">
        <f aca="false">IF((E238="g"),H238," ")</f>
        <v> </v>
      </c>
      <c r="AB238" s="17" t="str">
        <f aca="false">IF((E238="h"),H238," ")</f>
        <v> </v>
      </c>
      <c r="AC238" s="30" t="str">
        <f aca="false">IF((E238="v"),H238," ")</f>
        <v> </v>
      </c>
      <c r="AD238" s="30" t="str">
        <f aca="false">IF((E238="n"),H238," ")</f>
        <v> </v>
      </c>
      <c r="AE238" s="17" t="str">
        <f aca="false">IF((E238="f"),H238," ")</f>
        <v> </v>
      </c>
      <c r="AF238" s="17" t="str">
        <f aca="false">IF((E238="l"),H238," ")</f>
        <v> </v>
      </c>
      <c r="AG238" s="17" t="str">
        <f aca="false">IF((E238="y"),H238," ")</f>
        <v> </v>
      </c>
      <c r="AH238" s="17" t="str">
        <f aca="false">IF((E238="z"),H238," ")</f>
        <v> </v>
      </c>
      <c r="AI238" s="17" t="str">
        <f aca="false">IF((E238="fa"),H238," ")</f>
        <v> </v>
      </c>
      <c r="AJ238" s="17" t="str">
        <f aca="false">IF((E238="e"),H238," ")</f>
        <v> </v>
      </c>
    </row>
    <row r="239" customFormat="false" ht="12" hidden="false" customHeight="false" outlineLevel="0" collapsed="false">
      <c r="A239" s="28"/>
      <c r="E239" s="2" t="str">
        <f aca="false">IF((F239&lt;&gt;0),"Enter Letter"," ")</f>
        <v> </v>
      </c>
      <c r="F239" s="30"/>
      <c r="G239" s="6" t="str">
        <f aca="false">IF(F239&lt;&gt;0,F239*G$2/(100+G$2)," ")</f>
        <v> </v>
      </c>
      <c r="H239" s="6" t="str">
        <f aca="false">IF((F239&lt;&gt;0),F239-G239," ")</f>
        <v> </v>
      </c>
      <c r="I239" s="5"/>
      <c r="L239" s="7" t="str">
        <f aca="false">IF(F239&lt;&gt;0,F239-K239," ")</f>
        <v> </v>
      </c>
      <c r="M239" s="8" t="str">
        <f aca="false">IF((F239-K239)&lt;&gt;0,M$1-A239," ")</f>
        <v> </v>
      </c>
      <c r="N239" s="5"/>
      <c r="O239" s="17" t="str">
        <f aca="false">IF((E239="s"),H239," ")</f>
        <v> </v>
      </c>
      <c r="P239" s="17" t="str">
        <f aca="false">IF((E239="c"),H239," ")</f>
        <v> </v>
      </c>
      <c r="Q239" s="17" t="str">
        <f aca="false">IF((E239="o"),H239," ")</f>
        <v> </v>
      </c>
      <c r="R239" s="17" t="str">
        <f aca="false">IF((E239="d"),H239," ")</f>
        <v> </v>
      </c>
      <c r="S239" s="17" t="str">
        <f aca="false">IF((E239="w"),H239," ")</f>
        <v> </v>
      </c>
      <c r="T239" s="17" t="str">
        <f aca="false">IF((E239="r"),H239," ")</f>
        <v> </v>
      </c>
      <c r="U239" s="17" t="str">
        <f aca="false">IF((E239="p"),H239," ")</f>
        <v> </v>
      </c>
      <c r="V239" s="17" t="str">
        <f aca="false">IF((E239="t"),H239," ")</f>
        <v> </v>
      </c>
      <c r="W239" s="17" t="str">
        <f aca="false">IF((E239="q"),H239," ")</f>
        <v> </v>
      </c>
      <c r="X239" s="17" t="str">
        <f aca="false">IF((E239="m"),H239," ")</f>
        <v> </v>
      </c>
      <c r="Y239" s="17" t="str">
        <f aca="false">IF((E239="u"),H239," ")</f>
        <v> </v>
      </c>
      <c r="Z239" s="17" t="str">
        <f aca="false">IF((E239="a"),H239," ")</f>
        <v> </v>
      </c>
      <c r="AA239" s="17" t="str">
        <f aca="false">IF((E239="g"),H239," ")</f>
        <v> </v>
      </c>
      <c r="AB239" s="17" t="str">
        <f aca="false">IF((E239="h"),H239," ")</f>
        <v> </v>
      </c>
      <c r="AC239" s="30" t="str">
        <f aca="false">IF((E239="v"),H239," ")</f>
        <v> </v>
      </c>
      <c r="AD239" s="30" t="str">
        <f aca="false">IF((E239="n"),H239," ")</f>
        <v> </v>
      </c>
      <c r="AE239" s="17" t="str">
        <f aca="false">IF((E239="f"),H239," ")</f>
        <v> </v>
      </c>
      <c r="AF239" s="17" t="str">
        <f aca="false">IF((E239="l"),H239," ")</f>
        <v> </v>
      </c>
      <c r="AG239" s="17" t="str">
        <f aca="false">IF((E239="y"),H239," ")</f>
        <v> </v>
      </c>
      <c r="AH239" s="17" t="str">
        <f aca="false">IF((E239="z"),H239," ")</f>
        <v> </v>
      </c>
      <c r="AI239" s="17" t="str">
        <f aca="false">IF((E239="fa"),H239," ")</f>
        <v> </v>
      </c>
      <c r="AJ239" s="17" t="str">
        <f aca="false">IF((E239="e"),H239," ")</f>
        <v> </v>
      </c>
    </row>
    <row r="240" customFormat="false" ht="12" hidden="false" customHeight="false" outlineLevel="0" collapsed="false">
      <c r="A240" s="28"/>
      <c r="E240" s="2" t="str">
        <f aca="false">IF((F240&lt;&gt;0),"Enter Letter"," ")</f>
        <v> </v>
      </c>
      <c r="F240" s="30"/>
      <c r="G240" s="6" t="str">
        <f aca="false">IF(F240&lt;&gt;0,F240*G$2/(100+G$2)," ")</f>
        <v> </v>
      </c>
      <c r="H240" s="6" t="str">
        <f aca="false">IF((F240&lt;&gt;0),F240-G240," ")</f>
        <v> </v>
      </c>
      <c r="I240" s="5"/>
      <c r="L240" s="7" t="str">
        <f aca="false">IF(F240&lt;&gt;0,F240-K240," ")</f>
        <v> </v>
      </c>
      <c r="M240" s="8" t="str">
        <f aca="false">IF((F240-K240)&lt;&gt;0,M$1-A240," ")</f>
        <v> </v>
      </c>
      <c r="N240" s="5"/>
      <c r="O240" s="17" t="str">
        <f aca="false">IF((E240="s"),H240," ")</f>
        <v> </v>
      </c>
      <c r="P240" s="17" t="str">
        <f aca="false">IF((E240="c"),H240," ")</f>
        <v> </v>
      </c>
      <c r="Q240" s="17" t="str">
        <f aca="false">IF((E240="o"),H240," ")</f>
        <v> </v>
      </c>
      <c r="R240" s="17" t="str">
        <f aca="false">IF((E240="d"),H240," ")</f>
        <v> </v>
      </c>
      <c r="S240" s="17" t="str">
        <f aca="false">IF((E240="w"),H240," ")</f>
        <v> </v>
      </c>
      <c r="T240" s="17" t="str">
        <f aca="false">IF((E240="r"),H240," ")</f>
        <v> </v>
      </c>
      <c r="U240" s="17" t="str">
        <f aca="false">IF((E240="p"),H240," ")</f>
        <v> </v>
      </c>
      <c r="V240" s="17" t="str">
        <f aca="false">IF((E240="t"),H240," ")</f>
        <v> </v>
      </c>
      <c r="W240" s="17" t="str">
        <f aca="false">IF((E240="q"),H240," ")</f>
        <v> </v>
      </c>
      <c r="X240" s="17" t="str">
        <f aca="false">IF((E240="m"),H240," ")</f>
        <v> </v>
      </c>
      <c r="Y240" s="17" t="str">
        <f aca="false">IF((E240="u"),H240," ")</f>
        <v> </v>
      </c>
      <c r="Z240" s="17" t="str">
        <f aca="false">IF((E240="a"),H240," ")</f>
        <v> </v>
      </c>
      <c r="AA240" s="17" t="str">
        <f aca="false">IF((E240="g"),H240," ")</f>
        <v> </v>
      </c>
      <c r="AB240" s="17" t="str">
        <f aca="false">IF((E240="h"),H240," ")</f>
        <v> </v>
      </c>
      <c r="AC240" s="30" t="str">
        <f aca="false">IF((E240="v"),H240," ")</f>
        <v> </v>
      </c>
      <c r="AD240" s="30" t="str">
        <f aca="false">IF((E240="n"),H240," ")</f>
        <v> </v>
      </c>
      <c r="AE240" s="17" t="str">
        <f aca="false">IF((E240="f"),H240," ")</f>
        <v> </v>
      </c>
      <c r="AF240" s="17" t="str">
        <f aca="false">IF((E240="l"),H240," ")</f>
        <v> </v>
      </c>
      <c r="AG240" s="17" t="str">
        <f aca="false">IF((E240="y"),H240," ")</f>
        <v> </v>
      </c>
      <c r="AH240" s="17" t="str">
        <f aca="false">IF((E240="z"),H240," ")</f>
        <v> </v>
      </c>
      <c r="AI240" s="17" t="str">
        <f aca="false">IF((E240="fa"),H240," ")</f>
        <v> </v>
      </c>
      <c r="AJ240" s="17" t="str">
        <f aca="false">IF((E240="e"),H240," ")</f>
        <v> </v>
      </c>
    </row>
    <row r="241" customFormat="false" ht="12" hidden="false" customHeight="false" outlineLevel="0" collapsed="false">
      <c r="A241" s="28"/>
      <c r="E241" s="2" t="str">
        <f aca="false">IF((F241&lt;&gt;0),"Enter Letter"," ")</f>
        <v> </v>
      </c>
      <c r="F241" s="30"/>
      <c r="G241" s="6" t="str">
        <f aca="false">IF(F241&lt;&gt;0,F241*G$2/(100+G$2)," ")</f>
        <v> </v>
      </c>
      <c r="H241" s="6" t="str">
        <f aca="false">IF((F241&lt;&gt;0),F241-G241," ")</f>
        <v> </v>
      </c>
      <c r="I241" s="5"/>
      <c r="L241" s="7" t="str">
        <f aca="false">IF(F241&lt;&gt;0,F241-K241," ")</f>
        <v> </v>
      </c>
      <c r="M241" s="8" t="str">
        <f aca="false">IF((F241-K241)&lt;&gt;0,M$1-A241," ")</f>
        <v> </v>
      </c>
      <c r="N241" s="5"/>
      <c r="O241" s="17" t="str">
        <f aca="false">IF((E241="s"),H241," ")</f>
        <v> </v>
      </c>
      <c r="P241" s="17" t="str">
        <f aca="false">IF((E241="c"),H241," ")</f>
        <v> </v>
      </c>
      <c r="Q241" s="17" t="str">
        <f aca="false">IF((E241="o"),H241," ")</f>
        <v> </v>
      </c>
      <c r="R241" s="17" t="str">
        <f aca="false">IF((E241="d"),H241," ")</f>
        <v> </v>
      </c>
      <c r="S241" s="17" t="str">
        <f aca="false">IF((E241="w"),H241," ")</f>
        <v> </v>
      </c>
      <c r="T241" s="17" t="str">
        <f aca="false">IF((E241="r"),H241," ")</f>
        <v> </v>
      </c>
      <c r="U241" s="17" t="str">
        <f aca="false">IF((E241="p"),H241," ")</f>
        <v> </v>
      </c>
      <c r="V241" s="17" t="str">
        <f aca="false">IF((E241="t"),H241," ")</f>
        <v> </v>
      </c>
      <c r="W241" s="17" t="str">
        <f aca="false">IF((E241="q"),H241," ")</f>
        <v> </v>
      </c>
      <c r="X241" s="17" t="str">
        <f aca="false">IF((E241="m"),H241," ")</f>
        <v> </v>
      </c>
      <c r="Y241" s="17" t="str">
        <f aca="false">IF((E241="u"),H241," ")</f>
        <v> </v>
      </c>
      <c r="Z241" s="17" t="str">
        <f aca="false">IF((E241="a"),H241," ")</f>
        <v> </v>
      </c>
      <c r="AA241" s="17" t="str">
        <f aca="false">IF((E241="g"),H241," ")</f>
        <v> </v>
      </c>
      <c r="AB241" s="17" t="str">
        <f aca="false">IF((E241="h"),H241," ")</f>
        <v> </v>
      </c>
      <c r="AC241" s="30" t="str">
        <f aca="false">IF((E241="v"),H241," ")</f>
        <v> </v>
      </c>
      <c r="AD241" s="30" t="str">
        <f aca="false">IF((E241="n"),H241," ")</f>
        <v> </v>
      </c>
      <c r="AE241" s="17" t="str">
        <f aca="false">IF((E241="f"),H241," ")</f>
        <v> </v>
      </c>
      <c r="AF241" s="17" t="str">
        <f aca="false">IF((E241="l"),H241," ")</f>
        <v> </v>
      </c>
      <c r="AG241" s="17" t="str">
        <f aca="false">IF((E241="y"),H241," ")</f>
        <v> </v>
      </c>
      <c r="AH241" s="17" t="str">
        <f aca="false">IF((E241="z"),H241," ")</f>
        <v> </v>
      </c>
      <c r="AI241" s="17" t="str">
        <f aca="false">IF((E241="fa"),H241," ")</f>
        <v> </v>
      </c>
      <c r="AJ241" s="17" t="str">
        <f aca="false">IF((E241="e"),H241," ")</f>
        <v> </v>
      </c>
    </row>
    <row r="242" customFormat="false" ht="12" hidden="false" customHeight="false" outlineLevel="0" collapsed="false">
      <c r="A242" s="28"/>
      <c r="E242" s="2" t="str">
        <f aca="false">IF((F242&lt;&gt;0),"Enter Letter"," ")</f>
        <v> </v>
      </c>
      <c r="F242" s="30"/>
      <c r="G242" s="6" t="str">
        <f aca="false">IF(F242&lt;&gt;0,F242*G$2/(100+G$2)," ")</f>
        <v> </v>
      </c>
      <c r="H242" s="6" t="str">
        <f aca="false">IF((F242&lt;&gt;0),F242-G242," ")</f>
        <v> </v>
      </c>
      <c r="I242" s="5"/>
      <c r="L242" s="7" t="str">
        <f aca="false">IF(F242&lt;&gt;0,F242-K242," ")</f>
        <v> </v>
      </c>
      <c r="M242" s="8" t="str">
        <f aca="false">IF((F242-K242)&lt;&gt;0,M$1-A242," ")</f>
        <v> </v>
      </c>
      <c r="N242" s="5"/>
      <c r="O242" s="17" t="str">
        <f aca="false">IF((E242="s"),H242," ")</f>
        <v> </v>
      </c>
      <c r="P242" s="17" t="str">
        <f aca="false">IF((E242="c"),H242," ")</f>
        <v> </v>
      </c>
      <c r="Q242" s="17" t="str">
        <f aca="false">IF((E242="o"),H242," ")</f>
        <v> </v>
      </c>
      <c r="R242" s="17" t="str">
        <f aca="false">IF((E242="d"),H242," ")</f>
        <v> </v>
      </c>
      <c r="S242" s="17" t="str">
        <f aca="false">IF((E242="w"),H242," ")</f>
        <v> </v>
      </c>
      <c r="T242" s="17" t="str">
        <f aca="false">IF((E242="r"),H242," ")</f>
        <v> </v>
      </c>
      <c r="U242" s="17" t="str">
        <f aca="false">IF((E242="p"),H242," ")</f>
        <v> </v>
      </c>
      <c r="V242" s="17" t="str">
        <f aca="false">IF((E242="t"),H242," ")</f>
        <v> </v>
      </c>
      <c r="W242" s="17" t="str">
        <f aca="false">IF((E242="q"),H242," ")</f>
        <v> </v>
      </c>
      <c r="X242" s="17" t="str">
        <f aca="false">IF((E242="m"),H242," ")</f>
        <v> </v>
      </c>
      <c r="Y242" s="17" t="str">
        <f aca="false">IF((E242="u"),H242," ")</f>
        <v> </v>
      </c>
      <c r="Z242" s="17" t="str">
        <f aca="false">IF((E242="a"),H242," ")</f>
        <v> </v>
      </c>
      <c r="AA242" s="17" t="str">
        <f aca="false">IF((E242="g"),H242," ")</f>
        <v> </v>
      </c>
      <c r="AB242" s="17" t="str">
        <f aca="false">IF((E242="h"),H242," ")</f>
        <v> </v>
      </c>
      <c r="AC242" s="30" t="str">
        <f aca="false">IF((E242="v"),H242," ")</f>
        <v> </v>
      </c>
      <c r="AD242" s="30" t="str">
        <f aca="false">IF((E242="n"),H242," ")</f>
        <v> </v>
      </c>
      <c r="AE242" s="17" t="str">
        <f aca="false">IF((E242="f"),H242," ")</f>
        <v> </v>
      </c>
      <c r="AF242" s="17" t="str">
        <f aca="false">IF((E242="l"),H242," ")</f>
        <v> </v>
      </c>
      <c r="AG242" s="17" t="str">
        <f aca="false">IF((E242="y"),H242," ")</f>
        <v> </v>
      </c>
      <c r="AH242" s="17" t="str">
        <f aca="false">IF((E242="z"),H242," ")</f>
        <v> </v>
      </c>
      <c r="AI242" s="17" t="str">
        <f aca="false">IF((E242="fa"),H242," ")</f>
        <v> </v>
      </c>
      <c r="AJ242" s="17" t="str">
        <f aca="false">IF((E242="e"),H242," ")</f>
        <v> </v>
      </c>
    </row>
    <row r="243" customFormat="false" ht="12" hidden="false" customHeight="false" outlineLevel="0" collapsed="false">
      <c r="A243" s="28"/>
      <c r="E243" s="2" t="str">
        <f aca="false">IF((F243&lt;&gt;0),"Enter Letter"," ")</f>
        <v> </v>
      </c>
      <c r="F243" s="30"/>
      <c r="G243" s="6" t="str">
        <f aca="false">IF(F243&lt;&gt;0,F243*G$2/(100+G$2)," ")</f>
        <v> </v>
      </c>
      <c r="H243" s="6" t="str">
        <f aca="false">IF((F243&lt;&gt;0),F243-G243," ")</f>
        <v> </v>
      </c>
      <c r="I243" s="5"/>
      <c r="L243" s="7" t="str">
        <f aca="false">IF(F243&lt;&gt;0,F243-K243," ")</f>
        <v> </v>
      </c>
      <c r="M243" s="8" t="str">
        <f aca="false">IF((F243-K243)&lt;&gt;0,M$1-A243," ")</f>
        <v> </v>
      </c>
      <c r="N243" s="5"/>
      <c r="O243" s="17" t="str">
        <f aca="false">IF((E243="s"),H243," ")</f>
        <v> </v>
      </c>
      <c r="P243" s="17" t="str">
        <f aca="false">IF((E243="c"),H243," ")</f>
        <v> </v>
      </c>
      <c r="Q243" s="17" t="str">
        <f aca="false">IF((E243="o"),H243," ")</f>
        <v> </v>
      </c>
      <c r="R243" s="17" t="str">
        <f aca="false">IF((E243="d"),H243," ")</f>
        <v> </v>
      </c>
      <c r="S243" s="17" t="str">
        <f aca="false">IF((E243="w"),H243," ")</f>
        <v> </v>
      </c>
      <c r="T243" s="17" t="str">
        <f aca="false">IF((E243="r"),H243," ")</f>
        <v> </v>
      </c>
      <c r="U243" s="17" t="str">
        <f aca="false">IF((E243="p"),H243," ")</f>
        <v> </v>
      </c>
      <c r="V243" s="17" t="str">
        <f aca="false">IF((E243="t"),H243," ")</f>
        <v> </v>
      </c>
      <c r="W243" s="17" t="str">
        <f aca="false">IF((E243="q"),H243," ")</f>
        <v> </v>
      </c>
      <c r="X243" s="17" t="str">
        <f aca="false">IF((E243="m"),H243," ")</f>
        <v> </v>
      </c>
      <c r="Y243" s="17" t="str">
        <f aca="false">IF((E243="u"),H243," ")</f>
        <v> </v>
      </c>
      <c r="Z243" s="17" t="str">
        <f aca="false">IF((E243="a"),H243," ")</f>
        <v> </v>
      </c>
      <c r="AA243" s="17" t="str">
        <f aca="false">IF((E243="g"),H243," ")</f>
        <v> </v>
      </c>
      <c r="AB243" s="17" t="str">
        <f aca="false">IF((E243="h"),H243," ")</f>
        <v> </v>
      </c>
      <c r="AC243" s="30" t="str">
        <f aca="false">IF((E243="v"),H243," ")</f>
        <v> </v>
      </c>
      <c r="AD243" s="30" t="str">
        <f aca="false">IF((E243="n"),H243," ")</f>
        <v> </v>
      </c>
      <c r="AE243" s="17" t="str">
        <f aca="false">IF((E243="f"),H243," ")</f>
        <v> </v>
      </c>
      <c r="AF243" s="17" t="str">
        <f aca="false">IF((E243="l"),H243," ")</f>
        <v> </v>
      </c>
      <c r="AG243" s="17" t="str">
        <f aca="false">IF((E243="y"),H243," ")</f>
        <v> </v>
      </c>
      <c r="AH243" s="17" t="str">
        <f aca="false">IF((E243="z"),H243," ")</f>
        <v> </v>
      </c>
      <c r="AI243" s="17" t="str">
        <f aca="false">IF((E243="fa"),H243," ")</f>
        <v> </v>
      </c>
      <c r="AJ243" s="17" t="str">
        <f aca="false">IF((E243="e"),H243," ")</f>
        <v> </v>
      </c>
    </row>
    <row r="244" customFormat="false" ht="12" hidden="false" customHeight="false" outlineLevel="0" collapsed="false">
      <c r="A244" s="28"/>
      <c r="E244" s="2" t="str">
        <f aca="false">IF((F244&lt;&gt;0),"Enter Letter"," ")</f>
        <v> </v>
      </c>
      <c r="F244" s="30"/>
      <c r="G244" s="6" t="str">
        <f aca="false">IF(F244&lt;&gt;0,F244*G$2/(100+G$2)," ")</f>
        <v> </v>
      </c>
      <c r="H244" s="6" t="str">
        <f aca="false">IF((F244&lt;&gt;0),F244-G244," ")</f>
        <v> </v>
      </c>
      <c r="I244" s="5"/>
      <c r="L244" s="7" t="str">
        <f aca="false">IF(F244&lt;&gt;0,F244-K244," ")</f>
        <v> </v>
      </c>
      <c r="M244" s="8" t="str">
        <f aca="false">IF((F244-K244)&lt;&gt;0,M$1-A244," ")</f>
        <v> </v>
      </c>
      <c r="N244" s="5"/>
      <c r="O244" s="17" t="str">
        <f aca="false">IF((E244="s"),H244," ")</f>
        <v> </v>
      </c>
      <c r="P244" s="17" t="str">
        <f aca="false">IF((E244="c"),H244," ")</f>
        <v> </v>
      </c>
      <c r="Q244" s="17" t="str">
        <f aca="false">IF((E244="o"),H244," ")</f>
        <v> </v>
      </c>
      <c r="R244" s="17" t="str">
        <f aca="false">IF((E244="d"),H244," ")</f>
        <v> </v>
      </c>
      <c r="S244" s="17" t="str">
        <f aca="false">IF((E244="w"),H244," ")</f>
        <v> </v>
      </c>
      <c r="T244" s="17" t="str">
        <f aca="false">IF((E244="r"),H244," ")</f>
        <v> </v>
      </c>
      <c r="U244" s="17" t="str">
        <f aca="false">IF((E244="p"),H244," ")</f>
        <v> </v>
      </c>
      <c r="V244" s="17" t="str">
        <f aca="false">IF((E244="t"),H244," ")</f>
        <v> </v>
      </c>
      <c r="W244" s="17" t="str">
        <f aca="false">IF((E244="q"),H244," ")</f>
        <v> </v>
      </c>
      <c r="X244" s="17" t="str">
        <f aca="false">IF((E244="m"),H244," ")</f>
        <v> </v>
      </c>
      <c r="Y244" s="17" t="str">
        <f aca="false">IF((E244="u"),H244," ")</f>
        <v> </v>
      </c>
      <c r="Z244" s="17" t="str">
        <f aca="false">IF((E244="a"),H244," ")</f>
        <v> </v>
      </c>
      <c r="AA244" s="17" t="str">
        <f aca="false">IF((E244="g"),H244," ")</f>
        <v> </v>
      </c>
      <c r="AB244" s="17" t="str">
        <f aca="false">IF((E244="h"),H244," ")</f>
        <v> </v>
      </c>
      <c r="AC244" s="30" t="str">
        <f aca="false">IF((E244="v"),H244," ")</f>
        <v> </v>
      </c>
      <c r="AD244" s="30" t="str">
        <f aca="false">IF((E244="n"),H244," ")</f>
        <v> </v>
      </c>
      <c r="AE244" s="17" t="str">
        <f aca="false">IF((E244="f"),H244," ")</f>
        <v> </v>
      </c>
      <c r="AF244" s="17" t="str">
        <f aca="false">IF((E244="l"),H244," ")</f>
        <v> </v>
      </c>
      <c r="AG244" s="17" t="str">
        <f aca="false">IF((E244="y"),H244," ")</f>
        <v> </v>
      </c>
      <c r="AH244" s="17" t="str">
        <f aca="false">IF((E244="z"),H244," ")</f>
        <v> </v>
      </c>
      <c r="AI244" s="17" t="str">
        <f aca="false">IF((E244="fa"),H244," ")</f>
        <v> </v>
      </c>
      <c r="AJ244" s="17" t="str">
        <f aca="false">IF((E244="e"),H244," ")</f>
        <v> </v>
      </c>
    </row>
    <row r="245" customFormat="false" ht="12" hidden="false" customHeight="false" outlineLevel="0" collapsed="false">
      <c r="A245" s="28"/>
      <c r="E245" s="2" t="str">
        <f aca="false">IF((F245&lt;&gt;0),"Enter Letter"," ")</f>
        <v> </v>
      </c>
      <c r="F245" s="30"/>
      <c r="G245" s="6" t="str">
        <f aca="false">IF(F245&lt;&gt;0,F245*G$2/(100+G$2)," ")</f>
        <v> </v>
      </c>
      <c r="H245" s="6" t="str">
        <f aca="false">IF((F245&lt;&gt;0),F245-G245," ")</f>
        <v> </v>
      </c>
      <c r="I245" s="5"/>
      <c r="L245" s="7" t="str">
        <f aca="false">IF(F245&lt;&gt;0,F245-K245," ")</f>
        <v> </v>
      </c>
      <c r="M245" s="8" t="str">
        <f aca="false">IF((F245-K245)&lt;&gt;0,M$1-A245," ")</f>
        <v> </v>
      </c>
      <c r="N245" s="5"/>
      <c r="O245" s="17" t="str">
        <f aca="false">IF((E245="s"),H245," ")</f>
        <v> </v>
      </c>
      <c r="P245" s="17" t="str">
        <f aca="false">IF((E245="c"),H245," ")</f>
        <v> </v>
      </c>
      <c r="Q245" s="17" t="str">
        <f aca="false">IF((E245="o"),H245," ")</f>
        <v> </v>
      </c>
      <c r="R245" s="17" t="str">
        <f aca="false">IF((E245="d"),H245," ")</f>
        <v> </v>
      </c>
      <c r="S245" s="17" t="str">
        <f aca="false">IF((E245="w"),H245," ")</f>
        <v> </v>
      </c>
      <c r="T245" s="17" t="str">
        <f aca="false">IF((E245="r"),H245," ")</f>
        <v> </v>
      </c>
      <c r="U245" s="17" t="str">
        <f aca="false">IF((E245="p"),H245," ")</f>
        <v> </v>
      </c>
      <c r="V245" s="17" t="str">
        <f aca="false">IF((E245="t"),H245," ")</f>
        <v> </v>
      </c>
      <c r="W245" s="17" t="str">
        <f aca="false">IF((E245="q"),H245," ")</f>
        <v> </v>
      </c>
      <c r="X245" s="17" t="str">
        <f aca="false">IF((E245="m"),H245," ")</f>
        <v> </v>
      </c>
      <c r="Y245" s="17" t="str">
        <f aca="false">IF((E245="u"),H245," ")</f>
        <v> </v>
      </c>
      <c r="Z245" s="17" t="str">
        <f aca="false">IF((E245="a"),H245," ")</f>
        <v> </v>
      </c>
      <c r="AA245" s="17" t="str">
        <f aca="false">IF((E245="g"),H245," ")</f>
        <v> </v>
      </c>
      <c r="AB245" s="17" t="str">
        <f aca="false">IF((E245="h"),H245," ")</f>
        <v> </v>
      </c>
      <c r="AC245" s="30" t="str">
        <f aca="false">IF((E245="v"),H245," ")</f>
        <v> </v>
      </c>
      <c r="AD245" s="30" t="str">
        <f aca="false">IF((E245="n"),H245," ")</f>
        <v> </v>
      </c>
      <c r="AE245" s="17" t="str">
        <f aca="false">IF((E245="f"),H245," ")</f>
        <v> </v>
      </c>
      <c r="AF245" s="17" t="str">
        <f aca="false">IF((E245="l"),H245," ")</f>
        <v> </v>
      </c>
      <c r="AG245" s="17" t="str">
        <f aca="false">IF((E245="y"),H245," ")</f>
        <v> </v>
      </c>
      <c r="AH245" s="17" t="str">
        <f aca="false">IF((E245="z"),H245," ")</f>
        <v> </v>
      </c>
      <c r="AI245" s="17" t="str">
        <f aca="false">IF((E245="fa"),H245," ")</f>
        <v> </v>
      </c>
      <c r="AJ245" s="17" t="str">
        <f aca="false">IF((E245="e"),H245," ")</f>
        <v> </v>
      </c>
    </row>
    <row r="246" customFormat="false" ht="12" hidden="false" customHeight="false" outlineLevel="0" collapsed="false">
      <c r="A246" s="28"/>
      <c r="E246" s="2" t="str">
        <f aca="false">IF((F246&lt;&gt;0),"Enter Letter"," ")</f>
        <v> </v>
      </c>
      <c r="F246" s="30"/>
      <c r="G246" s="6" t="str">
        <f aca="false">IF(F246&lt;&gt;0,F246*G$2/(100+G$2)," ")</f>
        <v> </v>
      </c>
      <c r="H246" s="6" t="str">
        <f aca="false">IF((F246&lt;&gt;0),F246-G246," ")</f>
        <v> </v>
      </c>
      <c r="I246" s="5"/>
      <c r="L246" s="7" t="str">
        <f aca="false">IF(F246&lt;&gt;0,F246-K246," ")</f>
        <v> </v>
      </c>
      <c r="M246" s="8" t="str">
        <f aca="false">IF((F246-K246)&lt;&gt;0,M$1-A246," ")</f>
        <v> </v>
      </c>
      <c r="N246" s="5"/>
      <c r="O246" s="17" t="str">
        <f aca="false">IF((E246="s"),H246," ")</f>
        <v> </v>
      </c>
      <c r="P246" s="17" t="str">
        <f aca="false">IF((E246="c"),H246," ")</f>
        <v> </v>
      </c>
      <c r="Q246" s="17" t="str">
        <f aca="false">IF((E246="o"),H246," ")</f>
        <v> </v>
      </c>
      <c r="R246" s="17" t="str">
        <f aca="false">IF((E246="d"),H246," ")</f>
        <v> </v>
      </c>
      <c r="S246" s="17" t="str">
        <f aca="false">IF((E246="w"),H246," ")</f>
        <v> </v>
      </c>
      <c r="T246" s="17" t="str">
        <f aca="false">IF((E246="r"),H246," ")</f>
        <v> </v>
      </c>
      <c r="U246" s="17" t="str">
        <f aca="false">IF((E246="p"),H246," ")</f>
        <v> </v>
      </c>
      <c r="V246" s="17" t="str">
        <f aca="false">IF((E246="t"),H246," ")</f>
        <v> </v>
      </c>
      <c r="W246" s="17" t="str">
        <f aca="false">IF((E246="q"),H246," ")</f>
        <v> </v>
      </c>
      <c r="X246" s="17" t="str">
        <f aca="false">IF((E246="m"),H246," ")</f>
        <v> </v>
      </c>
      <c r="Y246" s="17" t="str">
        <f aca="false">IF((E246="u"),H246," ")</f>
        <v> </v>
      </c>
      <c r="Z246" s="17" t="str">
        <f aca="false">IF((E246="a"),H246," ")</f>
        <v> </v>
      </c>
      <c r="AA246" s="17" t="str">
        <f aca="false">IF((E246="g"),H246," ")</f>
        <v> </v>
      </c>
      <c r="AB246" s="17" t="str">
        <f aca="false">IF((E246="h"),H246," ")</f>
        <v> </v>
      </c>
      <c r="AC246" s="30" t="str">
        <f aca="false">IF((E246="v"),H246," ")</f>
        <v> </v>
      </c>
      <c r="AD246" s="30" t="str">
        <f aca="false">IF((E246="n"),H246," ")</f>
        <v> </v>
      </c>
      <c r="AE246" s="17" t="str">
        <f aca="false">IF((E246="f"),H246," ")</f>
        <v> </v>
      </c>
      <c r="AF246" s="17" t="str">
        <f aca="false">IF((E246="l"),H246," ")</f>
        <v> </v>
      </c>
      <c r="AG246" s="17" t="str">
        <f aca="false">IF((E246="y"),H246," ")</f>
        <v> </v>
      </c>
      <c r="AH246" s="17" t="str">
        <f aca="false">IF((E246="z"),H246," ")</f>
        <v> </v>
      </c>
      <c r="AI246" s="17" t="str">
        <f aca="false">IF((E246="fa"),H246," ")</f>
        <v> </v>
      </c>
      <c r="AJ246" s="17" t="str">
        <f aca="false">IF((E246="e"),H246," ")</f>
        <v> </v>
      </c>
    </row>
    <row r="247" customFormat="false" ht="12" hidden="false" customHeight="false" outlineLevel="0" collapsed="false">
      <c r="A247" s="28"/>
      <c r="E247" s="2" t="str">
        <f aca="false">IF((F247&lt;&gt;0),"Enter Letter"," ")</f>
        <v> </v>
      </c>
      <c r="F247" s="30"/>
      <c r="G247" s="6" t="str">
        <f aca="false">IF(F247&lt;&gt;0,F247*G$2/(100+G$2)," ")</f>
        <v> </v>
      </c>
      <c r="H247" s="6" t="str">
        <f aca="false">IF((F247&lt;&gt;0),F247-G247," ")</f>
        <v> </v>
      </c>
      <c r="I247" s="5"/>
      <c r="L247" s="7" t="str">
        <f aca="false">IF(F247&lt;&gt;0,F247-K247," ")</f>
        <v> </v>
      </c>
      <c r="M247" s="8" t="str">
        <f aca="false">IF((F247-K247)&lt;&gt;0,M$1-A247," ")</f>
        <v> </v>
      </c>
      <c r="N247" s="5"/>
      <c r="O247" s="17" t="str">
        <f aca="false">IF((E247="s"),H247," ")</f>
        <v> </v>
      </c>
      <c r="P247" s="17" t="str">
        <f aca="false">IF((E247="c"),H247," ")</f>
        <v> </v>
      </c>
      <c r="Q247" s="17" t="str">
        <f aca="false">IF((E247="o"),H247," ")</f>
        <v> </v>
      </c>
      <c r="R247" s="17" t="str">
        <f aca="false">IF((E247="d"),H247," ")</f>
        <v> </v>
      </c>
      <c r="S247" s="17" t="str">
        <f aca="false">IF((E247="w"),H247," ")</f>
        <v> </v>
      </c>
      <c r="T247" s="17" t="str">
        <f aca="false">IF((E247="r"),H247," ")</f>
        <v> </v>
      </c>
      <c r="U247" s="17" t="str">
        <f aca="false">IF((E247="p"),H247," ")</f>
        <v> </v>
      </c>
      <c r="V247" s="17" t="str">
        <f aca="false">IF((E247="t"),H247," ")</f>
        <v> </v>
      </c>
      <c r="W247" s="17" t="str">
        <f aca="false">IF((E247="q"),H247," ")</f>
        <v> </v>
      </c>
      <c r="X247" s="17" t="str">
        <f aca="false">IF((E247="m"),H247," ")</f>
        <v> </v>
      </c>
      <c r="Y247" s="17" t="str">
        <f aca="false">IF((E247="u"),H247," ")</f>
        <v> </v>
      </c>
      <c r="Z247" s="17" t="str">
        <f aca="false">IF((E247="a"),H247," ")</f>
        <v> </v>
      </c>
      <c r="AA247" s="17" t="str">
        <f aca="false">IF((E247="g"),H247," ")</f>
        <v> </v>
      </c>
      <c r="AB247" s="17" t="str">
        <f aca="false">IF((E247="h"),H247," ")</f>
        <v> </v>
      </c>
      <c r="AC247" s="30" t="str">
        <f aca="false">IF((E247="v"),H247," ")</f>
        <v> </v>
      </c>
      <c r="AD247" s="30" t="str">
        <f aca="false">IF((E247="n"),H247," ")</f>
        <v> </v>
      </c>
      <c r="AE247" s="17" t="str">
        <f aca="false">IF((E247="f"),H247," ")</f>
        <v> </v>
      </c>
      <c r="AF247" s="17" t="str">
        <f aca="false">IF((E247="l"),H247," ")</f>
        <v> </v>
      </c>
      <c r="AG247" s="17" t="str">
        <f aca="false">IF((E247="y"),H247," ")</f>
        <v> </v>
      </c>
      <c r="AH247" s="17" t="str">
        <f aca="false">IF((E247="z"),H247," ")</f>
        <v> </v>
      </c>
      <c r="AI247" s="17" t="str">
        <f aca="false">IF((E247="fa"),H247," ")</f>
        <v> </v>
      </c>
      <c r="AJ247" s="17" t="str">
        <f aca="false">IF((E247="e"),H247," ")</f>
        <v> </v>
      </c>
    </row>
    <row r="248" customFormat="false" ht="12" hidden="false" customHeight="false" outlineLevel="0" collapsed="false">
      <c r="A248" s="28"/>
      <c r="E248" s="2" t="str">
        <f aca="false">IF((F248&lt;&gt;0),"Enter Letter"," ")</f>
        <v> </v>
      </c>
      <c r="F248" s="30"/>
      <c r="G248" s="6" t="str">
        <f aca="false">IF(F248&lt;&gt;0,F248*G$2/(100+G$2)," ")</f>
        <v> </v>
      </c>
      <c r="H248" s="6" t="str">
        <f aca="false">IF((F248&lt;&gt;0),F248-G248," ")</f>
        <v> </v>
      </c>
      <c r="I248" s="5"/>
      <c r="L248" s="7" t="str">
        <f aca="false">IF(F248&lt;&gt;0,F248-K248," ")</f>
        <v> </v>
      </c>
      <c r="M248" s="8" t="str">
        <f aca="false">IF((F248-K248)&lt;&gt;0,M$1-A248," ")</f>
        <v> </v>
      </c>
      <c r="N248" s="5"/>
      <c r="O248" s="17" t="str">
        <f aca="false">IF((E248="s"),H248," ")</f>
        <v> </v>
      </c>
      <c r="P248" s="17" t="str">
        <f aca="false">IF((E248="c"),H248," ")</f>
        <v> </v>
      </c>
      <c r="Q248" s="17" t="str">
        <f aca="false">IF((E248="o"),H248," ")</f>
        <v> </v>
      </c>
      <c r="R248" s="17" t="str">
        <f aca="false">IF((E248="d"),H248," ")</f>
        <v> </v>
      </c>
      <c r="S248" s="17" t="str">
        <f aca="false">IF((E248="w"),H248," ")</f>
        <v> </v>
      </c>
      <c r="T248" s="17" t="str">
        <f aca="false">IF((E248="r"),H248," ")</f>
        <v> </v>
      </c>
      <c r="U248" s="17" t="str">
        <f aca="false">IF((E248="p"),H248," ")</f>
        <v> </v>
      </c>
      <c r="V248" s="17" t="str">
        <f aca="false">IF((E248="t"),H248," ")</f>
        <v> </v>
      </c>
      <c r="W248" s="17" t="str">
        <f aca="false">IF((E248="q"),H248," ")</f>
        <v> </v>
      </c>
      <c r="X248" s="17" t="str">
        <f aca="false">IF((E248="m"),H248," ")</f>
        <v> </v>
      </c>
      <c r="Y248" s="17" t="str">
        <f aca="false">IF((E248="u"),H248," ")</f>
        <v> </v>
      </c>
      <c r="Z248" s="17" t="str">
        <f aca="false">IF((E248="a"),H248," ")</f>
        <v> </v>
      </c>
      <c r="AA248" s="17" t="str">
        <f aca="false">IF((E248="g"),H248," ")</f>
        <v> </v>
      </c>
      <c r="AB248" s="17" t="str">
        <f aca="false">IF((E248="h"),H248," ")</f>
        <v> </v>
      </c>
      <c r="AC248" s="30" t="str">
        <f aca="false">IF((E248="v"),H248," ")</f>
        <v> </v>
      </c>
      <c r="AD248" s="30" t="str">
        <f aca="false">IF((E248="n"),H248," ")</f>
        <v> </v>
      </c>
      <c r="AE248" s="17" t="str">
        <f aca="false">IF((E248="f"),H248," ")</f>
        <v> </v>
      </c>
      <c r="AF248" s="17" t="str">
        <f aca="false">IF((E248="l"),H248," ")</f>
        <v> </v>
      </c>
      <c r="AG248" s="17" t="str">
        <f aca="false">IF((E248="y"),H248," ")</f>
        <v> </v>
      </c>
      <c r="AH248" s="17" t="str">
        <f aca="false">IF((E248="z"),H248," ")</f>
        <v> </v>
      </c>
      <c r="AI248" s="17" t="str">
        <f aca="false">IF((E248="fa"),H248," ")</f>
        <v> </v>
      </c>
      <c r="AJ248" s="17" t="str">
        <f aca="false">IF((E248="e"),H248," ")</f>
        <v> </v>
      </c>
    </row>
    <row r="249" customFormat="false" ht="12" hidden="false" customHeight="false" outlineLevel="0" collapsed="false">
      <c r="A249" s="28"/>
      <c r="E249" s="2" t="str">
        <f aca="false">IF((F249&lt;&gt;0),"Enter Letter"," ")</f>
        <v> </v>
      </c>
      <c r="F249" s="30"/>
      <c r="G249" s="6" t="str">
        <f aca="false">IF(F249&lt;&gt;0,F249*G$2/(100+G$2)," ")</f>
        <v> </v>
      </c>
      <c r="H249" s="6" t="str">
        <f aca="false">IF((F249&lt;&gt;0),F249-G249," ")</f>
        <v> </v>
      </c>
      <c r="I249" s="5"/>
      <c r="L249" s="7" t="str">
        <f aca="false">IF(F249&lt;&gt;0,F249-K249," ")</f>
        <v> </v>
      </c>
      <c r="M249" s="8" t="str">
        <f aca="false">IF((F249-K249)&lt;&gt;0,M$1-A249," ")</f>
        <v> </v>
      </c>
      <c r="N249" s="5"/>
      <c r="O249" s="17" t="str">
        <f aca="false">IF((E249="s"),H249," ")</f>
        <v> </v>
      </c>
      <c r="P249" s="17" t="str">
        <f aca="false">IF((E249="c"),H249," ")</f>
        <v> </v>
      </c>
      <c r="Q249" s="17" t="str">
        <f aca="false">IF((E249="o"),H249," ")</f>
        <v> </v>
      </c>
      <c r="R249" s="17" t="str">
        <f aca="false">IF((E249="d"),H249," ")</f>
        <v> </v>
      </c>
      <c r="S249" s="17" t="str">
        <f aca="false">IF((E249="w"),H249," ")</f>
        <v> </v>
      </c>
      <c r="T249" s="17" t="str">
        <f aca="false">IF((E249="r"),H249," ")</f>
        <v> </v>
      </c>
      <c r="U249" s="17" t="str">
        <f aca="false">IF((E249="p"),H249," ")</f>
        <v> </v>
      </c>
      <c r="V249" s="17" t="str">
        <f aca="false">IF((E249="t"),H249," ")</f>
        <v> </v>
      </c>
      <c r="W249" s="17" t="str">
        <f aca="false">IF((E249="q"),H249," ")</f>
        <v> </v>
      </c>
      <c r="X249" s="17" t="str">
        <f aca="false">IF((E249="m"),H249," ")</f>
        <v> </v>
      </c>
      <c r="Y249" s="17" t="str">
        <f aca="false">IF((E249="u"),H249," ")</f>
        <v> </v>
      </c>
      <c r="Z249" s="17" t="str">
        <f aca="false">IF((E249="a"),H249," ")</f>
        <v> </v>
      </c>
      <c r="AA249" s="17" t="str">
        <f aca="false">IF((E249="g"),H249," ")</f>
        <v> </v>
      </c>
      <c r="AB249" s="17" t="str">
        <f aca="false">IF((E249="h"),H249," ")</f>
        <v> </v>
      </c>
      <c r="AC249" s="30" t="str">
        <f aca="false">IF((E249="v"),H249," ")</f>
        <v> </v>
      </c>
      <c r="AD249" s="30" t="str">
        <f aca="false">IF((E249="n"),H249," ")</f>
        <v> </v>
      </c>
      <c r="AE249" s="17" t="str">
        <f aca="false">IF((E249="f"),H249," ")</f>
        <v> </v>
      </c>
      <c r="AF249" s="17" t="str">
        <f aca="false">IF((E249="l"),H249," ")</f>
        <v> </v>
      </c>
      <c r="AG249" s="17" t="str">
        <f aca="false">IF((E249="y"),H249," ")</f>
        <v> </v>
      </c>
      <c r="AH249" s="17" t="str">
        <f aca="false">IF((E249="z"),H249," ")</f>
        <v> </v>
      </c>
      <c r="AI249" s="17" t="str">
        <f aca="false">IF((E249="fa"),H249," ")</f>
        <v> </v>
      </c>
      <c r="AJ249" s="17" t="str">
        <f aca="false">IF((E249="e"),H249," ")</f>
        <v> </v>
      </c>
    </row>
    <row r="250" customFormat="false" ht="12" hidden="false" customHeight="false" outlineLevel="0" collapsed="false">
      <c r="A250" s="28"/>
      <c r="E250" s="2" t="str">
        <f aca="false">IF((F250&lt;&gt;0),"Enter Letter"," ")</f>
        <v> </v>
      </c>
      <c r="F250" s="30"/>
      <c r="G250" s="6" t="str">
        <f aca="false">IF(F250&lt;&gt;0,F250*G$2/(100+G$2)," ")</f>
        <v> </v>
      </c>
      <c r="H250" s="6" t="str">
        <f aca="false">IF((F250&lt;&gt;0),F250-G250," ")</f>
        <v> </v>
      </c>
      <c r="I250" s="5"/>
      <c r="L250" s="7" t="str">
        <f aca="false">IF(F250&lt;&gt;0,F250-K250," ")</f>
        <v> </v>
      </c>
      <c r="M250" s="8" t="str">
        <f aca="false">IF((F250-K250)&lt;&gt;0,M$1-A250," ")</f>
        <v> </v>
      </c>
      <c r="N250" s="5"/>
      <c r="O250" s="17" t="str">
        <f aca="false">IF((E250="s"),H250," ")</f>
        <v> </v>
      </c>
      <c r="P250" s="17" t="str">
        <f aca="false">IF((E250="c"),H250," ")</f>
        <v> </v>
      </c>
      <c r="Q250" s="17" t="str">
        <f aca="false">IF((E250="o"),H250," ")</f>
        <v> </v>
      </c>
      <c r="R250" s="17" t="str">
        <f aca="false">IF((E250="d"),H250," ")</f>
        <v> </v>
      </c>
      <c r="S250" s="17" t="str">
        <f aca="false">IF((E250="w"),H250," ")</f>
        <v> </v>
      </c>
      <c r="T250" s="17" t="str">
        <f aca="false">IF((E250="r"),H250," ")</f>
        <v> </v>
      </c>
      <c r="U250" s="17" t="str">
        <f aca="false">IF((E250="p"),H250," ")</f>
        <v> </v>
      </c>
      <c r="V250" s="17" t="str">
        <f aca="false">IF((E250="t"),H250," ")</f>
        <v> </v>
      </c>
      <c r="W250" s="17" t="str">
        <f aca="false">IF((E250="q"),H250," ")</f>
        <v> </v>
      </c>
      <c r="X250" s="17" t="str">
        <f aca="false">IF((E250="m"),H250," ")</f>
        <v> </v>
      </c>
      <c r="Y250" s="17" t="str">
        <f aca="false">IF((E250="u"),H250," ")</f>
        <v> </v>
      </c>
      <c r="Z250" s="17" t="str">
        <f aca="false">IF((E250="a"),H250," ")</f>
        <v> </v>
      </c>
      <c r="AA250" s="17" t="str">
        <f aca="false">IF((E250="g"),H250," ")</f>
        <v> </v>
      </c>
      <c r="AB250" s="17" t="str">
        <f aca="false">IF((E250="h"),H250," ")</f>
        <v> </v>
      </c>
      <c r="AC250" s="30" t="str">
        <f aca="false">IF((E250="v"),H250," ")</f>
        <v> </v>
      </c>
      <c r="AD250" s="30" t="str">
        <f aca="false">IF((E250="n"),H250," ")</f>
        <v> </v>
      </c>
      <c r="AE250" s="17" t="str">
        <f aca="false">IF((E250="f"),H250," ")</f>
        <v> </v>
      </c>
      <c r="AF250" s="17" t="str">
        <f aca="false">IF((E250="l"),H250," ")</f>
        <v> </v>
      </c>
      <c r="AG250" s="17" t="str">
        <f aca="false">IF((E250="y"),H250," ")</f>
        <v> </v>
      </c>
      <c r="AH250" s="17" t="str">
        <f aca="false">IF((E250="z"),H250," ")</f>
        <v> </v>
      </c>
      <c r="AI250" s="17" t="str">
        <f aca="false">IF((E250="fa"),H250," ")</f>
        <v> </v>
      </c>
      <c r="AJ250" s="17" t="str">
        <f aca="false">IF((E250="e"),H250," ")</f>
        <v> </v>
      </c>
    </row>
    <row r="251" customFormat="false" ht="12" hidden="false" customHeight="false" outlineLevel="0" collapsed="false">
      <c r="A251" s="28"/>
      <c r="E251" s="2" t="str">
        <f aca="false">IF((F251&lt;&gt;0),"Enter Letter"," ")</f>
        <v> </v>
      </c>
      <c r="F251" s="30"/>
      <c r="G251" s="6" t="str">
        <f aca="false">IF(F251&lt;&gt;0,F251*G$2/(100+G$2)," ")</f>
        <v> </v>
      </c>
      <c r="H251" s="6" t="str">
        <f aca="false">IF((F251&lt;&gt;0),F251-G251," ")</f>
        <v> </v>
      </c>
      <c r="I251" s="5"/>
      <c r="L251" s="7" t="str">
        <f aca="false">IF(F251&lt;&gt;0,F251-K251," ")</f>
        <v> </v>
      </c>
      <c r="M251" s="8" t="str">
        <f aca="false">IF((F251-K251)&lt;&gt;0,M$1-A251," ")</f>
        <v> </v>
      </c>
      <c r="N251" s="5"/>
      <c r="O251" s="17" t="str">
        <f aca="false">IF((E251="s"),H251," ")</f>
        <v> </v>
      </c>
      <c r="P251" s="17" t="str">
        <f aca="false">IF((E251="c"),H251," ")</f>
        <v> </v>
      </c>
      <c r="Q251" s="17" t="str">
        <f aca="false">IF((E251="o"),H251," ")</f>
        <v> </v>
      </c>
      <c r="R251" s="17" t="str">
        <f aca="false">IF((E251="d"),H251," ")</f>
        <v> </v>
      </c>
      <c r="S251" s="17" t="str">
        <f aca="false">IF((E251="w"),H251," ")</f>
        <v> </v>
      </c>
      <c r="T251" s="17" t="str">
        <f aca="false">IF((E251="r"),H251," ")</f>
        <v> </v>
      </c>
      <c r="U251" s="17" t="str">
        <f aca="false">IF((E251="p"),H251," ")</f>
        <v> </v>
      </c>
      <c r="V251" s="17" t="str">
        <f aca="false">IF((E251="t"),H251," ")</f>
        <v> </v>
      </c>
      <c r="W251" s="17" t="str">
        <f aca="false">IF((E251="q"),H251," ")</f>
        <v> </v>
      </c>
      <c r="X251" s="17" t="str">
        <f aca="false">IF((E251="m"),H251," ")</f>
        <v> </v>
      </c>
      <c r="Y251" s="17" t="str">
        <f aca="false">IF((E251="u"),H251," ")</f>
        <v> </v>
      </c>
      <c r="Z251" s="17" t="str">
        <f aca="false">IF((E251="a"),H251," ")</f>
        <v> </v>
      </c>
      <c r="AA251" s="17" t="str">
        <f aca="false">IF((E251="g"),H251," ")</f>
        <v> </v>
      </c>
      <c r="AB251" s="17" t="str">
        <f aca="false">IF((E251="h"),H251," ")</f>
        <v> </v>
      </c>
      <c r="AC251" s="30" t="str">
        <f aca="false">IF((E251="v"),H251," ")</f>
        <v> </v>
      </c>
      <c r="AD251" s="30" t="str">
        <f aca="false">IF((E251="n"),H251," ")</f>
        <v> </v>
      </c>
      <c r="AE251" s="17" t="str">
        <f aca="false">IF((E251="f"),H251," ")</f>
        <v> </v>
      </c>
      <c r="AF251" s="17" t="str">
        <f aca="false">IF((E251="l"),H251," ")</f>
        <v> </v>
      </c>
      <c r="AG251" s="17" t="str">
        <f aca="false">IF((E251="y"),H251," ")</f>
        <v> </v>
      </c>
      <c r="AH251" s="17" t="str">
        <f aca="false">IF((E251="z"),H251," ")</f>
        <v> </v>
      </c>
      <c r="AI251" s="17" t="str">
        <f aca="false">IF((E251="fa"),H251," ")</f>
        <v> </v>
      </c>
      <c r="AJ251" s="17" t="str">
        <f aca="false">IF((E251="e"),H251," ")</f>
        <v> </v>
      </c>
    </row>
    <row r="252" customFormat="false" ht="12" hidden="false" customHeight="false" outlineLevel="0" collapsed="false">
      <c r="A252" s="28"/>
      <c r="E252" s="2" t="str">
        <f aca="false">IF((F252&lt;&gt;0),"Enter Letter"," ")</f>
        <v> </v>
      </c>
      <c r="F252" s="30"/>
      <c r="G252" s="6" t="str">
        <f aca="false">IF(F252&lt;&gt;0,F252*G$2/(100+G$2)," ")</f>
        <v> </v>
      </c>
      <c r="H252" s="6" t="str">
        <f aca="false">IF((F252&lt;&gt;0),F252-G252," ")</f>
        <v> </v>
      </c>
      <c r="I252" s="5"/>
      <c r="L252" s="7" t="str">
        <f aca="false">IF(F252&lt;&gt;0,F252-K252," ")</f>
        <v> </v>
      </c>
      <c r="M252" s="8" t="str">
        <f aca="false">IF((F252-K252)&lt;&gt;0,M$1-A252," ")</f>
        <v> </v>
      </c>
      <c r="N252" s="5"/>
      <c r="O252" s="17" t="str">
        <f aca="false">IF((E252="s"),H252," ")</f>
        <v> </v>
      </c>
      <c r="P252" s="17" t="str">
        <f aca="false">IF((E252="c"),H252," ")</f>
        <v> </v>
      </c>
      <c r="Q252" s="17" t="str">
        <f aca="false">IF((E252="o"),H252," ")</f>
        <v> </v>
      </c>
      <c r="R252" s="17" t="str">
        <f aca="false">IF((E252="d"),H252," ")</f>
        <v> </v>
      </c>
      <c r="S252" s="17" t="str">
        <f aca="false">IF((E252="w"),H252," ")</f>
        <v> </v>
      </c>
      <c r="T252" s="17" t="str">
        <f aca="false">IF((E252="r"),H252," ")</f>
        <v> </v>
      </c>
      <c r="U252" s="17" t="str">
        <f aca="false">IF((E252="p"),H252," ")</f>
        <v> </v>
      </c>
      <c r="V252" s="17" t="str">
        <f aca="false">IF((E252="t"),H252," ")</f>
        <v> </v>
      </c>
      <c r="W252" s="17" t="str">
        <f aca="false">IF((E252="q"),H252," ")</f>
        <v> </v>
      </c>
      <c r="X252" s="17" t="str">
        <f aca="false">IF((E252="m"),H252," ")</f>
        <v> </v>
      </c>
      <c r="Y252" s="17" t="str">
        <f aca="false">IF((E252="u"),H252," ")</f>
        <v> </v>
      </c>
      <c r="Z252" s="17" t="str">
        <f aca="false">IF((E252="a"),H252," ")</f>
        <v> </v>
      </c>
      <c r="AA252" s="17" t="str">
        <f aca="false">IF((E252="g"),H252," ")</f>
        <v> </v>
      </c>
      <c r="AB252" s="17" t="str">
        <f aca="false">IF((E252="h"),H252," ")</f>
        <v> </v>
      </c>
      <c r="AC252" s="30" t="str">
        <f aca="false">IF((E252="v"),H252," ")</f>
        <v> </v>
      </c>
      <c r="AD252" s="30" t="str">
        <f aca="false">IF((E252="n"),H252," ")</f>
        <v> </v>
      </c>
      <c r="AE252" s="17" t="str">
        <f aca="false">IF((E252="f"),H252," ")</f>
        <v> </v>
      </c>
      <c r="AF252" s="17" t="str">
        <f aca="false">IF((E252="l"),H252," ")</f>
        <v> </v>
      </c>
      <c r="AG252" s="17" t="str">
        <f aca="false">IF((E252="y"),H252," ")</f>
        <v> </v>
      </c>
      <c r="AH252" s="17" t="str">
        <f aca="false">IF((E252="z"),H252," ")</f>
        <v> </v>
      </c>
      <c r="AI252" s="17" t="str">
        <f aca="false">IF((E252="fa"),H252," ")</f>
        <v> </v>
      </c>
      <c r="AJ252" s="17" t="str">
        <f aca="false">IF((E252="e"),H252," ")</f>
        <v> </v>
      </c>
    </row>
    <row r="253" customFormat="false" ht="12" hidden="false" customHeight="false" outlineLevel="0" collapsed="false">
      <c r="A253" s="28"/>
      <c r="E253" s="2" t="str">
        <f aca="false">IF((F253&lt;&gt;0),"Enter Letter"," ")</f>
        <v> </v>
      </c>
      <c r="F253" s="30"/>
      <c r="G253" s="6" t="str">
        <f aca="false">IF(F253&lt;&gt;0,F253*G$2/(100+G$2)," ")</f>
        <v> </v>
      </c>
      <c r="H253" s="6" t="str">
        <f aca="false">IF((F253&lt;&gt;0),F253-G253," ")</f>
        <v> </v>
      </c>
      <c r="I253" s="5"/>
      <c r="L253" s="7" t="str">
        <f aca="false">IF(F253&lt;&gt;0,F253-K253," ")</f>
        <v> </v>
      </c>
      <c r="M253" s="8" t="str">
        <f aca="false">IF((F253-K253)&lt;&gt;0,M$1-A253," ")</f>
        <v> </v>
      </c>
      <c r="N253" s="5"/>
      <c r="O253" s="17" t="str">
        <f aca="false">IF((E253="s"),H253," ")</f>
        <v> </v>
      </c>
      <c r="P253" s="17" t="str">
        <f aca="false">IF((E253="c"),H253," ")</f>
        <v> </v>
      </c>
      <c r="Q253" s="17" t="str">
        <f aca="false">IF((E253="o"),H253," ")</f>
        <v> </v>
      </c>
      <c r="R253" s="17" t="str">
        <f aca="false">IF((E253="d"),H253," ")</f>
        <v> </v>
      </c>
      <c r="S253" s="17" t="str">
        <f aca="false">IF((E253="w"),H253," ")</f>
        <v> </v>
      </c>
      <c r="T253" s="17" t="str">
        <f aca="false">IF((E253="r"),H253," ")</f>
        <v> </v>
      </c>
      <c r="U253" s="17" t="str">
        <f aca="false">IF((E253="p"),H253," ")</f>
        <v> </v>
      </c>
      <c r="V253" s="17" t="str">
        <f aca="false">IF((E253="t"),H253," ")</f>
        <v> </v>
      </c>
      <c r="W253" s="17" t="str">
        <f aca="false">IF((E253="q"),H253," ")</f>
        <v> </v>
      </c>
      <c r="X253" s="17" t="str">
        <f aca="false">IF((E253="m"),H253," ")</f>
        <v> </v>
      </c>
      <c r="Y253" s="17" t="str">
        <f aca="false">IF((E253="u"),H253," ")</f>
        <v> </v>
      </c>
      <c r="Z253" s="17" t="str">
        <f aca="false">IF((E253="a"),H253," ")</f>
        <v> </v>
      </c>
      <c r="AA253" s="17" t="str">
        <f aca="false">IF((E253="g"),H253," ")</f>
        <v> </v>
      </c>
      <c r="AB253" s="17" t="str">
        <f aca="false">IF((E253="h"),H253," ")</f>
        <v> </v>
      </c>
      <c r="AC253" s="30" t="str">
        <f aca="false">IF((E253="v"),H253," ")</f>
        <v> </v>
      </c>
      <c r="AD253" s="30" t="str">
        <f aca="false">IF((E253="n"),H253," ")</f>
        <v> </v>
      </c>
      <c r="AE253" s="17" t="str">
        <f aca="false">IF((E253="f"),H253," ")</f>
        <v> </v>
      </c>
      <c r="AF253" s="17" t="str">
        <f aca="false">IF((E253="l"),H253," ")</f>
        <v> </v>
      </c>
      <c r="AG253" s="17" t="str">
        <f aca="false">IF((E253="y"),H253," ")</f>
        <v> </v>
      </c>
      <c r="AH253" s="17" t="str">
        <f aca="false">IF((E253="z"),H253," ")</f>
        <v> </v>
      </c>
      <c r="AI253" s="17" t="str">
        <f aca="false">IF((E253="fa"),H253," ")</f>
        <v> </v>
      </c>
      <c r="AJ253" s="17" t="str">
        <f aca="false">IF((E253="e"),H253," ")</f>
        <v> </v>
      </c>
    </row>
    <row r="254" customFormat="false" ht="12" hidden="false" customHeight="false" outlineLevel="0" collapsed="false">
      <c r="A254" s="28"/>
      <c r="E254" s="2" t="str">
        <f aca="false">IF((F254&lt;&gt;0),"Enter Letter"," ")</f>
        <v> </v>
      </c>
      <c r="F254" s="30"/>
      <c r="G254" s="6" t="str">
        <f aca="false">IF(F254&lt;&gt;0,F254*G$2/(100+G$2)," ")</f>
        <v> </v>
      </c>
      <c r="H254" s="6" t="str">
        <f aca="false">IF((F254&lt;&gt;0),F254-G254," ")</f>
        <v> </v>
      </c>
      <c r="I254" s="5"/>
      <c r="L254" s="7" t="str">
        <f aca="false">IF(F254&lt;&gt;0,F254-K254," ")</f>
        <v> </v>
      </c>
      <c r="M254" s="8" t="str">
        <f aca="false">IF((F254-K254)&lt;&gt;0,M$1-A254," ")</f>
        <v> </v>
      </c>
      <c r="N254" s="5"/>
      <c r="O254" s="17" t="str">
        <f aca="false">IF((E254="s"),H254," ")</f>
        <v> </v>
      </c>
      <c r="P254" s="17" t="str">
        <f aca="false">IF((E254="c"),H254," ")</f>
        <v> </v>
      </c>
      <c r="Q254" s="17" t="str">
        <f aca="false">IF((E254="o"),H254," ")</f>
        <v> </v>
      </c>
      <c r="R254" s="17" t="str">
        <f aca="false">IF((E254="d"),H254," ")</f>
        <v> </v>
      </c>
      <c r="S254" s="17" t="str">
        <f aca="false">IF((E254="w"),H254," ")</f>
        <v> </v>
      </c>
      <c r="T254" s="17" t="str">
        <f aca="false">IF((E254="r"),H254," ")</f>
        <v> </v>
      </c>
      <c r="U254" s="17" t="str">
        <f aca="false">IF((E254="p"),H254," ")</f>
        <v> </v>
      </c>
      <c r="V254" s="17" t="str">
        <f aca="false">IF((E254="t"),H254," ")</f>
        <v> </v>
      </c>
      <c r="W254" s="17" t="str">
        <f aca="false">IF((E254="q"),H254," ")</f>
        <v> </v>
      </c>
      <c r="X254" s="17" t="str">
        <f aca="false">IF((E254="m"),H254," ")</f>
        <v> </v>
      </c>
      <c r="Y254" s="17" t="str">
        <f aca="false">IF((E254="u"),H254," ")</f>
        <v> </v>
      </c>
      <c r="Z254" s="17" t="str">
        <f aca="false">IF((E254="a"),H254," ")</f>
        <v> </v>
      </c>
      <c r="AA254" s="17" t="str">
        <f aca="false">IF((E254="g"),H254," ")</f>
        <v> </v>
      </c>
      <c r="AB254" s="17" t="str">
        <f aca="false">IF((E254="h"),H254," ")</f>
        <v> </v>
      </c>
      <c r="AC254" s="30" t="str">
        <f aca="false">IF((E254="v"),H254," ")</f>
        <v> </v>
      </c>
      <c r="AD254" s="30" t="str">
        <f aca="false">IF((E254="n"),H254," ")</f>
        <v> </v>
      </c>
      <c r="AE254" s="17" t="str">
        <f aca="false">IF((E254="f"),H254," ")</f>
        <v> </v>
      </c>
      <c r="AF254" s="17" t="str">
        <f aca="false">IF((E254="l"),H254," ")</f>
        <v> </v>
      </c>
      <c r="AG254" s="17" t="str">
        <f aca="false">IF((E254="y"),H254," ")</f>
        <v> </v>
      </c>
      <c r="AH254" s="17" t="str">
        <f aca="false">IF((E254="z"),H254," ")</f>
        <v> </v>
      </c>
      <c r="AI254" s="17" t="str">
        <f aca="false">IF((E254="fa"),H254," ")</f>
        <v> </v>
      </c>
      <c r="AJ254" s="17" t="str">
        <f aca="false">IF((E254="e"),H254," ")</f>
        <v> </v>
      </c>
    </row>
    <row r="255" customFormat="false" ht="12" hidden="false" customHeight="false" outlineLevel="0" collapsed="false">
      <c r="A255" s="28"/>
      <c r="E255" s="2" t="str">
        <f aca="false">IF((F255&lt;&gt;0),"Enter Letter"," ")</f>
        <v> </v>
      </c>
      <c r="F255" s="30"/>
      <c r="G255" s="6" t="str">
        <f aca="false">IF(F255&lt;&gt;0,F255*G$2/(100+G$2)," ")</f>
        <v> </v>
      </c>
      <c r="H255" s="6" t="str">
        <f aca="false">IF((F255&lt;&gt;0),F255-G255," ")</f>
        <v> </v>
      </c>
      <c r="I255" s="5"/>
      <c r="L255" s="7" t="str">
        <f aca="false">IF(F255&lt;&gt;0,F255-K255," ")</f>
        <v> </v>
      </c>
      <c r="M255" s="8" t="str">
        <f aca="false">IF((F255-K255)&lt;&gt;0,M$1-A255," ")</f>
        <v> </v>
      </c>
      <c r="N255" s="5"/>
      <c r="O255" s="17" t="str">
        <f aca="false">IF((E255="s"),H255," ")</f>
        <v> </v>
      </c>
      <c r="P255" s="17" t="str">
        <f aca="false">IF((E255="c"),H255," ")</f>
        <v> </v>
      </c>
      <c r="Q255" s="17" t="str">
        <f aca="false">IF((E255="o"),H255," ")</f>
        <v> </v>
      </c>
      <c r="R255" s="17" t="str">
        <f aca="false">IF((E255="d"),H255," ")</f>
        <v> </v>
      </c>
      <c r="S255" s="17" t="str">
        <f aca="false">IF((E255="w"),H255," ")</f>
        <v> </v>
      </c>
      <c r="T255" s="17" t="str">
        <f aca="false">IF((E255="r"),H255," ")</f>
        <v> </v>
      </c>
      <c r="U255" s="17" t="str">
        <f aca="false">IF((E255="p"),H255," ")</f>
        <v> </v>
      </c>
      <c r="V255" s="17" t="str">
        <f aca="false">IF((E255="t"),H255," ")</f>
        <v> </v>
      </c>
      <c r="W255" s="17" t="str">
        <f aca="false">IF((E255="q"),H255," ")</f>
        <v> </v>
      </c>
      <c r="X255" s="17" t="str">
        <f aca="false">IF((E255="m"),H255," ")</f>
        <v> </v>
      </c>
      <c r="Y255" s="17" t="str">
        <f aca="false">IF((E255="u"),H255," ")</f>
        <v> </v>
      </c>
      <c r="Z255" s="17" t="str">
        <f aca="false">IF((E255="a"),H255," ")</f>
        <v> </v>
      </c>
      <c r="AA255" s="17" t="str">
        <f aca="false">IF((E255="g"),H255," ")</f>
        <v> </v>
      </c>
      <c r="AB255" s="17" t="str">
        <f aca="false">IF((E255="h"),H255," ")</f>
        <v> </v>
      </c>
      <c r="AC255" s="30" t="str">
        <f aca="false">IF((E255="v"),H255," ")</f>
        <v> </v>
      </c>
      <c r="AD255" s="30" t="str">
        <f aca="false">IF((E255="n"),H255," ")</f>
        <v> </v>
      </c>
      <c r="AE255" s="17" t="str">
        <f aca="false">IF((E255="f"),H255," ")</f>
        <v> </v>
      </c>
      <c r="AF255" s="17" t="str">
        <f aca="false">IF((E255="l"),H255," ")</f>
        <v> </v>
      </c>
      <c r="AG255" s="17" t="str">
        <f aca="false">IF((E255="y"),H255," ")</f>
        <v> </v>
      </c>
      <c r="AH255" s="17" t="str">
        <f aca="false">IF((E255="z"),H255," ")</f>
        <v> </v>
      </c>
      <c r="AI255" s="17" t="str">
        <f aca="false">IF((E255="fa"),H255," ")</f>
        <v> </v>
      </c>
      <c r="AJ255" s="17" t="str">
        <f aca="false">IF((E255="e"),H255," ")</f>
        <v> </v>
      </c>
    </row>
    <row r="256" customFormat="false" ht="12" hidden="false" customHeight="false" outlineLevel="0" collapsed="false">
      <c r="A256" s="28"/>
      <c r="E256" s="2" t="str">
        <f aca="false">IF((F256&lt;&gt;0),"Enter Letter"," ")</f>
        <v> </v>
      </c>
      <c r="F256" s="30"/>
      <c r="G256" s="6" t="str">
        <f aca="false">IF(F256&lt;&gt;0,F256*G$2/(100+G$2)," ")</f>
        <v> </v>
      </c>
      <c r="H256" s="6" t="str">
        <f aca="false">IF((F256&lt;&gt;0),F256-G256," ")</f>
        <v> </v>
      </c>
      <c r="I256" s="5"/>
      <c r="L256" s="7" t="str">
        <f aca="false">IF(F256&lt;&gt;0,F256-K256," ")</f>
        <v> </v>
      </c>
      <c r="M256" s="8" t="str">
        <f aca="false">IF((F256-K256)&lt;&gt;0,M$1-A256," ")</f>
        <v> </v>
      </c>
      <c r="N256" s="5"/>
      <c r="O256" s="17" t="str">
        <f aca="false">IF((E256="s"),H256," ")</f>
        <v> </v>
      </c>
      <c r="P256" s="17" t="str">
        <f aca="false">IF((E256="c"),H256," ")</f>
        <v> </v>
      </c>
      <c r="Q256" s="17" t="str">
        <f aca="false">IF((E256="o"),H256," ")</f>
        <v> </v>
      </c>
      <c r="R256" s="17" t="str">
        <f aca="false">IF((E256="d"),H256," ")</f>
        <v> </v>
      </c>
      <c r="S256" s="17" t="str">
        <f aca="false">IF((E256="w"),H256," ")</f>
        <v> </v>
      </c>
      <c r="T256" s="17" t="str">
        <f aca="false">IF((E256="r"),H256," ")</f>
        <v> </v>
      </c>
      <c r="U256" s="17" t="str">
        <f aca="false">IF((E256="p"),H256," ")</f>
        <v> </v>
      </c>
      <c r="V256" s="17" t="str">
        <f aca="false">IF((E256="t"),H256," ")</f>
        <v> </v>
      </c>
      <c r="W256" s="17" t="str">
        <f aca="false">IF((E256="q"),H256," ")</f>
        <v> </v>
      </c>
      <c r="X256" s="17" t="str">
        <f aca="false">IF((E256="m"),H256," ")</f>
        <v> </v>
      </c>
      <c r="Y256" s="17" t="str">
        <f aca="false">IF((E256="u"),H256," ")</f>
        <v> </v>
      </c>
      <c r="Z256" s="17" t="str">
        <f aca="false">IF((E256="a"),H256," ")</f>
        <v> </v>
      </c>
      <c r="AA256" s="17" t="str">
        <f aca="false">IF((E256="g"),H256," ")</f>
        <v> </v>
      </c>
      <c r="AB256" s="17" t="str">
        <f aca="false">IF((E256="h"),H256," ")</f>
        <v> </v>
      </c>
      <c r="AC256" s="30" t="str">
        <f aca="false">IF((E256="v"),H256," ")</f>
        <v> </v>
      </c>
      <c r="AD256" s="30" t="str">
        <f aca="false">IF((E256="n"),H256," ")</f>
        <v> </v>
      </c>
      <c r="AE256" s="17" t="str">
        <f aca="false">IF((E256="f"),H256," ")</f>
        <v> </v>
      </c>
      <c r="AF256" s="17" t="str">
        <f aca="false">IF((E256="l"),H256," ")</f>
        <v> </v>
      </c>
      <c r="AG256" s="17" t="str">
        <f aca="false">IF((E256="y"),H256," ")</f>
        <v> </v>
      </c>
      <c r="AH256" s="17" t="str">
        <f aca="false">IF((E256="z"),H256," ")</f>
        <v> </v>
      </c>
      <c r="AI256" s="17" t="str">
        <f aca="false">IF((E256="fa"),H256," ")</f>
        <v> </v>
      </c>
      <c r="AJ256" s="17" t="str">
        <f aca="false">IF((E256="e"),H256," ")</f>
        <v> </v>
      </c>
    </row>
    <row r="257" customFormat="false" ht="12" hidden="false" customHeight="false" outlineLevel="0" collapsed="false">
      <c r="A257" s="28"/>
      <c r="E257" s="2" t="str">
        <f aca="false">IF((F257&lt;&gt;0),"Enter Letter"," ")</f>
        <v> </v>
      </c>
      <c r="F257" s="30"/>
      <c r="G257" s="6" t="str">
        <f aca="false">IF(F257&lt;&gt;0,F257*G$2/(100+G$2)," ")</f>
        <v> </v>
      </c>
      <c r="H257" s="6" t="str">
        <f aca="false">IF((F257&lt;&gt;0),F257-G257," ")</f>
        <v> </v>
      </c>
      <c r="I257" s="5"/>
      <c r="L257" s="7" t="str">
        <f aca="false">IF(F257&lt;&gt;0,F257-K257," ")</f>
        <v> </v>
      </c>
      <c r="M257" s="8" t="str">
        <f aca="false">IF((F257-K257)&lt;&gt;0,M$1-A257," ")</f>
        <v> </v>
      </c>
      <c r="N257" s="5"/>
      <c r="O257" s="17" t="str">
        <f aca="false">IF((E257="s"),H257," ")</f>
        <v> </v>
      </c>
      <c r="P257" s="17" t="str">
        <f aca="false">IF((E257="c"),H257," ")</f>
        <v> </v>
      </c>
      <c r="Q257" s="17" t="str">
        <f aca="false">IF((E257="o"),H257," ")</f>
        <v> </v>
      </c>
      <c r="R257" s="17" t="str">
        <f aca="false">IF((E257="d"),H257," ")</f>
        <v> </v>
      </c>
      <c r="S257" s="17" t="str">
        <f aca="false">IF((E257="w"),H257," ")</f>
        <v> </v>
      </c>
      <c r="T257" s="17" t="str">
        <f aca="false">IF((E257="r"),H257," ")</f>
        <v> </v>
      </c>
      <c r="U257" s="17" t="str">
        <f aca="false">IF((E257="p"),H257," ")</f>
        <v> </v>
      </c>
      <c r="V257" s="17" t="str">
        <f aca="false">IF((E257="t"),H257," ")</f>
        <v> </v>
      </c>
      <c r="W257" s="17" t="str">
        <f aca="false">IF((E257="q"),H257," ")</f>
        <v> </v>
      </c>
      <c r="X257" s="17" t="str">
        <f aca="false">IF((E257="m"),H257," ")</f>
        <v> </v>
      </c>
      <c r="Y257" s="17" t="str">
        <f aca="false">IF((E257="u"),H257," ")</f>
        <v> </v>
      </c>
      <c r="Z257" s="17" t="str">
        <f aca="false">IF((E257="a"),H257," ")</f>
        <v> </v>
      </c>
      <c r="AA257" s="17" t="str">
        <f aca="false">IF((E257="g"),H257," ")</f>
        <v> </v>
      </c>
      <c r="AB257" s="17" t="str">
        <f aca="false">IF((E257="h"),H257," ")</f>
        <v> </v>
      </c>
      <c r="AC257" s="30" t="str">
        <f aca="false">IF((E257="v"),H257," ")</f>
        <v> </v>
      </c>
      <c r="AD257" s="30" t="str">
        <f aca="false">IF((E257="n"),H257," ")</f>
        <v> </v>
      </c>
      <c r="AE257" s="17" t="str">
        <f aca="false">IF((E257="f"),H257," ")</f>
        <v> </v>
      </c>
      <c r="AF257" s="17" t="str">
        <f aca="false">IF((E257="l"),H257," ")</f>
        <v> </v>
      </c>
      <c r="AG257" s="17" t="str">
        <f aca="false">IF((E257="y"),H257," ")</f>
        <v> </v>
      </c>
      <c r="AH257" s="17" t="str">
        <f aca="false">IF((E257="z"),H257," ")</f>
        <v> </v>
      </c>
      <c r="AI257" s="17" t="str">
        <f aca="false">IF((E257="fa"),H257," ")</f>
        <v> </v>
      </c>
      <c r="AJ257" s="17" t="str">
        <f aca="false">IF((E257="e"),H257," ")</f>
        <v> </v>
      </c>
    </row>
    <row r="258" customFormat="false" ht="12" hidden="false" customHeight="false" outlineLevel="0" collapsed="false">
      <c r="A258" s="28"/>
      <c r="E258" s="2" t="str">
        <f aca="false">IF((F258&lt;&gt;0),"Enter Letter"," ")</f>
        <v> </v>
      </c>
      <c r="F258" s="30"/>
      <c r="G258" s="6" t="str">
        <f aca="false">IF(F258&lt;&gt;0,F258*G$2/(100+G$2)," ")</f>
        <v> </v>
      </c>
      <c r="H258" s="6" t="str">
        <f aca="false">IF((F258&lt;&gt;0),F258-G258," ")</f>
        <v> </v>
      </c>
      <c r="I258" s="5"/>
      <c r="L258" s="7" t="str">
        <f aca="false">IF(F258&lt;&gt;0,F258-K258," ")</f>
        <v> </v>
      </c>
      <c r="M258" s="8" t="str">
        <f aca="false">IF((F258-K258)&lt;&gt;0,M$1-A258," ")</f>
        <v> </v>
      </c>
      <c r="N258" s="5"/>
      <c r="O258" s="17" t="str">
        <f aca="false">IF((E258="s"),H258," ")</f>
        <v> </v>
      </c>
      <c r="P258" s="17" t="str">
        <f aca="false">IF((E258="c"),H258," ")</f>
        <v> </v>
      </c>
      <c r="Q258" s="17" t="str">
        <f aca="false">IF((E258="o"),H258," ")</f>
        <v> </v>
      </c>
      <c r="R258" s="17" t="str">
        <f aca="false">IF((E258="d"),H258," ")</f>
        <v> </v>
      </c>
      <c r="S258" s="17" t="str">
        <f aca="false">IF((E258="w"),H258," ")</f>
        <v> </v>
      </c>
      <c r="T258" s="17" t="str">
        <f aca="false">IF((E258="r"),H258," ")</f>
        <v> </v>
      </c>
      <c r="U258" s="17" t="str">
        <f aca="false">IF((E258="p"),H258," ")</f>
        <v> </v>
      </c>
      <c r="V258" s="17" t="str">
        <f aca="false">IF((E258="t"),H258," ")</f>
        <v> </v>
      </c>
      <c r="W258" s="17" t="str">
        <f aca="false">IF((E258="q"),H258," ")</f>
        <v> </v>
      </c>
      <c r="X258" s="17" t="str">
        <f aca="false">IF((E258="m"),H258," ")</f>
        <v> </v>
      </c>
      <c r="Y258" s="17" t="str">
        <f aca="false">IF((E258="u"),H258," ")</f>
        <v> </v>
      </c>
      <c r="Z258" s="17" t="str">
        <f aca="false">IF((E258="a"),H258," ")</f>
        <v> </v>
      </c>
      <c r="AA258" s="17" t="str">
        <f aca="false">IF((E258="g"),H258," ")</f>
        <v> </v>
      </c>
      <c r="AB258" s="17" t="str">
        <f aca="false">IF((E258="h"),H258," ")</f>
        <v> </v>
      </c>
      <c r="AC258" s="30" t="str">
        <f aca="false">IF((E258="v"),H258," ")</f>
        <v> </v>
      </c>
      <c r="AD258" s="30" t="str">
        <f aca="false">IF((E258="n"),H258," ")</f>
        <v> </v>
      </c>
      <c r="AE258" s="17" t="str">
        <f aca="false">IF((E258="f"),H258," ")</f>
        <v> </v>
      </c>
      <c r="AF258" s="17" t="str">
        <f aca="false">IF((E258="l"),H258," ")</f>
        <v> </v>
      </c>
      <c r="AG258" s="17" t="str">
        <f aca="false">IF((E258="y"),H258," ")</f>
        <v> </v>
      </c>
      <c r="AH258" s="17" t="str">
        <f aca="false">IF((E258="z"),H258," ")</f>
        <v> </v>
      </c>
      <c r="AI258" s="17" t="str">
        <f aca="false">IF((E258="fa"),H258," ")</f>
        <v> </v>
      </c>
      <c r="AJ258" s="17" t="str">
        <f aca="false">IF((E258="e"),H258," ")</f>
        <v> </v>
      </c>
    </row>
    <row r="259" customFormat="false" ht="12" hidden="false" customHeight="false" outlineLevel="0" collapsed="false">
      <c r="A259" s="28"/>
      <c r="E259" s="2" t="str">
        <f aca="false">IF((F259&lt;&gt;0),"Enter Letter"," ")</f>
        <v> </v>
      </c>
      <c r="F259" s="30"/>
      <c r="G259" s="6" t="str">
        <f aca="false">IF(F259&lt;&gt;0,F259*G$2/(100+G$2)," ")</f>
        <v> </v>
      </c>
      <c r="H259" s="6" t="str">
        <f aca="false">IF((F259&lt;&gt;0),F259-G259," ")</f>
        <v> </v>
      </c>
      <c r="I259" s="5"/>
      <c r="L259" s="7" t="str">
        <f aca="false">IF(F259&lt;&gt;0,F259-K259," ")</f>
        <v> </v>
      </c>
      <c r="M259" s="8" t="str">
        <f aca="false">IF((F259-K259)&lt;&gt;0,M$1-A259," ")</f>
        <v> </v>
      </c>
      <c r="N259" s="5"/>
      <c r="O259" s="17" t="str">
        <f aca="false">IF((E259="s"),H259," ")</f>
        <v> </v>
      </c>
      <c r="P259" s="17" t="str">
        <f aca="false">IF((E259="c"),H259," ")</f>
        <v> </v>
      </c>
      <c r="Q259" s="17" t="str">
        <f aca="false">IF((E259="o"),H259," ")</f>
        <v> </v>
      </c>
      <c r="R259" s="17" t="str">
        <f aca="false">IF((E259="d"),H259," ")</f>
        <v> </v>
      </c>
      <c r="S259" s="17" t="str">
        <f aca="false">IF((E259="w"),H259," ")</f>
        <v> </v>
      </c>
      <c r="T259" s="17" t="str">
        <f aca="false">IF((E259="r"),H259," ")</f>
        <v> </v>
      </c>
      <c r="U259" s="17" t="str">
        <f aca="false">IF((E259="p"),H259," ")</f>
        <v> </v>
      </c>
      <c r="V259" s="17" t="str">
        <f aca="false">IF((E259="t"),H259," ")</f>
        <v> </v>
      </c>
      <c r="W259" s="17" t="str">
        <f aca="false">IF((E259="q"),H259," ")</f>
        <v> </v>
      </c>
      <c r="X259" s="17" t="str">
        <f aca="false">IF((E259="m"),H259," ")</f>
        <v> </v>
      </c>
      <c r="Y259" s="17" t="str">
        <f aca="false">IF((E259="u"),H259," ")</f>
        <v> </v>
      </c>
      <c r="Z259" s="17" t="str">
        <f aca="false">IF((E259="a"),H259," ")</f>
        <v> </v>
      </c>
      <c r="AA259" s="17" t="str">
        <f aca="false">IF((E259="g"),H259," ")</f>
        <v> </v>
      </c>
      <c r="AB259" s="17" t="str">
        <f aca="false">IF((E259="h"),H259," ")</f>
        <v> </v>
      </c>
      <c r="AC259" s="30" t="str">
        <f aca="false">IF((E259="v"),H259," ")</f>
        <v> </v>
      </c>
      <c r="AD259" s="30" t="str">
        <f aca="false">IF((E259="n"),H259," ")</f>
        <v> </v>
      </c>
      <c r="AE259" s="17" t="str">
        <f aca="false">IF((E259="f"),H259," ")</f>
        <v> </v>
      </c>
      <c r="AF259" s="17" t="str">
        <f aca="false">IF((E259="l"),H259," ")</f>
        <v> </v>
      </c>
      <c r="AG259" s="17" t="str">
        <f aca="false">IF((E259="y"),H259," ")</f>
        <v> </v>
      </c>
      <c r="AH259" s="17" t="str">
        <f aca="false">IF((E259="z"),H259," ")</f>
        <v> </v>
      </c>
      <c r="AI259" s="17" t="str">
        <f aca="false">IF((E259="fa"),H259," ")</f>
        <v> </v>
      </c>
      <c r="AJ259" s="17" t="str">
        <f aca="false">IF((E259="e"),H259," ")</f>
        <v> </v>
      </c>
    </row>
    <row r="260" customFormat="false" ht="12" hidden="false" customHeight="false" outlineLevel="0" collapsed="false">
      <c r="A260" s="28"/>
      <c r="E260" s="2" t="str">
        <f aca="false">IF((F260&lt;&gt;0),"Enter Letter"," ")</f>
        <v> </v>
      </c>
      <c r="F260" s="30"/>
      <c r="G260" s="6" t="str">
        <f aca="false">IF(F260&lt;&gt;0,F260*G$2/(100+G$2)," ")</f>
        <v> </v>
      </c>
      <c r="H260" s="6" t="str">
        <f aca="false">IF((F260&lt;&gt;0),F260-G260," ")</f>
        <v> </v>
      </c>
      <c r="I260" s="5"/>
      <c r="L260" s="7" t="str">
        <f aca="false">IF(F260&lt;&gt;0,F260-K260," ")</f>
        <v> </v>
      </c>
      <c r="M260" s="8" t="str">
        <f aca="false">IF((F260-K260)&lt;&gt;0,M$1-A260," ")</f>
        <v> </v>
      </c>
      <c r="N260" s="5"/>
      <c r="O260" s="17" t="str">
        <f aca="false">IF((E260="s"),H260," ")</f>
        <v> </v>
      </c>
      <c r="P260" s="17" t="str">
        <f aca="false">IF((E260="c"),H260," ")</f>
        <v> </v>
      </c>
      <c r="Q260" s="17" t="str">
        <f aca="false">IF((E260="o"),H260," ")</f>
        <v> </v>
      </c>
      <c r="R260" s="17" t="str">
        <f aca="false">IF((E260="d"),H260," ")</f>
        <v> </v>
      </c>
      <c r="S260" s="17" t="str">
        <f aca="false">IF((E260="w"),H260," ")</f>
        <v> </v>
      </c>
      <c r="T260" s="17" t="str">
        <f aca="false">IF((E260="r"),H260," ")</f>
        <v> </v>
      </c>
      <c r="U260" s="17" t="str">
        <f aca="false">IF((E260="p"),H260," ")</f>
        <v> </v>
      </c>
      <c r="V260" s="17" t="str">
        <f aca="false">IF((E260="t"),H260," ")</f>
        <v> </v>
      </c>
      <c r="W260" s="17" t="str">
        <f aca="false">IF((E260="q"),H260," ")</f>
        <v> </v>
      </c>
      <c r="X260" s="17" t="str">
        <f aca="false">IF((E260="m"),H260," ")</f>
        <v> </v>
      </c>
      <c r="Y260" s="17" t="str">
        <f aca="false">IF((E260="u"),H260," ")</f>
        <v> </v>
      </c>
      <c r="Z260" s="17" t="str">
        <f aca="false">IF((E260="a"),H260," ")</f>
        <v> </v>
      </c>
      <c r="AA260" s="17" t="str">
        <f aca="false">IF((E260="g"),H260," ")</f>
        <v> </v>
      </c>
      <c r="AB260" s="17" t="str">
        <f aca="false">IF((E260="h"),H260," ")</f>
        <v> </v>
      </c>
      <c r="AC260" s="30" t="str">
        <f aca="false">IF((E260="v"),H260," ")</f>
        <v> </v>
      </c>
      <c r="AD260" s="30" t="str">
        <f aca="false">IF((E260="n"),H260," ")</f>
        <v> </v>
      </c>
      <c r="AE260" s="17" t="str">
        <f aca="false">IF((E260="f"),H260," ")</f>
        <v> </v>
      </c>
      <c r="AF260" s="17" t="str">
        <f aca="false">IF((E260="l"),H260," ")</f>
        <v> </v>
      </c>
      <c r="AG260" s="17" t="str">
        <f aca="false">IF((E260="y"),H260," ")</f>
        <v> </v>
      </c>
      <c r="AH260" s="17" t="str">
        <f aca="false">IF((E260="z"),H260," ")</f>
        <v> </v>
      </c>
      <c r="AI260" s="17" t="str">
        <f aca="false">IF((E260="fa"),H260," ")</f>
        <v> </v>
      </c>
      <c r="AJ260" s="17" t="str">
        <f aca="false">IF((E260="e"),H260," ")</f>
        <v> </v>
      </c>
    </row>
    <row r="261" customFormat="false" ht="12" hidden="false" customHeight="false" outlineLevel="0" collapsed="false">
      <c r="A261" s="28"/>
      <c r="E261" s="2" t="str">
        <f aca="false">IF((F261&lt;&gt;0),"Enter Letter"," ")</f>
        <v> </v>
      </c>
      <c r="F261" s="30"/>
      <c r="G261" s="6" t="str">
        <f aca="false">IF(F261&lt;&gt;0,F261*G$2/(100+G$2)," ")</f>
        <v> </v>
      </c>
      <c r="H261" s="6" t="str">
        <f aca="false">IF((F261&lt;&gt;0),F261-G261," ")</f>
        <v> </v>
      </c>
      <c r="I261" s="5"/>
      <c r="L261" s="7" t="str">
        <f aca="false">IF(F261&lt;&gt;0,F261-K261," ")</f>
        <v> </v>
      </c>
      <c r="M261" s="8" t="str">
        <f aca="false">IF((F261-K261)&lt;&gt;0,M$1-A261," ")</f>
        <v> </v>
      </c>
      <c r="N261" s="5"/>
      <c r="O261" s="17" t="str">
        <f aca="false">IF((E261="s"),H261," ")</f>
        <v> </v>
      </c>
      <c r="P261" s="17" t="str">
        <f aca="false">IF((E261="c"),H261," ")</f>
        <v> </v>
      </c>
      <c r="Q261" s="17" t="str">
        <f aca="false">IF((E261="o"),H261," ")</f>
        <v> </v>
      </c>
      <c r="R261" s="17" t="str">
        <f aca="false">IF((E261="d"),H261," ")</f>
        <v> </v>
      </c>
      <c r="S261" s="17" t="str">
        <f aca="false">IF((E261="w"),H261," ")</f>
        <v> </v>
      </c>
      <c r="T261" s="17" t="str">
        <f aca="false">IF((E261="r"),H261," ")</f>
        <v> </v>
      </c>
      <c r="U261" s="17" t="str">
        <f aca="false">IF((E261="p"),H261," ")</f>
        <v> </v>
      </c>
      <c r="V261" s="17" t="str">
        <f aca="false">IF((E261="t"),H261," ")</f>
        <v> </v>
      </c>
      <c r="W261" s="17" t="str">
        <f aca="false">IF((E261="q"),H261," ")</f>
        <v> </v>
      </c>
      <c r="X261" s="17" t="str">
        <f aca="false">IF((E261="m"),H261," ")</f>
        <v> </v>
      </c>
      <c r="Y261" s="17" t="str">
        <f aca="false">IF((E261="u"),H261," ")</f>
        <v> </v>
      </c>
      <c r="Z261" s="17" t="str">
        <f aca="false">IF((E261="a"),H261," ")</f>
        <v> </v>
      </c>
      <c r="AA261" s="17" t="str">
        <f aca="false">IF((E261="g"),H261," ")</f>
        <v> </v>
      </c>
      <c r="AB261" s="17" t="str">
        <f aca="false">IF((E261="h"),H261," ")</f>
        <v> </v>
      </c>
      <c r="AC261" s="30" t="str">
        <f aca="false">IF((E261="v"),H261," ")</f>
        <v> </v>
      </c>
      <c r="AD261" s="30" t="str">
        <f aca="false">IF((E261="n"),H261," ")</f>
        <v> </v>
      </c>
      <c r="AE261" s="17" t="str">
        <f aca="false">IF((E261="f"),H261," ")</f>
        <v> </v>
      </c>
      <c r="AF261" s="17" t="str">
        <f aca="false">IF((E261="l"),H261," ")</f>
        <v> </v>
      </c>
      <c r="AG261" s="17" t="str">
        <f aca="false">IF((E261="y"),H261," ")</f>
        <v> </v>
      </c>
      <c r="AH261" s="17" t="str">
        <f aca="false">IF((E261="z"),H261," ")</f>
        <v> </v>
      </c>
      <c r="AI261" s="17" t="str">
        <f aca="false">IF((E261="fa"),H261," ")</f>
        <v> </v>
      </c>
      <c r="AJ261" s="17" t="str">
        <f aca="false">IF((E261="e"),H261," ")</f>
        <v> </v>
      </c>
    </row>
    <row r="262" customFormat="false" ht="12" hidden="false" customHeight="false" outlineLevel="0" collapsed="false">
      <c r="A262" s="28"/>
      <c r="E262" s="2" t="str">
        <f aca="false">IF((F262&lt;&gt;0),"Enter Letter"," ")</f>
        <v> </v>
      </c>
      <c r="F262" s="30"/>
      <c r="G262" s="6" t="str">
        <f aca="false">IF(F262&lt;&gt;0,F262*G$2/(100+G$2)," ")</f>
        <v> </v>
      </c>
      <c r="H262" s="6" t="str">
        <f aca="false">IF((F262&lt;&gt;0),F262-G262," ")</f>
        <v> </v>
      </c>
      <c r="I262" s="5"/>
      <c r="L262" s="7" t="str">
        <f aca="false">IF(F262&lt;&gt;0,F262-K262," ")</f>
        <v> </v>
      </c>
      <c r="M262" s="8" t="str">
        <f aca="false">IF((F262-K262)&lt;&gt;0,M$1-A262," ")</f>
        <v> </v>
      </c>
      <c r="N262" s="5"/>
      <c r="O262" s="17" t="str">
        <f aca="false">IF((E262="s"),H262," ")</f>
        <v> </v>
      </c>
      <c r="P262" s="17" t="str">
        <f aca="false">IF((E262="c"),H262," ")</f>
        <v> </v>
      </c>
      <c r="Q262" s="17" t="str">
        <f aca="false">IF((E262="o"),H262," ")</f>
        <v> </v>
      </c>
      <c r="R262" s="17" t="str">
        <f aca="false">IF((E262="d"),H262," ")</f>
        <v> </v>
      </c>
      <c r="S262" s="17" t="str">
        <f aca="false">IF((E262="w"),H262," ")</f>
        <v> </v>
      </c>
      <c r="T262" s="17" t="str">
        <f aca="false">IF((E262="r"),H262," ")</f>
        <v> </v>
      </c>
      <c r="U262" s="17" t="str">
        <f aca="false">IF((E262="p"),H262," ")</f>
        <v> </v>
      </c>
      <c r="V262" s="17" t="str">
        <f aca="false">IF((E262="t"),H262," ")</f>
        <v> </v>
      </c>
      <c r="W262" s="17" t="str">
        <f aca="false">IF((E262="q"),H262," ")</f>
        <v> </v>
      </c>
      <c r="X262" s="17" t="str">
        <f aca="false">IF((E262="m"),H262," ")</f>
        <v> </v>
      </c>
      <c r="Y262" s="17" t="str">
        <f aca="false">IF((E262="u"),H262," ")</f>
        <v> </v>
      </c>
      <c r="Z262" s="17" t="str">
        <f aca="false">IF((E262="a"),H262," ")</f>
        <v> </v>
      </c>
      <c r="AA262" s="17" t="str">
        <f aca="false">IF((E262="g"),H262," ")</f>
        <v> </v>
      </c>
      <c r="AB262" s="17" t="str">
        <f aca="false">IF((E262="h"),H262," ")</f>
        <v> </v>
      </c>
      <c r="AC262" s="30" t="str">
        <f aca="false">IF((E262="v"),H262," ")</f>
        <v> </v>
      </c>
      <c r="AD262" s="30" t="str">
        <f aca="false">IF((E262="n"),H262," ")</f>
        <v> </v>
      </c>
      <c r="AE262" s="17" t="str">
        <f aca="false">IF((E262="f"),H262," ")</f>
        <v> </v>
      </c>
      <c r="AF262" s="17" t="str">
        <f aca="false">IF((E262="l"),H262," ")</f>
        <v> </v>
      </c>
      <c r="AG262" s="17" t="str">
        <f aca="false">IF((E262="y"),H262," ")</f>
        <v> </v>
      </c>
      <c r="AH262" s="17" t="str">
        <f aca="false">IF((E262="z"),H262," ")</f>
        <v> </v>
      </c>
      <c r="AI262" s="17" t="str">
        <f aca="false">IF((E262="fa"),H262," ")</f>
        <v> </v>
      </c>
      <c r="AJ262" s="17" t="str">
        <f aca="false">IF((E262="e"),H262," ")</f>
        <v> </v>
      </c>
    </row>
    <row r="263" customFormat="false" ht="12" hidden="false" customHeight="false" outlineLevel="0" collapsed="false">
      <c r="A263" s="28"/>
      <c r="E263" s="2" t="str">
        <f aca="false">IF((F263&lt;&gt;0),"Enter Letter"," ")</f>
        <v> </v>
      </c>
      <c r="F263" s="30"/>
      <c r="G263" s="6" t="str">
        <f aca="false">IF(F263&lt;&gt;0,F263*G$2/(100+G$2)," ")</f>
        <v> </v>
      </c>
      <c r="H263" s="6" t="str">
        <f aca="false">IF((F263&lt;&gt;0),F263-G263," ")</f>
        <v> </v>
      </c>
      <c r="I263" s="5"/>
      <c r="L263" s="7" t="str">
        <f aca="false">IF(F263&lt;&gt;0,F263-K263," ")</f>
        <v> </v>
      </c>
      <c r="M263" s="8" t="str">
        <f aca="false">IF((F263-K263)&lt;&gt;0,M$1-A263," ")</f>
        <v> </v>
      </c>
      <c r="N263" s="5"/>
      <c r="O263" s="17" t="str">
        <f aca="false">IF((E263="s"),H263," ")</f>
        <v> </v>
      </c>
      <c r="P263" s="17" t="str">
        <f aca="false">IF((E263="c"),H263," ")</f>
        <v> </v>
      </c>
      <c r="Q263" s="17" t="str">
        <f aca="false">IF((E263="o"),H263," ")</f>
        <v> </v>
      </c>
      <c r="R263" s="17" t="str">
        <f aca="false">IF((E263="d"),H263," ")</f>
        <v> </v>
      </c>
      <c r="S263" s="17" t="str">
        <f aca="false">IF((E263="w"),H263," ")</f>
        <v> </v>
      </c>
      <c r="T263" s="17" t="str">
        <f aca="false">IF((E263="r"),H263," ")</f>
        <v> </v>
      </c>
      <c r="U263" s="17" t="str">
        <f aca="false">IF((E263="p"),H263," ")</f>
        <v> </v>
      </c>
      <c r="V263" s="17" t="str">
        <f aca="false">IF((E263="t"),H263," ")</f>
        <v> </v>
      </c>
      <c r="W263" s="17" t="str">
        <f aca="false">IF((E263="q"),H263," ")</f>
        <v> </v>
      </c>
      <c r="X263" s="17" t="str">
        <f aca="false">IF((E263="m"),H263," ")</f>
        <v> </v>
      </c>
      <c r="Y263" s="17" t="str">
        <f aca="false">IF((E263="u"),H263," ")</f>
        <v> </v>
      </c>
      <c r="Z263" s="17" t="str">
        <f aca="false">IF((E263="a"),H263," ")</f>
        <v> </v>
      </c>
      <c r="AA263" s="17" t="str">
        <f aca="false">IF((E263="g"),H263," ")</f>
        <v> </v>
      </c>
      <c r="AB263" s="17" t="str">
        <f aca="false">IF((E263="h"),H263," ")</f>
        <v> </v>
      </c>
      <c r="AC263" s="30" t="str">
        <f aca="false">IF((E263="v"),H263," ")</f>
        <v> </v>
      </c>
      <c r="AD263" s="30" t="str">
        <f aca="false">IF((E263="n"),H263," ")</f>
        <v> </v>
      </c>
      <c r="AE263" s="17" t="str">
        <f aca="false">IF((E263="f"),H263," ")</f>
        <v> </v>
      </c>
      <c r="AF263" s="17" t="str">
        <f aca="false">IF((E263="l"),H263," ")</f>
        <v> </v>
      </c>
      <c r="AG263" s="17" t="str">
        <f aca="false">IF((E263="y"),H263," ")</f>
        <v> </v>
      </c>
      <c r="AH263" s="17" t="str">
        <f aca="false">IF((E263="z"),H263," ")</f>
        <v> </v>
      </c>
      <c r="AI263" s="17" t="str">
        <f aca="false">IF((E263="fa"),H263," ")</f>
        <v> </v>
      </c>
      <c r="AJ263" s="17" t="str">
        <f aca="false">IF((E263="e"),H263," ")</f>
        <v> </v>
      </c>
    </row>
    <row r="264" customFormat="false" ht="12" hidden="false" customHeight="false" outlineLevel="0" collapsed="false">
      <c r="A264" s="28"/>
      <c r="E264" s="2" t="str">
        <f aca="false">IF((F264&lt;&gt;0),"Enter Letter"," ")</f>
        <v> </v>
      </c>
      <c r="F264" s="30"/>
      <c r="G264" s="6" t="str">
        <f aca="false">IF(F264&lt;&gt;0,F264*G$2/(100+G$2)," ")</f>
        <v> </v>
      </c>
      <c r="H264" s="6" t="str">
        <f aca="false">IF((F264&lt;&gt;0),F264-G264," ")</f>
        <v> </v>
      </c>
      <c r="I264" s="5"/>
      <c r="L264" s="7" t="str">
        <f aca="false">IF(F264&lt;&gt;0,F264-K264," ")</f>
        <v> </v>
      </c>
      <c r="M264" s="8" t="str">
        <f aca="false">IF((F264-K264)&lt;&gt;0,M$1-A264," ")</f>
        <v> </v>
      </c>
      <c r="N264" s="5"/>
      <c r="O264" s="17" t="str">
        <f aca="false">IF((E264="s"),H264," ")</f>
        <v> </v>
      </c>
      <c r="P264" s="17" t="str">
        <f aca="false">IF((E264="c"),H264," ")</f>
        <v> </v>
      </c>
      <c r="Q264" s="17" t="str">
        <f aca="false">IF((E264="o"),H264," ")</f>
        <v> </v>
      </c>
      <c r="R264" s="17" t="str">
        <f aca="false">IF((E264="d"),H264," ")</f>
        <v> </v>
      </c>
      <c r="S264" s="17" t="str">
        <f aca="false">IF((E264="w"),H264," ")</f>
        <v> </v>
      </c>
      <c r="T264" s="17" t="str">
        <f aca="false">IF((E264="r"),H264," ")</f>
        <v> </v>
      </c>
      <c r="U264" s="17" t="str">
        <f aca="false">IF((E264="p"),H264," ")</f>
        <v> </v>
      </c>
      <c r="V264" s="17" t="str">
        <f aca="false">IF((E264="t"),H264," ")</f>
        <v> </v>
      </c>
      <c r="W264" s="17" t="str">
        <f aca="false">IF((E264="q"),H264," ")</f>
        <v> </v>
      </c>
      <c r="X264" s="17" t="str">
        <f aca="false">IF((E264="m"),H264," ")</f>
        <v> </v>
      </c>
      <c r="Y264" s="17" t="str">
        <f aca="false">IF((E264="u"),H264," ")</f>
        <v> </v>
      </c>
      <c r="Z264" s="17" t="str">
        <f aca="false">IF((E264="a"),H264," ")</f>
        <v> </v>
      </c>
      <c r="AA264" s="17" t="str">
        <f aca="false">IF((E264="g"),H264," ")</f>
        <v> </v>
      </c>
      <c r="AB264" s="17" t="str">
        <f aca="false">IF((E264="h"),H264," ")</f>
        <v> </v>
      </c>
      <c r="AC264" s="30" t="str">
        <f aca="false">IF((E264="v"),H264," ")</f>
        <v> </v>
      </c>
      <c r="AD264" s="30" t="str">
        <f aca="false">IF((E264="n"),H264," ")</f>
        <v> </v>
      </c>
      <c r="AE264" s="17" t="str">
        <f aca="false">IF((E264="f"),H264," ")</f>
        <v> </v>
      </c>
      <c r="AF264" s="17" t="str">
        <f aca="false">IF((E264="l"),H264," ")</f>
        <v> </v>
      </c>
      <c r="AG264" s="17" t="str">
        <f aca="false">IF((E264="y"),H264," ")</f>
        <v> </v>
      </c>
      <c r="AH264" s="17" t="str">
        <f aca="false">IF((E264="z"),H264," ")</f>
        <v> </v>
      </c>
      <c r="AI264" s="17" t="str">
        <f aca="false">IF((E264="fa"),H264," ")</f>
        <v> </v>
      </c>
      <c r="AJ264" s="17" t="str">
        <f aca="false">IF((E264="e"),H264," ")</f>
        <v> </v>
      </c>
    </row>
    <row r="265" customFormat="false" ht="12" hidden="false" customHeight="false" outlineLevel="0" collapsed="false">
      <c r="A265" s="28"/>
      <c r="E265" s="2" t="str">
        <f aca="false">IF((F265&lt;&gt;0),"Enter Letter"," ")</f>
        <v> </v>
      </c>
      <c r="F265" s="30"/>
      <c r="G265" s="6" t="str">
        <f aca="false">IF(F265&lt;&gt;0,F265*G$2/(100+G$2)," ")</f>
        <v> </v>
      </c>
      <c r="H265" s="6" t="str">
        <f aca="false">IF((F265&lt;&gt;0),F265-G265," ")</f>
        <v> </v>
      </c>
      <c r="I265" s="5"/>
      <c r="L265" s="7" t="str">
        <f aca="false">IF(F265&lt;&gt;0,F265-K265," ")</f>
        <v> </v>
      </c>
      <c r="M265" s="8" t="str">
        <f aca="false">IF((F265-K265)&lt;&gt;0,M$1-A265," ")</f>
        <v> </v>
      </c>
      <c r="N265" s="5"/>
      <c r="O265" s="17" t="str">
        <f aca="false">IF((E265="s"),H265," ")</f>
        <v> </v>
      </c>
      <c r="P265" s="17" t="str">
        <f aca="false">IF((E265="c"),H265," ")</f>
        <v> </v>
      </c>
      <c r="Q265" s="17" t="str">
        <f aca="false">IF((E265="o"),H265," ")</f>
        <v> </v>
      </c>
      <c r="R265" s="17" t="str">
        <f aca="false">IF((E265="d"),H265," ")</f>
        <v> </v>
      </c>
      <c r="S265" s="17" t="str">
        <f aca="false">IF((E265="w"),H265," ")</f>
        <v> </v>
      </c>
      <c r="T265" s="17" t="str">
        <f aca="false">IF((E265="r"),H265," ")</f>
        <v> </v>
      </c>
      <c r="U265" s="17" t="str">
        <f aca="false">IF((E265="p"),H265," ")</f>
        <v> </v>
      </c>
      <c r="V265" s="17" t="str">
        <f aca="false">IF((E265="t"),H265," ")</f>
        <v> </v>
      </c>
      <c r="W265" s="17" t="str">
        <f aca="false">IF((E265="q"),H265," ")</f>
        <v> </v>
      </c>
      <c r="X265" s="17" t="str">
        <f aca="false">IF((E265="m"),H265," ")</f>
        <v> </v>
      </c>
      <c r="Y265" s="17" t="str">
        <f aca="false">IF((E265="u"),H265," ")</f>
        <v> </v>
      </c>
      <c r="Z265" s="17" t="str">
        <f aca="false">IF((E265="a"),H265," ")</f>
        <v> </v>
      </c>
      <c r="AA265" s="17" t="str">
        <f aca="false">IF((E265="g"),H265," ")</f>
        <v> </v>
      </c>
      <c r="AB265" s="17" t="str">
        <f aca="false">IF((E265="h"),H265," ")</f>
        <v> </v>
      </c>
      <c r="AC265" s="30" t="str">
        <f aca="false">IF((E265="v"),H265," ")</f>
        <v> </v>
      </c>
      <c r="AD265" s="30" t="str">
        <f aca="false">IF((E265="n"),H265," ")</f>
        <v> </v>
      </c>
      <c r="AE265" s="17" t="str">
        <f aca="false">IF((E265="f"),H265," ")</f>
        <v> </v>
      </c>
      <c r="AF265" s="17" t="str">
        <f aca="false">IF((E265="l"),H265," ")</f>
        <v> </v>
      </c>
      <c r="AG265" s="17" t="str">
        <f aca="false">IF((E265="y"),H265," ")</f>
        <v> </v>
      </c>
      <c r="AH265" s="17" t="str">
        <f aca="false">IF((E265="z"),H265," ")</f>
        <v> </v>
      </c>
      <c r="AI265" s="17" t="str">
        <f aca="false">IF((E265="fa"),H265," ")</f>
        <v> </v>
      </c>
      <c r="AJ265" s="17" t="str">
        <f aca="false">IF((E265="e"),H265," ")</f>
        <v> </v>
      </c>
    </row>
    <row r="266" customFormat="false" ht="12" hidden="false" customHeight="false" outlineLevel="0" collapsed="false">
      <c r="A266" s="28"/>
      <c r="E266" s="2" t="str">
        <f aca="false">IF((F266&lt;&gt;0),"Enter Letter"," ")</f>
        <v> </v>
      </c>
      <c r="F266" s="30"/>
      <c r="G266" s="6" t="str">
        <f aca="false">IF(F266&lt;&gt;0,F266*G$2/(100+G$2)," ")</f>
        <v> </v>
      </c>
      <c r="H266" s="6" t="str">
        <f aca="false">IF((F266&lt;&gt;0),F266-G266," ")</f>
        <v> </v>
      </c>
      <c r="I266" s="5"/>
      <c r="L266" s="7" t="str">
        <f aca="false">IF(F266&lt;&gt;0,F266-K266," ")</f>
        <v> </v>
      </c>
      <c r="M266" s="8" t="str">
        <f aca="false">IF((F266-K266)&lt;&gt;0,M$1-A266," ")</f>
        <v> </v>
      </c>
      <c r="N266" s="5"/>
      <c r="O266" s="17" t="str">
        <f aca="false">IF((E266="s"),H266," ")</f>
        <v> </v>
      </c>
      <c r="P266" s="17" t="str">
        <f aca="false">IF((E266="c"),H266," ")</f>
        <v> </v>
      </c>
      <c r="Q266" s="17" t="str">
        <f aca="false">IF((E266="o"),H266," ")</f>
        <v> </v>
      </c>
      <c r="R266" s="17" t="str">
        <f aca="false">IF((E266="d"),H266," ")</f>
        <v> </v>
      </c>
      <c r="S266" s="17" t="str">
        <f aca="false">IF((E266="w"),H266," ")</f>
        <v> </v>
      </c>
      <c r="T266" s="17" t="str">
        <f aca="false">IF((E266="r"),H266," ")</f>
        <v> </v>
      </c>
      <c r="U266" s="17" t="str">
        <f aca="false">IF((E266="p"),H266," ")</f>
        <v> </v>
      </c>
      <c r="V266" s="17" t="str">
        <f aca="false">IF((E266="t"),H266," ")</f>
        <v> </v>
      </c>
      <c r="W266" s="17" t="str">
        <f aca="false">IF((E266="q"),H266," ")</f>
        <v> </v>
      </c>
      <c r="X266" s="17" t="str">
        <f aca="false">IF((E266="m"),H266," ")</f>
        <v> </v>
      </c>
      <c r="Y266" s="17" t="str">
        <f aca="false">IF((E266="u"),H266," ")</f>
        <v> </v>
      </c>
      <c r="Z266" s="17" t="str">
        <f aca="false">IF((E266="a"),H266," ")</f>
        <v> </v>
      </c>
      <c r="AA266" s="17" t="str">
        <f aca="false">IF((E266="g"),H266," ")</f>
        <v> </v>
      </c>
      <c r="AB266" s="17" t="str">
        <f aca="false">IF((E266="h"),H266," ")</f>
        <v> </v>
      </c>
      <c r="AC266" s="30" t="str">
        <f aca="false">IF((E266="v"),H266," ")</f>
        <v> </v>
      </c>
      <c r="AD266" s="30" t="str">
        <f aca="false">IF((E266="n"),H266," ")</f>
        <v> </v>
      </c>
      <c r="AE266" s="17" t="str">
        <f aca="false">IF((E266="f"),H266," ")</f>
        <v> </v>
      </c>
      <c r="AF266" s="17" t="str">
        <f aca="false">IF((E266="l"),H266," ")</f>
        <v> </v>
      </c>
      <c r="AG266" s="17" t="str">
        <f aca="false">IF((E266="y"),H266," ")</f>
        <v> </v>
      </c>
      <c r="AH266" s="17" t="str">
        <f aca="false">IF((E266="z"),H266," ")</f>
        <v> </v>
      </c>
      <c r="AI266" s="17" t="str">
        <f aca="false">IF((E266="fa"),H266," ")</f>
        <v> </v>
      </c>
      <c r="AJ266" s="17" t="str">
        <f aca="false">IF((E266="e"),H266," ")</f>
        <v> </v>
      </c>
    </row>
    <row r="267" customFormat="false" ht="12" hidden="false" customHeight="false" outlineLevel="0" collapsed="false">
      <c r="A267" s="28"/>
      <c r="E267" s="2" t="str">
        <f aca="false">IF((F267&lt;&gt;0),"Enter Letter"," ")</f>
        <v> </v>
      </c>
      <c r="F267" s="30"/>
      <c r="G267" s="6" t="str">
        <f aca="false">IF(F267&lt;&gt;0,F267*G$2/(100+G$2)," ")</f>
        <v> </v>
      </c>
      <c r="H267" s="6" t="str">
        <f aca="false">IF((F267&lt;&gt;0),F267-G267," ")</f>
        <v> </v>
      </c>
      <c r="I267" s="5"/>
      <c r="L267" s="7" t="str">
        <f aca="false">IF(F267&lt;&gt;0,F267-K267," ")</f>
        <v> </v>
      </c>
      <c r="M267" s="8" t="str">
        <f aca="false">IF((F267-K267)&lt;&gt;0,M$1-A267," ")</f>
        <v> </v>
      </c>
      <c r="N267" s="5"/>
      <c r="O267" s="17" t="str">
        <f aca="false">IF((E267="s"),H267," ")</f>
        <v> </v>
      </c>
      <c r="P267" s="17" t="str">
        <f aca="false">IF((E267="c"),H267," ")</f>
        <v> </v>
      </c>
      <c r="Q267" s="17" t="str">
        <f aca="false">IF((E267="o"),H267," ")</f>
        <v> </v>
      </c>
      <c r="R267" s="17" t="str">
        <f aca="false">IF((E267="d"),H267," ")</f>
        <v> </v>
      </c>
      <c r="S267" s="17" t="str">
        <f aca="false">IF((E267="w"),H267," ")</f>
        <v> </v>
      </c>
      <c r="T267" s="17" t="str">
        <f aca="false">IF((E267="r"),H267," ")</f>
        <v> </v>
      </c>
      <c r="U267" s="17" t="str">
        <f aca="false">IF((E267="p"),H267," ")</f>
        <v> </v>
      </c>
      <c r="V267" s="17" t="str">
        <f aca="false">IF((E267="t"),H267," ")</f>
        <v> </v>
      </c>
      <c r="W267" s="17" t="str">
        <f aca="false">IF((E267="q"),H267," ")</f>
        <v> </v>
      </c>
      <c r="X267" s="17" t="str">
        <f aca="false">IF((E267="m"),H267," ")</f>
        <v> </v>
      </c>
      <c r="Y267" s="17" t="str">
        <f aca="false">IF((E267="u"),H267," ")</f>
        <v> </v>
      </c>
      <c r="Z267" s="17" t="str">
        <f aca="false">IF((E267="a"),H267," ")</f>
        <v> </v>
      </c>
      <c r="AA267" s="17" t="str">
        <f aca="false">IF((E267="g"),H267," ")</f>
        <v> </v>
      </c>
      <c r="AB267" s="17" t="str">
        <f aca="false">IF((E267="h"),H267," ")</f>
        <v> </v>
      </c>
      <c r="AC267" s="30" t="str">
        <f aca="false">IF((E267="v"),H267," ")</f>
        <v> </v>
      </c>
      <c r="AD267" s="30" t="str">
        <f aca="false">IF((E267="n"),H267," ")</f>
        <v> </v>
      </c>
      <c r="AE267" s="17" t="str">
        <f aca="false">IF((E267="f"),H267," ")</f>
        <v> </v>
      </c>
      <c r="AF267" s="17" t="str">
        <f aca="false">IF((E267="l"),H267," ")</f>
        <v> </v>
      </c>
      <c r="AG267" s="17" t="str">
        <f aca="false">IF((E267="y"),H267," ")</f>
        <v> </v>
      </c>
      <c r="AH267" s="17" t="str">
        <f aca="false">IF((E267="z"),H267," ")</f>
        <v> </v>
      </c>
      <c r="AI267" s="17" t="str">
        <f aca="false">IF((E267="fa"),H267," ")</f>
        <v> </v>
      </c>
      <c r="AJ267" s="17" t="str">
        <f aca="false">IF((E267="e"),H267," ")</f>
        <v> </v>
      </c>
    </row>
    <row r="268" customFormat="false" ht="12" hidden="false" customHeight="false" outlineLevel="0" collapsed="false">
      <c r="A268" s="28"/>
      <c r="E268" s="2" t="str">
        <f aca="false">IF((F268&lt;&gt;0),"Enter Letter"," ")</f>
        <v> </v>
      </c>
      <c r="F268" s="30"/>
      <c r="G268" s="6" t="str">
        <f aca="false">IF(F268&lt;&gt;0,F268*G$2/(100+G$2)," ")</f>
        <v> </v>
      </c>
      <c r="H268" s="6" t="str">
        <f aca="false">IF((F268&lt;&gt;0),F268-G268," ")</f>
        <v> </v>
      </c>
      <c r="I268" s="5"/>
      <c r="L268" s="7" t="str">
        <f aca="false">IF(F268&lt;&gt;0,F268-K268," ")</f>
        <v> </v>
      </c>
      <c r="M268" s="8" t="str">
        <f aca="false">IF((F268-K268)&lt;&gt;0,M$1-A268," ")</f>
        <v> </v>
      </c>
      <c r="N268" s="5"/>
      <c r="O268" s="17" t="str">
        <f aca="false">IF((E268="s"),H268," ")</f>
        <v> </v>
      </c>
      <c r="P268" s="17" t="str">
        <f aca="false">IF((E268="c"),H268," ")</f>
        <v> </v>
      </c>
      <c r="Q268" s="17" t="str">
        <f aca="false">IF((E268="o"),H268," ")</f>
        <v> </v>
      </c>
      <c r="R268" s="17" t="str">
        <f aca="false">IF((E268="d"),H268," ")</f>
        <v> </v>
      </c>
      <c r="S268" s="17" t="str">
        <f aca="false">IF((E268="w"),H268," ")</f>
        <v> </v>
      </c>
      <c r="T268" s="17" t="str">
        <f aca="false">IF((E268="r"),H268," ")</f>
        <v> </v>
      </c>
      <c r="U268" s="17" t="str">
        <f aca="false">IF((E268="p"),H268," ")</f>
        <v> </v>
      </c>
      <c r="V268" s="17" t="str">
        <f aca="false">IF((E268="t"),H268," ")</f>
        <v> </v>
      </c>
      <c r="W268" s="17" t="str">
        <f aca="false">IF((E268="q"),H268," ")</f>
        <v> </v>
      </c>
      <c r="X268" s="17" t="str">
        <f aca="false">IF((E268="m"),H268," ")</f>
        <v> </v>
      </c>
      <c r="Y268" s="17" t="str">
        <f aca="false">IF((E268="u"),H268," ")</f>
        <v> </v>
      </c>
      <c r="Z268" s="17" t="str">
        <f aca="false">IF((E268="a"),H268," ")</f>
        <v> </v>
      </c>
      <c r="AA268" s="17" t="str">
        <f aca="false">IF((E268="g"),H268," ")</f>
        <v> </v>
      </c>
      <c r="AB268" s="17" t="str">
        <f aca="false">IF((E268="h"),H268," ")</f>
        <v> </v>
      </c>
      <c r="AC268" s="30" t="str">
        <f aca="false">IF((E268="v"),H268," ")</f>
        <v> </v>
      </c>
      <c r="AD268" s="30" t="str">
        <f aca="false">IF((E268="n"),H268," ")</f>
        <v> </v>
      </c>
      <c r="AE268" s="17" t="str">
        <f aca="false">IF((E268="f"),H268," ")</f>
        <v> </v>
      </c>
      <c r="AF268" s="17" t="str">
        <f aca="false">IF((E268="l"),H268," ")</f>
        <v> </v>
      </c>
      <c r="AG268" s="17" t="str">
        <f aca="false">IF((E268="y"),H268," ")</f>
        <v> </v>
      </c>
      <c r="AH268" s="17" t="str">
        <f aca="false">IF((E268="z"),H268," ")</f>
        <v> </v>
      </c>
      <c r="AI268" s="17" t="str">
        <f aca="false">IF((E268="fa"),H268," ")</f>
        <v> </v>
      </c>
      <c r="AJ268" s="17" t="str">
        <f aca="false">IF((E268="e"),H268," ")</f>
        <v> </v>
      </c>
    </row>
    <row r="269" customFormat="false" ht="12" hidden="false" customHeight="false" outlineLevel="0" collapsed="false">
      <c r="A269" s="28"/>
      <c r="E269" s="2" t="str">
        <f aca="false">IF((F269&lt;&gt;0),"Enter Letter"," ")</f>
        <v> </v>
      </c>
      <c r="F269" s="30"/>
      <c r="G269" s="6" t="str">
        <f aca="false">IF(F269&lt;&gt;0,F269*G$2/(100+G$2)," ")</f>
        <v> </v>
      </c>
      <c r="H269" s="6" t="str">
        <f aca="false">IF((F269&lt;&gt;0),F269-G269," ")</f>
        <v> </v>
      </c>
      <c r="I269" s="5"/>
      <c r="L269" s="7" t="str">
        <f aca="false">IF(F269&lt;&gt;0,F269-K269," ")</f>
        <v> </v>
      </c>
      <c r="M269" s="8" t="str">
        <f aca="false">IF((F269-K269)&lt;&gt;0,M$1-A269," ")</f>
        <v> </v>
      </c>
      <c r="N269" s="5"/>
      <c r="O269" s="17" t="str">
        <f aca="false">IF((E269="s"),H269," ")</f>
        <v> </v>
      </c>
      <c r="P269" s="17" t="str">
        <f aca="false">IF((E269="c"),H269," ")</f>
        <v> </v>
      </c>
      <c r="Q269" s="17" t="str">
        <f aca="false">IF((E269="o"),H269," ")</f>
        <v> </v>
      </c>
      <c r="R269" s="17" t="str">
        <f aca="false">IF((E269="d"),H269," ")</f>
        <v> </v>
      </c>
      <c r="S269" s="17" t="str">
        <f aca="false">IF((E269="w"),H269," ")</f>
        <v> </v>
      </c>
      <c r="T269" s="17" t="str">
        <f aca="false">IF((E269="r"),H269," ")</f>
        <v> </v>
      </c>
      <c r="U269" s="17" t="str">
        <f aca="false">IF((E269="p"),H269," ")</f>
        <v> </v>
      </c>
      <c r="V269" s="17" t="str">
        <f aca="false">IF((E269="t"),H269," ")</f>
        <v> </v>
      </c>
      <c r="W269" s="17" t="str">
        <f aca="false">IF((E269="q"),H269," ")</f>
        <v> </v>
      </c>
      <c r="X269" s="17" t="str">
        <f aca="false">IF((E269="m"),H269," ")</f>
        <v> </v>
      </c>
      <c r="Y269" s="17" t="str">
        <f aca="false">IF((E269="u"),H269," ")</f>
        <v> </v>
      </c>
      <c r="Z269" s="17" t="str">
        <f aca="false">IF((E269="a"),H269," ")</f>
        <v> </v>
      </c>
      <c r="AA269" s="17" t="str">
        <f aca="false">IF((E269="g"),H269," ")</f>
        <v> </v>
      </c>
      <c r="AB269" s="17" t="str">
        <f aca="false">IF((E269="h"),H269," ")</f>
        <v> </v>
      </c>
      <c r="AC269" s="30" t="str">
        <f aca="false">IF((E269="v"),H269," ")</f>
        <v> </v>
      </c>
      <c r="AD269" s="30" t="str">
        <f aca="false">IF((E269="n"),H269," ")</f>
        <v> </v>
      </c>
      <c r="AE269" s="17" t="str">
        <f aca="false">IF((E269="f"),H269," ")</f>
        <v> </v>
      </c>
      <c r="AF269" s="17" t="str">
        <f aca="false">IF((E269="l"),H269," ")</f>
        <v> </v>
      </c>
      <c r="AG269" s="17" t="str">
        <f aca="false">IF((E269="y"),H269," ")</f>
        <v> </v>
      </c>
      <c r="AH269" s="17" t="str">
        <f aca="false">IF((E269="z"),H269," ")</f>
        <v> </v>
      </c>
      <c r="AI269" s="17" t="str">
        <f aca="false">IF((E269="fa"),H269," ")</f>
        <v> </v>
      </c>
      <c r="AJ269" s="17" t="str">
        <f aca="false">IF((E269="e"),H269," ")</f>
        <v> </v>
      </c>
    </row>
    <row r="270" customFormat="false" ht="12" hidden="false" customHeight="false" outlineLevel="0" collapsed="false">
      <c r="A270" s="28"/>
      <c r="E270" s="2" t="str">
        <f aca="false">IF((F270&lt;&gt;0),"Enter Letter"," ")</f>
        <v> </v>
      </c>
      <c r="F270" s="30"/>
      <c r="G270" s="6" t="str">
        <f aca="false">IF(F270&lt;&gt;0,F270*G$2/(100+G$2)," ")</f>
        <v> </v>
      </c>
      <c r="H270" s="6" t="str">
        <f aca="false">IF((F270&lt;&gt;0),F270-G270," ")</f>
        <v> </v>
      </c>
      <c r="I270" s="5"/>
      <c r="L270" s="7" t="str">
        <f aca="false">IF(F270&lt;&gt;0,F270-K270," ")</f>
        <v> </v>
      </c>
      <c r="M270" s="8" t="str">
        <f aca="false">IF((F270-K270)&lt;&gt;0,M$1-A270," ")</f>
        <v> </v>
      </c>
      <c r="N270" s="5"/>
      <c r="O270" s="17" t="str">
        <f aca="false">IF((E270="s"),H270," ")</f>
        <v> </v>
      </c>
      <c r="P270" s="17" t="str">
        <f aca="false">IF((E270="c"),H270," ")</f>
        <v> </v>
      </c>
      <c r="Q270" s="17" t="str">
        <f aca="false">IF((E270="o"),H270," ")</f>
        <v> </v>
      </c>
      <c r="R270" s="17" t="str">
        <f aca="false">IF((E270="d"),H270," ")</f>
        <v> </v>
      </c>
      <c r="S270" s="17" t="str">
        <f aca="false">IF((E270="w"),H270," ")</f>
        <v> </v>
      </c>
      <c r="T270" s="17" t="str">
        <f aca="false">IF((E270="r"),H270," ")</f>
        <v> </v>
      </c>
      <c r="U270" s="17" t="str">
        <f aca="false">IF((E270="p"),H270," ")</f>
        <v> </v>
      </c>
      <c r="V270" s="17" t="str">
        <f aca="false">IF((E270="t"),H270," ")</f>
        <v> </v>
      </c>
      <c r="W270" s="17" t="str">
        <f aca="false">IF((E270="q"),H270," ")</f>
        <v> </v>
      </c>
      <c r="X270" s="17" t="str">
        <f aca="false">IF((E270="m"),H270," ")</f>
        <v> </v>
      </c>
      <c r="Y270" s="17" t="str">
        <f aca="false">IF((E270="u"),H270," ")</f>
        <v> </v>
      </c>
      <c r="Z270" s="17" t="str">
        <f aca="false">IF((E270="a"),H270," ")</f>
        <v> </v>
      </c>
      <c r="AA270" s="17" t="str">
        <f aca="false">IF((E270="g"),H270," ")</f>
        <v> </v>
      </c>
      <c r="AB270" s="17" t="str">
        <f aca="false">IF((E270="h"),H270," ")</f>
        <v> </v>
      </c>
      <c r="AC270" s="30" t="str">
        <f aca="false">IF((E270="v"),H270," ")</f>
        <v> </v>
      </c>
      <c r="AD270" s="30" t="str">
        <f aca="false">IF((E270="n"),H270," ")</f>
        <v> </v>
      </c>
      <c r="AE270" s="17" t="str">
        <f aca="false">IF((E270="f"),H270," ")</f>
        <v> </v>
      </c>
      <c r="AF270" s="17" t="str">
        <f aca="false">IF((E270="l"),H270," ")</f>
        <v> </v>
      </c>
      <c r="AG270" s="17" t="str">
        <f aca="false">IF((E270="y"),H270," ")</f>
        <v> </v>
      </c>
      <c r="AH270" s="17" t="str">
        <f aca="false">IF((E270="z"),H270," ")</f>
        <v> </v>
      </c>
      <c r="AI270" s="17" t="str">
        <f aca="false">IF((E270="fa"),H270," ")</f>
        <v> </v>
      </c>
      <c r="AJ270" s="17" t="str">
        <f aca="false">IF((E270="e"),H270," ")</f>
        <v> </v>
      </c>
    </row>
    <row r="271" customFormat="false" ht="12" hidden="false" customHeight="false" outlineLevel="0" collapsed="false">
      <c r="A271" s="28"/>
      <c r="E271" s="2" t="str">
        <f aca="false">IF((F271&lt;&gt;0),"Enter Letter"," ")</f>
        <v> </v>
      </c>
      <c r="F271" s="30"/>
      <c r="G271" s="6" t="str">
        <f aca="false">IF(F271&lt;&gt;0,F271*G$2/(100+G$2)," ")</f>
        <v> </v>
      </c>
      <c r="H271" s="6" t="str">
        <f aca="false">IF((F271&lt;&gt;0),F271-G271," ")</f>
        <v> </v>
      </c>
      <c r="I271" s="5"/>
      <c r="L271" s="7" t="str">
        <f aca="false">IF(F271&lt;&gt;0,F271-K271," ")</f>
        <v> </v>
      </c>
      <c r="M271" s="8" t="str">
        <f aca="false">IF((F271-K271)&lt;&gt;0,M$1-A271," ")</f>
        <v> </v>
      </c>
      <c r="N271" s="5"/>
      <c r="O271" s="17" t="str">
        <f aca="false">IF((E271="s"),H271," ")</f>
        <v> </v>
      </c>
      <c r="P271" s="17" t="str">
        <f aca="false">IF((E271="c"),H271," ")</f>
        <v> </v>
      </c>
      <c r="Q271" s="17" t="str">
        <f aca="false">IF((E271="o"),H271," ")</f>
        <v> </v>
      </c>
      <c r="R271" s="17" t="str">
        <f aca="false">IF((E271="d"),H271," ")</f>
        <v> </v>
      </c>
      <c r="S271" s="17" t="str">
        <f aca="false">IF((E271="w"),H271," ")</f>
        <v> </v>
      </c>
      <c r="T271" s="17" t="str">
        <f aca="false">IF((E271="r"),H271," ")</f>
        <v> </v>
      </c>
      <c r="U271" s="17" t="str">
        <f aca="false">IF((E271="p"),H271," ")</f>
        <v> </v>
      </c>
      <c r="V271" s="17" t="str">
        <f aca="false">IF((E271="t"),H271," ")</f>
        <v> </v>
      </c>
      <c r="W271" s="17" t="str">
        <f aca="false">IF((E271="q"),H271," ")</f>
        <v> </v>
      </c>
      <c r="X271" s="17" t="str">
        <f aca="false">IF((E271="m"),H271," ")</f>
        <v> </v>
      </c>
      <c r="Y271" s="17" t="str">
        <f aca="false">IF((E271="u"),H271," ")</f>
        <v> </v>
      </c>
      <c r="Z271" s="17" t="str">
        <f aca="false">IF((E271="a"),H271," ")</f>
        <v> </v>
      </c>
      <c r="AA271" s="17" t="str">
        <f aca="false">IF((E271="g"),H271," ")</f>
        <v> </v>
      </c>
      <c r="AB271" s="17" t="str">
        <f aca="false">IF((E271="h"),H271," ")</f>
        <v> </v>
      </c>
      <c r="AC271" s="30" t="str">
        <f aca="false">IF((E271="v"),H271," ")</f>
        <v> </v>
      </c>
      <c r="AD271" s="30" t="str">
        <f aca="false">IF((E271="n"),H271," ")</f>
        <v> </v>
      </c>
      <c r="AE271" s="17" t="str">
        <f aca="false">IF((E271="f"),H271," ")</f>
        <v> </v>
      </c>
      <c r="AF271" s="17" t="str">
        <f aca="false">IF((E271="l"),H271," ")</f>
        <v> </v>
      </c>
      <c r="AG271" s="17" t="str">
        <f aca="false">IF((E271="y"),H271," ")</f>
        <v> </v>
      </c>
      <c r="AH271" s="17" t="str">
        <f aca="false">IF((E271="z"),H271," ")</f>
        <v> </v>
      </c>
      <c r="AI271" s="17" t="str">
        <f aca="false">IF((E271="fa"),H271," ")</f>
        <v> </v>
      </c>
      <c r="AJ271" s="17" t="str">
        <f aca="false">IF((E271="e"),H271," ")</f>
        <v> </v>
      </c>
    </row>
    <row r="272" customFormat="false" ht="12" hidden="false" customHeight="false" outlineLevel="0" collapsed="false">
      <c r="A272" s="28"/>
      <c r="E272" s="2" t="str">
        <f aca="false">IF((F272&lt;&gt;0),"Enter Letter"," ")</f>
        <v> </v>
      </c>
      <c r="F272" s="30"/>
      <c r="G272" s="6" t="str">
        <f aca="false">IF(F272&lt;&gt;0,F272*G$2/(100+G$2)," ")</f>
        <v> </v>
      </c>
      <c r="H272" s="6" t="str">
        <f aca="false">IF((F272&lt;&gt;0),F272-G272," ")</f>
        <v> </v>
      </c>
      <c r="I272" s="5"/>
      <c r="L272" s="7" t="str">
        <f aca="false">IF(F272&lt;&gt;0,F272-K272," ")</f>
        <v> </v>
      </c>
      <c r="M272" s="8" t="str">
        <f aca="false">IF((F272-K272)&lt;&gt;0,M$1-A272," ")</f>
        <v> </v>
      </c>
      <c r="N272" s="5"/>
      <c r="O272" s="17" t="str">
        <f aca="false">IF((E272="s"),H272," ")</f>
        <v> </v>
      </c>
      <c r="P272" s="17" t="str">
        <f aca="false">IF((E272="c"),H272," ")</f>
        <v> </v>
      </c>
      <c r="Q272" s="17" t="str">
        <f aca="false">IF((E272="o"),H272," ")</f>
        <v> </v>
      </c>
      <c r="R272" s="17" t="str">
        <f aca="false">IF((E272="d"),H272," ")</f>
        <v> </v>
      </c>
      <c r="S272" s="17" t="str">
        <f aca="false">IF((E272="w"),H272," ")</f>
        <v> </v>
      </c>
      <c r="T272" s="17" t="str">
        <f aca="false">IF((E272="r"),H272," ")</f>
        <v> </v>
      </c>
      <c r="U272" s="17" t="str">
        <f aca="false">IF((E272="p"),H272," ")</f>
        <v> </v>
      </c>
      <c r="V272" s="17" t="str">
        <f aca="false">IF((E272="t"),H272," ")</f>
        <v> </v>
      </c>
      <c r="W272" s="17" t="str">
        <f aca="false">IF((E272="q"),H272," ")</f>
        <v> </v>
      </c>
      <c r="X272" s="17" t="str">
        <f aca="false">IF((E272="m"),H272," ")</f>
        <v> </v>
      </c>
      <c r="Y272" s="17" t="str">
        <f aca="false">IF((E272="u"),H272," ")</f>
        <v> </v>
      </c>
      <c r="Z272" s="17" t="str">
        <f aca="false">IF((E272="a"),H272," ")</f>
        <v> </v>
      </c>
      <c r="AA272" s="17" t="str">
        <f aca="false">IF((E272="g"),H272," ")</f>
        <v> </v>
      </c>
      <c r="AB272" s="17" t="str">
        <f aca="false">IF((E272="h"),H272," ")</f>
        <v> </v>
      </c>
      <c r="AC272" s="30" t="str">
        <f aca="false">IF((E272="v"),H272," ")</f>
        <v> </v>
      </c>
      <c r="AD272" s="30" t="str">
        <f aca="false">IF((E272="n"),H272," ")</f>
        <v> </v>
      </c>
      <c r="AE272" s="17" t="str">
        <f aca="false">IF((E272="f"),H272," ")</f>
        <v> </v>
      </c>
      <c r="AF272" s="17" t="str">
        <f aca="false">IF((E272="l"),H272," ")</f>
        <v> </v>
      </c>
      <c r="AG272" s="17" t="str">
        <f aca="false">IF((E272="y"),H272," ")</f>
        <v> </v>
      </c>
      <c r="AH272" s="17" t="str">
        <f aca="false">IF((E272="z"),H272," ")</f>
        <v> </v>
      </c>
      <c r="AI272" s="17" t="str">
        <f aca="false">IF((E272="fa"),H272," ")</f>
        <v> </v>
      </c>
      <c r="AJ272" s="17" t="str">
        <f aca="false">IF((E272="e"),H272," ")</f>
        <v> </v>
      </c>
    </row>
    <row r="273" customFormat="false" ht="12" hidden="false" customHeight="false" outlineLevel="0" collapsed="false">
      <c r="A273" s="28"/>
      <c r="E273" s="2" t="str">
        <f aca="false">IF((F273&lt;&gt;0),"Enter Letter"," ")</f>
        <v> </v>
      </c>
      <c r="F273" s="30"/>
      <c r="G273" s="6" t="str">
        <f aca="false">IF(F273&lt;&gt;0,F273*G$2/(100+G$2)," ")</f>
        <v> </v>
      </c>
      <c r="H273" s="6" t="str">
        <f aca="false">IF((F273&lt;&gt;0),F273-G273," ")</f>
        <v> </v>
      </c>
      <c r="I273" s="5"/>
      <c r="L273" s="7" t="str">
        <f aca="false">IF(F273&lt;&gt;0,F273-K273," ")</f>
        <v> </v>
      </c>
      <c r="M273" s="8" t="str">
        <f aca="false">IF((F273-K273)&lt;&gt;0,M$1-A273," ")</f>
        <v> </v>
      </c>
      <c r="N273" s="5"/>
      <c r="O273" s="17" t="str">
        <f aca="false">IF((E273="s"),H273," ")</f>
        <v> </v>
      </c>
      <c r="P273" s="17" t="str">
        <f aca="false">IF((E273="c"),H273," ")</f>
        <v> </v>
      </c>
      <c r="Q273" s="17" t="str">
        <f aca="false">IF((E273="o"),H273," ")</f>
        <v> </v>
      </c>
      <c r="R273" s="17" t="str">
        <f aca="false">IF((E273="d"),H273," ")</f>
        <v> </v>
      </c>
      <c r="S273" s="17" t="str">
        <f aca="false">IF((E273="w"),H273," ")</f>
        <v> </v>
      </c>
      <c r="T273" s="17" t="str">
        <f aca="false">IF((E273="r"),H273," ")</f>
        <v> </v>
      </c>
      <c r="U273" s="17" t="str">
        <f aca="false">IF((E273="p"),H273," ")</f>
        <v> </v>
      </c>
      <c r="V273" s="17" t="str">
        <f aca="false">IF((E273="t"),H273," ")</f>
        <v> </v>
      </c>
      <c r="W273" s="17" t="str">
        <f aca="false">IF((E273="q"),H273," ")</f>
        <v> </v>
      </c>
      <c r="X273" s="17" t="str">
        <f aca="false">IF((E273="m"),H273," ")</f>
        <v> </v>
      </c>
      <c r="Y273" s="17" t="str">
        <f aca="false">IF((E273="u"),H273," ")</f>
        <v> </v>
      </c>
      <c r="Z273" s="17" t="str">
        <f aca="false">IF((E273="a"),H273," ")</f>
        <v> </v>
      </c>
      <c r="AA273" s="17" t="str">
        <f aca="false">IF((E273="g"),H273," ")</f>
        <v> </v>
      </c>
      <c r="AB273" s="17" t="str">
        <f aca="false">IF((E273="h"),H273," ")</f>
        <v> </v>
      </c>
      <c r="AC273" s="30" t="str">
        <f aca="false">IF((E273="v"),H273," ")</f>
        <v> </v>
      </c>
      <c r="AD273" s="30" t="str">
        <f aca="false">IF((E273="n"),H273," ")</f>
        <v> </v>
      </c>
      <c r="AE273" s="17" t="str">
        <f aca="false">IF((E273="f"),H273," ")</f>
        <v> </v>
      </c>
      <c r="AF273" s="17" t="str">
        <f aca="false">IF((E273="l"),H273," ")</f>
        <v> </v>
      </c>
      <c r="AG273" s="17" t="str">
        <f aca="false">IF((E273="y"),H273," ")</f>
        <v> </v>
      </c>
      <c r="AH273" s="17" t="str">
        <f aca="false">IF((E273="z"),H273," ")</f>
        <v> </v>
      </c>
      <c r="AI273" s="17" t="str">
        <f aca="false">IF((E273="fa"),H273," ")</f>
        <v> </v>
      </c>
      <c r="AJ273" s="17" t="str">
        <f aca="false">IF((E273="e"),H273," ")</f>
        <v> </v>
      </c>
    </row>
    <row r="274" customFormat="false" ht="12" hidden="false" customHeight="false" outlineLevel="0" collapsed="false">
      <c r="A274" s="28"/>
      <c r="E274" s="2" t="str">
        <f aca="false">IF((F274&lt;&gt;0),"Enter Letter"," ")</f>
        <v> </v>
      </c>
      <c r="F274" s="30"/>
      <c r="G274" s="6" t="str">
        <f aca="false">IF(F274&lt;&gt;0,F274*G$2/(100+G$2)," ")</f>
        <v> </v>
      </c>
      <c r="H274" s="6" t="str">
        <f aca="false">IF((F274&lt;&gt;0),F274-G274," ")</f>
        <v> </v>
      </c>
      <c r="I274" s="5"/>
      <c r="L274" s="7" t="str">
        <f aca="false">IF(F274&lt;&gt;0,F274-K274," ")</f>
        <v> </v>
      </c>
      <c r="M274" s="8" t="str">
        <f aca="false">IF((F274-K274)&lt;&gt;0,M$1-A274," ")</f>
        <v> </v>
      </c>
      <c r="N274" s="5"/>
      <c r="O274" s="17" t="str">
        <f aca="false">IF((E274="s"),H274," ")</f>
        <v> </v>
      </c>
      <c r="P274" s="17" t="str">
        <f aca="false">IF((E274="c"),H274," ")</f>
        <v> </v>
      </c>
      <c r="Q274" s="17" t="str">
        <f aca="false">IF((E274="o"),H274," ")</f>
        <v> </v>
      </c>
      <c r="R274" s="17" t="str">
        <f aca="false">IF((E274="d"),H274," ")</f>
        <v> </v>
      </c>
      <c r="S274" s="17" t="str">
        <f aca="false">IF((E274="w"),H274," ")</f>
        <v> </v>
      </c>
      <c r="T274" s="17" t="str">
        <f aca="false">IF((E274="r"),H274," ")</f>
        <v> </v>
      </c>
      <c r="U274" s="17" t="str">
        <f aca="false">IF((E274="p"),H274," ")</f>
        <v> </v>
      </c>
      <c r="V274" s="17" t="str">
        <f aca="false">IF((E274="t"),H274," ")</f>
        <v> </v>
      </c>
      <c r="W274" s="17" t="str">
        <f aca="false">IF((E274="q"),H274," ")</f>
        <v> </v>
      </c>
      <c r="X274" s="17" t="str">
        <f aca="false">IF((E274="m"),H274," ")</f>
        <v> </v>
      </c>
      <c r="Y274" s="17" t="str">
        <f aca="false">IF((E274="u"),H274," ")</f>
        <v> </v>
      </c>
      <c r="Z274" s="17" t="str">
        <f aca="false">IF((E274="a"),H274," ")</f>
        <v> </v>
      </c>
      <c r="AA274" s="17" t="str">
        <f aca="false">IF((E274="g"),H274," ")</f>
        <v> </v>
      </c>
      <c r="AB274" s="17" t="str">
        <f aca="false">IF((E274="h"),H274," ")</f>
        <v> </v>
      </c>
      <c r="AC274" s="30" t="str">
        <f aca="false">IF((E274="v"),H274," ")</f>
        <v> </v>
      </c>
      <c r="AD274" s="30" t="str">
        <f aca="false">IF((E274="n"),H274," ")</f>
        <v> </v>
      </c>
      <c r="AE274" s="17" t="str">
        <f aca="false">IF((E274="f"),H274," ")</f>
        <v> </v>
      </c>
      <c r="AF274" s="17" t="str">
        <f aca="false">IF((E274="l"),H274," ")</f>
        <v> </v>
      </c>
      <c r="AG274" s="17" t="str">
        <f aca="false">IF((E274="y"),H274," ")</f>
        <v> </v>
      </c>
      <c r="AH274" s="17" t="str">
        <f aca="false">IF((E274="z"),H274," ")</f>
        <v> </v>
      </c>
      <c r="AI274" s="17" t="str">
        <f aca="false">IF((E274="fa"),H274," ")</f>
        <v> </v>
      </c>
      <c r="AJ274" s="17" t="str">
        <f aca="false">IF((E274="e"),H274," ")</f>
        <v> </v>
      </c>
    </row>
    <row r="275" customFormat="false" ht="12" hidden="false" customHeight="false" outlineLevel="0" collapsed="false">
      <c r="A275" s="28"/>
      <c r="E275" s="2" t="str">
        <f aca="false">IF((F275&lt;&gt;0),"Enter Letter"," ")</f>
        <v> </v>
      </c>
      <c r="F275" s="30"/>
      <c r="G275" s="6" t="str">
        <f aca="false">IF(F275&lt;&gt;0,F275*G$2/(100+G$2)," ")</f>
        <v> </v>
      </c>
      <c r="H275" s="6" t="str">
        <f aca="false">IF((F275&lt;&gt;0),F275-G275," ")</f>
        <v> </v>
      </c>
      <c r="I275" s="5"/>
      <c r="L275" s="7" t="str">
        <f aca="false">IF(F275&lt;&gt;0,F275-K275," ")</f>
        <v> </v>
      </c>
      <c r="M275" s="8" t="str">
        <f aca="false">IF((F275-K275)&lt;&gt;0,M$1-A275," ")</f>
        <v> </v>
      </c>
      <c r="N275" s="5"/>
      <c r="O275" s="17" t="str">
        <f aca="false">IF((E275="s"),H275," ")</f>
        <v> </v>
      </c>
      <c r="P275" s="17" t="str">
        <f aca="false">IF((E275="c"),H275," ")</f>
        <v> </v>
      </c>
      <c r="Q275" s="17" t="str">
        <f aca="false">IF((E275="o"),H275," ")</f>
        <v> </v>
      </c>
      <c r="R275" s="17" t="str">
        <f aca="false">IF((E275="d"),H275," ")</f>
        <v> </v>
      </c>
      <c r="S275" s="17" t="str">
        <f aca="false">IF((E275="w"),H275," ")</f>
        <v> </v>
      </c>
      <c r="T275" s="17" t="str">
        <f aca="false">IF((E275="r"),H275," ")</f>
        <v> </v>
      </c>
      <c r="U275" s="17" t="str">
        <f aca="false">IF((E275="p"),H275," ")</f>
        <v> </v>
      </c>
      <c r="V275" s="17" t="str">
        <f aca="false">IF((E275="t"),H275," ")</f>
        <v> </v>
      </c>
      <c r="W275" s="17" t="str">
        <f aca="false">IF((E275="q"),H275," ")</f>
        <v> </v>
      </c>
      <c r="X275" s="17" t="str">
        <f aca="false">IF((E275="m"),H275," ")</f>
        <v> </v>
      </c>
      <c r="Y275" s="17" t="str">
        <f aca="false">IF((E275="u"),H275," ")</f>
        <v> </v>
      </c>
      <c r="Z275" s="17" t="str">
        <f aca="false">IF((E275="a"),H275," ")</f>
        <v> </v>
      </c>
      <c r="AA275" s="17" t="str">
        <f aca="false">IF((E275="g"),H275," ")</f>
        <v> </v>
      </c>
      <c r="AB275" s="17" t="str">
        <f aca="false">IF((E275="h"),H275," ")</f>
        <v> </v>
      </c>
      <c r="AC275" s="30" t="str">
        <f aca="false">IF((E275="v"),H275," ")</f>
        <v> </v>
      </c>
      <c r="AD275" s="30" t="str">
        <f aca="false">IF((E275="n"),H275," ")</f>
        <v> </v>
      </c>
      <c r="AE275" s="17" t="str">
        <f aca="false">IF((E275="f"),H275," ")</f>
        <v> </v>
      </c>
      <c r="AF275" s="17" t="str">
        <f aca="false">IF((E275="l"),H275," ")</f>
        <v> </v>
      </c>
      <c r="AG275" s="17" t="str">
        <f aca="false">IF((E275="y"),H275," ")</f>
        <v> </v>
      </c>
      <c r="AH275" s="17" t="str">
        <f aca="false">IF((E275="z"),H275," ")</f>
        <v> </v>
      </c>
      <c r="AI275" s="17" t="str">
        <f aca="false">IF((E275="fa"),H275," ")</f>
        <v> </v>
      </c>
      <c r="AJ275" s="17" t="str">
        <f aca="false">IF((E275="e"),H275," ")</f>
        <v> </v>
      </c>
    </row>
    <row r="276" customFormat="false" ht="12" hidden="false" customHeight="false" outlineLevel="0" collapsed="false">
      <c r="A276" s="28"/>
      <c r="E276" s="2" t="str">
        <f aca="false">IF((F276&lt;&gt;0),"Enter Letter"," ")</f>
        <v> </v>
      </c>
      <c r="F276" s="30"/>
      <c r="G276" s="6" t="str">
        <f aca="false">IF(F276&lt;&gt;0,F276*G$2/(100+G$2)," ")</f>
        <v> </v>
      </c>
      <c r="H276" s="6" t="str">
        <f aca="false">IF((F276&lt;&gt;0),F276-G276," ")</f>
        <v> </v>
      </c>
      <c r="I276" s="5"/>
      <c r="L276" s="7" t="str">
        <f aca="false">IF(F276&lt;&gt;0,F276-K276," ")</f>
        <v> </v>
      </c>
      <c r="M276" s="8" t="str">
        <f aca="false">IF((F276-K276)&lt;&gt;0,M$1-A276," ")</f>
        <v> </v>
      </c>
      <c r="N276" s="5"/>
      <c r="O276" s="17" t="str">
        <f aca="false">IF((E276="s"),H276," ")</f>
        <v> </v>
      </c>
      <c r="P276" s="17" t="str">
        <f aca="false">IF((E276="c"),H276," ")</f>
        <v> </v>
      </c>
      <c r="Q276" s="17" t="str">
        <f aca="false">IF((E276="o"),H276," ")</f>
        <v> </v>
      </c>
      <c r="R276" s="17" t="str">
        <f aca="false">IF((E276="d"),H276," ")</f>
        <v> </v>
      </c>
      <c r="S276" s="17" t="str">
        <f aca="false">IF((E276="w"),H276," ")</f>
        <v> </v>
      </c>
      <c r="T276" s="17" t="str">
        <f aca="false">IF((E276="r"),H276," ")</f>
        <v> </v>
      </c>
      <c r="U276" s="17" t="str">
        <f aca="false">IF((E276="p"),H276," ")</f>
        <v> </v>
      </c>
      <c r="V276" s="17" t="str">
        <f aca="false">IF((E276="t"),H276," ")</f>
        <v> </v>
      </c>
      <c r="W276" s="17" t="str">
        <f aca="false">IF((E276="q"),H276," ")</f>
        <v> </v>
      </c>
      <c r="X276" s="17" t="str">
        <f aca="false">IF((E276="m"),H276," ")</f>
        <v> </v>
      </c>
      <c r="Y276" s="17" t="str">
        <f aca="false">IF((E276="u"),H276," ")</f>
        <v> </v>
      </c>
      <c r="Z276" s="17" t="str">
        <f aca="false">IF((E276="a"),H276," ")</f>
        <v> </v>
      </c>
      <c r="AA276" s="17" t="str">
        <f aca="false">IF((E276="g"),H276," ")</f>
        <v> </v>
      </c>
      <c r="AB276" s="17" t="str">
        <f aca="false">IF((E276="h"),H276," ")</f>
        <v> </v>
      </c>
      <c r="AC276" s="30" t="str">
        <f aca="false">IF((E276="v"),H276," ")</f>
        <v> </v>
      </c>
      <c r="AD276" s="30" t="str">
        <f aca="false">IF((E276="n"),H276," ")</f>
        <v> </v>
      </c>
      <c r="AE276" s="17" t="str">
        <f aca="false">IF((E276="f"),H276," ")</f>
        <v> </v>
      </c>
      <c r="AF276" s="17" t="str">
        <f aca="false">IF((E276="l"),H276," ")</f>
        <v> </v>
      </c>
      <c r="AG276" s="17" t="str">
        <f aca="false">IF((E276="y"),H276," ")</f>
        <v> </v>
      </c>
      <c r="AH276" s="17" t="str">
        <f aca="false">IF((E276="z"),H276," ")</f>
        <v> </v>
      </c>
      <c r="AI276" s="17" t="str">
        <f aca="false">IF((E276="fa"),H276," ")</f>
        <v> </v>
      </c>
      <c r="AJ276" s="17" t="str">
        <f aca="false">IF((E276="e"),H276," ")</f>
        <v> </v>
      </c>
    </row>
    <row r="277" customFormat="false" ht="12" hidden="false" customHeight="false" outlineLevel="0" collapsed="false">
      <c r="A277" s="28"/>
      <c r="E277" s="2" t="str">
        <f aca="false">IF((F277&lt;&gt;0),"Enter Letter"," ")</f>
        <v> </v>
      </c>
      <c r="F277" s="30"/>
      <c r="G277" s="6" t="str">
        <f aca="false">IF(F277&lt;&gt;0,F277*G$2/(100+G$2)," ")</f>
        <v> </v>
      </c>
      <c r="H277" s="6" t="str">
        <f aca="false">IF((F277&lt;&gt;0),F277-G277," ")</f>
        <v> </v>
      </c>
      <c r="I277" s="5"/>
      <c r="L277" s="7" t="str">
        <f aca="false">IF(F277&lt;&gt;0,F277-K277," ")</f>
        <v> </v>
      </c>
      <c r="M277" s="8" t="str">
        <f aca="false">IF((F277-K277)&lt;&gt;0,M$1-A277," ")</f>
        <v> </v>
      </c>
      <c r="N277" s="5"/>
      <c r="O277" s="17" t="str">
        <f aca="false">IF((E277="s"),H277," ")</f>
        <v> </v>
      </c>
      <c r="P277" s="17" t="str">
        <f aca="false">IF((E277="c"),H277," ")</f>
        <v> </v>
      </c>
      <c r="Q277" s="17" t="str">
        <f aca="false">IF((E277="o"),H277," ")</f>
        <v> </v>
      </c>
      <c r="R277" s="17" t="str">
        <f aca="false">IF((E277="d"),H277," ")</f>
        <v> </v>
      </c>
      <c r="S277" s="17" t="str">
        <f aca="false">IF((E277="w"),H277," ")</f>
        <v> </v>
      </c>
      <c r="T277" s="17" t="str">
        <f aca="false">IF((E277="r"),H277," ")</f>
        <v> </v>
      </c>
      <c r="U277" s="17" t="str">
        <f aca="false">IF((E277="p"),H277," ")</f>
        <v> </v>
      </c>
      <c r="V277" s="17" t="str">
        <f aca="false">IF((E277="t"),H277," ")</f>
        <v> </v>
      </c>
      <c r="W277" s="17" t="str">
        <f aca="false">IF((E277="q"),H277," ")</f>
        <v> </v>
      </c>
      <c r="X277" s="17" t="str">
        <f aca="false">IF((E277="m"),H277," ")</f>
        <v> </v>
      </c>
      <c r="Y277" s="17" t="str">
        <f aca="false">IF((E277="u"),H277," ")</f>
        <v> </v>
      </c>
      <c r="Z277" s="17" t="str">
        <f aca="false">IF((E277="a"),H277," ")</f>
        <v> </v>
      </c>
      <c r="AA277" s="17" t="str">
        <f aca="false">IF((E277="g"),H277," ")</f>
        <v> </v>
      </c>
      <c r="AB277" s="17" t="str">
        <f aca="false">IF((E277="h"),H277," ")</f>
        <v> </v>
      </c>
      <c r="AC277" s="30" t="str">
        <f aca="false">IF((E277="v"),H277," ")</f>
        <v> </v>
      </c>
      <c r="AD277" s="30" t="str">
        <f aca="false">IF((E277="n"),H277," ")</f>
        <v> </v>
      </c>
      <c r="AE277" s="17" t="str">
        <f aca="false">IF((E277="f"),H277," ")</f>
        <v> </v>
      </c>
      <c r="AF277" s="17" t="str">
        <f aca="false">IF((E277="l"),H277," ")</f>
        <v> </v>
      </c>
      <c r="AG277" s="17" t="str">
        <f aca="false">IF((E277="y"),H277," ")</f>
        <v> </v>
      </c>
      <c r="AH277" s="17" t="str">
        <f aca="false">IF((E277="z"),H277," ")</f>
        <v> </v>
      </c>
      <c r="AI277" s="17" t="str">
        <f aca="false">IF((E277="fa"),H277," ")</f>
        <v> </v>
      </c>
      <c r="AJ277" s="17" t="str">
        <f aca="false">IF((E277="e"),H277," ")</f>
        <v> </v>
      </c>
    </row>
    <row r="278" customFormat="false" ht="12" hidden="false" customHeight="false" outlineLevel="0" collapsed="false">
      <c r="A278" s="28"/>
      <c r="E278" s="2" t="str">
        <f aca="false">IF((F278&lt;&gt;0),"Enter Letter"," ")</f>
        <v> </v>
      </c>
      <c r="F278" s="30"/>
      <c r="G278" s="6" t="str">
        <f aca="false">IF(F278&lt;&gt;0,F278*G$2/(100+G$2)," ")</f>
        <v> </v>
      </c>
      <c r="H278" s="6" t="str">
        <f aca="false">IF((F278&lt;&gt;0),F278-G278," ")</f>
        <v> </v>
      </c>
      <c r="I278" s="5"/>
      <c r="L278" s="7" t="str">
        <f aca="false">IF(F278&lt;&gt;0,F278-K278," ")</f>
        <v> </v>
      </c>
      <c r="M278" s="8" t="str">
        <f aca="false">IF((F278-K278)&lt;&gt;0,M$1-A278," ")</f>
        <v> </v>
      </c>
      <c r="N278" s="5"/>
      <c r="O278" s="17" t="str">
        <f aca="false">IF((E278="s"),H278," ")</f>
        <v> </v>
      </c>
      <c r="P278" s="17" t="str">
        <f aca="false">IF((E278="c"),H278," ")</f>
        <v> </v>
      </c>
      <c r="Q278" s="17" t="str">
        <f aca="false">IF((E278="o"),H278," ")</f>
        <v> </v>
      </c>
      <c r="R278" s="17" t="str">
        <f aca="false">IF((E278="d"),H278," ")</f>
        <v> </v>
      </c>
      <c r="S278" s="17" t="str">
        <f aca="false">IF((E278="w"),H278," ")</f>
        <v> </v>
      </c>
      <c r="T278" s="17" t="str">
        <f aca="false">IF((E278="r"),H278," ")</f>
        <v> </v>
      </c>
      <c r="U278" s="17" t="str">
        <f aca="false">IF((E278="p"),H278," ")</f>
        <v> </v>
      </c>
      <c r="V278" s="17" t="str">
        <f aca="false">IF((E278="t"),H278," ")</f>
        <v> </v>
      </c>
      <c r="W278" s="17" t="str">
        <f aca="false">IF((E278="q"),H278," ")</f>
        <v> </v>
      </c>
      <c r="X278" s="17" t="str">
        <f aca="false">IF((E278="m"),H278," ")</f>
        <v> </v>
      </c>
      <c r="Y278" s="17" t="str">
        <f aca="false">IF((E278="u"),H278," ")</f>
        <v> </v>
      </c>
      <c r="Z278" s="17" t="str">
        <f aca="false">IF((E278="a"),H278," ")</f>
        <v> </v>
      </c>
      <c r="AA278" s="17" t="str">
        <f aca="false">IF((E278="g"),H278," ")</f>
        <v> </v>
      </c>
      <c r="AB278" s="17" t="str">
        <f aca="false">IF((E278="h"),H278," ")</f>
        <v> </v>
      </c>
      <c r="AC278" s="30" t="str">
        <f aca="false">IF((E278="v"),H278," ")</f>
        <v> </v>
      </c>
      <c r="AD278" s="30" t="str">
        <f aca="false">IF((E278="n"),H278," ")</f>
        <v> </v>
      </c>
      <c r="AE278" s="17" t="str">
        <f aca="false">IF((E278="f"),H278," ")</f>
        <v> </v>
      </c>
      <c r="AF278" s="17" t="str">
        <f aca="false">IF((E278="l"),H278," ")</f>
        <v> </v>
      </c>
      <c r="AG278" s="17" t="str">
        <f aca="false">IF((E278="y"),H278," ")</f>
        <v> </v>
      </c>
      <c r="AH278" s="17" t="str">
        <f aca="false">IF((E278="z"),H278," ")</f>
        <v> </v>
      </c>
      <c r="AI278" s="17" t="str">
        <f aca="false">IF((E278="fa"),H278," ")</f>
        <v> </v>
      </c>
      <c r="AJ278" s="17" t="str">
        <f aca="false">IF((E278="e"),H278," ")</f>
        <v> </v>
      </c>
    </row>
    <row r="279" customFormat="false" ht="12" hidden="false" customHeight="false" outlineLevel="0" collapsed="false">
      <c r="A279" s="28"/>
      <c r="E279" s="2" t="str">
        <f aca="false">IF((F279&lt;&gt;0),"Enter Letter"," ")</f>
        <v> </v>
      </c>
      <c r="F279" s="30"/>
      <c r="G279" s="6" t="str">
        <f aca="false">IF(F279&lt;&gt;0,F279*G$2/(100+G$2)," ")</f>
        <v> </v>
      </c>
      <c r="H279" s="6" t="str">
        <f aca="false">IF((F279&lt;&gt;0),F279-G279," ")</f>
        <v> </v>
      </c>
      <c r="I279" s="5"/>
      <c r="L279" s="7" t="str">
        <f aca="false">IF(F279&lt;&gt;0,F279-K279," ")</f>
        <v> </v>
      </c>
      <c r="M279" s="8" t="str">
        <f aca="false">IF((F279-K279)&lt;&gt;0,M$1-A279," ")</f>
        <v> </v>
      </c>
      <c r="N279" s="5"/>
      <c r="O279" s="17" t="str">
        <f aca="false">IF((E279="s"),H279," ")</f>
        <v> </v>
      </c>
      <c r="P279" s="17" t="str">
        <f aca="false">IF((E279="c"),H279," ")</f>
        <v> </v>
      </c>
      <c r="Q279" s="17" t="str">
        <f aca="false">IF((E279="o"),H279," ")</f>
        <v> </v>
      </c>
      <c r="R279" s="17" t="str">
        <f aca="false">IF((E279="d"),H279," ")</f>
        <v> </v>
      </c>
      <c r="S279" s="17" t="str">
        <f aca="false">IF((E279="w"),H279," ")</f>
        <v> </v>
      </c>
      <c r="T279" s="17" t="str">
        <f aca="false">IF((E279="r"),H279," ")</f>
        <v> </v>
      </c>
      <c r="U279" s="17" t="str">
        <f aca="false">IF((E279="p"),H279," ")</f>
        <v> </v>
      </c>
      <c r="V279" s="17" t="str">
        <f aca="false">IF((E279="t"),H279," ")</f>
        <v> </v>
      </c>
      <c r="W279" s="17" t="str">
        <f aca="false">IF((E279="q"),H279," ")</f>
        <v> </v>
      </c>
      <c r="X279" s="17" t="str">
        <f aca="false">IF((E279="m"),H279," ")</f>
        <v> </v>
      </c>
      <c r="Y279" s="17" t="str">
        <f aca="false">IF((E279="u"),H279," ")</f>
        <v> </v>
      </c>
      <c r="Z279" s="17" t="str">
        <f aca="false">IF((E279="a"),H279," ")</f>
        <v> </v>
      </c>
      <c r="AA279" s="17" t="str">
        <f aca="false">IF((E279="g"),H279," ")</f>
        <v> </v>
      </c>
      <c r="AB279" s="17" t="str">
        <f aca="false">IF((E279="h"),H279," ")</f>
        <v> </v>
      </c>
      <c r="AC279" s="30" t="str">
        <f aca="false">IF((E279="v"),H279," ")</f>
        <v> </v>
      </c>
      <c r="AD279" s="30" t="str">
        <f aca="false">IF((E279="n"),H279," ")</f>
        <v> </v>
      </c>
      <c r="AE279" s="17" t="str">
        <f aca="false">IF((E279="f"),H279," ")</f>
        <v> </v>
      </c>
      <c r="AF279" s="17" t="str">
        <f aca="false">IF((E279="l"),H279," ")</f>
        <v> </v>
      </c>
      <c r="AG279" s="17" t="str">
        <f aca="false">IF((E279="y"),H279," ")</f>
        <v> </v>
      </c>
      <c r="AH279" s="17" t="str">
        <f aca="false">IF((E279="z"),H279," ")</f>
        <v> </v>
      </c>
      <c r="AI279" s="17" t="str">
        <f aca="false">IF((E279="fa"),H279," ")</f>
        <v> </v>
      </c>
      <c r="AJ279" s="17" t="str">
        <f aca="false">IF((E279="e"),H279," ")</f>
        <v> </v>
      </c>
    </row>
    <row r="280" customFormat="false" ht="12" hidden="false" customHeight="false" outlineLevel="0" collapsed="false">
      <c r="A280" s="28"/>
      <c r="E280" s="2" t="str">
        <f aca="false">IF((F280&lt;&gt;0),"Enter Letter"," ")</f>
        <v> </v>
      </c>
      <c r="F280" s="30"/>
      <c r="G280" s="6" t="str">
        <f aca="false">IF(F280&lt;&gt;0,F280*G$2/(100+G$2)," ")</f>
        <v> </v>
      </c>
      <c r="H280" s="6" t="str">
        <f aca="false">IF((F280&lt;&gt;0),F280-G280," ")</f>
        <v> </v>
      </c>
      <c r="I280" s="5"/>
      <c r="L280" s="7" t="str">
        <f aca="false">IF(F280&lt;&gt;0,F280-K280," ")</f>
        <v> </v>
      </c>
      <c r="M280" s="8" t="str">
        <f aca="false">IF((F280-K280)&lt;&gt;0,M$1-A280," ")</f>
        <v> </v>
      </c>
      <c r="N280" s="5"/>
      <c r="O280" s="17" t="str">
        <f aca="false">IF((E280="s"),H280," ")</f>
        <v> </v>
      </c>
      <c r="P280" s="17" t="str">
        <f aca="false">IF((E280="c"),H280," ")</f>
        <v> </v>
      </c>
      <c r="Q280" s="17" t="str">
        <f aca="false">IF((E280="o"),H280," ")</f>
        <v> </v>
      </c>
      <c r="R280" s="17" t="str">
        <f aca="false">IF((E280="d"),H280," ")</f>
        <v> </v>
      </c>
      <c r="S280" s="17" t="str">
        <f aca="false">IF((E280="w"),H280," ")</f>
        <v> </v>
      </c>
      <c r="T280" s="17" t="str">
        <f aca="false">IF((E280="r"),H280," ")</f>
        <v> </v>
      </c>
      <c r="U280" s="17" t="str">
        <f aca="false">IF((E280="p"),H280," ")</f>
        <v> </v>
      </c>
      <c r="V280" s="17" t="str">
        <f aca="false">IF((E280="t"),H280," ")</f>
        <v> </v>
      </c>
      <c r="W280" s="17" t="str">
        <f aca="false">IF((E280="q"),H280," ")</f>
        <v> </v>
      </c>
      <c r="X280" s="17" t="str">
        <f aca="false">IF((E280="m"),H280," ")</f>
        <v> </v>
      </c>
      <c r="Y280" s="17" t="str">
        <f aca="false">IF((E280="u"),H280," ")</f>
        <v> </v>
      </c>
      <c r="Z280" s="17" t="str">
        <f aca="false">IF((E280="a"),H280," ")</f>
        <v> </v>
      </c>
      <c r="AA280" s="17" t="str">
        <f aca="false">IF((E280="g"),H280," ")</f>
        <v> </v>
      </c>
      <c r="AB280" s="17" t="str">
        <f aca="false">IF((E280="h"),H280," ")</f>
        <v> </v>
      </c>
      <c r="AC280" s="30" t="str">
        <f aca="false">IF((E280="v"),H280," ")</f>
        <v> </v>
      </c>
      <c r="AD280" s="30" t="str">
        <f aca="false">IF((E280="n"),H280," ")</f>
        <v> </v>
      </c>
      <c r="AE280" s="17" t="str">
        <f aca="false">IF((E280="f"),H280," ")</f>
        <v> </v>
      </c>
      <c r="AF280" s="17" t="str">
        <f aca="false">IF((E280="l"),H280," ")</f>
        <v> </v>
      </c>
      <c r="AG280" s="17" t="str">
        <f aca="false">IF((E280="y"),H280," ")</f>
        <v> </v>
      </c>
      <c r="AH280" s="17" t="str">
        <f aca="false">IF((E280="z"),H280," ")</f>
        <v> </v>
      </c>
      <c r="AI280" s="17" t="str">
        <f aca="false">IF((E280="fa"),H280," ")</f>
        <v> </v>
      </c>
      <c r="AJ280" s="17" t="str">
        <f aca="false">IF((E280="e"),H280," ")</f>
        <v> </v>
      </c>
    </row>
    <row r="281" customFormat="false" ht="12" hidden="false" customHeight="false" outlineLevel="0" collapsed="false">
      <c r="A281" s="28"/>
      <c r="E281" s="2" t="str">
        <f aca="false">IF((F281&lt;&gt;0),"Enter Letter"," ")</f>
        <v> </v>
      </c>
      <c r="F281" s="30"/>
      <c r="G281" s="6" t="str">
        <f aca="false">IF(F281&lt;&gt;0,F281*G$2/(100+G$2)," ")</f>
        <v> </v>
      </c>
      <c r="H281" s="6" t="str">
        <f aca="false">IF((F281&lt;&gt;0),F281-G281," ")</f>
        <v> </v>
      </c>
      <c r="I281" s="5"/>
      <c r="L281" s="7" t="str">
        <f aca="false">IF(F281&lt;&gt;0,F281-K281," ")</f>
        <v> </v>
      </c>
      <c r="M281" s="8" t="str">
        <f aca="false">IF((F281-K281)&lt;&gt;0,M$1-A281," ")</f>
        <v> </v>
      </c>
      <c r="N281" s="5"/>
      <c r="O281" s="17" t="str">
        <f aca="false">IF((E281="s"),H281," ")</f>
        <v> </v>
      </c>
      <c r="P281" s="17" t="str">
        <f aca="false">IF((E281="c"),H281," ")</f>
        <v> </v>
      </c>
      <c r="Q281" s="17" t="str">
        <f aca="false">IF((E281="o"),H281," ")</f>
        <v> </v>
      </c>
      <c r="R281" s="17" t="str">
        <f aca="false">IF((E281="d"),H281," ")</f>
        <v> </v>
      </c>
      <c r="S281" s="17" t="str">
        <f aca="false">IF((E281="w"),H281," ")</f>
        <v> </v>
      </c>
      <c r="T281" s="17" t="str">
        <f aca="false">IF((E281="r"),H281," ")</f>
        <v> </v>
      </c>
      <c r="U281" s="17" t="str">
        <f aca="false">IF((E281="p"),H281," ")</f>
        <v> </v>
      </c>
      <c r="V281" s="17" t="str">
        <f aca="false">IF((E281="t"),H281," ")</f>
        <v> </v>
      </c>
      <c r="W281" s="17" t="str">
        <f aca="false">IF((E281="q"),H281," ")</f>
        <v> </v>
      </c>
      <c r="X281" s="17" t="str">
        <f aca="false">IF((E281="m"),H281," ")</f>
        <v> </v>
      </c>
      <c r="Y281" s="17" t="str">
        <f aca="false">IF((E281="u"),H281," ")</f>
        <v> </v>
      </c>
      <c r="Z281" s="17" t="str">
        <f aca="false">IF((E281="a"),H281," ")</f>
        <v> </v>
      </c>
      <c r="AA281" s="17" t="str">
        <f aca="false">IF((E281="g"),H281," ")</f>
        <v> </v>
      </c>
      <c r="AB281" s="17" t="str">
        <f aca="false">IF((E281="h"),H281," ")</f>
        <v> </v>
      </c>
      <c r="AC281" s="30" t="str">
        <f aca="false">IF((E281="v"),H281," ")</f>
        <v> </v>
      </c>
      <c r="AD281" s="30" t="str">
        <f aca="false">IF((E281="n"),H281," ")</f>
        <v> </v>
      </c>
      <c r="AE281" s="17" t="str">
        <f aca="false">IF((E281="f"),H281," ")</f>
        <v> </v>
      </c>
      <c r="AF281" s="17" t="str">
        <f aca="false">IF((E281="l"),H281," ")</f>
        <v> </v>
      </c>
      <c r="AG281" s="17" t="str">
        <f aca="false">IF((E281="y"),H281," ")</f>
        <v> </v>
      </c>
      <c r="AH281" s="17" t="str">
        <f aca="false">IF((E281="z"),H281," ")</f>
        <v> </v>
      </c>
      <c r="AI281" s="17" t="str">
        <f aca="false">IF((E281="fa"),H281," ")</f>
        <v> </v>
      </c>
      <c r="AJ281" s="17" t="str">
        <f aca="false">IF((E281="e"),H281," ")</f>
        <v> </v>
      </c>
    </row>
    <row r="282" customFormat="false" ht="12" hidden="false" customHeight="false" outlineLevel="0" collapsed="false">
      <c r="A282" s="28"/>
      <c r="E282" s="2" t="str">
        <f aca="false">IF((F282&lt;&gt;0),"Enter Letter"," ")</f>
        <v> </v>
      </c>
      <c r="F282" s="30"/>
      <c r="G282" s="6" t="str">
        <f aca="false">IF(F282&lt;&gt;0,F282*G$2/(100+G$2)," ")</f>
        <v> </v>
      </c>
      <c r="H282" s="6" t="str">
        <f aca="false">IF((F282&lt;&gt;0),F282-G282," ")</f>
        <v> </v>
      </c>
      <c r="I282" s="5"/>
      <c r="L282" s="7" t="str">
        <f aca="false">IF(F282&lt;&gt;0,F282-K282," ")</f>
        <v> </v>
      </c>
      <c r="M282" s="8" t="str">
        <f aca="false">IF((F282-K282)&lt;&gt;0,M$1-A282," ")</f>
        <v> </v>
      </c>
      <c r="N282" s="5"/>
      <c r="O282" s="17" t="str">
        <f aca="false">IF((E282="s"),H282," ")</f>
        <v> </v>
      </c>
      <c r="P282" s="17" t="str">
        <f aca="false">IF((E282="c"),H282," ")</f>
        <v> </v>
      </c>
      <c r="Q282" s="17" t="str">
        <f aca="false">IF((E282="o"),H282," ")</f>
        <v> </v>
      </c>
      <c r="R282" s="17" t="str">
        <f aca="false">IF((E282="d"),H282," ")</f>
        <v> </v>
      </c>
      <c r="S282" s="17" t="str">
        <f aca="false">IF((E282="w"),H282," ")</f>
        <v> </v>
      </c>
      <c r="T282" s="17" t="str">
        <f aca="false">IF((E282="r"),H282," ")</f>
        <v> </v>
      </c>
      <c r="U282" s="17" t="str">
        <f aca="false">IF((E282="p"),H282," ")</f>
        <v> </v>
      </c>
      <c r="V282" s="17" t="str">
        <f aca="false">IF((E282="t"),H282," ")</f>
        <v> </v>
      </c>
      <c r="W282" s="17" t="str">
        <f aca="false">IF((E282="q"),H282," ")</f>
        <v> </v>
      </c>
      <c r="X282" s="17" t="str">
        <f aca="false">IF((E282="m"),H282," ")</f>
        <v> </v>
      </c>
      <c r="Y282" s="17" t="str">
        <f aca="false">IF((E282="u"),H282," ")</f>
        <v> </v>
      </c>
      <c r="Z282" s="17" t="str">
        <f aca="false">IF((E282="a"),H282," ")</f>
        <v> </v>
      </c>
      <c r="AA282" s="17" t="str">
        <f aca="false">IF((E282="g"),H282," ")</f>
        <v> </v>
      </c>
      <c r="AB282" s="17" t="str">
        <f aca="false">IF((E282="h"),H282," ")</f>
        <v> </v>
      </c>
      <c r="AC282" s="30" t="str">
        <f aca="false">IF((E282="v"),H282," ")</f>
        <v> </v>
      </c>
      <c r="AD282" s="30" t="str">
        <f aca="false">IF((E282="n"),H282," ")</f>
        <v> </v>
      </c>
      <c r="AE282" s="17" t="str">
        <f aca="false">IF((E282="f"),H282," ")</f>
        <v> </v>
      </c>
      <c r="AF282" s="17" t="str">
        <f aca="false">IF((E282="l"),H282," ")</f>
        <v> </v>
      </c>
      <c r="AG282" s="17" t="str">
        <f aca="false">IF((E282="y"),H282," ")</f>
        <v> </v>
      </c>
      <c r="AH282" s="17" t="str">
        <f aca="false">IF((E282="z"),H282," ")</f>
        <v> </v>
      </c>
      <c r="AI282" s="17" t="str">
        <f aca="false">IF((E282="fa"),H282," ")</f>
        <v> </v>
      </c>
      <c r="AJ282" s="17" t="str">
        <f aca="false">IF((E282="e"),H282," ")</f>
        <v> </v>
      </c>
    </row>
    <row r="283" customFormat="false" ht="12" hidden="false" customHeight="false" outlineLevel="0" collapsed="false">
      <c r="A283" s="28"/>
      <c r="E283" s="2" t="str">
        <f aca="false">IF((F283&lt;&gt;0),"Enter Letter"," ")</f>
        <v> </v>
      </c>
      <c r="F283" s="30"/>
      <c r="G283" s="6" t="str">
        <f aca="false">IF(F283&lt;&gt;0,F283*G$2/(100+G$2)," ")</f>
        <v> </v>
      </c>
      <c r="H283" s="6" t="str">
        <f aca="false">IF((F283&lt;&gt;0),F283-G283," ")</f>
        <v> </v>
      </c>
      <c r="I283" s="5"/>
      <c r="L283" s="7" t="str">
        <f aca="false">IF(F283&lt;&gt;0,F283-K283," ")</f>
        <v> </v>
      </c>
      <c r="M283" s="8" t="str">
        <f aca="false">IF((F283-K283)&lt;&gt;0,M$1-A283," ")</f>
        <v> </v>
      </c>
      <c r="N283" s="5"/>
      <c r="O283" s="17" t="str">
        <f aca="false">IF((E283="s"),H283," ")</f>
        <v> </v>
      </c>
      <c r="P283" s="17" t="str">
        <f aca="false">IF((E283="c"),H283," ")</f>
        <v> </v>
      </c>
      <c r="Q283" s="17" t="str">
        <f aca="false">IF((E283="o"),H283," ")</f>
        <v> </v>
      </c>
      <c r="R283" s="17" t="str">
        <f aca="false">IF((E283="d"),H283," ")</f>
        <v> </v>
      </c>
      <c r="S283" s="17" t="str">
        <f aca="false">IF((E283="w"),H283," ")</f>
        <v> </v>
      </c>
      <c r="T283" s="17" t="str">
        <f aca="false">IF((E283="r"),H283," ")</f>
        <v> </v>
      </c>
      <c r="U283" s="17" t="str">
        <f aca="false">IF((E283="p"),H283," ")</f>
        <v> </v>
      </c>
      <c r="V283" s="17" t="str">
        <f aca="false">IF((E283="t"),H283," ")</f>
        <v> </v>
      </c>
      <c r="W283" s="17" t="str">
        <f aca="false">IF((E283="q"),H283," ")</f>
        <v> </v>
      </c>
      <c r="X283" s="17" t="str">
        <f aca="false">IF((E283="m"),H283," ")</f>
        <v> </v>
      </c>
      <c r="Y283" s="17" t="str">
        <f aca="false">IF((E283="u"),H283," ")</f>
        <v> </v>
      </c>
      <c r="Z283" s="17" t="str">
        <f aca="false">IF((E283="a"),H283," ")</f>
        <v> </v>
      </c>
      <c r="AA283" s="17" t="str">
        <f aca="false">IF((E283="g"),H283," ")</f>
        <v> </v>
      </c>
      <c r="AB283" s="17" t="str">
        <f aca="false">IF((E283="h"),H283," ")</f>
        <v> </v>
      </c>
      <c r="AC283" s="30" t="str">
        <f aca="false">IF((E283="v"),H283," ")</f>
        <v> </v>
      </c>
      <c r="AD283" s="30" t="str">
        <f aca="false">IF((E283="n"),H283," ")</f>
        <v> </v>
      </c>
      <c r="AE283" s="17" t="str">
        <f aca="false">IF((E283="f"),H283," ")</f>
        <v> </v>
      </c>
      <c r="AF283" s="17" t="str">
        <f aca="false">IF((E283="l"),H283," ")</f>
        <v> </v>
      </c>
      <c r="AG283" s="17" t="str">
        <f aca="false">IF((E283="y"),H283," ")</f>
        <v> </v>
      </c>
      <c r="AH283" s="17" t="str">
        <f aca="false">IF((E283="z"),H283," ")</f>
        <v> </v>
      </c>
      <c r="AI283" s="17" t="str">
        <f aca="false">IF((E283="fa"),H283," ")</f>
        <v> </v>
      </c>
      <c r="AJ283" s="17" t="str">
        <f aca="false">IF((E283="e"),H283," ")</f>
        <v> </v>
      </c>
    </row>
    <row r="284" customFormat="false" ht="12" hidden="false" customHeight="false" outlineLevel="0" collapsed="false">
      <c r="A284" s="28"/>
      <c r="E284" s="2" t="str">
        <f aca="false">IF((F284&lt;&gt;0),"Enter Letter"," ")</f>
        <v> </v>
      </c>
      <c r="F284" s="30"/>
      <c r="G284" s="6" t="str">
        <f aca="false">IF(F284&lt;&gt;0,F284*G$2/(100+G$2)," ")</f>
        <v> </v>
      </c>
      <c r="H284" s="6" t="str">
        <f aca="false">IF((F284&lt;&gt;0),F284-G284," ")</f>
        <v> </v>
      </c>
      <c r="I284" s="5"/>
      <c r="L284" s="7" t="str">
        <f aca="false">IF(F284&lt;&gt;0,F284-K284," ")</f>
        <v> </v>
      </c>
      <c r="M284" s="8" t="str">
        <f aca="false">IF((F284-K284)&lt;&gt;0,M$1-A284," ")</f>
        <v> </v>
      </c>
      <c r="N284" s="5"/>
      <c r="O284" s="17" t="str">
        <f aca="false">IF((E284="s"),H284," ")</f>
        <v> </v>
      </c>
      <c r="P284" s="17" t="str">
        <f aca="false">IF((E284="c"),H284," ")</f>
        <v> </v>
      </c>
      <c r="Q284" s="17" t="str">
        <f aca="false">IF((E284="o"),H284," ")</f>
        <v> </v>
      </c>
      <c r="R284" s="17" t="str">
        <f aca="false">IF((E284="d"),H284," ")</f>
        <v> </v>
      </c>
      <c r="S284" s="17" t="str">
        <f aca="false">IF((E284="w"),H284," ")</f>
        <v> </v>
      </c>
      <c r="T284" s="17" t="str">
        <f aca="false">IF((E284="r"),H284," ")</f>
        <v> </v>
      </c>
      <c r="U284" s="17" t="str">
        <f aca="false">IF((E284="p"),H284," ")</f>
        <v> </v>
      </c>
      <c r="V284" s="17" t="str">
        <f aca="false">IF((E284="t"),H284," ")</f>
        <v> </v>
      </c>
      <c r="W284" s="17" t="str">
        <f aca="false">IF((E284="q"),H284," ")</f>
        <v> </v>
      </c>
      <c r="X284" s="17" t="str">
        <f aca="false">IF((E284="m"),H284," ")</f>
        <v> </v>
      </c>
      <c r="Y284" s="17" t="str">
        <f aca="false">IF((E284="u"),H284," ")</f>
        <v> </v>
      </c>
      <c r="Z284" s="17" t="str">
        <f aca="false">IF((E284="a"),H284," ")</f>
        <v> </v>
      </c>
      <c r="AA284" s="17" t="str">
        <f aca="false">IF((E284="g"),H284," ")</f>
        <v> </v>
      </c>
      <c r="AB284" s="17" t="str">
        <f aca="false">IF((E284="h"),H284," ")</f>
        <v> </v>
      </c>
      <c r="AC284" s="30" t="str">
        <f aca="false">IF((E284="v"),H284," ")</f>
        <v> </v>
      </c>
      <c r="AD284" s="30" t="str">
        <f aca="false">IF((E284="n"),H284," ")</f>
        <v> </v>
      </c>
      <c r="AE284" s="17" t="str">
        <f aca="false">IF((E284="f"),H284," ")</f>
        <v> </v>
      </c>
      <c r="AF284" s="17" t="str">
        <f aca="false">IF((E284="l"),H284," ")</f>
        <v> </v>
      </c>
      <c r="AG284" s="17" t="str">
        <f aca="false">IF((E284="y"),H284," ")</f>
        <v> </v>
      </c>
      <c r="AH284" s="17" t="str">
        <f aca="false">IF((E284="z"),H284," ")</f>
        <v> </v>
      </c>
      <c r="AI284" s="17" t="str">
        <f aca="false">IF((E284="fa"),H284," ")</f>
        <v> </v>
      </c>
      <c r="AJ284" s="17" t="str">
        <f aca="false">IF((E284="e"),H284," ")</f>
        <v> </v>
      </c>
    </row>
    <row r="285" customFormat="false" ht="12" hidden="false" customHeight="false" outlineLevel="0" collapsed="false">
      <c r="A285" s="28"/>
      <c r="E285" s="2" t="str">
        <f aca="false">IF((F285&lt;&gt;0),"Enter Letter"," ")</f>
        <v> </v>
      </c>
      <c r="F285" s="30"/>
      <c r="G285" s="6" t="str">
        <f aca="false">IF(F285&lt;&gt;0,F285*G$2/(100+G$2)," ")</f>
        <v> </v>
      </c>
      <c r="H285" s="6" t="str">
        <f aca="false">IF((F285&lt;&gt;0),F285-G285," ")</f>
        <v> </v>
      </c>
      <c r="I285" s="5"/>
      <c r="L285" s="7" t="str">
        <f aca="false">IF(F285&lt;&gt;0,F285-K285," ")</f>
        <v> </v>
      </c>
      <c r="M285" s="8" t="str">
        <f aca="false">IF((F285-K285)&lt;&gt;0,M$1-A285," ")</f>
        <v> </v>
      </c>
      <c r="N285" s="5"/>
      <c r="O285" s="17" t="str">
        <f aca="false">IF((E285="s"),H285," ")</f>
        <v> </v>
      </c>
      <c r="P285" s="17" t="str">
        <f aca="false">IF((E285="c"),H285," ")</f>
        <v> </v>
      </c>
      <c r="Q285" s="17" t="str">
        <f aca="false">IF((E285="o"),H285," ")</f>
        <v> </v>
      </c>
      <c r="R285" s="17" t="str">
        <f aca="false">IF((E285="d"),H285," ")</f>
        <v> </v>
      </c>
      <c r="S285" s="17" t="str">
        <f aca="false">IF((E285="w"),H285," ")</f>
        <v> </v>
      </c>
      <c r="T285" s="17" t="str">
        <f aca="false">IF((E285="r"),H285," ")</f>
        <v> </v>
      </c>
      <c r="U285" s="17" t="str">
        <f aca="false">IF((E285="p"),H285," ")</f>
        <v> </v>
      </c>
      <c r="V285" s="17" t="str">
        <f aca="false">IF((E285="t"),H285," ")</f>
        <v> </v>
      </c>
      <c r="W285" s="17" t="str">
        <f aca="false">IF((E285="q"),H285," ")</f>
        <v> </v>
      </c>
      <c r="X285" s="17" t="str">
        <f aca="false">IF((E285="m"),H285," ")</f>
        <v> </v>
      </c>
      <c r="Y285" s="17" t="str">
        <f aca="false">IF((E285="u"),H285," ")</f>
        <v> </v>
      </c>
      <c r="Z285" s="17" t="str">
        <f aca="false">IF((E285="a"),H285," ")</f>
        <v> </v>
      </c>
      <c r="AA285" s="17" t="str">
        <f aca="false">IF((E285="g"),H285," ")</f>
        <v> </v>
      </c>
      <c r="AB285" s="17" t="str">
        <f aca="false">IF((E285="h"),H285," ")</f>
        <v> </v>
      </c>
      <c r="AC285" s="30" t="str">
        <f aca="false">IF((E285="v"),H285," ")</f>
        <v> </v>
      </c>
      <c r="AD285" s="30" t="str">
        <f aca="false">IF((E285="n"),H285," ")</f>
        <v> </v>
      </c>
      <c r="AE285" s="17" t="str">
        <f aca="false">IF((E285="f"),H285," ")</f>
        <v> </v>
      </c>
      <c r="AF285" s="17" t="str">
        <f aca="false">IF((E285="l"),H285," ")</f>
        <v> </v>
      </c>
      <c r="AG285" s="17" t="str">
        <f aca="false">IF((E285="y"),H285," ")</f>
        <v> </v>
      </c>
      <c r="AH285" s="17" t="str">
        <f aca="false">IF((E285="z"),H285," ")</f>
        <v> </v>
      </c>
      <c r="AI285" s="17" t="str">
        <f aca="false">IF((E285="fa"),H285," ")</f>
        <v> </v>
      </c>
      <c r="AJ285" s="17" t="str">
        <f aca="false">IF((E285="e"),H285," ")</f>
        <v> </v>
      </c>
    </row>
    <row r="286" customFormat="false" ht="12" hidden="false" customHeight="false" outlineLevel="0" collapsed="false">
      <c r="A286" s="28"/>
      <c r="E286" s="2" t="str">
        <f aca="false">IF((F286&lt;&gt;0),"Enter Letter"," ")</f>
        <v> </v>
      </c>
      <c r="F286" s="30"/>
      <c r="G286" s="6" t="str">
        <f aca="false">IF(F286&lt;&gt;0,F286*G$2/(100+G$2)," ")</f>
        <v> </v>
      </c>
      <c r="H286" s="6" t="str">
        <f aca="false">IF((F286&lt;&gt;0),F286-G286," ")</f>
        <v> </v>
      </c>
      <c r="I286" s="5"/>
      <c r="L286" s="7" t="str">
        <f aca="false">IF(F286&lt;&gt;0,F286-K286," ")</f>
        <v> </v>
      </c>
      <c r="M286" s="8" t="str">
        <f aca="false">IF((F286-K286)&lt;&gt;0,M$1-A286," ")</f>
        <v> </v>
      </c>
      <c r="N286" s="5"/>
      <c r="O286" s="17" t="str">
        <f aca="false">IF((E286="s"),H286," ")</f>
        <v> </v>
      </c>
      <c r="P286" s="17" t="str">
        <f aca="false">IF((E286="c"),H286," ")</f>
        <v> </v>
      </c>
      <c r="Q286" s="17" t="str">
        <f aca="false">IF((E286="o"),H286," ")</f>
        <v> </v>
      </c>
      <c r="R286" s="17" t="str">
        <f aca="false">IF((E286="d"),H286," ")</f>
        <v> </v>
      </c>
      <c r="S286" s="17" t="str">
        <f aca="false">IF((E286="w"),H286," ")</f>
        <v> </v>
      </c>
      <c r="T286" s="17" t="str">
        <f aca="false">IF((E286="r"),H286," ")</f>
        <v> </v>
      </c>
      <c r="U286" s="17" t="str">
        <f aca="false">IF((E286="p"),H286," ")</f>
        <v> </v>
      </c>
      <c r="V286" s="17" t="str">
        <f aca="false">IF((E286="t"),H286," ")</f>
        <v> </v>
      </c>
      <c r="W286" s="17" t="str">
        <f aca="false">IF((E286="q"),H286," ")</f>
        <v> </v>
      </c>
      <c r="X286" s="17" t="str">
        <f aca="false">IF((E286="m"),H286," ")</f>
        <v> </v>
      </c>
      <c r="Y286" s="17" t="str">
        <f aca="false">IF((E286="u"),H286," ")</f>
        <v> </v>
      </c>
      <c r="Z286" s="17" t="str">
        <f aca="false">IF((E286="a"),H286," ")</f>
        <v> </v>
      </c>
      <c r="AA286" s="17" t="str">
        <f aca="false">IF((E286="g"),H286," ")</f>
        <v> </v>
      </c>
      <c r="AB286" s="17" t="str">
        <f aca="false">IF((E286="h"),H286," ")</f>
        <v> </v>
      </c>
      <c r="AC286" s="30" t="str">
        <f aca="false">IF((E286="v"),H286," ")</f>
        <v> </v>
      </c>
      <c r="AD286" s="30" t="str">
        <f aca="false">IF((E286="n"),H286," ")</f>
        <v> </v>
      </c>
      <c r="AE286" s="17" t="str">
        <f aca="false">IF((E286="f"),H286," ")</f>
        <v> </v>
      </c>
      <c r="AF286" s="17" t="str">
        <f aca="false">IF((E286="l"),H286," ")</f>
        <v> </v>
      </c>
      <c r="AG286" s="17" t="str">
        <f aca="false">IF((E286="y"),H286," ")</f>
        <v> </v>
      </c>
      <c r="AH286" s="17" t="str">
        <f aca="false">IF((E286="z"),H286," ")</f>
        <v> </v>
      </c>
      <c r="AI286" s="17" t="str">
        <f aca="false">IF((E286="fa"),H286," ")</f>
        <v> </v>
      </c>
      <c r="AJ286" s="17" t="str">
        <f aca="false">IF((E286="e"),H286," ")</f>
        <v> </v>
      </c>
    </row>
    <row r="287" customFormat="false" ht="12" hidden="false" customHeight="false" outlineLevel="0" collapsed="false">
      <c r="A287" s="28"/>
      <c r="E287" s="2" t="str">
        <f aca="false">IF((F287&lt;&gt;0),"Enter Letter"," ")</f>
        <v> </v>
      </c>
      <c r="F287" s="30"/>
      <c r="G287" s="6" t="str">
        <f aca="false">IF(F287&lt;&gt;0,F287*G$2/(100+G$2)," ")</f>
        <v> </v>
      </c>
      <c r="H287" s="6" t="str">
        <f aca="false">IF((F287&lt;&gt;0),F287-G287," ")</f>
        <v> </v>
      </c>
      <c r="I287" s="5"/>
      <c r="L287" s="7" t="str">
        <f aca="false">IF(F287&lt;&gt;0,F287-K287," ")</f>
        <v> </v>
      </c>
      <c r="M287" s="8" t="str">
        <f aca="false">IF((F287-K287)&lt;&gt;0,M$1-A287," ")</f>
        <v> </v>
      </c>
      <c r="N287" s="5"/>
      <c r="O287" s="17" t="str">
        <f aca="false">IF((E287="s"),H287," ")</f>
        <v> </v>
      </c>
      <c r="P287" s="17" t="str">
        <f aca="false">IF((E287="c"),H287," ")</f>
        <v> </v>
      </c>
      <c r="Q287" s="17" t="str">
        <f aca="false">IF((E287="o"),H287," ")</f>
        <v> </v>
      </c>
      <c r="R287" s="17" t="str">
        <f aca="false">IF((E287="d"),H287," ")</f>
        <v> </v>
      </c>
      <c r="S287" s="17" t="str">
        <f aca="false">IF((E287="w"),H287," ")</f>
        <v> </v>
      </c>
      <c r="T287" s="17" t="str">
        <f aca="false">IF((E287="r"),H287," ")</f>
        <v> </v>
      </c>
      <c r="U287" s="17" t="str">
        <f aca="false">IF((E287="p"),H287," ")</f>
        <v> </v>
      </c>
      <c r="V287" s="17" t="str">
        <f aca="false">IF((E287="t"),H287," ")</f>
        <v> </v>
      </c>
      <c r="W287" s="17" t="str">
        <f aca="false">IF((E287="q"),H287," ")</f>
        <v> </v>
      </c>
      <c r="X287" s="17" t="str">
        <f aca="false">IF((E287="m"),H287," ")</f>
        <v> </v>
      </c>
      <c r="Y287" s="17" t="str">
        <f aca="false">IF((E287="u"),H287," ")</f>
        <v> </v>
      </c>
      <c r="Z287" s="17" t="str">
        <f aca="false">IF((E287="a"),H287," ")</f>
        <v> </v>
      </c>
      <c r="AA287" s="17" t="str">
        <f aca="false">IF((E287="g"),H287," ")</f>
        <v> </v>
      </c>
      <c r="AB287" s="17" t="str">
        <f aca="false">IF((E287="h"),H287," ")</f>
        <v> </v>
      </c>
      <c r="AC287" s="30" t="str">
        <f aca="false">IF((E287="v"),H287," ")</f>
        <v> </v>
      </c>
      <c r="AD287" s="30" t="str">
        <f aca="false">IF((E287="n"),H287," ")</f>
        <v> </v>
      </c>
      <c r="AE287" s="17" t="str">
        <f aca="false">IF((E287="f"),H287," ")</f>
        <v> </v>
      </c>
      <c r="AF287" s="17" t="str">
        <f aca="false">IF((E287="l"),H287," ")</f>
        <v> </v>
      </c>
      <c r="AG287" s="17" t="str">
        <f aca="false">IF((E287="y"),H287," ")</f>
        <v> </v>
      </c>
      <c r="AH287" s="17" t="str">
        <f aca="false">IF((E287="z"),H287," ")</f>
        <v> </v>
      </c>
      <c r="AI287" s="17" t="str">
        <f aca="false">IF((E287="fa"),H287," ")</f>
        <v> </v>
      </c>
      <c r="AJ287" s="17" t="str">
        <f aca="false">IF((E287="e"),H287," ")</f>
        <v> </v>
      </c>
    </row>
    <row r="288" customFormat="false" ht="12" hidden="false" customHeight="false" outlineLevel="0" collapsed="false">
      <c r="A288" s="28"/>
      <c r="E288" s="2" t="str">
        <f aca="false">IF((F288&lt;&gt;0),"Enter Letter"," ")</f>
        <v> </v>
      </c>
      <c r="F288" s="30"/>
      <c r="G288" s="6" t="str">
        <f aca="false">IF(F288&lt;&gt;0,F288*G$2/(100+G$2)," ")</f>
        <v> </v>
      </c>
      <c r="H288" s="6" t="str">
        <f aca="false">IF((F288&lt;&gt;0),F288-G288," ")</f>
        <v> </v>
      </c>
      <c r="I288" s="5"/>
      <c r="L288" s="7" t="str">
        <f aca="false">IF(F288&lt;&gt;0,F288-K288," ")</f>
        <v> </v>
      </c>
      <c r="M288" s="8" t="str">
        <f aca="false">IF((F288-K288)&lt;&gt;0,M$1-A288," ")</f>
        <v> </v>
      </c>
      <c r="N288" s="5"/>
      <c r="O288" s="17" t="str">
        <f aca="false">IF((E288="s"),H288," ")</f>
        <v> </v>
      </c>
      <c r="P288" s="17" t="str">
        <f aca="false">IF((E288="c"),H288," ")</f>
        <v> </v>
      </c>
      <c r="Q288" s="17" t="str">
        <f aca="false">IF((E288="o"),H288," ")</f>
        <v> </v>
      </c>
      <c r="R288" s="17" t="str">
        <f aca="false">IF((E288="d"),H288," ")</f>
        <v> </v>
      </c>
      <c r="S288" s="17" t="str">
        <f aca="false">IF((E288="w"),H288," ")</f>
        <v> </v>
      </c>
      <c r="T288" s="17" t="str">
        <f aca="false">IF((E288="r"),H288," ")</f>
        <v> </v>
      </c>
      <c r="U288" s="17" t="str">
        <f aca="false">IF((E288="p"),H288," ")</f>
        <v> </v>
      </c>
      <c r="V288" s="17" t="str">
        <f aca="false">IF((E288="t"),H288," ")</f>
        <v> </v>
      </c>
      <c r="W288" s="17" t="str">
        <f aca="false">IF((E288="q"),H288," ")</f>
        <v> </v>
      </c>
      <c r="X288" s="17" t="str">
        <f aca="false">IF((E288="m"),H288," ")</f>
        <v> </v>
      </c>
      <c r="Y288" s="17" t="str">
        <f aca="false">IF((E288="u"),H288," ")</f>
        <v> </v>
      </c>
      <c r="Z288" s="17" t="str">
        <f aca="false">IF((E288="a"),H288," ")</f>
        <v> </v>
      </c>
      <c r="AA288" s="17" t="str">
        <f aca="false">IF((E288="g"),H288," ")</f>
        <v> </v>
      </c>
      <c r="AB288" s="17" t="str">
        <f aca="false">IF((E288="h"),H288," ")</f>
        <v> </v>
      </c>
      <c r="AC288" s="30" t="str">
        <f aca="false">IF((E288="v"),H288," ")</f>
        <v> </v>
      </c>
      <c r="AD288" s="30" t="str">
        <f aca="false">IF((E288="n"),H288," ")</f>
        <v> </v>
      </c>
      <c r="AE288" s="17" t="str">
        <f aca="false">IF((E288="f"),H288," ")</f>
        <v> </v>
      </c>
      <c r="AF288" s="17" t="str">
        <f aca="false">IF((E288="l"),H288," ")</f>
        <v> </v>
      </c>
      <c r="AG288" s="17" t="str">
        <f aca="false">IF((E288="y"),H288," ")</f>
        <v> </v>
      </c>
      <c r="AH288" s="17" t="str">
        <f aca="false">IF((E288="z"),H288," ")</f>
        <v> </v>
      </c>
      <c r="AI288" s="17" t="str">
        <f aca="false">IF((E288="fa"),H288," ")</f>
        <v> </v>
      </c>
      <c r="AJ288" s="17" t="str">
        <f aca="false">IF((E288="e"),H288," ")</f>
        <v> </v>
      </c>
    </row>
    <row r="289" customFormat="false" ht="12" hidden="false" customHeight="false" outlineLevel="0" collapsed="false">
      <c r="A289" s="28"/>
      <c r="E289" s="2" t="str">
        <f aca="false">IF((F289&lt;&gt;0),"Enter Letter"," ")</f>
        <v> </v>
      </c>
      <c r="F289" s="30"/>
      <c r="G289" s="6" t="str">
        <f aca="false">IF(F289&lt;&gt;0,F289*G$2/(100+G$2)," ")</f>
        <v> </v>
      </c>
      <c r="H289" s="6" t="str">
        <f aca="false">IF((F289&lt;&gt;0),F289-G289," ")</f>
        <v> </v>
      </c>
      <c r="I289" s="5"/>
      <c r="L289" s="7" t="str">
        <f aca="false">IF(F289&lt;&gt;0,F289-K289," ")</f>
        <v> </v>
      </c>
      <c r="M289" s="8" t="str">
        <f aca="false">IF((F289-K289)&lt;&gt;0,M$1-A289," ")</f>
        <v> </v>
      </c>
      <c r="N289" s="5"/>
      <c r="O289" s="17" t="str">
        <f aca="false">IF((E289="s"),H289," ")</f>
        <v> </v>
      </c>
      <c r="P289" s="17" t="str">
        <f aca="false">IF((E289="c"),H289," ")</f>
        <v> </v>
      </c>
      <c r="Q289" s="17" t="str">
        <f aca="false">IF((E289="o"),H289," ")</f>
        <v> </v>
      </c>
      <c r="R289" s="17" t="str">
        <f aca="false">IF((E289="d"),H289," ")</f>
        <v> </v>
      </c>
      <c r="S289" s="17" t="str">
        <f aca="false">IF((E289="w"),H289," ")</f>
        <v> </v>
      </c>
      <c r="T289" s="17" t="str">
        <f aca="false">IF((E289="r"),H289," ")</f>
        <v> </v>
      </c>
      <c r="U289" s="17" t="str">
        <f aca="false">IF((E289="p"),H289," ")</f>
        <v> </v>
      </c>
      <c r="V289" s="17" t="str">
        <f aca="false">IF((E289="t"),H289," ")</f>
        <v> </v>
      </c>
      <c r="W289" s="17" t="str">
        <f aca="false">IF((E289="q"),H289," ")</f>
        <v> </v>
      </c>
      <c r="X289" s="17" t="str">
        <f aca="false">IF((E289="m"),H289," ")</f>
        <v> </v>
      </c>
      <c r="Y289" s="17" t="str">
        <f aca="false">IF((E289="u"),H289," ")</f>
        <v> </v>
      </c>
      <c r="Z289" s="17" t="str">
        <f aca="false">IF((E289="a"),H289," ")</f>
        <v> </v>
      </c>
      <c r="AA289" s="17" t="str">
        <f aca="false">IF((E289="g"),H289," ")</f>
        <v> </v>
      </c>
      <c r="AB289" s="17" t="str">
        <f aca="false">IF((E289="h"),H289," ")</f>
        <v> </v>
      </c>
      <c r="AC289" s="30" t="str">
        <f aca="false">IF((E289="v"),H289," ")</f>
        <v> </v>
      </c>
      <c r="AD289" s="30" t="str">
        <f aca="false">IF((E289="n"),H289," ")</f>
        <v> </v>
      </c>
      <c r="AE289" s="17" t="str">
        <f aca="false">IF((E289="f"),H289," ")</f>
        <v> </v>
      </c>
      <c r="AF289" s="17" t="str">
        <f aca="false">IF((E289="l"),H289," ")</f>
        <v> </v>
      </c>
      <c r="AG289" s="17" t="str">
        <f aca="false">IF((E289="y"),H289," ")</f>
        <v> </v>
      </c>
      <c r="AH289" s="17" t="str">
        <f aca="false">IF((E289="z"),H289," ")</f>
        <v> </v>
      </c>
      <c r="AI289" s="17" t="str">
        <f aca="false">IF((E289="fa"),H289," ")</f>
        <v> </v>
      </c>
      <c r="AJ289" s="17" t="str">
        <f aca="false">IF((E289="e"),H289," ")</f>
        <v> </v>
      </c>
    </row>
    <row r="290" customFormat="false" ht="12" hidden="false" customHeight="false" outlineLevel="0" collapsed="false">
      <c r="A290" s="28"/>
      <c r="E290" s="2" t="str">
        <f aca="false">IF((F290&lt;&gt;0),"Enter Letter"," ")</f>
        <v> </v>
      </c>
      <c r="F290" s="30"/>
      <c r="G290" s="6" t="str">
        <f aca="false">IF(F290&lt;&gt;0,F290*G$2/(100+G$2)," ")</f>
        <v> </v>
      </c>
      <c r="H290" s="6" t="str">
        <f aca="false">IF((F290&lt;&gt;0),F290-G290," ")</f>
        <v> </v>
      </c>
      <c r="I290" s="5"/>
      <c r="L290" s="7" t="str">
        <f aca="false">IF(F290&lt;&gt;0,F290-K290," ")</f>
        <v> </v>
      </c>
      <c r="M290" s="8" t="str">
        <f aca="false">IF((F290-K290)&lt;&gt;0,M$1-A290," ")</f>
        <v> </v>
      </c>
      <c r="N290" s="5"/>
      <c r="O290" s="17" t="str">
        <f aca="false">IF((E290="s"),H290," ")</f>
        <v> </v>
      </c>
      <c r="P290" s="17" t="str">
        <f aca="false">IF((E290="c"),H290," ")</f>
        <v> </v>
      </c>
      <c r="Q290" s="17" t="str">
        <f aca="false">IF((E290="o"),H290," ")</f>
        <v> </v>
      </c>
      <c r="R290" s="17" t="str">
        <f aca="false">IF((E290="d"),H290," ")</f>
        <v> </v>
      </c>
      <c r="S290" s="17" t="str">
        <f aca="false">IF((E290="w"),H290," ")</f>
        <v> </v>
      </c>
      <c r="T290" s="17" t="str">
        <f aca="false">IF((E290="r"),H290," ")</f>
        <v> </v>
      </c>
      <c r="U290" s="17" t="str">
        <f aca="false">IF((E290="p"),H290," ")</f>
        <v> </v>
      </c>
      <c r="V290" s="17" t="str">
        <f aca="false">IF((E290="t"),H290," ")</f>
        <v> </v>
      </c>
      <c r="W290" s="17" t="str">
        <f aca="false">IF((E290="q"),H290," ")</f>
        <v> </v>
      </c>
      <c r="X290" s="17" t="str">
        <f aca="false">IF((E290="m"),H290," ")</f>
        <v> </v>
      </c>
      <c r="Y290" s="17" t="str">
        <f aca="false">IF((E290="u"),H290," ")</f>
        <v> </v>
      </c>
      <c r="Z290" s="17" t="str">
        <f aca="false">IF((E290="a"),H290," ")</f>
        <v> </v>
      </c>
      <c r="AA290" s="17" t="str">
        <f aca="false">IF((E290="g"),H290," ")</f>
        <v> </v>
      </c>
      <c r="AB290" s="17" t="str">
        <f aca="false">IF((E290="h"),H290," ")</f>
        <v> </v>
      </c>
      <c r="AC290" s="30" t="str">
        <f aca="false">IF((E290="v"),H290," ")</f>
        <v> </v>
      </c>
      <c r="AD290" s="30" t="str">
        <f aca="false">IF((E290="n"),H290," ")</f>
        <v> </v>
      </c>
      <c r="AE290" s="17" t="str">
        <f aca="false">IF((E290="f"),H290," ")</f>
        <v> </v>
      </c>
      <c r="AF290" s="17" t="str">
        <f aca="false">IF((E290="l"),H290," ")</f>
        <v> </v>
      </c>
      <c r="AG290" s="17" t="str">
        <f aca="false">IF((E290="y"),H290," ")</f>
        <v> </v>
      </c>
      <c r="AH290" s="17" t="str">
        <f aca="false">IF((E290="z"),H290," ")</f>
        <v> </v>
      </c>
      <c r="AI290" s="17" t="str">
        <f aca="false">IF((E290="fa"),H290," ")</f>
        <v> </v>
      </c>
      <c r="AJ290" s="17" t="str">
        <f aca="false">IF((E290="e"),H290," ")</f>
        <v> </v>
      </c>
    </row>
    <row r="291" customFormat="false" ht="12" hidden="false" customHeight="false" outlineLevel="0" collapsed="false">
      <c r="A291" s="28"/>
      <c r="E291" s="2" t="str">
        <f aca="false">IF((F291&lt;&gt;0),"Enter Letter"," ")</f>
        <v> </v>
      </c>
      <c r="F291" s="30"/>
      <c r="G291" s="6" t="str">
        <f aca="false">IF(F291&lt;&gt;0,F291*G$2/(100+G$2)," ")</f>
        <v> </v>
      </c>
      <c r="H291" s="6" t="str">
        <f aca="false">IF((F291&lt;&gt;0),F291-G291," ")</f>
        <v> </v>
      </c>
      <c r="I291" s="5"/>
      <c r="L291" s="7" t="str">
        <f aca="false">IF(F291&lt;&gt;0,F291-K291," ")</f>
        <v> </v>
      </c>
      <c r="M291" s="8" t="str">
        <f aca="false">IF((F291-K291)&lt;&gt;0,M$1-A291," ")</f>
        <v> </v>
      </c>
      <c r="N291" s="5"/>
      <c r="O291" s="17" t="str">
        <f aca="false">IF((E291="s"),H291," ")</f>
        <v> </v>
      </c>
      <c r="P291" s="17" t="str">
        <f aca="false">IF((E291="c"),H291," ")</f>
        <v> </v>
      </c>
      <c r="Q291" s="17" t="str">
        <f aca="false">IF((E291="o"),H291," ")</f>
        <v> </v>
      </c>
      <c r="R291" s="17" t="str">
        <f aca="false">IF((E291="d"),H291," ")</f>
        <v> </v>
      </c>
      <c r="S291" s="17" t="str">
        <f aca="false">IF((E291="w"),H291," ")</f>
        <v> </v>
      </c>
      <c r="T291" s="17" t="str">
        <f aca="false">IF((E291="r"),H291," ")</f>
        <v> </v>
      </c>
      <c r="U291" s="17" t="str">
        <f aca="false">IF((E291="p"),H291," ")</f>
        <v> </v>
      </c>
      <c r="V291" s="17" t="str">
        <f aca="false">IF((E291="t"),H291," ")</f>
        <v> </v>
      </c>
      <c r="W291" s="17" t="str">
        <f aca="false">IF((E291="q"),H291," ")</f>
        <v> </v>
      </c>
      <c r="X291" s="17" t="str">
        <f aca="false">IF((E291="m"),H291," ")</f>
        <v> </v>
      </c>
      <c r="Y291" s="17" t="str">
        <f aca="false">IF((E291="u"),H291," ")</f>
        <v> </v>
      </c>
      <c r="Z291" s="17" t="str">
        <f aca="false">IF((E291="a"),H291," ")</f>
        <v> </v>
      </c>
      <c r="AA291" s="17" t="str">
        <f aca="false">IF((E291="g"),H291," ")</f>
        <v> </v>
      </c>
      <c r="AB291" s="17" t="str">
        <f aca="false">IF((E291="h"),H291," ")</f>
        <v> </v>
      </c>
      <c r="AC291" s="30" t="str">
        <f aca="false">IF((E291="v"),H291," ")</f>
        <v> </v>
      </c>
      <c r="AD291" s="30" t="str">
        <f aca="false">IF((E291="n"),H291," ")</f>
        <v> </v>
      </c>
      <c r="AE291" s="17" t="str">
        <f aca="false">IF((E291="f"),H291," ")</f>
        <v> </v>
      </c>
      <c r="AF291" s="17" t="str">
        <f aca="false">IF((E291="l"),H291," ")</f>
        <v> </v>
      </c>
      <c r="AG291" s="17" t="str">
        <f aca="false">IF((E291="y"),H291," ")</f>
        <v> </v>
      </c>
      <c r="AH291" s="17" t="str">
        <f aca="false">IF((E291="z"),H291," ")</f>
        <v> </v>
      </c>
      <c r="AI291" s="17" t="str">
        <f aca="false">IF((E291="fa"),H291," ")</f>
        <v> </v>
      </c>
      <c r="AJ291" s="17" t="str">
        <f aca="false">IF((E291="e"),H291," ")</f>
        <v> </v>
      </c>
    </row>
    <row r="292" customFormat="false" ht="12" hidden="false" customHeight="false" outlineLevel="0" collapsed="false">
      <c r="A292" s="28"/>
      <c r="E292" s="2" t="str">
        <f aca="false">IF((F292&lt;&gt;0),"Enter Letter"," ")</f>
        <v> </v>
      </c>
      <c r="F292" s="30"/>
      <c r="G292" s="6" t="str">
        <f aca="false">IF(F292&lt;&gt;0,F292*G$2/(100+G$2)," ")</f>
        <v> </v>
      </c>
      <c r="H292" s="6" t="str">
        <f aca="false">IF((F292&lt;&gt;0),F292-G292," ")</f>
        <v> </v>
      </c>
      <c r="I292" s="5"/>
      <c r="L292" s="7" t="str">
        <f aca="false">IF(F292&lt;&gt;0,F292-K292," ")</f>
        <v> </v>
      </c>
      <c r="M292" s="8" t="str">
        <f aca="false">IF((F292-K292)&lt;&gt;0,M$1-A292," ")</f>
        <v> </v>
      </c>
      <c r="N292" s="5"/>
      <c r="O292" s="17" t="str">
        <f aca="false">IF((E292="s"),H292," ")</f>
        <v> </v>
      </c>
      <c r="P292" s="17" t="str">
        <f aca="false">IF((E292="c"),H292," ")</f>
        <v> </v>
      </c>
      <c r="Q292" s="17" t="str">
        <f aca="false">IF((E292="o"),H292," ")</f>
        <v> </v>
      </c>
      <c r="R292" s="17" t="str">
        <f aca="false">IF((E292="d"),H292," ")</f>
        <v> </v>
      </c>
      <c r="S292" s="17" t="str">
        <f aca="false">IF((E292="w"),H292," ")</f>
        <v> </v>
      </c>
      <c r="T292" s="17" t="str">
        <f aca="false">IF((E292="r"),H292," ")</f>
        <v> </v>
      </c>
      <c r="U292" s="17" t="str">
        <f aca="false">IF((E292="p"),H292," ")</f>
        <v> </v>
      </c>
      <c r="V292" s="17" t="str">
        <f aca="false">IF((E292="t"),H292," ")</f>
        <v> </v>
      </c>
      <c r="W292" s="17" t="str">
        <f aca="false">IF((E292="q"),H292," ")</f>
        <v> </v>
      </c>
      <c r="X292" s="17" t="str">
        <f aca="false">IF((E292="m"),H292," ")</f>
        <v> </v>
      </c>
      <c r="Y292" s="17" t="str">
        <f aca="false">IF((E292="u"),H292," ")</f>
        <v> </v>
      </c>
      <c r="Z292" s="17" t="str">
        <f aca="false">IF((E292="a"),H292," ")</f>
        <v> </v>
      </c>
      <c r="AA292" s="17" t="str">
        <f aca="false">IF((E292="g"),H292," ")</f>
        <v> </v>
      </c>
      <c r="AB292" s="17" t="str">
        <f aca="false">IF((E292="h"),H292," ")</f>
        <v> </v>
      </c>
      <c r="AC292" s="30" t="str">
        <f aca="false">IF((E292="v"),H292," ")</f>
        <v> </v>
      </c>
      <c r="AD292" s="30" t="str">
        <f aca="false">IF((E292="n"),H292," ")</f>
        <v> </v>
      </c>
      <c r="AE292" s="17" t="str">
        <f aca="false">IF((E292="f"),H292," ")</f>
        <v> </v>
      </c>
      <c r="AF292" s="17" t="str">
        <f aca="false">IF((E292="l"),H292," ")</f>
        <v> </v>
      </c>
      <c r="AG292" s="17" t="str">
        <f aca="false">IF((E292="y"),H292," ")</f>
        <v> </v>
      </c>
      <c r="AH292" s="17" t="str">
        <f aca="false">IF((E292="z"),H292," ")</f>
        <v> </v>
      </c>
      <c r="AI292" s="17" t="str">
        <f aca="false">IF((E292="fa"),H292," ")</f>
        <v> </v>
      </c>
      <c r="AJ292" s="17" t="str">
        <f aca="false">IF((E292="e"),H292," ")</f>
        <v> </v>
      </c>
    </row>
    <row r="293" customFormat="false" ht="12" hidden="false" customHeight="false" outlineLevel="0" collapsed="false">
      <c r="A293" s="28"/>
      <c r="E293" s="2" t="str">
        <f aca="false">IF((F293&lt;&gt;0),"Enter Letter"," ")</f>
        <v> </v>
      </c>
      <c r="F293" s="30"/>
      <c r="G293" s="6" t="str">
        <f aca="false">IF(F293&lt;&gt;0,F293*G$2/(100+G$2)," ")</f>
        <v> </v>
      </c>
      <c r="H293" s="6" t="str">
        <f aca="false">IF((F293&lt;&gt;0),F293-G293," ")</f>
        <v> </v>
      </c>
      <c r="I293" s="5"/>
      <c r="L293" s="7" t="str">
        <f aca="false">IF(F293&lt;&gt;0,F293-K293," ")</f>
        <v> </v>
      </c>
      <c r="M293" s="8" t="str">
        <f aca="false">IF((F293-K293)&lt;&gt;0,M$1-A293," ")</f>
        <v> </v>
      </c>
      <c r="N293" s="5"/>
      <c r="O293" s="17" t="str">
        <f aca="false">IF((E293="s"),H293," ")</f>
        <v> </v>
      </c>
      <c r="P293" s="17" t="str">
        <f aca="false">IF((E293="c"),H293," ")</f>
        <v> </v>
      </c>
      <c r="Q293" s="17" t="str">
        <f aca="false">IF((E293="o"),H293," ")</f>
        <v> </v>
      </c>
      <c r="R293" s="17" t="str">
        <f aca="false">IF((E293="d"),H293," ")</f>
        <v> </v>
      </c>
      <c r="S293" s="17" t="str">
        <f aca="false">IF((E293="w"),H293," ")</f>
        <v> </v>
      </c>
      <c r="T293" s="17" t="str">
        <f aca="false">IF((E293="r"),H293," ")</f>
        <v> </v>
      </c>
      <c r="U293" s="17" t="str">
        <f aca="false">IF((E293="p"),H293," ")</f>
        <v> </v>
      </c>
      <c r="V293" s="17" t="str">
        <f aca="false">IF((E293="t"),H293," ")</f>
        <v> </v>
      </c>
      <c r="W293" s="17" t="str">
        <f aca="false">IF((E293="q"),H293," ")</f>
        <v> </v>
      </c>
      <c r="X293" s="17" t="str">
        <f aca="false">IF((E293="m"),H293," ")</f>
        <v> </v>
      </c>
      <c r="Y293" s="17" t="str">
        <f aca="false">IF((E293="u"),H293," ")</f>
        <v> </v>
      </c>
      <c r="Z293" s="17" t="str">
        <f aca="false">IF((E293="a"),H293," ")</f>
        <v> </v>
      </c>
      <c r="AA293" s="17" t="str">
        <f aca="false">IF((E293="g"),H293," ")</f>
        <v> </v>
      </c>
      <c r="AB293" s="17" t="str">
        <f aca="false">IF((E293="h"),H293," ")</f>
        <v> </v>
      </c>
      <c r="AC293" s="30" t="str">
        <f aca="false">IF((E293="v"),H293," ")</f>
        <v> </v>
      </c>
      <c r="AD293" s="30" t="str">
        <f aca="false">IF((E293="n"),H293," ")</f>
        <v> </v>
      </c>
      <c r="AE293" s="17" t="str">
        <f aca="false">IF((E293="f"),H293," ")</f>
        <v> </v>
      </c>
      <c r="AF293" s="17" t="str">
        <f aca="false">IF((E293="l"),H293," ")</f>
        <v> </v>
      </c>
      <c r="AG293" s="17" t="str">
        <f aca="false">IF((E293="y"),H293," ")</f>
        <v> </v>
      </c>
      <c r="AH293" s="17" t="str">
        <f aca="false">IF((E293="z"),H293," ")</f>
        <v> </v>
      </c>
      <c r="AI293" s="17" t="str">
        <f aca="false">IF((E293="fa"),H293," ")</f>
        <v> </v>
      </c>
      <c r="AJ293" s="17" t="str">
        <f aca="false">IF((E293="e"),H293," ")</f>
        <v> </v>
      </c>
    </row>
    <row r="294" customFormat="false" ht="12" hidden="false" customHeight="false" outlineLevel="0" collapsed="false">
      <c r="A294" s="28"/>
      <c r="E294" s="2" t="str">
        <f aca="false">IF((F294&lt;&gt;0),"Enter Letter"," ")</f>
        <v> </v>
      </c>
      <c r="F294" s="30"/>
      <c r="G294" s="6" t="str">
        <f aca="false">IF(F294&lt;&gt;0,F294*G$2/(100+G$2)," ")</f>
        <v> </v>
      </c>
      <c r="H294" s="6" t="str">
        <f aca="false">IF((F294&lt;&gt;0),F294-G294," ")</f>
        <v> </v>
      </c>
      <c r="I294" s="5"/>
      <c r="L294" s="7" t="str">
        <f aca="false">IF(F294&lt;&gt;0,F294-K294," ")</f>
        <v> </v>
      </c>
      <c r="M294" s="8" t="str">
        <f aca="false">IF((F294-K294)&lt;&gt;0,M$1-A294," ")</f>
        <v> </v>
      </c>
      <c r="N294" s="5"/>
      <c r="O294" s="17" t="str">
        <f aca="false">IF((E294="s"),H294," ")</f>
        <v> </v>
      </c>
      <c r="P294" s="17" t="str">
        <f aca="false">IF((E294="c"),H294," ")</f>
        <v> </v>
      </c>
      <c r="Q294" s="17" t="str">
        <f aca="false">IF((E294="o"),H294," ")</f>
        <v> </v>
      </c>
      <c r="R294" s="17" t="str">
        <f aca="false">IF((E294="d"),H294," ")</f>
        <v> </v>
      </c>
      <c r="S294" s="17" t="str">
        <f aca="false">IF((E294="w"),H294," ")</f>
        <v> </v>
      </c>
      <c r="T294" s="17" t="str">
        <f aca="false">IF((E294="r"),H294," ")</f>
        <v> </v>
      </c>
      <c r="U294" s="17" t="str">
        <f aca="false">IF((E294="p"),H294," ")</f>
        <v> </v>
      </c>
      <c r="V294" s="17" t="str">
        <f aca="false">IF((E294="t"),H294," ")</f>
        <v> </v>
      </c>
      <c r="W294" s="17" t="str">
        <f aca="false">IF((E294="q"),H294," ")</f>
        <v> </v>
      </c>
      <c r="X294" s="17" t="str">
        <f aca="false">IF((E294="m"),H294," ")</f>
        <v> </v>
      </c>
      <c r="Y294" s="17" t="str">
        <f aca="false">IF((E294="u"),H294," ")</f>
        <v> </v>
      </c>
      <c r="Z294" s="17" t="str">
        <f aca="false">IF((E294="a"),H294," ")</f>
        <v> </v>
      </c>
      <c r="AA294" s="17" t="str">
        <f aca="false">IF((E294="g"),H294," ")</f>
        <v> </v>
      </c>
      <c r="AB294" s="17" t="str">
        <f aca="false">IF((E294="h"),H294," ")</f>
        <v> </v>
      </c>
      <c r="AC294" s="30" t="str">
        <f aca="false">IF((E294="v"),H294," ")</f>
        <v> </v>
      </c>
      <c r="AD294" s="30" t="str">
        <f aca="false">IF((E294="n"),H294," ")</f>
        <v> </v>
      </c>
      <c r="AE294" s="17" t="str">
        <f aca="false">IF((E294="f"),H294," ")</f>
        <v> </v>
      </c>
      <c r="AF294" s="17" t="str">
        <f aca="false">IF((E294="l"),H294," ")</f>
        <v> </v>
      </c>
      <c r="AG294" s="17" t="str">
        <f aca="false">IF((E294="y"),H294," ")</f>
        <v> </v>
      </c>
      <c r="AH294" s="17" t="str">
        <f aca="false">IF((E294="z"),H294," ")</f>
        <v> </v>
      </c>
      <c r="AI294" s="17" t="str">
        <f aca="false">IF((E294="fa"),H294," ")</f>
        <v> </v>
      </c>
      <c r="AJ294" s="17" t="str">
        <f aca="false">IF((E294="e"),H294," ")</f>
        <v> </v>
      </c>
    </row>
    <row r="295" customFormat="false" ht="12" hidden="false" customHeight="false" outlineLevel="0" collapsed="false">
      <c r="A295" s="28"/>
      <c r="E295" s="2" t="str">
        <f aca="false">IF((F295&lt;&gt;0),"Enter Letter"," ")</f>
        <v> </v>
      </c>
      <c r="F295" s="30"/>
      <c r="G295" s="6" t="str">
        <f aca="false">IF(F295&lt;&gt;0,F295*G$2/(100+G$2)," ")</f>
        <v> </v>
      </c>
      <c r="H295" s="6" t="str">
        <f aca="false">IF((F295&lt;&gt;0),F295-G295," ")</f>
        <v> </v>
      </c>
      <c r="I295" s="5"/>
      <c r="L295" s="7" t="str">
        <f aca="false">IF(F295&lt;&gt;0,F295-K295," ")</f>
        <v> </v>
      </c>
      <c r="M295" s="8" t="str">
        <f aca="false">IF((F295-K295)&lt;&gt;0,M$1-A295," ")</f>
        <v> </v>
      </c>
      <c r="N295" s="5"/>
      <c r="O295" s="17" t="str">
        <f aca="false">IF((E295="s"),H295," ")</f>
        <v> </v>
      </c>
      <c r="P295" s="17" t="str">
        <f aca="false">IF((E295="c"),H295," ")</f>
        <v> </v>
      </c>
      <c r="Q295" s="17" t="str">
        <f aca="false">IF((E295="o"),H295," ")</f>
        <v> </v>
      </c>
      <c r="R295" s="17" t="str">
        <f aca="false">IF((E295="d"),H295," ")</f>
        <v> </v>
      </c>
      <c r="S295" s="17" t="str">
        <f aca="false">IF((E295="w"),H295," ")</f>
        <v> </v>
      </c>
      <c r="T295" s="17" t="str">
        <f aca="false">IF((E295="r"),H295," ")</f>
        <v> </v>
      </c>
      <c r="U295" s="17" t="str">
        <f aca="false">IF((E295="p"),H295," ")</f>
        <v> </v>
      </c>
      <c r="V295" s="17" t="str">
        <f aca="false">IF((E295="t"),H295," ")</f>
        <v> </v>
      </c>
      <c r="W295" s="17" t="str">
        <f aca="false">IF((E295="q"),H295," ")</f>
        <v> </v>
      </c>
      <c r="X295" s="17" t="str">
        <f aca="false">IF((E295="m"),H295," ")</f>
        <v> </v>
      </c>
      <c r="Y295" s="17" t="str">
        <f aca="false">IF((E295="u"),H295," ")</f>
        <v> </v>
      </c>
      <c r="Z295" s="17" t="str">
        <f aca="false">IF((E295="a"),H295," ")</f>
        <v> </v>
      </c>
      <c r="AA295" s="17" t="str">
        <f aca="false">IF((E295="g"),H295," ")</f>
        <v> </v>
      </c>
      <c r="AB295" s="17" t="str">
        <f aca="false">IF((E295="h"),H295," ")</f>
        <v> </v>
      </c>
      <c r="AC295" s="30" t="str">
        <f aca="false">IF((E295="v"),H295," ")</f>
        <v> </v>
      </c>
      <c r="AD295" s="30" t="str">
        <f aca="false">IF((E295="n"),H295," ")</f>
        <v> </v>
      </c>
      <c r="AE295" s="17" t="str">
        <f aca="false">IF((E295="f"),H295," ")</f>
        <v> </v>
      </c>
      <c r="AF295" s="17" t="str">
        <f aca="false">IF((E295="l"),H295," ")</f>
        <v> </v>
      </c>
      <c r="AG295" s="17" t="str">
        <f aca="false">IF((E295="y"),H295," ")</f>
        <v> </v>
      </c>
      <c r="AH295" s="17" t="str">
        <f aca="false">IF((E295="z"),H295," ")</f>
        <v> </v>
      </c>
      <c r="AI295" s="17" t="str">
        <f aca="false">IF((E295="fa"),H295," ")</f>
        <v> </v>
      </c>
      <c r="AJ295" s="17" t="str">
        <f aca="false">IF((E295="e"),H295," ")</f>
        <v> </v>
      </c>
    </row>
    <row r="296" customFormat="false" ht="12" hidden="false" customHeight="false" outlineLevel="0" collapsed="false">
      <c r="A296" s="28"/>
      <c r="E296" s="2" t="str">
        <f aca="false">IF((F296&lt;&gt;0),"Enter Letter"," ")</f>
        <v> </v>
      </c>
      <c r="F296" s="30"/>
      <c r="G296" s="6" t="str">
        <f aca="false">IF(F296&lt;&gt;0,F296*G$2/(100+G$2)," ")</f>
        <v> </v>
      </c>
      <c r="H296" s="6" t="str">
        <f aca="false">IF((F296&lt;&gt;0),F296-G296," ")</f>
        <v> </v>
      </c>
      <c r="I296" s="5"/>
      <c r="L296" s="7" t="str">
        <f aca="false">IF(F296&lt;&gt;0,F296-K296," ")</f>
        <v> </v>
      </c>
      <c r="M296" s="8" t="str">
        <f aca="false">IF((F296-K296)&lt;&gt;0,M$1-A296," ")</f>
        <v> </v>
      </c>
      <c r="N296" s="5"/>
      <c r="O296" s="17" t="str">
        <f aca="false">IF((E296="s"),H296," ")</f>
        <v> </v>
      </c>
      <c r="P296" s="17" t="str">
        <f aca="false">IF((E296="c"),H296," ")</f>
        <v> </v>
      </c>
      <c r="Q296" s="17" t="str">
        <f aca="false">IF((E296="o"),H296," ")</f>
        <v> </v>
      </c>
      <c r="R296" s="17" t="str">
        <f aca="false">IF((E296="d"),H296," ")</f>
        <v> </v>
      </c>
      <c r="S296" s="17" t="str">
        <f aca="false">IF((E296="w"),H296," ")</f>
        <v> </v>
      </c>
      <c r="T296" s="17" t="str">
        <f aca="false">IF((E296="r"),H296," ")</f>
        <v> </v>
      </c>
      <c r="U296" s="17" t="str">
        <f aca="false">IF((E296="p"),H296," ")</f>
        <v> </v>
      </c>
      <c r="V296" s="17" t="str">
        <f aca="false">IF((E296="t"),H296," ")</f>
        <v> </v>
      </c>
      <c r="W296" s="17" t="str">
        <f aca="false">IF((E296="q"),H296," ")</f>
        <v> </v>
      </c>
      <c r="X296" s="17" t="str">
        <f aca="false">IF((E296="m"),H296," ")</f>
        <v> </v>
      </c>
      <c r="Y296" s="17" t="str">
        <f aca="false">IF((E296="u"),H296," ")</f>
        <v> </v>
      </c>
      <c r="Z296" s="17" t="str">
        <f aca="false">IF((E296="a"),H296," ")</f>
        <v> </v>
      </c>
      <c r="AA296" s="17" t="str">
        <f aca="false">IF((E296="g"),H296," ")</f>
        <v> </v>
      </c>
      <c r="AB296" s="17" t="str">
        <f aca="false">IF((E296="h"),H296," ")</f>
        <v> </v>
      </c>
      <c r="AC296" s="30" t="str">
        <f aca="false">IF((E296="v"),H296," ")</f>
        <v> </v>
      </c>
      <c r="AD296" s="30" t="str">
        <f aca="false">IF((E296="n"),H296," ")</f>
        <v> </v>
      </c>
      <c r="AE296" s="17" t="str">
        <f aca="false">IF((E296="f"),H296," ")</f>
        <v> </v>
      </c>
      <c r="AF296" s="17" t="str">
        <f aca="false">IF((E296="l"),H296," ")</f>
        <v> </v>
      </c>
      <c r="AG296" s="17" t="str">
        <f aca="false">IF((E296="y"),H296," ")</f>
        <v> </v>
      </c>
      <c r="AH296" s="17" t="str">
        <f aca="false">IF((E296="z"),H296," ")</f>
        <v> </v>
      </c>
      <c r="AI296" s="17" t="str">
        <f aca="false">IF((E296="fa"),H296," ")</f>
        <v> </v>
      </c>
      <c r="AJ296" s="17" t="str">
        <f aca="false">IF((E296="e"),H296," ")</f>
        <v> </v>
      </c>
    </row>
    <row r="297" customFormat="false" ht="12" hidden="false" customHeight="false" outlineLevel="0" collapsed="false">
      <c r="A297" s="28"/>
      <c r="E297" s="2" t="str">
        <f aca="false">IF((F297&lt;&gt;0),"Enter Letter"," ")</f>
        <v> </v>
      </c>
      <c r="F297" s="30"/>
      <c r="G297" s="6" t="str">
        <f aca="false">IF(F297&lt;&gt;0,F297*G$2/(100+G$2)," ")</f>
        <v> </v>
      </c>
      <c r="H297" s="6" t="str">
        <f aca="false">IF((F297&lt;&gt;0),F297-G297," ")</f>
        <v> </v>
      </c>
      <c r="I297" s="5"/>
      <c r="L297" s="7" t="str">
        <f aca="false">IF(F297&lt;&gt;0,F297-K297," ")</f>
        <v> </v>
      </c>
      <c r="M297" s="8" t="str">
        <f aca="false">IF((F297-K297)&lt;&gt;0,M$1-A297," ")</f>
        <v> </v>
      </c>
      <c r="N297" s="5"/>
      <c r="O297" s="17" t="str">
        <f aca="false">IF((E297="s"),H297," ")</f>
        <v> </v>
      </c>
      <c r="P297" s="17" t="str">
        <f aca="false">IF((E297="c"),H297," ")</f>
        <v> </v>
      </c>
      <c r="Q297" s="17" t="str">
        <f aca="false">IF((E297="o"),H297," ")</f>
        <v> </v>
      </c>
      <c r="R297" s="17" t="str">
        <f aca="false">IF((E297="d"),H297," ")</f>
        <v> </v>
      </c>
      <c r="S297" s="17" t="str">
        <f aca="false">IF((E297="w"),H297," ")</f>
        <v> </v>
      </c>
      <c r="T297" s="17" t="str">
        <f aca="false">IF((E297="r"),H297," ")</f>
        <v> </v>
      </c>
      <c r="U297" s="17" t="str">
        <f aca="false">IF((E297="p"),H297," ")</f>
        <v> </v>
      </c>
      <c r="V297" s="17" t="str">
        <f aca="false">IF((E297="t"),H297," ")</f>
        <v> </v>
      </c>
      <c r="W297" s="17" t="str">
        <f aca="false">IF((E297="q"),H297," ")</f>
        <v> </v>
      </c>
      <c r="X297" s="17" t="str">
        <f aca="false">IF((E297="m"),H297," ")</f>
        <v> </v>
      </c>
      <c r="Y297" s="17" t="str">
        <f aca="false">IF((E297="u"),H297," ")</f>
        <v> </v>
      </c>
      <c r="Z297" s="17" t="str">
        <f aca="false">IF((E297="a"),H297," ")</f>
        <v> </v>
      </c>
      <c r="AA297" s="17" t="str">
        <f aca="false">IF((E297="g"),H297," ")</f>
        <v> </v>
      </c>
      <c r="AB297" s="17" t="str">
        <f aca="false">IF((E297="h"),H297," ")</f>
        <v> </v>
      </c>
      <c r="AC297" s="30" t="str">
        <f aca="false">IF((E297="v"),H297," ")</f>
        <v> </v>
      </c>
      <c r="AD297" s="30" t="str">
        <f aca="false">IF((E297="n"),H297," ")</f>
        <v> </v>
      </c>
      <c r="AE297" s="17" t="str">
        <f aca="false">IF((E297="f"),H297," ")</f>
        <v> </v>
      </c>
      <c r="AF297" s="17" t="str">
        <f aca="false">IF((E297="l"),H297," ")</f>
        <v> </v>
      </c>
      <c r="AG297" s="17" t="str">
        <f aca="false">IF((E297="y"),H297," ")</f>
        <v> </v>
      </c>
      <c r="AH297" s="17" t="str">
        <f aca="false">IF((E297="z"),H297," ")</f>
        <v> </v>
      </c>
      <c r="AI297" s="17" t="str">
        <f aca="false">IF((E297="fa"),H297," ")</f>
        <v> </v>
      </c>
      <c r="AJ297" s="17" t="str">
        <f aca="false">IF((E297="e"),H297," ")</f>
        <v> </v>
      </c>
    </row>
    <row r="298" customFormat="false" ht="12" hidden="false" customHeight="false" outlineLevel="0" collapsed="false">
      <c r="A298" s="28"/>
      <c r="E298" s="2" t="str">
        <f aca="false">IF((F298&lt;&gt;0),"Enter Letter"," ")</f>
        <v> </v>
      </c>
      <c r="F298" s="30"/>
      <c r="G298" s="6" t="str">
        <f aca="false">IF(F298&lt;&gt;0,F298*G$2/(100+G$2)," ")</f>
        <v> </v>
      </c>
      <c r="H298" s="6" t="str">
        <f aca="false">IF((F298&lt;&gt;0),F298-G298," ")</f>
        <v> </v>
      </c>
      <c r="I298" s="5"/>
      <c r="L298" s="7" t="str">
        <f aca="false">IF(F298&lt;&gt;0,F298-K298," ")</f>
        <v> </v>
      </c>
      <c r="M298" s="8" t="str">
        <f aca="false">IF((F298-K298)&lt;&gt;0,M$1-A298," ")</f>
        <v> </v>
      </c>
      <c r="N298" s="5"/>
      <c r="O298" s="17" t="str">
        <f aca="false">IF((E298="s"),H298," ")</f>
        <v> </v>
      </c>
      <c r="P298" s="17" t="str">
        <f aca="false">IF((E298="c"),H298," ")</f>
        <v> </v>
      </c>
      <c r="Q298" s="17" t="str">
        <f aca="false">IF((E298="o"),H298," ")</f>
        <v> </v>
      </c>
      <c r="R298" s="17" t="str">
        <f aca="false">IF((E298="d"),H298," ")</f>
        <v> </v>
      </c>
      <c r="S298" s="17" t="str">
        <f aca="false">IF((E298="w"),H298," ")</f>
        <v> </v>
      </c>
      <c r="T298" s="17" t="str">
        <f aca="false">IF((E298="r"),H298," ")</f>
        <v> </v>
      </c>
      <c r="U298" s="17" t="str">
        <f aca="false">IF((E298="p"),H298," ")</f>
        <v> </v>
      </c>
      <c r="V298" s="17" t="str">
        <f aca="false">IF((E298="t"),H298," ")</f>
        <v> </v>
      </c>
      <c r="W298" s="17" t="str">
        <f aca="false">IF((E298="q"),H298," ")</f>
        <v> </v>
      </c>
      <c r="X298" s="17" t="str">
        <f aca="false">IF((E298="m"),H298," ")</f>
        <v> </v>
      </c>
      <c r="Y298" s="17" t="str">
        <f aca="false">IF((E298="u"),H298," ")</f>
        <v> </v>
      </c>
      <c r="Z298" s="17" t="str">
        <f aca="false">IF((E298="a"),H298," ")</f>
        <v> </v>
      </c>
      <c r="AA298" s="17" t="str">
        <f aca="false">IF((E298="g"),H298," ")</f>
        <v> </v>
      </c>
      <c r="AB298" s="17" t="str">
        <f aca="false">IF((E298="h"),H298," ")</f>
        <v> </v>
      </c>
      <c r="AC298" s="30" t="str">
        <f aca="false">IF((E298="v"),H298," ")</f>
        <v> </v>
      </c>
      <c r="AD298" s="30" t="str">
        <f aca="false">IF((E298="n"),H298," ")</f>
        <v> </v>
      </c>
      <c r="AE298" s="17" t="str">
        <f aca="false">IF((E298="f"),H298," ")</f>
        <v> </v>
      </c>
      <c r="AF298" s="17" t="str">
        <f aca="false">IF((E298="l"),H298," ")</f>
        <v> </v>
      </c>
      <c r="AG298" s="17" t="str">
        <f aca="false">IF((E298="y"),H298," ")</f>
        <v> </v>
      </c>
      <c r="AH298" s="17" t="str">
        <f aca="false">IF((E298="z"),H298," ")</f>
        <v> </v>
      </c>
      <c r="AI298" s="17" t="str">
        <f aca="false">IF((E298="fa"),H298," ")</f>
        <v> </v>
      </c>
      <c r="AJ298" s="17" t="str">
        <f aca="false">IF((E298="e"),H298," ")</f>
        <v> </v>
      </c>
    </row>
    <row r="299" customFormat="false" ht="12" hidden="false" customHeight="false" outlineLevel="0" collapsed="false">
      <c r="A299" s="28"/>
      <c r="E299" s="2" t="str">
        <f aca="false">IF((F299&lt;&gt;0),"Enter Letter"," ")</f>
        <v> </v>
      </c>
      <c r="F299" s="30"/>
      <c r="G299" s="6" t="str">
        <f aca="false">IF(F299&lt;&gt;0,F299*G$2/(100+G$2)," ")</f>
        <v> </v>
      </c>
      <c r="H299" s="6" t="str">
        <f aca="false">IF((F299&lt;&gt;0),F299-G299," ")</f>
        <v> </v>
      </c>
      <c r="I299" s="5"/>
      <c r="L299" s="7" t="str">
        <f aca="false">IF(F299&lt;&gt;0,F299-K299," ")</f>
        <v> </v>
      </c>
      <c r="M299" s="8" t="str">
        <f aca="false">IF((F299-K299)&lt;&gt;0,M$1-A299," ")</f>
        <v> </v>
      </c>
      <c r="N299" s="5"/>
      <c r="O299" s="17" t="str">
        <f aca="false">IF((E299="s"),H299," ")</f>
        <v> </v>
      </c>
      <c r="P299" s="17" t="str">
        <f aca="false">IF((E299="c"),H299," ")</f>
        <v> </v>
      </c>
      <c r="Q299" s="17" t="str">
        <f aca="false">IF((E299="o"),H299," ")</f>
        <v> </v>
      </c>
      <c r="R299" s="17" t="str">
        <f aca="false">IF((E299="d"),H299," ")</f>
        <v> </v>
      </c>
      <c r="S299" s="17" t="str">
        <f aca="false">IF((E299="w"),H299," ")</f>
        <v> </v>
      </c>
      <c r="T299" s="17" t="str">
        <f aca="false">IF((E299="r"),H299," ")</f>
        <v> </v>
      </c>
      <c r="U299" s="17" t="str">
        <f aca="false">IF((E299="p"),H299," ")</f>
        <v> </v>
      </c>
      <c r="V299" s="17" t="str">
        <f aca="false">IF((E299="t"),H299," ")</f>
        <v> </v>
      </c>
      <c r="W299" s="17" t="str">
        <f aca="false">IF((E299="q"),H299," ")</f>
        <v> </v>
      </c>
      <c r="X299" s="17" t="str">
        <f aca="false">IF((E299="m"),H299," ")</f>
        <v> </v>
      </c>
      <c r="Y299" s="17" t="str">
        <f aca="false">IF((E299="u"),H299," ")</f>
        <v> </v>
      </c>
      <c r="Z299" s="17" t="str">
        <f aca="false">IF((E299="a"),H299," ")</f>
        <v> </v>
      </c>
      <c r="AA299" s="17" t="str">
        <f aca="false">IF((E299="g"),H299," ")</f>
        <v> </v>
      </c>
      <c r="AB299" s="17" t="str">
        <f aca="false">IF((E299="h"),H299," ")</f>
        <v> </v>
      </c>
      <c r="AC299" s="30" t="str">
        <f aca="false">IF((E299="v"),H299," ")</f>
        <v> </v>
      </c>
      <c r="AD299" s="30" t="str">
        <f aca="false">IF((E299="n"),H299," ")</f>
        <v> </v>
      </c>
      <c r="AE299" s="17" t="str">
        <f aca="false">IF((E299="f"),H299," ")</f>
        <v> </v>
      </c>
      <c r="AF299" s="17" t="str">
        <f aca="false">IF((E299="l"),H299," ")</f>
        <v> </v>
      </c>
      <c r="AG299" s="17" t="str">
        <f aca="false">IF((E299="y"),H299," ")</f>
        <v> </v>
      </c>
      <c r="AH299" s="17" t="str">
        <f aca="false">IF((E299="z"),H299," ")</f>
        <v> </v>
      </c>
      <c r="AI299" s="17" t="str">
        <f aca="false">IF((E299="fa"),H299," ")</f>
        <v> </v>
      </c>
      <c r="AJ299" s="17" t="str">
        <f aca="false">IF((E299="e"),H299," ")</f>
        <v> </v>
      </c>
    </row>
    <row r="300" customFormat="false" ht="12" hidden="false" customHeight="false" outlineLevel="0" collapsed="false">
      <c r="A300" s="32"/>
      <c r="B300" s="33"/>
      <c r="C300" s="34"/>
      <c r="D300" s="33"/>
      <c r="E300" s="46" t="str">
        <f aca="false">IF((F300&lt;&gt;0),"Enter Letter"," ")</f>
        <v> </v>
      </c>
      <c r="F300" s="47"/>
      <c r="G300" s="36" t="str">
        <f aca="false">IF(F300&lt;&gt;0,F300*G$2/(100+G$2)," ")</f>
        <v> </v>
      </c>
      <c r="H300" s="36" t="str">
        <f aca="false">IF((F300&lt;&gt;0),F300-G300," ")</f>
        <v> </v>
      </c>
      <c r="I300" s="48"/>
      <c r="J300" s="36"/>
      <c r="K300" s="36"/>
      <c r="L300" s="37" t="str">
        <f aca="false">IF(F300&lt;&gt;0,F300-K300," ")</f>
        <v> </v>
      </c>
      <c r="M300" s="38" t="str">
        <f aca="false">IF((F300-K300)&lt;&gt;0,M$1-A300," ")</f>
        <v> </v>
      </c>
      <c r="N300" s="48"/>
      <c r="O300" s="49" t="str">
        <f aca="false">IF((E300="s"),H300," ")</f>
        <v> </v>
      </c>
      <c r="P300" s="49" t="str">
        <f aca="false">IF((E300="c"),H300," ")</f>
        <v> </v>
      </c>
      <c r="Q300" s="49" t="str">
        <f aca="false">IF((E300="o"),H300," ")</f>
        <v> </v>
      </c>
      <c r="R300" s="49" t="str">
        <f aca="false">IF((E300="d"),H300," ")</f>
        <v> </v>
      </c>
      <c r="S300" s="49" t="str">
        <f aca="false">IF((E300="w"),H300," ")</f>
        <v> </v>
      </c>
      <c r="T300" s="49" t="str">
        <f aca="false">IF((E300="r"),H300," ")</f>
        <v> </v>
      </c>
      <c r="U300" s="49" t="str">
        <f aca="false">IF((E300="p"),H300," ")</f>
        <v> </v>
      </c>
      <c r="V300" s="49" t="str">
        <f aca="false">IF((E300="t"),H300," ")</f>
        <v> </v>
      </c>
      <c r="W300" s="49" t="str">
        <f aca="false">IF((E300="q"),H300," ")</f>
        <v> </v>
      </c>
      <c r="X300" s="49" t="str">
        <f aca="false">IF((E300="m"),H300," ")</f>
        <v> </v>
      </c>
      <c r="Y300" s="49" t="str">
        <f aca="false">IF((E300="u"),H300," ")</f>
        <v> </v>
      </c>
      <c r="Z300" s="49" t="str">
        <f aca="false">IF((E300="a"),H300," ")</f>
        <v> </v>
      </c>
      <c r="AA300" s="49" t="str">
        <f aca="false">IF((E300="g"),H300," ")</f>
        <v> </v>
      </c>
      <c r="AB300" s="49" t="str">
        <f aca="false">IF((E300="h"),H300," ")</f>
        <v> </v>
      </c>
      <c r="AC300" s="47" t="str">
        <f aca="false">IF((E300="v"),H300," ")</f>
        <v> </v>
      </c>
      <c r="AD300" s="47" t="str">
        <f aca="false">IF((E300="n"),H300," ")</f>
        <v> </v>
      </c>
      <c r="AE300" s="49" t="str">
        <f aca="false">IF((E300="f"),H300," ")</f>
        <v> </v>
      </c>
      <c r="AF300" s="49" t="str">
        <f aca="false">IF((E300="l"),H300," ")</f>
        <v> </v>
      </c>
      <c r="AG300" s="49" t="str">
        <f aca="false">IF((E300="y"),H300," ")</f>
        <v> </v>
      </c>
      <c r="AH300" s="49" t="str">
        <f aca="false">IF((E300="z"),H300," ")</f>
        <v> </v>
      </c>
      <c r="AI300" s="49" t="str">
        <f aca="false">IF((E300="fa"),H300," ")</f>
        <v> </v>
      </c>
      <c r="AJ300" s="49" t="str">
        <f aca="false">IF((E300="e"),H300," ")</f>
        <v> </v>
      </c>
      <c r="AK300" s="49"/>
      <c r="AL300" s="49"/>
    </row>
    <row r="301" customFormat="false" ht="12" hidden="false" customHeight="false" outlineLevel="0" collapsed="false">
      <c r="A301" s="28"/>
    </row>
  </sheetData>
  <mergeCells count="37">
    <mergeCell ref="C1:C4"/>
    <mergeCell ref="D1:E1"/>
    <mergeCell ref="I1:I4"/>
    <mergeCell ref="J1:J4"/>
    <mergeCell ref="N1:N4"/>
    <mergeCell ref="AJ1:AJ4"/>
    <mergeCell ref="A2:A4"/>
    <mergeCell ref="B2:B4"/>
    <mergeCell ref="D2:D4"/>
    <mergeCell ref="E2:E4"/>
    <mergeCell ref="F2:F4"/>
    <mergeCell ref="H2:H4"/>
    <mergeCell ref="K2:M2"/>
    <mergeCell ref="O2:Q2"/>
    <mergeCell ref="R2:R3"/>
    <mergeCell ref="S2:S3"/>
    <mergeCell ref="T2:U2"/>
    <mergeCell ref="V2:V3"/>
    <mergeCell ref="W2:W3"/>
    <mergeCell ref="X2:X3"/>
    <mergeCell ref="Y2:Y3"/>
    <mergeCell ref="Z2:Z3"/>
    <mergeCell ref="AA2:AA3"/>
    <mergeCell ref="AB2:AB3"/>
    <mergeCell ref="AC2:AC3"/>
    <mergeCell ref="AD2:AD3"/>
    <mergeCell ref="AE2:AE3"/>
    <mergeCell ref="AF2:AF3"/>
    <mergeCell ref="AG2:AG3"/>
    <mergeCell ref="AH2:AH3"/>
    <mergeCell ref="AI2:AI3"/>
    <mergeCell ref="AK2:AL2"/>
    <mergeCell ref="G3:G4"/>
    <mergeCell ref="K3:K4"/>
    <mergeCell ref="L3:L4"/>
    <mergeCell ref="M3:M4"/>
    <mergeCell ref="AK3:AL3"/>
  </mergeCells>
  <dataValidations count="4">
    <dataValidation allowBlank="true" error="While dates outside the financial year can be accepted for valid transactions the date may not have been entered in the correct format.&#10;&#10;CORRECT DATE FORMAT IS DD/MM/YY&#10;&#10;Example 25/12/08 then appears as 25-Dec-08&#10;" errorStyle="stop" errorTitle="DATE ERROR" operator="between" showDropDown="false" showErrorMessage="true" showInputMessage="false" sqref="A5:A300" type="date">
      <formula1>38353</formula1>
      <formula2>53327</formula2>
    </dataValidation>
    <dataValidation allowBlank="true" errorStyle="stop" operator="between" prompt="Entries below the line are not included in column totals or analysed.&#10;&#10;To accomodate additional entries the formulae in column totals need changing and sales analysis columns formulae added " promptTitle="PLEASE NOTE" showDropDown="false" showErrorMessage="true" showInputMessage="true" sqref="A301" type="none">
      <formula1>0</formula1>
      <formula2>0</formula2>
    </dataValidation>
    <dataValidation allowBlank="true" errorStyle="stop" operator="between" prompt="An amount in this cell is an indication column H does not equal column F minus G or the analysis in columns O to AI does not add up to total in column H&#10;&#10;CHECK ENTRY CODE LETTERS or ANY MANUAL ENTRIES IN COL G to H and COL O to AI&#10;" promptTitle="ERROR ALERT" showDropDown="false" showErrorMessage="true" showInputMessage="true" sqref="A1" type="none">
      <formula1>0</formula1>
      <formula2>0</formula2>
    </dataValidation>
    <dataValidation allowBlank="true" errorStyle="stop" operator="between" showDropDown="false" showErrorMessage="true" showInputMessage="false" sqref="E5:E300" type="list">
      <formula1>$O$4:$AI$4</formula1>
      <formula2>0</formula2>
    </dataValidation>
  </dataValidations>
  <printOptions headings="false" gridLines="true" gridLinesSet="true" horizontalCentered="false" verticalCentered="false"/>
  <pageMargins left="0.118055555555556" right="0.0784722222222222" top="0.590277777777778" bottom="0.590277777777778" header="0.196527777777778" footer="0.196527777777778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&amp;C&amp;"Arial,Bold"&amp;11Costs and Expenses</oddHeader>
    <oddFooter>&amp;L&amp;D  &amp;T&amp;C&amp;P  of  &amp;N&amp;R&amp;F  &amp;A</oddFooter>
  </headerFooter>
  <colBreaks count="1" manualBreakCount="1">
    <brk id="24" man="true" max="65535" min="0"/>
  </colBreak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Z3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625" defaultRowHeight="12" zeroHeight="false" outlineLevelRow="0" outlineLevelCol="0"/>
  <cols>
    <col collapsed="false" customWidth="true" hidden="false" outlineLevel="0" max="1" min="1" style="1" width="8.82"/>
    <col collapsed="false" customWidth="true" hidden="false" outlineLevel="0" max="2" min="2" style="2" width="18.66"/>
    <col collapsed="false" customWidth="true" hidden="false" outlineLevel="0" max="3" min="3" style="3" width="12.66"/>
    <col collapsed="false" customWidth="true" hidden="false" outlineLevel="0" max="4" min="4" style="2" width="14.66"/>
    <col collapsed="false" customWidth="true" hidden="false" outlineLevel="0" max="5" min="5" style="5" width="9.66"/>
    <col collapsed="false" customWidth="true" hidden="false" outlineLevel="0" max="6" min="6" style="6" width="10.5"/>
    <col collapsed="false" customWidth="true" hidden="false" outlineLevel="0" max="7" min="7" style="6" width="9.66"/>
    <col collapsed="false" customWidth="true" hidden="false" outlineLevel="0" max="8" min="8" style="6" width="10.66"/>
    <col collapsed="false" customWidth="true" hidden="false" outlineLevel="0" max="9" min="9" style="6" width="0.82"/>
    <col collapsed="false" customWidth="true" hidden="false" outlineLevel="0" max="10" min="10" style="6" width="9.99"/>
    <col collapsed="false" customWidth="true" hidden="false" outlineLevel="0" max="11" min="11" style="6" width="9.66"/>
    <col collapsed="false" customWidth="true" hidden="false" outlineLevel="0" max="12" min="12" style="7" width="9.66"/>
    <col collapsed="false" customWidth="true" hidden="false" outlineLevel="0" max="13" min="13" style="8" width="9.49"/>
    <col collapsed="false" customWidth="true" hidden="false" outlineLevel="0" max="14" min="14" style="6" width="0.82"/>
    <col collapsed="false" customWidth="true" hidden="false" outlineLevel="0" max="23" min="15" style="17" width="9.66"/>
    <col collapsed="false" customWidth="true" hidden="false" outlineLevel="0" max="28" min="24" style="17" width="10.5"/>
    <col collapsed="false" customWidth="true" hidden="false" outlineLevel="0" max="30" min="29" style="39" width="10.5"/>
    <col collapsed="false" customWidth="true" hidden="false" outlineLevel="0" max="36" min="31" style="17" width="10.5"/>
    <col collapsed="false" customWidth="false" hidden="false" outlineLevel="0" max="37" min="37" style="17" width="9.15"/>
    <col collapsed="false" customWidth="true" hidden="false" outlineLevel="0" max="38" min="38" style="17" width="12.66"/>
    <col collapsed="false" customWidth="false" hidden="false" outlineLevel="0" max="257" min="39" style="2" width="9.15"/>
  </cols>
  <sheetData>
    <row r="1" s="17" customFormat="true" ht="12.75" hidden="false" customHeight="true" outlineLevel="0" collapsed="false">
      <c r="A1" s="40" t="n">
        <f aca="false">F1-G1-SUM(O1:AJ1)</f>
        <v>0</v>
      </c>
      <c r="B1" s="41" t="s">
        <v>22</v>
      </c>
      <c r="C1" s="20" t="s">
        <v>5</v>
      </c>
      <c r="D1" s="42" t="s">
        <v>23</v>
      </c>
      <c r="E1" s="42"/>
      <c r="F1" s="12" t="n">
        <f aca="false">SUM(F5:F300)</f>
        <v>9059.25</v>
      </c>
      <c r="G1" s="12" t="n">
        <f aca="false">SUM(G5:G300)</f>
        <v>1509.875</v>
      </c>
      <c r="H1" s="12" t="n">
        <f aca="false">SUM(H5:H300)</f>
        <v>7549.375</v>
      </c>
      <c r="I1" s="13"/>
      <c r="J1" s="14" t="s">
        <v>2</v>
      </c>
      <c r="K1" s="15" t="n">
        <f aca="false">SUM(K5:K300)</f>
        <v>0</v>
      </c>
      <c r="L1" s="15" t="n">
        <f aca="false">SUM(L5:L300)</f>
        <v>9059.25</v>
      </c>
      <c r="M1" s="16" t="n">
        <f aca="true">TODAY()</f>
        <v>46278</v>
      </c>
      <c r="N1" s="13"/>
      <c r="O1" s="12" t="n">
        <f aca="false">SUM(O5:O300)</f>
        <v>600</v>
      </c>
      <c r="P1" s="12" t="n">
        <f aca="false">SUM(P5:P300)</f>
        <v>0</v>
      </c>
      <c r="Q1" s="12" t="n">
        <f aca="false">SUM(Q5:Q300)</f>
        <v>207.5</v>
      </c>
      <c r="R1" s="12" t="n">
        <f aca="false">SUM(R5:R300)</f>
        <v>0</v>
      </c>
      <c r="S1" s="12" t="n">
        <f aca="false">SUM(S5:S300)</f>
        <v>0</v>
      </c>
      <c r="T1" s="12" t="n">
        <f aca="false">SUM(T5:T300)</f>
        <v>1000</v>
      </c>
      <c r="U1" s="12" t="n">
        <f aca="false">SUM(U5:U300)</f>
        <v>0</v>
      </c>
      <c r="V1" s="12" t="n">
        <f aca="false">SUM(V5:V300)</f>
        <v>100</v>
      </c>
      <c r="W1" s="12" t="n">
        <f aca="false">SUM(W5:W300)</f>
        <v>400</v>
      </c>
      <c r="X1" s="12" t="n">
        <f aca="false">SUM(X5:X300)</f>
        <v>150</v>
      </c>
      <c r="Y1" s="12" t="n">
        <f aca="false">SUM(Y5:Y300)</f>
        <v>95.8333333333333</v>
      </c>
      <c r="Z1" s="12" t="n">
        <f aca="false">SUM(Z5:Z300)</f>
        <v>400</v>
      </c>
      <c r="AA1" s="12" t="n">
        <f aca="false">SUM(AA5:AA300)</f>
        <v>132.5</v>
      </c>
      <c r="AB1" s="12" t="n">
        <f aca="false">SUM(AB5:AB300)</f>
        <v>76.6666666666667</v>
      </c>
      <c r="AC1" s="12" t="n">
        <f aca="false">SUM(AC5:AC300)</f>
        <v>486.875</v>
      </c>
      <c r="AD1" s="12" t="n">
        <f aca="false">SUM(AD5:AD300)</f>
        <v>0</v>
      </c>
      <c r="AE1" s="12" t="n">
        <f aca="false">SUM(AE5:AE300)</f>
        <v>150</v>
      </c>
      <c r="AF1" s="12" t="n">
        <f aca="false">SUM(AF5:AF300)</f>
        <v>250</v>
      </c>
      <c r="AG1" s="12" t="n">
        <f aca="false">SUM(AG5:AG300)</f>
        <v>0</v>
      </c>
      <c r="AH1" s="12" t="n">
        <f aca="false">SUM(AH5:AH300)</f>
        <v>2500</v>
      </c>
      <c r="AI1" s="12" t="n">
        <f aca="false">SUM(AI5:AI300)</f>
        <v>1000</v>
      </c>
      <c r="AJ1" s="12" t="n">
        <f aca="false">SUM(AJ5:AJ300)</f>
        <v>0</v>
      </c>
      <c r="AK1" s="12" t="n">
        <f aca="false">SUM(AK5:AK300)</f>
        <v>0</v>
      </c>
      <c r="AL1" s="43"/>
    </row>
    <row r="2" s="17" customFormat="true" ht="13.5" hidden="false" customHeight="true" outlineLevel="0" collapsed="false">
      <c r="A2" s="18" t="s">
        <v>3</v>
      </c>
      <c r="B2" s="19" t="s">
        <v>4</v>
      </c>
      <c r="C2" s="20"/>
      <c r="D2" s="21" t="s">
        <v>6</v>
      </c>
      <c r="E2" s="21" t="s">
        <v>24</v>
      </c>
      <c r="F2" s="19" t="s">
        <v>7</v>
      </c>
      <c r="G2" s="22" t="n">
        <f aca="false">IF([2]Feb!$G$4&gt;0,0,[2]Feb!$G$2)</f>
        <v>20</v>
      </c>
      <c r="H2" s="19" t="s">
        <v>8</v>
      </c>
      <c r="I2" s="13"/>
      <c r="J2" s="14"/>
      <c r="K2" s="23" t="s">
        <v>9</v>
      </c>
      <c r="L2" s="23"/>
      <c r="M2" s="23"/>
      <c r="N2" s="13"/>
      <c r="O2" s="19" t="s">
        <v>25</v>
      </c>
      <c r="P2" s="19"/>
      <c r="Q2" s="19"/>
      <c r="R2" s="19" t="s">
        <v>26</v>
      </c>
      <c r="S2" s="19" t="s">
        <v>27</v>
      </c>
      <c r="T2" s="19" t="s">
        <v>28</v>
      </c>
      <c r="U2" s="19"/>
      <c r="V2" s="19" t="s">
        <v>29</v>
      </c>
      <c r="W2" s="19" t="s">
        <v>30</v>
      </c>
      <c r="X2" s="19" t="s">
        <v>31</v>
      </c>
      <c r="Y2" s="19" t="s">
        <v>32</v>
      </c>
      <c r="Z2" s="19" t="s">
        <v>33</v>
      </c>
      <c r="AA2" s="19" t="s">
        <v>34</v>
      </c>
      <c r="AB2" s="19" t="s">
        <v>35</v>
      </c>
      <c r="AC2" s="19" t="s">
        <v>36</v>
      </c>
      <c r="AD2" s="19" t="s">
        <v>37</v>
      </c>
      <c r="AE2" s="19" t="s">
        <v>38</v>
      </c>
      <c r="AF2" s="19" t="s">
        <v>39</v>
      </c>
      <c r="AG2" s="19" t="s">
        <v>40</v>
      </c>
      <c r="AH2" s="19" t="s">
        <v>41</v>
      </c>
      <c r="AI2" s="19" t="s">
        <v>42</v>
      </c>
      <c r="AJ2" s="12" t="s">
        <v>43</v>
      </c>
      <c r="AK2" s="19" t="s">
        <v>44</v>
      </c>
      <c r="AL2" s="19"/>
    </row>
    <row r="3" s="26" customFormat="true" ht="34.5" hidden="false" customHeight="true" outlineLevel="0" collapsed="false">
      <c r="A3" s="18"/>
      <c r="B3" s="19"/>
      <c r="C3" s="20"/>
      <c r="D3" s="21"/>
      <c r="E3" s="21"/>
      <c r="F3" s="19"/>
      <c r="G3" s="19" t="s">
        <v>10</v>
      </c>
      <c r="H3" s="19"/>
      <c r="I3" s="13"/>
      <c r="J3" s="14"/>
      <c r="K3" s="24" t="s">
        <v>11</v>
      </c>
      <c r="L3" s="24" t="s">
        <v>12</v>
      </c>
      <c r="M3" s="25" t="s">
        <v>13</v>
      </c>
      <c r="N3" s="13"/>
      <c r="O3" s="21" t="s">
        <v>45</v>
      </c>
      <c r="P3" s="21" t="s">
        <v>46</v>
      </c>
      <c r="Q3" s="21" t="s">
        <v>47</v>
      </c>
      <c r="R3" s="19"/>
      <c r="S3" s="19"/>
      <c r="T3" s="21" t="s">
        <v>48</v>
      </c>
      <c r="U3" s="21" t="s">
        <v>49</v>
      </c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2"/>
      <c r="AK3" s="19" t="s">
        <v>50</v>
      </c>
      <c r="AL3" s="19"/>
    </row>
    <row r="4" s="27" customFormat="true" ht="12.75" hidden="false" customHeight="true" outlineLevel="0" collapsed="false">
      <c r="A4" s="18"/>
      <c r="B4" s="19"/>
      <c r="C4" s="20"/>
      <c r="D4" s="21"/>
      <c r="E4" s="21"/>
      <c r="F4" s="19"/>
      <c r="G4" s="19"/>
      <c r="H4" s="19"/>
      <c r="I4" s="13"/>
      <c r="J4" s="14"/>
      <c r="K4" s="24"/>
      <c r="L4" s="24"/>
      <c r="M4" s="24"/>
      <c r="N4" s="13"/>
      <c r="O4" s="44" t="s">
        <v>51</v>
      </c>
      <c r="P4" s="44" t="s">
        <v>52</v>
      </c>
      <c r="Q4" s="44" t="s">
        <v>53</v>
      </c>
      <c r="R4" s="44" t="s">
        <v>54</v>
      </c>
      <c r="S4" s="44" t="s">
        <v>55</v>
      </c>
      <c r="T4" s="44" t="s">
        <v>56</v>
      </c>
      <c r="U4" s="44" t="s">
        <v>57</v>
      </c>
      <c r="V4" s="44" t="s">
        <v>58</v>
      </c>
      <c r="W4" s="44" t="s">
        <v>59</v>
      </c>
      <c r="X4" s="44" t="s">
        <v>60</v>
      </c>
      <c r="Y4" s="44" t="s">
        <v>61</v>
      </c>
      <c r="Z4" s="44" t="s">
        <v>62</v>
      </c>
      <c r="AA4" s="44" t="s">
        <v>63</v>
      </c>
      <c r="AB4" s="44" t="s">
        <v>64</v>
      </c>
      <c r="AC4" s="45" t="s">
        <v>65</v>
      </c>
      <c r="AD4" s="45" t="s">
        <v>66</v>
      </c>
      <c r="AE4" s="44" t="s">
        <v>67</v>
      </c>
      <c r="AF4" s="44" t="s">
        <v>68</v>
      </c>
      <c r="AG4" s="44" t="s">
        <v>69</v>
      </c>
      <c r="AH4" s="44" t="s">
        <v>70</v>
      </c>
      <c r="AI4" s="44" t="s">
        <v>71</v>
      </c>
      <c r="AJ4" s="12" t="s">
        <v>72</v>
      </c>
      <c r="AK4" s="19" t="s">
        <v>73</v>
      </c>
      <c r="AL4" s="19" t="s">
        <v>74</v>
      </c>
    </row>
    <row r="5" s="5" customFormat="true" ht="12" hidden="false" customHeight="false" outlineLevel="0" collapsed="false">
      <c r="A5" s="28" t="n">
        <v>46419</v>
      </c>
      <c r="B5" s="2" t="s">
        <v>14</v>
      </c>
      <c r="C5" s="3"/>
      <c r="D5" s="2" t="s">
        <v>75</v>
      </c>
      <c r="E5" s="2" t="s">
        <v>76</v>
      </c>
      <c r="F5" s="30" t="n">
        <v>1200</v>
      </c>
      <c r="G5" s="6" t="n">
        <f aca="false">IF(F5&lt;&gt;0,F5*G$2/(100+G$2)," ")</f>
        <v>200</v>
      </c>
      <c r="H5" s="6" t="n">
        <f aca="false">IF((F5&lt;&gt;0),F5-G5," ")</f>
        <v>1000</v>
      </c>
      <c r="J5" s="6"/>
      <c r="K5" s="6"/>
      <c r="L5" s="7" t="n">
        <f aca="false">IF(F5&lt;&gt;0,F5-K5," ")</f>
        <v>1200</v>
      </c>
      <c r="M5" s="8" t="n">
        <f aca="false">IF((F5-K5)&lt;&gt;0,M$1-A5," ")</f>
        <v>-141</v>
      </c>
      <c r="O5" s="17" t="str">
        <f aca="false">IF((E5="s"),H5," ")</f>
        <v> </v>
      </c>
      <c r="P5" s="17" t="str">
        <f aca="false">IF((E5="c"),H5," ")</f>
        <v> </v>
      </c>
      <c r="Q5" s="17" t="str">
        <f aca="false">IF((E5="o"),H5," ")</f>
        <v> </v>
      </c>
      <c r="R5" s="17" t="str">
        <f aca="false">IF((E5="d"),H5," ")</f>
        <v> </v>
      </c>
      <c r="S5" s="17" t="str">
        <f aca="false">IF((E5="w"),H5," ")</f>
        <v> </v>
      </c>
      <c r="T5" s="17" t="n">
        <f aca="false">IF((E5="r"),H5," ")</f>
        <v>1000</v>
      </c>
      <c r="U5" s="17" t="str">
        <f aca="false">IF((E5="p"),H5," ")</f>
        <v> </v>
      </c>
      <c r="V5" s="17" t="str">
        <f aca="false">IF((E5="t"),H5," ")</f>
        <v> </v>
      </c>
      <c r="W5" s="17" t="str">
        <f aca="false">IF((E5="q"),H5," ")</f>
        <v> </v>
      </c>
      <c r="X5" s="17" t="str">
        <f aca="false">IF((E5="m"),H5," ")</f>
        <v> </v>
      </c>
      <c r="Y5" s="17" t="str">
        <f aca="false">IF((E5="u"),H5," ")</f>
        <v> </v>
      </c>
      <c r="Z5" s="17" t="str">
        <f aca="false">IF((E5="a"),H5," ")</f>
        <v> </v>
      </c>
      <c r="AA5" s="17" t="str">
        <f aca="false">IF((E5="g"),H5," ")</f>
        <v> </v>
      </c>
      <c r="AB5" s="17" t="str">
        <f aca="false">IF((E5="h"),H5," ")</f>
        <v> </v>
      </c>
      <c r="AC5" s="30" t="str">
        <f aca="false">IF((E5="v"),H5," ")</f>
        <v> </v>
      </c>
      <c r="AD5" s="30" t="str">
        <f aca="false">IF((E5="n"),H5," ")</f>
        <v> </v>
      </c>
      <c r="AE5" s="17" t="str">
        <f aca="false">IF((E5="f"),H5," ")</f>
        <v> </v>
      </c>
      <c r="AF5" s="17" t="str">
        <f aca="false">IF((E5="l"),H5," ")</f>
        <v> </v>
      </c>
      <c r="AG5" s="17" t="str">
        <f aca="false">IF((E5="y"),H5," ")</f>
        <v> </v>
      </c>
      <c r="AH5" s="17" t="str">
        <f aca="false">IF((E5="z"),H5," ")</f>
        <v> </v>
      </c>
      <c r="AI5" s="17" t="str">
        <f aca="false">IF((E5="fa"),H5," ")</f>
        <v> </v>
      </c>
      <c r="AJ5" s="17" t="str">
        <f aca="false">IF((E5="e"),H5," ")</f>
        <v> </v>
      </c>
      <c r="AK5" s="17"/>
      <c r="AL5" s="17"/>
      <c r="BZ5" s="5" t="s">
        <v>77</v>
      </c>
    </row>
    <row r="6" customFormat="false" ht="12" hidden="false" customHeight="false" outlineLevel="0" collapsed="false">
      <c r="A6" s="28" t="n">
        <v>46419</v>
      </c>
      <c r="B6" s="2" t="s">
        <v>78</v>
      </c>
      <c r="D6" s="2" t="s">
        <v>79</v>
      </c>
      <c r="E6" s="2" t="s">
        <v>80</v>
      </c>
      <c r="F6" s="30" t="n">
        <v>30</v>
      </c>
      <c r="G6" s="6" t="n">
        <f aca="false">IF(F6&lt;&gt;0,F6*G$2/(100+G$2)," ")</f>
        <v>5</v>
      </c>
      <c r="H6" s="6" t="n">
        <f aca="false">IF((F6&lt;&gt;0),F6-G6," ")</f>
        <v>25</v>
      </c>
      <c r="I6" s="5"/>
      <c r="L6" s="7" t="n">
        <f aca="false">IF(F6&lt;&gt;0,F6-K6," ")</f>
        <v>30</v>
      </c>
      <c r="M6" s="8" t="n">
        <f aca="false">IF((F6-K6)&lt;&gt;0,M$1-A6," ")</f>
        <v>-141</v>
      </c>
      <c r="N6" s="5"/>
      <c r="O6" s="17" t="str">
        <f aca="false">IF((E6="s"),H6," ")</f>
        <v> </v>
      </c>
      <c r="P6" s="17" t="str">
        <f aca="false">IF((E6="c"),H6," ")</f>
        <v> </v>
      </c>
      <c r="Q6" s="17" t="str">
        <f aca="false">IF((E6="o"),H6," ")</f>
        <v> </v>
      </c>
      <c r="R6" s="17" t="str">
        <f aca="false">IF((E6="d"),H6," ")</f>
        <v> </v>
      </c>
      <c r="S6" s="17" t="str">
        <f aca="false">IF((E6="w"),H6," ")</f>
        <v> </v>
      </c>
      <c r="T6" s="17" t="str">
        <f aca="false">IF((E6="r"),H6," ")</f>
        <v> </v>
      </c>
      <c r="U6" s="17" t="str">
        <f aca="false">IF((E6="p"),H6," ")</f>
        <v> </v>
      </c>
      <c r="V6" s="17" t="str">
        <f aca="false">IF((E6="t"),H6," ")</f>
        <v> </v>
      </c>
      <c r="W6" s="17" t="str">
        <f aca="false">IF((E6="q"),H6," ")</f>
        <v> </v>
      </c>
      <c r="X6" s="17" t="str">
        <f aca="false">IF((E6="m"),H6," ")</f>
        <v> </v>
      </c>
      <c r="Y6" s="17" t="str">
        <f aca="false">IF((E6="u"),H6," ")</f>
        <v> </v>
      </c>
      <c r="Z6" s="17" t="str">
        <f aca="false">IF((E6="a"),H6," ")</f>
        <v> </v>
      </c>
      <c r="AA6" s="17" t="n">
        <f aca="false">IF((E6="g"),H6," ")</f>
        <v>25</v>
      </c>
      <c r="AB6" s="17" t="str">
        <f aca="false">IF((E6="h"),H6," ")</f>
        <v> </v>
      </c>
      <c r="AC6" s="30" t="str">
        <f aca="false">IF((E6="v"),H6," ")</f>
        <v> </v>
      </c>
      <c r="AD6" s="30" t="str">
        <f aca="false">IF((E6="n"),H6," ")</f>
        <v> </v>
      </c>
      <c r="AE6" s="17" t="str">
        <f aca="false">IF((E6="f"),H6," ")</f>
        <v> </v>
      </c>
      <c r="AF6" s="17" t="str">
        <f aca="false">IF((E6="l"),H6," ")</f>
        <v> </v>
      </c>
      <c r="AG6" s="17" t="str">
        <f aca="false">IF((E6="y"),H6," ")</f>
        <v> </v>
      </c>
      <c r="AH6" s="17" t="str">
        <f aca="false">IF((E6="z"),H6," ")</f>
        <v> </v>
      </c>
      <c r="AI6" s="17" t="str">
        <f aca="false">IF((E6="fa"),H6," ")</f>
        <v> </v>
      </c>
      <c r="AJ6" s="17" t="str">
        <f aca="false">IF((E6="e"),H6," ")</f>
        <v> </v>
      </c>
      <c r="BZ6" s="2" t="s">
        <v>81</v>
      </c>
    </row>
    <row r="7" customFormat="false" ht="12" hidden="false" customHeight="false" outlineLevel="0" collapsed="false">
      <c r="A7" s="28" t="n">
        <v>46419</v>
      </c>
      <c r="B7" s="2" t="s">
        <v>82</v>
      </c>
      <c r="D7" s="2" t="s">
        <v>83</v>
      </c>
      <c r="E7" s="2" t="s">
        <v>80</v>
      </c>
      <c r="F7" s="30" t="n">
        <v>15</v>
      </c>
      <c r="G7" s="6" t="n">
        <f aca="false">IF(F7&lt;&gt;0,F7*G$2/(100+G$2)," ")</f>
        <v>2.5</v>
      </c>
      <c r="H7" s="6" t="n">
        <f aca="false">IF((F7&lt;&gt;0),F7-G7," ")</f>
        <v>12.5</v>
      </c>
      <c r="I7" s="5"/>
      <c r="L7" s="7" t="n">
        <f aca="false">IF(F7&lt;&gt;0,F7-K7," ")</f>
        <v>15</v>
      </c>
      <c r="M7" s="8" t="n">
        <f aca="false">IF((F7-K7)&lt;&gt;0,M$1-A7," ")</f>
        <v>-141</v>
      </c>
      <c r="N7" s="5"/>
      <c r="O7" s="17" t="str">
        <f aca="false">IF((E7="s"),H7," ")</f>
        <v> </v>
      </c>
      <c r="P7" s="17" t="str">
        <f aca="false">IF((E7="c"),H7," ")</f>
        <v> </v>
      </c>
      <c r="Q7" s="17" t="str">
        <f aca="false">IF((E7="o"),H7," ")</f>
        <v> </v>
      </c>
      <c r="R7" s="17" t="str">
        <f aca="false">IF((E7="d"),H7," ")</f>
        <v> </v>
      </c>
      <c r="S7" s="17" t="str">
        <f aca="false">IF((E7="w"),H7," ")</f>
        <v> </v>
      </c>
      <c r="T7" s="17" t="str">
        <f aca="false">IF((E7="r"),H7," ")</f>
        <v> </v>
      </c>
      <c r="U7" s="17" t="str">
        <f aca="false">IF((E7="p"),H7," ")</f>
        <v> </v>
      </c>
      <c r="V7" s="17" t="str">
        <f aca="false">IF((E7="t"),H7," ")</f>
        <v> </v>
      </c>
      <c r="W7" s="17" t="str">
        <f aca="false">IF((E7="q"),H7," ")</f>
        <v> </v>
      </c>
      <c r="X7" s="17" t="str">
        <f aca="false">IF((E7="m"),H7," ")</f>
        <v> </v>
      </c>
      <c r="Y7" s="17" t="str">
        <f aca="false">IF((E7="u"),H7," ")</f>
        <v> </v>
      </c>
      <c r="Z7" s="17" t="str">
        <f aca="false">IF((E7="a"),H7," ")</f>
        <v> </v>
      </c>
      <c r="AA7" s="17" t="n">
        <f aca="false">IF((E7="g"),H7," ")</f>
        <v>12.5</v>
      </c>
      <c r="AB7" s="17" t="str">
        <f aca="false">IF((E7="h"),H7," ")</f>
        <v> </v>
      </c>
      <c r="AC7" s="30" t="str">
        <f aca="false">IF((E7="v"),H7," ")</f>
        <v> </v>
      </c>
      <c r="AD7" s="30" t="str">
        <f aca="false">IF((E7="n"),H7," ")</f>
        <v> </v>
      </c>
      <c r="AE7" s="17" t="str">
        <f aca="false">IF((E7="f"),H7," ")</f>
        <v> </v>
      </c>
      <c r="AF7" s="17" t="str">
        <f aca="false">IF((E7="l"),H7," ")</f>
        <v> </v>
      </c>
      <c r="AG7" s="17" t="str">
        <f aca="false">IF((E7="y"),H7," ")</f>
        <v> </v>
      </c>
      <c r="AH7" s="17" t="str">
        <f aca="false">IF((E7="z"),H7," ")</f>
        <v> </v>
      </c>
      <c r="AI7" s="17" t="str">
        <f aca="false">IF((E7="fa"),H7," ")</f>
        <v> </v>
      </c>
      <c r="AJ7" s="17" t="str">
        <f aca="false">IF((E7="e"),H7," ")</f>
        <v> </v>
      </c>
      <c r="BZ7" s="2" t="s">
        <v>81</v>
      </c>
    </row>
    <row r="8" customFormat="false" ht="12" hidden="false" customHeight="false" outlineLevel="0" collapsed="false">
      <c r="A8" s="28" t="n">
        <v>46419</v>
      </c>
      <c r="B8" s="2" t="s">
        <v>84</v>
      </c>
      <c r="D8" s="2" t="s">
        <v>85</v>
      </c>
      <c r="E8" s="2" t="s">
        <v>86</v>
      </c>
      <c r="F8" s="30" t="n">
        <v>45</v>
      </c>
      <c r="G8" s="6" t="n">
        <f aca="false">IF(F8&lt;&gt;0,F8*G$2/(100+G$2)," ")</f>
        <v>7.5</v>
      </c>
      <c r="H8" s="6" t="n">
        <f aca="false">IF((F8&lt;&gt;0),F8-G8," ")</f>
        <v>37.5</v>
      </c>
      <c r="I8" s="5"/>
      <c r="L8" s="7" t="n">
        <f aca="false">IF(F8&lt;&gt;0,F8-K8," ")</f>
        <v>45</v>
      </c>
      <c r="M8" s="8" t="n">
        <f aca="false">IF((F8-K8)&lt;&gt;0,M$1-A8," ")</f>
        <v>-141</v>
      </c>
      <c r="N8" s="5"/>
      <c r="O8" s="17" t="str">
        <f aca="false">IF((E8="s"),H8," ")</f>
        <v> </v>
      </c>
      <c r="P8" s="17" t="str">
        <f aca="false">IF((E8="c"),H8," ")</f>
        <v> </v>
      </c>
      <c r="Q8" s="17" t="n">
        <f aca="false">IF((E8="o"),H8," ")</f>
        <v>37.5</v>
      </c>
      <c r="R8" s="17" t="str">
        <f aca="false">IF((E8="d"),H8," ")</f>
        <v> </v>
      </c>
      <c r="S8" s="17" t="str">
        <f aca="false">IF((E8="w"),H8," ")</f>
        <v> </v>
      </c>
      <c r="T8" s="17" t="str">
        <f aca="false">IF((E8="r"),H8," ")</f>
        <v> </v>
      </c>
      <c r="U8" s="17" t="str">
        <f aca="false">IF((E8="p"),H8," ")</f>
        <v> </v>
      </c>
      <c r="V8" s="17" t="str">
        <f aca="false">IF((E8="t"),H8," ")</f>
        <v> </v>
      </c>
      <c r="W8" s="17" t="str">
        <f aca="false">IF((E8="q"),H8," ")</f>
        <v> </v>
      </c>
      <c r="X8" s="17" t="str">
        <f aca="false">IF((E8="m"),H8," ")</f>
        <v> </v>
      </c>
      <c r="Y8" s="17" t="str">
        <f aca="false">IF((E8="u"),H8," ")</f>
        <v> </v>
      </c>
      <c r="Z8" s="17" t="str">
        <f aca="false">IF((E8="a"),H8," ")</f>
        <v> </v>
      </c>
      <c r="AA8" s="17" t="str">
        <f aca="false">IF((E8="g"),H8," ")</f>
        <v> </v>
      </c>
      <c r="AB8" s="17" t="str">
        <f aca="false">IF((E8="h"),H8," ")</f>
        <v> </v>
      </c>
      <c r="AC8" s="30" t="str">
        <f aca="false">IF((E8="v"),H8," ")</f>
        <v> </v>
      </c>
      <c r="AD8" s="30" t="str">
        <f aca="false">IF((E8="n"),H8," ")</f>
        <v> </v>
      </c>
      <c r="AE8" s="17" t="str">
        <f aca="false">IF((E8="f"),H8," ")</f>
        <v> </v>
      </c>
      <c r="AF8" s="17" t="str">
        <f aca="false">IF((E8="l"),H8," ")</f>
        <v> </v>
      </c>
      <c r="AG8" s="17" t="str">
        <f aca="false">IF((E8="y"),H8," ")</f>
        <v> </v>
      </c>
      <c r="AH8" s="17" t="str">
        <f aca="false">IF((E8="z"),H8," ")</f>
        <v> </v>
      </c>
      <c r="AI8" s="17" t="str">
        <f aca="false">IF((E8="fa"),H8," ")</f>
        <v> </v>
      </c>
      <c r="AJ8" s="17" t="str">
        <f aca="false">IF((E8="e"),H8," ")</f>
        <v> </v>
      </c>
      <c r="BZ8" s="2" t="s">
        <v>87</v>
      </c>
    </row>
    <row r="9" customFormat="false" ht="12" hidden="false" customHeight="false" outlineLevel="0" collapsed="false">
      <c r="A9" s="28" t="n">
        <v>46419</v>
      </c>
      <c r="B9" s="2" t="s">
        <v>204</v>
      </c>
      <c r="D9" s="2" t="s">
        <v>205</v>
      </c>
      <c r="E9" s="2" t="s">
        <v>206</v>
      </c>
      <c r="F9" s="30" t="n">
        <v>3000</v>
      </c>
      <c r="G9" s="6" t="n">
        <f aca="false">IF(F9&lt;&gt;0,F9*G$2/(100+G$2)," ")</f>
        <v>500</v>
      </c>
      <c r="H9" s="6" t="n">
        <f aca="false">IF((F9&lt;&gt;0),F9-G9," ")</f>
        <v>2500</v>
      </c>
      <c r="I9" s="5"/>
      <c r="L9" s="7" t="n">
        <f aca="false">IF(F9&lt;&gt;0,F9-K9," ")</f>
        <v>3000</v>
      </c>
      <c r="M9" s="8" t="n">
        <f aca="false">IF((F9-K9)&lt;&gt;0,M$1-A9," ")</f>
        <v>-141</v>
      </c>
      <c r="N9" s="5"/>
      <c r="O9" s="17" t="str">
        <f aca="false">IF((E9="s"),H9," ")</f>
        <v> </v>
      </c>
      <c r="P9" s="17" t="str">
        <f aca="false">IF((E9="c"),H9," ")</f>
        <v> </v>
      </c>
      <c r="Q9" s="17" t="str">
        <f aca="false">IF((E9="o"),H9," ")</f>
        <v> </v>
      </c>
      <c r="R9" s="17" t="str">
        <f aca="false">IF((E9="d"),H9," ")</f>
        <v> </v>
      </c>
      <c r="S9" s="17" t="str">
        <f aca="false">IF((E9="w"),H9," ")</f>
        <v> </v>
      </c>
      <c r="T9" s="17" t="str">
        <f aca="false">IF((E9="r"),H9," ")</f>
        <v> </v>
      </c>
      <c r="U9" s="17" t="str">
        <f aca="false">IF((E9="p"),H9," ")</f>
        <v> </v>
      </c>
      <c r="V9" s="17" t="str">
        <f aca="false">IF((E9="t"),H9," ")</f>
        <v> </v>
      </c>
      <c r="W9" s="17" t="str">
        <f aca="false">IF((E9="q"),H9," ")</f>
        <v> </v>
      </c>
      <c r="X9" s="17" t="str">
        <f aca="false">IF((E9="m"),H9," ")</f>
        <v> </v>
      </c>
      <c r="Y9" s="17" t="str">
        <f aca="false">IF((E9="u"),H9," ")</f>
        <v> </v>
      </c>
      <c r="Z9" s="17" t="str">
        <f aca="false">IF((E9="a"),H9," ")</f>
        <v> </v>
      </c>
      <c r="AA9" s="17" t="str">
        <f aca="false">IF((E9="g"),H9," ")</f>
        <v> </v>
      </c>
      <c r="AB9" s="17" t="str">
        <f aca="false">IF((E9="h"),H9," ")</f>
        <v> </v>
      </c>
      <c r="AC9" s="30" t="str">
        <f aca="false">IF((E9="v"),H9," ")</f>
        <v> </v>
      </c>
      <c r="AD9" s="30" t="str">
        <f aca="false">IF((E9="n"),H9," ")</f>
        <v> </v>
      </c>
      <c r="AE9" s="17" t="str">
        <f aca="false">IF((E9="f"),H9," ")</f>
        <v> </v>
      </c>
      <c r="AF9" s="17" t="str">
        <f aca="false">IF((E9="l"),H9," ")</f>
        <v> </v>
      </c>
      <c r="AG9" s="17" t="str">
        <f aca="false">IF((E9="y"),H9," ")</f>
        <v> </v>
      </c>
      <c r="AH9" s="17" t="n">
        <f aca="false">IF((E9="z"),H9," ")</f>
        <v>2500</v>
      </c>
      <c r="AI9" s="17" t="str">
        <f aca="false">IF((E9="fa"),H9," ")</f>
        <v> </v>
      </c>
      <c r="AJ9" s="17" t="str">
        <f aca="false">IF((E9="e"),H9," ")</f>
        <v> </v>
      </c>
      <c r="BZ9" s="2" t="s">
        <v>207</v>
      </c>
    </row>
    <row r="10" customFormat="false" ht="12" hidden="false" customHeight="false" outlineLevel="0" collapsed="false">
      <c r="A10" s="28" t="n">
        <v>46419</v>
      </c>
      <c r="B10" s="2" t="s">
        <v>92</v>
      </c>
      <c r="D10" s="2" t="s">
        <v>93</v>
      </c>
      <c r="E10" s="2" t="s">
        <v>86</v>
      </c>
      <c r="F10" s="30" t="n">
        <v>24</v>
      </c>
      <c r="G10" s="6" t="n">
        <f aca="false">IF(F10&lt;&gt;0,F10*G$2/(100+G$2)," ")</f>
        <v>4</v>
      </c>
      <c r="H10" s="6" t="n">
        <f aca="false">IF((F10&lt;&gt;0),F10-G10," ")</f>
        <v>20</v>
      </c>
      <c r="I10" s="5"/>
      <c r="L10" s="7" t="n">
        <f aca="false">IF(F10&lt;&gt;0,F10-K10," ")</f>
        <v>24</v>
      </c>
      <c r="M10" s="8" t="n">
        <f aca="false">IF((F10-K10)&lt;&gt;0,M$1-A10," ")</f>
        <v>-141</v>
      </c>
      <c r="N10" s="5"/>
      <c r="O10" s="17" t="str">
        <f aca="false">IF((E10="s"),H10," ")</f>
        <v> </v>
      </c>
      <c r="P10" s="17" t="str">
        <f aca="false">IF((E10="c"),H10," ")</f>
        <v> </v>
      </c>
      <c r="Q10" s="17" t="n">
        <f aca="false">IF((E10="o"),H10," ")</f>
        <v>20</v>
      </c>
      <c r="R10" s="17" t="str">
        <f aca="false">IF((E10="d"),H10," ")</f>
        <v> </v>
      </c>
      <c r="S10" s="17" t="str">
        <f aca="false">IF((E10="w"),H10," ")</f>
        <v> </v>
      </c>
      <c r="T10" s="17" t="str">
        <f aca="false">IF((E10="r"),H10," ")</f>
        <v> </v>
      </c>
      <c r="U10" s="17" t="str">
        <f aca="false">IF((E10="p"),H10," ")</f>
        <v> </v>
      </c>
      <c r="V10" s="17" t="str">
        <f aca="false">IF((E10="t"),H10," ")</f>
        <v> </v>
      </c>
      <c r="W10" s="17" t="str">
        <f aca="false">IF((E10="q"),H10," ")</f>
        <v> </v>
      </c>
      <c r="X10" s="17" t="str">
        <f aca="false">IF((E10="m"),H10," ")</f>
        <v> </v>
      </c>
      <c r="Y10" s="17" t="str">
        <f aca="false">IF((E10="u"),H10," ")</f>
        <v> </v>
      </c>
      <c r="Z10" s="17" t="str">
        <f aca="false">IF((E10="a"),H10," ")</f>
        <v> </v>
      </c>
      <c r="AA10" s="17" t="str">
        <f aca="false">IF((E10="g"),H10," ")</f>
        <v> </v>
      </c>
      <c r="AB10" s="17" t="str">
        <f aca="false">IF((E10="h"),H10," ")</f>
        <v> </v>
      </c>
      <c r="AC10" s="30" t="str">
        <f aca="false">IF((E10="v"),H10," ")</f>
        <v> </v>
      </c>
      <c r="AD10" s="30" t="str">
        <f aca="false">IF((E10="n"),H10," ")</f>
        <v> </v>
      </c>
      <c r="AE10" s="17" t="str">
        <f aca="false">IF((E10="f"),H10," ")</f>
        <v> </v>
      </c>
      <c r="AF10" s="17" t="str">
        <f aca="false">IF((E10="l"),H10," ")</f>
        <v> </v>
      </c>
      <c r="AG10" s="17" t="str">
        <f aca="false">IF((E10="y"),H10," ")</f>
        <v> </v>
      </c>
      <c r="AH10" s="17" t="str">
        <f aca="false">IF((E10="z"),H10," ")</f>
        <v> </v>
      </c>
      <c r="AI10" s="17" t="str">
        <f aca="false">IF((E10="fa"),H10," ")</f>
        <v> </v>
      </c>
      <c r="AJ10" s="17" t="str">
        <f aca="false">IF((E10="e"),H10," ")</f>
        <v> </v>
      </c>
      <c r="BZ10" s="2" t="s">
        <v>87</v>
      </c>
    </row>
    <row r="11" customFormat="false" ht="12" hidden="false" customHeight="false" outlineLevel="0" collapsed="false">
      <c r="A11" s="28" t="n">
        <v>46419</v>
      </c>
      <c r="B11" s="2" t="s">
        <v>94</v>
      </c>
      <c r="D11" s="2" t="s">
        <v>95</v>
      </c>
      <c r="E11" s="2" t="s">
        <v>80</v>
      </c>
      <c r="F11" s="30" t="n">
        <v>18</v>
      </c>
      <c r="G11" s="6" t="n">
        <f aca="false">IF(F11&lt;&gt;0,F11*G$2/(100+G$2)," ")</f>
        <v>3</v>
      </c>
      <c r="H11" s="6" t="n">
        <f aca="false">IF((F11&lt;&gt;0),F11-G11," ")</f>
        <v>15</v>
      </c>
      <c r="I11" s="5"/>
      <c r="L11" s="7" t="n">
        <f aca="false">IF(F11&lt;&gt;0,F11-K11," ")</f>
        <v>18</v>
      </c>
      <c r="M11" s="8" t="n">
        <f aca="false">IF((F11-K11)&lt;&gt;0,M$1-A11," ")</f>
        <v>-141</v>
      </c>
      <c r="N11" s="5"/>
      <c r="O11" s="17" t="str">
        <f aca="false">IF((E11="s"),H11," ")</f>
        <v> </v>
      </c>
      <c r="P11" s="17" t="str">
        <f aca="false">IF((E11="c"),H11," ")</f>
        <v> </v>
      </c>
      <c r="Q11" s="17" t="str">
        <f aca="false">IF((E11="o"),H11," ")</f>
        <v> </v>
      </c>
      <c r="R11" s="17" t="str">
        <f aca="false">IF((E11="d"),H11," ")</f>
        <v> </v>
      </c>
      <c r="S11" s="17" t="str">
        <f aca="false">IF((E11="w"),H11," ")</f>
        <v> </v>
      </c>
      <c r="T11" s="17" t="str">
        <f aca="false">IF((E11="r"),H11," ")</f>
        <v> </v>
      </c>
      <c r="U11" s="17" t="str">
        <f aca="false">IF((E11="p"),H11," ")</f>
        <v> </v>
      </c>
      <c r="V11" s="17" t="str">
        <f aca="false">IF((E11="t"),H11," ")</f>
        <v> </v>
      </c>
      <c r="W11" s="17" t="str">
        <f aca="false">IF((E11="q"),H11," ")</f>
        <v> </v>
      </c>
      <c r="X11" s="17" t="str">
        <f aca="false">IF((E11="m"),H11," ")</f>
        <v> </v>
      </c>
      <c r="Y11" s="17" t="str">
        <f aca="false">IF((E11="u"),H11," ")</f>
        <v> </v>
      </c>
      <c r="Z11" s="17" t="str">
        <f aca="false">IF((E11="a"),H11," ")</f>
        <v> </v>
      </c>
      <c r="AA11" s="17" t="n">
        <f aca="false">IF((E11="g"),H11," ")</f>
        <v>15</v>
      </c>
      <c r="AB11" s="17" t="str">
        <f aca="false">IF((E11="h"),H11," ")</f>
        <v> </v>
      </c>
      <c r="AC11" s="30" t="str">
        <f aca="false">IF((E11="v"),H11," ")</f>
        <v> </v>
      </c>
      <c r="AD11" s="30" t="str">
        <f aca="false">IF((E11="n"),H11," ")</f>
        <v> </v>
      </c>
      <c r="AE11" s="17" t="str">
        <f aca="false">IF((E11="f"),H11," ")</f>
        <v> </v>
      </c>
      <c r="AF11" s="17" t="str">
        <f aca="false">IF((E11="l"),H11," ")</f>
        <v> </v>
      </c>
      <c r="AG11" s="17" t="str">
        <f aca="false">IF((E11="y"),H11," ")</f>
        <v> </v>
      </c>
      <c r="AH11" s="17" t="str">
        <f aca="false">IF((E11="z"),H11," ")</f>
        <v> </v>
      </c>
      <c r="AI11" s="17" t="str">
        <f aca="false">IF((E11="fa"),H11," ")</f>
        <v> </v>
      </c>
      <c r="AJ11" s="17" t="str">
        <f aca="false">IF((E11="e"),H11," ")</f>
        <v> </v>
      </c>
      <c r="BZ11" s="2" t="s">
        <v>81</v>
      </c>
    </row>
    <row r="12" customFormat="false" ht="12" hidden="false" customHeight="false" outlineLevel="0" collapsed="false">
      <c r="A12" s="28" t="n">
        <v>46421</v>
      </c>
      <c r="B12" s="2" t="s">
        <v>96</v>
      </c>
      <c r="D12" s="2" t="s">
        <v>97</v>
      </c>
      <c r="E12" s="2" t="s">
        <v>86</v>
      </c>
      <c r="F12" s="30" t="n">
        <v>180</v>
      </c>
      <c r="G12" s="6" t="n">
        <f aca="false">IF(F12&lt;&gt;0,F12*G$2/(100+G$2)," ")</f>
        <v>30</v>
      </c>
      <c r="H12" s="6" t="n">
        <f aca="false">IF((F12&lt;&gt;0),F12-G12," ")</f>
        <v>150</v>
      </c>
      <c r="I12" s="5"/>
      <c r="L12" s="7" t="n">
        <f aca="false">IF(F12&lt;&gt;0,F12-K12," ")</f>
        <v>180</v>
      </c>
      <c r="M12" s="8" t="n">
        <f aca="false">IF((F12-K12)&lt;&gt;0,M$1-A12," ")</f>
        <v>-143</v>
      </c>
      <c r="N12" s="5"/>
      <c r="O12" s="17" t="str">
        <f aca="false">IF((E12="s"),H12," ")</f>
        <v> </v>
      </c>
      <c r="P12" s="17" t="str">
        <f aca="false">IF((E12="c"),H12," ")</f>
        <v> </v>
      </c>
      <c r="Q12" s="17" t="n">
        <f aca="false">IF((E12="o"),H12," ")</f>
        <v>150</v>
      </c>
      <c r="R12" s="17" t="str">
        <f aca="false">IF((E12="d"),H12," ")</f>
        <v> </v>
      </c>
      <c r="S12" s="17" t="str">
        <f aca="false">IF((E12="w"),H12," ")</f>
        <v> </v>
      </c>
      <c r="T12" s="17" t="str">
        <f aca="false">IF((E12="r"),H12," ")</f>
        <v> </v>
      </c>
      <c r="U12" s="17" t="str">
        <f aca="false">IF((E12="p"),H12," ")</f>
        <v> </v>
      </c>
      <c r="V12" s="17" t="str">
        <f aca="false">IF((E12="t"),H12," ")</f>
        <v> </v>
      </c>
      <c r="W12" s="17" t="str">
        <f aca="false">IF((E12="q"),H12," ")</f>
        <v> </v>
      </c>
      <c r="X12" s="17" t="str">
        <f aca="false">IF((E12="m"),H12," ")</f>
        <v> </v>
      </c>
      <c r="Y12" s="17" t="str">
        <f aca="false">IF((E12="u"),H12," ")</f>
        <v> </v>
      </c>
      <c r="Z12" s="17" t="str">
        <f aca="false">IF((E12="a"),H12," ")</f>
        <v> </v>
      </c>
      <c r="AA12" s="17" t="str">
        <f aca="false">IF((E12="g"),H12," ")</f>
        <v> </v>
      </c>
      <c r="AB12" s="17" t="str">
        <f aca="false">IF((E12="h"),H12," ")</f>
        <v> </v>
      </c>
      <c r="AC12" s="30" t="str">
        <f aca="false">IF((E12="v"),H12," ")</f>
        <v> </v>
      </c>
      <c r="AD12" s="30" t="str">
        <f aca="false">IF((E12="n"),H12," ")</f>
        <v> </v>
      </c>
      <c r="AE12" s="17" t="str">
        <f aca="false">IF((E12="f"),H12," ")</f>
        <v> </v>
      </c>
      <c r="AF12" s="17" t="str">
        <f aca="false">IF((E12="l"),H12," ")</f>
        <v> </v>
      </c>
      <c r="AG12" s="17" t="str">
        <f aca="false">IF((E12="y"),H12," ")</f>
        <v> </v>
      </c>
      <c r="AH12" s="17" t="str">
        <f aca="false">IF((E12="z"),H12," ")</f>
        <v> </v>
      </c>
      <c r="AI12" s="17" t="str">
        <f aca="false">IF((E12="fa"),H12," ")</f>
        <v> </v>
      </c>
      <c r="AJ12" s="17" t="str">
        <f aca="false">IF((E12="e"),H12," ")</f>
        <v> </v>
      </c>
      <c r="BZ12" s="2" t="s">
        <v>87</v>
      </c>
    </row>
    <row r="13" customFormat="false" ht="12" hidden="false" customHeight="false" outlineLevel="0" collapsed="false">
      <c r="A13" s="28" t="n">
        <v>46421</v>
      </c>
      <c r="B13" s="2" t="s">
        <v>98</v>
      </c>
      <c r="D13" s="2" t="s">
        <v>99</v>
      </c>
      <c r="E13" s="2" t="s">
        <v>100</v>
      </c>
      <c r="F13" s="30" t="n">
        <v>22</v>
      </c>
      <c r="G13" s="6" t="n">
        <f aca="false">IF(F13&lt;&gt;0,F13*G$2/(100+G$2)," ")</f>
        <v>3.66666666666667</v>
      </c>
      <c r="H13" s="6" t="n">
        <f aca="false">IF((F13&lt;&gt;0),F13-G13," ")</f>
        <v>18.3333333333333</v>
      </c>
      <c r="I13" s="5"/>
      <c r="L13" s="7" t="n">
        <f aca="false">IF(F13&lt;&gt;0,F13-K13," ")</f>
        <v>22</v>
      </c>
      <c r="M13" s="8" t="n">
        <f aca="false">IF((F13-K13)&lt;&gt;0,M$1-A13," ")</f>
        <v>-143</v>
      </c>
      <c r="N13" s="5"/>
      <c r="O13" s="17" t="str">
        <f aca="false">IF((E13="s"),H13," ")</f>
        <v> </v>
      </c>
      <c r="P13" s="17" t="str">
        <f aca="false">IF((E13="c"),H13," ")</f>
        <v> </v>
      </c>
      <c r="Q13" s="17" t="str">
        <f aca="false">IF((E13="o"),H13," ")</f>
        <v> </v>
      </c>
      <c r="R13" s="17" t="str">
        <f aca="false">IF((E13="d"),H13," ")</f>
        <v> </v>
      </c>
      <c r="S13" s="17" t="str">
        <f aca="false">IF((E13="w"),H13," ")</f>
        <v> </v>
      </c>
      <c r="T13" s="17" t="str">
        <f aca="false">IF((E13="r"),H13," ")</f>
        <v> </v>
      </c>
      <c r="U13" s="17" t="str">
        <f aca="false">IF((E13="p"),H13," ")</f>
        <v> </v>
      </c>
      <c r="V13" s="17" t="str">
        <f aca="false">IF((E13="t"),H13," ")</f>
        <v> </v>
      </c>
      <c r="W13" s="17" t="str">
        <f aca="false">IF((E13="q"),H13," ")</f>
        <v> </v>
      </c>
      <c r="X13" s="17" t="str">
        <f aca="false">IF((E13="m"),H13," ")</f>
        <v> </v>
      </c>
      <c r="Y13" s="17" t="n">
        <f aca="false">IF((E13="u"),H13," ")</f>
        <v>18.3333333333333</v>
      </c>
      <c r="Z13" s="17" t="str">
        <f aca="false">IF((E13="a"),H13," ")</f>
        <v> </v>
      </c>
      <c r="AA13" s="17" t="str">
        <f aca="false">IF((E13="g"),H13," ")</f>
        <v> </v>
      </c>
      <c r="AB13" s="17" t="str">
        <f aca="false">IF((E13="h"),H13," ")</f>
        <v> </v>
      </c>
      <c r="AC13" s="30" t="str">
        <f aca="false">IF((E13="v"),H13," ")</f>
        <v> </v>
      </c>
      <c r="AD13" s="30" t="str">
        <f aca="false">IF((E13="n"),H13," ")</f>
        <v> </v>
      </c>
      <c r="AE13" s="17" t="str">
        <f aca="false">IF((E13="f"),H13," ")</f>
        <v> </v>
      </c>
      <c r="AF13" s="17" t="str">
        <f aca="false">IF((E13="l"),H13," ")</f>
        <v> </v>
      </c>
      <c r="AG13" s="17" t="str">
        <f aca="false">IF((E13="y"),H13," ")</f>
        <v> </v>
      </c>
      <c r="AH13" s="17" t="str">
        <f aca="false">IF((E13="z"),H13," ")</f>
        <v> </v>
      </c>
      <c r="AI13" s="17" t="str">
        <f aca="false">IF((E13="fa"),H13," ")</f>
        <v> </v>
      </c>
      <c r="AJ13" s="17" t="str">
        <f aca="false">IF((E13="e"),H13," ")</f>
        <v> </v>
      </c>
      <c r="BZ13" s="2" t="s">
        <v>101</v>
      </c>
    </row>
    <row r="14" customFormat="false" ht="12" hidden="false" customHeight="false" outlineLevel="0" collapsed="false">
      <c r="A14" s="28" t="n">
        <v>46423</v>
      </c>
      <c r="B14" s="2" t="s">
        <v>102</v>
      </c>
      <c r="D14" s="2" t="s">
        <v>103</v>
      </c>
      <c r="E14" s="2" t="s">
        <v>100</v>
      </c>
      <c r="F14" s="30" t="n">
        <v>24</v>
      </c>
      <c r="G14" s="6" t="n">
        <f aca="false">IF(F14&lt;&gt;0,F14*G$2/(100+G$2)," ")</f>
        <v>4</v>
      </c>
      <c r="H14" s="6" t="n">
        <f aca="false">IF((F14&lt;&gt;0),F14-G14," ")</f>
        <v>20</v>
      </c>
      <c r="I14" s="5"/>
      <c r="L14" s="7" t="n">
        <f aca="false">IF(F14&lt;&gt;0,F14-K14," ")</f>
        <v>24</v>
      </c>
      <c r="M14" s="8" t="n">
        <f aca="false">IF((F14-K14)&lt;&gt;0,M$1-A14," ")</f>
        <v>-145</v>
      </c>
      <c r="N14" s="5"/>
      <c r="O14" s="17" t="str">
        <f aca="false">IF((E14="s"),H14," ")</f>
        <v> </v>
      </c>
      <c r="P14" s="17" t="str">
        <f aca="false">IF((E14="c"),H14," ")</f>
        <v> </v>
      </c>
      <c r="Q14" s="17" t="str">
        <f aca="false">IF((E14="o"),H14," ")</f>
        <v> </v>
      </c>
      <c r="R14" s="17" t="str">
        <f aca="false">IF((E14="d"),H14," ")</f>
        <v> </v>
      </c>
      <c r="S14" s="17" t="str">
        <f aca="false">IF((E14="w"),H14," ")</f>
        <v> </v>
      </c>
      <c r="T14" s="17" t="str">
        <f aca="false">IF((E14="r"),H14," ")</f>
        <v> </v>
      </c>
      <c r="U14" s="17" t="str">
        <f aca="false">IF((E14="p"),H14," ")</f>
        <v> </v>
      </c>
      <c r="V14" s="17" t="str">
        <f aca="false">IF((E14="t"),H14," ")</f>
        <v> </v>
      </c>
      <c r="W14" s="17" t="str">
        <f aca="false">IF((E14="q"),H14," ")</f>
        <v> </v>
      </c>
      <c r="X14" s="17" t="str">
        <f aca="false">IF((E14="m"),H14," ")</f>
        <v> </v>
      </c>
      <c r="Y14" s="17" t="n">
        <f aca="false">IF((E14="u"),H14," ")</f>
        <v>20</v>
      </c>
      <c r="Z14" s="17" t="str">
        <f aca="false">IF((E14="a"),H14," ")</f>
        <v> </v>
      </c>
      <c r="AA14" s="17" t="str">
        <f aca="false">IF((E14="g"),H14," ")</f>
        <v> </v>
      </c>
      <c r="AB14" s="17" t="str">
        <f aca="false">IF((E14="h"),H14," ")</f>
        <v> </v>
      </c>
      <c r="AC14" s="30" t="str">
        <f aca="false">IF((E14="v"),H14," ")</f>
        <v> </v>
      </c>
      <c r="AD14" s="30" t="str">
        <f aca="false">IF((E14="n"),H14," ")</f>
        <v> </v>
      </c>
      <c r="AE14" s="17" t="str">
        <f aca="false">IF((E14="f"),H14," ")</f>
        <v> </v>
      </c>
      <c r="AF14" s="17" t="str">
        <f aca="false">IF((E14="l"),H14," ")</f>
        <v> </v>
      </c>
      <c r="AG14" s="17" t="str">
        <f aca="false">IF((E14="y"),H14," ")</f>
        <v> </v>
      </c>
      <c r="AH14" s="17" t="str">
        <f aca="false">IF((E14="z"),H14," ")</f>
        <v> </v>
      </c>
      <c r="AI14" s="17" t="str">
        <f aca="false">IF((E14="fa"),H14," ")</f>
        <v> </v>
      </c>
      <c r="AJ14" s="17" t="str">
        <f aca="false">IF((E14="e"),H14," ")</f>
        <v> </v>
      </c>
      <c r="BZ14" s="2" t="s">
        <v>101</v>
      </c>
    </row>
    <row r="15" customFormat="false" ht="12" hidden="false" customHeight="false" outlineLevel="0" collapsed="false">
      <c r="A15" s="28" t="n">
        <v>46423</v>
      </c>
      <c r="B15" s="2" t="s">
        <v>208</v>
      </c>
      <c r="D15" s="2" t="s">
        <v>209</v>
      </c>
      <c r="E15" s="2" t="s">
        <v>161</v>
      </c>
      <c r="F15" s="30" t="n">
        <v>480</v>
      </c>
      <c r="G15" s="6" t="n">
        <f aca="false">IF(F15&lt;&gt;0,F15*G$2/(100+G$2)," ")</f>
        <v>80</v>
      </c>
      <c r="H15" s="6" t="n">
        <f aca="false">IF((F15&lt;&gt;0),F15-G15," ")</f>
        <v>400</v>
      </c>
      <c r="I15" s="5"/>
      <c r="L15" s="7" t="n">
        <f aca="false">IF(F15&lt;&gt;0,F15-K15," ")</f>
        <v>480</v>
      </c>
      <c r="M15" s="8" t="n">
        <f aca="false">IF((F15-K15)&lt;&gt;0,M$1-A15," ")</f>
        <v>-145</v>
      </c>
      <c r="N15" s="5"/>
      <c r="O15" s="17" t="str">
        <f aca="false">IF((E15="s"),H15," ")</f>
        <v> </v>
      </c>
      <c r="P15" s="17" t="str">
        <f aca="false">IF((E15="c"),H15," ")</f>
        <v> </v>
      </c>
      <c r="Q15" s="17" t="str">
        <f aca="false">IF((E15="o"),H15," ")</f>
        <v> </v>
      </c>
      <c r="R15" s="17" t="str">
        <f aca="false">IF((E15="d"),H15," ")</f>
        <v> </v>
      </c>
      <c r="S15" s="17" t="str">
        <f aca="false">IF((E15="w"),H15," ")</f>
        <v> </v>
      </c>
      <c r="T15" s="17" t="str">
        <f aca="false">IF((E15="r"),H15," ")</f>
        <v> </v>
      </c>
      <c r="U15" s="17" t="str">
        <f aca="false">IF((E15="p"),H15," ")</f>
        <v> </v>
      </c>
      <c r="V15" s="17" t="str">
        <f aca="false">IF((E15="t"),H15," ")</f>
        <v> </v>
      </c>
      <c r="W15" s="17" t="str">
        <f aca="false">IF((E15="q"),H15," ")</f>
        <v> </v>
      </c>
      <c r="X15" s="17" t="str">
        <f aca="false">IF((E15="m"),H15," ")</f>
        <v> </v>
      </c>
      <c r="Y15" s="17" t="str">
        <f aca="false">IF((E15="u"),H15," ")</f>
        <v> </v>
      </c>
      <c r="Z15" s="17" t="n">
        <f aca="false">IF((E15="a"),H15," ")</f>
        <v>400</v>
      </c>
      <c r="AA15" s="17" t="str">
        <f aca="false">IF((E15="g"),H15," ")</f>
        <v> </v>
      </c>
      <c r="AB15" s="17" t="str">
        <f aca="false">IF((E15="h"),H15," ")</f>
        <v> </v>
      </c>
      <c r="AC15" s="30" t="str">
        <f aca="false">IF((E15="v"),H15," ")</f>
        <v> </v>
      </c>
      <c r="AD15" s="30" t="str">
        <f aca="false">IF((E15="n"),H15," ")</f>
        <v> </v>
      </c>
      <c r="AE15" s="17" t="str">
        <f aca="false">IF((E15="f"),H15," ")</f>
        <v> </v>
      </c>
      <c r="AF15" s="17" t="str">
        <f aca="false">IF((E15="l"),H15," ")</f>
        <v> </v>
      </c>
      <c r="AG15" s="17" t="str">
        <f aca="false">IF((E15="y"),H15," ")</f>
        <v> </v>
      </c>
      <c r="AH15" s="17" t="str">
        <f aca="false">IF((E15="z"),H15," ")</f>
        <v> </v>
      </c>
      <c r="AI15" s="17" t="str">
        <f aca="false">IF((E15="fa"),H15," ")</f>
        <v> </v>
      </c>
      <c r="AJ15" s="17" t="str">
        <f aca="false">IF((E15="e"),H15," ")</f>
        <v> </v>
      </c>
      <c r="BZ15" s="2" t="s">
        <v>162</v>
      </c>
    </row>
    <row r="16" customFormat="false" ht="12" hidden="false" customHeight="false" outlineLevel="0" collapsed="false">
      <c r="A16" s="28" t="n">
        <v>46423</v>
      </c>
      <c r="B16" s="2" t="s">
        <v>104</v>
      </c>
      <c r="D16" s="2" t="s">
        <v>105</v>
      </c>
      <c r="E16" s="2" t="s">
        <v>106</v>
      </c>
      <c r="F16" s="30" t="n">
        <v>180</v>
      </c>
      <c r="G16" s="6" t="n">
        <f aca="false">IF(F16&lt;&gt;0,F16*G$2/(100+G$2)," ")</f>
        <v>30</v>
      </c>
      <c r="H16" s="6" t="n">
        <f aca="false">IF((F16&lt;&gt;0),F16-G16," ")</f>
        <v>150</v>
      </c>
      <c r="I16" s="5"/>
      <c r="L16" s="7" t="n">
        <f aca="false">IF(F16&lt;&gt;0,F16-K16," ")</f>
        <v>180</v>
      </c>
      <c r="M16" s="8" t="n">
        <f aca="false">IF((F16-K16)&lt;&gt;0,M$1-A16," ")</f>
        <v>-145</v>
      </c>
      <c r="N16" s="5"/>
      <c r="O16" s="17" t="str">
        <f aca="false">IF((E16="s"),H16," ")</f>
        <v> </v>
      </c>
      <c r="P16" s="17" t="str">
        <f aca="false">IF((E16="c"),H16," ")</f>
        <v> </v>
      </c>
      <c r="Q16" s="17" t="str">
        <f aca="false">IF((E16="o"),H16," ")</f>
        <v> </v>
      </c>
      <c r="R16" s="17" t="str">
        <f aca="false">IF((E16="d"),H16," ")</f>
        <v> </v>
      </c>
      <c r="S16" s="17" t="str">
        <f aca="false">IF((E16="w"),H16," ")</f>
        <v> </v>
      </c>
      <c r="T16" s="17" t="str">
        <f aca="false">IF((E16="r"),H16," ")</f>
        <v> </v>
      </c>
      <c r="U16" s="17" t="str">
        <f aca="false">IF((E16="p"),H16," ")</f>
        <v> </v>
      </c>
      <c r="V16" s="17" t="str">
        <f aca="false">IF((E16="t"),H16," ")</f>
        <v> </v>
      </c>
      <c r="W16" s="17" t="str">
        <f aca="false">IF((E16="q"),H16," ")</f>
        <v> </v>
      </c>
      <c r="X16" s="17" t="str">
        <f aca="false">IF((E16="m"),H16," ")</f>
        <v> </v>
      </c>
      <c r="Y16" s="17" t="str">
        <f aca="false">IF((E16="u"),H16," ")</f>
        <v> </v>
      </c>
      <c r="Z16" s="17" t="str">
        <f aca="false">IF((E16="a"),H16," ")</f>
        <v> </v>
      </c>
      <c r="AA16" s="17" t="str">
        <f aca="false">IF((E16="g"),H16," ")</f>
        <v> </v>
      </c>
      <c r="AB16" s="17" t="str">
        <f aca="false">IF((E16="h"),H16," ")</f>
        <v> </v>
      </c>
      <c r="AC16" s="30" t="n">
        <f aca="false">IF((E16="v"),H16," ")</f>
        <v>150</v>
      </c>
      <c r="AD16" s="30" t="str">
        <f aca="false">IF((E16="n"),H16," ")</f>
        <v> </v>
      </c>
      <c r="AE16" s="17" t="str">
        <f aca="false">IF((E16="f"),H16," ")</f>
        <v> </v>
      </c>
      <c r="AF16" s="17" t="str">
        <f aca="false">IF((E16="l"),H16," ")</f>
        <v> </v>
      </c>
      <c r="AG16" s="17" t="str">
        <f aca="false">IF((E16="y"),H16," ")</f>
        <v> </v>
      </c>
      <c r="AH16" s="17" t="str">
        <f aca="false">IF((E16="z"),H16," ")</f>
        <v> </v>
      </c>
      <c r="AI16" s="17" t="str">
        <f aca="false">IF((E16="fa"),H16," ")</f>
        <v> </v>
      </c>
      <c r="AJ16" s="17" t="str">
        <f aca="false">IF((E16="e"),H16," ")</f>
        <v> </v>
      </c>
      <c r="BZ16" s="2" t="s">
        <v>107</v>
      </c>
    </row>
    <row r="17" customFormat="false" ht="12" hidden="false" customHeight="false" outlineLevel="0" collapsed="false">
      <c r="A17" s="28" t="n">
        <v>46426</v>
      </c>
      <c r="B17" s="2" t="s">
        <v>110</v>
      </c>
      <c r="D17" s="2" t="s">
        <v>111</v>
      </c>
      <c r="E17" s="2" t="s">
        <v>112</v>
      </c>
      <c r="F17" s="30" t="n">
        <v>48</v>
      </c>
      <c r="G17" s="6" t="n">
        <f aca="false">IF(F17&lt;&gt;0,F17*G$2/(100+G$2)," ")</f>
        <v>8</v>
      </c>
      <c r="H17" s="6" t="n">
        <f aca="false">IF((F17&lt;&gt;0),F17-G17," ")</f>
        <v>40</v>
      </c>
      <c r="I17" s="5"/>
      <c r="L17" s="7" t="n">
        <f aca="false">IF(F17&lt;&gt;0,F17-K17," ")</f>
        <v>48</v>
      </c>
      <c r="M17" s="8" t="n">
        <f aca="false">IF((F17-K17)&lt;&gt;0,M$1-A17," ")</f>
        <v>-148</v>
      </c>
      <c r="N17" s="5"/>
      <c r="O17" s="17" t="str">
        <f aca="false">IF((E17="s"),H17," ")</f>
        <v> </v>
      </c>
      <c r="P17" s="17" t="str">
        <f aca="false">IF((E17="c"),H17," ")</f>
        <v> </v>
      </c>
      <c r="Q17" s="17" t="str">
        <f aca="false">IF((E17="o"),H17," ")</f>
        <v> </v>
      </c>
      <c r="R17" s="17" t="str">
        <f aca="false">IF((E17="d"),H17," ")</f>
        <v> </v>
      </c>
      <c r="S17" s="17" t="str">
        <f aca="false">IF((E17="w"),H17," ")</f>
        <v> </v>
      </c>
      <c r="T17" s="17" t="str">
        <f aca="false">IF((E17="r"),H17," ")</f>
        <v> </v>
      </c>
      <c r="U17" s="17" t="str">
        <f aca="false">IF((E17="p"),H17," ")</f>
        <v> </v>
      </c>
      <c r="V17" s="17" t="str">
        <f aca="false">IF((E17="t"),H17," ")</f>
        <v> </v>
      </c>
      <c r="W17" s="17" t="str">
        <f aca="false">IF((E17="q"),H17," ")</f>
        <v> </v>
      </c>
      <c r="X17" s="17" t="str">
        <f aca="false">IF((E17="m"),H17," ")</f>
        <v> </v>
      </c>
      <c r="Y17" s="17" t="str">
        <f aca="false">IF((E17="u"),H17," ")</f>
        <v> </v>
      </c>
      <c r="Z17" s="17" t="str">
        <f aca="false">IF((E17="a"),H17," ")</f>
        <v> </v>
      </c>
      <c r="AA17" s="17" t="str">
        <f aca="false">IF((E17="g"),H17," ")</f>
        <v> </v>
      </c>
      <c r="AB17" s="17" t="n">
        <f aca="false">IF((E17="h"),H17," ")</f>
        <v>40</v>
      </c>
      <c r="AC17" s="30" t="str">
        <f aca="false">IF((E17="v"),H17," ")</f>
        <v> </v>
      </c>
      <c r="AD17" s="30" t="str">
        <f aca="false">IF((E17="n"),H17," ")</f>
        <v> </v>
      </c>
      <c r="AE17" s="17" t="str">
        <f aca="false">IF((E17="f"),H17," ")</f>
        <v> </v>
      </c>
      <c r="AF17" s="17" t="str">
        <f aca="false">IF((E17="l"),H17," ")</f>
        <v> </v>
      </c>
      <c r="AG17" s="17" t="str">
        <f aca="false">IF((E17="y"),H17," ")</f>
        <v> </v>
      </c>
      <c r="AH17" s="17" t="str">
        <f aca="false">IF((E17="z"),H17," ")</f>
        <v> </v>
      </c>
      <c r="AI17" s="17" t="str">
        <f aca="false">IF((E17="fa"),H17," ")</f>
        <v> </v>
      </c>
      <c r="AJ17" s="17" t="str">
        <f aca="false">IF((E17="e"),H17," ")</f>
        <v> </v>
      </c>
      <c r="BZ17" s="2" t="s">
        <v>113</v>
      </c>
    </row>
    <row r="18" customFormat="false" ht="12" hidden="false" customHeight="false" outlineLevel="0" collapsed="false">
      <c r="A18" s="28" t="n">
        <v>46428</v>
      </c>
      <c r="B18" s="2" t="s">
        <v>114</v>
      </c>
      <c r="D18" s="2" t="s">
        <v>115</v>
      </c>
      <c r="E18" s="2" t="s">
        <v>100</v>
      </c>
      <c r="F18" s="30" t="n">
        <v>36</v>
      </c>
      <c r="G18" s="6" t="n">
        <f aca="false">IF(F18&lt;&gt;0,F18*G$2/(100+G$2)," ")</f>
        <v>6</v>
      </c>
      <c r="H18" s="6" t="n">
        <f aca="false">IF((F18&lt;&gt;0),F18-G18," ")</f>
        <v>30</v>
      </c>
      <c r="I18" s="5"/>
      <c r="L18" s="7" t="n">
        <f aca="false">IF(F18&lt;&gt;0,F18-K18," ")</f>
        <v>36</v>
      </c>
      <c r="M18" s="8" t="n">
        <f aca="false">IF((F18-K18)&lt;&gt;0,M$1-A18," ")</f>
        <v>-150</v>
      </c>
      <c r="N18" s="5"/>
      <c r="O18" s="17" t="str">
        <f aca="false">IF((E18="s"),H18," ")</f>
        <v> </v>
      </c>
      <c r="P18" s="17" t="str">
        <f aca="false">IF((E18="c"),H18," ")</f>
        <v> </v>
      </c>
      <c r="Q18" s="17" t="str">
        <f aca="false">IF((E18="o"),H18," ")</f>
        <v> </v>
      </c>
      <c r="R18" s="17" t="str">
        <f aca="false">IF((E18="d"),H18," ")</f>
        <v> </v>
      </c>
      <c r="S18" s="17" t="str">
        <f aca="false">IF((E18="w"),H18," ")</f>
        <v> </v>
      </c>
      <c r="T18" s="17" t="str">
        <f aca="false">IF((E18="r"),H18," ")</f>
        <v> </v>
      </c>
      <c r="U18" s="17" t="str">
        <f aca="false">IF((E18="p"),H18," ")</f>
        <v> </v>
      </c>
      <c r="V18" s="17" t="str">
        <f aca="false">IF((E18="t"),H18," ")</f>
        <v> </v>
      </c>
      <c r="W18" s="17" t="str">
        <f aca="false">IF((E18="q"),H18," ")</f>
        <v> </v>
      </c>
      <c r="X18" s="17" t="str">
        <f aca="false">IF((E18="m"),H18," ")</f>
        <v> </v>
      </c>
      <c r="Y18" s="17" t="n">
        <f aca="false">IF((E18="u"),H18," ")</f>
        <v>30</v>
      </c>
      <c r="Z18" s="17" t="str">
        <f aca="false">IF((E18="a"),H18," ")</f>
        <v> </v>
      </c>
      <c r="AA18" s="17" t="str">
        <f aca="false">IF((E18="g"),H18," ")</f>
        <v> </v>
      </c>
      <c r="AB18" s="17" t="str">
        <f aca="false">IF((E18="h"),H18," ")</f>
        <v> </v>
      </c>
      <c r="AC18" s="30" t="str">
        <f aca="false">IF((E18="v"),H18," ")</f>
        <v> </v>
      </c>
      <c r="AD18" s="30" t="str">
        <f aca="false">IF((E18="n"),H18," ")</f>
        <v> </v>
      </c>
      <c r="AE18" s="17" t="str">
        <f aca="false">IF((E18="f"),H18," ")</f>
        <v> </v>
      </c>
      <c r="AF18" s="17" t="str">
        <f aca="false">IF((E18="l"),H18," ")</f>
        <v> </v>
      </c>
      <c r="AG18" s="17" t="str">
        <f aca="false">IF((E18="y"),H18," ")</f>
        <v> </v>
      </c>
      <c r="AH18" s="17" t="str">
        <f aca="false">IF((E18="z"),H18," ")</f>
        <v> </v>
      </c>
      <c r="AI18" s="17" t="str">
        <f aca="false">IF((E18="fa"),H18," ")</f>
        <v> </v>
      </c>
      <c r="AJ18" s="17" t="str">
        <f aca="false">IF((E18="e"),H18," ")</f>
        <v> </v>
      </c>
      <c r="BZ18" s="2" t="s">
        <v>101</v>
      </c>
    </row>
    <row r="19" customFormat="false" ht="12" hidden="false" customHeight="false" outlineLevel="0" collapsed="false">
      <c r="A19" s="28" t="n">
        <v>46428</v>
      </c>
      <c r="B19" s="2" t="s">
        <v>116</v>
      </c>
      <c r="D19" s="2" t="s">
        <v>117</v>
      </c>
      <c r="E19" s="2" t="s">
        <v>118</v>
      </c>
      <c r="F19" s="30" t="n">
        <v>180</v>
      </c>
      <c r="G19" s="6" t="n">
        <f aca="false">IF(F19&lt;&gt;0,F19*G$2/(100+G$2)," ")</f>
        <v>30</v>
      </c>
      <c r="H19" s="6" t="n">
        <f aca="false">IF((F19&lt;&gt;0),F19-G19," ")</f>
        <v>150</v>
      </c>
      <c r="I19" s="5"/>
      <c r="L19" s="7" t="n">
        <f aca="false">IF(F19&lt;&gt;0,F19-K19," ")</f>
        <v>180</v>
      </c>
      <c r="M19" s="8" t="n">
        <f aca="false">IF((F19-K19)&lt;&gt;0,M$1-A19," ")</f>
        <v>-150</v>
      </c>
      <c r="N19" s="5"/>
      <c r="O19" s="17" t="str">
        <f aca="false">IF((E19="s"),H19," ")</f>
        <v> </v>
      </c>
      <c r="P19" s="17" t="str">
        <f aca="false">IF((E19="c"),H19," ")</f>
        <v> </v>
      </c>
      <c r="Q19" s="17" t="str">
        <f aca="false">IF((E19="o"),H19," ")</f>
        <v> </v>
      </c>
      <c r="R19" s="17" t="str">
        <f aca="false">IF((E19="d"),H19," ")</f>
        <v> </v>
      </c>
      <c r="S19" s="17" t="str">
        <f aca="false">IF((E19="w"),H19," ")</f>
        <v> </v>
      </c>
      <c r="T19" s="17" t="str">
        <f aca="false">IF((E19="r"),H19," ")</f>
        <v> </v>
      </c>
      <c r="U19" s="17" t="str">
        <f aca="false">IF((E19="p"),H19," ")</f>
        <v> </v>
      </c>
      <c r="V19" s="17" t="str">
        <f aca="false">IF((E19="t"),H19," ")</f>
        <v> </v>
      </c>
      <c r="W19" s="17" t="str">
        <f aca="false">IF((E19="q"),H19," ")</f>
        <v> </v>
      </c>
      <c r="X19" s="17" t="str">
        <f aca="false">IF((E19="m"),H19," ")</f>
        <v> </v>
      </c>
      <c r="Y19" s="17" t="str">
        <f aca="false">IF((E19="u"),H19," ")</f>
        <v> </v>
      </c>
      <c r="Z19" s="17" t="str">
        <f aca="false">IF((E19="a"),H19," ")</f>
        <v> </v>
      </c>
      <c r="AA19" s="17" t="str">
        <f aca="false">IF((E19="g"),H19," ")</f>
        <v> </v>
      </c>
      <c r="AB19" s="17" t="str">
        <f aca="false">IF((E19="h"),H19," ")</f>
        <v> </v>
      </c>
      <c r="AC19" s="30" t="str">
        <f aca="false">IF((E19="v"),H19," ")</f>
        <v> </v>
      </c>
      <c r="AD19" s="30" t="str">
        <f aca="false">IF((E19="n"),H19," ")</f>
        <v> </v>
      </c>
      <c r="AE19" s="17" t="n">
        <f aca="false">IF((E19="f"),H19," ")</f>
        <v>150</v>
      </c>
      <c r="AF19" s="17" t="str">
        <f aca="false">IF((E19="l"),H19," ")</f>
        <v> </v>
      </c>
      <c r="AG19" s="17" t="str">
        <f aca="false">IF((E19="y"),H19," ")</f>
        <v> </v>
      </c>
      <c r="AH19" s="17" t="str">
        <f aca="false">IF((E19="z"),H19," ")</f>
        <v> </v>
      </c>
      <c r="AI19" s="17" t="str">
        <f aca="false">IF((E19="fa"),H19," ")</f>
        <v> </v>
      </c>
      <c r="AJ19" s="17" t="str">
        <f aca="false">IF((E19="e"),H19," ")</f>
        <v> </v>
      </c>
      <c r="BZ19" s="2" t="s">
        <v>119</v>
      </c>
    </row>
    <row r="20" customFormat="false" ht="12" hidden="false" customHeight="false" outlineLevel="0" collapsed="false">
      <c r="A20" s="28" t="n">
        <v>46428</v>
      </c>
      <c r="B20" s="2" t="s">
        <v>120</v>
      </c>
      <c r="D20" s="2" t="s">
        <v>121</v>
      </c>
      <c r="E20" s="2" t="s">
        <v>122</v>
      </c>
      <c r="F20" s="30" t="n">
        <v>720</v>
      </c>
      <c r="G20" s="6" t="n">
        <f aca="false">IF(F20&lt;&gt;0,F20*G$2/(100+G$2)," ")</f>
        <v>120</v>
      </c>
      <c r="H20" s="6" t="n">
        <f aca="false">IF((F20&lt;&gt;0),F20-G20," ")</f>
        <v>600</v>
      </c>
      <c r="I20" s="5"/>
      <c r="L20" s="7" t="n">
        <f aca="false">IF(F20&lt;&gt;0,F20-K20," ")</f>
        <v>720</v>
      </c>
      <c r="M20" s="8" t="n">
        <f aca="false">IF((F20-K20)&lt;&gt;0,M$1-A20," ")</f>
        <v>-150</v>
      </c>
      <c r="N20" s="5"/>
      <c r="O20" s="17" t="n">
        <f aca="false">IF((E20="s"),H20," ")</f>
        <v>600</v>
      </c>
      <c r="P20" s="17" t="str">
        <f aca="false">IF((E20="c"),H20," ")</f>
        <v> </v>
      </c>
      <c r="Q20" s="17" t="str">
        <f aca="false">IF((E20="o"),H20," ")</f>
        <v> </v>
      </c>
      <c r="R20" s="17" t="str">
        <f aca="false">IF((E20="d"),H20," ")</f>
        <v> </v>
      </c>
      <c r="S20" s="17" t="str">
        <f aca="false">IF((E20="w"),H20," ")</f>
        <v> </v>
      </c>
      <c r="T20" s="17" t="str">
        <f aca="false">IF((E20="r"),H20," ")</f>
        <v> </v>
      </c>
      <c r="U20" s="17" t="str">
        <f aca="false">IF((E20="p"),H20," ")</f>
        <v> </v>
      </c>
      <c r="V20" s="17" t="str">
        <f aca="false">IF((E20="t"),H20," ")</f>
        <v> </v>
      </c>
      <c r="W20" s="17" t="str">
        <f aca="false">IF((E20="q"),H20," ")</f>
        <v> </v>
      </c>
      <c r="X20" s="17" t="str">
        <f aca="false">IF((E20="m"),H20," ")</f>
        <v> </v>
      </c>
      <c r="Y20" s="17" t="str">
        <f aca="false">IF((E20="u"),H20," ")</f>
        <v> </v>
      </c>
      <c r="Z20" s="17" t="str">
        <f aca="false">IF((E20="a"),H20," ")</f>
        <v> </v>
      </c>
      <c r="AA20" s="17" t="str">
        <f aca="false">IF((E20="g"),H20," ")</f>
        <v> </v>
      </c>
      <c r="AB20" s="17" t="str">
        <f aca="false">IF((E20="h"),H20," ")</f>
        <v> </v>
      </c>
      <c r="AC20" s="30" t="str">
        <f aca="false">IF((E20="v"),H20," ")</f>
        <v> </v>
      </c>
      <c r="AD20" s="30" t="str">
        <f aca="false">IF((E20="n"),H20," ")</f>
        <v> </v>
      </c>
      <c r="AE20" s="17" t="str">
        <f aca="false">IF((E20="f"),H20," ")</f>
        <v> </v>
      </c>
      <c r="AF20" s="17" t="str">
        <f aca="false">IF((E20="l"),H20," ")</f>
        <v> </v>
      </c>
      <c r="AG20" s="17" t="str">
        <f aca="false">IF((E20="y"),H20," ")</f>
        <v> </v>
      </c>
      <c r="AH20" s="17" t="str">
        <f aca="false">IF((E20="z"),H20," ")</f>
        <v> </v>
      </c>
      <c r="AI20" s="17" t="str">
        <f aca="false">IF((E20="fa"),H20," ")</f>
        <v> </v>
      </c>
      <c r="AJ20" s="17" t="str">
        <f aca="false">IF((E20="e"),H20," ")</f>
        <v> </v>
      </c>
      <c r="BZ20" s="2" t="s">
        <v>123</v>
      </c>
    </row>
    <row r="21" customFormat="false" ht="12" hidden="false" customHeight="false" outlineLevel="0" collapsed="false">
      <c r="A21" s="28" t="n">
        <v>46430</v>
      </c>
      <c r="B21" s="2" t="s">
        <v>124</v>
      </c>
      <c r="D21" s="2" t="s">
        <v>125</v>
      </c>
      <c r="E21" s="2" t="s">
        <v>106</v>
      </c>
      <c r="F21" s="30" t="n">
        <v>18</v>
      </c>
      <c r="G21" s="6" t="n">
        <f aca="false">IF(F21&lt;&gt;0,F21*G$2/(100+G$2)," ")</f>
        <v>3</v>
      </c>
      <c r="H21" s="6" t="n">
        <f aca="false">IF((F21&lt;&gt;0),F21-G21," ")</f>
        <v>15</v>
      </c>
      <c r="I21" s="5"/>
      <c r="L21" s="7" t="n">
        <f aca="false">IF(F21&lt;&gt;0,F21-K21," ")</f>
        <v>18</v>
      </c>
      <c r="M21" s="8" t="n">
        <f aca="false">IF((F21-K21)&lt;&gt;0,M$1-A21," ")</f>
        <v>-152</v>
      </c>
      <c r="N21" s="5"/>
      <c r="O21" s="17" t="str">
        <f aca="false">IF((E21="s"),H21," ")</f>
        <v> </v>
      </c>
      <c r="P21" s="17" t="str">
        <f aca="false">IF((E21="c"),H21," ")</f>
        <v> </v>
      </c>
      <c r="Q21" s="17" t="str">
        <f aca="false">IF((E21="o"),H21," ")</f>
        <v> </v>
      </c>
      <c r="R21" s="17" t="str">
        <f aca="false">IF((E21="d"),H21," ")</f>
        <v> </v>
      </c>
      <c r="S21" s="17" t="str">
        <f aca="false">IF((E21="w"),H21," ")</f>
        <v> </v>
      </c>
      <c r="T21" s="17" t="str">
        <f aca="false">IF((E21="r"),H21," ")</f>
        <v> </v>
      </c>
      <c r="U21" s="17" t="str">
        <f aca="false">IF((E21="p"),H21," ")</f>
        <v> </v>
      </c>
      <c r="V21" s="17" t="str">
        <f aca="false">IF((E21="t"),H21," ")</f>
        <v> </v>
      </c>
      <c r="W21" s="17" t="str">
        <f aca="false">IF((E21="q"),H21," ")</f>
        <v> </v>
      </c>
      <c r="X21" s="17" t="str">
        <f aca="false">IF((E21="m"),H21," ")</f>
        <v> </v>
      </c>
      <c r="Y21" s="17" t="str">
        <f aca="false">IF((E21="u"),H21," ")</f>
        <v> </v>
      </c>
      <c r="Z21" s="17" t="str">
        <f aca="false">IF((E21="a"),H21," ")</f>
        <v> </v>
      </c>
      <c r="AA21" s="17" t="str">
        <f aca="false">IF((E21="g"),H21," ")</f>
        <v> </v>
      </c>
      <c r="AB21" s="17" t="str">
        <f aca="false">IF((E21="h"),H21," ")</f>
        <v> </v>
      </c>
      <c r="AC21" s="30" t="n">
        <f aca="false">IF((E21="v"),H21," ")</f>
        <v>15</v>
      </c>
      <c r="AD21" s="30" t="str">
        <f aca="false">IF((E21="n"),H21," ")</f>
        <v> </v>
      </c>
      <c r="AE21" s="17" t="str">
        <f aca="false">IF((E21="f"),H21," ")</f>
        <v> </v>
      </c>
      <c r="AF21" s="17" t="str">
        <f aca="false">IF((E21="l"),H21," ")</f>
        <v> </v>
      </c>
      <c r="AG21" s="17" t="str">
        <f aca="false">IF((E21="y"),H21," ")</f>
        <v> </v>
      </c>
      <c r="AH21" s="17" t="str">
        <f aca="false">IF((E21="z"),H21," ")</f>
        <v> </v>
      </c>
      <c r="AI21" s="17" t="str">
        <f aca="false">IF((E21="fa"),H21," ")</f>
        <v> </v>
      </c>
      <c r="AJ21" s="17" t="str">
        <f aca="false">IF((E21="e"),H21," ")</f>
        <v> </v>
      </c>
      <c r="BZ21" s="2" t="s">
        <v>107</v>
      </c>
    </row>
    <row r="22" customFormat="false" ht="12" hidden="false" customHeight="false" outlineLevel="0" collapsed="false">
      <c r="A22" s="28" t="n">
        <v>46430</v>
      </c>
      <c r="B22" s="2" t="s">
        <v>210</v>
      </c>
      <c r="D22" s="2" t="s">
        <v>211</v>
      </c>
      <c r="E22" s="2" t="s">
        <v>157</v>
      </c>
      <c r="F22" s="30" t="n">
        <v>480</v>
      </c>
      <c r="G22" s="6" t="n">
        <f aca="false">IF(F22&lt;&gt;0,F22*G$2/(100+G$2)," ")</f>
        <v>80</v>
      </c>
      <c r="H22" s="6" t="n">
        <f aca="false">IF((F22&lt;&gt;0),F22-G22," ")</f>
        <v>400</v>
      </c>
      <c r="I22" s="5"/>
      <c r="L22" s="7" t="n">
        <f aca="false">IF(F22&lt;&gt;0,F22-K22," ")</f>
        <v>480</v>
      </c>
      <c r="M22" s="8" t="n">
        <f aca="false">IF((F22-K22)&lt;&gt;0,M$1-A22," ")</f>
        <v>-152</v>
      </c>
      <c r="N22" s="5"/>
      <c r="O22" s="17" t="str">
        <f aca="false">IF((E22="s"),H22," ")</f>
        <v> </v>
      </c>
      <c r="P22" s="17" t="str">
        <f aca="false">IF((E22="c"),H22," ")</f>
        <v> </v>
      </c>
      <c r="Q22" s="17" t="str">
        <f aca="false">IF((E22="o"),H22," ")</f>
        <v> </v>
      </c>
      <c r="R22" s="17" t="str">
        <f aca="false">IF((E22="d"),H22," ")</f>
        <v> </v>
      </c>
      <c r="S22" s="17" t="str">
        <f aca="false">IF((E22="w"),H22," ")</f>
        <v> </v>
      </c>
      <c r="T22" s="17" t="str">
        <f aca="false">IF((E22="r"),H22," ")</f>
        <v> </v>
      </c>
      <c r="U22" s="17" t="str">
        <f aca="false">IF((E22="p"),H22," ")</f>
        <v> </v>
      </c>
      <c r="V22" s="17" t="str">
        <f aca="false">IF((E22="t"),H22," ")</f>
        <v> </v>
      </c>
      <c r="W22" s="17" t="n">
        <f aca="false">IF((E22="q"),H22," ")</f>
        <v>400</v>
      </c>
      <c r="X22" s="17" t="str">
        <f aca="false">IF((E22="m"),H22," ")</f>
        <v> </v>
      </c>
      <c r="Y22" s="17" t="str">
        <f aca="false">IF((E22="u"),H22," ")</f>
        <v> </v>
      </c>
      <c r="Z22" s="17" t="str">
        <f aca="false">IF((E22="a"),H22," ")</f>
        <v> </v>
      </c>
      <c r="AA22" s="17" t="str">
        <f aca="false">IF((E22="g"),H22," ")</f>
        <v> </v>
      </c>
      <c r="AB22" s="17" t="str">
        <f aca="false">IF((E22="h"),H22," ")</f>
        <v> </v>
      </c>
      <c r="AC22" s="30" t="str">
        <f aca="false">IF((E22="v"),H22," ")</f>
        <v> </v>
      </c>
      <c r="AD22" s="30" t="str">
        <f aca="false">IF((E22="n"),H22," ")</f>
        <v> </v>
      </c>
      <c r="AE22" s="17" t="str">
        <f aca="false">IF((E22="f"),H22," ")</f>
        <v> </v>
      </c>
      <c r="AF22" s="17" t="str">
        <f aca="false">IF((E22="l"),H22," ")</f>
        <v> </v>
      </c>
      <c r="AG22" s="17" t="str">
        <f aca="false">IF((E22="y"),H22," ")</f>
        <v> </v>
      </c>
      <c r="AH22" s="17" t="str">
        <f aca="false">IF((E22="z"),H22," ")</f>
        <v> </v>
      </c>
      <c r="AI22" s="17" t="str">
        <f aca="false">IF((E22="fa"),H22," ")</f>
        <v> </v>
      </c>
      <c r="AJ22" s="17" t="str">
        <f aca="false">IF((E22="e"),H22," ")</f>
        <v> </v>
      </c>
      <c r="BZ22" s="2" t="s">
        <v>158</v>
      </c>
    </row>
    <row r="23" customFormat="false" ht="12" hidden="false" customHeight="false" outlineLevel="0" collapsed="false">
      <c r="A23" s="28" t="n">
        <v>46432</v>
      </c>
      <c r="B23" s="2" t="s">
        <v>128</v>
      </c>
      <c r="D23" s="2" t="s">
        <v>129</v>
      </c>
      <c r="E23" s="2" t="s">
        <v>112</v>
      </c>
      <c r="F23" s="30" t="n">
        <v>24</v>
      </c>
      <c r="G23" s="6" t="n">
        <f aca="false">IF(F23&lt;&gt;0,F23*G$2/(100+G$2)," ")</f>
        <v>4</v>
      </c>
      <c r="H23" s="6" t="n">
        <f aca="false">IF((F23&lt;&gt;0),F23-G23," ")</f>
        <v>20</v>
      </c>
      <c r="I23" s="5"/>
      <c r="L23" s="7" t="n">
        <f aca="false">IF(F23&lt;&gt;0,F23-K23," ")</f>
        <v>24</v>
      </c>
      <c r="M23" s="8" t="n">
        <f aca="false">IF((F23-K23)&lt;&gt;0,M$1-A23," ")</f>
        <v>-154</v>
      </c>
      <c r="N23" s="5"/>
      <c r="O23" s="17" t="str">
        <f aca="false">IF((E23="s"),H23," ")</f>
        <v> </v>
      </c>
      <c r="P23" s="17" t="str">
        <f aca="false">IF((E23="c"),H23," ")</f>
        <v> </v>
      </c>
      <c r="Q23" s="17" t="str">
        <f aca="false">IF((E23="o"),H23," ")</f>
        <v> </v>
      </c>
      <c r="R23" s="17" t="str">
        <f aca="false">IF((E23="d"),H23," ")</f>
        <v> </v>
      </c>
      <c r="S23" s="17" t="str">
        <f aca="false">IF((E23="w"),H23," ")</f>
        <v> </v>
      </c>
      <c r="T23" s="17" t="str">
        <f aca="false">IF((E23="r"),H23," ")</f>
        <v> </v>
      </c>
      <c r="U23" s="17" t="str">
        <f aca="false">IF((E23="p"),H23," ")</f>
        <v> </v>
      </c>
      <c r="V23" s="17" t="str">
        <f aca="false">IF((E23="t"),H23," ")</f>
        <v> </v>
      </c>
      <c r="W23" s="17" t="str">
        <f aca="false">IF((E23="q"),H23," ")</f>
        <v> </v>
      </c>
      <c r="X23" s="17" t="str">
        <f aca="false">IF((E23="m"),H23," ")</f>
        <v> </v>
      </c>
      <c r="Y23" s="17" t="str">
        <f aca="false">IF((E23="u"),H23," ")</f>
        <v> </v>
      </c>
      <c r="Z23" s="17" t="str">
        <f aca="false">IF((E23="a"),H23," ")</f>
        <v> </v>
      </c>
      <c r="AA23" s="17" t="str">
        <f aca="false">IF((E23="g"),H23," ")</f>
        <v> </v>
      </c>
      <c r="AB23" s="17" t="n">
        <f aca="false">IF((E23="h"),H23," ")</f>
        <v>20</v>
      </c>
      <c r="AC23" s="30" t="str">
        <f aca="false">IF((E23="v"),H23," ")</f>
        <v> </v>
      </c>
      <c r="AD23" s="30" t="str">
        <f aca="false">IF((E23="n"),H23," ")</f>
        <v> </v>
      </c>
      <c r="AE23" s="17" t="str">
        <f aca="false">IF((E23="f"),H23," ")</f>
        <v> </v>
      </c>
      <c r="AF23" s="17" t="str">
        <f aca="false">IF((E23="l"),H23," ")</f>
        <v> </v>
      </c>
      <c r="AG23" s="17" t="str">
        <f aca="false">IF((E23="y"),H23," ")</f>
        <v> </v>
      </c>
      <c r="AH23" s="17" t="str">
        <f aca="false">IF((E23="z"),H23," ")</f>
        <v> </v>
      </c>
      <c r="AI23" s="17" t="str">
        <f aca="false">IF((E23="fa"),H23," ")</f>
        <v> </v>
      </c>
      <c r="AJ23" s="17" t="str">
        <f aca="false">IF((E23="e"),H23," ")</f>
        <v> </v>
      </c>
      <c r="BZ23" s="2" t="s">
        <v>113</v>
      </c>
    </row>
    <row r="24" customFormat="false" ht="12" hidden="false" customHeight="false" outlineLevel="0" collapsed="false">
      <c r="A24" s="28" t="n">
        <v>46432</v>
      </c>
      <c r="B24" s="2" t="s">
        <v>130</v>
      </c>
      <c r="D24" s="2" t="s">
        <v>131</v>
      </c>
      <c r="E24" s="2" t="s">
        <v>112</v>
      </c>
      <c r="F24" s="30" t="n">
        <v>12</v>
      </c>
      <c r="G24" s="6" t="n">
        <f aca="false">IF(F24&lt;&gt;0,F24*G$2/(100+G$2)," ")</f>
        <v>2</v>
      </c>
      <c r="H24" s="6" t="n">
        <f aca="false">IF((F24&lt;&gt;0),F24-G24," ")</f>
        <v>10</v>
      </c>
      <c r="I24" s="5"/>
      <c r="L24" s="7" t="n">
        <f aca="false">IF(F24&lt;&gt;0,F24-K24," ")</f>
        <v>12</v>
      </c>
      <c r="M24" s="8" t="n">
        <f aca="false">IF((F24-K24)&lt;&gt;0,M$1-A24," ")</f>
        <v>-154</v>
      </c>
      <c r="N24" s="5"/>
      <c r="O24" s="17" t="str">
        <f aca="false">IF((E24="s"),H24," ")</f>
        <v> </v>
      </c>
      <c r="P24" s="17" t="str">
        <f aca="false">IF((E24="c"),H24," ")</f>
        <v> </v>
      </c>
      <c r="Q24" s="17" t="str">
        <f aca="false">IF((E24="o"),H24," ")</f>
        <v> </v>
      </c>
      <c r="R24" s="17" t="str">
        <f aca="false">IF((E24="d"),H24," ")</f>
        <v> </v>
      </c>
      <c r="S24" s="17" t="str">
        <f aca="false">IF((E24="w"),H24," ")</f>
        <v> </v>
      </c>
      <c r="T24" s="17" t="str">
        <f aca="false">IF((E24="r"),H24," ")</f>
        <v> </v>
      </c>
      <c r="U24" s="17" t="str">
        <f aca="false">IF((E24="p"),H24," ")</f>
        <v> </v>
      </c>
      <c r="V24" s="17" t="str">
        <f aca="false">IF((E24="t"),H24," ")</f>
        <v> </v>
      </c>
      <c r="W24" s="17" t="str">
        <f aca="false">IF((E24="q"),H24," ")</f>
        <v> </v>
      </c>
      <c r="X24" s="17" t="str">
        <f aca="false">IF((E24="m"),H24," ")</f>
        <v> </v>
      </c>
      <c r="Y24" s="17" t="str">
        <f aca="false">IF((E24="u"),H24," ")</f>
        <v> </v>
      </c>
      <c r="Z24" s="17" t="str">
        <f aca="false">IF((E24="a"),H24," ")</f>
        <v> </v>
      </c>
      <c r="AA24" s="17" t="str">
        <f aca="false">IF((E24="g"),H24," ")</f>
        <v> </v>
      </c>
      <c r="AB24" s="17" t="n">
        <f aca="false">IF((E24="h"),H24," ")</f>
        <v>10</v>
      </c>
      <c r="AC24" s="30" t="str">
        <f aca="false">IF((E24="v"),H24," ")</f>
        <v> </v>
      </c>
      <c r="AD24" s="30" t="str">
        <f aca="false">IF((E24="n"),H24," ")</f>
        <v> </v>
      </c>
      <c r="AE24" s="17" t="str">
        <f aca="false">IF((E24="f"),H24," ")</f>
        <v> </v>
      </c>
      <c r="AF24" s="17" t="str">
        <f aca="false">IF((E24="l"),H24," ")</f>
        <v> </v>
      </c>
      <c r="AG24" s="17" t="str">
        <f aca="false">IF((E24="y"),H24," ")</f>
        <v> </v>
      </c>
      <c r="AH24" s="17" t="str">
        <f aca="false">IF((E24="z"),H24," ")</f>
        <v> </v>
      </c>
      <c r="AI24" s="17" t="str">
        <f aca="false">IF((E24="fa"),H24," ")</f>
        <v> </v>
      </c>
      <c r="AJ24" s="17" t="str">
        <f aca="false">IF((E24="e"),H24," ")</f>
        <v> </v>
      </c>
      <c r="BZ24" s="2" t="s">
        <v>113</v>
      </c>
    </row>
    <row r="25" customFormat="false" ht="12" hidden="false" customHeight="false" outlineLevel="0" collapsed="false">
      <c r="A25" s="28" t="n">
        <v>46433</v>
      </c>
      <c r="B25" s="2" t="s">
        <v>20</v>
      </c>
      <c r="D25" s="2" t="s">
        <v>105</v>
      </c>
      <c r="E25" s="2" t="s">
        <v>106</v>
      </c>
      <c r="F25" s="30" t="n">
        <v>150</v>
      </c>
      <c r="G25" s="6" t="n">
        <f aca="false">IF(F25&lt;&gt;0,F25*G$2/(100+G$2)," ")</f>
        <v>25</v>
      </c>
      <c r="H25" s="6" t="n">
        <f aca="false">IF((F25&lt;&gt;0),F25-G25," ")</f>
        <v>125</v>
      </c>
      <c r="I25" s="5"/>
      <c r="L25" s="7" t="n">
        <f aca="false">IF(F25&lt;&gt;0,F25-K25," ")</f>
        <v>150</v>
      </c>
      <c r="M25" s="8" t="n">
        <f aca="false">IF((F25-K25)&lt;&gt;0,M$1-A25," ")</f>
        <v>-155</v>
      </c>
      <c r="N25" s="5"/>
      <c r="O25" s="17" t="str">
        <f aca="false">IF((E25="s"),H25," ")</f>
        <v> </v>
      </c>
      <c r="P25" s="17" t="str">
        <f aca="false">IF((E25="c"),H25," ")</f>
        <v> </v>
      </c>
      <c r="Q25" s="17" t="str">
        <f aca="false">IF((E25="o"),H25," ")</f>
        <v> </v>
      </c>
      <c r="R25" s="17" t="str">
        <f aca="false">IF((E25="d"),H25," ")</f>
        <v> </v>
      </c>
      <c r="S25" s="17" t="str">
        <f aca="false">IF((E25="w"),H25," ")</f>
        <v> </v>
      </c>
      <c r="T25" s="17" t="str">
        <f aca="false">IF((E25="r"),H25," ")</f>
        <v> </v>
      </c>
      <c r="U25" s="17" t="str">
        <f aca="false">IF((E25="p"),H25," ")</f>
        <v> </v>
      </c>
      <c r="V25" s="17" t="str">
        <f aca="false">IF((E25="t"),H25," ")</f>
        <v> </v>
      </c>
      <c r="W25" s="17" t="str">
        <f aca="false">IF((E25="q"),H25," ")</f>
        <v> </v>
      </c>
      <c r="X25" s="17" t="str">
        <f aca="false">IF((E25="m"),H25," ")</f>
        <v> </v>
      </c>
      <c r="Y25" s="17" t="str">
        <f aca="false">IF((E25="u"),H25," ")</f>
        <v> </v>
      </c>
      <c r="Z25" s="17" t="str">
        <f aca="false">IF((E25="a"),H25," ")</f>
        <v> </v>
      </c>
      <c r="AA25" s="17" t="str">
        <f aca="false">IF((E25="g"),H25," ")</f>
        <v> </v>
      </c>
      <c r="AB25" s="17" t="str">
        <f aca="false">IF((E25="h"),H25," ")</f>
        <v> </v>
      </c>
      <c r="AC25" s="30" t="n">
        <f aca="false">IF((E25="v"),H25," ")</f>
        <v>125</v>
      </c>
      <c r="AD25" s="30" t="str">
        <f aca="false">IF((E25="n"),H25," ")</f>
        <v> </v>
      </c>
      <c r="AE25" s="17" t="str">
        <f aca="false">IF((E25="f"),H25," ")</f>
        <v> </v>
      </c>
      <c r="AF25" s="17" t="str">
        <f aca="false">IF((E25="l"),H25," ")</f>
        <v> </v>
      </c>
      <c r="AG25" s="17" t="str">
        <f aca="false">IF((E25="y"),H25," ")</f>
        <v> </v>
      </c>
      <c r="AH25" s="17" t="str">
        <f aca="false">IF((E25="z"),H25," ")</f>
        <v> </v>
      </c>
      <c r="AI25" s="17" t="str">
        <f aca="false">IF((E25="fa"),H25," ")</f>
        <v> </v>
      </c>
      <c r="AJ25" s="17" t="str">
        <f aca="false">IF((E25="e"),H25," ")</f>
        <v> </v>
      </c>
      <c r="BZ25" s="2" t="s">
        <v>107</v>
      </c>
    </row>
    <row r="26" customFormat="false" ht="12" hidden="false" customHeight="false" outlineLevel="0" collapsed="false">
      <c r="A26" s="28" t="n">
        <v>46433</v>
      </c>
      <c r="B26" s="2" t="s">
        <v>132</v>
      </c>
      <c r="D26" s="2" t="s">
        <v>133</v>
      </c>
      <c r="E26" s="2" t="s">
        <v>80</v>
      </c>
      <c r="F26" s="30" t="n">
        <v>12</v>
      </c>
      <c r="G26" s="6" t="n">
        <f aca="false">IF(F26&lt;&gt;0,F26*G$2/(100+G$2)," ")</f>
        <v>2</v>
      </c>
      <c r="H26" s="6" t="n">
        <f aca="false">IF((F26&lt;&gt;0),F26-G26," ")</f>
        <v>10</v>
      </c>
      <c r="I26" s="5"/>
      <c r="L26" s="7" t="n">
        <f aca="false">IF(F26&lt;&gt;0,F26-K26," ")</f>
        <v>12</v>
      </c>
      <c r="M26" s="8" t="n">
        <f aca="false">IF((F26-K26)&lt;&gt;0,M$1-A26," ")</f>
        <v>-155</v>
      </c>
      <c r="N26" s="5"/>
      <c r="O26" s="17" t="str">
        <f aca="false">IF((E26="s"),H26," ")</f>
        <v> </v>
      </c>
      <c r="P26" s="17" t="str">
        <f aca="false">IF((E26="c"),H26," ")</f>
        <v> </v>
      </c>
      <c r="Q26" s="17" t="str">
        <f aca="false">IF((E26="o"),H26," ")</f>
        <v> </v>
      </c>
      <c r="R26" s="17" t="str">
        <f aca="false">IF((E26="d"),H26," ")</f>
        <v> </v>
      </c>
      <c r="S26" s="17" t="str">
        <f aca="false">IF((E26="w"),H26," ")</f>
        <v> </v>
      </c>
      <c r="T26" s="17" t="str">
        <f aca="false">IF((E26="r"),H26," ")</f>
        <v> </v>
      </c>
      <c r="U26" s="17" t="str">
        <f aca="false">IF((E26="p"),H26," ")</f>
        <v> </v>
      </c>
      <c r="V26" s="17" t="str">
        <f aca="false">IF((E26="t"),H26," ")</f>
        <v> </v>
      </c>
      <c r="W26" s="17" t="str">
        <f aca="false">IF((E26="q"),H26," ")</f>
        <v> </v>
      </c>
      <c r="X26" s="17" t="str">
        <f aca="false">IF((E26="m"),H26," ")</f>
        <v> </v>
      </c>
      <c r="Y26" s="17" t="str">
        <f aca="false">IF((E26="u"),H26," ")</f>
        <v> </v>
      </c>
      <c r="Z26" s="17" t="str">
        <f aca="false">IF((E26="a"),H26," ")</f>
        <v> </v>
      </c>
      <c r="AA26" s="17" t="n">
        <f aca="false">IF((E26="g"),H26," ")</f>
        <v>10</v>
      </c>
      <c r="AB26" s="17" t="str">
        <f aca="false">IF((E26="h"),H26," ")</f>
        <v> </v>
      </c>
      <c r="AC26" s="30" t="str">
        <f aca="false">IF((E26="v"),H26," ")</f>
        <v> </v>
      </c>
      <c r="AD26" s="30" t="str">
        <f aca="false">IF((E26="n"),H26," ")</f>
        <v> </v>
      </c>
      <c r="AE26" s="17" t="str">
        <f aca="false">IF((E26="f"),H26," ")</f>
        <v> </v>
      </c>
      <c r="AF26" s="17" t="str">
        <f aca="false">IF((E26="l"),H26," ")</f>
        <v> </v>
      </c>
      <c r="AG26" s="17" t="str">
        <f aca="false">IF((E26="y"),H26," ")</f>
        <v> </v>
      </c>
      <c r="AH26" s="17" t="str">
        <f aca="false">IF((E26="z"),H26," ")</f>
        <v> </v>
      </c>
      <c r="AI26" s="17" t="str">
        <f aca="false">IF((E26="fa"),H26," ")</f>
        <v> </v>
      </c>
      <c r="AJ26" s="17" t="str">
        <f aca="false">IF((E26="e"),H26," ")</f>
        <v> </v>
      </c>
      <c r="BZ26" s="2" t="s">
        <v>81</v>
      </c>
    </row>
    <row r="27" customFormat="false" ht="12" hidden="false" customHeight="false" outlineLevel="0" collapsed="false">
      <c r="A27" s="28" t="n">
        <v>46433</v>
      </c>
      <c r="B27" s="2" t="s">
        <v>212</v>
      </c>
      <c r="C27" s="3" t="s">
        <v>213</v>
      </c>
      <c r="D27" s="2" t="s">
        <v>214</v>
      </c>
      <c r="E27" s="2" t="s">
        <v>168</v>
      </c>
      <c r="F27" s="30" t="n">
        <v>1200</v>
      </c>
      <c r="G27" s="6" t="n">
        <f aca="false">IF(F27&lt;&gt;0,F27*G$2/(100+G$2)," ")</f>
        <v>200</v>
      </c>
      <c r="H27" s="6" t="n">
        <f aca="false">IF((F27&lt;&gt;0),F27-G27," ")</f>
        <v>1000</v>
      </c>
      <c r="I27" s="5"/>
      <c r="L27" s="7" t="n">
        <f aca="false">IF(F27&lt;&gt;0,F27-K27," ")</f>
        <v>1200</v>
      </c>
      <c r="M27" s="8" t="n">
        <f aca="false">IF((F27-K27)&lt;&gt;0,M$1-A27," ")</f>
        <v>-155</v>
      </c>
      <c r="N27" s="5"/>
      <c r="O27" s="17" t="str">
        <f aca="false">IF((E27="s"),H27," ")</f>
        <v> </v>
      </c>
      <c r="P27" s="17" t="str">
        <f aca="false">IF((E27="c"),H27," ")</f>
        <v> </v>
      </c>
      <c r="Q27" s="17" t="str">
        <f aca="false">IF((E27="o"),H27," ")</f>
        <v> </v>
      </c>
      <c r="R27" s="17" t="str">
        <f aca="false">IF((E27="d"),H27," ")</f>
        <v> </v>
      </c>
      <c r="S27" s="17" t="str">
        <f aca="false">IF((E27="w"),H27," ")</f>
        <v> </v>
      </c>
      <c r="T27" s="17" t="str">
        <f aca="false">IF((E27="r"),H27," ")</f>
        <v> </v>
      </c>
      <c r="U27" s="17" t="str">
        <f aca="false">IF((E27="p"),H27," ")</f>
        <v> </v>
      </c>
      <c r="V27" s="17" t="str">
        <f aca="false">IF((E27="t"),H27," ")</f>
        <v> </v>
      </c>
      <c r="W27" s="17" t="str">
        <f aca="false">IF((E27="q"),H27," ")</f>
        <v> </v>
      </c>
      <c r="X27" s="17" t="str">
        <f aca="false">IF((E27="m"),H27," ")</f>
        <v> </v>
      </c>
      <c r="Y27" s="17" t="str">
        <f aca="false">IF((E27="u"),H27," ")</f>
        <v> </v>
      </c>
      <c r="Z27" s="17" t="str">
        <f aca="false">IF((E27="a"),H27," ")</f>
        <v> </v>
      </c>
      <c r="AA27" s="17" t="str">
        <f aca="false">IF((E27="g"),H27," ")</f>
        <v> </v>
      </c>
      <c r="AB27" s="17" t="str">
        <f aca="false">IF((E27="h"),H27," ")</f>
        <v> </v>
      </c>
      <c r="AC27" s="30" t="str">
        <f aca="false">IF((E27="v"),H27," ")</f>
        <v> </v>
      </c>
      <c r="AD27" s="30" t="str">
        <f aca="false">IF((E27="n"),H27," ")</f>
        <v> </v>
      </c>
      <c r="AE27" s="17" t="str">
        <f aca="false">IF((E27="f"),H27," ")</f>
        <v> </v>
      </c>
      <c r="AF27" s="17" t="str">
        <f aca="false">IF((E27="l"),H27," ")</f>
        <v> </v>
      </c>
      <c r="AG27" s="17" t="str">
        <f aca="false">IF((E27="y"),H27," ")</f>
        <v> </v>
      </c>
      <c r="AH27" s="17" t="str">
        <f aca="false">IF((E27="z"),H27," ")</f>
        <v> </v>
      </c>
      <c r="AI27" s="17" t="n">
        <f aca="false">IF((E27="fa"),H27," ")</f>
        <v>1000</v>
      </c>
      <c r="AJ27" s="17" t="str">
        <f aca="false">IF((E27="e"),H27," ")</f>
        <v> </v>
      </c>
      <c r="BZ27" s="2" t="s">
        <v>169</v>
      </c>
    </row>
    <row r="28" customFormat="false" ht="12" hidden="false" customHeight="false" outlineLevel="0" collapsed="false">
      <c r="A28" s="28" t="n">
        <v>46434</v>
      </c>
      <c r="B28" s="2" t="s">
        <v>170</v>
      </c>
      <c r="D28" s="2" t="s">
        <v>171</v>
      </c>
      <c r="E28" s="2" t="s">
        <v>80</v>
      </c>
      <c r="F28" s="30" t="n">
        <v>24</v>
      </c>
      <c r="G28" s="6" t="n">
        <f aca="false">IF(F28&lt;&gt;0,F28*G$2/(100+G$2)," ")</f>
        <v>4</v>
      </c>
      <c r="H28" s="6" t="n">
        <f aca="false">IF((F28&lt;&gt;0),F28-G28," ")</f>
        <v>20</v>
      </c>
      <c r="I28" s="5"/>
      <c r="L28" s="7" t="n">
        <f aca="false">IF(F28&lt;&gt;0,F28-K28," ")</f>
        <v>24</v>
      </c>
      <c r="M28" s="8" t="n">
        <f aca="false">IF((F28-K28)&lt;&gt;0,M$1-A28," ")</f>
        <v>-156</v>
      </c>
      <c r="N28" s="5"/>
      <c r="O28" s="17" t="str">
        <f aca="false">IF((E28="s"),H28," ")</f>
        <v> </v>
      </c>
      <c r="P28" s="17" t="str">
        <f aca="false">IF((E28="c"),H28," ")</f>
        <v> </v>
      </c>
      <c r="Q28" s="17" t="str">
        <f aca="false">IF((E28="o"),H28," ")</f>
        <v> </v>
      </c>
      <c r="R28" s="17" t="str">
        <f aca="false">IF((E28="d"),H28," ")</f>
        <v> </v>
      </c>
      <c r="S28" s="17" t="str">
        <f aca="false">IF((E28="w"),H28," ")</f>
        <v> </v>
      </c>
      <c r="T28" s="17" t="str">
        <f aca="false">IF((E28="r"),H28," ")</f>
        <v> </v>
      </c>
      <c r="U28" s="17" t="str">
        <f aca="false">IF((E28="p"),H28," ")</f>
        <v> </v>
      </c>
      <c r="V28" s="17" t="str">
        <f aca="false">IF((E28="t"),H28," ")</f>
        <v> </v>
      </c>
      <c r="W28" s="17" t="str">
        <f aca="false">IF((E28="q"),H28," ")</f>
        <v> </v>
      </c>
      <c r="X28" s="17" t="str">
        <f aca="false">IF((E28="m"),H28," ")</f>
        <v> </v>
      </c>
      <c r="Y28" s="17" t="str">
        <f aca="false">IF((E28="u"),H28," ")</f>
        <v> </v>
      </c>
      <c r="Z28" s="17" t="str">
        <f aca="false">IF((E28="a"),H28," ")</f>
        <v> </v>
      </c>
      <c r="AA28" s="17" t="n">
        <f aca="false">IF((E28="g"),H28," ")</f>
        <v>20</v>
      </c>
      <c r="AB28" s="17" t="str">
        <f aca="false">IF((E28="h"),H28," ")</f>
        <v> </v>
      </c>
      <c r="AC28" s="30" t="str">
        <f aca="false">IF((E28="v"),H28," ")</f>
        <v> </v>
      </c>
      <c r="AD28" s="30" t="str">
        <f aca="false">IF((E28="n"),H28," ")</f>
        <v> </v>
      </c>
      <c r="AE28" s="17" t="str">
        <f aca="false">IF((E28="f"),H28," ")</f>
        <v> </v>
      </c>
      <c r="AF28" s="17" t="str">
        <f aca="false">IF((E28="l"),H28," ")</f>
        <v> </v>
      </c>
      <c r="AG28" s="17" t="str">
        <f aca="false">IF((E28="y"),H28," ")</f>
        <v> </v>
      </c>
      <c r="AH28" s="17" t="str">
        <f aca="false">IF((E28="z"),H28," ")</f>
        <v> </v>
      </c>
      <c r="AI28" s="17" t="str">
        <f aca="false">IF((E28="fa"),H28," ")</f>
        <v> </v>
      </c>
      <c r="AJ28" s="17" t="str">
        <f aca="false">IF((E28="e"),H28," ")</f>
        <v> </v>
      </c>
      <c r="BZ28" s="2" t="s">
        <v>81</v>
      </c>
    </row>
    <row r="29" customFormat="false" ht="12" hidden="false" customHeight="false" outlineLevel="0" collapsed="false">
      <c r="A29" s="28" t="n">
        <v>46436</v>
      </c>
      <c r="B29" s="2" t="s">
        <v>134</v>
      </c>
      <c r="D29" s="2" t="s">
        <v>105</v>
      </c>
      <c r="E29" s="2" t="s">
        <v>106</v>
      </c>
      <c r="F29" s="30" t="n">
        <v>96</v>
      </c>
      <c r="G29" s="6" t="n">
        <f aca="false">IF(F29&lt;&gt;0,F29*G$2/(100+G$2)," ")</f>
        <v>16</v>
      </c>
      <c r="H29" s="6" t="n">
        <f aca="false">IF((F29&lt;&gt;0),F29-G29," ")</f>
        <v>80</v>
      </c>
      <c r="I29" s="5"/>
      <c r="L29" s="7" t="n">
        <f aca="false">IF(F29&lt;&gt;0,F29-K29," ")</f>
        <v>96</v>
      </c>
      <c r="M29" s="8" t="n">
        <f aca="false">IF((F29-K29)&lt;&gt;0,M$1-A29," ")</f>
        <v>-158</v>
      </c>
      <c r="N29" s="5"/>
      <c r="O29" s="17" t="str">
        <f aca="false">IF((E29="s"),H29," ")</f>
        <v> </v>
      </c>
      <c r="P29" s="17" t="str">
        <f aca="false">IF((E29="c"),H29," ")</f>
        <v> </v>
      </c>
      <c r="Q29" s="17" t="str">
        <f aca="false">IF((E29="o"),H29," ")</f>
        <v> </v>
      </c>
      <c r="R29" s="17" t="str">
        <f aca="false">IF((E29="d"),H29," ")</f>
        <v> </v>
      </c>
      <c r="S29" s="17" t="str">
        <f aca="false">IF((E29="w"),H29," ")</f>
        <v> </v>
      </c>
      <c r="T29" s="17" t="str">
        <f aca="false">IF((E29="r"),H29," ")</f>
        <v> </v>
      </c>
      <c r="U29" s="17" t="str">
        <f aca="false">IF((E29="p"),H29," ")</f>
        <v> </v>
      </c>
      <c r="V29" s="17" t="str">
        <f aca="false">IF((E29="t"),H29," ")</f>
        <v> </v>
      </c>
      <c r="W29" s="17" t="str">
        <f aca="false">IF((E29="q"),H29," ")</f>
        <v> </v>
      </c>
      <c r="X29" s="17" t="str">
        <f aca="false">IF((E29="m"),H29," ")</f>
        <v> </v>
      </c>
      <c r="Y29" s="17" t="str">
        <f aca="false">IF((E29="u"),H29," ")</f>
        <v> </v>
      </c>
      <c r="Z29" s="17" t="str">
        <f aca="false">IF((E29="a"),H29," ")</f>
        <v> </v>
      </c>
      <c r="AA29" s="17" t="str">
        <f aca="false">IF((E29="g"),H29," ")</f>
        <v> </v>
      </c>
      <c r="AB29" s="17" t="str">
        <f aca="false">IF((E29="h"),H29," ")</f>
        <v> </v>
      </c>
      <c r="AC29" s="30" t="n">
        <f aca="false">IF((E29="v"),H29," ")</f>
        <v>80</v>
      </c>
      <c r="AD29" s="30" t="str">
        <f aca="false">IF((E29="n"),H29," ")</f>
        <v> </v>
      </c>
      <c r="AE29" s="17" t="str">
        <f aca="false">IF((E29="f"),H29," ")</f>
        <v> </v>
      </c>
      <c r="AF29" s="17" t="str">
        <f aca="false">IF((E29="l"),H29," ")</f>
        <v> </v>
      </c>
      <c r="AG29" s="17" t="str">
        <f aca="false">IF((E29="y"),H29," ")</f>
        <v> </v>
      </c>
      <c r="AH29" s="17" t="str">
        <f aca="false">IF((E29="z"),H29," ")</f>
        <v> </v>
      </c>
      <c r="AI29" s="17" t="str">
        <f aca="false">IF((E29="fa"),H29," ")</f>
        <v> </v>
      </c>
      <c r="AJ29" s="17" t="str">
        <f aca="false">IF((E29="e"),H29," ")</f>
        <v> </v>
      </c>
      <c r="BZ29" s="2" t="s">
        <v>107</v>
      </c>
    </row>
    <row r="30" customFormat="false" ht="12" hidden="false" customHeight="false" outlineLevel="0" collapsed="false">
      <c r="A30" s="28" t="n">
        <v>46438</v>
      </c>
      <c r="B30" s="2" t="s">
        <v>135</v>
      </c>
      <c r="D30" s="2" t="s">
        <v>136</v>
      </c>
      <c r="E30" s="2" t="s">
        <v>80</v>
      </c>
      <c r="F30" s="30" t="n">
        <v>60</v>
      </c>
      <c r="G30" s="6" t="n">
        <f aca="false">IF(F30&lt;&gt;0,F30*G$2/(100+G$2)," ")</f>
        <v>10</v>
      </c>
      <c r="H30" s="6" t="n">
        <f aca="false">IF((F30&lt;&gt;0),F30-G30," ")</f>
        <v>50</v>
      </c>
      <c r="I30" s="5"/>
      <c r="L30" s="7" t="n">
        <f aca="false">IF(F30&lt;&gt;0,F30-K30," ")</f>
        <v>60</v>
      </c>
      <c r="M30" s="8" t="n">
        <f aca="false">IF((F30-K30)&lt;&gt;0,M$1-A30," ")</f>
        <v>-160</v>
      </c>
      <c r="N30" s="5"/>
      <c r="O30" s="17" t="str">
        <f aca="false">IF((E30="s"),H30," ")</f>
        <v> </v>
      </c>
      <c r="P30" s="17" t="str">
        <f aca="false">IF((E30="c"),H30," ")</f>
        <v> </v>
      </c>
      <c r="Q30" s="17" t="str">
        <f aca="false">IF((E30="o"),H30," ")</f>
        <v> </v>
      </c>
      <c r="R30" s="17" t="str">
        <f aca="false">IF((E30="d"),H30," ")</f>
        <v> </v>
      </c>
      <c r="S30" s="17" t="str">
        <f aca="false">IF((E30="w"),H30," ")</f>
        <v> </v>
      </c>
      <c r="T30" s="17" t="str">
        <f aca="false">IF((E30="r"),H30," ")</f>
        <v> </v>
      </c>
      <c r="U30" s="17" t="str">
        <f aca="false">IF((E30="p"),H30," ")</f>
        <v> </v>
      </c>
      <c r="V30" s="17" t="str">
        <f aca="false">IF((E30="t"),H30," ")</f>
        <v> </v>
      </c>
      <c r="W30" s="17" t="str">
        <f aca="false">IF((E30="q"),H30," ")</f>
        <v> </v>
      </c>
      <c r="X30" s="17" t="str">
        <f aca="false">IF((E30="m"),H30," ")</f>
        <v> </v>
      </c>
      <c r="Y30" s="17" t="str">
        <f aca="false">IF((E30="u"),H30," ")</f>
        <v> </v>
      </c>
      <c r="Z30" s="17" t="str">
        <f aca="false">IF((E30="a"),H30," ")</f>
        <v> </v>
      </c>
      <c r="AA30" s="17" t="n">
        <f aca="false">IF((E30="g"),H30," ")</f>
        <v>50</v>
      </c>
      <c r="AB30" s="17" t="str">
        <f aca="false">IF((E30="h"),H30," ")</f>
        <v> </v>
      </c>
      <c r="AC30" s="30" t="str">
        <f aca="false">IF((E30="v"),H30," ")</f>
        <v> </v>
      </c>
      <c r="AD30" s="30" t="str">
        <f aca="false">IF((E30="n"),H30," ")</f>
        <v> </v>
      </c>
      <c r="AE30" s="17" t="str">
        <f aca="false">IF((E30="f"),H30," ")</f>
        <v> </v>
      </c>
      <c r="AF30" s="17" t="str">
        <f aca="false">IF((E30="l"),H30," ")</f>
        <v> </v>
      </c>
      <c r="AG30" s="17" t="str">
        <f aca="false">IF((E30="y"),H30," ")</f>
        <v> </v>
      </c>
      <c r="AH30" s="17" t="str">
        <f aca="false">IF((E30="z"),H30," ")</f>
        <v> </v>
      </c>
      <c r="AI30" s="17" t="str">
        <f aca="false">IF((E30="fa"),H30," ")</f>
        <v> </v>
      </c>
      <c r="AJ30" s="17" t="str">
        <f aca="false">IF((E30="e"),H30," ")</f>
        <v> </v>
      </c>
      <c r="BZ30" s="2" t="s">
        <v>81</v>
      </c>
    </row>
    <row r="31" customFormat="false" ht="12" hidden="false" customHeight="false" outlineLevel="0" collapsed="false">
      <c r="A31" s="28" t="n">
        <v>46438</v>
      </c>
      <c r="B31" s="2" t="s">
        <v>215</v>
      </c>
      <c r="D31" s="2" t="s">
        <v>216</v>
      </c>
      <c r="E31" s="2" t="s">
        <v>174</v>
      </c>
      <c r="F31" s="30" t="n">
        <v>120</v>
      </c>
      <c r="G31" s="6" t="n">
        <f aca="false">IF(F31&lt;&gt;0,F31*G$2/(100+G$2)," ")</f>
        <v>20</v>
      </c>
      <c r="H31" s="6" t="n">
        <f aca="false">IF((F31&lt;&gt;0),F31-G31," ")</f>
        <v>100</v>
      </c>
      <c r="I31" s="5"/>
      <c r="L31" s="7" t="n">
        <f aca="false">IF(F31&lt;&gt;0,F31-K31," ")</f>
        <v>120</v>
      </c>
      <c r="M31" s="8" t="n">
        <f aca="false">IF((F31-K31)&lt;&gt;0,M$1-A31," ")</f>
        <v>-160</v>
      </c>
      <c r="N31" s="5"/>
      <c r="O31" s="17" t="str">
        <f aca="false">IF((E31="s"),H31," ")</f>
        <v> </v>
      </c>
      <c r="P31" s="17" t="str">
        <f aca="false">IF((E31="c"),H31," ")</f>
        <v> </v>
      </c>
      <c r="Q31" s="17" t="str">
        <f aca="false">IF((E31="o"),H31," ")</f>
        <v> </v>
      </c>
      <c r="R31" s="17" t="str">
        <f aca="false">IF((E31="d"),H31," ")</f>
        <v> </v>
      </c>
      <c r="S31" s="17" t="str">
        <f aca="false">IF((E31="w"),H31," ")</f>
        <v> </v>
      </c>
      <c r="T31" s="17" t="str">
        <f aca="false">IF((E31="r"),H31," ")</f>
        <v> </v>
      </c>
      <c r="U31" s="17" t="str">
        <f aca="false">IF((E31="p"),H31," ")</f>
        <v> </v>
      </c>
      <c r="V31" s="17" t="n">
        <f aca="false">IF((E31="t"),H31," ")</f>
        <v>100</v>
      </c>
      <c r="W31" s="17" t="str">
        <f aca="false">IF((E31="q"),H31," ")</f>
        <v> </v>
      </c>
      <c r="X31" s="17" t="str">
        <f aca="false">IF((E31="m"),H31," ")</f>
        <v> </v>
      </c>
      <c r="Y31" s="17" t="str">
        <f aca="false">IF((E31="u"),H31," ")</f>
        <v> </v>
      </c>
      <c r="Z31" s="17" t="str">
        <f aca="false">IF((E31="a"),H31," ")</f>
        <v> </v>
      </c>
      <c r="AA31" s="17" t="str">
        <f aca="false">IF((E31="g"),H31," ")</f>
        <v> </v>
      </c>
      <c r="AB31" s="17" t="str">
        <f aca="false">IF((E31="h"),H31," ")</f>
        <v> </v>
      </c>
      <c r="AC31" s="30" t="str">
        <f aca="false">IF((E31="v"),H31," ")</f>
        <v> </v>
      </c>
      <c r="AD31" s="30" t="str">
        <f aca="false">IF((E31="n"),H31," ")</f>
        <v> </v>
      </c>
      <c r="AE31" s="17" t="str">
        <f aca="false">IF((E31="f"),H31," ")</f>
        <v> </v>
      </c>
      <c r="AF31" s="17" t="str">
        <f aca="false">IF((E31="l"),H31," ")</f>
        <v> </v>
      </c>
      <c r="AG31" s="17" t="str">
        <f aca="false">IF((E31="y"),H31," ")</f>
        <v> </v>
      </c>
      <c r="AH31" s="17" t="str">
        <f aca="false">IF((E31="z"),H31," ")</f>
        <v> </v>
      </c>
      <c r="AI31" s="17" t="str">
        <f aca="false">IF((E31="fa"),H31," ")</f>
        <v> </v>
      </c>
      <c r="AJ31" s="17" t="str">
        <f aca="false">IF((E31="e"),H31," ")</f>
        <v> </v>
      </c>
      <c r="BZ31" s="2" t="s">
        <v>175</v>
      </c>
    </row>
    <row r="32" customFormat="false" ht="12" hidden="false" customHeight="false" outlineLevel="0" collapsed="false">
      <c r="A32" s="28" t="n">
        <v>46438</v>
      </c>
      <c r="B32" s="2" t="s">
        <v>137</v>
      </c>
      <c r="D32" s="2" t="s">
        <v>138</v>
      </c>
      <c r="E32" s="2" t="s">
        <v>139</v>
      </c>
      <c r="F32" s="30" t="n">
        <v>180</v>
      </c>
      <c r="G32" s="6" t="n">
        <f aca="false">IF(F32&lt;&gt;0,F32*G$2/(100+G$2)," ")</f>
        <v>30</v>
      </c>
      <c r="H32" s="6" t="n">
        <f aca="false">IF((F32&lt;&gt;0),F32-G32," ")</f>
        <v>150</v>
      </c>
      <c r="I32" s="5"/>
      <c r="L32" s="7" t="n">
        <f aca="false">IF(F32&lt;&gt;0,F32-K32," ")</f>
        <v>180</v>
      </c>
      <c r="M32" s="8" t="n">
        <f aca="false">IF((F32-K32)&lt;&gt;0,M$1-A32," ")</f>
        <v>-160</v>
      </c>
      <c r="N32" s="5"/>
      <c r="O32" s="17" t="str">
        <f aca="false">IF((E32="s"),H32," ")</f>
        <v> </v>
      </c>
      <c r="P32" s="17" t="str">
        <f aca="false">IF((E32="c"),H32," ")</f>
        <v> </v>
      </c>
      <c r="Q32" s="17" t="str">
        <f aca="false">IF((E32="o"),H32," ")</f>
        <v> </v>
      </c>
      <c r="R32" s="17" t="str">
        <f aca="false">IF((E32="d"),H32," ")</f>
        <v> </v>
      </c>
      <c r="S32" s="17" t="str">
        <f aca="false">IF((E32="w"),H32," ")</f>
        <v> </v>
      </c>
      <c r="T32" s="17" t="str">
        <f aca="false">IF((E32="r"),H32," ")</f>
        <v> </v>
      </c>
      <c r="U32" s="17" t="str">
        <f aca="false">IF((E32="p"),H32," ")</f>
        <v> </v>
      </c>
      <c r="V32" s="17" t="str">
        <f aca="false">IF((E32="t"),H32," ")</f>
        <v> </v>
      </c>
      <c r="W32" s="17" t="str">
        <f aca="false">IF((E32="q"),H32," ")</f>
        <v> </v>
      </c>
      <c r="X32" s="17" t="n">
        <f aca="false">IF((E32="m"),H32," ")</f>
        <v>150</v>
      </c>
      <c r="Y32" s="17" t="str">
        <f aca="false">IF((E32="u"),H32," ")</f>
        <v> </v>
      </c>
      <c r="Z32" s="17" t="str">
        <f aca="false">IF((E32="a"),H32," ")</f>
        <v> </v>
      </c>
      <c r="AA32" s="17" t="str">
        <f aca="false">IF((E32="g"),H32," ")</f>
        <v> </v>
      </c>
      <c r="AB32" s="17" t="str">
        <f aca="false">IF((E32="h"),H32," ")</f>
        <v> </v>
      </c>
      <c r="AC32" s="30" t="str">
        <f aca="false">IF((E32="v"),H32," ")</f>
        <v> </v>
      </c>
      <c r="AD32" s="30" t="str">
        <f aca="false">IF((E32="n"),H32," ")</f>
        <v> </v>
      </c>
      <c r="AE32" s="17" t="str">
        <f aca="false">IF((E32="f"),H32," ")</f>
        <v> </v>
      </c>
      <c r="AF32" s="17" t="str">
        <f aca="false">IF((E32="l"),H32," ")</f>
        <v> </v>
      </c>
      <c r="AG32" s="17" t="str">
        <f aca="false">IF((E32="y"),H32," ")</f>
        <v> </v>
      </c>
      <c r="AH32" s="17" t="str">
        <f aca="false">IF((E32="z"),H32," ")</f>
        <v> </v>
      </c>
      <c r="AI32" s="17" t="str">
        <f aca="false">IF((E32="fa"),H32," ")</f>
        <v> </v>
      </c>
      <c r="AJ32" s="17" t="str">
        <f aca="false">IF((E32="e"),H32," ")</f>
        <v> </v>
      </c>
      <c r="BZ32" s="2" t="s">
        <v>140</v>
      </c>
    </row>
    <row r="33" customFormat="false" ht="12" hidden="false" customHeight="false" outlineLevel="0" collapsed="false">
      <c r="A33" s="28" t="n">
        <v>46439</v>
      </c>
      <c r="B33" s="2" t="s">
        <v>141</v>
      </c>
      <c r="D33" s="2" t="s">
        <v>142</v>
      </c>
      <c r="E33" s="2" t="s">
        <v>112</v>
      </c>
      <c r="F33" s="30" t="n">
        <v>8</v>
      </c>
      <c r="G33" s="6" t="n">
        <f aca="false">IF(F33&lt;&gt;0,F33*G$2/(100+G$2)," ")</f>
        <v>1.33333333333333</v>
      </c>
      <c r="H33" s="6" t="n">
        <f aca="false">IF((F33&lt;&gt;0),F33-G33," ")</f>
        <v>6.66666666666667</v>
      </c>
      <c r="I33" s="5"/>
      <c r="L33" s="7" t="n">
        <f aca="false">IF(F33&lt;&gt;0,F33-K33," ")</f>
        <v>8</v>
      </c>
      <c r="M33" s="8" t="n">
        <f aca="false">IF((F33-K33)&lt;&gt;0,M$1-A33," ")</f>
        <v>-161</v>
      </c>
      <c r="N33" s="5"/>
      <c r="O33" s="17" t="str">
        <f aca="false">IF((E33="s"),H33," ")</f>
        <v> </v>
      </c>
      <c r="P33" s="17" t="str">
        <f aca="false">IF((E33="c"),H33," ")</f>
        <v> </v>
      </c>
      <c r="Q33" s="17" t="str">
        <f aca="false">IF((E33="o"),H33," ")</f>
        <v> </v>
      </c>
      <c r="R33" s="17" t="str">
        <f aca="false">IF((E33="d"),H33," ")</f>
        <v> </v>
      </c>
      <c r="S33" s="17" t="str">
        <f aca="false">IF((E33="w"),H33," ")</f>
        <v> </v>
      </c>
      <c r="T33" s="17" t="str">
        <f aca="false">IF((E33="r"),H33," ")</f>
        <v> </v>
      </c>
      <c r="U33" s="17" t="str">
        <f aca="false">IF((E33="p"),H33," ")</f>
        <v> </v>
      </c>
      <c r="V33" s="17" t="str">
        <f aca="false">IF((E33="t"),H33," ")</f>
        <v> </v>
      </c>
      <c r="W33" s="17" t="str">
        <f aca="false">IF((E33="q"),H33," ")</f>
        <v> </v>
      </c>
      <c r="X33" s="17" t="str">
        <f aca="false">IF((E33="m"),H33," ")</f>
        <v> </v>
      </c>
      <c r="Y33" s="17" t="str">
        <f aca="false">IF((E33="u"),H33," ")</f>
        <v> </v>
      </c>
      <c r="Z33" s="17" t="str">
        <f aca="false">IF((E33="a"),H33," ")</f>
        <v> </v>
      </c>
      <c r="AA33" s="17" t="str">
        <f aca="false">IF((E33="g"),H33," ")</f>
        <v> </v>
      </c>
      <c r="AB33" s="17" t="n">
        <f aca="false">IF((E33="h"),H33," ")</f>
        <v>6.66666666666667</v>
      </c>
      <c r="AC33" s="30" t="str">
        <f aca="false">IF((E33="v"),H33," ")</f>
        <v> </v>
      </c>
      <c r="AD33" s="30" t="str">
        <f aca="false">IF((E33="n"),H33," ")</f>
        <v> </v>
      </c>
      <c r="AE33" s="17" t="str">
        <f aca="false">IF((E33="f"),H33," ")</f>
        <v> </v>
      </c>
      <c r="AF33" s="17" t="str">
        <f aca="false">IF((E33="l"),H33," ")</f>
        <v> </v>
      </c>
      <c r="AG33" s="17" t="str">
        <f aca="false">IF((E33="y"),H33," ")</f>
        <v> </v>
      </c>
      <c r="AH33" s="17" t="str">
        <f aca="false">IF((E33="z"),H33," ")</f>
        <v> </v>
      </c>
      <c r="AI33" s="17" t="str">
        <f aca="false">IF((E33="fa"),H33," ")</f>
        <v> </v>
      </c>
      <c r="AJ33" s="17" t="str">
        <f aca="false">IF((E33="e"),H33," ")</f>
        <v> </v>
      </c>
      <c r="BZ33" s="2" t="s">
        <v>113</v>
      </c>
    </row>
    <row r="34" customFormat="false" ht="12" hidden="false" customHeight="false" outlineLevel="0" collapsed="false">
      <c r="A34" s="28" t="n">
        <v>46440</v>
      </c>
      <c r="B34" s="2" t="s">
        <v>143</v>
      </c>
      <c r="D34" s="2" t="s">
        <v>144</v>
      </c>
      <c r="E34" s="2" t="s">
        <v>100</v>
      </c>
      <c r="F34" s="30" t="n">
        <v>18</v>
      </c>
      <c r="G34" s="6" t="n">
        <f aca="false">IF(F34&lt;&gt;0,F34*G$2/(100+G$2)," ")</f>
        <v>3</v>
      </c>
      <c r="H34" s="6" t="n">
        <f aca="false">IF((F34&lt;&gt;0),F34-G34," ")</f>
        <v>15</v>
      </c>
      <c r="I34" s="5"/>
      <c r="L34" s="7" t="n">
        <f aca="false">IF(F34&lt;&gt;0,F34-K34," ")</f>
        <v>18</v>
      </c>
      <c r="M34" s="8" t="n">
        <f aca="false">IF((F34-K34)&lt;&gt;0,M$1-A34," ")</f>
        <v>-162</v>
      </c>
      <c r="N34" s="5"/>
      <c r="O34" s="17" t="str">
        <f aca="false">IF((E34="s"),H34," ")</f>
        <v> </v>
      </c>
      <c r="P34" s="17" t="str">
        <f aca="false">IF((E34="c"),H34," ")</f>
        <v> </v>
      </c>
      <c r="Q34" s="17" t="str">
        <f aca="false">IF((E34="o"),H34," ")</f>
        <v> </v>
      </c>
      <c r="R34" s="17" t="str">
        <f aca="false">IF((E34="d"),H34," ")</f>
        <v> </v>
      </c>
      <c r="S34" s="17" t="str">
        <f aca="false">IF((E34="w"),H34," ")</f>
        <v> </v>
      </c>
      <c r="T34" s="17" t="str">
        <f aca="false">IF((E34="r"),H34," ")</f>
        <v> </v>
      </c>
      <c r="U34" s="17" t="str">
        <f aca="false">IF((E34="p"),H34," ")</f>
        <v> </v>
      </c>
      <c r="V34" s="17" t="str">
        <f aca="false">IF((E34="t"),H34," ")</f>
        <v> </v>
      </c>
      <c r="W34" s="17" t="str">
        <f aca="false">IF((E34="q"),H34," ")</f>
        <v> </v>
      </c>
      <c r="X34" s="17" t="str">
        <f aca="false">IF((E34="m"),H34," ")</f>
        <v> </v>
      </c>
      <c r="Y34" s="17" t="n">
        <f aca="false">IF((E34="u"),H34," ")</f>
        <v>15</v>
      </c>
      <c r="Z34" s="17" t="str">
        <f aca="false">IF((E34="a"),H34," ")</f>
        <v> </v>
      </c>
      <c r="AA34" s="17" t="str">
        <f aca="false">IF((E34="g"),H34," ")</f>
        <v> </v>
      </c>
      <c r="AB34" s="17" t="str">
        <f aca="false">IF((E34="h"),H34," ")</f>
        <v> </v>
      </c>
      <c r="AC34" s="30" t="str">
        <f aca="false">IF((E34="v"),H34," ")</f>
        <v> </v>
      </c>
      <c r="AD34" s="30" t="str">
        <f aca="false">IF((E34="n"),H34," ")</f>
        <v> </v>
      </c>
      <c r="AE34" s="17" t="str">
        <f aca="false">IF((E34="f"),H34," ")</f>
        <v> </v>
      </c>
      <c r="AF34" s="17" t="str">
        <f aca="false">IF((E34="l"),H34," ")</f>
        <v> </v>
      </c>
      <c r="AG34" s="17" t="str">
        <f aca="false">IF((E34="y"),H34," ")</f>
        <v> </v>
      </c>
      <c r="AH34" s="17" t="str">
        <f aca="false">IF((E34="z"),H34," ")</f>
        <v> </v>
      </c>
      <c r="AI34" s="17" t="str">
        <f aca="false">IF((E34="fa"),H34," ")</f>
        <v> </v>
      </c>
      <c r="AJ34" s="17" t="str">
        <f aca="false">IF((E34="e"),H34," ")</f>
        <v> </v>
      </c>
      <c r="BZ34" s="2" t="s">
        <v>101</v>
      </c>
    </row>
    <row r="35" customFormat="false" ht="12" hidden="false" customHeight="false" outlineLevel="0" collapsed="false">
      <c r="A35" s="28" t="n">
        <v>46443</v>
      </c>
      <c r="B35" s="2" t="s">
        <v>145</v>
      </c>
      <c r="D35" s="2" t="s">
        <v>146</v>
      </c>
      <c r="E35" s="2" t="s">
        <v>100</v>
      </c>
      <c r="F35" s="30" t="n">
        <v>15</v>
      </c>
      <c r="G35" s="6" t="n">
        <f aca="false">IF(F35&lt;&gt;0,F35*G$2/(100+G$2)," ")</f>
        <v>2.5</v>
      </c>
      <c r="H35" s="6" t="n">
        <f aca="false">IF((F35&lt;&gt;0),F35-G35," ")</f>
        <v>12.5</v>
      </c>
      <c r="I35" s="5"/>
      <c r="L35" s="7" t="n">
        <f aca="false">IF(F35&lt;&gt;0,F35-K35," ")</f>
        <v>15</v>
      </c>
      <c r="M35" s="8" t="n">
        <f aca="false">IF((F35-K35)&lt;&gt;0,M$1-A35," ")</f>
        <v>-165</v>
      </c>
      <c r="N35" s="5"/>
      <c r="O35" s="17" t="str">
        <f aca="false">IF((E35="s"),H35," ")</f>
        <v> </v>
      </c>
      <c r="P35" s="17" t="str">
        <f aca="false">IF((E35="c"),H35," ")</f>
        <v> </v>
      </c>
      <c r="Q35" s="17" t="str">
        <f aca="false">IF((E35="o"),H35," ")</f>
        <v> </v>
      </c>
      <c r="R35" s="17" t="str">
        <f aca="false">IF((E35="d"),H35," ")</f>
        <v> </v>
      </c>
      <c r="S35" s="17" t="str">
        <f aca="false">IF((E35="w"),H35," ")</f>
        <v> </v>
      </c>
      <c r="T35" s="17" t="str">
        <f aca="false">IF((E35="r"),H35," ")</f>
        <v> </v>
      </c>
      <c r="U35" s="17" t="str">
        <f aca="false">IF((E35="p"),H35," ")</f>
        <v> </v>
      </c>
      <c r="V35" s="17" t="str">
        <f aca="false">IF((E35="t"),H35," ")</f>
        <v> </v>
      </c>
      <c r="W35" s="17" t="str">
        <f aca="false">IF((E35="q"),H35," ")</f>
        <v> </v>
      </c>
      <c r="X35" s="17" t="str">
        <f aca="false">IF((E35="m"),H35," ")</f>
        <v> </v>
      </c>
      <c r="Y35" s="17" t="n">
        <f aca="false">IF((E35="u"),H35," ")</f>
        <v>12.5</v>
      </c>
      <c r="Z35" s="17" t="str">
        <f aca="false">IF((E35="a"),H35," ")</f>
        <v> </v>
      </c>
      <c r="AA35" s="17" t="str">
        <f aca="false">IF((E35="g"),H35," ")</f>
        <v> </v>
      </c>
      <c r="AB35" s="17" t="str">
        <f aca="false">IF((E35="h"),H35," ")</f>
        <v> </v>
      </c>
      <c r="AC35" s="30" t="str">
        <f aca="false">IF((E35="v"),H35," ")</f>
        <v> </v>
      </c>
      <c r="AD35" s="30" t="str">
        <f aca="false">IF((E35="n"),H35," ")</f>
        <v> </v>
      </c>
      <c r="AE35" s="17" t="str">
        <f aca="false">IF((E35="f"),H35," ")</f>
        <v> </v>
      </c>
      <c r="AF35" s="17" t="str">
        <f aca="false">IF((E35="l"),H35," ")</f>
        <v> </v>
      </c>
      <c r="AG35" s="17" t="str">
        <f aca="false">IF((E35="y"),H35," ")</f>
        <v> </v>
      </c>
      <c r="AH35" s="17" t="str">
        <f aca="false">IF((E35="z"),H35," ")</f>
        <v> </v>
      </c>
      <c r="AI35" s="17" t="str">
        <f aca="false">IF((E35="fa"),H35," ")</f>
        <v> </v>
      </c>
      <c r="AJ35" s="17" t="str">
        <f aca="false">IF((E35="e"),H35," ")</f>
        <v> </v>
      </c>
      <c r="BZ35" s="2" t="s">
        <v>101</v>
      </c>
    </row>
    <row r="36" customFormat="false" ht="12" hidden="false" customHeight="false" outlineLevel="0" collapsed="false">
      <c r="A36" s="28" t="n">
        <v>46443</v>
      </c>
      <c r="B36" s="2" t="s">
        <v>147</v>
      </c>
      <c r="D36" s="2" t="s">
        <v>217</v>
      </c>
      <c r="E36" s="2" t="s">
        <v>106</v>
      </c>
      <c r="F36" s="30" t="n">
        <v>20.25</v>
      </c>
      <c r="G36" s="6" t="n">
        <f aca="false">IF(F36&lt;&gt;0,F36*G$2/(100+G$2)," ")</f>
        <v>3.375</v>
      </c>
      <c r="H36" s="6" t="n">
        <f aca="false">IF((F36&lt;&gt;0),F36-G36," ")</f>
        <v>16.875</v>
      </c>
      <c r="I36" s="5"/>
      <c r="L36" s="7" t="n">
        <f aca="false">IF(F36&lt;&gt;0,F36-K36," ")</f>
        <v>20.25</v>
      </c>
      <c r="M36" s="8" t="n">
        <f aca="false">IF((F36-K36)&lt;&gt;0,M$1-A36," ")</f>
        <v>-165</v>
      </c>
      <c r="N36" s="5"/>
      <c r="O36" s="17" t="str">
        <f aca="false">IF((E36="s"),H36," ")</f>
        <v> </v>
      </c>
      <c r="P36" s="17" t="str">
        <f aca="false">IF((E36="c"),H36," ")</f>
        <v> </v>
      </c>
      <c r="Q36" s="17" t="str">
        <f aca="false">IF((E36="o"),H36," ")</f>
        <v> </v>
      </c>
      <c r="R36" s="17" t="str">
        <f aca="false">IF((E36="d"),H36," ")</f>
        <v> </v>
      </c>
      <c r="S36" s="17" t="str">
        <f aca="false">IF((E36="w"),H36," ")</f>
        <v> </v>
      </c>
      <c r="T36" s="17" t="str">
        <f aca="false">IF((E36="r"),H36," ")</f>
        <v> </v>
      </c>
      <c r="U36" s="17" t="str">
        <f aca="false">IF((E36="p"),H36," ")</f>
        <v> </v>
      </c>
      <c r="V36" s="17" t="str">
        <f aca="false">IF((E36="t"),H36," ")</f>
        <v> </v>
      </c>
      <c r="W36" s="17" t="str">
        <f aca="false">IF((E36="q"),H36," ")</f>
        <v> </v>
      </c>
      <c r="X36" s="17" t="str">
        <f aca="false">IF((E36="m"),H36," ")</f>
        <v> </v>
      </c>
      <c r="Y36" s="17" t="str">
        <f aca="false">IF((E36="u"),H36," ")</f>
        <v> </v>
      </c>
      <c r="Z36" s="17" t="str">
        <f aca="false">IF((E36="a"),H36," ")</f>
        <v> </v>
      </c>
      <c r="AA36" s="17" t="str">
        <f aca="false">IF((E36="g"),H36," ")</f>
        <v> </v>
      </c>
      <c r="AB36" s="17" t="str">
        <f aca="false">IF((E36="h"),H36," ")</f>
        <v> </v>
      </c>
      <c r="AC36" s="30" t="n">
        <f aca="false">IF((E36="v"),H36," ")</f>
        <v>16.875</v>
      </c>
      <c r="AD36" s="30" t="str">
        <f aca="false">IF((E36="n"),H36," ")</f>
        <v> </v>
      </c>
      <c r="AE36" s="17" t="str">
        <f aca="false">IF((E36="f"),H36," ")</f>
        <v> </v>
      </c>
      <c r="AF36" s="17" t="str">
        <f aca="false">IF((E36="l"),H36," ")</f>
        <v> </v>
      </c>
      <c r="AG36" s="17" t="str">
        <f aca="false">IF((E36="y"),H36," ")</f>
        <v> </v>
      </c>
      <c r="AH36" s="17" t="str">
        <f aca="false">IF((E36="z"),H36," ")</f>
        <v> </v>
      </c>
      <c r="AI36" s="17" t="str">
        <f aca="false">IF((E36="fa"),H36," ")</f>
        <v> </v>
      </c>
      <c r="AJ36" s="17" t="str">
        <f aca="false">IF((E36="e"),H36," ")</f>
        <v> </v>
      </c>
      <c r="BZ36" s="2" t="s">
        <v>107</v>
      </c>
    </row>
    <row r="37" customFormat="false" ht="12" hidden="false" customHeight="false" outlineLevel="0" collapsed="false">
      <c r="A37" s="28" t="n">
        <v>46446</v>
      </c>
      <c r="B37" s="2" t="s">
        <v>20</v>
      </c>
      <c r="D37" s="2" t="s">
        <v>149</v>
      </c>
      <c r="E37" s="2" t="s">
        <v>106</v>
      </c>
      <c r="F37" s="30" t="n">
        <v>120</v>
      </c>
      <c r="G37" s="6" t="n">
        <f aca="false">IF(F37&lt;&gt;0,F37*G$2/(100+G$2)," ")</f>
        <v>20</v>
      </c>
      <c r="H37" s="6" t="n">
        <f aca="false">IF((F37&lt;&gt;0),F37-G37," ")</f>
        <v>100</v>
      </c>
      <c r="I37" s="5"/>
      <c r="L37" s="7" t="n">
        <f aca="false">IF(F37&lt;&gt;0,F37-K37," ")</f>
        <v>120</v>
      </c>
      <c r="M37" s="8" t="n">
        <f aca="false">IF((F37-K37)&lt;&gt;0,M$1-A37," ")</f>
        <v>-168</v>
      </c>
      <c r="N37" s="5"/>
      <c r="O37" s="17" t="str">
        <f aca="false">IF((E37="s"),H37," ")</f>
        <v> </v>
      </c>
      <c r="P37" s="17" t="str">
        <f aca="false">IF((E37="c"),H37," ")</f>
        <v> </v>
      </c>
      <c r="Q37" s="17" t="str">
        <f aca="false">IF((E37="o"),H37," ")</f>
        <v> </v>
      </c>
      <c r="R37" s="17" t="str">
        <f aca="false">IF((E37="d"),H37," ")</f>
        <v> </v>
      </c>
      <c r="S37" s="17" t="str">
        <f aca="false">IF((E37="w"),H37," ")</f>
        <v> </v>
      </c>
      <c r="T37" s="17" t="str">
        <f aca="false">IF((E37="r"),H37," ")</f>
        <v> </v>
      </c>
      <c r="U37" s="17" t="str">
        <f aca="false">IF((E37="p"),H37," ")</f>
        <v> </v>
      </c>
      <c r="V37" s="17" t="str">
        <f aca="false">IF((E37="t"),H37," ")</f>
        <v> </v>
      </c>
      <c r="W37" s="17" t="str">
        <f aca="false">IF((E37="q"),H37," ")</f>
        <v> </v>
      </c>
      <c r="X37" s="17" t="str">
        <f aca="false">IF((E37="m"),H37," ")</f>
        <v> </v>
      </c>
      <c r="Y37" s="17" t="str">
        <f aca="false">IF((E37="u"),H37," ")</f>
        <v> </v>
      </c>
      <c r="Z37" s="17" t="str">
        <f aca="false">IF((E37="a"),H37," ")</f>
        <v> </v>
      </c>
      <c r="AA37" s="17" t="str">
        <f aca="false">IF((E37="g"),H37," ")</f>
        <v> </v>
      </c>
      <c r="AB37" s="17" t="str">
        <f aca="false">IF((E37="h"),H37," ")</f>
        <v> </v>
      </c>
      <c r="AC37" s="30" t="n">
        <f aca="false">IF((E37="v"),H37," ")</f>
        <v>100</v>
      </c>
      <c r="AD37" s="30" t="str">
        <f aca="false">IF((E37="n"),H37," ")</f>
        <v> </v>
      </c>
      <c r="AE37" s="17" t="str">
        <f aca="false">IF((E37="f"),H37," ")</f>
        <v> </v>
      </c>
      <c r="AF37" s="17" t="str">
        <f aca="false">IF((E37="l"),H37," ")</f>
        <v> </v>
      </c>
      <c r="AG37" s="17" t="str">
        <f aca="false">IF((E37="y"),H37," ")</f>
        <v> </v>
      </c>
      <c r="AH37" s="17" t="str">
        <f aca="false">IF((E37="z"),H37," ")</f>
        <v> </v>
      </c>
      <c r="AI37" s="17" t="str">
        <f aca="false">IF((E37="fa"),H37," ")</f>
        <v> </v>
      </c>
      <c r="AJ37" s="17" t="str">
        <f aca="false">IF((E37="e"),H37," ")</f>
        <v> </v>
      </c>
      <c r="BZ37" s="2" t="s">
        <v>107</v>
      </c>
    </row>
    <row r="38" customFormat="false" ht="12" hidden="false" customHeight="false" outlineLevel="0" collapsed="false">
      <c r="A38" s="28" t="n">
        <v>46446</v>
      </c>
      <c r="B38" s="2" t="s">
        <v>16</v>
      </c>
      <c r="D38" s="2" t="s">
        <v>150</v>
      </c>
      <c r="E38" s="2" t="s">
        <v>151</v>
      </c>
      <c r="F38" s="30" t="n">
        <v>300</v>
      </c>
      <c r="G38" s="6" t="n">
        <f aca="false">IF(F38&lt;&gt;0,F38*G$2/(100+G$2)," ")</f>
        <v>50</v>
      </c>
      <c r="H38" s="6" t="n">
        <f aca="false">IF((F38&lt;&gt;0),F38-G38," ")</f>
        <v>250</v>
      </c>
      <c r="I38" s="5"/>
      <c r="L38" s="7" t="n">
        <f aca="false">IF(F38&lt;&gt;0,F38-K38," ")</f>
        <v>300</v>
      </c>
      <c r="M38" s="8" t="n">
        <f aca="false">IF((F38-K38)&lt;&gt;0,M$1-A38," ")</f>
        <v>-168</v>
      </c>
      <c r="N38" s="5"/>
      <c r="O38" s="17" t="str">
        <f aca="false">IF((E38="s"),H38," ")</f>
        <v> </v>
      </c>
      <c r="P38" s="17" t="str">
        <f aca="false">IF((E38="c"),H38," ")</f>
        <v> </v>
      </c>
      <c r="Q38" s="17" t="str">
        <f aca="false">IF((E38="o"),H38," ")</f>
        <v> </v>
      </c>
      <c r="R38" s="17" t="str">
        <f aca="false">IF((E38="d"),H38," ")</f>
        <v> </v>
      </c>
      <c r="S38" s="17" t="str">
        <f aca="false">IF((E38="w"),H38," ")</f>
        <v> </v>
      </c>
      <c r="T38" s="17" t="str">
        <f aca="false">IF((E38="r"),H38," ")</f>
        <v> </v>
      </c>
      <c r="U38" s="17" t="str">
        <f aca="false">IF((E38="p"),H38," ")</f>
        <v> </v>
      </c>
      <c r="V38" s="17" t="str">
        <f aca="false">IF((E38="t"),H38," ")</f>
        <v> </v>
      </c>
      <c r="W38" s="17" t="str">
        <f aca="false">IF((E38="q"),H38," ")</f>
        <v> </v>
      </c>
      <c r="X38" s="17" t="str">
        <f aca="false">IF((E38="m"),H38," ")</f>
        <v> </v>
      </c>
      <c r="Y38" s="17" t="str">
        <f aca="false">IF((E38="u"),H38," ")</f>
        <v> </v>
      </c>
      <c r="Z38" s="17" t="str">
        <f aca="false">IF((E38="a"),H38," ")</f>
        <v> </v>
      </c>
      <c r="AA38" s="17" t="str">
        <f aca="false">IF((E38="g"),H38," ")</f>
        <v> </v>
      </c>
      <c r="AB38" s="17" t="str">
        <f aca="false">IF((E38="h"),H38," ")</f>
        <v> </v>
      </c>
      <c r="AC38" s="30" t="str">
        <f aca="false">IF((E38="v"),H38," ")</f>
        <v> </v>
      </c>
      <c r="AD38" s="30" t="str">
        <f aca="false">IF((E38="n"),H38," ")</f>
        <v> </v>
      </c>
      <c r="AE38" s="17" t="str">
        <f aca="false">IF((E38="f"),H38," ")</f>
        <v> </v>
      </c>
      <c r="AF38" s="17" t="n">
        <f aca="false">IF((E38="l"),H38," ")</f>
        <v>250</v>
      </c>
      <c r="AG38" s="17" t="str">
        <f aca="false">IF((E38="y"),H38," ")</f>
        <v> </v>
      </c>
      <c r="AH38" s="17" t="str">
        <f aca="false">IF((E38="z"),H38," ")</f>
        <v> </v>
      </c>
      <c r="AI38" s="17" t="str">
        <f aca="false">IF((E38="fa"),H38," ")</f>
        <v> </v>
      </c>
      <c r="AJ38" s="17" t="str">
        <f aca="false">IF((E38="e"),H38," ")</f>
        <v> </v>
      </c>
      <c r="BZ38" s="2" t="s">
        <v>152</v>
      </c>
    </row>
    <row r="39" customFormat="false" ht="12" hidden="false" customHeight="false" outlineLevel="0" collapsed="false">
      <c r="A39" s="28"/>
      <c r="E39" s="2"/>
      <c r="F39" s="30"/>
      <c r="G39" s="6" t="str">
        <f aca="false">IF(F39&lt;&gt;0,F39*G$2/(100+G$2)," ")</f>
        <v> </v>
      </c>
      <c r="H39" s="6" t="str">
        <f aca="false">IF((F39&lt;&gt;0),F39-G39," ")</f>
        <v> </v>
      </c>
      <c r="I39" s="5"/>
      <c r="L39" s="7" t="str">
        <f aca="false">IF(F39&lt;&gt;0,F39-K39," ")</f>
        <v> </v>
      </c>
      <c r="M39" s="8" t="str">
        <f aca="false">IF((F39-K39)&lt;&gt;0,M$1-A39," ")</f>
        <v> </v>
      </c>
      <c r="N39" s="5"/>
      <c r="O39" s="17" t="str">
        <f aca="false">IF((E39="s"),H39," ")</f>
        <v> </v>
      </c>
      <c r="P39" s="17" t="str">
        <f aca="false">IF((E39="c"),H39," ")</f>
        <v> </v>
      </c>
      <c r="Q39" s="17" t="str">
        <f aca="false">IF((E39="o"),H39," ")</f>
        <v> </v>
      </c>
      <c r="R39" s="17" t="str">
        <f aca="false">IF((E39="d"),H39," ")</f>
        <v> </v>
      </c>
      <c r="S39" s="17" t="str">
        <f aca="false">IF((E39="w"),H39," ")</f>
        <v> </v>
      </c>
      <c r="T39" s="17" t="str">
        <f aca="false">IF((E39="r"),H39," ")</f>
        <v> </v>
      </c>
      <c r="U39" s="17" t="str">
        <f aca="false">IF((E39="p"),H39," ")</f>
        <v> </v>
      </c>
      <c r="V39" s="17" t="str">
        <f aca="false">IF((E39="t"),H39," ")</f>
        <v> </v>
      </c>
      <c r="W39" s="17" t="str">
        <f aca="false">IF((E39="q"),H39," ")</f>
        <v> </v>
      </c>
      <c r="X39" s="17" t="str">
        <f aca="false">IF((E39="m"),H39," ")</f>
        <v> </v>
      </c>
      <c r="Y39" s="17" t="str">
        <f aca="false">IF((E39="u"),H39," ")</f>
        <v> </v>
      </c>
      <c r="Z39" s="17" t="str">
        <f aca="false">IF((E39="a"),H39," ")</f>
        <v> </v>
      </c>
      <c r="AA39" s="17" t="str">
        <f aca="false">IF((E39="g"),H39," ")</f>
        <v> </v>
      </c>
      <c r="AB39" s="17" t="str">
        <f aca="false">IF((E39="h"),H39," ")</f>
        <v> </v>
      </c>
      <c r="AC39" s="30" t="str">
        <f aca="false">IF((E39="v"),H39," ")</f>
        <v> </v>
      </c>
      <c r="AD39" s="30" t="str">
        <f aca="false">IF((E39="n"),H39," ")</f>
        <v> </v>
      </c>
      <c r="AE39" s="17" t="str">
        <f aca="false">IF((E39="f"),H39," ")</f>
        <v> </v>
      </c>
      <c r="AF39" s="17" t="str">
        <f aca="false">IF((E39="l"),H39," ")</f>
        <v> </v>
      </c>
      <c r="AG39" s="17" t="str">
        <f aca="false">IF((E39="y"),H39," ")</f>
        <v> </v>
      </c>
      <c r="AH39" s="17" t="str">
        <f aca="false">IF((E39="z"),H39," ")</f>
        <v> </v>
      </c>
      <c r="AI39" s="17" t="str">
        <f aca="false">IF((E39="fa"),H39," ")</f>
        <v> </v>
      </c>
      <c r="AJ39" s="17" t="str">
        <f aca="false">IF((E39="e"),H39," ")</f>
        <v> </v>
      </c>
    </row>
    <row r="40" customFormat="false" ht="12" hidden="false" customHeight="false" outlineLevel="0" collapsed="false">
      <c r="A40" s="28"/>
      <c r="E40" s="2"/>
      <c r="F40" s="30"/>
      <c r="G40" s="6" t="str">
        <f aca="false">IF(F40&lt;&gt;0,F40*G$2/(100+G$2)," ")</f>
        <v> </v>
      </c>
      <c r="H40" s="6" t="str">
        <f aca="false">IF((F40&lt;&gt;0),F40-G40," ")</f>
        <v> </v>
      </c>
      <c r="I40" s="5"/>
      <c r="L40" s="7" t="str">
        <f aca="false">IF(F40&lt;&gt;0,F40-K40," ")</f>
        <v> </v>
      </c>
      <c r="M40" s="8" t="str">
        <f aca="false">IF((F40-K40)&lt;&gt;0,M$1-A40," ")</f>
        <v> </v>
      </c>
      <c r="N40" s="5"/>
      <c r="O40" s="17" t="str">
        <f aca="false">IF((E40="s"),H40," ")</f>
        <v> </v>
      </c>
      <c r="P40" s="17" t="str">
        <f aca="false">IF((E40="c"),H40," ")</f>
        <v> </v>
      </c>
      <c r="Q40" s="17" t="str">
        <f aca="false">IF((E40="o"),H40," ")</f>
        <v> </v>
      </c>
      <c r="R40" s="17" t="str">
        <f aca="false">IF((E40="d"),H40," ")</f>
        <v> </v>
      </c>
      <c r="S40" s="17" t="str">
        <f aca="false">IF((E40="w"),H40," ")</f>
        <v> </v>
      </c>
      <c r="T40" s="17" t="str">
        <f aca="false">IF((E40="r"),H40," ")</f>
        <v> </v>
      </c>
      <c r="U40" s="17" t="str">
        <f aca="false">IF((E40="p"),H40," ")</f>
        <v> </v>
      </c>
      <c r="V40" s="17" t="str">
        <f aca="false">IF((E40="t"),H40," ")</f>
        <v> </v>
      </c>
      <c r="W40" s="17" t="str">
        <f aca="false">IF((E40="q"),H40," ")</f>
        <v> </v>
      </c>
      <c r="X40" s="17" t="str">
        <f aca="false">IF((E40="m"),H40," ")</f>
        <v> </v>
      </c>
      <c r="Y40" s="17" t="str">
        <f aca="false">IF((E40="u"),H40," ")</f>
        <v> </v>
      </c>
      <c r="Z40" s="17" t="str">
        <f aca="false">IF((E40="a"),H40," ")</f>
        <v> </v>
      </c>
      <c r="AA40" s="17" t="str">
        <f aca="false">IF((E40="g"),H40," ")</f>
        <v> </v>
      </c>
      <c r="AB40" s="17" t="str">
        <f aca="false">IF((E40="h"),H40," ")</f>
        <v> </v>
      </c>
      <c r="AC40" s="30" t="str">
        <f aca="false">IF((E40="v"),H40," ")</f>
        <v> </v>
      </c>
      <c r="AD40" s="30" t="str">
        <f aca="false">IF((E40="n"),H40," ")</f>
        <v> </v>
      </c>
      <c r="AE40" s="17" t="str">
        <f aca="false">IF((E40="f"),H40," ")</f>
        <v> </v>
      </c>
      <c r="AF40" s="17" t="str">
        <f aca="false">IF((E40="l"),H40," ")</f>
        <v> </v>
      </c>
      <c r="AG40" s="17" t="str">
        <f aca="false">IF((E40="y"),H40," ")</f>
        <v> </v>
      </c>
      <c r="AH40" s="17" t="str">
        <f aca="false">IF((E40="z"),H40," ")</f>
        <v> </v>
      </c>
      <c r="AI40" s="17" t="str">
        <f aca="false">IF((E40="fa"),H40," ")</f>
        <v> </v>
      </c>
      <c r="AJ40" s="17" t="str">
        <f aca="false">IF((E40="e"),H40," ")</f>
        <v> </v>
      </c>
    </row>
    <row r="41" customFormat="false" ht="12" hidden="false" customHeight="false" outlineLevel="0" collapsed="false">
      <c r="A41" s="28"/>
      <c r="E41" s="2"/>
      <c r="F41" s="30"/>
      <c r="G41" s="6" t="str">
        <f aca="false">IF(F41&lt;&gt;0,F41*G$2/(100+G$2)," ")</f>
        <v> </v>
      </c>
      <c r="H41" s="6" t="str">
        <f aca="false">IF((F41&lt;&gt;0),F41-G41," ")</f>
        <v> </v>
      </c>
      <c r="I41" s="5"/>
      <c r="L41" s="7" t="str">
        <f aca="false">IF(F41&lt;&gt;0,F41-K41," ")</f>
        <v> </v>
      </c>
      <c r="M41" s="8" t="str">
        <f aca="false">IF((F41-K41)&lt;&gt;0,M$1-A41," ")</f>
        <v> </v>
      </c>
      <c r="N41" s="5"/>
      <c r="O41" s="17" t="str">
        <f aca="false">IF((E41="s"),H41," ")</f>
        <v> </v>
      </c>
      <c r="P41" s="17" t="str">
        <f aca="false">IF((E41="c"),H41," ")</f>
        <v> </v>
      </c>
      <c r="Q41" s="17" t="str">
        <f aca="false">IF((E41="o"),H41," ")</f>
        <v> </v>
      </c>
      <c r="R41" s="17" t="str">
        <f aca="false">IF((E41="d"),H41," ")</f>
        <v> </v>
      </c>
      <c r="S41" s="17" t="str">
        <f aca="false">IF((E41="w"),H41," ")</f>
        <v> </v>
      </c>
      <c r="T41" s="17" t="str">
        <f aca="false">IF((E41="r"),H41," ")</f>
        <v> </v>
      </c>
      <c r="U41" s="17" t="str">
        <f aca="false">IF((E41="p"),H41," ")</f>
        <v> </v>
      </c>
      <c r="V41" s="17" t="str">
        <f aca="false">IF((E41="t"),H41," ")</f>
        <v> </v>
      </c>
      <c r="W41" s="17" t="str">
        <f aca="false">IF((E41="q"),H41," ")</f>
        <v> </v>
      </c>
      <c r="X41" s="17" t="str">
        <f aca="false">IF((E41="m"),H41," ")</f>
        <v> </v>
      </c>
      <c r="Y41" s="17" t="str">
        <f aca="false">IF((E41="u"),H41," ")</f>
        <v> </v>
      </c>
      <c r="Z41" s="17" t="str">
        <f aca="false">IF((E41="a"),H41," ")</f>
        <v> </v>
      </c>
      <c r="AA41" s="17" t="str">
        <f aca="false">IF((E41="g"),H41," ")</f>
        <v> </v>
      </c>
      <c r="AB41" s="17" t="str">
        <f aca="false">IF((E41="h"),H41," ")</f>
        <v> </v>
      </c>
      <c r="AC41" s="30" t="str">
        <f aca="false">IF((E41="v"),H41," ")</f>
        <v> </v>
      </c>
      <c r="AD41" s="30" t="str">
        <f aca="false">IF((E41="n"),H41," ")</f>
        <v> </v>
      </c>
      <c r="AE41" s="17" t="str">
        <f aca="false">IF((E41="f"),H41," ")</f>
        <v> </v>
      </c>
      <c r="AF41" s="17" t="str">
        <f aca="false">IF((E41="l"),H41," ")</f>
        <v> </v>
      </c>
      <c r="AG41" s="17" t="str">
        <f aca="false">IF((E41="y"),H41," ")</f>
        <v> </v>
      </c>
      <c r="AH41" s="17" t="str">
        <f aca="false">IF((E41="z"),H41," ")</f>
        <v> </v>
      </c>
      <c r="AI41" s="17" t="str">
        <f aca="false">IF((E41="fa"),H41," ")</f>
        <v> </v>
      </c>
      <c r="AJ41" s="17" t="str">
        <f aca="false">IF((E41="e"),H41," ")</f>
        <v> </v>
      </c>
    </row>
    <row r="42" customFormat="false" ht="12" hidden="false" customHeight="false" outlineLevel="0" collapsed="false">
      <c r="A42" s="28"/>
      <c r="E42" s="2"/>
      <c r="F42" s="30"/>
      <c r="G42" s="6" t="str">
        <f aca="false">IF(F42&lt;&gt;0,F42*G$2/(100+G$2)," ")</f>
        <v> </v>
      </c>
      <c r="H42" s="6" t="str">
        <f aca="false">IF((F42&lt;&gt;0),F42-G42," ")</f>
        <v> </v>
      </c>
      <c r="I42" s="5"/>
      <c r="L42" s="7" t="str">
        <f aca="false">IF(F42&lt;&gt;0,F42-K42," ")</f>
        <v> </v>
      </c>
      <c r="M42" s="8" t="str">
        <f aca="false">IF((F42-K42)&lt;&gt;0,M$1-A42," ")</f>
        <v> </v>
      </c>
      <c r="N42" s="5"/>
      <c r="O42" s="17" t="str">
        <f aca="false">IF((E42="s"),H42," ")</f>
        <v> </v>
      </c>
      <c r="P42" s="17" t="str">
        <f aca="false">IF((E42="c"),H42," ")</f>
        <v> </v>
      </c>
      <c r="Q42" s="17" t="str">
        <f aca="false">IF((E42="o"),H42," ")</f>
        <v> </v>
      </c>
      <c r="R42" s="17" t="str">
        <f aca="false">IF((E42="d"),H42," ")</f>
        <v> </v>
      </c>
      <c r="S42" s="17" t="str">
        <f aca="false">IF((E42="w"),H42," ")</f>
        <v> </v>
      </c>
      <c r="T42" s="17" t="str">
        <f aca="false">IF((E42="r"),H42," ")</f>
        <v> </v>
      </c>
      <c r="U42" s="17" t="str">
        <f aca="false">IF((E42="p"),H42," ")</f>
        <v> </v>
      </c>
      <c r="V42" s="17" t="str">
        <f aca="false">IF((E42="t"),H42," ")</f>
        <v> </v>
      </c>
      <c r="W42" s="17" t="str">
        <f aca="false">IF((E42="q"),H42," ")</f>
        <v> </v>
      </c>
      <c r="X42" s="17" t="str">
        <f aca="false">IF((E42="m"),H42," ")</f>
        <v> </v>
      </c>
      <c r="Y42" s="17" t="str">
        <f aca="false">IF((E42="u"),H42," ")</f>
        <v> </v>
      </c>
      <c r="Z42" s="17" t="str">
        <f aca="false">IF((E42="a"),H42," ")</f>
        <v> </v>
      </c>
      <c r="AA42" s="17" t="str">
        <f aca="false">IF((E42="g"),H42," ")</f>
        <v> </v>
      </c>
      <c r="AB42" s="17" t="str">
        <f aca="false">IF((E42="h"),H42," ")</f>
        <v> </v>
      </c>
      <c r="AC42" s="30" t="str">
        <f aca="false">IF((E42="v"),H42," ")</f>
        <v> </v>
      </c>
      <c r="AD42" s="30" t="str">
        <f aca="false">IF((E42="n"),H42," ")</f>
        <v> </v>
      </c>
      <c r="AE42" s="17" t="str">
        <f aca="false">IF((E42="f"),H42," ")</f>
        <v> </v>
      </c>
      <c r="AF42" s="17" t="str">
        <f aca="false">IF((E42="l"),H42," ")</f>
        <v> </v>
      </c>
      <c r="AG42" s="17" t="str">
        <f aca="false">IF((E42="y"),H42," ")</f>
        <v> </v>
      </c>
      <c r="AH42" s="17" t="str">
        <f aca="false">IF((E42="z"),H42," ")</f>
        <v> </v>
      </c>
      <c r="AI42" s="17" t="str">
        <f aca="false">IF((E42="fa"),H42," ")</f>
        <v> </v>
      </c>
      <c r="AJ42" s="17" t="str">
        <f aca="false">IF((E42="e"),H42," ")</f>
        <v> </v>
      </c>
    </row>
    <row r="43" customFormat="false" ht="12" hidden="false" customHeight="false" outlineLevel="0" collapsed="false">
      <c r="A43" s="28"/>
      <c r="E43" s="2"/>
      <c r="F43" s="30"/>
      <c r="G43" s="6" t="str">
        <f aca="false">IF(F43&lt;&gt;0,F43*G$2/(100+G$2)," ")</f>
        <v> </v>
      </c>
      <c r="H43" s="6" t="str">
        <f aca="false">IF((F43&lt;&gt;0),F43-G43," ")</f>
        <v> </v>
      </c>
      <c r="I43" s="5"/>
      <c r="L43" s="7" t="str">
        <f aca="false">IF(F43&lt;&gt;0,F43-K43," ")</f>
        <v> </v>
      </c>
      <c r="M43" s="8" t="str">
        <f aca="false">IF((F43-K43)&lt;&gt;0,M$1-A43," ")</f>
        <v> </v>
      </c>
      <c r="N43" s="5"/>
      <c r="O43" s="17" t="str">
        <f aca="false">IF((E43="s"),H43," ")</f>
        <v> </v>
      </c>
      <c r="P43" s="17" t="str">
        <f aca="false">IF((E43="c"),H43," ")</f>
        <v> </v>
      </c>
      <c r="Q43" s="17" t="str">
        <f aca="false">IF((E43="o"),H43," ")</f>
        <v> </v>
      </c>
      <c r="R43" s="17" t="str">
        <f aca="false">IF((E43="d"),H43," ")</f>
        <v> </v>
      </c>
      <c r="S43" s="17" t="str">
        <f aca="false">IF((E43="w"),H43," ")</f>
        <v> </v>
      </c>
      <c r="T43" s="17" t="str">
        <f aca="false">IF((E43="r"),H43," ")</f>
        <v> </v>
      </c>
      <c r="U43" s="17" t="str">
        <f aca="false">IF((E43="p"),H43," ")</f>
        <v> </v>
      </c>
      <c r="V43" s="17" t="str">
        <f aca="false">IF((E43="t"),H43," ")</f>
        <v> </v>
      </c>
      <c r="W43" s="17" t="str">
        <f aca="false">IF((E43="q"),H43," ")</f>
        <v> </v>
      </c>
      <c r="X43" s="17" t="str">
        <f aca="false">IF((E43="m"),H43," ")</f>
        <v> </v>
      </c>
      <c r="Y43" s="17" t="str">
        <f aca="false">IF((E43="u"),H43," ")</f>
        <v> </v>
      </c>
      <c r="Z43" s="17" t="str">
        <f aca="false">IF((E43="a"),H43," ")</f>
        <v> </v>
      </c>
      <c r="AA43" s="17" t="str">
        <f aca="false">IF((E43="g"),H43," ")</f>
        <v> </v>
      </c>
      <c r="AB43" s="17" t="str">
        <f aca="false">IF((E43="h"),H43," ")</f>
        <v> </v>
      </c>
      <c r="AC43" s="30" t="str">
        <f aca="false">IF((E43="v"),H43," ")</f>
        <v> </v>
      </c>
      <c r="AD43" s="30" t="str">
        <f aca="false">IF((E43="n"),H43," ")</f>
        <v> </v>
      </c>
      <c r="AE43" s="17" t="str">
        <f aca="false">IF((E43="f"),H43," ")</f>
        <v> </v>
      </c>
      <c r="AF43" s="17" t="str">
        <f aca="false">IF((E43="l"),H43," ")</f>
        <v> </v>
      </c>
      <c r="AG43" s="17" t="str">
        <f aca="false">IF((E43="y"),H43," ")</f>
        <v> </v>
      </c>
      <c r="AH43" s="17" t="str">
        <f aca="false">IF((E43="z"),H43," ")</f>
        <v> </v>
      </c>
      <c r="AI43" s="17" t="str">
        <f aca="false">IF((E43="fa"),H43," ")</f>
        <v> </v>
      </c>
      <c r="AJ43" s="17" t="str">
        <f aca="false">IF((E43="e"),H43," ")</f>
        <v> </v>
      </c>
    </row>
    <row r="44" customFormat="false" ht="12" hidden="false" customHeight="false" outlineLevel="0" collapsed="false">
      <c r="A44" s="28"/>
      <c r="E44" s="2"/>
      <c r="F44" s="30"/>
      <c r="G44" s="6" t="str">
        <f aca="false">IF(F44&lt;&gt;0,F44*G$2/(100+G$2)," ")</f>
        <v> </v>
      </c>
      <c r="H44" s="6" t="str">
        <f aca="false">IF((F44&lt;&gt;0),F44-G44," ")</f>
        <v> </v>
      </c>
      <c r="I44" s="5"/>
      <c r="L44" s="7" t="str">
        <f aca="false">IF(F44&lt;&gt;0,F44-K44," ")</f>
        <v> </v>
      </c>
      <c r="M44" s="8" t="str">
        <f aca="false">IF((F44-K44)&lt;&gt;0,M$1-A44," ")</f>
        <v> </v>
      </c>
      <c r="N44" s="5"/>
      <c r="O44" s="17" t="str">
        <f aca="false">IF((E44="s"),H44," ")</f>
        <v> </v>
      </c>
      <c r="P44" s="17" t="str">
        <f aca="false">IF((E44="c"),H44," ")</f>
        <v> </v>
      </c>
      <c r="Q44" s="17" t="str">
        <f aca="false">IF((E44="o"),H44," ")</f>
        <v> </v>
      </c>
      <c r="R44" s="17" t="str">
        <f aca="false">IF((E44="d"),H44," ")</f>
        <v> </v>
      </c>
      <c r="S44" s="17" t="str">
        <f aca="false">IF((E44="w"),H44," ")</f>
        <v> </v>
      </c>
      <c r="T44" s="17" t="str">
        <f aca="false">IF((E44="r"),H44," ")</f>
        <v> </v>
      </c>
      <c r="U44" s="17" t="str">
        <f aca="false">IF((E44="p"),H44," ")</f>
        <v> </v>
      </c>
      <c r="V44" s="17" t="str">
        <f aca="false">IF((E44="t"),H44," ")</f>
        <v> </v>
      </c>
      <c r="W44" s="17" t="str">
        <f aca="false">IF((E44="q"),H44," ")</f>
        <v> </v>
      </c>
      <c r="X44" s="17" t="str">
        <f aca="false">IF((E44="m"),H44," ")</f>
        <v> </v>
      </c>
      <c r="Y44" s="17" t="str">
        <f aca="false">IF((E44="u"),H44," ")</f>
        <v> </v>
      </c>
      <c r="Z44" s="17" t="str">
        <f aca="false">IF((E44="a"),H44," ")</f>
        <v> </v>
      </c>
      <c r="AA44" s="17" t="str">
        <f aca="false">IF((E44="g"),H44," ")</f>
        <v> </v>
      </c>
      <c r="AB44" s="17" t="str">
        <f aca="false">IF((E44="h"),H44," ")</f>
        <v> </v>
      </c>
      <c r="AC44" s="30" t="str">
        <f aca="false">IF((E44="v"),H44," ")</f>
        <v> </v>
      </c>
      <c r="AD44" s="30" t="str">
        <f aca="false">IF((E44="n"),H44," ")</f>
        <v> </v>
      </c>
      <c r="AE44" s="17" t="str">
        <f aca="false">IF((E44="f"),H44," ")</f>
        <v> </v>
      </c>
      <c r="AF44" s="17" t="str">
        <f aca="false">IF((E44="l"),H44," ")</f>
        <v> </v>
      </c>
      <c r="AG44" s="17" t="str">
        <f aca="false">IF((E44="y"),H44," ")</f>
        <v> </v>
      </c>
      <c r="AH44" s="17" t="str">
        <f aca="false">IF((E44="z"),H44," ")</f>
        <v> </v>
      </c>
      <c r="AI44" s="17" t="str">
        <f aca="false">IF((E44="fa"),H44," ")</f>
        <v> </v>
      </c>
      <c r="AJ44" s="17" t="str">
        <f aca="false">IF((E44="e"),H44," ")</f>
        <v> </v>
      </c>
    </row>
    <row r="45" customFormat="false" ht="12" hidden="false" customHeight="false" outlineLevel="0" collapsed="false">
      <c r="A45" s="28"/>
      <c r="E45" s="2"/>
      <c r="F45" s="30"/>
      <c r="G45" s="6" t="str">
        <f aca="false">IF(F45&lt;&gt;0,F45*G$2/(100+G$2)," ")</f>
        <v> </v>
      </c>
      <c r="H45" s="6" t="str">
        <f aca="false">IF((F45&lt;&gt;0),F45-G45," ")</f>
        <v> </v>
      </c>
      <c r="I45" s="5"/>
      <c r="L45" s="7" t="str">
        <f aca="false">IF(F45&lt;&gt;0,F45-K45," ")</f>
        <v> </v>
      </c>
      <c r="M45" s="8" t="str">
        <f aca="false">IF((F45-K45)&lt;&gt;0,M$1-A45," ")</f>
        <v> </v>
      </c>
      <c r="N45" s="5"/>
      <c r="O45" s="17" t="str">
        <f aca="false">IF((E45="s"),H45," ")</f>
        <v> </v>
      </c>
      <c r="P45" s="17" t="str">
        <f aca="false">IF((E45="c"),H45," ")</f>
        <v> </v>
      </c>
      <c r="Q45" s="17" t="str">
        <f aca="false">IF((E45="o"),H45," ")</f>
        <v> </v>
      </c>
      <c r="R45" s="17" t="str">
        <f aca="false">IF((E45="d"),H45," ")</f>
        <v> </v>
      </c>
      <c r="S45" s="17" t="str">
        <f aca="false">IF((E45="w"),H45," ")</f>
        <v> </v>
      </c>
      <c r="T45" s="17" t="str">
        <f aca="false">IF((E45="r"),H45," ")</f>
        <v> </v>
      </c>
      <c r="U45" s="17" t="str">
        <f aca="false">IF((E45="p"),H45," ")</f>
        <v> </v>
      </c>
      <c r="V45" s="17" t="str">
        <f aca="false">IF((E45="t"),H45," ")</f>
        <v> </v>
      </c>
      <c r="W45" s="17" t="str">
        <f aca="false">IF((E45="q"),H45," ")</f>
        <v> </v>
      </c>
      <c r="X45" s="17" t="str">
        <f aca="false">IF((E45="m"),H45," ")</f>
        <v> </v>
      </c>
      <c r="Y45" s="17" t="str">
        <f aca="false">IF((E45="u"),H45," ")</f>
        <v> </v>
      </c>
      <c r="Z45" s="17" t="str">
        <f aca="false">IF((E45="a"),H45," ")</f>
        <v> </v>
      </c>
      <c r="AA45" s="17" t="str">
        <f aca="false">IF((E45="g"),H45," ")</f>
        <v> </v>
      </c>
      <c r="AB45" s="17" t="str">
        <f aca="false">IF((E45="h"),H45," ")</f>
        <v> </v>
      </c>
      <c r="AC45" s="30" t="str">
        <f aca="false">IF((E45="v"),H45," ")</f>
        <v> </v>
      </c>
      <c r="AD45" s="30" t="str">
        <f aca="false">IF((E45="n"),H45," ")</f>
        <v> </v>
      </c>
      <c r="AE45" s="17" t="str">
        <f aca="false">IF((E45="f"),H45," ")</f>
        <v> </v>
      </c>
      <c r="AF45" s="17" t="str">
        <f aca="false">IF((E45="l"),H45," ")</f>
        <v> </v>
      </c>
      <c r="AG45" s="17" t="str">
        <f aca="false">IF((E45="y"),H45," ")</f>
        <v> </v>
      </c>
      <c r="AH45" s="17" t="str">
        <f aca="false">IF((E45="z"),H45," ")</f>
        <v> </v>
      </c>
      <c r="AI45" s="17" t="str">
        <f aca="false">IF((E45="fa"),H45," ")</f>
        <v> </v>
      </c>
      <c r="AJ45" s="17" t="str">
        <f aca="false">IF((E45="e"),H45," ")</f>
        <v> </v>
      </c>
    </row>
    <row r="46" customFormat="false" ht="12" hidden="false" customHeight="false" outlineLevel="0" collapsed="false">
      <c r="A46" s="28"/>
      <c r="E46" s="2"/>
      <c r="F46" s="30"/>
      <c r="G46" s="6" t="str">
        <f aca="false">IF(F46&lt;&gt;0,F46*G$2/(100+G$2)," ")</f>
        <v> </v>
      </c>
      <c r="H46" s="6" t="str">
        <f aca="false">IF((F46&lt;&gt;0),F46-G46," ")</f>
        <v> </v>
      </c>
      <c r="I46" s="5"/>
      <c r="L46" s="7" t="str">
        <f aca="false">IF(F46&lt;&gt;0,F46-K46," ")</f>
        <v> </v>
      </c>
      <c r="M46" s="8" t="str">
        <f aca="false">IF((F46-K46)&lt;&gt;0,M$1-A46," ")</f>
        <v> </v>
      </c>
      <c r="N46" s="5"/>
      <c r="O46" s="17" t="str">
        <f aca="false">IF((E46="s"),H46," ")</f>
        <v> </v>
      </c>
      <c r="P46" s="17" t="str">
        <f aca="false">IF((E46="c"),H46," ")</f>
        <v> </v>
      </c>
      <c r="Q46" s="17" t="str">
        <f aca="false">IF((E46="o"),H46," ")</f>
        <v> </v>
      </c>
      <c r="R46" s="17" t="str">
        <f aca="false">IF((E46="d"),H46," ")</f>
        <v> </v>
      </c>
      <c r="S46" s="17" t="str">
        <f aca="false">IF((E46="w"),H46," ")</f>
        <v> </v>
      </c>
      <c r="T46" s="17" t="str">
        <f aca="false">IF((E46="r"),H46," ")</f>
        <v> </v>
      </c>
      <c r="U46" s="17" t="str">
        <f aca="false">IF((E46="p"),H46," ")</f>
        <v> </v>
      </c>
      <c r="V46" s="17" t="str">
        <f aca="false">IF((E46="t"),H46," ")</f>
        <v> </v>
      </c>
      <c r="W46" s="17" t="str">
        <f aca="false">IF((E46="q"),H46," ")</f>
        <v> </v>
      </c>
      <c r="X46" s="17" t="str">
        <f aca="false">IF((E46="m"),H46," ")</f>
        <v> </v>
      </c>
      <c r="Y46" s="17" t="str">
        <f aca="false">IF((E46="u"),H46," ")</f>
        <v> </v>
      </c>
      <c r="Z46" s="17" t="str">
        <f aca="false">IF((E46="a"),H46," ")</f>
        <v> </v>
      </c>
      <c r="AA46" s="17" t="str">
        <f aca="false">IF((E46="g"),H46," ")</f>
        <v> </v>
      </c>
      <c r="AB46" s="17" t="str">
        <f aca="false">IF((E46="h"),H46," ")</f>
        <v> </v>
      </c>
      <c r="AC46" s="30" t="str">
        <f aca="false">IF((E46="v"),H46," ")</f>
        <v> </v>
      </c>
      <c r="AD46" s="30" t="str">
        <f aca="false">IF((E46="n"),H46," ")</f>
        <v> </v>
      </c>
      <c r="AE46" s="17" t="str">
        <f aca="false">IF((E46="f"),H46," ")</f>
        <v> </v>
      </c>
      <c r="AF46" s="17" t="str">
        <f aca="false">IF((E46="l"),H46," ")</f>
        <v> </v>
      </c>
      <c r="AG46" s="17" t="str">
        <f aca="false">IF((E46="y"),H46," ")</f>
        <v> </v>
      </c>
      <c r="AH46" s="17" t="str">
        <f aca="false">IF((E46="z"),H46," ")</f>
        <v> </v>
      </c>
      <c r="AI46" s="17" t="str">
        <f aca="false">IF((E46="fa"),H46," ")</f>
        <v> </v>
      </c>
      <c r="AJ46" s="17" t="str">
        <f aca="false">IF((E46="e"),H46," ")</f>
        <v> </v>
      </c>
    </row>
    <row r="47" customFormat="false" ht="12" hidden="false" customHeight="false" outlineLevel="0" collapsed="false">
      <c r="A47" s="28"/>
      <c r="E47" s="2"/>
      <c r="F47" s="30"/>
      <c r="G47" s="6" t="str">
        <f aca="false">IF(F47&lt;&gt;0,F47*G$2/(100+G$2)," ")</f>
        <v> </v>
      </c>
      <c r="H47" s="6" t="str">
        <f aca="false">IF((F47&lt;&gt;0),F47-G47," ")</f>
        <v> </v>
      </c>
      <c r="I47" s="5"/>
      <c r="L47" s="7" t="str">
        <f aca="false">IF(F47&lt;&gt;0,F47-K47," ")</f>
        <v> </v>
      </c>
      <c r="M47" s="8" t="str">
        <f aca="false">IF((F47-K47)&lt;&gt;0,M$1-A47," ")</f>
        <v> </v>
      </c>
      <c r="N47" s="5"/>
      <c r="O47" s="17" t="str">
        <f aca="false">IF((E47="s"),H47," ")</f>
        <v> </v>
      </c>
      <c r="P47" s="17" t="str">
        <f aca="false">IF((E47="c"),H47," ")</f>
        <v> </v>
      </c>
      <c r="Q47" s="17" t="str">
        <f aca="false">IF((E47="o"),H47," ")</f>
        <v> </v>
      </c>
      <c r="R47" s="17" t="str">
        <f aca="false">IF((E47="d"),H47," ")</f>
        <v> </v>
      </c>
      <c r="S47" s="17" t="str">
        <f aca="false">IF((E47="w"),H47," ")</f>
        <v> </v>
      </c>
      <c r="T47" s="17" t="str">
        <f aca="false">IF((E47="r"),H47," ")</f>
        <v> </v>
      </c>
      <c r="U47" s="17" t="str">
        <f aca="false">IF((E47="p"),H47," ")</f>
        <v> </v>
      </c>
      <c r="V47" s="17" t="str">
        <f aca="false">IF((E47="t"),H47," ")</f>
        <v> </v>
      </c>
      <c r="W47" s="17" t="str">
        <f aca="false">IF((E47="q"),H47," ")</f>
        <v> </v>
      </c>
      <c r="X47" s="17" t="str">
        <f aca="false">IF((E47="m"),H47," ")</f>
        <v> </v>
      </c>
      <c r="Y47" s="17" t="str">
        <f aca="false">IF((E47="u"),H47," ")</f>
        <v> </v>
      </c>
      <c r="Z47" s="17" t="str">
        <f aca="false">IF((E47="a"),H47," ")</f>
        <v> </v>
      </c>
      <c r="AA47" s="17" t="str">
        <f aca="false">IF((E47="g"),H47," ")</f>
        <v> </v>
      </c>
      <c r="AB47" s="17" t="str">
        <f aca="false">IF((E47="h"),H47," ")</f>
        <v> </v>
      </c>
      <c r="AC47" s="30" t="str">
        <f aca="false">IF((E47="v"),H47," ")</f>
        <v> </v>
      </c>
      <c r="AD47" s="30" t="str">
        <f aca="false">IF((E47="n"),H47," ")</f>
        <v> </v>
      </c>
      <c r="AE47" s="17" t="str">
        <f aca="false">IF((E47="f"),H47," ")</f>
        <v> </v>
      </c>
      <c r="AF47" s="17" t="str">
        <f aca="false">IF((E47="l"),H47," ")</f>
        <v> </v>
      </c>
      <c r="AG47" s="17" t="str">
        <f aca="false">IF((E47="y"),H47," ")</f>
        <v> </v>
      </c>
      <c r="AH47" s="17" t="str">
        <f aca="false">IF((E47="z"),H47," ")</f>
        <v> </v>
      </c>
      <c r="AI47" s="17" t="str">
        <f aca="false">IF((E47="fa"),H47," ")</f>
        <v> </v>
      </c>
      <c r="AJ47" s="17" t="str">
        <f aca="false">IF((E47="e"),H47," ")</f>
        <v> </v>
      </c>
    </row>
    <row r="48" customFormat="false" ht="12" hidden="false" customHeight="false" outlineLevel="0" collapsed="false">
      <c r="A48" s="28"/>
      <c r="E48" s="2"/>
      <c r="F48" s="30"/>
      <c r="G48" s="6" t="str">
        <f aca="false">IF(F48&lt;&gt;0,F48*G$2/(100+G$2)," ")</f>
        <v> </v>
      </c>
      <c r="H48" s="6" t="str">
        <f aca="false">IF((F48&lt;&gt;0),F48-G48," ")</f>
        <v> </v>
      </c>
      <c r="I48" s="5"/>
      <c r="L48" s="7" t="str">
        <f aca="false">IF(F48&lt;&gt;0,F48-K48," ")</f>
        <v> </v>
      </c>
      <c r="M48" s="8" t="str">
        <f aca="false">IF((F48-K48)&lt;&gt;0,M$1-A48," ")</f>
        <v> </v>
      </c>
      <c r="N48" s="5"/>
      <c r="O48" s="17" t="str">
        <f aca="false">IF((E48="s"),H48," ")</f>
        <v> </v>
      </c>
      <c r="P48" s="17" t="str">
        <f aca="false">IF((E48="c"),H48," ")</f>
        <v> </v>
      </c>
      <c r="Q48" s="17" t="str">
        <f aca="false">IF((E48="o"),H48," ")</f>
        <v> </v>
      </c>
      <c r="R48" s="17" t="str">
        <f aca="false">IF((E48="d"),H48," ")</f>
        <v> </v>
      </c>
      <c r="S48" s="17" t="str">
        <f aca="false">IF((E48="w"),H48," ")</f>
        <v> </v>
      </c>
      <c r="T48" s="17" t="str">
        <f aca="false">IF((E48="r"),H48," ")</f>
        <v> </v>
      </c>
      <c r="U48" s="17" t="str">
        <f aca="false">IF((E48="p"),H48," ")</f>
        <v> </v>
      </c>
      <c r="V48" s="17" t="str">
        <f aca="false">IF((E48="t"),H48," ")</f>
        <v> </v>
      </c>
      <c r="W48" s="17" t="str">
        <f aca="false">IF((E48="q"),H48," ")</f>
        <v> </v>
      </c>
      <c r="X48" s="17" t="str">
        <f aca="false">IF((E48="m"),H48," ")</f>
        <v> </v>
      </c>
      <c r="Y48" s="17" t="str">
        <f aca="false">IF((E48="u"),H48," ")</f>
        <v> </v>
      </c>
      <c r="Z48" s="17" t="str">
        <f aca="false">IF((E48="a"),H48," ")</f>
        <v> </v>
      </c>
      <c r="AA48" s="17" t="str">
        <f aca="false">IF((E48="g"),H48," ")</f>
        <v> </v>
      </c>
      <c r="AB48" s="17" t="str">
        <f aca="false">IF((E48="h"),H48," ")</f>
        <v> </v>
      </c>
      <c r="AC48" s="30" t="str">
        <f aca="false">IF((E48="v"),H48," ")</f>
        <v> </v>
      </c>
      <c r="AD48" s="30" t="str">
        <f aca="false">IF((E48="n"),H48," ")</f>
        <v> </v>
      </c>
      <c r="AE48" s="17" t="str">
        <f aca="false">IF((E48="f"),H48," ")</f>
        <v> </v>
      </c>
      <c r="AF48" s="17" t="str">
        <f aca="false">IF((E48="l"),H48," ")</f>
        <v> </v>
      </c>
      <c r="AG48" s="17" t="str">
        <f aca="false">IF((E48="y"),H48," ")</f>
        <v> </v>
      </c>
      <c r="AH48" s="17" t="str">
        <f aca="false">IF((E48="z"),H48," ")</f>
        <v> </v>
      </c>
      <c r="AI48" s="17" t="str">
        <f aca="false">IF((E48="fa"),H48," ")</f>
        <v> </v>
      </c>
      <c r="AJ48" s="17" t="str">
        <f aca="false">IF((E48="e"),H48," ")</f>
        <v> </v>
      </c>
    </row>
    <row r="49" customFormat="false" ht="12" hidden="false" customHeight="false" outlineLevel="0" collapsed="false">
      <c r="A49" s="28"/>
      <c r="E49" s="2"/>
      <c r="F49" s="30"/>
      <c r="G49" s="6" t="str">
        <f aca="false">IF(F49&lt;&gt;0,F49*G$2/(100+G$2)," ")</f>
        <v> </v>
      </c>
      <c r="H49" s="6" t="str">
        <f aca="false">IF((F49&lt;&gt;0),F49-G49," ")</f>
        <v> </v>
      </c>
      <c r="I49" s="5"/>
      <c r="L49" s="7" t="str">
        <f aca="false">IF(F49&lt;&gt;0,F49-K49," ")</f>
        <v> </v>
      </c>
      <c r="M49" s="8" t="str">
        <f aca="false">IF((F49-K49)&lt;&gt;0,M$1-A49," ")</f>
        <v> </v>
      </c>
      <c r="N49" s="5"/>
      <c r="O49" s="17" t="str">
        <f aca="false">IF((E49="s"),H49," ")</f>
        <v> </v>
      </c>
      <c r="P49" s="17" t="str">
        <f aca="false">IF((E49="c"),H49," ")</f>
        <v> </v>
      </c>
      <c r="Q49" s="17" t="str">
        <f aca="false">IF((E49="o"),H49," ")</f>
        <v> </v>
      </c>
      <c r="R49" s="17" t="str">
        <f aca="false">IF((E49="d"),H49," ")</f>
        <v> </v>
      </c>
      <c r="S49" s="17" t="str">
        <f aca="false">IF((E49="w"),H49," ")</f>
        <v> </v>
      </c>
      <c r="T49" s="17" t="str">
        <f aca="false">IF((E49="r"),H49," ")</f>
        <v> </v>
      </c>
      <c r="U49" s="17" t="str">
        <f aca="false">IF((E49="p"),H49," ")</f>
        <v> </v>
      </c>
      <c r="V49" s="17" t="str">
        <f aca="false">IF((E49="t"),H49," ")</f>
        <v> </v>
      </c>
      <c r="W49" s="17" t="str">
        <f aca="false">IF((E49="q"),H49," ")</f>
        <v> </v>
      </c>
      <c r="X49" s="17" t="str">
        <f aca="false">IF((E49="m"),H49," ")</f>
        <v> </v>
      </c>
      <c r="Y49" s="17" t="str">
        <f aca="false">IF((E49="u"),H49," ")</f>
        <v> </v>
      </c>
      <c r="Z49" s="17" t="str">
        <f aca="false">IF((E49="a"),H49," ")</f>
        <v> </v>
      </c>
      <c r="AA49" s="17" t="str">
        <f aca="false">IF((E49="g"),H49," ")</f>
        <v> </v>
      </c>
      <c r="AB49" s="17" t="str">
        <f aca="false">IF((E49="h"),H49," ")</f>
        <v> </v>
      </c>
      <c r="AC49" s="30" t="str">
        <f aca="false">IF((E49="v"),H49," ")</f>
        <v> </v>
      </c>
      <c r="AD49" s="30" t="str">
        <f aca="false">IF((E49="n"),H49," ")</f>
        <v> </v>
      </c>
      <c r="AE49" s="17" t="str">
        <f aca="false">IF((E49="f"),H49," ")</f>
        <v> </v>
      </c>
      <c r="AF49" s="17" t="str">
        <f aca="false">IF((E49="l"),H49," ")</f>
        <v> </v>
      </c>
      <c r="AG49" s="17" t="str">
        <f aca="false">IF((E49="y"),H49," ")</f>
        <v> </v>
      </c>
      <c r="AH49" s="17" t="str">
        <f aca="false">IF((E49="z"),H49," ")</f>
        <v> </v>
      </c>
      <c r="AI49" s="17" t="str">
        <f aca="false">IF((E49="fa"),H49," ")</f>
        <v> </v>
      </c>
      <c r="AJ49" s="17" t="str">
        <f aca="false">IF((E49="e"),H49," ")</f>
        <v> </v>
      </c>
    </row>
    <row r="50" customFormat="false" ht="12" hidden="false" customHeight="false" outlineLevel="0" collapsed="false">
      <c r="A50" s="28"/>
      <c r="E50" s="2"/>
      <c r="F50" s="30"/>
      <c r="G50" s="6" t="str">
        <f aca="false">IF(F50&lt;&gt;0,F50*G$2/(100+G$2)," ")</f>
        <v> </v>
      </c>
      <c r="H50" s="6" t="str">
        <f aca="false">IF((F50&lt;&gt;0),F50-G50," ")</f>
        <v> </v>
      </c>
      <c r="I50" s="5"/>
      <c r="L50" s="7" t="str">
        <f aca="false">IF(F50&lt;&gt;0,F50-K50," ")</f>
        <v> </v>
      </c>
      <c r="M50" s="8" t="str">
        <f aca="false">IF((F50-K50)&lt;&gt;0,M$1-A50," ")</f>
        <v> </v>
      </c>
      <c r="N50" s="5"/>
      <c r="O50" s="17" t="str">
        <f aca="false">IF((E50="s"),H50," ")</f>
        <v> </v>
      </c>
      <c r="P50" s="17" t="str">
        <f aca="false">IF((E50="c"),H50," ")</f>
        <v> </v>
      </c>
      <c r="Q50" s="17" t="str">
        <f aca="false">IF((E50="o"),H50," ")</f>
        <v> </v>
      </c>
      <c r="R50" s="17" t="str">
        <f aca="false">IF((E50="d"),H50," ")</f>
        <v> </v>
      </c>
      <c r="S50" s="17" t="str">
        <f aca="false">IF((E50="w"),H50," ")</f>
        <v> </v>
      </c>
      <c r="T50" s="17" t="str">
        <f aca="false">IF((E50="r"),H50," ")</f>
        <v> </v>
      </c>
      <c r="U50" s="17" t="str">
        <f aca="false">IF((E50="p"),H50," ")</f>
        <v> </v>
      </c>
      <c r="V50" s="17" t="str">
        <f aca="false">IF((E50="t"),H50," ")</f>
        <v> </v>
      </c>
      <c r="W50" s="17" t="str">
        <f aca="false">IF((E50="q"),H50," ")</f>
        <v> </v>
      </c>
      <c r="X50" s="17" t="str">
        <f aca="false">IF((E50="m"),H50," ")</f>
        <v> </v>
      </c>
      <c r="Y50" s="17" t="str">
        <f aca="false">IF((E50="u"),H50," ")</f>
        <v> </v>
      </c>
      <c r="Z50" s="17" t="str">
        <f aca="false">IF((E50="a"),H50," ")</f>
        <v> </v>
      </c>
      <c r="AA50" s="17" t="str">
        <f aca="false">IF((E50="g"),H50," ")</f>
        <v> </v>
      </c>
      <c r="AB50" s="17" t="str">
        <f aca="false">IF((E50="h"),H50," ")</f>
        <v> </v>
      </c>
      <c r="AC50" s="30" t="str">
        <f aca="false">IF((E50="v"),H50," ")</f>
        <v> </v>
      </c>
      <c r="AD50" s="30" t="str">
        <f aca="false">IF((E50="n"),H50," ")</f>
        <v> </v>
      </c>
      <c r="AE50" s="17" t="str">
        <f aca="false">IF((E50="f"),H50," ")</f>
        <v> </v>
      </c>
      <c r="AF50" s="17" t="str">
        <f aca="false">IF((E50="l"),H50," ")</f>
        <v> </v>
      </c>
      <c r="AG50" s="17" t="str">
        <f aca="false">IF((E50="y"),H50," ")</f>
        <v> </v>
      </c>
      <c r="AH50" s="17" t="str">
        <f aca="false">IF((E50="z"),H50," ")</f>
        <v> </v>
      </c>
      <c r="AI50" s="17" t="str">
        <f aca="false">IF((E50="fa"),H50," ")</f>
        <v> </v>
      </c>
      <c r="AJ50" s="17" t="str">
        <f aca="false">IF((E50="e"),H50," ")</f>
        <v> </v>
      </c>
    </row>
    <row r="51" customFormat="false" ht="12" hidden="false" customHeight="false" outlineLevel="0" collapsed="false">
      <c r="A51" s="28"/>
      <c r="E51" s="2"/>
      <c r="F51" s="30"/>
      <c r="G51" s="6" t="str">
        <f aca="false">IF(F51&lt;&gt;0,F51*G$2/(100+G$2)," ")</f>
        <v> </v>
      </c>
      <c r="H51" s="6" t="str">
        <f aca="false">IF((F51&lt;&gt;0),F51-G51," ")</f>
        <v> </v>
      </c>
      <c r="I51" s="5"/>
      <c r="L51" s="7" t="str">
        <f aca="false">IF(F51&lt;&gt;0,F51-K51," ")</f>
        <v> </v>
      </c>
      <c r="M51" s="8" t="str">
        <f aca="false">IF((F51-K51)&lt;&gt;0,M$1-A51," ")</f>
        <v> </v>
      </c>
      <c r="N51" s="5"/>
      <c r="O51" s="17" t="str">
        <f aca="false">IF((E51="s"),H51," ")</f>
        <v> </v>
      </c>
      <c r="P51" s="17" t="str">
        <f aca="false">IF((E51="c"),H51," ")</f>
        <v> </v>
      </c>
      <c r="Q51" s="17" t="str">
        <f aca="false">IF((E51="o"),H51," ")</f>
        <v> </v>
      </c>
      <c r="R51" s="17" t="str">
        <f aca="false">IF((E51="d"),H51," ")</f>
        <v> </v>
      </c>
      <c r="S51" s="17" t="str">
        <f aca="false">IF((E51="w"),H51," ")</f>
        <v> </v>
      </c>
      <c r="T51" s="17" t="str">
        <f aca="false">IF((E51="r"),H51," ")</f>
        <v> </v>
      </c>
      <c r="U51" s="17" t="str">
        <f aca="false">IF((E51="p"),H51," ")</f>
        <v> </v>
      </c>
      <c r="V51" s="17" t="str">
        <f aca="false">IF((E51="t"),H51," ")</f>
        <v> </v>
      </c>
      <c r="W51" s="17" t="str">
        <f aca="false">IF((E51="q"),H51," ")</f>
        <v> </v>
      </c>
      <c r="X51" s="17" t="str">
        <f aca="false">IF((E51="m"),H51," ")</f>
        <v> </v>
      </c>
      <c r="Y51" s="17" t="str">
        <f aca="false">IF((E51="u"),H51," ")</f>
        <v> </v>
      </c>
      <c r="Z51" s="17" t="str">
        <f aca="false">IF((E51="a"),H51," ")</f>
        <v> </v>
      </c>
      <c r="AA51" s="17" t="str">
        <f aca="false">IF((E51="g"),H51," ")</f>
        <v> </v>
      </c>
      <c r="AB51" s="17" t="str">
        <f aca="false">IF((E51="h"),H51," ")</f>
        <v> </v>
      </c>
      <c r="AC51" s="30" t="str">
        <f aca="false">IF((E51="v"),H51," ")</f>
        <v> </v>
      </c>
      <c r="AD51" s="30" t="str">
        <f aca="false">IF((E51="n"),H51," ")</f>
        <v> </v>
      </c>
      <c r="AE51" s="17" t="str">
        <f aca="false">IF((E51="f"),H51," ")</f>
        <v> </v>
      </c>
      <c r="AF51" s="17" t="str">
        <f aca="false">IF((E51="l"),H51," ")</f>
        <v> </v>
      </c>
      <c r="AG51" s="17" t="str">
        <f aca="false">IF((E51="y"),H51," ")</f>
        <v> </v>
      </c>
      <c r="AH51" s="17" t="str">
        <f aca="false">IF((E51="z"),H51," ")</f>
        <v> </v>
      </c>
      <c r="AI51" s="17" t="str">
        <f aca="false">IF((E51="fa"),H51," ")</f>
        <v> </v>
      </c>
      <c r="AJ51" s="17" t="str">
        <f aca="false">IF((E51="e"),H51," ")</f>
        <v> </v>
      </c>
    </row>
    <row r="52" customFormat="false" ht="12" hidden="false" customHeight="false" outlineLevel="0" collapsed="false">
      <c r="A52" s="28"/>
      <c r="E52" s="2"/>
      <c r="F52" s="30"/>
      <c r="G52" s="6" t="str">
        <f aca="false">IF(F52&lt;&gt;0,F52*G$2/(100+G$2)," ")</f>
        <v> </v>
      </c>
      <c r="H52" s="6" t="str">
        <f aca="false">IF((F52&lt;&gt;0),F52-G52," ")</f>
        <v> </v>
      </c>
      <c r="I52" s="5"/>
      <c r="L52" s="7" t="str">
        <f aca="false">IF(F52&lt;&gt;0,F52-K52," ")</f>
        <v> </v>
      </c>
      <c r="M52" s="8" t="str">
        <f aca="false">IF((F52-K52)&lt;&gt;0,M$1-A52," ")</f>
        <v> </v>
      </c>
      <c r="N52" s="5"/>
      <c r="O52" s="17" t="str">
        <f aca="false">IF((E52="s"),H52," ")</f>
        <v> </v>
      </c>
      <c r="P52" s="17" t="str">
        <f aca="false">IF((E52="c"),H52," ")</f>
        <v> </v>
      </c>
      <c r="Q52" s="17" t="str">
        <f aca="false">IF((E52="o"),H52," ")</f>
        <v> </v>
      </c>
      <c r="R52" s="17" t="str">
        <f aca="false">IF((E52="d"),H52," ")</f>
        <v> </v>
      </c>
      <c r="S52" s="17" t="str">
        <f aca="false">IF((E52="w"),H52," ")</f>
        <v> </v>
      </c>
      <c r="T52" s="17" t="str">
        <f aca="false">IF((E52="r"),H52," ")</f>
        <v> </v>
      </c>
      <c r="U52" s="17" t="str">
        <f aca="false">IF((E52="p"),H52," ")</f>
        <v> </v>
      </c>
      <c r="V52" s="17" t="str">
        <f aca="false">IF((E52="t"),H52," ")</f>
        <v> </v>
      </c>
      <c r="W52" s="17" t="str">
        <f aca="false">IF((E52="q"),H52," ")</f>
        <v> </v>
      </c>
      <c r="X52" s="17" t="str">
        <f aca="false">IF((E52="m"),H52," ")</f>
        <v> </v>
      </c>
      <c r="Y52" s="17" t="str">
        <f aca="false">IF((E52="u"),H52," ")</f>
        <v> </v>
      </c>
      <c r="Z52" s="17" t="str">
        <f aca="false">IF((E52="a"),H52," ")</f>
        <v> </v>
      </c>
      <c r="AA52" s="17" t="str">
        <f aca="false">IF((E52="g"),H52," ")</f>
        <v> </v>
      </c>
      <c r="AB52" s="17" t="str">
        <f aca="false">IF((E52="h"),H52," ")</f>
        <v> </v>
      </c>
      <c r="AC52" s="30" t="str">
        <f aca="false">IF((E52="v"),H52," ")</f>
        <v> </v>
      </c>
      <c r="AD52" s="30" t="str">
        <f aca="false">IF((E52="n"),H52," ")</f>
        <v> </v>
      </c>
      <c r="AE52" s="17" t="str">
        <f aca="false">IF((E52="f"),H52," ")</f>
        <v> </v>
      </c>
      <c r="AF52" s="17" t="str">
        <f aca="false">IF((E52="l"),H52," ")</f>
        <v> </v>
      </c>
      <c r="AG52" s="17" t="str">
        <f aca="false">IF((E52="y"),H52," ")</f>
        <v> </v>
      </c>
      <c r="AH52" s="17" t="str">
        <f aca="false">IF((E52="z"),H52," ")</f>
        <v> </v>
      </c>
      <c r="AI52" s="17" t="str">
        <f aca="false">IF((E52="fa"),H52," ")</f>
        <v> </v>
      </c>
      <c r="AJ52" s="17" t="str">
        <f aca="false">IF((E52="e"),H52," ")</f>
        <v> </v>
      </c>
    </row>
    <row r="53" customFormat="false" ht="12" hidden="false" customHeight="false" outlineLevel="0" collapsed="false">
      <c r="A53" s="28"/>
      <c r="E53" s="2"/>
      <c r="F53" s="30"/>
      <c r="G53" s="6" t="str">
        <f aca="false">IF(F53&lt;&gt;0,F53*G$2/(100+G$2)," ")</f>
        <v> </v>
      </c>
      <c r="H53" s="6" t="str">
        <f aca="false">IF((F53&lt;&gt;0),F53-G53," ")</f>
        <v> </v>
      </c>
      <c r="I53" s="5"/>
      <c r="L53" s="7" t="str">
        <f aca="false">IF(F53&lt;&gt;0,F53-K53," ")</f>
        <v> </v>
      </c>
      <c r="M53" s="8" t="str">
        <f aca="false">IF((F53-K53)&lt;&gt;0,M$1-A53," ")</f>
        <v> </v>
      </c>
      <c r="N53" s="5"/>
      <c r="O53" s="17" t="str">
        <f aca="false">IF((E53="s"),H53," ")</f>
        <v> </v>
      </c>
      <c r="P53" s="17" t="str">
        <f aca="false">IF((E53="c"),H53," ")</f>
        <v> </v>
      </c>
      <c r="Q53" s="17" t="str">
        <f aca="false">IF((E53="o"),H53," ")</f>
        <v> </v>
      </c>
      <c r="R53" s="17" t="str">
        <f aca="false">IF((E53="d"),H53," ")</f>
        <v> </v>
      </c>
      <c r="S53" s="17" t="str">
        <f aca="false">IF((E53="w"),H53," ")</f>
        <v> </v>
      </c>
      <c r="T53" s="17" t="str">
        <f aca="false">IF((E53="r"),H53," ")</f>
        <v> </v>
      </c>
      <c r="U53" s="17" t="str">
        <f aca="false">IF((E53="p"),H53," ")</f>
        <v> </v>
      </c>
      <c r="V53" s="17" t="str">
        <f aca="false">IF((E53="t"),H53," ")</f>
        <v> </v>
      </c>
      <c r="W53" s="17" t="str">
        <f aca="false">IF((E53="q"),H53," ")</f>
        <v> </v>
      </c>
      <c r="X53" s="17" t="str">
        <f aca="false">IF((E53="m"),H53," ")</f>
        <v> </v>
      </c>
      <c r="Y53" s="17" t="str">
        <f aca="false">IF((E53="u"),H53," ")</f>
        <v> </v>
      </c>
      <c r="Z53" s="17" t="str">
        <f aca="false">IF((E53="a"),H53," ")</f>
        <v> </v>
      </c>
      <c r="AA53" s="17" t="str">
        <f aca="false">IF((E53="g"),H53," ")</f>
        <v> </v>
      </c>
      <c r="AB53" s="17" t="str">
        <f aca="false">IF((E53="h"),H53," ")</f>
        <v> </v>
      </c>
      <c r="AC53" s="30" t="str">
        <f aca="false">IF((E53="v"),H53," ")</f>
        <v> </v>
      </c>
      <c r="AD53" s="30" t="str">
        <f aca="false">IF((E53="n"),H53," ")</f>
        <v> </v>
      </c>
      <c r="AE53" s="17" t="str">
        <f aca="false">IF((E53="f"),H53," ")</f>
        <v> </v>
      </c>
      <c r="AF53" s="17" t="str">
        <f aca="false">IF((E53="l"),H53," ")</f>
        <v> </v>
      </c>
      <c r="AG53" s="17" t="str">
        <f aca="false">IF((E53="y"),H53," ")</f>
        <v> </v>
      </c>
      <c r="AH53" s="17" t="str">
        <f aca="false">IF((E53="z"),H53," ")</f>
        <v> </v>
      </c>
      <c r="AI53" s="17" t="str">
        <f aca="false">IF((E53="fa"),H53," ")</f>
        <v> </v>
      </c>
      <c r="AJ53" s="17" t="str">
        <f aca="false">IF((E53="e"),H53," ")</f>
        <v> </v>
      </c>
    </row>
    <row r="54" customFormat="false" ht="12" hidden="false" customHeight="false" outlineLevel="0" collapsed="false">
      <c r="A54" s="28"/>
      <c r="E54" s="2"/>
      <c r="F54" s="30"/>
      <c r="G54" s="6" t="str">
        <f aca="false">IF(F54&lt;&gt;0,F54*G$2/(100+G$2)," ")</f>
        <v> </v>
      </c>
      <c r="H54" s="6" t="str">
        <f aca="false">IF((F54&lt;&gt;0),F54-G54," ")</f>
        <v> </v>
      </c>
      <c r="I54" s="5"/>
      <c r="L54" s="7" t="str">
        <f aca="false">IF(F54&lt;&gt;0,F54-K54," ")</f>
        <v> </v>
      </c>
      <c r="M54" s="8" t="str">
        <f aca="false">IF((F54-K54)&lt;&gt;0,M$1-A54," ")</f>
        <v> </v>
      </c>
      <c r="N54" s="5"/>
      <c r="O54" s="17" t="str">
        <f aca="false">IF((E54="s"),H54," ")</f>
        <v> </v>
      </c>
      <c r="P54" s="17" t="str">
        <f aca="false">IF((E54="c"),H54," ")</f>
        <v> </v>
      </c>
      <c r="Q54" s="17" t="str">
        <f aca="false">IF((E54="o"),H54," ")</f>
        <v> </v>
      </c>
      <c r="R54" s="17" t="str">
        <f aca="false">IF((E54="d"),H54," ")</f>
        <v> </v>
      </c>
      <c r="S54" s="17" t="str">
        <f aca="false">IF((E54="w"),H54," ")</f>
        <v> </v>
      </c>
      <c r="T54" s="17" t="str">
        <f aca="false">IF((E54="r"),H54," ")</f>
        <v> </v>
      </c>
      <c r="U54" s="17" t="str">
        <f aca="false">IF((E54="p"),H54," ")</f>
        <v> </v>
      </c>
      <c r="V54" s="17" t="str">
        <f aca="false">IF((E54="t"),H54," ")</f>
        <v> </v>
      </c>
      <c r="W54" s="17" t="str">
        <f aca="false">IF((E54="q"),H54," ")</f>
        <v> </v>
      </c>
      <c r="X54" s="17" t="str">
        <f aca="false">IF((E54="m"),H54," ")</f>
        <v> </v>
      </c>
      <c r="Y54" s="17" t="str">
        <f aca="false">IF((E54="u"),H54," ")</f>
        <v> </v>
      </c>
      <c r="Z54" s="17" t="str">
        <f aca="false">IF((E54="a"),H54," ")</f>
        <v> </v>
      </c>
      <c r="AA54" s="17" t="str">
        <f aca="false">IF((E54="g"),H54," ")</f>
        <v> </v>
      </c>
      <c r="AB54" s="17" t="str">
        <f aca="false">IF((E54="h"),H54," ")</f>
        <v> </v>
      </c>
      <c r="AC54" s="30" t="str">
        <f aca="false">IF((E54="v"),H54," ")</f>
        <v> </v>
      </c>
      <c r="AD54" s="30" t="str">
        <f aca="false">IF((E54="n"),H54," ")</f>
        <v> </v>
      </c>
      <c r="AE54" s="17" t="str">
        <f aca="false">IF((E54="f"),H54," ")</f>
        <v> </v>
      </c>
      <c r="AF54" s="17" t="str">
        <f aca="false">IF((E54="l"),H54," ")</f>
        <v> </v>
      </c>
      <c r="AG54" s="17" t="str">
        <f aca="false">IF((E54="y"),H54," ")</f>
        <v> </v>
      </c>
      <c r="AH54" s="17" t="str">
        <f aca="false">IF((E54="z"),H54," ")</f>
        <v> </v>
      </c>
      <c r="AI54" s="17" t="str">
        <f aca="false">IF((E54="fa"),H54," ")</f>
        <v> </v>
      </c>
      <c r="AJ54" s="17" t="str">
        <f aca="false">IF((E54="e"),H54," ")</f>
        <v> </v>
      </c>
    </row>
    <row r="55" customFormat="false" ht="12" hidden="false" customHeight="false" outlineLevel="0" collapsed="false">
      <c r="A55" s="28"/>
      <c r="E55" s="2"/>
      <c r="F55" s="30"/>
      <c r="G55" s="6" t="str">
        <f aca="false">IF(F55&lt;&gt;0,F55*G$2/(100+G$2)," ")</f>
        <v> </v>
      </c>
      <c r="H55" s="6" t="str">
        <f aca="false">IF((F55&lt;&gt;0),F55-G55," ")</f>
        <v> </v>
      </c>
      <c r="I55" s="5"/>
      <c r="L55" s="7" t="str">
        <f aca="false">IF(F55&lt;&gt;0,F55-K55," ")</f>
        <v> </v>
      </c>
      <c r="M55" s="8" t="str">
        <f aca="false">IF((F55-K55)&lt;&gt;0,M$1-A55," ")</f>
        <v> </v>
      </c>
      <c r="N55" s="5"/>
      <c r="O55" s="17" t="str">
        <f aca="false">IF((E55="s"),H55," ")</f>
        <v> </v>
      </c>
      <c r="P55" s="17" t="str">
        <f aca="false">IF((E55="c"),H55," ")</f>
        <v> </v>
      </c>
      <c r="Q55" s="17" t="str">
        <f aca="false">IF((E55="o"),H55," ")</f>
        <v> </v>
      </c>
      <c r="R55" s="17" t="str">
        <f aca="false">IF((E55="d"),H55," ")</f>
        <v> </v>
      </c>
      <c r="S55" s="17" t="str">
        <f aca="false">IF((E55="w"),H55," ")</f>
        <v> </v>
      </c>
      <c r="T55" s="17" t="str">
        <f aca="false">IF((E55="r"),H55," ")</f>
        <v> </v>
      </c>
      <c r="U55" s="17" t="str">
        <f aca="false">IF((E55="p"),H55," ")</f>
        <v> </v>
      </c>
      <c r="V55" s="17" t="str">
        <f aca="false">IF((E55="t"),H55," ")</f>
        <v> </v>
      </c>
      <c r="W55" s="17" t="str">
        <f aca="false">IF((E55="q"),H55," ")</f>
        <v> </v>
      </c>
      <c r="X55" s="17" t="str">
        <f aca="false">IF((E55="m"),H55," ")</f>
        <v> </v>
      </c>
      <c r="Y55" s="17" t="str">
        <f aca="false">IF((E55="u"),H55," ")</f>
        <v> </v>
      </c>
      <c r="Z55" s="17" t="str">
        <f aca="false">IF((E55="a"),H55," ")</f>
        <v> </v>
      </c>
      <c r="AA55" s="17" t="str">
        <f aca="false">IF((E55="g"),H55," ")</f>
        <v> </v>
      </c>
      <c r="AB55" s="17" t="str">
        <f aca="false">IF((E55="h"),H55," ")</f>
        <v> </v>
      </c>
      <c r="AC55" s="30" t="str">
        <f aca="false">IF((E55="v"),H55," ")</f>
        <v> </v>
      </c>
      <c r="AD55" s="30" t="str">
        <f aca="false">IF((E55="n"),H55," ")</f>
        <v> </v>
      </c>
      <c r="AE55" s="17" t="str">
        <f aca="false">IF((E55="f"),H55," ")</f>
        <v> </v>
      </c>
      <c r="AF55" s="17" t="str">
        <f aca="false">IF((E55="l"),H55," ")</f>
        <v> </v>
      </c>
      <c r="AG55" s="17" t="str">
        <f aca="false">IF((E55="y"),H55," ")</f>
        <v> </v>
      </c>
      <c r="AH55" s="17" t="str">
        <f aca="false">IF((E55="z"),H55," ")</f>
        <v> </v>
      </c>
      <c r="AI55" s="17" t="str">
        <f aca="false">IF((E55="fa"),H55," ")</f>
        <v> </v>
      </c>
      <c r="AJ55" s="17" t="str">
        <f aca="false">IF((E55="e"),H55," ")</f>
        <v> </v>
      </c>
    </row>
    <row r="56" customFormat="false" ht="12" hidden="false" customHeight="false" outlineLevel="0" collapsed="false">
      <c r="A56" s="28"/>
      <c r="E56" s="2"/>
      <c r="F56" s="30"/>
      <c r="G56" s="6" t="str">
        <f aca="false">IF(F56&lt;&gt;0,F56*G$2/(100+G$2)," ")</f>
        <v> </v>
      </c>
      <c r="H56" s="6" t="str">
        <f aca="false">IF((F56&lt;&gt;0),F56-G56," ")</f>
        <v> </v>
      </c>
      <c r="I56" s="5"/>
      <c r="L56" s="7" t="str">
        <f aca="false">IF(F56&lt;&gt;0,F56-K56," ")</f>
        <v> </v>
      </c>
      <c r="M56" s="8" t="str">
        <f aca="false">IF((F56-K56)&lt;&gt;0,M$1-A56," ")</f>
        <v> </v>
      </c>
      <c r="N56" s="5"/>
      <c r="O56" s="17" t="str">
        <f aca="false">IF((E56="s"),H56," ")</f>
        <v> </v>
      </c>
      <c r="P56" s="17" t="str">
        <f aca="false">IF((E56="c"),H56," ")</f>
        <v> </v>
      </c>
      <c r="Q56" s="17" t="str">
        <f aca="false">IF((E56="o"),H56," ")</f>
        <v> </v>
      </c>
      <c r="R56" s="17" t="str">
        <f aca="false">IF((E56="d"),H56," ")</f>
        <v> </v>
      </c>
      <c r="S56" s="17" t="str">
        <f aca="false">IF((E56="w"),H56," ")</f>
        <v> </v>
      </c>
      <c r="T56" s="17" t="str">
        <f aca="false">IF((E56="r"),H56," ")</f>
        <v> </v>
      </c>
      <c r="U56" s="17" t="str">
        <f aca="false">IF((E56="p"),H56," ")</f>
        <v> </v>
      </c>
      <c r="V56" s="17" t="str">
        <f aca="false">IF((E56="t"),H56," ")</f>
        <v> </v>
      </c>
      <c r="W56" s="17" t="str">
        <f aca="false">IF((E56="q"),H56," ")</f>
        <v> </v>
      </c>
      <c r="X56" s="17" t="str">
        <f aca="false">IF((E56="m"),H56," ")</f>
        <v> </v>
      </c>
      <c r="Y56" s="17" t="str">
        <f aca="false">IF((E56="u"),H56," ")</f>
        <v> </v>
      </c>
      <c r="Z56" s="17" t="str">
        <f aca="false">IF((E56="a"),H56," ")</f>
        <v> </v>
      </c>
      <c r="AA56" s="17" t="str">
        <f aca="false">IF((E56="g"),H56," ")</f>
        <v> </v>
      </c>
      <c r="AB56" s="17" t="str">
        <f aca="false">IF((E56="h"),H56," ")</f>
        <v> </v>
      </c>
      <c r="AC56" s="30" t="str">
        <f aca="false">IF((E56="v"),H56," ")</f>
        <v> </v>
      </c>
      <c r="AD56" s="30" t="str">
        <f aca="false">IF((E56="n"),H56," ")</f>
        <v> </v>
      </c>
      <c r="AE56" s="17" t="str">
        <f aca="false">IF((E56="f"),H56," ")</f>
        <v> </v>
      </c>
      <c r="AF56" s="17" t="str">
        <f aca="false">IF((E56="l"),H56," ")</f>
        <v> </v>
      </c>
      <c r="AG56" s="17" t="str">
        <f aca="false">IF((E56="y"),H56," ")</f>
        <v> </v>
      </c>
      <c r="AH56" s="17" t="str">
        <f aca="false">IF((E56="z"),H56," ")</f>
        <v> </v>
      </c>
      <c r="AI56" s="17" t="str">
        <f aca="false">IF((E56="fa"),H56," ")</f>
        <v> </v>
      </c>
      <c r="AJ56" s="17" t="str">
        <f aca="false">IF((E56="e"),H56," ")</f>
        <v> </v>
      </c>
    </row>
    <row r="57" customFormat="false" ht="12" hidden="false" customHeight="false" outlineLevel="0" collapsed="false">
      <c r="A57" s="28"/>
      <c r="E57" s="2"/>
      <c r="F57" s="30"/>
      <c r="G57" s="6" t="str">
        <f aca="false">IF(F57&lt;&gt;0,F57*G$2/(100+G$2)," ")</f>
        <v> </v>
      </c>
      <c r="H57" s="6" t="str">
        <f aca="false">IF((F57&lt;&gt;0),F57-G57," ")</f>
        <v> </v>
      </c>
      <c r="I57" s="5"/>
      <c r="L57" s="7" t="str">
        <f aca="false">IF(F57&lt;&gt;0,F57-K57," ")</f>
        <v> </v>
      </c>
      <c r="M57" s="8" t="str">
        <f aca="false">IF((F57-K57)&lt;&gt;0,M$1-A57," ")</f>
        <v> </v>
      </c>
      <c r="N57" s="5"/>
      <c r="O57" s="17" t="str">
        <f aca="false">IF((E57="s"),H57," ")</f>
        <v> </v>
      </c>
      <c r="P57" s="17" t="str">
        <f aca="false">IF((E57="c"),H57," ")</f>
        <v> </v>
      </c>
      <c r="Q57" s="17" t="str">
        <f aca="false">IF((E57="o"),H57," ")</f>
        <v> </v>
      </c>
      <c r="R57" s="17" t="str">
        <f aca="false">IF((E57="d"),H57," ")</f>
        <v> </v>
      </c>
      <c r="S57" s="17" t="str">
        <f aca="false">IF((E57="w"),H57," ")</f>
        <v> </v>
      </c>
      <c r="T57" s="17" t="str">
        <f aca="false">IF((E57="r"),H57," ")</f>
        <v> </v>
      </c>
      <c r="U57" s="17" t="str">
        <f aca="false">IF((E57="p"),H57," ")</f>
        <v> </v>
      </c>
      <c r="V57" s="17" t="str">
        <f aca="false">IF((E57="t"),H57," ")</f>
        <v> </v>
      </c>
      <c r="W57" s="17" t="str">
        <f aca="false">IF((E57="q"),H57," ")</f>
        <v> </v>
      </c>
      <c r="X57" s="17" t="str">
        <f aca="false">IF((E57="m"),H57," ")</f>
        <v> </v>
      </c>
      <c r="Y57" s="17" t="str">
        <f aca="false">IF((E57="u"),H57," ")</f>
        <v> </v>
      </c>
      <c r="Z57" s="17" t="str">
        <f aca="false">IF((E57="a"),H57," ")</f>
        <v> </v>
      </c>
      <c r="AA57" s="17" t="str">
        <f aca="false">IF((E57="g"),H57," ")</f>
        <v> </v>
      </c>
      <c r="AB57" s="17" t="str">
        <f aca="false">IF((E57="h"),H57," ")</f>
        <v> </v>
      </c>
      <c r="AC57" s="30" t="str">
        <f aca="false">IF((E57="v"),H57," ")</f>
        <v> </v>
      </c>
      <c r="AD57" s="30" t="str">
        <f aca="false">IF((E57="n"),H57," ")</f>
        <v> </v>
      </c>
      <c r="AE57" s="17" t="str">
        <f aca="false">IF((E57="f"),H57," ")</f>
        <v> </v>
      </c>
      <c r="AF57" s="17" t="str">
        <f aca="false">IF((E57="l"),H57," ")</f>
        <v> </v>
      </c>
      <c r="AG57" s="17" t="str">
        <f aca="false">IF((E57="y"),H57," ")</f>
        <v> </v>
      </c>
      <c r="AH57" s="17" t="str">
        <f aca="false">IF((E57="z"),H57," ")</f>
        <v> </v>
      </c>
      <c r="AI57" s="17" t="str">
        <f aca="false">IF((E57="fa"),H57," ")</f>
        <v> </v>
      </c>
      <c r="AJ57" s="17" t="str">
        <f aca="false">IF((E57="e"),H57," ")</f>
        <v> </v>
      </c>
    </row>
    <row r="58" customFormat="false" ht="12" hidden="false" customHeight="false" outlineLevel="0" collapsed="false">
      <c r="A58" s="28"/>
      <c r="E58" s="2"/>
      <c r="F58" s="30"/>
      <c r="G58" s="6" t="str">
        <f aca="false">IF(F58&lt;&gt;0,F58*G$2/(100+G$2)," ")</f>
        <v> </v>
      </c>
      <c r="H58" s="6" t="str">
        <f aca="false">IF((F58&lt;&gt;0),F58-G58," ")</f>
        <v> </v>
      </c>
      <c r="I58" s="5"/>
      <c r="L58" s="7" t="str">
        <f aca="false">IF(F58&lt;&gt;0,F58-K58," ")</f>
        <v> </v>
      </c>
      <c r="M58" s="8" t="str">
        <f aca="false">IF((F58-K58)&lt;&gt;0,M$1-A58," ")</f>
        <v> </v>
      </c>
      <c r="N58" s="5"/>
      <c r="O58" s="17" t="str">
        <f aca="false">IF((E58="s"),H58," ")</f>
        <v> </v>
      </c>
      <c r="P58" s="17" t="str">
        <f aca="false">IF((E58="c"),H58," ")</f>
        <v> </v>
      </c>
      <c r="Q58" s="17" t="str">
        <f aca="false">IF((E58="o"),H58," ")</f>
        <v> </v>
      </c>
      <c r="R58" s="17" t="str">
        <f aca="false">IF((E58="d"),H58," ")</f>
        <v> </v>
      </c>
      <c r="S58" s="17" t="str">
        <f aca="false">IF((E58="w"),H58," ")</f>
        <v> </v>
      </c>
      <c r="T58" s="17" t="str">
        <f aca="false">IF((E58="r"),H58," ")</f>
        <v> </v>
      </c>
      <c r="U58" s="17" t="str">
        <f aca="false">IF((E58="p"),H58," ")</f>
        <v> </v>
      </c>
      <c r="V58" s="17" t="str">
        <f aca="false">IF((E58="t"),H58," ")</f>
        <v> </v>
      </c>
      <c r="W58" s="17" t="str">
        <f aca="false">IF((E58="q"),H58," ")</f>
        <v> </v>
      </c>
      <c r="X58" s="17" t="str">
        <f aca="false">IF((E58="m"),H58," ")</f>
        <v> </v>
      </c>
      <c r="Y58" s="17" t="str">
        <f aca="false">IF((E58="u"),H58," ")</f>
        <v> </v>
      </c>
      <c r="Z58" s="17" t="str">
        <f aca="false">IF((E58="a"),H58," ")</f>
        <v> </v>
      </c>
      <c r="AA58" s="17" t="str">
        <f aca="false">IF((E58="g"),H58," ")</f>
        <v> </v>
      </c>
      <c r="AB58" s="17" t="str">
        <f aca="false">IF((E58="h"),H58," ")</f>
        <v> </v>
      </c>
      <c r="AC58" s="30" t="str">
        <f aca="false">IF((E58="v"),H58," ")</f>
        <v> </v>
      </c>
      <c r="AD58" s="30" t="str">
        <f aca="false">IF((E58="n"),H58," ")</f>
        <v> </v>
      </c>
      <c r="AE58" s="17" t="str">
        <f aca="false">IF((E58="f"),H58," ")</f>
        <v> </v>
      </c>
      <c r="AF58" s="17" t="str">
        <f aca="false">IF((E58="l"),H58," ")</f>
        <v> </v>
      </c>
      <c r="AG58" s="17" t="str">
        <f aca="false">IF((E58="y"),H58," ")</f>
        <v> </v>
      </c>
      <c r="AH58" s="17" t="str">
        <f aca="false">IF((E58="z"),H58," ")</f>
        <v> </v>
      </c>
      <c r="AI58" s="17" t="str">
        <f aca="false">IF((E58="fa"),H58," ")</f>
        <v> </v>
      </c>
      <c r="AJ58" s="17" t="str">
        <f aca="false">IF((E58="e"),H58," ")</f>
        <v> </v>
      </c>
    </row>
    <row r="59" customFormat="false" ht="12" hidden="false" customHeight="false" outlineLevel="0" collapsed="false">
      <c r="A59" s="28"/>
      <c r="E59" s="2"/>
      <c r="F59" s="30"/>
      <c r="G59" s="6" t="str">
        <f aca="false">IF(F59&lt;&gt;0,F59*G$2/(100+G$2)," ")</f>
        <v> </v>
      </c>
      <c r="H59" s="6" t="str">
        <f aca="false">IF((F59&lt;&gt;0),F59-G59," ")</f>
        <v> </v>
      </c>
      <c r="I59" s="5"/>
      <c r="L59" s="7" t="str">
        <f aca="false">IF(F59&lt;&gt;0,F59-K59," ")</f>
        <v> </v>
      </c>
      <c r="M59" s="8" t="str">
        <f aca="false">IF((F59-K59)&lt;&gt;0,M$1-A59," ")</f>
        <v> </v>
      </c>
      <c r="N59" s="5"/>
      <c r="O59" s="17" t="str">
        <f aca="false">IF((E59="s"),H59," ")</f>
        <v> </v>
      </c>
      <c r="P59" s="17" t="str">
        <f aca="false">IF((E59="c"),H59," ")</f>
        <v> </v>
      </c>
      <c r="Q59" s="17" t="str">
        <f aca="false">IF((E59="o"),H59," ")</f>
        <v> </v>
      </c>
      <c r="R59" s="17" t="str">
        <f aca="false">IF((E59="d"),H59," ")</f>
        <v> </v>
      </c>
      <c r="S59" s="17" t="str">
        <f aca="false">IF((E59="w"),H59," ")</f>
        <v> </v>
      </c>
      <c r="T59" s="17" t="str">
        <f aca="false">IF((E59="r"),H59," ")</f>
        <v> </v>
      </c>
      <c r="U59" s="17" t="str">
        <f aca="false">IF((E59="p"),H59," ")</f>
        <v> </v>
      </c>
      <c r="V59" s="17" t="str">
        <f aca="false">IF((E59="t"),H59," ")</f>
        <v> </v>
      </c>
      <c r="W59" s="17" t="str">
        <f aca="false">IF((E59="q"),H59," ")</f>
        <v> </v>
      </c>
      <c r="X59" s="17" t="str">
        <f aca="false">IF((E59="m"),H59," ")</f>
        <v> </v>
      </c>
      <c r="Y59" s="17" t="str">
        <f aca="false">IF((E59="u"),H59," ")</f>
        <v> </v>
      </c>
      <c r="Z59" s="17" t="str">
        <f aca="false">IF((E59="a"),H59," ")</f>
        <v> </v>
      </c>
      <c r="AA59" s="17" t="str">
        <f aca="false">IF((E59="g"),H59," ")</f>
        <v> </v>
      </c>
      <c r="AB59" s="17" t="str">
        <f aca="false">IF((E59="h"),H59," ")</f>
        <v> </v>
      </c>
      <c r="AC59" s="30" t="str">
        <f aca="false">IF((E59="v"),H59," ")</f>
        <v> </v>
      </c>
      <c r="AD59" s="30" t="str">
        <f aca="false">IF((E59="n"),H59," ")</f>
        <v> </v>
      </c>
      <c r="AE59" s="17" t="str">
        <f aca="false">IF((E59="f"),H59," ")</f>
        <v> </v>
      </c>
      <c r="AF59" s="17" t="str">
        <f aca="false">IF((E59="l"),H59," ")</f>
        <v> </v>
      </c>
      <c r="AG59" s="17" t="str">
        <f aca="false">IF((E59="y"),H59," ")</f>
        <v> </v>
      </c>
      <c r="AH59" s="17" t="str">
        <f aca="false">IF((E59="z"),H59," ")</f>
        <v> </v>
      </c>
      <c r="AI59" s="17" t="str">
        <f aca="false">IF((E59="fa"),H59," ")</f>
        <v> </v>
      </c>
      <c r="AJ59" s="17" t="str">
        <f aca="false">IF((E59="e"),H59," ")</f>
        <v> </v>
      </c>
    </row>
    <row r="60" customFormat="false" ht="12" hidden="false" customHeight="false" outlineLevel="0" collapsed="false">
      <c r="A60" s="28"/>
      <c r="E60" s="2"/>
      <c r="F60" s="30"/>
      <c r="G60" s="6" t="str">
        <f aca="false">IF(F60&lt;&gt;0,F60*G$2/(100+G$2)," ")</f>
        <v> </v>
      </c>
      <c r="H60" s="6" t="str">
        <f aca="false">IF((F60&lt;&gt;0),F60-G60," ")</f>
        <v> </v>
      </c>
      <c r="I60" s="5"/>
      <c r="L60" s="7" t="str">
        <f aca="false">IF(F60&lt;&gt;0,F60-K60," ")</f>
        <v> </v>
      </c>
      <c r="M60" s="8" t="str">
        <f aca="false">IF((F60-K60)&lt;&gt;0,M$1-A60," ")</f>
        <v> </v>
      </c>
      <c r="N60" s="5"/>
      <c r="O60" s="17" t="str">
        <f aca="false">IF((E60="s"),H60," ")</f>
        <v> </v>
      </c>
      <c r="P60" s="17" t="str">
        <f aca="false">IF((E60="c"),H60," ")</f>
        <v> </v>
      </c>
      <c r="Q60" s="17" t="str">
        <f aca="false">IF((E60="o"),H60," ")</f>
        <v> </v>
      </c>
      <c r="R60" s="17" t="str">
        <f aca="false">IF((E60="d"),H60," ")</f>
        <v> </v>
      </c>
      <c r="S60" s="17" t="str">
        <f aca="false">IF((E60="w"),H60," ")</f>
        <v> </v>
      </c>
      <c r="T60" s="17" t="str">
        <f aca="false">IF((E60="r"),H60," ")</f>
        <v> </v>
      </c>
      <c r="U60" s="17" t="str">
        <f aca="false">IF((E60="p"),H60," ")</f>
        <v> </v>
      </c>
      <c r="V60" s="17" t="str">
        <f aca="false">IF((E60="t"),H60," ")</f>
        <v> </v>
      </c>
      <c r="W60" s="17" t="str">
        <f aca="false">IF((E60="q"),H60," ")</f>
        <v> </v>
      </c>
      <c r="X60" s="17" t="str">
        <f aca="false">IF((E60="m"),H60," ")</f>
        <v> </v>
      </c>
      <c r="Y60" s="17" t="str">
        <f aca="false">IF((E60="u"),H60," ")</f>
        <v> </v>
      </c>
      <c r="Z60" s="17" t="str">
        <f aca="false">IF((E60="a"),H60," ")</f>
        <v> </v>
      </c>
      <c r="AA60" s="17" t="str">
        <f aca="false">IF((E60="g"),H60," ")</f>
        <v> </v>
      </c>
      <c r="AB60" s="17" t="str">
        <f aca="false">IF((E60="h"),H60," ")</f>
        <v> </v>
      </c>
      <c r="AC60" s="30" t="str">
        <f aca="false">IF((E60="v"),H60," ")</f>
        <v> </v>
      </c>
      <c r="AD60" s="30" t="str">
        <f aca="false">IF((E60="n"),H60," ")</f>
        <v> </v>
      </c>
      <c r="AE60" s="17" t="str">
        <f aca="false">IF((E60="f"),H60," ")</f>
        <v> </v>
      </c>
      <c r="AF60" s="17" t="str">
        <f aca="false">IF((E60="l"),H60," ")</f>
        <v> </v>
      </c>
      <c r="AG60" s="17" t="str">
        <f aca="false">IF((E60="y"),H60," ")</f>
        <v> </v>
      </c>
      <c r="AH60" s="17" t="str">
        <f aca="false">IF((E60="z"),H60," ")</f>
        <v> </v>
      </c>
      <c r="AI60" s="17" t="str">
        <f aca="false">IF((E60="fa"),H60," ")</f>
        <v> </v>
      </c>
      <c r="AJ60" s="17" t="str">
        <f aca="false">IF((E60="e"),H60," ")</f>
        <v> </v>
      </c>
    </row>
    <row r="61" customFormat="false" ht="12" hidden="false" customHeight="false" outlineLevel="0" collapsed="false">
      <c r="A61" s="28"/>
      <c r="E61" s="2"/>
      <c r="F61" s="30"/>
      <c r="G61" s="6" t="str">
        <f aca="false">IF(F61&lt;&gt;0,F61*G$2/(100+G$2)," ")</f>
        <v> </v>
      </c>
      <c r="H61" s="6" t="str">
        <f aca="false">IF((F61&lt;&gt;0),F61-G61," ")</f>
        <v> </v>
      </c>
      <c r="I61" s="5"/>
      <c r="L61" s="7" t="str">
        <f aca="false">IF(F61&lt;&gt;0,F61-K61," ")</f>
        <v> </v>
      </c>
      <c r="M61" s="8" t="str">
        <f aca="false">IF((F61-K61)&lt;&gt;0,M$1-A61," ")</f>
        <v> </v>
      </c>
      <c r="N61" s="5"/>
      <c r="O61" s="17" t="str">
        <f aca="false">IF((E61="s"),H61," ")</f>
        <v> </v>
      </c>
      <c r="P61" s="17" t="str">
        <f aca="false">IF((E61="c"),H61," ")</f>
        <v> </v>
      </c>
      <c r="Q61" s="17" t="str">
        <f aca="false">IF((E61="o"),H61," ")</f>
        <v> </v>
      </c>
      <c r="R61" s="17" t="str">
        <f aca="false">IF((E61="d"),H61," ")</f>
        <v> </v>
      </c>
      <c r="S61" s="17" t="str">
        <f aca="false">IF((E61="w"),H61," ")</f>
        <v> </v>
      </c>
      <c r="T61" s="17" t="str">
        <f aca="false">IF((E61="r"),H61," ")</f>
        <v> </v>
      </c>
      <c r="U61" s="17" t="str">
        <f aca="false">IF((E61="p"),H61," ")</f>
        <v> </v>
      </c>
      <c r="V61" s="17" t="str">
        <f aca="false">IF((E61="t"),H61," ")</f>
        <v> </v>
      </c>
      <c r="W61" s="17" t="str">
        <f aca="false">IF((E61="q"),H61," ")</f>
        <v> </v>
      </c>
      <c r="X61" s="17" t="str">
        <f aca="false">IF((E61="m"),H61," ")</f>
        <v> </v>
      </c>
      <c r="Y61" s="17" t="str">
        <f aca="false">IF((E61="u"),H61," ")</f>
        <v> </v>
      </c>
      <c r="Z61" s="17" t="str">
        <f aca="false">IF((E61="a"),H61," ")</f>
        <v> </v>
      </c>
      <c r="AA61" s="17" t="str">
        <f aca="false">IF((E61="g"),H61," ")</f>
        <v> </v>
      </c>
      <c r="AB61" s="17" t="str">
        <f aca="false">IF((E61="h"),H61," ")</f>
        <v> </v>
      </c>
      <c r="AC61" s="30" t="str">
        <f aca="false">IF((E61="v"),H61," ")</f>
        <v> </v>
      </c>
      <c r="AD61" s="30" t="str">
        <f aca="false">IF((E61="n"),H61," ")</f>
        <v> </v>
      </c>
      <c r="AE61" s="17" t="str">
        <f aca="false">IF((E61="f"),H61," ")</f>
        <v> </v>
      </c>
      <c r="AF61" s="17" t="str">
        <f aca="false">IF((E61="l"),H61," ")</f>
        <v> </v>
      </c>
      <c r="AG61" s="17" t="str">
        <f aca="false">IF((E61="y"),H61," ")</f>
        <v> </v>
      </c>
      <c r="AH61" s="17" t="str">
        <f aca="false">IF((E61="z"),H61," ")</f>
        <v> </v>
      </c>
      <c r="AI61" s="17" t="str">
        <f aca="false">IF((E61="fa"),H61," ")</f>
        <v> </v>
      </c>
      <c r="AJ61" s="17" t="str">
        <f aca="false">IF((E61="e"),H61," ")</f>
        <v> </v>
      </c>
    </row>
    <row r="62" customFormat="false" ht="12" hidden="false" customHeight="false" outlineLevel="0" collapsed="false">
      <c r="A62" s="28"/>
      <c r="E62" s="2"/>
      <c r="F62" s="30"/>
      <c r="G62" s="6" t="str">
        <f aca="false">IF(F62&lt;&gt;0,F62*G$2/(100+G$2)," ")</f>
        <v> </v>
      </c>
      <c r="H62" s="6" t="str">
        <f aca="false">IF((F62&lt;&gt;0),F62-G62," ")</f>
        <v> </v>
      </c>
      <c r="I62" s="5"/>
      <c r="L62" s="7" t="str">
        <f aca="false">IF(F62&lt;&gt;0,F62-K62," ")</f>
        <v> </v>
      </c>
      <c r="M62" s="8" t="str">
        <f aca="false">IF((F62-K62)&lt;&gt;0,M$1-A62," ")</f>
        <v> </v>
      </c>
      <c r="N62" s="5"/>
      <c r="O62" s="17" t="str">
        <f aca="false">IF((E62="s"),H62," ")</f>
        <v> </v>
      </c>
      <c r="P62" s="17" t="str">
        <f aca="false">IF((E62="c"),H62," ")</f>
        <v> </v>
      </c>
      <c r="Q62" s="17" t="str">
        <f aca="false">IF((E62="o"),H62," ")</f>
        <v> </v>
      </c>
      <c r="R62" s="17" t="str">
        <f aca="false">IF((E62="d"),H62," ")</f>
        <v> </v>
      </c>
      <c r="S62" s="17" t="str">
        <f aca="false">IF((E62="w"),H62," ")</f>
        <v> </v>
      </c>
      <c r="T62" s="17" t="str">
        <f aca="false">IF((E62="r"),H62," ")</f>
        <v> </v>
      </c>
      <c r="U62" s="17" t="str">
        <f aca="false">IF((E62="p"),H62," ")</f>
        <v> </v>
      </c>
      <c r="V62" s="17" t="str">
        <f aca="false">IF((E62="t"),H62," ")</f>
        <v> </v>
      </c>
      <c r="W62" s="17" t="str">
        <f aca="false">IF((E62="q"),H62," ")</f>
        <v> </v>
      </c>
      <c r="X62" s="17" t="str">
        <f aca="false">IF((E62="m"),H62," ")</f>
        <v> </v>
      </c>
      <c r="Y62" s="17" t="str">
        <f aca="false">IF((E62="u"),H62," ")</f>
        <v> </v>
      </c>
      <c r="Z62" s="17" t="str">
        <f aca="false">IF((E62="a"),H62," ")</f>
        <v> </v>
      </c>
      <c r="AA62" s="17" t="str">
        <f aca="false">IF((E62="g"),H62," ")</f>
        <v> </v>
      </c>
      <c r="AB62" s="17" t="str">
        <f aca="false">IF((E62="h"),H62," ")</f>
        <v> </v>
      </c>
      <c r="AC62" s="30" t="str">
        <f aca="false">IF((E62="v"),H62," ")</f>
        <v> </v>
      </c>
      <c r="AD62" s="30" t="str">
        <f aca="false">IF((E62="n"),H62," ")</f>
        <v> </v>
      </c>
      <c r="AE62" s="17" t="str">
        <f aca="false">IF((E62="f"),H62," ")</f>
        <v> </v>
      </c>
      <c r="AF62" s="17" t="str">
        <f aca="false">IF((E62="l"),H62," ")</f>
        <v> </v>
      </c>
      <c r="AG62" s="17" t="str">
        <f aca="false">IF((E62="y"),H62," ")</f>
        <v> </v>
      </c>
      <c r="AH62" s="17" t="str">
        <f aca="false">IF((E62="z"),H62," ")</f>
        <v> </v>
      </c>
      <c r="AI62" s="17" t="str">
        <f aca="false">IF((E62="fa"),H62," ")</f>
        <v> </v>
      </c>
      <c r="AJ62" s="17" t="str">
        <f aca="false">IF((E62="e"),H62," ")</f>
        <v> </v>
      </c>
    </row>
    <row r="63" customFormat="false" ht="12" hidden="false" customHeight="false" outlineLevel="0" collapsed="false">
      <c r="A63" s="28"/>
      <c r="E63" s="2"/>
      <c r="F63" s="30"/>
      <c r="G63" s="6" t="str">
        <f aca="false">IF(F63&lt;&gt;0,F63*G$2/(100+G$2)," ")</f>
        <v> </v>
      </c>
      <c r="H63" s="6" t="str">
        <f aca="false">IF((F63&lt;&gt;0),F63-G63," ")</f>
        <v> </v>
      </c>
      <c r="I63" s="5"/>
      <c r="L63" s="7" t="str">
        <f aca="false">IF(F63&lt;&gt;0,F63-K63," ")</f>
        <v> </v>
      </c>
      <c r="M63" s="8" t="str">
        <f aca="false">IF((F63-K63)&lt;&gt;0,M$1-A63," ")</f>
        <v> </v>
      </c>
      <c r="N63" s="5"/>
      <c r="O63" s="17" t="str">
        <f aca="false">IF((E63="s"),H63," ")</f>
        <v> </v>
      </c>
      <c r="P63" s="17" t="str">
        <f aca="false">IF((E63="c"),H63," ")</f>
        <v> </v>
      </c>
      <c r="Q63" s="17" t="str">
        <f aca="false">IF((E63="o"),H63," ")</f>
        <v> </v>
      </c>
      <c r="R63" s="17" t="str">
        <f aca="false">IF((E63="d"),H63," ")</f>
        <v> </v>
      </c>
      <c r="S63" s="17" t="str">
        <f aca="false">IF((E63="w"),H63," ")</f>
        <v> </v>
      </c>
      <c r="T63" s="17" t="str">
        <f aca="false">IF((E63="r"),H63," ")</f>
        <v> </v>
      </c>
      <c r="U63" s="17" t="str">
        <f aca="false">IF((E63="p"),H63," ")</f>
        <v> </v>
      </c>
      <c r="V63" s="17" t="str">
        <f aca="false">IF((E63="t"),H63," ")</f>
        <v> </v>
      </c>
      <c r="W63" s="17" t="str">
        <f aca="false">IF((E63="q"),H63," ")</f>
        <v> </v>
      </c>
      <c r="X63" s="17" t="str">
        <f aca="false">IF((E63="m"),H63," ")</f>
        <v> </v>
      </c>
      <c r="Y63" s="17" t="str">
        <f aca="false">IF((E63="u"),H63," ")</f>
        <v> </v>
      </c>
      <c r="Z63" s="17" t="str">
        <f aca="false">IF((E63="a"),H63," ")</f>
        <v> </v>
      </c>
      <c r="AA63" s="17" t="str">
        <f aca="false">IF((E63="g"),H63," ")</f>
        <v> </v>
      </c>
      <c r="AB63" s="17" t="str">
        <f aca="false">IF((E63="h"),H63," ")</f>
        <v> </v>
      </c>
      <c r="AC63" s="30" t="str">
        <f aca="false">IF((E63="v"),H63," ")</f>
        <v> </v>
      </c>
      <c r="AD63" s="30" t="str">
        <f aca="false">IF((E63="n"),H63," ")</f>
        <v> </v>
      </c>
      <c r="AE63" s="17" t="str">
        <f aca="false">IF((E63="f"),H63," ")</f>
        <v> </v>
      </c>
      <c r="AF63" s="17" t="str">
        <f aca="false">IF((E63="l"),H63," ")</f>
        <v> </v>
      </c>
      <c r="AG63" s="17" t="str">
        <f aca="false">IF((E63="y"),H63," ")</f>
        <v> </v>
      </c>
      <c r="AH63" s="17" t="str">
        <f aca="false">IF((E63="z"),H63," ")</f>
        <v> </v>
      </c>
      <c r="AI63" s="17" t="str">
        <f aca="false">IF((E63="fa"),H63," ")</f>
        <v> </v>
      </c>
      <c r="AJ63" s="17" t="str">
        <f aca="false">IF((E63="e"),H63," ")</f>
        <v> </v>
      </c>
    </row>
    <row r="64" customFormat="false" ht="12" hidden="false" customHeight="false" outlineLevel="0" collapsed="false">
      <c r="A64" s="28"/>
      <c r="E64" s="2"/>
      <c r="F64" s="30"/>
      <c r="G64" s="6" t="str">
        <f aca="false">IF(F64&lt;&gt;0,F64*G$2/(100+G$2)," ")</f>
        <v> </v>
      </c>
      <c r="H64" s="6" t="str">
        <f aca="false">IF((F64&lt;&gt;0),F64-G64," ")</f>
        <v> </v>
      </c>
      <c r="I64" s="5"/>
      <c r="L64" s="7" t="str">
        <f aca="false">IF(F64&lt;&gt;0,F64-K64," ")</f>
        <v> </v>
      </c>
      <c r="M64" s="8" t="str">
        <f aca="false">IF((F64-K64)&lt;&gt;0,M$1-A64," ")</f>
        <v> </v>
      </c>
      <c r="N64" s="5"/>
      <c r="O64" s="17" t="str">
        <f aca="false">IF((E64="s"),H64," ")</f>
        <v> </v>
      </c>
      <c r="P64" s="17" t="str">
        <f aca="false">IF((E64="c"),H64," ")</f>
        <v> </v>
      </c>
      <c r="Q64" s="17" t="str">
        <f aca="false">IF((E64="o"),H64," ")</f>
        <v> </v>
      </c>
      <c r="R64" s="17" t="str">
        <f aca="false">IF((E64="d"),H64," ")</f>
        <v> </v>
      </c>
      <c r="S64" s="17" t="str">
        <f aca="false">IF((E64="w"),H64," ")</f>
        <v> </v>
      </c>
      <c r="T64" s="17" t="str">
        <f aca="false">IF((E64="r"),H64," ")</f>
        <v> </v>
      </c>
      <c r="U64" s="17" t="str">
        <f aca="false">IF((E64="p"),H64," ")</f>
        <v> </v>
      </c>
      <c r="V64" s="17" t="str">
        <f aca="false">IF((E64="t"),H64," ")</f>
        <v> </v>
      </c>
      <c r="W64" s="17" t="str">
        <f aca="false">IF((E64="q"),H64," ")</f>
        <v> </v>
      </c>
      <c r="X64" s="17" t="str">
        <f aca="false">IF((E64="m"),H64," ")</f>
        <v> </v>
      </c>
      <c r="Y64" s="17" t="str">
        <f aca="false">IF((E64="u"),H64," ")</f>
        <v> </v>
      </c>
      <c r="Z64" s="17" t="str">
        <f aca="false">IF((E64="a"),H64," ")</f>
        <v> </v>
      </c>
      <c r="AA64" s="17" t="str">
        <f aca="false">IF((E64="g"),H64," ")</f>
        <v> </v>
      </c>
      <c r="AB64" s="17" t="str">
        <f aca="false">IF((E64="h"),H64," ")</f>
        <v> </v>
      </c>
      <c r="AC64" s="30" t="str">
        <f aca="false">IF((E64="v"),H64," ")</f>
        <v> </v>
      </c>
      <c r="AD64" s="30" t="str">
        <f aca="false">IF((E64="n"),H64," ")</f>
        <v> </v>
      </c>
      <c r="AE64" s="17" t="str">
        <f aca="false">IF((E64="f"),H64," ")</f>
        <v> </v>
      </c>
      <c r="AF64" s="17" t="str">
        <f aca="false">IF((E64="l"),H64," ")</f>
        <v> </v>
      </c>
      <c r="AG64" s="17" t="str">
        <f aca="false">IF((E64="y"),H64," ")</f>
        <v> </v>
      </c>
      <c r="AH64" s="17" t="str">
        <f aca="false">IF((E64="z"),H64," ")</f>
        <v> </v>
      </c>
      <c r="AI64" s="17" t="str">
        <f aca="false">IF((E64="fa"),H64," ")</f>
        <v> </v>
      </c>
      <c r="AJ64" s="17" t="str">
        <f aca="false">IF((E64="e"),H64," ")</f>
        <v> </v>
      </c>
    </row>
    <row r="65" customFormat="false" ht="12" hidden="false" customHeight="false" outlineLevel="0" collapsed="false">
      <c r="A65" s="28"/>
      <c r="E65" s="2"/>
      <c r="F65" s="30"/>
      <c r="G65" s="6" t="str">
        <f aca="false">IF(F65&lt;&gt;0,F65*G$2/(100+G$2)," ")</f>
        <v> </v>
      </c>
      <c r="H65" s="6" t="str">
        <f aca="false">IF((F65&lt;&gt;0),F65-G65," ")</f>
        <v> </v>
      </c>
      <c r="I65" s="5"/>
      <c r="L65" s="7" t="str">
        <f aca="false">IF(F65&lt;&gt;0,F65-K65," ")</f>
        <v> </v>
      </c>
      <c r="M65" s="8" t="str">
        <f aca="false">IF((F65-K65)&lt;&gt;0,M$1-A65," ")</f>
        <v> </v>
      </c>
      <c r="N65" s="5"/>
      <c r="O65" s="17" t="str">
        <f aca="false">IF((E65="s"),H65," ")</f>
        <v> </v>
      </c>
      <c r="P65" s="17" t="str">
        <f aca="false">IF((E65="c"),H65," ")</f>
        <v> </v>
      </c>
      <c r="Q65" s="17" t="str">
        <f aca="false">IF((E65="o"),H65," ")</f>
        <v> </v>
      </c>
      <c r="R65" s="17" t="str">
        <f aca="false">IF((E65="d"),H65," ")</f>
        <v> </v>
      </c>
      <c r="S65" s="17" t="str">
        <f aca="false">IF((E65="w"),H65," ")</f>
        <v> </v>
      </c>
      <c r="T65" s="17" t="str">
        <f aca="false">IF((E65="r"),H65," ")</f>
        <v> </v>
      </c>
      <c r="U65" s="17" t="str">
        <f aca="false">IF((E65="p"),H65," ")</f>
        <v> </v>
      </c>
      <c r="V65" s="17" t="str">
        <f aca="false">IF((E65="t"),H65," ")</f>
        <v> </v>
      </c>
      <c r="W65" s="17" t="str">
        <f aca="false">IF((E65="q"),H65," ")</f>
        <v> </v>
      </c>
      <c r="X65" s="17" t="str">
        <f aca="false">IF((E65="m"),H65," ")</f>
        <v> </v>
      </c>
      <c r="Y65" s="17" t="str">
        <f aca="false">IF((E65="u"),H65," ")</f>
        <v> </v>
      </c>
      <c r="Z65" s="17" t="str">
        <f aca="false">IF((E65="a"),H65," ")</f>
        <v> </v>
      </c>
      <c r="AA65" s="17" t="str">
        <f aca="false">IF((E65="g"),H65," ")</f>
        <v> </v>
      </c>
      <c r="AB65" s="17" t="str">
        <f aca="false">IF((E65="h"),H65," ")</f>
        <v> </v>
      </c>
      <c r="AC65" s="30" t="str">
        <f aca="false">IF((E65="v"),H65," ")</f>
        <v> </v>
      </c>
      <c r="AD65" s="30" t="str">
        <f aca="false">IF((E65="n"),H65," ")</f>
        <v> </v>
      </c>
      <c r="AE65" s="17" t="str">
        <f aca="false">IF((E65="f"),H65," ")</f>
        <v> </v>
      </c>
      <c r="AF65" s="17" t="str">
        <f aca="false">IF((E65="l"),H65," ")</f>
        <v> </v>
      </c>
      <c r="AG65" s="17" t="str">
        <f aca="false">IF((E65="y"),H65," ")</f>
        <v> </v>
      </c>
      <c r="AH65" s="17" t="str">
        <f aca="false">IF((E65="z"),H65," ")</f>
        <v> </v>
      </c>
      <c r="AI65" s="17" t="str">
        <f aca="false">IF((E65="fa"),H65," ")</f>
        <v> </v>
      </c>
      <c r="AJ65" s="17" t="str">
        <f aca="false">IF((E65="e"),H65," ")</f>
        <v> </v>
      </c>
    </row>
    <row r="66" customFormat="false" ht="12" hidden="false" customHeight="false" outlineLevel="0" collapsed="false">
      <c r="A66" s="28"/>
      <c r="E66" s="2"/>
      <c r="F66" s="30"/>
      <c r="G66" s="6" t="str">
        <f aca="false">IF(F66&lt;&gt;0,F66*G$2/(100+G$2)," ")</f>
        <v> </v>
      </c>
      <c r="H66" s="6" t="str">
        <f aca="false">IF((F66&lt;&gt;0),F66-G66," ")</f>
        <v> </v>
      </c>
      <c r="I66" s="5"/>
      <c r="L66" s="7" t="str">
        <f aca="false">IF(F66&lt;&gt;0,F66-K66," ")</f>
        <v> </v>
      </c>
      <c r="M66" s="8" t="str">
        <f aca="false">IF((F66-K66)&lt;&gt;0,M$1-A66," ")</f>
        <v> </v>
      </c>
      <c r="N66" s="5"/>
      <c r="O66" s="17" t="str">
        <f aca="false">IF((E66="s"),H66," ")</f>
        <v> </v>
      </c>
      <c r="P66" s="17" t="str">
        <f aca="false">IF((E66="c"),H66," ")</f>
        <v> </v>
      </c>
      <c r="Q66" s="17" t="str">
        <f aca="false">IF((E66="o"),H66," ")</f>
        <v> </v>
      </c>
      <c r="R66" s="17" t="str">
        <f aca="false">IF((E66="d"),H66," ")</f>
        <v> </v>
      </c>
      <c r="S66" s="17" t="str">
        <f aca="false">IF((E66="w"),H66," ")</f>
        <v> </v>
      </c>
      <c r="T66" s="17" t="str">
        <f aca="false">IF((E66="r"),H66," ")</f>
        <v> </v>
      </c>
      <c r="U66" s="17" t="str">
        <f aca="false">IF((E66="p"),H66," ")</f>
        <v> </v>
      </c>
      <c r="V66" s="17" t="str">
        <f aca="false">IF((E66="t"),H66," ")</f>
        <v> </v>
      </c>
      <c r="W66" s="17" t="str">
        <f aca="false">IF((E66="q"),H66," ")</f>
        <v> </v>
      </c>
      <c r="X66" s="17" t="str">
        <f aca="false">IF((E66="m"),H66," ")</f>
        <v> </v>
      </c>
      <c r="Y66" s="17" t="str">
        <f aca="false">IF((E66="u"),H66," ")</f>
        <v> </v>
      </c>
      <c r="Z66" s="17" t="str">
        <f aca="false">IF((E66="a"),H66," ")</f>
        <v> </v>
      </c>
      <c r="AA66" s="17" t="str">
        <f aca="false">IF((E66="g"),H66," ")</f>
        <v> </v>
      </c>
      <c r="AB66" s="17" t="str">
        <f aca="false">IF((E66="h"),H66," ")</f>
        <v> </v>
      </c>
      <c r="AC66" s="30" t="str">
        <f aca="false">IF((E66="v"),H66," ")</f>
        <v> </v>
      </c>
      <c r="AD66" s="30" t="str">
        <f aca="false">IF((E66="n"),H66," ")</f>
        <v> </v>
      </c>
      <c r="AE66" s="17" t="str">
        <f aca="false">IF((E66="f"),H66," ")</f>
        <v> </v>
      </c>
      <c r="AF66" s="17" t="str">
        <f aca="false">IF((E66="l"),H66," ")</f>
        <v> </v>
      </c>
      <c r="AG66" s="17" t="str">
        <f aca="false">IF((E66="y"),H66," ")</f>
        <v> </v>
      </c>
      <c r="AH66" s="17" t="str">
        <f aca="false">IF((E66="z"),H66," ")</f>
        <v> </v>
      </c>
      <c r="AI66" s="17" t="str">
        <f aca="false">IF((E66="fa"),H66," ")</f>
        <v> </v>
      </c>
      <c r="AJ66" s="17" t="str">
        <f aca="false">IF((E66="e"),H66," ")</f>
        <v> </v>
      </c>
    </row>
    <row r="67" customFormat="false" ht="12" hidden="false" customHeight="false" outlineLevel="0" collapsed="false">
      <c r="A67" s="28"/>
      <c r="E67" s="2"/>
      <c r="F67" s="30"/>
      <c r="G67" s="6" t="str">
        <f aca="false">IF(F67&lt;&gt;0,F67*G$2/(100+G$2)," ")</f>
        <v> </v>
      </c>
      <c r="H67" s="6" t="str">
        <f aca="false">IF((F67&lt;&gt;0),F67-G67," ")</f>
        <v> </v>
      </c>
      <c r="I67" s="5"/>
      <c r="L67" s="7" t="str">
        <f aca="false">IF(F67&lt;&gt;0,F67-K67," ")</f>
        <v> </v>
      </c>
      <c r="M67" s="8" t="str">
        <f aca="false">IF((F67-K67)&lt;&gt;0,M$1-A67," ")</f>
        <v> </v>
      </c>
      <c r="N67" s="5"/>
      <c r="O67" s="17" t="str">
        <f aca="false">IF((E67="s"),H67," ")</f>
        <v> </v>
      </c>
      <c r="P67" s="17" t="str">
        <f aca="false">IF((E67="c"),H67," ")</f>
        <v> </v>
      </c>
      <c r="Q67" s="17" t="str">
        <f aca="false">IF((E67="o"),H67," ")</f>
        <v> </v>
      </c>
      <c r="R67" s="17" t="str">
        <f aca="false">IF((E67="d"),H67," ")</f>
        <v> </v>
      </c>
      <c r="S67" s="17" t="str">
        <f aca="false">IF((E67="w"),H67," ")</f>
        <v> </v>
      </c>
      <c r="T67" s="17" t="str">
        <f aca="false">IF((E67="r"),H67," ")</f>
        <v> </v>
      </c>
      <c r="U67" s="17" t="str">
        <f aca="false">IF((E67="p"),H67," ")</f>
        <v> </v>
      </c>
      <c r="V67" s="17" t="str">
        <f aca="false">IF((E67="t"),H67," ")</f>
        <v> </v>
      </c>
      <c r="W67" s="17" t="str">
        <f aca="false">IF((E67="q"),H67," ")</f>
        <v> </v>
      </c>
      <c r="X67" s="17" t="str">
        <f aca="false">IF((E67="m"),H67," ")</f>
        <v> </v>
      </c>
      <c r="Y67" s="17" t="str">
        <f aca="false">IF((E67="u"),H67," ")</f>
        <v> </v>
      </c>
      <c r="Z67" s="17" t="str">
        <f aca="false">IF((E67="a"),H67," ")</f>
        <v> </v>
      </c>
      <c r="AA67" s="17" t="str">
        <f aca="false">IF((E67="g"),H67," ")</f>
        <v> </v>
      </c>
      <c r="AB67" s="17" t="str">
        <f aca="false">IF((E67="h"),H67," ")</f>
        <v> </v>
      </c>
      <c r="AC67" s="30" t="str">
        <f aca="false">IF((E67="v"),H67," ")</f>
        <v> </v>
      </c>
      <c r="AD67" s="30" t="str">
        <f aca="false">IF((E67="n"),H67," ")</f>
        <v> </v>
      </c>
      <c r="AE67" s="17" t="str">
        <f aca="false">IF((E67="f"),H67," ")</f>
        <v> </v>
      </c>
      <c r="AF67" s="17" t="str">
        <f aca="false">IF((E67="l"),H67," ")</f>
        <v> </v>
      </c>
      <c r="AG67" s="17" t="str">
        <f aca="false">IF((E67="y"),H67," ")</f>
        <v> </v>
      </c>
      <c r="AH67" s="17" t="str">
        <f aca="false">IF((E67="z"),H67," ")</f>
        <v> </v>
      </c>
      <c r="AI67" s="17" t="str">
        <f aca="false">IF((E67="fa"),H67," ")</f>
        <v> </v>
      </c>
      <c r="AJ67" s="17" t="str">
        <f aca="false">IF((E67="e"),H67," ")</f>
        <v> </v>
      </c>
    </row>
    <row r="68" customFormat="false" ht="12" hidden="false" customHeight="false" outlineLevel="0" collapsed="false">
      <c r="A68" s="28"/>
      <c r="E68" s="2"/>
      <c r="F68" s="30"/>
      <c r="G68" s="6" t="str">
        <f aca="false">IF(F68&lt;&gt;0,F68*G$2/(100+G$2)," ")</f>
        <v> </v>
      </c>
      <c r="H68" s="6" t="str">
        <f aca="false">IF((F68&lt;&gt;0),F68-G68," ")</f>
        <v> </v>
      </c>
      <c r="I68" s="5"/>
      <c r="L68" s="7" t="str">
        <f aca="false">IF(F68&lt;&gt;0,F68-K68," ")</f>
        <v> </v>
      </c>
      <c r="M68" s="8" t="str">
        <f aca="false">IF((F68-K68)&lt;&gt;0,M$1-A68," ")</f>
        <v> </v>
      </c>
      <c r="N68" s="5"/>
      <c r="O68" s="17" t="str">
        <f aca="false">IF((E68="s"),H68," ")</f>
        <v> </v>
      </c>
      <c r="P68" s="17" t="str">
        <f aca="false">IF((E68="c"),H68," ")</f>
        <v> </v>
      </c>
      <c r="Q68" s="17" t="str">
        <f aca="false">IF((E68="o"),H68," ")</f>
        <v> </v>
      </c>
      <c r="R68" s="17" t="str">
        <f aca="false">IF((E68="d"),H68," ")</f>
        <v> </v>
      </c>
      <c r="S68" s="17" t="str">
        <f aca="false">IF((E68="w"),H68," ")</f>
        <v> </v>
      </c>
      <c r="T68" s="17" t="str">
        <f aca="false">IF((E68="r"),H68," ")</f>
        <v> </v>
      </c>
      <c r="U68" s="17" t="str">
        <f aca="false">IF((E68="p"),H68," ")</f>
        <v> </v>
      </c>
      <c r="V68" s="17" t="str">
        <f aca="false">IF((E68="t"),H68," ")</f>
        <v> </v>
      </c>
      <c r="W68" s="17" t="str">
        <f aca="false">IF((E68="q"),H68," ")</f>
        <v> </v>
      </c>
      <c r="X68" s="17" t="str">
        <f aca="false">IF((E68="m"),H68," ")</f>
        <v> </v>
      </c>
      <c r="Y68" s="17" t="str">
        <f aca="false">IF((E68="u"),H68," ")</f>
        <v> </v>
      </c>
      <c r="Z68" s="17" t="str">
        <f aca="false">IF((E68="a"),H68," ")</f>
        <v> </v>
      </c>
      <c r="AA68" s="17" t="str">
        <f aca="false">IF((E68="g"),H68," ")</f>
        <v> </v>
      </c>
      <c r="AB68" s="17" t="str">
        <f aca="false">IF((E68="h"),H68," ")</f>
        <v> </v>
      </c>
      <c r="AC68" s="30" t="str">
        <f aca="false">IF((E68="v"),H68," ")</f>
        <v> </v>
      </c>
      <c r="AD68" s="30" t="str">
        <f aca="false">IF((E68="n"),H68," ")</f>
        <v> </v>
      </c>
      <c r="AE68" s="17" t="str">
        <f aca="false">IF((E68="f"),H68," ")</f>
        <v> </v>
      </c>
      <c r="AF68" s="17" t="str">
        <f aca="false">IF((E68="l"),H68," ")</f>
        <v> </v>
      </c>
      <c r="AG68" s="17" t="str">
        <f aca="false">IF((E68="y"),H68," ")</f>
        <v> </v>
      </c>
      <c r="AH68" s="17" t="str">
        <f aca="false">IF((E68="z"),H68," ")</f>
        <v> </v>
      </c>
      <c r="AI68" s="17" t="str">
        <f aca="false">IF((E68="fa"),H68," ")</f>
        <v> </v>
      </c>
      <c r="AJ68" s="17" t="str">
        <f aca="false">IF((E68="e"),H68," ")</f>
        <v> </v>
      </c>
    </row>
    <row r="69" customFormat="false" ht="12" hidden="false" customHeight="false" outlineLevel="0" collapsed="false">
      <c r="A69" s="28"/>
      <c r="E69" s="2"/>
      <c r="F69" s="30"/>
      <c r="G69" s="6" t="str">
        <f aca="false">IF(F69&lt;&gt;0,F69*G$2/(100+G$2)," ")</f>
        <v> </v>
      </c>
      <c r="H69" s="6" t="str">
        <f aca="false">IF((F69&lt;&gt;0),F69-G69," ")</f>
        <v> </v>
      </c>
      <c r="I69" s="5"/>
      <c r="L69" s="7" t="str">
        <f aca="false">IF(F69&lt;&gt;0,F69-K69," ")</f>
        <v> </v>
      </c>
      <c r="M69" s="8" t="str">
        <f aca="false">IF((F69-K69)&lt;&gt;0,M$1-A69," ")</f>
        <v> </v>
      </c>
      <c r="N69" s="5"/>
      <c r="O69" s="17" t="str">
        <f aca="false">IF((E69="s"),H69," ")</f>
        <v> </v>
      </c>
      <c r="P69" s="17" t="str">
        <f aca="false">IF((E69="c"),H69," ")</f>
        <v> </v>
      </c>
      <c r="Q69" s="17" t="str">
        <f aca="false">IF((E69="o"),H69," ")</f>
        <v> </v>
      </c>
      <c r="R69" s="17" t="str">
        <f aca="false">IF((E69="d"),H69," ")</f>
        <v> </v>
      </c>
      <c r="S69" s="17" t="str">
        <f aca="false">IF((E69="w"),H69," ")</f>
        <v> </v>
      </c>
      <c r="T69" s="17" t="str">
        <f aca="false">IF((E69="r"),H69," ")</f>
        <v> </v>
      </c>
      <c r="U69" s="17" t="str">
        <f aca="false">IF((E69="p"),H69," ")</f>
        <v> </v>
      </c>
      <c r="V69" s="17" t="str">
        <f aca="false">IF((E69="t"),H69," ")</f>
        <v> </v>
      </c>
      <c r="W69" s="17" t="str">
        <f aca="false">IF((E69="q"),H69," ")</f>
        <v> </v>
      </c>
      <c r="X69" s="17" t="str">
        <f aca="false">IF((E69="m"),H69," ")</f>
        <v> </v>
      </c>
      <c r="Y69" s="17" t="str">
        <f aca="false">IF((E69="u"),H69," ")</f>
        <v> </v>
      </c>
      <c r="Z69" s="17" t="str">
        <f aca="false">IF((E69="a"),H69," ")</f>
        <v> </v>
      </c>
      <c r="AA69" s="17" t="str">
        <f aca="false">IF((E69="g"),H69," ")</f>
        <v> </v>
      </c>
      <c r="AB69" s="17" t="str">
        <f aca="false">IF((E69="h"),H69," ")</f>
        <v> </v>
      </c>
      <c r="AC69" s="30" t="str">
        <f aca="false">IF((E69="v"),H69," ")</f>
        <v> </v>
      </c>
      <c r="AD69" s="30" t="str">
        <f aca="false">IF((E69="n"),H69," ")</f>
        <v> </v>
      </c>
      <c r="AE69" s="17" t="str">
        <f aca="false">IF((E69="f"),H69," ")</f>
        <v> </v>
      </c>
      <c r="AF69" s="17" t="str">
        <f aca="false">IF((E69="l"),H69," ")</f>
        <v> </v>
      </c>
      <c r="AG69" s="17" t="str">
        <f aca="false">IF((E69="y"),H69," ")</f>
        <v> </v>
      </c>
      <c r="AH69" s="17" t="str">
        <f aca="false">IF((E69="z"),H69," ")</f>
        <v> </v>
      </c>
      <c r="AI69" s="17" t="str">
        <f aca="false">IF((E69="fa"),H69," ")</f>
        <v> </v>
      </c>
      <c r="AJ69" s="17" t="str">
        <f aca="false">IF((E69="e"),H69," ")</f>
        <v> </v>
      </c>
    </row>
    <row r="70" customFormat="false" ht="12" hidden="false" customHeight="false" outlineLevel="0" collapsed="false">
      <c r="A70" s="28"/>
      <c r="E70" s="2" t="str">
        <f aca="false">IF((F70&lt;&gt;0),"Enter Letter"," ")</f>
        <v> </v>
      </c>
      <c r="F70" s="30"/>
      <c r="G70" s="6" t="str">
        <f aca="false">IF(F70&lt;&gt;0,F70*G$2/(100+G$2)," ")</f>
        <v> </v>
      </c>
      <c r="H70" s="6" t="str">
        <f aca="false">IF((F70&lt;&gt;0),F70-G70," ")</f>
        <v> </v>
      </c>
      <c r="I70" s="5"/>
      <c r="L70" s="7" t="str">
        <f aca="false">IF(F70&lt;&gt;0,F70-K70," ")</f>
        <v> </v>
      </c>
      <c r="M70" s="8" t="str">
        <f aca="false">IF((F70-K70)&lt;&gt;0,M$1-A70," ")</f>
        <v> </v>
      </c>
      <c r="N70" s="5"/>
      <c r="O70" s="17" t="str">
        <f aca="false">IF((E70="s"),H70," ")</f>
        <v> </v>
      </c>
      <c r="P70" s="17" t="str">
        <f aca="false">IF((E70="c"),H70," ")</f>
        <v> </v>
      </c>
      <c r="Q70" s="17" t="str">
        <f aca="false">IF((E70="o"),H70," ")</f>
        <v> </v>
      </c>
      <c r="R70" s="17" t="str">
        <f aca="false">IF((E70="d"),H70," ")</f>
        <v> </v>
      </c>
      <c r="S70" s="17" t="str">
        <f aca="false">IF((E70="w"),H70," ")</f>
        <v> </v>
      </c>
      <c r="T70" s="17" t="str">
        <f aca="false">IF((E70="r"),H70," ")</f>
        <v> </v>
      </c>
      <c r="U70" s="17" t="str">
        <f aca="false">IF((E70="p"),H70," ")</f>
        <v> </v>
      </c>
      <c r="V70" s="17" t="str">
        <f aca="false">IF((E70="t"),H70," ")</f>
        <v> </v>
      </c>
      <c r="W70" s="17" t="str">
        <f aca="false">IF((E70="q"),H70," ")</f>
        <v> </v>
      </c>
      <c r="X70" s="17" t="str">
        <f aca="false">IF((E70="m"),H70," ")</f>
        <v> </v>
      </c>
      <c r="Y70" s="17" t="str">
        <f aca="false">IF((E70="u"),H70," ")</f>
        <v> </v>
      </c>
      <c r="Z70" s="17" t="str">
        <f aca="false">IF((E70="a"),H70," ")</f>
        <v> </v>
      </c>
      <c r="AA70" s="17" t="str">
        <f aca="false">IF((E70="g"),H70," ")</f>
        <v> </v>
      </c>
      <c r="AB70" s="17" t="str">
        <f aca="false">IF((E70="h"),H70," ")</f>
        <v> </v>
      </c>
      <c r="AC70" s="30" t="str">
        <f aca="false">IF((E70="v"),H70," ")</f>
        <v> </v>
      </c>
      <c r="AD70" s="30" t="str">
        <f aca="false">IF((E70="n"),H70," ")</f>
        <v> </v>
      </c>
      <c r="AE70" s="17" t="str">
        <f aca="false">IF((E70="f"),H70," ")</f>
        <v> </v>
      </c>
      <c r="AF70" s="17" t="str">
        <f aca="false">IF((E70="l"),H70," ")</f>
        <v> </v>
      </c>
      <c r="AG70" s="17" t="str">
        <f aca="false">IF((E70="y"),H70," ")</f>
        <v> </v>
      </c>
      <c r="AH70" s="17" t="str">
        <f aca="false">IF((E70="z"),H70," ")</f>
        <v> </v>
      </c>
      <c r="AI70" s="17" t="str">
        <f aca="false">IF((E70="fa"),H70," ")</f>
        <v> </v>
      </c>
      <c r="AJ70" s="17" t="str">
        <f aca="false">IF((E70="e"),H70," ")</f>
        <v> </v>
      </c>
    </row>
    <row r="71" customFormat="false" ht="12" hidden="false" customHeight="false" outlineLevel="0" collapsed="false">
      <c r="A71" s="28"/>
      <c r="E71" s="2" t="str">
        <f aca="false">IF((F71&lt;&gt;0),"Enter Letter"," ")</f>
        <v> </v>
      </c>
      <c r="F71" s="30"/>
      <c r="G71" s="6" t="str">
        <f aca="false">IF(F71&lt;&gt;0,F71*G$2/(100+G$2)," ")</f>
        <v> </v>
      </c>
      <c r="H71" s="6" t="str">
        <f aca="false">IF((F71&lt;&gt;0),F71-G71," ")</f>
        <v> </v>
      </c>
      <c r="I71" s="5"/>
      <c r="L71" s="7" t="str">
        <f aca="false">IF(F71&lt;&gt;0,F71-K71," ")</f>
        <v> </v>
      </c>
      <c r="M71" s="8" t="str">
        <f aca="false">IF((F71-K71)&lt;&gt;0,M$1-A71," ")</f>
        <v> </v>
      </c>
      <c r="N71" s="5"/>
      <c r="O71" s="17" t="str">
        <f aca="false">IF((E71="s"),H71," ")</f>
        <v> </v>
      </c>
      <c r="P71" s="17" t="str">
        <f aca="false">IF((E71="c"),H71," ")</f>
        <v> </v>
      </c>
      <c r="Q71" s="17" t="str">
        <f aca="false">IF((E71="o"),H71," ")</f>
        <v> </v>
      </c>
      <c r="R71" s="17" t="str">
        <f aca="false">IF((E71="d"),H71," ")</f>
        <v> </v>
      </c>
      <c r="S71" s="17" t="str">
        <f aca="false">IF((E71="w"),H71," ")</f>
        <v> </v>
      </c>
      <c r="T71" s="17" t="str">
        <f aca="false">IF((E71="r"),H71," ")</f>
        <v> </v>
      </c>
      <c r="U71" s="17" t="str">
        <f aca="false">IF((E71="p"),H71," ")</f>
        <v> </v>
      </c>
      <c r="V71" s="17" t="str">
        <f aca="false">IF((E71="t"),H71," ")</f>
        <v> </v>
      </c>
      <c r="W71" s="17" t="str">
        <f aca="false">IF((E71="q"),H71," ")</f>
        <v> </v>
      </c>
      <c r="X71" s="17" t="str">
        <f aca="false">IF((E71="m"),H71," ")</f>
        <v> </v>
      </c>
      <c r="Y71" s="17" t="str">
        <f aca="false">IF((E71="u"),H71," ")</f>
        <v> </v>
      </c>
      <c r="Z71" s="17" t="str">
        <f aca="false">IF((E71="a"),H71," ")</f>
        <v> </v>
      </c>
      <c r="AA71" s="17" t="str">
        <f aca="false">IF((E71="g"),H71," ")</f>
        <v> </v>
      </c>
      <c r="AB71" s="17" t="str">
        <f aca="false">IF((E71="h"),H71," ")</f>
        <v> </v>
      </c>
      <c r="AC71" s="30" t="str">
        <f aca="false">IF((E71="v"),H71," ")</f>
        <v> </v>
      </c>
      <c r="AD71" s="30" t="str">
        <f aca="false">IF((E71="n"),H71," ")</f>
        <v> </v>
      </c>
      <c r="AE71" s="17" t="str">
        <f aca="false">IF((E71="f"),H71," ")</f>
        <v> </v>
      </c>
      <c r="AF71" s="17" t="str">
        <f aca="false">IF((E71="l"),H71," ")</f>
        <v> </v>
      </c>
      <c r="AG71" s="17" t="str">
        <f aca="false">IF((E71="y"),H71," ")</f>
        <v> </v>
      </c>
      <c r="AH71" s="17" t="str">
        <f aca="false">IF((E71="z"),H71," ")</f>
        <v> </v>
      </c>
      <c r="AI71" s="17" t="str">
        <f aca="false">IF((E71="fa"),H71," ")</f>
        <v> </v>
      </c>
      <c r="AJ71" s="17" t="str">
        <f aca="false">IF((E71="e"),H71," ")</f>
        <v> </v>
      </c>
    </row>
    <row r="72" customFormat="false" ht="12" hidden="false" customHeight="false" outlineLevel="0" collapsed="false">
      <c r="A72" s="28"/>
      <c r="E72" s="2" t="str">
        <f aca="false">IF((F72&lt;&gt;0),"Enter Letter"," ")</f>
        <v> </v>
      </c>
      <c r="F72" s="30"/>
      <c r="G72" s="6" t="str">
        <f aca="false">IF(F72&lt;&gt;0,F72*G$2/(100+G$2)," ")</f>
        <v> </v>
      </c>
      <c r="H72" s="6" t="str">
        <f aca="false">IF((F72&lt;&gt;0),F72-G72," ")</f>
        <v> </v>
      </c>
      <c r="I72" s="5"/>
      <c r="L72" s="7" t="str">
        <f aca="false">IF(F72&lt;&gt;0,F72-K72," ")</f>
        <v> </v>
      </c>
      <c r="M72" s="8" t="str">
        <f aca="false">IF((F72-K72)&lt;&gt;0,M$1-A72," ")</f>
        <v> </v>
      </c>
      <c r="N72" s="5"/>
      <c r="O72" s="17" t="str">
        <f aca="false">IF((E72="s"),H72," ")</f>
        <v> </v>
      </c>
      <c r="P72" s="17" t="str">
        <f aca="false">IF((E72="c"),H72," ")</f>
        <v> </v>
      </c>
      <c r="Q72" s="17" t="str">
        <f aca="false">IF((E72="o"),H72," ")</f>
        <v> </v>
      </c>
      <c r="R72" s="17" t="str">
        <f aca="false">IF((E72="d"),H72," ")</f>
        <v> </v>
      </c>
      <c r="S72" s="17" t="str">
        <f aca="false">IF((E72="w"),H72," ")</f>
        <v> </v>
      </c>
      <c r="T72" s="17" t="str">
        <f aca="false">IF((E72="r"),H72," ")</f>
        <v> </v>
      </c>
      <c r="U72" s="17" t="str">
        <f aca="false">IF((E72="p"),H72," ")</f>
        <v> </v>
      </c>
      <c r="V72" s="17" t="str">
        <f aca="false">IF((E72="t"),H72," ")</f>
        <v> </v>
      </c>
      <c r="W72" s="17" t="str">
        <f aca="false">IF((E72="q"),H72," ")</f>
        <v> </v>
      </c>
      <c r="X72" s="17" t="str">
        <f aca="false">IF((E72="m"),H72," ")</f>
        <v> </v>
      </c>
      <c r="Y72" s="17" t="str">
        <f aca="false">IF((E72="u"),H72," ")</f>
        <v> </v>
      </c>
      <c r="Z72" s="17" t="str">
        <f aca="false">IF((E72="a"),H72," ")</f>
        <v> </v>
      </c>
      <c r="AA72" s="17" t="str">
        <f aca="false">IF((E72="g"),H72," ")</f>
        <v> </v>
      </c>
      <c r="AB72" s="17" t="str">
        <f aca="false">IF((E72="h"),H72," ")</f>
        <v> </v>
      </c>
      <c r="AC72" s="30" t="str">
        <f aca="false">IF((E72="v"),H72," ")</f>
        <v> </v>
      </c>
      <c r="AD72" s="30" t="str">
        <f aca="false">IF((E72="n"),H72," ")</f>
        <v> </v>
      </c>
      <c r="AE72" s="17" t="str">
        <f aca="false">IF((E72="f"),H72," ")</f>
        <v> </v>
      </c>
      <c r="AF72" s="17" t="str">
        <f aca="false">IF((E72="l"),H72," ")</f>
        <v> </v>
      </c>
      <c r="AG72" s="17" t="str">
        <f aca="false">IF((E72="y"),H72," ")</f>
        <v> </v>
      </c>
      <c r="AH72" s="17" t="str">
        <f aca="false">IF((E72="z"),H72," ")</f>
        <v> </v>
      </c>
      <c r="AI72" s="17" t="str">
        <f aca="false">IF((E72="fa"),H72," ")</f>
        <v> </v>
      </c>
      <c r="AJ72" s="17" t="str">
        <f aca="false">IF((E72="e"),H72," ")</f>
        <v> </v>
      </c>
    </row>
    <row r="73" customFormat="false" ht="12" hidden="false" customHeight="false" outlineLevel="0" collapsed="false">
      <c r="A73" s="28"/>
      <c r="E73" s="2" t="str">
        <f aca="false">IF((F73&lt;&gt;0),"Enter Letter"," ")</f>
        <v> </v>
      </c>
      <c r="F73" s="30"/>
      <c r="G73" s="6" t="str">
        <f aca="false">IF(F73&lt;&gt;0,F73*G$2/(100+G$2)," ")</f>
        <v> </v>
      </c>
      <c r="H73" s="6" t="str">
        <f aca="false">IF((F73&lt;&gt;0),F73-G73," ")</f>
        <v> </v>
      </c>
      <c r="I73" s="5"/>
      <c r="L73" s="7" t="str">
        <f aca="false">IF(F73&lt;&gt;0,F73-K73," ")</f>
        <v> </v>
      </c>
      <c r="M73" s="8" t="str">
        <f aca="false">IF((F73-K73)&lt;&gt;0,M$1-A73," ")</f>
        <v> </v>
      </c>
      <c r="N73" s="5"/>
      <c r="O73" s="17" t="str">
        <f aca="false">IF((E73="s"),H73," ")</f>
        <v> </v>
      </c>
      <c r="P73" s="17" t="str">
        <f aca="false">IF((E73="c"),H73," ")</f>
        <v> </v>
      </c>
      <c r="Q73" s="17" t="str">
        <f aca="false">IF((E73="o"),H73," ")</f>
        <v> </v>
      </c>
      <c r="R73" s="17" t="str">
        <f aca="false">IF((E73="d"),H73," ")</f>
        <v> </v>
      </c>
      <c r="S73" s="17" t="str">
        <f aca="false">IF((E73="w"),H73," ")</f>
        <v> </v>
      </c>
      <c r="T73" s="17" t="str">
        <f aca="false">IF((E73="r"),H73," ")</f>
        <v> </v>
      </c>
      <c r="U73" s="17" t="str">
        <f aca="false">IF((E73="p"),H73," ")</f>
        <v> </v>
      </c>
      <c r="V73" s="17" t="str">
        <f aca="false">IF((E73="t"),H73," ")</f>
        <v> </v>
      </c>
      <c r="W73" s="17" t="str">
        <f aca="false">IF((E73="q"),H73," ")</f>
        <v> </v>
      </c>
      <c r="X73" s="17" t="str">
        <f aca="false">IF((E73="m"),H73," ")</f>
        <v> </v>
      </c>
      <c r="Y73" s="17" t="str">
        <f aca="false">IF((E73="u"),H73," ")</f>
        <v> </v>
      </c>
      <c r="Z73" s="17" t="str">
        <f aca="false">IF((E73="a"),H73," ")</f>
        <v> </v>
      </c>
      <c r="AA73" s="17" t="str">
        <f aca="false">IF((E73="g"),H73," ")</f>
        <v> </v>
      </c>
      <c r="AB73" s="17" t="str">
        <f aca="false">IF((E73="h"),H73," ")</f>
        <v> </v>
      </c>
      <c r="AC73" s="30" t="str">
        <f aca="false">IF((E73="v"),H73," ")</f>
        <v> </v>
      </c>
      <c r="AD73" s="30" t="str">
        <f aca="false">IF((E73="n"),H73," ")</f>
        <v> </v>
      </c>
      <c r="AE73" s="17" t="str">
        <f aca="false">IF((E73="f"),H73," ")</f>
        <v> </v>
      </c>
      <c r="AF73" s="17" t="str">
        <f aca="false">IF((E73="l"),H73," ")</f>
        <v> </v>
      </c>
      <c r="AG73" s="17" t="str">
        <f aca="false">IF((E73="y"),H73," ")</f>
        <v> </v>
      </c>
      <c r="AH73" s="17" t="str">
        <f aca="false">IF((E73="z"),H73," ")</f>
        <v> </v>
      </c>
      <c r="AI73" s="17" t="str">
        <f aca="false">IF((E73="fa"),H73," ")</f>
        <v> </v>
      </c>
      <c r="AJ73" s="17" t="str">
        <f aca="false">IF((E73="e"),H73," ")</f>
        <v> </v>
      </c>
    </row>
    <row r="74" customFormat="false" ht="12" hidden="false" customHeight="false" outlineLevel="0" collapsed="false">
      <c r="A74" s="28"/>
      <c r="E74" s="2" t="str">
        <f aca="false">IF((F74&lt;&gt;0),"Enter Letter"," ")</f>
        <v> </v>
      </c>
      <c r="F74" s="30"/>
      <c r="G74" s="6" t="str">
        <f aca="false">IF(F74&lt;&gt;0,F74*G$2/(100+G$2)," ")</f>
        <v> </v>
      </c>
      <c r="H74" s="6" t="str">
        <f aca="false">IF((F74&lt;&gt;0),F74-G74," ")</f>
        <v> </v>
      </c>
      <c r="I74" s="5"/>
      <c r="L74" s="7" t="str">
        <f aca="false">IF(F74&lt;&gt;0,F74-K74," ")</f>
        <v> </v>
      </c>
      <c r="M74" s="8" t="str">
        <f aca="false">IF((F74-K74)&lt;&gt;0,M$1-A74," ")</f>
        <v> </v>
      </c>
      <c r="N74" s="5"/>
      <c r="O74" s="17" t="str">
        <f aca="false">IF((E74="s"),H74," ")</f>
        <v> </v>
      </c>
      <c r="P74" s="17" t="str">
        <f aca="false">IF((E74="c"),H74," ")</f>
        <v> </v>
      </c>
      <c r="Q74" s="17" t="str">
        <f aca="false">IF((E74="o"),H74," ")</f>
        <v> </v>
      </c>
      <c r="R74" s="17" t="str">
        <f aca="false">IF((E74="d"),H74," ")</f>
        <v> </v>
      </c>
      <c r="S74" s="17" t="str">
        <f aca="false">IF((E74="w"),H74," ")</f>
        <v> </v>
      </c>
      <c r="T74" s="17" t="str">
        <f aca="false">IF((E74="r"),H74," ")</f>
        <v> </v>
      </c>
      <c r="U74" s="17" t="str">
        <f aca="false">IF((E74="p"),H74," ")</f>
        <v> </v>
      </c>
      <c r="V74" s="17" t="str">
        <f aca="false">IF((E74="t"),H74," ")</f>
        <v> </v>
      </c>
      <c r="W74" s="17" t="str">
        <f aca="false">IF((E74="q"),H74," ")</f>
        <v> </v>
      </c>
      <c r="X74" s="17" t="str">
        <f aca="false">IF((E74="m"),H74," ")</f>
        <v> </v>
      </c>
      <c r="Y74" s="17" t="str">
        <f aca="false">IF((E74="u"),H74," ")</f>
        <v> </v>
      </c>
      <c r="Z74" s="17" t="str">
        <f aca="false">IF((E74="a"),H74," ")</f>
        <v> </v>
      </c>
      <c r="AA74" s="17" t="str">
        <f aca="false">IF((E74="g"),H74," ")</f>
        <v> </v>
      </c>
      <c r="AB74" s="17" t="str">
        <f aca="false">IF((E74="h"),H74," ")</f>
        <v> </v>
      </c>
      <c r="AC74" s="30" t="str">
        <f aca="false">IF((E74="v"),H74," ")</f>
        <v> </v>
      </c>
      <c r="AD74" s="30" t="str">
        <f aca="false">IF((E74="n"),H74," ")</f>
        <v> </v>
      </c>
      <c r="AE74" s="17" t="str">
        <f aca="false">IF((E74="f"),H74," ")</f>
        <v> </v>
      </c>
      <c r="AF74" s="17" t="str">
        <f aca="false">IF((E74="l"),H74," ")</f>
        <v> </v>
      </c>
      <c r="AG74" s="17" t="str">
        <f aca="false">IF((E74="y"),H74," ")</f>
        <v> </v>
      </c>
      <c r="AH74" s="17" t="str">
        <f aca="false">IF((E74="z"),H74," ")</f>
        <v> </v>
      </c>
      <c r="AI74" s="17" t="str">
        <f aca="false">IF((E74="fa"),H74," ")</f>
        <v> </v>
      </c>
      <c r="AJ74" s="17" t="str">
        <f aca="false">IF((E74="e"),H74," ")</f>
        <v> </v>
      </c>
    </row>
    <row r="75" customFormat="false" ht="12" hidden="false" customHeight="false" outlineLevel="0" collapsed="false">
      <c r="A75" s="28"/>
      <c r="E75" s="2" t="str">
        <f aca="false">IF((F75&lt;&gt;0),"Enter Letter"," ")</f>
        <v> </v>
      </c>
      <c r="F75" s="30"/>
      <c r="G75" s="6" t="str">
        <f aca="false">IF(F75&lt;&gt;0,F75*G$2/(100+G$2)," ")</f>
        <v> </v>
      </c>
      <c r="H75" s="6" t="str">
        <f aca="false">IF((F75&lt;&gt;0),F75-G75," ")</f>
        <v> </v>
      </c>
      <c r="I75" s="5"/>
      <c r="L75" s="7" t="str">
        <f aca="false">IF(F75&lt;&gt;0,F75-K75," ")</f>
        <v> </v>
      </c>
      <c r="M75" s="8" t="str">
        <f aca="false">IF((F75-K75)&lt;&gt;0,M$1-A75," ")</f>
        <v> </v>
      </c>
      <c r="N75" s="5"/>
      <c r="O75" s="17" t="str">
        <f aca="false">IF((E75="s"),H75," ")</f>
        <v> </v>
      </c>
      <c r="P75" s="17" t="str">
        <f aca="false">IF((E75="c"),H75," ")</f>
        <v> </v>
      </c>
      <c r="Q75" s="17" t="str">
        <f aca="false">IF((E75="o"),H75," ")</f>
        <v> </v>
      </c>
      <c r="R75" s="17" t="str">
        <f aca="false">IF((E75="d"),H75," ")</f>
        <v> </v>
      </c>
      <c r="S75" s="17" t="str">
        <f aca="false">IF((E75="w"),H75," ")</f>
        <v> </v>
      </c>
      <c r="T75" s="17" t="str">
        <f aca="false">IF((E75="r"),H75," ")</f>
        <v> </v>
      </c>
      <c r="U75" s="17" t="str">
        <f aca="false">IF((E75="p"),H75," ")</f>
        <v> </v>
      </c>
      <c r="V75" s="17" t="str">
        <f aca="false">IF((E75="t"),H75," ")</f>
        <v> </v>
      </c>
      <c r="W75" s="17" t="str">
        <f aca="false">IF((E75="q"),H75," ")</f>
        <v> </v>
      </c>
      <c r="X75" s="17" t="str">
        <f aca="false">IF((E75="m"),H75," ")</f>
        <v> </v>
      </c>
      <c r="Y75" s="17" t="str">
        <f aca="false">IF((E75="u"),H75," ")</f>
        <v> </v>
      </c>
      <c r="Z75" s="17" t="str">
        <f aca="false">IF((E75="a"),H75," ")</f>
        <v> </v>
      </c>
      <c r="AA75" s="17" t="str">
        <f aca="false">IF((E75="g"),H75," ")</f>
        <v> </v>
      </c>
      <c r="AB75" s="17" t="str">
        <f aca="false">IF((E75="h"),H75," ")</f>
        <v> </v>
      </c>
      <c r="AC75" s="30" t="str">
        <f aca="false">IF((E75="v"),H75," ")</f>
        <v> </v>
      </c>
      <c r="AD75" s="30" t="str">
        <f aca="false">IF((E75="n"),H75," ")</f>
        <v> </v>
      </c>
      <c r="AE75" s="17" t="str">
        <f aca="false">IF((E75="f"),H75," ")</f>
        <v> </v>
      </c>
      <c r="AF75" s="17" t="str">
        <f aca="false">IF((E75="l"),H75," ")</f>
        <v> </v>
      </c>
      <c r="AG75" s="17" t="str">
        <f aca="false">IF((E75="y"),H75," ")</f>
        <v> </v>
      </c>
      <c r="AH75" s="17" t="str">
        <f aca="false">IF((E75="z"),H75," ")</f>
        <v> </v>
      </c>
      <c r="AI75" s="17" t="str">
        <f aca="false">IF((E75="fa"),H75," ")</f>
        <v> </v>
      </c>
      <c r="AJ75" s="17" t="str">
        <f aca="false">IF((E75="e"),H75," ")</f>
        <v> </v>
      </c>
    </row>
    <row r="76" customFormat="false" ht="12" hidden="false" customHeight="false" outlineLevel="0" collapsed="false">
      <c r="A76" s="28"/>
      <c r="E76" s="2" t="str">
        <f aca="false">IF((F76&lt;&gt;0),"Enter Letter"," ")</f>
        <v> </v>
      </c>
      <c r="F76" s="30"/>
      <c r="G76" s="6" t="str">
        <f aca="false">IF(F76&lt;&gt;0,F76*G$2/(100+G$2)," ")</f>
        <v> </v>
      </c>
      <c r="H76" s="6" t="str">
        <f aca="false">IF((F76&lt;&gt;0),F76-G76," ")</f>
        <v> </v>
      </c>
      <c r="I76" s="5"/>
      <c r="L76" s="7" t="str">
        <f aca="false">IF(F76&lt;&gt;0,F76-K76," ")</f>
        <v> </v>
      </c>
      <c r="M76" s="8" t="str">
        <f aca="false">IF((F76-K76)&lt;&gt;0,M$1-A76," ")</f>
        <v> </v>
      </c>
      <c r="N76" s="5"/>
      <c r="O76" s="17" t="str">
        <f aca="false">IF((E76="s"),H76," ")</f>
        <v> </v>
      </c>
      <c r="P76" s="17" t="str">
        <f aca="false">IF((E76="c"),H76," ")</f>
        <v> </v>
      </c>
      <c r="Q76" s="17" t="str">
        <f aca="false">IF((E76="o"),H76," ")</f>
        <v> </v>
      </c>
      <c r="R76" s="17" t="str">
        <f aca="false">IF((E76="d"),H76," ")</f>
        <v> </v>
      </c>
      <c r="S76" s="17" t="str">
        <f aca="false">IF((E76="w"),H76," ")</f>
        <v> </v>
      </c>
      <c r="T76" s="17" t="str">
        <f aca="false">IF((E76="r"),H76," ")</f>
        <v> </v>
      </c>
      <c r="U76" s="17" t="str">
        <f aca="false">IF((E76="p"),H76," ")</f>
        <v> </v>
      </c>
      <c r="V76" s="17" t="str">
        <f aca="false">IF((E76="t"),H76," ")</f>
        <v> </v>
      </c>
      <c r="W76" s="17" t="str">
        <f aca="false">IF((E76="q"),H76," ")</f>
        <v> </v>
      </c>
      <c r="X76" s="17" t="str">
        <f aca="false">IF((E76="m"),H76," ")</f>
        <v> </v>
      </c>
      <c r="Y76" s="17" t="str">
        <f aca="false">IF((E76="u"),H76," ")</f>
        <v> </v>
      </c>
      <c r="Z76" s="17" t="str">
        <f aca="false">IF((E76="a"),H76," ")</f>
        <v> </v>
      </c>
      <c r="AA76" s="17" t="str">
        <f aca="false">IF((E76="g"),H76," ")</f>
        <v> </v>
      </c>
      <c r="AB76" s="17" t="str">
        <f aca="false">IF((E76="h"),H76," ")</f>
        <v> </v>
      </c>
      <c r="AC76" s="30" t="str">
        <f aca="false">IF((E76="v"),H76," ")</f>
        <v> </v>
      </c>
      <c r="AD76" s="30" t="str">
        <f aca="false">IF((E76="n"),H76," ")</f>
        <v> </v>
      </c>
      <c r="AE76" s="17" t="str">
        <f aca="false">IF((E76="f"),H76," ")</f>
        <v> </v>
      </c>
      <c r="AF76" s="17" t="str">
        <f aca="false">IF((E76="l"),H76," ")</f>
        <v> </v>
      </c>
      <c r="AG76" s="17" t="str">
        <f aca="false">IF((E76="y"),H76," ")</f>
        <v> </v>
      </c>
      <c r="AH76" s="17" t="str">
        <f aca="false">IF((E76="z"),H76," ")</f>
        <v> </v>
      </c>
      <c r="AI76" s="17" t="str">
        <f aca="false">IF((E76="fa"),H76," ")</f>
        <v> </v>
      </c>
      <c r="AJ76" s="17" t="str">
        <f aca="false">IF((E76="e"),H76," ")</f>
        <v> </v>
      </c>
    </row>
    <row r="77" customFormat="false" ht="12" hidden="false" customHeight="false" outlineLevel="0" collapsed="false">
      <c r="A77" s="28"/>
      <c r="E77" s="2" t="str">
        <f aca="false">IF((F77&lt;&gt;0),"Enter Letter"," ")</f>
        <v> </v>
      </c>
      <c r="F77" s="30"/>
      <c r="G77" s="6" t="str">
        <f aca="false">IF(F77&lt;&gt;0,F77*G$2/(100+G$2)," ")</f>
        <v> </v>
      </c>
      <c r="H77" s="6" t="str">
        <f aca="false">IF((F77&lt;&gt;0),F77-G77," ")</f>
        <v> </v>
      </c>
      <c r="I77" s="5"/>
      <c r="L77" s="7" t="str">
        <f aca="false">IF(F77&lt;&gt;0,F77-K77," ")</f>
        <v> </v>
      </c>
      <c r="M77" s="8" t="str">
        <f aca="false">IF((F77-K77)&lt;&gt;0,M$1-A77," ")</f>
        <v> </v>
      </c>
      <c r="N77" s="5"/>
      <c r="O77" s="17" t="str">
        <f aca="false">IF((E77="s"),H77," ")</f>
        <v> </v>
      </c>
      <c r="P77" s="17" t="str">
        <f aca="false">IF((E77="c"),H77," ")</f>
        <v> </v>
      </c>
      <c r="Q77" s="17" t="str">
        <f aca="false">IF((E77="o"),H77," ")</f>
        <v> </v>
      </c>
      <c r="R77" s="17" t="str">
        <f aca="false">IF((E77="d"),H77," ")</f>
        <v> </v>
      </c>
      <c r="S77" s="17" t="str">
        <f aca="false">IF((E77="w"),H77," ")</f>
        <v> </v>
      </c>
      <c r="T77" s="17" t="str">
        <f aca="false">IF((E77="r"),H77," ")</f>
        <v> </v>
      </c>
      <c r="U77" s="17" t="str">
        <f aca="false">IF((E77="p"),H77," ")</f>
        <v> </v>
      </c>
      <c r="V77" s="17" t="str">
        <f aca="false">IF((E77="t"),H77," ")</f>
        <v> </v>
      </c>
      <c r="W77" s="17" t="str">
        <f aca="false">IF((E77="q"),H77," ")</f>
        <v> </v>
      </c>
      <c r="X77" s="17" t="str">
        <f aca="false">IF((E77="m"),H77," ")</f>
        <v> </v>
      </c>
      <c r="Y77" s="17" t="str">
        <f aca="false">IF((E77="u"),H77," ")</f>
        <v> </v>
      </c>
      <c r="Z77" s="17" t="str">
        <f aca="false">IF((E77="a"),H77," ")</f>
        <v> </v>
      </c>
      <c r="AA77" s="17" t="str">
        <f aca="false">IF((E77="g"),H77," ")</f>
        <v> </v>
      </c>
      <c r="AB77" s="17" t="str">
        <f aca="false">IF((E77="h"),H77," ")</f>
        <v> </v>
      </c>
      <c r="AC77" s="30" t="str">
        <f aca="false">IF((E77="v"),H77," ")</f>
        <v> </v>
      </c>
      <c r="AD77" s="30" t="str">
        <f aca="false">IF((E77="n"),H77," ")</f>
        <v> </v>
      </c>
      <c r="AE77" s="17" t="str">
        <f aca="false">IF((E77="f"),H77," ")</f>
        <v> </v>
      </c>
      <c r="AF77" s="17" t="str">
        <f aca="false">IF((E77="l"),H77," ")</f>
        <v> </v>
      </c>
      <c r="AG77" s="17" t="str">
        <f aca="false">IF((E77="y"),H77," ")</f>
        <v> </v>
      </c>
      <c r="AH77" s="17" t="str">
        <f aca="false">IF((E77="z"),H77," ")</f>
        <v> </v>
      </c>
      <c r="AI77" s="17" t="str">
        <f aca="false">IF((E77="fa"),H77," ")</f>
        <v> </v>
      </c>
      <c r="AJ77" s="17" t="str">
        <f aca="false">IF((E77="e"),H77," ")</f>
        <v> </v>
      </c>
    </row>
    <row r="78" customFormat="false" ht="12" hidden="false" customHeight="false" outlineLevel="0" collapsed="false">
      <c r="A78" s="28"/>
      <c r="E78" s="2" t="str">
        <f aca="false">IF((F78&lt;&gt;0),"Enter Letter"," ")</f>
        <v> </v>
      </c>
      <c r="F78" s="30"/>
      <c r="G78" s="6" t="str">
        <f aca="false">IF(F78&lt;&gt;0,F78*G$2/(100+G$2)," ")</f>
        <v> </v>
      </c>
      <c r="H78" s="6" t="str">
        <f aca="false">IF((F78&lt;&gt;0),F78-G78," ")</f>
        <v> </v>
      </c>
      <c r="I78" s="5"/>
      <c r="L78" s="7" t="str">
        <f aca="false">IF(F78&lt;&gt;0,F78-K78," ")</f>
        <v> </v>
      </c>
      <c r="M78" s="8" t="str">
        <f aca="false">IF((F78-K78)&lt;&gt;0,M$1-A78," ")</f>
        <v> </v>
      </c>
      <c r="N78" s="5"/>
      <c r="O78" s="17" t="str">
        <f aca="false">IF((E78="s"),H78," ")</f>
        <v> </v>
      </c>
      <c r="P78" s="17" t="str">
        <f aca="false">IF((E78="c"),H78," ")</f>
        <v> </v>
      </c>
      <c r="Q78" s="17" t="str">
        <f aca="false">IF((E78="o"),H78," ")</f>
        <v> </v>
      </c>
      <c r="R78" s="17" t="str">
        <f aca="false">IF((E78="d"),H78," ")</f>
        <v> </v>
      </c>
      <c r="S78" s="17" t="str">
        <f aca="false">IF((E78="w"),H78," ")</f>
        <v> </v>
      </c>
      <c r="T78" s="17" t="str">
        <f aca="false">IF((E78="r"),H78," ")</f>
        <v> </v>
      </c>
      <c r="U78" s="17" t="str">
        <f aca="false">IF((E78="p"),H78," ")</f>
        <v> </v>
      </c>
      <c r="V78" s="17" t="str">
        <f aca="false">IF((E78="t"),H78," ")</f>
        <v> </v>
      </c>
      <c r="W78" s="17" t="str">
        <f aca="false">IF((E78="q"),H78," ")</f>
        <v> </v>
      </c>
      <c r="X78" s="17" t="str">
        <f aca="false">IF((E78="m"),H78," ")</f>
        <v> </v>
      </c>
      <c r="Y78" s="17" t="str">
        <f aca="false">IF((E78="u"),H78," ")</f>
        <v> </v>
      </c>
      <c r="Z78" s="17" t="str">
        <f aca="false">IF((E78="a"),H78," ")</f>
        <v> </v>
      </c>
      <c r="AA78" s="17" t="str">
        <f aca="false">IF((E78="g"),H78," ")</f>
        <v> </v>
      </c>
      <c r="AB78" s="17" t="str">
        <f aca="false">IF((E78="h"),H78," ")</f>
        <v> </v>
      </c>
      <c r="AC78" s="30" t="str">
        <f aca="false">IF((E78="v"),H78," ")</f>
        <v> </v>
      </c>
      <c r="AD78" s="30" t="str">
        <f aca="false">IF((E78="n"),H78," ")</f>
        <v> </v>
      </c>
      <c r="AE78" s="17" t="str">
        <f aca="false">IF((E78="f"),H78," ")</f>
        <v> </v>
      </c>
      <c r="AF78" s="17" t="str">
        <f aca="false">IF((E78="l"),H78," ")</f>
        <v> </v>
      </c>
      <c r="AG78" s="17" t="str">
        <f aca="false">IF((E78="y"),H78," ")</f>
        <v> </v>
      </c>
      <c r="AH78" s="17" t="str">
        <f aca="false">IF((E78="z"),H78," ")</f>
        <v> </v>
      </c>
      <c r="AI78" s="17" t="str">
        <f aca="false">IF((E78="fa"),H78," ")</f>
        <v> </v>
      </c>
      <c r="AJ78" s="17" t="str">
        <f aca="false">IF((E78="e"),H78," ")</f>
        <v> </v>
      </c>
    </row>
    <row r="79" customFormat="false" ht="12" hidden="false" customHeight="false" outlineLevel="0" collapsed="false">
      <c r="A79" s="28"/>
      <c r="E79" s="2" t="str">
        <f aca="false">IF((F79&lt;&gt;0),"Enter Letter"," ")</f>
        <v> </v>
      </c>
      <c r="F79" s="30"/>
      <c r="G79" s="6" t="str">
        <f aca="false">IF(F79&lt;&gt;0,F79*G$2/(100+G$2)," ")</f>
        <v> </v>
      </c>
      <c r="H79" s="6" t="str">
        <f aca="false">IF((F79&lt;&gt;0),F79-G79," ")</f>
        <v> </v>
      </c>
      <c r="I79" s="5"/>
      <c r="L79" s="7" t="str">
        <f aca="false">IF(F79&lt;&gt;0,F79-K79," ")</f>
        <v> </v>
      </c>
      <c r="M79" s="8" t="str">
        <f aca="false">IF((F79-K79)&lt;&gt;0,M$1-A79," ")</f>
        <v> </v>
      </c>
      <c r="N79" s="5"/>
      <c r="O79" s="17" t="str">
        <f aca="false">IF((E79="s"),H79," ")</f>
        <v> </v>
      </c>
      <c r="P79" s="17" t="str">
        <f aca="false">IF((E79="c"),H79," ")</f>
        <v> </v>
      </c>
      <c r="Q79" s="17" t="str">
        <f aca="false">IF((E79="o"),H79," ")</f>
        <v> </v>
      </c>
      <c r="R79" s="17" t="str">
        <f aca="false">IF((E79="d"),H79," ")</f>
        <v> </v>
      </c>
      <c r="S79" s="17" t="str">
        <f aca="false">IF((E79="w"),H79," ")</f>
        <v> </v>
      </c>
      <c r="T79" s="17" t="str">
        <f aca="false">IF((E79="r"),H79," ")</f>
        <v> </v>
      </c>
      <c r="U79" s="17" t="str">
        <f aca="false">IF((E79="p"),H79," ")</f>
        <v> </v>
      </c>
      <c r="V79" s="17" t="str">
        <f aca="false">IF((E79="t"),H79," ")</f>
        <v> </v>
      </c>
      <c r="W79" s="17" t="str">
        <f aca="false">IF((E79="q"),H79," ")</f>
        <v> </v>
      </c>
      <c r="X79" s="17" t="str">
        <f aca="false">IF((E79="m"),H79," ")</f>
        <v> </v>
      </c>
      <c r="Y79" s="17" t="str">
        <f aca="false">IF((E79="u"),H79," ")</f>
        <v> </v>
      </c>
      <c r="Z79" s="17" t="str">
        <f aca="false">IF((E79="a"),H79," ")</f>
        <v> </v>
      </c>
      <c r="AA79" s="17" t="str">
        <f aca="false">IF((E79="g"),H79," ")</f>
        <v> </v>
      </c>
      <c r="AB79" s="17" t="str">
        <f aca="false">IF((E79="h"),H79," ")</f>
        <v> </v>
      </c>
      <c r="AC79" s="30" t="str">
        <f aca="false">IF((E79="v"),H79," ")</f>
        <v> </v>
      </c>
      <c r="AD79" s="30" t="str">
        <f aca="false">IF((E79="n"),H79," ")</f>
        <v> </v>
      </c>
      <c r="AE79" s="17" t="str">
        <f aca="false">IF((E79="f"),H79," ")</f>
        <v> </v>
      </c>
      <c r="AF79" s="17" t="str">
        <f aca="false">IF((E79="l"),H79," ")</f>
        <v> </v>
      </c>
      <c r="AG79" s="17" t="str">
        <f aca="false">IF((E79="y"),H79," ")</f>
        <v> </v>
      </c>
      <c r="AH79" s="17" t="str">
        <f aca="false">IF((E79="z"),H79," ")</f>
        <v> </v>
      </c>
      <c r="AI79" s="17" t="str">
        <f aca="false">IF((E79="fa"),H79," ")</f>
        <v> </v>
      </c>
      <c r="AJ79" s="17" t="str">
        <f aca="false">IF((E79="e"),H79," ")</f>
        <v> </v>
      </c>
    </row>
    <row r="80" customFormat="false" ht="12" hidden="false" customHeight="false" outlineLevel="0" collapsed="false">
      <c r="A80" s="28"/>
      <c r="E80" s="2" t="str">
        <f aca="false">IF((F80&lt;&gt;0),"Enter Letter"," ")</f>
        <v> </v>
      </c>
      <c r="F80" s="30"/>
      <c r="G80" s="6" t="str">
        <f aca="false">IF(F80&lt;&gt;0,F80*G$2/(100+G$2)," ")</f>
        <v> </v>
      </c>
      <c r="H80" s="6" t="str">
        <f aca="false">IF((F80&lt;&gt;0),F80-G80," ")</f>
        <v> </v>
      </c>
      <c r="I80" s="5"/>
      <c r="L80" s="7" t="str">
        <f aca="false">IF(F80&lt;&gt;0,F80-K80," ")</f>
        <v> </v>
      </c>
      <c r="M80" s="8" t="str">
        <f aca="false">IF((F80-K80)&lt;&gt;0,M$1-A80," ")</f>
        <v> </v>
      </c>
      <c r="N80" s="5"/>
      <c r="O80" s="17" t="str">
        <f aca="false">IF((E80="s"),H80," ")</f>
        <v> </v>
      </c>
      <c r="P80" s="17" t="str">
        <f aca="false">IF((E80="c"),H80," ")</f>
        <v> </v>
      </c>
      <c r="Q80" s="17" t="str">
        <f aca="false">IF((E80="o"),H80," ")</f>
        <v> </v>
      </c>
      <c r="R80" s="17" t="str">
        <f aca="false">IF((E80="d"),H80," ")</f>
        <v> </v>
      </c>
      <c r="S80" s="17" t="str">
        <f aca="false">IF((E80="w"),H80," ")</f>
        <v> </v>
      </c>
      <c r="T80" s="17" t="str">
        <f aca="false">IF((E80="r"),H80," ")</f>
        <v> </v>
      </c>
      <c r="U80" s="17" t="str">
        <f aca="false">IF((E80="p"),H80," ")</f>
        <v> </v>
      </c>
      <c r="V80" s="17" t="str">
        <f aca="false">IF((E80="t"),H80," ")</f>
        <v> </v>
      </c>
      <c r="W80" s="17" t="str">
        <f aca="false">IF((E80="q"),H80," ")</f>
        <v> </v>
      </c>
      <c r="X80" s="17" t="str">
        <f aca="false">IF((E80="m"),H80," ")</f>
        <v> </v>
      </c>
      <c r="Y80" s="17" t="str">
        <f aca="false">IF((E80="u"),H80," ")</f>
        <v> </v>
      </c>
      <c r="Z80" s="17" t="str">
        <f aca="false">IF((E80="a"),H80," ")</f>
        <v> </v>
      </c>
      <c r="AA80" s="17" t="str">
        <f aca="false">IF((E80="g"),H80," ")</f>
        <v> </v>
      </c>
      <c r="AB80" s="17" t="str">
        <f aca="false">IF((E80="h"),H80," ")</f>
        <v> </v>
      </c>
      <c r="AC80" s="30" t="str">
        <f aca="false">IF((E80="v"),H80," ")</f>
        <v> </v>
      </c>
      <c r="AD80" s="30" t="str">
        <f aca="false">IF((E80="n"),H80," ")</f>
        <v> </v>
      </c>
      <c r="AE80" s="17" t="str">
        <f aca="false">IF((E80="f"),H80," ")</f>
        <v> </v>
      </c>
      <c r="AF80" s="17" t="str">
        <f aca="false">IF((E80="l"),H80," ")</f>
        <v> </v>
      </c>
      <c r="AG80" s="17" t="str">
        <f aca="false">IF((E80="y"),H80," ")</f>
        <v> </v>
      </c>
      <c r="AH80" s="17" t="str">
        <f aca="false">IF((E80="z"),H80," ")</f>
        <v> </v>
      </c>
      <c r="AI80" s="17" t="str">
        <f aca="false">IF((E80="fa"),H80," ")</f>
        <v> </v>
      </c>
      <c r="AJ80" s="17" t="str">
        <f aca="false">IF((E80="e"),H80," ")</f>
        <v> </v>
      </c>
    </row>
    <row r="81" customFormat="false" ht="12" hidden="false" customHeight="false" outlineLevel="0" collapsed="false">
      <c r="A81" s="28"/>
      <c r="E81" s="2" t="str">
        <f aca="false">IF((F81&lt;&gt;0),"Enter Letter"," ")</f>
        <v> </v>
      </c>
      <c r="F81" s="30"/>
      <c r="G81" s="6" t="str">
        <f aca="false">IF(F81&lt;&gt;0,F81*G$2/(100+G$2)," ")</f>
        <v> </v>
      </c>
      <c r="H81" s="6" t="str">
        <f aca="false">IF((F81&lt;&gt;0),F81-G81," ")</f>
        <v> </v>
      </c>
      <c r="I81" s="5"/>
      <c r="L81" s="7" t="str">
        <f aca="false">IF(F81&lt;&gt;0,F81-K81," ")</f>
        <v> </v>
      </c>
      <c r="M81" s="8" t="str">
        <f aca="false">IF((F81-K81)&lt;&gt;0,M$1-A81," ")</f>
        <v> </v>
      </c>
      <c r="N81" s="5"/>
      <c r="O81" s="17" t="str">
        <f aca="false">IF((E81="s"),H81," ")</f>
        <v> </v>
      </c>
      <c r="P81" s="17" t="str">
        <f aca="false">IF((E81="c"),H81," ")</f>
        <v> </v>
      </c>
      <c r="Q81" s="17" t="str">
        <f aca="false">IF((E81="o"),H81," ")</f>
        <v> </v>
      </c>
      <c r="R81" s="17" t="str">
        <f aca="false">IF((E81="d"),H81," ")</f>
        <v> </v>
      </c>
      <c r="S81" s="17" t="str">
        <f aca="false">IF((E81="w"),H81," ")</f>
        <v> </v>
      </c>
      <c r="T81" s="17" t="str">
        <f aca="false">IF((E81="r"),H81," ")</f>
        <v> </v>
      </c>
      <c r="U81" s="17" t="str">
        <f aca="false">IF((E81="p"),H81," ")</f>
        <v> </v>
      </c>
      <c r="V81" s="17" t="str">
        <f aca="false">IF((E81="t"),H81," ")</f>
        <v> </v>
      </c>
      <c r="W81" s="17" t="str">
        <f aca="false">IF((E81="q"),H81," ")</f>
        <v> </v>
      </c>
      <c r="X81" s="17" t="str">
        <f aca="false">IF((E81="m"),H81," ")</f>
        <v> </v>
      </c>
      <c r="Y81" s="17" t="str">
        <f aca="false">IF((E81="u"),H81," ")</f>
        <v> </v>
      </c>
      <c r="Z81" s="17" t="str">
        <f aca="false">IF((E81="a"),H81," ")</f>
        <v> </v>
      </c>
      <c r="AA81" s="17" t="str">
        <f aca="false">IF((E81="g"),H81," ")</f>
        <v> </v>
      </c>
      <c r="AB81" s="17" t="str">
        <f aca="false">IF((E81="h"),H81," ")</f>
        <v> </v>
      </c>
      <c r="AC81" s="30" t="str">
        <f aca="false">IF((E81="v"),H81," ")</f>
        <v> </v>
      </c>
      <c r="AD81" s="30" t="str">
        <f aca="false">IF((E81="n"),H81," ")</f>
        <v> </v>
      </c>
      <c r="AE81" s="17" t="str">
        <f aca="false">IF((E81="f"),H81," ")</f>
        <v> </v>
      </c>
      <c r="AF81" s="17" t="str">
        <f aca="false">IF((E81="l"),H81," ")</f>
        <v> </v>
      </c>
      <c r="AG81" s="17" t="str">
        <f aca="false">IF((E81="y"),H81," ")</f>
        <v> </v>
      </c>
      <c r="AH81" s="17" t="str">
        <f aca="false">IF((E81="z"),H81," ")</f>
        <v> </v>
      </c>
      <c r="AI81" s="17" t="str">
        <f aca="false">IF((E81="fa"),H81," ")</f>
        <v> </v>
      </c>
      <c r="AJ81" s="17" t="str">
        <f aca="false">IF((E81="e"),H81," ")</f>
        <v> </v>
      </c>
    </row>
    <row r="82" customFormat="false" ht="12" hidden="false" customHeight="false" outlineLevel="0" collapsed="false">
      <c r="A82" s="28"/>
      <c r="E82" s="2" t="str">
        <f aca="false">IF((F82&lt;&gt;0),"Enter Letter"," ")</f>
        <v> </v>
      </c>
      <c r="F82" s="30"/>
      <c r="G82" s="6" t="str">
        <f aca="false">IF(F82&lt;&gt;0,F82*G$2/(100+G$2)," ")</f>
        <v> </v>
      </c>
      <c r="H82" s="6" t="str">
        <f aca="false">IF((F82&lt;&gt;0),F82-G82," ")</f>
        <v> </v>
      </c>
      <c r="I82" s="5"/>
      <c r="L82" s="7" t="str">
        <f aca="false">IF(F82&lt;&gt;0,F82-K82," ")</f>
        <v> </v>
      </c>
      <c r="M82" s="8" t="str">
        <f aca="false">IF((F82-K82)&lt;&gt;0,M$1-A82," ")</f>
        <v> </v>
      </c>
      <c r="N82" s="5"/>
      <c r="O82" s="17" t="str">
        <f aca="false">IF((E82="s"),H82," ")</f>
        <v> </v>
      </c>
      <c r="P82" s="17" t="str">
        <f aca="false">IF((E82="c"),H82," ")</f>
        <v> </v>
      </c>
      <c r="Q82" s="17" t="str">
        <f aca="false">IF((E82="o"),H82," ")</f>
        <v> </v>
      </c>
      <c r="R82" s="17" t="str">
        <f aca="false">IF((E82="d"),H82," ")</f>
        <v> </v>
      </c>
      <c r="S82" s="17" t="str">
        <f aca="false">IF((E82="w"),H82," ")</f>
        <v> </v>
      </c>
      <c r="T82" s="17" t="str">
        <f aca="false">IF((E82="r"),H82," ")</f>
        <v> </v>
      </c>
      <c r="U82" s="17" t="str">
        <f aca="false">IF((E82="p"),H82," ")</f>
        <v> </v>
      </c>
      <c r="V82" s="17" t="str">
        <f aca="false">IF((E82="t"),H82," ")</f>
        <v> </v>
      </c>
      <c r="W82" s="17" t="str">
        <f aca="false">IF((E82="q"),H82," ")</f>
        <v> </v>
      </c>
      <c r="X82" s="17" t="str">
        <f aca="false">IF((E82="m"),H82," ")</f>
        <v> </v>
      </c>
      <c r="Y82" s="17" t="str">
        <f aca="false">IF((E82="u"),H82," ")</f>
        <v> </v>
      </c>
      <c r="Z82" s="17" t="str">
        <f aca="false">IF((E82="a"),H82," ")</f>
        <v> </v>
      </c>
      <c r="AA82" s="17" t="str">
        <f aca="false">IF((E82="g"),H82," ")</f>
        <v> </v>
      </c>
      <c r="AB82" s="17" t="str">
        <f aca="false">IF((E82="h"),H82," ")</f>
        <v> </v>
      </c>
      <c r="AC82" s="30" t="str">
        <f aca="false">IF((E82="v"),H82," ")</f>
        <v> </v>
      </c>
      <c r="AD82" s="30" t="str">
        <f aca="false">IF((E82="n"),H82," ")</f>
        <v> </v>
      </c>
      <c r="AE82" s="17" t="str">
        <f aca="false">IF((E82="f"),H82," ")</f>
        <v> </v>
      </c>
      <c r="AF82" s="17" t="str">
        <f aca="false">IF((E82="l"),H82," ")</f>
        <v> </v>
      </c>
      <c r="AG82" s="17" t="str">
        <f aca="false">IF((E82="y"),H82," ")</f>
        <v> </v>
      </c>
      <c r="AH82" s="17" t="str">
        <f aca="false">IF((E82="z"),H82," ")</f>
        <v> </v>
      </c>
      <c r="AI82" s="17" t="str">
        <f aca="false">IF((E82="fa"),H82," ")</f>
        <v> </v>
      </c>
      <c r="AJ82" s="17" t="str">
        <f aca="false">IF((E82="e"),H82," ")</f>
        <v> </v>
      </c>
    </row>
    <row r="83" customFormat="false" ht="12" hidden="false" customHeight="false" outlineLevel="0" collapsed="false">
      <c r="A83" s="28"/>
      <c r="E83" s="2" t="str">
        <f aca="false">IF((F83&lt;&gt;0),"Enter Letter"," ")</f>
        <v> </v>
      </c>
      <c r="F83" s="30"/>
      <c r="G83" s="6" t="str">
        <f aca="false">IF(F83&lt;&gt;0,F83*G$2/(100+G$2)," ")</f>
        <v> </v>
      </c>
      <c r="H83" s="6" t="str">
        <f aca="false">IF((F83&lt;&gt;0),F83-G83," ")</f>
        <v> </v>
      </c>
      <c r="I83" s="5"/>
      <c r="L83" s="7" t="str">
        <f aca="false">IF(F83&lt;&gt;0,F83-K83," ")</f>
        <v> </v>
      </c>
      <c r="M83" s="8" t="str">
        <f aca="false">IF((F83-K83)&lt;&gt;0,M$1-A83," ")</f>
        <v> </v>
      </c>
      <c r="N83" s="5"/>
      <c r="O83" s="17" t="str">
        <f aca="false">IF((E83="s"),H83," ")</f>
        <v> </v>
      </c>
      <c r="P83" s="17" t="str">
        <f aca="false">IF((E83="c"),H83," ")</f>
        <v> </v>
      </c>
      <c r="Q83" s="17" t="str">
        <f aca="false">IF((E83="o"),H83," ")</f>
        <v> </v>
      </c>
      <c r="R83" s="17" t="str">
        <f aca="false">IF((E83="d"),H83," ")</f>
        <v> </v>
      </c>
      <c r="S83" s="17" t="str">
        <f aca="false">IF((E83="w"),H83," ")</f>
        <v> </v>
      </c>
      <c r="T83" s="17" t="str">
        <f aca="false">IF((E83="r"),H83," ")</f>
        <v> </v>
      </c>
      <c r="U83" s="17" t="str">
        <f aca="false">IF((E83="p"),H83," ")</f>
        <v> </v>
      </c>
      <c r="V83" s="17" t="str">
        <f aca="false">IF((E83="t"),H83," ")</f>
        <v> </v>
      </c>
      <c r="W83" s="17" t="str">
        <f aca="false">IF((E83="q"),H83," ")</f>
        <v> </v>
      </c>
      <c r="X83" s="17" t="str">
        <f aca="false">IF((E83="m"),H83," ")</f>
        <v> </v>
      </c>
      <c r="Y83" s="17" t="str">
        <f aca="false">IF((E83="u"),H83," ")</f>
        <v> </v>
      </c>
      <c r="Z83" s="17" t="str">
        <f aca="false">IF((E83="a"),H83," ")</f>
        <v> </v>
      </c>
      <c r="AA83" s="17" t="str">
        <f aca="false">IF((E83="g"),H83," ")</f>
        <v> </v>
      </c>
      <c r="AB83" s="17" t="str">
        <f aca="false">IF((E83="h"),H83," ")</f>
        <v> </v>
      </c>
      <c r="AC83" s="30" t="str">
        <f aca="false">IF((E83="v"),H83," ")</f>
        <v> </v>
      </c>
      <c r="AD83" s="30" t="str">
        <f aca="false">IF((E83="n"),H83," ")</f>
        <v> </v>
      </c>
      <c r="AE83" s="17" t="str">
        <f aca="false">IF((E83="f"),H83," ")</f>
        <v> </v>
      </c>
      <c r="AF83" s="17" t="str">
        <f aca="false">IF((E83="l"),H83," ")</f>
        <v> </v>
      </c>
      <c r="AG83" s="17" t="str">
        <f aca="false">IF((E83="y"),H83," ")</f>
        <v> </v>
      </c>
      <c r="AH83" s="17" t="str">
        <f aca="false">IF((E83="z"),H83," ")</f>
        <v> </v>
      </c>
      <c r="AI83" s="17" t="str">
        <f aca="false">IF((E83="fa"),H83," ")</f>
        <v> </v>
      </c>
      <c r="AJ83" s="17" t="str">
        <f aca="false">IF((E83="e"),H83," ")</f>
        <v> </v>
      </c>
    </row>
    <row r="84" customFormat="false" ht="12" hidden="false" customHeight="false" outlineLevel="0" collapsed="false">
      <c r="A84" s="28"/>
      <c r="E84" s="2" t="str">
        <f aca="false">IF((F84&lt;&gt;0),"Enter Letter"," ")</f>
        <v> </v>
      </c>
      <c r="F84" s="30"/>
      <c r="G84" s="6" t="str">
        <f aca="false">IF(F84&lt;&gt;0,F84*G$2/(100+G$2)," ")</f>
        <v> </v>
      </c>
      <c r="H84" s="6" t="str">
        <f aca="false">IF((F84&lt;&gt;0),F84-G84," ")</f>
        <v> </v>
      </c>
      <c r="I84" s="5"/>
      <c r="L84" s="7" t="str">
        <f aca="false">IF(F84&lt;&gt;0,F84-K84," ")</f>
        <v> </v>
      </c>
      <c r="M84" s="8" t="str">
        <f aca="false">IF((F84-K84)&lt;&gt;0,M$1-A84," ")</f>
        <v> </v>
      </c>
      <c r="N84" s="5"/>
      <c r="O84" s="17" t="str">
        <f aca="false">IF((E84="s"),H84," ")</f>
        <v> </v>
      </c>
      <c r="P84" s="17" t="str">
        <f aca="false">IF((E84="c"),H84," ")</f>
        <v> </v>
      </c>
      <c r="Q84" s="17" t="str">
        <f aca="false">IF((E84="o"),H84," ")</f>
        <v> </v>
      </c>
      <c r="R84" s="17" t="str">
        <f aca="false">IF((E84="d"),H84," ")</f>
        <v> </v>
      </c>
      <c r="S84" s="17" t="str">
        <f aca="false">IF((E84="w"),H84," ")</f>
        <v> </v>
      </c>
      <c r="T84" s="17" t="str">
        <f aca="false">IF((E84="r"),H84," ")</f>
        <v> </v>
      </c>
      <c r="U84" s="17" t="str">
        <f aca="false">IF((E84="p"),H84," ")</f>
        <v> </v>
      </c>
      <c r="V84" s="17" t="str">
        <f aca="false">IF((E84="t"),H84," ")</f>
        <v> </v>
      </c>
      <c r="W84" s="17" t="str">
        <f aca="false">IF((E84="q"),H84," ")</f>
        <v> </v>
      </c>
      <c r="X84" s="17" t="str">
        <f aca="false">IF((E84="m"),H84," ")</f>
        <v> </v>
      </c>
      <c r="Y84" s="17" t="str">
        <f aca="false">IF((E84="u"),H84," ")</f>
        <v> </v>
      </c>
      <c r="Z84" s="17" t="str">
        <f aca="false">IF((E84="a"),H84," ")</f>
        <v> </v>
      </c>
      <c r="AA84" s="17" t="str">
        <f aca="false">IF((E84="g"),H84," ")</f>
        <v> </v>
      </c>
      <c r="AB84" s="17" t="str">
        <f aca="false">IF((E84="h"),H84," ")</f>
        <v> </v>
      </c>
      <c r="AC84" s="30" t="str">
        <f aca="false">IF((E84="v"),H84," ")</f>
        <v> </v>
      </c>
      <c r="AD84" s="30" t="str">
        <f aca="false">IF((E84="n"),H84," ")</f>
        <v> </v>
      </c>
      <c r="AE84" s="17" t="str">
        <f aca="false">IF((E84="f"),H84," ")</f>
        <v> </v>
      </c>
      <c r="AF84" s="17" t="str">
        <f aca="false">IF((E84="l"),H84," ")</f>
        <v> </v>
      </c>
      <c r="AG84" s="17" t="str">
        <f aca="false">IF((E84="y"),H84," ")</f>
        <v> </v>
      </c>
      <c r="AH84" s="17" t="str">
        <f aca="false">IF((E84="z"),H84," ")</f>
        <v> </v>
      </c>
      <c r="AI84" s="17" t="str">
        <f aca="false">IF((E84="fa"),H84," ")</f>
        <v> </v>
      </c>
      <c r="AJ84" s="17" t="str">
        <f aca="false">IF((E84="e"),H84," ")</f>
        <v> </v>
      </c>
    </row>
    <row r="85" customFormat="false" ht="12" hidden="false" customHeight="false" outlineLevel="0" collapsed="false">
      <c r="A85" s="28"/>
      <c r="E85" s="2" t="str">
        <f aca="false">IF((F85&lt;&gt;0),"Enter Letter"," ")</f>
        <v> </v>
      </c>
      <c r="F85" s="30"/>
      <c r="G85" s="6" t="str">
        <f aca="false">IF(F85&lt;&gt;0,F85*G$2/(100+G$2)," ")</f>
        <v> </v>
      </c>
      <c r="H85" s="6" t="str">
        <f aca="false">IF((F85&lt;&gt;0),F85-G85," ")</f>
        <v> </v>
      </c>
      <c r="I85" s="5"/>
      <c r="L85" s="7" t="str">
        <f aca="false">IF(F85&lt;&gt;0,F85-K85," ")</f>
        <v> </v>
      </c>
      <c r="M85" s="8" t="str">
        <f aca="false">IF((F85-K85)&lt;&gt;0,M$1-A85," ")</f>
        <v> </v>
      </c>
      <c r="N85" s="5"/>
      <c r="O85" s="17" t="str">
        <f aca="false">IF((E85="s"),H85," ")</f>
        <v> </v>
      </c>
      <c r="P85" s="17" t="str">
        <f aca="false">IF((E85="c"),H85," ")</f>
        <v> </v>
      </c>
      <c r="Q85" s="17" t="str">
        <f aca="false">IF((E85="o"),H85," ")</f>
        <v> </v>
      </c>
      <c r="R85" s="17" t="str">
        <f aca="false">IF((E85="d"),H85," ")</f>
        <v> </v>
      </c>
      <c r="S85" s="17" t="str">
        <f aca="false">IF((E85="w"),H85," ")</f>
        <v> </v>
      </c>
      <c r="T85" s="17" t="str">
        <f aca="false">IF((E85="r"),H85," ")</f>
        <v> </v>
      </c>
      <c r="U85" s="17" t="str">
        <f aca="false">IF((E85="p"),H85," ")</f>
        <v> </v>
      </c>
      <c r="V85" s="17" t="str">
        <f aca="false">IF((E85="t"),H85," ")</f>
        <v> </v>
      </c>
      <c r="W85" s="17" t="str">
        <f aca="false">IF((E85="q"),H85," ")</f>
        <v> </v>
      </c>
      <c r="X85" s="17" t="str">
        <f aca="false">IF((E85="m"),H85," ")</f>
        <v> </v>
      </c>
      <c r="Y85" s="17" t="str">
        <f aca="false">IF((E85="u"),H85," ")</f>
        <v> </v>
      </c>
      <c r="Z85" s="17" t="str">
        <f aca="false">IF((E85="a"),H85," ")</f>
        <v> </v>
      </c>
      <c r="AA85" s="17" t="str">
        <f aca="false">IF((E85="g"),H85," ")</f>
        <v> </v>
      </c>
      <c r="AB85" s="17" t="str">
        <f aca="false">IF((E85="h"),H85," ")</f>
        <v> </v>
      </c>
      <c r="AC85" s="30" t="str">
        <f aca="false">IF((E85="v"),H85," ")</f>
        <v> </v>
      </c>
      <c r="AD85" s="30" t="str">
        <f aca="false">IF((E85="n"),H85," ")</f>
        <v> </v>
      </c>
      <c r="AE85" s="17" t="str">
        <f aca="false">IF((E85="f"),H85," ")</f>
        <v> </v>
      </c>
      <c r="AF85" s="17" t="str">
        <f aca="false">IF((E85="l"),H85," ")</f>
        <v> </v>
      </c>
      <c r="AG85" s="17" t="str">
        <f aca="false">IF((E85="y"),H85," ")</f>
        <v> </v>
      </c>
      <c r="AH85" s="17" t="str">
        <f aca="false">IF((E85="z"),H85," ")</f>
        <v> </v>
      </c>
      <c r="AI85" s="17" t="str">
        <f aca="false">IF((E85="fa"),H85," ")</f>
        <v> </v>
      </c>
      <c r="AJ85" s="17" t="str">
        <f aca="false">IF((E85="e"),H85," ")</f>
        <v> </v>
      </c>
    </row>
    <row r="86" customFormat="false" ht="12" hidden="false" customHeight="false" outlineLevel="0" collapsed="false">
      <c r="A86" s="28"/>
      <c r="E86" s="2" t="str">
        <f aca="false">IF((F86&lt;&gt;0),"Enter Letter"," ")</f>
        <v> </v>
      </c>
      <c r="F86" s="30"/>
      <c r="G86" s="6" t="str">
        <f aca="false">IF(F86&lt;&gt;0,F86*G$2/(100+G$2)," ")</f>
        <v> </v>
      </c>
      <c r="H86" s="6" t="str">
        <f aca="false">IF((F86&lt;&gt;0),F86-G86," ")</f>
        <v> </v>
      </c>
      <c r="I86" s="5"/>
      <c r="L86" s="7" t="str">
        <f aca="false">IF(F86&lt;&gt;0,F86-K86," ")</f>
        <v> </v>
      </c>
      <c r="M86" s="8" t="str">
        <f aca="false">IF((F86-K86)&lt;&gt;0,M$1-A86," ")</f>
        <v> </v>
      </c>
      <c r="N86" s="5"/>
      <c r="O86" s="17" t="str">
        <f aca="false">IF((E86="s"),H86," ")</f>
        <v> </v>
      </c>
      <c r="P86" s="17" t="str">
        <f aca="false">IF((E86="c"),H86," ")</f>
        <v> </v>
      </c>
      <c r="Q86" s="17" t="str">
        <f aca="false">IF((E86="o"),H86," ")</f>
        <v> </v>
      </c>
      <c r="R86" s="17" t="str">
        <f aca="false">IF((E86="d"),H86," ")</f>
        <v> </v>
      </c>
      <c r="S86" s="17" t="str">
        <f aca="false">IF((E86="w"),H86," ")</f>
        <v> </v>
      </c>
      <c r="T86" s="17" t="str">
        <f aca="false">IF((E86="r"),H86," ")</f>
        <v> </v>
      </c>
      <c r="U86" s="17" t="str">
        <f aca="false">IF((E86="p"),H86," ")</f>
        <v> </v>
      </c>
      <c r="V86" s="17" t="str">
        <f aca="false">IF((E86="t"),H86," ")</f>
        <v> </v>
      </c>
      <c r="W86" s="17" t="str">
        <f aca="false">IF((E86="q"),H86," ")</f>
        <v> </v>
      </c>
      <c r="X86" s="17" t="str">
        <f aca="false">IF((E86="m"),H86," ")</f>
        <v> </v>
      </c>
      <c r="Y86" s="17" t="str">
        <f aca="false">IF((E86="u"),H86," ")</f>
        <v> </v>
      </c>
      <c r="Z86" s="17" t="str">
        <f aca="false">IF((E86="a"),H86," ")</f>
        <v> </v>
      </c>
      <c r="AA86" s="17" t="str">
        <f aca="false">IF((E86="g"),H86," ")</f>
        <v> </v>
      </c>
      <c r="AB86" s="17" t="str">
        <f aca="false">IF((E86="h"),H86," ")</f>
        <v> </v>
      </c>
      <c r="AC86" s="30" t="str">
        <f aca="false">IF((E86="v"),H86," ")</f>
        <v> </v>
      </c>
      <c r="AD86" s="30" t="str">
        <f aca="false">IF((E86="n"),H86," ")</f>
        <v> </v>
      </c>
      <c r="AE86" s="17" t="str">
        <f aca="false">IF((E86="f"),H86," ")</f>
        <v> </v>
      </c>
      <c r="AF86" s="17" t="str">
        <f aca="false">IF((E86="l"),H86," ")</f>
        <v> </v>
      </c>
      <c r="AG86" s="17" t="str">
        <f aca="false">IF((E86="y"),H86," ")</f>
        <v> </v>
      </c>
      <c r="AH86" s="17" t="str">
        <f aca="false">IF((E86="z"),H86," ")</f>
        <v> </v>
      </c>
      <c r="AI86" s="17" t="str">
        <f aca="false">IF((E86="fa"),H86," ")</f>
        <v> </v>
      </c>
      <c r="AJ86" s="17" t="str">
        <f aca="false">IF((E86="e"),H86," ")</f>
        <v> </v>
      </c>
    </row>
    <row r="87" customFormat="false" ht="12" hidden="false" customHeight="false" outlineLevel="0" collapsed="false">
      <c r="A87" s="28"/>
      <c r="E87" s="2" t="str">
        <f aca="false">IF((F87&lt;&gt;0),"Enter Letter"," ")</f>
        <v> </v>
      </c>
      <c r="F87" s="30"/>
      <c r="G87" s="6" t="str">
        <f aca="false">IF(F87&lt;&gt;0,F87*G$2/(100+G$2)," ")</f>
        <v> </v>
      </c>
      <c r="H87" s="6" t="str">
        <f aca="false">IF((F87&lt;&gt;0),F87-G87," ")</f>
        <v> </v>
      </c>
      <c r="I87" s="5"/>
      <c r="L87" s="7" t="str">
        <f aca="false">IF(F87&lt;&gt;0,F87-K87," ")</f>
        <v> </v>
      </c>
      <c r="M87" s="8" t="str">
        <f aca="false">IF((F87-K87)&lt;&gt;0,M$1-A87," ")</f>
        <v> </v>
      </c>
      <c r="N87" s="5"/>
      <c r="O87" s="17" t="str">
        <f aca="false">IF((E87="s"),H87," ")</f>
        <v> </v>
      </c>
      <c r="P87" s="17" t="str">
        <f aca="false">IF((E87="c"),H87," ")</f>
        <v> </v>
      </c>
      <c r="Q87" s="17" t="str">
        <f aca="false">IF((E87="o"),H87," ")</f>
        <v> </v>
      </c>
      <c r="R87" s="17" t="str">
        <f aca="false">IF((E87="d"),H87," ")</f>
        <v> </v>
      </c>
      <c r="S87" s="17" t="str">
        <f aca="false">IF((E87="w"),H87," ")</f>
        <v> </v>
      </c>
      <c r="T87" s="17" t="str">
        <f aca="false">IF((E87="r"),H87," ")</f>
        <v> </v>
      </c>
      <c r="U87" s="17" t="str">
        <f aca="false">IF((E87="p"),H87," ")</f>
        <v> </v>
      </c>
      <c r="V87" s="17" t="str">
        <f aca="false">IF((E87="t"),H87," ")</f>
        <v> </v>
      </c>
      <c r="W87" s="17" t="str">
        <f aca="false">IF((E87="q"),H87," ")</f>
        <v> </v>
      </c>
      <c r="X87" s="17" t="str">
        <f aca="false">IF((E87="m"),H87," ")</f>
        <v> </v>
      </c>
      <c r="Y87" s="17" t="str">
        <f aca="false">IF((E87="u"),H87," ")</f>
        <v> </v>
      </c>
      <c r="Z87" s="17" t="str">
        <f aca="false">IF((E87="a"),H87," ")</f>
        <v> </v>
      </c>
      <c r="AA87" s="17" t="str">
        <f aca="false">IF((E87="g"),H87," ")</f>
        <v> </v>
      </c>
      <c r="AB87" s="17" t="str">
        <f aca="false">IF((E87="h"),H87," ")</f>
        <v> </v>
      </c>
      <c r="AC87" s="30" t="str">
        <f aca="false">IF((E87="v"),H87," ")</f>
        <v> </v>
      </c>
      <c r="AD87" s="30" t="str">
        <f aca="false">IF((E87="n"),H87," ")</f>
        <v> </v>
      </c>
      <c r="AE87" s="17" t="str">
        <f aca="false">IF((E87="f"),H87," ")</f>
        <v> </v>
      </c>
      <c r="AF87" s="17" t="str">
        <f aca="false">IF((E87="l"),H87," ")</f>
        <v> </v>
      </c>
      <c r="AG87" s="17" t="str">
        <f aca="false">IF((E87="y"),H87," ")</f>
        <v> </v>
      </c>
      <c r="AH87" s="17" t="str">
        <f aca="false">IF((E87="z"),H87," ")</f>
        <v> </v>
      </c>
      <c r="AI87" s="17" t="str">
        <f aca="false">IF((E87="fa"),H87," ")</f>
        <v> </v>
      </c>
      <c r="AJ87" s="17" t="str">
        <f aca="false">IF((E87="e"),H87," ")</f>
        <v> </v>
      </c>
    </row>
    <row r="88" customFormat="false" ht="12" hidden="false" customHeight="false" outlineLevel="0" collapsed="false">
      <c r="A88" s="28"/>
      <c r="E88" s="2" t="str">
        <f aca="false">IF((F88&lt;&gt;0),"Enter Letter"," ")</f>
        <v> </v>
      </c>
      <c r="F88" s="30"/>
      <c r="G88" s="6" t="str">
        <f aca="false">IF(F88&lt;&gt;0,F88*G$2/(100+G$2)," ")</f>
        <v> </v>
      </c>
      <c r="H88" s="6" t="str">
        <f aca="false">IF((F88&lt;&gt;0),F88-G88," ")</f>
        <v> </v>
      </c>
      <c r="I88" s="5"/>
      <c r="L88" s="7" t="str">
        <f aca="false">IF(F88&lt;&gt;0,F88-K88," ")</f>
        <v> </v>
      </c>
      <c r="M88" s="8" t="str">
        <f aca="false">IF((F88-K88)&lt;&gt;0,M$1-A88," ")</f>
        <v> </v>
      </c>
      <c r="N88" s="5"/>
      <c r="O88" s="17" t="str">
        <f aca="false">IF((E88="s"),H88," ")</f>
        <v> </v>
      </c>
      <c r="P88" s="17" t="str">
        <f aca="false">IF((E88="c"),H88," ")</f>
        <v> </v>
      </c>
      <c r="Q88" s="17" t="str">
        <f aca="false">IF((E88="o"),H88," ")</f>
        <v> </v>
      </c>
      <c r="R88" s="17" t="str">
        <f aca="false">IF((E88="d"),H88," ")</f>
        <v> </v>
      </c>
      <c r="S88" s="17" t="str">
        <f aca="false">IF((E88="w"),H88," ")</f>
        <v> </v>
      </c>
      <c r="T88" s="17" t="str">
        <f aca="false">IF((E88="r"),H88," ")</f>
        <v> </v>
      </c>
      <c r="U88" s="17" t="str">
        <f aca="false">IF((E88="p"),H88," ")</f>
        <v> </v>
      </c>
      <c r="V88" s="17" t="str">
        <f aca="false">IF((E88="t"),H88," ")</f>
        <v> </v>
      </c>
      <c r="W88" s="17" t="str">
        <f aca="false">IF((E88="q"),H88," ")</f>
        <v> </v>
      </c>
      <c r="X88" s="17" t="str">
        <f aca="false">IF((E88="m"),H88," ")</f>
        <v> </v>
      </c>
      <c r="Y88" s="17" t="str">
        <f aca="false">IF((E88="u"),H88," ")</f>
        <v> </v>
      </c>
      <c r="Z88" s="17" t="str">
        <f aca="false">IF((E88="a"),H88," ")</f>
        <v> </v>
      </c>
      <c r="AA88" s="17" t="str">
        <f aca="false">IF((E88="g"),H88," ")</f>
        <v> </v>
      </c>
      <c r="AB88" s="17" t="str">
        <f aca="false">IF((E88="h"),H88," ")</f>
        <v> </v>
      </c>
      <c r="AC88" s="30" t="str">
        <f aca="false">IF((E88="v"),H88," ")</f>
        <v> </v>
      </c>
      <c r="AD88" s="30" t="str">
        <f aca="false">IF((E88="n"),H88," ")</f>
        <v> </v>
      </c>
      <c r="AE88" s="17" t="str">
        <f aca="false">IF((E88="f"),H88," ")</f>
        <v> </v>
      </c>
      <c r="AF88" s="17" t="str">
        <f aca="false">IF((E88="l"),H88," ")</f>
        <v> </v>
      </c>
      <c r="AG88" s="17" t="str">
        <f aca="false">IF((E88="y"),H88," ")</f>
        <v> </v>
      </c>
      <c r="AH88" s="17" t="str">
        <f aca="false">IF((E88="z"),H88," ")</f>
        <v> </v>
      </c>
      <c r="AI88" s="17" t="str">
        <f aca="false">IF((E88="fa"),H88," ")</f>
        <v> </v>
      </c>
      <c r="AJ88" s="17" t="str">
        <f aca="false">IF((E88="e"),H88," ")</f>
        <v> </v>
      </c>
    </row>
    <row r="89" customFormat="false" ht="12" hidden="false" customHeight="false" outlineLevel="0" collapsed="false">
      <c r="A89" s="28"/>
      <c r="E89" s="2" t="str">
        <f aca="false">IF((F89&lt;&gt;0),"Enter Letter"," ")</f>
        <v> </v>
      </c>
      <c r="F89" s="30"/>
      <c r="G89" s="6" t="str">
        <f aca="false">IF(F89&lt;&gt;0,F89*G$2/(100+G$2)," ")</f>
        <v> </v>
      </c>
      <c r="H89" s="6" t="str">
        <f aca="false">IF((F89&lt;&gt;0),F89-G89," ")</f>
        <v> </v>
      </c>
      <c r="I89" s="5"/>
      <c r="L89" s="7" t="str">
        <f aca="false">IF(F89&lt;&gt;0,F89-K89," ")</f>
        <v> </v>
      </c>
      <c r="M89" s="8" t="str">
        <f aca="false">IF((F89-K89)&lt;&gt;0,M$1-A89," ")</f>
        <v> </v>
      </c>
      <c r="N89" s="5"/>
      <c r="O89" s="17" t="str">
        <f aca="false">IF((E89="s"),H89," ")</f>
        <v> </v>
      </c>
      <c r="P89" s="17" t="str">
        <f aca="false">IF((E89="c"),H89," ")</f>
        <v> </v>
      </c>
      <c r="Q89" s="17" t="str">
        <f aca="false">IF((E89="o"),H89," ")</f>
        <v> </v>
      </c>
      <c r="R89" s="17" t="str">
        <f aca="false">IF((E89="d"),H89," ")</f>
        <v> </v>
      </c>
      <c r="S89" s="17" t="str">
        <f aca="false">IF((E89="w"),H89," ")</f>
        <v> </v>
      </c>
      <c r="T89" s="17" t="str">
        <f aca="false">IF((E89="r"),H89," ")</f>
        <v> </v>
      </c>
      <c r="U89" s="17" t="str">
        <f aca="false">IF((E89="p"),H89," ")</f>
        <v> </v>
      </c>
      <c r="V89" s="17" t="str">
        <f aca="false">IF((E89="t"),H89," ")</f>
        <v> </v>
      </c>
      <c r="W89" s="17" t="str">
        <f aca="false">IF((E89="q"),H89," ")</f>
        <v> </v>
      </c>
      <c r="X89" s="17" t="str">
        <f aca="false">IF((E89="m"),H89," ")</f>
        <v> </v>
      </c>
      <c r="Y89" s="17" t="str">
        <f aca="false">IF((E89="u"),H89," ")</f>
        <v> </v>
      </c>
      <c r="Z89" s="17" t="str">
        <f aca="false">IF((E89="a"),H89," ")</f>
        <v> </v>
      </c>
      <c r="AA89" s="17" t="str">
        <f aca="false">IF((E89="g"),H89," ")</f>
        <v> </v>
      </c>
      <c r="AB89" s="17" t="str">
        <f aca="false">IF((E89="h"),H89," ")</f>
        <v> </v>
      </c>
      <c r="AC89" s="30" t="str">
        <f aca="false">IF((E89="v"),H89," ")</f>
        <v> </v>
      </c>
      <c r="AD89" s="30" t="str">
        <f aca="false">IF((E89="n"),H89," ")</f>
        <v> </v>
      </c>
      <c r="AE89" s="17" t="str">
        <f aca="false">IF((E89="f"),H89," ")</f>
        <v> </v>
      </c>
      <c r="AF89" s="17" t="str">
        <f aca="false">IF((E89="l"),H89," ")</f>
        <v> </v>
      </c>
      <c r="AG89" s="17" t="str">
        <f aca="false">IF((E89="y"),H89," ")</f>
        <v> </v>
      </c>
      <c r="AH89" s="17" t="str">
        <f aca="false">IF((E89="z"),H89," ")</f>
        <v> </v>
      </c>
      <c r="AI89" s="17" t="str">
        <f aca="false">IF((E89="fa"),H89," ")</f>
        <v> </v>
      </c>
      <c r="AJ89" s="17" t="str">
        <f aca="false">IF((E89="e"),H89," ")</f>
        <v> </v>
      </c>
    </row>
    <row r="90" customFormat="false" ht="12" hidden="false" customHeight="false" outlineLevel="0" collapsed="false">
      <c r="A90" s="28"/>
      <c r="E90" s="2" t="str">
        <f aca="false">IF((F90&lt;&gt;0),"Enter Letter"," ")</f>
        <v> </v>
      </c>
      <c r="F90" s="30"/>
      <c r="G90" s="6" t="str">
        <f aca="false">IF(F90&lt;&gt;0,F90*G$2/(100+G$2)," ")</f>
        <v> </v>
      </c>
      <c r="H90" s="6" t="str">
        <f aca="false">IF((F90&lt;&gt;0),F90-G90," ")</f>
        <v> </v>
      </c>
      <c r="I90" s="5"/>
      <c r="L90" s="7" t="str">
        <f aca="false">IF(F90&lt;&gt;0,F90-K90," ")</f>
        <v> </v>
      </c>
      <c r="M90" s="8" t="str">
        <f aca="false">IF((F90-K90)&lt;&gt;0,M$1-A90," ")</f>
        <v> </v>
      </c>
      <c r="N90" s="5"/>
      <c r="O90" s="17" t="str">
        <f aca="false">IF((E90="s"),H90," ")</f>
        <v> </v>
      </c>
      <c r="P90" s="17" t="str">
        <f aca="false">IF((E90="c"),H90," ")</f>
        <v> </v>
      </c>
      <c r="Q90" s="17" t="str">
        <f aca="false">IF((E90="o"),H90," ")</f>
        <v> </v>
      </c>
      <c r="R90" s="17" t="str">
        <f aca="false">IF((E90="d"),H90," ")</f>
        <v> </v>
      </c>
      <c r="S90" s="17" t="str">
        <f aca="false">IF((E90="w"),H90," ")</f>
        <v> </v>
      </c>
      <c r="T90" s="17" t="str">
        <f aca="false">IF((E90="r"),H90," ")</f>
        <v> </v>
      </c>
      <c r="U90" s="17" t="str">
        <f aca="false">IF((E90="p"),H90," ")</f>
        <v> </v>
      </c>
      <c r="V90" s="17" t="str">
        <f aca="false">IF((E90="t"),H90," ")</f>
        <v> </v>
      </c>
      <c r="W90" s="17" t="str">
        <f aca="false">IF((E90="q"),H90," ")</f>
        <v> </v>
      </c>
      <c r="X90" s="17" t="str">
        <f aca="false">IF((E90="m"),H90," ")</f>
        <v> </v>
      </c>
      <c r="Y90" s="17" t="str">
        <f aca="false">IF((E90="u"),H90," ")</f>
        <v> </v>
      </c>
      <c r="Z90" s="17" t="str">
        <f aca="false">IF((E90="a"),H90," ")</f>
        <v> </v>
      </c>
      <c r="AA90" s="17" t="str">
        <f aca="false">IF((E90="g"),H90," ")</f>
        <v> </v>
      </c>
      <c r="AB90" s="17" t="str">
        <f aca="false">IF((E90="h"),H90," ")</f>
        <v> </v>
      </c>
      <c r="AC90" s="30" t="str">
        <f aca="false">IF((E90="v"),H90," ")</f>
        <v> </v>
      </c>
      <c r="AD90" s="30" t="str">
        <f aca="false">IF((E90="n"),H90," ")</f>
        <v> </v>
      </c>
      <c r="AE90" s="17" t="str">
        <f aca="false">IF((E90="f"),H90," ")</f>
        <v> </v>
      </c>
      <c r="AF90" s="17" t="str">
        <f aca="false">IF((E90="l"),H90," ")</f>
        <v> </v>
      </c>
      <c r="AG90" s="17" t="str">
        <f aca="false">IF((E90="y"),H90," ")</f>
        <v> </v>
      </c>
      <c r="AH90" s="17" t="str">
        <f aca="false">IF((E90="z"),H90," ")</f>
        <v> </v>
      </c>
      <c r="AI90" s="17" t="str">
        <f aca="false">IF((E90="fa"),H90," ")</f>
        <v> </v>
      </c>
      <c r="AJ90" s="17" t="str">
        <f aca="false">IF((E90="e"),H90," ")</f>
        <v> </v>
      </c>
    </row>
    <row r="91" customFormat="false" ht="12" hidden="false" customHeight="false" outlineLevel="0" collapsed="false">
      <c r="A91" s="28"/>
      <c r="E91" s="2" t="str">
        <f aca="false">IF((F91&lt;&gt;0),"Enter Letter"," ")</f>
        <v> </v>
      </c>
      <c r="F91" s="30"/>
      <c r="G91" s="6" t="str">
        <f aca="false">IF(F91&lt;&gt;0,F91*G$2/(100+G$2)," ")</f>
        <v> </v>
      </c>
      <c r="H91" s="6" t="str">
        <f aca="false">IF((F91&lt;&gt;0),F91-G91," ")</f>
        <v> </v>
      </c>
      <c r="I91" s="5"/>
      <c r="L91" s="7" t="str">
        <f aca="false">IF(F91&lt;&gt;0,F91-K91," ")</f>
        <v> </v>
      </c>
      <c r="M91" s="8" t="str">
        <f aca="false">IF((F91-K91)&lt;&gt;0,M$1-A91," ")</f>
        <v> </v>
      </c>
      <c r="N91" s="5"/>
      <c r="O91" s="17" t="str">
        <f aca="false">IF((E91="s"),H91," ")</f>
        <v> </v>
      </c>
      <c r="P91" s="17" t="str">
        <f aca="false">IF((E91="c"),H91," ")</f>
        <v> </v>
      </c>
      <c r="Q91" s="17" t="str">
        <f aca="false">IF((E91="o"),H91," ")</f>
        <v> </v>
      </c>
      <c r="R91" s="17" t="str">
        <f aca="false">IF((E91="d"),H91," ")</f>
        <v> </v>
      </c>
      <c r="S91" s="17" t="str">
        <f aca="false">IF((E91="w"),H91," ")</f>
        <v> </v>
      </c>
      <c r="T91" s="17" t="str">
        <f aca="false">IF((E91="r"),H91," ")</f>
        <v> </v>
      </c>
      <c r="U91" s="17" t="str">
        <f aca="false">IF((E91="p"),H91," ")</f>
        <v> </v>
      </c>
      <c r="V91" s="17" t="str">
        <f aca="false">IF((E91="t"),H91," ")</f>
        <v> </v>
      </c>
      <c r="W91" s="17" t="str">
        <f aca="false">IF((E91="q"),H91," ")</f>
        <v> </v>
      </c>
      <c r="X91" s="17" t="str">
        <f aca="false">IF((E91="m"),H91," ")</f>
        <v> </v>
      </c>
      <c r="Y91" s="17" t="str">
        <f aca="false">IF((E91="u"),H91," ")</f>
        <v> </v>
      </c>
      <c r="Z91" s="17" t="str">
        <f aca="false">IF((E91="a"),H91," ")</f>
        <v> </v>
      </c>
      <c r="AA91" s="17" t="str">
        <f aca="false">IF((E91="g"),H91," ")</f>
        <v> </v>
      </c>
      <c r="AB91" s="17" t="str">
        <f aca="false">IF((E91="h"),H91," ")</f>
        <v> </v>
      </c>
      <c r="AC91" s="30" t="str">
        <f aca="false">IF((E91="v"),H91," ")</f>
        <v> </v>
      </c>
      <c r="AD91" s="30" t="str">
        <f aca="false">IF((E91="n"),H91," ")</f>
        <v> </v>
      </c>
      <c r="AE91" s="17" t="str">
        <f aca="false">IF((E91="f"),H91," ")</f>
        <v> </v>
      </c>
      <c r="AF91" s="17" t="str">
        <f aca="false">IF((E91="l"),H91," ")</f>
        <v> </v>
      </c>
      <c r="AG91" s="17" t="str">
        <f aca="false">IF((E91="y"),H91," ")</f>
        <v> </v>
      </c>
      <c r="AH91" s="17" t="str">
        <f aca="false">IF((E91="z"),H91," ")</f>
        <v> </v>
      </c>
      <c r="AI91" s="17" t="str">
        <f aca="false">IF((E91="fa"),H91," ")</f>
        <v> </v>
      </c>
      <c r="AJ91" s="17" t="str">
        <f aca="false">IF((E91="e"),H91," ")</f>
        <v> </v>
      </c>
    </row>
    <row r="92" customFormat="false" ht="12" hidden="false" customHeight="false" outlineLevel="0" collapsed="false">
      <c r="A92" s="28"/>
      <c r="E92" s="2" t="str">
        <f aca="false">IF((F92&lt;&gt;0),"Enter Letter"," ")</f>
        <v> </v>
      </c>
      <c r="F92" s="30"/>
      <c r="G92" s="6" t="str">
        <f aca="false">IF(F92&lt;&gt;0,F92*G$2/(100+G$2)," ")</f>
        <v> </v>
      </c>
      <c r="H92" s="6" t="str">
        <f aca="false">IF((F92&lt;&gt;0),F92-G92," ")</f>
        <v> </v>
      </c>
      <c r="I92" s="5"/>
      <c r="L92" s="7" t="str">
        <f aca="false">IF(F92&lt;&gt;0,F92-K92," ")</f>
        <v> </v>
      </c>
      <c r="M92" s="8" t="str">
        <f aca="false">IF((F92-K92)&lt;&gt;0,M$1-A92," ")</f>
        <v> </v>
      </c>
      <c r="N92" s="5"/>
      <c r="O92" s="17" t="str">
        <f aca="false">IF((E92="s"),H92," ")</f>
        <v> </v>
      </c>
      <c r="P92" s="17" t="str">
        <f aca="false">IF((E92="c"),H92," ")</f>
        <v> </v>
      </c>
      <c r="Q92" s="17" t="str">
        <f aca="false">IF((E92="o"),H92," ")</f>
        <v> </v>
      </c>
      <c r="R92" s="17" t="str">
        <f aca="false">IF((E92="d"),H92," ")</f>
        <v> </v>
      </c>
      <c r="S92" s="17" t="str">
        <f aca="false">IF((E92="w"),H92," ")</f>
        <v> </v>
      </c>
      <c r="T92" s="17" t="str">
        <f aca="false">IF((E92="r"),H92," ")</f>
        <v> </v>
      </c>
      <c r="U92" s="17" t="str">
        <f aca="false">IF((E92="p"),H92," ")</f>
        <v> </v>
      </c>
      <c r="V92" s="17" t="str">
        <f aca="false">IF((E92="t"),H92," ")</f>
        <v> </v>
      </c>
      <c r="W92" s="17" t="str">
        <f aca="false">IF((E92="q"),H92," ")</f>
        <v> </v>
      </c>
      <c r="X92" s="17" t="str">
        <f aca="false">IF((E92="m"),H92," ")</f>
        <v> </v>
      </c>
      <c r="Y92" s="17" t="str">
        <f aca="false">IF((E92="u"),H92," ")</f>
        <v> </v>
      </c>
      <c r="Z92" s="17" t="str">
        <f aca="false">IF((E92="a"),H92," ")</f>
        <v> </v>
      </c>
      <c r="AA92" s="17" t="str">
        <f aca="false">IF((E92="g"),H92," ")</f>
        <v> </v>
      </c>
      <c r="AB92" s="17" t="str">
        <f aca="false">IF((E92="h"),H92," ")</f>
        <v> </v>
      </c>
      <c r="AC92" s="30" t="str">
        <f aca="false">IF((E92="v"),H92," ")</f>
        <v> </v>
      </c>
      <c r="AD92" s="30" t="str">
        <f aca="false">IF((E92="n"),H92," ")</f>
        <v> </v>
      </c>
      <c r="AE92" s="17" t="str">
        <f aca="false">IF((E92="f"),H92," ")</f>
        <v> </v>
      </c>
      <c r="AF92" s="17" t="str">
        <f aca="false">IF((E92="l"),H92," ")</f>
        <v> </v>
      </c>
      <c r="AG92" s="17" t="str">
        <f aca="false">IF((E92="y"),H92," ")</f>
        <v> </v>
      </c>
      <c r="AH92" s="17" t="str">
        <f aca="false">IF((E92="z"),H92," ")</f>
        <v> </v>
      </c>
      <c r="AI92" s="17" t="str">
        <f aca="false">IF((E92="fa"),H92," ")</f>
        <v> </v>
      </c>
      <c r="AJ92" s="17" t="str">
        <f aca="false">IF((E92="e"),H92," ")</f>
        <v> </v>
      </c>
    </row>
    <row r="93" customFormat="false" ht="12" hidden="false" customHeight="false" outlineLevel="0" collapsed="false">
      <c r="A93" s="28"/>
      <c r="E93" s="2" t="str">
        <f aca="false">IF((F93&lt;&gt;0),"Enter Letter"," ")</f>
        <v> </v>
      </c>
      <c r="F93" s="30"/>
      <c r="G93" s="6" t="str">
        <f aca="false">IF(F93&lt;&gt;0,F93*G$2/(100+G$2)," ")</f>
        <v> </v>
      </c>
      <c r="H93" s="6" t="str">
        <f aca="false">IF((F93&lt;&gt;0),F93-G93," ")</f>
        <v> </v>
      </c>
      <c r="I93" s="5"/>
      <c r="L93" s="7" t="str">
        <f aca="false">IF(F93&lt;&gt;0,F93-K93," ")</f>
        <v> </v>
      </c>
      <c r="M93" s="8" t="str">
        <f aca="false">IF((F93-K93)&lt;&gt;0,M$1-A93," ")</f>
        <v> </v>
      </c>
      <c r="N93" s="5"/>
      <c r="O93" s="17" t="str">
        <f aca="false">IF((E93="s"),H93," ")</f>
        <v> </v>
      </c>
      <c r="P93" s="17" t="str">
        <f aca="false">IF((E93="c"),H93," ")</f>
        <v> </v>
      </c>
      <c r="Q93" s="17" t="str">
        <f aca="false">IF((E93="o"),H93," ")</f>
        <v> </v>
      </c>
      <c r="R93" s="17" t="str">
        <f aca="false">IF((E93="d"),H93," ")</f>
        <v> </v>
      </c>
      <c r="S93" s="17" t="str">
        <f aca="false">IF((E93="w"),H93," ")</f>
        <v> </v>
      </c>
      <c r="T93" s="17" t="str">
        <f aca="false">IF((E93="r"),H93," ")</f>
        <v> </v>
      </c>
      <c r="U93" s="17" t="str">
        <f aca="false">IF((E93="p"),H93," ")</f>
        <v> </v>
      </c>
      <c r="V93" s="17" t="str">
        <f aca="false">IF((E93="t"),H93," ")</f>
        <v> </v>
      </c>
      <c r="W93" s="17" t="str">
        <f aca="false">IF((E93="q"),H93," ")</f>
        <v> </v>
      </c>
      <c r="X93" s="17" t="str">
        <f aca="false">IF((E93="m"),H93," ")</f>
        <v> </v>
      </c>
      <c r="Y93" s="17" t="str">
        <f aca="false">IF((E93="u"),H93," ")</f>
        <v> </v>
      </c>
      <c r="Z93" s="17" t="str">
        <f aca="false">IF((E93="a"),H93," ")</f>
        <v> </v>
      </c>
      <c r="AA93" s="17" t="str">
        <f aca="false">IF((E93="g"),H93," ")</f>
        <v> </v>
      </c>
      <c r="AB93" s="17" t="str">
        <f aca="false">IF((E93="h"),H93," ")</f>
        <v> </v>
      </c>
      <c r="AC93" s="30" t="str">
        <f aca="false">IF((E93="v"),H93," ")</f>
        <v> </v>
      </c>
      <c r="AD93" s="30" t="str">
        <f aca="false">IF((E93="n"),H93," ")</f>
        <v> </v>
      </c>
      <c r="AE93" s="17" t="str">
        <f aca="false">IF((E93="f"),H93," ")</f>
        <v> </v>
      </c>
      <c r="AF93" s="17" t="str">
        <f aca="false">IF((E93="l"),H93," ")</f>
        <v> </v>
      </c>
      <c r="AG93" s="17" t="str">
        <f aca="false">IF((E93="y"),H93," ")</f>
        <v> </v>
      </c>
      <c r="AH93" s="17" t="str">
        <f aca="false">IF((E93="z"),H93," ")</f>
        <v> </v>
      </c>
      <c r="AI93" s="17" t="str">
        <f aca="false">IF((E93="fa"),H93," ")</f>
        <v> </v>
      </c>
      <c r="AJ93" s="17" t="str">
        <f aca="false">IF((E93="e"),H93," ")</f>
        <v> </v>
      </c>
    </row>
    <row r="94" customFormat="false" ht="12" hidden="false" customHeight="false" outlineLevel="0" collapsed="false">
      <c r="A94" s="28"/>
      <c r="E94" s="2" t="str">
        <f aca="false">IF((F94&lt;&gt;0),"Enter Letter"," ")</f>
        <v> </v>
      </c>
      <c r="F94" s="30"/>
      <c r="G94" s="6" t="str">
        <f aca="false">IF(F94&lt;&gt;0,F94*G$2/(100+G$2)," ")</f>
        <v> </v>
      </c>
      <c r="H94" s="6" t="str">
        <f aca="false">IF((F94&lt;&gt;0),F94-G94," ")</f>
        <v> </v>
      </c>
      <c r="I94" s="5"/>
      <c r="L94" s="7" t="str">
        <f aca="false">IF(F94&lt;&gt;0,F94-K94," ")</f>
        <v> </v>
      </c>
      <c r="M94" s="8" t="str">
        <f aca="false">IF((F94-K94)&lt;&gt;0,M$1-A94," ")</f>
        <v> </v>
      </c>
      <c r="N94" s="5"/>
      <c r="O94" s="17" t="str">
        <f aca="false">IF((E94="s"),H94," ")</f>
        <v> </v>
      </c>
      <c r="P94" s="17" t="str">
        <f aca="false">IF((E94="c"),H94," ")</f>
        <v> </v>
      </c>
      <c r="Q94" s="17" t="str">
        <f aca="false">IF((E94="o"),H94," ")</f>
        <v> </v>
      </c>
      <c r="R94" s="17" t="str">
        <f aca="false">IF((E94="d"),H94," ")</f>
        <v> </v>
      </c>
      <c r="S94" s="17" t="str">
        <f aca="false">IF((E94="w"),H94," ")</f>
        <v> </v>
      </c>
      <c r="T94" s="17" t="str">
        <f aca="false">IF((E94="r"),H94," ")</f>
        <v> </v>
      </c>
      <c r="U94" s="17" t="str">
        <f aca="false">IF((E94="p"),H94," ")</f>
        <v> </v>
      </c>
      <c r="V94" s="17" t="str">
        <f aca="false">IF((E94="t"),H94," ")</f>
        <v> </v>
      </c>
      <c r="W94" s="17" t="str">
        <f aca="false">IF((E94="q"),H94," ")</f>
        <v> </v>
      </c>
      <c r="X94" s="17" t="str">
        <f aca="false">IF((E94="m"),H94," ")</f>
        <v> </v>
      </c>
      <c r="Y94" s="17" t="str">
        <f aca="false">IF((E94="u"),H94," ")</f>
        <v> </v>
      </c>
      <c r="Z94" s="17" t="str">
        <f aca="false">IF((E94="a"),H94," ")</f>
        <v> </v>
      </c>
      <c r="AA94" s="17" t="str">
        <f aca="false">IF((E94="g"),H94," ")</f>
        <v> </v>
      </c>
      <c r="AB94" s="17" t="str">
        <f aca="false">IF((E94="h"),H94," ")</f>
        <v> </v>
      </c>
      <c r="AC94" s="30" t="str">
        <f aca="false">IF((E94="v"),H94," ")</f>
        <v> </v>
      </c>
      <c r="AD94" s="30" t="str">
        <f aca="false">IF((E94="n"),H94," ")</f>
        <v> </v>
      </c>
      <c r="AE94" s="17" t="str">
        <f aca="false">IF((E94="f"),H94," ")</f>
        <v> </v>
      </c>
      <c r="AF94" s="17" t="str">
        <f aca="false">IF((E94="l"),H94," ")</f>
        <v> </v>
      </c>
      <c r="AG94" s="17" t="str">
        <f aca="false">IF((E94="y"),H94," ")</f>
        <v> </v>
      </c>
      <c r="AH94" s="17" t="str">
        <f aca="false">IF((E94="z"),H94," ")</f>
        <v> </v>
      </c>
      <c r="AI94" s="17" t="str">
        <f aca="false">IF((E94="fa"),H94," ")</f>
        <v> </v>
      </c>
      <c r="AJ94" s="17" t="str">
        <f aca="false">IF((E94="e"),H94," ")</f>
        <v> </v>
      </c>
    </row>
    <row r="95" customFormat="false" ht="12" hidden="false" customHeight="false" outlineLevel="0" collapsed="false">
      <c r="A95" s="28"/>
      <c r="E95" s="2" t="str">
        <f aca="false">IF((F95&lt;&gt;0),"Enter Letter"," ")</f>
        <v> </v>
      </c>
      <c r="F95" s="30"/>
      <c r="G95" s="6" t="str">
        <f aca="false">IF(F95&lt;&gt;0,F95*G$2/(100+G$2)," ")</f>
        <v> </v>
      </c>
      <c r="H95" s="6" t="str">
        <f aca="false">IF((F95&lt;&gt;0),F95-G95," ")</f>
        <v> </v>
      </c>
      <c r="I95" s="5"/>
      <c r="L95" s="7" t="str">
        <f aca="false">IF(F95&lt;&gt;0,F95-K95," ")</f>
        <v> </v>
      </c>
      <c r="M95" s="8" t="str">
        <f aca="false">IF((F95-K95)&lt;&gt;0,M$1-A95," ")</f>
        <v> </v>
      </c>
      <c r="N95" s="5"/>
      <c r="O95" s="17" t="str">
        <f aca="false">IF((E95="s"),H95," ")</f>
        <v> </v>
      </c>
      <c r="P95" s="17" t="str">
        <f aca="false">IF((E95="c"),H95," ")</f>
        <v> </v>
      </c>
      <c r="Q95" s="17" t="str">
        <f aca="false">IF((E95="o"),H95," ")</f>
        <v> </v>
      </c>
      <c r="R95" s="17" t="str">
        <f aca="false">IF((E95="d"),H95," ")</f>
        <v> </v>
      </c>
      <c r="S95" s="17" t="str">
        <f aca="false">IF((E95="w"),H95," ")</f>
        <v> </v>
      </c>
      <c r="T95" s="17" t="str">
        <f aca="false">IF((E95="r"),H95," ")</f>
        <v> </v>
      </c>
      <c r="U95" s="17" t="str">
        <f aca="false">IF((E95="p"),H95," ")</f>
        <v> </v>
      </c>
      <c r="V95" s="17" t="str">
        <f aca="false">IF((E95="t"),H95," ")</f>
        <v> </v>
      </c>
      <c r="W95" s="17" t="str">
        <f aca="false">IF((E95="q"),H95," ")</f>
        <v> </v>
      </c>
      <c r="X95" s="17" t="str">
        <f aca="false">IF((E95="m"),H95," ")</f>
        <v> </v>
      </c>
      <c r="Y95" s="17" t="str">
        <f aca="false">IF((E95="u"),H95," ")</f>
        <v> </v>
      </c>
      <c r="Z95" s="17" t="str">
        <f aca="false">IF((E95="a"),H95," ")</f>
        <v> </v>
      </c>
      <c r="AA95" s="17" t="str">
        <f aca="false">IF((E95="g"),H95," ")</f>
        <v> </v>
      </c>
      <c r="AB95" s="17" t="str">
        <f aca="false">IF((E95="h"),H95," ")</f>
        <v> </v>
      </c>
      <c r="AC95" s="30" t="str">
        <f aca="false">IF((E95="v"),H95," ")</f>
        <v> </v>
      </c>
      <c r="AD95" s="30" t="str">
        <f aca="false">IF((E95="n"),H95," ")</f>
        <v> </v>
      </c>
      <c r="AE95" s="17" t="str">
        <f aca="false">IF((E95="f"),H95," ")</f>
        <v> </v>
      </c>
      <c r="AF95" s="17" t="str">
        <f aca="false">IF((E95="l"),H95," ")</f>
        <v> </v>
      </c>
      <c r="AG95" s="17" t="str">
        <f aca="false">IF((E95="y"),H95," ")</f>
        <v> </v>
      </c>
      <c r="AH95" s="17" t="str">
        <f aca="false">IF((E95="z"),H95," ")</f>
        <v> </v>
      </c>
      <c r="AI95" s="17" t="str">
        <f aca="false">IF((E95="fa"),H95," ")</f>
        <v> </v>
      </c>
      <c r="AJ95" s="17" t="str">
        <f aca="false">IF((E95="e"),H95," ")</f>
        <v> </v>
      </c>
    </row>
    <row r="96" customFormat="false" ht="12" hidden="false" customHeight="false" outlineLevel="0" collapsed="false">
      <c r="A96" s="28"/>
      <c r="E96" s="2" t="str">
        <f aca="false">IF((F96&lt;&gt;0),"Enter Letter"," ")</f>
        <v> </v>
      </c>
      <c r="F96" s="30"/>
      <c r="G96" s="6" t="str">
        <f aca="false">IF(F96&lt;&gt;0,F96*G$2/(100+G$2)," ")</f>
        <v> </v>
      </c>
      <c r="H96" s="6" t="str">
        <f aca="false">IF((F96&lt;&gt;0),F96-G96," ")</f>
        <v> </v>
      </c>
      <c r="I96" s="5"/>
      <c r="L96" s="7" t="str">
        <f aca="false">IF(F96&lt;&gt;0,F96-K96," ")</f>
        <v> </v>
      </c>
      <c r="M96" s="8" t="str">
        <f aca="false">IF((F96-K96)&lt;&gt;0,M$1-A96," ")</f>
        <v> </v>
      </c>
      <c r="N96" s="5"/>
      <c r="O96" s="17" t="str">
        <f aca="false">IF((E96="s"),H96," ")</f>
        <v> </v>
      </c>
      <c r="P96" s="17" t="str">
        <f aca="false">IF((E96="c"),H96," ")</f>
        <v> </v>
      </c>
      <c r="Q96" s="17" t="str">
        <f aca="false">IF((E96="o"),H96," ")</f>
        <v> </v>
      </c>
      <c r="R96" s="17" t="str">
        <f aca="false">IF((E96="d"),H96," ")</f>
        <v> </v>
      </c>
      <c r="S96" s="17" t="str">
        <f aca="false">IF((E96="w"),H96," ")</f>
        <v> </v>
      </c>
      <c r="T96" s="17" t="str">
        <f aca="false">IF((E96="r"),H96," ")</f>
        <v> </v>
      </c>
      <c r="U96" s="17" t="str">
        <f aca="false">IF((E96="p"),H96," ")</f>
        <v> </v>
      </c>
      <c r="V96" s="17" t="str">
        <f aca="false">IF((E96="t"),H96," ")</f>
        <v> </v>
      </c>
      <c r="W96" s="17" t="str">
        <f aca="false">IF((E96="q"),H96," ")</f>
        <v> </v>
      </c>
      <c r="X96" s="17" t="str">
        <f aca="false">IF((E96="m"),H96," ")</f>
        <v> </v>
      </c>
      <c r="Y96" s="17" t="str">
        <f aca="false">IF((E96="u"),H96," ")</f>
        <v> </v>
      </c>
      <c r="Z96" s="17" t="str">
        <f aca="false">IF((E96="a"),H96," ")</f>
        <v> </v>
      </c>
      <c r="AA96" s="17" t="str">
        <f aca="false">IF((E96="g"),H96," ")</f>
        <v> </v>
      </c>
      <c r="AB96" s="17" t="str">
        <f aca="false">IF((E96="h"),H96," ")</f>
        <v> </v>
      </c>
      <c r="AC96" s="30" t="str">
        <f aca="false">IF((E96="v"),H96," ")</f>
        <v> </v>
      </c>
      <c r="AD96" s="30" t="str">
        <f aca="false">IF((E96="n"),H96," ")</f>
        <v> </v>
      </c>
      <c r="AE96" s="17" t="str">
        <f aca="false">IF((E96="f"),H96," ")</f>
        <v> </v>
      </c>
      <c r="AF96" s="17" t="str">
        <f aca="false">IF((E96="l"),H96," ")</f>
        <v> </v>
      </c>
      <c r="AG96" s="17" t="str">
        <f aca="false">IF((E96="y"),H96," ")</f>
        <v> </v>
      </c>
      <c r="AH96" s="17" t="str">
        <f aca="false">IF((E96="z"),H96," ")</f>
        <v> </v>
      </c>
      <c r="AI96" s="17" t="str">
        <f aca="false">IF((E96="fa"),H96," ")</f>
        <v> </v>
      </c>
      <c r="AJ96" s="17" t="str">
        <f aca="false">IF((E96="e"),H96," ")</f>
        <v> </v>
      </c>
    </row>
    <row r="97" customFormat="false" ht="12" hidden="false" customHeight="false" outlineLevel="0" collapsed="false">
      <c r="A97" s="28"/>
      <c r="E97" s="2" t="str">
        <f aca="false">IF((F97&lt;&gt;0),"Enter Letter"," ")</f>
        <v> </v>
      </c>
      <c r="F97" s="30"/>
      <c r="G97" s="6" t="str">
        <f aca="false">IF(F97&lt;&gt;0,F97*G$2/(100+G$2)," ")</f>
        <v> </v>
      </c>
      <c r="H97" s="6" t="str">
        <f aca="false">IF((F97&lt;&gt;0),F97-G97," ")</f>
        <v> </v>
      </c>
      <c r="I97" s="5"/>
      <c r="L97" s="7" t="str">
        <f aca="false">IF(F97&lt;&gt;0,F97-K97," ")</f>
        <v> </v>
      </c>
      <c r="M97" s="8" t="str">
        <f aca="false">IF((F97-K97)&lt;&gt;0,M$1-A97," ")</f>
        <v> </v>
      </c>
      <c r="N97" s="5"/>
      <c r="O97" s="17" t="str">
        <f aca="false">IF((E97="s"),H97," ")</f>
        <v> </v>
      </c>
      <c r="P97" s="17" t="str">
        <f aca="false">IF((E97="c"),H97," ")</f>
        <v> </v>
      </c>
      <c r="Q97" s="17" t="str">
        <f aca="false">IF((E97="o"),H97," ")</f>
        <v> </v>
      </c>
      <c r="R97" s="17" t="str">
        <f aca="false">IF((E97="d"),H97," ")</f>
        <v> </v>
      </c>
      <c r="S97" s="17" t="str">
        <f aca="false">IF((E97="w"),H97," ")</f>
        <v> </v>
      </c>
      <c r="T97" s="17" t="str">
        <f aca="false">IF((E97="r"),H97," ")</f>
        <v> </v>
      </c>
      <c r="U97" s="17" t="str">
        <f aca="false">IF((E97="p"),H97," ")</f>
        <v> </v>
      </c>
      <c r="V97" s="17" t="str">
        <f aca="false">IF((E97="t"),H97," ")</f>
        <v> </v>
      </c>
      <c r="W97" s="17" t="str">
        <f aca="false">IF((E97="q"),H97," ")</f>
        <v> </v>
      </c>
      <c r="X97" s="17" t="str">
        <f aca="false">IF((E97="m"),H97," ")</f>
        <v> </v>
      </c>
      <c r="Y97" s="17" t="str">
        <f aca="false">IF((E97="u"),H97," ")</f>
        <v> </v>
      </c>
      <c r="Z97" s="17" t="str">
        <f aca="false">IF((E97="a"),H97," ")</f>
        <v> </v>
      </c>
      <c r="AA97" s="17" t="str">
        <f aca="false">IF((E97="g"),H97," ")</f>
        <v> </v>
      </c>
      <c r="AB97" s="17" t="str">
        <f aca="false">IF((E97="h"),H97," ")</f>
        <v> </v>
      </c>
      <c r="AC97" s="30" t="str">
        <f aca="false">IF((E97="v"),H97," ")</f>
        <v> </v>
      </c>
      <c r="AD97" s="30" t="str">
        <f aca="false">IF((E97="n"),H97," ")</f>
        <v> </v>
      </c>
      <c r="AE97" s="17" t="str">
        <f aca="false">IF((E97="f"),H97," ")</f>
        <v> </v>
      </c>
      <c r="AF97" s="17" t="str">
        <f aca="false">IF((E97="l"),H97," ")</f>
        <v> </v>
      </c>
      <c r="AG97" s="17" t="str">
        <f aca="false">IF((E97="y"),H97," ")</f>
        <v> </v>
      </c>
      <c r="AH97" s="17" t="str">
        <f aca="false">IF((E97="z"),H97," ")</f>
        <v> </v>
      </c>
      <c r="AI97" s="17" t="str">
        <f aca="false">IF((E97="fa"),H97," ")</f>
        <v> </v>
      </c>
      <c r="AJ97" s="17" t="str">
        <f aca="false">IF((E97="e"),H97," ")</f>
        <v> </v>
      </c>
    </row>
    <row r="98" customFormat="false" ht="12" hidden="false" customHeight="false" outlineLevel="0" collapsed="false">
      <c r="A98" s="28"/>
      <c r="E98" s="2" t="str">
        <f aca="false">IF((F98&lt;&gt;0),"Enter Letter"," ")</f>
        <v> </v>
      </c>
      <c r="F98" s="30"/>
      <c r="G98" s="6" t="str">
        <f aca="false">IF(F98&lt;&gt;0,F98*G$2/(100+G$2)," ")</f>
        <v> </v>
      </c>
      <c r="H98" s="6" t="str">
        <f aca="false">IF((F98&lt;&gt;0),F98-G98," ")</f>
        <v> </v>
      </c>
      <c r="I98" s="5"/>
      <c r="L98" s="7" t="str">
        <f aca="false">IF(F98&lt;&gt;0,F98-K98," ")</f>
        <v> </v>
      </c>
      <c r="M98" s="8" t="str">
        <f aca="false">IF((F98-K98)&lt;&gt;0,M$1-A98," ")</f>
        <v> </v>
      </c>
      <c r="N98" s="5"/>
      <c r="O98" s="17" t="str">
        <f aca="false">IF((E98="s"),H98," ")</f>
        <v> </v>
      </c>
      <c r="P98" s="17" t="str">
        <f aca="false">IF((E98="c"),H98," ")</f>
        <v> </v>
      </c>
      <c r="Q98" s="17" t="str">
        <f aca="false">IF((E98="o"),H98," ")</f>
        <v> </v>
      </c>
      <c r="R98" s="17" t="str">
        <f aca="false">IF((E98="d"),H98," ")</f>
        <v> </v>
      </c>
      <c r="S98" s="17" t="str">
        <f aca="false">IF((E98="w"),H98," ")</f>
        <v> </v>
      </c>
      <c r="T98" s="17" t="str">
        <f aca="false">IF((E98="r"),H98," ")</f>
        <v> </v>
      </c>
      <c r="U98" s="17" t="str">
        <f aca="false">IF((E98="p"),H98," ")</f>
        <v> </v>
      </c>
      <c r="V98" s="17" t="str">
        <f aca="false">IF((E98="t"),H98," ")</f>
        <v> </v>
      </c>
      <c r="W98" s="17" t="str">
        <f aca="false">IF((E98="q"),H98," ")</f>
        <v> </v>
      </c>
      <c r="X98" s="17" t="str">
        <f aca="false">IF((E98="m"),H98," ")</f>
        <v> </v>
      </c>
      <c r="Y98" s="17" t="str">
        <f aca="false">IF((E98="u"),H98," ")</f>
        <v> </v>
      </c>
      <c r="Z98" s="17" t="str">
        <f aca="false">IF((E98="a"),H98," ")</f>
        <v> </v>
      </c>
      <c r="AA98" s="17" t="str">
        <f aca="false">IF((E98="g"),H98," ")</f>
        <v> </v>
      </c>
      <c r="AB98" s="17" t="str">
        <f aca="false">IF((E98="h"),H98," ")</f>
        <v> </v>
      </c>
      <c r="AC98" s="30" t="str">
        <f aca="false">IF((E98="v"),H98," ")</f>
        <v> </v>
      </c>
      <c r="AD98" s="30" t="str">
        <f aca="false">IF((E98="n"),H98," ")</f>
        <v> </v>
      </c>
      <c r="AE98" s="17" t="str">
        <f aca="false">IF((E98="f"),H98," ")</f>
        <v> </v>
      </c>
      <c r="AF98" s="17" t="str">
        <f aca="false">IF((E98="l"),H98," ")</f>
        <v> </v>
      </c>
      <c r="AG98" s="17" t="str">
        <f aca="false">IF((E98="y"),H98," ")</f>
        <v> </v>
      </c>
      <c r="AH98" s="17" t="str">
        <f aca="false">IF((E98="z"),H98," ")</f>
        <v> </v>
      </c>
      <c r="AI98" s="17" t="str">
        <f aca="false">IF((E98="fa"),H98," ")</f>
        <v> </v>
      </c>
      <c r="AJ98" s="17" t="str">
        <f aca="false">IF((E98="e"),H98," ")</f>
        <v> </v>
      </c>
    </row>
    <row r="99" customFormat="false" ht="12" hidden="false" customHeight="false" outlineLevel="0" collapsed="false">
      <c r="A99" s="28"/>
      <c r="E99" s="2" t="str">
        <f aca="false">IF((F99&lt;&gt;0),"Enter Letter"," ")</f>
        <v> </v>
      </c>
      <c r="F99" s="30"/>
      <c r="G99" s="6" t="str">
        <f aca="false">IF(F99&lt;&gt;0,F99*G$2/(100+G$2)," ")</f>
        <v> </v>
      </c>
      <c r="H99" s="6" t="str">
        <f aca="false">IF((F99&lt;&gt;0),F99-G99," ")</f>
        <v> </v>
      </c>
      <c r="I99" s="5"/>
      <c r="L99" s="7" t="str">
        <f aca="false">IF(F99&lt;&gt;0,F99-K99," ")</f>
        <v> </v>
      </c>
      <c r="M99" s="8" t="str">
        <f aca="false">IF((F99-K99)&lt;&gt;0,M$1-A99," ")</f>
        <v> </v>
      </c>
      <c r="N99" s="5"/>
      <c r="O99" s="17" t="str">
        <f aca="false">IF((E99="s"),H99," ")</f>
        <v> </v>
      </c>
      <c r="P99" s="17" t="str">
        <f aca="false">IF((E99="c"),H99," ")</f>
        <v> </v>
      </c>
      <c r="Q99" s="17" t="str">
        <f aca="false">IF((E99="o"),H99," ")</f>
        <v> </v>
      </c>
      <c r="R99" s="17" t="str">
        <f aca="false">IF((E99="d"),H99," ")</f>
        <v> </v>
      </c>
      <c r="S99" s="17" t="str">
        <f aca="false">IF((E99="w"),H99," ")</f>
        <v> </v>
      </c>
      <c r="T99" s="17" t="str">
        <f aca="false">IF((E99="r"),H99," ")</f>
        <v> </v>
      </c>
      <c r="U99" s="17" t="str">
        <f aca="false">IF((E99="p"),H99," ")</f>
        <v> </v>
      </c>
      <c r="V99" s="17" t="str">
        <f aca="false">IF((E99="t"),H99," ")</f>
        <v> </v>
      </c>
      <c r="W99" s="17" t="str">
        <f aca="false">IF((E99="q"),H99," ")</f>
        <v> </v>
      </c>
      <c r="X99" s="17" t="str">
        <f aca="false">IF((E99="m"),H99," ")</f>
        <v> </v>
      </c>
      <c r="Y99" s="17" t="str">
        <f aca="false">IF((E99="u"),H99," ")</f>
        <v> </v>
      </c>
      <c r="Z99" s="17" t="str">
        <f aca="false">IF((E99="a"),H99," ")</f>
        <v> </v>
      </c>
      <c r="AA99" s="17" t="str">
        <f aca="false">IF((E99="g"),H99," ")</f>
        <v> </v>
      </c>
      <c r="AB99" s="17" t="str">
        <f aca="false">IF((E99="h"),H99," ")</f>
        <v> </v>
      </c>
      <c r="AC99" s="30" t="str">
        <f aca="false">IF((E99="v"),H99," ")</f>
        <v> </v>
      </c>
      <c r="AD99" s="30" t="str">
        <f aca="false">IF((E99="n"),H99," ")</f>
        <v> </v>
      </c>
      <c r="AE99" s="17" t="str">
        <f aca="false">IF((E99="f"),H99," ")</f>
        <v> </v>
      </c>
      <c r="AF99" s="17" t="str">
        <f aca="false">IF((E99="l"),H99," ")</f>
        <v> </v>
      </c>
      <c r="AG99" s="17" t="str">
        <f aca="false">IF((E99="y"),H99," ")</f>
        <v> </v>
      </c>
      <c r="AH99" s="17" t="str">
        <f aca="false">IF((E99="z"),H99," ")</f>
        <v> </v>
      </c>
      <c r="AI99" s="17" t="str">
        <f aca="false">IF((E99="fa"),H99," ")</f>
        <v> </v>
      </c>
      <c r="AJ99" s="17" t="str">
        <f aca="false">IF((E99="e"),H99," ")</f>
        <v> </v>
      </c>
    </row>
    <row r="100" customFormat="false" ht="12" hidden="false" customHeight="false" outlineLevel="0" collapsed="false">
      <c r="A100" s="28"/>
      <c r="E100" s="2" t="str">
        <f aca="false">IF((F100&lt;&gt;0),"Enter Letter"," ")</f>
        <v> </v>
      </c>
      <c r="F100" s="30"/>
      <c r="G100" s="6" t="str">
        <f aca="false">IF(F100&lt;&gt;0,F100*G$2/(100+G$2)," ")</f>
        <v> </v>
      </c>
      <c r="H100" s="6" t="str">
        <f aca="false">IF((F100&lt;&gt;0),F100-G100," ")</f>
        <v> </v>
      </c>
      <c r="I100" s="5"/>
      <c r="L100" s="7" t="str">
        <f aca="false">IF(F100&lt;&gt;0,F100-K100," ")</f>
        <v> </v>
      </c>
      <c r="M100" s="8" t="str">
        <f aca="false">IF((F100-K100)&lt;&gt;0,M$1-A100," ")</f>
        <v> </v>
      </c>
      <c r="N100" s="5"/>
      <c r="O100" s="17" t="str">
        <f aca="false">IF((E100="s"),H100," ")</f>
        <v> </v>
      </c>
      <c r="P100" s="17" t="str">
        <f aca="false">IF((E100="c"),H100," ")</f>
        <v> </v>
      </c>
      <c r="Q100" s="17" t="str">
        <f aca="false">IF((E100="o"),H100," ")</f>
        <v> </v>
      </c>
      <c r="R100" s="17" t="str">
        <f aca="false">IF((E100="d"),H100," ")</f>
        <v> </v>
      </c>
      <c r="S100" s="17" t="str">
        <f aca="false">IF((E100="w"),H100," ")</f>
        <v> </v>
      </c>
      <c r="T100" s="17" t="str">
        <f aca="false">IF((E100="r"),H100," ")</f>
        <v> </v>
      </c>
      <c r="U100" s="17" t="str">
        <f aca="false">IF((E100="p"),H100," ")</f>
        <v> </v>
      </c>
      <c r="V100" s="17" t="str">
        <f aca="false">IF((E100="t"),H100," ")</f>
        <v> </v>
      </c>
      <c r="W100" s="17" t="str">
        <f aca="false">IF((E100="q"),H100," ")</f>
        <v> </v>
      </c>
      <c r="X100" s="17" t="str">
        <f aca="false">IF((E100="m"),H100," ")</f>
        <v> </v>
      </c>
      <c r="Y100" s="17" t="str">
        <f aca="false">IF((E100="u"),H100," ")</f>
        <v> </v>
      </c>
      <c r="Z100" s="17" t="str">
        <f aca="false">IF((E100="a"),H100," ")</f>
        <v> </v>
      </c>
      <c r="AA100" s="17" t="str">
        <f aca="false">IF((E100="g"),H100," ")</f>
        <v> </v>
      </c>
      <c r="AB100" s="17" t="str">
        <f aca="false">IF((E100="h"),H100," ")</f>
        <v> </v>
      </c>
      <c r="AC100" s="30" t="str">
        <f aca="false">IF((E100="v"),H100," ")</f>
        <v> </v>
      </c>
      <c r="AD100" s="30" t="str">
        <f aca="false">IF((E100="n"),H100," ")</f>
        <v> </v>
      </c>
      <c r="AE100" s="17" t="str">
        <f aca="false">IF((E100="f"),H100," ")</f>
        <v> </v>
      </c>
      <c r="AF100" s="17" t="str">
        <f aca="false">IF((E100="l"),H100," ")</f>
        <v> </v>
      </c>
      <c r="AG100" s="17" t="str">
        <f aca="false">IF((E100="y"),H100," ")</f>
        <v> </v>
      </c>
      <c r="AH100" s="17" t="str">
        <f aca="false">IF((E100="z"),H100," ")</f>
        <v> </v>
      </c>
      <c r="AI100" s="17" t="str">
        <f aca="false">IF((E100="fa"),H100," ")</f>
        <v> </v>
      </c>
      <c r="AJ100" s="17" t="str">
        <f aca="false">IF((E100="e"),H100," ")</f>
        <v> </v>
      </c>
    </row>
    <row r="101" customFormat="false" ht="12" hidden="false" customHeight="false" outlineLevel="0" collapsed="false">
      <c r="A101" s="28"/>
      <c r="E101" s="2" t="str">
        <f aca="false">IF((F101&lt;&gt;0),"Enter Letter"," ")</f>
        <v> </v>
      </c>
      <c r="F101" s="30"/>
      <c r="G101" s="6" t="str">
        <f aca="false">IF(F101&lt;&gt;0,F101*G$2/(100+G$2)," ")</f>
        <v> </v>
      </c>
      <c r="H101" s="6" t="str">
        <f aca="false">IF((F101&lt;&gt;0),F101-G101," ")</f>
        <v> </v>
      </c>
      <c r="I101" s="5"/>
      <c r="L101" s="7" t="str">
        <f aca="false">IF(F101&lt;&gt;0,F101-K101," ")</f>
        <v> </v>
      </c>
      <c r="M101" s="8" t="str">
        <f aca="false">IF((F101-K101)&lt;&gt;0,M$1-A101," ")</f>
        <v> </v>
      </c>
      <c r="N101" s="5"/>
      <c r="O101" s="17" t="str">
        <f aca="false">IF((E101="s"),H101," ")</f>
        <v> </v>
      </c>
      <c r="P101" s="17" t="str">
        <f aca="false">IF((E101="c"),H101," ")</f>
        <v> </v>
      </c>
      <c r="Q101" s="17" t="str">
        <f aca="false">IF((E101="o"),H101," ")</f>
        <v> </v>
      </c>
      <c r="R101" s="17" t="str">
        <f aca="false">IF((E101="d"),H101," ")</f>
        <v> </v>
      </c>
      <c r="S101" s="17" t="str">
        <f aca="false">IF((E101="w"),H101," ")</f>
        <v> </v>
      </c>
      <c r="T101" s="17" t="str">
        <f aca="false">IF((E101="r"),H101," ")</f>
        <v> </v>
      </c>
      <c r="U101" s="17" t="str">
        <f aca="false">IF((E101="p"),H101," ")</f>
        <v> </v>
      </c>
      <c r="V101" s="17" t="str">
        <f aca="false">IF((E101="t"),H101," ")</f>
        <v> </v>
      </c>
      <c r="W101" s="17" t="str">
        <f aca="false">IF((E101="q"),H101," ")</f>
        <v> </v>
      </c>
      <c r="X101" s="17" t="str">
        <f aca="false">IF((E101="m"),H101," ")</f>
        <v> </v>
      </c>
      <c r="Y101" s="17" t="str">
        <f aca="false">IF((E101="u"),H101," ")</f>
        <v> </v>
      </c>
      <c r="Z101" s="17" t="str">
        <f aca="false">IF((E101="a"),H101," ")</f>
        <v> </v>
      </c>
      <c r="AA101" s="17" t="str">
        <f aca="false">IF((E101="g"),H101," ")</f>
        <v> </v>
      </c>
      <c r="AB101" s="17" t="str">
        <f aca="false">IF((E101="h"),H101," ")</f>
        <v> </v>
      </c>
      <c r="AC101" s="30" t="str">
        <f aca="false">IF((E101="v"),H101," ")</f>
        <v> </v>
      </c>
      <c r="AD101" s="30" t="str">
        <f aca="false">IF((E101="n"),H101," ")</f>
        <v> </v>
      </c>
      <c r="AE101" s="17" t="str">
        <f aca="false">IF((E101="f"),H101," ")</f>
        <v> </v>
      </c>
      <c r="AF101" s="17" t="str">
        <f aca="false">IF((E101="l"),H101," ")</f>
        <v> </v>
      </c>
      <c r="AG101" s="17" t="str">
        <f aca="false">IF((E101="y"),H101," ")</f>
        <v> </v>
      </c>
      <c r="AH101" s="17" t="str">
        <f aca="false">IF((E101="z"),H101," ")</f>
        <v> </v>
      </c>
      <c r="AI101" s="17" t="str">
        <f aca="false">IF((E101="fa"),H101," ")</f>
        <v> </v>
      </c>
      <c r="AJ101" s="17" t="str">
        <f aca="false">IF((E101="e"),H101," ")</f>
        <v> </v>
      </c>
    </row>
    <row r="102" customFormat="false" ht="12" hidden="false" customHeight="false" outlineLevel="0" collapsed="false">
      <c r="A102" s="28"/>
      <c r="E102" s="2" t="str">
        <f aca="false">IF((F102&lt;&gt;0),"Enter Letter"," ")</f>
        <v> </v>
      </c>
      <c r="F102" s="30"/>
      <c r="G102" s="6" t="str">
        <f aca="false">IF(F102&lt;&gt;0,F102*G$2/(100+G$2)," ")</f>
        <v> </v>
      </c>
      <c r="H102" s="6" t="str">
        <f aca="false">IF((F102&lt;&gt;0),F102-G102," ")</f>
        <v> </v>
      </c>
      <c r="I102" s="5"/>
      <c r="L102" s="7" t="str">
        <f aca="false">IF(F102&lt;&gt;0,F102-K102," ")</f>
        <v> </v>
      </c>
      <c r="M102" s="8" t="str">
        <f aca="false">IF((F102-K102)&lt;&gt;0,M$1-A102," ")</f>
        <v> </v>
      </c>
      <c r="N102" s="5"/>
      <c r="O102" s="17" t="str">
        <f aca="false">IF((E102="s"),H102," ")</f>
        <v> </v>
      </c>
      <c r="P102" s="17" t="str">
        <f aca="false">IF((E102="c"),H102," ")</f>
        <v> </v>
      </c>
      <c r="Q102" s="17" t="str">
        <f aca="false">IF((E102="o"),H102," ")</f>
        <v> </v>
      </c>
      <c r="R102" s="17" t="str">
        <f aca="false">IF((E102="d"),H102," ")</f>
        <v> </v>
      </c>
      <c r="S102" s="17" t="str">
        <f aca="false">IF((E102="w"),H102," ")</f>
        <v> </v>
      </c>
      <c r="T102" s="17" t="str">
        <f aca="false">IF((E102="r"),H102," ")</f>
        <v> </v>
      </c>
      <c r="U102" s="17" t="str">
        <f aca="false">IF((E102="p"),H102," ")</f>
        <v> </v>
      </c>
      <c r="V102" s="17" t="str">
        <f aca="false">IF((E102="t"),H102," ")</f>
        <v> </v>
      </c>
      <c r="W102" s="17" t="str">
        <f aca="false">IF((E102="q"),H102," ")</f>
        <v> </v>
      </c>
      <c r="X102" s="17" t="str">
        <f aca="false">IF((E102="m"),H102," ")</f>
        <v> </v>
      </c>
      <c r="Y102" s="17" t="str">
        <f aca="false">IF((E102="u"),H102," ")</f>
        <v> </v>
      </c>
      <c r="Z102" s="17" t="str">
        <f aca="false">IF((E102="a"),H102," ")</f>
        <v> </v>
      </c>
      <c r="AA102" s="17" t="str">
        <f aca="false">IF((E102="g"),H102," ")</f>
        <v> </v>
      </c>
      <c r="AB102" s="17" t="str">
        <f aca="false">IF((E102="h"),H102," ")</f>
        <v> </v>
      </c>
      <c r="AC102" s="30" t="str">
        <f aca="false">IF((E102="v"),H102," ")</f>
        <v> </v>
      </c>
      <c r="AD102" s="30" t="str">
        <f aca="false">IF((E102="n"),H102," ")</f>
        <v> </v>
      </c>
      <c r="AE102" s="17" t="str">
        <f aca="false">IF((E102="f"),H102," ")</f>
        <v> </v>
      </c>
      <c r="AF102" s="17" t="str">
        <f aca="false">IF((E102="l"),H102," ")</f>
        <v> </v>
      </c>
      <c r="AG102" s="17" t="str">
        <f aca="false">IF((E102="y"),H102," ")</f>
        <v> </v>
      </c>
      <c r="AH102" s="17" t="str">
        <f aca="false">IF((E102="z"),H102," ")</f>
        <v> </v>
      </c>
      <c r="AI102" s="17" t="str">
        <f aca="false">IF((E102="fa"),H102," ")</f>
        <v> </v>
      </c>
      <c r="AJ102" s="17" t="str">
        <f aca="false">IF((E102="e"),H102," ")</f>
        <v> </v>
      </c>
    </row>
    <row r="103" customFormat="false" ht="12" hidden="false" customHeight="false" outlineLevel="0" collapsed="false">
      <c r="A103" s="28"/>
      <c r="E103" s="2" t="str">
        <f aca="false">IF((F103&lt;&gt;0),"Enter Letter"," ")</f>
        <v> </v>
      </c>
      <c r="F103" s="30"/>
      <c r="G103" s="6" t="str">
        <f aca="false">IF(F103&lt;&gt;0,F103*G$2/(100+G$2)," ")</f>
        <v> </v>
      </c>
      <c r="H103" s="6" t="str">
        <f aca="false">IF((F103&lt;&gt;0),F103-G103," ")</f>
        <v> </v>
      </c>
      <c r="I103" s="5"/>
      <c r="L103" s="7" t="str">
        <f aca="false">IF(F103&lt;&gt;0,F103-K103," ")</f>
        <v> </v>
      </c>
      <c r="M103" s="8" t="str">
        <f aca="false">IF((F103-K103)&lt;&gt;0,M$1-A103," ")</f>
        <v> </v>
      </c>
      <c r="N103" s="5"/>
      <c r="O103" s="17" t="str">
        <f aca="false">IF((E103="s"),H103," ")</f>
        <v> </v>
      </c>
      <c r="P103" s="17" t="str">
        <f aca="false">IF((E103="c"),H103," ")</f>
        <v> </v>
      </c>
      <c r="Q103" s="17" t="str">
        <f aca="false">IF((E103="o"),H103," ")</f>
        <v> </v>
      </c>
      <c r="R103" s="17" t="str">
        <f aca="false">IF((E103="d"),H103," ")</f>
        <v> </v>
      </c>
      <c r="S103" s="17" t="str">
        <f aca="false">IF((E103="w"),H103," ")</f>
        <v> </v>
      </c>
      <c r="T103" s="17" t="str">
        <f aca="false">IF((E103="r"),H103," ")</f>
        <v> </v>
      </c>
      <c r="U103" s="17" t="str">
        <f aca="false">IF((E103="p"),H103," ")</f>
        <v> </v>
      </c>
      <c r="V103" s="17" t="str">
        <f aca="false">IF((E103="t"),H103," ")</f>
        <v> </v>
      </c>
      <c r="W103" s="17" t="str">
        <f aca="false">IF((E103="q"),H103," ")</f>
        <v> </v>
      </c>
      <c r="X103" s="17" t="str">
        <f aca="false">IF((E103="m"),H103," ")</f>
        <v> </v>
      </c>
      <c r="Y103" s="17" t="str">
        <f aca="false">IF((E103="u"),H103," ")</f>
        <v> </v>
      </c>
      <c r="Z103" s="17" t="str">
        <f aca="false">IF((E103="a"),H103," ")</f>
        <v> </v>
      </c>
      <c r="AA103" s="17" t="str">
        <f aca="false">IF((E103="g"),H103," ")</f>
        <v> </v>
      </c>
      <c r="AB103" s="17" t="str">
        <f aca="false">IF((E103="h"),H103," ")</f>
        <v> </v>
      </c>
      <c r="AC103" s="30" t="str">
        <f aca="false">IF((E103="v"),H103," ")</f>
        <v> </v>
      </c>
      <c r="AD103" s="30" t="str">
        <f aca="false">IF((E103="n"),H103," ")</f>
        <v> </v>
      </c>
      <c r="AE103" s="17" t="str">
        <f aca="false">IF((E103="f"),H103," ")</f>
        <v> </v>
      </c>
      <c r="AF103" s="17" t="str">
        <f aca="false">IF((E103="l"),H103," ")</f>
        <v> </v>
      </c>
      <c r="AG103" s="17" t="str">
        <f aca="false">IF((E103="y"),H103," ")</f>
        <v> </v>
      </c>
      <c r="AH103" s="17" t="str">
        <f aca="false">IF((E103="z"),H103," ")</f>
        <v> </v>
      </c>
      <c r="AI103" s="17" t="str">
        <f aca="false">IF((E103="fa"),H103," ")</f>
        <v> </v>
      </c>
      <c r="AJ103" s="17" t="str">
        <f aca="false">IF((E103="e"),H103," ")</f>
        <v> </v>
      </c>
    </row>
    <row r="104" customFormat="false" ht="12" hidden="false" customHeight="false" outlineLevel="0" collapsed="false">
      <c r="A104" s="28"/>
      <c r="E104" s="2" t="str">
        <f aca="false">IF((F104&lt;&gt;0),"Enter Letter"," ")</f>
        <v> </v>
      </c>
      <c r="F104" s="30"/>
      <c r="G104" s="6" t="str">
        <f aca="false">IF(F104&lt;&gt;0,F104*G$2/(100+G$2)," ")</f>
        <v> </v>
      </c>
      <c r="H104" s="6" t="str">
        <f aca="false">IF((F104&lt;&gt;0),F104-G104," ")</f>
        <v> </v>
      </c>
      <c r="I104" s="5"/>
      <c r="L104" s="7" t="str">
        <f aca="false">IF(F104&lt;&gt;0,F104-K104," ")</f>
        <v> </v>
      </c>
      <c r="M104" s="8" t="str">
        <f aca="false">IF((F104-K104)&lt;&gt;0,M$1-A104," ")</f>
        <v> </v>
      </c>
      <c r="N104" s="5"/>
      <c r="O104" s="17" t="str">
        <f aca="false">IF((E104="s"),H104," ")</f>
        <v> </v>
      </c>
      <c r="P104" s="17" t="str">
        <f aca="false">IF((E104="c"),H104," ")</f>
        <v> </v>
      </c>
      <c r="Q104" s="17" t="str">
        <f aca="false">IF((E104="o"),H104," ")</f>
        <v> </v>
      </c>
      <c r="R104" s="17" t="str">
        <f aca="false">IF((E104="d"),H104," ")</f>
        <v> </v>
      </c>
      <c r="S104" s="17" t="str">
        <f aca="false">IF((E104="w"),H104," ")</f>
        <v> </v>
      </c>
      <c r="T104" s="17" t="str">
        <f aca="false">IF((E104="r"),H104," ")</f>
        <v> </v>
      </c>
      <c r="U104" s="17" t="str">
        <f aca="false">IF((E104="p"),H104," ")</f>
        <v> </v>
      </c>
      <c r="V104" s="17" t="str">
        <f aca="false">IF((E104="t"),H104," ")</f>
        <v> </v>
      </c>
      <c r="W104" s="17" t="str">
        <f aca="false">IF((E104="q"),H104," ")</f>
        <v> </v>
      </c>
      <c r="X104" s="17" t="str">
        <f aca="false">IF((E104="m"),H104," ")</f>
        <v> </v>
      </c>
      <c r="Y104" s="17" t="str">
        <f aca="false">IF((E104="u"),H104," ")</f>
        <v> </v>
      </c>
      <c r="Z104" s="17" t="str">
        <f aca="false">IF((E104="a"),H104," ")</f>
        <v> </v>
      </c>
      <c r="AA104" s="17" t="str">
        <f aca="false">IF((E104="g"),H104," ")</f>
        <v> </v>
      </c>
      <c r="AB104" s="17" t="str">
        <f aca="false">IF((E104="h"),H104," ")</f>
        <v> </v>
      </c>
      <c r="AC104" s="30" t="str">
        <f aca="false">IF((E104="v"),H104," ")</f>
        <v> </v>
      </c>
      <c r="AD104" s="30" t="str">
        <f aca="false">IF((E104="n"),H104," ")</f>
        <v> </v>
      </c>
      <c r="AE104" s="17" t="str">
        <f aca="false">IF((E104="f"),H104," ")</f>
        <v> </v>
      </c>
      <c r="AF104" s="17" t="str">
        <f aca="false">IF((E104="l"),H104," ")</f>
        <v> </v>
      </c>
      <c r="AG104" s="17" t="str">
        <f aca="false">IF((E104="y"),H104," ")</f>
        <v> </v>
      </c>
      <c r="AH104" s="17" t="str">
        <f aca="false">IF((E104="z"),H104," ")</f>
        <v> </v>
      </c>
      <c r="AI104" s="17" t="str">
        <f aca="false">IF((E104="fa"),H104," ")</f>
        <v> </v>
      </c>
      <c r="AJ104" s="17" t="str">
        <f aca="false">IF((E104="e"),H104," ")</f>
        <v> </v>
      </c>
    </row>
    <row r="105" customFormat="false" ht="12" hidden="false" customHeight="false" outlineLevel="0" collapsed="false">
      <c r="A105" s="28"/>
      <c r="E105" s="2" t="str">
        <f aca="false">IF((F105&lt;&gt;0),"Enter Letter"," ")</f>
        <v> </v>
      </c>
      <c r="F105" s="30"/>
      <c r="G105" s="6" t="str">
        <f aca="false">IF(F105&lt;&gt;0,F105*G$2/(100+G$2)," ")</f>
        <v> </v>
      </c>
      <c r="H105" s="6" t="str">
        <f aca="false">IF((F105&lt;&gt;0),F105-G105," ")</f>
        <v> </v>
      </c>
      <c r="I105" s="5"/>
      <c r="L105" s="7" t="str">
        <f aca="false">IF(F105&lt;&gt;0,F105-K105," ")</f>
        <v> </v>
      </c>
      <c r="M105" s="8" t="str">
        <f aca="false">IF((F105-K105)&lt;&gt;0,M$1-A105," ")</f>
        <v> </v>
      </c>
      <c r="N105" s="5"/>
      <c r="O105" s="17" t="str">
        <f aca="false">IF((E105="s"),H105," ")</f>
        <v> </v>
      </c>
      <c r="P105" s="17" t="str">
        <f aca="false">IF((E105="c"),H105," ")</f>
        <v> </v>
      </c>
      <c r="Q105" s="17" t="str">
        <f aca="false">IF((E105="o"),H105," ")</f>
        <v> </v>
      </c>
      <c r="R105" s="17" t="str">
        <f aca="false">IF((E105="d"),H105," ")</f>
        <v> </v>
      </c>
      <c r="S105" s="17" t="str">
        <f aca="false">IF((E105="w"),H105," ")</f>
        <v> </v>
      </c>
      <c r="T105" s="17" t="str">
        <f aca="false">IF((E105="r"),H105," ")</f>
        <v> </v>
      </c>
      <c r="U105" s="17" t="str">
        <f aca="false">IF((E105="p"),H105," ")</f>
        <v> </v>
      </c>
      <c r="V105" s="17" t="str">
        <f aca="false">IF((E105="t"),H105," ")</f>
        <v> </v>
      </c>
      <c r="W105" s="17" t="str">
        <f aca="false">IF((E105="q"),H105," ")</f>
        <v> </v>
      </c>
      <c r="X105" s="17" t="str">
        <f aca="false">IF((E105="m"),H105," ")</f>
        <v> </v>
      </c>
      <c r="Y105" s="17" t="str">
        <f aca="false">IF((E105="u"),H105," ")</f>
        <v> </v>
      </c>
      <c r="Z105" s="17" t="str">
        <f aca="false">IF((E105="a"),H105," ")</f>
        <v> </v>
      </c>
      <c r="AA105" s="17" t="str">
        <f aca="false">IF((E105="g"),H105," ")</f>
        <v> </v>
      </c>
      <c r="AB105" s="17" t="str">
        <f aca="false">IF((E105="h"),H105," ")</f>
        <v> </v>
      </c>
      <c r="AC105" s="30" t="str">
        <f aca="false">IF((E105="v"),H105," ")</f>
        <v> </v>
      </c>
      <c r="AD105" s="30" t="str">
        <f aca="false">IF((E105="n"),H105," ")</f>
        <v> </v>
      </c>
      <c r="AE105" s="17" t="str">
        <f aca="false">IF((E105="f"),H105," ")</f>
        <v> </v>
      </c>
      <c r="AF105" s="17" t="str">
        <f aca="false">IF((E105="l"),H105," ")</f>
        <v> </v>
      </c>
      <c r="AG105" s="17" t="str">
        <f aca="false">IF((E105="y"),H105," ")</f>
        <v> </v>
      </c>
      <c r="AH105" s="17" t="str">
        <f aca="false">IF((E105="z"),H105," ")</f>
        <v> </v>
      </c>
      <c r="AI105" s="17" t="str">
        <f aca="false">IF((E105="fa"),H105," ")</f>
        <v> </v>
      </c>
      <c r="AJ105" s="17" t="str">
        <f aca="false">IF((E105="e"),H105," ")</f>
        <v> </v>
      </c>
    </row>
    <row r="106" customFormat="false" ht="12" hidden="false" customHeight="false" outlineLevel="0" collapsed="false">
      <c r="A106" s="28"/>
      <c r="E106" s="2" t="str">
        <f aca="false">IF((F106&lt;&gt;0),"Enter Letter"," ")</f>
        <v> </v>
      </c>
      <c r="F106" s="30"/>
      <c r="G106" s="6" t="str">
        <f aca="false">IF(F106&lt;&gt;0,F106*G$2/(100+G$2)," ")</f>
        <v> </v>
      </c>
      <c r="H106" s="6" t="str">
        <f aca="false">IF((F106&lt;&gt;0),F106-G106," ")</f>
        <v> </v>
      </c>
      <c r="I106" s="5"/>
      <c r="L106" s="7" t="str">
        <f aca="false">IF(F106&lt;&gt;0,F106-K106," ")</f>
        <v> </v>
      </c>
      <c r="M106" s="8" t="str">
        <f aca="false">IF((F106-K106)&lt;&gt;0,M$1-A106," ")</f>
        <v> </v>
      </c>
      <c r="N106" s="5"/>
      <c r="O106" s="17" t="str">
        <f aca="false">IF((E106="s"),H106," ")</f>
        <v> </v>
      </c>
      <c r="P106" s="17" t="str">
        <f aca="false">IF((E106="c"),H106," ")</f>
        <v> </v>
      </c>
      <c r="Q106" s="17" t="str">
        <f aca="false">IF((E106="o"),H106," ")</f>
        <v> </v>
      </c>
      <c r="R106" s="17" t="str">
        <f aca="false">IF((E106="d"),H106," ")</f>
        <v> </v>
      </c>
      <c r="S106" s="17" t="str">
        <f aca="false">IF((E106="w"),H106," ")</f>
        <v> </v>
      </c>
      <c r="T106" s="17" t="str">
        <f aca="false">IF((E106="r"),H106," ")</f>
        <v> </v>
      </c>
      <c r="U106" s="17" t="str">
        <f aca="false">IF((E106="p"),H106," ")</f>
        <v> </v>
      </c>
      <c r="V106" s="17" t="str">
        <f aca="false">IF((E106="t"),H106," ")</f>
        <v> </v>
      </c>
      <c r="W106" s="17" t="str">
        <f aca="false">IF((E106="q"),H106," ")</f>
        <v> </v>
      </c>
      <c r="X106" s="17" t="str">
        <f aca="false">IF((E106="m"),H106," ")</f>
        <v> </v>
      </c>
      <c r="Y106" s="17" t="str">
        <f aca="false">IF((E106="u"),H106," ")</f>
        <v> </v>
      </c>
      <c r="Z106" s="17" t="str">
        <f aca="false">IF((E106="a"),H106," ")</f>
        <v> </v>
      </c>
      <c r="AA106" s="17" t="str">
        <f aca="false">IF((E106="g"),H106," ")</f>
        <v> </v>
      </c>
      <c r="AB106" s="17" t="str">
        <f aca="false">IF((E106="h"),H106," ")</f>
        <v> </v>
      </c>
      <c r="AC106" s="30" t="str">
        <f aca="false">IF((E106="v"),H106," ")</f>
        <v> </v>
      </c>
      <c r="AD106" s="30" t="str">
        <f aca="false">IF((E106="n"),H106," ")</f>
        <v> </v>
      </c>
      <c r="AE106" s="17" t="str">
        <f aca="false">IF((E106="f"),H106," ")</f>
        <v> </v>
      </c>
      <c r="AF106" s="17" t="str">
        <f aca="false">IF((E106="l"),H106," ")</f>
        <v> </v>
      </c>
      <c r="AG106" s="17" t="str">
        <f aca="false">IF((E106="y"),H106," ")</f>
        <v> </v>
      </c>
      <c r="AH106" s="17" t="str">
        <f aca="false">IF((E106="z"),H106," ")</f>
        <v> </v>
      </c>
      <c r="AI106" s="17" t="str">
        <f aca="false">IF((E106="fa"),H106," ")</f>
        <v> </v>
      </c>
      <c r="AJ106" s="17" t="str">
        <f aca="false">IF((E106="e"),H106," ")</f>
        <v> </v>
      </c>
    </row>
    <row r="107" customFormat="false" ht="12" hidden="false" customHeight="false" outlineLevel="0" collapsed="false">
      <c r="A107" s="28"/>
      <c r="E107" s="2" t="str">
        <f aca="false">IF((F107&lt;&gt;0),"Enter Letter"," ")</f>
        <v> </v>
      </c>
      <c r="F107" s="30"/>
      <c r="G107" s="6" t="str">
        <f aca="false">IF(F107&lt;&gt;0,F107*G$2/(100+G$2)," ")</f>
        <v> </v>
      </c>
      <c r="H107" s="6" t="str">
        <f aca="false">IF((F107&lt;&gt;0),F107-G107," ")</f>
        <v> </v>
      </c>
      <c r="I107" s="5"/>
      <c r="L107" s="7" t="str">
        <f aca="false">IF(F107&lt;&gt;0,F107-K107," ")</f>
        <v> </v>
      </c>
      <c r="M107" s="8" t="str">
        <f aca="false">IF((F107-K107)&lt;&gt;0,M$1-A107," ")</f>
        <v> </v>
      </c>
      <c r="N107" s="5"/>
      <c r="O107" s="17" t="str">
        <f aca="false">IF((E107="s"),H107," ")</f>
        <v> </v>
      </c>
      <c r="P107" s="17" t="str">
        <f aca="false">IF((E107="c"),H107," ")</f>
        <v> </v>
      </c>
      <c r="Q107" s="17" t="str">
        <f aca="false">IF((E107="o"),H107," ")</f>
        <v> </v>
      </c>
      <c r="R107" s="17" t="str">
        <f aca="false">IF((E107="d"),H107," ")</f>
        <v> </v>
      </c>
      <c r="S107" s="17" t="str">
        <f aca="false">IF((E107="w"),H107," ")</f>
        <v> </v>
      </c>
      <c r="T107" s="17" t="str">
        <f aca="false">IF((E107="r"),H107," ")</f>
        <v> </v>
      </c>
      <c r="U107" s="17" t="str">
        <f aca="false">IF((E107="p"),H107," ")</f>
        <v> </v>
      </c>
      <c r="V107" s="17" t="str">
        <f aca="false">IF((E107="t"),H107," ")</f>
        <v> </v>
      </c>
      <c r="W107" s="17" t="str">
        <f aca="false">IF((E107="q"),H107," ")</f>
        <v> </v>
      </c>
      <c r="X107" s="17" t="str">
        <f aca="false">IF((E107="m"),H107," ")</f>
        <v> </v>
      </c>
      <c r="Y107" s="17" t="str">
        <f aca="false">IF((E107="u"),H107," ")</f>
        <v> </v>
      </c>
      <c r="Z107" s="17" t="str">
        <f aca="false">IF((E107="a"),H107," ")</f>
        <v> </v>
      </c>
      <c r="AA107" s="17" t="str">
        <f aca="false">IF((E107="g"),H107," ")</f>
        <v> </v>
      </c>
      <c r="AB107" s="17" t="str">
        <f aca="false">IF((E107="h"),H107," ")</f>
        <v> </v>
      </c>
      <c r="AC107" s="30" t="str">
        <f aca="false">IF((E107="v"),H107," ")</f>
        <v> </v>
      </c>
      <c r="AD107" s="30" t="str">
        <f aca="false">IF((E107="n"),H107," ")</f>
        <v> </v>
      </c>
      <c r="AE107" s="17" t="str">
        <f aca="false">IF((E107="f"),H107," ")</f>
        <v> </v>
      </c>
      <c r="AF107" s="17" t="str">
        <f aca="false">IF((E107="l"),H107," ")</f>
        <v> </v>
      </c>
      <c r="AG107" s="17" t="str">
        <f aca="false">IF((E107="y"),H107," ")</f>
        <v> </v>
      </c>
      <c r="AH107" s="17" t="str">
        <f aca="false">IF((E107="z"),H107," ")</f>
        <v> </v>
      </c>
      <c r="AI107" s="17" t="str">
        <f aca="false">IF((E107="fa"),H107," ")</f>
        <v> </v>
      </c>
      <c r="AJ107" s="17" t="str">
        <f aca="false">IF((E107="e"),H107," ")</f>
        <v> </v>
      </c>
    </row>
    <row r="108" customFormat="false" ht="12" hidden="false" customHeight="false" outlineLevel="0" collapsed="false">
      <c r="A108" s="28"/>
      <c r="E108" s="2" t="str">
        <f aca="false">IF((F108&lt;&gt;0),"Enter Letter"," ")</f>
        <v> </v>
      </c>
      <c r="F108" s="30"/>
      <c r="G108" s="6" t="str">
        <f aca="false">IF(F108&lt;&gt;0,F108*G$2/(100+G$2)," ")</f>
        <v> </v>
      </c>
      <c r="H108" s="6" t="str">
        <f aca="false">IF((F108&lt;&gt;0),F108-G108," ")</f>
        <v> </v>
      </c>
      <c r="I108" s="5"/>
      <c r="L108" s="7" t="str">
        <f aca="false">IF(F108&lt;&gt;0,F108-K108," ")</f>
        <v> </v>
      </c>
      <c r="M108" s="8" t="str">
        <f aca="false">IF((F108-K108)&lt;&gt;0,M$1-A108," ")</f>
        <v> </v>
      </c>
      <c r="N108" s="5"/>
      <c r="O108" s="17" t="str">
        <f aca="false">IF((E108="s"),H108," ")</f>
        <v> </v>
      </c>
      <c r="P108" s="17" t="str">
        <f aca="false">IF((E108="c"),H108," ")</f>
        <v> </v>
      </c>
      <c r="Q108" s="17" t="str">
        <f aca="false">IF((E108="o"),H108," ")</f>
        <v> </v>
      </c>
      <c r="R108" s="17" t="str">
        <f aca="false">IF((E108="d"),H108," ")</f>
        <v> </v>
      </c>
      <c r="S108" s="17" t="str">
        <f aca="false">IF((E108="w"),H108," ")</f>
        <v> </v>
      </c>
      <c r="T108" s="17" t="str">
        <f aca="false">IF((E108="r"),H108," ")</f>
        <v> </v>
      </c>
      <c r="U108" s="17" t="str">
        <f aca="false">IF((E108="p"),H108," ")</f>
        <v> </v>
      </c>
      <c r="V108" s="17" t="str">
        <f aca="false">IF((E108="t"),H108," ")</f>
        <v> </v>
      </c>
      <c r="W108" s="17" t="str">
        <f aca="false">IF((E108="q"),H108," ")</f>
        <v> </v>
      </c>
      <c r="X108" s="17" t="str">
        <f aca="false">IF((E108="m"),H108," ")</f>
        <v> </v>
      </c>
      <c r="Y108" s="17" t="str">
        <f aca="false">IF((E108="u"),H108," ")</f>
        <v> </v>
      </c>
      <c r="Z108" s="17" t="str">
        <f aca="false">IF((E108="a"),H108," ")</f>
        <v> </v>
      </c>
      <c r="AA108" s="17" t="str">
        <f aca="false">IF((E108="g"),H108," ")</f>
        <v> </v>
      </c>
      <c r="AB108" s="17" t="str">
        <f aca="false">IF((E108="h"),H108," ")</f>
        <v> </v>
      </c>
      <c r="AC108" s="30" t="str">
        <f aca="false">IF((E108="v"),H108," ")</f>
        <v> </v>
      </c>
      <c r="AD108" s="30" t="str">
        <f aca="false">IF((E108="n"),H108," ")</f>
        <v> </v>
      </c>
      <c r="AE108" s="17" t="str">
        <f aca="false">IF((E108="f"),H108," ")</f>
        <v> </v>
      </c>
      <c r="AF108" s="17" t="str">
        <f aca="false">IF((E108="l"),H108," ")</f>
        <v> </v>
      </c>
      <c r="AG108" s="17" t="str">
        <f aca="false">IF((E108="y"),H108," ")</f>
        <v> </v>
      </c>
      <c r="AH108" s="17" t="str">
        <f aca="false">IF((E108="z"),H108," ")</f>
        <v> </v>
      </c>
      <c r="AI108" s="17" t="str">
        <f aca="false">IF((E108="fa"),H108," ")</f>
        <v> </v>
      </c>
      <c r="AJ108" s="17" t="str">
        <f aca="false">IF((E108="e"),H108," ")</f>
        <v> </v>
      </c>
    </row>
    <row r="109" customFormat="false" ht="12" hidden="false" customHeight="false" outlineLevel="0" collapsed="false">
      <c r="A109" s="28"/>
      <c r="E109" s="2" t="str">
        <f aca="false">IF((F109&lt;&gt;0),"Enter Letter"," ")</f>
        <v> </v>
      </c>
      <c r="F109" s="30"/>
      <c r="G109" s="6" t="str">
        <f aca="false">IF(F109&lt;&gt;0,F109*G$2/(100+G$2)," ")</f>
        <v> </v>
      </c>
      <c r="H109" s="6" t="str">
        <f aca="false">IF((F109&lt;&gt;0),F109-G109," ")</f>
        <v> </v>
      </c>
      <c r="I109" s="5"/>
      <c r="L109" s="7" t="str">
        <f aca="false">IF(F109&lt;&gt;0,F109-K109," ")</f>
        <v> </v>
      </c>
      <c r="M109" s="8" t="str">
        <f aca="false">IF((F109-K109)&lt;&gt;0,M$1-A109," ")</f>
        <v> </v>
      </c>
      <c r="N109" s="5"/>
      <c r="O109" s="17" t="str">
        <f aca="false">IF((E109="s"),H109," ")</f>
        <v> </v>
      </c>
      <c r="P109" s="17" t="str">
        <f aca="false">IF((E109="c"),H109," ")</f>
        <v> </v>
      </c>
      <c r="Q109" s="17" t="str">
        <f aca="false">IF((E109="o"),H109," ")</f>
        <v> </v>
      </c>
      <c r="R109" s="17" t="str">
        <f aca="false">IF((E109="d"),H109," ")</f>
        <v> </v>
      </c>
      <c r="S109" s="17" t="str">
        <f aca="false">IF((E109="w"),H109," ")</f>
        <v> </v>
      </c>
      <c r="T109" s="17" t="str">
        <f aca="false">IF((E109="r"),H109," ")</f>
        <v> </v>
      </c>
      <c r="U109" s="17" t="str">
        <f aca="false">IF((E109="p"),H109," ")</f>
        <v> </v>
      </c>
      <c r="V109" s="17" t="str">
        <f aca="false">IF((E109="t"),H109," ")</f>
        <v> </v>
      </c>
      <c r="W109" s="17" t="str">
        <f aca="false">IF((E109="q"),H109," ")</f>
        <v> </v>
      </c>
      <c r="X109" s="17" t="str">
        <f aca="false">IF((E109="m"),H109," ")</f>
        <v> </v>
      </c>
      <c r="Y109" s="17" t="str">
        <f aca="false">IF((E109="u"),H109," ")</f>
        <v> </v>
      </c>
      <c r="Z109" s="17" t="str">
        <f aca="false">IF((E109="a"),H109," ")</f>
        <v> </v>
      </c>
      <c r="AA109" s="17" t="str">
        <f aca="false">IF((E109="g"),H109," ")</f>
        <v> </v>
      </c>
      <c r="AB109" s="17" t="str">
        <f aca="false">IF((E109="h"),H109," ")</f>
        <v> </v>
      </c>
      <c r="AC109" s="30" t="str">
        <f aca="false">IF((E109="v"),H109," ")</f>
        <v> </v>
      </c>
      <c r="AD109" s="30" t="str">
        <f aca="false">IF((E109="n"),H109," ")</f>
        <v> </v>
      </c>
      <c r="AE109" s="17" t="str">
        <f aca="false">IF((E109="f"),H109," ")</f>
        <v> </v>
      </c>
      <c r="AF109" s="17" t="str">
        <f aca="false">IF((E109="l"),H109," ")</f>
        <v> </v>
      </c>
      <c r="AG109" s="17" t="str">
        <f aca="false">IF((E109="y"),H109," ")</f>
        <v> </v>
      </c>
      <c r="AH109" s="17" t="str">
        <f aca="false">IF((E109="z"),H109," ")</f>
        <v> </v>
      </c>
      <c r="AI109" s="17" t="str">
        <f aca="false">IF((E109="fa"),H109," ")</f>
        <v> </v>
      </c>
      <c r="AJ109" s="17" t="str">
        <f aca="false">IF((E109="e"),H109," ")</f>
        <v> </v>
      </c>
    </row>
    <row r="110" customFormat="false" ht="12" hidden="false" customHeight="false" outlineLevel="0" collapsed="false">
      <c r="A110" s="28"/>
      <c r="E110" s="2" t="str">
        <f aca="false">IF((F110&lt;&gt;0),"Enter Letter"," ")</f>
        <v> </v>
      </c>
      <c r="F110" s="30"/>
      <c r="G110" s="6" t="str">
        <f aca="false">IF(F110&lt;&gt;0,F110*G$2/(100+G$2)," ")</f>
        <v> </v>
      </c>
      <c r="H110" s="6" t="str">
        <f aca="false">IF((F110&lt;&gt;0),F110-G110," ")</f>
        <v> </v>
      </c>
      <c r="I110" s="5"/>
      <c r="L110" s="7" t="str">
        <f aca="false">IF(F110&lt;&gt;0,F110-K110," ")</f>
        <v> </v>
      </c>
      <c r="M110" s="8" t="str">
        <f aca="false">IF((F110-K110)&lt;&gt;0,M$1-A110," ")</f>
        <v> </v>
      </c>
      <c r="N110" s="5"/>
      <c r="O110" s="17" t="str">
        <f aca="false">IF((E110="s"),H110," ")</f>
        <v> </v>
      </c>
      <c r="P110" s="17" t="str">
        <f aca="false">IF((E110="c"),H110," ")</f>
        <v> </v>
      </c>
      <c r="Q110" s="17" t="str">
        <f aca="false">IF((E110="o"),H110," ")</f>
        <v> </v>
      </c>
      <c r="R110" s="17" t="str">
        <f aca="false">IF((E110="d"),H110," ")</f>
        <v> </v>
      </c>
      <c r="S110" s="17" t="str">
        <f aca="false">IF((E110="w"),H110," ")</f>
        <v> </v>
      </c>
      <c r="T110" s="17" t="str">
        <f aca="false">IF((E110="r"),H110," ")</f>
        <v> </v>
      </c>
      <c r="U110" s="17" t="str">
        <f aca="false">IF((E110="p"),H110," ")</f>
        <v> </v>
      </c>
      <c r="V110" s="17" t="str">
        <f aca="false">IF((E110="t"),H110," ")</f>
        <v> </v>
      </c>
      <c r="W110" s="17" t="str">
        <f aca="false">IF((E110="q"),H110," ")</f>
        <v> </v>
      </c>
      <c r="X110" s="17" t="str">
        <f aca="false">IF((E110="m"),H110," ")</f>
        <v> </v>
      </c>
      <c r="Y110" s="17" t="str">
        <f aca="false">IF((E110="u"),H110," ")</f>
        <v> </v>
      </c>
      <c r="Z110" s="17" t="str">
        <f aca="false">IF((E110="a"),H110," ")</f>
        <v> </v>
      </c>
      <c r="AA110" s="17" t="str">
        <f aca="false">IF((E110="g"),H110," ")</f>
        <v> </v>
      </c>
      <c r="AB110" s="17" t="str">
        <f aca="false">IF((E110="h"),H110," ")</f>
        <v> </v>
      </c>
      <c r="AC110" s="30" t="str">
        <f aca="false">IF((E110="v"),H110," ")</f>
        <v> </v>
      </c>
      <c r="AD110" s="30" t="str">
        <f aca="false">IF((E110="n"),H110," ")</f>
        <v> </v>
      </c>
      <c r="AE110" s="17" t="str">
        <f aca="false">IF((E110="f"),H110," ")</f>
        <v> </v>
      </c>
      <c r="AF110" s="17" t="str">
        <f aca="false">IF((E110="l"),H110," ")</f>
        <v> </v>
      </c>
      <c r="AG110" s="17" t="str">
        <f aca="false">IF((E110="y"),H110," ")</f>
        <v> </v>
      </c>
      <c r="AH110" s="17" t="str">
        <f aca="false">IF((E110="z"),H110," ")</f>
        <v> </v>
      </c>
      <c r="AI110" s="17" t="str">
        <f aca="false">IF((E110="fa"),H110," ")</f>
        <v> </v>
      </c>
      <c r="AJ110" s="17" t="str">
        <f aca="false">IF((E110="e"),H110," ")</f>
        <v> </v>
      </c>
    </row>
    <row r="111" customFormat="false" ht="12" hidden="false" customHeight="false" outlineLevel="0" collapsed="false">
      <c r="A111" s="28"/>
      <c r="E111" s="2" t="str">
        <f aca="false">IF((F111&lt;&gt;0),"Enter Letter"," ")</f>
        <v> </v>
      </c>
      <c r="F111" s="30"/>
      <c r="G111" s="6" t="str">
        <f aca="false">IF(F111&lt;&gt;0,F111*G$2/(100+G$2)," ")</f>
        <v> </v>
      </c>
      <c r="H111" s="6" t="str">
        <f aca="false">IF((F111&lt;&gt;0),F111-G111," ")</f>
        <v> </v>
      </c>
      <c r="I111" s="5"/>
      <c r="L111" s="7" t="str">
        <f aca="false">IF(F111&lt;&gt;0,F111-K111," ")</f>
        <v> </v>
      </c>
      <c r="M111" s="8" t="str">
        <f aca="false">IF((F111-K111)&lt;&gt;0,M$1-A111," ")</f>
        <v> </v>
      </c>
      <c r="N111" s="5"/>
      <c r="O111" s="17" t="str">
        <f aca="false">IF((E111="s"),H111," ")</f>
        <v> </v>
      </c>
      <c r="P111" s="17" t="str">
        <f aca="false">IF((E111="c"),H111," ")</f>
        <v> </v>
      </c>
      <c r="Q111" s="17" t="str">
        <f aca="false">IF((E111="o"),H111," ")</f>
        <v> </v>
      </c>
      <c r="R111" s="17" t="str">
        <f aca="false">IF((E111="d"),H111," ")</f>
        <v> </v>
      </c>
      <c r="S111" s="17" t="str">
        <f aca="false">IF((E111="w"),H111," ")</f>
        <v> </v>
      </c>
      <c r="T111" s="17" t="str">
        <f aca="false">IF((E111="r"),H111," ")</f>
        <v> </v>
      </c>
      <c r="U111" s="17" t="str">
        <f aca="false">IF((E111="p"),H111," ")</f>
        <v> </v>
      </c>
      <c r="V111" s="17" t="str">
        <f aca="false">IF((E111="t"),H111," ")</f>
        <v> </v>
      </c>
      <c r="W111" s="17" t="str">
        <f aca="false">IF((E111="q"),H111," ")</f>
        <v> </v>
      </c>
      <c r="X111" s="17" t="str">
        <f aca="false">IF((E111="m"),H111," ")</f>
        <v> </v>
      </c>
      <c r="Y111" s="17" t="str">
        <f aca="false">IF((E111="u"),H111," ")</f>
        <v> </v>
      </c>
      <c r="Z111" s="17" t="str">
        <f aca="false">IF((E111="a"),H111," ")</f>
        <v> </v>
      </c>
      <c r="AA111" s="17" t="str">
        <f aca="false">IF((E111="g"),H111," ")</f>
        <v> </v>
      </c>
      <c r="AB111" s="17" t="str">
        <f aca="false">IF((E111="h"),H111," ")</f>
        <v> </v>
      </c>
      <c r="AC111" s="30" t="str">
        <f aca="false">IF((E111="v"),H111," ")</f>
        <v> </v>
      </c>
      <c r="AD111" s="30" t="str">
        <f aca="false">IF((E111="n"),H111," ")</f>
        <v> </v>
      </c>
      <c r="AE111" s="17" t="str">
        <f aca="false">IF((E111="f"),H111," ")</f>
        <v> </v>
      </c>
      <c r="AF111" s="17" t="str">
        <f aca="false">IF((E111="l"),H111," ")</f>
        <v> </v>
      </c>
      <c r="AG111" s="17" t="str">
        <f aca="false">IF((E111="y"),H111," ")</f>
        <v> </v>
      </c>
      <c r="AH111" s="17" t="str">
        <f aca="false">IF((E111="z"),H111," ")</f>
        <v> </v>
      </c>
      <c r="AI111" s="17" t="str">
        <f aca="false">IF((E111="fa"),H111," ")</f>
        <v> </v>
      </c>
      <c r="AJ111" s="17" t="str">
        <f aca="false">IF((E111="e"),H111," ")</f>
        <v> </v>
      </c>
    </row>
    <row r="112" customFormat="false" ht="12" hidden="false" customHeight="false" outlineLevel="0" collapsed="false">
      <c r="A112" s="28"/>
      <c r="E112" s="2" t="str">
        <f aca="false">IF((F112&lt;&gt;0),"Enter Letter"," ")</f>
        <v> </v>
      </c>
      <c r="F112" s="30"/>
      <c r="G112" s="6" t="str">
        <f aca="false">IF(F112&lt;&gt;0,F112*G$2/(100+G$2)," ")</f>
        <v> </v>
      </c>
      <c r="H112" s="6" t="str">
        <f aca="false">IF((F112&lt;&gt;0),F112-G112," ")</f>
        <v> </v>
      </c>
      <c r="I112" s="5"/>
      <c r="L112" s="7" t="str">
        <f aca="false">IF(F112&lt;&gt;0,F112-K112," ")</f>
        <v> </v>
      </c>
      <c r="M112" s="8" t="str">
        <f aca="false">IF((F112-K112)&lt;&gt;0,M$1-A112," ")</f>
        <v> </v>
      </c>
      <c r="N112" s="5"/>
      <c r="O112" s="17" t="str">
        <f aca="false">IF((E112="s"),H112," ")</f>
        <v> </v>
      </c>
      <c r="P112" s="17" t="str">
        <f aca="false">IF((E112="c"),H112," ")</f>
        <v> </v>
      </c>
      <c r="Q112" s="17" t="str">
        <f aca="false">IF((E112="o"),H112," ")</f>
        <v> </v>
      </c>
      <c r="R112" s="17" t="str">
        <f aca="false">IF((E112="d"),H112," ")</f>
        <v> </v>
      </c>
      <c r="S112" s="17" t="str">
        <f aca="false">IF((E112="w"),H112," ")</f>
        <v> </v>
      </c>
      <c r="T112" s="17" t="str">
        <f aca="false">IF((E112="r"),H112," ")</f>
        <v> </v>
      </c>
      <c r="U112" s="17" t="str">
        <f aca="false">IF((E112="p"),H112," ")</f>
        <v> </v>
      </c>
      <c r="V112" s="17" t="str">
        <f aca="false">IF((E112="t"),H112," ")</f>
        <v> </v>
      </c>
      <c r="W112" s="17" t="str">
        <f aca="false">IF((E112="q"),H112," ")</f>
        <v> </v>
      </c>
      <c r="X112" s="17" t="str">
        <f aca="false">IF((E112="m"),H112," ")</f>
        <v> </v>
      </c>
      <c r="Y112" s="17" t="str">
        <f aca="false">IF((E112="u"),H112," ")</f>
        <v> </v>
      </c>
      <c r="Z112" s="17" t="str">
        <f aca="false">IF((E112="a"),H112," ")</f>
        <v> </v>
      </c>
      <c r="AA112" s="17" t="str">
        <f aca="false">IF((E112="g"),H112," ")</f>
        <v> </v>
      </c>
      <c r="AB112" s="17" t="str">
        <f aca="false">IF((E112="h"),H112," ")</f>
        <v> </v>
      </c>
      <c r="AC112" s="30" t="str">
        <f aca="false">IF((E112="v"),H112," ")</f>
        <v> </v>
      </c>
      <c r="AD112" s="30" t="str">
        <f aca="false">IF((E112="n"),H112," ")</f>
        <v> </v>
      </c>
      <c r="AE112" s="17" t="str">
        <f aca="false">IF((E112="f"),H112," ")</f>
        <v> </v>
      </c>
      <c r="AF112" s="17" t="str">
        <f aca="false">IF((E112="l"),H112," ")</f>
        <v> </v>
      </c>
      <c r="AG112" s="17" t="str">
        <f aca="false">IF((E112="y"),H112," ")</f>
        <v> </v>
      </c>
      <c r="AH112" s="17" t="str">
        <f aca="false">IF((E112="z"),H112," ")</f>
        <v> </v>
      </c>
      <c r="AI112" s="17" t="str">
        <f aca="false">IF((E112="fa"),H112," ")</f>
        <v> </v>
      </c>
      <c r="AJ112" s="17" t="str">
        <f aca="false">IF((E112="e"),H112," ")</f>
        <v> </v>
      </c>
    </row>
    <row r="113" customFormat="false" ht="12" hidden="false" customHeight="false" outlineLevel="0" collapsed="false">
      <c r="A113" s="28"/>
      <c r="E113" s="2" t="str">
        <f aca="false">IF((F113&lt;&gt;0),"Enter Letter"," ")</f>
        <v> </v>
      </c>
      <c r="F113" s="30"/>
      <c r="G113" s="6" t="str">
        <f aca="false">IF(F113&lt;&gt;0,F113*G$2/(100+G$2)," ")</f>
        <v> </v>
      </c>
      <c r="H113" s="6" t="str">
        <f aca="false">IF((F113&lt;&gt;0),F113-G113," ")</f>
        <v> </v>
      </c>
      <c r="I113" s="5"/>
      <c r="L113" s="7" t="str">
        <f aca="false">IF(F113&lt;&gt;0,F113-K113," ")</f>
        <v> </v>
      </c>
      <c r="M113" s="8" t="str">
        <f aca="false">IF((F113-K113)&lt;&gt;0,M$1-A113," ")</f>
        <v> </v>
      </c>
      <c r="N113" s="5"/>
      <c r="O113" s="17" t="str">
        <f aca="false">IF((E113="s"),H113," ")</f>
        <v> </v>
      </c>
      <c r="P113" s="17" t="str">
        <f aca="false">IF((E113="c"),H113," ")</f>
        <v> </v>
      </c>
      <c r="Q113" s="17" t="str">
        <f aca="false">IF((E113="o"),H113," ")</f>
        <v> </v>
      </c>
      <c r="R113" s="17" t="str">
        <f aca="false">IF((E113="d"),H113," ")</f>
        <v> </v>
      </c>
      <c r="S113" s="17" t="str">
        <f aca="false">IF((E113="w"),H113," ")</f>
        <v> </v>
      </c>
      <c r="T113" s="17" t="str">
        <f aca="false">IF((E113="r"),H113," ")</f>
        <v> </v>
      </c>
      <c r="U113" s="17" t="str">
        <f aca="false">IF((E113="p"),H113," ")</f>
        <v> </v>
      </c>
      <c r="V113" s="17" t="str">
        <f aca="false">IF((E113="t"),H113," ")</f>
        <v> </v>
      </c>
      <c r="W113" s="17" t="str">
        <f aca="false">IF((E113="q"),H113," ")</f>
        <v> </v>
      </c>
      <c r="X113" s="17" t="str">
        <f aca="false">IF((E113="m"),H113," ")</f>
        <v> </v>
      </c>
      <c r="Y113" s="17" t="str">
        <f aca="false">IF((E113="u"),H113," ")</f>
        <v> </v>
      </c>
      <c r="Z113" s="17" t="str">
        <f aca="false">IF((E113="a"),H113," ")</f>
        <v> </v>
      </c>
      <c r="AA113" s="17" t="str">
        <f aca="false">IF((E113="g"),H113," ")</f>
        <v> </v>
      </c>
      <c r="AB113" s="17" t="str">
        <f aca="false">IF((E113="h"),H113," ")</f>
        <v> </v>
      </c>
      <c r="AC113" s="30" t="str">
        <f aca="false">IF((E113="v"),H113," ")</f>
        <v> </v>
      </c>
      <c r="AD113" s="30" t="str">
        <f aca="false">IF((E113="n"),H113," ")</f>
        <v> </v>
      </c>
      <c r="AE113" s="17" t="str">
        <f aca="false">IF((E113="f"),H113," ")</f>
        <v> </v>
      </c>
      <c r="AF113" s="17" t="str">
        <f aca="false">IF((E113="l"),H113," ")</f>
        <v> </v>
      </c>
      <c r="AG113" s="17" t="str">
        <f aca="false">IF((E113="y"),H113," ")</f>
        <v> </v>
      </c>
      <c r="AH113" s="17" t="str">
        <f aca="false">IF((E113="z"),H113," ")</f>
        <v> </v>
      </c>
      <c r="AI113" s="17" t="str">
        <f aca="false">IF((E113="fa"),H113," ")</f>
        <v> </v>
      </c>
      <c r="AJ113" s="17" t="str">
        <f aca="false">IF((E113="e"),H113," ")</f>
        <v> </v>
      </c>
    </row>
    <row r="114" customFormat="false" ht="12" hidden="false" customHeight="false" outlineLevel="0" collapsed="false">
      <c r="A114" s="28"/>
      <c r="E114" s="2" t="str">
        <f aca="false">IF((F114&lt;&gt;0),"Enter Letter"," ")</f>
        <v> </v>
      </c>
      <c r="F114" s="30"/>
      <c r="G114" s="6" t="str">
        <f aca="false">IF(F114&lt;&gt;0,F114*G$2/(100+G$2)," ")</f>
        <v> </v>
      </c>
      <c r="H114" s="6" t="str">
        <f aca="false">IF((F114&lt;&gt;0),F114-G114," ")</f>
        <v> </v>
      </c>
      <c r="I114" s="5"/>
      <c r="L114" s="7" t="str">
        <f aca="false">IF(F114&lt;&gt;0,F114-K114," ")</f>
        <v> </v>
      </c>
      <c r="M114" s="8" t="str">
        <f aca="false">IF((F114-K114)&lt;&gt;0,M$1-A114," ")</f>
        <v> </v>
      </c>
      <c r="N114" s="5"/>
      <c r="O114" s="17" t="str">
        <f aca="false">IF((E114="s"),H114," ")</f>
        <v> </v>
      </c>
      <c r="P114" s="17" t="str">
        <f aca="false">IF((E114="c"),H114," ")</f>
        <v> </v>
      </c>
      <c r="Q114" s="17" t="str">
        <f aca="false">IF((E114="o"),H114," ")</f>
        <v> </v>
      </c>
      <c r="R114" s="17" t="str">
        <f aca="false">IF((E114="d"),H114," ")</f>
        <v> </v>
      </c>
      <c r="S114" s="17" t="str">
        <f aca="false">IF((E114="w"),H114," ")</f>
        <v> </v>
      </c>
      <c r="T114" s="17" t="str">
        <f aca="false">IF((E114="r"),H114," ")</f>
        <v> </v>
      </c>
      <c r="U114" s="17" t="str">
        <f aca="false">IF((E114="p"),H114," ")</f>
        <v> </v>
      </c>
      <c r="V114" s="17" t="str">
        <f aca="false">IF((E114="t"),H114," ")</f>
        <v> </v>
      </c>
      <c r="W114" s="17" t="str">
        <f aca="false">IF((E114="q"),H114," ")</f>
        <v> </v>
      </c>
      <c r="X114" s="17" t="str">
        <f aca="false">IF((E114="m"),H114," ")</f>
        <v> </v>
      </c>
      <c r="Y114" s="17" t="str">
        <f aca="false">IF((E114="u"),H114," ")</f>
        <v> </v>
      </c>
      <c r="Z114" s="17" t="str">
        <f aca="false">IF((E114="a"),H114," ")</f>
        <v> </v>
      </c>
      <c r="AA114" s="17" t="str">
        <f aca="false">IF((E114="g"),H114," ")</f>
        <v> </v>
      </c>
      <c r="AB114" s="17" t="str">
        <f aca="false">IF((E114="h"),H114," ")</f>
        <v> </v>
      </c>
      <c r="AC114" s="30" t="str">
        <f aca="false">IF((E114="v"),H114," ")</f>
        <v> </v>
      </c>
      <c r="AD114" s="30" t="str">
        <f aca="false">IF((E114="n"),H114," ")</f>
        <v> </v>
      </c>
      <c r="AE114" s="17" t="str">
        <f aca="false">IF((E114="f"),H114," ")</f>
        <v> </v>
      </c>
      <c r="AF114" s="17" t="str">
        <f aca="false">IF((E114="l"),H114," ")</f>
        <v> </v>
      </c>
      <c r="AG114" s="17" t="str">
        <f aca="false">IF((E114="y"),H114," ")</f>
        <v> </v>
      </c>
      <c r="AH114" s="17" t="str">
        <f aca="false">IF((E114="z"),H114," ")</f>
        <v> </v>
      </c>
      <c r="AI114" s="17" t="str">
        <f aca="false">IF((E114="fa"),H114," ")</f>
        <v> </v>
      </c>
      <c r="AJ114" s="17" t="str">
        <f aca="false">IF((E114="e"),H114," ")</f>
        <v> </v>
      </c>
    </row>
    <row r="115" customFormat="false" ht="12" hidden="false" customHeight="false" outlineLevel="0" collapsed="false">
      <c r="A115" s="28"/>
      <c r="E115" s="2" t="str">
        <f aca="false">IF((F115&lt;&gt;0),"Enter Letter"," ")</f>
        <v> </v>
      </c>
      <c r="F115" s="30"/>
      <c r="G115" s="6" t="str">
        <f aca="false">IF(F115&lt;&gt;0,F115*G$2/(100+G$2)," ")</f>
        <v> </v>
      </c>
      <c r="H115" s="6" t="str">
        <f aca="false">IF((F115&lt;&gt;0),F115-G115," ")</f>
        <v> </v>
      </c>
      <c r="I115" s="5"/>
      <c r="L115" s="7" t="str">
        <f aca="false">IF(F115&lt;&gt;0,F115-K115," ")</f>
        <v> </v>
      </c>
      <c r="M115" s="8" t="str">
        <f aca="false">IF((F115-K115)&lt;&gt;0,M$1-A115," ")</f>
        <v> </v>
      </c>
      <c r="N115" s="5"/>
      <c r="O115" s="17" t="str">
        <f aca="false">IF((E115="s"),H115," ")</f>
        <v> </v>
      </c>
      <c r="P115" s="17" t="str">
        <f aca="false">IF((E115="c"),H115," ")</f>
        <v> </v>
      </c>
      <c r="Q115" s="17" t="str">
        <f aca="false">IF((E115="o"),H115," ")</f>
        <v> </v>
      </c>
      <c r="R115" s="17" t="str">
        <f aca="false">IF((E115="d"),H115," ")</f>
        <v> </v>
      </c>
      <c r="S115" s="17" t="str">
        <f aca="false">IF((E115="w"),H115," ")</f>
        <v> </v>
      </c>
      <c r="T115" s="17" t="str">
        <f aca="false">IF((E115="r"),H115," ")</f>
        <v> </v>
      </c>
      <c r="U115" s="17" t="str">
        <f aca="false">IF((E115="p"),H115," ")</f>
        <v> </v>
      </c>
      <c r="V115" s="17" t="str">
        <f aca="false">IF((E115="t"),H115," ")</f>
        <v> </v>
      </c>
      <c r="W115" s="17" t="str">
        <f aca="false">IF((E115="q"),H115," ")</f>
        <v> </v>
      </c>
      <c r="X115" s="17" t="str">
        <f aca="false">IF((E115="m"),H115," ")</f>
        <v> </v>
      </c>
      <c r="Y115" s="17" t="str">
        <f aca="false">IF((E115="u"),H115," ")</f>
        <v> </v>
      </c>
      <c r="Z115" s="17" t="str">
        <f aca="false">IF((E115="a"),H115," ")</f>
        <v> </v>
      </c>
      <c r="AA115" s="17" t="str">
        <f aca="false">IF((E115="g"),H115," ")</f>
        <v> </v>
      </c>
      <c r="AB115" s="17" t="str">
        <f aca="false">IF((E115="h"),H115," ")</f>
        <v> </v>
      </c>
      <c r="AC115" s="30" t="str">
        <f aca="false">IF((E115="v"),H115," ")</f>
        <v> </v>
      </c>
      <c r="AD115" s="30" t="str">
        <f aca="false">IF((E115="n"),H115," ")</f>
        <v> </v>
      </c>
      <c r="AE115" s="17" t="str">
        <f aca="false">IF((E115="f"),H115," ")</f>
        <v> </v>
      </c>
      <c r="AF115" s="17" t="str">
        <f aca="false">IF((E115="l"),H115," ")</f>
        <v> </v>
      </c>
      <c r="AG115" s="17" t="str">
        <f aca="false">IF((E115="y"),H115," ")</f>
        <v> </v>
      </c>
      <c r="AH115" s="17" t="str">
        <f aca="false">IF((E115="z"),H115," ")</f>
        <v> </v>
      </c>
      <c r="AI115" s="17" t="str">
        <f aca="false">IF((E115="fa"),H115," ")</f>
        <v> </v>
      </c>
      <c r="AJ115" s="17" t="str">
        <f aca="false">IF((E115="e"),H115," ")</f>
        <v> </v>
      </c>
    </row>
    <row r="116" customFormat="false" ht="12" hidden="false" customHeight="false" outlineLevel="0" collapsed="false">
      <c r="A116" s="28"/>
      <c r="E116" s="2" t="str">
        <f aca="false">IF((F116&lt;&gt;0),"Enter Letter"," ")</f>
        <v> </v>
      </c>
      <c r="F116" s="30"/>
      <c r="G116" s="6" t="str">
        <f aca="false">IF(F116&lt;&gt;0,F116*G$2/(100+G$2)," ")</f>
        <v> </v>
      </c>
      <c r="H116" s="6" t="str">
        <f aca="false">IF((F116&lt;&gt;0),F116-G116," ")</f>
        <v> </v>
      </c>
      <c r="I116" s="5"/>
      <c r="L116" s="7" t="str">
        <f aca="false">IF(F116&lt;&gt;0,F116-K116," ")</f>
        <v> </v>
      </c>
      <c r="M116" s="8" t="str">
        <f aca="false">IF((F116-K116)&lt;&gt;0,M$1-A116," ")</f>
        <v> </v>
      </c>
      <c r="N116" s="5"/>
      <c r="O116" s="17" t="str">
        <f aca="false">IF((E116="s"),H116," ")</f>
        <v> </v>
      </c>
      <c r="P116" s="17" t="str">
        <f aca="false">IF((E116="c"),H116," ")</f>
        <v> </v>
      </c>
      <c r="Q116" s="17" t="str">
        <f aca="false">IF((E116="o"),H116," ")</f>
        <v> </v>
      </c>
      <c r="R116" s="17" t="str">
        <f aca="false">IF((E116="d"),H116," ")</f>
        <v> </v>
      </c>
      <c r="S116" s="17" t="str">
        <f aca="false">IF((E116="w"),H116," ")</f>
        <v> </v>
      </c>
      <c r="T116" s="17" t="str">
        <f aca="false">IF((E116="r"),H116," ")</f>
        <v> </v>
      </c>
      <c r="U116" s="17" t="str">
        <f aca="false">IF((E116="p"),H116," ")</f>
        <v> </v>
      </c>
      <c r="V116" s="17" t="str">
        <f aca="false">IF((E116="t"),H116," ")</f>
        <v> </v>
      </c>
      <c r="W116" s="17" t="str">
        <f aca="false">IF((E116="q"),H116," ")</f>
        <v> </v>
      </c>
      <c r="X116" s="17" t="str">
        <f aca="false">IF((E116="m"),H116," ")</f>
        <v> </v>
      </c>
      <c r="Y116" s="17" t="str">
        <f aca="false">IF((E116="u"),H116," ")</f>
        <v> </v>
      </c>
      <c r="Z116" s="17" t="str">
        <f aca="false">IF((E116="a"),H116," ")</f>
        <v> </v>
      </c>
      <c r="AA116" s="17" t="str">
        <f aca="false">IF((E116="g"),H116," ")</f>
        <v> </v>
      </c>
      <c r="AB116" s="17" t="str">
        <f aca="false">IF((E116="h"),H116," ")</f>
        <v> </v>
      </c>
      <c r="AC116" s="30" t="str">
        <f aca="false">IF((E116="v"),H116," ")</f>
        <v> </v>
      </c>
      <c r="AD116" s="30" t="str">
        <f aca="false">IF((E116="n"),H116," ")</f>
        <v> </v>
      </c>
      <c r="AE116" s="17" t="str">
        <f aca="false">IF((E116="f"),H116," ")</f>
        <v> </v>
      </c>
      <c r="AF116" s="17" t="str">
        <f aca="false">IF((E116="l"),H116," ")</f>
        <v> </v>
      </c>
      <c r="AG116" s="17" t="str">
        <f aca="false">IF((E116="y"),H116," ")</f>
        <v> </v>
      </c>
      <c r="AH116" s="17" t="str">
        <f aca="false">IF((E116="z"),H116," ")</f>
        <v> </v>
      </c>
      <c r="AI116" s="17" t="str">
        <f aca="false">IF((E116="fa"),H116," ")</f>
        <v> </v>
      </c>
      <c r="AJ116" s="17" t="str">
        <f aca="false">IF((E116="e"),H116," ")</f>
        <v> </v>
      </c>
    </row>
    <row r="117" customFormat="false" ht="12" hidden="false" customHeight="false" outlineLevel="0" collapsed="false">
      <c r="A117" s="28"/>
      <c r="E117" s="2" t="str">
        <f aca="false">IF((F117&lt;&gt;0),"Enter Letter"," ")</f>
        <v> </v>
      </c>
      <c r="F117" s="30"/>
      <c r="G117" s="6" t="str">
        <f aca="false">IF(F117&lt;&gt;0,F117*G$2/(100+G$2)," ")</f>
        <v> </v>
      </c>
      <c r="H117" s="6" t="str">
        <f aca="false">IF((F117&lt;&gt;0),F117-G117," ")</f>
        <v> </v>
      </c>
      <c r="I117" s="5"/>
      <c r="L117" s="7" t="str">
        <f aca="false">IF(F117&lt;&gt;0,F117-K117," ")</f>
        <v> </v>
      </c>
      <c r="M117" s="8" t="str">
        <f aca="false">IF((F117-K117)&lt;&gt;0,M$1-A117," ")</f>
        <v> </v>
      </c>
      <c r="N117" s="5"/>
      <c r="O117" s="17" t="str">
        <f aca="false">IF((E117="s"),H117," ")</f>
        <v> </v>
      </c>
      <c r="P117" s="17" t="str">
        <f aca="false">IF((E117="c"),H117," ")</f>
        <v> </v>
      </c>
      <c r="Q117" s="17" t="str">
        <f aca="false">IF((E117="o"),H117," ")</f>
        <v> </v>
      </c>
      <c r="R117" s="17" t="str">
        <f aca="false">IF((E117="d"),H117," ")</f>
        <v> </v>
      </c>
      <c r="S117" s="17" t="str">
        <f aca="false">IF((E117="w"),H117," ")</f>
        <v> </v>
      </c>
      <c r="T117" s="17" t="str">
        <f aca="false">IF((E117="r"),H117," ")</f>
        <v> </v>
      </c>
      <c r="U117" s="17" t="str">
        <f aca="false">IF((E117="p"),H117," ")</f>
        <v> </v>
      </c>
      <c r="V117" s="17" t="str">
        <f aca="false">IF((E117="t"),H117," ")</f>
        <v> </v>
      </c>
      <c r="W117" s="17" t="str">
        <f aca="false">IF((E117="q"),H117," ")</f>
        <v> </v>
      </c>
      <c r="X117" s="17" t="str">
        <f aca="false">IF((E117="m"),H117," ")</f>
        <v> </v>
      </c>
      <c r="Y117" s="17" t="str">
        <f aca="false">IF((E117="u"),H117," ")</f>
        <v> </v>
      </c>
      <c r="Z117" s="17" t="str">
        <f aca="false">IF((E117="a"),H117," ")</f>
        <v> </v>
      </c>
      <c r="AA117" s="17" t="str">
        <f aca="false">IF((E117="g"),H117," ")</f>
        <v> </v>
      </c>
      <c r="AB117" s="17" t="str">
        <f aca="false">IF((E117="h"),H117," ")</f>
        <v> </v>
      </c>
      <c r="AC117" s="30" t="str">
        <f aca="false">IF((E117="v"),H117," ")</f>
        <v> </v>
      </c>
      <c r="AD117" s="30" t="str">
        <f aca="false">IF((E117="n"),H117," ")</f>
        <v> </v>
      </c>
      <c r="AE117" s="17" t="str">
        <f aca="false">IF((E117="f"),H117," ")</f>
        <v> </v>
      </c>
      <c r="AF117" s="17" t="str">
        <f aca="false">IF((E117="l"),H117," ")</f>
        <v> </v>
      </c>
      <c r="AG117" s="17" t="str">
        <f aca="false">IF((E117="y"),H117," ")</f>
        <v> </v>
      </c>
      <c r="AH117" s="17" t="str">
        <f aca="false">IF((E117="z"),H117," ")</f>
        <v> </v>
      </c>
      <c r="AI117" s="17" t="str">
        <f aca="false">IF((E117="fa"),H117," ")</f>
        <v> </v>
      </c>
      <c r="AJ117" s="17" t="str">
        <f aca="false">IF((E117="e"),H117," ")</f>
        <v> </v>
      </c>
    </row>
    <row r="118" customFormat="false" ht="12" hidden="false" customHeight="false" outlineLevel="0" collapsed="false">
      <c r="A118" s="28"/>
      <c r="E118" s="2" t="str">
        <f aca="false">IF((F118&lt;&gt;0),"Enter Letter"," ")</f>
        <v> </v>
      </c>
      <c r="F118" s="30"/>
      <c r="G118" s="6" t="str">
        <f aca="false">IF(F118&lt;&gt;0,F118*G$2/(100+G$2)," ")</f>
        <v> </v>
      </c>
      <c r="H118" s="6" t="str">
        <f aca="false">IF((F118&lt;&gt;0),F118-G118," ")</f>
        <v> </v>
      </c>
      <c r="I118" s="5"/>
      <c r="L118" s="7" t="str">
        <f aca="false">IF(F118&lt;&gt;0,F118-K118," ")</f>
        <v> </v>
      </c>
      <c r="M118" s="8" t="str">
        <f aca="false">IF((F118-K118)&lt;&gt;0,M$1-A118," ")</f>
        <v> </v>
      </c>
      <c r="N118" s="5"/>
      <c r="O118" s="17" t="str">
        <f aca="false">IF((E118="s"),H118," ")</f>
        <v> </v>
      </c>
      <c r="P118" s="17" t="str">
        <f aca="false">IF((E118="c"),H118," ")</f>
        <v> </v>
      </c>
      <c r="Q118" s="17" t="str">
        <f aca="false">IF((E118="o"),H118," ")</f>
        <v> </v>
      </c>
      <c r="R118" s="17" t="str">
        <f aca="false">IF((E118="d"),H118," ")</f>
        <v> </v>
      </c>
      <c r="S118" s="17" t="str">
        <f aca="false">IF((E118="w"),H118," ")</f>
        <v> </v>
      </c>
      <c r="T118" s="17" t="str">
        <f aca="false">IF((E118="r"),H118," ")</f>
        <v> </v>
      </c>
      <c r="U118" s="17" t="str">
        <f aca="false">IF((E118="p"),H118," ")</f>
        <v> </v>
      </c>
      <c r="V118" s="17" t="str">
        <f aca="false">IF((E118="t"),H118," ")</f>
        <v> </v>
      </c>
      <c r="W118" s="17" t="str">
        <f aca="false">IF((E118="q"),H118," ")</f>
        <v> </v>
      </c>
      <c r="X118" s="17" t="str">
        <f aca="false">IF((E118="m"),H118," ")</f>
        <v> </v>
      </c>
      <c r="Y118" s="17" t="str">
        <f aca="false">IF((E118="u"),H118," ")</f>
        <v> </v>
      </c>
      <c r="Z118" s="17" t="str">
        <f aca="false">IF((E118="a"),H118," ")</f>
        <v> </v>
      </c>
      <c r="AA118" s="17" t="str">
        <f aca="false">IF((E118="g"),H118," ")</f>
        <v> </v>
      </c>
      <c r="AB118" s="17" t="str">
        <f aca="false">IF((E118="h"),H118," ")</f>
        <v> </v>
      </c>
      <c r="AC118" s="30" t="str">
        <f aca="false">IF((E118="v"),H118," ")</f>
        <v> </v>
      </c>
      <c r="AD118" s="30" t="str">
        <f aca="false">IF((E118="n"),H118," ")</f>
        <v> </v>
      </c>
      <c r="AE118" s="17" t="str">
        <f aca="false">IF((E118="f"),H118," ")</f>
        <v> </v>
      </c>
      <c r="AF118" s="17" t="str">
        <f aca="false">IF((E118="l"),H118," ")</f>
        <v> </v>
      </c>
      <c r="AG118" s="17" t="str">
        <f aca="false">IF((E118="y"),H118," ")</f>
        <v> </v>
      </c>
      <c r="AH118" s="17" t="str">
        <f aca="false">IF((E118="z"),H118," ")</f>
        <v> </v>
      </c>
      <c r="AI118" s="17" t="str">
        <f aca="false">IF((E118="fa"),H118," ")</f>
        <v> </v>
      </c>
      <c r="AJ118" s="17" t="str">
        <f aca="false">IF((E118="e"),H118," ")</f>
        <v> </v>
      </c>
    </row>
    <row r="119" customFormat="false" ht="12" hidden="false" customHeight="false" outlineLevel="0" collapsed="false">
      <c r="A119" s="28"/>
      <c r="E119" s="2" t="str">
        <f aca="false">IF((F119&lt;&gt;0),"Enter Letter"," ")</f>
        <v> </v>
      </c>
      <c r="F119" s="30"/>
      <c r="G119" s="6" t="str">
        <f aca="false">IF(F119&lt;&gt;0,F119*G$2/(100+G$2)," ")</f>
        <v> </v>
      </c>
      <c r="H119" s="6" t="str">
        <f aca="false">IF((F119&lt;&gt;0),F119-G119," ")</f>
        <v> </v>
      </c>
      <c r="I119" s="5"/>
      <c r="L119" s="7" t="str">
        <f aca="false">IF(F119&lt;&gt;0,F119-K119," ")</f>
        <v> </v>
      </c>
      <c r="M119" s="8" t="str">
        <f aca="false">IF((F119-K119)&lt;&gt;0,M$1-A119," ")</f>
        <v> </v>
      </c>
      <c r="N119" s="5"/>
      <c r="O119" s="17" t="str">
        <f aca="false">IF((E119="s"),H119," ")</f>
        <v> </v>
      </c>
      <c r="P119" s="17" t="str">
        <f aca="false">IF((E119="c"),H119," ")</f>
        <v> </v>
      </c>
      <c r="Q119" s="17" t="str">
        <f aca="false">IF((E119="o"),H119," ")</f>
        <v> </v>
      </c>
      <c r="R119" s="17" t="str">
        <f aca="false">IF((E119="d"),H119," ")</f>
        <v> </v>
      </c>
      <c r="S119" s="17" t="str">
        <f aca="false">IF((E119="w"),H119," ")</f>
        <v> </v>
      </c>
      <c r="T119" s="17" t="str">
        <f aca="false">IF((E119="r"),H119," ")</f>
        <v> </v>
      </c>
      <c r="U119" s="17" t="str">
        <f aca="false">IF((E119="p"),H119," ")</f>
        <v> </v>
      </c>
      <c r="V119" s="17" t="str">
        <f aca="false">IF((E119="t"),H119," ")</f>
        <v> </v>
      </c>
      <c r="W119" s="17" t="str">
        <f aca="false">IF((E119="q"),H119," ")</f>
        <v> </v>
      </c>
      <c r="X119" s="17" t="str">
        <f aca="false">IF((E119="m"),H119," ")</f>
        <v> </v>
      </c>
      <c r="Y119" s="17" t="str">
        <f aca="false">IF((E119="u"),H119," ")</f>
        <v> </v>
      </c>
      <c r="Z119" s="17" t="str">
        <f aca="false">IF((E119="a"),H119," ")</f>
        <v> </v>
      </c>
      <c r="AA119" s="17" t="str">
        <f aca="false">IF((E119="g"),H119," ")</f>
        <v> </v>
      </c>
      <c r="AB119" s="17" t="str">
        <f aca="false">IF((E119="h"),H119," ")</f>
        <v> </v>
      </c>
      <c r="AC119" s="30" t="str">
        <f aca="false">IF((E119="v"),H119," ")</f>
        <v> </v>
      </c>
      <c r="AD119" s="30" t="str">
        <f aca="false">IF((E119="n"),H119," ")</f>
        <v> </v>
      </c>
      <c r="AE119" s="17" t="str">
        <f aca="false">IF((E119="f"),H119," ")</f>
        <v> </v>
      </c>
      <c r="AF119" s="17" t="str">
        <f aca="false">IF((E119="l"),H119," ")</f>
        <v> </v>
      </c>
      <c r="AG119" s="17" t="str">
        <f aca="false">IF((E119="y"),H119," ")</f>
        <v> </v>
      </c>
      <c r="AH119" s="17" t="str">
        <f aca="false">IF((E119="z"),H119," ")</f>
        <v> </v>
      </c>
      <c r="AI119" s="17" t="str">
        <f aca="false">IF((E119="fa"),H119," ")</f>
        <v> </v>
      </c>
      <c r="AJ119" s="17" t="str">
        <f aca="false">IF((E119="e"),H119," ")</f>
        <v> </v>
      </c>
    </row>
    <row r="120" customFormat="false" ht="12" hidden="false" customHeight="false" outlineLevel="0" collapsed="false">
      <c r="A120" s="28"/>
      <c r="E120" s="2" t="str">
        <f aca="false">IF((F120&lt;&gt;0),"Enter Letter"," ")</f>
        <v> </v>
      </c>
      <c r="F120" s="30"/>
      <c r="G120" s="6" t="str">
        <f aca="false">IF(F120&lt;&gt;0,F120*G$2/(100+G$2)," ")</f>
        <v> </v>
      </c>
      <c r="H120" s="6" t="str">
        <f aca="false">IF((F120&lt;&gt;0),F120-G120," ")</f>
        <v> </v>
      </c>
      <c r="I120" s="5"/>
      <c r="L120" s="7" t="str">
        <f aca="false">IF(F120&lt;&gt;0,F120-K120," ")</f>
        <v> </v>
      </c>
      <c r="M120" s="8" t="str">
        <f aca="false">IF((F120-K120)&lt;&gt;0,M$1-A120," ")</f>
        <v> </v>
      </c>
      <c r="N120" s="5"/>
      <c r="O120" s="17" t="str">
        <f aca="false">IF((E120="s"),H120," ")</f>
        <v> </v>
      </c>
      <c r="P120" s="17" t="str">
        <f aca="false">IF((E120="c"),H120," ")</f>
        <v> </v>
      </c>
      <c r="Q120" s="17" t="str">
        <f aca="false">IF((E120="o"),H120," ")</f>
        <v> </v>
      </c>
      <c r="R120" s="17" t="str">
        <f aca="false">IF((E120="d"),H120," ")</f>
        <v> </v>
      </c>
      <c r="S120" s="17" t="str">
        <f aca="false">IF((E120="w"),H120," ")</f>
        <v> </v>
      </c>
      <c r="T120" s="17" t="str">
        <f aca="false">IF((E120="r"),H120," ")</f>
        <v> </v>
      </c>
      <c r="U120" s="17" t="str">
        <f aca="false">IF((E120="p"),H120," ")</f>
        <v> </v>
      </c>
      <c r="V120" s="17" t="str">
        <f aca="false">IF((E120="t"),H120," ")</f>
        <v> </v>
      </c>
      <c r="W120" s="17" t="str">
        <f aca="false">IF((E120="q"),H120," ")</f>
        <v> </v>
      </c>
      <c r="X120" s="17" t="str">
        <f aca="false">IF((E120="m"),H120," ")</f>
        <v> </v>
      </c>
      <c r="Y120" s="17" t="str">
        <f aca="false">IF((E120="u"),H120," ")</f>
        <v> </v>
      </c>
      <c r="Z120" s="17" t="str">
        <f aca="false">IF((E120="a"),H120," ")</f>
        <v> </v>
      </c>
      <c r="AA120" s="17" t="str">
        <f aca="false">IF((E120="g"),H120," ")</f>
        <v> </v>
      </c>
      <c r="AB120" s="17" t="str">
        <f aca="false">IF((E120="h"),H120," ")</f>
        <v> </v>
      </c>
      <c r="AC120" s="30" t="str">
        <f aca="false">IF((E120="v"),H120," ")</f>
        <v> </v>
      </c>
      <c r="AD120" s="30" t="str">
        <f aca="false">IF((E120="n"),H120," ")</f>
        <v> </v>
      </c>
      <c r="AE120" s="17" t="str">
        <f aca="false">IF((E120="f"),H120," ")</f>
        <v> </v>
      </c>
      <c r="AF120" s="17" t="str">
        <f aca="false">IF((E120="l"),H120," ")</f>
        <v> </v>
      </c>
      <c r="AG120" s="17" t="str">
        <f aca="false">IF((E120="y"),H120," ")</f>
        <v> </v>
      </c>
      <c r="AH120" s="17" t="str">
        <f aca="false">IF((E120="z"),H120," ")</f>
        <v> </v>
      </c>
      <c r="AI120" s="17" t="str">
        <f aca="false">IF((E120="fa"),H120," ")</f>
        <v> </v>
      </c>
      <c r="AJ120" s="17" t="str">
        <f aca="false">IF((E120="e"),H120," ")</f>
        <v> </v>
      </c>
    </row>
    <row r="121" customFormat="false" ht="12" hidden="false" customHeight="false" outlineLevel="0" collapsed="false">
      <c r="A121" s="28"/>
      <c r="E121" s="2" t="str">
        <f aca="false">IF((F121&lt;&gt;0),"Enter Letter"," ")</f>
        <v> </v>
      </c>
      <c r="F121" s="30"/>
      <c r="G121" s="6" t="str">
        <f aca="false">IF(F121&lt;&gt;0,F121*G$2/(100+G$2)," ")</f>
        <v> </v>
      </c>
      <c r="H121" s="6" t="str">
        <f aca="false">IF((F121&lt;&gt;0),F121-G121," ")</f>
        <v> </v>
      </c>
      <c r="I121" s="5"/>
      <c r="L121" s="7" t="str">
        <f aca="false">IF(F121&lt;&gt;0,F121-K121," ")</f>
        <v> </v>
      </c>
      <c r="M121" s="8" t="str">
        <f aca="false">IF((F121-K121)&lt;&gt;0,M$1-A121," ")</f>
        <v> </v>
      </c>
      <c r="N121" s="5"/>
      <c r="O121" s="17" t="str">
        <f aca="false">IF((E121="s"),H121," ")</f>
        <v> </v>
      </c>
      <c r="P121" s="17" t="str">
        <f aca="false">IF((E121="c"),H121," ")</f>
        <v> </v>
      </c>
      <c r="Q121" s="17" t="str">
        <f aca="false">IF((E121="o"),H121," ")</f>
        <v> </v>
      </c>
      <c r="R121" s="17" t="str">
        <f aca="false">IF((E121="d"),H121," ")</f>
        <v> </v>
      </c>
      <c r="S121" s="17" t="str">
        <f aca="false">IF((E121="w"),H121," ")</f>
        <v> </v>
      </c>
      <c r="T121" s="17" t="str">
        <f aca="false">IF((E121="r"),H121," ")</f>
        <v> </v>
      </c>
      <c r="U121" s="17" t="str">
        <f aca="false">IF((E121="p"),H121," ")</f>
        <v> </v>
      </c>
      <c r="V121" s="17" t="str">
        <f aca="false">IF((E121="t"),H121," ")</f>
        <v> </v>
      </c>
      <c r="W121" s="17" t="str">
        <f aca="false">IF((E121="q"),H121," ")</f>
        <v> </v>
      </c>
      <c r="X121" s="17" t="str">
        <f aca="false">IF((E121="m"),H121," ")</f>
        <v> </v>
      </c>
      <c r="Y121" s="17" t="str">
        <f aca="false">IF((E121="u"),H121," ")</f>
        <v> </v>
      </c>
      <c r="Z121" s="17" t="str">
        <f aca="false">IF((E121="a"),H121," ")</f>
        <v> </v>
      </c>
      <c r="AA121" s="17" t="str">
        <f aca="false">IF((E121="g"),H121," ")</f>
        <v> </v>
      </c>
      <c r="AB121" s="17" t="str">
        <f aca="false">IF((E121="h"),H121," ")</f>
        <v> </v>
      </c>
      <c r="AC121" s="30" t="str">
        <f aca="false">IF((E121="v"),H121," ")</f>
        <v> </v>
      </c>
      <c r="AD121" s="30" t="str">
        <f aca="false">IF((E121="n"),H121," ")</f>
        <v> </v>
      </c>
      <c r="AE121" s="17" t="str">
        <f aca="false">IF((E121="f"),H121," ")</f>
        <v> </v>
      </c>
      <c r="AF121" s="17" t="str">
        <f aca="false">IF((E121="l"),H121," ")</f>
        <v> </v>
      </c>
      <c r="AG121" s="17" t="str">
        <f aca="false">IF((E121="y"),H121," ")</f>
        <v> </v>
      </c>
      <c r="AH121" s="17" t="str">
        <f aca="false">IF((E121="z"),H121," ")</f>
        <v> </v>
      </c>
      <c r="AI121" s="17" t="str">
        <f aca="false">IF((E121="fa"),H121," ")</f>
        <v> </v>
      </c>
      <c r="AJ121" s="17" t="str">
        <f aca="false">IF((E121="e"),H121," ")</f>
        <v> </v>
      </c>
    </row>
    <row r="122" customFormat="false" ht="12" hidden="false" customHeight="false" outlineLevel="0" collapsed="false">
      <c r="A122" s="28"/>
      <c r="E122" s="2" t="str">
        <f aca="false">IF((F122&lt;&gt;0),"Enter Letter"," ")</f>
        <v> </v>
      </c>
      <c r="F122" s="30"/>
      <c r="G122" s="6" t="str">
        <f aca="false">IF(F122&lt;&gt;0,F122*G$2/(100+G$2)," ")</f>
        <v> </v>
      </c>
      <c r="H122" s="6" t="str">
        <f aca="false">IF((F122&lt;&gt;0),F122-G122," ")</f>
        <v> </v>
      </c>
      <c r="I122" s="5"/>
      <c r="L122" s="7" t="str">
        <f aca="false">IF(F122&lt;&gt;0,F122-K122," ")</f>
        <v> </v>
      </c>
      <c r="M122" s="8" t="str">
        <f aca="false">IF((F122-K122)&lt;&gt;0,M$1-A122," ")</f>
        <v> </v>
      </c>
      <c r="N122" s="5"/>
      <c r="O122" s="17" t="str">
        <f aca="false">IF((E122="s"),H122," ")</f>
        <v> </v>
      </c>
      <c r="P122" s="17" t="str">
        <f aca="false">IF((E122="c"),H122," ")</f>
        <v> </v>
      </c>
      <c r="Q122" s="17" t="str">
        <f aca="false">IF((E122="o"),H122," ")</f>
        <v> </v>
      </c>
      <c r="R122" s="17" t="str">
        <f aca="false">IF((E122="d"),H122," ")</f>
        <v> </v>
      </c>
      <c r="S122" s="17" t="str">
        <f aca="false">IF((E122="w"),H122," ")</f>
        <v> </v>
      </c>
      <c r="T122" s="17" t="str">
        <f aca="false">IF((E122="r"),H122," ")</f>
        <v> </v>
      </c>
      <c r="U122" s="17" t="str">
        <f aca="false">IF((E122="p"),H122," ")</f>
        <v> </v>
      </c>
      <c r="V122" s="17" t="str">
        <f aca="false">IF((E122="t"),H122," ")</f>
        <v> </v>
      </c>
      <c r="W122" s="17" t="str">
        <f aca="false">IF((E122="q"),H122," ")</f>
        <v> </v>
      </c>
      <c r="X122" s="17" t="str">
        <f aca="false">IF((E122="m"),H122," ")</f>
        <v> </v>
      </c>
      <c r="Y122" s="17" t="str">
        <f aca="false">IF((E122="u"),H122," ")</f>
        <v> </v>
      </c>
      <c r="Z122" s="17" t="str">
        <f aca="false">IF((E122="a"),H122," ")</f>
        <v> </v>
      </c>
      <c r="AA122" s="17" t="str">
        <f aca="false">IF((E122="g"),H122," ")</f>
        <v> </v>
      </c>
      <c r="AB122" s="17" t="str">
        <f aca="false">IF((E122="h"),H122," ")</f>
        <v> </v>
      </c>
      <c r="AC122" s="30" t="str">
        <f aca="false">IF((E122="v"),H122," ")</f>
        <v> </v>
      </c>
      <c r="AD122" s="30" t="str">
        <f aca="false">IF((E122="n"),H122," ")</f>
        <v> </v>
      </c>
      <c r="AE122" s="17" t="str">
        <f aca="false">IF((E122="f"),H122," ")</f>
        <v> </v>
      </c>
      <c r="AF122" s="17" t="str">
        <f aca="false">IF((E122="l"),H122," ")</f>
        <v> </v>
      </c>
      <c r="AG122" s="17" t="str">
        <f aca="false">IF((E122="y"),H122," ")</f>
        <v> </v>
      </c>
      <c r="AH122" s="17" t="str">
        <f aca="false">IF((E122="z"),H122," ")</f>
        <v> </v>
      </c>
      <c r="AI122" s="17" t="str">
        <f aca="false">IF((E122="fa"),H122," ")</f>
        <v> </v>
      </c>
      <c r="AJ122" s="17" t="str">
        <f aca="false">IF((E122="e"),H122," ")</f>
        <v> </v>
      </c>
    </row>
    <row r="123" customFormat="false" ht="12" hidden="false" customHeight="false" outlineLevel="0" collapsed="false">
      <c r="A123" s="28"/>
      <c r="E123" s="2" t="str">
        <f aca="false">IF((F123&lt;&gt;0),"Enter Letter"," ")</f>
        <v> </v>
      </c>
      <c r="F123" s="30"/>
      <c r="G123" s="6" t="str">
        <f aca="false">IF(F123&lt;&gt;0,F123*G$2/(100+G$2)," ")</f>
        <v> </v>
      </c>
      <c r="H123" s="6" t="str">
        <f aca="false">IF((F123&lt;&gt;0),F123-G123," ")</f>
        <v> </v>
      </c>
      <c r="I123" s="5"/>
      <c r="L123" s="7" t="str">
        <f aca="false">IF(F123&lt;&gt;0,F123-K123," ")</f>
        <v> </v>
      </c>
      <c r="M123" s="8" t="str">
        <f aca="false">IF((F123-K123)&lt;&gt;0,M$1-A123," ")</f>
        <v> </v>
      </c>
      <c r="N123" s="5"/>
      <c r="O123" s="17" t="str">
        <f aca="false">IF((E123="s"),H123," ")</f>
        <v> </v>
      </c>
      <c r="P123" s="17" t="str">
        <f aca="false">IF((E123="c"),H123," ")</f>
        <v> </v>
      </c>
      <c r="Q123" s="17" t="str">
        <f aca="false">IF((E123="o"),H123," ")</f>
        <v> </v>
      </c>
      <c r="R123" s="17" t="str">
        <f aca="false">IF((E123="d"),H123," ")</f>
        <v> </v>
      </c>
      <c r="S123" s="17" t="str">
        <f aca="false">IF((E123="w"),H123," ")</f>
        <v> </v>
      </c>
      <c r="T123" s="17" t="str">
        <f aca="false">IF((E123="r"),H123," ")</f>
        <v> </v>
      </c>
      <c r="U123" s="17" t="str">
        <f aca="false">IF((E123="p"),H123," ")</f>
        <v> </v>
      </c>
      <c r="V123" s="17" t="str">
        <f aca="false">IF((E123="t"),H123," ")</f>
        <v> </v>
      </c>
      <c r="W123" s="17" t="str">
        <f aca="false">IF((E123="q"),H123," ")</f>
        <v> </v>
      </c>
      <c r="X123" s="17" t="str">
        <f aca="false">IF((E123="m"),H123," ")</f>
        <v> </v>
      </c>
      <c r="Y123" s="17" t="str">
        <f aca="false">IF((E123="u"),H123," ")</f>
        <v> </v>
      </c>
      <c r="Z123" s="17" t="str">
        <f aca="false">IF((E123="a"),H123," ")</f>
        <v> </v>
      </c>
      <c r="AA123" s="17" t="str">
        <f aca="false">IF((E123="g"),H123," ")</f>
        <v> </v>
      </c>
      <c r="AB123" s="17" t="str">
        <f aca="false">IF((E123="h"),H123," ")</f>
        <v> </v>
      </c>
      <c r="AC123" s="30" t="str">
        <f aca="false">IF((E123="v"),H123," ")</f>
        <v> </v>
      </c>
      <c r="AD123" s="30" t="str">
        <f aca="false">IF((E123="n"),H123," ")</f>
        <v> </v>
      </c>
      <c r="AE123" s="17" t="str">
        <f aca="false">IF((E123="f"),H123," ")</f>
        <v> </v>
      </c>
      <c r="AF123" s="17" t="str">
        <f aca="false">IF((E123="l"),H123," ")</f>
        <v> </v>
      </c>
      <c r="AG123" s="17" t="str">
        <f aca="false">IF((E123="y"),H123," ")</f>
        <v> </v>
      </c>
      <c r="AH123" s="17" t="str">
        <f aca="false">IF((E123="z"),H123," ")</f>
        <v> </v>
      </c>
      <c r="AI123" s="17" t="str">
        <f aca="false">IF((E123="fa"),H123," ")</f>
        <v> </v>
      </c>
      <c r="AJ123" s="17" t="str">
        <f aca="false">IF((E123="e"),H123," ")</f>
        <v> </v>
      </c>
    </row>
    <row r="124" customFormat="false" ht="12" hidden="false" customHeight="false" outlineLevel="0" collapsed="false">
      <c r="A124" s="28"/>
      <c r="E124" s="2" t="str">
        <f aca="false">IF((F124&lt;&gt;0),"Enter Letter"," ")</f>
        <v> </v>
      </c>
      <c r="F124" s="30"/>
      <c r="G124" s="6" t="str">
        <f aca="false">IF(F124&lt;&gt;0,F124*G$2/(100+G$2)," ")</f>
        <v> </v>
      </c>
      <c r="H124" s="6" t="str">
        <f aca="false">IF((F124&lt;&gt;0),F124-G124," ")</f>
        <v> </v>
      </c>
      <c r="I124" s="5"/>
      <c r="L124" s="7" t="str">
        <f aca="false">IF(F124&lt;&gt;0,F124-K124," ")</f>
        <v> </v>
      </c>
      <c r="M124" s="8" t="str">
        <f aca="false">IF((F124-K124)&lt;&gt;0,M$1-A124," ")</f>
        <v> </v>
      </c>
      <c r="N124" s="5"/>
      <c r="O124" s="17" t="str">
        <f aca="false">IF((E124="s"),H124," ")</f>
        <v> </v>
      </c>
      <c r="P124" s="17" t="str">
        <f aca="false">IF((E124="c"),H124," ")</f>
        <v> </v>
      </c>
      <c r="Q124" s="17" t="str">
        <f aca="false">IF((E124="o"),H124," ")</f>
        <v> </v>
      </c>
      <c r="R124" s="17" t="str">
        <f aca="false">IF((E124="d"),H124," ")</f>
        <v> </v>
      </c>
      <c r="S124" s="17" t="str">
        <f aca="false">IF((E124="w"),H124," ")</f>
        <v> </v>
      </c>
      <c r="T124" s="17" t="str">
        <f aca="false">IF((E124="r"),H124," ")</f>
        <v> </v>
      </c>
      <c r="U124" s="17" t="str">
        <f aca="false">IF((E124="p"),H124," ")</f>
        <v> </v>
      </c>
      <c r="V124" s="17" t="str">
        <f aca="false">IF((E124="t"),H124," ")</f>
        <v> </v>
      </c>
      <c r="W124" s="17" t="str">
        <f aca="false">IF((E124="q"),H124," ")</f>
        <v> </v>
      </c>
      <c r="X124" s="17" t="str">
        <f aca="false">IF((E124="m"),H124," ")</f>
        <v> </v>
      </c>
      <c r="Y124" s="17" t="str">
        <f aca="false">IF((E124="u"),H124," ")</f>
        <v> </v>
      </c>
      <c r="Z124" s="17" t="str">
        <f aca="false">IF((E124="a"),H124," ")</f>
        <v> </v>
      </c>
      <c r="AA124" s="17" t="str">
        <f aca="false">IF((E124="g"),H124," ")</f>
        <v> </v>
      </c>
      <c r="AB124" s="17" t="str">
        <f aca="false">IF((E124="h"),H124," ")</f>
        <v> </v>
      </c>
      <c r="AC124" s="30" t="str">
        <f aca="false">IF((E124="v"),H124," ")</f>
        <v> </v>
      </c>
      <c r="AD124" s="30" t="str">
        <f aca="false">IF((E124="n"),H124," ")</f>
        <v> </v>
      </c>
      <c r="AE124" s="17" t="str">
        <f aca="false">IF((E124="f"),H124," ")</f>
        <v> </v>
      </c>
      <c r="AF124" s="17" t="str">
        <f aca="false">IF((E124="l"),H124," ")</f>
        <v> </v>
      </c>
      <c r="AG124" s="17" t="str">
        <f aca="false">IF((E124="y"),H124," ")</f>
        <v> </v>
      </c>
      <c r="AH124" s="17" t="str">
        <f aca="false">IF((E124="z"),H124," ")</f>
        <v> </v>
      </c>
      <c r="AI124" s="17" t="str">
        <f aca="false">IF((E124="fa"),H124," ")</f>
        <v> </v>
      </c>
      <c r="AJ124" s="17" t="str">
        <f aca="false">IF((E124="e"),H124," ")</f>
        <v> </v>
      </c>
    </row>
    <row r="125" customFormat="false" ht="12" hidden="false" customHeight="false" outlineLevel="0" collapsed="false">
      <c r="A125" s="28"/>
      <c r="E125" s="2" t="str">
        <f aca="false">IF((F125&lt;&gt;0),"Enter Letter"," ")</f>
        <v> </v>
      </c>
      <c r="F125" s="30"/>
      <c r="G125" s="6" t="str">
        <f aca="false">IF(F125&lt;&gt;0,F125*G$2/(100+G$2)," ")</f>
        <v> </v>
      </c>
      <c r="H125" s="6" t="str">
        <f aca="false">IF((F125&lt;&gt;0),F125-G125," ")</f>
        <v> </v>
      </c>
      <c r="I125" s="5"/>
      <c r="L125" s="7" t="str">
        <f aca="false">IF(F125&lt;&gt;0,F125-K125," ")</f>
        <v> </v>
      </c>
      <c r="M125" s="8" t="str">
        <f aca="false">IF((F125-K125)&lt;&gt;0,M$1-A125," ")</f>
        <v> </v>
      </c>
      <c r="N125" s="5"/>
      <c r="O125" s="17" t="str">
        <f aca="false">IF((E125="s"),H125," ")</f>
        <v> </v>
      </c>
      <c r="P125" s="17" t="str">
        <f aca="false">IF((E125="c"),H125," ")</f>
        <v> </v>
      </c>
      <c r="Q125" s="17" t="str">
        <f aca="false">IF((E125="o"),H125," ")</f>
        <v> </v>
      </c>
      <c r="R125" s="17" t="str">
        <f aca="false">IF((E125="d"),H125," ")</f>
        <v> </v>
      </c>
      <c r="S125" s="17" t="str">
        <f aca="false">IF((E125="w"),H125," ")</f>
        <v> </v>
      </c>
      <c r="T125" s="17" t="str">
        <f aca="false">IF((E125="r"),H125," ")</f>
        <v> </v>
      </c>
      <c r="U125" s="17" t="str">
        <f aca="false">IF((E125="p"),H125," ")</f>
        <v> </v>
      </c>
      <c r="V125" s="17" t="str">
        <f aca="false">IF((E125="t"),H125," ")</f>
        <v> </v>
      </c>
      <c r="W125" s="17" t="str">
        <f aca="false">IF((E125="q"),H125," ")</f>
        <v> </v>
      </c>
      <c r="X125" s="17" t="str">
        <f aca="false">IF((E125="m"),H125," ")</f>
        <v> </v>
      </c>
      <c r="Y125" s="17" t="str">
        <f aca="false">IF((E125="u"),H125," ")</f>
        <v> </v>
      </c>
      <c r="Z125" s="17" t="str">
        <f aca="false">IF((E125="a"),H125," ")</f>
        <v> </v>
      </c>
      <c r="AA125" s="17" t="str">
        <f aca="false">IF((E125="g"),H125," ")</f>
        <v> </v>
      </c>
      <c r="AB125" s="17" t="str">
        <f aca="false">IF((E125="h"),H125," ")</f>
        <v> </v>
      </c>
      <c r="AC125" s="30" t="str">
        <f aca="false">IF((E125="v"),H125," ")</f>
        <v> </v>
      </c>
      <c r="AD125" s="30" t="str">
        <f aca="false">IF((E125="n"),H125," ")</f>
        <v> </v>
      </c>
      <c r="AE125" s="17" t="str">
        <f aca="false">IF((E125="f"),H125," ")</f>
        <v> </v>
      </c>
      <c r="AF125" s="17" t="str">
        <f aca="false">IF((E125="l"),H125," ")</f>
        <v> </v>
      </c>
      <c r="AG125" s="17" t="str">
        <f aca="false">IF((E125="y"),H125," ")</f>
        <v> </v>
      </c>
      <c r="AH125" s="17" t="str">
        <f aca="false">IF((E125="z"),H125," ")</f>
        <v> </v>
      </c>
      <c r="AI125" s="17" t="str">
        <f aca="false">IF((E125="fa"),H125," ")</f>
        <v> </v>
      </c>
      <c r="AJ125" s="17" t="str">
        <f aca="false">IF((E125="e"),H125," ")</f>
        <v> </v>
      </c>
    </row>
    <row r="126" customFormat="false" ht="12" hidden="false" customHeight="false" outlineLevel="0" collapsed="false">
      <c r="A126" s="28"/>
      <c r="E126" s="2" t="str">
        <f aca="false">IF((F126&lt;&gt;0),"Enter Letter"," ")</f>
        <v> </v>
      </c>
      <c r="F126" s="30"/>
      <c r="G126" s="6" t="str">
        <f aca="false">IF(F126&lt;&gt;0,F126*G$2/(100+G$2)," ")</f>
        <v> </v>
      </c>
      <c r="H126" s="6" t="str">
        <f aca="false">IF((F126&lt;&gt;0),F126-G126," ")</f>
        <v> </v>
      </c>
      <c r="I126" s="5"/>
      <c r="L126" s="7" t="str">
        <f aca="false">IF(F126&lt;&gt;0,F126-K126," ")</f>
        <v> </v>
      </c>
      <c r="M126" s="8" t="str">
        <f aca="false">IF((F126-K126)&lt;&gt;0,M$1-A126," ")</f>
        <v> </v>
      </c>
      <c r="N126" s="5"/>
      <c r="O126" s="17" t="str">
        <f aca="false">IF((E126="s"),H126," ")</f>
        <v> </v>
      </c>
      <c r="P126" s="17" t="str">
        <f aca="false">IF((E126="c"),H126," ")</f>
        <v> </v>
      </c>
      <c r="Q126" s="17" t="str">
        <f aca="false">IF((E126="o"),H126," ")</f>
        <v> </v>
      </c>
      <c r="R126" s="17" t="str">
        <f aca="false">IF((E126="d"),H126," ")</f>
        <v> </v>
      </c>
      <c r="S126" s="17" t="str">
        <f aca="false">IF((E126="w"),H126," ")</f>
        <v> </v>
      </c>
      <c r="T126" s="17" t="str">
        <f aca="false">IF((E126="r"),H126," ")</f>
        <v> </v>
      </c>
      <c r="U126" s="17" t="str">
        <f aca="false">IF((E126="p"),H126," ")</f>
        <v> </v>
      </c>
      <c r="V126" s="17" t="str">
        <f aca="false">IF((E126="t"),H126," ")</f>
        <v> </v>
      </c>
      <c r="W126" s="17" t="str">
        <f aca="false">IF((E126="q"),H126," ")</f>
        <v> </v>
      </c>
      <c r="X126" s="17" t="str">
        <f aca="false">IF((E126="m"),H126," ")</f>
        <v> </v>
      </c>
      <c r="Y126" s="17" t="str">
        <f aca="false">IF((E126="u"),H126," ")</f>
        <v> </v>
      </c>
      <c r="Z126" s="17" t="str">
        <f aca="false">IF((E126="a"),H126," ")</f>
        <v> </v>
      </c>
      <c r="AA126" s="17" t="str">
        <f aca="false">IF((E126="g"),H126," ")</f>
        <v> </v>
      </c>
      <c r="AB126" s="17" t="str">
        <f aca="false">IF((E126="h"),H126," ")</f>
        <v> </v>
      </c>
      <c r="AC126" s="30" t="str">
        <f aca="false">IF((E126="v"),H126," ")</f>
        <v> </v>
      </c>
      <c r="AD126" s="30" t="str">
        <f aca="false">IF((E126="n"),H126," ")</f>
        <v> </v>
      </c>
      <c r="AE126" s="17" t="str">
        <f aca="false">IF((E126="f"),H126," ")</f>
        <v> </v>
      </c>
      <c r="AF126" s="17" t="str">
        <f aca="false">IF((E126="l"),H126," ")</f>
        <v> </v>
      </c>
      <c r="AG126" s="17" t="str">
        <f aca="false">IF((E126="y"),H126," ")</f>
        <v> </v>
      </c>
      <c r="AH126" s="17" t="str">
        <f aca="false">IF((E126="z"),H126," ")</f>
        <v> </v>
      </c>
      <c r="AI126" s="17" t="str">
        <f aca="false">IF((E126="fa"),H126," ")</f>
        <v> </v>
      </c>
      <c r="AJ126" s="17" t="str">
        <f aca="false">IF((E126="e"),H126," ")</f>
        <v> </v>
      </c>
    </row>
    <row r="127" customFormat="false" ht="12" hidden="false" customHeight="false" outlineLevel="0" collapsed="false">
      <c r="A127" s="28"/>
      <c r="E127" s="2" t="str">
        <f aca="false">IF((F127&lt;&gt;0),"Enter Letter"," ")</f>
        <v> </v>
      </c>
      <c r="F127" s="30"/>
      <c r="G127" s="6" t="str">
        <f aca="false">IF(F127&lt;&gt;0,F127*G$2/(100+G$2)," ")</f>
        <v> </v>
      </c>
      <c r="H127" s="6" t="str">
        <f aca="false">IF((F127&lt;&gt;0),F127-G127," ")</f>
        <v> </v>
      </c>
      <c r="I127" s="5"/>
      <c r="L127" s="7" t="str">
        <f aca="false">IF(F127&lt;&gt;0,F127-K127," ")</f>
        <v> </v>
      </c>
      <c r="M127" s="8" t="str">
        <f aca="false">IF((F127-K127)&lt;&gt;0,M$1-A127," ")</f>
        <v> </v>
      </c>
      <c r="N127" s="5"/>
      <c r="O127" s="17" t="str">
        <f aca="false">IF((E127="s"),H127," ")</f>
        <v> </v>
      </c>
      <c r="P127" s="17" t="str">
        <f aca="false">IF((E127="c"),H127," ")</f>
        <v> </v>
      </c>
      <c r="Q127" s="17" t="str">
        <f aca="false">IF((E127="o"),H127," ")</f>
        <v> </v>
      </c>
      <c r="R127" s="17" t="str">
        <f aca="false">IF((E127="d"),H127," ")</f>
        <v> </v>
      </c>
      <c r="S127" s="17" t="str">
        <f aca="false">IF((E127="w"),H127," ")</f>
        <v> </v>
      </c>
      <c r="T127" s="17" t="str">
        <f aca="false">IF((E127="r"),H127," ")</f>
        <v> </v>
      </c>
      <c r="U127" s="17" t="str">
        <f aca="false">IF((E127="p"),H127," ")</f>
        <v> </v>
      </c>
      <c r="V127" s="17" t="str">
        <f aca="false">IF((E127="t"),H127," ")</f>
        <v> </v>
      </c>
      <c r="W127" s="17" t="str">
        <f aca="false">IF((E127="q"),H127," ")</f>
        <v> </v>
      </c>
      <c r="X127" s="17" t="str">
        <f aca="false">IF((E127="m"),H127," ")</f>
        <v> </v>
      </c>
      <c r="Y127" s="17" t="str">
        <f aca="false">IF((E127="u"),H127," ")</f>
        <v> </v>
      </c>
      <c r="Z127" s="17" t="str">
        <f aca="false">IF((E127="a"),H127," ")</f>
        <v> </v>
      </c>
      <c r="AA127" s="17" t="str">
        <f aca="false">IF((E127="g"),H127," ")</f>
        <v> </v>
      </c>
      <c r="AB127" s="17" t="str">
        <f aca="false">IF((E127="h"),H127," ")</f>
        <v> </v>
      </c>
      <c r="AC127" s="30" t="str">
        <f aca="false">IF((E127="v"),H127," ")</f>
        <v> </v>
      </c>
      <c r="AD127" s="30" t="str">
        <f aca="false">IF((E127="n"),H127," ")</f>
        <v> </v>
      </c>
      <c r="AE127" s="17" t="str">
        <f aca="false">IF((E127="f"),H127," ")</f>
        <v> </v>
      </c>
      <c r="AF127" s="17" t="str">
        <f aca="false">IF((E127="l"),H127," ")</f>
        <v> </v>
      </c>
      <c r="AG127" s="17" t="str">
        <f aca="false">IF((E127="y"),H127," ")</f>
        <v> </v>
      </c>
      <c r="AH127" s="17" t="str">
        <f aca="false">IF((E127="z"),H127," ")</f>
        <v> </v>
      </c>
      <c r="AI127" s="17" t="str">
        <f aca="false">IF((E127="fa"),H127," ")</f>
        <v> </v>
      </c>
      <c r="AJ127" s="17" t="str">
        <f aca="false">IF((E127="e"),H127," ")</f>
        <v> </v>
      </c>
    </row>
    <row r="128" customFormat="false" ht="12" hidden="false" customHeight="false" outlineLevel="0" collapsed="false">
      <c r="A128" s="28"/>
      <c r="E128" s="2" t="str">
        <f aca="false">IF((F128&lt;&gt;0),"Enter Letter"," ")</f>
        <v> </v>
      </c>
      <c r="F128" s="30"/>
      <c r="G128" s="6" t="str">
        <f aca="false">IF(F128&lt;&gt;0,F128*G$2/(100+G$2)," ")</f>
        <v> </v>
      </c>
      <c r="H128" s="6" t="str">
        <f aca="false">IF((F128&lt;&gt;0),F128-G128," ")</f>
        <v> </v>
      </c>
      <c r="I128" s="5"/>
      <c r="L128" s="7" t="str">
        <f aca="false">IF(F128&lt;&gt;0,F128-K128," ")</f>
        <v> </v>
      </c>
      <c r="M128" s="8" t="str">
        <f aca="false">IF((F128-K128)&lt;&gt;0,M$1-A128," ")</f>
        <v> </v>
      </c>
      <c r="N128" s="5"/>
      <c r="O128" s="17" t="str">
        <f aca="false">IF((E128="s"),H128," ")</f>
        <v> </v>
      </c>
      <c r="P128" s="17" t="str">
        <f aca="false">IF((E128="c"),H128," ")</f>
        <v> </v>
      </c>
      <c r="Q128" s="17" t="str">
        <f aca="false">IF((E128="o"),H128," ")</f>
        <v> </v>
      </c>
      <c r="R128" s="17" t="str">
        <f aca="false">IF((E128="d"),H128," ")</f>
        <v> </v>
      </c>
      <c r="S128" s="17" t="str">
        <f aca="false">IF((E128="w"),H128," ")</f>
        <v> </v>
      </c>
      <c r="T128" s="17" t="str">
        <f aca="false">IF((E128="r"),H128," ")</f>
        <v> </v>
      </c>
      <c r="U128" s="17" t="str">
        <f aca="false">IF((E128="p"),H128," ")</f>
        <v> </v>
      </c>
      <c r="V128" s="17" t="str">
        <f aca="false">IF((E128="t"),H128," ")</f>
        <v> </v>
      </c>
      <c r="W128" s="17" t="str">
        <f aca="false">IF((E128="q"),H128," ")</f>
        <v> </v>
      </c>
      <c r="X128" s="17" t="str">
        <f aca="false">IF((E128="m"),H128," ")</f>
        <v> </v>
      </c>
      <c r="Y128" s="17" t="str">
        <f aca="false">IF((E128="u"),H128," ")</f>
        <v> </v>
      </c>
      <c r="Z128" s="17" t="str">
        <f aca="false">IF((E128="a"),H128," ")</f>
        <v> </v>
      </c>
      <c r="AA128" s="17" t="str">
        <f aca="false">IF((E128="g"),H128," ")</f>
        <v> </v>
      </c>
      <c r="AB128" s="17" t="str">
        <f aca="false">IF((E128="h"),H128," ")</f>
        <v> </v>
      </c>
      <c r="AC128" s="30" t="str">
        <f aca="false">IF((E128="v"),H128," ")</f>
        <v> </v>
      </c>
      <c r="AD128" s="30" t="str">
        <f aca="false">IF((E128="n"),H128," ")</f>
        <v> </v>
      </c>
      <c r="AE128" s="17" t="str">
        <f aca="false">IF((E128="f"),H128," ")</f>
        <v> </v>
      </c>
      <c r="AF128" s="17" t="str">
        <f aca="false">IF((E128="l"),H128," ")</f>
        <v> </v>
      </c>
      <c r="AG128" s="17" t="str">
        <f aca="false">IF((E128="y"),H128," ")</f>
        <v> </v>
      </c>
      <c r="AH128" s="17" t="str">
        <f aca="false">IF((E128="z"),H128," ")</f>
        <v> </v>
      </c>
      <c r="AI128" s="17" t="str">
        <f aca="false">IF((E128="fa"),H128," ")</f>
        <v> </v>
      </c>
      <c r="AJ128" s="17" t="str">
        <f aca="false">IF((E128="e"),H128," ")</f>
        <v> </v>
      </c>
    </row>
    <row r="129" customFormat="false" ht="12" hidden="false" customHeight="false" outlineLevel="0" collapsed="false">
      <c r="A129" s="28"/>
      <c r="E129" s="2" t="str">
        <f aca="false">IF((F129&lt;&gt;0),"Enter Letter"," ")</f>
        <v> </v>
      </c>
      <c r="F129" s="30"/>
      <c r="G129" s="6" t="str">
        <f aca="false">IF(F129&lt;&gt;0,F129*G$2/(100+G$2)," ")</f>
        <v> </v>
      </c>
      <c r="H129" s="6" t="str">
        <f aca="false">IF((F129&lt;&gt;0),F129-G129," ")</f>
        <v> </v>
      </c>
      <c r="I129" s="5"/>
      <c r="L129" s="7" t="str">
        <f aca="false">IF(F129&lt;&gt;0,F129-K129," ")</f>
        <v> </v>
      </c>
      <c r="M129" s="8" t="str">
        <f aca="false">IF((F129-K129)&lt;&gt;0,M$1-A129," ")</f>
        <v> </v>
      </c>
      <c r="N129" s="5"/>
      <c r="O129" s="17" t="str">
        <f aca="false">IF((E129="s"),H129," ")</f>
        <v> </v>
      </c>
      <c r="P129" s="17" t="str">
        <f aca="false">IF((E129="c"),H129," ")</f>
        <v> </v>
      </c>
      <c r="Q129" s="17" t="str">
        <f aca="false">IF((E129="o"),H129," ")</f>
        <v> </v>
      </c>
      <c r="R129" s="17" t="str">
        <f aca="false">IF((E129="d"),H129," ")</f>
        <v> </v>
      </c>
      <c r="S129" s="17" t="str">
        <f aca="false">IF((E129="w"),H129," ")</f>
        <v> </v>
      </c>
      <c r="T129" s="17" t="str">
        <f aca="false">IF((E129="r"),H129," ")</f>
        <v> </v>
      </c>
      <c r="U129" s="17" t="str">
        <f aca="false">IF((E129="p"),H129," ")</f>
        <v> </v>
      </c>
      <c r="V129" s="17" t="str">
        <f aca="false">IF((E129="t"),H129," ")</f>
        <v> </v>
      </c>
      <c r="W129" s="17" t="str">
        <f aca="false">IF((E129="q"),H129," ")</f>
        <v> </v>
      </c>
      <c r="X129" s="17" t="str">
        <f aca="false">IF((E129="m"),H129," ")</f>
        <v> </v>
      </c>
      <c r="Y129" s="17" t="str">
        <f aca="false">IF((E129="u"),H129," ")</f>
        <v> </v>
      </c>
      <c r="Z129" s="17" t="str">
        <f aca="false">IF((E129="a"),H129," ")</f>
        <v> </v>
      </c>
      <c r="AA129" s="17" t="str">
        <f aca="false">IF((E129="g"),H129," ")</f>
        <v> </v>
      </c>
      <c r="AB129" s="17" t="str">
        <f aca="false">IF((E129="h"),H129," ")</f>
        <v> </v>
      </c>
      <c r="AC129" s="30" t="str">
        <f aca="false">IF((E129="v"),H129," ")</f>
        <v> </v>
      </c>
      <c r="AD129" s="30" t="str">
        <f aca="false">IF((E129="n"),H129," ")</f>
        <v> </v>
      </c>
      <c r="AE129" s="17" t="str">
        <f aca="false">IF((E129="f"),H129," ")</f>
        <v> </v>
      </c>
      <c r="AF129" s="17" t="str">
        <f aca="false">IF((E129="l"),H129," ")</f>
        <v> </v>
      </c>
      <c r="AG129" s="17" t="str">
        <f aca="false">IF((E129="y"),H129," ")</f>
        <v> </v>
      </c>
      <c r="AH129" s="17" t="str">
        <f aca="false">IF((E129="z"),H129," ")</f>
        <v> </v>
      </c>
      <c r="AI129" s="17" t="str">
        <f aca="false">IF((E129="fa"),H129," ")</f>
        <v> </v>
      </c>
      <c r="AJ129" s="17" t="str">
        <f aca="false">IF((E129="e"),H129," ")</f>
        <v> </v>
      </c>
    </row>
    <row r="130" customFormat="false" ht="12" hidden="false" customHeight="false" outlineLevel="0" collapsed="false">
      <c r="A130" s="28"/>
      <c r="E130" s="2" t="str">
        <f aca="false">IF((F130&lt;&gt;0),"Enter Letter"," ")</f>
        <v> </v>
      </c>
      <c r="F130" s="30"/>
      <c r="G130" s="6" t="str">
        <f aca="false">IF(F130&lt;&gt;0,F130*G$2/(100+G$2)," ")</f>
        <v> </v>
      </c>
      <c r="H130" s="6" t="str">
        <f aca="false">IF((F130&lt;&gt;0),F130-G130," ")</f>
        <v> </v>
      </c>
      <c r="I130" s="5"/>
      <c r="L130" s="7" t="str">
        <f aca="false">IF(F130&lt;&gt;0,F130-K130," ")</f>
        <v> </v>
      </c>
      <c r="M130" s="8" t="str">
        <f aca="false">IF((F130-K130)&lt;&gt;0,M$1-A130," ")</f>
        <v> </v>
      </c>
      <c r="N130" s="5"/>
      <c r="O130" s="17" t="str">
        <f aca="false">IF((E130="s"),H130," ")</f>
        <v> </v>
      </c>
      <c r="P130" s="17" t="str">
        <f aca="false">IF((E130="c"),H130," ")</f>
        <v> </v>
      </c>
      <c r="Q130" s="17" t="str">
        <f aca="false">IF((E130="o"),H130," ")</f>
        <v> </v>
      </c>
      <c r="R130" s="17" t="str">
        <f aca="false">IF((E130="d"),H130," ")</f>
        <v> </v>
      </c>
      <c r="S130" s="17" t="str">
        <f aca="false">IF((E130="w"),H130," ")</f>
        <v> </v>
      </c>
      <c r="T130" s="17" t="str">
        <f aca="false">IF((E130="r"),H130," ")</f>
        <v> </v>
      </c>
      <c r="U130" s="17" t="str">
        <f aca="false">IF((E130="p"),H130," ")</f>
        <v> </v>
      </c>
      <c r="V130" s="17" t="str">
        <f aca="false">IF((E130="t"),H130," ")</f>
        <v> </v>
      </c>
      <c r="W130" s="17" t="str">
        <f aca="false">IF((E130="q"),H130," ")</f>
        <v> </v>
      </c>
      <c r="X130" s="17" t="str">
        <f aca="false">IF((E130="m"),H130," ")</f>
        <v> </v>
      </c>
      <c r="Y130" s="17" t="str">
        <f aca="false">IF((E130="u"),H130," ")</f>
        <v> </v>
      </c>
      <c r="Z130" s="17" t="str">
        <f aca="false">IF((E130="a"),H130," ")</f>
        <v> </v>
      </c>
      <c r="AA130" s="17" t="str">
        <f aca="false">IF((E130="g"),H130," ")</f>
        <v> </v>
      </c>
      <c r="AB130" s="17" t="str">
        <f aca="false">IF((E130="h"),H130," ")</f>
        <v> </v>
      </c>
      <c r="AC130" s="30" t="str">
        <f aca="false">IF((E130="v"),H130," ")</f>
        <v> </v>
      </c>
      <c r="AD130" s="30" t="str">
        <f aca="false">IF((E130="n"),H130," ")</f>
        <v> </v>
      </c>
      <c r="AE130" s="17" t="str">
        <f aca="false">IF((E130="f"),H130," ")</f>
        <v> </v>
      </c>
      <c r="AF130" s="17" t="str">
        <f aca="false">IF((E130="l"),H130," ")</f>
        <v> </v>
      </c>
      <c r="AG130" s="17" t="str">
        <f aca="false">IF((E130="y"),H130," ")</f>
        <v> </v>
      </c>
      <c r="AH130" s="17" t="str">
        <f aca="false">IF((E130="z"),H130," ")</f>
        <v> </v>
      </c>
      <c r="AI130" s="17" t="str">
        <f aca="false">IF((E130="fa"),H130," ")</f>
        <v> </v>
      </c>
      <c r="AJ130" s="17" t="str">
        <f aca="false">IF((E130="e"),H130," ")</f>
        <v> </v>
      </c>
    </row>
    <row r="131" customFormat="false" ht="12" hidden="false" customHeight="false" outlineLevel="0" collapsed="false">
      <c r="A131" s="28"/>
      <c r="E131" s="2" t="str">
        <f aca="false">IF((F131&lt;&gt;0),"Enter Letter"," ")</f>
        <v> </v>
      </c>
      <c r="F131" s="30"/>
      <c r="G131" s="6" t="str">
        <f aca="false">IF(F131&lt;&gt;0,F131*G$2/(100+G$2)," ")</f>
        <v> </v>
      </c>
      <c r="H131" s="6" t="str">
        <f aca="false">IF((F131&lt;&gt;0),F131-G131," ")</f>
        <v> </v>
      </c>
      <c r="I131" s="5"/>
      <c r="L131" s="7" t="str">
        <f aca="false">IF(F131&lt;&gt;0,F131-K131," ")</f>
        <v> </v>
      </c>
      <c r="M131" s="8" t="str">
        <f aca="false">IF((F131-K131)&lt;&gt;0,M$1-A131," ")</f>
        <v> </v>
      </c>
      <c r="N131" s="5"/>
      <c r="O131" s="17" t="str">
        <f aca="false">IF((E131="s"),H131," ")</f>
        <v> </v>
      </c>
      <c r="P131" s="17" t="str">
        <f aca="false">IF((E131="c"),H131," ")</f>
        <v> </v>
      </c>
      <c r="Q131" s="17" t="str">
        <f aca="false">IF((E131="o"),H131," ")</f>
        <v> </v>
      </c>
      <c r="R131" s="17" t="str">
        <f aca="false">IF((E131="d"),H131," ")</f>
        <v> </v>
      </c>
      <c r="S131" s="17" t="str">
        <f aca="false">IF((E131="w"),H131," ")</f>
        <v> </v>
      </c>
      <c r="T131" s="17" t="str">
        <f aca="false">IF((E131="r"),H131," ")</f>
        <v> </v>
      </c>
      <c r="U131" s="17" t="str">
        <f aca="false">IF((E131="p"),H131," ")</f>
        <v> </v>
      </c>
      <c r="V131" s="17" t="str">
        <f aca="false">IF((E131="t"),H131," ")</f>
        <v> </v>
      </c>
      <c r="W131" s="17" t="str">
        <f aca="false">IF((E131="q"),H131," ")</f>
        <v> </v>
      </c>
      <c r="X131" s="17" t="str">
        <f aca="false">IF((E131="m"),H131," ")</f>
        <v> </v>
      </c>
      <c r="Y131" s="17" t="str">
        <f aca="false">IF((E131="u"),H131," ")</f>
        <v> </v>
      </c>
      <c r="Z131" s="17" t="str">
        <f aca="false">IF((E131="a"),H131," ")</f>
        <v> </v>
      </c>
      <c r="AA131" s="17" t="str">
        <f aca="false">IF((E131="g"),H131," ")</f>
        <v> </v>
      </c>
      <c r="AB131" s="17" t="str">
        <f aca="false">IF((E131="h"),H131," ")</f>
        <v> </v>
      </c>
      <c r="AC131" s="30" t="str">
        <f aca="false">IF((E131="v"),H131," ")</f>
        <v> </v>
      </c>
      <c r="AD131" s="30" t="str">
        <f aca="false">IF((E131="n"),H131," ")</f>
        <v> </v>
      </c>
      <c r="AE131" s="17" t="str">
        <f aca="false">IF((E131="f"),H131," ")</f>
        <v> </v>
      </c>
      <c r="AF131" s="17" t="str">
        <f aca="false">IF((E131="l"),H131," ")</f>
        <v> </v>
      </c>
      <c r="AG131" s="17" t="str">
        <f aca="false">IF((E131="y"),H131," ")</f>
        <v> </v>
      </c>
      <c r="AH131" s="17" t="str">
        <f aca="false">IF((E131="z"),H131," ")</f>
        <v> </v>
      </c>
      <c r="AI131" s="17" t="str">
        <f aca="false">IF((E131="fa"),H131," ")</f>
        <v> </v>
      </c>
      <c r="AJ131" s="17" t="str">
        <f aca="false">IF((E131="e"),H131," ")</f>
        <v> </v>
      </c>
    </row>
    <row r="132" customFormat="false" ht="12" hidden="false" customHeight="false" outlineLevel="0" collapsed="false">
      <c r="A132" s="28"/>
      <c r="E132" s="2" t="str">
        <f aca="false">IF((F132&lt;&gt;0),"Enter Letter"," ")</f>
        <v> </v>
      </c>
      <c r="F132" s="30"/>
      <c r="G132" s="6" t="str">
        <f aca="false">IF(F132&lt;&gt;0,F132*G$2/(100+G$2)," ")</f>
        <v> </v>
      </c>
      <c r="H132" s="6" t="str">
        <f aca="false">IF((F132&lt;&gt;0),F132-G132," ")</f>
        <v> </v>
      </c>
      <c r="I132" s="5"/>
      <c r="L132" s="7" t="str">
        <f aca="false">IF(F132&lt;&gt;0,F132-K132," ")</f>
        <v> </v>
      </c>
      <c r="M132" s="8" t="str">
        <f aca="false">IF((F132-K132)&lt;&gt;0,M$1-A132," ")</f>
        <v> </v>
      </c>
      <c r="N132" s="5"/>
      <c r="O132" s="17" t="str">
        <f aca="false">IF((E132="s"),H132," ")</f>
        <v> </v>
      </c>
      <c r="P132" s="17" t="str">
        <f aca="false">IF((E132="c"),H132," ")</f>
        <v> </v>
      </c>
      <c r="Q132" s="17" t="str">
        <f aca="false">IF((E132="o"),H132," ")</f>
        <v> </v>
      </c>
      <c r="R132" s="17" t="str">
        <f aca="false">IF((E132="d"),H132," ")</f>
        <v> </v>
      </c>
      <c r="S132" s="17" t="str">
        <f aca="false">IF((E132="w"),H132," ")</f>
        <v> </v>
      </c>
      <c r="T132" s="17" t="str">
        <f aca="false">IF((E132="r"),H132," ")</f>
        <v> </v>
      </c>
      <c r="U132" s="17" t="str">
        <f aca="false">IF((E132="p"),H132," ")</f>
        <v> </v>
      </c>
      <c r="V132" s="17" t="str">
        <f aca="false">IF((E132="t"),H132," ")</f>
        <v> </v>
      </c>
      <c r="W132" s="17" t="str">
        <f aca="false">IF((E132="q"),H132," ")</f>
        <v> </v>
      </c>
      <c r="X132" s="17" t="str">
        <f aca="false">IF((E132="m"),H132," ")</f>
        <v> </v>
      </c>
      <c r="Y132" s="17" t="str">
        <f aca="false">IF((E132="u"),H132," ")</f>
        <v> </v>
      </c>
      <c r="Z132" s="17" t="str">
        <f aca="false">IF((E132="a"),H132," ")</f>
        <v> </v>
      </c>
      <c r="AA132" s="17" t="str">
        <f aca="false">IF((E132="g"),H132," ")</f>
        <v> </v>
      </c>
      <c r="AB132" s="17" t="str">
        <f aca="false">IF((E132="h"),H132," ")</f>
        <v> </v>
      </c>
      <c r="AC132" s="30" t="str">
        <f aca="false">IF((E132="v"),H132," ")</f>
        <v> </v>
      </c>
      <c r="AD132" s="30" t="str">
        <f aca="false">IF((E132="n"),H132," ")</f>
        <v> </v>
      </c>
      <c r="AE132" s="17" t="str">
        <f aca="false">IF((E132="f"),H132," ")</f>
        <v> </v>
      </c>
      <c r="AF132" s="17" t="str">
        <f aca="false">IF((E132="l"),H132," ")</f>
        <v> </v>
      </c>
      <c r="AG132" s="17" t="str">
        <f aca="false">IF((E132="y"),H132," ")</f>
        <v> </v>
      </c>
      <c r="AH132" s="17" t="str">
        <f aca="false">IF((E132="z"),H132," ")</f>
        <v> </v>
      </c>
      <c r="AI132" s="17" t="str">
        <f aca="false">IF((E132="fa"),H132," ")</f>
        <v> </v>
      </c>
      <c r="AJ132" s="17" t="str">
        <f aca="false">IF((E132="e"),H132," ")</f>
        <v> </v>
      </c>
    </row>
    <row r="133" customFormat="false" ht="12" hidden="false" customHeight="false" outlineLevel="0" collapsed="false">
      <c r="A133" s="28"/>
      <c r="E133" s="2" t="str">
        <f aca="false">IF((F133&lt;&gt;0),"Enter Letter"," ")</f>
        <v> </v>
      </c>
      <c r="F133" s="30"/>
      <c r="G133" s="6" t="str">
        <f aca="false">IF(F133&lt;&gt;0,F133*G$2/(100+G$2)," ")</f>
        <v> </v>
      </c>
      <c r="H133" s="6" t="str">
        <f aca="false">IF((F133&lt;&gt;0),F133-G133," ")</f>
        <v> </v>
      </c>
      <c r="I133" s="5"/>
      <c r="L133" s="7" t="str">
        <f aca="false">IF(F133&lt;&gt;0,F133-K133," ")</f>
        <v> </v>
      </c>
      <c r="M133" s="8" t="str">
        <f aca="false">IF((F133-K133)&lt;&gt;0,M$1-A133," ")</f>
        <v> </v>
      </c>
      <c r="N133" s="5"/>
      <c r="O133" s="17" t="str">
        <f aca="false">IF((E133="s"),H133," ")</f>
        <v> </v>
      </c>
      <c r="P133" s="17" t="str">
        <f aca="false">IF((E133="c"),H133," ")</f>
        <v> </v>
      </c>
      <c r="Q133" s="17" t="str">
        <f aca="false">IF((E133="o"),H133," ")</f>
        <v> </v>
      </c>
      <c r="R133" s="17" t="str">
        <f aca="false">IF((E133="d"),H133," ")</f>
        <v> </v>
      </c>
      <c r="S133" s="17" t="str">
        <f aca="false">IF((E133="w"),H133," ")</f>
        <v> </v>
      </c>
      <c r="T133" s="17" t="str">
        <f aca="false">IF((E133="r"),H133," ")</f>
        <v> </v>
      </c>
      <c r="U133" s="17" t="str">
        <f aca="false">IF((E133="p"),H133," ")</f>
        <v> </v>
      </c>
      <c r="V133" s="17" t="str">
        <f aca="false">IF((E133="t"),H133," ")</f>
        <v> </v>
      </c>
      <c r="W133" s="17" t="str">
        <f aca="false">IF((E133="q"),H133," ")</f>
        <v> </v>
      </c>
      <c r="X133" s="17" t="str">
        <f aca="false">IF((E133="m"),H133," ")</f>
        <v> </v>
      </c>
      <c r="Y133" s="17" t="str">
        <f aca="false">IF((E133="u"),H133," ")</f>
        <v> </v>
      </c>
      <c r="Z133" s="17" t="str">
        <f aca="false">IF((E133="a"),H133," ")</f>
        <v> </v>
      </c>
      <c r="AA133" s="17" t="str">
        <f aca="false">IF((E133="g"),H133," ")</f>
        <v> </v>
      </c>
      <c r="AB133" s="17" t="str">
        <f aca="false">IF((E133="h"),H133," ")</f>
        <v> </v>
      </c>
      <c r="AC133" s="30" t="str">
        <f aca="false">IF((E133="v"),H133," ")</f>
        <v> </v>
      </c>
      <c r="AD133" s="30" t="str">
        <f aca="false">IF((E133="n"),H133," ")</f>
        <v> </v>
      </c>
      <c r="AE133" s="17" t="str">
        <f aca="false">IF((E133="f"),H133," ")</f>
        <v> </v>
      </c>
      <c r="AF133" s="17" t="str">
        <f aca="false">IF((E133="l"),H133," ")</f>
        <v> </v>
      </c>
      <c r="AG133" s="17" t="str">
        <f aca="false">IF((E133="y"),H133," ")</f>
        <v> </v>
      </c>
      <c r="AH133" s="17" t="str">
        <f aca="false">IF((E133="z"),H133," ")</f>
        <v> </v>
      </c>
      <c r="AI133" s="17" t="str">
        <f aca="false">IF((E133="fa"),H133," ")</f>
        <v> </v>
      </c>
      <c r="AJ133" s="17" t="str">
        <f aca="false">IF((E133="e"),H133," ")</f>
        <v> </v>
      </c>
    </row>
    <row r="134" customFormat="false" ht="12" hidden="false" customHeight="false" outlineLevel="0" collapsed="false">
      <c r="A134" s="28"/>
      <c r="E134" s="2" t="str">
        <f aca="false">IF((F134&lt;&gt;0),"Enter Letter"," ")</f>
        <v> </v>
      </c>
      <c r="F134" s="30"/>
      <c r="G134" s="6" t="str">
        <f aca="false">IF(F134&lt;&gt;0,F134*G$2/(100+G$2)," ")</f>
        <v> </v>
      </c>
      <c r="H134" s="6" t="str">
        <f aca="false">IF((F134&lt;&gt;0),F134-G134," ")</f>
        <v> </v>
      </c>
      <c r="I134" s="5"/>
      <c r="L134" s="7" t="str">
        <f aca="false">IF(F134&lt;&gt;0,F134-K134," ")</f>
        <v> </v>
      </c>
      <c r="M134" s="8" t="str">
        <f aca="false">IF((F134-K134)&lt;&gt;0,M$1-A134," ")</f>
        <v> </v>
      </c>
      <c r="N134" s="5"/>
      <c r="O134" s="17" t="str">
        <f aca="false">IF((E134="s"),H134," ")</f>
        <v> </v>
      </c>
      <c r="P134" s="17" t="str">
        <f aca="false">IF((E134="c"),H134," ")</f>
        <v> </v>
      </c>
      <c r="Q134" s="17" t="str">
        <f aca="false">IF((E134="o"),H134," ")</f>
        <v> </v>
      </c>
      <c r="R134" s="17" t="str">
        <f aca="false">IF((E134="d"),H134," ")</f>
        <v> </v>
      </c>
      <c r="S134" s="17" t="str">
        <f aca="false">IF((E134="w"),H134," ")</f>
        <v> </v>
      </c>
      <c r="T134" s="17" t="str">
        <f aca="false">IF((E134="r"),H134," ")</f>
        <v> </v>
      </c>
      <c r="U134" s="17" t="str">
        <f aca="false">IF((E134="p"),H134," ")</f>
        <v> </v>
      </c>
      <c r="V134" s="17" t="str">
        <f aca="false">IF((E134="t"),H134," ")</f>
        <v> </v>
      </c>
      <c r="W134" s="17" t="str">
        <f aca="false">IF((E134="q"),H134," ")</f>
        <v> </v>
      </c>
      <c r="X134" s="17" t="str">
        <f aca="false">IF((E134="m"),H134," ")</f>
        <v> </v>
      </c>
      <c r="Y134" s="17" t="str">
        <f aca="false">IF((E134="u"),H134," ")</f>
        <v> </v>
      </c>
      <c r="Z134" s="17" t="str">
        <f aca="false">IF((E134="a"),H134," ")</f>
        <v> </v>
      </c>
      <c r="AA134" s="17" t="str">
        <f aca="false">IF((E134="g"),H134," ")</f>
        <v> </v>
      </c>
      <c r="AB134" s="17" t="str">
        <f aca="false">IF((E134="h"),H134," ")</f>
        <v> </v>
      </c>
      <c r="AC134" s="30" t="str">
        <f aca="false">IF((E134="v"),H134," ")</f>
        <v> </v>
      </c>
      <c r="AD134" s="30" t="str">
        <f aca="false">IF((E134="n"),H134," ")</f>
        <v> </v>
      </c>
      <c r="AE134" s="17" t="str">
        <f aca="false">IF((E134="f"),H134," ")</f>
        <v> </v>
      </c>
      <c r="AF134" s="17" t="str">
        <f aca="false">IF((E134="l"),H134," ")</f>
        <v> </v>
      </c>
      <c r="AG134" s="17" t="str">
        <f aca="false">IF((E134="y"),H134," ")</f>
        <v> </v>
      </c>
      <c r="AH134" s="17" t="str">
        <f aca="false">IF((E134="z"),H134," ")</f>
        <v> </v>
      </c>
      <c r="AI134" s="17" t="str">
        <f aca="false">IF((E134="fa"),H134," ")</f>
        <v> </v>
      </c>
      <c r="AJ134" s="17" t="str">
        <f aca="false">IF((E134="e"),H134," ")</f>
        <v> </v>
      </c>
    </row>
    <row r="135" customFormat="false" ht="12" hidden="false" customHeight="false" outlineLevel="0" collapsed="false">
      <c r="A135" s="28"/>
      <c r="E135" s="2" t="str">
        <f aca="false">IF((F135&lt;&gt;0),"Enter Letter"," ")</f>
        <v> </v>
      </c>
      <c r="F135" s="30"/>
      <c r="G135" s="6" t="str">
        <f aca="false">IF(F135&lt;&gt;0,F135*G$2/(100+G$2)," ")</f>
        <v> </v>
      </c>
      <c r="H135" s="6" t="str">
        <f aca="false">IF((F135&lt;&gt;0),F135-G135," ")</f>
        <v> </v>
      </c>
      <c r="I135" s="5"/>
      <c r="L135" s="7" t="str">
        <f aca="false">IF(F135&lt;&gt;0,F135-K135," ")</f>
        <v> </v>
      </c>
      <c r="M135" s="8" t="str">
        <f aca="false">IF((F135-K135)&lt;&gt;0,M$1-A135," ")</f>
        <v> </v>
      </c>
      <c r="N135" s="5"/>
      <c r="O135" s="17" t="str">
        <f aca="false">IF((E135="s"),H135," ")</f>
        <v> </v>
      </c>
      <c r="P135" s="17" t="str">
        <f aca="false">IF((E135="c"),H135," ")</f>
        <v> </v>
      </c>
      <c r="Q135" s="17" t="str">
        <f aca="false">IF((E135="o"),H135," ")</f>
        <v> </v>
      </c>
      <c r="R135" s="17" t="str">
        <f aca="false">IF((E135="d"),H135," ")</f>
        <v> </v>
      </c>
      <c r="S135" s="17" t="str">
        <f aca="false">IF((E135="w"),H135," ")</f>
        <v> </v>
      </c>
      <c r="T135" s="17" t="str">
        <f aca="false">IF((E135="r"),H135," ")</f>
        <v> </v>
      </c>
      <c r="U135" s="17" t="str">
        <f aca="false">IF((E135="p"),H135," ")</f>
        <v> </v>
      </c>
      <c r="V135" s="17" t="str">
        <f aca="false">IF((E135="t"),H135," ")</f>
        <v> </v>
      </c>
      <c r="W135" s="17" t="str">
        <f aca="false">IF((E135="q"),H135," ")</f>
        <v> </v>
      </c>
      <c r="X135" s="17" t="str">
        <f aca="false">IF((E135="m"),H135," ")</f>
        <v> </v>
      </c>
      <c r="Y135" s="17" t="str">
        <f aca="false">IF((E135="u"),H135," ")</f>
        <v> </v>
      </c>
      <c r="Z135" s="17" t="str">
        <f aca="false">IF((E135="a"),H135," ")</f>
        <v> </v>
      </c>
      <c r="AA135" s="17" t="str">
        <f aca="false">IF((E135="g"),H135," ")</f>
        <v> </v>
      </c>
      <c r="AB135" s="17" t="str">
        <f aca="false">IF((E135="h"),H135," ")</f>
        <v> </v>
      </c>
      <c r="AC135" s="30" t="str">
        <f aca="false">IF((E135="v"),H135," ")</f>
        <v> </v>
      </c>
      <c r="AD135" s="30" t="str">
        <f aca="false">IF((E135="n"),H135," ")</f>
        <v> </v>
      </c>
      <c r="AE135" s="17" t="str">
        <f aca="false">IF((E135="f"),H135," ")</f>
        <v> </v>
      </c>
      <c r="AF135" s="17" t="str">
        <f aca="false">IF((E135="l"),H135," ")</f>
        <v> </v>
      </c>
      <c r="AG135" s="17" t="str">
        <f aca="false">IF((E135="y"),H135," ")</f>
        <v> </v>
      </c>
      <c r="AH135" s="17" t="str">
        <f aca="false">IF((E135="z"),H135," ")</f>
        <v> </v>
      </c>
      <c r="AI135" s="17" t="str">
        <f aca="false">IF((E135="fa"),H135," ")</f>
        <v> </v>
      </c>
      <c r="AJ135" s="17" t="str">
        <f aca="false">IF((E135="e"),H135," ")</f>
        <v> </v>
      </c>
    </row>
    <row r="136" customFormat="false" ht="12" hidden="false" customHeight="false" outlineLevel="0" collapsed="false">
      <c r="A136" s="28"/>
      <c r="E136" s="2" t="str">
        <f aca="false">IF((F136&lt;&gt;0),"Enter Letter"," ")</f>
        <v> </v>
      </c>
      <c r="F136" s="30"/>
      <c r="G136" s="6" t="str">
        <f aca="false">IF(F136&lt;&gt;0,F136*G$2/(100+G$2)," ")</f>
        <v> </v>
      </c>
      <c r="H136" s="6" t="str">
        <f aca="false">IF((F136&lt;&gt;0),F136-G136," ")</f>
        <v> </v>
      </c>
      <c r="I136" s="5"/>
      <c r="L136" s="7" t="str">
        <f aca="false">IF(F136&lt;&gt;0,F136-K136," ")</f>
        <v> </v>
      </c>
      <c r="M136" s="8" t="str">
        <f aca="false">IF((F136-K136)&lt;&gt;0,M$1-A136," ")</f>
        <v> </v>
      </c>
      <c r="N136" s="5"/>
      <c r="O136" s="17" t="str">
        <f aca="false">IF((E136="s"),H136," ")</f>
        <v> </v>
      </c>
      <c r="P136" s="17" t="str">
        <f aca="false">IF((E136="c"),H136," ")</f>
        <v> </v>
      </c>
      <c r="Q136" s="17" t="str">
        <f aca="false">IF((E136="o"),H136," ")</f>
        <v> </v>
      </c>
      <c r="R136" s="17" t="str">
        <f aca="false">IF((E136="d"),H136," ")</f>
        <v> </v>
      </c>
      <c r="S136" s="17" t="str">
        <f aca="false">IF((E136="w"),H136," ")</f>
        <v> </v>
      </c>
      <c r="T136" s="17" t="str">
        <f aca="false">IF((E136="r"),H136," ")</f>
        <v> </v>
      </c>
      <c r="U136" s="17" t="str">
        <f aca="false">IF((E136="p"),H136," ")</f>
        <v> </v>
      </c>
      <c r="V136" s="17" t="str">
        <f aca="false">IF((E136="t"),H136," ")</f>
        <v> </v>
      </c>
      <c r="W136" s="17" t="str">
        <f aca="false">IF((E136="q"),H136," ")</f>
        <v> </v>
      </c>
      <c r="X136" s="17" t="str">
        <f aca="false">IF((E136="m"),H136," ")</f>
        <v> </v>
      </c>
      <c r="Y136" s="17" t="str">
        <f aca="false">IF((E136="u"),H136," ")</f>
        <v> </v>
      </c>
      <c r="Z136" s="17" t="str">
        <f aca="false">IF((E136="a"),H136," ")</f>
        <v> </v>
      </c>
      <c r="AA136" s="17" t="str">
        <f aca="false">IF((E136="g"),H136," ")</f>
        <v> </v>
      </c>
      <c r="AB136" s="17" t="str">
        <f aca="false">IF((E136="h"),H136," ")</f>
        <v> </v>
      </c>
      <c r="AC136" s="30" t="str">
        <f aca="false">IF((E136="v"),H136," ")</f>
        <v> </v>
      </c>
      <c r="AD136" s="30" t="str">
        <f aca="false">IF((E136="n"),H136," ")</f>
        <v> </v>
      </c>
      <c r="AE136" s="17" t="str">
        <f aca="false">IF((E136="f"),H136," ")</f>
        <v> </v>
      </c>
      <c r="AF136" s="17" t="str">
        <f aca="false">IF((E136="l"),H136," ")</f>
        <v> </v>
      </c>
      <c r="AG136" s="17" t="str">
        <f aca="false">IF((E136="y"),H136," ")</f>
        <v> </v>
      </c>
      <c r="AH136" s="17" t="str">
        <f aca="false">IF((E136="z"),H136," ")</f>
        <v> </v>
      </c>
      <c r="AI136" s="17" t="str">
        <f aca="false">IF((E136="fa"),H136," ")</f>
        <v> </v>
      </c>
      <c r="AJ136" s="17" t="str">
        <f aca="false">IF((E136="e"),H136," ")</f>
        <v> </v>
      </c>
    </row>
    <row r="137" customFormat="false" ht="12" hidden="false" customHeight="false" outlineLevel="0" collapsed="false">
      <c r="A137" s="28"/>
      <c r="E137" s="2" t="str">
        <f aca="false">IF((F137&lt;&gt;0),"Enter Letter"," ")</f>
        <v> </v>
      </c>
      <c r="F137" s="30"/>
      <c r="G137" s="6" t="str">
        <f aca="false">IF(F137&lt;&gt;0,F137*G$2/(100+G$2)," ")</f>
        <v> </v>
      </c>
      <c r="H137" s="6" t="str">
        <f aca="false">IF((F137&lt;&gt;0),F137-G137," ")</f>
        <v> </v>
      </c>
      <c r="I137" s="5"/>
      <c r="L137" s="7" t="str">
        <f aca="false">IF(F137&lt;&gt;0,F137-K137," ")</f>
        <v> </v>
      </c>
      <c r="M137" s="8" t="str">
        <f aca="false">IF((F137-K137)&lt;&gt;0,M$1-A137," ")</f>
        <v> </v>
      </c>
      <c r="N137" s="5"/>
      <c r="O137" s="17" t="str">
        <f aca="false">IF((E137="s"),H137," ")</f>
        <v> </v>
      </c>
      <c r="P137" s="17" t="str">
        <f aca="false">IF((E137="c"),H137," ")</f>
        <v> </v>
      </c>
      <c r="Q137" s="17" t="str">
        <f aca="false">IF((E137="o"),H137," ")</f>
        <v> </v>
      </c>
      <c r="R137" s="17" t="str">
        <f aca="false">IF((E137="d"),H137," ")</f>
        <v> </v>
      </c>
      <c r="S137" s="17" t="str">
        <f aca="false">IF((E137="w"),H137," ")</f>
        <v> </v>
      </c>
      <c r="T137" s="17" t="str">
        <f aca="false">IF((E137="r"),H137," ")</f>
        <v> </v>
      </c>
      <c r="U137" s="17" t="str">
        <f aca="false">IF((E137="p"),H137," ")</f>
        <v> </v>
      </c>
      <c r="V137" s="17" t="str">
        <f aca="false">IF((E137="t"),H137," ")</f>
        <v> </v>
      </c>
      <c r="W137" s="17" t="str">
        <f aca="false">IF((E137="q"),H137," ")</f>
        <v> </v>
      </c>
      <c r="X137" s="17" t="str">
        <f aca="false">IF((E137="m"),H137," ")</f>
        <v> </v>
      </c>
      <c r="Y137" s="17" t="str">
        <f aca="false">IF((E137="u"),H137," ")</f>
        <v> </v>
      </c>
      <c r="Z137" s="17" t="str">
        <f aca="false">IF((E137="a"),H137," ")</f>
        <v> </v>
      </c>
      <c r="AA137" s="17" t="str">
        <f aca="false">IF((E137="g"),H137," ")</f>
        <v> </v>
      </c>
      <c r="AB137" s="17" t="str">
        <f aca="false">IF((E137="h"),H137," ")</f>
        <v> </v>
      </c>
      <c r="AC137" s="30" t="str">
        <f aca="false">IF((E137="v"),H137," ")</f>
        <v> </v>
      </c>
      <c r="AD137" s="30" t="str">
        <f aca="false">IF((E137="n"),H137," ")</f>
        <v> </v>
      </c>
      <c r="AE137" s="17" t="str">
        <f aca="false">IF((E137="f"),H137," ")</f>
        <v> </v>
      </c>
      <c r="AF137" s="17" t="str">
        <f aca="false">IF((E137="l"),H137," ")</f>
        <v> </v>
      </c>
      <c r="AG137" s="17" t="str">
        <f aca="false">IF((E137="y"),H137," ")</f>
        <v> </v>
      </c>
      <c r="AH137" s="17" t="str">
        <f aca="false">IF((E137="z"),H137," ")</f>
        <v> </v>
      </c>
      <c r="AI137" s="17" t="str">
        <f aca="false">IF((E137="fa"),H137," ")</f>
        <v> </v>
      </c>
      <c r="AJ137" s="17" t="str">
        <f aca="false">IF((E137="e"),H137," ")</f>
        <v> </v>
      </c>
    </row>
    <row r="138" customFormat="false" ht="12" hidden="false" customHeight="false" outlineLevel="0" collapsed="false">
      <c r="A138" s="28"/>
      <c r="E138" s="2" t="str">
        <f aca="false">IF((F138&lt;&gt;0),"Enter Letter"," ")</f>
        <v> </v>
      </c>
      <c r="F138" s="30"/>
      <c r="G138" s="6" t="str">
        <f aca="false">IF(F138&lt;&gt;0,F138*G$2/(100+G$2)," ")</f>
        <v> </v>
      </c>
      <c r="H138" s="6" t="str">
        <f aca="false">IF((F138&lt;&gt;0),F138-G138," ")</f>
        <v> </v>
      </c>
      <c r="I138" s="5"/>
      <c r="L138" s="7" t="str">
        <f aca="false">IF(F138&lt;&gt;0,F138-K138," ")</f>
        <v> </v>
      </c>
      <c r="M138" s="8" t="str">
        <f aca="false">IF((F138-K138)&lt;&gt;0,M$1-A138," ")</f>
        <v> </v>
      </c>
      <c r="N138" s="5"/>
      <c r="O138" s="17" t="str">
        <f aca="false">IF((E138="s"),H138," ")</f>
        <v> </v>
      </c>
      <c r="P138" s="17" t="str">
        <f aca="false">IF((E138="c"),H138," ")</f>
        <v> </v>
      </c>
      <c r="Q138" s="17" t="str">
        <f aca="false">IF((E138="o"),H138," ")</f>
        <v> </v>
      </c>
      <c r="R138" s="17" t="str">
        <f aca="false">IF((E138="d"),H138," ")</f>
        <v> </v>
      </c>
      <c r="S138" s="17" t="str">
        <f aca="false">IF((E138="w"),H138," ")</f>
        <v> </v>
      </c>
      <c r="T138" s="17" t="str">
        <f aca="false">IF((E138="r"),H138," ")</f>
        <v> </v>
      </c>
      <c r="U138" s="17" t="str">
        <f aca="false">IF((E138="p"),H138," ")</f>
        <v> </v>
      </c>
      <c r="V138" s="17" t="str">
        <f aca="false">IF((E138="t"),H138," ")</f>
        <v> </v>
      </c>
      <c r="W138" s="17" t="str">
        <f aca="false">IF((E138="q"),H138," ")</f>
        <v> </v>
      </c>
      <c r="X138" s="17" t="str">
        <f aca="false">IF((E138="m"),H138," ")</f>
        <v> </v>
      </c>
      <c r="Y138" s="17" t="str">
        <f aca="false">IF((E138="u"),H138," ")</f>
        <v> </v>
      </c>
      <c r="Z138" s="17" t="str">
        <f aca="false">IF((E138="a"),H138," ")</f>
        <v> </v>
      </c>
      <c r="AA138" s="17" t="str">
        <f aca="false">IF((E138="g"),H138," ")</f>
        <v> </v>
      </c>
      <c r="AB138" s="17" t="str">
        <f aca="false">IF((E138="h"),H138," ")</f>
        <v> </v>
      </c>
      <c r="AC138" s="30" t="str">
        <f aca="false">IF((E138="v"),H138," ")</f>
        <v> </v>
      </c>
      <c r="AD138" s="30" t="str">
        <f aca="false">IF((E138="n"),H138," ")</f>
        <v> </v>
      </c>
      <c r="AE138" s="17" t="str">
        <f aca="false">IF((E138="f"),H138," ")</f>
        <v> </v>
      </c>
      <c r="AF138" s="17" t="str">
        <f aca="false">IF((E138="l"),H138," ")</f>
        <v> </v>
      </c>
      <c r="AG138" s="17" t="str">
        <f aca="false">IF((E138="y"),H138," ")</f>
        <v> </v>
      </c>
      <c r="AH138" s="17" t="str">
        <f aca="false">IF((E138="z"),H138," ")</f>
        <v> </v>
      </c>
      <c r="AI138" s="17" t="str">
        <f aca="false">IF((E138="fa"),H138," ")</f>
        <v> </v>
      </c>
      <c r="AJ138" s="17" t="str">
        <f aca="false">IF((E138="e"),H138," ")</f>
        <v> </v>
      </c>
    </row>
    <row r="139" customFormat="false" ht="12" hidden="false" customHeight="false" outlineLevel="0" collapsed="false">
      <c r="A139" s="28"/>
      <c r="E139" s="2" t="str">
        <f aca="false">IF((F139&lt;&gt;0),"Enter Letter"," ")</f>
        <v> </v>
      </c>
      <c r="F139" s="30"/>
      <c r="G139" s="6" t="str">
        <f aca="false">IF(F139&lt;&gt;0,F139*G$2/(100+G$2)," ")</f>
        <v> </v>
      </c>
      <c r="H139" s="6" t="str">
        <f aca="false">IF((F139&lt;&gt;0),F139-G139," ")</f>
        <v> </v>
      </c>
      <c r="I139" s="5"/>
      <c r="L139" s="7" t="str">
        <f aca="false">IF(F139&lt;&gt;0,F139-K139," ")</f>
        <v> </v>
      </c>
      <c r="M139" s="8" t="str">
        <f aca="false">IF((F139-K139)&lt;&gt;0,M$1-A139," ")</f>
        <v> </v>
      </c>
      <c r="N139" s="5"/>
      <c r="O139" s="17" t="str">
        <f aca="false">IF((E139="s"),H139," ")</f>
        <v> </v>
      </c>
      <c r="P139" s="17" t="str">
        <f aca="false">IF((E139="c"),H139," ")</f>
        <v> </v>
      </c>
      <c r="Q139" s="17" t="str">
        <f aca="false">IF((E139="o"),H139," ")</f>
        <v> </v>
      </c>
      <c r="R139" s="17" t="str">
        <f aca="false">IF((E139="d"),H139," ")</f>
        <v> </v>
      </c>
      <c r="S139" s="17" t="str">
        <f aca="false">IF((E139="w"),H139," ")</f>
        <v> </v>
      </c>
      <c r="T139" s="17" t="str">
        <f aca="false">IF((E139="r"),H139," ")</f>
        <v> </v>
      </c>
      <c r="U139" s="17" t="str">
        <f aca="false">IF((E139="p"),H139," ")</f>
        <v> </v>
      </c>
      <c r="V139" s="17" t="str">
        <f aca="false">IF((E139="t"),H139," ")</f>
        <v> </v>
      </c>
      <c r="W139" s="17" t="str">
        <f aca="false">IF((E139="q"),H139," ")</f>
        <v> </v>
      </c>
      <c r="X139" s="17" t="str">
        <f aca="false">IF((E139="m"),H139," ")</f>
        <v> </v>
      </c>
      <c r="Y139" s="17" t="str">
        <f aca="false">IF((E139="u"),H139," ")</f>
        <v> </v>
      </c>
      <c r="Z139" s="17" t="str">
        <f aca="false">IF((E139="a"),H139," ")</f>
        <v> </v>
      </c>
      <c r="AA139" s="17" t="str">
        <f aca="false">IF((E139="g"),H139," ")</f>
        <v> </v>
      </c>
      <c r="AB139" s="17" t="str">
        <f aca="false">IF((E139="h"),H139," ")</f>
        <v> </v>
      </c>
      <c r="AC139" s="30" t="str">
        <f aca="false">IF((E139="v"),H139," ")</f>
        <v> </v>
      </c>
      <c r="AD139" s="30" t="str">
        <f aca="false">IF((E139="n"),H139," ")</f>
        <v> </v>
      </c>
      <c r="AE139" s="17" t="str">
        <f aca="false">IF((E139="f"),H139," ")</f>
        <v> </v>
      </c>
      <c r="AF139" s="17" t="str">
        <f aca="false">IF((E139="l"),H139," ")</f>
        <v> </v>
      </c>
      <c r="AG139" s="17" t="str">
        <f aca="false">IF((E139="y"),H139," ")</f>
        <v> </v>
      </c>
      <c r="AH139" s="17" t="str">
        <f aca="false">IF((E139="z"),H139," ")</f>
        <v> </v>
      </c>
      <c r="AI139" s="17" t="str">
        <f aca="false">IF((E139="fa"),H139," ")</f>
        <v> </v>
      </c>
      <c r="AJ139" s="17" t="str">
        <f aca="false">IF((E139="e"),H139," ")</f>
        <v> </v>
      </c>
    </row>
    <row r="140" customFormat="false" ht="12" hidden="false" customHeight="false" outlineLevel="0" collapsed="false">
      <c r="A140" s="28"/>
      <c r="E140" s="2" t="str">
        <f aca="false">IF((F140&lt;&gt;0),"Enter Letter"," ")</f>
        <v> </v>
      </c>
      <c r="F140" s="30"/>
      <c r="G140" s="6" t="str">
        <f aca="false">IF(F140&lt;&gt;0,F140*G$2/(100+G$2)," ")</f>
        <v> </v>
      </c>
      <c r="H140" s="6" t="str">
        <f aca="false">IF((F140&lt;&gt;0),F140-G140," ")</f>
        <v> </v>
      </c>
      <c r="I140" s="5"/>
      <c r="L140" s="7" t="str">
        <f aca="false">IF(F140&lt;&gt;0,F140-K140," ")</f>
        <v> </v>
      </c>
      <c r="M140" s="8" t="str">
        <f aca="false">IF((F140-K140)&lt;&gt;0,M$1-A140," ")</f>
        <v> </v>
      </c>
      <c r="N140" s="5"/>
      <c r="O140" s="17" t="str">
        <f aca="false">IF((E140="s"),H140," ")</f>
        <v> </v>
      </c>
      <c r="P140" s="17" t="str">
        <f aca="false">IF((E140="c"),H140," ")</f>
        <v> </v>
      </c>
      <c r="Q140" s="17" t="str">
        <f aca="false">IF((E140="o"),H140," ")</f>
        <v> </v>
      </c>
      <c r="R140" s="17" t="str">
        <f aca="false">IF((E140="d"),H140," ")</f>
        <v> </v>
      </c>
      <c r="S140" s="17" t="str">
        <f aca="false">IF((E140="w"),H140," ")</f>
        <v> </v>
      </c>
      <c r="T140" s="17" t="str">
        <f aca="false">IF((E140="r"),H140," ")</f>
        <v> </v>
      </c>
      <c r="U140" s="17" t="str">
        <f aca="false">IF((E140="p"),H140," ")</f>
        <v> </v>
      </c>
      <c r="V140" s="17" t="str">
        <f aca="false">IF((E140="t"),H140," ")</f>
        <v> </v>
      </c>
      <c r="W140" s="17" t="str">
        <f aca="false">IF((E140="q"),H140," ")</f>
        <v> </v>
      </c>
      <c r="X140" s="17" t="str">
        <f aca="false">IF((E140="m"),H140," ")</f>
        <v> </v>
      </c>
      <c r="Y140" s="17" t="str">
        <f aca="false">IF((E140="u"),H140," ")</f>
        <v> </v>
      </c>
      <c r="Z140" s="17" t="str">
        <f aca="false">IF((E140="a"),H140," ")</f>
        <v> </v>
      </c>
      <c r="AA140" s="17" t="str">
        <f aca="false">IF((E140="g"),H140," ")</f>
        <v> </v>
      </c>
      <c r="AB140" s="17" t="str">
        <f aca="false">IF((E140="h"),H140," ")</f>
        <v> </v>
      </c>
      <c r="AC140" s="30" t="str">
        <f aca="false">IF((E140="v"),H140," ")</f>
        <v> </v>
      </c>
      <c r="AD140" s="30" t="str">
        <f aca="false">IF((E140="n"),H140," ")</f>
        <v> </v>
      </c>
      <c r="AE140" s="17" t="str">
        <f aca="false">IF((E140="f"),H140," ")</f>
        <v> </v>
      </c>
      <c r="AF140" s="17" t="str">
        <f aca="false">IF((E140="l"),H140," ")</f>
        <v> </v>
      </c>
      <c r="AG140" s="17" t="str">
        <f aca="false">IF((E140="y"),H140," ")</f>
        <v> </v>
      </c>
      <c r="AH140" s="17" t="str">
        <f aca="false">IF((E140="z"),H140," ")</f>
        <v> </v>
      </c>
      <c r="AI140" s="17" t="str">
        <f aca="false">IF((E140="fa"),H140," ")</f>
        <v> </v>
      </c>
      <c r="AJ140" s="17" t="str">
        <f aca="false">IF((E140="e"),H140," ")</f>
        <v> </v>
      </c>
    </row>
    <row r="141" customFormat="false" ht="12" hidden="false" customHeight="false" outlineLevel="0" collapsed="false">
      <c r="A141" s="28"/>
      <c r="E141" s="2" t="str">
        <f aca="false">IF((F141&lt;&gt;0),"Enter Letter"," ")</f>
        <v> </v>
      </c>
      <c r="F141" s="30"/>
      <c r="G141" s="6" t="str">
        <f aca="false">IF(F141&lt;&gt;0,F141*G$2/(100+G$2)," ")</f>
        <v> </v>
      </c>
      <c r="H141" s="6" t="str">
        <f aca="false">IF((F141&lt;&gt;0),F141-G141," ")</f>
        <v> </v>
      </c>
      <c r="I141" s="5"/>
      <c r="L141" s="7" t="str">
        <f aca="false">IF(F141&lt;&gt;0,F141-K141," ")</f>
        <v> </v>
      </c>
      <c r="M141" s="8" t="str">
        <f aca="false">IF((F141-K141)&lt;&gt;0,M$1-A141," ")</f>
        <v> </v>
      </c>
      <c r="N141" s="5"/>
      <c r="O141" s="17" t="str">
        <f aca="false">IF((E141="s"),H141," ")</f>
        <v> </v>
      </c>
      <c r="P141" s="17" t="str">
        <f aca="false">IF((E141="c"),H141," ")</f>
        <v> </v>
      </c>
      <c r="Q141" s="17" t="str">
        <f aca="false">IF((E141="o"),H141," ")</f>
        <v> </v>
      </c>
      <c r="R141" s="17" t="str">
        <f aca="false">IF((E141="d"),H141," ")</f>
        <v> </v>
      </c>
      <c r="S141" s="17" t="str">
        <f aca="false">IF((E141="w"),H141," ")</f>
        <v> </v>
      </c>
      <c r="T141" s="17" t="str">
        <f aca="false">IF((E141="r"),H141," ")</f>
        <v> </v>
      </c>
      <c r="U141" s="17" t="str">
        <f aca="false">IF((E141="p"),H141," ")</f>
        <v> </v>
      </c>
      <c r="V141" s="17" t="str">
        <f aca="false">IF((E141="t"),H141," ")</f>
        <v> </v>
      </c>
      <c r="W141" s="17" t="str">
        <f aca="false">IF((E141="q"),H141," ")</f>
        <v> </v>
      </c>
      <c r="X141" s="17" t="str">
        <f aca="false">IF((E141="m"),H141," ")</f>
        <v> </v>
      </c>
      <c r="Y141" s="17" t="str">
        <f aca="false">IF((E141="u"),H141," ")</f>
        <v> </v>
      </c>
      <c r="Z141" s="17" t="str">
        <f aca="false">IF((E141="a"),H141," ")</f>
        <v> </v>
      </c>
      <c r="AA141" s="17" t="str">
        <f aca="false">IF((E141="g"),H141," ")</f>
        <v> </v>
      </c>
      <c r="AB141" s="17" t="str">
        <f aca="false">IF((E141="h"),H141," ")</f>
        <v> </v>
      </c>
      <c r="AC141" s="30" t="str">
        <f aca="false">IF((E141="v"),H141," ")</f>
        <v> </v>
      </c>
      <c r="AD141" s="30" t="str">
        <f aca="false">IF((E141="n"),H141," ")</f>
        <v> </v>
      </c>
      <c r="AE141" s="17" t="str">
        <f aca="false">IF((E141="f"),H141," ")</f>
        <v> </v>
      </c>
      <c r="AF141" s="17" t="str">
        <f aca="false">IF((E141="l"),H141," ")</f>
        <v> </v>
      </c>
      <c r="AG141" s="17" t="str">
        <f aca="false">IF((E141="y"),H141," ")</f>
        <v> </v>
      </c>
      <c r="AH141" s="17" t="str">
        <f aca="false">IF((E141="z"),H141," ")</f>
        <v> </v>
      </c>
      <c r="AI141" s="17" t="str">
        <f aca="false">IF((E141="fa"),H141," ")</f>
        <v> </v>
      </c>
      <c r="AJ141" s="17" t="str">
        <f aca="false">IF((E141="e"),H141," ")</f>
        <v> </v>
      </c>
    </row>
    <row r="142" customFormat="false" ht="12" hidden="false" customHeight="false" outlineLevel="0" collapsed="false">
      <c r="A142" s="28"/>
      <c r="E142" s="2" t="str">
        <f aca="false">IF((F142&lt;&gt;0),"Enter Letter"," ")</f>
        <v> </v>
      </c>
      <c r="F142" s="30"/>
      <c r="G142" s="6" t="str">
        <f aca="false">IF(F142&lt;&gt;0,F142*G$2/(100+G$2)," ")</f>
        <v> </v>
      </c>
      <c r="H142" s="6" t="str">
        <f aca="false">IF((F142&lt;&gt;0),F142-G142," ")</f>
        <v> </v>
      </c>
      <c r="I142" s="5"/>
      <c r="L142" s="7" t="str">
        <f aca="false">IF(F142&lt;&gt;0,F142-K142," ")</f>
        <v> </v>
      </c>
      <c r="M142" s="8" t="str">
        <f aca="false">IF((F142-K142)&lt;&gt;0,M$1-A142," ")</f>
        <v> </v>
      </c>
      <c r="N142" s="5"/>
      <c r="O142" s="17" t="str">
        <f aca="false">IF((E142="s"),H142," ")</f>
        <v> </v>
      </c>
      <c r="P142" s="17" t="str">
        <f aca="false">IF((E142="c"),H142," ")</f>
        <v> </v>
      </c>
      <c r="Q142" s="17" t="str">
        <f aca="false">IF((E142="o"),H142," ")</f>
        <v> </v>
      </c>
      <c r="R142" s="17" t="str">
        <f aca="false">IF((E142="d"),H142," ")</f>
        <v> </v>
      </c>
      <c r="S142" s="17" t="str">
        <f aca="false">IF((E142="w"),H142," ")</f>
        <v> </v>
      </c>
      <c r="T142" s="17" t="str">
        <f aca="false">IF((E142="r"),H142," ")</f>
        <v> </v>
      </c>
      <c r="U142" s="17" t="str">
        <f aca="false">IF((E142="p"),H142," ")</f>
        <v> </v>
      </c>
      <c r="V142" s="17" t="str">
        <f aca="false">IF((E142="t"),H142," ")</f>
        <v> </v>
      </c>
      <c r="W142" s="17" t="str">
        <f aca="false">IF((E142="q"),H142," ")</f>
        <v> </v>
      </c>
      <c r="X142" s="17" t="str">
        <f aca="false">IF((E142="m"),H142," ")</f>
        <v> </v>
      </c>
      <c r="Y142" s="17" t="str">
        <f aca="false">IF((E142="u"),H142," ")</f>
        <v> </v>
      </c>
      <c r="Z142" s="17" t="str">
        <f aca="false">IF((E142="a"),H142," ")</f>
        <v> </v>
      </c>
      <c r="AA142" s="17" t="str">
        <f aca="false">IF((E142="g"),H142," ")</f>
        <v> </v>
      </c>
      <c r="AB142" s="17" t="str">
        <f aca="false">IF((E142="h"),H142," ")</f>
        <v> </v>
      </c>
      <c r="AC142" s="30" t="str">
        <f aca="false">IF((E142="v"),H142," ")</f>
        <v> </v>
      </c>
      <c r="AD142" s="30" t="str">
        <f aca="false">IF((E142="n"),H142," ")</f>
        <v> </v>
      </c>
      <c r="AE142" s="17" t="str">
        <f aca="false">IF((E142="f"),H142," ")</f>
        <v> </v>
      </c>
      <c r="AF142" s="17" t="str">
        <f aca="false">IF((E142="l"),H142," ")</f>
        <v> </v>
      </c>
      <c r="AG142" s="17" t="str">
        <f aca="false">IF((E142="y"),H142," ")</f>
        <v> </v>
      </c>
      <c r="AH142" s="17" t="str">
        <f aca="false">IF((E142="z"),H142," ")</f>
        <v> </v>
      </c>
      <c r="AI142" s="17" t="str">
        <f aca="false">IF((E142="fa"),H142," ")</f>
        <v> </v>
      </c>
      <c r="AJ142" s="17" t="str">
        <f aca="false">IF((E142="e"),H142," ")</f>
        <v> </v>
      </c>
    </row>
    <row r="143" customFormat="false" ht="12" hidden="false" customHeight="false" outlineLevel="0" collapsed="false">
      <c r="A143" s="28"/>
      <c r="E143" s="2" t="str">
        <f aca="false">IF((F143&lt;&gt;0),"Enter Letter"," ")</f>
        <v> </v>
      </c>
      <c r="F143" s="30"/>
      <c r="G143" s="6" t="str">
        <f aca="false">IF(F143&lt;&gt;0,F143*G$2/(100+G$2)," ")</f>
        <v> </v>
      </c>
      <c r="H143" s="6" t="str">
        <f aca="false">IF((F143&lt;&gt;0),F143-G143," ")</f>
        <v> </v>
      </c>
      <c r="I143" s="5"/>
      <c r="L143" s="7" t="str">
        <f aca="false">IF(F143&lt;&gt;0,F143-K143," ")</f>
        <v> </v>
      </c>
      <c r="M143" s="8" t="str">
        <f aca="false">IF((F143-K143)&lt;&gt;0,M$1-A143," ")</f>
        <v> </v>
      </c>
      <c r="N143" s="5"/>
      <c r="O143" s="17" t="str">
        <f aca="false">IF((E143="s"),H143," ")</f>
        <v> </v>
      </c>
      <c r="P143" s="17" t="str">
        <f aca="false">IF((E143="c"),H143," ")</f>
        <v> </v>
      </c>
      <c r="Q143" s="17" t="str">
        <f aca="false">IF((E143="o"),H143," ")</f>
        <v> </v>
      </c>
      <c r="R143" s="17" t="str">
        <f aca="false">IF((E143="d"),H143," ")</f>
        <v> </v>
      </c>
      <c r="S143" s="17" t="str">
        <f aca="false">IF((E143="w"),H143," ")</f>
        <v> </v>
      </c>
      <c r="T143" s="17" t="str">
        <f aca="false">IF((E143="r"),H143," ")</f>
        <v> </v>
      </c>
      <c r="U143" s="17" t="str">
        <f aca="false">IF((E143="p"),H143," ")</f>
        <v> </v>
      </c>
      <c r="V143" s="17" t="str">
        <f aca="false">IF((E143="t"),H143," ")</f>
        <v> </v>
      </c>
      <c r="W143" s="17" t="str">
        <f aca="false">IF((E143="q"),H143," ")</f>
        <v> </v>
      </c>
      <c r="X143" s="17" t="str">
        <f aca="false">IF((E143="m"),H143," ")</f>
        <v> </v>
      </c>
      <c r="Y143" s="17" t="str">
        <f aca="false">IF((E143="u"),H143," ")</f>
        <v> </v>
      </c>
      <c r="Z143" s="17" t="str">
        <f aca="false">IF((E143="a"),H143," ")</f>
        <v> </v>
      </c>
      <c r="AA143" s="17" t="str">
        <f aca="false">IF((E143="g"),H143," ")</f>
        <v> </v>
      </c>
      <c r="AB143" s="17" t="str">
        <f aca="false">IF((E143="h"),H143," ")</f>
        <v> </v>
      </c>
      <c r="AC143" s="30" t="str">
        <f aca="false">IF((E143="v"),H143," ")</f>
        <v> </v>
      </c>
      <c r="AD143" s="30" t="str">
        <f aca="false">IF((E143="n"),H143," ")</f>
        <v> </v>
      </c>
      <c r="AE143" s="17" t="str">
        <f aca="false">IF((E143="f"),H143," ")</f>
        <v> </v>
      </c>
      <c r="AF143" s="17" t="str">
        <f aca="false">IF((E143="l"),H143," ")</f>
        <v> </v>
      </c>
      <c r="AG143" s="17" t="str">
        <f aca="false">IF((E143="y"),H143," ")</f>
        <v> </v>
      </c>
      <c r="AH143" s="17" t="str">
        <f aca="false">IF((E143="z"),H143," ")</f>
        <v> </v>
      </c>
      <c r="AI143" s="17" t="str">
        <f aca="false">IF((E143="fa"),H143," ")</f>
        <v> </v>
      </c>
      <c r="AJ143" s="17" t="str">
        <f aca="false">IF((E143="e"),H143," ")</f>
        <v> </v>
      </c>
    </row>
    <row r="144" customFormat="false" ht="12" hidden="false" customHeight="false" outlineLevel="0" collapsed="false">
      <c r="A144" s="28"/>
      <c r="E144" s="2" t="str">
        <f aca="false">IF((F144&lt;&gt;0),"Enter Letter"," ")</f>
        <v> </v>
      </c>
      <c r="F144" s="30"/>
      <c r="G144" s="6" t="str">
        <f aca="false">IF(F144&lt;&gt;0,F144*G$2/(100+G$2)," ")</f>
        <v> </v>
      </c>
      <c r="H144" s="6" t="str">
        <f aca="false">IF((F144&lt;&gt;0),F144-G144," ")</f>
        <v> </v>
      </c>
      <c r="I144" s="5"/>
      <c r="L144" s="7" t="str">
        <f aca="false">IF(F144&lt;&gt;0,F144-K144," ")</f>
        <v> </v>
      </c>
      <c r="M144" s="8" t="str">
        <f aca="false">IF((F144-K144)&lt;&gt;0,M$1-A144," ")</f>
        <v> </v>
      </c>
      <c r="N144" s="5"/>
      <c r="O144" s="17" t="str">
        <f aca="false">IF((E144="s"),H144," ")</f>
        <v> </v>
      </c>
      <c r="P144" s="17" t="str">
        <f aca="false">IF((E144="c"),H144," ")</f>
        <v> </v>
      </c>
      <c r="Q144" s="17" t="str">
        <f aca="false">IF((E144="o"),H144," ")</f>
        <v> </v>
      </c>
      <c r="R144" s="17" t="str">
        <f aca="false">IF((E144="d"),H144," ")</f>
        <v> </v>
      </c>
      <c r="S144" s="17" t="str">
        <f aca="false">IF((E144="w"),H144," ")</f>
        <v> </v>
      </c>
      <c r="T144" s="17" t="str">
        <f aca="false">IF((E144="r"),H144," ")</f>
        <v> </v>
      </c>
      <c r="U144" s="17" t="str">
        <f aca="false">IF((E144="p"),H144," ")</f>
        <v> </v>
      </c>
      <c r="V144" s="17" t="str">
        <f aca="false">IF((E144="t"),H144," ")</f>
        <v> </v>
      </c>
      <c r="W144" s="17" t="str">
        <f aca="false">IF((E144="q"),H144," ")</f>
        <v> </v>
      </c>
      <c r="X144" s="17" t="str">
        <f aca="false">IF((E144="m"),H144," ")</f>
        <v> </v>
      </c>
      <c r="Y144" s="17" t="str">
        <f aca="false">IF((E144="u"),H144," ")</f>
        <v> </v>
      </c>
      <c r="Z144" s="17" t="str">
        <f aca="false">IF((E144="a"),H144," ")</f>
        <v> </v>
      </c>
      <c r="AA144" s="17" t="str">
        <f aca="false">IF((E144="g"),H144," ")</f>
        <v> </v>
      </c>
      <c r="AB144" s="17" t="str">
        <f aca="false">IF((E144="h"),H144," ")</f>
        <v> </v>
      </c>
      <c r="AC144" s="30" t="str">
        <f aca="false">IF((E144="v"),H144," ")</f>
        <v> </v>
      </c>
      <c r="AD144" s="30" t="str">
        <f aca="false">IF((E144="n"),H144," ")</f>
        <v> </v>
      </c>
      <c r="AE144" s="17" t="str">
        <f aca="false">IF((E144="f"),H144," ")</f>
        <v> </v>
      </c>
      <c r="AF144" s="17" t="str">
        <f aca="false">IF((E144="l"),H144," ")</f>
        <v> </v>
      </c>
      <c r="AG144" s="17" t="str">
        <f aca="false">IF((E144="y"),H144," ")</f>
        <v> </v>
      </c>
      <c r="AH144" s="17" t="str">
        <f aca="false">IF((E144="z"),H144," ")</f>
        <v> </v>
      </c>
      <c r="AI144" s="17" t="str">
        <f aca="false">IF((E144="fa"),H144," ")</f>
        <v> </v>
      </c>
      <c r="AJ144" s="17" t="str">
        <f aca="false">IF((E144="e"),H144," ")</f>
        <v> </v>
      </c>
    </row>
    <row r="145" customFormat="false" ht="12" hidden="false" customHeight="false" outlineLevel="0" collapsed="false">
      <c r="A145" s="28"/>
      <c r="E145" s="2" t="str">
        <f aca="false">IF((F145&lt;&gt;0),"Enter Letter"," ")</f>
        <v> </v>
      </c>
      <c r="F145" s="30"/>
      <c r="G145" s="6" t="str">
        <f aca="false">IF(F145&lt;&gt;0,F145*G$2/(100+G$2)," ")</f>
        <v> </v>
      </c>
      <c r="H145" s="6" t="str">
        <f aca="false">IF((F145&lt;&gt;0),F145-G145," ")</f>
        <v> </v>
      </c>
      <c r="I145" s="5"/>
      <c r="L145" s="7" t="str">
        <f aca="false">IF(F145&lt;&gt;0,F145-K145," ")</f>
        <v> </v>
      </c>
      <c r="M145" s="8" t="str">
        <f aca="false">IF((F145-K145)&lt;&gt;0,M$1-A145," ")</f>
        <v> </v>
      </c>
      <c r="N145" s="5"/>
      <c r="O145" s="17" t="str">
        <f aca="false">IF((E145="s"),H145," ")</f>
        <v> </v>
      </c>
      <c r="P145" s="17" t="str">
        <f aca="false">IF((E145="c"),H145," ")</f>
        <v> </v>
      </c>
      <c r="Q145" s="17" t="str">
        <f aca="false">IF((E145="o"),H145," ")</f>
        <v> </v>
      </c>
      <c r="R145" s="17" t="str">
        <f aca="false">IF((E145="d"),H145," ")</f>
        <v> </v>
      </c>
      <c r="S145" s="17" t="str">
        <f aca="false">IF((E145="w"),H145," ")</f>
        <v> </v>
      </c>
      <c r="T145" s="17" t="str">
        <f aca="false">IF((E145="r"),H145," ")</f>
        <v> </v>
      </c>
      <c r="U145" s="17" t="str">
        <f aca="false">IF((E145="p"),H145," ")</f>
        <v> </v>
      </c>
      <c r="V145" s="17" t="str">
        <f aca="false">IF((E145="t"),H145," ")</f>
        <v> </v>
      </c>
      <c r="W145" s="17" t="str">
        <f aca="false">IF((E145="q"),H145," ")</f>
        <v> </v>
      </c>
      <c r="X145" s="17" t="str">
        <f aca="false">IF((E145="m"),H145," ")</f>
        <v> </v>
      </c>
      <c r="Y145" s="17" t="str">
        <f aca="false">IF((E145="u"),H145," ")</f>
        <v> </v>
      </c>
      <c r="Z145" s="17" t="str">
        <f aca="false">IF((E145="a"),H145," ")</f>
        <v> </v>
      </c>
      <c r="AA145" s="17" t="str">
        <f aca="false">IF((E145="g"),H145," ")</f>
        <v> </v>
      </c>
      <c r="AB145" s="17" t="str">
        <f aca="false">IF((E145="h"),H145," ")</f>
        <v> </v>
      </c>
      <c r="AC145" s="30" t="str">
        <f aca="false">IF((E145="v"),H145," ")</f>
        <v> </v>
      </c>
      <c r="AD145" s="30" t="str">
        <f aca="false">IF((E145="n"),H145," ")</f>
        <v> </v>
      </c>
      <c r="AE145" s="17" t="str">
        <f aca="false">IF((E145="f"),H145," ")</f>
        <v> </v>
      </c>
      <c r="AF145" s="17" t="str">
        <f aca="false">IF((E145="l"),H145," ")</f>
        <v> </v>
      </c>
      <c r="AG145" s="17" t="str">
        <f aca="false">IF((E145="y"),H145," ")</f>
        <v> </v>
      </c>
      <c r="AH145" s="17" t="str">
        <f aca="false">IF((E145="z"),H145," ")</f>
        <v> </v>
      </c>
      <c r="AI145" s="17" t="str">
        <f aca="false">IF((E145="fa"),H145," ")</f>
        <v> </v>
      </c>
      <c r="AJ145" s="17" t="str">
        <f aca="false">IF((E145="e"),H145," ")</f>
        <v> </v>
      </c>
    </row>
    <row r="146" customFormat="false" ht="12" hidden="false" customHeight="false" outlineLevel="0" collapsed="false">
      <c r="A146" s="28"/>
      <c r="E146" s="2" t="str">
        <f aca="false">IF((F146&lt;&gt;0),"Enter Letter"," ")</f>
        <v> </v>
      </c>
      <c r="F146" s="30"/>
      <c r="G146" s="6" t="str">
        <f aca="false">IF(F146&lt;&gt;0,F146*G$2/(100+G$2)," ")</f>
        <v> </v>
      </c>
      <c r="H146" s="6" t="str">
        <f aca="false">IF((F146&lt;&gt;0),F146-G146," ")</f>
        <v> </v>
      </c>
      <c r="I146" s="5"/>
      <c r="L146" s="7" t="str">
        <f aca="false">IF(F146&lt;&gt;0,F146-K146," ")</f>
        <v> </v>
      </c>
      <c r="M146" s="8" t="str">
        <f aca="false">IF((F146-K146)&lt;&gt;0,M$1-A146," ")</f>
        <v> </v>
      </c>
      <c r="N146" s="5"/>
      <c r="O146" s="17" t="str">
        <f aca="false">IF((E146="s"),H146," ")</f>
        <v> </v>
      </c>
      <c r="P146" s="17" t="str">
        <f aca="false">IF((E146="c"),H146," ")</f>
        <v> </v>
      </c>
      <c r="Q146" s="17" t="str">
        <f aca="false">IF((E146="o"),H146," ")</f>
        <v> </v>
      </c>
      <c r="R146" s="17" t="str">
        <f aca="false">IF((E146="d"),H146," ")</f>
        <v> </v>
      </c>
      <c r="S146" s="17" t="str">
        <f aca="false">IF((E146="w"),H146," ")</f>
        <v> </v>
      </c>
      <c r="T146" s="17" t="str">
        <f aca="false">IF((E146="r"),H146," ")</f>
        <v> </v>
      </c>
      <c r="U146" s="17" t="str">
        <f aca="false">IF((E146="p"),H146," ")</f>
        <v> </v>
      </c>
      <c r="V146" s="17" t="str">
        <f aca="false">IF((E146="t"),H146," ")</f>
        <v> </v>
      </c>
      <c r="W146" s="17" t="str">
        <f aca="false">IF((E146="q"),H146," ")</f>
        <v> </v>
      </c>
      <c r="X146" s="17" t="str">
        <f aca="false">IF((E146="m"),H146," ")</f>
        <v> </v>
      </c>
      <c r="Y146" s="17" t="str">
        <f aca="false">IF((E146="u"),H146," ")</f>
        <v> </v>
      </c>
      <c r="Z146" s="17" t="str">
        <f aca="false">IF((E146="a"),H146," ")</f>
        <v> </v>
      </c>
      <c r="AA146" s="17" t="str">
        <f aca="false">IF((E146="g"),H146," ")</f>
        <v> </v>
      </c>
      <c r="AB146" s="17" t="str">
        <f aca="false">IF((E146="h"),H146," ")</f>
        <v> </v>
      </c>
      <c r="AC146" s="30" t="str">
        <f aca="false">IF((E146="v"),H146," ")</f>
        <v> </v>
      </c>
      <c r="AD146" s="30" t="str">
        <f aca="false">IF((E146="n"),H146," ")</f>
        <v> </v>
      </c>
      <c r="AE146" s="17" t="str">
        <f aca="false">IF((E146="f"),H146," ")</f>
        <v> </v>
      </c>
      <c r="AF146" s="17" t="str">
        <f aca="false">IF((E146="l"),H146," ")</f>
        <v> </v>
      </c>
      <c r="AG146" s="17" t="str">
        <f aca="false">IF((E146="y"),H146," ")</f>
        <v> </v>
      </c>
      <c r="AH146" s="17" t="str">
        <f aca="false">IF((E146="z"),H146," ")</f>
        <v> </v>
      </c>
      <c r="AI146" s="17" t="str">
        <f aca="false">IF((E146="fa"),H146," ")</f>
        <v> </v>
      </c>
      <c r="AJ146" s="17" t="str">
        <f aca="false">IF((E146="e"),H146," ")</f>
        <v> </v>
      </c>
    </row>
    <row r="147" customFormat="false" ht="12" hidden="false" customHeight="false" outlineLevel="0" collapsed="false">
      <c r="A147" s="28"/>
      <c r="E147" s="2" t="str">
        <f aca="false">IF((F147&lt;&gt;0),"Enter Letter"," ")</f>
        <v> </v>
      </c>
      <c r="F147" s="30"/>
      <c r="G147" s="6" t="str">
        <f aca="false">IF(F147&lt;&gt;0,F147*G$2/(100+G$2)," ")</f>
        <v> </v>
      </c>
      <c r="H147" s="6" t="str">
        <f aca="false">IF((F147&lt;&gt;0),F147-G147," ")</f>
        <v> </v>
      </c>
      <c r="I147" s="5"/>
      <c r="L147" s="7" t="str">
        <f aca="false">IF(F147&lt;&gt;0,F147-K147," ")</f>
        <v> </v>
      </c>
      <c r="M147" s="8" t="str">
        <f aca="false">IF((F147-K147)&lt;&gt;0,M$1-A147," ")</f>
        <v> </v>
      </c>
      <c r="N147" s="5"/>
      <c r="O147" s="17" t="str">
        <f aca="false">IF((E147="s"),H147," ")</f>
        <v> </v>
      </c>
      <c r="P147" s="17" t="str">
        <f aca="false">IF((E147="c"),H147," ")</f>
        <v> </v>
      </c>
      <c r="Q147" s="17" t="str">
        <f aca="false">IF((E147="o"),H147," ")</f>
        <v> </v>
      </c>
      <c r="R147" s="17" t="str">
        <f aca="false">IF((E147="d"),H147," ")</f>
        <v> </v>
      </c>
      <c r="S147" s="17" t="str">
        <f aca="false">IF((E147="w"),H147," ")</f>
        <v> </v>
      </c>
      <c r="T147" s="17" t="str">
        <f aca="false">IF((E147="r"),H147," ")</f>
        <v> </v>
      </c>
      <c r="U147" s="17" t="str">
        <f aca="false">IF((E147="p"),H147," ")</f>
        <v> </v>
      </c>
      <c r="V147" s="17" t="str">
        <f aca="false">IF((E147="t"),H147," ")</f>
        <v> </v>
      </c>
      <c r="W147" s="17" t="str">
        <f aca="false">IF((E147="q"),H147," ")</f>
        <v> </v>
      </c>
      <c r="X147" s="17" t="str">
        <f aca="false">IF((E147="m"),H147," ")</f>
        <v> </v>
      </c>
      <c r="Y147" s="17" t="str">
        <f aca="false">IF((E147="u"),H147," ")</f>
        <v> </v>
      </c>
      <c r="Z147" s="17" t="str">
        <f aca="false">IF((E147="a"),H147," ")</f>
        <v> </v>
      </c>
      <c r="AA147" s="17" t="str">
        <f aca="false">IF((E147="g"),H147," ")</f>
        <v> </v>
      </c>
      <c r="AB147" s="17" t="str">
        <f aca="false">IF((E147="h"),H147," ")</f>
        <v> </v>
      </c>
      <c r="AC147" s="30" t="str">
        <f aca="false">IF((E147="v"),H147," ")</f>
        <v> </v>
      </c>
      <c r="AD147" s="30" t="str">
        <f aca="false">IF((E147="n"),H147," ")</f>
        <v> </v>
      </c>
      <c r="AE147" s="17" t="str">
        <f aca="false">IF((E147="f"),H147," ")</f>
        <v> </v>
      </c>
      <c r="AF147" s="17" t="str">
        <f aca="false">IF((E147="l"),H147," ")</f>
        <v> </v>
      </c>
      <c r="AG147" s="17" t="str">
        <f aca="false">IF((E147="y"),H147," ")</f>
        <v> </v>
      </c>
      <c r="AH147" s="17" t="str">
        <f aca="false">IF((E147="z"),H147," ")</f>
        <v> </v>
      </c>
      <c r="AI147" s="17" t="str">
        <f aca="false">IF((E147="fa"),H147," ")</f>
        <v> </v>
      </c>
      <c r="AJ147" s="17" t="str">
        <f aca="false">IF((E147="e"),H147," ")</f>
        <v> </v>
      </c>
    </row>
    <row r="148" customFormat="false" ht="12" hidden="false" customHeight="false" outlineLevel="0" collapsed="false">
      <c r="A148" s="28"/>
      <c r="E148" s="2" t="str">
        <f aca="false">IF((F148&lt;&gt;0),"Enter Letter"," ")</f>
        <v> </v>
      </c>
      <c r="F148" s="30"/>
      <c r="G148" s="6" t="str">
        <f aca="false">IF(F148&lt;&gt;0,F148*G$2/(100+G$2)," ")</f>
        <v> </v>
      </c>
      <c r="H148" s="6" t="str">
        <f aca="false">IF((F148&lt;&gt;0),F148-G148," ")</f>
        <v> </v>
      </c>
      <c r="I148" s="5"/>
      <c r="L148" s="7" t="str">
        <f aca="false">IF(F148&lt;&gt;0,F148-K148," ")</f>
        <v> </v>
      </c>
      <c r="M148" s="8" t="str">
        <f aca="false">IF((F148-K148)&lt;&gt;0,M$1-A148," ")</f>
        <v> </v>
      </c>
      <c r="N148" s="5"/>
      <c r="O148" s="17" t="str">
        <f aca="false">IF((E148="s"),H148," ")</f>
        <v> </v>
      </c>
      <c r="P148" s="17" t="str">
        <f aca="false">IF((E148="c"),H148," ")</f>
        <v> </v>
      </c>
      <c r="Q148" s="17" t="str">
        <f aca="false">IF((E148="o"),H148," ")</f>
        <v> </v>
      </c>
      <c r="R148" s="17" t="str">
        <f aca="false">IF((E148="d"),H148," ")</f>
        <v> </v>
      </c>
      <c r="S148" s="17" t="str">
        <f aca="false">IF((E148="w"),H148," ")</f>
        <v> </v>
      </c>
      <c r="T148" s="17" t="str">
        <f aca="false">IF((E148="r"),H148," ")</f>
        <v> </v>
      </c>
      <c r="U148" s="17" t="str">
        <f aca="false">IF((E148="p"),H148," ")</f>
        <v> </v>
      </c>
      <c r="V148" s="17" t="str">
        <f aca="false">IF((E148="t"),H148," ")</f>
        <v> </v>
      </c>
      <c r="W148" s="17" t="str">
        <f aca="false">IF((E148="q"),H148," ")</f>
        <v> </v>
      </c>
      <c r="X148" s="17" t="str">
        <f aca="false">IF((E148="m"),H148," ")</f>
        <v> </v>
      </c>
      <c r="Y148" s="17" t="str">
        <f aca="false">IF((E148="u"),H148," ")</f>
        <v> </v>
      </c>
      <c r="Z148" s="17" t="str">
        <f aca="false">IF((E148="a"),H148," ")</f>
        <v> </v>
      </c>
      <c r="AA148" s="17" t="str">
        <f aca="false">IF((E148="g"),H148," ")</f>
        <v> </v>
      </c>
      <c r="AB148" s="17" t="str">
        <f aca="false">IF((E148="h"),H148," ")</f>
        <v> </v>
      </c>
      <c r="AC148" s="30" t="str">
        <f aca="false">IF((E148="v"),H148," ")</f>
        <v> </v>
      </c>
      <c r="AD148" s="30" t="str">
        <f aca="false">IF((E148="n"),H148," ")</f>
        <v> </v>
      </c>
      <c r="AE148" s="17" t="str">
        <f aca="false">IF((E148="f"),H148," ")</f>
        <v> </v>
      </c>
      <c r="AF148" s="17" t="str">
        <f aca="false">IF((E148="l"),H148," ")</f>
        <v> </v>
      </c>
      <c r="AG148" s="17" t="str">
        <f aca="false">IF((E148="y"),H148," ")</f>
        <v> </v>
      </c>
      <c r="AH148" s="17" t="str">
        <f aca="false">IF((E148="z"),H148," ")</f>
        <v> </v>
      </c>
      <c r="AI148" s="17" t="str">
        <f aca="false">IF((E148="fa"),H148," ")</f>
        <v> </v>
      </c>
      <c r="AJ148" s="17" t="str">
        <f aca="false">IF((E148="e"),H148," ")</f>
        <v> </v>
      </c>
    </row>
    <row r="149" customFormat="false" ht="12" hidden="false" customHeight="false" outlineLevel="0" collapsed="false">
      <c r="A149" s="28"/>
      <c r="E149" s="2" t="str">
        <f aca="false">IF((F149&lt;&gt;0),"Enter Letter"," ")</f>
        <v> </v>
      </c>
      <c r="F149" s="30"/>
      <c r="G149" s="6" t="str">
        <f aca="false">IF(F149&lt;&gt;0,F149*G$2/(100+G$2)," ")</f>
        <v> </v>
      </c>
      <c r="H149" s="6" t="str">
        <f aca="false">IF((F149&lt;&gt;0),F149-G149," ")</f>
        <v> </v>
      </c>
      <c r="I149" s="5"/>
      <c r="L149" s="7" t="str">
        <f aca="false">IF(F149&lt;&gt;0,F149-K149," ")</f>
        <v> </v>
      </c>
      <c r="M149" s="8" t="str">
        <f aca="false">IF((F149-K149)&lt;&gt;0,M$1-A149," ")</f>
        <v> </v>
      </c>
      <c r="N149" s="5"/>
      <c r="O149" s="17" t="str">
        <f aca="false">IF((E149="s"),H149," ")</f>
        <v> </v>
      </c>
      <c r="P149" s="17" t="str">
        <f aca="false">IF((E149="c"),H149," ")</f>
        <v> </v>
      </c>
      <c r="Q149" s="17" t="str">
        <f aca="false">IF((E149="o"),H149," ")</f>
        <v> </v>
      </c>
      <c r="R149" s="17" t="str">
        <f aca="false">IF((E149="d"),H149," ")</f>
        <v> </v>
      </c>
      <c r="S149" s="17" t="str">
        <f aca="false">IF((E149="w"),H149," ")</f>
        <v> </v>
      </c>
      <c r="T149" s="17" t="str">
        <f aca="false">IF((E149="r"),H149," ")</f>
        <v> </v>
      </c>
      <c r="U149" s="17" t="str">
        <f aca="false">IF((E149="p"),H149," ")</f>
        <v> </v>
      </c>
      <c r="V149" s="17" t="str">
        <f aca="false">IF((E149="t"),H149," ")</f>
        <v> </v>
      </c>
      <c r="W149" s="17" t="str">
        <f aca="false">IF((E149="q"),H149," ")</f>
        <v> </v>
      </c>
      <c r="X149" s="17" t="str">
        <f aca="false">IF((E149="m"),H149," ")</f>
        <v> </v>
      </c>
      <c r="Y149" s="17" t="str">
        <f aca="false">IF((E149="u"),H149," ")</f>
        <v> </v>
      </c>
      <c r="Z149" s="17" t="str">
        <f aca="false">IF((E149="a"),H149," ")</f>
        <v> </v>
      </c>
      <c r="AA149" s="17" t="str">
        <f aca="false">IF((E149="g"),H149," ")</f>
        <v> </v>
      </c>
      <c r="AB149" s="17" t="str">
        <f aca="false">IF((E149="h"),H149," ")</f>
        <v> </v>
      </c>
      <c r="AC149" s="30" t="str">
        <f aca="false">IF((E149="v"),H149," ")</f>
        <v> </v>
      </c>
      <c r="AD149" s="30" t="str">
        <f aca="false">IF((E149="n"),H149," ")</f>
        <v> </v>
      </c>
      <c r="AE149" s="17" t="str">
        <f aca="false">IF((E149="f"),H149," ")</f>
        <v> </v>
      </c>
      <c r="AF149" s="17" t="str">
        <f aca="false">IF((E149="l"),H149," ")</f>
        <v> </v>
      </c>
      <c r="AG149" s="17" t="str">
        <f aca="false">IF((E149="y"),H149," ")</f>
        <v> </v>
      </c>
      <c r="AH149" s="17" t="str">
        <f aca="false">IF((E149="z"),H149," ")</f>
        <v> </v>
      </c>
      <c r="AI149" s="17" t="str">
        <f aca="false">IF((E149="fa"),H149," ")</f>
        <v> </v>
      </c>
      <c r="AJ149" s="17" t="str">
        <f aca="false">IF((E149="e"),H149," ")</f>
        <v> </v>
      </c>
    </row>
    <row r="150" customFormat="false" ht="12" hidden="false" customHeight="false" outlineLevel="0" collapsed="false">
      <c r="A150" s="28"/>
      <c r="E150" s="2" t="str">
        <f aca="false">IF((F150&lt;&gt;0),"Enter Letter"," ")</f>
        <v> </v>
      </c>
      <c r="F150" s="30"/>
      <c r="G150" s="6" t="str">
        <f aca="false">IF(F150&lt;&gt;0,F150*G$2/(100+G$2)," ")</f>
        <v> </v>
      </c>
      <c r="H150" s="6" t="str">
        <f aca="false">IF((F150&lt;&gt;0),F150-G150," ")</f>
        <v> </v>
      </c>
      <c r="I150" s="5"/>
      <c r="L150" s="7" t="str">
        <f aca="false">IF(F150&lt;&gt;0,F150-K150," ")</f>
        <v> </v>
      </c>
      <c r="M150" s="8" t="str">
        <f aca="false">IF((F150-K150)&lt;&gt;0,M$1-A150," ")</f>
        <v> </v>
      </c>
      <c r="N150" s="5"/>
      <c r="O150" s="17" t="str">
        <f aca="false">IF((E150="s"),H150," ")</f>
        <v> </v>
      </c>
      <c r="P150" s="17" t="str">
        <f aca="false">IF((E150="c"),H150," ")</f>
        <v> </v>
      </c>
      <c r="Q150" s="17" t="str">
        <f aca="false">IF((E150="o"),H150," ")</f>
        <v> </v>
      </c>
      <c r="R150" s="17" t="str">
        <f aca="false">IF((E150="d"),H150," ")</f>
        <v> </v>
      </c>
      <c r="S150" s="17" t="str">
        <f aca="false">IF((E150="w"),H150," ")</f>
        <v> </v>
      </c>
      <c r="T150" s="17" t="str">
        <f aca="false">IF((E150="r"),H150," ")</f>
        <v> </v>
      </c>
      <c r="U150" s="17" t="str">
        <f aca="false">IF((E150="p"),H150," ")</f>
        <v> </v>
      </c>
      <c r="V150" s="17" t="str">
        <f aca="false">IF((E150="t"),H150," ")</f>
        <v> </v>
      </c>
      <c r="W150" s="17" t="str">
        <f aca="false">IF((E150="q"),H150," ")</f>
        <v> </v>
      </c>
      <c r="X150" s="17" t="str">
        <f aca="false">IF((E150="m"),H150," ")</f>
        <v> </v>
      </c>
      <c r="Y150" s="17" t="str">
        <f aca="false">IF((E150="u"),H150," ")</f>
        <v> </v>
      </c>
      <c r="Z150" s="17" t="str">
        <f aca="false">IF((E150="a"),H150," ")</f>
        <v> </v>
      </c>
      <c r="AA150" s="17" t="str">
        <f aca="false">IF((E150="g"),H150," ")</f>
        <v> </v>
      </c>
      <c r="AB150" s="17" t="str">
        <f aca="false">IF((E150="h"),H150," ")</f>
        <v> </v>
      </c>
      <c r="AC150" s="30" t="str">
        <f aca="false">IF((E150="v"),H150," ")</f>
        <v> </v>
      </c>
      <c r="AD150" s="30" t="str">
        <f aca="false">IF((E150="n"),H150," ")</f>
        <v> </v>
      </c>
      <c r="AE150" s="17" t="str">
        <f aca="false">IF((E150="f"),H150," ")</f>
        <v> </v>
      </c>
      <c r="AF150" s="17" t="str">
        <f aca="false">IF((E150="l"),H150," ")</f>
        <v> </v>
      </c>
      <c r="AG150" s="17" t="str">
        <f aca="false">IF((E150="y"),H150," ")</f>
        <v> </v>
      </c>
      <c r="AH150" s="17" t="str">
        <f aca="false">IF((E150="z"),H150," ")</f>
        <v> </v>
      </c>
      <c r="AI150" s="17" t="str">
        <f aca="false">IF((E150="fa"),H150," ")</f>
        <v> </v>
      </c>
      <c r="AJ150" s="17" t="str">
        <f aca="false">IF((E150="e"),H150," ")</f>
        <v> </v>
      </c>
    </row>
    <row r="151" customFormat="false" ht="12" hidden="false" customHeight="false" outlineLevel="0" collapsed="false">
      <c r="A151" s="28"/>
      <c r="E151" s="2" t="str">
        <f aca="false">IF((F151&lt;&gt;0),"Enter Letter"," ")</f>
        <v> </v>
      </c>
      <c r="F151" s="30"/>
      <c r="G151" s="6" t="str">
        <f aca="false">IF(F151&lt;&gt;0,F151*G$2/(100+G$2)," ")</f>
        <v> </v>
      </c>
      <c r="H151" s="6" t="str">
        <f aca="false">IF((F151&lt;&gt;0),F151-G151," ")</f>
        <v> </v>
      </c>
      <c r="I151" s="5"/>
      <c r="L151" s="7" t="str">
        <f aca="false">IF(F151&lt;&gt;0,F151-K151," ")</f>
        <v> </v>
      </c>
      <c r="M151" s="8" t="str">
        <f aca="false">IF((F151-K151)&lt;&gt;0,M$1-A151," ")</f>
        <v> </v>
      </c>
      <c r="N151" s="5"/>
      <c r="O151" s="17" t="str">
        <f aca="false">IF((E151="s"),H151," ")</f>
        <v> </v>
      </c>
      <c r="P151" s="17" t="str">
        <f aca="false">IF((E151="c"),H151," ")</f>
        <v> </v>
      </c>
      <c r="Q151" s="17" t="str">
        <f aca="false">IF((E151="o"),H151," ")</f>
        <v> </v>
      </c>
      <c r="R151" s="17" t="str">
        <f aca="false">IF((E151="d"),H151," ")</f>
        <v> </v>
      </c>
      <c r="S151" s="17" t="str">
        <f aca="false">IF((E151="w"),H151," ")</f>
        <v> </v>
      </c>
      <c r="T151" s="17" t="str">
        <f aca="false">IF((E151="r"),H151," ")</f>
        <v> </v>
      </c>
      <c r="U151" s="17" t="str">
        <f aca="false">IF((E151="p"),H151," ")</f>
        <v> </v>
      </c>
      <c r="V151" s="17" t="str">
        <f aca="false">IF((E151="t"),H151," ")</f>
        <v> </v>
      </c>
      <c r="W151" s="17" t="str">
        <f aca="false">IF((E151="q"),H151," ")</f>
        <v> </v>
      </c>
      <c r="X151" s="17" t="str">
        <f aca="false">IF((E151="m"),H151," ")</f>
        <v> </v>
      </c>
      <c r="Y151" s="17" t="str">
        <f aca="false">IF((E151="u"),H151," ")</f>
        <v> </v>
      </c>
      <c r="Z151" s="17" t="str">
        <f aca="false">IF((E151="a"),H151," ")</f>
        <v> </v>
      </c>
      <c r="AA151" s="17" t="str">
        <f aca="false">IF((E151="g"),H151," ")</f>
        <v> </v>
      </c>
      <c r="AB151" s="17" t="str">
        <f aca="false">IF((E151="h"),H151," ")</f>
        <v> </v>
      </c>
      <c r="AC151" s="30" t="str">
        <f aca="false">IF((E151="v"),H151," ")</f>
        <v> </v>
      </c>
      <c r="AD151" s="30" t="str">
        <f aca="false">IF((E151="n"),H151," ")</f>
        <v> </v>
      </c>
      <c r="AE151" s="17" t="str">
        <f aca="false">IF((E151="f"),H151," ")</f>
        <v> </v>
      </c>
      <c r="AF151" s="17" t="str">
        <f aca="false">IF((E151="l"),H151," ")</f>
        <v> </v>
      </c>
      <c r="AG151" s="17" t="str">
        <f aca="false">IF((E151="y"),H151," ")</f>
        <v> </v>
      </c>
      <c r="AH151" s="17" t="str">
        <f aca="false">IF((E151="z"),H151," ")</f>
        <v> </v>
      </c>
      <c r="AI151" s="17" t="str">
        <f aca="false">IF((E151="fa"),H151," ")</f>
        <v> </v>
      </c>
      <c r="AJ151" s="17" t="str">
        <f aca="false">IF((E151="e"),H151," ")</f>
        <v> </v>
      </c>
    </row>
    <row r="152" customFormat="false" ht="12" hidden="false" customHeight="false" outlineLevel="0" collapsed="false">
      <c r="A152" s="28"/>
      <c r="E152" s="2" t="str">
        <f aca="false">IF((F152&lt;&gt;0),"Enter Letter"," ")</f>
        <v> </v>
      </c>
      <c r="F152" s="30"/>
      <c r="G152" s="6" t="str">
        <f aca="false">IF(F152&lt;&gt;0,F152*G$2/(100+G$2)," ")</f>
        <v> </v>
      </c>
      <c r="H152" s="6" t="str">
        <f aca="false">IF((F152&lt;&gt;0),F152-G152," ")</f>
        <v> </v>
      </c>
      <c r="I152" s="5"/>
      <c r="L152" s="7" t="str">
        <f aca="false">IF(F152&lt;&gt;0,F152-K152," ")</f>
        <v> </v>
      </c>
      <c r="M152" s="8" t="str">
        <f aca="false">IF((F152-K152)&lt;&gt;0,M$1-A152," ")</f>
        <v> </v>
      </c>
      <c r="N152" s="5"/>
      <c r="O152" s="17" t="str">
        <f aca="false">IF((E152="s"),H152," ")</f>
        <v> </v>
      </c>
      <c r="P152" s="17" t="str">
        <f aca="false">IF((E152="c"),H152," ")</f>
        <v> </v>
      </c>
      <c r="Q152" s="17" t="str">
        <f aca="false">IF((E152="o"),H152," ")</f>
        <v> </v>
      </c>
      <c r="R152" s="17" t="str">
        <f aca="false">IF((E152="d"),H152," ")</f>
        <v> </v>
      </c>
      <c r="S152" s="17" t="str">
        <f aca="false">IF((E152="w"),H152," ")</f>
        <v> </v>
      </c>
      <c r="T152" s="17" t="str">
        <f aca="false">IF((E152="r"),H152," ")</f>
        <v> </v>
      </c>
      <c r="U152" s="17" t="str">
        <f aca="false">IF((E152="p"),H152," ")</f>
        <v> </v>
      </c>
      <c r="V152" s="17" t="str">
        <f aca="false">IF((E152="t"),H152," ")</f>
        <v> </v>
      </c>
      <c r="W152" s="17" t="str">
        <f aca="false">IF((E152="q"),H152," ")</f>
        <v> </v>
      </c>
      <c r="X152" s="17" t="str">
        <f aca="false">IF((E152="m"),H152," ")</f>
        <v> </v>
      </c>
      <c r="Y152" s="17" t="str">
        <f aca="false">IF((E152="u"),H152," ")</f>
        <v> </v>
      </c>
      <c r="Z152" s="17" t="str">
        <f aca="false">IF((E152="a"),H152," ")</f>
        <v> </v>
      </c>
      <c r="AA152" s="17" t="str">
        <f aca="false">IF((E152="g"),H152," ")</f>
        <v> </v>
      </c>
      <c r="AB152" s="17" t="str">
        <f aca="false">IF((E152="h"),H152," ")</f>
        <v> </v>
      </c>
      <c r="AC152" s="30" t="str">
        <f aca="false">IF((E152="v"),H152," ")</f>
        <v> </v>
      </c>
      <c r="AD152" s="30" t="str">
        <f aca="false">IF((E152="n"),H152," ")</f>
        <v> </v>
      </c>
      <c r="AE152" s="17" t="str">
        <f aca="false">IF((E152="f"),H152," ")</f>
        <v> </v>
      </c>
      <c r="AF152" s="17" t="str">
        <f aca="false">IF((E152="l"),H152," ")</f>
        <v> </v>
      </c>
      <c r="AG152" s="17" t="str">
        <f aca="false">IF((E152="y"),H152," ")</f>
        <v> </v>
      </c>
      <c r="AH152" s="17" t="str">
        <f aca="false">IF((E152="z"),H152," ")</f>
        <v> </v>
      </c>
      <c r="AI152" s="17" t="str">
        <f aca="false">IF((E152="fa"),H152," ")</f>
        <v> </v>
      </c>
      <c r="AJ152" s="17" t="str">
        <f aca="false">IF((E152="e"),H152," ")</f>
        <v> </v>
      </c>
    </row>
    <row r="153" customFormat="false" ht="12" hidden="false" customHeight="false" outlineLevel="0" collapsed="false">
      <c r="A153" s="28"/>
      <c r="E153" s="2" t="str">
        <f aca="false">IF((F153&lt;&gt;0),"Enter Letter"," ")</f>
        <v> </v>
      </c>
      <c r="F153" s="30"/>
      <c r="G153" s="6" t="str">
        <f aca="false">IF(F153&lt;&gt;0,F153*G$2/(100+G$2)," ")</f>
        <v> </v>
      </c>
      <c r="H153" s="6" t="str">
        <f aca="false">IF((F153&lt;&gt;0),F153-G153," ")</f>
        <v> </v>
      </c>
      <c r="I153" s="5"/>
      <c r="L153" s="7" t="str">
        <f aca="false">IF(F153&lt;&gt;0,F153-K153," ")</f>
        <v> </v>
      </c>
      <c r="M153" s="8" t="str">
        <f aca="false">IF((F153-K153)&lt;&gt;0,M$1-A153," ")</f>
        <v> </v>
      </c>
      <c r="N153" s="5"/>
      <c r="O153" s="17" t="str">
        <f aca="false">IF((E153="s"),H153," ")</f>
        <v> </v>
      </c>
      <c r="P153" s="17" t="str">
        <f aca="false">IF((E153="c"),H153," ")</f>
        <v> </v>
      </c>
      <c r="Q153" s="17" t="str">
        <f aca="false">IF((E153="o"),H153," ")</f>
        <v> </v>
      </c>
      <c r="R153" s="17" t="str">
        <f aca="false">IF((E153="d"),H153," ")</f>
        <v> </v>
      </c>
      <c r="S153" s="17" t="str">
        <f aca="false">IF((E153="w"),H153," ")</f>
        <v> </v>
      </c>
      <c r="T153" s="17" t="str">
        <f aca="false">IF((E153="r"),H153," ")</f>
        <v> </v>
      </c>
      <c r="U153" s="17" t="str">
        <f aca="false">IF((E153="p"),H153," ")</f>
        <v> </v>
      </c>
      <c r="V153" s="17" t="str">
        <f aca="false">IF((E153="t"),H153," ")</f>
        <v> </v>
      </c>
      <c r="W153" s="17" t="str">
        <f aca="false">IF((E153="q"),H153," ")</f>
        <v> </v>
      </c>
      <c r="X153" s="17" t="str">
        <f aca="false">IF((E153="m"),H153," ")</f>
        <v> </v>
      </c>
      <c r="Y153" s="17" t="str">
        <f aca="false">IF((E153="u"),H153," ")</f>
        <v> </v>
      </c>
      <c r="Z153" s="17" t="str">
        <f aca="false">IF((E153="a"),H153," ")</f>
        <v> </v>
      </c>
      <c r="AA153" s="17" t="str">
        <f aca="false">IF((E153="g"),H153," ")</f>
        <v> </v>
      </c>
      <c r="AB153" s="17" t="str">
        <f aca="false">IF((E153="h"),H153," ")</f>
        <v> </v>
      </c>
      <c r="AC153" s="30" t="str">
        <f aca="false">IF((E153="v"),H153," ")</f>
        <v> </v>
      </c>
      <c r="AD153" s="30" t="str">
        <f aca="false">IF((E153="n"),H153," ")</f>
        <v> </v>
      </c>
      <c r="AE153" s="17" t="str">
        <f aca="false">IF((E153="f"),H153," ")</f>
        <v> </v>
      </c>
      <c r="AF153" s="17" t="str">
        <f aca="false">IF((E153="l"),H153," ")</f>
        <v> </v>
      </c>
      <c r="AG153" s="17" t="str">
        <f aca="false">IF((E153="y"),H153," ")</f>
        <v> </v>
      </c>
      <c r="AH153" s="17" t="str">
        <f aca="false">IF((E153="z"),H153," ")</f>
        <v> </v>
      </c>
      <c r="AI153" s="17" t="str">
        <f aca="false">IF((E153="fa"),H153," ")</f>
        <v> </v>
      </c>
      <c r="AJ153" s="17" t="str">
        <f aca="false">IF((E153="e"),H153," ")</f>
        <v> </v>
      </c>
    </row>
    <row r="154" customFormat="false" ht="12" hidden="false" customHeight="false" outlineLevel="0" collapsed="false">
      <c r="A154" s="28"/>
      <c r="E154" s="2" t="str">
        <f aca="false">IF((F154&lt;&gt;0),"Enter Letter"," ")</f>
        <v> </v>
      </c>
      <c r="F154" s="30"/>
      <c r="G154" s="6" t="str">
        <f aca="false">IF(F154&lt;&gt;0,F154*G$2/(100+G$2)," ")</f>
        <v> </v>
      </c>
      <c r="H154" s="6" t="str">
        <f aca="false">IF((F154&lt;&gt;0),F154-G154," ")</f>
        <v> </v>
      </c>
      <c r="I154" s="5"/>
      <c r="L154" s="7" t="str">
        <f aca="false">IF(F154&lt;&gt;0,F154-K154," ")</f>
        <v> </v>
      </c>
      <c r="M154" s="8" t="str">
        <f aca="false">IF((F154-K154)&lt;&gt;0,M$1-A154," ")</f>
        <v> </v>
      </c>
      <c r="N154" s="5"/>
      <c r="O154" s="17" t="str">
        <f aca="false">IF((E154="s"),H154," ")</f>
        <v> </v>
      </c>
      <c r="P154" s="17" t="str">
        <f aca="false">IF((E154="c"),H154," ")</f>
        <v> </v>
      </c>
      <c r="Q154" s="17" t="str">
        <f aca="false">IF((E154="o"),H154," ")</f>
        <v> </v>
      </c>
      <c r="R154" s="17" t="str">
        <f aca="false">IF((E154="d"),H154," ")</f>
        <v> </v>
      </c>
      <c r="S154" s="17" t="str">
        <f aca="false">IF((E154="w"),H154," ")</f>
        <v> </v>
      </c>
      <c r="T154" s="17" t="str">
        <f aca="false">IF((E154="r"),H154," ")</f>
        <v> </v>
      </c>
      <c r="U154" s="17" t="str">
        <f aca="false">IF((E154="p"),H154," ")</f>
        <v> </v>
      </c>
      <c r="V154" s="17" t="str">
        <f aca="false">IF((E154="t"),H154," ")</f>
        <v> </v>
      </c>
      <c r="W154" s="17" t="str">
        <f aca="false">IF((E154="q"),H154," ")</f>
        <v> </v>
      </c>
      <c r="X154" s="17" t="str">
        <f aca="false">IF((E154="m"),H154," ")</f>
        <v> </v>
      </c>
      <c r="Y154" s="17" t="str">
        <f aca="false">IF((E154="u"),H154," ")</f>
        <v> </v>
      </c>
      <c r="Z154" s="17" t="str">
        <f aca="false">IF((E154="a"),H154," ")</f>
        <v> </v>
      </c>
      <c r="AA154" s="17" t="str">
        <f aca="false">IF((E154="g"),H154," ")</f>
        <v> </v>
      </c>
      <c r="AB154" s="17" t="str">
        <f aca="false">IF((E154="h"),H154," ")</f>
        <v> </v>
      </c>
      <c r="AC154" s="30" t="str">
        <f aca="false">IF((E154="v"),H154," ")</f>
        <v> </v>
      </c>
      <c r="AD154" s="30" t="str">
        <f aca="false">IF((E154="n"),H154," ")</f>
        <v> </v>
      </c>
      <c r="AE154" s="17" t="str">
        <f aca="false">IF((E154="f"),H154," ")</f>
        <v> </v>
      </c>
      <c r="AF154" s="17" t="str">
        <f aca="false">IF((E154="l"),H154," ")</f>
        <v> </v>
      </c>
      <c r="AG154" s="17" t="str">
        <f aca="false">IF((E154="y"),H154," ")</f>
        <v> </v>
      </c>
      <c r="AH154" s="17" t="str">
        <f aca="false">IF((E154="z"),H154," ")</f>
        <v> </v>
      </c>
      <c r="AI154" s="17" t="str">
        <f aca="false">IF((E154="fa"),H154," ")</f>
        <v> </v>
      </c>
      <c r="AJ154" s="17" t="str">
        <f aca="false">IF((E154="e"),H154," ")</f>
        <v> </v>
      </c>
    </row>
    <row r="155" customFormat="false" ht="12" hidden="false" customHeight="false" outlineLevel="0" collapsed="false">
      <c r="A155" s="28"/>
      <c r="E155" s="2" t="str">
        <f aca="false">IF((F155&lt;&gt;0),"Enter Letter"," ")</f>
        <v> </v>
      </c>
      <c r="F155" s="30"/>
      <c r="G155" s="6" t="str">
        <f aca="false">IF(F155&lt;&gt;0,F155*G$2/(100+G$2)," ")</f>
        <v> </v>
      </c>
      <c r="H155" s="6" t="str">
        <f aca="false">IF((F155&lt;&gt;0),F155-G155," ")</f>
        <v> </v>
      </c>
      <c r="I155" s="5"/>
      <c r="L155" s="7" t="str">
        <f aca="false">IF(F155&lt;&gt;0,F155-K155," ")</f>
        <v> </v>
      </c>
      <c r="M155" s="8" t="str">
        <f aca="false">IF((F155-K155)&lt;&gt;0,M$1-A155," ")</f>
        <v> </v>
      </c>
      <c r="N155" s="5"/>
      <c r="O155" s="17" t="str">
        <f aca="false">IF((E155="s"),H155," ")</f>
        <v> </v>
      </c>
      <c r="P155" s="17" t="str">
        <f aca="false">IF((E155="c"),H155," ")</f>
        <v> </v>
      </c>
      <c r="Q155" s="17" t="str">
        <f aca="false">IF((E155="o"),H155," ")</f>
        <v> </v>
      </c>
      <c r="R155" s="17" t="str">
        <f aca="false">IF((E155="d"),H155," ")</f>
        <v> </v>
      </c>
      <c r="S155" s="17" t="str">
        <f aca="false">IF((E155="w"),H155," ")</f>
        <v> </v>
      </c>
      <c r="T155" s="17" t="str">
        <f aca="false">IF((E155="r"),H155," ")</f>
        <v> </v>
      </c>
      <c r="U155" s="17" t="str">
        <f aca="false">IF((E155="p"),H155," ")</f>
        <v> </v>
      </c>
      <c r="V155" s="17" t="str">
        <f aca="false">IF((E155="t"),H155," ")</f>
        <v> </v>
      </c>
      <c r="W155" s="17" t="str">
        <f aca="false">IF((E155="q"),H155," ")</f>
        <v> </v>
      </c>
      <c r="X155" s="17" t="str">
        <f aca="false">IF((E155="m"),H155," ")</f>
        <v> </v>
      </c>
      <c r="Y155" s="17" t="str">
        <f aca="false">IF((E155="u"),H155," ")</f>
        <v> </v>
      </c>
      <c r="Z155" s="17" t="str">
        <f aca="false">IF((E155="a"),H155," ")</f>
        <v> </v>
      </c>
      <c r="AA155" s="17" t="str">
        <f aca="false">IF((E155="g"),H155," ")</f>
        <v> </v>
      </c>
      <c r="AB155" s="17" t="str">
        <f aca="false">IF((E155="h"),H155," ")</f>
        <v> </v>
      </c>
      <c r="AC155" s="30" t="str">
        <f aca="false">IF((E155="v"),H155," ")</f>
        <v> </v>
      </c>
      <c r="AD155" s="30" t="str">
        <f aca="false">IF((E155="n"),H155," ")</f>
        <v> </v>
      </c>
      <c r="AE155" s="17" t="str">
        <f aca="false">IF((E155="f"),H155," ")</f>
        <v> </v>
      </c>
      <c r="AF155" s="17" t="str">
        <f aca="false">IF((E155="l"),H155," ")</f>
        <v> </v>
      </c>
      <c r="AG155" s="17" t="str">
        <f aca="false">IF((E155="y"),H155," ")</f>
        <v> </v>
      </c>
      <c r="AH155" s="17" t="str">
        <f aca="false">IF((E155="z"),H155," ")</f>
        <v> </v>
      </c>
      <c r="AI155" s="17" t="str">
        <f aca="false">IF((E155="fa"),H155," ")</f>
        <v> </v>
      </c>
      <c r="AJ155" s="17" t="str">
        <f aca="false">IF((E155="e"),H155," ")</f>
        <v> </v>
      </c>
    </row>
    <row r="156" customFormat="false" ht="12" hidden="false" customHeight="false" outlineLevel="0" collapsed="false">
      <c r="A156" s="28"/>
      <c r="E156" s="2" t="str">
        <f aca="false">IF((F156&lt;&gt;0),"Enter Letter"," ")</f>
        <v> </v>
      </c>
      <c r="F156" s="30"/>
      <c r="G156" s="6" t="str">
        <f aca="false">IF(F156&lt;&gt;0,F156*G$2/(100+G$2)," ")</f>
        <v> </v>
      </c>
      <c r="H156" s="6" t="str">
        <f aca="false">IF((F156&lt;&gt;0),F156-G156," ")</f>
        <v> </v>
      </c>
      <c r="I156" s="5"/>
      <c r="L156" s="7" t="str">
        <f aca="false">IF(F156&lt;&gt;0,F156-K156," ")</f>
        <v> </v>
      </c>
      <c r="M156" s="8" t="str">
        <f aca="false">IF((F156-K156)&lt;&gt;0,M$1-A156," ")</f>
        <v> </v>
      </c>
      <c r="N156" s="5"/>
      <c r="O156" s="17" t="str">
        <f aca="false">IF((E156="s"),H156," ")</f>
        <v> </v>
      </c>
      <c r="P156" s="17" t="str">
        <f aca="false">IF((E156="c"),H156," ")</f>
        <v> </v>
      </c>
      <c r="Q156" s="17" t="str">
        <f aca="false">IF((E156="o"),H156," ")</f>
        <v> </v>
      </c>
      <c r="R156" s="17" t="str">
        <f aca="false">IF((E156="d"),H156," ")</f>
        <v> </v>
      </c>
      <c r="S156" s="17" t="str">
        <f aca="false">IF((E156="w"),H156," ")</f>
        <v> </v>
      </c>
      <c r="T156" s="17" t="str">
        <f aca="false">IF((E156="r"),H156," ")</f>
        <v> </v>
      </c>
      <c r="U156" s="17" t="str">
        <f aca="false">IF((E156="p"),H156," ")</f>
        <v> </v>
      </c>
      <c r="V156" s="17" t="str">
        <f aca="false">IF((E156="t"),H156," ")</f>
        <v> </v>
      </c>
      <c r="W156" s="17" t="str">
        <f aca="false">IF((E156="q"),H156," ")</f>
        <v> </v>
      </c>
      <c r="X156" s="17" t="str">
        <f aca="false">IF((E156="m"),H156," ")</f>
        <v> </v>
      </c>
      <c r="Y156" s="17" t="str">
        <f aca="false">IF((E156="u"),H156," ")</f>
        <v> </v>
      </c>
      <c r="Z156" s="17" t="str">
        <f aca="false">IF((E156="a"),H156," ")</f>
        <v> </v>
      </c>
      <c r="AA156" s="17" t="str">
        <f aca="false">IF((E156="g"),H156," ")</f>
        <v> </v>
      </c>
      <c r="AB156" s="17" t="str">
        <f aca="false">IF((E156="h"),H156," ")</f>
        <v> </v>
      </c>
      <c r="AC156" s="30" t="str">
        <f aca="false">IF((E156="v"),H156," ")</f>
        <v> </v>
      </c>
      <c r="AD156" s="30" t="str">
        <f aca="false">IF((E156="n"),H156," ")</f>
        <v> </v>
      </c>
      <c r="AE156" s="17" t="str">
        <f aca="false">IF((E156="f"),H156," ")</f>
        <v> </v>
      </c>
      <c r="AF156" s="17" t="str">
        <f aca="false">IF((E156="l"),H156," ")</f>
        <v> </v>
      </c>
      <c r="AG156" s="17" t="str">
        <f aca="false">IF((E156="y"),H156," ")</f>
        <v> </v>
      </c>
      <c r="AH156" s="17" t="str">
        <f aca="false">IF((E156="z"),H156," ")</f>
        <v> </v>
      </c>
      <c r="AI156" s="17" t="str">
        <f aca="false">IF((E156="fa"),H156," ")</f>
        <v> </v>
      </c>
      <c r="AJ156" s="17" t="str">
        <f aca="false">IF((E156="e"),H156," ")</f>
        <v> </v>
      </c>
    </row>
    <row r="157" customFormat="false" ht="12" hidden="false" customHeight="false" outlineLevel="0" collapsed="false">
      <c r="A157" s="28"/>
      <c r="E157" s="2" t="str">
        <f aca="false">IF((F157&lt;&gt;0),"Enter Letter"," ")</f>
        <v> </v>
      </c>
      <c r="F157" s="30"/>
      <c r="G157" s="6" t="str">
        <f aca="false">IF(F157&lt;&gt;0,F157*G$2/(100+G$2)," ")</f>
        <v> </v>
      </c>
      <c r="H157" s="6" t="str">
        <f aca="false">IF((F157&lt;&gt;0),F157-G157," ")</f>
        <v> </v>
      </c>
      <c r="I157" s="5"/>
      <c r="L157" s="7" t="str">
        <f aca="false">IF(F157&lt;&gt;0,F157-K157," ")</f>
        <v> </v>
      </c>
      <c r="M157" s="8" t="str">
        <f aca="false">IF((F157-K157)&lt;&gt;0,M$1-A157," ")</f>
        <v> </v>
      </c>
      <c r="N157" s="5"/>
      <c r="O157" s="17" t="str">
        <f aca="false">IF((E157="s"),H157," ")</f>
        <v> </v>
      </c>
      <c r="P157" s="17" t="str">
        <f aca="false">IF((E157="c"),H157," ")</f>
        <v> </v>
      </c>
      <c r="Q157" s="17" t="str">
        <f aca="false">IF((E157="o"),H157," ")</f>
        <v> </v>
      </c>
      <c r="R157" s="17" t="str">
        <f aca="false">IF((E157="d"),H157," ")</f>
        <v> </v>
      </c>
      <c r="S157" s="17" t="str">
        <f aca="false">IF((E157="w"),H157," ")</f>
        <v> </v>
      </c>
      <c r="T157" s="17" t="str">
        <f aca="false">IF((E157="r"),H157," ")</f>
        <v> </v>
      </c>
      <c r="U157" s="17" t="str">
        <f aca="false">IF((E157="p"),H157," ")</f>
        <v> </v>
      </c>
      <c r="V157" s="17" t="str">
        <f aca="false">IF((E157="t"),H157," ")</f>
        <v> </v>
      </c>
      <c r="W157" s="17" t="str">
        <f aca="false">IF((E157="q"),H157," ")</f>
        <v> </v>
      </c>
      <c r="X157" s="17" t="str">
        <f aca="false">IF((E157="m"),H157," ")</f>
        <v> </v>
      </c>
      <c r="Y157" s="17" t="str">
        <f aca="false">IF((E157="u"),H157," ")</f>
        <v> </v>
      </c>
      <c r="Z157" s="17" t="str">
        <f aca="false">IF((E157="a"),H157," ")</f>
        <v> </v>
      </c>
      <c r="AA157" s="17" t="str">
        <f aca="false">IF((E157="g"),H157," ")</f>
        <v> </v>
      </c>
      <c r="AB157" s="17" t="str">
        <f aca="false">IF((E157="h"),H157," ")</f>
        <v> </v>
      </c>
      <c r="AC157" s="30" t="str">
        <f aca="false">IF((E157="v"),H157," ")</f>
        <v> </v>
      </c>
      <c r="AD157" s="30" t="str">
        <f aca="false">IF((E157="n"),H157," ")</f>
        <v> </v>
      </c>
      <c r="AE157" s="17" t="str">
        <f aca="false">IF((E157="f"),H157," ")</f>
        <v> </v>
      </c>
      <c r="AF157" s="17" t="str">
        <f aca="false">IF((E157="l"),H157," ")</f>
        <v> </v>
      </c>
      <c r="AG157" s="17" t="str">
        <f aca="false">IF((E157="y"),H157," ")</f>
        <v> </v>
      </c>
      <c r="AH157" s="17" t="str">
        <f aca="false">IF((E157="z"),H157," ")</f>
        <v> </v>
      </c>
      <c r="AI157" s="17" t="str">
        <f aca="false">IF((E157="fa"),H157," ")</f>
        <v> </v>
      </c>
      <c r="AJ157" s="17" t="str">
        <f aca="false">IF((E157="e"),H157," ")</f>
        <v> </v>
      </c>
    </row>
    <row r="158" customFormat="false" ht="12" hidden="false" customHeight="false" outlineLevel="0" collapsed="false">
      <c r="A158" s="28"/>
      <c r="E158" s="2" t="str">
        <f aca="false">IF((F158&lt;&gt;0),"Enter Letter"," ")</f>
        <v> </v>
      </c>
      <c r="F158" s="30"/>
      <c r="G158" s="6" t="str">
        <f aca="false">IF(F158&lt;&gt;0,F158*G$2/(100+G$2)," ")</f>
        <v> </v>
      </c>
      <c r="H158" s="6" t="str">
        <f aca="false">IF((F158&lt;&gt;0),F158-G158," ")</f>
        <v> </v>
      </c>
      <c r="I158" s="5"/>
      <c r="L158" s="7" t="str">
        <f aca="false">IF(F158&lt;&gt;0,F158-K158," ")</f>
        <v> </v>
      </c>
      <c r="M158" s="8" t="str">
        <f aca="false">IF((F158-K158)&lt;&gt;0,M$1-A158," ")</f>
        <v> </v>
      </c>
      <c r="N158" s="5"/>
      <c r="O158" s="17" t="str">
        <f aca="false">IF((E158="s"),H158," ")</f>
        <v> </v>
      </c>
      <c r="P158" s="17" t="str">
        <f aca="false">IF((E158="c"),H158," ")</f>
        <v> </v>
      </c>
      <c r="Q158" s="17" t="str">
        <f aca="false">IF((E158="o"),H158," ")</f>
        <v> </v>
      </c>
      <c r="R158" s="17" t="str">
        <f aca="false">IF((E158="d"),H158," ")</f>
        <v> </v>
      </c>
      <c r="S158" s="17" t="str">
        <f aca="false">IF((E158="w"),H158," ")</f>
        <v> </v>
      </c>
      <c r="T158" s="17" t="str">
        <f aca="false">IF((E158="r"),H158," ")</f>
        <v> </v>
      </c>
      <c r="U158" s="17" t="str">
        <f aca="false">IF((E158="p"),H158," ")</f>
        <v> </v>
      </c>
      <c r="V158" s="17" t="str">
        <f aca="false">IF((E158="t"),H158," ")</f>
        <v> </v>
      </c>
      <c r="W158" s="17" t="str">
        <f aca="false">IF((E158="q"),H158," ")</f>
        <v> </v>
      </c>
      <c r="X158" s="17" t="str">
        <f aca="false">IF((E158="m"),H158," ")</f>
        <v> </v>
      </c>
      <c r="Y158" s="17" t="str">
        <f aca="false">IF((E158="u"),H158," ")</f>
        <v> </v>
      </c>
      <c r="Z158" s="17" t="str">
        <f aca="false">IF((E158="a"),H158," ")</f>
        <v> </v>
      </c>
      <c r="AA158" s="17" t="str">
        <f aca="false">IF((E158="g"),H158," ")</f>
        <v> </v>
      </c>
      <c r="AB158" s="17" t="str">
        <f aca="false">IF((E158="h"),H158," ")</f>
        <v> </v>
      </c>
      <c r="AC158" s="30" t="str">
        <f aca="false">IF((E158="v"),H158," ")</f>
        <v> </v>
      </c>
      <c r="AD158" s="30" t="str">
        <f aca="false">IF((E158="n"),H158," ")</f>
        <v> </v>
      </c>
      <c r="AE158" s="17" t="str">
        <f aca="false">IF((E158="f"),H158," ")</f>
        <v> </v>
      </c>
      <c r="AF158" s="17" t="str">
        <f aca="false">IF((E158="l"),H158," ")</f>
        <v> </v>
      </c>
      <c r="AG158" s="17" t="str">
        <f aca="false">IF((E158="y"),H158," ")</f>
        <v> </v>
      </c>
      <c r="AH158" s="17" t="str">
        <f aca="false">IF((E158="z"),H158," ")</f>
        <v> </v>
      </c>
      <c r="AI158" s="17" t="str">
        <f aca="false">IF((E158="fa"),H158," ")</f>
        <v> </v>
      </c>
      <c r="AJ158" s="17" t="str">
        <f aca="false">IF((E158="e"),H158," ")</f>
        <v> </v>
      </c>
    </row>
    <row r="159" customFormat="false" ht="12" hidden="false" customHeight="false" outlineLevel="0" collapsed="false">
      <c r="A159" s="28"/>
      <c r="E159" s="2" t="str">
        <f aca="false">IF((F159&lt;&gt;0),"Enter Letter"," ")</f>
        <v> </v>
      </c>
      <c r="F159" s="30"/>
      <c r="G159" s="6" t="str">
        <f aca="false">IF(F159&lt;&gt;0,F159*G$2/(100+G$2)," ")</f>
        <v> </v>
      </c>
      <c r="H159" s="6" t="str">
        <f aca="false">IF((F159&lt;&gt;0),F159-G159," ")</f>
        <v> </v>
      </c>
      <c r="I159" s="5"/>
      <c r="L159" s="7" t="str">
        <f aca="false">IF(F159&lt;&gt;0,F159-K159," ")</f>
        <v> </v>
      </c>
      <c r="M159" s="8" t="str">
        <f aca="false">IF((F159-K159)&lt;&gt;0,M$1-A159," ")</f>
        <v> </v>
      </c>
      <c r="N159" s="5"/>
      <c r="O159" s="17" t="str">
        <f aca="false">IF((E159="s"),H159," ")</f>
        <v> </v>
      </c>
      <c r="P159" s="17" t="str">
        <f aca="false">IF((E159="c"),H159," ")</f>
        <v> </v>
      </c>
      <c r="Q159" s="17" t="str">
        <f aca="false">IF((E159="o"),H159," ")</f>
        <v> </v>
      </c>
      <c r="R159" s="17" t="str">
        <f aca="false">IF((E159="d"),H159," ")</f>
        <v> </v>
      </c>
      <c r="S159" s="17" t="str">
        <f aca="false">IF((E159="w"),H159," ")</f>
        <v> </v>
      </c>
      <c r="T159" s="17" t="str">
        <f aca="false">IF((E159="r"),H159," ")</f>
        <v> </v>
      </c>
      <c r="U159" s="17" t="str">
        <f aca="false">IF((E159="p"),H159," ")</f>
        <v> </v>
      </c>
      <c r="V159" s="17" t="str">
        <f aca="false">IF((E159="t"),H159," ")</f>
        <v> </v>
      </c>
      <c r="W159" s="17" t="str">
        <f aca="false">IF((E159="q"),H159," ")</f>
        <v> </v>
      </c>
      <c r="X159" s="17" t="str">
        <f aca="false">IF((E159="m"),H159," ")</f>
        <v> </v>
      </c>
      <c r="Y159" s="17" t="str">
        <f aca="false">IF((E159="u"),H159," ")</f>
        <v> </v>
      </c>
      <c r="Z159" s="17" t="str">
        <f aca="false">IF((E159="a"),H159," ")</f>
        <v> </v>
      </c>
      <c r="AA159" s="17" t="str">
        <f aca="false">IF((E159="g"),H159," ")</f>
        <v> </v>
      </c>
      <c r="AB159" s="17" t="str">
        <f aca="false">IF((E159="h"),H159," ")</f>
        <v> </v>
      </c>
      <c r="AC159" s="30" t="str">
        <f aca="false">IF((E159="v"),H159," ")</f>
        <v> </v>
      </c>
      <c r="AD159" s="30" t="str">
        <f aca="false">IF((E159="n"),H159," ")</f>
        <v> </v>
      </c>
      <c r="AE159" s="17" t="str">
        <f aca="false">IF((E159="f"),H159," ")</f>
        <v> </v>
      </c>
      <c r="AF159" s="17" t="str">
        <f aca="false">IF((E159="l"),H159," ")</f>
        <v> </v>
      </c>
      <c r="AG159" s="17" t="str">
        <f aca="false">IF((E159="y"),H159," ")</f>
        <v> </v>
      </c>
      <c r="AH159" s="17" t="str">
        <f aca="false">IF((E159="z"),H159," ")</f>
        <v> </v>
      </c>
      <c r="AI159" s="17" t="str">
        <f aca="false">IF((E159="fa"),H159," ")</f>
        <v> </v>
      </c>
      <c r="AJ159" s="17" t="str">
        <f aca="false">IF((E159="e"),H159," ")</f>
        <v> </v>
      </c>
    </row>
    <row r="160" customFormat="false" ht="12" hidden="false" customHeight="false" outlineLevel="0" collapsed="false">
      <c r="A160" s="28"/>
      <c r="E160" s="2" t="str">
        <f aca="false">IF((F160&lt;&gt;0),"Enter Letter"," ")</f>
        <v> </v>
      </c>
      <c r="F160" s="30"/>
      <c r="G160" s="6" t="str">
        <f aca="false">IF(F160&lt;&gt;0,F160*G$2/(100+G$2)," ")</f>
        <v> </v>
      </c>
      <c r="H160" s="6" t="str">
        <f aca="false">IF((F160&lt;&gt;0),F160-G160," ")</f>
        <v> </v>
      </c>
      <c r="I160" s="5"/>
      <c r="L160" s="7" t="str">
        <f aca="false">IF(F160&lt;&gt;0,F160-K160," ")</f>
        <v> </v>
      </c>
      <c r="M160" s="8" t="str">
        <f aca="false">IF((F160-K160)&lt;&gt;0,M$1-A160," ")</f>
        <v> </v>
      </c>
      <c r="N160" s="5"/>
      <c r="O160" s="17" t="str">
        <f aca="false">IF((E160="s"),H160," ")</f>
        <v> </v>
      </c>
      <c r="P160" s="17" t="str">
        <f aca="false">IF((E160="c"),H160," ")</f>
        <v> </v>
      </c>
      <c r="Q160" s="17" t="str">
        <f aca="false">IF((E160="o"),H160," ")</f>
        <v> </v>
      </c>
      <c r="R160" s="17" t="str">
        <f aca="false">IF((E160="d"),H160," ")</f>
        <v> </v>
      </c>
      <c r="S160" s="17" t="str">
        <f aca="false">IF((E160="w"),H160," ")</f>
        <v> </v>
      </c>
      <c r="T160" s="17" t="str">
        <f aca="false">IF((E160="r"),H160," ")</f>
        <v> </v>
      </c>
      <c r="U160" s="17" t="str">
        <f aca="false">IF((E160="p"),H160," ")</f>
        <v> </v>
      </c>
      <c r="V160" s="17" t="str">
        <f aca="false">IF((E160="t"),H160," ")</f>
        <v> </v>
      </c>
      <c r="W160" s="17" t="str">
        <f aca="false">IF((E160="q"),H160," ")</f>
        <v> </v>
      </c>
      <c r="X160" s="17" t="str">
        <f aca="false">IF((E160="m"),H160," ")</f>
        <v> </v>
      </c>
      <c r="Y160" s="17" t="str">
        <f aca="false">IF((E160="u"),H160," ")</f>
        <v> </v>
      </c>
      <c r="Z160" s="17" t="str">
        <f aca="false">IF((E160="a"),H160," ")</f>
        <v> </v>
      </c>
      <c r="AA160" s="17" t="str">
        <f aca="false">IF((E160="g"),H160," ")</f>
        <v> </v>
      </c>
      <c r="AB160" s="17" t="str">
        <f aca="false">IF((E160="h"),H160," ")</f>
        <v> </v>
      </c>
      <c r="AC160" s="30" t="str">
        <f aca="false">IF((E160="v"),H160," ")</f>
        <v> </v>
      </c>
      <c r="AD160" s="30" t="str">
        <f aca="false">IF((E160="n"),H160," ")</f>
        <v> </v>
      </c>
      <c r="AE160" s="17" t="str">
        <f aca="false">IF((E160="f"),H160," ")</f>
        <v> </v>
      </c>
      <c r="AF160" s="17" t="str">
        <f aca="false">IF((E160="l"),H160," ")</f>
        <v> </v>
      </c>
      <c r="AG160" s="17" t="str">
        <f aca="false">IF((E160="y"),H160," ")</f>
        <v> </v>
      </c>
      <c r="AH160" s="17" t="str">
        <f aca="false">IF((E160="z"),H160," ")</f>
        <v> </v>
      </c>
      <c r="AI160" s="17" t="str">
        <f aca="false">IF((E160="fa"),H160," ")</f>
        <v> </v>
      </c>
      <c r="AJ160" s="17" t="str">
        <f aca="false">IF((E160="e"),H160," ")</f>
        <v> </v>
      </c>
    </row>
    <row r="161" customFormat="false" ht="12" hidden="false" customHeight="false" outlineLevel="0" collapsed="false">
      <c r="A161" s="28"/>
      <c r="E161" s="2" t="str">
        <f aca="false">IF((F161&lt;&gt;0),"Enter Letter"," ")</f>
        <v> </v>
      </c>
      <c r="F161" s="30"/>
      <c r="G161" s="6" t="str">
        <f aca="false">IF(F161&lt;&gt;0,F161*G$2/(100+G$2)," ")</f>
        <v> </v>
      </c>
      <c r="H161" s="6" t="str">
        <f aca="false">IF((F161&lt;&gt;0),F161-G161," ")</f>
        <v> </v>
      </c>
      <c r="I161" s="5"/>
      <c r="L161" s="7" t="str">
        <f aca="false">IF(F161&lt;&gt;0,F161-K161," ")</f>
        <v> </v>
      </c>
      <c r="M161" s="8" t="str">
        <f aca="false">IF((F161-K161)&lt;&gt;0,M$1-A161," ")</f>
        <v> </v>
      </c>
      <c r="N161" s="5"/>
      <c r="O161" s="17" t="str">
        <f aca="false">IF((E161="s"),H161," ")</f>
        <v> </v>
      </c>
      <c r="P161" s="17" t="str">
        <f aca="false">IF((E161="c"),H161," ")</f>
        <v> </v>
      </c>
      <c r="Q161" s="17" t="str">
        <f aca="false">IF((E161="o"),H161," ")</f>
        <v> </v>
      </c>
      <c r="R161" s="17" t="str">
        <f aca="false">IF((E161="d"),H161," ")</f>
        <v> </v>
      </c>
      <c r="S161" s="17" t="str">
        <f aca="false">IF((E161="w"),H161," ")</f>
        <v> </v>
      </c>
      <c r="T161" s="17" t="str">
        <f aca="false">IF((E161="r"),H161," ")</f>
        <v> </v>
      </c>
      <c r="U161" s="17" t="str">
        <f aca="false">IF((E161="p"),H161," ")</f>
        <v> </v>
      </c>
      <c r="V161" s="17" t="str">
        <f aca="false">IF((E161="t"),H161," ")</f>
        <v> </v>
      </c>
      <c r="W161" s="17" t="str">
        <f aca="false">IF((E161="q"),H161," ")</f>
        <v> </v>
      </c>
      <c r="X161" s="17" t="str">
        <f aca="false">IF((E161="m"),H161," ")</f>
        <v> </v>
      </c>
      <c r="Y161" s="17" t="str">
        <f aca="false">IF((E161="u"),H161," ")</f>
        <v> </v>
      </c>
      <c r="Z161" s="17" t="str">
        <f aca="false">IF((E161="a"),H161," ")</f>
        <v> </v>
      </c>
      <c r="AA161" s="17" t="str">
        <f aca="false">IF((E161="g"),H161," ")</f>
        <v> </v>
      </c>
      <c r="AB161" s="17" t="str">
        <f aca="false">IF((E161="h"),H161," ")</f>
        <v> </v>
      </c>
      <c r="AC161" s="30" t="str">
        <f aca="false">IF((E161="v"),H161," ")</f>
        <v> </v>
      </c>
      <c r="AD161" s="30" t="str">
        <f aca="false">IF((E161="n"),H161," ")</f>
        <v> </v>
      </c>
      <c r="AE161" s="17" t="str">
        <f aca="false">IF((E161="f"),H161," ")</f>
        <v> </v>
      </c>
      <c r="AF161" s="17" t="str">
        <f aca="false">IF((E161="l"),H161," ")</f>
        <v> </v>
      </c>
      <c r="AG161" s="17" t="str">
        <f aca="false">IF((E161="y"),H161," ")</f>
        <v> </v>
      </c>
      <c r="AH161" s="17" t="str">
        <f aca="false">IF((E161="z"),H161," ")</f>
        <v> </v>
      </c>
      <c r="AI161" s="17" t="str">
        <f aca="false">IF((E161="fa"),H161," ")</f>
        <v> </v>
      </c>
      <c r="AJ161" s="17" t="str">
        <f aca="false">IF((E161="e"),H161," ")</f>
        <v> </v>
      </c>
    </row>
    <row r="162" customFormat="false" ht="12" hidden="false" customHeight="false" outlineLevel="0" collapsed="false">
      <c r="A162" s="28"/>
      <c r="E162" s="2" t="str">
        <f aca="false">IF((F162&lt;&gt;0),"Enter Letter"," ")</f>
        <v> </v>
      </c>
      <c r="F162" s="30"/>
      <c r="G162" s="6" t="str">
        <f aca="false">IF(F162&lt;&gt;0,F162*G$2/(100+G$2)," ")</f>
        <v> </v>
      </c>
      <c r="H162" s="6" t="str">
        <f aca="false">IF((F162&lt;&gt;0),F162-G162," ")</f>
        <v> </v>
      </c>
      <c r="I162" s="5"/>
      <c r="L162" s="7" t="str">
        <f aca="false">IF(F162&lt;&gt;0,F162-K162," ")</f>
        <v> </v>
      </c>
      <c r="M162" s="8" t="str">
        <f aca="false">IF((F162-K162)&lt;&gt;0,M$1-A162," ")</f>
        <v> </v>
      </c>
      <c r="N162" s="5"/>
      <c r="O162" s="17" t="str">
        <f aca="false">IF((E162="s"),H162," ")</f>
        <v> </v>
      </c>
      <c r="P162" s="17" t="str">
        <f aca="false">IF((E162="c"),H162," ")</f>
        <v> </v>
      </c>
      <c r="Q162" s="17" t="str">
        <f aca="false">IF((E162="o"),H162," ")</f>
        <v> </v>
      </c>
      <c r="R162" s="17" t="str">
        <f aca="false">IF((E162="d"),H162," ")</f>
        <v> </v>
      </c>
      <c r="S162" s="17" t="str">
        <f aca="false">IF((E162="w"),H162," ")</f>
        <v> </v>
      </c>
      <c r="T162" s="17" t="str">
        <f aca="false">IF((E162="r"),H162," ")</f>
        <v> </v>
      </c>
      <c r="U162" s="17" t="str">
        <f aca="false">IF((E162="p"),H162," ")</f>
        <v> </v>
      </c>
      <c r="V162" s="17" t="str">
        <f aca="false">IF((E162="t"),H162," ")</f>
        <v> </v>
      </c>
      <c r="W162" s="17" t="str">
        <f aca="false">IF((E162="q"),H162," ")</f>
        <v> </v>
      </c>
      <c r="X162" s="17" t="str">
        <f aca="false">IF((E162="m"),H162," ")</f>
        <v> </v>
      </c>
      <c r="Y162" s="17" t="str">
        <f aca="false">IF((E162="u"),H162," ")</f>
        <v> </v>
      </c>
      <c r="Z162" s="17" t="str">
        <f aca="false">IF((E162="a"),H162," ")</f>
        <v> </v>
      </c>
      <c r="AA162" s="17" t="str">
        <f aca="false">IF((E162="g"),H162," ")</f>
        <v> </v>
      </c>
      <c r="AB162" s="17" t="str">
        <f aca="false">IF((E162="h"),H162," ")</f>
        <v> </v>
      </c>
      <c r="AC162" s="30" t="str">
        <f aca="false">IF((E162="v"),H162," ")</f>
        <v> </v>
      </c>
      <c r="AD162" s="30" t="str">
        <f aca="false">IF((E162="n"),H162," ")</f>
        <v> </v>
      </c>
      <c r="AE162" s="17" t="str">
        <f aca="false">IF((E162="f"),H162," ")</f>
        <v> </v>
      </c>
      <c r="AF162" s="17" t="str">
        <f aca="false">IF((E162="l"),H162," ")</f>
        <v> </v>
      </c>
      <c r="AG162" s="17" t="str">
        <f aca="false">IF((E162="y"),H162," ")</f>
        <v> </v>
      </c>
      <c r="AH162" s="17" t="str">
        <f aca="false">IF((E162="z"),H162," ")</f>
        <v> </v>
      </c>
      <c r="AI162" s="17" t="str">
        <f aca="false">IF((E162="fa"),H162," ")</f>
        <v> </v>
      </c>
      <c r="AJ162" s="17" t="str">
        <f aca="false">IF((E162="e"),H162," ")</f>
        <v> </v>
      </c>
    </row>
    <row r="163" customFormat="false" ht="12" hidden="false" customHeight="false" outlineLevel="0" collapsed="false">
      <c r="A163" s="28"/>
      <c r="E163" s="2" t="str">
        <f aca="false">IF((F163&lt;&gt;0),"Enter Letter"," ")</f>
        <v> </v>
      </c>
      <c r="F163" s="30"/>
      <c r="G163" s="6" t="str">
        <f aca="false">IF(F163&lt;&gt;0,F163*G$2/(100+G$2)," ")</f>
        <v> </v>
      </c>
      <c r="H163" s="6" t="str">
        <f aca="false">IF((F163&lt;&gt;0),F163-G163," ")</f>
        <v> </v>
      </c>
      <c r="I163" s="5"/>
      <c r="L163" s="7" t="str">
        <f aca="false">IF(F163&lt;&gt;0,F163-K163," ")</f>
        <v> </v>
      </c>
      <c r="M163" s="8" t="str">
        <f aca="false">IF((F163-K163)&lt;&gt;0,M$1-A163," ")</f>
        <v> </v>
      </c>
      <c r="N163" s="5"/>
      <c r="O163" s="17" t="str">
        <f aca="false">IF((E163="s"),H163," ")</f>
        <v> </v>
      </c>
      <c r="P163" s="17" t="str">
        <f aca="false">IF((E163="c"),H163," ")</f>
        <v> </v>
      </c>
      <c r="Q163" s="17" t="str">
        <f aca="false">IF((E163="o"),H163," ")</f>
        <v> </v>
      </c>
      <c r="R163" s="17" t="str">
        <f aca="false">IF((E163="d"),H163," ")</f>
        <v> </v>
      </c>
      <c r="S163" s="17" t="str">
        <f aca="false">IF((E163="w"),H163," ")</f>
        <v> </v>
      </c>
      <c r="T163" s="17" t="str">
        <f aca="false">IF((E163="r"),H163," ")</f>
        <v> </v>
      </c>
      <c r="U163" s="17" t="str">
        <f aca="false">IF((E163="p"),H163," ")</f>
        <v> </v>
      </c>
      <c r="V163" s="17" t="str">
        <f aca="false">IF((E163="t"),H163," ")</f>
        <v> </v>
      </c>
      <c r="W163" s="17" t="str">
        <f aca="false">IF((E163="q"),H163," ")</f>
        <v> </v>
      </c>
      <c r="X163" s="17" t="str">
        <f aca="false">IF((E163="m"),H163," ")</f>
        <v> </v>
      </c>
      <c r="Y163" s="17" t="str">
        <f aca="false">IF((E163="u"),H163," ")</f>
        <v> </v>
      </c>
      <c r="Z163" s="17" t="str">
        <f aca="false">IF((E163="a"),H163," ")</f>
        <v> </v>
      </c>
      <c r="AA163" s="17" t="str">
        <f aca="false">IF((E163="g"),H163," ")</f>
        <v> </v>
      </c>
      <c r="AB163" s="17" t="str">
        <f aca="false">IF((E163="h"),H163," ")</f>
        <v> </v>
      </c>
      <c r="AC163" s="30" t="str">
        <f aca="false">IF((E163="v"),H163," ")</f>
        <v> </v>
      </c>
      <c r="AD163" s="30" t="str">
        <f aca="false">IF((E163="n"),H163," ")</f>
        <v> </v>
      </c>
      <c r="AE163" s="17" t="str">
        <f aca="false">IF((E163="f"),H163," ")</f>
        <v> </v>
      </c>
      <c r="AF163" s="17" t="str">
        <f aca="false">IF((E163="l"),H163," ")</f>
        <v> </v>
      </c>
      <c r="AG163" s="17" t="str">
        <f aca="false">IF((E163="y"),H163," ")</f>
        <v> </v>
      </c>
      <c r="AH163" s="17" t="str">
        <f aca="false">IF((E163="z"),H163," ")</f>
        <v> </v>
      </c>
      <c r="AI163" s="17" t="str">
        <f aca="false">IF((E163="fa"),H163," ")</f>
        <v> </v>
      </c>
      <c r="AJ163" s="17" t="str">
        <f aca="false">IF((E163="e"),H163," ")</f>
        <v> </v>
      </c>
    </row>
    <row r="164" customFormat="false" ht="12" hidden="false" customHeight="false" outlineLevel="0" collapsed="false">
      <c r="A164" s="28"/>
      <c r="E164" s="2" t="str">
        <f aca="false">IF((F164&lt;&gt;0),"Enter Letter"," ")</f>
        <v> </v>
      </c>
      <c r="F164" s="30"/>
      <c r="G164" s="6" t="str">
        <f aca="false">IF(F164&lt;&gt;0,F164*G$2/(100+G$2)," ")</f>
        <v> </v>
      </c>
      <c r="H164" s="6" t="str">
        <f aca="false">IF((F164&lt;&gt;0),F164-G164," ")</f>
        <v> </v>
      </c>
      <c r="I164" s="5"/>
      <c r="L164" s="7" t="str">
        <f aca="false">IF(F164&lt;&gt;0,F164-K164," ")</f>
        <v> </v>
      </c>
      <c r="M164" s="8" t="str">
        <f aca="false">IF((F164-K164)&lt;&gt;0,M$1-A164," ")</f>
        <v> </v>
      </c>
      <c r="N164" s="5"/>
      <c r="O164" s="17" t="str">
        <f aca="false">IF((E164="s"),H164," ")</f>
        <v> </v>
      </c>
      <c r="P164" s="17" t="str">
        <f aca="false">IF((E164="c"),H164," ")</f>
        <v> </v>
      </c>
      <c r="Q164" s="17" t="str">
        <f aca="false">IF((E164="o"),H164," ")</f>
        <v> </v>
      </c>
      <c r="R164" s="17" t="str">
        <f aca="false">IF((E164="d"),H164," ")</f>
        <v> </v>
      </c>
      <c r="S164" s="17" t="str">
        <f aca="false">IF((E164="w"),H164," ")</f>
        <v> </v>
      </c>
      <c r="T164" s="17" t="str">
        <f aca="false">IF((E164="r"),H164," ")</f>
        <v> </v>
      </c>
      <c r="U164" s="17" t="str">
        <f aca="false">IF((E164="p"),H164," ")</f>
        <v> </v>
      </c>
      <c r="V164" s="17" t="str">
        <f aca="false">IF((E164="t"),H164," ")</f>
        <v> </v>
      </c>
      <c r="W164" s="17" t="str">
        <f aca="false">IF((E164="q"),H164," ")</f>
        <v> </v>
      </c>
      <c r="X164" s="17" t="str">
        <f aca="false">IF((E164="m"),H164," ")</f>
        <v> </v>
      </c>
      <c r="Y164" s="17" t="str">
        <f aca="false">IF((E164="u"),H164," ")</f>
        <v> </v>
      </c>
      <c r="Z164" s="17" t="str">
        <f aca="false">IF((E164="a"),H164," ")</f>
        <v> </v>
      </c>
      <c r="AA164" s="17" t="str">
        <f aca="false">IF((E164="g"),H164," ")</f>
        <v> </v>
      </c>
      <c r="AB164" s="17" t="str">
        <f aca="false">IF((E164="h"),H164," ")</f>
        <v> </v>
      </c>
      <c r="AC164" s="30" t="str">
        <f aca="false">IF((E164="v"),H164," ")</f>
        <v> </v>
      </c>
      <c r="AD164" s="30" t="str">
        <f aca="false">IF((E164="n"),H164," ")</f>
        <v> </v>
      </c>
      <c r="AE164" s="17" t="str">
        <f aca="false">IF((E164="f"),H164," ")</f>
        <v> </v>
      </c>
      <c r="AF164" s="17" t="str">
        <f aca="false">IF((E164="l"),H164," ")</f>
        <v> </v>
      </c>
      <c r="AG164" s="17" t="str">
        <f aca="false">IF((E164="y"),H164," ")</f>
        <v> </v>
      </c>
      <c r="AH164" s="17" t="str">
        <f aca="false">IF((E164="z"),H164," ")</f>
        <v> </v>
      </c>
      <c r="AI164" s="17" t="str">
        <f aca="false">IF((E164="fa"),H164," ")</f>
        <v> </v>
      </c>
      <c r="AJ164" s="17" t="str">
        <f aca="false">IF((E164="e"),H164," ")</f>
        <v> </v>
      </c>
    </row>
    <row r="165" customFormat="false" ht="12" hidden="false" customHeight="false" outlineLevel="0" collapsed="false">
      <c r="A165" s="28"/>
      <c r="E165" s="2" t="str">
        <f aca="false">IF((F165&lt;&gt;0),"Enter Letter"," ")</f>
        <v> </v>
      </c>
      <c r="F165" s="30"/>
      <c r="G165" s="6" t="str">
        <f aca="false">IF(F165&lt;&gt;0,F165*G$2/(100+G$2)," ")</f>
        <v> </v>
      </c>
      <c r="H165" s="6" t="str">
        <f aca="false">IF((F165&lt;&gt;0),F165-G165," ")</f>
        <v> </v>
      </c>
      <c r="I165" s="5"/>
      <c r="L165" s="7" t="str">
        <f aca="false">IF(F165&lt;&gt;0,F165-K165," ")</f>
        <v> </v>
      </c>
      <c r="M165" s="8" t="str">
        <f aca="false">IF((F165-K165)&lt;&gt;0,M$1-A165," ")</f>
        <v> </v>
      </c>
      <c r="N165" s="5"/>
      <c r="O165" s="17" t="str">
        <f aca="false">IF((E165="s"),H165," ")</f>
        <v> </v>
      </c>
      <c r="P165" s="17" t="str">
        <f aca="false">IF((E165="c"),H165," ")</f>
        <v> </v>
      </c>
      <c r="Q165" s="17" t="str">
        <f aca="false">IF((E165="o"),H165," ")</f>
        <v> </v>
      </c>
      <c r="R165" s="17" t="str">
        <f aca="false">IF((E165="d"),H165," ")</f>
        <v> </v>
      </c>
      <c r="S165" s="17" t="str">
        <f aca="false">IF((E165="w"),H165," ")</f>
        <v> </v>
      </c>
      <c r="T165" s="17" t="str">
        <f aca="false">IF((E165="r"),H165," ")</f>
        <v> </v>
      </c>
      <c r="U165" s="17" t="str">
        <f aca="false">IF((E165="p"),H165," ")</f>
        <v> </v>
      </c>
      <c r="V165" s="17" t="str">
        <f aca="false">IF((E165="t"),H165," ")</f>
        <v> </v>
      </c>
      <c r="W165" s="17" t="str">
        <f aca="false">IF((E165="q"),H165," ")</f>
        <v> </v>
      </c>
      <c r="X165" s="17" t="str">
        <f aca="false">IF((E165="m"),H165," ")</f>
        <v> </v>
      </c>
      <c r="Y165" s="17" t="str">
        <f aca="false">IF((E165="u"),H165," ")</f>
        <v> </v>
      </c>
      <c r="Z165" s="17" t="str">
        <f aca="false">IF((E165="a"),H165," ")</f>
        <v> </v>
      </c>
      <c r="AA165" s="17" t="str">
        <f aca="false">IF((E165="g"),H165," ")</f>
        <v> </v>
      </c>
      <c r="AB165" s="17" t="str">
        <f aca="false">IF((E165="h"),H165," ")</f>
        <v> </v>
      </c>
      <c r="AC165" s="30" t="str">
        <f aca="false">IF((E165="v"),H165," ")</f>
        <v> </v>
      </c>
      <c r="AD165" s="30" t="str">
        <f aca="false">IF((E165="n"),H165," ")</f>
        <v> </v>
      </c>
      <c r="AE165" s="17" t="str">
        <f aca="false">IF((E165="f"),H165," ")</f>
        <v> </v>
      </c>
      <c r="AF165" s="17" t="str">
        <f aca="false">IF((E165="l"),H165," ")</f>
        <v> </v>
      </c>
      <c r="AG165" s="17" t="str">
        <f aca="false">IF((E165="y"),H165," ")</f>
        <v> </v>
      </c>
      <c r="AH165" s="17" t="str">
        <f aca="false">IF((E165="z"),H165," ")</f>
        <v> </v>
      </c>
      <c r="AI165" s="17" t="str">
        <f aca="false">IF((E165="fa"),H165," ")</f>
        <v> </v>
      </c>
      <c r="AJ165" s="17" t="str">
        <f aca="false">IF((E165="e"),H165," ")</f>
        <v> </v>
      </c>
    </row>
    <row r="166" customFormat="false" ht="12" hidden="false" customHeight="false" outlineLevel="0" collapsed="false">
      <c r="A166" s="28"/>
      <c r="E166" s="2" t="str">
        <f aca="false">IF((F166&lt;&gt;0),"Enter Letter"," ")</f>
        <v> </v>
      </c>
      <c r="F166" s="30"/>
      <c r="G166" s="6" t="str">
        <f aca="false">IF(F166&lt;&gt;0,F166*G$2/(100+G$2)," ")</f>
        <v> </v>
      </c>
      <c r="H166" s="6" t="str">
        <f aca="false">IF((F166&lt;&gt;0),F166-G166," ")</f>
        <v> </v>
      </c>
      <c r="I166" s="5"/>
      <c r="L166" s="7" t="str">
        <f aca="false">IF(F166&lt;&gt;0,F166-K166," ")</f>
        <v> </v>
      </c>
      <c r="M166" s="8" t="str">
        <f aca="false">IF((F166-K166)&lt;&gt;0,M$1-A166," ")</f>
        <v> </v>
      </c>
      <c r="N166" s="5"/>
      <c r="O166" s="17" t="str">
        <f aca="false">IF((E166="s"),H166," ")</f>
        <v> </v>
      </c>
      <c r="P166" s="17" t="str">
        <f aca="false">IF((E166="c"),H166," ")</f>
        <v> </v>
      </c>
      <c r="Q166" s="17" t="str">
        <f aca="false">IF((E166="o"),H166," ")</f>
        <v> </v>
      </c>
      <c r="R166" s="17" t="str">
        <f aca="false">IF((E166="d"),H166," ")</f>
        <v> </v>
      </c>
      <c r="S166" s="17" t="str">
        <f aca="false">IF((E166="w"),H166," ")</f>
        <v> </v>
      </c>
      <c r="T166" s="17" t="str">
        <f aca="false">IF((E166="r"),H166," ")</f>
        <v> </v>
      </c>
      <c r="U166" s="17" t="str">
        <f aca="false">IF((E166="p"),H166," ")</f>
        <v> </v>
      </c>
      <c r="V166" s="17" t="str">
        <f aca="false">IF((E166="t"),H166," ")</f>
        <v> </v>
      </c>
      <c r="W166" s="17" t="str">
        <f aca="false">IF((E166="q"),H166," ")</f>
        <v> </v>
      </c>
      <c r="X166" s="17" t="str">
        <f aca="false">IF((E166="m"),H166," ")</f>
        <v> </v>
      </c>
      <c r="Y166" s="17" t="str">
        <f aca="false">IF((E166="u"),H166," ")</f>
        <v> </v>
      </c>
      <c r="Z166" s="17" t="str">
        <f aca="false">IF((E166="a"),H166," ")</f>
        <v> </v>
      </c>
      <c r="AA166" s="17" t="str">
        <f aca="false">IF((E166="g"),H166," ")</f>
        <v> </v>
      </c>
      <c r="AB166" s="17" t="str">
        <f aca="false">IF((E166="h"),H166," ")</f>
        <v> </v>
      </c>
      <c r="AC166" s="30" t="str">
        <f aca="false">IF((E166="v"),H166," ")</f>
        <v> </v>
      </c>
      <c r="AD166" s="30" t="str">
        <f aca="false">IF((E166="n"),H166," ")</f>
        <v> </v>
      </c>
      <c r="AE166" s="17" t="str">
        <f aca="false">IF((E166="f"),H166," ")</f>
        <v> </v>
      </c>
      <c r="AF166" s="17" t="str">
        <f aca="false">IF((E166="l"),H166," ")</f>
        <v> </v>
      </c>
      <c r="AG166" s="17" t="str">
        <f aca="false">IF((E166="y"),H166," ")</f>
        <v> </v>
      </c>
      <c r="AH166" s="17" t="str">
        <f aca="false">IF((E166="z"),H166," ")</f>
        <v> </v>
      </c>
      <c r="AI166" s="17" t="str">
        <f aca="false">IF((E166="fa"),H166," ")</f>
        <v> </v>
      </c>
      <c r="AJ166" s="17" t="str">
        <f aca="false">IF((E166="e"),H166," ")</f>
        <v> </v>
      </c>
    </row>
    <row r="167" customFormat="false" ht="12" hidden="false" customHeight="false" outlineLevel="0" collapsed="false">
      <c r="A167" s="28"/>
      <c r="E167" s="2" t="str">
        <f aca="false">IF((F167&lt;&gt;0),"Enter Letter"," ")</f>
        <v> </v>
      </c>
      <c r="F167" s="30"/>
      <c r="G167" s="6" t="str">
        <f aca="false">IF(F167&lt;&gt;0,F167*G$2/(100+G$2)," ")</f>
        <v> </v>
      </c>
      <c r="H167" s="6" t="str">
        <f aca="false">IF((F167&lt;&gt;0),F167-G167," ")</f>
        <v> </v>
      </c>
      <c r="I167" s="5"/>
      <c r="L167" s="7" t="str">
        <f aca="false">IF(F167&lt;&gt;0,F167-K167," ")</f>
        <v> </v>
      </c>
      <c r="M167" s="8" t="str">
        <f aca="false">IF((F167-K167)&lt;&gt;0,M$1-A167," ")</f>
        <v> </v>
      </c>
      <c r="N167" s="5"/>
      <c r="O167" s="17" t="str">
        <f aca="false">IF((E167="s"),H167," ")</f>
        <v> </v>
      </c>
      <c r="P167" s="17" t="str">
        <f aca="false">IF((E167="c"),H167," ")</f>
        <v> </v>
      </c>
      <c r="Q167" s="17" t="str">
        <f aca="false">IF((E167="o"),H167," ")</f>
        <v> </v>
      </c>
      <c r="R167" s="17" t="str">
        <f aca="false">IF((E167="d"),H167," ")</f>
        <v> </v>
      </c>
      <c r="S167" s="17" t="str">
        <f aca="false">IF((E167="w"),H167," ")</f>
        <v> </v>
      </c>
      <c r="T167" s="17" t="str">
        <f aca="false">IF((E167="r"),H167," ")</f>
        <v> </v>
      </c>
      <c r="U167" s="17" t="str">
        <f aca="false">IF((E167="p"),H167," ")</f>
        <v> </v>
      </c>
      <c r="V167" s="17" t="str">
        <f aca="false">IF((E167="t"),H167," ")</f>
        <v> </v>
      </c>
      <c r="W167" s="17" t="str">
        <f aca="false">IF((E167="q"),H167," ")</f>
        <v> </v>
      </c>
      <c r="X167" s="17" t="str">
        <f aca="false">IF((E167="m"),H167," ")</f>
        <v> </v>
      </c>
      <c r="Y167" s="17" t="str">
        <f aca="false">IF((E167="u"),H167," ")</f>
        <v> </v>
      </c>
      <c r="Z167" s="17" t="str">
        <f aca="false">IF((E167="a"),H167," ")</f>
        <v> </v>
      </c>
      <c r="AA167" s="17" t="str">
        <f aca="false">IF((E167="g"),H167," ")</f>
        <v> </v>
      </c>
      <c r="AB167" s="17" t="str">
        <f aca="false">IF((E167="h"),H167," ")</f>
        <v> </v>
      </c>
      <c r="AC167" s="30" t="str">
        <f aca="false">IF((E167="v"),H167," ")</f>
        <v> </v>
      </c>
      <c r="AD167" s="30" t="str">
        <f aca="false">IF((E167="n"),H167," ")</f>
        <v> </v>
      </c>
      <c r="AE167" s="17" t="str">
        <f aca="false">IF((E167="f"),H167," ")</f>
        <v> </v>
      </c>
      <c r="AF167" s="17" t="str">
        <f aca="false">IF((E167="l"),H167," ")</f>
        <v> </v>
      </c>
      <c r="AG167" s="17" t="str">
        <f aca="false">IF((E167="y"),H167," ")</f>
        <v> </v>
      </c>
      <c r="AH167" s="17" t="str">
        <f aca="false">IF((E167="z"),H167," ")</f>
        <v> </v>
      </c>
      <c r="AI167" s="17" t="str">
        <f aca="false">IF((E167="fa"),H167," ")</f>
        <v> </v>
      </c>
      <c r="AJ167" s="17" t="str">
        <f aca="false">IF((E167="e"),H167," ")</f>
        <v> </v>
      </c>
    </row>
    <row r="168" customFormat="false" ht="12" hidden="false" customHeight="false" outlineLevel="0" collapsed="false">
      <c r="A168" s="28"/>
      <c r="E168" s="2" t="str">
        <f aca="false">IF((F168&lt;&gt;0),"Enter Letter"," ")</f>
        <v> </v>
      </c>
      <c r="F168" s="30"/>
      <c r="G168" s="6" t="str">
        <f aca="false">IF(F168&lt;&gt;0,F168*G$2/(100+G$2)," ")</f>
        <v> </v>
      </c>
      <c r="H168" s="6" t="str">
        <f aca="false">IF((F168&lt;&gt;0),F168-G168," ")</f>
        <v> </v>
      </c>
      <c r="I168" s="5"/>
      <c r="L168" s="7" t="str">
        <f aca="false">IF(F168&lt;&gt;0,F168-K168," ")</f>
        <v> </v>
      </c>
      <c r="M168" s="8" t="str">
        <f aca="false">IF((F168-K168)&lt;&gt;0,M$1-A168," ")</f>
        <v> </v>
      </c>
      <c r="N168" s="5"/>
      <c r="O168" s="17" t="str">
        <f aca="false">IF((E168="s"),H168," ")</f>
        <v> </v>
      </c>
      <c r="P168" s="17" t="str">
        <f aca="false">IF((E168="c"),H168," ")</f>
        <v> </v>
      </c>
      <c r="Q168" s="17" t="str">
        <f aca="false">IF((E168="o"),H168," ")</f>
        <v> </v>
      </c>
      <c r="R168" s="17" t="str">
        <f aca="false">IF((E168="d"),H168," ")</f>
        <v> </v>
      </c>
      <c r="S168" s="17" t="str">
        <f aca="false">IF((E168="w"),H168," ")</f>
        <v> </v>
      </c>
      <c r="T168" s="17" t="str">
        <f aca="false">IF((E168="r"),H168," ")</f>
        <v> </v>
      </c>
      <c r="U168" s="17" t="str">
        <f aca="false">IF((E168="p"),H168," ")</f>
        <v> </v>
      </c>
      <c r="V168" s="17" t="str">
        <f aca="false">IF((E168="t"),H168," ")</f>
        <v> </v>
      </c>
      <c r="W168" s="17" t="str">
        <f aca="false">IF((E168="q"),H168," ")</f>
        <v> </v>
      </c>
      <c r="X168" s="17" t="str">
        <f aca="false">IF((E168="m"),H168," ")</f>
        <v> </v>
      </c>
      <c r="Y168" s="17" t="str">
        <f aca="false">IF((E168="u"),H168," ")</f>
        <v> </v>
      </c>
      <c r="Z168" s="17" t="str">
        <f aca="false">IF((E168="a"),H168," ")</f>
        <v> </v>
      </c>
      <c r="AA168" s="17" t="str">
        <f aca="false">IF((E168="g"),H168," ")</f>
        <v> </v>
      </c>
      <c r="AB168" s="17" t="str">
        <f aca="false">IF((E168="h"),H168," ")</f>
        <v> </v>
      </c>
      <c r="AC168" s="30" t="str">
        <f aca="false">IF((E168="v"),H168," ")</f>
        <v> </v>
      </c>
      <c r="AD168" s="30" t="str">
        <f aca="false">IF((E168="n"),H168," ")</f>
        <v> </v>
      </c>
      <c r="AE168" s="17" t="str">
        <f aca="false">IF((E168="f"),H168," ")</f>
        <v> </v>
      </c>
      <c r="AF168" s="17" t="str">
        <f aca="false">IF((E168="l"),H168," ")</f>
        <v> </v>
      </c>
      <c r="AG168" s="17" t="str">
        <f aca="false">IF((E168="y"),H168," ")</f>
        <v> </v>
      </c>
      <c r="AH168" s="17" t="str">
        <f aca="false">IF((E168="z"),H168," ")</f>
        <v> </v>
      </c>
      <c r="AI168" s="17" t="str">
        <f aca="false">IF((E168="fa"),H168," ")</f>
        <v> </v>
      </c>
      <c r="AJ168" s="17" t="str">
        <f aca="false">IF((E168="e"),H168," ")</f>
        <v> </v>
      </c>
    </row>
    <row r="169" customFormat="false" ht="12" hidden="false" customHeight="false" outlineLevel="0" collapsed="false">
      <c r="A169" s="28"/>
      <c r="E169" s="2" t="str">
        <f aca="false">IF((F169&lt;&gt;0),"Enter Letter"," ")</f>
        <v> </v>
      </c>
      <c r="F169" s="30"/>
      <c r="G169" s="6" t="str">
        <f aca="false">IF(F169&lt;&gt;0,F169*G$2/(100+G$2)," ")</f>
        <v> </v>
      </c>
      <c r="H169" s="6" t="str">
        <f aca="false">IF((F169&lt;&gt;0),F169-G169," ")</f>
        <v> </v>
      </c>
      <c r="I169" s="5"/>
      <c r="L169" s="7" t="str">
        <f aca="false">IF(F169&lt;&gt;0,F169-K169," ")</f>
        <v> </v>
      </c>
      <c r="M169" s="8" t="str">
        <f aca="false">IF((F169-K169)&lt;&gt;0,M$1-A169," ")</f>
        <v> </v>
      </c>
      <c r="N169" s="5"/>
      <c r="O169" s="17" t="str">
        <f aca="false">IF((E169="s"),H169," ")</f>
        <v> </v>
      </c>
      <c r="P169" s="17" t="str">
        <f aca="false">IF((E169="c"),H169," ")</f>
        <v> </v>
      </c>
      <c r="Q169" s="17" t="str">
        <f aca="false">IF((E169="o"),H169," ")</f>
        <v> </v>
      </c>
      <c r="R169" s="17" t="str">
        <f aca="false">IF((E169="d"),H169," ")</f>
        <v> </v>
      </c>
      <c r="S169" s="17" t="str">
        <f aca="false">IF((E169="w"),H169," ")</f>
        <v> </v>
      </c>
      <c r="T169" s="17" t="str">
        <f aca="false">IF((E169="r"),H169," ")</f>
        <v> </v>
      </c>
      <c r="U169" s="17" t="str">
        <f aca="false">IF((E169="p"),H169," ")</f>
        <v> </v>
      </c>
      <c r="V169" s="17" t="str">
        <f aca="false">IF((E169="t"),H169," ")</f>
        <v> </v>
      </c>
      <c r="W169" s="17" t="str">
        <f aca="false">IF((E169="q"),H169," ")</f>
        <v> </v>
      </c>
      <c r="X169" s="17" t="str">
        <f aca="false">IF((E169="m"),H169," ")</f>
        <v> </v>
      </c>
      <c r="Y169" s="17" t="str">
        <f aca="false">IF((E169="u"),H169," ")</f>
        <v> </v>
      </c>
      <c r="Z169" s="17" t="str">
        <f aca="false">IF((E169="a"),H169," ")</f>
        <v> </v>
      </c>
      <c r="AA169" s="17" t="str">
        <f aca="false">IF((E169="g"),H169," ")</f>
        <v> </v>
      </c>
      <c r="AB169" s="17" t="str">
        <f aca="false">IF((E169="h"),H169," ")</f>
        <v> </v>
      </c>
      <c r="AC169" s="30" t="str">
        <f aca="false">IF((E169="v"),H169," ")</f>
        <v> </v>
      </c>
      <c r="AD169" s="30" t="str">
        <f aca="false">IF((E169="n"),H169," ")</f>
        <v> </v>
      </c>
      <c r="AE169" s="17" t="str">
        <f aca="false">IF((E169="f"),H169," ")</f>
        <v> </v>
      </c>
      <c r="AF169" s="17" t="str">
        <f aca="false">IF((E169="l"),H169," ")</f>
        <v> </v>
      </c>
      <c r="AG169" s="17" t="str">
        <f aca="false">IF((E169="y"),H169," ")</f>
        <v> </v>
      </c>
      <c r="AH169" s="17" t="str">
        <f aca="false">IF((E169="z"),H169," ")</f>
        <v> </v>
      </c>
      <c r="AI169" s="17" t="str">
        <f aca="false">IF((E169="fa"),H169," ")</f>
        <v> </v>
      </c>
      <c r="AJ169" s="17" t="str">
        <f aca="false">IF((E169="e"),H169," ")</f>
        <v> </v>
      </c>
    </row>
    <row r="170" customFormat="false" ht="12" hidden="false" customHeight="false" outlineLevel="0" collapsed="false">
      <c r="A170" s="28"/>
      <c r="E170" s="2" t="str">
        <f aca="false">IF((F170&lt;&gt;0),"Enter Letter"," ")</f>
        <v> </v>
      </c>
      <c r="F170" s="30"/>
      <c r="G170" s="6" t="str">
        <f aca="false">IF(F170&lt;&gt;0,F170*G$2/(100+G$2)," ")</f>
        <v> </v>
      </c>
      <c r="H170" s="6" t="str">
        <f aca="false">IF((F170&lt;&gt;0),F170-G170," ")</f>
        <v> </v>
      </c>
      <c r="I170" s="5"/>
      <c r="L170" s="7" t="str">
        <f aca="false">IF(F170&lt;&gt;0,F170-K170," ")</f>
        <v> </v>
      </c>
      <c r="M170" s="8" t="str">
        <f aca="false">IF((F170-K170)&lt;&gt;0,M$1-A170," ")</f>
        <v> </v>
      </c>
      <c r="N170" s="5"/>
      <c r="O170" s="17" t="str">
        <f aca="false">IF((E170="s"),H170," ")</f>
        <v> </v>
      </c>
      <c r="P170" s="17" t="str">
        <f aca="false">IF((E170="c"),H170," ")</f>
        <v> </v>
      </c>
      <c r="Q170" s="17" t="str">
        <f aca="false">IF((E170="o"),H170," ")</f>
        <v> </v>
      </c>
      <c r="R170" s="17" t="str">
        <f aca="false">IF((E170="d"),H170," ")</f>
        <v> </v>
      </c>
      <c r="S170" s="17" t="str">
        <f aca="false">IF((E170="w"),H170," ")</f>
        <v> </v>
      </c>
      <c r="T170" s="17" t="str">
        <f aca="false">IF((E170="r"),H170," ")</f>
        <v> </v>
      </c>
      <c r="U170" s="17" t="str">
        <f aca="false">IF((E170="p"),H170," ")</f>
        <v> </v>
      </c>
      <c r="V170" s="17" t="str">
        <f aca="false">IF((E170="t"),H170," ")</f>
        <v> </v>
      </c>
      <c r="W170" s="17" t="str">
        <f aca="false">IF((E170="q"),H170," ")</f>
        <v> </v>
      </c>
      <c r="X170" s="17" t="str">
        <f aca="false">IF((E170="m"),H170," ")</f>
        <v> </v>
      </c>
      <c r="Y170" s="17" t="str">
        <f aca="false">IF((E170="u"),H170," ")</f>
        <v> </v>
      </c>
      <c r="Z170" s="17" t="str">
        <f aca="false">IF((E170="a"),H170," ")</f>
        <v> </v>
      </c>
      <c r="AA170" s="17" t="str">
        <f aca="false">IF((E170="g"),H170," ")</f>
        <v> </v>
      </c>
      <c r="AB170" s="17" t="str">
        <f aca="false">IF((E170="h"),H170," ")</f>
        <v> </v>
      </c>
      <c r="AC170" s="30" t="str">
        <f aca="false">IF((E170="v"),H170," ")</f>
        <v> </v>
      </c>
      <c r="AD170" s="30" t="str">
        <f aca="false">IF((E170="n"),H170," ")</f>
        <v> </v>
      </c>
      <c r="AE170" s="17" t="str">
        <f aca="false">IF((E170="f"),H170," ")</f>
        <v> </v>
      </c>
      <c r="AF170" s="17" t="str">
        <f aca="false">IF((E170="l"),H170," ")</f>
        <v> </v>
      </c>
      <c r="AG170" s="17" t="str">
        <f aca="false">IF((E170="y"),H170," ")</f>
        <v> </v>
      </c>
      <c r="AH170" s="17" t="str">
        <f aca="false">IF((E170="z"),H170," ")</f>
        <v> </v>
      </c>
      <c r="AI170" s="17" t="str">
        <f aca="false">IF((E170="fa"),H170," ")</f>
        <v> </v>
      </c>
      <c r="AJ170" s="17" t="str">
        <f aca="false">IF((E170="e"),H170," ")</f>
        <v> </v>
      </c>
    </row>
    <row r="171" customFormat="false" ht="12" hidden="false" customHeight="false" outlineLevel="0" collapsed="false">
      <c r="A171" s="28"/>
      <c r="E171" s="2" t="str">
        <f aca="false">IF((F171&lt;&gt;0),"Enter Letter"," ")</f>
        <v> </v>
      </c>
      <c r="F171" s="30"/>
      <c r="G171" s="6" t="str">
        <f aca="false">IF(F171&lt;&gt;0,F171*G$2/(100+G$2)," ")</f>
        <v> </v>
      </c>
      <c r="H171" s="6" t="str">
        <f aca="false">IF((F171&lt;&gt;0),F171-G171," ")</f>
        <v> </v>
      </c>
      <c r="I171" s="5"/>
      <c r="L171" s="7" t="str">
        <f aca="false">IF(F171&lt;&gt;0,F171-K171," ")</f>
        <v> </v>
      </c>
      <c r="M171" s="8" t="str">
        <f aca="false">IF((F171-K171)&lt;&gt;0,M$1-A171," ")</f>
        <v> </v>
      </c>
      <c r="N171" s="5"/>
      <c r="O171" s="17" t="str">
        <f aca="false">IF((E171="s"),H171," ")</f>
        <v> </v>
      </c>
      <c r="P171" s="17" t="str">
        <f aca="false">IF((E171="c"),H171," ")</f>
        <v> </v>
      </c>
      <c r="Q171" s="17" t="str">
        <f aca="false">IF((E171="o"),H171," ")</f>
        <v> </v>
      </c>
      <c r="R171" s="17" t="str">
        <f aca="false">IF((E171="d"),H171," ")</f>
        <v> </v>
      </c>
      <c r="S171" s="17" t="str">
        <f aca="false">IF((E171="w"),H171," ")</f>
        <v> </v>
      </c>
      <c r="T171" s="17" t="str">
        <f aca="false">IF((E171="r"),H171," ")</f>
        <v> </v>
      </c>
      <c r="U171" s="17" t="str">
        <f aca="false">IF((E171="p"),H171," ")</f>
        <v> </v>
      </c>
      <c r="V171" s="17" t="str">
        <f aca="false">IF((E171="t"),H171," ")</f>
        <v> </v>
      </c>
      <c r="W171" s="17" t="str">
        <f aca="false">IF((E171="q"),H171," ")</f>
        <v> </v>
      </c>
      <c r="X171" s="17" t="str">
        <f aca="false">IF((E171="m"),H171," ")</f>
        <v> </v>
      </c>
      <c r="Y171" s="17" t="str">
        <f aca="false">IF((E171="u"),H171," ")</f>
        <v> </v>
      </c>
      <c r="Z171" s="17" t="str">
        <f aca="false">IF((E171="a"),H171," ")</f>
        <v> </v>
      </c>
      <c r="AA171" s="17" t="str">
        <f aca="false">IF((E171="g"),H171," ")</f>
        <v> </v>
      </c>
      <c r="AB171" s="17" t="str">
        <f aca="false">IF((E171="h"),H171," ")</f>
        <v> </v>
      </c>
      <c r="AC171" s="30" t="str">
        <f aca="false">IF((E171="v"),H171," ")</f>
        <v> </v>
      </c>
      <c r="AD171" s="30" t="str">
        <f aca="false">IF((E171="n"),H171," ")</f>
        <v> </v>
      </c>
      <c r="AE171" s="17" t="str">
        <f aca="false">IF((E171="f"),H171," ")</f>
        <v> </v>
      </c>
      <c r="AF171" s="17" t="str">
        <f aca="false">IF((E171="l"),H171," ")</f>
        <v> </v>
      </c>
      <c r="AG171" s="17" t="str">
        <f aca="false">IF((E171="y"),H171," ")</f>
        <v> </v>
      </c>
      <c r="AH171" s="17" t="str">
        <f aca="false">IF((E171="z"),H171," ")</f>
        <v> </v>
      </c>
      <c r="AI171" s="17" t="str">
        <f aca="false">IF((E171="fa"),H171," ")</f>
        <v> </v>
      </c>
      <c r="AJ171" s="17" t="str">
        <f aca="false">IF((E171="e"),H171," ")</f>
        <v> </v>
      </c>
    </row>
    <row r="172" customFormat="false" ht="12" hidden="false" customHeight="false" outlineLevel="0" collapsed="false">
      <c r="A172" s="28"/>
      <c r="E172" s="2" t="str">
        <f aca="false">IF((F172&lt;&gt;0),"Enter Letter"," ")</f>
        <v> </v>
      </c>
      <c r="F172" s="30"/>
      <c r="G172" s="6" t="str">
        <f aca="false">IF(F172&lt;&gt;0,F172*G$2/(100+G$2)," ")</f>
        <v> </v>
      </c>
      <c r="H172" s="6" t="str">
        <f aca="false">IF((F172&lt;&gt;0),F172-G172," ")</f>
        <v> </v>
      </c>
      <c r="I172" s="5"/>
      <c r="L172" s="7" t="str">
        <f aca="false">IF(F172&lt;&gt;0,F172-K172," ")</f>
        <v> </v>
      </c>
      <c r="M172" s="8" t="str">
        <f aca="false">IF((F172-K172)&lt;&gt;0,M$1-A172," ")</f>
        <v> </v>
      </c>
      <c r="N172" s="5"/>
      <c r="O172" s="17" t="str">
        <f aca="false">IF((E172="s"),H172," ")</f>
        <v> </v>
      </c>
      <c r="P172" s="17" t="str">
        <f aca="false">IF((E172="c"),H172," ")</f>
        <v> </v>
      </c>
      <c r="Q172" s="17" t="str">
        <f aca="false">IF((E172="o"),H172," ")</f>
        <v> </v>
      </c>
      <c r="R172" s="17" t="str">
        <f aca="false">IF((E172="d"),H172," ")</f>
        <v> </v>
      </c>
      <c r="S172" s="17" t="str">
        <f aca="false">IF((E172="w"),H172," ")</f>
        <v> </v>
      </c>
      <c r="T172" s="17" t="str">
        <f aca="false">IF((E172="r"),H172," ")</f>
        <v> </v>
      </c>
      <c r="U172" s="17" t="str">
        <f aca="false">IF((E172="p"),H172," ")</f>
        <v> </v>
      </c>
      <c r="V172" s="17" t="str">
        <f aca="false">IF((E172="t"),H172," ")</f>
        <v> </v>
      </c>
      <c r="W172" s="17" t="str">
        <f aca="false">IF((E172="q"),H172," ")</f>
        <v> </v>
      </c>
      <c r="X172" s="17" t="str">
        <f aca="false">IF((E172="m"),H172," ")</f>
        <v> </v>
      </c>
      <c r="Y172" s="17" t="str">
        <f aca="false">IF((E172="u"),H172," ")</f>
        <v> </v>
      </c>
      <c r="Z172" s="17" t="str">
        <f aca="false">IF((E172="a"),H172," ")</f>
        <v> </v>
      </c>
      <c r="AA172" s="17" t="str">
        <f aca="false">IF((E172="g"),H172," ")</f>
        <v> </v>
      </c>
      <c r="AB172" s="17" t="str">
        <f aca="false">IF((E172="h"),H172," ")</f>
        <v> </v>
      </c>
      <c r="AC172" s="30" t="str">
        <f aca="false">IF((E172="v"),H172," ")</f>
        <v> </v>
      </c>
      <c r="AD172" s="30" t="str">
        <f aca="false">IF((E172="n"),H172," ")</f>
        <v> </v>
      </c>
      <c r="AE172" s="17" t="str">
        <f aca="false">IF((E172="f"),H172," ")</f>
        <v> </v>
      </c>
      <c r="AF172" s="17" t="str">
        <f aca="false">IF((E172="l"),H172," ")</f>
        <v> </v>
      </c>
      <c r="AG172" s="17" t="str">
        <f aca="false">IF((E172="y"),H172," ")</f>
        <v> </v>
      </c>
      <c r="AH172" s="17" t="str">
        <f aca="false">IF((E172="z"),H172," ")</f>
        <v> </v>
      </c>
      <c r="AI172" s="17" t="str">
        <f aca="false">IF((E172="fa"),H172," ")</f>
        <v> </v>
      </c>
      <c r="AJ172" s="17" t="str">
        <f aca="false">IF((E172="e"),H172," ")</f>
        <v> </v>
      </c>
    </row>
    <row r="173" customFormat="false" ht="12" hidden="false" customHeight="false" outlineLevel="0" collapsed="false">
      <c r="A173" s="28"/>
      <c r="E173" s="2" t="str">
        <f aca="false">IF((F173&lt;&gt;0),"Enter Letter"," ")</f>
        <v> </v>
      </c>
      <c r="F173" s="30"/>
      <c r="G173" s="6" t="str">
        <f aca="false">IF(F173&lt;&gt;0,F173*G$2/(100+G$2)," ")</f>
        <v> </v>
      </c>
      <c r="H173" s="6" t="str">
        <f aca="false">IF((F173&lt;&gt;0),F173-G173," ")</f>
        <v> </v>
      </c>
      <c r="I173" s="5"/>
      <c r="L173" s="7" t="str">
        <f aca="false">IF(F173&lt;&gt;0,F173-K173," ")</f>
        <v> </v>
      </c>
      <c r="M173" s="8" t="str">
        <f aca="false">IF((F173-K173)&lt;&gt;0,M$1-A173," ")</f>
        <v> </v>
      </c>
      <c r="N173" s="5"/>
      <c r="O173" s="17" t="str">
        <f aca="false">IF((E173="s"),H173," ")</f>
        <v> </v>
      </c>
      <c r="P173" s="17" t="str">
        <f aca="false">IF((E173="c"),H173," ")</f>
        <v> </v>
      </c>
      <c r="Q173" s="17" t="str">
        <f aca="false">IF((E173="o"),H173," ")</f>
        <v> </v>
      </c>
      <c r="R173" s="17" t="str">
        <f aca="false">IF((E173="d"),H173," ")</f>
        <v> </v>
      </c>
      <c r="S173" s="17" t="str">
        <f aca="false">IF((E173="w"),H173," ")</f>
        <v> </v>
      </c>
      <c r="T173" s="17" t="str">
        <f aca="false">IF((E173="r"),H173," ")</f>
        <v> </v>
      </c>
      <c r="U173" s="17" t="str">
        <f aca="false">IF((E173="p"),H173," ")</f>
        <v> </v>
      </c>
      <c r="V173" s="17" t="str">
        <f aca="false">IF((E173="t"),H173," ")</f>
        <v> </v>
      </c>
      <c r="W173" s="17" t="str">
        <f aca="false">IF((E173="q"),H173," ")</f>
        <v> </v>
      </c>
      <c r="X173" s="17" t="str">
        <f aca="false">IF((E173="m"),H173," ")</f>
        <v> </v>
      </c>
      <c r="Y173" s="17" t="str">
        <f aca="false">IF((E173="u"),H173," ")</f>
        <v> </v>
      </c>
      <c r="Z173" s="17" t="str">
        <f aca="false">IF((E173="a"),H173," ")</f>
        <v> </v>
      </c>
      <c r="AA173" s="17" t="str">
        <f aca="false">IF((E173="g"),H173," ")</f>
        <v> </v>
      </c>
      <c r="AB173" s="17" t="str">
        <f aca="false">IF((E173="h"),H173," ")</f>
        <v> </v>
      </c>
      <c r="AC173" s="30" t="str">
        <f aca="false">IF((E173="v"),H173," ")</f>
        <v> </v>
      </c>
      <c r="AD173" s="30" t="str">
        <f aca="false">IF((E173="n"),H173," ")</f>
        <v> </v>
      </c>
      <c r="AE173" s="17" t="str">
        <f aca="false">IF((E173="f"),H173," ")</f>
        <v> </v>
      </c>
      <c r="AF173" s="17" t="str">
        <f aca="false">IF((E173="l"),H173," ")</f>
        <v> </v>
      </c>
      <c r="AG173" s="17" t="str">
        <f aca="false">IF((E173="y"),H173," ")</f>
        <v> </v>
      </c>
      <c r="AH173" s="17" t="str">
        <f aca="false">IF((E173="z"),H173," ")</f>
        <v> </v>
      </c>
      <c r="AI173" s="17" t="str">
        <f aca="false">IF((E173="fa"),H173," ")</f>
        <v> </v>
      </c>
      <c r="AJ173" s="17" t="str">
        <f aca="false">IF((E173="e"),H173," ")</f>
        <v> </v>
      </c>
    </row>
    <row r="174" customFormat="false" ht="12" hidden="false" customHeight="false" outlineLevel="0" collapsed="false">
      <c r="A174" s="28"/>
      <c r="E174" s="2" t="str">
        <f aca="false">IF((F174&lt;&gt;0),"Enter Letter"," ")</f>
        <v> </v>
      </c>
      <c r="F174" s="30"/>
      <c r="G174" s="6" t="str">
        <f aca="false">IF(F174&lt;&gt;0,F174*G$2/(100+G$2)," ")</f>
        <v> </v>
      </c>
      <c r="H174" s="6" t="str">
        <f aca="false">IF((F174&lt;&gt;0),F174-G174," ")</f>
        <v> </v>
      </c>
      <c r="I174" s="5"/>
      <c r="L174" s="7" t="str">
        <f aca="false">IF(F174&lt;&gt;0,F174-K174," ")</f>
        <v> </v>
      </c>
      <c r="M174" s="8" t="str">
        <f aca="false">IF((F174-K174)&lt;&gt;0,M$1-A174," ")</f>
        <v> </v>
      </c>
      <c r="N174" s="5"/>
      <c r="O174" s="17" t="str">
        <f aca="false">IF((E174="s"),H174," ")</f>
        <v> </v>
      </c>
      <c r="P174" s="17" t="str">
        <f aca="false">IF((E174="c"),H174," ")</f>
        <v> </v>
      </c>
      <c r="Q174" s="17" t="str">
        <f aca="false">IF((E174="o"),H174," ")</f>
        <v> </v>
      </c>
      <c r="R174" s="17" t="str">
        <f aca="false">IF((E174="d"),H174," ")</f>
        <v> </v>
      </c>
      <c r="S174" s="17" t="str">
        <f aca="false">IF((E174="w"),H174," ")</f>
        <v> </v>
      </c>
      <c r="T174" s="17" t="str">
        <f aca="false">IF((E174="r"),H174," ")</f>
        <v> </v>
      </c>
      <c r="U174" s="17" t="str">
        <f aca="false">IF((E174="p"),H174," ")</f>
        <v> </v>
      </c>
      <c r="V174" s="17" t="str">
        <f aca="false">IF((E174="t"),H174," ")</f>
        <v> </v>
      </c>
      <c r="W174" s="17" t="str">
        <f aca="false">IF((E174="q"),H174," ")</f>
        <v> </v>
      </c>
      <c r="X174" s="17" t="str">
        <f aca="false">IF((E174="m"),H174," ")</f>
        <v> </v>
      </c>
      <c r="Y174" s="17" t="str">
        <f aca="false">IF((E174="u"),H174," ")</f>
        <v> </v>
      </c>
      <c r="Z174" s="17" t="str">
        <f aca="false">IF((E174="a"),H174," ")</f>
        <v> </v>
      </c>
      <c r="AA174" s="17" t="str">
        <f aca="false">IF((E174="g"),H174," ")</f>
        <v> </v>
      </c>
      <c r="AB174" s="17" t="str">
        <f aca="false">IF((E174="h"),H174," ")</f>
        <v> </v>
      </c>
      <c r="AC174" s="30" t="str">
        <f aca="false">IF((E174="v"),H174," ")</f>
        <v> </v>
      </c>
      <c r="AD174" s="30" t="str">
        <f aca="false">IF((E174="n"),H174," ")</f>
        <v> </v>
      </c>
      <c r="AE174" s="17" t="str">
        <f aca="false">IF((E174="f"),H174," ")</f>
        <v> </v>
      </c>
      <c r="AF174" s="17" t="str">
        <f aca="false">IF((E174="l"),H174," ")</f>
        <v> </v>
      </c>
      <c r="AG174" s="17" t="str">
        <f aca="false">IF((E174="y"),H174," ")</f>
        <v> </v>
      </c>
      <c r="AH174" s="17" t="str">
        <f aca="false">IF((E174="z"),H174," ")</f>
        <v> </v>
      </c>
      <c r="AI174" s="17" t="str">
        <f aca="false">IF((E174="fa"),H174," ")</f>
        <v> </v>
      </c>
      <c r="AJ174" s="17" t="str">
        <f aca="false">IF((E174="e"),H174," ")</f>
        <v> </v>
      </c>
    </row>
    <row r="175" customFormat="false" ht="12" hidden="false" customHeight="false" outlineLevel="0" collapsed="false">
      <c r="A175" s="28"/>
      <c r="E175" s="2" t="str">
        <f aca="false">IF((F175&lt;&gt;0),"Enter Letter"," ")</f>
        <v> </v>
      </c>
      <c r="F175" s="30"/>
      <c r="G175" s="6" t="str">
        <f aca="false">IF(F175&lt;&gt;0,F175*G$2/(100+G$2)," ")</f>
        <v> </v>
      </c>
      <c r="H175" s="6" t="str">
        <f aca="false">IF((F175&lt;&gt;0),F175-G175," ")</f>
        <v> </v>
      </c>
      <c r="I175" s="5"/>
      <c r="L175" s="7" t="str">
        <f aca="false">IF(F175&lt;&gt;0,F175-K175," ")</f>
        <v> </v>
      </c>
      <c r="M175" s="8" t="str">
        <f aca="false">IF((F175-K175)&lt;&gt;0,M$1-A175," ")</f>
        <v> </v>
      </c>
      <c r="N175" s="5"/>
      <c r="O175" s="17" t="str">
        <f aca="false">IF((E175="s"),H175," ")</f>
        <v> </v>
      </c>
      <c r="P175" s="17" t="str">
        <f aca="false">IF((E175="c"),H175," ")</f>
        <v> </v>
      </c>
      <c r="Q175" s="17" t="str">
        <f aca="false">IF((E175="o"),H175," ")</f>
        <v> </v>
      </c>
      <c r="R175" s="17" t="str">
        <f aca="false">IF((E175="d"),H175," ")</f>
        <v> </v>
      </c>
      <c r="S175" s="17" t="str">
        <f aca="false">IF((E175="w"),H175," ")</f>
        <v> </v>
      </c>
      <c r="T175" s="17" t="str">
        <f aca="false">IF((E175="r"),H175," ")</f>
        <v> </v>
      </c>
      <c r="U175" s="17" t="str">
        <f aca="false">IF((E175="p"),H175," ")</f>
        <v> </v>
      </c>
      <c r="V175" s="17" t="str">
        <f aca="false">IF((E175="t"),H175," ")</f>
        <v> </v>
      </c>
      <c r="W175" s="17" t="str">
        <f aca="false">IF((E175="q"),H175," ")</f>
        <v> </v>
      </c>
      <c r="X175" s="17" t="str">
        <f aca="false">IF((E175="m"),H175," ")</f>
        <v> </v>
      </c>
      <c r="Y175" s="17" t="str">
        <f aca="false">IF((E175="u"),H175," ")</f>
        <v> </v>
      </c>
      <c r="Z175" s="17" t="str">
        <f aca="false">IF((E175="a"),H175," ")</f>
        <v> </v>
      </c>
      <c r="AA175" s="17" t="str">
        <f aca="false">IF((E175="g"),H175," ")</f>
        <v> </v>
      </c>
      <c r="AB175" s="17" t="str">
        <f aca="false">IF((E175="h"),H175," ")</f>
        <v> </v>
      </c>
      <c r="AC175" s="30" t="str">
        <f aca="false">IF((E175="v"),H175," ")</f>
        <v> </v>
      </c>
      <c r="AD175" s="30" t="str">
        <f aca="false">IF((E175="n"),H175," ")</f>
        <v> </v>
      </c>
      <c r="AE175" s="17" t="str">
        <f aca="false">IF((E175="f"),H175," ")</f>
        <v> </v>
      </c>
      <c r="AF175" s="17" t="str">
        <f aca="false">IF((E175="l"),H175," ")</f>
        <v> </v>
      </c>
      <c r="AG175" s="17" t="str">
        <f aca="false">IF((E175="y"),H175," ")</f>
        <v> </v>
      </c>
      <c r="AH175" s="17" t="str">
        <f aca="false">IF((E175="z"),H175," ")</f>
        <v> </v>
      </c>
      <c r="AI175" s="17" t="str">
        <f aca="false">IF((E175="fa"),H175," ")</f>
        <v> </v>
      </c>
      <c r="AJ175" s="17" t="str">
        <f aca="false">IF((E175="e"),H175," ")</f>
        <v> </v>
      </c>
    </row>
    <row r="176" customFormat="false" ht="12" hidden="false" customHeight="false" outlineLevel="0" collapsed="false">
      <c r="A176" s="28"/>
      <c r="E176" s="2" t="str">
        <f aca="false">IF((F176&lt;&gt;0),"Enter Letter"," ")</f>
        <v> </v>
      </c>
      <c r="F176" s="30"/>
      <c r="G176" s="6" t="str">
        <f aca="false">IF(F176&lt;&gt;0,F176*G$2/(100+G$2)," ")</f>
        <v> </v>
      </c>
      <c r="H176" s="6" t="str">
        <f aca="false">IF((F176&lt;&gt;0),F176-G176," ")</f>
        <v> </v>
      </c>
      <c r="I176" s="5"/>
      <c r="L176" s="7" t="str">
        <f aca="false">IF(F176&lt;&gt;0,F176-K176," ")</f>
        <v> </v>
      </c>
      <c r="M176" s="8" t="str">
        <f aca="false">IF((F176-K176)&lt;&gt;0,M$1-A176," ")</f>
        <v> </v>
      </c>
      <c r="N176" s="5"/>
      <c r="O176" s="17" t="str">
        <f aca="false">IF((E176="s"),H176," ")</f>
        <v> </v>
      </c>
      <c r="P176" s="17" t="str">
        <f aca="false">IF((E176="c"),H176," ")</f>
        <v> </v>
      </c>
      <c r="Q176" s="17" t="str">
        <f aca="false">IF((E176="o"),H176," ")</f>
        <v> </v>
      </c>
      <c r="R176" s="17" t="str">
        <f aca="false">IF((E176="d"),H176," ")</f>
        <v> </v>
      </c>
      <c r="S176" s="17" t="str">
        <f aca="false">IF((E176="w"),H176," ")</f>
        <v> </v>
      </c>
      <c r="T176" s="17" t="str">
        <f aca="false">IF((E176="r"),H176," ")</f>
        <v> </v>
      </c>
      <c r="U176" s="17" t="str">
        <f aca="false">IF((E176="p"),H176," ")</f>
        <v> </v>
      </c>
      <c r="V176" s="17" t="str">
        <f aca="false">IF((E176="t"),H176," ")</f>
        <v> </v>
      </c>
      <c r="W176" s="17" t="str">
        <f aca="false">IF((E176="q"),H176," ")</f>
        <v> </v>
      </c>
      <c r="X176" s="17" t="str">
        <f aca="false">IF((E176="m"),H176," ")</f>
        <v> </v>
      </c>
      <c r="Y176" s="17" t="str">
        <f aca="false">IF((E176="u"),H176," ")</f>
        <v> </v>
      </c>
      <c r="Z176" s="17" t="str">
        <f aca="false">IF((E176="a"),H176," ")</f>
        <v> </v>
      </c>
      <c r="AA176" s="17" t="str">
        <f aca="false">IF((E176="g"),H176," ")</f>
        <v> </v>
      </c>
      <c r="AB176" s="17" t="str">
        <f aca="false">IF((E176="h"),H176," ")</f>
        <v> </v>
      </c>
      <c r="AC176" s="30" t="str">
        <f aca="false">IF((E176="v"),H176," ")</f>
        <v> </v>
      </c>
      <c r="AD176" s="30" t="str">
        <f aca="false">IF((E176="n"),H176," ")</f>
        <v> </v>
      </c>
      <c r="AE176" s="17" t="str">
        <f aca="false">IF((E176="f"),H176," ")</f>
        <v> </v>
      </c>
      <c r="AF176" s="17" t="str">
        <f aca="false">IF((E176="l"),H176," ")</f>
        <v> </v>
      </c>
      <c r="AG176" s="17" t="str">
        <f aca="false">IF((E176="y"),H176," ")</f>
        <v> </v>
      </c>
      <c r="AH176" s="17" t="str">
        <f aca="false">IF((E176="z"),H176," ")</f>
        <v> </v>
      </c>
      <c r="AI176" s="17" t="str">
        <f aca="false">IF((E176="fa"),H176," ")</f>
        <v> </v>
      </c>
      <c r="AJ176" s="17" t="str">
        <f aca="false">IF((E176="e"),H176," ")</f>
        <v> </v>
      </c>
    </row>
    <row r="177" customFormat="false" ht="12" hidden="false" customHeight="false" outlineLevel="0" collapsed="false">
      <c r="A177" s="28"/>
      <c r="E177" s="2" t="str">
        <f aca="false">IF((F177&lt;&gt;0),"Enter Letter"," ")</f>
        <v> </v>
      </c>
      <c r="F177" s="30"/>
      <c r="G177" s="6" t="str">
        <f aca="false">IF(F177&lt;&gt;0,F177*G$2/(100+G$2)," ")</f>
        <v> </v>
      </c>
      <c r="H177" s="6" t="str">
        <f aca="false">IF((F177&lt;&gt;0),F177-G177," ")</f>
        <v> </v>
      </c>
      <c r="I177" s="5"/>
      <c r="L177" s="7" t="str">
        <f aca="false">IF(F177&lt;&gt;0,F177-K177," ")</f>
        <v> </v>
      </c>
      <c r="M177" s="8" t="str">
        <f aca="false">IF((F177-K177)&lt;&gt;0,M$1-A177," ")</f>
        <v> </v>
      </c>
      <c r="N177" s="5"/>
      <c r="O177" s="17" t="str">
        <f aca="false">IF((E177="s"),H177," ")</f>
        <v> </v>
      </c>
      <c r="P177" s="17" t="str">
        <f aca="false">IF((E177="c"),H177," ")</f>
        <v> </v>
      </c>
      <c r="Q177" s="17" t="str">
        <f aca="false">IF((E177="o"),H177," ")</f>
        <v> </v>
      </c>
      <c r="R177" s="17" t="str">
        <f aca="false">IF((E177="d"),H177," ")</f>
        <v> </v>
      </c>
      <c r="S177" s="17" t="str">
        <f aca="false">IF((E177="w"),H177," ")</f>
        <v> </v>
      </c>
      <c r="T177" s="17" t="str">
        <f aca="false">IF((E177="r"),H177," ")</f>
        <v> </v>
      </c>
      <c r="U177" s="17" t="str">
        <f aca="false">IF((E177="p"),H177," ")</f>
        <v> </v>
      </c>
      <c r="V177" s="17" t="str">
        <f aca="false">IF((E177="t"),H177," ")</f>
        <v> </v>
      </c>
      <c r="W177" s="17" t="str">
        <f aca="false">IF((E177="q"),H177," ")</f>
        <v> </v>
      </c>
      <c r="X177" s="17" t="str">
        <f aca="false">IF((E177="m"),H177," ")</f>
        <v> </v>
      </c>
      <c r="Y177" s="17" t="str">
        <f aca="false">IF((E177="u"),H177," ")</f>
        <v> </v>
      </c>
      <c r="Z177" s="17" t="str">
        <f aca="false">IF((E177="a"),H177," ")</f>
        <v> </v>
      </c>
      <c r="AA177" s="17" t="str">
        <f aca="false">IF((E177="g"),H177," ")</f>
        <v> </v>
      </c>
      <c r="AB177" s="17" t="str">
        <f aca="false">IF((E177="h"),H177," ")</f>
        <v> </v>
      </c>
      <c r="AC177" s="30" t="str">
        <f aca="false">IF((E177="v"),H177," ")</f>
        <v> </v>
      </c>
      <c r="AD177" s="30" t="str">
        <f aca="false">IF((E177="n"),H177," ")</f>
        <v> </v>
      </c>
      <c r="AE177" s="17" t="str">
        <f aca="false">IF((E177="f"),H177," ")</f>
        <v> </v>
      </c>
      <c r="AF177" s="17" t="str">
        <f aca="false">IF((E177="l"),H177," ")</f>
        <v> </v>
      </c>
      <c r="AG177" s="17" t="str">
        <f aca="false">IF((E177="y"),H177," ")</f>
        <v> </v>
      </c>
      <c r="AH177" s="17" t="str">
        <f aca="false">IF((E177="z"),H177," ")</f>
        <v> </v>
      </c>
      <c r="AI177" s="17" t="str">
        <f aca="false">IF((E177="fa"),H177," ")</f>
        <v> </v>
      </c>
      <c r="AJ177" s="17" t="str">
        <f aca="false">IF((E177="e"),H177," ")</f>
        <v> </v>
      </c>
    </row>
    <row r="178" customFormat="false" ht="12" hidden="false" customHeight="false" outlineLevel="0" collapsed="false">
      <c r="A178" s="28"/>
      <c r="E178" s="2" t="str">
        <f aca="false">IF((F178&lt;&gt;0),"Enter Letter"," ")</f>
        <v> </v>
      </c>
      <c r="F178" s="30"/>
      <c r="G178" s="6" t="str">
        <f aca="false">IF(F178&lt;&gt;0,F178*G$2/(100+G$2)," ")</f>
        <v> </v>
      </c>
      <c r="H178" s="6" t="str">
        <f aca="false">IF((F178&lt;&gt;0),F178-G178," ")</f>
        <v> </v>
      </c>
      <c r="I178" s="5"/>
      <c r="L178" s="7" t="str">
        <f aca="false">IF(F178&lt;&gt;0,F178-K178," ")</f>
        <v> </v>
      </c>
      <c r="M178" s="8" t="str">
        <f aca="false">IF((F178-K178)&lt;&gt;0,M$1-A178," ")</f>
        <v> </v>
      </c>
      <c r="N178" s="5"/>
      <c r="O178" s="17" t="str">
        <f aca="false">IF((E178="s"),H178," ")</f>
        <v> </v>
      </c>
      <c r="P178" s="17" t="str">
        <f aca="false">IF((E178="c"),H178," ")</f>
        <v> </v>
      </c>
      <c r="Q178" s="17" t="str">
        <f aca="false">IF((E178="o"),H178," ")</f>
        <v> </v>
      </c>
      <c r="R178" s="17" t="str">
        <f aca="false">IF((E178="d"),H178," ")</f>
        <v> </v>
      </c>
      <c r="S178" s="17" t="str">
        <f aca="false">IF((E178="w"),H178," ")</f>
        <v> </v>
      </c>
      <c r="T178" s="17" t="str">
        <f aca="false">IF((E178="r"),H178," ")</f>
        <v> </v>
      </c>
      <c r="U178" s="17" t="str">
        <f aca="false">IF((E178="p"),H178," ")</f>
        <v> </v>
      </c>
      <c r="V178" s="17" t="str">
        <f aca="false">IF((E178="t"),H178," ")</f>
        <v> </v>
      </c>
      <c r="W178" s="17" t="str">
        <f aca="false">IF((E178="q"),H178," ")</f>
        <v> </v>
      </c>
      <c r="X178" s="17" t="str">
        <f aca="false">IF((E178="m"),H178," ")</f>
        <v> </v>
      </c>
      <c r="Y178" s="17" t="str">
        <f aca="false">IF((E178="u"),H178," ")</f>
        <v> </v>
      </c>
      <c r="Z178" s="17" t="str">
        <f aca="false">IF((E178="a"),H178," ")</f>
        <v> </v>
      </c>
      <c r="AA178" s="17" t="str">
        <f aca="false">IF((E178="g"),H178," ")</f>
        <v> </v>
      </c>
      <c r="AB178" s="17" t="str">
        <f aca="false">IF((E178="h"),H178," ")</f>
        <v> </v>
      </c>
      <c r="AC178" s="30" t="str">
        <f aca="false">IF((E178="v"),H178," ")</f>
        <v> </v>
      </c>
      <c r="AD178" s="30" t="str">
        <f aca="false">IF((E178="n"),H178," ")</f>
        <v> </v>
      </c>
      <c r="AE178" s="17" t="str">
        <f aca="false">IF((E178="f"),H178," ")</f>
        <v> </v>
      </c>
      <c r="AF178" s="17" t="str">
        <f aca="false">IF((E178="l"),H178," ")</f>
        <v> </v>
      </c>
      <c r="AG178" s="17" t="str">
        <f aca="false">IF((E178="y"),H178," ")</f>
        <v> </v>
      </c>
      <c r="AH178" s="17" t="str">
        <f aca="false">IF((E178="z"),H178," ")</f>
        <v> </v>
      </c>
      <c r="AI178" s="17" t="str">
        <f aca="false">IF((E178="fa"),H178," ")</f>
        <v> </v>
      </c>
      <c r="AJ178" s="17" t="str">
        <f aca="false">IF((E178="e"),H178," ")</f>
        <v> </v>
      </c>
    </row>
    <row r="179" customFormat="false" ht="12" hidden="false" customHeight="false" outlineLevel="0" collapsed="false">
      <c r="A179" s="28"/>
      <c r="E179" s="2" t="str">
        <f aca="false">IF((F179&lt;&gt;0),"Enter Letter"," ")</f>
        <v> </v>
      </c>
      <c r="F179" s="30"/>
      <c r="G179" s="6" t="str">
        <f aca="false">IF(F179&lt;&gt;0,F179*G$2/(100+G$2)," ")</f>
        <v> </v>
      </c>
      <c r="H179" s="6" t="str">
        <f aca="false">IF((F179&lt;&gt;0),F179-G179," ")</f>
        <v> </v>
      </c>
      <c r="I179" s="5"/>
      <c r="L179" s="7" t="str">
        <f aca="false">IF(F179&lt;&gt;0,F179-K179," ")</f>
        <v> </v>
      </c>
      <c r="M179" s="8" t="str">
        <f aca="false">IF((F179-K179)&lt;&gt;0,M$1-A179," ")</f>
        <v> </v>
      </c>
      <c r="N179" s="5"/>
      <c r="O179" s="17" t="str">
        <f aca="false">IF((E179="s"),H179," ")</f>
        <v> </v>
      </c>
      <c r="P179" s="17" t="str">
        <f aca="false">IF((E179="c"),H179," ")</f>
        <v> </v>
      </c>
      <c r="Q179" s="17" t="str">
        <f aca="false">IF((E179="o"),H179," ")</f>
        <v> </v>
      </c>
      <c r="R179" s="17" t="str">
        <f aca="false">IF((E179="d"),H179," ")</f>
        <v> </v>
      </c>
      <c r="S179" s="17" t="str">
        <f aca="false">IF((E179="w"),H179," ")</f>
        <v> </v>
      </c>
      <c r="T179" s="17" t="str">
        <f aca="false">IF((E179="r"),H179," ")</f>
        <v> </v>
      </c>
      <c r="U179" s="17" t="str">
        <f aca="false">IF((E179="p"),H179," ")</f>
        <v> </v>
      </c>
      <c r="V179" s="17" t="str">
        <f aca="false">IF((E179="t"),H179," ")</f>
        <v> </v>
      </c>
      <c r="W179" s="17" t="str">
        <f aca="false">IF((E179="q"),H179," ")</f>
        <v> </v>
      </c>
      <c r="X179" s="17" t="str">
        <f aca="false">IF((E179="m"),H179," ")</f>
        <v> </v>
      </c>
      <c r="Y179" s="17" t="str">
        <f aca="false">IF((E179="u"),H179," ")</f>
        <v> </v>
      </c>
      <c r="Z179" s="17" t="str">
        <f aca="false">IF((E179="a"),H179," ")</f>
        <v> </v>
      </c>
      <c r="AA179" s="17" t="str">
        <f aca="false">IF((E179="g"),H179," ")</f>
        <v> </v>
      </c>
      <c r="AB179" s="17" t="str">
        <f aca="false">IF((E179="h"),H179," ")</f>
        <v> </v>
      </c>
      <c r="AC179" s="30" t="str">
        <f aca="false">IF((E179="v"),H179," ")</f>
        <v> </v>
      </c>
      <c r="AD179" s="30" t="str">
        <f aca="false">IF((E179="n"),H179," ")</f>
        <v> </v>
      </c>
      <c r="AE179" s="17" t="str">
        <f aca="false">IF((E179="f"),H179," ")</f>
        <v> </v>
      </c>
      <c r="AF179" s="17" t="str">
        <f aca="false">IF((E179="l"),H179," ")</f>
        <v> </v>
      </c>
      <c r="AG179" s="17" t="str">
        <f aca="false">IF((E179="y"),H179," ")</f>
        <v> </v>
      </c>
      <c r="AH179" s="17" t="str">
        <f aca="false">IF((E179="z"),H179," ")</f>
        <v> </v>
      </c>
      <c r="AI179" s="17" t="str">
        <f aca="false">IF((E179="fa"),H179," ")</f>
        <v> </v>
      </c>
      <c r="AJ179" s="17" t="str">
        <f aca="false">IF((E179="e"),H179," ")</f>
        <v> </v>
      </c>
    </row>
    <row r="180" customFormat="false" ht="12" hidden="false" customHeight="false" outlineLevel="0" collapsed="false">
      <c r="A180" s="28"/>
      <c r="E180" s="2" t="str">
        <f aca="false">IF((F180&lt;&gt;0),"Enter Letter"," ")</f>
        <v> </v>
      </c>
      <c r="F180" s="30"/>
      <c r="G180" s="6" t="str">
        <f aca="false">IF(F180&lt;&gt;0,F180*G$2/(100+G$2)," ")</f>
        <v> </v>
      </c>
      <c r="H180" s="6" t="str">
        <f aca="false">IF((F180&lt;&gt;0),F180-G180," ")</f>
        <v> </v>
      </c>
      <c r="I180" s="5"/>
      <c r="L180" s="7" t="str">
        <f aca="false">IF(F180&lt;&gt;0,F180-K180," ")</f>
        <v> </v>
      </c>
      <c r="M180" s="8" t="str">
        <f aca="false">IF((F180-K180)&lt;&gt;0,M$1-A180," ")</f>
        <v> </v>
      </c>
      <c r="N180" s="5"/>
      <c r="O180" s="17" t="str">
        <f aca="false">IF((E180="s"),H180," ")</f>
        <v> </v>
      </c>
      <c r="P180" s="17" t="str">
        <f aca="false">IF((E180="c"),H180," ")</f>
        <v> </v>
      </c>
      <c r="Q180" s="17" t="str">
        <f aca="false">IF((E180="o"),H180," ")</f>
        <v> </v>
      </c>
      <c r="R180" s="17" t="str">
        <f aca="false">IF((E180="d"),H180," ")</f>
        <v> </v>
      </c>
      <c r="S180" s="17" t="str">
        <f aca="false">IF((E180="w"),H180," ")</f>
        <v> </v>
      </c>
      <c r="T180" s="17" t="str">
        <f aca="false">IF((E180="r"),H180," ")</f>
        <v> </v>
      </c>
      <c r="U180" s="17" t="str">
        <f aca="false">IF((E180="p"),H180," ")</f>
        <v> </v>
      </c>
      <c r="V180" s="17" t="str">
        <f aca="false">IF((E180="t"),H180," ")</f>
        <v> </v>
      </c>
      <c r="W180" s="17" t="str">
        <f aca="false">IF((E180="q"),H180," ")</f>
        <v> </v>
      </c>
      <c r="X180" s="17" t="str">
        <f aca="false">IF((E180="m"),H180," ")</f>
        <v> </v>
      </c>
      <c r="Y180" s="17" t="str">
        <f aca="false">IF((E180="u"),H180," ")</f>
        <v> </v>
      </c>
      <c r="Z180" s="17" t="str">
        <f aca="false">IF((E180="a"),H180," ")</f>
        <v> </v>
      </c>
      <c r="AA180" s="17" t="str">
        <f aca="false">IF((E180="g"),H180," ")</f>
        <v> </v>
      </c>
      <c r="AB180" s="17" t="str">
        <f aca="false">IF((E180="h"),H180," ")</f>
        <v> </v>
      </c>
      <c r="AC180" s="30" t="str">
        <f aca="false">IF((E180="v"),H180," ")</f>
        <v> </v>
      </c>
      <c r="AD180" s="30" t="str">
        <f aca="false">IF((E180="n"),H180," ")</f>
        <v> </v>
      </c>
      <c r="AE180" s="17" t="str">
        <f aca="false">IF((E180="f"),H180," ")</f>
        <v> </v>
      </c>
      <c r="AF180" s="17" t="str">
        <f aca="false">IF((E180="l"),H180," ")</f>
        <v> </v>
      </c>
      <c r="AG180" s="17" t="str">
        <f aca="false">IF((E180="y"),H180," ")</f>
        <v> </v>
      </c>
      <c r="AH180" s="17" t="str">
        <f aca="false">IF((E180="z"),H180," ")</f>
        <v> </v>
      </c>
      <c r="AI180" s="17" t="str">
        <f aca="false">IF((E180="fa"),H180," ")</f>
        <v> </v>
      </c>
      <c r="AJ180" s="17" t="str">
        <f aca="false">IF((E180="e"),H180," ")</f>
        <v> </v>
      </c>
    </row>
    <row r="181" customFormat="false" ht="12" hidden="false" customHeight="false" outlineLevel="0" collapsed="false">
      <c r="A181" s="28"/>
      <c r="E181" s="2" t="str">
        <f aca="false">IF((F181&lt;&gt;0),"Enter Letter"," ")</f>
        <v> </v>
      </c>
      <c r="F181" s="30"/>
      <c r="G181" s="6" t="str">
        <f aca="false">IF(F181&lt;&gt;0,F181*G$2/(100+G$2)," ")</f>
        <v> </v>
      </c>
      <c r="H181" s="6" t="str">
        <f aca="false">IF((F181&lt;&gt;0),F181-G181," ")</f>
        <v> </v>
      </c>
      <c r="I181" s="5"/>
      <c r="L181" s="7" t="str">
        <f aca="false">IF(F181&lt;&gt;0,F181-K181," ")</f>
        <v> </v>
      </c>
      <c r="M181" s="8" t="str">
        <f aca="false">IF((F181-K181)&lt;&gt;0,M$1-A181," ")</f>
        <v> </v>
      </c>
      <c r="N181" s="5"/>
      <c r="O181" s="17" t="str">
        <f aca="false">IF((E181="s"),H181," ")</f>
        <v> </v>
      </c>
      <c r="P181" s="17" t="str">
        <f aca="false">IF((E181="c"),H181," ")</f>
        <v> </v>
      </c>
      <c r="Q181" s="17" t="str">
        <f aca="false">IF((E181="o"),H181," ")</f>
        <v> </v>
      </c>
      <c r="R181" s="17" t="str">
        <f aca="false">IF((E181="d"),H181," ")</f>
        <v> </v>
      </c>
      <c r="S181" s="17" t="str">
        <f aca="false">IF((E181="w"),H181," ")</f>
        <v> </v>
      </c>
      <c r="T181" s="17" t="str">
        <f aca="false">IF((E181="r"),H181," ")</f>
        <v> </v>
      </c>
      <c r="U181" s="17" t="str">
        <f aca="false">IF((E181="p"),H181," ")</f>
        <v> </v>
      </c>
      <c r="V181" s="17" t="str">
        <f aca="false">IF((E181="t"),H181," ")</f>
        <v> </v>
      </c>
      <c r="W181" s="17" t="str">
        <f aca="false">IF((E181="q"),H181," ")</f>
        <v> </v>
      </c>
      <c r="X181" s="17" t="str">
        <f aca="false">IF((E181="m"),H181," ")</f>
        <v> </v>
      </c>
      <c r="Y181" s="17" t="str">
        <f aca="false">IF((E181="u"),H181," ")</f>
        <v> </v>
      </c>
      <c r="Z181" s="17" t="str">
        <f aca="false">IF((E181="a"),H181," ")</f>
        <v> </v>
      </c>
      <c r="AA181" s="17" t="str">
        <f aca="false">IF((E181="g"),H181," ")</f>
        <v> </v>
      </c>
      <c r="AB181" s="17" t="str">
        <f aca="false">IF((E181="h"),H181," ")</f>
        <v> </v>
      </c>
      <c r="AC181" s="30" t="str">
        <f aca="false">IF((E181="v"),H181," ")</f>
        <v> </v>
      </c>
      <c r="AD181" s="30" t="str">
        <f aca="false">IF((E181="n"),H181," ")</f>
        <v> </v>
      </c>
      <c r="AE181" s="17" t="str">
        <f aca="false">IF((E181="f"),H181," ")</f>
        <v> </v>
      </c>
      <c r="AF181" s="17" t="str">
        <f aca="false">IF((E181="l"),H181," ")</f>
        <v> </v>
      </c>
      <c r="AG181" s="17" t="str">
        <f aca="false">IF((E181="y"),H181," ")</f>
        <v> </v>
      </c>
      <c r="AH181" s="17" t="str">
        <f aca="false">IF((E181="z"),H181," ")</f>
        <v> </v>
      </c>
      <c r="AI181" s="17" t="str">
        <f aca="false">IF((E181="fa"),H181," ")</f>
        <v> </v>
      </c>
      <c r="AJ181" s="17" t="str">
        <f aca="false">IF((E181="e"),H181," ")</f>
        <v> </v>
      </c>
    </row>
    <row r="182" customFormat="false" ht="12" hidden="false" customHeight="false" outlineLevel="0" collapsed="false">
      <c r="A182" s="28"/>
      <c r="E182" s="2" t="str">
        <f aca="false">IF((F182&lt;&gt;0),"Enter Letter"," ")</f>
        <v> </v>
      </c>
      <c r="F182" s="30"/>
      <c r="G182" s="6" t="str">
        <f aca="false">IF(F182&lt;&gt;0,F182*G$2/(100+G$2)," ")</f>
        <v> </v>
      </c>
      <c r="H182" s="6" t="str">
        <f aca="false">IF((F182&lt;&gt;0),F182-G182," ")</f>
        <v> </v>
      </c>
      <c r="I182" s="5"/>
      <c r="L182" s="7" t="str">
        <f aca="false">IF(F182&lt;&gt;0,F182-K182," ")</f>
        <v> </v>
      </c>
      <c r="M182" s="8" t="str">
        <f aca="false">IF((F182-K182)&lt;&gt;0,M$1-A182," ")</f>
        <v> </v>
      </c>
      <c r="N182" s="5"/>
      <c r="O182" s="17" t="str">
        <f aca="false">IF((E182="s"),H182," ")</f>
        <v> </v>
      </c>
      <c r="P182" s="17" t="str">
        <f aca="false">IF((E182="c"),H182," ")</f>
        <v> </v>
      </c>
      <c r="Q182" s="17" t="str">
        <f aca="false">IF((E182="o"),H182," ")</f>
        <v> </v>
      </c>
      <c r="R182" s="17" t="str">
        <f aca="false">IF((E182="d"),H182," ")</f>
        <v> </v>
      </c>
      <c r="S182" s="17" t="str">
        <f aca="false">IF((E182="w"),H182," ")</f>
        <v> </v>
      </c>
      <c r="T182" s="17" t="str">
        <f aca="false">IF((E182="r"),H182," ")</f>
        <v> </v>
      </c>
      <c r="U182" s="17" t="str">
        <f aca="false">IF((E182="p"),H182," ")</f>
        <v> </v>
      </c>
      <c r="V182" s="17" t="str">
        <f aca="false">IF((E182="t"),H182," ")</f>
        <v> </v>
      </c>
      <c r="W182" s="17" t="str">
        <f aca="false">IF((E182="q"),H182," ")</f>
        <v> </v>
      </c>
      <c r="X182" s="17" t="str">
        <f aca="false">IF((E182="m"),H182," ")</f>
        <v> </v>
      </c>
      <c r="Y182" s="17" t="str">
        <f aca="false">IF((E182="u"),H182," ")</f>
        <v> </v>
      </c>
      <c r="Z182" s="17" t="str">
        <f aca="false">IF((E182="a"),H182," ")</f>
        <v> </v>
      </c>
      <c r="AA182" s="17" t="str">
        <f aca="false">IF((E182="g"),H182," ")</f>
        <v> </v>
      </c>
      <c r="AB182" s="17" t="str">
        <f aca="false">IF((E182="h"),H182," ")</f>
        <v> </v>
      </c>
      <c r="AC182" s="30" t="str">
        <f aca="false">IF((E182="v"),H182," ")</f>
        <v> </v>
      </c>
      <c r="AD182" s="30" t="str">
        <f aca="false">IF((E182="n"),H182," ")</f>
        <v> </v>
      </c>
      <c r="AE182" s="17" t="str">
        <f aca="false">IF((E182="f"),H182," ")</f>
        <v> </v>
      </c>
      <c r="AF182" s="17" t="str">
        <f aca="false">IF((E182="l"),H182," ")</f>
        <v> </v>
      </c>
      <c r="AG182" s="17" t="str">
        <f aca="false">IF((E182="y"),H182," ")</f>
        <v> </v>
      </c>
      <c r="AH182" s="17" t="str">
        <f aca="false">IF((E182="z"),H182," ")</f>
        <v> </v>
      </c>
      <c r="AI182" s="17" t="str">
        <f aca="false">IF((E182="fa"),H182," ")</f>
        <v> </v>
      </c>
      <c r="AJ182" s="17" t="str">
        <f aca="false">IF((E182="e"),H182," ")</f>
        <v> </v>
      </c>
    </row>
    <row r="183" customFormat="false" ht="12" hidden="false" customHeight="false" outlineLevel="0" collapsed="false">
      <c r="A183" s="28"/>
      <c r="E183" s="2" t="str">
        <f aca="false">IF((F183&lt;&gt;0),"Enter Letter"," ")</f>
        <v> </v>
      </c>
      <c r="F183" s="30"/>
      <c r="G183" s="6" t="str">
        <f aca="false">IF(F183&lt;&gt;0,F183*G$2/(100+G$2)," ")</f>
        <v> </v>
      </c>
      <c r="H183" s="6" t="str">
        <f aca="false">IF((F183&lt;&gt;0),F183-G183," ")</f>
        <v> </v>
      </c>
      <c r="I183" s="5"/>
      <c r="L183" s="7" t="str">
        <f aca="false">IF(F183&lt;&gt;0,F183-K183," ")</f>
        <v> </v>
      </c>
      <c r="M183" s="8" t="str">
        <f aca="false">IF((F183-K183)&lt;&gt;0,M$1-A183," ")</f>
        <v> </v>
      </c>
      <c r="N183" s="5"/>
      <c r="O183" s="17" t="str">
        <f aca="false">IF((E183="s"),H183," ")</f>
        <v> </v>
      </c>
      <c r="P183" s="17" t="str">
        <f aca="false">IF((E183="c"),H183," ")</f>
        <v> </v>
      </c>
      <c r="Q183" s="17" t="str">
        <f aca="false">IF((E183="o"),H183," ")</f>
        <v> </v>
      </c>
      <c r="R183" s="17" t="str">
        <f aca="false">IF((E183="d"),H183," ")</f>
        <v> </v>
      </c>
      <c r="S183" s="17" t="str">
        <f aca="false">IF((E183="w"),H183," ")</f>
        <v> </v>
      </c>
      <c r="T183" s="17" t="str">
        <f aca="false">IF((E183="r"),H183," ")</f>
        <v> </v>
      </c>
      <c r="U183" s="17" t="str">
        <f aca="false">IF((E183="p"),H183," ")</f>
        <v> </v>
      </c>
      <c r="V183" s="17" t="str">
        <f aca="false">IF((E183="t"),H183," ")</f>
        <v> </v>
      </c>
      <c r="W183" s="17" t="str">
        <f aca="false">IF((E183="q"),H183," ")</f>
        <v> </v>
      </c>
      <c r="X183" s="17" t="str">
        <f aca="false">IF((E183="m"),H183," ")</f>
        <v> </v>
      </c>
      <c r="Y183" s="17" t="str">
        <f aca="false">IF((E183="u"),H183," ")</f>
        <v> </v>
      </c>
      <c r="Z183" s="17" t="str">
        <f aca="false">IF((E183="a"),H183," ")</f>
        <v> </v>
      </c>
      <c r="AA183" s="17" t="str">
        <f aca="false">IF((E183="g"),H183," ")</f>
        <v> </v>
      </c>
      <c r="AB183" s="17" t="str">
        <f aca="false">IF((E183="h"),H183," ")</f>
        <v> </v>
      </c>
      <c r="AC183" s="30" t="str">
        <f aca="false">IF((E183="v"),H183," ")</f>
        <v> </v>
      </c>
      <c r="AD183" s="30" t="str">
        <f aca="false">IF((E183="n"),H183," ")</f>
        <v> </v>
      </c>
      <c r="AE183" s="17" t="str">
        <f aca="false">IF((E183="f"),H183," ")</f>
        <v> </v>
      </c>
      <c r="AF183" s="17" t="str">
        <f aca="false">IF((E183="l"),H183," ")</f>
        <v> </v>
      </c>
      <c r="AG183" s="17" t="str">
        <f aca="false">IF((E183="y"),H183," ")</f>
        <v> </v>
      </c>
      <c r="AH183" s="17" t="str">
        <f aca="false">IF((E183="z"),H183," ")</f>
        <v> </v>
      </c>
      <c r="AI183" s="17" t="str">
        <f aca="false">IF((E183="fa"),H183," ")</f>
        <v> </v>
      </c>
      <c r="AJ183" s="17" t="str">
        <f aca="false">IF((E183="e"),H183," ")</f>
        <v> </v>
      </c>
    </row>
    <row r="184" customFormat="false" ht="12" hidden="false" customHeight="false" outlineLevel="0" collapsed="false">
      <c r="A184" s="28"/>
      <c r="E184" s="2" t="str">
        <f aca="false">IF((F184&lt;&gt;0),"Enter Letter"," ")</f>
        <v> </v>
      </c>
      <c r="F184" s="30"/>
      <c r="G184" s="6" t="str">
        <f aca="false">IF(F184&lt;&gt;0,F184*G$2/(100+G$2)," ")</f>
        <v> </v>
      </c>
      <c r="H184" s="6" t="str">
        <f aca="false">IF((F184&lt;&gt;0),F184-G184," ")</f>
        <v> </v>
      </c>
      <c r="I184" s="5"/>
      <c r="L184" s="7" t="str">
        <f aca="false">IF(F184&lt;&gt;0,F184-K184," ")</f>
        <v> </v>
      </c>
      <c r="M184" s="8" t="str">
        <f aca="false">IF((F184-K184)&lt;&gt;0,M$1-A184," ")</f>
        <v> </v>
      </c>
      <c r="N184" s="5"/>
      <c r="O184" s="17" t="str">
        <f aca="false">IF((E184="s"),H184," ")</f>
        <v> </v>
      </c>
      <c r="P184" s="17" t="str">
        <f aca="false">IF((E184="c"),H184," ")</f>
        <v> </v>
      </c>
      <c r="Q184" s="17" t="str">
        <f aca="false">IF((E184="o"),H184," ")</f>
        <v> </v>
      </c>
      <c r="R184" s="17" t="str">
        <f aca="false">IF((E184="d"),H184," ")</f>
        <v> </v>
      </c>
      <c r="S184" s="17" t="str">
        <f aca="false">IF((E184="w"),H184," ")</f>
        <v> </v>
      </c>
      <c r="T184" s="17" t="str">
        <f aca="false">IF((E184="r"),H184," ")</f>
        <v> </v>
      </c>
      <c r="U184" s="17" t="str">
        <f aca="false">IF((E184="p"),H184," ")</f>
        <v> </v>
      </c>
      <c r="V184" s="17" t="str">
        <f aca="false">IF((E184="t"),H184," ")</f>
        <v> </v>
      </c>
      <c r="W184" s="17" t="str">
        <f aca="false">IF((E184="q"),H184," ")</f>
        <v> </v>
      </c>
      <c r="X184" s="17" t="str">
        <f aca="false">IF((E184="m"),H184," ")</f>
        <v> </v>
      </c>
      <c r="Y184" s="17" t="str">
        <f aca="false">IF((E184="u"),H184," ")</f>
        <v> </v>
      </c>
      <c r="Z184" s="17" t="str">
        <f aca="false">IF((E184="a"),H184," ")</f>
        <v> </v>
      </c>
      <c r="AA184" s="17" t="str">
        <f aca="false">IF((E184="g"),H184," ")</f>
        <v> </v>
      </c>
      <c r="AB184" s="17" t="str">
        <f aca="false">IF((E184="h"),H184," ")</f>
        <v> </v>
      </c>
      <c r="AC184" s="30" t="str">
        <f aca="false">IF((E184="v"),H184," ")</f>
        <v> </v>
      </c>
      <c r="AD184" s="30" t="str">
        <f aca="false">IF((E184="n"),H184," ")</f>
        <v> </v>
      </c>
      <c r="AE184" s="17" t="str">
        <f aca="false">IF((E184="f"),H184," ")</f>
        <v> </v>
      </c>
      <c r="AF184" s="17" t="str">
        <f aca="false">IF((E184="l"),H184," ")</f>
        <v> </v>
      </c>
      <c r="AG184" s="17" t="str">
        <f aca="false">IF((E184="y"),H184," ")</f>
        <v> </v>
      </c>
      <c r="AH184" s="17" t="str">
        <f aca="false">IF((E184="z"),H184," ")</f>
        <v> </v>
      </c>
      <c r="AI184" s="17" t="str">
        <f aca="false">IF((E184="fa"),H184," ")</f>
        <v> </v>
      </c>
      <c r="AJ184" s="17" t="str">
        <f aca="false">IF((E184="e"),H184," ")</f>
        <v> </v>
      </c>
    </row>
    <row r="185" customFormat="false" ht="12" hidden="false" customHeight="false" outlineLevel="0" collapsed="false">
      <c r="A185" s="28"/>
      <c r="E185" s="2" t="str">
        <f aca="false">IF((F185&lt;&gt;0),"Enter Letter"," ")</f>
        <v> </v>
      </c>
      <c r="F185" s="30"/>
      <c r="G185" s="6" t="str">
        <f aca="false">IF(F185&lt;&gt;0,F185*G$2/(100+G$2)," ")</f>
        <v> </v>
      </c>
      <c r="H185" s="6" t="str">
        <f aca="false">IF((F185&lt;&gt;0),F185-G185," ")</f>
        <v> </v>
      </c>
      <c r="I185" s="5"/>
      <c r="L185" s="7" t="str">
        <f aca="false">IF(F185&lt;&gt;0,F185-K185," ")</f>
        <v> </v>
      </c>
      <c r="M185" s="8" t="str">
        <f aca="false">IF((F185-K185)&lt;&gt;0,M$1-A185," ")</f>
        <v> </v>
      </c>
      <c r="N185" s="5"/>
      <c r="O185" s="17" t="str">
        <f aca="false">IF((E185="s"),H185," ")</f>
        <v> </v>
      </c>
      <c r="P185" s="17" t="str">
        <f aca="false">IF((E185="c"),H185," ")</f>
        <v> </v>
      </c>
      <c r="Q185" s="17" t="str">
        <f aca="false">IF((E185="o"),H185," ")</f>
        <v> </v>
      </c>
      <c r="R185" s="17" t="str">
        <f aca="false">IF((E185="d"),H185," ")</f>
        <v> </v>
      </c>
      <c r="S185" s="17" t="str">
        <f aca="false">IF((E185="w"),H185," ")</f>
        <v> </v>
      </c>
      <c r="T185" s="17" t="str">
        <f aca="false">IF((E185="r"),H185," ")</f>
        <v> </v>
      </c>
      <c r="U185" s="17" t="str">
        <f aca="false">IF((E185="p"),H185," ")</f>
        <v> </v>
      </c>
      <c r="V185" s="17" t="str">
        <f aca="false">IF((E185="t"),H185," ")</f>
        <v> </v>
      </c>
      <c r="W185" s="17" t="str">
        <f aca="false">IF((E185="q"),H185," ")</f>
        <v> </v>
      </c>
      <c r="X185" s="17" t="str">
        <f aca="false">IF((E185="m"),H185," ")</f>
        <v> </v>
      </c>
      <c r="Y185" s="17" t="str">
        <f aca="false">IF((E185="u"),H185," ")</f>
        <v> </v>
      </c>
      <c r="Z185" s="17" t="str">
        <f aca="false">IF((E185="a"),H185," ")</f>
        <v> </v>
      </c>
      <c r="AA185" s="17" t="str">
        <f aca="false">IF((E185="g"),H185," ")</f>
        <v> </v>
      </c>
      <c r="AB185" s="17" t="str">
        <f aca="false">IF((E185="h"),H185," ")</f>
        <v> </v>
      </c>
      <c r="AC185" s="30" t="str">
        <f aca="false">IF((E185="v"),H185," ")</f>
        <v> </v>
      </c>
      <c r="AD185" s="30" t="str">
        <f aca="false">IF((E185="n"),H185," ")</f>
        <v> </v>
      </c>
      <c r="AE185" s="17" t="str">
        <f aca="false">IF((E185="f"),H185," ")</f>
        <v> </v>
      </c>
      <c r="AF185" s="17" t="str">
        <f aca="false">IF((E185="l"),H185," ")</f>
        <v> </v>
      </c>
      <c r="AG185" s="17" t="str">
        <f aca="false">IF((E185="y"),H185," ")</f>
        <v> </v>
      </c>
      <c r="AH185" s="17" t="str">
        <f aca="false">IF((E185="z"),H185," ")</f>
        <v> </v>
      </c>
      <c r="AI185" s="17" t="str">
        <f aca="false">IF((E185="fa"),H185," ")</f>
        <v> </v>
      </c>
      <c r="AJ185" s="17" t="str">
        <f aca="false">IF((E185="e"),H185," ")</f>
        <v> </v>
      </c>
    </row>
    <row r="186" customFormat="false" ht="12" hidden="false" customHeight="false" outlineLevel="0" collapsed="false">
      <c r="A186" s="28"/>
      <c r="E186" s="2" t="str">
        <f aca="false">IF((F186&lt;&gt;0),"Enter Letter"," ")</f>
        <v> </v>
      </c>
      <c r="F186" s="30"/>
      <c r="G186" s="6" t="str">
        <f aca="false">IF(F186&lt;&gt;0,F186*G$2/(100+G$2)," ")</f>
        <v> </v>
      </c>
      <c r="H186" s="6" t="str">
        <f aca="false">IF((F186&lt;&gt;0),F186-G186," ")</f>
        <v> </v>
      </c>
      <c r="I186" s="5"/>
      <c r="L186" s="7" t="str">
        <f aca="false">IF(F186&lt;&gt;0,F186-K186," ")</f>
        <v> </v>
      </c>
      <c r="M186" s="8" t="str">
        <f aca="false">IF((F186-K186)&lt;&gt;0,M$1-A186," ")</f>
        <v> </v>
      </c>
      <c r="N186" s="5"/>
      <c r="O186" s="17" t="str">
        <f aca="false">IF((E186="s"),H186," ")</f>
        <v> </v>
      </c>
      <c r="P186" s="17" t="str">
        <f aca="false">IF((E186="c"),H186," ")</f>
        <v> </v>
      </c>
      <c r="Q186" s="17" t="str">
        <f aca="false">IF((E186="o"),H186," ")</f>
        <v> </v>
      </c>
      <c r="R186" s="17" t="str">
        <f aca="false">IF((E186="d"),H186," ")</f>
        <v> </v>
      </c>
      <c r="S186" s="17" t="str">
        <f aca="false">IF((E186="w"),H186," ")</f>
        <v> </v>
      </c>
      <c r="T186" s="17" t="str">
        <f aca="false">IF((E186="r"),H186," ")</f>
        <v> </v>
      </c>
      <c r="U186" s="17" t="str">
        <f aca="false">IF((E186="p"),H186," ")</f>
        <v> </v>
      </c>
      <c r="V186" s="17" t="str">
        <f aca="false">IF((E186="t"),H186," ")</f>
        <v> </v>
      </c>
      <c r="W186" s="17" t="str">
        <f aca="false">IF((E186="q"),H186," ")</f>
        <v> </v>
      </c>
      <c r="X186" s="17" t="str">
        <f aca="false">IF((E186="m"),H186," ")</f>
        <v> </v>
      </c>
      <c r="Y186" s="17" t="str">
        <f aca="false">IF((E186="u"),H186," ")</f>
        <v> </v>
      </c>
      <c r="Z186" s="17" t="str">
        <f aca="false">IF((E186="a"),H186," ")</f>
        <v> </v>
      </c>
      <c r="AA186" s="17" t="str">
        <f aca="false">IF((E186="g"),H186," ")</f>
        <v> </v>
      </c>
      <c r="AB186" s="17" t="str">
        <f aca="false">IF((E186="h"),H186," ")</f>
        <v> </v>
      </c>
      <c r="AC186" s="30" t="str">
        <f aca="false">IF((E186="v"),H186," ")</f>
        <v> </v>
      </c>
      <c r="AD186" s="30" t="str">
        <f aca="false">IF((E186="n"),H186," ")</f>
        <v> </v>
      </c>
      <c r="AE186" s="17" t="str">
        <f aca="false">IF((E186="f"),H186," ")</f>
        <v> </v>
      </c>
      <c r="AF186" s="17" t="str">
        <f aca="false">IF((E186="l"),H186," ")</f>
        <v> </v>
      </c>
      <c r="AG186" s="17" t="str">
        <f aca="false">IF((E186="y"),H186," ")</f>
        <v> </v>
      </c>
      <c r="AH186" s="17" t="str">
        <f aca="false">IF((E186="z"),H186," ")</f>
        <v> </v>
      </c>
      <c r="AI186" s="17" t="str">
        <f aca="false">IF((E186="fa"),H186," ")</f>
        <v> </v>
      </c>
      <c r="AJ186" s="17" t="str">
        <f aca="false">IF((E186="e"),H186," ")</f>
        <v> </v>
      </c>
    </row>
    <row r="187" customFormat="false" ht="12" hidden="false" customHeight="false" outlineLevel="0" collapsed="false">
      <c r="A187" s="28"/>
      <c r="E187" s="2" t="str">
        <f aca="false">IF((F187&lt;&gt;0),"Enter Letter"," ")</f>
        <v> </v>
      </c>
      <c r="F187" s="30"/>
      <c r="G187" s="6" t="str">
        <f aca="false">IF(F187&lt;&gt;0,F187*G$2/(100+G$2)," ")</f>
        <v> </v>
      </c>
      <c r="H187" s="6" t="str">
        <f aca="false">IF((F187&lt;&gt;0),F187-G187," ")</f>
        <v> </v>
      </c>
      <c r="I187" s="5"/>
      <c r="L187" s="7" t="str">
        <f aca="false">IF(F187&lt;&gt;0,F187-K187," ")</f>
        <v> </v>
      </c>
      <c r="M187" s="8" t="str">
        <f aca="false">IF((F187-K187)&lt;&gt;0,M$1-A187," ")</f>
        <v> </v>
      </c>
      <c r="N187" s="5"/>
      <c r="O187" s="17" t="str">
        <f aca="false">IF((E187="s"),H187," ")</f>
        <v> </v>
      </c>
      <c r="P187" s="17" t="str">
        <f aca="false">IF((E187="c"),H187," ")</f>
        <v> </v>
      </c>
      <c r="Q187" s="17" t="str">
        <f aca="false">IF((E187="o"),H187," ")</f>
        <v> </v>
      </c>
      <c r="R187" s="17" t="str">
        <f aca="false">IF((E187="d"),H187," ")</f>
        <v> </v>
      </c>
      <c r="S187" s="17" t="str">
        <f aca="false">IF((E187="w"),H187," ")</f>
        <v> </v>
      </c>
      <c r="T187" s="17" t="str">
        <f aca="false">IF((E187="r"),H187," ")</f>
        <v> </v>
      </c>
      <c r="U187" s="17" t="str">
        <f aca="false">IF((E187="p"),H187," ")</f>
        <v> </v>
      </c>
      <c r="V187" s="17" t="str">
        <f aca="false">IF((E187="t"),H187," ")</f>
        <v> </v>
      </c>
      <c r="W187" s="17" t="str">
        <f aca="false">IF((E187="q"),H187," ")</f>
        <v> </v>
      </c>
      <c r="X187" s="17" t="str">
        <f aca="false">IF((E187="m"),H187," ")</f>
        <v> </v>
      </c>
      <c r="Y187" s="17" t="str">
        <f aca="false">IF((E187="u"),H187," ")</f>
        <v> </v>
      </c>
      <c r="Z187" s="17" t="str">
        <f aca="false">IF((E187="a"),H187," ")</f>
        <v> </v>
      </c>
      <c r="AA187" s="17" t="str">
        <f aca="false">IF((E187="g"),H187," ")</f>
        <v> </v>
      </c>
      <c r="AB187" s="17" t="str">
        <f aca="false">IF((E187="h"),H187," ")</f>
        <v> </v>
      </c>
      <c r="AC187" s="30" t="str">
        <f aca="false">IF((E187="v"),H187," ")</f>
        <v> </v>
      </c>
      <c r="AD187" s="30" t="str">
        <f aca="false">IF((E187="n"),H187," ")</f>
        <v> </v>
      </c>
      <c r="AE187" s="17" t="str">
        <f aca="false">IF((E187="f"),H187," ")</f>
        <v> </v>
      </c>
      <c r="AF187" s="17" t="str">
        <f aca="false">IF((E187="l"),H187," ")</f>
        <v> </v>
      </c>
      <c r="AG187" s="17" t="str">
        <f aca="false">IF((E187="y"),H187," ")</f>
        <v> </v>
      </c>
      <c r="AH187" s="17" t="str">
        <f aca="false">IF((E187="z"),H187," ")</f>
        <v> </v>
      </c>
      <c r="AI187" s="17" t="str">
        <f aca="false">IF((E187="fa"),H187," ")</f>
        <v> </v>
      </c>
      <c r="AJ187" s="17" t="str">
        <f aca="false">IF((E187="e"),H187," ")</f>
        <v> </v>
      </c>
    </row>
    <row r="188" customFormat="false" ht="12" hidden="false" customHeight="false" outlineLevel="0" collapsed="false">
      <c r="A188" s="28"/>
      <c r="E188" s="2" t="str">
        <f aca="false">IF((F188&lt;&gt;0),"Enter Letter"," ")</f>
        <v> </v>
      </c>
      <c r="F188" s="30"/>
      <c r="G188" s="6" t="str">
        <f aca="false">IF(F188&lt;&gt;0,F188*G$2/(100+G$2)," ")</f>
        <v> </v>
      </c>
      <c r="H188" s="6" t="str">
        <f aca="false">IF((F188&lt;&gt;0),F188-G188," ")</f>
        <v> </v>
      </c>
      <c r="I188" s="5"/>
      <c r="L188" s="7" t="str">
        <f aca="false">IF(F188&lt;&gt;0,F188-K188," ")</f>
        <v> </v>
      </c>
      <c r="M188" s="8" t="str">
        <f aca="false">IF((F188-K188)&lt;&gt;0,M$1-A188," ")</f>
        <v> </v>
      </c>
      <c r="N188" s="5"/>
      <c r="O188" s="17" t="str">
        <f aca="false">IF((E188="s"),H188," ")</f>
        <v> </v>
      </c>
      <c r="P188" s="17" t="str">
        <f aca="false">IF((E188="c"),H188," ")</f>
        <v> </v>
      </c>
      <c r="Q188" s="17" t="str">
        <f aca="false">IF((E188="o"),H188," ")</f>
        <v> </v>
      </c>
      <c r="R188" s="17" t="str">
        <f aca="false">IF((E188="d"),H188," ")</f>
        <v> </v>
      </c>
      <c r="S188" s="17" t="str">
        <f aca="false">IF((E188="w"),H188," ")</f>
        <v> </v>
      </c>
      <c r="T188" s="17" t="str">
        <f aca="false">IF((E188="r"),H188," ")</f>
        <v> </v>
      </c>
      <c r="U188" s="17" t="str">
        <f aca="false">IF((E188="p"),H188," ")</f>
        <v> </v>
      </c>
      <c r="V188" s="17" t="str">
        <f aca="false">IF((E188="t"),H188," ")</f>
        <v> </v>
      </c>
      <c r="W188" s="17" t="str">
        <f aca="false">IF((E188="q"),H188," ")</f>
        <v> </v>
      </c>
      <c r="X188" s="17" t="str">
        <f aca="false">IF((E188="m"),H188," ")</f>
        <v> </v>
      </c>
      <c r="Y188" s="17" t="str">
        <f aca="false">IF((E188="u"),H188," ")</f>
        <v> </v>
      </c>
      <c r="Z188" s="17" t="str">
        <f aca="false">IF((E188="a"),H188," ")</f>
        <v> </v>
      </c>
      <c r="AA188" s="17" t="str">
        <f aca="false">IF((E188="g"),H188," ")</f>
        <v> </v>
      </c>
      <c r="AB188" s="17" t="str">
        <f aca="false">IF((E188="h"),H188," ")</f>
        <v> </v>
      </c>
      <c r="AC188" s="30" t="str">
        <f aca="false">IF((E188="v"),H188," ")</f>
        <v> </v>
      </c>
      <c r="AD188" s="30" t="str">
        <f aca="false">IF((E188="n"),H188," ")</f>
        <v> </v>
      </c>
      <c r="AE188" s="17" t="str">
        <f aca="false">IF((E188="f"),H188," ")</f>
        <v> </v>
      </c>
      <c r="AF188" s="17" t="str">
        <f aca="false">IF((E188="l"),H188," ")</f>
        <v> </v>
      </c>
      <c r="AG188" s="17" t="str">
        <f aca="false">IF((E188="y"),H188," ")</f>
        <v> </v>
      </c>
      <c r="AH188" s="17" t="str">
        <f aca="false">IF((E188="z"),H188," ")</f>
        <v> </v>
      </c>
      <c r="AI188" s="17" t="str">
        <f aca="false">IF((E188="fa"),H188," ")</f>
        <v> </v>
      </c>
      <c r="AJ188" s="17" t="str">
        <f aca="false">IF((E188="e"),H188," ")</f>
        <v> </v>
      </c>
    </row>
    <row r="189" customFormat="false" ht="12" hidden="false" customHeight="false" outlineLevel="0" collapsed="false">
      <c r="A189" s="28"/>
      <c r="E189" s="2" t="str">
        <f aca="false">IF((F189&lt;&gt;0),"Enter Letter"," ")</f>
        <v> </v>
      </c>
      <c r="F189" s="30"/>
      <c r="G189" s="6" t="str">
        <f aca="false">IF(F189&lt;&gt;0,F189*G$2/(100+G$2)," ")</f>
        <v> </v>
      </c>
      <c r="H189" s="6" t="str">
        <f aca="false">IF((F189&lt;&gt;0),F189-G189," ")</f>
        <v> </v>
      </c>
      <c r="I189" s="5"/>
      <c r="L189" s="7" t="str">
        <f aca="false">IF(F189&lt;&gt;0,F189-K189," ")</f>
        <v> </v>
      </c>
      <c r="M189" s="8" t="str">
        <f aca="false">IF((F189-K189)&lt;&gt;0,M$1-A189," ")</f>
        <v> </v>
      </c>
      <c r="N189" s="5"/>
      <c r="O189" s="17" t="str">
        <f aca="false">IF((E189="s"),H189," ")</f>
        <v> </v>
      </c>
      <c r="P189" s="17" t="str">
        <f aca="false">IF((E189="c"),H189," ")</f>
        <v> </v>
      </c>
      <c r="Q189" s="17" t="str">
        <f aca="false">IF((E189="o"),H189," ")</f>
        <v> </v>
      </c>
      <c r="R189" s="17" t="str">
        <f aca="false">IF((E189="d"),H189," ")</f>
        <v> </v>
      </c>
      <c r="S189" s="17" t="str">
        <f aca="false">IF((E189="w"),H189," ")</f>
        <v> </v>
      </c>
      <c r="T189" s="17" t="str">
        <f aca="false">IF((E189="r"),H189," ")</f>
        <v> </v>
      </c>
      <c r="U189" s="17" t="str">
        <f aca="false">IF((E189="p"),H189," ")</f>
        <v> </v>
      </c>
      <c r="V189" s="17" t="str">
        <f aca="false">IF((E189="t"),H189," ")</f>
        <v> </v>
      </c>
      <c r="W189" s="17" t="str">
        <f aca="false">IF((E189="q"),H189," ")</f>
        <v> </v>
      </c>
      <c r="X189" s="17" t="str">
        <f aca="false">IF((E189="m"),H189," ")</f>
        <v> </v>
      </c>
      <c r="Y189" s="17" t="str">
        <f aca="false">IF((E189="u"),H189," ")</f>
        <v> </v>
      </c>
      <c r="Z189" s="17" t="str">
        <f aca="false">IF((E189="a"),H189," ")</f>
        <v> </v>
      </c>
      <c r="AA189" s="17" t="str">
        <f aca="false">IF((E189="g"),H189," ")</f>
        <v> </v>
      </c>
      <c r="AB189" s="17" t="str">
        <f aca="false">IF((E189="h"),H189," ")</f>
        <v> </v>
      </c>
      <c r="AC189" s="30" t="str">
        <f aca="false">IF((E189="v"),H189," ")</f>
        <v> </v>
      </c>
      <c r="AD189" s="30" t="str">
        <f aca="false">IF((E189="n"),H189," ")</f>
        <v> </v>
      </c>
      <c r="AE189" s="17" t="str">
        <f aca="false">IF((E189="f"),H189," ")</f>
        <v> </v>
      </c>
      <c r="AF189" s="17" t="str">
        <f aca="false">IF((E189="l"),H189," ")</f>
        <v> </v>
      </c>
      <c r="AG189" s="17" t="str">
        <f aca="false">IF((E189="y"),H189," ")</f>
        <v> </v>
      </c>
      <c r="AH189" s="17" t="str">
        <f aca="false">IF((E189="z"),H189," ")</f>
        <v> </v>
      </c>
      <c r="AI189" s="17" t="str">
        <f aca="false">IF((E189="fa"),H189," ")</f>
        <v> </v>
      </c>
      <c r="AJ189" s="17" t="str">
        <f aca="false">IF((E189="e"),H189," ")</f>
        <v> </v>
      </c>
    </row>
    <row r="190" customFormat="false" ht="12" hidden="false" customHeight="false" outlineLevel="0" collapsed="false">
      <c r="A190" s="28"/>
      <c r="E190" s="2" t="str">
        <f aca="false">IF((F190&lt;&gt;0),"Enter Letter"," ")</f>
        <v> </v>
      </c>
      <c r="F190" s="30"/>
      <c r="G190" s="6" t="str">
        <f aca="false">IF(F190&lt;&gt;0,F190*G$2/(100+G$2)," ")</f>
        <v> </v>
      </c>
      <c r="H190" s="6" t="str">
        <f aca="false">IF((F190&lt;&gt;0),F190-G190," ")</f>
        <v> </v>
      </c>
      <c r="I190" s="5"/>
      <c r="L190" s="7" t="str">
        <f aca="false">IF(F190&lt;&gt;0,F190-K190," ")</f>
        <v> </v>
      </c>
      <c r="M190" s="8" t="str">
        <f aca="false">IF((F190-K190)&lt;&gt;0,M$1-A190," ")</f>
        <v> </v>
      </c>
      <c r="N190" s="5"/>
      <c r="O190" s="17" t="str">
        <f aca="false">IF((E190="s"),H190," ")</f>
        <v> </v>
      </c>
      <c r="P190" s="17" t="str">
        <f aca="false">IF((E190="c"),H190," ")</f>
        <v> </v>
      </c>
      <c r="Q190" s="17" t="str">
        <f aca="false">IF((E190="o"),H190," ")</f>
        <v> </v>
      </c>
      <c r="R190" s="17" t="str">
        <f aca="false">IF((E190="d"),H190," ")</f>
        <v> </v>
      </c>
      <c r="S190" s="17" t="str">
        <f aca="false">IF((E190="w"),H190," ")</f>
        <v> </v>
      </c>
      <c r="T190" s="17" t="str">
        <f aca="false">IF((E190="r"),H190," ")</f>
        <v> </v>
      </c>
      <c r="U190" s="17" t="str">
        <f aca="false">IF((E190="p"),H190," ")</f>
        <v> </v>
      </c>
      <c r="V190" s="17" t="str">
        <f aca="false">IF((E190="t"),H190," ")</f>
        <v> </v>
      </c>
      <c r="W190" s="17" t="str">
        <f aca="false">IF((E190="q"),H190," ")</f>
        <v> </v>
      </c>
      <c r="X190" s="17" t="str">
        <f aca="false">IF((E190="m"),H190," ")</f>
        <v> </v>
      </c>
      <c r="Y190" s="17" t="str">
        <f aca="false">IF((E190="u"),H190," ")</f>
        <v> </v>
      </c>
      <c r="Z190" s="17" t="str">
        <f aca="false">IF((E190="a"),H190," ")</f>
        <v> </v>
      </c>
      <c r="AA190" s="17" t="str">
        <f aca="false">IF((E190="g"),H190," ")</f>
        <v> </v>
      </c>
      <c r="AB190" s="17" t="str">
        <f aca="false">IF((E190="h"),H190," ")</f>
        <v> </v>
      </c>
      <c r="AC190" s="30" t="str">
        <f aca="false">IF((E190="v"),H190," ")</f>
        <v> </v>
      </c>
      <c r="AD190" s="30" t="str">
        <f aca="false">IF((E190="n"),H190," ")</f>
        <v> </v>
      </c>
      <c r="AE190" s="17" t="str">
        <f aca="false">IF((E190="f"),H190," ")</f>
        <v> </v>
      </c>
      <c r="AF190" s="17" t="str">
        <f aca="false">IF((E190="l"),H190," ")</f>
        <v> </v>
      </c>
      <c r="AG190" s="17" t="str">
        <f aca="false">IF((E190="y"),H190," ")</f>
        <v> </v>
      </c>
      <c r="AH190" s="17" t="str">
        <f aca="false">IF((E190="z"),H190," ")</f>
        <v> </v>
      </c>
      <c r="AI190" s="17" t="str">
        <f aca="false">IF((E190="fa"),H190," ")</f>
        <v> </v>
      </c>
      <c r="AJ190" s="17" t="str">
        <f aca="false">IF((E190="e"),H190," ")</f>
        <v> </v>
      </c>
    </row>
    <row r="191" customFormat="false" ht="12" hidden="false" customHeight="false" outlineLevel="0" collapsed="false">
      <c r="A191" s="28"/>
      <c r="E191" s="2" t="str">
        <f aca="false">IF((F191&lt;&gt;0),"Enter Letter"," ")</f>
        <v> </v>
      </c>
      <c r="F191" s="30"/>
      <c r="G191" s="6" t="str">
        <f aca="false">IF(F191&lt;&gt;0,F191*G$2/(100+G$2)," ")</f>
        <v> </v>
      </c>
      <c r="H191" s="6" t="str">
        <f aca="false">IF((F191&lt;&gt;0),F191-G191," ")</f>
        <v> </v>
      </c>
      <c r="I191" s="5"/>
      <c r="L191" s="7" t="str">
        <f aca="false">IF(F191&lt;&gt;0,F191-K191," ")</f>
        <v> </v>
      </c>
      <c r="M191" s="8" t="str">
        <f aca="false">IF((F191-K191)&lt;&gt;0,M$1-A191," ")</f>
        <v> </v>
      </c>
      <c r="N191" s="5"/>
      <c r="O191" s="17" t="str">
        <f aca="false">IF((E191="s"),H191," ")</f>
        <v> </v>
      </c>
      <c r="P191" s="17" t="str">
        <f aca="false">IF((E191="c"),H191," ")</f>
        <v> </v>
      </c>
      <c r="Q191" s="17" t="str">
        <f aca="false">IF((E191="o"),H191," ")</f>
        <v> </v>
      </c>
      <c r="R191" s="17" t="str">
        <f aca="false">IF((E191="d"),H191," ")</f>
        <v> </v>
      </c>
      <c r="S191" s="17" t="str">
        <f aca="false">IF((E191="w"),H191," ")</f>
        <v> </v>
      </c>
      <c r="T191" s="17" t="str">
        <f aca="false">IF((E191="r"),H191," ")</f>
        <v> </v>
      </c>
      <c r="U191" s="17" t="str">
        <f aca="false">IF((E191="p"),H191," ")</f>
        <v> </v>
      </c>
      <c r="V191" s="17" t="str">
        <f aca="false">IF((E191="t"),H191," ")</f>
        <v> </v>
      </c>
      <c r="W191" s="17" t="str">
        <f aca="false">IF((E191="q"),H191," ")</f>
        <v> </v>
      </c>
      <c r="X191" s="17" t="str">
        <f aca="false">IF((E191="m"),H191," ")</f>
        <v> </v>
      </c>
      <c r="Y191" s="17" t="str">
        <f aca="false">IF((E191="u"),H191," ")</f>
        <v> </v>
      </c>
      <c r="Z191" s="17" t="str">
        <f aca="false">IF((E191="a"),H191," ")</f>
        <v> </v>
      </c>
      <c r="AA191" s="17" t="str">
        <f aca="false">IF((E191="g"),H191," ")</f>
        <v> </v>
      </c>
      <c r="AB191" s="17" t="str">
        <f aca="false">IF((E191="h"),H191," ")</f>
        <v> </v>
      </c>
      <c r="AC191" s="30" t="str">
        <f aca="false">IF((E191="v"),H191," ")</f>
        <v> </v>
      </c>
      <c r="AD191" s="30" t="str">
        <f aca="false">IF((E191="n"),H191," ")</f>
        <v> </v>
      </c>
      <c r="AE191" s="17" t="str">
        <f aca="false">IF((E191="f"),H191," ")</f>
        <v> </v>
      </c>
      <c r="AF191" s="17" t="str">
        <f aca="false">IF((E191="l"),H191," ")</f>
        <v> </v>
      </c>
      <c r="AG191" s="17" t="str">
        <f aca="false">IF((E191="y"),H191," ")</f>
        <v> </v>
      </c>
      <c r="AH191" s="17" t="str">
        <f aca="false">IF((E191="z"),H191," ")</f>
        <v> </v>
      </c>
      <c r="AI191" s="17" t="str">
        <f aca="false">IF((E191="fa"),H191," ")</f>
        <v> </v>
      </c>
      <c r="AJ191" s="17" t="str">
        <f aca="false">IF((E191="e"),H191," ")</f>
        <v> </v>
      </c>
    </row>
    <row r="192" customFormat="false" ht="12" hidden="false" customHeight="false" outlineLevel="0" collapsed="false">
      <c r="A192" s="28"/>
      <c r="E192" s="2" t="str">
        <f aca="false">IF((F192&lt;&gt;0),"Enter Letter"," ")</f>
        <v> </v>
      </c>
      <c r="F192" s="30"/>
      <c r="G192" s="6" t="str">
        <f aca="false">IF(F192&lt;&gt;0,F192*G$2/(100+G$2)," ")</f>
        <v> </v>
      </c>
      <c r="H192" s="6" t="str">
        <f aca="false">IF((F192&lt;&gt;0),F192-G192," ")</f>
        <v> </v>
      </c>
      <c r="I192" s="5"/>
      <c r="L192" s="7" t="str">
        <f aca="false">IF(F192&lt;&gt;0,F192-K192," ")</f>
        <v> </v>
      </c>
      <c r="M192" s="8" t="str">
        <f aca="false">IF((F192-K192)&lt;&gt;0,M$1-A192," ")</f>
        <v> </v>
      </c>
      <c r="N192" s="5"/>
      <c r="O192" s="17" t="str">
        <f aca="false">IF((E192="s"),H192," ")</f>
        <v> </v>
      </c>
      <c r="P192" s="17" t="str">
        <f aca="false">IF((E192="c"),H192," ")</f>
        <v> </v>
      </c>
      <c r="Q192" s="17" t="str">
        <f aca="false">IF((E192="o"),H192," ")</f>
        <v> </v>
      </c>
      <c r="R192" s="17" t="str">
        <f aca="false">IF((E192="d"),H192," ")</f>
        <v> </v>
      </c>
      <c r="S192" s="17" t="str">
        <f aca="false">IF((E192="w"),H192," ")</f>
        <v> </v>
      </c>
      <c r="T192" s="17" t="str">
        <f aca="false">IF((E192="r"),H192," ")</f>
        <v> </v>
      </c>
      <c r="U192" s="17" t="str">
        <f aca="false">IF((E192="p"),H192," ")</f>
        <v> </v>
      </c>
      <c r="V192" s="17" t="str">
        <f aca="false">IF((E192="t"),H192," ")</f>
        <v> </v>
      </c>
      <c r="W192" s="17" t="str">
        <f aca="false">IF((E192="q"),H192," ")</f>
        <v> </v>
      </c>
      <c r="X192" s="17" t="str">
        <f aca="false">IF((E192="m"),H192," ")</f>
        <v> </v>
      </c>
      <c r="Y192" s="17" t="str">
        <f aca="false">IF((E192="u"),H192," ")</f>
        <v> </v>
      </c>
      <c r="Z192" s="17" t="str">
        <f aca="false">IF((E192="a"),H192," ")</f>
        <v> </v>
      </c>
      <c r="AA192" s="17" t="str">
        <f aca="false">IF((E192="g"),H192," ")</f>
        <v> </v>
      </c>
      <c r="AB192" s="17" t="str">
        <f aca="false">IF((E192="h"),H192," ")</f>
        <v> </v>
      </c>
      <c r="AC192" s="30" t="str">
        <f aca="false">IF((E192="v"),H192," ")</f>
        <v> </v>
      </c>
      <c r="AD192" s="30" t="str">
        <f aca="false">IF((E192="n"),H192," ")</f>
        <v> </v>
      </c>
      <c r="AE192" s="17" t="str">
        <f aca="false">IF((E192="f"),H192," ")</f>
        <v> </v>
      </c>
      <c r="AF192" s="17" t="str">
        <f aca="false">IF((E192="l"),H192," ")</f>
        <v> </v>
      </c>
      <c r="AG192" s="17" t="str">
        <f aca="false">IF((E192="y"),H192," ")</f>
        <v> </v>
      </c>
      <c r="AH192" s="17" t="str">
        <f aca="false">IF((E192="z"),H192," ")</f>
        <v> </v>
      </c>
      <c r="AI192" s="17" t="str">
        <f aca="false">IF((E192="fa"),H192," ")</f>
        <v> </v>
      </c>
      <c r="AJ192" s="17" t="str">
        <f aca="false">IF((E192="e"),H192," ")</f>
        <v> </v>
      </c>
    </row>
    <row r="193" customFormat="false" ht="12" hidden="false" customHeight="false" outlineLevel="0" collapsed="false">
      <c r="A193" s="28"/>
      <c r="E193" s="2" t="str">
        <f aca="false">IF((F193&lt;&gt;0),"Enter Letter"," ")</f>
        <v> </v>
      </c>
      <c r="F193" s="30"/>
      <c r="G193" s="6" t="str">
        <f aca="false">IF(F193&lt;&gt;0,F193*G$2/(100+G$2)," ")</f>
        <v> </v>
      </c>
      <c r="H193" s="6" t="str">
        <f aca="false">IF((F193&lt;&gt;0),F193-G193," ")</f>
        <v> </v>
      </c>
      <c r="I193" s="5"/>
      <c r="L193" s="7" t="str">
        <f aca="false">IF(F193&lt;&gt;0,F193-K193," ")</f>
        <v> </v>
      </c>
      <c r="M193" s="8" t="str">
        <f aca="false">IF((F193-K193)&lt;&gt;0,M$1-A193," ")</f>
        <v> </v>
      </c>
      <c r="N193" s="5"/>
      <c r="O193" s="17" t="str">
        <f aca="false">IF((E193="s"),H193," ")</f>
        <v> </v>
      </c>
      <c r="P193" s="17" t="str">
        <f aca="false">IF((E193="c"),H193," ")</f>
        <v> </v>
      </c>
      <c r="Q193" s="17" t="str">
        <f aca="false">IF((E193="o"),H193," ")</f>
        <v> </v>
      </c>
      <c r="R193" s="17" t="str">
        <f aca="false">IF((E193="d"),H193," ")</f>
        <v> </v>
      </c>
      <c r="S193" s="17" t="str">
        <f aca="false">IF((E193="w"),H193," ")</f>
        <v> </v>
      </c>
      <c r="T193" s="17" t="str">
        <f aca="false">IF((E193="r"),H193," ")</f>
        <v> </v>
      </c>
      <c r="U193" s="17" t="str">
        <f aca="false">IF((E193="p"),H193," ")</f>
        <v> </v>
      </c>
      <c r="V193" s="17" t="str">
        <f aca="false">IF((E193="t"),H193," ")</f>
        <v> </v>
      </c>
      <c r="W193" s="17" t="str">
        <f aca="false">IF((E193="q"),H193," ")</f>
        <v> </v>
      </c>
      <c r="X193" s="17" t="str">
        <f aca="false">IF((E193="m"),H193," ")</f>
        <v> </v>
      </c>
      <c r="Y193" s="17" t="str">
        <f aca="false">IF((E193="u"),H193," ")</f>
        <v> </v>
      </c>
      <c r="Z193" s="17" t="str">
        <f aca="false">IF((E193="a"),H193," ")</f>
        <v> </v>
      </c>
      <c r="AA193" s="17" t="str">
        <f aca="false">IF((E193="g"),H193," ")</f>
        <v> </v>
      </c>
      <c r="AB193" s="17" t="str">
        <f aca="false">IF((E193="h"),H193," ")</f>
        <v> </v>
      </c>
      <c r="AC193" s="30" t="str">
        <f aca="false">IF((E193="v"),H193," ")</f>
        <v> </v>
      </c>
      <c r="AD193" s="30" t="str">
        <f aca="false">IF((E193="n"),H193," ")</f>
        <v> </v>
      </c>
      <c r="AE193" s="17" t="str">
        <f aca="false">IF((E193="f"),H193," ")</f>
        <v> </v>
      </c>
      <c r="AF193" s="17" t="str">
        <f aca="false">IF((E193="l"),H193," ")</f>
        <v> </v>
      </c>
      <c r="AG193" s="17" t="str">
        <f aca="false">IF((E193="y"),H193," ")</f>
        <v> </v>
      </c>
      <c r="AH193" s="17" t="str">
        <f aca="false">IF((E193="z"),H193," ")</f>
        <v> </v>
      </c>
      <c r="AI193" s="17" t="str">
        <f aca="false">IF((E193="fa"),H193," ")</f>
        <v> </v>
      </c>
      <c r="AJ193" s="17" t="str">
        <f aca="false">IF((E193="e"),H193," ")</f>
        <v> </v>
      </c>
    </row>
    <row r="194" customFormat="false" ht="12" hidden="false" customHeight="false" outlineLevel="0" collapsed="false">
      <c r="A194" s="28"/>
      <c r="E194" s="2" t="str">
        <f aca="false">IF((F194&lt;&gt;0),"Enter Letter"," ")</f>
        <v> </v>
      </c>
      <c r="F194" s="30"/>
      <c r="G194" s="6" t="str">
        <f aca="false">IF(F194&lt;&gt;0,F194*G$2/(100+G$2)," ")</f>
        <v> </v>
      </c>
      <c r="H194" s="6" t="str">
        <f aca="false">IF((F194&lt;&gt;0),F194-G194," ")</f>
        <v> </v>
      </c>
      <c r="I194" s="5"/>
      <c r="L194" s="7" t="str">
        <f aca="false">IF(F194&lt;&gt;0,F194-K194," ")</f>
        <v> </v>
      </c>
      <c r="M194" s="8" t="str">
        <f aca="false">IF((F194-K194)&lt;&gt;0,M$1-A194," ")</f>
        <v> </v>
      </c>
      <c r="N194" s="5"/>
      <c r="O194" s="17" t="str">
        <f aca="false">IF((E194="s"),H194," ")</f>
        <v> </v>
      </c>
      <c r="P194" s="17" t="str">
        <f aca="false">IF((E194="c"),H194," ")</f>
        <v> </v>
      </c>
      <c r="Q194" s="17" t="str">
        <f aca="false">IF((E194="o"),H194," ")</f>
        <v> </v>
      </c>
      <c r="R194" s="17" t="str">
        <f aca="false">IF((E194="d"),H194," ")</f>
        <v> </v>
      </c>
      <c r="S194" s="17" t="str">
        <f aca="false">IF((E194="w"),H194," ")</f>
        <v> </v>
      </c>
      <c r="T194" s="17" t="str">
        <f aca="false">IF((E194="r"),H194," ")</f>
        <v> </v>
      </c>
      <c r="U194" s="17" t="str">
        <f aca="false">IF((E194="p"),H194," ")</f>
        <v> </v>
      </c>
      <c r="V194" s="17" t="str">
        <f aca="false">IF((E194="t"),H194," ")</f>
        <v> </v>
      </c>
      <c r="W194" s="17" t="str">
        <f aca="false">IF((E194="q"),H194," ")</f>
        <v> </v>
      </c>
      <c r="X194" s="17" t="str">
        <f aca="false">IF((E194="m"),H194," ")</f>
        <v> </v>
      </c>
      <c r="Y194" s="17" t="str">
        <f aca="false">IF((E194="u"),H194," ")</f>
        <v> </v>
      </c>
      <c r="Z194" s="17" t="str">
        <f aca="false">IF((E194="a"),H194," ")</f>
        <v> </v>
      </c>
      <c r="AA194" s="17" t="str">
        <f aca="false">IF((E194="g"),H194," ")</f>
        <v> </v>
      </c>
      <c r="AB194" s="17" t="str">
        <f aca="false">IF((E194="h"),H194," ")</f>
        <v> </v>
      </c>
      <c r="AC194" s="30" t="str">
        <f aca="false">IF((E194="v"),H194," ")</f>
        <v> </v>
      </c>
      <c r="AD194" s="30" t="str">
        <f aca="false">IF((E194="n"),H194," ")</f>
        <v> </v>
      </c>
      <c r="AE194" s="17" t="str">
        <f aca="false">IF((E194="f"),H194," ")</f>
        <v> </v>
      </c>
      <c r="AF194" s="17" t="str">
        <f aca="false">IF((E194="l"),H194," ")</f>
        <v> </v>
      </c>
      <c r="AG194" s="17" t="str">
        <f aca="false">IF((E194="y"),H194," ")</f>
        <v> </v>
      </c>
      <c r="AH194" s="17" t="str">
        <f aca="false">IF((E194="z"),H194," ")</f>
        <v> </v>
      </c>
      <c r="AI194" s="17" t="str">
        <f aca="false">IF((E194="fa"),H194," ")</f>
        <v> </v>
      </c>
      <c r="AJ194" s="17" t="str">
        <f aca="false">IF((E194="e"),H194," ")</f>
        <v> </v>
      </c>
    </row>
    <row r="195" customFormat="false" ht="12" hidden="false" customHeight="false" outlineLevel="0" collapsed="false">
      <c r="A195" s="28"/>
      <c r="E195" s="2" t="str">
        <f aca="false">IF((F195&lt;&gt;0),"Enter Letter"," ")</f>
        <v> </v>
      </c>
      <c r="F195" s="30"/>
      <c r="G195" s="6" t="str">
        <f aca="false">IF(F195&lt;&gt;0,F195*G$2/(100+G$2)," ")</f>
        <v> </v>
      </c>
      <c r="H195" s="6" t="str">
        <f aca="false">IF((F195&lt;&gt;0),F195-G195," ")</f>
        <v> </v>
      </c>
      <c r="I195" s="5"/>
      <c r="L195" s="7" t="str">
        <f aca="false">IF(F195&lt;&gt;0,F195-K195," ")</f>
        <v> </v>
      </c>
      <c r="M195" s="8" t="str">
        <f aca="false">IF((F195-K195)&lt;&gt;0,M$1-A195," ")</f>
        <v> </v>
      </c>
      <c r="N195" s="5"/>
      <c r="O195" s="17" t="str">
        <f aca="false">IF((E195="s"),H195," ")</f>
        <v> </v>
      </c>
      <c r="P195" s="17" t="str">
        <f aca="false">IF((E195="c"),H195," ")</f>
        <v> </v>
      </c>
      <c r="Q195" s="17" t="str">
        <f aca="false">IF((E195="o"),H195," ")</f>
        <v> </v>
      </c>
      <c r="R195" s="17" t="str">
        <f aca="false">IF((E195="d"),H195," ")</f>
        <v> </v>
      </c>
      <c r="S195" s="17" t="str">
        <f aca="false">IF((E195="w"),H195," ")</f>
        <v> </v>
      </c>
      <c r="T195" s="17" t="str">
        <f aca="false">IF((E195="r"),H195," ")</f>
        <v> </v>
      </c>
      <c r="U195" s="17" t="str">
        <f aca="false">IF((E195="p"),H195," ")</f>
        <v> </v>
      </c>
      <c r="V195" s="17" t="str">
        <f aca="false">IF((E195="t"),H195," ")</f>
        <v> </v>
      </c>
      <c r="W195" s="17" t="str">
        <f aca="false">IF((E195="q"),H195," ")</f>
        <v> </v>
      </c>
      <c r="X195" s="17" t="str">
        <f aca="false">IF((E195="m"),H195," ")</f>
        <v> </v>
      </c>
      <c r="Y195" s="17" t="str">
        <f aca="false">IF((E195="u"),H195," ")</f>
        <v> </v>
      </c>
      <c r="Z195" s="17" t="str">
        <f aca="false">IF((E195="a"),H195," ")</f>
        <v> </v>
      </c>
      <c r="AA195" s="17" t="str">
        <f aca="false">IF((E195="g"),H195," ")</f>
        <v> </v>
      </c>
      <c r="AB195" s="17" t="str">
        <f aca="false">IF((E195="h"),H195," ")</f>
        <v> </v>
      </c>
      <c r="AC195" s="30" t="str">
        <f aca="false">IF((E195="v"),H195," ")</f>
        <v> </v>
      </c>
      <c r="AD195" s="30" t="str">
        <f aca="false">IF((E195="n"),H195," ")</f>
        <v> </v>
      </c>
      <c r="AE195" s="17" t="str">
        <f aca="false">IF((E195="f"),H195," ")</f>
        <v> </v>
      </c>
      <c r="AF195" s="17" t="str">
        <f aca="false">IF((E195="l"),H195," ")</f>
        <v> </v>
      </c>
      <c r="AG195" s="17" t="str">
        <f aca="false">IF((E195="y"),H195," ")</f>
        <v> </v>
      </c>
      <c r="AH195" s="17" t="str">
        <f aca="false">IF((E195="z"),H195," ")</f>
        <v> </v>
      </c>
      <c r="AI195" s="17" t="str">
        <f aca="false">IF((E195="fa"),H195," ")</f>
        <v> </v>
      </c>
      <c r="AJ195" s="17" t="str">
        <f aca="false">IF((E195="e"),H195," ")</f>
        <v> </v>
      </c>
    </row>
    <row r="196" customFormat="false" ht="12" hidden="false" customHeight="false" outlineLevel="0" collapsed="false">
      <c r="A196" s="28"/>
      <c r="E196" s="2" t="str">
        <f aca="false">IF((F196&lt;&gt;0),"Enter Letter"," ")</f>
        <v> </v>
      </c>
      <c r="F196" s="30"/>
      <c r="G196" s="6" t="str">
        <f aca="false">IF(F196&lt;&gt;0,F196*G$2/(100+G$2)," ")</f>
        <v> </v>
      </c>
      <c r="H196" s="6" t="str">
        <f aca="false">IF((F196&lt;&gt;0),F196-G196," ")</f>
        <v> </v>
      </c>
      <c r="I196" s="5"/>
      <c r="L196" s="7" t="str">
        <f aca="false">IF(F196&lt;&gt;0,F196-K196," ")</f>
        <v> </v>
      </c>
      <c r="M196" s="8" t="str">
        <f aca="false">IF((F196-K196)&lt;&gt;0,M$1-A196," ")</f>
        <v> </v>
      </c>
      <c r="N196" s="5"/>
      <c r="O196" s="17" t="str">
        <f aca="false">IF((E196="s"),H196," ")</f>
        <v> </v>
      </c>
      <c r="P196" s="17" t="str">
        <f aca="false">IF((E196="c"),H196," ")</f>
        <v> </v>
      </c>
      <c r="Q196" s="17" t="str">
        <f aca="false">IF((E196="o"),H196," ")</f>
        <v> </v>
      </c>
      <c r="R196" s="17" t="str">
        <f aca="false">IF((E196="d"),H196," ")</f>
        <v> </v>
      </c>
      <c r="S196" s="17" t="str">
        <f aca="false">IF((E196="w"),H196," ")</f>
        <v> </v>
      </c>
      <c r="T196" s="17" t="str">
        <f aca="false">IF((E196="r"),H196," ")</f>
        <v> </v>
      </c>
      <c r="U196" s="17" t="str">
        <f aca="false">IF((E196="p"),H196," ")</f>
        <v> </v>
      </c>
      <c r="V196" s="17" t="str">
        <f aca="false">IF((E196="t"),H196," ")</f>
        <v> </v>
      </c>
      <c r="W196" s="17" t="str">
        <f aca="false">IF((E196="q"),H196," ")</f>
        <v> </v>
      </c>
      <c r="X196" s="17" t="str">
        <f aca="false">IF((E196="m"),H196," ")</f>
        <v> </v>
      </c>
      <c r="Y196" s="17" t="str">
        <f aca="false">IF((E196="u"),H196," ")</f>
        <v> </v>
      </c>
      <c r="Z196" s="17" t="str">
        <f aca="false">IF((E196="a"),H196," ")</f>
        <v> </v>
      </c>
      <c r="AA196" s="17" t="str">
        <f aca="false">IF((E196="g"),H196," ")</f>
        <v> </v>
      </c>
      <c r="AB196" s="17" t="str">
        <f aca="false">IF((E196="h"),H196," ")</f>
        <v> </v>
      </c>
      <c r="AC196" s="30" t="str">
        <f aca="false">IF((E196="v"),H196," ")</f>
        <v> </v>
      </c>
      <c r="AD196" s="30" t="str">
        <f aca="false">IF((E196="n"),H196," ")</f>
        <v> </v>
      </c>
      <c r="AE196" s="17" t="str">
        <f aca="false">IF((E196="f"),H196," ")</f>
        <v> </v>
      </c>
      <c r="AF196" s="17" t="str">
        <f aca="false">IF((E196="l"),H196," ")</f>
        <v> </v>
      </c>
      <c r="AG196" s="17" t="str">
        <f aca="false">IF((E196="y"),H196," ")</f>
        <v> </v>
      </c>
      <c r="AH196" s="17" t="str">
        <f aca="false">IF((E196="z"),H196," ")</f>
        <v> </v>
      </c>
      <c r="AI196" s="17" t="str">
        <f aca="false">IF((E196="fa"),H196," ")</f>
        <v> </v>
      </c>
      <c r="AJ196" s="17" t="str">
        <f aca="false">IF((E196="e"),H196," ")</f>
        <v> </v>
      </c>
    </row>
    <row r="197" customFormat="false" ht="12" hidden="false" customHeight="false" outlineLevel="0" collapsed="false">
      <c r="A197" s="28"/>
      <c r="E197" s="2" t="str">
        <f aca="false">IF((F197&lt;&gt;0),"Enter Letter"," ")</f>
        <v> </v>
      </c>
      <c r="F197" s="30"/>
      <c r="G197" s="6" t="str">
        <f aca="false">IF(F197&lt;&gt;0,F197*G$2/(100+G$2)," ")</f>
        <v> </v>
      </c>
      <c r="H197" s="6" t="str">
        <f aca="false">IF((F197&lt;&gt;0),F197-G197," ")</f>
        <v> </v>
      </c>
      <c r="I197" s="5"/>
      <c r="L197" s="7" t="str">
        <f aca="false">IF(F197&lt;&gt;0,F197-K197," ")</f>
        <v> </v>
      </c>
      <c r="M197" s="8" t="str">
        <f aca="false">IF((F197-K197)&lt;&gt;0,M$1-A197," ")</f>
        <v> </v>
      </c>
      <c r="N197" s="5"/>
      <c r="O197" s="17" t="str">
        <f aca="false">IF((E197="s"),H197," ")</f>
        <v> </v>
      </c>
      <c r="P197" s="17" t="str">
        <f aca="false">IF((E197="c"),H197," ")</f>
        <v> </v>
      </c>
      <c r="Q197" s="17" t="str">
        <f aca="false">IF((E197="o"),H197," ")</f>
        <v> </v>
      </c>
      <c r="R197" s="17" t="str">
        <f aca="false">IF((E197="d"),H197," ")</f>
        <v> </v>
      </c>
      <c r="S197" s="17" t="str">
        <f aca="false">IF((E197="w"),H197," ")</f>
        <v> </v>
      </c>
      <c r="T197" s="17" t="str">
        <f aca="false">IF((E197="r"),H197," ")</f>
        <v> </v>
      </c>
      <c r="U197" s="17" t="str">
        <f aca="false">IF((E197="p"),H197," ")</f>
        <v> </v>
      </c>
      <c r="V197" s="17" t="str">
        <f aca="false">IF((E197="t"),H197," ")</f>
        <v> </v>
      </c>
      <c r="W197" s="17" t="str">
        <f aca="false">IF((E197="q"),H197," ")</f>
        <v> </v>
      </c>
      <c r="X197" s="17" t="str">
        <f aca="false">IF((E197="m"),H197," ")</f>
        <v> </v>
      </c>
      <c r="Y197" s="17" t="str">
        <f aca="false">IF((E197="u"),H197," ")</f>
        <v> </v>
      </c>
      <c r="Z197" s="17" t="str">
        <f aca="false">IF((E197="a"),H197," ")</f>
        <v> </v>
      </c>
      <c r="AA197" s="17" t="str">
        <f aca="false">IF((E197="g"),H197," ")</f>
        <v> </v>
      </c>
      <c r="AB197" s="17" t="str">
        <f aca="false">IF((E197="h"),H197," ")</f>
        <v> </v>
      </c>
      <c r="AC197" s="30" t="str">
        <f aca="false">IF((E197="v"),H197," ")</f>
        <v> </v>
      </c>
      <c r="AD197" s="30" t="str">
        <f aca="false">IF((E197="n"),H197," ")</f>
        <v> </v>
      </c>
      <c r="AE197" s="17" t="str">
        <f aca="false">IF((E197="f"),H197," ")</f>
        <v> </v>
      </c>
      <c r="AF197" s="17" t="str">
        <f aca="false">IF((E197="l"),H197," ")</f>
        <v> </v>
      </c>
      <c r="AG197" s="17" t="str">
        <f aca="false">IF((E197="y"),H197," ")</f>
        <v> </v>
      </c>
      <c r="AH197" s="17" t="str">
        <f aca="false">IF((E197="z"),H197," ")</f>
        <v> </v>
      </c>
      <c r="AI197" s="17" t="str">
        <f aca="false">IF((E197="fa"),H197," ")</f>
        <v> </v>
      </c>
      <c r="AJ197" s="17" t="str">
        <f aca="false">IF((E197="e"),H197," ")</f>
        <v> </v>
      </c>
    </row>
    <row r="198" customFormat="false" ht="12" hidden="false" customHeight="false" outlineLevel="0" collapsed="false">
      <c r="A198" s="28"/>
      <c r="E198" s="2" t="str">
        <f aca="false">IF((F198&lt;&gt;0),"Enter Letter"," ")</f>
        <v> </v>
      </c>
      <c r="F198" s="30"/>
      <c r="G198" s="6" t="str">
        <f aca="false">IF(F198&lt;&gt;0,F198*G$2/(100+G$2)," ")</f>
        <v> </v>
      </c>
      <c r="H198" s="6" t="str">
        <f aca="false">IF((F198&lt;&gt;0),F198-G198," ")</f>
        <v> </v>
      </c>
      <c r="I198" s="5"/>
      <c r="L198" s="7" t="str">
        <f aca="false">IF(F198&lt;&gt;0,F198-K198," ")</f>
        <v> </v>
      </c>
      <c r="M198" s="8" t="str">
        <f aca="false">IF((F198-K198)&lt;&gt;0,M$1-A198," ")</f>
        <v> </v>
      </c>
      <c r="N198" s="5"/>
      <c r="O198" s="17" t="str">
        <f aca="false">IF((E198="s"),H198," ")</f>
        <v> </v>
      </c>
      <c r="P198" s="17" t="str">
        <f aca="false">IF((E198="c"),H198," ")</f>
        <v> </v>
      </c>
      <c r="Q198" s="17" t="str">
        <f aca="false">IF((E198="o"),H198," ")</f>
        <v> </v>
      </c>
      <c r="R198" s="17" t="str">
        <f aca="false">IF((E198="d"),H198," ")</f>
        <v> </v>
      </c>
      <c r="S198" s="17" t="str">
        <f aca="false">IF((E198="w"),H198," ")</f>
        <v> </v>
      </c>
      <c r="T198" s="17" t="str">
        <f aca="false">IF((E198="r"),H198," ")</f>
        <v> </v>
      </c>
      <c r="U198" s="17" t="str">
        <f aca="false">IF((E198="p"),H198," ")</f>
        <v> </v>
      </c>
      <c r="V198" s="17" t="str">
        <f aca="false">IF((E198="t"),H198," ")</f>
        <v> </v>
      </c>
      <c r="W198" s="17" t="str">
        <f aca="false">IF((E198="q"),H198," ")</f>
        <v> </v>
      </c>
      <c r="X198" s="17" t="str">
        <f aca="false">IF((E198="m"),H198," ")</f>
        <v> </v>
      </c>
      <c r="Y198" s="17" t="str">
        <f aca="false">IF((E198="u"),H198," ")</f>
        <v> </v>
      </c>
      <c r="Z198" s="17" t="str">
        <f aca="false">IF((E198="a"),H198," ")</f>
        <v> </v>
      </c>
      <c r="AA198" s="17" t="str">
        <f aca="false">IF((E198="g"),H198," ")</f>
        <v> </v>
      </c>
      <c r="AB198" s="17" t="str">
        <f aca="false">IF((E198="h"),H198," ")</f>
        <v> </v>
      </c>
      <c r="AC198" s="30" t="str">
        <f aca="false">IF((E198="v"),H198," ")</f>
        <v> </v>
      </c>
      <c r="AD198" s="30" t="str">
        <f aca="false">IF((E198="n"),H198," ")</f>
        <v> </v>
      </c>
      <c r="AE198" s="17" t="str">
        <f aca="false">IF((E198="f"),H198," ")</f>
        <v> </v>
      </c>
      <c r="AF198" s="17" t="str">
        <f aca="false">IF((E198="l"),H198," ")</f>
        <v> </v>
      </c>
      <c r="AG198" s="17" t="str">
        <f aca="false">IF((E198="y"),H198," ")</f>
        <v> </v>
      </c>
      <c r="AH198" s="17" t="str">
        <f aca="false">IF((E198="z"),H198," ")</f>
        <v> </v>
      </c>
      <c r="AI198" s="17" t="str">
        <f aca="false">IF((E198="fa"),H198," ")</f>
        <v> </v>
      </c>
      <c r="AJ198" s="17" t="str">
        <f aca="false">IF((E198="e"),H198," ")</f>
        <v> </v>
      </c>
    </row>
    <row r="199" customFormat="false" ht="12" hidden="false" customHeight="false" outlineLevel="0" collapsed="false">
      <c r="A199" s="28"/>
      <c r="E199" s="2" t="str">
        <f aca="false">IF((F199&lt;&gt;0),"Enter Letter"," ")</f>
        <v> </v>
      </c>
      <c r="F199" s="30"/>
      <c r="G199" s="6" t="str">
        <f aca="false">IF(F199&lt;&gt;0,F199*G$2/(100+G$2)," ")</f>
        <v> </v>
      </c>
      <c r="H199" s="6" t="str">
        <f aca="false">IF((F199&lt;&gt;0),F199-G199," ")</f>
        <v> </v>
      </c>
      <c r="I199" s="5"/>
      <c r="L199" s="7" t="str">
        <f aca="false">IF(F199&lt;&gt;0,F199-K199," ")</f>
        <v> </v>
      </c>
      <c r="M199" s="8" t="str">
        <f aca="false">IF((F199-K199)&lt;&gt;0,M$1-A199," ")</f>
        <v> </v>
      </c>
      <c r="N199" s="5"/>
      <c r="O199" s="17" t="str">
        <f aca="false">IF((E199="s"),H199," ")</f>
        <v> </v>
      </c>
      <c r="P199" s="17" t="str">
        <f aca="false">IF((E199="c"),H199," ")</f>
        <v> </v>
      </c>
      <c r="Q199" s="17" t="str">
        <f aca="false">IF((E199="o"),H199," ")</f>
        <v> </v>
      </c>
      <c r="R199" s="17" t="str">
        <f aca="false">IF((E199="d"),H199," ")</f>
        <v> </v>
      </c>
      <c r="S199" s="17" t="str">
        <f aca="false">IF((E199="w"),H199," ")</f>
        <v> </v>
      </c>
      <c r="T199" s="17" t="str">
        <f aca="false">IF((E199="r"),H199," ")</f>
        <v> </v>
      </c>
      <c r="U199" s="17" t="str">
        <f aca="false">IF((E199="p"),H199," ")</f>
        <v> </v>
      </c>
      <c r="V199" s="17" t="str">
        <f aca="false">IF((E199="t"),H199," ")</f>
        <v> </v>
      </c>
      <c r="W199" s="17" t="str">
        <f aca="false">IF((E199="q"),H199," ")</f>
        <v> </v>
      </c>
      <c r="X199" s="17" t="str">
        <f aca="false">IF((E199="m"),H199," ")</f>
        <v> </v>
      </c>
      <c r="Y199" s="17" t="str">
        <f aca="false">IF((E199="u"),H199," ")</f>
        <v> </v>
      </c>
      <c r="Z199" s="17" t="str">
        <f aca="false">IF((E199="a"),H199," ")</f>
        <v> </v>
      </c>
      <c r="AA199" s="17" t="str">
        <f aca="false">IF((E199="g"),H199," ")</f>
        <v> </v>
      </c>
      <c r="AB199" s="17" t="str">
        <f aca="false">IF((E199="h"),H199," ")</f>
        <v> </v>
      </c>
      <c r="AC199" s="30" t="str">
        <f aca="false">IF((E199="v"),H199," ")</f>
        <v> </v>
      </c>
      <c r="AD199" s="30" t="str">
        <f aca="false">IF((E199="n"),H199," ")</f>
        <v> </v>
      </c>
      <c r="AE199" s="17" t="str">
        <f aca="false">IF((E199="f"),H199," ")</f>
        <v> </v>
      </c>
      <c r="AF199" s="17" t="str">
        <f aca="false">IF((E199="l"),H199," ")</f>
        <v> </v>
      </c>
      <c r="AG199" s="17" t="str">
        <f aca="false">IF((E199="y"),H199," ")</f>
        <v> </v>
      </c>
      <c r="AH199" s="17" t="str">
        <f aca="false">IF((E199="z"),H199," ")</f>
        <v> </v>
      </c>
      <c r="AI199" s="17" t="str">
        <f aca="false">IF((E199="fa"),H199," ")</f>
        <v> </v>
      </c>
      <c r="AJ199" s="17" t="str">
        <f aca="false">IF((E199="e"),H199," ")</f>
        <v> </v>
      </c>
    </row>
    <row r="200" customFormat="false" ht="12" hidden="false" customHeight="false" outlineLevel="0" collapsed="false">
      <c r="A200" s="28"/>
      <c r="E200" s="2" t="str">
        <f aca="false">IF((F200&lt;&gt;0),"Enter Letter"," ")</f>
        <v> </v>
      </c>
      <c r="F200" s="30"/>
      <c r="G200" s="6" t="str">
        <f aca="false">IF(F200&lt;&gt;0,F200*G$2/(100+G$2)," ")</f>
        <v> </v>
      </c>
      <c r="H200" s="6" t="str">
        <f aca="false">IF((F200&lt;&gt;0),F200-G200," ")</f>
        <v> </v>
      </c>
      <c r="I200" s="5"/>
      <c r="L200" s="7" t="str">
        <f aca="false">IF(F200&lt;&gt;0,F200-K200," ")</f>
        <v> </v>
      </c>
      <c r="M200" s="8" t="str">
        <f aca="false">IF((F200-K200)&lt;&gt;0,M$1-A200," ")</f>
        <v> </v>
      </c>
      <c r="N200" s="5"/>
      <c r="O200" s="17" t="str">
        <f aca="false">IF((E200="s"),H200," ")</f>
        <v> </v>
      </c>
      <c r="P200" s="17" t="str">
        <f aca="false">IF((E200="c"),H200," ")</f>
        <v> </v>
      </c>
      <c r="Q200" s="17" t="str">
        <f aca="false">IF((E200="o"),H200," ")</f>
        <v> </v>
      </c>
      <c r="R200" s="17" t="str">
        <f aca="false">IF((E200="d"),H200," ")</f>
        <v> </v>
      </c>
      <c r="S200" s="17" t="str">
        <f aca="false">IF((E200="w"),H200," ")</f>
        <v> </v>
      </c>
      <c r="T200" s="17" t="str">
        <f aca="false">IF((E200="r"),H200," ")</f>
        <v> </v>
      </c>
      <c r="U200" s="17" t="str">
        <f aca="false">IF((E200="p"),H200," ")</f>
        <v> </v>
      </c>
      <c r="V200" s="17" t="str">
        <f aca="false">IF((E200="t"),H200," ")</f>
        <v> </v>
      </c>
      <c r="W200" s="17" t="str">
        <f aca="false">IF((E200="q"),H200," ")</f>
        <v> </v>
      </c>
      <c r="X200" s="17" t="str">
        <f aca="false">IF((E200="m"),H200," ")</f>
        <v> </v>
      </c>
      <c r="Y200" s="17" t="str">
        <f aca="false">IF((E200="u"),H200," ")</f>
        <v> </v>
      </c>
      <c r="Z200" s="17" t="str">
        <f aca="false">IF((E200="a"),H200," ")</f>
        <v> </v>
      </c>
      <c r="AA200" s="17" t="str">
        <f aca="false">IF((E200="g"),H200," ")</f>
        <v> </v>
      </c>
      <c r="AB200" s="17" t="str">
        <f aca="false">IF((E200="h"),H200," ")</f>
        <v> </v>
      </c>
      <c r="AC200" s="30" t="str">
        <f aca="false">IF((E200="v"),H200," ")</f>
        <v> </v>
      </c>
      <c r="AD200" s="30" t="str">
        <f aca="false">IF((E200="n"),H200," ")</f>
        <v> </v>
      </c>
      <c r="AE200" s="17" t="str">
        <f aca="false">IF((E200="f"),H200," ")</f>
        <v> </v>
      </c>
      <c r="AF200" s="17" t="str">
        <f aca="false">IF((E200="l"),H200," ")</f>
        <v> </v>
      </c>
      <c r="AG200" s="17" t="str">
        <f aca="false">IF((E200="y"),H200," ")</f>
        <v> </v>
      </c>
      <c r="AH200" s="17" t="str">
        <f aca="false">IF((E200="z"),H200," ")</f>
        <v> </v>
      </c>
      <c r="AI200" s="17" t="str">
        <f aca="false">IF((E200="fa"),H200," ")</f>
        <v> </v>
      </c>
      <c r="AJ200" s="17" t="str">
        <f aca="false">IF((E200="e"),H200," ")</f>
        <v> </v>
      </c>
    </row>
    <row r="201" customFormat="false" ht="12" hidden="false" customHeight="false" outlineLevel="0" collapsed="false">
      <c r="A201" s="28"/>
      <c r="E201" s="2" t="str">
        <f aca="false">IF((F201&lt;&gt;0),"Enter Letter"," ")</f>
        <v> </v>
      </c>
      <c r="F201" s="30"/>
      <c r="G201" s="6" t="str">
        <f aca="false">IF(F201&lt;&gt;0,F201*G$2/(100+G$2)," ")</f>
        <v> </v>
      </c>
      <c r="H201" s="6" t="str">
        <f aca="false">IF((F201&lt;&gt;0),F201-G201," ")</f>
        <v> </v>
      </c>
      <c r="I201" s="5"/>
      <c r="L201" s="7" t="str">
        <f aca="false">IF(F201&lt;&gt;0,F201-K201," ")</f>
        <v> </v>
      </c>
      <c r="M201" s="8" t="str">
        <f aca="false">IF((F201-K201)&lt;&gt;0,M$1-A201," ")</f>
        <v> </v>
      </c>
      <c r="N201" s="5"/>
      <c r="O201" s="17" t="str">
        <f aca="false">IF((E201="s"),H201," ")</f>
        <v> </v>
      </c>
      <c r="P201" s="17" t="str">
        <f aca="false">IF((E201="c"),H201," ")</f>
        <v> </v>
      </c>
      <c r="Q201" s="17" t="str">
        <f aca="false">IF((E201="o"),H201," ")</f>
        <v> </v>
      </c>
      <c r="R201" s="17" t="str">
        <f aca="false">IF((E201="d"),H201," ")</f>
        <v> </v>
      </c>
      <c r="S201" s="17" t="str">
        <f aca="false">IF((E201="w"),H201," ")</f>
        <v> </v>
      </c>
      <c r="T201" s="17" t="str">
        <f aca="false">IF((E201="r"),H201," ")</f>
        <v> </v>
      </c>
      <c r="U201" s="17" t="str">
        <f aca="false">IF((E201="p"),H201," ")</f>
        <v> </v>
      </c>
      <c r="V201" s="17" t="str">
        <f aca="false">IF((E201="t"),H201," ")</f>
        <v> </v>
      </c>
      <c r="W201" s="17" t="str">
        <f aca="false">IF((E201="q"),H201," ")</f>
        <v> </v>
      </c>
      <c r="X201" s="17" t="str">
        <f aca="false">IF((E201="m"),H201," ")</f>
        <v> </v>
      </c>
      <c r="Y201" s="17" t="str">
        <f aca="false">IF((E201="u"),H201," ")</f>
        <v> </v>
      </c>
      <c r="Z201" s="17" t="str">
        <f aca="false">IF((E201="a"),H201," ")</f>
        <v> </v>
      </c>
      <c r="AA201" s="17" t="str">
        <f aca="false">IF((E201="g"),H201," ")</f>
        <v> </v>
      </c>
      <c r="AB201" s="17" t="str">
        <f aca="false">IF((E201="h"),H201," ")</f>
        <v> </v>
      </c>
      <c r="AC201" s="30" t="str">
        <f aca="false">IF((E201="v"),H201," ")</f>
        <v> </v>
      </c>
      <c r="AD201" s="30" t="str">
        <f aca="false">IF((E201="n"),H201," ")</f>
        <v> </v>
      </c>
      <c r="AE201" s="17" t="str">
        <f aca="false">IF((E201="f"),H201," ")</f>
        <v> </v>
      </c>
      <c r="AF201" s="17" t="str">
        <f aca="false">IF((E201="l"),H201," ")</f>
        <v> </v>
      </c>
      <c r="AG201" s="17" t="str">
        <f aca="false">IF((E201="y"),H201," ")</f>
        <v> </v>
      </c>
      <c r="AH201" s="17" t="str">
        <f aca="false">IF((E201="z"),H201," ")</f>
        <v> </v>
      </c>
      <c r="AI201" s="17" t="str">
        <f aca="false">IF((E201="fa"),H201," ")</f>
        <v> </v>
      </c>
      <c r="AJ201" s="17" t="str">
        <f aca="false">IF((E201="e"),H201," ")</f>
        <v> </v>
      </c>
    </row>
    <row r="202" customFormat="false" ht="12" hidden="false" customHeight="false" outlineLevel="0" collapsed="false">
      <c r="A202" s="28"/>
      <c r="E202" s="2" t="str">
        <f aca="false">IF((F202&lt;&gt;0),"Enter Letter"," ")</f>
        <v> </v>
      </c>
      <c r="F202" s="30"/>
      <c r="G202" s="6" t="str">
        <f aca="false">IF(F202&lt;&gt;0,F202*G$2/(100+G$2)," ")</f>
        <v> </v>
      </c>
      <c r="H202" s="6" t="str">
        <f aca="false">IF((F202&lt;&gt;0),F202-G202," ")</f>
        <v> </v>
      </c>
      <c r="I202" s="5"/>
      <c r="L202" s="7" t="str">
        <f aca="false">IF(F202&lt;&gt;0,F202-K202," ")</f>
        <v> </v>
      </c>
      <c r="M202" s="8" t="str">
        <f aca="false">IF((F202-K202)&lt;&gt;0,M$1-A202," ")</f>
        <v> </v>
      </c>
      <c r="N202" s="5"/>
      <c r="O202" s="17" t="str">
        <f aca="false">IF((E202="s"),H202," ")</f>
        <v> </v>
      </c>
      <c r="P202" s="17" t="str">
        <f aca="false">IF((E202="c"),H202," ")</f>
        <v> </v>
      </c>
      <c r="Q202" s="17" t="str">
        <f aca="false">IF((E202="o"),H202," ")</f>
        <v> </v>
      </c>
      <c r="R202" s="17" t="str">
        <f aca="false">IF((E202="d"),H202," ")</f>
        <v> </v>
      </c>
      <c r="S202" s="17" t="str">
        <f aca="false">IF((E202="w"),H202," ")</f>
        <v> </v>
      </c>
      <c r="T202" s="17" t="str">
        <f aca="false">IF((E202="r"),H202," ")</f>
        <v> </v>
      </c>
      <c r="U202" s="17" t="str">
        <f aca="false">IF((E202="p"),H202," ")</f>
        <v> </v>
      </c>
      <c r="V202" s="17" t="str">
        <f aca="false">IF((E202="t"),H202," ")</f>
        <v> </v>
      </c>
      <c r="W202" s="17" t="str">
        <f aca="false">IF((E202="q"),H202," ")</f>
        <v> </v>
      </c>
      <c r="X202" s="17" t="str">
        <f aca="false">IF((E202="m"),H202," ")</f>
        <v> </v>
      </c>
      <c r="Y202" s="17" t="str">
        <f aca="false">IF((E202="u"),H202," ")</f>
        <v> </v>
      </c>
      <c r="Z202" s="17" t="str">
        <f aca="false">IF((E202="a"),H202," ")</f>
        <v> </v>
      </c>
      <c r="AA202" s="17" t="str">
        <f aca="false">IF((E202="g"),H202," ")</f>
        <v> </v>
      </c>
      <c r="AB202" s="17" t="str">
        <f aca="false">IF((E202="h"),H202," ")</f>
        <v> </v>
      </c>
      <c r="AC202" s="30" t="str">
        <f aca="false">IF((E202="v"),H202," ")</f>
        <v> </v>
      </c>
      <c r="AD202" s="30" t="str">
        <f aca="false">IF((E202="n"),H202," ")</f>
        <v> </v>
      </c>
      <c r="AE202" s="17" t="str">
        <f aca="false">IF((E202="f"),H202," ")</f>
        <v> </v>
      </c>
      <c r="AF202" s="17" t="str">
        <f aca="false">IF((E202="l"),H202," ")</f>
        <v> </v>
      </c>
      <c r="AG202" s="17" t="str">
        <f aca="false">IF((E202="y"),H202," ")</f>
        <v> </v>
      </c>
      <c r="AH202" s="17" t="str">
        <f aca="false">IF((E202="z"),H202," ")</f>
        <v> </v>
      </c>
      <c r="AI202" s="17" t="str">
        <f aca="false">IF((E202="fa"),H202," ")</f>
        <v> </v>
      </c>
      <c r="AJ202" s="17" t="str">
        <f aca="false">IF((E202="e"),H202," ")</f>
        <v> </v>
      </c>
    </row>
    <row r="203" customFormat="false" ht="12" hidden="false" customHeight="false" outlineLevel="0" collapsed="false">
      <c r="A203" s="28"/>
      <c r="E203" s="2" t="str">
        <f aca="false">IF((F203&lt;&gt;0),"Enter Letter"," ")</f>
        <v> </v>
      </c>
      <c r="F203" s="30"/>
      <c r="G203" s="6" t="str">
        <f aca="false">IF(F203&lt;&gt;0,F203*G$2/(100+G$2)," ")</f>
        <v> </v>
      </c>
      <c r="H203" s="6" t="str">
        <f aca="false">IF((F203&lt;&gt;0),F203-G203," ")</f>
        <v> </v>
      </c>
      <c r="I203" s="5"/>
      <c r="L203" s="7" t="str">
        <f aca="false">IF(F203&lt;&gt;0,F203-K203," ")</f>
        <v> </v>
      </c>
      <c r="M203" s="8" t="str">
        <f aca="false">IF((F203-K203)&lt;&gt;0,M$1-A203," ")</f>
        <v> </v>
      </c>
      <c r="N203" s="5"/>
      <c r="O203" s="17" t="str">
        <f aca="false">IF((E203="s"),H203," ")</f>
        <v> </v>
      </c>
      <c r="P203" s="17" t="str">
        <f aca="false">IF((E203="c"),H203," ")</f>
        <v> </v>
      </c>
      <c r="Q203" s="17" t="str">
        <f aca="false">IF((E203="o"),H203," ")</f>
        <v> </v>
      </c>
      <c r="R203" s="17" t="str">
        <f aca="false">IF((E203="d"),H203," ")</f>
        <v> </v>
      </c>
      <c r="S203" s="17" t="str">
        <f aca="false">IF((E203="w"),H203," ")</f>
        <v> </v>
      </c>
      <c r="T203" s="17" t="str">
        <f aca="false">IF((E203="r"),H203," ")</f>
        <v> </v>
      </c>
      <c r="U203" s="17" t="str">
        <f aca="false">IF((E203="p"),H203," ")</f>
        <v> </v>
      </c>
      <c r="V203" s="17" t="str">
        <f aca="false">IF((E203="t"),H203," ")</f>
        <v> </v>
      </c>
      <c r="W203" s="17" t="str">
        <f aca="false">IF((E203="q"),H203," ")</f>
        <v> </v>
      </c>
      <c r="X203" s="17" t="str">
        <f aca="false">IF((E203="m"),H203," ")</f>
        <v> </v>
      </c>
      <c r="Y203" s="17" t="str">
        <f aca="false">IF((E203="u"),H203," ")</f>
        <v> </v>
      </c>
      <c r="Z203" s="17" t="str">
        <f aca="false">IF((E203="a"),H203," ")</f>
        <v> </v>
      </c>
      <c r="AA203" s="17" t="str">
        <f aca="false">IF((E203="g"),H203," ")</f>
        <v> </v>
      </c>
      <c r="AB203" s="17" t="str">
        <f aca="false">IF((E203="h"),H203," ")</f>
        <v> </v>
      </c>
      <c r="AC203" s="30" t="str">
        <f aca="false">IF((E203="v"),H203," ")</f>
        <v> </v>
      </c>
      <c r="AD203" s="30" t="str">
        <f aca="false">IF((E203="n"),H203," ")</f>
        <v> </v>
      </c>
      <c r="AE203" s="17" t="str">
        <f aca="false">IF((E203="f"),H203," ")</f>
        <v> </v>
      </c>
      <c r="AF203" s="17" t="str">
        <f aca="false">IF((E203="l"),H203," ")</f>
        <v> </v>
      </c>
      <c r="AG203" s="17" t="str">
        <f aca="false">IF((E203="y"),H203," ")</f>
        <v> </v>
      </c>
      <c r="AH203" s="17" t="str">
        <f aca="false">IF((E203="z"),H203," ")</f>
        <v> </v>
      </c>
      <c r="AI203" s="17" t="str">
        <f aca="false">IF((E203="fa"),H203," ")</f>
        <v> </v>
      </c>
      <c r="AJ203" s="17" t="str">
        <f aca="false">IF((E203="e"),H203," ")</f>
        <v> </v>
      </c>
    </row>
    <row r="204" customFormat="false" ht="12" hidden="false" customHeight="false" outlineLevel="0" collapsed="false">
      <c r="A204" s="28"/>
      <c r="E204" s="2" t="str">
        <f aca="false">IF((F204&lt;&gt;0),"Enter Letter"," ")</f>
        <v> </v>
      </c>
      <c r="F204" s="30"/>
      <c r="G204" s="6" t="str">
        <f aca="false">IF(F204&lt;&gt;0,F204*G$2/(100+G$2)," ")</f>
        <v> </v>
      </c>
      <c r="H204" s="6" t="str">
        <f aca="false">IF((F204&lt;&gt;0),F204-G204," ")</f>
        <v> </v>
      </c>
      <c r="I204" s="5"/>
      <c r="L204" s="7" t="str">
        <f aca="false">IF(F204&lt;&gt;0,F204-K204," ")</f>
        <v> </v>
      </c>
      <c r="M204" s="8" t="str">
        <f aca="false">IF((F204-K204)&lt;&gt;0,M$1-A204," ")</f>
        <v> </v>
      </c>
      <c r="N204" s="5"/>
      <c r="O204" s="17" t="str">
        <f aca="false">IF((E204="s"),H204," ")</f>
        <v> </v>
      </c>
      <c r="P204" s="17" t="str">
        <f aca="false">IF((E204="c"),H204," ")</f>
        <v> </v>
      </c>
      <c r="Q204" s="17" t="str">
        <f aca="false">IF((E204="o"),H204," ")</f>
        <v> </v>
      </c>
      <c r="R204" s="17" t="str">
        <f aca="false">IF((E204="d"),H204," ")</f>
        <v> </v>
      </c>
      <c r="S204" s="17" t="str">
        <f aca="false">IF((E204="w"),H204," ")</f>
        <v> </v>
      </c>
      <c r="T204" s="17" t="str">
        <f aca="false">IF((E204="r"),H204," ")</f>
        <v> </v>
      </c>
      <c r="U204" s="17" t="str">
        <f aca="false">IF((E204="p"),H204," ")</f>
        <v> </v>
      </c>
      <c r="V204" s="17" t="str">
        <f aca="false">IF((E204="t"),H204," ")</f>
        <v> </v>
      </c>
      <c r="W204" s="17" t="str">
        <f aca="false">IF((E204="q"),H204," ")</f>
        <v> </v>
      </c>
      <c r="X204" s="17" t="str">
        <f aca="false">IF((E204="m"),H204," ")</f>
        <v> </v>
      </c>
      <c r="Y204" s="17" t="str">
        <f aca="false">IF((E204="u"),H204," ")</f>
        <v> </v>
      </c>
      <c r="Z204" s="17" t="str">
        <f aca="false">IF((E204="a"),H204," ")</f>
        <v> </v>
      </c>
      <c r="AA204" s="17" t="str">
        <f aca="false">IF((E204="g"),H204," ")</f>
        <v> </v>
      </c>
      <c r="AB204" s="17" t="str">
        <f aca="false">IF((E204="h"),H204," ")</f>
        <v> </v>
      </c>
      <c r="AC204" s="30" t="str">
        <f aca="false">IF((E204="v"),H204," ")</f>
        <v> </v>
      </c>
      <c r="AD204" s="30" t="str">
        <f aca="false">IF((E204="n"),H204," ")</f>
        <v> </v>
      </c>
      <c r="AE204" s="17" t="str">
        <f aca="false">IF((E204="f"),H204," ")</f>
        <v> </v>
      </c>
      <c r="AF204" s="17" t="str">
        <f aca="false">IF((E204="l"),H204," ")</f>
        <v> </v>
      </c>
      <c r="AG204" s="17" t="str">
        <f aca="false">IF((E204="y"),H204," ")</f>
        <v> </v>
      </c>
      <c r="AH204" s="17" t="str">
        <f aca="false">IF((E204="z"),H204," ")</f>
        <v> </v>
      </c>
      <c r="AI204" s="17" t="str">
        <f aca="false">IF((E204="fa"),H204," ")</f>
        <v> </v>
      </c>
      <c r="AJ204" s="17" t="str">
        <f aca="false">IF((E204="e"),H204," ")</f>
        <v> </v>
      </c>
    </row>
    <row r="205" customFormat="false" ht="12" hidden="false" customHeight="false" outlineLevel="0" collapsed="false">
      <c r="A205" s="28"/>
      <c r="E205" s="2" t="str">
        <f aca="false">IF((F205&lt;&gt;0),"Enter Letter"," ")</f>
        <v> </v>
      </c>
      <c r="F205" s="30"/>
      <c r="G205" s="6" t="str">
        <f aca="false">IF(F205&lt;&gt;0,F205*G$2/(100+G$2)," ")</f>
        <v> </v>
      </c>
      <c r="H205" s="6" t="str">
        <f aca="false">IF((F205&lt;&gt;0),F205-G205," ")</f>
        <v> </v>
      </c>
      <c r="I205" s="5"/>
      <c r="L205" s="7" t="str">
        <f aca="false">IF(F205&lt;&gt;0,F205-K205," ")</f>
        <v> </v>
      </c>
      <c r="M205" s="8" t="str">
        <f aca="false">IF((F205-K205)&lt;&gt;0,M$1-A205," ")</f>
        <v> </v>
      </c>
      <c r="N205" s="5"/>
      <c r="O205" s="17" t="str">
        <f aca="false">IF((E205="s"),H205," ")</f>
        <v> </v>
      </c>
      <c r="P205" s="17" t="str">
        <f aca="false">IF((E205="c"),H205," ")</f>
        <v> </v>
      </c>
      <c r="Q205" s="17" t="str">
        <f aca="false">IF((E205="o"),H205," ")</f>
        <v> </v>
      </c>
      <c r="R205" s="17" t="str">
        <f aca="false">IF((E205="d"),H205," ")</f>
        <v> </v>
      </c>
      <c r="S205" s="17" t="str">
        <f aca="false">IF((E205="w"),H205," ")</f>
        <v> </v>
      </c>
      <c r="T205" s="17" t="str">
        <f aca="false">IF((E205="r"),H205," ")</f>
        <v> </v>
      </c>
      <c r="U205" s="17" t="str">
        <f aca="false">IF((E205="p"),H205," ")</f>
        <v> </v>
      </c>
      <c r="V205" s="17" t="str">
        <f aca="false">IF((E205="t"),H205," ")</f>
        <v> </v>
      </c>
      <c r="W205" s="17" t="str">
        <f aca="false">IF((E205="q"),H205," ")</f>
        <v> </v>
      </c>
      <c r="X205" s="17" t="str">
        <f aca="false">IF((E205="m"),H205," ")</f>
        <v> </v>
      </c>
      <c r="Y205" s="17" t="str">
        <f aca="false">IF((E205="u"),H205," ")</f>
        <v> </v>
      </c>
      <c r="Z205" s="17" t="str">
        <f aca="false">IF((E205="a"),H205," ")</f>
        <v> </v>
      </c>
      <c r="AA205" s="17" t="str">
        <f aca="false">IF((E205="g"),H205," ")</f>
        <v> </v>
      </c>
      <c r="AB205" s="17" t="str">
        <f aca="false">IF((E205="h"),H205," ")</f>
        <v> </v>
      </c>
      <c r="AC205" s="30" t="str">
        <f aca="false">IF((E205="v"),H205," ")</f>
        <v> </v>
      </c>
      <c r="AD205" s="30" t="str">
        <f aca="false">IF((E205="n"),H205," ")</f>
        <v> </v>
      </c>
      <c r="AE205" s="17" t="str">
        <f aca="false">IF((E205="f"),H205," ")</f>
        <v> </v>
      </c>
      <c r="AF205" s="17" t="str">
        <f aca="false">IF((E205="l"),H205," ")</f>
        <v> </v>
      </c>
      <c r="AG205" s="17" t="str">
        <f aca="false">IF((E205="y"),H205," ")</f>
        <v> </v>
      </c>
      <c r="AH205" s="17" t="str">
        <f aca="false">IF((E205="z"),H205," ")</f>
        <v> </v>
      </c>
      <c r="AI205" s="17" t="str">
        <f aca="false">IF((E205="fa"),H205," ")</f>
        <v> </v>
      </c>
      <c r="AJ205" s="17" t="str">
        <f aca="false">IF((E205="e"),H205," ")</f>
        <v> </v>
      </c>
    </row>
    <row r="206" customFormat="false" ht="12" hidden="false" customHeight="false" outlineLevel="0" collapsed="false">
      <c r="A206" s="28"/>
      <c r="E206" s="2" t="str">
        <f aca="false">IF((F206&lt;&gt;0),"Enter Letter"," ")</f>
        <v> </v>
      </c>
      <c r="F206" s="30"/>
      <c r="G206" s="6" t="str">
        <f aca="false">IF(F206&lt;&gt;0,F206*G$2/(100+G$2)," ")</f>
        <v> </v>
      </c>
      <c r="H206" s="6" t="str">
        <f aca="false">IF((F206&lt;&gt;0),F206-G206," ")</f>
        <v> </v>
      </c>
      <c r="I206" s="5"/>
      <c r="L206" s="7" t="str">
        <f aca="false">IF(F206&lt;&gt;0,F206-K206," ")</f>
        <v> </v>
      </c>
      <c r="M206" s="8" t="str">
        <f aca="false">IF((F206-K206)&lt;&gt;0,M$1-A206," ")</f>
        <v> </v>
      </c>
      <c r="N206" s="5"/>
      <c r="O206" s="17" t="str">
        <f aca="false">IF((E206="s"),H206," ")</f>
        <v> </v>
      </c>
      <c r="P206" s="17" t="str">
        <f aca="false">IF((E206="c"),H206," ")</f>
        <v> </v>
      </c>
      <c r="Q206" s="17" t="str">
        <f aca="false">IF((E206="o"),H206," ")</f>
        <v> </v>
      </c>
      <c r="R206" s="17" t="str">
        <f aca="false">IF((E206="d"),H206," ")</f>
        <v> </v>
      </c>
      <c r="S206" s="17" t="str">
        <f aca="false">IF((E206="w"),H206," ")</f>
        <v> </v>
      </c>
      <c r="T206" s="17" t="str">
        <f aca="false">IF((E206="r"),H206," ")</f>
        <v> </v>
      </c>
      <c r="U206" s="17" t="str">
        <f aca="false">IF((E206="p"),H206," ")</f>
        <v> </v>
      </c>
      <c r="V206" s="17" t="str">
        <f aca="false">IF((E206="t"),H206," ")</f>
        <v> </v>
      </c>
      <c r="W206" s="17" t="str">
        <f aca="false">IF((E206="q"),H206," ")</f>
        <v> </v>
      </c>
      <c r="X206" s="17" t="str">
        <f aca="false">IF((E206="m"),H206," ")</f>
        <v> </v>
      </c>
      <c r="Y206" s="17" t="str">
        <f aca="false">IF((E206="u"),H206," ")</f>
        <v> </v>
      </c>
      <c r="Z206" s="17" t="str">
        <f aca="false">IF((E206="a"),H206," ")</f>
        <v> </v>
      </c>
      <c r="AA206" s="17" t="str">
        <f aca="false">IF((E206="g"),H206," ")</f>
        <v> </v>
      </c>
      <c r="AB206" s="17" t="str">
        <f aca="false">IF((E206="h"),H206," ")</f>
        <v> </v>
      </c>
      <c r="AC206" s="30" t="str">
        <f aca="false">IF((E206="v"),H206," ")</f>
        <v> </v>
      </c>
      <c r="AD206" s="30" t="str">
        <f aca="false">IF((E206="n"),H206," ")</f>
        <v> </v>
      </c>
      <c r="AE206" s="17" t="str">
        <f aca="false">IF((E206="f"),H206," ")</f>
        <v> </v>
      </c>
      <c r="AF206" s="17" t="str">
        <f aca="false">IF((E206="l"),H206," ")</f>
        <v> </v>
      </c>
      <c r="AG206" s="17" t="str">
        <f aca="false">IF((E206="y"),H206," ")</f>
        <v> </v>
      </c>
      <c r="AH206" s="17" t="str">
        <f aca="false">IF((E206="z"),H206," ")</f>
        <v> </v>
      </c>
      <c r="AI206" s="17" t="str">
        <f aca="false">IF((E206="fa"),H206," ")</f>
        <v> </v>
      </c>
      <c r="AJ206" s="17" t="str">
        <f aca="false">IF((E206="e"),H206," ")</f>
        <v> </v>
      </c>
    </row>
    <row r="207" customFormat="false" ht="12" hidden="false" customHeight="false" outlineLevel="0" collapsed="false">
      <c r="A207" s="28"/>
      <c r="E207" s="2" t="str">
        <f aca="false">IF((F207&lt;&gt;0),"Enter Letter"," ")</f>
        <v> </v>
      </c>
      <c r="F207" s="30"/>
      <c r="G207" s="6" t="str">
        <f aca="false">IF(F207&lt;&gt;0,F207*G$2/(100+G$2)," ")</f>
        <v> </v>
      </c>
      <c r="H207" s="6" t="str">
        <f aca="false">IF((F207&lt;&gt;0),F207-G207," ")</f>
        <v> </v>
      </c>
      <c r="I207" s="5"/>
      <c r="L207" s="7" t="str">
        <f aca="false">IF(F207&lt;&gt;0,F207-K207," ")</f>
        <v> </v>
      </c>
      <c r="M207" s="8" t="str">
        <f aca="false">IF((F207-K207)&lt;&gt;0,M$1-A207," ")</f>
        <v> </v>
      </c>
      <c r="N207" s="5"/>
      <c r="O207" s="17" t="str">
        <f aca="false">IF((E207="s"),H207," ")</f>
        <v> </v>
      </c>
      <c r="P207" s="17" t="str">
        <f aca="false">IF((E207="c"),H207," ")</f>
        <v> </v>
      </c>
      <c r="Q207" s="17" t="str">
        <f aca="false">IF((E207="o"),H207," ")</f>
        <v> </v>
      </c>
      <c r="R207" s="17" t="str">
        <f aca="false">IF((E207="d"),H207," ")</f>
        <v> </v>
      </c>
      <c r="S207" s="17" t="str">
        <f aca="false">IF((E207="w"),H207," ")</f>
        <v> </v>
      </c>
      <c r="T207" s="17" t="str">
        <f aca="false">IF((E207="r"),H207," ")</f>
        <v> </v>
      </c>
      <c r="U207" s="17" t="str">
        <f aca="false">IF((E207="p"),H207," ")</f>
        <v> </v>
      </c>
      <c r="V207" s="17" t="str">
        <f aca="false">IF((E207="t"),H207," ")</f>
        <v> </v>
      </c>
      <c r="W207" s="17" t="str">
        <f aca="false">IF((E207="q"),H207," ")</f>
        <v> </v>
      </c>
      <c r="X207" s="17" t="str">
        <f aca="false">IF((E207="m"),H207," ")</f>
        <v> </v>
      </c>
      <c r="Y207" s="17" t="str">
        <f aca="false">IF((E207="u"),H207," ")</f>
        <v> </v>
      </c>
      <c r="Z207" s="17" t="str">
        <f aca="false">IF((E207="a"),H207," ")</f>
        <v> </v>
      </c>
      <c r="AA207" s="17" t="str">
        <f aca="false">IF((E207="g"),H207," ")</f>
        <v> </v>
      </c>
      <c r="AB207" s="17" t="str">
        <f aca="false">IF((E207="h"),H207," ")</f>
        <v> </v>
      </c>
      <c r="AC207" s="30" t="str">
        <f aca="false">IF((E207="v"),H207," ")</f>
        <v> </v>
      </c>
      <c r="AD207" s="30" t="str">
        <f aca="false">IF((E207="n"),H207," ")</f>
        <v> </v>
      </c>
      <c r="AE207" s="17" t="str">
        <f aca="false">IF((E207="f"),H207," ")</f>
        <v> </v>
      </c>
      <c r="AF207" s="17" t="str">
        <f aca="false">IF((E207="l"),H207," ")</f>
        <v> </v>
      </c>
      <c r="AG207" s="17" t="str">
        <f aca="false">IF((E207="y"),H207," ")</f>
        <v> </v>
      </c>
      <c r="AH207" s="17" t="str">
        <f aca="false">IF((E207="z"),H207," ")</f>
        <v> </v>
      </c>
      <c r="AI207" s="17" t="str">
        <f aca="false">IF((E207="fa"),H207," ")</f>
        <v> </v>
      </c>
      <c r="AJ207" s="17" t="str">
        <f aca="false">IF((E207="e"),H207," ")</f>
        <v> </v>
      </c>
    </row>
    <row r="208" customFormat="false" ht="12" hidden="false" customHeight="false" outlineLevel="0" collapsed="false">
      <c r="A208" s="28"/>
      <c r="E208" s="2" t="str">
        <f aca="false">IF((F208&lt;&gt;0),"Enter Letter"," ")</f>
        <v> </v>
      </c>
      <c r="F208" s="30"/>
      <c r="G208" s="6" t="str">
        <f aca="false">IF(F208&lt;&gt;0,F208*G$2/(100+G$2)," ")</f>
        <v> </v>
      </c>
      <c r="H208" s="6" t="str">
        <f aca="false">IF((F208&lt;&gt;0),F208-G208," ")</f>
        <v> </v>
      </c>
      <c r="I208" s="5"/>
      <c r="L208" s="7" t="str">
        <f aca="false">IF(F208&lt;&gt;0,F208-K208," ")</f>
        <v> </v>
      </c>
      <c r="M208" s="8" t="str">
        <f aca="false">IF((F208-K208)&lt;&gt;0,M$1-A208," ")</f>
        <v> </v>
      </c>
      <c r="N208" s="5"/>
      <c r="O208" s="17" t="str">
        <f aca="false">IF((E208="s"),H208," ")</f>
        <v> </v>
      </c>
      <c r="P208" s="17" t="str">
        <f aca="false">IF((E208="c"),H208," ")</f>
        <v> </v>
      </c>
      <c r="Q208" s="17" t="str">
        <f aca="false">IF((E208="o"),H208," ")</f>
        <v> </v>
      </c>
      <c r="R208" s="17" t="str">
        <f aca="false">IF((E208="d"),H208," ")</f>
        <v> </v>
      </c>
      <c r="S208" s="17" t="str">
        <f aca="false">IF((E208="w"),H208," ")</f>
        <v> </v>
      </c>
      <c r="T208" s="17" t="str">
        <f aca="false">IF((E208="r"),H208," ")</f>
        <v> </v>
      </c>
      <c r="U208" s="17" t="str">
        <f aca="false">IF((E208="p"),H208," ")</f>
        <v> </v>
      </c>
      <c r="V208" s="17" t="str">
        <f aca="false">IF((E208="t"),H208," ")</f>
        <v> </v>
      </c>
      <c r="W208" s="17" t="str">
        <f aca="false">IF((E208="q"),H208," ")</f>
        <v> </v>
      </c>
      <c r="X208" s="17" t="str">
        <f aca="false">IF((E208="m"),H208," ")</f>
        <v> </v>
      </c>
      <c r="Y208" s="17" t="str">
        <f aca="false">IF((E208="u"),H208," ")</f>
        <v> </v>
      </c>
      <c r="Z208" s="17" t="str">
        <f aca="false">IF((E208="a"),H208," ")</f>
        <v> </v>
      </c>
      <c r="AA208" s="17" t="str">
        <f aca="false">IF((E208="g"),H208," ")</f>
        <v> </v>
      </c>
      <c r="AB208" s="17" t="str">
        <f aca="false">IF((E208="h"),H208," ")</f>
        <v> </v>
      </c>
      <c r="AC208" s="30" t="str">
        <f aca="false">IF((E208="v"),H208," ")</f>
        <v> </v>
      </c>
      <c r="AD208" s="30" t="str">
        <f aca="false">IF((E208="n"),H208," ")</f>
        <v> </v>
      </c>
      <c r="AE208" s="17" t="str">
        <f aca="false">IF((E208="f"),H208," ")</f>
        <v> </v>
      </c>
      <c r="AF208" s="17" t="str">
        <f aca="false">IF((E208="l"),H208," ")</f>
        <v> </v>
      </c>
      <c r="AG208" s="17" t="str">
        <f aca="false">IF((E208="y"),H208," ")</f>
        <v> </v>
      </c>
      <c r="AH208" s="17" t="str">
        <f aca="false">IF((E208="z"),H208," ")</f>
        <v> </v>
      </c>
      <c r="AI208" s="17" t="str">
        <f aca="false">IF((E208="fa"),H208," ")</f>
        <v> </v>
      </c>
      <c r="AJ208" s="17" t="str">
        <f aca="false">IF((E208="e"),H208," ")</f>
        <v> </v>
      </c>
    </row>
    <row r="209" customFormat="false" ht="12" hidden="false" customHeight="false" outlineLevel="0" collapsed="false">
      <c r="A209" s="28"/>
      <c r="E209" s="2" t="str">
        <f aca="false">IF((F209&lt;&gt;0),"Enter Letter"," ")</f>
        <v> </v>
      </c>
      <c r="F209" s="30"/>
      <c r="G209" s="6" t="str">
        <f aca="false">IF(F209&lt;&gt;0,F209*G$2/(100+G$2)," ")</f>
        <v> </v>
      </c>
      <c r="H209" s="6" t="str">
        <f aca="false">IF((F209&lt;&gt;0),F209-G209," ")</f>
        <v> </v>
      </c>
      <c r="I209" s="5"/>
      <c r="L209" s="7" t="str">
        <f aca="false">IF(F209&lt;&gt;0,F209-K209," ")</f>
        <v> </v>
      </c>
      <c r="M209" s="8" t="str">
        <f aca="false">IF((F209-K209)&lt;&gt;0,M$1-A209," ")</f>
        <v> </v>
      </c>
      <c r="N209" s="5"/>
      <c r="O209" s="17" t="str">
        <f aca="false">IF((E209="s"),H209," ")</f>
        <v> </v>
      </c>
      <c r="P209" s="17" t="str">
        <f aca="false">IF((E209="c"),H209," ")</f>
        <v> </v>
      </c>
      <c r="Q209" s="17" t="str">
        <f aca="false">IF((E209="o"),H209," ")</f>
        <v> </v>
      </c>
      <c r="R209" s="17" t="str">
        <f aca="false">IF((E209="d"),H209," ")</f>
        <v> </v>
      </c>
      <c r="S209" s="17" t="str">
        <f aca="false">IF((E209="w"),H209," ")</f>
        <v> </v>
      </c>
      <c r="T209" s="17" t="str">
        <f aca="false">IF((E209="r"),H209," ")</f>
        <v> </v>
      </c>
      <c r="U209" s="17" t="str">
        <f aca="false">IF((E209="p"),H209," ")</f>
        <v> </v>
      </c>
      <c r="V209" s="17" t="str">
        <f aca="false">IF((E209="t"),H209," ")</f>
        <v> </v>
      </c>
      <c r="W209" s="17" t="str">
        <f aca="false">IF((E209="q"),H209," ")</f>
        <v> </v>
      </c>
      <c r="X209" s="17" t="str">
        <f aca="false">IF((E209="m"),H209," ")</f>
        <v> </v>
      </c>
      <c r="Y209" s="17" t="str">
        <f aca="false">IF((E209="u"),H209," ")</f>
        <v> </v>
      </c>
      <c r="Z209" s="17" t="str">
        <f aca="false">IF((E209="a"),H209," ")</f>
        <v> </v>
      </c>
      <c r="AA209" s="17" t="str">
        <f aca="false">IF((E209="g"),H209," ")</f>
        <v> </v>
      </c>
      <c r="AB209" s="17" t="str">
        <f aca="false">IF((E209="h"),H209," ")</f>
        <v> </v>
      </c>
      <c r="AC209" s="30" t="str">
        <f aca="false">IF((E209="v"),H209," ")</f>
        <v> </v>
      </c>
      <c r="AD209" s="30" t="str">
        <f aca="false">IF((E209="n"),H209," ")</f>
        <v> </v>
      </c>
      <c r="AE209" s="17" t="str">
        <f aca="false">IF((E209="f"),H209," ")</f>
        <v> </v>
      </c>
      <c r="AF209" s="17" t="str">
        <f aca="false">IF((E209="l"),H209," ")</f>
        <v> </v>
      </c>
      <c r="AG209" s="17" t="str">
        <f aca="false">IF((E209="y"),H209," ")</f>
        <v> </v>
      </c>
      <c r="AH209" s="17" t="str">
        <f aca="false">IF((E209="z"),H209," ")</f>
        <v> </v>
      </c>
      <c r="AI209" s="17" t="str">
        <f aca="false">IF((E209="fa"),H209," ")</f>
        <v> </v>
      </c>
      <c r="AJ209" s="17" t="str">
        <f aca="false">IF((E209="e"),H209," ")</f>
        <v> </v>
      </c>
    </row>
    <row r="210" customFormat="false" ht="12" hidden="false" customHeight="false" outlineLevel="0" collapsed="false">
      <c r="A210" s="28"/>
      <c r="E210" s="2" t="str">
        <f aca="false">IF((F210&lt;&gt;0),"Enter Letter"," ")</f>
        <v> </v>
      </c>
      <c r="F210" s="30"/>
      <c r="G210" s="6" t="str">
        <f aca="false">IF(F210&lt;&gt;0,F210*G$2/(100+G$2)," ")</f>
        <v> </v>
      </c>
      <c r="H210" s="6" t="str">
        <f aca="false">IF((F210&lt;&gt;0),F210-G210," ")</f>
        <v> </v>
      </c>
      <c r="I210" s="5"/>
      <c r="L210" s="7" t="str">
        <f aca="false">IF(F210&lt;&gt;0,F210-K210," ")</f>
        <v> </v>
      </c>
      <c r="M210" s="8" t="str">
        <f aca="false">IF((F210-K210)&lt;&gt;0,M$1-A210," ")</f>
        <v> </v>
      </c>
      <c r="N210" s="5"/>
      <c r="O210" s="17" t="str">
        <f aca="false">IF((E210="s"),H210," ")</f>
        <v> </v>
      </c>
      <c r="P210" s="17" t="str">
        <f aca="false">IF((E210="c"),H210," ")</f>
        <v> </v>
      </c>
      <c r="Q210" s="17" t="str">
        <f aca="false">IF((E210="o"),H210," ")</f>
        <v> </v>
      </c>
      <c r="R210" s="17" t="str">
        <f aca="false">IF((E210="d"),H210," ")</f>
        <v> </v>
      </c>
      <c r="S210" s="17" t="str">
        <f aca="false">IF((E210="w"),H210," ")</f>
        <v> </v>
      </c>
      <c r="T210" s="17" t="str">
        <f aca="false">IF((E210="r"),H210," ")</f>
        <v> </v>
      </c>
      <c r="U210" s="17" t="str">
        <f aca="false">IF((E210="p"),H210," ")</f>
        <v> </v>
      </c>
      <c r="V210" s="17" t="str">
        <f aca="false">IF((E210="t"),H210," ")</f>
        <v> </v>
      </c>
      <c r="W210" s="17" t="str">
        <f aca="false">IF((E210="q"),H210," ")</f>
        <v> </v>
      </c>
      <c r="X210" s="17" t="str">
        <f aca="false">IF((E210="m"),H210," ")</f>
        <v> </v>
      </c>
      <c r="Y210" s="17" t="str">
        <f aca="false">IF((E210="u"),H210," ")</f>
        <v> </v>
      </c>
      <c r="Z210" s="17" t="str">
        <f aca="false">IF((E210="a"),H210," ")</f>
        <v> </v>
      </c>
      <c r="AA210" s="17" t="str">
        <f aca="false">IF((E210="g"),H210," ")</f>
        <v> </v>
      </c>
      <c r="AB210" s="17" t="str">
        <f aca="false">IF((E210="h"),H210," ")</f>
        <v> </v>
      </c>
      <c r="AC210" s="30" t="str">
        <f aca="false">IF((E210="v"),H210," ")</f>
        <v> </v>
      </c>
      <c r="AD210" s="30" t="str">
        <f aca="false">IF((E210="n"),H210," ")</f>
        <v> </v>
      </c>
      <c r="AE210" s="17" t="str">
        <f aca="false">IF((E210="f"),H210," ")</f>
        <v> </v>
      </c>
      <c r="AF210" s="17" t="str">
        <f aca="false">IF((E210="l"),H210," ")</f>
        <v> </v>
      </c>
      <c r="AG210" s="17" t="str">
        <f aca="false">IF((E210="y"),H210," ")</f>
        <v> </v>
      </c>
      <c r="AH210" s="17" t="str">
        <f aca="false">IF((E210="z"),H210," ")</f>
        <v> </v>
      </c>
      <c r="AI210" s="17" t="str">
        <f aca="false">IF((E210="fa"),H210," ")</f>
        <v> </v>
      </c>
      <c r="AJ210" s="17" t="str">
        <f aca="false">IF((E210="e"),H210," ")</f>
        <v> </v>
      </c>
    </row>
    <row r="211" customFormat="false" ht="12" hidden="false" customHeight="false" outlineLevel="0" collapsed="false">
      <c r="A211" s="28"/>
      <c r="E211" s="2" t="str">
        <f aca="false">IF((F211&lt;&gt;0),"Enter Letter"," ")</f>
        <v> </v>
      </c>
      <c r="F211" s="30"/>
      <c r="G211" s="6" t="str">
        <f aca="false">IF(F211&lt;&gt;0,F211*G$2/(100+G$2)," ")</f>
        <v> </v>
      </c>
      <c r="H211" s="6" t="str">
        <f aca="false">IF((F211&lt;&gt;0),F211-G211," ")</f>
        <v> </v>
      </c>
      <c r="I211" s="5"/>
      <c r="L211" s="7" t="str">
        <f aca="false">IF(F211&lt;&gt;0,F211-K211," ")</f>
        <v> </v>
      </c>
      <c r="M211" s="8" t="str">
        <f aca="false">IF((F211-K211)&lt;&gt;0,M$1-A211," ")</f>
        <v> </v>
      </c>
      <c r="N211" s="5"/>
      <c r="O211" s="17" t="str">
        <f aca="false">IF((E211="s"),H211," ")</f>
        <v> </v>
      </c>
      <c r="P211" s="17" t="str">
        <f aca="false">IF((E211="c"),H211," ")</f>
        <v> </v>
      </c>
      <c r="Q211" s="17" t="str">
        <f aca="false">IF((E211="o"),H211," ")</f>
        <v> </v>
      </c>
      <c r="R211" s="17" t="str">
        <f aca="false">IF((E211="d"),H211," ")</f>
        <v> </v>
      </c>
      <c r="S211" s="17" t="str">
        <f aca="false">IF((E211="w"),H211," ")</f>
        <v> </v>
      </c>
      <c r="T211" s="17" t="str">
        <f aca="false">IF((E211="r"),H211," ")</f>
        <v> </v>
      </c>
      <c r="U211" s="17" t="str">
        <f aca="false">IF((E211="p"),H211," ")</f>
        <v> </v>
      </c>
      <c r="V211" s="17" t="str">
        <f aca="false">IF((E211="t"),H211," ")</f>
        <v> </v>
      </c>
      <c r="W211" s="17" t="str">
        <f aca="false">IF((E211="q"),H211," ")</f>
        <v> </v>
      </c>
      <c r="X211" s="17" t="str">
        <f aca="false">IF((E211="m"),H211," ")</f>
        <v> </v>
      </c>
      <c r="Y211" s="17" t="str">
        <f aca="false">IF((E211="u"),H211," ")</f>
        <v> </v>
      </c>
      <c r="Z211" s="17" t="str">
        <f aca="false">IF((E211="a"),H211," ")</f>
        <v> </v>
      </c>
      <c r="AA211" s="17" t="str">
        <f aca="false">IF((E211="g"),H211," ")</f>
        <v> </v>
      </c>
      <c r="AB211" s="17" t="str">
        <f aca="false">IF((E211="h"),H211," ")</f>
        <v> </v>
      </c>
      <c r="AC211" s="30" t="str">
        <f aca="false">IF((E211="v"),H211," ")</f>
        <v> </v>
      </c>
      <c r="AD211" s="30" t="str">
        <f aca="false">IF((E211="n"),H211," ")</f>
        <v> </v>
      </c>
      <c r="AE211" s="17" t="str">
        <f aca="false">IF((E211="f"),H211," ")</f>
        <v> </v>
      </c>
      <c r="AF211" s="17" t="str">
        <f aca="false">IF((E211="l"),H211," ")</f>
        <v> </v>
      </c>
      <c r="AG211" s="17" t="str">
        <f aca="false">IF((E211="y"),H211," ")</f>
        <v> </v>
      </c>
      <c r="AH211" s="17" t="str">
        <f aca="false">IF((E211="z"),H211," ")</f>
        <v> </v>
      </c>
      <c r="AI211" s="17" t="str">
        <f aca="false">IF((E211="fa"),H211," ")</f>
        <v> </v>
      </c>
      <c r="AJ211" s="17" t="str">
        <f aca="false">IF((E211="e"),H211," ")</f>
        <v> </v>
      </c>
    </row>
    <row r="212" customFormat="false" ht="12" hidden="false" customHeight="false" outlineLevel="0" collapsed="false">
      <c r="A212" s="28"/>
      <c r="E212" s="2" t="str">
        <f aca="false">IF((F212&lt;&gt;0),"Enter Letter"," ")</f>
        <v> </v>
      </c>
      <c r="F212" s="30"/>
      <c r="G212" s="6" t="str">
        <f aca="false">IF(F212&lt;&gt;0,F212*G$2/(100+G$2)," ")</f>
        <v> </v>
      </c>
      <c r="H212" s="6" t="str">
        <f aca="false">IF((F212&lt;&gt;0),F212-G212," ")</f>
        <v> </v>
      </c>
      <c r="I212" s="5"/>
      <c r="L212" s="7" t="str">
        <f aca="false">IF(F212&lt;&gt;0,F212-K212," ")</f>
        <v> </v>
      </c>
      <c r="M212" s="8" t="str">
        <f aca="false">IF((F212-K212)&lt;&gt;0,M$1-A212," ")</f>
        <v> </v>
      </c>
      <c r="N212" s="5"/>
      <c r="O212" s="17" t="str">
        <f aca="false">IF((E212="s"),H212," ")</f>
        <v> </v>
      </c>
      <c r="P212" s="17" t="str">
        <f aca="false">IF((E212="c"),H212," ")</f>
        <v> </v>
      </c>
      <c r="Q212" s="17" t="str">
        <f aca="false">IF((E212="o"),H212," ")</f>
        <v> </v>
      </c>
      <c r="R212" s="17" t="str">
        <f aca="false">IF((E212="d"),H212," ")</f>
        <v> </v>
      </c>
      <c r="S212" s="17" t="str">
        <f aca="false">IF((E212="w"),H212," ")</f>
        <v> </v>
      </c>
      <c r="T212" s="17" t="str">
        <f aca="false">IF((E212="r"),H212," ")</f>
        <v> </v>
      </c>
      <c r="U212" s="17" t="str">
        <f aca="false">IF((E212="p"),H212," ")</f>
        <v> </v>
      </c>
      <c r="V212" s="17" t="str">
        <f aca="false">IF((E212="t"),H212," ")</f>
        <v> </v>
      </c>
      <c r="W212" s="17" t="str">
        <f aca="false">IF((E212="q"),H212," ")</f>
        <v> </v>
      </c>
      <c r="X212" s="17" t="str">
        <f aca="false">IF((E212="m"),H212," ")</f>
        <v> </v>
      </c>
      <c r="Y212" s="17" t="str">
        <f aca="false">IF((E212="u"),H212," ")</f>
        <v> </v>
      </c>
      <c r="Z212" s="17" t="str">
        <f aca="false">IF((E212="a"),H212," ")</f>
        <v> </v>
      </c>
      <c r="AA212" s="17" t="str">
        <f aca="false">IF((E212="g"),H212," ")</f>
        <v> </v>
      </c>
      <c r="AB212" s="17" t="str">
        <f aca="false">IF((E212="h"),H212," ")</f>
        <v> </v>
      </c>
      <c r="AC212" s="30" t="str">
        <f aca="false">IF((E212="v"),H212," ")</f>
        <v> </v>
      </c>
      <c r="AD212" s="30" t="str">
        <f aca="false">IF((E212="n"),H212," ")</f>
        <v> </v>
      </c>
      <c r="AE212" s="17" t="str">
        <f aca="false">IF((E212="f"),H212," ")</f>
        <v> </v>
      </c>
      <c r="AF212" s="17" t="str">
        <f aca="false">IF((E212="l"),H212," ")</f>
        <v> </v>
      </c>
      <c r="AG212" s="17" t="str">
        <f aca="false">IF((E212="y"),H212," ")</f>
        <v> </v>
      </c>
      <c r="AH212" s="17" t="str">
        <f aca="false">IF((E212="z"),H212," ")</f>
        <v> </v>
      </c>
      <c r="AI212" s="17" t="str">
        <f aca="false">IF((E212="fa"),H212," ")</f>
        <v> </v>
      </c>
      <c r="AJ212" s="17" t="str">
        <f aca="false">IF((E212="e"),H212," ")</f>
        <v> </v>
      </c>
    </row>
    <row r="213" customFormat="false" ht="12" hidden="false" customHeight="false" outlineLevel="0" collapsed="false">
      <c r="A213" s="28"/>
      <c r="E213" s="2" t="str">
        <f aca="false">IF((F213&lt;&gt;0),"Enter Letter"," ")</f>
        <v> </v>
      </c>
      <c r="F213" s="30"/>
      <c r="G213" s="6" t="str">
        <f aca="false">IF(F213&lt;&gt;0,F213*G$2/(100+G$2)," ")</f>
        <v> </v>
      </c>
      <c r="H213" s="6" t="str">
        <f aca="false">IF((F213&lt;&gt;0),F213-G213," ")</f>
        <v> </v>
      </c>
      <c r="I213" s="5"/>
      <c r="L213" s="7" t="str">
        <f aca="false">IF(F213&lt;&gt;0,F213-K213," ")</f>
        <v> </v>
      </c>
      <c r="M213" s="8" t="str">
        <f aca="false">IF((F213-K213)&lt;&gt;0,M$1-A213," ")</f>
        <v> </v>
      </c>
      <c r="N213" s="5"/>
      <c r="O213" s="17" t="str">
        <f aca="false">IF((E213="s"),H213," ")</f>
        <v> </v>
      </c>
      <c r="P213" s="17" t="str">
        <f aca="false">IF((E213="c"),H213," ")</f>
        <v> </v>
      </c>
      <c r="Q213" s="17" t="str">
        <f aca="false">IF((E213="o"),H213," ")</f>
        <v> </v>
      </c>
      <c r="R213" s="17" t="str">
        <f aca="false">IF((E213="d"),H213," ")</f>
        <v> </v>
      </c>
      <c r="S213" s="17" t="str">
        <f aca="false">IF((E213="w"),H213," ")</f>
        <v> </v>
      </c>
      <c r="T213" s="17" t="str">
        <f aca="false">IF((E213="r"),H213," ")</f>
        <v> </v>
      </c>
      <c r="U213" s="17" t="str">
        <f aca="false">IF((E213="p"),H213," ")</f>
        <v> </v>
      </c>
      <c r="V213" s="17" t="str">
        <f aca="false">IF((E213="t"),H213," ")</f>
        <v> </v>
      </c>
      <c r="W213" s="17" t="str">
        <f aca="false">IF((E213="q"),H213," ")</f>
        <v> </v>
      </c>
      <c r="X213" s="17" t="str">
        <f aca="false">IF((E213="m"),H213," ")</f>
        <v> </v>
      </c>
      <c r="Y213" s="17" t="str">
        <f aca="false">IF((E213="u"),H213," ")</f>
        <v> </v>
      </c>
      <c r="Z213" s="17" t="str">
        <f aca="false">IF((E213="a"),H213," ")</f>
        <v> </v>
      </c>
      <c r="AA213" s="17" t="str">
        <f aca="false">IF((E213="g"),H213," ")</f>
        <v> </v>
      </c>
      <c r="AB213" s="17" t="str">
        <f aca="false">IF((E213="h"),H213," ")</f>
        <v> </v>
      </c>
      <c r="AC213" s="30" t="str">
        <f aca="false">IF((E213="v"),H213," ")</f>
        <v> </v>
      </c>
      <c r="AD213" s="30" t="str">
        <f aca="false">IF((E213="n"),H213," ")</f>
        <v> </v>
      </c>
      <c r="AE213" s="17" t="str">
        <f aca="false">IF((E213="f"),H213," ")</f>
        <v> </v>
      </c>
      <c r="AF213" s="17" t="str">
        <f aca="false">IF((E213="l"),H213," ")</f>
        <v> </v>
      </c>
      <c r="AG213" s="17" t="str">
        <f aca="false">IF((E213="y"),H213," ")</f>
        <v> </v>
      </c>
      <c r="AH213" s="17" t="str">
        <f aca="false">IF((E213="z"),H213," ")</f>
        <v> </v>
      </c>
      <c r="AI213" s="17" t="str">
        <f aca="false">IF((E213="fa"),H213," ")</f>
        <v> </v>
      </c>
      <c r="AJ213" s="17" t="str">
        <f aca="false">IF((E213="e"),H213," ")</f>
        <v> </v>
      </c>
    </row>
    <row r="214" customFormat="false" ht="12" hidden="false" customHeight="false" outlineLevel="0" collapsed="false">
      <c r="A214" s="28"/>
      <c r="E214" s="2" t="str">
        <f aca="false">IF((F214&lt;&gt;0),"Enter Letter"," ")</f>
        <v> </v>
      </c>
      <c r="F214" s="30"/>
      <c r="G214" s="6" t="str">
        <f aca="false">IF(F214&lt;&gt;0,F214*G$2/(100+G$2)," ")</f>
        <v> </v>
      </c>
      <c r="H214" s="6" t="str">
        <f aca="false">IF((F214&lt;&gt;0),F214-G214," ")</f>
        <v> </v>
      </c>
      <c r="I214" s="5"/>
      <c r="L214" s="7" t="str">
        <f aca="false">IF(F214&lt;&gt;0,F214-K214," ")</f>
        <v> </v>
      </c>
      <c r="M214" s="8" t="str">
        <f aca="false">IF((F214-K214)&lt;&gt;0,M$1-A214," ")</f>
        <v> </v>
      </c>
      <c r="N214" s="5"/>
      <c r="O214" s="17" t="str">
        <f aca="false">IF((E214="s"),H214," ")</f>
        <v> </v>
      </c>
      <c r="P214" s="17" t="str">
        <f aca="false">IF((E214="c"),H214," ")</f>
        <v> </v>
      </c>
      <c r="Q214" s="17" t="str">
        <f aca="false">IF((E214="o"),H214," ")</f>
        <v> </v>
      </c>
      <c r="R214" s="17" t="str">
        <f aca="false">IF((E214="d"),H214," ")</f>
        <v> </v>
      </c>
      <c r="S214" s="17" t="str">
        <f aca="false">IF((E214="w"),H214," ")</f>
        <v> </v>
      </c>
      <c r="T214" s="17" t="str">
        <f aca="false">IF((E214="r"),H214," ")</f>
        <v> </v>
      </c>
      <c r="U214" s="17" t="str">
        <f aca="false">IF((E214="p"),H214," ")</f>
        <v> </v>
      </c>
      <c r="V214" s="17" t="str">
        <f aca="false">IF((E214="t"),H214," ")</f>
        <v> </v>
      </c>
      <c r="W214" s="17" t="str">
        <f aca="false">IF((E214="q"),H214," ")</f>
        <v> </v>
      </c>
      <c r="X214" s="17" t="str">
        <f aca="false">IF((E214="m"),H214," ")</f>
        <v> </v>
      </c>
      <c r="Y214" s="17" t="str">
        <f aca="false">IF((E214="u"),H214," ")</f>
        <v> </v>
      </c>
      <c r="Z214" s="17" t="str">
        <f aca="false">IF((E214="a"),H214," ")</f>
        <v> </v>
      </c>
      <c r="AA214" s="17" t="str">
        <f aca="false">IF((E214="g"),H214," ")</f>
        <v> </v>
      </c>
      <c r="AB214" s="17" t="str">
        <f aca="false">IF((E214="h"),H214," ")</f>
        <v> </v>
      </c>
      <c r="AC214" s="30" t="str">
        <f aca="false">IF((E214="v"),H214," ")</f>
        <v> </v>
      </c>
      <c r="AD214" s="30" t="str">
        <f aca="false">IF((E214="n"),H214," ")</f>
        <v> </v>
      </c>
      <c r="AE214" s="17" t="str">
        <f aca="false">IF((E214="f"),H214," ")</f>
        <v> </v>
      </c>
      <c r="AF214" s="17" t="str">
        <f aca="false">IF((E214="l"),H214," ")</f>
        <v> </v>
      </c>
      <c r="AG214" s="17" t="str">
        <f aca="false">IF((E214="y"),H214," ")</f>
        <v> </v>
      </c>
      <c r="AH214" s="17" t="str">
        <f aca="false">IF((E214="z"),H214," ")</f>
        <v> </v>
      </c>
      <c r="AI214" s="17" t="str">
        <f aca="false">IF((E214="fa"),H214," ")</f>
        <v> </v>
      </c>
      <c r="AJ214" s="17" t="str">
        <f aca="false">IF((E214="e"),H214," ")</f>
        <v> </v>
      </c>
    </row>
    <row r="215" customFormat="false" ht="12" hidden="false" customHeight="false" outlineLevel="0" collapsed="false">
      <c r="A215" s="28"/>
      <c r="E215" s="2" t="str">
        <f aca="false">IF((F215&lt;&gt;0),"Enter Letter"," ")</f>
        <v> </v>
      </c>
      <c r="F215" s="30"/>
      <c r="G215" s="6" t="str">
        <f aca="false">IF(F215&lt;&gt;0,F215*G$2/(100+G$2)," ")</f>
        <v> </v>
      </c>
      <c r="H215" s="6" t="str">
        <f aca="false">IF((F215&lt;&gt;0),F215-G215," ")</f>
        <v> </v>
      </c>
      <c r="I215" s="5"/>
      <c r="L215" s="7" t="str">
        <f aca="false">IF(F215&lt;&gt;0,F215-K215," ")</f>
        <v> </v>
      </c>
      <c r="M215" s="8" t="str">
        <f aca="false">IF((F215-K215)&lt;&gt;0,M$1-A215," ")</f>
        <v> </v>
      </c>
      <c r="N215" s="5"/>
      <c r="O215" s="17" t="str">
        <f aca="false">IF((E215="s"),H215," ")</f>
        <v> </v>
      </c>
      <c r="P215" s="17" t="str">
        <f aca="false">IF((E215="c"),H215," ")</f>
        <v> </v>
      </c>
      <c r="Q215" s="17" t="str">
        <f aca="false">IF((E215="o"),H215," ")</f>
        <v> </v>
      </c>
      <c r="R215" s="17" t="str">
        <f aca="false">IF((E215="d"),H215," ")</f>
        <v> </v>
      </c>
      <c r="S215" s="17" t="str">
        <f aca="false">IF((E215="w"),H215," ")</f>
        <v> </v>
      </c>
      <c r="T215" s="17" t="str">
        <f aca="false">IF((E215="r"),H215," ")</f>
        <v> </v>
      </c>
      <c r="U215" s="17" t="str">
        <f aca="false">IF((E215="p"),H215," ")</f>
        <v> </v>
      </c>
      <c r="V215" s="17" t="str">
        <f aca="false">IF((E215="t"),H215," ")</f>
        <v> </v>
      </c>
      <c r="W215" s="17" t="str">
        <f aca="false">IF((E215="q"),H215," ")</f>
        <v> </v>
      </c>
      <c r="X215" s="17" t="str">
        <f aca="false">IF((E215="m"),H215," ")</f>
        <v> </v>
      </c>
      <c r="Y215" s="17" t="str">
        <f aca="false">IF((E215="u"),H215," ")</f>
        <v> </v>
      </c>
      <c r="Z215" s="17" t="str">
        <f aca="false">IF((E215="a"),H215," ")</f>
        <v> </v>
      </c>
      <c r="AA215" s="17" t="str">
        <f aca="false">IF((E215="g"),H215," ")</f>
        <v> </v>
      </c>
      <c r="AB215" s="17" t="str">
        <f aca="false">IF((E215="h"),H215," ")</f>
        <v> </v>
      </c>
      <c r="AC215" s="30" t="str">
        <f aca="false">IF((E215="v"),H215," ")</f>
        <v> </v>
      </c>
      <c r="AD215" s="30" t="str">
        <f aca="false">IF((E215="n"),H215," ")</f>
        <v> </v>
      </c>
      <c r="AE215" s="17" t="str">
        <f aca="false">IF((E215="f"),H215," ")</f>
        <v> </v>
      </c>
      <c r="AF215" s="17" t="str">
        <f aca="false">IF((E215="l"),H215," ")</f>
        <v> </v>
      </c>
      <c r="AG215" s="17" t="str">
        <f aca="false">IF((E215="y"),H215," ")</f>
        <v> </v>
      </c>
      <c r="AH215" s="17" t="str">
        <f aca="false">IF((E215="z"),H215," ")</f>
        <v> </v>
      </c>
      <c r="AI215" s="17" t="str">
        <f aca="false">IF((E215="fa"),H215," ")</f>
        <v> </v>
      </c>
      <c r="AJ215" s="17" t="str">
        <f aca="false">IF((E215="e"),H215," ")</f>
        <v> </v>
      </c>
    </row>
    <row r="216" customFormat="false" ht="12" hidden="false" customHeight="false" outlineLevel="0" collapsed="false">
      <c r="A216" s="28"/>
      <c r="E216" s="2" t="str">
        <f aca="false">IF((F216&lt;&gt;0),"Enter Letter"," ")</f>
        <v> </v>
      </c>
      <c r="F216" s="30"/>
      <c r="G216" s="6" t="str">
        <f aca="false">IF(F216&lt;&gt;0,F216*G$2/(100+G$2)," ")</f>
        <v> </v>
      </c>
      <c r="H216" s="6" t="str">
        <f aca="false">IF((F216&lt;&gt;0),F216-G216," ")</f>
        <v> </v>
      </c>
      <c r="I216" s="5"/>
      <c r="L216" s="7" t="str">
        <f aca="false">IF(F216&lt;&gt;0,F216-K216," ")</f>
        <v> </v>
      </c>
      <c r="M216" s="8" t="str">
        <f aca="false">IF((F216-K216)&lt;&gt;0,M$1-A216," ")</f>
        <v> </v>
      </c>
      <c r="N216" s="5"/>
      <c r="O216" s="17" t="str">
        <f aca="false">IF((E216="s"),H216," ")</f>
        <v> </v>
      </c>
      <c r="P216" s="17" t="str">
        <f aca="false">IF((E216="c"),H216," ")</f>
        <v> </v>
      </c>
      <c r="Q216" s="17" t="str">
        <f aca="false">IF((E216="o"),H216," ")</f>
        <v> </v>
      </c>
      <c r="R216" s="17" t="str">
        <f aca="false">IF((E216="d"),H216," ")</f>
        <v> </v>
      </c>
      <c r="S216" s="17" t="str">
        <f aca="false">IF((E216="w"),H216," ")</f>
        <v> </v>
      </c>
      <c r="T216" s="17" t="str">
        <f aca="false">IF((E216="r"),H216," ")</f>
        <v> </v>
      </c>
      <c r="U216" s="17" t="str">
        <f aca="false">IF((E216="p"),H216," ")</f>
        <v> </v>
      </c>
      <c r="V216" s="17" t="str">
        <f aca="false">IF((E216="t"),H216," ")</f>
        <v> </v>
      </c>
      <c r="W216" s="17" t="str">
        <f aca="false">IF((E216="q"),H216," ")</f>
        <v> </v>
      </c>
      <c r="X216" s="17" t="str">
        <f aca="false">IF((E216="m"),H216," ")</f>
        <v> </v>
      </c>
      <c r="Y216" s="17" t="str">
        <f aca="false">IF((E216="u"),H216," ")</f>
        <v> </v>
      </c>
      <c r="Z216" s="17" t="str">
        <f aca="false">IF((E216="a"),H216," ")</f>
        <v> </v>
      </c>
      <c r="AA216" s="17" t="str">
        <f aca="false">IF((E216="g"),H216," ")</f>
        <v> </v>
      </c>
      <c r="AB216" s="17" t="str">
        <f aca="false">IF((E216="h"),H216," ")</f>
        <v> </v>
      </c>
      <c r="AC216" s="30" t="str">
        <f aca="false">IF((E216="v"),H216," ")</f>
        <v> </v>
      </c>
      <c r="AD216" s="30" t="str">
        <f aca="false">IF((E216="n"),H216," ")</f>
        <v> </v>
      </c>
      <c r="AE216" s="17" t="str">
        <f aca="false">IF((E216="f"),H216," ")</f>
        <v> </v>
      </c>
      <c r="AF216" s="17" t="str">
        <f aca="false">IF((E216="l"),H216," ")</f>
        <v> </v>
      </c>
      <c r="AG216" s="17" t="str">
        <f aca="false">IF((E216="y"),H216," ")</f>
        <v> </v>
      </c>
      <c r="AH216" s="17" t="str">
        <f aca="false">IF((E216="z"),H216," ")</f>
        <v> </v>
      </c>
      <c r="AI216" s="17" t="str">
        <f aca="false">IF((E216="fa"),H216," ")</f>
        <v> </v>
      </c>
      <c r="AJ216" s="17" t="str">
        <f aca="false">IF((E216="e"),H216," ")</f>
        <v> </v>
      </c>
    </row>
    <row r="217" customFormat="false" ht="12" hidden="false" customHeight="false" outlineLevel="0" collapsed="false">
      <c r="A217" s="28"/>
      <c r="E217" s="2" t="str">
        <f aca="false">IF((F217&lt;&gt;0),"Enter Letter"," ")</f>
        <v> </v>
      </c>
      <c r="F217" s="30"/>
      <c r="G217" s="6" t="str">
        <f aca="false">IF(F217&lt;&gt;0,F217*G$2/(100+G$2)," ")</f>
        <v> </v>
      </c>
      <c r="H217" s="6" t="str">
        <f aca="false">IF((F217&lt;&gt;0),F217-G217," ")</f>
        <v> </v>
      </c>
      <c r="I217" s="5"/>
      <c r="L217" s="7" t="str">
        <f aca="false">IF(F217&lt;&gt;0,F217-K217," ")</f>
        <v> </v>
      </c>
      <c r="M217" s="8" t="str">
        <f aca="false">IF((F217-K217)&lt;&gt;0,M$1-A217," ")</f>
        <v> </v>
      </c>
      <c r="N217" s="5"/>
      <c r="O217" s="17" t="str">
        <f aca="false">IF((E217="s"),H217," ")</f>
        <v> </v>
      </c>
      <c r="P217" s="17" t="str">
        <f aca="false">IF((E217="c"),H217," ")</f>
        <v> </v>
      </c>
      <c r="Q217" s="17" t="str">
        <f aca="false">IF((E217="o"),H217," ")</f>
        <v> </v>
      </c>
      <c r="R217" s="17" t="str">
        <f aca="false">IF((E217="d"),H217," ")</f>
        <v> </v>
      </c>
      <c r="S217" s="17" t="str">
        <f aca="false">IF((E217="w"),H217," ")</f>
        <v> </v>
      </c>
      <c r="T217" s="17" t="str">
        <f aca="false">IF((E217="r"),H217," ")</f>
        <v> </v>
      </c>
      <c r="U217" s="17" t="str">
        <f aca="false">IF((E217="p"),H217," ")</f>
        <v> </v>
      </c>
      <c r="V217" s="17" t="str">
        <f aca="false">IF((E217="t"),H217," ")</f>
        <v> </v>
      </c>
      <c r="W217" s="17" t="str">
        <f aca="false">IF((E217="q"),H217," ")</f>
        <v> </v>
      </c>
      <c r="X217" s="17" t="str">
        <f aca="false">IF((E217="m"),H217," ")</f>
        <v> </v>
      </c>
      <c r="Y217" s="17" t="str">
        <f aca="false">IF((E217="u"),H217," ")</f>
        <v> </v>
      </c>
      <c r="Z217" s="17" t="str">
        <f aca="false">IF((E217="a"),H217," ")</f>
        <v> </v>
      </c>
      <c r="AA217" s="17" t="str">
        <f aca="false">IF((E217="g"),H217," ")</f>
        <v> </v>
      </c>
      <c r="AB217" s="17" t="str">
        <f aca="false">IF((E217="h"),H217," ")</f>
        <v> </v>
      </c>
      <c r="AC217" s="30" t="str">
        <f aca="false">IF((E217="v"),H217," ")</f>
        <v> </v>
      </c>
      <c r="AD217" s="30" t="str">
        <f aca="false">IF((E217="n"),H217," ")</f>
        <v> </v>
      </c>
      <c r="AE217" s="17" t="str">
        <f aca="false">IF((E217="f"),H217," ")</f>
        <v> </v>
      </c>
      <c r="AF217" s="17" t="str">
        <f aca="false">IF((E217="l"),H217," ")</f>
        <v> </v>
      </c>
      <c r="AG217" s="17" t="str">
        <f aca="false">IF((E217="y"),H217," ")</f>
        <v> </v>
      </c>
      <c r="AH217" s="17" t="str">
        <f aca="false">IF((E217="z"),H217," ")</f>
        <v> </v>
      </c>
      <c r="AI217" s="17" t="str">
        <f aca="false">IF((E217="fa"),H217," ")</f>
        <v> </v>
      </c>
      <c r="AJ217" s="17" t="str">
        <f aca="false">IF((E217="e"),H217," ")</f>
        <v> </v>
      </c>
    </row>
    <row r="218" customFormat="false" ht="12" hidden="false" customHeight="false" outlineLevel="0" collapsed="false">
      <c r="A218" s="28"/>
      <c r="E218" s="2" t="str">
        <f aca="false">IF((F218&lt;&gt;0),"Enter Letter"," ")</f>
        <v> </v>
      </c>
      <c r="F218" s="30"/>
      <c r="G218" s="6" t="str">
        <f aca="false">IF(F218&lt;&gt;0,F218*G$2/(100+G$2)," ")</f>
        <v> </v>
      </c>
      <c r="H218" s="6" t="str">
        <f aca="false">IF((F218&lt;&gt;0),F218-G218," ")</f>
        <v> </v>
      </c>
      <c r="I218" s="5"/>
      <c r="L218" s="7" t="str">
        <f aca="false">IF(F218&lt;&gt;0,F218-K218," ")</f>
        <v> </v>
      </c>
      <c r="M218" s="8" t="str">
        <f aca="false">IF((F218-K218)&lt;&gt;0,M$1-A218," ")</f>
        <v> </v>
      </c>
      <c r="N218" s="5"/>
      <c r="O218" s="17" t="str">
        <f aca="false">IF((E218="s"),H218," ")</f>
        <v> </v>
      </c>
      <c r="P218" s="17" t="str">
        <f aca="false">IF((E218="c"),H218," ")</f>
        <v> </v>
      </c>
      <c r="Q218" s="17" t="str">
        <f aca="false">IF((E218="o"),H218," ")</f>
        <v> </v>
      </c>
      <c r="R218" s="17" t="str">
        <f aca="false">IF((E218="d"),H218," ")</f>
        <v> </v>
      </c>
      <c r="S218" s="17" t="str">
        <f aca="false">IF((E218="w"),H218," ")</f>
        <v> </v>
      </c>
      <c r="T218" s="17" t="str">
        <f aca="false">IF((E218="r"),H218," ")</f>
        <v> </v>
      </c>
      <c r="U218" s="17" t="str">
        <f aca="false">IF((E218="p"),H218," ")</f>
        <v> </v>
      </c>
      <c r="V218" s="17" t="str">
        <f aca="false">IF((E218="t"),H218," ")</f>
        <v> </v>
      </c>
      <c r="W218" s="17" t="str">
        <f aca="false">IF((E218="q"),H218," ")</f>
        <v> </v>
      </c>
      <c r="X218" s="17" t="str">
        <f aca="false">IF((E218="m"),H218," ")</f>
        <v> </v>
      </c>
      <c r="Y218" s="17" t="str">
        <f aca="false">IF((E218="u"),H218," ")</f>
        <v> </v>
      </c>
      <c r="Z218" s="17" t="str">
        <f aca="false">IF((E218="a"),H218," ")</f>
        <v> </v>
      </c>
      <c r="AA218" s="17" t="str">
        <f aca="false">IF((E218="g"),H218," ")</f>
        <v> </v>
      </c>
      <c r="AB218" s="17" t="str">
        <f aca="false">IF((E218="h"),H218," ")</f>
        <v> </v>
      </c>
      <c r="AC218" s="30" t="str">
        <f aca="false">IF((E218="v"),H218," ")</f>
        <v> </v>
      </c>
      <c r="AD218" s="30" t="str">
        <f aca="false">IF((E218="n"),H218," ")</f>
        <v> </v>
      </c>
      <c r="AE218" s="17" t="str">
        <f aca="false">IF((E218="f"),H218," ")</f>
        <v> </v>
      </c>
      <c r="AF218" s="17" t="str">
        <f aca="false">IF((E218="l"),H218," ")</f>
        <v> </v>
      </c>
      <c r="AG218" s="17" t="str">
        <f aca="false">IF((E218="y"),H218," ")</f>
        <v> </v>
      </c>
      <c r="AH218" s="17" t="str">
        <f aca="false">IF((E218="z"),H218," ")</f>
        <v> </v>
      </c>
      <c r="AI218" s="17" t="str">
        <f aca="false">IF((E218="fa"),H218," ")</f>
        <v> </v>
      </c>
      <c r="AJ218" s="17" t="str">
        <f aca="false">IF((E218="e"),H218," ")</f>
        <v> </v>
      </c>
    </row>
    <row r="219" customFormat="false" ht="12" hidden="false" customHeight="false" outlineLevel="0" collapsed="false">
      <c r="A219" s="28"/>
      <c r="E219" s="2" t="str">
        <f aca="false">IF((F219&lt;&gt;0),"Enter Letter"," ")</f>
        <v> </v>
      </c>
      <c r="F219" s="30"/>
      <c r="G219" s="6" t="str">
        <f aca="false">IF(F219&lt;&gt;0,F219*G$2/(100+G$2)," ")</f>
        <v> </v>
      </c>
      <c r="H219" s="6" t="str">
        <f aca="false">IF((F219&lt;&gt;0),F219-G219," ")</f>
        <v> </v>
      </c>
      <c r="I219" s="5"/>
      <c r="L219" s="7" t="str">
        <f aca="false">IF(F219&lt;&gt;0,F219-K219," ")</f>
        <v> </v>
      </c>
      <c r="M219" s="8" t="str">
        <f aca="false">IF((F219-K219)&lt;&gt;0,M$1-A219," ")</f>
        <v> </v>
      </c>
      <c r="N219" s="5"/>
      <c r="O219" s="17" t="str">
        <f aca="false">IF((E219="s"),H219," ")</f>
        <v> </v>
      </c>
      <c r="P219" s="17" t="str">
        <f aca="false">IF((E219="c"),H219," ")</f>
        <v> </v>
      </c>
      <c r="Q219" s="17" t="str">
        <f aca="false">IF((E219="o"),H219," ")</f>
        <v> </v>
      </c>
      <c r="R219" s="17" t="str">
        <f aca="false">IF((E219="d"),H219," ")</f>
        <v> </v>
      </c>
      <c r="S219" s="17" t="str">
        <f aca="false">IF((E219="w"),H219," ")</f>
        <v> </v>
      </c>
      <c r="T219" s="17" t="str">
        <f aca="false">IF((E219="r"),H219," ")</f>
        <v> </v>
      </c>
      <c r="U219" s="17" t="str">
        <f aca="false">IF((E219="p"),H219," ")</f>
        <v> </v>
      </c>
      <c r="V219" s="17" t="str">
        <f aca="false">IF((E219="t"),H219," ")</f>
        <v> </v>
      </c>
      <c r="W219" s="17" t="str">
        <f aca="false">IF((E219="q"),H219," ")</f>
        <v> </v>
      </c>
      <c r="X219" s="17" t="str">
        <f aca="false">IF((E219="m"),H219," ")</f>
        <v> </v>
      </c>
      <c r="Y219" s="17" t="str">
        <f aca="false">IF((E219="u"),H219," ")</f>
        <v> </v>
      </c>
      <c r="Z219" s="17" t="str">
        <f aca="false">IF((E219="a"),H219," ")</f>
        <v> </v>
      </c>
      <c r="AA219" s="17" t="str">
        <f aca="false">IF((E219="g"),H219," ")</f>
        <v> </v>
      </c>
      <c r="AB219" s="17" t="str">
        <f aca="false">IF((E219="h"),H219," ")</f>
        <v> </v>
      </c>
      <c r="AC219" s="30" t="str">
        <f aca="false">IF((E219="v"),H219," ")</f>
        <v> </v>
      </c>
      <c r="AD219" s="30" t="str">
        <f aca="false">IF((E219="n"),H219," ")</f>
        <v> </v>
      </c>
      <c r="AE219" s="17" t="str">
        <f aca="false">IF((E219="f"),H219," ")</f>
        <v> </v>
      </c>
      <c r="AF219" s="17" t="str">
        <f aca="false">IF((E219="l"),H219," ")</f>
        <v> </v>
      </c>
      <c r="AG219" s="17" t="str">
        <f aca="false">IF((E219="y"),H219," ")</f>
        <v> </v>
      </c>
      <c r="AH219" s="17" t="str">
        <f aca="false">IF((E219="z"),H219," ")</f>
        <v> </v>
      </c>
      <c r="AI219" s="17" t="str">
        <f aca="false">IF((E219="fa"),H219," ")</f>
        <v> </v>
      </c>
      <c r="AJ219" s="17" t="str">
        <f aca="false">IF((E219="e"),H219," ")</f>
        <v> </v>
      </c>
    </row>
    <row r="220" customFormat="false" ht="12" hidden="false" customHeight="false" outlineLevel="0" collapsed="false">
      <c r="A220" s="28"/>
      <c r="E220" s="2" t="str">
        <f aca="false">IF((F220&lt;&gt;0),"Enter Letter"," ")</f>
        <v> </v>
      </c>
      <c r="F220" s="30"/>
      <c r="G220" s="6" t="str">
        <f aca="false">IF(F220&lt;&gt;0,F220*G$2/(100+G$2)," ")</f>
        <v> </v>
      </c>
      <c r="H220" s="6" t="str">
        <f aca="false">IF((F220&lt;&gt;0),F220-G220," ")</f>
        <v> </v>
      </c>
      <c r="I220" s="5"/>
      <c r="L220" s="7" t="str">
        <f aca="false">IF(F220&lt;&gt;0,F220-K220," ")</f>
        <v> </v>
      </c>
      <c r="M220" s="8" t="str">
        <f aca="false">IF((F220-K220)&lt;&gt;0,M$1-A220," ")</f>
        <v> </v>
      </c>
      <c r="N220" s="5"/>
      <c r="O220" s="17" t="str">
        <f aca="false">IF((E220="s"),H220," ")</f>
        <v> </v>
      </c>
      <c r="P220" s="17" t="str">
        <f aca="false">IF((E220="c"),H220," ")</f>
        <v> </v>
      </c>
      <c r="Q220" s="17" t="str">
        <f aca="false">IF((E220="o"),H220," ")</f>
        <v> </v>
      </c>
      <c r="R220" s="17" t="str">
        <f aca="false">IF((E220="d"),H220," ")</f>
        <v> </v>
      </c>
      <c r="S220" s="17" t="str">
        <f aca="false">IF((E220="w"),H220," ")</f>
        <v> </v>
      </c>
      <c r="T220" s="17" t="str">
        <f aca="false">IF((E220="r"),H220," ")</f>
        <v> </v>
      </c>
      <c r="U220" s="17" t="str">
        <f aca="false">IF((E220="p"),H220," ")</f>
        <v> </v>
      </c>
      <c r="V220" s="17" t="str">
        <f aca="false">IF((E220="t"),H220," ")</f>
        <v> </v>
      </c>
      <c r="W220" s="17" t="str">
        <f aca="false">IF((E220="q"),H220," ")</f>
        <v> </v>
      </c>
      <c r="X220" s="17" t="str">
        <f aca="false">IF((E220="m"),H220," ")</f>
        <v> </v>
      </c>
      <c r="Y220" s="17" t="str">
        <f aca="false">IF((E220="u"),H220," ")</f>
        <v> </v>
      </c>
      <c r="Z220" s="17" t="str">
        <f aca="false">IF((E220="a"),H220," ")</f>
        <v> </v>
      </c>
      <c r="AA220" s="17" t="str">
        <f aca="false">IF((E220="g"),H220," ")</f>
        <v> </v>
      </c>
      <c r="AB220" s="17" t="str">
        <f aca="false">IF((E220="h"),H220," ")</f>
        <v> </v>
      </c>
      <c r="AC220" s="30" t="str">
        <f aca="false">IF((E220="v"),H220," ")</f>
        <v> </v>
      </c>
      <c r="AD220" s="30" t="str">
        <f aca="false">IF((E220="n"),H220," ")</f>
        <v> </v>
      </c>
      <c r="AE220" s="17" t="str">
        <f aca="false">IF((E220="f"),H220," ")</f>
        <v> </v>
      </c>
      <c r="AF220" s="17" t="str">
        <f aca="false">IF((E220="l"),H220," ")</f>
        <v> </v>
      </c>
      <c r="AG220" s="17" t="str">
        <f aca="false">IF((E220="y"),H220," ")</f>
        <v> </v>
      </c>
      <c r="AH220" s="17" t="str">
        <f aca="false">IF((E220="z"),H220," ")</f>
        <v> </v>
      </c>
      <c r="AI220" s="17" t="str">
        <f aca="false">IF((E220="fa"),H220," ")</f>
        <v> </v>
      </c>
      <c r="AJ220" s="17" t="str">
        <f aca="false">IF((E220="e"),H220," ")</f>
        <v> </v>
      </c>
    </row>
    <row r="221" customFormat="false" ht="12" hidden="false" customHeight="false" outlineLevel="0" collapsed="false">
      <c r="A221" s="28"/>
      <c r="E221" s="2" t="str">
        <f aca="false">IF((F221&lt;&gt;0),"Enter Letter"," ")</f>
        <v> </v>
      </c>
      <c r="F221" s="30"/>
      <c r="G221" s="6" t="str">
        <f aca="false">IF(F221&lt;&gt;0,F221*G$2/(100+G$2)," ")</f>
        <v> </v>
      </c>
      <c r="H221" s="6" t="str">
        <f aca="false">IF((F221&lt;&gt;0),F221-G221," ")</f>
        <v> </v>
      </c>
      <c r="I221" s="5"/>
      <c r="L221" s="7" t="str">
        <f aca="false">IF(F221&lt;&gt;0,F221-K221," ")</f>
        <v> </v>
      </c>
      <c r="M221" s="8" t="str">
        <f aca="false">IF((F221-K221)&lt;&gt;0,M$1-A221," ")</f>
        <v> </v>
      </c>
      <c r="N221" s="5"/>
      <c r="O221" s="17" t="str">
        <f aca="false">IF((E221="s"),H221," ")</f>
        <v> </v>
      </c>
      <c r="P221" s="17" t="str">
        <f aca="false">IF((E221="c"),H221," ")</f>
        <v> </v>
      </c>
      <c r="Q221" s="17" t="str">
        <f aca="false">IF((E221="o"),H221," ")</f>
        <v> </v>
      </c>
      <c r="R221" s="17" t="str">
        <f aca="false">IF((E221="d"),H221," ")</f>
        <v> </v>
      </c>
      <c r="S221" s="17" t="str">
        <f aca="false">IF((E221="w"),H221," ")</f>
        <v> </v>
      </c>
      <c r="T221" s="17" t="str">
        <f aca="false">IF((E221="r"),H221," ")</f>
        <v> </v>
      </c>
      <c r="U221" s="17" t="str">
        <f aca="false">IF((E221="p"),H221," ")</f>
        <v> </v>
      </c>
      <c r="V221" s="17" t="str">
        <f aca="false">IF((E221="t"),H221," ")</f>
        <v> </v>
      </c>
      <c r="W221" s="17" t="str">
        <f aca="false">IF((E221="q"),H221," ")</f>
        <v> </v>
      </c>
      <c r="X221" s="17" t="str">
        <f aca="false">IF((E221="m"),H221," ")</f>
        <v> </v>
      </c>
      <c r="Y221" s="17" t="str">
        <f aca="false">IF((E221="u"),H221," ")</f>
        <v> </v>
      </c>
      <c r="Z221" s="17" t="str">
        <f aca="false">IF((E221="a"),H221," ")</f>
        <v> </v>
      </c>
      <c r="AA221" s="17" t="str">
        <f aca="false">IF((E221="g"),H221," ")</f>
        <v> </v>
      </c>
      <c r="AB221" s="17" t="str">
        <f aca="false">IF((E221="h"),H221," ")</f>
        <v> </v>
      </c>
      <c r="AC221" s="30" t="str">
        <f aca="false">IF((E221="v"),H221," ")</f>
        <v> </v>
      </c>
      <c r="AD221" s="30" t="str">
        <f aca="false">IF((E221="n"),H221," ")</f>
        <v> </v>
      </c>
      <c r="AE221" s="17" t="str">
        <f aca="false">IF((E221="f"),H221," ")</f>
        <v> </v>
      </c>
      <c r="AF221" s="17" t="str">
        <f aca="false">IF((E221="l"),H221," ")</f>
        <v> </v>
      </c>
      <c r="AG221" s="17" t="str">
        <f aca="false">IF((E221="y"),H221," ")</f>
        <v> </v>
      </c>
      <c r="AH221" s="17" t="str">
        <f aca="false">IF((E221="z"),H221," ")</f>
        <v> </v>
      </c>
      <c r="AI221" s="17" t="str">
        <f aca="false">IF((E221="fa"),H221," ")</f>
        <v> </v>
      </c>
      <c r="AJ221" s="17" t="str">
        <f aca="false">IF((E221="e"),H221," ")</f>
        <v> </v>
      </c>
    </row>
    <row r="222" customFormat="false" ht="12" hidden="false" customHeight="false" outlineLevel="0" collapsed="false">
      <c r="A222" s="28"/>
      <c r="E222" s="2" t="str">
        <f aca="false">IF((F222&lt;&gt;0),"Enter Letter"," ")</f>
        <v> </v>
      </c>
      <c r="F222" s="30"/>
      <c r="G222" s="6" t="str">
        <f aca="false">IF(F222&lt;&gt;0,F222*G$2/(100+G$2)," ")</f>
        <v> </v>
      </c>
      <c r="H222" s="6" t="str">
        <f aca="false">IF((F222&lt;&gt;0),F222-G222," ")</f>
        <v> </v>
      </c>
      <c r="I222" s="5"/>
      <c r="L222" s="7" t="str">
        <f aca="false">IF(F222&lt;&gt;0,F222-K222," ")</f>
        <v> </v>
      </c>
      <c r="M222" s="8" t="str">
        <f aca="false">IF((F222-K222)&lt;&gt;0,M$1-A222," ")</f>
        <v> </v>
      </c>
      <c r="N222" s="5"/>
      <c r="O222" s="17" t="str">
        <f aca="false">IF((E222="s"),H222," ")</f>
        <v> </v>
      </c>
      <c r="P222" s="17" t="str">
        <f aca="false">IF((E222="c"),H222," ")</f>
        <v> </v>
      </c>
      <c r="Q222" s="17" t="str">
        <f aca="false">IF((E222="o"),H222," ")</f>
        <v> </v>
      </c>
      <c r="R222" s="17" t="str">
        <f aca="false">IF((E222="d"),H222," ")</f>
        <v> </v>
      </c>
      <c r="S222" s="17" t="str">
        <f aca="false">IF((E222="w"),H222," ")</f>
        <v> </v>
      </c>
      <c r="T222" s="17" t="str">
        <f aca="false">IF((E222="r"),H222," ")</f>
        <v> </v>
      </c>
      <c r="U222" s="17" t="str">
        <f aca="false">IF((E222="p"),H222," ")</f>
        <v> </v>
      </c>
      <c r="V222" s="17" t="str">
        <f aca="false">IF((E222="t"),H222," ")</f>
        <v> </v>
      </c>
      <c r="W222" s="17" t="str">
        <f aca="false">IF((E222="q"),H222," ")</f>
        <v> </v>
      </c>
      <c r="X222" s="17" t="str">
        <f aca="false">IF((E222="m"),H222," ")</f>
        <v> </v>
      </c>
      <c r="Y222" s="17" t="str">
        <f aca="false">IF((E222="u"),H222," ")</f>
        <v> </v>
      </c>
      <c r="Z222" s="17" t="str">
        <f aca="false">IF((E222="a"),H222," ")</f>
        <v> </v>
      </c>
      <c r="AA222" s="17" t="str">
        <f aca="false">IF((E222="g"),H222," ")</f>
        <v> </v>
      </c>
      <c r="AB222" s="17" t="str">
        <f aca="false">IF((E222="h"),H222," ")</f>
        <v> </v>
      </c>
      <c r="AC222" s="30" t="str">
        <f aca="false">IF((E222="v"),H222," ")</f>
        <v> </v>
      </c>
      <c r="AD222" s="30" t="str">
        <f aca="false">IF((E222="n"),H222," ")</f>
        <v> </v>
      </c>
      <c r="AE222" s="17" t="str">
        <f aca="false">IF((E222="f"),H222," ")</f>
        <v> </v>
      </c>
      <c r="AF222" s="17" t="str">
        <f aca="false">IF((E222="l"),H222," ")</f>
        <v> </v>
      </c>
      <c r="AG222" s="17" t="str">
        <f aca="false">IF((E222="y"),H222," ")</f>
        <v> </v>
      </c>
      <c r="AH222" s="17" t="str">
        <f aca="false">IF((E222="z"),H222," ")</f>
        <v> </v>
      </c>
      <c r="AI222" s="17" t="str">
        <f aca="false">IF((E222="fa"),H222," ")</f>
        <v> </v>
      </c>
      <c r="AJ222" s="17" t="str">
        <f aca="false">IF((E222="e"),H222," ")</f>
        <v> </v>
      </c>
    </row>
    <row r="223" customFormat="false" ht="12" hidden="false" customHeight="false" outlineLevel="0" collapsed="false">
      <c r="A223" s="28"/>
      <c r="E223" s="2" t="str">
        <f aca="false">IF((F223&lt;&gt;0),"Enter Letter"," ")</f>
        <v> </v>
      </c>
      <c r="F223" s="30"/>
      <c r="G223" s="6" t="str">
        <f aca="false">IF(F223&lt;&gt;0,F223*G$2/(100+G$2)," ")</f>
        <v> </v>
      </c>
      <c r="H223" s="6" t="str">
        <f aca="false">IF((F223&lt;&gt;0),F223-G223," ")</f>
        <v> </v>
      </c>
      <c r="I223" s="5"/>
      <c r="L223" s="7" t="str">
        <f aca="false">IF(F223&lt;&gt;0,F223-K223," ")</f>
        <v> </v>
      </c>
      <c r="M223" s="8" t="str">
        <f aca="false">IF((F223-K223)&lt;&gt;0,M$1-A223," ")</f>
        <v> </v>
      </c>
      <c r="N223" s="5"/>
      <c r="O223" s="17" t="str">
        <f aca="false">IF((E223="s"),H223," ")</f>
        <v> </v>
      </c>
      <c r="P223" s="17" t="str">
        <f aca="false">IF((E223="c"),H223," ")</f>
        <v> </v>
      </c>
      <c r="Q223" s="17" t="str">
        <f aca="false">IF((E223="o"),H223," ")</f>
        <v> </v>
      </c>
      <c r="R223" s="17" t="str">
        <f aca="false">IF((E223="d"),H223," ")</f>
        <v> </v>
      </c>
      <c r="S223" s="17" t="str">
        <f aca="false">IF((E223="w"),H223," ")</f>
        <v> </v>
      </c>
      <c r="T223" s="17" t="str">
        <f aca="false">IF((E223="r"),H223," ")</f>
        <v> </v>
      </c>
      <c r="U223" s="17" t="str">
        <f aca="false">IF((E223="p"),H223," ")</f>
        <v> </v>
      </c>
      <c r="V223" s="17" t="str">
        <f aca="false">IF((E223="t"),H223," ")</f>
        <v> </v>
      </c>
      <c r="W223" s="17" t="str">
        <f aca="false">IF((E223="q"),H223," ")</f>
        <v> </v>
      </c>
      <c r="X223" s="17" t="str">
        <f aca="false">IF((E223="m"),H223," ")</f>
        <v> </v>
      </c>
      <c r="Y223" s="17" t="str">
        <f aca="false">IF((E223="u"),H223," ")</f>
        <v> </v>
      </c>
      <c r="Z223" s="17" t="str">
        <f aca="false">IF((E223="a"),H223," ")</f>
        <v> </v>
      </c>
      <c r="AA223" s="17" t="str">
        <f aca="false">IF((E223="g"),H223," ")</f>
        <v> </v>
      </c>
      <c r="AB223" s="17" t="str">
        <f aca="false">IF((E223="h"),H223," ")</f>
        <v> </v>
      </c>
      <c r="AC223" s="30" t="str">
        <f aca="false">IF((E223="v"),H223," ")</f>
        <v> </v>
      </c>
      <c r="AD223" s="30" t="str">
        <f aca="false">IF((E223="n"),H223," ")</f>
        <v> </v>
      </c>
      <c r="AE223" s="17" t="str">
        <f aca="false">IF((E223="f"),H223," ")</f>
        <v> </v>
      </c>
      <c r="AF223" s="17" t="str">
        <f aca="false">IF((E223="l"),H223," ")</f>
        <v> </v>
      </c>
      <c r="AG223" s="17" t="str">
        <f aca="false">IF((E223="y"),H223," ")</f>
        <v> </v>
      </c>
      <c r="AH223" s="17" t="str">
        <f aca="false">IF((E223="z"),H223," ")</f>
        <v> </v>
      </c>
      <c r="AI223" s="17" t="str">
        <f aca="false">IF((E223="fa"),H223," ")</f>
        <v> </v>
      </c>
      <c r="AJ223" s="17" t="str">
        <f aca="false">IF((E223="e"),H223," ")</f>
        <v> </v>
      </c>
    </row>
    <row r="224" customFormat="false" ht="12" hidden="false" customHeight="false" outlineLevel="0" collapsed="false">
      <c r="A224" s="28"/>
      <c r="E224" s="2" t="str">
        <f aca="false">IF((F224&lt;&gt;0),"Enter Letter"," ")</f>
        <v> </v>
      </c>
      <c r="F224" s="30"/>
      <c r="G224" s="6" t="str">
        <f aca="false">IF(F224&lt;&gt;0,F224*G$2/(100+G$2)," ")</f>
        <v> </v>
      </c>
      <c r="H224" s="6" t="str">
        <f aca="false">IF((F224&lt;&gt;0),F224-G224," ")</f>
        <v> </v>
      </c>
      <c r="I224" s="5"/>
      <c r="L224" s="7" t="str">
        <f aca="false">IF(F224&lt;&gt;0,F224-K224," ")</f>
        <v> </v>
      </c>
      <c r="M224" s="8" t="str">
        <f aca="false">IF((F224-K224)&lt;&gt;0,M$1-A224," ")</f>
        <v> </v>
      </c>
      <c r="N224" s="5"/>
      <c r="O224" s="17" t="str">
        <f aca="false">IF((E224="s"),H224," ")</f>
        <v> </v>
      </c>
      <c r="P224" s="17" t="str">
        <f aca="false">IF((E224="c"),H224," ")</f>
        <v> </v>
      </c>
      <c r="Q224" s="17" t="str">
        <f aca="false">IF((E224="o"),H224," ")</f>
        <v> </v>
      </c>
      <c r="R224" s="17" t="str">
        <f aca="false">IF((E224="d"),H224," ")</f>
        <v> </v>
      </c>
      <c r="S224" s="17" t="str">
        <f aca="false">IF((E224="w"),H224," ")</f>
        <v> </v>
      </c>
      <c r="T224" s="17" t="str">
        <f aca="false">IF((E224="r"),H224," ")</f>
        <v> </v>
      </c>
      <c r="U224" s="17" t="str">
        <f aca="false">IF((E224="p"),H224," ")</f>
        <v> </v>
      </c>
      <c r="V224" s="17" t="str">
        <f aca="false">IF((E224="t"),H224," ")</f>
        <v> </v>
      </c>
      <c r="W224" s="17" t="str">
        <f aca="false">IF((E224="q"),H224," ")</f>
        <v> </v>
      </c>
      <c r="X224" s="17" t="str">
        <f aca="false">IF((E224="m"),H224," ")</f>
        <v> </v>
      </c>
      <c r="Y224" s="17" t="str">
        <f aca="false">IF((E224="u"),H224," ")</f>
        <v> </v>
      </c>
      <c r="Z224" s="17" t="str">
        <f aca="false">IF((E224="a"),H224," ")</f>
        <v> </v>
      </c>
      <c r="AA224" s="17" t="str">
        <f aca="false">IF((E224="g"),H224," ")</f>
        <v> </v>
      </c>
      <c r="AB224" s="17" t="str">
        <f aca="false">IF((E224="h"),H224," ")</f>
        <v> </v>
      </c>
      <c r="AC224" s="30" t="str">
        <f aca="false">IF((E224="v"),H224," ")</f>
        <v> </v>
      </c>
      <c r="AD224" s="30" t="str">
        <f aca="false">IF((E224="n"),H224," ")</f>
        <v> </v>
      </c>
      <c r="AE224" s="17" t="str">
        <f aca="false">IF((E224="f"),H224," ")</f>
        <v> </v>
      </c>
      <c r="AF224" s="17" t="str">
        <f aca="false">IF((E224="l"),H224," ")</f>
        <v> </v>
      </c>
      <c r="AG224" s="17" t="str">
        <f aca="false">IF((E224="y"),H224," ")</f>
        <v> </v>
      </c>
      <c r="AH224" s="17" t="str">
        <f aca="false">IF((E224="z"),H224," ")</f>
        <v> </v>
      </c>
      <c r="AI224" s="17" t="str">
        <f aca="false">IF((E224="fa"),H224," ")</f>
        <v> </v>
      </c>
      <c r="AJ224" s="17" t="str">
        <f aca="false">IF((E224="e"),H224," ")</f>
        <v> </v>
      </c>
    </row>
    <row r="225" customFormat="false" ht="12" hidden="false" customHeight="false" outlineLevel="0" collapsed="false">
      <c r="A225" s="28"/>
      <c r="E225" s="2" t="str">
        <f aca="false">IF((F225&lt;&gt;0),"Enter Letter"," ")</f>
        <v> </v>
      </c>
      <c r="F225" s="30"/>
      <c r="G225" s="6" t="str">
        <f aca="false">IF(F225&lt;&gt;0,F225*G$2/(100+G$2)," ")</f>
        <v> </v>
      </c>
      <c r="H225" s="6" t="str">
        <f aca="false">IF((F225&lt;&gt;0),F225-G225," ")</f>
        <v> </v>
      </c>
      <c r="I225" s="5"/>
      <c r="L225" s="7" t="str">
        <f aca="false">IF(F225&lt;&gt;0,F225-K225," ")</f>
        <v> </v>
      </c>
      <c r="M225" s="8" t="str">
        <f aca="false">IF((F225-K225)&lt;&gt;0,M$1-A225," ")</f>
        <v> </v>
      </c>
      <c r="N225" s="5"/>
      <c r="O225" s="17" t="str">
        <f aca="false">IF((E225="s"),H225," ")</f>
        <v> </v>
      </c>
      <c r="P225" s="17" t="str">
        <f aca="false">IF((E225="c"),H225," ")</f>
        <v> </v>
      </c>
      <c r="Q225" s="17" t="str">
        <f aca="false">IF((E225="o"),H225," ")</f>
        <v> </v>
      </c>
      <c r="R225" s="17" t="str">
        <f aca="false">IF((E225="d"),H225," ")</f>
        <v> </v>
      </c>
      <c r="S225" s="17" t="str">
        <f aca="false">IF((E225="w"),H225," ")</f>
        <v> </v>
      </c>
      <c r="T225" s="17" t="str">
        <f aca="false">IF((E225="r"),H225," ")</f>
        <v> </v>
      </c>
      <c r="U225" s="17" t="str">
        <f aca="false">IF((E225="p"),H225," ")</f>
        <v> </v>
      </c>
      <c r="V225" s="17" t="str">
        <f aca="false">IF((E225="t"),H225," ")</f>
        <v> </v>
      </c>
      <c r="W225" s="17" t="str">
        <f aca="false">IF((E225="q"),H225," ")</f>
        <v> </v>
      </c>
      <c r="X225" s="17" t="str">
        <f aca="false">IF((E225="m"),H225," ")</f>
        <v> </v>
      </c>
      <c r="Y225" s="17" t="str">
        <f aca="false">IF((E225="u"),H225," ")</f>
        <v> </v>
      </c>
      <c r="Z225" s="17" t="str">
        <f aca="false">IF((E225="a"),H225," ")</f>
        <v> </v>
      </c>
      <c r="AA225" s="17" t="str">
        <f aca="false">IF((E225="g"),H225," ")</f>
        <v> </v>
      </c>
      <c r="AB225" s="17" t="str">
        <f aca="false">IF((E225="h"),H225," ")</f>
        <v> </v>
      </c>
      <c r="AC225" s="30" t="str">
        <f aca="false">IF((E225="v"),H225," ")</f>
        <v> </v>
      </c>
      <c r="AD225" s="30" t="str">
        <f aca="false">IF((E225="n"),H225," ")</f>
        <v> </v>
      </c>
      <c r="AE225" s="17" t="str">
        <f aca="false">IF((E225="f"),H225," ")</f>
        <v> </v>
      </c>
      <c r="AF225" s="17" t="str">
        <f aca="false">IF((E225="l"),H225," ")</f>
        <v> </v>
      </c>
      <c r="AG225" s="17" t="str">
        <f aca="false">IF((E225="y"),H225," ")</f>
        <v> </v>
      </c>
      <c r="AH225" s="17" t="str">
        <f aca="false">IF((E225="z"),H225," ")</f>
        <v> </v>
      </c>
      <c r="AI225" s="17" t="str">
        <f aca="false">IF((E225="fa"),H225," ")</f>
        <v> </v>
      </c>
      <c r="AJ225" s="17" t="str">
        <f aca="false">IF((E225="e"),H225," ")</f>
        <v> </v>
      </c>
    </row>
    <row r="226" customFormat="false" ht="12" hidden="false" customHeight="false" outlineLevel="0" collapsed="false">
      <c r="A226" s="28"/>
      <c r="E226" s="2" t="str">
        <f aca="false">IF((F226&lt;&gt;0),"Enter Letter"," ")</f>
        <v> </v>
      </c>
      <c r="F226" s="30"/>
      <c r="G226" s="6" t="str">
        <f aca="false">IF(F226&lt;&gt;0,F226*G$2/(100+G$2)," ")</f>
        <v> </v>
      </c>
      <c r="H226" s="6" t="str">
        <f aca="false">IF((F226&lt;&gt;0),F226-G226," ")</f>
        <v> </v>
      </c>
      <c r="I226" s="5"/>
      <c r="L226" s="7" t="str">
        <f aca="false">IF(F226&lt;&gt;0,F226-K226," ")</f>
        <v> </v>
      </c>
      <c r="M226" s="8" t="str">
        <f aca="false">IF((F226-K226)&lt;&gt;0,M$1-A226," ")</f>
        <v> </v>
      </c>
      <c r="N226" s="5"/>
      <c r="O226" s="17" t="str">
        <f aca="false">IF((E226="s"),H226," ")</f>
        <v> </v>
      </c>
      <c r="P226" s="17" t="str">
        <f aca="false">IF((E226="c"),H226," ")</f>
        <v> </v>
      </c>
      <c r="Q226" s="17" t="str">
        <f aca="false">IF((E226="o"),H226," ")</f>
        <v> </v>
      </c>
      <c r="R226" s="17" t="str">
        <f aca="false">IF((E226="d"),H226," ")</f>
        <v> </v>
      </c>
      <c r="S226" s="17" t="str">
        <f aca="false">IF((E226="w"),H226," ")</f>
        <v> </v>
      </c>
      <c r="T226" s="17" t="str">
        <f aca="false">IF((E226="r"),H226," ")</f>
        <v> </v>
      </c>
      <c r="U226" s="17" t="str">
        <f aca="false">IF((E226="p"),H226," ")</f>
        <v> </v>
      </c>
      <c r="V226" s="17" t="str">
        <f aca="false">IF((E226="t"),H226," ")</f>
        <v> </v>
      </c>
      <c r="W226" s="17" t="str">
        <f aca="false">IF((E226="q"),H226," ")</f>
        <v> </v>
      </c>
      <c r="X226" s="17" t="str">
        <f aca="false">IF((E226="m"),H226," ")</f>
        <v> </v>
      </c>
      <c r="Y226" s="17" t="str">
        <f aca="false">IF((E226="u"),H226," ")</f>
        <v> </v>
      </c>
      <c r="Z226" s="17" t="str">
        <f aca="false">IF((E226="a"),H226," ")</f>
        <v> </v>
      </c>
      <c r="AA226" s="17" t="str">
        <f aca="false">IF((E226="g"),H226," ")</f>
        <v> </v>
      </c>
      <c r="AB226" s="17" t="str">
        <f aca="false">IF((E226="h"),H226," ")</f>
        <v> </v>
      </c>
      <c r="AC226" s="30" t="str">
        <f aca="false">IF((E226="v"),H226," ")</f>
        <v> </v>
      </c>
      <c r="AD226" s="30" t="str">
        <f aca="false">IF((E226="n"),H226," ")</f>
        <v> </v>
      </c>
      <c r="AE226" s="17" t="str">
        <f aca="false">IF((E226="f"),H226," ")</f>
        <v> </v>
      </c>
      <c r="AF226" s="17" t="str">
        <f aca="false">IF((E226="l"),H226," ")</f>
        <v> </v>
      </c>
      <c r="AG226" s="17" t="str">
        <f aca="false">IF((E226="y"),H226," ")</f>
        <v> </v>
      </c>
      <c r="AH226" s="17" t="str">
        <f aca="false">IF((E226="z"),H226," ")</f>
        <v> </v>
      </c>
      <c r="AI226" s="17" t="str">
        <f aca="false">IF((E226="fa"),H226," ")</f>
        <v> </v>
      </c>
      <c r="AJ226" s="17" t="str">
        <f aca="false">IF((E226="e"),H226," ")</f>
        <v> </v>
      </c>
    </row>
    <row r="227" customFormat="false" ht="12" hidden="false" customHeight="false" outlineLevel="0" collapsed="false">
      <c r="A227" s="28"/>
      <c r="E227" s="2" t="str">
        <f aca="false">IF((F227&lt;&gt;0),"Enter Letter"," ")</f>
        <v> </v>
      </c>
      <c r="F227" s="30"/>
      <c r="G227" s="6" t="str">
        <f aca="false">IF(F227&lt;&gt;0,F227*G$2/(100+G$2)," ")</f>
        <v> </v>
      </c>
      <c r="H227" s="6" t="str">
        <f aca="false">IF((F227&lt;&gt;0),F227-G227," ")</f>
        <v> </v>
      </c>
      <c r="I227" s="5"/>
      <c r="L227" s="7" t="str">
        <f aca="false">IF(F227&lt;&gt;0,F227-K227," ")</f>
        <v> </v>
      </c>
      <c r="M227" s="8" t="str">
        <f aca="false">IF((F227-K227)&lt;&gt;0,M$1-A227," ")</f>
        <v> </v>
      </c>
      <c r="N227" s="5"/>
      <c r="O227" s="17" t="str">
        <f aca="false">IF((E227="s"),H227," ")</f>
        <v> </v>
      </c>
      <c r="P227" s="17" t="str">
        <f aca="false">IF((E227="c"),H227," ")</f>
        <v> </v>
      </c>
      <c r="Q227" s="17" t="str">
        <f aca="false">IF((E227="o"),H227," ")</f>
        <v> </v>
      </c>
      <c r="R227" s="17" t="str">
        <f aca="false">IF((E227="d"),H227," ")</f>
        <v> </v>
      </c>
      <c r="S227" s="17" t="str">
        <f aca="false">IF((E227="w"),H227," ")</f>
        <v> </v>
      </c>
      <c r="T227" s="17" t="str">
        <f aca="false">IF((E227="r"),H227," ")</f>
        <v> </v>
      </c>
      <c r="U227" s="17" t="str">
        <f aca="false">IF((E227="p"),H227," ")</f>
        <v> </v>
      </c>
      <c r="V227" s="17" t="str">
        <f aca="false">IF((E227="t"),H227," ")</f>
        <v> </v>
      </c>
      <c r="W227" s="17" t="str">
        <f aca="false">IF((E227="q"),H227," ")</f>
        <v> </v>
      </c>
      <c r="X227" s="17" t="str">
        <f aca="false">IF((E227="m"),H227," ")</f>
        <v> </v>
      </c>
      <c r="Y227" s="17" t="str">
        <f aca="false">IF((E227="u"),H227," ")</f>
        <v> </v>
      </c>
      <c r="Z227" s="17" t="str">
        <f aca="false">IF((E227="a"),H227," ")</f>
        <v> </v>
      </c>
      <c r="AA227" s="17" t="str">
        <f aca="false">IF((E227="g"),H227," ")</f>
        <v> </v>
      </c>
      <c r="AB227" s="17" t="str">
        <f aca="false">IF((E227="h"),H227," ")</f>
        <v> </v>
      </c>
      <c r="AC227" s="30" t="str">
        <f aca="false">IF((E227="v"),H227," ")</f>
        <v> </v>
      </c>
      <c r="AD227" s="30" t="str">
        <f aca="false">IF((E227="n"),H227," ")</f>
        <v> </v>
      </c>
      <c r="AE227" s="17" t="str">
        <f aca="false">IF((E227="f"),H227," ")</f>
        <v> </v>
      </c>
      <c r="AF227" s="17" t="str">
        <f aca="false">IF((E227="l"),H227," ")</f>
        <v> </v>
      </c>
      <c r="AG227" s="17" t="str">
        <f aca="false">IF((E227="y"),H227," ")</f>
        <v> </v>
      </c>
      <c r="AH227" s="17" t="str">
        <f aca="false">IF((E227="z"),H227," ")</f>
        <v> </v>
      </c>
      <c r="AI227" s="17" t="str">
        <f aca="false">IF((E227="fa"),H227," ")</f>
        <v> </v>
      </c>
      <c r="AJ227" s="17" t="str">
        <f aca="false">IF((E227="e"),H227," ")</f>
        <v> </v>
      </c>
    </row>
    <row r="228" customFormat="false" ht="12" hidden="false" customHeight="false" outlineLevel="0" collapsed="false">
      <c r="A228" s="28"/>
      <c r="E228" s="2" t="str">
        <f aca="false">IF((F228&lt;&gt;0),"Enter Letter"," ")</f>
        <v> </v>
      </c>
      <c r="F228" s="30"/>
      <c r="G228" s="6" t="str">
        <f aca="false">IF(F228&lt;&gt;0,F228*G$2/(100+G$2)," ")</f>
        <v> </v>
      </c>
      <c r="H228" s="6" t="str">
        <f aca="false">IF((F228&lt;&gt;0),F228-G228," ")</f>
        <v> </v>
      </c>
      <c r="I228" s="5"/>
      <c r="L228" s="7" t="str">
        <f aca="false">IF(F228&lt;&gt;0,F228-K228," ")</f>
        <v> </v>
      </c>
      <c r="M228" s="8" t="str">
        <f aca="false">IF((F228-K228)&lt;&gt;0,M$1-A228," ")</f>
        <v> </v>
      </c>
      <c r="N228" s="5"/>
      <c r="O228" s="17" t="str">
        <f aca="false">IF((E228="s"),H228," ")</f>
        <v> </v>
      </c>
      <c r="P228" s="17" t="str">
        <f aca="false">IF((E228="c"),H228," ")</f>
        <v> </v>
      </c>
      <c r="Q228" s="17" t="str">
        <f aca="false">IF((E228="o"),H228," ")</f>
        <v> </v>
      </c>
      <c r="R228" s="17" t="str">
        <f aca="false">IF((E228="d"),H228," ")</f>
        <v> </v>
      </c>
      <c r="S228" s="17" t="str">
        <f aca="false">IF((E228="w"),H228," ")</f>
        <v> </v>
      </c>
      <c r="T228" s="17" t="str">
        <f aca="false">IF((E228="r"),H228," ")</f>
        <v> </v>
      </c>
      <c r="U228" s="17" t="str">
        <f aca="false">IF((E228="p"),H228," ")</f>
        <v> </v>
      </c>
      <c r="V228" s="17" t="str">
        <f aca="false">IF((E228="t"),H228," ")</f>
        <v> </v>
      </c>
      <c r="W228" s="17" t="str">
        <f aca="false">IF((E228="q"),H228," ")</f>
        <v> </v>
      </c>
      <c r="X228" s="17" t="str">
        <f aca="false">IF((E228="m"),H228," ")</f>
        <v> </v>
      </c>
      <c r="Y228" s="17" t="str">
        <f aca="false">IF((E228="u"),H228," ")</f>
        <v> </v>
      </c>
      <c r="Z228" s="17" t="str">
        <f aca="false">IF((E228="a"),H228," ")</f>
        <v> </v>
      </c>
      <c r="AA228" s="17" t="str">
        <f aca="false">IF((E228="g"),H228," ")</f>
        <v> </v>
      </c>
      <c r="AB228" s="17" t="str">
        <f aca="false">IF((E228="h"),H228," ")</f>
        <v> </v>
      </c>
      <c r="AC228" s="30" t="str">
        <f aca="false">IF((E228="v"),H228," ")</f>
        <v> </v>
      </c>
      <c r="AD228" s="30" t="str">
        <f aca="false">IF((E228="n"),H228," ")</f>
        <v> </v>
      </c>
      <c r="AE228" s="17" t="str">
        <f aca="false">IF((E228="f"),H228," ")</f>
        <v> </v>
      </c>
      <c r="AF228" s="17" t="str">
        <f aca="false">IF((E228="l"),H228," ")</f>
        <v> </v>
      </c>
      <c r="AG228" s="17" t="str">
        <f aca="false">IF((E228="y"),H228," ")</f>
        <v> </v>
      </c>
      <c r="AH228" s="17" t="str">
        <f aca="false">IF((E228="z"),H228," ")</f>
        <v> </v>
      </c>
      <c r="AI228" s="17" t="str">
        <f aca="false">IF((E228="fa"),H228," ")</f>
        <v> </v>
      </c>
      <c r="AJ228" s="17" t="str">
        <f aca="false">IF((E228="e"),H228," ")</f>
        <v> </v>
      </c>
    </row>
    <row r="229" customFormat="false" ht="12" hidden="false" customHeight="false" outlineLevel="0" collapsed="false">
      <c r="A229" s="28"/>
      <c r="E229" s="2" t="str">
        <f aca="false">IF((F229&lt;&gt;0),"Enter Letter"," ")</f>
        <v> </v>
      </c>
      <c r="F229" s="30"/>
      <c r="G229" s="6" t="str">
        <f aca="false">IF(F229&lt;&gt;0,F229*G$2/(100+G$2)," ")</f>
        <v> </v>
      </c>
      <c r="H229" s="6" t="str">
        <f aca="false">IF((F229&lt;&gt;0),F229-G229," ")</f>
        <v> </v>
      </c>
      <c r="I229" s="5"/>
      <c r="L229" s="7" t="str">
        <f aca="false">IF(F229&lt;&gt;0,F229-K229," ")</f>
        <v> </v>
      </c>
      <c r="M229" s="8" t="str">
        <f aca="false">IF((F229-K229)&lt;&gt;0,M$1-A229," ")</f>
        <v> </v>
      </c>
      <c r="N229" s="5"/>
      <c r="O229" s="17" t="str">
        <f aca="false">IF((E229="s"),H229," ")</f>
        <v> </v>
      </c>
      <c r="P229" s="17" t="str">
        <f aca="false">IF((E229="c"),H229," ")</f>
        <v> </v>
      </c>
      <c r="Q229" s="17" t="str">
        <f aca="false">IF((E229="o"),H229," ")</f>
        <v> </v>
      </c>
      <c r="R229" s="17" t="str">
        <f aca="false">IF((E229="d"),H229," ")</f>
        <v> </v>
      </c>
      <c r="S229" s="17" t="str">
        <f aca="false">IF((E229="w"),H229," ")</f>
        <v> </v>
      </c>
      <c r="T229" s="17" t="str">
        <f aca="false">IF((E229="r"),H229," ")</f>
        <v> </v>
      </c>
      <c r="U229" s="17" t="str">
        <f aca="false">IF((E229="p"),H229," ")</f>
        <v> </v>
      </c>
      <c r="V229" s="17" t="str">
        <f aca="false">IF((E229="t"),H229," ")</f>
        <v> </v>
      </c>
      <c r="W229" s="17" t="str">
        <f aca="false">IF((E229="q"),H229," ")</f>
        <v> </v>
      </c>
      <c r="X229" s="17" t="str">
        <f aca="false">IF((E229="m"),H229," ")</f>
        <v> </v>
      </c>
      <c r="Y229" s="17" t="str">
        <f aca="false">IF((E229="u"),H229," ")</f>
        <v> </v>
      </c>
      <c r="Z229" s="17" t="str">
        <f aca="false">IF((E229="a"),H229," ")</f>
        <v> </v>
      </c>
      <c r="AA229" s="17" t="str">
        <f aca="false">IF((E229="g"),H229," ")</f>
        <v> </v>
      </c>
      <c r="AB229" s="17" t="str">
        <f aca="false">IF((E229="h"),H229," ")</f>
        <v> </v>
      </c>
      <c r="AC229" s="30" t="str">
        <f aca="false">IF((E229="v"),H229," ")</f>
        <v> </v>
      </c>
      <c r="AD229" s="30" t="str">
        <f aca="false">IF((E229="n"),H229," ")</f>
        <v> </v>
      </c>
      <c r="AE229" s="17" t="str">
        <f aca="false">IF((E229="f"),H229," ")</f>
        <v> </v>
      </c>
      <c r="AF229" s="17" t="str">
        <f aca="false">IF((E229="l"),H229," ")</f>
        <v> </v>
      </c>
      <c r="AG229" s="17" t="str">
        <f aca="false">IF((E229="y"),H229," ")</f>
        <v> </v>
      </c>
      <c r="AH229" s="17" t="str">
        <f aca="false">IF((E229="z"),H229," ")</f>
        <v> </v>
      </c>
      <c r="AI229" s="17" t="str">
        <f aca="false">IF((E229="fa"),H229," ")</f>
        <v> </v>
      </c>
      <c r="AJ229" s="17" t="str">
        <f aca="false">IF((E229="e"),H229," ")</f>
        <v> </v>
      </c>
    </row>
    <row r="230" customFormat="false" ht="12" hidden="false" customHeight="false" outlineLevel="0" collapsed="false">
      <c r="A230" s="28"/>
      <c r="E230" s="2" t="str">
        <f aca="false">IF((F230&lt;&gt;0),"Enter Letter"," ")</f>
        <v> </v>
      </c>
      <c r="F230" s="30"/>
      <c r="G230" s="6" t="str">
        <f aca="false">IF(F230&lt;&gt;0,F230*G$2/(100+G$2)," ")</f>
        <v> </v>
      </c>
      <c r="H230" s="6" t="str">
        <f aca="false">IF((F230&lt;&gt;0),F230-G230," ")</f>
        <v> </v>
      </c>
      <c r="I230" s="5"/>
      <c r="L230" s="7" t="str">
        <f aca="false">IF(F230&lt;&gt;0,F230-K230," ")</f>
        <v> </v>
      </c>
      <c r="M230" s="8" t="str">
        <f aca="false">IF((F230-K230)&lt;&gt;0,M$1-A230," ")</f>
        <v> </v>
      </c>
      <c r="N230" s="5"/>
      <c r="O230" s="17" t="str">
        <f aca="false">IF((E230="s"),H230," ")</f>
        <v> </v>
      </c>
      <c r="P230" s="17" t="str">
        <f aca="false">IF((E230="c"),H230," ")</f>
        <v> </v>
      </c>
      <c r="Q230" s="17" t="str">
        <f aca="false">IF((E230="o"),H230," ")</f>
        <v> </v>
      </c>
      <c r="R230" s="17" t="str">
        <f aca="false">IF((E230="d"),H230," ")</f>
        <v> </v>
      </c>
      <c r="S230" s="17" t="str">
        <f aca="false">IF((E230="w"),H230," ")</f>
        <v> </v>
      </c>
      <c r="T230" s="17" t="str">
        <f aca="false">IF((E230="r"),H230," ")</f>
        <v> </v>
      </c>
      <c r="U230" s="17" t="str">
        <f aca="false">IF((E230="p"),H230," ")</f>
        <v> </v>
      </c>
      <c r="V230" s="17" t="str">
        <f aca="false">IF((E230="t"),H230," ")</f>
        <v> </v>
      </c>
      <c r="W230" s="17" t="str">
        <f aca="false">IF((E230="q"),H230," ")</f>
        <v> </v>
      </c>
      <c r="X230" s="17" t="str">
        <f aca="false">IF((E230="m"),H230," ")</f>
        <v> </v>
      </c>
      <c r="Y230" s="17" t="str">
        <f aca="false">IF((E230="u"),H230," ")</f>
        <v> </v>
      </c>
      <c r="Z230" s="17" t="str">
        <f aca="false">IF((E230="a"),H230," ")</f>
        <v> </v>
      </c>
      <c r="AA230" s="17" t="str">
        <f aca="false">IF((E230="g"),H230," ")</f>
        <v> </v>
      </c>
      <c r="AB230" s="17" t="str">
        <f aca="false">IF((E230="h"),H230," ")</f>
        <v> </v>
      </c>
      <c r="AC230" s="30" t="str">
        <f aca="false">IF((E230="v"),H230," ")</f>
        <v> </v>
      </c>
      <c r="AD230" s="30" t="str">
        <f aca="false">IF((E230="n"),H230," ")</f>
        <v> </v>
      </c>
      <c r="AE230" s="17" t="str">
        <f aca="false">IF((E230="f"),H230," ")</f>
        <v> </v>
      </c>
      <c r="AF230" s="17" t="str">
        <f aca="false">IF((E230="l"),H230," ")</f>
        <v> </v>
      </c>
      <c r="AG230" s="17" t="str">
        <f aca="false">IF((E230="y"),H230," ")</f>
        <v> </v>
      </c>
      <c r="AH230" s="17" t="str">
        <f aca="false">IF((E230="z"),H230," ")</f>
        <v> </v>
      </c>
      <c r="AI230" s="17" t="str">
        <f aca="false">IF((E230="fa"),H230," ")</f>
        <v> </v>
      </c>
      <c r="AJ230" s="17" t="str">
        <f aca="false">IF((E230="e"),H230," ")</f>
        <v> </v>
      </c>
    </row>
    <row r="231" customFormat="false" ht="12" hidden="false" customHeight="false" outlineLevel="0" collapsed="false">
      <c r="A231" s="28"/>
      <c r="E231" s="2" t="str">
        <f aca="false">IF((F231&lt;&gt;0),"Enter Letter"," ")</f>
        <v> </v>
      </c>
      <c r="F231" s="30"/>
      <c r="G231" s="6" t="str">
        <f aca="false">IF(F231&lt;&gt;0,F231*G$2/(100+G$2)," ")</f>
        <v> </v>
      </c>
      <c r="H231" s="6" t="str">
        <f aca="false">IF((F231&lt;&gt;0),F231-G231," ")</f>
        <v> </v>
      </c>
      <c r="I231" s="5"/>
      <c r="L231" s="7" t="str">
        <f aca="false">IF(F231&lt;&gt;0,F231-K231," ")</f>
        <v> </v>
      </c>
      <c r="M231" s="8" t="str">
        <f aca="false">IF((F231-K231)&lt;&gt;0,M$1-A231," ")</f>
        <v> </v>
      </c>
      <c r="N231" s="5"/>
      <c r="O231" s="17" t="str">
        <f aca="false">IF((E231="s"),H231," ")</f>
        <v> </v>
      </c>
      <c r="P231" s="17" t="str">
        <f aca="false">IF((E231="c"),H231," ")</f>
        <v> </v>
      </c>
      <c r="Q231" s="17" t="str">
        <f aca="false">IF((E231="o"),H231," ")</f>
        <v> </v>
      </c>
      <c r="R231" s="17" t="str">
        <f aca="false">IF((E231="d"),H231," ")</f>
        <v> </v>
      </c>
      <c r="S231" s="17" t="str">
        <f aca="false">IF((E231="w"),H231," ")</f>
        <v> </v>
      </c>
      <c r="T231" s="17" t="str">
        <f aca="false">IF((E231="r"),H231," ")</f>
        <v> </v>
      </c>
      <c r="U231" s="17" t="str">
        <f aca="false">IF((E231="p"),H231," ")</f>
        <v> </v>
      </c>
      <c r="V231" s="17" t="str">
        <f aca="false">IF((E231="t"),H231," ")</f>
        <v> </v>
      </c>
      <c r="W231" s="17" t="str">
        <f aca="false">IF((E231="q"),H231," ")</f>
        <v> </v>
      </c>
      <c r="X231" s="17" t="str">
        <f aca="false">IF((E231="m"),H231," ")</f>
        <v> </v>
      </c>
      <c r="Y231" s="17" t="str">
        <f aca="false">IF((E231="u"),H231," ")</f>
        <v> </v>
      </c>
      <c r="Z231" s="17" t="str">
        <f aca="false">IF((E231="a"),H231," ")</f>
        <v> </v>
      </c>
      <c r="AA231" s="17" t="str">
        <f aca="false">IF((E231="g"),H231," ")</f>
        <v> </v>
      </c>
      <c r="AB231" s="17" t="str">
        <f aca="false">IF((E231="h"),H231," ")</f>
        <v> </v>
      </c>
      <c r="AC231" s="30" t="str">
        <f aca="false">IF((E231="v"),H231," ")</f>
        <v> </v>
      </c>
      <c r="AD231" s="30" t="str">
        <f aca="false">IF((E231="n"),H231," ")</f>
        <v> </v>
      </c>
      <c r="AE231" s="17" t="str">
        <f aca="false">IF((E231="f"),H231," ")</f>
        <v> </v>
      </c>
      <c r="AF231" s="17" t="str">
        <f aca="false">IF((E231="l"),H231," ")</f>
        <v> </v>
      </c>
      <c r="AG231" s="17" t="str">
        <f aca="false">IF((E231="y"),H231," ")</f>
        <v> </v>
      </c>
      <c r="AH231" s="17" t="str">
        <f aca="false">IF((E231="z"),H231," ")</f>
        <v> </v>
      </c>
      <c r="AI231" s="17" t="str">
        <f aca="false">IF((E231="fa"),H231," ")</f>
        <v> </v>
      </c>
      <c r="AJ231" s="17" t="str">
        <f aca="false">IF((E231="e"),H231," ")</f>
        <v> </v>
      </c>
    </row>
    <row r="232" customFormat="false" ht="12" hidden="false" customHeight="false" outlineLevel="0" collapsed="false">
      <c r="A232" s="28"/>
      <c r="E232" s="2" t="str">
        <f aca="false">IF((F232&lt;&gt;0),"Enter Letter"," ")</f>
        <v> </v>
      </c>
      <c r="F232" s="30"/>
      <c r="G232" s="6" t="str">
        <f aca="false">IF(F232&lt;&gt;0,F232*G$2/(100+G$2)," ")</f>
        <v> </v>
      </c>
      <c r="H232" s="6" t="str">
        <f aca="false">IF((F232&lt;&gt;0),F232-G232," ")</f>
        <v> </v>
      </c>
      <c r="I232" s="5"/>
      <c r="L232" s="7" t="str">
        <f aca="false">IF(F232&lt;&gt;0,F232-K232," ")</f>
        <v> </v>
      </c>
      <c r="M232" s="8" t="str">
        <f aca="false">IF((F232-K232)&lt;&gt;0,M$1-A232," ")</f>
        <v> </v>
      </c>
      <c r="N232" s="5"/>
      <c r="O232" s="17" t="str">
        <f aca="false">IF((E232="s"),H232," ")</f>
        <v> </v>
      </c>
      <c r="P232" s="17" t="str">
        <f aca="false">IF((E232="c"),H232," ")</f>
        <v> </v>
      </c>
      <c r="Q232" s="17" t="str">
        <f aca="false">IF((E232="o"),H232," ")</f>
        <v> </v>
      </c>
      <c r="R232" s="17" t="str">
        <f aca="false">IF((E232="d"),H232," ")</f>
        <v> </v>
      </c>
      <c r="S232" s="17" t="str">
        <f aca="false">IF((E232="w"),H232," ")</f>
        <v> </v>
      </c>
      <c r="T232" s="17" t="str">
        <f aca="false">IF((E232="r"),H232," ")</f>
        <v> </v>
      </c>
      <c r="U232" s="17" t="str">
        <f aca="false">IF((E232="p"),H232," ")</f>
        <v> </v>
      </c>
      <c r="V232" s="17" t="str">
        <f aca="false">IF((E232="t"),H232," ")</f>
        <v> </v>
      </c>
      <c r="W232" s="17" t="str">
        <f aca="false">IF((E232="q"),H232," ")</f>
        <v> </v>
      </c>
      <c r="X232" s="17" t="str">
        <f aca="false">IF((E232="m"),H232," ")</f>
        <v> </v>
      </c>
      <c r="Y232" s="17" t="str">
        <f aca="false">IF((E232="u"),H232," ")</f>
        <v> </v>
      </c>
      <c r="Z232" s="17" t="str">
        <f aca="false">IF((E232="a"),H232," ")</f>
        <v> </v>
      </c>
      <c r="AA232" s="17" t="str">
        <f aca="false">IF((E232="g"),H232," ")</f>
        <v> </v>
      </c>
      <c r="AB232" s="17" t="str">
        <f aca="false">IF((E232="h"),H232," ")</f>
        <v> </v>
      </c>
      <c r="AC232" s="30" t="str">
        <f aca="false">IF((E232="v"),H232," ")</f>
        <v> </v>
      </c>
      <c r="AD232" s="30" t="str">
        <f aca="false">IF((E232="n"),H232," ")</f>
        <v> </v>
      </c>
      <c r="AE232" s="17" t="str">
        <f aca="false">IF((E232="f"),H232," ")</f>
        <v> </v>
      </c>
      <c r="AF232" s="17" t="str">
        <f aca="false">IF((E232="l"),H232," ")</f>
        <v> </v>
      </c>
      <c r="AG232" s="17" t="str">
        <f aca="false">IF((E232="y"),H232," ")</f>
        <v> </v>
      </c>
      <c r="AH232" s="17" t="str">
        <f aca="false">IF((E232="z"),H232," ")</f>
        <v> </v>
      </c>
      <c r="AI232" s="17" t="str">
        <f aca="false">IF((E232="fa"),H232," ")</f>
        <v> </v>
      </c>
      <c r="AJ232" s="17" t="str">
        <f aca="false">IF((E232="e"),H232," ")</f>
        <v> </v>
      </c>
    </row>
    <row r="233" customFormat="false" ht="12" hidden="false" customHeight="false" outlineLevel="0" collapsed="false">
      <c r="A233" s="28"/>
      <c r="E233" s="2" t="str">
        <f aca="false">IF((F233&lt;&gt;0),"Enter Letter"," ")</f>
        <v> </v>
      </c>
      <c r="F233" s="30"/>
      <c r="G233" s="6" t="str">
        <f aca="false">IF(F233&lt;&gt;0,F233*G$2/(100+G$2)," ")</f>
        <v> </v>
      </c>
      <c r="H233" s="6" t="str">
        <f aca="false">IF((F233&lt;&gt;0),F233-G233," ")</f>
        <v> </v>
      </c>
      <c r="I233" s="5"/>
      <c r="L233" s="7" t="str">
        <f aca="false">IF(F233&lt;&gt;0,F233-K233," ")</f>
        <v> </v>
      </c>
      <c r="M233" s="8" t="str">
        <f aca="false">IF((F233-K233)&lt;&gt;0,M$1-A233," ")</f>
        <v> </v>
      </c>
      <c r="N233" s="5"/>
      <c r="O233" s="17" t="str">
        <f aca="false">IF((E233="s"),H233," ")</f>
        <v> </v>
      </c>
      <c r="P233" s="17" t="str">
        <f aca="false">IF((E233="c"),H233," ")</f>
        <v> </v>
      </c>
      <c r="Q233" s="17" t="str">
        <f aca="false">IF((E233="o"),H233," ")</f>
        <v> </v>
      </c>
      <c r="R233" s="17" t="str">
        <f aca="false">IF((E233="d"),H233," ")</f>
        <v> </v>
      </c>
      <c r="S233" s="17" t="str">
        <f aca="false">IF((E233="w"),H233," ")</f>
        <v> </v>
      </c>
      <c r="T233" s="17" t="str">
        <f aca="false">IF((E233="r"),H233," ")</f>
        <v> </v>
      </c>
      <c r="U233" s="17" t="str">
        <f aca="false">IF((E233="p"),H233," ")</f>
        <v> </v>
      </c>
      <c r="V233" s="17" t="str">
        <f aca="false">IF((E233="t"),H233," ")</f>
        <v> </v>
      </c>
      <c r="W233" s="17" t="str">
        <f aca="false">IF((E233="q"),H233," ")</f>
        <v> </v>
      </c>
      <c r="X233" s="17" t="str">
        <f aca="false">IF((E233="m"),H233," ")</f>
        <v> </v>
      </c>
      <c r="Y233" s="17" t="str">
        <f aca="false">IF((E233="u"),H233," ")</f>
        <v> </v>
      </c>
      <c r="Z233" s="17" t="str">
        <f aca="false">IF((E233="a"),H233," ")</f>
        <v> </v>
      </c>
      <c r="AA233" s="17" t="str">
        <f aca="false">IF((E233="g"),H233," ")</f>
        <v> </v>
      </c>
      <c r="AB233" s="17" t="str">
        <f aca="false">IF((E233="h"),H233," ")</f>
        <v> </v>
      </c>
      <c r="AC233" s="30" t="str">
        <f aca="false">IF((E233="v"),H233," ")</f>
        <v> </v>
      </c>
      <c r="AD233" s="30" t="str">
        <f aca="false">IF((E233="n"),H233," ")</f>
        <v> </v>
      </c>
      <c r="AE233" s="17" t="str">
        <f aca="false">IF((E233="f"),H233," ")</f>
        <v> </v>
      </c>
      <c r="AF233" s="17" t="str">
        <f aca="false">IF((E233="l"),H233," ")</f>
        <v> </v>
      </c>
      <c r="AG233" s="17" t="str">
        <f aca="false">IF((E233="y"),H233," ")</f>
        <v> </v>
      </c>
      <c r="AH233" s="17" t="str">
        <f aca="false">IF((E233="z"),H233," ")</f>
        <v> </v>
      </c>
      <c r="AI233" s="17" t="str">
        <f aca="false">IF((E233="fa"),H233," ")</f>
        <v> </v>
      </c>
      <c r="AJ233" s="17" t="str">
        <f aca="false">IF((E233="e"),H233," ")</f>
        <v> </v>
      </c>
    </row>
    <row r="234" customFormat="false" ht="12" hidden="false" customHeight="false" outlineLevel="0" collapsed="false">
      <c r="A234" s="28"/>
      <c r="E234" s="2" t="str">
        <f aca="false">IF((F234&lt;&gt;0),"Enter Letter"," ")</f>
        <v> </v>
      </c>
      <c r="F234" s="30"/>
      <c r="G234" s="6" t="str">
        <f aca="false">IF(F234&lt;&gt;0,F234*G$2/(100+G$2)," ")</f>
        <v> </v>
      </c>
      <c r="H234" s="6" t="str">
        <f aca="false">IF((F234&lt;&gt;0),F234-G234," ")</f>
        <v> </v>
      </c>
      <c r="I234" s="5"/>
      <c r="L234" s="7" t="str">
        <f aca="false">IF(F234&lt;&gt;0,F234-K234," ")</f>
        <v> </v>
      </c>
      <c r="M234" s="8" t="str">
        <f aca="false">IF((F234-K234)&lt;&gt;0,M$1-A234," ")</f>
        <v> </v>
      </c>
      <c r="N234" s="5"/>
      <c r="O234" s="17" t="str">
        <f aca="false">IF((E234="s"),H234," ")</f>
        <v> </v>
      </c>
      <c r="P234" s="17" t="str">
        <f aca="false">IF((E234="c"),H234," ")</f>
        <v> </v>
      </c>
      <c r="Q234" s="17" t="str">
        <f aca="false">IF((E234="o"),H234," ")</f>
        <v> </v>
      </c>
      <c r="R234" s="17" t="str">
        <f aca="false">IF((E234="d"),H234," ")</f>
        <v> </v>
      </c>
      <c r="S234" s="17" t="str">
        <f aca="false">IF((E234="w"),H234," ")</f>
        <v> </v>
      </c>
      <c r="T234" s="17" t="str">
        <f aca="false">IF((E234="r"),H234," ")</f>
        <v> </v>
      </c>
      <c r="U234" s="17" t="str">
        <f aca="false">IF((E234="p"),H234," ")</f>
        <v> </v>
      </c>
      <c r="V234" s="17" t="str">
        <f aca="false">IF((E234="t"),H234," ")</f>
        <v> </v>
      </c>
      <c r="W234" s="17" t="str">
        <f aca="false">IF((E234="q"),H234," ")</f>
        <v> </v>
      </c>
      <c r="X234" s="17" t="str">
        <f aca="false">IF((E234="m"),H234," ")</f>
        <v> </v>
      </c>
      <c r="Y234" s="17" t="str">
        <f aca="false">IF((E234="u"),H234," ")</f>
        <v> </v>
      </c>
      <c r="Z234" s="17" t="str">
        <f aca="false">IF((E234="a"),H234," ")</f>
        <v> </v>
      </c>
      <c r="AA234" s="17" t="str">
        <f aca="false">IF((E234="g"),H234," ")</f>
        <v> </v>
      </c>
      <c r="AB234" s="17" t="str">
        <f aca="false">IF((E234="h"),H234," ")</f>
        <v> </v>
      </c>
      <c r="AC234" s="30" t="str">
        <f aca="false">IF((E234="v"),H234," ")</f>
        <v> </v>
      </c>
      <c r="AD234" s="30" t="str">
        <f aca="false">IF((E234="n"),H234," ")</f>
        <v> </v>
      </c>
      <c r="AE234" s="17" t="str">
        <f aca="false">IF((E234="f"),H234," ")</f>
        <v> </v>
      </c>
      <c r="AF234" s="17" t="str">
        <f aca="false">IF((E234="l"),H234," ")</f>
        <v> </v>
      </c>
      <c r="AG234" s="17" t="str">
        <f aca="false">IF((E234="y"),H234," ")</f>
        <v> </v>
      </c>
      <c r="AH234" s="17" t="str">
        <f aca="false">IF((E234="z"),H234," ")</f>
        <v> </v>
      </c>
      <c r="AI234" s="17" t="str">
        <f aca="false">IF((E234="fa"),H234," ")</f>
        <v> </v>
      </c>
      <c r="AJ234" s="17" t="str">
        <f aca="false">IF((E234="e"),H234," ")</f>
        <v> </v>
      </c>
    </row>
    <row r="235" customFormat="false" ht="12" hidden="false" customHeight="false" outlineLevel="0" collapsed="false">
      <c r="A235" s="28"/>
      <c r="E235" s="2" t="str">
        <f aca="false">IF((F235&lt;&gt;0),"Enter Letter"," ")</f>
        <v> </v>
      </c>
      <c r="F235" s="30"/>
      <c r="G235" s="6" t="str">
        <f aca="false">IF(F235&lt;&gt;0,F235*G$2/(100+G$2)," ")</f>
        <v> </v>
      </c>
      <c r="H235" s="6" t="str">
        <f aca="false">IF((F235&lt;&gt;0),F235-G235," ")</f>
        <v> </v>
      </c>
      <c r="I235" s="5"/>
      <c r="L235" s="7" t="str">
        <f aca="false">IF(F235&lt;&gt;0,F235-K235," ")</f>
        <v> </v>
      </c>
      <c r="M235" s="8" t="str">
        <f aca="false">IF((F235-K235)&lt;&gt;0,M$1-A235," ")</f>
        <v> </v>
      </c>
      <c r="N235" s="5"/>
      <c r="O235" s="17" t="str">
        <f aca="false">IF((E235="s"),H235," ")</f>
        <v> </v>
      </c>
      <c r="P235" s="17" t="str">
        <f aca="false">IF((E235="c"),H235," ")</f>
        <v> </v>
      </c>
      <c r="Q235" s="17" t="str">
        <f aca="false">IF((E235="o"),H235," ")</f>
        <v> </v>
      </c>
      <c r="R235" s="17" t="str">
        <f aca="false">IF((E235="d"),H235," ")</f>
        <v> </v>
      </c>
      <c r="S235" s="17" t="str">
        <f aca="false">IF((E235="w"),H235," ")</f>
        <v> </v>
      </c>
      <c r="T235" s="17" t="str">
        <f aca="false">IF((E235="r"),H235," ")</f>
        <v> </v>
      </c>
      <c r="U235" s="17" t="str">
        <f aca="false">IF((E235="p"),H235," ")</f>
        <v> </v>
      </c>
      <c r="V235" s="17" t="str">
        <f aca="false">IF((E235="t"),H235," ")</f>
        <v> </v>
      </c>
      <c r="W235" s="17" t="str">
        <f aca="false">IF((E235="q"),H235," ")</f>
        <v> </v>
      </c>
      <c r="X235" s="17" t="str">
        <f aca="false">IF((E235="m"),H235," ")</f>
        <v> </v>
      </c>
      <c r="Y235" s="17" t="str">
        <f aca="false">IF((E235="u"),H235," ")</f>
        <v> </v>
      </c>
      <c r="Z235" s="17" t="str">
        <f aca="false">IF((E235="a"),H235," ")</f>
        <v> </v>
      </c>
      <c r="AA235" s="17" t="str">
        <f aca="false">IF((E235="g"),H235," ")</f>
        <v> </v>
      </c>
      <c r="AB235" s="17" t="str">
        <f aca="false">IF((E235="h"),H235," ")</f>
        <v> </v>
      </c>
      <c r="AC235" s="30" t="str">
        <f aca="false">IF((E235="v"),H235," ")</f>
        <v> </v>
      </c>
      <c r="AD235" s="30" t="str">
        <f aca="false">IF((E235="n"),H235," ")</f>
        <v> </v>
      </c>
      <c r="AE235" s="17" t="str">
        <f aca="false">IF((E235="f"),H235," ")</f>
        <v> </v>
      </c>
      <c r="AF235" s="17" t="str">
        <f aca="false">IF((E235="l"),H235," ")</f>
        <v> </v>
      </c>
      <c r="AG235" s="17" t="str">
        <f aca="false">IF((E235="y"),H235," ")</f>
        <v> </v>
      </c>
      <c r="AH235" s="17" t="str">
        <f aca="false">IF((E235="z"),H235," ")</f>
        <v> </v>
      </c>
      <c r="AI235" s="17" t="str">
        <f aca="false">IF((E235="fa"),H235," ")</f>
        <v> </v>
      </c>
      <c r="AJ235" s="17" t="str">
        <f aca="false">IF((E235="e"),H235," ")</f>
        <v> </v>
      </c>
    </row>
    <row r="236" customFormat="false" ht="12" hidden="false" customHeight="false" outlineLevel="0" collapsed="false">
      <c r="A236" s="28"/>
      <c r="E236" s="2" t="str">
        <f aca="false">IF((F236&lt;&gt;0),"Enter Letter"," ")</f>
        <v> </v>
      </c>
      <c r="F236" s="30"/>
      <c r="G236" s="6" t="str">
        <f aca="false">IF(F236&lt;&gt;0,F236*G$2/(100+G$2)," ")</f>
        <v> </v>
      </c>
      <c r="H236" s="6" t="str">
        <f aca="false">IF((F236&lt;&gt;0),F236-G236," ")</f>
        <v> </v>
      </c>
      <c r="I236" s="5"/>
      <c r="L236" s="7" t="str">
        <f aca="false">IF(F236&lt;&gt;0,F236-K236," ")</f>
        <v> </v>
      </c>
      <c r="M236" s="8" t="str">
        <f aca="false">IF((F236-K236)&lt;&gt;0,M$1-A236," ")</f>
        <v> </v>
      </c>
      <c r="N236" s="5"/>
      <c r="O236" s="17" t="str">
        <f aca="false">IF((E236="s"),H236," ")</f>
        <v> </v>
      </c>
      <c r="P236" s="17" t="str">
        <f aca="false">IF((E236="c"),H236," ")</f>
        <v> </v>
      </c>
      <c r="Q236" s="17" t="str">
        <f aca="false">IF((E236="o"),H236," ")</f>
        <v> </v>
      </c>
      <c r="R236" s="17" t="str">
        <f aca="false">IF((E236="d"),H236," ")</f>
        <v> </v>
      </c>
      <c r="S236" s="17" t="str">
        <f aca="false">IF((E236="w"),H236," ")</f>
        <v> </v>
      </c>
      <c r="T236" s="17" t="str">
        <f aca="false">IF((E236="r"),H236," ")</f>
        <v> </v>
      </c>
      <c r="U236" s="17" t="str">
        <f aca="false">IF((E236="p"),H236," ")</f>
        <v> </v>
      </c>
      <c r="V236" s="17" t="str">
        <f aca="false">IF((E236="t"),H236," ")</f>
        <v> </v>
      </c>
      <c r="W236" s="17" t="str">
        <f aca="false">IF((E236="q"),H236," ")</f>
        <v> </v>
      </c>
      <c r="X236" s="17" t="str">
        <f aca="false">IF((E236="m"),H236," ")</f>
        <v> </v>
      </c>
      <c r="Y236" s="17" t="str">
        <f aca="false">IF((E236="u"),H236," ")</f>
        <v> </v>
      </c>
      <c r="Z236" s="17" t="str">
        <f aca="false">IF((E236="a"),H236," ")</f>
        <v> </v>
      </c>
      <c r="AA236" s="17" t="str">
        <f aca="false">IF((E236="g"),H236," ")</f>
        <v> </v>
      </c>
      <c r="AB236" s="17" t="str">
        <f aca="false">IF((E236="h"),H236," ")</f>
        <v> </v>
      </c>
      <c r="AC236" s="30" t="str">
        <f aca="false">IF((E236="v"),H236," ")</f>
        <v> </v>
      </c>
      <c r="AD236" s="30" t="str">
        <f aca="false">IF((E236="n"),H236," ")</f>
        <v> </v>
      </c>
      <c r="AE236" s="17" t="str">
        <f aca="false">IF((E236="f"),H236," ")</f>
        <v> </v>
      </c>
      <c r="AF236" s="17" t="str">
        <f aca="false">IF((E236="l"),H236," ")</f>
        <v> </v>
      </c>
      <c r="AG236" s="17" t="str">
        <f aca="false">IF((E236="y"),H236," ")</f>
        <v> </v>
      </c>
      <c r="AH236" s="17" t="str">
        <f aca="false">IF((E236="z"),H236," ")</f>
        <v> </v>
      </c>
      <c r="AI236" s="17" t="str">
        <f aca="false">IF((E236="fa"),H236," ")</f>
        <v> </v>
      </c>
      <c r="AJ236" s="17" t="str">
        <f aca="false">IF((E236="e"),H236," ")</f>
        <v> </v>
      </c>
    </row>
    <row r="237" customFormat="false" ht="12" hidden="false" customHeight="false" outlineLevel="0" collapsed="false">
      <c r="A237" s="28"/>
      <c r="E237" s="2" t="str">
        <f aca="false">IF((F237&lt;&gt;0),"Enter Letter"," ")</f>
        <v> </v>
      </c>
      <c r="F237" s="30"/>
      <c r="G237" s="6" t="str">
        <f aca="false">IF(F237&lt;&gt;0,F237*G$2/(100+G$2)," ")</f>
        <v> </v>
      </c>
      <c r="H237" s="6" t="str">
        <f aca="false">IF((F237&lt;&gt;0),F237-G237," ")</f>
        <v> </v>
      </c>
      <c r="I237" s="5"/>
      <c r="L237" s="7" t="str">
        <f aca="false">IF(F237&lt;&gt;0,F237-K237," ")</f>
        <v> </v>
      </c>
      <c r="M237" s="8" t="str">
        <f aca="false">IF((F237-K237)&lt;&gt;0,M$1-A237," ")</f>
        <v> </v>
      </c>
      <c r="N237" s="5"/>
      <c r="O237" s="17" t="str">
        <f aca="false">IF((E237="s"),H237," ")</f>
        <v> </v>
      </c>
      <c r="P237" s="17" t="str">
        <f aca="false">IF((E237="c"),H237," ")</f>
        <v> </v>
      </c>
      <c r="Q237" s="17" t="str">
        <f aca="false">IF((E237="o"),H237," ")</f>
        <v> </v>
      </c>
      <c r="R237" s="17" t="str">
        <f aca="false">IF((E237="d"),H237," ")</f>
        <v> </v>
      </c>
      <c r="S237" s="17" t="str">
        <f aca="false">IF((E237="w"),H237," ")</f>
        <v> </v>
      </c>
      <c r="T237" s="17" t="str">
        <f aca="false">IF((E237="r"),H237," ")</f>
        <v> </v>
      </c>
      <c r="U237" s="17" t="str">
        <f aca="false">IF((E237="p"),H237," ")</f>
        <v> </v>
      </c>
      <c r="V237" s="17" t="str">
        <f aca="false">IF((E237="t"),H237," ")</f>
        <v> </v>
      </c>
      <c r="W237" s="17" t="str">
        <f aca="false">IF((E237="q"),H237," ")</f>
        <v> </v>
      </c>
      <c r="X237" s="17" t="str">
        <f aca="false">IF((E237="m"),H237," ")</f>
        <v> </v>
      </c>
      <c r="Y237" s="17" t="str">
        <f aca="false">IF((E237="u"),H237," ")</f>
        <v> </v>
      </c>
      <c r="Z237" s="17" t="str">
        <f aca="false">IF((E237="a"),H237," ")</f>
        <v> </v>
      </c>
      <c r="AA237" s="17" t="str">
        <f aca="false">IF((E237="g"),H237," ")</f>
        <v> </v>
      </c>
      <c r="AB237" s="17" t="str">
        <f aca="false">IF((E237="h"),H237," ")</f>
        <v> </v>
      </c>
      <c r="AC237" s="30" t="str">
        <f aca="false">IF((E237="v"),H237," ")</f>
        <v> </v>
      </c>
      <c r="AD237" s="30" t="str">
        <f aca="false">IF((E237="n"),H237," ")</f>
        <v> </v>
      </c>
      <c r="AE237" s="17" t="str">
        <f aca="false">IF((E237="f"),H237," ")</f>
        <v> </v>
      </c>
      <c r="AF237" s="17" t="str">
        <f aca="false">IF((E237="l"),H237," ")</f>
        <v> </v>
      </c>
      <c r="AG237" s="17" t="str">
        <f aca="false">IF((E237="y"),H237," ")</f>
        <v> </v>
      </c>
      <c r="AH237" s="17" t="str">
        <f aca="false">IF((E237="z"),H237," ")</f>
        <v> </v>
      </c>
      <c r="AI237" s="17" t="str">
        <f aca="false">IF((E237="fa"),H237," ")</f>
        <v> </v>
      </c>
      <c r="AJ237" s="17" t="str">
        <f aca="false">IF((E237="e"),H237," ")</f>
        <v> </v>
      </c>
    </row>
    <row r="238" customFormat="false" ht="12" hidden="false" customHeight="false" outlineLevel="0" collapsed="false">
      <c r="A238" s="28"/>
      <c r="E238" s="2" t="str">
        <f aca="false">IF((F238&lt;&gt;0),"Enter Letter"," ")</f>
        <v> </v>
      </c>
      <c r="F238" s="30"/>
      <c r="G238" s="6" t="str">
        <f aca="false">IF(F238&lt;&gt;0,F238*G$2/(100+G$2)," ")</f>
        <v> </v>
      </c>
      <c r="H238" s="6" t="str">
        <f aca="false">IF((F238&lt;&gt;0),F238-G238," ")</f>
        <v> </v>
      </c>
      <c r="I238" s="5"/>
      <c r="L238" s="7" t="str">
        <f aca="false">IF(F238&lt;&gt;0,F238-K238," ")</f>
        <v> </v>
      </c>
      <c r="M238" s="8" t="str">
        <f aca="false">IF((F238-K238)&lt;&gt;0,M$1-A238," ")</f>
        <v> </v>
      </c>
      <c r="N238" s="5"/>
      <c r="O238" s="17" t="str">
        <f aca="false">IF((E238="s"),H238," ")</f>
        <v> </v>
      </c>
      <c r="P238" s="17" t="str">
        <f aca="false">IF((E238="c"),H238," ")</f>
        <v> </v>
      </c>
      <c r="Q238" s="17" t="str">
        <f aca="false">IF((E238="o"),H238," ")</f>
        <v> </v>
      </c>
      <c r="R238" s="17" t="str">
        <f aca="false">IF((E238="d"),H238," ")</f>
        <v> </v>
      </c>
      <c r="S238" s="17" t="str">
        <f aca="false">IF((E238="w"),H238," ")</f>
        <v> </v>
      </c>
      <c r="T238" s="17" t="str">
        <f aca="false">IF((E238="r"),H238," ")</f>
        <v> </v>
      </c>
      <c r="U238" s="17" t="str">
        <f aca="false">IF((E238="p"),H238," ")</f>
        <v> </v>
      </c>
      <c r="V238" s="17" t="str">
        <f aca="false">IF((E238="t"),H238," ")</f>
        <v> </v>
      </c>
      <c r="W238" s="17" t="str">
        <f aca="false">IF((E238="q"),H238," ")</f>
        <v> </v>
      </c>
      <c r="X238" s="17" t="str">
        <f aca="false">IF((E238="m"),H238," ")</f>
        <v> </v>
      </c>
      <c r="Y238" s="17" t="str">
        <f aca="false">IF((E238="u"),H238," ")</f>
        <v> </v>
      </c>
      <c r="Z238" s="17" t="str">
        <f aca="false">IF((E238="a"),H238," ")</f>
        <v> </v>
      </c>
      <c r="AA238" s="17" t="str">
        <f aca="false">IF((E238="g"),H238," ")</f>
        <v> </v>
      </c>
      <c r="AB238" s="17" t="str">
        <f aca="false">IF((E238="h"),H238," ")</f>
        <v> </v>
      </c>
      <c r="AC238" s="30" t="str">
        <f aca="false">IF((E238="v"),H238," ")</f>
        <v> </v>
      </c>
      <c r="AD238" s="30" t="str">
        <f aca="false">IF((E238="n"),H238," ")</f>
        <v> </v>
      </c>
      <c r="AE238" s="17" t="str">
        <f aca="false">IF((E238="f"),H238," ")</f>
        <v> </v>
      </c>
      <c r="AF238" s="17" t="str">
        <f aca="false">IF((E238="l"),H238," ")</f>
        <v> </v>
      </c>
      <c r="AG238" s="17" t="str">
        <f aca="false">IF((E238="y"),H238," ")</f>
        <v> </v>
      </c>
      <c r="AH238" s="17" t="str">
        <f aca="false">IF((E238="z"),H238," ")</f>
        <v> </v>
      </c>
      <c r="AI238" s="17" t="str">
        <f aca="false">IF((E238="fa"),H238," ")</f>
        <v> </v>
      </c>
      <c r="AJ238" s="17" t="str">
        <f aca="false">IF((E238="e"),H238," ")</f>
        <v> </v>
      </c>
    </row>
    <row r="239" customFormat="false" ht="12" hidden="false" customHeight="false" outlineLevel="0" collapsed="false">
      <c r="A239" s="28"/>
      <c r="E239" s="2" t="str">
        <f aca="false">IF((F239&lt;&gt;0),"Enter Letter"," ")</f>
        <v> </v>
      </c>
      <c r="F239" s="30"/>
      <c r="G239" s="6" t="str">
        <f aca="false">IF(F239&lt;&gt;0,F239*G$2/(100+G$2)," ")</f>
        <v> </v>
      </c>
      <c r="H239" s="6" t="str">
        <f aca="false">IF((F239&lt;&gt;0),F239-G239," ")</f>
        <v> </v>
      </c>
      <c r="I239" s="5"/>
      <c r="L239" s="7" t="str">
        <f aca="false">IF(F239&lt;&gt;0,F239-K239," ")</f>
        <v> </v>
      </c>
      <c r="M239" s="8" t="str">
        <f aca="false">IF((F239-K239)&lt;&gt;0,M$1-A239," ")</f>
        <v> </v>
      </c>
      <c r="N239" s="5"/>
      <c r="O239" s="17" t="str">
        <f aca="false">IF((E239="s"),H239," ")</f>
        <v> </v>
      </c>
      <c r="P239" s="17" t="str">
        <f aca="false">IF((E239="c"),H239," ")</f>
        <v> </v>
      </c>
      <c r="Q239" s="17" t="str">
        <f aca="false">IF((E239="o"),H239," ")</f>
        <v> </v>
      </c>
      <c r="R239" s="17" t="str">
        <f aca="false">IF((E239="d"),H239," ")</f>
        <v> </v>
      </c>
      <c r="S239" s="17" t="str">
        <f aca="false">IF((E239="w"),H239," ")</f>
        <v> </v>
      </c>
      <c r="T239" s="17" t="str">
        <f aca="false">IF((E239="r"),H239," ")</f>
        <v> </v>
      </c>
      <c r="U239" s="17" t="str">
        <f aca="false">IF((E239="p"),H239," ")</f>
        <v> </v>
      </c>
      <c r="V239" s="17" t="str">
        <f aca="false">IF((E239="t"),H239," ")</f>
        <v> </v>
      </c>
      <c r="W239" s="17" t="str">
        <f aca="false">IF((E239="q"),H239," ")</f>
        <v> </v>
      </c>
      <c r="X239" s="17" t="str">
        <f aca="false">IF((E239="m"),H239," ")</f>
        <v> </v>
      </c>
      <c r="Y239" s="17" t="str">
        <f aca="false">IF((E239="u"),H239," ")</f>
        <v> </v>
      </c>
      <c r="Z239" s="17" t="str">
        <f aca="false">IF((E239="a"),H239," ")</f>
        <v> </v>
      </c>
      <c r="AA239" s="17" t="str">
        <f aca="false">IF((E239="g"),H239," ")</f>
        <v> </v>
      </c>
      <c r="AB239" s="17" t="str">
        <f aca="false">IF((E239="h"),H239," ")</f>
        <v> </v>
      </c>
      <c r="AC239" s="30" t="str">
        <f aca="false">IF((E239="v"),H239," ")</f>
        <v> </v>
      </c>
      <c r="AD239" s="30" t="str">
        <f aca="false">IF((E239="n"),H239," ")</f>
        <v> </v>
      </c>
      <c r="AE239" s="17" t="str">
        <f aca="false">IF((E239="f"),H239," ")</f>
        <v> </v>
      </c>
      <c r="AF239" s="17" t="str">
        <f aca="false">IF((E239="l"),H239," ")</f>
        <v> </v>
      </c>
      <c r="AG239" s="17" t="str">
        <f aca="false">IF((E239="y"),H239," ")</f>
        <v> </v>
      </c>
      <c r="AH239" s="17" t="str">
        <f aca="false">IF((E239="z"),H239," ")</f>
        <v> </v>
      </c>
      <c r="AI239" s="17" t="str">
        <f aca="false">IF((E239="fa"),H239," ")</f>
        <v> </v>
      </c>
      <c r="AJ239" s="17" t="str">
        <f aca="false">IF((E239="e"),H239," ")</f>
        <v> </v>
      </c>
    </row>
    <row r="240" customFormat="false" ht="12" hidden="false" customHeight="false" outlineLevel="0" collapsed="false">
      <c r="A240" s="28"/>
      <c r="E240" s="2" t="str">
        <f aca="false">IF((F240&lt;&gt;0),"Enter Letter"," ")</f>
        <v> </v>
      </c>
      <c r="F240" s="30"/>
      <c r="G240" s="6" t="str">
        <f aca="false">IF(F240&lt;&gt;0,F240*G$2/(100+G$2)," ")</f>
        <v> </v>
      </c>
      <c r="H240" s="6" t="str">
        <f aca="false">IF((F240&lt;&gt;0),F240-G240," ")</f>
        <v> </v>
      </c>
      <c r="I240" s="5"/>
      <c r="L240" s="7" t="str">
        <f aca="false">IF(F240&lt;&gt;0,F240-K240," ")</f>
        <v> </v>
      </c>
      <c r="M240" s="8" t="str">
        <f aca="false">IF((F240-K240)&lt;&gt;0,M$1-A240," ")</f>
        <v> </v>
      </c>
      <c r="N240" s="5"/>
      <c r="O240" s="17" t="str">
        <f aca="false">IF((E240="s"),H240," ")</f>
        <v> </v>
      </c>
      <c r="P240" s="17" t="str">
        <f aca="false">IF((E240="c"),H240," ")</f>
        <v> </v>
      </c>
      <c r="Q240" s="17" t="str">
        <f aca="false">IF((E240="o"),H240," ")</f>
        <v> </v>
      </c>
      <c r="R240" s="17" t="str">
        <f aca="false">IF((E240="d"),H240," ")</f>
        <v> </v>
      </c>
      <c r="S240" s="17" t="str">
        <f aca="false">IF((E240="w"),H240," ")</f>
        <v> </v>
      </c>
      <c r="T240" s="17" t="str">
        <f aca="false">IF((E240="r"),H240," ")</f>
        <v> </v>
      </c>
      <c r="U240" s="17" t="str">
        <f aca="false">IF((E240="p"),H240," ")</f>
        <v> </v>
      </c>
      <c r="V240" s="17" t="str">
        <f aca="false">IF((E240="t"),H240," ")</f>
        <v> </v>
      </c>
      <c r="W240" s="17" t="str">
        <f aca="false">IF((E240="q"),H240," ")</f>
        <v> </v>
      </c>
      <c r="X240" s="17" t="str">
        <f aca="false">IF((E240="m"),H240," ")</f>
        <v> </v>
      </c>
      <c r="Y240" s="17" t="str">
        <f aca="false">IF((E240="u"),H240," ")</f>
        <v> </v>
      </c>
      <c r="Z240" s="17" t="str">
        <f aca="false">IF((E240="a"),H240," ")</f>
        <v> </v>
      </c>
      <c r="AA240" s="17" t="str">
        <f aca="false">IF((E240="g"),H240," ")</f>
        <v> </v>
      </c>
      <c r="AB240" s="17" t="str">
        <f aca="false">IF((E240="h"),H240," ")</f>
        <v> </v>
      </c>
      <c r="AC240" s="30" t="str">
        <f aca="false">IF((E240="v"),H240," ")</f>
        <v> </v>
      </c>
      <c r="AD240" s="30" t="str">
        <f aca="false">IF((E240="n"),H240," ")</f>
        <v> </v>
      </c>
      <c r="AE240" s="17" t="str">
        <f aca="false">IF((E240="f"),H240," ")</f>
        <v> </v>
      </c>
      <c r="AF240" s="17" t="str">
        <f aca="false">IF((E240="l"),H240," ")</f>
        <v> </v>
      </c>
      <c r="AG240" s="17" t="str">
        <f aca="false">IF((E240="y"),H240," ")</f>
        <v> </v>
      </c>
      <c r="AH240" s="17" t="str">
        <f aca="false">IF((E240="z"),H240," ")</f>
        <v> </v>
      </c>
      <c r="AI240" s="17" t="str">
        <f aca="false">IF((E240="fa"),H240," ")</f>
        <v> </v>
      </c>
      <c r="AJ240" s="17" t="str">
        <f aca="false">IF((E240="e"),H240," ")</f>
        <v> </v>
      </c>
    </row>
    <row r="241" customFormat="false" ht="12" hidden="false" customHeight="false" outlineLevel="0" collapsed="false">
      <c r="A241" s="28"/>
      <c r="E241" s="2" t="str">
        <f aca="false">IF((F241&lt;&gt;0),"Enter Letter"," ")</f>
        <v> </v>
      </c>
      <c r="F241" s="30"/>
      <c r="G241" s="6" t="str">
        <f aca="false">IF(F241&lt;&gt;0,F241*G$2/(100+G$2)," ")</f>
        <v> </v>
      </c>
      <c r="H241" s="6" t="str">
        <f aca="false">IF((F241&lt;&gt;0),F241-G241," ")</f>
        <v> </v>
      </c>
      <c r="I241" s="5"/>
      <c r="L241" s="7" t="str">
        <f aca="false">IF(F241&lt;&gt;0,F241-K241," ")</f>
        <v> </v>
      </c>
      <c r="M241" s="8" t="str">
        <f aca="false">IF((F241-K241)&lt;&gt;0,M$1-A241," ")</f>
        <v> </v>
      </c>
      <c r="N241" s="5"/>
      <c r="O241" s="17" t="str">
        <f aca="false">IF((E241="s"),H241," ")</f>
        <v> </v>
      </c>
      <c r="P241" s="17" t="str">
        <f aca="false">IF((E241="c"),H241," ")</f>
        <v> </v>
      </c>
      <c r="Q241" s="17" t="str">
        <f aca="false">IF((E241="o"),H241," ")</f>
        <v> </v>
      </c>
      <c r="R241" s="17" t="str">
        <f aca="false">IF((E241="d"),H241," ")</f>
        <v> </v>
      </c>
      <c r="S241" s="17" t="str">
        <f aca="false">IF((E241="w"),H241," ")</f>
        <v> </v>
      </c>
      <c r="T241" s="17" t="str">
        <f aca="false">IF((E241="r"),H241," ")</f>
        <v> </v>
      </c>
      <c r="U241" s="17" t="str">
        <f aca="false">IF((E241="p"),H241," ")</f>
        <v> </v>
      </c>
      <c r="V241" s="17" t="str">
        <f aca="false">IF((E241="t"),H241," ")</f>
        <v> </v>
      </c>
      <c r="W241" s="17" t="str">
        <f aca="false">IF((E241="q"),H241," ")</f>
        <v> </v>
      </c>
      <c r="X241" s="17" t="str">
        <f aca="false">IF((E241="m"),H241," ")</f>
        <v> </v>
      </c>
      <c r="Y241" s="17" t="str">
        <f aca="false">IF((E241="u"),H241," ")</f>
        <v> </v>
      </c>
      <c r="Z241" s="17" t="str">
        <f aca="false">IF((E241="a"),H241," ")</f>
        <v> </v>
      </c>
      <c r="AA241" s="17" t="str">
        <f aca="false">IF((E241="g"),H241," ")</f>
        <v> </v>
      </c>
      <c r="AB241" s="17" t="str">
        <f aca="false">IF((E241="h"),H241," ")</f>
        <v> </v>
      </c>
      <c r="AC241" s="30" t="str">
        <f aca="false">IF((E241="v"),H241," ")</f>
        <v> </v>
      </c>
      <c r="AD241" s="30" t="str">
        <f aca="false">IF((E241="n"),H241," ")</f>
        <v> </v>
      </c>
      <c r="AE241" s="17" t="str">
        <f aca="false">IF((E241="f"),H241," ")</f>
        <v> </v>
      </c>
      <c r="AF241" s="17" t="str">
        <f aca="false">IF((E241="l"),H241," ")</f>
        <v> </v>
      </c>
      <c r="AG241" s="17" t="str">
        <f aca="false">IF((E241="y"),H241," ")</f>
        <v> </v>
      </c>
      <c r="AH241" s="17" t="str">
        <f aca="false">IF((E241="z"),H241," ")</f>
        <v> </v>
      </c>
      <c r="AI241" s="17" t="str">
        <f aca="false">IF((E241="fa"),H241," ")</f>
        <v> </v>
      </c>
      <c r="AJ241" s="17" t="str">
        <f aca="false">IF((E241="e"),H241," ")</f>
        <v> </v>
      </c>
    </row>
    <row r="242" customFormat="false" ht="12" hidden="false" customHeight="false" outlineLevel="0" collapsed="false">
      <c r="A242" s="28"/>
      <c r="E242" s="2" t="str">
        <f aca="false">IF((F242&lt;&gt;0),"Enter Letter"," ")</f>
        <v> </v>
      </c>
      <c r="F242" s="30"/>
      <c r="G242" s="6" t="str">
        <f aca="false">IF(F242&lt;&gt;0,F242*G$2/(100+G$2)," ")</f>
        <v> </v>
      </c>
      <c r="H242" s="6" t="str">
        <f aca="false">IF((F242&lt;&gt;0),F242-G242," ")</f>
        <v> </v>
      </c>
      <c r="I242" s="5"/>
      <c r="L242" s="7" t="str">
        <f aca="false">IF(F242&lt;&gt;0,F242-K242," ")</f>
        <v> </v>
      </c>
      <c r="M242" s="8" t="str">
        <f aca="false">IF((F242-K242)&lt;&gt;0,M$1-A242," ")</f>
        <v> </v>
      </c>
      <c r="N242" s="5"/>
      <c r="O242" s="17" t="str">
        <f aca="false">IF((E242="s"),H242," ")</f>
        <v> </v>
      </c>
      <c r="P242" s="17" t="str">
        <f aca="false">IF((E242="c"),H242," ")</f>
        <v> </v>
      </c>
      <c r="Q242" s="17" t="str">
        <f aca="false">IF((E242="o"),H242," ")</f>
        <v> </v>
      </c>
      <c r="R242" s="17" t="str">
        <f aca="false">IF((E242="d"),H242," ")</f>
        <v> </v>
      </c>
      <c r="S242" s="17" t="str">
        <f aca="false">IF((E242="w"),H242," ")</f>
        <v> </v>
      </c>
      <c r="T242" s="17" t="str">
        <f aca="false">IF((E242="r"),H242," ")</f>
        <v> </v>
      </c>
      <c r="U242" s="17" t="str">
        <f aca="false">IF((E242="p"),H242," ")</f>
        <v> </v>
      </c>
      <c r="V242" s="17" t="str">
        <f aca="false">IF((E242="t"),H242," ")</f>
        <v> </v>
      </c>
      <c r="W242" s="17" t="str">
        <f aca="false">IF((E242="q"),H242," ")</f>
        <v> </v>
      </c>
      <c r="X242" s="17" t="str">
        <f aca="false">IF((E242="m"),H242," ")</f>
        <v> </v>
      </c>
      <c r="Y242" s="17" t="str">
        <f aca="false">IF((E242="u"),H242," ")</f>
        <v> </v>
      </c>
      <c r="Z242" s="17" t="str">
        <f aca="false">IF((E242="a"),H242," ")</f>
        <v> </v>
      </c>
      <c r="AA242" s="17" t="str">
        <f aca="false">IF((E242="g"),H242," ")</f>
        <v> </v>
      </c>
      <c r="AB242" s="17" t="str">
        <f aca="false">IF((E242="h"),H242," ")</f>
        <v> </v>
      </c>
      <c r="AC242" s="30" t="str">
        <f aca="false">IF((E242="v"),H242," ")</f>
        <v> </v>
      </c>
      <c r="AD242" s="30" t="str">
        <f aca="false">IF((E242="n"),H242," ")</f>
        <v> </v>
      </c>
      <c r="AE242" s="17" t="str">
        <f aca="false">IF((E242="f"),H242," ")</f>
        <v> </v>
      </c>
      <c r="AF242" s="17" t="str">
        <f aca="false">IF((E242="l"),H242," ")</f>
        <v> </v>
      </c>
      <c r="AG242" s="17" t="str">
        <f aca="false">IF((E242="y"),H242," ")</f>
        <v> </v>
      </c>
      <c r="AH242" s="17" t="str">
        <f aca="false">IF((E242="z"),H242," ")</f>
        <v> </v>
      </c>
      <c r="AI242" s="17" t="str">
        <f aca="false">IF((E242="fa"),H242," ")</f>
        <v> </v>
      </c>
      <c r="AJ242" s="17" t="str">
        <f aca="false">IF((E242="e"),H242," ")</f>
        <v> </v>
      </c>
    </row>
    <row r="243" customFormat="false" ht="12" hidden="false" customHeight="false" outlineLevel="0" collapsed="false">
      <c r="A243" s="28"/>
      <c r="E243" s="2" t="str">
        <f aca="false">IF((F243&lt;&gt;0),"Enter Letter"," ")</f>
        <v> </v>
      </c>
      <c r="F243" s="30"/>
      <c r="G243" s="6" t="str">
        <f aca="false">IF(F243&lt;&gt;0,F243*G$2/(100+G$2)," ")</f>
        <v> </v>
      </c>
      <c r="H243" s="6" t="str">
        <f aca="false">IF((F243&lt;&gt;0),F243-G243," ")</f>
        <v> </v>
      </c>
      <c r="I243" s="5"/>
      <c r="L243" s="7" t="str">
        <f aca="false">IF(F243&lt;&gt;0,F243-K243," ")</f>
        <v> </v>
      </c>
      <c r="M243" s="8" t="str">
        <f aca="false">IF((F243-K243)&lt;&gt;0,M$1-A243," ")</f>
        <v> </v>
      </c>
      <c r="N243" s="5"/>
      <c r="O243" s="17" t="str">
        <f aca="false">IF((E243="s"),H243," ")</f>
        <v> </v>
      </c>
      <c r="P243" s="17" t="str">
        <f aca="false">IF((E243="c"),H243," ")</f>
        <v> </v>
      </c>
      <c r="Q243" s="17" t="str">
        <f aca="false">IF((E243="o"),H243," ")</f>
        <v> </v>
      </c>
      <c r="R243" s="17" t="str">
        <f aca="false">IF((E243="d"),H243," ")</f>
        <v> </v>
      </c>
      <c r="S243" s="17" t="str">
        <f aca="false">IF((E243="w"),H243," ")</f>
        <v> </v>
      </c>
      <c r="T243" s="17" t="str">
        <f aca="false">IF((E243="r"),H243," ")</f>
        <v> </v>
      </c>
      <c r="U243" s="17" t="str">
        <f aca="false">IF((E243="p"),H243," ")</f>
        <v> </v>
      </c>
      <c r="V243" s="17" t="str">
        <f aca="false">IF((E243="t"),H243," ")</f>
        <v> </v>
      </c>
      <c r="W243" s="17" t="str">
        <f aca="false">IF((E243="q"),H243," ")</f>
        <v> </v>
      </c>
      <c r="X243" s="17" t="str">
        <f aca="false">IF((E243="m"),H243," ")</f>
        <v> </v>
      </c>
      <c r="Y243" s="17" t="str">
        <f aca="false">IF((E243="u"),H243," ")</f>
        <v> </v>
      </c>
      <c r="Z243" s="17" t="str">
        <f aca="false">IF((E243="a"),H243," ")</f>
        <v> </v>
      </c>
      <c r="AA243" s="17" t="str">
        <f aca="false">IF((E243="g"),H243," ")</f>
        <v> </v>
      </c>
      <c r="AB243" s="17" t="str">
        <f aca="false">IF((E243="h"),H243," ")</f>
        <v> </v>
      </c>
      <c r="AC243" s="30" t="str">
        <f aca="false">IF((E243="v"),H243," ")</f>
        <v> </v>
      </c>
      <c r="AD243" s="30" t="str">
        <f aca="false">IF((E243="n"),H243," ")</f>
        <v> </v>
      </c>
      <c r="AE243" s="17" t="str">
        <f aca="false">IF((E243="f"),H243," ")</f>
        <v> </v>
      </c>
      <c r="AF243" s="17" t="str">
        <f aca="false">IF((E243="l"),H243," ")</f>
        <v> </v>
      </c>
      <c r="AG243" s="17" t="str">
        <f aca="false">IF((E243="y"),H243," ")</f>
        <v> </v>
      </c>
      <c r="AH243" s="17" t="str">
        <f aca="false">IF((E243="z"),H243," ")</f>
        <v> </v>
      </c>
      <c r="AI243" s="17" t="str">
        <f aca="false">IF((E243="fa"),H243," ")</f>
        <v> </v>
      </c>
      <c r="AJ243" s="17" t="str">
        <f aca="false">IF((E243="e"),H243," ")</f>
        <v> </v>
      </c>
    </row>
    <row r="244" customFormat="false" ht="12" hidden="false" customHeight="false" outlineLevel="0" collapsed="false">
      <c r="A244" s="28"/>
      <c r="E244" s="2" t="str">
        <f aca="false">IF((F244&lt;&gt;0),"Enter Letter"," ")</f>
        <v> </v>
      </c>
      <c r="F244" s="30"/>
      <c r="G244" s="6" t="str">
        <f aca="false">IF(F244&lt;&gt;0,F244*G$2/(100+G$2)," ")</f>
        <v> </v>
      </c>
      <c r="H244" s="6" t="str">
        <f aca="false">IF((F244&lt;&gt;0),F244-G244," ")</f>
        <v> </v>
      </c>
      <c r="I244" s="5"/>
      <c r="L244" s="7" t="str">
        <f aca="false">IF(F244&lt;&gt;0,F244-K244," ")</f>
        <v> </v>
      </c>
      <c r="M244" s="8" t="str">
        <f aca="false">IF((F244-K244)&lt;&gt;0,M$1-A244," ")</f>
        <v> </v>
      </c>
      <c r="N244" s="5"/>
      <c r="O244" s="17" t="str">
        <f aca="false">IF((E244="s"),H244," ")</f>
        <v> </v>
      </c>
      <c r="P244" s="17" t="str">
        <f aca="false">IF((E244="c"),H244," ")</f>
        <v> </v>
      </c>
      <c r="Q244" s="17" t="str">
        <f aca="false">IF((E244="o"),H244," ")</f>
        <v> </v>
      </c>
      <c r="R244" s="17" t="str">
        <f aca="false">IF((E244="d"),H244," ")</f>
        <v> </v>
      </c>
      <c r="S244" s="17" t="str">
        <f aca="false">IF((E244="w"),H244," ")</f>
        <v> </v>
      </c>
      <c r="T244" s="17" t="str">
        <f aca="false">IF((E244="r"),H244," ")</f>
        <v> </v>
      </c>
      <c r="U244" s="17" t="str">
        <f aca="false">IF((E244="p"),H244," ")</f>
        <v> </v>
      </c>
      <c r="V244" s="17" t="str">
        <f aca="false">IF((E244="t"),H244," ")</f>
        <v> </v>
      </c>
      <c r="W244" s="17" t="str">
        <f aca="false">IF((E244="q"),H244," ")</f>
        <v> </v>
      </c>
      <c r="X244" s="17" t="str">
        <f aca="false">IF((E244="m"),H244," ")</f>
        <v> </v>
      </c>
      <c r="Y244" s="17" t="str">
        <f aca="false">IF((E244="u"),H244," ")</f>
        <v> </v>
      </c>
      <c r="Z244" s="17" t="str">
        <f aca="false">IF((E244="a"),H244," ")</f>
        <v> </v>
      </c>
      <c r="AA244" s="17" t="str">
        <f aca="false">IF((E244="g"),H244," ")</f>
        <v> </v>
      </c>
      <c r="AB244" s="17" t="str">
        <f aca="false">IF((E244="h"),H244," ")</f>
        <v> </v>
      </c>
      <c r="AC244" s="30" t="str">
        <f aca="false">IF((E244="v"),H244," ")</f>
        <v> </v>
      </c>
      <c r="AD244" s="30" t="str">
        <f aca="false">IF((E244="n"),H244," ")</f>
        <v> </v>
      </c>
      <c r="AE244" s="17" t="str">
        <f aca="false">IF((E244="f"),H244," ")</f>
        <v> </v>
      </c>
      <c r="AF244" s="17" t="str">
        <f aca="false">IF((E244="l"),H244," ")</f>
        <v> </v>
      </c>
      <c r="AG244" s="17" t="str">
        <f aca="false">IF((E244="y"),H244," ")</f>
        <v> </v>
      </c>
      <c r="AH244" s="17" t="str">
        <f aca="false">IF((E244="z"),H244," ")</f>
        <v> </v>
      </c>
      <c r="AI244" s="17" t="str">
        <f aca="false">IF((E244="fa"),H244," ")</f>
        <v> </v>
      </c>
      <c r="AJ244" s="17" t="str">
        <f aca="false">IF((E244="e"),H244," ")</f>
        <v> </v>
      </c>
    </row>
    <row r="245" customFormat="false" ht="12" hidden="false" customHeight="false" outlineLevel="0" collapsed="false">
      <c r="A245" s="28"/>
      <c r="E245" s="2" t="str">
        <f aca="false">IF((F245&lt;&gt;0),"Enter Letter"," ")</f>
        <v> </v>
      </c>
      <c r="F245" s="30"/>
      <c r="G245" s="6" t="str">
        <f aca="false">IF(F245&lt;&gt;0,F245*G$2/(100+G$2)," ")</f>
        <v> </v>
      </c>
      <c r="H245" s="6" t="str">
        <f aca="false">IF((F245&lt;&gt;0),F245-G245," ")</f>
        <v> </v>
      </c>
      <c r="I245" s="5"/>
      <c r="L245" s="7" t="str">
        <f aca="false">IF(F245&lt;&gt;0,F245-K245," ")</f>
        <v> </v>
      </c>
      <c r="M245" s="8" t="str">
        <f aca="false">IF((F245-K245)&lt;&gt;0,M$1-A245," ")</f>
        <v> </v>
      </c>
      <c r="N245" s="5"/>
      <c r="O245" s="17" t="str">
        <f aca="false">IF((E245="s"),H245," ")</f>
        <v> </v>
      </c>
      <c r="P245" s="17" t="str">
        <f aca="false">IF((E245="c"),H245," ")</f>
        <v> </v>
      </c>
      <c r="Q245" s="17" t="str">
        <f aca="false">IF((E245="o"),H245," ")</f>
        <v> </v>
      </c>
      <c r="R245" s="17" t="str">
        <f aca="false">IF((E245="d"),H245," ")</f>
        <v> </v>
      </c>
      <c r="S245" s="17" t="str">
        <f aca="false">IF((E245="w"),H245," ")</f>
        <v> </v>
      </c>
      <c r="T245" s="17" t="str">
        <f aca="false">IF((E245="r"),H245," ")</f>
        <v> </v>
      </c>
      <c r="U245" s="17" t="str">
        <f aca="false">IF((E245="p"),H245," ")</f>
        <v> </v>
      </c>
      <c r="V245" s="17" t="str">
        <f aca="false">IF((E245="t"),H245," ")</f>
        <v> </v>
      </c>
      <c r="W245" s="17" t="str">
        <f aca="false">IF((E245="q"),H245," ")</f>
        <v> </v>
      </c>
      <c r="X245" s="17" t="str">
        <f aca="false">IF((E245="m"),H245," ")</f>
        <v> </v>
      </c>
      <c r="Y245" s="17" t="str">
        <f aca="false">IF((E245="u"),H245," ")</f>
        <v> </v>
      </c>
      <c r="Z245" s="17" t="str">
        <f aca="false">IF((E245="a"),H245," ")</f>
        <v> </v>
      </c>
      <c r="AA245" s="17" t="str">
        <f aca="false">IF((E245="g"),H245," ")</f>
        <v> </v>
      </c>
      <c r="AB245" s="17" t="str">
        <f aca="false">IF((E245="h"),H245," ")</f>
        <v> </v>
      </c>
      <c r="AC245" s="30" t="str">
        <f aca="false">IF((E245="v"),H245," ")</f>
        <v> </v>
      </c>
      <c r="AD245" s="30" t="str">
        <f aca="false">IF((E245="n"),H245," ")</f>
        <v> </v>
      </c>
      <c r="AE245" s="17" t="str">
        <f aca="false">IF((E245="f"),H245," ")</f>
        <v> </v>
      </c>
      <c r="AF245" s="17" t="str">
        <f aca="false">IF((E245="l"),H245," ")</f>
        <v> </v>
      </c>
      <c r="AG245" s="17" t="str">
        <f aca="false">IF((E245="y"),H245," ")</f>
        <v> </v>
      </c>
      <c r="AH245" s="17" t="str">
        <f aca="false">IF((E245="z"),H245," ")</f>
        <v> </v>
      </c>
      <c r="AI245" s="17" t="str">
        <f aca="false">IF((E245="fa"),H245," ")</f>
        <v> </v>
      </c>
      <c r="AJ245" s="17" t="str">
        <f aca="false">IF((E245="e"),H245," ")</f>
        <v> </v>
      </c>
    </row>
    <row r="246" customFormat="false" ht="12" hidden="false" customHeight="false" outlineLevel="0" collapsed="false">
      <c r="A246" s="28"/>
      <c r="E246" s="2" t="str">
        <f aca="false">IF((F246&lt;&gt;0),"Enter Letter"," ")</f>
        <v> </v>
      </c>
      <c r="F246" s="30"/>
      <c r="G246" s="6" t="str">
        <f aca="false">IF(F246&lt;&gt;0,F246*G$2/(100+G$2)," ")</f>
        <v> </v>
      </c>
      <c r="H246" s="6" t="str">
        <f aca="false">IF((F246&lt;&gt;0),F246-G246," ")</f>
        <v> </v>
      </c>
      <c r="I246" s="5"/>
      <c r="L246" s="7" t="str">
        <f aca="false">IF(F246&lt;&gt;0,F246-K246," ")</f>
        <v> </v>
      </c>
      <c r="M246" s="8" t="str">
        <f aca="false">IF((F246-K246)&lt;&gt;0,M$1-A246," ")</f>
        <v> </v>
      </c>
      <c r="N246" s="5"/>
      <c r="O246" s="17" t="str">
        <f aca="false">IF((E246="s"),H246," ")</f>
        <v> </v>
      </c>
      <c r="P246" s="17" t="str">
        <f aca="false">IF((E246="c"),H246," ")</f>
        <v> </v>
      </c>
      <c r="Q246" s="17" t="str">
        <f aca="false">IF((E246="o"),H246," ")</f>
        <v> </v>
      </c>
      <c r="R246" s="17" t="str">
        <f aca="false">IF((E246="d"),H246," ")</f>
        <v> </v>
      </c>
      <c r="S246" s="17" t="str">
        <f aca="false">IF((E246="w"),H246," ")</f>
        <v> </v>
      </c>
      <c r="T246" s="17" t="str">
        <f aca="false">IF((E246="r"),H246," ")</f>
        <v> </v>
      </c>
      <c r="U246" s="17" t="str">
        <f aca="false">IF((E246="p"),H246," ")</f>
        <v> </v>
      </c>
      <c r="V246" s="17" t="str">
        <f aca="false">IF((E246="t"),H246," ")</f>
        <v> </v>
      </c>
      <c r="W246" s="17" t="str">
        <f aca="false">IF((E246="q"),H246," ")</f>
        <v> </v>
      </c>
      <c r="X246" s="17" t="str">
        <f aca="false">IF((E246="m"),H246," ")</f>
        <v> </v>
      </c>
      <c r="Y246" s="17" t="str">
        <f aca="false">IF((E246="u"),H246," ")</f>
        <v> </v>
      </c>
      <c r="Z246" s="17" t="str">
        <f aca="false">IF((E246="a"),H246," ")</f>
        <v> </v>
      </c>
      <c r="AA246" s="17" t="str">
        <f aca="false">IF((E246="g"),H246," ")</f>
        <v> </v>
      </c>
      <c r="AB246" s="17" t="str">
        <f aca="false">IF((E246="h"),H246," ")</f>
        <v> </v>
      </c>
      <c r="AC246" s="30" t="str">
        <f aca="false">IF((E246="v"),H246," ")</f>
        <v> </v>
      </c>
      <c r="AD246" s="30" t="str">
        <f aca="false">IF((E246="n"),H246," ")</f>
        <v> </v>
      </c>
      <c r="AE246" s="17" t="str">
        <f aca="false">IF((E246="f"),H246," ")</f>
        <v> </v>
      </c>
      <c r="AF246" s="17" t="str">
        <f aca="false">IF((E246="l"),H246," ")</f>
        <v> </v>
      </c>
      <c r="AG246" s="17" t="str">
        <f aca="false">IF((E246="y"),H246," ")</f>
        <v> </v>
      </c>
      <c r="AH246" s="17" t="str">
        <f aca="false">IF((E246="z"),H246," ")</f>
        <v> </v>
      </c>
      <c r="AI246" s="17" t="str">
        <f aca="false">IF((E246="fa"),H246," ")</f>
        <v> </v>
      </c>
      <c r="AJ246" s="17" t="str">
        <f aca="false">IF((E246="e"),H246," ")</f>
        <v> </v>
      </c>
    </row>
    <row r="247" customFormat="false" ht="12" hidden="false" customHeight="false" outlineLevel="0" collapsed="false">
      <c r="A247" s="28"/>
      <c r="E247" s="2" t="str">
        <f aca="false">IF((F247&lt;&gt;0),"Enter Letter"," ")</f>
        <v> </v>
      </c>
      <c r="F247" s="30"/>
      <c r="G247" s="6" t="str">
        <f aca="false">IF(F247&lt;&gt;0,F247*G$2/(100+G$2)," ")</f>
        <v> </v>
      </c>
      <c r="H247" s="6" t="str">
        <f aca="false">IF((F247&lt;&gt;0),F247-G247," ")</f>
        <v> </v>
      </c>
      <c r="I247" s="5"/>
      <c r="L247" s="7" t="str">
        <f aca="false">IF(F247&lt;&gt;0,F247-K247," ")</f>
        <v> </v>
      </c>
      <c r="M247" s="8" t="str">
        <f aca="false">IF((F247-K247)&lt;&gt;0,M$1-A247," ")</f>
        <v> </v>
      </c>
      <c r="N247" s="5"/>
      <c r="O247" s="17" t="str">
        <f aca="false">IF((E247="s"),H247," ")</f>
        <v> </v>
      </c>
      <c r="P247" s="17" t="str">
        <f aca="false">IF((E247="c"),H247," ")</f>
        <v> </v>
      </c>
      <c r="Q247" s="17" t="str">
        <f aca="false">IF((E247="o"),H247," ")</f>
        <v> </v>
      </c>
      <c r="R247" s="17" t="str">
        <f aca="false">IF((E247="d"),H247," ")</f>
        <v> </v>
      </c>
      <c r="S247" s="17" t="str">
        <f aca="false">IF((E247="w"),H247," ")</f>
        <v> </v>
      </c>
      <c r="T247" s="17" t="str">
        <f aca="false">IF((E247="r"),H247," ")</f>
        <v> </v>
      </c>
      <c r="U247" s="17" t="str">
        <f aca="false">IF((E247="p"),H247," ")</f>
        <v> </v>
      </c>
      <c r="V247" s="17" t="str">
        <f aca="false">IF((E247="t"),H247," ")</f>
        <v> </v>
      </c>
      <c r="W247" s="17" t="str">
        <f aca="false">IF((E247="q"),H247," ")</f>
        <v> </v>
      </c>
      <c r="X247" s="17" t="str">
        <f aca="false">IF((E247="m"),H247," ")</f>
        <v> </v>
      </c>
      <c r="Y247" s="17" t="str">
        <f aca="false">IF((E247="u"),H247," ")</f>
        <v> </v>
      </c>
      <c r="Z247" s="17" t="str">
        <f aca="false">IF((E247="a"),H247," ")</f>
        <v> </v>
      </c>
      <c r="AA247" s="17" t="str">
        <f aca="false">IF((E247="g"),H247," ")</f>
        <v> </v>
      </c>
      <c r="AB247" s="17" t="str">
        <f aca="false">IF((E247="h"),H247," ")</f>
        <v> </v>
      </c>
      <c r="AC247" s="30" t="str">
        <f aca="false">IF((E247="v"),H247," ")</f>
        <v> </v>
      </c>
      <c r="AD247" s="30" t="str">
        <f aca="false">IF((E247="n"),H247," ")</f>
        <v> </v>
      </c>
      <c r="AE247" s="17" t="str">
        <f aca="false">IF((E247="f"),H247," ")</f>
        <v> </v>
      </c>
      <c r="AF247" s="17" t="str">
        <f aca="false">IF((E247="l"),H247," ")</f>
        <v> </v>
      </c>
      <c r="AG247" s="17" t="str">
        <f aca="false">IF((E247="y"),H247," ")</f>
        <v> </v>
      </c>
      <c r="AH247" s="17" t="str">
        <f aca="false">IF((E247="z"),H247," ")</f>
        <v> </v>
      </c>
      <c r="AI247" s="17" t="str">
        <f aca="false">IF((E247="fa"),H247," ")</f>
        <v> </v>
      </c>
      <c r="AJ247" s="17" t="str">
        <f aca="false">IF((E247="e"),H247," ")</f>
        <v> </v>
      </c>
    </row>
    <row r="248" customFormat="false" ht="12" hidden="false" customHeight="false" outlineLevel="0" collapsed="false">
      <c r="A248" s="28"/>
      <c r="E248" s="2" t="str">
        <f aca="false">IF((F248&lt;&gt;0),"Enter Letter"," ")</f>
        <v> </v>
      </c>
      <c r="F248" s="30"/>
      <c r="G248" s="6" t="str">
        <f aca="false">IF(F248&lt;&gt;0,F248*G$2/(100+G$2)," ")</f>
        <v> </v>
      </c>
      <c r="H248" s="6" t="str">
        <f aca="false">IF((F248&lt;&gt;0),F248-G248," ")</f>
        <v> </v>
      </c>
      <c r="I248" s="5"/>
      <c r="L248" s="7" t="str">
        <f aca="false">IF(F248&lt;&gt;0,F248-K248," ")</f>
        <v> </v>
      </c>
      <c r="M248" s="8" t="str">
        <f aca="false">IF((F248-K248)&lt;&gt;0,M$1-A248," ")</f>
        <v> </v>
      </c>
      <c r="N248" s="5"/>
      <c r="O248" s="17" t="str">
        <f aca="false">IF((E248="s"),H248," ")</f>
        <v> </v>
      </c>
      <c r="P248" s="17" t="str">
        <f aca="false">IF((E248="c"),H248," ")</f>
        <v> </v>
      </c>
      <c r="Q248" s="17" t="str">
        <f aca="false">IF((E248="o"),H248," ")</f>
        <v> </v>
      </c>
      <c r="R248" s="17" t="str">
        <f aca="false">IF((E248="d"),H248," ")</f>
        <v> </v>
      </c>
      <c r="S248" s="17" t="str">
        <f aca="false">IF((E248="w"),H248," ")</f>
        <v> </v>
      </c>
      <c r="T248" s="17" t="str">
        <f aca="false">IF((E248="r"),H248," ")</f>
        <v> </v>
      </c>
      <c r="U248" s="17" t="str">
        <f aca="false">IF((E248="p"),H248," ")</f>
        <v> </v>
      </c>
      <c r="V248" s="17" t="str">
        <f aca="false">IF((E248="t"),H248," ")</f>
        <v> </v>
      </c>
      <c r="W248" s="17" t="str">
        <f aca="false">IF((E248="q"),H248," ")</f>
        <v> </v>
      </c>
      <c r="X248" s="17" t="str">
        <f aca="false">IF((E248="m"),H248," ")</f>
        <v> </v>
      </c>
      <c r="Y248" s="17" t="str">
        <f aca="false">IF((E248="u"),H248," ")</f>
        <v> </v>
      </c>
      <c r="Z248" s="17" t="str">
        <f aca="false">IF((E248="a"),H248," ")</f>
        <v> </v>
      </c>
      <c r="AA248" s="17" t="str">
        <f aca="false">IF((E248="g"),H248," ")</f>
        <v> </v>
      </c>
      <c r="AB248" s="17" t="str">
        <f aca="false">IF((E248="h"),H248," ")</f>
        <v> </v>
      </c>
      <c r="AC248" s="30" t="str">
        <f aca="false">IF((E248="v"),H248," ")</f>
        <v> </v>
      </c>
      <c r="AD248" s="30" t="str">
        <f aca="false">IF((E248="n"),H248," ")</f>
        <v> </v>
      </c>
      <c r="AE248" s="17" t="str">
        <f aca="false">IF((E248="f"),H248," ")</f>
        <v> </v>
      </c>
      <c r="AF248" s="17" t="str">
        <f aca="false">IF((E248="l"),H248," ")</f>
        <v> </v>
      </c>
      <c r="AG248" s="17" t="str">
        <f aca="false">IF((E248="y"),H248," ")</f>
        <v> </v>
      </c>
      <c r="AH248" s="17" t="str">
        <f aca="false">IF((E248="z"),H248," ")</f>
        <v> </v>
      </c>
      <c r="AI248" s="17" t="str">
        <f aca="false">IF((E248="fa"),H248," ")</f>
        <v> </v>
      </c>
      <c r="AJ248" s="17" t="str">
        <f aca="false">IF((E248="e"),H248," ")</f>
        <v> </v>
      </c>
    </row>
    <row r="249" customFormat="false" ht="12" hidden="false" customHeight="false" outlineLevel="0" collapsed="false">
      <c r="A249" s="28"/>
      <c r="E249" s="2" t="str">
        <f aca="false">IF((F249&lt;&gt;0),"Enter Letter"," ")</f>
        <v> </v>
      </c>
      <c r="F249" s="30"/>
      <c r="G249" s="6" t="str">
        <f aca="false">IF(F249&lt;&gt;0,F249*G$2/(100+G$2)," ")</f>
        <v> </v>
      </c>
      <c r="H249" s="6" t="str">
        <f aca="false">IF((F249&lt;&gt;0),F249-G249," ")</f>
        <v> </v>
      </c>
      <c r="I249" s="5"/>
      <c r="L249" s="7" t="str">
        <f aca="false">IF(F249&lt;&gt;0,F249-K249," ")</f>
        <v> </v>
      </c>
      <c r="M249" s="8" t="str">
        <f aca="false">IF((F249-K249)&lt;&gt;0,M$1-A249," ")</f>
        <v> </v>
      </c>
      <c r="N249" s="5"/>
      <c r="O249" s="17" t="str">
        <f aca="false">IF((E249="s"),H249," ")</f>
        <v> </v>
      </c>
      <c r="P249" s="17" t="str">
        <f aca="false">IF((E249="c"),H249," ")</f>
        <v> </v>
      </c>
      <c r="Q249" s="17" t="str">
        <f aca="false">IF((E249="o"),H249," ")</f>
        <v> </v>
      </c>
      <c r="R249" s="17" t="str">
        <f aca="false">IF((E249="d"),H249," ")</f>
        <v> </v>
      </c>
      <c r="S249" s="17" t="str">
        <f aca="false">IF((E249="w"),H249," ")</f>
        <v> </v>
      </c>
      <c r="T249" s="17" t="str">
        <f aca="false">IF((E249="r"),H249," ")</f>
        <v> </v>
      </c>
      <c r="U249" s="17" t="str">
        <f aca="false">IF((E249="p"),H249," ")</f>
        <v> </v>
      </c>
      <c r="V249" s="17" t="str">
        <f aca="false">IF((E249="t"),H249," ")</f>
        <v> </v>
      </c>
      <c r="W249" s="17" t="str">
        <f aca="false">IF((E249="q"),H249," ")</f>
        <v> </v>
      </c>
      <c r="X249" s="17" t="str">
        <f aca="false">IF((E249="m"),H249," ")</f>
        <v> </v>
      </c>
      <c r="Y249" s="17" t="str">
        <f aca="false">IF((E249="u"),H249," ")</f>
        <v> </v>
      </c>
      <c r="Z249" s="17" t="str">
        <f aca="false">IF((E249="a"),H249," ")</f>
        <v> </v>
      </c>
      <c r="AA249" s="17" t="str">
        <f aca="false">IF((E249="g"),H249," ")</f>
        <v> </v>
      </c>
      <c r="AB249" s="17" t="str">
        <f aca="false">IF((E249="h"),H249," ")</f>
        <v> </v>
      </c>
      <c r="AC249" s="30" t="str">
        <f aca="false">IF((E249="v"),H249," ")</f>
        <v> </v>
      </c>
      <c r="AD249" s="30" t="str">
        <f aca="false">IF((E249="n"),H249," ")</f>
        <v> </v>
      </c>
      <c r="AE249" s="17" t="str">
        <f aca="false">IF((E249="f"),H249," ")</f>
        <v> </v>
      </c>
      <c r="AF249" s="17" t="str">
        <f aca="false">IF((E249="l"),H249," ")</f>
        <v> </v>
      </c>
      <c r="AG249" s="17" t="str">
        <f aca="false">IF((E249="y"),H249," ")</f>
        <v> </v>
      </c>
      <c r="AH249" s="17" t="str">
        <f aca="false">IF((E249="z"),H249," ")</f>
        <v> </v>
      </c>
      <c r="AI249" s="17" t="str">
        <f aca="false">IF((E249="fa"),H249," ")</f>
        <v> </v>
      </c>
      <c r="AJ249" s="17" t="str">
        <f aca="false">IF((E249="e"),H249," ")</f>
        <v> </v>
      </c>
    </row>
    <row r="250" customFormat="false" ht="12" hidden="false" customHeight="false" outlineLevel="0" collapsed="false">
      <c r="A250" s="28"/>
      <c r="E250" s="2" t="str">
        <f aca="false">IF((F250&lt;&gt;0),"Enter Letter"," ")</f>
        <v> </v>
      </c>
      <c r="F250" s="30"/>
      <c r="G250" s="6" t="str">
        <f aca="false">IF(F250&lt;&gt;0,F250*G$2/(100+G$2)," ")</f>
        <v> </v>
      </c>
      <c r="H250" s="6" t="str">
        <f aca="false">IF((F250&lt;&gt;0),F250-G250," ")</f>
        <v> </v>
      </c>
      <c r="I250" s="5"/>
      <c r="L250" s="7" t="str">
        <f aca="false">IF(F250&lt;&gt;0,F250-K250," ")</f>
        <v> </v>
      </c>
      <c r="M250" s="8" t="str">
        <f aca="false">IF((F250-K250)&lt;&gt;0,M$1-A250," ")</f>
        <v> </v>
      </c>
      <c r="N250" s="5"/>
      <c r="O250" s="17" t="str">
        <f aca="false">IF((E250="s"),H250," ")</f>
        <v> </v>
      </c>
      <c r="P250" s="17" t="str">
        <f aca="false">IF((E250="c"),H250," ")</f>
        <v> </v>
      </c>
      <c r="Q250" s="17" t="str">
        <f aca="false">IF((E250="o"),H250," ")</f>
        <v> </v>
      </c>
      <c r="R250" s="17" t="str">
        <f aca="false">IF((E250="d"),H250," ")</f>
        <v> </v>
      </c>
      <c r="S250" s="17" t="str">
        <f aca="false">IF((E250="w"),H250," ")</f>
        <v> </v>
      </c>
      <c r="T250" s="17" t="str">
        <f aca="false">IF((E250="r"),H250," ")</f>
        <v> </v>
      </c>
      <c r="U250" s="17" t="str">
        <f aca="false">IF((E250="p"),H250," ")</f>
        <v> </v>
      </c>
      <c r="V250" s="17" t="str">
        <f aca="false">IF((E250="t"),H250," ")</f>
        <v> </v>
      </c>
      <c r="W250" s="17" t="str">
        <f aca="false">IF((E250="q"),H250," ")</f>
        <v> </v>
      </c>
      <c r="X250" s="17" t="str">
        <f aca="false">IF((E250="m"),H250," ")</f>
        <v> </v>
      </c>
      <c r="Y250" s="17" t="str">
        <f aca="false">IF((E250="u"),H250," ")</f>
        <v> </v>
      </c>
      <c r="Z250" s="17" t="str">
        <f aca="false">IF((E250="a"),H250," ")</f>
        <v> </v>
      </c>
      <c r="AA250" s="17" t="str">
        <f aca="false">IF((E250="g"),H250," ")</f>
        <v> </v>
      </c>
      <c r="AB250" s="17" t="str">
        <f aca="false">IF((E250="h"),H250," ")</f>
        <v> </v>
      </c>
      <c r="AC250" s="30" t="str">
        <f aca="false">IF((E250="v"),H250," ")</f>
        <v> </v>
      </c>
      <c r="AD250" s="30" t="str">
        <f aca="false">IF((E250="n"),H250," ")</f>
        <v> </v>
      </c>
      <c r="AE250" s="17" t="str">
        <f aca="false">IF((E250="f"),H250," ")</f>
        <v> </v>
      </c>
      <c r="AF250" s="17" t="str">
        <f aca="false">IF((E250="l"),H250," ")</f>
        <v> </v>
      </c>
      <c r="AG250" s="17" t="str">
        <f aca="false">IF((E250="y"),H250," ")</f>
        <v> </v>
      </c>
      <c r="AH250" s="17" t="str">
        <f aca="false">IF((E250="z"),H250," ")</f>
        <v> </v>
      </c>
      <c r="AI250" s="17" t="str">
        <f aca="false">IF((E250="fa"),H250," ")</f>
        <v> </v>
      </c>
      <c r="AJ250" s="17" t="str">
        <f aca="false">IF((E250="e"),H250," ")</f>
        <v> </v>
      </c>
    </row>
    <row r="251" customFormat="false" ht="12" hidden="false" customHeight="false" outlineLevel="0" collapsed="false">
      <c r="A251" s="28"/>
      <c r="E251" s="2" t="str">
        <f aca="false">IF((F251&lt;&gt;0),"Enter Letter"," ")</f>
        <v> </v>
      </c>
      <c r="F251" s="30"/>
      <c r="G251" s="6" t="str">
        <f aca="false">IF(F251&lt;&gt;0,F251*G$2/(100+G$2)," ")</f>
        <v> </v>
      </c>
      <c r="H251" s="6" t="str">
        <f aca="false">IF((F251&lt;&gt;0),F251-G251," ")</f>
        <v> </v>
      </c>
      <c r="I251" s="5"/>
      <c r="L251" s="7" t="str">
        <f aca="false">IF(F251&lt;&gt;0,F251-K251," ")</f>
        <v> </v>
      </c>
      <c r="M251" s="8" t="str">
        <f aca="false">IF((F251-K251)&lt;&gt;0,M$1-A251," ")</f>
        <v> </v>
      </c>
      <c r="N251" s="5"/>
      <c r="O251" s="17" t="str">
        <f aca="false">IF((E251="s"),H251," ")</f>
        <v> </v>
      </c>
      <c r="P251" s="17" t="str">
        <f aca="false">IF((E251="c"),H251," ")</f>
        <v> </v>
      </c>
      <c r="Q251" s="17" t="str">
        <f aca="false">IF((E251="o"),H251," ")</f>
        <v> </v>
      </c>
      <c r="R251" s="17" t="str">
        <f aca="false">IF((E251="d"),H251," ")</f>
        <v> </v>
      </c>
      <c r="S251" s="17" t="str">
        <f aca="false">IF((E251="w"),H251," ")</f>
        <v> </v>
      </c>
      <c r="T251" s="17" t="str">
        <f aca="false">IF((E251="r"),H251," ")</f>
        <v> </v>
      </c>
      <c r="U251" s="17" t="str">
        <f aca="false">IF((E251="p"),H251," ")</f>
        <v> </v>
      </c>
      <c r="V251" s="17" t="str">
        <f aca="false">IF((E251="t"),H251," ")</f>
        <v> </v>
      </c>
      <c r="W251" s="17" t="str">
        <f aca="false">IF((E251="q"),H251," ")</f>
        <v> </v>
      </c>
      <c r="X251" s="17" t="str">
        <f aca="false">IF((E251="m"),H251," ")</f>
        <v> </v>
      </c>
      <c r="Y251" s="17" t="str">
        <f aca="false">IF((E251="u"),H251," ")</f>
        <v> </v>
      </c>
      <c r="Z251" s="17" t="str">
        <f aca="false">IF((E251="a"),H251," ")</f>
        <v> </v>
      </c>
      <c r="AA251" s="17" t="str">
        <f aca="false">IF((E251="g"),H251," ")</f>
        <v> </v>
      </c>
      <c r="AB251" s="17" t="str">
        <f aca="false">IF((E251="h"),H251," ")</f>
        <v> </v>
      </c>
      <c r="AC251" s="30" t="str">
        <f aca="false">IF((E251="v"),H251," ")</f>
        <v> </v>
      </c>
      <c r="AD251" s="30" t="str">
        <f aca="false">IF((E251="n"),H251," ")</f>
        <v> </v>
      </c>
      <c r="AE251" s="17" t="str">
        <f aca="false">IF((E251="f"),H251," ")</f>
        <v> </v>
      </c>
      <c r="AF251" s="17" t="str">
        <f aca="false">IF((E251="l"),H251," ")</f>
        <v> </v>
      </c>
      <c r="AG251" s="17" t="str">
        <f aca="false">IF((E251="y"),H251," ")</f>
        <v> </v>
      </c>
      <c r="AH251" s="17" t="str">
        <f aca="false">IF((E251="z"),H251," ")</f>
        <v> </v>
      </c>
      <c r="AI251" s="17" t="str">
        <f aca="false">IF((E251="fa"),H251," ")</f>
        <v> </v>
      </c>
      <c r="AJ251" s="17" t="str">
        <f aca="false">IF((E251="e"),H251," ")</f>
        <v> </v>
      </c>
    </row>
    <row r="252" customFormat="false" ht="12" hidden="false" customHeight="false" outlineLevel="0" collapsed="false">
      <c r="A252" s="28"/>
      <c r="E252" s="2" t="str">
        <f aca="false">IF((F252&lt;&gt;0),"Enter Letter"," ")</f>
        <v> </v>
      </c>
      <c r="F252" s="30"/>
      <c r="G252" s="6" t="str">
        <f aca="false">IF(F252&lt;&gt;0,F252*G$2/(100+G$2)," ")</f>
        <v> </v>
      </c>
      <c r="H252" s="6" t="str">
        <f aca="false">IF((F252&lt;&gt;0),F252-G252," ")</f>
        <v> </v>
      </c>
      <c r="I252" s="5"/>
      <c r="L252" s="7" t="str">
        <f aca="false">IF(F252&lt;&gt;0,F252-K252," ")</f>
        <v> </v>
      </c>
      <c r="M252" s="8" t="str">
        <f aca="false">IF((F252-K252)&lt;&gt;0,M$1-A252," ")</f>
        <v> </v>
      </c>
      <c r="N252" s="5"/>
      <c r="O252" s="17" t="str">
        <f aca="false">IF((E252="s"),H252," ")</f>
        <v> </v>
      </c>
      <c r="P252" s="17" t="str">
        <f aca="false">IF((E252="c"),H252," ")</f>
        <v> </v>
      </c>
      <c r="Q252" s="17" t="str">
        <f aca="false">IF((E252="o"),H252," ")</f>
        <v> </v>
      </c>
      <c r="R252" s="17" t="str">
        <f aca="false">IF((E252="d"),H252," ")</f>
        <v> </v>
      </c>
      <c r="S252" s="17" t="str">
        <f aca="false">IF((E252="w"),H252," ")</f>
        <v> </v>
      </c>
      <c r="T252" s="17" t="str">
        <f aca="false">IF((E252="r"),H252," ")</f>
        <v> </v>
      </c>
      <c r="U252" s="17" t="str">
        <f aca="false">IF((E252="p"),H252," ")</f>
        <v> </v>
      </c>
      <c r="V252" s="17" t="str">
        <f aca="false">IF((E252="t"),H252," ")</f>
        <v> </v>
      </c>
      <c r="W252" s="17" t="str">
        <f aca="false">IF((E252="q"),H252," ")</f>
        <v> </v>
      </c>
      <c r="X252" s="17" t="str">
        <f aca="false">IF((E252="m"),H252," ")</f>
        <v> </v>
      </c>
      <c r="Y252" s="17" t="str">
        <f aca="false">IF((E252="u"),H252," ")</f>
        <v> </v>
      </c>
      <c r="Z252" s="17" t="str">
        <f aca="false">IF((E252="a"),H252," ")</f>
        <v> </v>
      </c>
      <c r="AA252" s="17" t="str">
        <f aca="false">IF((E252="g"),H252," ")</f>
        <v> </v>
      </c>
      <c r="AB252" s="17" t="str">
        <f aca="false">IF((E252="h"),H252," ")</f>
        <v> </v>
      </c>
      <c r="AC252" s="30" t="str">
        <f aca="false">IF((E252="v"),H252," ")</f>
        <v> </v>
      </c>
      <c r="AD252" s="30" t="str">
        <f aca="false">IF((E252="n"),H252," ")</f>
        <v> </v>
      </c>
      <c r="AE252" s="17" t="str">
        <f aca="false">IF((E252="f"),H252," ")</f>
        <v> </v>
      </c>
      <c r="AF252" s="17" t="str">
        <f aca="false">IF((E252="l"),H252," ")</f>
        <v> </v>
      </c>
      <c r="AG252" s="17" t="str">
        <f aca="false">IF((E252="y"),H252," ")</f>
        <v> </v>
      </c>
      <c r="AH252" s="17" t="str">
        <f aca="false">IF((E252="z"),H252," ")</f>
        <v> </v>
      </c>
      <c r="AI252" s="17" t="str">
        <f aca="false">IF((E252="fa"),H252," ")</f>
        <v> </v>
      </c>
      <c r="AJ252" s="17" t="str">
        <f aca="false">IF((E252="e"),H252," ")</f>
        <v> </v>
      </c>
    </row>
    <row r="253" customFormat="false" ht="12" hidden="false" customHeight="false" outlineLevel="0" collapsed="false">
      <c r="A253" s="28"/>
      <c r="E253" s="2" t="str">
        <f aca="false">IF((F253&lt;&gt;0),"Enter Letter"," ")</f>
        <v> </v>
      </c>
      <c r="F253" s="30"/>
      <c r="G253" s="6" t="str">
        <f aca="false">IF(F253&lt;&gt;0,F253*G$2/(100+G$2)," ")</f>
        <v> </v>
      </c>
      <c r="H253" s="6" t="str">
        <f aca="false">IF((F253&lt;&gt;0),F253-G253," ")</f>
        <v> </v>
      </c>
      <c r="I253" s="5"/>
      <c r="L253" s="7" t="str">
        <f aca="false">IF(F253&lt;&gt;0,F253-K253," ")</f>
        <v> </v>
      </c>
      <c r="M253" s="8" t="str">
        <f aca="false">IF((F253-K253)&lt;&gt;0,M$1-A253," ")</f>
        <v> </v>
      </c>
      <c r="N253" s="5"/>
      <c r="O253" s="17" t="str">
        <f aca="false">IF((E253="s"),H253," ")</f>
        <v> </v>
      </c>
      <c r="P253" s="17" t="str">
        <f aca="false">IF((E253="c"),H253," ")</f>
        <v> </v>
      </c>
      <c r="Q253" s="17" t="str">
        <f aca="false">IF((E253="o"),H253," ")</f>
        <v> </v>
      </c>
      <c r="R253" s="17" t="str">
        <f aca="false">IF((E253="d"),H253," ")</f>
        <v> </v>
      </c>
      <c r="S253" s="17" t="str">
        <f aca="false">IF((E253="w"),H253," ")</f>
        <v> </v>
      </c>
      <c r="T253" s="17" t="str">
        <f aca="false">IF((E253="r"),H253," ")</f>
        <v> </v>
      </c>
      <c r="U253" s="17" t="str">
        <f aca="false">IF((E253="p"),H253," ")</f>
        <v> </v>
      </c>
      <c r="V253" s="17" t="str">
        <f aca="false">IF((E253="t"),H253," ")</f>
        <v> </v>
      </c>
      <c r="W253" s="17" t="str">
        <f aca="false">IF((E253="q"),H253," ")</f>
        <v> </v>
      </c>
      <c r="X253" s="17" t="str">
        <f aca="false">IF((E253="m"),H253," ")</f>
        <v> </v>
      </c>
      <c r="Y253" s="17" t="str">
        <f aca="false">IF((E253="u"),H253," ")</f>
        <v> </v>
      </c>
      <c r="Z253" s="17" t="str">
        <f aca="false">IF((E253="a"),H253," ")</f>
        <v> </v>
      </c>
      <c r="AA253" s="17" t="str">
        <f aca="false">IF((E253="g"),H253," ")</f>
        <v> </v>
      </c>
      <c r="AB253" s="17" t="str">
        <f aca="false">IF((E253="h"),H253," ")</f>
        <v> </v>
      </c>
      <c r="AC253" s="30" t="str">
        <f aca="false">IF((E253="v"),H253," ")</f>
        <v> </v>
      </c>
      <c r="AD253" s="30" t="str">
        <f aca="false">IF((E253="n"),H253," ")</f>
        <v> </v>
      </c>
      <c r="AE253" s="17" t="str">
        <f aca="false">IF((E253="f"),H253," ")</f>
        <v> </v>
      </c>
      <c r="AF253" s="17" t="str">
        <f aca="false">IF((E253="l"),H253," ")</f>
        <v> </v>
      </c>
      <c r="AG253" s="17" t="str">
        <f aca="false">IF((E253="y"),H253," ")</f>
        <v> </v>
      </c>
      <c r="AH253" s="17" t="str">
        <f aca="false">IF((E253="z"),H253," ")</f>
        <v> </v>
      </c>
      <c r="AI253" s="17" t="str">
        <f aca="false">IF((E253="fa"),H253," ")</f>
        <v> </v>
      </c>
      <c r="AJ253" s="17" t="str">
        <f aca="false">IF((E253="e"),H253," ")</f>
        <v> </v>
      </c>
    </row>
    <row r="254" customFormat="false" ht="12" hidden="false" customHeight="false" outlineLevel="0" collapsed="false">
      <c r="A254" s="28"/>
      <c r="E254" s="2" t="str">
        <f aca="false">IF((F254&lt;&gt;0),"Enter Letter"," ")</f>
        <v> </v>
      </c>
      <c r="F254" s="30"/>
      <c r="G254" s="6" t="str">
        <f aca="false">IF(F254&lt;&gt;0,F254*G$2/(100+G$2)," ")</f>
        <v> </v>
      </c>
      <c r="H254" s="6" t="str">
        <f aca="false">IF((F254&lt;&gt;0),F254-G254," ")</f>
        <v> </v>
      </c>
      <c r="I254" s="5"/>
      <c r="L254" s="7" t="str">
        <f aca="false">IF(F254&lt;&gt;0,F254-K254," ")</f>
        <v> </v>
      </c>
      <c r="M254" s="8" t="str">
        <f aca="false">IF((F254-K254)&lt;&gt;0,M$1-A254," ")</f>
        <v> </v>
      </c>
      <c r="N254" s="5"/>
      <c r="O254" s="17" t="str">
        <f aca="false">IF((E254="s"),H254," ")</f>
        <v> </v>
      </c>
      <c r="P254" s="17" t="str">
        <f aca="false">IF((E254="c"),H254," ")</f>
        <v> </v>
      </c>
      <c r="Q254" s="17" t="str">
        <f aca="false">IF((E254="o"),H254," ")</f>
        <v> </v>
      </c>
      <c r="R254" s="17" t="str">
        <f aca="false">IF((E254="d"),H254," ")</f>
        <v> </v>
      </c>
      <c r="S254" s="17" t="str">
        <f aca="false">IF((E254="w"),H254," ")</f>
        <v> </v>
      </c>
      <c r="T254" s="17" t="str">
        <f aca="false">IF((E254="r"),H254," ")</f>
        <v> </v>
      </c>
      <c r="U254" s="17" t="str">
        <f aca="false">IF((E254="p"),H254," ")</f>
        <v> </v>
      </c>
      <c r="V254" s="17" t="str">
        <f aca="false">IF((E254="t"),H254," ")</f>
        <v> </v>
      </c>
      <c r="W254" s="17" t="str">
        <f aca="false">IF((E254="q"),H254," ")</f>
        <v> </v>
      </c>
      <c r="X254" s="17" t="str">
        <f aca="false">IF((E254="m"),H254," ")</f>
        <v> </v>
      </c>
      <c r="Y254" s="17" t="str">
        <f aca="false">IF((E254="u"),H254," ")</f>
        <v> </v>
      </c>
      <c r="Z254" s="17" t="str">
        <f aca="false">IF((E254="a"),H254," ")</f>
        <v> </v>
      </c>
      <c r="AA254" s="17" t="str">
        <f aca="false">IF((E254="g"),H254," ")</f>
        <v> </v>
      </c>
      <c r="AB254" s="17" t="str">
        <f aca="false">IF((E254="h"),H254," ")</f>
        <v> </v>
      </c>
      <c r="AC254" s="30" t="str">
        <f aca="false">IF((E254="v"),H254," ")</f>
        <v> </v>
      </c>
      <c r="AD254" s="30" t="str">
        <f aca="false">IF((E254="n"),H254," ")</f>
        <v> </v>
      </c>
      <c r="AE254" s="17" t="str">
        <f aca="false">IF((E254="f"),H254," ")</f>
        <v> </v>
      </c>
      <c r="AF254" s="17" t="str">
        <f aca="false">IF((E254="l"),H254," ")</f>
        <v> </v>
      </c>
      <c r="AG254" s="17" t="str">
        <f aca="false">IF((E254="y"),H254," ")</f>
        <v> </v>
      </c>
      <c r="AH254" s="17" t="str">
        <f aca="false">IF((E254="z"),H254," ")</f>
        <v> </v>
      </c>
      <c r="AI254" s="17" t="str">
        <f aca="false">IF((E254="fa"),H254," ")</f>
        <v> </v>
      </c>
      <c r="AJ254" s="17" t="str">
        <f aca="false">IF((E254="e"),H254," ")</f>
        <v> </v>
      </c>
    </row>
    <row r="255" customFormat="false" ht="12" hidden="false" customHeight="false" outlineLevel="0" collapsed="false">
      <c r="A255" s="28"/>
      <c r="E255" s="2" t="str">
        <f aca="false">IF((F255&lt;&gt;0),"Enter Letter"," ")</f>
        <v> </v>
      </c>
      <c r="F255" s="30"/>
      <c r="G255" s="6" t="str">
        <f aca="false">IF(F255&lt;&gt;0,F255*G$2/(100+G$2)," ")</f>
        <v> </v>
      </c>
      <c r="H255" s="6" t="str">
        <f aca="false">IF((F255&lt;&gt;0),F255-G255," ")</f>
        <v> </v>
      </c>
      <c r="I255" s="5"/>
      <c r="L255" s="7" t="str">
        <f aca="false">IF(F255&lt;&gt;0,F255-K255," ")</f>
        <v> </v>
      </c>
      <c r="M255" s="8" t="str">
        <f aca="false">IF((F255-K255)&lt;&gt;0,M$1-A255," ")</f>
        <v> </v>
      </c>
      <c r="N255" s="5"/>
      <c r="O255" s="17" t="str">
        <f aca="false">IF((E255="s"),H255," ")</f>
        <v> </v>
      </c>
      <c r="P255" s="17" t="str">
        <f aca="false">IF((E255="c"),H255," ")</f>
        <v> </v>
      </c>
      <c r="Q255" s="17" t="str">
        <f aca="false">IF((E255="o"),H255," ")</f>
        <v> </v>
      </c>
      <c r="R255" s="17" t="str">
        <f aca="false">IF((E255="d"),H255," ")</f>
        <v> </v>
      </c>
      <c r="S255" s="17" t="str">
        <f aca="false">IF((E255="w"),H255," ")</f>
        <v> </v>
      </c>
      <c r="T255" s="17" t="str">
        <f aca="false">IF((E255="r"),H255," ")</f>
        <v> </v>
      </c>
      <c r="U255" s="17" t="str">
        <f aca="false">IF((E255="p"),H255," ")</f>
        <v> </v>
      </c>
      <c r="V255" s="17" t="str">
        <f aca="false">IF((E255="t"),H255," ")</f>
        <v> </v>
      </c>
      <c r="W255" s="17" t="str">
        <f aca="false">IF((E255="q"),H255," ")</f>
        <v> </v>
      </c>
      <c r="X255" s="17" t="str">
        <f aca="false">IF((E255="m"),H255," ")</f>
        <v> </v>
      </c>
      <c r="Y255" s="17" t="str">
        <f aca="false">IF((E255="u"),H255," ")</f>
        <v> </v>
      </c>
      <c r="Z255" s="17" t="str">
        <f aca="false">IF((E255="a"),H255," ")</f>
        <v> </v>
      </c>
      <c r="AA255" s="17" t="str">
        <f aca="false">IF((E255="g"),H255," ")</f>
        <v> </v>
      </c>
      <c r="AB255" s="17" t="str">
        <f aca="false">IF((E255="h"),H255," ")</f>
        <v> </v>
      </c>
      <c r="AC255" s="30" t="str">
        <f aca="false">IF((E255="v"),H255," ")</f>
        <v> </v>
      </c>
      <c r="AD255" s="30" t="str">
        <f aca="false">IF((E255="n"),H255," ")</f>
        <v> </v>
      </c>
      <c r="AE255" s="17" t="str">
        <f aca="false">IF((E255="f"),H255," ")</f>
        <v> </v>
      </c>
      <c r="AF255" s="17" t="str">
        <f aca="false">IF((E255="l"),H255," ")</f>
        <v> </v>
      </c>
      <c r="AG255" s="17" t="str">
        <f aca="false">IF((E255="y"),H255," ")</f>
        <v> </v>
      </c>
      <c r="AH255" s="17" t="str">
        <f aca="false">IF((E255="z"),H255," ")</f>
        <v> </v>
      </c>
      <c r="AI255" s="17" t="str">
        <f aca="false">IF((E255="fa"),H255," ")</f>
        <v> </v>
      </c>
      <c r="AJ255" s="17" t="str">
        <f aca="false">IF((E255="e"),H255," ")</f>
        <v> </v>
      </c>
    </row>
    <row r="256" customFormat="false" ht="12" hidden="false" customHeight="false" outlineLevel="0" collapsed="false">
      <c r="A256" s="28"/>
      <c r="E256" s="2" t="str">
        <f aca="false">IF((F256&lt;&gt;0),"Enter Letter"," ")</f>
        <v> </v>
      </c>
      <c r="F256" s="30"/>
      <c r="G256" s="6" t="str">
        <f aca="false">IF(F256&lt;&gt;0,F256*G$2/(100+G$2)," ")</f>
        <v> </v>
      </c>
      <c r="H256" s="6" t="str">
        <f aca="false">IF((F256&lt;&gt;0),F256-G256," ")</f>
        <v> </v>
      </c>
      <c r="I256" s="5"/>
      <c r="L256" s="7" t="str">
        <f aca="false">IF(F256&lt;&gt;0,F256-K256," ")</f>
        <v> </v>
      </c>
      <c r="M256" s="8" t="str">
        <f aca="false">IF((F256-K256)&lt;&gt;0,M$1-A256," ")</f>
        <v> </v>
      </c>
      <c r="N256" s="5"/>
      <c r="O256" s="17" t="str">
        <f aca="false">IF((E256="s"),H256," ")</f>
        <v> </v>
      </c>
      <c r="P256" s="17" t="str">
        <f aca="false">IF((E256="c"),H256," ")</f>
        <v> </v>
      </c>
      <c r="Q256" s="17" t="str">
        <f aca="false">IF((E256="o"),H256," ")</f>
        <v> </v>
      </c>
      <c r="R256" s="17" t="str">
        <f aca="false">IF((E256="d"),H256," ")</f>
        <v> </v>
      </c>
      <c r="S256" s="17" t="str">
        <f aca="false">IF((E256="w"),H256," ")</f>
        <v> </v>
      </c>
      <c r="T256" s="17" t="str">
        <f aca="false">IF((E256="r"),H256," ")</f>
        <v> </v>
      </c>
      <c r="U256" s="17" t="str">
        <f aca="false">IF((E256="p"),H256," ")</f>
        <v> </v>
      </c>
      <c r="V256" s="17" t="str">
        <f aca="false">IF((E256="t"),H256," ")</f>
        <v> </v>
      </c>
      <c r="W256" s="17" t="str">
        <f aca="false">IF((E256="q"),H256," ")</f>
        <v> </v>
      </c>
      <c r="X256" s="17" t="str">
        <f aca="false">IF((E256="m"),H256," ")</f>
        <v> </v>
      </c>
      <c r="Y256" s="17" t="str">
        <f aca="false">IF((E256="u"),H256," ")</f>
        <v> </v>
      </c>
      <c r="Z256" s="17" t="str">
        <f aca="false">IF((E256="a"),H256," ")</f>
        <v> </v>
      </c>
      <c r="AA256" s="17" t="str">
        <f aca="false">IF((E256="g"),H256," ")</f>
        <v> </v>
      </c>
      <c r="AB256" s="17" t="str">
        <f aca="false">IF((E256="h"),H256," ")</f>
        <v> </v>
      </c>
      <c r="AC256" s="30" t="str">
        <f aca="false">IF((E256="v"),H256," ")</f>
        <v> </v>
      </c>
      <c r="AD256" s="30" t="str">
        <f aca="false">IF((E256="n"),H256," ")</f>
        <v> </v>
      </c>
      <c r="AE256" s="17" t="str">
        <f aca="false">IF((E256="f"),H256," ")</f>
        <v> </v>
      </c>
      <c r="AF256" s="17" t="str">
        <f aca="false">IF((E256="l"),H256," ")</f>
        <v> </v>
      </c>
      <c r="AG256" s="17" t="str">
        <f aca="false">IF((E256="y"),H256," ")</f>
        <v> </v>
      </c>
      <c r="AH256" s="17" t="str">
        <f aca="false">IF((E256="z"),H256," ")</f>
        <v> </v>
      </c>
      <c r="AI256" s="17" t="str">
        <f aca="false">IF((E256="fa"),H256," ")</f>
        <v> </v>
      </c>
      <c r="AJ256" s="17" t="str">
        <f aca="false">IF((E256="e"),H256," ")</f>
        <v> </v>
      </c>
    </row>
    <row r="257" customFormat="false" ht="12" hidden="false" customHeight="false" outlineLevel="0" collapsed="false">
      <c r="A257" s="28"/>
      <c r="E257" s="2" t="str">
        <f aca="false">IF((F257&lt;&gt;0),"Enter Letter"," ")</f>
        <v> </v>
      </c>
      <c r="F257" s="30"/>
      <c r="G257" s="6" t="str">
        <f aca="false">IF(F257&lt;&gt;0,F257*G$2/(100+G$2)," ")</f>
        <v> </v>
      </c>
      <c r="H257" s="6" t="str">
        <f aca="false">IF((F257&lt;&gt;0),F257-G257," ")</f>
        <v> </v>
      </c>
      <c r="I257" s="5"/>
      <c r="L257" s="7" t="str">
        <f aca="false">IF(F257&lt;&gt;0,F257-K257," ")</f>
        <v> </v>
      </c>
      <c r="M257" s="8" t="str">
        <f aca="false">IF((F257-K257)&lt;&gt;0,M$1-A257," ")</f>
        <v> </v>
      </c>
      <c r="N257" s="5"/>
      <c r="O257" s="17" t="str">
        <f aca="false">IF((E257="s"),H257," ")</f>
        <v> </v>
      </c>
      <c r="P257" s="17" t="str">
        <f aca="false">IF((E257="c"),H257," ")</f>
        <v> </v>
      </c>
      <c r="Q257" s="17" t="str">
        <f aca="false">IF((E257="o"),H257," ")</f>
        <v> </v>
      </c>
      <c r="R257" s="17" t="str">
        <f aca="false">IF((E257="d"),H257," ")</f>
        <v> </v>
      </c>
      <c r="S257" s="17" t="str">
        <f aca="false">IF((E257="w"),H257," ")</f>
        <v> </v>
      </c>
      <c r="T257" s="17" t="str">
        <f aca="false">IF((E257="r"),H257," ")</f>
        <v> </v>
      </c>
      <c r="U257" s="17" t="str">
        <f aca="false">IF((E257="p"),H257," ")</f>
        <v> </v>
      </c>
      <c r="V257" s="17" t="str">
        <f aca="false">IF((E257="t"),H257," ")</f>
        <v> </v>
      </c>
      <c r="W257" s="17" t="str">
        <f aca="false">IF((E257="q"),H257," ")</f>
        <v> </v>
      </c>
      <c r="X257" s="17" t="str">
        <f aca="false">IF((E257="m"),H257," ")</f>
        <v> </v>
      </c>
      <c r="Y257" s="17" t="str">
        <f aca="false">IF((E257="u"),H257," ")</f>
        <v> </v>
      </c>
      <c r="Z257" s="17" t="str">
        <f aca="false">IF((E257="a"),H257," ")</f>
        <v> </v>
      </c>
      <c r="AA257" s="17" t="str">
        <f aca="false">IF((E257="g"),H257," ")</f>
        <v> </v>
      </c>
      <c r="AB257" s="17" t="str">
        <f aca="false">IF((E257="h"),H257," ")</f>
        <v> </v>
      </c>
      <c r="AC257" s="30" t="str">
        <f aca="false">IF((E257="v"),H257," ")</f>
        <v> </v>
      </c>
      <c r="AD257" s="30" t="str">
        <f aca="false">IF((E257="n"),H257," ")</f>
        <v> </v>
      </c>
      <c r="AE257" s="17" t="str">
        <f aca="false">IF((E257="f"),H257," ")</f>
        <v> </v>
      </c>
      <c r="AF257" s="17" t="str">
        <f aca="false">IF((E257="l"),H257," ")</f>
        <v> </v>
      </c>
      <c r="AG257" s="17" t="str">
        <f aca="false">IF((E257="y"),H257," ")</f>
        <v> </v>
      </c>
      <c r="AH257" s="17" t="str">
        <f aca="false">IF((E257="z"),H257," ")</f>
        <v> </v>
      </c>
      <c r="AI257" s="17" t="str">
        <f aca="false">IF((E257="fa"),H257," ")</f>
        <v> </v>
      </c>
      <c r="AJ257" s="17" t="str">
        <f aca="false">IF((E257="e"),H257," ")</f>
        <v> </v>
      </c>
    </row>
    <row r="258" customFormat="false" ht="12" hidden="false" customHeight="false" outlineLevel="0" collapsed="false">
      <c r="A258" s="28"/>
      <c r="E258" s="2" t="str">
        <f aca="false">IF((F258&lt;&gt;0),"Enter Letter"," ")</f>
        <v> </v>
      </c>
      <c r="F258" s="30"/>
      <c r="G258" s="6" t="str">
        <f aca="false">IF(F258&lt;&gt;0,F258*G$2/(100+G$2)," ")</f>
        <v> </v>
      </c>
      <c r="H258" s="6" t="str">
        <f aca="false">IF((F258&lt;&gt;0),F258-G258," ")</f>
        <v> </v>
      </c>
      <c r="I258" s="5"/>
      <c r="L258" s="7" t="str">
        <f aca="false">IF(F258&lt;&gt;0,F258-K258," ")</f>
        <v> </v>
      </c>
      <c r="M258" s="8" t="str">
        <f aca="false">IF((F258-K258)&lt;&gt;0,M$1-A258," ")</f>
        <v> </v>
      </c>
      <c r="N258" s="5"/>
      <c r="O258" s="17" t="str">
        <f aca="false">IF((E258="s"),H258," ")</f>
        <v> </v>
      </c>
      <c r="P258" s="17" t="str">
        <f aca="false">IF((E258="c"),H258," ")</f>
        <v> </v>
      </c>
      <c r="Q258" s="17" t="str">
        <f aca="false">IF((E258="o"),H258," ")</f>
        <v> </v>
      </c>
      <c r="R258" s="17" t="str">
        <f aca="false">IF((E258="d"),H258," ")</f>
        <v> </v>
      </c>
      <c r="S258" s="17" t="str">
        <f aca="false">IF((E258="w"),H258," ")</f>
        <v> </v>
      </c>
      <c r="T258" s="17" t="str">
        <f aca="false">IF((E258="r"),H258," ")</f>
        <v> </v>
      </c>
      <c r="U258" s="17" t="str">
        <f aca="false">IF((E258="p"),H258," ")</f>
        <v> </v>
      </c>
      <c r="V258" s="17" t="str">
        <f aca="false">IF((E258="t"),H258," ")</f>
        <v> </v>
      </c>
      <c r="W258" s="17" t="str">
        <f aca="false">IF((E258="q"),H258," ")</f>
        <v> </v>
      </c>
      <c r="X258" s="17" t="str">
        <f aca="false">IF((E258="m"),H258," ")</f>
        <v> </v>
      </c>
      <c r="Y258" s="17" t="str">
        <f aca="false">IF((E258="u"),H258," ")</f>
        <v> </v>
      </c>
      <c r="Z258" s="17" t="str">
        <f aca="false">IF((E258="a"),H258," ")</f>
        <v> </v>
      </c>
      <c r="AA258" s="17" t="str">
        <f aca="false">IF((E258="g"),H258," ")</f>
        <v> </v>
      </c>
      <c r="AB258" s="17" t="str">
        <f aca="false">IF((E258="h"),H258," ")</f>
        <v> </v>
      </c>
      <c r="AC258" s="30" t="str">
        <f aca="false">IF((E258="v"),H258," ")</f>
        <v> </v>
      </c>
      <c r="AD258" s="30" t="str">
        <f aca="false">IF((E258="n"),H258," ")</f>
        <v> </v>
      </c>
      <c r="AE258" s="17" t="str">
        <f aca="false">IF((E258="f"),H258," ")</f>
        <v> </v>
      </c>
      <c r="AF258" s="17" t="str">
        <f aca="false">IF((E258="l"),H258," ")</f>
        <v> </v>
      </c>
      <c r="AG258" s="17" t="str">
        <f aca="false">IF((E258="y"),H258," ")</f>
        <v> </v>
      </c>
      <c r="AH258" s="17" t="str">
        <f aca="false">IF((E258="z"),H258," ")</f>
        <v> </v>
      </c>
      <c r="AI258" s="17" t="str">
        <f aca="false">IF((E258="fa"),H258," ")</f>
        <v> </v>
      </c>
      <c r="AJ258" s="17" t="str">
        <f aca="false">IF((E258="e"),H258," ")</f>
        <v> </v>
      </c>
    </row>
    <row r="259" customFormat="false" ht="12" hidden="false" customHeight="false" outlineLevel="0" collapsed="false">
      <c r="A259" s="28"/>
      <c r="E259" s="2" t="str">
        <f aca="false">IF((F259&lt;&gt;0),"Enter Letter"," ")</f>
        <v> </v>
      </c>
      <c r="F259" s="30"/>
      <c r="G259" s="6" t="str">
        <f aca="false">IF(F259&lt;&gt;0,F259*G$2/(100+G$2)," ")</f>
        <v> </v>
      </c>
      <c r="H259" s="6" t="str">
        <f aca="false">IF((F259&lt;&gt;0),F259-G259," ")</f>
        <v> </v>
      </c>
      <c r="I259" s="5"/>
      <c r="L259" s="7" t="str">
        <f aca="false">IF(F259&lt;&gt;0,F259-K259," ")</f>
        <v> </v>
      </c>
      <c r="M259" s="8" t="str">
        <f aca="false">IF((F259-K259)&lt;&gt;0,M$1-A259," ")</f>
        <v> </v>
      </c>
      <c r="N259" s="5"/>
      <c r="O259" s="17" t="str">
        <f aca="false">IF((E259="s"),H259," ")</f>
        <v> </v>
      </c>
      <c r="P259" s="17" t="str">
        <f aca="false">IF((E259="c"),H259," ")</f>
        <v> </v>
      </c>
      <c r="Q259" s="17" t="str">
        <f aca="false">IF((E259="o"),H259," ")</f>
        <v> </v>
      </c>
      <c r="R259" s="17" t="str">
        <f aca="false">IF((E259="d"),H259," ")</f>
        <v> </v>
      </c>
      <c r="S259" s="17" t="str">
        <f aca="false">IF((E259="w"),H259," ")</f>
        <v> </v>
      </c>
      <c r="T259" s="17" t="str">
        <f aca="false">IF((E259="r"),H259," ")</f>
        <v> </v>
      </c>
      <c r="U259" s="17" t="str">
        <f aca="false">IF((E259="p"),H259," ")</f>
        <v> </v>
      </c>
      <c r="V259" s="17" t="str">
        <f aca="false">IF((E259="t"),H259," ")</f>
        <v> </v>
      </c>
      <c r="W259" s="17" t="str">
        <f aca="false">IF((E259="q"),H259," ")</f>
        <v> </v>
      </c>
      <c r="X259" s="17" t="str">
        <f aca="false">IF((E259="m"),H259," ")</f>
        <v> </v>
      </c>
      <c r="Y259" s="17" t="str">
        <f aca="false">IF((E259="u"),H259," ")</f>
        <v> </v>
      </c>
      <c r="Z259" s="17" t="str">
        <f aca="false">IF((E259="a"),H259," ")</f>
        <v> </v>
      </c>
      <c r="AA259" s="17" t="str">
        <f aca="false">IF((E259="g"),H259," ")</f>
        <v> </v>
      </c>
      <c r="AB259" s="17" t="str">
        <f aca="false">IF((E259="h"),H259," ")</f>
        <v> </v>
      </c>
      <c r="AC259" s="30" t="str">
        <f aca="false">IF((E259="v"),H259," ")</f>
        <v> </v>
      </c>
      <c r="AD259" s="30" t="str">
        <f aca="false">IF((E259="n"),H259," ")</f>
        <v> </v>
      </c>
      <c r="AE259" s="17" t="str">
        <f aca="false">IF((E259="f"),H259," ")</f>
        <v> </v>
      </c>
      <c r="AF259" s="17" t="str">
        <f aca="false">IF((E259="l"),H259," ")</f>
        <v> </v>
      </c>
      <c r="AG259" s="17" t="str">
        <f aca="false">IF((E259="y"),H259," ")</f>
        <v> </v>
      </c>
      <c r="AH259" s="17" t="str">
        <f aca="false">IF((E259="z"),H259," ")</f>
        <v> </v>
      </c>
      <c r="AI259" s="17" t="str">
        <f aca="false">IF((E259="fa"),H259," ")</f>
        <v> </v>
      </c>
      <c r="AJ259" s="17" t="str">
        <f aca="false">IF((E259="e"),H259," ")</f>
        <v> </v>
      </c>
    </row>
    <row r="260" customFormat="false" ht="12" hidden="false" customHeight="false" outlineLevel="0" collapsed="false">
      <c r="A260" s="28"/>
      <c r="E260" s="2" t="str">
        <f aca="false">IF((F260&lt;&gt;0),"Enter Letter"," ")</f>
        <v> </v>
      </c>
      <c r="F260" s="30"/>
      <c r="G260" s="6" t="str">
        <f aca="false">IF(F260&lt;&gt;0,F260*G$2/(100+G$2)," ")</f>
        <v> </v>
      </c>
      <c r="H260" s="6" t="str">
        <f aca="false">IF((F260&lt;&gt;0),F260-G260," ")</f>
        <v> </v>
      </c>
      <c r="I260" s="5"/>
      <c r="L260" s="7" t="str">
        <f aca="false">IF(F260&lt;&gt;0,F260-K260," ")</f>
        <v> </v>
      </c>
      <c r="M260" s="8" t="str">
        <f aca="false">IF((F260-K260)&lt;&gt;0,M$1-A260," ")</f>
        <v> </v>
      </c>
      <c r="N260" s="5"/>
      <c r="O260" s="17" t="str">
        <f aca="false">IF((E260="s"),H260," ")</f>
        <v> </v>
      </c>
      <c r="P260" s="17" t="str">
        <f aca="false">IF((E260="c"),H260," ")</f>
        <v> </v>
      </c>
      <c r="Q260" s="17" t="str">
        <f aca="false">IF((E260="o"),H260," ")</f>
        <v> </v>
      </c>
      <c r="R260" s="17" t="str">
        <f aca="false">IF((E260="d"),H260," ")</f>
        <v> </v>
      </c>
      <c r="S260" s="17" t="str">
        <f aca="false">IF((E260="w"),H260," ")</f>
        <v> </v>
      </c>
      <c r="T260" s="17" t="str">
        <f aca="false">IF((E260="r"),H260," ")</f>
        <v> </v>
      </c>
      <c r="U260" s="17" t="str">
        <f aca="false">IF((E260="p"),H260," ")</f>
        <v> </v>
      </c>
      <c r="V260" s="17" t="str">
        <f aca="false">IF((E260="t"),H260," ")</f>
        <v> </v>
      </c>
      <c r="W260" s="17" t="str">
        <f aca="false">IF((E260="q"),H260," ")</f>
        <v> </v>
      </c>
      <c r="X260" s="17" t="str">
        <f aca="false">IF((E260="m"),H260," ")</f>
        <v> </v>
      </c>
      <c r="Y260" s="17" t="str">
        <f aca="false">IF((E260="u"),H260," ")</f>
        <v> </v>
      </c>
      <c r="Z260" s="17" t="str">
        <f aca="false">IF((E260="a"),H260," ")</f>
        <v> </v>
      </c>
      <c r="AA260" s="17" t="str">
        <f aca="false">IF((E260="g"),H260," ")</f>
        <v> </v>
      </c>
      <c r="AB260" s="17" t="str">
        <f aca="false">IF((E260="h"),H260," ")</f>
        <v> </v>
      </c>
      <c r="AC260" s="30" t="str">
        <f aca="false">IF((E260="v"),H260," ")</f>
        <v> </v>
      </c>
      <c r="AD260" s="30" t="str">
        <f aca="false">IF((E260="n"),H260," ")</f>
        <v> </v>
      </c>
      <c r="AE260" s="17" t="str">
        <f aca="false">IF((E260="f"),H260," ")</f>
        <v> </v>
      </c>
      <c r="AF260" s="17" t="str">
        <f aca="false">IF((E260="l"),H260," ")</f>
        <v> </v>
      </c>
      <c r="AG260" s="17" t="str">
        <f aca="false">IF((E260="y"),H260," ")</f>
        <v> </v>
      </c>
      <c r="AH260" s="17" t="str">
        <f aca="false">IF((E260="z"),H260," ")</f>
        <v> </v>
      </c>
      <c r="AI260" s="17" t="str">
        <f aca="false">IF((E260="fa"),H260," ")</f>
        <v> </v>
      </c>
      <c r="AJ260" s="17" t="str">
        <f aca="false">IF((E260="e"),H260," ")</f>
        <v> </v>
      </c>
    </row>
    <row r="261" customFormat="false" ht="12" hidden="false" customHeight="false" outlineLevel="0" collapsed="false">
      <c r="A261" s="28"/>
      <c r="E261" s="2" t="str">
        <f aca="false">IF((F261&lt;&gt;0),"Enter Letter"," ")</f>
        <v> </v>
      </c>
      <c r="F261" s="30"/>
      <c r="G261" s="6" t="str">
        <f aca="false">IF(F261&lt;&gt;0,F261*G$2/(100+G$2)," ")</f>
        <v> </v>
      </c>
      <c r="H261" s="6" t="str">
        <f aca="false">IF((F261&lt;&gt;0),F261-G261," ")</f>
        <v> </v>
      </c>
      <c r="I261" s="5"/>
      <c r="L261" s="7" t="str">
        <f aca="false">IF(F261&lt;&gt;0,F261-K261," ")</f>
        <v> </v>
      </c>
      <c r="M261" s="8" t="str">
        <f aca="false">IF((F261-K261)&lt;&gt;0,M$1-A261," ")</f>
        <v> </v>
      </c>
      <c r="N261" s="5"/>
      <c r="O261" s="17" t="str">
        <f aca="false">IF((E261="s"),H261," ")</f>
        <v> </v>
      </c>
      <c r="P261" s="17" t="str">
        <f aca="false">IF((E261="c"),H261," ")</f>
        <v> </v>
      </c>
      <c r="Q261" s="17" t="str">
        <f aca="false">IF((E261="o"),H261," ")</f>
        <v> </v>
      </c>
      <c r="R261" s="17" t="str">
        <f aca="false">IF((E261="d"),H261," ")</f>
        <v> </v>
      </c>
      <c r="S261" s="17" t="str">
        <f aca="false">IF((E261="w"),H261," ")</f>
        <v> </v>
      </c>
      <c r="T261" s="17" t="str">
        <f aca="false">IF((E261="r"),H261," ")</f>
        <v> </v>
      </c>
      <c r="U261" s="17" t="str">
        <f aca="false">IF((E261="p"),H261," ")</f>
        <v> </v>
      </c>
      <c r="V261" s="17" t="str">
        <f aca="false">IF((E261="t"),H261," ")</f>
        <v> </v>
      </c>
      <c r="W261" s="17" t="str">
        <f aca="false">IF((E261="q"),H261," ")</f>
        <v> </v>
      </c>
      <c r="X261" s="17" t="str">
        <f aca="false">IF((E261="m"),H261," ")</f>
        <v> </v>
      </c>
      <c r="Y261" s="17" t="str">
        <f aca="false">IF((E261="u"),H261," ")</f>
        <v> </v>
      </c>
      <c r="Z261" s="17" t="str">
        <f aca="false">IF((E261="a"),H261," ")</f>
        <v> </v>
      </c>
      <c r="AA261" s="17" t="str">
        <f aca="false">IF((E261="g"),H261," ")</f>
        <v> </v>
      </c>
      <c r="AB261" s="17" t="str">
        <f aca="false">IF((E261="h"),H261," ")</f>
        <v> </v>
      </c>
      <c r="AC261" s="30" t="str">
        <f aca="false">IF((E261="v"),H261," ")</f>
        <v> </v>
      </c>
      <c r="AD261" s="30" t="str">
        <f aca="false">IF((E261="n"),H261," ")</f>
        <v> </v>
      </c>
      <c r="AE261" s="17" t="str">
        <f aca="false">IF((E261="f"),H261," ")</f>
        <v> </v>
      </c>
      <c r="AF261" s="17" t="str">
        <f aca="false">IF((E261="l"),H261," ")</f>
        <v> </v>
      </c>
      <c r="AG261" s="17" t="str">
        <f aca="false">IF((E261="y"),H261," ")</f>
        <v> </v>
      </c>
      <c r="AH261" s="17" t="str">
        <f aca="false">IF((E261="z"),H261," ")</f>
        <v> </v>
      </c>
      <c r="AI261" s="17" t="str">
        <f aca="false">IF((E261="fa"),H261," ")</f>
        <v> </v>
      </c>
      <c r="AJ261" s="17" t="str">
        <f aca="false">IF((E261="e"),H261," ")</f>
        <v> </v>
      </c>
    </row>
    <row r="262" customFormat="false" ht="12" hidden="false" customHeight="false" outlineLevel="0" collapsed="false">
      <c r="A262" s="28"/>
      <c r="E262" s="2" t="str">
        <f aca="false">IF((F262&lt;&gt;0),"Enter Letter"," ")</f>
        <v> </v>
      </c>
      <c r="F262" s="30"/>
      <c r="G262" s="6" t="str">
        <f aca="false">IF(F262&lt;&gt;0,F262*G$2/(100+G$2)," ")</f>
        <v> </v>
      </c>
      <c r="H262" s="6" t="str">
        <f aca="false">IF((F262&lt;&gt;0),F262-G262," ")</f>
        <v> </v>
      </c>
      <c r="I262" s="5"/>
      <c r="L262" s="7" t="str">
        <f aca="false">IF(F262&lt;&gt;0,F262-K262," ")</f>
        <v> </v>
      </c>
      <c r="M262" s="8" t="str">
        <f aca="false">IF((F262-K262)&lt;&gt;0,M$1-A262," ")</f>
        <v> </v>
      </c>
      <c r="N262" s="5"/>
      <c r="O262" s="17" t="str">
        <f aca="false">IF((E262="s"),H262," ")</f>
        <v> </v>
      </c>
      <c r="P262" s="17" t="str">
        <f aca="false">IF((E262="c"),H262," ")</f>
        <v> </v>
      </c>
      <c r="Q262" s="17" t="str">
        <f aca="false">IF((E262="o"),H262," ")</f>
        <v> </v>
      </c>
      <c r="R262" s="17" t="str">
        <f aca="false">IF((E262="d"),H262," ")</f>
        <v> </v>
      </c>
      <c r="S262" s="17" t="str">
        <f aca="false">IF((E262="w"),H262," ")</f>
        <v> </v>
      </c>
      <c r="T262" s="17" t="str">
        <f aca="false">IF((E262="r"),H262," ")</f>
        <v> </v>
      </c>
      <c r="U262" s="17" t="str">
        <f aca="false">IF((E262="p"),H262," ")</f>
        <v> </v>
      </c>
      <c r="V262" s="17" t="str">
        <f aca="false">IF((E262="t"),H262," ")</f>
        <v> </v>
      </c>
      <c r="W262" s="17" t="str">
        <f aca="false">IF((E262="q"),H262," ")</f>
        <v> </v>
      </c>
      <c r="X262" s="17" t="str">
        <f aca="false">IF((E262="m"),H262," ")</f>
        <v> </v>
      </c>
      <c r="Y262" s="17" t="str">
        <f aca="false">IF((E262="u"),H262," ")</f>
        <v> </v>
      </c>
      <c r="Z262" s="17" t="str">
        <f aca="false">IF((E262="a"),H262," ")</f>
        <v> </v>
      </c>
      <c r="AA262" s="17" t="str">
        <f aca="false">IF((E262="g"),H262," ")</f>
        <v> </v>
      </c>
      <c r="AB262" s="17" t="str">
        <f aca="false">IF((E262="h"),H262," ")</f>
        <v> </v>
      </c>
      <c r="AC262" s="30" t="str">
        <f aca="false">IF((E262="v"),H262," ")</f>
        <v> </v>
      </c>
      <c r="AD262" s="30" t="str">
        <f aca="false">IF((E262="n"),H262," ")</f>
        <v> </v>
      </c>
      <c r="AE262" s="17" t="str">
        <f aca="false">IF((E262="f"),H262," ")</f>
        <v> </v>
      </c>
      <c r="AF262" s="17" t="str">
        <f aca="false">IF((E262="l"),H262," ")</f>
        <v> </v>
      </c>
      <c r="AG262" s="17" t="str">
        <f aca="false">IF((E262="y"),H262," ")</f>
        <v> </v>
      </c>
      <c r="AH262" s="17" t="str">
        <f aca="false">IF((E262="z"),H262," ")</f>
        <v> </v>
      </c>
      <c r="AI262" s="17" t="str">
        <f aca="false">IF((E262="fa"),H262," ")</f>
        <v> </v>
      </c>
      <c r="AJ262" s="17" t="str">
        <f aca="false">IF((E262="e"),H262," ")</f>
        <v> </v>
      </c>
    </row>
    <row r="263" customFormat="false" ht="12" hidden="false" customHeight="false" outlineLevel="0" collapsed="false">
      <c r="A263" s="28"/>
      <c r="E263" s="2" t="str">
        <f aca="false">IF((F263&lt;&gt;0),"Enter Letter"," ")</f>
        <v> </v>
      </c>
      <c r="F263" s="30"/>
      <c r="G263" s="6" t="str">
        <f aca="false">IF(F263&lt;&gt;0,F263*G$2/(100+G$2)," ")</f>
        <v> </v>
      </c>
      <c r="H263" s="6" t="str">
        <f aca="false">IF((F263&lt;&gt;0),F263-G263," ")</f>
        <v> </v>
      </c>
      <c r="I263" s="5"/>
      <c r="L263" s="7" t="str">
        <f aca="false">IF(F263&lt;&gt;0,F263-K263," ")</f>
        <v> </v>
      </c>
      <c r="M263" s="8" t="str">
        <f aca="false">IF((F263-K263)&lt;&gt;0,M$1-A263," ")</f>
        <v> </v>
      </c>
      <c r="N263" s="5"/>
      <c r="O263" s="17" t="str">
        <f aca="false">IF((E263="s"),H263," ")</f>
        <v> </v>
      </c>
      <c r="P263" s="17" t="str">
        <f aca="false">IF((E263="c"),H263," ")</f>
        <v> </v>
      </c>
      <c r="Q263" s="17" t="str">
        <f aca="false">IF((E263="o"),H263," ")</f>
        <v> </v>
      </c>
      <c r="R263" s="17" t="str">
        <f aca="false">IF((E263="d"),H263," ")</f>
        <v> </v>
      </c>
      <c r="S263" s="17" t="str">
        <f aca="false">IF((E263="w"),H263," ")</f>
        <v> </v>
      </c>
      <c r="T263" s="17" t="str">
        <f aca="false">IF((E263="r"),H263," ")</f>
        <v> </v>
      </c>
      <c r="U263" s="17" t="str">
        <f aca="false">IF((E263="p"),H263," ")</f>
        <v> </v>
      </c>
      <c r="V263" s="17" t="str">
        <f aca="false">IF((E263="t"),H263," ")</f>
        <v> </v>
      </c>
      <c r="W263" s="17" t="str">
        <f aca="false">IF((E263="q"),H263," ")</f>
        <v> </v>
      </c>
      <c r="X263" s="17" t="str">
        <f aca="false">IF((E263="m"),H263," ")</f>
        <v> </v>
      </c>
      <c r="Y263" s="17" t="str">
        <f aca="false">IF((E263="u"),H263," ")</f>
        <v> </v>
      </c>
      <c r="Z263" s="17" t="str">
        <f aca="false">IF((E263="a"),H263," ")</f>
        <v> </v>
      </c>
      <c r="AA263" s="17" t="str">
        <f aca="false">IF((E263="g"),H263," ")</f>
        <v> </v>
      </c>
      <c r="AB263" s="17" t="str">
        <f aca="false">IF((E263="h"),H263," ")</f>
        <v> </v>
      </c>
      <c r="AC263" s="30" t="str">
        <f aca="false">IF((E263="v"),H263," ")</f>
        <v> </v>
      </c>
      <c r="AD263" s="30" t="str">
        <f aca="false">IF((E263="n"),H263," ")</f>
        <v> </v>
      </c>
      <c r="AE263" s="17" t="str">
        <f aca="false">IF((E263="f"),H263," ")</f>
        <v> </v>
      </c>
      <c r="AF263" s="17" t="str">
        <f aca="false">IF((E263="l"),H263," ")</f>
        <v> </v>
      </c>
      <c r="AG263" s="17" t="str">
        <f aca="false">IF((E263="y"),H263," ")</f>
        <v> </v>
      </c>
      <c r="AH263" s="17" t="str">
        <f aca="false">IF((E263="z"),H263," ")</f>
        <v> </v>
      </c>
      <c r="AI263" s="17" t="str">
        <f aca="false">IF((E263="fa"),H263," ")</f>
        <v> </v>
      </c>
      <c r="AJ263" s="17" t="str">
        <f aca="false">IF((E263="e"),H263," ")</f>
        <v> </v>
      </c>
    </row>
    <row r="264" customFormat="false" ht="12" hidden="false" customHeight="false" outlineLevel="0" collapsed="false">
      <c r="A264" s="28"/>
      <c r="E264" s="2" t="str">
        <f aca="false">IF((F264&lt;&gt;0),"Enter Letter"," ")</f>
        <v> </v>
      </c>
      <c r="F264" s="30"/>
      <c r="G264" s="6" t="str">
        <f aca="false">IF(F264&lt;&gt;0,F264*G$2/(100+G$2)," ")</f>
        <v> </v>
      </c>
      <c r="H264" s="6" t="str">
        <f aca="false">IF((F264&lt;&gt;0),F264-G264," ")</f>
        <v> </v>
      </c>
      <c r="I264" s="5"/>
      <c r="L264" s="7" t="str">
        <f aca="false">IF(F264&lt;&gt;0,F264-K264," ")</f>
        <v> </v>
      </c>
      <c r="M264" s="8" t="str">
        <f aca="false">IF((F264-K264)&lt;&gt;0,M$1-A264," ")</f>
        <v> </v>
      </c>
      <c r="N264" s="5"/>
      <c r="O264" s="17" t="str">
        <f aca="false">IF((E264="s"),H264," ")</f>
        <v> </v>
      </c>
      <c r="P264" s="17" t="str">
        <f aca="false">IF((E264="c"),H264," ")</f>
        <v> </v>
      </c>
      <c r="Q264" s="17" t="str">
        <f aca="false">IF((E264="o"),H264," ")</f>
        <v> </v>
      </c>
      <c r="R264" s="17" t="str">
        <f aca="false">IF((E264="d"),H264," ")</f>
        <v> </v>
      </c>
      <c r="S264" s="17" t="str">
        <f aca="false">IF((E264="w"),H264," ")</f>
        <v> </v>
      </c>
      <c r="T264" s="17" t="str">
        <f aca="false">IF((E264="r"),H264," ")</f>
        <v> </v>
      </c>
      <c r="U264" s="17" t="str">
        <f aca="false">IF((E264="p"),H264," ")</f>
        <v> </v>
      </c>
      <c r="V264" s="17" t="str">
        <f aca="false">IF((E264="t"),H264," ")</f>
        <v> </v>
      </c>
      <c r="W264" s="17" t="str">
        <f aca="false">IF((E264="q"),H264," ")</f>
        <v> </v>
      </c>
      <c r="X264" s="17" t="str">
        <f aca="false">IF((E264="m"),H264," ")</f>
        <v> </v>
      </c>
      <c r="Y264" s="17" t="str">
        <f aca="false">IF((E264="u"),H264," ")</f>
        <v> </v>
      </c>
      <c r="Z264" s="17" t="str">
        <f aca="false">IF((E264="a"),H264," ")</f>
        <v> </v>
      </c>
      <c r="AA264" s="17" t="str">
        <f aca="false">IF((E264="g"),H264," ")</f>
        <v> </v>
      </c>
      <c r="AB264" s="17" t="str">
        <f aca="false">IF((E264="h"),H264," ")</f>
        <v> </v>
      </c>
      <c r="AC264" s="30" t="str">
        <f aca="false">IF((E264="v"),H264," ")</f>
        <v> </v>
      </c>
      <c r="AD264" s="30" t="str">
        <f aca="false">IF((E264="n"),H264," ")</f>
        <v> </v>
      </c>
      <c r="AE264" s="17" t="str">
        <f aca="false">IF((E264="f"),H264," ")</f>
        <v> </v>
      </c>
      <c r="AF264" s="17" t="str">
        <f aca="false">IF((E264="l"),H264," ")</f>
        <v> </v>
      </c>
      <c r="AG264" s="17" t="str">
        <f aca="false">IF((E264="y"),H264," ")</f>
        <v> </v>
      </c>
      <c r="AH264" s="17" t="str">
        <f aca="false">IF((E264="z"),H264," ")</f>
        <v> </v>
      </c>
      <c r="AI264" s="17" t="str">
        <f aca="false">IF((E264="fa"),H264," ")</f>
        <v> </v>
      </c>
      <c r="AJ264" s="17" t="str">
        <f aca="false">IF((E264="e"),H264," ")</f>
        <v> </v>
      </c>
    </row>
    <row r="265" customFormat="false" ht="12" hidden="false" customHeight="false" outlineLevel="0" collapsed="false">
      <c r="A265" s="28"/>
      <c r="E265" s="2" t="str">
        <f aca="false">IF((F265&lt;&gt;0),"Enter Letter"," ")</f>
        <v> </v>
      </c>
      <c r="F265" s="30"/>
      <c r="G265" s="6" t="str">
        <f aca="false">IF(F265&lt;&gt;0,F265*G$2/(100+G$2)," ")</f>
        <v> </v>
      </c>
      <c r="H265" s="6" t="str">
        <f aca="false">IF((F265&lt;&gt;0),F265-G265," ")</f>
        <v> </v>
      </c>
      <c r="I265" s="5"/>
      <c r="L265" s="7" t="str">
        <f aca="false">IF(F265&lt;&gt;0,F265-K265," ")</f>
        <v> </v>
      </c>
      <c r="M265" s="8" t="str">
        <f aca="false">IF((F265-K265)&lt;&gt;0,M$1-A265," ")</f>
        <v> </v>
      </c>
      <c r="N265" s="5"/>
      <c r="O265" s="17" t="str">
        <f aca="false">IF((E265="s"),H265," ")</f>
        <v> </v>
      </c>
      <c r="P265" s="17" t="str">
        <f aca="false">IF((E265="c"),H265," ")</f>
        <v> </v>
      </c>
      <c r="Q265" s="17" t="str">
        <f aca="false">IF((E265="o"),H265," ")</f>
        <v> </v>
      </c>
      <c r="R265" s="17" t="str">
        <f aca="false">IF((E265="d"),H265," ")</f>
        <v> </v>
      </c>
      <c r="S265" s="17" t="str">
        <f aca="false">IF((E265="w"),H265," ")</f>
        <v> </v>
      </c>
      <c r="T265" s="17" t="str">
        <f aca="false">IF((E265="r"),H265," ")</f>
        <v> </v>
      </c>
      <c r="U265" s="17" t="str">
        <f aca="false">IF((E265="p"),H265," ")</f>
        <v> </v>
      </c>
      <c r="V265" s="17" t="str">
        <f aca="false">IF((E265="t"),H265," ")</f>
        <v> </v>
      </c>
      <c r="W265" s="17" t="str">
        <f aca="false">IF((E265="q"),H265," ")</f>
        <v> </v>
      </c>
      <c r="X265" s="17" t="str">
        <f aca="false">IF((E265="m"),H265," ")</f>
        <v> </v>
      </c>
      <c r="Y265" s="17" t="str">
        <f aca="false">IF((E265="u"),H265," ")</f>
        <v> </v>
      </c>
      <c r="Z265" s="17" t="str">
        <f aca="false">IF((E265="a"),H265," ")</f>
        <v> </v>
      </c>
      <c r="AA265" s="17" t="str">
        <f aca="false">IF((E265="g"),H265," ")</f>
        <v> </v>
      </c>
      <c r="AB265" s="17" t="str">
        <f aca="false">IF((E265="h"),H265," ")</f>
        <v> </v>
      </c>
      <c r="AC265" s="30" t="str">
        <f aca="false">IF((E265="v"),H265," ")</f>
        <v> </v>
      </c>
      <c r="AD265" s="30" t="str">
        <f aca="false">IF((E265="n"),H265," ")</f>
        <v> </v>
      </c>
      <c r="AE265" s="17" t="str">
        <f aca="false">IF((E265="f"),H265," ")</f>
        <v> </v>
      </c>
      <c r="AF265" s="17" t="str">
        <f aca="false">IF((E265="l"),H265," ")</f>
        <v> </v>
      </c>
      <c r="AG265" s="17" t="str">
        <f aca="false">IF((E265="y"),H265," ")</f>
        <v> </v>
      </c>
      <c r="AH265" s="17" t="str">
        <f aca="false">IF((E265="z"),H265," ")</f>
        <v> </v>
      </c>
      <c r="AI265" s="17" t="str">
        <f aca="false">IF((E265="fa"),H265," ")</f>
        <v> </v>
      </c>
      <c r="AJ265" s="17" t="str">
        <f aca="false">IF((E265="e"),H265," ")</f>
        <v> </v>
      </c>
    </row>
    <row r="266" customFormat="false" ht="12" hidden="false" customHeight="false" outlineLevel="0" collapsed="false">
      <c r="A266" s="28"/>
      <c r="E266" s="2" t="str">
        <f aca="false">IF((F266&lt;&gt;0),"Enter Letter"," ")</f>
        <v> </v>
      </c>
      <c r="F266" s="30"/>
      <c r="G266" s="6" t="str">
        <f aca="false">IF(F266&lt;&gt;0,F266*G$2/(100+G$2)," ")</f>
        <v> </v>
      </c>
      <c r="H266" s="6" t="str">
        <f aca="false">IF((F266&lt;&gt;0),F266-G266," ")</f>
        <v> </v>
      </c>
      <c r="I266" s="5"/>
      <c r="L266" s="7" t="str">
        <f aca="false">IF(F266&lt;&gt;0,F266-K266," ")</f>
        <v> </v>
      </c>
      <c r="M266" s="8" t="str">
        <f aca="false">IF((F266-K266)&lt;&gt;0,M$1-A266," ")</f>
        <v> </v>
      </c>
      <c r="N266" s="5"/>
      <c r="O266" s="17" t="str">
        <f aca="false">IF((E266="s"),H266," ")</f>
        <v> </v>
      </c>
      <c r="P266" s="17" t="str">
        <f aca="false">IF((E266="c"),H266," ")</f>
        <v> </v>
      </c>
      <c r="Q266" s="17" t="str">
        <f aca="false">IF((E266="o"),H266," ")</f>
        <v> </v>
      </c>
      <c r="R266" s="17" t="str">
        <f aca="false">IF((E266="d"),H266," ")</f>
        <v> </v>
      </c>
      <c r="S266" s="17" t="str">
        <f aca="false">IF((E266="w"),H266," ")</f>
        <v> </v>
      </c>
      <c r="T266" s="17" t="str">
        <f aca="false">IF((E266="r"),H266," ")</f>
        <v> </v>
      </c>
      <c r="U266" s="17" t="str">
        <f aca="false">IF((E266="p"),H266," ")</f>
        <v> </v>
      </c>
      <c r="V266" s="17" t="str">
        <f aca="false">IF((E266="t"),H266," ")</f>
        <v> </v>
      </c>
      <c r="W266" s="17" t="str">
        <f aca="false">IF((E266="q"),H266," ")</f>
        <v> </v>
      </c>
      <c r="X266" s="17" t="str">
        <f aca="false">IF((E266="m"),H266," ")</f>
        <v> </v>
      </c>
      <c r="Y266" s="17" t="str">
        <f aca="false">IF((E266="u"),H266," ")</f>
        <v> </v>
      </c>
      <c r="Z266" s="17" t="str">
        <f aca="false">IF((E266="a"),H266," ")</f>
        <v> </v>
      </c>
      <c r="AA266" s="17" t="str">
        <f aca="false">IF((E266="g"),H266," ")</f>
        <v> </v>
      </c>
      <c r="AB266" s="17" t="str">
        <f aca="false">IF((E266="h"),H266," ")</f>
        <v> </v>
      </c>
      <c r="AC266" s="30" t="str">
        <f aca="false">IF((E266="v"),H266," ")</f>
        <v> </v>
      </c>
      <c r="AD266" s="30" t="str">
        <f aca="false">IF((E266="n"),H266," ")</f>
        <v> </v>
      </c>
      <c r="AE266" s="17" t="str">
        <f aca="false">IF((E266="f"),H266," ")</f>
        <v> </v>
      </c>
      <c r="AF266" s="17" t="str">
        <f aca="false">IF((E266="l"),H266," ")</f>
        <v> </v>
      </c>
      <c r="AG266" s="17" t="str">
        <f aca="false">IF((E266="y"),H266," ")</f>
        <v> </v>
      </c>
      <c r="AH266" s="17" t="str">
        <f aca="false">IF((E266="z"),H266," ")</f>
        <v> </v>
      </c>
      <c r="AI266" s="17" t="str">
        <f aca="false">IF((E266="fa"),H266," ")</f>
        <v> </v>
      </c>
      <c r="AJ266" s="17" t="str">
        <f aca="false">IF((E266="e"),H266," ")</f>
        <v> </v>
      </c>
    </row>
    <row r="267" customFormat="false" ht="12" hidden="false" customHeight="false" outlineLevel="0" collapsed="false">
      <c r="A267" s="28"/>
      <c r="E267" s="2" t="str">
        <f aca="false">IF((F267&lt;&gt;0),"Enter Letter"," ")</f>
        <v> </v>
      </c>
      <c r="F267" s="30"/>
      <c r="G267" s="6" t="str">
        <f aca="false">IF(F267&lt;&gt;0,F267*G$2/(100+G$2)," ")</f>
        <v> </v>
      </c>
      <c r="H267" s="6" t="str">
        <f aca="false">IF((F267&lt;&gt;0),F267-G267," ")</f>
        <v> </v>
      </c>
      <c r="I267" s="5"/>
      <c r="L267" s="7" t="str">
        <f aca="false">IF(F267&lt;&gt;0,F267-K267," ")</f>
        <v> </v>
      </c>
      <c r="M267" s="8" t="str">
        <f aca="false">IF((F267-K267)&lt;&gt;0,M$1-A267," ")</f>
        <v> </v>
      </c>
      <c r="N267" s="5"/>
      <c r="O267" s="17" t="str">
        <f aca="false">IF((E267="s"),H267," ")</f>
        <v> </v>
      </c>
      <c r="P267" s="17" t="str">
        <f aca="false">IF((E267="c"),H267," ")</f>
        <v> </v>
      </c>
      <c r="Q267" s="17" t="str">
        <f aca="false">IF((E267="o"),H267," ")</f>
        <v> </v>
      </c>
      <c r="R267" s="17" t="str">
        <f aca="false">IF((E267="d"),H267," ")</f>
        <v> </v>
      </c>
      <c r="S267" s="17" t="str">
        <f aca="false">IF((E267="w"),H267," ")</f>
        <v> </v>
      </c>
      <c r="T267" s="17" t="str">
        <f aca="false">IF((E267="r"),H267," ")</f>
        <v> </v>
      </c>
      <c r="U267" s="17" t="str">
        <f aca="false">IF((E267="p"),H267," ")</f>
        <v> </v>
      </c>
      <c r="V267" s="17" t="str">
        <f aca="false">IF((E267="t"),H267," ")</f>
        <v> </v>
      </c>
      <c r="W267" s="17" t="str">
        <f aca="false">IF((E267="q"),H267," ")</f>
        <v> </v>
      </c>
      <c r="X267" s="17" t="str">
        <f aca="false">IF((E267="m"),H267," ")</f>
        <v> </v>
      </c>
      <c r="Y267" s="17" t="str">
        <f aca="false">IF((E267="u"),H267," ")</f>
        <v> </v>
      </c>
      <c r="Z267" s="17" t="str">
        <f aca="false">IF((E267="a"),H267," ")</f>
        <v> </v>
      </c>
      <c r="AA267" s="17" t="str">
        <f aca="false">IF((E267="g"),H267," ")</f>
        <v> </v>
      </c>
      <c r="AB267" s="17" t="str">
        <f aca="false">IF((E267="h"),H267," ")</f>
        <v> </v>
      </c>
      <c r="AC267" s="30" t="str">
        <f aca="false">IF((E267="v"),H267," ")</f>
        <v> </v>
      </c>
      <c r="AD267" s="30" t="str">
        <f aca="false">IF((E267="n"),H267," ")</f>
        <v> </v>
      </c>
      <c r="AE267" s="17" t="str">
        <f aca="false">IF((E267="f"),H267," ")</f>
        <v> </v>
      </c>
      <c r="AF267" s="17" t="str">
        <f aca="false">IF((E267="l"),H267," ")</f>
        <v> </v>
      </c>
      <c r="AG267" s="17" t="str">
        <f aca="false">IF((E267="y"),H267," ")</f>
        <v> </v>
      </c>
      <c r="AH267" s="17" t="str">
        <f aca="false">IF((E267="z"),H267," ")</f>
        <v> </v>
      </c>
      <c r="AI267" s="17" t="str">
        <f aca="false">IF((E267="fa"),H267," ")</f>
        <v> </v>
      </c>
      <c r="AJ267" s="17" t="str">
        <f aca="false">IF((E267="e"),H267," ")</f>
        <v> </v>
      </c>
    </row>
    <row r="268" customFormat="false" ht="12" hidden="false" customHeight="false" outlineLevel="0" collapsed="false">
      <c r="A268" s="28"/>
      <c r="E268" s="2" t="str">
        <f aca="false">IF((F268&lt;&gt;0),"Enter Letter"," ")</f>
        <v> </v>
      </c>
      <c r="F268" s="30"/>
      <c r="G268" s="6" t="str">
        <f aca="false">IF(F268&lt;&gt;0,F268*G$2/(100+G$2)," ")</f>
        <v> </v>
      </c>
      <c r="H268" s="6" t="str">
        <f aca="false">IF((F268&lt;&gt;0),F268-G268," ")</f>
        <v> </v>
      </c>
      <c r="I268" s="5"/>
      <c r="L268" s="7" t="str">
        <f aca="false">IF(F268&lt;&gt;0,F268-K268," ")</f>
        <v> </v>
      </c>
      <c r="M268" s="8" t="str">
        <f aca="false">IF((F268-K268)&lt;&gt;0,M$1-A268," ")</f>
        <v> </v>
      </c>
      <c r="N268" s="5"/>
      <c r="O268" s="17" t="str">
        <f aca="false">IF((E268="s"),H268," ")</f>
        <v> </v>
      </c>
      <c r="P268" s="17" t="str">
        <f aca="false">IF((E268="c"),H268," ")</f>
        <v> </v>
      </c>
      <c r="Q268" s="17" t="str">
        <f aca="false">IF((E268="o"),H268," ")</f>
        <v> </v>
      </c>
      <c r="R268" s="17" t="str">
        <f aca="false">IF((E268="d"),H268," ")</f>
        <v> </v>
      </c>
      <c r="S268" s="17" t="str">
        <f aca="false">IF((E268="w"),H268," ")</f>
        <v> </v>
      </c>
      <c r="T268" s="17" t="str">
        <f aca="false">IF((E268="r"),H268," ")</f>
        <v> </v>
      </c>
      <c r="U268" s="17" t="str">
        <f aca="false">IF((E268="p"),H268," ")</f>
        <v> </v>
      </c>
      <c r="V268" s="17" t="str">
        <f aca="false">IF((E268="t"),H268," ")</f>
        <v> </v>
      </c>
      <c r="W268" s="17" t="str">
        <f aca="false">IF((E268="q"),H268," ")</f>
        <v> </v>
      </c>
      <c r="X268" s="17" t="str">
        <f aca="false">IF((E268="m"),H268," ")</f>
        <v> </v>
      </c>
      <c r="Y268" s="17" t="str">
        <f aca="false">IF((E268="u"),H268," ")</f>
        <v> </v>
      </c>
      <c r="Z268" s="17" t="str">
        <f aca="false">IF((E268="a"),H268," ")</f>
        <v> </v>
      </c>
      <c r="AA268" s="17" t="str">
        <f aca="false">IF((E268="g"),H268," ")</f>
        <v> </v>
      </c>
      <c r="AB268" s="17" t="str">
        <f aca="false">IF((E268="h"),H268," ")</f>
        <v> </v>
      </c>
      <c r="AC268" s="30" t="str">
        <f aca="false">IF((E268="v"),H268," ")</f>
        <v> </v>
      </c>
      <c r="AD268" s="30" t="str">
        <f aca="false">IF((E268="n"),H268," ")</f>
        <v> </v>
      </c>
      <c r="AE268" s="17" t="str">
        <f aca="false">IF((E268="f"),H268," ")</f>
        <v> </v>
      </c>
      <c r="AF268" s="17" t="str">
        <f aca="false">IF((E268="l"),H268," ")</f>
        <v> </v>
      </c>
      <c r="AG268" s="17" t="str">
        <f aca="false">IF((E268="y"),H268," ")</f>
        <v> </v>
      </c>
      <c r="AH268" s="17" t="str">
        <f aca="false">IF((E268="z"),H268," ")</f>
        <v> </v>
      </c>
      <c r="AI268" s="17" t="str">
        <f aca="false">IF((E268="fa"),H268," ")</f>
        <v> </v>
      </c>
      <c r="AJ268" s="17" t="str">
        <f aca="false">IF((E268="e"),H268," ")</f>
        <v> </v>
      </c>
    </row>
    <row r="269" customFormat="false" ht="12" hidden="false" customHeight="false" outlineLevel="0" collapsed="false">
      <c r="A269" s="28"/>
      <c r="E269" s="2" t="str">
        <f aca="false">IF((F269&lt;&gt;0),"Enter Letter"," ")</f>
        <v> </v>
      </c>
      <c r="F269" s="30"/>
      <c r="G269" s="6" t="str">
        <f aca="false">IF(F269&lt;&gt;0,F269*G$2/(100+G$2)," ")</f>
        <v> </v>
      </c>
      <c r="H269" s="6" t="str">
        <f aca="false">IF((F269&lt;&gt;0),F269-G269," ")</f>
        <v> </v>
      </c>
      <c r="I269" s="5"/>
      <c r="L269" s="7" t="str">
        <f aca="false">IF(F269&lt;&gt;0,F269-K269," ")</f>
        <v> </v>
      </c>
      <c r="M269" s="8" t="str">
        <f aca="false">IF((F269-K269)&lt;&gt;0,M$1-A269," ")</f>
        <v> </v>
      </c>
      <c r="N269" s="5"/>
      <c r="O269" s="17" t="str">
        <f aca="false">IF((E269="s"),H269," ")</f>
        <v> </v>
      </c>
      <c r="P269" s="17" t="str">
        <f aca="false">IF((E269="c"),H269," ")</f>
        <v> </v>
      </c>
      <c r="Q269" s="17" t="str">
        <f aca="false">IF((E269="o"),H269," ")</f>
        <v> </v>
      </c>
      <c r="R269" s="17" t="str">
        <f aca="false">IF((E269="d"),H269," ")</f>
        <v> </v>
      </c>
      <c r="S269" s="17" t="str">
        <f aca="false">IF((E269="w"),H269," ")</f>
        <v> </v>
      </c>
      <c r="T269" s="17" t="str">
        <f aca="false">IF((E269="r"),H269," ")</f>
        <v> </v>
      </c>
      <c r="U269" s="17" t="str">
        <f aca="false">IF((E269="p"),H269," ")</f>
        <v> </v>
      </c>
      <c r="V269" s="17" t="str">
        <f aca="false">IF((E269="t"),H269," ")</f>
        <v> </v>
      </c>
      <c r="W269" s="17" t="str">
        <f aca="false">IF((E269="q"),H269," ")</f>
        <v> </v>
      </c>
      <c r="X269" s="17" t="str">
        <f aca="false">IF((E269="m"),H269," ")</f>
        <v> </v>
      </c>
      <c r="Y269" s="17" t="str">
        <f aca="false">IF((E269="u"),H269," ")</f>
        <v> </v>
      </c>
      <c r="Z269" s="17" t="str">
        <f aca="false">IF((E269="a"),H269," ")</f>
        <v> </v>
      </c>
      <c r="AA269" s="17" t="str">
        <f aca="false">IF((E269="g"),H269," ")</f>
        <v> </v>
      </c>
      <c r="AB269" s="17" t="str">
        <f aca="false">IF((E269="h"),H269," ")</f>
        <v> </v>
      </c>
      <c r="AC269" s="30" t="str">
        <f aca="false">IF((E269="v"),H269," ")</f>
        <v> </v>
      </c>
      <c r="AD269" s="30" t="str">
        <f aca="false">IF((E269="n"),H269," ")</f>
        <v> </v>
      </c>
      <c r="AE269" s="17" t="str">
        <f aca="false">IF((E269="f"),H269," ")</f>
        <v> </v>
      </c>
      <c r="AF269" s="17" t="str">
        <f aca="false">IF((E269="l"),H269," ")</f>
        <v> </v>
      </c>
      <c r="AG269" s="17" t="str">
        <f aca="false">IF((E269="y"),H269," ")</f>
        <v> </v>
      </c>
      <c r="AH269" s="17" t="str">
        <f aca="false">IF((E269="z"),H269," ")</f>
        <v> </v>
      </c>
      <c r="AI269" s="17" t="str">
        <f aca="false">IF((E269="fa"),H269," ")</f>
        <v> </v>
      </c>
      <c r="AJ269" s="17" t="str">
        <f aca="false">IF((E269="e"),H269," ")</f>
        <v> </v>
      </c>
    </row>
    <row r="270" customFormat="false" ht="12" hidden="false" customHeight="false" outlineLevel="0" collapsed="false">
      <c r="A270" s="28"/>
      <c r="E270" s="2" t="str">
        <f aca="false">IF((F270&lt;&gt;0),"Enter Letter"," ")</f>
        <v> </v>
      </c>
      <c r="F270" s="30"/>
      <c r="G270" s="6" t="str">
        <f aca="false">IF(F270&lt;&gt;0,F270*G$2/(100+G$2)," ")</f>
        <v> </v>
      </c>
      <c r="H270" s="6" t="str">
        <f aca="false">IF((F270&lt;&gt;0),F270-G270," ")</f>
        <v> </v>
      </c>
      <c r="I270" s="5"/>
      <c r="L270" s="7" t="str">
        <f aca="false">IF(F270&lt;&gt;0,F270-K270," ")</f>
        <v> </v>
      </c>
      <c r="M270" s="8" t="str">
        <f aca="false">IF((F270-K270)&lt;&gt;0,M$1-A270," ")</f>
        <v> </v>
      </c>
      <c r="N270" s="5"/>
      <c r="O270" s="17" t="str">
        <f aca="false">IF((E270="s"),H270," ")</f>
        <v> </v>
      </c>
      <c r="P270" s="17" t="str">
        <f aca="false">IF((E270="c"),H270," ")</f>
        <v> </v>
      </c>
      <c r="Q270" s="17" t="str">
        <f aca="false">IF((E270="o"),H270," ")</f>
        <v> </v>
      </c>
      <c r="R270" s="17" t="str">
        <f aca="false">IF((E270="d"),H270," ")</f>
        <v> </v>
      </c>
      <c r="S270" s="17" t="str">
        <f aca="false">IF((E270="w"),H270," ")</f>
        <v> </v>
      </c>
      <c r="T270" s="17" t="str">
        <f aca="false">IF((E270="r"),H270," ")</f>
        <v> </v>
      </c>
      <c r="U270" s="17" t="str">
        <f aca="false">IF((E270="p"),H270," ")</f>
        <v> </v>
      </c>
      <c r="V270" s="17" t="str">
        <f aca="false">IF((E270="t"),H270," ")</f>
        <v> </v>
      </c>
      <c r="W270" s="17" t="str">
        <f aca="false">IF((E270="q"),H270," ")</f>
        <v> </v>
      </c>
      <c r="X270" s="17" t="str">
        <f aca="false">IF((E270="m"),H270," ")</f>
        <v> </v>
      </c>
      <c r="Y270" s="17" t="str">
        <f aca="false">IF((E270="u"),H270," ")</f>
        <v> </v>
      </c>
      <c r="Z270" s="17" t="str">
        <f aca="false">IF((E270="a"),H270," ")</f>
        <v> </v>
      </c>
      <c r="AA270" s="17" t="str">
        <f aca="false">IF((E270="g"),H270," ")</f>
        <v> </v>
      </c>
      <c r="AB270" s="17" t="str">
        <f aca="false">IF((E270="h"),H270," ")</f>
        <v> </v>
      </c>
      <c r="AC270" s="30" t="str">
        <f aca="false">IF((E270="v"),H270," ")</f>
        <v> </v>
      </c>
      <c r="AD270" s="30" t="str">
        <f aca="false">IF((E270="n"),H270," ")</f>
        <v> </v>
      </c>
      <c r="AE270" s="17" t="str">
        <f aca="false">IF((E270="f"),H270," ")</f>
        <v> </v>
      </c>
      <c r="AF270" s="17" t="str">
        <f aca="false">IF((E270="l"),H270," ")</f>
        <v> </v>
      </c>
      <c r="AG270" s="17" t="str">
        <f aca="false">IF((E270="y"),H270," ")</f>
        <v> </v>
      </c>
      <c r="AH270" s="17" t="str">
        <f aca="false">IF((E270="z"),H270," ")</f>
        <v> </v>
      </c>
      <c r="AI270" s="17" t="str">
        <f aca="false">IF((E270="fa"),H270," ")</f>
        <v> </v>
      </c>
      <c r="AJ270" s="17" t="str">
        <f aca="false">IF((E270="e"),H270," ")</f>
        <v> </v>
      </c>
    </row>
    <row r="271" customFormat="false" ht="12" hidden="false" customHeight="false" outlineLevel="0" collapsed="false">
      <c r="A271" s="28"/>
      <c r="E271" s="2" t="str">
        <f aca="false">IF((F271&lt;&gt;0),"Enter Letter"," ")</f>
        <v> </v>
      </c>
      <c r="F271" s="30"/>
      <c r="G271" s="6" t="str">
        <f aca="false">IF(F271&lt;&gt;0,F271*G$2/(100+G$2)," ")</f>
        <v> </v>
      </c>
      <c r="H271" s="6" t="str">
        <f aca="false">IF((F271&lt;&gt;0),F271-G271," ")</f>
        <v> </v>
      </c>
      <c r="I271" s="5"/>
      <c r="L271" s="7" t="str">
        <f aca="false">IF(F271&lt;&gt;0,F271-K271," ")</f>
        <v> </v>
      </c>
      <c r="M271" s="8" t="str">
        <f aca="false">IF((F271-K271)&lt;&gt;0,M$1-A271," ")</f>
        <v> </v>
      </c>
      <c r="N271" s="5"/>
      <c r="O271" s="17" t="str">
        <f aca="false">IF((E271="s"),H271," ")</f>
        <v> </v>
      </c>
      <c r="P271" s="17" t="str">
        <f aca="false">IF((E271="c"),H271," ")</f>
        <v> </v>
      </c>
      <c r="Q271" s="17" t="str">
        <f aca="false">IF((E271="o"),H271," ")</f>
        <v> </v>
      </c>
      <c r="R271" s="17" t="str">
        <f aca="false">IF((E271="d"),H271," ")</f>
        <v> </v>
      </c>
      <c r="S271" s="17" t="str">
        <f aca="false">IF((E271="w"),H271," ")</f>
        <v> </v>
      </c>
      <c r="T271" s="17" t="str">
        <f aca="false">IF((E271="r"),H271," ")</f>
        <v> </v>
      </c>
      <c r="U271" s="17" t="str">
        <f aca="false">IF((E271="p"),H271," ")</f>
        <v> </v>
      </c>
      <c r="V271" s="17" t="str">
        <f aca="false">IF((E271="t"),H271," ")</f>
        <v> </v>
      </c>
      <c r="W271" s="17" t="str">
        <f aca="false">IF((E271="q"),H271," ")</f>
        <v> </v>
      </c>
      <c r="X271" s="17" t="str">
        <f aca="false">IF((E271="m"),H271," ")</f>
        <v> </v>
      </c>
      <c r="Y271" s="17" t="str">
        <f aca="false">IF((E271="u"),H271," ")</f>
        <v> </v>
      </c>
      <c r="Z271" s="17" t="str">
        <f aca="false">IF((E271="a"),H271," ")</f>
        <v> </v>
      </c>
      <c r="AA271" s="17" t="str">
        <f aca="false">IF((E271="g"),H271," ")</f>
        <v> </v>
      </c>
      <c r="AB271" s="17" t="str">
        <f aca="false">IF((E271="h"),H271," ")</f>
        <v> </v>
      </c>
      <c r="AC271" s="30" t="str">
        <f aca="false">IF((E271="v"),H271," ")</f>
        <v> </v>
      </c>
      <c r="AD271" s="30" t="str">
        <f aca="false">IF((E271="n"),H271," ")</f>
        <v> </v>
      </c>
      <c r="AE271" s="17" t="str">
        <f aca="false">IF((E271="f"),H271," ")</f>
        <v> </v>
      </c>
      <c r="AF271" s="17" t="str">
        <f aca="false">IF((E271="l"),H271," ")</f>
        <v> </v>
      </c>
      <c r="AG271" s="17" t="str">
        <f aca="false">IF((E271="y"),H271," ")</f>
        <v> </v>
      </c>
      <c r="AH271" s="17" t="str">
        <f aca="false">IF((E271="z"),H271," ")</f>
        <v> </v>
      </c>
      <c r="AI271" s="17" t="str">
        <f aca="false">IF((E271="fa"),H271," ")</f>
        <v> </v>
      </c>
      <c r="AJ271" s="17" t="str">
        <f aca="false">IF((E271="e"),H271," ")</f>
        <v> </v>
      </c>
    </row>
    <row r="272" customFormat="false" ht="12" hidden="false" customHeight="false" outlineLevel="0" collapsed="false">
      <c r="A272" s="28"/>
      <c r="E272" s="2" t="str">
        <f aca="false">IF((F272&lt;&gt;0),"Enter Letter"," ")</f>
        <v> </v>
      </c>
      <c r="F272" s="30"/>
      <c r="G272" s="6" t="str">
        <f aca="false">IF(F272&lt;&gt;0,F272*G$2/(100+G$2)," ")</f>
        <v> </v>
      </c>
      <c r="H272" s="6" t="str">
        <f aca="false">IF((F272&lt;&gt;0),F272-G272," ")</f>
        <v> </v>
      </c>
      <c r="I272" s="5"/>
      <c r="L272" s="7" t="str">
        <f aca="false">IF(F272&lt;&gt;0,F272-K272," ")</f>
        <v> </v>
      </c>
      <c r="M272" s="8" t="str">
        <f aca="false">IF((F272-K272)&lt;&gt;0,M$1-A272," ")</f>
        <v> </v>
      </c>
      <c r="N272" s="5"/>
      <c r="O272" s="17" t="str">
        <f aca="false">IF((E272="s"),H272," ")</f>
        <v> </v>
      </c>
      <c r="P272" s="17" t="str">
        <f aca="false">IF((E272="c"),H272," ")</f>
        <v> </v>
      </c>
      <c r="Q272" s="17" t="str">
        <f aca="false">IF((E272="o"),H272," ")</f>
        <v> </v>
      </c>
      <c r="R272" s="17" t="str">
        <f aca="false">IF((E272="d"),H272," ")</f>
        <v> </v>
      </c>
      <c r="S272" s="17" t="str">
        <f aca="false">IF((E272="w"),H272," ")</f>
        <v> </v>
      </c>
      <c r="T272" s="17" t="str">
        <f aca="false">IF((E272="r"),H272," ")</f>
        <v> </v>
      </c>
      <c r="U272" s="17" t="str">
        <f aca="false">IF((E272="p"),H272," ")</f>
        <v> </v>
      </c>
      <c r="V272" s="17" t="str">
        <f aca="false">IF((E272="t"),H272," ")</f>
        <v> </v>
      </c>
      <c r="W272" s="17" t="str">
        <f aca="false">IF((E272="q"),H272," ")</f>
        <v> </v>
      </c>
      <c r="X272" s="17" t="str">
        <f aca="false">IF((E272="m"),H272," ")</f>
        <v> </v>
      </c>
      <c r="Y272" s="17" t="str">
        <f aca="false">IF((E272="u"),H272," ")</f>
        <v> </v>
      </c>
      <c r="Z272" s="17" t="str">
        <f aca="false">IF((E272="a"),H272," ")</f>
        <v> </v>
      </c>
      <c r="AA272" s="17" t="str">
        <f aca="false">IF((E272="g"),H272," ")</f>
        <v> </v>
      </c>
      <c r="AB272" s="17" t="str">
        <f aca="false">IF((E272="h"),H272," ")</f>
        <v> </v>
      </c>
      <c r="AC272" s="30" t="str">
        <f aca="false">IF((E272="v"),H272," ")</f>
        <v> </v>
      </c>
      <c r="AD272" s="30" t="str">
        <f aca="false">IF((E272="n"),H272," ")</f>
        <v> </v>
      </c>
      <c r="AE272" s="17" t="str">
        <f aca="false">IF((E272="f"),H272," ")</f>
        <v> </v>
      </c>
      <c r="AF272" s="17" t="str">
        <f aca="false">IF((E272="l"),H272," ")</f>
        <v> </v>
      </c>
      <c r="AG272" s="17" t="str">
        <f aca="false">IF((E272="y"),H272," ")</f>
        <v> </v>
      </c>
      <c r="AH272" s="17" t="str">
        <f aca="false">IF((E272="z"),H272," ")</f>
        <v> </v>
      </c>
      <c r="AI272" s="17" t="str">
        <f aca="false">IF((E272="fa"),H272," ")</f>
        <v> </v>
      </c>
      <c r="AJ272" s="17" t="str">
        <f aca="false">IF((E272="e"),H272," ")</f>
        <v> </v>
      </c>
    </row>
    <row r="273" customFormat="false" ht="12" hidden="false" customHeight="false" outlineLevel="0" collapsed="false">
      <c r="A273" s="28"/>
      <c r="E273" s="2" t="str">
        <f aca="false">IF((F273&lt;&gt;0),"Enter Letter"," ")</f>
        <v> </v>
      </c>
      <c r="F273" s="30"/>
      <c r="G273" s="6" t="str">
        <f aca="false">IF(F273&lt;&gt;0,F273*G$2/(100+G$2)," ")</f>
        <v> </v>
      </c>
      <c r="H273" s="6" t="str">
        <f aca="false">IF((F273&lt;&gt;0),F273-G273," ")</f>
        <v> </v>
      </c>
      <c r="I273" s="5"/>
      <c r="L273" s="7" t="str">
        <f aca="false">IF(F273&lt;&gt;0,F273-K273," ")</f>
        <v> </v>
      </c>
      <c r="M273" s="8" t="str">
        <f aca="false">IF((F273-K273)&lt;&gt;0,M$1-A273," ")</f>
        <v> </v>
      </c>
      <c r="N273" s="5"/>
      <c r="O273" s="17" t="str">
        <f aca="false">IF((E273="s"),H273," ")</f>
        <v> </v>
      </c>
      <c r="P273" s="17" t="str">
        <f aca="false">IF((E273="c"),H273," ")</f>
        <v> </v>
      </c>
      <c r="Q273" s="17" t="str">
        <f aca="false">IF((E273="o"),H273," ")</f>
        <v> </v>
      </c>
      <c r="R273" s="17" t="str">
        <f aca="false">IF((E273="d"),H273," ")</f>
        <v> </v>
      </c>
      <c r="S273" s="17" t="str">
        <f aca="false">IF((E273="w"),H273," ")</f>
        <v> </v>
      </c>
      <c r="T273" s="17" t="str">
        <f aca="false">IF((E273="r"),H273," ")</f>
        <v> </v>
      </c>
      <c r="U273" s="17" t="str">
        <f aca="false">IF((E273="p"),H273," ")</f>
        <v> </v>
      </c>
      <c r="V273" s="17" t="str">
        <f aca="false">IF((E273="t"),H273," ")</f>
        <v> </v>
      </c>
      <c r="W273" s="17" t="str">
        <f aca="false">IF((E273="q"),H273," ")</f>
        <v> </v>
      </c>
      <c r="X273" s="17" t="str">
        <f aca="false">IF((E273="m"),H273," ")</f>
        <v> </v>
      </c>
      <c r="Y273" s="17" t="str">
        <f aca="false">IF((E273="u"),H273," ")</f>
        <v> </v>
      </c>
      <c r="Z273" s="17" t="str">
        <f aca="false">IF((E273="a"),H273," ")</f>
        <v> </v>
      </c>
      <c r="AA273" s="17" t="str">
        <f aca="false">IF((E273="g"),H273," ")</f>
        <v> </v>
      </c>
      <c r="AB273" s="17" t="str">
        <f aca="false">IF((E273="h"),H273," ")</f>
        <v> </v>
      </c>
      <c r="AC273" s="30" t="str">
        <f aca="false">IF((E273="v"),H273," ")</f>
        <v> </v>
      </c>
      <c r="AD273" s="30" t="str">
        <f aca="false">IF((E273="n"),H273," ")</f>
        <v> </v>
      </c>
      <c r="AE273" s="17" t="str">
        <f aca="false">IF((E273="f"),H273," ")</f>
        <v> </v>
      </c>
      <c r="AF273" s="17" t="str">
        <f aca="false">IF((E273="l"),H273," ")</f>
        <v> </v>
      </c>
      <c r="AG273" s="17" t="str">
        <f aca="false">IF((E273="y"),H273," ")</f>
        <v> </v>
      </c>
      <c r="AH273" s="17" t="str">
        <f aca="false">IF((E273="z"),H273," ")</f>
        <v> </v>
      </c>
      <c r="AI273" s="17" t="str">
        <f aca="false">IF((E273="fa"),H273," ")</f>
        <v> </v>
      </c>
      <c r="AJ273" s="17" t="str">
        <f aca="false">IF((E273="e"),H273," ")</f>
        <v> </v>
      </c>
    </row>
    <row r="274" customFormat="false" ht="12" hidden="false" customHeight="false" outlineLevel="0" collapsed="false">
      <c r="A274" s="28"/>
      <c r="E274" s="2" t="str">
        <f aca="false">IF((F274&lt;&gt;0),"Enter Letter"," ")</f>
        <v> </v>
      </c>
      <c r="F274" s="30"/>
      <c r="G274" s="6" t="str">
        <f aca="false">IF(F274&lt;&gt;0,F274*G$2/(100+G$2)," ")</f>
        <v> </v>
      </c>
      <c r="H274" s="6" t="str">
        <f aca="false">IF((F274&lt;&gt;0),F274-G274," ")</f>
        <v> </v>
      </c>
      <c r="I274" s="5"/>
      <c r="L274" s="7" t="str">
        <f aca="false">IF(F274&lt;&gt;0,F274-K274," ")</f>
        <v> </v>
      </c>
      <c r="M274" s="8" t="str">
        <f aca="false">IF((F274-K274)&lt;&gt;0,M$1-A274," ")</f>
        <v> </v>
      </c>
      <c r="N274" s="5"/>
      <c r="O274" s="17" t="str">
        <f aca="false">IF((E274="s"),H274," ")</f>
        <v> </v>
      </c>
      <c r="P274" s="17" t="str">
        <f aca="false">IF((E274="c"),H274," ")</f>
        <v> </v>
      </c>
      <c r="Q274" s="17" t="str">
        <f aca="false">IF((E274="o"),H274," ")</f>
        <v> </v>
      </c>
      <c r="R274" s="17" t="str">
        <f aca="false">IF((E274="d"),H274," ")</f>
        <v> </v>
      </c>
      <c r="S274" s="17" t="str">
        <f aca="false">IF((E274="w"),H274," ")</f>
        <v> </v>
      </c>
      <c r="T274" s="17" t="str">
        <f aca="false">IF((E274="r"),H274," ")</f>
        <v> </v>
      </c>
      <c r="U274" s="17" t="str">
        <f aca="false">IF((E274="p"),H274," ")</f>
        <v> </v>
      </c>
      <c r="V274" s="17" t="str">
        <f aca="false">IF((E274="t"),H274," ")</f>
        <v> </v>
      </c>
      <c r="W274" s="17" t="str">
        <f aca="false">IF((E274="q"),H274," ")</f>
        <v> </v>
      </c>
      <c r="X274" s="17" t="str">
        <f aca="false">IF((E274="m"),H274," ")</f>
        <v> </v>
      </c>
      <c r="Y274" s="17" t="str">
        <f aca="false">IF((E274="u"),H274," ")</f>
        <v> </v>
      </c>
      <c r="Z274" s="17" t="str">
        <f aca="false">IF((E274="a"),H274," ")</f>
        <v> </v>
      </c>
      <c r="AA274" s="17" t="str">
        <f aca="false">IF((E274="g"),H274," ")</f>
        <v> </v>
      </c>
      <c r="AB274" s="17" t="str">
        <f aca="false">IF((E274="h"),H274," ")</f>
        <v> </v>
      </c>
      <c r="AC274" s="30" t="str">
        <f aca="false">IF((E274="v"),H274," ")</f>
        <v> </v>
      </c>
      <c r="AD274" s="30" t="str">
        <f aca="false">IF((E274="n"),H274," ")</f>
        <v> </v>
      </c>
      <c r="AE274" s="17" t="str">
        <f aca="false">IF((E274="f"),H274," ")</f>
        <v> </v>
      </c>
      <c r="AF274" s="17" t="str">
        <f aca="false">IF((E274="l"),H274," ")</f>
        <v> </v>
      </c>
      <c r="AG274" s="17" t="str">
        <f aca="false">IF((E274="y"),H274," ")</f>
        <v> </v>
      </c>
      <c r="AH274" s="17" t="str">
        <f aca="false">IF((E274="z"),H274," ")</f>
        <v> </v>
      </c>
      <c r="AI274" s="17" t="str">
        <f aca="false">IF((E274="fa"),H274," ")</f>
        <v> </v>
      </c>
      <c r="AJ274" s="17" t="str">
        <f aca="false">IF((E274="e"),H274," ")</f>
        <v> </v>
      </c>
    </row>
    <row r="275" customFormat="false" ht="12" hidden="false" customHeight="false" outlineLevel="0" collapsed="false">
      <c r="A275" s="28"/>
      <c r="E275" s="2" t="str">
        <f aca="false">IF((F275&lt;&gt;0),"Enter Letter"," ")</f>
        <v> </v>
      </c>
      <c r="F275" s="30"/>
      <c r="G275" s="6" t="str">
        <f aca="false">IF(F275&lt;&gt;0,F275*G$2/(100+G$2)," ")</f>
        <v> </v>
      </c>
      <c r="H275" s="6" t="str">
        <f aca="false">IF((F275&lt;&gt;0),F275-G275," ")</f>
        <v> </v>
      </c>
      <c r="I275" s="5"/>
      <c r="L275" s="7" t="str">
        <f aca="false">IF(F275&lt;&gt;0,F275-K275," ")</f>
        <v> </v>
      </c>
      <c r="M275" s="8" t="str">
        <f aca="false">IF((F275-K275)&lt;&gt;0,M$1-A275," ")</f>
        <v> </v>
      </c>
      <c r="N275" s="5"/>
      <c r="O275" s="17" t="str">
        <f aca="false">IF((E275="s"),H275," ")</f>
        <v> </v>
      </c>
      <c r="P275" s="17" t="str">
        <f aca="false">IF((E275="c"),H275," ")</f>
        <v> </v>
      </c>
      <c r="Q275" s="17" t="str">
        <f aca="false">IF((E275="o"),H275," ")</f>
        <v> </v>
      </c>
      <c r="R275" s="17" t="str">
        <f aca="false">IF((E275="d"),H275," ")</f>
        <v> </v>
      </c>
      <c r="S275" s="17" t="str">
        <f aca="false">IF((E275="w"),H275," ")</f>
        <v> </v>
      </c>
      <c r="T275" s="17" t="str">
        <f aca="false">IF((E275="r"),H275," ")</f>
        <v> </v>
      </c>
      <c r="U275" s="17" t="str">
        <f aca="false">IF((E275="p"),H275," ")</f>
        <v> </v>
      </c>
      <c r="V275" s="17" t="str">
        <f aca="false">IF((E275="t"),H275," ")</f>
        <v> </v>
      </c>
      <c r="W275" s="17" t="str">
        <f aca="false">IF((E275="q"),H275," ")</f>
        <v> </v>
      </c>
      <c r="X275" s="17" t="str">
        <f aca="false">IF((E275="m"),H275," ")</f>
        <v> </v>
      </c>
      <c r="Y275" s="17" t="str">
        <f aca="false">IF((E275="u"),H275," ")</f>
        <v> </v>
      </c>
      <c r="Z275" s="17" t="str">
        <f aca="false">IF((E275="a"),H275," ")</f>
        <v> </v>
      </c>
      <c r="AA275" s="17" t="str">
        <f aca="false">IF((E275="g"),H275," ")</f>
        <v> </v>
      </c>
      <c r="AB275" s="17" t="str">
        <f aca="false">IF((E275="h"),H275," ")</f>
        <v> </v>
      </c>
      <c r="AC275" s="30" t="str">
        <f aca="false">IF((E275="v"),H275," ")</f>
        <v> </v>
      </c>
      <c r="AD275" s="30" t="str">
        <f aca="false">IF((E275="n"),H275," ")</f>
        <v> </v>
      </c>
      <c r="AE275" s="17" t="str">
        <f aca="false">IF((E275="f"),H275," ")</f>
        <v> </v>
      </c>
      <c r="AF275" s="17" t="str">
        <f aca="false">IF((E275="l"),H275," ")</f>
        <v> </v>
      </c>
      <c r="AG275" s="17" t="str">
        <f aca="false">IF((E275="y"),H275," ")</f>
        <v> </v>
      </c>
      <c r="AH275" s="17" t="str">
        <f aca="false">IF((E275="z"),H275," ")</f>
        <v> </v>
      </c>
      <c r="AI275" s="17" t="str">
        <f aca="false">IF((E275="fa"),H275," ")</f>
        <v> </v>
      </c>
      <c r="AJ275" s="17" t="str">
        <f aca="false">IF((E275="e"),H275," ")</f>
        <v> </v>
      </c>
    </row>
    <row r="276" customFormat="false" ht="12" hidden="false" customHeight="false" outlineLevel="0" collapsed="false">
      <c r="A276" s="28"/>
      <c r="E276" s="2" t="str">
        <f aca="false">IF((F276&lt;&gt;0),"Enter Letter"," ")</f>
        <v> </v>
      </c>
      <c r="F276" s="30"/>
      <c r="G276" s="6" t="str">
        <f aca="false">IF(F276&lt;&gt;0,F276*G$2/(100+G$2)," ")</f>
        <v> </v>
      </c>
      <c r="H276" s="6" t="str">
        <f aca="false">IF((F276&lt;&gt;0),F276-G276," ")</f>
        <v> </v>
      </c>
      <c r="I276" s="5"/>
      <c r="L276" s="7" t="str">
        <f aca="false">IF(F276&lt;&gt;0,F276-K276," ")</f>
        <v> </v>
      </c>
      <c r="M276" s="8" t="str">
        <f aca="false">IF((F276-K276)&lt;&gt;0,M$1-A276," ")</f>
        <v> </v>
      </c>
      <c r="N276" s="5"/>
      <c r="O276" s="17" t="str">
        <f aca="false">IF((E276="s"),H276," ")</f>
        <v> </v>
      </c>
      <c r="P276" s="17" t="str">
        <f aca="false">IF((E276="c"),H276," ")</f>
        <v> </v>
      </c>
      <c r="Q276" s="17" t="str">
        <f aca="false">IF((E276="o"),H276," ")</f>
        <v> </v>
      </c>
      <c r="R276" s="17" t="str">
        <f aca="false">IF((E276="d"),H276," ")</f>
        <v> </v>
      </c>
      <c r="S276" s="17" t="str">
        <f aca="false">IF((E276="w"),H276," ")</f>
        <v> </v>
      </c>
      <c r="T276" s="17" t="str">
        <f aca="false">IF((E276="r"),H276," ")</f>
        <v> </v>
      </c>
      <c r="U276" s="17" t="str">
        <f aca="false">IF((E276="p"),H276," ")</f>
        <v> </v>
      </c>
      <c r="V276" s="17" t="str">
        <f aca="false">IF((E276="t"),H276," ")</f>
        <v> </v>
      </c>
      <c r="W276" s="17" t="str">
        <f aca="false">IF((E276="q"),H276," ")</f>
        <v> </v>
      </c>
      <c r="X276" s="17" t="str">
        <f aca="false">IF((E276="m"),H276," ")</f>
        <v> </v>
      </c>
      <c r="Y276" s="17" t="str">
        <f aca="false">IF((E276="u"),H276," ")</f>
        <v> </v>
      </c>
      <c r="Z276" s="17" t="str">
        <f aca="false">IF((E276="a"),H276," ")</f>
        <v> </v>
      </c>
      <c r="AA276" s="17" t="str">
        <f aca="false">IF((E276="g"),H276," ")</f>
        <v> </v>
      </c>
      <c r="AB276" s="17" t="str">
        <f aca="false">IF((E276="h"),H276," ")</f>
        <v> </v>
      </c>
      <c r="AC276" s="30" t="str">
        <f aca="false">IF((E276="v"),H276," ")</f>
        <v> </v>
      </c>
      <c r="AD276" s="30" t="str">
        <f aca="false">IF((E276="n"),H276," ")</f>
        <v> </v>
      </c>
      <c r="AE276" s="17" t="str">
        <f aca="false">IF((E276="f"),H276," ")</f>
        <v> </v>
      </c>
      <c r="AF276" s="17" t="str">
        <f aca="false">IF((E276="l"),H276," ")</f>
        <v> </v>
      </c>
      <c r="AG276" s="17" t="str">
        <f aca="false">IF((E276="y"),H276," ")</f>
        <v> </v>
      </c>
      <c r="AH276" s="17" t="str">
        <f aca="false">IF((E276="z"),H276," ")</f>
        <v> </v>
      </c>
      <c r="AI276" s="17" t="str">
        <f aca="false">IF((E276="fa"),H276," ")</f>
        <v> </v>
      </c>
      <c r="AJ276" s="17" t="str">
        <f aca="false">IF((E276="e"),H276," ")</f>
        <v> </v>
      </c>
    </row>
    <row r="277" customFormat="false" ht="12" hidden="false" customHeight="false" outlineLevel="0" collapsed="false">
      <c r="A277" s="28"/>
      <c r="E277" s="2" t="str">
        <f aca="false">IF((F277&lt;&gt;0),"Enter Letter"," ")</f>
        <v> </v>
      </c>
      <c r="F277" s="30"/>
      <c r="G277" s="6" t="str">
        <f aca="false">IF(F277&lt;&gt;0,F277*G$2/(100+G$2)," ")</f>
        <v> </v>
      </c>
      <c r="H277" s="6" t="str">
        <f aca="false">IF((F277&lt;&gt;0),F277-G277," ")</f>
        <v> </v>
      </c>
      <c r="I277" s="5"/>
      <c r="L277" s="7" t="str">
        <f aca="false">IF(F277&lt;&gt;0,F277-K277," ")</f>
        <v> </v>
      </c>
      <c r="M277" s="8" t="str">
        <f aca="false">IF((F277-K277)&lt;&gt;0,M$1-A277," ")</f>
        <v> </v>
      </c>
      <c r="N277" s="5"/>
      <c r="O277" s="17" t="str">
        <f aca="false">IF((E277="s"),H277," ")</f>
        <v> </v>
      </c>
      <c r="P277" s="17" t="str">
        <f aca="false">IF((E277="c"),H277," ")</f>
        <v> </v>
      </c>
      <c r="Q277" s="17" t="str">
        <f aca="false">IF((E277="o"),H277," ")</f>
        <v> </v>
      </c>
      <c r="R277" s="17" t="str">
        <f aca="false">IF((E277="d"),H277," ")</f>
        <v> </v>
      </c>
      <c r="S277" s="17" t="str">
        <f aca="false">IF((E277="w"),H277," ")</f>
        <v> </v>
      </c>
      <c r="T277" s="17" t="str">
        <f aca="false">IF((E277="r"),H277," ")</f>
        <v> </v>
      </c>
      <c r="U277" s="17" t="str">
        <f aca="false">IF((E277="p"),H277," ")</f>
        <v> </v>
      </c>
      <c r="V277" s="17" t="str">
        <f aca="false">IF((E277="t"),H277," ")</f>
        <v> </v>
      </c>
      <c r="W277" s="17" t="str">
        <f aca="false">IF((E277="q"),H277," ")</f>
        <v> </v>
      </c>
      <c r="X277" s="17" t="str">
        <f aca="false">IF((E277="m"),H277," ")</f>
        <v> </v>
      </c>
      <c r="Y277" s="17" t="str">
        <f aca="false">IF((E277="u"),H277," ")</f>
        <v> </v>
      </c>
      <c r="Z277" s="17" t="str">
        <f aca="false">IF((E277="a"),H277," ")</f>
        <v> </v>
      </c>
      <c r="AA277" s="17" t="str">
        <f aca="false">IF((E277="g"),H277," ")</f>
        <v> </v>
      </c>
      <c r="AB277" s="17" t="str">
        <f aca="false">IF((E277="h"),H277," ")</f>
        <v> </v>
      </c>
      <c r="AC277" s="30" t="str">
        <f aca="false">IF((E277="v"),H277," ")</f>
        <v> </v>
      </c>
      <c r="AD277" s="30" t="str">
        <f aca="false">IF((E277="n"),H277," ")</f>
        <v> </v>
      </c>
      <c r="AE277" s="17" t="str">
        <f aca="false">IF((E277="f"),H277," ")</f>
        <v> </v>
      </c>
      <c r="AF277" s="17" t="str">
        <f aca="false">IF((E277="l"),H277," ")</f>
        <v> </v>
      </c>
      <c r="AG277" s="17" t="str">
        <f aca="false">IF((E277="y"),H277," ")</f>
        <v> </v>
      </c>
      <c r="AH277" s="17" t="str">
        <f aca="false">IF((E277="z"),H277," ")</f>
        <v> </v>
      </c>
      <c r="AI277" s="17" t="str">
        <f aca="false">IF((E277="fa"),H277," ")</f>
        <v> </v>
      </c>
      <c r="AJ277" s="17" t="str">
        <f aca="false">IF((E277="e"),H277," ")</f>
        <v> </v>
      </c>
    </row>
    <row r="278" customFormat="false" ht="12" hidden="false" customHeight="false" outlineLevel="0" collapsed="false">
      <c r="A278" s="28"/>
      <c r="E278" s="2" t="str">
        <f aca="false">IF((F278&lt;&gt;0),"Enter Letter"," ")</f>
        <v> </v>
      </c>
      <c r="F278" s="30"/>
      <c r="G278" s="6" t="str">
        <f aca="false">IF(F278&lt;&gt;0,F278*G$2/(100+G$2)," ")</f>
        <v> </v>
      </c>
      <c r="H278" s="6" t="str">
        <f aca="false">IF((F278&lt;&gt;0),F278-G278," ")</f>
        <v> </v>
      </c>
      <c r="I278" s="5"/>
      <c r="L278" s="7" t="str">
        <f aca="false">IF(F278&lt;&gt;0,F278-K278," ")</f>
        <v> </v>
      </c>
      <c r="M278" s="8" t="str">
        <f aca="false">IF((F278-K278)&lt;&gt;0,M$1-A278," ")</f>
        <v> </v>
      </c>
      <c r="N278" s="5"/>
      <c r="O278" s="17" t="str">
        <f aca="false">IF((E278="s"),H278," ")</f>
        <v> </v>
      </c>
      <c r="P278" s="17" t="str">
        <f aca="false">IF((E278="c"),H278," ")</f>
        <v> </v>
      </c>
      <c r="Q278" s="17" t="str">
        <f aca="false">IF((E278="o"),H278," ")</f>
        <v> </v>
      </c>
      <c r="R278" s="17" t="str">
        <f aca="false">IF((E278="d"),H278," ")</f>
        <v> </v>
      </c>
      <c r="S278" s="17" t="str">
        <f aca="false">IF((E278="w"),H278," ")</f>
        <v> </v>
      </c>
      <c r="T278" s="17" t="str">
        <f aca="false">IF((E278="r"),H278," ")</f>
        <v> </v>
      </c>
      <c r="U278" s="17" t="str">
        <f aca="false">IF((E278="p"),H278," ")</f>
        <v> </v>
      </c>
      <c r="V278" s="17" t="str">
        <f aca="false">IF((E278="t"),H278," ")</f>
        <v> </v>
      </c>
      <c r="W278" s="17" t="str">
        <f aca="false">IF((E278="q"),H278," ")</f>
        <v> </v>
      </c>
      <c r="X278" s="17" t="str">
        <f aca="false">IF((E278="m"),H278," ")</f>
        <v> </v>
      </c>
      <c r="Y278" s="17" t="str">
        <f aca="false">IF((E278="u"),H278," ")</f>
        <v> </v>
      </c>
      <c r="Z278" s="17" t="str">
        <f aca="false">IF((E278="a"),H278," ")</f>
        <v> </v>
      </c>
      <c r="AA278" s="17" t="str">
        <f aca="false">IF((E278="g"),H278," ")</f>
        <v> </v>
      </c>
      <c r="AB278" s="17" t="str">
        <f aca="false">IF((E278="h"),H278," ")</f>
        <v> </v>
      </c>
      <c r="AC278" s="30" t="str">
        <f aca="false">IF((E278="v"),H278," ")</f>
        <v> </v>
      </c>
      <c r="AD278" s="30" t="str">
        <f aca="false">IF((E278="n"),H278," ")</f>
        <v> </v>
      </c>
      <c r="AE278" s="17" t="str">
        <f aca="false">IF((E278="f"),H278," ")</f>
        <v> </v>
      </c>
      <c r="AF278" s="17" t="str">
        <f aca="false">IF((E278="l"),H278," ")</f>
        <v> </v>
      </c>
      <c r="AG278" s="17" t="str">
        <f aca="false">IF((E278="y"),H278," ")</f>
        <v> </v>
      </c>
      <c r="AH278" s="17" t="str">
        <f aca="false">IF((E278="z"),H278," ")</f>
        <v> </v>
      </c>
      <c r="AI278" s="17" t="str">
        <f aca="false">IF((E278="fa"),H278," ")</f>
        <v> </v>
      </c>
      <c r="AJ278" s="17" t="str">
        <f aca="false">IF((E278="e"),H278," ")</f>
        <v> </v>
      </c>
    </row>
    <row r="279" customFormat="false" ht="12" hidden="false" customHeight="false" outlineLevel="0" collapsed="false">
      <c r="A279" s="28"/>
      <c r="E279" s="2" t="str">
        <f aca="false">IF((F279&lt;&gt;0),"Enter Letter"," ")</f>
        <v> </v>
      </c>
      <c r="F279" s="30"/>
      <c r="G279" s="6" t="str">
        <f aca="false">IF(F279&lt;&gt;0,F279*G$2/(100+G$2)," ")</f>
        <v> </v>
      </c>
      <c r="H279" s="6" t="str">
        <f aca="false">IF((F279&lt;&gt;0),F279-G279," ")</f>
        <v> </v>
      </c>
      <c r="I279" s="5"/>
      <c r="L279" s="7" t="str">
        <f aca="false">IF(F279&lt;&gt;0,F279-K279," ")</f>
        <v> </v>
      </c>
      <c r="M279" s="8" t="str">
        <f aca="false">IF((F279-K279)&lt;&gt;0,M$1-A279," ")</f>
        <v> </v>
      </c>
      <c r="N279" s="5"/>
      <c r="O279" s="17" t="str">
        <f aca="false">IF((E279="s"),H279," ")</f>
        <v> </v>
      </c>
      <c r="P279" s="17" t="str">
        <f aca="false">IF((E279="c"),H279," ")</f>
        <v> </v>
      </c>
      <c r="Q279" s="17" t="str">
        <f aca="false">IF((E279="o"),H279," ")</f>
        <v> </v>
      </c>
      <c r="R279" s="17" t="str">
        <f aca="false">IF((E279="d"),H279," ")</f>
        <v> </v>
      </c>
      <c r="S279" s="17" t="str">
        <f aca="false">IF((E279="w"),H279," ")</f>
        <v> </v>
      </c>
      <c r="T279" s="17" t="str">
        <f aca="false">IF((E279="r"),H279," ")</f>
        <v> </v>
      </c>
      <c r="U279" s="17" t="str">
        <f aca="false">IF((E279="p"),H279," ")</f>
        <v> </v>
      </c>
      <c r="V279" s="17" t="str">
        <f aca="false">IF((E279="t"),H279," ")</f>
        <v> </v>
      </c>
      <c r="W279" s="17" t="str">
        <f aca="false">IF((E279="q"),H279," ")</f>
        <v> </v>
      </c>
      <c r="X279" s="17" t="str">
        <f aca="false">IF((E279="m"),H279," ")</f>
        <v> </v>
      </c>
      <c r="Y279" s="17" t="str">
        <f aca="false">IF((E279="u"),H279," ")</f>
        <v> </v>
      </c>
      <c r="Z279" s="17" t="str">
        <f aca="false">IF((E279="a"),H279," ")</f>
        <v> </v>
      </c>
      <c r="AA279" s="17" t="str">
        <f aca="false">IF((E279="g"),H279," ")</f>
        <v> </v>
      </c>
      <c r="AB279" s="17" t="str">
        <f aca="false">IF((E279="h"),H279," ")</f>
        <v> </v>
      </c>
      <c r="AC279" s="30" t="str">
        <f aca="false">IF((E279="v"),H279," ")</f>
        <v> </v>
      </c>
      <c r="AD279" s="30" t="str">
        <f aca="false">IF((E279="n"),H279," ")</f>
        <v> </v>
      </c>
      <c r="AE279" s="17" t="str">
        <f aca="false">IF((E279="f"),H279," ")</f>
        <v> </v>
      </c>
      <c r="AF279" s="17" t="str">
        <f aca="false">IF((E279="l"),H279," ")</f>
        <v> </v>
      </c>
      <c r="AG279" s="17" t="str">
        <f aca="false">IF((E279="y"),H279," ")</f>
        <v> </v>
      </c>
      <c r="AH279" s="17" t="str">
        <f aca="false">IF((E279="z"),H279," ")</f>
        <v> </v>
      </c>
      <c r="AI279" s="17" t="str">
        <f aca="false">IF((E279="fa"),H279," ")</f>
        <v> </v>
      </c>
      <c r="AJ279" s="17" t="str">
        <f aca="false">IF((E279="e"),H279," ")</f>
        <v> </v>
      </c>
    </row>
    <row r="280" customFormat="false" ht="12" hidden="false" customHeight="false" outlineLevel="0" collapsed="false">
      <c r="A280" s="28"/>
      <c r="E280" s="2" t="str">
        <f aca="false">IF((F280&lt;&gt;0),"Enter Letter"," ")</f>
        <v> </v>
      </c>
      <c r="F280" s="30"/>
      <c r="G280" s="6" t="str">
        <f aca="false">IF(F280&lt;&gt;0,F280*G$2/(100+G$2)," ")</f>
        <v> </v>
      </c>
      <c r="H280" s="6" t="str">
        <f aca="false">IF((F280&lt;&gt;0),F280-G280," ")</f>
        <v> </v>
      </c>
      <c r="I280" s="5"/>
      <c r="L280" s="7" t="str">
        <f aca="false">IF(F280&lt;&gt;0,F280-K280," ")</f>
        <v> </v>
      </c>
      <c r="M280" s="8" t="str">
        <f aca="false">IF((F280-K280)&lt;&gt;0,M$1-A280," ")</f>
        <v> </v>
      </c>
      <c r="N280" s="5"/>
      <c r="O280" s="17" t="str">
        <f aca="false">IF((E280="s"),H280," ")</f>
        <v> </v>
      </c>
      <c r="P280" s="17" t="str">
        <f aca="false">IF((E280="c"),H280," ")</f>
        <v> </v>
      </c>
      <c r="Q280" s="17" t="str">
        <f aca="false">IF((E280="o"),H280," ")</f>
        <v> </v>
      </c>
      <c r="R280" s="17" t="str">
        <f aca="false">IF((E280="d"),H280," ")</f>
        <v> </v>
      </c>
      <c r="S280" s="17" t="str">
        <f aca="false">IF((E280="w"),H280," ")</f>
        <v> </v>
      </c>
      <c r="T280" s="17" t="str">
        <f aca="false">IF((E280="r"),H280," ")</f>
        <v> </v>
      </c>
      <c r="U280" s="17" t="str">
        <f aca="false">IF((E280="p"),H280," ")</f>
        <v> </v>
      </c>
      <c r="V280" s="17" t="str">
        <f aca="false">IF((E280="t"),H280," ")</f>
        <v> </v>
      </c>
      <c r="W280" s="17" t="str">
        <f aca="false">IF((E280="q"),H280," ")</f>
        <v> </v>
      </c>
      <c r="X280" s="17" t="str">
        <f aca="false">IF((E280="m"),H280," ")</f>
        <v> </v>
      </c>
      <c r="Y280" s="17" t="str">
        <f aca="false">IF((E280="u"),H280," ")</f>
        <v> </v>
      </c>
      <c r="Z280" s="17" t="str">
        <f aca="false">IF((E280="a"),H280," ")</f>
        <v> </v>
      </c>
      <c r="AA280" s="17" t="str">
        <f aca="false">IF((E280="g"),H280," ")</f>
        <v> </v>
      </c>
      <c r="AB280" s="17" t="str">
        <f aca="false">IF((E280="h"),H280," ")</f>
        <v> </v>
      </c>
      <c r="AC280" s="30" t="str">
        <f aca="false">IF((E280="v"),H280," ")</f>
        <v> </v>
      </c>
      <c r="AD280" s="30" t="str">
        <f aca="false">IF((E280="n"),H280," ")</f>
        <v> </v>
      </c>
      <c r="AE280" s="17" t="str">
        <f aca="false">IF((E280="f"),H280," ")</f>
        <v> </v>
      </c>
      <c r="AF280" s="17" t="str">
        <f aca="false">IF((E280="l"),H280," ")</f>
        <v> </v>
      </c>
      <c r="AG280" s="17" t="str">
        <f aca="false">IF((E280="y"),H280," ")</f>
        <v> </v>
      </c>
      <c r="AH280" s="17" t="str">
        <f aca="false">IF((E280="z"),H280," ")</f>
        <v> </v>
      </c>
      <c r="AI280" s="17" t="str">
        <f aca="false">IF((E280="fa"),H280," ")</f>
        <v> </v>
      </c>
      <c r="AJ280" s="17" t="str">
        <f aca="false">IF((E280="e"),H280," ")</f>
        <v> </v>
      </c>
    </row>
    <row r="281" customFormat="false" ht="12" hidden="false" customHeight="false" outlineLevel="0" collapsed="false">
      <c r="A281" s="28"/>
      <c r="E281" s="2" t="str">
        <f aca="false">IF((F281&lt;&gt;0),"Enter Letter"," ")</f>
        <v> </v>
      </c>
      <c r="F281" s="30"/>
      <c r="G281" s="6" t="str">
        <f aca="false">IF(F281&lt;&gt;0,F281*G$2/(100+G$2)," ")</f>
        <v> </v>
      </c>
      <c r="H281" s="6" t="str">
        <f aca="false">IF((F281&lt;&gt;0),F281-G281," ")</f>
        <v> </v>
      </c>
      <c r="I281" s="5"/>
      <c r="L281" s="7" t="str">
        <f aca="false">IF(F281&lt;&gt;0,F281-K281," ")</f>
        <v> </v>
      </c>
      <c r="M281" s="8" t="str">
        <f aca="false">IF((F281-K281)&lt;&gt;0,M$1-A281," ")</f>
        <v> </v>
      </c>
      <c r="N281" s="5"/>
      <c r="O281" s="17" t="str">
        <f aca="false">IF((E281="s"),H281," ")</f>
        <v> </v>
      </c>
      <c r="P281" s="17" t="str">
        <f aca="false">IF((E281="c"),H281," ")</f>
        <v> </v>
      </c>
      <c r="Q281" s="17" t="str">
        <f aca="false">IF((E281="o"),H281," ")</f>
        <v> </v>
      </c>
      <c r="R281" s="17" t="str">
        <f aca="false">IF((E281="d"),H281," ")</f>
        <v> </v>
      </c>
      <c r="S281" s="17" t="str">
        <f aca="false">IF((E281="w"),H281," ")</f>
        <v> </v>
      </c>
      <c r="T281" s="17" t="str">
        <f aca="false">IF((E281="r"),H281," ")</f>
        <v> </v>
      </c>
      <c r="U281" s="17" t="str">
        <f aca="false">IF((E281="p"),H281," ")</f>
        <v> </v>
      </c>
      <c r="V281" s="17" t="str">
        <f aca="false">IF((E281="t"),H281," ")</f>
        <v> </v>
      </c>
      <c r="W281" s="17" t="str">
        <f aca="false">IF((E281="q"),H281," ")</f>
        <v> </v>
      </c>
      <c r="X281" s="17" t="str">
        <f aca="false">IF((E281="m"),H281," ")</f>
        <v> </v>
      </c>
      <c r="Y281" s="17" t="str">
        <f aca="false">IF((E281="u"),H281," ")</f>
        <v> </v>
      </c>
      <c r="Z281" s="17" t="str">
        <f aca="false">IF((E281="a"),H281," ")</f>
        <v> </v>
      </c>
      <c r="AA281" s="17" t="str">
        <f aca="false">IF((E281="g"),H281," ")</f>
        <v> </v>
      </c>
      <c r="AB281" s="17" t="str">
        <f aca="false">IF((E281="h"),H281," ")</f>
        <v> </v>
      </c>
      <c r="AC281" s="30" t="str">
        <f aca="false">IF((E281="v"),H281," ")</f>
        <v> </v>
      </c>
      <c r="AD281" s="30" t="str">
        <f aca="false">IF((E281="n"),H281," ")</f>
        <v> </v>
      </c>
      <c r="AE281" s="17" t="str">
        <f aca="false">IF((E281="f"),H281," ")</f>
        <v> </v>
      </c>
      <c r="AF281" s="17" t="str">
        <f aca="false">IF((E281="l"),H281," ")</f>
        <v> </v>
      </c>
      <c r="AG281" s="17" t="str">
        <f aca="false">IF((E281="y"),H281," ")</f>
        <v> </v>
      </c>
      <c r="AH281" s="17" t="str">
        <f aca="false">IF((E281="z"),H281," ")</f>
        <v> </v>
      </c>
      <c r="AI281" s="17" t="str">
        <f aca="false">IF((E281="fa"),H281," ")</f>
        <v> </v>
      </c>
      <c r="AJ281" s="17" t="str">
        <f aca="false">IF((E281="e"),H281," ")</f>
        <v> </v>
      </c>
    </row>
    <row r="282" customFormat="false" ht="12" hidden="false" customHeight="false" outlineLevel="0" collapsed="false">
      <c r="A282" s="28"/>
      <c r="E282" s="2" t="str">
        <f aca="false">IF((F282&lt;&gt;0),"Enter Letter"," ")</f>
        <v> </v>
      </c>
      <c r="F282" s="30"/>
      <c r="G282" s="6" t="str">
        <f aca="false">IF(F282&lt;&gt;0,F282*G$2/(100+G$2)," ")</f>
        <v> </v>
      </c>
      <c r="H282" s="6" t="str">
        <f aca="false">IF((F282&lt;&gt;0),F282-G282," ")</f>
        <v> </v>
      </c>
      <c r="I282" s="5"/>
      <c r="L282" s="7" t="str">
        <f aca="false">IF(F282&lt;&gt;0,F282-K282," ")</f>
        <v> </v>
      </c>
      <c r="M282" s="8" t="str">
        <f aca="false">IF((F282-K282)&lt;&gt;0,M$1-A282," ")</f>
        <v> </v>
      </c>
      <c r="N282" s="5"/>
      <c r="O282" s="17" t="str">
        <f aca="false">IF((E282="s"),H282," ")</f>
        <v> </v>
      </c>
      <c r="P282" s="17" t="str">
        <f aca="false">IF((E282="c"),H282," ")</f>
        <v> </v>
      </c>
      <c r="Q282" s="17" t="str">
        <f aca="false">IF((E282="o"),H282," ")</f>
        <v> </v>
      </c>
      <c r="R282" s="17" t="str">
        <f aca="false">IF((E282="d"),H282," ")</f>
        <v> </v>
      </c>
      <c r="S282" s="17" t="str">
        <f aca="false">IF((E282="w"),H282," ")</f>
        <v> </v>
      </c>
      <c r="T282" s="17" t="str">
        <f aca="false">IF((E282="r"),H282," ")</f>
        <v> </v>
      </c>
      <c r="U282" s="17" t="str">
        <f aca="false">IF((E282="p"),H282," ")</f>
        <v> </v>
      </c>
      <c r="V282" s="17" t="str">
        <f aca="false">IF((E282="t"),H282," ")</f>
        <v> </v>
      </c>
      <c r="W282" s="17" t="str">
        <f aca="false">IF((E282="q"),H282," ")</f>
        <v> </v>
      </c>
      <c r="X282" s="17" t="str">
        <f aca="false">IF((E282="m"),H282," ")</f>
        <v> </v>
      </c>
      <c r="Y282" s="17" t="str">
        <f aca="false">IF((E282="u"),H282," ")</f>
        <v> </v>
      </c>
      <c r="Z282" s="17" t="str">
        <f aca="false">IF((E282="a"),H282," ")</f>
        <v> </v>
      </c>
      <c r="AA282" s="17" t="str">
        <f aca="false">IF((E282="g"),H282," ")</f>
        <v> </v>
      </c>
      <c r="AB282" s="17" t="str">
        <f aca="false">IF((E282="h"),H282," ")</f>
        <v> </v>
      </c>
      <c r="AC282" s="30" t="str">
        <f aca="false">IF((E282="v"),H282," ")</f>
        <v> </v>
      </c>
      <c r="AD282" s="30" t="str">
        <f aca="false">IF((E282="n"),H282," ")</f>
        <v> </v>
      </c>
      <c r="AE282" s="17" t="str">
        <f aca="false">IF((E282="f"),H282," ")</f>
        <v> </v>
      </c>
      <c r="AF282" s="17" t="str">
        <f aca="false">IF((E282="l"),H282," ")</f>
        <v> </v>
      </c>
      <c r="AG282" s="17" t="str">
        <f aca="false">IF((E282="y"),H282," ")</f>
        <v> </v>
      </c>
      <c r="AH282" s="17" t="str">
        <f aca="false">IF((E282="z"),H282," ")</f>
        <v> </v>
      </c>
      <c r="AI282" s="17" t="str">
        <f aca="false">IF((E282="fa"),H282," ")</f>
        <v> </v>
      </c>
      <c r="AJ282" s="17" t="str">
        <f aca="false">IF((E282="e"),H282," ")</f>
        <v> </v>
      </c>
    </row>
    <row r="283" customFormat="false" ht="12" hidden="false" customHeight="false" outlineLevel="0" collapsed="false">
      <c r="A283" s="28"/>
      <c r="E283" s="2" t="str">
        <f aca="false">IF((F283&lt;&gt;0),"Enter Letter"," ")</f>
        <v> </v>
      </c>
      <c r="F283" s="30"/>
      <c r="G283" s="6" t="str">
        <f aca="false">IF(F283&lt;&gt;0,F283*G$2/(100+G$2)," ")</f>
        <v> </v>
      </c>
      <c r="H283" s="6" t="str">
        <f aca="false">IF((F283&lt;&gt;0),F283-G283," ")</f>
        <v> </v>
      </c>
      <c r="I283" s="5"/>
      <c r="L283" s="7" t="str">
        <f aca="false">IF(F283&lt;&gt;0,F283-K283," ")</f>
        <v> </v>
      </c>
      <c r="M283" s="8" t="str">
        <f aca="false">IF((F283-K283)&lt;&gt;0,M$1-A283," ")</f>
        <v> </v>
      </c>
      <c r="N283" s="5"/>
      <c r="O283" s="17" t="str">
        <f aca="false">IF((E283="s"),H283," ")</f>
        <v> </v>
      </c>
      <c r="P283" s="17" t="str">
        <f aca="false">IF((E283="c"),H283," ")</f>
        <v> </v>
      </c>
      <c r="Q283" s="17" t="str">
        <f aca="false">IF((E283="o"),H283," ")</f>
        <v> </v>
      </c>
      <c r="R283" s="17" t="str">
        <f aca="false">IF((E283="d"),H283," ")</f>
        <v> </v>
      </c>
      <c r="S283" s="17" t="str">
        <f aca="false">IF((E283="w"),H283," ")</f>
        <v> </v>
      </c>
      <c r="T283" s="17" t="str">
        <f aca="false">IF((E283="r"),H283," ")</f>
        <v> </v>
      </c>
      <c r="U283" s="17" t="str">
        <f aca="false">IF((E283="p"),H283," ")</f>
        <v> </v>
      </c>
      <c r="V283" s="17" t="str">
        <f aca="false">IF((E283="t"),H283," ")</f>
        <v> </v>
      </c>
      <c r="W283" s="17" t="str">
        <f aca="false">IF((E283="q"),H283," ")</f>
        <v> </v>
      </c>
      <c r="X283" s="17" t="str">
        <f aca="false">IF((E283="m"),H283," ")</f>
        <v> </v>
      </c>
      <c r="Y283" s="17" t="str">
        <f aca="false">IF((E283="u"),H283," ")</f>
        <v> </v>
      </c>
      <c r="Z283" s="17" t="str">
        <f aca="false">IF((E283="a"),H283," ")</f>
        <v> </v>
      </c>
      <c r="AA283" s="17" t="str">
        <f aca="false">IF((E283="g"),H283," ")</f>
        <v> </v>
      </c>
      <c r="AB283" s="17" t="str">
        <f aca="false">IF((E283="h"),H283," ")</f>
        <v> </v>
      </c>
      <c r="AC283" s="30" t="str">
        <f aca="false">IF((E283="v"),H283," ")</f>
        <v> </v>
      </c>
      <c r="AD283" s="30" t="str">
        <f aca="false">IF((E283="n"),H283," ")</f>
        <v> </v>
      </c>
      <c r="AE283" s="17" t="str">
        <f aca="false">IF((E283="f"),H283," ")</f>
        <v> </v>
      </c>
      <c r="AF283" s="17" t="str">
        <f aca="false">IF((E283="l"),H283," ")</f>
        <v> </v>
      </c>
      <c r="AG283" s="17" t="str">
        <f aca="false">IF((E283="y"),H283," ")</f>
        <v> </v>
      </c>
      <c r="AH283" s="17" t="str">
        <f aca="false">IF((E283="z"),H283," ")</f>
        <v> </v>
      </c>
      <c r="AI283" s="17" t="str">
        <f aca="false">IF((E283="fa"),H283," ")</f>
        <v> </v>
      </c>
      <c r="AJ283" s="17" t="str">
        <f aca="false">IF((E283="e"),H283," ")</f>
        <v> </v>
      </c>
    </row>
    <row r="284" customFormat="false" ht="12" hidden="false" customHeight="false" outlineLevel="0" collapsed="false">
      <c r="A284" s="28"/>
      <c r="E284" s="2" t="str">
        <f aca="false">IF((F284&lt;&gt;0),"Enter Letter"," ")</f>
        <v> </v>
      </c>
      <c r="F284" s="30"/>
      <c r="G284" s="6" t="str">
        <f aca="false">IF(F284&lt;&gt;0,F284*G$2/(100+G$2)," ")</f>
        <v> </v>
      </c>
      <c r="H284" s="6" t="str">
        <f aca="false">IF((F284&lt;&gt;0),F284-G284," ")</f>
        <v> </v>
      </c>
      <c r="I284" s="5"/>
      <c r="L284" s="7" t="str">
        <f aca="false">IF(F284&lt;&gt;0,F284-K284," ")</f>
        <v> </v>
      </c>
      <c r="M284" s="8" t="str">
        <f aca="false">IF((F284-K284)&lt;&gt;0,M$1-A284," ")</f>
        <v> </v>
      </c>
      <c r="N284" s="5"/>
      <c r="O284" s="17" t="str">
        <f aca="false">IF((E284="s"),H284," ")</f>
        <v> </v>
      </c>
      <c r="P284" s="17" t="str">
        <f aca="false">IF((E284="c"),H284," ")</f>
        <v> </v>
      </c>
      <c r="Q284" s="17" t="str">
        <f aca="false">IF((E284="o"),H284," ")</f>
        <v> </v>
      </c>
      <c r="R284" s="17" t="str">
        <f aca="false">IF((E284="d"),H284," ")</f>
        <v> </v>
      </c>
      <c r="S284" s="17" t="str">
        <f aca="false">IF((E284="w"),H284," ")</f>
        <v> </v>
      </c>
      <c r="T284" s="17" t="str">
        <f aca="false">IF((E284="r"),H284," ")</f>
        <v> </v>
      </c>
      <c r="U284" s="17" t="str">
        <f aca="false">IF((E284="p"),H284," ")</f>
        <v> </v>
      </c>
      <c r="V284" s="17" t="str">
        <f aca="false">IF((E284="t"),H284," ")</f>
        <v> </v>
      </c>
      <c r="W284" s="17" t="str">
        <f aca="false">IF((E284="q"),H284," ")</f>
        <v> </v>
      </c>
      <c r="X284" s="17" t="str">
        <f aca="false">IF((E284="m"),H284," ")</f>
        <v> </v>
      </c>
      <c r="Y284" s="17" t="str">
        <f aca="false">IF((E284="u"),H284," ")</f>
        <v> </v>
      </c>
      <c r="Z284" s="17" t="str">
        <f aca="false">IF((E284="a"),H284," ")</f>
        <v> </v>
      </c>
      <c r="AA284" s="17" t="str">
        <f aca="false">IF((E284="g"),H284," ")</f>
        <v> </v>
      </c>
      <c r="AB284" s="17" t="str">
        <f aca="false">IF((E284="h"),H284," ")</f>
        <v> </v>
      </c>
      <c r="AC284" s="30" t="str">
        <f aca="false">IF((E284="v"),H284," ")</f>
        <v> </v>
      </c>
      <c r="AD284" s="30" t="str">
        <f aca="false">IF((E284="n"),H284," ")</f>
        <v> </v>
      </c>
      <c r="AE284" s="17" t="str">
        <f aca="false">IF((E284="f"),H284," ")</f>
        <v> </v>
      </c>
      <c r="AF284" s="17" t="str">
        <f aca="false">IF((E284="l"),H284," ")</f>
        <v> </v>
      </c>
      <c r="AG284" s="17" t="str">
        <f aca="false">IF((E284="y"),H284," ")</f>
        <v> </v>
      </c>
      <c r="AH284" s="17" t="str">
        <f aca="false">IF((E284="z"),H284," ")</f>
        <v> </v>
      </c>
      <c r="AI284" s="17" t="str">
        <f aca="false">IF((E284="fa"),H284," ")</f>
        <v> </v>
      </c>
      <c r="AJ284" s="17" t="str">
        <f aca="false">IF((E284="e"),H284," ")</f>
        <v> </v>
      </c>
    </row>
    <row r="285" customFormat="false" ht="12" hidden="false" customHeight="false" outlineLevel="0" collapsed="false">
      <c r="A285" s="28"/>
      <c r="E285" s="2" t="str">
        <f aca="false">IF((F285&lt;&gt;0),"Enter Letter"," ")</f>
        <v> </v>
      </c>
      <c r="F285" s="30"/>
      <c r="G285" s="6" t="str">
        <f aca="false">IF(F285&lt;&gt;0,F285*G$2/(100+G$2)," ")</f>
        <v> </v>
      </c>
      <c r="H285" s="6" t="str">
        <f aca="false">IF((F285&lt;&gt;0),F285-G285," ")</f>
        <v> </v>
      </c>
      <c r="I285" s="5"/>
      <c r="L285" s="7" t="str">
        <f aca="false">IF(F285&lt;&gt;0,F285-K285," ")</f>
        <v> </v>
      </c>
      <c r="M285" s="8" t="str">
        <f aca="false">IF((F285-K285)&lt;&gt;0,M$1-A285," ")</f>
        <v> </v>
      </c>
      <c r="N285" s="5"/>
      <c r="O285" s="17" t="str">
        <f aca="false">IF((E285="s"),H285," ")</f>
        <v> </v>
      </c>
      <c r="P285" s="17" t="str">
        <f aca="false">IF((E285="c"),H285," ")</f>
        <v> </v>
      </c>
      <c r="Q285" s="17" t="str">
        <f aca="false">IF((E285="o"),H285," ")</f>
        <v> </v>
      </c>
      <c r="R285" s="17" t="str">
        <f aca="false">IF((E285="d"),H285," ")</f>
        <v> </v>
      </c>
      <c r="S285" s="17" t="str">
        <f aca="false">IF((E285="w"),H285," ")</f>
        <v> </v>
      </c>
      <c r="T285" s="17" t="str">
        <f aca="false">IF((E285="r"),H285," ")</f>
        <v> </v>
      </c>
      <c r="U285" s="17" t="str">
        <f aca="false">IF((E285="p"),H285," ")</f>
        <v> </v>
      </c>
      <c r="V285" s="17" t="str">
        <f aca="false">IF((E285="t"),H285," ")</f>
        <v> </v>
      </c>
      <c r="W285" s="17" t="str">
        <f aca="false">IF((E285="q"),H285," ")</f>
        <v> </v>
      </c>
      <c r="X285" s="17" t="str">
        <f aca="false">IF((E285="m"),H285," ")</f>
        <v> </v>
      </c>
      <c r="Y285" s="17" t="str">
        <f aca="false">IF((E285="u"),H285," ")</f>
        <v> </v>
      </c>
      <c r="Z285" s="17" t="str">
        <f aca="false">IF((E285="a"),H285," ")</f>
        <v> </v>
      </c>
      <c r="AA285" s="17" t="str">
        <f aca="false">IF((E285="g"),H285," ")</f>
        <v> </v>
      </c>
      <c r="AB285" s="17" t="str">
        <f aca="false">IF((E285="h"),H285," ")</f>
        <v> </v>
      </c>
      <c r="AC285" s="30" t="str">
        <f aca="false">IF((E285="v"),H285," ")</f>
        <v> </v>
      </c>
      <c r="AD285" s="30" t="str">
        <f aca="false">IF((E285="n"),H285," ")</f>
        <v> </v>
      </c>
      <c r="AE285" s="17" t="str">
        <f aca="false">IF((E285="f"),H285," ")</f>
        <v> </v>
      </c>
      <c r="AF285" s="17" t="str">
        <f aca="false">IF((E285="l"),H285," ")</f>
        <v> </v>
      </c>
      <c r="AG285" s="17" t="str">
        <f aca="false">IF((E285="y"),H285," ")</f>
        <v> </v>
      </c>
      <c r="AH285" s="17" t="str">
        <f aca="false">IF((E285="z"),H285," ")</f>
        <v> </v>
      </c>
      <c r="AI285" s="17" t="str">
        <f aca="false">IF((E285="fa"),H285," ")</f>
        <v> </v>
      </c>
      <c r="AJ285" s="17" t="str">
        <f aca="false">IF((E285="e"),H285," ")</f>
        <v> </v>
      </c>
    </row>
    <row r="286" customFormat="false" ht="12" hidden="false" customHeight="false" outlineLevel="0" collapsed="false">
      <c r="A286" s="28"/>
      <c r="E286" s="2" t="str">
        <f aca="false">IF((F286&lt;&gt;0),"Enter Letter"," ")</f>
        <v> </v>
      </c>
      <c r="F286" s="30"/>
      <c r="G286" s="6" t="str">
        <f aca="false">IF(F286&lt;&gt;0,F286*G$2/(100+G$2)," ")</f>
        <v> </v>
      </c>
      <c r="H286" s="6" t="str">
        <f aca="false">IF((F286&lt;&gt;0),F286-G286," ")</f>
        <v> </v>
      </c>
      <c r="I286" s="5"/>
      <c r="L286" s="7" t="str">
        <f aca="false">IF(F286&lt;&gt;0,F286-K286," ")</f>
        <v> </v>
      </c>
      <c r="M286" s="8" t="str">
        <f aca="false">IF((F286-K286)&lt;&gt;0,M$1-A286," ")</f>
        <v> </v>
      </c>
      <c r="N286" s="5"/>
      <c r="O286" s="17" t="str">
        <f aca="false">IF((E286="s"),H286," ")</f>
        <v> </v>
      </c>
      <c r="P286" s="17" t="str">
        <f aca="false">IF((E286="c"),H286," ")</f>
        <v> </v>
      </c>
      <c r="Q286" s="17" t="str">
        <f aca="false">IF((E286="o"),H286," ")</f>
        <v> </v>
      </c>
      <c r="R286" s="17" t="str">
        <f aca="false">IF((E286="d"),H286," ")</f>
        <v> </v>
      </c>
      <c r="S286" s="17" t="str">
        <f aca="false">IF((E286="w"),H286," ")</f>
        <v> </v>
      </c>
      <c r="T286" s="17" t="str">
        <f aca="false">IF((E286="r"),H286," ")</f>
        <v> </v>
      </c>
      <c r="U286" s="17" t="str">
        <f aca="false">IF((E286="p"),H286," ")</f>
        <v> </v>
      </c>
      <c r="V286" s="17" t="str">
        <f aca="false">IF((E286="t"),H286," ")</f>
        <v> </v>
      </c>
      <c r="W286" s="17" t="str">
        <f aca="false">IF((E286="q"),H286," ")</f>
        <v> </v>
      </c>
      <c r="X286" s="17" t="str">
        <f aca="false">IF((E286="m"),H286," ")</f>
        <v> </v>
      </c>
      <c r="Y286" s="17" t="str">
        <f aca="false">IF((E286="u"),H286," ")</f>
        <v> </v>
      </c>
      <c r="Z286" s="17" t="str">
        <f aca="false">IF((E286="a"),H286," ")</f>
        <v> </v>
      </c>
      <c r="AA286" s="17" t="str">
        <f aca="false">IF((E286="g"),H286," ")</f>
        <v> </v>
      </c>
      <c r="AB286" s="17" t="str">
        <f aca="false">IF((E286="h"),H286," ")</f>
        <v> </v>
      </c>
      <c r="AC286" s="30" t="str">
        <f aca="false">IF((E286="v"),H286," ")</f>
        <v> </v>
      </c>
      <c r="AD286" s="30" t="str">
        <f aca="false">IF((E286="n"),H286," ")</f>
        <v> </v>
      </c>
      <c r="AE286" s="17" t="str">
        <f aca="false">IF((E286="f"),H286," ")</f>
        <v> </v>
      </c>
      <c r="AF286" s="17" t="str">
        <f aca="false">IF((E286="l"),H286," ")</f>
        <v> </v>
      </c>
      <c r="AG286" s="17" t="str">
        <f aca="false">IF((E286="y"),H286," ")</f>
        <v> </v>
      </c>
      <c r="AH286" s="17" t="str">
        <f aca="false">IF((E286="z"),H286," ")</f>
        <v> </v>
      </c>
      <c r="AI286" s="17" t="str">
        <f aca="false">IF((E286="fa"),H286," ")</f>
        <v> </v>
      </c>
      <c r="AJ286" s="17" t="str">
        <f aca="false">IF((E286="e"),H286," ")</f>
        <v> </v>
      </c>
    </row>
    <row r="287" customFormat="false" ht="12" hidden="false" customHeight="false" outlineLevel="0" collapsed="false">
      <c r="A287" s="28"/>
      <c r="E287" s="2" t="str">
        <f aca="false">IF((F287&lt;&gt;0),"Enter Letter"," ")</f>
        <v> </v>
      </c>
      <c r="F287" s="30"/>
      <c r="G287" s="6" t="str">
        <f aca="false">IF(F287&lt;&gt;0,F287*G$2/(100+G$2)," ")</f>
        <v> </v>
      </c>
      <c r="H287" s="6" t="str">
        <f aca="false">IF((F287&lt;&gt;0),F287-G287," ")</f>
        <v> </v>
      </c>
      <c r="I287" s="5"/>
      <c r="L287" s="7" t="str">
        <f aca="false">IF(F287&lt;&gt;0,F287-K287," ")</f>
        <v> </v>
      </c>
      <c r="M287" s="8" t="str">
        <f aca="false">IF((F287-K287)&lt;&gt;0,M$1-A287," ")</f>
        <v> </v>
      </c>
      <c r="N287" s="5"/>
      <c r="O287" s="17" t="str">
        <f aca="false">IF((E287="s"),H287," ")</f>
        <v> </v>
      </c>
      <c r="P287" s="17" t="str">
        <f aca="false">IF((E287="c"),H287," ")</f>
        <v> </v>
      </c>
      <c r="Q287" s="17" t="str">
        <f aca="false">IF((E287="o"),H287," ")</f>
        <v> </v>
      </c>
      <c r="R287" s="17" t="str">
        <f aca="false">IF((E287="d"),H287," ")</f>
        <v> </v>
      </c>
      <c r="S287" s="17" t="str">
        <f aca="false">IF((E287="w"),H287," ")</f>
        <v> </v>
      </c>
      <c r="T287" s="17" t="str">
        <f aca="false">IF((E287="r"),H287," ")</f>
        <v> </v>
      </c>
      <c r="U287" s="17" t="str">
        <f aca="false">IF((E287="p"),H287," ")</f>
        <v> </v>
      </c>
      <c r="V287" s="17" t="str">
        <f aca="false">IF((E287="t"),H287," ")</f>
        <v> </v>
      </c>
      <c r="W287" s="17" t="str">
        <f aca="false">IF((E287="q"),H287," ")</f>
        <v> </v>
      </c>
      <c r="X287" s="17" t="str">
        <f aca="false">IF((E287="m"),H287," ")</f>
        <v> </v>
      </c>
      <c r="Y287" s="17" t="str">
        <f aca="false">IF((E287="u"),H287," ")</f>
        <v> </v>
      </c>
      <c r="Z287" s="17" t="str">
        <f aca="false">IF((E287="a"),H287," ")</f>
        <v> </v>
      </c>
      <c r="AA287" s="17" t="str">
        <f aca="false">IF((E287="g"),H287," ")</f>
        <v> </v>
      </c>
      <c r="AB287" s="17" t="str">
        <f aca="false">IF((E287="h"),H287," ")</f>
        <v> </v>
      </c>
      <c r="AC287" s="30" t="str">
        <f aca="false">IF((E287="v"),H287," ")</f>
        <v> </v>
      </c>
      <c r="AD287" s="30" t="str">
        <f aca="false">IF((E287="n"),H287," ")</f>
        <v> </v>
      </c>
      <c r="AE287" s="17" t="str">
        <f aca="false">IF((E287="f"),H287," ")</f>
        <v> </v>
      </c>
      <c r="AF287" s="17" t="str">
        <f aca="false">IF((E287="l"),H287," ")</f>
        <v> </v>
      </c>
      <c r="AG287" s="17" t="str">
        <f aca="false">IF((E287="y"),H287," ")</f>
        <v> </v>
      </c>
      <c r="AH287" s="17" t="str">
        <f aca="false">IF((E287="z"),H287," ")</f>
        <v> </v>
      </c>
      <c r="AI287" s="17" t="str">
        <f aca="false">IF((E287="fa"),H287," ")</f>
        <v> </v>
      </c>
      <c r="AJ287" s="17" t="str">
        <f aca="false">IF((E287="e"),H287," ")</f>
        <v> </v>
      </c>
    </row>
    <row r="288" customFormat="false" ht="12" hidden="false" customHeight="false" outlineLevel="0" collapsed="false">
      <c r="A288" s="28"/>
      <c r="E288" s="2" t="str">
        <f aca="false">IF((F288&lt;&gt;0),"Enter Letter"," ")</f>
        <v> </v>
      </c>
      <c r="F288" s="30"/>
      <c r="G288" s="6" t="str">
        <f aca="false">IF(F288&lt;&gt;0,F288*G$2/(100+G$2)," ")</f>
        <v> </v>
      </c>
      <c r="H288" s="6" t="str">
        <f aca="false">IF((F288&lt;&gt;0),F288-G288," ")</f>
        <v> </v>
      </c>
      <c r="I288" s="5"/>
      <c r="L288" s="7" t="str">
        <f aca="false">IF(F288&lt;&gt;0,F288-K288," ")</f>
        <v> </v>
      </c>
      <c r="M288" s="8" t="str">
        <f aca="false">IF((F288-K288)&lt;&gt;0,M$1-A288," ")</f>
        <v> </v>
      </c>
      <c r="N288" s="5"/>
      <c r="O288" s="17" t="str">
        <f aca="false">IF((E288="s"),H288," ")</f>
        <v> </v>
      </c>
      <c r="P288" s="17" t="str">
        <f aca="false">IF((E288="c"),H288," ")</f>
        <v> </v>
      </c>
      <c r="Q288" s="17" t="str">
        <f aca="false">IF((E288="o"),H288," ")</f>
        <v> </v>
      </c>
      <c r="R288" s="17" t="str">
        <f aca="false">IF((E288="d"),H288," ")</f>
        <v> </v>
      </c>
      <c r="S288" s="17" t="str">
        <f aca="false">IF((E288="w"),H288," ")</f>
        <v> </v>
      </c>
      <c r="T288" s="17" t="str">
        <f aca="false">IF((E288="r"),H288," ")</f>
        <v> </v>
      </c>
      <c r="U288" s="17" t="str">
        <f aca="false">IF((E288="p"),H288," ")</f>
        <v> </v>
      </c>
      <c r="V288" s="17" t="str">
        <f aca="false">IF((E288="t"),H288," ")</f>
        <v> </v>
      </c>
      <c r="W288" s="17" t="str">
        <f aca="false">IF((E288="q"),H288," ")</f>
        <v> </v>
      </c>
      <c r="X288" s="17" t="str">
        <f aca="false">IF((E288="m"),H288," ")</f>
        <v> </v>
      </c>
      <c r="Y288" s="17" t="str">
        <f aca="false">IF((E288="u"),H288," ")</f>
        <v> </v>
      </c>
      <c r="Z288" s="17" t="str">
        <f aca="false">IF((E288="a"),H288," ")</f>
        <v> </v>
      </c>
      <c r="AA288" s="17" t="str">
        <f aca="false">IF((E288="g"),H288," ")</f>
        <v> </v>
      </c>
      <c r="AB288" s="17" t="str">
        <f aca="false">IF((E288="h"),H288," ")</f>
        <v> </v>
      </c>
      <c r="AC288" s="30" t="str">
        <f aca="false">IF((E288="v"),H288," ")</f>
        <v> </v>
      </c>
      <c r="AD288" s="30" t="str">
        <f aca="false">IF((E288="n"),H288," ")</f>
        <v> </v>
      </c>
      <c r="AE288" s="17" t="str">
        <f aca="false">IF((E288="f"),H288," ")</f>
        <v> </v>
      </c>
      <c r="AF288" s="17" t="str">
        <f aca="false">IF((E288="l"),H288," ")</f>
        <v> </v>
      </c>
      <c r="AG288" s="17" t="str">
        <f aca="false">IF((E288="y"),H288," ")</f>
        <v> </v>
      </c>
      <c r="AH288" s="17" t="str">
        <f aca="false">IF((E288="z"),H288," ")</f>
        <v> </v>
      </c>
      <c r="AI288" s="17" t="str">
        <f aca="false">IF((E288="fa"),H288," ")</f>
        <v> </v>
      </c>
      <c r="AJ288" s="17" t="str">
        <f aca="false">IF((E288="e"),H288," ")</f>
        <v> </v>
      </c>
    </row>
    <row r="289" customFormat="false" ht="12" hidden="false" customHeight="false" outlineLevel="0" collapsed="false">
      <c r="A289" s="28"/>
      <c r="E289" s="2" t="str">
        <f aca="false">IF((F289&lt;&gt;0),"Enter Letter"," ")</f>
        <v> </v>
      </c>
      <c r="F289" s="30"/>
      <c r="G289" s="6" t="str">
        <f aca="false">IF(F289&lt;&gt;0,F289*G$2/(100+G$2)," ")</f>
        <v> </v>
      </c>
      <c r="H289" s="6" t="str">
        <f aca="false">IF((F289&lt;&gt;0),F289-G289," ")</f>
        <v> </v>
      </c>
      <c r="I289" s="5"/>
      <c r="L289" s="7" t="str">
        <f aca="false">IF(F289&lt;&gt;0,F289-K289," ")</f>
        <v> </v>
      </c>
      <c r="M289" s="8" t="str">
        <f aca="false">IF((F289-K289)&lt;&gt;0,M$1-A289," ")</f>
        <v> </v>
      </c>
      <c r="N289" s="5"/>
      <c r="O289" s="17" t="str">
        <f aca="false">IF((E289="s"),H289," ")</f>
        <v> </v>
      </c>
      <c r="P289" s="17" t="str">
        <f aca="false">IF((E289="c"),H289," ")</f>
        <v> </v>
      </c>
      <c r="Q289" s="17" t="str">
        <f aca="false">IF((E289="o"),H289," ")</f>
        <v> </v>
      </c>
      <c r="R289" s="17" t="str">
        <f aca="false">IF((E289="d"),H289," ")</f>
        <v> </v>
      </c>
      <c r="S289" s="17" t="str">
        <f aca="false">IF((E289="w"),H289," ")</f>
        <v> </v>
      </c>
      <c r="T289" s="17" t="str">
        <f aca="false">IF((E289="r"),H289," ")</f>
        <v> </v>
      </c>
      <c r="U289" s="17" t="str">
        <f aca="false">IF((E289="p"),H289," ")</f>
        <v> </v>
      </c>
      <c r="V289" s="17" t="str">
        <f aca="false">IF((E289="t"),H289," ")</f>
        <v> </v>
      </c>
      <c r="W289" s="17" t="str">
        <f aca="false">IF((E289="q"),H289," ")</f>
        <v> </v>
      </c>
      <c r="X289" s="17" t="str">
        <f aca="false">IF((E289="m"),H289," ")</f>
        <v> </v>
      </c>
      <c r="Y289" s="17" t="str">
        <f aca="false">IF((E289="u"),H289," ")</f>
        <v> </v>
      </c>
      <c r="Z289" s="17" t="str">
        <f aca="false">IF((E289="a"),H289," ")</f>
        <v> </v>
      </c>
      <c r="AA289" s="17" t="str">
        <f aca="false">IF((E289="g"),H289," ")</f>
        <v> </v>
      </c>
      <c r="AB289" s="17" t="str">
        <f aca="false">IF((E289="h"),H289," ")</f>
        <v> </v>
      </c>
      <c r="AC289" s="30" t="str">
        <f aca="false">IF((E289="v"),H289," ")</f>
        <v> </v>
      </c>
      <c r="AD289" s="30" t="str">
        <f aca="false">IF((E289="n"),H289," ")</f>
        <v> </v>
      </c>
      <c r="AE289" s="17" t="str">
        <f aca="false">IF((E289="f"),H289," ")</f>
        <v> </v>
      </c>
      <c r="AF289" s="17" t="str">
        <f aca="false">IF((E289="l"),H289," ")</f>
        <v> </v>
      </c>
      <c r="AG289" s="17" t="str">
        <f aca="false">IF((E289="y"),H289," ")</f>
        <v> </v>
      </c>
      <c r="AH289" s="17" t="str">
        <f aca="false">IF((E289="z"),H289," ")</f>
        <v> </v>
      </c>
      <c r="AI289" s="17" t="str">
        <f aca="false">IF((E289="fa"),H289," ")</f>
        <v> </v>
      </c>
      <c r="AJ289" s="17" t="str">
        <f aca="false">IF((E289="e"),H289," ")</f>
        <v> </v>
      </c>
    </row>
    <row r="290" customFormat="false" ht="12" hidden="false" customHeight="false" outlineLevel="0" collapsed="false">
      <c r="A290" s="28"/>
      <c r="E290" s="2" t="str">
        <f aca="false">IF((F290&lt;&gt;0),"Enter Letter"," ")</f>
        <v> </v>
      </c>
      <c r="F290" s="30"/>
      <c r="G290" s="6" t="str">
        <f aca="false">IF(F290&lt;&gt;0,F290*G$2/(100+G$2)," ")</f>
        <v> </v>
      </c>
      <c r="H290" s="6" t="str">
        <f aca="false">IF((F290&lt;&gt;0),F290-G290," ")</f>
        <v> </v>
      </c>
      <c r="I290" s="5"/>
      <c r="L290" s="7" t="str">
        <f aca="false">IF(F290&lt;&gt;0,F290-K290," ")</f>
        <v> </v>
      </c>
      <c r="M290" s="8" t="str">
        <f aca="false">IF((F290-K290)&lt;&gt;0,M$1-A290," ")</f>
        <v> </v>
      </c>
      <c r="N290" s="5"/>
      <c r="O290" s="17" t="str">
        <f aca="false">IF((E290="s"),H290," ")</f>
        <v> </v>
      </c>
      <c r="P290" s="17" t="str">
        <f aca="false">IF((E290="c"),H290," ")</f>
        <v> </v>
      </c>
      <c r="Q290" s="17" t="str">
        <f aca="false">IF((E290="o"),H290," ")</f>
        <v> </v>
      </c>
      <c r="R290" s="17" t="str">
        <f aca="false">IF((E290="d"),H290," ")</f>
        <v> </v>
      </c>
      <c r="S290" s="17" t="str">
        <f aca="false">IF((E290="w"),H290," ")</f>
        <v> </v>
      </c>
      <c r="T290" s="17" t="str">
        <f aca="false">IF((E290="r"),H290," ")</f>
        <v> </v>
      </c>
      <c r="U290" s="17" t="str">
        <f aca="false">IF((E290="p"),H290," ")</f>
        <v> </v>
      </c>
      <c r="V290" s="17" t="str">
        <f aca="false">IF((E290="t"),H290," ")</f>
        <v> </v>
      </c>
      <c r="W290" s="17" t="str">
        <f aca="false">IF((E290="q"),H290," ")</f>
        <v> </v>
      </c>
      <c r="X290" s="17" t="str">
        <f aca="false">IF((E290="m"),H290," ")</f>
        <v> </v>
      </c>
      <c r="Y290" s="17" t="str">
        <f aca="false">IF((E290="u"),H290," ")</f>
        <v> </v>
      </c>
      <c r="Z290" s="17" t="str">
        <f aca="false">IF((E290="a"),H290," ")</f>
        <v> </v>
      </c>
      <c r="AA290" s="17" t="str">
        <f aca="false">IF((E290="g"),H290," ")</f>
        <v> </v>
      </c>
      <c r="AB290" s="17" t="str">
        <f aca="false">IF((E290="h"),H290," ")</f>
        <v> </v>
      </c>
      <c r="AC290" s="30" t="str">
        <f aca="false">IF((E290="v"),H290," ")</f>
        <v> </v>
      </c>
      <c r="AD290" s="30" t="str">
        <f aca="false">IF((E290="n"),H290," ")</f>
        <v> </v>
      </c>
      <c r="AE290" s="17" t="str">
        <f aca="false">IF((E290="f"),H290," ")</f>
        <v> </v>
      </c>
      <c r="AF290" s="17" t="str">
        <f aca="false">IF((E290="l"),H290," ")</f>
        <v> </v>
      </c>
      <c r="AG290" s="17" t="str">
        <f aca="false">IF((E290="y"),H290," ")</f>
        <v> </v>
      </c>
      <c r="AH290" s="17" t="str">
        <f aca="false">IF((E290="z"),H290," ")</f>
        <v> </v>
      </c>
      <c r="AI290" s="17" t="str">
        <f aca="false">IF((E290="fa"),H290," ")</f>
        <v> </v>
      </c>
      <c r="AJ290" s="17" t="str">
        <f aca="false">IF((E290="e"),H290," ")</f>
        <v> </v>
      </c>
    </row>
    <row r="291" customFormat="false" ht="12" hidden="false" customHeight="false" outlineLevel="0" collapsed="false">
      <c r="A291" s="28"/>
      <c r="E291" s="2" t="str">
        <f aca="false">IF((F291&lt;&gt;0),"Enter Letter"," ")</f>
        <v> </v>
      </c>
      <c r="F291" s="30"/>
      <c r="G291" s="6" t="str">
        <f aca="false">IF(F291&lt;&gt;0,F291*G$2/(100+G$2)," ")</f>
        <v> </v>
      </c>
      <c r="H291" s="6" t="str">
        <f aca="false">IF((F291&lt;&gt;0),F291-G291," ")</f>
        <v> </v>
      </c>
      <c r="I291" s="5"/>
      <c r="L291" s="7" t="str">
        <f aca="false">IF(F291&lt;&gt;0,F291-K291," ")</f>
        <v> </v>
      </c>
      <c r="M291" s="8" t="str">
        <f aca="false">IF((F291-K291)&lt;&gt;0,M$1-A291," ")</f>
        <v> </v>
      </c>
      <c r="N291" s="5"/>
      <c r="O291" s="17" t="str">
        <f aca="false">IF((E291="s"),H291," ")</f>
        <v> </v>
      </c>
      <c r="P291" s="17" t="str">
        <f aca="false">IF((E291="c"),H291," ")</f>
        <v> </v>
      </c>
      <c r="Q291" s="17" t="str">
        <f aca="false">IF((E291="o"),H291," ")</f>
        <v> </v>
      </c>
      <c r="R291" s="17" t="str">
        <f aca="false">IF((E291="d"),H291," ")</f>
        <v> </v>
      </c>
      <c r="S291" s="17" t="str">
        <f aca="false">IF((E291="w"),H291," ")</f>
        <v> </v>
      </c>
      <c r="T291" s="17" t="str">
        <f aca="false">IF((E291="r"),H291," ")</f>
        <v> </v>
      </c>
      <c r="U291" s="17" t="str">
        <f aca="false">IF((E291="p"),H291," ")</f>
        <v> </v>
      </c>
      <c r="V291" s="17" t="str">
        <f aca="false">IF((E291="t"),H291," ")</f>
        <v> </v>
      </c>
      <c r="W291" s="17" t="str">
        <f aca="false">IF((E291="q"),H291," ")</f>
        <v> </v>
      </c>
      <c r="X291" s="17" t="str">
        <f aca="false">IF((E291="m"),H291," ")</f>
        <v> </v>
      </c>
      <c r="Y291" s="17" t="str">
        <f aca="false">IF((E291="u"),H291," ")</f>
        <v> </v>
      </c>
      <c r="Z291" s="17" t="str">
        <f aca="false">IF((E291="a"),H291," ")</f>
        <v> </v>
      </c>
      <c r="AA291" s="17" t="str">
        <f aca="false">IF((E291="g"),H291," ")</f>
        <v> </v>
      </c>
      <c r="AB291" s="17" t="str">
        <f aca="false">IF((E291="h"),H291," ")</f>
        <v> </v>
      </c>
      <c r="AC291" s="30" t="str">
        <f aca="false">IF((E291="v"),H291," ")</f>
        <v> </v>
      </c>
      <c r="AD291" s="30" t="str">
        <f aca="false">IF((E291="n"),H291," ")</f>
        <v> </v>
      </c>
      <c r="AE291" s="17" t="str">
        <f aca="false">IF((E291="f"),H291," ")</f>
        <v> </v>
      </c>
      <c r="AF291" s="17" t="str">
        <f aca="false">IF((E291="l"),H291," ")</f>
        <v> </v>
      </c>
      <c r="AG291" s="17" t="str">
        <f aca="false">IF((E291="y"),H291," ")</f>
        <v> </v>
      </c>
      <c r="AH291" s="17" t="str">
        <f aca="false">IF((E291="z"),H291," ")</f>
        <v> </v>
      </c>
      <c r="AI291" s="17" t="str">
        <f aca="false">IF((E291="fa"),H291," ")</f>
        <v> </v>
      </c>
      <c r="AJ291" s="17" t="str">
        <f aca="false">IF((E291="e"),H291," ")</f>
        <v> </v>
      </c>
    </row>
    <row r="292" customFormat="false" ht="12" hidden="false" customHeight="false" outlineLevel="0" collapsed="false">
      <c r="A292" s="28"/>
      <c r="E292" s="2" t="str">
        <f aca="false">IF((F292&lt;&gt;0),"Enter Letter"," ")</f>
        <v> </v>
      </c>
      <c r="F292" s="30"/>
      <c r="G292" s="6" t="str">
        <f aca="false">IF(F292&lt;&gt;0,F292*G$2/(100+G$2)," ")</f>
        <v> </v>
      </c>
      <c r="H292" s="6" t="str">
        <f aca="false">IF((F292&lt;&gt;0),F292-G292," ")</f>
        <v> </v>
      </c>
      <c r="I292" s="5"/>
      <c r="L292" s="7" t="str">
        <f aca="false">IF(F292&lt;&gt;0,F292-K292," ")</f>
        <v> </v>
      </c>
      <c r="M292" s="8" t="str">
        <f aca="false">IF((F292-K292)&lt;&gt;0,M$1-A292," ")</f>
        <v> </v>
      </c>
      <c r="N292" s="5"/>
      <c r="O292" s="17" t="str">
        <f aca="false">IF((E292="s"),H292," ")</f>
        <v> </v>
      </c>
      <c r="P292" s="17" t="str">
        <f aca="false">IF((E292="c"),H292," ")</f>
        <v> </v>
      </c>
      <c r="Q292" s="17" t="str">
        <f aca="false">IF((E292="o"),H292," ")</f>
        <v> </v>
      </c>
      <c r="R292" s="17" t="str">
        <f aca="false">IF((E292="d"),H292," ")</f>
        <v> </v>
      </c>
      <c r="S292" s="17" t="str">
        <f aca="false">IF((E292="w"),H292," ")</f>
        <v> </v>
      </c>
      <c r="T292" s="17" t="str">
        <f aca="false">IF((E292="r"),H292," ")</f>
        <v> </v>
      </c>
      <c r="U292" s="17" t="str">
        <f aca="false">IF((E292="p"),H292," ")</f>
        <v> </v>
      </c>
      <c r="V292" s="17" t="str">
        <f aca="false">IF((E292="t"),H292," ")</f>
        <v> </v>
      </c>
      <c r="W292" s="17" t="str">
        <f aca="false">IF((E292="q"),H292," ")</f>
        <v> </v>
      </c>
      <c r="X292" s="17" t="str">
        <f aca="false">IF((E292="m"),H292," ")</f>
        <v> </v>
      </c>
      <c r="Y292" s="17" t="str">
        <f aca="false">IF((E292="u"),H292," ")</f>
        <v> </v>
      </c>
      <c r="Z292" s="17" t="str">
        <f aca="false">IF((E292="a"),H292," ")</f>
        <v> </v>
      </c>
      <c r="AA292" s="17" t="str">
        <f aca="false">IF((E292="g"),H292," ")</f>
        <v> </v>
      </c>
      <c r="AB292" s="17" t="str">
        <f aca="false">IF((E292="h"),H292," ")</f>
        <v> </v>
      </c>
      <c r="AC292" s="30" t="str">
        <f aca="false">IF((E292="v"),H292," ")</f>
        <v> </v>
      </c>
      <c r="AD292" s="30" t="str">
        <f aca="false">IF((E292="n"),H292," ")</f>
        <v> </v>
      </c>
      <c r="AE292" s="17" t="str">
        <f aca="false">IF((E292="f"),H292," ")</f>
        <v> </v>
      </c>
      <c r="AF292" s="17" t="str">
        <f aca="false">IF((E292="l"),H292," ")</f>
        <v> </v>
      </c>
      <c r="AG292" s="17" t="str">
        <f aca="false">IF((E292="y"),H292," ")</f>
        <v> </v>
      </c>
      <c r="AH292" s="17" t="str">
        <f aca="false">IF((E292="z"),H292," ")</f>
        <v> </v>
      </c>
      <c r="AI292" s="17" t="str">
        <f aca="false">IF((E292="fa"),H292," ")</f>
        <v> </v>
      </c>
      <c r="AJ292" s="17" t="str">
        <f aca="false">IF((E292="e"),H292," ")</f>
        <v> </v>
      </c>
    </row>
    <row r="293" customFormat="false" ht="12" hidden="false" customHeight="false" outlineLevel="0" collapsed="false">
      <c r="A293" s="28"/>
      <c r="E293" s="2" t="str">
        <f aca="false">IF((F293&lt;&gt;0),"Enter Letter"," ")</f>
        <v> </v>
      </c>
      <c r="F293" s="30"/>
      <c r="G293" s="6" t="str">
        <f aca="false">IF(F293&lt;&gt;0,F293*G$2/(100+G$2)," ")</f>
        <v> </v>
      </c>
      <c r="H293" s="6" t="str">
        <f aca="false">IF((F293&lt;&gt;0),F293-G293," ")</f>
        <v> </v>
      </c>
      <c r="I293" s="5"/>
      <c r="L293" s="7" t="str">
        <f aca="false">IF(F293&lt;&gt;0,F293-K293," ")</f>
        <v> </v>
      </c>
      <c r="M293" s="8" t="str">
        <f aca="false">IF((F293-K293)&lt;&gt;0,M$1-A293," ")</f>
        <v> </v>
      </c>
      <c r="N293" s="5"/>
      <c r="O293" s="17" t="str">
        <f aca="false">IF((E293="s"),H293," ")</f>
        <v> </v>
      </c>
      <c r="P293" s="17" t="str">
        <f aca="false">IF((E293="c"),H293," ")</f>
        <v> </v>
      </c>
      <c r="Q293" s="17" t="str">
        <f aca="false">IF((E293="o"),H293," ")</f>
        <v> </v>
      </c>
      <c r="R293" s="17" t="str">
        <f aca="false">IF((E293="d"),H293," ")</f>
        <v> </v>
      </c>
      <c r="S293" s="17" t="str">
        <f aca="false">IF((E293="w"),H293," ")</f>
        <v> </v>
      </c>
      <c r="T293" s="17" t="str">
        <f aca="false">IF((E293="r"),H293," ")</f>
        <v> </v>
      </c>
      <c r="U293" s="17" t="str">
        <f aca="false">IF((E293="p"),H293," ")</f>
        <v> </v>
      </c>
      <c r="V293" s="17" t="str">
        <f aca="false">IF((E293="t"),H293," ")</f>
        <v> </v>
      </c>
      <c r="W293" s="17" t="str">
        <f aca="false">IF((E293="q"),H293," ")</f>
        <v> </v>
      </c>
      <c r="X293" s="17" t="str">
        <f aca="false">IF((E293="m"),H293," ")</f>
        <v> </v>
      </c>
      <c r="Y293" s="17" t="str">
        <f aca="false">IF((E293="u"),H293," ")</f>
        <v> </v>
      </c>
      <c r="Z293" s="17" t="str">
        <f aca="false">IF((E293="a"),H293," ")</f>
        <v> </v>
      </c>
      <c r="AA293" s="17" t="str">
        <f aca="false">IF((E293="g"),H293," ")</f>
        <v> </v>
      </c>
      <c r="AB293" s="17" t="str">
        <f aca="false">IF((E293="h"),H293," ")</f>
        <v> </v>
      </c>
      <c r="AC293" s="30" t="str">
        <f aca="false">IF((E293="v"),H293," ")</f>
        <v> </v>
      </c>
      <c r="AD293" s="30" t="str">
        <f aca="false">IF((E293="n"),H293," ")</f>
        <v> </v>
      </c>
      <c r="AE293" s="17" t="str">
        <f aca="false">IF((E293="f"),H293," ")</f>
        <v> </v>
      </c>
      <c r="AF293" s="17" t="str">
        <f aca="false">IF((E293="l"),H293," ")</f>
        <v> </v>
      </c>
      <c r="AG293" s="17" t="str">
        <f aca="false">IF((E293="y"),H293," ")</f>
        <v> </v>
      </c>
      <c r="AH293" s="17" t="str">
        <f aca="false">IF((E293="z"),H293," ")</f>
        <v> </v>
      </c>
      <c r="AI293" s="17" t="str">
        <f aca="false">IF((E293="fa"),H293," ")</f>
        <v> </v>
      </c>
      <c r="AJ293" s="17" t="str">
        <f aca="false">IF((E293="e"),H293," ")</f>
        <v> </v>
      </c>
    </row>
    <row r="294" customFormat="false" ht="12" hidden="false" customHeight="false" outlineLevel="0" collapsed="false">
      <c r="A294" s="28"/>
      <c r="E294" s="2" t="str">
        <f aca="false">IF((F294&lt;&gt;0),"Enter Letter"," ")</f>
        <v> </v>
      </c>
      <c r="F294" s="30"/>
      <c r="G294" s="6" t="str">
        <f aca="false">IF(F294&lt;&gt;0,F294*G$2/(100+G$2)," ")</f>
        <v> </v>
      </c>
      <c r="H294" s="6" t="str">
        <f aca="false">IF((F294&lt;&gt;0),F294-G294," ")</f>
        <v> </v>
      </c>
      <c r="I294" s="5"/>
      <c r="L294" s="7" t="str">
        <f aca="false">IF(F294&lt;&gt;0,F294-K294," ")</f>
        <v> </v>
      </c>
      <c r="M294" s="8" t="str">
        <f aca="false">IF((F294-K294)&lt;&gt;0,M$1-A294," ")</f>
        <v> </v>
      </c>
      <c r="N294" s="5"/>
      <c r="O294" s="17" t="str">
        <f aca="false">IF((E294="s"),H294," ")</f>
        <v> </v>
      </c>
      <c r="P294" s="17" t="str">
        <f aca="false">IF((E294="c"),H294," ")</f>
        <v> </v>
      </c>
      <c r="Q294" s="17" t="str">
        <f aca="false">IF((E294="o"),H294," ")</f>
        <v> </v>
      </c>
      <c r="R294" s="17" t="str">
        <f aca="false">IF((E294="d"),H294," ")</f>
        <v> </v>
      </c>
      <c r="S294" s="17" t="str">
        <f aca="false">IF((E294="w"),H294," ")</f>
        <v> </v>
      </c>
      <c r="T294" s="17" t="str">
        <f aca="false">IF((E294="r"),H294," ")</f>
        <v> </v>
      </c>
      <c r="U294" s="17" t="str">
        <f aca="false">IF((E294="p"),H294," ")</f>
        <v> </v>
      </c>
      <c r="V294" s="17" t="str">
        <f aca="false">IF((E294="t"),H294," ")</f>
        <v> </v>
      </c>
      <c r="W294" s="17" t="str">
        <f aca="false">IF((E294="q"),H294," ")</f>
        <v> </v>
      </c>
      <c r="X294" s="17" t="str">
        <f aca="false">IF((E294="m"),H294," ")</f>
        <v> </v>
      </c>
      <c r="Y294" s="17" t="str">
        <f aca="false">IF((E294="u"),H294," ")</f>
        <v> </v>
      </c>
      <c r="Z294" s="17" t="str">
        <f aca="false">IF((E294="a"),H294," ")</f>
        <v> </v>
      </c>
      <c r="AA294" s="17" t="str">
        <f aca="false">IF((E294="g"),H294," ")</f>
        <v> </v>
      </c>
      <c r="AB294" s="17" t="str">
        <f aca="false">IF((E294="h"),H294," ")</f>
        <v> </v>
      </c>
      <c r="AC294" s="30" t="str">
        <f aca="false">IF((E294="v"),H294," ")</f>
        <v> </v>
      </c>
      <c r="AD294" s="30" t="str">
        <f aca="false">IF((E294="n"),H294," ")</f>
        <v> </v>
      </c>
      <c r="AE294" s="17" t="str">
        <f aca="false">IF((E294="f"),H294," ")</f>
        <v> </v>
      </c>
      <c r="AF294" s="17" t="str">
        <f aca="false">IF((E294="l"),H294," ")</f>
        <v> </v>
      </c>
      <c r="AG294" s="17" t="str">
        <f aca="false">IF((E294="y"),H294," ")</f>
        <v> </v>
      </c>
      <c r="AH294" s="17" t="str">
        <f aca="false">IF((E294="z"),H294," ")</f>
        <v> </v>
      </c>
      <c r="AI294" s="17" t="str">
        <f aca="false">IF((E294="fa"),H294," ")</f>
        <v> </v>
      </c>
      <c r="AJ294" s="17" t="str">
        <f aca="false">IF((E294="e"),H294," ")</f>
        <v> </v>
      </c>
    </row>
    <row r="295" customFormat="false" ht="12" hidden="false" customHeight="false" outlineLevel="0" collapsed="false">
      <c r="A295" s="28"/>
      <c r="E295" s="2" t="str">
        <f aca="false">IF((F295&lt;&gt;0),"Enter Letter"," ")</f>
        <v> </v>
      </c>
      <c r="F295" s="30"/>
      <c r="G295" s="6" t="str">
        <f aca="false">IF(F295&lt;&gt;0,F295*G$2/(100+G$2)," ")</f>
        <v> </v>
      </c>
      <c r="H295" s="6" t="str">
        <f aca="false">IF((F295&lt;&gt;0),F295-G295," ")</f>
        <v> </v>
      </c>
      <c r="I295" s="5"/>
      <c r="L295" s="7" t="str">
        <f aca="false">IF(F295&lt;&gt;0,F295-K295," ")</f>
        <v> </v>
      </c>
      <c r="M295" s="8" t="str">
        <f aca="false">IF((F295-K295)&lt;&gt;0,M$1-A295," ")</f>
        <v> </v>
      </c>
      <c r="N295" s="5"/>
      <c r="O295" s="17" t="str">
        <f aca="false">IF((E295="s"),H295," ")</f>
        <v> </v>
      </c>
      <c r="P295" s="17" t="str">
        <f aca="false">IF((E295="c"),H295," ")</f>
        <v> </v>
      </c>
      <c r="Q295" s="17" t="str">
        <f aca="false">IF((E295="o"),H295," ")</f>
        <v> </v>
      </c>
      <c r="R295" s="17" t="str">
        <f aca="false">IF((E295="d"),H295," ")</f>
        <v> </v>
      </c>
      <c r="S295" s="17" t="str">
        <f aca="false">IF((E295="w"),H295," ")</f>
        <v> </v>
      </c>
      <c r="T295" s="17" t="str">
        <f aca="false">IF((E295="r"),H295," ")</f>
        <v> </v>
      </c>
      <c r="U295" s="17" t="str">
        <f aca="false">IF((E295="p"),H295," ")</f>
        <v> </v>
      </c>
      <c r="V295" s="17" t="str">
        <f aca="false">IF((E295="t"),H295," ")</f>
        <v> </v>
      </c>
      <c r="W295" s="17" t="str">
        <f aca="false">IF((E295="q"),H295," ")</f>
        <v> </v>
      </c>
      <c r="X295" s="17" t="str">
        <f aca="false">IF((E295="m"),H295," ")</f>
        <v> </v>
      </c>
      <c r="Y295" s="17" t="str">
        <f aca="false">IF((E295="u"),H295," ")</f>
        <v> </v>
      </c>
      <c r="Z295" s="17" t="str">
        <f aca="false">IF((E295="a"),H295," ")</f>
        <v> </v>
      </c>
      <c r="AA295" s="17" t="str">
        <f aca="false">IF((E295="g"),H295," ")</f>
        <v> </v>
      </c>
      <c r="AB295" s="17" t="str">
        <f aca="false">IF((E295="h"),H295," ")</f>
        <v> </v>
      </c>
      <c r="AC295" s="30" t="str">
        <f aca="false">IF((E295="v"),H295," ")</f>
        <v> </v>
      </c>
      <c r="AD295" s="30" t="str">
        <f aca="false">IF((E295="n"),H295," ")</f>
        <v> </v>
      </c>
      <c r="AE295" s="17" t="str">
        <f aca="false">IF((E295="f"),H295," ")</f>
        <v> </v>
      </c>
      <c r="AF295" s="17" t="str">
        <f aca="false">IF((E295="l"),H295," ")</f>
        <v> </v>
      </c>
      <c r="AG295" s="17" t="str">
        <f aca="false">IF((E295="y"),H295," ")</f>
        <v> </v>
      </c>
      <c r="AH295" s="17" t="str">
        <f aca="false">IF((E295="z"),H295," ")</f>
        <v> </v>
      </c>
      <c r="AI295" s="17" t="str">
        <f aca="false">IF((E295="fa"),H295," ")</f>
        <v> </v>
      </c>
      <c r="AJ295" s="17" t="str">
        <f aca="false">IF((E295="e"),H295," ")</f>
        <v> </v>
      </c>
    </row>
    <row r="296" customFormat="false" ht="12" hidden="false" customHeight="false" outlineLevel="0" collapsed="false">
      <c r="A296" s="28"/>
      <c r="E296" s="2" t="str">
        <f aca="false">IF((F296&lt;&gt;0),"Enter Letter"," ")</f>
        <v> </v>
      </c>
      <c r="F296" s="30"/>
      <c r="G296" s="6" t="str">
        <f aca="false">IF(F296&lt;&gt;0,F296*G$2/(100+G$2)," ")</f>
        <v> </v>
      </c>
      <c r="H296" s="6" t="str">
        <f aca="false">IF((F296&lt;&gt;0),F296-G296," ")</f>
        <v> </v>
      </c>
      <c r="I296" s="5"/>
      <c r="L296" s="7" t="str">
        <f aca="false">IF(F296&lt;&gt;0,F296-K296," ")</f>
        <v> </v>
      </c>
      <c r="M296" s="8" t="str">
        <f aca="false">IF((F296-K296)&lt;&gt;0,M$1-A296," ")</f>
        <v> </v>
      </c>
      <c r="N296" s="5"/>
      <c r="O296" s="17" t="str">
        <f aca="false">IF((E296="s"),H296," ")</f>
        <v> </v>
      </c>
      <c r="P296" s="17" t="str">
        <f aca="false">IF((E296="c"),H296," ")</f>
        <v> </v>
      </c>
      <c r="Q296" s="17" t="str">
        <f aca="false">IF((E296="o"),H296," ")</f>
        <v> </v>
      </c>
      <c r="R296" s="17" t="str">
        <f aca="false">IF((E296="d"),H296," ")</f>
        <v> </v>
      </c>
      <c r="S296" s="17" t="str">
        <f aca="false">IF((E296="w"),H296," ")</f>
        <v> </v>
      </c>
      <c r="T296" s="17" t="str">
        <f aca="false">IF((E296="r"),H296," ")</f>
        <v> </v>
      </c>
      <c r="U296" s="17" t="str">
        <f aca="false">IF((E296="p"),H296," ")</f>
        <v> </v>
      </c>
      <c r="V296" s="17" t="str">
        <f aca="false">IF((E296="t"),H296," ")</f>
        <v> </v>
      </c>
      <c r="W296" s="17" t="str">
        <f aca="false">IF((E296="q"),H296," ")</f>
        <v> </v>
      </c>
      <c r="X296" s="17" t="str">
        <f aca="false">IF((E296="m"),H296," ")</f>
        <v> </v>
      </c>
      <c r="Y296" s="17" t="str">
        <f aca="false">IF((E296="u"),H296," ")</f>
        <v> </v>
      </c>
      <c r="Z296" s="17" t="str">
        <f aca="false">IF((E296="a"),H296," ")</f>
        <v> </v>
      </c>
      <c r="AA296" s="17" t="str">
        <f aca="false">IF((E296="g"),H296," ")</f>
        <v> </v>
      </c>
      <c r="AB296" s="17" t="str">
        <f aca="false">IF((E296="h"),H296," ")</f>
        <v> </v>
      </c>
      <c r="AC296" s="30" t="str">
        <f aca="false">IF((E296="v"),H296," ")</f>
        <v> </v>
      </c>
      <c r="AD296" s="30" t="str">
        <f aca="false">IF((E296="n"),H296," ")</f>
        <v> </v>
      </c>
      <c r="AE296" s="17" t="str">
        <f aca="false">IF((E296="f"),H296," ")</f>
        <v> </v>
      </c>
      <c r="AF296" s="17" t="str">
        <f aca="false">IF((E296="l"),H296," ")</f>
        <v> </v>
      </c>
      <c r="AG296" s="17" t="str">
        <f aca="false">IF((E296="y"),H296," ")</f>
        <v> </v>
      </c>
      <c r="AH296" s="17" t="str">
        <f aca="false">IF((E296="z"),H296," ")</f>
        <v> </v>
      </c>
      <c r="AI296" s="17" t="str">
        <f aca="false">IF((E296="fa"),H296," ")</f>
        <v> </v>
      </c>
      <c r="AJ296" s="17" t="str">
        <f aca="false">IF((E296="e"),H296," ")</f>
        <v> </v>
      </c>
    </row>
    <row r="297" customFormat="false" ht="12" hidden="false" customHeight="false" outlineLevel="0" collapsed="false">
      <c r="A297" s="28"/>
      <c r="E297" s="2" t="str">
        <f aca="false">IF((F297&lt;&gt;0),"Enter Letter"," ")</f>
        <v> </v>
      </c>
      <c r="F297" s="30"/>
      <c r="G297" s="6" t="str">
        <f aca="false">IF(F297&lt;&gt;0,F297*G$2/(100+G$2)," ")</f>
        <v> </v>
      </c>
      <c r="H297" s="6" t="str">
        <f aca="false">IF((F297&lt;&gt;0),F297-G297," ")</f>
        <v> </v>
      </c>
      <c r="I297" s="5"/>
      <c r="L297" s="7" t="str">
        <f aca="false">IF(F297&lt;&gt;0,F297-K297," ")</f>
        <v> </v>
      </c>
      <c r="M297" s="8" t="str">
        <f aca="false">IF((F297-K297)&lt;&gt;0,M$1-A297," ")</f>
        <v> </v>
      </c>
      <c r="N297" s="5"/>
      <c r="O297" s="17" t="str">
        <f aca="false">IF((E297="s"),H297," ")</f>
        <v> </v>
      </c>
      <c r="P297" s="17" t="str">
        <f aca="false">IF((E297="c"),H297," ")</f>
        <v> </v>
      </c>
      <c r="Q297" s="17" t="str">
        <f aca="false">IF((E297="o"),H297," ")</f>
        <v> </v>
      </c>
      <c r="R297" s="17" t="str">
        <f aca="false">IF((E297="d"),H297," ")</f>
        <v> </v>
      </c>
      <c r="S297" s="17" t="str">
        <f aca="false">IF((E297="w"),H297," ")</f>
        <v> </v>
      </c>
      <c r="T297" s="17" t="str">
        <f aca="false">IF((E297="r"),H297," ")</f>
        <v> </v>
      </c>
      <c r="U297" s="17" t="str">
        <f aca="false">IF((E297="p"),H297," ")</f>
        <v> </v>
      </c>
      <c r="V297" s="17" t="str">
        <f aca="false">IF((E297="t"),H297," ")</f>
        <v> </v>
      </c>
      <c r="W297" s="17" t="str">
        <f aca="false">IF((E297="q"),H297," ")</f>
        <v> </v>
      </c>
      <c r="X297" s="17" t="str">
        <f aca="false">IF((E297="m"),H297," ")</f>
        <v> </v>
      </c>
      <c r="Y297" s="17" t="str">
        <f aca="false">IF((E297="u"),H297," ")</f>
        <v> </v>
      </c>
      <c r="Z297" s="17" t="str">
        <f aca="false">IF((E297="a"),H297," ")</f>
        <v> </v>
      </c>
      <c r="AA297" s="17" t="str">
        <f aca="false">IF((E297="g"),H297," ")</f>
        <v> </v>
      </c>
      <c r="AB297" s="17" t="str">
        <f aca="false">IF((E297="h"),H297," ")</f>
        <v> </v>
      </c>
      <c r="AC297" s="30" t="str">
        <f aca="false">IF((E297="v"),H297," ")</f>
        <v> </v>
      </c>
      <c r="AD297" s="30" t="str">
        <f aca="false">IF((E297="n"),H297," ")</f>
        <v> </v>
      </c>
      <c r="AE297" s="17" t="str">
        <f aca="false">IF((E297="f"),H297," ")</f>
        <v> </v>
      </c>
      <c r="AF297" s="17" t="str">
        <f aca="false">IF((E297="l"),H297," ")</f>
        <v> </v>
      </c>
      <c r="AG297" s="17" t="str">
        <f aca="false">IF((E297="y"),H297," ")</f>
        <v> </v>
      </c>
      <c r="AH297" s="17" t="str">
        <f aca="false">IF((E297="z"),H297," ")</f>
        <v> </v>
      </c>
      <c r="AI297" s="17" t="str">
        <f aca="false">IF((E297="fa"),H297," ")</f>
        <v> </v>
      </c>
      <c r="AJ297" s="17" t="str">
        <f aca="false">IF((E297="e"),H297," ")</f>
        <v> </v>
      </c>
    </row>
    <row r="298" customFormat="false" ht="12" hidden="false" customHeight="false" outlineLevel="0" collapsed="false">
      <c r="A298" s="28"/>
      <c r="E298" s="2" t="str">
        <f aca="false">IF((F298&lt;&gt;0),"Enter Letter"," ")</f>
        <v> </v>
      </c>
      <c r="F298" s="30"/>
      <c r="G298" s="6" t="str">
        <f aca="false">IF(F298&lt;&gt;0,F298*G$2/(100+G$2)," ")</f>
        <v> </v>
      </c>
      <c r="H298" s="6" t="str">
        <f aca="false">IF((F298&lt;&gt;0),F298-G298," ")</f>
        <v> </v>
      </c>
      <c r="I298" s="5"/>
      <c r="L298" s="7" t="str">
        <f aca="false">IF(F298&lt;&gt;0,F298-K298," ")</f>
        <v> </v>
      </c>
      <c r="M298" s="8" t="str">
        <f aca="false">IF((F298-K298)&lt;&gt;0,M$1-A298," ")</f>
        <v> </v>
      </c>
      <c r="N298" s="5"/>
      <c r="O298" s="17" t="str">
        <f aca="false">IF((E298="s"),H298," ")</f>
        <v> </v>
      </c>
      <c r="P298" s="17" t="str">
        <f aca="false">IF((E298="c"),H298," ")</f>
        <v> </v>
      </c>
      <c r="Q298" s="17" t="str">
        <f aca="false">IF((E298="o"),H298," ")</f>
        <v> </v>
      </c>
      <c r="R298" s="17" t="str">
        <f aca="false">IF((E298="d"),H298," ")</f>
        <v> </v>
      </c>
      <c r="S298" s="17" t="str">
        <f aca="false">IF((E298="w"),H298," ")</f>
        <v> </v>
      </c>
      <c r="T298" s="17" t="str">
        <f aca="false">IF((E298="r"),H298," ")</f>
        <v> </v>
      </c>
      <c r="U298" s="17" t="str">
        <f aca="false">IF((E298="p"),H298," ")</f>
        <v> </v>
      </c>
      <c r="V298" s="17" t="str">
        <f aca="false">IF((E298="t"),H298," ")</f>
        <v> </v>
      </c>
      <c r="W298" s="17" t="str">
        <f aca="false">IF((E298="q"),H298," ")</f>
        <v> </v>
      </c>
      <c r="X298" s="17" t="str">
        <f aca="false">IF((E298="m"),H298," ")</f>
        <v> </v>
      </c>
      <c r="Y298" s="17" t="str">
        <f aca="false">IF((E298="u"),H298," ")</f>
        <v> </v>
      </c>
      <c r="Z298" s="17" t="str">
        <f aca="false">IF((E298="a"),H298," ")</f>
        <v> </v>
      </c>
      <c r="AA298" s="17" t="str">
        <f aca="false">IF((E298="g"),H298," ")</f>
        <v> </v>
      </c>
      <c r="AB298" s="17" t="str">
        <f aca="false">IF((E298="h"),H298," ")</f>
        <v> </v>
      </c>
      <c r="AC298" s="30" t="str">
        <f aca="false">IF((E298="v"),H298," ")</f>
        <v> </v>
      </c>
      <c r="AD298" s="30" t="str">
        <f aca="false">IF((E298="n"),H298," ")</f>
        <v> </v>
      </c>
      <c r="AE298" s="17" t="str">
        <f aca="false">IF((E298="f"),H298," ")</f>
        <v> </v>
      </c>
      <c r="AF298" s="17" t="str">
        <f aca="false">IF((E298="l"),H298," ")</f>
        <v> </v>
      </c>
      <c r="AG298" s="17" t="str">
        <f aca="false">IF((E298="y"),H298," ")</f>
        <v> </v>
      </c>
      <c r="AH298" s="17" t="str">
        <f aca="false">IF((E298="z"),H298," ")</f>
        <v> </v>
      </c>
      <c r="AI298" s="17" t="str">
        <f aca="false">IF((E298="fa"),H298," ")</f>
        <v> </v>
      </c>
      <c r="AJ298" s="17" t="str">
        <f aca="false">IF((E298="e"),H298," ")</f>
        <v> </v>
      </c>
    </row>
    <row r="299" customFormat="false" ht="12" hidden="false" customHeight="false" outlineLevel="0" collapsed="false">
      <c r="A299" s="28"/>
      <c r="E299" s="2" t="str">
        <f aca="false">IF((F299&lt;&gt;0),"Enter Letter"," ")</f>
        <v> </v>
      </c>
      <c r="F299" s="30"/>
      <c r="G299" s="6" t="str">
        <f aca="false">IF(F299&lt;&gt;0,F299*G$2/(100+G$2)," ")</f>
        <v> </v>
      </c>
      <c r="H299" s="6" t="str">
        <f aca="false">IF((F299&lt;&gt;0),F299-G299," ")</f>
        <v> </v>
      </c>
      <c r="I299" s="5"/>
      <c r="L299" s="7" t="str">
        <f aca="false">IF(F299&lt;&gt;0,F299-K299," ")</f>
        <v> </v>
      </c>
      <c r="M299" s="8" t="str">
        <f aca="false">IF((F299-K299)&lt;&gt;0,M$1-A299," ")</f>
        <v> </v>
      </c>
      <c r="N299" s="5"/>
      <c r="O299" s="17" t="str">
        <f aca="false">IF((E299="s"),H299," ")</f>
        <v> </v>
      </c>
      <c r="P299" s="17" t="str">
        <f aca="false">IF((E299="c"),H299," ")</f>
        <v> </v>
      </c>
      <c r="Q299" s="17" t="str">
        <f aca="false">IF((E299="o"),H299," ")</f>
        <v> </v>
      </c>
      <c r="R299" s="17" t="str">
        <f aca="false">IF((E299="d"),H299," ")</f>
        <v> </v>
      </c>
      <c r="S299" s="17" t="str">
        <f aca="false">IF((E299="w"),H299," ")</f>
        <v> </v>
      </c>
      <c r="T299" s="17" t="str">
        <f aca="false">IF((E299="r"),H299," ")</f>
        <v> </v>
      </c>
      <c r="U299" s="17" t="str">
        <f aca="false">IF((E299="p"),H299," ")</f>
        <v> </v>
      </c>
      <c r="V299" s="17" t="str">
        <f aca="false">IF((E299="t"),H299," ")</f>
        <v> </v>
      </c>
      <c r="W299" s="17" t="str">
        <f aca="false">IF((E299="q"),H299," ")</f>
        <v> </v>
      </c>
      <c r="X299" s="17" t="str">
        <f aca="false">IF((E299="m"),H299," ")</f>
        <v> </v>
      </c>
      <c r="Y299" s="17" t="str">
        <f aca="false">IF((E299="u"),H299," ")</f>
        <v> </v>
      </c>
      <c r="Z299" s="17" t="str">
        <f aca="false">IF((E299="a"),H299," ")</f>
        <v> </v>
      </c>
      <c r="AA299" s="17" t="str">
        <f aca="false">IF((E299="g"),H299," ")</f>
        <v> </v>
      </c>
      <c r="AB299" s="17" t="str">
        <f aca="false">IF((E299="h"),H299," ")</f>
        <v> </v>
      </c>
      <c r="AC299" s="30" t="str">
        <f aca="false">IF((E299="v"),H299," ")</f>
        <v> </v>
      </c>
      <c r="AD299" s="30" t="str">
        <f aca="false">IF((E299="n"),H299," ")</f>
        <v> </v>
      </c>
      <c r="AE299" s="17" t="str">
        <f aca="false">IF((E299="f"),H299," ")</f>
        <v> </v>
      </c>
      <c r="AF299" s="17" t="str">
        <f aca="false">IF((E299="l"),H299," ")</f>
        <v> </v>
      </c>
      <c r="AG299" s="17" t="str">
        <f aca="false">IF((E299="y"),H299," ")</f>
        <v> </v>
      </c>
      <c r="AH299" s="17" t="str">
        <f aca="false">IF((E299="z"),H299," ")</f>
        <v> </v>
      </c>
      <c r="AI299" s="17" t="str">
        <f aca="false">IF((E299="fa"),H299," ")</f>
        <v> </v>
      </c>
      <c r="AJ299" s="17" t="str">
        <f aca="false">IF((E299="e"),H299," ")</f>
        <v> </v>
      </c>
    </row>
    <row r="300" customFormat="false" ht="12" hidden="false" customHeight="false" outlineLevel="0" collapsed="false">
      <c r="A300" s="32"/>
      <c r="B300" s="33"/>
      <c r="C300" s="34"/>
      <c r="D300" s="33"/>
      <c r="E300" s="46" t="str">
        <f aca="false">IF((F300&lt;&gt;0),"Enter Letter"," ")</f>
        <v> </v>
      </c>
      <c r="F300" s="47"/>
      <c r="G300" s="36" t="str">
        <f aca="false">IF(F300&lt;&gt;0,F300*G$2/(100+G$2)," ")</f>
        <v> </v>
      </c>
      <c r="H300" s="36" t="str">
        <f aca="false">IF((F300&lt;&gt;0),F300-G300," ")</f>
        <v> </v>
      </c>
      <c r="I300" s="48"/>
      <c r="J300" s="36"/>
      <c r="K300" s="36"/>
      <c r="L300" s="37" t="str">
        <f aca="false">IF(F300&lt;&gt;0,F300-K300," ")</f>
        <v> </v>
      </c>
      <c r="M300" s="38" t="str">
        <f aca="false">IF((F300-K300)&lt;&gt;0,M$1-A300," ")</f>
        <v> </v>
      </c>
      <c r="N300" s="48"/>
      <c r="O300" s="49" t="str">
        <f aca="false">IF((E300="s"),H300," ")</f>
        <v> </v>
      </c>
      <c r="P300" s="49" t="str">
        <f aca="false">IF((E300="c"),H300," ")</f>
        <v> </v>
      </c>
      <c r="Q300" s="49" t="str">
        <f aca="false">IF((E300="o"),H300," ")</f>
        <v> </v>
      </c>
      <c r="R300" s="49" t="str">
        <f aca="false">IF((E300="d"),H300," ")</f>
        <v> </v>
      </c>
      <c r="S300" s="49" t="str">
        <f aca="false">IF((E300="w"),H300," ")</f>
        <v> </v>
      </c>
      <c r="T300" s="49" t="str">
        <f aca="false">IF((E300="r"),H300," ")</f>
        <v> </v>
      </c>
      <c r="U300" s="49" t="str">
        <f aca="false">IF((E300="p"),H300," ")</f>
        <v> </v>
      </c>
      <c r="V300" s="49" t="str">
        <f aca="false">IF((E300="t"),H300," ")</f>
        <v> </v>
      </c>
      <c r="W300" s="49" t="str">
        <f aca="false">IF((E300="q"),H300," ")</f>
        <v> </v>
      </c>
      <c r="X300" s="49" t="str">
        <f aca="false">IF((E300="m"),H300," ")</f>
        <v> </v>
      </c>
      <c r="Y300" s="49" t="str">
        <f aca="false">IF((E300="u"),H300," ")</f>
        <v> </v>
      </c>
      <c r="Z300" s="49" t="str">
        <f aca="false">IF((E300="a"),H300," ")</f>
        <v> </v>
      </c>
      <c r="AA300" s="49" t="str">
        <f aca="false">IF((E300="g"),H300," ")</f>
        <v> </v>
      </c>
      <c r="AB300" s="49" t="str">
        <f aca="false">IF((E300="h"),H300," ")</f>
        <v> </v>
      </c>
      <c r="AC300" s="47" t="str">
        <f aca="false">IF((E300="v"),H300," ")</f>
        <v> </v>
      </c>
      <c r="AD300" s="47" t="str">
        <f aca="false">IF((E300="n"),H300," ")</f>
        <v> </v>
      </c>
      <c r="AE300" s="49" t="str">
        <f aca="false">IF((E300="f"),H300," ")</f>
        <v> </v>
      </c>
      <c r="AF300" s="49" t="str">
        <f aca="false">IF((E300="l"),H300," ")</f>
        <v> </v>
      </c>
      <c r="AG300" s="49" t="str">
        <f aca="false">IF((E300="y"),H300," ")</f>
        <v> </v>
      </c>
      <c r="AH300" s="49" t="str">
        <f aca="false">IF((E300="z"),H300," ")</f>
        <v> </v>
      </c>
      <c r="AI300" s="49" t="str">
        <f aca="false">IF((E300="fa"),H300," ")</f>
        <v> </v>
      </c>
      <c r="AJ300" s="49" t="str">
        <f aca="false">IF((E300="e"),H300," ")</f>
        <v> </v>
      </c>
      <c r="AK300" s="49"/>
      <c r="AL300" s="49"/>
    </row>
    <row r="301" customFormat="false" ht="12" hidden="false" customHeight="false" outlineLevel="0" collapsed="false">
      <c r="A301" s="28"/>
    </row>
  </sheetData>
  <mergeCells count="37">
    <mergeCell ref="C1:C4"/>
    <mergeCell ref="D1:E1"/>
    <mergeCell ref="I1:I4"/>
    <mergeCell ref="J1:J4"/>
    <mergeCell ref="N1:N4"/>
    <mergeCell ref="AJ1:AJ4"/>
    <mergeCell ref="A2:A4"/>
    <mergeCell ref="B2:B4"/>
    <mergeCell ref="D2:D4"/>
    <mergeCell ref="E2:E4"/>
    <mergeCell ref="F2:F4"/>
    <mergeCell ref="H2:H4"/>
    <mergeCell ref="K2:M2"/>
    <mergeCell ref="O2:Q2"/>
    <mergeCell ref="R2:R3"/>
    <mergeCell ref="S2:S3"/>
    <mergeCell ref="T2:U2"/>
    <mergeCell ref="V2:V3"/>
    <mergeCell ref="W2:W3"/>
    <mergeCell ref="X2:X3"/>
    <mergeCell ref="Y2:Y3"/>
    <mergeCell ref="Z2:Z3"/>
    <mergeCell ref="AA2:AA3"/>
    <mergeCell ref="AB2:AB3"/>
    <mergeCell ref="AC2:AC3"/>
    <mergeCell ref="AD2:AD3"/>
    <mergeCell ref="AE2:AE3"/>
    <mergeCell ref="AF2:AF3"/>
    <mergeCell ref="AG2:AG3"/>
    <mergeCell ref="AH2:AH3"/>
    <mergeCell ref="AI2:AI3"/>
    <mergeCell ref="AK2:AL2"/>
    <mergeCell ref="G3:G4"/>
    <mergeCell ref="K3:K4"/>
    <mergeCell ref="L3:L4"/>
    <mergeCell ref="M3:M4"/>
    <mergeCell ref="AK3:AL3"/>
  </mergeCells>
  <dataValidations count="4">
    <dataValidation allowBlank="true" error="While dates outside the financial year can be accepted for valid transactions the date may not have been entered in the correct format.&#10;&#10;CORRECT DATE FORMAT IS DD/MM/YY&#10;&#10;Example 25/12/08 then appears as 25-Dec-08&#10;" errorStyle="stop" errorTitle="DATE ERROR" operator="between" showDropDown="false" showErrorMessage="true" showInputMessage="false" sqref="A5:A300" type="date">
      <formula1>38353</formula1>
      <formula2>53327</formula2>
    </dataValidation>
    <dataValidation allowBlank="true" errorStyle="stop" operator="between" prompt="Entries below the line are not included in column totals or analysed.&#10;&#10;To accomodate additional entries the formulae in column totals need changing and sales analysis columns formulae added " promptTitle="PLEASE NOTE" showDropDown="false" showErrorMessage="true" showInputMessage="true" sqref="A301" type="none">
      <formula1>0</formula1>
      <formula2>0</formula2>
    </dataValidation>
    <dataValidation allowBlank="true" errorStyle="stop" operator="between" prompt="An amount in this cell is an indication column H does not equal column F minus G or the analysis in columns O to AI does not add up to total in column H&#10;&#10;CHECK ENTRY CODE LETTERS or ANY MANUAL ENTRIES IN COL G to H and COL O to AI&#10;" promptTitle="ERROR ALERT" showDropDown="false" showErrorMessage="true" showInputMessage="true" sqref="A1" type="none">
      <formula1>0</formula1>
      <formula2>0</formula2>
    </dataValidation>
    <dataValidation allowBlank="true" errorStyle="stop" operator="between" showDropDown="false" showErrorMessage="true" showInputMessage="false" sqref="E5:E300" type="list">
      <formula1>$O$4:$AI$4</formula1>
      <formula2>0</formula2>
    </dataValidation>
  </dataValidations>
  <printOptions headings="false" gridLines="true" gridLinesSet="true" horizontalCentered="false" verticalCentered="false"/>
  <pageMargins left="0.118055555555556" right="0.0784722222222222" top="0.590277777777778" bottom="0.590277777777778" header="0.196527777777778" footer="0.196527777777778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&amp;C&amp;"Arial,Bold"&amp;11Costs and Expenses</oddHeader>
    <oddFooter>&amp;L&amp;D  &amp;T&amp;C&amp;P  of  &amp;N&amp;R&amp;F  &amp;A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Z3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625" defaultRowHeight="12" zeroHeight="false" outlineLevelRow="0" outlineLevelCol="0"/>
  <cols>
    <col collapsed="false" customWidth="true" hidden="false" outlineLevel="0" max="1" min="1" style="1" width="8.82"/>
    <col collapsed="false" customWidth="true" hidden="false" outlineLevel="0" max="2" min="2" style="2" width="18.66"/>
    <col collapsed="false" customWidth="true" hidden="false" outlineLevel="0" max="3" min="3" style="3" width="12.66"/>
    <col collapsed="false" customWidth="true" hidden="false" outlineLevel="0" max="4" min="4" style="2" width="14.66"/>
    <col collapsed="false" customWidth="true" hidden="false" outlineLevel="0" max="5" min="5" style="5" width="9.66"/>
    <col collapsed="false" customWidth="true" hidden="false" outlineLevel="0" max="6" min="6" style="6" width="10.5"/>
    <col collapsed="false" customWidth="true" hidden="false" outlineLevel="0" max="7" min="7" style="6" width="9.66"/>
    <col collapsed="false" customWidth="true" hidden="false" outlineLevel="0" max="8" min="8" style="6" width="10.66"/>
    <col collapsed="false" customWidth="true" hidden="false" outlineLevel="0" max="9" min="9" style="6" width="0.82"/>
    <col collapsed="false" customWidth="true" hidden="false" outlineLevel="0" max="10" min="10" style="6" width="9.99"/>
    <col collapsed="false" customWidth="true" hidden="false" outlineLevel="0" max="11" min="11" style="6" width="9.66"/>
    <col collapsed="false" customWidth="true" hidden="false" outlineLevel="0" max="12" min="12" style="7" width="9.66"/>
    <col collapsed="false" customWidth="true" hidden="false" outlineLevel="0" max="13" min="13" style="8" width="9.49"/>
    <col collapsed="false" customWidth="true" hidden="false" outlineLevel="0" max="14" min="14" style="6" width="0.82"/>
    <col collapsed="false" customWidth="true" hidden="false" outlineLevel="0" max="23" min="15" style="17" width="9.66"/>
    <col collapsed="false" customWidth="true" hidden="false" outlineLevel="0" max="28" min="24" style="17" width="10.5"/>
    <col collapsed="false" customWidth="true" hidden="false" outlineLevel="0" max="30" min="29" style="39" width="10.5"/>
    <col collapsed="false" customWidth="true" hidden="false" outlineLevel="0" max="36" min="31" style="17" width="10.5"/>
    <col collapsed="false" customWidth="false" hidden="false" outlineLevel="0" max="37" min="37" style="17" width="9.15"/>
    <col collapsed="false" customWidth="true" hidden="false" outlineLevel="0" max="38" min="38" style="17" width="12.66"/>
    <col collapsed="false" customWidth="false" hidden="false" outlineLevel="0" max="257" min="39" style="2" width="9.15"/>
  </cols>
  <sheetData>
    <row r="1" s="17" customFormat="true" ht="12.75" hidden="false" customHeight="true" outlineLevel="0" collapsed="false">
      <c r="A1" s="40" t="n">
        <f aca="false">F1-G1-SUM(O1:AJ1)</f>
        <v>0</v>
      </c>
      <c r="B1" s="41" t="s">
        <v>22</v>
      </c>
      <c r="C1" s="20" t="s">
        <v>5</v>
      </c>
      <c r="D1" s="42" t="s">
        <v>23</v>
      </c>
      <c r="E1" s="42"/>
      <c r="F1" s="12" t="n">
        <f aca="false">SUM(F5:F300)</f>
        <v>4755.25</v>
      </c>
      <c r="G1" s="12" t="n">
        <f aca="false">SUM(G5:G300)</f>
        <v>792.541666666667</v>
      </c>
      <c r="H1" s="12" t="n">
        <f aca="false">SUM(H5:H300)</f>
        <v>3962.70833333333</v>
      </c>
      <c r="I1" s="13"/>
      <c r="J1" s="14" t="s">
        <v>2</v>
      </c>
      <c r="K1" s="15" t="n">
        <f aca="false">SUM(K5:K300)</f>
        <v>0</v>
      </c>
      <c r="L1" s="15" t="n">
        <f aca="false">SUM(L5:L300)</f>
        <v>4755.25</v>
      </c>
      <c r="M1" s="16" t="n">
        <f aca="true">TODAY()</f>
        <v>46278</v>
      </c>
      <c r="N1" s="13"/>
      <c r="O1" s="12" t="n">
        <f aca="false">SUM(O5:O300)</f>
        <v>450</v>
      </c>
      <c r="P1" s="12" t="n">
        <f aca="false">SUM(P5:P300)</f>
        <v>0</v>
      </c>
      <c r="Q1" s="12" t="n">
        <f aca="false">SUM(Q5:Q300)</f>
        <v>237.5</v>
      </c>
      <c r="R1" s="12" t="n">
        <f aca="false">SUM(R5:R300)</f>
        <v>0</v>
      </c>
      <c r="S1" s="12" t="n">
        <f aca="false">SUM(S5:S300)</f>
        <v>666.666666666667</v>
      </c>
      <c r="T1" s="12" t="n">
        <f aca="false">SUM(T5:T300)</f>
        <v>1000</v>
      </c>
      <c r="U1" s="12" t="n">
        <f aca="false">SUM(U5:U300)</f>
        <v>0</v>
      </c>
      <c r="V1" s="12" t="n">
        <f aca="false">SUM(V5:V300)</f>
        <v>0</v>
      </c>
      <c r="W1" s="12" t="n">
        <f aca="false">SUM(W5:W300)</f>
        <v>0</v>
      </c>
      <c r="X1" s="12" t="n">
        <f aca="false">SUM(X5:X300)</f>
        <v>200</v>
      </c>
      <c r="Y1" s="12" t="n">
        <f aca="false">SUM(Y5:Y300)</f>
        <v>135.833333333333</v>
      </c>
      <c r="Z1" s="12" t="n">
        <f aca="false">SUM(Z5:Z300)</f>
        <v>0</v>
      </c>
      <c r="AA1" s="12" t="n">
        <f aca="false">SUM(AA5:AA300)</f>
        <v>112.5</v>
      </c>
      <c r="AB1" s="12" t="n">
        <f aca="false">SUM(AB5:AB300)</f>
        <v>116.666666666667</v>
      </c>
      <c r="AC1" s="12" t="n">
        <f aca="false">SUM(AC5:AC300)</f>
        <v>501.875</v>
      </c>
      <c r="AD1" s="12" t="n">
        <f aca="false">SUM(AD5:AD300)</f>
        <v>0</v>
      </c>
      <c r="AE1" s="12" t="n">
        <f aca="false">SUM(AE5:AE300)</f>
        <v>0</v>
      </c>
      <c r="AF1" s="12" t="n">
        <f aca="false">SUM(AF5:AF300)</f>
        <v>250</v>
      </c>
      <c r="AG1" s="12" t="n">
        <f aca="false">SUM(AG5:AG300)</f>
        <v>0</v>
      </c>
      <c r="AH1" s="12" t="n">
        <f aca="false">SUM(AH5:AH300)</f>
        <v>0</v>
      </c>
      <c r="AI1" s="12" t="n">
        <f aca="false">SUM(AI5:AI300)</f>
        <v>0</v>
      </c>
      <c r="AJ1" s="12" t="n">
        <f aca="false">SUM(AJ5:AJ300)</f>
        <v>291.666666666667</v>
      </c>
      <c r="AK1" s="12" t="n">
        <f aca="false">SUM(AK5:AK300)</f>
        <v>0</v>
      </c>
      <c r="AL1" s="43"/>
    </row>
    <row r="2" s="17" customFormat="true" ht="13.5" hidden="false" customHeight="true" outlineLevel="0" collapsed="false">
      <c r="A2" s="18" t="s">
        <v>3</v>
      </c>
      <c r="B2" s="19" t="s">
        <v>4</v>
      </c>
      <c r="C2" s="20"/>
      <c r="D2" s="21" t="s">
        <v>6</v>
      </c>
      <c r="E2" s="21" t="s">
        <v>24</v>
      </c>
      <c r="F2" s="19" t="s">
        <v>7</v>
      </c>
      <c r="G2" s="22" t="n">
        <f aca="false">IF([2]Mar!$G$4&gt;0,0,[2]Mar!$G$2)</f>
        <v>20</v>
      </c>
      <c r="H2" s="19" t="s">
        <v>8</v>
      </c>
      <c r="I2" s="13"/>
      <c r="J2" s="14"/>
      <c r="K2" s="23" t="s">
        <v>9</v>
      </c>
      <c r="L2" s="23"/>
      <c r="M2" s="23"/>
      <c r="N2" s="13"/>
      <c r="O2" s="19" t="s">
        <v>25</v>
      </c>
      <c r="P2" s="19"/>
      <c r="Q2" s="19"/>
      <c r="R2" s="19" t="s">
        <v>26</v>
      </c>
      <c r="S2" s="19" t="s">
        <v>27</v>
      </c>
      <c r="T2" s="19" t="s">
        <v>28</v>
      </c>
      <c r="U2" s="19"/>
      <c r="V2" s="19" t="s">
        <v>29</v>
      </c>
      <c r="W2" s="19" t="s">
        <v>30</v>
      </c>
      <c r="X2" s="19" t="s">
        <v>31</v>
      </c>
      <c r="Y2" s="19" t="s">
        <v>32</v>
      </c>
      <c r="Z2" s="19" t="s">
        <v>33</v>
      </c>
      <c r="AA2" s="19" t="s">
        <v>34</v>
      </c>
      <c r="AB2" s="19" t="s">
        <v>35</v>
      </c>
      <c r="AC2" s="19" t="s">
        <v>36</v>
      </c>
      <c r="AD2" s="19" t="s">
        <v>37</v>
      </c>
      <c r="AE2" s="19" t="s">
        <v>38</v>
      </c>
      <c r="AF2" s="19" t="s">
        <v>39</v>
      </c>
      <c r="AG2" s="19" t="s">
        <v>40</v>
      </c>
      <c r="AH2" s="19" t="s">
        <v>41</v>
      </c>
      <c r="AI2" s="19" t="s">
        <v>42</v>
      </c>
      <c r="AJ2" s="12" t="s">
        <v>43</v>
      </c>
      <c r="AK2" s="19" t="s">
        <v>44</v>
      </c>
      <c r="AL2" s="19"/>
    </row>
    <row r="3" s="26" customFormat="true" ht="34.5" hidden="false" customHeight="true" outlineLevel="0" collapsed="false">
      <c r="A3" s="18"/>
      <c r="B3" s="19"/>
      <c r="C3" s="20"/>
      <c r="D3" s="21"/>
      <c r="E3" s="21"/>
      <c r="F3" s="19"/>
      <c r="G3" s="19" t="s">
        <v>10</v>
      </c>
      <c r="H3" s="19"/>
      <c r="I3" s="13"/>
      <c r="J3" s="14"/>
      <c r="K3" s="24" t="s">
        <v>11</v>
      </c>
      <c r="L3" s="24" t="s">
        <v>12</v>
      </c>
      <c r="M3" s="25" t="s">
        <v>13</v>
      </c>
      <c r="N3" s="13"/>
      <c r="O3" s="21" t="s">
        <v>45</v>
      </c>
      <c r="P3" s="21" t="s">
        <v>46</v>
      </c>
      <c r="Q3" s="21" t="s">
        <v>47</v>
      </c>
      <c r="R3" s="19"/>
      <c r="S3" s="19"/>
      <c r="T3" s="21" t="s">
        <v>48</v>
      </c>
      <c r="U3" s="21" t="s">
        <v>49</v>
      </c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2"/>
      <c r="AK3" s="19" t="s">
        <v>50</v>
      </c>
      <c r="AL3" s="19"/>
    </row>
    <row r="4" s="27" customFormat="true" ht="12.75" hidden="false" customHeight="true" outlineLevel="0" collapsed="false">
      <c r="A4" s="18"/>
      <c r="B4" s="19"/>
      <c r="C4" s="20"/>
      <c r="D4" s="21"/>
      <c r="E4" s="21"/>
      <c r="F4" s="19"/>
      <c r="G4" s="19"/>
      <c r="H4" s="19"/>
      <c r="I4" s="13"/>
      <c r="J4" s="14"/>
      <c r="K4" s="24"/>
      <c r="L4" s="24"/>
      <c r="M4" s="24"/>
      <c r="N4" s="13"/>
      <c r="O4" s="44" t="s">
        <v>51</v>
      </c>
      <c r="P4" s="44" t="s">
        <v>52</v>
      </c>
      <c r="Q4" s="44" t="s">
        <v>53</v>
      </c>
      <c r="R4" s="44" t="s">
        <v>54</v>
      </c>
      <c r="S4" s="44" t="s">
        <v>55</v>
      </c>
      <c r="T4" s="44" t="s">
        <v>56</v>
      </c>
      <c r="U4" s="44" t="s">
        <v>57</v>
      </c>
      <c r="V4" s="44" t="s">
        <v>58</v>
      </c>
      <c r="W4" s="44" t="s">
        <v>59</v>
      </c>
      <c r="X4" s="44" t="s">
        <v>60</v>
      </c>
      <c r="Y4" s="44" t="s">
        <v>61</v>
      </c>
      <c r="Z4" s="44" t="s">
        <v>62</v>
      </c>
      <c r="AA4" s="44" t="s">
        <v>63</v>
      </c>
      <c r="AB4" s="44" t="s">
        <v>64</v>
      </c>
      <c r="AC4" s="45" t="s">
        <v>65</v>
      </c>
      <c r="AD4" s="45" t="s">
        <v>66</v>
      </c>
      <c r="AE4" s="44" t="s">
        <v>67</v>
      </c>
      <c r="AF4" s="44" t="s">
        <v>68</v>
      </c>
      <c r="AG4" s="44" t="s">
        <v>69</v>
      </c>
      <c r="AH4" s="44" t="s">
        <v>70</v>
      </c>
      <c r="AI4" s="44" t="s">
        <v>71</v>
      </c>
      <c r="AJ4" s="12" t="s">
        <v>72</v>
      </c>
      <c r="AK4" s="19" t="s">
        <v>73</v>
      </c>
      <c r="AL4" s="19" t="s">
        <v>74</v>
      </c>
    </row>
    <row r="5" s="5" customFormat="true" ht="12" hidden="false" customHeight="false" outlineLevel="0" collapsed="false">
      <c r="A5" s="28" t="n">
        <v>46447</v>
      </c>
      <c r="B5" s="2" t="s">
        <v>14</v>
      </c>
      <c r="C5" s="3"/>
      <c r="D5" s="2" t="s">
        <v>75</v>
      </c>
      <c r="E5" s="2" t="s">
        <v>76</v>
      </c>
      <c r="F5" s="30" t="n">
        <v>1200</v>
      </c>
      <c r="G5" s="6" t="n">
        <f aca="false">IF(F5&lt;&gt;0,F5*G$2/(100+G$2)," ")</f>
        <v>200</v>
      </c>
      <c r="H5" s="6" t="n">
        <f aca="false">IF((F5&lt;&gt;0),F5-G5," ")</f>
        <v>1000</v>
      </c>
      <c r="J5" s="6"/>
      <c r="K5" s="6"/>
      <c r="L5" s="7" t="n">
        <f aca="false">IF(F5&lt;&gt;0,F5-K5," ")</f>
        <v>1200</v>
      </c>
      <c r="M5" s="8" t="n">
        <f aca="false">IF((F5-K5)&lt;&gt;0,M$1-A5," ")</f>
        <v>-169</v>
      </c>
      <c r="O5" s="17" t="str">
        <f aca="false">IF((E5="s"),H5," ")</f>
        <v> </v>
      </c>
      <c r="P5" s="17" t="str">
        <f aca="false">IF((E5="c"),H5," ")</f>
        <v> </v>
      </c>
      <c r="Q5" s="17" t="str">
        <f aca="false">IF((E5="o"),H5," ")</f>
        <v> </v>
      </c>
      <c r="R5" s="17" t="str">
        <f aca="false">IF((E5="d"),H5," ")</f>
        <v> </v>
      </c>
      <c r="S5" s="17" t="str">
        <f aca="false">IF((E5="w"),H5," ")</f>
        <v> </v>
      </c>
      <c r="T5" s="17" t="n">
        <f aca="false">IF((E5="r"),H5," ")</f>
        <v>1000</v>
      </c>
      <c r="U5" s="17" t="str">
        <f aca="false">IF((E5="p"),H5," ")</f>
        <v> </v>
      </c>
      <c r="V5" s="17" t="str">
        <f aca="false">IF((E5="t"),H5," ")</f>
        <v> </v>
      </c>
      <c r="W5" s="17" t="str">
        <f aca="false">IF((E5="q"),H5," ")</f>
        <v> </v>
      </c>
      <c r="X5" s="17" t="str">
        <f aca="false">IF((E5="m"),H5," ")</f>
        <v> </v>
      </c>
      <c r="Y5" s="17" t="str">
        <f aca="false">IF((E5="u"),H5," ")</f>
        <v> </v>
      </c>
      <c r="Z5" s="17" t="str">
        <f aca="false">IF((E5="a"),H5," ")</f>
        <v> </v>
      </c>
      <c r="AA5" s="17" t="str">
        <f aca="false">IF((E5="g"),H5," ")</f>
        <v> </v>
      </c>
      <c r="AB5" s="17" t="str">
        <f aca="false">IF((E5="h"),H5," ")</f>
        <v> </v>
      </c>
      <c r="AC5" s="30" t="str">
        <f aca="false">IF((E5="v"),H5," ")</f>
        <v> </v>
      </c>
      <c r="AD5" s="30" t="str">
        <f aca="false">IF((E5="n"),H5," ")</f>
        <v> </v>
      </c>
      <c r="AE5" s="17" t="str">
        <f aca="false">IF((E5="f"),H5," ")</f>
        <v> </v>
      </c>
      <c r="AF5" s="17" t="str">
        <f aca="false">IF((E5="l"),H5," ")</f>
        <v> </v>
      </c>
      <c r="AG5" s="17" t="str">
        <f aca="false">IF((E5="y"),H5," ")</f>
        <v> </v>
      </c>
      <c r="AH5" s="17" t="str">
        <f aca="false">IF((E5="z"),H5," ")</f>
        <v> </v>
      </c>
      <c r="AI5" s="17" t="str">
        <f aca="false">IF((E5="fa"),H5," ")</f>
        <v> </v>
      </c>
      <c r="AJ5" s="17" t="str">
        <f aca="false">IF((E5="e"),H5," ")</f>
        <v> </v>
      </c>
      <c r="AK5" s="17"/>
      <c r="AL5" s="17"/>
      <c r="BZ5" s="5" t="s">
        <v>77</v>
      </c>
    </row>
    <row r="6" customFormat="false" ht="12" hidden="false" customHeight="false" outlineLevel="0" collapsed="false">
      <c r="A6" s="28" t="n">
        <v>46447</v>
      </c>
      <c r="B6" s="2" t="s">
        <v>78</v>
      </c>
      <c r="D6" s="2" t="s">
        <v>79</v>
      </c>
      <c r="E6" s="2" t="s">
        <v>80</v>
      </c>
      <c r="F6" s="30" t="n">
        <v>30</v>
      </c>
      <c r="G6" s="6" t="n">
        <f aca="false">IF(F6&lt;&gt;0,F6*G$2/(100+G$2)," ")</f>
        <v>5</v>
      </c>
      <c r="H6" s="6" t="n">
        <f aca="false">IF((F6&lt;&gt;0),F6-G6," ")</f>
        <v>25</v>
      </c>
      <c r="I6" s="5"/>
      <c r="L6" s="7" t="n">
        <f aca="false">IF(F6&lt;&gt;0,F6-K6," ")</f>
        <v>30</v>
      </c>
      <c r="M6" s="8" t="n">
        <f aca="false">IF((F6-K6)&lt;&gt;0,M$1-A6," ")</f>
        <v>-169</v>
      </c>
      <c r="N6" s="5"/>
      <c r="O6" s="17" t="str">
        <f aca="false">IF((E6="s"),H6," ")</f>
        <v> </v>
      </c>
      <c r="P6" s="17" t="str">
        <f aca="false">IF((E6="c"),H6," ")</f>
        <v> </v>
      </c>
      <c r="Q6" s="17" t="str">
        <f aca="false">IF((E6="o"),H6," ")</f>
        <v> </v>
      </c>
      <c r="R6" s="17" t="str">
        <f aca="false">IF((E6="d"),H6," ")</f>
        <v> </v>
      </c>
      <c r="S6" s="17" t="str">
        <f aca="false">IF((E6="w"),H6," ")</f>
        <v> </v>
      </c>
      <c r="T6" s="17" t="str">
        <f aca="false">IF((E6="r"),H6," ")</f>
        <v> </v>
      </c>
      <c r="U6" s="17" t="str">
        <f aca="false">IF((E6="p"),H6," ")</f>
        <v> </v>
      </c>
      <c r="V6" s="17" t="str">
        <f aca="false">IF((E6="t"),H6," ")</f>
        <v> </v>
      </c>
      <c r="W6" s="17" t="str">
        <f aca="false">IF((E6="q"),H6," ")</f>
        <v> </v>
      </c>
      <c r="X6" s="17" t="str">
        <f aca="false">IF((E6="m"),H6," ")</f>
        <v> </v>
      </c>
      <c r="Y6" s="17" t="str">
        <f aca="false">IF((E6="u"),H6," ")</f>
        <v> </v>
      </c>
      <c r="Z6" s="17" t="str">
        <f aca="false">IF((E6="a"),H6," ")</f>
        <v> </v>
      </c>
      <c r="AA6" s="17" t="n">
        <f aca="false">IF((E6="g"),H6," ")</f>
        <v>25</v>
      </c>
      <c r="AB6" s="17" t="str">
        <f aca="false">IF((E6="h"),H6," ")</f>
        <v> </v>
      </c>
      <c r="AC6" s="30" t="str">
        <f aca="false">IF((E6="v"),H6," ")</f>
        <v> </v>
      </c>
      <c r="AD6" s="30" t="str">
        <f aca="false">IF((E6="n"),H6," ")</f>
        <v> </v>
      </c>
      <c r="AE6" s="17" t="str">
        <f aca="false">IF((E6="f"),H6," ")</f>
        <v> </v>
      </c>
      <c r="AF6" s="17" t="str">
        <f aca="false">IF((E6="l"),H6," ")</f>
        <v> </v>
      </c>
      <c r="AG6" s="17" t="str">
        <f aca="false">IF((E6="y"),H6," ")</f>
        <v> </v>
      </c>
      <c r="AH6" s="17" t="str">
        <f aca="false">IF((E6="z"),H6," ")</f>
        <v> </v>
      </c>
      <c r="AI6" s="17" t="str">
        <f aca="false">IF((E6="fa"),H6," ")</f>
        <v> </v>
      </c>
      <c r="AJ6" s="17" t="str">
        <f aca="false">IF((E6="e"),H6," ")</f>
        <v> </v>
      </c>
      <c r="BZ6" s="2" t="s">
        <v>81</v>
      </c>
    </row>
    <row r="7" customFormat="false" ht="12" hidden="false" customHeight="false" outlineLevel="0" collapsed="false">
      <c r="A7" s="28" t="n">
        <v>46447</v>
      </c>
      <c r="B7" s="2" t="s">
        <v>82</v>
      </c>
      <c r="D7" s="2" t="s">
        <v>83</v>
      </c>
      <c r="E7" s="2" t="s">
        <v>80</v>
      </c>
      <c r="F7" s="30" t="n">
        <v>15</v>
      </c>
      <c r="G7" s="6" t="n">
        <f aca="false">IF(F7&lt;&gt;0,F7*G$2/(100+G$2)," ")</f>
        <v>2.5</v>
      </c>
      <c r="H7" s="6" t="n">
        <f aca="false">IF((F7&lt;&gt;0),F7-G7," ")</f>
        <v>12.5</v>
      </c>
      <c r="I7" s="5"/>
      <c r="L7" s="7" t="n">
        <f aca="false">IF(F7&lt;&gt;0,F7-K7," ")</f>
        <v>15</v>
      </c>
      <c r="M7" s="8" t="n">
        <f aca="false">IF((F7-K7)&lt;&gt;0,M$1-A7," ")</f>
        <v>-169</v>
      </c>
      <c r="N7" s="5"/>
      <c r="O7" s="17" t="str">
        <f aca="false">IF((E7="s"),H7," ")</f>
        <v> </v>
      </c>
      <c r="P7" s="17" t="str">
        <f aca="false">IF((E7="c"),H7," ")</f>
        <v> </v>
      </c>
      <c r="Q7" s="17" t="str">
        <f aca="false">IF((E7="o"),H7," ")</f>
        <v> </v>
      </c>
      <c r="R7" s="17" t="str">
        <f aca="false">IF((E7="d"),H7," ")</f>
        <v> </v>
      </c>
      <c r="S7" s="17" t="str">
        <f aca="false">IF((E7="w"),H7," ")</f>
        <v> </v>
      </c>
      <c r="T7" s="17" t="str">
        <f aca="false">IF((E7="r"),H7," ")</f>
        <v> </v>
      </c>
      <c r="U7" s="17" t="str">
        <f aca="false">IF((E7="p"),H7," ")</f>
        <v> </v>
      </c>
      <c r="V7" s="17" t="str">
        <f aca="false">IF((E7="t"),H7," ")</f>
        <v> </v>
      </c>
      <c r="W7" s="17" t="str">
        <f aca="false">IF((E7="q"),H7," ")</f>
        <v> </v>
      </c>
      <c r="X7" s="17" t="str">
        <f aca="false">IF((E7="m"),H7," ")</f>
        <v> </v>
      </c>
      <c r="Y7" s="17" t="str">
        <f aca="false">IF((E7="u"),H7," ")</f>
        <v> </v>
      </c>
      <c r="Z7" s="17" t="str">
        <f aca="false">IF((E7="a"),H7," ")</f>
        <v> </v>
      </c>
      <c r="AA7" s="17" t="n">
        <f aca="false">IF((E7="g"),H7," ")</f>
        <v>12.5</v>
      </c>
      <c r="AB7" s="17" t="str">
        <f aca="false">IF((E7="h"),H7," ")</f>
        <v> </v>
      </c>
      <c r="AC7" s="30" t="str">
        <f aca="false">IF((E7="v"),H7," ")</f>
        <v> </v>
      </c>
      <c r="AD7" s="30" t="str">
        <f aca="false">IF((E7="n"),H7," ")</f>
        <v> </v>
      </c>
      <c r="AE7" s="17" t="str">
        <f aca="false">IF((E7="f"),H7," ")</f>
        <v> </v>
      </c>
      <c r="AF7" s="17" t="str">
        <f aca="false">IF((E7="l"),H7," ")</f>
        <v> </v>
      </c>
      <c r="AG7" s="17" t="str">
        <f aca="false">IF((E7="y"),H7," ")</f>
        <v> </v>
      </c>
      <c r="AH7" s="17" t="str">
        <f aca="false">IF((E7="z"),H7," ")</f>
        <v> </v>
      </c>
      <c r="AI7" s="17" t="str">
        <f aca="false">IF((E7="fa"),H7," ")</f>
        <v> </v>
      </c>
      <c r="AJ7" s="17" t="str">
        <f aca="false">IF((E7="e"),H7," ")</f>
        <v> </v>
      </c>
      <c r="BZ7" s="2" t="s">
        <v>81</v>
      </c>
    </row>
    <row r="8" customFormat="false" ht="12" hidden="false" customHeight="false" outlineLevel="0" collapsed="false">
      <c r="A8" s="28" t="n">
        <v>46447</v>
      </c>
      <c r="B8" s="2" t="s">
        <v>84</v>
      </c>
      <c r="D8" s="2" t="s">
        <v>85</v>
      </c>
      <c r="E8" s="2" t="s">
        <v>86</v>
      </c>
      <c r="F8" s="30" t="n">
        <v>45</v>
      </c>
      <c r="G8" s="6" t="n">
        <f aca="false">IF(F8&lt;&gt;0,F8*G$2/(100+G$2)," ")</f>
        <v>7.5</v>
      </c>
      <c r="H8" s="6" t="n">
        <f aca="false">IF((F8&lt;&gt;0),F8-G8," ")</f>
        <v>37.5</v>
      </c>
      <c r="I8" s="5"/>
      <c r="L8" s="7" t="n">
        <f aca="false">IF(F8&lt;&gt;0,F8-K8," ")</f>
        <v>45</v>
      </c>
      <c r="M8" s="8" t="n">
        <f aca="false">IF((F8-K8)&lt;&gt;0,M$1-A8," ")</f>
        <v>-169</v>
      </c>
      <c r="N8" s="5"/>
      <c r="O8" s="17" t="str">
        <f aca="false">IF((E8="s"),H8," ")</f>
        <v> </v>
      </c>
      <c r="P8" s="17" t="str">
        <f aca="false">IF((E8="c"),H8," ")</f>
        <v> </v>
      </c>
      <c r="Q8" s="17" t="n">
        <f aca="false">IF((E8="o"),H8," ")</f>
        <v>37.5</v>
      </c>
      <c r="R8" s="17" t="str">
        <f aca="false">IF((E8="d"),H8," ")</f>
        <v> </v>
      </c>
      <c r="S8" s="17" t="str">
        <f aca="false">IF((E8="w"),H8," ")</f>
        <v> </v>
      </c>
      <c r="T8" s="17" t="str">
        <f aca="false">IF((E8="r"),H8," ")</f>
        <v> </v>
      </c>
      <c r="U8" s="17" t="str">
        <f aca="false">IF((E8="p"),H8," ")</f>
        <v> </v>
      </c>
      <c r="V8" s="17" t="str">
        <f aca="false">IF((E8="t"),H8," ")</f>
        <v> </v>
      </c>
      <c r="W8" s="17" t="str">
        <f aca="false">IF((E8="q"),H8," ")</f>
        <v> </v>
      </c>
      <c r="X8" s="17" t="str">
        <f aca="false">IF((E8="m"),H8," ")</f>
        <v> </v>
      </c>
      <c r="Y8" s="17" t="str">
        <f aca="false">IF((E8="u"),H8," ")</f>
        <v> </v>
      </c>
      <c r="Z8" s="17" t="str">
        <f aca="false">IF((E8="a"),H8," ")</f>
        <v> </v>
      </c>
      <c r="AA8" s="17" t="str">
        <f aca="false">IF((E8="g"),H8," ")</f>
        <v> </v>
      </c>
      <c r="AB8" s="17" t="str">
        <f aca="false">IF((E8="h"),H8," ")</f>
        <v> </v>
      </c>
      <c r="AC8" s="30" t="str">
        <f aca="false">IF((E8="v"),H8," ")</f>
        <v> </v>
      </c>
      <c r="AD8" s="30" t="str">
        <f aca="false">IF((E8="n"),H8," ")</f>
        <v> </v>
      </c>
      <c r="AE8" s="17" t="str">
        <f aca="false">IF((E8="f"),H8," ")</f>
        <v> </v>
      </c>
      <c r="AF8" s="17" t="str">
        <f aca="false">IF((E8="l"),H8," ")</f>
        <v> </v>
      </c>
      <c r="AG8" s="17" t="str">
        <f aca="false">IF((E8="y"),H8," ")</f>
        <v> </v>
      </c>
      <c r="AH8" s="17" t="str">
        <f aca="false">IF((E8="z"),H8," ")</f>
        <v> </v>
      </c>
      <c r="AI8" s="17" t="str">
        <f aca="false">IF((E8="fa"),H8," ")</f>
        <v> </v>
      </c>
      <c r="AJ8" s="17" t="str">
        <f aca="false">IF((E8="e"),H8," ")</f>
        <v> </v>
      </c>
      <c r="BZ8" s="2" t="s">
        <v>87</v>
      </c>
    </row>
    <row r="9" customFormat="false" ht="12" hidden="false" customHeight="false" outlineLevel="0" collapsed="false">
      <c r="A9" s="28" t="n">
        <v>46447</v>
      </c>
      <c r="B9" s="2" t="s">
        <v>92</v>
      </c>
      <c r="D9" s="2" t="s">
        <v>93</v>
      </c>
      <c r="E9" s="2" t="s">
        <v>86</v>
      </c>
      <c r="F9" s="30" t="n">
        <v>24</v>
      </c>
      <c r="G9" s="6" t="n">
        <f aca="false">IF(F9&lt;&gt;0,F9*G$2/(100+G$2)," ")</f>
        <v>4</v>
      </c>
      <c r="H9" s="6" t="n">
        <f aca="false">IF((F9&lt;&gt;0),F9-G9," ")</f>
        <v>20</v>
      </c>
      <c r="I9" s="5"/>
      <c r="L9" s="7" t="n">
        <f aca="false">IF(F9&lt;&gt;0,F9-K9," ")</f>
        <v>24</v>
      </c>
      <c r="M9" s="8" t="n">
        <f aca="false">IF((F9-K9)&lt;&gt;0,M$1-A9," ")</f>
        <v>-169</v>
      </c>
      <c r="N9" s="5"/>
      <c r="O9" s="17" t="str">
        <f aca="false">IF((E9="s"),H9," ")</f>
        <v> </v>
      </c>
      <c r="P9" s="17" t="str">
        <f aca="false">IF((E9="c"),H9," ")</f>
        <v> </v>
      </c>
      <c r="Q9" s="17" t="n">
        <f aca="false">IF((E9="o"),H9," ")</f>
        <v>20</v>
      </c>
      <c r="R9" s="17" t="str">
        <f aca="false">IF((E9="d"),H9," ")</f>
        <v> </v>
      </c>
      <c r="S9" s="17" t="str">
        <f aca="false">IF((E9="w"),H9," ")</f>
        <v> </v>
      </c>
      <c r="T9" s="17" t="str">
        <f aca="false">IF((E9="r"),H9," ")</f>
        <v> </v>
      </c>
      <c r="U9" s="17" t="str">
        <f aca="false">IF((E9="p"),H9," ")</f>
        <v> </v>
      </c>
      <c r="V9" s="17" t="str">
        <f aca="false">IF((E9="t"),H9," ")</f>
        <v> </v>
      </c>
      <c r="W9" s="17" t="str">
        <f aca="false">IF((E9="q"),H9," ")</f>
        <v> </v>
      </c>
      <c r="X9" s="17" t="str">
        <f aca="false">IF((E9="m"),H9," ")</f>
        <v> </v>
      </c>
      <c r="Y9" s="17" t="str">
        <f aca="false">IF((E9="u"),H9," ")</f>
        <v> </v>
      </c>
      <c r="Z9" s="17" t="str">
        <f aca="false">IF((E9="a"),H9," ")</f>
        <v> </v>
      </c>
      <c r="AA9" s="17" t="str">
        <f aca="false">IF((E9="g"),H9," ")</f>
        <v> </v>
      </c>
      <c r="AB9" s="17" t="str">
        <f aca="false">IF((E9="h"),H9," ")</f>
        <v> </v>
      </c>
      <c r="AC9" s="30" t="str">
        <f aca="false">IF((E9="v"),H9," ")</f>
        <v> </v>
      </c>
      <c r="AD9" s="30" t="str">
        <f aca="false">IF((E9="n"),H9," ")</f>
        <v> </v>
      </c>
      <c r="AE9" s="17" t="str">
        <f aca="false">IF((E9="f"),H9," ")</f>
        <v> </v>
      </c>
      <c r="AF9" s="17" t="str">
        <f aca="false">IF((E9="l"),H9," ")</f>
        <v> </v>
      </c>
      <c r="AG9" s="17" t="str">
        <f aca="false">IF((E9="y"),H9," ")</f>
        <v> </v>
      </c>
      <c r="AH9" s="17" t="str">
        <f aca="false">IF((E9="z"),H9," ")</f>
        <v> </v>
      </c>
      <c r="AI9" s="17" t="str">
        <f aca="false">IF((E9="fa"),H9," ")</f>
        <v> </v>
      </c>
      <c r="AJ9" s="17" t="str">
        <f aca="false">IF((E9="e"),H9," ")</f>
        <v> </v>
      </c>
      <c r="BZ9" s="2" t="s">
        <v>87</v>
      </c>
    </row>
    <row r="10" customFormat="false" ht="12" hidden="false" customHeight="false" outlineLevel="0" collapsed="false">
      <c r="A10" s="28" t="n">
        <v>46447</v>
      </c>
      <c r="B10" s="2" t="s">
        <v>94</v>
      </c>
      <c r="D10" s="2" t="s">
        <v>95</v>
      </c>
      <c r="E10" s="2" t="s">
        <v>80</v>
      </c>
      <c r="F10" s="30" t="n">
        <v>18</v>
      </c>
      <c r="G10" s="6" t="n">
        <f aca="false">IF(F10&lt;&gt;0,F10*G$2/(100+G$2)," ")</f>
        <v>3</v>
      </c>
      <c r="H10" s="6" t="n">
        <f aca="false">IF((F10&lt;&gt;0),F10-G10," ")</f>
        <v>15</v>
      </c>
      <c r="I10" s="5"/>
      <c r="L10" s="7" t="n">
        <f aca="false">IF(F10&lt;&gt;0,F10-K10," ")</f>
        <v>18</v>
      </c>
      <c r="M10" s="8" t="n">
        <f aca="false">IF((F10-K10)&lt;&gt;0,M$1-A10," ")</f>
        <v>-169</v>
      </c>
      <c r="N10" s="5"/>
      <c r="O10" s="17" t="str">
        <f aca="false">IF((E10="s"),H10," ")</f>
        <v> </v>
      </c>
      <c r="P10" s="17" t="str">
        <f aca="false">IF((E10="c"),H10," ")</f>
        <v> </v>
      </c>
      <c r="Q10" s="17" t="str">
        <f aca="false">IF((E10="o"),H10," ")</f>
        <v> </v>
      </c>
      <c r="R10" s="17" t="str">
        <f aca="false">IF((E10="d"),H10," ")</f>
        <v> </v>
      </c>
      <c r="S10" s="17" t="str">
        <f aca="false">IF((E10="w"),H10," ")</f>
        <v> </v>
      </c>
      <c r="T10" s="17" t="str">
        <f aca="false">IF((E10="r"),H10," ")</f>
        <v> </v>
      </c>
      <c r="U10" s="17" t="str">
        <f aca="false">IF((E10="p"),H10," ")</f>
        <v> </v>
      </c>
      <c r="V10" s="17" t="str">
        <f aca="false">IF((E10="t"),H10," ")</f>
        <v> </v>
      </c>
      <c r="W10" s="17" t="str">
        <f aca="false">IF((E10="q"),H10," ")</f>
        <v> </v>
      </c>
      <c r="X10" s="17" t="str">
        <f aca="false">IF((E10="m"),H10," ")</f>
        <v> </v>
      </c>
      <c r="Y10" s="17" t="str">
        <f aca="false">IF((E10="u"),H10," ")</f>
        <v> </v>
      </c>
      <c r="Z10" s="17" t="str">
        <f aca="false">IF((E10="a"),H10," ")</f>
        <v> </v>
      </c>
      <c r="AA10" s="17" t="n">
        <f aca="false">IF((E10="g"),H10," ")</f>
        <v>15</v>
      </c>
      <c r="AB10" s="17" t="str">
        <f aca="false">IF((E10="h"),H10," ")</f>
        <v> </v>
      </c>
      <c r="AC10" s="30" t="str">
        <f aca="false">IF((E10="v"),H10," ")</f>
        <v> </v>
      </c>
      <c r="AD10" s="30" t="str">
        <f aca="false">IF((E10="n"),H10," ")</f>
        <v> </v>
      </c>
      <c r="AE10" s="17" t="str">
        <f aca="false">IF((E10="f"),H10," ")</f>
        <v> </v>
      </c>
      <c r="AF10" s="17" t="str">
        <f aca="false">IF((E10="l"),H10," ")</f>
        <v> </v>
      </c>
      <c r="AG10" s="17" t="str">
        <f aca="false">IF((E10="y"),H10," ")</f>
        <v> </v>
      </c>
      <c r="AH10" s="17" t="str">
        <f aca="false">IF((E10="z"),H10," ")</f>
        <v> </v>
      </c>
      <c r="AI10" s="17" t="str">
        <f aca="false">IF((E10="fa"),H10," ")</f>
        <v> </v>
      </c>
      <c r="AJ10" s="17" t="str">
        <f aca="false">IF((E10="e"),H10," ")</f>
        <v> </v>
      </c>
      <c r="BZ10" s="2" t="s">
        <v>81</v>
      </c>
    </row>
    <row r="11" customFormat="false" ht="12" hidden="false" customHeight="false" outlineLevel="0" collapsed="false">
      <c r="A11" s="28" t="n">
        <v>46449</v>
      </c>
      <c r="B11" s="2" t="s">
        <v>96</v>
      </c>
      <c r="D11" s="2" t="s">
        <v>97</v>
      </c>
      <c r="E11" s="2" t="s">
        <v>86</v>
      </c>
      <c r="F11" s="30" t="n">
        <v>180</v>
      </c>
      <c r="G11" s="6" t="n">
        <f aca="false">IF(F11&lt;&gt;0,F11*G$2/(100+G$2)," ")</f>
        <v>30</v>
      </c>
      <c r="H11" s="6" t="n">
        <f aca="false">IF((F11&lt;&gt;0),F11-G11," ")</f>
        <v>150</v>
      </c>
      <c r="I11" s="5"/>
      <c r="L11" s="7" t="n">
        <f aca="false">IF(F11&lt;&gt;0,F11-K11," ")</f>
        <v>180</v>
      </c>
      <c r="M11" s="8" t="n">
        <f aca="false">IF((F11-K11)&lt;&gt;0,M$1-A11," ")</f>
        <v>-171</v>
      </c>
      <c r="N11" s="5"/>
      <c r="O11" s="17" t="str">
        <f aca="false">IF((E11="s"),H11," ")</f>
        <v> </v>
      </c>
      <c r="P11" s="17" t="str">
        <f aca="false">IF((E11="c"),H11," ")</f>
        <v> </v>
      </c>
      <c r="Q11" s="17" t="n">
        <f aca="false">IF((E11="o"),H11," ")</f>
        <v>150</v>
      </c>
      <c r="R11" s="17" t="str">
        <f aca="false">IF((E11="d"),H11," ")</f>
        <v> </v>
      </c>
      <c r="S11" s="17" t="str">
        <f aca="false">IF((E11="w"),H11," ")</f>
        <v> </v>
      </c>
      <c r="T11" s="17" t="str">
        <f aca="false">IF((E11="r"),H11," ")</f>
        <v> </v>
      </c>
      <c r="U11" s="17" t="str">
        <f aca="false">IF((E11="p"),H11," ")</f>
        <v> </v>
      </c>
      <c r="V11" s="17" t="str">
        <f aca="false">IF((E11="t"),H11," ")</f>
        <v> </v>
      </c>
      <c r="W11" s="17" t="str">
        <f aca="false">IF((E11="q"),H11," ")</f>
        <v> </v>
      </c>
      <c r="X11" s="17" t="str">
        <f aca="false">IF((E11="m"),H11," ")</f>
        <v> </v>
      </c>
      <c r="Y11" s="17" t="str">
        <f aca="false">IF((E11="u"),H11," ")</f>
        <v> </v>
      </c>
      <c r="Z11" s="17" t="str">
        <f aca="false">IF((E11="a"),H11," ")</f>
        <v> </v>
      </c>
      <c r="AA11" s="17" t="str">
        <f aca="false">IF((E11="g"),H11," ")</f>
        <v> </v>
      </c>
      <c r="AB11" s="17" t="str">
        <f aca="false">IF((E11="h"),H11," ")</f>
        <v> </v>
      </c>
      <c r="AC11" s="30" t="str">
        <f aca="false">IF((E11="v"),H11," ")</f>
        <v> </v>
      </c>
      <c r="AD11" s="30" t="str">
        <f aca="false">IF((E11="n"),H11," ")</f>
        <v> </v>
      </c>
      <c r="AE11" s="17" t="str">
        <f aca="false">IF((E11="f"),H11," ")</f>
        <v> </v>
      </c>
      <c r="AF11" s="17" t="str">
        <f aca="false">IF((E11="l"),H11," ")</f>
        <v> </v>
      </c>
      <c r="AG11" s="17" t="str">
        <f aca="false">IF((E11="y"),H11," ")</f>
        <v> </v>
      </c>
      <c r="AH11" s="17" t="str">
        <f aca="false">IF((E11="z"),H11," ")</f>
        <v> </v>
      </c>
      <c r="AI11" s="17" t="str">
        <f aca="false">IF((E11="fa"),H11," ")</f>
        <v> </v>
      </c>
      <c r="AJ11" s="17" t="str">
        <f aca="false">IF((E11="e"),H11," ")</f>
        <v> </v>
      </c>
      <c r="BZ11" s="2" t="s">
        <v>87</v>
      </c>
    </row>
    <row r="12" customFormat="false" ht="12" hidden="false" customHeight="false" outlineLevel="0" collapsed="false">
      <c r="A12" s="28" t="n">
        <v>46449</v>
      </c>
      <c r="B12" s="2" t="s">
        <v>98</v>
      </c>
      <c r="D12" s="2" t="s">
        <v>99</v>
      </c>
      <c r="E12" s="2" t="s">
        <v>100</v>
      </c>
      <c r="F12" s="30" t="n">
        <v>22</v>
      </c>
      <c r="G12" s="6" t="n">
        <f aca="false">IF(F12&lt;&gt;0,F12*G$2/(100+G$2)," ")</f>
        <v>3.66666666666667</v>
      </c>
      <c r="H12" s="6" t="n">
        <f aca="false">IF((F12&lt;&gt;0),F12-G12," ")</f>
        <v>18.3333333333333</v>
      </c>
      <c r="I12" s="5"/>
      <c r="L12" s="7" t="n">
        <f aca="false">IF(F12&lt;&gt;0,F12-K12," ")</f>
        <v>22</v>
      </c>
      <c r="M12" s="8" t="n">
        <f aca="false">IF((F12-K12)&lt;&gt;0,M$1-A12," ")</f>
        <v>-171</v>
      </c>
      <c r="N12" s="5"/>
      <c r="O12" s="17" t="str">
        <f aca="false">IF((E12="s"),H12," ")</f>
        <v> </v>
      </c>
      <c r="P12" s="17" t="str">
        <f aca="false">IF((E12="c"),H12," ")</f>
        <v> </v>
      </c>
      <c r="Q12" s="17" t="str">
        <f aca="false">IF((E12="o"),H12," ")</f>
        <v> </v>
      </c>
      <c r="R12" s="17" t="str">
        <f aca="false">IF((E12="d"),H12," ")</f>
        <v> </v>
      </c>
      <c r="S12" s="17" t="str">
        <f aca="false">IF((E12="w"),H12," ")</f>
        <v> </v>
      </c>
      <c r="T12" s="17" t="str">
        <f aca="false">IF((E12="r"),H12," ")</f>
        <v> </v>
      </c>
      <c r="U12" s="17" t="str">
        <f aca="false">IF((E12="p"),H12," ")</f>
        <v> </v>
      </c>
      <c r="V12" s="17" t="str">
        <f aca="false">IF((E12="t"),H12," ")</f>
        <v> </v>
      </c>
      <c r="W12" s="17" t="str">
        <f aca="false">IF((E12="q"),H12," ")</f>
        <v> </v>
      </c>
      <c r="X12" s="17" t="str">
        <f aca="false">IF((E12="m"),H12," ")</f>
        <v> </v>
      </c>
      <c r="Y12" s="17" t="n">
        <f aca="false">IF((E12="u"),H12," ")</f>
        <v>18.3333333333333</v>
      </c>
      <c r="Z12" s="17" t="str">
        <f aca="false">IF((E12="a"),H12," ")</f>
        <v> </v>
      </c>
      <c r="AA12" s="17" t="str">
        <f aca="false">IF((E12="g"),H12," ")</f>
        <v> </v>
      </c>
      <c r="AB12" s="17" t="str">
        <f aca="false">IF((E12="h"),H12," ")</f>
        <v> </v>
      </c>
      <c r="AC12" s="30" t="str">
        <f aca="false">IF((E12="v"),H12," ")</f>
        <v> </v>
      </c>
      <c r="AD12" s="30" t="str">
        <f aca="false">IF((E12="n"),H12," ")</f>
        <v> </v>
      </c>
      <c r="AE12" s="17" t="str">
        <f aca="false">IF((E12="f"),H12," ")</f>
        <v> </v>
      </c>
      <c r="AF12" s="17" t="str">
        <f aca="false">IF((E12="l"),H12," ")</f>
        <v> </v>
      </c>
      <c r="AG12" s="17" t="str">
        <f aca="false">IF((E12="y"),H12," ")</f>
        <v> </v>
      </c>
      <c r="AH12" s="17" t="str">
        <f aca="false">IF((E12="z"),H12," ")</f>
        <v> </v>
      </c>
      <c r="AI12" s="17" t="str">
        <f aca="false">IF((E12="fa"),H12," ")</f>
        <v> </v>
      </c>
      <c r="AJ12" s="17" t="str">
        <f aca="false">IF((E12="e"),H12," ")</f>
        <v> </v>
      </c>
      <c r="BZ12" s="2" t="s">
        <v>101</v>
      </c>
    </row>
    <row r="13" customFormat="false" ht="12" hidden="false" customHeight="false" outlineLevel="0" collapsed="false">
      <c r="A13" s="28" t="n">
        <v>46451</v>
      </c>
      <c r="B13" s="2" t="s">
        <v>102</v>
      </c>
      <c r="D13" s="2" t="s">
        <v>103</v>
      </c>
      <c r="E13" s="2" t="s">
        <v>100</v>
      </c>
      <c r="F13" s="30" t="n">
        <v>24</v>
      </c>
      <c r="G13" s="6" t="n">
        <f aca="false">IF(F13&lt;&gt;0,F13*G$2/(100+G$2)," ")</f>
        <v>4</v>
      </c>
      <c r="H13" s="6" t="n">
        <f aca="false">IF((F13&lt;&gt;0),F13-G13," ")</f>
        <v>20</v>
      </c>
      <c r="I13" s="5"/>
      <c r="L13" s="7" t="n">
        <f aca="false">IF(F13&lt;&gt;0,F13-K13," ")</f>
        <v>24</v>
      </c>
      <c r="M13" s="8" t="n">
        <f aca="false">IF((F13-K13)&lt;&gt;0,M$1-A13," ")</f>
        <v>-173</v>
      </c>
      <c r="N13" s="5"/>
      <c r="O13" s="17" t="str">
        <f aca="false">IF((E13="s"),H13," ")</f>
        <v> </v>
      </c>
      <c r="P13" s="17" t="str">
        <f aca="false">IF((E13="c"),H13," ")</f>
        <v> </v>
      </c>
      <c r="Q13" s="17" t="str">
        <f aca="false">IF((E13="o"),H13," ")</f>
        <v> </v>
      </c>
      <c r="R13" s="17" t="str">
        <f aca="false">IF((E13="d"),H13," ")</f>
        <v> </v>
      </c>
      <c r="S13" s="17" t="str">
        <f aca="false">IF((E13="w"),H13," ")</f>
        <v> </v>
      </c>
      <c r="T13" s="17" t="str">
        <f aca="false">IF((E13="r"),H13," ")</f>
        <v> </v>
      </c>
      <c r="U13" s="17" t="str">
        <f aca="false">IF((E13="p"),H13," ")</f>
        <v> </v>
      </c>
      <c r="V13" s="17" t="str">
        <f aca="false">IF((E13="t"),H13," ")</f>
        <v> </v>
      </c>
      <c r="W13" s="17" t="str">
        <f aca="false">IF((E13="q"),H13," ")</f>
        <v> </v>
      </c>
      <c r="X13" s="17" t="str">
        <f aca="false">IF((E13="m"),H13," ")</f>
        <v> </v>
      </c>
      <c r="Y13" s="17" t="n">
        <f aca="false">IF((E13="u"),H13," ")</f>
        <v>20</v>
      </c>
      <c r="Z13" s="17" t="str">
        <f aca="false">IF((E13="a"),H13," ")</f>
        <v> </v>
      </c>
      <c r="AA13" s="17" t="str">
        <f aca="false">IF((E13="g"),H13," ")</f>
        <v> </v>
      </c>
      <c r="AB13" s="17" t="str">
        <f aca="false">IF((E13="h"),H13," ")</f>
        <v> </v>
      </c>
      <c r="AC13" s="30" t="str">
        <f aca="false">IF((E13="v"),H13," ")</f>
        <v> </v>
      </c>
      <c r="AD13" s="30" t="str">
        <f aca="false">IF((E13="n"),H13," ")</f>
        <v> </v>
      </c>
      <c r="AE13" s="17" t="str">
        <f aca="false">IF((E13="f"),H13," ")</f>
        <v> </v>
      </c>
      <c r="AF13" s="17" t="str">
        <f aca="false">IF((E13="l"),H13," ")</f>
        <v> </v>
      </c>
      <c r="AG13" s="17" t="str">
        <f aca="false">IF((E13="y"),H13," ")</f>
        <v> </v>
      </c>
      <c r="AH13" s="17" t="str">
        <f aca="false">IF((E13="z"),H13," ")</f>
        <v> </v>
      </c>
      <c r="AI13" s="17" t="str">
        <f aca="false">IF((E13="fa"),H13," ")</f>
        <v> </v>
      </c>
      <c r="AJ13" s="17" t="str">
        <f aca="false">IF((E13="e"),H13," ")</f>
        <v> </v>
      </c>
      <c r="BZ13" s="2" t="s">
        <v>101</v>
      </c>
    </row>
    <row r="14" customFormat="false" ht="12" hidden="false" customHeight="false" outlineLevel="0" collapsed="false">
      <c r="A14" s="28" t="n">
        <v>46451</v>
      </c>
      <c r="B14" s="2" t="s">
        <v>104</v>
      </c>
      <c r="D14" s="2" t="s">
        <v>105</v>
      </c>
      <c r="E14" s="2" t="s">
        <v>106</v>
      </c>
      <c r="F14" s="30" t="n">
        <v>180</v>
      </c>
      <c r="G14" s="6" t="n">
        <f aca="false">IF(F14&lt;&gt;0,F14*G$2/(100+G$2)," ")</f>
        <v>30</v>
      </c>
      <c r="H14" s="6" t="n">
        <f aca="false">IF((F14&lt;&gt;0),F14-G14," ")</f>
        <v>150</v>
      </c>
      <c r="I14" s="5"/>
      <c r="L14" s="7" t="n">
        <f aca="false">IF(F14&lt;&gt;0,F14-K14," ")</f>
        <v>180</v>
      </c>
      <c r="M14" s="8" t="n">
        <f aca="false">IF((F14-K14)&lt;&gt;0,M$1-A14," ")</f>
        <v>-173</v>
      </c>
      <c r="N14" s="5"/>
      <c r="O14" s="17" t="str">
        <f aca="false">IF((E14="s"),H14," ")</f>
        <v> </v>
      </c>
      <c r="P14" s="17" t="str">
        <f aca="false">IF((E14="c"),H14," ")</f>
        <v> </v>
      </c>
      <c r="Q14" s="17" t="str">
        <f aca="false">IF((E14="o"),H14," ")</f>
        <v> </v>
      </c>
      <c r="R14" s="17" t="str">
        <f aca="false">IF((E14="d"),H14," ")</f>
        <v> </v>
      </c>
      <c r="S14" s="17" t="str">
        <f aca="false">IF((E14="w"),H14," ")</f>
        <v> </v>
      </c>
      <c r="T14" s="17" t="str">
        <f aca="false">IF((E14="r"),H14," ")</f>
        <v> </v>
      </c>
      <c r="U14" s="17" t="str">
        <f aca="false">IF((E14="p"),H14," ")</f>
        <v> </v>
      </c>
      <c r="V14" s="17" t="str">
        <f aca="false">IF((E14="t"),H14," ")</f>
        <v> </v>
      </c>
      <c r="W14" s="17" t="str">
        <f aca="false">IF((E14="q"),H14," ")</f>
        <v> </v>
      </c>
      <c r="X14" s="17" t="str">
        <f aca="false">IF((E14="m"),H14," ")</f>
        <v> </v>
      </c>
      <c r="Y14" s="17" t="str">
        <f aca="false">IF((E14="u"),H14," ")</f>
        <v> </v>
      </c>
      <c r="Z14" s="17" t="str">
        <f aca="false">IF((E14="a"),H14," ")</f>
        <v> </v>
      </c>
      <c r="AA14" s="17" t="str">
        <f aca="false">IF((E14="g"),H14," ")</f>
        <v> </v>
      </c>
      <c r="AB14" s="17" t="str">
        <f aca="false">IF((E14="h"),H14," ")</f>
        <v> </v>
      </c>
      <c r="AC14" s="30" t="n">
        <f aca="false">IF((E14="v"),H14," ")</f>
        <v>150</v>
      </c>
      <c r="AD14" s="30" t="str">
        <f aca="false">IF((E14="n"),H14," ")</f>
        <v> </v>
      </c>
      <c r="AE14" s="17" t="str">
        <f aca="false">IF((E14="f"),H14," ")</f>
        <v> </v>
      </c>
      <c r="AF14" s="17" t="str">
        <f aca="false">IF((E14="l"),H14," ")</f>
        <v> </v>
      </c>
      <c r="AG14" s="17" t="str">
        <f aca="false">IF((E14="y"),H14," ")</f>
        <v> </v>
      </c>
      <c r="AH14" s="17" t="str">
        <f aca="false">IF((E14="z"),H14," ")</f>
        <v> </v>
      </c>
      <c r="AI14" s="17" t="str">
        <f aca="false">IF((E14="fa"),H14," ")</f>
        <v> </v>
      </c>
      <c r="AJ14" s="17" t="str">
        <f aca="false">IF((E14="e"),H14," ")</f>
        <v> </v>
      </c>
      <c r="BZ14" s="2" t="s">
        <v>107</v>
      </c>
    </row>
    <row r="15" customFormat="false" ht="12" hidden="false" customHeight="false" outlineLevel="0" collapsed="false">
      <c r="A15" s="28" t="n">
        <v>46451</v>
      </c>
      <c r="B15" s="2" t="s">
        <v>108</v>
      </c>
      <c r="D15" s="2" t="s">
        <v>109</v>
      </c>
      <c r="E15" s="2" t="s">
        <v>86</v>
      </c>
      <c r="F15" s="30" t="n">
        <v>36</v>
      </c>
      <c r="G15" s="6" t="n">
        <f aca="false">IF(F15&lt;&gt;0,F15*G$2/(100+G$2)," ")</f>
        <v>6</v>
      </c>
      <c r="H15" s="6" t="n">
        <f aca="false">IF((F15&lt;&gt;0),F15-G15," ")</f>
        <v>30</v>
      </c>
      <c r="I15" s="5"/>
      <c r="L15" s="7" t="n">
        <f aca="false">IF(F15&lt;&gt;0,F15-K15," ")</f>
        <v>36</v>
      </c>
      <c r="M15" s="8" t="n">
        <f aca="false">IF((F15-K15)&lt;&gt;0,M$1-A15," ")</f>
        <v>-173</v>
      </c>
      <c r="N15" s="5"/>
      <c r="O15" s="17" t="str">
        <f aca="false">IF((E15="s"),H15," ")</f>
        <v> </v>
      </c>
      <c r="P15" s="17" t="str">
        <f aca="false">IF((E15="c"),H15," ")</f>
        <v> </v>
      </c>
      <c r="Q15" s="17" t="n">
        <f aca="false">IF((E15="o"),H15," ")</f>
        <v>30</v>
      </c>
      <c r="R15" s="17" t="str">
        <f aca="false">IF((E15="d"),H15," ")</f>
        <v> </v>
      </c>
      <c r="S15" s="17" t="str">
        <f aca="false">IF((E15="w"),H15," ")</f>
        <v> </v>
      </c>
      <c r="T15" s="17" t="str">
        <f aca="false">IF((E15="r"),H15," ")</f>
        <v> </v>
      </c>
      <c r="U15" s="17" t="str">
        <f aca="false">IF((E15="p"),H15," ")</f>
        <v> </v>
      </c>
      <c r="V15" s="17" t="str">
        <f aca="false">IF((E15="t"),H15," ")</f>
        <v> </v>
      </c>
      <c r="W15" s="17" t="str">
        <f aca="false">IF((E15="q"),H15," ")</f>
        <v> </v>
      </c>
      <c r="X15" s="17" t="str">
        <f aca="false">IF((E15="m"),H15," ")</f>
        <v> </v>
      </c>
      <c r="Y15" s="17" t="str">
        <f aca="false">IF((E15="u"),H15," ")</f>
        <v> </v>
      </c>
      <c r="Z15" s="17" t="str">
        <f aca="false">IF((E15="a"),H15," ")</f>
        <v> </v>
      </c>
      <c r="AA15" s="17" t="str">
        <f aca="false">IF((E15="g"),H15," ")</f>
        <v> </v>
      </c>
      <c r="AB15" s="17" t="str">
        <f aca="false">IF((E15="h"),H15," ")</f>
        <v> </v>
      </c>
      <c r="AC15" s="30" t="str">
        <f aca="false">IF((E15="v"),H15," ")</f>
        <v> </v>
      </c>
      <c r="AD15" s="30" t="str">
        <f aca="false">IF((E15="n"),H15," ")</f>
        <v> </v>
      </c>
      <c r="AE15" s="17" t="str">
        <f aca="false">IF((E15="f"),H15," ")</f>
        <v> </v>
      </c>
      <c r="AF15" s="17" t="str">
        <f aca="false">IF((E15="l"),H15," ")</f>
        <v> </v>
      </c>
      <c r="AG15" s="17" t="str">
        <f aca="false">IF((E15="y"),H15," ")</f>
        <v> </v>
      </c>
      <c r="AH15" s="17" t="str">
        <f aca="false">IF((E15="z"),H15," ")</f>
        <v> </v>
      </c>
      <c r="AI15" s="17" t="str">
        <f aca="false">IF((E15="fa"),H15," ")</f>
        <v> </v>
      </c>
      <c r="AJ15" s="17" t="str">
        <f aca="false">IF((E15="e"),H15," ")</f>
        <v> </v>
      </c>
      <c r="BZ15" s="2" t="s">
        <v>87</v>
      </c>
    </row>
    <row r="16" customFormat="false" ht="12" hidden="false" customHeight="false" outlineLevel="0" collapsed="false">
      <c r="A16" s="28" t="n">
        <v>46452</v>
      </c>
      <c r="B16" s="2" t="s">
        <v>153</v>
      </c>
      <c r="D16" s="2" t="s">
        <v>154</v>
      </c>
      <c r="E16" s="2" t="s">
        <v>112</v>
      </c>
      <c r="F16" s="30" t="n">
        <v>48</v>
      </c>
      <c r="G16" s="6" t="n">
        <f aca="false">IF(F16&lt;&gt;0,F16*G$2/(100+G$2)," ")</f>
        <v>8</v>
      </c>
      <c r="H16" s="6" t="n">
        <f aca="false">IF((F16&lt;&gt;0),F16-G16," ")</f>
        <v>40</v>
      </c>
      <c r="I16" s="5"/>
      <c r="L16" s="7" t="n">
        <f aca="false">IF(F16&lt;&gt;0,F16-K16," ")</f>
        <v>48</v>
      </c>
      <c r="M16" s="8" t="n">
        <f aca="false">IF((F16-K16)&lt;&gt;0,M$1-A16," ")</f>
        <v>-174</v>
      </c>
      <c r="N16" s="5"/>
      <c r="O16" s="17" t="str">
        <f aca="false">IF((E16="s"),H16," ")</f>
        <v> </v>
      </c>
      <c r="P16" s="17" t="str">
        <f aca="false">IF((E16="c"),H16," ")</f>
        <v> </v>
      </c>
      <c r="Q16" s="17" t="str">
        <f aca="false">IF((E16="o"),H16," ")</f>
        <v> </v>
      </c>
      <c r="R16" s="17" t="str">
        <f aca="false">IF((E16="d"),H16," ")</f>
        <v> </v>
      </c>
      <c r="S16" s="17" t="str">
        <f aca="false">IF((E16="w"),H16," ")</f>
        <v> </v>
      </c>
      <c r="T16" s="17" t="str">
        <f aca="false">IF((E16="r"),H16," ")</f>
        <v> </v>
      </c>
      <c r="U16" s="17" t="str">
        <f aca="false">IF((E16="p"),H16," ")</f>
        <v> </v>
      </c>
      <c r="V16" s="17" t="str">
        <f aca="false">IF((E16="t"),H16," ")</f>
        <v> </v>
      </c>
      <c r="W16" s="17" t="str">
        <f aca="false">IF((E16="q"),H16," ")</f>
        <v> </v>
      </c>
      <c r="X16" s="17" t="str">
        <f aca="false">IF((E16="m"),H16," ")</f>
        <v> </v>
      </c>
      <c r="Y16" s="17" t="str">
        <f aca="false">IF((E16="u"),H16," ")</f>
        <v> </v>
      </c>
      <c r="Z16" s="17" t="str">
        <f aca="false">IF((E16="a"),H16," ")</f>
        <v> </v>
      </c>
      <c r="AA16" s="17" t="str">
        <f aca="false">IF((E16="g"),H16," ")</f>
        <v> </v>
      </c>
      <c r="AB16" s="17" t="n">
        <f aca="false">IF((E16="h"),H16," ")</f>
        <v>40</v>
      </c>
      <c r="AC16" s="30" t="str">
        <f aca="false">IF((E16="v"),H16," ")</f>
        <v> </v>
      </c>
      <c r="AD16" s="30" t="str">
        <f aca="false">IF((E16="n"),H16," ")</f>
        <v> </v>
      </c>
      <c r="AE16" s="17" t="str">
        <f aca="false">IF((E16="f"),H16," ")</f>
        <v> </v>
      </c>
      <c r="AF16" s="17" t="str">
        <f aca="false">IF((E16="l"),H16," ")</f>
        <v> </v>
      </c>
      <c r="AG16" s="17" t="str">
        <f aca="false">IF((E16="y"),H16," ")</f>
        <v> </v>
      </c>
      <c r="AH16" s="17" t="str">
        <f aca="false">IF((E16="z"),H16," ")</f>
        <v> </v>
      </c>
      <c r="AI16" s="17" t="str">
        <f aca="false">IF((E16="fa"),H16," ")</f>
        <v> </v>
      </c>
      <c r="AJ16" s="17" t="str">
        <f aca="false">IF((E16="e"),H16," ")</f>
        <v> </v>
      </c>
      <c r="BZ16" s="2" t="s">
        <v>113</v>
      </c>
    </row>
    <row r="17" customFormat="false" ht="12" hidden="false" customHeight="false" outlineLevel="0" collapsed="false">
      <c r="A17" s="28" t="n">
        <v>46454</v>
      </c>
      <c r="B17" s="2" t="s">
        <v>110</v>
      </c>
      <c r="D17" s="2" t="s">
        <v>111</v>
      </c>
      <c r="E17" s="2" t="s">
        <v>112</v>
      </c>
      <c r="F17" s="30" t="n">
        <v>48</v>
      </c>
      <c r="G17" s="6" t="n">
        <f aca="false">IF(F17&lt;&gt;0,F17*G$2/(100+G$2)," ")</f>
        <v>8</v>
      </c>
      <c r="H17" s="6" t="n">
        <f aca="false">IF((F17&lt;&gt;0),F17-G17," ")</f>
        <v>40</v>
      </c>
      <c r="I17" s="5"/>
      <c r="L17" s="7" t="n">
        <f aca="false">IF(F17&lt;&gt;0,F17-K17," ")</f>
        <v>48</v>
      </c>
      <c r="M17" s="8" t="n">
        <f aca="false">IF((F17-K17)&lt;&gt;0,M$1-A17," ")</f>
        <v>-176</v>
      </c>
      <c r="N17" s="5"/>
      <c r="O17" s="17" t="str">
        <f aca="false">IF((E17="s"),H17," ")</f>
        <v> </v>
      </c>
      <c r="P17" s="17" t="str">
        <f aca="false">IF((E17="c"),H17," ")</f>
        <v> </v>
      </c>
      <c r="Q17" s="17" t="str">
        <f aca="false">IF((E17="o"),H17," ")</f>
        <v> </v>
      </c>
      <c r="R17" s="17" t="str">
        <f aca="false">IF((E17="d"),H17," ")</f>
        <v> </v>
      </c>
      <c r="S17" s="17" t="str">
        <f aca="false">IF((E17="w"),H17," ")</f>
        <v> </v>
      </c>
      <c r="T17" s="17" t="str">
        <f aca="false">IF((E17="r"),H17," ")</f>
        <v> </v>
      </c>
      <c r="U17" s="17" t="str">
        <f aca="false">IF((E17="p"),H17," ")</f>
        <v> </v>
      </c>
      <c r="V17" s="17" t="str">
        <f aca="false">IF((E17="t"),H17," ")</f>
        <v> </v>
      </c>
      <c r="W17" s="17" t="str">
        <f aca="false">IF((E17="q"),H17," ")</f>
        <v> </v>
      </c>
      <c r="X17" s="17" t="str">
        <f aca="false">IF((E17="m"),H17," ")</f>
        <v> </v>
      </c>
      <c r="Y17" s="17" t="str">
        <f aca="false">IF((E17="u"),H17," ")</f>
        <v> </v>
      </c>
      <c r="Z17" s="17" t="str">
        <f aca="false">IF((E17="a"),H17," ")</f>
        <v> </v>
      </c>
      <c r="AA17" s="17" t="str">
        <f aca="false">IF((E17="g"),H17," ")</f>
        <v> </v>
      </c>
      <c r="AB17" s="17" t="n">
        <f aca="false">IF((E17="h"),H17," ")</f>
        <v>40</v>
      </c>
      <c r="AC17" s="30" t="str">
        <f aca="false">IF((E17="v"),H17," ")</f>
        <v> </v>
      </c>
      <c r="AD17" s="30" t="str">
        <f aca="false">IF((E17="n"),H17," ")</f>
        <v> </v>
      </c>
      <c r="AE17" s="17" t="str">
        <f aca="false">IF((E17="f"),H17," ")</f>
        <v> </v>
      </c>
      <c r="AF17" s="17" t="str">
        <f aca="false">IF((E17="l"),H17," ")</f>
        <v> </v>
      </c>
      <c r="AG17" s="17" t="str">
        <f aca="false">IF((E17="y"),H17," ")</f>
        <v> </v>
      </c>
      <c r="AH17" s="17" t="str">
        <f aca="false">IF((E17="z"),H17," ")</f>
        <v> </v>
      </c>
      <c r="AI17" s="17" t="str">
        <f aca="false">IF((E17="fa"),H17," ")</f>
        <v> </v>
      </c>
      <c r="AJ17" s="17" t="str">
        <f aca="false">IF((E17="e"),H17," ")</f>
        <v> </v>
      </c>
      <c r="BZ17" s="2" t="s">
        <v>113</v>
      </c>
    </row>
    <row r="18" customFormat="false" ht="12" hidden="false" customHeight="false" outlineLevel="0" collapsed="false">
      <c r="A18" s="28" t="n">
        <v>46456</v>
      </c>
      <c r="B18" s="2" t="s">
        <v>114</v>
      </c>
      <c r="D18" s="2" t="s">
        <v>115</v>
      </c>
      <c r="E18" s="2" t="s">
        <v>100</v>
      </c>
      <c r="F18" s="30" t="n">
        <v>36</v>
      </c>
      <c r="G18" s="6" t="n">
        <f aca="false">IF(F18&lt;&gt;0,F18*G$2/(100+G$2)," ")</f>
        <v>6</v>
      </c>
      <c r="H18" s="6" t="n">
        <f aca="false">IF((F18&lt;&gt;0),F18-G18," ")</f>
        <v>30</v>
      </c>
      <c r="I18" s="5"/>
      <c r="L18" s="7" t="n">
        <f aca="false">IF(F18&lt;&gt;0,F18-K18," ")</f>
        <v>36</v>
      </c>
      <c r="M18" s="8" t="n">
        <f aca="false">IF((F18-K18)&lt;&gt;0,M$1-A18," ")</f>
        <v>-178</v>
      </c>
      <c r="N18" s="5"/>
      <c r="O18" s="17" t="str">
        <f aca="false">IF((E18="s"),H18," ")</f>
        <v> </v>
      </c>
      <c r="P18" s="17" t="str">
        <f aca="false">IF((E18="c"),H18," ")</f>
        <v> </v>
      </c>
      <c r="Q18" s="17" t="str">
        <f aca="false">IF((E18="o"),H18," ")</f>
        <v> </v>
      </c>
      <c r="R18" s="17" t="str">
        <f aca="false">IF((E18="d"),H18," ")</f>
        <v> </v>
      </c>
      <c r="S18" s="17" t="str">
        <f aca="false">IF((E18="w"),H18," ")</f>
        <v> </v>
      </c>
      <c r="T18" s="17" t="str">
        <f aca="false">IF((E18="r"),H18," ")</f>
        <v> </v>
      </c>
      <c r="U18" s="17" t="str">
        <f aca="false">IF((E18="p"),H18," ")</f>
        <v> </v>
      </c>
      <c r="V18" s="17" t="str">
        <f aca="false">IF((E18="t"),H18," ")</f>
        <v> </v>
      </c>
      <c r="W18" s="17" t="str">
        <f aca="false">IF((E18="q"),H18," ")</f>
        <v> </v>
      </c>
      <c r="X18" s="17" t="str">
        <f aca="false">IF((E18="m"),H18," ")</f>
        <v> </v>
      </c>
      <c r="Y18" s="17" t="n">
        <f aca="false">IF((E18="u"),H18," ")</f>
        <v>30</v>
      </c>
      <c r="Z18" s="17" t="str">
        <f aca="false">IF((E18="a"),H18," ")</f>
        <v> </v>
      </c>
      <c r="AA18" s="17" t="str">
        <f aca="false">IF((E18="g"),H18," ")</f>
        <v> </v>
      </c>
      <c r="AB18" s="17" t="str">
        <f aca="false">IF((E18="h"),H18," ")</f>
        <v> </v>
      </c>
      <c r="AC18" s="30" t="str">
        <f aca="false">IF((E18="v"),H18," ")</f>
        <v> </v>
      </c>
      <c r="AD18" s="30" t="str">
        <f aca="false">IF((E18="n"),H18," ")</f>
        <v> </v>
      </c>
      <c r="AE18" s="17" t="str">
        <f aca="false">IF((E18="f"),H18," ")</f>
        <v> </v>
      </c>
      <c r="AF18" s="17" t="str">
        <f aca="false">IF((E18="l"),H18," ")</f>
        <v> </v>
      </c>
      <c r="AG18" s="17" t="str">
        <f aca="false">IF((E18="y"),H18," ")</f>
        <v> </v>
      </c>
      <c r="AH18" s="17" t="str">
        <f aca="false">IF((E18="z"),H18," ")</f>
        <v> </v>
      </c>
      <c r="AI18" s="17" t="str">
        <f aca="false">IF((E18="fa"),H18," ")</f>
        <v> </v>
      </c>
      <c r="AJ18" s="17" t="str">
        <f aca="false">IF((E18="e"),H18," ")</f>
        <v> </v>
      </c>
      <c r="BZ18" s="2" t="s">
        <v>101</v>
      </c>
    </row>
    <row r="19" customFormat="false" ht="12" hidden="false" customHeight="false" outlineLevel="0" collapsed="false">
      <c r="A19" s="28" t="n">
        <v>46458</v>
      </c>
      <c r="B19" s="2" t="s">
        <v>124</v>
      </c>
      <c r="D19" s="2" t="s">
        <v>125</v>
      </c>
      <c r="E19" s="2" t="s">
        <v>106</v>
      </c>
      <c r="F19" s="30" t="n">
        <v>18</v>
      </c>
      <c r="G19" s="6" t="n">
        <f aca="false">IF(F19&lt;&gt;0,F19*G$2/(100+G$2)," ")</f>
        <v>3</v>
      </c>
      <c r="H19" s="6" t="n">
        <f aca="false">IF((F19&lt;&gt;0),F19-G19," ")</f>
        <v>15</v>
      </c>
      <c r="I19" s="5"/>
      <c r="L19" s="7" t="n">
        <f aca="false">IF(F19&lt;&gt;0,F19-K19," ")</f>
        <v>18</v>
      </c>
      <c r="M19" s="8" t="n">
        <f aca="false">IF((F19-K19)&lt;&gt;0,M$1-A19," ")</f>
        <v>-180</v>
      </c>
      <c r="N19" s="5"/>
      <c r="O19" s="17" t="str">
        <f aca="false">IF((E19="s"),H19," ")</f>
        <v> </v>
      </c>
      <c r="P19" s="17" t="str">
        <f aca="false">IF((E19="c"),H19," ")</f>
        <v> </v>
      </c>
      <c r="Q19" s="17" t="str">
        <f aca="false">IF((E19="o"),H19," ")</f>
        <v> </v>
      </c>
      <c r="R19" s="17" t="str">
        <f aca="false">IF((E19="d"),H19," ")</f>
        <v> </v>
      </c>
      <c r="S19" s="17" t="str">
        <f aca="false">IF((E19="w"),H19," ")</f>
        <v> </v>
      </c>
      <c r="T19" s="17" t="str">
        <f aca="false">IF((E19="r"),H19," ")</f>
        <v> </v>
      </c>
      <c r="U19" s="17" t="str">
        <f aca="false">IF((E19="p"),H19," ")</f>
        <v> </v>
      </c>
      <c r="V19" s="17" t="str">
        <f aca="false">IF((E19="t"),H19," ")</f>
        <v> </v>
      </c>
      <c r="W19" s="17" t="str">
        <f aca="false">IF((E19="q"),H19," ")</f>
        <v> </v>
      </c>
      <c r="X19" s="17" t="str">
        <f aca="false">IF((E19="m"),H19," ")</f>
        <v> </v>
      </c>
      <c r="Y19" s="17" t="str">
        <f aca="false">IF((E19="u"),H19," ")</f>
        <v> </v>
      </c>
      <c r="Z19" s="17" t="str">
        <f aca="false">IF((E19="a"),H19," ")</f>
        <v> </v>
      </c>
      <c r="AA19" s="17" t="str">
        <f aca="false">IF((E19="g"),H19," ")</f>
        <v> </v>
      </c>
      <c r="AB19" s="17" t="str">
        <f aca="false">IF((E19="h"),H19," ")</f>
        <v> </v>
      </c>
      <c r="AC19" s="30" t="n">
        <f aca="false">IF((E19="v"),H19," ")</f>
        <v>15</v>
      </c>
      <c r="AD19" s="30" t="str">
        <f aca="false">IF((E19="n"),H19," ")</f>
        <v> </v>
      </c>
      <c r="AE19" s="17" t="str">
        <f aca="false">IF((E19="f"),H19," ")</f>
        <v> </v>
      </c>
      <c r="AF19" s="17" t="str">
        <f aca="false">IF((E19="l"),H19," ")</f>
        <v> </v>
      </c>
      <c r="AG19" s="17" t="str">
        <f aca="false">IF((E19="y"),H19," ")</f>
        <v> </v>
      </c>
      <c r="AH19" s="17" t="str">
        <f aca="false">IF((E19="z"),H19," ")</f>
        <v> </v>
      </c>
      <c r="AI19" s="17" t="str">
        <f aca="false">IF((E19="fa"),H19," ")</f>
        <v> </v>
      </c>
      <c r="AJ19" s="17" t="str">
        <f aca="false">IF((E19="e"),H19," ")</f>
        <v> </v>
      </c>
      <c r="BZ19" s="2" t="s">
        <v>107</v>
      </c>
    </row>
    <row r="20" customFormat="false" ht="12" hidden="false" customHeight="false" outlineLevel="0" collapsed="false">
      <c r="A20" s="28" t="n">
        <v>46460</v>
      </c>
      <c r="B20" s="2" t="s">
        <v>126</v>
      </c>
      <c r="D20" s="2" t="s">
        <v>127</v>
      </c>
      <c r="E20" s="2" t="s">
        <v>100</v>
      </c>
      <c r="F20" s="30" t="n">
        <v>48</v>
      </c>
      <c r="G20" s="6" t="n">
        <f aca="false">IF(F20&lt;&gt;0,F20*G$2/(100+G$2)," ")</f>
        <v>8</v>
      </c>
      <c r="H20" s="6" t="n">
        <f aca="false">IF((F20&lt;&gt;0),F20-G20," ")</f>
        <v>40</v>
      </c>
      <c r="I20" s="5"/>
      <c r="L20" s="7" t="n">
        <f aca="false">IF(F20&lt;&gt;0,F20-K20," ")</f>
        <v>48</v>
      </c>
      <c r="M20" s="8" t="n">
        <f aca="false">IF((F20-K20)&lt;&gt;0,M$1-A20," ")</f>
        <v>-182</v>
      </c>
      <c r="N20" s="5"/>
      <c r="O20" s="17" t="str">
        <f aca="false">IF((E20="s"),H20," ")</f>
        <v> </v>
      </c>
      <c r="P20" s="17" t="str">
        <f aca="false">IF((E20="c"),H20," ")</f>
        <v> </v>
      </c>
      <c r="Q20" s="17" t="str">
        <f aca="false">IF((E20="o"),H20," ")</f>
        <v> </v>
      </c>
      <c r="R20" s="17" t="str">
        <f aca="false">IF((E20="d"),H20," ")</f>
        <v> </v>
      </c>
      <c r="S20" s="17" t="str">
        <f aca="false">IF((E20="w"),H20," ")</f>
        <v> </v>
      </c>
      <c r="T20" s="17" t="str">
        <f aca="false">IF((E20="r"),H20," ")</f>
        <v> </v>
      </c>
      <c r="U20" s="17" t="str">
        <f aca="false">IF((E20="p"),H20," ")</f>
        <v> </v>
      </c>
      <c r="V20" s="17" t="str">
        <f aca="false">IF((E20="t"),H20," ")</f>
        <v> </v>
      </c>
      <c r="W20" s="17" t="str">
        <f aca="false">IF((E20="q"),H20," ")</f>
        <v> </v>
      </c>
      <c r="X20" s="17" t="str">
        <f aca="false">IF((E20="m"),H20," ")</f>
        <v> </v>
      </c>
      <c r="Y20" s="17" t="n">
        <f aca="false">IF((E20="u"),H20," ")</f>
        <v>40</v>
      </c>
      <c r="Z20" s="17" t="str">
        <f aca="false">IF((E20="a"),H20," ")</f>
        <v> </v>
      </c>
      <c r="AA20" s="17" t="str">
        <f aca="false">IF((E20="g"),H20," ")</f>
        <v> </v>
      </c>
      <c r="AB20" s="17" t="str">
        <f aca="false">IF((E20="h"),H20," ")</f>
        <v> </v>
      </c>
      <c r="AC20" s="30" t="str">
        <f aca="false">IF((E20="v"),H20," ")</f>
        <v> </v>
      </c>
      <c r="AD20" s="30" t="str">
        <f aca="false">IF((E20="n"),H20," ")</f>
        <v> </v>
      </c>
      <c r="AE20" s="17" t="str">
        <f aca="false">IF((E20="f"),H20," ")</f>
        <v> </v>
      </c>
      <c r="AF20" s="17" t="str">
        <f aca="false">IF((E20="l"),H20," ")</f>
        <v> </v>
      </c>
      <c r="AG20" s="17" t="str">
        <f aca="false">IF((E20="y"),H20," ")</f>
        <v> </v>
      </c>
      <c r="AH20" s="17" t="str">
        <f aca="false">IF((E20="z"),H20," ")</f>
        <v> </v>
      </c>
      <c r="AI20" s="17" t="str">
        <f aca="false">IF((E20="fa"),H20," ")</f>
        <v> </v>
      </c>
      <c r="AJ20" s="17" t="str">
        <f aca="false">IF((E20="e"),H20," ")</f>
        <v> </v>
      </c>
      <c r="BZ20" s="2" t="s">
        <v>101</v>
      </c>
    </row>
    <row r="21" customFormat="false" ht="12" hidden="false" customHeight="false" outlineLevel="0" collapsed="false">
      <c r="A21" s="28" t="n">
        <v>46460</v>
      </c>
      <c r="B21" s="2" t="s">
        <v>128</v>
      </c>
      <c r="D21" s="2" t="s">
        <v>129</v>
      </c>
      <c r="E21" s="2" t="s">
        <v>112</v>
      </c>
      <c r="F21" s="30" t="n">
        <v>24</v>
      </c>
      <c r="G21" s="6" t="n">
        <f aca="false">IF(F21&lt;&gt;0,F21*G$2/(100+G$2)," ")</f>
        <v>4</v>
      </c>
      <c r="H21" s="6" t="n">
        <f aca="false">IF((F21&lt;&gt;0),F21-G21," ")</f>
        <v>20</v>
      </c>
      <c r="I21" s="5"/>
      <c r="L21" s="7" t="n">
        <f aca="false">IF(F21&lt;&gt;0,F21-K21," ")</f>
        <v>24</v>
      </c>
      <c r="M21" s="8" t="n">
        <f aca="false">IF((F21-K21)&lt;&gt;0,M$1-A21," ")</f>
        <v>-182</v>
      </c>
      <c r="N21" s="5"/>
      <c r="O21" s="17" t="str">
        <f aca="false">IF((E21="s"),H21," ")</f>
        <v> </v>
      </c>
      <c r="P21" s="17" t="str">
        <f aca="false">IF((E21="c"),H21," ")</f>
        <v> </v>
      </c>
      <c r="Q21" s="17" t="str">
        <f aca="false">IF((E21="o"),H21," ")</f>
        <v> </v>
      </c>
      <c r="R21" s="17" t="str">
        <f aca="false">IF((E21="d"),H21," ")</f>
        <v> </v>
      </c>
      <c r="S21" s="17" t="str">
        <f aca="false">IF((E21="w"),H21," ")</f>
        <v> </v>
      </c>
      <c r="T21" s="17" t="str">
        <f aca="false">IF((E21="r"),H21," ")</f>
        <v> </v>
      </c>
      <c r="U21" s="17" t="str">
        <f aca="false">IF((E21="p"),H21," ")</f>
        <v> </v>
      </c>
      <c r="V21" s="17" t="str">
        <f aca="false">IF((E21="t"),H21," ")</f>
        <v> </v>
      </c>
      <c r="W21" s="17" t="str">
        <f aca="false">IF((E21="q"),H21," ")</f>
        <v> </v>
      </c>
      <c r="X21" s="17" t="str">
        <f aca="false">IF((E21="m"),H21," ")</f>
        <v> </v>
      </c>
      <c r="Y21" s="17" t="str">
        <f aca="false">IF((E21="u"),H21," ")</f>
        <v> </v>
      </c>
      <c r="Z21" s="17" t="str">
        <f aca="false">IF((E21="a"),H21," ")</f>
        <v> </v>
      </c>
      <c r="AA21" s="17" t="str">
        <f aca="false">IF((E21="g"),H21," ")</f>
        <v> </v>
      </c>
      <c r="AB21" s="17" t="n">
        <f aca="false">IF((E21="h"),H21," ")</f>
        <v>20</v>
      </c>
      <c r="AC21" s="30" t="str">
        <f aca="false">IF((E21="v"),H21," ")</f>
        <v> </v>
      </c>
      <c r="AD21" s="30" t="str">
        <f aca="false">IF((E21="n"),H21," ")</f>
        <v> </v>
      </c>
      <c r="AE21" s="17" t="str">
        <f aca="false">IF((E21="f"),H21," ")</f>
        <v> </v>
      </c>
      <c r="AF21" s="17" t="str">
        <f aca="false">IF((E21="l"),H21," ")</f>
        <v> </v>
      </c>
      <c r="AG21" s="17" t="str">
        <f aca="false">IF((E21="y"),H21," ")</f>
        <v> </v>
      </c>
      <c r="AH21" s="17" t="str">
        <f aca="false">IF((E21="z"),H21," ")</f>
        <v> </v>
      </c>
      <c r="AI21" s="17" t="str">
        <f aca="false">IF((E21="fa"),H21," ")</f>
        <v> </v>
      </c>
      <c r="AJ21" s="17" t="str">
        <f aca="false">IF((E21="e"),H21," ")</f>
        <v> </v>
      </c>
      <c r="BZ21" s="2" t="s">
        <v>113</v>
      </c>
    </row>
    <row r="22" customFormat="false" ht="12" hidden="false" customHeight="false" outlineLevel="0" collapsed="false">
      <c r="A22" s="28" t="n">
        <v>46460</v>
      </c>
      <c r="B22" s="2" t="s">
        <v>130</v>
      </c>
      <c r="D22" s="2" t="s">
        <v>131</v>
      </c>
      <c r="E22" s="2" t="s">
        <v>112</v>
      </c>
      <c r="F22" s="30" t="n">
        <v>12</v>
      </c>
      <c r="G22" s="6" t="n">
        <f aca="false">IF(F22&lt;&gt;0,F22*G$2/(100+G$2)," ")</f>
        <v>2</v>
      </c>
      <c r="H22" s="6" t="n">
        <f aca="false">IF((F22&lt;&gt;0),F22-G22," ")</f>
        <v>10</v>
      </c>
      <c r="I22" s="5"/>
      <c r="L22" s="7" t="n">
        <f aca="false">IF(F22&lt;&gt;0,F22-K22," ")</f>
        <v>12</v>
      </c>
      <c r="M22" s="8" t="n">
        <f aca="false">IF((F22-K22)&lt;&gt;0,M$1-A22," ")</f>
        <v>-182</v>
      </c>
      <c r="N22" s="5"/>
      <c r="O22" s="17" t="str">
        <f aca="false">IF((E22="s"),H22," ")</f>
        <v> </v>
      </c>
      <c r="P22" s="17" t="str">
        <f aca="false">IF((E22="c"),H22," ")</f>
        <v> </v>
      </c>
      <c r="Q22" s="17" t="str">
        <f aca="false">IF((E22="o"),H22," ")</f>
        <v> </v>
      </c>
      <c r="R22" s="17" t="str">
        <f aca="false">IF((E22="d"),H22," ")</f>
        <v> </v>
      </c>
      <c r="S22" s="17" t="str">
        <f aca="false">IF((E22="w"),H22," ")</f>
        <v> </v>
      </c>
      <c r="T22" s="17" t="str">
        <f aca="false">IF((E22="r"),H22," ")</f>
        <v> </v>
      </c>
      <c r="U22" s="17" t="str">
        <f aca="false">IF((E22="p"),H22," ")</f>
        <v> </v>
      </c>
      <c r="V22" s="17" t="str">
        <f aca="false">IF((E22="t"),H22," ")</f>
        <v> </v>
      </c>
      <c r="W22" s="17" t="str">
        <f aca="false">IF((E22="q"),H22," ")</f>
        <v> </v>
      </c>
      <c r="X22" s="17" t="str">
        <f aca="false">IF((E22="m"),H22," ")</f>
        <v> </v>
      </c>
      <c r="Y22" s="17" t="str">
        <f aca="false">IF((E22="u"),H22," ")</f>
        <v> </v>
      </c>
      <c r="Z22" s="17" t="str">
        <f aca="false">IF((E22="a"),H22," ")</f>
        <v> </v>
      </c>
      <c r="AA22" s="17" t="str">
        <f aca="false">IF((E22="g"),H22," ")</f>
        <v> </v>
      </c>
      <c r="AB22" s="17" t="n">
        <f aca="false">IF((E22="h"),H22," ")</f>
        <v>10</v>
      </c>
      <c r="AC22" s="30" t="str">
        <f aca="false">IF((E22="v"),H22," ")</f>
        <v> </v>
      </c>
      <c r="AD22" s="30" t="str">
        <f aca="false">IF((E22="n"),H22," ")</f>
        <v> </v>
      </c>
      <c r="AE22" s="17" t="str">
        <f aca="false">IF((E22="f"),H22," ")</f>
        <v> </v>
      </c>
      <c r="AF22" s="17" t="str">
        <f aca="false">IF((E22="l"),H22," ")</f>
        <v> </v>
      </c>
      <c r="AG22" s="17" t="str">
        <f aca="false">IF((E22="y"),H22," ")</f>
        <v> </v>
      </c>
      <c r="AH22" s="17" t="str">
        <f aca="false">IF((E22="z"),H22," ")</f>
        <v> </v>
      </c>
      <c r="AI22" s="17" t="str">
        <f aca="false">IF((E22="fa"),H22," ")</f>
        <v> </v>
      </c>
      <c r="AJ22" s="17" t="str">
        <f aca="false">IF((E22="e"),H22," ")</f>
        <v> </v>
      </c>
      <c r="BZ22" s="2" t="s">
        <v>113</v>
      </c>
    </row>
    <row r="23" customFormat="false" ht="12" hidden="false" customHeight="false" outlineLevel="0" collapsed="false">
      <c r="A23" s="28" t="n">
        <v>46461</v>
      </c>
      <c r="B23" s="2" t="s">
        <v>20</v>
      </c>
      <c r="D23" s="2" t="s">
        <v>105</v>
      </c>
      <c r="E23" s="2" t="s">
        <v>106</v>
      </c>
      <c r="F23" s="30" t="n">
        <v>150</v>
      </c>
      <c r="G23" s="6" t="n">
        <f aca="false">IF(F23&lt;&gt;0,F23*G$2/(100+G$2)," ")</f>
        <v>25</v>
      </c>
      <c r="H23" s="6" t="n">
        <f aca="false">IF((F23&lt;&gt;0),F23-G23," ")</f>
        <v>125</v>
      </c>
      <c r="I23" s="5"/>
      <c r="L23" s="7" t="n">
        <f aca="false">IF(F23&lt;&gt;0,F23-K23," ")</f>
        <v>150</v>
      </c>
      <c r="M23" s="8" t="n">
        <f aca="false">IF((F23-K23)&lt;&gt;0,M$1-A23," ")</f>
        <v>-183</v>
      </c>
      <c r="N23" s="5"/>
      <c r="O23" s="17" t="str">
        <f aca="false">IF((E23="s"),H23," ")</f>
        <v> </v>
      </c>
      <c r="P23" s="17" t="str">
        <f aca="false">IF((E23="c"),H23," ")</f>
        <v> </v>
      </c>
      <c r="Q23" s="17" t="str">
        <f aca="false">IF((E23="o"),H23," ")</f>
        <v> </v>
      </c>
      <c r="R23" s="17" t="str">
        <f aca="false">IF((E23="d"),H23," ")</f>
        <v> </v>
      </c>
      <c r="S23" s="17" t="str">
        <f aca="false">IF((E23="w"),H23," ")</f>
        <v> </v>
      </c>
      <c r="T23" s="17" t="str">
        <f aca="false">IF((E23="r"),H23," ")</f>
        <v> </v>
      </c>
      <c r="U23" s="17" t="str">
        <f aca="false">IF((E23="p"),H23," ")</f>
        <v> </v>
      </c>
      <c r="V23" s="17" t="str">
        <f aca="false">IF((E23="t"),H23," ")</f>
        <v> </v>
      </c>
      <c r="W23" s="17" t="str">
        <f aca="false">IF((E23="q"),H23," ")</f>
        <v> </v>
      </c>
      <c r="X23" s="17" t="str">
        <f aca="false">IF((E23="m"),H23," ")</f>
        <v> </v>
      </c>
      <c r="Y23" s="17" t="str">
        <f aca="false">IF((E23="u"),H23," ")</f>
        <v> </v>
      </c>
      <c r="Z23" s="17" t="str">
        <f aca="false">IF((E23="a"),H23," ")</f>
        <v> </v>
      </c>
      <c r="AA23" s="17" t="str">
        <f aca="false">IF((E23="g"),H23," ")</f>
        <v> </v>
      </c>
      <c r="AB23" s="17" t="str">
        <f aca="false">IF((E23="h"),H23," ")</f>
        <v> </v>
      </c>
      <c r="AC23" s="30" t="n">
        <f aca="false">IF((E23="v"),H23," ")</f>
        <v>125</v>
      </c>
      <c r="AD23" s="30" t="str">
        <f aca="false">IF((E23="n"),H23," ")</f>
        <v> </v>
      </c>
      <c r="AE23" s="17" t="str">
        <f aca="false">IF((E23="f"),H23," ")</f>
        <v> </v>
      </c>
      <c r="AF23" s="17" t="str">
        <f aca="false">IF((E23="l"),H23," ")</f>
        <v> </v>
      </c>
      <c r="AG23" s="17" t="str">
        <f aca="false">IF((E23="y"),H23," ")</f>
        <v> </v>
      </c>
      <c r="AH23" s="17" t="str">
        <f aca="false">IF((E23="z"),H23," ")</f>
        <v> </v>
      </c>
      <c r="AI23" s="17" t="str">
        <f aca="false">IF((E23="fa"),H23," ")</f>
        <v> </v>
      </c>
      <c r="AJ23" s="17" t="str">
        <f aca="false">IF((E23="e"),H23," ")</f>
        <v> </v>
      </c>
      <c r="BZ23" s="2" t="s">
        <v>107</v>
      </c>
    </row>
    <row r="24" customFormat="false" ht="12" hidden="false" customHeight="false" outlineLevel="0" collapsed="false">
      <c r="A24" s="28" t="n">
        <v>46461</v>
      </c>
      <c r="B24" s="2" t="s">
        <v>132</v>
      </c>
      <c r="D24" s="2" t="s">
        <v>133</v>
      </c>
      <c r="E24" s="2" t="s">
        <v>80</v>
      </c>
      <c r="F24" s="30" t="n">
        <v>12</v>
      </c>
      <c r="G24" s="6" t="n">
        <f aca="false">IF(F24&lt;&gt;0,F24*G$2/(100+G$2)," ")</f>
        <v>2</v>
      </c>
      <c r="H24" s="6" t="n">
        <f aca="false">IF((F24&lt;&gt;0),F24-G24," ")</f>
        <v>10</v>
      </c>
      <c r="I24" s="5"/>
      <c r="L24" s="7" t="n">
        <f aca="false">IF(F24&lt;&gt;0,F24-K24," ")</f>
        <v>12</v>
      </c>
      <c r="M24" s="8" t="n">
        <f aca="false">IF((F24-K24)&lt;&gt;0,M$1-A24," ")</f>
        <v>-183</v>
      </c>
      <c r="N24" s="5"/>
      <c r="O24" s="17" t="str">
        <f aca="false">IF((E24="s"),H24," ")</f>
        <v> </v>
      </c>
      <c r="P24" s="17" t="str">
        <f aca="false">IF((E24="c"),H24," ")</f>
        <v> </v>
      </c>
      <c r="Q24" s="17" t="str">
        <f aca="false">IF((E24="o"),H24," ")</f>
        <v> </v>
      </c>
      <c r="R24" s="17" t="str">
        <f aca="false">IF((E24="d"),H24," ")</f>
        <v> </v>
      </c>
      <c r="S24" s="17" t="str">
        <f aca="false">IF((E24="w"),H24," ")</f>
        <v> </v>
      </c>
      <c r="T24" s="17" t="str">
        <f aca="false">IF((E24="r"),H24," ")</f>
        <v> </v>
      </c>
      <c r="U24" s="17" t="str">
        <f aca="false">IF((E24="p"),H24," ")</f>
        <v> </v>
      </c>
      <c r="V24" s="17" t="str">
        <f aca="false">IF((E24="t"),H24," ")</f>
        <v> </v>
      </c>
      <c r="W24" s="17" t="str">
        <f aca="false">IF((E24="q"),H24," ")</f>
        <v> </v>
      </c>
      <c r="X24" s="17" t="str">
        <f aca="false">IF((E24="m"),H24," ")</f>
        <v> </v>
      </c>
      <c r="Y24" s="17" t="str">
        <f aca="false">IF((E24="u"),H24," ")</f>
        <v> </v>
      </c>
      <c r="Z24" s="17" t="str">
        <f aca="false">IF((E24="a"),H24," ")</f>
        <v> </v>
      </c>
      <c r="AA24" s="17" t="n">
        <f aca="false">IF((E24="g"),H24," ")</f>
        <v>10</v>
      </c>
      <c r="AB24" s="17" t="str">
        <f aca="false">IF((E24="h"),H24," ")</f>
        <v> </v>
      </c>
      <c r="AC24" s="30" t="str">
        <f aca="false">IF((E24="v"),H24," ")</f>
        <v> </v>
      </c>
      <c r="AD24" s="30" t="str">
        <f aca="false">IF((E24="n"),H24," ")</f>
        <v> </v>
      </c>
      <c r="AE24" s="17" t="str">
        <f aca="false">IF((E24="f"),H24," ")</f>
        <v> </v>
      </c>
      <c r="AF24" s="17" t="str">
        <f aca="false">IF((E24="l"),H24," ")</f>
        <v> </v>
      </c>
      <c r="AG24" s="17" t="str">
        <f aca="false">IF((E24="y"),H24," ")</f>
        <v> </v>
      </c>
      <c r="AH24" s="17" t="str">
        <f aca="false">IF((E24="z"),H24," ")</f>
        <v> </v>
      </c>
      <c r="AI24" s="17" t="str">
        <f aca="false">IF((E24="fa"),H24," ")</f>
        <v> </v>
      </c>
      <c r="AJ24" s="17" t="str">
        <f aca="false">IF((E24="e"),H24," ")</f>
        <v> </v>
      </c>
      <c r="BZ24" s="2" t="s">
        <v>81</v>
      </c>
    </row>
    <row r="25" customFormat="false" ht="12" hidden="false" customHeight="false" outlineLevel="0" collapsed="false">
      <c r="A25" s="28" t="n">
        <v>46461</v>
      </c>
      <c r="B25" s="2" t="s">
        <v>163</v>
      </c>
      <c r="D25" s="2" t="s">
        <v>164</v>
      </c>
      <c r="E25" s="2" t="s">
        <v>122</v>
      </c>
      <c r="F25" s="30" t="n">
        <v>360</v>
      </c>
      <c r="G25" s="6" t="n">
        <f aca="false">IF(F25&lt;&gt;0,F25*G$2/(100+G$2)," ")</f>
        <v>60</v>
      </c>
      <c r="H25" s="6" t="n">
        <f aca="false">IF((F25&lt;&gt;0),F25-G25," ")</f>
        <v>300</v>
      </c>
      <c r="I25" s="5"/>
      <c r="L25" s="7" t="n">
        <f aca="false">IF(F25&lt;&gt;0,F25-K25," ")</f>
        <v>360</v>
      </c>
      <c r="M25" s="8" t="n">
        <f aca="false">IF((F25-K25)&lt;&gt;0,M$1-A25," ")</f>
        <v>-183</v>
      </c>
      <c r="N25" s="5"/>
      <c r="O25" s="17" t="n">
        <f aca="false">IF((E25="s"),H25," ")</f>
        <v>300</v>
      </c>
      <c r="P25" s="17" t="str">
        <f aca="false">IF((E25="c"),H25," ")</f>
        <v> </v>
      </c>
      <c r="Q25" s="17" t="str">
        <f aca="false">IF((E25="o"),H25," ")</f>
        <v> </v>
      </c>
      <c r="R25" s="17" t="str">
        <f aca="false">IF((E25="d"),H25," ")</f>
        <v> </v>
      </c>
      <c r="S25" s="17" t="str">
        <f aca="false">IF((E25="w"),H25," ")</f>
        <v> </v>
      </c>
      <c r="T25" s="17" t="str">
        <f aca="false">IF((E25="r"),H25," ")</f>
        <v> </v>
      </c>
      <c r="U25" s="17" t="str">
        <f aca="false">IF((E25="p"),H25," ")</f>
        <v> </v>
      </c>
      <c r="V25" s="17" t="str">
        <f aca="false">IF((E25="t"),H25," ")</f>
        <v> </v>
      </c>
      <c r="W25" s="17" t="str">
        <f aca="false">IF((E25="q"),H25," ")</f>
        <v> </v>
      </c>
      <c r="X25" s="17" t="str">
        <f aca="false">IF((E25="m"),H25," ")</f>
        <v> </v>
      </c>
      <c r="Y25" s="17" t="str">
        <f aca="false">IF((E25="u"),H25," ")</f>
        <v> </v>
      </c>
      <c r="Z25" s="17" t="str">
        <f aca="false">IF((E25="a"),H25," ")</f>
        <v> </v>
      </c>
      <c r="AA25" s="17" t="str">
        <f aca="false">IF((E25="g"),H25," ")</f>
        <v> </v>
      </c>
      <c r="AB25" s="17" t="str">
        <f aca="false">IF((E25="h"),H25," ")</f>
        <v> </v>
      </c>
      <c r="AC25" s="30" t="str">
        <f aca="false">IF((E25="v"),H25," ")</f>
        <v> </v>
      </c>
      <c r="AD25" s="30" t="str">
        <f aca="false">IF((E25="n"),H25," ")</f>
        <v> </v>
      </c>
      <c r="AE25" s="17" t="str">
        <f aca="false">IF((E25="f"),H25," ")</f>
        <v> </v>
      </c>
      <c r="AF25" s="17" t="str">
        <f aca="false">IF((E25="l"),H25," ")</f>
        <v> </v>
      </c>
      <c r="AG25" s="17" t="str">
        <f aca="false">IF((E25="y"),H25," ")</f>
        <v> </v>
      </c>
      <c r="AH25" s="17" t="str">
        <f aca="false">IF((E25="z"),H25," ")</f>
        <v> </v>
      </c>
      <c r="AI25" s="17" t="str">
        <f aca="false">IF((E25="fa"),H25," ")</f>
        <v> </v>
      </c>
      <c r="AJ25" s="17" t="str">
        <f aca="false">IF((E25="e"),H25," ")</f>
        <v> </v>
      </c>
      <c r="BZ25" s="2" t="s">
        <v>123</v>
      </c>
    </row>
    <row r="26" customFormat="false" ht="12" hidden="false" customHeight="false" outlineLevel="0" collapsed="false">
      <c r="A26" s="28" t="n">
        <v>46464</v>
      </c>
      <c r="B26" s="2" t="s">
        <v>218</v>
      </c>
      <c r="D26" s="2" t="s">
        <v>219</v>
      </c>
      <c r="E26" s="2" t="s">
        <v>139</v>
      </c>
      <c r="F26" s="30" t="n">
        <v>240</v>
      </c>
      <c r="G26" s="6" t="n">
        <f aca="false">IF(F26&lt;&gt;0,F26*G$2/(100+G$2)," ")</f>
        <v>40</v>
      </c>
      <c r="H26" s="6" t="n">
        <f aca="false">IF((F26&lt;&gt;0),F26-G26," ")</f>
        <v>200</v>
      </c>
      <c r="I26" s="5"/>
      <c r="L26" s="7" t="n">
        <f aca="false">IF(F26&lt;&gt;0,F26-K26," ")</f>
        <v>240</v>
      </c>
      <c r="M26" s="8" t="n">
        <f aca="false">IF((F26-K26)&lt;&gt;0,M$1-A26," ")</f>
        <v>-186</v>
      </c>
      <c r="N26" s="5"/>
      <c r="O26" s="17" t="str">
        <f aca="false">IF((E26="s"),H26," ")</f>
        <v> </v>
      </c>
      <c r="P26" s="17" t="str">
        <f aca="false">IF((E26="c"),H26," ")</f>
        <v> </v>
      </c>
      <c r="Q26" s="17" t="str">
        <f aca="false">IF((E26="o"),H26," ")</f>
        <v> </v>
      </c>
      <c r="R26" s="17" t="str">
        <f aca="false">IF((E26="d"),H26," ")</f>
        <v> </v>
      </c>
      <c r="S26" s="17" t="str">
        <f aca="false">IF((E26="w"),H26," ")</f>
        <v> </v>
      </c>
      <c r="T26" s="17" t="str">
        <f aca="false">IF((E26="r"),H26," ")</f>
        <v> </v>
      </c>
      <c r="U26" s="17" t="str">
        <f aca="false">IF((E26="p"),H26," ")</f>
        <v> </v>
      </c>
      <c r="V26" s="17" t="str">
        <f aca="false">IF((E26="t"),H26," ")</f>
        <v> </v>
      </c>
      <c r="W26" s="17" t="str">
        <f aca="false">IF((E26="q"),H26," ")</f>
        <v> </v>
      </c>
      <c r="X26" s="17" t="n">
        <f aca="false">IF((E26="m"),H26," ")</f>
        <v>200</v>
      </c>
      <c r="Y26" s="17" t="str">
        <f aca="false">IF((E26="u"),H26," ")</f>
        <v> </v>
      </c>
      <c r="Z26" s="17" t="str">
        <f aca="false">IF((E26="a"),H26," ")</f>
        <v> </v>
      </c>
      <c r="AA26" s="17" t="str">
        <f aca="false">IF((E26="g"),H26," ")</f>
        <v> </v>
      </c>
      <c r="AB26" s="17" t="str">
        <f aca="false">IF((E26="h"),H26," ")</f>
        <v> </v>
      </c>
      <c r="AC26" s="30" t="str">
        <f aca="false">IF((E26="v"),H26," ")</f>
        <v> </v>
      </c>
      <c r="AD26" s="30" t="str">
        <f aca="false">IF((E26="n"),H26," ")</f>
        <v> </v>
      </c>
      <c r="AE26" s="17" t="str">
        <f aca="false">IF((E26="f"),H26," ")</f>
        <v> </v>
      </c>
      <c r="AF26" s="17" t="str">
        <f aca="false">IF((E26="l"),H26," ")</f>
        <v> </v>
      </c>
      <c r="AG26" s="17" t="str">
        <f aca="false">IF((E26="y"),H26," ")</f>
        <v> </v>
      </c>
      <c r="AH26" s="17" t="str">
        <f aca="false">IF((E26="z"),H26," ")</f>
        <v> </v>
      </c>
      <c r="AI26" s="17" t="str">
        <f aca="false">IF((E26="fa"),H26," ")</f>
        <v> </v>
      </c>
      <c r="AJ26" s="17" t="str">
        <f aca="false">IF((E26="e"),H26," ")</f>
        <v> </v>
      </c>
      <c r="BZ26" s="2" t="s">
        <v>140</v>
      </c>
    </row>
    <row r="27" customFormat="false" ht="12" hidden="false" customHeight="false" outlineLevel="0" collapsed="false">
      <c r="A27" s="28" t="n">
        <v>46464</v>
      </c>
      <c r="B27" s="2" t="s">
        <v>134</v>
      </c>
      <c r="D27" s="2" t="s">
        <v>105</v>
      </c>
      <c r="E27" s="2" t="s">
        <v>106</v>
      </c>
      <c r="F27" s="30" t="n">
        <v>96</v>
      </c>
      <c r="G27" s="6" t="n">
        <f aca="false">IF(F27&lt;&gt;0,F27*G$2/(100+G$2)," ")</f>
        <v>16</v>
      </c>
      <c r="H27" s="6" t="n">
        <f aca="false">IF((F27&lt;&gt;0),F27-G27," ")</f>
        <v>80</v>
      </c>
      <c r="I27" s="5"/>
      <c r="L27" s="7" t="n">
        <f aca="false">IF(F27&lt;&gt;0,F27-K27," ")</f>
        <v>96</v>
      </c>
      <c r="M27" s="8" t="n">
        <f aca="false">IF((F27-K27)&lt;&gt;0,M$1-A27," ")</f>
        <v>-186</v>
      </c>
      <c r="N27" s="5"/>
      <c r="O27" s="17" t="str">
        <f aca="false">IF((E27="s"),H27," ")</f>
        <v> </v>
      </c>
      <c r="P27" s="17" t="str">
        <f aca="false">IF((E27="c"),H27," ")</f>
        <v> </v>
      </c>
      <c r="Q27" s="17" t="str">
        <f aca="false">IF((E27="o"),H27," ")</f>
        <v> </v>
      </c>
      <c r="R27" s="17" t="str">
        <f aca="false">IF((E27="d"),H27," ")</f>
        <v> </v>
      </c>
      <c r="S27" s="17" t="str">
        <f aca="false">IF((E27="w"),H27," ")</f>
        <v> </v>
      </c>
      <c r="T27" s="17" t="str">
        <f aca="false">IF((E27="r"),H27," ")</f>
        <v> </v>
      </c>
      <c r="U27" s="17" t="str">
        <f aca="false">IF((E27="p"),H27," ")</f>
        <v> </v>
      </c>
      <c r="V27" s="17" t="str">
        <f aca="false">IF((E27="t"),H27," ")</f>
        <v> </v>
      </c>
      <c r="W27" s="17" t="str">
        <f aca="false">IF((E27="q"),H27," ")</f>
        <v> </v>
      </c>
      <c r="X27" s="17" t="str">
        <f aca="false">IF((E27="m"),H27," ")</f>
        <v> </v>
      </c>
      <c r="Y27" s="17" t="str">
        <f aca="false">IF((E27="u"),H27," ")</f>
        <v> </v>
      </c>
      <c r="Z27" s="17" t="str">
        <f aca="false">IF((E27="a"),H27," ")</f>
        <v> </v>
      </c>
      <c r="AA27" s="17" t="str">
        <f aca="false">IF((E27="g"),H27," ")</f>
        <v> </v>
      </c>
      <c r="AB27" s="17" t="str">
        <f aca="false">IF((E27="h"),H27," ")</f>
        <v> </v>
      </c>
      <c r="AC27" s="30" t="n">
        <f aca="false">IF((E27="v"),H27," ")</f>
        <v>80</v>
      </c>
      <c r="AD27" s="30" t="str">
        <f aca="false">IF((E27="n"),H27," ")</f>
        <v> </v>
      </c>
      <c r="AE27" s="17" t="str">
        <f aca="false">IF((E27="f"),H27," ")</f>
        <v> </v>
      </c>
      <c r="AF27" s="17" t="str">
        <f aca="false">IF((E27="l"),H27," ")</f>
        <v> </v>
      </c>
      <c r="AG27" s="17" t="str">
        <f aca="false">IF((E27="y"),H27," ")</f>
        <v> </v>
      </c>
      <c r="AH27" s="17" t="str">
        <f aca="false">IF((E27="z"),H27," ")</f>
        <v> </v>
      </c>
      <c r="AI27" s="17" t="str">
        <f aca="false">IF((E27="fa"),H27," ")</f>
        <v> </v>
      </c>
      <c r="AJ27" s="17" t="str">
        <f aca="false">IF((E27="e"),H27," ")</f>
        <v> </v>
      </c>
      <c r="BZ27" s="2" t="s">
        <v>107</v>
      </c>
    </row>
    <row r="28" customFormat="false" ht="12" hidden="false" customHeight="false" outlineLevel="0" collapsed="false">
      <c r="A28" s="28" t="n">
        <v>46466</v>
      </c>
      <c r="B28" s="2" t="s">
        <v>135</v>
      </c>
      <c r="D28" s="2" t="s">
        <v>136</v>
      </c>
      <c r="E28" s="2" t="s">
        <v>80</v>
      </c>
      <c r="F28" s="30" t="n">
        <v>60</v>
      </c>
      <c r="G28" s="6" t="n">
        <f aca="false">IF(F28&lt;&gt;0,F28*G$2/(100+G$2)," ")</f>
        <v>10</v>
      </c>
      <c r="H28" s="6" t="n">
        <f aca="false">IF((F28&lt;&gt;0),F28-G28," ")</f>
        <v>50</v>
      </c>
      <c r="I28" s="5"/>
      <c r="L28" s="7" t="n">
        <f aca="false">IF(F28&lt;&gt;0,F28-K28," ")</f>
        <v>60</v>
      </c>
      <c r="M28" s="8" t="n">
        <f aca="false">IF((F28-K28)&lt;&gt;0,M$1-A28," ")</f>
        <v>-188</v>
      </c>
      <c r="N28" s="5"/>
      <c r="O28" s="17" t="str">
        <f aca="false">IF((E28="s"),H28," ")</f>
        <v> </v>
      </c>
      <c r="P28" s="17" t="str">
        <f aca="false">IF((E28="c"),H28," ")</f>
        <v> </v>
      </c>
      <c r="Q28" s="17" t="str">
        <f aca="false">IF((E28="o"),H28," ")</f>
        <v> </v>
      </c>
      <c r="R28" s="17" t="str">
        <f aca="false">IF((E28="d"),H28," ")</f>
        <v> </v>
      </c>
      <c r="S28" s="17" t="str">
        <f aca="false">IF((E28="w"),H28," ")</f>
        <v> </v>
      </c>
      <c r="T28" s="17" t="str">
        <f aca="false">IF((E28="r"),H28," ")</f>
        <v> </v>
      </c>
      <c r="U28" s="17" t="str">
        <f aca="false">IF((E28="p"),H28," ")</f>
        <v> </v>
      </c>
      <c r="V28" s="17" t="str">
        <f aca="false">IF((E28="t"),H28," ")</f>
        <v> </v>
      </c>
      <c r="W28" s="17" t="str">
        <f aca="false">IF((E28="q"),H28," ")</f>
        <v> </v>
      </c>
      <c r="X28" s="17" t="str">
        <f aca="false">IF((E28="m"),H28," ")</f>
        <v> </v>
      </c>
      <c r="Y28" s="17" t="str">
        <f aca="false">IF((E28="u"),H28," ")</f>
        <v> </v>
      </c>
      <c r="Z28" s="17" t="str">
        <f aca="false">IF((E28="a"),H28," ")</f>
        <v> </v>
      </c>
      <c r="AA28" s="17" t="n">
        <f aca="false">IF((E28="g"),H28," ")</f>
        <v>50</v>
      </c>
      <c r="AB28" s="17" t="str">
        <f aca="false">IF((E28="h"),H28," ")</f>
        <v> </v>
      </c>
      <c r="AC28" s="30" t="str">
        <f aca="false">IF((E28="v"),H28," ")</f>
        <v> </v>
      </c>
      <c r="AD28" s="30" t="str">
        <f aca="false">IF((E28="n"),H28," ")</f>
        <v> </v>
      </c>
      <c r="AE28" s="17" t="str">
        <f aca="false">IF((E28="f"),H28," ")</f>
        <v> </v>
      </c>
      <c r="AF28" s="17" t="str">
        <f aca="false">IF((E28="l"),H28," ")</f>
        <v> </v>
      </c>
      <c r="AG28" s="17" t="str">
        <f aca="false">IF((E28="y"),H28," ")</f>
        <v> </v>
      </c>
      <c r="AH28" s="17" t="str">
        <f aca="false">IF((E28="z"),H28," ")</f>
        <v> </v>
      </c>
      <c r="AI28" s="17" t="str">
        <f aca="false">IF((E28="fa"),H28," ")</f>
        <v> </v>
      </c>
      <c r="AJ28" s="17" t="str">
        <f aca="false">IF((E28="e"),H28," ")</f>
        <v> </v>
      </c>
      <c r="BZ28" s="2" t="s">
        <v>81</v>
      </c>
    </row>
    <row r="29" customFormat="false" ht="12" hidden="false" customHeight="false" outlineLevel="0" collapsed="false">
      <c r="A29" s="28" t="n">
        <v>46466</v>
      </c>
      <c r="B29" s="2" t="s">
        <v>220</v>
      </c>
      <c r="D29" s="2" t="s">
        <v>221</v>
      </c>
      <c r="E29" s="2" t="s">
        <v>222</v>
      </c>
      <c r="F29" s="30" t="n">
        <v>800</v>
      </c>
      <c r="G29" s="6" t="n">
        <f aca="false">IF(F29&lt;&gt;0,F29*G$2/(100+G$2)," ")</f>
        <v>133.333333333333</v>
      </c>
      <c r="H29" s="6" t="n">
        <f aca="false">IF((F29&lt;&gt;0),F29-G29," ")</f>
        <v>666.666666666667</v>
      </c>
      <c r="I29" s="5"/>
      <c r="L29" s="7" t="n">
        <f aca="false">IF(F29&lt;&gt;0,F29-K29," ")</f>
        <v>800</v>
      </c>
      <c r="M29" s="8" t="n">
        <f aca="false">IF((F29-K29)&lt;&gt;0,M$1-A29," ")</f>
        <v>-188</v>
      </c>
      <c r="N29" s="5"/>
      <c r="O29" s="17" t="str">
        <f aca="false">IF((E29="s"),H29," ")</f>
        <v> </v>
      </c>
      <c r="P29" s="17" t="str">
        <f aca="false">IF((E29="c"),H29," ")</f>
        <v> </v>
      </c>
      <c r="Q29" s="17" t="str">
        <f aca="false">IF((E29="o"),H29," ")</f>
        <v> </v>
      </c>
      <c r="R29" s="17" t="str">
        <f aca="false">IF((E29="d"),H29," ")</f>
        <v> </v>
      </c>
      <c r="S29" s="17" t="n">
        <f aca="false">IF((E29="w"),H29," ")</f>
        <v>666.666666666667</v>
      </c>
      <c r="T29" s="17" t="str">
        <f aca="false">IF((E29="r"),H29," ")</f>
        <v> </v>
      </c>
      <c r="U29" s="17" t="str">
        <f aca="false">IF((E29="p"),H29," ")</f>
        <v> </v>
      </c>
      <c r="V29" s="17" t="str">
        <f aca="false">IF((E29="t"),H29," ")</f>
        <v> </v>
      </c>
      <c r="W29" s="17" t="str">
        <f aca="false">IF((E29="q"),H29," ")</f>
        <v> </v>
      </c>
      <c r="X29" s="17" t="str">
        <f aca="false">IF((E29="m"),H29," ")</f>
        <v> </v>
      </c>
      <c r="Y29" s="17" t="str">
        <f aca="false">IF((E29="u"),H29," ")</f>
        <v> </v>
      </c>
      <c r="Z29" s="17" t="str">
        <f aca="false">IF((E29="a"),H29," ")</f>
        <v> </v>
      </c>
      <c r="AA29" s="17" t="str">
        <f aca="false">IF((E29="g"),H29," ")</f>
        <v> </v>
      </c>
      <c r="AB29" s="17" t="str">
        <f aca="false">IF((E29="h"),H29," ")</f>
        <v> </v>
      </c>
      <c r="AC29" s="30" t="str">
        <f aca="false">IF((E29="v"),H29," ")</f>
        <v> </v>
      </c>
      <c r="AD29" s="30" t="str">
        <f aca="false">IF((E29="n"),H29," ")</f>
        <v> </v>
      </c>
      <c r="AE29" s="17" t="str">
        <f aca="false">IF((E29="f"),H29," ")</f>
        <v> </v>
      </c>
      <c r="AF29" s="17" t="str">
        <f aca="false">IF((E29="l"),H29," ")</f>
        <v> </v>
      </c>
      <c r="AG29" s="17" t="str">
        <f aca="false">IF((E29="y"),H29," ")</f>
        <v> </v>
      </c>
      <c r="AH29" s="17" t="str">
        <f aca="false">IF((E29="z"),H29," ")</f>
        <v> </v>
      </c>
      <c r="AI29" s="17" t="str">
        <f aca="false">IF((E29="fa"),H29," ")</f>
        <v> </v>
      </c>
      <c r="AJ29" s="17" t="str">
        <f aca="false">IF((E29="e"),H29," ")</f>
        <v> </v>
      </c>
      <c r="BZ29" s="2" t="s">
        <v>223</v>
      </c>
    </row>
    <row r="30" customFormat="false" ht="12" hidden="false" customHeight="false" outlineLevel="0" collapsed="false">
      <c r="A30" s="28" t="n">
        <v>46466</v>
      </c>
      <c r="B30" s="2" t="s">
        <v>176</v>
      </c>
      <c r="D30" s="2" t="s">
        <v>177</v>
      </c>
      <c r="E30" s="2" t="s">
        <v>122</v>
      </c>
      <c r="F30" s="30" t="n">
        <v>180</v>
      </c>
      <c r="G30" s="6" t="n">
        <f aca="false">IF(F30&lt;&gt;0,F30*G$2/(100+G$2)," ")</f>
        <v>30</v>
      </c>
      <c r="H30" s="6" t="n">
        <f aca="false">IF((F30&lt;&gt;0),F30-G30," ")</f>
        <v>150</v>
      </c>
      <c r="I30" s="5"/>
      <c r="L30" s="7" t="n">
        <f aca="false">IF(F30&lt;&gt;0,F30-K30," ")</f>
        <v>180</v>
      </c>
      <c r="M30" s="8" t="n">
        <f aca="false">IF((F30-K30)&lt;&gt;0,M$1-A30," ")</f>
        <v>-188</v>
      </c>
      <c r="N30" s="5"/>
      <c r="O30" s="17" t="n">
        <f aca="false">IF((E30="s"),H30," ")</f>
        <v>150</v>
      </c>
      <c r="P30" s="17" t="str">
        <f aca="false">IF((E30="c"),H30," ")</f>
        <v> </v>
      </c>
      <c r="Q30" s="17" t="str">
        <f aca="false">IF((E30="o"),H30," ")</f>
        <v> </v>
      </c>
      <c r="R30" s="17" t="str">
        <f aca="false">IF((E30="d"),H30," ")</f>
        <v> </v>
      </c>
      <c r="S30" s="17" t="str">
        <f aca="false">IF((E30="w"),H30," ")</f>
        <v> </v>
      </c>
      <c r="T30" s="17" t="str">
        <f aca="false">IF((E30="r"),H30," ")</f>
        <v> </v>
      </c>
      <c r="U30" s="17" t="str">
        <f aca="false">IF((E30="p"),H30," ")</f>
        <v> </v>
      </c>
      <c r="V30" s="17" t="str">
        <f aca="false">IF((E30="t"),H30," ")</f>
        <v> </v>
      </c>
      <c r="W30" s="17" t="str">
        <f aca="false">IF((E30="q"),H30," ")</f>
        <v> </v>
      </c>
      <c r="X30" s="17" t="str">
        <f aca="false">IF((E30="m"),H30," ")</f>
        <v> </v>
      </c>
      <c r="Y30" s="17" t="str">
        <f aca="false">IF((E30="u"),H30," ")</f>
        <v> </v>
      </c>
      <c r="Z30" s="17" t="str">
        <f aca="false">IF((E30="a"),H30," ")</f>
        <v> </v>
      </c>
      <c r="AA30" s="17" t="str">
        <f aca="false">IF((E30="g"),H30," ")</f>
        <v> </v>
      </c>
      <c r="AB30" s="17" t="str">
        <f aca="false">IF((E30="h"),H30," ")</f>
        <v> </v>
      </c>
      <c r="AC30" s="30" t="str">
        <f aca="false">IF((E30="v"),H30," ")</f>
        <v> </v>
      </c>
      <c r="AD30" s="30" t="str">
        <f aca="false">IF((E30="n"),H30," ")</f>
        <v> </v>
      </c>
      <c r="AE30" s="17" t="str">
        <f aca="false">IF((E30="f"),H30," ")</f>
        <v> </v>
      </c>
      <c r="AF30" s="17" t="str">
        <f aca="false">IF((E30="l"),H30," ")</f>
        <v> </v>
      </c>
      <c r="AG30" s="17" t="str">
        <f aca="false">IF((E30="y"),H30," ")</f>
        <v> </v>
      </c>
      <c r="AH30" s="17" t="str">
        <f aca="false">IF((E30="z"),H30," ")</f>
        <v> </v>
      </c>
      <c r="AI30" s="17" t="str">
        <f aca="false">IF((E30="fa"),H30," ")</f>
        <v> </v>
      </c>
      <c r="AJ30" s="17" t="str">
        <f aca="false">IF((E30="e"),H30," ")</f>
        <v> </v>
      </c>
      <c r="BZ30" s="2" t="s">
        <v>123</v>
      </c>
    </row>
    <row r="31" customFormat="false" ht="12" hidden="false" customHeight="false" outlineLevel="0" collapsed="false">
      <c r="A31" s="28" t="n">
        <v>46467</v>
      </c>
      <c r="B31" s="2" t="s">
        <v>141</v>
      </c>
      <c r="D31" s="2" t="s">
        <v>142</v>
      </c>
      <c r="E31" s="2" t="s">
        <v>112</v>
      </c>
      <c r="F31" s="30" t="n">
        <v>8</v>
      </c>
      <c r="G31" s="6" t="n">
        <f aca="false">IF(F31&lt;&gt;0,F31*G$2/(100+G$2)," ")</f>
        <v>1.33333333333333</v>
      </c>
      <c r="H31" s="6" t="n">
        <f aca="false">IF((F31&lt;&gt;0),F31-G31," ")</f>
        <v>6.66666666666667</v>
      </c>
      <c r="I31" s="5"/>
      <c r="L31" s="7" t="n">
        <f aca="false">IF(F31&lt;&gt;0,F31-K31," ")</f>
        <v>8</v>
      </c>
      <c r="M31" s="8" t="n">
        <f aca="false">IF((F31-K31)&lt;&gt;0,M$1-A31," ")</f>
        <v>-189</v>
      </c>
      <c r="N31" s="5"/>
      <c r="O31" s="17" t="str">
        <f aca="false">IF((E31="s"),H31," ")</f>
        <v> </v>
      </c>
      <c r="P31" s="17" t="str">
        <f aca="false">IF((E31="c"),H31," ")</f>
        <v> </v>
      </c>
      <c r="Q31" s="17" t="str">
        <f aca="false">IF((E31="o"),H31," ")</f>
        <v> </v>
      </c>
      <c r="R31" s="17" t="str">
        <f aca="false">IF((E31="d"),H31," ")</f>
        <v> </v>
      </c>
      <c r="S31" s="17" t="str">
        <f aca="false">IF((E31="w"),H31," ")</f>
        <v> </v>
      </c>
      <c r="T31" s="17" t="str">
        <f aca="false">IF((E31="r"),H31," ")</f>
        <v> </v>
      </c>
      <c r="U31" s="17" t="str">
        <f aca="false">IF((E31="p"),H31," ")</f>
        <v> </v>
      </c>
      <c r="V31" s="17" t="str">
        <f aca="false">IF((E31="t"),H31," ")</f>
        <v> </v>
      </c>
      <c r="W31" s="17" t="str">
        <f aca="false">IF((E31="q"),H31," ")</f>
        <v> </v>
      </c>
      <c r="X31" s="17" t="str">
        <f aca="false">IF((E31="m"),H31," ")</f>
        <v> </v>
      </c>
      <c r="Y31" s="17" t="str">
        <f aca="false">IF((E31="u"),H31," ")</f>
        <v> </v>
      </c>
      <c r="Z31" s="17" t="str">
        <f aca="false">IF((E31="a"),H31," ")</f>
        <v> </v>
      </c>
      <c r="AA31" s="17" t="str">
        <f aca="false">IF((E31="g"),H31," ")</f>
        <v> </v>
      </c>
      <c r="AB31" s="17" t="n">
        <f aca="false">IF((E31="h"),H31," ")</f>
        <v>6.66666666666667</v>
      </c>
      <c r="AC31" s="30" t="str">
        <f aca="false">IF((E31="v"),H31," ")</f>
        <v> </v>
      </c>
      <c r="AD31" s="30" t="str">
        <f aca="false">IF((E31="n"),H31," ")</f>
        <v> </v>
      </c>
      <c r="AE31" s="17" t="str">
        <f aca="false">IF((E31="f"),H31," ")</f>
        <v> </v>
      </c>
      <c r="AF31" s="17" t="str">
        <f aca="false">IF((E31="l"),H31," ")</f>
        <v> </v>
      </c>
      <c r="AG31" s="17" t="str">
        <f aca="false">IF((E31="y"),H31," ")</f>
        <v> </v>
      </c>
      <c r="AH31" s="17" t="str">
        <f aca="false">IF((E31="z"),H31," ")</f>
        <v> </v>
      </c>
      <c r="AI31" s="17" t="str">
        <f aca="false">IF((E31="fa"),H31," ")</f>
        <v> </v>
      </c>
      <c r="AJ31" s="17" t="str">
        <f aca="false">IF((E31="e"),H31," ")</f>
        <v> </v>
      </c>
      <c r="BZ31" s="2" t="s">
        <v>113</v>
      </c>
    </row>
    <row r="32" customFormat="false" ht="12" hidden="false" customHeight="false" outlineLevel="0" collapsed="false">
      <c r="A32" s="28" t="n">
        <v>46468</v>
      </c>
      <c r="B32" s="2" t="s">
        <v>143</v>
      </c>
      <c r="D32" s="2" t="s">
        <v>144</v>
      </c>
      <c r="E32" s="2" t="s">
        <v>100</v>
      </c>
      <c r="F32" s="30" t="n">
        <v>18</v>
      </c>
      <c r="G32" s="6" t="n">
        <f aca="false">IF(F32&lt;&gt;0,F32*G$2/(100+G$2)," ")</f>
        <v>3</v>
      </c>
      <c r="H32" s="6" t="n">
        <f aca="false">IF((F32&lt;&gt;0),F32-G32," ")</f>
        <v>15</v>
      </c>
      <c r="I32" s="5"/>
      <c r="L32" s="7" t="n">
        <f aca="false">IF(F32&lt;&gt;0,F32-K32," ")</f>
        <v>18</v>
      </c>
      <c r="M32" s="8" t="n">
        <f aca="false">IF((F32-K32)&lt;&gt;0,M$1-A32," ")</f>
        <v>-190</v>
      </c>
      <c r="N32" s="5"/>
      <c r="O32" s="17" t="str">
        <f aca="false">IF((E32="s"),H32," ")</f>
        <v> </v>
      </c>
      <c r="P32" s="17" t="str">
        <f aca="false">IF((E32="c"),H32," ")</f>
        <v> </v>
      </c>
      <c r="Q32" s="17" t="str">
        <f aca="false">IF((E32="o"),H32," ")</f>
        <v> </v>
      </c>
      <c r="R32" s="17" t="str">
        <f aca="false">IF((E32="d"),H32," ")</f>
        <v> </v>
      </c>
      <c r="S32" s="17" t="str">
        <f aca="false">IF((E32="w"),H32," ")</f>
        <v> </v>
      </c>
      <c r="T32" s="17" t="str">
        <f aca="false">IF((E32="r"),H32," ")</f>
        <v> </v>
      </c>
      <c r="U32" s="17" t="str">
        <f aca="false">IF((E32="p"),H32," ")</f>
        <v> </v>
      </c>
      <c r="V32" s="17" t="str">
        <f aca="false">IF((E32="t"),H32," ")</f>
        <v> </v>
      </c>
      <c r="W32" s="17" t="str">
        <f aca="false">IF((E32="q"),H32," ")</f>
        <v> </v>
      </c>
      <c r="X32" s="17" t="str">
        <f aca="false">IF((E32="m"),H32," ")</f>
        <v> </v>
      </c>
      <c r="Y32" s="17" t="n">
        <f aca="false">IF((E32="u"),H32," ")</f>
        <v>15</v>
      </c>
      <c r="Z32" s="17" t="str">
        <f aca="false">IF((E32="a"),H32," ")</f>
        <v> </v>
      </c>
      <c r="AA32" s="17" t="str">
        <f aca="false">IF((E32="g"),H32," ")</f>
        <v> </v>
      </c>
      <c r="AB32" s="17" t="str">
        <f aca="false">IF((E32="h"),H32," ")</f>
        <v> </v>
      </c>
      <c r="AC32" s="30" t="str">
        <f aca="false">IF((E32="v"),H32," ")</f>
        <v> </v>
      </c>
      <c r="AD32" s="30" t="str">
        <f aca="false">IF((E32="n"),H32," ")</f>
        <v> </v>
      </c>
      <c r="AE32" s="17" t="str">
        <f aca="false">IF((E32="f"),H32," ")</f>
        <v> </v>
      </c>
      <c r="AF32" s="17" t="str">
        <f aca="false">IF((E32="l"),H32," ")</f>
        <v> </v>
      </c>
      <c r="AG32" s="17" t="str">
        <f aca="false">IF((E32="y"),H32," ")</f>
        <v> </v>
      </c>
      <c r="AH32" s="17" t="str">
        <f aca="false">IF((E32="z"),H32," ")</f>
        <v> </v>
      </c>
      <c r="AI32" s="17" t="str">
        <f aca="false">IF((E32="fa"),H32," ")</f>
        <v> </v>
      </c>
      <c r="AJ32" s="17" t="str">
        <f aca="false">IF((E32="e"),H32," ")</f>
        <v> </v>
      </c>
      <c r="BZ32" s="2" t="s">
        <v>101</v>
      </c>
    </row>
    <row r="33" customFormat="false" ht="12" hidden="false" customHeight="false" outlineLevel="0" collapsed="false">
      <c r="A33" s="28" t="n">
        <v>46471</v>
      </c>
      <c r="B33" s="2" t="s">
        <v>145</v>
      </c>
      <c r="D33" s="2" t="s">
        <v>146</v>
      </c>
      <c r="E33" s="2" t="s">
        <v>100</v>
      </c>
      <c r="F33" s="30" t="n">
        <v>15</v>
      </c>
      <c r="G33" s="6" t="n">
        <f aca="false">IF(F33&lt;&gt;0,F33*G$2/(100+G$2)," ")</f>
        <v>2.5</v>
      </c>
      <c r="H33" s="6" t="n">
        <f aca="false">IF((F33&lt;&gt;0),F33-G33," ")</f>
        <v>12.5</v>
      </c>
      <c r="I33" s="5"/>
      <c r="L33" s="7" t="n">
        <f aca="false">IF(F33&lt;&gt;0,F33-K33," ")</f>
        <v>15</v>
      </c>
      <c r="M33" s="8" t="n">
        <f aca="false">IF((F33-K33)&lt;&gt;0,M$1-A33," ")</f>
        <v>-193</v>
      </c>
      <c r="N33" s="5"/>
      <c r="O33" s="17" t="str">
        <f aca="false">IF((E33="s"),H33," ")</f>
        <v> </v>
      </c>
      <c r="P33" s="17" t="str">
        <f aca="false">IF((E33="c"),H33," ")</f>
        <v> </v>
      </c>
      <c r="Q33" s="17" t="str">
        <f aca="false">IF((E33="o"),H33," ")</f>
        <v> </v>
      </c>
      <c r="R33" s="17" t="str">
        <f aca="false">IF((E33="d"),H33," ")</f>
        <v> </v>
      </c>
      <c r="S33" s="17" t="str">
        <f aca="false">IF((E33="w"),H33," ")</f>
        <v> </v>
      </c>
      <c r="T33" s="17" t="str">
        <f aca="false">IF((E33="r"),H33," ")</f>
        <v> </v>
      </c>
      <c r="U33" s="17" t="str">
        <f aca="false">IF((E33="p"),H33," ")</f>
        <v> </v>
      </c>
      <c r="V33" s="17" t="str">
        <f aca="false">IF((E33="t"),H33," ")</f>
        <v> </v>
      </c>
      <c r="W33" s="17" t="str">
        <f aca="false">IF((E33="q"),H33," ")</f>
        <v> </v>
      </c>
      <c r="X33" s="17" t="str">
        <f aca="false">IF((E33="m"),H33," ")</f>
        <v> </v>
      </c>
      <c r="Y33" s="17" t="n">
        <f aca="false">IF((E33="u"),H33," ")</f>
        <v>12.5</v>
      </c>
      <c r="Z33" s="17" t="str">
        <f aca="false">IF((E33="a"),H33," ")</f>
        <v> </v>
      </c>
      <c r="AA33" s="17" t="str">
        <f aca="false">IF((E33="g"),H33," ")</f>
        <v> </v>
      </c>
      <c r="AB33" s="17" t="str">
        <f aca="false">IF((E33="h"),H33," ")</f>
        <v> </v>
      </c>
      <c r="AC33" s="30" t="str">
        <f aca="false">IF((E33="v"),H33," ")</f>
        <v> </v>
      </c>
      <c r="AD33" s="30" t="str">
        <f aca="false">IF((E33="n"),H33," ")</f>
        <v> </v>
      </c>
      <c r="AE33" s="17" t="str">
        <f aca="false">IF((E33="f"),H33," ")</f>
        <v> </v>
      </c>
      <c r="AF33" s="17" t="str">
        <f aca="false">IF((E33="l"),H33," ")</f>
        <v> </v>
      </c>
      <c r="AG33" s="17" t="str">
        <f aca="false">IF((E33="y"),H33," ")</f>
        <v> </v>
      </c>
      <c r="AH33" s="17" t="str">
        <f aca="false">IF((E33="z"),H33," ")</f>
        <v> </v>
      </c>
      <c r="AI33" s="17" t="str">
        <f aca="false">IF((E33="fa"),H33," ")</f>
        <v> </v>
      </c>
      <c r="AJ33" s="17" t="str">
        <f aca="false">IF((E33="e"),H33," ")</f>
        <v> </v>
      </c>
      <c r="BZ33" s="2" t="s">
        <v>101</v>
      </c>
    </row>
    <row r="34" customFormat="false" ht="12" hidden="false" customHeight="false" outlineLevel="0" collapsed="false">
      <c r="A34" s="28" t="n">
        <v>46471</v>
      </c>
      <c r="B34" s="2" t="s">
        <v>147</v>
      </c>
      <c r="D34" s="2" t="s">
        <v>148</v>
      </c>
      <c r="E34" s="2" t="s">
        <v>106</v>
      </c>
      <c r="F34" s="30" t="n">
        <v>38.25</v>
      </c>
      <c r="G34" s="6" t="n">
        <f aca="false">IF(F34&lt;&gt;0,F34*G$2/(100+G$2)," ")</f>
        <v>6.375</v>
      </c>
      <c r="H34" s="6" t="n">
        <f aca="false">IF((F34&lt;&gt;0),F34-G34," ")</f>
        <v>31.875</v>
      </c>
      <c r="I34" s="5"/>
      <c r="L34" s="7" t="n">
        <f aca="false">IF(F34&lt;&gt;0,F34-K34," ")</f>
        <v>38.25</v>
      </c>
      <c r="M34" s="8" t="n">
        <f aca="false">IF((F34-K34)&lt;&gt;0,M$1-A34," ")</f>
        <v>-193</v>
      </c>
      <c r="N34" s="5"/>
      <c r="O34" s="17" t="str">
        <f aca="false">IF((E34="s"),H34," ")</f>
        <v> </v>
      </c>
      <c r="P34" s="17" t="str">
        <f aca="false">IF((E34="c"),H34," ")</f>
        <v> </v>
      </c>
      <c r="Q34" s="17" t="str">
        <f aca="false">IF((E34="o"),H34," ")</f>
        <v> </v>
      </c>
      <c r="R34" s="17" t="str">
        <f aca="false">IF((E34="d"),H34," ")</f>
        <v> </v>
      </c>
      <c r="S34" s="17" t="str">
        <f aca="false">IF((E34="w"),H34," ")</f>
        <v> </v>
      </c>
      <c r="T34" s="17" t="str">
        <f aca="false">IF((E34="r"),H34," ")</f>
        <v> </v>
      </c>
      <c r="U34" s="17" t="str">
        <f aca="false">IF((E34="p"),H34," ")</f>
        <v> </v>
      </c>
      <c r="V34" s="17" t="str">
        <f aca="false">IF((E34="t"),H34," ")</f>
        <v> </v>
      </c>
      <c r="W34" s="17" t="str">
        <f aca="false">IF((E34="q"),H34," ")</f>
        <v> </v>
      </c>
      <c r="X34" s="17" t="str">
        <f aca="false">IF((E34="m"),H34," ")</f>
        <v> </v>
      </c>
      <c r="Y34" s="17" t="str">
        <f aca="false">IF((E34="u"),H34," ")</f>
        <v> </v>
      </c>
      <c r="Z34" s="17" t="str">
        <f aca="false">IF((E34="a"),H34," ")</f>
        <v> </v>
      </c>
      <c r="AA34" s="17" t="str">
        <f aca="false">IF((E34="g"),H34," ")</f>
        <v> </v>
      </c>
      <c r="AB34" s="17" t="str">
        <f aca="false">IF((E34="h"),H34," ")</f>
        <v> </v>
      </c>
      <c r="AC34" s="30" t="n">
        <f aca="false">IF((E34="v"),H34," ")</f>
        <v>31.875</v>
      </c>
      <c r="AD34" s="30" t="str">
        <f aca="false">IF((E34="n"),H34," ")</f>
        <v> </v>
      </c>
      <c r="AE34" s="17" t="str">
        <f aca="false">IF((E34="f"),H34," ")</f>
        <v> </v>
      </c>
      <c r="AF34" s="17" t="str">
        <f aca="false">IF((E34="l"),H34," ")</f>
        <v> </v>
      </c>
      <c r="AG34" s="17" t="str">
        <f aca="false">IF((E34="y"),H34," ")</f>
        <v> </v>
      </c>
      <c r="AH34" s="17" t="str">
        <f aca="false">IF((E34="z"),H34," ")</f>
        <v> </v>
      </c>
      <c r="AI34" s="17" t="str">
        <f aca="false">IF((E34="fa"),H34," ")</f>
        <v> </v>
      </c>
      <c r="AJ34" s="17" t="str">
        <f aca="false">IF((E34="e"),H34," ")</f>
        <v> </v>
      </c>
      <c r="BZ34" s="2" t="s">
        <v>107</v>
      </c>
    </row>
    <row r="35" customFormat="false" ht="12" hidden="false" customHeight="false" outlineLevel="0" collapsed="false">
      <c r="A35" s="28" t="n">
        <v>46474</v>
      </c>
      <c r="B35" s="2" t="s">
        <v>20</v>
      </c>
      <c r="D35" s="2" t="s">
        <v>149</v>
      </c>
      <c r="E35" s="2" t="s">
        <v>106</v>
      </c>
      <c r="F35" s="30" t="n">
        <v>120</v>
      </c>
      <c r="G35" s="6" t="n">
        <f aca="false">IF(F35&lt;&gt;0,F35*G$2/(100+G$2)," ")</f>
        <v>20</v>
      </c>
      <c r="H35" s="6" t="n">
        <f aca="false">IF((F35&lt;&gt;0),F35-G35," ")</f>
        <v>100</v>
      </c>
      <c r="I35" s="5"/>
      <c r="L35" s="7" t="n">
        <f aca="false">IF(F35&lt;&gt;0,F35-K35," ")</f>
        <v>120</v>
      </c>
      <c r="M35" s="8" t="n">
        <f aca="false">IF((F35-K35)&lt;&gt;0,M$1-A35," ")</f>
        <v>-196</v>
      </c>
      <c r="N35" s="5"/>
      <c r="O35" s="17" t="str">
        <f aca="false">IF((E35="s"),H35," ")</f>
        <v> </v>
      </c>
      <c r="P35" s="17" t="str">
        <f aca="false">IF((E35="c"),H35," ")</f>
        <v> </v>
      </c>
      <c r="Q35" s="17" t="str">
        <f aca="false">IF((E35="o"),H35," ")</f>
        <v> </v>
      </c>
      <c r="R35" s="17" t="str">
        <f aca="false">IF((E35="d"),H35," ")</f>
        <v> </v>
      </c>
      <c r="S35" s="17" t="str">
        <f aca="false">IF((E35="w"),H35," ")</f>
        <v> </v>
      </c>
      <c r="T35" s="17" t="str">
        <f aca="false">IF((E35="r"),H35," ")</f>
        <v> </v>
      </c>
      <c r="U35" s="17" t="str">
        <f aca="false">IF((E35="p"),H35," ")</f>
        <v> </v>
      </c>
      <c r="V35" s="17" t="str">
        <f aca="false">IF((E35="t"),H35," ")</f>
        <v> </v>
      </c>
      <c r="W35" s="17" t="str">
        <f aca="false">IF((E35="q"),H35," ")</f>
        <v> </v>
      </c>
      <c r="X35" s="17" t="str">
        <f aca="false">IF((E35="m"),H35," ")</f>
        <v> </v>
      </c>
      <c r="Y35" s="17" t="str">
        <f aca="false">IF((E35="u"),H35," ")</f>
        <v> </v>
      </c>
      <c r="Z35" s="17" t="str">
        <f aca="false">IF((E35="a"),H35," ")</f>
        <v> </v>
      </c>
      <c r="AA35" s="17" t="str">
        <f aca="false">IF((E35="g"),H35," ")</f>
        <v> </v>
      </c>
      <c r="AB35" s="17" t="str">
        <f aca="false">IF((E35="h"),H35," ")</f>
        <v> </v>
      </c>
      <c r="AC35" s="30" t="n">
        <f aca="false">IF((E35="v"),H35," ")</f>
        <v>100</v>
      </c>
      <c r="AD35" s="30" t="str">
        <f aca="false">IF((E35="n"),H35," ")</f>
        <v> </v>
      </c>
      <c r="AE35" s="17" t="str">
        <f aca="false">IF((E35="f"),H35," ")</f>
        <v> </v>
      </c>
      <c r="AF35" s="17" t="str">
        <f aca="false">IF((E35="l"),H35," ")</f>
        <v> </v>
      </c>
      <c r="AG35" s="17" t="str">
        <f aca="false">IF((E35="y"),H35," ")</f>
        <v> </v>
      </c>
      <c r="AH35" s="17" t="str">
        <f aca="false">IF((E35="z"),H35," ")</f>
        <v> </v>
      </c>
      <c r="AI35" s="17" t="str">
        <f aca="false">IF((E35="fa"),H35," ")</f>
        <v> </v>
      </c>
      <c r="AJ35" s="17" t="str">
        <f aca="false">IF((E35="e"),H35," ")</f>
        <v> </v>
      </c>
      <c r="BZ35" s="2" t="s">
        <v>107</v>
      </c>
    </row>
    <row r="36" customFormat="false" ht="12" hidden="false" customHeight="false" outlineLevel="0" collapsed="false">
      <c r="A36" s="28" t="n">
        <v>46477</v>
      </c>
      <c r="B36" s="2" t="s">
        <v>16</v>
      </c>
      <c r="D36" s="2" t="s">
        <v>150</v>
      </c>
      <c r="E36" s="2" t="s">
        <v>151</v>
      </c>
      <c r="F36" s="30" t="n">
        <v>300</v>
      </c>
      <c r="G36" s="6" t="n">
        <f aca="false">IF(F36&lt;&gt;0,F36*G$2/(100+G$2)," ")</f>
        <v>50</v>
      </c>
      <c r="H36" s="6" t="n">
        <f aca="false">IF((F36&lt;&gt;0),F36-G36," ")</f>
        <v>250</v>
      </c>
      <c r="I36" s="5"/>
      <c r="L36" s="7" t="n">
        <f aca="false">IF(F36&lt;&gt;0,F36-K36," ")</f>
        <v>300</v>
      </c>
      <c r="M36" s="8" t="n">
        <f aca="false">IF((F36-K36)&lt;&gt;0,M$1-A36," ")</f>
        <v>-199</v>
      </c>
      <c r="N36" s="5"/>
      <c r="O36" s="17" t="str">
        <f aca="false">IF((E36="s"),H36," ")</f>
        <v> </v>
      </c>
      <c r="P36" s="17" t="str">
        <f aca="false">IF((E36="c"),H36," ")</f>
        <v> </v>
      </c>
      <c r="Q36" s="17" t="str">
        <f aca="false">IF((E36="o"),H36," ")</f>
        <v> </v>
      </c>
      <c r="R36" s="17" t="str">
        <f aca="false">IF((E36="d"),H36," ")</f>
        <v> </v>
      </c>
      <c r="S36" s="17" t="str">
        <f aca="false">IF((E36="w"),H36," ")</f>
        <v> </v>
      </c>
      <c r="T36" s="17" t="str">
        <f aca="false">IF((E36="r"),H36," ")</f>
        <v> </v>
      </c>
      <c r="U36" s="17" t="str">
        <f aca="false">IF((E36="p"),H36," ")</f>
        <v> </v>
      </c>
      <c r="V36" s="17" t="str">
        <f aca="false">IF((E36="t"),H36," ")</f>
        <v> </v>
      </c>
      <c r="W36" s="17" t="str">
        <f aca="false">IF((E36="q"),H36," ")</f>
        <v> </v>
      </c>
      <c r="X36" s="17" t="str">
        <f aca="false">IF((E36="m"),H36," ")</f>
        <v> </v>
      </c>
      <c r="Y36" s="17" t="str">
        <f aca="false">IF((E36="u"),H36," ")</f>
        <v> </v>
      </c>
      <c r="Z36" s="17" t="str">
        <f aca="false">IF((E36="a"),H36," ")</f>
        <v> </v>
      </c>
      <c r="AA36" s="17" t="str">
        <f aca="false">IF((E36="g"),H36," ")</f>
        <v> </v>
      </c>
      <c r="AB36" s="17" t="str">
        <f aca="false">IF((E36="h"),H36," ")</f>
        <v> </v>
      </c>
      <c r="AC36" s="30" t="str">
        <f aca="false">IF((E36="v"),H36," ")</f>
        <v> </v>
      </c>
      <c r="AD36" s="30" t="str">
        <f aca="false">IF((E36="n"),H36," ")</f>
        <v> </v>
      </c>
      <c r="AE36" s="17" t="str">
        <f aca="false">IF((E36="f"),H36," ")</f>
        <v> </v>
      </c>
      <c r="AF36" s="17" t="n">
        <f aca="false">IF((E36="l"),H36," ")</f>
        <v>250</v>
      </c>
      <c r="AG36" s="17" t="str">
        <f aca="false">IF((E36="y"),H36," ")</f>
        <v> </v>
      </c>
      <c r="AH36" s="17" t="str">
        <f aca="false">IF((E36="z"),H36," ")</f>
        <v> </v>
      </c>
      <c r="AI36" s="17" t="str">
        <f aca="false">IF((E36="fa"),H36," ")</f>
        <v> </v>
      </c>
      <c r="AJ36" s="17" t="str">
        <f aca="false">IF((E36="e"),H36," ")</f>
        <v> </v>
      </c>
      <c r="BZ36" s="2" t="s">
        <v>152</v>
      </c>
    </row>
    <row r="37" customFormat="false" ht="12" hidden="false" customHeight="false" outlineLevel="0" collapsed="false">
      <c r="A37" s="28" t="n">
        <v>46458</v>
      </c>
      <c r="B37" s="2" t="s">
        <v>224</v>
      </c>
      <c r="D37" s="2" t="s">
        <v>225</v>
      </c>
      <c r="E37" s="2" t="s">
        <v>226</v>
      </c>
      <c r="F37" s="30" t="n">
        <v>350</v>
      </c>
      <c r="G37" s="6" t="n">
        <f aca="false">IF(F37&lt;&gt;0,F37*G$2/(100+G$2)," ")</f>
        <v>58.3333333333333</v>
      </c>
      <c r="H37" s="6" t="n">
        <f aca="false">IF((F37&lt;&gt;0),F37-G37," ")</f>
        <v>291.666666666667</v>
      </c>
      <c r="I37" s="5"/>
      <c r="L37" s="7" t="n">
        <f aca="false">IF(F37&lt;&gt;0,F37-K37," ")</f>
        <v>350</v>
      </c>
      <c r="M37" s="8" t="n">
        <f aca="false">IF((F37-K37)&lt;&gt;0,M$1-A37," ")</f>
        <v>-180</v>
      </c>
      <c r="N37" s="5"/>
      <c r="O37" s="17" t="str">
        <f aca="false">IF((E37="s"),H37," ")</f>
        <v> </v>
      </c>
      <c r="P37" s="17" t="str">
        <f aca="false">IF((E37="c"),H37," ")</f>
        <v> </v>
      </c>
      <c r="Q37" s="17" t="str">
        <f aca="false">IF((E37="o"),H37," ")</f>
        <v> </v>
      </c>
      <c r="R37" s="17" t="str">
        <f aca="false">IF((E37="d"),H37," ")</f>
        <v> </v>
      </c>
      <c r="S37" s="17" t="str">
        <f aca="false">IF((E37="w"),H37," ")</f>
        <v> </v>
      </c>
      <c r="T37" s="17" t="str">
        <f aca="false">IF((E37="r"),H37," ")</f>
        <v> </v>
      </c>
      <c r="U37" s="17" t="str">
        <f aca="false">IF((E37="p"),H37," ")</f>
        <v> </v>
      </c>
      <c r="V37" s="17" t="str">
        <f aca="false">IF((E37="t"),H37," ")</f>
        <v> </v>
      </c>
      <c r="W37" s="17" t="str">
        <f aca="false">IF((E37="q"),H37," ")</f>
        <v> </v>
      </c>
      <c r="X37" s="17" t="str">
        <f aca="false">IF((E37="m"),H37," ")</f>
        <v> </v>
      </c>
      <c r="Y37" s="17" t="str">
        <f aca="false">IF((E37="u"),H37," ")</f>
        <v> </v>
      </c>
      <c r="Z37" s="17" t="str">
        <f aca="false">IF((E37="a"),H37," ")</f>
        <v> </v>
      </c>
      <c r="AA37" s="17" t="str">
        <f aca="false">IF((E37="g"),H37," ")</f>
        <v> </v>
      </c>
      <c r="AB37" s="17" t="str">
        <f aca="false">IF((E37="h"),H37," ")</f>
        <v> </v>
      </c>
      <c r="AC37" s="30" t="str">
        <f aca="false">IF((E37="v"),H37," ")</f>
        <v> </v>
      </c>
      <c r="AD37" s="30" t="str">
        <f aca="false">IF((E37="n"),H37," ")</f>
        <v> </v>
      </c>
      <c r="AE37" s="17" t="str">
        <f aca="false">IF((E37="f"),H37," ")</f>
        <v> </v>
      </c>
      <c r="AF37" s="17" t="str">
        <f aca="false">IF((E37="l"),H37," ")</f>
        <v> </v>
      </c>
      <c r="AG37" s="17" t="str">
        <f aca="false">IF((E37="y"),H37," ")</f>
        <v> </v>
      </c>
      <c r="AH37" s="17" t="str">
        <f aca="false">IF((E37="z"),H37," ")</f>
        <v> </v>
      </c>
      <c r="AI37" s="17" t="str">
        <f aca="false">IF((E37="fa"),H37," ")</f>
        <v> </v>
      </c>
      <c r="AJ37" s="17" t="n">
        <f aca="false">IF((E37="e"),H37," ")</f>
        <v>291.666666666667</v>
      </c>
      <c r="BZ37" s="2" t="s">
        <v>227</v>
      </c>
    </row>
    <row r="38" customFormat="false" ht="12" hidden="false" customHeight="false" outlineLevel="0" collapsed="false">
      <c r="A38" s="28"/>
      <c r="E38" s="2"/>
      <c r="F38" s="30"/>
      <c r="G38" s="6" t="str">
        <f aca="false">IF(F38&lt;&gt;0,F38*G$2/(100+G$2)," ")</f>
        <v> </v>
      </c>
      <c r="H38" s="6" t="str">
        <f aca="false">IF((F38&lt;&gt;0),F38-G38," ")</f>
        <v> </v>
      </c>
      <c r="I38" s="5"/>
      <c r="L38" s="7" t="str">
        <f aca="false">IF(F38&lt;&gt;0,F38-K38," ")</f>
        <v> </v>
      </c>
      <c r="M38" s="8" t="str">
        <f aca="false">IF((F38-K38)&lt;&gt;0,M$1-A38," ")</f>
        <v> </v>
      </c>
      <c r="N38" s="5"/>
      <c r="O38" s="17" t="str">
        <f aca="false">IF((E38="s"),H38," ")</f>
        <v> </v>
      </c>
      <c r="P38" s="17" t="str">
        <f aca="false">IF((E38="c"),H38," ")</f>
        <v> </v>
      </c>
      <c r="Q38" s="17" t="str">
        <f aca="false">IF((E38="o"),H38," ")</f>
        <v> </v>
      </c>
      <c r="R38" s="17" t="str">
        <f aca="false">IF((E38="d"),H38," ")</f>
        <v> </v>
      </c>
      <c r="S38" s="17" t="str">
        <f aca="false">IF((E38="w"),H38," ")</f>
        <v> </v>
      </c>
      <c r="T38" s="17" t="str">
        <f aca="false">IF((E38="r"),H38," ")</f>
        <v> </v>
      </c>
      <c r="U38" s="17" t="str">
        <f aca="false">IF((E38="p"),H38," ")</f>
        <v> </v>
      </c>
      <c r="V38" s="17" t="str">
        <f aca="false">IF((E38="t"),H38," ")</f>
        <v> </v>
      </c>
      <c r="W38" s="17" t="str">
        <f aca="false">IF((E38="q"),H38," ")</f>
        <v> </v>
      </c>
      <c r="X38" s="17" t="str">
        <f aca="false">IF((E38="m"),H38," ")</f>
        <v> </v>
      </c>
      <c r="Y38" s="17" t="str">
        <f aca="false">IF((E38="u"),H38," ")</f>
        <v> </v>
      </c>
      <c r="Z38" s="17" t="str">
        <f aca="false">IF((E38="a"),H38," ")</f>
        <v> </v>
      </c>
      <c r="AA38" s="17" t="str">
        <f aca="false">IF((E38="g"),H38," ")</f>
        <v> </v>
      </c>
      <c r="AB38" s="17" t="str">
        <f aca="false">IF((E38="h"),H38," ")</f>
        <v> </v>
      </c>
      <c r="AC38" s="30" t="str">
        <f aca="false">IF((E38="v"),H38," ")</f>
        <v> </v>
      </c>
      <c r="AD38" s="30" t="str">
        <f aca="false">IF((E38="n"),H38," ")</f>
        <v> </v>
      </c>
      <c r="AE38" s="17" t="str">
        <f aca="false">IF((E38="f"),H38," ")</f>
        <v> </v>
      </c>
      <c r="AF38" s="17" t="str">
        <f aca="false">IF((E38="l"),H38," ")</f>
        <v> </v>
      </c>
      <c r="AG38" s="17" t="str">
        <f aca="false">IF((E38="y"),H38," ")</f>
        <v> </v>
      </c>
      <c r="AH38" s="17" t="str">
        <f aca="false">IF((E38="z"),H38," ")</f>
        <v> </v>
      </c>
      <c r="AI38" s="17" t="str">
        <f aca="false">IF((E38="fa"),H38," ")</f>
        <v> </v>
      </c>
      <c r="AJ38" s="17" t="str">
        <f aca="false">IF((E38="e"),H38," ")</f>
        <v> </v>
      </c>
    </row>
    <row r="39" customFormat="false" ht="12" hidden="false" customHeight="false" outlineLevel="0" collapsed="false">
      <c r="A39" s="28"/>
      <c r="E39" s="2"/>
      <c r="F39" s="30"/>
      <c r="G39" s="6" t="str">
        <f aca="false">IF(F39&lt;&gt;0,F39*G$2/(100+G$2)," ")</f>
        <v> </v>
      </c>
      <c r="H39" s="6" t="str">
        <f aca="false">IF((F39&lt;&gt;0),F39-G39," ")</f>
        <v> </v>
      </c>
      <c r="I39" s="5"/>
      <c r="L39" s="7" t="str">
        <f aca="false">IF(F39&lt;&gt;0,F39-K39," ")</f>
        <v> </v>
      </c>
      <c r="M39" s="8" t="str">
        <f aca="false">IF((F39-K39)&lt;&gt;0,M$1-A39," ")</f>
        <v> </v>
      </c>
      <c r="N39" s="5"/>
      <c r="O39" s="17" t="str">
        <f aca="false">IF((E39="s"),H39," ")</f>
        <v> </v>
      </c>
      <c r="P39" s="17" t="str">
        <f aca="false">IF((E39="c"),H39," ")</f>
        <v> </v>
      </c>
      <c r="Q39" s="17" t="str">
        <f aca="false">IF((E39="o"),H39," ")</f>
        <v> </v>
      </c>
      <c r="R39" s="17" t="str">
        <f aca="false">IF((E39="d"),H39," ")</f>
        <v> </v>
      </c>
      <c r="S39" s="17" t="str">
        <f aca="false">IF((E39="w"),H39," ")</f>
        <v> </v>
      </c>
      <c r="T39" s="17" t="str">
        <f aca="false">IF((E39="r"),H39," ")</f>
        <v> </v>
      </c>
      <c r="U39" s="17" t="str">
        <f aca="false">IF((E39="p"),H39," ")</f>
        <v> </v>
      </c>
      <c r="V39" s="17" t="str">
        <f aca="false">IF((E39="t"),H39," ")</f>
        <v> </v>
      </c>
      <c r="W39" s="17" t="str">
        <f aca="false">IF((E39="q"),H39," ")</f>
        <v> </v>
      </c>
      <c r="X39" s="17" t="str">
        <f aca="false">IF((E39="m"),H39," ")</f>
        <v> </v>
      </c>
      <c r="Y39" s="17" t="str">
        <f aca="false">IF((E39="u"),H39," ")</f>
        <v> </v>
      </c>
      <c r="Z39" s="17" t="str">
        <f aca="false">IF((E39="a"),H39," ")</f>
        <v> </v>
      </c>
      <c r="AA39" s="17" t="str">
        <f aca="false">IF((E39="g"),H39," ")</f>
        <v> </v>
      </c>
      <c r="AB39" s="17" t="str">
        <f aca="false">IF((E39="h"),H39," ")</f>
        <v> </v>
      </c>
      <c r="AC39" s="30" t="str">
        <f aca="false">IF((E39="v"),H39," ")</f>
        <v> </v>
      </c>
      <c r="AD39" s="30" t="str">
        <f aca="false">IF((E39="n"),H39," ")</f>
        <v> </v>
      </c>
      <c r="AE39" s="17" t="str">
        <f aca="false">IF((E39="f"),H39," ")</f>
        <v> </v>
      </c>
      <c r="AF39" s="17" t="str">
        <f aca="false">IF((E39="l"),H39," ")</f>
        <v> </v>
      </c>
      <c r="AG39" s="17" t="str">
        <f aca="false">IF((E39="y"),H39," ")</f>
        <v> </v>
      </c>
      <c r="AH39" s="17" t="str">
        <f aca="false">IF((E39="z"),H39," ")</f>
        <v> </v>
      </c>
      <c r="AI39" s="17" t="str">
        <f aca="false">IF((E39="fa"),H39," ")</f>
        <v> </v>
      </c>
      <c r="AJ39" s="17" t="str">
        <f aca="false">IF((E39="e"),H39," ")</f>
        <v> </v>
      </c>
    </row>
    <row r="40" customFormat="false" ht="12" hidden="false" customHeight="false" outlineLevel="0" collapsed="false">
      <c r="A40" s="28"/>
      <c r="E40" s="2"/>
      <c r="F40" s="30"/>
      <c r="G40" s="6" t="str">
        <f aca="false">IF(F40&lt;&gt;0,F40*G$2/(100+G$2)," ")</f>
        <v> </v>
      </c>
      <c r="H40" s="6" t="str">
        <f aca="false">IF((F40&lt;&gt;0),F40-G40," ")</f>
        <v> </v>
      </c>
      <c r="I40" s="5"/>
      <c r="L40" s="7" t="str">
        <f aca="false">IF(F40&lt;&gt;0,F40-K40," ")</f>
        <v> </v>
      </c>
      <c r="M40" s="8" t="str">
        <f aca="false">IF((F40-K40)&lt;&gt;0,M$1-A40," ")</f>
        <v> </v>
      </c>
      <c r="N40" s="5"/>
      <c r="O40" s="17" t="str">
        <f aca="false">IF((E40="s"),H40," ")</f>
        <v> </v>
      </c>
      <c r="P40" s="17" t="str">
        <f aca="false">IF((E40="c"),H40," ")</f>
        <v> </v>
      </c>
      <c r="Q40" s="17" t="str">
        <f aca="false">IF((E40="o"),H40," ")</f>
        <v> </v>
      </c>
      <c r="R40" s="17" t="str">
        <f aca="false">IF((E40="d"),H40," ")</f>
        <v> </v>
      </c>
      <c r="S40" s="17" t="str">
        <f aca="false">IF((E40="w"),H40," ")</f>
        <v> </v>
      </c>
      <c r="T40" s="17" t="str">
        <f aca="false">IF((E40="r"),H40," ")</f>
        <v> </v>
      </c>
      <c r="U40" s="17" t="str">
        <f aca="false">IF((E40="p"),H40," ")</f>
        <v> </v>
      </c>
      <c r="V40" s="17" t="str">
        <f aca="false">IF((E40="t"),H40," ")</f>
        <v> </v>
      </c>
      <c r="W40" s="17" t="str">
        <f aca="false">IF((E40="q"),H40," ")</f>
        <v> </v>
      </c>
      <c r="X40" s="17" t="str">
        <f aca="false">IF((E40="m"),H40," ")</f>
        <v> </v>
      </c>
      <c r="Y40" s="17" t="str">
        <f aca="false">IF((E40="u"),H40," ")</f>
        <v> </v>
      </c>
      <c r="Z40" s="17" t="str">
        <f aca="false">IF((E40="a"),H40," ")</f>
        <v> </v>
      </c>
      <c r="AA40" s="17" t="str">
        <f aca="false">IF((E40="g"),H40," ")</f>
        <v> </v>
      </c>
      <c r="AB40" s="17" t="str">
        <f aca="false">IF((E40="h"),H40," ")</f>
        <v> </v>
      </c>
      <c r="AC40" s="30" t="str">
        <f aca="false">IF((E40="v"),H40," ")</f>
        <v> </v>
      </c>
      <c r="AD40" s="30" t="str">
        <f aca="false">IF((E40="n"),H40," ")</f>
        <v> </v>
      </c>
      <c r="AE40" s="17" t="str">
        <f aca="false">IF((E40="f"),H40," ")</f>
        <v> </v>
      </c>
      <c r="AF40" s="17" t="str">
        <f aca="false">IF((E40="l"),H40," ")</f>
        <v> </v>
      </c>
      <c r="AG40" s="17" t="str">
        <f aca="false">IF((E40="y"),H40," ")</f>
        <v> </v>
      </c>
      <c r="AH40" s="17" t="str">
        <f aca="false">IF((E40="z"),H40," ")</f>
        <v> </v>
      </c>
      <c r="AI40" s="17" t="str">
        <f aca="false">IF((E40="fa"),H40," ")</f>
        <v> </v>
      </c>
      <c r="AJ40" s="17" t="str">
        <f aca="false">IF((E40="e"),H40," ")</f>
        <v> </v>
      </c>
    </row>
    <row r="41" customFormat="false" ht="12" hidden="false" customHeight="false" outlineLevel="0" collapsed="false">
      <c r="A41" s="28"/>
      <c r="E41" s="2"/>
      <c r="F41" s="30"/>
      <c r="G41" s="6" t="str">
        <f aca="false">IF(F41&lt;&gt;0,F41*G$2/(100+G$2)," ")</f>
        <v> </v>
      </c>
      <c r="H41" s="6" t="str">
        <f aca="false">IF((F41&lt;&gt;0),F41-G41," ")</f>
        <v> </v>
      </c>
      <c r="I41" s="5"/>
      <c r="L41" s="7" t="str">
        <f aca="false">IF(F41&lt;&gt;0,F41-K41," ")</f>
        <v> </v>
      </c>
      <c r="M41" s="8" t="str">
        <f aca="false">IF((F41-K41)&lt;&gt;0,M$1-A41," ")</f>
        <v> </v>
      </c>
      <c r="N41" s="5"/>
      <c r="O41" s="17" t="str">
        <f aca="false">IF((E41="s"),H41," ")</f>
        <v> </v>
      </c>
      <c r="P41" s="17" t="str">
        <f aca="false">IF((E41="c"),H41," ")</f>
        <v> </v>
      </c>
      <c r="Q41" s="17" t="str">
        <f aca="false">IF((E41="o"),H41," ")</f>
        <v> </v>
      </c>
      <c r="R41" s="17" t="str">
        <f aca="false">IF((E41="d"),H41," ")</f>
        <v> </v>
      </c>
      <c r="S41" s="17" t="str">
        <f aca="false">IF((E41="w"),H41," ")</f>
        <v> </v>
      </c>
      <c r="T41" s="17" t="str">
        <f aca="false">IF((E41="r"),H41," ")</f>
        <v> </v>
      </c>
      <c r="U41" s="17" t="str">
        <f aca="false">IF((E41="p"),H41," ")</f>
        <v> </v>
      </c>
      <c r="V41" s="17" t="str">
        <f aca="false">IF((E41="t"),H41," ")</f>
        <v> </v>
      </c>
      <c r="W41" s="17" t="str">
        <f aca="false">IF((E41="q"),H41," ")</f>
        <v> </v>
      </c>
      <c r="X41" s="17" t="str">
        <f aca="false">IF((E41="m"),H41," ")</f>
        <v> </v>
      </c>
      <c r="Y41" s="17" t="str">
        <f aca="false">IF((E41="u"),H41," ")</f>
        <v> </v>
      </c>
      <c r="Z41" s="17" t="str">
        <f aca="false">IF((E41="a"),H41," ")</f>
        <v> </v>
      </c>
      <c r="AA41" s="17" t="str">
        <f aca="false">IF((E41="g"),H41," ")</f>
        <v> </v>
      </c>
      <c r="AB41" s="17" t="str">
        <f aca="false">IF((E41="h"),H41," ")</f>
        <v> </v>
      </c>
      <c r="AC41" s="30" t="str">
        <f aca="false">IF((E41="v"),H41," ")</f>
        <v> </v>
      </c>
      <c r="AD41" s="30" t="str">
        <f aca="false">IF((E41="n"),H41," ")</f>
        <v> </v>
      </c>
      <c r="AE41" s="17" t="str">
        <f aca="false">IF((E41="f"),H41," ")</f>
        <v> </v>
      </c>
      <c r="AF41" s="17" t="str">
        <f aca="false">IF((E41="l"),H41," ")</f>
        <v> </v>
      </c>
      <c r="AG41" s="17" t="str">
        <f aca="false">IF((E41="y"),H41," ")</f>
        <v> </v>
      </c>
      <c r="AH41" s="17" t="str">
        <f aca="false">IF((E41="z"),H41," ")</f>
        <v> </v>
      </c>
      <c r="AI41" s="17" t="str">
        <f aca="false">IF((E41="fa"),H41," ")</f>
        <v> </v>
      </c>
      <c r="AJ41" s="17" t="str">
        <f aca="false">IF((E41="e"),H41," ")</f>
        <v> </v>
      </c>
    </row>
    <row r="42" customFormat="false" ht="12" hidden="false" customHeight="false" outlineLevel="0" collapsed="false">
      <c r="A42" s="28"/>
      <c r="E42" s="2"/>
      <c r="F42" s="30"/>
      <c r="G42" s="6" t="str">
        <f aca="false">IF(F42&lt;&gt;0,F42*G$2/(100+G$2)," ")</f>
        <v> </v>
      </c>
      <c r="H42" s="6" t="str">
        <f aca="false">IF((F42&lt;&gt;0),F42-G42," ")</f>
        <v> </v>
      </c>
      <c r="I42" s="5"/>
      <c r="L42" s="7" t="str">
        <f aca="false">IF(F42&lt;&gt;0,F42-K42," ")</f>
        <v> </v>
      </c>
      <c r="M42" s="8" t="str">
        <f aca="false">IF((F42-K42)&lt;&gt;0,M$1-A42," ")</f>
        <v> </v>
      </c>
      <c r="N42" s="5"/>
      <c r="O42" s="17" t="str">
        <f aca="false">IF((E42="s"),H42," ")</f>
        <v> </v>
      </c>
      <c r="P42" s="17" t="str">
        <f aca="false">IF((E42="c"),H42," ")</f>
        <v> </v>
      </c>
      <c r="Q42" s="17" t="str">
        <f aca="false">IF((E42="o"),H42," ")</f>
        <v> </v>
      </c>
      <c r="R42" s="17" t="str">
        <f aca="false">IF((E42="d"),H42," ")</f>
        <v> </v>
      </c>
      <c r="S42" s="17" t="str">
        <f aca="false">IF((E42="w"),H42," ")</f>
        <v> </v>
      </c>
      <c r="T42" s="17" t="str">
        <f aca="false">IF((E42="r"),H42," ")</f>
        <v> </v>
      </c>
      <c r="U42" s="17" t="str">
        <f aca="false">IF((E42="p"),H42," ")</f>
        <v> </v>
      </c>
      <c r="V42" s="17" t="str">
        <f aca="false">IF((E42="t"),H42," ")</f>
        <v> </v>
      </c>
      <c r="W42" s="17" t="str">
        <f aca="false">IF((E42="q"),H42," ")</f>
        <v> </v>
      </c>
      <c r="X42" s="17" t="str">
        <f aca="false">IF((E42="m"),H42," ")</f>
        <v> </v>
      </c>
      <c r="Y42" s="17" t="str">
        <f aca="false">IF((E42="u"),H42," ")</f>
        <v> </v>
      </c>
      <c r="Z42" s="17" t="str">
        <f aca="false">IF((E42="a"),H42," ")</f>
        <v> </v>
      </c>
      <c r="AA42" s="17" t="str">
        <f aca="false">IF((E42="g"),H42," ")</f>
        <v> </v>
      </c>
      <c r="AB42" s="17" t="str">
        <f aca="false">IF((E42="h"),H42," ")</f>
        <v> </v>
      </c>
      <c r="AC42" s="30" t="str">
        <f aca="false">IF((E42="v"),H42," ")</f>
        <v> </v>
      </c>
      <c r="AD42" s="30" t="str">
        <f aca="false">IF((E42="n"),H42," ")</f>
        <v> </v>
      </c>
      <c r="AE42" s="17" t="str">
        <f aca="false">IF((E42="f"),H42," ")</f>
        <v> </v>
      </c>
      <c r="AF42" s="17" t="str">
        <f aca="false">IF((E42="l"),H42," ")</f>
        <v> </v>
      </c>
      <c r="AG42" s="17" t="str">
        <f aca="false">IF((E42="y"),H42," ")</f>
        <v> </v>
      </c>
      <c r="AH42" s="17" t="str">
        <f aca="false">IF((E42="z"),H42," ")</f>
        <v> </v>
      </c>
      <c r="AI42" s="17" t="str">
        <f aca="false">IF((E42="fa"),H42," ")</f>
        <v> </v>
      </c>
      <c r="AJ42" s="17" t="str">
        <f aca="false">IF((E42="e"),H42," ")</f>
        <v> </v>
      </c>
    </row>
    <row r="43" customFormat="false" ht="12" hidden="false" customHeight="false" outlineLevel="0" collapsed="false">
      <c r="A43" s="28"/>
      <c r="E43" s="2"/>
      <c r="F43" s="30"/>
      <c r="G43" s="6" t="str">
        <f aca="false">IF(F43&lt;&gt;0,F43*G$2/(100+G$2)," ")</f>
        <v> </v>
      </c>
      <c r="H43" s="6" t="str">
        <f aca="false">IF((F43&lt;&gt;0),F43-G43," ")</f>
        <v> </v>
      </c>
      <c r="I43" s="5"/>
      <c r="L43" s="7" t="str">
        <f aca="false">IF(F43&lt;&gt;0,F43-K43," ")</f>
        <v> </v>
      </c>
      <c r="M43" s="8" t="str">
        <f aca="false">IF((F43-K43)&lt;&gt;0,M$1-A43," ")</f>
        <v> </v>
      </c>
      <c r="N43" s="5"/>
      <c r="O43" s="17" t="str">
        <f aca="false">IF((E43="s"),H43," ")</f>
        <v> </v>
      </c>
      <c r="P43" s="17" t="str">
        <f aca="false">IF((E43="c"),H43," ")</f>
        <v> </v>
      </c>
      <c r="Q43" s="17" t="str">
        <f aca="false">IF((E43="o"),H43," ")</f>
        <v> </v>
      </c>
      <c r="R43" s="17" t="str">
        <f aca="false">IF((E43="d"),H43," ")</f>
        <v> </v>
      </c>
      <c r="S43" s="17" t="str">
        <f aca="false">IF((E43="w"),H43," ")</f>
        <v> </v>
      </c>
      <c r="T43" s="17" t="str">
        <f aca="false">IF((E43="r"),H43," ")</f>
        <v> </v>
      </c>
      <c r="U43" s="17" t="str">
        <f aca="false">IF((E43="p"),H43," ")</f>
        <v> </v>
      </c>
      <c r="V43" s="17" t="str">
        <f aca="false">IF((E43="t"),H43," ")</f>
        <v> </v>
      </c>
      <c r="W43" s="17" t="str">
        <f aca="false">IF((E43="q"),H43," ")</f>
        <v> </v>
      </c>
      <c r="X43" s="17" t="str">
        <f aca="false">IF((E43="m"),H43," ")</f>
        <v> </v>
      </c>
      <c r="Y43" s="17" t="str">
        <f aca="false">IF((E43="u"),H43," ")</f>
        <v> </v>
      </c>
      <c r="Z43" s="17" t="str">
        <f aca="false">IF((E43="a"),H43," ")</f>
        <v> </v>
      </c>
      <c r="AA43" s="17" t="str">
        <f aca="false">IF((E43="g"),H43," ")</f>
        <v> </v>
      </c>
      <c r="AB43" s="17" t="str">
        <f aca="false">IF((E43="h"),H43," ")</f>
        <v> </v>
      </c>
      <c r="AC43" s="30" t="str">
        <f aca="false">IF((E43="v"),H43," ")</f>
        <v> </v>
      </c>
      <c r="AD43" s="30" t="str">
        <f aca="false">IF((E43="n"),H43," ")</f>
        <v> </v>
      </c>
      <c r="AE43" s="17" t="str">
        <f aca="false">IF((E43="f"),H43," ")</f>
        <v> </v>
      </c>
      <c r="AF43" s="17" t="str">
        <f aca="false">IF((E43="l"),H43," ")</f>
        <v> </v>
      </c>
      <c r="AG43" s="17" t="str">
        <f aca="false">IF((E43="y"),H43," ")</f>
        <v> </v>
      </c>
      <c r="AH43" s="17" t="str">
        <f aca="false">IF((E43="z"),H43," ")</f>
        <v> </v>
      </c>
      <c r="AI43" s="17" t="str">
        <f aca="false">IF((E43="fa"),H43," ")</f>
        <v> </v>
      </c>
      <c r="AJ43" s="17" t="str">
        <f aca="false">IF((E43="e"),H43," ")</f>
        <v> </v>
      </c>
    </row>
    <row r="44" customFormat="false" ht="12" hidden="false" customHeight="false" outlineLevel="0" collapsed="false">
      <c r="A44" s="28"/>
      <c r="E44" s="2"/>
      <c r="F44" s="30"/>
      <c r="G44" s="6" t="str">
        <f aca="false">IF(F44&lt;&gt;0,F44*G$2/(100+G$2)," ")</f>
        <v> </v>
      </c>
      <c r="H44" s="6" t="str">
        <f aca="false">IF((F44&lt;&gt;0),F44-G44," ")</f>
        <v> </v>
      </c>
      <c r="I44" s="5"/>
      <c r="L44" s="7" t="str">
        <f aca="false">IF(F44&lt;&gt;0,F44-K44," ")</f>
        <v> </v>
      </c>
      <c r="M44" s="8" t="str">
        <f aca="false">IF((F44-K44)&lt;&gt;0,M$1-A44," ")</f>
        <v> </v>
      </c>
      <c r="N44" s="5"/>
      <c r="O44" s="17" t="str">
        <f aca="false">IF((E44="s"),H44," ")</f>
        <v> </v>
      </c>
      <c r="P44" s="17" t="str">
        <f aca="false">IF((E44="c"),H44," ")</f>
        <v> </v>
      </c>
      <c r="Q44" s="17" t="str">
        <f aca="false">IF((E44="o"),H44," ")</f>
        <v> </v>
      </c>
      <c r="R44" s="17" t="str">
        <f aca="false">IF((E44="d"),H44," ")</f>
        <v> </v>
      </c>
      <c r="S44" s="17" t="str">
        <f aca="false">IF((E44="w"),H44," ")</f>
        <v> </v>
      </c>
      <c r="T44" s="17" t="str">
        <f aca="false">IF((E44="r"),H44," ")</f>
        <v> </v>
      </c>
      <c r="U44" s="17" t="str">
        <f aca="false">IF((E44="p"),H44," ")</f>
        <v> </v>
      </c>
      <c r="V44" s="17" t="str">
        <f aca="false">IF((E44="t"),H44," ")</f>
        <v> </v>
      </c>
      <c r="W44" s="17" t="str">
        <f aca="false">IF((E44="q"),H44," ")</f>
        <v> </v>
      </c>
      <c r="X44" s="17" t="str">
        <f aca="false">IF((E44="m"),H44," ")</f>
        <v> </v>
      </c>
      <c r="Y44" s="17" t="str">
        <f aca="false">IF((E44="u"),H44," ")</f>
        <v> </v>
      </c>
      <c r="Z44" s="17" t="str">
        <f aca="false">IF((E44="a"),H44," ")</f>
        <v> </v>
      </c>
      <c r="AA44" s="17" t="str">
        <f aca="false">IF((E44="g"),H44," ")</f>
        <v> </v>
      </c>
      <c r="AB44" s="17" t="str">
        <f aca="false">IF((E44="h"),H44," ")</f>
        <v> </v>
      </c>
      <c r="AC44" s="30" t="str">
        <f aca="false">IF((E44="v"),H44," ")</f>
        <v> </v>
      </c>
      <c r="AD44" s="30" t="str">
        <f aca="false">IF((E44="n"),H44," ")</f>
        <v> </v>
      </c>
      <c r="AE44" s="17" t="str">
        <f aca="false">IF((E44="f"),H44," ")</f>
        <v> </v>
      </c>
      <c r="AF44" s="17" t="str">
        <f aca="false">IF((E44="l"),H44," ")</f>
        <v> </v>
      </c>
      <c r="AG44" s="17" t="str">
        <f aca="false">IF((E44="y"),H44," ")</f>
        <v> </v>
      </c>
      <c r="AH44" s="17" t="str">
        <f aca="false">IF((E44="z"),H44," ")</f>
        <v> </v>
      </c>
      <c r="AI44" s="17" t="str">
        <f aca="false">IF((E44="fa"),H44," ")</f>
        <v> </v>
      </c>
      <c r="AJ44" s="17" t="str">
        <f aca="false">IF((E44="e"),H44," ")</f>
        <v> </v>
      </c>
    </row>
    <row r="45" customFormat="false" ht="12" hidden="false" customHeight="false" outlineLevel="0" collapsed="false">
      <c r="A45" s="28"/>
      <c r="E45" s="2"/>
      <c r="F45" s="30"/>
      <c r="G45" s="6" t="str">
        <f aca="false">IF(F45&lt;&gt;0,F45*G$2/(100+G$2)," ")</f>
        <v> </v>
      </c>
      <c r="H45" s="6" t="str">
        <f aca="false">IF((F45&lt;&gt;0),F45-G45," ")</f>
        <v> </v>
      </c>
      <c r="I45" s="5"/>
      <c r="L45" s="7" t="str">
        <f aca="false">IF(F45&lt;&gt;0,F45-K45," ")</f>
        <v> </v>
      </c>
      <c r="M45" s="8" t="str">
        <f aca="false">IF((F45-K45)&lt;&gt;0,M$1-A45," ")</f>
        <v> </v>
      </c>
      <c r="N45" s="5"/>
      <c r="O45" s="17" t="str">
        <f aca="false">IF((E45="s"),H45," ")</f>
        <v> </v>
      </c>
      <c r="P45" s="17" t="str">
        <f aca="false">IF((E45="c"),H45," ")</f>
        <v> </v>
      </c>
      <c r="Q45" s="17" t="str">
        <f aca="false">IF((E45="o"),H45," ")</f>
        <v> </v>
      </c>
      <c r="R45" s="17" t="str">
        <f aca="false">IF((E45="d"),H45," ")</f>
        <v> </v>
      </c>
      <c r="S45" s="17" t="str">
        <f aca="false">IF((E45="w"),H45," ")</f>
        <v> </v>
      </c>
      <c r="T45" s="17" t="str">
        <f aca="false">IF((E45="r"),H45," ")</f>
        <v> </v>
      </c>
      <c r="U45" s="17" t="str">
        <f aca="false">IF((E45="p"),H45," ")</f>
        <v> </v>
      </c>
      <c r="V45" s="17" t="str">
        <f aca="false">IF((E45="t"),H45," ")</f>
        <v> </v>
      </c>
      <c r="W45" s="17" t="str">
        <f aca="false">IF((E45="q"),H45," ")</f>
        <v> </v>
      </c>
      <c r="X45" s="17" t="str">
        <f aca="false">IF((E45="m"),H45," ")</f>
        <v> </v>
      </c>
      <c r="Y45" s="17" t="str">
        <f aca="false">IF((E45="u"),H45," ")</f>
        <v> </v>
      </c>
      <c r="Z45" s="17" t="str">
        <f aca="false">IF((E45="a"),H45," ")</f>
        <v> </v>
      </c>
      <c r="AA45" s="17" t="str">
        <f aca="false">IF((E45="g"),H45," ")</f>
        <v> </v>
      </c>
      <c r="AB45" s="17" t="str">
        <f aca="false">IF((E45="h"),H45," ")</f>
        <v> </v>
      </c>
      <c r="AC45" s="30" t="str">
        <f aca="false">IF((E45="v"),H45," ")</f>
        <v> </v>
      </c>
      <c r="AD45" s="30" t="str">
        <f aca="false">IF((E45="n"),H45," ")</f>
        <v> </v>
      </c>
      <c r="AE45" s="17" t="str">
        <f aca="false">IF((E45="f"),H45," ")</f>
        <v> </v>
      </c>
      <c r="AF45" s="17" t="str">
        <f aca="false">IF((E45="l"),H45," ")</f>
        <v> </v>
      </c>
      <c r="AG45" s="17" t="str">
        <f aca="false">IF((E45="y"),H45," ")</f>
        <v> </v>
      </c>
      <c r="AH45" s="17" t="str">
        <f aca="false">IF((E45="z"),H45," ")</f>
        <v> </v>
      </c>
      <c r="AI45" s="17" t="str">
        <f aca="false">IF((E45="fa"),H45," ")</f>
        <v> </v>
      </c>
      <c r="AJ45" s="17" t="str">
        <f aca="false">IF((E45="e"),H45," ")</f>
        <v> </v>
      </c>
    </row>
    <row r="46" customFormat="false" ht="12" hidden="false" customHeight="false" outlineLevel="0" collapsed="false">
      <c r="A46" s="28"/>
      <c r="E46" s="2"/>
      <c r="F46" s="30"/>
      <c r="G46" s="6" t="str">
        <f aca="false">IF(F46&lt;&gt;0,F46*G$2/(100+G$2)," ")</f>
        <v> </v>
      </c>
      <c r="H46" s="6" t="str">
        <f aca="false">IF((F46&lt;&gt;0),F46-G46," ")</f>
        <v> </v>
      </c>
      <c r="I46" s="5"/>
      <c r="L46" s="7" t="str">
        <f aca="false">IF(F46&lt;&gt;0,F46-K46," ")</f>
        <v> </v>
      </c>
      <c r="M46" s="8" t="str">
        <f aca="false">IF((F46-K46)&lt;&gt;0,M$1-A46," ")</f>
        <v> </v>
      </c>
      <c r="N46" s="5"/>
      <c r="O46" s="17" t="str">
        <f aca="false">IF((E46="s"),H46," ")</f>
        <v> </v>
      </c>
      <c r="P46" s="17" t="str">
        <f aca="false">IF((E46="c"),H46," ")</f>
        <v> </v>
      </c>
      <c r="Q46" s="17" t="str">
        <f aca="false">IF((E46="o"),H46," ")</f>
        <v> </v>
      </c>
      <c r="R46" s="17" t="str">
        <f aca="false">IF((E46="d"),H46," ")</f>
        <v> </v>
      </c>
      <c r="S46" s="17" t="str">
        <f aca="false">IF((E46="w"),H46," ")</f>
        <v> </v>
      </c>
      <c r="T46" s="17" t="str">
        <f aca="false">IF((E46="r"),H46," ")</f>
        <v> </v>
      </c>
      <c r="U46" s="17" t="str">
        <f aca="false">IF((E46="p"),H46," ")</f>
        <v> </v>
      </c>
      <c r="V46" s="17" t="str">
        <f aca="false">IF((E46="t"),H46," ")</f>
        <v> </v>
      </c>
      <c r="W46" s="17" t="str">
        <f aca="false">IF((E46="q"),H46," ")</f>
        <v> </v>
      </c>
      <c r="X46" s="17" t="str">
        <f aca="false">IF((E46="m"),H46," ")</f>
        <v> </v>
      </c>
      <c r="Y46" s="17" t="str">
        <f aca="false">IF((E46="u"),H46," ")</f>
        <v> </v>
      </c>
      <c r="Z46" s="17" t="str">
        <f aca="false">IF((E46="a"),H46," ")</f>
        <v> </v>
      </c>
      <c r="AA46" s="17" t="str">
        <f aca="false">IF((E46="g"),H46," ")</f>
        <v> </v>
      </c>
      <c r="AB46" s="17" t="str">
        <f aca="false">IF((E46="h"),H46," ")</f>
        <v> </v>
      </c>
      <c r="AC46" s="30" t="str">
        <f aca="false">IF((E46="v"),H46," ")</f>
        <v> </v>
      </c>
      <c r="AD46" s="30" t="str">
        <f aca="false">IF((E46="n"),H46," ")</f>
        <v> </v>
      </c>
      <c r="AE46" s="17" t="str">
        <f aca="false">IF((E46="f"),H46," ")</f>
        <v> </v>
      </c>
      <c r="AF46" s="17" t="str">
        <f aca="false">IF((E46="l"),H46," ")</f>
        <v> </v>
      </c>
      <c r="AG46" s="17" t="str">
        <f aca="false">IF((E46="y"),H46," ")</f>
        <v> </v>
      </c>
      <c r="AH46" s="17" t="str">
        <f aca="false">IF((E46="z"),H46," ")</f>
        <v> </v>
      </c>
      <c r="AI46" s="17" t="str">
        <f aca="false">IF((E46="fa"),H46," ")</f>
        <v> </v>
      </c>
      <c r="AJ46" s="17" t="str">
        <f aca="false">IF((E46="e"),H46," ")</f>
        <v> </v>
      </c>
    </row>
    <row r="47" customFormat="false" ht="12" hidden="false" customHeight="false" outlineLevel="0" collapsed="false">
      <c r="A47" s="28"/>
      <c r="E47" s="2"/>
      <c r="F47" s="30"/>
      <c r="G47" s="6" t="str">
        <f aca="false">IF(F47&lt;&gt;0,F47*G$2/(100+G$2)," ")</f>
        <v> </v>
      </c>
      <c r="H47" s="6" t="str">
        <f aca="false">IF((F47&lt;&gt;0),F47-G47," ")</f>
        <v> </v>
      </c>
      <c r="I47" s="5"/>
      <c r="L47" s="7" t="str">
        <f aca="false">IF(F47&lt;&gt;0,F47-K47," ")</f>
        <v> </v>
      </c>
      <c r="M47" s="8" t="str">
        <f aca="false">IF((F47-K47)&lt;&gt;0,M$1-A47," ")</f>
        <v> </v>
      </c>
      <c r="N47" s="5"/>
      <c r="O47" s="17" t="str">
        <f aca="false">IF((E47="s"),H47," ")</f>
        <v> </v>
      </c>
      <c r="P47" s="17" t="str">
        <f aca="false">IF((E47="c"),H47," ")</f>
        <v> </v>
      </c>
      <c r="Q47" s="17" t="str">
        <f aca="false">IF((E47="o"),H47," ")</f>
        <v> </v>
      </c>
      <c r="R47" s="17" t="str">
        <f aca="false">IF((E47="d"),H47," ")</f>
        <v> </v>
      </c>
      <c r="S47" s="17" t="str">
        <f aca="false">IF((E47="w"),H47," ")</f>
        <v> </v>
      </c>
      <c r="T47" s="17" t="str">
        <f aca="false">IF((E47="r"),H47," ")</f>
        <v> </v>
      </c>
      <c r="U47" s="17" t="str">
        <f aca="false">IF((E47="p"),H47," ")</f>
        <v> </v>
      </c>
      <c r="V47" s="17" t="str">
        <f aca="false">IF((E47="t"),H47," ")</f>
        <v> </v>
      </c>
      <c r="W47" s="17" t="str">
        <f aca="false">IF((E47="q"),H47," ")</f>
        <v> </v>
      </c>
      <c r="X47" s="17" t="str">
        <f aca="false">IF((E47="m"),H47," ")</f>
        <v> </v>
      </c>
      <c r="Y47" s="17" t="str">
        <f aca="false">IF((E47="u"),H47," ")</f>
        <v> </v>
      </c>
      <c r="Z47" s="17" t="str">
        <f aca="false">IF((E47="a"),H47," ")</f>
        <v> </v>
      </c>
      <c r="AA47" s="17" t="str">
        <f aca="false">IF((E47="g"),H47," ")</f>
        <v> </v>
      </c>
      <c r="AB47" s="17" t="str">
        <f aca="false">IF((E47="h"),H47," ")</f>
        <v> </v>
      </c>
      <c r="AC47" s="30" t="str">
        <f aca="false">IF((E47="v"),H47," ")</f>
        <v> </v>
      </c>
      <c r="AD47" s="30" t="str">
        <f aca="false">IF((E47="n"),H47," ")</f>
        <v> </v>
      </c>
      <c r="AE47" s="17" t="str">
        <f aca="false">IF((E47="f"),H47," ")</f>
        <v> </v>
      </c>
      <c r="AF47" s="17" t="str">
        <f aca="false">IF((E47="l"),H47," ")</f>
        <v> </v>
      </c>
      <c r="AG47" s="17" t="str">
        <f aca="false">IF((E47="y"),H47," ")</f>
        <v> </v>
      </c>
      <c r="AH47" s="17" t="str">
        <f aca="false">IF((E47="z"),H47," ")</f>
        <v> </v>
      </c>
      <c r="AI47" s="17" t="str">
        <f aca="false">IF((E47="fa"),H47," ")</f>
        <v> </v>
      </c>
      <c r="AJ47" s="17" t="str">
        <f aca="false">IF((E47="e"),H47," ")</f>
        <v> </v>
      </c>
    </row>
    <row r="48" customFormat="false" ht="12" hidden="false" customHeight="false" outlineLevel="0" collapsed="false">
      <c r="A48" s="28"/>
      <c r="E48" s="2"/>
      <c r="F48" s="30"/>
      <c r="G48" s="6" t="str">
        <f aca="false">IF(F48&lt;&gt;0,F48*G$2/(100+G$2)," ")</f>
        <v> </v>
      </c>
      <c r="H48" s="6" t="str">
        <f aca="false">IF((F48&lt;&gt;0),F48-G48," ")</f>
        <v> </v>
      </c>
      <c r="I48" s="5"/>
      <c r="L48" s="7" t="str">
        <f aca="false">IF(F48&lt;&gt;0,F48-K48," ")</f>
        <v> </v>
      </c>
      <c r="M48" s="8" t="str">
        <f aca="false">IF((F48-K48)&lt;&gt;0,M$1-A48," ")</f>
        <v> </v>
      </c>
      <c r="N48" s="5"/>
      <c r="O48" s="17" t="str">
        <f aca="false">IF((E48="s"),H48," ")</f>
        <v> </v>
      </c>
      <c r="P48" s="17" t="str">
        <f aca="false">IF((E48="c"),H48," ")</f>
        <v> </v>
      </c>
      <c r="Q48" s="17" t="str">
        <f aca="false">IF((E48="o"),H48," ")</f>
        <v> </v>
      </c>
      <c r="R48" s="17" t="str">
        <f aca="false">IF((E48="d"),H48," ")</f>
        <v> </v>
      </c>
      <c r="S48" s="17" t="str">
        <f aca="false">IF((E48="w"),H48," ")</f>
        <v> </v>
      </c>
      <c r="T48" s="17" t="str">
        <f aca="false">IF((E48="r"),H48," ")</f>
        <v> </v>
      </c>
      <c r="U48" s="17" t="str">
        <f aca="false">IF((E48="p"),H48," ")</f>
        <v> </v>
      </c>
      <c r="V48" s="17" t="str">
        <f aca="false">IF((E48="t"),H48," ")</f>
        <v> </v>
      </c>
      <c r="W48" s="17" t="str">
        <f aca="false">IF((E48="q"),H48," ")</f>
        <v> </v>
      </c>
      <c r="X48" s="17" t="str">
        <f aca="false">IF((E48="m"),H48," ")</f>
        <v> </v>
      </c>
      <c r="Y48" s="17" t="str">
        <f aca="false">IF((E48="u"),H48," ")</f>
        <v> </v>
      </c>
      <c r="Z48" s="17" t="str">
        <f aca="false">IF((E48="a"),H48," ")</f>
        <v> </v>
      </c>
      <c r="AA48" s="17" t="str">
        <f aca="false">IF((E48="g"),H48," ")</f>
        <v> </v>
      </c>
      <c r="AB48" s="17" t="str">
        <f aca="false">IF((E48="h"),H48," ")</f>
        <v> </v>
      </c>
      <c r="AC48" s="30" t="str">
        <f aca="false">IF((E48="v"),H48," ")</f>
        <v> </v>
      </c>
      <c r="AD48" s="30" t="str">
        <f aca="false">IF((E48="n"),H48," ")</f>
        <v> </v>
      </c>
      <c r="AE48" s="17" t="str">
        <f aca="false">IF((E48="f"),H48," ")</f>
        <v> </v>
      </c>
      <c r="AF48" s="17" t="str">
        <f aca="false">IF((E48="l"),H48," ")</f>
        <v> </v>
      </c>
      <c r="AG48" s="17" t="str">
        <f aca="false">IF((E48="y"),H48," ")</f>
        <v> </v>
      </c>
      <c r="AH48" s="17" t="str">
        <f aca="false">IF((E48="z"),H48," ")</f>
        <v> </v>
      </c>
      <c r="AI48" s="17" t="str">
        <f aca="false">IF((E48="fa"),H48," ")</f>
        <v> </v>
      </c>
      <c r="AJ48" s="17" t="str">
        <f aca="false">IF((E48="e"),H48," ")</f>
        <v> </v>
      </c>
    </row>
    <row r="49" customFormat="false" ht="12" hidden="false" customHeight="false" outlineLevel="0" collapsed="false">
      <c r="A49" s="28"/>
      <c r="E49" s="2"/>
      <c r="F49" s="30"/>
      <c r="G49" s="6" t="str">
        <f aca="false">IF(F49&lt;&gt;0,F49*G$2/(100+G$2)," ")</f>
        <v> </v>
      </c>
      <c r="H49" s="6" t="str">
        <f aca="false">IF((F49&lt;&gt;0),F49-G49," ")</f>
        <v> </v>
      </c>
      <c r="I49" s="5"/>
      <c r="L49" s="7" t="str">
        <f aca="false">IF(F49&lt;&gt;0,F49-K49," ")</f>
        <v> </v>
      </c>
      <c r="M49" s="8" t="str">
        <f aca="false">IF((F49-K49)&lt;&gt;0,M$1-A49," ")</f>
        <v> </v>
      </c>
      <c r="N49" s="5"/>
      <c r="O49" s="17" t="str">
        <f aca="false">IF((E49="s"),H49," ")</f>
        <v> </v>
      </c>
      <c r="P49" s="17" t="str">
        <f aca="false">IF((E49="c"),H49," ")</f>
        <v> </v>
      </c>
      <c r="Q49" s="17" t="str">
        <f aca="false">IF((E49="o"),H49," ")</f>
        <v> </v>
      </c>
      <c r="R49" s="17" t="str">
        <f aca="false">IF((E49="d"),H49," ")</f>
        <v> </v>
      </c>
      <c r="S49" s="17" t="str">
        <f aca="false">IF((E49="w"),H49," ")</f>
        <v> </v>
      </c>
      <c r="T49" s="17" t="str">
        <f aca="false">IF((E49="r"),H49," ")</f>
        <v> </v>
      </c>
      <c r="U49" s="17" t="str">
        <f aca="false">IF((E49="p"),H49," ")</f>
        <v> </v>
      </c>
      <c r="V49" s="17" t="str">
        <f aca="false">IF((E49="t"),H49," ")</f>
        <v> </v>
      </c>
      <c r="W49" s="17" t="str">
        <f aca="false">IF((E49="q"),H49," ")</f>
        <v> </v>
      </c>
      <c r="X49" s="17" t="str">
        <f aca="false">IF((E49="m"),H49," ")</f>
        <v> </v>
      </c>
      <c r="Y49" s="17" t="str">
        <f aca="false">IF((E49="u"),H49," ")</f>
        <v> </v>
      </c>
      <c r="Z49" s="17" t="str">
        <f aca="false">IF((E49="a"),H49," ")</f>
        <v> </v>
      </c>
      <c r="AA49" s="17" t="str">
        <f aca="false">IF((E49="g"),H49," ")</f>
        <v> </v>
      </c>
      <c r="AB49" s="17" t="str">
        <f aca="false">IF((E49="h"),H49," ")</f>
        <v> </v>
      </c>
      <c r="AC49" s="30" t="str">
        <f aca="false">IF((E49="v"),H49," ")</f>
        <v> </v>
      </c>
      <c r="AD49" s="30" t="str">
        <f aca="false">IF((E49="n"),H49," ")</f>
        <v> </v>
      </c>
      <c r="AE49" s="17" t="str">
        <f aca="false">IF((E49="f"),H49," ")</f>
        <v> </v>
      </c>
      <c r="AF49" s="17" t="str">
        <f aca="false">IF((E49="l"),H49," ")</f>
        <v> </v>
      </c>
      <c r="AG49" s="17" t="str">
        <f aca="false">IF((E49="y"),H49," ")</f>
        <v> </v>
      </c>
      <c r="AH49" s="17" t="str">
        <f aca="false">IF((E49="z"),H49," ")</f>
        <v> </v>
      </c>
      <c r="AI49" s="17" t="str">
        <f aca="false">IF((E49="fa"),H49," ")</f>
        <v> </v>
      </c>
      <c r="AJ49" s="17" t="str">
        <f aca="false">IF((E49="e"),H49," ")</f>
        <v> </v>
      </c>
    </row>
    <row r="50" customFormat="false" ht="12" hidden="false" customHeight="false" outlineLevel="0" collapsed="false">
      <c r="A50" s="28"/>
      <c r="E50" s="2"/>
      <c r="F50" s="30"/>
      <c r="G50" s="6" t="str">
        <f aca="false">IF(F50&lt;&gt;0,F50*G$2/(100+G$2)," ")</f>
        <v> </v>
      </c>
      <c r="H50" s="6" t="str">
        <f aca="false">IF((F50&lt;&gt;0),F50-G50," ")</f>
        <v> </v>
      </c>
      <c r="I50" s="5"/>
      <c r="L50" s="7" t="str">
        <f aca="false">IF(F50&lt;&gt;0,F50-K50," ")</f>
        <v> </v>
      </c>
      <c r="M50" s="8" t="str">
        <f aca="false">IF((F50-K50)&lt;&gt;0,M$1-A50," ")</f>
        <v> </v>
      </c>
      <c r="N50" s="5"/>
      <c r="O50" s="17" t="str">
        <f aca="false">IF((E50="s"),H50," ")</f>
        <v> </v>
      </c>
      <c r="P50" s="17" t="str">
        <f aca="false">IF((E50="c"),H50," ")</f>
        <v> </v>
      </c>
      <c r="Q50" s="17" t="str">
        <f aca="false">IF((E50="o"),H50," ")</f>
        <v> </v>
      </c>
      <c r="R50" s="17" t="str">
        <f aca="false">IF((E50="d"),H50," ")</f>
        <v> </v>
      </c>
      <c r="S50" s="17" t="str">
        <f aca="false">IF((E50="w"),H50," ")</f>
        <v> </v>
      </c>
      <c r="T50" s="17" t="str">
        <f aca="false">IF((E50="r"),H50," ")</f>
        <v> </v>
      </c>
      <c r="U50" s="17" t="str">
        <f aca="false">IF((E50="p"),H50," ")</f>
        <v> </v>
      </c>
      <c r="V50" s="17" t="str">
        <f aca="false">IF((E50="t"),H50," ")</f>
        <v> </v>
      </c>
      <c r="W50" s="17" t="str">
        <f aca="false">IF((E50="q"),H50," ")</f>
        <v> </v>
      </c>
      <c r="X50" s="17" t="str">
        <f aca="false">IF((E50="m"),H50," ")</f>
        <v> </v>
      </c>
      <c r="Y50" s="17" t="str">
        <f aca="false">IF((E50="u"),H50," ")</f>
        <v> </v>
      </c>
      <c r="Z50" s="17" t="str">
        <f aca="false">IF((E50="a"),H50," ")</f>
        <v> </v>
      </c>
      <c r="AA50" s="17" t="str">
        <f aca="false">IF((E50="g"),H50," ")</f>
        <v> </v>
      </c>
      <c r="AB50" s="17" t="str">
        <f aca="false">IF((E50="h"),H50," ")</f>
        <v> </v>
      </c>
      <c r="AC50" s="30" t="str">
        <f aca="false">IF((E50="v"),H50," ")</f>
        <v> </v>
      </c>
      <c r="AD50" s="30" t="str">
        <f aca="false">IF((E50="n"),H50," ")</f>
        <v> </v>
      </c>
      <c r="AE50" s="17" t="str">
        <f aca="false">IF((E50="f"),H50," ")</f>
        <v> </v>
      </c>
      <c r="AF50" s="17" t="str">
        <f aca="false">IF((E50="l"),H50," ")</f>
        <v> </v>
      </c>
      <c r="AG50" s="17" t="str">
        <f aca="false">IF((E50="y"),H50," ")</f>
        <v> </v>
      </c>
      <c r="AH50" s="17" t="str">
        <f aca="false">IF((E50="z"),H50," ")</f>
        <v> </v>
      </c>
      <c r="AI50" s="17" t="str">
        <f aca="false">IF((E50="fa"),H50," ")</f>
        <v> </v>
      </c>
      <c r="AJ50" s="17" t="str">
        <f aca="false">IF((E50="e"),H50," ")</f>
        <v> </v>
      </c>
    </row>
    <row r="51" customFormat="false" ht="12" hidden="false" customHeight="false" outlineLevel="0" collapsed="false">
      <c r="A51" s="28"/>
      <c r="E51" s="2"/>
      <c r="F51" s="30"/>
      <c r="G51" s="6" t="str">
        <f aca="false">IF(F51&lt;&gt;0,F51*G$2/(100+G$2)," ")</f>
        <v> </v>
      </c>
      <c r="H51" s="6" t="str">
        <f aca="false">IF((F51&lt;&gt;0),F51-G51," ")</f>
        <v> </v>
      </c>
      <c r="I51" s="5"/>
      <c r="L51" s="7" t="str">
        <f aca="false">IF(F51&lt;&gt;0,F51-K51," ")</f>
        <v> </v>
      </c>
      <c r="M51" s="8" t="str">
        <f aca="false">IF((F51-K51)&lt;&gt;0,M$1-A51," ")</f>
        <v> </v>
      </c>
      <c r="N51" s="5"/>
      <c r="O51" s="17" t="str">
        <f aca="false">IF((E51="s"),H51," ")</f>
        <v> </v>
      </c>
      <c r="P51" s="17" t="str">
        <f aca="false">IF((E51="c"),H51," ")</f>
        <v> </v>
      </c>
      <c r="Q51" s="17" t="str">
        <f aca="false">IF((E51="o"),H51," ")</f>
        <v> </v>
      </c>
      <c r="R51" s="17" t="str">
        <f aca="false">IF((E51="d"),H51," ")</f>
        <v> </v>
      </c>
      <c r="S51" s="17" t="str">
        <f aca="false">IF((E51="w"),H51," ")</f>
        <v> </v>
      </c>
      <c r="T51" s="17" t="str">
        <f aca="false">IF((E51="r"),H51," ")</f>
        <v> </v>
      </c>
      <c r="U51" s="17" t="str">
        <f aca="false">IF((E51="p"),H51," ")</f>
        <v> </v>
      </c>
      <c r="V51" s="17" t="str">
        <f aca="false">IF((E51="t"),H51," ")</f>
        <v> </v>
      </c>
      <c r="W51" s="17" t="str">
        <f aca="false">IF((E51="q"),H51," ")</f>
        <v> </v>
      </c>
      <c r="X51" s="17" t="str">
        <f aca="false">IF((E51="m"),H51," ")</f>
        <v> </v>
      </c>
      <c r="Y51" s="17" t="str">
        <f aca="false">IF((E51="u"),H51," ")</f>
        <v> </v>
      </c>
      <c r="Z51" s="17" t="str">
        <f aca="false">IF((E51="a"),H51," ")</f>
        <v> </v>
      </c>
      <c r="AA51" s="17" t="str">
        <f aca="false">IF((E51="g"),H51," ")</f>
        <v> </v>
      </c>
      <c r="AB51" s="17" t="str">
        <f aca="false">IF((E51="h"),H51," ")</f>
        <v> </v>
      </c>
      <c r="AC51" s="30" t="str">
        <f aca="false">IF((E51="v"),H51," ")</f>
        <v> </v>
      </c>
      <c r="AD51" s="30" t="str">
        <f aca="false">IF((E51="n"),H51," ")</f>
        <v> </v>
      </c>
      <c r="AE51" s="17" t="str">
        <f aca="false">IF((E51="f"),H51," ")</f>
        <v> </v>
      </c>
      <c r="AF51" s="17" t="str">
        <f aca="false">IF((E51="l"),H51," ")</f>
        <v> </v>
      </c>
      <c r="AG51" s="17" t="str">
        <f aca="false">IF((E51="y"),H51," ")</f>
        <v> </v>
      </c>
      <c r="AH51" s="17" t="str">
        <f aca="false">IF((E51="z"),H51," ")</f>
        <v> </v>
      </c>
      <c r="AI51" s="17" t="str">
        <f aca="false">IF((E51="fa"),H51," ")</f>
        <v> </v>
      </c>
      <c r="AJ51" s="17" t="str">
        <f aca="false">IF((E51="e"),H51," ")</f>
        <v> </v>
      </c>
    </row>
    <row r="52" customFormat="false" ht="12" hidden="false" customHeight="false" outlineLevel="0" collapsed="false">
      <c r="A52" s="28"/>
      <c r="E52" s="2"/>
      <c r="F52" s="30"/>
      <c r="G52" s="6" t="str">
        <f aca="false">IF(F52&lt;&gt;0,F52*G$2/(100+G$2)," ")</f>
        <v> </v>
      </c>
      <c r="H52" s="6" t="str">
        <f aca="false">IF((F52&lt;&gt;0),F52-G52," ")</f>
        <v> </v>
      </c>
      <c r="I52" s="5"/>
      <c r="L52" s="7" t="str">
        <f aca="false">IF(F52&lt;&gt;0,F52-K52," ")</f>
        <v> </v>
      </c>
      <c r="M52" s="8" t="str">
        <f aca="false">IF((F52-K52)&lt;&gt;0,M$1-A52," ")</f>
        <v> </v>
      </c>
      <c r="N52" s="5"/>
      <c r="O52" s="17" t="str">
        <f aca="false">IF((E52="s"),H52," ")</f>
        <v> </v>
      </c>
      <c r="P52" s="17" t="str">
        <f aca="false">IF((E52="c"),H52," ")</f>
        <v> </v>
      </c>
      <c r="Q52" s="17" t="str">
        <f aca="false">IF((E52="o"),H52," ")</f>
        <v> </v>
      </c>
      <c r="R52" s="17" t="str">
        <f aca="false">IF((E52="d"),H52," ")</f>
        <v> </v>
      </c>
      <c r="S52" s="17" t="str">
        <f aca="false">IF((E52="w"),H52," ")</f>
        <v> </v>
      </c>
      <c r="T52" s="17" t="str">
        <f aca="false">IF((E52="r"),H52," ")</f>
        <v> </v>
      </c>
      <c r="U52" s="17" t="str">
        <f aca="false">IF((E52="p"),H52," ")</f>
        <v> </v>
      </c>
      <c r="V52" s="17" t="str">
        <f aca="false">IF((E52="t"),H52," ")</f>
        <v> </v>
      </c>
      <c r="W52" s="17" t="str">
        <f aca="false">IF((E52="q"),H52," ")</f>
        <v> </v>
      </c>
      <c r="X52" s="17" t="str">
        <f aca="false">IF((E52="m"),H52," ")</f>
        <v> </v>
      </c>
      <c r="Y52" s="17" t="str">
        <f aca="false">IF((E52="u"),H52," ")</f>
        <v> </v>
      </c>
      <c r="Z52" s="17" t="str">
        <f aca="false">IF((E52="a"),H52," ")</f>
        <v> </v>
      </c>
      <c r="AA52" s="17" t="str">
        <f aca="false">IF((E52="g"),H52," ")</f>
        <v> </v>
      </c>
      <c r="AB52" s="17" t="str">
        <f aca="false">IF((E52="h"),H52," ")</f>
        <v> </v>
      </c>
      <c r="AC52" s="30" t="str">
        <f aca="false">IF((E52="v"),H52," ")</f>
        <v> </v>
      </c>
      <c r="AD52" s="30" t="str">
        <f aca="false">IF((E52="n"),H52," ")</f>
        <v> </v>
      </c>
      <c r="AE52" s="17" t="str">
        <f aca="false">IF((E52="f"),H52," ")</f>
        <v> </v>
      </c>
      <c r="AF52" s="17" t="str">
        <f aca="false">IF((E52="l"),H52," ")</f>
        <v> </v>
      </c>
      <c r="AG52" s="17" t="str">
        <f aca="false">IF((E52="y"),H52," ")</f>
        <v> </v>
      </c>
      <c r="AH52" s="17" t="str">
        <f aca="false">IF((E52="z"),H52," ")</f>
        <v> </v>
      </c>
      <c r="AI52" s="17" t="str">
        <f aca="false">IF((E52="fa"),H52," ")</f>
        <v> </v>
      </c>
      <c r="AJ52" s="17" t="str">
        <f aca="false">IF((E52="e"),H52," ")</f>
        <v> </v>
      </c>
    </row>
    <row r="53" customFormat="false" ht="12" hidden="false" customHeight="false" outlineLevel="0" collapsed="false">
      <c r="A53" s="28"/>
      <c r="E53" s="2"/>
      <c r="F53" s="30"/>
      <c r="G53" s="6" t="str">
        <f aca="false">IF(F53&lt;&gt;0,F53*G$2/(100+G$2)," ")</f>
        <v> </v>
      </c>
      <c r="H53" s="6" t="str">
        <f aca="false">IF((F53&lt;&gt;0),F53-G53," ")</f>
        <v> </v>
      </c>
      <c r="I53" s="5"/>
      <c r="L53" s="7" t="str">
        <f aca="false">IF(F53&lt;&gt;0,F53-K53," ")</f>
        <v> </v>
      </c>
      <c r="M53" s="8" t="str">
        <f aca="false">IF((F53-K53)&lt;&gt;0,M$1-A53," ")</f>
        <v> </v>
      </c>
      <c r="N53" s="5"/>
      <c r="O53" s="17" t="str">
        <f aca="false">IF((E53="s"),H53," ")</f>
        <v> </v>
      </c>
      <c r="P53" s="17" t="str">
        <f aca="false">IF((E53="c"),H53," ")</f>
        <v> </v>
      </c>
      <c r="Q53" s="17" t="str">
        <f aca="false">IF((E53="o"),H53," ")</f>
        <v> </v>
      </c>
      <c r="R53" s="17" t="str">
        <f aca="false">IF((E53="d"),H53," ")</f>
        <v> </v>
      </c>
      <c r="S53" s="17" t="str">
        <f aca="false">IF((E53="w"),H53," ")</f>
        <v> </v>
      </c>
      <c r="T53" s="17" t="str">
        <f aca="false">IF((E53="r"),H53," ")</f>
        <v> </v>
      </c>
      <c r="U53" s="17" t="str">
        <f aca="false">IF((E53="p"),H53," ")</f>
        <v> </v>
      </c>
      <c r="V53" s="17" t="str">
        <f aca="false">IF((E53="t"),H53," ")</f>
        <v> </v>
      </c>
      <c r="W53" s="17" t="str">
        <f aca="false">IF((E53="q"),H53," ")</f>
        <v> </v>
      </c>
      <c r="X53" s="17" t="str">
        <f aca="false">IF((E53="m"),H53," ")</f>
        <v> </v>
      </c>
      <c r="Y53" s="17" t="str">
        <f aca="false">IF((E53="u"),H53," ")</f>
        <v> </v>
      </c>
      <c r="Z53" s="17" t="str">
        <f aca="false">IF((E53="a"),H53," ")</f>
        <v> </v>
      </c>
      <c r="AA53" s="17" t="str">
        <f aca="false">IF((E53="g"),H53," ")</f>
        <v> </v>
      </c>
      <c r="AB53" s="17" t="str">
        <f aca="false">IF((E53="h"),H53," ")</f>
        <v> </v>
      </c>
      <c r="AC53" s="30" t="str">
        <f aca="false">IF((E53="v"),H53," ")</f>
        <v> </v>
      </c>
      <c r="AD53" s="30" t="str">
        <f aca="false">IF((E53="n"),H53," ")</f>
        <v> </v>
      </c>
      <c r="AE53" s="17" t="str">
        <f aca="false">IF((E53="f"),H53," ")</f>
        <v> </v>
      </c>
      <c r="AF53" s="17" t="str">
        <f aca="false">IF((E53="l"),H53," ")</f>
        <v> </v>
      </c>
      <c r="AG53" s="17" t="str">
        <f aca="false">IF((E53="y"),H53," ")</f>
        <v> </v>
      </c>
      <c r="AH53" s="17" t="str">
        <f aca="false">IF((E53="z"),H53," ")</f>
        <v> </v>
      </c>
      <c r="AI53" s="17" t="str">
        <f aca="false">IF((E53="fa"),H53," ")</f>
        <v> </v>
      </c>
      <c r="AJ53" s="17" t="str">
        <f aca="false">IF((E53="e"),H53," ")</f>
        <v> </v>
      </c>
    </row>
    <row r="54" customFormat="false" ht="12" hidden="false" customHeight="false" outlineLevel="0" collapsed="false">
      <c r="A54" s="28"/>
      <c r="E54" s="2"/>
      <c r="F54" s="30"/>
      <c r="G54" s="6" t="str">
        <f aca="false">IF(F54&lt;&gt;0,F54*G$2/(100+G$2)," ")</f>
        <v> </v>
      </c>
      <c r="H54" s="6" t="str">
        <f aca="false">IF((F54&lt;&gt;0),F54-G54," ")</f>
        <v> </v>
      </c>
      <c r="I54" s="5"/>
      <c r="L54" s="7" t="str">
        <f aca="false">IF(F54&lt;&gt;0,F54-K54," ")</f>
        <v> </v>
      </c>
      <c r="M54" s="8" t="str">
        <f aca="false">IF((F54-K54)&lt;&gt;0,M$1-A54," ")</f>
        <v> </v>
      </c>
      <c r="N54" s="5"/>
      <c r="O54" s="17" t="str">
        <f aca="false">IF((E54="s"),H54," ")</f>
        <v> </v>
      </c>
      <c r="P54" s="17" t="str">
        <f aca="false">IF((E54="c"),H54," ")</f>
        <v> </v>
      </c>
      <c r="Q54" s="17" t="str">
        <f aca="false">IF((E54="o"),H54," ")</f>
        <v> </v>
      </c>
      <c r="R54" s="17" t="str">
        <f aca="false">IF((E54="d"),H54," ")</f>
        <v> </v>
      </c>
      <c r="S54" s="17" t="str">
        <f aca="false">IF((E54="w"),H54," ")</f>
        <v> </v>
      </c>
      <c r="T54" s="17" t="str">
        <f aca="false">IF((E54="r"),H54," ")</f>
        <v> </v>
      </c>
      <c r="U54" s="17" t="str">
        <f aca="false">IF((E54="p"),H54," ")</f>
        <v> </v>
      </c>
      <c r="V54" s="17" t="str">
        <f aca="false">IF((E54="t"),H54," ")</f>
        <v> </v>
      </c>
      <c r="W54" s="17" t="str">
        <f aca="false">IF((E54="q"),H54," ")</f>
        <v> </v>
      </c>
      <c r="X54" s="17" t="str">
        <f aca="false">IF((E54="m"),H54," ")</f>
        <v> </v>
      </c>
      <c r="Y54" s="17" t="str">
        <f aca="false">IF((E54="u"),H54," ")</f>
        <v> </v>
      </c>
      <c r="Z54" s="17" t="str">
        <f aca="false">IF((E54="a"),H54," ")</f>
        <v> </v>
      </c>
      <c r="AA54" s="17" t="str">
        <f aca="false">IF((E54="g"),H54," ")</f>
        <v> </v>
      </c>
      <c r="AB54" s="17" t="str">
        <f aca="false">IF((E54="h"),H54," ")</f>
        <v> </v>
      </c>
      <c r="AC54" s="30" t="str">
        <f aca="false">IF((E54="v"),H54," ")</f>
        <v> </v>
      </c>
      <c r="AD54" s="30" t="str">
        <f aca="false">IF((E54="n"),H54," ")</f>
        <v> </v>
      </c>
      <c r="AE54" s="17" t="str">
        <f aca="false">IF((E54="f"),H54," ")</f>
        <v> </v>
      </c>
      <c r="AF54" s="17" t="str">
        <f aca="false">IF((E54="l"),H54," ")</f>
        <v> </v>
      </c>
      <c r="AG54" s="17" t="str">
        <f aca="false">IF((E54="y"),H54," ")</f>
        <v> </v>
      </c>
      <c r="AH54" s="17" t="str">
        <f aca="false">IF((E54="z"),H54," ")</f>
        <v> </v>
      </c>
      <c r="AI54" s="17" t="str">
        <f aca="false">IF((E54="fa"),H54," ")</f>
        <v> </v>
      </c>
      <c r="AJ54" s="17" t="str">
        <f aca="false">IF((E54="e"),H54," ")</f>
        <v> </v>
      </c>
    </row>
    <row r="55" customFormat="false" ht="12" hidden="false" customHeight="false" outlineLevel="0" collapsed="false">
      <c r="A55" s="28"/>
      <c r="E55" s="2"/>
      <c r="F55" s="30"/>
      <c r="G55" s="6" t="str">
        <f aca="false">IF(F55&lt;&gt;0,F55*G$2/(100+G$2)," ")</f>
        <v> </v>
      </c>
      <c r="H55" s="6" t="str">
        <f aca="false">IF((F55&lt;&gt;0),F55-G55," ")</f>
        <v> </v>
      </c>
      <c r="I55" s="5"/>
      <c r="L55" s="7" t="str">
        <f aca="false">IF(F55&lt;&gt;0,F55-K55," ")</f>
        <v> </v>
      </c>
      <c r="M55" s="8" t="str">
        <f aca="false">IF((F55-K55)&lt;&gt;0,M$1-A55," ")</f>
        <v> </v>
      </c>
      <c r="N55" s="5"/>
      <c r="O55" s="17" t="str">
        <f aca="false">IF((E55="s"),H55," ")</f>
        <v> </v>
      </c>
      <c r="P55" s="17" t="str">
        <f aca="false">IF((E55="c"),H55," ")</f>
        <v> </v>
      </c>
      <c r="Q55" s="17" t="str">
        <f aca="false">IF((E55="o"),H55," ")</f>
        <v> </v>
      </c>
      <c r="R55" s="17" t="str">
        <f aca="false">IF((E55="d"),H55," ")</f>
        <v> </v>
      </c>
      <c r="S55" s="17" t="str">
        <f aca="false">IF((E55="w"),H55," ")</f>
        <v> </v>
      </c>
      <c r="T55" s="17" t="str">
        <f aca="false">IF((E55="r"),H55," ")</f>
        <v> </v>
      </c>
      <c r="U55" s="17" t="str">
        <f aca="false">IF((E55="p"),H55," ")</f>
        <v> </v>
      </c>
      <c r="V55" s="17" t="str">
        <f aca="false">IF((E55="t"),H55," ")</f>
        <v> </v>
      </c>
      <c r="W55" s="17" t="str">
        <f aca="false">IF((E55="q"),H55," ")</f>
        <v> </v>
      </c>
      <c r="X55" s="17" t="str">
        <f aca="false">IF((E55="m"),H55," ")</f>
        <v> </v>
      </c>
      <c r="Y55" s="17" t="str">
        <f aca="false">IF((E55="u"),H55," ")</f>
        <v> </v>
      </c>
      <c r="Z55" s="17" t="str">
        <f aca="false">IF((E55="a"),H55," ")</f>
        <v> </v>
      </c>
      <c r="AA55" s="17" t="str">
        <f aca="false">IF((E55="g"),H55," ")</f>
        <v> </v>
      </c>
      <c r="AB55" s="17" t="str">
        <f aca="false">IF((E55="h"),H55," ")</f>
        <v> </v>
      </c>
      <c r="AC55" s="30" t="str">
        <f aca="false">IF((E55="v"),H55," ")</f>
        <v> </v>
      </c>
      <c r="AD55" s="30" t="str">
        <f aca="false">IF((E55="n"),H55," ")</f>
        <v> </v>
      </c>
      <c r="AE55" s="17" t="str">
        <f aca="false">IF((E55="f"),H55," ")</f>
        <v> </v>
      </c>
      <c r="AF55" s="17" t="str">
        <f aca="false">IF((E55="l"),H55," ")</f>
        <v> </v>
      </c>
      <c r="AG55" s="17" t="str">
        <f aca="false">IF((E55="y"),H55," ")</f>
        <v> </v>
      </c>
      <c r="AH55" s="17" t="str">
        <f aca="false">IF((E55="z"),H55," ")</f>
        <v> </v>
      </c>
      <c r="AI55" s="17" t="str">
        <f aca="false">IF((E55="fa"),H55," ")</f>
        <v> </v>
      </c>
      <c r="AJ55" s="17" t="str">
        <f aca="false">IF((E55="e"),H55," ")</f>
        <v> </v>
      </c>
    </row>
    <row r="56" customFormat="false" ht="12" hidden="false" customHeight="false" outlineLevel="0" collapsed="false">
      <c r="A56" s="28"/>
      <c r="E56" s="2"/>
      <c r="F56" s="30"/>
      <c r="G56" s="6" t="str">
        <f aca="false">IF(F56&lt;&gt;0,F56*G$2/(100+G$2)," ")</f>
        <v> </v>
      </c>
      <c r="H56" s="6" t="str">
        <f aca="false">IF((F56&lt;&gt;0),F56-G56," ")</f>
        <v> </v>
      </c>
      <c r="I56" s="5"/>
      <c r="L56" s="7" t="str">
        <f aca="false">IF(F56&lt;&gt;0,F56-K56," ")</f>
        <v> </v>
      </c>
      <c r="M56" s="8" t="str">
        <f aca="false">IF((F56-K56)&lt;&gt;0,M$1-A56," ")</f>
        <v> </v>
      </c>
      <c r="N56" s="5"/>
      <c r="O56" s="17" t="str">
        <f aca="false">IF((E56="s"),H56," ")</f>
        <v> </v>
      </c>
      <c r="P56" s="17" t="str">
        <f aca="false">IF((E56="c"),H56," ")</f>
        <v> </v>
      </c>
      <c r="Q56" s="17" t="str">
        <f aca="false">IF((E56="o"),H56," ")</f>
        <v> </v>
      </c>
      <c r="R56" s="17" t="str">
        <f aca="false">IF((E56="d"),H56," ")</f>
        <v> </v>
      </c>
      <c r="S56" s="17" t="str">
        <f aca="false">IF((E56="w"),H56," ")</f>
        <v> </v>
      </c>
      <c r="T56" s="17" t="str">
        <f aca="false">IF((E56="r"),H56," ")</f>
        <v> </v>
      </c>
      <c r="U56" s="17" t="str">
        <f aca="false">IF((E56="p"),H56," ")</f>
        <v> </v>
      </c>
      <c r="V56" s="17" t="str">
        <f aca="false">IF((E56="t"),H56," ")</f>
        <v> </v>
      </c>
      <c r="W56" s="17" t="str">
        <f aca="false">IF((E56="q"),H56," ")</f>
        <v> </v>
      </c>
      <c r="X56" s="17" t="str">
        <f aca="false">IF((E56="m"),H56," ")</f>
        <v> </v>
      </c>
      <c r="Y56" s="17" t="str">
        <f aca="false">IF((E56="u"),H56," ")</f>
        <v> </v>
      </c>
      <c r="Z56" s="17" t="str">
        <f aca="false">IF((E56="a"),H56," ")</f>
        <v> </v>
      </c>
      <c r="AA56" s="17" t="str">
        <f aca="false">IF((E56="g"),H56," ")</f>
        <v> </v>
      </c>
      <c r="AB56" s="17" t="str">
        <f aca="false">IF((E56="h"),H56," ")</f>
        <v> </v>
      </c>
      <c r="AC56" s="30" t="str">
        <f aca="false">IF((E56="v"),H56," ")</f>
        <v> </v>
      </c>
      <c r="AD56" s="30" t="str">
        <f aca="false">IF((E56="n"),H56," ")</f>
        <v> </v>
      </c>
      <c r="AE56" s="17" t="str">
        <f aca="false">IF((E56="f"),H56," ")</f>
        <v> </v>
      </c>
      <c r="AF56" s="17" t="str">
        <f aca="false">IF((E56="l"),H56," ")</f>
        <v> </v>
      </c>
      <c r="AG56" s="17" t="str">
        <f aca="false">IF((E56="y"),H56," ")</f>
        <v> </v>
      </c>
      <c r="AH56" s="17" t="str">
        <f aca="false">IF((E56="z"),H56," ")</f>
        <v> </v>
      </c>
      <c r="AI56" s="17" t="str">
        <f aca="false">IF((E56="fa"),H56," ")</f>
        <v> </v>
      </c>
      <c r="AJ56" s="17" t="str">
        <f aca="false">IF((E56="e"),H56," ")</f>
        <v> </v>
      </c>
    </row>
    <row r="57" customFormat="false" ht="12" hidden="false" customHeight="false" outlineLevel="0" collapsed="false">
      <c r="A57" s="28"/>
      <c r="E57" s="2"/>
      <c r="F57" s="30"/>
      <c r="G57" s="6" t="str">
        <f aca="false">IF(F57&lt;&gt;0,F57*G$2/(100+G$2)," ")</f>
        <v> </v>
      </c>
      <c r="H57" s="6" t="str">
        <f aca="false">IF((F57&lt;&gt;0),F57-G57," ")</f>
        <v> </v>
      </c>
      <c r="I57" s="5"/>
      <c r="L57" s="7" t="str">
        <f aca="false">IF(F57&lt;&gt;0,F57-K57," ")</f>
        <v> </v>
      </c>
      <c r="M57" s="8" t="str">
        <f aca="false">IF((F57-K57)&lt;&gt;0,M$1-A57," ")</f>
        <v> </v>
      </c>
      <c r="N57" s="5"/>
      <c r="O57" s="17" t="str">
        <f aca="false">IF((E57="s"),H57," ")</f>
        <v> </v>
      </c>
      <c r="P57" s="17" t="str">
        <f aca="false">IF((E57="c"),H57," ")</f>
        <v> </v>
      </c>
      <c r="Q57" s="17" t="str">
        <f aca="false">IF((E57="o"),H57," ")</f>
        <v> </v>
      </c>
      <c r="R57" s="17" t="str">
        <f aca="false">IF((E57="d"),H57," ")</f>
        <v> </v>
      </c>
      <c r="S57" s="17" t="str">
        <f aca="false">IF((E57="w"),H57," ")</f>
        <v> </v>
      </c>
      <c r="T57" s="17" t="str">
        <f aca="false">IF((E57="r"),H57," ")</f>
        <v> </v>
      </c>
      <c r="U57" s="17" t="str">
        <f aca="false">IF((E57="p"),H57," ")</f>
        <v> </v>
      </c>
      <c r="V57" s="17" t="str">
        <f aca="false">IF((E57="t"),H57," ")</f>
        <v> </v>
      </c>
      <c r="W57" s="17" t="str">
        <f aca="false">IF((E57="q"),H57," ")</f>
        <v> </v>
      </c>
      <c r="X57" s="17" t="str">
        <f aca="false">IF((E57="m"),H57," ")</f>
        <v> </v>
      </c>
      <c r="Y57" s="17" t="str">
        <f aca="false">IF((E57="u"),H57," ")</f>
        <v> </v>
      </c>
      <c r="Z57" s="17" t="str">
        <f aca="false">IF((E57="a"),H57," ")</f>
        <v> </v>
      </c>
      <c r="AA57" s="17" t="str">
        <f aca="false">IF((E57="g"),H57," ")</f>
        <v> </v>
      </c>
      <c r="AB57" s="17" t="str">
        <f aca="false">IF((E57="h"),H57," ")</f>
        <v> </v>
      </c>
      <c r="AC57" s="30" t="str">
        <f aca="false">IF((E57="v"),H57," ")</f>
        <v> </v>
      </c>
      <c r="AD57" s="30" t="str">
        <f aca="false">IF((E57="n"),H57," ")</f>
        <v> </v>
      </c>
      <c r="AE57" s="17" t="str">
        <f aca="false">IF((E57="f"),H57," ")</f>
        <v> </v>
      </c>
      <c r="AF57" s="17" t="str">
        <f aca="false">IF((E57="l"),H57," ")</f>
        <v> </v>
      </c>
      <c r="AG57" s="17" t="str">
        <f aca="false">IF((E57="y"),H57," ")</f>
        <v> </v>
      </c>
      <c r="AH57" s="17" t="str">
        <f aca="false">IF((E57="z"),H57," ")</f>
        <v> </v>
      </c>
      <c r="AI57" s="17" t="str">
        <f aca="false">IF((E57="fa"),H57," ")</f>
        <v> </v>
      </c>
      <c r="AJ57" s="17" t="str">
        <f aca="false">IF((E57="e"),H57," ")</f>
        <v> </v>
      </c>
    </row>
    <row r="58" customFormat="false" ht="12" hidden="false" customHeight="false" outlineLevel="0" collapsed="false">
      <c r="A58" s="28"/>
      <c r="E58" s="2"/>
      <c r="F58" s="30"/>
      <c r="G58" s="6" t="str">
        <f aca="false">IF(F58&lt;&gt;0,F58*G$2/(100+G$2)," ")</f>
        <v> </v>
      </c>
      <c r="H58" s="6" t="str">
        <f aca="false">IF((F58&lt;&gt;0),F58-G58," ")</f>
        <v> </v>
      </c>
      <c r="I58" s="5"/>
      <c r="L58" s="7" t="str">
        <f aca="false">IF(F58&lt;&gt;0,F58-K58," ")</f>
        <v> </v>
      </c>
      <c r="M58" s="8" t="str">
        <f aca="false">IF((F58-K58)&lt;&gt;0,M$1-A58," ")</f>
        <v> </v>
      </c>
      <c r="N58" s="5"/>
      <c r="O58" s="17" t="str">
        <f aca="false">IF((E58="s"),H58," ")</f>
        <v> </v>
      </c>
      <c r="P58" s="17" t="str">
        <f aca="false">IF((E58="c"),H58," ")</f>
        <v> </v>
      </c>
      <c r="Q58" s="17" t="str">
        <f aca="false">IF((E58="o"),H58," ")</f>
        <v> </v>
      </c>
      <c r="R58" s="17" t="str">
        <f aca="false">IF((E58="d"),H58," ")</f>
        <v> </v>
      </c>
      <c r="S58" s="17" t="str">
        <f aca="false">IF((E58="w"),H58," ")</f>
        <v> </v>
      </c>
      <c r="T58" s="17" t="str">
        <f aca="false">IF((E58="r"),H58," ")</f>
        <v> </v>
      </c>
      <c r="U58" s="17" t="str">
        <f aca="false">IF((E58="p"),H58," ")</f>
        <v> </v>
      </c>
      <c r="V58" s="17" t="str">
        <f aca="false">IF((E58="t"),H58," ")</f>
        <v> </v>
      </c>
      <c r="W58" s="17" t="str">
        <f aca="false">IF((E58="q"),H58," ")</f>
        <v> </v>
      </c>
      <c r="X58" s="17" t="str">
        <f aca="false">IF((E58="m"),H58," ")</f>
        <v> </v>
      </c>
      <c r="Y58" s="17" t="str">
        <f aca="false">IF((E58="u"),H58," ")</f>
        <v> </v>
      </c>
      <c r="Z58" s="17" t="str">
        <f aca="false">IF((E58="a"),H58," ")</f>
        <v> </v>
      </c>
      <c r="AA58" s="17" t="str">
        <f aca="false">IF((E58="g"),H58," ")</f>
        <v> </v>
      </c>
      <c r="AB58" s="17" t="str">
        <f aca="false">IF((E58="h"),H58," ")</f>
        <v> </v>
      </c>
      <c r="AC58" s="30" t="str">
        <f aca="false">IF((E58="v"),H58," ")</f>
        <v> </v>
      </c>
      <c r="AD58" s="30" t="str">
        <f aca="false">IF((E58="n"),H58," ")</f>
        <v> </v>
      </c>
      <c r="AE58" s="17" t="str">
        <f aca="false">IF((E58="f"),H58," ")</f>
        <v> </v>
      </c>
      <c r="AF58" s="17" t="str">
        <f aca="false">IF((E58="l"),H58," ")</f>
        <v> </v>
      </c>
      <c r="AG58" s="17" t="str">
        <f aca="false">IF((E58="y"),H58," ")</f>
        <v> </v>
      </c>
      <c r="AH58" s="17" t="str">
        <f aca="false">IF((E58="z"),H58," ")</f>
        <v> </v>
      </c>
      <c r="AI58" s="17" t="str">
        <f aca="false">IF((E58="fa"),H58," ")</f>
        <v> </v>
      </c>
      <c r="AJ58" s="17" t="str">
        <f aca="false">IF((E58="e"),H58," ")</f>
        <v> </v>
      </c>
    </row>
    <row r="59" customFormat="false" ht="12" hidden="false" customHeight="false" outlineLevel="0" collapsed="false">
      <c r="A59" s="28"/>
      <c r="E59" s="2"/>
      <c r="F59" s="30"/>
      <c r="G59" s="6" t="str">
        <f aca="false">IF(F59&lt;&gt;0,F59*G$2/(100+G$2)," ")</f>
        <v> </v>
      </c>
      <c r="H59" s="6" t="str">
        <f aca="false">IF((F59&lt;&gt;0),F59-G59," ")</f>
        <v> </v>
      </c>
      <c r="I59" s="5"/>
      <c r="L59" s="7" t="str">
        <f aca="false">IF(F59&lt;&gt;0,F59-K59," ")</f>
        <v> </v>
      </c>
      <c r="M59" s="8" t="str">
        <f aca="false">IF((F59-K59)&lt;&gt;0,M$1-A59," ")</f>
        <v> </v>
      </c>
      <c r="N59" s="5"/>
      <c r="O59" s="17" t="str">
        <f aca="false">IF((E59="s"),H59," ")</f>
        <v> </v>
      </c>
      <c r="P59" s="17" t="str">
        <f aca="false">IF((E59="c"),H59," ")</f>
        <v> </v>
      </c>
      <c r="Q59" s="17" t="str">
        <f aca="false">IF((E59="o"),H59," ")</f>
        <v> </v>
      </c>
      <c r="R59" s="17" t="str">
        <f aca="false">IF((E59="d"),H59," ")</f>
        <v> </v>
      </c>
      <c r="S59" s="17" t="str">
        <f aca="false">IF((E59="w"),H59," ")</f>
        <v> </v>
      </c>
      <c r="T59" s="17" t="str">
        <f aca="false">IF((E59="r"),H59," ")</f>
        <v> </v>
      </c>
      <c r="U59" s="17" t="str">
        <f aca="false">IF((E59="p"),H59," ")</f>
        <v> </v>
      </c>
      <c r="V59" s="17" t="str">
        <f aca="false">IF((E59="t"),H59," ")</f>
        <v> </v>
      </c>
      <c r="W59" s="17" t="str">
        <f aca="false">IF((E59="q"),H59," ")</f>
        <v> </v>
      </c>
      <c r="X59" s="17" t="str">
        <f aca="false">IF((E59="m"),H59," ")</f>
        <v> </v>
      </c>
      <c r="Y59" s="17" t="str">
        <f aca="false">IF((E59="u"),H59," ")</f>
        <v> </v>
      </c>
      <c r="Z59" s="17" t="str">
        <f aca="false">IF((E59="a"),H59," ")</f>
        <v> </v>
      </c>
      <c r="AA59" s="17" t="str">
        <f aca="false">IF((E59="g"),H59," ")</f>
        <v> </v>
      </c>
      <c r="AB59" s="17" t="str">
        <f aca="false">IF((E59="h"),H59," ")</f>
        <v> </v>
      </c>
      <c r="AC59" s="30" t="str">
        <f aca="false">IF((E59="v"),H59," ")</f>
        <v> </v>
      </c>
      <c r="AD59" s="30" t="str">
        <f aca="false">IF((E59="n"),H59," ")</f>
        <v> </v>
      </c>
      <c r="AE59" s="17" t="str">
        <f aca="false">IF((E59="f"),H59," ")</f>
        <v> </v>
      </c>
      <c r="AF59" s="17" t="str">
        <f aca="false">IF((E59="l"),H59," ")</f>
        <v> </v>
      </c>
      <c r="AG59" s="17" t="str">
        <f aca="false">IF((E59="y"),H59," ")</f>
        <v> </v>
      </c>
      <c r="AH59" s="17" t="str">
        <f aca="false">IF((E59="z"),H59," ")</f>
        <v> </v>
      </c>
      <c r="AI59" s="17" t="str">
        <f aca="false">IF((E59="fa"),H59," ")</f>
        <v> </v>
      </c>
      <c r="AJ59" s="17" t="str">
        <f aca="false">IF((E59="e"),H59," ")</f>
        <v> </v>
      </c>
    </row>
    <row r="60" customFormat="false" ht="12" hidden="false" customHeight="false" outlineLevel="0" collapsed="false">
      <c r="A60" s="28"/>
      <c r="E60" s="2"/>
      <c r="F60" s="30"/>
      <c r="G60" s="6" t="str">
        <f aca="false">IF(F60&lt;&gt;0,F60*G$2/(100+G$2)," ")</f>
        <v> </v>
      </c>
      <c r="H60" s="6" t="str">
        <f aca="false">IF((F60&lt;&gt;0),F60-G60," ")</f>
        <v> </v>
      </c>
      <c r="I60" s="5"/>
      <c r="L60" s="7" t="str">
        <f aca="false">IF(F60&lt;&gt;0,F60-K60," ")</f>
        <v> </v>
      </c>
      <c r="M60" s="8" t="str">
        <f aca="false">IF((F60-K60)&lt;&gt;0,M$1-A60," ")</f>
        <v> </v>
      </c>
      <c r="N60" s="5"/>
      <c r="O60" s="17" t="str">
        <f aca="false">IF((E60="s"),H60," ")</f>
        <v> </v>
      </c>
      <c r="P60" s="17" t="str">
        <f aca="false">IF((E60="c"),H60," ")</f>
        <v> </v>
      </c>
      <c r="Q60" s="17" t="str">
        <f aca="false">IF((E60="o"),H60," ")</f>
        <v> </v>
      </c>
      <c r="R60" s="17" t="str">
        <f aca="false">IF((E60="d"),H60," ")</f>
        <v> </v>
      </c>
      <c r="S60" s="17" t="str">
        <f aca="false">IF((E60="w"),H60," ")</f>
        <v> </v>
      </c>
      <c r="T60" s="17" t="str">
        <f aca="false">IF((E60="r"),H60," ")</f>
        <v> </v>
      </c>
      <c r="U60" s="17" t="str">
        <f aca="false">IF((E60="p"),H60," ")</f>
        <v> </v>
      </c>
      <c r="V60" s="17" t="str">
        <f aca="false">IF((E60="t"),H60," ")</f>
        <v> </v>
      </c>
      <c r="W60" s="17" t="str">
        <f aca="false">IF((E60="q"),H60," ")</f>
        <v> </v>
      </c>
      <c r="X60" s="17" t="str">
        <f aca="false">IF((E60="m"),H60," ")</f>
        <v> </v>
      </c>
      <c r="Y60" s="17" t="str">
        <f aca="false">IF((E60="u"),H60," ")</f>
        <v> </v>
      </c>
      <c r="Z60" s="17" t="str">
        <f aca="false">IF((E60="a"),H60," ")</f>
        <v> </v>
      </c>
      <c r="AA60" s="17" t="str">
        <f aca="false">IF((E60="g"),H60," ")</f>
        <v> </v>
      </c>
      <c r="AB60" s="17" t="str">
        <f aca="false">IF((E60="h"),H60," ")</f>
        <v> </v>
      </c>
      <c r="AC60" s="30" t="str">
        <f aca="false">IF((E60="v"),H60," ")</f>
        <v> </v>
      </c>
      <c r="AD60" s="30" t="str">
        <f aca="false">IF((E60="n"),H60," ")</f>
        <v> </v>
      </c>
      <c r="AE60" s="17" t="str">
        <f aca="false">IF((E60="f"),H60," ")</f>
        <v> </v>
      </c>
      <c r="AF60" s="17" t="str">
        <f aca="false">IF((E60="l"),H60," ")</f>
        <v> </v>
      </c>
      <c r="AG60" s="17" t="str">
        <f aca="false">IF((E60="y"),H60," ")</f>
        <v> </v>
      </c>
      <c r="AH60" s="17" t="str">
        <f aca="false">IF((E60="z"),H60," ")</f>
        <v> </v>
      </c>
      <c r="AI60" s="17" t="str">
        <f aca="false">IF((E60="fa"),H60," ")</f>
        <v> </v>
      </c>
      <c r="AJ60" s="17" t="str">
        <f aca="false">IF((E60="e"),H60," ")</f>
        <v> </v>
      </c>
    </row>
    <row r="61" customFormat="false" ht="12" hidden="false" customHeight="false" outlineLevel="0" collapsed="false">
      <c r="A61" s="28"/>
      <c r="E61" s="2"/>
      <c r="F61" s="30"/>
      <c r="G61" s="6" t="str">
        <f aca="false">IF(F61&lt;&gt;0,F61*G$2/(100+G$2)," ")</f>
        <v> </v>
      </c>
      <c r="H61" s="6" t="str">
        <f aca="false">IF((F61&lt;&gt;0),F61-G61," ")</f>
        <v> </v>
      </c>
      <c r="I61" s="5"/>
      <c r="L61" s="7" t="str">
        <f aca="false">IF(F61&lt;&gt;0,F61-K61," ")</f>
        <v> </v>
      </c>
      <c r="M61" s="8" t="str">
        <f aca="false">IF((F61-K61)&lt;&gt;0,M$1-A61," ")</f>
        <v> </v>
      </c>
      <c r="N61" s="5"/>
      <c r="O61" s="17" t="str">
        <f aca="false">IF((E61="s"),H61," ")</f>
        <v> </v>
      </c>
      <c r="P61" s="17" t="str">
        <f aca="false">IF((E61="c"),H61," ")</f>
        <v> </v>
      </c>
      <c r="Q61" s="17" t="str">
        <f aca="false">IF((E61="o"),H61," ")</f>
        <v> </v>
      </c>
      <c r="R61" s="17" t="str">
        <f aca="false">IF((E61="d"),H61," ")</f>
        <v> </v>
      </c>
      <c r="S61" s="17" t="str">
        <f aca="false">IF((E61="w"),H61," ")</f>
        <v> </v>
      </c>
      <c r="T61" s="17" t="str">
        <f aca="false">IF((E61="r"),H61," ")</f>
        <v> </v>
      </c>
      <c r="U61" s="17" t="str">
        <f aca="false">IF((E61="p"),H61," ")</f>
        <v> </v>
      </c>
      <c r="V61" s="17" t="str">
        <f aca="false">IF((E61="t"),H61," ")</f>
        <v> </v>
      </c>
      <c r="W61" s="17" t="str">
        <f aca="false">IF((E61="q"),H61," ")</f>
        <v> </v>
      </c>
      <c r="X61" s="17" t="str">
        <f aca="false">IF((E61="m"),H61," ")</f>
        <v> </v>
      </c>
      <c r="Y61" s="17" t="str">
        <f aca="false">IF((E61="u"),H61," ")</f>
        <v> </v>
      </c>
      <c r="Z61" s="17" t="str">
        <f aca="false">IF((E61="a"),H61," ")</f>
        <v> </v>
      </c>
      <c r="AA61" s="17" t="str">
        <f aca="false">IF((E61="g"),H61," ")</f>
        <v> </v>
      </c>
      <c r="AB61" s="17" t="str">
        <f aca="false">IF((E61="h"),H61," ")</f>
        <v> </v>
      </c>
      <c r="AC61" s="30" t="str">
        <f aca="false">IF((E61="v"),H61," ")</f>
        <v> </v>
      </c>
      <c r="AD61" s="30" t="str">
        <f aca="false">IF((E61="n"),H61," ")</f>
        <v> </v>
      </c>
      <c r="AE61" s="17" t="str">
        <f aca="false">IF((E61="f"),H61," ")</f>
        <v> </v>
      </c>
      <c r="AF61" s="17" t="str">
        <f aca="false">IF((E61="l"),H61," ")</f>
        <v> </v>
      </c>
      <c r="AG61" s="17" t="str">
        <f aca="false">IF((E61="y"),H61," ")</f>
        <v> </v>
      </c>
      <c r="AH61" s="17" t="str">
        <f aca="false">IF((E61="z"),H61," ")</f>
        <v> </v>
      </c>
      <c r="AI61" s="17" t="str">
        <f aca="false">IF((E61="fa"),H61," ")</f>
        <v> </v>
      </c>
      <c r="AJ61" s="17" t="str">
        <f aca="false">IF((E61="e"),H61," ")</f>
        <v> </v>
      </c>
    </row>
    <row r="62" customFormat="false" ht="12" hidden="false" customHeight="false" outlineLevel="0" collapsed="false">
      <c r="A62" s="28"/>
      <c r="E62" s="2"/>
      <c r="F62" s="30"/>
      <c r="G62" s="6" t="str">
        <f aca="false">IF(F62&lt;&gt;0,F62*G$2/(100+G$2)," ")</f>
        <v> </v>
      </c>
      <c r="H62" s="6" t="str">
        <f aca="false">IF((F62&lt;&gt;0),F62-G62," ")</f>
        <v> </v>
      </c>
      <c r="I62" s="5"/>
      <c r="L62" s="7" t="str">
        <f aca="false">IF(F62&lt;&gt;0,F62-K62," ")</f>
        <v> </v>
      </c>
      <c r="M62" s="8" t="str">
        <f aca="false">IF((F62-K62)&lt;&gt;0,M$1-A62," ")</f>
        <v> </v>
      </c>
      <c r="N62" s="5"/>
      <c r="O62" s="17" t="str">
        <f aca="false">IF((E62="s"),H62," ")</f>
        <v> </v>
      </c>
      <c r="P62" s="17" t="str">
        <f aca="false">IF((E62="c"),H62," ")</f>
        <v> </v>
      </c>
      <c r="Q62" s="17" t="str">
        <f aca="false">IF((E62="o"),H62," ")</f>
        <v> </v>
      </c>
      <c r="R62" s="17" t="str">
        <f aca="false">IF((E62="d"),H62," ")</f>
        <v> </v>
      </c>
      <c r="S62" s="17" t="str">
        <f aca="false">IF((E62="w"),H62," ")</f>
        <v> </v>
      </c>
      <c r="T62" s="17" t="str">
        <f aca="false">IF((E62="r"),H62," ")</f>
        <v> </v>
      </c>
      <c r="U62" s="17" t="str">
        <f aca="false">IF((E62="p"),H62," ")</f>
        <v> </v>
      </c>
      <c r="V62" s="17" t="str">
        <f aca="false">IF((E62="t"),H62," ")</f>
        <v> </v>
      </c>
      <c r="W62" s="17" t="str">
        <f aca="false">IF((E62="q"),H62," ")</f>
        <v> </v>
      </c>
      <c r="X62" s="17" t="str">
        <f aca="false">IF((E62="m"),H62," ")</f>
        <v> </v>
      </c>
      <c r="Y62" s="17" t="str">
        <f aca="false">IF((E62="u"),H62," ")</f>
        <v> </v>
      </c>
      <c r="Z62" s="17" t="str">
        <f aca="false">IF((E62="a"),H62," ")</f>
        <v> </v>
      </c>
      <c r="AA62" s="17" t="str">
        <f aca="false">IF((E62="g"),H62," ")</f>
        <v> </v>
      </c>
      <c r="AB62" s="17" t="str">
        <f aca="false">IF((E62="h"),H62," ")</f>
        <v> </v>
      </c>
      <c r="AC62" s="30" t="str">
        <f aca="false">IF((E62="v"),H62," ")</f>
        <v> </v>
      </c>
      <c r="AD62" s="30" t="str">
        <f aca="false">IF((E62="n"),H62," ")</f>
        <v> </v>
      </c>
      <c r="AE62" s="17" t="str">
        <f aca="false">IF((E62="f"),H62," ")</f>
        <v> </v>
      </c>
      <c r="AF62" s="17" t="str">
        <f aca="false">IF((E62="l"),H62," ")</f>
        <v> </v>
      </c>
      <c r="AG62" s="17" t="str">
        <f aca="false">IF((E62="y"),H62," ")</f>
        <v> </v>
      </c>
      <c r="AH62" s="17" t="str">
        <f aca="false">IF((E62="z"),H62," ")</f>
        <v> </v>
      </c>
      <c r="AI62" s="17" t="str">
        <f aca="false">IF((E62="fa"),H62," ")</f>
        <v> </v>
      </c>
      <c r="AJ62" s="17" t="str">
        <f aca="false">IF((E62="e"),H62," ")</f>
        <v> </v>
      </c>
    </row>
    <row r="63" customFormat="false" ht="12" hidden="false" customHeight="false" outlineLevel="0" collapsed="false">
      <c r="A63" s="28"/>
      <c r="E63" s="2"/>
      <c r="F63" s="30"/>
      <c r="G63" s="6" t="str">
        <f aca="false">IF(F63&lt;&gt;0,F63*G$2/(100+G$2)," ")</f>
        <v> </v>
      </c>
      <c r="H63" s="6" t="str">
        <f aca="false">IF((F63&lt;&gt;0),F63-G63," ")</f>
        <v> </v>
      </c>
      <c r="I63" s="5"/>
      <c r="L63" s="7" t="str">
        <f aca="false">IF(F63&lt;&gt;0,F63-K63," ")</f>
        <v> </v>
      </c>
      <c r="M63" s="8" t="str">
        <f aca="false">IF((F63-K63)&lt;&gt;0,M$1-A63," ")</f>
        <v> </v>
      </c>
      <c r="N63" s="5"/>
      <c r="O63" s="17" t="str">
        <f aca="false">IF((E63="s"),H63," ")</f>
        <v> </v>
      </c>
      <c r="P63" s="17" t="str">
        <f aca="false">IF((E63="c"),H63," ")</f>
        <v> </v>
      </c>
      <c r="Q63" s="17" t="str">
        <f aca="false">IF((E63="o"),H63," ")</f>
        <v> </v>
      </c>
      <c r="R63" s="17" t="str">
        <f aca="false">IF((E63="d"),H63," ")</f>
        <v> </v>
      </c>
      <c r="S63" s="17" t="str">
        <f aca="false">IF((E63="w"),H63," ")</f>
        <v> </v>
      </c>
      <c r="T63" s="17" t="str">
        <f aca="false">IF((E63="r"),H63," ")</f>
        <v> </v>
      </c>
      <c r="U63" s="17" t="str">
        <f aca="false">IF((E63="p"),H63," ")</f>
        <v> </v>
      </c>
      <c r="V63" s="17" t="str">
        <f aca="false">IF((E63="t"),H63," ")</f>
        <v> </v>
      </c>
      <c r="W63" s="17" t="str">
        <f aca="false">IF((E63="q"),H63," ")</f>
        <v> </v>
      </c>
      <c r="X63" s="17" t="str">
        <f aca="false">IF((E63="m"),H63," ")</f>
        <v> </v>
      </c>
      <c r="Y63" s="17" t="str">
        <f aca="false">IF((E63="u"),H63," ")</f>
        <v> </v>
      </c>
      <c r="Z63" s="17" t="str">
        <f aca="false">IF((E63="a"),H63," ")</f>
        <v> </v>
      </c>
      <c r="AA63" s="17" t="str">
        <f aca="false">IF((E63="g"),H63," ")</f>
        <v> </v>
      </c>
      <c r="AB63" s="17" t="str">
        <f aca="false">IF((E63="h"),H63," ")</f>
        <v> </v>
      </c>
      <c r="AC63" s="30" t="str">
        <f aca="false">IF((E63="v"),H63," ")</f>
        <v> </v>
      </c>
      <c r="AD63" s="30" t="str">
        <f aca="false">IF((E63="n"),H63," ")</f>
        <v> </v>
      </c>
      <c r="AE63" s="17" t="str">
        <f aca="false">IF((E63="f"),H63," ")</f>
        <v> </v>
      </c>
      <c r="AF63" s="17" t="str">
        <f aca="false">IF((E63="l"),H63," ")</f>
        <v> </v>
      </c>
      <c r="AG63" s="17" t="str">
        <f aca="false">IF((E63="y"),H63," ")</f>
        <v> </v>
      </c>
      <c r="AH63" s="17" t="str">
        <f aca="false">IF((E63="z"),H63," ")</f>
        <v> </v>
      </c>
      <c r="AI63" s="17" t="str">
        <f aca="false">IF((E63="fa"),H63," ")</f>
        <v> </v>
      </c>
      <c r="AJ63" s="17" t="str">
        <f aca="false">IF((E63="e"),H63," ")</f>
        <v> </v>
      </c>
    </row>
    <row r="64" customFormat="false" ht="12" hidden="false" customHeight="false" outlineLevel="0" collapsed="false">
      <c r="A64" s="28"/>
      <c r="E64" s="2"/>
      <c r="F64" s="30"/>
      <c r="G64" s="6" t="str">
        <f aca="false">IF(F64&lt;&gt;0,F64*G$2/(100+G$2)," ")</f>
        <v> </v>
      </c>
      <c r="H64" s="6" t="str">
        <f aca="false">IF((F64&lt;&gt;0),F64-G64," ")</f>
        <v> </v>
      </c>
      <c r="I64" s="5"/>
      <c r="L64" s="7" t="str">
        <f aca="false">IF(F64&lt;&gt;0,F64-K64," ")</f>
        <v> </v>
      </c>
      <c r="M64" s="8" t="str">
        <f aca="false">IF((F64-K64)&lt;&gt;0,M$1-A64," ")</f>
        <v> </v>
      </c>
      <c r="N64" s="5"/>
      <c r="O64" s="17" t="str">
        <f aca="false">IF((E64="s"),H64," ")</f>
        <v> </v>
      </c>
      <c r="P64" s="17" t="str">
        <f aca="false">IF((E64="c"),H64," ")</f>
        <v> </v>
      </c>
      <c r="Q64" s="17" t="str">
        <f aca="false">IF((E64="o"),H64," ")</f>
        <v> </v>
      </c>
      <c r="R64" s="17" t="str">
        <f aca="false">IF((E64="d"),H64," ")</f>
        <v> </v>
      </c>
      <c r="S64" s="17" t="str">
        <f aca="false">IF((E64="w"),H64," ")</f>
        <v> </v>
      </c>
      <c r="T64" s="17" t="str">
        <f aca="false">IF((E64="r"),H64," ")</f>
        <v> </v>
      </c>
      <c r="U64" s="17" t="str">
        <f aca="false">IF((E64="p"),H64," ")</f>
        <v> </v>
      </c>
      <c r="V64" s="17" t="str">
        <f aca="false">IF((E64="t"),H64," ")</f>
        <v> </v>
      </c>
      <c r="W64" s="17" t="str">
        <f aca="false">IF((E64="q"),H64," ")</f>
        <v> </v>
      </c>
      <c r="X64" s="17" t="str">
        <f aca="false">IF((E64="m"),H64," ")</f>
        <v> </v>
      </c>
      <c r="Y64" s="17" t="str">
        <f aca="false">IF((E64="u"),H64," ")</f>
        <v> </v>
      </c>
      <c r="Z64" s="17" t="str">
        <f aca="false">IF((E64="a"),H64," ")</f>
        <v> </v>
      </c>
      <c r="AA64" s="17" t="str">
        <f aca="false">IF((E64="g"),H64," ")</f>
        <v> </v>
      </c>
      <c r="AB64" s="17" t="str">
        <f aca="false">IF((E64="h"),H64," ")</f>
        <v> </v>
      </c>
      <c r="AC64" s="30" t="str">
        <f aca="false">IF((E64="v"),H64," ")</f>
        <v> </v>
      </c>
      <c r="AD64" s="30" t="str">
        <f aca="false">IF((E64="n"),H64," ")</f>
        <v> </v>
      </c>
      <c r="AE64" s="17" t="str">
        <f aca="false">IF((E64="f"),H64," ")</f>
        <v> </v>
      </c>
      <c r="AF64" s="17" t="str">
        <f aca="false">IF((E64="l"),H64," ")</f>
        <v> </v>
      </c>
      <c r="AG64" s="17" t="str">
        <f aca="false">IF((E64="y"),H64," ")</f>
        <v> </v>
      </c>
      <c r="AH64" s="17" t="str">
        <f aca="false">IF((E64="z"),H64," ")</f>
        <v> </v>
      </c>
      <c r="AI64" s="17" t="str">
        <f aca="false">IF((E64="fa"),H64," ")</f>
        <v> </v>
      </c>
      <c r="AJ64" s="17" t="str">
        <f aca="false">IF((E64="e"),H64," ")</f>
        <v> </v>
      </c>
    </row>
    <row r="65" customFormat="false" ht="12" hidden="false" customHeight="false" outlineLevel="0" collapsed="false">
      <c r="A65" s="28"/>
      <c r="E65" s="2"/>
      <c r="F65" s="30"/>
      <c r="G65" s="6" t="str">
        <f aca="false">IF(F65&lt;&gt;0,F65*G$2/(100+G$2)," ")</f>
        <v> </v>
      </c>
      <c r="H65" s="6" t="str">
        <f aca="false">IF((F65&lt;&gt;0),F65-G65," ")</f>
        <v> </v>
      </c>
      <c r="I65" s="5"/>
      <c r="L65" s="7" t="str">
        <f aca="false">IF(F65&lt;&gt;0,F65-K65," ")</f>
        <v> </v>
      </c>
      <c r="M65" s="8" t="str">
        <f aca="false">IF((F65-K65)&lt;&gt;0,M$1-A65," ")</f>
        <v> </v>
      </c>
      <c r="N65" s="5"/>
      <c r="O65" s="17" t="str">
        <f aca="false">IF((E65="s"),H65," ")</f>
        <v> </v>
      </c>
      <c r="P65" s="17" t="str">
        <f aca="false">IF((E65="c"),H65," ")</f>
        <v> </v>
      </c>
      <c r="Q65" s="17" t="str">
        <f aca="false">IF((E65="o"),H65," ")</f>
        <v> </v>
      </c>
      <c r="R65" s="17" t="str">
        <f aca="false">IF((E65="d"),H65," ")</f>
        <v> </v>
      </c>
      <c r="S65" s="17" t="str">
        <f aca="false">IF((E65="w"),H65," ")</f>
        <v> </v>
      </c>
      <c r="T65" s="17" t="str">
        <f aca="false">IF((E65="r"),H65," ")</f>
        <v> </v>
      </c>
      <c r="U65" s="17" t="str">
        <f aca="false">IF((E65="p"),H65," ")</f>
        <v> </v>
      </c>
      <c r="V65" s="17" t="str">
        <f aca="false">IF((E65="t"),H65," ")</f>
        <v> </v>
      </c>
      <c r="W65" s="17" t="str">
        <f aca="false">IF((E65="q"),H65," ")</f>
        <v> </v>
      </c>
      <c r="X65" s="17" t="str">
        <f aca="false">IF((E65="m"),H65," ")</f>
        <v> </v>
      </c>
      <c r="Y65" s="17" t="str">
        <f aca="false">IF((E65="u"),H65," ")</f>
        <v> </v>
      </c>
      <c r="Z65" s="17" t="str">
        <f aca="false">IF((E65="a"),H65," ")</f>
        <v> </v>
      </c>
      <c r="AA65" s="17" t="str">
        <f aca="false">IF((E65="g"),H65," ")</f>
        <v> </v>
      </c>
      <c r="AB65" s="17" t="str">
        <f aca="false">IF((E65="h"),H65," ")</f>
        <v> </v>
      </c>
      <c r="AC65" s="30" t="str">
        <f aca="false">IF((E65="v"),H65," ")</f>
        <v> </v>
      </c>
      <c r="AD65" s="30" t="str">
        <f aca="false">IF((E65="n"),H65," ")</f>
        <v> </v>
      </c>
      <c r="AE65" s="17" t="str">
        <f aca="false">IF((E65="f"),H65," ")</f>
        <v> </v>
      </c>
      <c r="AF65" s="17" t="str">
        <f aca="false">IF((E65="l"),H65," ")</f>
        <v> </v>
      </c>
      <c r="AG65" s="17" t="str">
        <f aca="false">IF((E65="y"),H65," ")</f>
        <v> </v>
      </c>
      <c r="AH65" s="17" t="str">
        <f aca="false">IF((E65="z"),H65," ")</f>
        <v> </v>
      </c>
      <c r="AI65" s="17" t="str">
        <f aca="false">IF((E65="fa"),H65," ")</f>
        <v> </v>
      </c>
      <c r="AJ65" s="17" t="str">
        <f aca="false">IF((E65="e"),H65," ")</f>
        <v> </v>
      </c>
    </row>
    <row r="66" customFormat="false" ht="12" hidden="false" customHeight="false" outlineLevel="0" collapsed="false">
      <c r="A66" s="28"/>
      <c r="E66" s="2"/>
      <c r="F66" s="30"/>
      <c r="G66" s="6" t="str">
        <f aca="false">IF(F66&lt;&gt;0,F66*G$2/(100+G$2)," ")</f>
        <v> </v>
      </c>
      <c r="H66" s="6" t="str">
        <f aca="false">IF((F66&lt;&gt;0),F66-G66," ")</f>
        <v> </v>
      </c>
      <c r="I66" s="5"/>
      <c r="L66" s="7" t="str">
        <f aca="false">IF(F66&lt;&gt;0,F66-K66," ")</f>
        <v> </v>
      </c>
      <c r="M66" s="8" t="str">
        <f aca="false">IF((F66-K66)&lt;&gt;0,M$1-A66," ")</f>
        <v> </v>
      </c>
      <c r="N66" s="5"/>
      <c r="O66" s="17" t="str">
        <f aca="false">IF((E66="s"),H66," ")</f>
        <v> </v>
      </c>
      <c r="P66" s="17" t="str">
        <f aca="false">IF((E66="c"),H66," ")</f>
        <v> </v>
      </c>
      <c r="Q66" s="17" t="str">
        <f aca="false">IF((E66="o"),H66," ")</f>
        <v> </v>
      </c>
      <c r="R66" s="17" t="str">
        <f aca="false">IF((E66="d"),H66," ")</f>
        <v> </v>
      </c>
      <c r="S66" s="17" t="str">
        <f aca="false">IF((E66="w"),H66," ")</f>
        <v> </v>
      </c>
      <c r="T66" s="17" t="str">
        <f aca="false">IF((E66="r"),H66," ")</f>
        <v> </v>
      </c>
      <c r="U66" s="17" t="str">
        <f aca="false">IF((E66="p"),H66," ")</f>
        <v> </v>
      </c>
      <c r="V66" s="17" t="str">
        <f aca="false">IF((E66="t"),H66," ")</f>
        <v> </v>
      </c>
      <c r="W66" s="17" t="str">
        <f aca="false">IF((E66="q"),H66," ")</f>
        <v> </v>
      </c>
      <c r="X66" s="17" t="str">
        <f aca="false">IF((E66="m"),H66," ")</f>
        <v> </v>
      </c>
      <c r="Y66" s="17" t="str">
        <f aca="false">IF((E66="u"),H66," ")</f>
        <v> </v>
      </c>
      <c r="Z66" s="17" t="str">
        <f aca="false">IF((E66="a"),H66," ")</f>
        <v> </v>
      </c>
      <c r="AA66" s="17" t="str">
        <f aca="false">IF((E66="g"),H66," ")</f>
        <v> </v>
      </c>
      <c r="AB66" s="17" t="str">
        <f aca="false">IF((E66="h"),H66," ")</f>
        <v> </v>
      </c>
      <c r="AC66" s="30" t="str">
        <f aca="false">IF((E66="v"),H66," ")</f>
        <v> </v>
      </c>
      <c r="AD66" s="30" t="str">
        <f aca="false">IF((E66="n"),H66," ")</f>
        <v> </v>
      </c>
      <c r="AE66" s="17" t="str">
        <f aca="false">IF((E66="f"),H66," ")</f>
        <v> </v>
      </c>
      <c r="AF66" s="17" t="str">
        <f aca="false">IF((E66="l"),H66," ")</f>
        <v> </v>
      </c>
      <c r="AG66" s="17" t="str">
        <f aca="false">IF((E66="y"),H66," ")</f>
        <v> </v>
      </c>
      <c r="AH66" s="17" t="str">
        <f aca="false">IF((E66="z"),H66," ")</f>
        <v> </v>
      </c>
      <c r="AI66" s="17" t="str">
        <f aca="false">IF((E66="fa"),H66," ")</f>
        <v> </v>
      </c>
      <c r="AJ66" s="17" t="str">
        <f aca="false">IF((E66="e"),H66," ")</f>
        <v> </v>
      </c>
    </row>
    <row r="67" customFormat="false" ht="12" hidden="false" customHeight="false" outlineLevel="0" collapsed="false">
      <c r="A67" s="28"/>
      <c r="E67" s="2"/>
      <c r="F67" s="30"/>
      <c r="G67" s="6" t="str">
        <f aca="false">IF(F67&lt;&gt;0,F67*G$2/(100+G$2)," ")</f>
        <v> </v>
      </c>
      <c r="H67" s="6" t="str">
        <f aca="false">IF((F67&lt;&gt;0),F67-G67," ")</f>
        <v> </v>
      </c>
      <c r="I67" s="5"/>
      <c r="L67" s="7" t="str">
        <f aca="false">IF(F67&lt;&gt;0,F67-K67," ")</f>
        <v> </v>
      </c>
      <c r="M67" s="8" t="str">
        <f aca="false">IF((F67-K67)&lt;&gt;0,M$1-A67," ")</f>
        <v> </v>
      </c>
      <c r="N67" s="5"/>
      <c r="O67" s="17" t="str">
        <f aca="false">IF((E67="s"),H67," ")</f>
        <v> </v>
      </c>
      <c r="P67" s="17" t="str">
        <f aca="false">IF((E67="c"),H67," ")</f>
        <v> </v>
      </c>
      <c r="Q67" s="17" t="str">
        <f aca="false">IF((E67="o"),H67," ")</f>
        <v> </v>
      </c>
      <c r="R67" s="17" t="str">
        <f aca="false">IF((E67="d"),H67," ")</f>
        <v> </v>
      </c>
      <c r="S67" s="17" t="str">
        <f aca="false">IF((E67="w"),H67," ")</f>
        <v> </v>
      </c>
      <c r="T67" s="17" t="str">
        <f aca="false">IF((E67="r"),H67," ")</f>
        <v> </v>
      </c>
      <c r="U67" s="17" t="str">
        <f aca="false">IF((E67="p"),H67," ")</f>
        <v> </v>
      </c>
      <c r="V67" s="17" t="str">
        <f aca="false">IF((E67="t"),H67," ")</f>
        <v> </v>
      </c>
      <c r="W67" s="17" t="str">
        <f aca="false">IF((E67="q"),H67," ")</f>
        <v> </v>
      </c>
      <c r="X67" s="17" t="str">
        <f aca="false">IF((E67="m"),H67," ")</f>
        <v> </v>
      </c>
      <c r="Y67" s="17" t="str">
        <f aca="false">IF((E67="u"),H67," ")</f>
        <v> </v>
      </c>
      <c r="Z67" s="17" t="str">
        <f aca="false">IF((E67="a"),H67," ")</f>
        <v> </v>
      </c>
      <c r="AA67" s="17" t="str">
        <f aca="false">IF((E67="g"),H67," ")</f>
        <v> </v>
      </c>
      <c r="AB67" s="17" t="str">
        <f aca="false">IF((E67="h"),H67," ")</f>
        <v> </v>
      </c>
      <c r="AC67" s="30" t="str">
        <f aca="false">IF((E67="v"),H67," ")</f>
        <v> </v>
      </c>
      <c r="AD67" s="30" t="str">
        <f aca="false">IF((E67="n"),H67," ")</f>
        <v> </v>
      </c>
      <c r="AE67" s="17" t="str">
        <f aca="false">IF((E67="f"),H67," ")</f>
        <v> </v>
      </c>
      <c r="AF67" s="17" t="str">
        <f aca="false">IF((E67="l"),H67," ")</f>
        <v> </v>
      </c>
      <c r="AG67" s="17" t="str">
        <f aca="false">IF((E67="y"),H67," ")</f>
        <v> </v>
      </c>
      <c r="AH67" s="17" t="str">
        <f aca="false">IF((E67="z"),H67," ")</f>
        <v> </v>
      </c>
      <c r="AI67" s="17" t="str">
        <f aca="false">IF((E67="fa"),H67," ")</f>
        <v> </v>
      </c>
      <c r="AJ67" s="17" t="str">
        <f aca="false">IF((E67="e"),H67," ")</f>
        <v> </v>
      </c>
    </row>
    <row r="68" customFormat="false" ht="12" hidden="false" customHeight="false" outlineLevel="0" collapsed="false">
      <c r="A68" s="28"/>
      <c r="E68" s="2"/>
      <c r="F68" s="30"/>
      <c r="G68" s="6" t="str">
        <f aca="false">IF(F68&lt;&gt;0,F68*G$2/(100+G$2)," ")</f>
        <v> </v>
      </c>
      <c r="H68" s="6" t="str">
        <f aca="false">IF((F68&lt;&gt;0),F68-G68," ")</f>
        <v> </v>
      </c>
      <c r="I68" s="5"/>
      <c r="L68" s="7" t="str">
        <f aca="false">IF(F68&lt;&gt;0,F68-K68," ")</f>
        <v> </v>
      </c>
      <c r="M68" s="8" t="str">
        <f aca="false">IF((F68-K68)&lt;&gt;0,M$1-A68," ")</f>
        <v> </v>
      </c>
      <c r="N68" s="5"/>
      <c r="O68" s="17" t="str">
        <f aca="false">IF((E68="s"),H68," ")</f>
        <v> </v>
      </c>
      <c r="P68" s="17" t="str">
        <f aca="false">IF((E68="c"),H68," ")</f>
        <v> </v>
      </c>
      <c r="Q68" s="17" t="str">
        <f aca="false">IF((E68="o"),H68," ")</f>
        <v> </v>
      </c>
      <c r="R68" s="17" t="str">
        <f aca="false">IF((E68="d"),H68," ")</f>
        <v> </v>
      </c>
      <c r="S68" s="17" t="str">
        <f aca="false">IF((E68="w"),H68," ")</f>
        <v> </v>
      </c>
      <c r="T68" s="17" t="str">
        <f aca="false">IF((E68="r"),H68," ")</f>
        <v> </v>
      </c>
      <c r="U68" s="17" t="str">
        <f aca="false">IF((E68="p"),H68," ")</f>
        <v> </v>
      </c>
      <c r="V68" s="17" t="str">
        <f aca="false">IF((E68="t"),H68," ")</f>
        <v> </v>
      </c>
      <c r="W68" s="17" t="str">
        <f aca="false">IF((E68="q"),H68," ")</f>
        <v> </v>
      </c>
      <c r="X68" s="17" t="str">
        <f aca="false">IF((E68="m"),H68," ")</f>
        <v> </v>
      </c>
      <c r="Y68" s="17" t="str">
        <f aca="false">IF((E68="u"),H68," ")</f>
        <v> </v>
      </c>
      <c r="Z68" s="17" t="str">
        <f aca="false">IF((E68="a"),H68," ")</f>
        <v> </v>
      </c>
      <c r="AA68" s="17" t="str">
        <f aca="false">IF((E68="g"),H68," ")</f>
        <v> </v>
      </c>
      <c r="AB68" s="17" t="str">
        <f aca="false">IF((E68="h"),H68," ")</f>
        <v> </v>
      </c>
      <c r="AC68" s="30" t="str">
        <f aca="false">IF((E68="v"),H68," ")</f>
        <v> </v>
      </c>
      <c r="AD68" s="30" t="str">
        <f aca="false">IF((E68="n"),H68," ")</f>
        <v> </v>
      </c>
      <c r="AE68" s="17" t="str">
        <f aca="false">IF((E68="f"),H68," ")</f>
        <v> </v>
      </c>
      <c r="AF68" s="17" t="str">
        <f aca="false">IF((E68="l"),H68," ")</f>
        <v> </v>
      </c>
      <c r="AG68" s="17" t="str">
        <f aca="false">IF((E68="y"),H68," ")</f>
        <v> </v>
      </c>
      <c r="AH68" s="17" t="str">
        <f aca="false">IF((E68="z"),H68," ")</f>
        <v> </v>
      </c>
      <c r="AI68" s="17" t="str">
        <f aca="false">IF((E68="fa"),H68," ")</f>
        <v> </v>
      </c>
      <c r="AJ68" s="17" t="str">
        <f aca="false">IF((E68="e"),H68," ")</f>
        <v> </v>
      </c>
    </row>
    <row r="69" customFormat="false" ht="12" hidden="false" customHeight="false" outlineLevel="0" collapsed="false">
      <c r="A69" s="28"/>
      <c r="E69" s="2"/>
      <c r="F69" s="30"/>
      <c r="G69" s="6" t="str">
        <f aca="false">IF(F69&lt;&gt;0,F69*G$2/(100+G$2)," ")</f>
        <v> </v>
      </c>
      <c r="H69" s="6" t="str">
        <f aca="false">IF((F69&lt;&gt;0),F69-G69," ")</f>
        <v> </v>
      </c>
      <c r="I69" s="5"/>
      <c r="L69" s="7" t="str">
        <f aca="false">IF(F69&lt;&gt;0,F69-K69," ")</f>
        <v> </v>
      </c>
      <c r="M69" s="8" t="str">
        <f aca="false">IF((F69-K69)&lt;&gt;0,M$1-A69," ")</f>
        <v> </v>
      </c>
      <c r="N69" s="5"/>
      <c r="O69" s="17" t="str">
        <f aca="false">IF((E69="s"),H69," ")</f>
        <v> </v>
      </c>
      <c r="P69" s="17" t="str">
        <f aca="false">IF((E69="c"),H69," ")</f>
        <v> </v>
      </c>
      <c r="Q69" s="17" t="str">
        <f aca="false">IF((E69="o"),H69," ")</f>
        <v> </v>
      </c>
      <c r="R69" s="17" t="str">
        <f aca="false">IF((E69="d"),H69," ")</f>
        <v> </v>
      </c>
      <c r="S69" s="17" t="str">
        <f aca="false">IF((E69="w"),H69," ")</f>
        <v> </v>
      </c>
      <c r="T69" s="17" t="str">
        <f aca="false">IF((E69="r"),H69," ")</f>
        <v> </v>
      </c>
      <c r="U69" s="17" t="str">
        <f aca="false">IF((E69="p"),H69," ")</f>
        <v> </v>
      </c>
      <c r="V69" s="17" t="str">
        <f aca="false">IF((E69="t"),H69," ")</f>
        <v> </v>
      </c>
      <c r="W69" s="17" t="str">
        <f aca="false">IF((E69="q"),H69," ")</f>
        <v> </v>
      </c>
      <c r="X69" s="17" t="str">
        <f aca="false">IF((E69="m"),H69," ")</f>
        <v> </v>
      </c>
      <c r="Y69" s="17" t="str">
        <f aca="false">IF((E69="u"),H69," ")</f>
        <v> </v>
      </c>
      <c r="Z69" s="17" t="str">
        <f aca="false">IF((E69="a"),H69," ")</f>
        <v> </v>
      </c>
      <c r="AA69" s="17" t="str">
        <f aca="false">IF((E69="g"),H69," ")</f>
        <v> </v>
      </c>
      <c r="AB69" s="17" t="str">
        <f aca="false">IF((E69="h"),H69," ")</f>
        <v> </v>
      </c>
      <c r="AC69" s="30" t="str">
        <f aca="false">IF((E69="v"),H69," ")</f>
        <v> </v>
      </c>
      <c r="AD69" s="30" t="str">
        <f aca="false">IF((E69="n"),H69," ")</f>
        <v> </v>
      </c>
      <c r="AE69" s="17" t="str">
        <f aca="false">IF((E69="f"),H69," ")</f>
        <v> </v>
      </c>
      <c r="AF69" s="17" t="str">
        <f aca="false">IF((E69="l"),H69," ")</f>
        <v> </v>
      </c>
      <c r="AG69" s="17" t="str">
        <f aca="false">IF((E69="y"),H69," ")</f>
        <v> </v>
      </c>
      <c r="AH69" s="17" t="str">
        <f aca="false">IF((E69="z"),H69," ")</f>
        <v> </v>
      </c>
      <c r="AI69" s="17" t="str">
        <f aca="false">IF((E69="fa"),H69," ")</f>
        <v> </v>
      </c>
      <c r="AJ69" s="17" t="str">
        <f aca="false">IF((E69="e"),H69," ")</f>
        <v> </v>
      </c>
    </row>
    <row r="70" customFormat="false" ht="12" hidden="false" customHeight="false" outlineLevel="0" collapsed="false">
      <c r="A70" s="28"/>
      <c r="E70" s="2" t="str">
        <f aca="false">IF((F70&lt;&gt;0),"Enter Letter"," ")</f>
        <v> </v>
      </c>
      <c r="F70" s="30"/>
      <c r="G70" s="6" t="str">
        <f aca="false">IF(F70&lt;&gt;0,F70*G$2/(100+G$2)," ")</f>
        <v> </v>
      </c>
      <c r="H70" s="6" t="str">
        <f aca="false">IF((F70&lt;&gt;0),F70-G70," ")</f>
        <v> </v>
      </c>
      <c r="I70" s="5"/>
      <c r="L70" s="7" t="str">
        <f aca="false">IF(F70&lt;&gt;0,F70-K70," ")</f>
        <v> </v>
      </c>
      <c r="M70" s="8" t="str">
        <f aca="false">IF((F70-K70)&lt;&gt;0,M$1-A70," ")</f>
        <v> </v>
      </c>
      <c r="N70" s="5"/>
      <c r="O70" s="17" t="str">
        <f aca="false">IF((E70="s"),H70," ")</f>
        <v> </v>
      </c>
      <c r="P70" s="17" t="str">
        <f aca="false">IF((E70="c"),H70," ")</f>
        <v> </v>
      </c>
      <c r="Q70" s="17" t="str">
        <f aca="false">IF((E70="o"),H70," ")</f>
        <v> </v>
      </c>
      <c r="R70" s="17" t="str">
        <f aca="false">IF((E70="d"),H70," ")</f>
        <v> </v>
      </c>
      <c r="S70" s="17" t="str">
        <f aca="false">IF((E70="w"),H70," ")</f>
        <v> </v>
      </c>
      <c r="T70" s="17" t="str">
        <f aca="false">IF((E70="r"),H70," ")</f>
        <v> </v>
      </c>
      <c r="U70" s="17" t="str">
        <f aca="false">IF((E70="p"),H70," ")</f>
        <v> </v>
      </c>
      <c r="V70" s="17" t="str">
        <f aca="false">IF((E70="t"),H70," ")</f>
        <v> </v>
      </c>
      <c r="W70" s="17" t="str">
        <f aca="false">IF((E70="q"),H70," ")</f>
        <v> </v>
      </c>
      <c r="X70" s="17" t="str">
        <f aca="false">IF((E70="m"),H70," ")</f>
        <v> </v>
      </c>
      <c r="Y70" s="17" t="str">
        <f aca="false">IF((E70="u"),H70," ")</f>
        <v> </v>
      </c>
      <c r="Z70" s="17" t="str">
        <f aca="false">IF((E70="a"),H70," ")</f>
        <v> </v>
      </c>
      <c r="AA70" s="17" t="str">
        <f aca="false">IF((E70="g"),H70," ")</f>
        <v> </v>
      </c>
      <c r="AB70" s="17" t="str">
        <f aca="false">IF((E70="h"),H70," ")</f>
        <v> </v>
      </c>
      <c r="AC70" s="30" t="str">
        <f aca="false">IF((E70="v"),H70," ")</f>
        <v> </v>
      </c>
      <c r="AD70" s="30" t="str">
        <f aca="false">IF((E70="n"),H70," ")</f>
        <v> </v>
      </c>
      <c r="AE70" s="17" t="str">
        <f aca="false">IF((E70="f"),H70," ")</f>
        <v> </v>
      </c>
      <c r="AF70" s="17" t="str">
        <f aca="false">IF((E70="l"),H70," ")</f>
        <v> </v>
      </c>
      <c r="AG70" s="17" t="str">
        <f aca="false">IF((E70="y"),H70," ")</f>
        <v> </v>
      </c>
      <c r="AH70" s="17" t="str">
        <f aca="false">IF((E70="z"),H70," ")</f>
        <v> </v>
      </c>
      <c r="AI70" s="17" t="str">
        <f aca="false">IF((E70="fa"),H70," ")</f>
        <v> </v>
      </c>
      <c r="AJ70" s="17" t="str">
        <f aca="false">IF((E70="e"),H70," ")</f>
        <v> </v>
      </c>
    </row>
    <row r="71" customFormat="false" ht="12" hidden="false" customHeight="false" outlineLevel="0" collapsed="false">
      <c r="A71" s="28"/>
      <c r="E71" s="2" t="str">
        <f aca="false">IF((F71&lt;&gt;0),"Enter Letter"," ")</f>
        <v> </v>
      </c>
      <c r="F71" s="30"/>
      <c r="G71" s="6" t="str">
        <f aca="false">IF(F71&lt;&gt;0,F71*G$2/(100+G$2)," ")</f>
        <v> </v>
      </c>
      <c r="H71" s="6" t="str">
        <f aca="false">IF((F71&lt;&gt;0),F71-G71," ")</f>
        <v> </v>
      </c>
      <c r="I71" s="5"/>
      <c r="L71" s="7" t="str">
        <f aca="false">IF(F71&lt;&gt;0,F71-K71," ")</f>
        <v> </v>
      </c>
      <c r="M71" s="8" t="str">
        <f aca="false">IF((F71-K71)&lt;&gt;0,M$1-A71," ")</f>
        <v> </v>
      </c>
      <c r="N71" s="5"/>
      <c r="O71" s="17" t="str">
        <f aca="false">IF((E71="s"),H71," ")</f>
        <v> </v>
      </c>
      <c r="P71" s="17" t="str">
        <f aca="false">IF((E71="c"),H71," ")</f>
        <v> </v>
      </c>
      <c r="Q71" s="17" t="str">
        <f aca="false">IF((E71="o"),H71," ")</f>
        <v> </v>
      </c>
      <c r="R71" s="17" t="str">
        <f aca="false">IF((E71="d"),H71," ")</f>
        <v> </v>
      </c>
      <c r="S71" s="17" t="str">
        <f aca="false">IF((E71="w"),H71," ")</f>
        <v> </v>
      </c>
      <c r="T71" s="17" t="str">
        <f aca="false">IF((E71="r"),H71," ")</f>
        <v> </v>
      </c>
      <c r="U71" s="17" t="str">
        <f aca="false">IF((E71="p"),H71," ")</f>
        <v> </v>
      </c>
      <c r="V71" s="17" t="str">
        <f aca="false">IF((E71="t"),H71," ")</f>
        <v> </v>
      </c>
      <c r="W71" s="17" t="str">
        <f aca="false">IF((E71="q"),H71," ")</f>
        <v> </v>
      </c>
      <c r="X71" s="17" t="str">
        <f aca="false">IF((E71="m"),H71," ")</f>
        <v> </v>
      </c>
      <c r="Y71" s="17" t="str">
        <f aca="false">IF((E71="u"),H71," ")</f>
        <v> </v>
      </c>
      <c r="Z71" s="17" t="str">
        <f aca="false">IF((E71="a"),H71," ")</f>
        <v> </v>
      </c>
      <c r="AA71" s="17" t="str">
        <f aca="false">IF((E71="g"),H71," ")</f>
        <v> </v>
      </c>
      <c r="AB71" s="17" t="str">
        <f aca="false">IF((E71="h"),H71," ")</f>
        <v> </v>
      </c>
      <c r="AC71" s="30" t="str">
        <f aca="false">IF((E71="v"),H71," ")</f>
        <v> </v>
      </c>
      <c r="AD71" s="30" t="str">
        <f aca="false">IF((E71="n"),H71," ")</f>
        <v> </v>
      </c>
      <c r="AE71" s="17" t="str">
        <f aca="false">IF((E71="f"),H71," ")</f>
        <v> </v>
      </c>
      <c r="AF71" s="17" t="str">
        <f aca="false">IF((E71="l"),H71," ")</f>
        <v> </v>
      </c>
      <c r="AG71" s="17" t="str">
        <f aca="false">IF((E71="y"),H71," ")</f>
        <v> </v>
      </c>
      <c r="AH71" s="17" t="str">
        <f aca="false">IF((E71="z"),H71," ")</f>
        <v> </v>
      </c>
      <c r="AI71" s="17" t="str">
        <f aca="false">IF((E71="fa"),H71," ")</f>
        <v> </v>
      </c>
      <c r="AJ71" s="17" t="str">
        <f aca="false">IF((E71="e"),H71," ")</f>
        <v> </v>
      </c>
    </row>
    <row r="72" customFormat="false" ht="12" hidden="false" customHeight="false" outlineLevel="0" collapsed="false">
      <c r="A72" s="28"/>
      <c r="E72" s="2" t="str">
        <f aca="false">IF((F72&lt;&gt;0),"Enter Letter"," ")</f>
        <v> </v>
      </c>
      <c r="F72" s="30"/>
      <c r="G72" s="6" t="str">
        <f aca="false">IF(F72&lt;&gt;0,F72*G$2/(100+G$2)," ")</f>
        <v> </v>
      </c>
      <c r="H72" s="6" t="str">
        <f aca="false">IF((F72&lt;&gt;0),F72-G72," ")</f>
        <v> </v>
      </c>
      <c r="I72" s="5"/>
      <c r="L72" s="7" t="str">
        <f aca="false">IF(F72&lt;&gt;0,F72-K72," ")</f>
        <v> </v>
      </c>
      <c r="M72" s="8" t="str">
        <f aca="false">IF((F72-K72)&lt;&gt;0,M$1-A72," ")</f>
        <v> </v>
      </c>
      <c r="N72" s="5"/>
      <c r="O72" s="17" t="str">
        <f aca="false">IF((E72="s"),H72," ")</f>
        <v> </v>
      </c>
      <c r="P72" s="17" t="str">
        <f aca="false">IF((E72="c"),H72," ")</f>
        <v> </v>
      </c>
      <c r="Q72" s="17" t="str">
        <f aca="false">IF((E72="o"),H72," ")</f>
        <v> </v>
      </c>
      <c r="R72" s="17" t="str">
        <f aca="false">IF((E72="d"),H72," ")</f>
        <v> </v>
      </c>
      <c r="S72" s="17" t="str">
        <f aca="false">IF((E72="w"),H72," ")</f>
        <v> </v>
      </c>
      <c r="T72" s="17" t="str">
        <f aca="false">IF((E72="r"),H72," ")</f>
        <v> </v>
      </c>
      <c r="U72" s="17" t="str">
        <f aca="false">IF((E72="p"),H72," ")</f>
        <v> </v>
      </c>
      <c r="V72" s="17" t="str">
        <f aca="false">IF((E72="t"),H72," ")</f>
        <v> </v>
      </c>
      <c r="W72" s="17" t="str">
        <f aca="false">IF((E72="q"),H72," ")</f>
        <v> </v>
      </c>
      <c r="X72" s="17" t="str">
        <f aca="false">IF((E72="m"),H72," ")</f>
        <v> </v>
      </c>
      <c r="Y72" s="17" t="str">
        <f aca="false">IF((E72="u"),H72," ")</f>
        <v> </v>
      </c>
      <c r="Z72" s="17" t="str">
        <f aca="false">IF((E72="a"),H72," ")</f>
        <v> </v>
      </c>
      <c r="AA72" s="17" t="str">
        <f aca="false">IF((E72="g"),H72," ")</f>
        <v> </v>
      </c>
      <c r="AB72" s="17" t="str">
        <f aca="false">IF((E72="h"),H72," ")</f>
        <v> </v>
      </c>
      <c r="AC72" s="30" t="str">
        <f aca="false">IF((E72="v"),H72," ")</f>
        <v> </v>
      </c>
      <c r="AD72" s="30" t="str">
        <f aca="false">IF((E72="n"),H72," ")</f>
        <v> </v>
      </c>
      <c r="AE72" s="17" t="str">
        <f aca="false">IF((E72="f"),H72," ")</f>
        <v> </v>
      </c>
      <c r="AF72" s="17" t="str">
        <f aca="false">IF((E72="l"),H72," ")</f>
        <v> </v>
      </c>
      <c r="AG72" s="17" t="str">
        <f aca="false">IF((E72="y"),H72," ")</f>
        <v> </v>
      </c>
      <c r="AH72" s="17" t="str">
        <f aca="false">IF((E72="z"),H72," ")</f>
        <v> </v>
      </c>
      <c r="AI72" s="17" t="str">
        <f aca="false">IF((E72="fa"),H72," ")</f>
        <v> </v>
      </c>
      <c r="AJ72" s="17" t="str">
        <f aca="false">IF((E72="e"),H72," ")</f>
        <v> </v>
      </c>
    </row>
    <row r="73" customFormat="false" ht="12" hidden="false" customHeight="false" outlineLevel="0" collapsed="false">
      <c r="A73" s="28"/>
      <c r="E73" s="2" t="str">
        <f aca="false">IF((F73&lt;&gt;0),"Enter Letter"," ")</f>
        <v> </v>
      </c>
      <c r="F73" s="30"/>
      <c r="G73" s="6" t="str">
        <f aca="false">IF(F73&lt;&gt;0,F73*G$2/(100+G$2)," ")</f>
        <v> </v>
      </c>
      <c r="H73" s="6" t="str">
        <f aca="false">IF((F73&lt;&gt;0),F73-G73," ")</f>
        <v> </v>
      </c>
      <c r="I73" s="5"/>
      <c r="L73" s="7" t="str">
        <f aca="false">IF(F73&lt;&gt;0,F73-K73," ")</f>
        <v> </v>
      </c>
      <c r="M73" s="8" t="str">
        <f aca="false">IF((F73-K73)&lt;&gt;0,M$1-A73," ")</f>
        <v> </v>
      </c>
      <c r="N73" s="5"/>
      <c r="O73" s="17" t="str">
        <f aca="false">IF((E73="s"),H73," ")</f>
        <v> </v>
      </c>
      <c r="P73" s="17" t="str">
        <f aca="false">IF((E73="c"),H73," ")</f>
        <v> </v>
      </c>
      <c r="Q73" s="17" t="str">
        <f aca="false">IF((E73="o"),H73," ")</f>
        <v> </v>
      </c>
      <c r="R73" s="17" t="str">
        <f aca="false">IF((E73="d"),H73," ")</f>
        <v> </v>
      </c>
      <c r="S73" s="17" t="str">
        <f aca="false">IF((E73="w"),H73," ")</f>
        <v> </v>
      </c>
      <c r="T73" s="17" t="str">
        <f aca="false">IF((E73="r"),H73," ")</f>
        <v> </v>
      </c>
      <c r="U73" s="17" t="str">
        <f aca="false">IF((E73="p"),H73," ")</f>
        <v> </v>
      </c>
      <c r="V73" s="17" t="str">
        <f aca="false">IF((E73="t"),H73," ")</f>
        <v> </v>
      </c>
      <c r="W73" s="17" t="str">
        <f aca="false">IF((E73="q"),H73," ")</f>
        <v> </v>
      </c>
      <c r="X73" s="17" t="str">
        <f aca="false">IF((E73="m"),H73," ")</f>
        <v> </v>
      </c>
      <c r="Y73" s="17" t="str">
        <f aca="false">IF((E73="u"),H73," ")</f>
        <v> </v>
      </c>
      <c r="Z73" s="17" t="str">
        <f aca="false">IF((E73="a"),H73," ")</f>
        <v> </v>
      </c>
      <c r="AA73" s="17" t="str">
        <f aca="false">IF((E73="g"),H73," ")</f>
        <v> </v>
      </c>
      <c r="AB73" s="17" t="str">
        <f aca="false">IF((E73="h"),H73," ")</f>
        <v> </v>
      </c>
      <c r="AC73" s="30" t="str">
        <f aca="false">IF((E73="v"),H73," ")</f>
        <v> </v>
      </c>
      <c r="AD73" s="30" t="str">
        <f aca="false">IF((E73="n"),H73," ")</f>
        <v> </v>
      </c>
      <c r="AE73" s="17" t="str">
        <f aca="false">IF((E73="f"),H73," ")</f>
        <v> </v>
      </c>
      <c r="AF73" s="17" t="str">
        <f aca="false">IF((E73="l"),H73," ")</f>
        <v> </v>
      </c>
      <c r="AG73" s="17" t="str">
        <f aca="false">IF((E73="y"),H73," ")</f>
        <v> </v>
      </c>
      <c r="AH73" s="17" t="str">
        <f aca="false">IF((E73="z"),H73," ")</f>
        <v> </v>
      </c>
      <c r="AI73" s="17" t="str">
        <f aca="false">IF((E73="fa"),H73," ")</f>
        <v> </v>
      </c>
      <c r="AJ73" s="17" t="str">
        <f aca="false">IF((E73="e"),H73," ")</f>
        <v> </v>
      </c>
    </row>
    <row r="74" customFormat="false" ht="12" hidden="false" customHeight="false" outlineLevel="0" collapsed="false">
      <c r="A74" s="28"/>
      <c r="E74" s="2" t="str">
        <f aca="false">IF((F74&lt;&gt;0),"Enter Letter"," ")</f>
        <v> </v>
      </c>
      <c r="F74" s="30"/>
      <c r="G74" s="6" t="str">
        <f aca="false">IF(F74&lt;&gt;0,F74*G$2/(100+G$2)," ")</f>
        <v> </v>
      </c>
      <c r="H74" s="6" t="str">
        <f aca="false">IF((F74&lt;&gt;0),F74-G74," ")</f>
        <v> </v>
      </c>
      <c r="I74" s="5"/>
      <c r="L74" s="7" t="str">
        <f aca="false">IF(F74&lt;&gt;0,F74-K74," ")</f>
        <v> </v>
      </c>
      <c r="M74" s="8" t="str">
        <f aca="false">IF((F74-K74)&lt;&gt;0,M$1-A74," ")</f>
        <v> </v>
      </c>
      <c r="N74" s="5"/>
      <c r="O74" s="17" t="str">
        <f aca="false">IF((E74="s"),H74," ")</f>
        <v> </v>
      </c>
      <c r="P74" s="17" t="str">
        <f aca="false">IF((E74="c"),H74," ")</f>
        <v> </v>
      </c>
      <c r="Q74" s="17" t="str">
        <f aca="false">IF((E74="o"),H74," ")</f>
        <v> </v>
      </c>
      <c r="R74" s="17" t="str">
        <f aca="false">IF((E74="d"),H74," ")</f>
        <v> </v>
      </c>
      <c r="S74" s="17" t="str">
        <f aca="false">IF((E74="w"),H74," ")</f>
        <v> </v>
      </c>
      <c r="T74" s="17" t="str">
        <f aca="false">IF((E74="r"),H74," ")</f>
        <v> </v>
      </c>
      <c r="U74" s="17" t="str">
        <f aca="false">IF((E74="p"),H74," ")</f>
        <v> </v>
      </c>
      <c r="V74" s="17" t="str">
        <f aca="false">IF((E74="t"),H74," ")</f>
        <v> </v>
      </c>
      <c r="W74" s="17" t="str">
        <f aca="false">IF((E74="q"),H74," ")</f>
        <v> </v>
      </c>
      <c r="X74" s="17" t="str">
        <f aca="false">IF((E74="m"),H74," ")</f>
        <v> </v>
      </c>
      <c r="Y74" s="17" t="str">
        <f aca="false">IF((E74="u"),H74," ")</f>
        <v> </v>
      </c>
      <c r="Z74" s="17" t="str">
        <f aca="false">IF((E74="a"),H74," ")</f>
        <v> </v>
      </c>
      <c r="AA74" s="17" t="str">
        <f aca="false">IF((E74="g"),H74," ")</f>
        <v> </v>
      </c>
      <c r="AB74" s="17" t="str">
        <f aca="false">IF((E74="h"),H74," ")</f>
        <v> </v>
      </c>
      <c r="AC74" s="30" t="str">
        <f aca="false">IF((E74="v"),H74," ")</f>
        <v> </v>
      </c>
      <c r="AD74" s="30" t="str">
        <f aca="false">IF((E74="n"),H74," ")</f>
        <v> </v>
      </c>
      <c r="AE74" s="17" t="str">
        <f aca="false">IF((E74="f"),H74," ")</f>
        <v> </v>
      </c>
      <c r="AF74" s="17" t="str">
        <f aca="false">IF((E74="l"),H74," ")</f>
        <v> </v>
      </c>
      <c r="AG74" s="17" t="str">
        <f aca="false">IF((E74="y"),H74," ")</f>
        <v> </v>
      </c>
      <c r="AH74" s="17" t="str">
        <f aca="false">IF((E74="z"),H74," ")</f>
        <v> </v>
      </c>
      <c r="AI74" s="17" t="str">
        <f aca="false">IF((E74="fa"),H74," ")</f>
        <v> </v>
      </c>
      <c r="AJ74" s="17" t="str">
        <f aca="false">IF((E74="e"),H74," ")</f>
        <v> </v>
      </c>
    </row>
    <row r="75" customFormat="false" ht="12" hidden="false" customHeight="false" outlineLevel="0" collapsed="false">
      <c r="A75" s="28"/>
      <c r="E75" s="2" t="str">
        <f aca="false">IF((F75&lt;&gt;0),"Enter Letter"," ")</f>
        <v> </v>
      </c>
      <c r="F75" s="30"/>
      <c r="G75" s="6" t="str">
        <f aca="false">IF(F75&lt;&gt;0,F75*G$2/(100+G$2)," ")</f>
        <v> </v>
      </c>
      <c r="H75" s="6" t="str">
        <f aca="false">IF((F75&lt;&gt;0),F75-G75," ")</f>
        <v> </v>
      </c>
      <c r="I75" s="5"/>
      <c r="L75" s="7" t="str">
        <f aca="false">IF(F75&lt;&gt;0,F75-K75," ")</f>
        <v> </v>
      </c>
      <c r="M75" s="8" t="str">
        <f aca="false">IF((F75-K75)&lt;&gt;0,M$1-A75," ")</f>
        <v> </v>
      </c>
      <c r="N75" s="5"/>
      <c r="O75" s="17" t="str">
        <f aca="false">IF((E75="s"),H75," ")</f>
        <v> </v>
      </c>
      <c r="P75" s="17" t="str">
        <f aca="false">IF((E75="c"),H75," ")</f>
        <v> </v>
      </c>
      <c r="Q75" s="17" t="str">
        <f aca="false">IF((E75="o"),H75," ")</f>
        <v> </v>
      </c>
      <c r="R75" s="17" t="str">
        <f aca="false">IF((E75="d"),H75," ")</f>
        <v> </v>
      </c>
      <c r="S75" s="17" t="str">
        <f aca="false">IF((E75="w"),H75," ")</f>
        <v> </v>
      </c>
      <c r="T75" s="17" t="str">
        <f aca="false">IF((E75="r"),H75," ")</f>
        <v> </v>
      </c>
      <c r="U75" s="17" t="str">
        <f aca="false">IF((E75="p"),H75," ")</f>
        <v> </v>
      </c>
      <c r="V75" s="17" t="str">
        <f aca="false">IF((E75="t"),H75," ")</f>
        <v> </v>
      </c>
      <c r="W75" s="17" t="str">
        <f aca="false">IF((E75="q"),H75," ")</f>
        <v> </v>
      </c>
      <c r="X75" s="17" t="str">
        <f aca="false">IF((E75="m"),H75," ")</f>
        <v> </v>
      </c>
      <c r="Y75" s="17" t="str">
        <f aca="false">IF((E75="u"),H75," ")</f>
        <v> </v>
      </c>
      <c r="Z75" s="17" t="str">
        <f aca="false">IF((E75="a"),H75," ")</f>
        <v> </v>
      </c>
      <c r="AA75" s="17" t="str">
        <f aca="false">IF((E75="g"),H75," ")</f>
        <v> </v>
      </c>
      <c r="AB75" s="17" t="str">
        <f aca="false">IF((E75="h"),H75," ")</f>
        <v> </v>
      </c>
      <c r="AC75" s="30" t="str">
        <f aca="false">IF((E75="v"),H75," ")</f>
        <v> </v>
      </c>
      <c r="AD75" s="30" t="str">
        <f aca="false">IF((E75="n"),H75," ")</f>
        <v> </v>
      </c>
      <c r="AE75" s="17" t="str">
        <f aca="false">IF((E75="f"),H75," ")</f>
        <v> </v>
      </c>
      <c r="AF75" s="17" t="str">
        <f aca="false">IF((E75="l"),H75," ")</f>
        <v> </v>
      </c>
      <c r="AG75" s="17" t="str">
        <f aca="false">IF((E75="y"),H75," ")</f>
        <v> </v>
      </c>
      <c r="AH75" s="17" t="str">
        <f aca="false">IF((E75="z"),H75," ")</f>
        <v> </v>
      </c>
      <c r="AI75" s="17" t="str">
        <f aca="false">IF((E75="fa"),H75," ")</f>
        <v> </v>
      </c>
      <c r="AJ75" s="17" t="str">
        <f aca="false">IF((E75="e"),H75," ")</f>
        <v> </v>
      </c>
    </row>
    <row r="76" customFormat="false" ht="12" hidden="false" customHeight="false" outlineLevel="0" collapsed="false">
      <c r="A76" s="28"/>
      <c r="E76" s="2" t="str">
        <f aca="false">IF((F76&lt;&gt;0),"Enter Letter"," ")</f>
        <v> </v>
      </c>
      <c r="F76" s="30"/>
      <c r="G76" s="6" t="str">
        <f aca="false">IF(F76&lt;&gt;0,F76*G$2/(100+G$2)," ")</f>
        <v> </v>
      </c>
      <c r="H76" s="6" t="str">
        <f aca="false">IF((F76&lt;&gt;0),F76-G76," ")</f>
        <v> </v>
      </c>
      <c r="I76" s="5"/>
      <c r="L76" s="7" t="str">
        <f aca="false">IF(F76&lt;&gt;0,F76-K76," ")</f>
        <v> </v>
      </c>
      <c r="M76" s="8" t="str">
        <f aca="false">IF((F76-K76)&lt;&gt;0,M$1-A76," ")</f>
        <v> </v>
      </c>
      <c r="N76" s="5"/>
      <c r="O76" s="17" t="str">
        <f aca="false">IF((E76="s"),H76," ")</f>
        <v> </v>
      </c>
      <c r="P76" s="17" t="str">
        <f aca="false">IF((E76="c"),H76," ")</f>
        <v> </v>
      </c>
      <c r="Q76" s="17" t="str">
        <f aca="false">IF((E76="o"),H76," ")</f>
        <v> </v>
      </c>
      <c r="R76" s="17" t="str">
        <f aca="false">IF((E76="d"),H76," ")</f>
        <v> </v>
      </c>
      <c r="S76" s="17" t="str">
        <f aca="false">IF((E76="w"),H76," ")</f>
        <v> </v>
      </c>
      <c r="T76" s="17" t="str">
        <f aca="false">IF((E76="r"),H76," ")</f>
        <v> </v>
      </c>
      <c r="U76" s="17" t="str">
        <f aca="false">IF((E76="p"),H76," ")</f>
        <v> </v>
      </c>
      <c r="V76" s="17" t="str">
        <f aca="false">IF((E76="t"),H76," ")</f>
        <v> </v>
      </c>
      <c r="W76" s="17" t="str">
        <f aca="false">IF((E76="q"),H76," ")</f>
        <v> </v>
      </c>
      <c r="X76" s="17" t="str">
        <f aca="false">IF((E76="m"),H76," ")</f>
        <v> </v>
      </c>
      <c r="Y76" s="17" t="str">
        <f aca="false">IF((E76="u"),H76," ")</f>
        <v> </v>
      </c>
      <c r="Z76" s="17" t="str">
        <f aca="false">IF((E76="a"),H76," ")</f>
        <v> </v>
      </c>
      <c r="AA76" s="17" t="str">
        <f aca="false">IF((E76="g"),H76," ")</f>
        <v> </v>
      </c>
      <c r="AB76" s="17" t="str">
        <f aca="false">IF((E76="h"),H76," ")</f>
        <v> </v>
      </c>
      <c r="AC76" s="30" t="str">
        <f aca="false">IF((E76="v"),H76," ")</f>
        <v> </v>
      </c>
      <c r="AD76" s="30" t="str">
        <f aca="false">IF((E76="n"),H76," ")</f>
        <v> </v>
      </c>
      <c r="AE76" s="17" t="str">
        <f aca="false">IF((E76="f"),H76," ")</f>
        <v> </v>
      </c>
      <c r="AF76" s="17" t="str">
        <f aca="false">IF((E76="l"),H76," ")</f>
        <v> </v>
      </c>
      <c r="AG76" s="17" t="str">
        <f aca="false">IF((E76="y"),H76," ")</f>
        <v> </v>
      </c>
      <c r="AH76" s="17" t="str">
        <f aca="false">IF((E76="z"),H76," ")</f>
        <v> </v>
      </c>
      <c r="AI76" s="17" t="str">
        <f aca="false">IF((E76="fa"),H76," ")</f>
        <v> </v>
      </c>
      <c r="AJ76" s="17" t="str">
        <f aca="false">IF((E76="e"),H76," ")</f>
        <v> </v>
      </c>
    </row>
    <row r="77" customFormat="false" ht="12" hidden="false" customHeight="false" outlineLevel="0" collapsed="false">
      <c r="A77" s="28"/>
      <c r="E77" s="2" t="str">
        <f aca="false">IF((F77&lt;&gt;0),"Enter Letter"," ")</f>
        <v> </v>
      </c>
      <c r="F77" s="30"/>
      <c r="G77" s="6" t="str">
        <f aca="false">IF(F77&lt;&gt;0,F77*G$2/(100+G$2)," ")</f>
        <v> </v>
      </c>
      <c r="H77" s="6" t="str">
        <f aca="false">IF((F77&lt;&gt;0),F77-G77," ")</f>
        <v> </v>
      </c>
      <c r="I77" s="5"/>
      <c r="L77" s="7" t="str">
        <f aca="false">IF(F77&lt;&gt;0,F77-K77," ")</f>
        <v> </v>
      </c>
      <c r="M77" s="8" t="str">
        <f aca="false">IF((F77-K77)&lt;&gt;0,M$1-A77," ")</f>
        <v> </v>
      </c>
      <c r="N77" s="5"/>
      <c r="O77" s="17" t="str">
        <f aca="false">IF((E77="s"),H77," ")</f>
        <v> </v>
      </c>
      <c r="P77" s="17" t="str">
        <f aca="false">IF((E77="c"),H77," ")</f>
        <v> </v>
      </c>
      <c r="Q77" s="17" t="str">
        <f aca="false">IF((E77="o"),H77," ")</f>
        <v> </v>
      </c>
      <c r="R77" s="17" t="str">
        <f aca="false">IF((E77="d"),H77," ")</f>
        <v> </v>
      </c>
      <c r="S77" s="17" t="str">
        <f aca="false">IF((E77="w"),H77," ")</f>
        <v> </v>
      </c>
      <c r="T77" s="17" t="str">
        <f aca="false">IF((E77="r"),H77," ")</f>
        <v> </v>
      </c>
      <c r="U77" s="17" t="str">
        <f aca="false">IF((E77="p"),H77," ")</f>
        <v> </v>
      </c>
      <c r="V77" s="17" t="str">
        <f aca="false">IF((E77="t"),H77," ")</f>
        <v> </v>
      </c>
      <c r="W77" s="17" t="str">
        <f aca="false">IF((E77="q"),H77," ")</f>
        <v> </v>
      </c>
      <c r="X77" s="17" t="str">
        <f aca="false">IF((E77="m"),H77," ")</f>
        <v> </v>
      </c>
      <c r="Y77" s="17" t="str">
        <f aca="false">IF((E77="u"),H77," ")</f>
        <v> </v>
      </c>
      <c r="Z77" s="17" t="str">
        <f aca="false">IF((E77="a"),H77," ")</f>
        <v> </v>
      </c>
      <c r="AA77" s="17" t="str">
        <f aca="false">IF((E77="g"),H77," ")</f>
        <v> </v>
      </c>
      <c r="AB77" s="17" t="str">
        <f aca="false">IF((E77="h"),H77," ")</f>
        <v> </v>
      </c>
      <c r="AC77" s="30" t="str">
        <f aca="false">IF((E77="v"),H77," ")</f>
        <v> </v>
      </c>
      <c r="AD77" s="30" t="str">
        <f aca="false">IF((E77="n"),H77," ")</f>
        <v> </v>
      </c>
      <c r="AE77" s="17" t="str">
        <f aca="false">IF((E77="f"),H77," ")</f>
        <v> </v>
      </c>
      <c r="AF77" s="17" t="str">
        <f aca="false">IF((E77="l"),H77," ")</f>
        <v> </v>
      </c>
      <c r="AG77" s="17" t="str">
        <f aca="false">IF((E77="y"),H77," ")</f>
        <v> </v>
      </c>
      <c r="AH77" s="17" t="str">
        <f aca="false">IF((E77="z"),H77," ")</f>
        <v> </v>
      </c>
      <c r="AI77" s="17" t="str">
        <f aca="false">IF((E77="fa"),H77," ")</f>
        <v> </v>
      </c>
      <c r="AJ77" s="17" t="str">
        <f aca="false">IF((E77="e"),H77," ")</f>
        <v> </v>
      </c>
    </row>
    <row r="78" customFormat="false" ht="12" hidden="false" customHeight="false" outlineLevel="0" collapsed="false">
      <c r="A78" s="28"/>
      <c r="E78" s="2" t="str">
        <f aca="false">IF((F78&lt;&gt;0),"Enter Letter"," ")</f>
        <v> </v>
      </c>
      <c r="F78" s="30"/>
      <c r="G78" s="6" t="str">
        <f aca="false">IF(F78&lt;&gt;0,F78*G$2/(100+G$2)," ")</f>
        <v> </v>
      </c>
      <c r="H78" s="6" t="str">
        <f aca="false">IF((F78&lt;&gt;0),F78-G78," ")</f>
        <v> </v>
      </c>
      <c r="I78" s="5"/>
      <c r="L78" s="7" t="str">
        <f aca="false">IF(F78&lt;&gt;0,F78-K78," ")</f>
        <v> </v>
      </c>
      <c r="M78" s="8" t="str">
        <f aca="false">IF((F78-K78)&lt;&gt;0,M$1-A78," ")</f>
        <v> </v>
      </c>
      <c r="N78" s="5"/>
      <c r="O78" s="17" t="str">
        <f aca="false">IF((E78="s"),H78," ")</f>
        <v> </v>
      </c>
      <c r="P78" s="17" t="str">
        <f aca="false">IF((E78="c"),H78," ")</f>
        <v> </v>
      </c>
      <c r="Q78" s="17" t="str">
        <f aca="false">IF((E78="o"),H78," ")</f>
        <v> </v>
      </c>
      <c r="R78" s="17" t="str">
        <f aca="false">IF((E78="d"),H78," ")</f>
        <v> </v>
      </c>
      <c r="S78" s="17" t="str">
        <f aca="false">IF((E78="w"),H78," ")</f>
        <v> </v>
      </c>
      <c r="T78" s="17" t="str">
        <f aca="false">IF((E78="r"),H78," ")</f>
        <v> </v>
      </c>
      <c r="U78" s="17" t="str">
        <f aca="false">IF((E78="p"),H78," ")</f>
        <v> </v>
      </c>
      <c r="V78" s="17" t="str">
        <f aca="false">IF((E78="t"),H78," ")</f>
        <v> </v>
      </c>
      <c r="W78" s="17" t="str">
        <f aca="false">IF((E78="q"),H78," ")</f>
        <v> </v>
      </c>
      <c r="X78" s="17" t="str">
        <f aca="false">IF((E78="m"),H78," ")</f>
        <v> </v>
      </c>
      <c r="Y78" s="17" t="str">
        <f aca="false">IF((E78="u"),H78," ")</f>
        <v> </v>
      </c>
      <c r="Z78" s="17" t="str">
        <f aca="false">IF((E78="a"),H78," ")</f>
        <v> </v>
      </c>
      <c r="AA78" s="17" t="str">
        <f aca="false">IF((E78="g"),H78," ")</f>
        <v> </v>
      </c>
      <c r="AB78" s="17" t="str">
        <f aca="false">IF((E78="h"),H78," ")</f>
        <v> </v>
      </c>
      <c r="AC78" s="30" t="str">
        <f aca="false">IF((E78="v"),H78," ")</f>
        <v> </v>
      </c>
      <c r="AD78" s="30" t="str">
        <f aca="false">IF((E78="n"),H78," ")</f>
        <v> </v>
      </c>
      <c r="AE78" s="17" t="str">
        <f aca="false">IF((E78="f"),H78," ")</f>
        <v> </v>
      </c>
      <c r="AF78" s="17" t="str">
        <f aca="false">IF((E78="l"),H78," ")</f>
        <v> </v>
      </c>
      <c r="AG78" s="17" t="str">
        <f aca="false">IF((E78="y"),H78," ")</f>
        <v> </v>
      </c>
      <c r="AH78" s="17" t="str">
        <f aca="false">IF((E78="z"),H78," ")</f>
        <v> </v>
      </c>
      <c r="AI78" s="17" t="str">
        <f aca="false">IF((E78="fa"),H78," ")</f>
        <v> </v>
      </c>
      <c r="AJ78" s="17" t="str">
        <f aca="false">IF((E78="e"),H78," ")</f>
        <v> </v>
      </c>
    </row>
    <row r="79" customFormat="false" ht="12" hidden="false" customHeight="false" outlineLevel="0" collapsed="false">
      <c r="A79" s="28"/>
      <c r="E79" s="2" t="str">
        <f aca="false">IF((F79&lt;&gt;0),"Enter Letter"," ")</f>
        <v> </v>
      </c>
      <c r="F79" s="30"/>
      <c r="G79" s="6" t="str">
        <f aca="false">IF(F79&lt;&gt;0,F79*G$2/(100+G$2)," ")</f>
        <v> </v>
      </c>
      <c r="H79" s="6" t="str">
        <f aca="false">IF((F79&lt;&gt;0),F79-G79," ")</f>
        <v> </v>
      </c>
      <c r="I79" s="5"/>
      <c r="L79" s="7" t="str">
        <f aca="false">IF(F79&lt;&gt;0,F79-K79," ")</f>
        <v> </v>
      </c>
      <c r="M79" s="8" t="str">
        <f aca="false">IF((F79-K79)&lt;&gt;0,M$1-A79," ")</f>
        <v> </v>
      </c>
      <c r="N79" s="5"/>
      <c r="O79" s="17" t="str">
        <f aca="false">IF((E79="s"),H79," ")</f>
        <v> </v>
      </c>
      <c r="P79" s="17" t="str">
        <f aca="false">IF((E79="c"),H79," ")</f>
        <v> </v>
      </c>
      <c r="Q79" s="17" t="str">
        <f aca="false">IF((E79="o"),H79," ")</f>
        <v> </v>
      </c>
      <c r="R79" s="17" t="str">
        <f aca="false">IF((E79="d"),H79," ")</f>
        <v> </v>
      </c>
      <c r="S79" s="17" t="str">
        <f aca="false">IF((E79="w"),H79," ")</f>
        <v> </v>
      </c>
      <c r="T79" s="17" t="str">
        <f aca="false">IF((E79="r"),H79," ")</f>
        <v> </v>
      </c>
      <c r="U79" s="17" t="str">
        <f aca="false">IF((E79="p"),H79," ")</f>
        <v> </v>
      </c>
      <c r="V79" s="17" t="str">
        <f aca="false">IF((E79="t"),H79," ")</f>
        <v> </v>
      </c>
      <c r="W79" s="17" t="str">
        <f aca="false">IF((E79="q"),H79," ")</f>
        <v> </v>
      </c>
      <c r="X79" s="17" t="str">
        <f aca="false">IF((E79="m"),H79," ")</f>
        <v> </v>
      </c>
      <c r="Y79" s="17" t="str">
        <f aca="false">IF((E79="u"),H79," ")</f>
        <v> </v>
      </c>
      <c r="Z79" s="17" t="str">
        <f aca="false">IF((E79="a"),H79," ")</f>
        <v> </v>
      </c>
      <c r="AA79" s="17" t="str">
        <f aca="false">IF((E79="g"),H79," ")</f>
        <v> </v>
      </c>
      <c r="AB79" s="17" t="str">
        <f aca="false">IF((E79="h"),H79," ")</f>
        <v> </v>
      </c>
      <c r="AC79" s="30" t="str">
        <f aca="false">IF((E79="v"),H79," ")</f>
        <v> </v>
      </c>
      <c r="AD79" s="30" t="str">
        <f aca="false">IF((E79="n"),H79," ")</f>
        <v> </v>
      </c>
      <c r="AE79" s="17" t="str">
        <f aca="false">IF((E79="f"),H79," ")</f>
        <v> </v>
      </c>
      <c r="AF79" s="17" t="str">
        <f aca="false">IF((E79="l"),H79," ")</f>
        <v> </v>
      </c>
      <c r="AG79" s="17" t="str">
        <f aca="false">IF((E79="y"),H79," ")</f>
        <v> </v>
      </c>
      <c r="AH79" s="17" t="str">
        <f aca="false">IF((E79="z"),H79," ")</f>
        <v> </v>
      </c>
      <c r="AI79" s="17" t="str">
        <f aca="false">IF((E79="fa"),H79," ")</f>
        <v> </v>
      </c>
      <c r="AJ79" s="17" t="str">
        <f aca="false">IF((E79="e"),H79," ")</f>
        <v> </v>
      </c>
    </row>
    <row r="80" customFormat="false" ht="12" hidden="false" customHeight="false" outlineLevel="0" collapsed="false">
      <c r="A80" s="28"/>
      <c r="E80" s="2" t="str">
        <f aca="false">IF((F80&lt;&gt;0),"Enter Letter"," ")</f>
        <v> </v>
      </c>
      <c r="F80" s="30"/>
      <c r="G80" s="6" t="str">
        <f aca="false">IF(F80&lt;&gt;0,F80*G$2/(100+G$2)," ")</f>
        <v> </v>
      </c>
      <c r="H80" s="6" t="str">
        <f aca="false">IF((F80&lt;&gt;0),F80-G80," ")</f>
        <v> </v>
      </c>
      <c r="I80" s="5"/>
      <c r="L80" s="7" t="str">
        <f aca="false">IF(F80&lt;&gt;0,F80-K80," ")</f>
        <v> </v>
      </c>
      <c r="M80" s="8" t="str">
        <f aca="false">IF((F80-K80)&lt;&gt;0,M$1-A80," ")</f>
        <v> </v>
      </c>
      <c r="N80" s="5"/>
      <c r="O80" s="17" t="str">
        <f aca="false">IF((E80="s"),H80," ")</f>
        <v> </v>
      </c>
      <c r="P80" s="17" t="str">
        <f aca="false">IF((E80="c"),H80," ")</f>
        <v> </v>
      </c>
      <c r="Q80" s="17" t="str">
        <f aca="false">IF((E80="o"),H80," ")</f>
        <v> </v>
      </c>
      <c r="R80" s="17" t="str">
        <f aca="false">IF((E80="d"),H80," ")</f>
        <v> </v>
      </c>
      <c r="S80" s="17" t="str">
        <f aca="false">IF((E80="w"),H80," ")</f>
        <v> </v>
      </c>
      <c r="T80" s="17" t="str">
        <f aca="false">IF((E80="r"),H80," ")</f>
        <v> </v>
      </c>
      <c r="U80" s="17" t="str">
        <f aca="false">IF((E80="p"),H80," ")</f>
        <v> </v>
      </c>
      <c r="V80" s="17" t="str">
        <f aca="false">IF((E80="t"),H80," ")</f>
        <v> </v>
      </c>
      <c r="W80" s="17" t="str">
        <f aca="false">IF((E80="q"),H80," ")</f>
        <v> </v>
      </c>
      <c r="X80" s="17" t="str">
        <f aca="false">IF((E80="m"),H80," ")</f>
        <v> </v>
      </c>
      <c r="Y80" s="17" t="str">
        <f aca="false">IF((E80="u"),H80," ")</f>
        <v> </v>
      </c>
      <c r="Z80" s="17" t="str">
        <f aca="false">IF((E80="a"),H80," ")</f>
        <v> </v>
      </c>
      <c r="AA80" s="17" t="str">
        <f aca="false">IF((E80="g"),H80," ")</f>
        <v> </v>
      </c>
      <c r="AB80" s="17" t="str">
        <f aca="false">IF((E80="h"),H80," ")</f>
        <v> </v>
      </c>
      <c r="AC80" s="30" t="str">
        <f aca="false">IF((E80="v"),H80," ")</f>
        <v> </v>
      </c>
      <c r="AD80" s="30" t="str">
        <f aca="false">IF((E80="n"),H80," ")</f>
        <v> </v>
      </c>
      <c r="AE80" s="17" t="str">
        <f aca="false">IF((E80="f"),H80," ")</f>
        <v> </v>
      </c>
      <c r="AF80" s="17" t="str">
        <f aca="false">IF((E80="l"),H80," ")</f>
        <v> </v>
      </c>
      <c r="AG80" s="17" t="str">
        <f aca="false">IF((E80="y"),H80," ")</f>
        <v> </v>
      </c>
      <c r="AH80" s="17" t="str">
        <f aca="false">IF((E80="z"),H80," ")</f>
        <v> </v>
      </c>
      <c r="AI80" s="17" t="str">
        <f aca="false">IF((E80="fa"),H80," ")</f>
        <v> </v>
      </c>
      <c r="AJ80" s="17" t="str">
        <f aca="false">IF((E80="e"),H80," ")</f>
        <v> </v>
      </c>
    </row>
    <row r="81" customFormat="false" ht="12" hidden="false" customHeight="false" outlineLevel="0" collapsed="false">
      <c r="A81" s="28"/>
      <c r="E81" s="2" t="str">
        <f aca="false">IF((F81&lt;&gt;0),"Enter Letter"," ")</f>
        <v> </v>
      </c>
      <c r="F81" s="30"/>
      <c r="G81" s="6" t="str">
        <f aca="false">IF(F81&lt;&gt;0,F81*G$2/(100+G$2)," ")</f>
        <v> </v>
      </c>
      <c r="H81" s="6" t="str">
        <f aca="false">IF((F81&lt;&gt;0),F81-G81," ")</f>
        <v> </v>
      </c>
      <c r="I81" s="5"/>
      <c r="L81" s="7" t="str">
        <f aca="false">IF(F81&lt;&gt;0,F81-K81," ")</f>
        <v> </v>
      </c>
      <c r="M81" s="8" t="str">
        <f aca="false">IF((F81-K81)&lt;&gt;0,M$1-A81," ")</f>
        <v> </v>
      </c>
      <c r="N81" s="5"/>
      <c r="O81" s="17" t="str">
        <f aca="false">IF((E81="s"),H81," ")</f>
        <v> </v>
      </c>
      <c r="P81" s="17" t="str">
        <f aca="false">IF((E81="c"),H81," ")</f>
        <v> </v>
      </c>
      <c r="Q81" s="17" t="str">
        <f aca="false">IF((E81="o"),H81," ")</f>
        <v> </v>
      </c>
      <c r="R81" s="17" t="str">
        <f aca="false">IF((E81="d"),H81," ")</f>
        <v> </v>
      </c>
      <c r="S81" s="17" t="str">
        <f aca="false">IF((E81="w"),H81," ")</f>
        <v> </v>
      </c>
      <c r="T81" s="17" t="str">
        <f aca="false">IF((E81="r"),H81," ")</f>
        <v> </v>
      </c>
      <c r="U81" s="17" t="str">
        <f aca="false">IF((E81="p"),H81," ")</f>
        <v> </v>
      </c>
      <c r="V81" s="17" t="str">
        <f aca="false">IF((E81="t"),H81," ")</f>
        <v> </v>
      </c>
      <c r="W81" s="17" t="str">
        <f aca="false">IF((E81="q"),H81," ")</f>
        <v> </v>
      </c>
      <c r="X81" s="17" t="str">
        <f aca="false">IF((E81="m"),H81," ")</f>
        <v> </v>
      </c>
      <c r="Y81" s="17" t="str">
        <f aca="false">IF((E81="u"),H81," ")</f>
        <v> </v>
      </c>
      <c r="Z81" s="17" t="str">
        <f aca="false">IF((E81="a"),H81," ")</f>
        <v> </v>
      </c>
      <c r="AA81" s="17" t="str">
        <f aca="false">IF((E81="g"),H81," ")</f>
        <v> </v>
      </c>
      <c r="AB81" s="17" t="str">
        <f aca="false">IF((E81="h"),H81," ")</f>
        <v> </v>
      </c>
      <c r="AC81" s="30" t="str">
        <f aca="false">IF((E81="v"),H81," ")</f>
        <v> </v>
      </c>
      <c r="AD81" s="30" t="str">
        <f aca="false">IF((E81="n"),H81," ")</f>
        <v> </v>
      </c>
      <c r="AE81" s="17" t="str">
        <f aca="false">IF((E81="f"),H81," ")</f>
        <v> </v>
      </c>
      <c r="AF81" s="17" t="str">
        <f aca="false">IF((E81="l"),H81," ")</f>
        <v> </v>
      </c>
      <c r="AG81" s="17" t="str">
        <f aca="false">IF((E81="y"),H81," ")</f>
        <v> </v>
      </c>
      <c r="AH81" s="17" t="str">
        <f aca="false">IF((E81="z"),H81," ")</f>
        <v> </v>
      </c>
      <c r="AI81" s="17" t="str">
        <f aca="false">IF((E81="fa"),H81," ")</f>
        <v> </v>
      </c>
      <c r="AJ81" s="17" t="str">
        <f aca="false">IF((E81="e"),H81," ")</f>
        <v> </v>
      </c>
    </row>
    <row r="82" customFormat="false" ht="12" hidden="false" customHeight="false" outlineLevel="0" collapsed="false">
      <c r="A82" s="28"/>
      <c r="E82" s="2" t="str">
        <f aca="false">IF((F82&lt;&gt;0),"Enter Letter"," ")</f>
        <v> </v>
      </c>
      <c r="F82" s="30"/>
      <c r="G82" s="6" t="str">
        <f aca="false">IF(F82&lt;&gt;0,F82*G$2/(100+G$2)," ")</f>
        <v> </v>
      </c>
      <c r="H82" s="6" t="str">
        <f aca="false">IF((F82&lt;&gt;0),F82-G82," ")</f>
        <v> </v>
      </c>
      <c r="I82" s="5"/>
      <c r="L82" s="7" t="str">
        <f aca="false">IF(F82&lt;&gt;0,F82-K82," ")</f>
        <v> </v>
      </c>
      <c r="M82" s="8" t="str">
        <f aca="false">IF((F82-K82)&lt;&gt;0,M$1-A82," ")</f>
        <v> </v>
      </c>
      <c r="N82" s="5"/>
      <c r="O82" s="17" t="str">
        <f aca="false">IF((E82="s"),H82," ")</f>
        <v> </v>
      </c>
      <c r="P82" s="17" t="str">
        <f aca="false">IF((E82="c"),H82," ")</f>
        <v> </v>
      </c>
      <c r="Q82" s="17" t="str">
        <f aca="false">IF((E82="o"),H82," ")</f>
        <v> </v>
      </c>
      <c r="R82" s="17" t="str">
        <f aca="false">IF((E82="d"),H82," ")</f>
        <v> </v>
      </c>
      <c r="S82" s="17" t="str">
        <f aca="false">IF((E82="w"),H82," ")</f>
        <v> </v>
      </c>
      <c r="T82" s="17" t="str">
        <f aca="false">IF((E82="r"),H82," ")</f>
        <v> </v>
      </c>
      <c r="U82" s="17" t="str">
        <f aca="false">IF((E82="p"),H82," ")</f>
        <v> </v>
      </c>
      <c r="V82" s="17" t="str">
        <f aca="false">IF((E82="t"),H82," ")</f>
        <v> </v>
      </c>
      <c r="W82" s="17" t="str">
        <f aca="false">IF((E82="q"),H82," ")</f>
        <v> </v>
      </c>
      <c r="X82" s="17" t="str">
        <f aca="false">IF((E82="m"),H82," ")</f>
        <v> </v>
      </c>
      <c r="Y82" s="17" t="str">
        <f aca="false">IF((E82="u"),H82," ")</f>
        <v> </v>
      </c>
      <c r="Z82" s="17" t="str">
        <f aca="false">IF((E82="a"),H82," ")</f>
        <v> </v>
      </c>
      <c r="AA82" s="17" t="str">
        <f aca="false">IF((E82="g"),H82," ")</f>
        <v> </v>
      </c>
      <c r="AB82" s="17" t="str">
        <f aca="false">IF((E82="h"),H82," ")</f>
        <v> </v>
      </c>
      <c r="AC82" s="30" t="str">
        <f aca="false">IF((E82="v"),H82," ")</f>
        <v> </v>
      </c>
      <c r="AD82" s="30" t="str">
        <f aca="false">IF((E82="n"),H82," ")</f>
        <v> </v>
      </c>
      <c r="AE82" s="17" t="str">
        <f aca="false">IF((E82="f"),H82," ")</f>
        <v> </v>
      </c>
      <c r="AF82" s="17" t="str">
        <f aca="false">IF((E82="l"),H82," ")</f>
        <v> </v>
      </c>
      <c r="AG82" s="17" t="str">
        <f aca="false">IF((E82="y"),H82," ")</f>
        <v> </v>
      </c>
      <c r="AH82" s="17" t="str">
        <f aca="false">IF((E82="z"),H82," ")</f>
        <v> </v>
      </c>
      <c r="AI82" s="17" t="str">
        <f aca="false">IF((E82="fa"),H82," ")</f>
        <v> </v>
      </c>
      <c r="AJ82" s="17" t="str">
        <f aca="false">IF((E82="e"),H82," ")</f>
        <v> </v>
      </c>
    </row>
    <row r="83" customFormat="false" ht="12" hidden="false" customHeight="false" outlineLevel="0" collapsed="false">
      <c r="A83" s="28"/>
      <c r="E83" s="2" t="str">
        <f aca="false">IF((F83&lt;&gt;0),"Enter Letter"," ")</f>
        <v> </v>
      </c>
      <c r="F83" s="30"/>
      <c r="G83" s="6" t="str">
        <f aca="false">IF(F83&lt;&gt;0,F83*G$2/(100+G$2)," ")</f>
        <v> </v>
      </c>
      <c r="H83" s="6" t="str">
        <f aca="false">IF((F83&lt;&gt;0),F83-G83," ")</f>
        <v> </v>
      </c>
      <c r="I83" s="5"/>
      <c r="L83" s="7" t="str">
        <f aca="false">IF(F83&lt;&gt;0,F83-K83," ")</f>
        <v> </v>
      </c>
      <c r="M83" s="8" t="str">
        <f aca="false">IF((F83-K83)&lt;&gt;0,M$1-A83," ")</f>
        <v> </v>
      </c>
      <c r="N83" s="5"/>
      <c r="O83" s="17" t="str">
        <f aca="false">IF((E83="s"),H83," ")</f>
        <v> </v>
      </c>
      <c r="P83" s="17" t="str">
        <f aca="false">IF((E83="c"),H83," ")</f>
        <v> </v>
      </c>
      <c r="Q83" s="17" t="str">
        <f aca="false">IF((E83="o"),H83," ")</f>
        <v> </v>
      </c>
      <c r="R83" s="17" t="str">
        <f aca="false">IF((E83="d"),H83," ")</f>
        <v> </v>
      </c>
      <c r="S83" s="17" t="str">
        <f aca="false">IF((E83="w"),H83," ")</f>
        <v> </v>
      </c>
      <c r="T83" s="17" t="str">
        <f aca="false">IF((E83="r"),H83," ")</f>
        <v> </v>
      </c>
      <c r="U83" s="17" t="str">
        <f aca="false">IF((E83="p"),H83," ")</f>
        <v> </v>
      </c>
      <c r="V83" s="17" t="str">
        <f aca="false">IF((E83="t"),H83," ")</f>
        <v> </v>
      </c>
      <c r="W83" s="17" t="str">
        <f aca="false">IF((E83="q"),H83," ")</f>
        <v> </v>
      </c>
      <c r="X83" s="17" t="str">
        <f aca="false">IF((E83="m"),H83," ")</f>
        <v> </v>
      </c>
      <c r="Y83" s="17" t="str">
        <f aca="false">IF((E83="u"),H83," ")</f>
        <v> </v>
      </c>
      <c r="Z83" s="17" t="str">
        <f aca="false">IF((E83="a"),H83," ")</f>
        <v> </v>
      </c>
      <c r="AA83" s="17" t="str">
        <f aca="false">IF((E83="g"),H83," ")</f>
        <v> </v>
      </c>
      <c r="AB83" s="17" t="str">
        <f aca="false">IF((E83="h"),H83," ")</f>
        <v> </v>
      </c>
      <c r="AC83" s="30" t="str">
        <f aca="false">IF((E83="v"),H83," ")</f>
        <v> </v>
      </c>
      <c r="AD83" s="30" t="str">
        <f aca="false">IF((E83="n"),H83," ")</f>
        <v> </v>
      </c>
      <c r="AE83" s="17" t="str">
        <f aca="false">IF((E83="f"),H83," ")</f>
        <v> </v>
      </c>
      <c r="AF83" s="17" t="str">
        <f aca="false">IF((E83="l"),H83," ")</f>
        <v> </v>
      </c>
      <c r="AG83" s="17" t="str">
        <f aca="false">IF((E83="y"),H83," ")</f>
        <v> </v>
      </c>
      <c r="AH83" s="17" t="str">
        <f aca="false">IF((E83="z"),H83," ")</f>
        <v> </v>
      </c>
      <c r="AI83" s="17" t="str">
        <f aca="false">IF((E83="fa"),H83," ")</f>
        <v> </v>
      </c>
      <c r="AJ83" s="17" t="str">
        <f aca="false">IF((E83="e"),H83," ")</f>
        <v> </v>
      </c>
    </row>
    <row r="84" customFormat="false" ht="12" hidden="false" customHeight="false" outlineLevel="0" collapsed="false">
      <c r="A84" s="28"/>
      <c r="E84" s="2" t="str">
        <f aca="false">IF((F84&lt;&gt;0),"Enter Letter"," ")</f>
        <v> </v>
      </c>
      <c r="F84" s="30"/>
      <c r="G84" s="6" t="str">
        <f aca="false">IF(F84&lt;&gt;0,F84*G$2/(100+G$2)," ")</f>
        <v> </v>
      </c>
      <c r="H84" s="6" t="str">
        <f aca="false">IF((F84&lt;&gt;0),F84-G84," ")</f>
        <v> </v>
      </c>
      <c r="I84" s="5"/>
      <c r="L84" s="7" t="str">
        <f aca="false">IF(F84&lt;&gt;0,F84-K84," ")</f>
        <v> </v>
      </c>
      <c r="M84" s="8" t="str">
        <f aca="false">IF((F84-K84)&lt;&gt;0,M$1-A84," ")</f>
        <v> </v>
      </c>
      <c r="N84" s="5"/>
      <c r="O84" s="17" t="str">
        <f aca="false">IF((E84="s"),H84," ")</f>
        <v> </v>
      </c>
      <c r="P84" s="17" t="str">
        <f aca="false">IF((E84="c"),H84," ")</f>
        <v> </v>
      </c>
      <c r="Q84" s="17" t="str">
        <f aca="false">IF((E84="o"),H84," ")</f>
        <v> </v>
      </c>
      <c r="R84" s="17" t="str">
        <f aca="false">IF((E84="d"),H84," ")</f>
        <v> </v>
      </c>
      <c r="S84" s="17" t="str">
        <f aca="false">IF((E84="w"),H84," ")</f>
        <v> </v>
      </c>
      <c r="T84" s="17" t="str">
        <f aca="false">IF((E84="r"),H84," ")</f>
        <v> </v>
      </c>
      <c r="U84" s="17" t="str">
        <f aca="false">IF((E84="p"),H84," ")</f>
        <v> </v>
      </c>
      <c r="V84" s="17" t="str">
        <f aca="false">IF((E84="t"),H84," ")</f>
        <v> </v>
      </c>
      <c r="W84" s="17" t="str">
        <f aca="false">IF((E84="q"),H84," ")</f>
        <v> </v>
      </c>
      <c r="X84" s="17" t="str">
        <f aca="false">IF((E84="m"),H84," ")</f>
        <v> </v>
      </c>
      <c r="Y84" s="17" t="str">
        <f aca="false">IF((E84="u"),H84," ")</f>
        <v> </v>
      </c>
      <c r="Z84" s="17" t="str">
        <f aca="false">IF((E84="a"),H84," ")</f>
        <v> </v>
      </c>
      <c r="AA84" s="17" t="str">
        <f aca="false">IF((E84="g"),H84," ")</f>
        <v> </v>
      </c>
      <c r="AB84" s="17" t="str">
        <f aca="false">IF((E84="h"),H84," ")</f>
        <v> </v>
      </c>
      <c r="AC84" s="30" t="str">
        <f aca="false">IF((E84="v"),H84," ")</f>
        <v> </v>
      </c>
      <c r="AD84" s="30" t="str">
        <f aca="false">IF((E84="n"),H84," ")</f>
        <v> </v>
      </c>
      <c r="AE84" s="17" t="str">
        <f aca="false">IF((E84="f"),H84," ")</f>
        <v> </v>
      </c>
      <c r="AF84" s="17" t="str">
        <f aca="false">IF((E84="l"),H84," ")</f>
        <v> </v>
      </c>
      <c r="AG84" s="17" t="str">
        <f aca="false">IF((E84="y"),H84," ")</f>
        <v> </v>
      </c>
      <c r="AH84" s="17" t="str">
        <f aca="false">IF((E84="z"),H84," ")</f>
        <v> </v>
      </c>
      <c r="AI84" s="17" t="str">
        <f aca="false">IF((E84="fa"),H84," ")</f>
        <v> </v>
      </c>
      <c r="AJ84" s="17" t="str">
        <f aca="false">IF((E84="e"),H84," ")</f>
        <v> </v>
      </c>
    </row>
    <row r="85" customFormat="false" ht="12" hidden="false" customHeight="false" outlineLevel="0" collapsed="false">
      <c r="A85" s="28"/>
      <c r="E85" s="2" t="str">
        <f aca="false">IF((F85&lt;&gt;0),"Enter Letter"," ")</f>
        <v> </v>
      </c>
      <c r="F85" s="30"/>
      <c r="G85" s="6" t="str">
        <f aca="false">IF(F85&lt;&gt;0,F85*G$2/(100+G$2)," ")</f>
        <v> </v>
      </c>
      <c r="H85" s="6" t="str">
        <f aca="false">IF((F85&lt;&gt;0),F85-G85," ")</f>
        <v> </v>
      </c>
      <c r="I85" s="5"/>
      <c r="L85" s="7" t="str">
        <f aca="false">IF(F85&lt;&gt;0,F85-K85," ")</f>
        <v> </v>
      </c>
      <c r="M85" s="8" t="str">
        <f aca="false">IF((F85-K85)&lt;&gt;0,M$1-A85," ")</f>
        <v> </v>
      </c>
      <c r="N85" s="5"/>
      <c r="O85" s="17" t="str">
        <f aca="false">IF((E85="s"),H85," ")</f>
        <v> </v>
      </c>
      <c r="P85" s="17" t="str">
        <f aca="false">IF((E85="c"),H85," ")</f>
        <v> </v>
      </c>
      <c r="Q85" s="17" t="str">
        <f aca="false">IF((E85="o"),H85," ")</f>
        <v> </v>
      </c>
      <c r="R85" s="17" t="str">
        <f aca="false">IF((E85="d"),H85," ")</f>
        <v> </v>
      </c>
      <c r="S85" s="17" t="str">
        <f aca="false">IF((E85="w"),H85," ")</f>
        <v> </v>
      </c>
      <c r="T85" s="17" t="str">
        <f aca="false">IF((E85="r"),H85," ")</f>
        <v> </v>
      </c>
      <c r="U85" s="17" t="str">
        <f aca="false">IF((E85="p"),H85," ")</f>
        <v> </v>
      </c>
      <c r="V85" s="17" t="str">
        <f aca="false">IF((E85="t"),H85," ")</f>
        <v> </v>
      </c>
      <c r="W85" s="17" t="str">
        <f aca="false">IF((E85="q"),H85," ")</f>
        <v> </v>
      </c>
      <c r="X85" s="17" t="str">
        <f aca="false">IF((E85="m"),H85," ")</f>
        <v> </v>
      </c>
      <c r="Y85" s="17" t="str">
        <f aca="false">IF((E85="u"),H85," ")</f>
        <v> </v>
      </c>
      <c r="Z85" s="17" t="str">
        <f aca="false">IF((E85="a"),H85," ")</f>
        <v> </v>
      </c>
      <c r="AA85" s="17" t="str">
        <f aca="false">IF((E85="g"),H85," ")</f>
        <v> </v>
      </c>
      <c r="AB85" s="17" t="str">
        <f aca="false">IF((E85="h"),H85," ")</f>
        <v> </v>
      </c>
      <c r="AC85" s="30" t="str">
        <f aca="false">IF((E85="v"),H85," ")</f>
        <v> </v>
      </c>
      <c r="AD85" s="30" t="str">
        <f aca="false">IF((E85="n"),H85," ")</f>
        <v> </v>
      </c>
      <c r="AE85" s="17" t="str">
        <f aca="false">IF((E85="f"),H85," ")</f>
        <v> </v>
      </c>
      <c r="AF85" s="17" t="str">
        <f aca="false">IF((E85="l"),H85," ")</f>
        <v> </v>
      </c>
      <c r="AG85" s="17" t="str">
        <f aca="false">IF((E85="y"),H85," ")</f>
        <v> </v>
      </c>
      <c r="AH85" s="17" t="str">
        <f aca="false">IF((E85="z"),H85," ")</f>
        <v> </v>
      </c>
      <c r="AI85" s="17" t="str">
        <f aca="false">IF((E85="fa"),H85," ")</f>
        <v> </v>
      </c>
      <c r="AJ85" s="17" t="str">
        <f aca="false">IF((E85="e"),H85," ")</f>
        <v> </v>
      </c>
    </row>
    <row r="86" customFormat="false" ht="12" hidden="false" customHeight="false" outlineLevel="0" collapsed="false">
      <c r="A86" s="28"/>
      <c r="E86" s="2" t="str">
        <f aca="false">IF((F86&lt;&gt;0),"Enter Letter"," ")</f>
        <v> </v>
      </c>
      <c r="F86" s="30"/>
      <c r="G86" s="6" t="str">
        <f aca="false">IF(F86&lt;&gt;0,F86*G$2/(100+G$2)," ")</f>
        <v> </v>
      </c>
      <c r="H86" s="6" t="str">
        <f aca="false">IF((F86&lt;&gt;0),F86-G86," ")</f>
        <v> </v>
      </c>
      <c r="I86" s="5"/>
      <c r="L86" s="7" t="str">
        <f aca="false">IF(F86&lt;&gt;0,F86-K86," ")</f>
        <v> </v>
      </c>
      <c r="M86" s="8" t="str">
        <f aca="false">IF((F86-K86)&lt;&gt;0,M$1-A86," ")</f>
        <v> </v>
      </c>
      <c r="N86" s="5"/>
      <c r="O86" s="17" t="str">
        <f aca="false">IF((E86="s"),H86," ")</f>
        <v> </v>
      </c>
      <c r="P86" s="17" t="str">
        <f aca="false">IF((E86="c"),H86," ")</f>
        <v> </v>
      </c>
      <c r="Q86" s="17" t="str">
        <f aca="false">IF((E86="o"),H86," ")</f>
        <v> </v>
      </c>
      <c r="R86" s="17" t="str">
        <f aca="false">IF((E86="d"),H86," ")</f>
        <v> </v>
      </c>
      <c r="S86" s="17" t="str">
        <f aca="false">IF((E86="w"),H86," ")</f>
        <v> </v>
      </c>
      <c r="T86" s="17" t="str">
        <f aca="false">IF((E86="r"),H86," ")</f>
        <v> </v>
      </c>
      <c r="U86" s="17" t="str">
        <f aca="false">IF((E86="p"),H86," ")</f>
        <v> </v>
      </c>
      <c r="V86" s="17" t="str">
        <f aca="false">IF((E86="t"),H86," ")</f>
        <v> </v>
      </c>
      <c r="W86" s="17" t="str">
        <f aca="false">IF((E86="q"),H86," ")</f>
        <v> </v>
      </c>
      <c r="X86" s="17" t="str">
        <f aca="false">IF((E86="m"),H86," ")</f>
        <v> </v>
      </c>
      <c r="Y86" s="17" t="str">
        <f aca="false">IF((E86="u"),H86," ")</f>
        <v> </v>
      </c>
      <c r="Z86" s="17" t="str">
        <f aca="false">IF((E86="a"),H86," ")</f>
        <v> </v>
      </c>
      <c r="AA86" s="17" t="str">
        <f aca="false">IF((E86="g"),H86," ")</f>
        <v> </v>
      </c>
      <c r="AB86" s="17" t="str">
        <f aca="false">IF((E86="h"),H86," ")</f>
        <v> </v>
      </c>
      <c r="AC86" s="30" t="str">
        <f aca="false">IF((E86="v"),H86," ")</f>
        <v> </v>
      </c>
      <c r="AD86" s="30" t="str">
        <f aca="false">IF((E86="n"),H86," ")</f>
        <v> </v>
      </c>
      <c r="AE86" s="17" t="str">
        <f aca="false">IF((E86="f"),H86," ")</f>
        <v> </v>
      </c>
      <c r="AF86" s="17" t="str">
        <f aca="false">IF((E86="l"),H86," ")</f>
        <v> </v>
      </c>
      <c r="AG86" s="17" t="str">
        <f aca="false">IF((E86="y"),H86," ")</f>
        <v> </v>
      </c>
      <c r="AH86" s="17" t="str">
        <f aca="false">IF((E86="z"),H86," ")</f>
        <v> </v>
      </c>
      <c r="AI86" s="17" t="str">
        <f aca="false">IF((E86="fa"),H86," ")</f>
        <v> </v>
      </c>
      <c r="AJ86" s="17" t="str">
        <f aca="false">IF((E86="e"),H86," ")</f>
        <v> </v>
      </c>
    </row>
    <row r="87" customFormat="false" ht="12" hidden="false" customHeight="false" outlineLevel="0" collapsed="false">
      <c r="A87" s="28"/>
      <c r="E87" s="2" t="str">
        <f aca="false">IF((F87&lt;&gt;0),"Enter Letter"," ")</f>
        <v> </v>
      </c>
      <c r="F87" s="30"/>
      <c r="G87" s="6" t="str">
        <f aca="false">IF(F87&lt;&gt;0,F87*G$2/(100+G$2)," ")</f>
        <v> </v>
      </c>
      <c r="H87" s="6" t="str">
        <f aca="false">IF((F87&lt;&gt;0),F87-G87," ")</f>
        <v> </v>
      </c>
      <c r="I87" s="5"/>
      <c r="L87" s="7" t="str">
        <f aca="false">IF(F87&lt;&gt;0,F87-K87," ")</f>
        <v> </v>
      </c>
      <c r="M87" s="8" t="str">
        <f aca="false">IF((F87-K87)&lt;&gt;0,M$1-A87," ")</f>
        <v> </v>
      </c>
      <c r="N87" s="5"/>
      <c r="O87" s="17" t="str">
        <f aca="false">IF((E87="s"),H87," ")</f>
        <v> </v>
      </c>
      <c r="P87" s="17" t="str">
        <f aca="false">IF((E87="c"),H87," ")</f>
        <v> </v>
      </c>
      <c r="Q87" s="17" t="str">
        <f aca="false">IF((E87="o"),H87," ")</f>
        <v> </v>
      </c>
      <c r="R87" s="17" t="str">
        <f aca="false">IF((E87="d"),H87," ")</f>
        <v> </v>
      </c>
      <c r="S87" s="17" t="str">
        <f aca="false">IF((E87="w"),H87," ")</f>
        <v> </v>
      </c>
      <c r="T87" s="17" t="str">
        <f aca="false">IF((E87="r"),H87," ")</f>
        <v> </v>
      </c>
      <c r="U87" s="17" t="str">
        <f aca="false">IF((E87="p"),H87," ")</f>
        <v> </v>
      </c>
      <c r="V87" s="17" t="str">
        <f aca="false">IF((E87="t"),H87," ")</f>
        <v> </v>
      </c>
      <c r="W87" s="17" t="str">
        <f aca="false">IF((E87="q"),H87," ")</f>
        <v> </v>
      </c>
      <c r="X87" s="17" t="str">
        <f aca="false">IF((E87="m"),H87," ")</f>
        <v> </v>
      </c>
      <c r="Y87" s="17" t="str">
        <f aca="false">IF((E87="u"),H87," ")</f>
        <v> </v>
      </c>
      <c r="Z87" s="17" t="str">
        <f aca="false">IF((E87="a"),H87," ")</f>
        <v> </v>
      </c>
      <c r="AA87" s="17" t="str">
        <f aca="false">IF((E87="g"),H87," ")</f>
        <v> </v>
      </c>
      <c r="AB87" s="17" t="str">
        <f aca="false">IF((E87="h"),H87," ")</f>
        <v> </v>
      </c>
      <c r="AC87" s="30" t="str">
        <f aca="false">IF((E87="v"),H87," ")</f>
        <v> </v>
      </c>
      <c r="AD87" s="30" t="str">
        <f aca="false">IF((E87="n"),H87," ")</f>
        <v> </v>
      </c>
      <c r="AE87" s="17" t="str">
        <f aca="false">IF((E87="f"),H87," ")</f>
        <v> </v>
      </c>
      <c r="AF87" s="17" t="str">
        <f aca="false">IF((E87="l"),H87," ")</f>
        <v> </v>
      </c>
      <c r="AG87" s="17" t="str">
        <f aca="false">IF((E87="y"),H87," ")</f>
        <v> </v>
      </c>
      <c r="AH87" s="17" t="str">
        <f aca="false">IF((E87="z"),H87," ")</f>
        <v> </v>
      </c>
      <c r="AI87" s="17" t="str">
        <f aca="false">IF((E87="fa"),H87," ")</f>
        <v> </v>
      </c>
      <c r="AJ87" s="17" t="str">
        <f aca="false">IF((E87="e"),H87," ")</f>
        <v> </v>
      </c>
    </row>
    <row r="88" customFormat="false" ht="12" hidden="false" customHeight="false" outlineLevel="0" collapsed="false">
      <c r="A88" s="28"/>
      <c r="E88" s="2" t="str">
        <f aca="false">IF((F88&lt;&gt;0),"Enter Letter"," ")</f>
        <v> </v>
      </c>
      <c r="F88" s="30"/>
      <c r="G88" s="6" t="str">
        <f aca="false">IF(F88&lt;&gt;0,F88*G$2/(100+G$2)," ")</f>
        <v> </v>
      </c>
      <c r="H88" s="6" t="str">
        <f aca="false">IF((F88&lt;&gt;0),F88-G88," ")</f>
        <v> </v>
      </c>
      <c r="I88" s="5"/>
      <c r="L88" s="7" t="str">
        <f aca="false">IF(F88&lt;&gt;0,F88-K88," ")</f>
        <v> </v>
      </c>
      <c r="M88" s="8" t="str">
        <f aca="false">IF((F88-K88)&lt;&gt;0,M$1-A88," ")</f>
        <v> </v>
      </c>
      <c r="N88" s="5"/>
      <c r="O88" s="17" t="str">
        <f aca="false">IF((E88="s"),H88," ")</f>
        <v> </v>
      </c>
      <c r="P88" s="17" t="str">
        <f aca="false">IF((E88="c"),H88," ")</f>
        <v> </v>
      </c>
      <c r="Q88" s="17" t="str">
        <f aca="false">IF((E88="o"),H88," ")</f>
        <v> </v>
      </c>
      <c r="R88" s="17" t="str">
        <f aca="false">IF((E88="d"),H88," ")</f>
        <v> </v>
      </c>
      <c r="S88" s="17" t="str">
        <f aca="false">IF((E88="w"),H88," ")</f>
        <v> </v>
      </c>
      <c r="T88" s="17" t="str">
        <f aca="false">IF((E88="r"),H88," ")</f>
        <v> </v>
      </c>
      <c r="U88" s="17" t="str">
        <f aca="false">IF((E88="p"),H88," ")</f>
        <v> </v>
      </c>
      <c r="V88" s="17" t="str">
        <f aca="false">IF((E88="t"),H88," ")</f>
        <v> </v>
      </c>
      <c r="W88" s="17" t="str">
        <f aca="false">IF((E88="q"),H88," ")</f>
        <v> </v>
      </c>
      <c r="X88" s="17" t="str">
        <f aca="false">IF((E88="m"),H88," ")</f>
        <v> </v>
      </c>
      <c r="Y88" s="17" t="str">
        <f aca="false">IF((E88="u"),H88," ")</f>
        <v> </v>
      </c>
      <c r="Z88" s="17" t="str">
        <f aca="false">IF((E88="a"),H88," ")</f>
        <v> </v>
      </c>
      <c r="AA88" s="17" t="str">
        <f aca="false">IF((E88="g"),H88," ")</f>
        <v> </v>
      </c>
      <c r="AB88" s="17" t="str">
        <f aca="false">IF((E88="h"),H88," ")</f>
        <v> </v>
      </c>
      <c r="AC88" s="30" t="str">
        <f aca="false">IF((E88="v"),H88," ")</f>
        <v> </v>
      </c>
      <c r="AD88" s="30" t="str">
        <f aca="false">IF((E88="n"),H88," ")</f>
        <v> </v>
      </c>
      <c r="AE88" s="17" t="str">
        <f aca="false">IF((E88="f"),H88," ")</f>
        <v> </v>
      </c>
      <c r="AF88" s="17" t="str">
        <f aca="false">IF((E88="l"),H88," ")</f>
        <v> </v>
      </c>
      <c r="AG88" s="17" t="str">
        <f aca="false">IF((E88="y"),H88," ")</f>
        <v> </v>
      </c>
      <c r="AH88" s="17" t="str">
        <f aca="false">IF((E88="z"),H88," ")</f>
        <v> </v>
      </c>
      <c r="AI88" s="17" t="str">
        <f aca="false">IF((E88="fa"),H88," ")</f>
        <v> </v>
      </c>
      <c r="AJ88" s="17" t="str">
        <f aca="false">IF((E88="e"),H88," ")</f>
        <v> </v>
      </c>
    </row>
    <row r="89" customFormat="false" ht="12" hidden="false" customHeight="false" outlineLevel="0" collapsed="false">
      <c r="A89" s="28"/>
      <c r="E89" s="2" t="str">
        <f aca="false">IF((F89&lt;&gt;0),"Enter Letter"," ")</f>
        <v> </v>
      </c>
      <c r="F89" s="30"/>
      <c r="G89" s="6" t="str">
        <f aca="false">IF(F89&lt;&gt;0,F89*G$2/(100+G$2)," ")</f>
        <v> </v>
      </c>
      <c r="H89" s="6" t="str">
        <f aca="false">IF((F89&lt;&gt;0),F89-G89," ")</f>
        <v> </v>
      </c>
      <c r="I89" s="5"/>
      <c r="L89" s="7" t="str">
        <f aca="false">IF(F89&lt;&gt;0,F89-K89," ")</f>
        <v> </v>
      </c>
      <c r="M89" s="8" t="str">
        <f aca="false">IF((F89-K89)&lt;&gt;0,M$1-A89," ")</f>
        <v> </v>
      </c>
      <c r="N89" s="5"/>
      <c r="O89" s="17" t="str">
        <f aca="false">IF((E89="s"),H89," ")</f>
        <v> </v>
      </c>
      <c r="P89" s="17" t="str">
        <f aca="false">IF((E89="c"),H89," ")</f>
        <v> </v>
      </c>
      <c r="Q89" s="17" t="str">
        <f aca="false">IF((E89="o"),H89," ")</f>
        <v> </v>
      </c>
      <c r="R89" s="17" t="str">
        <f aca="false">IF((E89="d"),H89," ")</f>
        <v> </v>
      </c>
      <c r="S89" s="17" t="str">
        <f aca="false">IF((E89="w"),H89," ")</f>
        <v> </v>
      </c>
      <c r="T89" s="17" t="str">
        <f aca="false">IF((E89="r"),H89," ")</f>
        <v> </v>
      </c>
      <c r="U89" s="17" t="str">
        <f aca="false">IF((E89="p"),H89," ")</f>
        <v> </v>
      </c>
      <c r="V89" s="17" t="str">
        <f aca="false">IF((E89="t"),H89," ")</f>
        <v> </v>
      </c>
      <c r="W89" s="17" t="str">
        <f aca="false">IF((E89="q"),H89," ")</f>
        <v> </v>
      </c>
      <c r="X89" s="17" t="str">
        <f aca="false">IF((E89="m"),H89," ")</f>
        <v> </v>
      </c>
      <c r="Y89" s="17" t="str">
        <f aca="false">IF((E89="u"),H89," ")</f>
        <v> </v>
      </c>
      <c r="Z89" s="17" t="str">
        <f aca="false">IF((E89="a"),H89," ")</f>
        <v> </v>
      </c>
      <c r="AA89" s="17" t="str">
        <f aca="false">IF((E89="g"),H89," ")</f>
        <v> </v>
      </c>
      <c r="AB89" s="17" t="str">
        <f aca="false">IF((E89="h"),H89," ")</f>
        <v> </v>
      </c>
      <c r="AC89" s="30" t="str">
        <f aca="false">IF((E89="v"),H89," ")</f>
        <v> </v>
      </c>
      <c r="AD89" s="30" t="str">
        <f aca="false">IF((E89="n"),H89," ")</f>
        <v> </v>
      </c>
      <c r="AE89" s="17" t="str">
        <f aca="false">IF((E89="f"),H89," ")</f>
        <v> </v>
      </c>
      <c r="AF89" s="17" t="str">
        <f aca="false">IF((E89="l"),H89," ")</f>
        <v> </v>
      </c>
      <c r="AG89" s="17" t="str">
        <f aca="false">IF((E89="y"),H89," ")</f>
        <v> </v>
      </c>
      <c r="AH89" s="17" t="str">
        <f aca="false">IF((E89="z"),H89," ")</f>
        <v> </v>
      </c>
      <c r="AI89" s="17" t="str">
        <f aca="false">IF((E89="fa"),H89," ")</f>
        <v> </v>
      </c>
      <c r="AJ89" s="17" t="str">
        <f aca="false">IF((E89="e"),H89," ")</f>
        <v> </v>
      </c>
    </row>
    <row r="90" customFormat="false" ht="12" hidden="false" customHeight="false" outlineLevel="0" collapsed="false">
      <c r="A90" s="28"/>
      <c r="E90" s="2" t="str">
        <f aca="false">IF((F90&lt;&gt;0),"Enter Letter"," ")</f>
        <v> </v>
      </c>
      <c r="F90" s="30"/>
      <c r="G90" s="6" t="str">
        <f aca="false">IF(F90&lt;&gt;0,F90*G$2/(100+G$2)," ")</f>
        <v> </v>
      </c>
      <c r="H90" s="6" t="str">
        <f aca="false">IF((F90&lt;&gt;0),F90-G90," ")</f>
        <v> </v>
      </c>
      <c r="I90" s="5"/>
      <c r="L90" s="7" t="str">
        <f aca="false">IF(F90&lt;&gt;0,F90-K90," ")</f>
        <v> </v>
      </c>
      <c r="M90" s="8" t="str">
        <f aca="false">IF((F90-K90)&lt;&gt;0,M$1-A90," ")</f>
        <v> </v>
      </c>
      <c r="N90" s="5"/>
      <c r="O90" s="17" t="str">
        <f aca="false">IF((E90="s"),H90," ")</f>
        <v> </v>
      </c>
      <c r="P90" s="17" t="str">
        <f aca="false">IF((E90="c"),H90," ")</f>
        <v> </v>
      </c>
      <c r="Q90" s="17" t="str">
        <f aca="false">IF((E90="o"),H90," ")</f>
        <v> </v>
      </c>
      <c r="R90" s="17" t="str">
        <f aca="false">IF((E90="d"),H90," ")</f>
        <v> </v>
      </c>
      <c r="S90" s="17" t="str">
        <f aca="false">IF((E90="w"),H90," ")</f>
        <v> </v>
      </c>
      <c r="T90" s="17" t="str">
        <f aca="false">IF((E90="r"),H90," ")</f>
        <v> </v>
      </c>
      <c r="U90" s="17" t="str">
        <f aca="false">IF((E90="p"),H90," ")</f>
        <v> </v>
      </c>
      <c r="V90" s="17" t="str">
        <f aca="false">IF((E90="t"),H90," ")</f>
        <v> </v>
      </c>
      <c r="W90" s="17" t="str">
        <f aca="false">IF((E90="q"),H90," ")</f>
        <v> </v>
      </c>
      <c r="X90" s="17" t="str">
        <f aca="false">IF((E90="m"),H90," ")</f>
        <v> </v>
      </c>
      <c r="Y90" s="17" t="str">
        <f aca="false">IF((E90="u"),H90," ")</f>
        <v> </v>
      </c>
      <c r="Z90" s="17" t="str">
        <f aca="false">IF((E90="a"),H90," ")</f>
        <v> </v>
      </c>
      <c r="AA90" s="17" t="str">
        <f aca="false">IF((E90="g"),H90," ")</f>
        <v> </v>
      </c>
      <c r="AB90" s="17" t="str">
        <f aca="false">IF((E90="h"),H90," ")</f>
        <v> </v>
      </c>
      <c r="AC90" s="30" t="str">
        <f aca="false">IF((E90="v"),H90," ")</f>
        <v> </v>
      </c>
      <c r="AD90" s="30" t="str">
        <f aca="false">IF((E90="n"),H90," ")</f>
        <v> </v>
      </c>
      <c r="AE90" s="17" t="str">
        <f aca="false">IF((E90="f"),H90," ")</f>
        <v> </v>
      </c>
      <c r="AF90" s="17" t="str">
        <f aca="false">IF((E90="l"),H90," ")</f>
        <v> </v>
      </c>
      <c r="AG90" s="17" t="str">
        <f aca="false">IF((E90="y"),H90," ")</f>
        <v> </v>
      </c>
      <c r="AH90" s="17" t="str">
        <f aca="false">IF((E90="z"),H90," ")</f>
        <v> </v>
      </c>
      <c r="AI90" s="17" t="str">
        <f aca="false">IF((E90="fa"),H90," ")</f>
        <v> </v>
      </c>
      <c r="AJ90" s="17" t="str">
        <f aca="false">IF((E90="e"),H90," ")</f>
        <v> </v>
      </c>
    </row>
    <row r="91" customFormat="false" ht="12" hidden="false" customHeight="false" outlineLevel="0" collapsed="false">
      <c r="A91" s="28"/>
      <c r="E91" s="2" t="str">
        <f aca="false">IF((F91&lt;&gt;0),"Enter Letter"," ")</f>
        <v> </v>
      </c>
      <c r="F91" s="30"/>
      <c r="G91" s="6" t="str">
        <f aca="false">IF(F91&lt;&gt;0,F91*G$2/(100+G$2)," ")</f>
        <v> </v>
      </c>
      <c r="H91" s="6" t="str">
        <f aca="false">IF((F91&lt;&gt;0),F91-G91," ")</f>
        <v> </v>
      </c>
      <c r="I91" s="5"/>
      <c r="L91" s="7" t="str">
        <f aca="false">IF(F91&lt;&gt;0,F91-K91," ")</f>
        <v> </v>
      </c>
      <c r="M91" s="8" t="str">
        <f aca="false">IF((F91-K91)&lt;&gt;0,M$1-A91," ")</f>
        <v> </v>
      </c>
      <c r="N91" s="5"/>
      <c r="O91" s="17" t="str">
        <f aca="false">IF((E91="s"),H91," ")</f>
        <v> </v>
      </c>
      <c r="P91" s="17" t="str">
        <f aca="false">IF((E91="c"),H91," ")</f>
        <v> </v>
      </c>
      <c r="Q91" s="17" t="str">
        <f aca="false">IF((E91="o"),H91," ")</f>
        <v> </v>
      </c>
      <c r="R91" s="17" t="str">
        <f aca="false">IF((E91="d"),H91," ")</f>
        <v> </v>
      </c>
      <c r="S91" s="17" t="str">
        <f aca="false">IF((E91="w"),H91," ")</f>
        <v> </v>
      </c>
      <c r="T91" s="17" t="str">
        <f aca="false">IF((E91="r"),H91," ")</f>
        <v> </v>
      </c>
      <c r="U91" s="17" t="str">
        <f aca="false">IF((E91="p"),H91," ")</f>
        <v> </v>
      </c>
      <c r="V91" s="17" t="str">
        <f aca="false">IF((E91="t"),H91," ")</f>
        <v> </v>
      </c>
      <c r="W91" s="17" t="str">
        <f aca="false">IF((E91="q"),H91," ")</f>
        <v> </v>
      </c>
      <c r="X91" s="17" t="str">
        <f aca="false">IF((E91="m"),H91," ")</f>
        <v> </v>
      </c>
      <c r="Y91" s="17" t="str">
        <f aca="false">IF((E91="u"),H91," ")</f>
        <v> </v>
      </c>
      <c r="Z91" s="17" t="str">
        <f aca="false">IF((E91="a"),H91," ")</f>
        <v> </v>
      </c>
      <c r="AA91" s="17" t="str">
        <f aca="false">IF((E91="g"),H91," ")</f>
        <v> </v>
      </c>
      <c r="AB91" s="17" t="str">
        <f aca="false">IF((E91="h"),H91," ")</f>
        <v> </v>
      </c>
      <c r="AC91" s="30" t="str">
        <f aca="false">IF((E91="v"),H91," ")</f>
        <v> </v>
      </c>
      <c r="AD91" s="30" t="str">
        <f aca="false">IF((E91="n"),H91," ")</f>
        <v> </v>
      </c>
      <c r="AE91" s="17" t="str">
        <f aca="false">IF((E91="f"),H91," ")</f>
        <v> </v>
      </c>
      <c r="AF91" s="17" t="str">
        <f aca="false">IF((E91="l"),H91," ")</f>
        <v> </v>
      </c>
      <c r="AG91" s="17" t="str">
        <f aca="false">IF((E91="y"),H91," ")</f>
        <v> </v>
      </c>
      <c r="AH91" s="17" t="str">
        <f aca="false">IF((E91="z"),H91," ")</f>
        <v> </v>
      </c>
      <c r="AI91" s="17" t="str">
        <f aca="false">IF((E91="fa"),H91," ")</f>
        <v> </v>
      </c>
      <c r="AJ91" s="17" t="str">
        <f aca="false">IF((E91="e"),H91," ")</f>
        <v> </v>
      </c>
    </row>
    <row r="92" customFormat="false" ht="12" hidden="false" customHeight="false" outlineLevel="0" collapsed="false">
      <c r="A92" s="28"/>
      <c r="E92" s="2" t="str">
        <f aca="false">IF((F92&lt;&gt;0),"Enter Letter"," ")</f>
        <v> </v>
      </c>
      <c r="F92" s="30"/>
      <c r="G92" s="6" t="str">
        <f aca="false">IF(F92&lt;&gt;0,F92*G$2/(100+G$2)," ")</f>
        <v> </v>
      </c>
      <c r="H92" s="6" t="str">
        <f aca="false">IF((F92&lt;&gt;0),F92-G92," ")</f>
        <v> </v>
      </c>
      <c r="I92" s="5"/>
      <c r="L92" s="7" t="str">
        <f aca="false">IF(F92&lt;&gt;0,F92-K92," ")</f>
        <v> </v>
      </c>
      <c r="M92" s="8" t="str">
        <f aca="false">IF((F92-K92)&lt;&gt;0,M$1-A92," ")</f>
        <v> </v>
      </c>
      <c r="N92" s="5"/>
      <c r="O92" s="17" t="str">
        <f aca="false">IF((E92="s"),H92," ")</f>
        <v> </v>
      </c>
      <c r="P92" s="17" t="str">
        <f aca="false">IF((E92="c"),H92," ")</f>
        <v> </v>
      </c>
      <c r="Q92" s="17" t="str">
        <f aca="false">IF((E92="o"),H92," ")</f>
        <v> </v>
      </c>
      <c r="R92" s="17" t="str">
        <f aca="false">IF((E92="d"),H92," ")</f>
        <v> </v>
      </c>
      <c r="S92" s="17" t="str">
        <f aca="false">IF((E92="w"),H92," ")</f>
        <v> </v>
      </c>
      <c r="T92" s="17" t="str">
        <f aca="false">IF((E92="r"),H92," ")</f>
        <v> </v>
      </c>
      <c r="U92" s="17" t="str">
        <f aca="false">IF((E92="p"),H92," ")</f>
        <v> </v>
      </c>
      <c r="V92" s="17" t="str">
        <f aca="false">IF((E92="t"),H92," ")</f>
        <v> </v>
      </c>
      <c r="W92" s="17" t="str">
        <f aca="false">IF((E92="q"),H92," ")</f>
        <v> </v>
      </c>
      <c r="X92" s="17" t="str">
        <f aca="false">IF((E92="m"),H92," ")</f>
        <v> </v>
      </c>
      <c r="Y92" s="17" t="str">
        <f aca="false">IF((E92="u"),H92," ")</f>
        <v> </v>
      </c>
      <c r="Z92" s="17" t="str">
        <f aca="false">IF((E92="a"),H92," ")</f>
        <v> </v>
      </c>
      <c r="AA92" s="17" t="str">
        <f aca="false">IF((E92="g"),H92," ")</f>
        <v> </v>
      </c>
      <c r="AB92" s="17" t="str">
        <f aca="false">IF((E92="h"),H92," ")</f>
        <v> </v>
      </c>
      <c r="AC92" s="30" t="str">
        <f aca="false">IF((E92="v"),H92," ")</f>
        <v> </v>
      </c>
      <c r="AD92" s="30" t="str">
        <f aca="false">IF((E92="n"),H92," ")</f>
        <v> </v>
      </c>
      <c r="AE92" s="17" t="str">
        <f aca="false">IF((E92="f"),H92," ")</f>
        <v> </v>
      </c>
      <c r="AF92" s="17" t="str">
        <f aca="false">IF((E92="l"),H92," ")</f>
        <v> </v>
      </c>
      <c r="AG92" s="17" t="str">
        <f aca="false">IF((E92="y"),H92," ")</f>
        <v> </v>
      </c>
      <c r="AH92" s="17" t="str">
        <f aca="false">IF((E92="z"),H92," ")</f>
        <v> </v>
      </c>
      <c r="AI92" s="17" t="str">
        <f aca="false">IF((E92="fa"),H92," ")</f>
        <v> </v>
      </c>
      <c r="AJ92" s="17" t="str">
        <f aca="false">IF((E92="e"),H92," ")</f>
        <v> </v>
      </c>
    </row>
    <row r="93" customFormat="false" ht="12" hidden="false" customHeight="false" outlineLevel="0" collapsed="false">
      <c r="A93" s="28"/>
      <c r="E93" s="2" t="str">
        <f aca="false">IF((F93&lt;&gt;0),"Enter Letter"," ")</f>
        <v> </v>
      </c>
      <c r="F93" s="30"/>
      <c r="G93" s="6" t="str">
        <f aca="false">IF(F93&lt;&gt;0,F93*G$2/(100+G$2)," ")</f>
        <v> </v>
      </c>
      <c r="H93" s="6" t="str">
        <f aca="false">IF((F93&lt;&gt;0),F93-G93," ")</f>
        <v> </v>
      </c>
      <c r="I93" s="5"/>
      <c r="L93" s="7" t="str">
        <f aca="false">IF(F93&lt;&gt;0,F93-K93," ")</f>
        <v> </v>
      </c>
      <c r="M93" s="8" t="str">
        <f aca="false">IF((F93-K93)&lt;&gt;0,M$1-A93," ")</f>
        <v> </v>
      </c>
      <c r="N93" s="5"/>
      <c r="O93" s="17" t="str">
        <f aca="false">IF((E93="s"),H93," ")</f>
        <v> </v>
      </c>
      <c r="P93" s="17" t="str">
        <f aca="false">IF((E93="c"),H93," ")</f>
        <v> </v>
      </c>
      <c r="Q93" s="17" t="str">
        <f aca="false">IF((E93="o"),H93," ")</f>
        <v> </v>
      </c>
      <c r="R93" s="17" t="str">
        <f aca="false">IF((E93="d"),H93," ")</f>
        <v> </v>
      </c>
      <c r="S93" s="17" t="str">
        <f aca="false">IF((E93="w"),H93," ")</f>
        <v> </v>
      </c>
      <c r="T93" s="17" t="str">
        <f aca="false">IF((E93="r"),H93," ")</f>
        <v> </v>
      </c>
      <c r="U93" s="17" t="str">
        <f aca="false">IF((E93="p"),H93," ")</f>
        <v> </v>
      </c>
      <c r="V93" s="17" t="str">
        <f aca="false">IF((E93="t"),H93," ")</f>
        <v> </v>
      </c>
      <c r="W93" s="17" t="str">
        <f aca="false">IF((E93="q"),H93," ")</f>
        <v> </v>
      </c>
      <c r="X93" s="17" t="str">
        <f aca="false">IF((E93="m"),H93," ")</f>
        <v> </v>
      </c>
      <c r="Y93" s="17" t="str">
        <f aca="false">IF((E93="u"),H93," ")</f>
        <v> </v>
      </c>
      <c r="Z93" s="17" t="str">
        <f aca="false">IF((E93="a"),H93," ")</f>
        <v> </v>
      </c>
      <c r="AA93" s="17" t="str">
        <f aca="false">IF((E93="g"),H93," ")</f>
        <v> </v>
      </c>
      <c r="AB93" s="17" t="str">
        <f aca="false">IF((E93="h"),H93," ")</f>
        <v> </v>
      </c>
      <c r="AC93" s="30" t="str">
        <f aca="false">IF((E93="v"),H93," ")</f>
        <v> </v>
      </c>
      <c r="AD93" s="30" t="str">
        <f aca="false">IF((E93="n"),H93," ")</f>
        <v> </v>
      </c>
      <c r="AE93" s="17" t="str">
        <f aca="false">IF((E93="f"),H93," ")</f>
        <v> </v>
      </c>
      <c r="AF93" s="17" t="str">
        <f aca="false">IF((E93="l"),H93," ")</f>
        <v> </v>
      </c>
      <c r="AG93" s="17" t="str">
        <f aca="false">IF((E93="y"),H93," ")</f>
        <v> </v>
      </c>
      <c r="AH93" s="17" t="str">
        <f aca="false">IF((E93="z"),H93," ")</f>
        <v> </v>
      </c>
      <c r="AI93" s="17" t="str">
        <f aca="false">IF((E93="fa"),H93," ")</f>
        <v> </v>
      </c>
      <c r="AJ93" s="17" t="str">
        <f aca="false">IF((E93="e"),H93," ")</f>
        <v> </v>
      </c>
    </row>
    <row r="94" customFormat="false" ht="12" hidden="false" customHeight="false" outlineLevel="0" collapsed="false">
      <c r="A94" s="28"/>
      <c r="E94" s="2" t="str">
        <f aca="false">IF((F94&lt;&gt;0),"Enter Letter"," ")</f>
        <v> </v>
      </c>
      <c r="F94" s="30"/>
      <c r="G94" s="6" t="str">
        <f aca="false">IF(F94&lt;&gt;0,F94*G$2/(100+G$2)," ")</f>
        <v> </v>
      </c>
      <c r="H94" s="6" t="str">
        <f aca="false">IF((F94&lt;&gt;0),F94-G94," ")</f>
        <v> </v>
      </c>
      <c r="I94" s="5"/>
      <c r="L94" s="7" t="str">
        <f aca="false">IF(F94&lt;&gt;0,F94-K94," ")</f>
        <v> </v>
      </c>
      <c r="M94" s="8" t="str">
        <f aca="false">IF((F94-K94)&lt;&gt;0,M$1-A94," ")</f>
        <v> </v>
      </c>
      <c r="N94" s="5"/>
      <c r="O94" s="17" t="str">
        <f aca="false">IF((E94="s"),H94," ")</f>
        <v> </v>
      </c>
      <c r="P94" s="17" t="str">
        <f aca="false">IF((E94="c"),H94," ")</f>
        <v> </v>
      </c>
      <c r="Q94" s="17" t="str">
        <f aca="false">IF((E94="o"),H94," ")</f>
        <v> </v>
      </c>
      <c r="R94" s="17" t="str">
        <f aca="false">IF((E94="d"),H94," ")</f>
        <v> </v>
      </c>
      <c r="S94" s="17" t="str">
        <f aca="false">IF((E94="w"),H94," ")</f>
        <v> </v>
      </c>
      <c r="T94" s="17" t="str">
        <f aca="false">IF((E94="r"),H94," ")</f>
        <v> </v>
      </c>
      <c r="U94" s="17" t="str">
        <f aca="false">IF((E94="p"),H94," ")</f>
        <v> </v>
      </c>
      <c r="V94" s="17" t="str">
        <f aca="false">IF((E94="t"),H94," ")</f>
        <v> </v>
      </c>
      <c r="W94" s="17" t="str">
        <f aca="false">IF((E94="q"),H94," ")</f>
        <v> </v>
      </c>
      <c r="X94" s="17" t="str">
        <f aca="false">IF((E94="m"),H94," ")</f>
        <v> </v>
      </c>
      <c r="Y94" s="17" t="str">
        <f aca="false">IF((E94="u"),H94," ")</f>
        <v> </v>
      </c>
      <c r="Z94" s="17" t="str">
        <f aca="false">IF((E94="a"),H94," ")</f>
        <v> </v>
      </c>
      <c r="AA94" s="17" t="str">
        <f aca="false">IF((E94="g"),H94," ")</f>
        <v> </v>
      </c>
      <c r="AB94" s="17" t="str">
        <f aca="false">IF((E94="h"),H94," ")</f>
        <v> </v>
      </c>
      <c r="AC94" s="30" t="str">
        <f aca="false">IF((E94="v"),H94," ")</f>
        <v> </v>
      </c>
      <c r="AD94" s="30" t="str">
        <f aca="false">IF((E94="n"),H94," ")</f>
        <v> </v>
      </c>
      <c r="AE94" s="17" t="str">
        <f aca="false">IF((E94="f"),H94," ")</f>
        <v> </v>
      </c>
      <c r="AF94" s="17" t="str">
        <f aca="false">IF((E94="l"),H94," ")</f>
        <v> </v>
      </c>
      <c r="AG94" s="17" t="str">
        <f aca="false">IF((E94="y"),H94," ")</f>
        <v> </v>
      </c>
      <c r="AH94" s="17" t="str">
        <f aca="false">IF((E94="z"),H94," ")</f>
        <v> </v>
      </c>
      <c r="AI94" s="17" t="str">
        <f aca="false">IF((E94="fa"),H94," ")</f>
        <v> </v>
      </c>
      <c r="AJ94" s="17" t="str">
        <f aca="false">IF((E94="e"),H94," ")</f>
        <v> </v>
      </c>
    </row>
    <row r="95" customFormat="false" ht="12" hidden="false" customHeight="false" outlineLevel="0" collapsed="false">
      <c r="A95" s="28"/>
      <c r="E95" s="2" t="str">
        <f aca="false">IF((F95&lt;&gt;0),"Enter Letter"," ")</f>
        <v> </v>
      </c>
      <c r="F95" s="30"/>
      <c r="G95" s="6" t="str">
        <f aca="false">IF(F95&lt;&gt;0,F95*G$2/(100+G$2)," ")</f>
        <v> </v>
      </c>
      <c r="H95" s="6" t="str">
        <f aca="false">IF((F95&lt;&gt;0),F95-G95," ")</f>
        <v> </v>
      </c>
      <c r="I95" s="5"/>
      <c r="L95" s="7" t="str">
        <f aca="false">IF(F95&lt;&gt;0,F95-K95," ")</f>
        <v> </v>
      </c>
      <c r="M95" s="8" t="str">
        <f aca="false">IF((F95-K95)&lt;&gt;0,M$1-A95," ")</f>
        <v> </v>
      </c>
      <c r="N95" s="5"/>
      <c r="O95" s="17" t="str">
        <f aca="false">IF((E95="s"),H95," ")</f>
        <v> </v>
      </c>
      <c r="P95" s="17" t="str">
        <f aca="false">IF((E95="c"),H95," ")</f>
        <v> </v>
      </c>
      <c r="Q95" s="17" t="str">
        <f aca="false">IF((E95="o"),H95," ")</f>
        <v> </v>
      </c>
      <c r="R95" s="17" t="str">
        <f aca="false">IF((E95="d"),H95," ")</f>
        <v> </v>
      </c>
      <c r="S95" s="17" t="str">
        <f aca="false">IF((E95="w"),H95," ")</f>
        <v> </v>
      </c>
      <c r="T95" s="17" t="str">
        <f aca="false">IF((E95="r"),H95," ")</f>
        <v> </v>
      </c>
      <c r="U95" s="17" t="str">
        <f aca="false">IF((E95="p"),H95," ")</f>
        <v> </v>
      </c>
      <c r="V95" s="17" t="str">
        <f aca="false">IF((E95="t"),H95," ")</f>
        <v> </v>
      </c>
      <c r="W95" s="17" t="str">
        <f aca="false">IF((E95="q"),H95," ")</f>
        <v> </v>
      </c>
      <c r="X95" s="17" t="str">
        <f aca="false">IF((E95="m"),H95," ")</f>
        <v> </v>
      </c>
      <c r="Y95" s="17" t="str">
        <f aca="false">IF((E95="u"),H95," ")</f>
        <v> </v>
      </c>
      <c r="Z95" s="17" t="str">
        <f aca="false">IF((E95="a"),H95," ")</f>
        <v> </v>
      </c>
      <c r="AA95" s="17" t="str">
        <f aca="false">IF((E95="g"),H95," ")</f>
        <v> </v>
      </c>
      <c r="AB95" s="17" t="str">
        <f aca="false">IF((E95="h"),H95," ")</f>
        <v> </v>
      </c>
      <c r="AC95" s="30" t="str">
        <f aca="false">IF((E95="v"),H95," ")</f>
        <v> </v>
      </c>
      <c r="AD95" s="30" t="str">
        <f aca="false">IF((E95="n"),H95," ")</f>
        <v> </v>
      </c>
      <c r="AE95" s="17" t="str">
        <f aca="false">IF((E95="f"),H95," ")</f>
        <v> </v>
      </c>
      <c r="AF95" s="17" t="str">
        <f aca="false">IF((E95="l"),H95," ")</f>
        <v> </v>
      </c>
      <c r="AG95" s="17" t="str">
        <f aca="false">IF((E95="y"),H95," ")</f>
        <v> </v>
      </c>
      <c r="AH95" s="17" t="str">
        <f aca="false">IF((E95="z"),H95," ")</f>
        <v> </v>
      </c>
      <c r="AI95" s="17" t="str">
        <f aca="false">IF((E95="fa"),H95," ")</f>
        <v> </v>
      </c>
      <c r="AJ95" s="17" t="str">
        <f aca="false">IF((E95="e"),H95," ")</f>
        <v> </v>
      </c>
    </row>
    <row r="96" customFormat="false" ht="12" hidden="false" customHeight="false" outlineLevel="0" collapsed="false">
      <c r="A96" s="28"/>
      <c r="E96" s="2" t="str">
        <f aca="false">IF((F96&lt;&gt;0),"Enter Letter"," ")</f>
        <v> </v>
      </c>
      <c r="F96" s="30"/>
      <c r="G96" s="6" t="str">
        <f aca="false">IF(F96&lt;&gt;0,F96*G$2/(100+G$2)," ")</f>
        <v> </v>
      </c>
      <c r="H96" s="6" t="str">
        <f aca="false">IF((F96&lt;&gt;0),F96-G96," ")</f>
        <v> </v>
      </c>
      <c r="I96" s="5"/>
      <c r="L96" s="7" t="str">
        <f aca="false">IF(F96&lt;&gt;0,F96-K96," ")</f>
        <v> </v>
      </c>
      <c r="M96" s="8" t="str">
        <f aca="false">IF((F96-K96)&lt;&gt;0,M$1-A96," ")</f>
        <v> </v>
      </c>
      <c r="N96" s="5"/>
      <c r="O96" s="17" t="str">
        <f aca="false">IF((E96="s"),H96," ")</f>
        <v> </v>
      </c>
      <c r="P96" s="17" t="str">
        <f aca="false">IF((E96="c"),H96," ")</f>
        <v> </v>
      </c>
      <c r="Q96" s="17" t="str">
        <f aca="false">IF((E96="o"),H96," ")</f>
        <v> </v>
      </c>
      <c r="R96" s="17" t="str">
        <f aca="false">IF((E96="d"),H96," ")</f>
        <v> </v>
      </c>
      <c r="S96" s="17" t="str">
        <f aca="false">IF((E96="w"),H96," ")</f>
        <v> </v>
      </c>
      <c r="T96" s="17" t="str">
        <f aca="false">IF((E96="r"),H96," ")</f>
        <v> </v>
      </c>
      <c r="U96" s="17" t="str">
        <f aca="false">IF((E96="p"),H96," ")</f>
        <v> </v>
      </c>
      <c r="V96" s="17" t="str">
        <f aca="false">IF((E96="t"),H96," ")</f>
        <v> </v>
      </c>
      <c r="W96" s="17" t="str">
        <f aca="false">IF((E96="q"),H96," ")</f>
        <v> </v>
      </c>
      <c r="X96" s="17" t="str">
        <f aca="false">IF((E96="m"),H96," ")</f>
        <v> </v>
      </c>
      <c r="Y96" s="17" t="str">
        <f aca="false">IF((E96="u"),H96," ")</f>
        <v> </v>
      </c>
      <c r="Z96" s="17" t="str">
        <f aca="false">IF((E96="a"),H96," ")</f>
        <v> </v>
      </c>
      <c r="AA96" s="17" t="str">
        <f aca="false">IF((E96="g"),H96," ")</f>
        <v> </v>
      </c>
      <c r="AB96" s="17" t="str">
        <f aca="false">IF((E96="h"),H96," ")</f>
        <v> </v>
      </c>
      <c r="AC96" s="30" t="str">
        <f aca="false">IF((E96="v"),H96," ")</f>
        <v> </v>
      </c>
      <c r="AD96" s="30" t="str">
        <f aca="false">IF((E96="n"),H96," ")</f>
        <v> </v>
      </c>
      <c r="AE96" s="17" t="str">
        <f aca="false">IF((E96="f"),H96," ")</f>
        <v> </v>
      </c>
      <c r="AF96" s="17" t="str">
        <f aca="false">IF((E96="l"),H96," ")</f>
        <v> </v>
      </c>
      <c r="AG96" s="17" t="str">
        <f aca="false">IF((E96="y"),H96," ")</f>
        <v> </v>
      </c>
      <c r="AH96" s="17" t="str">
        <f aca="false">IF((E96="z"),H96," ")</f>
        <v> </v>
      </c>
      <c r="AI96" s="17" t="str">
        <f aca="false">IF((E96="fa"),H96," ")</f>
        <v> </v>
      </c>
      <c r="AJ96" s="17" t="str">
        <f aca="false">IF((E96="e"),H96," ")</f>
        <v> </v>
      </c>
    </row>
    <row r="97" customFormat="false" ht="12" hidden="false" customHeight="false" outlineLevel="0" collapsed="false">
      <c r="A97" s="28"/>
      <c r="E97" s="2" t="str">
        <f aca="false">IF((F97&lt;&gt;0),"Enter Letter"," ")</f>
        <v> </v>
      </c>
      <c r="F97" s="30"/>
      <c r="G97" s="6" t="str">
        <f aca="false">IF(F97&lt;&gt;0,F97*G$2/(100+G$2)," ")</f>
        <v> </v>
      </c>
      <c r="H97" s="6" t="str">
        <f aca="false">IF((F97&lt;&gt;0),F97-G97," ")</f>
        <v> </v>
      </c>
      <c r="I97" s="5"/>
      <c r="L97" s="7" t="str">
        <f aca="false">IF(F97&lt;&gt;0,F97-K97," ")</f>
        <v> </v>
      </c>
      <c r="M97" s="8" t="str">
        <f aca="false">IF((F97-K97)&lt;&gt;0,M$1-A97," ")</f>
        <v> </v>
      </c>
      <c r="N97" s="5"/>
      <c r="O97" s="17" t="str">
        <f aca="false">IF((E97="s"),H97," ")</f>
        <v> </v>
      </c>
      <c r="P97" s="17" t="str">
        <f aca="false">IF((E97="c"),H97," ")</f>
        <v> </v>
      </c>
      <c r="Q97" s="17" t="str">
        <f aca="false">IF((E97="o"),H97," ")</f>
        <v> </v>
      </c>
      <c r="R97" s="17" t="str">
        <f aca="false">IF((E97="d"),H97," ")</f>
        <v> </v>
      </c>
      <c r="S97" s="17" t="str">
        <f aca="false">IF((E97="w"),H97," ")</f>
        <v> </v>
      </c>
      <c r="T97" s="17" t="str">
        <f aca="false">IF((E97="r"),H97," ")</f>
        <v> </v>
      </c>
      <c r="U97" s="17" t="str">
        <f aca="false">IF((E97="p"),H97," ")</f>
        <v> </v>
      </c>
      <c r="V97" s="17" t="str">
        <f aca="false">IF((E97="t"),H97," ")</f>
        <v> </v>
      </c>
      <c r="W97" s="17" t="str">
        <f aca="false">IF((E97="q"),H97," ")</f>
        <v> </v>
      </c>
      <c r="X97" s="17" t="str">
        <f aca="false">IF((E97="m"),H97," ")</f>
        <v> </v>
      </c>
      <c r="Y97" s="17" t="str">
        <f aca="false">IF((E97="u"),H97," ")</f>
        <v> </v>
      </c>
      <c r="Z97" s="17" t="str">
        <f aca="false">IF((E97="a"),H97," ")</f>
        <v> </v>
      </c>
      <c r="AA97" s="17" t="str">
        <f aca="false">IF((E97="g"),H97," ")</f>
        <v> </v>
      </c>
      <c r="AB97" s="17" t="str">
        <f aca="false">IF((E97="h"),H97," ")</f>
        <v> </v>
      </c>
      <c r="AC97" s="30" t="str">
        <f aca="false">IF((E97="v"),H97," ")</f>
        <v> </v>
      </c>
      <c r="AD97" s="30" t="str">
        <f aca="false">IF((E97="n"),H97," ")</f>
        <v> </v>
      </c>
      <c r="AE97" s="17" t="str">
        <f aca="false">IF((E97="f"),H97," ")</f>
        <v> </v>
      </c>
      <c r="AF97" s="17" t="str">
        <f aca="false">IF((E97="l"),H97," ")</f>
        <v> </v>
      </c>
      <c r="AG97" s="17" t="str">
        <f aca="false">IF((E97="y"),H97," ")</f>
        <v> </v>
      </c>
      <c r="AH97" s="17" t="str">
        <f aca="false">IF((E97="z"),H97," ")</f>
        <v> </v>
      </c>
      <c r="AI97" s="17" t="str">
        <f aca="false">IF((E97="fa"),H97," ")</f>
        <v> </v>
      </c>
      <c r="AJ97" s="17" t="str">
        <f aca="false">IF((E97="e"),H97," ")</f>
        <v> </v>
      </c>
    </row>
    <row r="98" customFormat="false" ht="12" hidden="false" customHeight="false" outlineLevel="0" collapsed="false">
      <c r="A98" s="28"/>
      <c r="E98" s="2" t="str">
        <f aca="false">IF((F98&lt;&gt;0),"Enter Letter"," ")</f>
        <v> </v>
      </c>
      <c r="F98" s="30"/>
      <c r="G98" s="6" t="str">
        <f aca="false">IF(F98&lt;&gt;0,F98*G$2/(100+G$2)," ")</f>
        <v> </v>
      </c>
      <c r="H98" s="6" t="str">
        <f aca="false">IF((F98&lt;&gt;0),F98-G98," ")</f>
        <v> </v>
      </c>
      <c r="I98" s="5"/>
      <c r="L98" s="7" t="str">
        <f aca="false">IF(F98&lt;&gt;0,F98-K98," ")</f>
        <v> </v>
      </c>
      <c r="M98" s="8" t="str">
        <f aca="false">IF((F98-K98)&lt;&gt;0,M$1-A98," ")</f>
        <v> </v>
      </c>
      <c r="N98" s="5"/>
      <c r="O98" s="17" t="str">
        <f aca="false">IF((E98="s"),H98," ")</f>
        <v> </v>
      </c>
      <c r="P98" s="17" t="str">
        <f aca="false">IF((E98="c"),H98," ")</f>
        <v> </v>
      </c>
      <c r="Q98" s="17" t="str">
        <f aca="false">IF((E98="o"),H98," ")</f>
        <v> </v>
      </c>
      <c r="R98" s="17" t="str">
        <f aca="false">IF((E98="d"),H98," ")</f>
        <v> </v>
      </c>
      <c r="S98" s="17" t="str">
        <f aca="false">IF((E98="w"),H98," ")</f>
        <v> </v>
      </c>
      <c r="T98" s="17" t="str">
        <f aca="false">IF((E98="r"),H98," ")</f>
        <v> </v>
      </c>
      <c r="U98" s="17" t="str">
        <f aca="false">IF((E98="p"),H98," ")</f>
        <v> </v>
      </c>
      <c r="V98" s="17" t="str">
        <f aca="false">IF((E98="t"),H98," ")</f>
        <v> </v>
      </c>
      <c r="W98" s="17" t="str">
        <f aca="false">IF((E98="q"),H98," ")</f>
        <v> </v>
      </c>
      <c r="X98" s="17" t="str">
        <f aca="false">IF((E98="m"),H98," ")</f>
        <v> </v>
      </c>
      <c r="Y98" s="17" t="str">
        <f aca="false">IF((E98="u"),H98," ")</f>
        <v> </v>
      </c>
      <c r="Z98" s="17" t="str">
        <f aca="false">IF((E98="a"),H98," ")</f>
        <v> </v>
      </c>
      <c r="AA98" s="17" t="str">
        <f aca="false">IF((E98="g"),H98," ")</f>
        <v> </v>
      </c>
      <c r="AB98" s="17" t="str">
        <f aca="false">IF((E98="h"),H98," ")</f>
        <v> </v>
      </c>
      <c r="AC98" s="30" t="str">
        <f aca="false">IF((E98="v"),H98," ")</f>
        <v> </v>
      </c>
      <c r="AD98" s="30" t="str">
        <f aca="false">IF((E98="n"),H98," ")</f>
        <v> </v>
      </c>
      <c r="AE98" s="17" t="str">
        <f aca="false">IF((E98="f"),H98," ")</f>
        <v> </v>
      </c>
      <c r="AF98" s="17" t="str">
        <f aca="false">IF((E98="l"),H98," ")</f>
        <v> </v>
      </c>
      <c r="AG98" s="17" t="str">
        <f aca="false">IF((E98="y"),H98," ")</f>
        <v> </v>
      </c>
      <c r="AH98" s="17" t="str">
        <f aca="false">IF((E98="z"),H98," ")</f>
        <v> </v>
      </c>
      <c r="AI98" s="17" t="str">
        <f aca="false">IF((E98="fa"),H98," ")</f>
        <v> </v>
      </c>
      <c r="AJ98" s="17" t="str">
        <f aca="false">IF((E98="e"),H98," ")</f>
        <v> </v>
      </c>
    </row>
    <row r="99" customFormat="false" ht="12" hidden="false" customHeight="false" outlineLevel="0" collapsed="false">
      <c r="A99" s="28"/>
      <c r="E99" s="2" t="str">
        <f aca="false">IF((F99&lt;&gt;0),"Enter Letter"," ")</f>
        <v> </v>
      </c>
      <c r="F99" s="30"/>
      <c r="G99" s="6" t="str">
        <f aca="false">IF(F99&lt;&gt;0,F99*G$2/(100+G$2)," ")</f>
        <v> </v>
      </c>
      <c r="H99" s="6" t="str">
        <f aca="false">IF((F99&lt;&gt;0),F99-G99," ")</f>
        <v> </v>
      </c>
      <c r="I99" s="5"/>
      <c r="L99" s="7" t="str">
        <f aca="false">IF(F99&lt;&gt;0,F99-K99," ")</f>
        <v> </v>
      </c>
      <c r="M99" s="8" t="str">
        <f aca="false">IF((F99-K99)&lt;&gt;0,M$1-A99," ")</f>
        <v> </v>
      </c>
      <c r="N99" s="5"/>
      <c r="O99" s="17" t="str">
        <f aca="false">IF((E99="s"),H99," ")</f>
        <v> </v>
      </c>
      <c r="P99" s="17" t="str">
        <f aca="false">IF((E99="c"),H99," ")</f>
        <v> </v>
      </c>
      <c r="Q99" s="17" t="str">
        <f aca="false">IF((E99="o"),H99," ")</f>
        <v> </v>
      </c>
      <c r="R99" s="17" t="str">
        <f aca="false">IF((E99="d"),H99," ")</f>
        <v> </v>
      </c>
      <c r="S99" s="17" t="str">
        <f aca="false">IF((E99="w"),H99," ")</f>
        <v> </v>
      </c>
      <c r="T99" s="17" t="str">
        <f aca="false">IF((E99="r"),H99," ")</f>
        <v> </v>
      </c>
      <c r="U99" s="17" t="str">
        <f aca="false">IF((E99="p"),H99," ")</f>
        <v> </v>
      </c>
      <c r="V99" s="17" t="str">
        <f aca="false">IF((E99="t"),H99," ")</f>
        <v> </v>
      </c>
      <c r="W99" s="17" t="str">
        <f aca="false">IF((E99="q"),H99," ")</f>
        <v> </v>
      </c>
      <c r="X99" s="17" t="str">
        <f aca="false">IF((E99="m"),H99," ")</f>
        <v> </v>
      </c>
      <c r="Y99" s="17" t="str">
        <f aca="false">IF((E99="u"),H99," ")</f>
        <v> </v>
      </c>
      <c r="Z99" s="17" t="str">
        <f aca="false">IF((E99="a"),H99," ")</f>
        <v> </v>
      </c>
      <c r="AA99" s="17" t="str">
        <f aca="false">IF((E99="g"),H99," ")</f>
        <v> </v>
      </c>
      <c r="AB99" s="17" t="str">
        <f aca="false">IF((E99="h"),H99," ")</f>
        <v> </v>
      </c>
      <c r="AC99" s="30" t="str">
        <f aca="false">IF((E99="v"),H99," ")</f>
        <v> </v>
      </c>
      <c r="AD99" s="30" t="str">
        <f aca="false">IF((E99="n"),H99," ")</f>
        <v> </v>
      </c>
      <c r="AE99" s="17" t="str">
        <f aca="false">IF((E99="f"),H99," ")</f>
        <v> </v>
      </c>
      <c r="AF99" s="17" t="str">
        <f aca="false">IF((E99="l"),H99," ")</f>
        <v> </v>
      </c>
      <c r="AG99" s="17" t="str">
        <f aca="false">IF((E99="y"),H99," ")</f>
        <v> </v>
      </c>
      <c r="AH99" s="17" t="str">
        <f aca="false">IF((E99="z"),H99," ")</f>
        <v> </v>
      </c>
      <c r="AI99" s="17" t="str">
        <f aca="false">IF((E99="fa"),H99," ")</f>
        <v> </v>
      </c>
      <c r="AJ99" s="17" t="str">
        <f aca="false">IF((E99="e"),H99," ")</f>
        <v> </v>
      </c>
    </row>
    <row r="100" customFormat="false" ht="12" hidden="false" customHeight="false" outlineLevel="0" collapsed="false">
      <c r="A100" s="28"/>
      <c r="E100" s="2" t="str">
        <f aca="false">IF((F100&lt;&gt;0),"Enter Letter"," ")</f>
        <v> </v>
      </c>
      <c r="F100" s="30"/>
      <c r="G100" s="6" t="str">
        <f aca="false">IF(F100&lt;&gt;0,F100*G$2/(100+G$2)," ")</f>
        <v> </v>
      </c>
      <c r="H100" s="6" t="str">
        <f aca="false">IF((F100&lt;&gt;0),F100-G100," ")</f>
        <v> </v>
      </c>
      <c r="I100" s="5"/>
      <c r="L100" s="7" t="str">
        <f aca="false">IF(F100&lt;&gt;0,F100-K100," ")</f>
        <v> </v>
      </c>
      <c r="M100" s="8" t="str">
        <f aca="false">IF((F100-K100)&lt;&gt;0,M$1-A100," ")</f>
        <v> </v>
      </c>
      <c r="N100" s="5"/>
      <c r="O100" s="17" t="str">
        <f aca="false">IF((E100="s"),H100," ")</f>
        <v> </v>
      </c>
      <c r="P100" s="17" t="str">
        <f aca="false">IF((E100="c"),H100," ")</f>
        <v> </v>
      </c>
      <c r="Q100" s="17" t="str">
        <f aca="false">IF((E100="o"),H100," ")</f>
        <v> </v>
      </c>
      <c r="R100" s="17" t="str">
        <f aca="false">IF((E100="d"),H100," ")</f>
        <v> </v>
      </c>
      <c r="S100" s="17" t="str">
        <f aca="false">IF((E100="w"),H100," ")</f>
        <v> </v>
      </c>
      <c r="T100" s="17" t="str">
        <f aca="false">IF((E100="r"),H100," ")</f>
        <v> </v>
      </c>
      <c r="U100" s="17" t="str">
        <f aca="false">IF((E100="p"),H100," ")</f>
        <v> </v>
      </c>
      <c r="V100" s="17" t="str">
        <f aca="false">IF((E100="t"),H100," ")</f>
        <v> </v>
      </c>
      <c r="W100" s="17" t="str">
        <f aca="false">IF((E100="q"),H100," ")</f>
        <v> </v>
      </c>
      <c r="X100" s="17" t="str">
        <f aca="false">IF((E100="m"),H100," ")</f>
        <v> </v>
      </c>
      <c r="Y100" s="17" t="str">
        <f aca="false">IF((E100="u"),H100," ")</f>
        <v> </v>
      </c>
      <c r="Z100" s="17" t="str">
        <f aca="false">IF((E100="a"),H100," ")</f>
        <v> </v>
      </c>
      <c r="AA100" s="17" t="str">
        <f aca="false">IF((E100="g"),H100," ")</f>
        <v> </v>
      </c>
      <c r="AB100" s="17" t="str">
        <f aca="false">IF((E100="h"),H100," ")</f>
        <v> </v>
      </c>
      <c r="AC100" s="30" t="str">
        <f aca="false">IF((E100="v"),H100," ")</f>
        <v> </v>
      </c>
      <c r="AD100" s="30" t="str">
        <f aca="false">IF((E100="n"),H100," ")</f>
        <v> </v>
      </c>
      <c r="AE100" s="17" t="str">
        <f aca="false">IF((E100="f"),H100," ")</f>
        <v> </v>
      </c>
      <c r="AF100" s="17" t="str">
        <f aca="false">IF((E100="l"),H100," ")</f>
        <v> </v>
      </c>
      <c r="AG100" s="17" t="str">
        <f aca="false">IF((E100="y"),H100," ")</f>
        <v> </v>
      </c>
      <c r="AH100" s="17" t="str">
        <f aca="false">IF((E100="z"),H100," ")</f>
        <v> </v>
      </c>
      <c r="AI100" s="17" t="str">
        <f aca="false">IF((E100="fa"),H100," ")</f>
        <v> </v>
      </c>
      <c r="AJ100" s="17" t="str">
        <f aca="false">IF((E100="e"),H100," ")</f>
        <v> </v>
      </c>
    </row>
    <row r="101" customFormat="false" ht="12" hidden="false" customHeight="false" outlineLevel="0" collapsed="false">
      <c r="A101" s="28"/>
      <c r="E101" s="2" t="str">
        <f aca="false">IF((F101&lt;&gt;0),"Enter Letter"," ")</f>
        <v> </v>
      </c>
      <c r="F101" s="30"/>
      <c r="G101" s="6" t="str">
        <f aca="false">IF(F101&lt;&gt;0,F101*G$2/(100+G$2)," ")</f>
        <v> </v>
      </c>
      <c r="H101" s="6" t="str">
        <f aca="false">IF((F101&lt;&gt;0),F101-G101," ")</f>
        <v> </v>
      </c>
      <c r="I101" s="5"/>
      <c r="L101" s="7" t="str">
        <f aca="false">IF(F101&lt;&gt;0,F101-K101," ")</f>
        <v> </v>
      </c>
      <c r="M101" s="8" t="str">
        <f aca="false">IF((F101-K101)&lt;&gt;0,M$1-A101," ")</f>
        <v> </v>
      </c>
      <c r="N101" s="5"/>
      <c r="O101" s="17" t="str">
        <f aca="false">IF((E101="s"),H101," ")</f>
        <v> </v>
      </c>
      <c r="P101" s="17" t="str">
        <f aca="false">IF((E101="c"),H101," ")</f>
        <v> </v>
      </c>
      <c r="Q101" s="17" t="str">
        <f aca="false">IF((E101="o"),H101," ")</f>
        <v> </v>
      </c>
      <c r="R101" s="17" t="str">
        <f aca="false">IF((E101="d"),H101," ")</f>
        <v> </v>
      </c>
      <c r="S101" s="17" t="str">
        <f aca="false">IF((E101="w"),H101," ")</f>
        <v> </v>
      </c>
      <c r="T101" s="17" t="str">
        <f aca="false">IF((E101="r"),H101," ")</f>
        <v> </v>
      </c>
      <c r="U101" s="17" t="str">
        <f aca="false">IF((E101="p"),H101," ")</f>
        <v> </v>
      </c>
      <c r="V101" s="17" t="str">
        <f aca="false">IF((E101="t"),H101," ")</f>
        <v> </v>
      </c>
      <c r="W101" s="17" t="str">
        <f aca="false">IF((E101="q"),H101," ")</f>
        <v> </v>
      </c>
      <c r="X101" s="17" t="str">
        <f aca="false">IF((E101="m"),H101," ")</f>
        <v> </v>
      </c>
      <c r="Y101" s="17" t="str">
        <f aca="false">IF((E101="u"),H101," ")</f>
        <v> </v>
      </c>
      <c r="Z101" s="17" t="str">
        <f aca="false">IF((E101="a"),H101," ")</f>
        <v> </v>
      </c>
      <c r="AA101" s="17" t="str">
        <f aca="false">IF((E101="g"),H101," ")</f>
        <v> </v>
      </c>
      <c r="AB101" s="17" t="str">
        <f aca="false">IF((E101="h"),H101," ")</f>
        <v> </v>
      </c>
      <c r="AC101" s="30" t="str">
        <f aca="false">IF((E101="v"),H101," ")</f>
        <v> </v>
      </c>
      <c r="AD101" s="30" t="str">
        <f aca="false">IF((E101="n"),H101," ")</f>
        <v> </v>
      </c>
      <c r="AE101" s="17" t="str">
        <f aca="false">IF((E101="f"),H101," ")</f>
        <v> </v>
      </c>
      <c r="AF101" s="17" t="str">
        <f aca="false">IF((E101="l"),H101," ")</f>
        <v> </v>
      </c>
      <c r="AG101" s="17" t="str">
        <f aca="false">IF((E101="y"),H101," ")</f>
        <v> </v>
      </c>
      <c r="AH101" s="17" t="str">
        <f aca="false">IF((E101="z"),H101," ")</f>
        <v> </v>
      </c>
      <c r="AI101" s="17" t="str">
        <f aca="false">IF((E101="fa"),H101," ")</f>
        <v> </v>
      </c>
      <c r="AJ101" s="17" t="str">
        <f aca="false">IF((E101="e"),H101," ")</f>
        <v> </v>
      </c>
    </row>
    <row r="102" customFormat="false" ht="12" hidden="false" customHeight="false" outlineLevel="0" collapsed="false">
      <c r="A102" s="28"/>
      <c r="E102" s="2" t="str">
        <f aca="false">IF((F102&lt;&gt;0),"Enter Letter"," ")</f>
        <v> </v>
      </c>
      <c r="F102" s="30"/>
      <c r="G102" s="6" t="str">
        <f aca="false">IF(F102&lt;&gt;0,F102*G$2/(100+G$2)," ")</f>
        <v> </v>
      </c>
      <c r="H102" s="6" t="str">
        <f aca="false">IF((F102&lt;&gt;0),F102-G102," ")</f>
        <v> </v>
      </c>
      <c r="I102" s="5"/>
      <c r="L102" s="7" t="str">
        <f aca="false">IF(F102&lt;&gt;0,F102-K102," ")</f>
        <v> </v>
      </c>
      <c r="M102" s="8" t="str">
        <f aca="false">IF((F102-K102)&lt;&gt;0,M$1-A102," ")</f>
        <v> </v>
      </c>
      <c r="N102" s="5"/>
      <c r="O102" s="17" t="str">
        <f aca="false">IF((E102="s"),H102," ")</f>
        <v> </v>
      </c>
      <c r="P102" s="17" t="str">
        <f aca="false">IF((E102="c"),H102," ")</f>
        <v> </v>
      </c>
      <c r="Q102" s="17" t="str">
        <f aca="false">IF((E102="o"),H102," ")</f>
        <v> </v>
      </c>
      <c r="R102" s="17" t="str">
        <f aca="false">IF((E102="d"),H102," ")</f>
        <v> </v>
      </c>
      <c r="S102" s="17" t="str">
        <f aca="false">IF((E102="w"),H102," ")</f>
        <v> </v>
      </c>
      <c r="T102" s="17" t="str">
        <f aca="false">IF((E102="r"),H102," ")</f>
        <v> </v>
      </c>
      <c r="U102" s="17" t="str">
        <f aca="false">IF((E102="p"),H102," ")</f>
        <v> </v>
      </c>
      <c r="V102" s="17" t="str">
        <f aca="false">IF((E102="t"),H102," ")</f>
        <v> </v>
      </c>
      <c r="W102" s="17" t="str">
        <f aca="false">IF((E102="q"),H102," ")</f>
        <v> </v>
      </c>
      <c r="X102" s="17" t="str">
        <f aca="false">IF((E102="m"),H102," ")</f>
        <v> </v>
      </c>
      <c r="Y102" s="17" t="str">
        <f aca="false">IF((E102="u"),H102," ")</f>
        <v> </v>
      </c>
      <c r="Z102" s="17" t="str">
        <f aca="false">IF((E102="a"),H102," ")</f>
        <v> </v>
      </c>
      <c r="AA102" s="17" t="str">
        <f aca="false">IF((E102="g"),H102," ")</f>
        <v> </v>
      </c>
      <c r="AB102" s="17" t="str">
        <f aca="false">IF((E102="h"),H102," ")</f>
        <v> </v>
      </c>
      <c r="AC102" s="30" t="str">
        <f aca="false">IF((E102="v"),H102," ")</f>
        <v> </v>
      </c>
      <c r="AD102" s="30" t="str">
        <f aca="false">IF((E102="n"),H102," ")</f>
        <v> </v>
      </c>
      <c r="AE102" s="17" t="str">
        <f aca="false">IF((E102="f"),H102," ")</f>
        <v> </v>
      </c>
      <c r="AF102" s="17" t="str">
        <f aca="false">IF((E102="l"),H102," ")</f>
        <v> </v>
      </c>
      <c r="AG102" s="17" t="str">
        <f aca="false">IF((E102="y"),H102," ")</f>
        <v> </v>
      </c>
      <c r="AH102" s="17" t="str">
        <f aca="false">IF((E102="z"),H102," ")</f>
        <v> </v>
      </c>
      <c r="AI102" s="17" t="str">
        <f aca="false">IF((E102="fa"),H102," ")</f>
        <v> </v>
      </c>
      <c r="AJ102" s="17" t="str">
        <f aca="false">IF((E102="e"),H102," ")</f>
        <v> </v>
      </c>
    </row>
    <row r="103" customFormat="false" ht="12" hidden="false" customHeight="false" outlineLevel="0" collapsed="false">
      <c r="A103" s="28"/>
      <c r="E103" s="2" t="str">
        <f aca="false">IF((F103&lt;&gt;0),"Enter Letter"," ")</f>
        <v> </v>
      </c>
      <c r="F103" s="30"/>
      <c r="G103" s="6" t="str">
        <f aca="false">IF(F103&lt;&gt;0,F103*G$2/(100+G$2)," ")</f>
        <v> </v>
      </c>
      <c r="H103" s="6" t="str">
        <f aca="false">IF((F103&lt;&gt;0),F103-G103," ")</f>
        <v> </v>
      </c>
      <c r="I103" s="5"/>
      <c r="L103" s="7" t="str">
        <f aca="false">IF(F103&lt;&gt;0,F103-K103," ")</f>
        <v> </v>
      </c>
      <c r="M103" s="8" t="str">
        <f aca="false">IF((F103-K103)&lt;&gt;0,M$1-A103," ")</f>
        <v> </v>
      </c>
      <c r="N103" s="5"/>
      <c r="O103" s="17" t="str">
        <f aca="false">IF((E103="s"),H103," ")</f>
        <v> </v>
      </c>
      <c r="P103" s="17" t="str">
        <f aca="false">IF((E103="c"),H103," ")</f>
        <v> </v>
      </c>
      <c r="Q103" s="17" t="str">
        <f aca="false">IF((E103="o"),H103," ")</f>
        <v> </v>
      </c>
      <c r="R103" s="17" t="str">
        <f aca="false">IF((E103="d"),H103," ")</f>
        <v> </v>
      </c>
      <c r="S103" s="17" t="str">
        <f aca="false">IF((E103="w"),H103," ")</f>
        <v> </v>
      </c>
      <c r="T103" s="17" t="str">
        <f aca="false">IF((E103="r"),H103," ")</f>
        <v> </v>
      </c>
      <c r="U103" s="17" t="str">
        <f aca="false">IF((E103="p"),H103," ")</f>
        <v> </v>
      </c>
      <c r="V103" s="17" t="str">
        <f aca="false">IF((E103="t"),H103," ")</f>
        <v> </v>
      </c>
      <c r="W103" s="17" t="str">
        <f aca="false">IF((E103="q"),H103," ")</f>
        <v> </v>
      </c>
      <c r="X103" s="17" t="str">
        <f aca="false">IF((E103="m"),H103," ")</f>
        <v> </v>
      </c>
      <c r="Y103" s="17" t="str">
        <f aca="false">IF((E103="u"),H103," ")</f>
        <v> </v>
      </c>
      <c r="Z103" s="17" t="str">
        <f aca="false">IF((E103="a"),H103," ")</f>
        <v> </v>
      </c>
      <c r="AA103" s="17" t="str">
        <f aca="false">IF((E103="g"),H103," ")</f>
        <v> </v>
      </c>
      <c r="AB103" s="17" t="str">
        <f aca="false">IF((E103="h"),H103," ")</f>
        <v> </v>
      </c>
      <c r="AC103" s="30" t="str">
        <f aca="false">IF((E103="v"),H103," ")</f>
        <v> </v>
      </c>
      <c r="AD103" s="30" t="str">
        <f aca="false">IF((E103="n"),H103," ")</f>
        <v> </v>
      </c>
      <c r="AE103" s="17" t="str">
        <f aca="false">IF((E103="f"),H103," ")</f>
        <v> </v>
      </c>
      <c r="AF103" s="17" t="str">
        <f aca="false">IF((E103="l"),H103," ")</f>
        <v> </v>
      </c>
      <c r="AG103" s="17" t="str">
        <f aca="false">IF((E103="y"),H103," ")</f>
        <v> </v>
      </c>
      <c r="AH103" s="17" t="str">
        <f aca="false">IF((E103="z"),H103," ")</f>
        <v> </v>
      </c>
      <c r="AI103" s="17" t="str">
        <f aca="false">IF((E103="fa"),H103," ")</f>
        <v> </v>
      </c>
      <c r="AJ103" s="17" t="str">
        <f aca="false">IF((E103="e"),H103," ")</f>
        <v> </v>
      </c>
    </row>
    <row r="104" customFormat="false" ht="12" hidden="false" customHeight="false" outlineLevel="0" collapsed="false">
      <c r="A104" s="28"/>
      <c r="E104" s="2" t="str">
        <f aca="false">IF((F104&lt;&gt;0),"Enter Letter"," ")</f>
        <v> </v>
      </c>
      <c r="F104" s="30"/>
      <c r="G104" s="6" t="str">
        <f aca="false">IF(F104&lt;&gt;0,F104*G$2/(100+G$2)," ")</f>
        <v> </v>
      </c>
      <c r="H104" s="6" t="str">
        <f aca="false">IF((F104&lt;&gt;0),F104-G104," ")</f>
        <v> </v>
      </c>
      <c r="I104" s="5"/>
      <c r="L104" s="7" t="str">
        <f aca="false">IF(F104&lt;&gt;0,F104-K104," ")</f>
        <v> </v>
      </c>
      <c r="M104" s="8" t="str">
        <f aca="false">IF((F104-K104)&lt;&gt;0,M$1-A104," ")</f>
        <v> </v>
      </c>
      <c r="N104" s="5"/>
      <c r="O104" s="17" t="str">
        <f aca="false">IF((E104="s"),H104," ")</f>
        <v> </v>
      </c>
      <c r="P104" s="17" t="str">
        <f aca="false">IF((E104="c"),H104," ")</f>
        <v> </v>
      </c>
      <c r="Q104" s="17" t="str">
        <f aca="false">IF((E104="o"),H104," ")</f>
        <v> </v>
      </c>
      <c r="R104" s="17" t="str">
        <f aca="false">IF((E104="d"),H104," ")</f>
        <v> </v>
      </c>
      <c r="S104" s="17" t="str">
        <f aca="false">IF((E104="w"),H104," ")</f>
        <v> </v>
      </c>
      <c r="T104" s="17" t="str">
        <f aca="false">IF((E104="r"),H104," ")</f>
        <v> </v>
      </c>
      <c r="U104" s="17" t="str">
        <f aca="false">IF((E104="p"),H104," ")</f>
        <v> </v>
      </c>
      <c r="V104" s="17" t="str">
        <f aca="false">IF((E104="t"),H104," ")</f>
        <v> </v>
      </c>
      <c r="W104" s="17" t="str">
        <f aca="false">IF((E104="q"),H104," ")</f>
        <v> </v>
      </c>
      <c r="X104" s="17" t="str">
        <f aca="false">IF((E104="m"),H104," ")</f>
        <v> </v>
      </c>
      <c r="Y104" s="17" t="str">
        <f aca="false">IF((E104="u"),H104," ")</f>
        <v> </v>
      </c>
      <c r="Z104" s="17" t="str">
        <f aca="false">IF((E104="a"),H104," ")</f>
        <v> </v>
      </c>
      <c r="AA104" s="17" t="str">
        <f aca="false">IF((E104="g"),H104," ")</f>
        <v> </v>
      </c>
      <c r="AB104" s="17" t="str">
        <f aca="false">IF((E104="h"),H104," ")</f>
        <v> </v>
      </c>
      <c r="AC104" s="30" t="str">
        <f aca="false">IF((E104="v"),H104," ")</f>
        <v> </v>
      </c>
      <c r="AD104" s="30" t="str">
        <f aca="false">IF((E104="n"),H104," ")</f>
        <v> </v>
      </c>
      <c r="AE104" s="17" t="str">
        <f aca="false">IF((E104="f"),H104," ")</f>
        <v> </v>
      </c>
      <c r="AF104" s="17" t="str">
        <f aca="false">IF((E104="l"),H104," ")</f>
        <v> </v>
      </c>
      <c r="AG104" s="17" t="str">
        <f aca="false">IF((E104="y"),H104," ")</f>
        <v> </v>
      </c>
      <c r="AH104" s="17" t="str">
        <f aca="false">IF((E104="z"),H104," ")</f>
        <v> </v>
      </c>
      <c r="AI104" s="17" t="str">
        <f aca="false">IF((E104="fa"),H104," ")</f>
        <v> </v>
      </c>
      <c r="AJ104" s="17" t="str">
        <f aca="false">IF((E104="e"),H104," ")</f>
        <v> </v>
      </c>
    </row>
    <row r="105" customFormat="false" ht="12" hidden="false" customHeight="false" outlineLevel="0" collapsed="false">
      <c r="A105" s="28"/>
      <c r="E105" s="2" t="str">
        <f aca="false">IF((F105&lt;&gt;0),"Enter Letter"," ")</f>
        <v> </v>
      </c>
      <c r="F105" s="30"/>
      <c r="G105" s="6" t="str">
        <f aca="false">IF(F105&lt;&gt;0,F105*G$2/(100+G$2)," ")</f>
        <v> </v>
      </c>
      <c r="H105" s="6" t="str">
        <f aca="false">IF((F105&lt;&gt;0),F105-G105," ")</f>
        <v> </v>
      </c>
      <c r="I105" s="5"/>
      <c r="L105" s="7" t="str">
        <f aca="false">IF(F105&lt;&gt;0,F105-K105," ")</f>
        <v> </v>
      </c>
      <c r="M105" s="8" t="str">
        <f aca="false">IF((F105-K105)&lt;&gt;0,M$1-A105," ")</f>
        <v> </v>
      </c>
      <c r="N105" s="5"/>
      <c r="O105" s="17" t="str">
        <f aca="false">IF((E105="s"),H105," ")</f>
        <v> </v>
      </c>
      <c r="P105" s="17" t="str">
        <f aca="false">IF((E105="c"),H105," ")</f>
        <v> </v>
      </c>
      <c r="Q105" s="17" t="str">
        <f aca="false">IF((E105="o"),H105," ")</f>
        <v> </v>
      </c>
      <c r="R105" s="17" t="str">
        <f aca="false">IF((E105="d"),H105," ")</f>
        <v> </v>
      </c>
      <c r="S105" s="17" t="str">
        <f aca="false">IF((E105="w"),H105," ")</f>
        <v> </v>
      </c>
      <c r="T105" s="17" t="str">
        <f aca="false">IF((E105="r"),H105," ")</f>
        <v> </v>
      </c>
      <c r="U105" s="17" t="str">
        <f aca="false">IF((E105="p"),H105," ")</f>
        <v> </v>
      </c>
      <c r="V105" s="17" t="str">
        <f aca="false">IF((E105="t"),H105," ")</f>
        <v> </v>
      </c>
      <c r="W105" s="17" t="str">
        <f aca="false">IF((E105="q"),H105," ")</f>
        <v> </v>
      </c>
      <c r="X105" s="17" t="str">
        <f aca="false">IF((E105="m"),H105," ")</f>
        <v> </v>
      </c>
      <c r="Y105" s="17" t="str">
        <f aca="false">IF((E105="u"),H105," ")</f>
        <v> </v>
      </c>
      <c r="Z105" s="17" t="str">
        <f aca="false">IF((E105="a"),H105," ")</f>
        <v> </v>
      </c>
      <c r="AA105" s="17" t="str">
        <f aca="false">IF((E105="g"),H105," ")</f>
        <v> </v>
      </c>
      <c r="AB105" s="17" t="str">
        <f aca="false">IF((E105="h"),H105," ")</f>
        <v> </v>
      </c>
      <c r="AC105" s="30" t="str">
        <f aca="false">IF((E105="v"),H105," ")</f>
        <v> </v>
      </c>
      <c r="AD105" s="30" t="str">
        <f aca="false">IF((E105="n"),H105," ")</f>
        <v> </v>
      </c>
      <c r="AE105" s="17" t="str">
        <f aca="false">IF((E105="f"),H105," ")</f>
        <v> </v>
      </c>
      <c r="AF105" s="17" t="str">
        <f aca="false">IF((E105="l"),H105," ")</f>
        <v> </v>
      </c>
      <c r="AG105" s="17" t="str">
        <f aca="false">IF((E105="y"),H105," ")</f>
        <v> </v>
      </c>
      <c r="AH105" s="17" t="str">
        <f aca="false">IF((E105="z"),H105," ")</f>
        <v> </v>
      </c>
      <c r="AI105" s="17" t="str">
        <f aca="false">IF((E105="fa"),H105," ")</f>
        <v> </v>
      </c>
      <c r="AJ105" s="17" t="str">
        <f aca="false">IF((E105="e"),H105," ")</f>
        <v> </v>
      </c>
    </row>
    <row r="106" customFormat="false" ht="12" hidden="false" customHeight="false" outlineLevel="0" collapsed="false">
      <c r="A106" s="28"/>
      <c r="E106" s="2" t="str">
        <f aca="false">IF((F106&lt;&gt;0),"Enter Letter"," ")</f>
        <v> </v>
      </c>
      <c r="F106" s="30"/>
      <c r="G106" s="6" t="str">
        <f aca="false">IF(F106&lt;&gt;0,F106*G$2/(100+G$2)," ")</f>
        <v> </v>
      </c>
      <c r="H106" s="6" t="str">
        <f aca="false">IF((F106&lt;&gt;0),F106-G106," ")</f>
        <v> </v>
      </c>
      <c r="I106" s="5"/>
      <c r="L106" s="7" t="str">
        <f aca="false">IF(F106&lt;&gt;0,F106-K106," ")</f>
        <v> </v>
      </c>
      <c r="M106" s="8" t="str">
        <f aca="false">IF((F106-K106)&lt;&gt;0,M$1-A106," ")</f>
        <v> </v>
      </c>
      <c r="N106" s="5"/>
      <c r="O106" s="17" t="str">
        <f aca="false">IF((E106="s"),H106," ")</f>
        <v> </v>
      </c>
      <c r="P106" s="17" t="str">
        <f aca="false">IF((E106="c"),H106," ")</f>
        <v> </v>
      </c>
      <c r="Q106" s="17" t="str">
        <f aca="false">IF((E106="o"),H106," ")</f>
        <v> </v>
      </c>
      <c r="R106" s="17" t="str">
        <f aca="false">IF((E106="d"),H106," ")</f>
        <v> </v>
      </c>
      <c r="S106" s="17" t="str">
        <f aca="false">IF((E106="w"),H106," ")</f>
        <v> </v>
      </c>
      <c r="T106" s="17" t="str">
        <f aca="false">IF((E106="r"),H106," ")</f>
        <v> </v>
      </c>
      <c r="U106" s="17" t="str">
        <f aca="false">IF((E106="p"),H106," ")</f>
        <v> </v>
      </c>
      <c r="V106" s="17" t="str">
        <f aca="false">IF((E106="t"),H106," ")</f>
        <v> </v>
      </c>
      <c r="W106" s="17" t="str">
        <f aca="false">IF((E106="q"),H106," ")</f>
        <v> </v>
      </c>
      <c r="X106" s="17" t="str">
        <f aca="false">IF((E106="m"),H106," ")</f>
        <v> </v>
      </c>
      <c r="Y106" s="17" t="str">
        <f aca="false">IF((E106="u"),H106," ")</f>
        <v> </v>
      </c>
      <c r="Z106" s="17" t="str">
        <f aca="false">IF((E106="a"),H106," ")</f>
        <v> </v>
      </c>
      <c r="AA106" s="17" t="str">
        <f aca="false">IF((E106="g"),H106," ")</f>
        <v> </v>
      </c>
      <c r="AB106" s="17" t="str">
        <f aca="false">IF((E106="h"),H106," ")</f>
        <v> </v>
      </c>
      <c r="AC106" s="30" t="str">
        <f aca="false">IF((E106="v"),H106," ")</f>
        <v> </v>
      </c>
      <c r="AD106" s="30" t="str">
        <f aca="false">IF((E106="n"),H106," ")</f>
        <v> </v>
      </c>
      <c r="AE106" s="17" t="str">
        <f aca="false">IF((E106="f"),H106," ")</f>
        <v> </v>
      </c>
      <c r="AF106" s="17" t="str">
        <f aca="false">IF((E106="l"),H106," ")</f>
        <v> </v>
      </c>
      <c r="AG106" s="17" t="str">
        <f aca="false">IF((E106="y"),H106," ")</f>
        <v> </v>
      </c>
      <c r="AH106" s="17" t="str">
        <f aca="false">IF((E106="z"),H106," ")</f>
        <v> </v>
      </c>
      <c r="AI106" s="17" t="str">
        <f aca="false">IF((E106="fa"),H106," ")</f>
        <v> </v>
      </c>
      <c r="AJ106" s="17" t="str">
        <f aca="false">IF((E106="e"),H106," ")</f>
        <v> </v>
      </c>
    </row>
    <row r="107" customFormat="false" ht="12" hidden="false" customHeight="false" outlineLevel="0" collapsed="false">
      <c r="A107" s="28"/>
      <c r="E107" s="2" t="str">
        <f aca="false">IF((F107&lt;&gt;0),"Enter Letter"," ")</f>
        <v> </v>
      </c>
      <c r="F107" s="30"/>
      <c r="G107" s="6" t="str">
        <f aca="false">IF(F107&lt;&gt;0,F107*G$2/(100+G$2)," ")</f>
        <v> </v>
      </c>
      <c r="H107" s="6" t="str">
        <f aca="false">IF((F107&lt;&gt;0),F107-G107," ")</f>
        <v> </v>
      </c>
      <c r="I107" s="5"/>
      <c r="L107" s="7" t="str">
        <f aca="false">IF(F107&lt;&gt;0,F107-K107," ")</f>
        <v> </v>
      </c>
      <c r="M107" s="8" t="str">
        <f aca="false">IF((F107-K107)&lt;&gt;0,M$1-A107," ")</f>
        <v> </v>
      </c>
      <c r="N107" s="5"/>
      <c r="O107" s="17" t="str">
        <f aca="false">IF((E107="s"),H107," ")</f>
        <v> </v>
      </c>
      <c r="P107" s="17" t="str">
        <f aca="false">IF((E107="c"),H107," ")</f>
        <v> </v>
      </c>
      <c r="Q107" s="17" t="str">
        <f aca="false">IF((E107="o"),H107," ")</f>
        <v> </v>
      </c>
      <c r="R107" s="17" t="str">
        <f aca="false">IF((E107="d"),H107," ")</f>
        <v> </v>
      </c>
      <c r="S107" s="17" t="str">
        <f aca="false">IF((E107="w"),H107," ")</f>
        <v> </v>
      </c>
      <c r="T107" s="17" t="str">
        <f aca="false">IF((E107="r"),H107," ")</f>
        <v> </v>
      </c>
      <c r="U107" s="17" t="str">
        <f aca="false">IF((E107="p"),H107," ")</f>
        <v> </v>
      </c>
      <c r="V107" s="17" t="str">
        <f aca="false">IF((E107="t"),H107," ")</f>
        <v> </v>
      </c>
      <c r="W107" s="17" t="str">
        <f aca="false">IF((E107="q"),H107," ")</f>
        <v> </v>
      </c>
      <c r="X107" s="17" t="str">
        <f aca="false">IF((E107="m"),H107," ")</f>
        <v> </v>
      </c>
      <c r="Y107" s="17" t="str">
        <f aca="false">IF((E107="u"),H107," ")</f>
        <v> </v>
      </c>
      <c r="Z107" s="17" t="str">
        <f aca="false">IF((E107="a"),H107," ")</f>
        <v> </v>
      </c>
      <c r="AA107" s="17" t="str">
        <f aca="false">IF((E107="g"),H107," ")</f>
        <v> </v>
      </c>
      <c r="AB107" s="17" t="str">
        <f aca="false">IF((E107="h"),H107," ")</f>
        <v> </v>
      </c>
      <c r="AC107" s="30" t="str">
        <f aca="false">IF((E107="v"),H107," ")</f>
        <v> </v>
      </c>
      <c r="AD107" s="30" t="str">
        <f aca="false">IF((E107="n"),H107," ")</f>
        <v> </v>
      </c>
      <c r="AE107" s="17" t="str">
        <f aca="false">IF((E107="f"),H107," ")</f>
        <v> </v>
      </c>
      <c r="AF107" s="17" t="str">
        <f aca="false">IF((E107="l"),H107," ")</f>
        <v> </v>
      </c>
      <c r="AG107" s="17" t="str">
        <f aca="false">IF((E107="y"),H107," ")</f>
        <v> </v>
      </c>
      <c r="AH107" s="17" t="str">
        <f aca="false">IF((E107="z"),H107," ")</f>
        <v> </v>
      </c>
      <c r="AI107" s="17" t="str">
        <f aca="false">IF((E107="fa"),H107," ")</f>
        <v> </v>
      </c>
      <c r="AJ107" s="17" t="str">
        <f aca="false">IF((E107="e"),H107," ")</f>
        <v> </v>
      </c>
    </row>
    <row r="108" customFormat="false" ht="12" hidden="false" customHeight="false" outlineLevel="0" collapsed="false">
      <c r="A108" s="28"/>
      <c r="E108" s="2" t="str">
        <f aca="false">IF((F108&lt;&gt;0),"Enter Letter"," ")</f>
        <v> </v>
      </c>
      <c r="F108" s="30"/>
      <c r="G108" s="6" t="str">
        <f aca="false">IF(F108&lt;&gt;0,F108*G$2/(100+G$2)," ")</f>
        <v> </v>
      </c>
      <c r="H108" s="6" t="str">
        <f aca="false">IF((F108&lt;&gt;0),F108-G108," ")</f>
        <v> </v>
      </c>
      <c r="I108" s="5"/>
      <c r="L108" s="7" t="str">
        <f aca="false">IF(F108&lt;&gt;0,F108-K108," ")</f>
        <v> </v>
      </c>
      <c r="M108" s="8" t="str">
        <f aca="false">IF((F108-K108)&lt;&gt;0,M$1-A108," ")</f>
        <v> </v>
      </c>
      <c r="N108" s="5"/>
      <c r="O108" s="17" t="str">
        <f aca="false">IF((E108="s"),H108," ")</f>
        <v> </v>
      </c>
      <c r="P108" s="17" t="str">
        <f aca="false">IF((E108="c"),H108," ")</f>
        <v> </v>
      </c>
      <c r="Q108" s="17" t="str">
        <f aca="false">IF((E108="o"),H108," ")</f>
        <v> </v>
      </c>
      <c r="R108" s="17" t="str">
        <f aca="false">IF((E108="d"),H108," ")</f>
        <v> </v>
      </c>
      <c r="S108" s="17" t="str">
        <f aca="false">IF((E108="w"),H108," ")</f>
        <v> </v>
      </c>
      <c r="T108" s="17" t="str">
        <f aca="false">IF((E108="r"),H108," ")</f>
        <v> </v>
      </c>
      <c r="U108" s="17" t="str">
        <f aca="false">IF((E108="p"),H108," ")</f>
        <v> </v>
      </c>
      <c r="V108" s="17" t="str">
        <f aca="false">IF((E108="t"),H108," ")</f>
        <v> </v>
      </c>
      <c r="W108" s="17" t="str">
        <f aca="false">IF((E108="q"),H108," ")</f>
        <v> </v>
      </c>
      <c r="X108" s="17" t="str">
        <f aca="false">IF((E108="m"),H108," ")</f>
        <v> </v>
      </c>
      <c r="Y108" s="17" t="str">
        <f aca="false">IF((E108="u"),H108," ")</f>
        <v> </v>
      </c>
      <c r="Z108" s="17" t="str">
        <f aca="false">IF((E108="a"),H108," ")</f>
        <v> </v>
      </c>
      <c r="AA108" s="17" t="str">
        <f aca="false">IF((E108="g"),H108," ")</f>
        <v> </v>
      </c>
      <c r="AB108" s="17" t="str">
        <f aca="false">IF((E108="h"),H108," ")</f>
        <v> </v>
      </c>
      <c r="AC108" s="30" t="str">
        <f aca="false">IF((E108="v"),H108," ")</f>
        <v> </v>
      </c>
      <c r="AD108" s="30" t="str">
        <f aca="false">IF((E108="n"),H108," ")</f>
        <v> </v>
      </c>
      <c r="AE108" s="17" t="str">
        <f aca="false">IF((E108="f"),H108," ")</f>
        <v> </v>
      </c>
      <c r="AF108" s="17" t="str">
        <f aca="false">IF((E108="l"),H108," ")</f>
        <v> </v>
      </c>
      <c r="AG108" s="17" t="str">
        <f aca="false">IF((E108="y"),H108," ")</f>
        <v> </v>
      </c>
      <c r="AH108" s="17" t="str">
        <f aca="false">IF((E108="z"),H108," ")</f>
        <v> </v>
      </c>
      <c r="AI108" s="17" t="str">
        <f aca="false">IF((E108="fa"),H108," ")</f>
        <v> </v>
      </c>
      <c r="AJ108" s="17" t="str">
        <f aca="false">IF((E108="e"),H108," ")</f>
        <v> </v>
      </c>
    </row>
    <row r="109" customFormat="false" ht="12" hidden="false" customHeight="false" outlineLevel="0" collapsed="false">
      <c r="A109" s="28"/>
      <c r="E109" s="2" t="str">
        <f aca="false">IF((F109&lt;&gt;0),"Enter Letter"," ")</f>
        <v> </v>
      </c>
      <c r="F109" s="30"/>
      <c r="G109" s="6" t="str">
        <f aca="false">IF(F109&lt;&gt;0,F109*G$2/(100+G$2)," ")</f>
        <v> </v>
      </c>
      <c r="H109" s="6" t="str">
        <f aca="false">IF((F109&lt;&gt;0),F109-G109," ")</f>
        <v> </v>
      </c>
      <c r="I109" s="5"/>
      <c r="L109" s="7" t="str">
        <f aca="false">IF(F109&lt;&gt;0,F109-K109," ")</f>
        <v> </v>
      </c>
      <c r="M109" s="8" t="str">
        <f aca="false">IF((F109-K109)&lt;&gt;0,M$1-A109," ")</f>
        <v> </v>
      </c>
      <c r="N109" s="5"/>
      <c r="O109" s="17" t="str">
        <f aca="false">IF((E109="s"),H109," ")</f>
        <v> </v>
      </c>
      <c r="P109" s="17" t="str">
        <f aca="false">IF((E109="c"),H109," ")</f>
        <v> </v>
      </c>
      <c r="Q109" s="17" t="str">
        <f aca="false">IF((E109="o"),H109," ")</f>
        <v> </v>
      </c>
      <c r="R109" s="17" t="str">
        <f aca="false">IF((E109="d"),H109," ")</f>
        <v> </v>
      </c>
      <c r="S109" s="17" t="str">
        <f aca="false">IF((E109="w"),H109," ")</f>
        <v> </v>
      </c>
      <c r="T109" s="17" t="str">
        <f aca="false">IF((E109="r"),H109," ")</f>
        <v> </v>
      </c>
      <c r="U109" s="17" t="str">
        <f aca="false">IF((E109="p"),H109," ")</f>
        <v> </v>
      </c>
      <c r="V109" s="17" t="str">
        <f aca="false">IF((E109="t"),H109," ")</f>
        <v> </v>
      </c>
      <c r="W109" s="17" t="str">
        <f aca="false">IF((E109="q"),H109," ")</f>
        <v> </v>
      </c>
      <c r="X109" s="17" t="str">
        <f aca="false">IF((E109="m"),H109," ")</f>
        <v> </v>
      </c>
      <c r="Y109" s="17" t="str">
        <f aca="false">IF((E109="u"),H109," ")</f>
        <v> </v>
      </c>
      <c r="Z109" s="17" t="str">
        <f aca="false">IF((E109="a"),H109," ")</f>
        <v> </v>
      </c>
      <c r="AA109" s="17" t="str">
        <f aca="false">IF((E109="g"),H109," ")</f>
        <v> </v>
      </c>
      <c r="AB109" s="17" t="str">
        <f aca="false">IF((E109="h"),H109," ")</f>
        <v> </v>
      </c>
      <c r="AC109" s="30" t="str">
        <f aca="false">IF((E109="v"),H109," ")</f>
        <v> </v>
      </c>
      <c r="AD109" s="30" t="str">
        <f aca="false">IF((E109="n"),H109," ")</f>
        <v> </v>
      </c>
      <c r="AE109" s="17" t="str">
        <f aca="false">IF((E109="f"),H109," ")</f>
        <v> </v>
      </c>
      <c r="AF109" s="17" t="str">
        <f aca="false">IF((E109="l"),H109," ")</f>
        <v> </v>
      </c>
      <c r="AG109" s="17" t="str">
        <f aca="false">IF((E109="y"),H109," ")</f>
        <v> </v>
      </c>
      <c r="AH109" s="17" t="str">
        <f aca="false">IF((E109="z"),H109," ")</f>
        <v> </v>
      </c>
      <c r="AI109" s="17" t="str">
        <f aca="false">IF((E109="fa"),H109," ")</f>
        <v> </v>
      </c>
      <c r="AJ109" s="17" t="str">
        <f aca="false">IF((E109="e"),H109," ")</f>
        <v> </v>
      </c>
    </row>
    <row r="110" customFormat="false" ht="12" hidden="false" customHeight="false" outlineLevel="0" collapsed="false">
      <c r="A110" s="28"/>
      <c r="E110" s="2" t="str">
        <f aca="false">IF((F110&lt;&gt;0),"Enter Letter"," ")</f>
        <v> </v>
      </c>
      <c r="F110" s="30"/>
      <c r="G110" s="6" t="str">
        <f aca="false">IF(F110&lt;&gt;0,F110*G$2/(100+G$2)," ")</f>
        <v> </v>
      </c>
      <c r="H110" s="6" t="str">
        <f aca="false">IF((F110&lt;&gt;0),F110-G110," ")</f>
        <v> </v>
      </c>
      <c r="I110" s="5"/>
      <c r="L110" s="7" t="str">
        <f aca="false">IF(F110&lt;&gt;0,F110-K110," ")</f>
        <v> </v>
      </c>
      <c r="M110" s="8" t="str">
        <f aca="false">IF((F110-K110)&lt;&gt;0,M$1-A110," ")</f>
        <v> </v>
      </c>
      <c r="N110" s="5"/>
      <c r="O110" s="17" t="str">
        <f aca="false">IF((E110="s"),H110," ")</f>
        <v> </v>
      </c>
      <c r="P110" s="17" t="str">
        <f aca="false">IF((E110="c"),H110," ")</f>
        <v> </v>
      </c>
      <c r="Q110" s="17" t="str">
        <f aca="false">IF((E110="o"),H110," ")</f>
        <v> </v>
      </c>
      <c r="R110" s="17" t="str">
        <f aca="false">IF((E110="d"),H110," ")</f>
        <v> </v>
      </c>
      <c r="S110" s="17" t="str">
        <f aca="false">IF((E110="w"),H110," ")</f>
        <v> </v>
      </c>
      <c r="T110" s="17" t="str">
        <f aca="false">IF((E110="r"),H110," ")</f>
        <v> </v>
      </c>
      <c r="U110" s="17" t="str">
        <f aca="false">IF((E110="p"),H110," ")</f>
        <v> </v>
      </c>
      <c r="V110" s="17" t="str">
        <f aca="false">IF((E110="t"),H110," ")</f>
        <v> </v>
      </c>
      <c r="W110" s="17" t="str">
        <f aca="false">IF((E110="q"),H110," ")</f>
        <v> </v>
      </c>
      <c r="X110" s="17" t="str">
        <f aca="false">IF((E110="m"),H110," ")</f>
        <v> </v>
      </c>
      <c r="Y110" s="17" t="str">
        <f aca="false">IF((E110="u"),H110," ")</f>
        <v> </v>
      </c>
      <c r="Z110" s="17" t="str">
        <f aca="false">IF((E110="a"),H110," ")</f>
        <v> </v>
      </c>
      <c r="AA110" s="17" t="str">
        <f aca="false">IF((E110="g"),H110," ")</f>
        <v> </v>
      </c>
      <c r="AB110" s="17" t="str">
        <f aca="false">IF((E110="h"),H110," ")</f>
        <v> </v>
      </c>
      <c r="AC110" s="30" t="str">
        <f aca="false">IF((E110="v"),H110," ")</f>
        <v> </v>
      </c>
      <c r="AD110" s="30" t="str">
        <f aca="false">IF((E110="n"),H110," ")</f>
        <v> </v>
      </c>
      <c r="AE110" s="17" t="str">
        <f aca="false">IF((E110="f"),H110," ")</f>
        <v> </v>
      </c>
      <c r="AF110" s="17" t="str">
        <f aca="false">IF((E110="l"),H110," ")</f>
        <v> </v>
      </c>
      <c r="AG110" s="17" t="str">
        <f aca="false">IF((E110="y"),H110," ")</f>
        <v> </v>
      </c>
      <c r="AH110" s="17" t="str">
        <f aca="false">IF((E110="z"),H110," ")</f>
        <v> </v>
      </c>
      <c r="AI110" s="17" t="str">
        <f aca="false">IF((E110="fa"),H110," ")</f>
        <v> </v>
      </c>
      <c r="AJ110" s="17" t="str">
        <f aca="false">IF((E110="e"),H110," ")</f>
        <v> </v>
      </c>
    </row>
    <row r="111" customFormat="false" ht="12" hidden="false" customHeight="false" outlineLevel="0" collapsed="false">
      <c r="A111" s="28"/>
      <c r="E111" s="2" t="str">
        <f aca="false">IF((F111&lt;&gt;0),"Enter Letter"," ")</f>
        <v> </v>
      </c>
      <c r="F111" s="30"/>
      <c r="G111" s="6" t="str">
        <f aca="false">IF(F111&lt;&gt;0,F111*G$2/(100+G$2)," ")</f>
        <v> </v>
      </c>
      <c r="H111" s="6" t="str">
        <f aca="false">IF((F111&lt;&gt;0),F111-G111," ")</f>
        <v> </v>
      </c>
      <c r="I111" s="5"/>
      <c r="L111" s="7" t="str">
        <f aca="false">IF(F111&lt;&gt;0,F111-K111," ")</f>
        <v> </v>
      </c>
      <c r="M111" s="8" t="str">
        <f aca="false">IF((F111-K111)&lt;&gt;0,M$1-A111," ")</f>
        <v> </v>
      </c>
      <c r="N111" s="5"/>
      <c r="O111" s="17" t="str">
        <f aca="false">IF((E111="s"),H111," ")</f>
        <v> </v>
      </c>
      <c r="P111" s="17" t="str">
        <f aca="false">IF((E111="c"),H111," ")</f>
        <v> </v>
      </c>
      <c r="Q111" s="17" t="str">
        <f aca="false">IF((E111="o"),H111," ")</f>
        <v> </v>
      </c>
      <c r="R111" s="17" t="str">
        <f aca="false">IF((E111="d"),H111," ")</f>
        <v> </v>
      </c>
      <c r="S111" s="17" t="str">
        <f aca="false">IF((E111="w"),H111," ")</f>
        <v> </v>
      </c>
      <c r="T111" s="17" t="str">
        <f aca="false">IF((E111="r"),H111," ")</f>
        <v> </v>
      </c>
      <c r="U111" s="17" t="str">
        <f aca="false">IF((E111="p"),H111," ")</f>
        <v> </v>
      </c>
      <c r="V111" s="17" t="str">
        <f aca="false">IF((E111="t"),H111," ")</f>
        <v> </v>
      </c>
      <c r="W111" s="17" t="str">
        <f aca="false">IF((E111="q"),H111," ")</f>
        <v> </v>
      </c>
      <c r="X111" s="17" t="str">
        <f aca="false">IF((E111="m"),H111," ")</f>
        <v> </v>
      </c>
      <c r="Y111" s="17" t="str">
        <f aca="false">IF((E111="u"),H111," ")</f>
        <v> </v>
      </c>
      <c r="Z111" s="17" t="str">
        <f aca="false">IF((E111="a"),H111," ")</f>
        <v> </v>
      </c>
      <c r="AA111" s="17" t="str">
        <f aca="false">IF((E111="g"),H111," ")</f>
        <v> </v>
      </c>
      <c r="AB111" s="17" t="str">
        <f aca="false">IF((E111="h"),H111," ")</f>
        <v> </v>
      </c>
      <c r="AC111" s="30" t="str">
        <f aca="false">IF((E111="v"),H111," ")</f>
        <v> </v>
      </c>
      <c r="AD111" s="30" t="str">
        <f aca="false">IF((E111="n"),H111," ")</f>
        <v> </v>
      </c>
      <c r="AE111" s="17" t="str">
        <f aca="false">IF((E111="f"),H111," ")</f>
        <v> </v>
      </c>
      <c r="AF111" s="17" t="str">
        <f aca="false">IF((E111="l"),H111," ")</f>
        <v> </v>
      </c>
      <c r="AG111" s="17" t="str">
        <f aca="false">IF((E111="y"),H111," ")</f>
        <v> </v>
      </c>
      <c r="AH111" s="17" t="str">
        <f aca="false">IF((E111="z"),H111," ")</f>
        <v> </v>
      </c>
      <c r="AI111" s="17" t="str">
        <f aca="false">IF((E111="fa"),H111," ")</f>
        <v> </v>
      </c>
      <c r="AJ111" s="17" t="str">
        <f aca="false">IF((E111="e"),H111," ")</f>
        <v> </v>
      </c>
    </row>
    <row r="112" customFormat="false" ht="12" hidden="false" customHeight="false" outlineLevel="0" collapsed="false">
      <c r="A112" s="28"/>
      <c r="E112" s="2" t="str">
        <f aca="false">IF((F112&lt;&gt;0),"Enter Letter"," ")</f>
        <v> </v>
      </c>
      <c r="F112" s="30"/>
      <c r="G112" s="6" t="str">
        <f aca="false">IF(F112&lt;&gt;0,F112*G$2/(100+G$2)," ")</f>
        <v> </v>
      </c>
      <c r="H112" s="6" t="str">
        <f aca="false">IF((F112&lt;&gt;0),F112-G112," ")</f>
        <v> </v>
      </c>
      <c r="I112" s="5"/>
      <c r="L112" s="7" t="str">
        <f aca="false">IF(F112&lt;&gt;0,F112-K112," ")</f>
        <v> </v>
      </c>
      <c r="M112" s="8" t="str">
        <f aca="false">IF((F112-K112)&lt;&gt;0,M$1-A112," ")</f>
        <v> </v>
      </c>
      <c r="N112" s="5"/>
      <c r="O112" s="17" t="str">
        <f aca="false">IF((E112="s"),H112," ")</f>
        <v> </v>
      </c>
      <c r="P112" s="17" t="str">
        <f aca="false">IF((E112="c"),H112," ")</f>
        <v> </v>
      </c>
      <c r="Q112" s="17" t="str">
        <f aca="false">IF((E112="o"),H112," ")</f>
        <v> </v>
      </c>
      <c r="R112" s="17" t="str">
        <f aca="false">IF((E112="d"),H112," ")</f>
        <v> </v>
      </c>
      <c r="S112" s="17" t="str">
        <f aca="false">IF((E112="w"),H112," ")</f>
        <v> </v>
      </c>
      <c r="T112" s="17" t="str">
        <f aca="false">IF((E112="r"),H112," ")</f>
        <v> </v>
      </c>
      <c r="U112" s="17" t="str">
        <f aca="false">IF((E112="p"),H112," ")</f>
        <v> </v>
      </c>
      <c r="V112" s="17" t="str">
        <f aca="false">IF((E112="t"),H112," ")</f>
        <v> </v>
      </c>
      <c r="W112" s="17" t="str">
        <f aca="false">IF((E112="q"),H112," ")</f>
        <v> </v>
      </c>
      <c r="X112" s="17" t="str">
        <f aca="false">IF((E112="m"),H112," ")</f>
        <v> </v>
      </c>
      <c r="Y112" s="17" t="str">
        <f aca="false">IF((E112="u"),H112," ")</f>
        <v> </v>
      </c>
      <c r="Z112" s="17" t="str">
        <f aca="false">IF((E112="a"),H112," ")</f>
        <v> </v>
      </c>
      <c r="AA112" s="17" t="str">
        <f aca="false">IF((E112="g"),H112," ")</f>
        <v> </v>
      </c>
      <c r="AB112" s="17" t="str">
        <f aca="false">IF((E112="h"),H112," ")</f>
        <v> </v>
      </c>
      <c r="AC112" s="30" t="str">
        <f aca="false">IF((E112="v"),H112," ")</f>
        <v> </v>
      </c>
      <c r="AD112" s="30" t="str">
        <f aca="false">IF((E112="n"),H112," ")</f>
        <v> </v>
      </c>
      <c r="AE112" s="17" t="str">
        <f aca="false">IF((E112="f"),H112," ")</f>
        <v> </v>
      </c>
      <c r="AF112" s="17" t="str">
        <f aca="false">IF((E112="l"),H112," ")</f>
        <v> </v>
      </c>
      <c r="AG112" s="17" t="str">
        <f aca="false">IF((E112="y"),H112," ")</f>
        <v> </v>
      </c>
      <c r="AH112" s="17" t="str">
        <f aca="false">IF((E112="z"),H112," ")</f>
        <v> </v>
      </c>
      <c r="AI112" s="17" t="str">
        <f aca="false">IF((E112="fa"),H112," ")</f>
        <v> </v>
      </c>
      <c r="AJ112" s="17" t="str">
        <f aca="false">IF((E112="e"),H112," ")</f>
        <v> </v>
      </c>
    </row>
    <row r="113" customFormat="false" ht="12" hidden="false" customHeight="false" outlineLevel="0" collapsed="false">
      <c r="A113" s="28"/>
      <c r="E113" s="2" t="str">
        <f aca="false">IF((F113&lt;&gt;0),"Enter Letter"," ")</f>
        <v> </v>
      </c>
      <c r="F113" s="30"/>
      <c r="G113" s="6" t="str">
        <f aca="false">IF(F113&lt;&gt;0,F113*G$2/(100+G$2)," ")</f>
        <v> </v>
      </c>
      <c r="H113" s="6" t="str">
        <f aca="false">IF((F113&lt;&gt;0),F113-G113," ")</f>
        <v> </v>
      </c>
      <c r="I113" s="5"/>
      <c r="L113" s="7" t="str">
        <f aca="false">IF(F113&lt;&gt;0,F113-K113," ")</f>
        <v> </v>
      </c>
      <c r="M113" s="8" t="str">
        <f aca="false">IF((F113-K113)&lt;&gt;0,M$1-A113," ")</f>
        <v> </v>
      </c>
      <c r="N113" s="5"/>
      <c r="O113" s="17" t="str">
        <f aca="false">IF((E113="s"),H113," ")</f>
        <v> </v>
      </c>
      <c r="P113" s="17" t="str">
        <f aca="false">IF((E113="c"),H113," ")</f>
        <v> </v>
      </c>
      <c r="Q113" s="17" t="str">
        <f aca="false">IF((E113="o"),H113," ")</f>
        <v> </v>
      </c>
      <c r="R113" s="17" t="str">
        <f aca="false">IF((E113="d"),H113," ")</f>
        <v> </v>
      </c>
      <c r="S113" s="17" t="str">
        <f aca="false">IF((E113="w"),H113," ")</f>
        <v> </v>
      </c>
      <c r="T113" s="17" t="str">
        <f aca="false">IF((E113="r"),H113," ")</f>
        <v> </v>
      </c>
      <c r="U113" s="17" t="str">
        <f aca="false">IF((E113="p"),H113," ")</f>
        <v> </v>
      </c>
      <c r="V113" s="17" t="str">
        <f aca="false">IF((E113="t"),H113," ")</f>
        <v> </v>
      </c>
      <c r="W113" s="17" t="str">
        <f aca="false">IF((E113="q"),H113," ")</f>
        <v> </v>
      </c>
      <c r="X113" s="17" t="str">
        <f aca="false">IF((E113="m"),H113," ")</f>
        <v> </v>
      </c>
      <c r="Y113" s="17" t="str">
        <f aca="false">IF((E113="u"),H113," ")</f>
        <v> </v>
      </c>
      <c r="Z113" s="17" t="str">
        <f aca="false">IF((E113="a"),H113," ")</f>
        <v> </v>
      </c>
      <c r="AA113" s="17" t="str">
        <f aca="false">IF((E113="g"),H113," ")</f>
        <v> </v>
      </c>
      <c r="AB113" s="17" t="str">
        <f aca="false">IF((E113="h"),H113," ")</f>
        <v> </v>
      </c>
      <c r="AC113" s="30" t="str">
        <f aca="false">IF((E113="v"),H113," ")</f>
        <v> </v>
      </c>
      <c r="AD113" s="30" t="str">
        <f aca="false">IF((E113="n"),H113," ")</f>
        <v> </v>
      </c>
      <c r="AE113" s="17" t="str">
        <f aca="false">IF((E113="f"),H113," ")</f>
        <v> </v>
      </c>
      <c r="AF113" s="17" t="str">
        <f aca="false">IF((E113="l"),H113," ")</f>
        <v> </v>
      </c>
      <c r="AG113" s="17" t="str">
        <f aca="false">IF((E113="y"),H113," ")</f>
        <v> </v>
      </c>
      <c r="AH113" s="17" t="str">
        <f aca="false">IF((E113="z"),H113," ")</f>
        <v> </v>
      </c>
      <c r="AI113" s="17" t="str">
        <f aca="false">IF((E113="fa"),H113," ")</f>
        <v> </v>
      </c>
      <c r="AJ113" s="17" t="str">
        <f aca="false">IF((E113="e"),H113," ")</f>
        <v> </v>
      </c>
    </row>
    <row r="114" customFormat="false" ht="12" hidden="false" customHeight="false" outlineLevel="0" collapsed="false">
      <c r="A114" s="28"/>
      <c r="E114" s="2" t="str">
        <f aca="false">IF((F114&lt;&gt;0),"Enter Letter"," ")</f>
        <v> </v>
      </c>
      <c r="F114" s="30"/>
      <c r="G114" s="6" t="str">
        <f aca="false">IF(F114&lt;&gt;0,F114*G$2/(100+G$2)," ")</f>
        <v> </v>
      </c>
      <c r="H114" s="6" t="str">
        <f aca="false">IF((F114&lt;&gt;0),F114-G114," ")</f>
        <v> </v>
      </c>
      <c r="I114" s="5"/>
      <c r="L114" s="7" t="str">
        <f aca="false">IF(F114&lt;&gt;0,F114-K114," ")</f>
        <v> </v>
      </c>
      <c r="M114" s="8" t="str">
        <f aca="false">IF((F114-K114)&lt;&gt;0,M$1-A114," ")</f>
        <v> </v>
      </c>
      <c r="N114" s="5"/>
      <c r="O114" s="17" t="str">
        <f aca="false">IF((E114="s"),H114," ")</f>
        <v> </v>
      </c>
      <c r="P114" s="17" t="str">
        <f aca="false">IF((E114="c"),H114," ")</f>
        <v> </v>
      </c>
      <c r="Q114" s="17" t="str">
        <f aca="false">IF((E114="o"),H114," ")</f>
        <v> </v>
      </c>
      <c r="R114" s="17" t="str">
        <f aca="false">IF((E114="d"),H114," ")</f>
        <v> </v>
      </c>
      <c r="S114" s="17" t="str">
        <f aca="false">IF((E114="w"),H114," ")</f>
        <v> </v>
      </c>
      <c r="T114" s="17" t="str">
        <f aca="false">IF((E114="r"),H114," ")</f>
        <v> </v>
      </c>
      <c r="U114" s="17" t="str">
        <f aca="false">IF((E114="p"),H114," ")</f>
        <v> </v>
      </c>
      <c r="V114" s="17" t="str">
        <f aca="false">IF((E114="t"),H114," ")</f>
        <v> </v>
      </c>
      <c r="W114" s="17" t="str">
        <f aca="false">IF((E114="q"),H114," ")</f>
        <v> </v>
      </c>
      <c r="X114" s="17" t="str">
        <f aca="false">IF((E114="m"),H114," ")</f>
        <v> </v>
      </c>
      <c r="Y114" s="17" t="str">
        <f aca="false">IF((E114="u"),H114," ")</f>
        <v> </v>
      </c>
      <c r="Z114" s="17" t="str">
        <f aca="false">IF((E114="a"),H114," ")</f>
        <v> </v>
      </c>
      <c r="AA114" s="17" t="str">
        <f aca="false">IF((E114="g"),H114," ")</f>
        <v> </v>
      </c>
      <c r="AB114" s="17" t="str">
        <f aca="false">IF((E114="h"),H114," ")</f>
        <v> </v>
      </c>
      <c r="AC114" s="30" t="str">
        <f aca="false">IF((E114="v"),H114," ")</f>
        <v> </v>
      </c>
      <c r="AD114" s="30" t="str">
        <f aca="false">IF((E114="n"),H114," ")</f>
        <v> </v>
      </c>
      <c r="AE114" s="17" t="str">
        <f aca="false">IF((E114="f"),H114," ")</f>
        <v> </v>
      </c>
      <c r="AF114" s="17" t="str">
        <f aca="false">IF((E114="l"),H114," ")</f>
        <v> </v>
      </c>
      <c r="AG114" s="17" t="str">
        <f aca="false">IF((E114="y"),H114," ")</f>
        <v> </v>
      </c>
      <c r="AH114" s="17" t="str">
        <f aca="false">IF((E114="z"),H114," ")</f>
        <v> </v>
      </c>
      <c r="AI114" s="17" t="str">
        <f aca="false">IF((E114="fa"),H114," ")</f>
        <v> </v>
      </c>
      <c r="AJ114" s="17" t="str">
        <f aca="false">IF((E114="e"),H114," ")</f>
        <v> </v>
      </c>
    </row>
    <row r="115" customFormat="false" ht="12" hidden="false" customHeight="false" outlineLevel="0" collapsed="false">
      <c r="A115" s="28"/>
      <c r="E115" s="2" t="str">
        <f aca="false">IF((F115&lt;&gt;0),"Enter Letter"," ")</f>
        <v> </v>
      </c>
      <c r="F115" s="30"/>
      <c r="G115" s="6" t="str">
        <f aca="false">IF(F115&lt;&gt;0,F115*G$2/(100+G$2)," ")</f>
        <v> </v>
      </c>
      <c r="H115" s="6" t="str">
        <f aca="false">IF((F115&lt;&gt;0),F115-G115," ")</f>
        <v> </v>
      </c>
      <c r="I115" s="5"/>
      <c r="L115" s="7" t="str">
        <f aca="false">IF(F115&lt;&gt;0,F115-K115," ")</f>
        <v> </v>
      </c>
      <c r="M115" s="8" t="str">
        <f aca="false">IF((F115-K115)&lt;&gt;0,M$1-A115," ")</f>
        <v> </v>
      </c>
      <c r="N115" s="5"/>
      <c r="O115" s="17" t="str">
        <f aca="false">IF((E115="s"),H115," ")</f>
        <v> </v>
      </c>
      <c r="P115" s="17" t="str">
        <f aca="false">IF((E115="c"),H115," ")</f>
        <v> </v>
      </c>
      <c r="Q115" s="17" t="str">
        <f aca="false">IF((E115="o"),H115," ")</f>
        <v> </v>
      </c>
      <c r="R115" s="17" t="str">
        <f aca="false">IF((E115="d"),H115," ")</f>
        <v> </v>
      </c>
      <c r="S115" s="17" t="str">
        <f aca="false">IF((E115="w"),H115," ")</f>
        <v> </v>
      </c>
      <c r="T115" s="17" t="str">
        <f aca="false">IF((E115="r"),H115," ")</f>
        <v> </v>
      </c>
      <c r="U115" s="17" t="str">
        <f aca="false">IF((E115="p"),H115," ")</f>
        <v> </v>
      </c>
      <c r="V115" s="17" t="str">
        <f aca="false">IF((E115="t"),H115," ")</f>
        <v> </v>
      </c>
      <c r="W115" s="17" t="str">
        <f aca="false">IF((E115="q"),H115," ")</f>
        <v> </v>
      </c>
      <c r="X115" s="17" t="str">
        <f aca="false">IF((E115="m"),H115," ")</f>
        <v> </v>
      </c>
      <c r="Y115" s="17" t="str">
        <f aca="false">IF((E115="u"),H115," ")</f>
        <v> </v>
      </c>
      <c r="Z115" s="17" t="str">
        <f aca="false">IF((E115="a"),H115," ")</f>
        <v> </v>
      </c>
      <c r="AA115" s="17" t="str">
        <f aca="false">IF((E115="g"),H115," ")</f>
        <v> </v>
      </c>
      <c r="AB115" s="17" t="str">
        <f aca="false">IF((E115="h"),H115," ")</f>
        <v> </v>
      </c>
      <c r="AC115" s="30" t="str">
        <f aca="false">IF((E115="v"),H115," ")</f>
        <v> </v>
      </c>
      <c r="AD115" s="30" t="str">
        <f aca="false">IF((E115="n"),H115," ")</f>
        <v> </v>
      </c>
      <c r="AE115" s="17" t="str">
        <f aca="false">IF((E115="f"),H115," ")</f>
        <v> </v>
      </c>
      <c r="AF115" s="17" t="str">
        <f aca="false">IF((E115="l"),H115," ")</f>
        <v> </v>
      </c>
      <c r="AG115" s="17" t="str">
        <f aca="false">IF((E115="y"),H115," ")</f>
        <v> </v>
      </c>
      <c r="AH115" s="17" t="str">
        <f aca="false">IF((E115="z"),H115," ")</f>
        <v> </v>
      </c>
      <c r="AI115" s="17" t="str">
        <f aca="false">IF((E115="fa"),H115," ")</f>
        <v> </v>
      </c>
      <c r="AJ115" s="17" t="str">
        <f aca="false">IF((E115="e"),H115," ")</f>
        <v> </v>
      </c>
    </row>
    <row r="116" customFormat="false" ht="12" hidden="false" customHeight="false" outlineLevel="0" collapsed="false">
      <c r="A116" s="28"/>
      <c r="E116" s="2" t="str">
        <f aca="false">IF((F116&lt;&gt;0),"Enter Letter"," ")</f>
        <v> </v>
      </c>
      <c r="F116" s="30"/>
      <c r="G116" s="6" t="str">
        <f aca="false">IF(F116&lt;&gt;0,F116*G$2/(100+G$2)," ")</f>
        <v> </v>
      </c>
      <c r="H116" s="6" t="str">
        <f aca="false">IF((F116&lt;&gt;0),F116-G116," ")</f>
        <v> </v>
      </c>
      <c r="I116" s="5"/>
      <c r="L116" s="7" t="str">
        <f aca="false">IF(F116&lt;&gt;0,F116-K116," ")</f>
        <v> </v>
      </c>
      <c r="M116" s="8" t="str">
        <f aca="false">IF((F116-K116)&lt;&gt;0,M$1-A116," ")</f>
        <v> </v>
      </c>
      <c r="N116" s="5"/>
      <c r="O116" s="17" t="str">
        <f aca="false">IF((E116="s"),H116," ")</f>
        <v> </v>
      </c>
      <c r="P116" s="17" t="str">
        <f aca="false">IF((E116="c"),H116," ")</f>
        <v> </v>
      </c>
      <c r="Q116" s="17" t="str">
        <f aca="false">IF((E116="o"),H116," ")</f>
        <v> </v>
      </c>
      <c r="R116" s="17" t="str">
        <f aca="false">IF((E116="d"),H116," ")</f>
        <v> </v>
      </c>
      <c r="S116" s="17" t="str">
        <f aca="false">IF((E116="w"),H116," ")</f>
        <v> </v>
      </c>
      <c r="T116" s="17" t="str">
        <f aca="false">IF((E116="r"),H116," ")</f>
        <v> </v>
      </c>
      <c r="U116" s="17" t="str">
        <f aca="false">IF((E116="p"),H116," ")</f>
        <v> </v>
      </c>
      <c r="V116" s="17" t="str">
        <f aca="false">IF((E116="t"),H116," ")</f>
        <v> </v>
      </c>
      <c r="W116" s="17" t="str">
        <f aca="false">IF((E116="q"),H116," ")</f>
        <v> </v>
      </c>
      <c r="X116" s="17" t="str">
        <f aca="false">IF((E116="m"),H116," ")</f>
        <v> </v>
      </c>
      <c r="Y116" s="17" t="str">
        <f aca="false">IF((E116="u"),H116," ")</f>
        <v> </v>
      </c>
      <c r="Z116" s="17" t="str">
        <f aca="false">IF((E116="a"),H116," ")</f>
        <v> </v>
      </c>
      <c r="AA116" s="17" t="str">
        <f aca="false">IF((E116="g"),H116," ")</f>
        <v> </v>
      </c>
      <c r="AB116" s="17" t="str">
        <f aca="false">IF((E116="h"),H116," ")</f>
        <v> </v>
      </c>
      <c r="AC116" s="30" t="str">
        <f aca="false">IF((E116="v"),H116," ")</f>
        <v> </v>
      </c>
      <c r="AD116" s="30" t="str">
        <f aca="false">IF((E116="n"),H116," ")</f>
        <v> </v>
      </c>
      <c r="AE116" s="17" t="str">
        <f aca="false">IF((E116="f"),H116," ")</f>
        <v> </v>
      </c>
      <c r="AF116" s="17" t="str">
        <f aca="false">IF((E116="l"),H116," ")</f>
        <v> </v>
      </c>
      <c r="AG116" s="17" t="str">
        <f aca="false">IF((E116="y"),H116," ")</f>
        <v> </v>
      </c>
      <c r="AH116" s="17" t="str">
        <f aca="false">IF((E116="z"),H116," ")</f>
        <v> </v>
      </c>
      <c r="AI116" s="17" t="str">
        <f aca="false">IF((E116="fa"),H116," ")</f>
        <v> </v>
      </c>
      <c r="AJ116" s="17" t="str">
        <f aca="false">IF((E116="e"),H116," ")</f>
        <v> </v>
      </c>
    </row>
    <row r="117" customFormat="false" ht="12" hidden="false" customHeight="false" outlineLevel="0" collapsed="false">
      <c r="A117" s="28"/>
      <c r="E117" s="2" t="str">
        <f aca="false">IF((F117&lt;&gt;0),"Enter Letter"," ")</f>
        <v> </v>
      </c>
      <c r="F117" s="30"/>
      <c r="G117" s="6" t="str">
        <f aca="false">IF(F117&lt;&gt;0,F117*G$2/(100+G$2)," ")</f>
        <v> </v>
      </c>
      <c r="H117" s="6" t="str">
        <f aca="false">IF((F117&lt;&gt;0),F117-G117," ")</f>
        <v> </v>
      </c>
      <c r="I117" s="5"/>
      <c r="L117" s="7" t="str">
        <f aca="false">IF(F117&lt;&gt;0,F117-K117," ")</f>
        <v> </v>
      </c>
      <c r="M117" s="8" t="str">
        <f aca="false">IF((F117-K117)&lt;&gt;0,M$1-A117," ")</f>
        <v> </v>
      </c>
      <c r="N117" s="5"/>
      <c r="O117" s="17" t="str">
        <f aca="false">IF((E117="s"),H117," ")</f>
        <v> </v>
      </c>
      <c r="P117" s="17" t="str">
        <f aca="false">IF((E117="c"),H117," ")</f>
        <v> </v>
      </c>
      <c r="Q117" s="17" t="str">
        <f aca="false">IF((E117="o"),H117," ")</f>
        <v> </v>
      </c>
      <c r="R117" s="17" t="str">
        <f aca="false">IF((E117="d"),H117," ")</f>
        <v> </v>
      </c>
      <c r="S117" s="17" t="str">
        <f aca="false">IF((E117="w"),H117," ")</f>
        <v> </v>
      </c>
      <c r="T117" s="17" t="str">
        <f aca="false">IF((E117="r"),H117," ")</f>
        <v> </v>
      </c>
      <c r="U117" s="17" t="str">
        <f aca="false">IF((E117="p"),H117," ")</f>
        <v> </v>
      </c>
      <c r="V117" s="17" t="str">
        <f aca="false">IF((E117="t"),H117," ")</f>
        <v> </v>
      </c>
      <c r="W117" s="17" t="str">
        <f aca="false">IF((E117="q"),H117," ")</f>
        <v> </v>
      </c>
      <c r="X117" s="17" t="str">
        <f aca="false">IF((E117="m"),H117," ")</f>
        <v> </v>
      </c>
      <c r="Y117" s="17" t="str">
        <f aca="false">IF((E117="u"),H117," ")</f>
        <v> </v>
      </c>
      <c r="Z117" s="17" t="str">
        <f aca="false">IF((E117="a"),H117," ")</f>
        <v> </v>
      </c>
      <c r="AA117" s="17" t="str">
        <f aca="false">IF((E117="g"),H117," ")</f>
        <v> </v>
      </c>
      <c r="AB117" s="17" t="str">
        <f aca="false">IF((E117="h"),H117," ")</f>
        <v> </v>
      </c>
      <c r="AC117" s="30" t="str">
        <f aca="false">IF((E117="v"),H117," ")</f>
        <v> </v>
      </c>
      <c r="AD117" s="30" t="str">
        <f aca="false">IF((E117="n"),H117," ")</f>
        <v> </v>
      </c>
      <c r="AE117" s="17" t="str">
        <f aca="false">IF((E117="f"),H117," ")</f>
        <v> </v>
      </c>
      <c r="AF117" s="17" t="str">
        <f aca="false">IF((E117="l"),H117," ")</f>
        <v> </v>
      </c>
      <c r="AG117" s="17" t="str">
        <f aca="false">IF((E117="y"),H117," ")</f>
        <v> </v>
      </c>
      <c r="AH117" s="17" t="str">
        <f aca="false">IF((E117="z"),H117," ")</f>
        <v> </v>
      </c>
      <c r="AI117" s="17" t="str">
        <f aca="false">IF((E117="fa"),H117," ")</f>
        <v> </v>
      </c>
      <c r="AJ117" s="17" t="str">
        <f aca="false">IF((E117="e"),H117," ")</f>
        <v> </v>
      </c>
    </row>
    <row r="118" customFormat="false" ht="12" hidden="false" customHeight="false" outlineLevel="0" collapsed="false">
      <c r="A118" s="28"/>
      <c r="E118" s="2" t="str">
        <f aca="false">IF((F118&lt;&gt;0),"Enter Letter"," ")</f>
        <v> </v>
      </c>
      <c r="F118" s="30"/>
      <c r="G118" s="6" t="str">
        <f aca="false">IF(F118&lt;&gt;0,F118*G$2/(100+G$2)," ")</f>
        <v> </v>
      </c>
      <c r="H118" s="6" t="str">
        <f aca="false">IF((F118&lt;&gt;0),F118-G118," ")</f>
        <v> </v>
      </c>
      <c r="I118" s="5"/>
      <c r="L118" s="7" t="str">
        <f aca="false">IF(F118&lt;&gt;0,F118-K118," ")</f>
        <v> </v>
      </c>
      <c r="M118" s="8" t="str">
        <f aca="false">IF((F118-K118)&lt;&gt;0,M$1-A118," ")</f>
        <v> </v>
      </c>
      <c r="N118" s="5"/>
      <c r="O118" s="17" t="str">
        <f aca="false">IF((E118="s"),H118," ")</f>
        <v> </v>
      </c>
      <c r="P118" s="17" t="str">
        <f aca="false">IF((E118="c"),H118," ")</f>
        <v> </v>
      </c>
      <c r="Q118" s="17" t="str">
        <f aca="false">IF((E118="o"),H118," ")</f>
        <v> </v>
      </c>
      <c r="R118" s="17" t="str">
        <f aca="false">IF((E118="d"),H118," ")</f>
        <v> </v>
      </c>
      <c r="S118" s="17" t="str">
        <f aca="false">IF((E118="w"),H118," ")</f>
        <v> </v>
      </c>
      <c r="T118" s="17" t="str">
        <f aca="false">IF((E118="r"),H118," ")</f>
        <v> </v>
      </c>
      <c r="U118" s="17" t="str">
        <f aca="false">IF((E118="p"),H118," ")</f>
        <v> </v>
      </c>
      <c r="V118" s="17" t="str">
        <f aca="false">IF((E118="t"),H118," ")</f>
        <v> </v>
      </c>
      <c r="W118" s="17" t="str">
        <f aca="false">IF((E118="q"),H118," ")</f>
        <v> </v>
      </c>
      <c r="X118" s="17" t="str">
        <f aca="false">IF((E118="m"),H118," ")</f>
        <v> </v>
      </c>
      <c r="Y118" s="17" t="str">
        <f aca="false">IF((E118="u"),H118," ")</f>
        <v> </v>
      </c>
      <c r="Z118" s="17" t="str">
        <f aca="false">IF((E118="a"),H118," ")</f>
        <v> </v>
      </c>
      <c r="AA118" s="17" t="str">
        <f aca="false">IF((E118="g"),H118," ")</f>
        <v> </v>
      </c>
      <c r="AB118" s="17" t="str">
        <f aca="false">IF((E118="h"),H118," ")</f>
        <v> </v>
      </c>
      <c r="AC118" s="30" t="str">
        <f aca="false">IF((E118="v"),H118," ")</f>
        <v> </v>
      </c>
      <c r="AD118" s="30" t="str">
        <f aca="false">IF((E118="n"),H118," ")</f>
        <v> </v>
      </c>
      <c r="AE118" s="17" t="str">
        <f aca="false">IF((E118="f"),H118," ")</f>
        <v> </v>
      </c>
      <c r="AF118" s="17" t="str">
        <f aca="false">IF((E118="l"),H118," ")</f>
        <v> </v>
      </c>
      <c r="AG118" s="17" t="str">
        <f aca="false">IF((E118="y"),H118," ")</f>
        <v> </v>
      </c>
      <c r="AH118" s="17" t="str">
        <f aca="false">IF((E118="z"),H118," ")</f>
        <v> </v>
      </c>
      <c r="AI118" s="17" t="str">
        <f aca="false">IF((E118="fa"),H118," ")</f>
        <v> </v>
      </c>
      <c r="AJ118" s="17" t="str">
        <f aca="false">IF((E118="e"),H118," ")</f>
        <v> </v>
      </c>
    </row>
    <row r="119" customFormat="false" ht="12" hidden="false" customHeight="false" outlineLevel="0" collapsed="false">
      <c r="A119" s="28"/>
      <c r="E119" s="2" t="str">
        <f aca="false">IF((F119&lt;&gt;0),"Enter Letter"," ")</f>
        <v> </v>
      </c>
      <c r="F119" s="30"/>
      <c r="G119" s="6" t="str">
        <f aca="false">IF(F119&lt;&gt;0,F119*G$2/(100+G$2)," ")</f>
        <v> </v>
      </c>
      <c r="H119" s="6" t="str">
        <f aca="false">IF((F119&lt;&gt;0),F119-G119," ")</f>
        <v> </v>
      </c>
      <c r="I119" s="5"/>
      <c r="L119" s="7" t="str">
        <f aca="false">IF(F119&lt;&gt;0,F119-K119," ")</f>
        <v> </v>
      </c>
      <c r="M119" s="8" t="str">
        <f aca="false">IF((F119-K119)&lt;&gt;0,M$1-A119," ")</f>
        <v> </v>
      </c>
      <c r="N119" s="5"/>
      <c r="O119" s="17" t="str">
        <f aca="false">IF((E119="s"),H119," ")</f>
        <v> </v>
      </c>
      <c r="P119" s="17" t="str">
        <f aca="false">IF((E119="c"),H119," ")</f>
        <v> </v>
      </c>
      <c r="Q119" s="17" t="str">
        <f aca="false">IF((E119="o"),H119," ")</f>
        <v> </v>
      </c>
      <c r="R119" s="17" t="str">
        <f aca="false">IF((E119="d"),H119," ")</f>
        <v> </v>
      </c>
      <c r="S119" s="17" t="str">
        <f aca="false">IF((E119="w"),H119," ")</f>
        <v> </v>
      </c>
      <c r="T119" s="17" t="str">
        <f aca="false">IF((E119="r"),H119," ")</f>
        <v> </v>
      </c>
      <c r="U119" s="17" t="str">
        <f aca="false">IF((E119="p"),H119," ")</f>
        <v> </v>
      </c>
      <c r="V119" s="17" t="str">
        <f aca="false">IF((E119="t"),H119," ")</f>
        <v> </v>
      </c>
      <c r="W119" s="17" t="str">
        <f aca="false">IF((E119="q"),H119," ")</f>
        <v> </v>
      </c>
      <c r="X119" s="17" t="str">
        <f aca="false">IF((E119="m"),H119," ")</f>
        <v> </v>
      </c>
      <c r="Y119" s="17" t="str">
        <f aca="false">IF((E119="u"),H119," ")</f>
        <v> </v>
      </c>
      <c r="Z119" s="17" t="str">
        <f aca="false">IF((E119="a"),H119," ")</f>
        <v> </v>
      </c>
      <c r="AA119" s="17" t="str">
        <f aca="false">IF((E119="g"),H119," ")</f>
        <v> </v>
      </c>
      <c r="AB119" s="17" t="str">
        <f aca="false">IF((E119="h"),H119," ")</f>
        <v> </v>
      </c>
      <c r="AC119" s="30" t="str">
        <f aca="false">IF((E119="v"),H119," ")</f>
        <v> </v>
      </c>
      <c r="AD119" s="30" t="str">
        <f aca="false">IF((E119="n"),H119," ")</f>
        <v> </v>
      </c>
      <c r="AE119" s="17" t="str">
        <f aca="false">IF((E119="f"),H119," ")</f>
        <v> </v>
      </c>
      <c r="AF119" s="17" t="str">
        <f aca="false">IF((E119="l"),H119," ")</f>
        <v> </v>
      </c>
      <c r="AG119" s="17" t="str">
        <f aca="false">IF((E119="y"),H119," ")</f>
        <v> </v>
      </c>
      <c r="AH119" s="17" t="str">
        <f aca="false">IF((E119="z"),H119," ")</f>
        <v> </v>
      </c>
      <c r="AI119" s="17" t="str">
        <f aca="false">IF((E119="fa"),H119," ")</f>
        <v> </v>
      </c>
      <c r="AJ119" s="17" t="str">
        <f aca="false">IF((E119="e"),H119," ")</f>
        <v> </v>
      </c>
    </row>
    <row r="120" customFormat="false" ht="12" hidden="false" customHeight="false" outlineLevel="0" collapsed="false">
      <c r="A120" s="28"/>
      <c r="E120" s="2" t="str">
        <f aca="false">IF((F120&lt;&gt;0),"Enter Letter"," ")</f>
        <v> </v>
      </c>
      <c r="F120" s="30"/>
      <c r="G120" s="6" t="str">
        <f aca="false">IF(F120&lt;&gt;0,F120*G$2/(100+G$2)," ")</f>
        <v> </v>
      </c>
      <c r="H120" s="6" t="str">
        <f aca="false">IF((F120&lt;&gt;0),F120-G120," ")</f>
        <v> </v>
      </c>
      <c r="I120" s="5"/>
      <c r="L120" s="7" t="str">
        <f aca="false">IF(F120&lt;&gt;0,F120-K120," ")</f>
        <v> </v>
      </c>
      <c r="M120" s="8" t="str">
        <f aca="false">IF((F120-K120)&lt;&gt;0,M$1-A120," ")</f>
        <v> </v>
      </c>
      <c r="N120" s="5"/>
      <c r="O120" s="17" t="str">
        <f aca="false">IF((E120="s"),H120," ")</f>
        <v> </v>
      </c>
      <c r="P120" s="17" t="str">
        <f aca="false">IF((E120="c"),H120," ")</f>
        <v> </v>
      </c>
      <c r="Q120" s="17" t="str">
        <f aca="false">IF((E120="o"),H120," ")</f>
        <v> </v>
      </c>
      <c r="R120" s="17" t="str">
        <f aca="false">IF((E120="d"),H120," ")</f>
        <v> </v>
      </c>
      <c r="S120" s="17" t="str">
        <f aca="false">IF((E120="w"),H120," ")</f>
        <v> </v>
      </c>
      <c r="T120" s="17" t="str">
        <f aca="false">IF((E120="r"),H120," ")</f>
        <v> </v>
      </c>
      <c r="U120" s="17" t="str">
        <f aca="false">IF((E120="p"),H120," ")</f>
        <v> </v>
      </c>
      <c r="V120" s="17" t="str">
        <f aca="false">IF((E120="t"),H120," ")</f>
        <v> </v>
      </c>
      <c r="W120" s="17" t="str">
        <f aca="false">IF((E120="q"),H120," ")</f>
        <v> </v>
      </c>
      <c r="X120" s="17" t="str">
        <f aca="false">IF((E120="m"),H120," ")</f>
        <v> </v>
      </c>
      <c r="Y120" s="17" t="str">
        <f aca="false">IF((E120="u"),H120," ")</f>
        <v> </v>
      </c>
      <c r="Z120" s="17" t="str">
        <f aca="false">IF((E120="a"),H120," ")</f>
        <v> </v>
      </c>
      <c r="AA120" s="17" t="str">
        <f aca="false">IF((E120="g"),H120," ")</f>
        <v> </v>
      </c>
      <c r="AB120" s="17" t="str">
        <f aca="false">IF((E120="h"),H120," ")</f>
        <v> </v>
      </c>
      <c r="AC120" s="30" t="str">
        <f aca="false">IF((E120="v"),H120," ")</f>
        <v> </v>
      </c>
      <c r="AD120" s="30" t="str">
        <f aca="false">IF((E120="n"),H120," ")</f>
        <v> </v>
      </c>
      <c r="AE120" s="17" t="str">
        <f aca="false">IF((E120="f"),H120," ")</f>
        <v> </v>
      </c>
      <c r="AF120" s="17" t="str">
        <f aca="false">IF((E120="l"),H120," ")</f>
        <v> </v>
      </c>
      <c r="AG120" s="17" t="str">
        <f aca="false">IF((E120="y"),H120," ")</f>
        <v> </v>
      </c>
      <c r="AH120" s="17" t="str">
        <f aca="false">IF((E120="z"),H120," ")</f>
        <v> </v>
      </c>
      <c r="AI120" s="17" t="str">
        <f aca="false">IF((E120="fa"),H120," ")</f>
        <v> </v>
      </c>
      <c r="AJ120" s="17" t="str">
        <f aca="false">IF((E120="e"),H120," ")</f>
        <v> </v>
      </c>
    </row>
    <row r="121" customFormat="false" ht="12" hidden="false" customHeight="false" outlineLevel="0" collapsed="false">
      <c r="A121" s="28"/>
      <c r="E121" s="2" t="str">
        <f aca="false">IF((F121&lt;&gt;0),"Enter Letter"," ")</f>
        <v> </v>
      </c>
      <c r="F121" s="30"/>
      <c r="G121" s="6" t="str">
        <f aca="false">IF(F121&lt;&gt;0,F121*G$2/(100+G$2)," ")</f>
        <v> </v>
      </c>
      <c r="H121" s="6" t="str">
        <f aca="false">IF((F121&lt;&gt;0),F121-G121," ")</f>
        <v> </v>
      </c>
      <c r="I121" s="5"/>
      <c r="L121" s="7" t="str">
        <f aca="false">IF(F121&lt;&gt;0,F121-K121," ")</f>
        <v> </v>
      </c>
      <c r="M121" s="8" t="str">
        <f aca="false">IF((F121-K121)&lt;&gt;0,M$1-A121," ")</f>
        <v> </v>
      </c>
      <c r="N121" s="5"/>
      <c r="O121" s="17" t="str">
        <f aca="false">IF((E121="s"),H121," ")</f>
        <v> </v>
      </c>
      <c r="P121" s="17" t="str">
        <f aca="false">IF((E121="c"),H121," ")</f>
        <v> </v>
      </c>
      <c r="Q121" s="17" t="str">
        <f aca="false">IF((E121="o"),H121," ")</f>
        <v> </v>
      </c>
      <c r="R121" s="17" t="str">
        <f aca="false">IF((E121="d"),H121," ")</f>
        <v> </v>
      </c>
      <c r="S121" s="17" t="str">
        <f aca="false">IF((E121="w"),H121," ")</f>
        <v> </v>
      </c>
      <c r="T121" s="17" t="str">
        <f aca="false">IF((E121="r"),H121," ")</f>
        <v> </v>
      </c>
      <c r="U121" s="17" t="str">
        <f aca="false">IF((E121="p"),H121," ")</f>
        <v> </v>
      </c>
      <c r="V121" s="17" t="str">
        <f aca="false">IF((E121="t"),H121," ")</f>
        <v> </v>
      </c>
      <c r="W121" s="17" t="str">
        <f aca="false">IF((E121="q"),H121," ")</f>
        <v> </v>
      </c>
      <c r="X121" s="17" t="str">
        <f aca="false">IF((E121="m"),H121," ")</f>
        <v> </v>
      </c>
      <c r="Y121" s="17" t="str">
        <f aca="false">IF((E121="u"),H121," ")</f>
        <v> </v>
      </c>
      <c r="Z121" s="17" t="str">
        <f aca="false">IF((E121="a"),H121," ")</f>
        <v> </v>
      </c>
      <c r="AA121" s="17" t="str">
        <f aca="false">IF((E121="g"),H121," ")</f>
        <v> </v>
      </c>
      <c r="AB121" s="17" t="str">
        <f aca="false">IF((E121="h"),H121," ")</f>
        <v> </v>
      </c>
      <c r="AC121" s="30" t="str">
        <f aca="false">IF((E121="v"),H121," ")</f>
        <v> </v>
      </c>
      <c r="AD121" s="30" t="str">
        <f aca="false">IF((E121="n"),H121," ")</f>
        <v> </v>
      </c>
      <c r="AE121" s="17" t="str">
        <f aca="false">IF((E121="f"),H121," ")</f>
        <v> </v>
      </c>
      <c r="AF121" s="17" t="str">
        <f aca="false">IF((E121="l"),H121," ")</f>
        <v> </v>
      </c>
      <c r="AG121" s="17" t="str">
        <f aca="false">IF((E121="y"),H121," ")</f>
        <v> </v>
      </c>
      <c r="AH121" s="17" t="str">
        <f aca="false">IF((E121="z"),H121," ")</f>
        <v> </v>
      </c>
      <c r="AI121" s="17" t="str">
        <f aca="false">IF((E121="fa"),H121," ")</f>
        <v> </v>
      </c>
      <c r="AJ121" s="17" t="str">
        <f aca="false">IF((E121="e"),H121," ")</f>
        <v> </v>
      </c>
    </row>
    <row r="122" customFormat="false" ht="12" hidden="false" customHeight="false" outlineLevel="0" collapsed="false">
      <c r="A122" s="28"/>
      <c r="E122" s="2" t="str">
        <f aca="false">IF((F122&lt;&gt;0),"Enter Letter"," ")</f>
        <v> </v>
      </c>
      <c r="F122" s="30"/>
      <c r="G122" s="6" t="str">
        <f aca="false">IF(F122&lt;&gt;0,F122*G$2/(100+G$2)," ")</f>
        <v> </v>
      </c>
      <c r="H122" s="6" t="str">
        <f aca="false">IF((F122&lt;&gt;0),F122-G122," ")</f>
        <v> </v>
      </c>
      <c r="I122" s="5"/>
      <c r="L122" s="7" t="str">
        <f aca="false">IF(F122&lt;&gt;0,F122-K122," ")</f>
        <v> </v>
      </c>
      <c r="M122" s="8" t="str">
        <f aca="false">IF((F122-K122)&lt;&gt;0,M$1-A122," ")</f>
        <v> </v>
      </c>
      <c r="N122" s="5"/>
      <c r="O122" s="17" t="str">
        <f aca="false">IF((E122="s"),H122," ")</f>
        <v> </v>
      </c>
      <c r="P122" s="17" t="str">
        <f aca="false">IF((E122="c"),H122," ")</f>
        <v> </v>
      </c>
      <c r="Q122" s="17" t="str">
        <f aca="false">IF((E122="o"),H122," ")</f>
        <v> </v>
      </c>
      <c r="R122" s="17" t="str">
        <f aca="false">IF((E122="d"),H122," ")</f>
        <v> </v>
      </c>
      <c r="S122" s="17" t="str">
        <f aca="false">IF((E122="w"),H122," ")</f>
        <v> </v>
      </c>
      <c r="T122" s="17" t="str">
        <f aca="false">IF((E122="r"),H122," ")</f>
        <v> </v>
      </c>
      <c r="U122" s="17" t="str">
        <f aca="false">IF((E122="p"),H122," ")</f>
        <v> </v>
      </c>
      <c r="V122" s="17" t="str">
        <f aca="false">IF((E122="t"),H122," ")</f>
        <v> </v>
      </c>
      <c r="W122" s="17" t="str">
        <f aca="false">IF((E122="q"),H122," ")</f>
        <v> </v>
      </c>
      <c r="X122" s="17" t="str">
        <f aca="false">IF((E122="m"),H122," ")</f>
        <v> </v>
      </c>
      <c r="Y122" s="17" t="str">
        <f aca="false">IF((E122="u"),H122," ")</f>
        <v> </v>
      </c>
      <c r="Z122" s="17" t="str">
        <f aca="false">IF((E122="a"),H122," ")</f>
        <v> </v>
      </c>
      <c r="AA122" s="17" t="str">
        <f aca="false">IF((E122="g"),H122," ")</f>
        <v> </v>
      </c>
      <c r="AB122" s="17" t="str">
        <f aca="false">IF((E122="h"),H122," ")</f>
        <v> </v>
      </c>
      <c r="AC122" s="30" t="str">
        <f aca="false">IF((E122="v"),H122," ")</f>
        <v> </v>
      </c>
      <c r="AD122" s="30" t="str">
        <f aca="false">IF((E122="n"),H122," ")</f>
        <v> </v>
      </c>
      <c r="AE122" s="17" t="str">
        <f aca="false">IF((E122="f"),H122," ")</f>
        <v> </v>
      </c>
      <c r="AF122" s="17" t="str">
        <f aca="false">IF((E122="l"),H122," ")</f>
        <v> </v>
      </c>
      <c r="AG122" s="17" t="str">
        <f aca="false">IF((E122="y"),H122," ")</f>
        <v> </v>
      </c>
      <c r="AH122" s="17" t="str">
        <f aca="false">IF((E122="z"),H122," ")</f>
        <v> </v>
      </c>
      <c r="AI122" s="17" t="str">
        <f aca="false">IF((E122="fa"),H122," ")</f>
        <v> </v>
      </c>
      <c r="AJ122" s="17" t="str">
        <f aca="false">IF((E122="e"),H122," ")</f>
        <v> </v>
      </c>
    </row>
    <row r="123" customFormat="false" ht="12" hidden="false" customHeight="false" outlineLevel="0" collapsed="false">
      <c r="A123" s="28"/>
      <c r="E123" s="2" t="str">
        <f aca="false">IF((F123&lt;&gt;0),"Enter Letter"," ")</f>
        <v> </v>
      </c>
      <c r="F123" s="30"/>
      <c r="G123" s="6" t="str">
        <f aca="false">IF(F123&lt;&gt;0,F123*G$2/(100+G$2)," ")</f>
        <v> </v>
      </c>
      <c r="H123" s="6" t="str">
        <f aca="false">IF((F123&lt;&gt;0),F123-G123," ")</f>
        <v> </v>
      </c>
      <c r="I123" s="5"/>
      <c r="L123" s="7" t="str">
        <f aca="false">IF(F123&lt;&gt;0,F123-K123," ")</f>
        <v> </v>
      </c>
      <c r="M123" s="8" t="str">
        <f aca="false">IF((F123-K123)&lt;&gt;0,M$1-A123," ")</f>
        <v> </v>
      </c>
      <c r="N123" s="5"/>
      <c r="O123" s="17" t="str">
        <f aca="false">IF((E123="s"),H123," ")</f>
        <v> </v>
      </c>
      <c r="P123" s="17" t="str">
        <f aca="false">IF((E123="c"),H123," ")</f>
        <v> </v>
      </c>
      <c r="Q123" s="17" t="str">
        <f aca="false">IF((E123="o"),H123," ")</f>
        <v> </v>
      </c>
      <c r="R123" s="17" t="str">
        <f aca="false">IF((E123="d"),H123," ")</f>
        <v> </v>
      </c>
      <c r="S123" s="17" t="str">
        <f aca="false">IF((E123="w"),H123," ")</f>
        <v> </v>
      </c>
      <c r="T123" s="17" t="str">
        <f aca="false">IF((E123="r"),H123," ")</f>
        <v> </v>
      </c>
      <c r="U123" s="17" t="str">
        <f aca="false">IF((E123="p"),H123," ")</f>
        <v> </v>
      </c>
      <c r="V123" s="17" t="str">
        <f aca="false">IF((E123="t"),H123," ")</f>
        <v> </v>
      </c>
      <c r="W123" s="17" t="str">
        <f aca="false">IF((E123="q"),H123," ")</f>
        <v> </v>
      </c>
      <c r="X123" s="17" t="str">
        <f aca="false">IF((E123="m"),H123," ")</f>
        <v> </v>
      </c>
      <c r="Y123" s="17" t="str">
        <f aca="false">IF((E123="u"),H123," ")</f>
        <v> </v>
      </c>
      <c r="Z123" s="17" t="str">
        <f aca="false">IF((E123="a"),H123," ")</f>
        <v> </v>
      </c>
      <c r="AA123" s="17" t="str">
        <f aca="false">IF((E123="g"),H123," ")</f>
        <v> </v>
      </c>
      <c r="AB123" s="17" t="str">
        <f aca="false">IF((E123="h"),H123," ")</f>
        <v> </v>
      </c>
      <c r="AC123" s="30" t="str">
        <f aca="false">IF((E123="v"),H123," ")</f>
        <v> </v>
      </c>
      <c r="AD123" s="30" t="str">
        <f aca="false">IF((E123="n"),H123," ")</f>
        <v> </v>
      </c>
      <c r="AE123" s="17" t="str">
        <f aca="false">IF((E123="f"),H123," ")</f>
        <v> </v>
      </c>
      <c r="AF123" s="17" t="str">
        <f aca="false">IF((E123="l"),H123," ")</f>
        <v> </v>
      </c>
      <c r="AG123" s="17" t="str">
        <f aca="false">IF((E123="y"),H123," ")</f>
        <v> </v>
      </c>
      <c r="AH123" s="17" t="str">
        <f aca="false">IF((E123="z"),H123," ")</f>
        <v> </v>
      </c>
      <c r="AI123" s="17" t="str">
        <f aca="false">IF((E123="fa"),H123," ")</f>
        <v> </v>
      </c>
      <c r="AJ123" s="17" t="str">
        <f aca="false">IF((E123="e"),H123," ")</f>
        <v> </v>
      </c>
    </row>
    <row r="124" customFormat="false" ht="12" hidden="false" customHeight="false" outlineLevel="0" collapsed="false">
      <c r="A124" s="28"/>
      <c r="E124" s="2" t="str">
        <f aca="false">IF((F124&lt;&gt;0),"Enter Letter"," ")</f>
        <v> </v>
      </c>
      <c r="F124" s="30"/>
      <c r="G124" s="6" t="str">
        <f aca="false">IF(F124&lt;&gt;0,F124*G$2/(100+G$2)," ")</f>
        <v> </v>
      </c>
      <c r="H124" s="6" t="str">
        <f aca="false">IF((F124&lt;&gt;0),F124-G124," ")</f>
        <v> </v>
      </c>
      <c r="I124" s="5"/>
      <c r="L124" s="7" t="str">
        <f aca="false">IF(F124&lt;&gt;0,F124-K124," ")</f>
        <v> </v>
      </c>
      <c r="M124" s="8" t="str">
        <f aca="false">IF((F124-K124)&lt;&gt;0,M$1-A124," ")</f>
        <v> </v>
      </c>
      <c r="N124" s="5"/>
      <c r="O124" s="17" t="str">
        <f aca="false">IF((E124="s"),H124," ")</f>
        <v> </v>
      </c>
      <c r="P124" s="17" t="str">
        <f aca="false">IF((E124="c"),H124," ")</f>
        <v> </v>
      </c>
      <c r="Q124" s="17" t="str">
        <f aca="false">IF((E124="o"),H124," ")</f>
        <v> </v>
      </c>
      <c r="R124" s="17" t="str">
        <f aca="false">IF((E124="d"),H124," ")</f>
        <v> </v>
      </c>
      <c r="S124" s="17" t="str">
        <f aca="false">IF((E124="w"),H124," ")</f>
        <v> </v>
      </c>
      <c r="T124" s="17" t="str">
        <f aca="false">IF((E124="r"),H124," ")</f>
        <v> </v>
      </c>
      <c r="U124" s="17" t="str">
        <f aca="false">IF((E124="p"),H124," ")</f>
        <v> </v>
      </c>
      <c r="V124" s="17" t="str">
        <f aca="false">IF((E124="t"),H124," ")</f>
        <v> </v>
      </c>
      <c r="W124" s="17" t="str">
        <f aca="false">IF((E124="q"),H124," ")</f>
        <v> </v>
      </c>
      <c r="X124" s="17" t="str">
        <f aca="false">IF((E124="m"),H124," ")</f>
        <v> </v>
      </c>
      <c r="Y124" s="17" t="str">
        <f aca="false">IF((E124="u"),H124," ")</f>
        <v> </v>
      </c>
      <c r="Z124" s="17" t="str">
        <f aca="false">IF((E124="a"),H124," ")</f>
        <v> </v>
      </c>
      <c r="AA124" s="17" t="str">
        <f aca="false">IF((E124="g"),H124," ")</f>
        <v> </v>
      </c>
      <c r="AB124" s="17" t="str">
        <f aca="false">IF((E124="h"),H124," ")</f>
        <v> </v>
      </c>
      <c r="AC124" s="30" t="str">
        <f aca="false">IF((E124="v"),H124," ")</f>
        <v> </v>
      </c>
      <c r="AD124" s="30" t="str">
        <f aca="false">IF((E124="n"),H124," ")</f>
        <v> </v>
      </c>
      <c r="AE124" s="17" t="str">
        <f aca="false">IF((E124="f"),H124," ")</f>
        <v> </v>
      </c>
      <c r="AF124" s="17" t="str">
        <f aca="false">IF((E124="l"),H124," ")</f>
        <v> </v>
      </c>
      <c r="AG124" s="17" t="str">
        <f aca="false">IF((E124="y"),H124," ")</f>
        <v> </v>
      </c>
      <c r="AH124" s="17" t="str">
        <f aca="false">IF((E124="z"),H124," ")</f>
        <v> </v>
      </c>
      <c r="AI124" s="17" t="str">
        <f aca="false">IF((E124="fa"),H124," ")</f>
        <v> </v>
      </c>
      <c r="AJ124" s="17" t="str">
        <f aca="false">IF((E124="e"),H124," ")</f>
        <v> </v>
      </c>
    </row>
    <row r="125" customFormat="false" ht="12" hidden="false" customHeight="false" outlineLevel="0" collapsed="false">
      <c r="A125" s="28"/>
      <c r="E125" s="2" t="str">
        <f aca="false">IF((F125&lt;&gt;0),"Enter Letter"," ")</f>
        <v> </v>
      </c>
      <c r="F125" s="30"/>
      <c r="G125" s="6" t="str">
        <f aca="false">IF(F125&lt;&gt;0,F125*G$2/(100+G$2)," ")</f>
        <v> </v>
      </c>
      <c r="H125" s="6" t="str">
        <f aca="false">IF((F125&lt;&gt;0),F125-G125," ")</f>
        <v> </v>
      </c>
      <c r="I125" s="5"/>
      <c r="L125" s="7" t="str">
        <f aca="false">IF(F125&lt;&gt;0,F125-K125," ")</f>
        <v> </v>
      </c>
      <c r="M125" s="8" t="str">
        <f aca="false">IF((F125-K125)&lt;&gt;0,M$1-A125," ")</f>
        <v> </v>
      </c>
      <c r="N125" s="5"/>
      <c r="O125" s="17" t="str">
        <f aca="false">IF((E125="s"),H125," ")</f>
        <v> </v>
      </c>
      <c r="P125" s="17" t="str">
        <f aca="false">IF((E125="c"),H125," ")</f>
        <v> </v>
      </c>
      <c r="Q125" s="17" t="str">
        <f aca="false">IF((E125="o"),H125," ")</f>
        <v> </v>
      </c>
      <c r="R125" s="17" t="str">
        <f aca="false">IF((E125="d"),H125," ")</f>
        <v> </v>
      </c>
      <c r="S125" s="17" t="str">
        <f aca="false">IF((E125="w"),H125," ")</f>
        <v> </v>
      </c>
      <c r="T125" s="17" t="str">
        <f aca="false">IF((E125="r"),H125," ")</f>
        <v> </v>
      </c>
      <c r="U125" s="17" t="str">
        <f aca="false">IF((E125="p"),H125," ")</f>
        <v> </v>
      </c>
      <c r="V125" s="17" t="str">
        <f aca="false">IF((E125="t"),H125," ")</f>
        <v> </v>
      </c>
      <c r="W125" s="17" t="str">
        <f aca="false">IF((E125="q"),H125," ")</f>
        <v> </v>
      </c>
      <c r="X125" s="17" t="str">
        <f aca="false">IF((E125="m"),H125," ")</f>
        <v> </v>
      </c>
      <c r="Y125" s="17" t="str">
        <f aca="false">IF((E125="u"),H125," ")</f>
        <v> </v>
      </c>
      <c r="Z125" s="17" t="str">
        <f aca="false">IF((E125="a"),H125," ")</f>
        <v> </v>
      </c>
      <c r="AA125" s="17" t="str">
        <f aca="false">IF((E125="g"),H125," ")</f>
        <v> </v>
      </c>
      <c r="AB125" s="17" t="str">
        <f aca="false">IF((E125="h"),H125," ")</f>
        <v> </v>
      </c>
      <c r="AC125" s="30" t="str">
        <f aca="false">IF((E125="v"),H125," ")</f>
        <v> </v>
      </c>
      <c r="AD125" s="30" t="str">
        <f aca="false">IF((E125="n"),H125," ")</f>
        <v> </v>
      </c>
      <c r="AE125" s="17" t="str">
        <f aca="false">IF((E125="f"),H125," ")</f>
        <v> </v>
      </c>
      <c r="AF125" s="17" t="str">
        <f aca="false">IF((E125="l"),H125," ")</f>
        <v> </v>
      </c>
      <c r="AG125" s="17" t="str">
        <f aca="false">IF((E125="y"),H125," ")</f>
        <v> </v>
      </c>
      <c r="AH125" s="17" t="str">
        <f aca="false">IF((E125="z"),H125," ")</f>
        <v> </v>
      </c>
      <c r="AI125" s="17" t="str">
        <f aca="false">IF((E125="fa"),H125," ")</f>
        <v> </v>
      </c>
      <c r="AJ125" s="17" t="str">
        <f aca="false">IF((E125="e"),H125," ")</f>
        <v> </v>
      </c>
    </row>
    <row r="126" customFormat="false" ht="12" hidden="false" customHeight="false" outlineLevel="0" collapsed="false">
      <c r="A126" s="28"/>
      <c r="E126" s="2" t="str">
        <f aca="false">IF((F126&lt;&gt;0),"Enter Letter"," ")</f>
        <v> </v>
      </c>
      <c r="F126" s="30"/>
      <c r="G126" s="6" t="str">
        <f aca="false">IF(F126&lt;&gt;0,F126*G$2/(100+G$2)," ")</f>
        <v> </v>
      </c>
      <c r="H126" s="6" t="str">
        <f aca="false">IF((F126&lt;&gt;0),F126-G126," ")</f>
        <v> </v>
      </c>
      <c r="I126" s="5"/>
      <c r="L126" s="7" t="str">
        <f aca="false">IF(F126&lt;&gt;0,F126-K126," ")</f>
        <v> </v>
      </c>
      <c r="M126" s="8" t="str">
        <f aca="false">IF((F126-K126)&lt;&gt;0,M$1-A126," ")</f>
        <v> </v>
      </c>
      <c r="N126" s="5"/>
      <c r="O126" s="17" t="str">
        <f aca="false">IF((E126="s"),H126," ")</f>
        <v> </v>
      </c>
      <c r="P126" s="17" t="str">
        <f aca="false">IF((E126="c"),H126," ")</f>
        <v> </v>
      </c>
      <c r="Q126" s="17" t="str">
        <f aca="false">IF((E126="o"),H126," ")</f>
        <v> </v>
      </c>
      <c r="R126" s="17" t="str">
        <f aca="false">IF((E126="d"),H126," ")</f>
        <v> </v>
      </c>
      <c r="S126" s="17" t="str">
        <f aca="false">IF((E126="w"),H126," ")</f>
        <v> </v>
      </c>
      <c r="T126" s="17" t="str">
        <f aca="false">IF((E126="r"),H126," ")</f>
        <v> </v>
      </c>
      <c r="U126" s="17" t="str">
        <f aca="false">IF((E126="p"),H126," ")</f>
        <v> </v>
      </c>
      <c r="V126" s="17" t="str">
        <f aca="false">IF((E126="t"),H126," ")</f>
        <v> </v>
      </c>
      <c r="W126" s="17" t="str">
        <f aca="false">IF((E126="q"),H126," ")</f>
        <v> </v>
      </c>
      <c r="X126" s="17" t="str">
        <f aca="false">IF((E126="m"),H126," ")</f>
        <v> </v>
      </c>
      <c r="Y126" s="17" t="str">
        <f aca="false">IF((E126="u"),H126," ")</f>
        <v> </v>
      </c>
      <c r="Z126" s="17" t="str">
        <f aca="false">IF((E126="a"),H126," ")</f>
        <v> </v>
      </c>
      <c r="AA126" s="17" t="str">
        <f aca="false">IF((E126="g"),H126," ")</f>
        <v> </v>
      </c>
      <c r="AB126" s="17" t="str">
        <f aca="false">IF((E126="h"),H126," ")</f>
        <v> </v>
      </c>
      <c r="AC126" s="30" t="str">
        <f aca="false">IF((E126="v"),H126," ")</f>
        <v> </v>
      </c>
      <c r="AD126" s="30" t="str">
        <f aca="false">IF((E126="n"),H126," ")</f>
        <v> </v>
      </c>
      <c r="AE126" s="17" t="str">
        <f aca="false">IF((E126="f"),H126," ")</f>
        <v> </v>
      </c>
      <c r="AF126" s="17" t="str">
        <f aca="false">IF((E126="l"),H126," ")</f>
        <v> </v>
      </c>
      <c r="AG126" s="17" t="str">
        <f aca="false">IF((E126="y"),H126," ")</f>
        <v> </v>
      </c>
      <c r="AH126" s="17" t="str">
        <f aca="false">IF((E126="z"),H126," ")</f>
        <v> </v>
      </c>
      <c r="AI126" s="17" t="str">
        <f aca="false">IF((E126="fa"),H126," ")</f>
        <v> </v>
      </c>
      <c r="AJ126" s="17" t="str">
        <f aca="false">IF((E126="e"),H126," ")</f>
        <v> </v>
      </c>
    </row>
    <row r="127" customFormat="false" ht="12" hidden="false" customHeight="false" outlineLevel="0" collapsed="false">
      <c r="A127" s="28"/>
      <c r="E127" s="2" t="str">
        <f aca="false">IF((F127&lt;&gt;0),"Enter Letter"," ")</f>
        <v> </v>
      </c>
      <c r="F127" s="30"/>
      <c r="G127" s="6" t="str">
        <f aca="false">IF(F127&lt;&gt;0,F127*G$2/(100+G$2)," ")</f>
        <v> </v>
      </c>
      <c r="H127" s="6" t="str">
        <f aca="false">IF((F127&lt;&gt;0),F127-G127," ")</f>
        <v> </v>
      </c>
      <c r="I127" s="5"/>
      <c r="L127" s="7" t="str">
        <f aca="false">IF(F127&lt;&gt;0,F127-K127," ")</f>
        <v> </v>
      </c>
      <c r="M127" s="8" t="str">
        <f aca="false">IF((F127-K127)&lt;&gt;0,M$1-A127," ")</f>
        <v> </v>
      </c>
      <c r="N127" s="5"/>
      <c r="O127" s="17" t="str">
        <f aca="false">IF((E127="s"),H127," ")</f>
        <v> </v>
      </c>
      <c r="P127" s="17" t="str">
        <f aca="false">IF((E127="c"),H127," ")</f>
        <v> </v>
      </c>
      <c r="Q127" s="17" t="str">
        <f aca="false">IF((E127="o"),H127," ")</f>
        <v> </v>
      </c>
      <c r="R127" s="17" t="str">
        <f aca="false">IF((E127="d"),H127," ")</f>
        <v> </v>
      </c>
      <c r="S127" s="17" t="str">
        <f aca="false">IF((E127="w"),H127," ")</f>
        <v> </v>
      </c>
      <c r="T127" s="17" t="str">
        <f aca="false">IF((E127="r"),H127," ")</f>
        <v> </v>
      </c>
      <c r="U127" s="17" t="str">
        <f aca="false">IF((E127="p"),H127," ")</f>
        <v> </v>
      </c>
      <c r="V127" s="17" t="str">
        <f aca="false">IF((E127="t"),H127," ")</f>
        <v> </v>
      </c>
      <c r="W127" s="17" t="str">
        <f aca="false">IF((E127="q"),H127," ")</f>
        <v> </v>
      </c>
      <c r="X127" s="17" t="str">
        <f aca="false">IF((E127="m"),H127," ")</f>
        <v> </v>
      </c>
      <c r="Y127" s="17" t="str">
        <f aca="false">IF((E127="u"),H127," ")</f>
        <v> </v>
      </c>
      <c r="Z127" s="17" t="str">
        <f aca="false">IF((E127="a"),H127," ")</f>
        <v> </v>
      </c>
      <c r="AA127" s="17" t="str">
        <f aca="false">IF((E127="g"),H127," ")</f>
        <v> </v>
      </c>
      <c r="AB127" s="17" t="str">
        <f aca="false">IF((E127="h"),H127," ")</f>
        <v> </v>
      </c>
      <c r="AC127" s="30" t="str">
        <f aca="false">IF((E127="v"),H127," ")</f>
        <v> </v>
      </c>
      <c r="AD127" s="30" t="str">
        <f aca="false">IF((E127="n"),H127," ")</f>
        <v> </v>
      </c>
      <c r="AE127" s="17" t="str">
        <f aca="false">IF((E127="f"),H127," ")</f>
        <v> </v>
      </c>
      <c r="AF127" s="17" t="str">
        <f aca="false">IF((E127="l"),H127," ")</f>
        <v> </v>
      </c>
      <c r="AG127" s="17" t="str">
        <f aca="false">IF((E127="y"),H127," ")</f>
        <v> </v>
      </c>
      <c r="AH127" s="17" t="str">
        <f aca="false">IF((E127="z"),H127," ")</f>
        <v> </v>
      </c>
      <c r="AI127" s="17" t="str">
        <f aca="false">IF((E127="fa"),H127," ")</f>
        <v> </v>
      </c>
      <c r="AJ127" s="17" t="str">
        <f aca="false">IF((E127="e"),H127," ")</f>
        <v> </v>
      </c>
    </row>
    <row r="128" customFormat="false" ht="12" hidden="false" customHeight="false" outlineLevel="0" collapsed="false">
      <c r="A128" s="28"/>
      <c r="E128" s="2" t="str">
        <f aca="false">IF((F128&lt;&gt;0),"Enter Letter"," ")</f>
        <v> </v>
      </c>
      <c r="F128" s="30"/>
      <c r="G128" s="6" t="str">
        <f aca="false">IF(F128&lt;&gt;0,F128*G$2/(100+G$2)," ")</f>
        <v> </v>
      </c>
      <c r="H128" s="6" t="str">
        <f aca="false">IF((F128&lt;&gt;0),F128-G128," ")</f>
        <v> </v>
      </c>
      <c r="I128" s="5"/>
      <c r="L128" s="7" t="str">
        <f aca="false">IF(F128&lt;&gt;0,F128-K128," ")</f>
        <v> </v>
      </c>
      <c r="M128" s="8" t="str">
        <f aca="false">IF((F128-K128)&lt;&gt;0,M$1-A128," ")</f>
        <v> </v>
      </c>
      <c r="N128" s="5"/>
      <c r="O128" s="17" t="str">
        <f aca="false">IF((E128="s"),H128," ")</f>
        <v> </v>
      </c>
      <c r="P128" s="17" t="str">
        <f aca="false">IF((E128="c"),H128," ")</f>
        <v> </v>
      </c>
      <c r="Q128" s="17" t="str">
        <f aca="false">IF((E128="o"),H128," ")</f>
        <v> </v>
      </c>
      <c r="R128" s="17" t="str">
        <f aca="false">IF((E128="d"),H128," ")</f>
        <v> </v>
      </c>
      <c r="S128" s="17" t="str">
        <f aca="false">IF((E128="w"),H128," ")</f>
        <v> </v>
      </c>
      <c r="T128" s="17" t="str">
        <f aca="false">IF((E128="r"),H128," ")</f>
        <v> </v>
      </c>
      <c r="U128" s="17" t="str">
        <f aca="false">IF((E128="p"),H128," ")</f>
        <v> </v>
      </c>
      <c r="V128" s="17" t="str">
        <f aca="false">IF((E128="t"),H128," ")</f>
        <v> </v>
      </c>
      <c r="W128" s="17" t="str">
        <f aca="false">IF((E128="q"),H128," ")</f>
        <v> </v>
      </c>
      <c r="X128" s="17" t="str">
        <f aca="false">IF((E128="m"),H128," ")</f>
        <v> </v>
      </c>
      <c r="Y128" s="17" t="str">
        <f aca="false">IF((E128="u"),H128," ")</f>
        <v> </v>
      </c>
      <c r="Z128" s="17" t="str">
        <f aca="false">IF((E128="a"),H128," ")</f>
        <v> </v>
      </c>
      <c r="AA128" s="17" t="str">
        <f aca="false">IF((E128="g"),H128," ")</f>
        <v> </v>
      </c>
      <c r="AB128" s="17" t="str">
        <f aca="false">IF((E128="h"),H128," ")</f>
        <v> </v>
      </c>
      <c r="AC128" s="30" t="str">
        <f aca="false">IF((E128="v"),H128," ")</f>
        <v> </v>
      </c>
      <c r="AD128" s="30" t="str">
        <f aca="false">IF((E128="n"),H128," ")</f>
        <v> </v>
      </c>
      <c r="AE128" s="17" t="str">
        <f aca="false">IF((E128="f"),H128," ")</f>
        <v> </v>
      </c>
      <c r="AF128" s="17" t="str">
        <f aca="false">IF((E128="l"),H128," ")</f>
        <v> </v>
      </c>
      <c r="AG128" s="17" t="str">
        <f aca="false">IF((E128="y"),H128," ")</f>
        <v> </v>
      </c>
      <c r="AH128" s="17" t="str">
        <f aca="false">IF((E128="z"),H128," ")</f>
        <v> </v>
      </c>
      <c r="AI128" s="17" t="str">
        <f aca="false">IF((E128="fa"),H128," ")</f>
        <v> </v>
      </c>
      <c r="AJ128" s="17" t="str">
        <f aca="false">IF((E128="e"),H128," ")</f>
        <v> </v>
      </c>
    </row>
    <row r="129" customFormat="false" ht="12" hidden="false" customHeight="false" outlineLevel="0" collapsed="false">
      <c r="A129" s="28"/>
      <c r="E129" s="2" t="str">
        <f aca="false">IF((F129&lt;&gt;0),"Enter Letter"," ")</f>
        <v> </v>
      </c>
      <c r="F129" s="30"/>
      <c r="G129" s="6" t="str">
        <f aca="false">IF(F129&lt;&gt;0,F129*G$2/(100+G$2)," ")</f>
        <v> </v>
      </c>
      <c r="H129" s="6" t="str">
        <f aca="false">IF((F129&lt;&gt;0),F129-G129," ")</f>
        <v> </v>
      </c>
      <c r="I129" s="5"/>
      <c r="L129" s="7" t="str">
        <f aca="false">IF(F129&lt;&gt;0,F129-K129," ")</f>
        <v> </v>
      </c>
      <c r="M129" s="8" t="str">
        <f aca="false">IF((F129-K129)&lt;&gt;0,M$1-A129," ")</f>
        <v> </v>
      </c>
      <c r="N129" s="5"/>
      <c r="O129" s="17" t="str">
        <f aca="false">IF((E129="s"),H129," ")</f>
        <v> </v>
      </c>
      <c r="P129" s="17" t="str">
        <f aca="false">IF((E129="c"),H129," ")</f>
        <v> </v>
      </c>
      <c r="Q129" s="17" t="str">
        <f aca="false">IF((E129="o"),H129," ")</f>
        <v> </v>
      </c>
      <c r="R129" s="17" t="str">
        <f aca="false">IF((E129="d"),H129," ")</f>
        <v> </v>
      </c>
      <c r="S129" s="17" t="str">
        <f aca="false">IF((E129="w"),H129," ")</f>
        <v> </v>
      </c>
      <c r="T129" s="17" t="str">
        <f aca="false">IF((E129="r"),H129," ")</f>
        <v> </v>
      </c>
      <c r="U129" s="17" t="str">
        <f aca="false">IF((E129="p"),H129," ")</f>
        <v> </v>
      </c>
      <c r="V129" s="17" t="str">
        <f aca="false">IF((E129="t"),H129," ")</f>
        <v> </v>
      </c>
      <c r="W129" s="17" t="str">
        <f aca="false">IF((E129="q"),H129," ")</f>
        <v> </v>
      </c>
      <c r="X129" s="17" t="str">
        <f aca="false">IF((E129="m"),H129," ")</f>
        <v> </v>
      </c>
      <c r="Y129" s="17" t="str">
        <f aca="false">IF((E129="u"),H129," ")</f>
        <v> </v>
      </c>
      <c r="Z129" s="17" t="str">
        <f aca="false">IF((E129="a"),H129," ")</f>
        <v> </v>
      </c>
      <c r="AA129" s="17" t="str">
        <f aca="false">IF((E129="g"),H129," ")</f>
        <v> </v>
      </c>
      <c r="AB129" s="17" t="str">
        <f aca="false">IF((E129="h"),H129," ")</f>
        <v> </v>
      </c>
      <c r="AC129" s="30" t="str">
        <f aca="false">IF((E129="v"),H129," ")</f>
        <v> </v>
      </c>
      <c r="AD129" s="30" t="str">
        <f aca="false">IF((E129="n"),H129," ")</f>
        <v> </v>
      </c>
      <c r="AE129" s="17" t="str">
        <f aca="false">IF((E129="f"),H129," ")</f>
        <v> </v>
      </c>
      <c r="AF129" s="17" t="str">
        <f aca="false">IF((E129="l"),H129," ")</f>
        <v> </v>
      </c>
      <c r="AG129" s="17" t="str">
        <f aca="false">IF((E129="y"),H129," ")</f>
        <v> </v>
      </c>
      <c r="AH129" s="17" t="str">
        <f aca="false">IF((E129="z"),H129," ")</f>
        <v> </v>
      </c>
      <c r="AI129" s="17" t="str">
        <f aca="false">IF((E129="fa"),H129," ")</f>
        <v> </v>
      </c>
      <c r="AJ129" s="17" t="str">
        <f aca="false">IF((E129="e"),H129," ")</f>
        <v> </v>
      </c>
    </row>
    <row r="130" customFormat="false" ht="12" hidden="false" customHeight="false" outlineLevel="0" collapsed="false">
      <c r="A130" s="28"/>
      <c r="E130" s="2" t="str">
        <f aca="false">IF((F130&lt;&gt;0),"Enter Letter"," ")</f>
        <v> </v>
      </c>
      <c r="F130" s="30"/>
      <c r="G130" s="6" t="str">
        <f aca="false">IF(F130&lt;&gt;0,F130*G$2/(100+G$2)," ")</f>
        <v> </v>
      </c>
      <c r="H130" s="6" t="str">
        <f aca="false">IF((F130&lt;&gt;0),F130-G130," ")</f>
        <v> </v>
      </c>
      <c r="I130" s="5"/>
      <c r="L130" s="7" t="str">
        <f aca="false">IF(F130&lt;&gt;0,F130-K130," ")</f>
        <v> </v>
      </c>
      <c r="M130" s="8" t="str">
        <f aca="false">IF((F130-K130)&lt;&gt;0,M$1-A130," ")</f>
        <v> </v>
      </c>
      <c r="N130" s="5"/>
      <c r="O130" s="17" t="str">
        <f aca="false">IF((E130="s"),H130," ")</f>
        <v> </v>
      </c>
      <c r="P130" s="17" t="str">
        <f aca="false">IF((E130="c"),H130," ")</f>
        <v> </v>
      </c>
      <c r="Q130" s="17" t="str">
        <f aca="false">IF((E130="o"),H130," ")</f>
        <v> </v>
      </c>
      <c r="R130" s="17" t="str">
        <f aca="false">IF((E130="d"),H130," ")</f>
        <v> </v>
      </c>
      <c r="S130" s="17" t="str">
        <f aca="false">IF((E130="w"),H130," ")</f>
        <v> </v>
      </c>
      <c r="T130" s="17" t="str">
        <f aca="false">IF((E130="r"),H130," ")</f>
        <v> </v>
      </c>
      <c r="U130" s="17" t="str">
        <f aca="false">IF((E130="p"),H130," ")</f>
        <v> </v>
      </c>
      <c r="V130" s="17" t="str">
        <f aca="false">IF((E130="t"),H130," ")</f>
        <v> </v>
      </c>
      <c r="W130" s="17" t="str">
        <f aca="false">IF((E130="q"),H130," ")</f>
        <v> </v>
      </c>
      <c r="X130" s="17" t="str">
        <f aca="false">IF((E130="m"),H130," ")</f>
        <v> </v>
      </c>
      <c r="Y130" s="17" t="str">
        <f aca="false">IF((E130="u"),H130," ")</f>
        <v> </v>
      </c>
      <c r="Z130" s="17" t="str">
        <f aca="false">IF((E130="a"),H130," ")</f>
        <v> </v>
      </c>
      <c r="AA130" s="17" t="str">
        <f aca="false">IF((E130="g"),H130," ")</f>
        <v> </v>
      </c>
      <c r="AB130" s="17" t="str">
        <f aca="false">IF((E130="h"),H130," ")</f>
        <v> </v>
      </c>
      <c r="AC130" s="30" t="str">
        <f aca="false">IF((E130="v"),H130," ")</f>
        <v> </v>
      </c>
      <c r="AD130" s="30" t="str">
        <f aca="false">IF((E130="n"),H130," ")</f>
        <v> </v>
      </c>
      <c r="AE130" s="17" t="str">
        <f aca="false">IF((E130="f"),H130," ")</f>
        <v> </v>
      </c>
      <c r="AF130" s="17" t="str">
        <f aca="false">IF((E130="l"),H130," ")</f>
        <v> </v>
      </c>
      <c r="AG130" s="17" t="str">
        <f aca="false">IF((E130="y"),H130," ")</f>
        <v> </v>
      </c>
      <c r="AH130" s="17" t="str">
        <f aca="false">IF((E130="z"),H130," ")</f>
        <v> </v>
      </c>
      <c r="AI130" s="17" t="str">
        <f aca="false">IF((E130="fa"),H130," ")</f>
        <v> </v>
      </c>
      <c r="AJ130" s="17" t="str">
        <f aca="false">IF((E130="e"),H130," ")</f>
        <v> </v>
      </c>
    </row>
    <row r="131" customFormat="false" ht="12" hidden="false" customHeight="false" outlineLevel="0" collapsed="false">
      <c r="A131" s="28"/>
      <c r="E131" s="2" t="str">
        <f aca="false">IF((F131&lt;&gt;0),"Enter Letter"," ")</f>
        <v> </v>
      </c>
      <c r="F131" s="30"/>
      <c r="G131" s="6" t="str">
        <f aca="false">IF(F131&lt;&gt;0,F131*G$2/(100+G$2)," ")</f>
        <v> </v>
      </c>
      <c r="H131" s="6" t="str">
        <f aca="false">IF((F131&lt;&gt;0),F131-G131," ")</f>
        <v> </v>
      </c>
      <c r="I131" s="5"/>
      <c r="L131" s="7" t="str">
        <f aca="false">IF(F131&lt;&gt;0,F131-K131," ")</f>
        <v> </v>
      </c>
      <c r="M131" s="8" t="str">
        <f aca="false">IF((F131-K131)&lt;&gt;0,M$1-A131," ")</f>
        <v> </v>
      </c>
      <c r="N131" s="5"/>
      <c r="O131" s="17" t="str">
        <f aca="false">IF((E131="s"),H131," ")</f>
        <v> </v>
      </c>
      <c r="P131" s="17" t="str">
        <f aca="false">IF((E131="c"),H131," ")</f>
        <v> </v>
      </c>
      <c r="Q131" s="17" t="str">
        <f aca="false">IF((E131="o"),H131," ")</f>
        <v> </v>
      </c>
      <c r="R131" s="17" t="str">
        <f aca="false">IF((E131="d"),H131," ")</f>
        <v> </v>
      </c>
      <c r="S131" s="17" t="str">
        <f aca="false">IF((E131="w"),H131," ")</f>
        <v> </v>
      </c>
      <c r="T131" s="17" t="str">
        <f aca="false">IF((E131="r"),H131," ")</f>
        <v> </v>
      </c>
      <c r="U131" s="17" t="str">
        <f aca="false">IF((E131="p"),H131," ")</f>
        <v> </v>
      </c>
      <c r="V131" s="17" t="str">
        <f aca="false">IF((E131="t"),H131," ")</f>
        <v> </v>
      </c>
      <c r="W131" s="17" t="str">
        <f aca="false">IF((E131="q"),H131," ")</f>
        <v> </v>
      </c>
      <c r="X131" s="17" t="str">
        <f aca="false">IF((E131="m"),H131," ")</f>
        <v> </v>
      </c>
      <c r="Y131" s="17" t="str">
        <f aca="false">IF((E131="u"),H131," ")</f>
        <v> </v>
      </c>
      <c r="Z131" s="17" t="str">
        <f aca="false">IF((E131="a"),H131," ")</f>
        <v> </v>
      </c>
      <c r="AA131" s="17" t="str">
        <f aca="false">IF((E131="g"),H131," ")</f>
        <v> </v>
      </c>
      <c r="AB131" s="17" t="str">
        <f aca="false">IF((E131="h"),H131," ")</f>
        <v> </v>
      </c>
      <c r="AC131" s="30" t="str">
        <f aca="false">IF((E131="v"),H131," ")</f>
        <v> </v>
      </c>
      <c r="AD131" s="30" t="str">
        <f aca="false">IF((E131="n"),H131," ")</f>
        <v> </v>
      </c>
      <c r="AE131" s="17" t="str">
        <f aca="false">IF((E131="f"),H131," ")</f>
        <v> </v>
      </c>
      <c r="AF131" s="17" t="str">
        <f aca="false">IF((E131="l"),H131," ")</f>
        <v> </v>
      </c>
      <c r="AG131" s="17" t="str">
        <f aca="false">IF((E131="y"),H131," ")</f>
        <v> </v>
      </c>
      <c r="AH131" s="17" t="str">
        <f aca="false">IF((E131="z"),H131," ")</f>
        <v> </v>
      </c>
      <c r="AI131" s="17" t="str">
        <f aca="false">IF((E131="fa"),H131," ")</f>
        <v> </v>
      </c>
      <c r="AJ131" s="17" t="str">
        <f aca="false">IF((E131="e"),H131," ")</f>
        <v> </v>
      </c>
    </row>
    <row r="132" customFormat="false" ht="12" hidden="false" customHeight="false" outlineLevel="0" collapsed="false">
      <c r="A132" s="28"/>
      <c r="E132" s="2" t="str">
        <f aca="false">IF((F132&lt;&gt;0),"Enter Letter"," ")</f>
        <v> </v>
      </c>
      <c r="F132" s="30"/>
      <c r="G132" s="6" t="str">
        <f aca="false">IF(F132&lt;&gt;0,F132*G$2/(100+G$2)," ")</f>
        <v> </v>
      </c>
      <c r="H132" s="6" t="str">
        <f aca="false">IF((F132&lt;&gt;0),F132-G132," ")</f>
        <v> </v>
      </c>
      <c r="I132" s="5"/>
      <c r="L132" s="7" t="str">
        <f aca="false">IF(F132&lt;&gt;0,F132-K132," ")</f>
        <v> </v>
      </c>
      <c r="M132" s="8" t="str">
        <f aca="false">IF((F132-K132)&lt;&gt;0,M$1-A132," ")</f>
        <v> </v>
      </c>
      <c r="N132" s="5"/>
      <c r="O132" s="17" t="str">
        <f aca="false">IF((E132="s"),H132," ")</f>
        <v> </v>
      </c>
      <c r="P132" s="17" t="str">
        <f aca="false">IF((E132="c"),H132," ")</f>
        <v> </v>
      </c>
      <c r="Q132" s="17" t="str">
        <f aca="false">IF((E132="o"),H132," ")</f>
        <v> </v>
      </c>
      <c r="R132" s="17" t="str">
        <f aca="false">IF((E132="d"),H132," ")</f>
        <v> </v>
      </c>
      <c r="S132" s="17" t="str">
        <f aca="false">IF((E132="w"),H132," ")</f>
        <v> </v>
      </c>
      <c r="T132" s="17" t="str">
        <f aca="false">IF((E132="r"),H132," ")</f>
        <v> </v>
      </c>
      <c r="U132" s="17" t="str">
        <f aca="false">IF((E132="p"),H132," ")</f>
        <v> </v>
      </c>
      <c r="V132" s="17" t="str">
        <f aca="false">IF((E132="t"),H132," ")</f>
        <v> </v>
      </c>
      <c r="W132" s="17" t="str">
        <f aca="false">IF((E132="q"),H132," ")</f>
        <v> </v>
      </c>
      <c r="X132" s="17" t="str">
        <f aca="false">IF((E132="m"),H132," ")</f>
        <v> </v>
      </c>
      <c r="Y132" s="17" t="str">
        <f aca="false">IF((E132="u"),H132," ")</f>
        <v> </v>
      </c>
      <c r="Z132" s="17" t="str">
        <f aca="false">IF((E132="a"),H132," ")</f>
        <v> </v>
      </c>
      <c r="AA132" s="17" t="str">
        <f aca="false">IF((E132="g"),H132," ")</f>
        <v> </v>
      </c>
      <c r="AB132" s="17" t="str">
        <f aca="false">IF((E132="h"),H132," ")</f>
        <v> </v>
      </c>
      <c r="AC132" s="30" t="str">
        <f aca="false">IF((E132="v"),H132," ")</f>
        <v> </v>
      </c>
      <c r="AD132" s="30" t="str">
        <f aca="false">IF((E132="n"),H132," ")</f>
        <v> </v>
      </c>
      <c r="AE132" s="17" t="str">
        <f aca="false">IF((E132="f"),H132," ")</f>
        <v> </v>
      </c>
      <c r="AF132" s="17" t="str">
        <f aca="false">IF((E132="l"),H132," ")</f>
        <v> </v>
      </c>
      <c r="AG132" s="17" t="str">
        <f aca="false">IF((E132="y"),H132," ")</f>
        <v> </v>
      </c>
      <c r="AH132" s="17" t="str">
        <f aca="false">IF((E132="z"),H132," ")</f>
        <v> </v>
      </c>
      <c r="AI132" s="17" t="str">
        <f aca="false">IF((E132="fa"),H132," ")</f>
        <v> </v>
      </c>
      <c r="AJ132" s="17" t="str">
        <f aca="false">IF((E132="e"),H132," ")</f>
        <v> </v>
      </c>
    </row>
    <row r="133" customFormat="false" ht="12" hidden="false" customHeight="false" outlineLevel="0" collapsed="false">
      <c r="A133" s="28"/>
      <c r="E133" s="2" t="str">
        <f aca="false">IF((F133&lt;&gt;0),"Enter Letter"," ")</f>
        <v> </v>
      </c>
      <c r="F133" s="30"/>
      <c r="G133" s="6" t="str">
        <f aca="false">IF(F133&lt;&gt;0,F133*G$2/(100+G$2)," ")</f>
        <v> </v>
      </c>
      <c r="H133" s="6" t="str">
        <f aca="false">IF((F133&lt;&gt;0),F133-G133," ")</f>
        <v> </v>
      </c>
      <c r="I133" s="5"/>
      <c r="L133" s="7" t="str">
        <f aca="false">IF(F133&lt;&gt;0,F133-K133," ")</f>
        <v> </v>
      </c>
      <c r="M133" s="8" t="str">
        <f aca="false">IF((F133-K133)&lt;&gt;0,M$1-A133," ")</f>
        <v> </v>
      </c>
      <c r="N133" s="5"/>
      <c r="O133" s="17" t="str">
        <f aca="false">IF((E133="s"),H133," ")</f>
        <v> </v>
      </c>
      <c r="P133" s="17" t="str">
        <f aca="false">IF((E133="c"),H133," ")</f>
        <v> </v>
      </c>
      <c r="Q133" s="17" t="str">
        <f aca="false">IF((E133="o"),H133," ")</f>
        <v> </v>
      </c>
      <c r="R133" s="17" t="str">
        <f aca="false">IF((E133="d"),H133," ")</f>
        <v> </v>
      </c>
      <c r="S133" s="17" t="str">
        <f aca="false">IF((E133="w"),H133," ")</f>
        <v> </v>
      </c>
      <c r="T133" s="17" t="str">
        <f aca="false">IF((E133="r"),H133," ")</f>
        <v> </v>
      </c>
      <c r="U133" s="17" t="str">
        <f aca="false">IF((E133="p"),H133," ")</f>
        <v> </v>
      </c>
      <c r="V133" s="17" t="str">
        <f aca="false">IF((E133="t"),H133," ")</f>
        <v> </v>
      </c>
      <c r="W133" s="17" t="str">
        <f aca="false">IF((E133="q"),H133," ")</f>
        <v> </v>
      </c>
      <c r="X133" s="17" t="str">
        <f aca="false">IF((E133="m"),H133," ")</f>
        <v> </v>
      </c>
      <c r="Y133" s="17" t="str">
        <f aca="false">IF((E133="u"),H133," ")</f>
        <v> </v>
      </c>
      <c r="Z133" s="17" t="str">
        <f aca="false">IF((E133="a"),H133," ")</f>
        <v> </v>
      </c>
      <c r="AA133" s="17" t="str">
        <f aca="false">IF((E133="g"),H133," ")</f>
        <v> </v>
      </c>
      <c r="AB133" s="17" t="str">
        <f aca="false">IF((E133="h"),H133," ")</f>
        <v> </v>
      </c>
      <c r="AC133" s="30" t="str">
        <f aca="false">IF((E133="v"),H133," ")</f>
        <v> </v>
      </c>
      <c r="AD133" s="30" t="str">
        <f aca="false">IF((E133="n"),H133," ")</f>
        <v> </v>
      </c>
      <c r="AE133" s="17" t="str">
        <f aca="false">IF((E133="f"),H133," ")</f>
        <v> </v>
      </c>
      <c r="AF133" s="17" t="str">
        <f aca="false">IF((E133="l"),H133," ")</f>
        <v> </v>
      </c>
      <c r="AG133" s="17" t="str">
        <f aca="false">IF((E133="y"),H133," ")</f>
        <v> </v>
      </c>
      <c r="AH133" s="17" t="str">
        <f aca="false">IF((E133="z"),H133," ")</f>
        <v> </v>
      </c>
      <c r="AI133" s="17" t="str">
        <f aca="false">IF((E133="fa"),H133," ")</f>
        <v> </v>
      </c>
      <c r="AJ133" s="17" t="str">
        <f aca="false">IF((E133="e"),H133," ")</f>
        <v> </v>
      </c>
    </row>
    <row r="134" customFormat="false" ht="12" hidden="false" customHeight="false" outlineLevel="0" collapsed="false">
      <c r="A134" s="28"/>
      <c r="E134" s="2" t="str">
        <f aca="false">IF((F134&lt;&gt;0),"Enter Letter"," ")</f>
        <v> </v>
      </c>
      <c r="F134" s="30"/>
      <c r="G134" s="6" t="str">
        <f aca="false">IF(F134&lt;&gt;0,F134*G$2/(100+G$2)," ")</f>
        <v> </v>
      </c>
      <c r="H134" s="6" t="str">
        <f aca="false">IF((F134&lt;&gt;0),F134-G134," ")</f>
        <v> </v>
      </c>
      <c r="I134" s="5"/>
      <c r="L134" s="7" t="str">
        <f aca="false">IF(F134&lt;&gt;0,F134-K134," ")</f>
        <v> </v>
      </c>
      <c r="M134" s="8" t="str">
        <f aca="false">IF((F134-K134)&lt;&gt;0,M$1-A134," ")</f>
        <v> </v>
      </c>
      <c r="N134" s="5"/>
      <c r="O134" s="17" t="str">
        <f aca="false">IF((E134="s"),H134," ")</f>
        <v> </v>
      </c>
      <c r="P134" s="17" t="str">
        <f aca="false">IF((E134="c"),H134," ")</f>
        <v> </v>
      </c>
      <c r="Q134" s="17" t="str">
        <f aca="false">IF((E134="o"),H134," ")</f>
        <v> </v>
      </c>
      <c r="R134" s="17" t="str">
        <f aca="false">IF((E134="d"),H134," ")</f>
        <v> </v>
      </c>
      <c r="S134" s="17" t="str">
        <f aca="false">IF((E134="w"),H134," ")</f>
        <v> </v>
      </c>
      <c r="T134" s="17" t="str">
        <f aca="false">IF((E134="r"),H134," ")</f>
        <v> </v>
      </c>
      <c r="U134" s="17" t="str">
        <f aca="false">IF((E134="p"),H134," ")</f>
        <v> </v>
      </c>
      <c r="V134" s="17" t="str">
        <f aca="false">IF((E134="t"),H134," ")</f>
        <v> </v>
      </c>
      <c r="W134" s="17" t="str">
        <f aca="false">IF((E134="q"),H134," ")</f>
        <v> </v>
      </c>
      <c r="X134" s="17" t="str">
        <f aca="false">IF((E134="m"),H134," ")</f>
        <v> </v>
      </c>
      <c r="Y134" s="17" t="str">
        <f aca="false">IF((E134="u"),H134," ")</f>
        <v> </v>
      </c>
      <c r="Z134" s="17" t="str">
        <f aca="false">IF((E134="a"),H134," ")</f>
        <v> </v>
      </c>
      <c r="AA134" s="17" t="str">
        <f aca="false">IF((E134="g"),H134," ")</f>
        <v> </v>
      </c>
      <c r="AB134" s="17" t="str">
        <f aca="false">IF((E134="h"),H134," ")</f>
        <v> </v>
      </c>
      <c r="AC134" s="30" t="str">
        <f aca="false">IF((E134="v"),H134," ")</f>
        <v> </v>
      </c>
      <c r="AD134" s="30" t="str">
        <f aca="false">IF((E134="n"),H134," ")</f>
        <v> </v>
      </c>
      <c r="AE134" s="17" t="str">
        <f aca="false">IF((E134="f"),H134," ")</f>
        <v> </v>
      </c>
      <c r="AF134" s="17" t="str">
        <f aca="false">IF((E134="l"),H134," ")</f>
        <v> </v>
      </c>
      <c r="AG134" s="17" t="str">
        <f aca="false">IF((E134="y"),H134," ")</f>
        <v> </v>
      </c>
      <c r="AH134" s="17" t="str">
        <f aca="false">IF((E134="z"),H134," ")</f>
        <v> </v>
      </c>
      <c r="AI134" s="17" t="str">
        <f aca="false">IF((E134="fa"),H134," ")</f>
        <v> </v>
      </c>
      <c r="AJ134" s="17" t="str">
        <f aca="false">IF((E134="e"),H134," ")</f>
        <v> </v>
      </c>
    </row>
    <row r="135" customFormat="false" ht="12" hidden="false" customHeight="false" outlineLevel="0" collapsed="false">
      <c r="A135" s="28"/>
      <c r="E135" s="2" t="str">
        <f aca="false">IF((F135&lt;&gt;0),"Enter Letter"," ")</f>
        <v> </v>
      </c>
      <c r="F135" s="30"/>
      <c r="G135" s="6" t="str">
        <f aca="false">IF(F135&lt;&gt;0,F135*G$2/(100+G$2)," ")</f>
        <v> </v>
      </c>
      <c r="H135" s="6" t="str">
        <f aca="false">IF((F135&lt;&gt;0),F135-G135," ")</f>
        <v> </v>
      </c>
      <c r="I135" s="5"/>
      <c r="L135" s="7" t="str">
        <f aca="false">IF(F135&lt;&gt;0,F135-K135," ")</f>
        <v> </v>
      </c>
      <c r="M135" s="8" t="str">
        <f aca="false">IF((F135-K135)&lt;&gt;0,M$1-A135," ")</f>
        <v> </v>
      </c>
      <c r="N135" s="5"/>
      <c r="O135" s="17" t="str">
        <f aca="false">IF((E135="s"),H135," ")</f>
        <v> </v>
      </c>
      <c r="P135" s="17" t="str">
        <f aca="false">IF((E135="c"),H135," ")</f>
        <v> </v>
      </c>
      <c r="Q135" s="17" t="str">
        <f aca="false">IF((E135="o"),H135," ")</f>
        <v> </v>
      </c>
      <c r="R135" s="17" t="str">
        <f aca="false">IF((E135="d"),H135," ")</f>
        <v> </v>
      </c>
      <c r="S135" s="17" t="str">
        <f aca="false">IF((E135="w"),H135," ")</f>
        <v> </v>
      </c>
      <c r="T135" s="17" t="str">
        <f aca="false">IF((E135="r"),H135," ")</f>
        <v> </v>
      </c>
      <c r="U135" s="17" t="str">
        <f aca="false">IF((E135="p"),H135," ")</f>
        <v> </v>
      </c>
      <c r="V135" s="17" t="str">
        <f aca="false">IF((E135="t"),H135," ")</f>
        <v> </v>
      </c>
      <c r="W135" s="17" t="str">
        <f aca="false">IF((E135="q"),H135," ")</f>
        <v> </v>
      </c>
      <c r="X135" s="17" t="str">
        <f aca="false">IF((E135="m"),H135," ")</f>
        <v> </v>
      </c>
      <c r="Y135" s="17" t="str">
        <f aca="false">IF((E135="u"),H135," ")</f>
        <v> </v>
      </c>
      <c r="Z135" s="17" t="str">
        <f aca="false">IF((E135="a"),H135," ")</f>
        <v> </v>
      </c>
      <c r="AA135" s="17" t="str">
        <f aca="false">IF((E135="g"),H135," ")</f>
        <v> </v>
      </c>
      <c r="AB135" s="17" t="str">
        <f aca="false">IF((E135="h"),H135," ")</f>
        <v> </v>
      </c>
      <c r="AC135" s="30" t="str">
        <f aca="false">IF((E135="v"),H135," ")</f>
        <v> </v>
      </c>
      <c r="AD135" s="30" t="str">
        <f aca="false">IF((E135="n"),H135," ")</f>
        <v> </v>
      </c>
      <c r="AE135" s="17" t="str">
        <f aca="false">IF((E135="f"),H135," ")</f>
        <v> </v>
      </c>
      <c r="AF135" s="17" t="str">
        <f aca="false">IF((E135="l"),H135," ")</f>
        <v> </v>
      </c>
      <c r="AG135" s="17" t="str">
        <f aca="false">IF((E135="y"),H135," ")</f>
        <v> </v>
      </c>
      <c r="AH135" s="17" t="str">
        <f aca="false">IF((E135="z"),H135," ")</f>
        <v> </v>
      </c>
      <c r="AI135" s="17" t="str">
        <f aca="false">IF((E135="fa"),H135," ")</f>
        <v> </v>
      </c>
      <c r="AJ135" s="17" t="str">
        <f aca="false">IF((E135="e"),H135," ")</f>
        <v> </v>
      </c>
    </row>
    <row r="136" customFormat="false" ht="12" hidden="false" customHeight="false" outlineLevel="0" collapsed="false">
      <c r="A136" s="28"/>
      <c r="E136" s="2" t="str">
        <f aca="false">IF((F136&lt;&gt;0),"Enter Letter"," ")</f>
        <v> </v>
      </c>
      <c r="F136" s="30"/>
      <c r="G136" s="6" t="str">
        <f aca="false">IF(F136&lt;&gt;0,F136*G$2/(100+G$2)," ")</f>
        <v> </v>
      </c>
      <c r="H136" s="6" t="str">
        <f aca="false">IF((F136&lt;&gt;0),F136-G136," ")</f>
        <v> </v>
      </c>
      <c r="I136" s="5"/>
      <c r="L136" s="7" t="str">
        <f aca="false">IF(F136&lt;&gt;0,F136-K136," ")</f>
        <v> </v>
      </c>
      <c r="M136" s="8" t="str">
        <f aca="false">IF((F136-K136)&lt;&gt;0,M$1-A136," ")</f>
        <v> </v>
      </c>
      <c r="N136" s="5"/>
      <c r="O136" s="17" t="str">
        <f aca="false">IF((E136="s"),H136," ")</f>
        <v> </v>
      </c>
      <c r="P136" s="17" t="str">
        <f aca="false">IF((E136="c"),H136," ")</f>
        <v> </v>
      </c>
      <c r="Q136" s="17" t="str">
        <f aca="false">IF((E136="o"),H136," ")</f>
        <v> </v>
      </c>
      <c r="R136" s="17" t="str">
        <f aca="false">IF((E136="d"),H136," ")</f>
        <v> </v>
      </c>
      <c r="S136" s="17" t="str">
        <f aca="false">IF((E136="w"),H136," ")</f>
        <v> </v>
      </c>
      <c r="T136" s="17" t="str">
        <f aca="false">IF((E136="r"),H136," ")</f>
        <v> </v>
      </c>
      <c r="U136" s="17" t="str">
        <f aca="false">IF((E136="p"),H136," ")</f>
        <v> </v>
      </c>
      <c r="V136" s="17" t="str">
        <f aca="false">IF((E136="t"),H136," ")</f>
        <v> </v>
      </c>
      <c r="W136" s="17" t="str">
        <f aca="false">IF((E136="q"),H136," ")</f>
        <v> </v>
      </c>
      <c r="X136" s="17" t="str">
        <f aca="false">IF((E136="m"),H136," ")</f>
        <v> </v>
      </c>
      <c r="Y136" s="17" t="str">
        <f aca="false">IF((E136="u"),H136," ")</f>
        <v> </v>
      </c>
      <c r="Z136" s="17" t="str">
        <f aca="false">IF((E136="a"),H136," ")</f>
        <v> </v>
      </c>
      <c r="AA136" s="17" t="str">
        <f aca="false">IF((E136="g"),H136," ")</f>
        <v> </v>
      </c>
      <c r="AB136" s="17" t="str">
        <f aca="false">IF((E136="h"),H136," ")</f>
        <v> </v>
      </c>
      <c r="AC136" s="30" t="str">
        <f aca="false">IF((E136="v"),H136," ")</f>
        <v> </v>
      </c>
      <c r="AD136" s="30" t="str">
        <f aca="false">IF((E136="n"),H136," ")</f>
        <v> </v>
      </c>
      <c r="AE136" s="17" t="str">
        <f aca="false">IF((E136="f"),H136," ")</f>
        <v> </v>
      </c>
      <c r="AF136" s="17" t="str">
        <f aca="false">IF((E136="l"),H136," ")</f>
        <v> </v>
      </c>
      <c r="AG136" s="17" t="str">
        <f aca="false">IF((E136="y"),H136," ")</f>
        <v> </v>
      </c>
      <c r="AH136" s="17" t="str">
        <f aca="false">IF((E136="z"),H136," ")</f>
        <v> </v>
      </c>
      <c r="AI136" s="17" t="str">
        <f aca="false">IF((E136="fa"),H136," ")</f>
        <v> </v>
      </c>
      <c r="AJ136" s="17" t="str">
        <f aca="false">IF((E136="e"),H136," ")</f>
        <v> </v>
      </c>
    </row>
    <row r="137" customFormat="false" ht="12" hidden="false" customHeight="false" outlineLevel="0" collapsed="false">
      <c r="A137" s="28"/>
      <c r="E137" s="2" t="str">
        <f aca="false">IF((F137&lt;&gt;0),"Enter Letter"," ")</f>
        <v> </v>
      </c>
      <c r="F137" s="30"/>
      <c r="G137" s="6" t="str">
        <f aca="false">IF(F137&lt;&gt;0,F137*G$2/(100+G$2)," ")</f>
        <v> </v>
      </c>
      <c r="H137" s="6" t="str">
        <f aca="false">IF((F137&lt;&gt;0),F137-G137," ")</f>
        <v> </v>
      </c>
      <c r="I137" s="5"/>
      <c r="L137" s="7" t="str">
        <f aca="false">IF(F137&lt;&gt;0,F137-K137," ")</f>
        <v> </v>
      </c>
      <c r="M137" s="8" t="str">
        <f aca="false">IF((F137-K137)&lt;&gt;0,M$1-A137," ")</f>
        <v> </v>
      </c>
      <c r="N137" s="5"/>
      <c r="O137" s="17" t="str">
        <f aca="false">IF((E137="s"),H137," ")</f>
        <v> </v>
      </c>
      <c r="P137" s="17" t="str">
        <f aca="false">IF((E137="c"),H137," ")</f>
        <v> </v>
      </c>
      <c r="Q137" s="17" t="str">
        <f aca="false">IF((E137="o"),H137," ")</f>
        <v> </v>
      </c>
      <c r="R137" s="17" t="str">
        <f aca="false">IF((E137="d"),H137," ")</f>
        <v> </v>
      </c>
      <c r="S137" s="17" t="str">
        <f aca="false">IF((E137="w"),H137," ")</f>
        <v> </v>
      </c>
      <c r="T137" s="17" t="str">
        <f aca="false">IF((E137="r"),H137," ")</f>
        <v> </v>
      </c>
      <c r="U137" s="17" t="str">
        <f aca="false">IF((E137="p"),H137," ")</f>
        <v> </v>
      </c>
      <c r="V137" s="17" t="str">
        <f aca="false">IF((E137="t"),H137," ")</f>
        <v> </v>
      </c>
      <c r="W137" s="17" t="str">
        <f aca="false">IF((E137="q"),H137," ")</f>
        <v> </v>
      </c>
      <c r="X137" s="17" t="str">
        <f aca="false">IF((E137="m"),H137," ")</f>
        <v> </v>
      </c>
      <c r="Y137" s="17" t="str">
        <f aca="false">IF((E137="u"),H137," ")</f>
        <v> </v>
      </c>
      <c r="Z137" s="17" t="str">
        <f aca="false">IF((E137="a"),H137," ")</f>
        <v> </v>
      </c>
      <c r="AA137" s="17" t="str">
        <f aca="false">IF((E137="g"),H137," ")</f>
        <v> </v>
      </c>
      <c r="AB137" s="17" t="str">
        <f aca="false">IF((E137="h"),H137," ")</f>
        <v> </v>
      </c>
      <c r="AC137" s="30" t="str">
        <f aca="false">IF((E137="v"),H137," ")</f>
        <v> </v>
      </c>
      <c r="AD137" s="30" t="str">
        <f aca="false">IF((E137="n"),H137," ")</f>
        <v> </v>
      </c>
      <c r="AE137" s="17" t="str">
        <f aca="false">IF((E137="f"),H137," ")</f>
        <v> </v>
      </c>
      <c r="AF137" s="17" t="str">
        <f aca="false">IF((E137="l"),H137," ")</f>
        <v> </v>
      </c>
      <c r="AG137" s="17" t="str">
        <f aca="false">IF((E137="y"),H137," ")</f>
        <v> </v>
      </c>
      <c r="AH137" s="17" t="str">
        <f aca="false">IF((E137="z"),H137," ")</f>
        <v> </v>
      </c>
      <c r="AI137" s="17" t="str">
        <f aca="false">IF((E137="fa"),H137," ")</f>
        <v> </v>
      </c>
      <c r="AJ137" s="17" t="str">
        <f aca="false">IF((E137="e"),H137," ")</f>
        <v> </v>
      </c>
    </row>
    <row r="138" customFormat="false" ht="12" hidden="false" customHeight="false" outlineLevel="0" collapsed="false">
      <c r="A138" s="28"/>
      <c r="E138" s="2" t="str">
        <f aca="false">IF((F138&lt;&gt;0),"Enter Letter"," ")</f>
        <v> </v>
      </c>
      <c r="F138" s="30"/>
      <c r="G138" s="6" t="str">
        <f aca="false">IF(F138&lt;&gt;0,F138*G$2/(100+G$2)," ")</f>
        <v> </v>
      </c>
      <c r="H138" s="6" t="str">
        <f aca="false">IF((F138&lt;&gt;0),F138-G138," ")</f>
        <v> </v>
      </c>
      <c r="I138" s="5"/>
      <c r="L138" s="7" t="str">
        <f aca="false">IF(F138&lt;&gt;0,F138-K138," ")</f>
        <v> </v>
      </c>
      <c r="M138" s="8" t="str">
        <f aca="false">IF((F138-K138)&lt;&gt;0,M$1-A138," ")</f>
        <v> </v>
      </c>
      <c r="N138" s="5"/>
      <c r="O138" s="17" t="str">
        <f aca="false">IF((E138="s"),H138," ")</f>
        <v> </v>
      </c>
      <c r="P138" s="17" t="str">
        <f aca="false">IF((E138="c"),H138," ")</f>
        <v> </v>
      </c>
      <c r="Q138" s="17" t="str">
        <f aca="false">IF((E138="o"),H138," ")</f>
        <v> </v>
      </c>
      <c r="R138" s="17" t="str">
        <f aca="false">IF((E138="d"),H138," ")</f>
        <v> </v>
      </c>
      <c r="S138" s="17" t="str">
        <f aca="false">IF((E138="w"),H138," ")</f>
        <v> </v>
      </c>
      <c r="T138" s="17" t="str">
        <f aca="false">IF((E138="r"),H138," ")</f>
        <v> </v>
      </c>
      <c r="U138" s="17" t="str">
        <f aca="false">IF((E138="p"),H138," ")</f>
        <v> </v>
      </c>
      <c r="V138" s="17" t="str">
        <f aca="false">IF((E138="t"),H138," ")</f>
        <v> </v>
      </c>
      <c r="W138" s="17" t="str">
        <f aca="false">IF((E138="q"),H138," ")</f>
        <v> </v>
      </c>
      <c r="X138" s="17" t="str">
        <f aca="false">IF((E138="m"),H138," ")</f>
        <v> </v>
      </c>
      <c r="Y138" s="17" t="str">
        <f aca="false">IF((E138="u"),H138," ")</f>
        <v> </v>
      </c>
      <c r="Z138" s="17" t="str">
        <f aca="false">IF((E138="a"),H138," ")</f>
        <v> </v>
      </c>
      <c r="AA138" s="17" t="str">
        <f aca="false">IF((E138="g"),H138," ")</f>
        <v> </v>
      </c>
      <c r="AB138" s="17" t="str">
        <f aca="false">IF((E138="h"),H138," ")</f>
        <v> </v>
      </c>
      <c r="AC138" s="30" t="str">
        <f aca="false">IF((E138="v"),H138," ")</f>
        <v> </v>
      </c>
      <c r="AD138" s="30" t="str">
        <f aca="false">IF((E138="n"),H138," ")</f>
        <v> </v>
      </c>
      <c r="AE138" s="17" t="str">
        <f aca="false">IF((E138="f"),H138," ")</f>
        <v> </v>
      </c>
      <c r="AF138" s="17" t="str">
        <f aca="false">IF((E138="l"),H138," ")</f>
        <v> </v>
      </c>
      <c r="AG138" s="17" t="str">
        <f aca="false">IF((E138="y"),H138," ")</f>
        <v> </v>
      </c>
      <c r="AH138" s="17" t="str">
        <f aca="false">IF((E138="z"),H138," ")</f>
        <v> </v>
      </c>
      <c r="AI138" s="17" t="str">
        <f aca="false">IF((E138="fa"),H138," ")</f>
        <v> </v>
      </c>
      <c r="AJ138" s="17" t="str">
        <f aca="false">IF((E138="e"),H138," ")</f>
        <v> </v>
      </c>
    </row>
    <row r="139" customFormat="false" ht="12" hidden="false" customHeight="false" outlineLevel="0" collapsed="false">
      <c r="A139" s="28"/>
      <c r="E139" s="2" t="str">
        <f aca="false">IF((F139&lt;&gt;0),"Enter Letter"," ")</f>
        <v> </v>
      </c>
      <c r="F139" s="30"/>
      <c r="G139" s="6" t="str">
        <f aca="false">IF(F139&lt;&gt;0,F139*G$2/(100+G$2)," ")</f>
        <v> </v>
      </c>
      <c r="H139" s="6" t="str">
        <f aca="false">IF((F139&lt;&gt;0),F139-G139," ")</f>
        <v> </v>
      </c>
      <c r="I139" s="5"/>
      <c r="L139" s="7" t="str">
        <f aca="false">IF(F139&lt;&gt;0,F139-K139," ")</f>
        <v> </v>
      </c>
      <c r="M139" s="8" t="str">
        <f aca="false">IF((F139-K139)&lt;&gt;0,M$1-A139," ")</f>
        <v> </v>
      </c>
      <c r="N139" s="5"/>
      <c r="O139" s="17" t="str">
        <f aca="false">IF((E139="s"),H139," ")</f>
        <v> </v>
      </c>
      <c r="P139" s="17" t="str">
        <f aca="false">IF((E139="c"),H139," ")</f>
        <v> </v>
      </c>
      <c r="Q139" s="17" t="str">
        <f aca="false">IF((E139="o"),H139," ")</f>
        <v> </v>
      </c>
      <c r="R139" s="17" t="str">
        <f aca="false">IF((E139="d"),H139," ")</f>
        <v> </v>
      </c>
      <c r="S139" s="17" t="str">
        <f aca="false">IF((E139="w"),H139," ")</f>
        <v> </v>
      </c>
      <c r="T139" s="17" t="str">
        <f aca="false">IF((E139="r"),H139," ")</f>
        <v> </v>
      </c>
      <c r="U139" s="17" t="str">
        <f aca="false">IF((E139="p"),H139," ")</f>
        <v> </v>
      </c>
      <c r="V139" s="17" t="str">
        <f aca="false">IF((E139="t"),H139," ")</f>
        <v> </v>
      </c>
      <c r="W139" s="17" t="str">
        <f aca="false">IF((E139="q"),H139," ")</f>
        <v> </v>
      </c>
      <c r="X139" s="17" t="str">
        <f aca="false">IF((E139="m"),H139," ")</f>
        <v> </v>
      </c>
      <c r="Y139" s="17" t="str">
        <f aca="false">IF((E139="u"),H139," ")</f>
        <v> </v>
      </c>
      <c r="Z139" s="17" t="str">
        <f aca="false">IF((E139="a"),H139," ")</f>
        <v> </v>
      </c>
      <c r="AA139" s="17" t="str">
        <f aca="false">IF((E139="g"),H139," ")</f>
        <v> </v>
      </c>
      <c r="AB139" s="17" t="str">
        <f aca="false">IF((E139="h"),H139," ")</f>
        <v> </v>
      </c>
      <c r="AC139" s="30" t="str">
        <f aca="false">IF((E139="v"),H139," ")</f>
        <v> </v>
      </c>
      <c r="AD139" s="30" t="str">
        <f aca="false">IF((E139="n"),H139," ")</f>
        <v> </v>
      </c>
      <c r="AE139" s="17" t="str">
        <f aca="false">IF((E139="f"),H139," ")</f>
        <v> </v>
      </c>
      <c r="AF139" s="17" t="str">
        <f aca="false">IF((E139="l"),H139," ")</f>
        <v> </v>
      </c>
      <c r="AG139" s="17" t="str">
        <f aca="false">IF((E139="y"),H139," ")</f>
        <v> </v>
      </c>
      <c r="AH139" s="17" t="str">
        <f aca="false">IF((E139="z"),H139," ")</f>
        <v> </v>
      </c>
      <c r="AI139" s="17" t="str">
        <f aca="false">IF((E139="fa"),H139," ")</f>
        <v> </v>
      </c>
      <c r="AJ139" s="17" t="str">
        <f aca="false">IF((E139="e"),H139," ")</f>
        <v> </v>
      </c>
    </row>
    <row r="140" customFormat="false" ht="12" hidden="false" customHeight="false" outlineLevel="0" collapsed="false">
      <c r="A140" s="28"/>
      <c r="E140" s="2" t="str">
        <f aca="false">IF((F140&lt;&gt;0),"Enter Letter"," ")</f>
        <v> </v>
      </c>
      <c r="F140" s="30"/>
      <c r="G140" s="6" t="str">
        <f aca="false">IF(F140&lt;&gt;0,F140*G$2/(100+G$2)," ")</f>
        <v> </v>
      </c>
      <c r="H140" s="6" t="str">
        <f aca="false">IF((F140&lt;&gt;0),F140-G140," ")</f>
        <v> </v>
      </c>
      <c r="I140" s="5"/>
      <c r="L140" s="7" t="str">
        <f aca="false">IF(F140&lt;&gt;0,F140-K140," ")</f>
        <v> </v>
      </c>
      <c r="M140" s="8" t="str">
        <f aca="false">IF((F140-K140)&lt;&gt;0,M$1-A140," ")</f>
        <v> </v>
      </c>
      <c r="N140" s="5"/>
      <c r="O140" s="17" t="str">
        <f aca="false">IF((E140="s"),H140," ")</f>
        <v> </v>
      </c>
      <c r="P140" s="17" t="str">
        <f aca="false">IF((E140="c"),H140," ")</f>
        <v> </v>
      </c>
      <c r="Q140" s="17" t="str">
        <f aca="false">IF((E140="o"),H140," ")</f>
        <v> </v>
      </c>
      <c r="R140" s="17" t="str">
        <f aca="false">IF((E140="d"),H140," ")</f>
        <v> </v>
      </c>
      <c r="S140" s="17" t="str">
        <f aca="false">IF((E140="w"),H140," ")</f>
        <v> </v>
      </c>
      <c r="T140" s="17" t="str">
        <f aca="false">IF((E140="r"),H140," ")</f>
        <v> </v>
      </c>
      <c r="U140" s="17" t="str">
        <f aca="false">IF((E140="p"),H140," ")</f>
        <v> </v>
      </c>
      <c r="V140" s="17" t="str">
        <f aca="false">IF((E140="t"),H140," ")</f>
        <v> </v>
      </c>
      <c r="W140" s="17" t="str">
        <f aca="false">IF((E140="q"),H140," ")</f>
        <v> </v>
      </c>
      <c r="X140" s="17" t="str">
        <f aca="false">IF((E140="m"),H140," ")</f>
        <v> </v>
      </c>
      <c r="Y140" s="17" t="str">
        <f aca="false">IF((E140="u"),H140," ")</f>
        <v> </v>
      </c>
      <c r="Z140" s="17" t="str">
        <f aca="false">IF((E140="a"),H140," ")</f>
        <v> </v>
      </c>
      <c r="AA140" s="17" t="str">
        <f aca="false">IF((E140="g"),H140," ")</f>
        <v> </v>
      </c>
      <c r="AB140" s="17" t="str">
        <f aca="false">IF((E140="h"),H140," ")</f>
        <v> </v>
      </c>
      <c r="AC140" s="30" t="str">
        <f aca="false">IF((E140="v"),H140," ")</f>
        <v> </v>
      </c>
      <c r="AD140" s="30" t="str">
        <f aca="false">IF((E140="n"),H140," ")</f>
        <v> </v>
      </c>
      <c r="AE140" s="17" t="str">
        <f aca="false">IF((E140="f"),H140," ")</f>
        <v> </v>
      </c>
      <c r="AF140" s="17" t="str">
        <f aca="false">IF((E140="l"),H140," ")</f>
        <v> </v>
      </c>
      <c r="AG140" s="17" t="str">
        <f aca="false">IF((E140="y"),H140," ")</f>
        <v> </v>
      </c>
      <c r="AH140" s="17" t="str">
        <f aca="false">IF((E140="z"),H140," ")</f>
        <v> </v>
      </c>
      <c r="AI140" s="17" t="str">
        <f aca="false">IF((E140="fa"),H140," ")</f>
        <v> </v>
      </c>
      <c r="AJ140" s="17" t="str">
        <f aca="false">IF((E140="e"),H140," ")</f>
        <v> </v>
      </c>
    </row>
    <row r="141" customFormat="false" ht="12" hidden="false" customHeight="false" outlineLevel="0" collapsed="false">
      <c r="A141" s="28"/>
      <c r="E141" s="2" t="str">
        <f aca="false">IF((F141&lt;&gt;0),"Enter Letter"," ")</f>
        <v> </v>
      </c>
      <c r="F141" s="30"/>
      <c r="G141" s="6" t="str">
        <f aca="false">IF(F141&lt;&gt;0,F141*G$2/(100+G$2)," ")</f>
        <v> </v>
      </c>
      <c r="H141" s="6" t="str">
        <f aca="false">IF((F141&lt;&gt;0),F141-G141," ")</f>
        <v> </v>
      </c>
      <c r="I141" s="5"/>
      <c r="L141" s="7" t="str">
        <f aca="false">IF(F141&lt;&gt;0,F141-K141," ")</f>
        <v> </v>
      </c>
      <c r="M141" s="8" t="str">
        <f aca="false">IF((F141-K141)&lt;&gt;0,M$1-A141," ")</f>
        <v> </v>
      </c>
      <c r="N141" s="5"/>
      <c r="O141" s="17" t="str">
        <f aca="false">IF((E141="s"),H141," ")</f>
        <v> </v>
      </c>
      <c r="P141" s="17" t="str">
        <f aca="false">IF((E141="c"),H141," ")</f>
        <v> </v>
      </c>
      <c r="Q141" s="17" t="str">
        <f aca="false">IF((E141="o"),H141," ")</f>
        <v> </v>
      </c>
      <c r="R141" s="17" t="str">
        <f aca="false">IF((E141="d"),H141," ")</f>
        <v> </v>
      </c>
      <c r="S141" s="17" t="str">
        <f aca="false">IF((E141="w"),H141," ")</f>
        <v> </v>
      </c>
      <c r="T141" s="17" t="str">
        <f aca="false">IF((E141="r"),H141," ")</f>
        <v> </v>
      </c>
      <c r="U141" s="17" t="str">
        <f aca="false">IF((E141="p"),H141," ")</f>
        <v> </v>
      </c>
      <c r="V141" s="17" t="str">
        <f aca="false">IF((E141="t"),H141," ")</f>
        <v> </v>
      </c>
      <c r="W141" s="17" t="str">
        <f aca="false">IF((E141="q"),H141," ")</f>
        <v> </v>
      </c>
      <c r="X141" s="17" t="str">
        <f aca="false">IF((E141="m"),H141," ")</f>
        <v> </v>
      </c>
      <c r="Y141" s="17" t="str">
        <f aca="false">IF((E141="u"),H141," ")</f>
        <v> </v>
      </c>
      <c r="Z141" s="17" t="str">
        <f aca="false">IF((E141="a"),H141," ")</f>
        <v> </v>
      </c>
      <c r="AA141" s="17" t="str">
        <f aca="false">IF((E141="g"),H141," ")</f>
        <v> </v>
      </c>
      <c r="AB141" s="17" t="str">
        <f aca="false">IF((E141="h"),H141," ")</f>
        <v> </v>
      </c>
      <c r="AC141" s="30" t="str">
        <f aca="false">IF((E141="v"),H141," ")</f>
        <v> </v>
      </c>
      <c r="AD141" s="30" t="str">
        <f aca="false">IF((E141="n"),H141," ")</f>
        <v> </v>
      </c>
      <c r="AE141" s="17" t="str">
        <f aca="false">IF((E141="f"),H141," ")</f>
        <v> </v>
      </c>
      <c r="AF141" s="17" t="str">
        <f aca="false">IF((E141="l"),H141," ")</f>
        <v> </v>
      </c>
      <c r="AG141" s="17" t="str">
        <f aca="false">IF((E141="y"),H141," ")</f>
        <v> </v>
      </c>
      <c r="AH141" s="17" t="str">
        <f aca="false">IF((E141="z"),H141," ")</f>
        <v> </v>
      </c>
      <c r="AI141" s="17" t="str">
        <f aca="false">IF((E141="fa"),H141," ")</f>
        <v> </v>
      </c>
      <c r="AJ141" s="17" t="str">
        <f aca="false">IF((E141="e"),H141," ")</f>
        <v> </v>
      </c>
    </row>
    <row r="142" customFormat="false" ht="12" hidden="false" customHeight="false" outlineLevel="0" collapsed="false">
      <c r="A142" s="28"/>
      <c r="E142" s="2" t="str">
        <f aca="false">IF((F142&lt;&gt;0),"Enter Letter"," ")</f>
        <v> </v>
      </c>
      <c r="F142" s="30"/>
      <c r="G142" s="6" t="str">
        <f aca="false">IF(F142&lt;&gt;0,F142*G$2/(100+G$2)," ")</f>
        <v> </v>
      </c>
      <c r="H142" s="6" t="str">
        <f aca="false">IF((F142&lt;&gt;0),F142-G142," ")</f>
        <v> </v>
      </c>
      <c r="I142" s="5"/>
      <c r="L142" s="7" t="str">
        <f aca="false">IF(F142&lt;&gt;0,F142-K142," ")</f>
        <v> </v>
      </c>
      <c r="M142" s="8" t="str">
        <f aca="false">IF((F142-K142)&lt;&gt;0,M$1-A142," ")</f>
        <v> </v>
      </c>
      <c r="N142" s="5"/>
      <c r="O142" s="17" t="str">
        <f aca="false">IF((E142="s"),H142," ")</f>
        <v> </v>
      </c>
      <c r="P142" s="17" t="str">
        <f aca="false">IF((E142="c"),H142," ")</f>
        <v> </v>
      </c>
      <c r="Q142" s="17" t="str">
        <f aca="false">IF((E142="o"),H142," ")</f>
        <v> </v>
      </c>
      <c r="R142" s="17" t="str">
        <f aca="false">IF((E142="d"),H142," ")</f>
        <v> </v>
      </c>
      <c r="S142" s="17" t="str">
        <f aca="false">IF((E142="w"),H142," ")</f>
        <v> </v>
      </c>
      <c r="T142" s="17" t="str">
        <f aca="false">IF((E142="r"),H142," ")</f>
        <v> </v>
      </c>
      <c r="U142" s="17" t="str">
        <f aca="false">IF((E142="p"),H142," ")</f>
        <v> </v>
      </c>
      <c r="V142" s="17" t="str">
        <f aca="false">IF((E142="t"),H142," ")</f>
        <v> </v>
      </c>
      <c r="W142" s="17" t="str">
        <f aca="false">IF((E142="q"),H142," ")</f>
        <v> </v>
      </c>
      <c r="X142" s="17" t="str">
        <f aca="false">IF((E142="m"),H142," ")</f>
        <v> </v>
      </c>
      <c r="Y142" s="17" t="str">
        <f aca="false">IF((E142="u"),H142," ")</f>
        <v> </v>
      </c>
      <c r="Z142" s="17" t="str">
        <f aca="false">IF((E142="a"),H142," ")</f>
        <v> </v>
      </c>
      <c r="AA142" s="17" t="str">
        <f aca="false">IF((E142="g"),H142," ")</f>
        <v> </v>
      </c>
      <c r="AB142" s="17" t="str">
        <f aca="false">IF((E142="h"),H142," ")</f>
        <v> </v>
      </c>
      <c r="AC142" s="30" t="str">
        <f aca="false">IF((E142="v"),H142," ")</f>
        <v> </v>
      </c>
      <c r="AD142" s="30" t="str">
        <f aca="false">IF((E142="n"),H142," ")</f>
        <v> </v>
      </c>
      <c r="AE142" s="17" t="str">
        <f aca="false">IF((E142="f"),H142," ")</f>
        <v> </v>
      </c>
      <c r="AF142" s="17" t="str">
        <f aca="false">IF((E142="l"),H142," ")</f>
        <v> </v>
      </c>
      <c r="AG142" s="17" t="str">
        <f aca="false">IF((E142="y"),H142," ")</f>
        <v> </v>
      </c>
      <c r="AH142" s="17" t="str">
        <f aca="false">IF((E142="z"),H142," ")</f>
        <v> </v>
      </c>
      <c r="AI142" s="17" t="str">
        <f aca="false">IF((E142="fa"),H142," ")</f>
        <v> </v>
      </c>
      <c r="AJ142" s="17" t="str">
        <f aca="false">IF((E142="e"),H142," ")</f>
        <v> </v>
      </c>
    </row>
    <row r="143" customFormat="false" ht="12" hidden="false" customHeight="false" outlineLevel="0" collapsed="false">
      <c r="A143" s="28"/>
      <c r="E143" s="2" t="str">
        <f aca="false">IF((F143&lt;&gt;0),"Enter Letter"," ")</f>
        <v> </v>
      </c>
      <c r="F143" s="30"/>
      <c r="G143" s="6" t="str">
        <f aca="false">IF(F143&lt;&gt;0,F143*G$2/(100+G$2)," ")</f>
        <v> </v>
      </c>
      <c r="H143" s="6" t="str">
        <f aca="false">IF((F143&lt;&gt;0),F143-G143," ")</f>
        <v> </v>
      </c>
      <c r="I143" s="5"/>
      <c r="L143" s="7" t="str">
        <f aca="false">IF(F143&lt;&gt;0,F143-K143," ")</f>
        <v> </v>
      </c>
      <c r="M143" s="8" t="str">
        <f aca="false">IF((F143-K143)&lt;&gt;0,M$1-A143," ")</f>
        <v> </v>
      </c>
      <c r="N143" s="5"/>
      <c r="O143" s="17" t="str">
        <f aca="false">IF((E143="s"),H143," ")</f>
        <v> </v>
      </c>
      <c r="P143" s="17" t="str">
        <f aca="false">IF((E143="c"),H143," ")</f>
        <v> </v>
      </c>
      <c r="Q143" s="17" t="str">
        <f aca="false">IF((E143="o"),H143," ")</f>
        <v> </v>
      </c>
      <c r="R143" s="17" t="str">
        <f aca="false">IF((E143="d"),H143," ")</f>
        <v> </v>
      </c>
      <c r="S143" s="17" t="str">
        <f aca="false">IF((E143="w"),H143," ")</f>
        <v> </v>
      </c>
      <c r="T143" s="17" t="str">
        <f aca="false">IF((E143="r"),H143," ")</f>
        <v> </v>
      </c>
      <c r="U143" s="17" t="str">
        <f aca="false">IF((E143="p"),H143," ")</f>
        <v> </v>
      </c>
      <c r="V143" s="17" t="str">
        <f aca="false">IF((E143="t"),H143," ")</f>
        <v> </v>
      </c>
      <c r="W143" s="17" t="str">
        <f aca="false">IF((E143="q"),H143," ")</f>
        <v> </v>
      </c>
      <c r="X143" s="17" t="str">
        <f aca="false">IF((E143="m"),H143," ")</f>
        <v> </v>
      </c>
      <c r="Y143" s="17" t="str">
        <f aca="false">IF((E143="u"),H143," ")</f>
        <v> </v>
      </c>
      <c r="Z143" s="17" t="str">
        <f aca="false">IF((E143="a"),H143," ")</f>
        <v> </v>
      </c>
      <c r="AA143" s="17" t="str">
        <f aca="false">IF((E143="g"),H143," ")</f>
        <v> </v>
      </c>
      <c r="AB143" s="17" t="str">
        <f aca="false">IF((E143="h"),H143," ")</f>
        <v> </v>
      </c>
      <c r="AC143" s="30" t="str">
        <f aca="false">IF((E143="v"),H143," ")</f>
        <v> </v>
      </c>
      <c r="AD143" s="30" t="str">
        <f aca="false">IF((E143="n"),H143," ")</f>
        <v> </v>
      </c>
      <c r="AE143" s="17" t="str">
        <f aca="false">IF((E143="f"),H143," ")</f>
        <v> </v>
      </c>
      <c r="AF143" s="17" t="str">
        <f aca="false">IF((E143="l"),H143," ")</f>
        <v> </v>
      </c>
      <c r="AG143" s="17" t="str">
        <f aca="false">IF((E143="y"),H143," ")</f>
        <v> </v>
      </c>
      <c r="AH143" s="17" t="str">
        <f aca="false">IF((E143="z"),H143," ")</f>
        <v> </v>
      </c>
      <c r="AI143" s="17" t="str">
        <f aca="false">IF((E143="fa"),H143," ")</f>
        <v> </v>
      </c>
      <c r="AJ143" s="17" t="str">
        <f aca="false">IF((E143="e"),H143," ")</f>
        <v> </v>
      </c>
    </row>
    <row r="144" customFormat="false" ht="12" hidden="false" customHeight="false" outlineLevel="0" collapsed="false">
      <c r="A144" s="28"/>
      <c r="E144" s="2" t="str">
        <f aca="false">IF((F144&lt;&gt;0),"Enter Letter"," ")</f>
        <v> </v>
      </c>
      <c r="F144" s="30"/>
      <c r="G144" s="6" t="str">
        <f aca="false">IF(F144&lt;&gt;0,F144*G$2/(100+G$2)," ")</f>
        <v> </v>
      </c>
      <c r="H144" s="6" t="str">
        <f aca="false">IF((F144&lt;&gt;0),F144-G144," ")</f>
        <v> </v>
      </c>
      <c r="I144" s="5"/>
      <c r="L144" s="7" t="str">
        <f aca="false">IF(F144&lt;&gt;0,F144-K144," ")</f>
        <v> </v>
      </c>
      <c r="M144" s="8" t="str">
        <f aca="false">IF((F144-K144)&lt;&gt;0,M$1-A144," ")</f>
        <v> </v>
      </c>
      <c r="N144" s="5"/>
      <c r="O144" s="17" t="str">
        <f aca="false">IF((E144="s"),H144," ")</f>
        <v> </v>
      </c>
      <c r="P144" s="17" t="str">
        <f aca="false">IF((E144="c"),H144," ")</f>
        <v> </v>
      </c>
      <c r="Q144" s="17" t="str">
        <f aca="false">IF((E144="o"),H144," ")</f>
        <v> </v>
      </c>
      <c r="R144" s="17" t="str">
        <f aca="false">IF((E144="d"),H144," ")</f>
        <v> </v>
      </c>
      <c r="S144" s="17" t="str">
        <f aca="false">IF((E144="w"),H144," ")</f>
        <v> </v>
      </c>
      <c r="T144" s="17" t="str">
        <f aca="false">IF((E144="r"),H144," ")</f>
        <v> </v>
      </c>
      <c r="U144" s="17" t="str">
        <f aca="false">IF((E144="p"),H144," ")</f>
        <v> </v>
      </c>
      <c r="V144" s="17" t="str">
        <f aca="false">IF((E144="t"),H144," ")</f>
        <v> </v>
      </c>
      <c r="W144" s="17" t="str">
        <f aca="false">IF((E144="q"),H144," ")</f>
        <v> </v>
      </c>
      <c r="X144" s="17" t="str">
        <f aca="false">IF((E144="m"),H144," ")</f>
        <v> </v>
      </c>
      <c r="Y144" s="17" t="str">
        <f aca="false">IF((E144="u"),H144," ")</f>
        <v> </v>
      </c>
      <c r="Z144" s="17" t="str">
        <f aca="false">IF((E144="a"),H144," ")</f>
        <v> </v>
      </c>
      <c r="AA144" s="17" t="str">
        <f aca="false">IF((E144="g"),H144," ")</f>
        <v> </v>
      </c>
      <c r="AB144" s="17" t="str">
        <f aca="false">IF((E144="h"),H144," ")</f>
        <v> </v>
      </c>
      <c r="AC144" s="30" t="str">
        <f aca="false">IF((E144="v"),H144," ")</f>
        <v> </v>
      </c>
      <c r="AD144" s="30" t="str">
        <f aca="false">IF((E144="n"),H144," ")</f>
        <v> </v>
      </c>
      <c r="AE144" s="17" t="str">
        <f aca="false">IF((E144="f"),H144," ")</f>
        <v> </v>
      </c>
      <c r="AF144" s="17" t="str">
        <f aca="false">IF((E144="l"),H144," ")</f>
        <v> </v>
      </c>
      <c r="AG144" s="17" t="str">
        <f aca="false">IF((E144="y"),H144," ")</f>
        <v> </v>
      </c>
      <c r="AH144" s="17" t="str">
        <f aca="false">IF((E144="z"),H144," ")</f>
        <v> </v>
      </c>
      <c r="AI144" s="17" t="str">
        <f aca="false">IF((E144="fa"),H144," ")</f>
        <v> </v>
      </c>
      <c r="AJ144" s="17" t="str">
        <f aca="false">IF((E144="e"),H144," ")</f>
        <v> </v>
      </c>
    </row>
    <row r="145" customFormat="false" ht="12" hidden="false" customHeight="false" outlineLevel="0" collapsed="false">
      <c r="A145" s="28"/>
      <c r="E145" s="2" t="str">
        <f aca="false">IF((F145&lt;&gt;0),"Enter Letter"," ")</f>
        <v> </v>
      </c>
      <c r="F145" s="30"/>
      <c r="G145" s="6" t="str">
        <f aca="false">IF(F145&lt;&gt;0,F145*G$2/(100+G$2)," ")</f>
        <v> </v>
      </c>
      <c r="H145" s="6" t="str">
        <f aca="false">IF((F145&lt;&gt;0),F145-G145," ")</f>
        <v> </v>
      </c>
      <c r="I145" s="5"/>
      <c r="L145" s="7" t="str">
        <f aca="false">IF(F145&lt;&gt;0,F145-K145," ")</f>
        <v> </v>
      </c>
      <c r="M145" s="8" t="str">
        <f aca="false">IF((F145-K145)&lt;&gt;0,M$1-A145," ")</f>
        <v> </v>
      </c>
      <c r="N145" s="5"/>
      <c r="O145" s="17" t="str">
        <f aca="false">IF((E145="s"),H145," ")</f>
        <v> </v>
      </c>
      <c r="P145" s="17" t="str">
        <f aca="false">IF((E145="c"),H145," ")</f>
        <v> </v>
      </c>
      <c r="Q145" s="17" t="str">
        <f aca="false">IF((E145="o"),H145," ")</f>
        <v> </v>
      </c>
      <c r="R145" s="17" t="str">
        <f aca="false">IF((E145="d"),H145," ")</f>
        <v> </v>
      </c>
      <c r="S145" s="17" t="str">
        <f aca="false">IF((E145="w"),H145," ")</f>
        <v> </v>
      </c>
      <c r="T145" s="17" t="str">
        <f aca="false">IF((E145="r"),H145," ")</f>
        <v> </v>
      </c>
      <c r="U145" s="17" t="str">
        <f aca="false">IF((E145="p"),H145," ")</f>
        <v> </v>
      </c>
      <c r="V145" s="17" t="str">
        <f aca="false">IF((E145="t"),H145," ")</f>
        <v> </v>
      </c>
      <c r="W145" s="17" t="str">
        <f aca="false">IF((E145="q"),H145," ")</f>
        <v> </v>
      </c>
      <c r="X145" s="17" t="str">
        <f aca="false">IF((E145="m"),H145," ")</f>
        <v> </v>
      </c>
      <c r="Y145" s="17" t="str">
        <f aca="false">IF((E145="u"),H145," ")</f>
        <v> </v>
      </c>
      <c r="Z145" s="17" t="str">
        <f aca="false">IF((E145="a"),H145," ")</f>
        <v> </v>
      </c>
      <c r="AA145" s="17" t="str">
        <f aca="false">IF((E145="g"),H145," ")</f>
        <v> </v>
      </c>
      <c r="AB145" s="17" t="str">
        <f aca="false">IF((E145="h"),H145," ")</f>
        <v> </v>
      </c>
      <c r="AC145" s="30" t="str">
        <f aca="false">IF((E145="v"),H145," ")</f>
        <v> </v>
      </c>
      <c r="AD145" s="30" t="str">
        <f aca="false">IF((E145="n"),H145," ")</f>
        <v> </v>
      </c>
      <c r="AE145" s="17" t="str">
        <f aca="false">IF((E145="f"),H145," ")</f>
        <v> </v>
      </c>
      <c r="AF145" s="17" t="str">
        <f aca="false">IF((E145="l"),H145," ")</f>
        <v> </v>
      </c>
      <c r="AG145" s="17" t="str">
        <f aca="false">IF((E145="y"),H145," ")</f>
        <v> </v>
      </c>
      <c r="AH145" s="17" t="str">
        <f aca="false">IF((E145="z"),H145," ")</f>
        <v> </v>
      </c>
      <c r="AI145" s="17" t="str">
        <f aca="false">IF((E145="fa"),H145," ")</f>
        <v> </v>
      </c>
      <c r="AJ145" s="17" t="str">
        <f aca="false">IF((E145="e"),H145," ")</f>
        <v> </v>
      </c>
    </row>
    <row r="146" customFormat="false" ht="12" hidden="false" customHeight="false" outlineLevel="0" collapsed="false">
      <c r="A146" s="28"/>
      <c r="E146" s="2" t="str">
        <f aca="false">IF((F146&lt;&gt;0),"Enter Letter"," ")</f>
        <v> </v>
      </c>
      <c r="F146" s="30"/>
      <c r="G146" s="6" t="str">
        <f aca="false">IF(F146&lt;&gt;0,F146*G$2/(100+G$2)," ")</f>
        <v> </v>
      </c>
      <c r="H146" s="6" t="str">
        <f aca="false">IF((F146&lt;&gt;0),F146-G146," ")</f>
        <v> </v>
      </c>
      <c r="I146" s="5"/>
      <c r="L146" s="7" t="str">
        <f aca="false">IF(F146&lt;&gt;0,F146-K146," ")</f>
        <v> </v>
      </c>
      <c r="M146" s="8" t="str">
        <f aca="false">IF((F146-K146)&lt;&gt;0,M$1-A146," ")</f>
        <v> </v>
      </c>
      <c r="N146" s="5"/>
      <c r="O146" s="17" t="str">
        <f aca="false">IF((E146="s"),H146," ")</f>
        <v> </v>
      </c>
      <c r="P146" s="17" t="str">
        <f aca="false">IF((E146="c"),H146," ")</f>
        <v> </v>
      </c>
      <c r="Q146" s="17" t="str">
        <f aca="false">IF((E146="o"),H146," ")</f>
        <v> </v>
      </c>
      <c r="R146" s="17" t="str">
        <f aca="false">IF((E146="d"),H146," ")</f>
        <v> </v>
      </c>
      <c r="S146" s="17" t="str">
        <f aca="false">IF((E146="w"),H146," ")</f>
        <v> </v>
      </c>
      <c r="T146" s="17" t="str">
        <f aca="false">IF((E146="r"),H146," ")</f>
        <v> </v>
      </c>
      <c r="U146" s="17" t="str">
        <f aca="false">IF((E146="p"),H146," ")</f>
        <v> </v>
      </c>
      <c r="V146" s="17" t="str">
        <f aca="false">IF((E146="t"),H146," ")</f>
        <v> </v>
      </c>
      <c r="W146" s="17" t="str">
        <f aca="false">IF((E146="q"),H146," ")</f>
        <v> </v>
      </c>
      <c r="X146" s="17" t="str">
        <f aca="false">IF((E146="m"),H146," ")</f>
        <v> </v>
      </c>
      <c r="Y146" s="17" t="str">
        <f aca="false">IF((E146="u"),H146," ")</f>
        <v> </v>
      </c>
      <c r="Z146" s="17" t="str">
        <f aca="false">IF((E146="a"),H146," ")</f>
        <v> </v>
      </c>
      <c r="AA146" s="17" t="str">
        <f aca="false">IF((E146="g"),H146," ")</f>
        <v> </v>
      </c>
      <c r="AB146" s="17" t="str">
        <f aca="false">IF((E146="h"),H146," ")</f>
        <v> </v>
      </c>
      <c r="AC146" s="30" t="str">
        <f aca="false">IF((E146="v"),H146," ")</f>
        <v> </v>
      </c>
      <c r="AD146" s="30" t="str">
        <f aca="false">IF((E146="n"),H146," ")</f>
        <v> </v>
      </c>
      <c r="AE146" s="17" t="str">
        <f aca="false">IF((E146="f"),H146," ")</f>
        <v> </v>
      </c>
      <c r="AF146" s="17" t="str">
        <f aca="false">IF((E146="l"),H146," ")</f>
        <v> </v>
      </c>
      <c r="AG146" s="17" t="str">
        <f aca="false">IF((E146="y"),H146," ")</f>
        <v> </v>
      </c>
      <c r="AH146" s="17" t="str">
        <f aca="false">IF((E146="z"),H146," ")</f>
        <v> </v>
      </c>
      <c r="AI146" s="17" t="str">
        <f aca="false">IF((E146="fa"),H146," ")</f>
        <v> </v>
      </c>
      <c r="AJ146" s="17" t="str">
        <f aca="false">IF((E146="e"),H146," ")</f>
        <v> </v>
      </c>
    </row>
    <row r="147" customFormat="false" ht="12" hidden="false" customHeight="false" outlineLevel="0" collapsed="false">
      <c r="A147" s="28"/>
      <c r="E147" s="2" t="str">
        <f aca="false">IF((F147&lt;&gt;0),"Enter Letter"," ")</f>
        <v> </v>
      </c>
      <c r="F147" s="30"/>
      <c r="G147" s="6" t="str">
        <f aca="false">IF(F147&lt;&gt;0,F147*G$2/(100+G$2)," ")</f>
        <v> </v>
      </c>
      <c r="H147" s="6" t="str">
        <f aca="false">IF((F147&lt;&gt;0),F147-G147," ")</f>
        <v> </v>
      </c>
      <c r="I147" s="5"/>
      <c r="L147" s="7" t="str">
        <f aca="false">IF(F147&lt;&gt;0,F147-K147," ")</f>
        <v> </v>
      </c>
      <c r="M147" s="8" t="str">
        <f aca="false">IF((F147-K147)&lt;&gt;0,M$1-A147," ")</f>
        <v> </v>
      </c>
      <c r="N147" s="5"/>
      <c r="O147" s="17" t="str">
        <f aca="false">IF((E147="s"),H147," ")</f>
        <v> </v>
      </c>
      <c r="P147" s="17" t="str">
        <f aca="false">IF((E147="c"),H147," ")</f>
        <v> </v>
      </c>
      <c r="Q147" s="17" t="str">
        <f aca="false">IF((E147="o"),H147," ")</f>
        <v> </v>
      </c>
      <c r="R147" s="17" t="str">
        <f aca="false">IF((E147="d"),H147," ")</f>
        <v> </v>
      </c>
      <c r="S147" s="17" t="str">
        <f aca="false">IF((E147="w"),H147," ")</f>
        <v> </v>
      </c>
      <c r="T147" s="17" t="str">
        <f aca="false">IF((E147="r"),H147," ")</f>
        <v> </v>
      </c>
      <c r="U147" s="17" t="str">
        <f aca="false">IF((E147="p"),H147," ")</f>
        <v> </v>
      </c>
      <c r="V147" s="17" t="str">
        <f aca="false">IF((E147="t"),H147," ")</f>
        <v> </v>
      </c>
      <c r="W147" s="17" t="str">
        <f aca="false">IF((E147="q"),H147," ")</f>
        <v> </v>
      </c>
      <c r="X147" s="17" t="str">
        <f aca="false">IF((E147="m"),H147," ")</f>
        <v> </v>
      </c>
      <c r="Y147" s="17" t="str">
        <f aca="false">IF((E147="u"),H147," ")</f>
        <v> </v>
      </c>
      <c r="Z147" s="17" t="str">
        <f aca="false">IF((E147="a"),H147," ")</f>
        <v> </v>
      </c>
      <c r="AA147" s="17" t="str">
        <f aca="false">IF((E147="g"),H147," ")</f>
        <v> </v>
      </c>
      <c r="AB147" s="17" t="str">
        <f aca="false">IF((E147="h"),H147," ")</f>
        <v> </v>
      </c>
      <c r="AC147" s="30" t="str">
        <f aca="false">IF((E147="v"),H147," ")</f>
        <v> </v>
      </c>
      <c r="AD147" s="30" t="str">
        <f aca="false">IF((E147="n"),H147," ")</f>
        <v> </v>
      </c>
      <c r="AE147" s="17" t="str">
        <f aca="false">IF((E147="f"),H147," ")</f>
        <v> </v>
      </c>
      <c r="AF147" s="17" t="str">
        <f aca="false">IF((E147="l"),H147," ")</f>
        <v> </v>
      </c>
      <c r="AG147" s="17" t="str">
        <f aca="false">IF((E147="y"),H147," ")</f>
        <v> </v>
      </c>
      <c r="AH147" s="17" t="str">
        <f aca="false">IF((E147="z"),H147," ")</f>
        <v> </v>
      </c>
      <c r="AI147" s="17" t="str">
        <f aca="false">IF((E147="fa"),H147," ")</f>
        <v> </v>
      </c>
      <c r="AJ147" s="17" t="str">
        <f aca="false">IF((E147="e"),H147," ")</f>
        <v> </v>
      </c>
    </row>
    <row r="148" customFormat="false" ht="12" hidden="false" customHeight="false" outlineLevel="0" collapsed="false">
      <c r="A148" s="28"/>
      <c r="E148" s="2" t="str">
        <f aca="false">IF((F148&lt;&gt;0),"Enter Letter"," ")</f>
        <v> </v>
      </c>
      <c r="F148" s="30"/>
      <c r="G148" s="6" t="str">
        <f aca="false">IF(F148&lt;&gt;0,F148*G$2/(100+G$2)," ")</f>
        <v> </v>
      </c>
      <c r="H148" s="6" t="str">
        <f aca="false">IF((F148&lt;&gt;0),F148-G148," ")</f>
        <v> </v>
      </c>
      <c r="I148" s="5"/>
      <c r="L148" s="7" t="str">
        <f aca="false">IF(F148&lt;&gt;0,F148-K148," ")</f>
        <v> </v>
      </c>
      <c r="M148" s="8" t="str">
        <f aca="false">IF((F148-K148)&lt;&gt;0,M$1-A148," ")</f>
        <v> </v>
      </c>
      <c r="N148" s="5"/>
      <c r="O148" s="17" t="str">
        <f aca="false">IF((E148="s"),H148," ")</f>
        <v> </v>
      </c>
      <c r="P148" s="17" t="str">
        <f aca="false">IF((E148="c"),H148," ")</f>
        <v> </v>
      </c>
      <c r="Q148" s="17" t="str">
        <f aca="false">IF((E148="o"),H148," ")</f>
        <v> </v>
      </c>
      <c r="R148" s="17" t="str">
        <f aca="false">IF((E148="d"),H148," ")</f>
        <v> </v>
      </c>
      <c r="S148" s="17" t="str">
        <f aca="false">IF((E148="w"),H148," ")</f>
        <v> </v>
      </c>
      <c r="T148" s="17" t="str">
        <f aca="false">IF((E148="r"),H148," ")</f>
        <v> </v>
      </c>
      <c r="U148" s="17" t="str">
        <f aca="false">IF((E148="p"),H148," ")</f>
        <v> </v>
      </c>
      <c r="V148" s="17" t="str">
        <f aca="false">IF((E148="t"),H148," ")</f>
        <v> </v>
      </c>
      <c r="W148" s="17" t="str">
        <f aca="false">IF((E148="q"),H148," ")</f>
        <v> </v>
      </c>
      <c r="X148" s="17" t="str">
        <f aca="false">IF((E148="m"),H148," ")</f>
        <v> </v>
      </c>
      <c r="Y148" s="17" t="str">
        <f aca="false">IF((E148="u"),H148," ")</f>
        <v> </v>
      </c>
      <c r="Z148" s="17" t="str">
        <f aca="false">IF((E148="a"),H148," ")</f>
        <v> </v>
      </c>
      <c r="AA148" s="17" t="str">
        <f aca="false">IF((E148="g"),H148," ")</f>
        <v> </v>
      </c>
      <c r="AB148" s="17" t="str">
        <f aca="false">IF((E148="h"),H148," ")</f>
        <v> </v>
      </c>
      <c r="AC148" s="30" t="str">
        <f aca="false">IF((E148="v"),H148," ")</f>
        <v> </v>
      </c>
      <c r="AD148" s="30" t="str">
        <f aca="false">IF((E148="n"),H148," ")</f>
        <v> </v>
      </c>
      <c r="AE148" s="17" t="str">
        <f aca="false">IF((E148="f"),H148," ")</f>
        <v> </v>
      </c>
      <c r="AF148" s="17" t="str">
        <f aca="false">IF((E148="l"),H148," ")</f>
        <v> </v>
      </c>
      <c r="AG148" s="17" t="str">
        <f aca="false">IF((E148="y"),H148," ")</f>
        <v> </v>
      </c>
      <c r="AH148" s="17" t="str">
        <f aca="false">IF((E148="z"),H148," ")</f>
        <v> </v>
      </c>
      <c r="AI148" s="17" t="str">
        <f aca="false">IF((E148="fa"),H148," ")</f>
        <v> </v>
      </c>
      <c r="AJ148" s="17" t="str">
        <f aca="false">IF((E148="e"),H148," ")</f>
        <v> </v>
      </c>
    </row>
    <row r="149" customFormat="false" ht="12" hidden="false" customHeight="false" outlineLevel="0" collapsed="false">
      <c r="A149" s="28"/>
      <c r="E149" s="2" t="str">
        <f aca="false">IF((F149&lt;&gt;0),"Enter Letter"," ")</f>
        <v> </v>
      </c>
      <c r="F149" s="30"/>
      <c r="G149" s="6" t="str">
        <f aca="false">IF(F149&lt;&gt;0,F149*G$2/(100+G$2)," ")</f>
        <v> </v>
      </c>
      <c r="H149" s="6" t="str">
        <f aca="false">IF((F149&lt;&gt;0),F149-G149," ")</f>
        <v> </v>
      </c>
      <c r="I149" s="5"/>
      <c r="L149" s="7" t="str">
        <f aca="false">IF(F149&lt;&gt;0,F149-K149," ")</f>
        <v> </v>
      </c>
      <c r="M149" s="8" t="str">
        <f aca="false">IF((F149-K149)&lt;&gt;0,M$1-A149," ")</f>
        <v> </v>
      </c>
      <c r="N149" s="5"/>
      <c r="O149" s="17" t="str">
        <f aca="false">IF((E149="s"),H149," ")</f>
        <v> </v>
      </c>
      <c r="P149" s="17" t="str">
        <f aca="false">IF((E149="c"),H149," ")</f>
        <v> </v>
      </c>
      <c r="Q149" s="17" t="str">
        <f aca="false">IF((E149="o"),H149," ")</f>
        <v> </v>
      </c>
      <c r="R149" s="17" t="str">
        <f aca="false">IF((E149="d"),H149," ")</f>
        <v> </v>
      </c>
      <c r="S149" s="17" t="str">
        <f aca="false">IF((E149="w"),H149," ")</f>
        <v> </v>
      </c>
      <c r="T149" s="17" t="str">
        <f aca="false">IF((E149="r"),H149," ")</f>
        <v> </v>
      </c>
      <c r="U149" s="17" t="str">
        <f aca="false">IF((E149="p"),H149," ")</f>
        <v> </v>
      </c>
      <c r="V149" s="17" t="str">
        <f aca="false">IF((E149="t"),H149," ")</f>
        <v> </v>
      </c>
      <c r="W149" s="17" t="str">
        <f aca="false">IF((E149="q"),H149," ")</f>
        <v> </v>
      </c>
      <c r="X149" s="17" t="str">
        <f aca="false">IF((E149="m"),H149," ")</f>
        <v> </v>
      </c>
      <c r="Y149" s="17" t="str">
        <f aca="false">IF((E149="u"),H149," ")</f>
        <v> </v>
      </c>
      <c r="Z149" s="17" t="str">
        <f aca="false">IF((E149="a"),H149," ")</f>
        <v> </v>
      </c>
      <c r="AA149" s="17" t="str">
        <f aca="false">IF((E149="g"),H149," ")</f>
        <v> </v>
      </c>
      <c r="AB149" s="17" t="str">
        <f aca="false">IF((E149="h"),H149," ")</f>
        <v> </v>
      </c>
      <c r="AC149" s="30" t="str">
        <f aca="false">IF((E149="v"),H149," ")</f>
        <v> </v>
      </c>
      <c r="AD149" s="30" t="str">
        <f aca="false">IF((E149="n"),H149," ")</f>
        <v> </v>
      </c>
      <c r="AE149" s="17" t="str">
        <f aca="false">IF((E149="f"),H149," ")</f>
        <v> </v>
      </c>
      <c r="AF149" s="17" t="str">
        <f aca="false">IF((E149="l"),H149," ")</f>
        <v> </v>
      </c>
      <c r="AG149" s="17" t="str">
        <f aca="false">IF((E149="y"),H149," ")</f>
        <v> </v>
      </c>
      <c r="AH149" s="17" t="str">
        <f aca="false">IF((E149="z"),H149," ")</f>
        <v> </v>
      </c>
      <c r="AI149" s="17" t="str">
        <f aca="false">IF((E149="fa"),H149," ")</f>
        <v> </v>
      </c>
      <c r="AJ149" s="17" t="str">
        <f aca="false">IF((E149="e"),H149," ")</f>
        <v> </v>
      </c>
    </row>
    <row r="150" customFormat="false" ht="12" hidden="false" customHeight="false" outlineLevel="0" collapsed="false">
      <c r="A150" s="28"/>
      <c r="E150" s="2" t="str">
        <f aca="false">IF((F150&lt;&gt;0),"Enter Letter"," ")</f>
        <v> </v>
      </c>
      <c r="F150" s="30"/>
      <c r="G150" s="6" t="str">
        <f aca="false">IF(F150&lt;&gt;0,F150*G$2/(100+G$2)," ")</f>
        <v> </v>
      </c>
      <c r="H150" s="6" t="str">
        <f aca="false">IF((F150&lt;&gt;0),F150-G150," ")</f>
        <v> </v>
      </c>
      <c r="I150" s="5"/>
      <c r="L150" s="7" t="str">
        <f aca="false">IF(F150&lt;&gt;0,F150-K150," ")</f>
        <v> </v>
      </c>
      <c r="M150" s="8" t="str">
        <f aca="false">IF((F150-K150)&lt;&gt;0,M$1-A150," ")</f>
        <v> </v>
      </c>
      <c r="N150" s="5"/>
      <c r="O150" s="17" t="str">
        <f aca="false">IF((E150="s"),H150," ")</f>
        <v> </v>
      </c>
      <c r="P150" s="17" t="str">
        <f aca="false">IF((E150="c"),H150," ")</f>
        <v> </v>
      </c>
      <c r="Q150" s="17" t="str">
        <f aca="false">IF((E150="o"),H150," ")</f>
        <v> </v>
      </c>
      <c r="R150" s="17" t="str">
        <f aca="false">IF((E150="d"),H150," ")</f>
        <v> </v>
      </c>
      <c r="S150" s="17" t="str">
        <f aca="false">IF((E150="w"),H150," ")</f>
        <v> </v>
      </c>
      <c r="T150" s="17" t="str">
        <f aca="false">IF((E150="r"),H150," ")</f>
        <v> </v>
      </c>
      <c r="U150" s="17" t="str">
        <f aca="false">IF((E150="p"),H150," ")</f>
        <v> </v>
      </c>
      <c r="V150" s="17" t="str">
        <f aca="false">IF((E150="t"),H150," ")</f>
        <v> </v>
      </c>
      <c r="W150" s="17" t="str">
        <f aca="false">IF((E150="q"),H150," ")</f>
        <v> </v>
      </c>
      <c r="X150" s="17" t="str">
        <f aca="false">IF((E150="m"),H150," ")</f>
        <v> </v>
      </c>
      <c r="Y150" s="17" t="str">
        <f aca="false">IF((E150="u"),H150," ")</f>
        <v> </v>
      </c>
      <c r="Z150" s="17" t="str">
        <f aca="false">IF((E150="a"),H150," ")</f>
        <v> </v>
      </c>
      <c r="AA150" s="17" t="str">
        <f aca="false">IF((E150="g"),H150," ")</f>
        <v> </v>
      </c>
      <c r="AB150" s="17" t="str">
        <f aca="false">IF((E150="h"),H150," ")</f>
        <v> </v>
      </c>
      <c r="AC150" s="30" t="str">
        <f aca="false">IF((E150="v"),H150," ")</f>
        <v> </v>
      </c>
      <c r="AD150" s="30" t="str">
        <f aca="false">IF((E150="n"),H150," ")</f>
        <v> </v>
      </c>
      <c r="AE150" s="17" t="str">
        <f aca="false">IF((E150="f"),H150," ")</f>
        <v> </v>
      </c>
      <c r="AF150" s="17" t="str">
        <f aca="false">IF((E150="l"),H150," ")</f>
        <v> </v>
      </c>
      <c r="AG150" s="17" t="str">
        <f aca="false">IF((E150="y"),H150," ")</f>
        <v> </v>
      </c>
      <c r="AH150" s="17" t="str">
        <f aca="false">IF((E150="z"),H150," ")</f>
        <v> </v>
      </c>
      <c r="AI150" s="17" t="str">
        <f aca="false">IF((E150="fa"),H150," ")</f>
        <v> </v>
      </c>
      <c r="AJ150" s="17" t="str">
        <f aca="false">IF((E150="e"),H150," ")</f>
        <v> </v>
      </c>
    </row>
    <row r="151" customFormat="false" ht="12" hidden="false" customHeight="false" outlineLevel="0" collapsed="false">
      <c r="A151" s="28"/>
      <c r="E151" s="2" t="str">
        <f aca="false">IF((F151&lt;&gt;0),"Enter Letter"," ")</f>
        <v> </v>
      </c>
      <c r="F151" s="30"/>
      <c r="G151" s="6" t="str">
        <f aca="false">IF(F151&lt;&gt;0,F151*G$2/(100+G$2)," ")</f>
        <v> </v>
      </c>
      <c r="H151" s="6" t="str">
        <f aca="false">IF((F151&lt;&gt;0),F151-G151," ")</f>
        <v> </v>
      </c>
      <c r="I151" s="5"/>
      <c r="L151" s="7" t="str">
        <f aca="false">IF(F151&lt;&gt;0,F151-K151," ")</f>
        <v> </v>
      </c>
      <c r="M151" s="8" t="str">
        <f aca="false">IF((F151-K151)&lt;&gt;0,M$1-A151," ")</f>
        <v> </v>
      </c>
      <c r="N151" s="5"/>
      <c r="O151" s="17" t="str">
        <f aca="false">IF((E151="s"),H151," ")</f>
        <v> </v>
      </c>
      <c r="P151" s="17" t="str">
        <f aca="false">IF((E151="c"),H151," ")</f>
        <v> </v>
      </c>
      <c r="Q151" s="17" t="str">
        <f aca="false">IF((E151="o"),H151," ")</f>
        <v> </v>
      </c>
      <c r="R151" s="17" t="str">
        <f aca="false">IF((E151="d"),H151," ")</f>
        <v> </v>
      </c>
      <c r="S151" s="17" t="str">
        <f aca="false">IF((E151="w"),H151," ")</f>
        <v> </v>
      </c>
      <c r="T151" s="17" t="str">
        <f aca="false">IF((E151="r"),H151," ")</f>
        <v> </v>
      </c>
      <c r="U151" s="17" t="str">
        <f aca="false">IF((E151="p"),H151," ")</f>
        <v> </v>
      </c>
      <c r="V151" s="17" t="str">
        <f aca="false">IF((E151="t"),H151," ")</f>
        <v> </v>
      </c>
      <c r="W151" s="17" t="str">
        <f aca="false">IF((E151="q"),H151," ")</f>
        <v> </v>
      </c>
      <c r="X151" s="17" t="str">
        <f aca="false">IF((E151="m"),H151," ")</f>
        <v> </v>
      </c>
      <c r="Y151" s="17" t="str">
        <f aca="false">IF((E151="u"),H151," ")</f>
        <v> </v>
      </c>
      <c r="Z151" s="17" t="str">
        <f aca="false">IF((E151="a"),H151," ")</f>
        <v> </v>
      </c>
      <c r="AA151" s="17" t="str">
        <f aca="false">IF((E151="g"),H151," ")</f>
        <v> </v>
      </c>
      <c r="AB151" s="17" t="str">
        <f aca="false">IF((E151="h"),H151," ")</f>
        <v> </v>
      </c>
      <c r="AC151" s="30" t="str">
        <f aca="false">IF((E151="v"),H151," ")</f>
        <v> </v>
      </c>
      <c r="AD151" s="30" t="str">
        <f aca="false">IF((E151="n"),H151," ")</f>
        <v> </v>
      </c>
      <c r="AE151" s="17" t="str">
        <f aca="false">IF((E151="f"),H151," ")</f>
        <v> </v>
      </c>
      <c r="AF151" s="17" t="str">
        <f aca="false">IF((E151="l"),H151," ")</f>
        <v> </v>
      </c>
      <c r="AG151" s="17" t="str">
        <f aca="false">IF((E151="y"),H151," ")</f>
        <v> </v>
      </c>
      <c r="AH151" s="17" t="str">
        <f aca="false">IF((E151="z"),H151," ")</f>
        <v> </v>
      </c>
      <c r="AI151" s="17" t="str">
        <f aca="false">IF((E151="fa"),H151," ")</f>
        <v> </v>
      </c>
      <c r="AJ151" s="17" t="str">
        <f aca="false">IF((E151="e"),H151," ")</f>
        <v> </v>
      </c>
    </row>
    <row r="152" customFormat="false" ht="12" hidden="false" customHeight="false" outlineLevel="0" collapsed="false">
      <c r="A152" s="28"/>
      <c r="E152" s="2" t="str">
        <f aca="false">IF((F152&lt;&gt;0),"Enter Letter"," ")</f>
        <v> </v>
      </c>
      <c r="F152" s="30"/>
      <c r="G152" s="6" t="str">
        <f aca="false">IF(F152&lt;&gt;0,F152*G$2/(100+G$2)," ")</f>
        <v> </v>
      </c>
      <c r="H152" s="6" t="str">
        <f aca="false">IF((F152&lt;&gt;0),F152-G152," ")</f>
        <v> </v>
      </c>
      <c r="I152" s="5"/>
      <c r="L152" s="7" t="str">
        <f aca="false">IF(F152&lt;&gt;0,F152-K152," ")</f>
        <v> </v>
      </c>
      <c r="M152" s="8" t="str">
        <f aca="false">IF((F152-K152)&lt;&gt;0,M$1-A152," ")</f>
        <v> </v>
      </c>
      <c r="N152" s="5"/>
      <c r="O152" s="17" t="str">
        <f aca="false">IF((E152="s"),H152," ")</f>
        <v> </v>
      </c>
      <c r="P152" s="17" t="str">
        <f aca="false">IF((E152="c"),H152," ")</f>
        <v> </v>
      </c>
      <c r="Q152" s="17" t="str">
        <f aca="false">IF((E152="o"),H152," ")</f>
        <v> </v>
      </c>
      <c r="R152" s="17" t="str">
        <f aca="false">IF((E152="d"),H152," ")</f>
        <v> </v>
      </c>
      <c r="S152" s="17" t="str">
        <f aca="false">IF((E152="w"),H152," ")</f>
        <v> </v>
      </c>
      <c r="T152" s="17" t="str">
        <f aca="false">IF((E152="r"),H152," ")</f>
        <v> </v>
      </c>
      <c r="U152" s="17" t="str">
        <f aca="false">IF((E152="p"),H152," ")</f>
        <v> </v>
      </c>
      <c r="V152" s="17" t="str">
        <f aca="false">IF((E152="t"),H152," ")</f>
        <v> </v>
      </c>
      <c r="W152" s="17" t="str">
        <f aca="false">IF((E152="q"),H152," ")</f>
        <v> </v>
      </c>
      <c r="X152" s="17" t="str">
        <f aca="false">IF((E152="m"),H152," ")</f>
        <v> </v>
      </c>
      <c r="Y152" s="17" t="str">
        <f aca="false">IF((E152="u"),H152," ")</f>
        <v> </v>
      </c>
      <c r="Z152" s="17" t="str">
        <f aca="false">IF((E152="a"),H152," ")</f>
        <v> </v>
      </c>
      <c r="AA152" s="17" t="str">
        <f aca="false">IF((E152="g"),H152," ")</f>
        <v> </v>
      </c>
      <c r="AB152" s="17" t="str">
        <f aca="false">IF((E152="h"),H152," ")</f>
        <v> </v>
      </c>
      <c r="AC152" s="30" t="str">
        <f aca="false">IF((E152="v"),H152," ")</f>
        <v> </v>
      </c>
      <c r="AD152" s="30" t="str">
        <f aca="false">IF((E152="n"),H152," ")</f>
        <v> </v>
      </c>
      <c r="AE152" s="17" t="str">
        <f aca="false">IF((E152="f"),H152," ")</f>
        <v> </v>
      </c>
      <c r="AF152" s="17" t="str">
        <f aca="false">IF((E152="l"),H152," ")</f>
        <v> </v>
      </c>
      <c r="AG152" s="17" t="str">
        <f aca="false">IF((E152="y"),H152," ")</f>
        <v> </v>
      </c>
      <c r="AH152" s="17" t="str">
        <f aca="false">IF((E152="z"),H152," ")</f>
        <v> </v>
      </c>
      <c r="AI152" s="17" t="str">
        <f aca="false">IF((E152="fa"),H152," ")</f>
        <v> </v>
      </c>
      <c r="AJ152" s="17" t="str">
        <f aca="false">IF((E152="e"),H152," ")</f>
        <v> </v>
      </c>
    </row>
    <row r="153" customFormat="false" ht="12" hidden="false" customHeight="false" outlineLevel="0" collapsed="false">
      <c r="A153" s="28"/>
      <c r="E153" s="2" t="str">
        <f aca="false">IF((F153&lt;&gt;0),"Enter Letter"," ")</f>
        <v> </v>
      </c>
      <c r="F153" s="30"/>
      <c r="G153" s="6" t="str">
        <f aca="false">IF(F153&lt;&gt;0,F153*G$2/(100+G$2)," ")</f>
        <v> </v>
      </c>
      <c r="H153" s="6" t="str">
        <f aca="false">IF((F153&lt;&gt;0),F153-G153," ")</f>
        <v> </v>
      </c>
      <c r="I153" s="5"/>
      <c r="L153" s="7" t="str">
        <f aca="false">IF(F153&lt;&gt;0,F153-K153," ")</f>
        <v> </v>
      </c>
      <c r="M153" s="8" t="str">
        <f aca="false">IF((F153-K153)&lt;&gt;0,M$1-A153," ")</f>
        <v> </v>
      </c>
      <c r="N153" s="5"/>
      <c r="O153" s="17" t="str">
        <f aca="false">IF((E153="s"),H153," ")</f>
        <v> </v>
      </c>
      <c r="P153" s="17" t="str">
        <f aca="false">IF((E153="c"),H153," ")</f>
        <v> </v>
      </c>
      <c r="Q153" s="17" t="str">
        <f aca="false">IF((E153="o"),H153," ")</f>
        <v> </v>
      </c>
      <c r="R153" s="17" t="str">
        <f aca="false">IF((E153="d"),H153," ")</f>
        <v> </v>
      </c>
      <c r="S153" s="17" t="str">
        <f aca="false">IF((E153="w"),H153," ")</f>
        <v> </v>
      </c>
      <c r="T153" s="17" t="str">
        <f aca="false">IF((E153="r"),H153," ")</f>
        <v> </v>
      </c>
      <c r="U153" s="17" t="str">
        <f aca="false">IF((E153="p"),H153," ")</f>
        <v> </v>
      </c>
      <c r="V153" s="17" t="str">
        <f aca="false">IF((E153="t"),H153," ")</f>
        <v> </v>
      </c>
      <c r="W153" s="17" t="str">
        <f aca="false">IF((E153="q"),H153," ")</f>
        <v> </v>
      </c>
      <c r="X153" s="17" t="str">
        <f aca="false">IF((E153="m"),H153," ")</f>
        <v> </v>
      </c>
      <c r="Y153" s="17" t="str">
        <f aca="false">IF((E153="u"),H153," ")</f>
        <v> </v>
      </c>
      <c r="Z153" s="17" t="str">
        <f aca="false">IF((E153="a"),H153," ")</f>
        <v> </v>
      </c>
      <c r="AA153" s="17" t="str">
        <f aca="false">IF((E153="g"),H153," ")</f>
        <v> </v>
      </c>
      <c r="AB153" s="17" t="str">
        <f aca="false">IF((E153="h"),H153," ")</f>
        <v> </v>
      </c>
      <c r="AC153" s="30" t="str">
        <f aca="false">IF((E153="v"),H153," ")</f>
        <v> </v>
      </c>
      <c r="AD153" s="30" t="str">
        <f aca="false">IF((E153="n"),H153," ")</f>
        <v> </v>
      </c>
      <c r="AE153" s="17" t="str">
        <f aca="false">IF((E153="f"),H153," ")</f>
        <v> </v>
      </c>
      <c r="AF153" s="17" t="str">
        <f aca="false">IF((E153="l"),H153," ")</f>
        <v> </v>
      </c>
      <c r="AG153" s="17" t="str">
        <f aca="false">IF((E153="y"),H153," ")</f>
        <v> </v>
      </c>
      <c r="AH153" s="17" t="str">
        <f aca="false">IF((E153="z"),H153," ")</f>
        <v> </v>
      </c>
      <c r="AI153" s="17" t="str">
        <f aca="false">IF((E153="fa"),H153," ")</f>
        <v> </v>
      </c>
      <c r="AJ153" s="17" t="str">
        <f aca="false">IF((E153="e"),H153," ")</f>
        <v> </v>
      </c>
    </row>
    <row r="154" customFormat="false" ht="12" hidden="false" customHeight="false" outlineLevel="0" collapsed="false">
      <c r="A154" s="28"/>
      <c r="E154" s="2" t="str">
        <f aca="false">IF((F154&lt;&gt;0),"Enter Letter"," ")</f>
        <v> </v>
      </c>
      <c r="F154" s="30"/>
      <c r="G154" s="6" t="str">
        <f aca="false">IF(F154&lt;&gt;0,F154*G$2/(100+G$2)," ")</f>
        <v> </v>
      </c>
      <c r="H154" s="6" t="str">
        <f aca="false">IF((F154&lt;&gt;0),F154-G154," ")</f>
        <v> </v>
      </c>
      <c r="I154" s="5"/>
      <c r="L154" s="7" t="str">
        <f aca="false">IF(F154&lt;&gt;0,F154-K154," ")</f>
        <v> </v>
      </c>
      <c r="M154" s="8" t="str">
        <f aca="false">IF((F154-K154)&lt;&gt;0,M$1-A154," ")</f>
        <v> </v>
      </c>
      <c r="N154" s="5"/>
      <c r="O154" s="17" t="str">
        <f aca="false">IF((E154="s"),H154," ")</f>
        <v> </v>
      </c>
      <c r="P154" s="17" t="str">
        <f aca="false">IF((E154="c"),H154," ")</f>
        <v> </v>
      </c>
      <c r="Q154" s="17" t="str">
        <f aca="false">IF((E154="o"),H154," ")</f>
        <v> </v>
      </c>
      <c r="R154" s="17" t="str">
        <f aca="false">IF((E154="d"),H154," ")</f>
        <v> </v>
      </c>
      <c r="S154" s="17" t="str">
        <f aca="false">IF((E154="w"),H154," ")</f>
        <v> </v>
      </c>
      <c r="T154" s="17" t="str">
        <f aca="false">IF((E154="r"),H154," ")</f>
        <v> </v>
      </c>
      <c r="U154" s="17" t="str">
        <f aca="false">IF((E154="p"),H154," ")</f>
        <v> </v>
      </c>
      <c r="V154" s="17" t="str">
        <f aca="false">IF((E154="t"),H154," ")</f>
        <v> </v>
      </c>
      <c r="W154" s="17" t="str">
        <f aca="false">IF((E154="q"),H154," ")</f>
        <v> </v>
      </c>
      <c r="X154" s="17" t="str">
        <f aca="false">IF((E154="m"),H154," ")</f>
        <v> </v>
      </c>
      <c r="Y154" s="17" t="str">
        <f aca="false">IF((E154="u"),H154," ")</f>
        <v> </v>
      </c>
      <c r="Z154" s="17" t="str">
        <f aca="false">IF((E154="a"),H154," ")</f>
        <v> </v>
      </c>
      <c r="AA154" s="17" t="str">
        <f aca="false">IF((E154="g"),H154," ")</f>
        <v> </v>
      </c>
      <c r="AB154" s="17" t="str">
        <f aca="false">IF((E154="h"),H154," ")</f>
        <v> </v>
      </c>
      <c r="AC154" s="30" t="str">
        <f aca="false">IF((E154="v"),H154," ")</f>
        <v> </v>
      </c>
      <c r="AD154" s="30" t="str">
        <f aca="false">IF((E154="n"),H154," ")</f>
        <v> </v>
      </c>
      <c r="AE154" s="17" t="str">
        <f aca="false">IF((E154="f"),H154," ")</f>
        <v> </v>
      </c>
      <c r="AF154" s="17" t="str">
        <f aca="false">IF((E154="l"),H154," ")</f>
        <v> </v>
      </c>
      <c r="AG154" s="17" t="str">
        <f aca="false">IF((E154="y"),H154," ")</f>
        <v> </v>
      </c>
      <c r="AH154" s="17" t="str">
        <f aca="false">IF((E154="z"),H154," ")</f>
        <v> </v>
      </c>
      <c r="AI154" s="17" t="str">
        <f aca="false">IF((E154="fa"),H154," ")</f>
        <v> </v>
      </c>
      <c r="AJ154" s="17" t="str">
        <f aca="false">IF((E154="e"),H154," ")</f>
        <v> </v>
      </c>
    </row>
    <row r="155" customFormat="false" ht="12" hidden="false" customHeight="false" outlineLevel="0" collapsed="false">
      <c r="A155" s="28"/>
      <c r="E155" s="2" t="str">
        <f aca="false">IF((F155&lt;&gt;0),"Enter Letter"," ")</f>
        <v> </v>
      </c>
      <c r="F155" s="30"/>
      <c r="G155" s="6" t="str">
        <f aca="false">IF(F155&lt;&gt;0,F155*G$2/(100+G$2)," ")</f>
        <v> </v>
      </c>
      <c r="H155" s="6" t="str">
        <f aca="false">IF((F155&lt;&gt;0),F155-G155," ")</f>
        <v> </v>
      </c>
      <c r="I155" s="5"/>
      <c r="L155" s="7" t="str">
        <f aca="false">IF(F155&lt;&gt;0,F155-K155," ")</f>
        <v> </v>
      </c>
      <c r="M155" s="8" t="str">
        <f aca="false">IF((F155-K155)&lt;&gt;0,M$1-A155," ")</f>
        <v> </v>
      </c>
      <c r="N155" s="5"/>
      <c r="O155" s="17" t="str">
        <f aca="false">IF((E155="s"),H155," ")</f>
        <v> </v>
      </c>
      <c r="P155" s="17" t="str">
        <f aca="false">IF((E155="c"),H155," ")</f>
        <v> </v>
      </c>
      <c r="Q155" s="17" t="str">
        <f aca="false">IF((E155="o"),H155," ")</f>
        <v> </v>
      </c>
      <c r="R155" s="17" t="str">
        <f aca="false">IF((E155="d"),H155," ")</f>
        <v> </v>
      </c>
      <c r="S155" s="17" t="str">
        <f aca="false">IF((E155="w"),H155," ")</f>
        <v> </v>
      </c>
      <c r="T155" s="17" t="str">
        <f aca="false">IF((E155="r"),H155," ")</f>
        <v> </v>
      </c>
      <c r="U155" s="17" t="str">
        <f aca="false">IF((E155="p"),H155," ")</f>
        <v> </v>
      </c>
      <c r="V155" s="17" t="str">
        <f aca="false">IF((E155="t"),H155," ")</f>
        <v> </v>
      </c>
      <c r="W155" s="17" t="str">
        <f aca="false">IF((E155="q"),H155," ")</f>
        <v> </v>
      </c>
      <c r="X155" s="17" t="str">
        <f aca="false">IF((E155="m"),H155," ")</f>
        <v> </v>
      </c>
      <c r="Y155" s="17" t="str">
        <f aca="false">IF((E155="u"),H155," ")</f>
        <v> </v>
      </c>
      <c r="Z155" s="17" t="str">
        <f aca="false">IF((E155="a"),H155," ")</f>
        <v> </v>
      </c>
      <c r="AA155" s="17" t="str">
        <f aca="false">IF((E155="g"),H155," ")</f>
        <v> </v>
      </c>
      <c r="AB155" s="17" t="str">
        <f aca="false">IF((E155="h"),H155," ")</f>
        <v> </v>
      </c>
      <c r="AC155" s="30" t="str">
        <f aca="false">IF((E155="v"),H155," ")</f>
        <v> </v>
      </c>
      <c r="AD155" s="30" t="str">
        <f aca="false">IF((E155="n"),H155," ")</f>
        <v> </v>
      </c>
      <c r="AE155" s="17" t="str">
        <f aca="false">IF((E155="f"),H155," ")</f>
        <v> </v>
      </c>
      <c r="AF155" s="17" t="str">
        <f aca="false">IF((E155="l"),H155," ")</f>
        <v> </v>
      </c>
      <c r="AG155" s="17" t="str">
        <f aca="false">IF((E155="y"),H155," ")</f>
        <v> </v>
      </c>
      <c r="AH155" s="17" t="str">
        <f aca="false">IF((E155="z"),H155," ")</f>
        <v> </v>
      </c>
      <c r="AI155" s="17" t="str">
        <f aca="false">IF((E155="fa"),H155," ")</f>
        <v> </v>
      </c>
      <c r="AJ155" s="17" t="str">
        <f aca="false">IF((E155="e"),H155," ")</f>
        <v> </v>
      </c>
    </row>
    <row r="156" customFormat="false" ht="12" hidden="false" customHeight="false" outlineLevel="0" collapsed="false">
      <c r="A156" s="28"/>
      <c r="E156" s="2" t="str">
        <f aca="false">IF((F156&lt;&gt;0),"Enter Letter"," ")</f>
        <v> </v>
      </c>
      <c r="F156" s="30"/>
      <c r="G156" s="6" t="str">
        <f aca="false">IF(F156&lt;&gt;0,F156*G$2/(100+G$2)," ")</f>
        <v> </v>
      </c>
      <c r="H156" s="6" t="str">
        <f aca="false">IF((F156&lt;&gt;0),F156-G156," ")</f>
        <v> </v>
      </c>
      <c r="I156" s="5"/>
      <c r="L156" s="7" t="str">
        <f aca="false">IF(F156&lt;&gt;0,F156-K156," ")</f>
        <v> </v>
      </c>
      <c r="M156" s="8" t="str">
        <f aca="false">IF((F156-K156)&lt;&gt;0,M$1-A156," ")</f>
        <v> </v>
      </c>
      <c r="N156" s="5"/>
      <c r="O156" s="17" t="str">
        <f aca="false">IF((E156="s"),H156," ")</f>
        <v> </v>
      </c>
      <c r="P156" s="17" t="str">
        <f aca="false">IF((E156="c"),H156," ")</f>
        <v> </v>
      </c>
      <c r="Q156" s="17" t="str">
        <f aca="false">IF((E156="o"),H156," ")</f>
        <v> </v>
      </c>
      <c r="R156" s="17" t="str">
        <f aca="false">IF((E156="d"),H156," ")</f>
        <v> </v>
      </c>
      <c r="S156" s="17" t="str">
        <f aca="false">IF((E156="w"),H156," ")</f>
        <v> </v>
      </c>
      <c r="T156" s="17" t="str">
        <f aca="false">IF((E156="r"),H156," ")</f>
        <v> </v>
      </c>
      <c r="U156" s="17" t="str">
        <f aca="false">IF((E156="p"),H156," ")</f>
        <v> </v>
      </c>
      <c r="V156" s="17" t="str">
        <f aca="false">IF((E156="t"),H156," ")</f>
        <v> </v>
      </c>
      <c r="W156" s="17" t="str">
        <f aca="false">IF((E156="q"),H156," ")</f>
        <v> </v>
      </c>
      <c r="X156" s="17" t="str">
        <f aca="false">IF((E156="m"),H156," ")</f>
        <v> </v>
      </c>
      <c r="Y156" s="17" t="str">
        <f aca="false">IF((E156="u"),H156," ")</f>
        <v> </v>
      </c>
      <c r="Z156" s="17" t="str">
        <f aca="false">IF((E156="a"),H156," ")</f>
        <v> </v>
      </c>
      <c r="AA156" s="17" t="str">
        <f aca="false">IF((E156="g"),H156," ")</f>
        <v> </v>
      </c>
      <c r="AB156" s="17" t="str">
        <f aca="false">IF((E156="h"),H156," ")</f>
        <v> </v>
      </c>
      <c r="AC156" s="30" t="str">
        <f aca="false">IF((E156="v"),H156," ")</f>
        <v> </v>
      </c>
      <c r="AD156" s="30" t="str">
        <f aca="false">IF((E156="n"),H156," ")</f>
        <v> </v>
      </c>
      <c r="AE156" s="17" t="str">
        <f aca="false">IF((E156="f"),H156," ")</f>
        <v> </v>
      </c>
      <c r="AF156" s="17" t="str">
        <f aca="false">IF((E156="l"),H156," ")</f>
        <v> </v>
      </c>
      <c r="AG156" s="17" t="str">
        <f aca="false">IF((E156="y"),H156," ")</f>
        <v> </v>
      </c>
      <c r="AH156" s="17" t="str">
        <f aca="false">IF((E156="z"),H156," ")</f>
        <v> </v>
      </c>
      <c r="AI156" s="17" t="str">
        <f aca="false">IF((E156="fa"),H156," ")</f>
        <v> </v>
      </c>
      <c r="AJ156" s="17" t="str">
        <f aca="false">IF((E156="e"),H156," ")</f>
        <v> </v>
      </c>
    </row>
    <row r="157" customFormat="false" ht="12" hidden="false" customHeight="false" outlineLevel="0" collapsed="false">
      <c r="A157" s="28"/>
      <c r="E157" s="2" t="str">
        <f aca="false">IF((F157&lt;&gt;0),"Enter Letter"," ")</f>
        <v> </v>
      </c>
      <c r="F157" s="30"/>
      <c r="G157" s="6" t="str">
        <f aca="false">IF(F157&lt;&gt;0,F157*G$2/(100+G$2)," ")</f>
        <v> </v>
      </c>
      <c r="H157" s="6" t="str">
        <f aca="false">IF((F157&lt;&gt;0),F157-G157," ")</f>
        <v> </v>
      </c>
      <c r="I157" s="5"/>
      <c r="L157" s="7" t="str">
        <f aca="false">IF(F157&lt;&gt;0,F157-K157," ")</f>
        <v> </v>
      </c>
      <c r="M157" s="8" t="str">
        <f aca="false">IF((F157-K157)&lt;&gt;0,M$1-A157," ")</f>
        <v> </v>
      </c>
      <c r="N157" s="5"/>
      <c r="O157" s="17" t="str">
        <f aca="false">IF((E157="s"),H157," ")</f>
        <v> </v>
      </c>
      <c r="P157" s="17" t="str">
        <f aca="false">IF((E157="c"),H157," ")</f>
        <v> </v>
      </c>
      <c r="Q157" s="17" t="str">
        <f aca="false">IF((E157="o"),H157," ")</f>
        <v> </v>
      </c>
      <c r="R157" s="17" t="str">
        <f aca="false">IF((E157="d"),H157," ")</f>
        <v> </v>
      </c>
      <c r="S157" s="17" t="str">
        <f aca="false">IF((E157="w"),H157," ")</f>
        <v> </v>
      </c>
      <c r="T157" s="17" t="str">
        <f aca="false">IF((E157="r"),H157," ")</f>
        <v> </v>
      </c>
      <c r="U157" s="17" t="str">
        <f aca="false">IF((E157="p"),H157," ")</f>
        <v> </v>
      </c>
      <c r="V157" s="17" t="str">
        <f aca="false">IF((E157="t"),H157," ")</f>
        <v> </v>
      </c>
      <c r="W157" s="17" t="str">
        <f aca="false">IF((E157="q"),H157," ")</f>
        <v> </v>
      </c>
      <c r="X157" s="17" t="str">
        <f aca="false">IF((E157="m"),H157," ")</f>
        <v> </v>
      </c>
      <c r="Y157" s="17" t="str">
        <f aca="false">IF((E157="u"),H157," ")</f>
        <v> </v>
      </c>
      <c r="Z157" s="17" t="str">
        <f aca="false">IF((E157="a"),H157," ")</f>
        <v> </v>
      </c>
      <c r="AA157" s="17" t="str">
        <f aca="false">IF((E157="g"),H157," ")</f>
        <v> </v>
      </c>
      <c r="AB157" s="17" t="str">
        <f aca="false">IF((E157="h"),H157," ")</f>
        <v> </v>
      </c>
      <c r="AC157" s="30" t="str">
        <f aca="false">IF((E157="v"),H157," ")</f>
        <v> </v>
      </c>
      <c r="AD157" s="30" t="str">
        <f aca="false">IF((E157="n"),H157," ")</f>
        <v> </v>
      </c>
      <c r="AE157" s="17" t="str">
        <f aca="false">IF((E157="f"),H157," ")</f>
        <v> </v>
      </c>
      <c r="AF157" s="17" t="str">
        <f aca="false">IF((E157="l"),H157," ")</f>
        <v> </v>
      </c>
      <c r="AG157" s="17" t="str">
        <f aca="false">IF((E157="y"),H157," ")</f>
        <v> </v>
      </c>
      <c r="AH157" s="17" t="str">
        <f aca="false">IF((E157="z"),H157," ")</f>
        <v> </v>
      </c>
      <c r="AI157" s="17" t="str">
        <f aca="false">IF((E157="fa"),H157," ")</f>
        <v> </v>
      </c>
      <c r="AJ157" s="17" t="str">
        <f aca="false">IF((E157="e"),H157," ")</f>
        <v> </v>
      </c>
    </row>
    <row r="158" customFormat="false" ht="12" hidden="false" customHeight="false" outlineLevel="0" collapsed="false">
      <c r="A158" s="28"/>
      <c r="E158" s="2" t="str">
        <f aca="false">IF((F158&lt;&gt;0),"Enter Letter"," ")</f>
        <v> </v>
      </c>
      <c r="F158" s="30"/>
      <c r="G158" s="6" t="str">
        <f aca="false">IF(F158&lt;&gt;0,F158*G$2/(100+G$2)," ")</f>
        <v> </v>
      </c>
      <c r="H158" s="6" t="str">
        <f aca="false">IF((F158&lt;&gt;0),F158-G158," ")</f>
        <v> </v>
      </c>
      <c r="I158" s="5"/>
      <c r="L158" s="7" t="str">
        <f aca="false">IF(F158&lt;&gt;0,F158-K158," ")</f>
        <v> </v>
      </c>
      <c r="M158" s="8" t="str">
        <f aca="false">IF((F158-K158)&lt;&gt;0,M$1-A158," ")</f>
        <v> </v>
      </c>
      <c r="N158" s="5"/>
      <c r="O158" s="17" t="str">
        <f aca="false">IF((E158="s"),H158," ")</f>
        <v> </v>
      </c>
      <c r="P158" s="17" t="str">
        <f aca="false">IF((E158="c"),H158," ")</f>
        <v> </v>
      </c>
      <c r="Q158" s="17" t="str">
        <f aca="false">IF((E158="o"),H158," ")</f>
        <v> </v>
      </c>
      <c r="R158" s="17" t="str">
        <f aca="false">IF((E158="d"),H158," ")</f>
        <v> </v>
      </c>
      <c r="S158" s="17" t="str">
        <f aca="false">IF((E158="w"),H158," ")</f>
        <v> </v>
      </c>
      <c r="T158" s="17" t="str">
        <f aca="false">IF((E158="r"),H158," ")</f>
        <v> </v>
      </c>
      <c r="U158" s="17" t="str">
        <f aca="false">IF((E158="p"),H158," ")</f>
        <v> </v>
      </c>
      <c r="V158" s="17" t="str">
        <f aca="false">IF((E158="t"),H158," ")</f>
        <v> </v>
      </c>
      <c r="W158" s="17" t="str">
        <f aca="false">IF((E158="q"),H158," ")</f>
        <v> </v>
      </c>
      <c r="X158" s="17" t="str">
        <f aca="false">IF((E158="m"),H158," ")</f>
        <v> </v>
      </c>
      <c r="Y158" s="17" t="str">
        <f aca="false">IF((E158="u"),H158," ")</f>
        <v> </v>
      </c>
      <c r="Z158" s="17" t="str">
        <f aca="false">IF((E158="a"),H158," ")</f>
        <v> </v>
      </c>
      <c r="AA158" s="17" t="str">
        <f aca="false">IF((E158="g"),H158," ")</f>
        <v> </v>
      </c>
      <c r="AB158" s="17" t="str">
        <f aca="false">IF((E158="h"),H158," ")</f>
        <v> </v>
      </c>
      <c r="AC158" s="30" t="str">
        <f aca="false">IF((E158="v"),H158," ")</f>
        <v> </v>
      </c>
      <c r="AD158" s="30" t="str">
        <f aca="false">IF((E158="n"),H158," ")</f>
        <v> </v>
      </c>
      <c r="AE158" s="17" t="str">
        <f aca="false">IF((E158="f"),H158," ")</f>
        <v> </v>
      </c>
      <c r="AF158" s="17" t="str">
        <f aca="false">IF((E158="l"),H158," ")</f>
        <v> </v>
      </c>
      <c r="AG158" s="17" t="str">
        <f aca="false">IF((E158="y"),H158," ")</f>
        <v> </v>
      </c>
      <c r="AH158" s="17" t="str">
        <f aca="false">IF((E158="z"),H158," ")</f>
        <v> </v>
      </c>
      <c r="AI158" s="17" t="str">
        <f aca="false">IF((E158="fa"),H158," ")</f>
        <v> </v>
      </c>
      <c r="AJ158" s="17" t="str">
        <f aca="false">IF((E158="e"),H158," ")</f>
        <v> </v>
      </c>
    </row>
    <row r="159" customFormat="false" ht="12" hidden="false" customHeight="false" outlineLevel="0" collapsed="false">
      <c r="A159" s="28"/>
      <c r="E159" s="2" t="str">
        <f aca="false">IF((F159&lt;&gt;0),"Enter Letter"," ")</f>
        <v> </v>
      </c>
      <c r="F159" s="30"/>
      <c r="G159" s="6" t="str">
        <f aca="false">IF(F159&lt;&gt;0,F159*G$2/(100+G$2)," ")</f>
        <v> </v>
      </c>
      <c r="H159" s="6" t="str">
        <f aca="false">IF((F159&lt;&gt;0),F159-G159," ")</f>
        <v> </v>
      </c>
      <c r="I159" s="5"/>
      <c r="L159" s="7" t="str">
        <f aca="false">IF(F159&lt;&gt;0,F159-K159," ")</f>
        <v> </v>
      </c>
      <c r="M159" s="8" t="str">
        <f aca="false">IF((F159-K159)&lt;&gt;0,M$1-A159," ")</f>
        <v> </v>
      </c>
      <c r="N159" s="5"/>
      <c r="O159" s="17" t="str">
        <f aca="false">IF((E159="s"),H159," ")</f>
        <v> </v>
      </c>
      <c r="P159" s="17" t="str">
        <f aca="false">IF((E159="c"),H159," ")</f>
        <v> </v>
      </c>
      <c r="Q159" s="17" t="str">
        <f aca="false">IF((E159="o"),H159," ")</f>
        <v> </v>
      </c>
      <c r="R159" s="17" t="str">
        <f aca="false">IF((E159="d"),H159," ")</f>
        <v> </v>
      </c>
      <c r="S159" s="17" t="str">
        <f aca="false">IF((E159="w"),H159," ")</f>
        <v> </v>
      </c>
      <c r="T159" s="17" t="str">
        <f aca="false">IF((E159="r"),H159," ")</f>
        <v> </v>
      </c>
      <c r="U159" s="17" t="str">
        <f aca="false">IF((E159="p"),H159," ")</f>
        <v> </v>
      </c>
      <c r="V159" s="17" t="str">
        <f aca="false">IF((E159="t"),H159," ")</f>
        <v> </v>
      </c>
      <c r="W159" s="17" t="str">
        <f aca="false">IF((E159="q"),H159," ")</f>
        <v> </v>
      </c>
      <c r="X159" s="17" t="str">
        <f aca="false">IF((E159="m"),H159," ")</f>
        <v> </v>
      </c>
      <c r="Y159" s="17" t="str">
        <f aca="false">IF((E159="u"),H159," ")</f>
        <v> </v>
      </c>
      <c r="Z159" s="17" t="str">
        <f aca="false">IF((E159="a"),H159," ")</f>
        <v> </v>
      </c>
      <c r="AA159" s="17" t="str">
        <f aca="false">IF((E159="g"),H159," ")</f>
        <v> </v>
      </c>
      <c r="AB159" s="17" t="str">
        <f aca="false">IF((E159="h"),H159," ")</f>
        <v> </v>
      </c>
      <c r="AC159" s="30" t="str">
        <f aca="false">IF((E159="v"),H159," ")</f>
        <v> </v>
      </c>
      <c r="AD159" s="30" t="str">
        <f aca="false">IF((E159="n"),H159," ")</f>
        <v> </v>
      </c>
      <c r="AE159" s="17" t="str">
        <f aca="false">IF((E159="f"),H159," ")</f>
        <v> </v>
      </c>
      <c r="AF159" s="17" t="str">
        <f aca="false">IF((E159="l"),H159," ")</f>
        <v> </v>
      </c>
      <c r="AG159" s="17" t="str">
        <f aca="false">IF((E159="y"),H159," ")</f>
        <v> </v>
      </c>
      <c r="AH159" s="17" t="str">
        <f aca="false">IF((E159="z"),H159," ")</f>
        <v> </v>
      </c>
      <c r="AI159" s="17" t="str">
        <f aca="false">IF((E159="fa"),H159," ")</f>
        <v> </v>
      </c>
      <c r="AJ159" s="17" t="str">
        <f aca="false">IF((E159="e"),H159," ")</f>
        <v> </v>
      </c>
    </row>
    <row r="160" customFormat="false" ht="12" hidden="false" customHeight="false" outlineLevel="0" collapsed="false">
      <c r="A160" s="28"/>
      <c r="E160" s="2" t="str">
        <f aca="false">IF((F160&lt;&gt;0),"Enter Letter"," ")</f>
        <v> </v>
      </c>
      <c r="F160" s="30"/>
      <c r="G160" s="6" t="str">
        <f aca="false">IF(F160&lt;&gt;0,F160*G$2/(100+G$2)," ")</f>
        <v> </v>
      </c>
      <c r="H160" s="6" t="str">
        <f aca="false">IF((F160&lt;&gt;0),F160-G160," ")</f>
        <v> </v>
      </c>
      <c r="I160" s="5"/>
      <c r="L160" s="7" t="str">
        <f aca="false">IF(F160&lt;&gt;0,F160-K160," ")</f>
        <v> </v>
      </c>
      <c r="M160" s="8" t="str">
        <f aca="false">IF((F160-K160)&lt;&gt;0,M$1-A160," ")</f>
        <v> </v>
      </c>
      <c r="N160" s="5"/>
      <c r="O160" s="17" t="str">
        <f aca="false">IF((E160="s"),H160," ")</f>
        <v> </v>
      </c>
      <c r="P160" s="17" t="str">
        <f aca="false">IF((E160="c"),H160," ")</f>
        <v> </v>
      </c>
      <c r="Q160" s="17" t="str">
        <f aca="false">IF((E160="o"),H160," ")</f>
        <v> </v>
      </c>
      <c r="R160" s="17" t="str">
        <f aca="false">IF((E160="d"),H160," ")</f>
        <v> </v>
      </c>
      <c r="S160" s="17" t="str">
        <f aca="false">IF((E160="w"),H160," ")</f>
        <v> </v>
      </c>
      <c r="T160" s="17" t="str">
        <f aca="false">IF((E160="r"),H160," ")</f>
        <v> </v>
      </c>
      <c r="U160" s="17" t="str">
        <f aca="false">IF((E160="p"),H160," ")</f>
        <v> </v>
      </c>
      <c r="V160" s="17" t="str">
        <f aca="false">IF((E160="t"),H160," ")</f>
        <v> </v>
      </c>
      <c r="W160" s="17" t="str">
        <f aca="false">IF((E160="q"),H160," ")</f>
        <v> </v>
      </c>
      <c r="X160" s="17" t="str">
        <f aca="false">IF((E160="m"),H160," ")</f>
        <v> </v>
      </c>
      <c r="Y160" s="17" t="str">
        <f aca="false">IF((E160="u"),H160," ")</f>
        <v> </v>
      </c>
      <c r="Z160" s="17" t="str">
        <f aca="false">IF((E160="a"),H160," ")</f>
        <v> </v>
      </c>
      <c r="AA160" s="17" t="str">
        <f aca="false">IF((E160="g"),H160," ")</f>
        <v> </v>
      </c>
      <c r="AB160" s="17" t="str">
        <f aca="false">IF((E160="h"),H160," ")</f>
        <v> </v>
      </c>
      <c r="AC160" s="30" t="str">
        <f aca="false">IF((E160="v"),H160," ")</f>
        <v> </v>
      </c>
      <c r="AD160" s="30" t="str">
        <f aca="false">IF((E160="n"),H160," ")</f>
        <v> </v>
      </c>
      <c r="AE160" s="17" t="str">
        <f aca="false">IF((E160="f"),H160," ")</f>
        <v> </v>
      </c>
      <c r="AF160" s="17" t="str">
        <f aca="false">IF((E160="l"),H160," ")</f>
        <v> </v>
      </c>
      <c r="AG160" s="17" t="str">
        <f aca="false">IF((E160="y"),H160," ")</f>
        <v> </v>
      </c>
      <c r="AH160" s="17" t="str">
        <f aca="false">IF((E160="z"),H160," ")</f>
        <v> </v>
      </c>
      <c r="AI160" s="17" t="str">
        <f aca="false">IF((E160="fa"),H160," ")</f>
        <v> </v>
      </c>
      <c r="AJ160" s="17" t="str">
        <f aca="false">IF((E160="e"),H160," ")</f>
        <v> </v>
      </c>
    </row>
    <row r="161" customFormat="false" ht="12" hidden="false" customHeight="false" outlineLevel="0" collapsed="false">
      <c r="A161" s="28"/>
      <c r="E161" s="2" t="str">
        <f aca="false">IF((F161&lt;&gt;0),"Enter Letter"," ")</f>
        <v> </v>
      </c>
      <c r="F161" s="30"/>
      <c r="G161" s="6" t="str">
        <f aca="false">IF(F161&lt;&gt;0,F161*G$2/(100+G$2)," ")</f>
        <v> </v>
      </c>
      <c r="H161" s="6" t="str">
        <f aca="false">IF((F161&lt;&gt;0),F161-G161," ")</f>
        <v> </v>
      </c>
      <c r="I161" s="5"/>
      <c r="L161" s="7" t="str">
        <f aca="false">IF(F161&lt;&gt;0,F161-K161," ")</f>
        <v> </v>
      </c>
      <c r="M161" s="8" t="str">
        <f aca="false">IF((F161-K161)&lt;&gt;0,M$1-A161," ")</f>
        <v> </v>
      </c>
      <c r="N161" s="5"/>
      <c r="O161" s="17" t="str">
        <f aca="false">IF((E161="s"),H161," ")</f>
        <v> </v>
      </c>
      <c r="P161" s="17" t="str">
        <f aca="false">IF((E161="c"),H161," ")</f>
        <v> </v>
      </c>
      <c r="Q161" s="17" t="str">
        <f aca="false">IF((E161="o"),H161," ")</f>
        <v> </v>
      </c>
      <c r="R161" s="17" t="str">
        <f aca="false">IF((E161="d"),H161," ")</f>
        <v> </v>
      </c>
      <c r="S161" s="17" t="str">
        <f aca="false">IF((E161="w"),H161," ")</f>
        <v> </v>
      </c>
      <c r="T161" s="17" t="str">
        <f aca="false">IF((E161="r"),H161," ")</f>
        <v> </v>
      </c>
      <c r="U161" s="17" t="str">
        <f aca="false">IF((E161="p"),H161," ")</f>
        <v> </v>
      </c>
      <c r="V161" s="17" t="str">
        <f aca="false">IF((E161="t"),H161," ")</f>
        <v> </v>
      </c>
      <c r="W161" s="17" t="str">
        <f aca="false">IF((E161="q"),H161," ")</f>
        <v> </v>
      </c>
      <c r="X161" s="17" t="str">
        <f aca="false">IF((E161="m"),H161," ")</f>
        <v> </v>
      </c>
      <c r="Y161" s="17" t="str">
        <f aca="false">IF((E161="u"),H161," ")</f>
        <v> </v>
      </c>
      <c r="Z161" s="17" t="str">
        <f aca="false">IF((E161="a"),H161," ")</f>
        <v> </v>
      </c>
      <c r="AA161" s="17" t="str">
        <f aca="false">IF((E161="g"),H161," ")</f>
        <v> </v>
      </c>
      <c r="AB161" s="17" t="str">
        <f aca="false">IF((E161="h"),H161," ")</f>
        <v> </v>
      </c>
      <c r="AC161" s="30" t="str">
        <f aca="false">IF((E161="v"),H161," ")</f>
        <v> </v>
      </c>
      <c r="AD161" s="30" t="str">
        <f aca="false">IF((E161="n"),H161," ")</f>
        <v> </v>
      </c>
      <c r="AE161" s="17" t="str">
        <f aca="false">IF((E161="f"),H161," ")</f>
        <v> </v>
      </c>
      <c r="AF161" s="17" t="str">
        <f aca="false">IF((E161="l"),H161," ")</f>
        <v> </v>
      </c>
      <c r="AG161" s="17" t="str">
        <f aca="false">IF((E161="y"),H161," ")</f>
        <v> </v>
      </c>
      <c r="AH161" s="17" t="str">
        <f aca="false">IF((E161="z"),H161," ")</f>
        <v> </v>
      </c>
      <c r="AI161" s="17" t="str">
        <f aca="false">IF((E161="fa"),H161," ")</f>
        <v> </v>
      </c>
      <c r="AJ161" s="17" t="str">
        <f aca="false">IF((E161="e"),H161," ")</f>
        <v> </v>
      </c>
    </row>
    <row r="162" customFormat="false" ht="12" hidden="false" customHeight="false" outlineLevel="0" collapsed="false">
      <c r="A162" s="28"/>
      <c r="E162" s="2" t="str">
        <f aca="false">IF((F162&lt;&gt;0),"Enter Letter"," ")</f>
        <v> </v>
      </c>
      <c r="F162" s="30"/>
      <c r="G162" s="6" t="str">
        <f aca="false">IF(F162&lt;&gt;0,F162*G$2/(100+G$2)," ")</f>
        <v> </v>
      </c>
      <c r="H162" s="6" t="str">
        <f aca="false">IF((F162&lt;&gt;0),F162-G162," ")</f>
        <v> </v>
      </c>
      <c r="I162" s="5"/>
      <c r="L162" s="7" t="str">
        <f aca="false">IF(F162&lt;&gt;0,F162-K162," ")</f>
        <v> </v>
      </c>
      <c r="M162" s="8" t="str">
        <f aca="false">IF((F162-K162)&lt;&gt;0,M$1-A162," ")</f>
        <v> </v>
      </c>
      <c r="N162" s="5"/>
      <c r="O162" s="17" t="str">
        <f aca="false">IF((E162="s"),H162," ")</f>
        <v> </v>
      </c>
      <c r="P162" s="17" t="str">
        <f aca="false">IF((E162="c"),H162," ")</f>
        <v> </v>
      </c>
      <c r="Q162" s="17" t="str">
        <f aca="false">IF((E162="o"),H162," ")</f>
        <v> </v>
      </c>
      <c r="R162" s="17" t="str">
        <f aca="false">IF((E162="d"),H162," ")</f>
        <v> </v>
      </c>
      <c r="S162" s="17" t="str">
        <f aca="false">IF((E162="w"),H162," ")</f>
        <v> </v>
      </c>
      <c r="T162" s="17" t="str">
        <f aca="false">IF((E162="r"),H162," ")</f>
        <v> </v>
      </c>
      <c r="U162" s="17" t="str">
        <f aca="false">IF((E162="p"),H162," ")</f>
        <v> </v>
      </c>
      <c r="V162" s="17" t="str">
        <f aca="false">IF((E162="t"),H162," ")</f>
        <v> </v>
      </c>
      <c r="W162" s="17" t="str">
        <f aca="false">IF((E162="q"),H162," ")</f>
        <v> </v>
      </c>
      <c r="X162" s="17" t="str">
        <f aca="false">IF((E162="m"),H162," ")</f>
        <v> </v>
      </c>
      <c r="Y162" s="17" t="str">
        <f aca="false">IF((E162="u"),H162," ")</f>
        <v> </v>
      </c>
      <c r="Z162" s="17" t="str">
        <f aca="false">IF((E162="a"),H162," ")</f>
        <v> </v>
      </c>
      <c r="AA162" s="17" t="str">
        <f aca="false">IF((E162="g"),H162," ")</f>
        <v> </v>
      </c>
      <c r="AB162" s="17" t="str">
        <f aca="false">IF((E162="h"),H162," ")</f>
        <v> </v>
      </c>
      <c r="AC162" s="30" t="str">
        <f aca="false">IF((E162="v"),H162," ")</f>
        <v> </v>
      </c>
      <c r="AD162" s="30" t="str">
        <f aca="false">IF((E162="n"),H162," ")</f>
        <v> </v>
      </c>
      <c r="AE162" s="17" t="str">
        <f aca="false">IF((E162="f"),H162," ")</f>
        <v> </v>
      </c>
      <c r="AF162" s="17" t="str">
        <f aca="false">IF((E162="l"),H162," ")</f>
        <v> </v>
      </c>
      <c r="AG162" s="17" t="str">
        <f aca="false">IF((E162="y"),H162," ")</f>
        <v> </v>
      </c>
      <c r="AH162" s="17" t="str">
        <f aca="false">IF((E162="z"),H162," ")</f>
        <v> </v>
      </c>
      <c r="AI162" s="17" t="str">
        <f aca="false">IF((E162="fa"),H162," ")</f>
        <v> </v>
      </c>
      <c r="AJ162" s="17" t="str">
        <f aca="false">IF((E162="e"),H162," ")</f>
        <v> </v>
      </c>
    </row>
    <row r="163" customFormat="false" ht="12" hidden="false" customHeight="false" outlineLevel="0" collapsed="false">
      <c r="A163" s="28"/>
      <c r="E163" s="2" t="str">
        <f aca="false">IF((F163&lt;&gt;0),"Enter Letter"," ")</f>
        <v> </v>
      </c>
      <c r="F163" s="30"/>
      <c r="G163" s="6" t="str">
        <f aca="false">IF(F163&lt;&gt;0,F163*G$2/(100+G$2)," ")</f>
        <v> </v>
      </c>
      <c r="H163" s="6" t="str">
        <f aca="false">IF((F163&lt;&gt;0),F163-G163," ")</f>
        <v> </v>
      </c>
      <c r="I163" s="5"/>
      <c r="L163" s="7" t="str">
        <f aca="false">IF(F163&lt;&gt;0,F163-K163," ")</f>
        <v> </v>
      </c>
      <c r="M163" s="8" t="str">
        <f aca="false">IF((F163-K163)&lt;&gt;0,M$1-A163," ")</f>
        <v> </v>
      </c>
      <c r="N163" s="5"/>
      <c r="O163" s="17" t="str">
        <f aca="false">IF((E163="s"),H163," ")</f>
        <v> </v>
      </c>
      <c r="P163" s="17" t="str">
        <f aca="false">IF((E163="c"),H163," ")</f>
        <v> </v>
      </c>
      <c r="Q163" s="17" t="str">
        <f aca="false">IF((E163="o"),H163," ")</f>
        <v> </v>
      </c>
      <c r="R163" s="17" t="str">
        <f aca="false">IF((E163="d"),H163," ")</f>
        <v> </v>
      </c>
      <c r="S163" s="17" t="str">
        <f aca="false">IF((E163="w"),H163," ")</f>
        <v> </v>
      </c>
      <c r="T163" s="17" t="str">
        <f aca="false">IF((E163="r"),H163," ")</f>
        <v> </v>
      </c>
      <c r="U163" s="17" t="str">
        <f aca="false">IF((E163="p"),H163," ")</f>
        <v> </v>
      </c>
      <c r="V163" s="17" t="str">
        <f aca="false">IF((E163="t"),H163," ")</f>
        <v> </v>
      </c>
      <c r="W163" s="17" t="str">
        <f aca="false">IF((E163="q"),H163," ")</f>
        <v> </v>
      </c>
      <c r="X163" s="17" t="str">
        <f aca="false">IF((E163="m"),H163," ")</f>
        <v> </v>
      </c>
      <c r="Y163" s="17" t="str">
        <f aca="false">IF((E163="u"),H163," ")</f>
        <v> </v>
      </c>
      <c r="Z163" s="17" t="str">
        <f aca="false">IF((E163="a"),H163," ")</f>
        <v> </v>
      </c>
      <c r="AA163" s="17" t="str">
        <f aca="false">IF((E163="g"),H163," ")</f>
        <v> </v>
      </c>
      <c r="AB163" s="17" t="str">
        <f aca="false">IF((E163="h"),H163," ")</f>
        <v> </v>
      </c>
      <c r="AC163" s="30" t="str">
        <f aca="false">IF((E163="v"),H163," ")</f>
        <v> </v>
      </c>
      <c r="AD163" s="30" t="str">
        <f aca="false">IF((E163="n"),H163," ")</f>
        <v> </v>
      </c>
      <c r="AE163" s="17" t="str">
        <f aca="false">IF((E163="f"),H163," ")</f>
        <v> </v>
      </c>
      <c r="AF163" s="17" t="str">
        <f aca="false">IF((E163="l"),H163," ")</f>
        <v> </v>
      </c>
      <c r="AG163" s="17" t="str">
        <f aca="false">IF((E163="y"),H163," ")</f>
        <v> </v>
      </c>
      <c r="AH163" s="17" t="str">
        <f aca="false">IF((E163="z"),H163," ")</f>
        <v> </v>
      </c>
      <c r="AI163" s="17" t="str">
        <f aca="false">IF((E163="fa"),H163," ")</f>
        <v> </v>
      </c>
      <c r="AJ163" s="17" t="str">
        <f aca="false">IF((E163="e"),H163," ")</f>
        <v> </v>
      </c>
    </row>
    <row r="164" customFormat="false" ht="12" hidden="false" customHeight="false" outlineLevel="0" collapsed="false">
      <c r="A164" s="28"/>
      <c r="E164" s="2" t="str">
        <f aca="false">IF((F164&lt;&gt;0),"Enter Letter"," ")</f>
        <v> </v>
      </c>
      <c r="F164" s="30"/>
      <c r="G164" s="6" t="str">
        <f aca="false">IF(F164&lt;&gt;0,F164*G$2/(100+G$2)," ")</f>
        <v> </v>
      </c>
      <c r="H164" s="6" t="str">
        <f aca="false">IF((F164&lt;&gt;0),F164-G164," ")</f>
        <v> </v>
      </c>
      <c r="I164" s="5"/>
      <c r="L164" s="7" t="str">
        <f aca="false">IF(F164&lt;&gt;0,F164-K164," ")</f>
        <v> </v>
      </c>
      <c r="M164" s="8" t="str">
        <f aca="false">IF((F164-K164)&lt;&gt;0,M$1-A164," ")</f>
        <v> </v>
      </c>
      <c r="N164" s="5"/>
      <c r="O164" s="17" t="str">
        <f aca="false">IF((E164="s"),H164," ")</f>
        <v> </v>
      </c>
      <c r="P164" s="17" t="str">
        <f aca="false">IF((E164="c"),H164," ")</f>
        <v> </v>
      </c>
      <c r="Q164" s="17" t="str">
        <f aca="false">IF((E164="o"),H164," ")</f>
        <v> </v>
      </c>
      <c r="R164" s="17" t="str">
        <f aca="false">IF((E164="d"),H164," ")</f>
        <v> </v>
      </c>
      <c r="S164" s="17" t="str">
        <f aca="false">IF((E164="w"),H164," ")</f>
        <v> </v>
      </c>
      <c r="T164" s="17" t="str">
        <f aca="false">IF((E164="r"),H164," ")</f>
        <v> </v>
      </c>
      <c r="U164" s="17" t="str">
        <f aca="false">IF((E164="p"),H164," ")</f>
        <v> </v>
      </c>
      <c r="V164" s="17" t="str">
        <f aca="false">IF((E164="t"),H164," ")</f>
        <v> </v>
      </c>
      <c r="W164" s="17" t="str">
        <f aca="false">IF((E164="q"),H164," ")</f>
        <v> </v>
      </c>
      <c r="X164" s="17" t="str">
        <f aca="false">IF((E164="m"),H164," ")</f>
        <v> </v>
      </c>
      <c r="Y164" s="17" t="str">
        <f aca="false">IF((E164="u"),H164," ")</f>
        <v> </v>
      </c>
      <c r="Z164" s="17" t="str">
        <f aca="false">IF((E164="a"),H164," ")</f>
        <v> </v>
      </c>
      <c r="AA164" s="17" t="str">
        <f aca="false">IF((E164="g"),H164," ")</f>
        <v> </v>
      </c>
      <c r="AB164" s="17" t="str">
        <f aca="false">IF((E164="h"),H164," ")</f>
        <v> </v>
      </c>
      <c r="AC164" s="30" t="str">
        <f aca="false">IF((E164="v"),H164," ")</f>
        <v> </v>
      </c>
      <c r="AD164" s="30" t="str">
        <f aca="false">IF((E164="n"),H164," ")</f>
        <v> </v>
      </c>
      <c r="AE164" s="17" t="str">
        <f aca="false">IF((E164="f"),H164," ")</f>
        <v> </v>
      </c>
      <c r="AF164" s="17" t="str">
        <f aca="false">IF((E164="l"),H164," ")</f>
        <v> </v>
      </c>
      <c r="AG164" s="17" t="str">
        <f aca="false">IF((E164="y"),H164," ")</f>
        <v> </v>
      </c>
      <c r="AH164" s="17" t="str">
        <f aca="false">IF((E164="z"),H164," ")</f>
        <v> </v>
      </c>
      <c r="AI164" s="17" t="str">
        <f aca="false">IF((E164="fa"),H164," ")</f>
        <v> </v>
      </c>
      <c r="AJ164" s="17" t="str">
        <f aca="false">IF((E164="e"),H164," ")</f>
        <v> </v>
      </c>
    </row>
    <row r="165" customFormat="false" ht="12" hidden="false" customHeight="false" outlineLevel="0" collapsed="false">
      <c r="A165" s="28"/>
      <c r="E165" s="2" t="str">
        <f aca="false">IF((F165&lt;&gt;0),"Enter Letter"," ")</f>
        <v> </v>
      </c>
      <c r="F165" s="30"/>
      <c r="G165" s="6" t="str">
        <f aca="false">IF(F165&lt;&gt;0,F165*G$2/(100+G$2)," ")</f>
        <v> </v>
      </c>
      <c r="H165" s="6" t="str">
        <f aca="false">IF((F165&lt;&gt;0),F165-G165," ")</f>
        <v> </v>
      </c>
      <c r="I165" s="5"/>
      <c r="L165" s="7" t="str">
        <f aca="false">IF(F165&lt;&gt;0,F165-K165," ")</f>
        <v> </v>
      </c>
      <c r="M165" s="8" t="str">
        <f aca="false">IF((F165-K165)&lt;&gt;0,M$1-A165," ")</f>
        <v> </v>
      </c>
      <c r="N165" s="5"/>
      <c r="O165" s="17" t="str">
        <f aca="false">IF((E165="s"),H165," ")</f>
        <v> </v>
      </c>
      <c r="P165" s="17" t="str">
        <f aca="false">IF((E165="c"),H165," ")</f>
        <v> </v>
      </c>
      <c r="Q165" s="17" t="str">
        <f aca="false">IF((E165="o"),H165," ")</f>
        <v> </v>
      </c>
      <c r="R165" s="17" t="str">
        <f aca="false">IF((E165="d"),H165," ")</f>
        <v> </v>
      </c>
      <c r="S165" s="17" t="str">
        <f aca="false">IF((E165="w"),H165," ")</f>
        <v> </v>
      </c>
      <c r="T165" s="17" t="str">
        <f aca="false">IF((E165="r"),H165," ")</f>
        <v> </v>
      </c>
      <c r="U165" s="17" t="str">
        <f aca="false">IF((E165="p"),H165," ")</f>
        <v> </v>
      </c>
      <c r="V165" s="17" t="str">
        <f aca="false">IF((E165="t"),H165," ")</f>
        <v> </v>
      </c>
      <c r="W165" s="17" t="str">
        <f aca="false">IF((E165="q"),H165," ")</f>
        <v> </v>
      </c>
      <c r="X165" s="17" t="str">
        <f aca="false">IF((E165="m"),H165," ")</f>
        <v> </v>
      </c>
      <c r="Y165" s="17" t="str">
        <f aca="false">IF((E165="u"),H165," ")</f>
        <v> </v>
      </c>
      <c r="Z165" s="17" t="str">
        <f aca="false">IF((E165="a"),H165," ")</f>
        <v> </v>
      </c>
      <c r="AA165" s="17" t="str">
        <f aca="false">IF((E165="g"),H165," ")</f>
        <v> </v>
      </c>
      <c r="AB165" s="17" t="str">
        <f aca="false">IF((E165="h"),H165," ")</f>
        <v> </v>
      </c>
      <c r="AC165" s="30" t="str">
        <f aca="false">IF((E165="v"),H165," ")</f>
        <v> </v>
      </c>
      <c r="AD165" s="30" t="str">
        <f aca="false">IF((E165="n"),H165," ")</f>
        <v> </v>
      </c>
      <c r="AE165" s="17" t="str">
        <f aca="false">IF((E165="f"),H165," ")</f>
        <v> </v>
      </c>
      <c r="AF165" s="17" t="str">
        <f aca="false">IF((E165="l"),H165," ")</f>
        <v> </v>
      </c>
      <c r="AG165" s="17" t="str">
        <f aca="false">IF((E165="y"),H165," ")</f>
        <v> </v>
      </c>
      <c r="AH165" s="17" t="str">
        <f aca="false">IF((E165="z"),H165," ")</f>
        <v> </v>
      </c>
      <c r="AI165" s="17" t="str">
        <f aca="false">IF((E165="fa"),H165," ")</f>
        <v> </v>
      </c>
      <c r="AJ165" s="17" t="str">
        <f aca="false">IF((E165="e"),H165," ")</f>
        <v> </v>
      </c>
    </row>
    <row r="166" customFormat="false" ht="12" hidden="false" customHeight="false" outlineLevel="0" collapsed="false">
      <c r="A166" s="28"/>
      <c r="E166" s="2" t="str">
        <f aca="false">IF((F166&lt;&gt;0),"Enter Letter"," ")</f>
        <v> </v>
      </c>
      <c r="F166" s="30"/>
      <c r="G166" s="6" t="str">
        <f aca="false">IF(F166&lt;&gt;0,F166*G$2/(100+G$2)," ")</f>
        <v> </v>
      </c>
      <c r="H166" s="6" t="str">
        <f aca="false">IF((F166&lt;&gt;0),F166-G166," ")</f>
        <v> </v>
      </c>
      <c r="I166" s="5"/>
      <c r="L166" s="7" t="str">
        <f aca="false">IF(F166&lt;&gt;0,F166-K166," ")</f>
        <v> </v>
      </c>
      <c r="M166" s="8" t="str">
        <f aca="false">IF((F166-K166)&lt;&gt;0,M$1-A166," ")</f>
        <v> </v>
      </c>
      <c r="N166" s="5"/>
      <c r="O166" s="17" t="str">
        <f aca="false">IF((E166="s"),H166," ")</f>
        <v> </v>
      </c>
      <c r="P166" s="17" t="str">
        <f aca="false">IF((E166="c"),H166," ")</f>
        <v> </v>
      </c>
      <c r="Q166" s="17" t="str">
        <f aca="false">IF((E166="o"),H166," ")</f>
        <v> </v>
      </c>
      <c r="R166" s="17" t="str">
        <f aca="false">IF((E166="d"),H166," ")</f>
        <v> </v>
      </c>
      <c r="S166" s="17" t="str">
        <f aca="false">IF((E166="w"),H166," ")</f>
        <v> </v>
      </c>
      <c r="T166" s="17" t="str">
        <f aca="false">IF((E166="r"),H166," ")</f>
        <v> </v>
      </c>
      <c r="U166" s="17" t="str">
        <f aca="false">IF((E166="p"),H166," ")</f>
        <v> </v>
      </c>
      <c r="V166" s="17" t="str">
        <f aca="false">IF((E166="t"),H166," ")</f>
        <v> </v>
      </c>
      <c r="W166" s="17" t="str">
        <f aca="false">IF((E166="q"),H166," ")</f>
        <v> </v>
      </c>
      <c r="X166" s="17" t="str">
        <f aca="false">IF((E166="m"),H166," ")</f>
        <v> </v>
      </c>
      <c r="Y166" s="17" t="str">
        <f aca="false">IF((E166="u"),H166," ")</f>
        <v> </v>
      </c>
      <c r="Z166" s="17" t="str">
        <f aca="false">IF((E166="a"),H166," ")</f>
        <v> </v>
      </c>
      <c r="AA166" s="17" t="str">
        <f aca="false">IF((E166="g"),H166," ")</f>
        <v> </v>
      </c>
      <c r="AB166" s="17" t="str">
        <f aca="false">IF((E166="h"),H166," ")</f>
        <v> </v>
      </c>
      <c r="AC166" s="30" t="str">
        <f aca="false">IF((E166="v"),H166," ")</f>
        <v> </v>
      </c>
      <c r="AD166" s="30" t="str">
        <f aca="false">IF((E166="n"),H166," ")</f>
        <v> </v>
      </c>
      <c r="AE166" s="17" t="str">
        <f aca="false">IF((E166="f"),H166," ")</f>
        <v> </v>
      </c>
      <c r="AF166" s="17" t="str">
        <f aca="false">IF((E166="l"),H166," ")</f>
        <v> </v>
      </c>
      <c r="AG166" s="17" t="str">
        <f aca="false">IF((E166="y"),H166," ")</f>
        <v> </v>
      </c>
      <c r="AH166" s="17" t="str">
        <f aca="false">IF((E166="z"),H166," ")</f>
        <v> </v>
      </c>
      <c r="AI166" s="17" t="str">
        <f aca="false">IF((E166="fa"),H166," ")</f>
        <v> </v>
      </c>
      <c r="AJ166" s="17" t="str">
        <f aca="false">IF((E166="e"),H166," ")</f>
        <v> </v>
      </c>
    </row>
    <row r="167" customFormat="false" ht="12" hidden="false" customHeight="false" outlineLevel="0" collapsed="false">
      <c r="A167" s="28"/>
      <c r="E167" s="2" t="str">
        <f aca="false">IF((F167&lt;&gt;0),"Enter Letter"," ")</f>
        <v> </v>
      </c>
      <c r="F167" s="30"/>
      <c r="G167" s="6" t="str">
        <f aca="false">IF(F167&lt;&gt;0,F167*G$2/(100+G$2)," ")</f>
        <v> </v>
      </c>
      <c r="H167" s="6" t="str">
        <f aca="false">IF((F167&lt;&gt;0),F167-G167," ")</f>
        <v> </v>
      </c>
      <c r="I167" s="5"/>
      <c r="L167" s="7" t="str">
        <f aca="false">IF(F167&lt;&gt;0,F167-K167," ")</f>
        <v> </v>
      </c>
      <c r="M167" s="8" t="str">
        <f aca="false">IF((F167-K167)&lt;&gt;0,M$1-A167," ")</f>
        <v> </v>
      </c>
      <c r="N167" s="5"/>
      <c r="O167" s="17" t="str">
        <f aca="false">IF((E167="s"),H167," ")</f>
        <v> </v>
      </c>
      <c r="P167" s="17" t="str">
        <f aca="false">IF((E167="c"),H167," ")</f>
        <v> </v>
      </c>
      <c r="Q167" s="17" t="str">
        <f aca="false">IF((E167="o"),H167," ")</f>
        <v> </v>
      </c>
      <c r="R167" s="17" t="str">
        <f aca="false">IF((E167="d"),H167," ")</f>
        <v> </v>
      </c>
      <c r="S167" s="17" t="str">
        <f aca="false">IF((E167="w"),H167," ")</f>
        <v> </v>
      </c>
      <c r="T167" s="17" t="str">
        <f aca="false">IF((E167="r"),H167," ")</f>
        <v> </v>
      </c>
      <c r="U167" s="17" t="str">
        <f aca="false">IF((E167="p"),H167," ")</f>
        <v> </v>
      </c>
      <c r="V167" s="17" t="str">
        <f aca="false">IF((E167="t"),H167," ")</f>
        <v> </v>
      </c>
      <c r="W167" s="17" t="str">
        <f aca="false">IF((E167="q"),H167," ")</f>
        <v> </v>
      </c>
      <c r="X167" s="17" t="str">
        <f aca="false">IF((E167="m"),H167," ")</f>
        <v> </v>
      </c>
      <c r="Y167" s="17" t="str">
        <f aca="false">IF((E167="u"),H167," ")</f>
        <v> </v>
      </c>
      <c r="Z167" s="17" t="str">
        <f aca="false">IF((E167="a"),H167," ")</f>
        <v> </v>
      </c>
      <c r="AA167" s="17" t="str">
        <f aca="false">IF((E167="g"),H167," ")</f>
        <v> </v>
      </c>
      <c r="AB167" s="17" t="str">
        <f aca="false">IF((E167="h"),H167," ")</f>
        <v> </v>
      </c>
      <c r="AC167" s="30" t="str">
        <f aca="false">IF((E167="v"),H167," ")</f>
        <v> </v>
      </c>
      <c r="AD167" s="30" t="str">
        <f aca="false">IF((E167="n"),H167," ")</f>
        <v> </v>
      </c>
      <c r="AE167" s="17" t="str">
        <f aca="false">IF((E167="f"),H167," ")</f>
        <v> </v>
      </c>
      <c r="AF167" s="17" t="str">
        <f aca="false">IF((E167="l"),H167," ")</f>
        <v> </v>
      </c>
      <c r="AG167" s="17" t="str">
        <f aca="false">IF((E167="y"),H167," ")</f>
        <v> </v>
      </c>
      <c r="AH167" s="17" t="str">
        <f aca="false">IF((E167="z"),H167," ")</f>
        <v> </v>
      </c>
      <c r="AI167" s="17" t="str">
        <f aca="false">IF((E167="fa"),H167," ")</f>
        <v> </v>
      </c>
      <c r="AJ167" s="17" t="str">
        <f aca="false">IF((E167="e"),H167," ")</f>
        <v> </v>
      </c>
    </row>
    <row r="168" customFormat="false" ht="12" hidden="false" customHeight="false" outlineLevel="0" collapsed="false">
      <c r="A168" s="28"/>
      <c r="E168" s="2" t="str">
        <f aca="false">IF((F168&lt;&gt;0),"Enter Letter"," ")</f>
        <v> </v>
      </c>
      <c r="F168" s="30"/>
      <c r="G168" s="6" t="str">
        <f aca="false">IF(F168&lt;&gt;0,F168*G$2/(100+G$2)," ")</f>
        <v> </v>
      </c>
      <c r="H168" s="6" t="str">
        <f aca="false">IF((F168&lt;&gt;0),F168-G168," ")</f>
        <v> </v>
      </c>
      <c r="I168" s="5"/>
      <c r="L168" s="7" t="str">
        <f aca="false">IF(F168&lt;&gt;0,F168-K168," ")</f>
        <v> </v>
      </c>
      <c r="M168" s="8" t="str">
        <f aca="false">IF((F168-K168)&lt;&gt;0,M$1-A168," ")</f>
        <v> </v>
      </c>
      <c r="N168" s="5"/>
      <c r="O168" s="17" t="str">
        <f aca="false">IF((E168="s"),H168," ")</f>
        <v> </v>
      </c>
      <c r="P168" s="17" t="str">
        <f aca="false">IF((E168="c"),H168," ")</f>
        <v> </v>
      </c>
      <c r="Q168" s="17" t="str">
        <f aca="false">IF((E168="o"),H168," ")</f>
        <v> </v>
      </c>
      <c r="R168" s="17" t="str">
        <f aca="false">IF((E168="d"),H168," ")</f>
        <v> </v>
      </c>
      <c r="S168" s="17" t="str">
        <f aca="false">IF((E168="w"),H168," ")</f>
        <v> </v>
      </c>
      <c r="T168" s="17" t="str">
        <f aca="false">IF((E168="r"),H168," ")</f>
        <v> </v>
      </c>
      <c r="U168" s="17" t="str">
        <f aca="false">IF((E168="p"),H168," ")</f>
        <v> </v>
      </c>
      <c r="V168" s="17" t="str">
        <f aca="false">IF((E168="t"),H168," ")</f>
        <v> </v>
      </c>
      <c r="W168" s="17" t="str">
        <f aca="false">IF((E168="q"),H168," ")</f>
        <v> </v>
      </c>
      <c r="X168" s="17" t="str">
        <f aca="false">IF((E168="m"),H168," ")</f>
        <v> </v>
      </c>
      <c r="Y168" s="17" t="str">
        <f aca="false">IF((E168="u"),H168," ")</f>
        <v> </v>
      </c>
      <c r="Z168" s="17" t="str">
        <f aca="false">IF((E168="a"),H168," ")</f>
        <v> </v>
      </c>
      <c r="AA168" s="17" t="str">
        <f aca="false">IF((E168="g"),H168," ")</f>
        <v> </v>
      </c>
      <c r="AB168" s="17" t="str">
        <f aca="false">IF((E168="h"),H168," ")</f>
        <v> </v>
      </c>
      <c r="AC168" s="30" t="str">
        <f aca="false">IF((E168="v"),H168," ")</f>
        <v> </v>
      </c>
      <c r="AD168" s="30" t="str">
        <f aca="false">IF((E168="n"),H168," ")</f>
        <v> </v>
      </c>
      <c r="AE168" s="17" t="str">
        <f aca="false">IF((E168="f"),H168," ")</f>
        <v> </v>
      </c>
      <c r="AF168" s="17" t="str">
        <f aca="false">IF((E168="l"),H168," ")</f>
        <v> </v>
      </c>
      <c r="AG168" s="17" t="str">
        <f aca="false">IF((E168="y"),H168," ")</f>
        <v> </v>
      </c>
      <c r="AH168" s="17" t="str">
        <f aca="false">IF((E168="z"),H168," ")</f>
        <v> </v>
      </c>
      <c r="AI168" s="17" t="str">
        <f aca="false">IF((E168="fa"),H168," ")</f>
        <v> </v>
      </c>
      <c r="AJ168" s="17" t="str">
        <f aca="false">IF((E168="e"),H168," ")</f>
        <v> </v>
      </c>
    </row>
    <row r="169" customFormat="false" ht="12" hidden="false" customHeight="false" outlineLevel="0" collapsed="false">
      <c r="A169" s="28"/>
      <c r="E169" s="2" t="str">
        <f aca="false">IF((F169&lt;&gt;0),"Enter Letter"," ")</f>
        <v> </v>
      </c>
      <c r="F169" s="30"/>
      <c r="G169" s="6" t="str">
        <f aca="false">IF(F169&lt;&gt;0,F169*G$2/(100+G$2)," ")</f>
        <v> </v>
      </c>
      <c r="H169" s="6" t="str">
        <f aca="false">IF((F169&lt;&gt;0),F169-G169," ")</f>
        <v> </v>
      </c>
      <c r="I169" s="5"/>
      <c r="L169" s="7" t="str">
        <f aca="false">IF(F169&lt;&gt;0,F169-K169," ")</f>
        <v> </v>
      </c>
      <c r="M169" s="8" t="str">
        <f aca="false">IF((F169-K169)&lt;&gt;0,M$1-A169," ")</f>
        <v> </v>
      </c>
      <c r="N169" s="5"/>
      <c r="O169" s="17" t="str">
        <f aca="false">IF((E169="s"),H169," ")</f>
        <v> </v>
      </c>
      <c r="P169" s="17" t="str">
        <f aca="false">IF((E169="c"),H169," ")</f>
        <v> </v>
      </c>
      <c r="Q169" s="17" t="str">
        <f aca="false">IF((E169="o"),H169," ")</f>
        <v> </v>
      </c>
      <c r="R169" s="17" t="str">
        <f aca="false">IF((E169="d"),H169," ")</f>
        <v> </v>
      </c>
      <c r="S169" s="17" t="str">
        <f aca="false">IF((E169="w"),H169," ")</f>
        <v> </v>
      </c>
      <c r="T169" s="17" t="str">
        <f aca="false">IF((E169="r"),H169," ")</f>
        <v> </v>
      </c>
      <c r="U169" s="17" t="str">
        <f aca="false">IF((E169="p"),H169," ")</f>
        <v> </v>
      </c>
      <c r="V169" s="17" t="str">
        <f aca="false">IF((E169="t"),H169," ")</f>
        <v> </v>
      </c>
      <c r="W169" s="17" t="str">
        <f aca="false">IF((E169="q"),H169," ")</f>
        <v> </v>
      </c>
      <c r="X169" s="17" t="str">
        <f aca="false">IF((E169="m"),H169," ")</f>
        <v> </v>
      </c>
      <c r="Y169" s="17" t="str">
        <f aca="false">IF((E169="u"),H169," ")</f>
        <v> </v>
      </c>
      <c r="Z169" s="17" t="str">
        <f aca="false">IF((E169="a"),H169," ")</f>
        <v> </v>
      </c>
      <c r="AA169" s="17" t="str">
        <f aca="false">IF((E169="g"),H169," ")</f>
        <v> </v>
      </c>
      <c r="AB169" s="17" t="str">
        <f aca="false">IF((E169="h"),H169," ")</f>
        <v> </v>
      </c>
      <c r="AC169" s="30" t="str">
        <f aca="false">IF((E169="v"),H169," ")</f>
        <v> </v>
      </c>
      <c r="AD169" s="30" t="str">
        <f aca="false">IF((E169="n"),H169," ")</f>
        <v> </v>
      </c>
      <c r="AE169" s="17" t="str">
        <f aca="false">IF((E169="f"),H169," ")</f>
        <v> </v>
      </c>
      <c r="AF169" s="17" t="str">
        <f aca="false">IF((E169="l"),H169," ")</f>
        <v> </v>
      </c>
      <c r="AG169" s="17" t="str">
        <f aca="false">IF((E169="y"),H169," ")</f>
        <v> </v>
      </c>
      <c r="AH169" s="17" t="str">
        <f aca="false">IF((E169="z"),H169," ")</f>
        <v> </v>
      </c>
      <c r="AI169" s="17" t="str">
        <f aca="false">IF((E169="fa"),H169," ")</f>
        <v> </v>
      </c>
      <c r="AJ169" s="17" t="str">
        <f aca="false">IF((E169="e"),H169," ")</f>
        <v> </v>
      </c>
    </row>
    <row r="170" customFormat="false" ht="12" hidden="false" customHeight="false" outlineLevel="0" collapsed="false">
      <c r="A170" s="28"/>
      <c r="E170" s="2" t="str">
        <f aca="false">IF((F170&lt;&gt;0),"Enter Letter"," ")</f>
        <v> </v>
      </c>
      <c r="F170" s="30"/>
      <c r="G170" s="6" t="str">
        <f aca="false">IF(F170&lt;&gt;0,F170*G$2/(100+G$2)," ")</f>
        <v> </v>
      </c>
      <c r="H170" s="6" t="str">
        <f aca="false">IF((F170&lt;&gt;0),F170-G170," ")</f>
        <v> </v>
      </c>
      <c r="I170" s="5"/>
      <c r="L170" s="7" t="str">
        <f aca="false">IF(F170&lt;&gt;0,F170-K170," ")</f>
        <v> </v>
      </c>
      <c r="M170" s="8" t="str">
        <f aca="false">IF((F170-K170)&lt;&gt;0,M$1-A170," ")</f>
        <v> </v>
      </c>
      <c r="N170" s="5"/>
      <c r="O170" s="17" t="str">
        <f aca="false">IF((E170="s"),H170," ")</f>
        <v> </v>
      </c>
      <c r="P170" s="17" t="str">
        <f aca="false">IF((E170="c"),H170," ")</f>
        <v> </v>
      </c>
      <c r="Q170" s="17" t="str">
        <f aca="false">IF((E170="o"),H170," ")</f>
        <v> </v>
      </c>
      <c r="R170" s="17" t="str">
        <f aca="false">IF((E170="d"),H170," ")</f>
        <v> </v>
      </c>
      <c r="S170" s="17" t="str">
        <f aca="false">IF((E170="w"),H170," ")</f>
        <v> </v>
      </c>
      <c r="T170" s="17" t="str">
        <f aca="false">IF((E170="r"),H170," ")</f>
        <v> </v>
      </c>
      <c r="U170" s="17" t="str">
        <f aca="false">IF((E170="p"),H170," ")</f>
        <v> </v>
      </c>
      <c r="V170" s="17" t="str">
        <f aca="false">IF((E170="t"),H170," ")</f>
        <v> </v>
      </c>
      <c r="W170" s="17" t="str">
        <f aca="false">IF((E170="q"),H170," ")</f>
        <v> </v>
      </c>
      <c r="X170" s="17" t="str">
        <f aca="false">IF((E170="m"),H170," ")</f>
        <v> </v>
      </c>
      <c r="Y170" s="17" t="str">
        <f aca="false">IF((E170="u"),H170," ")</f>
        <v> </v>
      </c>
      <c r="Z170" s="17" t="str">
        <f aca="false">IF((E170="a"),H170," ")</f>
        <v> </v>
      </c>
      <c r="AA170" s="17" t="str">
        <f aca="false">IF((E170="g"),H170," ")</f>
        <v> </v>
      </c>
      <c r="AB170" s="17" t="str">
        <f aca="false">IF((E170="h"),H170," ")</f>
        <v> </v>
      </c>
      <c r="AC170" s="30" t="str">
        <f aca="false">IF((E170="v"),H170," ")</f>
        <v> </v>
      </c>
      <c r="AD170" s="30" t="str">
        <f aca="false">IF((E170="n"),H170," ")</f>
        <v> </v>
      </c>
      <c r="AE170" s="17" t="str">
        <f aca="false">IF((E170="f"),H170," ")</f>
        <v> </v>
      </c>
      <c r="AF170" s="17" t="str">
        <f aca="false">IF((E170="l"),H170," ")</f>
        <v> </v>
      </c>
      <c r="AG170" s="17" t="str">
        <f aca="false">IF((E170="y"),H170," ")</f>
        <v> </v>
      </c>
      <c r="AH170" s="17" t="str">
        <f aca="false">IF((E170="z"),H170," ")</f>
        <v> </v>
      </c>
      <c r="AI170" s="17" t="str">
        <f aca="false">IF((E170="fa"),H170," ")</f>
        <v> </v>
      </c>
      <c r="AJ170" s="17" t="str">
        <f aca="false">IF((E170="e"),H170," ")</f>
        <v> </v>
      </c>
    </row>
    <row r="171" customFormat="false" ht="12" hidden="false" customHeight="false" outlineLevel="0" collapsed="false">
      <c r="A171" s="28"/>
      <c r="E171" s="2" t="str">
        <f aca="false">IF((F171&lt;&gt;0),"Enter Letter"," ")</f>
        <v> </v>
      </c>
      <c r="F171" s="30"/>
      <c r="G171" s="6" t="str">
        <f aca="false">IF(F171&lt;&gt;0,F171*G$2/(100+G$2)," ")</f>
        <v> </v>
      </c>
      <c r="H171" s="6" t="str">
        <f aca="false">IF((F171&lt;&gt;0),F171-G171," ")</f>
        <v> </v>
      </c>
      <c r="I171" s="5"/>
      <c r="L171" s="7" t="str">
        <f aca="false">IF(F171&lt;&gt;0,F171-K171," ")</f>
        <v> </v>
      </c>
      <c r="M171" s="8" t="str">
        <f aca="false">IF((F171-K171)&lt;&gt;0,M$1-A171," ")</f>
        <v> </v>
      </c>
      <c r="N171" s="5"/>
      <c r="O171" s="17" t="str">
        <f aca="false">IF((E171="s"),H171," ")</f>
        <v> </v>
      </c>
      <c r="P171" s="17" t="str">
        <f aca="false">IF((E171="c"),H171," ")</f>
        <v> </v>
      </c>
      <c r="Q171" s="17" t="str">
        <f aca="false">IF((E171="o"),H171," ")</f>
        <v> </v>
      </c>
      <c r="R171" s="17" t="str">
        <f aca="false">IF((E171="d"),H171," ")</f>
        <v> </v>
      </c>
      <c r="S171" s="17" t="str">
        <f aca="false">IF((E171="w"),H171," ")</f>
        <v> </v>
      </c>
      <c r="T171" s="17" t="str">
        <f aca="false">IF((E171="r"),H171," ")</f>
        <v> </v>
      </c>
      <c r="U171" s="17" t="str">
        <f aca="false">IF((E171="p"),H171," ")</f>
        <v> </v>
      </c>
      <c r="V171" s="17" t="str">
        <f aca="false">IF((E171="t"),H171," ")</f>
        <v> </v>
      </c>
      <c r="W171" s="17" t="str">
        <f aca="false">IF((E171="q"),H171," ")</f>
        <v> </v>
      </c>
      <c r="X171" s="17" t="str">
        <f aca="false">IF((E171="m"),H171," ")</f>
        <v> </v>
      </c>
      <c r="Y171" s="17" t="str">
        <f aca="false">IF((E171="u"),H171," ")</f>
        <v> </v>
      </c>
      <c r="Z171" s="17" t="str">
        <f aca="false">IF((E171="a"),H171," ")</f>
        <v> </v>
      </c>
      <c r="AA171" s="17" t="str">
        <f aca="false">IF((E171="g"),H171," ")</f>
        <v> </v>
      </c>
      <c r="AB171" s="17" t="str">
        <f aca="false">IF((E171="h"),H171," ")</f>
        <v> </v>
      </c>
      <c r="AC171" s="30" t="str">
        <f aca="false">IF((E171="v"),H171," ")</f>
        <v> </v>
      </c>
      <c r="AD171" s="30" t="str">
        <f aca="false">IF((E171="n"),H171," ")</f>
        <v> </v>
      </c>
      <c r="AE171" s="17" t="str">
        <f aca="false">IF((E171="f"),H171," ")</f>
        <v> </v>
      </c>
      <c r="AF171" s="17" t="str">
        <f aca="false">IF((E171="l"),H171," ")</f>
        <v> </v>
      </c>
      <c r="AG171" s="17" t="str">
        <f aca="false">IF((E171="y"),H171," ")</f>
        <v> </v>
      </c>
      <c r="AH171" s="17" t="str">
        <f aca="false">IF((E171="z"),H171," ")</f>
        <v> </v>
      </c>
      <c r="AI171" s="17" t="str">
        <f aca="false">IF((E171="fa"),H171," ")</f>
        <v> </v>
      </c>
      <c r="AJ171" s="17" t="str">
        <f aca="false">IF((E171="e"),H171," ")</f>
        <v> </v>
      </c>
    </row>
    <row r="172" customFormat="false" ht="12" hidden="false" customHeight="false" outlineLevel="0" collapsed="false">
      <c r="A172" s="28"/>
      <c r="E172" s="2" t="str">
        <f aca="false">IF((F172&lt;&gt;0),"Enter Letter"," ")</f>
        <v> </v>
      </c>
      <c r="F172" s="30"/>
      <c r="G172" s="6" t="str">
        <f aca="false">IF(F172&lt;&gt;0,F172*G$2/(100+G$2)," ")</f>
        <v> </v>
      </c>
      <c r="H172" s="6" t="str">
        <f aca="false">IF((F172&lt;&gt;0),F172-G172," ")</f>
        <v> </v>
      </c>
      <c r="I172" s="5"/>
      <c r="L172" s="7" t="str">
        <f aca="false">IF(F172&lt;&gt;0,F172-K172," ")</f>
        <v> </v>
      </c>
      <c r="M172" s="8" t="str">
        <f aca="false">IF((F172-K172)&lt;&gt;0,M$1-A172," ")</f>
        <v> </v>
      </c>
      <c r="N172" s="5"/>
      <c r="O172" s="17" t="str">
        <f aca="false">IF((E172="s"),H172," ")</f>
        <v> </v>
      </c>
      <c r="P172" s="17" t="str">
        <f aca="false">IF((E172="c"),H172," ")</f>
        <v> </v>
      </c>
      <c r="Q172" s="17" t="str">
        <f aca="false">IF((E172="o"),H172," ")</f>
        <v> </v>
      </c>
      <c r="R172" s="17" t="str">
        <f aca="false">IF((E172="d"),H172," ")</f>
        <v> </v>
      </c>
      <c r="S172" s="17" t="str">
        <f aca="false">IF((E172="w"),H172," ")</f>
        <v> </v>
      </c>
      <c r="T172" s="17" t="str">
        <f aca="false">IF((E172="r"),H172," ")</f>
        <v> </v>
      </c>
      <c r="U172" s="17" t="str">
        <f aca="false">IF((E172="p"),H172," ")</f>
        <v> </v>
      </c>
      <c r="V172" s="17" t="str">
        <f aca="false">IF((E172="t"),H172," ")</f>
        <v> </v>
      </c>
      <c r="W172" s="17" t="str">
        <f aca="false">IF((E172="q"),H172," ")</f>
        <v> </v>
      </c>
      <c r="X172" s="17" t="str">
        <f aca="false">IF((E172="m"),H172," ")</f>
        <v> </v>
      </c>
      <c r="Y172" s="17" t="str">
        <f aca="false">IF((E172="u"),H172," ")</f>
        <v> </v>
      </c>
      <c r="Z172" s="17" t="str">
        <f aca="false">IF((E172="a"),H172," ")</f>
        <v> </v>
      </c>
      <c r="AA172" s="17" t="str">
        <f aca="false">IF((E172="g"),H172," ")</f>
        <v> </v>
      </c>
      <c r="AB172" s="17" t="str">
        <f aca="false">IF((E172="h"),H172," ")</f>
        <v> </v>
      </c>
      <c r="AC172" s="30" t="str">
        <f aca="false">IF((E172="v"),H172," ")</f>
        <v> </v>
      </c>
      <c r="AD172" s="30" t="str">
        <f aca="false">IF((E172="n"),H172," ")</f>
        <v> </v>
      </c>
      <c r="AE172" s="17" t="str">
        <f aca="false">IF((E172="f"),H172," ")</f>
        <v> </v>
      </c>
      <c r="AF172" s="17" t="str">
        <f aca="false">IF((E172="l"),H172," ")</f>
        <v> </v>
      </c>
      <c r="AG172" s="17" t="str">
        <f aca="false">IF((E172="y"),H172," ")</f>
        <v> </v>
      </c>
      <c r="AH172" s="17" t="str">
        <f aca="false">IF((E172="z"),H172," ")</f>
        <v> </v>
      </c>
      <c r="AI172" s="17" t="str">
        <f aca="false">IF((E172="fa"),H172," ")</f>
        <v> </v>
      </c>
      <c r="AJ172" s="17" t="str">
        <f aca="false">IF((E172="e"),H172," ")</f>
        <v> </v>
      </c>
    </row>
    <row r="173" customFormat="false" ht="12" hidden="false" customHeight="false" outlineLevel="0" collapsed="false">
      <c r="A173" s="28"/>
      <c r="E173" s="2" t="str">
        <f aca="false">IF((F173&lt;&gt;0),"Enter Letter"," ")</f>
        <v> </v>
      </c>
      <c r="F173" s="30"/>
      <c r="G173" s="6" t="str">
        <f aca="false">IF(F173&lt;&gt;0,F173*G$2/(100+G$2)," ")</f>
        <v> </v>
      </c>
      <c r="H173" s="6" t="str">
        <f aca="false">IF((F173&lt;&gt;0),F173-G173," ")</f>
        <v> </v>
      </c>
      <c r="I173" s="5"/>
      <c r="L173" s="7" t="str">
        <f aca="false">IF(F173&lt;&gt;0,F173-K173," ")</f>
        <v> </v>
      </c>
      <c r="M173" s="8" t="str">
        <f aca="false">IF((F173-K173)&lt;&gt;0,M$1-A173," ")</f>
        <v> </v>
      </c>
      <c r="N173" s="5"/>
      <c r="O173" s="17" t="str">
        <f aca="false">IF((E173="s"),H173," ")</f>
        <v> </v>
      </c>
      <c r="P173" s="17" t="str">
        <f aca="false">IF((E173="c"),H173," ")</f>
        <v> </v>
      </c>
      <c r="Q173" s="17" t="str">
        <f aca="false">IF((E173="o"),H173," ")</f>
        <v> </v>
      </c>
      <c r="R173" s="17" t="str">
        <f aca="false">IF((E173="d"),H173," ")</f>
        <v> </v>
      </c>
      <c r="S173" s="17" t="str">
        <f aca="false">IF((E173="w"),H173," ")</f>
        <v> </v>
      </c>
      <c r="T173" s="17" t="str">
        <f aca="false">IF((E173="r"),H173," ")</f>
        <v> </v>
      </c>
      <c r="U173" s="17" t="str">
        <f aca="false">IF((E173="p"),H173," ")</f>
        <v> </v>
      </c>
      <c r="V173" s="17" t="str">
        <f aca="false">IF((E173="t"),H173," ")</f>
        <v> </v>
      </c>
      <c r="W173" s="17" t="str">
        <f aca="false">IF((E173="q"),H173," ")</f>
        <v> </v>
      </c>
      <c r="X173" s="17" t="str">
        <f aca="false">IF((E173="m"),H173," ")</f>
        <v> </v>
      </c>
      <c r="Y173" s="17" t="str">
        <f aca="false">IF((E173="u"),H173," ")</f>
        <v> </v>
      </c>
      <c r="Z173" s="17" t="str">
        <f aca="false">IF((E173="a"),H173," ")</f>
        <v> </v>
      </c>
      <c r="AA173" s="17" t="str">
        <f aca="false">IF((E173="g"),H173," ")</f>
        <v> </v>
      </c>
      <c r="AB173" s="17" t="str">
        <f aca="false">IF((E173="h"),H173," ")</f>
        <v> </v>
      </c>
      <c r="AC173" s="30" t="str">
        <f aca="false">IF((E173="v"),H173," ")</f>
        <v> </v>
      </c>
      <c r="AD173" s="30" t="str">
        <f aca="false">IF((E173="n"),H173," ")</f>
        <v> </v>
      </c>
      <c r="AE173" s="17" t="str">
        <f aca="false">IF((E173="f"),H173," ")</f>
        <v> </v>
      </c>
      <c r="AF173" s="17" t="str">
        <f aca="false">IF((E173="l"),H173," ")</f>
        <v> </v>
      </c>
      <c r="AG173" s="17" t="str">
        <f aca="false">IF((E173="y"),H173," ")</f>
        <v> </v>
      </c>
      <c r="AH173" s="17" t="str">
        <f aca="false">IF((E173="z"),H173," ")</f>
        <v> </v>
      </c>
      <c r="AI173" s="17" t="str">
        <f aca="false">IF((E173="fa"),H173," ")</f>
        <v> </v>
      </c>
      <c r="AJ173" s="17" t="str">
        <f aca="false">IF((E173="e"),H173," ")</f>
        <v> </v>
      </c>
    </row>
    <row r="174" customFormat="false" ht="12" hidden="false" customHeight="false" outlineLevel="0" collapsed="false">
      <c r="A174" s="28"/>
      <c r="E174" s="2" t="str">
        <f aca="false">IF((F174&lt;&gt;0),"Enter Letter"," ")</f>
        <v> </v>
      </c>
      <c r="F174" s="30"/>
      <c r="G174" s="6" t="str">
        <f aca="false">IF(F174&lt;&gt;0,F174*G$2/(100+G$2)," ")</f>
        <v> </v>
      </c>
      <c r="H174" s="6" t="str">
        <f aca="false">IF((F174&lt;&gt;0),F174-G174," ")</f>
        <v> </v>
      </c>
      <c r="I174" s="5"/>
      <c r="L174" s="7" t="str">
        <f aca="false">IF(F174&lt;&gt;0,F174-K174," ")</f>
        <v> </v>
      </c>
      <c r="M174" s="8" t="str">
        <f aca="false">IF((F174-K174)&lt;&gt;0,M$1-A174," ")</f>
        <v> </v>
      </c>
      <c r="N174" s="5"/>
      <c r="O174" s="17" t="str">
        <f aca="false">IF((E174="s"),H174," ")</f>
        <v> </v>
      </c>
      <c r="P174" s="17" t="str">
        <f aca="false">IF((E174="c"),H174," ")</f>
        <v> </v>
      </c>
      <c r="Q174" s="17" t="str">
        <f aca="false">IF((E174="o"),H174," ")</f>
        <v> </v>
      </c>
      <c r="R174" s="17" t="str">
        <f aca="false">IF((E174="d"),H174," ")</f>
        <v> </v>
      </c>
      <c r="S174" s="17" t="str">
        <f aca="false">IF((E174="w"),H174," ")</f>
        <v> </v>
      </c>
      <c r="T174" s="17" t="str">
        <f aca="false">IF((E174="r"),H174," ")</f>
        <v> </v>
      </c>
      <c r="U174" s="17" t="str">
        <f aca="false">IF((E174="p"),H174," ")</f>
        <v> </v>
      </c>
      <c r="V174" s="17" t="str">
        <f aca="false">IF((E174="t"),H174," ")</f>
        <v> </v>
      </c>
      <c r="W174" s="17" t="str">
        <f aca="false">IF((E174="q"),H174," ")</f>
        <v> </v>
      </c>
      <c r="X174" s="17" t="str">
        <f aca="false">IF((E174="m"),H174," ")</f>
        <v> </v>
      </c>
      <c r="Y174" s="17" t="str">
        <f aca="false">IF((E174="u"),H174," ")</f>
        <v> </v>
      </c>
      <c r="Z174" s="17" t="str">
        <f aca="false">IF((E174="a"),H174," ")</f>
        <v> </v>
      </c>
      <c r="AA174" s="17" t="str">
        <f aca="false">IF((E174="g"),H174," ")</f>
        <v> </v>
      </c>
      <c r="AB174" s="17" t="str">
        <f aca="false">IF((E174="h"),H174," ")</f>
        <v> </v>
      </c>
      <c r="AC174" s="30" t="str">
        <f aca="false">IF((E174="v"),H174," ")</f>
        <v> </v>
      </c>
      <c r="AD174" s="30" t="str">
        <f aca="false">IF((E174="n"),H174," ")</f>
        <v> </v>
      </c>
      <c r="AE174" s="17" t="str">
        <f aca="false">IF((E174="f"),H174," ")</f>
        <v> </v>
      </c>
      <c r="AF174" s="17" t="str">
        <f aca="false">IF((E174="l"),H174," ")</f>
        <v> </v>
      </c>
      <c r="AG174" s="17" t="str">
        <f aca="false">IF((E174="y"),H174," ")</f>
        <v> </v>
      </c>
      <c r="AH174" s="17" t="str">
        <f aca="false">IF((E174="z"),H174," ")</f>
        <v> </v>
      </c>
      <c r="AI174" s="17" t="str">
        <f aca="false">IF((E174="fa"),H174," ")</f>
        <v> </v>
      </c>
      <c r="AJ174" s="17" t="str">
        <f aca="false">IF((E174="e"),H174," ")</f>
        <v> </v>
      </c>
    </row>
    <row r="175" customFormat="false" ht="12" hidden="false" customHeight="false" outlineLevel="0" collapsed="false">
      <c r="A175" s="28"/>
      <c r="E175" s="2" t="str">
        <f aca="false">IF((F175&lt;&gt;0),"Enter Letter"," ")</f>
        <v> </v>
      </c>
      <c r="F175" s="30"/>
      <c r="G175" s="6" t="str">
        <f aca="false">IF(F175&lt;&gt;0,F175*G$2/(100+G$2)," ")</f>
        <v> </v>
      </c>
      <c r="H175" s="6" t="str">
        <f aca="false">IF((F175&lt;&gt;0),F175-G175," ")</f>
        <v> </v>
      </c>
      <c r="I175" s="5"/>
      <c r="L175" s="7" t="str">
        <f aca="false">IF(F175&lt;&gt;0,F175-K175," ")</f>
        <v> </v>
      </c>
      <c r="M175" s="8" t="str">
        <f aca="false">IF((F175-K175)&lt;&gt;0,M$1-A175," ")</f>
        <v> </v>
      </c>
      <c r="N175" s="5"/>
      <c r="O175" s="17" t="str">
        <f aca="false">IF((E175="s"),H175," ")</f>
        <v> </v>
      </c>
      <c r="P175" s="17" t="str">
        <f aca="false">IF((E175="c"),H175," ")</f>
        <v> </v>
      </c>
      <c r="Q175" s="17" t="str">
        <f aca="false">IF((E175="o"),H175," ")</f>
        <v> </v>
      </c>
      <c r="R175" s="17" t="str">
        <f aca="false">IF((E175="d"),H175," ")</f>
        <v> </v>
      </c>
      <c r="S175" s="17" t="str">
        <f aca="false">IF((E175="w"),H175," ")</f>
        <v> </v>
      </c>
      <c r="T175" s="17" t="str">
        <f aca="false">IF((E175="r"),H175," ")</f>
        <v> </v>
      </c>
      <c r="U175" s="17" t="str">
        <f aca="false">IF((E175="p"),H175," ")</f>
        <v> </v>
      </c>
      <c r="V175" s="17" t="str">
        <f aca="false">IF((E175="t"),H175," ")</f>
        <v> </v>
      </c>
      <c r="W175" s="17" t="str">
        <f aca="false">IF((E175="q"),H175," ")</f>
        <v> </v>
      </c>
      <c r="X175" s="17" t="str">
        <f aca="false">IF((E175="m"),H175," ")</f>
        <v> </v>
      </c>
      <c r="Y175" s="17" t="str">
        <f aca="false">IF((E175="u"),H175," ")</f>
        <v> </v>
      </c>
      <c r="Z175" s="17" t="str">
        <f aca="false">IF((E175="a"),H175," ")</f>
        <v> </v>
      </c>
      <c r="AA175" s="17" t="str">
        <f aca="false">IF((E175="g"),H175," ")</f>
        <v> </v>
      </c>
      <c r="AB175" s="17" t="str">
        <f aca="false">IF((E175="h"),H175," ")</f>
        <v> </v>
      </c>
      <c r="AC175" s="30" t="str">
        <f aca="false">IF((E175="v"),H175," ")</f>
        <v> </v>
      </c>
      <c r="AD175" s="30" t="str">
        <f aca="false">IF((E175="n"),H175," ")</f>
        <v> </v>
      </c>
      <c r="AE175" s="17" t="str">
        <f aca="false">IF((E175="f"),H175," ")</f>
        <v> </v>
      </c>
      <c r="AF175" s="17" t="str">
        <f aca="false">IF((E175="l"),H175," ")</f>
        <v> </v>
      </c>
      <c r="AG175" s="17" t="str">
        <f aca="false">IF((E175="y"),H175," ")</f>
        <v> </v>
      </c>
      <c r="AH175" s="17" t="str">
        <f aca="false">IF((E175="z"),H175," ")</f>
        <v> </v>
      </c>
      <c r="AI175" s="17" t="str">
        <f aca="false">IF((E175="fa"),H175," ")</f>
        <v> </v>
      </c>
      <c r="AJ175" s="17" t="str">
        <f aca="false">IF((E175="e"),H175," ")</f>
        <v> </v>
      </c>
    </row>
    <row r="176" customFormat="false" ht="12" hidden="false" customHeight="false" outlineLevel="0" collapsed="false">
      <c r="A176" s="28"/>
      <c r="E176" s="2" t="str">
        <f aca="false">IF((F176&lt;&gt;0),"Enter Letter"," ")</f>
        <v> </v>
      </c>
      <c r="F176" s="30"/>
      <c r="G176" s="6" t="str">
        <f aca="false">IF(F176&lt;&gt;0,F176*G$2/(100+G$2)," ")</f>
        <v> </v>
      </c>
      <c r="H176" s="6" t="str">
        <f aca="false">IF((F176&lt;&gt;0),F176-G176," ")</f>
        <v> </v>
      </c>
      <c r="I176" s="5"/>
      <c r="L176" s="7" t="str">
        <f aca="false">IF(F176&lt;&gt;0,F176-K176," ")</f>
        <v> </v>
      </c>
      <c r="M176" s="8" t="str">
        <f aca="false">IF((F176-K176)&lt;&gt;0,M$1-A176," ")</f>
        <v> </v>
      </c>
      <c r="N176" s="5"/>
      <c r="O176" s="17" t="str">
        <f aca="false">IF((E176="s"),H176," ")</f>
        <v> </v>
      </c>
      <c r="P176" s="17" t="str">
        <f aca="false">IF((E176="c"),H176," ")</f>
        <v> </v>
      </c>
      <c r="Q176" s="17" t="str">
        <f aca="false">IF((E176="o"),H176," ")</f>
        <v> </v>
      </c>
      <c r="R176" s="17" t="str">
        <f aca="false">IF((E176="d"),H176," ")</f>
        <v> </v>
      </c>
      <c r="S176" s="17" t="str">
        <f aca="false">IF((E176="w"),H176," ")</f>
        <v> </v>
      </c>
      <c r="T176" s="17" t="str">
        <f aca="false">IF((E176="r"),H176," ")</f>
        <v> </v>
      </c>
      <c r="U176" s="17" t="str">
        <f aca="false">IF((E176="p"),H176," ")</f>
        <v> </v>
      </c>
      <c r="V176" s="17" t="str">
        <f aca="false">IF((E176="t"),H176," ")</f>
        <v> </v>
      </c>
      <c r="W176" s="17" t="str">
        <f aca="false">IF((E176="q"),H176," ")</f>
        <v> </v>
      </c>
      <c r="X176" s="17" t="str">
        <f aca="false">IF((E176="m"),H176," ")</f>
        <v> </v>
      </c>
      <c r="Y176" s="17" t="str">
        <f aca="false">IF((E176="u"),H176," ")</f>
        <v> </v>
      </c>
      <c r="Z176" s="17" t="str">
        <f aca="false">IF((E176="a"),H176," ")</f>
        <v> </v>
      </c>
      <c r="AA176" s="17" t="str">
        <f aca="false">IF((E176="g"),H176," ")</f>
        <v> </v>
      </c>
      <c r="AB176" s="17" t="str">
        <f aca="false">IF((E176="h"),H176," ")</f>
        <v> </v>
      </c>
      <c r="AC176" s="30" t="str">
        <f aca="false">IF((E176="v"),H176," ")</f>
        <v> </v>
      </c>
      <c r="AD176" s="30" t="str">
        <f aca="false">IF((E176="n"),H176," ")</f>
        <v> </v>
      </c>
      <c r="AE176" s="17" t="str">
        <f aca="false">IF((E176="f"),H176," ")</f>
        <v> </v>
      </c>
      <c r="AF176" s="17" t="str">
        <f aca="false">IF((E176="l"),H176," ")</f>
        <v> </v>
      </c>
      <c r="AG176" s="17" t="str">
        <f aca="false">IF((E176="y"),H176," ")</f>
        <v> </v>
      </c>
      <c r="AH176" s="17" t="str">
        <f aca="false">IF((E176="z"),H176," ")</f>
        <v> </v>
      </c>
      <c r="AI176" s="17" t="str">
        <f aca="false">IF((E176="fa"),H176," ")</f>
        <v> </v>
      </c>
      <c r="AJ176" s="17" t="str">
        <f aca="false">IF((E176="e"),H176," ")</f>
        <v> </v>
      </c>
    </row>
    <row r="177" customFormat="false" ht="12" hidden="false" customHeight="false" outlineLevel="0" collapsed="false">
      <c r="A177" s="28"/>
      <c r="E177" s="2" t="str">
        <f aca="false">IF((F177&lt;&gt;0),"Enter Letter"," ")</f>
        <v> </v>
      </c>
      <c r="F177" s="30"/>
      <c r="G177" s="6" t="str">
        <f aca="false">IF(F177&lt;&gt;0,F177*G$2/(100+G$2)," ")</f>
        <v> </v>
      </c>
      <c r="H177" s="6" t="str">
        <f aca="false">IF((F177&lt;&gt;0),F177-G177," ")</f>
        <v> </v>
      </c>
      <c r="I177" s="5"/>
      <c r="L177" s="7" t="str">
        <f aca="false">IF(F177&lt;&gt;0,F177-K177," ")</f>
        <v> </v>
      </c>
      <c r="M177" s="8" t="str">
        <f aca="false">IF((F177-K177)&lt;&gt;0,M$1-A177," ")</f>
        <v> </v>
      </c>
      <c r="N177" s="5"/>
      <c r="O177" s="17" t="str">
        <f aca="false">IF((E177="s"),H177," ")</f>
        <v> </v>
      </c>
      <c r="P177" s="17" t="str">
        <f aca="false">IF((E177="c"),H177," ")</f>
        <v> </v>
      </c>
      <c r="Q177" s="17" t="str">
        <f aca="false">IF((E177="o"),H177," ")</f>
        <v> </v>
      </c>
      <c r="R177" s="17" t="str">
        <f aca="false">IF((E177="d"),H177," ")</f>
        <v> </v>
      </c>
      <c r="S177" s="17" t="str">
        <f aca="false">IF((E177="w"),H177," ")</f>
        <v> </v>
      </c>
      <c r="T177" s="17" t="str">
        <f aca="false">IF((E177="r"),H177," ")</f>
        <v> </v>
      </c>
      <c r="U177" s="17" t="str">
        <f aca="false">IF((E177="p"),H177," ")</f>
        <v> </v>
      </c>
      <c r="V177" s="17" t="str">
        <f aca="false">IF((E177="t"),H177," ")</f>
        <v> </v>
      </c>
      <c r="W177" s="17" t="str">
        <f aca="false">IF((E177="q"),H177," ")</f>
        <v> </v>
      </c>
      <c r="X177" s="17" t="str">
        <f aca="false">IF((E177="m"),H177," ")</f>
        <v> </v>
      </c>
      <c r="Y177" s="17" t="str">
        <f aca="false">IF((E177="u"),H177," ")</f>
        <v> </v>
      </c>
      <c r="Z177" s="17" t="str">
        <f aca="false">IF((E177="a"),H177," ")</f>
        <v> </v>
      </c>
      <c r="AA177" s="17" t="str">
        <f aca="false">IF((E177="g"),H177," ")</f>
        <v> </v>
      </c>
      <c r="AB177" s="17" t="str">
        <f aca="false">IF((E177="h"),H177," ")</f>
        <v> </v>
      </c>
      <c r="AC177" s="30" t="str">
        <f aca="false">IF((E177="v"),H177," ")</f>
        <v> </v>
      </c>
      <c r="AD177" s="30" t="str">
        <f aca="false">IF((E177="n"),H177," ")</f>
        <v> </v>
      </c>
      <c r="AE177" s="17" t="str">
        <f aca="false">IF((E177="f"),H177," ")</f>
        <v> </v>
      </c>
      <c r="AF177" s="17" t="str">
        <f aca="false">IF((E177="l"),H177," ")</f>
        <v> </v>
      </c>
      <c r="AG177" s="17" t="str">
        <f aca="false">IF((E177="y"),H177," ")</f>
        <v> </v>
      </c>
      <c r="AH177" s="17" t="str">
        <f aca="false">IF((E177="z"),H177," ")</f>
        <v> </v>
      </c>
      <c r="AI177" s="17" t="str">
        <f aca="false">IF((E177="fa"),H177," ")</f>
        <v> </v>
      </c>
      <c r="AJ177" s="17" t="str">
        <f aca="false">IF((E177="e"),H177," ")</f>
        <v> </v>
      </c>
    </row>
    <row r="178" customFormat="false" ht="12" hidden="false" customHeight="false" outlineLevel="0" collapsed="false">
      <c r="A178" s="28"/>
      <c r="E178" s="2" t="str">
        <f aca="false">IF((F178&lt;&gt;0),"Enter Letter"," ")</f>
        <v> </v>
      </c>
      <c r="F178" s="30"/>
      <c r="G178" s="6" t="str">
        <f aca="false">IF(F178&lt;&gt;0,F178*G$2/(100+G$2)," ")</f>
        <v> </v>
      </c>
      <c r="H178" s="6" t="str">
        <f aca="false">IF((F178&lt;&gt;0),F178-G178," ")</f>
        <v> </v>
      </c>
      <c r="I178" s="5"/>
      <c r="L178" s="7" t="str">
        <f aca="false">IF(F178&lt;&gt;0,F178-K178," ")</f>
        <v> </v>
      </c>
      <c r="M178" s="8" t="str">
        <f aca="false">IF((F178-K178)&lt;&gt;0,M$1-A178," ")</f>
        <v> </v>
      </c>
      <c r="N178" s="5"/>
      <c r="O178" s="17" t="str">
        <f aca="false">IF((E178="s"),H178," ")</f>
        <v> </v>
      </c>
      <c r="P178" s="17" t="str">
        <f aca="false">IF((E178="c"),H178," ")</f>
        <v> </v>
      </c>
      <c r="Q178" s="17" t="str">
        <f aca="false">IF((E178="o"),H178," ")</f>
        <v> </v>
      </c>
      <c r="R178" s="17" t="str">
        <f aca="false">IF((E178="d"),H178," ")</f>
        <v> </v>
      </c>
      <c r="S178" s="17" t="str">
        <f aca="false">IF((E178="w"),H178," ")</f>
        <v> </v>
      </c>
      <c r="T178" s="17" t="str">
        <f aca="false">IF((E178="r"),H178," ")</f>
        <v> </v>
      </c>
      <c r="U178" s="17" t="str">
        <f aca="false">IF((E178="p"),H178," ")</f>
        <v> </v>
      </c>
      <c r="V178" s="17" t="str">
        <f aca="false">IF((E178="t"),H178," ")</f>
        <v> </v>
      </c>
      <c r="W178" s="17" t="str">
        <f aca="false">IF((E178="q"),H178," ")</f>
        <v> </v>
      </c>
      <c r="X178" s="17" t="str">
        <f aca="false">IF((E178="m"),H178," ")</f>
        <v> </v>
      </c>
      <c r="Y178" s="17" t="str">
        <f aca="false">IF((E178="u"),H178," ")</f>
        <v> </v>
      </c>
      <c r="Z178" s="17" t="str">
        <f aca="false">IF((E178="a"),H178," ")</f>
        <v> </v>
      </c>
      <c r="AA178" s="17" t="str">
        <f aca="false">IF((E178="g"),H178," ")</f>
        <v> </v>
      </c>
      <c r="AB178" s="17" t="str">
        <f aca="false">IF((E178="h"),H178," ")</f>
        <v> </v>
      </c>
      <c r="AC178" s="30" t="str">
        <f aca="false">IF((E178="v"),H178," ")</f>
        <v> </v>
      </c>
      <c r="AD178" s="30" t="str">
        <f aca="false">IF((E178="n"),H178," ")</f>
        <v> </v>
      </c>
      <c r="AE178" s="17" t="str">
        <f aca="false">IF((E178="f"),H178," ")</f>
        <v> </v>
      </c>
      <c r="AF178" s="17" t="str">
        <f aca="false">IF((E178="l"),H178," ")</f>
        <v> </v>
      </c>
      <c r="AG178" s="17" t="str">
        <f aca="false">IF((E178="y"),H178," ")</f>
        <v> </v>
      </c>
      <c r="AH178" s="17" t="str">
        <f aca="false">IF((E178="z"),H178," ")</f>
        <v> </v>
      </c>
      <c r="AI178" s="17" t="str">
        <f aca="false">IF((E178="fa"),H178," ")</f>
        <v> </v>
      </c>
      <c r="AJ178" s="17" t="str">
        <f aca="false">IF((E178="e"),H178," ")</f>
        <v> </v>
      </c>
    </row>
    <row r="179" customFormat="false" ht="12" hidden="false" customHeight="false" outlineLevel="0" collapsed="false">
      <c r="A179" s="28"/>
      <c r="E179" s="2" t="str">
        <f aca="false">IF((F179&lt;&gt;0),"Enter Letter"," ")</f>
        <v> </v>
      </c>
      <c r="F179" s="30"/>
      <c r="G179" s="6" t="str">
        <f aca="false">IF(F179&lt;&gt;0,F179*G$2/(100+G$2)," ")</f>
        <v> </v>
      </c>
      <c r="H179" s="6" t="str">
        <f aca="false">IF((F179&lt;&gt;0),F179-G179," ")</f>
        <v> </v>
      </c>
      <c r="I179" s="5"/>
      <c r="L179" s="7" t="str">
        <f aca="false">IF(F179&lt;&gt;0,F179-K179," ")</f>
        <v> </v>
      </c>
      <c r="M179" s="8" t="str">
        <f aca="false">IF((F179-K179)&lt;&gt;0,M$1-A179," ")</f>
        <v> </v>
      </c>
      <c r="N179" s="5"/>
      <c r="O179" s="17" t="str">
        <f aca="false">IF((E179="s"),H179," ")</f>
        <v> </v>
      </c>
      <c r="P179" s="17" t="str">
        <f aca="false">IF((E179="c"),H179," ")</f>
        <v> </v>
      </c>
      <c r="Q179" s="17" t="str">
        <f aca="false">IF((E179="o"),H179," ")</f>
        <v> </v>
      </c>
      <c r="R179" s="17" t="str">
        <f aca="false">IF((E179="d"),H179," ")</f>
        <v> </v>
      </c>
      <c r="S179" s="17" t="str">
        <f aca="false">IF((E179="w"),H179," ")</f>
        <v> </v>
      </c>
      <c r="T179" s="17" t="str">
        <f aca="false">IF((E179="r"),H179," ")</f>
        <v> </v>
      </c>
      <c r="U179" s="17" t="str">
        <f aca="false">IF((E179="p"),H179," ")</f>
        <v> </v>
      </c>
      <c r="V179" s="17" t="str">
        <f aca="false">IF((E179="t"),H179," ")</f>
        <v> </v>
      </c>
      <c r="W179" s="17" t="str">
        <f aca="false">IF((E179="q"),H179," ")</f>
        <v> </v>
      </c>
      <c r="X179" s="17" t="str">
        <f aca="false">IF((E179="m"),H179," ")</f>
        <v> </v>
      </c>
      <c r="Y179" s="17" t="str">
        <f aca="false">IF((E179="u"),H179," ")</f>
        <v> </v>
      </c>
      <c r="Z179" s="17" t="str">
        <f aca="false">IF((E179="a"),H179," ")</f>
        <v> </v>
      </c>
      <c r="AA179" s="17" t="str">
        <f aca="false">IF((E179="g"),H179," ")</f>
        <v> </v>
      </c>
      <c r="AB179" s="17" t="str">
        <f aca="false">IF((E179="h"),H179," ")</f>
        <v> </v>
      </c>
      <c r="AC179" s="30" t="str">
        <f aca="false">IF((E179="v"),H179," ")</f>
        <v> </v>
      </c>
      <c r="AD179" s="30" t="str">
        <f aca="false">IF((E179="n"),H179," ")</f>
        <v> </v>
      </c>
      <c r="AE179" s="17" t="str">
        <f aca="false">IF((E179="f"),H179," ")</f>
        <v> </v>
      </c>
      <c r="AF179" s="17" t="str">
        <f aca="false">IF((E179="l"),H179," ")</f>
        <v> </v>
      </c>
      <c r="AG179" s="17" t="str">
        <f aca="false">IF((E179="y"),H179," ")</f>
        <v> </v>
      </c>
      <c r="AH179" s="17" t="str">
        <f aca="false">IF((E179="z"),H179," ")</f>
        <v> </v>
      </c>
      <c r="AI179" s="17" t="str">
        <f aca="false">IF((E179="fa"),H179," ")</f>
        <v> </v>
      </c>
      <c r="AJ179" s="17" t="str">
        <f aca="false">IF((E179="e"),H179," ")</f>
        <v> </v>
      </c>
    </row>
    <row r="180" customFormat="false" ht="12" hidden="false" customHeight="false" outlineLevel="0" collapsed="false">
      <c r="A180" s="28"/>
      <c r="E180" s="2" t="str">
        <f aca="false">IF((F180&lt;&gt;0),"Enter Letter"," ")</f>
        <v> </v>
      </c>
      <c r="F180" s="30"/>
      <c r="G180" s="6" t="str">
        <f aca="false">IF(F180&lt;&gt;0,F180*G$2/(100+G$2)," ")</f>
        <v> </v>
      </c>
      <c r="H180" s="6" t="str">
        <f aca="false">IF((F180&lt;&gt;0),F180-G180," ")</f>
        <v> </v>
      </c>
      <c r="I180" s="5"/>
      <c r="L180" s="7" t="str">
        <f aca="false">IF(F180&lt;&gt;0,F180-K180," ")</f>
        <v> </v>
      </c>
      <c r="M180" s="8" t="str">
        <f aca="false">IF((F180-K180)&lt;&gt;0,M$1-A180," ")</f>
        <v> </v>
      </c>
      <c r="N180" s="5"/>
      <c r="O180" s="17" t="str">
        <f aca="false">IF((E180="s"),H180," ")</f>
        <v> </v>
      </c>
      <c r="P180" s="17" t="str">
        <f aca="false">IF((E180="c"),H180," ")</f>
        <v> </v>
      </c>
      <c r="Q180" s="17" t="str">
        <f aca="false">IF((E180="o"),H180," ")</f>
        <v> </v>
      </c>
      <c r="R180" s="17" t="str">
        <f aca="false">IF((E180="d"),H180," ")</f>
        <v> </v>
      </c>
      <c r="S180" s="17" t="str">
        <f aca="false">IF((E180="w"),H180," ")</f>
        <v> </v>
      </c>
      <c r="T180" s="17" t="str">
        <f aca="false">IF((E180="r"),H180," ")</f>
        <v> </v>
      </c>
      <c r="U180" s="17" t="str">
        <f aca="false">IF((E180="p"),H180," ")</f>
        <v> </v>
      </c>
      <c r="V180" s="17" t="str">
        <f aca="false">IF((E180="t"),H180," ")</f>
        <v> </v>
      </c>
      <c r="W180" s="17" t="str">
        <f aca="false">IF((E180="q"),H180," ")</f>
        <v> </v>
      </c>
      <c r="X180" s="17" t="str">
        <f aca="false">IF((E180="m"),H180," ")</f>
        <v> </v>
      </c>
      <c r="Y180" s="17" t="str">
        <f aca="false">IF((E180="u"),H180," ")</f>
        <v> </v>
      </c>
      <c r="Z180" s="17" t="str">
        <f aca="false">IF((E180="a"),H180," ")</f>
        <v> </v>
      </c>
      <c r="AA180" s="17" t="str">
        <f aca="false">IF((E180="g"),H180," ")</f>
        <v> </v>
      </c>
      <c r="AB180" s="17" t="str">
        <f aca="false">IF((E180="h"),H180," ")</f>
        <v> </v>
      </c>
      <c r="AC180" s="30" t="str">
        <f aca="false">IF((E180="v"),H180," ")</f>
        <v> </v>
      </c>
      <c r="AD180" s="30" t="str">
        <f aca="false">IF((E180="n"),H180," ")</f>
        <v> </v>
      </c>
      <c r="AE180" s="17" t="str">
        <f aca="false">IF((E180="f"),H180," ")</f>
        <v> </v>
      </c>
      <c r="AF180" s="17" t="str">
        <f aca="false">IF((E180="l"),H180," ")</f>
        <v> </v>
      </c>
      <c r="AG180" s="17" t="str">
        <f aca="false">IF((E180="y"),H180," ")</f>
        <v> </v>
      </c>
      <c r="AH180" s="17" t="str">
        <f aca="false">IF((E180="z"),H180," ")</f>
        <v> </v>
      </c>
      <c r="AI180" s="17" t="str">
        <f aca="false">IF((E180="fa"),H180," ")</f>
        <v> </v>
      </c>
      <c r="AJ180" s="17" t="str">
        <f aca="false">IF((E180="e"),H180," ")</f>
        <v> </v>
      </c>
    </row>
    <row r="181" customFormat="false" ht="12" hidden="false" customHeight="false" outlineLevel="0" collapsed="false">
      <c r="A181" s="28"/>
      <c r="E181" s="2" t="str">
        <f aca="false">IF((F181&lt;&gt;0),"Enter Letter"," ")</f>
        <v> </v>
      </c>
      <c r="F181" s="30"/>
      <c r="G181" s="6" t="str">
        <f aca="false">IF(F181&lt;&gt;0,F181*G$2/(100+G$2)," ")</f>
        <v> </v>
      </c>
      <c r="H181" s="6" t="str">
        <f aca="false">IF((F181&lt;&gt;0),F181-G181," ")</f>
        <v> </v>
      </c>
      <c r="I181" s="5"/>
      <c r="L181" s="7" t="str">
        <f aca="false">IF(F181&lt;&gt;0,F181-K181," ")</f>
        <v> </v>
      </c>
      <c r="M181" s="8" t="str">
        <f aca="false">IF((F181-K181)&lt;&gt;0,M$1-A181," ")</f>
        <v> </v>
      </c>
      <c r="N181" s="5"/>
      <c r="O181" s="17" t="str">
        <f aca="false">IF((E181="s"),H181," ")</f>
        <v> </v>
      </c>
      <c r="P181" s="17" t="str">
        <f aca="false">IF((E181="c"),H181," ")</f>
        <v> </v>
      </c>
      <c r="Q181" s="17" t="str">
        <f aca="false">IF((E181="o"),H181," ")</f>
        <v> </v>
      </c>
      <c r="R181" s="17" t="str">
        <f aca="false">IF((E181="d"),H181," ")</f>
        <v> </v>
      </c>
      <c r="S181" s="17" t="str">
        <f aca="false">IF((E181="w"),H181," ")</f>
        <v> </v>
      </c>
      <c r="T181" s="17" t="str">
        <f aca="false">IF((E181="r"),H181," ")</f>
        <v> </v>
      </c>
      <c r="U181" s="17" t="str">
        <f aca="false">IF((E181="p"),H181," ")</f>
        <v> </v>
      </c>
      <c r="V181" s="17" t="str">
        <f aca="false">IF((E181="t"),H181," ")</f>
        <v> </v>
      </c>
      <c r="W181" s="17" t="str">
        <f aca="false">IF((E181="q"),H181," ")</f>
        <v> </v>
      </c>
      <c r="X181" s="17" t="str">
        <f aca="false">IF((E181="m"),H181," ")</f>
        <v> </v>
      </c>
      <c r="Y181" s="17" t="str">
        <f aca="false">IF((E181="u"),H181," ")</f>
        <v> </v>
      </c>
      <c r="Z181" s="17" t="str">
        <f aca="false">IF((E181="a"),H181," ")</f>
        <v> </v>
      </c>
      <c r="AA181" s="17" t="str">
        <f aca="false">IF((E181="g"),H181," ")</f>
        <v> </v>
      </c>
      <c r="AB181" s="17" t="str">
        <f aca="false">IF((E181="h"),H181," ")</f>
        <v> </v>
      </c>
      <c r="AC181" s="30" t="str">
        <f aca="false">IF((E181="v"),H181," ")</f>
        <v> </v>
      </c>
      <c r="AD181" s="30" t="str">
        <f aca="false">IF((E181="n"),H181," ")</f>
        <v> </v>
      </c>
      <c r="AE181" s="17" t="str">
        <f aca="false">IF((E181="f"),H181," ")</f>
        <v> </v>
      </c>
      <c r="AF181" s="17" t="str">
        <f aca="false">IF((E181="l"),H181," ")</f>
        <v> </v>
      </c>
      <c r="AG181" s="17" t="str">
        <f aca="false">IF((E181="y"),H181," ")</f>
        <v> </v>
      </c>
      <c r="AH181" s="17" t="str">
        <f aca="false">IF((E181="z"),H181," ")</f>
        <v> </v>
      </c>
      <c r="AI181" s="17" t="str">
        <f aca="false">IF((E181="fa"),H181," ")</f>
        <v> </v>
      </c>
      <c r="AJ181" s="17" t="str">
        <f aca="false">IF((E181="e"),H181," ")</f>
        <v> </v>
      </c>
    </row>
    <row r="182" customFormat="false" ht="12" hidden="false" customHeight="false" outlineLevel="0" collapsed="false">
      <c r="A182" s="28"/>
      <c r="E182" s="2" t="str">
        <f aca="false">IF((F182&lt;&gt;0),"Enter Letter"," ")</f>
        <v> </v>
      </c>
      <c r="F182" s="30"/>
      <c r="G182" s="6" t="str">
        <f aca="false">IF(F182&lt;&gt;0,F182*G$2/(100+G$2)," ")</f>
        <v> </v>
      </c>
      <c r="H182" s="6" t="str">
        <f aca="false">IF((F182&lt;&gt;0),F182-G182," ")</f>
        <v> </v>
      </c>
      <c r="I182" s="5"/>
      <c r="L182" s="7" t="str">
        <f aca="false">IF(F182&lt;&gt;0,F182-K182," ")</f>
        <v> </v>
      </c>
      <c r="M182" s="8" t="str">
        <f aca="false">IF((F182-K182)&lt;&gt;0,M$1-A182," ")</f>
        <v> </v>
      </c>
      <c r="N182" s="5"/>
      <c r="O182" s="17" t="str">
        <f aca="false">IF((E182="s"),H182," ")</f>
        <v> </v>
      </c>
      <c r="P182" s="17" t="str">
        <f aca="false">IF((E182="c"),H182," ")</f>
        <v> </v>
      </c>
      <c r="Q182" s="17" t="str">
        <f aca="false">IF((E182="o"),H182," ")</f>
        <v> </v>
      </c>
      <c r="R182" s="17" t="str">
        <f aca="false">IF((E182="d"),H182," ")</f>
        <v> </v>
      </c>
      <c r="S182" s="17" t="str">
        <f aca="false">IF((E182="w"),H182," ")</f>
        <v> </v>
      </c>
      <c r="T182" s="17" t="str">
        <f aca="false">IF((E182="r"),H182," ")</f>
        <v> </v>
      </c>
      <c r="U182" s="17" t="str">
        <f aca="false">IF((E182="p"),H182," ")</f>
        <v> </v>
      </c>
      <c r="V182" s="17" t="str">
        <f aca="false">IF((E182="t"),H182," ")</f>
        <v> </v>
      </c>
      <c r="W182" s="17" t="str">
        <f aca="false">IF((E182="q"),H182," ")</f>
        <v> </v>
      </c>
      <c r="X182" s="17" t="str">
        <f aca="false">IF((E182="m"),H182," ")</f>
        <v> </v>
      </c>
      <c r="Y182" s="17" t="str">
        <f aca="false">IF((E182="u"),H182," ")</f>
        <v> </v>
      </c>
      <c r="Z182" s="17" t="str">
        <f aca="false">IF((E182="a"),H182," ")</f>
        <v> </v>
      </c>
      <c r="AA182" s="17" t="str">
        <f aca="false">IF((E182="g"),H182," ")</f>
        <v> </v>
      </c>
      <c r="AB182" s="17" t="str">
        <f aca="false">IF((E182="h"),H182," ")</f>
        <v> </v>
      </c>
      <c r="AC182" s="30" t="str">
        <f aca="false">IF((E182="v"),H182," ")</f>
        <v> </v>
      </c>
      <c r="AD182" s="30" t="str">
        <f aca="false">IF((E182="n"),H182," ")</f>
        <v> </v>
      </c>
      <c r="AE182" s="17" t="str">
        <f aca="false">IF((E182="f"),H182," ")</f>
        <v> </v>
      </c>
      <c r="AF182" s="17" t="str">
        <f aca="false">IF((E182="l"),H182," ")</f>
        <v> </v>
      </c>
      <c r="AG182" s="17" t="str">
        <f aca="false">IF((E182="y"),H182," ")</f>
        <v> </v>
      </c>
      <c r="AH182" s="17" t="str">
        <f aca="false">IF((E182="z"),H182," ")</f>
        <v> </v>
      </c>
      <c r="AI182" s="17" t="str">
        <f aca="false">IF((E182="fa"),H182," ")</f>
        <v> </v>
      </c>
      <c r="AJ182" s="17" t="str">
        <f aca="false">IF((E182="e"),H182," ")</f>
        <v> </v>
      </c>
    </row>
    <row r="183" customFormat="false" ht="12" hidden="false" customHeight="false" outlineLevel="0" collapsed="false">
      <c r="A183" s="28"/>
      <c r="E183" s="2" t="str">
        <f aca="false">IF((F183&lt;&gt;0),"Enter Letter"," ")</f>
        <v> </v>
      </c>
      <c r="F183" s="30"/>
      <c r="G183" s="6" t="str">
        <f aca="false">IF(F183&lt;&gt;0,F183*G$2/(100+G$2)," ")</f>
        <v> </v>
      </c>
      <c r="H183" s="6" t="str">
        <f aca="false">IF((F183&lt;&gt;0),F183-G183," ")</f>
        <v> </v>
      </c>
      <c r="I183" s="5"/>
      <c r="L183" s="7" t="str">
        <f aca="false">IF(F183&lt;&gt;0,F183-K183," ")</f>
        <v> </v>
      </c>
      <c r="M183" s="8" t="str">
        <f aca="false">IF((F183-K183)&lt;&gt;0,M$1-A183," ")</f>
        <v> </v>
      </c>
      <c r="N183" s="5"/>
      <c r="O183" s="17" t="str">
        <f aca="false">IF((E183="s"),H183," ")</f>
        <v> </v>
      </c>
      <c r="P183" s="17" t="str">
        <f aca="false">IF((E183="c"),H183," ")</f>
        <v> </v>
      </c>
      <c r="Q183" s="17" t="str">
        <f aca="false">IF((E183="o"),H183," ")</f>
        <v> </v>
      </c>
      <c r="R183" s="17" t="str">
        <f aca="false">IF((E183="d"),H183," ")</f>
        <v> </v>
      </c>
      <c r="S183" s="17" t="str">
        <f aca="false">IF((E183="w"),H183," ")</f>
        <v> </v>
      </c>
      <c r="T183" s="17" t="str">
        <f aca="false">IF((E183="r"),H183," ")</f>
        <v> </v>
      </c>
      <c r="U183" s="17" t="str">
        <f aca="false">IF((E183="p"),H183," ")</f>
        <v> </v>
      </c>
      <c r="V183" s="17" t="str">
        <f aca="false">IF((E183="t"),H183," ")</f>
        <v> </v>
      </c>
      <c r="W183" s="17" t="str">
        <f aca="false">IF((E183="q"),H183," ")</f>
        <v> </v>
      </c>
      <c r="X183" s="17" t="str">
        <f aca="false">IF((E183="m"),H183," ")</f>
        <v> </v>
      </c>
      <c r="Y183" s="17" t="str">
        <f aca="false">IF((E183="u"),H183," ")</f>
        <v> </v>
      </c>
      <c r="Z183" s="17" t="str">
        <f aca="false">IF((E183="a"),H183," ")</f>
        <v> </v>
      </c>
      <c r="AA183" s="17" t="str">
        <f aca="false">IF((E183="g"),H183," ")</f>
        <v> </v>
      </c>
      <c r="AB183" s="17" t="str">
        <f aca="false">IF((E183="h"),H183," ")</f>
        <v> </v>
      </c>
      <c r="AC183" s="30" t="str">
        <f aca="false">IF((E183="v"),H183," ")</f>
        <v> </v>
      </c>
      <c r="AD183" s="30" t="str">
        <f aca="false">IF((E183="n"),H183," ")</f>
        <v> </v>
      </c>
      <c r="AE183" s="17" t="str">
        <f aca="false">IF((E183="f"),H183," ")</f>
        <v> </v>
      </c>
      <c r="AF183" s="17" t="str">
        <f aca="false">IF((E183="l"),H183," ")</f>
        <v> </v>
      </c>
      <c r="AG183" s="17" t="str">
        <f aca="false">IF((E183="y"),H183," ")</f>
        <v> </v>
      </c>
      <c r="AH183" s="17" t="str">
        <f aca="false">IF((E183="z"),H183," ")</f>
        <v> </v>
      </c>
      <c r="AI183" s="17" t="str">
        <f aca="false">IF((E183="fa"),H183," ")</f>
        <v> </v>
      </c>
      <c r="AJ183" s="17" t="str">
        <f aca="false">IF((E183="e"),H183," ")</f>
        <v> </v>
      </c>
    </row>
    <row r="184" customFormat="false" ht="12" hidden="false" customHeight="false" outlineLevel="0" collapsed="false">
      <c r="A184" s="28"/>
      <c r="E184" s="2" t="str">
        <f aca="false">IF((F184&lt;&gt;0),"Enter Letter"," ")</f>
        <v> </v>
      </c>
      <c r="F184" s="30"/>
      <c r="G184" s="6" t="str">
        <f aca="false">IF(F184&lt;&gt;0,F184*G$2/(100+G$2)," ")</f>
        <v> </v>
      </c>
      <c r="H184" s="6" t="str">
        <f aca="false">IF((F184&lt;&gt;0),F184-G184," ")</f>
        <v> </v>
      </c>
      <c r="I184" s="5"/>
      <c r="L184" s="7" t="str">
        <f aca="false">IF(F184&lt;&gt;0,F184-K184," ")</f>
        <v> </v>
      </c>
      <c r="M184" s="8" t="str">
        <f aca="false">IF((F184-K184)&lt;&gt;0,M$1-A184," ")</f>
        <v> </v>
      </c>
      <c r="N184" s="5"/>
      <c r="O184" s="17" t="str">
        <f aca="false">IF((E184="s"),H184," ")</f>
        <v> </v>
      </c>
      <c r="P184" s="17" t="str">
        <f aca="false">IF((E184="c"),H184," ")</f>
        <v> </v>
      </c>
      <c r="Q184" s="17" t="str">
        <f aca="false">IF((E184="o"),H184," ")</f>
        <v> </v>
      </c>
      <c r="R184" s="17" t="str">
        <f aca="false">IF((E184="d"),H184," ")</f>
        <v> </v>
      </c>
      <c r="S184" s="17" t="str">
        <f aca="false">IF((E184="w"),H184," ")</f>
        <v> </v>
      </c>
      <c r="T184" s="17" t="str">
        <f aca="false">IF((E184="r"),H184," ")</f>
        <v> </v>
      </c>
      <c r="U184" s="17" t="str">
        <f aca="false">IF((E184="p"),H184," ")</f>
        <v> </v>
      </c>
      <c r="V184" s="17" t="str">
        <f aca="false">IF((E184="t"),H184," ")</f>
        <v> </v>
      </c>
      <c r="W184" s="17" t="str">
        <f aca="false">IF((E184="q"),H184," ")</f>
        <v> </v>
      </c>
      <c r="X184" s="17" t="str">
        <f aca="false">IF((E184="m"),H184," ")</f>
        <v> </v>
      </c>
      <c r="Y184" s="17" t="str">
        <f aca="false">IF((E184="u"),H184," ")</f>
        <v> </v>
      </c>
      <c r="Z184" s="17" t="str">
        <f aca="false">IF((E184="a"),H184," ")</f>
        <v> </v>
      </c>
      <c r="AA184" s="17" t="str">
        <f aca="false">IF((E184="g"),H184," ")</f>
        <v> </v>
      </c>
      <c r="AB184" s="17" t="str">
        <f aca="false">IF((E184="h"),H184," ")</f>
        <v> </v>
      </c>
      <c r="AC184" s="30" t="str">
        <f aca="false">IF((E184="v"),H184," ")</f>
        <v> </v>
      </c>
      <c r="AD184" s="30" t="str">
        <f aca="false">IF((E184="n"),H184," ")</f>
        <v> </v>
      </c>
      <c r="AE184" s="17" t="str">
        <f aca="false">IF((E184="f"),H184," ")</f>
        <v> </v>
      </c>
      <c r="AF184" s="17" t="str">
        <f aca="false">IF((E184="l"),H184," ")</f>
        <v> </v>
      </c>
      <c r="AG184" s="17" t="str">
        <f aca="false">IF((E184="y"),H184," ")</f>
        <v> </v>
      </c>
      <c r="AH184" s="17" t="str">
        <f aca="false">IF((E184="z"),H184," ")</f>
        <v> </v>
      </c>
      <c r="AI184" s="17" t="str">
        <f aca="false">IF((E184="fa"),H184," ")</f>
        <v> </v>
      </c>
      <c r="AJ184" s="17" t="str">
        <f aca="false">IF((E184="e"),H184," ")</f>
        <v> </v>
      </c>
    </row>
    <row r="185" customFormat="false" ht="12" hidden="false" customHeight="false" outlineLevel="0" collapsed="false">
      <c r="A185" s="28"/>
      <c r="E185" s="2" t="str">
        <f aca="false">IF((F185&lt;&gt;0),"Enter Letter"," ")</f>
        <v> </v>
      </c>
      <c r="F185" s="30"/>
      <c r="G185" s="6" t="str">
        <f aca="false">IF(F185&lt;&gt;0,F185*G$2/(100+G$2)," ")</f>
        <v> </v>
      </c>
      <c r="H185" s="6" t="str">
        <f aca="false">IF((F185&lt;&gt;0),F185-G185," ")</f>
        <v> </v>
      </c>
      <c r="I185" s="5"/>
      <c r="L185" s="7" t="str">
        <f aca="false">IF(F185&lt;&gt;0,F185-K185," ")</f>
        <v> </v>
      </c>
      <c r="M185" s="8" t="str">
        <f aca="false">IF((F185-K185)&lt;&gt;0,M$1-A185," ")</f>
        <v> </v>
      </c>
      <c r="N185" s="5"/>
      <c r="O185" s="17" t="str">
        <f aca="false">IF((E185="s"),H185," ")</f>
        <v> </v>
      </c>
      <c r="P185" s="17" t="str">
        <f aca="false">IF((E185="c"),H185," ")</f>
        <v> </v>
      </c>
      <c r="Q185" s="17" t="str">
        <f aca="false">IF((E185="o"),H185," ")</f>
        <v> </v>
      </c>
      <c r="R185" s="17" t="str">
        <f aca="false">IF((E185="d"),H185," ")</f>
        <v> </v>
      </c>
      <c r="S185" s="17" t="str">
        <f aca="false">IF((E185="w"),H185," ")</f>
        <v> </v>
      </c>
      <c r="T185" s="17" t="str">
        <f aca="false">IF((E185="r"),H185," ")</f>
        <v> </v>
      </c>
      <c r="U185" s="17" t="str">
        <f aca="false">IF((E185="p"),H185," ")</f>
        <v> </v>
      </c>
      <c r="V185" s="17" t="str">
        <f aca="false">IF((E185="t"),H185," ")</f>
        <v> </v>
      </c>
      <c r="W185" s="17" t="str">
        <f aca="false">IF((E185="q"),H185," ")</f>
        <v> </v>
      </c>
      <c r="X185" s="17" t="str">
        <f aca="false">IF((E185="m"),H185," ")</f>
        <v> </v>
      </c>
      <c r="Y185" s="17" t="str">
        <f aca="false">IF((E185="u"),H185," ")</f>
        <v> </v>
      </c>
      <c r="Z185" s="17" t="str">
        <f aca="false">IF((E185="a"),H185," ")</f>
        <v> </v>
      </c>
      <c r="AA185" s="17" t="str">
        <f aca="false">IF((E185="g"),H185," ")</f>
        <v> </v>
      </c>
      <c r="AB185" s="17" t="str">
        <f aca="false">IF((E185="h"),H185," ")</f>
        <v> </v>
      </c>
      <c r="AC185" s="30" t="str">
        <f aca="false">IF((E185="v"),H185," ")</f>
        <v> </v>
      </c>
      <c r="AD185" s="30" t="str">
        <f aca="false">IF((E185="n"),H185," ")</f>
        <v> </v>
      </c>
      <c r="AE185" s="17" t="str">
        <f aca="false">IF((E185="f"),H185," ")</f>
        <v> </v>
      </c>
      <c r="AF185" s="17" t="str">
        <f aca="false">IF((E185="l"),H185," ")</f>
        <v> </v>
      </c>
      <c r="AG185" s="17" t="str">
        <f aca="false">IF((E185="y"),H185," ")</f>
        <v> </v>
      </c>
      <c r="AH185" s="17" t="str">
        <f aca="false">IF((E185="z"),H185," ")</f>
        <v> </v>
      </c>
      <c r="AI185" s="17" t="str">
        <f aca="false">IF((E185="fa"),H185," ")</f>
        <v> </v>
      </c>
      <c r="AJ185" s="17" t="str">
        <f aca="false">IF((E185="e"),H185," ")</f>
        <v> </v>
      </c>
    </row>
    <row r="186" customFormat="false" ht="12" hidden="false" customHeight="false" outlineLevel="0" collapsed="false">
      <c r="A186" s="28"/>
      <c r="E186" s="2" t="str">
        <f aca="false">IF((F186&lt;&gt;0),"Enter Letter"," ")</f>
        <v> </v>
      </c>
      <c r="F186" s="30"/>
      <c r="G186" s="6" t="str">
        <f aca="false">IF(F186&lt;&gt;0,F186*G$2/(100+G$2)," ")</f>
        <v> </v>
      </c>
      <c r="H186" s="6" t="str">
        <f aca="false">IF((F186&lt;&gt;0),F186-G186," ")</f>
        <v> </v>
      </c>
      <c r="I186" s="5"/>
      <c r="L186" s="7" t="str">
        <f aca="false">IF(F186&lt;&gt;0,F186-K186," ")</f>
        <v> </v>
      </c>
      <c r="M186" s="8" t="str">
        <f aca="false">IF((F186-K186)&lt;&gt;0,M$1-A186," ")</f>
        <v> </v>
      </c>
      <c r="N186" s="5"/>
      <c r="O186" s="17" t="str">
        <f aca="false">IF((E186="s"),H186," ")</f>
        <v> </v>
      </c>
      <c r="P186" s="17" t="str">
        <f aca="false">IF((E186="c"),H186," ")</f>
        <v> </v>
      </c>
      <c r="Q186" s="17" t="str">
        <f aca="false">IF((E186="o"),H186," ")</f>
        <v> </v>
      </c>
      <c r="R186" s="17" t="str">
        <f aca="false">IF((E186="d"),H186," ")</f>
        <v> </v>
      </c>
      <c r="S186" s="17" t="str">
        <f aca="false">IF((E186="w"),H186," ")</f>
        <v> </v>
      </c>
      <c r="T186" s="17" t="str">
        <f aca="false">IF((E186="r"),H186," ")</f>
        <v> </v>
      </c>
      <c r="U186" s="17" t="str">
        <f aca="false">IF((E186="p"),H186," ")</f>
        <v> </v>
      </c>
      <c r="V186" s="17" t="str">
        <f aca="false">IF((E186="t"),H186," ")</f>
        <v> </v>
      </c>
      <c r="W186" s="17" t="str">
        <f aca="false">IF((E186="q"),H186," ")</f>
        <v> </v>
      </c>
      <c r="X186" s="17" t="str">
        <f aca="false">IF((E186="m"),H186," ")</f>
        <v> </v>
      </c>
      <c r="Y186" s="17" t="str">
        <f aca="false">IF((E186="u"),H186," ")</f>
        <v> </v>
      </c>
      <c r="Z186" s="17" t="str">
        <f aca="false">IF((E186="a"),H186," ")</f>
        <v> </v>
      </c>
      <c r="AA186" s="17" t="str">
        <f aca="false">IF((E186="g"),H186," ")</f>
        <v> </v>
      </c>
      <c r="AB186" s="17" t="str">
        <f aca="false">IF((E186="h"),H186," ")</f>
        <v> </v>
      </c>
      <c r="AC186" s="30" t="str">
        <f aca="false">IF((E186="v"),H186," ")</f>
        <v> </v>
      </c>
      <c r="AD186" s="30" t="str">
        <f aca="false">IF((E186="n"),H186," ")</f>
        <v> </v>
      </c>
      <c r="AE186" s="17" t="str">
        <f aca="false">IF((E186="f"),H186," ")</f>
        <v> </v>
      </c>
      <c r="AF186" s="17" t="str">
        <f aca="false">IF((E186="l"),H186," ")</f>
        <v> </v>
      </c>
      <c r="AG186" s="17" t="str">
        <f aca="false">IF((E186="y"),H186," ")</f>
        <v> </v>
      </c>
      <c r="AH186" s="17" t="str">
        <f aca="false">IF((E186="z"),H186," ")</f>
        <v> </v>
      </c>
      <c r="AI186" s="17" t="str">
        <f aca="false">IF((E186="fa"),H186," ")</f>
        <v> </v>
      </c>
      <c r="AJ186" s="17" t="str">
        <f aca="false">IF((E186="e"),H186," ")</f>
        <v> </v>
      </c>
    </row>
    <row r="187" customFormat="false" ht="12" hidden="false" customHeight="false" outlineLevel="0" collapsed="false">
      <c r="A187" s="28"/>
      <c r="E187" s="2" t="str">
        <f aca="false">IF((F187&lt;&gt;0),"Enter Letter"," ")</f>
        <v> </v>
      </c>
      <c r="F187" s="30"/>
      <c r="G187" s="6" t="str">
        <f aca="false">IF(F187&lt;&gt;0,F187*G$2/(100+G$2)," ")</f>
        <v> </v>
      </c>
      <c r="H187" s="6" t="str">
        <f aca="false">IF((F187&lt;&gt;0),F187-G187," ")</f>
        <v> </v>
      </c>
      <c r="I187" s="5"/>
      <c r="L187" s="7" t="str">
        <f aca="false">IF(F187&lt;&gt;0,F187-K187," ")</f>
        <v> </v>
      </c>
      <c r="M187" s="8" t="str">
        <f aca="false">IF((F187-K187)&lt;&gt;0,M$1-A187," ")</f>
        <v> </v>
      </c>
      <c r="N187" s="5"/>
      <c r="O187" s="17" t="str">
        <f aca="false">IF((E187="s"),H187," ")</f>
        <v> </v>
      </c>
      <c r="P187" s="17" t="str">
        <f aca="false">IF((E187="c"),H187," ")</f>
        <v> </v>
      </c>
      <c r="Q187" s="17" t="str">
        <f aca="false">IF((E187="o"),H187," ")</f>
        <v> </v>
      </c>
      <c r="R187" s="17" t="str">
        <f aca="false">IF((E187="d"),H187," ")</f>
        <v> </v>
      </c>
      <c r="S187" s="17" t="str">
        <f aca="false">IF((E187="w"),H187," ")</f>
        <v> </v>
      </c>
      <c r="T187" s="17" t="str">
        <f aca="false">IF((E187="r"),H187," ")</f>
        <v> </v>
      </c>
      <c r="U187" s="17" t="str">
        <f aca="false">IF((E187="p"),H187," ")</f>
        <v> </v>
      </c>
      <c r="V187" s="17" t="str">
        <f aca="false">IF((E187="t"),H187," ")</f>
        <v> </v>
      </c>
      <c r="W187" s="17" t="str">
        <f aca="false">IF((E187="q"),H187," ")</f>
        <v> </v>
      </c>
      <c r="X187" s="17" t="str">
        <f aca="false">IF((E187="m"),H187," ")</f>
        <v> </v>
      </c>
      <c r="Y187" s="17" t="str">
        <f aca="false">IF((E187="u"),H187," ")</f>
        <v> </v>
      </c>
      <c r="Z187" s="17" t="str">
        <f aca="false">IF((E187="a"),H187," ")</f>
        <v> </v>
      </c>
      <c r="AA187" s="17" t="str">
        <f aca="false">IF((E187="g"),H187," ")</f>
        <v> </v>
      </c>
      <c r="AB187" s="17" t="str">
        <f aca="false">IF((E187="h"),H187," ")</f>
        <v> </v>
      </c>
      <c r="AC187" s="30" t="str">
        <f aca="false">IF((E187="v"),H187," ")</f>
        <v> </v>
      </c>
      <c r="AD187" s="30" t="str">
        <f aca="false">IF((E187="n"),H187," ")</f>
        <v> </v>
      </c>
      <c r="AE187" s="17" t="str">
        <f aca="false">IF((E187="f"),H187," ")</f>
        <v> </v>
      </c>
      <c r="AF187" s="17" t="str">
        <f aca="false">IF((E187="l"),H187," ")</f>
        <v> </v>
      </c>
      <c r="AG187" s="17" t="str">
        <f aca="false">IF((E187="y"),H187," ")</f>
        <v> </v>
      </c>
      <c r="AH187" s="17" t="str">
        <f aca="false">IF((E187="z"),H187," ")</f>
        <v> </v>
      </c>
      <c r="AI187" s="17" t="str">
        <f aca="false">IF((E187="fa"),H187," ")</f>
        <v> </v>
      </c>
      <c r="AJ187" s="17" t="str">
        <f aca="false">IF((E187="e"),H187," ")</f>
        <v> </v>
      </c>
    </row>
    <row r="188" customFormat="false" ht="12" hidden="false" customHeight="false" outlineLevel="0" collapsed="false">
      <c r="A188" s="28"/>
      <c r="E188" s="2" t="str">
        <f aca="false">IF((F188&lt;&gt;0),"Enter Letter"," ")</f>
        <v> </v>
      </c>
      <c r="F188" s="30"/>
      <c r="G188" s="6" t="str">
        <f aca="false">IF(F188&lt;&gt;0,F188*G$2/(100+G$2)," ")</f>
        <v> </v>
      </c>
      <c r="H188" s="6" t="str">
        <f aca="false">IF((F188&lt;&gt;0),F188-G188," ")</f>
        <v> </v>
      </c>
      <c r="I188" s="5"/>
      <c r="L188" s="7" t="str">
        <f aca="false">IF(F188&lt;&gt;0,F188-K188," ")</f>
        <v> </v>
      </c>
      <c r="M188" s="8" t="str">
        <f aca="false">IF((F188-K188)&lt;&gt;0,M$1-A188," ")</f>
        <v> </v>
      </c>
      <c r="N188" s="5"/>
      <c r="O188" s="17" t="str">
        <f aca="false">IF((E188="s"),H188," ")</f>
        <v> </v>
      </c>
      <c r="P188" s="17" t="str">
        <f aca="false">IF((E188="c"),H188," ")</f>
        <v> </v>
      </c>
      <c r="Q188" s="17" t="str">
        <f aca="false">IF((E188="o"),H188," ")</f>
        <v> </v>
      </c>
      <c r="R188" s="17" t="str">
        <f aca="false">IF((E188="d"),H188," ")</f>
        <v> </v>
      </c>
      <c r="S188" s="17" t="str">
        <f aca="false">IF((E188="w"),H188," ")</f>
        <v> </v>
      </c>
      <c r="T188" s="17" t="str">
        <f aca="false">IF((E188="r"),H188," ")</f>
        <v> </v>
      </c>
      <c r="U188" s="17" t="str">
        <f aca="false">IF((E188="p"),H188," ")</f>
        <v> </v>
      </c>
      <c r="V188" s="17" t="str">
        <f aca="false">IF((E188="t"),H188," ")</f>
        <v> </v>
      </c>
      <c r="W188" s="17" t="str">
        <f aca="false">IF((E188="q"),H188," ")</f>
        <v> </v>
      </c>
      <c r="X188" s="17" t="str">
        <f aca="false">IF((E188="m"),H188," ")</f>
        <v> </v>
      </c>
      <c r="Y188" s="17" t="str">
        <f aca="false">IF((E188="u"),H188," ")</f>
        <v> </v>
      </c>
      <c r="Z188" s="17" t="str">
        <f aca="false">IF((E188="a"),H188," ")</f>
        <v> </v>
      </c>
      <c r="AA188" s="17" t="str">
        <f aca="false">IF((E188="g"),H188," ")</f>
        <v> </v>
      </c>
      <c r="AB188" s="17" t="str">
        <f aca="false">IF((E188="h"),H188," ")</f>
        <v> </v>
      </c>
      <c r="AC188" s="30" t="str">
        <f aca="false">IF((E188="v"),H188," ")</f>
        <v> </v>
      </c>
      <c r="AD188" s="30" t="str">
        <f aca="false">IF((E188="n"),H188," ")</f>
        <v> </v>
      </c>
      <c r="AE188" s="17" t="str">
        <f aca="false">IF((E188="f"),H188," ")</f>
        <v> </v>
      </c>
      <c r="AF188" s="17" t="str">
        <f aca="false">IF((E188="l"),H188," ")</f>
        <v> </v>
      </c>
      <c r="AG188" s="17" t="str">
        <f aca="false">IF((E188="y"),H188," ")</f>
        <v> </v>
      </c>
      <c r="AH188" s="17" t="str">
        <f aca="false">IF((E188="z"),H188," ")</f>
        <v> </v>
      </c>
      <c r="AI188" s="17" t="str">
        <f aca="false">IF((E188="fa"),H188," ")</f>
        <v> </v>
      </c>
      <c r="AJ188" s="17" t="str">
        <f aca="false">IF((E188="e"),H188," ")</f>
        <v> </v>
      </c>
    </row>
    <row r="189" customFormat="false" ht="12" hidden="false" customHeight="false" outlineLevel="0" collapsed="false">
      <c r="A189" s="28"/>
      <c r="E189" s="2" t="str">
        <f aca="false">IF((F189&lt;&gt;0),"Enter Letter"," ")</f>
        <v> </v>
      </c>
      <c r="F189" s="30"/>
      <c r="G189" s="6" t="str">
        <f aca="false">IF(F189&lt;&gt;0,F189*G$2/(100+G$2)," ")</f>
        <v> </v>
      </c>
      <c r="H189" s="6" t="str">
        <f aca="false">IF((F189&lt;&gt;0),F189-G189," ")</f>
        <v> </v>
      </c>
      <c r="I189" s="5"/>
      <c r="L189" s="7" t="str">
        <f aca="false">IF(F189&lt;&gt;0,F189-K189," ")</f>
        <v> </v>
      </c>
      <c r="M189" s="8" t="str">
        <f aca="false">IF((F189-K189)&lt;&gt;0,M$1-A189," ")</f>
        <v> </v>
      </c>
      <c r="N189" s="5"/>
      <c r="O189" s="17" t="str">
        <f aca="false">IF((E189="s"),H189," ")</f>
        <v> </v>
      </c>
      <c r="P189" s="17" t="str">
        <f aca="false">IF((E189="c"),H189," ")</f>
        <v> </v>
      </c>
      <c r="Q189" s="17" t="str">
        <f aca="false">IF((E189="o"),H189," ")</f>
        <v> </v>
      </c>
      <c r="R189" s="17" t="str">
        <f aca="false">IF((E189="d"),H189," ")</f>
        <v> </v>
      </c>
      <c r="S189" s="17" t="str">
        <f aca="false">IF((E189="w"),H189," ")</f>
        <v> </v>
      </c>
      <c r="T189" s="17" t="str">
        <f aca="false">IF((E189="r"),H189," ")</f>
        <v> </v>
      </c>
      <c r="U189" s="17" t="str">
        <f aca="false">IF((E189="p"),H189," ")</f>
        <v> </v>
      </c>
      <c r="V189" s="17" t="str">
        <f aca="false">IF((E189="t"),H189," ")</f>
        <v> </v>
      </c>
      <c r="W189" s="17" t="str">
        <f aca="false">IF((E189="q"),H189," ")</f>
        <v> </v>
      </c>
      <c r="X189" s="17" t="str">
        <f aca="false">IF((E189="m"),H189," ")</f>
        <v> </v>
      </c>
      <c r="Y189" s="17" t="str">
        <f aca="false">IF((E189="u"),H189," ")</f>
        <v> </v>
      </c>
      <c r="Z189" s="17" t="str">
        <f aca="false">IF((E189="a"),H189," ")</f>
        <v> </v>
      </c>
      <c r="AA189" s="17" t="str">
        <f aca="false">IF((E189="g"),H189," ")</f>
        <v> </v>
      </c>
      <c r="AB189" s="17" t="str">
        <f aca="false">IF((E189="h"),H189," ")</f>
        <v> </v>
      </c>
      <c r="AC189" s="30" t="str">
        <f aca="false">IF((E189="v"),H189," ")</f>
        <v> </v>
      </c>
      <c r="AD189" s="30" t="str">
        <f aca="false">IF((E189="n"),H189," ")</f>
        <v> </v>
      </c>
      <c r="AE189" s="17" t="str">
        <f aca="false">IF((E189="f"),H189," ")</f>
        <v> </v>
      </c>
      <c r="AF189" s="17" t="str">
        <f aca="false">IF((E189="l"),H189," ")</f>
        <v> </v>
      </c>
      <c r="AG189" s="17" t="str">
        <f aca="false">IF((E189="y"),H189," ")</f>
        <v> </v>
      </c>
      <c r="AH189" s="17" t="str">
        <f aca="false">IF((E189="z"),H189," ")</f>
        <v> </v>
      </c>
      <c r="AI189" s="17" t="str">
        <f aca="false">IF((E189="fa"),H189," ")</f>
        <v> </v>
      </c>
      <c r="AJ189" s="17" t="str">
        <f aca="false">IF((E189="e"),H189," ")</f>
        <v> </v>
      </c>
    </row>
    <row r="190" customFormat="false" ht="12" hidden="false" customHeight="false" outlineLevel="0" collapsed="false">
      <c r="A190" s="28"/>
      <c r="E190" s="2" t="str">
        <f aca="false">IF((F190&lt;&gt;0),"Enter Letter"," ")</f>
        <v> </v>
      </c>
      <c r="F190" s="30"/>
      <c r="G190" s="6" t="str">
        <f aca="false">IF(F190&lt;&gt;0,F190*G$2/(100+G$2)," ")</f>
        <v> </v>
      </c>
      <c r="H190" s="6" t="str">
        <f aca="false">IF((F190&lt;&gt;0),F190-G190," ")</f>
        <v> </v>
      </c>
      <c r="I190" s="5"/>
      <c r="L190" s="7" t="str">
        <f aca="false">IF(F190&lt;&gt;0,F190-K190," ")</f>
        <v> </v>
      </c>
      <c r="M190" s="8" t="str">
        <f aca="false">IF((F190-K190)&lt;&gt;0,M$1-A190," ")</f>
        <v> </v>
      </c>
      <c r="N190" s="5"/>
      <c r="O190" s="17" t="str">
        <f aca="false">IF((E190="s"),H190," ")</f>
        <v> </v>
      </c>
      <c r="P190" s="17" t="str">
        <f aca="false">IF((E190="c"),H190," ")</f>
        <v> </v>
      </c>
      <c r="Q190" s="17" t="str">
        <f aca="false">IF((E190="o"),H190," ")</f>
        <v> </v>
      </c>
      <c r="R190" s="17" t="str">
        <f aca="false">IF((E190="d"),H190," ")</f>
        <v> </v>
      </c>
      <c r="S190" s="17" t="str">
        <f aca="false">IF((E190="w"),H190," ")</f>
        <v> </v>
      </c>
      <c r="T190" s="17" t="str">
        <f aca="false">IF((E190="r"),H190," ")</f>
        <v> </v>
      </c>
      <c r="U190" s="17" t="str">
        <f aca="false">IF((E190="p"),H190," ")</f>
        <v> </v>
      </c>
      <c r="V190" s="17" t="str">
        <f aca="false">IF((E190="t"),H190," ")</f>
        <v> </v>
      </c>
      <c r="W190" s="17" t="str">
        <f aca="false">IF((E190="q"),H190," ")</f>
        <v> </v>
      </c>
      <c r="X190" s="17" t="str">
        <f aca="false">IF((E190="m"),H190," ")</f>
        <v> </v>
      </c>
      <c r="Y190" s="17" t="str">
        <f aca="false">IF((E190="u"),H190," ")</f>
        <v> </v>
      </c>
      <c r="Z190" s="17" t="str">
        <f aca="false">IF((E190="a"),H190," ")</f>
        <v> </v>
      </c>
      <c r="AA190" s="17" t="str">
        <f aca="false">IF((E190="g"),H190," ")</f>
        <v> </v>
      </c>
      <c r="AB190" s="17" t="str">
        <f aca="false">IF((E190="h"),H190," ")</f>
        <v> </v>
      </c>
      <c r="AC190" s="30" t="str">
        <f aca="false">IF((E190="v"),H190," ")</f>
        <v> </v>
      </c>
      <c r="AD190" s="30" t="str">
        <f aca="false">IF((E190="n"),H190," ")</f>
        <v> </v>
      </c>
      <c r="AE190" s="17" t="str">
        <f aca="false">IF((E190="f"),H190," ")</f>
        <v> </v>
      </c>
      <c r="AF190" s="17" t="str">
        <f aca="false">IF((E190="l"),H190," ")</f>
        <v> </v>
      </c>
      <c r="AG190" s="17" t="str">
        <f aca="false">IF((E190="y"),H190," ")</f>
        <v> </v>
      </c>
      <c r="AH190" s="17" t="str">
        <f aca="false">IF((E190="z"),H190," ")</f>
        <v> </v>
      </c>
      <c r="AI190" s="17" t="str">
        <f aca="false">IF((E190="fa"),H190," ")</f>
        <v> </v>
      </c>
      <c r="AJ190" s="17" t="str">
        <f aca="false">IF((E190="e"),H190," ")</f>
        <v> </v>
      </c>
    </row>
    <row r="191" customFormat="false" ht="12" hidden="false" customHeight="false" outlineLevel="0" collapsed="false">
      <c r="A191" s="28"/>
      <c r="E191" s="2" t="str">
        <f aca="false">IF((F191&lt;&gt;0),"Enter Letter"," ")</f>
        <v> </v>
      </c>
      <c r="F191" s="30"/>
      <c r="G191" s="6" t="str">
        <f aca="false">IF(F191&lt;&gt;0,F191*G$2/(100+G$2)," ")</f>
        <v> </v>
      </c>
      <c r="H191" s="6" t="str">
        <f aca="false">IF((F191&lt;&gt;0),F191-G191," ")</f>
        <v> </v>
      </c>
      <c r="I191" s="5"/>
      <c r="L191" s="7" t="str">
        <f aca="false">IF(F191&lt;&gt;0,F191-K191," ")</f>
        <v> </v>
      </c>
      <c r="M191" s="8" t="str">
        <f aca="false">IF((F191-K191)&lt;&gt;0,M$1-A191," ")</f>
        <v> </v>
      </c>
      <c r="N191" s="5"/>
      <c r="O191" s="17" t="str">
        <f aca="false">IF((E191="s"),H191," ")</f>
        <v> </v>
      </c>
      <c r="P191" s="17" t="str">
        <f aca="false">IF((E191="c"),H191," ")</f>
        <v> </v>
      </c>
      <c r="Q191" s="17" t="str">
        <f aca="false">IF((E191="o"),H191," ")</f>
        <v> </v>
      </c>
      <c r="R191" s="17" t="str">
        <f aca="false">IF((E191="d"),H191," ")</f>
        <v> </v>
      </c>
      <c r="S191" s="17" t="str">
        <f aca="false">IF((E191="w"),H191," ")</f>
        <v> </v>
      </c>
      <c r="T191" s="17" t="str">
        <f aca="false">IF((E191="r"),H191," ")</f>
        <v> </v>
      </c>
      <c r="U191" s="17" t="str">
        <f aca="false">IF((E191="p"),H191," ")</f>
        <v> </v>
      </c>
      <c r="V191" s="17" t="str">
        <f aca="false">IF((E191="t"),H191," ")</f>
        <v> </v>
      </c>
      <c r="W191" s="17" t="str">
        <f aca="false">IF((E191="q"),H191," ")</f>
        <v> </v>
      </c>
      <c r="X191" s="17" t="str">
        <f aca="false">IF((E191="m"),H191," ")</f>
        <v> </v>
      </c>
      <c r="Y191" s="17" t="str">
        <f aca="false">IF((E191="u"),H191," ")</f>
        <v> </v>
      </c>
      <c r="Z191" s="17" t="str">
        <f aca="false">IF((E191="a"),H191," ")</f>
        <v> </v>
      </c>
      <c r="AA191" s="17" t="str">
        <f aca="false">IF((E191="g"),H191," ")</f>
        <v> </v>
      </c>
      <c r="AB191" s="17" t="str">
        <f aca="false">IF((E191="h"),H191," ")</f>
        <v> </v>
      </c>
      <c r="AC191" s="30" t="str">
        <f aca="false">IF((E191="v"),H191," ")</f>
        <v> </v>
      </c>
      <c r="AD191" s="30" t="str">
        <f aca="false">IF((E191="n"),H191," ")</f>
        <v> </v>
      </c>
      <c r="AE191" s="17" t="str">
        <f aca="false">IF((E191="f"),H191," ")</f>
        <v> </v>
      </c>
      <c r="AF191" s="17" t="str">
        <f aca="false">IF((E191="l"),H191," ")</f>
        <v> </v>
      </c>
      <c r="AG191" s="17" t="str">
        <f aca="false">IF((E191="y"),H191," ")</f>
        <v> </v>
      </c>
      <c r="AH191" s="17" t="str">
        <f aca="false">IF((E191="z"),H191," ")</f>
        <v> </v>
      </c>
      <c r="AI191" s="17" t="str">
        <f aca="false">IF((E191="fa"),H191," ")</f>
        <v> </v>
      </c>
      <c r="AJ191" s="17" t="str">
        <f aca="false">IF((E191="e"),H191," ")</f>
        <v> </v>
      </c>
    </row>
    <row r="192" customFormat="false" ht="12" hidden="false" customHeight="false" outlineLevel="0" collapsed="false">
      <c r="A192" s="28"/>
      <c r="E192" s="2" t="str">
        <f aca="false">IF((F192&lt;&gt;0),"Enter Letter"," ")</f>
        <v> </v>
      </c>
      <c r="F192" s="30"/>
      <c r="G192" s="6" t="str">
        <f aca="false">IF(F192&lt;&gt;0,F192*G$2/(100+G$2)," ")</f>
        <v> </v>
      </c>
      <c r="H192" s="6" t="str">
        <f aca="false">IF((F192&lt;&gt;0),F192-G192," ")</f>
        <v> </v>
      </c>
      <c r="I192" s="5"/>
      <c r="L192" s="7" t="str">
        <f aca="false">IF(F192&lt;&gt;0,F192-K192," ")</f>
        <v> </v>
      </c>
      <c r="M192" s="8" t="str">
        <f aca="false">IF((F192-K192)&lt;&gt;0,M$1-A192," ")</f>
        <v> </v>
      </c>
      <c r="N192" s="5"/>
      <c r="O192" s="17" t="str">
        <f aca="false">IF((E192="s"),H192," ")</f>
        <v> </v>
      </c>
      <c r="P192" s="17" t="str">
        <f aca="false">IF((E192="c"),H192," ")</f>
        <v> </v>
      </c>
      <c r="Q192" s="17" t="str">
        <f aca="false">IF((E192="o"),H192," ")</f>
        <v> </v>
      </c>
      <c r="R192" s="17" t="str">
        <f aca="false">IF((E192="d"),H192," ")</f>
        <v> </v>
      </c>
      <c r="S192" s="17" t="str">
        <f aca="false">IF((E192="w"),H192," ")</f>
        <v> </v>
      </c>
      <c r="T192" s="17" t="str">
        <f aca="false">IF((E192="r"),H192," ")</f>
        <v> </v>
      </c>
      <c r="U192" s="17" t="str">
        <f aca="false">IF((E192="p"),H192," ")</f>
        <v> </v>
      </c>
      <c r="V192" s="17" t="str">
        <f aca="false">IF((E192="t"),H192," ")</f>
        <v> </v>
      </c>
      <c r="W192" s="17" t="str">
        <f aca="false">IF((E192="q"),H192," ")</f>
        <v> </v>
      </c>
      <c r="X192" s="17" t="str">
        <f aca="false">IF((E192="m"),H192," ")</f>
        <v> </v>
      </c>
      <c r="Y192" s="17" t="str">
        <f aca="false">IF((E192="u"),H192," ")</f>
        <v> </v>
      </c>
      <c r="Z192" s="17" t="str">
        <f aca="false">IF((E192="a"),H192," ")</f>
        <v> </v>
      </c>
      <c r="AA192" s="17" t="str">
        <f aca="false">IF((E192="g"),H192," ")</f>
        <v> </v>
      </c>
      <c r="AB192" s="17" t="str">
        <f aca="false">IF((E192="h"),H192," ")</f>
        <v> </v>
      </c>
      <c r="AC192" s="30" t="str">
        <f aca="false">IF((E192="v"),H192," ")</f>
        <v> </v>
      </c>
      <c r="AD192" s="30" t="str">
        <f aca="false">IF((E192="n"),H192," ")</f>
        <v> </v>
      </c>
      <c r="AE192" s="17" t="str">
        <f aca="false">IF((E192="f"),H192," ")</f>
        <v> </v>
      </c>
      <c r="AF192" s="17" t="str">
        <f aca="false">IF((E192="l"),H192," ")</f>
        <v> </v>
      </c>
      <c r="AG192" s="17" t="str">
        <f aca="false">IF((E192="y"),H192," ")</f>
        <v> </v>
      </c>
      <c r="AH192" s="17" t="str">
        <f aca="false">IF((E192="z"),H192," ")</f>
        <v> </v>
      </c>
      <c r="AI192" s="17" t="str">
        <f aca="false">IF((E192="fa"),H192," ")</f>
        <v> </v>
      </c>
      <c r="AJ192" s="17" t="str">
        <f aca="false">IF((E192="e"),H192," ")</f>
        <v> </v>
      </c>
    </row>
    <row r="193" customFormat="false" ht="12" hidden="false" customHeight="false" outlineLevel="0" collapsed="false">
      <c r="A193" s="28"/>
      <c r="E193" s="2" t="str">
        <f aca="false">IF((F193&lt;&gt;0),"Enter Letter"," ")</f>
        <v> </v>
      </c>
      <c r="F193" s="30"/>
      <c r="G193" s="6" t="str">
        <f aca="false">IF(F193&lt;&gt;0,F193*G$2/(100+G$2)," ")</f>
        <v> </v>
      </c>
      <c r="H193" s="6" t="str">
        <f aca="false">IF((F193&lt;&gt;0),F193-G193," ")</f>
        <v> </v>
      </c>
      <c r="I193" s="5"/>
      <c r="L193" s="7" t="str">
        <f aca="false">IF(F193&lt;&gt;0,F193-K193," ")</f>
        <v> </v>
      </c>
      <c r="M193" s="8" t="str">
        <f aca="false">IF((F193-K193)&lt;&gt;0,M$1-A193," ")</f>
        <v> </v>
      </c>
      <c r="N193" s="5"/>
      <c r="O193" s="17" t="str">
        <f aca="false">IF((E193="s"),H193," ")</f>
        <v> </v>
      </c>
      <c r="P193" s="17" t="str">
        <f aca="false">IF((E193="c"),H193," ")</f>
        <v> </v>
      </c>
      <c r="Q193" s="17" t="str">
        <f aca="false">IF((E193="o"),H193," ")</f>
        <v> </v>
      </c>
      <c r="R193" s="17" t="str">
        <f aca="false">IF((E193="d"),H193," ")</f>
        <v> </v>
      </c>
      <c r="S193" s="17" t="str">
        <f aca="false">IF((E193="w"),H193," ")</f>
        <v> </v>
      </c>
      <c r="T193" s="17" t="str">
        <f aca="false">IF((E193="r"),H193," ")</f>
        <v> </v>
      </c>
      <c r="U193" s="17" t="str">
        <f aca="false">IF((E193="p"),H193," ")</f>
        <v> </v>
      </c>
      <c r="V193" s="17" t="str">
        <f aca="false">IF((E193="t"),H193," ")</f>
        <v> </v>
      </c>
      <c r="W193" s="17" t="str">
        <f aca="false">IF((E193="q"),H193," ")</f>
        <v> </v>
      </c>
      <c r="X193" s="17" t="str">
        <f aca="false">IF((E193="m"),H193," ")</f>
        <v> </v>
      </c>
      <c r="Y193" s="17" t="str">
        <f aca="false">IF((E193="u"),H193," ")</f>
        <v> </v>
      </c>
      <c r="Z193" s="17" t="str">
        <f aca="false">IF((E193="a"),H193," ")</f>
        <v> </v>
      </c>
      <c r="AA193" s="17" t="str">
        <f aca="false">IF((E193="g"),H193," ")</f>
        <v> </v>
      </c>
      <c r="AB193" s="17" t="str">
        <f aca="false">IF((E193="h"),H193," ")</f>
        <v> </v>
      </c>
      <c r="AC193" s="30" t="str">
        <f aca="false">IF((E193="v"),H193," ")</f>
        <v> </v>
      </c>
      <c r="AD193" s="30" t="str">
        <f aca="false">IF((E193="n"),H193," ")</f>
        <v> </v>
      </c>
      <c r="AE193" s="17" t="str">
        <f aca="false">IF((E193="f"),H193," ")</f>
        <v> </v>
      </c>
      <c r="AF193" s="17" t="str">
        <f aca="false">IF((E193="l"),H193," ")</f>
        <v> </v>
      </c>
      <c r="AG193" s="17" t="str">
        <f aca="false">IF((E193="y"),H193," ")</f>
        <v> </v>
      </c>
      <c r="AH193" s="17" t="str">
        <f aca="false">IF((E193="z"),H193," ")</f>
        <v> </v>
      </c>
      <c r="AI193" s="17" t="str">
        <f aca="false">IF((E193="fa"),H193," ")</f>
        <v> </v>
      </c>
      <c r="AJ193" s="17" t="str">
        <f aca="false">IF((E193="e"),H193," ")</f>
        <v> </v>
      </c>
    </row>
    <row r="194" customFormat="false" ht="12" hidden="false" customHeight="false" outlineLevel="0" collapsed="false">
      <c r="A194" s="28"/>
      <c r="E194" s="2" t="str">
        <f aca="false">IF((F194&lt;&gt;0),"Enter Letter"," ")</f>
        <v> </v>
      </c>
      <c r="F194" s="30"/>
      <c r="G194" s="6" t="str">
        <f aca="false">IF(F194&lt;&gt;0,F194*G$2/(100+G$2)," ")</f>
        <v> </v>
      </c>
      <c r="H194" s="6" t="str">
        <f aca="false">IF((F194&lt;&gt;0),F194-G194," ")</f>
        <v> </v>
      </c>
      <c r="I194" s="5"/>
      <c r="L194" s="7" t="str">
        <f aca="false">IF(F194&lt;&gt;0,F194-K194," ")</f>
        <v> </v>
      </c>
      <c r="M194" s="8" t="str">
        <f aca="false">IF((F194-K194)&lt;&gt;0,M$1-A194," ")</f>
        <v> </v>
      </c>
      <c r="N194" s="5"/>
      <c r="O194" s="17" t="str">
        <f aca="false">IF((E194="s"),H194," ")</f>
        <v> </v>
      </c>
      <c r="P194" s="17" t="str">
        <f aca="false">IF((E194="c"),H194," ")</f>
        <v> </v>
      </c>
      <c r="Q194" s="17" t="str">
        <f aca="false">IF((E194="o"),H194," ")</f>
        <v> </v>
      </c>
      <c r="R194" s="17" t="str">
        <f aca="false">IF((E194="d"),H194," ")</f>
        <v> </v>
      </c>
      <c r="S194" s="17" t="str">
        <f aca="false">IF((E194="w"),H194," ")</f>
        <v> </v>
      </c>
      <c r="T194" s="17" t="str">
        <f aca="false">IF((E194="r"),H194," ")</f>
        <v> </v>
      </c>
      <c r="U194" s="17" t="str">
        <f aca="false">IF((E194="p"),H194," ")</f>
        <v> </v>
      </c>
      <c r="V194" s="17" t="str">
        <f aca="false">IF((E194="t"),H194," ")</f>
        <v> </v>
      </c>
      <c r="W194" s="17" t="str">
        <f aca="false">IF((E194="q"),H194," ")</f>
        <v> </v>
      </c>
      <c r="X194" s="17" t="str">
        <f aca="false">IF((E194="m"),H194," ")</f>
        <v> </v>
      </c>
      <c r="Y194" s="17" t="str">
        <f aca="false">IF((E194="u"),H194," ")</f>
        <v> </v>
      </c>
      <c r="Z194" s="17" t="str">
        <f aca="false">IF((E194="a"),H194," ")</f>
        <v> </v>
      </c>
      <c r="AA194" s="17" t="str">
        <f aca="false">IF((E194="g"),H194," ")</f>
        <v> </v>
      </c>
      <c r="AB194" s="17" t="str">
        <f aca="false">IF((E194="h"),H194," ")</f>
        <v> </v>
      </c>
      <c r="AC194" s="30" t="str">
        <f aca="false">IF((E194="v"),H194," ")</f>
        <v> </v>
      </c>
      <c r="AD194" s="30" t="str">
        <f aca="false">IF((E194="n"),H194," ")</f>
        <v> </v>
      </c>
      <c r="AE194" s="17" t="str">
        <f aca="false">IF((E194="f"),H194," ")</f>
        <v> </v>
      </c>
      <c r="AF194" s="17" t="str">
        <f aca="false">IF((E194="l"),H194," ")</f>
        <v> </v>
      </c>
      <c r="AG194" s="17" t="str">
        <f aca="false">IF((E194="y"),H194," ")</f>
        <v> </v>
      </c>
      <c r="AH194" s="17" t="str">
        <f aca="false">IF((E194="z"),H194," ")</f>
        <v> </v>
      </c>
      <c r="AI194" s="17" t="str">
        <f aca="false">IF((E194="fa"),H194," ")</f>
        <v> </v>
      </c>
      <c r="AJ194" s="17" t="str">
        <f aca="false">IF((E194="e"),H194," ")</f>
        <v> </v>
      </c>
    </row>
    <row r="195" customFormat="false" ht="12" hidden="false" customHeight="false" outlineLevel="0" collapsed="false">
      <c r="A195" s="28"/>
      <c r="E195" s="2" t="str">
        <f aca="false">IF((F195&lt;&gt;0),"Enter Letter"," ")</f>
        <v> </v>
      </c>
      <c r="F195" s="30"/>
      <c r="G195" s="6" t="str">
        <f aca="false">IF(F195&lt;&gt;0,F195*G$2/(100+G$2)," ")</f>
        <v> </v>
      </c>
      <c r="H195" s="6" t="str">
        <f aca="false">IF((F195&lt;&gt;0),F195-G195," ")</f>
        <v> </v>
      </c>
      <c r="I195" s="5"/>
      <c r="L195" s="7" t="str">
        <f aca="false">IF(F195&lt;&gt;0,F195-K195," ")</f>
        <v> </v>
      </c>
      <c r="M195" s="8" t="str">
        <f aca="false">IF((F195-K195)&lt;&gt;0,M$1-A195," ")</f>
        <v> </v>
      </c>
      <c r="N195" s="5"/>
      <c r="O195" s="17" t="str">
        <f aca="false">IF((E195="s"),H195," ")</f>
        <v> </v>
      </c>
      <c r="P195" s="17" t="str">
        <f aca="false">IF((E195="c"),H195," ")</f>
        <v> </v>
      </c>
      <c r="Q195" s="17" t="str">
        <f aca="false">IF((E195="o"),H195," ")</f>
        <v> </v>
      </c>
      <c r="R195" s="17" t="str">
        <f aca="false">IF((E195="d"),H195," ")</f>
        <v> </v>
      </c>
      <c r="S195" s="17" t="str">
        <f aca="false">IF((E195="w"),H195," ")</f>
        <v> </v>
      </c>
      <c r="T195" s="17" t="str">
        <f aca="false">IF((E195="r"),H195," ")</f>
        <v> </v>
      </c>
      <c r="U195" s="17" t="str">
        <f aca="false">IF((E195="p"),H195," ")</f>
        <v> </v>
      </c>
      <c r="V195" s="17" t="str">
        <f aca="false">IF((E195="t"),H195," ")</f>
        <v> </v>
      </c>
      <c r="W195" s="17" t="str">
        <f aca="false">IF((E195="q"),H195," ")</f>
        <v> </v>
      </c>
      <c r="X195" s="17" t="str">
        <f aca="false">IF((E195="m"),H195," ")</f>
        <v> </v>
      </c>
      <c r="Y195" s="17" t="str">
        <f aca="false">IF((E195="u"),H195," ")</f>
        <v> </v>
      </c>
      <c r="Z195" s="17" t="str">
        <f aca="false">IF((E195="a"),H195," ")</f>
        <v> </v>
      </c>
      <c r="AA195" s="17" t="str">
        <f aca="false">IF((E195="g"),H195," ")</f>
        <v> </v>
      </c>
      <c r="AB195" s="17" t="str">
        <f aca="false">IF((E195="h"),H195," ")</f>
        <v> </v>
      </c>
      <c r="AC195" s="30" t="str">
        <f aca="false">IF((E195="v"),H195," ")</f>
        <v> </v>
      </c>
      <c r="AD195" s="30" t="str">
        <f aca="false">IF((E195="n"),H195," ")</f>
        <v> </v>
      </c>
      <c r="AE195" s="17" t="str">
        <f aca="false">IF((E195="f"),H195," ")</f>
        <v> </v>
      </c>
      <c r="AF195" s="17" t="str">
        <f aca="false">IF((E195="l"),H195," ")</f>
        <v> </v>
      </c>
      <c r="AG195" s="17" t="str">
        <f aca="false">IF((E195="y"),H195," ")</f>
        <v> </v>
      </c>
      <c r="AH195" s="17" t="str">
        <f aca="false">IF((E195="z"),H195," ")</f>
        <v> </v>
      </c>
      <c r="AI195" s="17" t="str">
        <f aca="false">IF((E195="fa"),H195," ")</f>
        <v> </v>
      </c>
      <c r="AJ195" s="17" t="str">
        <f aca="false">IF((E195="e"),H195," ")</f>
        <v> </v>
      </c>
    </row>
    <row r="196" customFormat="false" ht="12" hidden="false" customHeight="false" outlineLevel="0" collapsed="false">
      <c r="A196" s="28"/>
      <c r="E196" s="2" t="str">
        <f aca="false">IF((F196&lt;&gt;0),"Enter Letter"," ")</f>
        <v> </v>
      </c>
      <c r="F196" s="30"/>
      <c r="G196" s="6" t="str">
        <f aca="false">IF(F196&lt;&gt;0,F196*G$2/(100+G$2)," ")</f>
        <v> </v>
      </c>
      <c r="H196" s="6" t="str">
        <f aca="false">IF((F196&lt;&gt;0),F196-G196," ")</f>
        <v> </v>
      </c>
      <c r="I196" s="5"/>
      <c r="L196" s="7" t="str">
        <f aca="false">IF(F196&lt;&gt;0,F196-K196," ")</f>
        <v> </v>
      </c>
      <c r="M196" s="8" t="str">
        <f aca="false">IF((F196-K196)&lt;&gt;0,M$1-A196," ")</f>
        <v> </v>
      </c>
      <c r="N196" s="5"/>
      <c r="O196" s="17" t="str">
        <f aca="false">IF((E196="s"),H196," ")</f>
        <v> </v>
      </c>
      <c r="P196" s="17" t="str">
        <f aca="false">IF((E196="c"),H196," ")</f>
        <v> </v>
      </c>
      <c r="Q196" s="17" t="str">
        <f aca="false">IF((E196="o"),H196," ")</f>
        <v> </v>
      </c>
      <c r="R196" s="17" t="str">
        <f aca="false">IF((E196="d"),H196," ")</f>
        <v> </v>
      </c>
      <c r="S196" s="17" t="str">
        <f aca="false">IF((E196="w"),H196," ")</f>
        <v> </v>
      </c>
      <c r="T196" s="17" t="str">
        <f aca="false">IF((E196="r"),H196," ")</f>
        <v> </v>
      </c>
      <c r="U196" s="17" t="str">
        <f aca="false">IF((E196="p"),H196," ")</f>
        <v> </v>
      </c>
      <c r="V196" s="17" t="str">
        <f aca="false">IF((E196="t"),H196," ")</f>
        <v> </v>
      </c>
      <c r="W196" s="17" t="str">
        <f aca="false">IF((E196="q"),H196," ")</f>
        <v> </v>
      </c>
      <c r="X196" s="17" t="str">
        <f aca="false">IF((E196="m"),H196," ")</f>
        <v> </v>
      </c>
      <c r="Y196" s="17" t="str">
        <f aca="false">IF((E196="u"),H196," ")</f>
        <v> </v>
      </c>
      <c r="Z196" s="17" t="str">
        <f aca="false">IF((E196="a"),H196," ")</f>
        <v> </v>
      </c>
      <c r="AA196" s="17" t="str">
        <f aca="false">IF((E196="g"),H196," ")</f>
        <v> </v>
      </c>
      <c r="AB196" s="17" t="str">
        <f aca="false">IF((E196="h"),H196," ")</f>
        <v> </v>
      </c>
      <c r="AC196" s="30" t="str">
        <f aca="false">IF((E196="v"),H196," ")</f>
        <v> </v>
      </c>
      <c r="AD196" s="30" t="str">
        <f aca="false">IF((E196="n"),H196," ")</f>
        <v> </v>
      </c>
      <c r="AE196" s="17" t="str">
        <f aca="false">IF((E196="f"),H196," ")</f>
        <v> </v>
      </c>
      <c r="AF196" s="17" t="str">
        <f aca="false">IF((E196="l"),H196," ")</f>
        <v> </v>
      </c>
      <c r="AG196" s="17" t="str">
        <f aca="false">IF((E196="y"),H196," ")</f>
        <v> </v>
      </c>
      <c r="AH196" s="17" t="str">
        <f aca="false">IF((E196="z"),H196," ")</f>
        <v> </v>
      </c>
      <c r="AI196" s="17" t="str">
        <f aca="false">IF((E196="fa"),H196," ")</f>
        <v> </v>
      </c>
      <c r="AJ196" s="17" t="str">
        <f aca="false">IF((E196="e"),H196," ")</f>
        <v> </v>
      </c>
    </row>
    <row r="197" customFormat="false" ht="12" hidden="false" customHeight="false" outlineLevel="0" collapsed="false">
      <c r="A197" s="28"/>
      <c r="E197" s="2" t="str">
        <f aca="false">IF((F197&lt;&gt;0),"Enter Letter"," ")</f>
        <v> </v>
      </c>
      <c r="F197" s="30"/>
      <c r="G197" s="6" t="str">
        <f aca="false">IF(F197&lt;&gt;0,F197*G$2/(100+G$2)," ")</f>
        <v> </v>
      </c>
      <c r="H197" s="6" t="str">
        <f aca="false">IF((F197&lt;&gt;0),F197-G197," ")</f>
        <v> </v>
      </c>
      <c r="I197" s="5"/>
      <c r="L197" s="7" t="str">
        <f aca="false">IF(F197&lt;&gt;0,F197-K197," ")</f>
        <v> </v>
      </c>
      <c r="M197" s="8" t="str">
        <f aca="false">IF((F197-K197)&lt;&gt;0,M$1-A197," ")</f>
        <v> </v>
      </c>
      <c r="N197" s="5"/>
      <c r="O197" s="17" t="str">
        <f aca="false">IF((E197="s"),H197," ")</f>
        <v> </v>
      </c>
      <c r="P197" s="17" t="str">
        <f aca="false">IF((E197="c"),H197," ")</f>
        <v> </v>
      </c>
      <c r="Q197" s="17" t="str">
        <f aca="false">IF((E197="o"),H197," ")</f>
        <v> </v>
      </c>
      <c r="R197" s="17" t="str">
        <f aca="false">IF((E197="d"),H197," ")</f>
        <v> </v>
      </c>
      <c r="S197" s="17" t="str">
        <f aca="false">IF((E197="w"),H197," ")</f>
        <v> </v>
      </c>
      <c r="T197" s="17" t="str">
        <f aca="false">IF((E197="r"),H197," ")</f>
        <v> </v>
      </c>
      <c r="U197" s="17" t="str">
        <f aca="false">IF((E197="p"),H197," ")</f>
        <v> </v>
      </c>
      <c r="V197" s="17" t="str">
        <f aca="false">IF((E197="t"),H197," ")</f>
        <v> </v>
      </c>
      <c r="W197" s="17" t="str">
        <f aca="false">IF((E197="q"),H197," ")</f>
        <v> </v>
      </c>
      <c r="X197" s="17" t="str">
        <f aca="false">IF((E197="m"),H197," ")</f>
        <v> </v>
      </c>
      <c r="Y197" s="17" t="str">
        <f aca="false">IF((E197="u"),H197," ")</f>
        <v> </v>
      </c>
      <c r="Z197" s="17" t="str">
        <f aca="false">IF((E197="a"),H197," ")</f>
        <v> </v>
      </c>
      <c r="AA197" s="17" t="str">
        <f aca="false">IF((E197="g"),H197," ")</f>
        <v> </v>
      </c>
      <c r="AB197" s="17" t="str">
        <f aca="false">IF((E197="h"),H197," ")</f>
        <v> </v>
      </c>
      <c r="AC197" s="30" t="str">
        <f aca="false">IF((E197="v"),H197," ")</f>
        <v> </v>
      </c>
      <c r="AD197" s="30" t="str">
        <f aca="false">IF((E197="n"),H197," ")</f>
        <v> </v>
      </c>
      <c r="AE197" s="17" t="str">
        <f aca="false">IF((E197="f"),H197," ")</f>
        <v> </v>
      </c>
      <c r="AF197" s="17" t="str">
        <f aca="false">IF((E197="l"),H197," ")</f>
        <v> </v>
      </c>
      <c r="AG197" s="17" t="str">
        <f aca="false">IF((E197="y"),H197," ")</f>
        <v> </v>
      </c>
      <c r="AH197" s="17" t="str">
        <f aca="false">IF((E197="z"),H197," ")</f>
        <v> </v>
      </c>
      <c r="AI197" s="17" t="str">
        <f aca="false">IF((E197="fa"),H197," ")</f>
        <v> </v>
      </c>
      <c r="AJ197" s="17" t="str">
        <f aca="false">IF((E197="e"),H197," ")</f>
        <v> </v>
      </c>
    </row>
    <row r="198" customFormat="false" ht="12" hidden="false" customHeight="false" outlineLevel="0" collapsed="false">
      <c r="A198" s="28"/>
      <c r="E198" s="2" t="str">
        <f aca="false">IF((F198&lt;&gt;0),"Enter Letter"," ")</f>
        <v> </v>
      </c>
      <c r="F198" s="30"/>
      <c r="G198" s="6" t="str">
        <f aca="false">IF(F198&lt;&gt;0,F198*G$2/(100+G$2)," ")</f>
        <v> </v>
      </c>
      <c r="H198" s="6" t="str">
        <f aca="false">IF((F198&lt;&gt;0),F198-G198," ")</f>
        <v> </v>
      </c>
      <c r="I198" s="5"/>
      <c r="L198" s="7" t="str">
        <f aca="false">IF(F198&lt;&gt;0,F198-K198," ")</f>
        <v> </v>
      </c>
      <c r="M198" s="8" t="str">
        <f aca="false">IF((F198-K198)&lt;&gt;0,M$1-A198," ")</f>
        <v> </v>
      </c>
      <c r="N198" s="5"/>
      <c r="O198" s="17" t="str">
        <f aca="false">IF((E198="s"),H198," ")</f>
        <v> </v>
      </c>
      <c r="P198" s="17" t="str">
        <f aca="false">IF((E198="c"),H198," ")</f>
        <v> </v>
      </c>
      <c r="Q198" s="17" t="str">
        <f aca="false">IF((E198="o"),H198," ")</f>
        <v> </v>
      </c>
      <c r="R198" s="17" t="str">
        <f aca="false">IF((E198="d"),H198," ")</f>
        <v> </v>
      </c>
      <c r="S198" s="17" t="str">
        <f aca="false">IF((E198="w"),H198," ")</f>
        <v> </v>
      </c>
      <c r="T198" s="17" t="str">
        <f aca="false">IF((E198="r"),H198," ")</f>
        <v> </v>
      </c>
      <c r="U198" s="17" t="str">
        <f aca="false">IF((E198="p"),H198," ")</f>
        <v> </v>
      </c>
      <c r="V198" s="17" t="str">
        <f aca="false">IF((E198="t"),H198," ")</f>
        <v> </v>
      </c>
      <c r="W198" s="17" t="str">
        <f aca="false">IF((E198="q"),H198," ")</f>
        <v> </v>
      </c>
      <c r="X198" s="17" t="str">
        <f aca="false">IF((E198="m"),H198," ")</f>
        <v> </v>
      </c>
      <c r="Y198" s="17" t="str">
        <f aca="false">IF((E198="u"),H198," ")</f>
        <v> </v>
      </c>
      <c r="Z198" s="17" t="str">
        <f aca="false">IF((E198="a"),H198," ")</f>
        <v> </v>
      </c>
      <c r="AA198" s="17" t="str">
        <f aca="false">IF((E198="g"),H198," ")</f>
        <v> </v>
      </c>
      <c r="AB198" s="17" t="str">
        <f aca="false">IF((E198="h"),H198," ")</f>
        <v> </v>
      </c>
      <c r="AC198" s="30" t="str">
        <f aca="false">IF((E198="v"),H198," ")</f>
        <v> </v>
      </c>
      <c r="AD198" s="30" t="str">
        <f aca="false">IF((E198="n"),H198," ")</f>
        <v> </v>
      </c>
      <c r="AE198" s="17" t="str">
        <f aca="false">IF((E198="f"),H198," ")</f>
        <v> </v>
      </c>
      <c r="AF198" s="17" t="str">
        <f aca="false">IF((E198="l"),H198," ")</f>
        <v> </v>
      </c>
      <c r="AG198" s="17" t="str">
        <f aca="false">IF((E198="y"),H198," ")</f>
        <v> </v>
      </c>
      <c r="AH198" s="17" t="str">
        <f aca="false">IF((E198="z"),H198," ")</f>
        <v> </v>
      </c>
      <c r="AI198" s="17" t="str">
        <f aca="false">IF((E198="fa"),H198," ")</f>
        <v> </v>
      </c>
      <c r="AJ198" s="17" t="str">
        <f aca="false">IF((E198="e"),H198," ")</f>
        <v> </v>
      </c>
    </row>
    <row r="199" customFormat="false" ht="12" hidden="false" customHeight="false" outlineLevel="0" collapsed="false">
      <c r="A199" s="28"/>
      <c r="E199" s="2" t="str">
        <f aca="false">IF((F199&lt;&gt;0),"Enter Letter"," ")</f>
        <v> </v>
      </c>
      <c r="F199" s="30"/>
      <c r="G199" s="6" t="str">
        <f aca="false">IF(F199&lt;&gt;0,F199*G$2/(100+G$2)," ")</f>
        <v> </v>
      </c>
      <c r="H199" s="6" t="str">
        <f aca="false">IF((F199&lt;&gt;0),F199-G199," ")</f>
        <v> </v>
      </c>
      <c r="I199" s="5"/>
      <c r="L199" s="7" t="str">
        <f aca="false">IF(F199&lt;&gt;0,F199-K199," ")</f>
        <v> </v>
      </c>
      <c r="M199" s="8" t="str">
        <f aca="false">IF((F199-K199)&lt;&gt;0,M$1-A199," ")</f>
        <v> </v>
      </c>
      <c r="N199" s="5"/>
      <c r="O199" s="17" t="str">
        <f aca="false">IF((E199="s"),H199," ")</f>
        <v> </v>
      </c>
      <c r="P199" s="17" t="str">
        <f aca="false">IF((E199="c"),H199," ")</f>
        <v> </v>
      </c>
      <c r="Q199" s="17" t="str">
        <f aca="false">IF((E199="o"),H199," ")</f>
        <v> </v>
      </c>
      <c r="R199" s="17" t="str">
        <f aca="false">IF((E199="d"),H199," ")</f>
        <v> </v>
      </c>
      <c r="S199" s="17" t="str">
        <f aca="false">IF((E199="w"),H199," ")</f>
        <v> </v>
      </c>
      <c r="T199" s="17" t="str">
        <f aca="false">IF((E199="r"),H199," ")</f>
        <v> </v>
      </c>
      <c r="U199" s="17" t="str">
        <f aca="false">IF((E199="p"),H199," ")</f>
        <v> </v>
      </c>
      <c r="V199" s="17" t="str">
        <f aca="false">IF((E199="t"),H199," ")</f>
        <v> </v>
      </c>
      <c r="W199" s="17" t="str">
        <f aca="false">IF((E199="q"),H199," ")</f>
        <v> </v>
      </c>
      <c r="X199" s="17" t="str">
        <f aca="false">IF((E199="m"),H199," ")</f>
        <v> </v>
      </c>
      <c r="Y199" s="17" t="str">
        <f aca="false">IF((E199="u"),H199," ")</f>
        <v> </v>
      </c>
      <c r="Z199" s="17" t="str">
        <f aca="false">IF((E199="a"),H199," ")</f>
        <v> </v>
      </c>
      <c r="AA199" s="17" t="str">
        <f aca="false">IF((E199="g"),H199," ")</f>
        <v> </v>
      </c>
      <c r="AB199" s="17" t="str">
        <f aca="false">IF((E199="h"),H199," ")</f>
        <v> </v>
      </c>
      <c r="AC199" s="30" t="str">
        <f aca="false">IF((E199="v"),H199," ")</f>
        <v> </v>
      </c>
      <c r="AD199" s="30" t="str">
        <f aca="false">IF((E199="n"),H199," ")</f>
        <v> </v>
      </c>
      <c r="AE199" s="17" t="str">
        <f aca="false">IF((E199="f"),H199," ")</f>
        <v> </v>
      </c>
      <c r="AF199" s="17" t="str">
        <f aca="false">IF((E199="l"),H199," ")</f>
        <v> </v>
      </c>
      <c r="AG199" s="17" t="str">
        <f aca="false">IF((E199="y"),H199," ")</f>
        <v> </v>
      </c>
      <c r="AH199" s="17" t="str">
        <f aca="false">IF((E199="z"),H199," ")</f>
        <v> </v>
      </c>
      <c r="AI199" s="17" t="str">
        <f aca="false">IF((E199="fa"),H199," ")</f>
        <v> </v>
      </c>
      <c r="AJ199" s="17" t="str">
        <f aca="false">IF((E199="e"),H199," ")</f>
        <v> </v>
      </c>
    </row>
    <row r="200" customFormat="false" ht="12" hidden="false" customHeight="false" outlineLevel="0" collapsed="false">
      <c r="A200" s="28"/>
      <c r="E200" s="2" t="str">
        <f aca="false">IF((F200&lt;&gt;0),"Enter Letter"," ")</f>
        <v> </v>
      </c>
      <c r="F200" s="30"/>
      <c r="G200" s="6" t="str">
        <f aca="false">IF(F200&lt;&gt;0,F200*G$2/(100+G$2)," ")</f>
        <v> </v>
      </c>
      <c r="H200" s="6" t="str">
        <f aca="false">IF((F200&lt;&gt;0),F200-G200," ")</f>
        <v> </v>
      </c>
      <c r="I200" s="5"/>
      <c r="L200" s="7" t="str">
        <f aca="false">IF(F200&lt;&gt;0,F200-K200," ")</f>
        <v> </v>
      </c>
      <c r="M200" s="8" t="str">
        <f aca="false">IF((F200-K200)&lt;&gt;0,M$1-A200," ")</f>
        <v> </v>
      </c>
      <c r="N200" s="5"/>
      <c r="O200" s="17" t="str">
        <f aca="false">IF((E200="s"),H200," ")</f>
        <v> </v>
      </c>
      <c r="P200" s="17" t="str">
        <f aca="false">IF((E200="c"),H200," ")</f>
        <v> </v>
      </c>
      <c r="Q200" s="17" t="str">
        <f aca="false">IF((E200="o"),H200," ")</f>
        <v> </v>
      </c>
      <c r="R200" s="17" t="str">
        <f aca="false">IF((E200="d"),H200," ")</f>
        <v> </v>
      </c>
      <c r="S200" s="17" t="str">
        <f aca="false">IF((E200="w"),H200," ")</f>
        <v> </v>
      </c>
      <c r="T200" s="17" t="str">
        <f aca="false">IF((E200="r"),H200," ")</f>
        <v> </v>
      </c>
      <c r="U200" s="17" t="str">
        <f aca="false">IF((E200="p"),H200," ")</f>
        <v> </v>
      </c>
      <c r="V200" s="17" t="str">
        <f aca="false">IF((E200="t"),H200," ")</f>
        <v> </v>
      </c>
      <c r="W200" s="17" t="str">
        <f aca="false">IF((E200="q"),H200," ")</f>
        <v> </v>
      </c>
      <c r="X200" s="17" t="str">
        <f aca="false">IF((E200="m"),H200," ")</f>
        <v> </v>
      </c>
      <c r="Y200" s="17" t="str">
        <f aca="false">IF((E200="u"),H200," ")</f>
        <v> </v>
      </c>
      <c r="Z200" s="17" t="str">
        <f aca="false">IF((E200="a"),H200," ")</f>
        <v> </v>
      </c>
      <c r="AA200" s="17" t="str">
        <f aca="false">IF((E200="g"),H200," ")</f>
        <v> </v>
      </c>
      <c r="AB200" s="17" t="str">
        <f aca="false">IF((E200="h"),H200," ")</f>
        <v> </v>
      </c>
      <c r="AC200" s="30" t="str">
        <f aca="false">IF((E200="v"),H200," ")</f>
        <v> </v>
      </c>
      <c r="AD200" s="30" t="str">
        <f aca="false">IF((E200="n"),H200," ")</f>
        <v> </v>
      </c>
      <c r="AE200" s="17" t="str">
        <f aca="false">IF((E200="f"),H200," ")</f>
        <v> </v>
      </c>
      <c r="AF200" s="17" t="str">
        <f aca="false">IF((E200="l"),H200," ")</f>
        <v> </v>
      </c>
      <c r="AG200" s="17" t="str">
        <f aca="false">IF((E200="y"),H200," ")</f>
        <v> </v>
      </c>
      <c r="AH200" s="17" t="str">
        <f aca="false">IF((E200="z"),H200," ")</f>
        <v> </v>
      </c>
      <c r="AI200" s="17" t="str">
        <f aca="false">IF((E200="fa"),H200," ")</f>
        <v> </v>
      </c>
      <c r="AJ200" s="17" t="str">
        <f aca="false">IF((E200="e"),H200," ")</f>
        <v> </v>
      </c>
    </row>
    <row r="201" customFormat="false" ht="12" hidden="false" customHeight="false" outlineLevel="0" collapsed="false">
      <c r="A201" s="28"/>
      <c r="E201" s="2" t="str">
        <f aca="false">IF((F201&lt;&gt;0),"Enter Letter"," ")</f>
        <v> </v>
      </c>
      <c r="F201" s="30"/>
      <c r="G201" s="6" t="str">
        <f aca="false">IF(F201&lt;&gt;0,F201*G$2/(100+G$2)," ")</f>
        <v> </v>
      </c>
      <c r="H201" s="6" t="str">
        <f aca="false">IF((F201&lt;&gt;0),F201-G201," ")</f>
        <v> </v>
      </c>
      <c r="I201" s="5"/>
      <c r="L201" s="7" t="str">
        <f aca="false">IF(F201&lt;&gt;0,F201-K201," ")</f>
        <v> </v>
      </c>
      <c r="M201" s="8" t="str">
        <f aca="false">IF((F201-K201)&lt;&gt;0,M$1-A201," ")</f>
        <v> </v>
      </c>
      <c r="N201" s="5"/>
      <c r="O201" s="17" t="str">
        <f aca="false">IF((E201="s"),H201," ")</f>
        <v> </v>
      </c>
      <c r="P201" s="17" t="str">
        <f aca="false">IF((E201="c"),H201," ")</f>
        <v> </v>
      </c>
      <c r="Q201" s="17" t="str">
        <f aca="false">IF((E201="o"),H201," ")</f>
        <v> </v>
      </c>
      <c r="R201" s="17" t="str">
        <f aca="false">IF((E201="d"),H201," ")</f>
        <v> </v>
      </c>
      <c r="S201" s="17" t="str">
        <f aca="false">IF((E201="w"),H201," ")</f>
        <v> </v>
      </c>
      <c r="T201" s="17" t="str">
        <f aca="false">IF((E201="r"),H201," ")</f>
        <v> </v>
      </c>
      <c r="U201" s="17" t="str">
        <f aca="false">IF((E201="p"),H201," ")</f>
        <v> </v>
      </c>
      <c r="V201" s="17" t="str">
        <f aca="false">IF((E201="t"),H201," ")</f>
        <v> </v>
      </c>
      <c r="W201" s="17" t="str">
        <f aca="false">IF((E201="q"),H201," ")</f>
        <v> </v>
      </c>
      <c r="X201" s="17" t="str">
        <f aca="false">IF((E201="m"),H201," ")</f>
        <v> </v>
      </c>
      <c r="Y201" s="17" t="str">
        <f aca="false">IF((E201="u"),H201," ")</f>
        <v> </v>
      </c>
      <c r="Z201" s="17" t="str">
        <f aca="false">IF((E201="a"),H201," ")</f>
        <v> </v>
      </c>
      <c r="AA201" s="17" t="str">
        <f aca="false">IF((E201="g"),H201," ")</f>
        <v> </v>
      </c>
      <c r="AB201" s="17" t="str">
        <f aca="false">IF((E201="h"),H201," ")</f>
        <v> </v>
      </c>
      <c r="AC201" s="30" t="str">
        <f aca="false">IF((E201="v"),H201," ")</f>
        <v> </v>
      </c>
      <c r="AD201" s="30" t="str">
        <f aca="false">IF((E201="n"),H201," ")</f>
        <v> </v>
      </c>
      <c r="AE201" s="17" t="str">
        <f aca="false">IF((E201="f"),H201," ")</f>
        <v> </v>
      </c>
      <c r="AF201" s="17" t="str">
        <f aca="false">IF((E201="l"),H201," ")</f>
        <v> </v>
      </c>
      <c r="AG201" s="17" t="str">
        <f aca="false">IF((E201="y"),H201," ")</f>
        <v> </v>
      </c>
      <c r="AH201" s="17" t="str">
        <f aca="false">IF((E201="z"),H201," ")</f>
        <v> </v>
      </c>
      <c r="AI201" s="17" t="str">
        <f aca="false">IF((E201="fa"),H201," ")</f>
        <v> </v>
      </c>
      <c r="AJ201" s="17" t="str">
        <f aca="false">IF((E201="e"),H201," ")</f>
        <v> </v>
      </c>
    </row>
    <row r="202" customFormat="false" ht="12" hidden="false" customHeight="false" outlineLevel="0" collapsed="false">
      <c r="A202" s="28"/>
      <c r="E202" s="2" t="str">
        <f aca="false">IF((F202&lt;&gt;0),"Enter Letter"," ")</f>
        <v> </v>
      </c>
      <c r="F202" s="30"/>
      <c r="G202" s="6" t="str">
        <f aca="false">IF(F202&lt;&gt;0,F202*G$2/(100+G$2)," ")</f>
        <v> </v>
      </c>
      <c r="H202" s="6" t="str">
        <f aca="false">IF((F202&lt;&gt;0),F202-G202," ")</f>
        <v> </v>
      </c>
      <c r="I202" s="5"/>
      <c r="L202" s="7" t="str">
        <f aca="false">IF(F202&lt;&gt;0,F202-K202," ")</f>
        <v> </v>
      </c>
      <c r="M202" s="8" t="str">
        <f aca="false">IF((F202-K202)&lt;&gt;0,M$1-A202," ")</f>
        <v> </v>
      </c>
      <c r="N202" s="5"/>
      <c r="O202" s="17" t="str">
        <f aca="false">IF((E202="s"),H202," ")</f>
        <v> </v>
      </c>
      <c r="P202" s="17" t="str">
        <f aca="false">IF((E202="c"),H202," ")</f>
        <v> </v>
      </c>
      <c r="Q202" s="17" t="str">
        <f aca="false">IF((E202="o"),H202," ")</f>
        <v> </v>
      </c>
      <c r="R202" s="17" t="str">
        <f aca="false">IF((E202="d"),H202," ")</f>
        <v> </v>
      </c>
      <c r="S202" s="17" t="str">
        <f aca="false">IF((E202="w"),H202," ")</f>
        <v> </v>
      </c>
      <c r="T202" s="17" t="str">
        <f aca="false">IF((E202="r"),H202," ")</f>
        <v> </v>
      </c>
      <c r="U202" s="17" t="str">
        <f aca="false">IF((E202="p"),H202," ")</f>
        <v> </v>
      </c>
      <c r="V202" s="17" t="str">
        <f aca="false">IF((E202="t"),H202," ")</f>
        <v> </v>
      </c>
      <c r="W202" s="17" t="str">
        <f aca="false">IF((E202="q"),H202," ")</f>
        <v> </v>
      </c>
      <c r="X202" s="17" t="str">
        <f aca="false">IF((E202="m"),H202," ")</f>
        <v> </v>
      </c>
      <c r="Y202" s="17" t="str">
        <f aca="false">IF((E202="u"),H202," ")</f>
        <v> </v>
      </c>
      <c r="Z202" s="17" t="str">
        <f aca="false">IF((E202="a"),H202," ")</f>
        <v> </v>
      </c>
      <c r="AA202" s="17" t="str">
        <f aca="false">IF((E202="g"),H202," ")</f>
        <v> </v>
      </c>
      <c r="AB202" s="17" t="str">
        <f aca="false">IF((E202="h"),H202," ")</f>
        <v> </v>
      </c>
      <c r="AC202" s="30" t="str">
        <f aca="false">IF((E202="v"),H202," ")</f>
        <v> </v>
      </c>
      <c r="AD202" s="30" t="str">
        <f aca="false">IF((E202="n"),H202," ")</f>
        <v> </v>
      </c>
      <c r="AE202" s="17" t="str">
        <f aca="false">IF((E202="f"),H202," ")</f>
        <v> </v>
      </c>
      <c r="AF202" s="17" t="str">
        <f aca="false">IF((E202="l"),H202," ")</f>
        <v> </v>
      </c>
      <c r="AG202" s="17" t="str">
        <f aca="false">IF((E202="y"),H202," ")</f>
        <v> </v>
      </c>
      <c r="AH202" s="17" t="str">
        <f aca="false">IF((E202="z"),H202," ")</f>
        <v> </v>
      </c>
      <c r="AI202" s="17" t="str">
        <f aca="false">IF((E202="fa"),H202," ")</f>
        <v> </v>
      </c>
      <c r="AJ202" s="17" t="str">
        <f aca="false">IF((E202="e"),H202," ")</f>
        <v> </v>
      </c>
    </row>
    <row r="203" customFormat="false" ht="12" hidden="false" customHeight="false" outlineLevel="0" collapsed="false">
      <c r="A203" s="28"/>
      <c r="E203" s="2" t="str">
        <f aca="false">IF((F203&lt;&gt;0),"Enter Letter"," ")</f>
        <v> </v>
      </c>
      <c r="F203" s="30"/>
      <c r="G203" s="6" t="str">
        <f aca="false">IF(F203&lt;&gt;0,F203*G$2/(100+G$2)," ")</f>
        <v> </v>
      </c>
      <c r="H203" s="6" t="str">
        <f aca="false">IF((F203&lt;&gt;0),F203-G203," ")</f>
        <v> </v>
      </c>
      <c r="I203" s="5"/>
      <c r="L203" s="7" t="str">
        <f aca="false">IF(F203&lt;&gt;0,F203-K203," ")</f>
        <v> </v>
      </c>
      <c r="M203" s="8" t="str">
        <f aca="false">IF((F203-K203)&lt;&gt;0,M$1-A203," ")</f>
        <v> </v>
      </c>
      <c r="N203" s="5"/>
      <c r="O203" s="17" t="str">
        <f aca="false">IF((E203="s"),H203," ")</f>
        <v> </v>
      </c>
      <c r="P203" s="17" t="str">
        <f aca="false">IF((E203="c"),H203," ")</f>
        <v> </v>
      </c>
      <c r="Q203" s="17" t="str">
        <f aca="false">IF((E203="o"),H203," ")</f>
        <v> </v>
      </c>
      <c r="R203" s="17" t="str">
        <f aca="false">IF((E203="d"),H203," ")</f>
        <v> </v>
      </c>
      <c r="S203" s="17" t="str">
        <f aca="false">IF((E203="w"),H203," ")</f>
        <v> </v>
      </c>
      <c r="T203" s="17" t="str">
        <f aca="false">IF((E203="r"),H203," ")</f>
        <v> </v>
      </c>
      <c r="U203" s="17" t="str">
        <f aca="false">IF((E203="p"),H203," ")</f>
        <v> </v>
      </c>
      <c r="V203" s="17" t="str">
        <f aca="false">IF((E203="t"),H203," ")</f>
        <v> </v>
      </c>
      <c r="W203" s="17" t="str">
        <f aca="false">IF((E203="q"),H203," ")</f>
        <v> </v>
      </c>
      <c r="X203" s="17" t="str">
        <f aca="false">IF((E203="m"),H203," ")</f>
        <v> </v>
      </c>
      <c r="Y203" s="17" t="str">
        <f aca="false">IF((E203="u"),H203," ")</f>
        <v> </v>
      </c>
      <c r="Z203" s="17" t="str">
        <f aca="false">IF((E203="a"),H203," ")</f>
        <v> </v>
      </c>
      <c r="AA203" s="17" t="str">
        <f aca="false">IF((E203="g"),H203," ")</f>
        <v> </v>
      </c>
      <c r="AB203" s="17" t="str">
        <f aca="false">IF((E203="h"),H203," ")</f>
        <v> </v>
      </c>
      <c r="AC203" s="30" t="str">
        <f aca="false">IF((E203="v"),H203," ")</f>
        <v> </v>
      </c>
      <c r="AD203" s="30" t="str">
        <f aca="false">IF((E203="n"),H203," ")</f>
        <v> </v>
      </c>
      <c r="AE203" s="17" t="str">
        <f aca="false">IF((E203="f"),H203," ")</f>
        <v> </v>
      </c>
      <c r="AF203" s="17" t="str">
        <f aca="false">IF((E203="l"),H203," ")</f>
        <v> </v>
      </c>
      <c r="AG203" s="17" t="str">
        <f aca="false">IF((E203="y"),H203," ")</f>
        <v> </v>
      </c>
      <c r="AH203" s="17" t="str">
        <f aca="false">IF((E203="z"),H203," ")</f>
        <v> </v>
      </c>
      <c r="AI203" s="17" t="str">
        <f aca="false">IF((E203="fa"),H203," ")</f>
        <v> </v>
      </c>
      <c r="AJ203" s="17" t="str">
        <f aca="false">IF((E203="e"),H203," ")</f>
        <v> </v>
      </c>
    </row>
    <row r="204" customFormat="false" ht="12" hidden="false" customHeight="false" outlineLevel="0" collapsed="false">
      <c r="A204" s="28"/>
      <c r="E204" s="2" t="str">
        <f aca="false">IF((F204&lt;&gt;0),"Enter Letter"," ")</f>
        <v> </v>
      </c>
      <c r="F204" s="30"/>
      <c r="G204" s="6" t="str">
        <f aca="false">IF(F204&lt;&gt;0,F204*G$2/(100+G$2)," ")</f>
        <v> </v>
      </c>
      <c r="H204" s="6" t="str">
        <f aca="false">IF((F204&lt;&gt;0),F204-G204," ")</f>
        <v> </v>
      </c>
      <c r="I204" s="5"/>
      <c r="L204" s="7" t="str">
        <f aca="false">IF(F204&lt;&gt;0,F204-K204," ")</f>
        <v> </v>
      </c>
      <c r="M204" s="8" t="str">
        <f aca="false">IF((F204-K204)&lt;&gt;0,M$1-A204," ")</f>
        <v> </v>
      </c>
      <c r="N204" s="5"/>
      <c r="O204" s="17" t="str">
        <f aca="false">IF((E204="s"),H204," ")</f>
        <v> </v>
      </c>
      <c r="P204" s="17" t="str">
        <f aca="false">IF((E204="c"),H204," ")</f>
        <v> </v>
      </c>
      <c r="Q204" s="17" t="str">
        <f aca="false">IF((E204="o"),H204," ")</f>
        <v> </v>
      </c>
      <c r="R204" s="17" t="str">
        <f aca="false">IF((E204="d"),H204," ")</f>
        <v> </v>
      </c>
      <c r="S204" s="17" t="str">
        <f aca="false">IF((E204="w"),H204," ")</f>
        <v> </v>
      </c>
      <c r="T204" s="17" t="str">
        <f aca="false">IF((E204="r"),H204," ")</f>
        <v> </v>
      </c>
      <c r="U204" s="17" t="str">
        <f aca="false">IF((E204="p"),H204," ")</f>
        <v> </v>
      </c>
      <c r="V204" s="17" t="str">
        <f aca="false">IF((E204="t"),H204," ")</f>
        <v> </v>
      </c>
      <c r="W204" s="17" t="str">
        <f aca="false">IF((E204="q"),H204," ")</f>
        <v> </v>
      </c>
      <c r="X204" s="17" t="str">
        <f aca="false">IF((E204="m"),H204," ")</f>
        <v> </v>
      </c>
      <c r="Y204" s="17" t="str">
        <f aca="false">IF((E204="u"),H204," ")</f>
        <v> </v>
      </c>
      <c r="Z204" s="17" t="str">
        <f aca="false">IF((E204="a"),H204," ")</f>
        <v> </v>
      </c>
      <c r="AA204" s="17" t="str">
        <f aca="false">IF((E204="g"),H204," ")</f>
        <v> </v>
      </c>
      <c r="AB204" s="17" t="str">
        <f aca="false">IF((E204="h"),H204," ")</f>
        <v> </v>
      </c>
      <c r="AC204" s="30" t="str">
        <f aca="false">IF((E204="v"),H204," ")</f>
        <v> </v>
      </c>
      <c r="AD204" s="30" t="str">
        <f aca="false">IF((E204="n"),H204," ")</f>
        <v> </v>
      </c>
      <c r="AE204" s="17" t="str">
        <f aca="false">IF((E204="f"),H204," ")</f>
        <v> </v>
      </c>
      <c r="AF204" s="17" t="str">
        <f aca="false">IF((E204="l"),H204," ")</f>
        <v> </v>
      </c>
      <c r="AG204" s="17" t="str">
        <f aca="false">IF((E204="y"),H204," ")</f>
        <v> </v>
      </c>
      <c r="AH204" s="17" t="str">
        <f aca="false">IF((E204="z"),H204," ")</f>
        <v> </v>
      </c>
      <c r="AI204" s="17" t="str">
        <f aca="false">IF((E204="fa"),H204," ")</f>
        <v> </v>
      </c>
      <c r="AJ204" s="17" t="str">
        <f aca="false">IF((E204="e"),H204," ")</f>
        <v> </v>
      </c>
    </row>
    <row r="205" customFormat="false" ht="12" hidden="false" customHeight="false" outlineLevel="0" collapsed="false">
      <c r="A205" s="28"/>
      <c r="E205" s="2" t="str">
        <f aca="false">IF((F205&lt;&gt;0),"Enter Letter"," ")</f>
        <v> </v>
      </c>
      <c r="F205" s="30"/>
      <c r="G205" s="6" t="str">
        <f aca="false">IF(F205&lt;&gt;0,F205*G$2/(100+G$2)," ")</f>
        <v> </v>
      </c>
      <c r="H205" s="6" t="str">
        <f aca="false">IF((F205&lt;&gt;0),F205-G205," ")</f>
        <v> </v>
      </c>
      <c r="I205" s="5"/>
      <c r="L205" s="7" t="str">
        <f aca="false">IF(F205&lt;&gt;0,F205-K205," ")</f>
        <v> </v>
      </c>
      <c r="M205" s="8" t="str">
        <f aca="false">IF((F205-K205)&lt;&gt;0,M$1-A205," ")</f>
        <v> </v>
      </c>
      <c r="N205" s="5"/>
      <c r="O205" s="17" t="str">
        <f aca="false">IF((E205="s"),H205," ")</f>
        <v> </v>
      </c>
      <c r="P205" s="17" t="str">
        <f aca="false">IF((E205="c"),H205," ")</f>
        <v> </v>
      </c>
      <c r="Q205" s="17" t="str">
        <f aca="false">IF((E205="o"),H205," ")</f>
        <v> </v>
      </c>
      <c r="R205" s="17" t="str">
        <f aca="false">IF((E205="d"),H205," ")</f>
        <v> </v>
      </c>
      <c r="S205" s="17" t="str">
        <f aca="false">IF((E205="w"),H205," ")</f>
        <v> </v>
      </c>
      <c r="T205" s="17" t="str">
        <f aca="false">IF((E205="r"),H205," ")</f>
        <v> </v>
      </c>
      <c r="U205" s="17" t="str">
        <f aca="false">IF((E205="p"),H205," ")</f>
        <v> </v>
      </c>
      <c r="V205" s="17" t="str">
        <f aca="false">IF((E205="t"),H205," ")</f>
        <v> </v>
      </c>
      <c r="W205" s="17" t="str">
        <f aca="false">IF((E205="q"),H205," ")</f>
        <v> </v>
      </c>
      <c r="X205" s="17" t="str">
        <f aca="false">IF((E205="m"),H205," ")</f>
        <v> </v>
      </c>
      <c r="Y205" s="17" t="str">
        <f aca="false">IF((E205="u"),H205," ")</f>
        <v> </v>
      </c>
      <c r="Z205" s="17" t="str">
        <f aca="false">IF((E205="a"),H205," ")</f>
        <v> </v>
      </c>
      <c r="AA205" s="17" t="str">
        <f aca="false">IF((E205="g"),H205," ")</f>
        <v> </v>
      </c>
      <c r="AB205" s="17" t="str">
        <f aca="false">IF((E205="h"),H205," ")</f>
        <v> </v>
      </c>
      <c r="AC205" s="30" t="str">
        <f aca="false">IF((E205="v"),H205," ")</f>
        <v> </v>
      </c>
      <c r="AD205" s="30" t="str">
        <f aca="false">IF((E205="n"),H205," ")</f>
        <v> </v>
      </c>
      <c r="AE205" s="17" t="str">
        <f aca="false">IF((E205="f"),H205," ")</f>
        <v> </v>
      </c>
      <c r="AF205" s="17" t="str">
        <f aca="false">IF((E205="l"),H205," ")</f>
        <v> </v>
      </c>
      <c r="AG205" s="17" t="str">
        <f aca="false">IF((E205="y"),H205," ")</f>
        <v> </v>
      </c>
      <c r="AH205" s="17" t="str">
        <f aca="false">IF((E205="z"),H205," ")</f>
        <v> </v>
      </c>
      <c r="AI205" s="17" t="str">
        <f aca="false">IF((E205="fa"),H205," ")</f>
        <v> </v>
      </c>
      <c r="AJ205" s="17" t="str">
        <f aca="false">IF((E205="e"),H205," ")</f>
        <v> </v>
      </c>
    </row>
    <row r="206" customFormat="false" ht="12" hidden="false" customHeight="false" outlineLevel="0" collapsed="false">
      <c r="A206" s="28"/>
      <c r="E206" s="2" t="str">
        <f aca="false">IF((F206&lt;&gt;0),"Enter Letter"," ")</f>
        <v> </v>
      </c>
      <c r="F206" s="30"/>
      <c r="G206" s="6" t="str">
        <f aca="false">IF(F206&lt;&gt;0,F206*G$2/(100+G$2)," ")</f>
        <v> </v>
      </c>
      <c r="H206" s="6" t="str">
        <f aca="false">IF((F206&lt;&gt;0),F206-G206," ")</f>
        <v> </v>
      </c>
      <c r="I206" s="5"/>
      <c r="L206" s="7" t="str">
        <f aca="false">IF(F206&lt;&gt;0,F206-K206," ")</f>
        <v> </v>
      </c>
      <c r="M206" s="8" t="str">
        <f aca="false">IF((F206-K206)&lt;&gt;0,M$1-A206," ")</f>
        <v> </v>
      </c>
      <c r="N206" s="5"/>
      <c r="O206" s="17" t="str">
        <f aca="false">IF((E206="s"),H206," ")</f>
        <v> </v>
      </c>
      <c r="P206" s="17" t="str">
        <f aca="false">IF((E206="c"),H206," ")</f>
        <v> </v>
      </c>
      <c r="Q206" s="17" t="str">
        <f aca="false">IF((E206="o"),H206," ")</f>
        <v> </v>
      </c>
      <c r="R206" s="17" t="str">
        <f aca="false">IF((E206="d"),H206," ")</f>
        <v> </v>
      </c>
      <c r="S206" s="17" t="str">
        <f aca="false">IF((E206="w"),H206," ")</f>
        <v> </v>
      </c>
      <c r="T206" s="17" t="str">
        <f aca="false">IF((E206="r"),H206," ")</f>
        <v> </v>
      </c>
      <c r="U206" s="17" t="str">
        <f aca="false">IF((E206="p"),H206," ")</f>
        <v> </v>
      </c>
      <c r="V206" s="17" t="str">
        <f aca="false">IF((E206="t"),H206," ")</f>
        <v> </v>
      </c>
      <c r="W206" s="17" t="str">
        <f aca="false">IF((E206="q"),H206," ")</f>
        <v> </v>
      </c>
      <c r="X206" s="17" t="str">
        <f aca="false">IF((E206="m"),H206," ")</f>
        <v> </v>
      </c>
      <c r="Y206" s="17" t="str">
        <f aca="false">IF((E206="u"),H206," ")</f>
        <v> </v>
      </c>
      <c r="Z206" s="17" t="str">
        <f aca="false">IF((E206="a"),H206," ")</f>
        <v> </v>
      </c>
      <c r="AA206" s="17" t="str">
        <f aca="false">IF((E206="g"),H206," ")</f>
        <v> </v>
      </c>
      <c r="AB206" s="17" t="str">
        <f aca="false">IF((E206="h"),H206," ")</f>
        <v> </v>
      </c>
      <c r="AC206" s="30" t="str">
        <f aca="false">IF((E206="v"),H206," ")</f>
        <v> </v>
      </c>
      <c r="AD206" s="30" t="str">
        <f aca="false">IF((E206="n"),H206," ")</f>
        <v> </v>
      </c>
      <c r="AE206" s="17" t="str">
        <f aca="false">IF((E206="f"),H206," ")</f>
        <v> </v>
      </c>
      <c r="AF206" s="17" t="str">
        <f aca="false">IF((E206="l"),H206," ")</f>
        <v> </v>
      </c>
      <c r="AG206" s="17" t="str">
        <f aca="false">IF((E206="y"),H206," ")</f>
        <v> </v>
      </c>
      <c r="AH206" s="17" t="str">
        <f aca="false">IF((E206="z"),H206," ")</f>
        <v> </v>
      </c>
      <c r="AI206" s="17" t="str">
        <f aca="false">IF((E206="fa"),H206," ")</f>
        <v> </v>
      </c>
      <c r="AJ206" s="17" t="str">
        <f aca="false">IF((E206="e"),H206," ")</f>
        <v> </v>
      </c>
    </row>
    <row r="207" customFormat="false" ht="12" hidden="false" customHeight="false" outlineLevel="0" collapsed="false">
      <c r="A207" s="28"/>
      <c r="E207" s="2" t="str">
        <f aca="false">IF((F207&lt;&gt;0),"Enter Letter"," ")</f>
        <v> </v>
      </c>
      <c r="F207" s="30"/>
      <c r="G207" s="6" t="str">
        <f aca="false">IF(F207&lt;&gt;0,F207*G$2/(100+G$2)," ")</f>
        <v> </v>
      </c>
      <c r="H207" s="6" t="str">
        <f aca="false">IF((F207&lt;&gt;0),F207-G207," ")</f>
        <v> </v>
      </c>
      <c r="I207" s="5"/>
      <c r="L207" s="7" t="str">
        <f aca="false">IF(F207&lt;&gt;0,F207-K207," ")</f>
        <v> </v>
      </c>
      <c r="M207" s="8" t="str">
        <f aca="false">IF((F207-K207)&lt;&gt;0,M$1-A207," ")</f>
        <v> </v>
      </c>
      <c r="N207" s="5"/>
      <c r="O207" s="17" t="str">
        <f aca="false">IF((E207="s"),H207," ")</f>
        <v> </v>
      </c>
      <c r="P207" s="17" t="str">
        <f aca="false">IF((E207="c"),H207," ")</f>
        <v> </v>
      </c>
      <c r="Q207" s="17" t="str">
        <f aca="false">IF((E207="o"),H207," ")</f>
        <v> </v>
      </c>
      <c r="R207" s="17" t="str">
        <f aca="false">IF((E207="d"),H207," ")</f>
        <v> </v>
      </c>
      <c r="S207" s="17" t="str">
        <f aca="false">IF((E207="w"),H207," ")</f>
        <v> </v>
      </c>
      <c r="T207" s="17" t="str">
        <f aca="false">IF((E207="r"),H207," ")</f>
        <v> </v>
      </c>
      <c r="U207" s="17" t="str">
        <f aca="false">IF((E207="p"),H207," ")</f>
        <v> </v>
      </c>
      <c r="V207" s="17" t="str">
        <f aca="false">IF((E207="t"),H207," ")</f>
        <v> </v>
      </c>
      <c r="W207" s="17" t="str">
        <f aca="false">IF((E207="q"),H207," ")</f>
        <v> </v>
      </c>
      <c r="X207" s="17" t="str">
        <f aca="false">IF((E207="m"),H207," ")</f>
        <v> </v>
      </c>
      <c r="Y207" s="17" t="str">
        <f aca="false">IF((E207="u"),H207," ")</f>
        <v> </v>
      </c>
      <c r="Z207" s="17" t="str">
        <f aca="false">IF((E207="a"),H207," ")</f>
        <v> </v>
      </c>
      <c r="AA207" s="17" t="str">
        <f aca="false">IF((E207="g"),H207," ")</f>
        <v> </v>
      </c>
      <c r="AB207" s="17" t="str">
        <f aca="false">IF((E207="h"),H207," ")</f>
        <v> </v>
      </c>
      <c r="AC207" s="30" t="str">
        <f aca="false">IF((E207="v"),H207," ")</f>
        <v> </v>
      </c>
      <c r="AD207" s="30" t="str">
        <f aca="false">IF((E207="n"),H207," ")</f>
        <v> </v>
      </c>
      <c r="AE207" s="17" t="str">
        <f aca="false">IF((E207="f"),H207," ")</f>
        <v> </v>
      </c>
      <c r="AF207" s="17" t="str">
        <f aca="false">IF((E207="l"),H207," ")</f>
        <v> </v>
      </c>
      <c r="AG207" s="17" t="str">
        <f aca="false">IF((E207="y"),H207," ")</f>
        <v> </v>
      </c>
      <c r="AH207" s="17" t="str">
        <f aca="false">IF((E207="z"),H207," ")</f>
        <v> </v>
      </c>
      <c r="AI207" s="17" t="str">
        <f aca="false">IF((E207="fa"),H207," ")</f>
        <v> </v>
      </c>
      <c r="AJ207" s="17" t="str">
        <f aca="false">IF((E207="e"),H207," ")</f>
        <v> </v>
      </c>
    </row>
    <row r="208" customFormat="false" ht="12" hidden="false" customHeight="false" outlineLevel="0" collapsed="false">
      <c r="A208" s="28"/>
      <c r="E208" s="2" t="str">
        <f aca="false">IF((F208&lt;&gt;0),"Enter Letter"," ")</f>
        <v> </v>
      </c>
      <c r="F208" s="30"/>
      <c r="G208" s="6" t="str">
        <f aca="false">IF(F208&lt;&gt;0,F208*G$2/(100+G$2)," ")</f>
        <v> </v>
      </c>
      <c r="H208" s="6" t="str">
        <f aca="false">IF((F208&lt;&gt;0),F208-G208," ")</f>
        <v> </v>
      </c>
      <c r="I208" s="5"/>
      <c r="L208" s="7" t="str">
        <f aca="false">IF(F208&lt;&gt;0,F208-K208," ")</f>
        <v> </v>
      </c>
      <c r="M208" s="8" t="str">
        <f aca="false">IF((F208-K208)&lt;&gt;0,M$1-A208," ")</f>
        <v> </v>
      </c>
      <c r="N208" s="5"/>
      <c r="O208" s="17" t="str">
        <f aca="false">IF((E208="s"),H208," ")</f>
        <v> </v>
      </c>
      <c r="P208" s="17" t="str">
        <f aca="false">IF((E208="c"),H208," ")</f>
        <v> </v>
      </c>
      <c r="Q208" s="17" t="str">
        <f aca="false">IF((E208="o"),H208," ")</f>
        <v> </v>
      </c>
      <c r="R208" s="17" t="str">
        <f aca="false">IF((E208="d"),H208," ")</f>
        <v> </v>
      </c>
      <c r="S208" s="17" t="str">
        <f aca="false">IF((E208="w"),H208," ")</f>
        <v> </v>
      </c>
      <c r="T208" s="17" t="str">
        <f aca="false">IF((E208="r"),H208," ")</f>
        <v> </v>
      </c>
      <c r="U208" s="17" t="str">
        <f aca="false">IF((E208="p"),H208," ")</f>
        <v> </v>
      </c>
      <c r="V208" s="17" t="str">
        <f aca="false">IF((E208="t"),H208," ")</f>
        <v> </v>
      </c>
      <c r="W208" s="17" t="str">
        <f aca="false">IF((E208="q"),H208," ")</f>
        <v> </v>
      </c>
      <c r="X208" s="17" t="str">
        <f aca="false">IF((E208="m"),H208," ")</f>
        <v> </v>
      </c>
      <c r="Y208" s="17" t="str">
        <f aca="false">IF((E208="u"),H208," ")</f>
        <v> </v>
      </c>
      <c r="Z208" s="17" t="str">
        <f aca="false">IF((E208="a"),H208," ")</f>
        <v> </v>
      </c>
      <c r="AA208" s="17" t="str">
        <f aca="false">IF((E208="g"),H208," ")</f>
        <v> </v>
      </c>
      <c r="AB208" s="17" t="str">
        <f aca="false">IF((E208="h"),H208," ")</f>
        <v> </v>
      </c>
      <c r="AC208" s="30" t="str">
        <f aca="false">IF((E208="v"),H208," ")</f>
        <v> </v>
      </c>
      <c r="AD208" s="30" t="str">
        <f aca="false">IF((E208="n"),H208," ")</f>
        <v> </v>
      </c>
      <c r="AE208" s="17" t="str">
        <f aca="false">IF((E208="f"),H208," ")</f>
        <v> </v>
      </c>
      <c r="AF208" s="17" t="str">
        <f aca="false">IF((E208="l"),H208," ")</f>
        <v> </v>
      </c>
      <c r="AG208" s="17" t="str">
        <f aca="false">IF((E208="y"),H208," ")</f>
        <v> </v>
      </c>
      <c r="AH208" s="17" t="str">
        <f aca="false">IF((E208="z"),H208," ")</f>
        <v> </v>
      </c>
      <c r="AI208" s="17" t="str">
        <f aca="false">IF((E208="fa"),H208," ")</f>
        <v> </v>
      </c>
      <c r="AJ208" s="17" t="str">
        <f aca="false">IF((E208="e"),H208," ")</f>
        <v> </v>
      </c>
    </row>
    <row r="209" customFormat="false" ht="12" hidden="false" customHeight="false" outlineLevel="0" collapsed="false">
      <c r="A209" s="28"/>
      <c r="E209" s="2" t="str">
        <f aca="false">IF((F209&lt;&gt;0),"Enter Letter"," ")</f>
        <v> </v>
      </c>
      <c r="F209" s="30"/>
      <c r="G209" s="6" t="str">
        <f aca="false">IF(F209&lt;&gt;0,F209*G$2/(100+G$2)," ")</f>
        <v> </v>
      </c>
      <c r="H209" s="6" t="str">
        <f aca="false">IF((F209&lt;&gt;0),F209-G209," ")</f>
        <v> </v>
      </c>
      <c r="I209" s="5"/>
      <c r="L209" s="7" t="str">
        <f aca="false">IF(F209&lt;&gt;0,F209-K209," ")</f>
        <v> </v>
      </c>
      <c r="M209" s="8" t="str">
        <f aca="false">IF((F209-K209)&lt;&gt;0,M$1-A209," ")</f>
        <v> </v>
      </c>
      <c r="N209" s="5"/>
      <c r="O209" s="17" t="str">
        <f aca="false">IF((E209="s"),H209," ")</f>
        <v> </v>
      </c>
      <c r="P209" s="17" t="str">
        <f aca="false">IF((E209="c"),H209," ")</f>
        <v> </v>
      </c>
      <c r="Q209" s="17" t="str">
        <f aca="false">IF((E209="o"),H209," ")</f>
        <v> </v>
      </c>
      <c r="R209" s="17" t="str">
        <f aca="false">IF((E209="d"),H209," ")</f>
        <v> </v>
      </c>
      <c r="S209" s="17" t="str">
        <f aca="false">IF((E209="w"),H209," ")</f>
        <v> </v>
      </c>
      <c r="T209" s="17" t="str">
        <f aca="false">IF((E209="r"),H209," ")</f>
        <v> </v>
      </c>
      <c r="U209" s="17" t="str">
        <f aca="false">IF((E209="p"),H209," ")</f>
        <v> </v>
      </c>
      <c r="V209" s="17" t="str">
        <f aca="false">IF((E209="t"),H209," ")</f>
        <v> </v>
      </c>
      <c r="W209" s="17" t="str">
        <f aca="false">IF((E209="q"),H209," ")</f>
        <v> </v>
      </c>
      <c r="X209" s="17" t="str">
        <f aca="false">IF((E209="m"),H209," ")</f>
        <v> </v>
      </c>
      <c r="Y209" s="17" t="str">
        <f aca="false">IF((E209="u"),H209," ")</f>
        <v> </v>
      </c>
      <c r="Z209" s="17" t="str">
        <f aca="false">IF((E209="a"),H209," ")</f>
        <v> </v>
      </c>
      <c r="AA209" s="17" t="str">
        <f aca="false">IF((E209="g"),H209," ")</f>
        <v> </v>
      </c>
      <c r="AB209" s="17" t="str">
        <f aca="false">IF((E209="h"),H209," ")</f>
        <v> </v>
      </c>
      <c r="AC209" s="30" t="str">
        <f aca="false">IF((E209="v"),H209," ")</f>
        <v> </v>
      </c>
      <c r="AD209" s="30" t="str">
        <f aca="false">IF((E209="n"),H209," ")</f>
        <v> </v>
      </c>
      <c r="AE209" s="17" t="str">
        <f aca="false">IF((E209="f"),H209," ")</f>
        <v> </v>
      </c>
      <c r="AF209" s="17" t="str">
        <f aca="false">IF((E209="l"),H209," ")</f>
        <v> </v>
      </c>
      <c r="AG209" s="17" t="str">
        <f aca="false">IF((E209="y"),H209," ")</f>
        <v> </v>
      </c>
      <c r="AH209" s="17" t="str">
        <f aca="false">IF((E209="z"),H209," ")</f>
        <v> </v>
      </c>
      <c r="AI209" s="17" t="str">
        <f aca="false">IF((E209="fa"),H209," ")</f>
        <v> </v>
      </c>
      <c r="AJ209" s="17" t="str">
        <f aca="false">IF((E209="e"),H209," ")</f>
        <v> </v>
      </c>
    </row>
    <row r="210" customFormat="false" ht="12" hidden="false" customHeight="false" outlineLevel="0" collapsed="false">
      <c r="A210" s="28"/>
      <c r="E210" s="2" t="str">
        <f aca="false">IF((F210&lt;&gt;0),"Enter Letter"," ")</f>
        <v> </v>
      </c>
      <c r="F210" s="30"/>
      <c r="G210" s="6" t="str">
        <f aca="false">IF(F210&lt;&gt;0,F210*G$2/(100+G$2)," ")</f>
        <v> </v>
      </c>
      <c r="H210" s="6" t="str">
        <f aca="false">IF((F210&lt;&gt;0),F210-G210," ")</f>
        <v> </v>
      </c>
      <c r="I210" s="5"/>
      <c r="L210" s="7" t="str">
        <f aca="false">IF(F210&lt;&gt;0,F210-K210," ")</f>
        <v> </v>
      </c>
      <c r="M210" s="8" t="str">
        <f aca="false">IF((F210-K210)&lt;&gt;0,M$1-A210," ")</f>
        <v> </v>
      </c>
      <c r="N210" s="5"/>
      <c r="O210" s="17" t="str">
        <f aca="false">IF((E210="s"),H210," ")</f>
        <v> </v>
      </c>
      <c r="P210" s="17" t="str">
        <f aca="false">IF((E210="c"),H210," ")</f>
        <v> </v>
      </c>
      <c r="Q210" s="17" t="str">
        <f aca="false">IF((E210="o"),H210," ")</f>
        <v> </v>
      </c>
      <c r="R210" s="17" t="str">
        <f aca="false">IF((E210="d"),H210," ")</f>
        <v> </v>
      </c>
      <c r="S210" s="17" t="str">
        <f aca="false">IF((E210="w"),H210," ")</f>
        <v> </v>
      </c>
      <c r="T210" s="17" t="str">
        <f aca="false">IF((E210="r"),H210," ")</f>
        <v> </v>
      </c>
      <c r="U210" s="17" t="str">
        <f aca="false">IF((E210="p"),H210," ")</f>
        <v> </v>
      </c>
      <c r="V210" s="17" t="str">
        <f aca="false">IF((E210="t"),H210," ")</f>
        <v> </v>
      </c>
      <c r="W210" s="17" t="str">
        <f aca="false">IF((E210="q"),H210," ")</f>
        <v> </v>
      </c>
      <c r="X210" s="17" t="str">
        <f aca="false">IF((E210="m"),H210," ")</f>
        <v> </v>
      </c>
      <c r="Y210" s="17" t="str">
        <f aca="false">IF((E210="u"),H210," ")</f>
        <v> </v>
      </c>
      <c r="Z210" s="17" t="str">
        <f aca="false">IF((E210="a"),H210," ")</f>
        <v> </v>
      </c>
      <c r="AA210" s="17" t="str">
        <f aca="false">IF((E210="g"),H210," ")</f>
        <v> </v>
      </c>
      <c r="AB210" s="17" t="str">
        <f aca="false">IF((E210="h"),H210," ")</f>
        <v> </v>
      </c>
      <c r="AC210" s="30" t="str">
        <f aca="false">IF((E210="v"),H210," ")</f>
        <v> </v>
      </c>
      <c r="AD210" s="30" t="str">
        <f aca="false">IF((E210="n"),H210," ")</f>
        <v> </v>
      </c>
      <c r="AE210" s="17" t="str">
        <f aca="false">IF((E210="f"),H210," ")</f>
        <v> </v>
      </c>
      <c r="AF210" s="17" t="str">
        <f aca="false">IF((E210="l"),H210," ")</f>
        <v> </v>
      </c>
      <c r="AG210" s="17" t="str">
        <f aca="false">IF((E210="y"),H210," ")</f>
        <v> </v>
      </c>
      <c r="AH210" s="17" t="str">
        <f aca="false">IF((E210="z"),H210," ")</f>
        <v> </v>
      </c>
      <c r="AI210" s="17" t="str">
        <f aca="false">IF((E210="fa"),H210," ")</f>
        <v> </v>
      </c>
      <c r="AJ210" s="17" t="str">
        <f aca="false">IF((E210="e"),H210," ")</f>
        <v> </v>
      </c>
    </row>
    <row r="211" customFormat="false" ht="12" hidden="false" customHeight="false" outlineLevel="0" collapsed="false">
      <c r="A211" s="28"/>
      <c r="E211" s="2" t="str">
        <f aca="false">IF((F211&lt;&gt;0),"Enter Letter"," ")</f>
        <v> </v>
      </c>
      <c r="F211" s="30"/>
      <c r="G211" s="6" t="str">
        <f aca="false">IF(F211&lt;&gt;0,F211*G$2/(100+G$2)," ")</f>
        <v> </v>
      </c>
      <c r="H211" s="6" t="str">
        <f aca="false">IF((F211&lt;&gt;0),F211-G211," ")</f>
        <v> </v>
      </c>
      <c r="I211" s="5"/>
      <c r="L211" s="7" t="str">
        <f aca="false">IF(F211&lt;&gt;0,F211-K211," ")</f>
        <v> </v>
      </c>
      <c r="M211" s="8" t="str">
        <f aca="false">IF((F211-K211)&lt;&gt;0,M$1-A211," ")</f>
        <v> </v>
      </c>
      <c r="N211" s="5"/>
      <c r="O211" s="17" t="str">
        <f aca="false">IF((E211="s"),H211," ")</f>
        <v> </v>
      </c>
      <c r="P211" s="17" t="str">
        <f aca="false">IF((E211="c"),H211," ")</f>
        <v> </v>
      </c>
      <c r="Q211" s="17" t="str">
        <f aca="false">IF((E211="o"),H211," ")</f>
        <v> </v>
      </c>
      <c r="R211" s="17" t="str">
        <f aca="false">IF((E211="d"),H211," ")</f>
        <v> </v>
      </c>
      <c r="S211" s="17" t="str">
        <f aca="false">IF((E211="w"),H211," ")</f>
        <v> </v>
      </c>
      <c r="T211" s="17" t="str">
        <f aca="false">IF((E211="r"),H211," ")</f>
        <v> </v>
      </c>
      <c r="U211" s="17" t="str">
        <f aca="false">IF((E211="p"),H211," ")</f>
        <v> </v>
      </c>
      <c r="V211" s="17" t="str">
        <f aca="false">IF((E211="t"),H211," ")</f>
        <v> </v>
      </c>
      <c r="W211" s="17" t="str">
        <f aca="false">IF((E211="q"),H211," ")</f>
        <v> </v>
      </c>
      <c r="X211" s="17" t="str">
        <f aca="false">IF((E211="m"),H211," ")</f>
        <v> </v>
      </c>
      <c r="Y211" s="17" t="str">
        <f aca="false">IF((E211="u"),H211," ")</f>
        <v> </v>
      </c>
      <c r="Z211" s="17" t="str">
        <f aca="false">IF((E211="a"),H211," ")</f>
        <v> </v>
      </c>
      <c r="AA211" s="17" t="str">
        <f aca="false">IF((E211="g"),H211," ")</f>
        <v> </v>
      </c>
      <c r="AB211" s="17" t="str">
        <f aca="false">IF((E211="h"),H211," ")</f>
        <v> </v>
      </c>
      <c r="AC211" s="30" t="str">
        <f aca="false">IF((E211="v"),H211," ")</f>
        <v> </v>
      </c>
      <c r="AD211" s="30" t="str">
        <f aca="false">IF((E211="n"),H211," ")</f>
        <v> </v>
      </c>
      <c r="AE211" s="17" t="str">
        <f aca="false">IF((E211="f"),H211," ")</f>
        <v> </v>
      </c>
      <c r="AF211" s="17" t="str">
        <f aca="false">IF((E211="l"),H211," ")</f>
        <v> </v>
      </c>
      <c r="AG211" s="17" t="str">
        <f aca="false">IF((E211="y"),H211," ")</f>
        <v> </v>
      </c>
      <c r="AH211" s="17" t="str">
        <f aca="false">IF((E211="z"),H211," ")</f>
        <v> </v>
      </c>
      <c r="AI211" s="17" t="str">
        <f aca="false">IF((E211="fa"),H211," ")</f>
        <v> </v>
      </c>
      <c r="AJ211" s="17" t="str">
        <f aca="false">IF((E211="e"),H211," ")</f>
        <v> </v>
      </c>
    </row>
    <row r="212" customFormat="false" ht="12" hidden="false" customHeight="false" outlineLevel="0" collapsed="false">
      <c r="A212" s="28"/>
      <c r="E212" s="2" t="str">
        <f aca="false">IF((F212&lt;&gt;0),"Enter Letter"," ")</f>
        <v> </v>
      </c>
      <c r="F212" s="30"/>
      <c r="G212" s="6" t="str">
        <f aca="false">IF(F212&lt;&gt;0,F212*G$2/(100+G$2)," ")</f>
        <v> </v>
      </c>
      <c r="H212" s="6" t="str">
        <f aca="false">IF((F212&lt;&gt;0),F212-G212," ")</f>
        <v> </v>
      </c>
      <c r="I212" s="5"/>
      <c r="L212" s="7" t="str">
        <f aca="false">IF(F212&lt;&gt;0,F212-K212," ")</f>
        <v> </v>
      </c>
      <c r="M212" s="8" t="str">
        <f aca="false">IF((F212-K212)&lt;&gt;0,M$1-A212," ")</f>
        <v> </v>
      </c>
      <c r="N212" s="5"/>
      <c r="O212" s="17" t="str">
        <f aca="false">IF((E212="s"),H212," ")</f>
        <v> </v>
      </c>
      <c r="P212" s="17" t="str">
        <f aca="false">IF((E212="c"),H212," ")</f>
        <v> </v>
      </c>
      <c r="Q212" s="17" t="str">
        <f aca="false">IF((E212="o"),H212," ")</f>
        <v> </v>
      </c>
      <c r="R212" s="17" t="str">
        <f aca="false">IF((E212="d"),H212," ")</f>
        <v> </v>
      </c>
      <c r="S212" s="17" t="str">
        <f aca="false">IF((E212="w"),H212," ")</f>
        <v> </v>
      </c>
      <c r="T212" s="17" t="str">
        <f aca="false">IF((E212="r"),H212," ")</f>
        <v> </v>
      </c>
      <c r="U212" s="17" t="str">
        <f aca="false">IF((E212="p"),H212," ")</f>
        <v> </v>
      </c>
      <c r="V212" s="17" t="str">
        <f aca="false">IF((E212="t"),H212," ")</f>
        <v> </v>
      </c>
      <c r="W212" s="17" t="str">
        <f aca="false">IF((E212="q"),H212," ")</f>
        <v> </v>
      </c>
      <c r="X212" s="17" t="str">
        <f aca="false">IF((E212="m"),H212," ")</f>
        <v> </v>
      </c>
      <c r="Y212" s="17" t="str">
        <f aca="false">IF((E212="u"),H212," ")</f>
        <v> </v>
      </c>
      <c r="Z212" s="17" t="str">
        <f aca="false">IF((E212="a"),H212," ")</f>
        <v> </v>
      </c>
      <c r="AA212" s="17" t="str">
        <f aca="false">IF((E212="g"),H212," ")</f>
        <v> </v>
      </c>
      <c r="AB212" s="17" t="str">
        <f aca="false">IF((E212="h"),H212," ")</f>
        <v> </v>
      </c>
      <c r="AC212" s="30" t="str">
        <f aca="false">IF((E212="v"),H212," ")</f>
        <v> </v>
      </c>
      <c r="AD212" s="30" t="str">
        <f aca="false">IF((E212="n"),H212," ")</f>
        <v> </v>
      </c>
      <c r="AE212" s="17" t="str">
        <f aca="false">IF((E212="f"),H212," ")</f>
        <v> </v>
      </c>
      <c r="AF212" s="17" t="str">
        <f aca="false">IF((E212="l"),H212," ")</f>
        <v> </v>
      </c>
      <c r="AG212" s="17" t="str">
        <f aca="false">IF((E212="y"),H212," ")</f>
        <v> </v>
      </c>
      <c r="AH212" s="17" t="str">
        <f aca="false">IF((E212="z"),H212," ")</f>
        <v> </v>
      </c>
      <c r="AI212" s="17" t="str">
        <f aca="false">IF((E212="fa"),H212," ")</f>
        <v> </v>
      </c>
      <c r="AJ212" s="17" t="str">
        <f aca="false">IF((E212="e"),H212," ")</f>
        <v> </v>
      </c>
    </row>
    <row r="213" customFormat="false" ht="12" hidden="false" customHeight="false" outlineLevel="0" collapsed="false">
      <c r="A213" s="28"/>
      <c r="E213" s="2" t="str">
        <f aca="false">IF((F213&lt;&gt;0),"Enter Letter"," ")</f>
        <v> </v>
      </c>
      <c r="F213" s="30"/>
      <c r="G213" s="6" t="str">
        <f aca="false">IF(F213&lt;&gt;0,F213*G$2/(100+G$2)," ")</f>
        <v> </v>
      </c>
      <c r="H213" s="6" t="str">
        <f aca="false">IF((F213&lt;&gt;0),F213-G213," ")</f>
        <v> </v>
      </c>
      <c r="I213" s="5"/>
      <c r="L213" s="7" t="str">
        <f aca="false">IF(F213&lt;&gt;0,F213-K213," ")</f>
        <v> </v>
      </c>
      <c r="M213" s="8" t="str">
        <f aca="false">IF((F213-K213)&lt;&gt;0,M$1-A213," ")</f>
        <v> </v>
      </c>
      <c r="N213" s="5"/>
      <c r="O213" s="17" t="str">
        <f aca="false">IF((E213="s"),H213," ")</f>
        <v> </v>
      </c>
      <c r="P213" s="17" t="str">
        <f aca="false">IF((E213="c"),H213," ")</f>
        <v> </v>
      </c>
      <c r="Q213" s="17" t="str">
        <f aca="false">IF((E213="o"),H213," ")</f>
        <v> </v>
      </c>
      <c r="R213" s="17" t="str">
        <f aca="false">IF((E213="d"),H213," ")</f>
        <v> </v>
      </c>
      <c r="S213" s="17" t="str">
        <f aca="false">IF((E213="w"),H213," ")</f>
        <v> </v>
      </c>
      <c r="T213" s="17" t="str">
        <f aca="false">IF((E213="r"),H213," ")</f>
        <v> </v>
      </c>
      <c r="U213" s="17" t="str">
        <f aca="false">IF((E213="p"),H213," ")</f>
        <v> </v>
      </c>
      <c r="V213" s="17" t="str">
        <f aca="false">IF((E213="t"),H213," ")</f>
        <v> </v>
      </c>
      <c r="W213" s="17" t="str">
        <f aca="false">IF((E213="q"),H213," ")</f>
        <v> </v>
      </c>
      <c r="X213" s="17" t="str">
        <f aca="false">IF((E213="m"),H213," ")</f>
        <v> </v>
      </c>
      <c r="Y213" s="17" t="str">
        <f aca="false">IF((E213="u"),H213," ")</f>
        <v> </v>
      </c>
      <c r="Z213" s="17" t="str">
        <f aca="false">IF((E213="a"),H213," ")</f>
        <v> </v>
      </c>
      <c r="AA213" s="17" t="str">
        <f aca="false">IF((E213="g"),H213," ")</f>
        <v> </v>
      </c>
      <c r="AB213" s="17" t="str">
        <f aca="false">IF((E213="h"),H213," ")</f>
        <v> </v>
      </c>
      <c r="AC213" s="30" t="str">
        <f aca="false">IF((E213="v"),H213," ")</f>
        <v> </v>
      </c>
      <c r="AD213" s="30" t="str">
        <f aca="false">IF((E213="n"),H213," ")</f>
        <v> </v>
      </c>
      <c r="AE213" s="17" t="str">
        <f aca="false">IF((E213="f"),H213," ")</f>
        <v> </v>
      </c>
      <c r="AF213" s="17" t="str">
        <f aca="false">IF((E213="l"),H213," ")</f>
        <v> </v>
      </c>
      <c r="AG213" s="17" t="str">
        <f aca="false">IF((E213="y"),H213," ")</f>
        <v> </v>
      </c>
      <c r="AH213" s="17" t="str">
        <f aca="false">IF((E213="z"),H213," ")</f>
        <v> </v>
      </c>
      <c r="AI213" s="17" t="str">
        <f aca="false">IF((E213="fa"),H213," ")</f>
        <v> </v>
      </c>
      <c r="AJ213" s="17" t="str">
        <f aca="false">IF((E213="e"),H213," ")</f>
        <v> </v>
      </c>
    </row>
    <row r="214" customFormat="false" ht="12" hidden="false" customHeight="false" outlineLevel="0" collapsed="false">
      <c r="A214" s="28"/>
      <c r="E214" s="2" t="str">
        <f aca="false">IF((F214&lt;&gt;0),"Enter Letter"," ")</f>
        <v> </v>
      </c>
      <c r="F214" s="30"/>
      <c r="G214" s="6" t="str">
        <f aca="false">IF(F214&lt;&gt;0,F214*G$2/(100+G$2)," ")</f>
        <v> </v>
      </c>
      <c r="H214" s="6" t="str">
        <f aca="false">IF((F214&lt;&gt;0),F214-G214," ")</f>
        <v> </v>
      </c>
      <c r="I214" s="5"/>
      <c r="L214" s="7" t="str">
        <f aca="false">IF(F214&lt;&gt;0,F214-K214," ")</f>
        <v> </v>
      </c>
      <c r="M214" s="8" t="str">
        <f aca="false">IF((F214-K214)&lt;&gt;0,M$1-A214," ")</f>
        <v> </v>
      </c>
      <c r="N214" s="5"/>
      <c r="O214" s="17" t="str">
        <f aca="false">IF((E214="s"),H214," ")</f>
        <v> </v>
      </c>
      <c r="P214" s="17" t="str">
        <f aca="false">IF((E214="c"),H214," ")</f>
        <v> </v>
      </c>
      <c r="Q214" s="17" t="str">
        <f aca="false">IF((E214="o"),H214," ")</f>
        <v> </v>
      </c>
      <c r="R214" s="17" t="str">
        <f aca="false">IF((E214="d"),H214," ")</f>
        <v> </v>
      </c>
      <c r="S214" s="17" t="str">
        <f aca="false">IF((E214="w"),H214," ")</f>
        <v> </v>
      </c>
      <c r="T214" s="17" t="str">
        <f aca="false">IF((E214="r"),H214," ")</f>
        <v> </v>
      </c>
      <c r="U214" s="17" t="str">
        <f aca="false">IF((E214="p"),H214," ")</f>
        <v> </v>
      </c>
      <c r="V214" s="17" t="str">
        <f aca="false">IF((E214="t"),H214," ")</f>
        <v> </v>
      </c>
      <c r="W214" s="17" t="str">
        <f aca="false">IF((E214="q"),H214," ")</f>
        <v> </v>
      </c>
      <c r="X214" s="17" t="str">
        <f aca="false">IF((E214="m"),H214," ")</f>
        <v> </v>
      </c>
      <c r="Y214" s="17" t="str">
        <f aca="false">IF((E214="u"),H214," ")</f>
        <v> </v>
      </c>
      <c r="Z214" s="17" t="str">
        <f aca="false">IF((E214="a"),H214," ")</f>
        <v> </v>
      </c>
      <c r="AA214" s="17" t="str">
        <f aca="false">IF((E214="g"),H214," ")</f>
        <v> </v>
      </c>
      <c r="AB214" s="17" t="str">
        <f aca="false">IF((E214="h"),H214," ")</f>
        <v> </v>
      </c>
      <c r="AC214" s="30" t="str">
        <f aca="false">IF((E214="v"),H214," ")</f>
        <v> </v>
      </c>
      <c r="AD214" s="30" t="str">
        <f aca="false">IF((E214="n"),H214," ")</f>
        <v> </v>
      </c>
      <c r="AE214" s="17" t="str">
        <f aca="false">IF((E214="f"),H214," ")</f>
        <v> </v>
      </c>
      <c r="AF214" s="17" t="str">
        <f aca="false">IF((E214="l"),H214," ")</f>
        <v> </v>
      </c>
      <c r="AG214" s="17" t="str">
        <f aca="false">IF((E214="y"),H214," ")</f>
        <v> </v>
      </c>
      <c r="AH214" s="17" t="str">
        <f aca="false">IF((E214="z"),H214," ")</f>
        <v> </v>
      </c>
      <c r="AI214" s="17" t="str">
        <f aca="false">IF((E214="fa"),H214," ")</f>
        <v> </v>
      </c>
      <c r="AJ214" s="17" t="str">
        <f aca="false">IF((E214="e"),H214," ")</f>
        <v> </v>
      </c>
    </row>
    <row r="215" customFormat="false" ht="12" hidden="false" customHeight="false" outlineLevel="0" collapsed="false">
      <c r="A215" s="28"/>
      <c r="E215" s="2" t="str">
        <f aca="false">IF((F215&lt;&gt;0),"Enter Letter"," ")</f>
        <v> </v>
      </c>
      <c r="F215" s="30"/>
      <c r="G215" s="6" t="str">
        <f aca="false">IF(F215&lt;&gt;0,F215*G$2/(100+G$2)," ")</f>
        <v> </v>
      </c>
      <c r="H215" s="6" t="str">
        <f aca="false">IF((F215&lt;&gt;0),F215-G215," ")</f>
        <v> </v>
      </c>
      <c r="I215" s="5"/>
      <c r="L215" s="7" t="str">
        <f aca="false">IF(F215&lt;&gt;0,F215-K215," ")</f>
        <v> </v>
      </c>
      <c r="M215" s="8" t="str">
        <f aca="false">IF((F215-K215)&lt;&gt;0,M$1-A215," ")</f>
        <v> </v>
      </c>
      <c r="N215" s="5"/>
      <c r="O215" s="17" t="str">
        <f aca="false">IF((E215="s"),H215," ")</f>
        <v> </v>
      </c>
      <c r="P215" s="17" t="str">
        <f aca="false">IF((E215="c"),H215," ")</f>
        <v> </v>
      </c>
      <c r="Q215" s="17" t="str">
        <f aca="false">IF((E215="o"),H215," ")</f>
        <v> </v>
      </c>
      <c r="R215" s="17" t="str">
        <f aca="false">IF((E215="d"),H215," ")</f>
        <v> </v>
      </c>
      <c r="S215" s="17" t="str">
        <f aca="false">IF((E215="w"),H215," ")</f>
        <v> </v>
      </c>
      <c r="T215" s="17" t="str">
        <f aca="false">IF((E215="r"),H215," ")</f>
        <v> </v>
      </c>
      <c r="U215" s="17" t="str">
        <f aca="false">IF((E215="p"),H215," ")</f>
        <v> </v>
      </c>
      <c r="V215" s="17" t="str">
        <f aca="false">IF((E215="t"),H215," ")</f>
        <v> </v>
      </c>
      <c r="W215" s="17" t="str">
        <f aca="false">IF((E215="q"),H215," ")</f>
        <v> </v>
      </c>
      <c r="X215" s="17" t="str">
        <f aca="false">IF((E215="m"),H215," ")</f>
        <v> </v>
      </c>
      <c r="Y215" s="17" t="str">
        <f aca="false">IF((E215="u"),H215," ")</f>
        <v> </v>
      </c>
      <c r="Z215" s="17" t="str">
        <f aca="false">IF((E215="a"),H215," ")</f>
        <v> </v>
      </c>
      <c r="AA215" s="17" t="str">
        <f aca="false">IF((E215="g"),H215," ")</f>
        <v> </v>
      </c>
      <c r="AB215" s="17" t="str">
        <f aca="false">IF((E215="h"),H215," ")</f>
        <v> </v>
      </c>
      <c r="AC215" s="30" t="str">
        <f aca="false">IF((E215="v"),H215," ")</f>
        <v> </v>
      </c>
      <c r="AD215" s="30" t="str">
        <f aca="false">IF((E215="n"),H215," ")</f>
        <v> </v>
      </c>
      <c r="AE215" s="17" t="str">
        <f aca="false">IF((E215="f"),H215," ")</f>
        <v> </v>
      </c>
      <c r="AF215" s="17" t="str">
        <f aca="false">IF((E215="l"),H215," ")</f>
        <v> </v>
      </c>
      <c r="AG215" s="17" t="str">
        <f aca="false">IF((E215="y"),H215," ")</f>
        <v> </v>
      </c>
      <c r="AH215" s="17" t="str">
        <f aca="false">IF((E215="z"),H215," ")</f>
        <v> </v>
      </c>
      <c r="AI215" s="17" t="str">
        <f aca="false">IF((E215="fa"),H215," ")</f>
        <v> </v>
      </c>
      <c r="AJ215" s="17" t="str">
        <f aca="false">IF((E215="e"),H215," ")</f>
        <v> </v>
      </c>
    </row>
    <row r="216" customFormat="false" ht="12" hidden="false" customHeight="false" outlineLevel="0" collapsed="false">
      <c r="A216" s="28"/>
      <c r="E216" s="2" t="str">
        <f aca="false">IF((F216&lt;&gt;0),"Enter Letter"," ")</f>
        <v> </v>
      </c>
      <c r="F216" s="30"/>
      <c r="G216" s="6" t="str">
        <f aca="false">IF(F216&lt;&gt;0,F216*G$2/(100+G$2)," ")</f>
        <v> </v>
      </c>
      <c r="H216" s="6" t="str">
        <f aca="false">IF((F216&lt;&gt;0),F216-G216," ")</f>
        <v> </v>
      </c>
      <c r="I216" s="5"/>
      <c r="L216" s="7" t="str">
        <f aca="false">IF(F216&lt;&gt;0,F216-K216," ")</f>
        <v> </v>
      </c>
      <c r="M216" s="8" t="str">
        <f aca="false">IF((F216-K216)&lt;&gt;0,M$1-A216," ")</f>
        <v> </v>
      </c>
      <c r="N216" s="5"/>
      <c r="O216" s="17" t="str">
        <f aca="false">IF((E216="s"),H216," ")</f>
        <v> </v>
      </c>
      <c r="P216" s="17" t="str">
        <f aca="false">IF((E216="c"),H216," ")</f>
        <v> </v>
      </c>
      <c r="Q216" s="17" t="str">
        <f aca="false">IF((E216="o"),H216," ")</f>
        <v> </v>
      </c>
      <c r="R216" s="17" t="str">
        <f aca="false">IF((E216="d"),H216," ")</f>
        <v> </v>
      </c>
      <c r="S216" s="17" t="str">
        <f aca="false">IF((E216="w"),H216," ")</f>
        <v> </v>
      </c>
      <c r="T216" s="17" t="str">
        <f aca="false">IF((E216="r"),H216," ")</f>
        <v> </v>
      </c>
      <c r="U216" s="17" t="str">
        <f aca="false">IF((E216="p"),H216," ")</f>
        <v> </v>
      </c>
      <c r="V216" s="17" t="str">
        <f aca="false">IF((E216="t"),H216," ")</f>
        <v> </v>
      </c>
      <c r="W216" s="17" t="str">
        <f aca="false">IF((E216="q"),H216," ")</f>
        <v> </v>
      </c>
      <c r="X216" s="17" t="str">
        <f aca="false">IF((E216="m"),H216," ")</f>
        <v> </v>
      </c>
      <c r="Y216" s="17" t="str">
        <f aca="false">IF((E216="u"),H216," ")</f>
        <v> </v>
      </c>
      <c r="Z216" s="17" t="str">
        <f aca="false">IF((E216="a"),H216," ")</f>
        <v> </v>
      </c>
      <c r="AA216" s="17" t="str">
        <f aca="false">IF((E216="g"),H216," ")</f>
        <v> </v>
      </c>
      <c r="AB216" s="17" t="str">
        <f aca="false">IF((E216="h"),H216," ")</f>
        <v> </v>
      </c>
      <c r="AC216" s="30" t="str">
        <f aca="false">IF((E216="v"),H216," ")</f>
        <v> </v>
      </c>
      <c r="AD216" s="30" t="str">
        <f aca="false">IF((E216="n"),H216," ")</f>
        <v> </v>
      </c>
      <c r="AE216" s="17" t="str">
        <f aca="false">IF((E216="f"),H216," ")</f>
        <v> </v>
      </c>
      <c r="AF216" s="17" t="str">
        <f aca="false">IF((E216="l"),H216," ")</f>
        <v> </v>
      </c>
      <c r="AG216" s="17" t="str">
        <f aca="false">IF((E216="y"),H216," ")</f>
        <v> </v>
      </c>
      <c r="AH216" s="17" t="str">
        <f aca="false">IF((E216="z"),H216," ")</f>
        <v> </v>
      </c>
      <c r="AI216" s="17" t="str">
        <f aca="false">IF((E216="fa"),H216," ")</f>
        <v> </v>
      </c>
      <c r="AJ216" s="17" t="str">
        <f aca="false">IF((E216="e"),H216," ")</f>
        <v> </v>
      </c>
    </row>
    <row r="217" customFormat="false" ht="12" hidden="false" customHeight="false" outlineLevel="0" collapsed="false">
      <c r="A217" s="28"/>
      <c r="E217" s="2" t="str">
        <f aca="false">IF((F217&lt;&gt;0),"Enter Letter"," ")</f>
        <v> </v>
      </c>
      <c r="F217" s="30"/>
      <c r="G217" s="6" t="str">
        <f aca="false">IF(F217&lt;&gt;0,F217*G$2/(100+G$2)," ")</f>
        <v> </v>
      </c>
      <c r="H217" s="6" t="str">
        <f aca="false">IF((F217&lt;&gt;0),F217-G217," ")</f>
        <v> </v>
      </c>
      <c r="I217" s="5"/>
      <c r="L217" s="7" t="str">
        <f aca="false">IF(F217&lt;&gt;0,F217-K217," ")</f>
        <v> </v>
      </c>
      <c r="M217" s="8" t="str">
        <f aca="false">IF((F217-K217)&lt;&gt;0,M$1-A217," ")</f>
        <v> </v>
      </c>
      <c r="N217" s="5"/>
      <c r="O217" s="17" t="str">
        <f aca="false">IF((E217="s"),H217," ")</f>
        <v> </v>
      </c>
      <c r="P217" s="17" t="str">
        <f aca="false">IF((E217="c"),H217," ")</f>
        <v> </v>
      </c>
      <c r="Q217" s="17" t="str">
        <f aca="false">IF((E217="o"),H217," ")</f>
        <v> </v>
      </c>
      <c r="R217" s="17" t="str">
        <f aca="false">IF((E217="d"),H217," ")</f>
        <v> </v>
      </c>
      <c r="S217" s="17" t="str">
        <f aca="false">IF((E217="w"),H217," ")</f>
        <v> </v>
      </c>
      <c r="T217" s="17" t="str">
        <f aca="false">IF((E217="r"),H217," ")</f>
        <v> </v>
      </c>
      <c r="U217" s="17" t="str">
        <f aca="false">IF((E217="p"),H217," ")</f>
        <v> </v>
      </c>
      <c r="V217" s="17" t="str">
        <f aca="false">IF((E217="t"),H217," ")</f>
        <v> </v>
      </c>
      <c r="W217" s="17" t="str">
        <f aca="false">IF((E217="q"),H217," ")</f>
        <v> </v>
      </c>
      <c r="X217" s="17" t="str">
        <f aca="false">IF((E217="m"),H217," ")</f>
        <v> </v>
      </c>
      <c r="Y217" s="17" t="str">
        <f aca="false">IF((E217="u"),H217," ")</f>
        <v> </v>
      </c>
      <c r="Z217" s="17" t="str">
        <f aca="false">IF((E217="a"),H217," ")</f>
        <v> </v>
      </c>
      <c r="AA217" s="17" t="str">
        <f aca="false">IF((E217="g"),H217," ")</f>
        <v> </v>
      </c>
      <c r="AB217" s="17" t="str">
        <f aca="false">IF((E217="h"),H217," ")</f>
        <v> </v>
      </c>
      <c r="AC217" s="30" t="str">
        <f aca="false">IF((E217="v"),H217," ")</f>
        <v> </v>
      </c>
      <c r="AD217" s="30" t="str">
        <f aca="false">IF((E217="n"),H217," ")</f>
        <v> </v>
      </c>
      <c r="AE217" s="17" t="str">
        <f aca="false">IF((E217="f"),H217," ")</f>
        <v> </v>
      </c>
      <c r="AF217" s="17" t="str">
        <f aca="false">IF((E217="l"),H217," ")</f>
        <v> </v>
      </c>
      <c r="AG217" s="17" t="str">
        <f aca="false">IF((E217="y"),H217," ")</f>
        <v> </v>
      </c>
      <c r="AH217" s="17" t="str">
        <f aca="false">IF((E217="z"),H217," ")</f>
        <v> </v>
      </c>
      <c r="AI217" s="17" t="str">
        <f aca="false">IF((E217="fa"),H217," ")</f>
        <v> </v>
      </c>
      <c r="AJ217" s="17" t="str">
        <f aca="false">IF((E217="e"),H217," ")</f>
        <v> </v>
      </c>
    </row>
    <row r="218" customFormat="false" ht="12" hidden="false" customHeight="false" outlineLevel="0" collapsed="false">
      <c r="A218" s="28"/>
      <c r="E218" s="2" t="str">
        <f aca="false">IF((F218&lt;&gt;0),"Enter Letter"," ")</f>
        <v> </v>
      </c>
      <c r="F218" s="30"/>
      <c r="G218" s="6" t="str">
        <f aca="false">IF(F218&lt;&gt;0,F218*G$2/(100+G$2)," ")</f>
        <v> </v>
      </c>
      <c r="H218" s="6" t="str">
        <f aca="false">IF((F218&lt;&gt;0),F218-G218," ")</f>
        <v> </v>
      </c>
      <c r="I218" s="5"/>
      <c r="L218" s="7" t="str">
        <f aca="false">IF(F218&lt;&gt;0,F218-K218," ")</f>
        <v> </v>
      </c>
      <c r="M218" s="8" t="str">
        <f aca="false">IF((F218-K218)&lt;&gt;0,M$1-A218," ")</f>
        <v> </v>
      </c>
      <c r="N218" s="5"/>
      <c r="O218" s="17" t="str">
        <f aca="false">IF((E218="s"),H218," ")</f>
        <v> </v>
      </c>
      <c r="P218" s="17" t="str">
        <f aca="false">IF((E218="c"),H218," ")</f>
        <v> </v>
      </c>
      <c r="Q218" s="17" t="str">
        <f aca="false">IF((E218="o"),H218," ")</f>
        <v> </v>
      </c>
      <c r="R218" s="17" t="str">
        <f aca="false">IF((E218="d"),H218," ")</f>
        <v> </v>
      </c>
      <c r="S218" s="17" t="str">
        <f aca="false">IF((E218="w"),H218," ")</f>
        <v> </v>
      </c>
      <c r="T218" s="17" t="str">
        <f aca="false">IF((E218="r"),H218," ")</f>
        <v> </v>
      </c>
      <c r="U218" s="17" t="str">
        <f aca="false">IF((E218="p"),H218," ")</f>
        <v> </v>
      </c>
      <c r="V218" s="17" t="str">
        <f aca="false">IF((E218="t"),H218," ")</f>
        <v> </v>
      </c>
      <c r="W218" s="17" t="str">
        <f aca="false">IF((E218="q"),H218," ")</f>
        <v> </v>
      </c>
      <c r="X218" s="17" t="str">
        <f aca="false">IF((E218="m"),H218," ")</f>
        <v> </v>
      </c>
      <c r="Y218" s="17" t="str">
        <f aca="false">IF((E218="u"),H218," ")</f>
        <v> </v>
      </c>
      <c r="Z218" s="17" t="str">
        <f aca="false">IF((E218="a"),H218," ")</f>
        <v> </v>
      </c>
      <c r="AA218" s="17" t="str">
        <f aca="false">IF((E218="g"),H218," ")</f>
        <v> </v>
      </c>
      <c r="AB218" s="17" t="str">
        <f aca="false">IF((E218="h"),H218," ")</f>
        <v> </v>
      </c>
      <c r="AC218" s="30" t="str">
        <f aca="false">IF((E218="v"),H218," ")</f>
        <v> </v>
      </c>
      <c r="AD218" s="30" t="str">
        <f aca="false">IF((E218="n"),H218," ")</f>
        <v> </v>
      </c>
      <c r="AE218" s="17" t="str">
        <f aca="false">IF((E218="f"),H218," ")</f>
        <v> </v>
      </c>
      <c r="AF218" s="17" t="str">
        <f aca="false">IF((E218="l"),H218," ")</f>
        <v> </v>
      </c>
      <c r="AG218" s="17" t="str">
        <f aca="false">IF((E218="y"),H218," ")</f>
        <v> </v>
      </c>
      <c r="AH218" s="17" t="str">
        <f aca="false">IF((E218="z"),H218," ")</f>
        <v> </v>
      </c>
      <c r="AI218" s="17" t="str">
        <f aca="false">IF((E218="fa"),H218," ")</f>
        <v> </v>
      </c>
      <c r="AJ218" s="17" t="str">
        <f aca="false">IF((E218="e"),H218," ")</f>
        <v> </v>
      </c>
    </row>
    <row r="219" customFormat="false" ht="12" hidden="false" customHeight="false" outlineLevel="0" collapsed="false">
      <c r="A219" s="28"/>
      <c r="E219" s="2" t="str">
        <f aca="false">IF((F219&lt;&gt;0),"Enter Letter"," ")</f>
        <v> </v>
      </c>
      <c r="F219" s="30"/>
      <c r="G219" s="6" t="str">
        <f aca="false">IF(F219&lt;&gt;0,F219*G$2/(100+G$2)," ")</f>
        <v> </v>
      </c>
      <c r="H219" s="6" t="str">
        <f aca="false">IF((F219&lt;&gt;0),F219-G219," ")</f>
        <v> </v>
      </c>
      <c r="I219" s="5"/>
      <c r="L219" s="7" t="str">
        <f aca="false">IF(F219&lt;&gt;0,F219-K219," ")</f>
        <v> </v>
      </c>
      <c r="M219" s="8" t="str">
        <f aca="false">IF((F219-K219)&lt;&gt;0,M$1-A219," ")</f>
        <v> </v>
      </c>
      <c r="N219" s="5"/>
      <c r="O219" s="17" t="str">
        <f aca="false">IF((E219="s"),H219," ")</f>
        <v> </v>
      </c>
      <c r="P219" s="17" t="str">
        <f aca="false">IF((E219="c"),H219," ")</f>
        <v> </v>
      </c>
      <c r="Q219" s="17" t="str">
        <f aca="false">IF((E219="o"),H219," ")</f>
        <v> </v>
      </c>
      <c r="R219" s="17" t="str">
        <f aca="false">IF((E219="d"),H219," ")</f>
        <v> </v>
      </c>
      <c r="S219" s="17" t="str">
        <f aca="false">IF((E219="w"),H219," ")</f>
        <v> </v>
      </c>
      <c r="T219" s="17" t="str">
        <f aca="false">IF((E219="r"),H219," ")</f>
        <v> </v>
      </c>
      <c r="U219" s="17" t="str">
        <f aca="false">IF((E219="p"),H219," ")</f>
        <v> </v>
      </c>
      <c r="V219" s="17" t="str">
        <f aca="false">IF((E219="t"),H219," ")</f>
        <v> </v>
      </c>
      <c r="W219" s="17" t="str">
        <f aca="false">IF((E219="q"),H219," ")</f>
        <v> </v>
      </c>
      <c r="X219" s="17" t="str">
        <f aca="false">IF((E219="m"),H219," ")</f>
        <v> </v>
      </c>
      <c r="Y219" s="17" t="str">
        <f aca="false">IF((E219="u"),H219," ")</f>
        <v> </v>
      </c>
      <c r="Z219" s="17" t="str">
        <f aca="false">IF((E219="a"),H219," ")</f>
        <v> </v>
      </c>
      <c r="AA219" s="17" t="str">
        <f aca="false">IF((E219="g"),H219," ")</f>
        <v> </v>
      </c>
      <c r="AB219" s="17" t="str">
        <f aca="false">IF((E219="h"),H219," ")</f>
        <v> </v>
      </c>
      <c r="AC219" s="30" t="str">
        <f aca="false">IF((E219="v"),H219," ")</f>
        <v> </v>
      </c>
      <c r="AD219" s="30" t="str">
        <f aca="false">IF((E219="n"),H219," ")</f>
        <v> </v>
      </c>
      <c r="AE219" s="17" t="str">
        <f aca="false">IF((E219="f"),H219," ")</f>
        <v> </v>
      </c>
      <c r="AF219" s="17" t="str">
        <f aca="false">IF((E219="l"),H219," ")</f>
        <v> </v>
      </c>
      <c r="AG219" s="17" t="str">
        <f aca="false">IF((E219="y"),H219," ")</f>
        <v> </v>
      </c>
      <c r="AH219" s="17" t="str">
        <f aca="false">IF((E219="z"),H219," ")</f>
        <v> </v>
      </c>
      <c r="AI219" s="17" t="str">
        <f aca="false">IF((E219="fa"),H219," ")</f>
        <v> </v>
      </c>
      <c r="AJ219" s="17" t="str">
        <f aca="false">IF((E219="e"),H219," ")</f>
        <v> </v>
      </c>
    </row>
    <row r="220" customFormat="false" ht="12" hidden="false" customHeight="false" outlineLevel="0" collapsed="false">
      <c r="A220" s="28"/>
      <c r="E220" s="2" t="str">
        <f aca="false">IF((F220&lt;&gt;0),"Enter Letter"," ")</f>
        <v> </v>
      </c>
      <c r="F220" s="30"/>
      <c r="G220" s="6" t="str">
        <f aca="false">IF(F220&lt;&gt;0,F220*G$2/(100+G$2)," ")</f>
        <v> </v>
      </c>
      <c r="H220" s="6" t="str">
        <f aca="false">IF((F220&lt;&gt;0),F220-G220," ")</f>
        <v> </v>
      </c>
      <c r="I220" s="5"/>
      <c r="L220" s="7" t="str">
        <f aca="false">IF(F220&lt;&gt;0,F220-K220," ")</f>
        <v> </v>
      </c>
      <c r="M220" s="8" t="str">
        <f aca="false">IF((F220-K220)&lt;&gt;0,M$1-A220," ")</f>
        <v> </v>
      </c>
      <c r="N220" s="5"/>
      <c r="O220" s="17" t="str">
        <f aca="false">IF((E220="s"),H220," ")</f>
        <v> </v>
      </c>
      <c r="P220" s="17" t="str">
        <f aca="false">IF((E220="c"),H220," ")</f>
        <v> </v>
      </c>
      <c r="Q220" s="17" t="str">
        <f aca="false">IF((E220="o"),H220," ")</f>
        <v> </v>
      </c>
      <c r="R220" s="17" t="str">
        <f aca="false">IF((E220="d"),H220," ")</f>
        <v> </v>
      </c>
      <c r="S220" s="17" t="str">
        <f aca="false">IF((E220="w"),H220," ")</f>
        <v> </v>
      </c>
      <c r="T220" s="17" t="str">
        <f aca="false">IF((E220="r"),H220," ")</f>
        <v> </v>
      </c>
      <c r="U220" s="17" t="str">
        <f aca="false">IF((E220="p"),H220," ")</f>
        <v> </v>
      </c>
      <c r="V220" s="17" t="str">
        <f aca="false">IF((E220="t"),H220," ")</f>
        <v> </v>
      </c>
      <c r="W220" s="17" t="str">
        <f aca="false">IF((E220="q"),H220," ")</f>
        <v> </v>
      </c>
      <c r="X220" s="17" t="str">
        <f aca="false">IF((E220="m"),H220," ")</f>
        <v> </v>
      </c>
      <c r="Y220" s="17" t="str">
        <f aca="false">IF((E220="u"),H220," ")</f>
        <v> </v>
      </c>
      <c r="Z220" s="17" t="str">
        <f aca="false">IF((E220="a"),H220," ")</f>
        <v> </v>
      </c>
      <c r="AA220" s="17" t="str">
        <f aca="false">IF((E220="g"),H220," ")</f>
        <v> </v>
      </c>
      <c r="AB220" s="17" t="str">
        <f aca="false">IF((E220="h"),H220," ")</f>
        <v> </v>
      </c>
      <c r="AC220" s="30" t="str">
        <f aca="false">IF((E220="v"),H220," ")</f>
        <v> </v>
      </c>
      <c r="AD220" s="30" t="str">
        <f aca="false">IF((E220="n"),H220," ")</f>
        <v> </v>
      </c>
      <c r="AE220" s="17" t="str">
        <f aca="false">IF((E220="f"),H220," ")</f>
        <v> </v>
      </c>
      <c r="AF220" s="17" t="str">
        <f aca="false">IF((E220="l"),H220," ")</f>
        <v> </v>
      </c>
      <c r="AG220" s="17" t="str">
        <f aca="false">IF((E220="y"),H220," ")</f>
        <v> </v>
      </c>
      <c r="AH220" s="17" t="str">
        <f aca="false">IF((E220="z"),H220," ")</f>
        <v> </v>
      </c>
      <c r="AI220" s="17" t="str">
        <f aca="false">IF((E220="fa"),H220," ")</f>
        <v> </v>
      </c>
      <c r="AJ220" s="17" t="str">
        <f aca="false">IF((E220="e"),H220," ")</f>
        <v> </v>
      </c>
    </row>
    <row r="221" customFormat="false" ht="12" hidden="false" customHeight="false" outlineLevel="0" collapsed="false">
      <c r="A221" s="28"/>
      <c r="E221" s="2" t="str">
        <f aca="false">IF((F221&lt;&gt;0),"Enter Letter"," ")</f>
        <v> </v>
      </c>
      <c r="F221" s="30"/>
      <c r="G221" s="6" t="str">
        <f aca="false">IF(F221&lt;&gt;0,F221*G$2/(100+G$2)," ")</f>
        <v> </v>
      </c>
      <c r="H221" s="6" t="str">
        <f aca="false">IF((F221&lt;&gt;0),F221-G221," ")</f>
        <v> </v>
      </c>
      <c r="I221" s="5"/>
      <c r="L221" s="7" t="str">
        <f aca="false">IF(F221&lt;&gt;0,F221-K221," ")</f>
        <v> </v>
      </c>
      <c r="M221" s="8" t="str">
        <f aca="false">IF((F221-K221)&lt;&gt;0,M$1-A221," ")</f>
        <v> </v>
      </c>
      <c r="N221" s="5"/>
      <c r="O221" s="17" t="str">
        <f aca="false">IF((E221="s"),H221," ")</f>
        <v> </v>
      </c>
      <c r="P221" s="17" t="str">
        <f aca="false">IF((E221="c"),H221," ")</f>
        <v> </v>
      </c>
      <c r="Q221" s="17" t="str">
        <f aca="false">IF((E221="o"),H221," ")</f>
        <v> </v>
      </c>
      <c r="R221" s="17" t="str">
        <f aca="false">IF((E221="d"),H221," ")</f>
        <v> </v>
      </c>
      <c r="S221" s="17" t="str">
        <f aca="false">IF((E221="w"),H221," ")</f>
        <v> </v>
      </c>
      <c r="T221" s="17" t="str">
        <f aca="false">IF((E221="r"),H221," ")</f>
        <v> </v>
      </c>
      <c r="U221" s="17" t="str">
        <f aca="false">IF((E221="p"),H221," ")</f>
        <v> </v>
      </c>
      <c r="V221" s="17" t="str">
        <f aca="false">IF((E221="t"),H221," ")</f>
        <v> </v>
      </c>
      <c r="W221" s="17" t="str">
        <f aca="false">IF((E221="q"),H221," ")</f>
        <v> </v>
      </c>
      <c r="X221" s="17" t="str">
        <f aca="false">IF((E221="m"),H221," ")</f>
        <v> </v>
      </c>
      <c r="Y221" s="17" t="str">
        <f aca="false">IF((E221="u"),H221," ")</f>
        <v> </v>
      </c>
      <c r="Z221" s="17" t="str">
        <f aca="false">IF((E221="a"),H221," ")</f>
        <v> </v>
      </c>
      <c r="AA221" s="17" t="str">
        <f aca="false">IF((E221="g"),H221," ")</f>
        <v> </v>
      </c>
      <c r="AB221" s="17" t="str">
        <f aca="false">IF((E221="h"),H221," ")</f>
        <v> </v>
      </c>
      <c r="AC221" s="30" t="str">
        <f aca="false">IF((E221="v"),H221," ")</f>
        <v> </v>
      </c>
      <c r="AD221" s="30" t="str">
        <f aca="false">IF((E221="n"),H221," ")</f>
        <v> </v>
      </c>
      <c r="AE221" s="17" t="str">
        <f aca="false">IF((E221="f"),H221," ")</f>
        <v> </v>
      </c>
      <c r="AF221" s="17" t="str">
        <f aca="false">IF((E221="l"),H221," ")</f>
        <v> </v>
      </c>
      <c r="AG221" s="17" t="str">
        <f aca="false">IF((E221="y"),H221," ")</f>
        <v> </v>
      </c>
      <c r="AH221" s="17" t="str">
        <f aca="false">IF((E221="z"),H221," ")</f>
        <v> </v>
      </c>
      <c r="AI221" s="17" t="str">
        <f aca="false">IF((E221="fa"),H221," ")</f>
        <v> </v>
      </c>
      <c r="AJ221" s="17" t="str">
        <f aca="false">IF((E221="e"),H221," ")</f>
        <v> </v>
      </c>
    </row>
    <row r="222" customFormat="false" ht="12" hidden="false" customHeight="false" outlineLevel="0" collapsed="false">
      <c r="A222" s="28"/>
      <c r="E222" s="2" t="str">
        <f aca="false">IF((F222&lt;&gt;0),"Enter Letter"," ")</f>
        <v> </v>
      </c>
      <c r="F222" s="30"/>
      <c r="G222" s="6" t="str">
        <f aca="false">IF(F222&lt;&gt;0,F222*G$2/(100+G$2)," ")</f>
        <v> </v>
      </c>
      <c r="H222" s="6" t="str">
        <f aca="false">IF((F222&lt;&gt;0),F222-G222," ")</f>
        <v> </v>
      </c>
      <c r="I222" s="5"/>
      <c r="L222" s="7" t="str">
        <f aca="false">IF(F222&lt;&gt;0,F222-K222," ")</f>
        <v> </v>
      </c>
      <c r="M222" s="8" t="str">
        <f aca="false">IF((F222-K222)&lt;&gt;0,M$1-A222," ")</f>
        <v> </v>
      </c>
      <c r="N222" s="5"/>
      <c r="O222" s="17" t="str">
        <f aca="false">IF((E222="s"),H222," ")</f>
        <v> </v>
      </c>
      <c r="P222" s="17" t="str">
        <f aca="false">IF((E222="c"),H222," ")</f>
        <v> </v>
      </c>
      <c r="Q222" s="17" t="str">
        <f aca="false">IF((E222="o"),H222," ")</f>
        <v> </v>
      </c>
      <c r="R222" s="17" t="str">
        <f aca="false">IF((E222="d"),H222," ")</f>
        <v> </v>
      </c>
      <c r="S222" s="17" t="str">
        <f aca="false">IF((E222="w"),H222," ")</f>
        <v> </v>
      </c>
      <c r="T222" s="17" t="str">
        <f aca="false">IF((E222="r"),H222," ")</f>
        <v> </v>
      </c>
      <c r="U222" s="17" t="str">
        <f aca="false">IF((E222="p"),H222," ")</f>
        <v> </v>
      </c>
      <c r="V222" s="17" t="str">
        <f aca="false">IF((E222="t"),H222," ")</f>
        <v> </v>
      </c>
      <c r="W222" s="17" t="str">
        <f aca="false">IF((E222="q"),H222," ")</f>
        <v> </v>
      </c>
      <c r="X222" s="17" t="str">
        <f aca="false">IF((E222="m"),H222," ")</f>
        <v> </v>
      </c>
      <c r="Y222" s="17" t="str">
        <f aca="false">IF((E222="u"),H222," ")</f>
        <v> </v>
      </c>
      <c r="Z222" s="17" t="str">
        <f aca="false">IF((E222="a"),H222," ")</f>
        <v> </v>
      </c>
      <c r="AA222" s="17" t="str">
        <f aca="false">IF((E222="g"),H222," ")</f>
        <v> </v>
      </c>
      <c r="AB222" s="17" t="str">
        <f aca="false">IF((E222="h"),H222," ")</f>
        <v> </v>
      </c>
      <c r="AC222" s="30" t="str">
        <f aca="false">IF((E222="v"),H222," ")</f>
        <v> </v>
      </c>
      <c r="AD222" s="30" t="str">
        <f aca="false">IF((E222="n"),H222," ")</f>
        <v> </v>
      </c>
      <c r="AE222" s="17" t="str">
        <f aca="false">IF((E222="f"),H222," ")</f>
        <v> </v>
      </c>
      <c r="AF222" s="17" t="str">
        <f aca="false">IF((E222="l"),H222," ")</f>
        <v> </v>
      </c>
      <c r="AG222" s="17" t="str">
        <f aca="false">IF((E222="y"),H222," ")</f>
        <v> </v>
      </c>
      <c r="AH222" s="17" t="str">
        <f aca="false">IF((E222="z"),H222," ")</f>
        <v> </v>
      </c>
      <c r="AI222" s="17" t="str">
        <f aca="false">IF((E222="fa"),H222," ")</f>
        <v> </v>
      </c>
      <c r="AJ222" s="17" t="str">
        <f aca="false">IF((E222="e"),H222," ")</f>
        <v> </v>
      </c>
    </row>
    <row r="223" customFormat="false" ht="12" hidden="false" customHeight="false" outlineLevel="0" collapsed="false">
      <c r="A223" s="28"/>
      <c r="E223" s="2" t="str">
        <f aca="false">IF((F223&lt;&gt;0),"Enter Letter"," ")</f>
        <v> </v>
      </c>
      <c r="F223" s="30"/>
      <c r="G223" s="6" t="str">
        <f aca="false">IF(F223&lt;&gt;0,F223*G$2/(100+G$2)," ")</f>
        <v> </v>
      </c>
      <c r="H223" s="6" t="str">
        <f aca="false">IF((F223&lt;&gt;0),F223-G223," ")</f>
        <v> </v>
      </c>
      <c r="I223" s="5"/>
      <c r="L223" s="7" t="str">
        <f aca="false">IF(F223&lt;&gt;0,F223-K223," ")</f>
        <v> </v>
      </c>
      <c r="M223" s="8" t="str">
        <f aca="false">IF((F223-K223)&lt;&gt;0,M$1-A223," ")</f>
        <v> </v>
      </c>
      <c r="N223" s="5"/>
      <c r="O223" s="17" t="str">
        <f aca="false">IF((E223="s"),H223," ")</f>
        <v> </v>
      </c>
      <c r="P223" s="17" t="str">
        <f aca="false">IF((E223="c"),H223," ")</f>
        <v> </v>
      </c>
      <c r="Q223" s="17" t="str">
        <f aca="false">IF((E223="o"),H223," ")</f>
        <v> </v>
      </c>
      <c r="R223" s="17" t="str">
        <f aca="false">IF((E223="d"),H223," ")</f>
        <v> </v>
      </c>
      <c r="S223" s="17" t="str">
        <f aca="false">IF((E223="w"),H223," ")</f>
        <v> </v>
      </c>
      <c r="T223" s="17" t="str">
        <f aca="false">IF((E223="r"),H223," ")</f>
        <v> </v>
      </c>
      <c r="U223" s="17" t="str">
        <f aca="false">IF((E223="p"),H223," ")</f>
        <v> </v>
      </c>
      <c r="V223" s="17" t="str">
        <f aca="false">IF((E223="t"),H223," ")</f>
        <v> </v>
      </c>
      <c r="W223" s="17" t="str">
        <f aca="false">IF((E223="q"),H223," ")</f>
        <v> </v>
      </c>
      <c r="X223" s="17" t="str">
        <f aca="false">IF((E223="m"),H223," ")</f>
        <v> </v>
      </c>
      <c r="Y223" s="17" t="str">
        <f aca="false">IF((E223="u"),H223," ")</f>
        <v> </v>
      </c>
      <c r="Z223" s="17" t="str">
        <f aca="false">IF((E223="a"),H223," ")</f>
        <v> </v>
      </c>
      <c r="AA223" s="17" t="str">
        <f aca="false">IF((E223="g"),H223," ")</f>
        <v> </v>
      </c>
      <c r="AB223" s="17" t="str">
        <f aca="false">IF((E223="h"),H223," ")</f>
        <v> </v>
      </c>
      <c r="AC223" s="30" t="str">
        <f aca="false">IF((E223="v"),H223," ")</f>
        <v> </v>
      </c>
      <c r="AD223" s="30" t="str">
        <f aca="false">IF((E223="n"),H223," ")</f>
        <v> </v>
      </c>
      <c r="AE223" s="17" t="str">
        <f aca="false">IF((E223="f"),H223," ")</f>
        <v> </v>
      </c>
      <c r="AF223" s="17" t="str">
        <f aca="false">IF((E223="l"),H223," ")</f>
        <v> </v>
      </c>
      <c r="AG223" s="17" t="str">
        <f aca="false">IF((E223="y"),H223," ")</f>
        <v> </v>
      </c>
      <c r="AH223" s="17" t="str">
        <f aca="false">IF((E223="z"),H223," ")</f>
        <v> </v>
      </c>
      <c r="AI223" s="17" t="str">
        <f aca="false">IF((E223="fa"),H223," ")</f>
        <v> </v>
      </c>
      <c r="AJ223" s="17" t="str">
        <f aca="false">IF((E223="e"),H223," ")</f>
        <v> </v>
      </c>
    </row>
    <row r="224" customFormat="false" ht="12" hidden="false" customHeight="false" outlineLevel="0" collapsed="false">
      <c r="A224" s="28"/>
      <c r="E224" s="2" t="str">
        <f aca="false">IF((F224&lt;&gt;0),"Enter Letter"," ")</f>
        <v> </v>
      </c>
      <c r="F224" s="30"/>
      <c r="G224" s="6" t="str">
        <f aca="false">IF(F224&lt;&gt;0,F224*G$2/(100+G$2)," ")</f>
        <v> </v>
      </c>
      <c r="H224" s="6" t="str">
        <f aca="false">IF((F224&lt;&gt;0),F224-G224," ")</f>
        <v> </v>
      </c>
      <c r="I224" s="5"/>
      <c r="L224" s="7" t="str">
        <f aca="false">IF(F224&lt;&gt;0,F224-K224," ")</f>
        <v> </v>
      </c>
      <c r="M224" s="8" t="str">
        <f aca="false">IF((F224-K224)&lt;&gt;0,M$1-A224," ")</f>
        <v> </v>
      </c>
      <c r="N224" s="5"/>
      <c r="O224" s="17" t="str">
        <f aca="false">IF((E224="s"),H224," ")</f>
        <v> </v>
      </c>
      <c r="P224" s="17" t="str">
        <f aca="false">IF((E224="c"),H224," ")</f>
        <v> </v>
      </c>
      <c r="Q224" s="17" t="str">
        <f aca="false">IF((E224="o"),H224," ")</f>
        <v> </v>
      </c>
      <c r="R224" s="17" t="str">
        <f aca="false">IF((E224="d"),H224," ")</f>
        <v> </v>
      </c>
      <c r="S224" s="17" t="str">
        <f aca="false">IF((E224="w"),H224," ")</f>
        <v> </v>
      </c>
      <c r="T224" s="17" t="str">
        <f aca="false">IF((E224="r"),H224," ")</f>
        <v> </v>
      </c>
      <c r="U224" s="17" t="str">
        <f aca="false">IF((E224="p"),H224," ")</f>
        <v> </v>
      </c>
      <c r="V224" s="17" t="str">
        <f aca="false">IF((E224="t"),H224," ")</f>
        <v> </v>
      </c>
      <c r="W224" s="17" t="str">
        <f aca="false">IF((E224="q"),H224," ")</f>
        <v> </v>
      </c>
      <c r="X224" s="17" t="str">
        <f aca="false">IF((E224="m"),H224," ")</f>
        <v> </v>
      </c>
      <c r="Y224" s="17" t="str">
        <f aca="false">IF((E224="u"),H224," ")</f>
        <v> </v>
      </c>
      <c r="Z224" s="17" t="str">
        <f aca="false">IF((E224="a"),H224," ")</f>
        <v> </v>
      </c>
      <c r="AA224" s="17" t="str">
        <f aca="false">IF((E224="g"),H224," ")</f>
        <v> </v>
      </c>
      <c r="AB224" s="17" t="str">
        <f aca="false">IF((E224="h"),H224," ")</f>
        <v> </v>
      </c>
      <c r="AC224" s="30" t="str">
        <f aca="false">IF((E224="v"),H224," ")</f>
        <v> </v>
      </c>
      <c r="AD224" s="30" t="str">
        <f aca="false">IF((E224="n"),H224," ")</f>
        <v> </v>
      </c>
      <c r="AE224" s="17" t="str">
        <f aca="false">IF((E224="f"),H224," ")</f>
        <v> </v>
      </c>
      <c r="AF224" s="17" t="str">
        <f aca="false">IF((E224="l"),H224," ")</f>
        <v> </v>
      </c>
      <c r="AG224" s="17" t="str">
        <f aca="false">IF((E224="y"),H224," ")</f>
        <v> </v>
      </c>
      <c r="AH224" s="17" t="str">
        <f aca="false">IF((E224="z"),H224," ")</f>
        <v> </v>
      </c>
      <c r="AI224" s="17" t="str">
        <f aca="false">IF((E224="fa"),H224," ")</f>
        <v> </v>
      </c>
      <c r="AJ224" s="17" t="str">
        <f aca="false">IF((E224="e"),H224," ")</f>
        <v> </v>
      </c>
    </row>
    <row r="225" customFormat="false" ht="12" hidden="false" customHeight="false" outlineLevel="0" collapsed="false">
      <c r="A225" s="28"/>
      <c r="E225" s="2" t="str">
        <f aca="false">IF((F225&lt;&gt;0),"Enter Letter"," ")</f>
        <v> </v>
      </c>
      <c r="F225" s="30"/>
      <c r="G225" s="6" t="str">
        <f aca="false">IF(F225&lt;&gt;0,F225*G$2/(100+G$2)," ")</f>
        <v> </v>
      </c>
      <c r="H225" s="6" t="str">
        <f aca="false">IF((F225&lt;&gt;0),F225-G225," ")</f>
        <v> </v>
      </c>
      <c r="I225" s="5"/>
      <c r="L225" s="7" t="str">
        <f aca="false">IF(F225&lt;&gt;0,F225-K225," ")</f>
        <v> </v>
      </c>
      <c r="M225" s="8" t="str">
        <f aca="false">IF((F225-K225)&lt;&gt;0,M$1-A225," ")</f>
        <v> </v>
      </c>
      <c r="N225" s="5"/>
      <c r="O225" s="17" t="str">
        <f aca="false">IF((E225="s"),H225," ")</f>
        <v> </v>
      </c>
      <c r="P225" s="17" t="str">
        <f aca="false">IF((E225="c"),H225," ")</f>
        <v> </v>
      </c>
      <c r="Q225" s="17" t="str">
        <f aca="false">IF((E225="o"),H225," ")</f>
        <v> </v>
      </c>
      <c r="R225" s="17" t="str">
        <f aca="false">IF((E225="d"),H225," ")</f>
        <v> </v>
      </c>
      <c r="S225" s="17" t="str">
        <f aca="false">IF((E225="w"),H225," ")</f>
        <v> </v>
      </c>
      <c r="T225" s="17" t="str">
        <f aca="false">IF((E225="r"),H225," ")</f>
        <v> </v>
      </c>
      <c r="U225" s="17" t="str">
        <f aca="false">IF((E225="p"),H225," ")</f>
        <v> </v>
      </c>
      <c r="V225" s="17" t="str">
        <f aca="false">IF((E225="t"),H225," ")</f>
        <v> </v>
      </c>
      <c r="W225" s="17" t="str">
        <f aca="false">IF((E225="q"),H225," ")</f>
        <v> </v>
      </c>
      <c r="X225" s="17" t="str">
        <f aca="false">IF((E225="m"),H225," ")</f>
        <v> </v>
      </c>
      <c r="Y225" s="17" t="str">
        <f aca="false">IF((E225="u"),H225," ")</f>
        <v> </v>
      </c>
      <c r="Z225" s="17" t="str">
        <f aca="false">IF((E225="a"),H225," ")</f>
        <v> </v>
      </c>
      <c r="AA225" s="17" t="str">
        <f aca="false">IF((E225="g"),H225," ")</f>
        <v> </v>
      </c>
      <c r="AB225" s="17" t="str">
        <f aca="false">IF((E225="h"),H225," ")</f>
        <v> </v>
      </c>
      <c r="AC225" s="30" t="str">
        <f aca="false">IF((E225="v"),H225," ")</f>
        <v> </v>
      </c>
      <c r="AD225" s="30" t="str">
        <f aca="false">IF((E225="n"),H225," ")</f>
        <v> </v>
      </c>
      <c r="AE225" s="17" t="str">
        <f aca="false">IF((E225="f"),H225," ")</f>
        <v> </v>
      </c>
      <c r="AF225" s="17" t="str">
        <f aca="false">IF((E225="l"),H225," ")</f>
        <v> </v>
      </c>
      <c r="AG225" s="17" t="str">
        <f aca="false">IF((E225="y"),H225," ")</f>
        <v> </v>
      </c>
      <c r="AH225" s="17" t="str">
        <f aca="false">IF((E225="z"),H225," ")</f>
        <v> </v>
      </c>
      <c r="AI225" s="17" t="str">
        <f aca="false">IF((E225="fa"),H225," ")</f>
        <v> </v>
      </c>
      <c r="AJ225" s="17" t="str">
        <f aca="false">IF((E225="e"),H225," ")</f>
        <v> </v>
      </c>
    </row>
    <row r="226" customFormat="false" ht="12" hidden="false" customHeight="false" outlineLevel="0" collapsed="false">
      <c r="A226" s="28"/>
      <c r="E226" s="2" t="str">
        <f aca="false">IF((F226&lt;&gt;0),"Enter Letter"," ")</f>
        <v> </v>
      </c>
      <c r="F226" s="30"/>
      <c r="G226" s="6" t="str">
        <f aca="false">IF(F226&lt;&gt;0,F226*G$2/(100+G$2)," ")</f>
        <v> </v>
      </c>
      <c r="H226" s="6" t="str">
        <f aca="false">IF((F226&lt;&gt;0),F226-G226," ")</f>
        <v> </v>
      </c>
      <c r="I226" s="5"/>
      <c r="L226" s="7" t="str">
        <f aca="false">IF(F226&lt;&gt;0,F226-K226," ")</f>
        <v> </v>
      </c>
      <c r="M226" s="8" t="str">
        <f aca="false">IF((F226-K226)&lt;&gt;0,M$1-A226," ")</f>
        <v> </v>
      </c>
      <c r="N226" s="5"/>
      <c r="O226" s="17" t="str">
        <f aca="false">IF((E226="s"),H226," ")</f>
        <v> </v>
      </c>
      <c r="P226" s="17" t="str">
        <f aca="false">IF((E226="c"),H226," ")</f>
        <v> </v>
      </c>
      <c r="Q226" s="17" t="str">
        <f aca="false">IF((E226="o"),H226," ")</f>
        <v> </v>
      </c>
      <c r="R226" s="17" t="str">
        <f aca="false">IF((E226="d"),H226," ")</f>
        <v> </v>
      </c>
      <c r="S226" s="17" t="str">
        <f aca="false">IF((E226="w"),H226," ")</f>
        <v> </v>
      </c>
      <c r="T226" s="17" t="str">
        <f aca="false">IF((E226="r"),H226," ")</f>
        <v> </v>
      </c>
      <c r="U226" s="17" t="str">
        <f aca="false">IF((E226="p"),H226," ")</f>
        <v> </v>
      </c>
      <c r="V226" s="17" t="str">
        <f aca="false">IF((E226="t"),H226," ")</f>
        <v> </v>
      </c>
      <c r="W226" s="17" t="str">
        <f aca="false">IF((E226="q"),H226," ")</f>
        <v> </v>
      </c>
      <c r="X226" s="17" t="str">
        <f aca="false">IF((E226="m"),H226," ")</f>
        <v> </v>
      </c>
      <c r="Y226" s="17" t="str">
        <f aca="false">IF((E226="u"),H226," ")</f>
        <v> </v>
      </c>
      <c r="Z226" s="17" t="str">
        <f aca="false">IF((E226="a"),H226," ")</f>
        <v> </v>
      </c>
      <c r="AA226" s="17" t="str">
        <f aca="false">IF((E226="g"),H226," ")</f>
        <v> </v>
      </c>
      <c r="AB226" s="17" t="str">
        <f aca="false">IF((E226="h"),H226," ")</f>
        <v> </v>
      </c>
      <c r="AC226" s="30" t="str">
        <f aca="false">IF((E226="v"),H226," ")</f>
        <v> </v>
      </c>
      <c r="AD226" s="30" t="str">
        <f aca="false">IF((E226="n"),H226," ")</f>
        <v> </v>
      </c>
      <c r="AE226" s="17" t="str">
        <f aca="false">IF((E226="f"),H226," ")</f>
        <v> </v>
      </c>
      <c r="AF226" s="17" t="str">
        <f aca="false">IF((E226="l"),H226," ")</f>
        <v> </v>
      </c>
      <c r="AG226" s="17" t="str">
        <f aca="false">IF((E226="y"),H226," ")</f>
        <v> </v>
      </c>
      <c r="AH226" s="17" t="str">
        <f aca="false">IF((E226="z"),H226," ")</f>
        <v> </v>
      </c>
      <c r="AI226" s="17" t="str">
        <f aca="false">IF((E226="fa"),H226," ")</f>
        <v> </v>
      </c>
      <c r="AJ226" s="17" t="str">
        <f aca="false">IF((E226="e"),H226," ")</f>
        <v> </v>
      </c>
    </row>
    <row r="227" customFormat="false" ht="12" hidden="false" customHeight="false" outlineLevel="0" collapsed="false">
      <c r="A227" s="28"/>
      <c r="E227" s="2" t="str">
        <f aca="false">IF((F227&lt;&gt;0),"Enter Letter"," ")</f>
        <v> </v>
      </c>
      <c r="F227" s="30"/>
      <c r="G227" s="6" t="str">
        <f aca="false">IF(F227&lt;&gt;0,F227*G$2/(100+G$2)," ")</f>
        <v> </v>
      </c>
      <c r="H227" s="6" t="str">
        <f aca="false">IF((F227&lt;&gt;0),F227-G227," ")</f>
        <v> </v>
      </c>
      <c r="I227" s="5"/>
      <c r="L227" s="7" t="str">
        <f aca="false">IF(F227&lt;&gt;0,F227-K227," ")</f>
        <v> </v>
      </c>
      <c r="M227" s="8" t="str">
        <f aca="false">IF((F227-K227)&lt;&gt;0,M$1-A227," ")</f>
        <v> </v>
      </c>
      <c r="N227" s="5"/>
      <c r="O227" s="17" t="str">
        <f aca="false">IF((E227="s"),H227," ")</f>
        <v> </v>
      </c>
      <c r="P227" s="17" t="str">
        <f aca="false">IF((E227="c"),H227," ")</f>
        <v> </v>
      </c>
      <c r="Q227" s="17" t="str">
        <f aca="false">IF((E227="o"),H227," ")</f>
        <v> </v>
      </c>
      <c r="R227" s="17" t="str">
        <f aca="false">IF((E227="d"),H227," ")</f>
        <v> </v>
      </c>
      <c r="S227" s="17" t="str">
        <f aca="false">IF((E227="w"),H227," ")</f>
        <v> </v>
      </c>
      <c r="T227" s="17" t="str">
        <f aca="false">IF((E227="r"),H227," ")</f>
        <v> </v>
      </c>
      <c r="U227" s="17" t="str">
        <f aca="false">IF((E227="p"),H227," ")</f>
        <v> </v>
      </c>
      <c r="V227" s="17" t="str">
        <f aca="false">IF((E227="t"),H227," ")</f>
        <v> </v>
      </c>
      <c r="W227" s="17" t="str">
        <f aca="false">IF((E227="q"),H227," ")</f>
        <v> </v>
      </c>
      <c r="X227" s="17" t="str">
        <f aca="false">IF((E227="m"),H227," ")</f>
        <v> </v>
      </c>
      <c r="Y227" s="17" t="str">
        <f aca="false">IF((E227="u"),H227," ")</f>
        <v> </v>
      </c>
      <c r="Z227" s="17" t="str">
        <f aca="false">IF((E227="a"),H227," ")</f>
        <v> </v>
      </c>
      <c r="AA227" s="17" t="str">
        <f aca="false">IF((E227="g"),H227," ")</f>
        <v> </v>
      </c>
      <c r="AB227" s="17" t="str">
        <f aca="false">IF((E227="h"),H227," ")</f>
        <v> </v>
      </c>
      <c r="AC227" s="30" t="str">
        <f aca="false">IF((E227="v"),H227," ")</f>
        <v> </v>
      </c>
      <c r="AD227" s="30" t="str">
        <f aca="false">IF((E227="n"),H227," ")</f>
        <v> </v>
      </c>
      <c r="AE227" s="17" t="str">
        <f aca="false">IF((E227="f"),H227," ")</f>
        <v> </v>
      </c>
      <c r="AF227" s="17" t="str">
        <f aca="false">IF((E227="l"),H227," ")</f>
        <v> </v>
      </c>
      <c r="AG227" s="17" t="str">
        <f aca="false">IF((E227="y"),H227," ")</f>
        <v> </v>
      </c>
      <c r="AH227" s="17" t="str">
        <f aca="false">IF((E227="z"),H227," ")</f>
        <v> </v>
      </c>
      <c r="AI227" s="17" t="str">
        <f aca="false">IF((E227="fa"),H227," ")</f>
        <v> </v>
      </c>
      <c r="AJ227" s="17" t="str">
        <f aca="false">IF((E227="e"),H227," ")</f>
        <v> </v>
      </c>
    </row>
    <row r="228" customFormat="false" ht="12" hidden="false" customHeight="false" outlineLevel="0" collapsed="false">
      <c r="A228" s="28"/>
      <c r="E228" s="2" t="str">
        <f aca="false">IF((F228&lt;&gt;0),"Enter Letter"," ")</f>
        <v> </v>
      </c>
      <c r="F228" s="30"/>
      <c r="G228" s="6" t="str">
        <f aca="false">IF(F228&lt;&gt;0,F228*G$2/(100+G$2)," ")</f>
        <v> </v>
      </c>
      <c r="H228" s="6" t="str">
        <f aca="false">IF((F228&lt;&gt;0),F228-G228," ")</f>
        <v> </v>
      </c>
      <c r="I228" s="5"/>
      <c r="L228" s="7" t="str">
        <f aca="false">IF(F228&lt;&gt;0,F228-K228," ")</f>
        <v> </v>
      </c>
      <c r="M228" s="8" t="str">
        <f aca="false">IF((F228-K228)&lt;&gt;0,M$1-A228," ")</f>
        <v> </v>
      </c>
      <c r="N228" s="5"/>
      <c r="O228" s="17" t="str">
        <f aca="false">IF((E228="s"),H228," ")</f>
        <v> </v>
      </c>
      <c r="P228" s="17" t="str">
        <f aca="false">IF((E228="c"),H228," ")</f>
        <v> </v>
      </c>
      <c r="Q228" s="17" t="str">
        <f aca="false">IF((E228="o"),H228," ")</f>
        <v> </v>
      </c>
      <c r="R228" s="17" t="str">
        <f aca="false">IF((E228="d"),H228," ")</f>
        <v> </v>
      </c>
      <c r="S228" s="17" t="str">
        <f aca="false">IF((E228="w"),H228," ")</f>
        <v> </v>
      </c>
      <c r="T228" s="17" t="str">
        <f aca="false">IF((E228="r"),H228," ")</f>
        <v> </v>
      </c>
      <c r="U228" s="17" t="str">
        <f aca="false">IF((E228="p"),H228," ")</f>
        <v> </v>
      </c>
      <c r="V228" s="17" t="str">
        <f aca="false">IF((E228="t"),H228," ")</f>
        <v> </v>
      </c>
      <c r="W228" s="17" t="str">
        <f aca="false">IF((E228="q"),H228," ")</f>
        <v> </v>
      </c>
      <c r="X228" s="17" t="str">
        <f aca="false">IF((E228="m"),H228," ")</f>
        <v> </v>
      </c>
      <c r="Y228" s="17" t="str">
        <f aca="false">IF((E228="u"),H228," ")</f>
        <v> </v>
      </c>
      <c r="Z228" s="17" t="str">
        <f aca="false">IF((E228="a"),H228," ")</f>
        <v> </v>
      </c>
      <c r="AA228" s="17" t="str">
        <f aca="false">IF((E228="g"),H228," ")</f>
        <v> </v>
      </c>
      <c r="AB228" s="17" t="str">
        <f aca="false">IF((E228="h"),H228," ")</f>
        <v> </v>
      </c>
      <c r="AC228" s="30" t="str">
        <f aca="false">IF((E228="v"),H228," ")</f>
        <v> </v>
      </c>
      <c r="AD228" s="30" t="str">
        <f aca="false">IF((E228="n"),H228," ")</f>
        <v> </v>
      </c>
      <c r="AE228" s="17" t="str">
        <f aca="false">IF((E228="f"),H228," ")</f>
        <v> </v>
      </c>
      <c r="AF228" s="17" t="str">
        <f aca="false">IF((E228="l"),H228," ")</f>
        <v> </v>
      </c>
      <c r="AG228" s="17" t="str">
        <f aca="false">IF((E228="y"),H228," ")</f>
        <v> </v>
      </c>
      <c r="AH228" s="17" t="str">
        <f aca="false">IF((E228="z"),H228," ")</f>
        <v> </v>
      </c>
      <c r="AI228" s="17" t="str">
        <f aca="false">IF((E228="fa"),H228," ")</f>
        <v> </v>
      </c>
      <c r="AJ228" s="17" t="str">
        <f aca="false">IF((E228="e"),H228," ")</f>
        <v> </v>
      </c>
    </row>
    <row r="229" customFormat="false" ht="12" hidden="false" customHeight="false" outlineLevel="0" collapsed="false">
      <c r="A229" s="28"/>
      <c r="E229" s="2" t="str">
        <f aca="false">IF((F229&lt;&gt;0),"Enter Letter"," ")</f>
        <v> </v>
      </c>
      <c r="F229" s="30"/>
      <c r="G229" s="6" t="str">
        <f aca="false">IF(F229&lt;&gt;0,F229*G$2/(100+G$2)," ")</f>
        <v> </v>
      </c>
      <c r="H229" s="6" t="str">
        <f aca="false">IF((F229&lt;&gt;0),F229-G229," ")</f>
        <v> </v>
      </c>
      <c r="I229" s="5"/>
      <c r="L229" s="7" t="str">
        <f aca="false">IF(F229&lt;&gt;0,F229-K229," ")</f>
        <v> </v>
      </c>
      <c r="M229" s="8" t="str">
        <f aca="false">IF((F229-K229)&lt;&gt;0,M$1-A229," ")</f>
        <v> </v>
      </c>
      <c r="N229" s="5"/>
      <c r="O229" s="17" t="str">
        <f aca="false">IF((E229="s"),H229," ")</f>
        <v> </v>
      </c>
      <c r="P229" s="17" t="str">
        <f aca="false">IF((E229="c"),H229," ")</f>
        <v> </v>
      </c>
      <c r="Q229" s="17" t="str">
        <f aca="false">IF((E229="o"),H229," ")</f>
        <v> </v>
      </c>
      <c r="R229" s="17" t="str">
        <f aca="false">IF((E229="d"),H229," ")</f>
        <v> </v>
      </c>
      <c r="S229" s="17" t="str">
        <f aca="false">IF((E229="w"),H229," ")</f>
        <v> </v>
      </c>
      <c r="T229" s="17" t="str">
        <f aca="false">IF((E229="r"),H229," ")</f>
        <v> </v>
      </c>
      <c r="U229" s="17" t="str">
        <f aca="false">IF((E229="p"),H229," ")</f>
        <v> </v>
      </c>
      <c r="V229" s="17" t="str">
        <f aca="false">IF((E229="t"),H229," ")</f>
        <v> </v>
      </c>
      <c r="W229" s="17" t="str">
        <f aca="false">IF((E229="q"),H229," ")</f>
        <v> </v>
      </c>
      <c r="X229" s="17" t="str">
        <f aca="false">IF((E229="m"),H229," ")</f>
        <v> </v>
      </c>
      <c r="Y229" s="17" t="str">
        <f aca="false">IF((E229="u"),H229," ")</f>
        <v> </v>
      </c>
      <c r="Z229" s="17" t="str">
        <f aca="false">IF((E229="a"),H229," ")</f>
        <v> </v>
      </c>
      <c r="AA229" s="17" t="str">
        <f aca="false">IF((E229="g"),H229," ")</f>
        <v> </v>
      </c>
      <c r="AB229" s="17" t="str">
        <f aca="false">IF((E229="h"),H229," ")</f>
        <v> </v>
      </c>
      <c r="AC229" s="30" t="str">
        <f aca="false">IF((E229="v"),H229," ")</f>
        <v> </v>
      </c>
      <c r="AD229" s="30" t="str">
        <f aca="false">IF((E229="n"),H229," ")</f>
        <v> </v>
      </c>
      <c r="AE229" s="17" t="str">
        <f aca="false">IF((E229="f"),H229," ")</f>
        <v> </v>
      </c>
      <c r="AF229" s="17" t="str">
        <f aca="false">IF((E229="l"),H229," ")</f>
        <v> </v>
      </c>
      <c r="AG229" s="17" t="str">
        <f aca="false">IF((E229="y"),H229," ")</f>
        <v> </v>
      </c>
      <c r="AH229" s="17" t="str">
        <f aca="false">IF((E229="z"),H229," ")</f>
        <v> </v>
      </c>
      <c r="AI229" s="17" t="str">
        <f aca="false">IF((E229="fa"),H229," ")</f>
        <v> </v>
      </c>
      <c r="AJ229" s="17" t="str">
        <f aca="false">IF((E229="e"),H229," ")</f>
        <v> </v>
      </c>
    </row>
    <row r="230" customFormat="false" ht="12" hidden="false" customHeight="false" outlineLevel="0" collapsed="false">
      <c r="A230" s="28"/>
      <c r="E230" s="2" t="str">
        <f aca="false">IF((F230&lt;&gt;0),"Enter Letter"," ")</f>
        <v> </v>
      </c>
      <c r="F230" s="30"/>
      <c r="G230" s="6" t="str">
        <f aca="false">IF(F230&lt;&gt;0,F230*G$2/(100+G$2)," ")</f>
        <v> </v>
      </c>
      <c r="H230" s="6" t="str">
        <f aca="false">IF((F230&lt;&gt;0),F230-G230," ")</f>
        <v> </v>
      </c>
      <c r="I230" s="5"/>
      <c r="L230" s="7" t="str">
        <f aca="false">IF(F230&lt;&gt;0,F230-K230," ")</f>
        <v> </v>
      </c>
      <c r="M230" s="8" t="str">
        <f aca="false">IF((F230-K230)&lt;&gt;0,M$1-A230," ")</f>
        <v> </v>
      </c>
      <c r="N230" s="5"/>
      <c r="O230" s="17" t="str">
        <f aca="false">IF((E230="s"),H230," ")</f>
        <v> </v>
      </c>
      <c r="P230" s="17" t="str">
        <f aca="false">IF((E230="c"),H230," ")</f>
        <v> </v>
      </c>
      <c r="Q230" s="17" t="str">
        <f aca="false">IF((E230="o"),H230," ")</f>
        <v> </v>
      </c>
      <c r="R230" s="17" t="str">
        <f aca="false">IF((E230="d"),H230," ")</f>
        <v> </v>
      </c>
      <c r="S230" s="17" t="str">
        <f aca="false">IF((E230="w"),H230," ")</f>
        <v> </v>
      </c>
      <c r="T230" s="17" t="str">
        <f aca="false">IF((E230="r"),H230," ")</f>
        <v> </v>
      </c>
      <c r="U230" s="17" t="str">
        <f aca="false">IF((E230="p"),H230," ")</f>
        <v> </v>
      </c>
      <c r="V230" s="17" t="str">
        <f aca="false">IF((E230="t"),H230," ")</f>
        <v> </v>
      </c>
      <c r="W230" s="17" t="str">
        <f aca="false">IF((E230="q"),H230," ")</f>
        <v> </v>
      </c>
      <c r="X230" s="17" t="str">
        <f aca="false">IF((E230="m"),H230," ")</f>
        <v> </v>
      </c>
      <c r="Y230" s="17" t="str">
        <f aca="false">IF((E230="u"),H230," ")</f>
        <v> </v>
      </c>
      <c r="Z230" s="17" t="str">
        <f aca="false">IF((E230="a"),H230," ")</f>
        <v> </v>
      </c>
      <c r="AA230" s="17" t="str">
        <f aca="false">IF((E230="g"),H230," ")</f>
        <v> </v>
      </c>
      <c r="AB230" s="17" t="str">
        <f aca="false">IF((E230="h"),H230," ")</f>
        <v> </v>
      </c>
      <c r="AC230" s="30" t="str">
        <f aca="false">IF((E230="v"),H230," ")</f>
        <v> </v>
      </c>
      <c r="AD230" s="30" t="str">
        <f aca="false">IF((E230="n"),H230," ")</f>
        <v> </v>
      </c>
      <c r="AE230" s="17" t="str">
        <f aca="false">IF((E230="f"),H230," ")</f>
        <v> </v>
      </c>
      <c r="AF230" s="17" t="str">
        <f aca="false">IF((E230="l"),H230," ")</f>
        <v> </v>
      </c>
      <c r="AG230" s="17" t="str">
        <f aca="false">IF((E230="y"),H230," ")</f>
        <v> </v>
      </c>
      <c r="AH230" s="17" t="str">
        <f aca="false">IF((E230="z"),H230," ")</f>
        <v> </v>
      </c>
      <c r="AI230" s="17" t="str">
        <f aca="false">IF((E230="fa"),H230," ")</f>
        <v> </v>
      </c>
      <c r="AJ230" s="17" t="str">
        <f aca="false">IF((E230="e"),H230," ")</f>
        <v> </v>
      </c>
    </row>
    <row r="231" customFormat="false" ht="12" hidden="false" customHeight="false" outlineLevel="0" collapsed="false">
      <c r="A231" s="28"/>
      <c r="E231" s="2" t="str">
        <f aca="false">IF((F231&lt;&gt;0),"Enter Letter"," ")</f>
        <v> </v>
      </c>
      <c r="F231" s="30"/>
      <c r="G231" s="6" t="str">
        <f aca="false">IF(F231&lt;&gt;0,F231*G$2/(100+G$2)," ")</f>
        <v> </v>
      </c>
      <c r="H231" s="6" t="str">
        <f aca="false">IF((F231&lt;&gt;0),F231-G231," ")</f>
        <v> </v>
      </c>
      <c r="I231" s="5"/>
      <c r="L231" s="7" t="str">
        <f aca="false">IF(F231&lt;&gt;0,F231-K231," ")</f>
        <v> </v>
      </c>
      <c r="M231" s="8" t="str">
        <f aca="false">IF((F231-K231)&lt;&gt;0,M$1-A231," ")</f>
        <v> </v>
      </c>
      <c r="N231" s="5"/>
      <c r="O231" s="17" t="str">
        <f aca="false">IF((E231="s"),H231," ")</f>
        <v> </v>
      </c>
      <c r="P231" s="17" t="str">
        <f aca="false">IF((E231="c"),H231," ")</f>
        <v> </v>
      </c>
      <c r="Q231" s="17" t="str">
        <f aca="false">IF((E231="o"),H231," ")</f>
        <v> </v>
      </c>
      <c r="R231" s="17" t="str">
        <f aca="false">IF((E231="d"),H231," ")</f>
        <v> </v>
      </c>
      <c r="S231" s="17" t="str">
        <f aca="false">IF((E231="w"),H231," ")</f>
        <v> </v>
      </c>
      <c r="T231" s="17" t="str">
        <f aca="false">IF((E231="r"),H231," ")</f>
        <v> </v>
      </c>
      <c r="U231" s="17" t="str">
        <f aca="false">IF((E231="p"),H231," ")</f>
        <v> </v>
      </c>
      <c r="V231" s="17" t="str">
        <f aca="false">IF((E231="t"),H231," ")</f>
        <v> </v>
      </c>
      <c r="W231" s="17" t="str">
        <f aca="false">IF((E231="q"),H231," ")</f>
        <v> </v>
      </c>
      <c r="X231" s="17" t="str">
        <f aca="false">IF((E231="m"),H231," ")</f>
        <v> </v>
      </c>
      <c r="Y231" s="17" t="str">
        <f aca="false">IF((E231="u"),H231," ")</f>
        <v> </v>
      </c>
      <c r="Z231" s="17" t="str">
        <f aca="false">IF((E231="a"),H231," ")</f>
        <v> </v>
      </c>
      <c r="AA231" s="17" t="str">
        <f aca="false">IF((E231="g"),H231," ")</f>
        <v> </v>
      </c>
      <c r="AB231" s="17" t="str">
        <f aca="false">IF((E231="h"),H231," ")</f>
        <v> </v>
      </c>
      <c r="AC231" s="30" t="str">
        <f aca="false">IF((E231="v"),H231," ")</f>
        <v> </v>
      </c>
      <c r="AD231" s="30" t="str">
        <f aca="false">IF((E231="n"),H231," ")</f>
        <v> </v>
      </c>
      <c r="AE231" s="17" t="str">
        <f aca="false">IF((E231="f"),H231," ")</f>
        <v> </v>
      </c>
      <c r="AF231" s="17" t="str">
        <f aca="false">IF((E231="l"),H231," ")</f>
        <v> </v>
      </c>
      <c r="AG231" s="17" t="str">
        <f aca="false">IF((E231="y"),H231," ")</f>
        <v> </v>
      </c>
      <c r="AH231" s="17" t="str">
        <f aca="false">IF((E231="z"),H231," ")</f>
        <v> </v>
      </c>
      <c r="AI231" s="17" t="str">
        <f aca="false">IF((E231="fa"),H231," ")</f>
        <v> </v>
      </c>
      <c r="AJ231" s="17" t="str">
        <f aca="false">IF((E231="e"),H231," ")</f>
        <v> </v>
      </c>
    </row>
    <row r="232" customFormat="false" ht="12" hidden="false" customHeight="false" outlineLevel="0" collapsed="false">
      <c r="A232" s="28"/>
      <c r="E232" s="2" t="str">
        <f aca="false">IF((F232&lt;&gt;0),"Enter Letter"," ")</f>
        <v> </v>
      </c>
      <c r="F232" s="30"/>
      <c r="G232" s="6" t="str">
        <f aca="false">IF(F232&lt;&gt;0,F232*G$2/(100+G$2)," ")</f>
        <v> </v>
      </c>
      <c r="H232" s="6" t="str">
        <f aca="false">IF((F232&lt;&gt;0),F232-G232," ")</f>
        <v> </v>
      </c>
      <c r="I232" s="5"/>
      <c r="L232" s="7" t="str">
        <f aca="false">IF(F232&lt;&gt;0,F232-K232," ")</f>
        <v> </v>
      </c>
      <c r="M232" s="8" t="str">
        <f aca="false">IF((F232-K232)&lt;&gt;0,M$1-A232," ")</f>
        <v> </v>
      </c>
      <c r="N232" s="5"/>
      <c r="O232" s="17" t="str">
        <f aca="false">IF((E232="s"),H232," ")</f>
        <v> </v>
      </c>
      <c r="P232" s="17" t="str">
        <f aca="false">IF((E232="c"),H232," ")</f>
        <v> </v>
      </c>
      <c r="Q232" s="17" t="str">
        <f aca="false">IF((E232="o"),H232," ")</f>
        <v> </v>
      </c>
      <c r="R232" s="17" t="str">
        <f aca="false">IF((E232="d"),H232," ")</f>
        <v> </v>
      </c>
      <c r="S232" s="17" t="str">
        <f aca="false">IF((E232="w"),H232," ")</f>
        <v> </v>
      </c>
      <c r="T232" s="17" t="str">
        <f aca="false">IF((E232="r"),H232," ")</f>
        <v> </v>
      </c>
      <c r="U232" s="17" t="str">
        <f aca="false">IF((E232="p"),H232," ")</f>
        <v> </v>
      </c>
      <c r="V232" s="17" t="str">
        <f aca="false">IF((E232="t"),H232," ")</f>
        <v> </v>
      </c>
      <c r="W232" s="17" t="str">
        <f aca="false">IF((E232="q"),H232," ")</f>
        <v> </v>
      </c>
      <c r="X232" s="17" t="str">
        <f aca="false">IF((E232="m"),H232," ")</f>
        <v> </v>
      </c>
      <c r="Y232" s="17" t="str">
        <f aca="false">IF((E232="u"),H232," ")</f>
        <v> </v>
      </c>
      <c r="Z232" s="17" t="str">
        <f aca="false">IF((E232="a"),H232," ")</f>
        <v> </v>
      </c>
      <c r="AA232" s="17" t="str">
        <f aca="false">IF((E232="g"),H232," ")</f>
        <v> </v>
      </c>
      <c r="AB232" s="17" t="str">
        <f aca="false">IF((E232="h"),H232," ")</f>
        <v> </v>
      </c>
      <c r="AC232" s="30" t="str">
        <f aca="false">IF((E232="v"),H232," ")</f>
        <v> </v>
      </c>
      <c r="AD232" s="30" t="str">
        <f aca="false">IF((E232="n"),H232," ")</f>
        <v> </v>
      </c>
      <c r="AE232" s="17" t="str">
        <f aca="false">IF((E232="f"),H232," ")</f>
        <v> </v>
      </c>
      <c r="AF232" s="17" t="str">
        <f aca="false">IF((E232="l"),H232," ")</f>
        <v> </v>
      </c>
      <c r="AG232" s="17" t="str">
        <f aca="false">IF((E232="y"),H232," ")</f>
        <v> </v>
      </c>
      <c r="AH232" s="17" t="str">
        <f aca="false">IF((E232="z"),H232," ")</f>
        <v> </v>
      </c>
      <c r="AI232" s="17" t="str">
        <f aca="false">IF((E232="fa"),H232," ")</f>
        <v> </v>
      </c>
      <c r="AJ232" s="17" t="str">
        <f aca="false">IF((E232="e"),H232," ")</f>
        <v> </v>
      </c>
    </row>
    <row r="233" customFormat="false" ht="12" hidden="false" customHeight="false" outlineLevel="0" collapsed="false">
      <c r="A233" s="28"/>
      <c r="E233" s="2" t="str">
        <f aca="false">IF((F233&lt;&gt;0),"Enter Letter"," ")</f>
        <v> </v>
      </c>
      <c r="F233" s="30"/>
      <c r="G233" s="6" t="str">
        <f aca="false">IF(F233&lt;&gt;0,F233*G$2/(100+G$2)," ")</f>
        <v> </v>
      </c>
      <c r="H233" s="6" t="str">
        <f aca="false">IF((F233&lt;&gt;0),F233-G233," ")</f>
        <v> </v>
      </c>
      <c r="I233" s="5"/>
      <c r="L233" s="7" t="str">
        <f aca="false">IF(F233&lt;&gt;0,F233-K233," ")</f>
        <v> </v>
      </c>
      <c r="M233" s="8" t="str">
        <f aca="false">IF((F233-K233)&lt;&gt;0,M$1-A233," ")</f>
        <v> </v>
      </c>
      <c r="N233" s="5"/>
      <c r="O233" s="17" t="str">
        <f aca="false">IF((E233="s"),H233," ")</f>
        <v> </v>
      </c>
      <c r="P233" s="17" t="str">
        <f aca="false">IF((E233="c"),H233," ")</f>
        <v> </v>
      </c>
      <c r="Q233" s="17" t="str">
        <f aca="false">IF((E233="o"),H233," ")</f>
        <v> </v>
      </c>
      <c r="R233" s="17" t="str">
        <f aca="false">IF((E233="d"),H233," ")</f>
        <v> </v>
      </c>
      <c r="S233" s="17" t="str">
        <f aca="false">IF((E233="w"),H233," ")</f>
        <v> </v>
      </c>
      <c r="T233" s="17" t="str">
        <f aca="false">IF((E233="r"),H233," ")</f>
        <v> </v>
      </c>
      <c r="U233" s="17" t="str">
        <f aca="false">IF((E233="p"),H233," ")</f>
        <v> </v>
      </c>
      <c r="V233" s="17" t="str">
        <f aca="false">IF((E233="t"),H233," ")</f>
        <v> </v>
      </c>
      <c r="W233" s="17" t="str">
        <f aca="false">IF((E233="q"),H233," ")</f>
        <v> </v>
      </c>
      <c r="X233" s="17" t="str">
        <f aca="false">IF((E233="m"),H233," ")</f>
        <v> </v>
      </c>
      <c r="Y233" s="17" t="str">
        <f aca="false">IF((E233="u"),H233," ")</f>
        <v> </v>
      </c>
      <c r="Z233" s="17" t="str">
        <f aca="false">IF((E233="a"),H233," ")</f>
        <v> </v>
      </c>
      <c r="AA233" s="17" t="str">
        <f aca="false">IF((E233="g"),H233," ")</f>
        <v> </v>
      </c>
      <c r="AB233" s="17" t="str">
        <f aca="false">IF((E233="h"),H233," ")</f>
        <v> </v>
      </c>
      <c r="AC233" s="30" t="str">
        <f aca="false">IF((E233="v"),H233," ")</f>
        <v> </v>
      </c>
      <c r="AD233" s="30" t="str">
        <f aca="false">IF((E233="n"),H233," ")</f>
        <v> </v>
      </c>
      <c r="AE233" s="17" t="str">
        <f aca="false">IF((E233="f"),H233," ")</f>
        <v> </v>
      </c>
      <c r="AF233" s="17" t="str">
        <f aca="false">IF((E233="l"),H233," ")</f>
        <v> </v>
      </c>
      <c r="AG233" s="17" t="str">
        <f aca="false">IF((E233="y"),H233," ")</f>
        <v> </v>
      </c>
      <c r="AH233" s="17" t="str">
        <f aca="false">IF((E233="z"),H233," ")</f>
        <v> </v>
      </c>
      <c r="AI233" s="17" t="str">
        <f aca="false">IF((E233="fa"),H233," ")</f>
        <v> </v>
      </c>
      <c r="AJ233" s="17" t="str">
        <f aca="false">IF((E233="e"),H233," ")</f>
        <v> </v>
      </c>
    </row>
    <row r="234" customFormat="false" ht="12" hidden="false" customHeight="false" outlineLevel="0" collapsed="false">
      <c r="A234" s="28"/>
      <c r="E234" s="2" t="str">
        <f aca="false">IF((F234&lt;&gt;0),"Enter Letter"," ")</f>
        <v> </v>
      </c>
      <c r="F234" s="30"/>
      <c r="G234" s="6" t="str">
        <f aca="false">IF(F234&lt;&gt;0,F234*G$2/(100+G$2)," ")</f>
        <v> </v>
      </c>
      <c r="H234" s="6" t="str">
        <f aca="false">IF((F234&lt;&gt;0),F234-G234," ")</f>
        <v> </v>
      </c>
      <c r="I234" s="5"/>
      <c r="L234" s="7" t="str">
        <f aca="false">IF(F234&lt;&gt;0,F234-K234," ")</f>
        <v> </v>
      </c>
      <c r="M234" s="8" t="str">
        <f aca="false">IF((F234-K234)&lt;&gt;0,M$1-A234," ")</f>
        <v> </v>
      </c>
      <c r="N234" s="5"/>
      <c r="O234" s="17" t="str">
        <f aca="false">IF((E234="s"),H234," ")</f>
        <v> </v>
      </c>
      <c r="P234" s="17" t="str">
        <f aca="false">IF((E234="c"),H234," ")</f>
        <v> </v>
      </c>
      <c r="Q234" s="17" t="str">
        <f aca="false">IF((E234="o"),H234," ")</f>
        <v> </v>
      </c>
      <c r="R234" s="17" t="str">
        <f aca="false">IF((E234="d"),H234," ")</f>
        <v> </v>
      </c>
      <c r="S234" s="17" t="str">
        <f aca="false">IF((E234="w"),H234," ")</f>
        <v> </v>
      </c>
      <c r="T234" s="17" t="str">
        <f aca="false">IF((E234="r"),H234," ")</f>
        <v> </v>
      </c>
      <c r="U234" s="17" t="str">
        <f aca="false">IF((E234="p"),H234," ")</f>
        <v> </v>
      </c>
      <c r="V234" s="17" t="str">
        <f aca="false">IF((E234="t"),H234," ")</f>
        <v> </v>
      </c>
      <c r="W234" s="17" t="str">
        <f aca="false">IF((E234="q"),H234," ")</f>
        <v> </v>
      </c>
      <c r="X234" s="17" t="str">
        <f aca="false">IF((E234="m"),H234," ")</f>
        <v> </v>
      </c>
      <c r="Y234" s="17" t="str">
        <f aca="false">IF((E234="u"),H234," ")</f>
        <v> </v>
      </c>
      <c r="Z234" s="17" t="str">
        <f aca="false">IF((E234="a"),H234," ")</f>
        <v> </v>
      </c>
      <c r="AA234" s="17" t="str">
        <f aca="false">IF((E234="g"),H234," ")</f>
        <v> </v>
      </c>
      <c r="AB234" s="17" t="str">
        <f aca="false">IF((E234="h"),H234," ")</f>
        <v> </v>
      </c>
      <c r="AC234" s="30" t="str">
        <f aca="false">IF((E234="v"),H234," ")</f>
        <v> </v>
      </c>
      <c r="AD234" s="30" t="str">
        <f aca="false">IF((E234="n"),H234," ")</f>
        <v> </v>
      </c>
      <c r="AE234" s="17" t="str">
        <f aca="false">IF((E234="f"),H234," ")</f>
        <v> </v>
      </c>
      <c r="AF234" s="17" t="str">
        <f aca="false">IF((E234="l"),H234," ")</f>
        <v> </v>
      </c>
      <c r="AG234" s="17" t="str">
        <f aca="false">IF((E234="y"),H234," ")</f>
        <v> </v>
      </c>
      <c r="AH234" s="17" t="str">
        <f aca="false">IF((E234="z"),H234," ")</f>
        <v> </v>
      </c>
      <c r="AI234" s="17" t="str">
        <f aca="false">IF((E234="fa"),H234," ")</f>
        <v> </v>
      </c>
      <c r="AJ234" s="17" t="str">
        <f aca="false">IF((E234="e"),H234," ")</f>
        <v> </v>
      </c>
    </row>
    <row r="235" customFormat="false" ht="12" hidden="false" customHeight="false" outlineLevel="0" collapsed="false">
      <c r="A235" s="28"/>
      <c r="E235" s="2" t="str">
        <f aca="false">IF((F235&lt;&gt;0),"Enter Letter"," ")</f>
        <v> </v>
      </c>
      <c r="F235" s="30"/>
      <c r="G235" s="6" t="str">
        <f aca="false">IF(F235&lt;&gt;0,F235*G$2/(100+G$2)," ")</f>
        <v> </v>
      </c>
      <c r="H235" s="6" t="str">
        <f aca="false">IF((F235&lt;&gt;0),F235-G235," ")</f>
        <v> </v>
      </c>
      <c r="I235" s="5"/>
      <c r="L235" s="7" t="str">
        <f aca="false">IF(F235&lt;&gt;0,F235-K235," ")</f>
        <v> </v>
      </c>
      <c r="M235" s="8" t="str">
        <f aca="false">IF((F235-K235)&lt;&gt;0,M$1-A235," ")</f>
        <v> </v>
      </c>
      <c r="N235" s="5"/>
      <c r="O235" s="17" t="str">
        <f aca="false">IF((E235="s"),H235," ")</f>
        <v> </v>
      </c>
      <c r="P235" s="17" t="str">
        <f aca="false">IF((E235="c"),H235," ")</f>
        <v> </v>
      </c>
      <c r="Q235" s="17" t="str">
        <f aca="false">IF((E235="o"),H235," ")</f>
        <v> </v>
      </c>
      <c r="R235" s="17" t="str">
        <f aca="false">IF((E235="d"),H235," ")</f>
        <v> </v>
      </c>
      <c r="S235" s="17" t="str">
        <f aca="false">IF((E235="w"),H235," ")</f>
        <v> </v>
      </c>
      <c r="T235" s="17" t="str">
        <f aca="false">IF((E235="r"),H235," ")</f>
        <v> </v>
      </c>
      <c r="U235" s="17" t="str">
        <f aca="false">IF((E235="p"),H235," ")</f>
        <v> </v>
      </c>
      <c r="V235" s="17" t="str">
        <f aca="false">IF((E235="t"),H235," ")</f>
        <v> </v>
      </c>
      <c r="W235" s="17" t="str">
        <f aca="false">IF((E235="q"),H235," ")</f>
        <v> </v>
      </c>
      <c r="X235" s="17" t="str">
        <f aca="false">IF((E235="m"),H235," ")</f>
        <v> </v>
      </c>
      <c r="Y235" s="17" t="str">
        <f aca="false">IF((E235="u"),H235," ")</f>
        <v> </v>
      </c>
      <c r="Z235" s="17" t="str">
        <f aca="false">IF((E235="a"),H235," ")</f>
        <v> </v>
      </c>
      <c r="AA235" s="17" t="str">
        <f aca="false">IF((E235="g"),H235," ")</f>
        <v> </v>
      </c>
      <c r="AB235" s="17" t="str">
        <f aca="false">IF((E235="h"),H235," ")</f>
        <v> </v>
      </c>
      <c r="AC235" s="30" t="str">
        <f aca="false">IF((E235="v"),H235," ")</f>
        <v> </v>
      </c>
      <c r="AD235" s="30" t="str">
        <f aca="false">IF((E235="n"),H235," ")</f>
        <v> </v>
      </c>
      <c r="AE235" s="17" t="str">
        <f aca="false">IF((E235="f"),H235," ")</f>
        <v> </v>
      </c>
      <c r="AF235" s="17" t="str">
        <f aca="false">IF((E235="l"),H235," ")</f>
        <v> </v>
      </c>
      <c r="AG235" s="17" t="str">
        <f aca="false">IF((E235="y"),H235," ")</f>
        <v> </v>
      </c>
      <c r="AH235" s="17" t="str">
        <f aca="false">IF((E235="z"),H235," ")</f>
        <v> </v>
      </c>
      <c r="AI235" s="17" t="str">
        <f aca="false">IF((E235="fa"),H235," ")</f>
        <v> </v>
      </c>
      <c r="AJ235" s="17" t="str">
        <f aca="false">IF((E235="e"),H235," ")</f>
        <v> </v>
      </c>
    </row>
    <row r="236" customFormat="false" ht="12" hidden="false" customHeight="false" outlineLevel="0" collapsed="false">
      <c r="A236" s="28"/>
      <c r="E236" s="2" t="str">
        <f aca="false">IF((F236&lt;&gt;0),"Enter Letter"," ")</f>
        <v> </v>
      </c>
      <c r="F236" s="30"/>
      <c r="G236" s="6" t="str">
        <f aca="false">IF(F236&lt;&gt;0,F236*G$2/(100+G$2)," ")</f>
        <v> </v>
      </c>
      <c r="H236" s="6" t="str">
        <f aca="false">IF((F236&lt;&gt;0),F236-G236," ")</f>
        <v> </v>
      </c>
      <c r="I236" s="5"/>
      <c r="L236" s="7" t="str">
        <f aca="false">IF(F236&lt;&gt;0,F236-K236," ")</f>
        <v> </v>
      </c>
      <c r="M236" s="8" t="str">
        <f aca="false">IF((F236-K236)&lt;&gt;0,M$1-A236," ")</f>
        <v> </v>
      </c>
      <c r="N236" s="5"/>
      <c r="O236" s="17" t="str">
        <f aca="false">IF((E236="s"),H236," ")</f>
        <v> </v>
      </c>
      <c r="P236" s="17" t="str">
        <f aca="false">IF((E236="c"),H236," ")</f>
        <v> </v>
      </c>
      <c r="Q236" s="17" t="str">
        <f aca="false">IF((E236="o"),H236," ")</f>
        <v> </v>
      </c>
      <c r="R236" s="17" t="str">
        <f aca="false">IF((E236="d"),H236," ")</f>
        <v> </v>
      </c>
      <c r="S236" s="17" t="str">
        <f aca="false">IF((E236="w"),H236," ")</f>
        <v> </v>
      </c>
      <c r="T236" s="17" t="str">
        <f aca="false">IF((E236="r"),H236," ")</f>
        <v> </v>
      </c>
      <c r="U236" s="17" t="str">
        <f aca="false">IF((E236="p"),H236," ")</f>
        <v> </v>
      </c>
      <c r="V236" s="17" t="str">
        <f aca="false">IF((E236="t"),H236," ")</f>
        <v> </v>
      </c>
      <c r="W236" s="17" t="str">
        <f aca="false">IF((E236="q"),H236," ")</f>
        <v> </v>
      </c>
      <c r="X236" s="17" t="str">
        <f aca="false">IF((E236="m"),H236," ")</f>
        <v> </v>
      </c>
      <c r="Y236" s="17" t="str">
        <f aca="false">IF((E236="u"),H236," ")</f>
        <v> </v>
      </c>
      <c r="Z236" s="17" t="str">
        <f aca="false">IF((E236="a"),H236," ")</f>
        <v> </v>
      </c>
      <c r="AA236" s="17" t="str">
        <f aca="false">IF((E236="g"),H236," ")</f>
        <v> </v>
      </c>
      <c r="AB236" s="17" t="str">
        <f aca="false">IF((E236="h"),H236," ")</f>
        <v> </v>
      </c>
      <c r="AC236" s="30" t="str">
        <f aca="false">IF((E236="v"),H236," ")</f>
        <v> </v>
      </c>
      <c r="AD236" s="30" t="str">
        <f aca="false">IF((E236="n"),H236," ")</f>
        <v> </v>
      </c>
      <c r="AE236" s="17" t="str">
        <f aca="false">IF((E236="f"),H236," ")</f>
        <v> </v>
      </c>
      <c r="AF236" s="17" t="str">
        <f aca="false">IF((E236="l"),H236," ")</f>
        <v> </v>
      </c>
      <c r="AG236" s="17" t="str">
        <f aca="false">IF((E236="y"),H236," ")</f>
        <v> </v>
      </c>
      <c r="AH236" s="17" t="str">
        <f aca="false">IF((E236="z"),H236," ")</f>
        <v> </v>
      </c>
      <c r="AI236" s="17" t="str">
        <f aca="false">IF((E236="fa"),H236," ")</f>
        <v> </v>
      </c>
      <c r="AJ236" s="17" t="str">
        <f aca="false">IF((E236="e"),H236," ")</f>
        <v> </v>
      </c>
    </row>
    <row r="237" customFormat="false" ht="12" hidden="false" customHeight="false" outlineLevel="0" collapsed="false">
      <c r="A237" s="28"/>
      <c r="E237" s="2" t="str">
        <f aca="false">IF((F237&lt;&gt;0),"Enter Letter"," ")</f>
        <v> </v>
      </c>
      <c r="F237" s="30"/>
      <c r="G237" s="6" t="str">
        <f aca="false">IF(F237&lt;&gt;0,F237*G$2/(100+G$2)," ")</f>
        <v> </v>
      </c>
      <c r="H237" s="6" t="str">
        <f aca="false">IF((F237&lt;&gt;0),F237-G237," ")</f>
        <v> </v>
      </c>
      <c r="I237" s="5"/>
      <c r="L237" s="7" t="str">
        <f aca="false">IF(F237&lt;&gt;0,F237-K237," ")</f>
        <v> </v>
      </c>
      <c r="M237" s="8" t="str">
        <f aca="false">IF((F237-K237)&lt;&gt;0,M$1-A237," ")</f>
        <v> </v>
      </c>
      <c r="N237" s="5"/>
      <c r="O237" s="17" t="str">
        <f aca="false">IF((E237="s"),H237," ")</f>
        <v> </v>
      </c>
      <c r="P237" s="17" t="str">
        <f aca="false">IF((E237="c"),H237," ")</f>
        <v> </v>
      </c>
      <c r="Q237" s="17" t="str">
        <f aca="false">IF((E237="o"),H237," ")</f>
        <v> </v>
      </c>
      <c r="R237" s="17" t="str">
        <f aca="false">IF((E237="d"),H237," ")</f>
        <v> </v>
      </c>
      <c r="S237" s="17" t="str">
        <f aca="false">IF((E237="w"),H237," ")</f>
        <v> </v>
      </c>
      <c r="T237" s="17" t="str">
        <f aca="false">IF((E237="r"),H237," ")</f>
        <v> </v>
      </c>
      <c r="U237" s="17" t="str">
        <f aca="false">IF((E237="p"),H237," ")</f>
        <v> </v>
      </c>
      <c r="V237" s="17" t="str">
        <f aca="false">IF((E237="t"),H237," ")</f>
        <v> </v>
      </c>
      <c r="W237" s="17" t="str">
        <f aca="false">IF((E237="q"),H237," ")</f>
        <v> </v>
      </c>
      <c r="X237" s="17" t="str">
        <f aca="false">IF((E237="m"),H237," ")</f>
        <v> </v>
      </c>
      <c r="Y237" s="17" t="str">
        <f aca="false">IF((E237="u"),H237," ")</f>
        <v> </v>
      </c>
      <c r="Z237" s="17" t="str">
        <f aca="false">IF((E237="a"),H237," ")</f>
        <v> </v>
      </c>
      <c r="AA237" s="17" t="str">
        <f aca="false">IF((E237="g"),H237," ")</f>
        <v> </v>
      </c>
      <c r="AB237" s="17" t="str">
        <f aca="false">IF((E237="h"),H237," ")</f>
        <v> </v>
      </c>
      <c r="AC237" s="30" t="str">
        <f aca="false">IF((E237="v"),H237," ")</f>
        <v> </v>
      </c>
      <c r="AD237" s="30" t="str">
        <f aca="false">IF((E237="n"),H237," ")</f>
        <v> </v>
      </c>
      <c r="AE237" s="17" t="str">
        <f aca="false">IF((E237="f"),H237," ")</f>
        <v> </v>
      </c>
      <c r="AF237" s="17" t="str">
        <f aca="false">IF((E237="l"),H237," ")</f>
        <v> </v>
      </c>
      <c r="AG237" s="17" t="str">
        <f aca="false">IF((E237="y"),H237," ")</f>
        <v> </v>
      </c>
      <c r="AH237" s="17" t="str">
        <f aca="false">IF((E237="z"),H237," ")</f>
        <v> </v>
      </c>
      <c r="AI237" s="17" t="str">
        <f aca="false">IF((E237="fa"),H237," ")</f>
        <v> </v>
      </c>
      <c r="AJ237" s="17" t="str">
        <f aca="false">IF((E237="e"),H237," ")</f>
        <v> </v>
      </c>
    </row>
    <row r="238" customFormat="false" ht="12" hidden="false" customHeight="false" outlineLevel="0" collapsed="false">
      <c r="A238" s="28"/>
      <c r="E238" s="2" t="str">
        <f aca="false">IF((F238&lt;&gt;0),"Enter Letter"," ")</f>
        <v> </v>
      </c>
      <c r="F238" s="30"/>
      <c r="G238" s="6" t="str">
        <f aca="false">IF(F238&lt;&gt;0,F238*G$2/(100+G$2)," ")</f>
        <v> </v>
      </c>
      <c r="H238" s="6" t="str">
        <f aca="false">IF((F238&lt;&gt;0),F238-G238," ")</f>
        <v> </v>
      </c>
      <c r="I238" s="5"/>
      <c r="L238" s="7" t="str">
        <f aca="false">IF(F238&lt;&gt;0,F238-K238," ")</f>
        <v> </v>
      </c>
      <c r="M238" s="8" t="str">
        <f aca="false">IF((F238-K238)&lt;&gt;0,M$1-A238," ")</f>
        <v> </v>
      </c>
      <c r="N238" s="5"/>
      <c r="O238" s="17" t="str">
        <f aca="false">IF((E238="s"),H238," ")</f>
        <v> </v>
      </c>
      <c r="P238" s="17" t="str">
        <f aca="false">IF((E238="c"),H238," ")</f>
        <v> </v>
      </c>
      <c r="Q238" s="17" t="str">
        <f aca="false">IF((E238="o"),H238," ")</f>
        <v> </v>
      </c>
      <c r="R238" s="17" t="str">
        <f aca="false">IF((E238="d"),H238," ")</f>
        <v> </v>
      </c>
      <c r="S238" s="17" t="str">
        <f aca="false">IF((E238="w"),H238," ")</f>
        <v> </v>
      </c>
      <c r="T238" s="17" t="str">
        <f aca="false">IF((E238="r"),H238," ")</f>
        <v> </v>
      </c>
      <c r="U238" s="17" t="str">
        <f aca="false">IF((E238="p"),H238," ")</f>
        <v> </v>
      </c>
      <c r="V238" s="17" t="str">
        <f aca="false">IF((E238="t"),H238," ")</f>
        <v> </v>
      </c>
      <c r="W238" s="17" t="str">
        <f aca="false">IF((E238="q"),H238," ")</f>
        <v> </v>
      </c>
      <c r="X238" s="17" t="str">
        <f aca="false">IF((E238="m"),H238," ")</f>
        <v> </v>
      </c>
      <c r="Y238" s="17" t="str">
        <f aca="false">IF((E238="u"),H238," ")</f>
        <v> </v>
      </c>
      <c r="Z238" s="17" t="str">
        <f aca="false">IF((E238="a"),H238," ")</f>
        <v> </v>
      </c>
      <c r="AA238" s="17" t="str">
        <f aca="false">IF((E238="g"),H238," ")</f>
        <v> </v>
      </c>
      <c r="AB238" s="17" t="str">
        <f aca="false">IF((E238="h"),H238," ")</f>
        <v> </v>
      </c>
      <c r="AC238" s="30" t="str">
        <f aca="false">IF((E238="v"),H238," ")</f>
        <v> </v>
      </c>
      <c r="AD238" s="30" t="str">
        <f aca="false">IF((E238="n"),H238," ")</f>
        <v> </v>
      </c>
      <c r="AE238" s="17" t="str">
        <f aca="false">IF((E238="f"),H238," ")</f>
        <v> </v>
      </c>
      <c r="AF238" s="17" t="str">
        <f aca="false">IF((E238="l"),H238," ")</f>
        <v> </v>
      </c>
      <c r="AG238" s="17" t="str">
        <f aca="false">IF((E238="y"),H238," ")</f>
        <v> </v>
      </c>
      <c r="AH238" s="17" t="str">
        <f aca="false">IF((E238="z"),H238," ")</f>
        <v> </v>
      </c>
      <c r="AI238" s="17" t="str">
        <f aca="false">IF((E238="fa"),H238," ")</f>
        <v> </v>
      </c>
      <c r="AJ238" s="17" t="str">
        <f aca="false">IF((E238="e"),H238," ")</f>
        <v> </v>
      </c>
    </row>
    <row r="239" customFormat="false" ht="12" hidden="false" customHeight="false" outlineLevel="0" collapsed="false">
      <c r="A239" s="28"/>
      <c r="E239" s="2" t="str">
        <f aca="false">IF((F239&lt;&gt;0),"Enter Letter"," ")</f>
        <v> </v>
      </c>
      <c r="F239" s="30"/>
      <c r="G239" s="6" t="str">
        <f aca="false">IF(F239&lt;&gt;0,F239*G$2/(100+G$2)," ")</f>
        <v> </v>
      </c>
      <c r="H239" s="6" t="str">
        <f aca="false">IF((F239&lt;&gt;0),F239-G239," ")</f>
        <v> </v>
      </c>
      <c r="I239" s="5"/>
      <c r="L239" s="7" t="str">
        <f aca="false">IF(F239&lt;&gt;0,F239-K239," ")</f>
        <v> </v>
      </c>
      <c r="M239" s="8" t="str">
        <f aca="false">IF((F239-K239)&lt;&gt;0,M$1-A239," ")</f>
        <v> </v>
      </c>
      <c r="N239" s="5"/>
      <c r="O239" s="17" t="str">
        <f aca="false">IF((E239="s"),H239," ")</f>
        <v> </v>
      </c>
      <c r="P239" s="17" t="str">
        <f aca="false">IF((E239="c"),H239," ")</f>
        <v> </v>
      </c>
      <c r="Q239" s="17" t="str">
        <f aca="false">IF((E239="o"),H239," ")</f>
        <v> </v>
      </c>
      <c r="R239" s="17" t="str">
        <f aca="false">IF((E239="d"),H239," ")</f>
        <v> </v>
      </c>
      <c r="S239" s="17" t="str">
        <f aca="false">IF((E239="w"),H239," ")</f>
        <v> </v>
      </c>
      <c r="T239" s="17" t="str">
        <f aca="false">IF((E239="r"),H239," ")</f>
        <v> </v>
      </c>
      <c r="U239" s="17" t="str">
        <f aca="false">IF((E239="p"),H239," ")</f>
        <v> </v>
      </c>
      <c r="V239" s="17" t="str">
        <f aca="false">IF((E239="t"),H239," ")</f>
        <v> </v>
      </c>
      <c r="W239" s="17" t="str">
        <f aca="false">IF((E239="q"),H239," ")</f>
        <v> </v>
      </c>
      <c r="X239" s="17" t="str">
        <f aca="false">IF((E239="m"),H239," ")</f>
        <v> </v>
      </c>
      <c r="Y239" s="17" t="str">
        <f aca="false">IF((E239="u"),H239," ")</f>
        <v> </v>
      </c>
      <c r="Z239" s="17" t="str">
        <f aca="false">IF((E239="a"),H239," ")</f>
        <v> </v>
      </c>
      <c r="AA239" s="17" t="str">
        <f aca="false">IF((E239="g"),H239," ")</f>
        <v> </v>
      </c>
      <c r="AB239" s="17" t="str">
        <f aca="false">IF((E239="h"),H239," ")</f>
        <v> </v>
      </c>
      <c r="AC239" s="30" t="str">
        <f aca="false">IF((E239="v"),H239," ")</f>
        <v> </v>
      </c>
      <c r="AD239" s="30" t="str">
        <f aca="false">IF((E239="n"),H239," ")</f>
        <v> </v>
      </c>
      <c r="AE239" s="17" t="str">
        <f aca="false">IF((E239="f"),H239," ")</f>
        <v> </v>
      </c>
      <c r="AF239" s="17" t="str">
        <f aca="false">IF((E239="l"),H239," ")</f>
        <v> </v>
      </c>
      <c r="AG239" s="17" t="str">
        <f aca="false">IF((E239="y"),H239," ")</f>
        <v> </v>
      </c>
      <c r="AH239" s="17" t="str">
        <f aca="false">IF((E239="z"),H239," ")</f>
        <v> </v>
      </c>
      <c r="AI239" s="17" t="str">
        <f aca="false">IF((E239="fa"),H239," ")</f>
        <v> </v>
      </c>
      <c r="AJ239" s="17" t="str">
        <f aca="false">IF((E239="e"),H239," ")</f>
        <v> </v>
      </c>
    </row>
    <row r="240" customFormat="false" ht="12" hidden="false" customHeight="false" outlineLevel="0" collapsed="false">
      <c r="A240" s="28"/>
      <c r="E240" s="2" t="str">
        <f aca="false">IF((F240&lt;&gt;0),"Enter Letter"," ")</f>
        <v> </v>
      </c>
      <c r="F240" s="30"/>
      <c r="G240" s="6" t="str">
        <f aca="false">IF(F240&lt;&gt;0,F240*G$2/(100+G$2)," ")</f>
        <v> </v>
      </c>
      <c r="H240" s="6" t="str">
        <f aca="false">IF((F240&lt;&gt;0),F240-G240," ")</f>
        <v> </v>
      </c>
      <c r="I240" s="5"/>
      <c r="L240" s="7" t="str">
        <f aca="false">IF(F240&lt;&gt;0,F240-K240," ")</f>
        <v> </v>
      </c>
      <c r="M240" s="8" t="str">
        <f aca="false">IF((F240-K240)&lt;&gt;0,M$1-A240," ")</f>
        <v> </v>
      </c>
      <c r="N240" s="5"/>
      <c r="O240" s="17" t="str">
        <f aca="false">IF((E240="s"),H240," ")</f>
        <v> </v>
      </c>
      <c r="P240" s="17" t="str">
        <f aca="false">IF((E240="c"),H240," ")</f>
        <v> </v>
      </c>
      <c r="Q240" s="17" t="str">
        <f aca="false">IF((E240="o"),H240," ")</f>
        <v> </v>
      </c>
      <c r="R240" s="17" t="str">
        <f aca="false">IF((E240="d"),H240," ")</f>
        <v> </v>
      </c>
      <c r="S240" s="17" t="str">
        <f aca="false">IF((E240="w"),H240," ")</f>
        <v> </v>
      </c>
      <c r="T240" s="17" t="str">
        <f aca="false">IF((E240="r"),H240," ")</f>
        <v> </v>
      </c>
      <c r="U240" s="17" t="str">
        <f aca="false">IF((E240="p"),H240," ")</f>
        <v> </v>
      </c>
      <c r="V240" s="17" t="str">
        <f aca="false">IF((E240="t"),H240," ")</f>
        <v> </v>
      </c>
      <c r="W240" s="17" t="str">
        <f aca="false">IF((E240="q"),H240," ")</f>
        <v> </v>
      </c>
      <c r="X240" s="17" t="str">
        <f aca="false">IF((E240="m"),H240," ")</f>
        <v> </v>
      </c>
      <c r="Y240" s="17" t="str">
        <f aca="false">IF((E240="u"),H240," ")</f>
        <v> </v>
      </c>
      <c r="Z240" s="17" t="str">
        <f aca="false">IF((E240="a"),H240," ")</f>
        <v> </v>
      </c>
      <c r="AA240" s="17" t="str">
        <f aca="false">IF((E240="g"),H240," ")</f>
        <v> </v>
      </c>
      <c r="AB240" s="17" t="str">
        <f aca="false">IF((E240="h"),H240," ")</f>
        <v> </v>
      </c>
      <c r="AC240" s="30" t="str">
        <f aca="false">IF((E240="v"),H240," ")</f>
        <v> </v>
      </c>
      <c r="AD240" s="30" t="str">
        <f aca="false">IF((E240="n"),H240," ")</f>
        <v> </v>
      </c>
      <c r="AE240" s="17" t="str">
        <f aca="false">IF((E240="f"),H240," ")</f>
        <v> </v>
      </c>
      <c r="AF240" s="17" t="str">
        <f aca="false">IF((E240="l"),H240," ")</f>
        <v> </v>
      </c>
      <c r="AG240" s="17" t="str">
        <f aca="false">IF((E240="y"),H240," ")</f>
        <v> </v>
      </c>
      <c r="AH240" s="17" t="str">
        <f aca="false">IF((E240="z"),H240," ")</f>
        <v> </v>
      </c>
      <c r="AI240" s="17" t="str">
        <f aca="false">IF((E240="fa"),H240," ")</f>
        <v> </v>
      </c>
      <c r="AJ240" s="17" t="str">
        <f aca="false">IF((E240="e"),H240," ")</f>
        <v> </v>
      </c>
    </row>
    <row r="241" customFormat="false" ht="12" hidden="false" customHeight="false" outlineLevel="0" collapsed="false">
      <c r="A241" s="28"/>
      <c r="E241" s="2" t="str">
        <f aca="false">IF((F241&lt;&gt;0),"Enter Letter"," ")</f>
        <v> </v>
      </c>
      <c r="F241" s="30"/>
      <c r="G241" s="6" t="str">
        <f aca="false">IF(F241&lt;&gt;0,F241*G$2/(100+G$2)," ")</f>
        <v> </v>
      </c>
      <c r="H241" s="6" t="str">
        <f aca="false">IF((F241&lt;&gt;0),F241-G241," ")</f>
        <v> </v>
      </c>
      <c r="I241" s="5"/>
      <c r="L241" s="7" t="str">
        <f aca="false">IF(F241&lt;&gt;0,F241-K241," ")</f>
        <v> </v>
      </c>
      <c r="M241" s="8" t="str">
        <f aca="false">IF((F241-K241)&lt;&gt;0,M$1-A241," ")</f>
        <v> </v>
      </c>
      <c r="N241" s="5"/>
      <c r="O241" s="17" t="str">
        <f aca="false">IF((E241="s"),H241," ")</f>
        <v> </v>
      </c>
      <c r="P241" s="17" t="str">
        <f aca="false">IF((E241="c"),H241," ")</f>
        <v> </v>
      </c>
      <c r="Q241" s="17" t="str">
        <f aca="false">IF((E241="o"),H241," ")</f>
        <v> </v>
      </c>
      <c r="R241" s="17" t="str">
        <f aca="false">IF((E241="d"),H241," ")</f>
        <v> </v>
      </c>
      <c r="S241" s="17" t="str">
        <f aca="false">IF((E241="w"),H241," ")</f>
        <v> </v>
      </c>
      <c r="T241" s="17" t="str">
        <f aca="false">IF((E241="r"),H241," ")</f>
        <v> </v>
      </c>
      <c r="U241" s="17" t="str">
        <f aca="false">IF((E241="p"),H241," ")</f>
        <v> </v>
      </c>
      <c r="V241" s="17" t="str">
        <f aca="false">IF((E241="t"),H241," ")</f>
        <v> </v>
      </c>
      <c r="W241" s="17" t="str">
        <f aca="false">IF((E241="q"),H241," ")</f>
        <v> </v>
      </c>
      <c r="X241" s="17" t="str">
        <f aca="false">IF((E241="m"),H241," ")</f>
        <v> </v>
      </c>
      <c r="Y241" s="17" t="str">
        <f aca="false">IF((E241="u"),H241," ")</f>
        <v> </v>
      </c>
      <c r="Z241" s="17" t="str">
        <f aca="false">IF((E241="a"),H241," ")</f>
        <v> </v>
      </c>
      <c r="AA241" s="17" t="str">
        <f aca="false">IF((E241="g"),H241," ")</f>
        <v> </v>
      </c>
      <c r="AB241" s="17" t="str">
        <f aca="false">IF((E241="h"),H241," ")</f>
        <v> </v>
      </c>
      <c r="AC241" s="30" t="str">
        <f aca="false">IF((E241="v"),H241," ")</f>
        <v> </v>
      </c>
      <c r="AD241" s="30" t="str">
        <f aca="false">IF((E241="n"),H241," ")</f>
        <v> </v>
      </c>
      <c r="AE241" s="17" t="str">
        <f aca="false">IF((E241="f"),H241," ")</f>
        <v> </v>
      </c>
      <c r="AF241" s="17" t="str">
        <f aca="false">IF((E241="l"),H241," ")</f>
        <v> </v>
      </c>
      <c r="AG241" s="17" t="str">
        <f aca="false">IF((E241="y"),H241," ")</f>
        <v> </v>
      </c>
      <c r="AH241" s="17" t="str">
        <f aca="false">IF((E241="z"),H241," ")</f>
        <v> </v>
      </c>
      <c r="AI241" s="17" t="str">
        <f aca="false">IF((E241="fa"),H241," ")</f>
        <v> </v>
      </c>
      <c r="AJ241" s="17" t="str">
        <f aca="false">IF((E241="e"),H241," ")</f>
        <v> </v>
      </c>
    </row>
    <row r="242" customFormat="false" ht="12" hidden="false" customHeight="false" outlineLevel="0" collapsed="false">
      <c r="A242" s="28"/>
      <c r="E242" s="2" t="str">
        <f aca="false">IF((F242&lt;&gt;0),"Enter Letter"," ")</f>
        <v> </v>
      </c>
      <c r="F242" s="30"/>
      <c r="G242" s="6" t="str">
        <f aca="false">IF(F242&lt;&gt;0,F242*G$2/(100+G$2)," ")</f>
        <v> </v>
      </c>
      <c r="H242" s="6" t="str">
        <f aca="false">IF((F242&lt;&gt;0),F242-G242," ")</f>
        <v> </v>
      </c>
      <c r="I242" s="5"/>
      <c r="L242" s="7" t="str">
        <f aca="false">IF(F242&lt;&gt;0,F242-K242," ")</f>
        <v> </v>
      </c>
      <c r="M242" s="8" t="str">
        <f aca="false">IF((F242-K242)&lt;&gt;0,M$1-A242," ")</f>
        <v> </v>
      </c>
      <c r="N242" s="5"/>
      <c r="O242" s="17" t="str">
        <f aca="false">IF((E242="s"),H242," ")</f>
        <v> </v>
      </c>
      <c r="P242" s="17" t="str">
        <f aca="false">IF((E242="c"),H242," ")</f>
        <v> </v>
      </c>
      <c r="Q242" s="17" t="str">
        <f aca="false">IF((E242="o"),H242," ")</f>
        <v> </v>
      </c>
      <c r="R242" s="17" t="str">
        <f aca="false">IF((E242="d"),H242," ")</f>
        <v> </v>
      </c>
      <c r="S242" s="17" t="str">
        <f aca="false">IF((E242="w"),H242," ")</f>
        <v> </v>
      </c>
      <c r="T242" s="17" t="str">
        <f aca="false">IF((E242="r"),H242," ")</f>
        <v> </v>
      </c>
      <c r="U242" s="17" t="str">
        <f aca="false">IF((E242="p"),H242," ")</f>
        <v> </v>
      </c>
      <c r="V242" s="17" t="str">
        <f aca="false">IF((E242="t"),H242," ")</f>
        <v> </v>
      </c>
      <c r="W242" s="17" t="str">
        <f aca="false">IF((E242="q"),H242," ")</f>
        <v> </v>
      </c>
      <c r="X242" s="17" t="str">
        <f aca="false">IF((E242="m"),H242," ")</f>
        <v> </v>
      </c>
      <c r="Y242" s="17" t="str">
        <f aca="false">IF((E242="u"),H242," ")</f>
        <v> </v>
      </c>
      <c r="Z242" s="17" t="str">
        <f aca="false">IF((E242="a"),H242," ")</f>
        <v> </v>
      </c>
      <c r="AA242" s="17" t="str">
        <f aca="false">IF((E242="g"),H242," ")</f>
        <v> </v>
      </c>
      <c r="AB242" s="17" t="str">
        <f aca="false">IF((E242="h"),H242," ")</f>
        <v> </v>
      </c>
      <c r="AC242" s="30" t="str">
        <f aca="false">IF((E242="v"),H242," ")</f>
        <v> </v>
      </c>
      <c r="AD242" s="30" t="str">
        <f aca="false">IF((E242="n"),H242," ")</f>
        <v> </v>
      </c>
      <c r="AE242" s="17" t="str">
        <f aca="false">IF((E242="f"),H242," ")</f>
        <v> </v>
      </c>
      <c r="AF242" s="17" t="str">
        <f aca="false">IF((E242="l"),H242," ")</f>
        <v> </v>
      </c>
      <c r="AG242" s="17" t="str">
        <f aca="false">IF((E242="y"),H242," ")</f>
        <v> </v>
      </c>
      <c r="AH242" s="17" t="str">
        <f aca="false">IF((E242="z"),H242," ")</f>
        <v> </v>
      </c>
      <c r="AI242" s="17" t="str">
        <f aca="false">IF((E242="fa"),H242," ")</f>
        <v> </v>
      </c>
      <c r="AJ242" s="17" t="str">
        <f aca="false">IF((E242="e"),H242," ")</f>
        <v> </v>
      </c>
    </row>
    <row r="243" customFormat="false" ht="12" hidden="false" customHeight="false" outlineLevel="0" collapsed="false">
      <c r="A243" s="28"/>
      <c r="E243" s="2" t="str">
        <f aca="false">IF((F243&lt;&gt;0),"Enter Letter"," ")</f>
        <v> </v>
      </c>
      <c r="F243" s="30"/>
      <c r="G243" s="6" t="str">
        <f aca="false">IF(F243&lt;&gt;0,F243*G$2/(100+G$2)," ")</f>
        <v> </v>
      </c>
      <c r="H243" s="6" t="str">
        <f aca="false">IF((F243&lt;&gt;0),F243-G243," ")</f>
        <v> </v>
      </c>
      <c r="I243" s="5"/>
      <c r="L243" s="7" t="str">
        <f aca="false">IF(F243&lt;&gt;0,F243-K243," ")</f>
        <v> </v>
      </c>
      <c r="M243" s="8" t="str">
        <f aca="false">IF((F243-K243)&lt;&gt;0,M$1-A243," ")</f>
        <v> </v>
      </c>
      <c r="N243" s="5"/>
      <c r="O243" s="17" t="str">
        <f aca="false">IF((E243="s"),H243," ")</f>
        <v> </v>
      </c>
      <c r="P243" s="17" t="str">
        <f aca="false">IF((E243="c"),H243," ")</f>
        <v> </v>
      </c>
      <c r="Q243" s="17" t="str">
        <f aca="false">IF((E243="o"),H243," ")</f>
        <v> </v>
      </c>
      <c r="R243" s="17" t="str">
        <f aca="false">IF((E243="d"),H243," ")</f>
        <v> </v>
      </c>
      <c r="S243" s="17" t="str">
        <f aca="false">IF((E243="w"),H243," ")</f>
        <v> </v>
      </c>
      <c r="T243" s="17" t="str">
        <f aca="false">IF((E243="r"),H243," ")</f>
        <v> </v>
      </c>
      <c r="U243" s="17" t="str">
        <f aca="false">IF((E243="p"),H243," ")</f>
        <v> </v>
      </c>
      <c r="V243" s="17" t="str">
        <f aca="false">IF((E243="t"),H243," ")</f>
        <v> </v>
      </c>
      <c r="W243" s="17" t="str">
        <f aca="false">IF((E243="q"),H243," ")</f>
        <v> </v>
      </c>
      <c r="X243" s="17" t="str">
        <f aca="false">IF((E243="m"),H243," ")</f>
        <v> </v>
      </c>
      <c r="Y243" s="17" t="str">
        <f aca="false">IF((E243="u"),H243," ")</f>
        <v> </v>
      </c>
      <c r="Z243" s="17" t="str">
        <f aca="false">IF((E243="a"),H243," ")</f>
        <v> </v>
      </c>
      <c r="AA243" s="17" t="str">
        <f aca="false">IF((E243="g"),H243," ")</f>
        <v> </v>
      </c>
      <c r="AB243" s="17" t="str">
        <f aca="false">IF((E243="h"),H243," ")</f>
        <v> </v>
      </c>
      <c r="AC243" s="30" t="str">
        <f aca="false">IF((E243="v"),H243," ")</f>
        <v> </v>
      </c>
      <c r="AD243" s="30" t="str">
        <f aca="false">IF((E243="n"),H243," ")</f>
        <v> </v>
      </c>
      <c r="AE243" s="17" t="str">
        <f aca="false">IF((E243="f"),H243," ")</f>
        <v> </v>
      </c>
      <c r="AF243" s="17" t="str">
        <f aca="false">IF((E243="l"),H243," ")</f>
        <v> </v>
      </c>
      <c r="AG243" s="17" t="str">
        <f aca="false">IF((E243="y"),H243," ")</f>
        <v> </v>
      </c>
      <c r="AH243" s="17" t="str">
        <f aca="false">IF((E243="z"),H243," ")</f>
        <v> </v>
      </c>
      <c r="AI243" s="17" t="str">
        <f aca="false">IF((E243="fa"),H243," ")</f>
        <v> </v>
      </c>
      <c r="AJ243" s="17" t="str">
        <f aca="false">IF((E243="e"),H243," ")</f>
        <v> </v>
      </c>
    </row>
    <row r="244" customFormat="false" ht="12" hidden="false" customHeight="false" outlineLevel="0" collapsed="false">
      <c r="A244" s="28"/>
      <c r="E244" s="2" t="str">
        <f aca="false">IF((F244&lt;&gt;0),"Enter Letter"," ")</f>
        <v> </v>
      </c>
      <c r="F244" s="30"/>
      <c r="G244" s="6" t="str">
        <f aca="false">IF(F244&lt;&gt;0,F244*G$2/(100+G$2)," ")</f>
        <v> </v>
      </c>
      <c r="H244" s="6" t="str">
        <f aca="false">IF((F244&lt;&gt;0),F244-G244," ")</f>
        <v> </v>
      </c>
      <c r="I244" s="5"/>
      <c r="L244" s="7" t="str">
        <f aca="false">IF(F244&lt;&gt;0,F244-K244," ")</f>
        <v> </v>
      </c>
      <c r="M244" s="8" t="str">
        <f aca="false">IF((F244-K244)&lt;&gt;0,M$1-A244," ")</f>
        <v> </v>
      </c>
      <c r="N244" s="5"/>
      <c r="O244" s="17" t="str">
        <f aca="false">IF((E244="s"),H244," ")</f>
        <v> </v>
      </c>
      <c r="P244" s="17" t="str">
        <f aca="false">IF((E244="c"),H244," ")</f>
        <v> </v>
      </c>
      <c r="Q244" s="17" t="str">
        <f aca="false">IF((E244="o"),H244," ")</f>
        <v> </v>
      </c>
      <c r="R244" s="17" t="str">
        <f aca="false">IF((E244="d"),H244," ")</f>
        <v> </v>
      </c>
      <c r="S244" s="17" t="str">
        <f aca="false">IF((E244="w"),H244," ")</f>
        <v> </v>
      </c>
      <c r="T244" s="17" t="str">
        <f aca="false">IF((E244="r"),H244," ")</f>
        <v> </v>
      </c>
      <c r="U244" s="17" t="str">
        <f aca="false">IF((E244="p"),H244," ")</f>
        <v> </v>
      </c>
      <c r="V244" s="17" t="str">
        <f aca="false">IF((E244="t"),H244," ")</f>
        <v> </v>
      </c>
      <c r="W244" s="17" t="str">
        <f aca="false">IF((E244="q"),H244," ")</f>
        <v> </v>
      </c>
      <c r="X244" s="17" t="str">
        <f aca="false">IF((E244="m"),H244," ")</f>
        <v> </v>
      </c>
      <c r="Y244" s="17" t="str">
        <f aca="false">IF((E244="u"),H244," ")</f>
        <v> </v>
      </c>
      <c r="Z244" s="17" t="str">
        <f aca="false">IF((E244="a"),H244," ")</f>
        <v> </v>
      </c>
      <c r="AA244" s="17" t="str">
        <f aca="false">IF((E244="g"),H244," ")</f>
        <v> </v>
      </c>
      <c r="AB244" s="17" t="str">
        <f aca="false">IF((E244="h"),H244," ")</f>
        <v> </v>
      </c>
      <c r="AC244" s="30" t="str">
        <f aca="false">IF((E244="v"),H244," ")</f>
        <v> </v>
      </c>
      <c r="AD244" s="30" t="str">
        <f aca="false">IF((E244="n"),H244," ")</f>
        <v> </v>
      </c>
      <c r="AE244" s="17" t="str">
        <f aca="false">IF((E244="f"),H244," ")</f>
        <v> </v>
      </c>
      <c r="AF244" s="17" t="str">
        <f aca="false">IF((E244="l"),H244," ")</f>
        <v> </v>
      </c>
      <c r="AG244" s="17" t="str">
        <f aca="false">IF((E244="y"),H244," ")</f>
        <v> </v>
      </c>
      <c r="AH244" s="17" t="str">
        <f aca="false">IF((E244="z"),H244," ")</f>
        <v> </v>
      </c>
      <c r="AI244" s="17" t="str">
        <f aca="false">IF((E244="fa"),H244," ")</f>
        <v> </v>
      </c>
      <c r="AJ244" s="17" t="str">
        <f aca="false">IF((E244="e"),H244," ")</f>
        <v> </v>
      </c>
    </row>
    <row r="245" customFormat="false" ht="12" hidden="false" customHeight="false" outlineLevel="0" collapsed="false">
      <c r="A245" s="28"/>
      <c r="E245" s="2" t="str">
        <f aca="false">IF((F245&lt;&gt;0),"Enter Letter"," ")</f>
        <v> </v>
      </c>
      <c r="F245" s="30"/>
      <c r="G245" s="6" t="str">
        <f aca="false">IF(F245&lt;&gt;0,F245*G$2/(100+G$2)," ")</f>
        <v> </v>
      </c>
      <c r="H245" s="6" t="str">
        <f aca="false">IF((F245&lt;&gt;0),F245-G245," ")</f>
        <v> </v>
      </c>
      <c r="I245" s="5"/>
      <c r="L245" s="7" t="str">
        <f aca="false">IF(F245&lt;&gt;0,F245-K245," ")</f>
        <v> </v>
      </c>
      <c r="M245" s="8" t="str">
        <f aca="false">IF((F245-K245)&lt;&gt;0,M$1-A245," ")</f>
        <v> </v>
      </c>
      <c r="N245" s="5"/>
      <c r="O245" s="17" t="str">
        <f aca="false">IF((E245="s"),H245," ")</f>
        <v> </v>
      </c>
      <c r="P245" s="17" t="str">
        <f aca="false">IF((E245="c"),H245," ")</f>
        <v> </v>
      </c>
      <c r="Q245" s="17" t="str">
        <f aca="false">IF((E245="o"),H245," ")</f>
        <v> </v>
      </c>
      <c r="R245" s="17" t="str">
        <f aca="false">IF((E245="d"),H245," ")</f>
        <v> </v>
      </c>
      <c r="S245" s="17" t="str">
        <f aca="false">IF((E245="w"),H245," ")</f>
        <v> </v>
      </c>
      <c r="T245" s="17" t="str">
        <f aca="false">IF((E245="r"),H245," ")</f>
        <v> </v>
      </c>
      <c r="U245" s="17" t="str">
        <f aca="false">IF((E245="p"),H245," ")</f>
        <v> </v>
      </c>
      <c r="V245" s="17" t="str">
        <f aca="false">IF((E245="t"),H245," ")</f>
        <v> </v>
      </c>
      <c r="W245" s="17" t="str">
        <f aca="false">IF((E245="q"),H245," ")</f>
        <v> </v>
      </c>
      <c r="X245" s="17" t="str">
        <f aca="false">IF((E245="m"),H245," ")</f>
        <v> </v>
      </c>
      <c r="Y245" s="17" t="str">
        <f aca="false">IF((E245="u"),H245," ")</f>
        <v> </v>
      </c>
      <c r="Z245" s="17" t="str">
        <f aca="false">IF((E245="a"),H245," ")</f>
        <v> </v>
      </c>
      <c r="AA245" s="17" t="str">
        <f aca="false">IF((E245="g"),H245," ")</f>
        <v> </v>
      </c>
      <c r="AB245" s="17" t="str">
        <f aca="false">IF((E245="h"),H245," ")</f>
        <v> </v>
      </c>
      <c r="AC245" s="30" t="str">
        <f aca="false">IF((E245="v"),H245," ")</f>
        <v> </v>
      </c>
      <c r="AD245" s="30" t="str">
        <f aca="false">IF((E245="n"),H245," ")</f>
        <v> </v>
      </c>
      <c r="AE245" s="17" t="str">
        <f aca="false">IF((E245="f"),H245," ")</f>
        <v> </v>
      </c>
      <c r="AF245" s="17" t="str">
        <f aca="false">IF((E245="l"),H245," ")</f>
        <v> </v>
      </c>
      <c r="AG245" s="17" t="str">
        <f aca="false">IF((E245="y"),H245," ")</f>
        <v> </v>
      </c>
      <c r="AH245" s="17" t="str">
        <f aca="false">IF((E245="z"),H245," ")</f>
        <v> </v>
      </c>
      <c r="AI245" s="17" t="str">
        <f aca="false">IF((E245="fa"),H245," ")</f>
        <v> </v>
      </c>
      <c r="AJ245" s="17" t="str">
        <f aca="false">IF((E245="e"),H245," ")</f>
        <v> </v>
      </c>
    </row>
    <row r="246" customFormat="false" ht="12" hidden="false" customHeight="false" outlineLevel="0" collapsed="false">
      <c r="A246" s="28"/>
      <c r="E246" s="2" t="str">
        <f aca="false">IF((F246&lt;&gt;0),"Enter Letter"," ")</f>
        <v> </v>
      </c>
      <c r="F246" s="30"/>
      <c r="G246" s="6" t="str">
        <f aca="false">IF(F246&lt;&gt;0,F246*G$2/(100+G$2)," ")</f>
        <v> </v>
      </c>
      <c r="H246" s="6" t="str">
        <f aca="false">IF((F246&lt;&gt;0),F246-G246," ")</f>
        <v> </v>
      </c>
      <c r="I246" s="5"/>
      <c r="L246" s="7" t="str">
        <f aca="false">IF(F246&lt;&gt;0,F246-K246," ")</f>
        <v> </v>
      </c>
      <c r="M246" s="8" t="str">
        <f aca="false">IF((F246-K246)&lt;&gt;0,M$1-A246," ")</f>
        <v> </v>
      </c>
      <c r="N246" s="5"/>
      <c r="O246" s="17" t="str">
        <f aca="false">IF((E246="s"),H246," ")</f>
        <v> </v>
      </c>
      <c r="P246" s="17" t="str">
        <f aca="false">IF((E246="c"),H246," ")</f>
        <v> </v>
      </c>
      <c r="Q246" s="17" t="str">
        <f aca="false">IF((E246="o"),H246," ")</f>
        <v> </v>
      </c>
      <c r="R246" s="17" t="str">
        <f aca="false">IF((E246="d"),H246," ")</f>
        <v> </v>
      </c>
      <c r="S246" s="17" t="str">
        <f aca="false">IF((E246="w"),H246," ")</f>
        <v> </v>
      </c>
      <c r="T246" s="17" t="str">
        <f aca="false">IF((E246="r"),H246," ")</f>
        <v> </v>
      </c>
      <c r="U246" s="17" t="str">
        <f aca="false">IF((E246="p"),H246," ")</f>
        <v> </v>
      </c>
      <c r="V246" s="17" t="str">
        <f aca="false">IF((E246="t"),H246," ")</f>
        <v> </v>
      </c>
      <c r="W246" s="17" t="str">
        <f aca="false">IF((E246="q"),H246," ")</f>
        <v> </v>
      </c>
      <c r="X246" s="17" t="str">
        <f aca="false">IF((E246="m"),H246," ")</f>
        <v> </v>
      </c>
      <c r="Y246" s="17" t="str">
        <f aca="false">IF((E246="u"),H246," ")</f>
        <v> </v>
      </c>
      <c r="Z246" s="17" t="str">
        <f aca="false">IF((E246="a"),H246," ")</f>
        <v> </v>
      </c>
      <c r="AA246" s="17" t="str">
        <f aca="false">IF((E246="g"),H246," ")</f>
        <v> </v>
      </c>
      <c r="AB246" s="17" t="str">
        <f aca="false">IF((E246="h"),H246," ")</f>
        <v> </v>
      </c>
      <c r="AC246" s="30" t="str">
        <f aca="false">IF((E246="v"),H246," ")</f>
        <v> </v>
      </c>
      <c r="AD246" s="30" t="str">
        <f aca="false">IF((E246="n"),H246," ")</f>
        <v> </v>
      </c>
      <c r="AE246" s="17" t="str">
        <f aca="false">IF((E246="f"),H246," ")</f>
        <v> </v>
      </c>
      <c r="AF246" s="17" t="str">
        <f aca="false">IF((E246="l"),H246," ")</f>
        <v> </v>
      </c>
      <c r="AG246" s="17" t="str">
        <f aca="false">IF((E246="y"),H246," ")</f>
        <v> </v>
      </c>
      <c r="AH246" s="17" t="str">
        <f aca="false">IF((E246="z"),H246," ")</f>
        <v> </v>
      </c>
      <c r="AI246" s="17" t="str">
        <f aca="false">IF((E246="fa"),H246," ")</f>
        <v> </v>
      </c>
      <c r="AJ246" s="17" t="str">
        <f aca="false">IF((E246="e"),H246," ")</f>
        <v> </v>
      </c>
    </row>
    <row r="247" customFormat="false" ht="12" hidden="false" customHeight="false" outlineLevel="0" collapsed="false">
      <c r="A247" s="28"/>
      <c r="E247" s="2" t="str">
        <f aca="false">IF((F247&lt;&gt;0),"Enter Letter"," ")</f>
        <v> </v>
      </c>
      <c r="F247" s="30"/>
      <c r="G247" s="6" t="str">
        <f aca="false">IF(F247&lt;&gt;0,F247*G$2/(100+G$2)," ")</f>
        <v> </v>
      </c>
      <c r="H247" s="6" t="str">
        <f aca="false">IF((F247&lt;&gt;0),F247-G247," ")</f>
        <v> </v>
      </c>
      <c r="I247" s="5"/>
      <c r="L247" s="7" t="str">
        <f aca="false">IF(F247&lt;&gt;0,F247-K247," ")</f>
        <v> </v>
      </c>
      <c r="M247" s="8" t="str">
        <f aca="false">IF((F247-K247)&lt;&gt;0,M$1-A247," ")</f>
        <v> </v>
      </c>
      <c r="N247" s="5"/>
      <c r="O247" s="17" t="str">
        <f aca="false">IF((E247="s"),H247," ")</f>
        <v> </v>
      </c>
      <c r="P247" s="17" t="str">
        <f aca="false">IF((E247="c"),H247," ")</f>
        <v> </v>
      </c>
      <c r="Q247" s="17" t="str">
        <f aca="false">IF((E247="o"),H247," ")</f>
        <v> </v>
      </c>
      <c r="R247" s="17" t="str">
        <f aca="false">IF((E247="d"),H247," ")</f>
        <v> </v>
      </c>
      <c r="S247" s="17" t="str">
        <f aca="false">IF((E247="w"),H247," ")</f>
        <v> </v>
      </c>
      <c r="T247" s="17" t="str">
        <f aca="false">IF((E247="r"),H247," ")</f>
        <v> </v>
      </c>
      <c r="U247" s="17" t="str">
        <f aca="false">IF((E247="p"),H247," ")</f>
        <v> </v>
      </c>
      <c r="V247" s="17" t="str">
        <f aca="false">IF((E247="t"),H247," ")</f>
        <v> </v>
      </c>
      <c r="W247" s="17" t="str">
        <f aca="false">IF((E247="q"),H247," ")</f>
        <v> </v>
      </c>
      <c r="X247" s="17" t="str">
        <f aca="false">IF((E247="m"),H247," ")</f>
        <v> </v>
      </c>
      <c r="Y247" s="17" t="str">
        <f aca="false">IF((E247="u"),H247," ")</f>
        <v> </v>
      </c>
      <c r="Z247" s="17" t="str">
        <f aca="false">IF((E247="a"),H247," ")</f>
        <v> </v>
      </c>
      <c r="AA247" s="17" t="str">
        <f aca="false">IF((E247="g"),H247," ")</f>
        <v> </v>
      </c>
      <c r="AB247" s="17" t="str">
        <f aca="false">IF((E247="h"),H247," ")</f>
        <v> </v>
      </c>
      <c r="AC247" s="30" t="str">
        <f aca="false">IF((E247="v"),H247," ")</f>
        <v> </v>
      </c>
      <c r="AD247" s="30" t="str">
        <f aca="false">IF((E247="n"),H247," ")</f>
        <v> </v>
      </c>
      <c r="AE247" s="17" t="str">
        <f aca="false">IF((E247="f"),H247," ")</f>
        <v> </v>
      </c>
      <c r="AF247" s="17" t="str">
        <f aca="false">IF((E247="l"),H247," ")</f>
        <v> </v>
      </c>
      <c r="AG247" s="17" t="str">
        <f aca="false">IF((E247="y"),H247," ")</f>
        <v> </v>
      </c>
      <c r="AH247" s="17" t="str">
        <f aca="false">IF((E247="z"),H247," ")</f>
        <v> </v>
      </c>
      <c r="AI247" s="17" t="str">
        <f aca="false">IF((E247="fa"),H247," ")</f>
        <v> </v>
      </c>
      <c r="AJ247" s="17" t="str">
        <f aca="false">IF((E247="e"),H247," ")</f>
        <v> </v>
      </c>
    </row>
    <row r="248" customFormat="false" ht="12" hidden="false" customHeight="false" outlineLevel="0" collapsed="false">
      <c r="A248" s="28"/>
      <c r="E248" s="2" t="str">
        <f aca="false">IF((F248&lt;&gt;0),"Enter Letter"," ")</f>
        <v> </v>
      </c>
      <c r="F248" s="30"/>
      <c r="G248" s="6" t="str">
        <f aca="false">IF(F248&lt;&gt;0,F248*G$2/(100+G$2)," ")</f>
        <v> </v>
      </c>
      <c r="H248" s="6" t="str">
        <f aca="false">IF((F248&lt;&gt;0),F248-G248," ")</f>
        <v> </v>
      </c>
      <c r="I248" s="5"/>
      <c r="L248" s="7" t="str">
        <f aca="false">IF(F248&lt;&gt;0,F248-K248," ")</f>
        <v> </v>
      </c>
      <c r="M248" s="8" t="str">
        <f aca="false">IF((F248-K248)&lt;&gt;0,M$1-A248," ")</f>
        <v> </v>
      </c>
      <c r="N248" s="5"/>
      <c r="O248" s="17" t="str">
        <f aca="false">IF((E248="s"),H248," ")</f>
        <v> </v>
      </c>
      <c r="P248" s="17" t="str">
        <f aca="false">IF((E248="c"),H248," ")</f>
        <v> </v>
      </c>
      <c r="Q248" s="17" t="str">
        <f aca="false">IF((E248="o"),H248," ")</f>
        <v> </v>
      </c>
      <c r="R248" s="17" t="str">
        <f aca="false">IF((E248="d"),H248," ")</f>
        <v> </v>
      </c>
      <c r="S248" s="17" t="str">
        <f aca="false">IF((E248="w"),H248," ")</f>
        <v> </v>
      </c>
      <c r="T248" s="17" t="str">
        <f aca="false">IF((E248="r"),H248," ")</f>
        <v> </v>
      </c>
      <c r="U248" s="17" t="str">
        <f aca="false">IF((E248="p"),H248," ")</f>
        <v> </v>
      </c>
      <c r="V248" s="17" t="str">
        <f aca="false">IF((E248="t"),H248," ")</f>
        <v> </v>
      </c>
      <c r="W248" s="17" t="str">
        <f aca="false">IF((E248="q"),H248," ")</f>
        <v> </v>
      </c>
      <c r="X248" s="17" t="str">
        <f aca="false">IF((E248="m"),H248," ")</f>
        <v> </v>
      </c>
      <c r="Y248" s="17" t="str">
        <f aca="false">IF((E248="u"),H248," ")</f>
        <v> </v>
      </c>
      <c r="Z248" s="17" t="str">
        <f aca="false">IF((E248="a"),H248," ")</f>
        <v> </v>
      </c>
      <c r="AA248" s="17" t="str">
        <f aca="false">IF((E248="g"),H248," ")</f>
        <v> </v>
      </c>
      <c r="AB248" s="17" t="str">
        <f aca="false">IF((E248="h"),H248," ")</f>
        <v> </v>
      </c>
      <c r="AC248" s="30" t="str">
        <f aca="false">IF((E248="v"),H248," ")</f>
        <v> </v>
      </c>
      <c r="AD248" s="30" t="str">
        <f aca="false">IF((E248="n"),H248," ")</f>
        <v> </v>
      </c>
      <c r="AE248" s="17" t="str">
        <f aca="false">IF((E248="f"),H248," ")</f>
        <v> </v>
      </c>
      <c r="AF248" s="17" t="str">
        <f aca="false">IF((E248="l"),H248," ")</f>
        <v> </v>
      </c>
      <c r="AG248" s="17" t="str">
        <f aca="false">IF((E248="y"),H248," ")</f>
        <v> </v>
      </c>
      <c r="AH248" s="17" t="str">
        <f aca="false">IF((E248="z"),H248," ")</f>
        <v> </v>
      </c>
      <c r="AI248" s="17" t="str">
        <f aca="false">IF((E248="fa"),H248," ")</f>
        <v> </v>
      </c>
      <c r="AJ248" s="17" t="str">
        <f aca="false">IF((E248="e"),H248," ")</f>
        <v> </v>
      </c>
    </row>
    <row r="249" customFormat="false" ht="12" hidden="false" customHeight="false" outlineLevel="0" collapsed="false">
      <c r="A249" s="28"/>
      <c r="E249" s="2" t="str">
        <f aca="false">IF((F249&lt;&gt;0),"Enter Letter"," ")</f>
        <v> </v>
      </c>
      <c r="F249" s="30"/>
      <c r="G249" s="6" t="str">
        <f aca="false">IF(F249&lt;&gt;0,F249*G$2/(100+G$2)," ")</f>
        <v> </v>
      </c>
      <c r="H249" s="6" t="str">
        <f aca="false">IF((F249&lt;&gt;0),F249-G249," ")</f>
        <v> </v>
      </c>
      <c r="I249" s="5"/>
      <c r="L249" s="7" t="str">
        <f aca="false">IF(F249&lt;&gt;0,F249-K249," ")</f>
        <v> </v>
      </c>
      <c r="M249" s="8" t="str">
        <f aca="false">IF((F249-K249)&lt;&gt;0,M$1-A249," ")</f>
        <v> </v>
      </c>
      <c r="N249" s="5"/>
      <c r="O249" s="17" t="str">
        <f aca="false">IF((E249="s"),H249," ")</f>
        <v> </v>
      </c>
      <c r="P249" s="17" t="str">
        <f aca="false">IF((E249="c"),H249," ")</f>
        <v> </v>
      </c>
      <c r="Q249" s="17" t="str">
        <f aca="false">IF((E249="o"),H249," ")</f>
        <v> </v>
      </c>
      <c r="R249" s="17" t="str">
        <f aca="false">IF((E249="d"),H249," ")</f>
        <v> </v>
      </c>
      <c r="S249" s="17" t="str">
        <f aca="false">IF((E249="w"),H249," ")</f>
        <v> </v>
      </c>
      <c r="T249" s="17" t="str">
        <f aca="false">IF((E249="r"),H249," ")</f>
        <v> </v>
      </c>
      <c r="U249" s="17" t="str">
        <f aca="false">IF((E249="p"),H249," ")</f>
        <v> </v>
      </c>
      <c r="V249" s="17" t="str">
        <f aca="false">IF((E249="t"),H249," ")</f>
        <v> </v>
      </c>
      <c r="W249" s="17" t="str">
        <f aca="false">IF((E249="q"),H249," ")</f>
        <v> </v>
      </c>
      <c r="X249" s="17" t="str">
        <f aca="false">IF((E249="m"),H249," ")</f>
        <v> </v>
      </c>
      <c r="Y249" s="17" t="str">
        <f aca="false">IF((E249="u"),H249," ")</f>
        <v> </v>
      </c>
      <c r="Z249" s="17" t="str">
        <f aca="false">IF((E249="a"),H249," ")</f>
        <v> </v>
      </c>
      <c r="AA249" s="17" t="str">
        <f aca="false">IF((E249="g"),H249," ")</f>
        <v> </v>
      </c>
      <c r="AB249" s="17" t="str">
        <f aca="false">IF((E249="h"),H249," ")</f>
        <v> </v>
      </c>
      <c r="AC249" s="30" t="str">
        <f aca="false">IF((E249="v"),H249," ")</f>
        <v> </v>
      </c>
      <c r="AD249" s="30" t="str">
        <f aca="false">IF((E249="n"),H249," ")</f>
        <v> </v>
      </c>
      <c r="AE249" s="17" t="str">
        <f aca="false">IF((E249="f"),H249," ")</f>
        <v> </v>
      </c>
      <c r="AF249" s="17" t="str">
        <f aca="false">IF((E249="l"),H249," ")</f>
        <v> </v>
      </c>
      <c r="AG249" s="17" t="str">
        <f aca="false">IF((E249="y"),H249," ")</f>
        <v> </v>
      </c>
      <c r="AH249" s="17" t="str">
        <f aca="false">IF((E249="z"),H249," ")</f>
        <v> </v>
      </c>
      <c r="AI249" s="17" t="str">
        <f aca="false">IF((E249="fa"),H249," ")</f>
        <v> </v>
      </c>
      <c r="AJ249" s="17" t="str">
        <f aca="false">IF((E249="e"),H249," ")</f>
        <v> </v>
      </c>
    </row>
    <row r="250" customFormat="false" ht="12" hidden="false" customHeight="false" outlineLevel="0" collapsed="false">
      <c r="A250" s="28"/>
      <c r="E250" s="2" t="str">
        <f aca="false">IF((F250&lt;&gt;0),"Enter Letter"," ")</f>
        <v> </v>
      </c>
      <c r="F250" s="30"/>
      <c r="G250" s="6" t="str">
        <f aca="false">IF(F250&lt;&gt;0,F250*G$2/(100+G$2)," ")</f>
        <v> </v>
      </c>
      <c r="H250" s="6" t="str">
        <f aca="false">IF((F250&lt;&gt;0),F250-G250," ")</f>
        <v> </v>
      </c>
      <c r="I250" s="5"/>
      <c r="L250" s="7" t="str">
        <f aca="false">IF(F250&lt;&gt;0,F250-K250," ")</f>
        <v> </v>
      </c>
      <c r="M250" s="8" t="str">
        <f aca="false">IF((F250-K250)&lt;&gt;0,M$1-A250," ")</f>
        <v> </v>
      </c>
      <c r="N250" s="5"/>
      <c r="O250" s="17" t="str">
        <f aca="false">IF((E250="s"),H250," ")</f>
        <v> </v>
      </c>
      <c r="P250" s="17" t="str">
        <f aca="false">IF((E250="c"),H250," ")</f>
        <v> </v>
      </c>
      <c r="Q250" s="17" t="str">
        <f aca="false">IF((E250="o"),H250," ")</f>
        <v> </v>
      </c>
      <c r="R250" s="17" t="str">
        <f aca="false">IF((E250="d"),H250," ")</f>
        <v> </v>
      </c>
      <c r="S250" s="17" t="str">
        <f aca="false">IF((E250="w"),H250," ")</f>
        <v> </v>
      </c>
      <c r="T250" s="17" t="str">
        <f aca="false">IF((E250="r"),H250," ")</f>
        <v> </v>
      </c>
      <c r="U250" s="17" t="str">
        <f aca="false">IF((E250="p"),H250," ")</f>
        <v> </v>
      </c>
      <c r="V250" s="17" t="str">
        <f aca="false">IF((E250="t"),H250," ")</f>
        <v> </v>
      </c>
      <c r="W250" s="17" t="str">
        <f aca="false">IF((E250="q"),H250," ")</f>
        <v> </v>
      </c>
      <c r="X250" s="17" t="str">
        <f aca="false">IF((E250="m"),H250," ")</f>
        <v> </v>
      </c>
      <c r="Y250" s="17" t="str">
        <f aca="false">IF((E250="u"),H250," ")</f>
        <v> </v>
      </c>
      <c r="Z250" s="17" t="str">
        <f aca="false">IF((E250="a"),H250," ")</f>
        <v> </v>
      </c>
      <c r="AA250" s="17" t="str">
        <f aca="false">IF((E250="g"),H250," ")</f>
        <v> </v>
      </c>
      <c r="AB250" s="17" t="str">
        <f aca="false">IF((E250="h"),H250," ")</f>
        <v> </v>
      </c>
      <c r="AC250" s="30" t="str">
        <f aca="false">IF((E250="v"),H250," ")</f>
        <v> </v>
      </c>
      <c r="AD250" s="30" t="str">
        <f aca="false">IF((E250="n"),H250," ")</f>
        <v> </v>
      </c>
      <c r="AE250" s="17" t="str">
        <f aca="false">IF((E250="f"),H250," ")</f>
        <v> </v>
      </c>
      <c r="AF250" s="17" t="str">
        <f aca="false">IF((E250="l"),H250," ")</f>
        <v> </v>
      </c>
      <c r="AG250" s="17" t="str">
        <f aca="false">IF((E250="y"),H250," ")</f>
        <v> </v>
      </c>
      <c r="AH250" s="17" t="str">
        <f aca="false">IF((E250="z"),H250," ")</f>
        <v> </v>
      </c>
      <c r="AI250" s="17" t="str">
        <f aca="false">IF((E250="fa"),H250," ")</f>
        <v> </v>
      </c>
      <c r="AJ250" s="17" t="str">
        <f aca="false">IF((E250="e"),H250," ")</f>
        <v> </v>
      </c>
    </row>
    <row r="251" customFormat="false" ht="12" hidden="false" customHeight="false" outlineLevel="0" collapsed="false">
      <c r="A251" s="28"/>
      <c r="E251" s="2" t="str">
        <f aca="false">IF((F251&lt;&gt;0),"Enter Letter"," ")</f>
        <v> </v>
      </c>
      <c r="F251" s="30"/>
      <c r="G251" s="6" t="str">
        <f aca="false">IF(F251&lt;&gt;0,F251*G$2/(100+G$2)," ")</f>
        <v> </v>
      </c>
      <c r="H251" s="6" t="str">
        <f aca="false">IF((F251&lt;&gt;0),F251-G251," ")</f>
        <v> </v>
      </c>
      <c r="I251" s="5"/>
      <c r="L251" s="7" t="str">
        <f aca="false">IF(F251&lt;&gt;0,F251-K251," ")</f>
        <v> </v>
      </c>
      <c r="M251" s="8" t="str">
        <f aca="false">IF((F251-K251)&lt;&gt;0,M$1-A251," ")</f>
        <v> </v>
      </c>
      <c r="N251" s="5"/>
      <c r="O251" s="17" t="str">
        <f aca="false">IF((E251="s"),H251," ")</f>
        <v> </v>
      </c>
      <c r="P251" s="17" t="str">
        <f aca="false">IF((E251="c"),H251," ")</f>
        <v> </v>
      </c>
      <c r="Q251" s="17" t="str">
        <f aca="false">IF((E251="o"),H251," ")</f>
        <v> </v>
      </c>
      <c r="R251" s="17" t="str">
        <f aca="false">IF((E251="d"),H251," ")</f>
        <v> </v>
      </c>
      <c r="S251" s="17" t="str">
        <f aca="false">IF((E251="w"),H251," ")</f>
        <v> </v>
      </c>
      <c r="T251" s="17" t="str">
        <f aca="false">IF((E251="r"),H251," ")</f>
        <v> </v>
      </c>
      <c r="U251" s="17" t="str">
        <f aca="false">IF((E251="p"),H251," ")</f>
        <v> </v>
      </c>
      <c r="V251" s="17" t="str">
        <f aca="false">IF((E251="t"),H251," ")</f>
        <v> </v>
      </c>
      <c r="W251" s="17" t="str">
        <f aca="false">IF((E251="q"),H251," ")</f>
        <v> </v>
      </c>
      <c r="X251" s="17" t="str">
        <f aca="false">IF((E251="m"),H251," ")</f>
        <v> </v>
      </c>
      <c r="Y251" s="17" t="str">
        <f aca="false">IF((E251="u"),H251," ")</f>
        <v> </v>
      </c>
      <c r="Z251" s="17" t="str">
        <f aca="false">IF((E251="a"),H251," ")</f>
        <v> </v>
      </c>
      <c r="AA251" s="17" t="str">
        <f aca="false">IF((E251="g"),H251," ")</f>
        <v> </v>
      </c>
      <c r="AB251" s="17" t="str">
        <f aca="false">IF((E251="h"),H251," ")</f>
        <v> </v>
      </c>
      <c r="AC251" s="30" t="str">
        <f aca="false">IF((E251="v"),H251," ")</f>
        <v> </v>
      </c>
      <c r="AD251" s="30" t="str">
        <f aca="false">IF((E251="n"),H251," ")</f>
        <v> </v>
      </c>
      <c r="AE251" s="17" t="str">
        <f aca="false">IF((E251="f"),H251," ")</f>
        <v> </v>
      </c>
      <c r="AF251" s="17" t="str">
        <f aca="false">IF((E251="l"),H251," ")</f>
        <v> </v>
      </c>
      <c r="AG251" s="17" t="str">
        <f aca="false">IF((E251="y"),H251," ")</f>
        <v> </v>
      </c>
      <c r="AH251" s="17" t="str">
        <f aca="false">IF((E251="z"),H251," ")</f>
        <v> </v>
      </c>
      <c r="AI251" s="17" t="str">
        <f aca="false">IF((E251="fa"),H251," ")</f>
        <v> </v>
      </c>
      <c r="AJ251" s="17" t="str">
        <f aca="false">IF((E251="e"),H251," ")</f>
        <v> </v>
      </c>
    </row>
    <row r="252" customFormat="false" ht="12" hidden="false" customHeight="false" outlineLevel="0" collapsed="false">
      <c r="A252" s="28"/>
      <c r="E252" s="2" t="str">
        <f aca="false">IF((F252&lt;&gt;0),"Enter Letter"," ")</f>
        <v> </v>
      </c>
      <c r="F252" s="30"/>
      <c r="G252" s="6" t="str">
        <f aca="false">IF(F252&lt;&gt;0,F252*G$2/(100+G$2)," ")</f>
        <v> </v>
      </c>
      <c r="H252" s="6" t="str">
        <f aca="false">IF((F252&lt;&gt;0),F252-G252," ")</f>
        <v> </v>
      </c>
      <c r="I252" s="5"/>
      <c r="L252" s="7" t="str">
        <f aca="false">IF(F252&lt;&gt;0,F252-K252," ")</f>
        <v> </v>
      </c>
      <c r="M252" s="8" t="str">
        <f aca="false">IF((F252-K252)&lt;&gt;0,M$1-A252," ")</f>
        <v> </v>
      </c>
      <c r="N252" s="5"/>
      <c r="O252" s="17" t="str">
        <f aca="false">IF((E252="s"),H252," ")</f>
        <v> </v>
      </c>
      <c r="P252" s="17" t="str">
        <f aca="false">IF((E252="c"),H252," ")</f>
        <v> </v>
      </c>
      <c r="Q252" s="17" t="str">
        <f aca="false">IF((E252="o"),H252," ")</f>
        <v> </v>
      </c>
      <c r="R252" s="17" t="str">
        <f aca="false">IF((E252="d"),H252," ")</f>
        <v> </v>
      </c>
      <c r="S252" s="17" t="str">
        <f aca="false">IF((E252="w"),H252," ")</f>
        <v> </v>
      </c>
      <c r="T252" s="17" t="str">
        <f aca="false">IF((E252="r"),H252," ")</f>
        <v> </v>
      </c>
      <c r="U252" s="17" t="str">
        <f aca="false">IF((E252="p"),H252," ")</f>
        <v> </v>
      </c>
      <c r="V252" s="17" t="str">
        <f aca="false">IF((E252="t"),H252," ")</f>
        <v> </v>
      </c>
      <c r="W252" s="17" t="str">
        <f aca="false">IF((E252="q"),H252," ")</f>
        <v> </v>
      </c>
      <c r="X252" s="17" t="str">
        <f aca="false">IF((E252="m"),H252," ")</f>
        <v> </v>
      </c>
      <c r="Y252" s="17" t="str">
        <f aca="false">IF((E252="u"),H252," ")</f>
        <v> </v>
      </c>
      <c r="Z252" s="17" t="str">
        <f aca="false">IF((E252="a"),H252," ")</f>
        <v> </v>
      </c>
      <c r="AA252" s="17" t="str">
        <f aca="false">IF((E252="g"),H252," ")</f>
        <v> </v>
      </c>
      <c r="AB252" s="17" t="str">
        <f aca="false">IF((E252="h"),H252," ")</f>
        <v> </v>
      </c>
      <c r="AC252" s="30" t="str">
        <f aca="false">IF((E252="v"),H252," ")</f>
        <v> </v>
      </c>
      <c r="AD252" s="30" t="str">
        <f aca="false">IF((E252="n"),H252," ")</f>
        <v> </v>
      </c>
      <c r="AE252" s="17" t="str">
        <f aca="false">IF((E252="f"),H252," ")</f>
        <v> </v>
      </c>
      <c r="AF252" s="17" t="str">
        <f aca="false">IF((E252="l"),H252," ")</f>
        <v> </v>
      </c>
      <c r="AG252" s="17" t="str">
        <f aca="false">IF((E252="y"),H252," ")</f>
        <v> </v>
      </c>
      <c r="AH252" s="17" t="str">
        <f aca="false">IF((E252="z"),H252," ")</f>
        <v> </v>
      </c>
      <c r="AI252" s="17" t="str">
        <f aca="false">IF((E252="fa"),H252," ")</f>
        <v> </v>
      </c>
      <c r="AJ252" s="17" t="str">
        <f aca="false">IF((E252="e"),H252," ")</f>
        <v> </v>
      </c>
    </row>
    <row r="253" customFormat="false" ht="12" hidden="false" customHeight="false" outlineLevel="0" collapsed="false">
      <c r="A253" s="28"/>
      <c r="E253" s="2" t="str">
        <f aca="false">IF((F253&lt;&gt;0),"Enter Letter"," ")</f>
        <v> </v>
      </c>
      <c r="F253" s="30"/>
      <c r="G253" s="6" t="str">
        <f aca="false">IF(F253&lt;&gt;0,F253*G$2/(100+G$2)," ")</f>
        <v> </v>
      </c>
      <c r="H253" s="6" t="str">
        <f aca="false">IF((F253&lt;&gt;0),F253-G253," ")</f>
        <v> </v>
      </c>
      <c r="I253" s="5"/>
      <c r="L253" s="7" t="str">
        <f aca="false">IF(F253&lt;&gt;0,F253-K253," ")</f>
        <v> </v>
      </c>
      <c r="M253" s="8" t="str">
        <f aca="false">IF((F253-K253)&lt;&gt;0,M$1-A253," ")</f>
        <v> </v>
      </c>
      <c r="N253" s="5"/>
      <c r="O253" s="17" t="str">
        <f aca="false">IF((E253="s"),H253," ")</f>
        <v> </v>
      </c>
      <c r="P253" s="17" t="str">
        <f aca="false">IF((E253="c"),H253," ")</f>
        <v> </v>
      </c>
      <c r="Q253" s="17" t="str">
        <f aca="false">IF((E253="o"),H253," ")</f>
        <v> </v>
      </c>
      <c r="R253" s="17" t="str">
        <f aca="false">IF((E253="d"),H253," ")</f>
        <v> </v>
      </c>
      <c r="S253" s="17" t="str">
        <f aca="false">IF((E253="w"),H253," ")</f>
        <v> </v>
      </c>
      <c r="T253" s="17" t="str">
        <f aca="false">IF((E253="r"),H253," ")</f>
        <v> </v>
      </c>
      <c r="U253" s="17" t="str">
        <f aca="false">IF((E253="p"),H253," ")</f>
        <v> </v>
      </c>
      <c r="V253" s="17" t="str">
        <f aca="false">IF((E253="t"),H253," ")</f>
        <v> </v>
      </c>
      <c r="W253" s="17" t="str">
        <f aca="false">IF((E253="q"),H253," ")</f>
        <v> </v>
      </c>
      <c r="X253" s="17" t="str">
        <f aca="false">IF((E253="m"),H253," ")</f>
        <v> </v>
      </c>
      <c r="Y253" s="17" t="str">
        <f aca="false">IF((E253="u"),H253," ")</f>
        <v> </v>
      </c>
      <c r="Z253" s="17" t="str">
        <f aca="false">IF((E253="a"),H253," ")</f>
        <v> </v>
      </c>
      <c r="AA253" s="17" t="str">
        <f aca="false">IF((E253="g"),H253," ")</f>
        <v> </v>
      </c>
      <c r="AB253" s="17" t="str">
        <f aca="false">IF((E253="h"),H253," ")</f>
        <v> </v>
      </c>
      <c r="AC253" s="30" t="str">
        <f aca="false">IF((E253="v"),H253," ")</f>
        <v> </v>
      </c>
      <c r="AD253" s="30" t="str">
        <f aca="false">IF((E253="n"),H253," ")</f>
        <v> </v>
      </c>
      <c r="AE253" s="17" t="str">
        <f aca="false">IF((E253="f"),H253," ")</f>
        <v> </v>
      </c>
      <c r="AF253" s="17" t="str">
        <f aca="false">IF((E253="l"),H253," ")</f>
        <v> </v>
      </c>
      <c r="AG253" s="17" t="str">
        <f aca="false">IF((E253="y"),H253," ")</f>
        <v> </v>
      </c>
      <c r="AH253" s="17" t="str">
        <f aca="false">IF((E253="z"),H253," ")</f>
        <v> </v>
      </c>
      <c r="AI253" s="17" t="str">
        <f aca="false">IF((E253="fa"),H253," ")</f>
        <v> </v>
      </c>
      <c r="AJ253" s="17" t="str">
        <f aca="false">IF((E253="e"),H253," ")</f>
        <v> </v>
      </c>
    </row>
    <row r="254" customFormat="false" ht="12" hidden="false" customHeight="false" outlineLevel="0" collapsed="false">
      <c r="A254" s="28"/>
      <c r="E254" s="2" t="str">
        <f aca="false">IF((F254&lt;&gt;0),"Enter Letter"," ")</f>
        <v> </v>
      </c>
      <c r="F254" s="30"/>
      <c r="G254" s="6" t="str">
        <f aca="false">IF(F254&lt;&gt;0,F254*G$2/(100+G$2)," ")</f>
        <v> </v>
      </c>
      <c r="H254" s="6" t="str">
        <f aca="false">IF((F254&lt;&gt;0),F254-G254," ")</f>
        <v> </v>
      </c>
      <c r="I254" s="5"/>
      <c r="L254" s="7" t="str">
        <f aca="false">IF(F254&lt;&gt;0,F254-K254," ")</f>
        <v> </v>
      </c>
      <c r="M254" s="8" t="str">
        <f aca="false">IF((F254-K254)&lt;&gt;0,M$1-A254," ")</f>
        <v> </v>
      </c>
      <c r="N254" s="5"/>
      <c r="O254" s="17" t="str">
        <f aca="false">IF((E254="s"),H254," ")</f>
        <v> </v>
      </c>
      <c r="P254" s="17" t="str">
        <f aca="false">IF((E254="c"),H254," ")</f>
        <v> </v>
      </c>
      <c r="Q254" s="17" t="str">
        <f aca="false">IF((E254="o"),H254," ")</f>
        <v> </v>
      </c>
      <c r="R254" s="17" t="str">
        <f aca="false">IF((E254="d"),H254," ")</f>
        <v> </v>
      </c>
      <c r="S254" s="17" t="str">
        <f aca="false">IF((E254="w"),H254," ")</f>
        <v> </v>
      </c>
      <c r="T254" s="17" t="str">
        <f aca="false">IF((E254="r"),H254," ")</f>
        <v> </v>
      </c>
      <c r="U254" s="17" t="str">
        <f aca="false">IF((E254="p"),H254," ")</f>
        <v> </v>
      </c>
      <c r="V254" s="17" t="str">
        <f aca="false">IF((E254="t"),H254," ")</f>
        <v> </v>
      </c>
      <c r="W254" s="17" t="str">
        <f aca="false">IF((E254="q"),H254," ")</f>
        <v> </v>
      </c>
      <c r="X254" s="17" t="str">
        <f aca="false">IF((E254="m"),H254," ")</f>
        <v> </v>
      </c>
      <c r="Y254" s="17" t="str">
        <f aca="false">IF((E254="u"),H254," ")</f>
        <v> </v>
      </c>
      <c r="Z254" s="17" t="str">
        <f aca="false">IF((E254="a"),H254," ")</f>
        <v> </v>
      </c>
      <c r="AA254" s="17" t="str">
        <f aca="false">IF((E254="g"),H254," ")</f>
        <v> </v>
      </c>
      <c r="AB254" s="17" t="str">
        <f aca="false">IF((E254="h"),H254," ")</f>
        <v> </v>
      </c>
      <c r="AC254" s="30" t="str">
        <f aca="false">IF((E254="v"),H254," ")</f>
        <v> </v>
      </c>
      <c r="AD254" s="30" t="str">
        <f aca="false">IF((E254="n"),H254," ")</f>
        <v> </v>
      </c>
      <c r="AE254" s="17" t="str">
        <f aca="false">IF((E254="f"),H254," ")</f>
        <v> </v>
      </c>
      <c r="AF254" s="17" t="str">
        <f aca="false">IF((E254="l"),H254," ")</f>
        <v> </v>
      </c>
      <c r="AG254" s="17" t="str">
        <f aca="false">IF((E254="y"),H254," ")</f>
        <v> </v>
      </c>
      <c r="AH254" s="17" t="str">
        <f aca="false">IF((E254="z"),H254," ")</f>
        <v> </v>
      </c>
      <c r="AI254" s="17" t="str">
        <f aca="false">IF((E254="fa"),H254," ")</f>
        <v> </v>
      </c>
      <c r="AJ254" s="17" t="str">
        <f aca="false">IF((E254="e"),H254," ")</f>
        <v> </v>
      </c>
    </row>
    <row r="255" customFormat="false" ht="12" hidden="false" customHeight="false" outlineLevel="0" collapsed="false">
      <c r="A255" s="28"/>
      <c r="E255" s="2" t="str">
        <f aca="false">IF((F255&lt;&gt;0),"Enter Letter"," ")</f>
        <v> </v>
      </c>
      <c r="F255" s="30"/>
      <c r="G255" s="6" t="str">
        <f aca="false">IF(F255&lt;&gt;0,F255*G$2/(100+G$2)," ")</f>
        <v> </v>
      </c>
      <c r="H255" s="6" t="str">
        <f aca="false">IF((F255&lt;&gt;0),F255-G255," ")</f>
        <v> </v>
      </c>
      <c r="I255" s="5"/>
      <c r="L255" s="7" t="str">
        <f aca="false">IF(F255&lt;&gt;0,F255-K255," ")</f>
        <v> </v>
      </c>
      <c r="M255" s="8" t="str">
        <f aca="false">IF((F255-K255)&lt;&gt;0,M$1-A255," ")</f>
        <v> </v>
      </c>
      <c r="N255" s="5"/>
      <c r="O255" s="17" t="str">
        <f aca="false">IF((E255="s"),H255," ")</f>
        <v> </v>
      </c>
      <c r="P255" s="17" t="str">
        <f aca="false">IF((E255="c"),H255," ")</f>
        <v> </v>
      </c>
      <c r="Q255" s="17" t="str">
        <f aca="false">IF((E255="o"),H255," ")</f>
        <v> </v>
      </c>
      <c r="R255" s="17" t="str">
        <f aca="false">IF((E255="d"),H255," ")</f>
        <v> </v>
      </c>
      <c r="S255" s="17" t="str">
        <f aca="false">IF((E255="w"),H255," ")</f>
        <v> </v>
      </c>
      <c r="T255" s="17" t="str">
        <f aca="false">IF((E255="r"),H255," ")</f>
        <v> </v>
      </c>
      <c r="U255" s="17" t="str">
        <f aca="false">IF((E255="p"),H255," ")</f>
        <v> </v>
      </c>
      <c r="V255" s="17" t="str">
        <f aca="false">IF((E255="t"),H255," ")</f>
        <v> </v>
      </c>
      <c r="W255" s="17" t="str">
        <f aca="false">IF((E255="q"),H255," ")</f>
        <v> </v>
      </c>
      <c r="X255" s="17" t="str">
        <f aca="false">IF((E255="m"),H255," ")</f>
        <v> </v>
      </c>
      <c r="Y255" s="17" t="str">
        <f aca="false">IF((E255="u"),H255," ")</f>
        <v> </v>
      </c>
      <c r="Z255" s="17" t="str">
        <f aca="false">IF((E255="a"),H255," ")</f>
        <v> </v>
      </c>
      <c r="AA255" s="17" t="str">
        <f aca="false">IF((E255="g"),H255," ")</f>
        <v> </v>
      </c>
      <c r="AB255" s="17" t="str">
        <f aca="false">IF((E255="h"),H255," ")</f>
        <v> </v>
      </c>
      <c r="AC255" s="30" t="str">
        <f aca="false">IF((E255="v"),H255," ")</f>
        <v> </v>
      </c>
      <c r="AD255" s="30" t="str">
        <f aca="false">IF((E255="n"),H255," ")</f>
        <v> </v>
      </c>
      <c r="AE255" s="17" t="str">
        <f aca="false">IF((E255="f"),H255," ")</f>
        <v> </v>
      </c>
      <c r="AF255" s="17" t="str">
        <f aca="false">IF((E255="l"),H255," ")</f>
        <v> </v>
      </c>
      <c r="AG255" s="17" t="str">
        <f aca="false">IF((E255="y"),H255," ")</f>
        <v> </v>
      </c>
      <c r="AH255" s="17" t="str">
        <f aca="false">IF((E255="z"),H255," ")</f>
        <v> </v>
      </c>
      <c r="AI255" s="17" t="str">
        <f aca="false">IF((E255="fa"),H255," ")</f>
        <v> </v>
      </c>
      <c r="AJ255" s="17" t="str">
        <f aca="false">IF((E255="e"),H255," ")</f>
        <v> </v>
      </c>
    </row>
    <row r="256" customFormat="false" ht="12" hidden="false" customHeight="false" outlineLevel="0" collapsed="false">
      <c r="A256" s="28"/>
      <c r="E256" s="2" t="str">
        <f aca="false">IF((F256&lt;&gt;0),"Enter Letter"," ")</f>
        <v> </v>
      </c>
      <c r="F256" s="30"/>
      <c r="G256" s="6" t="str">
        <f aca="false">IF(F256&lt;&gt;0,F256*G$2/(100+G$2)," ")</f>
        <v> </v>
      </c>
      <c r="H256" s="6" t="str">
        <f aca="false">IF((F256&lt;&gt;0),F256-G256," ")</f>
        <v> </v>
      </c>
      <c r="I256" s="5"/>
      <c r="L256" s="7" t="str">
        <f aca="false">IF(F256&lt;&gt;0,F256-K256," ")</f>
        <v> </v>
      </c>
      <c r="M256" s="8" t="str">
        <f aca="false">IF((F256-K256)&lt;&gt;0,M$1-A256," ")</f>
        <v> </v>
      </c>
      <c r="N256" s="5"/>
      <c r="O256" s="17" t="str">
        <f aca="false">IF((E256="s"),H256," ")</f>
        <v> </v>
      </c>
      <c r="P256" s="17" t="str">
        <f aca="false">IF((E256="c"),H256," ")</f>
        <v> </v>
      </c>
      <c r="Q256" s="17" t="str">
        <f aca="false">IF((E256="o"),H256," ")</f>
        <v> </v>
      </c>
      <c r="R256" s="17" t="str">
        <f aca="false">IF((E256="d"),H256," ")</f>
        <v> </v>
      </c>
      <c r="S256" s="17" t="str">
        <f aca="false">IF((E256="w"),H256," ")</f>
        <v> </v>
      </c>
      <c r="T256" s="17" t="str">
        <f aca="false">IF((E256="r"),H256," ")</f>
        <v> </v>
      </c>
      <c r="U256" s="17" t="str">
        <f aca="false">IF((E256="p"),H256," ")</f>
        <v> </v>
      </c>
      <c r="V256" s="17" t="str">
        <f aca="false">IF((E256="t"),H256," ")</f>
        <v> </v>
      </c>
      <c r="W256" s="17" t="str">
        <f aca="false">IF((E256="q"),H256," ")</f>
        <v> </v>
      </c>
      <c r="X256" s="17" t="str">
        <f aca="false">IF((E256="m"),H256," ")</f>
        <v> </v>
      </c>
      <c r="Y256" s="17" t="str">
        <f aca="false">IF((E256="u"),H256," ")</f>
        <v> </v>
      </c>
      <c r="Z256" s="17" t="str">
        <f aca="false">IF((E256="a"),H256," ")</f>
        <v> </v>
      </c>
      <c r="AA256" s="17" t="str">
        <f aca="false">IF((E256="g"),H256," ")</f>
        <v> </v>
      </c>
      <c r="AB256" s="17" t="str">
        <f aca="false">IF((E256="h"),H256," ")</f>
        <v> </v>
      </c>
      <c r="AC256" s="30" t="str">
        <f aca="false">IF((E256="v"),H256," ")</f>
        <v> </v>
      </c>
      <c r="AD256" s="30" t="str">
        <f aca="false">IF((E256="n"),H256," ")</f>
        <v> </v>
      </c>
      <c r="AE256" s="17" t="str">
        <f aca="false">IF((E256="f"),H256," ")</f>
        <v> </v>
      </c>
      <c r="AF256" s="17" t="str">
        <f aca="false">IF((E256="l"),H256," ")</f>
        <v> </v>
      </c>
      <c r="AG256" s="17" t="str">
        <f aca="false">IF((E256="y"),H256," ")</f>
        <v> </v>
      </c>
      <c r="AH256" s="17" t="str">
        <f aca="false">IF((E256="z"),H256," ")</f>
        <v> </v>
      </c>
      <c r="AI256" s="17" t="str">
        <f aca="false">IF((E256="fa"),H256," ")</f>
        <v> </v>
      </c>
      <c r="AJ256" s="17" t="str">
        <f aca="false">IF((E256="e"),H256," ")</f>
        <v> </v>
      </c>
    </row>
    <row r="257" customFormat="false" ht="12" hidden="false" customHeight="false" outlineLevel="0" collapsed="false">
      <c r="A257" s="28"/>
      <c r="E257" s="2" t="str">
        <f aca="false">IF((F257&lt;&gt;0),"Enter Letter"," ")</f>
        <v> </v>
      </c>
      <c r="F257" s="30"/>
      <c r="G257" s="6" t="str">
        <f aca="false">IF(F257&lt;&gt;0,F257*G$2/(100+G$2)," ")</f>
        <v> </v>
      </c>
      <c r="H257" s="6" t="str">
        <f aca="false">IF((F257&lt;&gt;0),F257-G257," ")</f>
        <v> </v>
      </c>
      <c r="I257" s="5"/>
      <c r="L257" s="7" t="str">
        <f aca="false">IF(F257&lt;&gt;0,F257-K257," ")</f>
        <v> </v>
      </c>
      <c r="M257" s="8" t="str">
        <f aca="false">IF((F257-K257)&lt;&gt;0,M$1-A257," ")</f>
        <v> </v>
      </c>
      <c r="N257" s="5"/>
      <c r="O257" s="17" t="str">
        <f aca="false">IF((E257="s"),H257," ")</f>
        <v> </v>
      </c>
      <c r="P257" s="17" t="str">
        <f aca="false">IF((E257="c"),H257," ")</f>
        <v> </v>
      </c>
      <c r="Q257" s="17" t="str">
        <f aca="false">IF((E257="o"),H257," ")</f>
        <v> </v>
      </c>
      <c r="R257" s="17" t="str">
        <f aca="false">IF((E257="d"),H257," ")</f>
        <v> </v>
      </c>
      <c r="S257" s="17" t="str">
        <f aca="false">IF((E257="w"),H257," ")</f>
        <v> </v>
      </c>
      <c r="T257" s="17" t="str">
        <f aca="false">IF((E257="r"),H257," ")</f>
        <v> </v>
      </c>
      <c r="U257" s="17" t="str">
        <f aca="false">IF((E257="p"),H257," ")</f>
        <v> </v>
      </c>
      <c r="V257" s="17" t="str">
        <f aca="false">IF((E257="t"),H257," ")</f>
        <v> </v>
      </c>
      <c r="W257" s="17" t="str">
        <f aca="false">IF((E257="q"),H257," ")</f>
        <v> </v>
      </c>
      <c r="X257" s="17" t="str">
        <f aca="false">IF((E257="m"),H257," ")</f>
        <v> </v>
      </c>
      <c r="Y257" s="17" t="str">
        <f aca="false">IF((E257="u"),H257," ")</f>
        <v> </v>
      </c>
      <c r="Z257" s="17" t="str">
        <f aca="false">IF((E257="a"),H257," ")</f>
        <v> </v>
      </c>
      <c r="AA257" s="17" t="str">
        <f aca="false">IF((E257="g"),H257," ")</f>
        <v> </v>
      </c>
      <c r="AB257" s="17" t="str">
        <f aca="false">IF((E257="h"),H257," ")</f>
        <v> </v>
      </c>
      <c r="AC257" s="30" t="str">
        <f aca="false">IF((E257="v"),H257," ")</f>
        <v> </v>
      </c>
      <c r="AD257" s="30" t="str">
        <f aca="false">IF((E257="n"),H257," ")</f>
        <v> </v>
      </c>
      <c r="AE257" s="17" t="str">
        <f aca="false">IF((E257="f"),H257," ")</f>
        <v> </v>
      </c>
      <c r="AF257" s="17" t="str">
        <f aca="false">IF((E257="l"),H257," ")</f>
        <v> </v>
      </c>
      <c r="AG257" s="17" t="str">
        <f aca="false">IF((E257="y"),H257," ")</f>
        <v> </v>
      </c>
      <c r="AH257" s="17" t="str">
        <f aca="false">IF((E257="z"),H257," ")</f>
        <v> </v>
      </c>
      <c r="AI257" s="17" t="str">
        <f aca="false">IF((E257="fa"),H257," ")</f>
        <v> </v>
      </c>
      <c r="AJ257" s="17" t="str">
        <f aca="false">IF((E257="e"),H257," ")</f>
        <v> </v>
      </c>
    </row>
    <row r="258" customFormat="false" ht="12" hidden="false" customHeight="false" outlineLevel="0" collapsed="false">
      <c r="A258" s="28"/>
      <c r="E258" s="2" t="str">
        <f aca="false">IF((F258&lt;&gt;0),"Enter Letter"," ")</f>
        <v> </v>
      </c>
      <c r="F258" s="30"/>
      <c r="G258" s="6" t="str">
        <f aca="false">IF(F258&lt;&gt;0,F258*G$2/(100+G$2)," ")</f>
        <v> </v>
      </c>
      <c r="H258" s="6" t="str">
        <f aca="false">IF((F258&lt;&gt;0),F258-G258," ")</f>
        <v> </v>
      </c>
      <c r="I258" s="5"/>
      <c r="L258" s="7" t="str">
        <f aca="false">IF(F258&lt;&gt;0,F258-K258," ")</f>
        <v> </v>
      </c>
      <c r="M258" s="8" t="str">
        <f aca="false">IF((F258-K258)&lt;&gt;0,M$1-A258," ")</f>
        <v> </v>
      </c>
      <c r="N258" s="5"/>
      <c r="O258" s="17" t="str">
        <f aca="false">IF((E258="s"),H258," ")</f>
        <v> </v>
      </c>
      <c r="P258" s="17" t="str">
        <f aca="false">IF((E258="c"),H258," ")</f>
        <v> </v>
      </c>
      <c r="Q258" s="17" t="str">
        <f aca="false">IF((E258="o"),H258," ")</f>
        <v> </v>
      </c>
      <c r="R258" s="17" t="str">
        <f aca="false">IF((E258="d"),H258," ")</f>
        <v> </v>
      </c>
      <c r="S258" s="17" t="str">
        <f aca="false">IF((E258="w"),H258," ")</f>
        <v> </v>
      </c>
      <c r="T258" s="17" t="str">
        <f aca="false">IF((E258="r"),H258," ")</f>
        <v> </v>
      </c>
      <c r="U258" s="17" t="str">
        <f aca="false">IF((E258="p"),H258," ")</f>
        <v> </v>
      </c>
      <c r="V258" s="17" t="str">
        <f aca="false">IF((E258="t"),H258," ")</f>
        <v> </v>
      </c>
      <c r="W258" s="17" t="str">
        <f aca="false">IF((E258="q"),H258," ")</f>
        <v> </v>
      </c>
      <c r="X258" s="17" t="str">
        <f aca="false">IF((E258="m"),H258," ")</f>
        <v> </v>
      </c>
      <c r="Y258" s="17" t="str">
        <f aca="false">IF((E258="u"),H258," ")</f>
        <v> </v>
      </c>
      <c r="Z258" s="17" t="str">
        <f aca="false">IF((E258="a"),H258," ")</f>
        <v> </v>
      </c>
      <c r="AA258" s="17" t="str">
        <f aca="false">IF((E258="g"),H258," ")</f>
        <v> </v>
      </c>
      <c r="AB258" s="17" t="str">
        <f aca="false">IF((E258="h"),H258," ")</f>
        <v> </v>
      </c>
      <c r="AC258" s="30" t="str">
        <f aca="false">IF((E258="v"),H258," ")</f>
        <v> </v>
      </c>
      <c r="AD258" s="30" t="str">
        <f aca="false">IF((E258="n"),H258," ")</f>
        <v> </v>
      </c>
      <c r="AE258" s="17" t="str">
        <f aca="false">IF((E258="f"),H258," ")</f>
        <v> </v>
      </c>
      <c r="AF258" s="17" t="str">
        <f aca="false">IF((E258="l"),H258," ")</f>
        <v> </v>
      </c>
      <c r="AG258" s="17" t="str">
        <f aca="false">IF((E258="y"),H258," ")</f>
        <v> </v>
      </c>
      <c r="AH258" s="17" t="str">
        <f aca="false">IF((E258="z"),H258," ")</f>
        <v> </v>
      </c>
      <c r="AI258" s="17" t="str">
        <f aca="false">IF((E258="fa"),H258," ")</f>
        <v> </v>
      </c>
      <c r="AJ258" s="17" t="str">
        <f aca="false">IF((E258="e"),H258," ")</f>
        <v> </v>
      </c>
    </row>
    <row r="259" customFormat="false" ht="12" hidden="false" customHeight="false" outlineLevel="0" collapsed="false">
      <c r="A259" s="28"/>
      <c r="E259" s="2" t="str">
        <f aca="false">IF((F259&lt;&gt;0),"Enter Letter"," ")</f>
        <v> </v>
      </c>
      <c r="F259" s="30"/>
      <c r="G259" s="6" t="str">
        <f aca="false">IF(F259&lt;&gt;0,F259*G$2/(100+G$2)," ")</f>
        <v> </v>
      </c>
      <c r="H259" s="6" t="str">
        <f aca="false">IF((F259&lt;&gt;0),F259-G259," ")</f>
        <v> </v>
      </c>
      <c r="I259" s="5"/>
      <c r="L259" s="7" t="str">
        <f aca="false">IF(F259&lt;&gt;0,F259-K259," ")</f>
        <v> </v>
      </c>
      <c r="M259" s="8" t="str">
        <f aca="false">IF((F259-K259)&lt;&gt;0,M$1-A259," ")</f>
        <v> </v>
      </c>
      <c r="N259" s="5"/>
      <c r="O259" s="17" t="str">
        <f aca="false">IF((E259="s"),H259," ")</f>
        <v> </v>
      </c>
      <c r="P259" s="17" t="str">
        <f aca="false">IF((E259="c"),H259," ")</f>
        <v> </v>
      </c>
      <c r="Q259" s="17" t="str">
        <f aca="false">IF((E259="o"),H259," ")</f>
        <v> </v>
      </c>
      <c r="R259" s="17" t="str">
        <f aca="false">IF((E259="d"),H259," ")</f>
        <v> </v>
      </c>
      <c r="S259" s="17" t="str">
        <f aca="false">IF((E259="w"),H259," ")</f>
        <v> </v>
      </c>
      <c r="T259" s="17" t="str">
        <f aca="false">IF((E259="r"),H259," ")</f>
        <v> </v>
      </c>
      <c r="U259" s="17" t="str">
        <f aca="false">IF((E259="p"),H259," ")</f>
        <v> </v>
      </c>
      <c r="V259" s="17" t="str">
        <f aca="false">IF((E259="t"),H259," ")</f>
        <v> </v>
      </c>
      <c r="W259" s="17" t="str">
        <f aca="false">IF((E259="q"),H259," ")</f>
        <v> </v>
      </c>
      <c r="X259" s="17" t="str">
        <f aca="false">IF((E259="m"),H259," ")</f>
        <v> </v>
      </c>
      <c r="Y259" s="17" t="str">
        <f aca="false">IF((E259="u"),H259," ")</f>
        <v> </v>
      </c>
      <c r="Z259" s="17" t="str">
        <f aca="false">IF((E259="a"),H259," ")</f>
        <v> </v>
      </c>
      <c r="AA259" s="17" t="str">
        <f aca="false">IF((E259="g"),H259," ")</f>
        <v> </v>
      </c>
      <c r="AB259" s="17" t="str">
        <f aca="false">IF((E259="h"),H259," ")</f>
        <v> </v>
      </c>
      <c r="AC259" s="30" t="str">
        <f aca="false">IF((E259="v"),H259," ")</f>
        <v> </v>
      </c>
      <c r="AD259" s="30" t="str">
        <f aca="false">IF((E259="n"),H259," ")</f>
        <v> </v>
      </c>
      <c r="AE259" s="17" t="str">
        <f aca="false">IF((E259="f"),H259," ")</f>
        <v> </v>
      </c>
      <c r="AF259" s="17" t="str">
        <f aca="false">IF((E259="l"),H259," ")</f>
        <v> </v>
      </c>
      <c r="AG259" s="17" t="str">
        <f aca="false">IF((E259="y"),H259," ")</f>
        <v> </v>
      </c>
      <c r="AH259" s="17" t="str">
        <f aca="false">IF((E259="z"),H259," ")</f>
        <v> </v>
      </c>
      <c r="AI259" s="17" t="str">
        <f aca="false">IF((E259="fa"),H259," ")</f>
        <v> </v>
      </c>
      <c r="AJ259" s="17" t="str">
        <f aca="false">IF((E259="e"),H259," ")</f>
        <v> </v>
      </c>
    </row>
    <row r="260" customFormat="false" ht="12" hidden="false" customHeight="false" outlineLevel="0" collapsed="false">
      <c r="A260" s="28"/>
      <c r="E260" s="2" t="str">
        <f aca="false">IF((F260&lt;&gt;0),"Enter Letter"," ")</f>
        <v> </v>
      </c>
      <c r="F260" s="30"/>
      <c r="G260" s="6" t="str">
        <f aca="false">IF(F260&lt;&gt;0,F260*G$2/(100+G$2)," ")</f>
        <v> </v>
      </c>
      <c r="H260" s="6" t="str">
        <f aca="false">IF((F260&lt;&gt;0),F260-G260," ")</f>
        <v> </v>
      </c>
      <c r="I260" s="5"/>
      <c r="L260" s="7" t="str">
        <f aca="false">IF(F260&lt;&gt;0,F260-K260," ")</f>
        <v> </v>
      </c>
      <c r="M260" s="8" t="str">
        <f aca="false">IF((F260-K260)&lt;&gt;0,M$1-A260," ")</f>
        <v> </v>
      </c>
      <c r="N260" s="5"/>
      <c r="O260" s="17" t="str">
        <f aca="false">IF((E260="s"),H260," ")</f>
        <v> </v>
      </c>
      <c r="P260" s="17" t="str">
        <f aca="false">IF((E260="c"),H260," ")</f>
        <v> </v>
      </c>
      <c r="Q260" s="17" t="str">
        <f aca="false">IF((E260="o"),H260," ")</f>
        <v> </v>
      </c>
      <c r="R260" s="17" t="str">
        <f aca="false">IF((E260="d"),H260," ")</f>
        <v> </v>
      </c>
      <c r="S260" s="17" t="str">
        <f aca="false">IF((E260="w"),H260," ")</f>
        <v> </v>
      </c>
      <c r="T260" s="17" t="str">
        <f aca="false">IF((E260="r"),H260," ")</f>
        <v> </v>
      </c>
      <c r="U260" s="17" t="str">
        <f aca="false">IF((E260="p"),H260," ")</f>
        <v> </v>
      </c>
      <c r="V260" s="17" t="str">
        <f aca="false">IF((E260="t"),H260," ")</f>
        <v> </v>
      </c>
      <c r="W260" s="17" t="str">
        <f aca="false">IF((E260="q"),H260," ")</f>
        <v> </v>
      </c>
      <c r="X260" s="17" t="str">
        <f aca="false">IF((E260="m"),H260," ")</f>
        <v> </v>
      </c>
      <c r="Y260" s="17" t="str">
        <f aca="false">IF((E260="u"),H260," ")</f>
        <v> </v>
      </c>
      <c r="Z260" s="17" t="str">
        <f aca="false">IF((E260="a"),H260," ")</f>
        <v> </v>
      </c>
      <c r="AA260" s="17" t="str">
        <f aca="false">IF((E260="g"),H260," ")</f>
        <v> </v>
      </c>
      <c r="AB260" s="17" t="str">
        <f aca="false">IF((E260="h"),H260," ")</f>
        <v> </v>
      </c>
      <c r="AC260" s="30" t="str">
        <f aca="false">IF((E260="v"),H260," ")</f>
        <v> </v>
      </c>
      <c r="AD260" s="30" t="str">
        <f aca="false">IF((E260="n"),H260," ")</f>
        <v> </v>
      </c>
      <c r="AE260" s="17" t="str">
        <f aca="false">IF((E260="f"),H260," ")</f>
        <v> </v>
      </c>
      <c r="AF260" s="17" t="str">
        <f aca="false">IF((E260="l"),H260," ")</f>
        <v> </v>
      </c>
      <c r="AG260" s="17" t="str">
        <f aca="false">IF((E260="y"),H260," ")</f>
        <v> </v>
      </c>
      <c r="AH260" s="17" t="str">
        <f aca="false">IF((E260="z"),H260," ")</f>
        <v> </v>
      </c>
      <c r="AI260" s="17" t="str">
        <f aca="false">IF((E260="fa"),H260," ")</f>
        <v> </v>
      </c>
      <c r="AJ260" s="17" t="str">
        <f aca="false">IF((E260="e"),H260," ")</f>
        <v> </v>
      </c>
    </row>
    <row r="261" customFormat="false" ht="12" hidden="false" customHeight="false" outlineLevel="0" collapsed="false">
      <c r="A261" s="28"/>
      <c r="E261" s="2" t="str">
        <f aca="false">IF((F261&lt;&gt;0),"Enter Letter"," ")</f>
        <v> </v>
      </c>
      <c r="F261" s="30"/>
      <c r="G261" s="6" t="str">
        <f aca="false">IF(F261&lt;&gt;0,F261*G$2/(100+G$2)," ")</f>
        <v> </v>
      </c>
      <c r="H261" s="6" t="str">
        <f aca="false">IF((F261&lt;&gt;0),F261-G261," ")</f>
        <v> </v>
      </c>
      <c r="I261" s="5"/>
      <c r="L261" s="7" t="str">
        <f aca="false">IF(F261&lt;&gt;0,F261-K261," ")</f>
        <v> </v>
      </c>
      <c r="M261" s="8" t="str">
        <f aca="false">IF((F261-K261)&lt;&gt;0,M$1-A261," ")</f>
        <v> </v>
      </c>
      <c r="N261" s="5"/>
      <c r="O261" s="17" t="str">
        <f aca="false">IF((E261="s"),H261," ")</f>
        <v> </v>
      </c>
      <c r="P261" s="17" t="str">
        <f aca="false">IF((E261="c"),H261," ")</f>
        <v> </v>
      </c>
      <c r="Q261" s="17" t="str">
        <f aca="false">IF((E261="o"),H261," ")</f>
        <v> </v>
      </c>
      <c r="R261" s="17" t="str">
        <f aca="false">IF((E261="d"),H261," ")</f>
        <v> </v>
      </c>
      <c r="S261" s="17" t="str">
        <f aca="false">IF((E261="w"),H261," ")</f>
        <v> </v>
      </c>
      <c r="T261" s="17" t="str">
        <f aca="false">IF((E261="r"),H261," ")</f>
        <v> </v>
      </c>
      <c r="U261" s="17" t="str">
        <f aca="false">IF((E261="p"),H261," ")</f>
        <v> </v>
      </c>
      <c r="V261" s="17" t="str">
        <f aca="false">IF((E261="t"),H261," ")</f>
        <v> </v>
      </c>
      <c r="W261" s="17" t="str">
        <f aca="false">IF((E261="q"),H261," ")</f>
        <v> </v>
      </c>
      <c r="X261" s="17" t="str">
        <f aca="false">IF((E261="m"),H261," ")</f>
        <v> </v>
      </c>
      <c r="Y261" s="17" t="str">
        <f aca="false">IF((E261="u"),H261," ")</f>
        <v> </v>
      </c>
      <c r="Z261" s="17" t="str">
        <f aca="false">IF((E261="a"),H261," ")</f>
        <v> </v>
      </c>
      <c r="AA261" s="17" t="str">
        <f aca="false">IF((E261="g"),H261," ")</f>
        <v> </v>
      </c>
      <c r="AB261" s="17" t="str">
        <f aca="false">IF((E261="h"),H261," ")</f>
        <v> </v>
      </c>
      <c r="AC261" s="30" t="str">
        <f aca="false">IF((E261="v"),H261," ")</f>
        <v> </v>
      </c>
      <c r="AD261" s="30" t="str">
        <f aca="false">IF((E261="n"),H261," ")</f>
        <v> </v>
      </c>
      <c r="AE261" s="17" t="str">
        <f aca="false">IF((E261="f"),H261," ")</f>
        <v> </v>
      </c>
      <c r="AF261" s="17" t="str">
        <f aca="false">IF((E261="l"),H261," ")</f>
        <v> </v>
      </c>
      <c r="AG261" s="17" t="str">
        <f aca="false">IF((E261="y"),H261," ")</f>
        <v> </v>
      </c>
      <c r="AH261" s="17" t="str">
        <f aca="false">IF((E261="z"),H261," ")</f>
        <v> </v>
      </c>
      <c r="AI261" s="17" t="str">
        <f aca="false">IF((E261="fa"),H261," ")</f>
        <v> </v>
      </c>
      <c r="AJ261" s="17" t="str">
        <f aca="false">IF((E261="e"),H261," ")</f>
        <v> </v>
      </c>
    </row>
    <row r="262" customFormat="false" ht="12" hidden="false" customHeight="false" outlineLevel="0" collapsed="false">
      <c r="A262" s="28"/>
      <c r="E262" s="2" t="str">
        <f aca="false">IF((F262&lt;&gt;0),"Enter Letter"," ")</f>
        <v> </v>
      </c>
      <c r="F262" s="30"/>
      <c r="G262" s="6" t="str">
        <f aca="false">IF(F262&lt;&gt;0,F262*G$2/(100+G$2)," ")</f>
        <v> </v>
      </c>
      <c r="H262" s="6" t="str">
        <f aca="false">IF((F262&lt;&gt;0),F262-G262," ")</f>
        <v> </v>
      </c>
      <c r="I262" s="5"/>
      <c r="L262" s="7" t="str">
        <f aca="false">IF(F262&lt;&gt;0,F262-K262," ")</f>
        <v> </v>
      </c>
      <c r="M262" s="8" t="str">
        <f aca="false">IF((F262-K262)&lt;&gt;0,M$1-A262," ")</f>
        <v> </v>
      </c>
      <c r="N262" s="5"/>
      <c r="O262" s="17" t="str">
        <f aca="false">IF((E262="s"),H262," ")</f>
        <v> </v>
      </c>
      <c r="P262" s="17" t="str">
        <f aca="false">IF((E262="c"),H262," ")</f>
        <v> </v>
      </c>
      <c r="Q262" s="17" t="str">
        <f aca="false">IF((E262="o"),H262," ")</f>
        <v> </v>
      </c>
      <c r="R262" s="17" t="str">
        <f aca="false">IF((E262="d"),H262," ")</f>
        <v> </v>
      </c>
      <c r="S262" s="17" t="str">
        <f aca="false">IF((E262="w"),H262," ")</f>
        <v> </v>
      </c>
      <c r="T262" s="17" t="str">
        <f aca="false">IF((E262="r"),H262," ")</f>
        <v> </v>
      </c>
      <c r="U262" s="17" t="str">
        <f aca="false">IF((E262="p"),H262," ")</f>
        <v> </v>
      </c>
      <c r="V262" s="17" t="str">
        <f aca="false">IF((E262="t"),H262," ")</f>
        <v> </v>
      </c>
      <c r="W262" s="17" t="str">
        <f aca="false">IF((E262="q"),H262," ")</f>
        <v> </v>
      </c>
      <c r="X262" s="17" t="str">
        <f aca="false">IF((E262="m"),H262," ")</f>
        <v> </v>
      </c>
      <c r="Y262" s="17" t="str">
        <f aca="false">IF((E262="u"),H262," ")</f>
        <v> </v>
      </c>
      <c r="Z262" s="17" t="str">
        <f aca="false">IF((E262="a"),H262," ")</f>
        <v> </v>
      </c>
      <c r="AA262" s="17" t="str">
        <f aca="false">IF((E262="g"),H262," ")</f>
        <v> </v>
      </c>
      <c r="AB262" s="17" t="str">
        <f aca="false">IF((E262="h"),H262," ")</f>
        <v> </v>
      </c>
      <c r="AC262" s="30" t="str">
        <f aca="false">IF((E262="v"),H262," ")</f>
        <v> </v>
      </c>
      <c r="AD262" s="30" t="str">
        <f aca="false">IF((E262="n"),H262," ")</f>
        <v> </v>
      </c>
      <c r="AE262" s="17" t="str">
        <f aca="false">IF((E262="f"),H262," ")</f>
        <v> </v>
      </c>
      <c r="AF262" s="17" t="str">
        <f aca="false">IF((E262="l"),H262," ")</f>
        <v> </v>
      </c>
      <c r="AG262" s="17" t="str">
        <f aca="false">IF((E262="y"),H262," ")</f>
        <v> </v>
      </c>
      <c r="AH262" s="17" t="str">
        <f aca="false">IF((E262="z"),H262," ")</f>
        <v> </v>
      </c>
      <c r="AI262" s="17" t="str">
        <f aca="false">IF((E262="fa"),H262," ")</f>
        <v> </v>
      </c>
      <c r="AJ262" s="17" t="str">
        <f aca="false">IF((E262="e"),H262," ")</f>
        <v> </v>
      </c>
    </row>
    <row r="263" customFormat="false" ht="12" hidden="false" customHeight="false" outlineLevel="0" collapsed="false">
      <c r="A263" s="28"/>
      <c r="E263" s="2" t="str">
        <f aca="false">IF((F263&lt;&gt;0),"Enter Letter"," ")</f>
        <v> </v>
      </c>
      <c r="F263" s="30"/>
      <c r="G263" s="6" t="str">
        <f aca="false">IF(F263&lt;&gt;0,F263*G$2/(100+G$2)," ")</f>
        <v> </v>
      </c>
      <c r="H263" s="6" t="str">
        <f aca="false">IF((F263&lt;&gt;0),F263-G263," ")</f>
        <v> </v>
      </c>
      <c r="I263" s="5"/>
      <c r="L263" s="7" t="str">
        <f aca="false">IF(F263&lt;&gt;0,F263-K263," ")</f>
        <v> </v>
      </c>
      <c r="M263" s="8" t="str">
        <f aca="false">IF((F263-K263)&lt;&gt;0,M$1-A263," ")</f>
        <v> </v>
      </c>
      <c r="N263" s="5"/>
      <c r="O263" s="17" t="str">
        <f aca="false">IF((E263="s"),H263," ")</f>
        <v> </v>
      </c>
      <c r="P263" s="17" t="str">
        <f aca="false">IF((E263="c"),H263," ")</f>
        <v> </v>
      </c>
      <c r="Q263" s="17" t="str">
        <f aca="false">IF((E263="o"),H263," ")</f>
        <v> </v>
      </c>
      <c r="R263" s="17" t="str">
        <f aca="false">IF((E263="d"),H263," ")</f>
        <v> </v>
      </c>
      <c r="S263" s="17" t="str">
        <f aca="false">IF((E263="w"),H263," ")</f>
        <v> </v>
      </c>
      <c r="T263" s="17" t="str">
        <f aca="false">IF((E263="r"),H263," ")</f>
        <v> </v>
      </c>
      <c r="U263" s="17" t="str">
        <f aca="false">IF((E263="p"),H263," ")</f>
        <v> </v>
      </c>
      <c r="V263" s="17" t="str">
        <f aca="false">IF((E263="t"),H263," ")</f>
        <v> </v>
      </c>
      <c r="W263" s="17" t="str">
        <f aca="false">IF((E263="q"),H263," ")</f>
        <v> </v>
      </c>
      <c r="X263" s="17" t="str">
        <f aca="false">IF((E263="m"),H263," ")</f>
        <v> </v>
      </c>
      <c r="Y263" s="17" t="str">
        <f aca="false">IF((E263="u"),H263," ")</f>
        <v> </v>
      </c>
      <c r="Z263" s="17" t="str">
        <f aca="false">IF((E263="a"),H263," ")</f>
        <v> </v>
      </c>
      <c r="AA263" s="17" t="str">
        <f aca="false">IF((E263="g"),H263," ")</f>
        <v> </v>
      </c>
      <c r="AB263" s="17" t="str">
        <f aca="false">IF((E263="h"),H263," ")</f>
        <v> </v>
      </c>
      <c r="AC263" s="30" t="str">
        <f aca="false">IF((E263="v"),H263," ")</f>
        <v> </v>
      </c>
      <c r="AD263" s="30" t="str">
        <f aca="false">IF((E263="n"),H263," ")</f>
        <v> </v>
      </c>
      <c r="AE263" s="17" t="str">
        <f aca="false">IF((E263="f"),H263," ")</f>
        <v> </v>
      </c>
      <c r="AF263" s="17" t="str">
        <f aca="false">IF((E263="l"),H263," ")</f>
        <v> </v>
      </c>
      <c r="AG263" s="17" t="str">
        <f aca="false">IF((E263="y"),H263," ")</f>
        <v> </v>
      </c>
      <c r="AH263" s="17" t="str">
        <f aca="false">IF((E263="z"),H263," ")</f>
        <v> </v>
      </c>
      <c r="AI263" s="17" t="str">
        <f aca="false">IF((E263="fa"),H263," ")</f>
        <v> </v>
      </c>
      <c r="AJ263" s="17" t="str">
        <f aca="false">IF((E263="e"),H263," ")</f>
        <v> </v>
      </c>
    </row>
    <row r="264" customFormat="false" ht="12" hidden="false" customHeight="false" outlineLevel="0" collapsed="false">
      <c r="A264" s="28"/>
      <c r="E264" s="2" t="str">
        <f aca="false">IF((F264&lt;&gt;0),"Enter Letter"," ")</f>
        <v> </v>
      </c>
      <c r="F264" s="30"/>
      <c r="G264" s="6" t="str">
        <f aca="false">IF(F264&lt;&gt;0,F264*G$2/(100+G$2)," ")</f>
        <v> </v>
      </c>
      <c r="H264" s="6" t="str">
        <f aca="false">IF((F264&lt;&gt;0),F264-G264," ")</f>
        <v> </v>
      </c>
      <c r="I264" s="5"/>
      <c r="L264" s="7" t="str">
        <f aca="false">IF(F264&lt;&gt;0,F264-K264," ")</f>
        <v> </v>
      </c>
      <c r="M264" s="8" t="str">
        <f aca="false">IF((F264-K264)&lt;&gt;0,M$1-A264," ")</f>
        <v> </v>
      </c>
      <c r="N264" s="5"/>
      <c r="O264" s="17" t="str">
        <f aca="false">IF((E264="s"),H264," ")</f>
        <v> </v>
      </c>
      <c r="P264" s="17" t="str">
        <f aca="false">IF((E264="c"),H264," ")</f>
        <v> </v>
      </c>
      <c r="Q264" s="17" t="str">
        <f aca="false">IF((E264="o"),H264," ")</f>
        <v> </v>
      </c>
      <c r="R264" s="17" t="str">
        <f aca="false">IF((E264="d"),H264," ")</f>
        <v> </v>
      </c>
      <c r="S264" s="17" t="str">
        <f aca="false">IF((E264="w"),H264," ")</f>
        <v> </v>
      </c>
      <c r="T264" s="17" t="str">
        <f aca="false">IF((E264="r"),H264," ")</f>
        <v> </v>
      </c>
      <c r="U264" s="17" t="str">
        <f aca="false">IF((E264="p"),H264," ")</f>
        <v> </v>
      </c>
      <c r="V264" s="17" t="str">
        <f aca="false">IF((E264="t"),H264," ")</f>
        <v> </v>
      </c>
      <c r="W264" s="17" t="str">
        <f aca="false">IF((E264="q"),H264," ")</f>
        <v> </v>
      </c>
      <c r="X264" s="17" t="str">
        <f aca="false">IF((E264="m"),H264," ")</f>
        <v> </v>
      </c>
      <c r="Y264" s="17" t="str">
        <f aca="false">IF((E264="u"),H264," ")</f>
        <v> </v>
      </c>
      <c r="Z264" s="17" t="str">
        <f aca="false">IF((E264="a"),H264," ")</f>
        <v> </v>
      </c>
      <c r="AA264" s="17" t="str">
        <f aca="false">IF((E264="g"),H264," ")</f>
        <v> </v>
      </c>
      <c r="AB264" s="17" t="str">
        <f aca="false">IF((E264="h"),H264," ")</f>
        <v> </v>
      </c>
      <c r="AC264" s="30" t="str">
        <f aca="false">IF((E264="v"),H264," ")</f>
        <v> </v>
      </c>
      <c r="AD264" s="30" t="str">
        <f aca="false">IF((E264="n"),H264," ")</f>
        <v> </v>
      </c>
      <c r="AE264" s="17" t="str">
        <f aca="false">IF((E264="f"),H264," ")</f>
        <v> </v>
      </c>
      <c r="AF264" s="17" t="str">
        <f aca="false">IF((E264="l"),H264," ")</f>
        <v> </v>
      </c>
      <c r="AG264" s="17" t="str">
        <f aca="false">IF((E264="y"),H264," ")</f>
        <v> </v>
      </c>
      <c r="AH264" s="17" t="str">
        <f aca="false">IF((E264="z"),H264," ")</f>
        <v> </v>
      </c>
      <c r="AI264" s="17" t="str">
        <f aca="false">IF((E264="fa"),H264," ")</f>
        <v> </v>
      </c>
      <c r="AJ264" s="17" t="str">
        <f aca="false">IF((E264="e"),H264," ")</f>
        <v> </v>
      </c>
    </row>
    <row r="265" customFormat="false" ht="12" hidden="false" customHeight="false" outlineLevel="0" collapsed="false">
      <c r="A265" s="28"/>
      <c r="E265" s="2" t="str">
        <f aca="false">IF((F265&lt;&gt;0),"Enter Letter"," ")</f>
        <v> </v>
      </c>
      <c r="F265" s="30"/>
      <c r="G265" s="6" t="str">
        <f aca="false">IF(F265&lt;&gt;0,F265*G$2/(100+G$2)," ")</f>
        <v> </v>
      </c>
      <c r="H265" s="6" t="str">
        <f aca="false">IF((F265&lt;&gt;0),F265-G265," ")</f>
        <v> </v>
      </c>
      <c r="I265" s="5"/>
      <c r="L265" s="7" t="str">
        <f aca="false">IF(F265&lt;&gt;0,F265-K265," ")</f>
        <v> </v>
      </c>
      <c r="M265" s="8" t="str">
        <f aca="false">IF((F265-K265)&lt;&gt;0,M$1-A265," ")</f>
        <v> </v>
      </c>
      <c r="N265" s="5"/>
      <c r="O265" s="17" t="str">
        <f aca="false">IF((E265="s"),H265," ")</f>
        <v> </v>
      </c>
      <c r="P265" s="17" t="str">
        <f aca="false">IF((E265="c"),H265," ")</f>
        <v> </v>
      </c>
      <c r="Q265" s="17" t="str">
        <f aca="false">IF((E265="o"),H265," ")</f>
        <v> </v>
      </c>
      <c r="R265" s="17" t="str">
        <f aca="false">IF((E265="d"),H265," ")</f>
        <v> </v>
      </c>
      <c r="S265" s="17" t="str">
        <f aca="false">IF((E265="w"),H265," ")</f>
        <v> </v>
      </c>
      <c r="T265" s="17" t="str">
        <f aca="false">IF((E265="r"),H265," ")</f>
        <v> </v>
      </c>
      <c r="U265" s="17" t="str">
        <f aca="false">IF((E265="p"),H265," ")</f>
        <v> </v>
      </c>
      <c r="V265" s="17" t="str">
        <f aca="false">IF((E265="t"),H265," ")</f>
        <v> </v>
      </c>
      <c r="W265" s="17" t="str">
        <f aca="false">IF((E265="q"),H265," ")</f>
        <v> </v>
      </c>
      <c r="X265" s="17" t="str">
        <f aca="false">IF((E265="m"),H265," ")</f>
        <v> </v>
      </c>
      <c r="Y265" s="17" t="str">
        <f aca="false">IF((E265="u"),H265," ")</f>
        <v> </v>
      </c>
      <c r="Z265" s="17" t="str">
        <f aca="false">IF((E265="a"),H265," ")</f>
        <v> </v>
      </c>
      <c r="AA265" s="17" t="str">
        <f aca="false">IF((E265="g"),H265," ")</f>
        <v> </v>
      </c>
      <c r="AB265" s="17" t="str">
        <f aca="false">IF((E265="h"),H265," ")</f>
        <v> </v>
      </c>
      <c r="AC265" s="30" t="str">
        <f aca="false">IF((E265="v"),H265," ")</f>
        <v> </v>
      </c>
      <c r="AD265" s="30" t="str">
        <f aca="false">IF((E265="n"),H265," ")</f>
        <v> </v>
      </c>
      <c r="AE265" s="17" t="str">
        <f aca="false">IF((E265="f"),H265," ")</f>
        <v> </v>
      </c>
      <c r="AF265" s="17" t="str">
        <f aca="false">IF((E265="l"),H265," ")</f>
        <v> </v>
      </c>
      <c r="AG265" s="17" t="str">
        <f aca="false">IF((E265="y"),H265," ")</f>
        <v> </v>
      </c>
      <c r="AH265" s="17" t="str">
        <f aca="false">IF((E265="z"),H265," ")</f>
        <v> </v>
      </c>
      <c r="AI265" s="17" t="str">
        <f aca="false">IF((E265="fa"),H265," ")</f>
        <v> </v>
      </c>
      <c r="AJ265" s="17" t="str">
        <f aca="false">IF((E265="e"),H265," ")</f>
        <v> </v>
      </c>
    </row>
    <row r="266" customFormat="false" ht="12" hidden="false" customHeight="false" outlineLevel="0" collapsed="false">
      <c r="A266" s="28"/>
      <c r="E266" s="2" t="str">
        <f aca="false">IF((F266&lt;&gt;0),"Enter Letter"," ")</f>
        <v> </v>
      </c>
      <c r="F266" s="30"/>
      <c r="G266" s="6" t="str">
        <f aca="false">IF(F266&lt;&gt;0,F266*G$2/(100+G$2)," ")</f>
        <v> </v>
      </c>
      <c r="H266" s="6" t="str">
        <f aca="false">IF((F266&lt;&gt;0),F266-G266," ")</f>
        <v> </v>
      </c>
      <c r="I266" s="5"/>
      <c r="L266" s="7" t="str">
        <f aca="false">IF(F266&lt;&gt;0,F266-K266," ")</f>
        <v> </v>
      </c>
      <c r="M266" s="8" t="str">
        <f aca="false">IF((F266-K266)&lt;&gt;0,M$1-A266," ")</f>
        <v> </v>
      </c>
      <c r="N266" s="5"/>
      <c r="O266" s="17" t="str">
        <f aca="false">IF((E266="s"),H266," ")</f>
        <v> </v>
      </c>
      <c r="P266" s="17" t="str">
        <f aca="false">IF((E266="c"),H266," ")</f>
        <v> </v>
      </c>
      <c r="Q266" s="17" t="str">
        <f aca="false">IF((E266="o"),H266," ")</f>
        <v> </v>
      </c>
      <c r="R266" s="17" t="str">
        <f aca="false">IF((E266="d"),H266," ")</f>
        <v> </v>
      </c>
      <c r="S266" s="17" t="str">
        <f aca="false">IF((E266="w"),H266," ")</f>
        <v> </v>
      </c>
      <c r="T266" s="17" t="str">
        <f aca="false">IF((E266="r"),H266," ")</f>
        <v> </v>
      </c>
      <c r="U266" s="17" t="str">
        <f aca="false">IF((E266="p"),H266," ")</f>
        <v> </v>
      </c>
      <c r="V266" s="17" t="str">
        <f aca="false">IF((E266="t"),H266," ")</f>
        <v> </v>
      </c>
      <c r="W266" s="17" t="str">
        <f aca="false">IF((E266="q"),H266," ")</f>
        <v> </v>
      </c>
      <c r="X266" s="17" t="str">
        <f aca="false">IF((E266="m"),H266," ")</f>
        <v> </v>
      </c>
      <c r="Y266" s="17" t="str">
        <f aca="false">IF((E266="u"),H266," ")</f>
        <v> </v>
      </c>
      <c r="Z266" s="17" t="str">
        <f aca="false">IF((E266="a"),H266," ")</f>
        <v> </v>
      </c>
      <c r="AA266" s="17" t="str">
        <f aca="false">IF((E266="g"),H266," ")</f>
        <v> </v>
      </c>
      <c r="AB266" s="17" t="str">
        <f aca="false">IF((E266="h"),H266," ")</f>
        <v> </v>
      </c>
      <c r="AC266" s="30" t="str">
        <f aca="false">IF((E266="v"),H266," ")</f>
        <v> </v>
      </c>
      <c r="AD266" s="30" t="str">
        <f aca="false">IF((E266="n"),H266," ")</f>
        <v> </v>
      </c>
      <c r="AE266" s="17" t="str">
        <f aca="false">IF((E266="f"),H266," ")</f>
        <v> </v>
      </c>
      <c r="AF266" s="17" t="str">
        <f aca="false">IF((E266="l"),H266," ")</f>
        <v> </v>
      </c>
      <c r="AG266" s="17" t="str">
        <f aca="false">IF((E266="y"),H266," ")</f>
        <v> </v>
      </c>
      <c r="AH266" s="17" t="str">
        <f aca="false">IF((E266="z"),H266," ")</f>
        <v> </v>
      </c>
      <c r="AI266" s="17" t="str">
        <f aca="false">IF((E266="fa"),H266," ")</f>
        <v> </v>
      </c>
      <c r="AJ266" s="17" t="str">
        <f aca="false">IF((E266="e"),H266," ")</f>
        <v> </v>
      </c>
    </row>
    <row r="267" customFormat="false" ht="12" hidden="false" customHeight="false" outlineLevel="0" collapsed="false">
      <c r="A267" s="28"/>
      <c r="E267" s="2" t="str">
        <f aca="false">IF((F267&lt;&gt;0),"Enter Letter"," ")</f>
        <v> </v>
      </c>
      <c r="F267" s="30"/>
      <c r="G267" s="6" t="str">
        <f aca="false">IF(F267&lt;&gt;0,F267*G$2/(100+G$2)," ")</f>
        <v> </v>
      </c>
      <c r="H267" s="6" t="str">
        <f aca="false">IF((F267&lt;&gt;0),F267-G267," ")</f>
        <v> </v>
      </c>
      <c r="I267" s="5"/>
      <c r="L267" s="7" t="str">
        <f aca="false">IF(F267&lt;&gt;0,F267-K267," ")</f>
        <v> </v>
      </c>
      <c r="M267" s="8" t="str">
        <f aca="false">IF((F267-K267)&lt;&gt;0,M$1-A267," ")</f>
        <v> </v>
      </c>
      <c r="N267" s="5"/>
      <c r="O267" s="17" t="str">
        <f aca="false">IF((E267="s"),H267," ")</f>
        <v> </v>
      </c>
      <c r="P267" s="17" t="str">
        <f aca="false">IF((E267="c"),H267," ")</f>
        <v> </v>
      </c>
      <c r="Q267" s="17" t="str">
        <f aca="false">IF((E267="o"),H267," ")</f>
        <v> </v>
      </c>
      <c r="R267" s="17" t="str">
        <f aca="false">IF((E267="d"),H267," ")</f>
        <v> </v>
      </c>
      <c r="S267" s="17" t="str">
        <f aca="false">IF((E267="w"),H267," ")</f>
        <v> </v>
      </c>
      <c r="T267" s="17" t="str">
        <f aca="false">IF((E267="r"),H267," ")</f>
        <v> </v>
      </c>
      <c r="U267" s="17" t="str">
        <f aca="false">IF((E267="p"),H267," ")</f>
        <v> </v>
      </c>
      <c r="V267" s="17" t="str">
        <f aca="false">IF((E267="t"),H267," ")</f>
        <v> </v>
      </c>
      <c r="W267" s="17" t="str">
        <f aca="false">IF((E267="q"),H267," ")</f>
        <v> </v>
      </c>
      <c r="X267" s="17" t="str">
        <f aca="false">IF((E267="m"),H267," ")</f>
        <v> </v>
      </c>
      <c r="Y267" s="17" t="str">
        <f aca="false">IF((E267="u"),H267," ")</f>
        <v> </v>
      </c>
      <c r="Z267" s="17" t="str">
        <f aca="false">IF((E267="a"),H267," ")</f>
        <v> </v>
      </c>
      <c r="AA267" s="17" t="str">
        <f aca="false">IF((E267="g"),H267," ")</f>
        <v> </v>
      </c>
      <c r="AB267" s="17" t="str">
        <f aca="false">IF((E267="h"),H267," ")</f>
        <v> </v>
      </c>
      <c r="AC267" s="30" t="str">
        <f aca="false">IF((E267="v"),H267," ")</f>
        <v> </v>
      </c>
      <c r="AD267" s="30" t="str">
        <f aca="false">IF((E267="n"),H267," ")</f>
        <v> </v>
      </c>
      <c r="AE267" s="17" t="str">
        <f aca="false">IF((E267="f"),H267," ")</f>
        <v> </v>
      </c>
      <c r="AF267" s="17" t="str">
        <f aca="false">IF((E267="l"),H267," ")</f>
        <v> </v>
      </c>
      <c r="AG267" s="17" t="str">
        <f aca="false">IF((E267="y"),H267," ")</f>
        <v> </v>
      </c>
      <c r="AH267" s="17" t="str">
        <f aca="false">IF((E267="z"),H267," ")</f>
        <v> </v>
      </c>
      <c r="AI267" s="17" t="str">
        <f aca="false">IF((E267="fa"),H267," ")</f>
        <v> </v>
      </c>
      <c r="AJ267" s="17" t="str">
        <f aca="false">IF((E267="e"),H267," ")</f>
        <v> </v>
      </c>
    </row>
    <row r="268" customFormat="false" ht="12" hidden="false" customHeight="false" outlineLevel="0" collapsed="false">
      <c r="A268" s="28"/>
      <c r="E268" s="2" t="str">
        <f aca="false">IF((F268&lt;&gt;0),"Enter Letter"," ")</f>
        <v> </v>
      </c>
      <c r="F268" s="30"/>
      <c r="G268" s="6" t="str">
        <f aca="false">IF(F268&lt;&gt;0,F268*G$2/(100+G$2)," ")</f>
        <v> </v>
      </c>
      <c r="H268" s="6" t="str">
        <f aca="false">IF((F268&lt;&gt;0),F268-G268," ")</f>
        <v> </v>
      </c>
      <c r="I268" s="5"/>
      <c r="L268" s="7" t="str">
        <f aca="false">IF(F268&lt;&gt;0,F268-K268," ")</f>
        <v> </v>
      </c>
      <c r="M268" s="8" t="str">
        <f aca="false">IF((F268-K268)&lt;&gt;0,M$1-A268," ")</f>
        <v> </v>
      </c>
      <c r="N268" s="5"/>
      <c r="O268" s="17" t="str">
        <f aca="false">IF((E268="s"),H268," ")</f>
        <v> </v>
      </c>
      <c r="P268" s="17" t="str">
        <f aca="false">IF((E268="c"),H268," ")</f>
        <v> </v>
      </c>
      <c r="Q268" s="17" t="str">
        <f aca="false">IF((E268="o"),H268," ")</f>
        <v> </v>
      </c>
      <c r="R268" s="17" t="str">
        <f aca="false">IF((E268="d"),H268," ")</f>
        <v> </v>
      </c>
      <c r="S268" s="17" t="str">
        <f aca="false">IF((E268="w"),H268," ")</f>
        <v> </v>
      </c>
      <c r="T268" s="17" t="str">
        <f aca="false">IF((E268="r"),H268," ")</f>
        <v> </v>
      </c>
      <c r="U268" s="17" t="str">
        <f aca="false">IF((E268="p"),H268," ")</f>
        <v> </v>
      </c>
      <c r="V268" s="17" t="str">
        <f aca="false">IF((E268="t"),H268," ")</f>
        <v> </v>
      </c>
      <c r="W268" s="17" t="str">
        <f aca="false">IF((E268="q"),H268," ")</f>
        <v> </v>
      </c>
      <c r="X268" s="17" t="str">
        <f aca="false">IF((E268="m"),H268," ")</f>
        <v> </v>
      </c>
      <c r="Y268" s="17" t="str">
        <f aca="false">IF((E268="u"),H268," ")</f>
        <v> </v>
      </c>
      <c r="Z268" s="17" t="str">
        <f aca="false">IF((E268="a"),H268," ")</f>
        <v> </v>
      </c>
      <c r="AA268" s="17" t="str">
        <f aca="false">IF((E268="g"),H268," ")</f>
        <v> </v>
      </c>
      <c r="AB268" s="17" t="str">
        <f aca="false">IF((E268="h"),H268," ")</f>
        <v> </v>
      </c>
      <c r="AC268" s="30" t="str">
        <f aca="false">IF((E268="v"),H268," ")</f>
        <v> </v>
      </c>
      <c r="AD268" s="30" t="str">
        <f aca="false">IF((E268="n"),H268," ")</f>
        <v> </v>
      </c>
      <c r="AE268" s="17" t="str">
        <f aca="false">IF((E268="f"),H268," ")</f>
        <v> </v>
      </c>
      <c r="AF268" s="17" t="str">
        <f aca="false">IF((E268="l"),H268," ")</f>
        <v> </v>
      </c>
      <c r="AG268" s="17" t="str">
        <f aca="false">IF((E268="y"),H268," ")</f>
        <v> </v>
      </c>
      <c r="AH268" s="17" t="str">
        <f aca="false">IF((E268="z"),H268," ")</f>
        <v> </v>
      </c>
      <c r="AI268" s="17" t="str">
        <f aca="false">IF((E268="fa"),H268," ")</f>
        <v> </v>
      </c>
      <c r="AJ268" s="17" t="str">
        <f aca="false">IF((E268="e"),H268," ")</f>
        <v> </v>
      </c>
    </row>
    <row r="269" customFormat="false" ht="12" hidden="false" customHeight="false" outlineLevel="0" collapsed="false">
      <c r="A269" s="28"/>
      <c r="E269" s="2" t="str">
        <f aca="false">IF((F269&lt;&gt;0),"Enter Letter"," ")</f>
        <v> </v>
      </c>
      <c r="F269" s="30"/>
      <c r="G269" s="6" t="str">
        <f aca="false">IF(F269&lt;&gt;0,F269*G$2/(100+G$2)," ")</f>
        <v> </v>
      </c>
      <c r="H269" s="6" t="str">
        <f aca="false">IF((F269&lt;&gt;0),F269-G269," ")</f>
        <v> </v>
      </c>
      <c r="I269" s="5"/>
      <c r="L269" s="7" t="str">
        <f aca="false">IF(F269&lt;&gt;0,F269-K269," ")</f>
        <v> </v>
      </c>
      <c r="M269" s="8" t="str">
        <f aca="false">IF((F269-K269)&lt;&gt;0,M$1-A269," ")</f>
        <v> </v>
      </c>
      <c r="N269" s="5"/>
      <c r="O269" s="17" t="str">
        <f aca="false">IF((E269="s"),H269," ")</f>
        <v> </v>
      </c>
      <c r="P269" s="17" t="str">
        <f aca="false">IF((E269="c"),H269," ")</f>
        <v> </v>
      </c>
      <c r="Q269" s="17" t="str">
        <f aca="false">IF((E269="o"),H269," ")</f>
        <v> </v>
      </c>
      <c r="R269" s="17" t="str">
        <f aca="false">IF((E269="d"),H269," ")</f>
        <v> </v>
      </c>
      <c r="S269" s="17" t="str">
        <f aca="false">IF((E269="w"),H269," ")</f>
        <v> </v>
      </c>
      <c r="T269" s="17" t="str">
        <f aca="false">IF((E269="r"),H269," ")</f>
        <v> </v>
      </c>
      <c r="U269" s="17" t="str">
        <f aca="false">IF((E269="p"),H269," ")</f>
        <v> </v>
      </c>
      <c r="V269" s="17" t="str">
        <f aca="false">IF((E269="t"),H269," ")</f>
        <v> </v>
      </c>
      <c r="W269" s="17" t="str">
        <f aca="false">IF((E269="q"),H269," ")</f>
        <v> </v>
      </c>
      <c r="X269" s="17" t="str">
        <f aca="false">IF((E269="m"),H269," ")</f>
        <v> </v>
      </c>
      <c r="Y269" s="17" t="str">
        <f aca="false">IF((E269="u"),H269," ")</f>
        <v> </v>
      </c>
      <c r="Z269" s="17" t="str">
        <f aca="false">IF((E269="a"),H269," ")</f>
        <v> </v>
      </c>
      <c r="AA269" s="17" t="str">
        <f aca="false">IF((E269="g"),H269," ")</f>
        <v> </v>
      </c>
      <c r="AB269" s="17" t="str">
        <f aca="false">IF((E269="h"),H269," ")</f>
        <v> </v>
      </c>
      <c r="AC269" s="30" t="str">
        <f aca="false">IF((E269="v"),H269," ")</f>
        <v> </v>
      </c>
      <c r="AD269" s="30" t="str">
        <f aca="false">IF((E269="n"),H269," ")</f>
        <v> </v>
      </c>
      <c r="AE269" s="17" t="str">
        <f aca="false">IF((E269="f"),H269," ")</f>
        <v> </v>
      </c>
      <c r="AF269" s="17" t="str">
        <f aca="false">IF((E269="l"),H269," ")</f>
        <v> </v>
      </c>
      <c r="AG269" s="17" t="str">
        <f aca="false">IF((E269="y"),H269," ")</f>
        <v> </v>
      </c>
      <c r="AH269" s="17" t="str">
        <f aca="false">IF((E269="z"),H269," ")</f>
        <v> </v>
      </c>
      <c r="AI269" s="17" t="str">
        <f aca="false">IF((E269="fa"),H269," ")</f>
        <v> </v>
      </c>
      <c r="AJ269" s="17" t="str">
        <f aca="false">IF((E269="e"),H269," ")</f>
        <v> </v>
      </c>
    </row>
    <row r="270" customFormat="false" ht="12" hidden="false" customHeight="false" outlineLevel="0" collapsed="false">
      <c r="A270" s="28"/>
      <c r="E270" s="2" t="str">
        <f aca="false">IF((F270&lt;&gt;0),"Enter Letter"," ")</f>
        <v> </v>
      </c>
      <c r="F270" s="30"/>
      <c r="G270" s="6" t="str">
        <f aca="false">IF(F270&lt;&gt;0,F270*G$2/(100+G$2)," ")</f>
        <v> </v>
      </c>
      <c r="H270" s="6" t="str">
        <f aca="false">IF((F270&lt;&gt;0),F270-G270," ")</f>
        <v> </v>
      </c>
      <c r="I270" s="5"/>
      <c r="L270" s="7" t="str">
        <f aca="false">IF(F270&lt;&gt;0,F270-K270," ")</f>
        <v> </v>
      </c>
      <c r="M270" s="8" t="str">
        <f aca="false">IF((F270-K270)&lt;&gt;0,M$1-A270," ")</f>
        <v> </v>
      </c>
      <c r="N270" s="5"/>
      <c r="O270" s="17" t="str">
        <f aca="false">IF((E270="s"),H270," ")</f>
        <v> </v>
      </c>
      <c r="P270" s="17" t="str">
        <f aca="false">IF((E270="c"),H270," ")</f>
        <v> </v>
      </c>
      <c r="Q270" s="17" t="str">
        <f aca="false">IF((E270="o"),H270," ")</f>
        <v> </v>
      </c>
      <c r="R270" s="17" t="str">
        <f aca="false">IF((E270="d"),H270," ")</f>
        <v> </v>
      </c>
      <c r="S270" s="17" t="str">
        <f aca="false">IF((E270="w"),H270," ")</f>
        <v> </v>
      </c>
      <c r="T270" s="17" t="str">
        <f aca="false">IF((E270="r"),H270," ")</f>
        <v> </v>
      </c>
      <c r="U270" s="17" t="str">
        <f aca="false">IF((E270="p"),H270," ")</f>
        <v> </v>
      </c>
      <c r="V270" s="17" t="str">
        <f aca="false">IF((E270="t"),H270," ")</f>
        <v> </v>
      </c>
      <c r="W270" s="17" t="str">
        <f aca="false">IF((E270="q"),H270," ")</f>
        <v> </v>
      </c>
      <c r="X270" s="17" t="str">
        <f aca="false">IF((E270="m"),H270," ")</f>
        <v> </v>
      </c>
      <c r="Y270" s="17" t="str">
        <f aca="false">IF((E270="u"),H270," ")</f>
        <v> </v>
      </c>
      <c r="Z270" s="17" t="str">
        <f aca="false">IF((E270="a"),H270," ")</f>
        <v> </v>
      </c>
      <c r="AA270" s="17" t="str">
        <f aca="false">IF((E270="g"),H270," ")</f>
        <v> </v>
      </c>
      <c r="AB270" s="17" t="str">
        <f aca="false">IF((E270="h"),H270," ")</f>
        <v> </v>
      </c>
      <c r="AC270" s="30" t="str">
        <f aca="false">IF((E270="v"),H270," ")</f>
        <v> </v>
      </c>
      <c r="AD270" s="30" t="str">
        <f aca="false">IF((E270="n"),H270," ")</f>
        <v> </v>
      </c>
      <c r="AE270" s="17" t="str">
        <f aca="false">IF((E270="f"),H270," ")</f>
        <v> </v>
      </c>
      <c r="AF270" s="17" t="str">
        <f aca="false">IF((E270="l"),H270," ")</f>
        <v> </v>
      </c>
      <c r="AG270" s="17" t="str">
        <f aca="false">IF((E270="y"),H270," ")</f>
        <v> </v>
      </c>
      <c r="AH270" s="17" t="str">
        <f aca="false">IF((E270="z"),H270," ")</f>
        <v> </v>
      </c>
      <c r="AI270" s="17" t="str">
        <f aca="false">IF((E270="fa"),H270," ")</f>
        <v> </v>
      </c>
      <c r="AJ270" s="17" t="str">
        <f aca="false">IF((E270="e"),H270," ")</f>
        <v> </v>
      </c>
    </row>
    <row r="271" customFormat="false" ht="12" hidden="false" customHeight="false" outlineLevel="0" collapsed="false">
      <c r="A271" s="28"/>
      <c r="E271" s="2" t="str">
        <f aca="false">IF((F271&lt;&gt;0),"Enter Letter"," ")</f>
        <v> </v>
      </c>
      <c r="F271" s="30"/>
      <c r="G271" s="6" t="str">
        <f aca="false">IF(F271&lt;&gt;0,F271*G$2/(100+G$2)," ")</f>
        <v> </v>
      </c>
      <c r="H271" s="6" t="str">
        <f aca="false">IF((F271&lt;&gt;0),F271-G271," ")</f>
        <v> </v>
      </c>
      <c r="I271" s="5"/>
      <c r="L271" s="7" t="str">
        <f aca="false">IF(F271&lt;&gt;0,F271-K271," ")</f>
        <v> </v>
      </c>
      <c r="M271" s="8" t="str">
        <f aca="false">IF((F271-K271)&lt;&gt;0,M$1-A271," ")</f>
        <v> </v>
      </c>
      <c r="N271" s="5"/>
      <c r="O271" s="17" t="str">
        <f aca="false">IF((E271="s"),H271," ")</f>
        <v> </v>
      </c>
      <c r="P271" s="17" t="str">
        <f aca="false">IF((E271="c"),H271," ")</f>
        <v> </v>
      </c>
      <c r="Q271" s="17" t="str">
        <f aca="false">IF((E271="o"),H271," ")</f>
        <v> </v>
      </c>
      <c r="R271" s="17" t="str">
        <f aca="false">IF((E271="d"),H271," ")</f>
        <v> </v>
      </c>
      <c r="S271" s="17" t="str">
        <f aca="false">IF((E271="w"),H271," ")</f>
        <v> </v>
      </c>
      <c r="T271" s="17" t="str">
        <f aca="false">IF((E271="r"),H271," ")</f>
        <v> </v>
      </c>
      <c r="U271" s="17" t="str">
        <f aca="false">IF((E271="p"),H271," ")</f>
        <v> </v>
      </c>
      <c r="V271" s="17" t="str">
        <f aca="false">IF((E271="t"),H271," ")</f>
        <v> </v>
      </c>
      <c r="W271" s="17" t="str">
        <f aca="false">IF((E271="q"),H271," ")</f>
        <v> </v>
      </c>
      <c r="X271" s="17" t="str">
        <f aca="false">IF((E271="m"),H271," ")</f>
        <v> </v>
      </c>
      <c r="Y271" s="17" t="str">
        <f aca="false">IF((E271="u"),H271," ")</f>
        <v> </v>
      </c>
      <c r="Z271" s="17" t="str">
        <f aca="false">IF((E271="a"),H271," ")</f>
        <v> </v>
      </c>
      <c r="AA271" s="17" t="str">
        <f aca="false">IF((E271="g"),H271," ")</f>
        <v> </v>
      </c>
      <c r="AB271" s="17" t="str">
        <f aca="false">IF((E271="h"),H271," ")</f>
        <v> </v>
      </c>
      <c r="AC271" s="30" t="str">
        <f aca="false">IF((E271="v"),H271," ")</f>
        <v> </v>
      </c>
      <c r="AD271" s="30" t="str">
        <f aca="false">IF((E271="n"),H271," ")</f>
        <v> </v>
      </c>
      <c r="AE271" s="17" t="str">
        <f aca="false">IF((E271="f"),H271," ")</f>
        <v> </v>
      </c>
      <c r="AF271" s="17" t="str">
        <f aca="false">IF((E271="l"),H271," ")</f>
        <v> </v>
      </c>
      <c r="AG271" s="17" t="str">
        <f aca="false">IF((E271="y"),H271," ")</f>
        <v> </v>
      </c>
      <c r="AH271" s="17" t="str">
        <f aca="false">IF((E271="z"),H271," ")</f>
        <v> </v>
      </c>
      <c r="AI271" s="17" t="str">
        <f aca="false">IF((E271="fa"),H271," ")</f>
        <v> </v>
      </c>
      <c r="AJ271" s="17" t="str">
        <f aca="false">IF((E271="e"),H271," ")</f>
        <v> </v>
      </c>
    </row>
    <row r="272" customFormat="false" ht="12" hidden="false" customHeight="false" outlineLevel="0" collapsed="false">
      <c r="A272" s="28"/>
      <c r="E272" s="2" t="str">
        <f aca="false">IF((F272&lt;&gt;0),"Enter Letter"," ")</f>
        <v> </v>
      </c>
      <c r="F272" s="30"/>
      <c r="G272" s="6" t="str">
        <f aca="false">IF(F272&lt;&gt;0,F272*G$2/(100+G$2)," ")</f>
        <v> </v>
      </c>
      <c r="H272" s="6" t="str">
        <f aca="false">IF((F272&lt;&gt;0),F272-G272," ")</f>
        <v> </v>
      </c>
      <c r="I272" s="5"/>
      <c r="L272" s="7" t="str">
        <f aca="false">IF(F272&lt;&gt;0,F272-K272," ")</f>
        <v> </v>
      </c>
      <c r="M272" s="8" t="str">
        <f aca="false">IF((F272-K272)&lt;&gt;0,M$1-A272," ")</f>
        <v> </v>
      </c>
      <c r="N272" s="5"/>
      <c r="O272" s="17" t="str">
        <f aca="false">IF((E272="s"),H272," ")</f>
        <v> </v>
      </c>
      <c r="P272" s="17" t="str">
        <f aca="false">IF((E272="c"),H272," ")</f>
        <v> </v>
      </c>
      <c r="Q272" s="17" t="str">
        <f aca="false">IF((E272="o"),H272," ")</f>
        <v> </v>
      </c>
      <c r="R272" s="17" t="str">
        <f aca="false">IF((E272="d"),H272," ")</f>
        <v> </v>
      </c>
      <c r="S272" s="17" t="str">
        <f aca="false">IF((E272="w"),H272," ")</f>
        <v> </v>
      </c>
      <c r="T272" s="17" t="str">
        <f aca="false">IF((E272="r"),H272," ")</f>
        <v> </v>
      </c>
      <c r="U272" s="17" t="str">
        <f aca="false">IF((E272="p"),H272," ")</f>
        <v> </v>
      </c>
      <c r="V272" s="17" t="str">
        <f aca="false">IF((E272="t"),H272," ")</f>
        <v> </v>
      </c>
      <c r="W272" s="17" t="str">
        <f aca="false">IF((E272="q"),H272," ")</f>
        <v> </v>
      </c>
      <c r="X272" s="17" t="str">
        <f aca="false">IF((E272="m"),H272," ")</f>
        <v> </v>
      </c>
      <c r="Y272" s="17" t="str">
        <f aca="false">IF((E272="u"),H272," ")</f>
        <v> </v>
      </c>
      <c r="Z272" s="17" t="str">
        <f aca="false">IF((E272="a"),H272," ")</f>
        <v> </v>
      </c>
      <c r="AA272" s="17" t="str">
        <f aca="false">IF((E272="g"),H272," ")</f>
        <v> </v>
      </c>
      <c r="AB272" s="17" t="str">
        <f aca="false">IF((E272="h"),H272," ")</f>
        <v> </v>
      </c>
      <c r="AC272" s="30" t="str">
        <f aca="false">IF((E272="v"),H272," ")</f>
        <v> </v>
      </c>
      <c r="AD272" s="30" t="str">
        <f aca="false">IF((E272="n"),H272," ")</f>
        <v> </v>
      </c>
      <c r="AE272" s="17" t="str">
        <f aca="false">IF((E272="f"),H272," ")</f>
        <v> </v>
      </c>
      <c r="AF272" s="17" t="str">
        <f aca="false">IF((E272="l"),H272," ")</f>
        <v> </v>
      </c>
      <c r="AG272" s="17" t="str">
        <f aca="false">IF((E272="y"),H272," ")</f>
        <v> </v>
      </c>
      <c r="AH272" s="17" t="str">
        <f aca="false">IF((E272="z"),H272," ")</f>
        <v> </v>
      </c>
      <c r="AI272" s="17" t="str">
        <f aca="false">IF((E272="fa"),H272," ")</f>
        <v> </v>
      </c>
      <c r="AJ272" s="17" t="str">
        <f aca="false">IF((E272="e"),H272," ")</f>
        <v> </v>
      </c>
    </row>
    <row r="273" customFormat="false" ht="12" hidden="false" customHeight="false" outlineLevel="0" collapsed="false">
      <c r="A273" s="28"/>
      <c r="E273" s="2" t="str">
        <f aca="false">IF((F273&lt;&gt;0),"Enter Letter"," ")</f>
        <v> </v>
      </c>
      <c r="F273" s="30"/>
      <c r="G273" s="6" t="str">
        <f aca="false">IF(F273&lt;&gt;0,F273*G$2/(100+G$2)," ")</f>
        <v> </v>
      </c>
      <c r="H273" s="6" t="str">
        <f aca="false">IF((F273&lt;&gt;0),F273-G273," ")</f>
        <v> </v>
      </c>
      <c r="I273" s="5"/>
      <c r="L273" s="7" t="str">
        <f aca="false">IF(F273&lt;&gt;0,F273-K273," ")</f>
        <v> </v>
      </c>
      <c r="M273" s="8" t="str">
        <f aca="false">IF((F273-K273)&lt;&gt;0,M$1-A273," ")</f>
        <v> </v>
      </c>
      <c r="N273" s="5"/>
      <c r="O273" s="17" t="str">
        <f aca="false">IF((E273="s"),H273," ")</f>
        <v> </v>
      </c>
      <c r="P273" s="17" t="str">
        <f aca="false">IF((E273="c"),H273," ")</f>
        <v> </v>
      </c>
      <c r="Q273" s="17" t="str">
        <f aca="false">IF((E273="o"),H273," ")</f>
        <v> </v>
      </c>
      <c r="R273" s="17" t="str">
        <f aca="false">IF((E273="d"),H273," ")</f>
        <v> </v>
      </c>
      <c r="S273" s="17" t="str">
        <f aca="false">IF((E273="w"),H273," ")</f>
        <v> </v>
      </c>
      <c r="T273" s="17" t="str">
        <f aca="false">IF((E273="r"),H273," ")</f>
        <v> </v>
      </c>
      <c r="U273" s="17" t="str">
        <f aca="false">IF((E273="p"),H273," ")</f>
        <v> </v>
      </c>
      <c r="V273" s="17" t="str">
        <f aca="false">IF((E273="t"),H273," ")</f>
        <v> </v>
      </c>
      <c r="W273" s="17" t="str">
        <f aca="false">IF((E273="q"),H273," ")</f>
        <v> </v>
      </c>
      <c r="X273" s="17" t="str">
        <f aca="false">IF((E273="m"),H273," ")</f>
        <v> </v>
      </c>
      <c r="Y273" s="17" t="str">
        <f aca="false">IF((E273="u"),H273," ")</f>
        <v> </v>
      </c>
      <c r="Z273" s="17" t="str">
        <f aca="false">IF((E273="a"),H273," ")</f>
        <v> </v>
      </c>
      <c r="AA273" s="17" t="str">
        <f aca="false">IF((E273="g"),H273," ")</f>
        <v> </v>
      </c>
      <c r="AB273" s="17" t="str">
        <f aca="false">IF((E273="h"),H273," ")</f>
        <v> </v>
      </c>
      <c r="AC273" s="30" t="str">
        <f aca="false">IF((E273="v"),H273," ")</f>
        <v> </v>
      </c>
      <c r="AD273" s="30" t="str">
        <f aca="false">IF((E273="n"),H273," ")</f>
        <v> </v>
      </c>
      <c r="AE273" s="17" t="str">
        <f aca="false">IF((E273="f"),H273," ")</f>
        <v> </v>
      </c>
      <c r="AF273" s="17" t="str">
        <f aca="false">IF((E273="l"),H273," ")</f>
        <v> </v>
      </c>
      <c r="AG273" s="17" t="str">
        <f aca="false">IF((E273="y"),H273," ")</f>
        <v> </v>
      </c>
      <c r="AH273" s="17" t="str">
        <f aca="false">IF((E273="z"),H273," ")</f>
        <v> </v>
      </c>
      <c r="AI273" s="17" t="str">
        <f aca="false">IF((E273="fa"),H273," ")</f>
        <v> </v>
      </c>
      <c r="AJ273" s="17" t="str">
        <f aca="false">IF((E273="e"),H273," ")</f>
        <v> </v>
      </c>
    </row>
    <row r="274" customFormat="false" ht="12" hidden="false" customHeight="false" outlineLevel="0" collapsed="false">
      <c r="A274" s="28"/>
      <c r="E274" s="2" t="str">
        <f aca="false">IF((F274&lt;&gt;0),"Enter Letter"," ")</f>
        <v> </v>
      </c>
      <c r="F274" s="30"/>
      <c r="G274" s="6" t="str">
        <f aca="false">IF(F274&lt;&gt;0,F274*G$2/(100+G$2)," ")</f>
        <v> </v>
      </c>
      <c r="H274" s="6" t="str">
        <f aca="false">IF((F274&lt;&gt;0),F274-G274," ")</f>
        <v> </v>
      </c>
      <c r="I274" s="5"/>
      <c r="L274" s="7" t="str">
        <f aca="false">IF(F274&lt;&gt;0,F274-K274," ")</f>
        <v> </v>
      </c>
      <c r="M274" s="8" t="str">
        <f aca="false">IF((F274-K274)&lt;&gt;0,M$1-A274," ")</f>
        <v> </v>
      </c>
      <c r="N274" s="5"/>
      <c r="O274" s="17" t="str">
        <f aca="false">IF((E274="s"),H274," ")</f>
        <v> </v>
      </c>
      <c r="P274" s="17" t="str">
        <f aca="false">IF((E274="c"),H274," ")</f>
        <v> </v>
      </c>
      <c r="Q274" s="17" t="str">
        <f aca="false">IF((E274="o"),H274," ")</f>
        <v> </v>
      </c>
      <c r="R274" s="17" t="str">
        <f aca="false">IF((E274="d"),H274," ")</f>
        <v> </v>
      </c>
      <c r="S274" s="17" t="str">
        <f aca="false">IF((E274="w"),H274," ")</f>
        <v> </v>
      </c>
      <c r="T274" s="17" t="str">
        <f aca="false">IF((E274="r"),H274," ")</f>
        <v> </v>
      </c>
      <c r="U274" s="17" t="str">
        <f aca="false">IF((E274="p"),H274," ")</f>
        <v> </v>
      </c>
      <c r="V274" s="17" t="str">
        <f aca="false">IF((E274="t"),H274," ")</f>
        <v> </v>
      </c>
      <c r="W274" s="17" t="str">
        <f aca="false">IF((E274="q"),H274," ")</f>
        <v> </v>
      </c>
      <c r="X274" s="17" t="str">
        <f aca="false">IF((E274="m"),H274," ")</f>
        <v> </v>
      </c>
      <c r="Y274" s="17" t="str">
        <f aca="false">IF((E274="u"),H274," ")</f>
        <v> </v>
      </c>
      <c r="Z274" s="17" t="str">
        <f aca="false">IF((E274="a"),H274," ")</f>
        <v> </v>
      </c>
      <c r="AA274" s="17" t="str">
        <f aca="false">IF((E274="g"),H274," ")</f>
        <v> </v>
      </c>
      <c r="AB274" s="17" t="str">
        <f aca="false">IF((E274="h"),H274," ")</f>
        <v> </v>
      </c>
      <c r="AC274" s="30" t="str">
        <f aca="false">IF((E274="v"),H274," ")</f>
        <v> </v>
      </c>
      <c r="AD274" s="30" t="str">
        <f aca="false">IF((E274="n"),H274," ")</f>
        <v> </v>
      </c>
      <c r="AE274" s="17" t="str">
        <f aca="false">IF((E274="f"),H274," ")</f>
        <v> </v>
      </c>
      <c r="AF274" s="17" t="str">
        <f aca="false">IF((E274="l"),H274," ")</f>
        <v> </v>
      </c>
      <c r="AG274" s="17" t="str">
        <f aca="false">IF((E274="y"),H274," ")</f>
        <v> </v>
      </c>
      <c r="AH274" s="17" t="str">
        <f aca="false">IF((E274="z"),H274," ")</f>
        <v> </v>
      </c>
      <c r="AI274" s="17" t="str">
        <f aca="false">IF((E274="fa"),H274," ")</f>
        <v> </v>
      </c>
      <c r="AJ274" s="17" t="str">
        <f aca="false">IF((E274="e"),H274," ")</f>
        <v> </v>
      </c>
    </row>
    <row r="275" customFormat="false" ht="12" hidden="false" customHeight="false" outlineLevel="0" collapsed="false">
      <c r="A275" s="28"/>
      <c r="E275" s="2" t="str">
        <f aca="false">IF((F275&lt;&gt;0),"Enter Letter"," ")</f>
        <v> </v>
      </c>
      <c r="F275" s="30"/>
      <c r="G275" s="6" t="str">
        <f aca="false">IF(F275&lt;&gt;0,F275*G$2/(100+G$2)," ")</f>
        <v> </v>
      </c>
      <c r="H275" s="6" t="str">
        <f aca="false">IF((F275&lt;&gt;0),F275-G275," ")</f>
        <v> </v>
      </c>
      <c r="I275" s="5"/>
      <c r="L275" s="7" t="str">
        <f aca="false">IF(F275&lt;&gt;0,F275-K275," ")</f>
        <v> </v>
      </c>
      <c r="M275" s="8" t="str">
        <f aca="false">IF((F275-K275)&lt;&gt;0,M$1-A275," ")</f>
        <v> </v>
      </c>
      <c r="N275" s="5"/>
      <c r="O275" s="17" t="str">
        <f aca="false">IF((E275="s"),H275," ")</f>
        <v> </v>
      </c>
      <c r="P275" s="17" t="str">
        <f aca="false">IF((E275="c"),H275," ")</f>
        <v> </v>
      </c>
      <c r="Q275" s="17" t="str">
        <f aca="false">IF((E275="o"),H275," ")</f>
        <v> </v>
      </c>
      <c r="R275" s="17" t="str">
        <f aca="false">IF((E275="d"),H275," ")</f>
        <v> </v>
      </c>
      <c r="S275" s="17" t="str">
        <f aca="false">IF((E275="w"),H275," ")</f>
        <v> </v>
      </c>
      <c r="T275" s="17" t="str">
        <f aca="false">IF((E275="r"),H275," ")</f>
        <v> </v>
      </c>
      <c r="U275" s="17" t="str">
        <f aca="false">IF((E275="p"),H275," ")</f>
        <v> </v>
      </c>
      <c r="V275" s="17" t="str">
        <f aca="false">IF((E275="t"),H275," ")</f>
        <v> </v>
      </c>
      <c r="W275" s="17" t="str">
        <f aca="false">IF((E275="q"),H275," ")</f>
        <v> </v>
      </c>
      <c r="X275" s="17" t="str">
        <f aca="false">IF((E275="m"),H275," ")</f>
        <v> </v>
      </c>
      <c r="Y275" s="17" t="str">
        <f aca="false">IF((E275="u"),H275," ")</f>
        <v> </v>
      </c>
      <c r="Z275" s="17" t="str">
        <f aca="false">IF((E275="a"),H275," ")</f>
        <v> </v>
      </c>
      <c r="AA275" s="17" t="str">
        <f aca="false">IF((E275="g"),H275," ")</f>
        <v> </v>
      </c>
      <c r="AB275" s="17" t="str">
        <f aca="false">IF((E275="h"),H275," ")</f>
        <v> </v>
      </c>
      <c r="AC275" s="30" t="str">
        <f aca="false">IF((E275="v"),H275," ")</f>
        <v> </v>
      </c>
      <c r="AD275" s="30" t="str">
        <f aca="false">IF((E275="n"),H275," ")</f>
        <v> </v>
      </c>
      <c r="AE275" s="17" t="str">
        <f aca="false">IF((E275="f"),H275," ")</f>
        <v> </v>
      </c>
      <c r="AF275" s="17" t="str">
        <f aca="false">IF((E275="l"),H275," ")</f>
        <v> </v>
      </c>
      <c r="AG275" s="17" t="str">
        <f aca="false">IF((E275="y"),H275," ")</f>
        <v> </v>
      </c>
      <c r="AH275" s="17" t="str">
        <f aca="false">IF((E275="z"),H275," ")</f>
        <v> </v>
      </c>
      <c r="AI275" s="17" t="str">
        <f aca="false">IF((E275="fa"),H275," ")</f>
        <v> </v>
      </c>
      <c r="AJ275" s="17" t="str">
        <f aca="false">IF((E275="e"),H275," ")</f>
        <v> </v>
      </c>
    </row>
    <row r="276" customFormat="false" ht="12" hidden="false" customHeight="false" outlineLevel="0" collapsed="false">
      <c r="A276" s="28"/>
      <c r="E276" s="2" t="str">
        <f aca="false">IF((F276&lt;&gt;0),"Enter Letter"," ")</f>
        <v> </v>
      </c>
      <c r="F276" s="30"/>
      <c r="G276" s="6" t="str">
        <f aca="false">IF(F276&lt;&gt;0,F276*G$2/(100+G$2)," ")</f>
        <v> </v>
      </c>
      <c r="H276" s="6" t="str">
        <f aca="false">IF((F276&lt;&gt;0),F276-G276," ")</f>
        <v> </v>
      </c>
      <c r="I276" s="5"/>
      <c r="L276" s="7" t="str">
        <f aca="false">IF(F276&lt;&gt;0,F276-K276," ")</f>
        <v> </v>
      </c>
      <c r="M276" s="8" t="str">
        <f aca="false">IF((F276-K276)&lt;&gt;0,M$1-A276," ")</f>
        <v> </v>
      </c>
      <c r="N276" s="5"/>
      <c r="O276" s="17" t="str">
        <f aca="false">IF((E276="s"),H276," ")</f>
        <v> </v>
      </c>
      <c r="P276" s="17" t="str">
        <f aca="false">IF((E276="c"),H276," ")</f>
        <v> </v>
      </c>
      <c r="Q276" s="17" t="str">
        <f aca="false">IF((E276="o"),H276," ")</f>
        <v> </v>
      </c>
      <c r="R276" s="17" t="str">
        <f aca="false">IF((E276="d"),H276," ")</f>
        <v> </v>
      </c>
      <c r="S276" s="17" t="str">
        <f aca="false">IF((E276="w"),H276," ")</f>
        <v> </v>
      </c>
      <c r="T276" s="17" t="str">
        <f aca="false">IF((E276="r"),H276," ")</f>
        <v> </v>
      </c>
      <c r="U276" s="17" t="str">
        <f aca="false">IF((E276="p"),H276," ")</f>
        <v> </v>
      </c>
      <c r="V276" s="17" t="str">
        <f aca="false">IF((E276="t"),H276," ")</f>
        <v> </v>
      </c>
      <c r="W276" s="17" t="str">
        <f aca="false">IF((E276="q"),H276," ")</f>
        <v> </v>
      </c>
      <c r="X276" s="17" t="str">
        <f aca="false">IF((E276="m"),H276," ")</f>
        <v> </v>
      </c>
      <c r="Y276" s="17" t="str">
        <f aca="false">IF((E276="u"),H276," ")</f>
        <v> </v>
      </c>
      <c r="Z276" s="17" t="str">
        <f aca="false">IF((E276="a"),H276," ")</f>
        <v> </v>
      </c>
      <c r="AA276" s="17" t="str">
        <f aca="false">IF((E276="g"),H276," ")</f>
        <v> </v>
      </c>
      <c r="AB276" s="17" t="str">
        <f aca="false">IF((E276="h"),H276," ")</f>
        <v> </v>
      </c>
      <c r="AC276" s="30" t="str">
        <f aca="false">IF((E276="v"),H276," ")</f>
        <v> </v>
      </c>
      <c r="AD276" s="30" t="str">
        <f aca="false">IF((E276="n"),H276," ")</f>
        <v> </v>
      </c>
      <c r="AE276" s="17" t="str">
        <f aca="false">IF((E276="f"),H276," ")</f>
        <v> </v>
      </c>
      <c r="AF276" s="17" t="str">
        <f aca="false">IF((E276="l"),H276," ")</f>
        <v> </v>
      </c>
      <c r="AG276" s="17" t="str">
        <f aca="false">IF((E276="y"),H276," ")</f>
        <v> </v>
      </c>
      <c r="AH276" s="17" t="str">
        <f aca="false">IF((E276="z"),H276," ")</f>
        <v> </v>
      </c>
      <c r="AI276" s="17" t="str">
        <f aca="false">IF((E276="fa"),H276," ")</f>
        <v> </v>
      </c>
      <c r="AJ276" s="17" t="str">
        <f aca="false">IF((E276="e"),H276," ")</f>
        <v> </v>
      </c>
    </row>
    <row r="277" customFormat="false" ht="12" hidden="false" customHeight="false" outlineLevel="0" collapsed="false">
      <c r="A277" s="28"/>
      <c r="E277" s="2" t="str">
        <f aca="false">IF((F277&lt;&gt;0),"Enter Letter"," ")</f>
        <v> </v>
      </c>
      <c r="F277" s="30"/>
      <c r="G277" s="6" t="str">
        <f aca="false">IF(F277&lt;&gt;0,F277*G$2/(100+G$2)," ")</f>
        <v> </v>
      </c>
      <c r="H277" s="6" t="str">
        <f aca="false">IF((F277&lt;&gt;0),F277-G277," ")</f>
        <v> </v>
      </c>
      <c r="I277" s="5"/>
      <c r="L277" s="7" t="str">
        <f aca="false">IF(F277&lt;&gt;0,F277-K277," ")</f>
        <v> </v>
      </c>
      <c r="M277" s="8" t="str">
        <f aca="false">IF((F277-K277)&lt;&gt;0,M$1-A277," ")</f>
        <v> </v>
      </c>
      <c r="N277" s="5"/>
      <c r="O277" s="17" t="str">
        <f aca="false">IF((E277="s"),H277," ")</f>
        <v> </v>
      </c>
      <c r="P277" s="17" t="str">
        <f aca="false">IF((E277="c"),H277," ")</f>
        <v> </v>
      </c>
      <c r="Q277" s="17" t="str">
        <f aca="false">IF((E277="o"),H277," ")</f>
        <v> </v>
      </c>
      <c r="R277" s="17" t="str">
        <f aca="false">IF((E277="d"),H277," ")</f>
        <v> </v>
      </c>
      <c r="S277" s="17" t="str">
        <f aca="false">IF((E277="w"),H277," ")</f>
        <v> </v>
      </c>
      <c r="T277" s="17" t="str">
        <f aca="false">IF((E277="r"),H277," ")</f>
        <v> </v>
      </c>
      <c r="U277" s="17" t="str">
        <f aca="false">IF((E277="p"),H277," ")</f>
        <v> </v>
      </c>
      <c r="V277" s="17" t="str">
        <f aca="false">IF((E277="t"),H277," ")</f>
        <v> </v>
      </c>
      <c r="W277" s="17" t="str">
        <f aca="false">IF((E277="q"),H277," ")</f>
        <v> </v>
      </c>
      <c r="X277" s="17" t="str">
        <f aca="false">IF((E277="m"),H277," ")</f>
        <v> </v>
      </c>
      <c r="Y277" s="17" t="str">
        <f aca="false">IF((E277="u"),H277," ")</f>
        <v> </v>
      </c>
      <c r="Z277" s="17" t="str">
        <f aca="false">IF((E277="a"),H277," ")</f>
        <v> </v>
      </c>
      <c r="AA277" s="17" t="str">
        <f aca="false">IF((E277="g"),H277," ")</f>
        <v> </v>
      </c>
      <c r="AB277" s="17" t="str">
        <f aca="false">IF((E277="h"),H277," ")</f>
        <v> </v>
      </c>
      <c r="AC277" s="30" t="str">
        <f aca="false">IF((E277="v"),H277," ")</f>
        <v> </v>
      </c>
      <c r="AD277" s="30" t="str">
        <f aca="false">IF((E277="n"),H277," ")</f>
        <v> </v>
      </c>
      <c r="AE277" s="17" t="str">
        <f aca="false">IF((E277="f"),H277," ")</f>
        <v> </v>
      </c>
      <c r="AF277" s="17" t="str">
        <f aca="false">IF((E277="l"),H277," ")</f>
        <v> </v>
      </c>
      <c r="AG277" s="17" t="str">
        <f aca="false">IF((E277="y"),H277," ")</f>
        <v> </v>
      </c>
      <c r="AH277" s="17" t="str">
        <f aca="false">IF((E277="z"),H277," ")</f>
        <v> </v>
      </c>
      <c r="AI277" s="17" t="str">
        <f aca="false">IF((E277="fa"),H277," ")</f>
        <v> </v>
      </c>
      <c r="AJ277" s="17" t="str">
        <f aca="false">IF((E277="e"),H277," ")</f>
        <v> </v>
      </c>
    </row>
    <row r="278" customFormat="false" ht="12" hidden="false" customHeight="false" outlineLevel="0" collapsed="false">
      <c r="A278" s="28"/>
      <c r="E278" s="2" t="str">
        <f aca="false">IF((F278&lt;&gt;0),"Enter Letter"," ")</f>
        <v> </v>
      </c>
      <c r="F278" s="30"/>
      <c r="G278" s="6" t="str">
        <f aca="false">IF(F278&lt;&gt;0,F278*G$2/(100+G$2)," ")</f>
        <v> </v>
      </c>
      <c r="H278" s="6" t="str">
        <f aca="false">IF((F278&lt;&gt;0),F278-G278," ")</f>
        <v> </v>
      </c>
      <c r="I278" s="5"/>
      <c r="L278" s="7" t="str">
        <f aca="false">IF(F278&lt;&gt;0,F278-K278," ")</f>
        <v> </v>
      </c>
      <c r="M278" s="8" t="str">
        <f aca="false">IF((F278-K278)&lt;&gt;0,M$1-A278," ")</f>
        <v> </v>
      </c>
      <c r="N278" s="5"/>
      <c r="O278" s="17" t="str">
        <f aca="false">IF((E278="s"),H278," ")</f>
        <v> </v>
      </c>
      <c r="P278" s="17" t="str">
        <f aca="false">IF((E278="c"),H278," ")</f>
        <v> </v>
      </c>
      <c r="Q278" s="17" t="str">
        <f aca="false">IF((E278="o"),H278," ")</f>
        <v> </v>
      </c>
      <c r="R278" s="17" t="str">
        <f aca="false">IF((E278="d"),H278," ")</f>
        <v> </v>
      </c>
      <c r="S278" s="17" t="str">
        <f aca="false">IF((E278="w"),H278," ")</f>
        <v> </v>
      </c>
      <c r="T278" s="17" t="str">
        <f aca="false">IF((E278="r"),H278," ")</f>
        <v> </v>
      </c>
      <c r="U278" s="17" t="str">
        <f aca="false">IF((E278="p"),H278," ")</f>
        <v> </v>
      </c>
      <c r="V278" s="17" t="str">
        <f aca="false">IF((E278="t"),H278," ")</f>
        <v> </v>
      </c>
      <c r="W278" s="17" t="str">
        <f aca="false">IF((E278="q"),H278," ")</f>
        <v> </v>
      </c>
      <c r="X278" s="17" t="str">
        <f aca="false">IF((E278="m"),H278," ")</f>
        <v> </v>
      </c>
      <c r="Y278" s="17" t="str">
        <f aca="false">IF((E278="u"),H278," ")</f>
        <v> </v>
      </c>
      <c r="Z278" s="17" t="str">
        <f aca="false">IF((E278="a"),H278," ")</f>
        <v> </v>
      </c>
      <c r="AA278" s="17" t="str">
        <f aca="false">IF((E278="g"),H278," ")</f>
        <v> </v>
      </c>
      <c r="AB278" s="17" t="str">
        <f aca="false">IF((E278="h"),H278," ")</f>
        <v> </v>
      </c>
      <c r="AC278" s="30" t="str">
        <f aca="false">IF((E278="v"),H278," ")</f>
        <v> </v>
      </c>
      <c r="AD278" s="30" t="str">
        <f aca="false">IF((E278="n"),H278," ")</f>
        <v> </v>
      </c>
      <c r="AE278" s="17" t="str">
        <f aca="false">IF((E278="f"),H278," ")</f>
        <v> </v>
      </c>
      <c r="AF278" s="17" t="str">
        <f aca="false">IF((E278="l"),H278," ")</f>
        <v> </v>
      </c>
      <c r="AG278" s="17" t="str">
        <f aca="false">IF((E278="y"),H278," ")</f>
        <v> </v>
      </c>
      <c r="AH278" s="17" t="str">
        <f aca="false">IF((E278="z"),H278," ")</f>
        <v> </v>
      </c>
      <c r="AI278" s="17" t="str">
        <f aca="false">IF((E278="fa"),H278," ")</f>
        <v> </v>
      </c>
      <c r="AJ278" s="17" t="str">
        <f aca="false">IF((E278="e"),H278," ")</f>
        <v> </v>
      </c>
    </row>
    <row r="279" customFormat="false" ht="12" hidden="false" customHeight="false" outlineLevel="0" collapsed="false">
      <c r="A279" s="28"/>
      <c r="E279" s="2" t="str">
        <f aca="false">IF((F279&lt;&gt;0),"Enter Letter"," ")</f>
        <v> </v>
      </c>
      <c r="F279" s="30"/>
      <c r="G279" s="6" t="str">
        <f aca="false">IF(F279&lt;&gt;0,F279*G$2/(100+G$2)," ")</f>
        <v> </v>
      </c>
      <c r="H279" s="6" t="str">
        <f aca="false">IF((F279&lt;&gt;0),F279-G279," ")</f>
        <v> </v>
      </c>
      <c r="I279" s="5"/>
      <c r="L279" s="7" t="str">
        <f aca="false">IF(F279&lt;&gt;0,F279-K279," ")</f>
        <v> </v>
      </c>
      <c r="M279" s="8" t="str">
        <f aca="false">IF((F279-K279)&lt;&gt;0,M$1-A279," ")</f>
        <v> </v>
      </c>
      <c r="N279" s="5"/>
      <c r="O279" s="17" t="str">
        <f aca="false">IF((E279="s"),H279," ")</f>
        <v> </v>
      </c>
      <c r="P279" s="17" t="str">
        <f aca="false">IF((E279="c"),H279," ")</f>
        <v> </v>
      </c>
      <c r="Q279" s="17" t="str">
        <f aca="false">IF((E279="o"),H279," ")</f>
        <v> </v>
      </c>
      <c r="R279" s="17" t="str">
        <f aca="false">IF((E279="d"),H279," ")</f>
        <v> </v>
      </c>
      <c r="S279" s="17" t="str">
        <f aca="false">IF((E279="w"),H279," ")</f>
        <v> </v>
      </c>
      <c r="T279" s="17" t="str">
        <f aca="false">IF((E279="r"),H279," ")</f>
        <v> </v>
      </c>
      <c r="U279" s="17" t="str">
        <f aca="false">IF((E279="p"),H279," ")</f>
        <v> </v>
      </c>
      <c r="V279" s="17" t="str">
        <f aca="false">IF((E279="t"),H279," ")</f>
        <v> </v>
      </c>
      <c r="W279" s="17" t="str">
        <f aca="false">IF((E279="q"),H279," ")</f>
        <v> </v>
      </c>
      <c r="X279" s="17" t="str">
        <f aca="false">IF((E279="m"),H279," ")</f>
        <v> </v>
      </c>
      <c r="Y279" s="17" t="str">
        <f aca="false">IF((E279="u"),H279," ")</f>
        <v> </v>
      </c>
      <c r="Z279" s="17" t="str">
        <f aca="false">IF((E279="a"),H279," ")</f>
        <v> </v>
      </c>
      <c r="AA279" s="17" t="str">
        <f aca="false">IF((E279="g"),H279," ")</f>
        <v> </v>
      </c>
      <c r="AB279" s="17" t="str">
        <f aca="false">IF((E279="h"),H279," ")</f>
        <v> </v>
      </c>
      <c r="AC279" s="30" t="str">
        <f aca="false">IF((E279="v"),H279," ")</f>
        <v> </v>
      </c>
      <c r="AD279" s="30" t="str">
        <f aca="false">IF((E279="n"),H279," ")</f>
        <v> </v>
      </c>
      <c r="AE279" s="17" t="str">
        <f aca="false">IF((E279="f"),H279," ")</f>
        <v> </v>
      </c>
      <c r="AF279" s="17" t="str">
        <f aca="false">IF((E279="l"),H279," ")</f>
        <v> </v>
      </c>
      <c r="AG279" s="17" t="str">
        <f aca="false">IF((E279="y"),H279," ")</f>
        <v> </v>
      </c>
      <c r="AH279" s="17" t="str">
        <f aca="false">IF((E279="z"),H279," ")</f>
        <v> </v>
      </c>
      <c r="AI279" s="17" t="str">
        <f aca="false">IF((E279="fa"),H279," ")</f>
        <v> </v>
      </c>
      <c r="AJ279" s="17" t="str">
        <f aca="false">IF((E279="e"),H279," ")</f>
        <v> </v>
      </c>
    </row>
    <row r="280" customFormat="false" ht="12" hidden="false" customHeight="false" outlineLevel="0" collapsed="false">
      <c r="A280" s="28"/>
      <c r="E280" s="2" t="str">
        <f aca="false">IF((F280&lt;&gt;0),"Enter Letter"," ")</f>
        <v> </v>
      </c>
      <c r="F280" s="30"/>
      <c r="G280" s="6" t="str">
        <f aca="false">IF(F280&lt;&gt;0,F280*G$2/(100+G$2)," ")</f>
        <v> </v>
      </c>
      <c r="H280" s="6" t="str">
        <f aca="false">IF((F280&lt;&gt;0),F280-G280," ")</f>
        <v> </v>
      </c>
      <c r="I280" s="5"/>
      <c r="L280" s="7" t="str">
        <f aca="false">IF(F280&lt;&gt;0,F280-K280," ")</f>
        <v> </v>
      </c>
      <c r="M280" s="8" t="str">
        <f aca="false">IF((F280-K280)&lt;&gt;0,M$1-A280," ")</f>
        <v> </v>
      </c>
      <c r="N280" s="5"/>
      <c r="O280" s="17" t="str">
        <f aca="false">IF((E280="s"),H280," ")</f>
        <v> </v>
      </c>
      <c r="P280" s="17" t="str">
        <f aca="false">IF((E280="c"),H280," ")</f>
        <v> </v>
      </c>
      <c r="Q280" s="17" t="str">
        <f aca="false">IF((E280="o"),H280," ")</f>
        <v> </v>
      </c>
      <c r="R280" s="17" t="str">
        <f aca="false">IF((E280="d"),H280," ")</f>
        <v> </v>
      </c>
      <c r="S280" s="17" t="str">
        <f aca="false">IF((E280="w"),H280," ")</f>
        <v> </v>
      </c>
      <c r="T280" s="17" t="str">
        <f aca="false">IF((E280="r"),H280," ")</f>
        <v> </v>
      </c>
      <c r="U280" s="17" t="str">
        <f aca="false">IF((E280="p"),H280," ")</f>
        <v> </v>
      </c>
      <c r="V280" s="17" t="str">
        <f aca="false">IF((E280="t"),H280," ")</f>
        <v> </v>
      </c>
      <c r="W280" s="17" t="str">
        <f aca="false">IF((E280="q"),H280," ")</f>
        <v> </v>
      </c>
      <c r="X280" s="17" t="str">
        <f aca="false">IF((E280="m"),H280," ")</f>
        <v> </v>
      </c>
      <c r="Y280" s="17" t="str">
        <f aca="false">IF((E280="u"),H280," ")</f>
        <v> </v>
      </c>
      <c r="Z280" s="17" t="str">
        <f aca="false">IF((E280="a"),H280," ")</f>
        <v> </v>
      </c>
      <c r="AA280" s="17" t="str">
        <f aca="false">IF((E280="g"),H280," ")</f>
        <v> </v>
      </c>
      <c r="AB280" s="17" t="str">
        <f aca="false">IF((E280="h"),H280," ")</f>
        <v> </v>
      </c>
      <c r="AC280" s="30" t="str">
        <f aca="false">IF((E280="v"),H280," ")</f>
        <v> </v>
      </c>
      <c r="AD280" s="30" t="str">
        <f aca="false">IF((E280="n"),H280," ")</f>
        <v> </v>
      </c>
      <c r="AE280" s="17" t="str">
        <f aca="false">IF((E280="f"),H280," ")</f>
        <v> </v>
      </c>
      <c r="AF280" s="17" t="str">
        <f aca="false">IF((E280="l"),H280," ")</f>
        <v> </v>
      </c>
      <c r="AG280" s="17" t="str">
        <f aca="false">IF((E280="y"),H280," ")</f>
        <v> </v>
      </c>
      <c r="AH280" s="17" t="str">
        <f aca="false">IF((E280="z"),H280," ")</f>
        <v> </v>
      </c>
      <c r="AI280" s="17" t="str">
        <f aca="false">IF((E280="fa"),H280," ")</f>
        <v> </v>
      </c>
      <c r="AJ280" s="17" t="str">
        <f aca="false">IF((E280="e"),H280," ")</f>
        <v> </v>
      </c>
    </row>
    <row r="281" customFormat="false" ht="12" hidden="false" customHeight="false" outlineLevel="0" collapsed="false">
      <c r="A281" s="28"/>
      <c r="E281" s="2" t="str">
        <f aca="false">IF((F281&lt;&gt;0),"Enter Letter"," ")</f>
        <v> </v>
      </c>
      <c r="F281" s="30"/>
      <c r="G281" s="6" t="str">
        <f aca="false">IF(F281&lt;&gt;0,F281*G$2/(100+G$2)," ")</f>
        <v> </v>
      </c>
      <c r="H281" s="6" t="str">
        <f aca="false">IF((F281&lt;&gt;0),F281-G281," ")</f>
        <v> </v>
      </c>
      <c r="I281" s="5"/>
      <c r="L281" s="7" t="str">
        <f aca="false">IF(F281&lt;&gt;0,F281-K281," ")</f>
        <v> </v>
      </c>
      <c r="M281" s="8" t="str">
        <f aca="false">IF((F281-K281)&lt;&gt;0,M$1-A281," ")</f>
        <v> </v>
      </c>
      <c r="N281" s="5"/>
      <c r="O281" s="17" t="str">
        <f aca="false">IF((E281="s"),H281," ")</f>
        <v> </v>
      </c>
      <c r="P281" s="17" t="str">
        <f aca="false">IF((E281="c"),H281," ")</f>
        <v> </v>
      </c>
      <c r="Q281" s="17" t="str">
        <f aca="false">IF((E281="o"),H281," ")</f>
        <v> </v>
      </c>
      <c r="R281" s="17" t="str">
        <f aca="false">IF((E281="d"),H281," ")</f>
        <v> </v>
      </c>
      <c r="S281" s="17" t="str">
        <f aca="false">IF((E281="w"),H281," ")</f>
        <v> </v>
      </c>
      <c r="T281" s="17" t="str">
        <f aca="false">IF((E281="r"),H281," ")</f>
        <v> </v>
      </c>
      <c r="U281" s="17" t="str">
        <f aca="false">IF((E281="p"),H281," ")</f>
        <v> </v>
      </c>
      <c r="V281" s="17" t="str">
        <f aca="false">IF((E281="t"),H281," ")</f>
        <v> </v>
      </c>
      <c r="W281" s="17" t="str">
        <f aca="false">IF((E281="q"),H281," ")</f>
        <v> </v>
      </c>
      <c r="X281" s="17" t="str">
        <f aca="false">IF((E281="m"),H281," ")</f>
        <v> </v>
      </c>
      <c r="Y281" s="17" t="str">
        <f aca="false">IF((E281="u"),H281," ")</f>
        <v> </v>
      </c>
      <c r="Z281" s="17" t="str">
        <f aca="false">IF((E281="a"),H281," ")</f>
        <v> </v>
      </c>
      <c r="AA281" s="17" t="str">
        <f aca="false">IF((E281="g"),H281," ")</f>
        <v> </v>
      </c>
      <c r="AB281" s="17" t="str">
        <f aca="false">IF((E281="h"),H281," ")</f>
        <v> </v>
      </c>
      <c r="AC281" s="30" t="str">
        <f aca="false">IF((E281="v"),H281," ")</f>
        <v> </v>
      </c>
      <c r="AD281" s="30" t="str">
        <f aca="false">IF((E281="n"),H281," ")</f>
        <v> </v>
      </c>
      <c r="AE281" s="17" t="str">
        <f aca="false">IF((E281="f"),H281," ")</f>
        <v> </v>
      </c>
      <c r="AF281" s="17" t="str">
        <f aca="false">IF((E281="l"),H281," ")</f>
        <v> </v>
      </c>
      <c r="AG281" s="17" t="str">
        <f aca="false">IF((E281="y"),H281," ")</f>
        <v> </v>
      </c>
      <c r="AH281" s="17" t="str">
        <f aca="false">IF((E281="z"),H281," ")</f>
        <v> </v>
      </c>
      <c r="AI281" s="17" t="str">
        <f aca="false">IF((E281="fa"),H281," ")</f>
        <v> </v>
      </c>
      <c r="AJ281" s="17" t="str">
        <f aca="false">IF((E281="e"),H281," ")</f>
        <v> </v>
      </c>
    </row>
    <row r="282" customFormat="false" ht="12" hidden="false" customHeight="false" outlineLevel="0" collapsed="false">
      <c r="A282" s="28"/>
      <c r="E282" s="2" t="str">
        <f aca="false">IF((F282&lt;&gt;0),"Enter Letter"," ")</f>
        <v> </v>
      </c>
      <c r="F282" s="30"/>
      <c r="G282" s="6" t="str">
        <f aca="false">IF(F282&lt;&gt;0,F282*G$2/(100+G$2)," ")</f>
        <v> </v>
      </c>
      <c r="H282" s="6" t="str">
        <f aca="false">IF((F282&lt;&gt;0),F282-G282," ")</f>
        <v> </v>
      </c>
      <c r="I282" s="5"/>
      <c r="L282" s="7" t="str">
        <f aca="false">IF(F282&lt;&gt;0,F282-K282," ")</f>
        <v> </v>
      </c>
      <c r="M282" s="8" t="str">
        <f aca="false">IF((F282-K282)&lt;&gt;0,M$1-A282," ")</f>
        <v> </v>
      </c>
      <c r="N282" s="5"/>
      <c r="O282" s="17" t="str">
        <f aca="false">IF((E282="s"),H282," ")</f>
        <v> </v>
      </c>
      <c r="P282" s="17" t="str">
        <f aca="false">IF((E282="c"),H282," ")</f>
        <v> </v>
      </c>
      <c r="Q282" s="17" t="str">
        <f aca="false">IF((E282="o"),H282," ")</f>
        <v> </v>
      </c>
      <c r="R282" s="17" t="str">
        <f aca="false">IF((E282="d"),H282," ")</f>
        <v> </v>
      </c>
      <c r="S282" s="17" t="str">
        <f aca="false">IF((E282="w"),H282," ")</f>
        <v> </v>
      </c>
      <c r="T282" s="17" t="str">
        <f aca="false">IF((E282="r"),H282," ")</f>
        <v> </v>
      </c>
      <c r="U282" s="17" t="str">
        <f aca="false">IF((E282="p"),H282," ")</f>
        <v> </v>
      </c>
      <c r="V282" s="17" t="str">
        <f aca="false">IF((E282="t"),H282," ")</f>
        <v> </v>
      </c>
      <c r="W282" s="17" t="str">
        <f aca="false">IF((E282="q"),H282," ")</f>
        <v> </v>
      </c>
      <c r="X282" s="17" t="str">
        <f aca="false">IF((E282="m"),H282," ")</f>
        <v> </v>
      </c>
      <c r="Y282" s="17" t="str">
        <f aca="false">IF((E282="u"),H282," ")</f>
        <v> </v>
      </c>
      <c r="Z282" s="17" t="str">
        <f aca="false">IF((E282="a"),H282," ")</f>
        <v> </v>
      </c>
      <c r="AA282" s="17" t="str">
        <f aca="false">IF((E282="g"),H282," ")</f>
        <v> </v>
      </c>
      <c r="AB282" s="17" t="str">
        <f aca="false">IF((E282="h"),H282," ")</f>
        <v> </v>
      </c>
      <c r="AC282" s="30" t="str">
        <f aca="false">IF((E282="v"),H282," ")</f>
        <v> </v>
      </c>
      <c r="AD282" s="30" t="str">
        <f aca="false">IF((E282="n"),H282," ")</f>
        <v> </v>
      </c>
      <c r="AE282" s="17" t="str">
        <f aca="false">IF((E282="f"),H282," ")</f>
        <v> </v>
      </c>
      <c r="AF282" s="17" t="str">
        <f aca="false">IF((E282="l"),H282," ")</f>
        <v> </v>
      </c>
      <c r="AG282" s="17" t="str">
        <f aca="false">IF((E282="y"),H282," ")</f>
        <v> </v>
      </c>
      <c r="AH282" s="17" t="str">
        <f aca="false">IF((E282="z"),H282," ")</f>
        <v> </v>
      </c>
      <c r="AI282" s="17" t="str">
        <f aca="false">IF((E282="fa"),H282," ")</f>
        <v> </v>
      </c>
      <c r="AJ282" s="17" t="str">
        <f aca="false">IF((E282="e"),H282," ")</f>
        <v> </v>
      </c>
    </row>
    <row r="283" customFormat="false" ht="12" hidden="false" customHeight="false" outlineLevel="0" collapsed="false">
      <c r="A283" s="28"/>
      <c r="E283" s="2" t="str">
        <f aca="false">IF((F283&lt;&gt;0),"Enter Letter"," ")</f>
        <v> </v>
      </c>
      <c r="F283" s="30"/>
      <c r="G283" s="6" t="str">
        <f aca="false">IF(F283&lt;&gt;0,F283*G$2/(100+G$2)," ")</f>
        <v> </v>
      </c>
      <c r="H283" s="6" t="str">
        <f aca="false">IF((F283&lt;&gt;0),F283-G283," ")</f>
        <v> </v>
      </c>
      <c r="I283" s="5"/>
      <c r="L283" s="7" t="str">
        <f aca="false">IF(F283&lt;&gt;0,F283-K283," ")</f>
        <v> </v>
      </c>
      <c r="M283" s="8" t="str">
        <f aca="false">IF((F283-K283)&lt;&gt;0,M$1-A283," ")</f>
        <v> </v>
      </c>
      <c r="N283" s="5"/>
      <c r="O283" s="17" t="str">
        <f aca="false">IF((E283="s"),H283," ")</f>
        <v> </v>
      </c>
      <c r="P283" s="17" t="str">
        <f aca="false">IF((E283="c"),H283," ")</f>
        <v> </v>
      </c>
      <c r="Q283" s="17" t="str">
        <f aca="false">IF((E283="o"),H283," ")</f>
        <v> </v>
      </c>
      <c r="R283" s="17" t="str">
        <f aca="false">IF((E283="d"),H283," ")</f>
        <v> </v>
      </c>
      <c r="S283" s="17" t="str">
        <f aca="false">IF((E283="w"),H283," ")</f>
        <v> </v>
      </c>
      <c r="T283" s="17" t="str">
        <f aca="false">IF((E283="r"),H283," ")</f>
        <v> </v>
      </c>
      <c r="U283" s="17" t="str">
        <f aca="false">IF((E283="p"),H283," ")</f>
        <v> </v>
      </c>
      <c r="V283" s="17" t="str">
        <f aca="false">IF((E283="t"),H283," ")</f>
        <v> </v>
      </c>
      <c r="W283" s="17" t="str">
        <f aca="false">IF((E283="q"),H283," ")</f>
        <v> </v>
      </c>
      <c r="X283" s="17" t="str">
        <f aca="false">IF((E283="m"),H283," ")</f>
        <v> </v>
      </c>
      <c r="Y283" s="17" t="str">
        <f aca="false">IF((E283="u"),H283," ")</f>
        <v> </v>
      </c>
      <c r="Z283" s="17" t="str">
        <f aca="false">IF((E283="a"),H283," ")</f>
        <v> </v>
      </c>
      <c r="AA283" s="17" t="str">
        <f aca="false">IF((E283="g"),H283," ")</f>
        <v> </v>
      </c>
      <c r="AB283" s="17" t="str">
        <f aca="false">IF((E283="h"),H283," ")</f>
        <v> </v>
      </c>
      <c r="AC283" s="30" t="str">
        <f aca="false">IF((E283="v"),H283," ")</f>
        <v> </v>
      </c>
      <c r="AD283" s="30" t="str">
        <f aca="false">IF((E283="n"),H283," ")</f>
        <v> </v>
      </c>
      <c r="AE283" s="17" t="str">
        <f aca="false">IF((E283="f"),H283," ")</f>
        <v> </v>
      </c>
      <c r="AF283" s="17" t="str">
        <f aca="false">IF((E283="l"),H283," ")</f>
        <v> </v>
      </c>
      <c r="AG283" s="17" t="str">
        <f aca="false">IF((E283="y"),H283," ")</f>
        <v> </v>
      </c>
      <c r="AH283" s="17" t="str">
        <f aca="false">IF((E283="z"),H283," ")</f>
        <v> </v>
      </c>
      <c r="AI283" s="17" t="str">
        <f aca="false">IF((E283="fa"),H283," ")</f>
        <v> </v>
      </c>
      <c r="AJ283" s="17" t="str">
        <f aca="false">IF((E283="e"),H283," ")</f>
        <v> </v>
      </c>
    </row>
    <row r="284" customFormat="false" ht="12" hidden="false" customHeight="false" outlineLevel="0" collapsed="false">
      <c r="A284" s="28"/>
      <c r="E284" s="2" t="str">
        <f aca="false">IF((F284&lt;&gt;0),"Enter Letter"," ")</f>
        <v> </v>
      </c>
      <c r="F284" s="30"/>
      <c r="G284" s="6" t="str">
        <f aca="false">IF(F284&lt;&gt;0,F284*G$2/(100+G$2)," ")</f>
        <v> </v>
      </c>
      <c r="H284" s="6" t="str">
        <f aca="false">IF((F284&lt;&gt;0),F284-G284," ")</f>
        <v> </v>
      </c>
      <c r="I284" s="5"/>
      <c r="L284" s="7" t="str">
        <f aca="false">IF(F284&lt;&gt;0,F284-K284," ")</f>
        <v> </v>
      </c>
      <c r="M284" s="8" t="str">
        <f aca="false">IF((F284-K284)&lt;&gt;0,M$1-A284," ")</f>
        <v> </v>
      </c>
      <c r="N284" s="5"/>
      <c r="O284" s="17" t="str">
        <f aca="false">IF((E284="s"),H284," ")</f>
        <v> </v>
      </c>
      <c r="P284" s="17" t="str">
        <f aca="false">IF((E284="c"),H284," ")</f>
        <v> </v>
      </c>
      <c r="Q284" s="17" t="str">
        <f aca="false">IF((E284="o"),H284," ")</f>
        <v> </v>
      </c>
      <c r="R284" s="17" t="str">
        <f aca="false">IF((E284="d"),H284," ")</f>
        <v> </v>
      </c>
      <c r="S284" s="17" t="str">
        <f aca="false">IF((E284="w"),H284," ")</f>
        <v> </v>
      </c>
      <c r="T284" s="17" t="str">
        <f aca="false">IF((E284="r"),H284," ")</f>
        <v> </v>
      </c>
      <c r="U284" s="17" t="str">
        <f aca="false">IF((E284="p"),H284," ")</f>
        <v> </v>
      </c>
      <c r="V284" s="17" t="str">
        <f aca="false">IF((E284="t"),H284," ")</f>
        <v> </v>
      </c>
      <c r="W284" s="17" t="str">
        <f aca="false">IF((E284="q"),H284," ")</f>
        <v> </v>
      </c>
      <c r="X284" s="17" t="str">
        <f aca="false">IF((E284="m"),H284," ")</f>
        <v> </v>
      </c>
      <c r="Y284" s="17" t="str">
        <f aca="false">IF((E284="u"),H284," ")</f>
        <v> </v>
      </c>
      <c r="Z284" s="17" t="str">
        <f aca="false">IF((E284="a"),H284," ")</f>
        <v> </v>
      </c>
      <c r="AA284" s="17" t="str">
        <f aca="false">IF((E284="g"),H284," ")</f>
        <v> </v>
      </c>
      <c r="AB284" s="17" t="str">
        <f aca="false">IF((E284="h"),H284," ")</f>
        <v> </v>
      </c>
      <c r="AC284" s="30" t="str">
        <f aca="false">IF((E284="v"),H284," ")</f>
        <v> </v>
      </c>
      <c r="AD284" s="30" t="str">
        <f aca="false">IF((E284="n"),H284," ")</f>
        <v> </v>
      </c>
      <c r="AE284" s="17" t="str">
        <f aca="false">IF((E284="f"),H284," ")</f>
        <v> </v>
      </c>
      <c r="AF284" s="17" t="str">
        <f aca="false">IF((E284="l"),H284," ")</f>
        <v> </v>
      </c>
      <c r="AG284" s="17" t="str">
        <f aca="false">IF((E284="y"),H284," ")</f>
        <v> </v>
      </c>
      <c r="AH284" s="17" t="str">
        <f aca="false">IF((E284="z"),H284," ")</f>
        <v> </v>
      </c>
      <c r="AI284" s="17" t="str">
        <f aca="false">IF((E284="fa"),H284," ")</f>
        <v> </v>
      </c>
      <c r="AJ284" s="17" t="str">
        <f aca="false">IF((E284="e"),H284," ")</f>
        <v> </v>
      </c>
    </row>
    <row r="285" customFormat="false" ht="12" hidden="false" customHeight="false" outlineLevel="0" collapsed="false">
      <c r="A285" s="28"/>
      <c r="E285" s="2" t="str">
        <f aca="false">IF((F285&lt;&gt;0),"Enter Letter"," ")</f>
        <v> </v>
      </c>
      <c r="F285" s="30"/>
      <c r="G285" s="6" t="str">
        <f aca="false">IF(F285&lt;&gt;0,F285*G$2/(100+G$2)," ")</f>
        <v> </v>
      </c>
      <c r="H285" s="6" t="str">
        <f aca="false">IF((F285&lt;&gt;0),F285-G285," ")</f>
        <v> </v>
      </c>
      <c r="I285" s="5"/>
      <c r="L285" s="7" t="str">
        <f aca="false">IF(F285&lt;&gt;0,F285-K285," ")</f>
        <v> </v>
      </c>
      <c r="M285" s="8" t="str">
        <f aca="false">IF((F285-K285)&lt;&gt;0,M$1-A285," ")</f>
        <v> </v>
      </c>
      <c r="N285" s="5"/>
      <c r="O285" s="17" t="str">
        <f aca="false">IF((E285="s"),H285," ")</f>
        <v> </v>
      </c>
      <c r="P285" s="17" t="str">
        <f aca="false">IF((E285="c"),H285," ")</f>
        <v> </v>
      </c>
      <c r="Q285" s="17" t="str">
        <f aca="false">IF((E285="o"),H285," ")</f>
        <v> </v>
      </c>
      <c r="R285" s="17" t="str">
        <f aca="false">IF((E285="d"),H285," ")</f>
        <v> </v>
      </c>
      <c r="S285" s="17" t="str">
        <f aca="false">IF((E285="w"),H285," ")</f>
        <v> </v>
      </c>
      <c r="T285" s="17" t="str">
        <f aca="false">IF((E285="r"),H285," ")</f>
        <v> </v>
      </c>
      <c r="U285" s="17" t="str">
        <f aca="false">IF((E285="p"),H285," ")</f>
        <v> </v>
      </c>
      <c r="V285" s="17" t="str">
        <f aca="false">IF((E285="t"),H285," ")</f>
        <v> </v>
      </c>
      <c r="W285" s="17" t="str">
        <f aca="false">IF((E285="q"),H285," ")</f>
        <v> </v>
      </c>
      <c r="X285" s="17" t="str">
        <f aca="false">IF((E285="m"),H285," ")</f>
        <v> </v>
      </c>
      <c r="Y285" s="17" t="str">
        <f aca="false">IF((E285="u"),H285," ")</f>
        <v> </v>
      </c>
      <c r="Z285" s="17" t="str">
        <f aca="false">IF((E285="a"),H285," ")</f>
        <v> </v>
      </c>
      <c r="AA285" s="17" t="str">
        <f aca="false">IF((E285="g"),H285," ")</f>
        <v> </v>
      </c>
      <c r="AB285" s="17" t="str">
        <f aca="false">IF((E285="h"),H285," ")</f>
        <v> </v>
      </c>
      <c r="AC285" s="30" t="str">
        <f aca="false">IF((E285="v"),H285," ")</f>
        <v> </v>
      </c>
      <c r="AD285" s="30" t="str">
        <f aca="false">IF((E285="n"),H285," ")</f>
        <v> </v>
      </c>
      <c r="AE285" s="17" t="str">
        <f aca="false">IF((E285="f"),H285," ")</f>
        <v> </v>
      </c>
      <c r="AF285" s="17" t="str">
        <f aca="false">IF((E285="l"),H285," ")</f>
        <v> </v>
      </c>
      <c r="AG285" s="17" t="str">
        <f aca="false">IF((E285="y"),H285," ")</f>
        <v> </v>
      </c>
      <c r="AH285" s="17" t="str">
        <f aca="false">IF((E285="z"),H285," ")</f>
        <v> </v>
      </c>
      <c r="AI285" s="17" t="str">
        <f aca="false">IF((E285="fa"),H285," ")</f>
        <v> </v>
      </c>
      <c r="AJ285" s="17" t="str">
        <f aca="false">IF((E285="e"),H285," ")</f>
        <v> </v>
      </c>
    </row>
    <row r="286" customFormat="false" ht="12" hidden="false" customHeight="false" outlineLevel="0" collapsed="false">
      <c r="A286" s="28"/>
      <c r="E286" s="2" t="str">
        <f aca="false">IF((F286&lt;&gt;0),"Enter Letter"," ")</f>
        <v> </v>
      </c>
      <c r="F286" s="30"/>
      <c r="G286" s="6" t="str">
        <f aca="false">IF(F286&lt;&gt;0,F286*G$2/(100+G$2)," ")</f>
        <v> </v>
      </c>
      <c r="H286" s="6" t="str">
        <f aca="false">IF((F286&lt;&gt;0),F286-G286," ")</f>
        <v> </v>
      </c>
      <c r="I286" s="5"/>
      <c r="L286" s="7" t="str">
        <f aca="false">IF(F286&lt;&gt;0,F286-K286," ")</f>
        <v> </v>
      </c>
      <c r="M286" s="8" t="str">
        <f aca="false">IF((F286-K286)&lt;&gt;0,M$1-A286," ")</f>
        <v> </v>
      </c>
      <c r="N286" s="5"/>
      <c r="O286" s="17" t="str">
        <f aca="false">IF((E286="s"),H286," ")</f>
        <v> </v>
      </c>
      <c r="P286" s="17" t="str">
        <f aca="false">IF((E286="c"),H286," ")</f>
        <v> </v>
      </c>
      <c r="Q286" s="17" t="str">
        <f aca="false">IF((E286="o"),H286," ")</f>
        <v> </v>
      </c>
      <c r="R286" s="17" t="str">
        <f aca="false">IF((E286="d"),H286," ")</f>
        <v> </v>
      </c>
      <c r="S286" s="17" t="str">
        <f aca="false">IF((E286="w"),H286," ")</f>
        <v> </v>
      </c>
      <c r="T286" s="17" t="str">
        <f aca="false">IF((E286="r"),H286," ")</f>
        <v> </v>
      </c>
      <c r="U286" s="17" t="str">
        <f aca="false">IF((E286="p"),H286," ")</f>
        <v> </v>
      </c>
      <c r="V286" s="17" t="str">
        <f aca="false">IF((E286="t"),H286," ")</f>
        <v> </v>
      </c>
      <c r="W286" s="17" t="str">
        <f aca="false">IF((E286="q"),H286," ")</f>
        <v> </v>
      </c>
      <c r="X286" s="17" t="str">
        <f aca="false">IF((E286="m"),H286," ")</f>
        <v> </v>
      </c>
      <c r="Y286" s="17" t="str">
        <f aca="false">IF((E286="u"),H286," ")</f>
        <v> </v>
      </c>
      <c r="Z286" s="17" t="str">
        <f aca="false">IF((E286="a"),H286," ")</f>
        <v> </v>
      </c>
      <c r="AA286" s="17" t="str">
        <f aca="false">IF((E286="g"),H286," ")</f>
        <v> </v>
      </c>
      <c r="AB286" s="17" t="str">
        <f aca="false">IF((E286="h"),H286," ")</f>
        <v> </v>
      </c>
      <c r="AC286" s="30" t="str">
        <f aca="false">IF((E286="v"),H286," ")</f>
        <v> </v>
      </c>
      <c r="AD286" s="30" t="str">
        <f aca="false">IF((E286="n"),H286," ")</f>
        <v> </v>
      </c>
      <c r="AE286" s="17" t="str">
        <f aca="false">IF((E286="f"),H286," ")</f>
        <v> </v>
      </c>
      <c r="AF286" s="17" t="str">
        <f aca="false">IF((E286="l"),H286," ")</f>
        <v> </v>
      </c>
      <c r="AG286" s="17" t="str">
        <f aca="false">IF((E286="y"),H286," ")</f>
        <v> </v>
      </c>
      <c r="AH286" s="17" t="str">
        <f aca="false">IF((E286="z"),H286," ")</f>
        <v> </v>
      </c>
      <c r="AI286" s="17" t="str">
        <f aca="false">IF((E286="fa"),H286," ")</f>
        <v> </v>
      </c>
      <c r="AJ286" s="17" t="str">
        <f aca="false">IF((E286="e"),H286," ")</f>
        <v> </v>
      </c>
    </row>
    <row r="287" customFormat="false" ht="12" hidden="false" customHeight="false" outlineLevel="0" collapsed="false">
      <c r="A287" s="28"/>
      <c r="E287" s="2" t="str">
        <f aca="false">IF((F287&lt;&gt;0),"Enter Letter"," ")</f>
        <v> </v>
      </c>
      <c r="F287" s="30"/>
      <c r="G287" s="6" t="str">
        <f aca="false">IF(F287&lt;&gt;0,F287*G$2/(100+G$2)," ")</f>
        <v> </v>
      </c>
      <c r="H287" s="6" t="str">
        <f aca="false">IF((F287&lt;&gt;0),F287-G287," ")</f>
        <v> </v>
      </c>
      <c r="I287" s="5"/>
      <c r="L287" s="7" t="str">
        <f aca="false">IF(F287&lt;&gt;0,F287-K287," ")</f>
        <v> </v>
      </c>
      <c r="M287" s="8" t="str">
        <f aca="false">IF((F287-K287)&lt;&gt;0,M$1-A287," ")</f>
        <v> </v>
      </c>
      <c r="N287" s="5"/>
      <c r="O287" s="17" t="str">
        <f aca="false">IF((E287="s"),H287," ")</f>
        <v> </v>
      </c>
      <c r="P287" s="17" t="str">
        <f aca="false">IF((E287="c"),H287," ")</f>
        <v> </v>
      </c>
      <c r="Q287" s="17" t="str">
        <f aca="false">IF((E287="o"),H287," ")</f>
        <v> </v>
      </c>
      <c r="R287" s="17" t="str">
        <f aca="false">IF((E287="d"),H287," ")</f>
        <v> </v>
      </c>
      <c r="S287" s="17" t="str">
        <f aca="false">IF((E287="w"),H287," ")</f>
        <v> </v>
      </c>
      <c r="T287" s="17" t="str">
        <f aca="false">IF((E287="r"),H287," ")</f>
        <v> </v>
      </c>
      <c r="U287" s="17" t="str">
        <f aca="false">IF((E287="p"),H287," ")</f>
        <v> </v>
      </c>
      <c r="V287" s="17" t="str">
        <f aca="false">IF((E287="t"),H287," ")</f>
        <v> </v>
      </c>
      <c r="W287" s="17" t="str">
        <f aca="false">IF((E287="q"),H287," ")</f>
        <v> </v>
      </c>
      <c r="X287" s="17" t="str">
        <f aca="false">IF((E287="m"),H287," ")</f>
        <v> </v>
      </c>
      <c r="Y287" s="17" t="str">
        <f aca="false">IF((E287="u"),H287," ")</f>
        <v> </v>
      </c>
      <c r="Z287" s="17" t="str">
        <f aca="false">IF((E287="a"),H287," ")</f>
        <v> </v>
      </c>
      <c r="AA287" s="17" t="str">
        <f aca="false">IF((E287="g"),H287," ")</f>
        <v> </v>
      </c>
      <c r="AB287" s="17" t="str">
        <f aca="false">IF((E287="h"),H287," ")</f>
        <v> </v>
      </c>
      <c r="AC287" s="30" t="str">
        <f aca="false">IF((E287="v"),H287," ")</f>
        <v> </v>
      </c>
      <c r="AD287" s="30" t="str">
        <f aca="false">IF((E287="n"),H287," ")</f>
        <v> </v>
      </c>
      <c r="AE287" s="17" t="str">
        <f aca="false">IF((E287="f"),H287," ")</f>
        <v> </v>
      </c>
      <c r="AF287" s="17" t="str">
        <f aca="false">IF((E287="l"),H287," ")</f>
        <v> </v>
      </c>
      <c r="AG287" s="17" t="str">
        <f aca="false">IF((E287="y"),H287," ")</f>
        <v> </v>
      </c>
      <c r="AH287" s="17" t="str">
        <f aca="false">IF((E287="z"),H287," ")</f>
        <v> </v>
      </c>
      <c r="AI287" s="17" t="str">
        <f aca="false">IF((E287="fa"),H287," ")</f>
        <v> </v>
      </c>
      <c r="AJ287" s="17" t="str">
        <f aca="false">IF((E287="e"),H287," ")</f>
        <v> </v>
      </c>
    </row>
    <row r="288" customFormat="false" ht="12" hidden="false" customHeight="false" outlineLevel="0" collapsed="false">
      <c r="A288" s="28"/>
      <c r="E288" s="2" t="str">
        <f aca="false">IF((F288&lt;&gt;0),"Enter Letter"," ")</f>
        <v> </v>
      </c>
      <c r="F288" s="30"/>
      <c r="G288" s="6" t="str">
        <f aca="false">IF(F288&lt;&gt;0,F288*G$2/(100+G$2)," ")</f>
        <v> </v>
      </c>
      <c r="H288" s="6" t="str">
        <f aca="false">IF((F288&lt;&gt;0),F288-G288," ")</f>
        <v> </v>
      </c>
      <c r="I288" s="5"/>
      <c r="L288" s="7" t="str">
        <f aca="false">IF(F288&lt;&gt;0,F288-K288," ")</f>
        <v> </v>
      </c>
      <c r="M288" s="8" t="str">
        <f aca="false">IF((F288-K288)&lt;&gt;0,M$1-A288," ")</f>
        <v> </v>
      </c>
      <c r="N288" s="5"/>
      <c r="O288" s="17" t="str">
        <f aca="false">IF((E288="s"),H288," ")</f>
        <v> </v>
      </c>
      <c r="P288" s="17" t="str">
        <f aca="false">IF((E288="c"),H288," ")</f>
        <v> </v>
      </c>
      <c r="Q288" s="17" t="str">
        <f aca="false">IF((E288="o"),H288," ")</f>
        <v> </v>
      </c>
      <c r="R288" s="17" t="str">
        <f aca="false">IF((E288="d"),H288," ")</f>
        <v> </v>
      </c>
      <c r="S288" s="17" t="str">
        <f aca="false">IF((E288="w"),H288," ")</f>
        <v> </v>
      </c>
      <c r="T288" s="17" t="str">
        <f aca="false">IF((E288="r"),H288," ")</f>
        <v> </v>
      </c>
      <c r="U288" s="17" t="str">
        <f aca="false">IF((E288="p"),H288," ")</f>
        <v> </v>
      </c>
      <c r="V288" s="17" t="str">
        <f aca="false">IF((E288="t"),H288," ")</f>
        <v> </v>
      </c>
      <c r="W288" s="17" t="str">
        <f aca="false">IF((E288="q"),H288," ")</f>
        <v> </v>
      </c>
      <c r="X288" s="17" t="str">
        <f aca="false">IF((E288="m"),H288," ")</f>
        <v> </v>
      </c>
      <c r="Y288" s="17" t="str">
        <f aca="false">IF((E288="u"),H288," ")</f>
        <v> </v>
      </c>
      <c r="Z288" s="17" t="str">
        <f aca="false">IF((E288="a"),H288," ")</f>
        <v> </v>
      </c>
      <c r="AA288" s="17" t="str">
        <f aca="false">IF((E288="g"),H288," ")</f>
        <v> </v>
      </c>
      <c r="AB288" s="17" t="str">
        <f aca="false">IF((E288="h"),H288," ")</f>
        <v> </v>
      </c>
      <c r="AC288" s="30" t="str">
        <f aca="false">IF((E288="v"),H288," ")</f>
        <v> </v>
      </c>
      <c r="AD288" s="30" t="str">
        <f aca="false">IF((E288="n"),H288," ")</f>
        <v> </v>
      </c>
      <c r="AE288" s="17" t="str">
        <f aca="false">IF((E288="f"),H288," ")</f>
        <v> </v>
      </c>
      <c r="AF288" s="17" t="str">
        <f aca="false">IF((E288="l"),H288," ")</f>
        <v> </v>
      </c>
      <c r="AG288" s="17" t="str">
        <f aca="false">IF((E288="y"),H288," ")</f>
        <v> </v>
      </c>
      <c r="AH288" s="17" t="str">
        <f aca="false">IF((E288="z"),H288," ")</f>
        <v> </v>
      </c>
      <c r="AI288" s="17" t="str">
        <f aca="false">IF((E288="fa"),H288," ")</f>
        <v> </v>
      </c>
      <c r="AJ288" s="17" t="str">
        <f aca="false">IF((E288="e"),H288," ")</f>
        <v> </v>
      </c>
    </row>
    <row r="289" customFormat="false" ht="12" hidden="false" customHeight="false" outlineLevel="0" collapsed="false">
      <c r="A289" s="28"/>
      <c r="E289" s="2" t="str">
        <f aca="false">IF((F289&lt;&gt;0),"Enter Letter"," ")</f>
        <v> </v>
      </c>
      <c r="F289" s="30"/>
      <c r="G289" s="6" t="str">
        <f aca="false">IF(F289&lt;&gt;0,F289*G$2/(100+G$2)," ")</f>
        <v> </v>
      </c>
      <c r="H289" s="6" t="str">
        <f aca="false">IF((F289&lt;&gt;0),F289-G289," ")</f>
        <v> </v>
      </c>
      <c r="I289" s="5"/>
      <c r="L289" s="7" t="str">
        <f aca="false">IF(F289&lt;&gt;0,F289-K289," ")</f>
        <v> </v>
      </c>
      <c r="M289" s="8" t="str">
        <f aca="false">IF((F289-K289)&lt;&gt;0,M$1-A289," ")</f>
        <v> </v>
      </c>
      <c r="N289" s="5"/>
      <c r="O289" s="17" t="str">
        <f aca="false">IF((E289="s"),H289," ")</f>
        <v> </v>
      </c>
      <c r="P289" s="17" t="str">
        <f aca="false">IF((E289="c"),H289," ")</f>
        <v> </v>
      </c>
      <c r="Q289" s="17" t="str">
        <f aca="false">IF((E289="o"),H289," ")</f>
        <v> </v>
      </c>
      <c r="R289" s="17" t="str">
        <f aca="false">IF((E289="d"),H289," ")</f>
        <v> </v>
      </c>
      <c r="S289" s="17" t="str">
        <f aca="false">IF((E289="w"),H289," ")</f>
        <v> </v>
      </c>
      <c r="T289" s="17" t="str">
        <f aca="false">IF((E289="r"),H289," ")</f>
        <v> </v>
      </c>
      <c r="U289" s="17" t="str">
        <f aca="false">IF((E289="p"),H289," ")</f>
        <v> </v>
      </c>
      <c r="V289" s="17" t="str">
        <f aca="false">IF((E289="t"),H289," ")</f>
        <v> </v>
      </c>
      <c r="W289" s="17" t="str">
        <f aca="false">IF((E289="q"),H289," ")</f>
        <v> </v>
      </c>
      <c r="X289" s="17" t="str">
        <f aca="false">IF((E289="m"),H289," ")</f>
        <v> </v>
      </c>
      <c r="Y289" s="17" t="str">
        <f aca="false">IF((E289="u"),H289," ")</f>
        <v> </v>
      </c>
      <c r="Z289" s="17" t="str">
        <f aca="false">IF((E289="a"),H289," ")</f>
        <v> </v>
      </c>
      <c r="AA289" s="17" t="str">
        <f aca="false">IF((E289="g"),H289," ")</f>
        <v> </v>
      </c>
      <c r="AB289" s="17" t="str">
        <f aca="false">IF((E289="h"),H289," ")</f>
        <v> </v>
      </c>
      <c r="AC289" s="30" t="str">
        <f aca="false">IF((E289="v"),H289," ")</f>
        <v> </v>
      </c>
      <c r="AD289" s="30" t="str">
        <f aca="false">IF((E289="n"),H289," ")</f>
        <v> </v>
      </c>
      <c r="AE289" s="17" t="str">
        <f aca="false">IF((E289="f"),H289," ")</f>
        <v> </v>
      </c>
      <c r="AF289" s="17" t="str">
        <f aca="false">IF((E289="l"),H289," ")</f>
        <v> </v>
      </c>
      <c r="AG289" s="17" t="str">
        <f aca="false">IF((E289="y"),H289," ")</f>
        <v> </v>
      </c>
      <c r="AH289" s="17" t="str">
        <f aca="false">IF((E289="z"),H289," ")</f>
        <v> </v>
      </c>
      <c r="AI289" s="17" t="str">
        <f aca="false">IF((E289="fa"),H289," ")</f>
        <v> </v>
      </c>
      <c r="AJ289" s="17" t="str">
        <f aca="false">IF((E289="e"),H289," ")</f>
        <v> </v>
      </c>
    </row>
    <row r="290" customFormat="false" ht="12" hidden="false" customHeight="false" outlineLevel="0" collapsed="false">
      <c r="A290" s="28"/>
      <c r="E290" s="2" t="str">
        <f aca="false">IF((F290&lt;&gt;0),"Enter Letter"," ")</f>
        <v> </v>
      </c>
      <c r="F290" s="30"/>
      <c r="G290" s="6" t="str">
        <f aca="false">IF(F290&lt;&gt;0,F290*G$2/(100+G$2)," ")</f>
        <v> </v>
      </c>
      <c r="H290" s="6" t="str">
        <f aca="false">IF((F290&lt;&gt;0),F290-G290," ")</f>
        <v> </v>
      </c>
      <c r="I290" s="5"/>
      <c r="L290" s="7" t="str">
        <f aca="false">IF(F290&lt;&gt;0,F290-K290," ")</f>
        <v> </v>
      </c>
      <c r="M290" s="8" t="str">
        <f aca="false">IF((F290-K290)&lt;&gt;0,M$1-A290," ")</f>
        <v> </v>
      </c>
      <c r="N290" s="5"/>
      <c r="O290" s="17" t="str">
        <f aca="false">IF((E290="s"),H290," ")</f>
        <v> </v>
      </c>
      <c r="P290" s="17" t="str">
        <f aca="false">IF((E290="c"),H290," ")</f>
        <v> </v>
      </c>
      <c r="Q290" s="17" t="str">
        <f aca="false">IF((E290="o"),H290," ")</f>
        <v> </v>
      </c>
      <c r="R290" s="17" t="str">
        <f aca="false">IF((E290="d"),H290," ")</f>
        <v> </v>
      </c>
      <c r="S290" s="17" t="str">
        <f aca="false">IF((E290="w"),H290," ")</f>
        <v> </v>
      </c>
      <c r="T290" s="17" t="str">
        <f aca="false">IF((E290="r"),H290," ")</f>
        <v> </v>
      </c>
      <c r="U290" s="17" t="str">
        <f aca="false">IF((E290="p"),H290," ")</f>
        <v> </v>
      </c>
      <c r="V290" s="17" t="str">
        <f aca="false">IF((E290="t"),H290," ")</f>
        <v> </v>
      </c>
      <c r="W290" s="17" t="str">
        <f aca="false">IF((E290="q"),H290," ")</f>
        <v> </v>
      </c>
      <c r="X290" s="17" t="str">
        <f aca="false">IF((E290="m"),H290," ")</f>
        <v> </v>
      </c>
      <c r="Y290" s="17" t="str">
        <f aca="false">IF((E290="u"),H290," ")</f>
        <v> </v>
      </c>
      <c r="Z290" s="17" t="str">
        <f aca="false">IF((E290="a"),H290," ")</f>
        <v> </v>
      </c>
      <c r="AA290" s="17" t="str">
        <f aca="false">IF((E290="g"),H290," ")</f>
        <v> </v>
      </c>
      <c r="AB290" s="17" t="str">
        <f aca="false">IF((E290="h"),H290," ")</f>
        <v> </v>
      </c>
      <c r="AC290" s="30" t="str">
        <f aca="false">IF((E290="v"),H290," ")</f>
        <v> </v>
      </c>
      <c r="AD290" s="30" t="str">
        <f aca="false">IF((E290="n"),H290," ")</f>
        <v> </v>
      </c>
      <c r="AE290" s="17" t="str">
        <f aca="false">IF((E290="f"),H290," ")</f>
        <v> </v>
      </c>
      <c r="AF290" s="17" t="str">
        <f aca="false">IF((E290="l"),H290," ")</f>
        <v> </v>
      </c>
      <c r="AG290" s="17" t="str">
        <f aca="false">IF((E290="y"),H290," ")</f>
        <v> </v>
      </c>
      <c r="AH290" s="17" t="str">
        <f aca="false">IF((E290="z"),H290," ")</f>
        <v> </v>
      </c>
      <c r="AI290" s="17" t="str">
        <f aca="false">IF((E290="fa"),H290," ")</f>
        <v> </v>
      </c>
      <c r="AJ290" s="17" t="str">
        <f aca="false">IF((E290="e"),H290," ")</f>
        <v> </v>
      </c>
    </row>
    <row r="291" customFormat="false" ht="12" hidden="false" customHeight="false" outlineLevel="0" collapsed="false">
      <c r="A291" s="28"/>
      <c r="E291" s="2" t="str">
        <f aca="false">IF((F291&lt;&gt;0),"Enter Letter"," ")</f>
        <v> </v>
      </c>
      <c r="F291" s="30"/>
      <c r="G291" s="6" t="str">
        <f aca="false">IF(F291&lt;&gt;0,F291*G$2/(100+G$2)," ")</f>
        <v> </v>
      </c>
      <c r="H291" s="6" t="str">
        <f aca="false">IF((F291&lt;&gt;0),F291-G291," ")</f>
        <v> </v>
      </c>
      <c r="I291" s="5"/>
      <c r="L291" s="7" t="str">
        <f aca="false">IF(F291&lt;&gt;0,F291-K291," ")</f>
        <v> </v>
      </c>
      <c r="M291" s="8" t="str">
        <f aca="false">IF((F291-K291)&lt;&gt;0,M$1-A291," ")</f>
        <v> </v>
      </c>
      <c r="N291" s="5"/>
      <c r="O291" s="17" t="str">
        <f aca="false">IF((E291="s"),H291," ")</f>
        <v> </v>
      </c>
      <c r="P291" s="17" t="str">
        <f aca="false">IF((E291="c"),H291," ")</f>
        <v> </v>
      </c>
      <c r="Q291" s="17" t="str">
        <f aca="false">IF((E291="o"),H291," ")</f>
        <v> </v>
      </c>
      <c r="R291" s="17" t="str">
        <f aca="false">IF((E291="d"),H291," ")</f>
        <v> </v>
      </c>
      <c r="S291" s="17" t="str">
        <f aca="false">IF((E291="w"),H291," ")</f>
        <v> </v>
      </c>
      <c r="T291" s="17" t="str">
        <f aca="false">IF((E291="r"),H291," ")</f>
        <v> </v>
      </c>
      <c r="U291" s="17" t="str">
        <f aca="false">IF((E291="p"),H291," ")</f>
        <v> </v>
      </c>
      <c r="V291" s="17" t="str">
        <f aca="false">IF((E291="t"),H291," ")</f>
        <v> </v>
      </c>
      <c r="W291" s="17" t="str">
        <f aca="false">IF((E291="q"),H291," ")</f>
        <v> </v>
      </c>
      <c r="X291" s="17" t="str">
        <f aca="false">IF((E291="m"),H291," ")</f>
        <v> </v>
      </c>
      <c r="Y291" s="17" t="str">
        <f aca="false">IF((E291="u"),H291," ")</f>
        <v> </v>
      </c>
      <c r="Z291" s="17" t="str">
        <f aca="false">IF((E291="a"),H291," ")</f>
        <v> </v>
      </c>
      <c r="AA291" s="17" t="str">
        <f aca="false">IF((E291="g"),H291," ")</f>
        <v> </v>
      </c>
      <c r="AB291" s="17" t="str">
        <f aca="false">IF((E291="h"),H291," ")</f>
        <v> </v>
      </c>
      <c r="AC291" s="30" t="str">
        <f aca="false">IF((E291="v"),H291," ")</f>
        <v> </v>
      </c>
      <c r="AD291" s="30" t="str">
        <f aca="false">IF((E291="n"),H291," ")</f>
        <v> </v>
      </c>
      <c r="AE291" s="17" t="str">
        <f aca="false">IF((E291="f"),H291," ")</f>
        <v> </v>
      </c>
      <c r="AF291" s="17" t="str">
        <f aca="false">IF((E291="l"),H291," ")</f>
        <v> </v>
      </c>
      <c r="AG291" s="17" t="str">
        <f aca="false">IF((E291="y"),H291," ")</f>
        <v> </v>
      </c>
      <c r="AH291" s="17" t="str">
        <f aca="false">IF((E291="z"),H291," ")</f>
        <v> </v>
      </c>
      <c r="AI291" s="17" t="str">
        <f aca="false">IF((E291="fa"),H291," ")</f>
        <v> </v>
      </c>
      <c r="AJ291" s="17" t="str">
        <f aca="false">IF((E291="e"),H291," ")</f>
        <v> </v>
      </c>
    </row>
    <row r="292" customFormat="false" ht="12" hidden="false" customHeight="false" outlineLevel="0" collapsed="false">
      <c r="A292" s="28"/>
      <c r="E292" s="2" t="str">
        <f aca="false">IF((F292&lt;&gt;0),"Enter Letter"," ")</f>
        <v> </v>
      </c>
      <c r="F292" s="30"/>
      <c r="G292" s="6" t="str">
        <f aca="false">IF(F292&lt;&gt;0,F292*G$2/(100+G$2)," ")</f>
        <v> </v>
      </c>
      <c r="H292" s="6" t="str">
        <f aca="false">IF((F292&lt;&gt;0),F292-G292," ")</f>
        <v> </v>
      </c>
      <c r="I292" s="5"/>
      <c r="L292" s="7" t="str">
        <f aca="false">IF(F292&lt;&gt;0,F292-K292," ")</f>
        <v> </v>
      </c>
      <c r="M292" s="8" t="str">
        <f aca="false">IF((F292-K292)&lt;&gt;0,M$1-A292," ")</f>
        <v> </v>
      </c>
      <c r="N292" s="5"/>
      <c r="O292" s="17" t="str">
        <f aca="false">IF((E292="s"),H292," ")</f>
        <v> </v>
      </c>
      <c r="P292" s="17" t="str">
        <f aca="false">IF((E292="c"),H292," ")</f>
        <v> </v>
      </c>
      <c r="Q292" s="17" t="str">
        <f aca="false">IF((E292="o"),H292," ")</f>
        <v> </v>
      </c>
      <c r="R292" s="17" t="str">
        <f aca="false">IF((E292="d"),H292," ")</f>
        <v> </v>
      </c>
      <c r="S292" s="17" t="str">
        <f aca="false">IF((E292="w"),H292," ")</f>
        <v> </v>
      </c>
      <c r="T292" s="17" t="str">
        <f aca="false">IF((E292="r"),H292," ")</f>
        <v> </v>
      </c>
      <c r="U292" s="17" t="str">
        <f aca="false">IF((E292="p"),H292," ")</f>
        <v> </v>
      </c>
      <c r="V292" s="17" t="str">
        <f aca="false">IF((E292="t"),H292," ")</f>
        <v> </v>
      </c>
      <c r="W292" s="17" t="str">
        <f aca="false">IF((E292="q"),H292," ")</f>
        <v> </v>
      </c>
      <c r="X292" s="17" t="str">
        <f aca="false">IF((E292="m"),H292," ")</f>
        <v> </v>
      </c>
      <c r="Y292" s="17" t="str">
        <f aca="false">IF((E292="u"),H292," ")</f>
        <v> </v>
      </c>
      <c r="Z292" s="17" t="str">
        <f aca="false">IF((E292="a"),H292," ")</f>
        <v> </v>
      </c>
      <c r="AA292" s="17" t="str">
        <f aca="false">IF((E292="g"),H292," ")</f>
        <v> </v>
      </c>
      <c r="AB292" s="17" t="str">
        <f aca="false">IF((E292="h"),H292," ")</f>
        <v> </v>
      </c>
      <c r="AC292" s="30" t="str">
        <f aca="false">IF((E292="v"),H292," ")</f>
        <v> </v>
      </c>
      <c r="AD292" s="30" t="str">
        <f aca="false">IF((E292="n"),H292," ")</f>
        <v> </v>
      </c>
      <c r="AE292" s="17" t="str">
        <f aca="false">IF((E292="f"),H292," ")</f>
        <v> </v>
      </c>
      <c r="AF292" s="17" t="str">
        <f aca="false">IF((E292="l"),H292," ")</f>
        <v> </v>
      </c>
      <c r="AG292" s="17" t="str">
        <f aca="false">IF((E292="y"),H292," ")</f>
        <v> </v>
      </c>
      <c r="AH292" s="17" t="str">
        <f aca="false">IF((E292="z"),H292," ")</f>
        <v> </v>
      </c>
      <c r="AI292" s="17" t="str">
        <f aca="false">IF((E292="fa"),H292," ")</f>
        <v> </v>
      </c>
      <c r="AJ292" s="17" t="str">
        <f aca="false">IF((E292="e"),H292," ")</f>
        <v> </v>
      </c>
    </row>
    <row r="293" customFormat="false" ht="12" hidden="false" customHeight="false" outlineLevel="0" collapsed="false">
      <c r="A293" s="28"/>
      <c r="E293" s="2" t="str">
        <f aca="false">IF((F293&lt;&gt;0),"Enter Letter"," ")</f>
        <v> </v>
      </c>
      <c r="F293" s="30"/>
      <c r="G293" s="6" t="str">
        <f aca="false">IF(F293&lt;&gt;0,F293*G$2/(100+G$2)," ")</f>
        <v> </v>
      </c>
      <c r="H293" s="6" t="str">
        <f aca="false">IF((F293&lt;&gt;0),F293-G293," ")</f>
        <v> </v>
      </c>
      <c r="I293" s="5"/>
      <c r="L293" s="7" t="str">
        <f aca="false">IF(F293&lt;&gt;0,F293-K293," ")</f>
        <v> </v>
      </c>
      <c r="M293" s="8" t="str">
        <f aca="false">IF((F293-K293)&lt;&gt;0,M$1-A293," ")</f>
        <v> </v>
      </c>
      <c r="N293" s="5"/>
      <c r="O293" s="17" t="str">
        <f aca="false">IF((E293="s"),H293," ")</f>
        <v> </v>
      </c>
      <c r="P293" s="17" t="str">
        <f aca="false">IF((E293="c"),H293," ")</f>
        <v> </v>
      </c>
      <c r="Q293" s="17" t="str">
        <f aca="false">IF((E293="o"),H293," ")</f>
        <v> </v>
      </c>
      <c r="R293" s="17" t="str">
        <f aca="false">IF((E293="d"),H293," ")</f>
        <v> </v>
      </c>
      <c r="S293" s="17" t="str">
        <f aca="false">IF((E293="w"),H293," ")</f>
        <v> </v>
      </c>
      <c r="T293" s="17" t="str">
        <f aca="false">IF((E293="r"),H293," ")</f>
        <v> </v>
      </c>
      <c r="U293" s="17" t="str">
        <f aca="false">IF((E293="p"),H293," ")</f>
        <v> </v>
      </c>
      <c r="V293" s="17" t="str">
        <f aca="false">IF((E293="t"),H293," ")</f>
        <v> </v>
      </c>
      <c r="W293" s="17" t="str">
        <f aca="false">IF((E293="q"),H293," ")</f>
        <v> </v>
      </c>
      <c r="X293" s="17" t="str">
        <f aca="false">IF((E293="m"),H293," ")</f>
        <v> </v>
      </c>
      <c r="Y293" s="17" t="str">
        <f aca="false">IF((E293="u"),H293," ")</f>
        <v> </v>
      </c>
      <c r="Z293" s="17" t="str">
        <f aca="false">IF((E293="a"),H293," ")</f>
        <v> </v>
      </c>
      <c r="AA293" s="17" t="str">
        <f aca="false">IF((E293="g"),H293," ")</f>
        <v> </v>
      </c>
      <c r="AB293" s="17" t="str">
        <f aca="false">IF((E293="h"),H293," ")</f>
        <v> </v>
      </c>
      <c r="AC293" s="30" t="str">
        <f aca="false">IF((E293="v"),H293," ")</f>
        <v> </v>
      </c>
      <c r="AD293" s="30" t="str">
        <f aca="false">IF((E293="n"),H293," ")</f>
        <v> </v>
      </c>
      <c r="AE293" s="17" t="str">
        <f aca="false">IF((E293="f"),H293," ")</f>
        <v> </v>
      </c>
      <c r="AF293" s="17" t="str">
        <f aca="false">IF((E293="l"),H293," ")</f>
        <v> </v>
      </c>
      <c r="AG293" s="17" t="str">
        <f aca="false">IF((E293="y"),H293," ")</f>
        <v> </v>
      </c>
      <c r="AH293" s="17" t="str">
        <f aca="false">IF((E293="z"),H293," ")</f>
        <v> </v>
      </c>
      <c r="AI293" s="17" t="str">
        <f aca="false">IF((E293="fa"),H293," ")</f>
        <v> </v>
      </c>
      <c r="AJ293" s="17" t="str">
        <f aca="false">IF((E293="e"),H293," ")</f>
        <v> </v>
      </c>
    </row>
    <row r="294" customFormat="false" ht="12" hidden="false" customHeight="false" outlineLevel="0" collapsed="false">
      <c r="A294" s="28"/>
      <c r="E294" s="2" t="str">
        <f aca="false">IF((F294&lt;&gt;0),"Enter Letter"," ")</f>
        <v> </v>
      </c>
      <c r="F294" s="30"/>
      <c r="G294" s="6" t="str">
        <f aca="false">IF(F294&lt;&gt;0,F294*G$2/(100+G$2)," ")</f>
        <v> </v>
      </c>
      <c r="H294" s="6" t="str">
        <f aca="false">IF((F294&lt;&gt;0),F294-G294," ")</f>
        <v> </v>
      </c>
      <c r="I294" s="5"/>
      <c r="L294" s="7" t="str">
        <f aca="false">IF(F294&lt;&gt;0,F294-K294," ")</f>
        <v> </v>
      </c>
      <c r="M294" s="8" t="str">
        <f aca="false">IF((F294-K294)&lt;&gt;0,M$1-A294," ")</f>
        <v> </v>
      </c>
      <c r="N294" s="5"/>
      <c r="O294" s="17" t="str">
        <f aca="false">IF((E294="s"),H294," ")</f>
        <v> </v>
      </c>
      <c r="P294" s="17" t="str">
        <f aca="false">IF((E294="c"),H294," ")</f>
        <v> </v>
      </c>
      <c r="Q294" s="17" t="str">
        <f aca="false">IF((E294="o"),H294," ")</f>
        <v> </v>
      </c>
      <c r="R294" s="17" t="str">
        <f aca="false">IF((E294="d"),H294," ")</f>
        <v> </v>
      </c>
      <c r="S294" s="17" t="str">
        <f aca="false">IF((E294="w"),H294," ")</f>
        <v> </v>
      </c>
      <c r="T294" s="17" t="str">
        <f aca="false">IF((E294="r"),H294," ")</f>
        <v> </v>
      </c>
      <c r="U294" s="17" t="str">
        <f aca="false">IF((E294="p"),H294," ")</f>
        <v> </v>
      </c>
      <c r="V294" s="17" t="str">
        <f aca="false">IF((E294="t"),H294," ")</f>
        <v> </v>
      </c>
      <c r="W294" s="17" t="str">
        <f aca="false">IF((E294="q"),H294," ")</f>
        <v> </v>
      </c>
      <c r="X294" s="17" t="str">
        <f aca="false">IF((E294="m"),H294," ")</f>
        <v> </v>
      </c>
      <c r="Y294" s="17" t="str">
        <f aca="false">IF((E294="u"),H294," ")</f>
        <v> </v>
      </c>
      <c r="Z294" s="17" t="str">
        <f aca="false">IF((E294="a"),H294," ")</f>
        <v> </v>
      </c>
      <c r="AA294" s="17" t="str">
        <f aca="false">IF((E294="g"),H294," ")</f>
        <v> </v>
      </c>
      <c r="AB294" s="17" t="str">
        <f aca="false">IF((E294="h"),H294," ")</f>
        <v> </v>
      </c>
      <c r="AC294" s="30" t="str">
        <f aca="false">IF((E294="v"),H294," ")</f>
        <v> </v>
      </c>
      <c r="AD294" s="30" t="str">
        <f aca="false">IF((E294="n"),H294," ")</f>
        <v> </v>
      </c>
      <c r="AE294" s="17" t="str">
        <f aca="false">IF((E294="f"),H294," ")</f>
        <v> </v>
      </c>
      <c r="AF294" s="17" t="str">
        <f aca="false">IF((E294="l"),H294," ")</f>
        <v> </v>
      </c>
      <c r="AG294" s="17" t="str">
        <f aca="false">IF((E294="y"),H294," ")</f>
        <v> </v>
      </c>
      <c r="AH294" s="17" t="str">
        <f aca="false">IF((E294="z"),H294," ")</f>
        <v> </v>
      </c>
      <c r="AI294" s="17" t="str">
        <f aca="false">IF((E294="fa"),H294," ")</f>
        <v> </v>
      </c>
      <c r="AJ294" s="17" t="str">
        <f aca="false">IF((E294="e"),H294," ")</f>
        <v> </v>
      </c>
    </row>
    <row r="295" customFormat="false" ht="12" hidden="false" customHeight="false" outlineLevel="0" collapsed="false">
      <c r="A295" s="28"/>
      <c r="E295" s="2" t="str">
        <f aca="false">IF((F295&lt;&gt;0),"Enter Letter"," ")</f>
        <v> </v>
      </c>
      <c r="F295" s="30"/>
      <c r="G295" s="6" t="str">
        <f aca="false">IF(F295&lt;&gt;0,F295*G$2/(100+G$2)," ")</f>
        <v> </v>
      </c>
      <c r="H295" s="6" t="str">
        <f aca="false">IF((F295&lt;&gt;0),F295-G295," ")</f>
        <v> </v>
      </c>
      <c r="I295" s="5"/>
      <c r="L295" s="7" t="str">
        <f aca="false">IF(F295&lt;&gt;0,F295-K295," ")</f>
        <v> </v>
      </c>
      <c r="M295" s="8" t="str">
        <f aca="false">IF((F295-K295)&lt;&gt;0,M$1-A295," ")</f>
        <v> </v>
      </c>
      <c r="N295" s="5"/>
      <c r="O295" s="17" t="str">
        <f aca="false">IF((E295="s"),H295," ")</f>
        <v> </v>
      </c>
      <c r="P295" s="17" t="str">
        <f aca="false">IF((E295="c"),H295," ")</f>
        <v> </v>
      </c>
      <c r="Q295" s="17" t="str">
        <f aca="false">IF((E295="o"),H295," ")</f>
        <v> </v>
      </c>
      <c r="R295" s="17" t="str">
        <f aca="false">IF((E295="d"),H295," ")</f>
        <v> </v>
      </c>
      <c r="S295" s="17" t="str">
        <f aca="false">IF((E295="w"),H295," ")</f>
        <v> </v>
      </c>
      <c r="T295" s="17" t="str">
        <f aca="false">IF((E295="r"),H295," ")</f>
        <v> </v>
      </c>
      <c r="U295" s="17" t="str">
        <f aca="false">IF((E295="p"),H295," ")</f>
        <v> </v>
      </c>
      <c r="V295" s="17" t="str">
        <f aca="false">IF((E295="t"),H295," ")</f>
        <v> </v>
      </c>
      <c r="W295" s="17" t="str">
        <f aca="false">IF((E295="q"),H295," ")</f>
        <v> </v>
      </c>
      <c r="X295" s="17" t="str">
        <f aca="false">IF((E295="m"),H295," ")</f>
        <v> </v>
      </c>
      <c r="Y295" s="17" t="str">
        <f aca="false">IF((E295="u"),H295," ")</f>
        <v> </v>
      </c>
      <c r="Z295" s="17" t="str">
        <f aca="false">IF((E295="a"),H295," ")</f>
        <v> </v>
      </c>
      <c r="AA295" s="17" t="str">
        <f aca="false">IF((E295="g"),H295," ")</f>
        <v> </v>
      </c>
      <c r="AB295" s="17" t="str">
        <f aca="false">IF((E295="h"),H295," ")</f>
        <v> </v>
      </c>
      <c r="AC295" s="30" t="str">
        <f aca="false">IF((E295="v"),H295," ")</f>
        <v> </v>
      </c>
      <c r="AD295" s="30" t="str">
        <f aca="false">IF((E295="n"),H295," ")</f>
        <v> </v>
      </c>
      <c r="AE295" s="17" t="str">
        <f aca="false">IF((E295="f"),H295," ")</f>
        <v> </v>
      </c>
      <c r="AF295" s="17" t="str">
        <f aca="false">IF((E295="l"),H295," ")</f>
        <v> </v>
      </c>
      <c r="AG295" s="17" t="str">
        <f aca="false">IF((E295="y"),H295," ")</f>
        <v> </v>
      </c>
      <c r="AH295" s="17" t="str">
        <f aca="false">IF((E295="z"),H295," ")</f>
        <v> </v>
      </c>
      <c r="AI295" s="17" t="str">
        <f aca="false">IF((E295="fa"),H295," ")</f>
        <v> </v>
      </c>
      <c r="AJ295" s="17" t="str">
        <f aca="false">IF((E295="e"),H295," ")</f>
        <v> </v>
      </c>
    </row>
    <row r="296" customFormat="false" ht="12" hidden="false" customHeight="false" outlineLevel="0" collapsed="false">
      <c r="A296" s="28"/>
      <c r="E296" s="2" t="str">
        <f aca="false">IF((F296&lt;&gt;0),"Enter Letter"," ")</f>
        <v> </v>
      </c>
      <c r="F296" s="30"/>
      <c r="G296" s="6" t="str">
        <f aca="false">IF(F296&lt;&gt;0,F296*G$2/(100+G$2)," ")</f>
        <v> </v>
      </c>
      <c r="H296" s="6" t="str">
        <f aca="false">IF((F296&lt;&gt;0),F296-G296," ")</f>
        <v> </v>
      </c>
      <c r="I296" s="5"/>
      <c r="L296" s="7" t="str">
        <f aca="false">IF(F296&lt;&gt;0,F296-K296," ")</f>
        <v> </v>
      </c>
      <c r="M296" s="8" t="str">
        <f aca="false">IF((F296-K296)&lt;&gt;0,M$1-A296," ")</f>
        <v> </v>
      </c>
      <c r="N296" s="5"/>
      <c r="O296" s="17" t="str">
        <f aca="false">IF((E296="s"),H296," ")</f>
        <v> </v>
      </c>
      <c r="P296" s="17" t="str">
        <f aca="false">IF((E296="c"),H296," ")</f>
        <v> </v>
      </c>
      <c r="Q296" s="17" t="str">
        <f aca="false">IF((E296="o"),H296," ")</f>
        <v> </v>
      </c>
      <c r="R296" s="17" t="str">
        <f aca="false">IF((E296="d"),H296," ")</f>
        <v> </v>
      </c>
      <c r="S296" s="17" t="str">
        <f aca="false">IF((E296="w"),H296," ")</f>
        <v> </v>
      </c>
      <c r="T296" s="17" t="str">
        <f aca="false">IF((E296="r"),H296," ")</f>
        <v> </v>
      </c>
      <c r="U296" s="17" t="str">
        <f aca="false">IF((E296="p"),H296," ")</f>
        <v> </v>
      </c>
      <c r="V296" s="17" t="str">
        <f aca="false">IF((E296="t"),H296," ")</f>
        <v> </v>
      </c>
      <c r="W296" s="17" t="str">
        <f aca="false">IF((E296="q"),H296," ")</f>
        <v> </v>
      </c>
      <c r="X296" s="17" t="str">
        <f aca="false">IF((E296="m"),H296," ")</f>
        <v> </v>
      </c>
      <c r="Y296" s="17" t="str">
        <f aca="false">IF((E296="u"),H296," ")</f>
        <v> </v>
      </c>
      <c r="Z296" s="17" t="str">
        <f aca="false">IF((E296="a"),H296," ")</f>
        <v> </v>
      </c>
      <c r="AA296" s="17" t="str">
        <f aca="false">IF((E296="g"),H296," ")</f>
        <v> </v>
      </c>
      <c r="AB296" s="17" t="str">
        <f aca="false">IF((E296="h"),H296," ")</f>
        <v> </v>
      </c>
      <c r="AC296" s="30" t="str">
        <f aca="false">IF((E296="v"),H296," ")</f>
        <v> </v>
      </c>
      <c r="AD296" s="30" t="str">
        <f aca="false">IF((E296="n"),H296," ")</f>
        <v> </v>
      </c>
      <c r="AE296" s="17" t="str">
        <f aca="false">IF((E296="f"),H296," ")</f>
        <v> </v>
      </c>
      <c r="AF296" s="17" t="str">
        <f aca="false">IF((E296="l"),H296," ")</f>
        <v> </v>
      </c>
      <c r="AG296" s="17" t="str">
        <f aca="false">IF((E296="y"),H296," ")</f>
        <v> </v>
      </c>
      <c r="AH296" s="17" t="str">
        <f aca="false">IF((E296="z"),H296," ")</f>
        <v> </v>
      </c>
      <c r="AI296" s="17" t="str">
        <f aca="false">IF((E296="fa"),H296," ")</f>
        <v> </v>
      </c>
      <c r="AJ296" s="17" t="str">
        <f aca="false">IF((E296="e"),H296," ")</f>
        <v> </v>
      </c>
    </row>
    <row r="297" customFormat="false" ht="12" hidden="false" customHeight="false" outlineLevel="0" collapsed="false">
      <c r="A297" s="28"/>
      <c r="E297" s="2" t="str">
        <f aca="false">IF((F297&lt;&gt;0),"Enter Letter"," ")</f>
        <v> </v>
      </c>
      <c r="F297" s="30"/>
      <c r="G297" s="6" t="str">
        <f aca="false">IF(F297&lt;&gt;0,F297*G$2/(100+G$2)," ")</f>
        <v> </v>
      </c>
      <c r="H297" s="6" t="str">
        <f aca="false">IF((F297&lt;&gt;0),F297-G297," ")</f>
        <v> </v>
      </c>
      <c r="I297" s="5"/>
      <c r="L297" s="7" t="str">
        <f aca="false">IF(F297&lt;&gt;0,F297-K297," ")</f>
        <v> </v>
      </c>
      <c r="M297" s="8" t="str">
        <f aca="false">IF((F297-K297)&lt;&gt;0,M$1-A297," ")</f>
        <v> </v>
      </c>
      <c r="N297" s="5"/>
      <c r="O297" s="17" t="str">
        <f aca="false">IF((E297="s"),H297," ")</f>
        <v> </v>
      </c>
      <c r="P297" s="17" t="str">
        <f aca="false">IF((E297="c"),H297," ")</f>
        <v> </v>
      </c>
      <c r="Q297" s="17" t="str">
        <f aca="false">IF((E297="o"),H297," ")</f>
        <v> </v>
      </c>
      <c r="R297" s="17" t="str">
        <f aca="false">IF((E297="d"),H297," ")</f>
        <v> </v>
      </c>
      <c r="S297" s="17" t="str">
        <f aca="false">IF((E297="w"),H297," ")</f>
        <v> </v>
      </c>
      <c r="T297" s="17" t="str">
        <f aca="false">IF((E297="r"),H297," ")</f>
        <v> </v>
      </c>
      <c r="U297" s="17" t="str">
        <f aca="false">IF((E297="p"),H297," ")</f>
        <v> </v>
      </c>
      <c r="V297" s="17" t="str">
        <f aca="false">IF((E297="t"),H297," ")</f>
        <v> </v>
      </c>
      <c r="W297" s="17" t="str">
        <f aca="false">IF((E297="q"),H297," ")</f>
        <v> </v>
      </c>
      <c r="X297" s="17" t="str">
        <f aca="false">IF((E297="m"),H297," ")</f>
        <v> </v>
      </c>
      <c r="Y297" s="17" t="str">
        <f aca="false">IF((E297="u"),H297," ")</f>
        <v> </v>
      </c>
      <c r="Z297" s="17" t="str">
        <f aca="false">IF((E297="a"),H297," ")</f>
        <v> </v>
      </c>
      <c r="AA297" s="17" t="str">
        <f aca="false">IF((E297="g"),H297," ")</f>
        <v> </v>
      </c>
      <c r="AB297" s="17" t="str">
        <f aca="false">IF((E297="h"),H297," ")</f>
        <v> </v>
      </c>
      <c r="AC297" s="30" t="str">
        <f aca="false">IF((E297="v"),H297," ")</f>
        <v> </v>
      </c>
      <c r="AD297" s="30" t="str">
        <f aca="false">IF((E297="n"),H297," ")</f>
        <v> </v>
      </c>
      <c r="AE297" s="17" t="str">
        <f aca="false">IF((E297="f"),H297," ")</f>
        <v> </v>
      </c>
      <c r="AF297" s="17" t="str">
        <f aca="false">IF((E297="l"),H297," ")</f>
        <v> </v>
      </c>
      <c r="AG297" s="17" t="str">
        <f aca="false">IF((E297="y"),H297," ")</f>
        <v> </v>
      </c>
      <c r="AH297" s="17" t="str">
        <f aca="false">IF((E297="z"),H297," ")</f>
        <v> </v>
      </c>
      <c r="AI297" s="17" t="str">
        <f aca="false">IF((E297="fa"),H297," ")</f>
        <v> </v>
      </c>
      <c r="AJ297" s="17" t="str">
        <f aca="false">IF((E297="e"),H297," ")</f>
        <v> </v>
      </c>
    </row>
    <row r="298" customFormat="false" ht="12" hidden="false" customHeight="false" outlineLevel="0" collapsed="false">
      <c r="A298" s="28"/>
      <c r="E298" s="2" t="str">
        <f aca="false">IF((F298&lt;&gt;0),"Enter Letter"," ")</f>
        <v> </v>
      </c>
      <c r="F298" s="30"/>
      <c r="G298" s="6" t="str">
        <f aca="false">IF(F298&lt;&gt;0,F298*G$2/(100+G$2)," ")</f>
        <v> </v>
      </c>
      <c r="H298" s="6" t="str">
        <f aca="false">IF((F298&lt;&gt;0),F298-G298," ")</f>
        <v> </v>
      </c>
      <c r="I298" s="5"/>
      <c r="L298" s="7" t="str">
        <f aca="false">IF(F298&lt;&gt;0,F298-K298," ")</f>
        <v> </v>
      </c>
      <c r="M298" s="8" t="str">
        <f aca="false">IF((F298-K298)&lt;&gt;0,M$1-A298," ")</f>
        <v> </v>
      </c>
      <c r="N298" s="5"/>
      <c r="O298" s="17" t="str">
        <f aca="false">IF((E298="s"),H298," ")</f>
        <v> </v>
      </c>
      <c r="P298" s="17" t="str">
        <f aca="false">IF((E298="c"),H298," ")</f>
        <v> </v>
      </c>
      <c r="Q298" s="17" t="str">
        <f aca="false">IF((E298="o"),H298," ")</f>
        <v> </v>
      </c>
      <c r="R298" s="17" t="str">
        <f aca="false">IF((E298="d"),H298," ")</f>
        <v> </v>
      </c>
      <c r="S298" s="17" t="str">
        <f aca="false">IF((E298="w"),H298," ")</f>
        <v> </v>
      </c>
      <c r="T298" s="17" t="str">
        <f aca="false">IF((E298="r"),H298," ")</f>
        <v> </v>
      </c>
      <c r="U298" s="17" t="str">
        <f aca="false">IF((E298="p"),H298," ")</f>
        <v> </v>
      </c>
      <c r="V298" s="17" t="str">
        <f aca="false">IF((E298="t"),H298," ")</f>
        <v> </v>
      </c>
      <c r="W298" s="17" t="str">
        <f aca="false">IF((E298="q"),H298," ")</f>
        <v> </v>
      </c>
      <c r="X298" s="17" t="str">
        <f aca="false">IF((E298="m"),H298," ")</f>
        <v> </v>
      </c>
      <c r="Y298" s="17" t="str">
        <f aca="false">IF((E298="u"),H298," ")</f>
        <v> </v>
      </c>
      <c r="Z298" s="17" t="str">
        <f aca="false">IF((E298="a"),H298," ")</f>
        <v> </v>
      </c>
      <c r="AA298" s="17" t="str">
        <f aca="false">IF((E298="g"),H298," ")</f>
        <v> </v>
      </c>
      <c r="AB298" s="17" t="str">
        <f aca="false">IF((E298="h"),H298," ")</f>
        <v> </v>
      </c>
      <c r="AC298" s="30" t="str">
        <f aca="false">IF((E298="v"),H298," ")</f>
        <v> </v>
      </c>
      <c r="AD298" s="30" t="str">
        <f aca="false">IF((E298="n"),H298," ")</f>
        <v> </v>
      </c>
      <c r="AE298" s="17" t="str">
        <f aca="false">IF((E298="f"),H298," ")</f>
        <v> </v>
      </c>
      <c r="AF298" s="17" t="str">
        <f aca="false">IF((E298="l"),H298," ")</f>
        <v> </v>
      </c>
      <c r="AG298" s="17" t="str">
        <f aca="false">IF((E298="y"),H298," ")</f>
        <v> </v>
      </c>
      <c r="AH298" s="17" t="str">
        <f aca="false">IF((E298="z"),H298," ")</f>
        <v> </v>
      </c>
      <c r="AI298" s="17" t="str">
        <f aca="false">IF((E298="fa"),H298," ")</f>
        <v> </v>
      </c>
      <c r="AJ298" s="17" t="str">
        <f aca="false">IF((E298="e"),H298," ")</f>
        <v> </v>
      </c>
    </row>
    <row r="299" customFormat="false" ht="12" hidden="false" customHeight="false" outlineLevel="0" collapsed="false">
      <c r="A299" s="28"/>
      <c r="E299" s="2" t="str">
        <f aca="false">IF((F299&lt;&gt;0),"Enter Letter"," ")</f>
        <v> </v>
      </c>
      <c r="F299" s="30"/>
      <c r="G299" s="6" t="str">
        <f aca="false">IF(F299&lt;&gt;0,F299*G$2/(100+G$2)," ")</f>
        <v> </v>
      </c>
      <c r="H299" s="6" t="str">
        <f aca="false">IF((F299&lt;&gt;0),F299-G299," ")</f>
        <v> </v>
      </c>
      <c r="I299" s="5"/>
      <c r="L299" s="7" t="str">
        <f aca="false">IF(F299&lt;&gt;0,F299-K299," ")</f>
        <v> </v>
      </c>
      <c r="M299" s="8" t="str">
        <f aca="false">IF((F299-K299)&lt;&gt;0,M$1-A299," ")</f>
        <v> </v>
      </c>
      <c r="N299" s="5"/>
      <c r="O299" s="17" t="str">
        <f aca="false">IF((E299="s"),H299," ")</f>
        <v> </v>
      </c>
      <c r="P299" s="17" t="str">
        <f aca="false">IF((E299="c"),H299," ")</f>
        <v> </v>
      </c>
      <c r="Q299" s="17" t="str">
        <f aca="false">IF((E299="o"),H299," ")</f>
        <v> </v>
      </c>
      <c r="R299" s="17" t="str">
        <f aca="false">IF((E299="d"),H299," ")</f>
        <v> </v>
      </c>
      <c r="S299" s="17" t="str">
        <f aca="false">IF((E299="w"),H299," ")</f>
        <v> </v>
      </c>
      <c r="T299" s="17" t="str">
        <f aca="false">IF((E299="r"),H299," ")</f>
        <v> </v>
      </c>
      <c r="U299" s="17" t="str">
        <f aca="false">IF((E299="p"),H299," ")</f>
        <v> </v>
      </c>
      <c r="V299" s="17" t="str">
        <f aca="false">IF((E299="t"),H299," ")</f>
        <v> </v>
      </c>
      <c r="W299" s="17" t="str">
        <f aca="false">IF((E299="q"),H299," ")</f>
        <v> </v>
      </c>
      <c r="X299" s="17" t="str">
        <f aca="false">IF((E299="m"),H299," ")</f>
        <v> </v>
      </c>
      <c r="Y299" s="17" t="str">
        <f aca="false">IF((E299="u"),H299," ")</f>
        <v> </v>
      </c>
      <c r="Z299" s="17" t="str">
        <f aca="false">IF((E299="a"),H299," ")</f>
        <v> </v>
      </c>
      <c r="AA299" s="17" t="str">
        <f aca="false">IF((E299="g"),H299," ")</f>
        <v> </v>
      </c>
      <c r="AB299" s="17" t="str">
        <f aca="false">IF((E299="h"),H299," ")</f>
        <v> </v>
      </c>
      <c r="AC299" s="30" t="str">
        <f aca="false">IF((E299="v"),H299," ")</f>
        <v> </v>
      </c>
      <c r="AD299" s="30" t="str">
        <f aca="false">IF((E299="n"),H299," ")</f>
        <v> </v>
      </c>
      <c r="AE299" s="17" t="str">
        <f aca="false">IF((E299="f"),H299," ")</f>
        <v> </v>
      </c>
      <c r="AF299" s="17" t="str">
        <f aca="false">IF((E299="l"),H299," ")</f>
        <v> </v>
      </c>
      <c r="AG299" s="17" t="str">
        <f aca="false">IF((E299="y"),H299," ")</f>
        <v> </v>
      </c>
      <c r="AH299" s="17" t="str">
        <f aca="false">IF((E299="z"),H299," ")</f>
        <v> </v>
      </c>
      <c r="AI299" s="17" t="str">
        <f aca="false">IF((E299="fa"),H299," ")</f>
        <v> </v>
      </c>
      <c r="AJ299" s="17" t="str">
        <f aca="false">IF((E299="e"),H299," ")</f>
        <v> </v>
      </c>
    </row>
    <row r="300" customFormat="false" ht="12" hidden="false" customHeight="false" outlineLevel="0" collapsed="false">
      <c r="A300" s="32"/>
      <c r="B300" s="33"/>
      <c r="C300" s="34"/>
      <c r="D300" s="33"/>
      <c r="E300" s="46" t="str">
        <f aca="false">IF((F300&lt;&gt;0),"Enter Letter"," ")</f>
        <v> </v>
      </c>
      <c r="F300" s="47"/>
      <c r="G300" s="36" t="str">
        <f aca="false">IF(F300&lt;&gt;0,F300*G$2/(100+G$2)," ")</f>
        <v> </v>
      </c>
      <c r="H300" s="36" t="str">
        <f aca="false">IF((F300&lt;&gt;0),F300-G300," ")</f>
        <v> </v>
      </c>
      <c r="I300" s="48"/>
      <c r="J300" s="36"/>
      <c r="K300" s="36"/>
      <c r="L300" s="37" t="str">
        <f aca="false">IF(F300&lt;&gt;0,F300-K300," ")</f>
        <v> </v>
      </c>
      <c r="M300" s="38" t="str">
        <f aca="false">IF((F300-K300)&lt;&gt;0,M$1-A300," ")</f>
        <v> </v>
      </c>
      <c r="N300" s="48"/>
      <c r="O300" s="49" t="str">
        <f aca="false">IF((E300="s"),H300," ")</f>
        <v> </v>
      </c>
      <c r="P300" s="49" t="str">
        <f aca="false">IF((E300="c"),H300," ")</f>
        <v> </v>
      </c>
      <c r="Q300" s="49" t="str">
        <f aca="false">IF((E300="o"),H300," ")</f>
        <v> </v>
      </c>
      <c r="R300" s="49" t="str">
        <f aca="false">IF((E300="d"),H300," ")</f>
        <v> </v>
      </c>
      <c r="S300" s="49" t="str">
        <f aca="false">IF((E300="w"),H300," ")</f>
        <v> </v>
      </c>
      <c r="T300" s="49" t="str">
        <f aca="false">IF((E300="r"),H300," ")</f>
        <v> </v>
      </c>
      <c r="U300" s="49" t="str">
        <f aca="false">IF((E300="p"),H300," ")</f>
        <v> </v>
      </c>
      <c r="V300" s="49" t="str">
        <f aca="false">IF((E300="t"),H300," ")</f>
        <v> </v>
      </c>
      <c r="W300" s="49" t="str">
        <f aca="false">IF((E300="q"),H300," ")</f>
        <v> </v>
      </c>
      <c r="X300" s="49" t="str">
        <f aca="false">IF((E300="m"),H300," ")</f>
        <v> </v>
      </c>
      <c r="Y300" s="49" t="str">
        <f aca="false">IF((E300="u"),H300," ")</f>
        <v> </v>
      </c>
      <c r="Z300" s="49" t="str">
        <f aca="false">IF((E300="a"),H300," ")</f>
        <v> </v>
      </c>
      <c r="AA300" s="49" t="str">
        <f aca="false">IF((E300="g"),H300," ")</f>
        <v> </v>
      </c>
      <c r="AB300" s="49" t="str">
        <f aca="false">IF((E300="h"),H300," ")</f>
        <v> </v>
      </c>
      <c r="AC300" s="47" t="str">
        <f aca="false">IF((E300="v"),H300," ")</f>
        <v> </v>
      </c>
      <c r="AD300" s="47" t="str">
        <f aca="false">IF((E300="n"),H300," ")</f>
        <v> </v>
      </c>
      <c r="AE300" s="49" t="str">
        <f aca="false">IF((E300="f"),H300," ")</f>
        <v> </v>
      </c>
      <c r="AF300" s="49" t="str">
        <f aca="false">IF((E300="l"),H300," ")</f>
        <v> </v>
      </c>
      <c r="AG300" s="49" t="str">
        <f aca="false">IF((E300="y"),H300," ")</f>
        <v> </v>
      </c>
      <c r="AH300" s="49" t="str">
        <f aca="false">IF((E300="z"),H300," ")</f>
        <v> </v>
      </c>
      <c r="AI300" s="49" t="str">
        <f aca="false">IF((E300="fa"),H300," ")</f>
        <v> </v>
      </c>
      <c r="AJ300" s="49" t="str">
        <f aca="false">IF((E300="e"),H300," ")</f>
        <v> </v>
      </c>
      <c r="AK300" s="49"/>
      <c r="AL300" s="49"/>
    </row>
    <row r="301" customFormat="false" ht="12" hidden="false" customHeight="false" outlineLevel="0" collapsed="false">
      <c r="A301" s="28"/>
    </row>
  </sheetData>
  <mergeCells count="37">
    <mergeCell ref="C1:C4"/>
    <mergeCell ref="D1:E1"/>
    <mergeCell ref="I1:I4"/>
    <mergeCell ref="J1:J4"/>
    <mergeCell ref="N1:N4"/>
    <mergeCell ref="AJ1:AJ4"/>
    <mergeCell ref="A2:A4"/>
    <mergeCell ref="B2:B4"/>
    <mergeCell ref="D2:D4"/>
    <mergeCell ref="E2:E4"/>
    <mergeCell ref="F2:F4"/>
    <mergeCell ref="H2:H4"/>
    <mergeCell ref="K2:M2"/>
    <mergeCell ref="O2:Q2"/>
    <mergeCell ref="R2:R3"/>
    <mergeCell ref="S2:S3"/>
    <mergeCell ref="T2:U2"/>
    <mergeCell ref="V2:V3"/>
    <mergeCell ref="W2:W3"/>
    <mergeCell ref="X2:X3"/>
    <mergeCell ref="Y2:Y3"/>
    <mergeCell ref="Z2:Z3"/>
    <mergeCell ref="AA2:AA3"/>
    <mergeCell ref="AB2:AB3"/>
    <mergeCell ref="AC2:AC3"/>
    <mergeCell ref="AD2:AD3"/>
    <mergeCell ref="AE2:AE3"/>
    <mergeCell ref="AF2:AF3"/>
    <mergeCell ref="AG2:AG3"/>
    <mergeCell ref="AH2:AH3"/>
    <mergeCell ref="AI2:AI3"/>
    <mergeCell ref="AK2:AL2"/>
    <mergeCell ref="G3:G4"/>
    <mergeCell ref="K3:K4"/>
    <mergeCell ref="L3:L4"/>
    <mergeCell ref="M3:M4"/>
    <mergeCell ref="AK3:AL3"/>
  </mergeCells>
  <dataValidations count="4">
    <dataValidation allowBlank="true" error="While dates outside the financial year can be accepted for valid transactions the date may not have been entered in the correct format.&#10;&#10;CORRECT DATE FORMAT IS DD/MM/YY&#10;&#10;Example 25/12/08 then appears as 25-Dec-08&#10;" errorStyle="stop" errorTitle="DATE ERROR" operator="between" showDropDown="false" showErrorMessage="true" showInputMessage="false" sqref="A5:A300" type="date">
      <formula1>38353</formula1>
      <formula2>53327</formula2>
    </dataValidation>
    <dataValidation allowBlank="true" errorStyle="stop" operator="between" prompt="Entries below the line are not included in column totals or analysed.&#10;&#10;To accomodate additional entries the formulae in column totals need changing and sales analysis columns formulae added " promptTitle="PLEASE NOTE" showDropDown="false" showErrorMessage="true" showInputMessage="true" sqref="A301" type="none">
      <formula1>0</formula1>
      <formula2>0</formula2>
    </dataValidation>
    <dataValidation allowBlank="true" errorStyle="stop" operator="between" prompt="An amount in this cell is an indication column H does not equal column F minus G or the analysis in columns O to AI does not add up to total in column H&#10;&#10;CHECK ENTRY CODE LETTERS or ANY MANUAL ENTRIES IN COL G to H and COL O to AI&#10;" promptTitle="ERROR ALERT" showDropDown="false" showErrorMessage="true" showInputMessage="true" sqref="A1" type="none">
      <formula1>0</formula1>
      <formula2>0</formula2>
    </dataValidation>
    <dataValidation allowBlank="true" errorStyle="stop" operator="between" showDropDown="false" showErrorMessage="true" showInputMessage="false" sqref="E5:E300" type="list">
      <formula1>$O$4:$AI$4</formula1>
      <formula2>0</formula2>
    </dataValidation>
  </dataValidations>
  <printOptions headings="false" gridLines="true" gridLinesSet="true" horizontalCentered="false" verticalCentered="false"/>
  <pageMargins left="0.118055555555556" right="0.0784722222222222" top="0.590277777777778" bottom="0.590277777777778" header="0.196527777777778" footer="0.196527777777778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&amp;C&amp;"Arial,Bold"&amp;12Costs and Expenses</oddHeader>
    <oddFooter>&amp;L&amp;D  &amp;T&amp;C&amp;P  of  &amp;N&amp;R&amp;F  &amp;A</oddFooter>
  </headerFooter>
  <colBreaks count="1" manualBreakCount="1">
    <brk id="24" man="true" max="65535" min="0"/>
  </colBreak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Z3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625" defaultRowHeight="12" zeroHeight="false" outlineLevelRow="0" outlineLevelCol="0"/>
  <cols>
    <col collapsed="false" customWidth="true" hidden="false" outlineLevel="0" max="1" min="1" style="1" width="8.82"/>
    <col collapsed="false" customWidth="true" hidden="false" outlineLevel="0" max="2" min="2" style="2" width="18.66"/>
    <col collapsed="false" customWidth="true" hidden="false" outlineLevel="0" max="3" min="3" style="3" width="12.66"/>
    <col collapsed="false" customWidth="true" hidden="false" outlineLevel="0" max="4" min="4" style="2" width="14.66"/>
    <col collapsed="false" customWidth="true" hidden="false" outlineLevel="0" max="5" min="5" style="5" width="9.66"/>
    <col collapsed="false" customWidth="true" hidden="false" outlineLevel="0" max="6" min="6" style="6" width="10.5"/>
    <col collapsed="false" customWidth="true" hidden="false" outlineLevel="0" max="7" min="7" style="6" width="9.66"/>
    <col collapsed="false" customWidth="true" hidden="false" outlineLevel="0" max="8" min="8" style="6" width="10.66"/>
    <col collapsed="false" customWidth="true" hidden="false" outlineLevel="0" max="9" min="9" style="6" width="0.82"/>
    <col collapsed="false" customWidth="true" hidden="false" outlineLevel="0" max="10" min="10" style="6" width="9.99"/>
    <col collapsed="false" customWidth="true" hidden="false" outlineLevel="0" max="11" min="11" style="6" width="9.66"/>
    <col collapsed="false" customWidth="true" hidden="false" outlineLevel="0" max="12" min="12" style="7" width="9.66"/>
    <col collapsed="false" customWidth="true" hidden="false" outlineLevel="0" max="13" min="13" style="8" width="9.49"/>
    <col collapsed="false" customWidth="true" hidden="false" outlineLevel="0" max="14" min="14" style="6" width="0.82"/>
    <col collapsed="false" customWidth="true" hidden="false" outlineLevel="0" max="23" min="15" style="17" width="9.66"/>
    <col collapsed="false" customWidth="true" hidden="false" outlineLevel="0" max="28" min="24" style="17" width="10.5"/>
    <col collapsed="false" customWidth="true" hidden="false" outlineLevel="0" max="30" min="29" style="39" width="10.5"/>
    <col collapsed="false" customWidth="true" hidden="false" outlineLevel="0" max="36" min="31" style="17" width="10.5"/>
    <col collapsed="false" customWidth="false" hidden="false" outlineLevel="0" max="37" min="37" style="17" width="9.15"/>
    <col collapsed="false" customWidth="true" hidden="false" outlineLevel="0" max="38" min="38" style="17" width="12.66"/>
    <col collapsed="false" customWidth="false" hidden="false" outlineLevel="0" max="257" min="39" style="2" width="9.15"/>
  </cols>
  <sheetData>
    <row r="1" s="17" customFormat="true" ht="12.75" hidden="false" customHeight="true" outlineLevel="0" collapsed="false">
      <c r="A1" s="40" t="n">
        <f aca="false">F1-G1-SUM(O1:AJ1)</f>
        <v>0</v>
      </c>
      <c r="B1" s="41" t="s">
        <v>22</v>
      </c>
      <c r="C1" s="20" t="s">
        <v>5</v>
      </c>
      <c r="D1" s="42" t="s">
        <v>23</v>
      </c>
      <c r="E1" s="42"/>
      <c r="F1" s="12" t="n">
        <f aca="false">SUM(F5:F300)</f>
        <v>13375</v>
      </c>
      <c r="G1" s="12" t="n">
        <f aca="false">SUM(G5:G300)</f>
        <v>2229.16666666667</v>
      </c>
      <c r="H1" s="12" t="n">
        <f aca="false">SUM(H5:H300)</f>
        <v>11145.8333333333</v>
      </c>
      <c r="I1" s="13"/>
      <c r="J1" s="14" t="s">
        <v>2</v>
      </c>
      <c r="K1" s="15" t="n">
        <f aca="false">SUM(K5:K300)</f>
        <v>0</v>
      </c>
      <c r="L1" s="15" t="n">
        <f aca="false">SUM(L5:L300)</f>
        <v>13375</v>
      </c>
      <c r="M1" s="16" t="n">
        <f aca="true">TODAY()</f>
        <v>46278</v>
      </c>
      <c r="N1" s="13"/>
      <c r="O1" s="12" t="n">
        <f aca="false">SUM(O5:O300)</f>
        <v>200</v>
      </c>
      <c r="P1" s="12" t="n">
        <f aca="false">SUM(P5:P300)</f>
        <v>0</v>
      </c>
      <c r="Q1" s="12" t="n">
        <f aca="false">SUM(Q5:Q300)</f>
        <v>207.5</v>
      </c>
      <c r="R1" s="12" t="n">
        <f aca="false">SUM(R5:R300)</f>
        <v>0</v>
      </c>
      <c r="S1" s="12" t="n">
        <f aca="false">SUM(S5:S300)</f>
        <v>0</v>
      </c>
      <c r="T1" s="12" t="n">
        <f aca="false">SUM(T5:T300)</f>
        <v>1000</v>
      </c>
      <c r="U1" s="12" t="n">
        <f aca="false">SUM(U5:U300)</f>
        <v>250</v>
      </c>
      <c r="V1" s="12" t="n">
        <f aca="false">SUM(V5:V300)</f>
        <v>80</v>
      </c>
      <c r="W1" s="12" t="n">
        <f aca="false">SUM(W5:W300)</f>
        <v>300</v>
      </c>
      <c r="X1" s="12" t="n">
        <f aca="false">SUM(X5:X300)</f>
        <v>0</v>
      </c>
      <c r="Y1" s="12" t="n">
        <f aca="false">SUM(Y5:Y300)</f>
        <v>95.8333333333333</v>
      </c>
      <c r="Z1" s="12" t="n">
        <f aca="false">SUM(Z5:Z300)</f>
        <v>0</v>
      </c>
      <c r="AA1" s="12" t="n">
        <f aca="false">SUM(AA5:AA300)</f>
        <v>122.5</v>
      </c>
      <c r="AB1" s="12" t="n">
        <f aca="false">SUM(AB5:AB300)</f>
        <v>76.6666666666667</v>
      </c>
      <c r="AC1" s="12" t="n">
        <f aca="false">SUM(AC5:AC300)</f>
        <v>590</v>
      </c>
      <c r="AD1" s="12" t="n">
        <f aca="false">SUM(AD5:AD300)</f>
        <v>0</v>
      </c>
      <c r="AE1" s="12" t="n">
        <f aca="false">SUM(AE5:AE300)</f>
        <v>0</v>
      </c>
      <c r="AF1" s="12" t="n">
        <f aca="false">SUM(AF5:AF300)</f>
        <v>1223.33333333333</v>
      </c>
      <c r="AG1" s="12" t="n">
        <f aca="false">SUM(AG5:AG300)</f>
        <v>0</v>
      </c>
      <c r="AH1" s="12" t="n">
        <f aca="false">SUM(AH5:AH300)</f>
        <v>0</v>
      </c>
      <c r="AI1" s="12" t="n">
        <f aca="false">SUM(AI5:AI300)</f>
        <v>7000</v>
      </c>
      <c r="AJ1" s="12" t="n">
        <f aca="false">SUM(AJ5:AJ300)</f>
        <v>0</v>
      </c>
      <c r="AK1" s="12" t="n">
        <f aca="false">SUM(AK5:AK300)</f>
        <v>0</v>
      </c>
      <c r="AL1" s="43"/>
    </row>
    <row r="2" s="17" customFormat="true" ht="13.5" hidden="false" customHeight="true" outlineLevel="0" collapsed="false">
      <c r="A2" s="18" t="s">
        <v>3</v>
      </c>
      <c r="B2" s="19" t="s">
        <v>4</v>
      </c>
      <c r="C2" s="20"/>
      <c r="D2" s="21" t="s">
        <v>6</v>
      </c>
      <c r="E2" s="21" t="s">
        <v>24</v>
      </c>
      <c r="F2" s="19" t="s">
        <v>7</v>
      </c>
      <c r="G2" s="22" t="n">
        <f aca="false">IF([2]Apr!$G$4&gt;0,0,[2]Apr!$G$2)</f>
        <v>20</v>
      </c>
      <c r="H2" s="19" t="s">
        <v>8</v>
      </c>
      <c r="I2" s="13"/>
      <c r="J2" s="14"/>
      <c r="K2" s="23" t="s">
        <v>9</v>
      </c>
      <c r="L2" s="23"/>
      <c r="M2" s="23"/>
      <c r="N2" s="13"/>
      <c r="O2" s="19" t="s">
        <v>25</v>
      </c>
      <c r="P2" s="19"/>
      <c r="Q2" s="19"/>
      <c r="R2" s="19" t="s">
        <v>26</v>
      </c>
      <c r="S2" s="19" t="s">
        <v>27</v>
      </c>
      <c r="T2" s="19" t="s">
        <v>28</v>
      </c>
      <c r="U2" s="19"/>
      <c r="V2" s="19" t="s">
        <v>29</v>
      </c>
      <c r="W2" s="19" t="s">
        <v>30</v>
      </c>
      <c r="X2" s="19" t="s">
        <v>31</v>
      </c>
      <c r="Y2" s="19" t="s">
        <v>32</v>
      </c>
      <c r="Z2" s="19" t="s">
        <v>33</v>
      </c>
      <c r="AA2" s="19" t="s">
        <v>34</v>
      </c>
      <c r="AB2" s="19" t="s">
        <v>35</v>
      </c>
      <c r="AC2" s="19" t="s">
        <v>36</v>
      </c>
      <c r="AD2" s="19" t="s">
        <v>37</v>
      </c>
      <c r="AE2" s="19" t="s">
        <v>38</v>
      </c>
      <c r="AF2" s="19" t="s">
        <v>39</v>
      </c>
      <c r="AG2" s="19" t="s">
        <v>40</v>
      </c>
      <c r="AH2" s="19" t="s">
        <v>41</v>
      </c>
      <c r="AI2" s="19" t="s">
        <v>42</v>
      </c>
      <c r="AJ2" s="12" t="s">
        <v>43</v>
      </c>
      <c r="AK2" s="19" t="s">
        <v>44</v>
      </c>
      <c r="AL2" s="19"/>
    </row>
    <row r="3" s="26" customFormat="true" ht="34.5" hidden="false" customHeight="true" outlineLevel="0" collapsed="false">
      <c r="A3" s="18"/>
      <c r="B3" s="19"/>
      <c r="C3" s="20"/>
      <c r="D3" s="21"/>
      <c r="E3" s="21"/>
      <c r="F3" s="19"/>
      <c r="G3" s="19" t="s">
        <v>10</v>
      </c>
      <c r="H3" s="19"/>
      <c r="I3" s="13"/>
      <c r="J3" s="14"/>
      <c r="K3" s="24" t="s">
        <v>11</v>
      </c>
      <c r="L3" s="24" t="s">
        <v>12</v>
      </c>
      <c r="M3" s="25" t="s">
        <v>13</v>
      </c>
      <c r="N3" s="13"/>
      <c r="O3" s="21" t="s">
        <v>45</v>
      </c>
      <c r="P3" s="21" t="s">
        <v>46</v>
      </c>
      <c r="Q3" s="21" t="s">
        <v>47</v>
      </c>
      <c r="R3" s="19"/>
      <c r="S3" s="19"/>
      <c r="T3" s="21" t="s">
        <v>48</v>
      </c>
      <c r="U3" s="21" t="s">
        <v>49</v>
      </c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2"/>
      <c r="AK3" s="19" t="s">
        <v>50</v>
      </c>
      <c r="AL3" s="19"/>
    </row>
    <row r="4" s="27" customFormat="true" ht="12.75" hidden="false" customHeight="true" outlineLevel="0" collapsed="false">
      <c r="A4" s="18"/>
      <c r="B4" s="19"/>
      <c r="C4" s="20"/>
      <c r="D4" s="21"/>
      <c r="E4" s="21"/>
      <c r="F4" s="19"/>
      <c r="G4" s="19"/>
      <c r="H4" s="19"/>
      <c r="I4" s="13"/>
      <c r="J4" s="14"/>
      <c r="K4" s="24"/>
      <c r="L4" s="24"/>
      <c r="M4" s="24"/>
      <c r="N4" s="13"/>
      <c r="O4" s="44" t="s">
        <v>51</v>
      </c>
      <c r="P4" s="44" t="s">
        <v>52</v>
      </c>
      <c r="Q4" s="44" t="s">
        <v>53</v>
      </c>
      <c r="R4" s="44" t="s">
        <v>54</v>
      </c>
      <c r="S4" s="44" t="s">
        <v>55</v>
      </c>
      <c r="T4" s="44" t="s">
        <v>56</v>
      </c>
      <c r="U4" s="44" t="s">
        <v>57</v>
      </c>
      <c r="V4" s="44" t="s">
        <v>58</v>
      </c>
      <c r="W4" s="44" t="s">
        <v>59</v>
      </c>
      <c r="X4" s="44" t="s">
        <v>60</v>
      </c>
      <c r="Y4" s="44" t="s">
        <v>61</v>
      </c>
      <c r="Z4" s="44" t="s">
        <v>62</v>
      </c>
      <c r="AA4" s="44" t="s">
        <v>63</v>
      </c>
      <c r="AB4" s="44" t="s">
        <v>64</v>
      </c>
      <c r="AC4" s="45" t="s">
        <v>65</v>
      </c>
      <c r="AD4" s="45" t="s">
        <v>66</v>
      </c>
      <c r="AE4" s="44" t="s">
        <v>67</v>
      </c>
      <c r="AF4" s="44" t="s">
        <v>68</v>
      </c>
      <c r="AG4" s="44" t="s">
        <v>69</v>
      </c>
      <c r="AH4" s="44" t="s">
        <v>70</v>
      </c>
      <c r="AI4" s="44" t="s">
        <v>71</v>
      </c>
      <c r="AJ4" s="12" t="s">
        <v>72</v>
      </c>
      <c r="AK4" s="19" t="s">
        <v>73</v>
      </c>
      <c r="AL4" s="19" t="s">
        <v>74</v>
      </c>
    </row>
    <row r="5" s="5" customFormat="true" ht="12" hidden="false" customHeight="false" outlineLevel="0" collapsed="false">
      <c r="A5" s="28" t="n">
        <v>46478</v>
      </c>
      <c r="B5" s="2" t="s">
        <v>14</v>
      </c>
      <c r="C5" s="3"/>
      <c r="D5" s="2" t="s">
        <v>75</v>
      </c>
      <c r="E5" s="2" t="s">
        <v>76</v>
      </c>
      <c r="F5" s="30" t="n">
        <v>1200</v>
      </c>
      <c r="G5" s="6" t="n">
        <f aca="false">IF(F5&lt;&gt;0,F5*G$2/(100+G$2)," ")</f>
        <v>200</v>
      </c>
      <c r="H5" s="6" t="n">
        <f aca="false">IF((F5&lt;&gt;0),F5-G5," ")</f>
        <v>1000</v>
      </c>
      <c r="J5" s="6"/>
      <c r="K5" s="6"/>
      <c r="L5" s="7" t="n">
        <f aca="false">IF(F5&lt;&gt;0,F5-K5," ")</f>
        <v>1200</v>
      </c>
      <c r="M5" s="8" t="n">
        <f aca="false">IF((F5-K5)&lt;&gt;0,M$1-A5," ")</f>
        <v>-200</v>
      </c>
      <c r="O5" s="17" t="str">
        <f aca="false">IF((E5="s"),H5," ")</f>
        <v> </v>
      </c>
      <c r="P5" s="17" t="str">
        <f aca="false">IF((E5="c"),H5," ")</f>
        <v> </v>
      </c>
      <c r="Q5" s="17" t="str">
        <f aca="false">IF((E5="o"),H5," ")</f>
        <v> </v>
      </c>
      <c r="R5" s="17" t="str">
        <f aca="false">IF((E5="d"),H5," ")</f>
        <v> </v>
      </c>
      <c r="S5" s="17" t="str">
        <f aca="false">IF((E5="w"),H5," ")</f>
        <v> </v>
      </c>
      <c r="T5" s="17" t="n">
        <f aca="false">IF((E5="r"),H5," ")</f>
        <v>1000</v>
      </c>
      <c r="U5" s="17" t="str">
        <f aca="false">IF((E5="p"),H5," ")</f>
        <v> </v>
      </c>
      <c r="V5" s="17" t="str">
        <f aca="false">IF((E5="t"),H5," ")</f>
        <v> </v>
      </c>
      <c r="W5" s="17" t="str">
        <f aca="false">IF((E5="q"),H5," ")</f>
        <v> </v>
      </c>
      <c r="X5" s="17" t="str">
        <f aca="false">IF((E5="m"),H5," ")</f>
        <v> </v>
      </c>
      <c r="Y5" s="17" t="str">
        <f aca="false">IF((E5="u"),H5," ")</f>
        <v> </v>
      </c>
      <c r="Z5" s="17" t="str">
        <f aca="false">IF((E5="a"),H5," ")</f>
        <v> </v>
      </c>
      <c r="AA5" s="17" t="str">
        <f aca="false">IF((E5="g"),H5," ")</f>
        <v> </v>
      </c>
      <c r="AB5" s="17" t="str">
        <f aca="false">IF((E5="h"),H5," ")</f>
        <v> </v>
      </c>
      <c r="AC5" s="30" t="str">
        <f aca="false">IF((E5="v"),H5," ")</f>
        <v> </v>
      </c>
      <c r="AD5" s="30" t="str">
        <f aca="false">IF((E5="n"),H5," ")</f>
        <v> </v>
      </c>
      <c r="AE5" s="17" t="str">
        <f aca="false">IF((E5="f"),H5," ")</f>
        <v> </v>
      </c>
      <c r="AF5" s="17" t="str">
        <f aca="false">IF((E5="l"),H5," ")</f>
        <v> </v>
      </c>
      <c r="AG5" s="17" t="str">
        <f aca="false">IF((E5="y"),H5," ")</f>
        <v> </v>
      </c>
      <c r="AH5" s="17" t="str">
        <f aca="false">IF((E5="z"),H5," ")</f>
        <v> </v>
      </c>
      <c r="AI5" s="17" t="str">
        <f aca="false">IF((E5="fa"),H5," ")</f>
        <v> </v>
      </c>
      <c r="AJ5" s="17" t="str">
        <f aca="false">IF((E5="e"),H5," ")</f>
        <v> </v>
      </c>
      <c r="AK5" s="17"/>
      <c r="AL5" s="17"/>
      <c r="BZ5" s="5" t="s">
        <v>77</v>
      </c>
    </row>
    <row r="6" customFormat="false" ht="12" hidden="false" customHeight="false" outlineLevel="0" collapsed="false">
      <c r="A6" s="28" t="n">
        <v>46478</v>
      </c>
      <c r="B6" s="2" t="s">
        <v>78</v>
      </c>
      <c r="D6" s="2" t="s">
        <v>79</v>
      </c>
      <c r="E6" s="2" t="s">
        <v>80</v>
      </c>
      <c r="F6" s="30" t="n">
        <v>30</v>
      </c>
      <c r="G6" s="6" t="n">
        <f aca="false">IF(F6&lt;&gt;0,F6*G$2/(100+G$2)," ")</f>
        <v>5</v>
      </c>
      <c r="H6" s="6" t="n">
        <f aca="false">IF((F6&lt;&gt;0),F6-G6," ")</f>
        <v>25</v>
      </c>
      <c r="I6" s="5"/>
      <c r="L6" s="7" t="n">
        <f aca="false">IF(F6&lt;&gt;0,F6-K6," ")</f>
        <v>30</v>
      </c>
      <c r="M6" s="8" t="n">
        <f aca="false">IF((F6-K6)&lt;&gt;0,M$1-A6," ")</f>
        <v>-200</v>
      </c>
      <c r="N6" s="5"/>
      <c r="O6" s="17" t="str">
        <f aca="false">IF((E6="s"),H6," ")</f>
        <v> </v>
      </c>
      <c r="P6" s="17" t="str">
        <f aca="false">IF((E6="c"),H6," ")</f>
        <v> </v>
      </c>
      <c r="Q6" s="17" t="str">
        <f aca="false">IF((E6="o"),H6," ")</f>
        <v> </v>
      </c>
      <c r="R6" s="17" t="str">
        <f aca="false">IF((E6="d"),H6," ")</f>
        <v> </v>
      </c>
      <c r="S6" s="17" t="str">
        <f aca="false">IF((E6="w"),H6," ")</f>
        <v> </v>
      </c>
      <c r="T6" s="17" t="str">
        <f aca="false">IF((E6="r"),H6," ")</f>
        <v> </v>
      </c>
      <c r="U6" s="17" t="str">
        <f aca="false">IF((E6="p"),H6," ")</f>
        <v> </v>
      </c>
      <c r="V6" s="17" t="str">
        <f aca="false">IF((E6="t"),H6," ")</f>
        <v> </v>
      </c>
      <c r="W6" s="17" t="str">
        <f aca="false">IF((E6="q"),H6," ")</f>
        <v> </v>
      </c>
      <c r="X6" s="17" t="str">
        <f aca="false">IF((E6="m"),H6," ")</f>
        <v> </v>
      </c>
      <c r="Y6" s="17" t="str">
        <f aca="false">IF((E6="u"),H6," ")</f>
        <v> </v>
      </c>
      <c r="Z6" s="17" t="str">
        <f aca="false">IF((E6="a"),H6," ")</f>
        <v> </v>
      </c>
      <c r="AA6" s="17" t="n">
        <f aca="false">IF((E6="g"),H6," ")</f>
        <v>25</v>
      </c>
      <c r="AB6" s="17" t="str">
        <f aca="false">IF((E6="h"),H6," ")</f>
        <v> </v>
      </c>
      <c r="AC6" s="30" t="str">
        <f aca="false">IF((E6="v"),H6," ")</f>
        <v> </v>
      </c>
      <c r="AD6" s="30" t="str">
        <f aca="false">IF((E6="n"),H6," ")</f>
        <v> </v>
      </c>
      <c r="AE6" s="17" t="str">
        <f aca="false">IF((E6="f"),H6," ")</f>
        <v> </v>
      </c>
      <c r="AF6" s="17" t="str">
        <f aca="false">IF((E6="l"),H6," ")</f>
        <v> </v>
      </c>
      <c r="AG6" s="17" t="str">
        <f aca="false">IF((E6="y"),H6," ")</f>
        <v> </v>
      </c>
      <c r="AH6" s="17" t="str">
        <f aca="false">IF((E6="z"),H6," ")</f>
        <v> </v>
      </c>
      <c r="AI6" s="17" t="str">
        <f aca="false">IF((E6="fa"),H6," ")</f>
        <v> </v>
      </c>
      <c r="AJ6" s="17" t="str">
        <f aca="false">IF((E6="e"),H6," ")</f>
        <v> </v>
      </c>
      <c r="BZ6" s="2" t="s">
        <v>81</v>
      </c>
    </row>
    <row r="7" customFormat="false" ht="12" hidden="false" customHeight="false" outlineLevel="0" collapsed="false">
      <c r="A7" s="28" t="n">
        <v>46478</v>
      </c>
      <c r="B7" s="2" t="s">
        <v>82</v>
      </c>
      <c r="D7" s="2" t="s">
        <v>83</v>
      </c>
      <c r="E7" s="2" t="s">
        <v>80</v>
      </c>
      <c r="F7" s="30" t="n">
        <v>15</v>
      </c>
      <c r="G7" s="6" t="n">
        <f aca="false">IF(F7&lt;&gt;0,F7*G$2/(100+G$2)," ")</f>
        <v>2.5</v>
      </c>
      <c r="H7" s="6" t="n">
        <f aca="false">IF((F7&lt;&gt;0),F7-G7," ")</f>
        <v>12.5</v>
      </c>
      <c r="I7" s="5"/>
      <c r="L7" s="7" t="n">
        <f aca="false">IF(F7&lt;&gt;0,F7-K7," ")</f>
        <v>15</v>
      </c>
      <c r="M7" s="8" t="n">
        <f aca="false">IF((F7-K7)&lt;&gt;0,M$1-A7," ")</f>
        <v>-200</v>
      </c>
      <c r="N7" s="5"/>
      <c r="O7" s="17" t="str">
        <f aca="false">IF((E7="s"),H7," ")</f>
        <v> </v>
      </c>
      <c r="P7" s="17" t="str">
        <f aca="false">IF((E7="c"),H7," ")</f>
        <v> </v>
      </c>
      <c r="Q7" s="17" t="str">
        <f aca="false">IF((E7="o"),H7," ")</f>
        <v> </v>
      </c>
      <c r="R7" s="17" t="str">
        <f aca="false">IF((E7="d"),H7," ")</f>
        <v> </v>
      </c>
      <c r="S7" s="17" t="str">
        <f aca="false">IF((E7="w"),H7," ")</f>
        <v> </v>
      </c>
      <c r="T7" s="17" t="str">
        <f aca="false">IF((E7="r"),H7," ")</f>
        <v> </v>
      </c>
      <c r="U7" s="17" t="str">
        <f aca="false">IF((E7="p"),H7," ")</f>
        <v> </v>
      </c>
      <c r="V7" s="17" t="str">
        <f aca="false">IF((E7="t"),H7," ")</f>
        <v> </v>
      </c>
      <c r="W7" s="17" t="str">
        <f aca="false">IF((E7="q"),H7," ")</f>
        <v> </v>
      </c>
      <c r="X7" s="17" t="str">
        <f aca="false">IF((E7="m"),H7," ")</f>
        <v> </v>
      </c>
      <c r="Y7" s="17" t="str">
        <f aca="false">IF((E7="u"),H7," ")</f>
        <v> </v>
      </c>
      <c r="Z7" s="17" t="str">
        <f aca="false">IF((E7="a"),H7," ")</f>
        <v> </v>
      </c>
      <c r="AA7" s="17" t="n">
        <f aca="false">IF((E7="g"),H7," ")</f>
        <v>12.5</v>
      </c>
      <c r="AB7" s="17" t="str">
        <f aca="false">IF((E7="h"),H7," ")</f>
        <v> </v>
      </c>
      <c r="AC7" s="30" t="str">
        <f aca="false">IF((E7="v"),H7," ")</f>
        <v> </v>
      </c>
      <c r="AD7" s="30" t="str">
        <f aca="false">IF((E7="n"),H7," ")</f>
        <v> </v>
      </c>
      <c r="AE7" s="17" t="str">
        <f aca="false">IF((E7="f"),H7," ")</f>
        <v> </v>
      </c>
      <c r="AF7" s="17" t="str">
        <f aca="false">IF((E7="l"),H7," ")</f>
        <v> </v>
      </c>
      <c r="AG7" s="17" t="str">
        <f aca="false">IF((E7="y"),H7," ")</f>
        <v> </v>
      </c>
      <c r="AH7" s="17" t="str">
        <f aca="false">IF((E7="z"),H7," ")</f>
        <v> </v>
      </c>
      <c r="AI7" s="17" t="str">
        <f aca="false">IF((E7="fa"),H7," ")</f>
        <v> </v>
      </c>
      <c r="AJ7" s="17" t="str">
        <f aca="false">IF((E7="e"),H7," ")</f>
        <v> </v>
      </c>
      <c r="BZ7" s="2" t="s">
        <v>81</v>
      </c>
    </row>
    <row r="8" customFormat="false" ht="12" hidden="false" customHeight="false" outlineLevel="0" collapsed="false">
      <c r="A8" s="28" t="n">
        <v>46478</v>
      </c>
      <c r="B8" s="2" t="s">
        <v>84</v>
      </c>
      <c r="D8" s="2" t="s">
        <v>85</v>
      </c>
      <c r="E8" s="2" t="s">
        <v>86</v>
      </c>
      <c r="F8" s="30" t="n">
        <v>45</v>
      </c>
      <c r="G8" s="6" t="n">
        <f aca="false">IF(F8&lt;&gt;0,F8*G$2/(100+G$2)," ")</f>
        <v>7.5</v>
      </c>
      <c r="H8" s="6" t="n">
        <f aca="false">IF((F8&lt;&gt;0),F8-G8," ")</f>
        <v>37.5</v>
      </c>
      <c r="I8" s="5"/>
      <c r="L8" s="7" t="n">
        <f aca="false">IF(F8&lt;&gt;0,F8-K8," ")</f>
        <v>45</v>
      </c>
      <c r="M8" s="8" t="n">
        <f aca="false">IF((F8-K8)&lt;&gt;0,M$1-A8," ")</f>
        <v>-200</v>
      </c>
      <c r="N8" s="5"/>
      <c r="O8" s="17" t="str">
        <f aca="false">IF((E8="s"),H8," ")</f>
        <v> </v>
      </c>
      <c r="P8" s="17" t="str">
        <f aca="false">IF((E8="c"),H8," ")</f>
        <v> </v>
      </c>
      <c r="Q8" s="17" t="n">
        <f aca="false">IF((E8="o"),H8," ")</f>
        <v>37.5</v>
      </c>
      <c r="R8" s="17" t="str">
        <f aca="false">IF((E8="d"),H8," ")</f>
        <v> </v>
      </c>
      <c r="S8" s="17" t="str">
        <f aca="false">IF((E8="w"),H8," ")</f>
        <v> </v>
      </c>
      <c r="T8" s="17" t="str">
        <f aca="false">IF((E8="r"),H8," ")</f>
        <v> </v>
      </c>
      <c r="U8" s="17" t="str">
        <f aca="false">IF((E8="p"),H8," ")</f>
        <v> </v>
      </c>
      <c r="V8" s="17" t="str">
        <f aca="false">IF((E8="t"),H8," ")</f>
        <v> </v>
      </c>
      <c r="W8" s="17" t="str">
        <f aca="false">IF((E8="q"),H8," ")</f>
        <v> </v>
      </c>
      <c r="X8" s="17" t="str">
        <f aca="false">IF((E8="m"),H8," ")</f>
        <v> </v>
      </c>
      <c r="Y8" s="17" t="str">
        <f aca="false">IF((E8="u"),H8," ")</f>
        <v> </v>
      </c>
      <c r="Z8" s="17" t="str">
        <f aca="false">IF((E8="a"),H8," ")</f>
        <v> </v>
      </c>
      <c r="AA8" s="17" t="str">
        <f aca="false">IF((E8="g"),H8," ")</f>
        <v> </v>
      </c>
      <c r="AB8" s="17" t="str">
        <f aca="false">IF((E8="h"),H8," ")</f>
        <v> </v>
      </c>
      <c r="AC8" s="30" t="str">
        <f aca="false">IF((E8="v"),H8," ")</f>
        <v> </v>
      </c>
      <c r="AD8" s="30" t="str">
        <f aca="false">IF((E8="n"),H8," ")</f>
        <v> </v>
      </c>
      <c r="AE8" s="17" t="str">
        <f aca="false">IF((E8="f"),H8," ")</f>
        <v> </v>
      </c>
      <c r="AF8" s="17" t="str">
        <f aca="false">IF((E8="l"),H8," ")</f>
        <v> </v>
      </c>
      <c r="AG8" s="17" t="str">
        <f aca="false">IF((E8="y"),H8," ")</f>
        <v> </v>
      </c>
      <c r="AH8" s="17" t="str">
        <f aca="false">IF((E8="z"),H8," ")</f>
        <v> </v>
      </c>
      <c r="AI8" s="17" t="str">
        <f aca="false">IF((E8="fa"),H8," ")</f>
        <v> </v>
      </c>
      <c r="AJ8" s="17" t="str">
        <f aca="false">IF((E8="e"),H8," ")</f>
        <v> </v>
      </c>
      <c r="BZ8" s="2" t="s">
        <v>87</v>
      </c>
    </row>
    <row r="9" customFormat="false" ht="12" hidden="false" customHeight="false" outlineLevel="0" collapsed="false">
      <c r="A9" s="28" t="n">
        <v>46478</v>
      </c>
      <c r="B9" s="2" t="s">
        <v>92</v>
      </c>
      <c r="D9" s="2" t="s">
        <v>93</v>
      </c>
      <c r="E9" s="2" t="s">
        <v>86</v>
      </c>
      <c r="F9" s="30" t="n">
        <v>24</v>
      </c>
      <c r="G9" s="6" t="n">
        <f aca="false">IF(F9&lt;&gt;0,F9*G$2/(100+G$2)," ")</f>
        <v>4</v>
      </c>
      <c r="H9" s="6" t="n">
        <f aca="false">IF((F9&lt;&gt;0),F9-G9," ")</f>
        <v>20</v>
      </c>
      <c r="I9" s="5"/>
      <c r="L9" s="7" t="n">
        <f aca="false">IF(F9&lt;&gt;0,F9-K9," ")</f>
        <v>24</v>
      </c>
      <c r="M9" s="8" t="n">
        <f aca="false">IF((F9-K9)&lt;&gt;0,M$1-A9," ")</f>
        <v>-200</v>
      </c>
      <c r="N9" s="5"/>
      <c r="O9" s="17" t="str">
        <f aca="false">IF((E9="s"),H9," ")</f>
        <v> </v>
      </c>
      <c r="P9" s="17" t="str">
        <f aca="false">IF((E9="c"),H9," ")</f>
        <v> </v>
      </c>
      <c r="Q9" s="17" t="n">
        <f aca="false">IF((E9="o"),H9," ")</f>
        <v>20</v>
      </c>
      <c r="R9" s="17" t="str">
        <f aca="false">IF((E9="d"),H9," ")</f>
        <v> </v>
      </c>
      <c r="S9" s="17" t="str">
        <f aca="false">IF((E9="w"),H9," ")</f>
        <v> </v>
      </c>
      <c r="T9" s="17" t="str">
        <f aca="false">IF((E9="r"),H9," ")</f>
        <v> </v>
      </c>
      <c r="U9" s="17" t="str">
        <f aca="false">IF((E9="p"),H9," ")</f>
        <v> </v>
      </c>
      <c r="V9" s="17" t="str">
        <f aca="false">IF((E9="t"),H9," ")</f>
        <v> </v>
      </c>
      <c r="W9" s="17" t="str">
        <f aca="false">IF((E9="q"),H9," ")</f>
        <v> </v>
      </c>
      <c r="X9" s="17" t="str">
        <f aca="false">IF((E9="m"),H9," ")</f>
        <v> </v>
      </c>
      <c r="Y9" s="17" t="str">
        <f aca="false">IF((E9="u"),H9," ")</f>
        <v> </v>
      </c>
      <c r="Z9" s="17" t="str">
        <f aca="false">IF((E9="a"),H9," ")</f>
        <v> </v>
      </c>
      <c r="AA9" s="17" t="str">
        <f aca="false">IF((E9="g"),H9," ")</f>
        <v> </v>
      </c>
      <c r="AB9" s="17" t="str">
        <f aca="false">IF((E9="h"),H9," ")</f>
        <v> </v>
      </c>
      <c r="AC9" s="30" t="str">
        <f aca="false">IF((E9="v"),H9," ")</f>
        <v> </v>
      </c>
      <c r="AD9" s="30" t="str">
        <f aca="false">IF((E9="n"),H9," ")</f>
        <v> </v>
      </c>
      <c r="AE9" s="17" t="str">
        <f aca="false">IF((E9="f"),H9," ")</f>
        <v> </v>
      </c>
      <c r="AF9" s="17" t="str">
        <f aca="false">IF((E9="l"),H9," ")</f>
        <v> </v>
      </c>
      <c r="AG9" s="17" t="str">
        <f aca="false">IF((E9="y"),H9," ")</f>
        <v> </v>
      </c>
      <c r="AH9" s="17" t="str">
        <f aca="false">IF((E9="z"),H9," ")</f>
        <v> </v>
      </c>
      <c r="AI9" s="17" t="str">
        <f aca="false">IF((E9="fa"),H9," ")</f>
        <v> </v>
      </c>
      <c r="AJ9" s="17" t="str">
        <f aca="false">IF((E9="e"),H9," ")</f>
        <v> </v>
      </c>
      <c r="BZ9" s="2" t="s">
        <v>87</v>
      </c>
    </row>
    <row r="10" customFormat="false" ht="12" hidden="false" customHeight="false" outlineLevel="0" collapsed="false">
      <c r="A10" s="28" t="n">
        <v>46478</v>
      </c>
      <c r="B10" s="2" t="s">
        <v>94</v>
      </c>
      <c r="D10" s="2" t="s">
        <v>95</v>
      </c>
      <c r="E10" s="2" t="s">
        <v>80</v>
      </c>
      <c r="F10" s="30" t="n">
        <v>18</v>
      </c>
      <c r="G10" s="6" t="n">
        <f aca="false">IF(F10&lt;&gt;0,F10*G$2/(100+G$2)," ")</f>
        <v>3</v>
      </c>
      <c r="H10" s="6" t="n">
        <f aca="false">IF((F10&lt;&gt;0),F10-G10," ")</f>
        <v>15</v>
      </c>
      <c r="I10" s="5"/>
      <c r="L10" s="7" t="n">
        <f aca="false">IF(F10&lt;&gt;0,F10-K10," ")</f>
        <v>18</v>
      </c>
      <c r="M10" s="8" t="n">
        <f aca="false">IF((F10-K10)&lt;&gt;0,M$1-A10," ")</f>
        <v>-200</v>
      </c>
      <c r="N10" s="5"/>
      <c r="O10" s="17" t="str">
        <f aca="false">IF((E10="s"),H10," ")</f>
        <v> </v>
      </c>
      <c r="P10" s="17" t="str">
        <f aca="false">IF((E10="c"),H10," ")</f>
        <v> </v>
      </c>
      <c r="Q10" s="17" t="str">
        <f aca="false">IF((E10="o"),H10," ")</f>
        <v> </v>
      </c>
      <c r="R10" s="17" t="str">
        <f aca="false">IF((E10="d"),H10," ")</f>
        <v> </v>
      </c>
      <c r="S10" s="17" t="str">
        <f aca="false">IF((E10="w"),H10," ")</f>
        <v> </v>
      </c>
      <c r="T10" s="17" t="str">
        <f aca="false">IF((E10="r"),H10," ")</f>
        <v> </v>
      </c>
      <c r="U10" s="17" t="str">
        <f aca="false">IF((E10="p"),H10," ")</f>
        <v> </v>
      </c>
      <c r="V10" s="17" t="str">
        <f aca="false">IF((E10="t"),H10," ")</f>
        <v> </v>
      </c>
      <c r="W10" s="17" t="str">
        <f aca="false">IF((E10="q"),H10," ")</f>
        <v> </v>
      </c>
      <c r="X10" s="17" t="str">
        <f aca="false">IF((E10="m"),H10," ")</f>
        <v> </v>
      </c>
      <c r="Y10" s="17" t="str">
        <f aca="false">IF((E10="u"),H10," ")</f>
        <v> </v>
      </c>
      <c r="Z10" s="17" t="str">
        <f aca="false">IF((E10="a"),H10," ")</f>
        <v> </v>
      </c>
      <c r="AA10" s="17" t="n">
        <f aca="false">IF((E10="g"),H10," ")</f>
        <v>15</v>
      </c>
      <c r="AB10" s="17" t="str">
        <f aca="false">IF((E10="h"),H10," ")</f>
        <v> </v>
      </c>
      <c r="AC10" s="30" t="str">
        <f aca="false">IF((E10="v"),H10," ")</f>
        <v> </v>
      </c>
      <c r="AD10" s="30" t="str">
        <f aca="false">IF((E10="n"),H10," ")</f>
        <v> </v>
      </c>
      <c r="AE10" s="17" t="str">
        <f aca="false">IF((E10="f"),H10," ")</f>
        <v> </v>
      </c>
      <c r="AF10" s="17" t="str">
        <f aca="false">IF((E10="l"),H10," ")</f>
        <v> </v>
      </c>
      <c r="AG10" s="17" t="str">
        <f aca="false">IF((E10="y"),H10," ")</f>
        <v> </v>
      </c>
      <c r="AH10" s="17" t="str">
        <f aca="false">IF((E10="z"),H10," ")</f>
        <v> </v>
      </c>
      <c r="AI10" s="17" t="str">
        <f aca="false">IF((E10="fa"),H10," ")</f>
        <v> </v>
      </c>
      <c r="AJ10" s="17" t="str">
        <f aca="false">IF((E10="e"),H10," ")</f>
        <v> </v>
      </c>
      <c r="BZ10" s="2" t="s">
        <v>81</v>
      </c>
    </row>
    <row r="11" customFormat="false" ht="12" hidden="false" customHeight="false" outlineLevel="0" collapsed="false">
      <c r="A11" s="28" t="n">
        <v>46480</v>
      </c>
      <c r="B11" s="2" t="s">
        <v>96</v>
      </c>
      <c r="D11" s="2" t="s">
        <v>97</v>
      </c>
      <c r="E11" s="2" t="s">
        <v>86</v>
      </c>
      <c r="F11" s="30" t="n">
        <v>180</v>
      </c>
      <c r="G11" s="6" t="n">
        <f aca="false">IF(F11&lt;&gt;0,F11*G$2/(100+G$2)," ")</f>
        <v>30</v>
      </c>
      <c r="H11" s="6" t="n">
        <f aca="false">IF((F11&lt;&gt;0),F11-G11," ")</f>
        <v>150</v>
      </c>
      <c r="I11" s="5"/>
      <c r="L11" s="7" t="n">
        <f aca="false">IF(F11&lt;&gt;0,F11-K11," ")</f>
        <v>180</v>
      </c>
      <c r="M11" s="8" t="n">
        <f aca="false">IF((F11-K11)&lt;&gt;0,M$1-A11," ")</f>
        <v>-202</v>
      </c>
      <c r="N11" s="5"/>
      <c r="O11" s="17" t="str">
        <f aca="false">IF((E11="s"),H11," ")</f>
        <v> </v>
      </c>
      <c r="P11" s="17" t="str">
        <f aca="false">IF((E11="c"),H11," ")</f>
        <v> </v>
      </c>
      <c r="Q11" s="17" t="n">
        <f aca="false">IF((E11="o"),H11," ")</f>
        <v>150</v>
      </c>
      <c r="R11" s="17" t="str">
        <f aca="false">IF((E11="d"),H11," ")</f>
        <v> </v>
      </c>
      <c r="S11" s="17" t="str">
        <f aca="false">IF((E11="w"),H11," ")</f>
        <v> </v>
      </c>
      <c r="T11" s="17" t="str">
        <f aca="false">IF((E11="r"),H11," ")</f>
        <v> </v>
      </c>
      <c r="U11" s="17" t="str">
        <f aca="false">IF((E11="p"),H11," ")</f>
        <v> </v>
      </c>
      <c r="V11" s="17" t="str">
        <f aca="false">IF((E11="t"),H11," ")</f>
        <v> </v>
      </c>
      <c r="W11" s="17" t="str">
        <f aca="false">IF((E11="q"),H11," ")</f>
        <v> </v>
      </c>
      <c r="X11" s="17" t="str">
        <f aca="false">IF((E11="m"),H11," ")</f>
        <v> </v>
      </c>
      <c r="Y11" s="17" t="str">
        <f aca="false">IF((E11="u"),H11," ")</f>
        <v> </v>
      </c>
      <c r="Z11" s="17" t="str">
        <f aca="false">IF((E11="a"),H11," ")</f>
        <v> </v>
      </c>
      <c r="AA11" s="17" t="str">
        <f aca="false">IF((E11="g"),H11," ")</f>
        <v> </v>
      </c>
      <c r="AB11" s="17" t="str">
        <f aca="false">IF((E11="h"),H11," ")</f>
        <v> </v>
      </c>
      <c r="AC11" s="30" t="str">
        <f aca="false">IF((E11="v"),H11," ")</f>
        <v> </v>
      </c>
      <c r="AD11" s="30" t="str">
        <f aca="false">IF((E11="n"),H11," ")</f>
        <v> </v>
      </c>
      <c r="AE11" s="17" t="str">
        <f aca="false">IF((E11="f"),H11," ")</f>
        <v> </v>
      </c>
      <c r="AF11" s="17" t="str">
        <f aca="false">IF((E11="l"),H11," ")</f>
        <v> </v>
      </c>
      <c r="AG11" s="17" t="str">
        <f aca="false">IF((E11="y"),H11," ")</f>
        <v> </v>
      </c>
      <c r="AH11" s="17" t="str">
        <f aca="false">IF((E11="z"),H11," ")</f>
        <v> </v>
      </c>
      <c r="AI11" s="17" t="str">
        <f aca="false">IF((E11="fa"),H11," ")</f>
        <v> </v>
      </c>
      <c r="AJ11" s="17" t="str">
        <f aca="false">IF((E11="e"),H11," ")</f>
        <v> </v>
      </c>
      <c r="BZ11" s="2" t="s">
        <v>87</v>
      </c>
    </row>
    <row r="12" customFormat="false" ht="12" hidden="false" customHeight="false" outlineLevel="0" collapsed="false">
      <c r="A12" s="28" t="n">
        <v>46480</v>
      </c>
      <c r="B12" s="2" t="s">
        <v>98</v>
      </c>
      <c r="D12" s="2" t="s">
        <v>99</v>
      </c>
      <c r="E12" s="2" t="s">
        <v>100</v>
      </c>
      <c r="F12" s="30" t="n">
        <v>22</v>
      </c>
      <c r="G12" s="6" t="n">
        <f aca="false">IF(F12&lt;&gt;0,F12*G$2/(100+G$2)," ")</f>
        <v>3.66666666666667</v>
      </c>
      <c r="H12" s="6" t="n">
        <f aca="false">IF((F12&lt;&gt;0),F12-G12," ")</f>
        <v>18.3333333333333</v>
      </c>
      <c r="I12" s="5"/>
      <c r="L12" s="7" t="n">
        <f aca="false">IF(F12&lt;&gt;0,F12-K12," ")</f>
        <v>22</v>
      </c>
      <c r="M12" s="8" t="n">
        <f aca="false">IF((F12-K12)&lt;&gt;0,M$1-A12," ")</f>
        <v>-202</v>
      </c>
      <c r="N12" s="5"/>
      <c r="O12" s="17" t="str">
        <f aca="false">IF((E12="s"),H12," ")</f>
        <v> </v>
      </c>
      <c r="P12" s="17" t="str">
        <f aca="false">IF((E12="c"),H12," ")</f>
        <v> </v>
      </c>
      <c r="Q12" s="17" t="str">
        <f aca="false">IF((E12="o"),H12," ")</f>
        <v> </v>
      </c>
      <c r="R12" s="17" t="str">
        <f aca="false">IF((E12="d"),H12," ")</f>
        <v> </v>
      </c>
      <c r="S12" s="17" t="str">
        <f aca="false">IF((E12="w"),H12," ")</f>
        <v> </v>
      </c>
      <c r="T12" s="17" t="str">
        <f aca="false">IF((E12="r"),H12," ")</f>
        <v> </v>
      </c>
      <c r="U12" s="17" t="str">
        <f aca="false">IF((E12="p"),H12," ")</f>
        <v> </v>
      </c>
      <c r="V12" s="17" t="str">
        <f aca="false">IF((E12="t"),H12," ")</f>
        <v> </v>
      </c>
      <c r="W12" s="17" t="str">
        <f aca="false">IF((E12="q"),H12," ")</f>
        <v> </v>
      </c>
      <c r="X12" s="17" t="str">
        <f aca="false">IF((E12="m"),H12," ")</f>
        <v> </v>
      </c>
      <c r="Y12" s="17" t="n">
        <f aca="false">IF((E12="u"),H12," ")</f>
        <v>18.3333333333333</v>
      </c>
      <c r="Z12" s="17" t="str">
        <f aca="false">IF((E12="a"),H12," ")</f>
        <v> </v>
      </c>
      <c r="AA12" s="17" t="str">
        <f aca="false">IF((E12="g"),H12," ")</f>
        <v> </v>
      </c>
      <c r="AB12" s="17" t="str">
        <f aca="false">IF((E12="h"),H12," ")</f>
        <v> </v>
      </c>
      <c r="AC12" s="30" t="str">
        <f aca="false">IF((E12="v"),H12," ")</f>
        <v> </v>
      </c>
      <c r="AD12" s="30" t="str">
        <f aca="false">IF((E12="n"),H12," ")</f>
        <v> </v>
      </c>
      <c r="AE12" s="17" t="str">
        <f aca="false">IF((E12="f"),H12," ")</f>
        <v> </v>
      </c>
      <c r="AF12" s="17" t="str">
        <f aca="false">IF((E12="l"),H12," ")</f>
        <v> </v>
      </c>
      <c r="AG12" s="17" t="str">
        <f aca="false">IF((E12="y"),H12," ")</f>
        <v> </v>
      </c>
      <c r="AH12" s="17" t="str">
        <f aca="false">IF((E12="z"),H12," ")</f>
        <v> </v>
      </c>
      <c r="AI12" s="17" t="str">
        <f aca="false">IF((E12="fa"),H12," ")</f>
        <v> </v>
      </c>
      <c r="AJ12" s="17" t="str">
        <f aca="false">IF((E12="e"),H12," ")</f>
        <v> </v>
      </c>
      <c r="BZ12" s="2" t="s">
        <v>101</v>
      </c>
    </row>
    <row r="13" customFormat="false" ht="12" hidden="false" customHeight="false" outlineLevel="0" collapsed="false">
      <c r="A13" s="28" t="n">
        <v>46482</v>
      </c>
      <c r="B13" s="2" t="s">
        <v>102</v>
      </c>
      <c r="D13" s="2" t="s">
        <v>103</v>
      </c>
      <c r="E13" s="2" t="s">
        <v>100</v>
      </c>
      <c r="F13" s="30" t="n">
        <v>24</v>
      </c>
      <c r="G13" s="6" t="n">
        <f aca="false">IF(F13&lt;&gt;0,F13*G$2/(100+G$2)," ")</f>
        <v>4</v>
      </c>
      <c r="H13" s="6" t="n">
        <f aca="false">IF((F13&lt;&gt;0),F13-G13," ")</f>
        <v>20</v>
      </c>
      <c r="I13" s="5"/>
      <c r="L13" s="7" t="n">
        <f aca="false">IF(F13&lt;&gt;0,F13-K13," ")</f>
        <v>24</v>
      </c>
      <c r="M13" s="8" t="n">
        <f aca="false">IF((F13-K13)&lt;&gt;0,M$1-A13," ")</f>
        <v>-204</v>
      </c>
      <c r="N13" s="5"/>
      <c r="O13" s="17" t="str">
        <f aca="false">IF((E13="s"),H13," ")</f>
        <v> </v>
      </c>
      <c r="P13" s="17" t="str">
        <f aca="false">IF((E13="c"),H13," ")</f>
        <v> </v>
      </c>
      <c r="Q13" s="17" t="str">
        <f aca="false">IF((E13="o"),H13," ")</f>
        <v> </v>
      </c>
      <c r="R13" s="17" t="str">
        <f aca="false">IF((E13="d"),H13," ")</f>
        <v> </v>
      </c>
      <c r="S13" s="17" t="str">
        <f aca="false">IF((E13="w"),H13," ")</f>
        <v> </v>
      </c>
      <c r="T13" s="17" t="str">
        <f aca="false">IF((E13="r"),H13," ")</f>
        <v> </v>
      </c>
      <c r="U13" s="17" t="str">
        <f aca="false">IF((E13="p"),H13," ")</f>
        <v> </v>
      </c>
      <c r="V13" s="17" t="str">
        <f aca="false">IF((E13="t"),H13," ")</f>
        <v> </v>
      </c>
      <c r="W13" s="17" t="str">
        <f aca="false">IF((E13="q"),H13," ")</f>
        <v> </v>
      </c>
      <c r="X13" s="17" t="str">
        <f aca="false">IF((E13="m"),H13," ")</f>
        <v> </v>
      </c>
      <c r="Y13" s="17" t="n">
        <f aca="false">IF((E13="u"),H13," ")</f>
        <v>20</v>
      </c>
      <c r="Z13" s="17" t="str">
        <f aca="false">IF((E13="a"),H13," ")</f>
        <v> </v>
      </c>
      <c r="AA13" s="17" t="str">
        <f aca="false">IF((E13="g"),H13," ")</f>
        <v> </v>
      </c>
      <c r="AB13" s="17" t="str">
        <f aca="false">IF((E13="h"),H13," ")</f>
        <v> </v>
      </c>
      <c r="AC13" s="30" t="str">
        <f aca="false">IF((E13="v"),H13," ")</f>
        <v> </v>
      </c>
      <c r="AD13" s="30" t="str">
        <f aca="false">IF((E13="n"),H13," ")</f>
        <v> </v>
      </c>
      <c r="AE13" s="17" t="str">
        <f aca="false">IF((E13="f"),H13," ")</f>
        <v> </v>
      </c>
      <c r="AF13" s="17" t="str">
        <f aca="false">IF((E13="l"),H13," ")</f>
        <v> </v>
      </c>
      <c r="AG13" s="17" t="str">
        <f aca="false">IF((E13="y"),H13," ")</f>
        <v> </v>
      </c>
      <c r="AH13" s="17" t="str">
        <f aca="false">IF((E13="z"),H13," ")</f>
        <v> </v>
      </c>
      <c r="AI13" s="17" t="str">
        <f aca="false">IF((E13="fa"),H13," ")</f>
        <v> </v>
      </c>
      <c r="AJ13" s="17" t="str">
        <f aca="false">IF((E13="e"),H13," ")</f>
        <v> </v>
      </c>
      <c r="BZ13" s="2" t="s">
        <v>101</v>
      </c>
    </row>
    <row r="14" customFormat="false" ht="12" hidden="false" customHeight="false" outlineLevel="0" collapsed="false">
      <c r="A14" s="28" t="n">
        <v>46482</v>
      </c>
      <c r="B14" s="2" t="s">
        <v>104</v>
      </c>
      <c r="D14" s="2" t="s">
        <v>105</v>
      </c>
      <c r="E14" s="2" t="s">
        <v>106</v>
      </c>
      <c r="F14" s="30" t="n">
        <v>180</v>
      </c>
      <c r="G14" s="6" t="n">
        <f aca="false">IF(F14&lt;&gt;0,F14*G$2/(100+G$2)," ")</f>
        <v>30</v>
      </c>
      <c r="H14" s="6" t="n">
        <f aca="false">IF((F14&lt;&gt;0),F14-G14," ")</f>
        <v>150</v>
      </c>
      <c r="I14" s="5"/>
      <c r="L14" s="7" t="n">
        <f aca="false">IF(F14&lt;&gt;0,F14-K14," ")</f>
        <v>180</v>
      </c>
      <c r="M14" s="8" t="n">
        <f aca="false">IF((F14-K14)&lt;&gt;0,M$1-A14," ")</f>
        <v>-204</v>
      </c>
      <c r="N14" s="5"/>
      <c r="O14" s="17" t="str">
        <f aca="false">IF((E14="s"),H14," ")</f>
        <v> </v>
      </c>
      <c r="P14" s="17" t="str">
        <f aca="false">IF((E14="c"),H14," ")</f>
        <v> </v>
      </c>
      <c r="Q14" s="17" t="str">
        <f aca="false">IF((E14="o"),H14," ")</f>
        <v> </v>
      </c>
      <c r="R14" s="17" t="str">
        <f aca="false">IF((E14="d"),H14," ")</f>
        <v> </v>
      </c>
      <c r="S14" s="17" t="str">
        <f aca="false">IF((E14="w"),H14," ")</f>
        <v> </v>
      </c>
      <c r="T14" s="17" t="str">
        <f aca="false">IF((E14="r"),H14," ")</f>
        <v> </v>
      </c>
      <c r="U14" s="17" t="str">
        <f aca="false">IF((E14="p"),H14," ")</f>
        <v> </v>
      </c>
      <c r="V14" s="17" t="str">
        <f aca="false">IF((E14="t"),H14," ")</f>
        <v> </v>
      </c>
      <c r="W14" s="17" t="str">
        <f aca="false">IF((E14="q"),H14," ")</f>
        <v> </v>
      </c>
      <c r="X14" s="17" t="str">
        <f aca="false">IF((E14="m"),H14," ")</f>
        <v> </v>
      </c>
      <c r="Y14" s="17" t="str">
        <f aca="false">IF((E14="u"),H14," ")</f>
        <v> </v>
      </c>
      <c r="Z14" s="17" t="str">
        <f aca="false">IF((E14="a"),H14," ")</f>
        <v> </v>
      </c>
      <c r="AA14" s="17" t="str">
        <f aca="false">IF((E14="g"),H14," ")</f>
        <v> </v>
      </c>
      <c r="AB14" s="17" t="str">
        <f aca="false">IF((E14="h"),H14," ")</f>
        <v> </v>
      </c>
      <c r="AC14" s="30" t="n">
        <f aca="false">IF((E14="v"),H14," ")</f>
        <v>150</v>
      </c>
      <c r="AD14" s="30" t="str">
        <f aca="false">IF((E14="n"),H14," ")</f>
        <v> </v>
      </c>
      <c r="AE14" s="17" t="str">
        <f aca="false">IF((E14="f"),H14," ")</f>
        <v> </v>
      </c>
      <c r="AF14" s="17" t="str">
        <f aca="false">IF((E14="l"),H14," ")</f>
        <v> </v>
      </c>
      <c r="AG14" s="17" t="str">
        <f aca="false">IF((E14="y"),H14," ")</f>
        <v> </v>
      </c>
      <c r="AH14" s="17" t="str">
        <f aca="false">IF((E14="z"),H14," ")</f>
        <v> </v>
      </c>
      <c r="AI14" s="17" t="str">
        <f aca="false">IF((E14="fa"),H14," ")</f>
        <v> </v>
      </c>
      <c r="AJ14" s="17" t="str">
        <f aca="false">IF((E14="e"),H14," ")</f>
        <v> </v>
      </c>
      <c r="BZ14" s="2" t="s">
        <v>107</v>
      </c>
    </row>
    <row r="15" customFormat="false" ht="12" hidden="false" customHeight="false" outlineLevel="0" collapsed="false">
      <c r="A15" s="28" t="n">
        <v>46485</v>
      </c>
      <c r="B15" s="2" t="s">
        <v>110</v>
      </c>
      <c r="D15" s="2" t="s">
        <v>111</v>
      </c>
      <c r="E15" s="2" t="s">
        <v>112</v>
      </c>
      <c r="F15" s="30" t="n">
        <v>48</v>
      </c>
      <c r="G15" s="6" t="n">
        <f aca="false">IF(F15&lt;&gt;0,F15*G$2/(100+G$2)," ")</f>
        <v>8</v>
      </c>
      <c r="H15" s="6" t="n">
        <f aca="false">IF((F15&lt;&gt;0),F15-G15," ")</f>
        <v>40</v>
      </c>
      <c r="I15" s="5"/>
      <c r="L15" s="7" t="n">
        <f aca="false">IF(F15&lt;&gt;0,F15-K15," ")</f>
        <v>48</v>
      </c>
      <c r="M15" s="8" t="n">
        <f aca="false">IF((F15-K15)&lt;&gt;0,M$1-A15," ")</f>
        <v>-207</v>
      </c>
      <c r="N15" s="5"/>
      <c r="O15" s="17" t="str">
        <f aca="false">IF((E15="s"),H15," ")</f>
        <v> </v>
      </c>
      <c r="P15" s="17" t="str">
        <f aca="false">IF((E15="c"),H15," ")</f>
        <v> </v>
      </c>
      <c r="Q15" s="17" t="str">
        <f aca="false">IF((E15="o"),H15," ")</f>
        <v> </v>
      </c>
      <c r="R15" s="17" t="str">
        <f aca="false">IF((E15="d"),H15," ")</f>
        <v> </v>
      </c>
      <c r="S15" s="17" t="str">
        <f aca="false">IF((E15="w"),H15," ")</f>
        <v> </v>
      </c>
      <c r="T15" s="17" t="str">
        <f aca="false">IF((E15="r"),H15," ")</f>
        <v> </v>
      </c>
      <c r="U15" s="17" t="str">
        <f aca="false">IF((E15="p"),H15," ")</f>
        <v> </v>
      </c>
      <c r="V15" s="17" t="str">
        <f aca="false">IF((E15="t"),H15," ")</f>
        <v> </v>
      </c>
      <c r="W15" s="17" t="str">
        <f aca="false">IF((E15="q"),H15," ")</f>
        <v> </v>
      </c>
      <c r="X15" s="17" t="str">
        <f aca="false">IF((E15="m"),H15," ")</f>
        <v> </v>
      </c>
      <c r="Y15" s="17" t="str">
        <f aca="false">IF((E15="u"),H15," ")</f>
        <v> </v>
      </c>
      <c r="Z15" s="17" t="str">
        <f aca="false">IF((E15="a"),H15," ")</f>
        <v> </v>
      </c>
      <c r="AA15" s="17" t="str">
        <f aca="false">IF((E15="g"),H15," ")</f>
        <v> </v>
      </c>
      <c r="AB15" s="17" t="n">
        <f aca="false">IF((E15="h"),H15," ")</f>
        <v>40</v>
      </c>
      <c r="AC15" s="30" t="str">
        <f aca="false">IF((E15="v"),H15," ")</f>
        <v> </v>
      </c>
      <c r="AD15" s="30" t="str">
        <f aca="false">IF((E15="n"),H15," ")</f>
        <v> </v>
      </c>
      <c r="AE15" s="17" t="str">
        <f aca="false">IF((E15="f"),H15," ")</f>
        <v> </v>
      </c>
      <c r="AF15" s="17" t="str">
        <f aca="false">IF((E15="l"),H15," ")</f>
        <v> </v>
      </c>
      <c r="AG15" s="17" t="str">
        <f aca="false">IF((E15="y"),H15," ")</f>
        <v> </v>
      </c>
      <c r="AH15" s="17" t="str">
        <f aca="false">IF((E15="z"),H15," ")</f>
        <v> </v>
      </c>
      <c r="AI15" s="17" t="str">
        <f aca="false">IF((E15="fa"),H15," ")</f>
        <v> </v>
      </c>
      <c r="AJ15" s="17" t="str">
        <f aca="false">IF((E15="e"),H15," ")</f>
        <v> </v>
      </c>
      <c r="BZ15" s="2" t="s">
        <v>113</v>
      </c>
    </row>
    <row r="16" customFormat="false" ht="12" hidden="false" customHeight="false" outlineLevel="0" collapsed="false">
      <c r="A16" s="28" t="n">
        <v>46485</v>
      </c>
      <c r="B16" s="2" t="s">
        <v>155</v>
      </c>
      <c r="D16" s="2" t="s">
        <v>156</v>
      </c>
      <c r="E16" s="2" t="s">
        <v>157</v>
      </c>
      <c r="F16" s="30" t="n">
        <v>360</v>
      </c>
      <c r="G16" s="6" t="n">
        <f aca="false">IF(F16&lt;&gt;0,F16*G$2/(100+G$2)," ")</f>
        <v>60</v>
      </c>
      <c r="H16" s="6" t="n">
        <f aca="false">IF((F16&lt;&gt;0),F16-G16," ")</f>
        <v>300</v>
      </c>
      <c r="I16" s="5"/>
      <c r="L16" s="7" t="n">
        <f aca="false">IF(F16&lt;&gt;0,F16-K16," ")</f>
        <v>360</v>
      </c>
      <c r="M16" s="8" t="n">
        <f aca="false">IF((F16-K16)&lt;&gt;0,M$1-A16," ")</f>
        <v>-207</v>
      </c>
      <c r="N16" s="5"/>
      <c r="O16" s="17" t="str">
        <f aca="false">IF((E16="s"),H16," ")</f>
        <v> </v>
      </c>
      <c r="P16" s="17" t="str">
        <f aca="false">IF((E16="c"),H16," ")</f>
        <v> </v>
      </c>
      <c r="Q16" s="17" t="str">
        <f aca="false">IF((E16="o"),H16," ")</f>
        <v> </v>
      </c>
      <c r="R16" s="17" t="str">
        <f aca="false">IF((E16="d"),H16," ")</f>
        <v> </v>
      </c>
      <c r="S16" s="17" t="str">
        <f aca="false">IF((E16="w"),H16," ")</f>
        <v> </v>
      </c>
      <c r="T16" s="17" t="str">
        <f aca="false">IF((E16="r"),H16," ")</f>
        <v> </v>
      </c>
      <c r="U16" s="17" t="str">
        <f aca="false">IF((E16="p"),H16," ")</f>
        <v> </v>
      </c>
      <c r="V16" s="17" t="str">
        <f aca="false">IF((E16="t"),H16," ")</f>
        <v> </v>
      </c>
      <c r="W16" s="17" t="n">
        <f aca="false">IF((E16="q"),H16," ")</f>
        <v>300</v>
      </c>
      <c r="X16" s="17" t="str">
        <f aca="false">IF((E16="m"),H16," ")</f>
        <v> </v>
      </c>
      <c r="Y16" s="17" t="str">
        <f aca="false">IF((E16="u"),H16," ")</f>
        <v> </v>
      </c>
      <c r="Z16" s="17" t="str">
        <f aca="false">IF((E16="a"),H16," ")</f>
        <v> </v>
      </c>
      <c r="AA16" s="17" t="str">
        <f aca="false">IF((E16="g"),H16," ")</f>
        <v> </v>
      </c>
      <c r="AB16" s="17" t="str">
        <f aca="false">IF((E16="h"),H16," ")</f>
        <v> </v>
      </c>
      <c r="AC16" s="30" t="str">
        <f aca="false">IF((E16="v"),H16," ")</f>
        <v> </v>
      </c>
      <c r="AD16" s="30" t="str">
        <f aca="false">IF((E16="n"),H16," ")</f>
        <v> </v>
      </c>
      <c r="AE16" s="17" t="str">
        <f aca="false">IF((E16="f"),H16," ")</f>
        <v> </v>
      </c>
      <c r="AF16" s="17" t="str">
        <f aca="false">IF((E16="l"),H16," ")</f>
        <v> </v>
      </c>
      <c r="AG16" s="17" t="str">
        <f aca="false">IF((E16="y"),H16," ")</f>
        <v> </v>
      </c>
      <c r="AH16" s="17" t="str">
        <f aca="false">IF((E16="z"),H16," ")</f>
        <v> </v>
      </c>
      <c r="AI16" s="17" t="str">
        <f aca="false">IF((E16="fa"),H16," ")</f>
        <v> </v>
      </c>
      <c r="AJ16" s="17" t="str">
        <f aca="false">IF((E16="e"),H16," ")</f>
        <v> </v>
      </c>
      <c r="BZ16" s="2" t="s">
        <v>158</v>
      </c>
    </row>
    <row r="17" customFormat="false" ht="12" hidden="false" customHeight="false" outlineLevel="0" collapsed="false">
      <c r="A17" s="28" t="n">
        <v>46487</v>
      </c>
      <c r="B17" s="2" t="s">
        <v>114</v>
      </c>
      <c r="D17" s="2" t="s">
        <v>115</v>
      </c>
      <c r="E17" s="2" t="s">
        <v>100</v>
      </c>
      <c r="F17" s="30" t="n">
        <v>36</v>
      </c>
      <c r="G17" s="6" t="n">
        <f aca="false">IF(F17&lt;&gt;0,F17*G$2/(100+G$2)," ")</f>
        <v>6</v>
      </c>
      <c r="H17" s="6" t="n">
        <f aca="false">IF((F17&lt;&gt;0),F17-G17," ")</f>
        <v>30</v>
      </c>
      <c r="I17" s="5"/>
      <c r="L17" s="7" t="n">
        <f aca="false">IF(F17&lt;&gt;0,F17-K17," ")</f>
        <v>36</v>
      </c>
      <c r="M17" s="8" t="n">
        <f aca="false">IF((F17-K17)&lt;&gt;0,M$1-A17," ")</f>
        <v>-209</v>
      </c>
      <c r="N17" s="5"/>
      <c r="O17" s="17" t="str">
        <f aca="false">IF((E17="s"),H17," ")</f>
        <v> </v>
      </c>
      <c r="P17" s="17" t="str">
        <f aca="false">IF((E17="c"),H17," ")</f>
        <v> </v>
      </c>
      <c r="Q17" s="17" t="str">
        <f aca="false">IF((E17="o"),H17," ")</f>
        <v> </v>
      </c>
      <c r="R17" s="17" t="str">
        <f aca="false">IF((E17="d"),H17," ")</f>
        <v> </v>
      </c>
      <c r="S17" s="17" t="str">
        <f aca="false">IF((E17="w"),H17," ")</f>
        <v> </v>
      </c>
      <c r="T17" s="17" t="str">
        <f aca="false">IF((E17="r"),H17," ")</f>
        <v> </v>
      </c>
      <c r="U17" s="17" t="str">
        <f aca="false">IF((E17="p"),H17," ")</f>
        <v> </v>
      </c>
      <c r="V17" s="17" t="str">
        <f aca="false">IF((E17="t"),H17," ")</f>
        <v> </v>
      </c>
      <c r="W17" s="17" t="str">
        <f aca="false">IF((E17="q"),H17," ")</f>
        <v> </v>
      </c>
      <c r="X17" s="17" t="str">
        <f aca="false">IF((E17="m"),H17," ")</f>
        <v> </v>
      </c>
      <c r="Y17" s="17" t="n">
        <f aca="false">IF((E17="u"),H17," ")</f>
        <v>30</v>
      </c>
      <c r="Z17" s="17" t="str">
        <f aca="false">IF((E17="a"),H17," ")</f>
        <v> </v>
      </c>
      <c r="AA17" s="17" t="str">
        <f aca="false">IF((E17="g"),H17," ")</f>
        <v> </v>
      </c>
      <c r="AB17" s="17" t="str">
        <f aca="false">IF((E17="h"),H17," ")</f>
        <v> </v>
      </c>
      <c r="AC17" s="30" t="str">
        <f aca="false">IF((E17="v"),H17," ")</f>
        <v> </v>
      </c>
      <c r="AD17" s="30" t="str">
        <f aca="false">IF((E17="n"),H17," ")</f>
        <v> </v>
      </c>
      <c r="AE17" s="17" t="str">
        <f aca="false">IF((E17="f"),H17," ")</f>
        <v> </v>
      </c>
      <c r="AF17" s="17" t="str">
        <f aca="false">IF((E17="l"),H17," ")</f>
        <v> </v>
      </c>
      <c r="AG17" s="17" t="str">
        <f aca="false">IF((E17="y"),H17," ")</f>
        <v> </v>
      </c>
      <c r="AH17" s="17" t="str">
        <f aca="false">IF((E17="z"),H17," ")</f>
        <v> </v>
      </c>
      <c r="AI17" s="17" t="str">
        <f aca="false">IF((E17="fa"),H17," ")</f>
        <v> </v>
      </c>
      <c r="AJ17" s="17" t="str">
        <f aca="false">IF((E17="e"),H17," ")</f>
        <v> </v>
      </c>
      <c r="BZ17" s="2" t="s">
        <v>101</v>
      </c>
    </row>
    <row r="18" customFormat="false" ht="12" hidden="false" customHeight="false" outlineLevel="0" collapsed="false">
      <c r="A18" s="28" t="n">
        <v>46487</v>
      </c>
      <c r="B18" s="2" t="s">
        <v>132</v>
      </c>
      <c r="D18" s="2" t="s">
        <v>228</v>
      </c>
      <c r="E18" s="2" t="s">
        <v>174</v>
      </c>
      <c r="F18" s="30" t="n">
        <v>96</v>
      </c>
      <c r="G18" s="6" t="n">
        <f aca="false">IF(F18&lt;&gt;0,F18*G$2/(100+G$2)," ")</f>
        <v>16</v>
      </c>
      <c r="H18" s="6" t="n">
        <f aca="false">IF((F18&lt;&gt;0),F18-G18," ")</f>
        <v>80</v>
      </c>
      <c r="I18" s="5"/>
      <c r="L18" s="7" t="n">
        <f aca="false">IF(F18&lt;&gt;0,F18-K18," ")</f>
        <v>96</v>
      </c>
      <c r="M18" s="8" t="n">
        <f aca="false">IF((F18-K18)&lt;&gt;0,M$1-A18," ")</f>
        <v>-209</v>
      </c>
      <c r="N18" s="5"/>
      <c r="O18" s="17" t="str">
        <f aca="false">IF((E18="s"),H18," ")</f>
        <v> </v>
      </c>
      <c r="P18" s="17" t="str">
        <f aca="false">IF((E18="c"),H18," ")</f>
        <v> </v>
      </c>
      <c r="Q18" s="17" t="str">
        <f aca="false">IF((E18="o"),H18," ")</f>
        <v> </v>
      </c>
      <c r="R18" s="17" t="str">
        <f aca="false">IF((E18="d"),H18," ")</f>
        <v> </v>
      </c>
      <c r="S18" s="17" t="str">
        <f aca="false">IF((E18="w"),H18," ")</f>
        <v> </v>
      </c>
      <c r="T18" s="17" t="str">
        <f aca="false">IF((E18="r"),H18," ")</f>
        <v> </v>
      </c>
      <c r="U18" s="17" t="str">
        <f aca="false">IF((E18="p"),H18," ")</f>
        <v> </v>
      </c>
      <c r="V18" s="17" t="n">
        <f aca="false">IF((E18="t"),H18," ")</f>
        <v>80</v>
      </c>
      <c r="W18" s="17" t="str">
        <f aca="false">IF((E18="q"),H18," ")</f>
        <v> </v>
      </c>
      <c r="X18" s="17" t="str">
        <f aca="false">IF((E18="m"),H18," ")</f>
        <v> </v>
      </c>
      <c r="Y18" s="17" t="str">
        <f aca="false">IF((E18="u"),H18," ")</f>
        <v> </v>
      </c>
      <c r="Z18" s="17" t="str">
        <f aca="false">IF((E18="a"),H18," ")</f>
        <v> </v>
      </c>
      <c r="AA18" s="17" t="str">
        <f aca="false">IF((E18="g"),H18," ")</f>
        <v> </v>
      </c>
      <c r="AB18" s="17" t="str">
        <f aca="false">IF((E18="h"),H18," ")</f>
        <v> </v>
      </c>
      <c r="AC18" s="30" t="str">
        <f aca="false">IF((E18="v"),H18," ")</f>
        <v> </v>
      </c>
      <c r="AD18" s="30" t="str">
        <f aca="false">IF((E18="n"),H18," ")</f>
        <v> </v>
      </c>
      <c r="AE18" s="17" t="str">
        <f aca="false">IF((E18="f"),H18," ")</f>
        <v> </v>
      </c>
      <c r="AF18" s="17" t="str">
        <f aca="false">IF((E18="l"),H18," ")</f>
        <v> </v>
      </c>
      <c r="AG18" s="17" t="str">
        <f aca="false">IF((E18="y"),H18," ")</f>
        <v> </v>
      </c>
      <c r="AH18" s="17" t="str">
        <f aca="false">IF((E18="z"),H18," ")</f>
        <v> </v>
      </c>
      <c r="AI18" s="17" t="str">
        <f aca="false">IF((E18="fa"),H18," ")</f>
        <v> </v>
      </c>
      <c r="AJ18" s="17" t="str">
        <f aca="false">IF((E18="e"),H18," ")</f>
        <v> </v>
      </c>
      <c r="BZ18" s="2" t="s">
        <v>175</v>
      </c>
    </row>
    <row r="19" customFormat="false" ht="12" hidden="false" customHeight="false" outlineLevel="0" collapsed="false">
      <c r="A19" s="28" t="n">
        <v>46489</v>
      </c>
      <c r="B19" s="2" t="s">
        <v>124</v>
      </c>
      <c r="D19" s="2" t="s">
        <v>125</v>
      </c>
      <c r="E19" s="2" t="s">
        <v>106</v>
      </c>
      <c r="F19" s="30" t="n">
        <v>18</v>
      </c>
      <c r="G19" s="6" t="n">
        <f aca="false">IF(F19&lt;&gt;0,F19*G$2/(100+G$2)," ")</f>
        <v>3</v>
      </c>
      <c r="H19" s="6" t="n">
        <f aca="false">IF((F19&lt;&gt;0),F19-G19," ")</f>
        <v>15</v>
      </c>
      <c r="I19" s="5"/>
      <c r="L19" s="7" t="n">
        <f aca="false">IF(F19&lt;&gt;0,F19-K19," ")</f>
        <v>18</v>
      </c>
      <c r="M19" s="8" t="n">
        <f aca="false">IF((F19-K19)&lt;&gt;0,M$1-A19," ")</f>
        <v>-211</v>
      </c>
      <c r="N19" s="5"/>
      <c r="O19" s="17" t="str">
        <f aca="false">IF((E19="s"),H19," ")</f>
        <v> </v>
      </c>
      <c r="P19" s="17" t="str">
        <f aca="false">IF((E19="c"),H19," ")</f>
        <v> </v>
      </c>
      <c r="Q19" s="17" t="str">
        <f aca="false">IF((E19="o"),H19," ")</f>
        <v> </v>
      </c>
      <c r="R19" s="17" t="str">
        <f aca="false">IF((E19="d"),H19," ")</f>
        <v> </v>
      </c>
      <c r="S19" s="17" t="str">
        <f aca="false">IF((E19="w"),H19," ")</f>
        <v> </v>
      </c>
      <c r="T19" s="17" t="str">
        <f aca="false">IF((E19="r"),H19," ")</f>
        <v> </v>
      </c>
      <c r="U19" s="17" t="str">
        <f aca="false">IF((E19="p"),H19," ")</f>
        <v> </v>
      </c>
      <c r="V19" s="17" t="str">
        <f aca="false">IF((E19="t"),H19," ")</f>
        <v> </v>
      </c>
      <c r="W19" s="17" t="str">
        <f aca="false">IF((E19="q"),H19," ")</f>
        <v> </v>
      </c>
      <c r="X19" s="17" t="str">
        <f aca="false">IF((E19="m"),H19," ")</f>
        <v> </v>
      </c>
      <c r="Y19" s="17" t="str">
        <f aca="false">IF((E19="u"),H19," ")</f>
        <v> </v>
      </c>
      <c r="Z19" s="17" t="str">
        <f aca="false">IF((E19="a"),H19," ")</f>
        <v> </v>
      </c>
      <c r="AA19" s="17" t="str">
        <f aca="false">IF((E19="g"),H19," ")</f>
        <v> </v>
      </c>
      <c r="AB19" s="17" t="str">
        <f aca="false">IF((E19="h"),H19," ")</f>
        <v> </v>
      </c>
      <c r="AC19" s="30" t="n">
        <f aca="false">IF((E19="v"),H19," ")</f>
        <v>15</v>
      </c>
      <c r="AD19" s="30" t="str">
        <f aca="false">IF((E19="n"),H19," ")</f>
        <v> </v>
      </c>
      <c r="AE19" s="17" t="str">
        <f aca="false">IF((E19="f"),H19," ")</f>
        <v> </v>
      </c>
      <c r="AF19" s="17" t="str">
        <f aca="false">IF((E19="l"),H19," ")</f>
        <v> </v>
      </c>
      <c r="AG19" s="17" t="str">
        <f aca="false">IF((E19="y"),H19," ")</f>
        <v> </v>
      </c>
      <c r="AH19" s="17" t="str">
        <f aca="false">IF((E19="z"),H19," ")</f>
        <v> </v>
      </c>
      <c r="AI19" s="17" t="str">
        <f aca="false">IF((E19="fa"),H19," ")</f>
        <v> </v>
      </c>
      <c r="AJ19" s="17" t="str">
        <f aca="false">IF((E19="e"),H19," ")</f>
        <v> </v>
      </c>
      <c r="BZ19" s="2" t="s">
        <v>107</v>
      </c>
    </row>
    <row r="20" customFormat="false" ht="12" hidden="false" customHeight="false" outlineLevel="0" collapsed="false">
      <c r="A20" s="28" t="n">
        <v>46491</v>
      </c>
      <c r="B20" s="2" t="s">
        <v>128</v>
      </c>
      <c r="D20" s="2" t="s">
        <v>129</v>
      </c>
      <c r="E20" s="2" t="s">
        <v>112</v>
      </c>
      <c r="F20" s="30" t="n">
        <v>24</v>
      </c>
      <c r="G20" s="6" t="n">
        <f aca="false">IF(F20&lt;&gt;0,F20*G$2/(100+G$2)," ")</f>
        <v>4</v>
      </c>
      <c r="H20" s="6" t="n">
        <f aca="false">IF((F20&lt;&gt;0),F20-G20," ")</f>
        <v>20</v>
      </c>
      <c r="I20" s="5"/>
      <c r="L20" s="7" t="n">
        <f aca="false">IF(F20&lt;&gt;0,F20-K20," ")</f>
        <v>24</v>
      </c>
      <c r="M20" s="8" t="n">
        <f aca="false">IF((F20-K20)&lt;&gt;0,M$1-A20," ")</f>
        <v>-213</v>
      </c>
      <c r="N20" s="5"/>
      <c r="O20" s="17" t="str">
        <f aca="false">IF((E20="s"),H20," ")</f>
        <v> </v>
      </c>
      <c r="P20" s="17" t="str">
        <f aca="false">IF((E20="c"),H20," ")</f>
        <v> </v>
      </c>
      <c r="Q20" s="17" t="str">
        <f aca="false">IF((E20="o"),H20," ")</f>
        <v> </v>
      </c>
      <c r="R20" s="17" t="str">
        <f aca="false">IF((E20="d"),H20," ")</f>
        <v> </v>
      </c>
      <c r="S20" s="17" t="str">
        <f aca="false">IF((E20="w"),H20," ")</f>
        <v> </v>
      </c>
      <c r="T20" s="17" t="str">
        <f aca="false">IF((E20="r"),H20," ")</f>
        <v> </v>
      </c>
      <c r="U20" s="17" t="str">
        <f aca="false">IF((E20="p"),H20," ")</f>
        <v> </v>
      </c>
      <c r="V20" s="17" t="str">
        <f aca="false">IF((E20="t"),H20," ")</f>
        <v> </v>
      </c>
      <c r="W20" s="17" t="str">
        <f aca="false">IF((E20="q"),H20," ")</f>
        <v> </v>
      </c>
      <c r="X20" s="17" t="str">
        <f aca="false">IF((E20="m"),H20," ")</f>
        <v> </v>
      </c>
      <c r="Y20" s="17" t="str">
        <f aca="false">IF((E20="u"),H20," ")</f>
        <v> </v>
      </c>
      <c r="Z20" s="17" t="str">
        <f aca="false">IF((E20="a"),H20," ")</f>
        <v> </v>
      </c>
      <c r="AA20" s="17" t="str">
        <f aca="false">IF((E20="g"),H20," ")</f>
        <v> </v>
      </c>
      <c r="AB20" s="17" t="n">
        <f aca="false">IF((E20="h"),H20," ")</f>
        <v>20</v>
      </c>
      <c r="AC20" s="30" t="str">
        <f aca="false">IF((E20="v"),H20," ")</f>
        <v> </v>
      </c>
      <c r="AD20" s="30" t="str">
        <f aca="false">IF((E20="n"),H20," ")</f>
        <v> </v>
      </c>
      <c r="AE20" s="17" t="str">
        <f aca="false">IF((E20="f"),H20," ")</f>
        <v> </v>
      </c>
      <c r="AF20" s="17" t="str">
        <f aca="false">IF((E20="l"),H20," ")</f>
        <v> </v>
      </c>
      <c r="AG20" s="17" t="str">
        <f aca="false">IF((E20="y"),H20," ")</f>
        <v> </v>
      </c>
      <c r="AH20" s="17" t="str">
        <f aca="false">IF((E20="z"),H20," ")</f>
        <v> </v>
      </c>
      <c r="AI20" s="17" t="str">
        <f aca="false">IF((E20="fa"),H20," ")</f>
        <v> </v>
      </c>
      <c r="AJ20" s="17" t="str">
        <f aca="false">IF((E20="e"),H20," ")</f>
        <v> </v>
      </c>
      <c r="BZ20" s="2" t="s">
        <v>113</v>
      </c>
    </row>
    <row r="21" customFormat="false" ht="12" hidden="false" customHeight="false" outlineLevel="0" collapsed="false">
      <c r="A21" s="28" t="n">
        <v>46491</v>
      </c>
      <c r="B21" s="2" t="s">
        <v>130</v>
      </c>
      <c r="D21" s="2" t="s">
        <v>131</v>
      </c>
      <c r="E21" s="2" t="s">
        <v>112</v>
      </c>
      <c r="F21" s="30" t="n">
        <v>12</v>
      </c>
      <c r="G21" s="6" t="n">
        <f aca="false">IF(F21&lt;&gt;0,F21*G$2/(100+G$2)," ")</f>
        <v>2</v>
      </c>
      <c r="H21" s="6" t="n">
        <f aca="false">IF((F21&lt;&gt;0),F21-G21," ")</f>
        <v>10</v>
      </c>
      <c r="I21" s="5"/>
      <c r="L21" s="7" t="n">
        <f aca="false">IF(F21&lt;&gt;0,F21-K21," ")</f>
        <v>12</v>
      </c>
      <c r="M21" s="8" t="n">
        <f aca="false">IF((F21-K21)&lt;&gt;0,M$1-A21," ")</f>
        <v>-213</v>
      </c>
      <c r="N21" s="5"/>
      <c r="O21" s="17" t="str">
        <f aca="false">IF((E21="s"),H21," ")</f>
        <v> </v>
      </c>
      <c r="P21" s="17" t="str">
        <f aca="false">IF((E21="c"),H21," ")</f>
        <v> </v>
      </c>
      <c r="Q21" s="17" t="str">
        <f aca="false">IF((E21="o"),H21," ")</f>
        <v> </v>
      </c>
      <c r="R21" s="17" t="str">
        <f aca="false">IF((E21="d"),H21," ")</f>
        <v> </v>
      </c>
      <c r="S21" s="17" t="str">
        <f aca="false">IF((E21="w"),H21," ")</f>
        <v> </v>
      </c>
      <c r="T21" s="17" t="str">
        <f aca="false">IF((E21="r"),H21," ")</f>
        <v> </v>
      </c>
      <c r="U21" s="17" t="str">
        <f aca="false">IF((E21="p"),H21," ")</f>
        <v> </v>
      </c>
      <c r="V21" s="17" t="str">
        <f aca="false">IF((E21="t"),H21," ")</f>
        <v> </v>
      </c>
      <c r="W21" s="17" t="str">
        <f aca="false">IF((E21="q"),H21," ")</f>
        <v> </v>
      </c>
      <c r="X21" s="17" t="str">
        <f aca="false">IF((E21="m"),H21," ")</f>
        <v> </v>
      </c>
      <c r="Y21" s="17" t="str">
        <f aca="false">IF((E21="u"),H21," ")</f>
        <v> </v>
      </c>
      <c r="Z21" s="17" t="str">
        <f aca="false">IF((E21="a"),H21," ")</f>
        <v> </v>
      </c>
      <c r="AA21" s="17" t="str">
        <f aca="false">IF((E21="g"),H21," ")</f>
        <v> </v>
      </c>
      <c r="AB21" s="17" t="n">
        <f aca="false">IF((E21="h"),H21," ")</f>
        <v>10</v>
      </c>
      <c r="AC21" s="30" t="str">
        <f aca="false">IF((E21="v"),H21," ")</f>
        <v> </v>
      </c>
      <c r="AD21" s="30" t="str">
        <f aca="false">IF((E21="n"),H21," ")</f>
        <v> </v>
      </c>
      <c r="AE21" s="17" t="str">
        <f aca="false">IF((E21="f"),H21," ")</f>
        <v> </v>
      </c>
      <c r="AF21" s="17" t="str">
        <f aca="false">IF((E21="l"),H21," ")</f>
        <v> </v>
      </c>
      <c r="AG21" s="17" t="str">
        <f aca="false">IF((E21="y"),H21," ")</f>
        <v> </v>
      </c>
      <c r="AH21" s="17" t="str">
        <f aca="false">IF((E21="z"),H21," ")</f>
        <v> </v>
      </c>
      <c r="AI21" s="17" t="str">
        <f aca="false">IF((E21="fa"),H21," ")</f>
        <v> </v>
      </c>
      <c r="AJ21" s="17" t="str">
        <f aca="false">IF((E21="e"),H21," ")</f>
        <v> </v>
      </c>
      <c r="BZ21" s="2" t="s">
        <v>113</v>
      </c>
    </row>
    <row r="22" customFormat="false" ht="12" hidden="false" customHeight="false" outlineLevel="0" collapsed="false">
      <c r="A22" s="28" t="n">
        <v>46492</v>
      </c>
      <c r="B22" s="2" t="s">
        <v>20</v>
      </c>
      <c r="D22" s="2" t="s">
        <v>105</v>
      </c>
      <c r="E22" s="2" t="s">
        <v>106</v>
      </c>
      <c r="F22" s="30" t="n">
        <v>150</v>
      </c>
      <c r="G22" s="6" t="n">
        <f aca="false">IF(F22&lt;&gt;0,F22*G$2/(100+G$2)," ")</f>
        <v>25</v>
      </c>
      <c r="H22" s="6" t="n">
        <f aca="false">IF((F22&lt;&gt;0),F22-G22," ")</f>
        <v>125</v>
      </c>
      <c r="I22" s="5"/>
      <c r="L22" s="7" t="n">
        <f aca="false">IF(F22&lt;&gt;0,F22-K22," ")</f>
        <v>150</v>
      </c>
      <c r="M22" s="8" t="n">
        <f aca="false">IF((F22-K22)&lt;&gt;0,M$1-A22," ")</f>
        <v>-214</v>
      </c>
      <c r="N22" s="5"/>
      <c r="O22" s="17" t="str">
        <f aca="false">IF((E22="s"),H22," ")</f>
        <v> </v>
      </c>
      <c r="P22" s="17" t="str">
        <f aca="false">IF((E22="c"),H22," ")</f>
        <v> </v>
      </c>
      <c r="Q22" s="17" t="str">
        <f aca="false">IF((E22="o"),H22," ")</f>
        <v> </v>
      </c>
      <c r="R22" s="17" t="str">
        <f aca="false">IF((E22="d"),H22," ")</f>
        <v> </v>
      </c>
      <c r="S22" s="17" t="str">
        <f aca="false">IF((E22="w"),H22," ")</f>
        <v> </v>
      </c>
      <c r="T22" s="17" t="str">
        <f aca="false">IF((E22="r"),H22," ")</f>
        <v> </v>
      </c>
      <c r="U22" s="17" t="str">
        <f aca="false">IF((E22="p"),H22," ")</f>
        <v> </v>
      </c>
      <c r="V22" s="17" t="str">
        <f aca="false">IF((E22="t"),H22," ")</f>
        <v> </v>
      </c>
      <c r="W22" s="17" t="str">
        <f aca="false">IF((E22="q"),H22," ")</f>
        <v> </v>
      </c>
      <c r="X22" s="17" t="str">
        <f aca="false">IF((E22="m"),H22," ")</f>
        <v> </v>
      </c>
      <c r="Y22" s="17" t="str">
        <f aca="false">IF((E22="u"),H22," ")</f>
        <v> </v>
      </c>
      <c r="Z22" s="17" t="str">
        <f aca="false">IF((E22="a"),H22," ")</f>
        <v> </v>
      </c>
      <c r="AA22" s="17" t="str">
        <f aca="false">IF((E22="g"),H22," ")</f>
        <v> </v>
      </c>
      <c r="AB22" s="17" t="str">
        <f aca="false">IF((E22="h"),H22," ")</f>
        <v> </v>
      </c>
      <c r="AC22" s="30" t="n">
        <f aca="false">IF((E22="v"),H22," ")</f>
        <v>125</v>
      </c>
      <c r="AD22" s="30" t="str">
        <f aca="false">IF((E22="n"),H22," ")</f>
        <v> </v>
      </c>
      <c r="AE22" s="17" t="str">
        <f aca="false">IF((E22="f"),H22," ")</f>
        <v> </v>
      </c>
      <c r="AF22" s="17" t="str">
        <f aca="false">IF((E22="l"),H22," ")</f>
        <v> </v>
      </c>
      <c r="AG22" s="17" t="str">
        <f aca="false">IF((E22="y"),H22," ")</f>
        <v> </v>
      </c>
      <c r="AH22" s="17" t="str">
        <f aca="false">IF((E22="z"),H22," ")</f>
        <v> </v>
      </c>
      <c r="AI22" s="17" t="str">
        <f aca="false">IF((E22="fa"),H22," ")</f>
        <v> </v>
      </c>
      <c r="AJ22" s="17" t="str">
        <f aca="false">IF((E22="e"),H22," ")</f>
        <v> </v>
      </c>
      <c r="BZ22" s="2" t="s">
        <v>107</v>
      </c>
    </row>
    <row r="23" customFormat="false" ht="12" hidden="false" customHeight="false" outlineLevel="0" collapsed="false">
      <c r="A23" s="28" t="n">
        <v>46492</v>
      </c>
      <c r="B23" s="2" t="s">
        <v>132</v>
      </c>
      <c r="D23" s="2" t="s">
        <v>133</v>
      </c>
      <c r="E23" s="2" t="s">
        <v>80</v>
      </c>
      <c r="F23" s="30" t="n">
        <v>12</v>
      </c>
      <c r="G23" s="6" t="n">
        <f aca="false">IF(F23&lt;&gt;0,F23*G$2/(100+G$2)," ")</f>
        <v>2</v>
      </c>
      <c r="H23" s="6" t="n">
        <f aca="false">IF((F23&lt;&gt;0),F23-G23," ")</f>
        <v>10</v>
      </c>
      <c r="I23" s="5"/>
      <c r="L23" s="7" t="n">
        <f aca="false">IF(F23&lt;&gt;0,F23-K23," ")</f>
        <v>12</v>
      </c>
      <c r="M23" s="8" t="n">
        <f aca="false">IF((F23-K23)&lt;&gt;0,M$1-A23," ")</f>
        <v>-214</v>
      </c>
      <c r="N23" s="5"/>
      <c r="O23" s="17" t="str">
        <f aca="false">IF((E23="s"),H23," ")</f>
        <v> </v>
      </c>
      <c r="P23" s="17" t="str">
        <f aca="false">IF((E23="c"),H23," ")</f>
        <v> </v>
      </c>
      <c r="Q23" s="17" t="str">
        <f aca="false">IF((E23="o"),H23," ")</f>
        <v> </v>
      </c>
      <c r="R23" s="17" t="str">
        <f aca="false">IF((E23="d"),H23," ")</f>
        <v> </v>
      </c>
      <c r="S23" s="17" t="str">
        <f aca="false">IF((E23="w"),H23," ")</f>
        <v> </v>
      </c>
      <c r="T23" s="17" t="str">
        <f aca="false">IF((E23="r"),H23," ")</f>
        <v> </v>
      </c>
      <c r="U23" s="17" t="str">
        <f aca="false">IF((E23="p"),H23," ")</f>
        <v> </v>
      </c>
      <c r="V23" s="17" t="str">
        <f aca="false">IF((E23="t"),H23," ")</f>
        <v> </v>
      </c>
      <c r="W23" s="17" t="str">
        <f aca="false">IF((E23="q"),H23," ")</f>
        <v> </v>
      </c>
      <c r="X23" s="17" t="str">
        <f aca="false">IF((E23="m"),H23," ")</f>
        <v> </v>
      </c>
      <c r="Y23" s="17" t="str">
        <f aca="false">IF((E23="u"),H23," ")</f>
        <v> </v>
      </c>
      <c r="Z23" s="17" t="str">
        <f aca="false">IF((E23="a"),H23," ")</f>
        <v> </v>
      </c>
      <c r="AA23" s="17" t="n">
        <f aca="false">IF((E23="g"),H23," ")</f>
        <v>10</v>
      </c>
      <c r="AB23" s="17" t="str">
        <f aca="false">IF((E23="h"),H23," ")</f>
        <v> </v>
      </c>
      <c r="AC23" s="30" t="str">
        <f aca="false">IF((E23="v"),H23," ")</f>
        <v> </v>
      </c>
      <c r="AD23" s="30" t="str">
        <f aca="false">IF((E23="n"),H23," ")</f>
        <v> </v>
      </c>
      <c r="AE23" s="17" t="str">
        <f aca="false">IF((E23="f"),H23," ")</f>
        <v> </v>
      </c>
      <c r="AF23" s="17" t="str">
        <f aca="false">IF((E23="l"),H23," ")</f>
        <v> </v>
      </c>
      <c r="AG23" s="17" t="str">
        <f aca="false">IF((E23="y"),H23," ")</f>
        <v> </v>
      </c>
      <c r="AH23" s="17" t="str">
        <f aca="false">IF((E23="z"),H23," ")</f>
        <v> </v>
      </c>
      <c r="AI23" s="17" t="str">
        <f aca="false">IF((E23="fa"),H23," ")</f>
        <v> </v>
      </c>
      <c r="AJ23" s="17" t="str">
        <f aca="false">IF((E23="e"),H23," ")</f>
        <v> </v>
      </c>
      <c r="BZ23" s="2" t="s">
        <v>81</v>
      </c>
    </row>
    <row r="24" customFormat="false" ht="12" hidden="false" customHeight="false" outlineLevel="0" collapsed="false">
      <c r="A24" s="28" t="n">
        <v>46492</v>
      </c>
      <c r="B24" s="2" t="s">
        <v>229</v>
      </c>
      <c r="D24" s="2" t="s">
        <v>230</v>
      </c>
      <c r="E24" s="2" t="s">
        <v>151</v>
      </c>
      <c r="F24" s="30" t="n">
        <v>960</v>
      </c>
      <c r="G24" s="6" t="n">
        <f aca="false">IF(F24&lt;&gt;0,F24*G$2/(100+G$2)," ")</f>
        <v>160</v>
      </c>
      <c r="H24" s="6" t="n">
        <f aca="false">IF((F24&lt;&gt;0),F24-G24," ")</f>
        <v>800</v>
      </c>
      <c r="I24" s="5"/>
      <c r="L24" s="7" t="n">
        <f aca="false">IF(F24&lt;&gt;0,F24-K24," ")</f>
        <v>960</v>
      </c>
      <c r="M24" s="8" t="n">
        <f aca="false">IF((F24-K24)&lt;&gt;0,M$1-A24," ")</f>
        <v>-214</v>
      </c>
      <c r="N24" s="5"/>
      <c r="O24" s="17" t="str">
        <f aca="false">IF((E24="s"),H24," ")</f>
        <v> </v>
      </c>
      <c r="P24" s="17" t="str">
        <f aca="false">IF((E24="c"),H24," ")</f>
        <v> </v>
      </c>
      <c r="Q24" s="17" t="str">
        <f aca="false">IF((E24="o"),H24," ")</f>
        <v> </v>
      </c>
      <c r="R24" s="17" t="str">
        <f aca="false">IF((E24="d"),H24," ")</f>
        <v> </v>
      </c>
      <c r="S24" s="17" t="str">
        <f aca="false">IF((E24="w"),H24," ")</f>
        <v> </v>
      </c>
      <c r="T24" s="17" t="str">
        <f aca="false">IF((E24="r"),H24," ")</f>
        <v> </v>
      </c>
      <c r="U24" s="17" t="str">
        <f aca="false">IF((E24="p"),H24," ")</f>
        <v> </v>
      </c>
      <c r="V24" s="17" t="str">
        <f aca="false">IF((E24="t"),H24," ")</f>
        <v> </v>
      </c>
      <c r="W24" s="17" t="str">
        <f aca="false">IF((E24="q"),H24," ")</f>
        <v> </v>
      </c>
      <c r="X24" s="17" t="str">
        <f aca="false">IF((E24="m"),H24," ")</f>
        <v> </v>
      </c>
      <c r="Y24" s="17" t="str">
        <f aca="false">IF((E24="u"),H24," ")</f>
        <v> </v>
      </c>
      <c r="Z24" s="17" t="str">
        <f aca="false">IF((E24="a"),H24," ")</f>
        <v> </v>
      </c>
      <c r="AA24" s="17" t="str">
        <f aca="false">IF((E24="g"),H24," ")</f>
        <v> </v>
      </c>
      <c r="AB24" s="17" t="str">
        <f aca="false">IF((E24="h"),H24," ")</f>
        <v> </v>
      </c>
      <c r="AC24" s="30" t="str">
        <f aca="false">IF((E24="v"),H24," ")</f>
        <v> </v>
      </c>
      <c r="AD24" s="30" t="str">
        <f aca="false">IF((E24="n"),H24," ")</f>
        <v> </v>
      </c>
      <c r="AE24" s="17" t="str">
        <f aca="false">IF((E24="f"),H24," ")</f>
        <v> </v>
      </c>
      <c r="AF24" s="17" t="n">
        <f aca="false">IF((E24="l"),H24," ")</f>
        <v>800</v>
      </c>
      <c r="AG24" s="17" t="str">
        <f aca="false">IF((E24="y"),H24," ")</f>
        <v> </v>
      </c>
      <c r="AH24" s="17" t="str">
        <f aca="false">IF((E24="z"),H24," ")</f>
        <v> </v>
      </c>
      <c r="AI24" s="17" t="str">
        <f aca="false">IF((E24="fa"),H24," ")</f>
        <v> </v>
      </c>
      <c r="AJ24" s="17" t="str">
        <f aca="false">IF((E24="e"),H24," ")</f>
        <v> </v>
      </c>
      <c r="BZ24" s="2" t="s">
        <v>152</v>
      </c>
    </row>
    <row r="25" customFormat="false" ht="12" hidden="false" customHeight="false" outlineLevel="0" collapsed="false">
      <c r="A25" s="28" t="n">
        <v>46493</v>
      </c>
      <c r="B25" s="2" t="s">
        <v>170</v>
      </c>
      <c r="D25" s="2" t="s">
        <v>171</v>
      </c>
      <c r="E25" s="2" t="s">
        <v>80</v>
      </c>
      <c r="F25" s="30" t="n">
        <v>12</v>
      </c>
      <c r="G25" s="6" t="n">
        <f aca="false">IF(F25&lt;&gt;0,F25*G$2/(100+G$2)," ")</f>
        <v>2</v>
      </c>
      <c r="H25" s="6" t="n">
        <f aca="false">IF((F25&lt;&gt;0),F25-G25," ")</f>
        <v>10</v>
      </c>
      <c r="I25" s="5"/>
      <c r="L25" s="7" t="n">
        <f aca="false">IF(F25&lt;&gt;0,F25-K25," ")</f>
        <v>12</v>
      </c>
      <c r="M25" s="8" t="n">
        <f aca="false">IF((F25-K25)&lt;&gt;0,M$1-A25," ")</f>
        <v>-215</v>
      </c>
      <c r="N25" s="5"/>
      <c r="O25" s="17" t="str">
        <f aca="false">IF((E25="s"),H25," ")</f>
        <v> </v>
      </c>
      <c r="P25" s="17" t="str">
        <f aca="false">IF((E25="c"),H25," ")</f>
        <v> </v>
      </c>
      <c r="Q25" s="17" t="str">
        <f aca="false">IF((E25="o"),H25," ")</f>
        <v> </v>
      </c>
      <c r="R25" s="17" t="str">
        <f aca="false">IF((E25="d"),H25," ")</f>
        <v> </v>
      </c>
      <c r="S25" s="17" t="str">
        <f aca="false">IF((E25="w"),H25," ")</f>
        <v> </v>
      </c>
      <c r="T25" s="17" t="str">
        <f aca="false">IF((E25="r"),H25," ")</f>
        <v> </v>
      </c>
      <c r="U25" s="17" t="str">
        <f aca="false">IF((E25="p"),H25," ")</f>
        <v> </v>
      </c>
      <c r="V25" s="17" t="str">
        <f aca="false">IF((E25="t"),H25," ")</f>
        <v> </v>
      </c>
      <c r="W25" s="17" t="str">
        <f aca="false">IF((E25="q"),H25," ")</f>
        <v> </v>
      </c>
      <c r="X25" s="17" t="str">
        <f aca="false">IF((E25="m"),H25," ")</f>
        <v> </v>
      </c>
      <c r="Y25" s="17" t="str">
        <f aca="false">IF((E25="u"),H25," ")</f>
        <v> </v>
      </c>
      <c r="Z25" s="17" t="str">
        <f aca="false">IF((E25="a"),H25," ")</f>
        <v> </v>
      </c>
      <c r="AA25" s="17" t="n">
        <f aca="false">IF((E25="g"),H25," ")</f>
        <v>10</v>
      </c>
      <c r="AB25" s="17" t="str">
        <f aca="false">IF((E25="h"),H25," ")</f>
        <v> </v>
      </c>
      <c r="AC25" s="30" t="str">
        <f aca="false">IF((E25="v"),H25," ")</f>
        <v> </v>
      </c>
      <c r="AD25" s="30" t="str">
        <f aca="false">IF((E25="n"),H25," ")</f>
        <v> </v>
      </c>
      <c r="AE25" s="17" t="str">
        <f aca="false">IF((E25="f"),H25," ")</f>
        <v> </v>
      </c>
      <c r="AF25" s="17" t="str">
        <f aca="false">IF((E25="l"),H25," ")</f>
        <v> </v>
      </c>
      <c r="AG25" s="17" t="str">
        <f aca="false">IF((E25="y"),H25," ")</f>
        <v> </v>
      </c>
      <c r="AH25" s="17" t="str">
        <f aca="false">IF((E25="z"),H25," ")</f>
        <v> </v>
      </c>
      <c r="AI25" s="17" t="str">
        <f aca="false">IF((E25="fa"),H25," ")</f>
        <v> </v>
      </c>
      <c r="AJ25" s="17" t="str">
        <f aca="false">IF((E25="e"),H25," ")</f>
        <v> </v>
      </c>
      <c r="BZ25" s="2" t="s">
        <v>81</v>
      </c>
    </row>
    <row r="26" customFormat="false" ht="12" hidden="false" customHeight="false" outlineLevel="0" collapsed="false">
      <c r="A26" s="28" t="n">
        <v>46495</v>
      </c>
      <c r="B26" s="2" t="s">
        <v>190</v>
      </c>
      <c r="D26" s="2" t="s">
        <v>191</v>
      </c>
      <c r="E26" s="2" t="s">
        <v>122</v>
      </c>
      <c r="F26" s="30" t="n">
        <v>240</v>
      </c>
      <c r="G26" s="6" t="n">
        <f aca="false">IF(F26&lt;&gt;0,F26*G$2/(100+G$2)," ")</f>
        <v>40</v>
      </c>
      <c r="H26" s="6" t="n">
        <f aca="false">IF((F26&lt;&gt;0),F26-G26," ")</f>
        <v>200</v>
      </c>
      <c r="I26" s="5"/>
      <c r="L26" s="7" t="n">
        <f aca="false">IF(F26&lt;&gt;0,F26-K26," ")</f>
        <v>240</v>
      </c>
      <c r="M26" s="8" t="n">
        <f aca="false">IF((F26-K26)&lt;&gt;0,M$1-A26," ")</f>
        <v>-217</v>
      </c>
      <c r="N26" s="5"/>
      <c r="O26" s="17" t="n">
        <f aca="false">IF((E26="s"),H26," ")</f>
        <v>200</v>
      </c>
      <c r="P26" s="17" t="str">
        <f aca="false">IF((E26="c"),H26," ")</f>
        <v> </v>
      </c>
      <c r="Q26" s="17" t="str">
        <f aca="false">IF((E26="o"),H26," ")</f>
        <v> </v>
      </c>
      <c r="R26" s="17" t="str">
        <f aca="false">IF((E26="d"),H26," ")</f>
        <v> </v>
      </c>
      <c r="S26" s="17" t="str">
        <f aca="false">IF((E26="w"),H26," ")</f>
        <v> </v>
      </c>
      <c r="T26" s="17" t="str">
        <f aca="false">IF((E26="r"),H26," ")</f>
        <v> </v>
      </c>
      <c r="U26" s="17" t="str">
        <f aca="false">IF((E26="p"),H26," ")</f>
        <v> </v>
      </c>
      <c r="V26" s="17" t="str">
        <f aca="false">IF((E26="t"),H26," ")</f>
        <v> </v>
      </c>
      <c r="W26" s="17" t="str">
        <f aca="false">IF((E26="q"),H26," ")</f>
        <v> </v>
      </c>
      <c r="X26" s="17" t="str">
        <f aca="false">IF((E26="m"),H26," ")</f>
        <v> </v>
      </c>
      <c r="Y26" s="17" t="str">
        <f aca="false">IF((E26="u"),H26," ")</f>
        <v> </v>
      </c>
      <c r="Z26" s="17" t="str">
        <f aca="false">IF((E26="a"),H26," ")</f>
        <v> </v>
      </c>
      <c r="AA26" s="17" t="str">
        <f aca="false">IF((E26="g"),H26," ")</f>
        <v> </v>
      </c>
      <c r="AB26" s="17" t="str">
        <f aca="false">IF((E26="h"),H26," ")</f>
        <v> </v>
      </c>
      <c r="AC26" s="30" t="str">
        <f aca="false">IF((E26="v"),H26," ")</f>
        <v> </v>
      </c>
      <c r="AD26" s="30" t="str">
        <f aca="false">IF((E26="n"),H26," ")</f>
        <v> </v>
      </c>
      <c r="AE26" s="17" t="str">
        <f aca="false">IF((E26="f"),H26," ")</f>
        <v> </v>
      </c>
      <c r="AF26" s="17" t="str">
        <f aca="false">IF((E26="l"),H26," ")</f>
        <v> </v>
      </c>
      <c r="AG26" s="17" t="str">
        <f aca="false">IF((E26="y"),H26," ")</f>
        <v> </v>
      </c>
      <c r="AH26" s="17" t="str">
        <f aca="false">IF((E26="z"),H26," ")</f>
        <v> </v>
      </c>
      <c r="AI26" s="17" t="str">
        <f aca="false">IF((E26="fa"),H26," ")</f>
        <v> </v>
      </c>
      <c r="AJ26" s="17" t="str">
        <f aca="false">IF((E26="e"),H26," ")</f>
        <v> </v>
      </c>
      <c r="BZ26" s="2" t="s">
        <v>123</v>
      </c>
    </row>
    <row r="27" customFormat="false" ht="12" hidden="false" customHeight="false" outlineLevel="0" collapsed="false">
      <c r="A27" s="28" t="n">
        <v>46495</v>
      </c>
      <c r="B27" s="2" t="s">
        <v>134</v>
      </c>
      <c r="D27" s="2" t="s">
        <v>105</v>
      </c>
      <c r="E27" s="2" t="s">
        <v>106</v>
      </c>
      <c r="F27" s="30" t="n">
        <v>96</v>
      </c>
      <c r="G27" s="6" t="n">
        <f aca="false">IF(F27&lt;&gt;0,F27*G$2/(100+G$2)," ")</f>
        <v>16</v>
      </c>
      <c r="H27" s="6" t="n">
        <f aca="false">IF((F27&lt;&gt;0),F27-G27," ")</f>
        <v>80</v>
      </c>
      <c r="I27" s="5"/>
      <c r="L27" s="7" t="n">
        <f aca="false">IF(F27&lt;&gt;0,F27-K27," ")</f>
        <v>96</v>
      </c>
      <c r="M27" s="8" t="n">
        <f aca="false">IF((F27-K27)&lt;&gt;0,M$1-A27," ")</f>
        <v>-217</v>
      </c>
      <c r="N27" s="5"/>
      <c r="O27" s="17" t="str">
        <f aca="false">IF((E27="s"),H27," ")</f>
        <v> </v>
      </c>
      <c r="P27" s="17" t="str">
        <f aca="false">IF((E27="c"),H27," ")</f>
        <v> </v>
      </c>
      <c r="Q27" s="17" t="str">
        <f aca="false">IF((E27="o"),H27," ")</f>
        <v> </v>
      </c>
      <c r="R27" s="17" t="str">
        <f aca="false">IF((E27="d"),H27," ")</f>
        <v> </v>
      </c>
      <c r="S27" s="17" t="str">
        <f aca="false">IF((E27="w"),H27," ")</f>
        <v> </v>
      </c>
      <c r="T27" s="17" t="str">
        <f aca="false">IF((E27="r"),H27," ")</f>
        <v> </v>
      </c>
      <c r="U27" s="17" t="str">
        <f aca="false">IF((E27="p"),H27," ")</f>
        <v> </v>
      </c>
      <c r="V27" s="17" t="str">
        <f aca="false">IF((E27="t"),H27," ")</f>
        <v> </v>
      </c>
      <c r="W27" s="17" t="str">
        <f aca="false">IF((E27="q"),H27," ")</f>
        <v> </v>
      </c>
      <c r="X27" s="17" t="str">
        <f aca="false">IF((E27="m"),H27," ")</f>
        <v> </v>
      </c>
      <c r="Y27" s="17" t="str">
        <f aca="false">IF((E27="u"),H27," ")</f>
        <v> </v>
      </c>
      <c r="Z27" s="17" t="str">
        <f aca="false">IF((E27="a"),H27," ")</f>
        <v> </v>
      </c>
      <c r="AA27" s="17" t="str">
        <f aca="false">IF((E27="g"),H27," ")</f>
        <v> </v>
      </c>
      <c r="AB27" s="17" t="str">
        <f aca="false">IF((E27="h"),H27," ")</f>
        <v> </v>
      </c>
      <c r="AC27" s="30" t="n">
        <f aca="false">IF((E27="v"),H27," ")</f>
        <v>80</v>
      </c>
      <c r="AD27" s="30" t="str">
        <f aca="false">IF((E27="n"),H27," ")</f>
        <v> </v>
      </c>
      <c r="AE27" s="17" t="str">
        <f aca="false">IF((E27="f"),H27," ")</f>
        <v> </v>
      </c>
      <c r="AF27" s="17" t="str">
        <f aca="false">IF((E27="l"),H27," ")</f>
        <v> </v>
      </c>
      <c r="AG27" s="17" t="str">
        <f aca="false">IF((E27="y"),H27," ")</f>
        <v> </v>
      </c>
      <c r="AH27" s="17" t="str">
        <f aca="false">IF((E27="z"),H27," ")</f>
        <v> </v>
      </c>
      <c r="AI27" s="17" t="str">
        <f aca="false">IF((E27="fa"),H27," ")</f>
        <v> </v>
      </c>
      <c r="AJ27" s="17" t="str">
        <f aca="false">IF((E27="e"),H27," ")</f>
        <v> </v>
      </c>
      <c r="BZ27" s="2" t="s">
        <v>107</v>
      </c>
    </row>
    <row r="28" customFormat="false" ht="12" hidden="false" customHeight="false" outlineLevel="0" collapsed="false">
      <c r="A28" s="28" t="n">
        <v>46497</v>
      </c>
      <c r="B28" s="2" t="s">
        <v>135</v>
      </c>
      <c r="D28" s="2" t="s">
        <v>136</v>
      </c>
      <c r="E28" s="2" t="s">
        <v>80</v>
      </c>
      <c r="F28" s="30" t="n">
        <v>60</v>
      </c>
      <c r="G28" s="6" t="n">
        <f aca="false">IF(F28&lt;&gt;0,F28*G$2/(100+G$2)," ")</f>
        <v>10</v>
      </c>
      <c r="H28" s="6" t="n">
        <f aca="false">IF((F28&lt;&gt;0),F28-G28," ")</f>
        <v>50</v>
      </c>
      <c r="I28" s="5"/>
      <c r="L28" s="7" t="n">
        <f aca="false">IF(F28&lt;&gt;0,F28-K28," ")</f>
        <v>60</v>
      </c>
      <c r="M28" s="8" t="n">
        <f aca="false">IF((F28-K28)&lt;&gt;0,M$1-A28," ")</f>
        <v>-219</v>
      </c>
      <c r="N28" s="5"/>
      <c r="O28" s="17" t="str">
        <f aca="false">IF((E28="s"),H28," ")</f>
        <v> </v>
      </c>
      <c r="P28" s="17" t="str">
        <f aca="false">IF((E28="c"),H28," ")</f>
        <v> </v>
      </c>
      <c r="Q28" s="17" t="str">
        <f aca="false">IF((E28="o"),H28," ")</f>
        <v> </v>
      </c>
      <c r="R28" s="17" t="str">
        <f aca="false">IF((E28="d"),H28," ")</f>
        <v> </v>
      </c>
      <c r="S28" s="17" t="str">
        <f aca="false">IF((E28="w"),H28," ")</f>
        <v> </v>
      </c>
      <c r="T28" s="17" t="str">
        <f aca="false">IF((E28="r"),H28," ")</f>
        <v> </v>
      </c>
      <c r="U28" s="17" t="str">
        <f aca="false">IF((E28="p"),H28," ")</f>
        <v> </v>
      </c>
      <c r="V28" s="17" t="str">
        <f aca="false">IF((E28="t"),H28," ")</f>
        <v> </v>
      </c>
      <c r="W28" s="17" t="str">
        <f aca="false">IF((E28="q"),H28," ")</f>
        <v> </v>
      </c>
      <c r="X28" s="17" t="str">
        <f aca="false">IF((E28="m"),H28," ")</f>
        <v> </v>
      </c>
      <c r="Y28" s="17" t="str">
        <f aca="false">IF((E28="u"),H28," ")</f>
        <v> </v>
      </c>
      <c r="Z28" s="17" t="str">
        <f aca="false">IF((E28="a"),H28," ")</f>
        <v> </v>
      </c>
      <c r="AA28" s="17" t="n">
        <f aca="false">IF((E28="g"),H28," ")</f>
        <v>50</v>
      </c>
      <c r="AB28" s="17" t="str">
        <f aca="false">IF((E28="h"),H28," ")</f>
        <v> </v>
      </c>
      <c r="AC28" s="30" t="str">
        <f aca="false">IF((E28="v"),H28," ")</f>
        <v> </v>
      </c>
      <c r="AD28" s="30" t="str">
        <f aca="false">IF((E28="n"),H28," ")</f>
        <v> </v>
      </c>
      <c r="AE28" s="17" t="str">
        <f aca="false">IF((E28="f"),H28," ")</f>
        <v> </v>
      </c>
      <c r="AF28" s="17" t="str">
        <f aca="false">IF((E28="l"),H28," ")</f>
        <v> </v>
      </c>
      <c r="AG28" s="17" t="str">
        <f aca="false">IF((E28="y"),H28," ")</f>
        <v> </v>
      </c>
      <c r="AH28" s="17" t="str">
        <f aca="false">IF((E28="z"),H28," ")</f>
        <v> </v>
      </c>
      <c r="AI28" s="17" t="str">
        <f aca="false">IF((E28="fa"),H28," ")</f>
        <v> </v>
      </c>
      <c r="AJ28" s="17" t="str">
        <f aca="false">IF((E28="e"),H28," ")</f>
        <v> </v>
      </c>
      <c r="BZ28" s="2" t="s">
        <v>81</v>
      </c>
    </row>
    <row r="29" customFormat="false" ht="12" hidden="false" customHeight="false" outlineLevel="0" collapsed="false">
      <c r="A29" s="28" t="n">
        <v>46498</v>
      </c>
      <c r="B29" s="2" t="s">
        <v>141</v>
      </c>
      <c r="D29" s="2" t="s">
        <v>142</v>
      </c>
      <c r="E29" s="2" t="s">
        <v>112</v>
      </c>
      <c r="F29" s="30" t="n">
        <v>8</v>
      </c>
      <c r="G29" s="6" t="n">
        <f aca="false">IF(F29&lt;&gt;0,F29*G$2/(100+G$2)," ")</f>
        <v>1.33333333333333</v>
      </c>
      <c r="H29" s="6" t="n">
        <f aca="false">IF((F29&lt;&gt;0),F29-G29," ")</f>
        <v>6.66666666666667</v>
      </c>
      <c r="I29" s="5"/>
      <c r="L29" s="7" t="n">
        <f aca="false">IF(F29&lt;&gt;0,F29-K29," ")</f>
        <v>8</v>
      </c>
      <c r="M29" s="8" t="n">
        <f aca="false">IF((F29-K29)&lt;&gt;0,M$1-A29," ")</f>
        <v>-220</v>
      </c>
      <c r="N29" s="5"/>
      <c r="O29" s="17" t="str">
        <f aca="false">IF((E29="s"),H29," ")</f>
        <v> </v>
      </c>
      <c r="P29" s="17" t="str">
        <f aca="false">IF((E29="c"),H29," ")</f>
        <v> </v>
      </c>
      <c r="Q29" s="17" t="str">
        <f aca="false">IF((E29="o"),H29," ")</f>
        <v> </v>
      </c>
      <c r="R29" s="17" t="str">
        <f aca="false">IF((E29="d"),H29," ")</f>
        <v> </v>
      </c>
      <c r="S29" s="17" t="str">
        <f aca="false">IF((E29="w"),H29," ")</f>
        <v> </v>
      </c>
      <c r="T29" s="17" t="str">
        <f aca="false">IF((E29="r"),H29," ")</f>
        <v> </v>
      </c>
      <c r="U29" s="17" t="str">
        <f aca="false">IF((E29="p"),H29," ")</f>
        <v> </v>
      </c>
      <c r="V29" s="17" t="str">
        <f aca="false">IF((E29="t"),H29," ")</f>
        <v> </v>
      </c>
      <c r="W29" s="17" t="str">
        <f aca="false">IF((E29="q"),H29," ")</f>
        <v> </v>
      </c>
      <c r="X29" s="17" t="str">
        <f aca="false">IF((E29="m"),H29," ")</f>
        <v> </v>
      </c>
      <c r="Y29" s="17" t="str">
        <f aca="false">IF((E29="u"),H29," ")</f>
        <v> </v>
      </c>
      <c r="Z29" s="17" t="str">
        <f aca="false">IF((E29="a"),H29," ")</f>
        <v> </v>
      </c>
      <c r="AA29" s="17" t="str">
        <f aca="false">IF((E29="g"),H29," ")</f>
        <v> </v>
      </c>
      <c r="AB29" s="17" t="n">
        <f aca="false">IF((E29="h"),H29," ")</f>
        <v>6.66666666666667</v>
      </c>
      <c r="AC29" s="30" t="str">
        <f aca="false">IF((E29="v"),H29," ")</f>
        <v> </v>
      </c>
      <c r="AD29" s="30" t="str">
        <f aca="false">IF((E29="n"),H29," ")</f>
        <v> </v>
      </c>
      <c r="AE29" s="17" t="str">
        <f aca="false">IF((E29="f"),H29," ")</f>
        <v> </v>
      </c>
      <c r="AF29" s="17" t="str">
        <f aca="false">IF((E29="l"),H29," ")</f>
        <v> </v>
      </c>
      <c r="AG29" s="17" t="str">
        <f aca="false">IF((E29="y"),H29," ")</f>
        <v> </v>
      </c>
      <c r="AH29" s="17" t="str">
        <f aca="false">IF((E29="z"),H29," ")</f>
        <v> </v>
      </c>
      <c r="AI29" s="17" t="str">
        <f aca="false">IF((E29="fa"),H29," ")</f>
        <v> </v>
      </c>
      <c r="AJ29" s="17" t="str">
        <f aca="false">IF((E29="e"),H29," ")</f>
        <v> </v>
      </c>
      <c r="BZ29" s="2" t="s">
        <v>113</v>
      </c>
    </row>
    <row r="30" customFormat="false" ht="12" hidden="false" customHeight="false" outlineLevel="0" collapsed="false">
      <c r="A30" s="28" t="n">
        <v>46499</v>
      </c>
      <c r="B30" s="2" t="s">
        <v>143</v>
      </c>
      <c r="D30" s="2" t="s">
        <v>144</v>
      </c>
      <c r="E30" s="2" t="s">
        <v>100</v>
      </c>
      <c r="F30" s="30" t="n">
        <v>18</v>
      </c>
      <c r="G30" s="6" t="n">
        <f aca="false">IF(F30&lt;&gt;0,F30*G$2/(100+G$2)," ")</f>
        <v>3</v>
      </c>
      <c r="H30" s="6" t="n">
        <f aca="false">IF((F30&lt;&gt;0),F30-G30," ")</f>
        <v>15</v>
      </c>
      <c r="I30" s="5"/>
      <c r="L30" s="7" t="n">
        <f aca="false">IF(F30&lt;&gt;0,F30-K30," ")</f>
        <v>18</v>
      </c>
      <c r="M30" s="8" t="n">
        <f aca="false">IF((F30-K30)&lt;&gt;0,M$1-A30," ")</f>
        <v>-221</v>
      </c>
      <c r="N30" s="5"/>
      <c r="O30" s="17" t="str">
        <f aca="false">IF((E30="s"),H30," ")</f>
        <v> </v>
      </c>
      <c r="P30" s="17" t="str">
        <f aca="false">IF((E30="c"),H30," ")</f>
        <v> </v>
      </c>
      <c r="Q30" s="17" t="str">
        <f aca="false">IF((E30="o"),H30," ")</f>
        <v> </v>
      </c>
      <c r="R30" s="17" t="str">
        <f aca="false">IF((E30="d"),H30," ")</f>
        <v> </v>
      </c>
      <c r="S30" s="17" t="str">
        <f aca="false">IF((E30="w"),H30," ")</f>
        <v> </v>
      </c>
      <c r="T30" s="17" t="str">
        <f aca="false">IF((E30="r"),H30," ")</f>
        <v> </v>
      </c>
      <c r="U30" s="17" t="str">
        <f aca="false">IF((E30="p"),H30," ")</f>
        <v> </v>
      </c>
      <c r="V30" s="17" t="str">
        <f aca="false">IF((E30="t"),H30," ")</f>
        <v> </v>
      </c>
      <c r="W30" s="17" t="str">
        <f aca="false">IF((E30="q"),H30," ")</f>
        <v> </v>
      </c>
      <c r="X30" s="17" t="str">
        <f aca="false">IF((E30="m"),H30," ")</f>
        <v> </v>
      </c>
      <c r="Y30" s="17" t="n">
        <f aca="false">IF((E30="u"),H30," ")</f>
        <v>15</v>
      </c>
      <c r="Z30" s="17" t="str">
        <f aca="false">IF((E30="a"),H30," ")</f>
        <v> </v>
      </c>
      <c r="AA30" s="17" t="str">
        <f aca="false">IF((E30="g"),H30," ")</f>
        <v> </v>
      </c>
      <c r="AB30" s="17" t="str">
        <f aca="false">IF((E30="h"),H30," ")</f>
        <v> </v>
      </c>
      <c r="AC30" s="30" t="str">
        <f aca="false">IF((E30="v"),H30," ")</f>
        <v> </v>
      </c>
      <c r="AD30" s="30" t="str">
        <f aca="false">IF((E30="n"),H30," ")</f>
        <v> </v>
      </c>
      <c r="AE30" s="17" t="str">
        <f aca="false">IF((E30="f"),H30," ")</f>
        <v> </v>
      </c>
      <c r="AF30" s="17" t="str">
        <f aca="false">IF((E30="l"),H30," ")</f>
        <v> </v>
      </c>
      <c r="AG30" s="17" t="str">
        <f aca="false">IF((E30="y"),H30," ")</f>
        <v> </v>
      </c>
      <c r="AH30" s="17" t="str">
        <f aca="false">IF((E30="z"),H30," ")</f>
        <v> </v>
      </c>
      <c r="AI30" s="17" t="str">
        <f aca="false">IF((E30="fa"),H30," ")</f>
        <v> </v>
      </c>
      <c r="AJ30" s="17" t="str">
        <f aca="false">IF((E30="e"),H30," ")</f>
        <v> </v>
      </c>
      <c r="BZ30" s="2" t="s">
        <v>101</v>
      </c>
    </row>
    <row r="31" customFormat="false" ht="12" hidden="false" customHeight="false" outlineLevel="0" collapsed="false">
      <c r="A31" s="28" t="n">
        <v>46499</v>
      </c>
      <c r="B31" s="2" t="s">
        <v>178</v>
      </c>
      <c r="D31" s="2" t="s">
        <v>179</v>
      </c>
      <c r="E31" s="2" t="s">
        <v>106</v>
      </c>
      <c r="F31" s="30" t="n">
        <v>72</v>
      </c>
      <c r="G31" s="6" t="n">
        <f aca="false">IF(F31&lt;&gt;0,F31*G$2/(100+G$2)," ")</f>
        <v>12</v>
      </c>
      <c r="H31" s="6" t="n">
        <f aca="false">IF((F31&lt;&gt;0),F31-G31," ")</f>
        <v>60</v>
      </c>
      <c r="I31" s="5"/>
      <c r="L31" s="7" t="n">
        <f aca="false">IF(F31&lt;&gt;0,F31-K31," ")</f>
        <v>72</v>
      </c>
      <c r="M31" s="8" t="n">
        <f aca="false">IF((F31-K31)&lt;&gt;0,M$1-A31," ")</f>
        <v>-221</v>
      </c>
      <c r="N31" s="5"/>
      <c r="O31" s="17" t="str">
        <f aca="false">IF((E31="s"),H31," ")</f>
        <v> </v>
      </c>
      <c r="P31" s="17" t="str">
        <f aca="false">IF((E31="c"),H31," ")</f>
        <v> </v>
      </c>
      <c r="Q31" s="17" t="str">
        <f aca="false">IF((E31="o"),H31," ")</f>
        <v> </v>
      </c>
      <c r="R31" s="17" t="str">
        <f aca="false">IF((E31="d"),H31," ")</f>
        <v> </v>
      </c>
      <c r="S31" s="17" t="str">
        <f aca="false">IF((E31="w"),H31," ")</f>
        <v> </v>
      </c>
      <c r="T31" s="17" t="str">
        <f aca="false">IF((E31="r"),H31," ")</f>
        <v> </v>
      </c>
      <c r="U31" s="17" t="str">
        <f aca="false">IF((E31="p"),H31," ")</f>
        <v> </v>
      </c>
      <c r="V31" s="17" t="str">
        <f aca="false">IF((E31="t"),H31," ")</f>
        <v> </v>
      </c>
      <c r="W31" s="17" t="str">
        <f aca="false">IF((E31="q"),H31," ")</f>
        <v> </v>
      </c>
      <c r="X31" s="17" t="str">
        <f aca="false">IF((E31="m"),H31," ")</f>
        <v> </v>
      </c>
      <c r="Y31" s="17" t="str">
        <f aca="false">IF((E31="u"),H31," ")</f>
        <v> </v>
      </c>
      <c r="Z31" s="17" t="str">
        <f aca="false">IF((E31="a"),H31," ")</f>
        <v> </v>
      </c>
      <c r="AA31" s="17" t="str">
        <f aca="false">IF((E31="g"),H31," ")</f>
        <v> </v>
      </c>
      <c r="AB31" s="17" t="str">
        <f aca="false">IF((E31="h"),H31," ")</f>
        <v> </v>
      </c>
      <c r="AC31" s="30" t="n">
        <f aca="false">IF((E31="v"),H31," ")</f>
        <v>60</v>
      </c>
      <c r="AD31" s="30" t="str">
        <f aca="false">IF((E31="n"),H31," ")</f>
        <v> </v>
      </c>
      <c r="AE31" s="17" t="str">
        <f aca="false">IF((E31="f"),H31," ")</f>
        <v> </v>
      </c>
      <c r="AF31" s="17" t="str">
        <f aca="false">IF((E31="l"),H31," ")</f>
        <v> </v>
      </c>
      <c r="AG31" s="17" t="str">
        <f aca="false">IF((E31="y"),H31," ")</f>
        <v> </v>
      </c>
      <c r="AH31" s="17" t="str">
        <f aca="false">IF((E31="z"),H31," ")</f>
        <v> </v>
      </c>
      <c r="AI31" s="17" t="str">
        <f aca="false">IF((E31="fa"),H31," ")</f>
        <v> </v>
      </c>
      <c r="AJ31" s="17" t="str">
        <f aca="false">IF((E31="e"),H31," ")</f>
        <v> </v>
      </c>
      <c r="BZ31" s="2" t="s">
        <v>107</v>
      </c>
    </row>
    <row r="32" customFormat="false" ht="12" hidden="false" customHeight="false" outlineLevel="0" collapsed="false">
      <c r="A32" s="28" t="n">
        <v>46502</v>
      </c>
      <c r="B32" s="2" t="s">
        <v>192</v>
      </c>
      <c r="D32" s="2" t="s">
        <v>193</v>
      </c>
      <c r="E32" s="2" t="s">
        <v>194</v>
      </c>
      <c r="F32" s="30" t="n">
        <v>300</v>
      </c>
      <c r="G32" s="6" t="n">
        <f aca="false">IF(F32&lt;&gt;0,F32*G$2/(100+G$2)," ")</f>
        <v>50</v>
      </c>
      <c r="H32" s="6" t="n">
        <f aca="false">IF((F32&lt;&gt;0),F32-G32," ")</f>
        <v>250</v>
      </c>
      <c r="I32" s="5"/>
      <c r="L32" s="7" t="n">
        <f aca="false">IF(F32&lt;&gt;0,F32-K32," ")</f>
        <v>300</v>
      </c>
      <c r="M32" s="8" t="n">
        <f aca="false">IF((F32-K32)&lt;&gt;0,M$1-A32," ")</f>
        <v>-224</v>
      </c>
      <c r="N32" s="5"/>
      <c r="O32" s="17" t="str">
        <f aca="false">IF((E32="s"),H32," ")</f>
        <v> </v>
      </c>
      <c r="P32" s="17" t="str">
        <f aca="false">IF((E32="c"),H32," ")</f>
        <v> </v>
      </c>
      <c r="Q32" s="17" t="str">
        <f aca="false">IF((E32="o"),H32," ")</f>
        <v> </v>
      </c>
      <c r="R32" s="17" t="str">
        <f aca="false">IF((E32="d"),H32," ")</f>
        <v> </v>
      </c>
      <c r="S32" s="17" t="str">
        <f aca="false">IF((E32="w"),H32," ")</f>
        <v> </v>
      </c>
      <c r="T32" s="17" t="str">
        <f aca="false">IF((E32="r"),H32," ")</f>
        <v> </v>
      </c>
      <c r="U32" s="17" t="n">
        <f aca="false">IF((E32="p"),H32," ")</f>
        <v>250</v>
      </c>
      <c r="V32" s="17" t="str">
        <f aca="false">IF((E32="t"),H32," ")</f>
        <v> </v>
      </c>
      <c r="W32" s="17" t="str">
        <f aca="false">IF((E32="q"),H32," ")</f>
        <v> </v>
      </c>
      <c r="X32" s="17" t="str">
        <f aca="false">IF((E32="m"),H32," ")</f>
        <v> </v>
      </c>
      <c r="Y32" s="17" t="str">
        <f aca="false">IF((E32="u"),H32," ")</f>
        <v> </v>
      </c>
      <c r="Z32" s="17" t="str">
        <f aca="false">IF((E32="a"),H32," ")</f>
        <v> </v>
      </c>
      <c r="AA32" s="17" t="str">
        <f aca="false">IF((E32="g"),H32," ")</f>
        <v> </v>
      </c>
      <c r="AB32" s="17" t="str">
        <f aca="false">IF((E32="h"),H32," ")</f>
        <v> </v>
      </c>
      <c r="AC32" s="30" t="str">
        <f aca="false">IF((E32="v"),H32," ")</f>
        <v> </v>
      </c>
      <c r="AD32" s="30" t="str">
        <f aca="false">IF((E32="n"),H32," ")</f>
        <v> </v>
      </c>
      <c r="AE32" s="17" t="str">
        <f aca="false">IF((E32="f"),H32," ")</f>
        <v> </v>
      </c>
      <c r="AF32" s="17" t="str">
        <f aca="false">IF((E32="l"),H32," ")</f>
        <v> </v>
      </c>
      <c r="AG32" s="17" t="str">
        <f aca="false">IF((E32="y"),H32," ")</f>
        <v> </v>
      </c>
      <c r="AH32" s="17" t="str">
        <f aca="false">IF((E32="z"),H32," ")</f>
        <v> </v>
      </c>
      <c r="AI32" s="17" t="str">
        <f aca="false">IF((E32="fa"),H32," ")</f>
        <v> </v>
      </c>
      <c r="AJ32" s="17" t="str">
        <f aca="false">IF((E32="e"),H32," ")</f>
        <v> </v>
      </c>
      <c r="BZ32" s="2" t="s">
        <v>195</v>
      </c>
    </row>
    <row r="33" customFormat="false" ht="12" hidden="false" customHeight="false" outlineLevel="0" collapsed="false">
      <c r="A33" s="28" t="n">
        <v>46502</v>
      </c>
      <c r="B33" s="2" t="s">
        <v>145</v>
      </c>
      <c r="D33" s="2" t="s">
        <v>146</v>
      </c>
      <c r="E33" s="2" t="s">
        <v>100</v>
      </c>
      <c r="F33" s="30" t="n">
        <v>15</v>
      </c>
      <c r="G33" s="6" t="n">
        <f aca="false">IF(F33&lt;&gt;0,F33*G$2/(100+G$2)," ")</f>
        <v>2.5</v>
      </c>
      <c r="H33" s="6" t="n">
        <f aca="false">IF((F33&lt;&gt;0),F33-G33," ")</f>
        <v>12.5</v>
      </c>
      <c r="I33" s="5"/>
      <c r="L33" s="7" t="n">
        <f aca="false">IF(F33&lt;&gt;0,F33-K33," ")</f>
        <v>15</v>
      </c>
      <c r="M33" s="8" t="n">
        <f aca="false">IF((F33-K33)&lt;&gt;0,M$1-A33," ")</f>
        <v>-224</v>
      </c>
      <c r="N33" s="5"/>
      <c r="O33" s="17" t="str">
        <f aca="false">IF((E33="s"),H33," ")</f>
        <v> </v>
      </c>
      <c r="P33" s="17" t="str">
        <f aca="false">IF((E33="c"),H33," ")</f>
        <v> </v>
      </c>
      <c r="Q33" s="17" t="str">
        <f aca="false">IF((E33="o"),H33," ")</f>
        <v> </v>
      </c>
      <c r="R33" s="17" t="str">
        <f aca="false">IF((E33="d"),H33," ")</f>
        <v> </v>
      </c>
      <c r="S33" s="17" t="str">
        <f aca="false">IF((E33="w"),H33," ")</f>
        <v> </v>
      </c>
      <c r="T33" s="17" t="str">
        <f aca="false">IF((E33="r"),H33," ")</f>
        <v> </v>
      </c>
      <c r="U33" s="17" t="str">
        <f aca="false">IF((E33="p"),H33," ")</f>
        <v> </v>
      </c>
      <c r="V33" s="17" t="str">
        <f aca="false">IF((E33="t"),H33," ")</f>
        <v> </v>
      </c>
      <c r="W33" s="17" t="str">
        <f aca="false">IF((E33="q"),H33," ")</f>
        <v> </v>
      </c>
      <c r="X33" s="17" t="str">
        <f aca="false">IF((E33="m"),H33," ")</f>
        <v> </v>
      </c>
      <c r="Y33" s="17" t="n">
        <f aca="false">IF((E33="u"),H33," ")</f>
        <v>12.5</v>
      </c>
      <c r="Z33" s="17" t="str">
        <f aca="false">IF((E33="a"),H33," ")</f>
        <v> </v>
      </c>
      <c r="AA33" s="17" t="str">
        <f aca="false">IF((E33="g"),H33," ")</f>
        <v> </v>
      </c>
      <c r="AB33" s="17" t="str">
        <f aca="false">IF((E33="h"),H33," ")</f>
        <v> </v>
      </c>
      <c r="AC33" s="30" t="str">
        <f aca="false">IF((E33="v"),H33," ")</f>
        <v> </v>
      </c>
      <c r="AD33" s="30" t="str">
        <f aca="false">IF((E33="n"),H33," ")</f>
        <v> </v>
      </c>
      <c r="AE33" s="17" t="str">
        <f aca="false">IF((E33="f"),H33," ")</f>
        <v> </v>
      </c>
      <c r="AF33" s="17" t="str">
        <f aca="false">IF((E33="l"),H33," ")</f>
        <v> </v>
      </c>
      <c r="AG33" s="17" t="str">
        <f aca="false">IF((E33="y"),H33," ")</f>
        <v> </v>
      </c>
      <c r="AH33" s="17" t="str">
        <f aca="false">IF((E33="z"),H33," ")</f>
        <v> </v>
      </c>
      <c r="AI33" s="17" t="str">
        <f aca="false">IF((E33="fa"),H33," ")</f>
        <v> </v>
      </c>
      <c r="AJ33" s="17" t="str">
        <f aca="false">IF((E33="e"),H33," ")</f>
        <v> </v>
      </c>
      <c r="BZ33" s="2" t="s">
        <v>101</v>
      </c>
    </row>
    <row r="34" customFormat="false" ht="12" hidden="false" customHeight="false" outlineLevel="0" collapsed="false">
      <c r="A34" s="28" t="n">
        <v>46502</v>
      </c>
      <c r="B34" s="2" t="s">
        <v>147</v>
      </c>
      <c r="D34" s="2" t="s">
        <v>231</v>
      </c>
      <c r="E34" s="2" t="s">
        <v>106</v>
      </c>
      <c r="F34" s="30" t="n">
        <v>72</v>
      </c>
      <c r="G34" s="6" t="n">
        <f aca="false">IF(F34&lt;&gt;0,F34*G$2/(100+G$2)," ")</f>
        <v>12</v>
      </c>
      <c r="H34" s="6" t="n">
        <f aca="false">IF((F34&lt;&gt;0),F34-G34," ")</f>
        <v>60</v>
      </c>
      <c r="I34" s="5"/>
      <c r="L34" s="7" t="n">
        <f aca="false">IF(F34&lt;&gt;0,F34-K34," ")</f>
        <v>72</v>
      </c>
      <c r="M34" s="8" t="n">
        <f aca="false">IF((F34-K34)&lt;&gt;0,M$1-A34," ")</f>
        <v>-224</v>
      </c>
      <c r="N34" s="5"/>
      <c r="O34" s="17" t="str">
        <f aca="false">IF((E34="s"),H34," ")</f>
        <v> </v>
      </c>
      <c r="P34" s="17" t="str">
        <f aca="false">IF((E34="c"),H34," ")</f>
        <v> </v>
      </c>
      <c r="Q34" s="17" t="str">
        <f aca="false">IF((E34="o"),H34," ")</f>
        <v> </v>
      </c>
      <c r="R34" s="17" t="str">
        <f aca="false">IF((E34="d"),H34," ")</f>
        <v> </v>
      </c>
      <c r="S34" s="17" t="str">
        <f aca="false">IF((E34="w"),H34," ")</f>
        <v> </v>
      </c>
      <c r="T34" s="17" t="str">
        <f aca="false">IF((E34="r"),H34," ")</f>
        <v> </v>
      </c>
      <c r="U34" s="17" t="str">
        <f aca="false">IF((E34="p"),H34," ")</f>
        <v> </v>
      </c>
      <c r="V34" s="17" t="str">
        <f aca="false">IF((E34="t"),H34," ")</f>
        <v> </v>
      </c>
      <c r="W34" s="17" t="str">
        <f aca="false">IF((E34="q"),H34," ")</f>
        <v> </v>
      </c>
      <c r="X34" s="17" t="str">
        <f aca="false">IF((E34="m"),H34," ")</f>
        <v> </v>
      </c>
      <c r="Y34" s="17" t="str">
        <f aca="false">IF((E34="u"),H34," ")</f>
        <v> </v>
      </c>
      <c r="Z34" s="17" t="str">
        <f aca="false">IF((E34="a"),H34," ")</f>
        <v> </v>
      </c>
      <c r="AA34" s="17" t="str">
        <f aca="false">IF((E34="g"),H34," ")</f>
        <v> </v>
      </c>
      <c r="AB34" s="17" t="str">
        <f aca="false">IF((E34="h"),H34," ")</f>
        <v> </v>
      </c>
      <c r="AC34" s="30" t="n">
        <f aca="false">IF((E34="v"),H34," ")</f>
        <v>60</v>
      </c>
      <c r="AD34" s="30" t="str">
        <f aca="false">IF((E34="n"),H34," ")</f>
        <v> </v>
      </c>
      <c r="AE34" s="17" t="str">
        <f aca="false">IF((E34="f"),H34," ")</f>
        <v> </v>
      </c>
      <c r="AF34" s="17" t="str">
        <f aca="false">IF((E34="l"),H34," ")</f>
        <v> </v>
      </c>
      <c r="AG34" s="17" t="str">
        <f aca="false">IF((E34="y"),H34," ")</f>
        <v> </v>
      </c>
      <c r="AH34" s="17" t="str">
        <f aca="false">IF((E34="z"),H34," ")</f>
        <v> </v>
      </c>
      <c r="AI34" s="17" t="str">
        <f aca="false">IF((E34="fa"),H34," ")</f>
        <v> </v>
      </c>
      <c r="AJ34" s="17" t="str">
        <f aca="false">IF((E34="e"),H34," ")</f>
        <v> </v>
      </c>
      <c r="BZ34" s="2" t="s">
        <v>107</v>
      </c>
    </row>
    <row r="35" customFormat="false" ht="12" hidden="false" customHeight="false" outlineLevel="0" collapsed="false">
      <c r="A35" s="28" t="n">
        <v>46505</v>
      </c>
      <c r="B35" s="2" t="s">
        <v>20</v>
      </c>
      <c r="D35" s="2" t="s">
        <v>149</v>
      </c>
      <c r="E35" s="2" t="s">
        <v>106</v>
      </c>
      <c r="F35" s="30" t="n">
        <v>120</v>
      </c>
      <c r="G35" s="6" t="n">
        <f aca="false">IF(F35&lt;&gt;0,F35*G$2/(100+G$2)," ")</f>
        <v>20</v>
      </c>
      <c r="H35" s="6" t="n">
        <f aca="false">IF((F35&lt;&gt;0),F35-G35," ")</f>
        <v>100</v>
      </c>
      <c r="I35" s="5"/>
      <c r="L35" s="7" t="n">
        <f aca="false">IF(F35&lt;&gt;0,F35-K35," ")</f>
        <v>120</v>
      </c>
      <c r="M35" s="8" t="n">
        <f aca="false">IF((F35-K35)&lt;&gt;0,M$1-A35," ")</f>
        <v>-227</v>
      </c>
      <c r="N35" s="5"/>
      <c r="O35" s="17" t="str">
        <f aca="false">IF((E35="s"),H35," ")</f>
        <v> </v>
      </c>
      <c r="P35" s="17" t="str">
        <f aca="false">IF((E35="c"),H35," ")</f>
        <v> </v>
      </c>
      <c r="Q35" s="17" t="str">
        <f aca="false">IF((E35="o"),H35," ")</f>
        <v> </v>
      </c>
      <c r="R35" s="17" t="str">
        <f aca="false">IF((E35="d"),H35," ")</f>
        <v> </v>
      </c>
      <c r="S35" s="17" t="str">
        <f aca="false">IF((E35="w"),H35," ")</f>
        <v> </v>
      </c>
      <c r="T35" s="17" t="str">
        <f aca="false">IF((E35="r"),H35," ")</f>
        <v> </v>
      </c>
      <c r="U35" s="17" t="str">
        <f aca="false">IF((E35="p"),H35," ")</f>
        <v> </v>
      </c>
      <c r="V35" s="17" t="str">
        <f aca="false">IF((E35="t"),H35," ")</f>
        <v> </v>
      </c>
      <c r="W35" s="17" t="str">
        <f aca="false">IF((E35="q"),H35," ")</f>
        <v> </v>
      </c>
      <c r="X35" s="17" t="str">
        <f aca="false">IF((E35="m"),H35," ")</f>
        <v> </v>
      </c>
      <c r="Y35" s="17" t="str">
        <f aca="false">IF((E35="u"),H35," ")</f>
        <v> </v>
      </c>
      <c r="Z35" s="17" t="str">
        <f aca="false">IF((E35="a"),H35," ")</f>
        <v> </v>
      </c>
      <c r="AA35" s="17" t="str">
        <f aca="false">IF((E35="g"),H35," ")</f>
        <v> </v>
      </c>
      <c r="AB35" s="17" t="str">
        <f aca="false">IF((E35="h"),H35," ")</f>
        <v> </v>
      </c>
      <c r="AC35" s="30" t="n">
        <f aca="false">IF((E35="v"),H35," ")</f>
        <v>100</v>
      </c>
      <c r="AD35" s="30" t="str">
        <f aca="false">IF((E35="n"),H35," ")</f>
        <v> </v>
      </c>
      <c r="AE35" s="17" t="str">
        <f aca="false">IF((E35="f"),H35," ")</f>
        <v> </v>
      </c>
      <c r="AF35" s="17" t="str">
        <f aca="false">IF((E35="l"),H35," ")</f>
        <v> </v>
      </c>
      <c r="AG35" s="17" t="str">
        <f aca="false">IF((E35="y"),H35," ")</f>
        <v> </v>
      </c>
      <c r="AH35" s="17" t="str">
        <f aca="false">IF((E35="z"),H35," ")</f>
        <v> </v>
      </c>
      <c r="AI35" s="17" t="str">
        <f aca="false">IF((E35="fa"),H35," ")</f>
        <v> </v>
      </c>
      <c r="AJ35" s="17" t="str">
        <f aca="false">IF((E35="e"),H35," ")</f>
        <v> </v>
      </c>
      <c r="BZ35" s="2" t="s">
        <v>107</v>
      </c>
    </row>
    <row r="36" customFormat="false" ht="12" hidden="false" customHeight="false" outlineLevel="0" collapsed="false">
      <c r="A36" s="28" t="n">
        <v>46507</v>
      </c>
      <c r="B36" s="2" t="s">
        <v>16</v>
      </c>
      <c r="D36" s="2" t="s">
        <v>150</v>
      </c>
      <c r="E36" s="2" t="s">
        <v>151</v>
      </c>
      <c r="F36" s="30" t="n">
        <v>300</v>
      </c>
      <c r="G36" s="6" t="n">
        <f aca="false">IF(F36&lt;&gt;0,F36*G$2/(100+G$2)," ")</f>
        <v>50</v>
      </c>
      <c r="H36" s="6" t="n">
        <f aca="false">IF((F36&lt;&gt;0),F36-G36," ")</f>
        <v>250</v>
      </c>
      <c r="I36" s="5"/>
      <c r="L36" s="7" t="n">
        <f aca="false">IF(F36&lt;&gt;0,F36-K36," ")</f>
        <v>300</v>
      </c>
      <c r="M36" s="8" t="n">
        <f aca="false">IF((F36-K36)&lt;&gt;0,M$1-A36," ")</f>
        <v>-229</v>
      </c>
      <c r="N36" s="5"/>
      <c r="O36" s="17" t="str">
        <f aca="false">IF((E36="s"),H36," ")</f>
        <v> </v>
      </c>
      <c r="P36" s="17" t="str">
        <f aca="false">IF((E36="c"),H36," ")</f>
        <v> </v>
      </c>
      <c r="Q36" s="17" t="str">
        <f aca="false">IF((E36="o"),H36," ")</f>
        <v> </v>
      </c>
      <c r="R36" s="17" t="str">
        <f aca="false">IF((E36="d"),H36," ")</f>
        <v> </v>
      </c>
      <c r="S36" s="17" t="str">
        <f aca="false">IF((E36="w"),H36," ")</f>
        <v> </v>
      </c>
      <c r="T36" s="17" t="str">
        <f aca="false">IF((E36="r"),H36," ")</f>
        <v> </v>
      </c>
      <c r="U36" s="17" t="str">
        <f aca="false">IF((E36="p"),H36," ")</f>
        <v> </v>
      </c>
      <c r="V36" s="17" t="str">
        <f aca="false">IF((E36="t"),H36," ")</f>
        <v> </v>
      </c>
      <c r="W36" s="17" t="str">
        <f aca="false">IF((E36="q"),H36," ")</f>
        <v> </v>
      </c>
      <c r="X36" s="17" t="str">
        <f aca="false">IF((E36="m"),H36," ")</f>
        <v> </v>
      </c>
      <c r="Y36" s="17" t="str">
        <f aca="false">IF((E36="u"),H36," ")</f>
        <v> </v>
      </c>
      <c r="Z36" s="17" t="str">
        <f aca="false">IF((E36="a"),H36," ")</f>
        <v> </v>
      </c>
      <c r="AA36" s="17" t="str">
        <f aca="false">IF((E36="g"),H36," ")</f>
        <v> </v>
      </c>
      <c r="AB36" s="17" t="str">
        <f aca="false">IF((E36="h"),H36," ")</f>
        <v> </v>
      </c>
      <c r="AC36" s="30" t="str">
        <f aca="false">IF((E36="v"),H36," ")</f>
        <v> </v>
      </c>
      <c r="AD36" s="30" t="str">
        <f aca="false">IF((E36="n"),H36," ")</f>
        <v> </v>
      </c>
      <c r="AE36" s="17" t="str">
        <f aca="false">IF((E36="f"),H36," ")</f>
        <v> </v>
      </c>
      <c r="AF36" s="17" t="n">
        <f aca="false">IF((E36="l"),H36," ")</f>
        <v>250</v>
      </c>
      <c r="AG36" s="17" t="str">
        <f aca="false">IF((E36="y"),H36," ")</f>
        <v> </v>
      </c>
      <c r="AH36" s="17" t="str">
        <f aca="false">IF((E36="z"),H36," ")</f>
        <v> </v>
      </c>
      <c r="AI36" s="17" t="str">
        <f aca="false">IF((E36="fa"),H36," ")</f>
        <v> </v>
      </c>
      <c r="AJ36" s="17" t="str">
        <f aca="false">IF((E36="e"),H36," ")</f>
        <v> </v>
      </c>
      <c r="BZ36" s="2" t="s">
        <v>152</v>
      </c>
    </row>
    <row r="37" customFormat="false" ht="12" hidden="false" customHeight="false" outlineLevel="0" collapsed="false">
      <c r="A37" s="28" t="n">
        <v>46507</v>
      </c>
      <c r="B37" s="2" t="s">
        <v>197</v>
      </c>
      <c r="C37" s="3" t="s">
        <v>232</v>
      </c>
      <c r="D37" s="2" t="s">
        <v>199</v>
      </c>
      <c r="E37" s="2" t="s">
        <v>151</v>
      </c>
      <c r="F37" s="30" t="n">
        <v>208</v>
      </c>
      <c r="G37" s="6" t="n">
        <f aca="false">IF(F37&lt;&gt;0,F37*G$2/(100+G$2)," ")</f>
        <v>34.6666666666667</v>
      </c>
      <c r="H37" s="6" t="n">
        <f aca="false">IF((F37&lt;&gt;0),F37-G37," ")</f>
        <v>173.333333333333</v>
      </c>
      <c r="I37" s="5"/>
      <c r="L37" s="7" t="n">
        <f aca="false">IF(F37&lt;&gt;0,F37-K37," ")</f>
        <v>208</v>
      </c>
      <c r="M37" s="8" t="n">
        <f aca="false">IF((F37-K37)&lt;&gt;0,M$1-A37," ")</f>
        <v>-229</v>
      </c>
      <c r="N37" s="5"/>
      <c r="O37" s="17" t="str">
        <f aca="false">IF((E37="s"),H37," ")</f>
        <v> </v>
      </c>
      <c r="P37" s="17" t="str">
        <f aca="false">IF((E37="c"),H37," ")</f>
        <v> </v>
      </c>
      <c r="Q37" s="17" t="str">
        <f aca="false">IF((E37="o"),H37," ")</f>
        <v> </v>
      </c>
      <c r="R37" s="17" t="str">
        <f aca="false">IF((E37="d"),H37," ")</f>
        <v> </v>
      </c>
      <c r="S37" s="17" t="str">
        <f aca="false">IF((E37="w"),H37," ")</f>
        <v> </v>
      </c>
      <c r="T37" s="17" t="str">
        <f aca="false">IF((E37="r"),H37," ")</f>
        <v> </v>
      </c>
      <c r="U37" s="17" t="str">
        <f aca="false">IF((E37="p"),H37," ")</f>
        <v> </v>
      </c>
      <c r="V37" s="17" t="str">
        <f aca="false">IF((E37="t"),H37," ")</f>
        <v> </v>
      </c>
      <c r="W37" s="17" t="str">
        <f aca="false">IF((E37="q"),H37," ")</f>
        <v> </v>
      </c>
      <c r="X37" s="17" t="str">
        <f aca="false">IF((E37="m"),H37," ")</f>
        <v> </v>
      </c>
      <c r="Y37" s="17" t="str">
        <f aca="false">IF((E37="u"),H37," ")</f>
        <v> </v>
      </c>
      <c r="Z37" s="17" t="str">
        <f aca="false">IF((E37="a"),H37," ")</f>
        <v> </v>
      </c>
      <c r="AA37" s="17" t="str">
        <f aca="false">IF((E37="g"),H37," ")</f>
        <v> </v>
      </c>
      <c r="AB37" s="17" t="str">
        <f aca="false">IF((E37="h"),H37," ")</f>
        <v> </v>
      </c>
      <c r="AC37" s="30" t="str">
        <f aca="false">IF((E37="v"),H37," ")</f>
        <v> </v>
      </c>
      <c r="AD37" s="30" t="str">
        <f aca="false">IF((E37="n"),H37," ")</f>
        <v> </v>
      </c>
      <c r="AE37" s="17" t="str">
        <f aca="false">IF((E37="f"),H37," ")</f>
        <v> </v>
      </c>
      <c r="AF37" s="17" t="n">
        <f aca="false">IF((E37="l"),H37," ")</f>
        <v>173.333333333333</v>
      </c>
      <c r="AG37" s="17" t="str">
        <f aca="false">IF((E37="y"),H37," ")</f>
        <v> </v>
      </c>
      <c r="AH37" s="17" t="str">
        <f aca="false">IF((E37="z"),H37," ")</f>
        <v> </v>
      </c>
      <c r="AI37" s="17" t="str">
        <f aca="false">IF((E37="fa"),H37," ")</f>
        <v> </v>
      </c>
      <c r="AJ37" s="17" t="str">
        <f aca="false">IF((E37="e"),H37," ")</f>
        <v> </v>
      </c>
      <c r="BZ37" s="2" t="s">
        <v>200</v>
      </c>
    </row>
    <row r="38" customFormat="false" ht="12" hidden="false" customHeight="false" outlineLevel="0" collapsed="false">
      <c r="A38" s="28" t="n">
        <v>46478</v>
      </c>
      <c r="B38" s="2" t="s">
        <v>201</v>
      </c>
      <c r="C38" s="3" t="s">
        <v>233</v>
      </c>
      <c r="D38" s="2" t="s">
        <v>234</v>
      </c>
      <c r="E38" s="2" t="s">
        <v>168</v>
      </c>
      <c r="F38" s="30" t="n">
        <v>8400</v>
      </c>
      <c r="G38" s="6" t="n">
        <f aca="false">IF(F38&lt;&gt;0,F38*G$2/(100+G$2)," ")</f>
        <v>1400</v>
      </c>
      <c r="H38" s="6" t="n">
        <f aca="false">IF((F38&lt;&gt;0),F38-G38," ")</f>
        <v>7000</v>
      </c>
      <c r="I38" s="5"/>
      <c r="L38" s="7" t="n">
        <f aca="false">IF(F38&lt;&gt;0,F38-K38," ")</f>
        <v>8400</v>
      </c>
      <c r="M38" s="8" t="n">
        <f aca="false">IF((F38-K38)&lt;&gt;0,M$1-A38," ")</f>
        <v>-200</v>
      </c>
      <c r="N38" s="5"/>
      <c r="O38" s="17" t="str">
        <f aca="false">IF((E38="s"),H38," ")</f>
        <v> </v>
      </c>
      <c r="P38" s="17" t="str">
        <f aca="false">IF((E38="c"),H38," ")</f>
        <v> </v>
      </c>
      <c r="Q38" s="17" t="str">
        <f aca="false">IF((E38="o"),H38," ")</f>
        <v> </v>
      </c>
      <c r="R38" s="17" t="str">
        <f aca="false">IF((E38="d"),H38," ")</f>
        <v> </v>
      </c>
      <c r="S38" s="17" t="str">
        <f aca="false">IF((E38="w"),H38," ")</f>
        <v> </v>
      </c>
      <c r="T38" s="17" t="str">
        <f aca="false">IF((E38="r"),H38," ")</f>
        <v> </v>
      </c>
      <c r="U38" s="17" t="str">
        <f aca="false">IF((E38="p"),H38," ")</f>
        <v> </v>
      </c>
      <c r="V38" s="17" t="str">
        <f aca="false">IF((E38="t"),H38," ")</f>
        <v> </v>
      </c>
      <c r="W38" s="17" t="str">
        <f aca="false">IF((E38="q"),H38," ")</f>
        <v> </v>
      </c>
      <c r="X38" s="17" t="str">
        <f aca="false">IF((E38="m"),H38," ")</f>
        <v> </v>
      </c>
      <c r="Y38" s="17" t="str">
        <f aca="false">IF((E38="u"),H38," ")</f>
        <v> </v>
      </c>
      <c r="Z38" s="17" t="str">
        <f aca="false">IF((E38="a"),H38," ")</f>
        <v> </v>
      </c>
      <c r="AA38" s="17" t="str">
        <f aca="false">IF((E38="g"),H38," ")</f>
        <v> </v>
      </c>
      <c r="AB38" s="17" t="str">
        <f aca="false">IF((E38="h"),H38," ")</f>
        <v> </v>
      </c>
      <c r="AC38" s="30" t="str">
        <f aca="false">IF((E38="v"),H38," ")</f>
        <v> </v>
      </c>
      <c r="AD38" s="30" t="str">
        <f aca="false">IF((E38="n"),H38," ")</f>
        <v> </v>
      </c>
      <c r="AE38" s="17" t="str">
        <f aca="false">IF((E38="f"),H38," ")</f>
        <v> </v>
      </c>
      <c r="AF38" s="17" t="str">
        <f aca="false">IF((E38="l"),H38," ")</f>
        <v> </v>
      </c>
      <c r="AG38" s="17" t="str">
        <f aca="false">IF((E38="y"),H38," ")</f>
        <v> </v>
      </c>
      <c r="AH38" s="17" t="str">
        <f aca="false">IF((E38="z"),H38," ")</f>
        <v> </v>
      </c>
      <c r="AI38" s="17" t="n">
        <f aca="false">IF((E38="fa"),H38," ")</f>
        <v>7000</v>
      </c>
      <c r="AJ38" s="17" t="str">
        <f aca="false">IF((E38="e"),H38," ")</f>
        <v> </v>
      </c>
      <c r="BZ38" s="2" t="s">
        <v>169</v>
      </c>
    </row>
    <row r="39" customFormat="false" ht="12" hidden="false" customHeight="false" outlineLevel="0" collapsed="false">
      <c r="A39" s="28"/>
      <c r="E39" s="2"/>
      <c r="F39" s="30"/>
      <c r="G39" s="6" t="str">
        <f aca="false">IF(F39&lt;&gt;0,F39*G$2/(100+G$2)," ")</f>
        <v> </v>
      </c>
      <c r="H39" s="6" t="str">
        <f aca="false">IF((F39&lt;&gt;0),F39-G39," ")</f>
        <v> </v>
      </c>
      <c r="I39" s="5"/>
      <c r="L39" s="7" t="str">
        <f aca="false">IF(F39&lt;&gt;0,F39-K39," ")</f>
        <v> </v>
      </c>
      <c r="M39" s="8" t="str">
        <f aca="false">IF((F39-K39)&lt;&gt;0,M$1-A39," ")</f>
        <v> </v>
      </c>
      <c r="N39" s="5"/>
      <c r="O39" s="17" t="str">
        <f aca="false">IF((E39="s"),H39," ")</f>
        <v> </v>
      </c>
      <c r="P39" s="17" t="str">
        <f aca="false">IF((E39="c"),H39," ")</f>
        <v> </v>
      </c>
      <c r="Q39" s="17" t="str">
        <f aca="false">IF((E39="o"),H39," ")</f>
        <v> </v>
      </c>
      <c r="R39" s="17" t="str">
        <f aca="false">IF((E39="d"),H39," ")</f>
        <v> </v>
      </c>
      <c r="S39" s="17" t="str">
        <f aca="false">IF((E39="w"),H39," ")</f>
        <v> </v>
      </c>
      <c r="T39" s="17" t="str">
        <f aca="false">IF((E39="r"),H39," ")</f>
        <v> </v>
      </c>
      <c r="U39" s="17" t="str">
        <f aca="false">IF((E39="p"),H39," ")</f>
        <v> </v>
      </c>
      <c r="V39" s="17" t="str">
        <f aca="false">IF((E39="t"),H39," ")</f>
        <v> </v>
      </c>
      <c r="W39" s="17" t="str">
        <f aca="false">IF((E39="q"),H39," ")</f>
        <v> </v>
      </c>
      <c r="X39" s="17" t="str">
        <f aca="false">IF((E39="m"),H39," ")</f>
        <v> </v>
      </c>
      <c r="Y39" s="17" t="str">
        <f aca="false">IF((E39="u"),H39," ")</f>
        <v> </v>
      </c>
      <c r="Z39" s="17" t="str">
        <f aca="false">IF((E39="a"),H39," ")</f>
        <v> </v>
      </c>
      <c r="AA39" s="17" t="str">
        <f aca="false">IF((E39="g"),H39," ")</f>
        <v> </v>
      </c>
      <c r="AB39" s="17" t="str">
        <f aca="false">IF((E39="h"),H39," ")</f>
        <v> </v>
      </c>
      <c r="AC39" s="30" t="str">
        <f aca="false">IF((E39="v"),H39," ")</f>
        <v> </v>
      </c>
      <c r="AD39" s="30" t="str">
        <f aca="false">IF((E39="n"),H39," ")</f>
        <v> </v>
      </c>
      <c r="AE39" s="17" t="str">
        <f aca="false">IF((E39="f"),H39," ")</f>
        <v> </v>
      </c>
      <c r="AF39" s="17" t="str">
        <f aca="false">IF((E39="l"),H39," ")</f>
        <v> </v>
      </c>
      <c r="AG39" s="17" t="str">
        <f aca="false">IF((E39="y"),H39," ")</f>
        <v> </v>
      </c>
      <c r="AH39" s="17" t="str">
        <f aca="false">IF((E39="z"),H39," ")</f>
        <v> </v>
      </c>
      <c r="AI39" s="17" t="str">
        <f aca="false">IF((E39="fa"),H39," ")</f>
        <v> </v>
      </c>
      <c r="AJ39" s="17" t="str">
        <f aca="false">IF((E39="e"),H39," ")</f>
        <v> </v>
      </c>
    </row>
    <row r="40" customFormat="false" ht="12" hidden="false" customHeight="false" outlineLevel="0" collapsed="false">
      <c r="A40" s="28"/>
      <c r="E40" s="2"/>
      <c r="F40" s="30"/>
      <c r="G40" s="6" t="str">
        <f aca="false">IF(F40&lt;&gt;0,F40*G$2/(100+G$2)," ")</f>
        <v> </v>
      </c>
      <c r="H40" s="6" t="str">
        <f aca="false">IF((F40&lt;&gt;0),F40-G40," ")</f>
        <v> </v>
      </c>
      <c r="I40" s="5"/>
      <c r="L40" s="7" t="str">
        <f aca="false">IF(F40&lt;&gt;0,F40-K40," ")</f>
        <v> </v>
      </c>
      <c r="M40" s="8" t="str">
        <f aca="false">IF((F40-K40)&lt;&gt;0,M$1-A40," ")</f>
        <v> </v>
      </c>
      <c r="N40" s="5"/>
      <c r="O40" s="17" t="str">
        <f aca="false">IF((E40="s"),H40," ")</f>
        <v> </v>
      </c>
      <c r="P40" s="17" t="str">
        <f aca="false">IF((E40="c"),H40," ")</f>
        <v> </v>
      </c>
      <c r="Q40" s="17" t="str">
        <f aca="false">IF((E40="o"),H40," ")</f>
        <v> </v>
      </c>
      <c r="R40" s="17" t="str">
        <f aca="false">IF((E40="d"),H40," ")</f>
        <v> </v>
      </c>
      <c r="S40" s="17" t="str">
        <f aca="false">IF((E40="w"),H40," ")</f>
        <v> </v>
      </c>
      <c r="T40" s="17" t="str">
        <f aca="false">IF((E40="r"),H40," ")</f>
        <v> </v>
      </c>
      <c r="U40" s="17" t="str">
        <f aca="false">IF((E40="p"),H40," ")</f>
        <v> </v>
      </c>
      <c r="V40" s="17" t="str">
        <f aca="false">IF((E40="t"),H40," ")</f>
        <v> </v>
      </c>
      <c r="W40" s="17" t="str">
        <f aca="false">IF((E40="q"),H40," ")</f>
        <v> </v>
      </c>
      <c r="X40" s="17" t="str">
        <f aca="false">IF((E40="m"),H40," ")</f>
        <v> </v>
      </c>
      <c r="Y40" s="17" t="str">
        <f aca="false">IF((E40="u"),H40," ")</f>
        <v> </v>
      </c>
      <c r="Z40" s="17" t="str">
        <f aca="false">IF((E40="a"),H40," ")</f>
        <v> </v>
      </c>
      <c r="AA40" s="17" t="str">
        <f aca="false">IF((E40="g"),H40," ")</f>
        <v> </v>
      </c>
      <c r="AB40" s="17" t="str">
        <f aca="false">IF((E40="h"),H40," ")</f>
        <v> </v>
      </c>
      <c r="AC40" s="30" t="str">
        <f aca="false">IF((E40="v"),H40," ")</f>
        <v> </v>
      </c>
      <c r="AD40" s="30" t="str">
        <f aca="false">IF((E40="n"),H40," ")</f>
        <v> </v>
      </c>
      <c r="AE40" s="17" t="str">
        <f aca="false">IF((E40="f"),H40," ")</f>
        <v> </v>
      </c>
      <c r="AF40" s="17" t="str">
        <f aca="false">IF((E40="l"),H40," ")</f>
        <v> </v>
      </c>
      <c r="AG40" s="17" t="str">
        <f aca="false">IF((E40="y"),H40," ")</f>
        <v> </v>
      </c>
      <c r="AH40" s="17" t="str">
        <f aca="false">IF((E40="z"),H40," ")</f>
        <v> </v>
      </c>
      <c r="AI40" s="17" t="str">
        <f aca="false">IF((E40="fa"),H40," ")</f>
        <v> </v>
      </c>
      <c r="AJ40" s="17" t="str">
        <f aca="false">IF((E40="e"),H40," ")</f>
        <v> </v>
      </c>
    </row>
    <row r="41" customFormat="false" ht="12" hidden="false" customHeight="false" outlineLevel="0" collapsed="false">
      <c r="A41" s="28"/>
      <c r="E41" s="2"/>
      <c r="F41" s="30"/>
      <c r="G41" s="6" t="str">
        <f aca="false">IF(F41&lt;&gt;0,F41*G$2/(100+G$2)," ")</f>
        <v> </v>
      </c>
      <c r="H41" s="6" t="str">
        <f aca="false">IF((F41&lt;&gt;0),F41-G41," ")</f>
        <v> </v>
      </c>
      <c r="I41" s="5"/>
      <c r="L41" s="7" t="str">
        <f aca="false">IF(F41&lt;&gt;0,F41-K41," ")</f>
        <v> </v>
      </c>
      <c r="M41" s="8" t="str">
        <f aca="false">IF((F41-K41)&lt;&gt;0,M$1-A41," ")</f>
        <v> </v>
      </c>
      <c r="N41" s="5"/>
      <c r="O41" s="17" t="str">
        <f aca="false">IF((E41="s"),H41," ")</f>
        <v> </v>
      </c>
      <c r="P41" s="17" t="str">
        <f aca="false">IF((E41="c"),H41," ")</f>
        <v> </v>
      </c>
      <c r="Q41" s="17" t="str">
        <f aca="false">IF((E41="o"),H41," ")</f>
        <v> </v>
      </c>
      <c r="R41" s="17" t="str">
        <f aca="false">IF((E41="d"),H41," ")</f>
        <v> </v>
      </c>
      <c r="S41" s="17" t="str">
        <f aca="false">IF((E41="w"),H41," ")</f>
        <v> </v>
      </c>
      <c r="T41" s="17" t="str">
        <f aca="false">IF((E41="r"),H41," ")</f>
        <v> </v>
      </c>
      <c r="U41" s="17" t="str">
        <f aca="false">IF((E41="p"),H41," ")</f>
        <v> </v>
      </c>
      <c r="V41" s="17" t="str">
        <f aca="false">IF((E41="t"),H41," ")</f>
        <v> </v>
      </c>
      <c r="W41" s="17" t="str">
        <f aca="false">IF((E41="q"),H41," ")</f>
        <v> </v>
      </c>
      <c r="X41" s="17" t="str">
        <f aca="false">IF((E41="m"),H41," ")</f>
        <v> </v>
      </c>
      <c r="Y41" s="17" t="str">
        <f aca="false">IF((E41="u"),H41," ")</f>
        <v> </v>
      </c>
      <c r="Z41" s="17" t="str">
        <f aca="false">IF((E41="a"),H41," ")</f>
        <v> </v>
      </c>
      <c r="AA41" s="17" t="str">
        <f aca="false">IF((E41="g"),H41," ")</f>
        <v> </v>
      </c>
      <c r="AB41" s="17" t="str">
        <f aca="false">IF((E41="h"),H41," ")</f>
        <v> </v>
      </c>
      <c r="AC41" s="30" t="str">
        <f aca="false">IF((E41="v"),H41," ")</f>
        <v> </v>
      </c>
      <c r="AD41" s="30" t="str">
        <f aca="false">IF((E41="n"),H41," ")</f>
        <v> </v>
      </c>
      <c r="AE41" s="17" t="str">
        <f aca="false">IF((E41="f"),H41," ")</f>
        <v> </v>
      </c>
      <c r="AF41" s="17" t="str">
        <f aca="false">IF((E41="l"),H41," ")</f>
        <v> </v>
      </c>
      <c r="AG41" s="17" t="str">
        <f aca="false">IF((E41="y"),H41," ")</f>
        <v> </v>
      </c>
      <c r="AH41" s="17" t="str">
        <f aca="false">IF((E41="z"),H41," ")</f>
        <v> </v>
      </c>
      <c r="AI41" s="17" t="str">
        <f aca="false">IF((E41="fa"),H41," ")</f>
        <v> </v>
      </c>
      <c r="AJ41" s="17" t="str">
        <f aca="false">IF((E41="e"),H41," ")</f>
        <v> </v>
      </c>
    </row>
    <row r="42" customFormat="false" ht="12" hidden="false" customHeight="false" outlineLevel="0" collapsed="false">
      <c r="A42" s="28"/>
      <c r="E42" s="2"/>
      <c r="F42" s="30"/>
      <c r="G42" s="6" t="str">
        <f aca="false">IF(F42&lt;&gt;0,F42*G$2/(100+G$2)," ")</f>
        <v> </v>
      </c>
      <c r="H42" s="6" t="str">
        <f aca="false">IF((F42&lt;&gt;0),F42-G42," ")</f>
        <v> </v>
      </c>
      <c r="I42" s="5"/>
      <c r="L42" s="7" t="str">
        <f aca="false">IF(F42&lt;&gt;0,F42-K42," ")</f>
        <v> </v>
      </c>
      <c r="M42" s="8" t="str">
        <f aca="false">IF((F42-K42)&lt;&gt;0,M$1-A42," ")</f>
        <v> </v>
      </c>
      <c r="N42" s="5"/>
      <c r="O42" s="17" t="str">
        <f aca="false">IF((E42="s"),H42," ")</f>
        <v> </v>
      </c>
      <c r="P42" s="17" t="str">
        <f aca="false">IF((E42="c"),H42," ")</f>
        <v> </v>
      </c>
      <c r="Q42" s="17" t="str">
        <f aca="false">IF((E42="o"),H42," ")</f>
        <v> </v>
      </c>
      <c r="R42" s="17" t="str">
        <f aca="false">IF((E42="d"),H42," ")</f>
        <v> </v>
      </c>
      <c r="S42" s="17" t="str">
        <f aca="false">IF((E42="w"),H42," ")</f>
        <v> </v>
      </c>
      <c r="T42" s="17" t="str">
        <f aca="false">IF((E42="r"),H42," ")</f>
        <v> </v>
      </c>
      <c r="U42" s="17" t="str">
        <f aca="false">IF((E42="p"),H42," ")</f>
        <v> </v>
      </c>
      <c r="V42" s="17" t="str">
        <f aca="false">IF((E42="t"),H42," ")</f>
        <v> </v>
      </c>
      <c r="W42" s="17" t="str">
        <f aca="false">IF((E42="q"),H42," ")</f>
        <v> </v>
      </c>
      <c r="X42" s="17" t="str">
        <f aca="false">IF((E42="m"),H42," ")</f>
        <v> </v>
      </c>
      <c r="Y42" s="17" t="str">
        <f aca="false">IF((E42="u"),H42," ")</f>
        <v> </v>
      </c>
      <c r="Z42" s="17" t="str">
        <f aca="false">IF((E42="a"),H42," ")</f>
        <v> </v>
      </c>
      <c r="AA42" s="17" t="str">
        <f aca="false">IF((E42="g"),H42," ")</f>
        <v> </v>
      </c>
      <c r="AB42" s="17" t="str">
        <f aca="false">IF((E42="h"),H42," ")</f>
        <v> </v>
      </c>
      <c r="AC42" s="30" t="str">
        <f aca="false">IF((E42="v"),H42," ")</f>
        <v> </v>
      </c>
      <c r="AD42" s="30" t="str">
        <f aca="false">IF((E42="n"),H42," ")</f>
        <v> </v>
      </c>
      <c r="AE42" s="17" t="str">
        <f aca="false">IF((E42="f"),H42," ")</f>
        <v> </v>
      </c>
      <c r="AF42" s="17" t="str">
        <f aca="false">IF((E42="l"),H42," ")</f>
        <v> </v>
      </c>
      <c r="AG42" s="17" t="str">
        <f aca="false">IF((E42="y"),H42," ")</f>
        <v> </v>
      </c>
      <c r="AH42" s="17" t="str">
        <f aca="false">IF((E42="z"),H42," ")</f>
        <v> </v>
      </c>
      <c r="AI42" s="17" t="str">
        <f aca="false">IF((E42="fa"),H42," ")</f>
        <v> </v>
      </c>
      <c r="AJ42" s="17" t="str">
        <f aca="false">IF((E42="e"),H42," ")</f>
        <v> </v>
      </c>
    </row>
    <row r="43" customFormat="false" ht="12" hidden="false" customHeight="false" outlineLevel="0" collapsed="false">
      <c r="A43" s="28"/>
      <c r="E43" s="2"/>
      <c r="F43" s="30"/>
      <c r="G43" s="6" t="str">
        <f aca="false">IF(F43&lt;&gt;0,F43*G$2/(100+G$2)," ")</f>
        <v> </v>
      </c>
      <c r="H43" s="6" t="str">
        <f aca="false">IF((F43&lt;&gt;0),F43-G43," ")</f>
        <v> </v>
      </c>
      <c r="I43" s="5"/>
      <c r="L43" s="7" t="str">
        <f aca="false">IF(F43&lt;&gt;0,F43-K43," ")</f>
        <v> </v>
      </c>
      <c r="M43" s="8" t="str">
        <f aca="false">IF((F43-K43)&lt;&gt;0,M$1-A43," ")</f>
        <v> </v>
      </c>
      <c r="N43" s="5"/>
      <c r="O43" s="17" t="str">
        <f aca="false">IF((E43="s"),H43," ")</f>
        <v> </v>
      </c>
      <c r="P43" s="17" t="str">
        <f aca="false">IF((E43="c"),H43," ")</f>
        <v> </v>
      </c>
      <c r="Q43" s="17" t="str">
        <f aca="false">IF((E43="o"),H43," ")</f>
        <v> </v>
      </c>
      <c r="R43" s="17" t="str">
        <f aca="false">IF((E43="d"),H43," ")</f>
        <v> </v>
      </c>
      <c r="S43" s="17" t="str">
        <f aca="false">IF((E43="w"),H43," ")</f>
        <v> </v>
      </c>
      <c r="T43" s="17" t="str">
        <f aca="false">IF((E43="r"),H43," ")</f>
        <v> </v>
      </c>
      <c r="U43" s="17" t="str">
        <f aca="false">IF((E43="p"),H43," ")</f>
        <v> </v>
      </c>
      <c r="V43" s="17" t="str">
        <f aca="false">IF((E43="t"),H43," ")</f>
        <v> </v>
      </c>
      <c r="W43" s="17" t="str">
        <f aca="false">IF((E43="q"),H43," ")</f>
        <v> </v>
      </c>
      <c r="X43" s="17" t="str">
        <f aca="false">IF((E43="m"),H43," ")</f>
        <v> </v>
      </c>
      <c r="Y43" s="17" t="str">
        <f aca="false">IF((E43="u"),H43," ")</f>
        <v> </v>
      </c>
      <c r="Z43" s="17" t="str">
        <f aca="false">IF((E43="a"),H43," ")</f>
        <v> </v>
      </c>
      <c r="AA43" s="17" t="str">
        <f aca="false">IF((E43="g"),H43," ")</f>
        <v> </v>
      </c>
      <c r="AB43" s="17" t="str">
        <f aca="false">IF((E43="h"),H43," ")</f>
        <v> </v>
      </c>
      <c r="AC43" s="30" t="str">
        <f aca="false">IF((E43="v"),H43," ")</f>
        <v> </v>
      </c>
      <c r="AD43" s="30" t="str">
        <f aca="false">IF((E43="n"),H43," ")</f>
        <v> </v>
      </c>
      <c r="AE43" s="17" t="str">
        <f aca="false">IF((E43="f"),H43," ")</f>
        <v> </v>
      </c>
      <c r="AF43" s="17" t="str">
        <f aca="false">IF((E43="l"),H43," ")</f>
        <v> </v>
      </c>
      <c r="AG43" s="17" t="str">
        <f aca="false">IF((E43="y"),H43," ")</f>
        <v> </v>
      </c>
      <c r="AH43" s="17" t="str">
        <f aca="false">IF((E43="z"),H43," ")</f>
        <v> </v>
      </c>
      <c r="AI43" s="17" t="str">
        <f aca="false">IF((E43="fa"),H43," ")</f>
        <v> </v>
      </c>
      <c r="AJ43" s="17" t="str">
        <f aca="false">IF((E43="e"),H43," ")</f>
        <v> </v>
      </c>
    </row>
    <row r="44" customFormat="false" ht="12" hidden="false" customHeight="false" outlineLevel="0" collapsed="false">
      <c r="A44" s="28"/>
      <c r="E44" s="2"/>
      <c r="F44" s="30"/>
      <c r="G44" s="6" t="str">
        <f aca="false">IF(F44&lt;&gt;0,F44*G$2/(100+G$2)," ")</f>
        <v> </v>
      </c>
      <c r="H44" s="6" t="str">
        <f aca="false">IF((F44&lt;&gt;0),F44-G44," ")</f>
        <v> </v>
      </c>
      <c r="I44" s="5"/>
      <c r="L44" s="7" t="str">
        <f aca="false">IF(F44&lt;&gt;0,F44-K44," ")</f>
        <v> </v>
      </c>
      <c r="M44" s="8" t="str">
        <f aca="false">IF((F44-K44)&lt;&gt;0,M$1-A44," ")</f>
        <v> </v>
      </c>
      <c r="N44" s="5"/>
      <c r="O44" s="17" t="str">
        <f aca="false">IF((E44="s"),H44," ")</f>
        <v> </v>
      </c>
      <c r="P44" s="17" t="str">
        <f aca="false">IF((E44="c"),H44," ")</f>
        <v> </v>
      </c>
      <c r="Q44" s="17" t="str">
        <f aca="false">IF((E44="o"),H44," ")</f>
        <v> </v>
      </c>
      <c r="R44" s="17" t="str">
        <f aca="false">IF((E44="d"),H44," ")</f>
        <v> </v>
      </c>
      <c r="S44" s="17" t="str">
        <f aca="false">IF((E44="w"),H44," ")</f>
        <v> </v>
      </c>
      <c r="T44" s="17" t="str">
        <f aca="false">IF((E44="r"),H44," ")</f>
        <v> </v>
      </c>
      <c r="U44" s="17" t="str">
        <f aca="false">IF((E44="p"),H44," ")</f>
        <v> </v>
      </c>
      <c r="V44" s="17" t="str">
        <f aca="false">IF((E44="t"),H44," ")</f>
        <v> </v>
      </c>
      <c r="W44" s="17" t="str">
        <f aca="false">IF((E44="q"),H44," ")</f>
        <v> </v>
      </c>
      <c r="X44" s="17" t="str">
        <f aca="false">IF((E44="m"),H44," ")</f>
        <v> </v>
      </c>
      <c r="Y44" s="17" t="str">
        <f aca="false">IF((E44="u"),H44," ")</f>
        <v> </v>
      </c>
      <c r="Z44" s="17" t="str">
        <f aca="false">IF((E44="a"),H44," ")</f>
        <v> </v>
      </c>
      <c r="AA44" s="17" t="str">
        <f aca="false">IF((E44="g"),H44," ")</f>
        <v> </v>
      </c>
      <c r="AB44" s="17" t="str">
        <f aca="false">IF((E44="h"),H44," ")</f>
        <v> </v>
      </c>
      <c r="AC44" s="30" t="str">
        <f aca="false">IF((E44="v"),H44," ")</f>
        <v> </v>
      </c>
      <c r="AD44" s="30" t="str">
        <f aca="false">IF((E44="n"),H44," ")</f>
        <v> </v>
      </c>
      <c r="AE44" s="17" t="str">
        <f aca="false">IF((E44="f"),H44," ")</f>
        <v> </v>
      </c>
      <c r="AF44" s="17" t="str">
        <f aca="false">IF((E44="l"),H44," ")</f>
        <v> </v>
      </c>
      <c r="AG44" s="17" t="str">
        <f aca="false">IF((E44="y"),H44," ")</f>
        <v> </v>
      </c>
      <c r="AH44" s="17" t="str">
        <f aca="false">IF((E44="z"),H44," ")</f>
        <v> </v>
      </c>
      <c r="AI44" s="17" t="str">
        <f aca="false">IF((E44="fa"),H44," ")</f>
        <v> </v>
      </c>
      <c r="AJ44" s="17" t="str">
        <f aca="false">IF((E44="e"),H44," ")</f>
        <v> </v>
      </c>
    </row>
    <row r="45" customFormat="false" ht="12" hidden="false" customHeight="false" outlineLevel="0" collapsed="false">
      <c r="A45" s="28"/>
      <c r="E45" s="2"/>
      <c r="F45" s="30"/>
      <c r="G45" s="6" t="str">
        <f aca="false">IF(F45&lt;&gt;0,F45*G$2/(100+G$2)," ")</f>
        <v> </v>
      </c>
      <c r="H45" s="6" t="str">
        <f aca="false">IF((F45&lt;&gt;0),F45-G45," ")</f>
        <v> </v>
      </c>
      <c r="I45" s="5"/>
      <c r="L45" s="7" t="str">
        <f aca="false">IF(F45&lt;&gt;0,F45-K45," ")</f>
        <v> </v>
      </c>
      <c r="M45" s="8" t="str">
        <f aca="false">IF((F45-K45)&lt;&gt;0,M$1-A45," ")</f>
        <v> </v>
      </c>
      <c r="N45" s="5"/>
      <c r="O45" s="17" t="str">
        <f aca="false">IF((E45="s"),H45," ")</f>
        <v> </v>
      </c>
      <c r="P45" s="17" t="str">
        <f aca="false">IF((E45="c"),H45," ")</f>
        <v> </v>
      </c>
      <c r="Q45" s="17" t="str">
        <f aca="false">IF((E45="o"),H45," ")</f>
        <v> </v>
      </c>
      <c r="R45" s="17" t="str">
        <f aca="false">IF((E45="d"),H45," ")</f>
        <v> </v>
      </c>
      <c r="S45" s="17" t="str">
        <f aca="false">IF((E45="w"),H45," ")</f>
        <v> </v>
      </c>
      <c r="T45" s="17" t="str">
        <f aca="false">IF((E45="r"),H45," ")</f>
        <v> </v>
      </c>
      <c r="U45" s="17" t="str">
        <f aca="false">IF((E45="p"),H45," ")</f>
        <v> </v>
      </c>
      <c r="V45" s="17" t="str">
        <f aca="false">IF((E45="t"),H45," ")</f>
        <v> </v>
      </c>
      <c r="W45" s="17" t="str">
        <f aca="false">IF((E45="q"),H45," ")</f>
        <v> </v>
      </c>
      <c r="X45" s="17" t="str">
        <f aca="false">IF((E45="m"),H45," ")</f>
        <v> </v>
      </c>
      <c r="Y45" s="17" t="str">
        <f aca="false">IF((E45="u"),H45," ")</f>
        <v> </v>
      </c>
      <c r="Z45" s="17" t="str">
        <f aca="false">IF((E45="a"),H45," ")</f>
        <v> </v>
      </c>
      <c r="AA45" s="17" t="str">
        <f aca="false">IF((E45="g"),H45," ")</f>
        <v> </v>
      </c>
      <c r="AB45" s="17" t="str">
        <f aca="false">IF((E45="h"),H45," ")</f>
        <v> </v>
      </c>
      <c r="AC45" s="30" t="str">
        <f aca="false">IF((E45="v"),H45," ")</f>
        <v> </v>
      </c>
      <c r="AD45" s="30" t="str">
        <f aca="false">IF((E45="n"),H45," ")</f>
        <v> </v>
      </c>
      <c r="AE45" s="17" t="str">
        <f aca="false">IF((E45="f"),H45," ")</f>
        <v> </v>
      </c>
      <c r="AF45" s="17" t="str">
        <f aca="false">IF((E45="l"),H45," ")</f>
        <v> </v>
      </c>
      <c r="AG45" s="17" t="str">
        <f aca="false">IF((E45="y"),H45," ")</f>
        <v> </v>
      </c>
      <c r="AH45" s="17" t="str">
        <f aca="false">IF((E45="z"),H45," ")</f>
        <v> </v>
      </c>
      <c r="AI45" s="17" t="str">
        <f aca="false">IF((E45="fa"),H45," ")</f>
        <v> </v>
      </c>
      <c r="AJ45" s="17" t="str">
        <f aca="false">IF((E45="e"),H45," ")</f>
        <v> </v>
      </c>
    </row>
    <row r="46" customFormat="false" ht="12" hidden="false" customHeight="false" outlineLevel="0" collapsed="false">
      <c r="A46" s="28"/>
      <c r="E46" s="2"/>
      <c r="F46" s="30"/>
      <c r="G46" s="6" t="str">
        <f aca="false">IF(F46&lt;&gt;0,F46*G$2/(100+G$2)," ")</f>
        <v> </v>
      </c>
      <c r="H46" s="6" t="str">
        <f aca="false">IF((F46&lt;&gt;0),F46-G46," ")</f>
        <v> </v>
      </c>
      <c r="I46" s="5"/>
      <c r="L46" s="7" t="str">
        <f aca="false">IF(F46&lt;&gt;0,F46-K46," ")</f>
        <v> </v>
      </c>
      <c r="M46" s="8" t="str">
        <f aca="false">IF((F46-K46)&lt;&gt;0,M$1-A46," ")</f>
        <v> </v>
      </c>
      <c r="N46" s="5"/>
      <c r="O46" s="17" t="str">
        <f aca="false">IF((E46="s"),H46," ")</f>
        <v> </v>
      </c>
      <c r="P46" s="17" t="str">
        <f aca="false">IF((E46="c"),H46," ")</f>
        <v> </v>
      </c>
      <c r="Q46" s="17" t="str">
        <f aca="false">IF((E46="o"),H46," ")</f>
        <v> </v>
      </c>
      <c r="R46" s="17" t="str">
        <f aca="false">IF((E46="d"),H46," ")</f>
        <v> </v>
      </c>
      <c r="S46" s="17" t="str">
        <f aca="false">IF((E46="w"),H46," ")</f>
        <v> </v>
      </c>
      <c r="T46" s="17" t="str">
        <f aca="false">IF((E46="r"),H46," ")</f>
        <v> </v>
      </c>
      <c r="U46" s="17" t="str">
        <f aca="false">IF((E46="p"),H46," ")</f>
        <v> </v>
      </c>
      <c r="V46" s="17" t="str">
        <f aca="false">IF((E46="t"),H46," ")</f>
        <v> </v>
      </c>
      <c r="W46" s="17" t="str">
        <f aca="false">IF((E46="q"),H46," ")</f>
        <v> </v>
      </c>
      <c r="X46" s="17" t="str">
        <f aca="false">IF((E46="m"),H46," ")</f>
        <v> </v>
      </c>
      <c r="Y46" s="17" t="str">
        <f aca="false">IF((E46="u"),H46," ")</f>
        <v> </v>
      </c>
      <c r="Z46" s="17" t="str">
        <f aca="false">IF((E46="a"),H46," ")</f>
        <v> </v>
      </c>
      <c r="AA46" s="17" t="str">
        <f aca="false">IF((E46="g"),H46," ")</f>
        <v> </v>
      </c>
      <c r="AB46" s="17" t="str">
        <f aca="false">IF((E46="h"),H46," ")</f>
        <v> </v>
      </c>
      <c r="AC46" s="30" t="str">
        <f aca="false">IF((E46="v"),H46," ")</f>
        <v> </v>
      </c>
      <c r="AD46" s="30" t="str">
        <f aca="false">IF((E46="n"),H46," ")</f>
        <v> </v>
      </c>
      <c r="AE46" s="17" t="str">
        <f aca="false">IF((E46="f"),H46," ")</f>
        <v> </v>
      </c>
      <c r="AF46" s="17" t="str">
        <f aca="false">IF((E46="l"),H46," ")</f>
        <v> </v>
      </c>
      <c r="AG46" s="17" t="str">
        <f aca="false">IF((E46="y"),H46," ")</f>
        <v> </v>
      </c>
      <c r="AH46" s="17" t="str">
        <f aca="false">IF((E46="z"),H46," ")</f>
        <v> </v>
      </c>
      <c r="AI46" s="17" t="str">
        <f aca="false">IF((E46="fa"),H46," ")</f>
        <v> </v>
      </c>
      <c r="AJ46" s="17" t="str">
        <f aca="false">IF((E46="e"),H46," ")</f>
        <v> </v>
      </c>
    </row>
    <row r="47" customFormat="false" ht="12" hidden="false" customHeight="false" outlineLevel="0" collapsed="false">
      <c r="A47" s="28"/>
      <c r="E47" s="2"/>
      <c r="F47" s="30"/>
      <c r="G47" s="6" t="str">
        <f aca="false">IF(F47&lt;&gt;0,F47*G$2/(100+G$2)," ")</f>
        <v> </v>
      </c>
      <c r="H47" s="6" t="str">
        <f aca="false">IF((F47&lt;&gt;0),F47-G47," ")</f>
        <v> </v>
      </c>
      <c r="I47" s="5"/>
      <c r="L47" s="7" t="str">
        <f aca="false">IF(F47&lt;&gt;0,F47-K47," ")</f>
        <v> </v>
      </c>
      <c r="M47" s="8" t="str">
        <f aca="false">IF((F47-K47)&lt;&gt;0,M$1-A47," ")</f>
        <v> </v>
      </c>
      <c r="N47" s="5"/>
      <c r="O47" s="17" t="str">
        <f aca="false">IF((E47="s"),H47," ")</f>
        <v> </v>
      </c>
      <c r="P47" s="17" t="str">
        <f aca="false">IF((E47="c"),H47," ")</f>
        <v> </v>
      </c>
      <c r="Q47" s="17" t="str">
        <f aca="false">IF((E47="o"),H47," ")</f>
        <v> </v>
      </c>
      <c r="R47" s="17" t="str">
        <f aca="false">IF((E47="d"),H47," ")</f>
        <v> </v>
      </c>
      <c r="S47" s="17" t="str">
        <f aca="false">IF((E47="w"),H47," ")</f>
        <v> </v>
      </c>
      <c r="T47" s="17" t="str">
        <f aca="false">IF((E47="r"),H47," ")</f>
        <v> </v>
      </c>
      <c r="U47" s="17" t="str">
        <f aca="false">IF((E47="p"),H47," ")</f>
        <v> </v>
      </c>
      <c r="V47" s="17" t="str">
        <f aca="false">IF((E47="t"),H47," ")</f>
        <v> </v>
      </c>
      <c r="W47" s="17" t="str">
        <f aca="false">IF((E47="q"),H47," ")</f>
        <v> </v>
      </c>
      <c r="X47" s="17" t="str">
        <f aca="false">IF((E47="m"),H47," ")</f>
        <v> </v>
      </c>
      <c r="Y47" s="17" t="str">
        <f aca="false">IF((E47="u"),H47," ")</f>
        <v> </v>
      </c>
      <c r="Z47" s="17" t="str">
        <f aca="false">IF((E47="a"),H47," ")</f>
        <v> </v>
      </c>
      <c r="AA47" s="17" t="str">
        <f aca="false">IF((E47="g"),H47," ")</f>
        <v> </v>
      </c>
      <c r="AB47" s="17" t="str">
        <f aca="false">IF((E47="h"),H47," ")</f>
        <v> </v>
      </c>
      <c r="AC47" s="30" t="str">
        <f aca="false">IF((E47="v"),H47," ")</f>
        <v> </v>
      </c>
      <c r="AD47" s="30" t="str">
        <f aca="false">IF((E47="n"),H47," ")</f>
        <v> </v>
      </c>
      <c r="AE47" s="17" t="str">
        <f aca="false">IF((E47="f"),H47," ")</f>
        <v> </v>
      </c>
      <c r="AF47" s="17" t="str">
        <f aca="false">IF((E47="l"),H47," ")</f>
        <v> </v>
      </c>
      <c r="AG47" s="17" t="str">
        <f aca="false">IF((E47="y"),H47," ")</f>
        <v> </v>
      </c>
      <c r="AH47" s="17" t="str">
        <f aca="false">IF((E47="z"),H47," ")</f>
        <v> </v>
      </c>
      <c r="AI47" s="17" t="str">
        <f aca="false">IF((E47="fa"),H47," ")</f>
        <v> </v>
      </c>
      <c r="AJ47" s="17" t="str">
        <f aca="false">IF((E47="e"),H47," ")</f>
        <v> </v>
      </c>
    </row>
    <row r="48" customFormat="false" ht="12" hidden="false" customHeight="false" outlineLevel="0" collapsed="false">
      <c r="A48" s="28"/>
      <c r="E48" s="2"/>
      <c r="F48" s="30"/>
      <c r="G48" s="6" t="str">
        <f aca="false">IF(F48&lt;&gt;0,F48*G$2/(100+G$2)," ")</f>
        <v> </v>
      </c>
      <c r="H48" s="6" t="str">
        <f aca="false">IF((F48&lt;&gt;0),F48-G48," ")</f>
        <v> </v>
      </c>
      <c r="I48" s="5"/>
      <c r="L48" s="7" t="str">
        <f aca="false">IF(F48&lt;&gt;0,F48-K48," ")</f>
        <v> </v>
      </c>
      <c r="M48" s="8" t="str">
        <f aca="false">IF((F48-K48)&lt;&gt;0,M$1-A48," ")</f>
        <v> </v>
      </c>
      <c r="N48" s="5"/>
      <c r="O48" s="17" t="str">
        <f aca="false">IF((E48="s"),H48," ")</f>
        <v> </v>
      </c>
      <c r="P48" s="17" t="str">
        <f aca="false">IF((E48="c"),H48," ")</f>
        <v> </v>
      </c>
      <c r="Q48" s="17" t="str">
        <f aca="false">IF((E48="o"),H48," ")</f>
        <v> </v>
      </c>
      <c r="R48" s="17" t="str">
        <f aca="false">IF((E48="d"),H48," ")</f>
        <v> </v>
      </c>
      <c r="S48" s="17" t="str">
        <f aca="false">IF((E48="w"),H48," ")</f>
        <v> </v>
      </c>
      <c r="T48" s="17" t="str">
        <f aca="false">IF((E48="r"),H48," ")</f>
        <v> </v>
      </c>
      <c r="U48" s="17" t="str">
        <f aca="false">IF((E48="p"),H48," ")</f>
        <v> </v>
      </c>
      <c r="V48" s="17" t="str">
        <f aca="false">IF((E48="t"),H48," ")</f>
        <v> </v>
      </c>
      <c r="W48" s="17" t="str">
        <f aca="false">IF((E48="q"),H48," ")</f>
        <v> </v>
      </c>
      <c r="X48" s="17" t="str">
        <f aca="false">IF((E48="m"),H48," ")</f>
        <v> </v>
      </c>
      <c r="Y48" s="17" t="str">
        <f aca="false">IF((E48="u"),H48," ")</f>
        <v> </v>
      </c>
      <c r="Z48" s="17" t="str">
        <f aca="false">IF((E48="a"),H48," ")</f>
        <v> </v>
      </c>
      <c r="AA48" s="17" t="str">
        <f aca="false">IF((E48="g"),H48," ")</f>
        <v> </v>
      </c>
      <c r="AB48" s="17" t="str">
        <f aca="false">IF((E48="h"),H48," ")</f>
        <v> </v>
      </c>
      <c r="AC48" s="30" t="str">
        <f aca="false">IF((E48="v"),H48," ")</f>
        <v> </v>
      </c>
      <c r="AD48" s="30" t="str">
        <f aca="false">IF((E48="n"),H48," ")</f>
        <v> </v>
      </c>
      <c r="AE48" s="17" t="str">
        <f aca="false">IF((E48="f"),H48," ")</f>
        <v> </v>
      </c>
      <c r="AF48" s="17" t="str">
        <f aca="false">IF((E48="l"),H48," ")</f>
        <v> </v>
      </c>
      <c r="AG48" s="17" t="str">
        <f aca="false">IF((E48="y"),H48," ")</f>
        <v> </v>
      </c>
      <c r="AH48" s="17" t="str">
        <f aca="false">IF((E48="z"),H48," ")</f>
        <v> </v>
      </c>
      <c r="AI48" s="17" t="str">
        <f aca="false">IF((E48="fa"),H48," ")</f>
        <v> </v>
      </c>
      <c r="AJ48" s="17" t="str">
        <f aca="false">IF((E48="e"),H48," ")</f>
        <v> </v>
      </c>
    </row>
    <row r="49" customFormat="false" ht="12" hidden="false" customHeight="false" outlineLevel="0" collapsed="false">
      <c r="A49" s="28"/>
      <c r="E49" s="2"/>
      <c r="F49" s="30"/>
      <c r="G49" s="6" t="str">
        <f aca="false">IF(F49&lt;&gt;0,F49*G$2/(100+G$2)," ")</f>
        <v> </v>
      </c>
      <c r="H49" s="6" t="str">
        <f aca="false">IF((F49&lt;&gt;0),F49-G49," ")</f>
        <v> </v>
      </c>
      <c r="I49" s="5"/>
      <c r="L49" s="7" t="str">
        <f aca="false">IF(F49&lt;&gt;0,F49-K49," ")</f>
        <v> </v>
      </c>
      <c r="M49" s="8" t="str">
        <f aca="false">IF((F49-K49)&lt;&gt;0,M$1-A49," ")</f>
        <v> </v>
      </c>
      <c r="N49" s="5"/>
      <c r="O49" s="17" t="str">
        <f aca="false">IF((E49="s"),H49," ")</f>
        <v> </v>
      </c>
      <c r="P49" s="17" t="str">
        <f aca="false">IF((E49="c"),H49," ")</f>
        <v> </v>
      </c>
      <c r="Q49" s="17" t="str">
        <f aca="false">IF((E49="o"),H49," ")</f>
        <v> </v>
      </c>
      <c r="R49" s="17" t="str">
        <f aca="false">IF((E49="d"),H49," ")</f>
        <v> </v>
      </c>
      <c r="S49" s="17" t="str">
        <f aca="false">IF((E49="w"),H49," ")</f>
        <v> </v>
      </c>
      <c r="T49" s="17" t="str">
        <f aca="false">IF((E49="r"),H49," ")</f>
        <v> </v>
      </c>
      <c r="U49" s="17" t="str">
        <f aca="false">IF((E49="p"),H49," ")</f>
        <v> </v>
      </c>
      <c r="V49" s="17" t="str">
        <f aca="false">IF((E49="t"),H49," ")</f>
        <v> </v>
      </c>
      <c r="W49" s="17" t="str">
        <f aca="false">IF((E49="q"),H49," ")</f>
        <v> </v>
      </c>
      <c r="X49" s="17" t="str">
        <f aca="false">IF((E49="m"),H49," ")</f>
        <v> </v>
      </c>
      <c r="Y49" s="17" t="str">
        <f aca="false">IF((E49="u"),H49," ")</f>
        <v> </v>
      </c>
      <c r="Z49" s="17" t="str">
        <f aca="false">IF((E49="a"),H49," ")</f>
        <v> </v>
      </c>
      <c r="AA49" s="17" t="str">
        <f aca="false">IF((E49="g"),H49," ")</f>
        <v> </v>
      </c>
      <c r="AB49" s="17" t="str">
        <f aca="false">IF((E49="h"),H49," ")</f>
        <v> </v>
      </c>
      <c r="AC49" s="30" t="str">
        <f aca="false">IF((E49="v"),H49," ")</f>
        <v> </v>
      </c>
      <c r="AD49" s="30" t="str">
        <f aca="false">IF((E49="n"),H49," ")</f>
        <v> </v>
      </c>
      <c r="AE49" s="17" t="str">
        <f aca="false">IF((E49="f"),H49," ")</f>
        <v> </v>
      </c>
      <c r="AF49" s="17" t="str">
        <f aca="false">IF((E49="l"),H49," ")</f>
        <v> </v>
      </c>
      <c r="AG49" s="17" t="str">
        <f aca="false">IF((E49="y"),H49," ")</f>
        <v> </v>
      </c>
      <c r="AH49" s="17" t="str">
        <f aca="false">IF((E49="z"),H49," ")</f>
        <v> </v>
      </c>
      <c r="AI49" s="17" t="str">
        <f aca="false">IF((E49="fa"),H49," ")</f>
        <v> </v>
      </c>
      <c r="AJ49" s="17" t="str">
        <f aca="false">IF((E49="e"),H49," ")</f>
        <v> </v>
      </c>
    </row>
    <row r="50" customFormat="false" ht="12" hidden="false" customHeight="false" outlineLevel="0" collapsed="false">
      <c r="A50" s="28"/>
      <c r="E50" s="2"/>
      <c r="F50" s="30"/>
      <c r="G50" s="6" t="str">
        <f aca="false">IF(F50&lt;&gt;0,F50*G$2/(100+G$2)," ")</f>
        <v> </v>
      </c>
      <c r="H50" s="6" t="str">
        <f aca="false">IF((F50&lt;&gt;0),F50-G50," ")</f>
        <v> </v>
      </c>
      <c r="I50" s="5"/>
      <c r="L50" s="7" t="str">
        <f aca="false">IF(F50&lt;&gt;0,F50-K50," ")</f>
        <v> </v>
      </c>
      <c r="M50" s="8" t="str">
        <f aca="false">IF((F50-K50)&lt;&gt;0,M$1-A50," ")</f>
        <v> </v>
      </c>
      <c r="N50" s="5"/>
      <c r="O50" s="17" t="str">
        <f aca="false">IF((E50="s"),H50," ")</f>
        <v> </v>
      </c>
      <c r="P50" s="17" t="str">
        <f aca="false">IF((E50="c"),H50," ")</f>
        <v> </v>
      </c>
      <c r="Q50" s="17" t="str">
        <f aca="false">IF((E50="o"),H50," ")</f>
        <v> </v>
      </c>
      <c r="R50" s="17" t="str">
        <f aca="false">IF((E50="d"),H50," ")</f>
        <v> </v>
      </c>
      <c r="S50" s="17" t="str">
        <f aca="false">IF((E50="w"),H50," ")</f>
        <v> </v>
      </c>
      <c r="T50" s="17" t="str">
        <f aca="false">IF((E50="r"),H50," ")</f>
        <v> </v>
      </c>
      <c r="U50" s="17" t="str">
        <f aca="false">IF((E50="p"),H50," ")</f>
        <v> </v>
      </c>
      <c r="V50" s="17" t="str">
        <f aca="false">IF((E50="t"),H50," ")</f>
        <v> </v>
      </c>
      <c r="W50" s="17" t="str">
        <f aca="false">IF((E50="q"),H50," ")</f>
        <v> </v>
      </c>
      <c r="X50" s="17" t="str">
        <f aca="false">IF((E50="m"),H50," ")</f>
        <v> </v>
      </c>
      <c r="Y50" s="17" t="str">
        <f aca="false">IF((E50="u"),H50," ")</f>
        <v> </v>
      </c>
      <c r="Z50" s="17" t="str">
        <f aca="false">IF((E50="a"),H50," ")</f>
        <v> </v>
      </c>
      <c r="AA50" s="17" t="str">
        <f aca="false">IF((E50="g"),H50," ")</f>
        <v> </v>
      </c>
      <c r="AB50" s="17" t="str">
        <f aca="false">IF((E50="h"),H50," ")</f>
        <v> </v>
      </c>
      <c r="AC50" s="30" t="str">
        <f aca="false">IF((E50="v"),H50," ")</f>
        <v> </v>
      </c>
      <c r="AD50" s="30" t="str">
        <f aca="false">IF((E50="n"),H50," ")</f>
        <v> </v>
      </c>
      <c r="AE50" s="17" t="str">
        <f aca="false">IF((E50="f"),H50," ")</f>
        <v> </v>
      </c>
      <c r="AF50" s="17" t="str">
        <f aca="false">IF((E50="l"),H50," ")</f>
        <v> </v>
      </c>
      <c r="AG50" s="17" t="str">
        <f aca="false">IF((E50="y"),H50," ")</f>
        <v> </v>
      </c>
      <c r="AH50" s="17" t="str">
        <f aca="false">IF((E50="z"),H50," ")</f>
        <v> </v>
      </c>
      <c r="AI50" s="17" t="str">
        <f aca="false">IF((E50="fa"),H50," ")</f>
        <v> </v>
      </c>
      <c r="AJ50" s="17" t="str">
        <f aca="false">IF((E50="e"),H50," ")</f>
        <v> </v>
      </c>
    </row>
    <row r="51" customFormat="false" ht="12" hidden="false" customHeight="false" outlineLevel="0" collapsed="false">
      <c r="A51" s="28"/>
      <c r="E51" s="2"/>
      <c r="F51" s="30"/>
      <c r="G51" s="6" t="str">
        <f aca="false">IF(F51&lt;&gt;0,F51*G$2/(100+G$2)," ")</f>
        <v> </v>
      </c>
      <c r="H51" s="6" t="str">
        <f aca="false">IF((F51&lt;&gt;0),F51-G51," ")</f>
        <v> </v>
      </c>
      <c r="I51" s="5"/>
      <c r="L51" s="7" t="str">
        <f aca="false">IF(F51&lt;&gt;0,F51-K51," ")</f>
        <v> </v>
      </c>
      <c r="M51" s="8" t="str">
        <f aca="false">IF((F51-K51)&lt;&gt;0,M$1-A51," ")</f>
        <v> </v>
      </c>
      <c r="N51" s="5"/>
      <c r="O51" s="17" t="str">
        <f aca="false">IF((E51="s"),H51," ")</f>
        <v> </v>
      </c>
      <c r="P51" s="17" t="str">
        <f aca="false">IF((E51="c"),H51," ")</f>
        <v> </v>
      </c>
      <c r="Q51" s="17" t="str">
        <f aca="false">IF((E51="o"),H51," ")</f>
        <v> </v>
      </c>
      <c r="R51" s="17" t="str">
        <f aca="false">IF((E51="d"),H51," ")</f>
        <v> </v>
      </c>
      <c r="S51" s="17" t="str">
        <f aca="false">IF((E51="w"),H51," ")</f>
        <v> </v>
      </c>
      <c r="T51" s="17" t="str">
        <f aca="false">IF((E51="r"),H51," ")</f>
        <v> </v>
      </c>
      <c r="U51" s="17" t="str">
        <f aca="false">IF((E51="p"),H51," ")</f>
        <v> </v>
      </c>
      <c r="V51" s="17" t="str">
        <f aca="false">IF((E51="t"),H51," ")</f>
        <v> </v>
      </c>
      <c r="W51" s="17" t="str">
        <f aca="false">IF((E51="q"),H51," ")</f>
        <v> </v>
      </c>
      <c r="X51" s="17" t="str">
        <f aca="false">IF((E51="m"),H51," ")</f>
        <v> </v>
      </c>
      <c r="Y51" s="17" t="str">
        <f aca="false">IF((E51="u"),H51," ")</f>
        <v> </v>
      </c>
      <c r="Z51" s="17" t="str">
        <f aca="false">IF((E51="a"),H51," ")</f>
        <v> </v>
      </c>
      <c r="AA51" s="17" t="str">
        <f aca="false">IF((E51="g"),H51," ")</f>
        <v> </v>
      </c>
      <c r="AB51" s="17" t="str">
        <f aca="false">IF((E51="h"),H51," ")</f>
        <v> </v>
      </c>
      <c r="AC51" s="30" t="str">
        <f aca="false">IF((E51="v"),H51," ")</f>
        <v> </v>
      </c>
      <c r="AD51" s="30" t="str">
        <f aca="false">IF((E51="n"),H51," ")</f>
        <v> </v>
      </c>
      <c r="AE51" s="17" t="str">
        <f aca="false">IF((E51="f"),H51," ")</f>
        <v> </v>
      </c>
      <c r="AF51" s="17" t="str">
        <f aca="false">IF((E51="l"),H51," ")</f>
        <v> </v>
      </c>
      <c r="AG51" s="17" t="str">
        <f aca="false">IF((E51="y"),H51," ")</f>
        <v> </v>
      </c>
      <c r="AH51" s="17" t="str">
        <f aca="false">IF((E51="z"),H51," ")</f>
        <v> </v>
      </c>
      <c r="AI51" s="17" t="str">
        <f aca="false">IF((E51="fa"),H51," ")</f>
        <v> </v>
      </c>
      <c r="AJ51" s="17" t="str">
        <f aca="false">IF((E51="e"),H51," ")</f>
        <v> </v>
      </c>
    </row>
    <row r="52" customFormat="false" ht="12" hidden="false" customHeight="false" outlineLevel="0" collapsed="false">
      <c r="A52" s="28"/>
      <c r="E52" s="2"/>
      <c r="F52" s="30"/>
      <c r="G52" s="6" t="str">
        <f aca="false">IF(F52&lt;&gt;0,F52*G$2/(100+G$2)," ")</f>
        <v> </v>
      </c>
      <c r="H52" s="6" t="str">
        <f aca="false">IF((F52&lt;&gt;0),F52-G52," ")</f>
        <v> </v>
      </c>
      <c r="I52" s="5"/>
      <c r="L52" s="7" t="str">
        <f aca="false">IF(F52&lt;&gt;0,F52-K52," ")</f>
        <v> </v>
      </c>
      <c r="M52" s="8" t="str">
        <f aca="false">IF((F52-K52)&lt;&gt;0,M$1-A52," ")</f>
        <v> </v>
      </c>
      <c r="N52" s="5"/>
      <c r="O52" s="17" t="str">
        <f aca="false">IF((E52="s"),H52," ")</f>
        <v> </v>
      </c>
      <c r="P52" s="17" t="str">
        <f aca="false">IF((E52="c"),H52," ")</f>
        <v> </v>
      </c>
      <c r="Q52" s="17" t="str">
        <f aca="false">IF((E52="o"),H52," ")</f>
        <v> </v>
      </c>
      <c r="R52" s="17" t="str">
        <f aca="false">IF((E52="d"),H52," ")</f>
        <v> </v>
      </c>
      <c r="S52" s="17" t="str">
        <f aca="false">IF((E52="w"),H52," ")</f>
        <v> </v>
      </c>
      <c r="T52" s="17" t="str">
        <f aca="false">IF((E52="r"),H52," ")</f>
        <v> </v>
      </c>
      <c r="U52" s="17" t="str">
        <f aca="false">IF((E52="p"),H52," ")</f>
        <v> </v>
      </c>
      <c r="V52" s="17" t="str">
        <f aca="false">IF((E52="t"),H52," ")</f>
        <v> </v>
      </c>
      <c r="W52" s="17" t="str">
        <f aca="false">IF((E52="q"),H52," ")</f>
        <v> </v>
      </c>
      <c r="X52" s="17" t="str">
        <f aca="false">IF((E52="m"),H52," ")</f>
        <v> </v>
      </c>
      <c r="Y52" s="17" t="str">
        <f aca="false">IF((E52="u"),H52," ")</f>
        <v> </v>
      </c>
      <c r="Z52" s="17" t="str">
        <f aca="false">IF((E52="a"),H52," ")</f>
        <v> </v>
      </c>
      <c r="AA52" s="17" t="str">
        <f aca="false">IF((E52="g"),H52," ")</f>
        <v> </v>
      </c>
      <c r="AB52" s="17" t="str">
        <f aca="false">IF((E52="h"),H52," ")</f>
        <v> </v>
      </c>
      <c r="AC52" s="30" t="str">
        <f aca="false">IF((E52="v"),H52," ")</f>
        <v> </v>
      </c>
      <c r="AD52" s="30" t="str">
        <f aca="false">IF((E52="n"),H52," ")</f>
        <v> </v>
      </c>
      <c r="AE52" s="17" t="str">
        <f aca="false">IF((E52="f"),H52," ")</f>
        <v> </v>
      </c>
      <c r="AF52" s="17" t="str">
        <f aca="false">IF((E52="l"),H52," ")</f>
        <v> </v>
      </c>
      <c r="AG52" s="17" t="str">
        <f aca="false">IF((E52="y"),H52," ")</f>
        <v> </v>
      </c>
      <c r="AH52" s="17" t="str">
        <f aca="false">IF((E52="z"),H52," ")</f>
        <v> </v>
      </c>
      <c r="AI52" s="17" t="str">
        <f aca="false">IF((E52="fa"),H52," ")</f>
        <v> </v>
      </c>
      <c r="AJ52" s="17" t="str">
        <f aca="false">IF((E52="e"),H52," ")</f>
        <v> </v>
      </c>
    </row>
    <row r="53" customFormat="false" ht="12" hidden="false" customHeight="false" outlineLevel="0" collapsed="false">
      <c r="A53" s="28"/>
      <c r="E53" s="2"/>
      <c r="F53" s="30"/>
      <c r="G53" s="6" t="str">
        <f aca="false">IF(F53&lt;&gt;0,F53*G$2/(100+G$2)," ")</f>
        <v> </v>
      </c>
      <c r="H53" s="6" t="str">
        <f aca="false">IF((F53&lt;&gt;0),F53-G53," ")</f>
        <v> </v>
      </c>
      <c r="I53" s="5"/>
      <c r="L53" s="7" t="str">
        <f aca="false">IF(F53&lt;&gt;0,F53-K53," ")</f>
        <v> </v>
      </c>
      <c r="M53" s="8" t="str">
        <f aca="false">IF((F53-K53)&lt;&gt;0,M$1-A53," ")</f>
        <v> </v>
      </c>
      <c r="N53" s="5"/>
      <c r="O53" s="17" t="str">
        <f aca="false">IF((E53="s"),H53," ")</f>
        <v> </v>
      </c>
      <c r="P53" s="17" t="str">
        <f aca="false">IF((E53="c"),H53," ")</f>
        <v> </v>
      </c>
      <c r="Q53" s="17" t="str">
        <f aca="false">IF((E53="o"),H53," ")</f>
        <v> </v>
      </c>
      <c r="R53" s="17" t="str">
        <f aca="false">IF((E53="d"),H53," ")</f>
        <v> </v>
      </c>
      <c r="S53" s="17" t="str">
        <f aca="false">IF((E53="w"),H53," ")</f>
        <v> </v>
      </c>
      <c r="T53" s="17" t="str">
        <f aca="false">IF((E53="r"),H53," ")</f>
        <v> </v>
      </c>
      <c r="U53" s="17" t="str">
        <f aca="false">IF((E53="p"),H53," ")</f>
        <v> </v>
      </c>
      <c r="V53" s="17" t="str">
        <f aca="false">IF((E53="t"),H53," ")</f>
        <v> </v>
      </c>
      <c r="W53" s="17" t="str">
        <f aca="false">IF((E53="q"),H53," ")</f>
        <v> </v>
      </c>
      <c r="X53" s="17" t="str">
        <f aca="false">IF((E53="m"),H53," ")</f>
        <v> </v>
      </c>
      <c r="Y53" s="17" t="str">
        <f aca="false">IF((E53="u"),H53," ")</f>
        <v> </v>
      </c>
      <c r="Z53" s="17" t="str">
        <f aca="false">IF((E53="a"),H53," ")</f>
        <v> </v>
      </c>
      <c r="AA53" s="17" t="str">
        <f aca="false">IF((E53="g"),H53," ")</f>
        <v> </v>
      </c>
      <c r="AB53" s="17" t="str">
        <f aca="false">IF((E53="h"),H53," ")</f>
        <v> </v>
      </c>
      <c r="AC53" s="30" t="str">
        <f aca="false">IF((E53="v"),H53," ")</f>
        <v> </v>
      </c>
      <c r="AD53" s="30" t="str">
        <f aca="false">IF((E53="n"),H53," ")</f>
        <v> </v>
      </c>
      <c r="AE53" s="17" t="str">
        <f aca="false">IF((E53="f"),H53," ")</f>
        <v> </v>
      </c>
      <c r="AF53" s="17" t="str">
        <f aca="false">IF((E53="l"),H53," ")</f>
        <v> </v>
      </c>
      <c r="AG53" s="17" t="str">
        <f aca="false">IF((E53="y"),H53," ")</f>
        <v> </v>
      </c>
      <c r="AH53" s="17" t="str">
        <f aca="false">IF((E53="z"),H53," ")</f>
        <v> </v>
      </c>
      <c r="AI53" s="17" t="str">
        <f aca="false">IF((E53="fa"),H53," ")</f>
        <v> </v>
      </c>
      <c r="AJ53" s="17" t="str">
        <f aca="false">IF((E53="e"),H53," ")</f>
        <v> </v>
      </c>
    </row>
    <row r="54" customFormat="false" ht="12" hidden="false" customHeight="false" outlineLevel="0" collapsed="false">
      <c r="A54" s="28"/>
      <c r="E54" s="2"/>
      <c r="F54" s="30"/>
      <c r="G54" s="6" t="str">
        <f aca="false">IF(F54&lt;&gt;0,F54*G$2/(100+G$2)," ")</f>
        <v> </v>
      </c>
      <c r="H54" s="6" t="str">
        <f aca="false">IF((F54&lt;&gt;0),F54-G54," ")</f>
        <v> </v>
      </c>
      <c r="I54" s="5"/>
      <c r="L54" s="7" t="str">
        <f aca="false">IF(F54&lt;&gt;0,F54-K54," ")</f>
        <v> </v>
      </c>
      <c r="M54" s="8" t="str">
        <f aca="false">IF((F54-K54)&lt;&gt;0,M$1-A54," ")</f>
        <v> </v>
      </c>
      <c r="N54" s="5"/>
      <c r="O54" s="17" t="str">
        <f aca="false">IF((E54="s"),H54," ")</f>
        <v> </v>
      </c>
      <c r="P54" s="17" t="str">
        <f aca="false">IF((E54="c"),H54," ")</f>
        <v> </v>
      </c>
      <c r="Q54" s="17" t="str">
        <f aca="false">IF((E54="o"),H54," ")</f>
        <v> </v>
      </c>
      <c r="R54" s="17" t="str">
        <f aca="false">IF((E54="d"),H54," ")</f>
        <v> </v>
      </c>
      <c r="S54" s="17" t="str">
        <f aca="false">IF((E54="w"),H54," ")</f>
        <v> </v>
      </c>
      <c r="T54" s="17" t="str">
        <f aca="false">IF((E54="r"),H54," ")</f>
        <v> </v>
      </c>
      <c r="U54" s="17" t="str">
        <f aca="false">IF((E54="p"),H54," ")</f>
        <v> </v>
      </c>
      <c r="V54" s="17" t="str">
        <f aca="false">IF((E54="t"),H54," ")</f>
        <v> </v>
      </c>
      <c r="W54" s="17" t="str">
        <f aca="false">IF((E54="q"),H54," ")</f>
        <v> </v>
      </c>
      <c r="X54" s="17" t="str">
        <f aca="false">IF((E54="m"),H54," ")</f>
        <v> </v>
      </c>
      <c r="Y54" s="17" t="str">
        <f aca="false">IF((E54="u"),H54," ")</f>
        <v> </v>
      </c>
      <c r="Z54" s="17" t="str">
        <f aca="false">IF((E54="a"),H54," ")</f>
        <v> </v>
      </c>
      <c r="AA54" s="17" t="str">
        <f aca="false">IF((E54="g"),H54," ")</f>
        <v> </v>
      </c>
      <c r="AB54" s="17" t="str">
        <f aca="false">IF((E54="h"),H54," ")</f>
        <v> </v>
      </c>
      <c r="AC54" s="30" t="str">
        <f aca="false">IF((E54="v"),H54," ")</f>
        <v> </v>
      </c>
      <c r="AD54" s="30" t="str">
        <f aca="false">IF((E54="n"),H54," ")</f>
        <v> </v>
      </c>
      <c r="AE54" s="17" t="str">
        <f aca="false">IF((E54="f"),H54," ")</f>
        <v> </v>
      </c>
      <c r="AF54" s="17" t="str">
        <f aca="false">IF((E54="l"),H54," ")</f>
        <v> </v>
      </c>
      <c r="AG54" s="17" t="str">
        <f aca="false">IF((E54="y"),H54," ")</f>
        <v> </v>
      </c>
      <c r="AH54" s="17" t="str">
        <f aca="false">IF((E54="z"),H54," ")</f>
        <v> </v>
      </c>
      <c r="AI54" s="17" t="str">
        <f aca="false">IF((E54="fa"),H54," ")</f>
        <v> </v>
      </c>
      <c r="AJ54" s="17" t="str">
        <f aca="false">IF((E54="e"),H54," ")</f>
        <v> </v>
      </c>
    </row>
    <row r="55" customFormat="false" ht="12" hidden="false" customHeight="false" outlineLevel="0" collapsed="false">
      <c r="A55" s="28"/>
      <c r="E55" s="2"/>
      <c r="F55" s="30"/>
      <c r="G55" s="6" t="str">
        <f aca="false">IF(F55&lt;&gt;0,F55*G$2/(100+G$2)," ")</f>
        <v> </v>
      </c>
      <c r="H55" s="6" t="str">
        <f aca="false">IF((F55&lt;&gt;0),F55-G55," ")</f>
        <v> </v>
      </c>
      <c r="I55" s="5"/>
      <c r="L55" s="7" t="str">
        <f aca="false">IF(F55&lt;&gt;0,F55-K55," ")</f>
        <v> </v>
      </c>
      <c r="M55" s="8" t="str">
        <f aca="false">IF((F55-K55)&lt;&gt;0,M$1-A55," ")</f>
        <v> </v>
      </c>
      <c r="N55" s="5"/>
      <c r="O55" s="17" t="str">
        <f aca="false">IF((E55="s"),H55," ")</f>
        <v> </v>
      </c>
      <c r="P55" s="17" t="str">
        <f aca="false">IF((E55="c"),H55," ")</f>
        <v> </v>
      </c>
      <c r="Q55" s="17" t="str">
        <f aca="false">IF((E55="o"),H55," ")</f>
        <v> </v>
      </c>
      <c r="R55" s="17" t="str">
        <f aca="false">IF((E55="d"),H55," ")</f>
        <v> </v>
      </c>
      <c r="S55" s="17" t="str">
        <f aca="false">IF((E55="w"),H55," ")</f>
        <v> </v>
      </c>
      <c r="T55" s="17" t="str">
        <f aca="false">IF((E55="r"),H55," ")</f>
        <v> </v>
      </c>
      <c r="U55" s="17" t="str">
        <f aca="false">IF((E55="p"),H55," ")</f>
        <v> </v>
      </c>
      <c r="V55" s="17" t="str">
        <f aca="false">IF((E55="t"),H55," ")</f>
        <v> </v>
      </c>
      <c r="W55" s="17" t="str">
        <f aca="false">IF((E55="q"),H55," ")</f>
        <v> </v>
      </c>
      <c r="X55" s="17" t="str">
        <f aca="false">IF((E55="m"),H55," ")</f>
        <v> </v>
      </c>
      <c r="Y55" s="17" t="str">
        <f aca="false">IF((E55="u"),H55," ")</f>
        <v> </v>
      </c>
      <c r="Z55" s="17" t="str">
        <f aca="false">IF((E55="a"),H55," ")</f>
        <v> </v>
      </c>
      <c r="AA55" s="17" t="str">
        <f aca="false">IF((E55="g"),H55," ")</f>
        <v> </v>
      </c>
      <c r="AB55" s="17" t="str">
        <f aca="false">IF((E55="h"),H55," ")</f>
        <v> </v>
      </c>
      <c r="AC55" s="30" t="str">
        <f aca="false">IF((E55="v"),H55," ")</f>
        <v> </v>
      </c>
      <c r="AD55" s="30" t="str">
        <f aca="false">IF((E55="n"),H55," ")</f>
        <v> </v>
      </c>
      <c r="AE55" s="17" t="str">
        <f aca="false">IF((E55="f"),H55," ")</f>
        <v> </v>
      </c>
      <c r="AF55" s="17" t="str">
        <f aca="false">IF((E55="l"),H55," ")</f>
        <v> </v>
      </c>
      <c r="AG55" s="17" t="str">
        <f aca="false">IF((E55="y"),H55," ")</f>
        <v> </v>
      </c>
      <c r="AH55" s="17" t="str">
        <f aca="false">IF((E55="z"),H55," ")</f>
        <v> </v>
      </c>
      <c r="AI55" s="17" t="str">
        <f aca="false">IF((E55="fa"),H55," ")</f>
        <v> </v>
      </c>
      <c r="AJ55" s="17" t="str">
        <f aca="false">IF((E55="e"),H55," ")</f>
        <v> </v>
      </c>
    </row>
    <row r="56" customFormat="false" ht="12" hidden="false" customHeight="false" outlineLevel="0" collapsed="false">
      <c r="A56" s="28"/>
      <c r="E56" s="2"/>
      <c r="F56" s="30"/>
      <c r="G56" s="6" t="str">
        <f aca="false">IF(F56&lt;&gt;0,F56*G$2/(100+G$2)," ")</f>
        <v> </v>
      </c>
      <c r="H56" s="6" t="str">
        <f aca="false">IF((F56&lt;&gt;0),F56-G56," ")</f>
        <v> </v>
      </c>
      <c r="I56" s="5"/>
      <c r="L56" s="7" t="str">
        <f aca="false">IF(F56&lt;&gt;0,F56-K56," ")</f>
        <v> </v>
      </c>
      <c r="M56" s="8" t="str">
        <f aca="false">IF((F56-K56)&lt;&gt;0,M$1-A56," ")</f>
        <v> </v>
      </c>
      <c r="N56" s="5"/>
      <c r="O56" s="17" t="str">
        <f aca="false">IF((E56="s"),H56," ")</f>
        <v> </v>
      </c>
      <c r="P56" s="17" t="str">
        <f aca="false">IF((E56="c"),H56," ")</f>
        <v> </v>
      </c>
      <c r="Q56" s="17" t="str">
        <f aca="false">IF((E56="o"),H56," ")</f>
        <v> </v>
      </c>
      <c r="R56" s="17" t="str">
        <f aca="false">IF((E56="d"),H56," ")</f>
        <v> </v>
      </c>
      <c r="S56" s="17" t="str">
        <f aca="false">IF((E56="w"),H56," ")</f>
        <v> </v>
      </c>
      <c r="T56" s="17" t="str">
        <f aca="false">IF((E56="r"),H56," ")</f>
        <v> </v>
      </c>
      <c r="U56" s="17" t="str">
        <f aca="false">IF((E56="p"),H56," ")</f>
        <v> </v>
      </c>
      <c r="V56" s="17" t="str">
        <f aca="false">IF((E56="t"),H56," ")</f>
        <v> </v>
      </c>
      <c r="W56" s="17" t="str">
        <f aca="false">IF((E56="q"),H56," ")</f>
        <v> </v>
      </c>
      <c r="X56" s="17" t="str">
        <f aca="false">IF((E56="m"),H56," ")</f>
        <v> </v>
      </c>
      <c r="Y56" s="17" t="str">
        <f aca="false">IF((E56="u"),H56," ")</f>
        <v> </v>
      </c>
      <c r="Z56" s="17" t="str">
        <f aca="false">IF((E56="a"),H56," ")</f>
        <v> </v>
      </c>
      <c r="AA56" s="17" t="str">
        <f aca="false">IF((E56="g"),H56," ")</f>
        <v> </v>
      </c>
      <c r="AB56" s="17" t="str">
        <f aca="false">IF((E56="h"),H56," ")</f>
        <v> </v>
      </c>
      <c r="AC56" s="30" t="str">
        <f aca="false">IF((E56="v"),H56," ")</f>
        <v> </v>
      </c>
      <c r="AD56" s="30" t="str">
        <f aca="false">IF((E56="n"),H56," ")</f>
        <v> </v>
      </c>
      <c r="AE56" s="17" t="str">
        <f aca="false">IF((E56="f"),H56," ")</f>
        <v> </v>
      </c>
      <c r="AF56" s="17" t="str">
        <f aca="false">IF((E56="l"),H56," ")</f>
        <v> </v>
      </c>
      <c r="AG56" s="17" t="str">
        <f aca="false">IF((E56="y"),H56," ")</f>
        <v> </v>
      </c>
      <c r="AH56" s="17" t="str">
        <f aca="false">IF((E56="z"),H56," ")</f>
        <v> </v>
      </c>
      <c r="AI56" s="17" t="str">
        <f aca="false">IF((E56="fa"),H56," ")</f>
        <v> </v>
      </c>
      <c r="AJ56" s="17" t="str">
        <f aca="false">IF((E56="e"),H56," ")</f>
        <v> </v>
      </c>
    </row>
    <row r="57" customFormat="false" ht="12" hidden="false" customHeight="false" outlineLevel="0" collapsed="false">
      <c r="A57" s="28"/>
      <c r="E57" s="2"/>
      <c r="F57" s="30"/>
      <c r="G57" s="6" t="str">
        <f aca="false">IF(F57&lt;&gt;0,F57*G$2/(100+G$2)," ")</f>
        <v> </v>
      </c>
      <c r="H57" s="6" t="str">
        <f aca="false">IF((F57&lt;&gt;0),F57-G57," ")</f>
        <v> </v>
      </c>
      <c r="I57" s="5"/>
      <c r="L57" s="7" t="str">
        <f aca="false">IF(F57&lt;&gt;0,F57-K57," ")</f>
        <v> </v>
      </c>
      <c r="M57" s="8" t="str">
        <f aca="false">IF((F57-K57)&lt;&gt;0,M$1-A57," ")</f>
        <v> </v>
      </c>
      <c r="N57" s="5"/>
      <c r="O57" s="17" t="str">
        <f aca="false">IF((E57="s"),H57," ")</f>
        <v> </v>
      </c>
      <c r="P57" s="17" t="str">
        <f aca="false">IF((E57="c"),H57," ")</f>
        <v> </v>
      </c>
      <c r="Q57" s="17" t="str">
        <f aca="false">IF((E57="o"),H57," ")</f>
        <v> </v>
      </c>
      <c r="R57" s="17" t="str">
        <f aca="false">IF((E57="d"),H57," ")</f>
        <v> </v>
      </c>
      <c r="S57" s="17" t="str">
        <f aca="false">IF((E57="w"),H57," ")</f>
        <v> </v>
      </c>
      <c r="T57" s="17" t="str">
        <f aca="false">IF((E57="r"),H57," ")</f>
        <v> </v>
      </c>
      <c r="U57" s="17" t="str">
        <f aca="false">IF((E57="p"),H57," ")</f>
        <v> </v>
      </c>
      <c r="V57" s="17" t="str">
        <f aca="false">IF((E57="t"),H57," ")</f>
        <v> </v>
      </c>
      <c r="W57" s="17" t="str">
        <f aca="false">IF((E57="q"),H57," ")</f>
        <v> </v>
      </c>
      <c r="X57" s="17" t="str">
        <f aca="false">IF((E57="m"),H57," ")</f>
        <v> </v>
      </c>
      <c r="Y57" s="17" t="str">
        <f aca="false">IF((E57="u"),H57," ")</f>
        <v> </v>
      </c>
      <c r="Z57" s="17" t="str">
        <f aca="false">IF((E57="a"),H57," ")</f>
        <v> </v>
      </c>
      <c r="AA57" s="17" t="str">
        <f aca="false">IF((E57="g"),H57," ")</f>
        <v> </v>
      </c>
      <c r="AB57" s="17" t="str">
        <f aca="false">IF((E57="h"),H57," ")</f>
        <v> </v>
      </c>
      <c r="AC57" s="30" t="str">
        <f aca="false">IF((E57="v"),H57," ")</f>
        <v> </v>
      </c>
      <c r="AD57" s="30" t="str">
        <f aca="false">IF((E57="n"),H57," ")</f>
        <v> </v>
      </c>
      <c r="AE57" s="17" t="str">
        <f aca="false">IF((E57="f"),H57," ")</f>
        <v> </v>
      </c>
      <c r="AF57" s="17" t="str">
        <f aca="false">IF((E57="l"),H57," ")</f>
        <v> </v>
      </c>
      <c r="AG57" s="17" t="str">
        <f aca="false">IF((E57="y"),H57," ")</f>
        <v> </v>
      </c>
      <c r="AH57" s="17" t="str">
        <f aca="false">IF((E57="z"),H57," ")</f>
        <v> </v>
      </c>
      <c r="AI57" s="17" t="str">
        <f aca="false">IF((E57="fa"),H57," ")</f>
        <v> </v>
      </c>
      <c r="AJ57" s="17" t="str">
        <f aca="false">IF((E57="e"),H57," ")</f>
        <v> </v>
      </c>
    </row>
    <row r="58" customFormat="false" ht="12" hidden="false" customHeight="false" outlineLevel="0" collapsed="false">
      <c r="A58" s="28"/>
      <c r="E58" s="2"/>
      <c r="F58" s="30"/>
      <c r="G58" s="6" t="str">
        <f aca="false">IF(F58&lt;&gt;0,F58*G$2/(100+G$2)," ")</f>
        <v> </v>
      </c>
      <c r="H58" s="6" t="str">
        <f aca="false">IF((F58&lt;&gt;0),F58-G58," ")</f>
        <v> </v>
      </c>
      <c r="I58" s="5"/>
      <c r="L58" s="7" t="str">
        <f aca="false">IF(F58&lt;&gt;0,F58-K58," ")</f>
        <v> </v>
      </c>
      <c r="M58" s="8" t="str">
        <f aca="false">IF((F58-K58)&lt;&gt;0,M$1-A58," ")</f>
        <v> </v>
      </c>
      <c r="N58" s="5"/>
      <c r="O58" s="17" t="str">
        <f aca="false">IF((E58="s"),H58," ")</f>
        <v> </v>
      </c>
      <c r="P58" s="17" t="str">
        <f aca="false">IF((E58="c"),H58," ")</f>
        <v> </v>
      </c>
      <c r="Q58" s="17" t="str">
        <f aca="false">IF((E58="o"),H58," ")</f>
        <v> </v>
      </c>
      <c r="R58" s="17" t="str">
        <f aca="false">IF((E58="d"),H58," ")</f>
        <v> </v>
      </c>
      <c r="S58" s="17" t="str">
        <f aca="false">IF((E58="w"),H58," ")</f>
        <v> </v>
      </c>
      <c r="T58" s="17" t="str">
        <f aca="false">IF((E58="r"),H58," ")</f>
        <v> </v>
      </c>
      <c r="U58" s="17" t="str">
        <f aca="false">IF((E58="p"),H58," ")</f>
        <v> </v>
      </c>
      <c r="V58" s="17" t="str">
        <f aca="false">IF((E58="t"),H58," ")</f>
        <v> </v>
      </c>
      <c r="W58" s="17" t="str">
        <f aca="false">IF((E58="q"),H58," ")</f>
        <v> </v>
      </c>
      <c r="X58" s="17" t="str">
        <f aca="false">IF((E58="m"),H58," ")</f>
        <v> </v>
      </c>
      <c r="Y58" s="17" t="str">
        <f aca="false">IF((E58="u"),H58," ")</f>
        <v> </v>
      </c>
      <c r="Z58" s="17" t="str">
        <f aca="false">IF((E58="a"),H58," ")</f>
        <v> </v>
      </c>
      <c r="AA58" s="17" t="str">
        <f aca="false">IF((E58="g"),H58," ")</f>
        <v> </v>
      </c>
      <c r="AB58" s="17" t="str">
        <f aca="false">IF((E58="h"),H58," ")</f>
        <v> </v>
      </c>
      <c r="AC58" s="30" t="str">
        <f aca="false">IF((E58="v"),H58," ")</f>
        <v> </v>
      </c>
      <c r="AD58" s="30" t="str">
        <f aca="false">IF((E58="n"),H58," ")</f>
        <v> </v>
      </c>
      <c r="AE58" s="17" t="str">
        <f aca="false">IF((E58="f"),H58," ")</f>
        <v> </v>
      </c>
      <c r="AF58" s="17" t="str">
        <f aca="false">IF((E58="l"),H58," ")</f>
        <v> </v>
      </c>
      <c r="AG58" s="17" t="str">
        <f aca="false">IF((E58="y"),H58," ")</f>
        <v> </v>
      </c>
      <c r="AH58" s="17" t="str">
        <f aca="false">IF((E58="z"),H58," ")</f>
        <v> </v>
      </c>
      <c r="AI58" s="17" t="str">
        <f aca="false">IF((E58="fa"),H58," ")</f>
        <v> </v>
      </c>
      <c r="AJ58" s="17" t="str">
        <f aca="false">IF((E58="e"),H58," ")</f>
        <v> </v>
      </c>
    </row>
    <row r="59" customFormat="false" ht="12" hidden="false" customHeight="false" outlineLevel="0" collapsed="false">
      <c r="A59" s="28"/>
      <c r="E59" s="2"/>
      <c r="F59" s="30"/>
      <c r="G59" s="6" t="str">
        <f aca="false">IF(F59&lt;&gt;0,F59*G$2/(100+G$2)," ")</f>
        <v> </v>
      </c>
      <c r="H59" s="6" t="str">
        <f aca="false">IF((F59&lt;&gt;0),F59-G59," ")</f>
        <v> </v>
      </c>
      <c r="I59" s="5"/>
      <c r="L59" s="7" t="str">
        <f aca="false">IF(F59&lt;&gt;0,F59-K59," ")</f>
        <v> </v>
      </c>
      <c r="M59" s="8" t="str">
        <f aca="false">IF((F59-K59)&lt;&gt;0,M$1-A59," ")</f>
        <v> </v>
      </c>
      <c r="N59" s="5"/>
      <c r="O59" s="17" t="str">
        <f aca="false">IF((E59="s"),H59," ")</f>
        <v> </v>
      </c>
      <c r="P59" s="17" t="str">
        <f aca="false">IF((E59="c"),H59," ")</f>
        <v> </v>
      </c>
      <c r="Q59" s="17" t="str">
        <f aca="false">IF((E59="o"),H59," ")</f>
        <v> </v>
      </c>
      <c r="R59" s="17" t="str">
        <f aca="false">IF((E59="d"),H59," ")</f>
        <v> </v>
      </c>
      <c r="S59" s="17" t="str">
        <f aca="false">IF((E59="w"),H59," ")</f>
        <v> </v>
      </c>
      <c r="T59" s="17" t="str">
        <f aca="false">IF((E59="r"),H59," ")</f>
        <v> </v>
      </c>
      <c r="U59" s="17" t="str">
        <f aca="false">IF((E59="p"),H59," ")</f>
        <v> </v>
      </c>
      <c r="V59" s="17" t="str">
        <f aca="false">IF((E59="t"),H59," ")</f>
        <v> </v>
      </c>
      <c r="W59" s="17" t="str">
        <f aca="false">IF((E59="q"),H59," ")</f>
        <v> </v>
      </c>
      <c r="X59" s="17" t="str">
        <f aca="false">IF((E59="m"),H59," ")</f>
        <v> </v>
      </c>
      <c r="Y59" s="17" t="str">
        <f aca="false">IF((E59="u"),H59," ")</f>
        <v> </v>
      </c>
      <c r="Z59" s="17" t="str">
        <f aca="false">IF((E59="a"),H59," ")</f>
        <v> </v>
      </c>
      <c r="AA59" s="17" t="str">
        <f aca="false">IF((E59="g"),H59," ")</f>
        <v> </v>
      </c>
      <c r="AB59" s="17" t="str">
        <f aca="false">IF((E59="h"),H59," ")</f>
        <v> </v>
      </c>
      <c r="AC59" s="30" t="str">
        <f aca="false">IF((E59="v"),H59," ")</f>
        <v> </v>
      </c>
      <c r="AD59" s="30" t="str">
        <f aca="false">IF((E59="n"),H59," ")</f>
        <v> </v>
      </c>
      <c r="AE59" s="17" t="str">
        <f aca="false">IF((E59="f"),H59," ")</f>
        <v> </v>
      </c>
      <c r="AF59" s="17" t="str">
        <f aca="false">IF((E59="l"),H59," ")</f>
        <v> </v>
      </c>
      <c r="AG59" s="17" t="str">
        <f aca="false">IF((E59="y"),H59," ")</f>
        <v> </v>
      </c>
      <c r="AH59" s="17" t="str">
        <f aca="false">IF((E59="z"),H59," ")</f>
        <v> </v>
      </c>
      <c r="AI59" s="17" t="str">
        <f aca="false">IF((E59="fa"),H59," ")</f>
        <v> </v>
      </c>
      <c r="AJ59" s="17" t="str">
        <f aca="false">IF((E59="e"),H59," ")</f>
        <v> </v>
      </c>
    </row>
    <row r="60" customFormat="false" ht="12" hidden="false" customHeight="false" outlineLevel="0" collapsed="false">
      <c r="A60" s="28"/>
      <c r="E60" s="2"/>
      <c r="F60" s="30"/>
      <c r="G60" s="6" t="str">
        <f aca="false">IF(F60&lt;&gt;0,F60*G$2/(100+G$2)," ")</f>
        <v> </v>
      </c>
      <c r="H60" s="6" t="str">
        <f aca="false">IF((F60&lt;&gt;0),F60-G60," ")</f>
        <v> </v>
      </c>
      <c r="I60" s="5"/>
      <c r="L60" s="7" t="str">
        <f aca="false">IF(F60&lt;&gt;0,F60-K60," ")</f>
        <v> </v>
      </c>
      <c r="M60" s="8" t="str">
        <f aca="false">IF((F60-K60)&lt;&gt;0,M$1-A60," ")</f>
        <v> </v>
      </c>
      <c r="N60" s="5"/>
      <c r="O60" s="17" t="str">
        <f aca="false">IF((E60="s"),H60," ")</f>
        <v> </v>
      </c>
      <c r="P60" s="17" t="str">
        <f aca="false">IF((E60="c"),H60," ")</f>
        <v> </v>
      </c>
      <c r="Q60" s="17" t="str">
        <f aca="false">IF((E60="o"),H60," ")</f>
        <v> </v>
      </c>
      <c r="R60" s="17" t="str">
        <f aca="false">IF((E60="d"),H60," ")</f>
        <v> </v>
      </c>
      <c r="S60" s="17" t="str">
        <f aca="false">IF((E60="w"),H60," ")</f>
        <v> </v>
      </c>
      <c r="T60" s="17" t="str">
        <f aca="false">IF((E60="r"),H60," ")</f>
        <v> </v>
      </c>
      <c r="U60" s="17" t="str">
        <f aca="false">IF((E60="p"),H60," ")</f>
        <v> </v>
      </c>
      <c r="V60" s="17" t="str">
        <f aca="false">IF((E60="t"),H60," ")</f>
        <v> </v>
      </c>
      <c r="W60" s="17" t="str">
        <f aca="false">IF((E60="q"),H60," ")</f>
        <v> </v>
      </c>
      <c r="X60" s="17" t="str">
        <f aca="false">IF((E60="m"),H60," ")</f>
        <v> </v>
      </c>
      <c r="Y60" s="17" t="str">
        <f aca="false">IF((E60="u"),H60," ")</f>
        <v> </v>
      </c>
      <c r="Z60" s="17" t="str">
        <f aca="false">IF((E60="a"),H60," ")</f>
        <v> </v>
      </c>
      <c r="AA60" s="17" t="str">
        <f aca="false">IF((E60="g"),H60," ")</f>
        <v> </v>
      </c>
      <c r="AB60" s="17" t="str">
        <f aca="false">IF((E60="h"),H60," ")</f>
        <v> </v>
      </c>
      <c r="AC60" s="30" t="str">
        <f aca="false">IF((E60="v"),H60," ")</f>
        <v> </v>
      </c>
      <c r="AD60" s="30" t="str">
        <f aca="false">IF((E60="n"),H60," ")</f>
        <v> </v>
      </c>
      <c r="AE60" s="17" t="str">
        <f aca="false">IF((E60="f"),H60," ")</f>
        <v> </v>
      </c>
      <c r="AF60" s="17" t="str">
        <f aca="false">IF((E60="l"),H60," ")</f>
        <v> </v>
      </c>
      <c r="AG60" s="17" t="str">
        <f aca="false">IF((E60="y"),H60," ")</f>
        <v> </v>
      </c>
      <c r="AH60" s="17" t="str">
        <f aca="false">IF((E60="z"),H60," ")</f>
        <v> </v>
      </c>
      <c r="AI60" s="17" t="str">
        <f aca="false">IF((E60="fa"),H60," ")</f>
        <v> </v>
      </c>
      <c r="AJ60" s="17" t="str">
        <f aca="false">IF((E60="e"),H60," ")</f>
        <v> </v>
      </c>
    </row>
    <row r="61" customFormat="false" ht="12" hidden="false" customHeight="false" outlineLevel="0" collapsed="false">
      <c r="A61" s="28"/>
      <c r="E61" s="2"/>
      <c r="F61" s="30"/>
      <c r="G61" s="6" t="str">
        <f aca="false">IF(F61&lt;&gt;0,F61*G$2/(100+G$2)," ")</f>
        <v> </v>
      </c>
      <c r="H61" s="6" t="str">
        <f aca="false">IF((F61&lt;&gt;0),F61-G61," ")</f>
        <v> </v>
      </c>
      <c r="I61" s="5"/>
      <c r="L61" s="7" t="str">
        <f aca="false">IF(F61&lt;&gt;0,F61-K61," ")</f>
        <v> </v>
      </c>
      <c r="M61" s="8" t="str">
        <f aca="false">IF((F61-K61)&lt;&gt;0,M$1-A61," ")</f>
        <v> </v>
      </c>
      <c r="N61" s="5"/>
      <c r="O61" s="17" t="str">
        <f aca="false">IF((E61="s"),H61," ")</f>
        <v> </v>
      </c>
      <c r="P61" s="17" t="str">
        <f aca="false">IF((E61="c"),H61," ")</f>
        <v> </v>
      </c>
      <c r="Q61" s="17" t="str">
        <f aca="false">IF((E61="o"),H61," ")</f>
        <v> </v>
      </c>
      <c r="R61" s="17" t="str">
        <f aca="false">IF((E61="d"),H61," ")</f>
        <v> </v>
      </c>
      <c r="S61" s="17" t="str">
        <f aca="false">IF((E61="w"),H61," ")</f>
        <v> </v>
      </c>
      <c r="T61" s="17" t="str">
        <f aca="false">IF((E61="r"),H61," ")</f>
        <v> </v>
      </c>
      <c r="U61" s="17" t="str">
        <f aca="false">IF((E61="p"),H61," ")</f>
        <v> </v>
      </c>
      <c r="V61" s="17" t="str">
        <f aca="false">IF((E61="t"),H61," ")</f>
        <v> </v>
      </c>
      <c r="W61" s="17" t="str">
        <f aca="false">IF((E61="q"),H61," ")</f>
        <v> </v>
      </c>
      <c r="X61" s="17" t="str">
        <f aca="false">IF((E61="m"),H61," ")</f>
        <v> </v>
      </c>
      <c r="Y61" s="17" t="str">
        <f aca="false">IF((E61="u"),H61," ")</f>
        <v> </v>
      </c>
      <c r="Z61" s="17" t="str">
        <f aca="false">IF((E61="a"),H61," ")</f>
        <v> </v>
      </c>
      <c r="AA61" s="17" t="str">
        <f aca="false">IF((E61="g"),H61," ")</f>
        <v> </v>
      </c>
      <c r="AB61" s="17" t="str">
        <f aca="false">IF((E61="h"),H61," ")</f>
        <v> </v>
      </c>
      <c r="AC61" s="30" t="str">
        <f aca="false">IF((E61="v"),H61," ")</f>
        <v> </v>
      </c>
      <c r="AD61" s="30" t="str">
        <f aca="false">IF((E61="n"),H61," ")</f>
        <v> </v>
      </c>
      <c r="AE61" s="17" t="str">
        <f aca="false">IF((E61="f"),H61," ")</f>
        <v> </v>
      </c>
      <c r="AF61" s="17" t="str">
        <f aca="false">IF((E61="l"),H61," ")</f>
        <v> </v>
      </c>
      <c r="AG61" s="17" t="str">
        <f aca="false">IF((E61="y"),H61," ")</f>
        <v> </v>
      </c>
      <c r="AH61" s="17" t="str">
        <f aca="false">IF((E61="z"),H61," ")</f>
        <v> </v>
      </c>
      <c r="AI61" s="17" t="str">
        <f aca="false">IF((E61="fa"),H61," ")</f>
        <v> </v>
      </c>
      <c r="AJ61" s="17" t="str">
        <f aca="false">IF((E61="e"),H61," ")</f>
        <v> </v>
      </c>
    </row>
    <row r="62" customFormat="false" ht="12" hidden="false" customHeight="false" outlineLevel="0" collapsed="false">
      <c r="A62" s="28"/>
      <c r="E62" s="2"/>
      <c r="F62" s="30"/>
      <c r="G62" s="6" t="str">
        <f aca="false">IF(F62&lt;&gt;0,F62*G$2/(100+G$2)," ")</f>
        <v> </v>
      </c>
      <c r="H62" s="6" t="str">
        <f aca="false">IF((F62&lt;&gt;0),F62-G62," ")</f>
        <v> </v>
      </c>
      <c r="I62" s="5"/>
      <c r="L62" s="7" t="str">
        <f aca="false">IF(F62&lt;&gt;0,F62-K62," ")</f>
        <v> </v>
      </c>
      <c r="M62" s="8" t="str">
        <f aca="false">IF((F62-K62)&lt;&gt;0,M$1-A62," ")</f>
        <v> </v>
      </c>
      <c r="N62" s="5"/>
      <c r="O62" s="17" t="str">
        <f aca="false">IF((E62="s"),H62," ")</f>
        <v> </v>
      </c>
      <c r="P62" s="17" t="str">
        <f aca="false">IF((E62="c"),H62," ")</f>
        <v> </v>
      </c>
      <c r="Q62" s="17" t="str">
        <f aca="false">IF((E62="o"),H62," ")</f>
        <v> </v>
      </c>
      <c r="R62" s="17" t="str">
        <f aca="false">IF((E62="d"),H62," ")</f>
        <v> </v>
      </c>
      <c r="S62" s="17" t="str">
        <f aca="false">IF((E62="w"),H62," ")</f>
        <v> </v>
      </c>
      <c r="T62" s="17" t="str">
        <f aca="false">IF((E62="r"),H62," ")</f>
        <v> </v>
      </c>
      <c r="U62" s="17" t="str">
        <f aca="false">IF((E62="p"),H62," ")</f>
        <v> </v>
      </c>
      <c r="V62" s="17" t="str">
        <f aca="false">IF((E62="t"),H62," ")</f>
        <v> </v>
      </c>
      <c r="W62" s="17" t="str">
        <f aca="false">IF((E62="q"),H62," ")</f>
        <v> </v>
      </c>
      <c r="X62" s="17" t="str">
        <f aca="false">IF((E62="m"),H62," ")</f>
        <v> </v>
      </c>
      <c r="Y62" s="17" t="str">
        <f aca="false">IF((E62="u"),H62," ")</f>
        <v> </v>
      </c>
      <c r="Z62" s="17" t="str">
        <f aca="false">IF((E62="a"),H62," ")</f>
        <v> </v>
      </c>
      <c r="AA62" s="17" t="str">
        <f aca="false">IF((E62="g"),H62," ")</f>
        <v> </v>
      </c>
      <c r="AB62" s="17" t="str">
        <f aca="false">IF((E62="h"),H62," ")</f>
        <v> </v>
      </c>
      <c r="AC62" s="30" t="str">
        <f aca="false">IF((E62="v"),H62," ")</f>
        <v> </v>
      </c>
      <c r="AD62" s="30" t="str">
        <f aca="false">IF((E62="n"),H62," ")</f>
        <v> </v>
      </c>
      <c r="AE62" s="17" t="str">
        <f aca="false">IF((E62="f"),H62," ")</f>
        <v> </v>
      </c>
      <c r="AF62" s="17" t="str">
        <f aca="false">IF((E62="l"),H62," ")</f>
        <v> </v>
      </c>
      <c r="AG62" s="17" t="str">
        <f aca="false">IF((E62="y"),H62," ")</f>
        <v> </v>
      </c>
      <c r="AH62" s="17" t="str">
        <f aca="false">IF((E62="z"),H62," ")</f>
        <v> </v>
      </c>
      <c r="AI62" s="17" t="str">
        <f aca="false">IF((E62="fa"),H62," ")</f>
        <v> </v>
      </c>
      <c r="AJ62" s="17" t="str">
        <f aca="false">IF((E62="e"),H62," ")</f>
        <v> </v>
      </c>
    </row>
    <row r="63" customFormat="false" ht="12" hidden="false" customHeight="false" outlineLevel="0" collapsed="false">
      <c r="A63" s="28"/>
      <c r="E63" s="2"/>
      <c r="F63" s="30"/>
      <c r="G63" s="6" t="str">
        <f aca="false">IF(F63&lt;&gt;0,F63*G$2/(100+G$2)," ")</f>
        <v> </v>
      </c>
      <c r="H63" s="6" t="str">
        <f aca="false">IF((F63&lt;&gt;0),F63-G63," ")</f>
        <v> </v>
      </c>
      <c r="I63" s="5"/>
      <c r="L63" s="7" t="str">
        <f aca="false">IF(F63&lt;&gt;0,F63-K63," ")</f>
        <v> </v>
      </c>
      <c r="M63" s="8" t="str">
        <f aca="false">IF((F63-K63)&lt;&gt;0,M$1-A63," ")</f>
        <v> </v>
      </c>
      <c r="N63" s="5"/>
      <c r="O63" s="17" t="str">
        <f aca="false">IF((E63="s"),H63," ")</f>
        <v> </v>
      </c>
      <c r="P63" s="17" t="str">
        <f aca="false">IF((E63="c"),H63," ")</f>
        <v> </v>
      </c>
      <c r="Q63" s="17" t="str">
        <f aca="false">IF((E63="o"),H63," ")</f>
        <v> </v>
      </c>
      <c r="R63" s="17" t="str">
        <f aca="false">IF((E63="d"),H63," ")</f>
        <v> </v>
      </c>
      <c r="S63" s="17" t="str">
        <f aca="false">IF((E63="w"),H63," ")</f>
        <v> </v>
      </c>
      <c r="T63" s="17" t="str">
        <f aca="false">IF((E63="r"),H63," ")</f>
        <v> </v>
      </c>
      <c r="U63" s="17" t="str">
        <f aca="false">IF((E63="p"),H63," ")</f>
        <v> </v>
      </c>
      <c r="V63" s="17" t="str">
        <f aca="false">IF((E63="t"),H63," ")</f>
        <v> </v>
      </c>
      <c r="W63" s="17" t="str">
        <f aca="false">IF((E63="q"),H63," ")</f>
        <v> </v>
      </c>
      <c r="X63" s="17" t="str">
        <f aca="false">IF((E63="m"),H63," ")</f>
        <v> </v>
      </c>
      <c r="Y63" s="17" t="str">
        <f aca="false">IF((E63="u"),H63," ")</f>
        <v> </v>
      </c>
      <c r="Z63" s="17" t="str">
        <f aca="false">IF((E63="a"),H63," ")</f>
        <v> </v>
      </c>
      <c r="AA63" s="17" t="str">
        <f aca="false">IF((E63="g"),H63," ")</f>
        <v> </v>
      </c>
      <c r="AB63" s="17" t="str">
        <f aca="false">IF((E63="h"),H63," ")</f>
        <v> </v>
      </c>
      <c r="AC63" s="30" t="str">
        <f aca="false">IF((E63="v"),H63," ")</f>
        <v> </v>
      </c>
      <c r="AD63" s="30" t="str">
        <f aca="false">IF((E63="n"),H63," ")</f>
        <v> </v>
      </c>
      <c r="AE63" s="17" t="str">
        <f aca="false">IF((E63="f"),H63," ")</f>
        <v> </v>
      </c>
      <c r="AF63" s="17" t="str">
        <f aca="false">IF((E63="l"),H63," ")</f>
        <v> </v>
      </c>
      <c r="AG63" s="17" t="str">
        <f aca="false">IF((E63="y"),H63," ")</f>
        <v> </v>
      </c>
      <c r="AH63" s="17" t="str">
        <f aca="false">IF((E63="z"),H63," ")</f>
        <v> </v>
      </c>
      <c r="AI63" s="17" t="str">
        <f aca="false">IF((E63="fa"),H63," ")</f>
        <v> </v>
      </c>
      <c r="AJ63" s="17" t="str">
        <f aca="false">IF((E63="e"),H63," ")</f>
        <v> </v>
      </c>
    </row>
    <row r="64" customFormat="false" ht="12" hidden="false" customHeight="false" outlineLevel="0" collapsed="false">
      <c r="A64" s="28"/>
      <c r="E64" s="2"/>
      <c r="F64" s="30"/>
      <c r="G64" s="6" t="str">
        <f aca="false">IF(F64&lt;&gt;0,F64*G$2/(100+G$2)," ")</f>
        <v> </v>
      </c>
      <c r="H64" s="6" t="str">
        <f aca="false">IF((F64&lt;&gt;0),F64-G64," ")</f>
        <v> </v>
      </c>
      <c r="I64" s="5"/>
      <c r="L64" s="7" t="str">
        <f aca="false">IF(F64&lt;&gt;0,F64-K64," ")</f>
        <v> </v>
      </c>
      <c r="M64" s="8" t="str">
        <f aca="false">IF((F64-K64)&lt;&gt;0,M$1-A64," ")</f>
        <v> </v>
      </c>
      <c r="N64" s="5"/>
      <c r="O64" s="17" t="str">
        <f aca="false">IF((E64="s"),H64," ")</f>
        <v> </v>
      </c>
      <c r="P64" s="17" t="str">
        <f aca="false">IF((E64="c"),H64," ")</f>
        <v> </v>
      </c>
      <c r="Q64" s="17" t="str">
        <f aca="false">IF((E64="o"),H64," ")</f>
        <v> </v>
      </c>
      <c r="R64" s="17" t="str">
        <f aca="false">IF((E64="d"),H64," ")</f>
        <v> </v>
      </c>
      <c r="S64" s="17" t="str">
        <f aca="false">IF((E64="w"),H64," ")</f>
        <v> </v>
      </c>
      <c r="T64" s="17" t="str">
        <f aca="false">IF((E64="r"),H64," ")</f>
        <v> </v>
      </c>
      <c r="U64" s="17" t="str">
        <f aca="false">IF((E64="p"),H64," ")</f>
        <v> </v>
      </c>
      <c r="V64" s="17" t="str">
        <f aca="false">IF((E64="t"),H64," ")</f>
        <v> </v>
      </c>
      <c r="W64" s="17" t="str">
        <f aca="false">IF((E64="q"),H64," ")</f>
        <v> </v>
      </c>
      <c r="X64" s="17" t="str">
        <f aca="false">IF((E64="m"),H64," ")</f>
        <v> </v>
      </c>
      <c r="Y64" s="17" t="str">
        <f aca="false">IF((E64="u"),H64," ")</f>
        <v> </v>
      </c>
      <c r="Z64" s="17" t="str">
        <f aca="false">IF((E64="a"),H64," ")</f>
        <v> </v>
      </c>
      <c r="AA64" s="17" t="str">
        <f aca="false">IF((E64="g"),H64," ")</f>
        <v> </v>
      </c>
      <c r="AB64" s="17" t="str">
        <f aca="false">IF((E64="h"),H64," ")</f>
        <v> </v>
      </c>
      <c r="AC64" s="30" t="str">
        <f aca="false">IF((E64="v"),H64," ")</f>
        <v> </v>
      </c>
      <c r="AD64" s="30" t="str">
        <f aca="false">IF((E64="n"),H64," ")</f>
        <v> </v>
      </c>
      <c r="AE64" s="17" t="str">
        <f aca="false">IF((E64="f"),H64," ")</f>
        <v> </v>
      </c>
      <c r="AF64" s="17" t="str">
        <f aca="false">IF((E64="l"),H64," ")</f>
        <v> </v>
      </c>
      <c r="AG64" s="17" t="str">
        <f aca="false">IF((E64="y"),H64," ")</f>
        <v> </v>
      </c>
      <c r="AH64" s="17" t="str">
        <f aca="false">IF((E64="z"),H64," ")</f>
        <v> </v>
      </c>
      <c r="AI64" s="17" t="str">
        <f aca="false">IF((E64="fa"),H64," ")</f>
        <v> </v>
      </c>
      <c r="AJ64" s="17" t="str">
        <f aca="false">IF((E64="e"),H64," ")</f>
        <v> </v>
      </c>
    </row>
    <row r="65" customFormat="false" ht="12" hidden="false" customHeight="false" outlineLevel="0" collapsed="false">
      <c r="A65" s="28"/>
      <c r="E65" s="2"/>
      <c r="F65" s="30"/>
      <c r="G65" s="6" t="str">
        <f aca="false">IF(F65&lt;&gt;0,F65*G$2/(100+G$2)," ")</f>
        <v> </v>
      </c>
      <c r="H65" s="6" t="str">
        <f aca="false">IF((F65&lt;&gt;0),F65-G65," ")</f>
        <v> </v>
      </c>
      <c r="I65" s="5"/>
      <c r="L65" s="7" t="str">
        <f aca="false">IF(F65&lt;&gt;0,F65-K65," ")</f>
        <v> </v>
      </c>
      <c r="M65" s="8" t="str">
        <f aca="false">IF((F65-K65)&lt;&gt;0,M$1-A65," ")</f>
        <v> </v>
      </c>
      <c r="N65" s="5"/>
      <c r="O65" s="17" t="str">
        <f aca="false">IF((E65="s"),H65," ")</f>
        <v> </v>
      </c>
      <c r="P65" s="17" t="str">
        <f aca="false">IF((E65="c"),H65," ")</f>
        <v> </v>
      </c>
      <c r="Q65" s="17" t="str">
        <f aca="false">IF((E65="o"),H65," ")</f>
        <v> </v>
      </c>
      <c r="R65" s="17" t="str">
        <f aca="false">IF((E65="d"),H65," ")</f>
        <v> </v>
      </c>
      <c r="S65" s="17" t="str">
        <f aca="false">IF((E65="w"),H65," ")</f>
        <v> </v>
      </c>
      <c r="T65" s="17" t="str">
        <f aca="false">IF((E65="r"),H65," ")</f>
        <v> </v>
      </c>
      <c r="U65" s="17" t="str">
        <f aca="false">IF((E65="p"),H65," ")</f>
        <v> </v>
      </c>
      <c r="V65" s="17" t="str">
        <f aca="false">IF((E65="t"),H65," ")</f>
        <v> </v>
      </c>
      <c r="W65" s="17" t="str">
        <f aca="false">IF((E65="q"),H65," ")</f>
        <v> </v>
      </c>
      <c r="X65" s="17" t="str">
        <f aca="false">IF((E65="m"),H65," ")</f>
        <v> </v>
      </c>
      <c r="Y65" s="17" t="str">
        <f aca="false">IF((E65="u"),H65," ")</f>
        <v> </v>
      </c>
      <c r="Z65" s="17" t="str">
        <f aca="false">IF((E65="a"),H65," ")</f>
        <v> </v>
      </c>
      <c r="AA65" s="17" t="str">
        <f aca="false">IF((E65="g"),H65," ")</f>
        <v> </v>
      </c>
      <c r="AB65" s="17" t="str">
        <f aca="false">IF((E65="h"),H65," ")</f>
        <v> </v>
      </c>
      <c r="AC65" s="30" t="str">
        <f aca="false">IF((E65="v"),H65," ")</f>
        <v> </v>
      </c>
      <c r="AD65" s="30" t="str">
        <f aca="false">IF((E65="n"),H65," ")</f>
        <v> </v>
      </c>
      <c r="AE65" s="17" t="str">
        <f aca="false">IF((E65="f"),H65," ")</f>
        <v> </v>
      </c>
      <c r="AF65" s="17" t="str">
        <f aca="false">IF((E65="l"),H65," ")</f>
        <v> </v>
      </c>
      <c r="AG65" s="17" t="str">
        <f aca="false">IF((E65="y"),H65," ")</f>
        <v> </v>
      </c>
      <c r="AH65" s="17" t="str">
        <f aca="false">IF((E65="z"),H65," ")</f>
        <v> </v>
      </c>
      <c r="AI65" s="17" t="str">
        <f aca="false">IF((E65="fa"),H65," ")</f>
        <v> </v>
      </c>
      <c r="AJ65" s="17" t="str">
        <f aca="false">IF((E65="e"),H65," ")</f>
        <v> </v>
      </c>
    </row>
    <row r="66" customFormat="false" ht="12" hidden="false" customHeight="false" outlineLevel="0" collapsed="false">
      <c r="A66" s="28"/>
      <c r="E66" s="2"/>
      <c r="F66" s="30"/>
      <c r="G66" s="6" t="str">
        <f aca="false">IF(F66&lt;&gt;0,F66*G$2/(100+G$2)," ")</f>
        <v> </v>
      </c>
      <c r="H66" s="6" t="str">
        <f aca="false">IF((F66&lt;&gt;0),F66-G66," ")</f>
        <v> </v>
      </c>
      <c r="I66" s="5"/>
      <c r="L66" s="7" t="str">
        <f aca="false">IF(F66&lt;&gt;0,F66-K66," ")</f>
        <v> </v>
      </c>
      <c r="M66" s="8" t="str">
        <f aca="false">IF((F66-K66)&lt;&gt;0,M$1-A66," ")</f>
        <v> </v>
      </c>
      <c r="N66" s="5"/>
      <c r="O66" s="17" t="str">
        <f aca="false">IF((E66="s"),H66," ")</f>
        <v> </v>
      </c>
      <c r="P66" s="17" t="str">
        <f aca="false">IF((E66="c"),H66," ")</f>
        <v> </v>
      </c>
      <c r="Q66" s="17" t="str">
        <f aca="false">IF((E66="o"),H66," ")</f>
        <v> </v>
      </c>
      <c r="R66" s="17" t="str">
        <f aca="false">IF((E66="d"),H66," ")</f>
        <v> </v>
      </c>
      <c r="S66" s="17" t="str">
        <f aca="false">IF((E66="w"),H66," ")</f>
        <v> </v>
      </c>
      <c r="T66" s="17" t="str">
        <f aca="false">IF((E66="r"),H66," ")</f>
        <v> </v>
      </c>
      <c r="U66" s="17" t="str">
        <f aca="false">IF((E66="p"),H66," ")</f>
        <v> </v>
      </c>
      <c r="V66" s="17" t="str">
        <f aca="false">IF((E66="t"),H66," ")</f>
        <v> </v>
      </c>
      <c r="W66" s="17" t="str">
        <f aca="false">IF((E66="q"),H66," ")</f>
        <v> </v>
      </c>
      <c r="X66" s="17" t="str">
        <f aca="false">IF((E66="m"),H66," ")</f>
        <v> </v>
      </c>
      <c r="Y66" s="17" t="str">
        <f aca="false">IF((E66="u"),H66," ")</f>
        <v> </v>
      </c>
      <c r="Z66" s="17" t="str">
        <f aca="false">IF((E66="a"),H66," ")</f>
        <v> </v>
      </c>
      <c r="AA66" s="17" t="str">
        <f aca="false">IF((E66="g"),H66," ")</f>
        <v> </v>
      </c>
      <c r="AB66" s="17" t="str">
        <f aca="false">IF((E66="h"),H66," ")</f>
        <v> </v>
      </c>
      <c r="AC66" s="30" t="str">
        <f aca="false">IF((E66="v"),H66," ")</f>
        <v> </v>
      </c>
      <c r="AD66" s="30" t="str">
        <f aca="false">IF((E66="n"),H66," ")</f>
        <v> </v>
      </c>
      <c r="AE66" s="17" t="str">
        <f aca="false">IF((E66="f"),H66," ")</f>
        <v> </v>
      </c>
      <c r="AF66" s="17" t="str">
        <f aca="false">IF((E66="l"),H66," ")</f>
        <v> </v>
      </c>
      <c r="AG66" s="17" t="str">
        <f aca="false">IF((E66="y"),H66," ")</f>
        <v> </v>
      </c>
      <c r="AH66" s="17" t="str">
        <f aca="false">IF((E66="z"),H66," ")</f>
        <v> </v>
      </c>
      <c r="AI66" s="17" t="str">
        <f aca="false">IF((E66="fa"),H66," ")</f>
        <v> </v>
      </c>
      <c r="AJ66" s="17" t="str">
        <f aca="false">IF((E66="e"),H66," ")</f>
        <v> </v>
      </c>
    </row>
    <row r="67" customFormat="false" ht="12" hidden="false" customHeight="false" outlineLevel="0" collapsed="false">
      <c r="A67" s="28"/>
      <c r="E67" s="2"/>
      <c r="F67" s="30"/>
      <c r="G67" s="6" t="str">
        <f aca="false">IF(F67&lt;&gt;0,F67*G$2/(100+G$2)," ")</f>
        <v> </v>
      </c>
      <c r="H67" s="6" t="str">
        <f aca="false">IF((F67&lt;&gt;0),F67-G67," ")</f>
        <v> </v>
      </c>
      <c r="I67" s="5"/>
      <c r="L67" s="7" t="str">
        <f aca="false">IF(F67&lt;&gt;0,F67-K67," ")</f>
        <v> </v>
      </c>
      <c r="M67" s="8" t="str">
        <f aca="false">IF((F67-K67)&lt;&gt;0,M$1-A67," ")</f>
        <v> </v>
      </c>
      <c r="N67" s="5"/>
      <c r="O67" s="17" t="str">
        <f aca="false">IF((E67="s"),H67," ")</f>
        <v> </v>
      </c>
      <c r="P67" s="17" t="str">
        <f aca="false">IF((E67="c"),H67," ")</f>
        <v> </v>
      </c>
      <c r="Q67" s="17" t="str">
        <f aca="false">IF((E67="o"),H67," ")</f>
        <v> </v>
      </c>
      <c r="R67" s="17" t="str">
        <f aca="false">IF((E67="d"),H67," ")</f>
        <v> </v>
      </c>
      <c r="S67" s="17" t="str">
        <f aca="false">IF((E67="w"),H67," ")</f>
        <v> </v>
      </c>
      <c r="T67" s="17" t="str">
        <f aca="false">IF((E67="r"),H67," ")</f>
        <v> </v>
      </c>
      <c r="U67" s="17" t="str">
        <f aca="false">IF((E67="p"),H67," ")</f>
        <v> </v>
      </c>
      <c r="V67" s="17" t="str">
        <f aca="false">IF((E67="t"),H67," ")</f>
        <v> </v>
      </c>
      <c r="W67" s="17" t="str">
        <f aca="false">IF((E67="q"),H67," ")</f>
        <v> </v>
      </c>
      <c r="X67" s="17" t="str">
        <f aca="false">IF((E67="m"),H67," ")</f>
        <v> </v>
      </c>
      <c r="Y67" s="17" t="str">
        <f aca="false">IF((E67="u"),H67," ")</f>
        <v> </v>
      </c>
      <c r="Z67" s="17" t="str">
        <f aca="false">IF((E67="a"),H67," ")</f>
        <v> </v>
      </c>
      <c r="AA67" s="17" t="str">
        <f aca="false">IF((E67="g"),H67," ")</f>
        <v> </v>
      </c>
      <c r="AB67" s="17" t="str">
        <f aca="false">IF((E67="h"),H67," ")</f>
        <v> </v>
      </c>
      <c r="AC67" s="30" t="str">
        <f aca="false">IF((E67="v"),H67," ")</f>
        <v> </v>
      </c>
      <c r="AD67" s="30" t="str">
        <f aca="false">IF((E67="n"),H67," ")</f>
        <v> </v>
      </c>
      <c r="AE67" s="17" t="str">
        <f aca="false">IF((E67="f"),H67," ")</f>
        <v> </v>
      </c>
      <c r="AF67" s="17" t="str">
        <f aca="false">IF((E67="l"),H67," ")</f>
        <v> </v>
      </c>
      <c r="AG67" s="17" t="str">
        <f aca="false">IF((E67="y"),H67," ")</f>
        <v> </v>
      </c>
      <c r="AH67" s="17" t="str">
        <f aca="false">IF((E67="z"),H67," ")</f>
        <v> </v>
      </c>
      <c r="AI67" s="17" t="str">
        <f aca="false">IF((E67="fa"),H67," ")</f>
        <v> </v>
      </c>
      <c r="AJ67" s="17" t="str">
        <f aca="false">IF((E67="e"),H67," ")</f>
        <v> </v>
      </c>
    </row>
    <row r="68" customFormat="false" ht="12" hidden="false" customHeight="false" outlineLevel="0" collapsed="false">
      <c r="A68" s="28"/>
      <c r="E68" s="2"/>
      <c r="F68" s="30"/>
      <c r="G68" s="6" t="str">
        <f aca="false">IF(F68&lt;&gt;0,F68*G$2/(100+G$2)," ")</f>
        <v> </v>
      </c>
      <c r="H68" s="6" t="str">
        <f aca="false">IF((F68&lt;&gt;0),F68-G68," ")</f>
        <v> </v>
      </c>
      <c r="I68" s="5"/>
      <c r="L68" s="7" t="str">
        <f aca="false">IF(F68&lt;&gt;0,F68-K68," ")</f>
        <v> </v>
      </c>
      <c r="M68" s="8" t="str">
        <f aca="false">IF((F68-K68)&lt;&gt;0,M$1-A68," ")</f>
        <v> </v>
      </c>
      <c r="N68" s="5"/>
      <c r="O68" s="17" t="str">
        <f aca="false">IF((E68="s"),H68," ")</f>
        <v> </v>
      </c>
      <c r="P68" s="17" t="str">
        <f aca="false">IF((E68="c"),H68," ")</f>
        <v> </v>
      </c>
      <c r="Q68" s="17" t="str">
        <f aca="false">IF((E68="o"),H68," ")</f>
        <v> </v>
      </c>
      <c r="R68" s="17" t="str">
        <f aca="false">IF((E68="d"),H68," ")</f>
        <v> </v>
      </c>
      <c r="S68" s="17" t="str">
        <f aca="false">IF((E68="w"),H68," ")</f>
        <v> </v>
      </c>
      <c r="T68" s="17" t="str">
        <f aca="false">IF((E68="r"),H68," ")</f>
        <v> </v>
      </c>
      <c r="U68" s="17" t="str">
        <f aca="false">IF((E68="p"),H68," ")</f>
        <v> </v>
      </c>
      <c r="V68" s="17" t="str">
        <f aca="false">IF((E68="t"),H68," ")</f>
        <v> </v>
      </c>
      <c r="W68" s="17" t="str">
        <f aca="false">IF((E68="q"),H68," ")</f>
        <v> </v>
      </c>
      <c r="X68" s="17" t="str">
        <f aca="false">IF((E68="m"),H68," ")</f>
        <v> </v>
      </c>
      <c r="Y68" s="17" t="str">
        <f aca="false">IF((E68="u"),H68," ")</f>
        <v> </v>
      </c>
      <c r="Z68" s="17" t="str">
        <f aca="false">IF((E68="a"),H68," ")</f>
        <v> </v>
      </c>
      <c r="AA68" s="17" t="str">
        <f aca="false">IF((E68="g"),H68," ")</f>
        <v> </v>
      </c>
      <c r="AB68" s="17" t="str">
        <f aca="false">IF((E68="h"),H68," ")</f>
        <v> </v>
      </c>
      <c r="AC68" s="30" t="str">
        <f aca="false">IF((E68="v"),H68," ")</f>
        <v> </v>
      </c>
      <c r="AD68" s="30" t="str">
        <f aca="false">IF((E68="n"),H68," ")</f>
        <v> </v>
      </c>
      <c r="AE68" s="17" t="str">
        <f aca="false">IF((E68="f"),H68," ")</f>
        <v> </v>
      </c>
      <c r="AF68" s="17" t="str">
        <f aca="false">IF((E68="l"),H68," ")</f>
        <v> </v>
      </c>
      <c r="AG68" s="17" t="str">
        <f aca="false">IF((E68="y"),H68," ")</f>
        <v> </v>
      </c>
      <c r="AH68" s="17" t="str">
        <f aca="false">IF((E68="z"),H68," ")</f>
        <v> </v>
      </c>
      <c r="AI68" s="17" t="str">
        <f aca="false">IF((E68="fa"),H68," ")</f>
        <v> </v>
      </c>
      <c r="AJ68" s="17" t="str">
        <f aca="false">IF((E68="e"),H68," ")</f>
        <v> </v>
      </c>
    </row>
    <row r="69" customFormat="false" ht="12" hidden="false" customHeight="false" outlineLevel="0" collapsed="false">
      <c r="A69" s="28"/>
      <c r="E69" s="2"/>
      <c r="F69" s="30"/>
      <c r="G69" s="6" t="str">
        <f aca="false">IF(F69&lt;&gt;0,F69*G$2/(100+G$2)," ")</f>
        <v> </v>
      </c>
      <c r="H69" s="6" t="str">
        <f aca="false">IF((F69&lt;&gt;0),F69-G69," ")</f>
        <v> </v>
      </c>
      <c r="I69" s="5"/>
      <c r="L69" s="7" t="str">
        <f aca="false">IF(F69&lt;&gt;0,F69-K69," ")</f>
        <v> </v>
      </c>
      <c r="M69" s="8" t="str">
        <f aca="false">IF((F69-K69)&lt;&gt;0,M$1-A69," ")</f>
        <v> </v>
      </c>
      <c r="N69" s="5"/>
      <c r="O69" s="17" t="str">
        <f aca="false">IF((E69="s"),H69," ")</f>
        <v> </v>
      </c>
      <c r="P69" s="17" t="str">
        <f aca="false">IF((E69="c"),H69," ")</f>
        <v> </v>
      </c>
      <c r="Q69" s="17" t="str">
        <f aca="false">IF((E69="o"),H69," ")</f>
        <v> </v>
      </c>
      <c r="R69" s="17" t="str">
        <f aca="false">IF((E69="d"),H69," ")</f>
        <v> </v>
      </c>
      <c r="S69" s="17" t="str">
        <f aca="false">IF((E69="w"),H69," ")</f>
        <v> </v>
      </c>
      <c r="T69" s="17" t="str">
        <f aca="false">IF((E69="r"),H69," ")</f>
        <v> </v>
      </c>
      <c r="U69" s="17" t="str">
        <f aca="false">IF((E69="p"),H69," ")</f>
        <v> </v>
      </c>
      <c r="V69" s="17" t="str">
        <f aca="false">IF((E69="t"),H69," ")</f>
        <v> </v>
      </c>
      <c r="W69" s="17" t="str">
        <f aca="false">IF((E69="q"),H69," ")</f>
        <v> </v>
      </c>
      <c r="X69" s="17" t="str">
        <f aca="false">IF((E69="m"),H69," ")</f>
        <v> </v>
      </c>
      <c r="Y69" s="17" t="str">
        <f aca="false">IF((E69="u"),H69," ")</f>
        <v> </v>
      </c>
      <c r="Z69" s="17" t="str">
        <f aca="false">IF((E69="a"),H69," ")</f>
        <v> </v>
      </c>
      <c r="AA69" s="17" t="str">
        <f aca="false">IF((E69="g"),H69," ")</f>
        <v> </v>
      </c>
      <c r="AB69" s="17" t="str">
        <f aca="false">IF((E69="h"),H69," ")</f>
        <v> </v>
      </c>
      <c r="AC69" s="30" t="str">
        <f aca="false">IF((E69="v"),H69," ")</f>
        <v> </v>
      </c>
      <c r="AD69" s="30" t="str">
        <f aca="false">IF((E69="n"),H69," ")</f>
        <v> </v>
      </c>
      <c r="AE69" s="17" t="str">
        <f aca="false">IF((E69="f"),H69," ")</f>
        <v> </v>
      </c>
      <c r="AF69" s="17" t="str">
        <f aca="false">IF((E69="l"),H69," ")</f>
        <v> </v>
      </c>
      <c r="AG69" s="17" t="str">
        <f aca="false">IF((E69="y"),H69," ")</f>
        <v> </v>
      </c>
      <c r="AH69" s="17" t="str">
        <f aca="false">IF((E69="z"),H69," ")</f>
        <v> </v>
      </c>
      <c r="AI69" s="17" t="str">
        <f aca="false">IF((E69="fa"),H69," ")</f>
        <v> </v>
      </c>
      <c r="AJ69" s="17" t="str">
        <f aca="false">IF((E69="e"),H69," ")</f>
        <v> </v>
      </c>
    </row>
    <row r="70" customFormat="false" ht="12" hidden="false" customHeight="false" outlineLevel="0" collapsed="false">
      <c r="A70" s="28"/>
      <c r="E70" s="2" t="str">
        <f aca="false">IF((F70&lt;&gt;0),"Enter Letter"," ")</f>
        <v> </v>
      </c>
      <c r="F70" s="30"/>
      <c r="G70" s="6" t="str">
        <f aca="false">IF(F70&lt;&gt;0,F70*G$2/(100+G$2)," ")</f>
        <v> </v>
      </c>
      <c r="H70" s="6" t="str">
        <f aca="false">IF((F70&lt;&gt;0),F70-G70," ")</f>
        <v> </v>
      </c>
      <c r="I70" s="5"/>
      <c r="L70" s="7" t="str">
        <f aca="false">IF(F70&lt;&gt;0,F70-K70," ")</f>
        <v> </v>
      </c>
      <c r="M70" s="8" t="str">
        <f aca="false">IF((F70-K70)&lt;&gt;0,M$1-A70," ")</f>
        <v> </v>
      </c>
      <c r="N70" s="5"/>
      <c r="O70" s="17" t="str">
        <f aca="false">IF((E70="s"),H70," ")</f>
        <v> </v>
      </c>
      <c r="P70" s="17" t="str">
        <f aca="false">IF((E70="c"),H70," ")</f>
        <v> </v>
      </c>
      <c r="Q70" s="17" t="str">
        <f aca="false">IF((E70="o"),H70," ")</f>
        <v> </v>
      </c>
      <c r="R70" s="17" t="str">
        <f aca="false">IF((E70="d"),H70," ")</f>
        <v> </v>
      </c>
      <c r="S70" s="17" t="str">
        <f aca="false">IF((E70="w"),H70," ")</f>
        <v> </v>
      </c>
      <c r="T70" s="17" t="str">
        <f aca="false">IF((E70="r"),H70," ")</f>
        <v> </v>
      </c>
      <c r="U70" s="17" t="str">
        <f aca="false">IF((E70="p"),H70," ")</f>
        <v> </v>
      </c>
      <c r="V70" s="17" t="str">
        <f aca="false">IF((E70="t"),H70," ")</f>
        <v> </v>
      </c>
      <c r="W70" s="17" t="str">
        <f aca="false">IF((E70="q"),H70," ")</f>
        <v> </v>
      </c>
      <c r="X70" s="17" t="str">
        <f aca="false">IF((E70="m"),H70," ")</f>
        <v> </v>
      </c>
      <c r="Y70" s="17" t="str">
        <f aca="false">IF((E70="u"),H70," ")</f>
        <v> </v>
      </c>
      <c r="Z70" s="17" t="str">
        <f aca="false">IF((E70="a"),H70," ")</f>
        <v> </v>
      </c>
      <c r="AA70" s="17" t="str">
        <f aca="false">IF((E70="g"),H70," ")</f>
        <v> </v>
      </c>
      <c r="AB70" s="17" t="str">
        <f aca="false">IF((E70="h"),H70," ")</f>
        <v> </v>
      </c>
      <c r="AC70" s="30" t="str">
        <f aca="false">IF((E70="v"),H70," ")</f>
        <v> </v>
      </c>
      <c r="AD70" s="30" t="str">
        <f aca="false">IF((E70="n"),H70," ")</f>
        <v> </v>
      </c>
      <c r="AE70" s="17" t="str">
        <f aca="false">IF((E70="f"),H70," ")</f>
        <v> </v>
      </c>
      <c r="AF70" s="17" t="str">
        <f aca="false">IF((E70="l"),H70," ")</f>
        <v> </v>
      </c>
      <c r="AG70" s="17" t="str">
        <f aca="false">IF((E70="y"),H70," ")</f>
        <v> </v>
      </c>
      <c r="AH70" s="17" t="str">
        <f aca="false">IF((E70="z"),H70," ")</f>
        <v> </v>
      </c>
      <c r="AI70" s="17" t="str">
        <f aca="false">IF((E70="fa"),H70," ")</f>
        <v> </v>
      </c>
      <c r="AJ70" s="17" t="str">
        <f aca="false">IF((E70="e"),H70," ")</f>
        <v> </v>
      </c>
    </row>
    <row r="71" customFormat="false" ht="12" hidden="false" customHeight="false" outlineLevel="0" collapsed="false">
      <c r="A71" s="28"/>
      <c r="E71" s="2" t="str">
        <f aca="false">IF((F71&lt;&gt;0),"Enter Letter"," ")</f>
        <v> </v>
      </c>
      <c r="F71" s="30"/>
      <c r="G71" s="6" t="str">
        <f aca="false">IF(F71&lt;&gt;0,F71*G$2/(100+G$2)," ")</f>
        <v> </v>
      </c>
      <c r="H71" s="6" t="str">
        <f aca="false">IF((F71&lt;&gt;0),F71-G71," ")</f>
        <v> </v>
      </c>
      <c r="I71" s="5"/>
      <c r="L71" s="7" t="str">
        <f aca="false">IF(F71&lt;&gt;0,F71-K71," ")</f>
        <v> </v>
      </c>
      <c r="M71" s="8" t="str">
        <f aca="false">IF((F71-K71)&lt;&gt;0,M$1-A71," ")</f>
        <v> </v>
      </c>
      <c r="N71" s="5"/>
      <c r="O71" s="17" t="str">
        <f aca="false">IF((E71="s"),H71," ")</f>
        <v> </v>
      </c>
      <c r="P71" s="17" t="str">
        <f aca="false">IF((E71="c"),H71," ")</f>
        <v> </v>
      </c>
      <c r="Q71" s="17" t="str">
        <f aca="false">IF((E71="o"),H71," ")</f>
        <v> </v>
      </c>
      <c r="R71" s="17" t="str">
        <f aca="false">IF((E71="d"),H71," ")</f>
        <v> </v>
      </c>
      <c r="S71" s="17" t="str">
        <f aca="false">IF((E71="w"),H71," ")</f>
        <v> </v>
      </c>
      <c r="T71" s="17" t="str">
        <f aca="false">IF((E71="r"),H71," ")</f>
        <v> </v>
      </c>
      <c r="U71" s="17" t="str">
        <f aca="false">IF((E71="p"),H71," ")</f>
        <v> </v>
      </c>
      <c r="V71" s="17" t="str">
        <f aca="false">IF((E71="t"),H71," ")</f>
        <v> </v>
      </c>
      <c r="W71" s="17" t="str">
        <f aca="false">IF((E71="q"),H71," ")</f>
        <v> </v>
      </c>
      <c r="X71" s="17" t="str">
        <f aca="false">IF((E71="m"),H71," ")</f>
        <v> </v>
      </c>
      <c r="Y71" s="17" t="str">
        <f aca="false">IF((E71="u"),H71," ")</f>
        <v> </v>
      </c>
      <c r="Z71" s="17" t="str">
        <f aca="false">IF((E71="a"),H71," ")</f>
        <v> </v>
      </c>
      <c r="AA71" s="17" t="str">
        <f aca="false">IF((E71="g"),H71," ")</f>
        <v> </v>
      </c>
      <c r="AB71" s="17" t="str">
        <f aca="false">IF((E71="h"),H71," ")</f>
        <v> </v>
      </c>
      <c r="AC71" s="30" t="str">
        <f aca="false">IF((E71="v"),H71," ")</f>
        <v> </v>
      </c>
      <c r="AD71" s="30" t="str">
        <f aca="false">IF((E71="n"),H71," ")</f>
        <v> </v>
      </c>
      <c r="AE71" s="17" t="str">
        <f aca="false">IF((E71="f"),H71," ")</f>
        <v> </v>
      </c>
      <c r="AF71" s="17" t="str">
        <f aca="false">IF((E71="l"),H71," ")</f>
        <v> </v>
      </c>
      <c r="AG71" s="17" t="str">
        <f aca="false">IF((E71="y"),H71," ")</f>
        <v> </v>
      </c>
      <c r="AH71" s="17" t="str">
        <f aca="false">IF((E71="z"),H71," ")</f>
        <v> </v>
      </c>
      <c r="AI71" s="17" t="str">
        <f aca="false">IF((E71="fa"),H71," ")</f>
        <v> </v>
      </c>
      <c r="AJ71" s="17" t="str">
        <f aca="false">IF((E71="e"),H71," ")</f>
        <v> </v>
      </c>
    </row>
    <row r="72" customFormat="false" ht="12" hidden="false" customHeight="false" outlineLevel="0" collapsed="false">
      <c r="A72" s="28"/>
      <c r="E72" s="2" t="str">
        <f aca="false">IF((F72&lt;&gt;0),"Enter Letter"," ")</f>
        <v> </v>
      </c>
      <c r="F72" s="30"/>
      <c r="G72" s="6" t="str">
        <f aca="false">IF(F72&lt;&gt;0,F72*G$2/(100+G$2)," ")</f>
        <v> </v>
      </c>
      <c r="H72" s="6" t="str">
        <f aca="false">IF((F72&lt;&gt;0),F72-G72," ")</f>
        <v> </v>
      </c>
      <c r="I72" s="5"/>
      <c r="L72" s="7" t="str">
        <f aca="false">IF(F72&lt;&gt;0,F72-K72," ")</f>
        <v> </v>
      </c>
      <c r="M72" s="8" t="str">
        <f aca="false">IF((F72-K72)&lt;&gt;0,M$1-A72," ")</f>
        <v> </v>
      </c>
      <c r="N72" s="5"/>
      <c r="O72" s="17" t="str">
        <f aca="false">IF((E72="s"),H72," ")</f>
        <v> </v>
      </c>
      <c r="P72" s="17" t="str">
        <f aca="false">IF((E72="c"),H72," ")</f>
        <v> </v>
      </c>
      <c r="Q72" s="17" t="str">
        <f aca="false">IF((E72="o"),H72," ")</f>
        <v> </v>
      </c>
      <c r="R72" s="17" t="str">
        <f aca="false">IF((E72="d"),H72," ")</f>
        <v> </v>
      </c>
      <c r="S72" s="17" t="str">
        <f aca="false">IF((E72="w"),H72," ")</f>
        <v> </v>
      </c>
      <c r="T72" s="17" t="str">
        <f aca="false">IF((E72="r"),H72," ")</f>
        <v> </v>
      </c>
      <c r="U72" s="17" t="str">
        <f aca="false">IF((E72="p"),H72," ")</f>
        <v> </v>
      </c>
      <c r="V72" s="17" t="str">
        <f aca="false">IF((E72="t"),H72," ")</f>
        <v> </v>
      </c>
      <c r="W72" s="17" t="str">
        <f aca="false">IF((E72="q"),H72," ")</f>
        <v> </v>
      </c>
      <c r="X72" s="17" t="str">
        <f aca="false">IF((E72="m"),H72," ")</f>
        <v> </v>
      </c>
      <c r="Y72" s="17" t="str">
        <f aca="false">IF((E72="u"),H72," ")</f>
        <v> </v>
      </c>
      <c r="Z72" s="17" t="str">
        <f aca="false">IF((E72="a"),H72," ")</f>
        <v> </v>
      </c>
      <c r="AA72" s="17" t="str">
        <f aca="false">IF((E72="g"),H72," ")</f>
        <v> </v>
      </c>
      <c r="AB72" s="17" t="str">
        <f aca="false">IF((E72="h"),H72," ")</f>
        <v> </v>
      </c>
      <c r="AC72" s="30" t="str">
        <f aca="false">IF((E72="v"),H72," ")</f>
        <v> </v>
      </c>
      <c r="AD72" s="30" t="str">
        <f aca="false">IF((E72="n"),H72," ")</f>
        <v> </v>
      </c>
      <c r="AE72" s="17" t="str">
        <f aca="false">IF((E72="f"),H72," ")</f>
        <v> </v>
      </c>
      <c r="AF72" s="17" t="str">
        <f aca="false">IF((E72="l"),H72," ")</f>
        <v> </v>
      </c>
      <c r="AG72" s="17" t="str">
        <f aca="false">IF((E72="y"),H72," ")</f>
        <v> </v>
      </c>
      <c r="AH72" s="17" t="str">
        <f aca="false">IF((E72="z"),H72," ")</f>
        <v> </v>
      </c>
      <c r="AI72" s="17" t="str">
        <f aca="false">IF((E72="fa"),H72," ")</f>
        <v> </v>
      </c>
      <c r="AJ72" s="17" t="str">
        <f aca="false">IF((E72="e"),H72," ")</f>
        <v> </v>
      </c>
    </row>
    <row r="73" customFormat="false" ht="12" hidden="false" customHeight="false" outlineLevel="0" collapsed="false">
      <c r="A73" s="28"/>
      <c r="E73" s="2" t="str">
        <f aca="false">IF((F73&lt;&gt;0),"Enter Letter"," ")</f>
        <v> </v>
      </c>
      <c r="F73" s="30"/>
      <c r="G73" s="6" t="str">
        <f aca="false">IF(F73&lt;&gt;0,F73*G$2/(100+G$2)," ")</f>
        <v> </v>
      </c>
      <c r="H73" s="6" t="str">
        <f aca="false">IF((F73&lt;&gt;0),F73-G73," ")</f>
        <v> </v>
      </c>
      <c r="I73" s="5"/>
      <c r="L73" s="7" t="str">
        <f aca="false">IF(F73&lt;&gt;0,F73-K73," ")</f>
        <v> </v>
      </c>
      <c r="M73" s="8" t="str">
        <f aca="false">IF((F73-K73)&lt;&gt;0,M$1-A73," ")</f>
        <v> </v>
      </c>
      <c r="N73" s="5"/>
      <c r="O73" s="17" t="str">
        <f aca="false">IF((E73="s"),H73," ")</f>
        <v> </v>
      </c>
      <c r="P73" s="17" t="str">
        <f aca="false">IF((E73="c"),H73," ")</f>
        <v> </v>
      </c>
      <c r="Q73" s="17" t="str">
        <f aca="false">IF((E73="o"),H73," ")</f>
        <v> </v>
      </c>
      <c r="R73" s="17" t="str">
        <f aca="false">IF((E73="d"),H73," ")</f>
        <v> </v>
      </c>
      <c r="S73" s="17" t="str">
        <f aca="false">IF((E73="w"),H73," ")</f>
        <v> </v>
      </c>
      <c r="T73" s="17" t="str">
        <f aca="false">IF((E73="r"),H73," ")</f>
        <v> </v>
      </c>
      <c r="U73" s="17" t="str">
        <f aca="false">IF((E73="p"),H73," ")</f>
        <v> </v>
      </c>
      <c r="V73" s="17" t="str">
        <f aca="false">IF((E73="t"),H73," ")</f>
        <v> </v>
      </c>
      <c r="W73" s="17" t="str">
        <f aca="false">IF((E73="q"),H73," ")</f>
        <v> </v>
      </c>
      <c r="X73" s="17" t="str">
        <f aca="false">IF((E73="m"),H73," ")</f>
        <v> </v>
      </c>
      <c r="Y73" s="17" t="str">
        <f aca="false">IF((E73="u"),H73," ")</f>
        <v> </v>
      </c>
      <c r="Z73" s="17" t="str">
        <f aca="false">IF((E73="a"),H73," ")</f>
        <v> </v>
      </c>
      <c r="AA73" s="17" t="str">
        <f aca="false">IF((E73="g"),H73," ")</f>
        <v> </v>
      </c>
      <c r="AB73" s="17" t="str">
        <f aca="false">IF((E73="h"),H73," ")</f>
        <v> </v>
      </c>
      <c r="AC73" s="30" t="str">
        <f aca="false">IF((E73="v"),H73," ")</f>
        <v> </v>
      </c>
      <c r="AD73" s="30" t="str">
        <f aca="false">IF((E73="n"),H73," ")</f>
        <v> </v>
      </c>
      <c r="AE73" s="17" t="str">
        <f aca="false">IF((E73="f"),H73," ")</f>
        <v> </v>
      </c>
      <c r="AF73" s="17" t="str">
        <f aca="false">IF((E73="l"),H73," ")</f>
        <v> </v>
      </c>
      <c r="AG73" s="17" t="str">
        <f aca="false">IF((E73="y"),H73," ")</f>
        <v> </v>
      </c>
      <c r="AH73" s="17" t="str">
        <f aca="false">IF((E73="z"),H73," ")</f>
        <v> </v>
      </c>
      <c r="AI73" s="17" t="str">
        <f aca="false">IF((E73="fa"),H73," ")</f>
        <v> </v>
      </c>
      <c r="AJ73" s="17" t="str">
        <f aca="false">IF((E73="e"),H73," ")</f>
        <v> </v>
      </c>
    </row>
    <row r="74" customFormat="false" ht="12" hidden="false" customHeight="false" outlineLevel="0" collapsed="false">
      <c r="A74" s="28"/>
      <c r="E74" s="2" t="str">
        <f aca="false">IF((F74&lt;&gt;0),"Enter Letter"," ")</f>
        <v> </v>
      </c>
      <c r="F74" s="30"/>
      <c r="G74" s="6" t="str">
        <f aca="false">IF(F74&lt;&gt;0,F74*G$2/(100+G$2)," ")</f>
        <v> </v>
      </c>
      <c r="H74" s="6" t="str">
        <f aca="false">IF((F74&lt;&gt;0),F74-G74," ")</f>
        <v> </v>
      </c>
      <c r="I74" s="5"/>
      <c r="L74" s="7" t="str">
        <f aca="false">IF(F74&lt;&gt;0,F74-K74," ")</f>
        <v> </v>
      </c>
      <c r="M74" s="8" t="str">
        <f aca="false">IF((F74-K74)&lt;&gt;0,M$1-A74," ")</f>
        <v> </v>
      </c>
      <c r="N74" s="5"/>
      <c r="O74" s="17" t="str">
        <f aca="false">IF((E74="s"),H74," ")</f>
        <v> </v>
      </c>
      <c r="P74" s="17" t="str">
        <f aca="false">IF((E74="c"),H74," ")</f>
        <v> </v>
      </c>
      <c r="Q74" s="17" t="str">
        <f aca="false">IF((E74="o"),H74," ")</f>
        <v> </v>
      </c>
      <c r="R74" s="17" t="str">
        <f aca="false">IF((E74="d"),H74," ")</f>
        <v> </v>
      </c>
      <c r="S74" s="17" t="str">
        <f aca="false">IF((E74="w"),H74," ")</f>
        <v> </v>
      </c>
      <c r="T74" s="17" t="str">
        <f aca="false">IF((E74="r"),H74," ")</f>
        <v> </v>
      </c>
      <c r="U74" s="17" t="str">
        <f aca="false">IF((E74="p"),H74," ")</f>
        <v> </v>
      </c>
      <c r="V74" s="17" t="str">
        <f aca="false">IF((E74="t"),H74," ")</f>
        <v> </v>
      </c>
      <c r="W74" s="17" t="str">
        <f aca="false">IF((E74="q"),H74," ")</f>
        <v> </v>
      </c>
      <c r="X74" s="17" t="str">
        <f aca="false">IF((E74="m"),H74," ")</f>
        <v> </v>
      </c>
      <c r="Y74" s="17" t="str">
        <f aca="false">IF((E74="u"),H74," ")</f>
        <v> </v>
      </c>
      <c r="Z74" s="17" t="str">
        <f aca="false">IF((E74="a"),H74," ")</f>
        <v> </v>
      </c>
      <c r="AA74" s="17" t="str">
        <f aca="false">IF((E74="g"),H74," ")</f>
        <v> </v>
      </c>
      <c r="AB74" s="17" t="str">
        <f aca="false">IF((E74="h"),H74," ")</f>
        <v> </v>
      </c>
      <c r="AC74" s="30" t="str">
        <f aca="false">IF((E74="v"),H74," ")</f>
        <v> </v>
      </c>
      <c r="AD74" s="30" t="str">
        <f aca="false">IF((E74="n"),H74," ")</f>
        <v> </v>
      </c>
      <c r="AE74" s="17" t="str">
        <f aca="false">IF((E74="f"),H74," ")</f>
        <v> </v>
      </c>
      <c r="AF74" s="17" t="str">
        <f aca="false">IF((E74="l"),H74," ")</f>
        <v> </v>
      </c>
      <c r="AG74" s="17" t="str">
        <f aca="false">IF((E74="y"),H74," ")</f>
        <v> </v>
      </c>
      <c r="AH74" s="17" t="str">
        <f aca="false">IF((E74="z"),H74," ")</f>
        <v> </v>
      </c>
      <c r="AI74" s="17" t="str">
        <f aca="false">IF((E74="fa"),H74," ")</f>
        <v> </v>
      </c>
      <c r="AJ74" s="17" t="str">
        <f aca="false">IF((E74="e"),H74," ")</f>
        <v> </v>
      </c>
    </row>
    <row r="75" customFormat="false" ht="12" hidden="false" customHeight="false" outlineLevel="0" collapsed="false">
      <c r="A75" s="28"/>
      <c r="E75" s="2" t="str">
        <f aca="false">IF((F75&lt;&gt;0),"Enter Letter"," ")</f>
        <v> </v>
      </c>
      <c r="F75" s="30"/>
      <c r="G75" s="6" t="str">
        <f aca="false">IF(F75&lt;&gt;0,F75*G$2/(100+G$2)," ")</f>
        <v> </v>
      </c>
      <c r="H75" s="6" t="str">
        <f aca="false">IF((F75&lt;&gt;0),F75-G75," ")</f>
        <v> </v>
      </c>
      <c r="I75" s="5"/>
      <c r="L75" s="7" t="str">
        <f aca="false">IF(F75&lt;&gt;0,F75-K75," ")</f>
        <v> </v>
      </c>
      <c r="M75" s="8" t="str">
        <f aca="false">IF((F75-K75)&lt;&gt;0,M$1-A75," ")</f>
        <v> </v>
      </c>
      <c r="N75" s="5"/>
      <c r="O75" s="17" t="str">
        <f aca="false">IF((E75="s"),H75," ")</f>
        <v> </v>
      </c>
      <c r="P75" s="17" t="str">
        <f aca="false">IF((E75="c"),H75," ")</f>
        <v> </v>
      </c>
      <c r="Q75" s="17" t="str">
        <f aca="false">IF((E75="o"),H75," ")</f>
        <v> </v>
      </c>
      <c r="R75" s="17" t="str">
        <f aca="false">IF((E75="d"),H75," ")</f>
        <v> </v>
      </c>
      <c r="S75" s="17" t="str">
        <f aca="false">IF((E75="w"),H75," ")</f>
        <v> </v>
      </c>
      <c r="T75" s="17" t="str">
        <f aca="false">IF((E75="r"),H75," ")</f>
        <v> </v>
      </c>
      <c r="U75" s="17" t="str">
        <f aca="false">IF((E75="p"),H75," ")</f>
        <v> </v>
      </c>
      <c r="V75" s="17" t="str">
        <f aca="false">IF((E75="t"),H75," ")</f>
        <v> </v>
      </c>
      <c r="W75" s="17" t="str">
        <f aca="false">IF((E75="q"),H75," ")</f>
        <v> </v>
      </c>
      <c r="X75" s="17" t="str">
        <f aca="false">IF((E75="m"),H75," ")</f>
        <v> </v>
      </c>
      <c r="Y75" s="17" t="str">
        <f aca="false">IF((E75="u"),H75," ")</f>
        <v> </v>
      </c>
      <c r="Z75" s="17" t="str">
        <f aca="false">IF((E75="a"),H75," ")</f>
        <v> </v>
      </c>
      <c r="AA75" s="17" t="str">
        <f aca="false">IF((E75="g"),H75," ")</f>
        <v> </v>
      </c>
      <c r="AB75" s="17" t="str">
        <f aca="false">IF((E75="h"),H75," ")</f>
        <v> </v>
      </c>
      <c r="AC75" s="30" t="str">
        <f aca="false">IF((E75="v"),H75," ")</f>
        <v> </v>
      </c>
      <c r="AD75" s="30" t="str">
        <f aca="false">IF((E75="n"),H75," ")</f>
        <v> </v>
      </c>
      <c r="AE75" s="17" t="str">
        <f aca="false">IF((E75="f"),H75," ")</f>
        <v> </v>
      </c>
      <c r="AF75" s="17" t="str">
        <f aca="false">IF((E75="l"),H75," ")</f>
        <v> </v>
      </c>
      <c r="AG75" s="17" t="str">
        <f aca="false">IF((E75="y"),H75," ")</f>
        <v> </v>
      </c>
      <c r="AH75" s="17" t="str">
        <f aca="false">IF((E75="z"),H75," ")</f>
        <v> </v>
      </c>
      <c r="AI75" s="17" t="str">
        <f aca="false">IF((E75="fa"),H75," ")</f>
        <v> </v>
      </c>
      <c r="AJ75" s="17" t="str">
        <f aca="false">IF((E75="e"),H75," ")</f>
        <v> </v>
      </c>
    </row>
    <row r="76" customFormat="false" ht="12" hidden="false" customHeight="false" outlineLevel="0" collapsed="false">
      <c r="A76" s="28"/>
      <c r="E76" s="2" t="str">
        <f aca="false">IF((F76&lt;&gt;0),"Enter Letter"," ")</f>
        <v> </v>
      </c>
      <c r="F76" s="30"/>
      <c r="G76" s="6" t="str">
        <f aca="false">IF(F76&lt;&gt;0,F76*G$2/(100+G$2)," ")</f>
        <v> </v>
      </c>
      <c r="H76" s="6" t="str">
        <f aca="false">IF((F76&lt;&gt;0),F76-G76," ")</f>
        <v> </v>
      </c>
      <c r="I76" s="5"/>
      <c r="L76" s="7" t="str">
        <f aca="false">IF(F76&lt;&gt;0,F76-K76," ")</f>
        <v> </v>
      </c>
      <c r="M76" s="8" t="str">
        <f aca="false">IF((F76-K76)&lt;&gt;0,M$1-A76," ")</f>
        <v> </v>
      </c>
      <c r="N76" s="5"/>
      <c r="O76" s="17" t="str">
        <f aca="false">IF((E76="s"),H76," ")</f>
        <v> </v>
      </c>
      <c r="P76" s="17" t="str">
        <f aca="false">IF((E76="c"),H76," ")</f>
        <v> </v>
      </c>
      <c r="Q76" s="17" t="str">
        <f aca="false">IF((E76="o"),H76," ")</f>
        <v> </v>
      </c>
      <c r="R76" s="17" t="str">
        <f aca="false">IF((E76="d"),H76," ")</f>
        <v> </v>
      </c>
      <c r="S76" s="17" t="str">
        <f aca="false">IF((E76="w"),H76," ")</f>
        <v> </v>
      </c>
      <c r="T76" s="17" t="str">
        <f aca="false">IF((E76="r"),H76," ")</f>
        <v> </v>
      </c>
      <c r="U76" s="17" t="str">
        <f aca="false">IF((E76="p"),H76," ")</f>
        <v> </v>
      </c>
      <c r="V76" s="17" t="str">
        <f aca="false">IF((E76="t"),H76," ")</f>
        <v> </v>
      </c>
      <c r="W76" s="17" t="str">
        <f aca="false">IF((E76="q"),H76," ")</f>
        <v> </v>
      </c>
      <c r="X76" s="17" t="str">
        <f aca="false">IF((E76="m"),H76," ")</f>
        <v> </v>
      </c>
      <c r="Y76" s="17" t="str">
        <f aca="false">IF((E76="u"),H76," ")</f>
        <v> </v>
      </c>
      <c r="Z76" s="17" t="str">
        <f aca="false">IF((E76="a"),H76," ")</f>
        <v> </v>
      </c>
      <c r="AA76" s="17" t="str">
        <f aca="false">IF((E76="g"),H76," ")</f>
        <v> </v>
      </c>
      <c r="AB76" s="17" t="str">
        <f aca="false">IF((E76="h"),H76," ")</f>
        <v> </v>
      </c>
      <c r="AC76" s="30" t="str">
        <f aca="false">IF((E76="v"),H76," ")</f>
        <v> </v>
      </c>
      <c r="AD76" s="30" t="str">
        <f aca="false">IF((E76="n"),H76," ")</f>
        <v> </v>
      </c>
      <c r="AE76" s="17" t="str">
        <f aca="false">IF((E76="f"),H76," ")</f>
        <v> </v>
      </c>
      <c r="AF76" s="17" t="str">
        <f aca="false">IF((E76="l"),H76," ")</f>
        <v> </v>
      </c>
      <c r="AG76" s="17" t="str">
        <f aca="false">IF((E76="y"),H76," ")</f>
        <v> </v>
      </c>
      <c r="AH76" s="17" t="str">
        <f aca="false">IF((E76="z"),H76," ")</f>
        <v> </v>
      </c>
      <c r="AI76" s="17" t="str">
        <f aca="false">IF((E76="fa"),H76," ")</f>
        <v> </v>
      </c>
      <c r="AJ76" s="17" t="str">
        <f aca="false">IF((E76="e"),H76," ")</f>
        <v> </v>
      </c>
    </row>
    <row r="77" customFormat="false" ht="12" hidden="false" customHeight="false" outlineLevel="0" collapsed="false">
      <c r="A77" s="28"/>
      <c r="E77" s="2" t="str">
        <f aca="false">IF((F77&lt;&gt;0),"Enter Letter"," ")</f>
        <v> </v>
      </c>
      <c r="F77" s="30"/>
      <c r="G77" s="6" t="str">
        <f aca="false">IF(F77&lt;&gt;0,F77*G$2/(100+G$2)," ")</f>
        <v> </v>
      </c>
      <c r="H77" s="6" t="str">
        <f aca="false">IF((F77&lt;&gt;0),F77-G77," ")</f>
        <v> </v>
      </c>
      <c r="I77" s="5"/>
      <c r="L77" s="7" t="str">
        <f aca="false">IF(F77&lt;&gt;0,F77-K77," ")</f>
        <v> </v>
      </c>
      <c r="M77" s="8" t="str">
        <f aca="false">IF((F77-K77)&lt;&gt;0,M$1-A77," ")</f>
        <v> </v>
      </c>
      <c r="N77" s="5"/>
      <c r="O77" s="17" t="str">
        <f aca="false">IF((E77="s"),H77," ")</f>
        <v> </v>
      </c>
      <c r="P77" s="17" t="str">
        <f aca="false">IF((E77="c"),H77," ")</f>
        <v> </v>
      </c>
      <c r="Q77" s="17" t="str">
        <f aca="false">IF((E77="o"),H77," ")</f>
        <v> </v>
      </c>
      <c r="R77" s="17" t="str">
        <f aca="false">IF((E77="d"),H77," ")</f>
        <v> </v>
      </c>
      <c r="S77" s="17" t="str">
        <f aca="false">IF((E77="w"),H77," ")</f>
        <v> </v>
      </c>
      <c r="T77" s="17" t="str">
        <f aca="false">IF((E77="r"),H77," ")</f>
        <v> </v>
      </c>
      <c r="U77" s="17" t="str">
        <f aca="false">IF((E77="p"),H77," ")</f>
        <v> </v>
      </c>
      <c r="V77" s="17" t="str">
        <f aca="false">IF((E77="t"),H77," ")</f>
        <v> </v>
      </c>
      <c r="W77" s="17" t="str">
        <f aca="false">IF((E77="q"),H77," ")</f>
        <v> </v>
      </c>
      <c r="X77" s="17" t="str">
        <f aca="false">IF((E77="m"),H77," ")</f>
        <v> </v>
      </c>
      <c r="Y77" s="17" t="str">
        <f aca="false">IF((E77="u"),H77," ")</f>
        <v> </v>
      </c>
      <c r="Z77" s="17" t="str">
        <f aca="false">IF((E77="a"),H77," ")</f>
        <v> </v>
      </c>
      <c r="AA77" s="17" t="str">
        <f aca="false">IF((E77="g"),H77," ")</f>
        <v> </v>
      </c>
      <c r="AB77" s="17" t="str">
        <f aca="false">IF((E77="h"),H77," ")</f>
        <v> </v>
      </c>
      <c r="AC77" s="30" t="str">
        <f aca="false">IF((E77="v"),H77," ")</f>
        <v> </v>
      </c>
      <c r="AD77" s="30" t="str">
        <f aca="false">IF((E77="n"),H77," ")</f>
        <v> </v>
      </c>
      <c r="AE77" s="17" t="str">
        <f aca="false">IF((E77="f"),H77," ")</f>
        <v> </v>
      </c>
      <c r="AF77" s="17" t="str">
        <f aca="false">IF((E77="l"),H77," ")</f>
        <v> </v>
      </c>
      <c r="AG77" s="17" t="str">
        <f aca="false">IF((E77="y"),H77," ")</f>
        <v> </v>
      </c>
      <c r="AH77" s="17" t="str">
        <f aca="false">IF((E77="z"),H77," ")</f>
        <v> </v>
      </c>
      <c r="AI77" s="17" t="str">
        <f aca="false">IF((E77="fa"),H77," ")</f>
        <v> </v>
      </c>
      <c r="AJ77" s="17" t="str">
        <f aca="false">IF((E77="e"),H77," ")</f>
        <v> </v>
      </c>
    </row>
    <row r="78" customFormat="false" ht="12" hidden="false" customHeight="false" outlineLevel="0" collapsed="false">
      <c r="A78" s="28"/>
      <c r="E78" s="2" t="str">
        <f aca="false">IF((F78&lt;&gt;0),"Enter Letter"," ")</f>
        <v> </v>
      </c>
      <c r="F78" s="30"/>
      <c r="G78" s="6" t="str">
        <f aca="false">IF(F78&lt;&gt;0,F78*G$2/(100+G$2)," ")</f>
        <v> </v>
      </c>
      <c r="H78" s="6" t="str">
        <f aca="false">IF((F78&lt;&gt;0),F78-G78," ")</f>
        <v> </v>
      </c>
      <c r="I78" s="5"/>
      <c r="L78" s="7" t="str">
        <f aca="false">IF(F78&lt;&gt;0,F78-K78," ")</f>
        <v> </v>
      </c>
      <c r="M78" s="8" t="str">
        <f aca="false">IF((F78-K78)&lt;&gt;0,M$1-A78," ")</f>
        <v> </v>
      </c>
      <c r="N78" s="5"/>
      <c r="O78" s="17" t="str">
        <f aca="false">IF((E78="s"),H78," ")</f>
        <v> </v>
      </c>
      <c r="P78" s="17" t="str">
        <f aca="false">IF((E78="c"),H78," ")</f>
        <v> </v>
      </c>
      <c r="Q78" s="17" t="str">
        <f aca="false">IF((E78="o"),H78," ")</f>
        <v> </v>
      </c>
      <c r="R78" s="17" t="str">
        <f aca="false">IF((E78="d"),H78," ")</f>
        <v> </v>
      </c>
      <c r="S78" s="17" t="str">
        <f aca="false">IF((E78="w"),H78," ")</f>
        <v> </v>
      </c>
      <c r="T78" s="17" t="str">
        <f aca="false">IF((E78="r"),H78," ")</f>
        <v> </v>
      </c>
      <c r="U78" s="17" t="str">
        <f aca="false">IF((E78="p"),H78," ")</f>
        <v> </v>
      </c>
      <c r="V78" s="17" t="str">
        <f aca="false">IF((E78="t"),H78," ")</f>
        <v> </v>
      </c>
      <c r="W78" s="17" t="str">
        <f aca="false">IF((E78="q"),H78," ")</f>
        <v> </v>
      </c>
      <c r="X78" s="17" t="str">
        <f aca="false">IF((E78="m"),H78," ")</f>
        <v> </v>
      </c>
      <c r="Y78" s="17" t="str">
        <f aca="false">IF((E78="u"),H78," ")</f>
        <v> </v>
      </c>
      <c r="Z78" s="17" t="str">
        <f aca="false">IF((E78="a"),H78," ")</f>
        <v> </v>
      </c>
      <c r="AA78" s="17" t="str">
        <f aca="false">IF((E78="g"),H78," ")</f>
        <v> </v>
      </c>
      <c r="AB78" s="17" t="str">
        <f aca="false">IF((E78="h"),H78," ")</f>
        <v> </v>
      </c>
      <c r="AC78" s="30" t="str">
        <f aca="false">IF((E78="v"),H78," ")</f>
        <v> </v>
      </c>
      <c r="AD78" s="30" t="str">
        <f aca="false">IF((E78="n"),H78," ")</f>
        <v> </v>
      </c>
      <c r="AE78" s="17" t="str">
        <f aca="false">IF((E78="f"),H78," ")</f>
        <v> </v>
      </c>
      <c r="AF78" s="17" t="str">
        <f aca="false">IF((E78="l"),H78," ")</f>
        <v> </v>
      </c>
      <c r="AG78" s="17" t="str">
        <f aca="false">IF((E78="y"),H78," ")</f>
        <v> </v>
      </c>
      <c r="AH78" s="17" t="str">
        <f aca="false">IF((E78="z"),H78," ")</f>
        <v> </v>
      </c>
      <c r="AI78" s="17" t="str">
        <f aca="false">IF((E78="fa"),H78," ")</f>
        <v> </v>
      </c>
      <c r="AJ78" s="17" t="str">
        <f aca="false">IF((E78="e"),H78," ")</f>
        <v> </v>
      </c>
    </row>
    <row r="79" customFormat="false" ht="12" hidden="false" customHeight="false" outlineLevel="0" collapsed="false">
      <c r="A79" s="28"/>
      <c r="E79" s="2" t="str">
        <f aca="false">IF((F79&lt;&gt;0),"Enter Letter"," ")</f>
        <v> </v>
      </c>
      <c r="F79" s="30"/>
      <c r="G79" s="6" t="str">
        <f aca="false">IF(F79&lt;&gt;0,F79*G$2/(100+G$2)," ")</f>
        <v> </v>
      </c>
      <c r="H79" s="6" t="str">
        <f aca="false">IF((F79&lt;&gt;0),F79-G79," ")</f>
        <v> </v>
      </c>
      <c r="I79" s="5"/>
      <c r="L79" s="7" t="str">
        <f aca="false">IF(F79&lt;&gt;0,F79-K79," ")</f>
        <v> </v>
      </c>
      <c r="M79" s="8" t="str">
        <f aca="false">IF((F79-K79)&lt;&gt;0,M$1-A79," ")</f>
        <v> </v>
      </c>
      <c r="N79" s="5"/>
      <c r="O79" s="17" t="str">
        <f aca="false">IF((E79="s"),H79," ")</f>
        <v> </v>
      </c>
      <c r="P79" s="17" t="str">
        <f aca="false">IF((E79="c"),H79," ")</f>
        <v> </v>
      </c>
      <c r="Q79" s="17" t="str">
        <f aca="false">IF((E79="o"),H79," ")</f>
        <v> </v>
      </c>
      <c r="R79" s="17" t="str">
        <f aca="false">IF((E79="d"),H79," ")</f>
        <v> </v>
      </c>
      <c r="S79" s="17" t="str">
        <f aca="false">IF((E79="w"),H79," ")</f>
        <v> </v>
      </c>
      <c r="T79" s="17" t="str">
        <f aca="false">IF((E79="r"),H79," ")</f>
        <v> </v>
      </c>
      <c r="U79" s="17" t="str">
        <f aca="false">IF((E79="p"),H79," ")</f>
        <v> </v>
      </c>
      <c r="V79" s="17" t="str">
        <f aca="false">IF((E79="t"),H79," ")</f>
        <v> </v>
      </c>
      <c r="W79" s="17" t="str">
        <f aca="false">IF((E79="q"),H79," ")</f>
        <v> </v>
      </c>
      <c r="X79" s="17" t="str">
        <f aca="false">IF((E79="m"),H79," ")</f>
        <v> </v>
      </c>
      <c r="Y79" s="17" t="str">
        <f aca="false">IF((E79="u"),H79," ")</f>
        <v> </v>
      </c>
      <c r="Z79" s="17" t="str">
        <f aca="false">IF((E79="a"),H79," ")</f>
        <v> </v>
      </c>
      <c r="AA79" s="17" t="str">
        <f aca="false">IF((E79="g"),H79," ")</f>
        <v> </v>
      </c>
      <c r="AB79" s="17" t="str">
        <f aca="false">IF((E79="h"),H79," ")</f>
        <v> </v>
      </c>
      <c r="AC79" s="30" t="str">
        <f aca="false">IF((E79="v"),H79," ")</f>
        <v> </v>
      </c>
      <c r="AD79" s="30" t="str">
        <f aca="false">IF((E79="n"),H79," ")</f>
        <v> </v>
      </c>
      <c r="AE79" s="17" t="str">
        <f aca="false">IF((E79="f"),H79," ")</f>
        <v> </v>
      </c>
      <c r="AF79" s="17" t="str">
        <f aca="false">IF((E79="l"),H79," ")</f>
        <v> </v>
      </c>
      <c r="AG79" s="17" t="str">
        <f aca="false">IF((E79="y"),H79," ")</f>
        <v> </v>
      </c>
      <c r="AH79" s="17" t="str">
        <f aca="false">IF((E79="z"),H79," ")</f>
        <v> </v>
      </c>
      <c r="AI79" s="17" t="str">
        <f aca="false">IF((E79="fa"),H79," ")</f>
        <v> </v>
      </c>
      <c r="AJ79" s="17" t="str">
        <f aca="false">IF((E79="e"),H79," ")</f>
        <v> </v>
      </c>
    </row>
    <row r="80" customFormat="false" ht="12" hidden="false" customHeight="false" outlineLevel="0" collapsed="false">
      <c r="A80" s="28"/>
      <c r="E80" s="2" t="str">
        <f aca="false">IF((F80&lt;&gt;0),"Enter Letter"," ")</f>
        <v> </v>
      </c>
      <c r="F80" s="30"/>
      <c r="G80" s="6" t="str">
        <f aca="false">IF(F80&lt;&gt;0,F80*G$2/(100+G$2)," ")</f>
        <v> </v>
      </c>
      <c r="H80" s="6" t="str">
        <f aca="false">IF((F80&lt;&gt;0),F80-G80," ")</f>
        <v> </v>
      </c>
      <c r="I80" s="5"/>
      <c r="L80" s="7" t="str">
        <f aca="false">IF(F80&lt;&gt;0,F80-K80," ")</f>
        <v> </v>
      </c>
      <c r="M80" s="8" t="str">
        <f aca="false">IF((F80-K80)&lt;&gt;0,M$1-A80," ")</f>
        <v> </v>
      </c>
      <c r="N80" s="5"/>
      <c r="O80" s="17" t="str">
        <f aca="false">IF((E80="s"),H80," ")</f>
        <v> </v>
      </c>
      <c r="P80" s="17" t="str">
        <f aca="false">IF((E80="c"),H80," ")</f>
        <v> </v>
      </c>
      <c r="Q80" s="17" t="str">
        <f aca="false">IF((E80="o"),H80," ")</f>
        <v> </v>
      </c>
      <c r="R80" s="17" t="str">
        <f aca="false">IF((E80="d"),H80," ")</f>
        <v> </v>
      </c>
      <c r="S80" s="17" t="str">
        <f aca="false">IF((E80="w"),H80," ")</f>
        <v> </v>
      </c>
      <c r="T80" s="17" t="str">
        <f aca="false">IF((E80="r"),H80," ")</f>
        <v> </v>
      </c>
      <c r="U80" s="17" t="str">
        <f aca="false">IF((E80="p"),H80," ")</f>
        <v> </v>
      </c>
      <c r="V80" s="17" t="str">
        <f aca="false">IF((E80="t"),H80," ")</f>
        <v> </v>
      </c>
      <c r="W80" s="17" t="str">
        <f aca="false">IF((E80="q"),H80," ")</f>
        <v> </v>
      </c>
      <c r="X80" s="17" t="str">
        <f aca="false">IF((E80="m"),H80," ")</f>
        <v> </v>
      </c>
      <c r="Y80" s="17" t="str">
        <f aca="false">IF((E80="u"),H80," ")</f>
        <v> </v>
      </c>
      <c r="Z80" s="17" t="str">
        <f aca="false">IF((E80="a"),H80," ")</f>
        <v> </v>
      </c>
      <c r="AA80" s="17" t="str">
        <f aca="false">IF((E80="g"),H80," ")</f>
        <v> </v>
      </c>
      <c r="AB80" s="17" t="str">
        <f aca="false">IF((E80="h"),H80," ")</f>
        <v> </v>
      </c>
      <c r="AC80" s="30" t="str">
        <f aca="false">IF((E80="v"),H80," ")</f>
        <v> </v>
      </c>
      <c r="AD80" s="30" t="str">
        <f aca="false">IF((E80="n"),H80," ")</f>
        <v> </v>
      </c>
      <c r="AE80" s="17" t="str">
        <f aca="false">IF((E80="f"),H80," ")</f>
        <v> </v>
      </c>
      <c r="AF80" s="17" t="str">
        <f aca="false">IF((E80="l"),H80," ")</f>
        <v> </v>
      </c>
      <c r="AG80" s="17" t="str">
        <f aca="false">IF((E80="y"),H80," ")</f>
        <v> </v>
      </c>
      <c r="AH80" s="17" t="str">
        <f aca="false">IF((E80="z"),H80," ")</f>
        <v> </v>
      </c>
      <c r="AI80" s="17" t="str">
        <f aca="false">IF((E80="fa"),H80," ")</f>
        <v> </v>
      </c>
      <c r="AJ80" s="17" t="str">
        <f aca="false">IF((E80="e"),H80," ")</f>
        <v> </v>
      </c>
    </row>
    <row r="81" customFormat="false" ht="12" hidden="false" customHeight="false" outlineLevel="0" collapsed="false">
      <c r="A81" s="28"/>
      <c r="E81" s="2" t="str">
        <f aca="false">IF((F81&lt;&gt;0),"Enter Letter"," ")</f>
        <v> </v>
      </c>
      <c r="F81" s="30"/>
      <c r="G81" s="6" t="str">
        <f aca="false">IF(F81&lt;&gt;0,F81*G$2/(100+G$2)," ")</f>
        <v> </v>
      </c>
      <c r="H81" s="6" t="str">
        <f aca="false">IF((F81&lt;&gt;0),F81-G81," ")</f>
        <v> </v>
      </c>
      <c r="I81" s="5"/>
      <c r="L81" s="7" t="str">
        <f aca="false">IF(F81&lt;&gt;0,F81-K81," ")</f>
        <v> </v>
      </c>
      <c r="M81" s="8" t="str">
        <f aca="false">IF((F81-K81)&lt;&gt;0,M$1-A81," ")</f>
        <v> </v>
      </c>
      <c r="N81" s="5"/>
      <c r="O81" s="17" t="str">
        <f aca="false">IF((E81="s"),H81," ")</f>
        <v> </v>
      </c>
      <c r="P81" s="17" t="str">
        <f aca="false">IF((E81="c"),H81," ")</f>
        <v> </v>
      </c>
      <c r="Q81" s="17" t="str">
        <f aca="false">IF((E81="o"),H81," ")</f>
        <v> </v>
      </c>
      <c r="R81" s="17" t="str">
        <f aca="false">IF((E81="d"),H81," ")</f>
        <v> </v>
      </c>
      <c r="S81" s="17" t="str">
        <f aca="false">IF((E81="w"),H81," ")</f>
        <v> </v>
      </c>
      <c r="T81" s="17" t="str">
        <f aca="false">IF((E81="r"),H81," ")</f>
        <v> </v>
      </c>
      <c r="U81" s="17" t="str">
        <f aca="false">IF((E81="p"),H81," ")</f>
        <v> </v>
      </c>
      <c r="V81" s="17" t="str">
        <f aca="false">IF((E81="t"),H81," ")</f>
        <v> </v>
      </c>
      <c r="W81" s="17" t="str">
        <f aca="false">IF((E81="q"),H81," ")</f>
        <v> </v>
      </c>
      <c r="X81" s="17" t="str">
        <f aca="false">IF((E81="m"),H81," ")</f>
        <v> </v>
      </c>
      <c r="Y81" s="17" t="str">
        <f aca="false">IF((E81="u"),H81," ")</f>
        <v> </v>
      </c>
      <c r="Z81" s="17" t="str">
        <f aca="false">IF((E81="a"),H81," ")</f>
        <v> </v>
      </c>
      <c r="AA81" s="17" t="str">
        <f aca="false">IF((E81="g"),H81," ")</f>
        <v> </v>
      </c>
      <c r="AB81" s="17" t="str">
        <f aca="false">IF((E81="h"),H81," ")</f>
        <v> </v>
      </c>
      <c r="AC81" s="30" t="str">
        <f aca="false">IF((E81="v"),H81," ")</f>
        <v> </v>
      </c>
      <c r="AD81" s="30" t="str">
        <f aca="false">IF((E81="n"),H81," ")</f>
        <v> </v>
      </c>
      <c r="AE81" s="17" t="str">
        <f aca="false">IF((E81="f"),H81," ")</f>
        <v> </v>
      </c>
      <c r="AF81" s="17" t="str">
        <f aca="false">IF((E81="l"),H81," ")</f>
        <v> </v>
      </c>
      <c r="AG81" s="17" t="str">
        <f aca="false">IF((E81="y"),H81," ")</f>
        <v> </v>
      </c>
      <c r="AH81" s="17" t="str">
        <f aca="false">IF((E81="z"),H81," ")</f>
        <v> </v>
      </c>
      <c r="AI81" s="17" t="str">
        <f aca="false">IF((E81="fa"),H81," ")</f>
        <v> </v>
      </c>
      <c r="AJ81" s="17" t="str">
        <f aca="false">IF((E81="e"),H81," ")</f>
        <v> </v>
      </c>
    </row>
    <row r="82" customFormat="false" ht="12" hidden="false" customHeight="false" outlineLevel="0" collapsed="false">
      <c r="A82" s="28"/>
      <c r="E82" s="2" t="str">
        <f aca="false">IF((F82&lt;&gt;0),"Enter Letter"," ")</f>
        <v> </v>
      </c>
      <c r="F82" s="30"/>
      <c r="G82" s="6" t="str">
        <f aca="false">IF(F82&lt;&gt;0,F82*G$2/(100+G$2)," ")</f>
        <v> </v>
      </c>
      <c r="H82" s="6" t="str">
        <f aca="false">IF((F82&lt;&gt;0),F82-G82," ")</f>
        <v> </v>
      </c>
      <c r="I82" s="5"/>
      <c r="L82" s="7" t="str">
        <f aca="false">IF(F82&lt;&gt;0,F82-K82," ")</f>
        <v> </v>
      </c>
      <c r="M82" s="8" t="str">
        <f aca="false">IF((F82-K82)&lt;&gt;0,M$1-A82," ")</f>
        <v> </v>
      </c>
      <c r="N82" s="5"/>
      <c r="O82" s="17" t="str">
        <f aca="false">IF((E82="s"),H82," ")</f>
        <v> </v>
      </c>
      <c r="P82" s="17" t="str">
        <f aca="false">IF((E82="c"),H82," ")</f>
        <v> </v>
      </c>
      <c r="Q82" s="17" t="str">
        <f aca="false">IF((E82="o"),H82," ")</f>
        <v> </v>
      </c>
      <c r="R82" s="17" t="str">
        <f aca="false">IF((E82="d"),H82," ")</f>
        <v> </v>
      </c>
      <c r="S82" s="17" t="str">
        <f aca="false">IF((E82="w"),H82," ")</f>
        <v> </v>
      </c>
      <c r="T82" s="17" t="str">
        <f aca="false">IF((E82="r"),H82," ")</f>
        <v> </v>
      </c>
      <c r="U82" s="17" t="str">
        <f aca="false">IF((E82="p"),H82," ")</f>
        <v> </v>
      </c>
      <c r="V82" s="17" t="str">
        <f aca="false">IF((E82="t"),H82," ")</f>
        <v> </v>
      </c>
      <c r="W82" s="17" t="str">
        <f aca="false">IF((E82="q"),H82," ")</f>
        <v> </v>
      </c>
      <c r="X82" s="17" t="str">
        <f aca="false">IF((E82="m"),H82," ")</f>
        <v> </v>
      </c>
      <c r="Y82" s="17" t="str">
        <f aca="false">IF((E82="u"),H82," ")</f>
        <v> </v>
      </c>
      <c r="Z82" s="17" t="str">
        <f aca="false">IF((E82="a"),H82," ")</f>
        <v> </v>
      </c>
      <c r="AA82" s="17" t="str">
        <f aca="false">IF((E82="g"),H82," ")</f>
        <v> </v>
      </c>
      <c r="AB82" s="17" t="str">
        <f aca="false">IF((E82="h"),H82," ")</f>
        <v> </v>
      </c>
      <c r="AC82" s="30" t="str">
        <f aca="false">IF((E82="v"),H82," ")</f>
        <v> </v>
      </c>
      <c r="AD82" s="30" t="str">
        <f aca="false">IF((E82="n"),H82," ")</f>
        <v> </v>
      </c>
      <c r="AE82" s="17" t="str">
        <f aca="false">IF((E82="f"),H82," ")</f>
        <v> </v>
      </c>
      <c r="AF82" s="17" t="str">
        <f aca="false">IF((E82="l"),H82," ")</f>
        <v> </v>
      </c>
      <c r="AG82" s="17" t="str">
        <f aca="false">IF((E82="y"),H82," ")</f>
        <v> </v>
      </c>
      <c r="AH82" s="17" t="str">
        <f aca="false">IF((E82="z"),H82," ")</f>
        <v> </v>
      </c>
      <c r="AI82" s="17" t="str">
        <f aca="false">IF((E82="fa"),H82," ")</f>
        <v> </v>
      </c>
      <c r="AJ82" s="17" t="str">
        <f aca="false">IF((E82="e"),H82," ")</f>
        <v> </v>
      </c>
    </row>
    <row r="83" customFormat="false" ht="12" hidden="false" customHeight="false" outlineLevel="0" collapsed="false">
      <c r="A83" s="28"/>
      <c r="E83" s="2" t="str">
        <f aca="false">IF((F83&lt;&gt;0),"Enter Letter"," ")</f>
        <v> </v>
      </c>
      <c r="F83" s="30"/>
      <c r="G83" s="6" t="str">
        <f aca="false">IF(F83&lt;&gt;0,F83*G$2/(100+G$2)," ")</f>
        <v> </v>
      </c>
      <c r="H83" s="6" t="str">
        <f aca="false">IF((F83&lt;&gt;0),F83-G83," ")</f>
        <v> </v>
      </c>
      <c r="I83" s="5"/>
      <c r="L83" s="7" t="str">
        <f aca="false">IF(F83&lt;&gt;0,F83-K83," ")</f>
        <v> </v>
      </c>
      <c r="M83" s="8" t="str">
        <f aca="false">IF((F83-K83)&lt;&gt;0,M$1-A83," ")</f>
        <v> </v>
      </c>
      <c r="N83" s="5"/>
      <c r="O83" s="17" t="str">
        <f aca="false">IF((E83="s"),H83," ")</f>
        <v> </v>
      </c>
      <c r="P83" s="17" t="str">
        <f aca="false">IF((E83="c"),H83," ")</f>
        <v> </v>
      </c>
      <c r="Q83" s="17" t="str">
        <f aca="false">IF((E83="o"),H83," ")</f>
        <v> </v>
      </c>
      <c r="R83" s="17" t="str">
        <f aca="false">IF((E83="d"),H83," ")</f>
        <v> </v>
      </c>
      <c r="S83" s="17" t="str">
        <f aca="false">IF((E83="w"),H83," ")</f>
        <v> </v>
      </c>
      <c r="T83" s="17" t="str">
        <f aca="false">IF((E83="r"),H83," ")</f>
        <v> </v>
      </c>
      <c r="U83" s="17" t="str">
        <f aca="false">IF((E83="p"),H83," ")</f>
        <v> </v>
      </c>
      <c r="V83" s="17" t="str">
        <f aca="false">IF((E83="t"),H83," ")</f>
        <v> </v>
      </c>
      <c r="W83" s="17" t="str">
        <f aca="false">IF((E83="q"),H83," ")</f>
        <v> </v>
      </c>
      <c r="X83" s="17" t="str">
        <f aca="false">IF((E83="m"),H83," ")</f>
        <v> </v>
      </c>
      <c r="Y83" s="17" t="str">
        <f aca="false">IF((E83="u"),H83," ")</f>
        <v> </v>
      </c>
      <c r="Z83" s="17" t="str">
        <f aca="false">IF((E83="a"),H83," ")</f>
        <v> </v>
      </c>
      <c r="AA83" s="17" t="str">
        <f aca="false">IF((E83="g"),H83," ")</f>
        <v> </v>
      </c>
      <c r="AB83" s="17" t="str">
        <f aca="false">IF((E83="h"),H83," ")</f>
        <v> </v>
      </c>
      <c r="AC83" s="30" t="str">
        <f aca="false">IF((E83="v"),H83," ")</f>
        <v> </v>
      </c>
      <c r="AD83" s="30" t="str">
        <f aca="false">IF((E83="n"),H83," ")</f>
        <v> </v>
      </c>
      <c r="AE83" s="17" t="str">
        <f aca="false">IF((E83="f"),H83," ")</f>
        <v> </v>
      </c>
      <c r="AF83" s="17" t="str">
        <f aca="false">IF((E83="l"),H83," ")</f>
        <v> </v>
      </c>
      <c r="AG83" s="17" t="str">
        <f aca="false">IF((E83="y"),H83," ")</f>
        <v> </v>
      </c>
      <c r="AH83" s="17" t="str">
        <f aca="false">IF((E83="z"),H83," ")</f>
        <v> </v>
      </c>
      <c r="AI83" s="17" t="str">
        <f aca="false">IF((E83="fa"),H83," ")</f>
        <v> </v>
      </c>
      <c r="AJ83" s="17" t="str">
        <f aca="false">IF((E83="e"),H83," ")</f>
        <v> </v>
      </c>
    </row>
    <row r="84" customFormat="false" ht="12" hidden="false" customHeight="false" outlineLevel="0" collapsed="false">
      <c r="A84" s="28"/>
      <c r="E84" s="2" t="str">
        <f aca="false">IF((F84&lt;&gt;0),"Enter Letter"," ")</f>
        <v> </v>
      </c>
      <c r="F84" s="30"/>
      <c r="G84" s="6" t="str">
        <f aca="false">IF(F84&lt;&gt;0,F84*G$2/(100+G$2)," ")</f>
        <v> </v>
      </c>
      <c r="H84" s="6" t="str">
        <f aca="false">IF((F84&lt;&gt;0),F84-G84," ")</f>
        <v> </v>
      </c>
      <c r="I84" s="5"/>
      <c r="L84" s="7" t="str">
        <f aca="false">IF(F84&lt;&gt;0,F84-K84," ")</f>
        <v> </v>
      </c>
      <c r="M84" s="8" t="str">
        <f aca="false">IF((F84-K84)&lt;&gt;0,M$1-A84," ")</f>
        <v> </v>
      </c>
      <c r="N84" s="5"/>
      <c r="O84" s="17" t="str">
        <f aca="false">IF((E84="s"),H84," ")</f>
        <v> </v>
      </c>
      <c r="P84" s="17" t="str">
        <f aca="false">IF((E84="c"),H84," ")</f>
        <v> </v>
      </c>
      <c r="Q84" s="17" t="str">
        <f aca="false">IF((E84="o"),H84," ")</f>
        <v> </v>
      </c>
      <c r="R84" s="17" t="str">
        <f aca="false">IF((E84="d"),H84," ")</f>
        <v> </v>
      </c>
      <c r="S84" s="17" t="str">
        <f aca="false">IF((E84="w"),H84," ")</f>
        <v> </v>
      </c>
      <c r="T84" s="17" t="str">
        <f aca="false">IF((E84="r"),H84," ")</f>
        <v> </v>
      </c>
      <c r="U84" s="17" t="str">
        <f aca="false">IF((E84="p"),H84," ")</f>
        <v> </v>
      </c>
      <c r="V84" s="17" t="str">
        <f aca="false">IF((E84="t"),H84," ")</f>
        <v> </v>
      </c>
      <c r="W84" s="17" t="str">
        <f aca="false">IF((E84="q"),H84," ")</f>
        <v> </v>
      </c>
      <c r="X84" s="17" t="str">
        <f aca="false">IF((E84="m"),H84," ")</f>
        <v> </v>
      </c>
      <c r="Y84" s="17" t="str">
        <f aca="false">IF((E84="u"),H84," ")</f>
        <v> </v>
      </c>
      <c r="Z84" s="17" t="str">
        <f aca="false">IF((E84="a"),H84," ")</f>
        <v> </v>
      </c>
      <c r="AA84" s="17" t="str">
        <f aca="false">IF((E84="g"),H84," ")</f>
        <v> </v>
      </c>
      <c r="AB84" s="17" t="str">
        <f aca="false">IF((E84="h"),H84," ")</f>
        <v> </v>
      </c>
      <c r="AC84" s="30" t="str">
        <f aca="false">IF((E84="v"),H84," ")</f>
        <v> </v>
      </c>
      <c r="AD84" s="30" t="str">
        <f aca="false">IF((E84="n"),H84," ")</f>
        <v> </v>
      </c>
      <c r="AE84" s="17" t="str">
        <f aca="false">IF((E84="f"),H84," ")</f>
        <v> </v>
      </c>
      <c r="AF84" s="17" t="str">
        <f aca="false">IF((E84="l"),H84," ")</f>
        <v> </v>
      </c>
      <c r="AG84" s="17" t="str">
        <f aca="false">IF((E84="y"),H84," ")</f>
        <v> </v>
      </c>
      <c r="AH84" s="17" t="str">
        <f aca="false">IF((E84="z"),H84," ")</f>
        <v> </v>
      </c>
      <c r="AI84" s="17" t="str">
        <f aca="false">IF((E84="fa"),H84," ")</f>
        <v> </v>
      </c>
      <c r="AJ84" s="17" t="str">
        <f aca="false">IF((E84="e"),H84," ")</f>
        <v> </v>
      </c>
    </row>
    <row r="85" customFormat="false" ht="12" hidden="false" customHeight="false" outlineLevel="0" collapsed="false">
      <c r="A85" s="28"/>
      <c r="E85" s="2" t="str">
        <f aca="false">IF((F85&lt;&gt;0),"Enter Letter"," ")</f>
        <v> </v>
      </c>
      <c r="F85" s="30"/>
      <c r="G85" s="6" t="str">
        <f aca="false">IF(F85&lt;&gt;0,F85*G$2/(100+G$2)," ")</f>
        <v> </v>
      </c>
      <c r="H85" s="6" t="str">
        <f aca="false">IF((F85&lt;&gt;0),F85-G85," ")</f>
        <v> </v>
      </c>
      <c r="I85" s="5"/>
      <c r="L85" s="7" t="str">
        <f aca="false">IF(F85&lt;&gt;0,F85-K85," ")</f>
        <v> </v>
      </c>
      <c r="M85" s="8" t="str">
        <f aca="false">IF((F85-K85)&lt;&gt;0,M$1-A85," ")</f>
        <v> </v>
      </c>
      <c r="N85" s="5"/>
      <c r="O85" s="17" t="str">
        <f aca="false">IF((E85="s"),H85," ")</f>
        <v> </v>
      </c>
      <c r="P85" s="17" t="str">
        <f aca="false">IF((E85="c"),H85," ")</f>
        <v> </v>
      </c>
      <c r="Q85" s="17" t="str">
        <f aca="false">IF((E85="o"),H85," ")</f>
        <v> </v>
      </c>
      <c r="R85" s="17" t="str">
        <f aca="false">IF((E85="d"),H85," ")</f>
        <v> </v>
      </c>
      <c r="S85" s="17" t="str">
        <f aca="false">IF((E85="w"),H85," ")</f>
        <v> </v>
      </c>
      <c r="T85" s="17" t="str">
        <f aca="false">IF((E85="r"),H85," ")</f>
        <v> </v>
      </c>
      <c r="U85" s="17" t="str">
        <f aca="false">IF((E85="p"),H85," ")</f>
        <v> </v>
      </c>
      <c r="V85" s="17" t="str">
        <f aca="false">IF((E85="t"),H85," ")</f>
        <v> </v>
      </c>
      <c r="W85" s="17" t="str">
        <f aca="false">IF((E85="q"),H85," ")</f>
        <v> </v>
      </c>
      <c r="X85" s="17" t="str">
        <f aca="false">IF((E85="m"),H85," ")</f>
        <v> </v>
      </c>
      <c r="Y85" s="17" t="str">
        <f aca="false">IF((E85="u"),H85," ")</f>
        <v> </v>
      </c>
      <c r="Z85" s="17" t="str">
        <f aca="false">IF((E85="a"),H85," ")</f>
        <v> </v>
      </c>
      <c r="AA85" s="17" t="str">
        <f aca="false">IF((E85="g"),H85," ")</f>
        <v> </v>
      </c>
      <c r="AB85" s="17" t="str">
        <f aca="false">IF((E85="h"),H85," ")</f>
        <v> </v>
      </c>
      <c r="AC85" s="30" t="str">
        <f aca="false">IF((E85="v"),H85," ")</f>
        <v> </v>
      </c>
      <c r="AD85" s="30" t="str">
        <f aca="false">IF((E85="n"),H85," ")</f>
        <v> </v>
      </c>
      <c r="AE85" s="17" t="str">
        <f aca="false">IF((E85="f"),H85," ")</f>
        <v> </v>
      </c>
      <c r="AF85" s="17" t="str">
        <f aca="false">IF((E85="l"),H85," ")</f>
        <v> </v>
      </c>
      <c r="AG85" s="17" t="str">
        <f aca="false">IF((E85="y"),H85," ")</f>
        <v> </v>
      </c>
      <c r="AH85" s="17" t="str">
        <f aca="false">IF((E85="z"),H85," ")</f>
        <v> </v>
      </c>
      <c r="AI85" s="17" t="str">
        <f aca="false">IF((E85="fa"),H85," ")</f>
        <v> </v>
      </c>
      <c r="AJ85" s="17" t="str">
        <f aca="false">IF((E85="e"),H85," ")</f>
        <v> </v>
      </c>
    </row>
    <row r="86" customFormat="false" ht="12" hidden="false" customHeight="false" outlineLevel="0" collapsed="false">
      <c r="A86" s="28"/>
      <c r="E86" s="2" t="str">
        <f aca="false">IF((F86&lt;&gt;0),"Enter Letter"," ")</f>
        <v> </v>
      </c>
      <c r="F86" s="30"/>
      <c r="G86" s="6" t="str">
        <f aca="false">IF(F86&lt;&gt;0,F86*G$2/(100+G$2)," ")</f>
        <v> </v>
      </c>
      <c r="H86" s="6" t="str">
        <f aca="false">IF((F86&lt;&gt;0),F86-G86," ")</f>
        <v> </v>
      </c>
      <c r="I86" s="5"/>
      <c r="L86" s="7" t="str">
        <f aca="false">IF(F86&lt;&gt;0,F86-K86," ")</f>
        <v> </v>
      </c>
      <c r="M86" s="8" t="str">
        <f aca="false">IF((F86-K86)&lt;&gt;0,M$1-A86," ")</f>
        <v> </v>
      </c>
      <c r="N86" s="5"/>
      <c r="O86" s="17" t="str">
        <f aca="false">IF((E86="s"),H86," ")</f>
        <v> </v>
      </c>
      <c r="P86" s="17" t="str">
        <f aca="false">IF((E86="c"),H86," ")</f>
        <v> </v>
      </c>
      <c r="Q86" s="17" t="str">
        <f aca="false">IF((E86="o"),H86," ")</f>
        <v> </v>
      </c>
      <c r="R86" s="17" t="str">
        <f aca="false">IF((E86="d"),H86," ")</f>
        <v> </v>
      </c>
      <c r="S86" s="17" t="str">
        <f aca="false">IF((E86="w"),H86," ")</f>
        <v> </v>
      </c>
      <c r="T86" s="17" t="str">
        <f aca="false">IF((E86="r"),H86," ")</f>
        <v> </v>
      </c>
      <c r="U86" s="17" t="str">
        <f aca="false">IF((E86="p"),H86," ")</f>
        <v> </v>
      </c>
      <c r="V86" s="17" t="str">
        <f aca="false">IF((E86="t"),H86," ")</f>
        <v> </v>
      </c>
      <c r="W86" s="17" t="str">
        <f aca="false">IF((E86="q"),H86," ")</f>
        <v> </v>
      </c>
      <c r="X86" s="17" t="str">
        <f aca="false">IF((E86="m"),H86," ")</f>
        <v> </v>
      </c>
      <c r="Y86" s="17" t="str">
        <f aca="false">IF((E86="u"),H86," ")</f>
        <v> </v>
      </c>
      <c r="Z86" s="17" t="str">
        <f aca="false">IF((E86="a"),H86," ")</f>
        <v> </v>
      </c>
      <c r="AA86" s="17" t="str">
        <f aca="false">IF((E86="g"),H86," ")</f>
        <v> </v>
      </c>
      <c r="AB86" s="17" t="str">
        <f aca="false">IF((E86="h"),H86," ")</f>
        <v> </v>
      </c>
      <c r="AC86" s="30" t="str">
        <f aca="false">IF((E86="v"),H86," ")</f>
        <v> </v>
      </c>
      <c r="AD86" s="30" t="str">
        <f aca="false">IF((E86="n"),H86," ")</f>
        <v> </v>
      </c>
      <c r="AE86" s="17" t="str">
        <f aca="false">IF((E86="f"),H86," ")</f>
        <v> </v>
      </c>
      <c r="AF86" s="17" t="str">
        <f aca="false">IF((E86="l"),H86," ")</f>
        <v> </v>
      </c>
      <c r="AG86" s="17" t="str">
        <f aca="false">IF((E86="y"),H86," ")</f>
        <v> </v>
      </c>
      <c r="AH86" s="17" t="str">
        <f aca="false">IF((E86="z"),H86," ")</f>
        <v> </v>
      </c>
      <c r="AI86" s="17" t="str">
        <f aca="false">IF((E86="fa"),H86," ")</f>
        <v> </v>
      </c>
      <c r="AJ86" s="17" t="str">
        <f aca="false">IF((E86="e"),H86," ")</f>
        <v> </v>
      </c>
    </row>
    <row r="87" customFormat="false" ht="12" hidden="false" customHeight="false" outlineLevel="0" collapsed="false">
      <c r="A87" s="28"/>
      <c r="E87" s="2" t="str">
        <f aca="false">IF((F87&lt;&gt;0),"Enter Letter"," ")</f>
        <v> </v>
      </c>
      <c r="F87" s="30"/>
      <c r="G87" s="6" t="str">
        <f aca="false">IF(F87&lt;&gt;0,F87*G$2/(100+G$2)," ")</f>
        <v> </v>
      </c>
      <c r="H87" s="6" t="str">
        <f aca="false">IF((F87&lt;&gt;0),F87-G87," ")</f>
        <v> </v>
      </c>
      <c r="I87" s="5"/>
      <c r="L87" s="7" t="str">
        <f aca="false">IF(F87&lt;&gt;0,F87-K87," ")</f>
        <v> </v>
      </c>
      <c r="M87" s="8" t="str">
        <f aca="false">IF((F87-K87)&lt;&gt;0,M$1-A87," ")</f>
        <v> </v>
      </c>
      <c r="N87" s="5"/>
      <c r="O87" s="17" t="str">
        <f aca="false">IF((E87="s"),H87," ")</f>
        <v> </v>
      </c>
      <c r="P87" s="17" t="str">
        <f aca="false">IF((E87="c"),H87," ")</f>
        <v> </v>
      </c>
      <c r="Q87" s="17" t="str">
        <f aca="false">IF((E87="o"),H87," ")</f>
        <v> </v>
      </c>
      <c r="R87" s="17" t="str">
        <f aca="false">IF((E87="d"),H87," ")</f>
        <v> </v>
      </c>
      <c r="S87" s="17" t="str">
        <f aca="false">IF((E87="w"),H87," ")</f>
        <v> </v>
      </c>
      <c r="T87" s="17" t="str">
        <f aca="false">IF((E87="r"),H87," ")</f>
        <v> </v>
      </c>
      <c r="U87" s="17" t="str">
        <f aca="false">IF((E87="p"),H87," ")</f>
        <v> </v>
      </c>
      <c r="V87" s="17" t="str">
        <f aca="false">IF((E87="t"),H87," ")</f>
        <v> </v>
      </c>
      <c r="W87" s="17" t="str">
        <f aca="false">IF((E87="q"),H87," ")</f>
        <v> </v>
      </c>
      <c r="X87" s="17" t="str">
        <f aca="false">IF((E87="m"),H87," ")</f>
        <v> </v>
      </c>
      <c r="Y87" s="17" t="str">
        <f aca="false">IF((E87="u"),H87," ")</f>
        <v> </v>
      </c>
      <c r="Z87" s="17" t="str">
        <f aca="false">IF((E87="a"),H87," ")</f>
        <v> </v>
      </c>
      <c r="AA87" s="17" t="str">
        <f aca="false">IF((E87="g"),H87," ")</f>
        <v> </v>
      </c>
      <c r="AB87" s="17" t="str">
        <f aca="false">IF((E87="h"),H87," ")</f>
        <v> </v>
      </c>
      <c r="AC87" s="30" t="str">
        <f aca="false">IF((E87="v"),H87," ")</f>
        <v> </v>
      </c>
      <c r="AD87" s="30" t="str">
        <f aca="false">IF((E87="n"),H87," ")</f>
        <v> </v>
      </c>
      <c r="AE87" s="17" t="str">
        <f aca="false">IF((E87="f"),H87," ")</f>
        <v> </v>
      </c>
      <c r="AF87" s="17" t="str">
        <f aca="false">IF((E87="l"),H87," ")</f>
        <v> </v>
      </c>
      <c r="AG87" s="17" t="str">
        <f aca="false">IF((E87="y"),H87," ")</f>
        <v> </v>
      </c>
      <c r="AH87" s="17" t="str">
        <f aca="false">IF((E87="z"),H87," ")</f>
        <v> </v>
      </c>
      <c r="AI87" s="17" t="str">
        <f aca="false">IF((E87="fa"),H87," ")</f>
        <v> </v>
      </c>
      <c r="AJ87" s="17" t="str">
        <f aca="false">IF((E87="e"),H87," ")</f>
        <v> </v>
      </c>
    </row>
    <row r="88" customFormat="false" ht="12" hidden="false" customHeight="false" outlineLevel="0" collapsed="false">
      <c r="A88" s="28"/>
      <c r="E88" s="2" t="str">
        <f aca="false">IF((F88&lt;&gt;0),"Enter Letter"," ")</f>
        <v> </v>
      </c>
      <c r="F88" s="30"/>
      <c r="G88" s="6" t="str">
        <f aca="false">IF(F88&lt;&gt;0,F88*G$2/(100+G$2)," ")</f>
        <v> </v>
      </c>
      <c r="H88" s="6" t="str">
        <f aca="false">IF((F88&lt;&gt;0),F88-G88," ")</f>
        <v> </v>
      </c>
      <c r="I88" s="5"/>
      <c r="L88" s="7" t="str">
        <f aca="false">IF(F88&lt;&gt;0,F88-K88," ")</f>
        <v> </v>
      </c>
      <c r="M88" s="8" t="str">
        <f aca="false">IF((F88-K88)&lt;&gt;0,M$1-A88," ")</f>
        <v> </v>
      </c>
      <c r="N88" s="5"/>
      <c r="O88" s="17" t="str">
        <f aca="false">IF((E88="s"),H88," ")</f>
        <v> </v>
      </c>
      <c r="P88" s="17" t="str">
        <f aca="false">IF((E88="c"),H88," ")</f>
        <v> </v>
      </c>
      <c r="Q88" s="17" t="str">
        <f aca="false">IF((E88="o"),H88," ")</f>
        <v> </v>
      </c>
      <c r="R88" s="17" t="str">
        <f aca="false">IF((E88="d"),H88," ")</f>
        <v> </v>
      </c>
      <c r="S88" s="17" t="str">
        <f aca="false">IF((E88="w"),H88," ")</f>
        <v> </v>
      </c>
      <c r="T88" s="17" t="str">
        <f aca="false">IF((E88="r"),H88," ")</f>
        <v> </v>
      </c>
      <c r="U88" s="17" t="str">
        <f aca="false">IF((E88="p"),H88," ")</f>
        <v> </v>
      </c>
      <c r="V88" s="17" t="str">
        <f aca="false">IF((E88="t"),H88," ")</f>
        <v> </v>
      </c>
      <c r="W88" s="17" t="str">
        <f aca="false">IF((E88="q"),H88," ")</f>
        <v> </v>
      </c>
      <c r="X88" s="17" t="str">
        <f aca="false">IF((E88="m"),H88," ")</f>
        <v> </v>
      </c>
      <c r="Y88" s="17" t="str">
        <f aca="false">IF((E88="u"),H88," ")</f>
        <v> </v>
      </c>
      <c r="Z88" s="17" t="str">
        <f aca="false">IF((E88="a"),H88," ")</f>
        <v> </v>
      </c>
      <c r="AA88" s="17" t="str">
        <f aca="false">IF((E88="g"),H88," ")</f>
        <v> </v>
      </c>
      <c r="AB88" s="17" t="str">
        <f aca="false">IF((E88="h"),H88," ")</f>
        <v> </v>
      </c>
      <c r="AC88" s="30" t="str">
        <f aca="false">IF((E88="v"),H88," ")</f>
        <v> </v>
      </c>
      <c r="AD88" s="30" t="str">
        <f aca="false">IF((E88="n"),H88," ")</f>
        <v> </v>
      </c>
      <c r="AE88" s="17" t="str">
        <f aca="false">IF((E88="f"),H88," ")</f>
        <v> </v>
      </c>
      <c r="AF88" s="17" t="str">
        <f aca="false">IF((E88="l"),H88," ")</f>
        <v> </v>
      </c>
      <c r="AG88" s="17" t="str">
        <f aca="false">IF((E88="y"),H88," ")</f>
        <v> </v>
      </c>
      <c r="AH88" s="17" t="str">
        <f aca="false">IF((E88="z"),H88," ")</f>
        <v> </v>
      </c>
      <c r="AI88" s="17" t="str">
        <f aca="false">IF((E88="fa"),H88," ")</f>
        <v> </v>
      </c>
      <c r="AJ88" s="17" t="str">
        <f aca="false">IF((E88="e"),H88," ")</f>
        <v> </v>
      </c>
    </row>
    <row r="89" customFormat="false" ht="12" hidden="false" customHeight="false" outlineLevel="0" collapsed="false">
      <c r="A89" s="28"/>
      <c r="E89" s="2" t="str">
        <f aca="false">IF((F89&lt;&gt;0),"Enter Letter"," ")</f>
        <v> </v>
      </c>
      <c r="F89" s="30"/>
      <c r="G89" s="6" t="str">
        <f aca="false">IF(F89&lt;&gt;0,F89*G$2/(100+G$2)," ")</f>
        <v> </v>
      </c>
      <c r="H89" s="6" t="str">
        <f aca="false">IF((F89&lt;&gt;0),F89-G89," ")</f>
        <v> </v>
      </c>
      <c r="I89" s="5"/>
      <c r="L89" s="7" t="str">
        <f aca="false">IF(F89&lt;&gt;0,F89-K89," ")</f>
        <v> </v>
      </c>
      <c r="M89" s="8" t="str">
        <f aca="false">IF((F89-K89)&lt;&gt;0,M$1-A89," ")</f>
        <v> </v>
      </c>
      <c r="N89" s="5"/>
      <c r="O89" s="17" t="str">
        <f aca="false">IF((E89="s"),H89," ")</f>
        <v> </v>
      </c>
      <c r="P89" s="17" t="str">
        <f aca="false">IF((E89="c"),H89," ")</f>
        <v> </v>
      </c>
      <c r="Q89" s="17" t="str">
        <f aca="false">IF((E89="o"),H89," ")</f>
        <v> </v>
      </c>
      <c r="R89" s="17" t="str">
        <f aca="false">IF((E89="d"),H89," ")</f>
        <v> </v>
      </c>
      <c r="S89" s="17" t="str">
        <f aca="false">IF((E89="w"),H89," ")</f>
        <v> </v>
      </c>
      <c r="T89" s="17" t="str">
        <f aca="false">IF((E89="r"),H89," ")</f>
        <v> </v>
      </c>
      <c r="U89" s="17" t="str">
        <f aca="false">IF((E89="p"),H89," ")</f>
        <v> </v>
      </c>
      <c r="V89" s="17" t="str">
        <f aca="false">IF((E89="t"),H89," ")</f>
        <v> </v>
      </c>
      <c r="W89" s="17" t="str">
        <f aca="false">IF((E89="q"),H89," ")</f>
        <v> </v>
      </c>
      <c r="X89" s="17" t="str">
        <f aca="false">IF((E89="m"),H89," ")</f>
        <v> </v>
      </c>
      <c r="Y89" s="17" t="str">
        <f aca="false">IF((E89="u"),H89," ")</f>
        <v> </v>
      </c>
      <c r="Z89" s="17" t="str">
        <f aca="false">IF((E89="a"),H89," ")</f>
        <v> </v>
      </c>
      <c r="AA89" s="17" t="str">
        <f aca="false">IF((E89="g"),H89," ")</f>
        <v> </v>
      </c>
      <c r="AB89" s="17" t="str">
        <f aca="false">IF((E89="h"),H89," ")</f>
        <v> </v>
      </c>
      <c r="AC89" s="30" t="str">
        <f aca="false">IF((E89="v"),H89," ")</f>
        <v> </v>
      </c>
      <c r="AD89" s="30" t="str">
        <f aca="false">IF((E89="n"),H89," ")</f>
        <v> </v>
      </c>
      <c r="AE89" s="17" t="str">
        <f aca="false">IF((E89="f"),H89," ")</f>
        <v> </v>
      </c>
      <c r="AF89" s="17" t="str">
        <f aca="false">IF((E89="l"),H89," ")</f>
        <v> </v>
      </c>
      <c r="AG89" s="17" t="str">
        <f aca="false">IF((E89="y"),H89," ")</f>
        <v> </v>
      </c>
      <c r="AH89" s="17" t="str">
        <f aca="false">IF((E89="z"),H89," ")</f>
        <v> </v>
      </c>
      <c r="AI89" s="17" t="str">
        <f aca="false">IF((E89="fa"),H89," ")</f>
        <v> </v>
      </c>
      <c r="AJ89" s="17" t="str">
        <f aca="false">IF((E89="e"),H89," ")</f>
        <v> </v>
      </c>
    </row>
    <row r="90" customFormat="false" ht="12" hidden="false" customHeight="false" outlineLevel="0" collapsed="false">
      <c r="A90" s="28"/>
      <c r="E90" s="2" t="str">
        <f aca="false">IF((F90&lt;&gt;0),"Enter Letter"," ")</f>
        <v> </v>
      </c>
      <c r="F90" s="30"/>
      <c r="G90" s="6" t="str">
        <f aca="false">IF(F90&lt;&gt;0,F90*G$2/(100+G$2)," ")</f>
        <v> </v>
      </c>
      <c r="H90" s="6" t="str">
        <f aca="false">IF((F90&lt;&gt;0),F90-G90," ")</f>
        <v> </v>
      </c>
      <c r="I90" s="5"/>
      <c r="L90" s="7" t="str">
        <f aca="false">IF(F90&lt;&gt;0,F90-K90," ")</f>
        <v> </v>
      </c>
      <c r="M90" s="8" t="str">
        <f aca="false">IF((F90-K90)&lt;&gt;0,M$1-A90," ")</f>
        <v> </v>
      </c>
      <c r="N90" s="5"/>
      <c r="O90" s="17" t="str">
        <f aca="false">IF((E90="s"),H90," ")</f>
        <v> </v>
      </c>
      <c r="P90" s="17" t="str">
        <f aca="false">IF((E90="c"),H90," ")</f>
        <v> </v>
      </c>
      <c r="Q90" s="17" t="str">
        <f aca="false">IF((E90="o"),H90," ")</f>
        <v> </v>
      </c>
      <c r="R90" s="17" t="str">
        <f aca="false">IF((E90="d"),H90," ")</f>
        <v> </v>
      </c>
      <c r="S90" s="17" t="str">
        <f aca="false">IF((E90="w"),H90," ")</f>
        <v> </v>
      </c>
      <c r="T90" s="17" t="str">
        <f aca="false">IF((E90="r"),H90," ")</f>
        <v> </v>
      </c>
      <c r="U90" s="17" t="str">
        <f aca="false">IF((E90="p"),H90," ")</f>
        <v> </v>
      </c>
      <c r="V90" s="17" t="str">
        <f aca="false">IF((E90="t"),H90," ")</f>
        <v> </v>
      </c>
      <c r="W90" s="17" t="str">
        <f aca="false">IF((E90="q"),H90," ")</f>
        <v> </v>
      </c>
      <c r="X90" s="17" t="str">
        <f aca="false">IF((E90="m"),H90," ")</f>
        <v> </v>
      </c>
      <c r="Y90" s="17" t="str">
        <f aca="false">IF((E90="u"),H90," ")</f>
        <v> </v>
      </c>
      <c r="Z90" s="17" t="str">
        <f aca="false">IF((E90="a"),H90," ")</f>
        <v> </v>
      </c>
      <c r="AA90" s="17" t="str">
        <f aca="false">IF((E90="g"),H90," ")</f>
        <v> </v>
      </c>
      <c r="AB90" s="17" t="str">
        <f aca="false">IF((E90="h"),H90," ")</f>
        <v> </v>
      </c>
      <c r="AC90" s="30" t="str">
        <f aca="false">IF((E90="v"),H90," ")</f>
        <v> </v>
      </c>
      <c r="AD90" s="30" t="str">
        <f aca="false">IF((E90="n"),H90," ")</f>
        <v> </v>
      </c>
      <c r="AE90" s="17" t="str">
        <f aca="false">IF((E90="f"),H90," ")</f>
        <v> </v>
      </c>
      <c r="AF90" s="17" t="str">
        <f aca="false">IF((E90="l"),H90," ")</f>
        <v> </v>
      </c>
      <c r="AG90" s="17" t="str">
        <f aca="false">IF((E90="y"),H90," ")</f>
        <v> </v>
      </c>
      <c r="AH90" s="17" t="str">
        <f aca="false">IF((E90="z"),H90," ")</f>
        <v> </v>
      </c>
      <c r="AI90" s="17" t="str">
        <f aca="false">IF((E90="fa"),H90," ")</f>
        <v> </v>
      </c>
      <c r="AJ90" s="17" t="str">
        <f aca="false">IF((E90="e"),H90," ")</f>
        <v> </v>
      </c>
    </row>
    <row r="91" customFormat="false" ht="12" hidden="false" customHeight="false" outlineLevel="0" collapsed="false">
      <c r="A91" s="28"/>
      <c r="E91" s="2" t="str">
        <f aca="false">IF((F91&lt;&gt;0),"Enter Letter"," ")</f>
        <v> </v>
      </c>
      <c r="F91" s="30"/>
      <c r="G91" s="6" t="str">
        <f aca="false">IF(F91&lt;&gt;0,F91*G$2/(100+G$2)," ")</f>
        <v> </v>
      </c>
      <c r="H91" s="6" t="str">
        <f aca="false">IF((F91&lt;&gt;0),F91-G91," ")</f>
        <v> </v>
      </c>
      <c r="I91" s="5"/>
      <c r="L91" s="7" t="str">
        <f aca="false">IF(F91&lt;&gt;0,F91-K91," ")</f>
        <v> </v>
      </c>
      <c r="M91" s="8" t="str">
        <f aca="false">IF((F91-K91)&lt;&gt;0,M$1-A91," ")</f>
        <v> </v>
      </c>
      <c r="N91" s="5"/>
      <c r="O91" s="17" t="str">
        <f aca="false">IF((E91="s"),H91," ")</f>
        <v> </v>
      </c>
      <c r="P91" s="17" t="str">
        <f aca="false">IF((E91="c"),H91," ")</f>
        <v> </v>
      </c>
      <c r="Q91" s="17" t="str">
        <f aca="false">IF((E91="o"),H91," ")</f>
        <v> </v>
      </c>
      <c r="R91" s="17" t="str">
        <f aca="false">IF((E91="d"),H91," ")</f>
        <v> </v>
      </c>
      <c r="S91" s="17" t="str">
        <f aca="false">IF((E91="w"),H91," ")</f>
        <v> </v>
      </c>
      <c r="T91" s="17" t="str">
        <f aca="false">IF((E91="r"),H91," ")</f>
        <v> </v>
      </c>
      <c r="U91" s="17" t="str">
        <f aca="false">IF((E91="p"),H91," ")</f>
        <v> </v>
      </c>
      <c r="V91" s="17" t="str">
        <f aca="false">IF((E91="t"),H91," ")</f>
        <v> </v>
      </c>
      <c r="W91" s="17" t="str">
        <f aca="false">IF((E91="q"),H91," ")</f>
        <v> </v>
      </c>
      <c r="X91" s="17" t="str">
        <f aca="false">IF((E91="m"),H91," ")</f>
        <v> </v>
      </c>
      <c r="Y91" s="17" t="str">
        <f aca="false">IF((E91="u"),H91," ")</f>
        <v> </v>
      </c>
      <c r="Z91" s="17" t="str">
        <f aca="false">IF((E91="a"),H91," ")</f>
        <v> </v>
      </c>
      <c r="AA91" s="17" t="str">
        <f aca="false">IF((E91="g"),H91," ")</f>
        <v> </v>
      </c>
      <c r="AB91" s="17" t="str">
        <f aca="false">IF((E91="h"),H91," ")</f>
        <v> </v>
      </c>
      <c r="AC91" s="30" t="str">
        <f aca="false">IF((E91="v"),H91," ")</f>
        <v> </v>
      </c>
      <c r="AD91" s="30" t="str">
        <f aca="false">IF((E91="n"),H91," ")</f>
        <v> </v>
      </c>
      <c r="AE91" s="17" t="str">
        <f aca="false">IF((E91="f"),H91," ")</f>
        <v> </v>
      </c>
      <c r="AF91" s="17" t="str">
        <f aca="false">IF((E91="l"),H91," ")</f>
        <v> </v>
      </c>
      <c r="AG91" s="17" t="str">
        <f aca="false">IF((E91="y"),H91," ")</f>
        <v> </v>
      </c>
      <c r="AH91" s="17" t="str">
        <f aca="false">IF((E91="z"),H91," ")</f>
        <v> </v>
      </c>
      <c r="AI91" s="17" t="str">
        <f aca="false">IF((E91="fa"),H91," ")</f>
        <v> </v>
      </c>
      <c r="AJ91" s="17" t="str">
        <f aca="false">IF((E91="e"),H91," ")</f>
        <v> </v>
      </c>
    </row>
    <row r="92" customFormat="false" ht="12" hidden="false" customHeight="false" outlineLevel="0" collapsed="false">
      <c r="A92" s="28"/>
      <c r="E92" s="2" t="str">
        <f aca="false">IF((F92&lt;&gt;0),"Enter Letter"," ")</f>
        <v> </v>
      </c>
      <c r="F92" s="30"/>
      <c r="G92" s="6" t="str">
        <f aca="false">IF(F92&lt;&gt;0,F92*G$2/(100+G$2)," ")</f>
        <v> </v>
      </c>
      <c r="H92" s="6" t="str">
        <f aca="false">IF((F92&lt;&gt;0),F92-G92," ")</f>
        <v> </v>
      </c>
      <c r="I92" s="5"/>
      <c r="L92" s="7" t="str">
        <f aca="false">IF(F92&lt;&gt;0,F92-K92," ")</f>
        <v> </v>
      </c>
      <c r="M92" s="8" t="str">
        <f aca="false">IF((F92-K92)&lt;&gt;0,M$1-A92," ")</f>
        <v> </v>
      </c>
      <c r="N92" s="5"/>
      <c r="O92" s="17" t="str">
        <f aca="false">IF((E92="s"),H92," ")</f>
        <v> </v>
      </c>
      <c r="P92" s="17" t="str">
        <f aca="false">IF((E92="c"),H92," ")</f>
        <v> </v>
      </c>
      <c r="Q92" s="17" t="str">
        <f aca="false">IF((E92="o"),H92," ")</f>
        <v> </v>
      </c>
      <c r="R92" s="17" t="str">
        <f aca="false">IF((E92="d"),H92," ")</f>
        <v> </v>
      </c>
      <c r="S92" s="17" t="str">
        <f aca="false">IF((E92="w"),H92," ")</f>
        <v> </v>
      </c>
      <c r="T92" s="17" t="str">
        <f aca="false">IF((E92="r"),H92," ")</f>
        <v> </v>
      </c>
      <c r="U92" s="17" t="str">
        <f aca="false">IF((E92="p"),H92," ")</f>
        <v> </v>
      </c>
      <c r="V92" s="17" t="str">
        <f aca="false">IF((E92="t"),H92," ")</f>
        <v> </v>
      </c>
      <c r="W92" s="17" t="str">
        <f aca="false">IF((E92="q"),H92," ")</f>
        <v> </v>
      </c>
      <c r="X92" s="17" t="str">
        <f aca="false">IF((E92="m"),H92," ")</f>
        <v> </v>
      </c>
      <c r="Y92" s="17" t="str">
        <f aca="false">IF((E92="u"),H92," ")</f>
        <v> </v>
      </c>
      <c r="Z92" s="17" t="str">
        <f aca="false">IF((E92="a"),H92," ")</f>
        <v> </v>
      </c>
      <c r="AA92" s="17" t="str">
        <f aca="false">IF((E92="g"),H92," ")</f>
        <v> </v>
      </c>
      <c r="AB92" s="17" t="str">
        <f aca="false">IF((E92="h"),H92," ")</f>
        <v> </v>
      </c>
      <c r="AC92" s="30" t="str">
        <f aca="false">IF((E92="v"),H92," ")</f>
        <v> </v>
      </c>
      <c r="AD92" s="30" t="str">
        <f aca="false">IF((E92="n"),H92," ")</f>
        <v> </v>
      </c>
      <c r="AE92" s="17" t="str">
        <f aca="false">IF((E92="f"),H92," ")</f>
        <v> </v>
      </c>
      <c r="AF92" s="17" t="str">
        <f aca="false">IF((E92="l"),H92," ")</f>
        <v> </v>
      </c>
      <c r="AG92" s="17" t="str">
        <f aca="false">IF((E92="y"),H92," ")</f>
        <v> </v>
      </c>
      <c r="AH92" s="17" t="str">
        <f aca="false">IF((E92="z"),H92," ")</f>
        <v> </v>
      </c>
      <c r="AI92" s="17" t="str">
        <f aca="false">IF((E92="fa"),H92," ")</f>
        <v> </v>
      </c>
      <c r="AJ92" s="17" t="str">
        <f aca="false">IF((E92="e"),H92," ")</f>
        <v> </v>
      </c>
    </row>
    <row r="93" customFormat="false" ht="12" hidden="false" customHeight="false" outlineLevel="0" collapsed="false">
      <c r="A93" s="28"/>
      <c r="E93" s="2" t="str">
        <f aca="false">IF((F93&lt;&gt;0),"Enter Letter"," ")</f>
        <v> </v>
      </c>
      <c r="F93" s="30"/>
      <c r="G93" s="6" t="str">
        <f aca="false">IF(F93&lt;&gt;0,F93*G$2/(100+G$2)," ")</f>
        <v> </v>
      </c>
      <c r="H93" s="6" t="str">
        <f aca="false">IF((F93&lt;&gt;0),F93-G93," ")</f>
        <v> </v>
      </c>
      <c r="I93" s="5"/>
      <c r="L93" s="7" t="str">
        <f aca="false">IF(F93&lt;&gt;0,F93-K93," ")</f>
        <v> </v>
      </c>
      <c r="M93" s="8" t="str">
        <f aca="false">IF((F93-K93)&lt;&gt;0,M$1-A93," ")</f>
        <v> </v>
      </c>
      <c r="N93" s="5"/>
      <c r="O93" s="17" t="str">
        <f aca="false">IF((E93="s"),H93," ")</f>
        <v> </v>
      </c>
      <c r="P93" s="17" t="str">
        <f aca="false">IF((E93="c"),H93," ")</f>
        <v> </v>
      </c>
      <c r="Q93" s="17" t="str">
        <f aca="false">IF((E93="o"),H93," ")</f>
        <v> </v>
      </c>
      <c r="R93" s="17" t="str">
        <f aca="false">IF((E93="d"),H93," ")</f>
        <v> </v>
      </c>
      <c r="S93" s="17" t="str">
        <f aca="false">IF((E93="w"),H93," ")</f>
        <v> </v>
      </c>
      <c r="T93" s="17" t="str">
        <f aca="false">IF((E93="r"),H93," ")</f>
        <v> </v>
      </c>
      <c r="U93" s="17" t="str">
        <f aca="false">IF((E93="p"),H93," ")</f>
        <v> </v>
      </c>
      <c r="V93" s="17" t="str">
        <f aca="false">IF((E93="t"),H93," ")</f>
        <v> </v>
      </c>
      <c r="W93" s="17" t="str">
        <f aca="false">IF((E93="q"),H93," ")</f>
        <v> </v>
      </c>
      <c r="X93" s="17" t="str">
        <f aca="false">IF((E93="m"),H93," ")</f>
        <v> </v>
      </c>
      <c r="Y93" s="17" t="str">
        <f aca="false">IF((E93="u"),H93," ")</f>
        <v> </v>
      </c>
      <c r="Z93" s="17" t="str">
        <f aca="false">IF((E93="a"),H93," ")</f>
        <v> </v>
      </c>
      <c r="AA93" s="17" t="str">
        <f aca="false">IF((E93="g"),H93," ")</f>
        <v> </v>
      </c>
      <c r="AB93" s="17" t="str">
        <f aca="false">IF((E93="h"),H93," ")</f>
        <v> </v>
      </c>
      <c r="AC93" s="30" t="str">
        <f aca="false">IF((E93="v"),H93," ")</f>
        <v> </v>
      </c>
      <c r="AD93" s="30" t="str">
        <f aca="false">IF((E93="n"),H93," ")</f>
        <v> </v>
      </c>
      <c r="AE93" s="17" t="str">
        <f aca="false">IF((E93="f"),H93," ")</f>
        <v> </v>
      </c>
      <c r="AF93" s="17" t="str">
        <f aca="false">IF((E93="l"),H93," ")</f>
        <v> </v>
      </c>
      <c r="AG93" s="17" t="str">
        <f aca="false">IF((E93="y"),H93," ")</f>
        <v> </v>
      </c>
      <c r="AH93" s="17" t="str">
        <f aca="false">IF((E93="z"),H93," ")</f>
        <v> </v>
      </c>
      <c r="AI93" s="17" t="str">
        <f aca="false">IF((E93="fa"),H93," ")</f>
        <v> </v>
      </c>
      <c r="AJ93" s="17" t="str">
        <f aca="false">IF((E93="e"),H93," ")</f>
        <v> </v>
      </c>
    </row>
    <row r="94" customFormat="false" ht="12" hidden="false" customHeight="false" outlineLevel="0" collapsed="false">
      <c r="A94" s="28"/>
      <c r="E94" s="2" t="str">
        <f aca="false">IF((F94&lt;&gt;0),"Enter Letter"," ")</f>
        <v> </v>
      </c>
      <c r="F94" s="30"/>
      <c r="G94" s="6" t="str">
        <f aca="false">IF(F94&lt;&gt;0,F94*G$2/(100+G$2)," ")</f>
        <v> </v>
      </c>
      <c r="H94" s="6" t="str">
        <f aca="false">IF((F94&lt;&gt;0),F94-G94," ")</f>
        <v> </v>
      </c>
      <c r="I94" s="5"/>
      <c r="L94" s="7" t="str">
        <f aca="false">IF(F94&lt;&gt;0,F94-K94," ")</f>
        <v> </v>
      </c>
      <c r="M94" s="8" t="str">
        <f aca="false">IF((F94-K94)&lt;&gt;0,M$1-A94," ")</f>
        <v> </v>
      </c>
      <c r="N94" s="5"/>
      <c r="O94" s="17" t="str">
        <f aca="false">IF((E94="s"),H94," ")</f>
        <v> </v>
      </c>
      <c r="P94" s="17" t="str">
        <f aca="false">IF((E94="c"),H94," ")</f>
        <v> </v>
      </c>
      <c r="Q94" s="17" t="str">
        <f aca="false">IF((E94="o"),H94," ")</f>
        <v> </v>
      </c>
      <c r="R94" s="17" t="str">
        <f aca="false">IF((E94="d"),H94," ")</f>
        <v> </v>
      </c>
      <c r="S94" s="17" t="str">
        <f aca="false">IF((E94="w"),H94," ")</f>
        <v> </v>
      </c>
      <c r="T94" s="17" t="str">
        <f aca="false">IF((E94="r"),H94," ")</f>
        <v> </v>
      </c>
      <c r="U94" s="17" t="str">
        <f aca="false">IF((E94="p"),H94," ")</f>
        <v> </v>
      </c>
      <c r="V94" s="17" t="str">
        <f aca="false">IF((E94="t"),H94," ")</f>
        <v> </v>
      </c>
      <c r="W94" s="17" t="str">
        <f aca="false">IF((E94="q"),H94," ")</f>
        <v> </v>
      </c>
      <c r="X94" s="17" t="str">
        <f aca="false">IF((E94="m"),H94," ")</f>
        <v> </v>
      </c>
      <c r="Y94" s="17" t="str">
        <f aca="false">IF((E94="u"),H94," ")</f>
        <v> </v>
      </c>
      <c r="Z94" s="17" t="str">
        <f aca="false">IF((E94="a"),H94," ")</f>
        <v> </v>
      </c>
      <c r="AA94" s="17" t="str">
        <f aca="false">IF((E94="g"),H94," ")</f>
        <v> </v>
      </c>
      <c r="AB94" s="17" t="str">
        <f aca="false">IF((E94="h"),H94," ")</f>
        <v> </v>
      </c>
      <c r="AC94" s="30" t="str">
        <f aca="false">IF((E94="v"),H94," ")</f>
        <v> </v>
      </c>
      <c r="AD94" s="30" t="str">
        <f aca="false">IF((E94="n"),H94," ")</f>
        <v> </v>
      </c>
      <c r="AE94" s="17" t="str">
        <f aca="false">IF((E94="f"),H94," ")</f>
        <v> </v>
      </c>
      <c r="AF94" s="17" t="str">
        <f aca="false">IF((E94="l"),H94," ")</f>
        <v> </v>
      </c>
      <c r="AG94" s="17" t="str">
        <f aca="false">IF((E94="y"),H94," ")</f>
        <v> </v>
      </c>
      <c r="AH94" s="17" t="str">
        <f aca="false">IF((E94="z"),H94," ")</f>
        <v> </v>
      </c>
      <c r="AI94" s="17" t="str">
        <f aca="false">IF((E94="fa"),H94," ")</f>
        <v> </v>
      </c>
      <c r="AJ94" s="17" t="str">
        <f aca="false">IF((E94="e"),H94," ")</f>
        <v> </v>
      </c>
    </row>
    <row r="95" customFormat="false" ht="12" hidden="false" customHeight="false" outlineLevel="0" collapsed="false">
      <c r="A95" s="28"/>
      <c r="E95" s="2" t="str">
        <f aca="false">IF((F95&lt;&gt;0),"Enter Letter"," ")</f>
        <v> </v>
      </c>
      <c r="F95" s="30"/>
      <c r="G95" s="6" t="str">
        <f aca="false">IF(F95&lt;&gt;0,F95*G$2/(100+G$2)," ")</f>
        <v> </v>
      </c>
      <c r="H95" s="6" t="str">
        <f aca="false">IF((F95&lt;&gt;0),F95-G95," ")</f>
        <v> </v>
      </c>
      <c r="I95" s="5"/>
      <c r="L95" s="7" t="str">
        <f aca="false">IF(F95&lt;&gt;0,F95-K95," ")</f>
        <v> </v>
      </c>
      <c r="M95" s="8" t="str">
        <f aca="false">IF((F95-K95)&lt;&gt;0,M$1-A95," ")</f>
        <v> </v>
      </c>
      <c r="N95" s="5"/>
      <c r="O95" s="17" t="str">
        <f aca="false">IF((E95="s"),H95," ")</f>
        <v> </v>
      </c>
      <c r="P95" s="17" t="str">
        <f aca="false">IF((E95="c"),H95," ")</f>
        <v> </v>
      </c>
      <c r="Q95" s="17" t="str">
        <f aca="false">IF((E95="o"),H95," ")</f>
        <v> </v>
      </c>
      <c r="R95" s="17" t="str">
        <f aca="false">IF((E95="d"),H95," ")</f>
        <v> </v>
      </c>
      <c r="S95" s="17" t="str">
        <f aca="false">IF((E95="w"),H95," ")</f>
        <v> </v>
      </c>
      <c r="T95" s="17" t="str">
        <f aca="false">IF((E95="r"),H95," ")</f>
        <v> </v>
      </c>
      <c r="U95" s="17" t="str">
        <f aca="false">IF((E95="p"),H95," ")</f>
        <v> </v>
      </c>
      <c r="V95" s="17" t="str">
        <f aca="false">IF((E95="t"),H95," ")</f>
        <v> </v>
      </c>
      <c r="W95" s="17" t="str">
        <f aca="false">IF((E95="q"),H95," ")</f>
        <v> </v>
      </c>
      <c r="X95" s="17" t="str">
        <f aca="false">IF((E95="m"),H95," ")</f>
        <v> </v>
      </c>
      <c r="Y95" s="17" t="str">
        <f aca="false">IF((E95="u"),H95," ")</f>
        <v> </v>
      </c>
      <c r="Z95" s="17" t="str">
        <f aca="false">IF((E95="a"),H95," ")</f>
        <v> </v>
      </c>
      <c r="AA95" s="17" t="str">
        <f aca="false">IF((E95="g"),H95," ")</f>
        <v> </v>
      </c>
      <c r="AB95" s="17" t="str">
        <f aca="false">IF((E95="h"),H95," ")</f>
        <v> </v>
      </c>
      <c r="AC95" s="30" t="str">
        <f aca="false">IF((E95="v"),H95," ")</f>
        <v> </v>
      </c>
      <c r="AD95" s="30" t="str">
        <f aca="false">IF((E95="n"),H95," ")</f>
        <v> </v>
      </c>
      <c r="AE95" s="17" t="str">
        <f aca="false">IF((E95="f"),H95," ")</f>
        <v> </v>
      </c>
      <c r="AF95" s="17" t="str">
        <f aca="false">IF((E95="l"),H95," ")</f>
        <v> </v>
      </c>
      <c r="AG95" s="17" t="str">
        <f aca="false">IF((E95="y"),H95," ")</f>
        <v> </v>
      </c>
      <c r="AH95" s="17" t="str">
        <f aca="false">IF((E95="z"),H95," ")</f>
        <v> </v>
      </c>
      <c r="AI95" s="17" t="str">
        <f aca="false">IF((E95="fa"),H95," ")</f>
        <v> </v>
      </c>
      <c r="AJ95" s="17" t="str">
        <f aca="false">IF((E95="e"),H95," ")</f>
        <v> </v>
      </c>
    </row>
    <row r="96" customFormat="false" ht="12" hidden="false" customHeight="false" outlineLevel="0" collapsed="false">
      <c r="A96" s="28"/>
      <c r="E96" s="2" t="str">
        <f aca="false">IF((F96&lt;&gt;0),"Enter Letter"," ")</f>
        <v> </v>
      </c>
      <c r="F96" s="30"/>
      <c r="G96" s="6" t="str">
        <f aca="false">IF(F96&lt;&gt;0,F96*G$2/(100+G$2)," ")</f>
        <v> </v>
      </c>
      <c r="H96" s="6" t="str">
        <f aca="false">IF((F96&lt;&gt;0),F96-G96," ")</f>
        <v> </v>
      </c>
      <c r="I96" s="5"/>
      <c r="L96" s="7" t="str">
        <f aca="false">IF(F96&lt;&gt;0,F96-K96," ")</f>
        <v> </v>
      </c>
      <c r="M96" s="8" t="str">
        <f aca="false">IF((F96-K96)&lt;&gt;0,M$1-A96," ")</f>
        <v> </v>
      </c>
      <c r="N96" s="5"/>
      <c r="O96" s="17" t="str">
        <f aca="false">IF((E96="s"),H96," ")</f>
        <v> </v>
      </c>
      <c r="P96" s="17" t="str">
        <f aca="false">IF((E96="c"),H96," ")</f>
        <v> </v>
      </c>
      <c r="Q96" s="17" t="str">
        <f aca="false">IF((E96="o"),H96," ")</f>
        <v> </v>
      </c>
      <c r="R96" s="17" t="str">
        <f aca="false">IF((E96="d"),H96," ")</f>
        <v> </v>
      </c>
      <c r="S96" s="17" t="str">
        <f aca="false">IF((E96="w"),H96," ")</f>
        <v> </v>
      </c>
      <c r="T96" s="17" t="str">
        <f aca="false">IF((E96="r"),H96," ")</f>
        <v> </v>
      </c>
      <c r="U96" s="17" t="str">
        <f aca="false">IF((E96="p"),H96," ")</f>
        <v> </v>
      </c>
      <c r="V96" s="17" t="str">
        <f aca="false">IF((E96="t"),H96," ")</f>
        <v> </v>
      </c>
      <c r="W96" s="17" t="str">
        <f aca="false">IF((E96="q"),H96," ")</f>
        <v> </v>
      </c>
      <c r="X96" s="17" t="str">
        <f aca="false">IF((E96="m"),H96," ")</f>
        <v> </v>
      </c>
      <c r="Y96" s="17" t="str">
        <f aca="false">IF((E96="u"),H96," ")</f>
        <v> </v>
      </c>
      <c r="Z96" s="17" t="str">
        <f aca="false">IF((E96="a"),H96," ")</f>
        <v> </v>
      </c>
      <c r="AA96" s="17" t="str">
        <f aca="false">IF((E96="g"),H96," ")</f>
        <v> </v>
      </c>
      <c r="AB96" s="17" t="str">
        <f aca="false">IF((E96="h"),H96," ")</f>
        <v> </v>
      </c>
      <c r="AC96" s="30" t="str">
        <f aca="false">IF((E96="v"),H96," ")</f>
        <v> </v>
      </c>
      <c r="AD96" s="30" t="str">
        <f aca="false">IF((E96="n"),H96," ")</f>
        <v> </v>
      </c>
      <c r="AE96" s="17" t="str">
        <f aca="false">IF((E96="f"),H96," ")</f>
        <v> </v>
      </c>
      <c r="AF96" s="17" t="str">
        <f aca="false">IF((E96="l"),H96," ")</f>
        <v> </v>
      </c>
      <c r="AG96" s="17" t="str">
        <f aca="false">IF((E96="y"),H96," ")</f>
        <v> </v>
      </c>
      <c r="AH96" s="17" t="str">
        <f aca="false">IF((E96="z"),H96," ")</f>
        <v> </v>
      </c>
      <c r="AI96" s="17" t="str">
        <f aca="false">IF((E96="fa"),H96," ")</f>
        <v> </v>
      </c>
      <c r="AJ96" s="17" t="str">
        <f aca="false">IF((E96="e"),H96," ")</f>
        <v> </v>
      </c>
    </row>
    <row r="97" customFormat="false" ht="12" hidden="false" customHeight="false" outlineLevel="0" collapsed="false">
      <c r="A97" s="28"/>
      <c r="E97" s="2" t="str">
        <f aca="false">IF((F97&lt;&gt;0),"Enter Letter"," ")</f>
        <v> </v>
      </c>
      <c r="F97" s="30"/>
      <c r="G97" s="6" t="str">
        <f aca="false">IF(F97&lt;&gt;0,F97*G$2/(100+G$2)," ")</f>
        <v> </v>
      </c>
      <c r="H97" s="6" t="str">
        <f aca="false">IF((F97&lt;&gt;0),F97-G97," ")</f>
        <v> </v>
      </c>
      <c r="I97" s="5"/>
      <c r="L97" s="7" t="str">
        <f aca="false">IF(F97&lt;&gt;0,F97-K97," ")</f>
        <v> </v>
      </c>
      <c r="M97" s="8" t="str">
        <f aca="false">IF((F97-K97)&lt;&gt;0,M$1-A97," ")</f>
        <v> </v>
      </c>
      <c r="N97" s="5"/>
      <c r="O97" s="17" t="str">
        <f aca="false">IF((E97="s"),H97," ")</f>
        <v> </v>
      </c>
      <c r="P97" s="17" t="str">
        <f aca="false">IF((E97="c"),H97," ")</f>
        <v> </v>
      </c>
      <c r="Q97" s="17" t="str">
        <f aca="false">IF((E97="o"),H97," ")</f>
        <v> </v>
      </c>
      <c r="R97" s="17" t="str">
        <f aca="false">IF((E97="d"),H97," ")</f>
        <v> </v>
      </c>
      <c r="S97" s="17" t="str">
        <f aca="false">IF((E97="w"),H97," ")</f>
        <v> </v>
      </c>
      <c r="T97" s="17" t="str">
        <f aca="false">IF((E97="r"),H97," ")</f>
        <v> </v>
      </c>
      <c r="U97" s="17" t="str">
        <f aca="false">IF((E97="p"),H97," ")</f>
        <v> </v>
      </c>
      <c r="V97" s="17" t="str">
        <f aca="false">IF((E97="t"),H97," ")</f>
        <v> </v>
      </c>
      <c r="W97" s="17" t="str">
        <f aca="false">IF((E97="q"),H97," ")</f>
        <v> </v>
      </c>
      <c r="X97" s="17" t="str">
        <f aca="false">IF((E97="m"),H97," ")</f>
        <v> </v>
      </c>
      <c r="Y97" s="17" t="str">
        <f aca="false">IF((E97="u"),H97," ")</f>
        <v> </v>
      </c>
      <c r="Z97" s="17" t="str">
        <f aca="false">IF((E97="a"),H97," ")</f>
        <v> </v>
      </c>
      <c r="AA97" s="17" t="str">
        <f aca="false">IF((E97="g"),H97," ")</f>
        <v> </v>
      </c>
      <c r="AB97" s="17" t="str">
        <f aca="false">IF((E97="h"),H97," ")</f>
        <v> </v>
      </c>
      <c r="AC97" s="30" t="str">
        <f aca="false">IF((E97="v"),H97," ")</f>
        <v> </v>
      </c>
      <c r="AD97" s="30" t="str">
        <f aca="false">IF((E97="n"),H97," ")</f>
        <v> </v>
      </c>
      <c r="AE97" s="17" t="str">
        <f aca="false">IF((E97="f"),H97," ")</f>
        <v> </v>
      </c>
      <c r="AF97" s="17" t="str">
        <f aca="false">IF((E97="l"),H97," ")</f>
        <v> </v>
      </c>
      <c r="AG97" s="17" t="str">
        <f aca="false">IF((E97="y"),H97," ")</f>
        <v> </v>
      </c>
      <c r="AH97" s="17" t="str">
        <f aca="false">IF((E97="z"),H97," ")</f>
        <v> </v>
      </c>
      <c r="AI97" s="17" t="str">
        <f aca="false">IF((E97="fa"),H97," ")</f>
        <v> </v>
      </c>
      <c r="AJ97" s="17" t="str">
        <f aca="false">IF((E97="e"),H97," ")</f>
        <v> </v>
      </c>
    </row>
    <row r="98" customFormat="false" ht="12" hidden="false" customHeight="false" outlineLevel="0" collapsed="false">
      <c r="A98" s="28"/>
      <c r="E98" s="2" t="str">
        <f aca="false">IF((F98&lt;&gt;0),"Enter Letter"," ")</f>
        <v> </v>
      </c>
      <c r="F98" s="30"/>
      <c r="G98" s="6" t="str">
        <f aca="false">IF(F98&lt;&gt;0,F98*G$2/(100+G$2)," ")</f>
        <v> </v>
      </c>
      <c r="H98" s="6" t="str">
        <f aca="false">IF((F98&lt;&gt;0),F98-G98," ")</f>
        <v> </v>
      </c>
      <c r="I98" s="5"/>
      <c r="L98" s="7" t="str">
        <f aca="false">IF(F98&lt;&gt;0,F98-K98," ")</f>
        <v> </v>
      </c>
      <c r="M98" s="8" t="str">
        <f aca="false">IF((F98-K98)&lt;&gt;0,M$1-A98," ")</f>
        <v> </v>
      </c>
      <c r="N98" s="5"/>
      <c r="O98" s="17" t="str">
        <f aca="false">IF((E98="s"),H98," ")</f>
        <v> </v>
      </c>
      <c r="P98" s="17" t="str">
        <f aca="false">IF((E98="c"),H98," ")</f>
        <v> </v>
      </c>
      <c r="Q98" s="17" t="str">
        <f aca="false">IF((E98="o"),H98," ")</f>
        <v> </v>
      </c>
      <c r="R98" s="17" t="str">
        <f aca="false">IF((E98="d"),H98," ")</f>
        <v> </v>
      </c>
      <c r="S98" s="17" t="str">
        <f aca="false">IF((E98="w"),H98," ")</f>
        <v> </v>
      </c>
      <c r="T98" s="17" t="str">
        <f aca="false">IF((E98="r"),H98," ")</f>
        <v> </v>
      </c>
      <c r="U98" s="17" t="str">
        <f aca="false">IF((E98="p"),H98," ")</f>
        <v> </v>
      </c>
      <c r="V98" s="17" t="str">
        <f aca="false">IF((E98="t"),H98," ")</f>
        <v> </v>
      </c>
      <c r="W98" s="17" t="str">
        <f aca="false">IF((E98="q"),H98," ")</f>
        <v> </v>
      </c>
      <c r="X98" s="17" t="str">
        <f aca="false">IF((E98="m"),H98," ")</f>
        <v> </v>
      </c>
      <c r="Y98" s="17" t="str">
        <f aca="false">IF((E98="u"),H98," ")</f>
        <v> </v>
      </c>
      <c r="Z98" s="17" t="str">
        <f aca="false">IF((E98="a"),H98," ")</f>
        <v> </v>
      </c>
      <c r="AA98" s="17" t="str">
        <f aca="false">IF((E98="g"),H98," ")</f>
        <v> </v>
      </c>
      <c r="AB98" s="17" t="str">
        <f aca="false">IF((E98="h"),H98," ")</f>
        <v> </v>
      </c>
      <c r="AC98" s="30" t="str">
        <f aca="false">IF((E98="v"),H98," ")</f>
        <v> </v>
      </c>
      <c r="AD98" s="30" t="str">
        <f aca="false">IF((E98="n"),H98," ")</f>
        <v> </v>
      </c>
      <c r="AE98" s="17" t="str">
        <f aca="false">IF((E98="f"),H98," ")</f>
        <v> </v>
      </c>
      <c r="AF98" s="17" t="str">
        <f aca="false">IF((E98="l"),H98," ")</f>
        <v> </v>
      </c>
      <c r="AG98" s="17" t="str">
        <f aca="false">IF((E98="y"),H98," ")</f>
        <v> </v>
      </c>
      <c r="AH98" s="17" t="str">
        <f aca="false">IF((E98="z"),H98," ")</f>
        <v> </v>
      </c>
      <c r="AI98" s="17" t="str">
        <f aca="false">IF((E98="fa"),H98," ")</f>
        <v> </v>
      </c>
      <c r="AJ98" s="17" t="str">
        <f aca="false">IF((E98="e"),H98," ")</f>
        <v> </v>
      </c>
    </row>
    <row r="99" customFormat="false" ht="12" hidden="false" customHeight="false" outlineLevel="0" collapsed="false">
      <c r="A99" s="28"/>
      <c r="E99" s="2" t="str">
        <f aca="false">IF((F99&lt;&gt;0),"Enter Letter"," ")</f>
        <v> </v>
      </c>
      <c r="F99" s="30"/>
      <c r="G99" s="6" t="str">
        <f aca="false">IF(F99&lt;&gt;0,F99*G$2/(100+G$2)," ")</f>
        <v> </v>
      </c>
      <c r="H99" s="6" t="str">
        <f aca="false">IF((F99&lt;&gt;0),F99-G99," ")</f>
        <v> </v>
      </c>
      <c r="I99" s="5"/>
      <c r="L99" s="7" t="str">
        <f aca="false">IF(F99&lt;&gt;0,F99-K99," ")</f>
        <v> </v>
      </c>
      <c r="M99" s="8" t="str">
        <f aca="false">IF((F99-K99)&lt;&gt;0,M$1-A99," ")</f>
        <v> </v>
      </c>
      <c r="N99" s="5"/>
      <c r="O99" s="17" t="str">
        <f aca="false">IF((E99="s"),H99," ")</f>
        <v> </v>
      </c>
      <c r="P99" s="17" t="str">
        <f aca="false">IF((E99="c"),H99," ")</f>
        <v> </v>
      </c>
      <c r="Q99" s="17" t="str">
        <f aca="false">IF((E99="o"),H99," ")</f>
        <v> </v>
      </c>
      <c r="R99" s="17" t="str">
        <f aca="false">IF((E99="d"),H99," ")</f>
        <v> </v>
      </c>
      <c r="S99" s="17" t="str">
        <f aca="false">IF((E99="w"),H99," ")</f>
        <v> </v>
      </c>
      <c r="T99" s="17" t="str">
        <f aca="false">IF((E99="r"),H99," ")</f>
        <v> </v>
      </c>
      <c r="U99" s="17" t="str">
        <f aca="false">IF((E99="p"),H99," ")</f>
        <v> </v>
      </c>
      <c r="V99" s="17" t="str">
        <f aca="false">IF((E99="t"),H99," ")</f>
        <v> </v>
      </c>
      <c r="W99" s="17" t="str">
        <f aca="false">IF((E99="q"),H99," ")</f>
        <v> </v>
      </c>
      <c r="X99" s="17" t="str">
        <f aca="false">IF((E99="m"),H99," ")</f>
        <v> </v>
      </c>
      <c r="Y99" s="17" t="str">
        <f aca="false">IF((E99="u"),H99," ")</f>
        <v> </v>
      </c>
      <c r="Z99" s="17" t="str">
        <f aca="false">IF((E99="a"),H99," ")</f>
        <v> </v>
      </c>
      <c r="AA99" s="17" t="str">
        <f aca="false">IF((E99="g"),H99," ")</f>
        <v> </v>
      </c>
      <c r="AB99" s="17" t="str">
        <f aca="false">IF((E99="h"),H99," ")</f>
        <v> </v>
      </c>
      <c r="AC99" s="30" t="str">
        <f aca="false">IF((E99="v"),H99," ")</f>
        <v> </v>
      </c>
      <c r="AD99" s="30" t="str">
        <f aca="false">IF((E99="n"),H99," ")</f>
        <v> </v>
      </c>
      <c r="AE99" s="17" t="str">
        <f aca="false">IF((E99="f"),H99," ")</f>
        <v> </v>
      </c>
      <c r="AF99" s="17" t="str">
        <f aca="false">IF((E99="l"),H99," ")</f>
        <v> </v>
      </c>
      <c r="AG99" s="17" t="str">
        <f aca="false">IF((E99="y"),H99," ")</f>
        <v> </v>
      </c>
      <c r="AH99" s="17" t="str">
        <f aca="false">IF((E99="z"),H99," ")</f>
        <v> </v>
      </c>
      <c r="AI99" s="17" t="str">
        <f aca="false">IF((E99="fa"),H99," ")</f>
        <v> </v>
      </c>
      <c r="AJ99" s="17" t="str">
        <f aca="false">IF((E99="e"),H99," ")</f>
        <v> </v>
      </c>
    </row>
    <row r="100" customFormat="false" ht="12" hidden="false" customHeight="false" outlineLevel="0" collapsed="false">
      <c r="A100" s="28"/>
      <c r="E100" s="2" t="str">
        <f aca="false">IF((F100&lt;&gt;0),"Enter Letter"," ")</f>
        <v> </v>
      </c>
      <c r="F100" s="30"/>
      <c r="G100" s="6" t="str">
        <f aca="false">IF(F100&lt;&gt;0,F100*G$2/(100+G$2)," ")</f>
        <v> </v>
      </c>
      <c r="H100" s="6" t="str">
        <f aca="false">IF((F100&lt;&gt;0),F100-G100," ")</f>
        <v> </v>
      </c>
      <c r="I100" s="5"/>
      <c r="L100" s="7" t="str">
        <f aca="false">IF(F100&lt;&gt;0,F100-K100," ")</f>
        <v> </v>
      </c>
      <c r="M100" s="8" t="str">
        <f aca="false">IF((F100-K100)&lt;&gt;0,M$1-A100," ")</f>
        <v> </v>
      </c>
      <c r="N100" s="5"/>
      <c r="O100" s="17" t="str">
        <f aca="false">IF((E100="s"),H100," ")</f>
        <v> </v>
      </c>
      <c r="P100" s="17" t="str">
        <f aca="false">IF((E100="c"),H100," ")</f>
        <v> </v>
      </c>
      <c r="Q100" s="17" t="str">
        <f aca="false">IF((E100="o"),H100," ")</f>
        <v> </v>
      </c>
      <c r="R100" s="17" t="str">
        <f aca="false">IF((E100="d"),H100," ")</f>
        <v> </v>
      </c>
      <c r="S100" s="17" t="str">
        <f aca="false">IF((E100="w"),H100," ")</f>
        <v> </v>
      </c>
      <c r="T100" s="17" t="str">
        <f aca="false">IF((E100="r"),H100," ")</f>
        <v> </v>
      </c>
      <c r="U100" s="17" t="str">
        <f aca="false">IF((E100="p"),H100," ")</f>
        <v> </v>
      </c>
      <c r="V100" s="17" t="str">
        <f aca="false">IF((E100="t"),H100," ")</f>
        <v> </v>
      </c>
      <c r="W100" s="17" t="str">
        <f aca="false">IF((E100="q"),H100," ")</f>
        <v> </v>
      </c>
      <c r="X100" s="17" t="str">
        <f aca="false">IF((E100="m"),H100," ")</f>
        <v> </v>
      </c>
      <c r="Y100" s="17" t="str">
        <f aca="false">IF((E100="u"),H100," ")</f>
        <v> </v>
      </c>
      <c r="Z100" s="17" t="str">
        <f aca="false">IF((E100="a"),H100," ")</f>
        <v> </v>
      </c>
      <c r="AA100" s="17" t="str">
        <f aca="false">IF((E100="g"),H100," ")</f>
        <v> </v>
      </c>
      <c r="AB100" s="17" t="str">
        <f aca="false">IF((E100="h"),H100," ")</f>
        <v> </v>
      </c>
      <c r="AC100" s="30" t="str">
        <f aca="false">IF((E100="v"),H100," ")</f>
        <v> </v>
      </c>
      <c r="AD100" s="30" t="str">
        <f aca="false">IF((E100="n"),H100," ")</f>
        <v> </v>
      </c>
      <c r="AE100" s="17" t="str">
        <f aca="false">IF((E100="f"),H100," ")</f>
        <v> </v>
      </c>
      <c r="AF100" s="17" t="str">
        <f aca="false">IF((E100="l"),H100," ")</f>
        <v> </v>
      </c>
      <c r="AG100" s="17" t="str">
        <f aca="false">IF((E100="y"),H100," ")</f>
        <v> </v>
      </c>
      <c r="AH100" s="17" t="str">
        <f aca="false">IF((E100="z"),H100," ")</f>
        <v> </v>
      </c>
      <c r="AI100" s="17" t="str">
        <f aca="false">IF((E100="fa"),H100," ")</f>
        <v> </v>
      </c>
      <c r="AJ100" s="17" t="str">
        <f aca="false">IF((E100="e"),H100," ")</f>
        <v> </v>
      </c>
    </row>
    <row r="101" customFormat="false" ht="12" hidden="false" customHeight="false" outlineLevel="0" collapsed="false">
      <c r="A101" s="28"/>
      <c r="E101" s="2" t="str">
        <f aca="false">IF((F101&lt;&gt;0),"Enter Letter"," ")</f>
        <v> </v>
      </c>
      <c r="F101" s="30"/>
      <c r="G101" s="6" t="str">
        <f aca="false">IF(F101&lt;&gt;0,F101*G$2/(100+G$2)," ")</f>
        <v> </v>
      </c>
      <c r="H101" s="6" t="str">
        <f aca="false">IF((F101&lt;&gt;0),F101-G101," ")</f>
        <v> </v>
      </c>
      <c r="I101" s="5"/>
      <c r="L101" s="7" t="str">
        <f aca="false">IF(F101&lt;&gt;0,F101-K101," ")</f>
        <v> </v>
      </c>
      <c r="M101" s="8" t="str">
        <f aca="false">IF((F101-K101)&lt;&gt;0,M$1-A101," ")</f>
        <v> </v>
      </c>
      <c r="N101" s="5"/>
      <c r="O101" s="17" t="str">
        <f aca="false">IF((E101="s"),H101," ")</f>
        <v> </v>
      </c>
      <c r="P101" s="17" t="str">
        <f aca="false">IF((E101="c"),H101," ")</f>
        <v> </v>
      </c>
      <c r="Q101" s="17" t="str">
        <f aca="false">IF((E101="o"),H101," ")</f>
        <v> </v>
      </c>
      <c r="R101" s="17" t="str">
        <f aca="false">IF((E101="d"),H101," ")</f>
        <v> </v>
      </c>
      <c r="S101" s="17" t="str">
        <f aca="false">IF((E101="w"),H101," ")</f>
        <v> </v>
      </c>
      <c r="T101" s="17" t="str">
        <f aca="false">IF((E101="r"),H101," ")</f>
        <v> </v>
      </c>
      <c r="U101" s="17" t="str">
        <f aca="false">IF((E101="p"),H101," ")</f>
        <v> </v>
      </c>
      <c r="V101" s="17" t="str">
        <f aca="false">IF((E101="t"),H101," ")</f>
        <v> </v>
      </c>
      <c r="W101" s="17" t="str">
        <f aca="false">IF((E101="q"),H101," ")</f>
        <v> </v>
      </c>
      <c r="X101" s="17" t="str">
        <f aca="false">IF((E101="m"),H101," ")</f>
        <v> </v>
      </c>
      <c r="Y101" s="17" t="str">
        <f aca="false">IF((E101="u"),H101," ")</f>
        <v> </v>
      </c>
      <c r="Z101" s="17" t="str">
        <f aca="false">IF((E101="a"),H101," ")</f>
        <v> </v>
      </c>
      <c r="AA101" s="17" t="str">
        <f aca="false">IF((E101="g"),H101," ")</f>
        <v> </v>
      </c>
      <c r="AB101" s="17" t="str">
        <f aca="false">IF((E101="h"),H101," ")</f>
        <v> </v>
      </c>
      <c r="AC101" s="30" t="str">
        <f aca="false">IF((E101="v"),H101," ")</f>
        <v> </v>
      </c>
      <c r="AD101" s="30" t="str">
        <f aca="false">IF((E101="n"),H101," ")</f>
        <v> </v>
      </c>
      <c r="AE101" s="17" t="str">
        <f aca="false">IF((E101="f"),H101," ")</f>
        <v> </v>
      </c>
      <c r="AF101" s="17" t="str">
        <f aca="false">IF((E101="l"),H101," ")</f>
        <v> </v>
      </c>
      <c r="AG101" s="17" t="str">
        <f aca="false">IF((E101="y"),H101," ")</f>
        <v> </v>
      </c>
      <c r="AH101" s="17" t="str">
        <f aca="false">IF((E101="z"),H101," ")</f>
        <v> </v>
      </c>
      <c r="AI101" s="17" t="str">
        <f aca="false">IF((E101="fa"),H101," ")</f>
        <v> </v>
      </c>
      <c r="AJ101" s="17" t="str">
        <f aca="false">IF((E101="e"),H101," ")</f>
        <v> </v>
      </c>
    </row>
    <row r="102" customFormat="false" ht="12" hidden="false" customHeight="false" outlineLevel="0" collapsed="false">
      <c r="A102" s="28"/>
      <c r="E102" s="2" t="str">
        <f aca="false">IF((F102&lt;&gt;0),"Enter Letter"," ")</f>
        <v> </v>
      </c>
      <c r="F102" s="30"/>
      <c r="G102" s="6" t="str">
        <f aca="false">IF(F102&lt;&gt;0,F102*G$2/(100+G$2)," ")</f>
        <v> </v>
      </c>
      <c r="H102" s="6" t="str">
        <f aca="false">IF((F102&lt;&gt;0),F102-G102," ")</f>
        <v> </v>
      </c>
      <c r="I102" s="5"/>
      <c r="L102" s="7" t="str">
        <f aca="false">IF(F102&lt;&gt;0,F102-K102," ")</f>
        <v> </v>
      </c>
      <c r="M102" s="8" t="str">
        <f aca="false">IF((F102-K102)&lt;&gt;0,M$1-A102," ")</f>
        <v> </v>
      </c>
      <c r="N102" s="5"/>
      <c r="O102" s="17" t="str">
        <f aca="false">IF((E102="s"),H102," ")</f>
        <v> </v>
      </c>
      <c r="P102" s="17" t="str">
        <f aca="false">IF((E102="c"),H102," ")</f>
        <v> </v>
      </c>
      <c r="Q102" s="17" t="str">
        <f aca="false">IF((E102="o"),H102," ")</f>
        <v> </v>
      </c>
      <c r="R102" s="17" t="str">
        <f aca="false">IF((E102="d"),H102," ")</f>
        <v> </v>
      </c>
      <c r="S102" s="17" t="str">
        <f aca="false">IF((E102="w"),H102," ")</f>
        <v> </v>
      </c>
      <c r="T102" s="17" t="str">
        <f aca="false">IF((E102="r"),H102," ")</f>
        <v> </v>
      </c>
      <c r="U102" s="17" t="str">
        <f aca="false">IF((E102="p"),H102," ")</f>
        <v> </v>
      </c>
      <c r="V102" s="17" t="str">
        <f aca="false">IF((E102="t"),H102," ")</f>
        <v> </v>
      </c>
      <c r="W102" s="17" t="str">
        <f aca="false">IF((E102="q"),H102," ")</f>
        <v> </v>
      </c>
      <c r="X102" s="17" t="str">
        <f aca="false">IF((E102="m"),H102," ")</f>
        <v> </v>
      </c>
      <c r="Y102" s="17" t="str">
        <f aca="false">IF((E102="u"),H102," ")</f>
        <v> </v>
      </c>
      <c r="Z102" s="17" t="str">
        <f aca="false">IF((E102="a"),H102," ")</f>
        <v> </v>
      </c>
      <c r="AA102" s="17" t="str">
        <f aca="false">IF((E102="g"),H102," ")</f>
        <v> </v>
      </c>
      <c r="AB102" s="17" t="str">
        <f aca="false">IF((E102="h"),H102," ")</f>
        <v> </v>
      </c>
      <c r="AC102" s="30" t="str">
        <f aca="false">IF((E102="v"),H102," ")</f>
        <v> </v>
      </c>
      <c r="AD102" s="30" t="str">
        <f aca="false">IF((E102="n"),H102," ")</f>
        <v> </v>
      </c>
      <c r="AE102" s="17" t="str">
        <f aca="false">IF((E102="f"),H102," ")</f>
        <v> </v>
      </c>
      <c r="AF102" s="17" t="str">
        <f aca="false">IF((E102="l"),H102," ")</f>
        <v> </v>
      </c>
      <c r="AG102" s="17" t="str">
        <f aca="false">IF((E102="y"),H102," ")</f>
        <v> </v>
      </c>
      <c r="AH102" s="17" t="str">
        <f aca="false">IF((E102="z"),H102," ")</f>
        <v> </v>
      </c>
      <c r="AI102" s="17" t="str">
        <f aca="false">IF((E102="fa"),H102," ")</f>
        <v> </v>
      </c>
      <c r="AJ102" s="17" t="str">
        <f aca="false">IF((E102="e"),H102," ")</f>
        <v> </v>
      </c>
    </row>
    <row r="103" customFormat="false" ht="12" hidden="false" customHeight="false" outlineLevel="0" collapsed="false">
      <c r="A103" s="28"/>
      <c r="E103" s="2" t="str">
        <f aca="false">IF((F103&lt;&gt;0),"Enter Letter"," ")</f>
        <v> </v>
      </c>
      <c r="F103" s="30"/>
      <c r="G103" s="6" t="str">
        <f aca="false">IF(F103&lt;&gt;0,F103*G$2/(100+G$2)," ")</f>
        <v> </v>
      </c>
      <c r="H103" s="6" t="str">
        <f aca="false">IF((F103&lt;&gt;0),F103-G103," ")</f>
        <v> </v>
      </c>
      <c r="I103" s="5"/>
      <c r="L103" s="7" t="str">
        <f aca="false">IF(F103&lt;&gt;0,F103-K103," ")</f>
        <v> </v>
      </c>
      <c r="M103" s="8" t="str">
        <f aca="false">IF((F103-K103)&lt;&gt;0,M$1-A103," ")</f>
        <v> </v>
      </c>
      <c r="N103" s="5"/>
      <c r="O103" s="17" t="str">
        <f aca="false">IF((E103="s"),H103," ")</f>
        <v> </v>
      </c>
      <c r="P103" s="17" t="str">
        <f aca="false">IF((E103="c"),H103," ")</f>
        <v> </v>
      </c>
      <c r="Q103" s="17" t="str">
        <f aca="false">IF((E103="o"),H103," ")</f>
        <v> </v>
      </c>
      <c r="R103" s="17" t="str">
        <f aca="false">IF((E103="d"),H103," ")</f>
        <v> </v>
      </c>
      <c r="S103" s="17" t="str">
        <f aca="false">IF((E103="w"),H103," ")</f>
        <v> </v>
      </c>
      <c r="T103" s="17" t="str">
        <f aca="false">IF((E103="r"),H103," ")</f>
        <v> </v>
      </c>
      <c r="U103" s="17" t="str">
        <f aca="false">IF((E103="p"),H103," ")</f>
        <v> </v>
      </c>
      <c r="V103" s="17" t="str">
        <f aca="false">IF((E103="t"),H103," ")</f>
        <v> </v>
      </c>
      <c r="W103" s="17" t="str">
        <f aca="false">IF((E103="q"),H103," ")</f>
        <v> </v>
      </c>
      <c r="X103" s="17" t="str">
        <f aca="false">IF((E103="m"),H103," ")</f>
        <v> </v>
      </c>
      <c r="Y103" s="17" t="str">
        <f aca="false">IF((E103="u"),H103," ")</f>
        <v> </v>
      </c>
      <c r="Z103" s="17" t="str">
        <f aca="false">IF((E103="a"),H103," ")</f>
        <v> </v>
      </c>
      <c r="AA103" s="17" t="str">
        <f aca="false">IF((E103="g"),H103," ")</f>
        <v> </v>
      </c>
      <c r="AB103" s="17" t="str">
        <f aca="false">IF((E103="h"),H103," ")</f>
        <v> </v>
      </c>
      <c r="AC103" s="30" t="str">
        <f aca="false">IF((E103="v"),H103," ")</f>
        <v> </v>
      </c>
      <c r="AD103" s="30" t="str">
        <f aca="false">IF((E103="n"),H103," ")</f>
        <v> </v>
      </c>
      <c r="AE103" s="17" t="str">
        <f aca="false">IF((E103="f"),H103," ")</f>
        <v> </v>
      </c>
      <c r="AF103" s="17" t="str">
        <f aca="false">IF((E103="l"),H103," ")</f>
        <v> </v>
      </c>
      <c r="AG103" s="17" t="str">
        <f aca="false">IF((E103="y"),H103," ")</f>
        <v> </v>
      </c>
      <c r="AH103" s="17" t="str">
        <f aca="false">IF((E103="z"),H103," ")</f>
        <v> </v>
      </c>
      <c r="AI103" s="17" t="str">
        <f aca="false">IF((E103="fa"),H103," ")</f>
        <v> </v>
      </c>
      <c r="AJ103" s="17" t="str">
        <f aca="false">IF((E103="e"),H103," ")</f>
        <v> </v>
      </c>
    </row>
    <row r="104" customFormat="false" ht="12" hidden="false" customHeight="false" outlineLevel="0" collapsed="false">
      <c r="A104" s="28"/>
      <c r="E104" s="2" t="str">
        <f aca="false">IF((F104&lt;&gt;0),"Enter Letter"," ")</f>
        <v> </v>
      </c>
      <c r="F104" s="30"/>
      <c r="G104" s="6" t="str">
        <f aca="false">IF(F104&lt;&gt;0,F104*G$2/(100+G$2)," ")</f>
        <v> </v>
      </c>
      <c r="H104" s="6" t="str">
        <f aca="false">IF((F104&lt;&gt;0),F104-G104," ")</f>
        <v> </v>
      </c>
      <c r="I104" s="5"/>
      <c r="L104" s="7" t="str">
        <f aca="false">IF(F104&lt;&gt;0,F104-K104," ")</f>
        <v> </v>
      </c>
      <c r="M104" s="8" t="str">
        <f aca="false">IF((F104-K104)&lt;&gt;0,M$1-A104," ")</f>
        <v> </v>
      </c>
      <c r="N104" s="5"/>
      <c r="O104" s="17" t="str">
        <f aca="false">IF((E104="s"),H104," ")</f>
        <v> </v>
      </c>
      <c r="P104" s="17" t="str">
        <f aca="false">IF((E104="c"),H104," ")</f>
        <v> </v>
      </c>
      <c r="Q104" s="17" t="str">
        <f aca="false">IF((E104="o"),H104," ")</f>
        <v> </v>
      </c>
      <c r="R104" s="17" t="str">
        <f aca="false">IF((E104="d"),H104," ")</f>
        <v> </v>
      </c>
      <c r="S104" s="17" t="str">
        <f aca="false">IF((E104="w"),H104," ")</f>
        <v> </v>
      </c>
      <c r="T104" s="17" t="str">
        <f aca="false">IF((E104="r"),H104," ")</f>
        <v> </v>
      </c>
      <c r="U104" s="17" t="str">
        <f aca="false">IF((E104="p"),H104," ")</f>
        <v> </v>
      </c>
      <c r="V104" s="17" t="str">
        <f aca="false">IF((E104="t"),H104," ")</f>
        <v> </v>
      </c>
      <c r="W104" s="17" t="str">
        <f aca="false">IF((E104="q"),H104," ")</f>
        <v> </v>
      </c>
      <c r="X104" s="17" t="str">
        <f aca="false">IF((E104="m"),H104," ")</f>
        <v> </v>
      </c>
      <c r="Y104" s="17" t="str">
        <f aca="false">IF((E104="u"),H104," ")</f>
        <v> </v>
      </c>
      <c r="Z104" s="17" t="str">
        <f aca="false">IF((E104="a"),H104," ")</f>
        <v> </v>
      </c>
      <c r="AA104" s="17" t="str">
        <f aca="false">IF((E104="g"),H104," ")</f>
        <v> </v>
      </c>
      <c r="AB104" s="17" t="str">
        <f aca="false">IF((E104="h"),H104," ")</f>
        <v> </v>
      </c>
      <c r="AC104" s="30" t="str">
        <f aca="false">IF((E104="v"),H104," ")</f>
        <v> </v>
      </c>
      <c r="AD104" s="30" t="str">
        <f aca="false">IF((E104="n"),H104," ")</f>
        <v> </v>
      </c>
      <c r="AE104" s="17" t="str">
        <f aca="false">IF((E104="f"),H104," ")</f>
        <v> </v>
      </c>
      <c r="AF104" s="17" t="str">
        <f aca="false">IF((E104="l"),H104," ")</f>
        <v> </v>
      </c>
      <c r="AG104" s="17" t="str">
        <f aca="false">IF((E104="y"),H104," ")</f>
        <v> </v>
      </c>
      <c r="AH104" s="17" t="str">
        <f aca="false">IF((E104="z"),H104," ")</f>
        <v> </v>
      </c>
      <c r="AI104" s="17" t="str">
        <f aca="false">IF((E104="fa"),H104," ")</f>
        <v> </v>
      </c>
      <c r="AJ104" s="17" t="str">
        <f aca="false">IF((E104="e"),H104," ")</f>
        <v> </v>
      </c>
    </row>
    <row r="105" customFormat="false" ht="12" hidden="false" customHeight="false" outlineLevel="0" collapsed="false">
      <c r="A105" s="28"/>
      <c r="E105" s="2" t="str">
        <f aca="false">IF((F105&lt;&gt;0),"Enter Letter"," ")</f>
        <v> </v>
      </c>
      <c r="F105" s="30"/>
      <c r="G105" s="6" t="str">
        <f aca="false">IF(F105&lt;&gt;0,F105*G$2/(100+G$2)," ")</f>
        <v> </v>
      </c>
      <c r="H105" s="6" t="str">
        <f aca="false">IF((F105&lt;&gt;0),F105-G105," ")</f>
        <v> </v>
      </c>
      <c r="I105" s="5"/>
      <c r="L105" s="7" t="str">
        <f aca="false">IF(F105&lt;&gt;0,F105-K105," ")</f>
        <v> </v>
      </c>
      <c r="M105" s="8" t="str">
        <f aca="false">IF((F105-K105)&lt;&gt;0,M$1-A105," ")</f>
        <v> </v>
      </c>
      <c r="N105" s="5"/>
      <c r="O105" s="17" t="str">
        <f aca="false">IF((E105="s"),H105," ")</f>
        <v> </v>
      </c>
      <c r="P105" s="17" t="str">
        <f aca="false">IF((E105="c"),H105," ")</f>
        <v> </v>
      </c>
      <c r="Q105" s="17" t="str">
        <f aca="false">IF((E105="o"),H105," ")</f>
        <v> </v>
      </c>
      <c r="R105" s="17" t="str">
        <f aca="false">IF((E105="d"),H105," ")</f>
        <v> </v>
      </c>
      <c r="S105" s="17" t="str">
        <f aca="false">IF((E105="w"),H105," ")</f>
        <v> </v>
      </c>
      <c r="T105" s="17" t="str">
        <f aca="false">IF((E105="r"),H105," ")</f>
        <v> </v>
      </c>
      <c r="U105" s="17" t="str">
        <f aca="false">IF((E105="p"),H105," ")</f>
        <v> </v>
      </c>
      <c r="V105" s="17" t="str">
        <f aca="false">IF((E105="t"),H105," ")</f>
        <v> </v>
      </c>
      <c r="W105" s="17" t="str">
        <f aca="false">IF((E105="q"),H105," ")</f>
        <v> </v>
      </c>
      <c r="X105" s="17" t="str">
        <f aca="false">IF((E105="m"),H105," ")</f>
        <v> </v>
      </c>
      <c r="Y105" s="17" t="str">
        <f aca="false">IF((E105="u"),H105," ")</f>
        <v> </v>
      </c>
      <c r="Z105" s="17" t="str">
        <f aca="false">IF((E105="a"),H105," ")</f>
        <v> </v>
      </c>
      <c r="AA105" s="17" t="str">
        <f aca="false">IF((E105="g"),H105," ")</f>
        <v> </v>
      </c>
      <c r="AB105" s="17" t="str">
        <f aca="false">IF((E105="h"),H105," ")</f>
        <v> </v>
      </c>
      <c r="AC105" s="30" t="str">
        <f aca="false">IF((E105="v"),H105," ")</f>
        <v> </v>
      </c>
      <c r="AD105" s="30" t="str">
        <f aca="false">IF((E105="n"),H105," ")</f>
        <v> </v>
      </c>
      <c r="AE105" s="17" t="str">
        <f aca="false">IF((E105="f"),H105," ")</f>
        <v> </v>
      </c>
      <c r="AF105" s="17" t="str">
        <f aca="false">IF((E105="l"),H105," ")</f>
        <v> </v>
      </c>
      <c r="AG105" s="17" t="str">
        <f aca="false">IF((E105="y"),H105," ")</f>
        <v> </v>
      </c>
      <c r="AH105" s="17" t="str">
        <f aca="false">IF((E105="z"),H105," ")</f>
        <v> </v>
      </c>
      <c r="AI105" s="17" t="str">
        <f aca="false">IF((E105="fa"),H105," ")</f>
        <v> </v>
      </c>
      <c r="AJ105" s="17" t="str">
        <f aca="false">IF((E105="e"),H105," ")</f>
        <v> </v>
      </c>
    </row>
    <row r="106" customFormat="false" ht="12" hidden="false" customHeight="false" outlineLevel="0" collapsed="false">
      <c r="A106" s="28"/>
      <c r="E106" s="2" t="str">
        <f aca="false">IF((F106&lt;&gt;0),"Enter Letter"," ")</f>
        <v> </v>
      </c>
      <c r="F106" s="30"/>
      <c r="G106" s="6" t="str">
        <f aca="false">IF(F106&lt;&gt;0,F106*G$2/(100+G$2)," ")</f>
        <v> </v>
      </c>
      <c r="H106" s="6" t="str">
        <f aca="false">IF((F106&lt;&gt;0),F106-G106," ")</f>
        <v> </v>
      </c>
      <c r="I106" s="5"/>
      <c r="L106" s="7" t="str">
        <f aca="false">IF(F106&lt;&gt;0,F106-K106," ")</f>
        <v> </v>
      </c>
      <c r="M106" s="8" t="str">
        <f aca="false">IF((F106-K106)&lt;&gt;0,M$1-A106," ")</f>
        <v> </v>
      </c>
      <c r="N106" s="5"/>
      <c r="O106" s="17" t="str">
        <f aca="false">IF((E106="s"),H106," ")</f>
        <v> </v>
      </c>
      <c r="P106" s="17" t="str">
        <f aca="false">IF((E106="c"),H106," ")</f>
        <v> </v>
      </c>
      <c r="Q106" s="17" t="str">
        <f aca="false">IF((E106="o"),H106," ")</f>
        <v> </v>
      </c>
      <c r="R106" s="17" t="str">
        <f aca="false">IF((E106="d"),H106," ")</f>
        <v> </v>
      </c>
      <c r="S106" s="17" t="str">
        <f aca="false">IF((E106="w"),H106," ")</f>
        <v> </v>
      </c>
      <c r="T106" s="17" t="str">
        <f aca="false">IF((E106="r"),H106," ")</f>
        <v> </v>
      </c>
      <c r="U106" s="17" t="str">
        <f aca="false">IF((E106="p"),H106," ")</f>
        <v> </v>
      </c>
      <c r="V106" s="17" t="str">
        <f aca="false">IF((E106="t"),H106," ")</f>
        <v> </v>
      </c>
      <c r="W106" s="17" t="str">
        <f aca="false">IF((E106="q"),H106," ")</f>
        <v> </v>
      </c>
      <c r="X106" s="17" t="str">
        <f aca="false">IF((E106="m"),H106," ")</f>
        <v> </v>
      </c>
      <c r="Y106" s="17" t="str">
        <f aca="false">IF((E106="u"),H106," ")</f>
        <v> </v>
      </c>
      <c r="Z106" s="17" t="str">
        <f aca="false">IF((E106="a"),H106," ")</f>
        <v> </v>
      </c>
      <c r="AA106" s="17" t="str">
        <f aca="false">IF((E106="g"),H106," ")</f>
        <v> </v>
      </c>
      <c r="AB106" s="17" t="str">
        <f aca="false">IF((E106="h"),H106," ")</f>
        <v> </v>
      </c>
      <c r="AC106" s="30" t="str">
        <f aca="false">IF((E106="v"),H106," ")</f>
        <v> </v>
      </c>
      <c r="AD106" s="30" t="str">
        <f aca="false">IF((E106="n"),H106," ")</f>
        <v> </v>
      </c>
      <c r="AE106" s="17" t="str">
        <f aca="false">IF((E106="f"),H106," ")</f>
        <v> </v>
      </c>
      <c r="AF106" s="17" t="str">
        <f aca="false">IF((E106="l"),H106," ")</f>
        <v> </v>
      </c>
      <c r="AG106" s="17" t="str">
        <f aca="false">IF((E106="y"),H106," ")</f>
        <v> </v>
      </c>
      <c r="AH106" s="17" t="str">
        <f aca="false">IF((E106="z"),H106," ")</f>
        <v> </v>
      </c>
      <c r="AI106" s="17" t="str">
        <f aca="false">IF((E106="fa"),H106," ")</f>
        <v> </v>
      </c>
      <c r="AJ106" s="17" t="str">
        <f aca="false">IF((E106="e"),H106," ")</f>
        <v> </v>
      </c>
    </row>
    <row r="107" customFormat="false" ht="12" hidden="false" customHeight="false" outlineLevel="0" collapsed="false">
      <c r="A107" s="28"/>
      <c r="E107" s="2" t="str">
        <f aca="false">IF((F107&lt;&gt;0),"Enter Letter"," ")</f>
        <v> </v>
      </c>
      <c r="F107" s="30"/>
      <c r="G107" s="6" t="str">
        <f aca="false">IF(F107&lt;&gt;0,F107*G$2/(100+G$2)," ")</f>
        <v> </v>
      </c>
      <c r="H107" s="6" t="str">
        <f aca="false">IF((F107&lt;&gt;0),F107-G107," ")</f>
        <v> </v>
      </c>
      <c r="I107" s="5"/>
      <c r="L107" s="7" t="str">
        <f aca="false">IF(F107&lt;&gt;0,F107-K107," ")</f>
        <v> </v>
      </c>
      <c r="M107" s="8" t="str">
        <f aca="false">IF((F107-K107)&lt;&gt;0,M$1-A107," ")</f>
        <v> </v>
      </c>
      <c r="N107" s="5"/>
      <c r="O107" s="17" t="str">
        <f aca="false">IF((E107="s"),H107," ")</f>
        <v> </v>
      </c>
      <c r="P107" s="17" t="str">
        <f aca="false">IF((E107="c"),H107," ")</f>
        <v> </v>
      </c>
      <c r="Q107" s="17" t="str">
        <f aca="false">IF((E107="o"),H107," ")</f>
        <v> </v>
      </c>
      <c r="R107" s="17" t="str">
        <f aca="false">IF((E107="d"),H107," ")</f>
        <v> </v>
      </c>
      <c r="S107" s="17" t="str">
        <f aca="false">IF((E107="w"),H107," ")</f>
        <v> </v>
      </c>
      <c r="T107" s="17" t="str">
        <f aca="false">IF((E107="r"),H107," ")</f>
        <v> </v>
      </c>
      <c r="U107" s="17" t="str">
        <f aca="false">IF((E107="p"),H107," ")</f>
        <v> </v>
      </c>
      <c r="V107" s="17" t="str">
        <f aca="false">IF((E107="t"),H107," ")</f>
        <v> </v>
      </c>
      <c r="W107" s="17" t="str">
        <f aca="false">IF((E107="q"),H107," ")</f>
        <v> </v>
      </c>
      <c r="X107" s="17" t="str">
        <f aca="false">IF((E107="m"),H107," ")</f>
        <v> </v>
      </c>
      <c r="Y107" s="17" t="str">
        <f aca="false">IF((E107="u"),H107," ")</f>
        <v> </v>
      </c>
      <c r="Z107" s="17" t="str">
        <f aca="false">IF((E107="a"),H107," ")</f>
        <v> </v>
      </c>
      <c r="AA107" s="17" t="str">
        <f aca="false">IF((E107="g"),H107," ")</f>
        <v> </v>
      </c>
      <c r="AB107" s="17" t="str">
        <f aca="false">IF((E107="h"),H107," ")</f>
        <v> </v>
      </c>
      <c r="AC107" s="30" t="str">
        <f aca="false">IF((E107="v"),H107," ")</f>
        <v> </v>
      </c>
      <c r="AD107" s="30" t="str">
        <f aca="false">IF((E107="n"),H107," ")</f>
        <v> </v>
      </c>
      <c r="AE107" s="17" t="str">
        <f aca="false">IF((E107="f"),H107," ")</f>
        <v> </v>
      </c>
      <c r="AF107" s="17" t="str">
        <f aca="false">IF((E107="l"),H107," ")</f>
        <v> </v>
      </c>
      <c r="AG107" s="17" t="str">
        <f aca="false">IF((E107="y"),H107," ")</f>
        <v> </v>
      </c>
      <c r="AH107" s="17" t="str">
        <f aca="false">IF((E107="z"),H107," ")</f>
        <v> </v>
      </c>
      <c r="AI107" s="17" t="str">
        <f aca="false">IF((E107="fa"),H107," ")</f>
        <v> </v>
      </c>
      <c r="AJ107" s="17" t="str">
        <f aca="false">IF((E107="e"),H107," ")</f>
        <v> </v>
      </c>
    </row>
    <row r="108" customFormat="false" ht="12" hidden="false" customHeight="false" outlineLevel="0" collapsed="false">
      <c r="A108" s="28"/>
      <c r="E108" s="2" t="str">
        <f aca="false">IF((F108&lt;&gt;0),"Enter Letter"," ")</f>
        <v> </v>
      </c>
      <c r="F108" s="30"/>
      <c r="G108" s="6" t="str">
        <f aca="false">IF(F108&lt;&gt;0,F108*G$2/(100+G$2)," ")</f>
        <v> </v>
      </c>
      <c r="H108" s="6" t="str">
        <f aca="false">IF((F108&lt;&gt;0),F108-G108," ")</f>
        <v> </v>
      </c>
      <c r="I108" s="5"/>
      <c r="L108" s="7" t="str">
        <f aca="false">IF(F108&lt;&gt;0,F108-K108," ")</f>
        <v> </v>
      </c>
      <c r="M108" s="8" t="str">
        <f aca="false">IF((F108-K108)&lt;&gt;0,M$1-A108," ")</f>
        <v> </v>
      </c>
      <c r="N108" s="5"/>
      <c r="O108" s="17" t="str">
        <f aca="false">IF((E108="s"),H108," ")</f>
        <v> </v>
      </c>
      <c r="P108" s="17" t="str">
        <f aca="false">IF((E108="c"),H108," ")</f>
        <v> </v>
      </c>
      <c r="Q108" s="17" t="str">
        <f aca="false">IF((E108="o"),H108," ")</f>
        <v> </v>
      </c>
      <c r="R108" s="17" t="str">
        <f aca="false">IF((E108="d"),H108," ")</f>
        <v> </v>
      </c>
      <c r="S108" s="17" t="str">
        <f aca="false">IF((E108="w"),H108," ")</f>
        <v> </v>
      </c>
      <c r="T108" s="17" t="str">
        <f aca="false">IF((E108="r"),H108," ")</f>
        <v> </v>
      </c>
      <c r="U108" s="17" t="str">
        <f aca="false">IF((E108="p"),H108," ")</f>
        <v> </v>
      </c>
      <c r="V108" s="17" t="str">
        <f aca="false">IF((E108="t"),H108," ")</f>
        <v> </v>
      </c>
      <c r="W108" s="17" t="str">
        <f aca="false">IF((E108="q"),H108," ")</f>
        <v> </v>
      </c>
      <c r="X108" s="17" t="str">
        <f aca="false">IF((E108="m"),H108," ")</f>
        <v> </v>
      </c>
      <c r="Y108" s="17" t="str">
        <f aca="false">IF((E108="u"),H108," ")</f>
        <v> </v>
      </c>
      <c r="Z108" s="17" t="str">
        <f aca="false">IF((E108="a"),H108," ")</f>
        <v> </v>
      </c>
      <c r="AA108" s="17" t="str">
        <f aca="false">IF((E108="g"),H108," ")</f>
        <v> </v>
      </c>
      <c r="AB108" s="17" t="str">
        <f aca="false">IF((E108="h"),H108," ")</f>
        <v> </v>
      </c>
      <c r="AC108" s="30" t="str">
        <f aca="false">IF((E108="v"),H108," ")</f>
        <v> </v>
      </c>
      <c r="AD108" s="30" t="str">
        <f aca="false">IF((E108="n"),H108," ")</f>
        <v> </v>
      </c>
      <c r="AE108" s="17" t="str">
        <f aca="false">IF((E108="f"),H108," ")</f>
        <v> </v>
      </c>
      <c r="AF108" s="17" t="str">
        <f aca="false">IF((E108="l"),H108," ")</f>
        <v> </v>
      </c>
      <c r="AG108" s="17" t="str">
        <f aca="false">IF((E108="y"),H108," ")</f>
        <v> </v>
      </c>
      <c r="AH108" s="17" t="str">
        <f aca="false">IF((E108="z"),H108," ")</f>
        <v> </v>
      </c>
      <c r="AI108" s="17" t="str">
        <f aca="false">IF((E108="fa"),H108," ")</f>
        <v> </v>
      </c>
      <c r="AJ108" s="17" t="str">
        <f aca="false">IF((E108="e"),H108," ")</f>
        <v> </v>
      </c>
    </row>
    <row r="109" customFormat="false" ht="12" hidden="false" customHeight="false" outlineLevel="0" collapsed="false">
      <c r="A109" s="28"/>
      <c r="E109" s="2" t="str">
        <f aca="false">IF((F109&lt;&gt;0),"Enter Letter"," ")</f>
        <v> </v>
      </c>
      <c r="F109" s="30"/>
      <c r="G109" s="6" t="str">
        <f aca="false">IF(F109&lt;&gt;0,F109*G$2/(100+G$2)," ")</f>
        <v> </v>
      </c>
      <c r="H109" s="6" t="str">
        <f aca="false">IF((F109&lt;&gt;0),F109-G109," ")</f>
        <v> </v>
      </c>
      <c r="I109" s="5"/>
      <c r="L109" s="7" t="str">
        <f aca="false">IF(F109&lt;&gt;0,F109-K109," ")</f>
        <v> </v>
      </c>
      <c r="M109" s="8" t="str">
        <f aca="false">IF((F109-K109)&lt;&gt;0,M$1-A109," ")</f>
        <v> </v>
      </c>
      <c r="N109" s="5"/>
      <c r="O109" s="17" t="str">
        <f aca="false">IF((E109="s"),H109," ")</f>
        <v> </v>
      </c>
      <c r="P109" s="17" t="str">
        <f aca="false">IF((E109="c"),H109," ")</f>
        <v> </v>
      </c>
      <c r="Q109" s="17" t="str">
        <f aca="false">IF((E109="o"),H109," ")</f>
        <v> </v>
      </c>
      <c r="R109" s="17" t="str">
        <f aca="false">IF((E109="d"),H109," ")</f>
        <v> </v>
      </c>
      <c r="S109" s="17" t="str">
        <f aca="false">IF((E109="w"),H109," ")</f>
        <v> </v>
      </c>
      <c r="T109" s="17" t="str">
        <f aca="false">IF((E109="r"),H109," ")</f>
        <v> </v>
      </c>
      <c r="U109" s="17" t="str">
        <f aca="false">IF((E109="p"),H109," ")</f>
        <v> </v>
      </c>
      <c r="V109" s="17" t="str">
        <f aca="false">IF((E109="t"),H109," ")</f>
        <v> </v>
      </c>
      <c r="W109" s="17" t="str">
        <f aca="false">IF((E109="q"),H109," ")</f>
        <v> </v>
      </c>
      <c r="X109" s="17" t="str">
        <f aca="false">IF((E109="m"),H109," ")</f>
        <v> </v>
      </c>
      <c r="Y109" s="17" t="str">
        <f aca="false">IF((E109="u"),H109," ")</f>
        <v> </v>
      </c>
      <c r="Z109" s="17" t="str">
        <f aca="false">IF((E109="a"),H109," ")</f>
        <v> </v>
      </c>
      <c r="AA109" s="17" t="str">
        <f aca="false">IF((E109="g"),H109," ")</f>
        <v> </v>
      </c>
      <c r="AB109" s="17" t="str">
        <f aca="false">IF((E109="h"),H109," ")</f>
        <v> </v>
      </c>
      <c r="AC109" s="30" t="str">
        <f aca="false">IF((E109="v"),H109," ")</f>
        <v> </v>
      </c>
      <c r="AD109" s="30" t="str">
        <f aca="false">IF((E109="n"),H109," ")</f>
        <v> </v>
      </c>
      <c r="AE109" s="17" t="str">
        <f aca="false">IF((E109="f"),H109," ")</f>
        <v> </v>
      </c>
      <c r="AF109" s="17" t="str">
        <f aca="false">IF((E109="l"),H109," ")</f>
        <v> </v>
      </c>
      <c r="AG109" s="17" t="str">
        <f aca="false">IF((E109="y"),H109," ")</f>
        <v> </v>
      </c>
      <c r="AH109" s="17" t="str">
        <f aca="false">IF((E109="z"),H109," ")</f>
        <v> </v>
      </c>
      <c r="AI109" s="17" t="str">
        <f aca="false">IF((E109="fa"),H109," ")</f>
        <v> </v>
      </c>
      <c r="AJ109" s="17" t="str">
        <f aca="false">IF((E109="e"),H109," ")</f>
        <v> </v>
      </c>
    </row>
    <row r="110" customFormat="false" ht="12" hidden="false" customHeight="false" outlineLevel="0" collapsed="false">
      <c r="A110" s="28"/>
      <c r="E110" s="2" t="str">
        <f aca="false">IF((F110&lt;&gt;0),"Enter Letter"," ")</f>
        <v> </v>
      </c>
      <c r="F110" s="30"/>
      <c r="G110" s="6" t="str">
        <f aca="false">IF(F110&lt;&gt;0,F110*G$2/(100+G$2)," ")</f>
        <v> </v>
      </c>
      <c r="H110" s="6" t="str">
        <f aca="false">IF((F110&lt;&gt;0),F110-G110," ")</f>
        <v> </v>
      </c>
      <c r="I110" s="5"/>
      <c r="L110" s="7" t="str">
        <f aca="false">IF(F110&lt;&gt;0,F110-K110," ")</f>
        <v> </v>
      </c>
      <c r="M110" s="8" t="str">
        <f aca="false">IF((F110-K110)&lt;&gt;0,M$1-A110," ")</f>
        <v> </v>
      </c>
      <c r="N110" s="5"/>
      <c r="O110" s="17" t="str">
        <f aca="false">IF((E110="s"),H110," ")</f>
        <v> </v>
      </c>
      <c r="P110" s="17" t="str">
        <f aca="false">IF((E110="c"),H110," ")</f>
        <v> </v>
      </c>
      <c r="Q110" s="17" t="str">
        <f aca="false">IF((E110="o"),H110," ")</f>
        <v> </v>
      </c>
      <c r="R110" s="17" t="str">
        <f aca="false">IF((E110="d"),H110," ")</f>
        <v> </v>
      </c>
      <c r="S110" s="17" t="str">
        <f aca="false">IF((E110="w"),H110," ")</f>
        <v> </v>
      </c>
      <c r="T110" s="17" t="str">
        <f aca="false">IF((E110="r"),H110," ")</f>
        <v> </v>
      </c>
      <c r="U110" s="17" t="str">
        <f aca="false">IF((E110="p"),H110," ")</f>
        <v> </v>
      </c>
      <c r="V110" s="17" t="str">
        <f aca="false">IF((E110="t"),H110," ")</f>
        <v> </v>
      </c>
      <c r="W110" s="17" t="str">
        <f aca="false">IF((E110="q"),H110," ")</f>
        <v> </v>
      </c>
      <c r="X110" s="17" t="str">
        <f aca="false">IF((E110="m"),H110," ")</f>
        <v> </v>
      </c>
      <c r="Y110" s="17" t="str">
        <f aca="false">IF((E110="u"),H110," ")</f>
        <v> </v>
      </c>
      <c r="Z110" s="17" t="str">
        <f aca="false">IF((E110="a"),H110," ")</f>
        <v> </v>
      </c>
      <c r="AA110" s="17" t="str">
        <f aca="false">IF((E110="g"),H110," ")</f>
        <v> </v>
      </c>
      <c r="AB110" s="17" t="str">
        <f aca="false">IF((E110="h"),H110," ")</f>
        <v> </v>
      </c>
      <c r="AC110" s="30" t="str">
        <f aca="false">IF((E110="v"),H110," ")</f>
        <v> </v>
      </c>
      <c r="AD110" s="30" t="str">
        <f aca="false">IF((E110="n"),H110," ")</f>
        <v> </v>
      </c>
      <c r="AE110" s="17" t="str">
        <f aca="false">IF((E110="f"),H110," ")</f>
        <v> </v>
      </c>
      <c r="AF110" s="17" t="str">
        <f aca="false">IF((E110="l"),H110," ")</f>
        <v> </v>
      </c>
      <c r="AG110" s="17" t="str">
        <f aca="false">IF((E110="y"),H110," ")</f>
        <v> </v>
      </c>
      <c r="AH110" s="17" t="str">
        <f aca="false">IF((E110="z"),H110," ")</f>
        <v> </v>
      </c>
      <c r="AI110" s="17" t="str">
        <f aca="false">IF((E110="fa"),H110," ")</f>
        <v> </v>
      </c>
      <c r="AJ110" s="17" t="str">
        <f aca="false">IF((E110="e"),H110," ")</f>
        <v> </v>
      </c>
    </row>
    <row r="111" customFormat="false" ht="12" hidden="false" customHeight="false" outlineLevel="0" collapsed="false">
      <c r="A111" s="28"/>
      <c r="E111" s="2" t="str">
        <f aca="false">IF((F111&lt;&gt;0),"Enter Letter"," ")</f>
        <v> </v>
      </c>
      <c r="F111" s="30"/>
      <c r="G111" s="6" t="str">
        <f aca="false">IF(F111&lt;&gt;0,F111*G$2/(100+G$2)," ")</f>
        <v> </v>
      </c>
      <c r="H111" s="6" t="str">
        <f aca="false">IF((F111&lt;&gt;0),F111-G111," ")</f>
        <v> </v>
      </c>
      <c r="I111" s="5"/>
      <c r="L111" s="7" t="str">
        <f aca="false">IF(F111&lt;&gt;0,F111-K111," ")</f>
        <v> </v>
      </c>
      <c r="M111" s="8" t="str">
        <f aca="false">IF((F111-K111)&lt;&gt;0,M$1-A111," ")</f>
        <v> </v>
      </c>
      <c r="N111" s="5"/>
      <c r="O111" s="17" t="str">
        <f aca="false">IF((E111="s"),H111," ")</f>
        <v> </v>
      </c>
      <c r="P111" s="17" t="str">
        <f aca="false">IF((E111="c"),H111," ")</f>
        <v> </v>
      </c>
      <c r="Q111" s="17" t="str">
        <f aca="false">IF((E111="o"),H111," ")</f>
        <v> </v>
      </c>
      <c r="R111" s="17" t="str">
        <f aca="false">IF((E111="d"),H111," ")</f>
        <v> </v>
      </c>
      <c r="S111" s="17" t="str">
        <f aca="false">IF((E111="w"),H111," ")</f>
        <v> </v>
      </c>
      <c r="T111" s="17" t="str">
        <f aca="false">IF((E111="r"),H111," ")</f>
        <v> </v>
      </c>
      <c r="U111" s="17" t="str">
        <f aca="false">IF((E111="p"),H111," ")</f>
        <v> </v>
      </c>
      <c r="V111" s="17" t="str">
        <f aca="false">IF((E111="t"),H111," ")</f>
        <v> </v>
      </c>
      <c r="W111" s="17" t="str">
        <f aca="false">IF((E111="q"),H111," ")</f>
        <v> </v>
      </c>
      <c r="X111" s="17" t="str">
        <f aca="false">IF((E111="m"),H111," ")</f>
        <v> </v>
      </c>
      <c r="Y111" s="17" t="str">
        <f aca="false">IF((E111="u"),H111," ")</f>
        <v> </v>
      </c>
      <c r="Z111" s="17" t="str">
        <f aca="false">IF((E111="a"),H111," ")</f>
        <v> </v>
      </c>
      <c r="AA111" s="17" t="str">
        <f aca="false">IF((E111="g"),H111," ")</f>
        <v> </v>
      </c>
      <c r="AB111" s="17" t="str">
        <f aca="false">IF((E111="h"),H111," ")</f>
        <v> </v>
      </c>
      <c r="AC111" s="30" t="str">
        <f aca="false">IF((E111="v"),H111," ")</f>
        <v> </v>
      </c>
      <c r="AD111" s="30" t="str">
        <f aca="false">IF((E111="n"),H111," ")</f>
        <v> </v>
      </c>
      <c r="AE111" s="17" t="str">
        <f aca="false">IF((E111="f"),H111," ")</f>
        <v> </v>
      </c>
      <c r="AF111" s="17" t="str">
        <f aca="false">IF((E111="l"),H111," ")</f>
        <v> </v>
      </c>
      <c r="AG111" s="17" t="str">
        <f aca="false">IF((E111="y"),H111," ")</f>
        <v> </v>
      </c>
      <c r="AH111" s="17" t="str">
        <f aca="false">IF((E111="z"),H111," ")</f>
        <v> </v>
      </c>
      <c r="AI111" s="17" t="str">
        <f aca="false">IF((E111="fa"),H111," ")</f>
        <v> </v>
      </c>
      <c r="AJ111" s="17" t="str">
        <f aca="false">IF((E111="e"),H111," ")</f>
        <v> </v>
      </c>
    </row>
    <row r="112" customFormat="false" ht="12" hidden="false" customHeight="false" outlineLevel="0" collapsed="false">
      <c r="A112" s="28"/>
      <c r="E112" s="2" t="str">
        <f aca="false">IF((F112&lt;&gt;0),"Enter Letter"," ")</f>
        <v> </v>
      </c>
      <c r="F112" s="30"/>
      <c r="G112" s="6" t="str">
        <f aca="false">IF(F112&lt;&gt;0,F112*G$2/(100+G$2)," ")</f>
        <v> </v>
      </c>
      <c r="H112" s="6" t="str">
        <f aca="false">IF((F112&lt;&gt;0),F112-G112," ")</f>
        <v> </v>
      </c>
      <c r="I112" s="5"/>
      <c r="L112" s="7" t="str">
        <f aca="false">IF(F112&lt;&gt;0,F112-K112," ")</f>
        <v> </v>
      </c>
      <c r="M112" s="8" t="str">
        <f aca="false">IF((F112-K112)&lt;&gt;0,M$1-A112," ")</f>
        <v> </v>
      </c>
      <c r="N112" s="5"/>
      <c r="O112" s="17" t="str">
        <f aca="false">IF((E112="s"),H112," ")</f>
        <v> </v>
      </c>
      <c r="P112" s="17" t="str">
        <f aca="false">IF((E112="c"),H112," ")</f>
        <v> </v>
      </c>
      <c r="Q112" s="17" t="str">
        <f aca="false">IF((E112="o"),H112," ")</f>
        <v> </v>
      </c>
      <c r="R112" s="17" t="str">
        <f aca="false">IF((E112="d"),H112," ")</f>
        <v> </v>
      </c>
      <c r="S112" s="17" t="str">
        <f aca="false">IF((E112="w"),H112," ")</f>
        <v> </v>
      </c>
      <c r="T112" s="17" t="str">
        <f aca="false">IF((E112="r"),H112," ")</f>
        <v> </v>
      </c>
      <c r="U112" s="17" t="str">
        <f aca="false">IF((E112="p"),H112," ")</f>
        <v> </v>
      </c>
      <c r="V112" s="17" t="str">
        <f aca="false">IF((E112="t"),H112," ")</f>
        <v> </v>
      </c>
      <c r="W112" s="17" t="str">
        <f aca="false">IF((E112="q"),H112," ")</f>
        <v> </v>
      </c>
      <c r="X112" s="17" t="str">
        <f aca="false">IF((E112="m"),H112," ")</f>
        <v> </v>
      </c>
      <c r="Y112" s="17" t="str">
        <f aca="false">IF((E112="u"),H112," ")</f>
        <v> </v>
      </c>
      <c r="Z112" s="17" t="str">
        <f aca="false">IF((E112="a"),H112," ")</f>
        <v> </v>
      </c>
      <c r="AA112" s="17" t="str">
        <f aca="false">IF((E112="g"),H112," ")</f>
        <v> </v>
      </c>
      <c r="AB112" s="17" t="str">
        <f aca="false">IF((E112="h"),H112," ")</f>
        <v> </v>
      </c>
      <c r="AC112" s="30" t="str">
        <f aca="false">IF((E112="v"),H112," ")</f>
        <v> </v>
      </c>
      <c r="AD112" s="30" t="str">
        <f aca="false">IF((E112="n"),H112," ")</f>
        <v> </v>
      </c>
      <c r="AE112" s="17" t="str">
        <f aca="false">IF((E112="f"),H112," ")</f>
        <v> </v>
      </c>
      <c r="AF112" s="17" t="str">
        <f aca="false">IF((E112="l"),H112," ")</f>
        <v> </v>
      </c>
      <c r="AG112" s="17" t="str">
        <f aca="false">IF((E112="y"),H112," ")</f>
        <v> </v>
      </c>
      <c r="AH112" s="17" t="str">
        <f aca="false">IF((E112="z"),H112," ")</f>
        <v> </v>
      </c>
      <c r="AI112" s="17" t="str">
        <f aca="false">IF((E112="fa"),H112," ")</f>
        <v> </v>
      </c>
      <c r="AJ112" s="17" t="str">
        <f aca="false">IF((E112="e"),H112," ")</f>
        <v> </v>
      </c>
    </row>
    <row r="113" customFormat="false" ht="12" hidden="false" customHeight="false" outlineLevel="0" collapsed="false">
      <c r="A113" s="28"/>
      <c r="E113" s="2" t="str">
        <f aca="false">IF((F113&lt;&gt;0),"Enter Letter"," ")</f>
        <v> </v>
      </c>
      <c r="F113" s="30"/>
      <c r="G113" s="6" t="str">
        <f aca="false">IF(F113&lt;&gt;0,F113*G$2/(100+G$2)," ")</f>
        <v> </v>
      </c>
      <c r="H113" s="6" t="str">
        <f aca="false">IF((F113&lt;&gt;0),F113-G113," ")</f>
        <v> </v>
      </c>
      <c r="I113" s="5"/>
      <c r="L113" s="7" t="str">
        <f aca="false">IF(F113&lt;&gt;0,F113-K113," ")</f>
        <v> </v>
      </c>
      <c r="M113" s="8" t="str">
        <f aca="false">IF((F113-K113)&lt;&gt;0,M$1-A113," ")</f>
        <v> </v>
      </c>
      <c r="N113" s="5"/>
      <c r="O113" s="17" t="str">
        <f aca="false">IF((E113="s"),H113," ")</f>
        <v> </v>
      </c>
      <c r="P113" s="17" t="str">
        <f aca="false">IF((E113="c"),H113," ")</f>
        <v> </v>
      </c>
      <c r="Q113" s="17" t="str">
        <f aca="false">IF((E113="o"),H113," ")</f>
        <v> </v>
      </c>
      <c r="R113" s="17" t="str">
        <f aca="false">IF((E113="d"),H113," ")</f>
        <v> </v>
      </c>
      <c r="S113" s="17" t="str">
        <f aca="false">IF((E113="w"),H113," ")</f>
        <v> </v>
      </c>
      <c r="T113" s="17" t="str">
        <f aca="false">IF((E113="r"),H113," ")</f>
        <v> </v>
      </c>
      <c r="U113" s="17" t="str">
        <f aca="false">IF((E113="p"),H113," ")</f>
        <v> </v>
      </c>
      <c r="V113" s="17" t="str">
        <f aca="false">IF((E113="t"),H113," ")</f>
        <v> </v>
      </c>
      <c r="W113" s="17" t="str">
        <f aca="false">IF((E113="q"),H113," ")</f>
        <v> </v>
      </c>
      <c r="X113" s="17" t="str">
        <f aca="false">IF((E113="m"),H113," ")</f>
        <v> </v>
      </c>
      <c r="Y113" s="17" t="str">
        <f aca="false">IF((E113="u"),H113," ")</f>
        <v> </v>
      </c>
      <c r="Z113" s="17" t="str">
        <f aca="false">IF((E113="a"),H113," ")</f>
        <v> </v>
      </c>
      <c r="AA113" s="17" t="str">
        <f aca="false">IF((E113="g"),H113," ")</f>
        <v> </v>
      </c>
      <c r="AB113" s="17" t="str">
        <f aca="false">IF((E113="h"),H113," ")</f>
        <v> </v>
      </c>
      <c r="AC113" s="30" t="str">
        <f aca="false">IF((E113="v"),H113," ")</f>
        <v> </v>
      </c>
      <c r="AD113" s="30" t="str">
        <f aca="false">IF((E113="n"),H113," ")</f>
        <v> </v>
      </c>
      <c r="AE113" s="17" t="str">
        <f aca="false">IF((E113="f"),H113," ")</f>
        <v> </v>
      </c>
      <c r="AF113" s="17" t="str">
        <f aca="false">IF((E113="l"),H113," ")</f>
        <v> </v>
      </c>
      <c r="AG113" s="17" t="str">
        <f aca="false">IF((E113="y"),H113," ")</f>
        <v> </v>
      </c>
      <c r="AH113" s="17" t="str">
        <f aca="false">IF((E113="z"),H113," ")</f>
        <v> </v>
      </c>
      <c r="AI113" s="17" t="str">
        <f aca="false">IF((E113="fa"),H113," ")</f>
        <v> </v>
      </c>
      <c r="AJ113" s="17" t="str">
        <f aca="false">IF((E113="e"),H113," ")</f>
        <v> </v>
      </c>
    </row>
    <row r="114" customFormat="false" ht="12" hidden="false" customHeight="false" outlineLevel="0" collapsed="false">
      <c r="A114" s="28"/>
      <c r="E114" s="2" t="str">
        <f aca="false">IF((F114&lt;&gt;0),"Enter Letter"," ")</f>
        <v> </v>
      </c>
      <c r="F114" s="30"/>
      <c r="G114" s="6" t="str">
        <f aca="false">IF(F114&lt;&gt;0,F114*G$2/(100+G$2)," ")</f>
        <v> </v>
      </c>
      <c r="H114" s="6" t="str">
        <f aca="false">IF((F114&lt;&gt;0),F114-G114," ")</f>
        <v> </v>
      </c>
      <c r="I114" s="5"/>
      <c r="L114" s="7" t="str">
        <f aca="false">IF(F114&lt;&gt;0,F114-K114," ")</f>
        <v> </v>
      </c>
      <c r="M114" s="8" t="str">
        <f aca="false">IF((F114-K114)&lt;&gt;0,M$1-A114," ")</f>
        <v> </v>
      </c>
      <c r="N114" s="5"/>
      <c r="O114" s="17" t="str">
        <f aca="false">IF((E114="s"),H114," ")</f>
        <v> </v>
      </c>
      <c r="P114" s="17" t="str">
        <f aca="false">IF((E114="c"),H114," ")</f>
        <v> </v>
      </c>
      <c r="Q114" s="17" t="str">
        <f aca="false">IF((E114="o"),H114," ")</f>
        <v> </v>
      </c>
      <c r="R114" s="17" t="str">
        <f aca="false">IF((E114="d"),H114," ")</f>
        <v> </v>
      </c>
      <c r="S114" s="17" t="str">
        <f aca="false">IF((E114="w"),H114," ")</f>
        <v> </v>
      </c>
      <c r="T114" s="17" t="str">
        <f aca="false">IF((E114="r"),H114," ")</f>
        <v> </v>
      </c>
      <c r="U114" s="17" t="str">
        <f aca="false">IF((E114="p"),H114," ")</f>
        <v> </v>
      </c>
      <c r="V114" s="17" t="str">
        <f aca="false">IF((E114="t"),H114," ")</f>
        <v> </v>
      </c>
      <c r="W114" s="17" t="str">
        <f aca="false">IF((E114="q"),H114," ")</f>
        <v> </v>
      </c>
      <c r="X114" s="17" t="str">
        <f aca="false">IF((E114="m"),H114," ")</f>
        <v> </v>
      </c>
      <c r="Y114" s="17" t="str">
        <f aca="false">IF((E114="u"),H114," ")</f>
        <v> </v>
      </c>
      <c r="Z114" s="17" t="str">
        <f aca="false">IF((E114="a"),H114," ")</f>
        <v> </v>
      </c>
      <c r="AA114" s="17" t="str">
        <f aca="false">IF((E114="g"),H114," ")</f>
        <v> </v>
      </c>
      <c r="AB114" s="17" t="str">
        <f aca="false">IF((E114="h"),H114," ")</f>
        <v> </v>
      </c>
      <c r="AC114" s="30" t="str">
        <f aca="false">IF((E114="v"),H114," ")</f>
        <v> </v>
      </c>
      <c r="AD114" s="30" t="str">
        <f aca="false">IF((E114="n"),H114," ")</f>
        <v> </v>
      </c>
      <c r="AE114" s="17" t="str">
        <f aca="false">IF((E114="f"),H114," ")</f>
        <v> </v>
      </c>
      <c r="AF114" s="17" t="str">
        <f aca="false">IF((E114="l"),H114," ")</f>
        <v> </v>
      </c>
      <c r="AG114" s="17" t="str">
        <f aca="false">IF((E114="y"),H114," ")</f>
        <v> </v>
      </c>
      <c r="AH114" s="17" t="str">
        <f aca="false">IF((E114="z"),H114," ")</f>
        <v> </v>
      </c>
      <c r="AI114" s="17" t="str">
        <f aca="false">IF((E114="fa"),H114," ")</f>
        <v> </v>
      </c>
      <c r="AJ114" s="17" t="str">
        <f aca="false">IF((E114="e"),H114," ")</f>
        <v> </v>
      </c>
    </row>
    <row r="115" customFormat="false" ht="12" hidden="false" customHeight="false" outlineLevel="0" collapsed="false">
      <c r="A115" s="28"/>
      <c r="E115" s="2" t="str">
        <f aca="false">IF((F115&lt;&gt;0),"Enter Letter"," ")</f>
        <v> </v>
      </c>
      <c r="F115" s="30"/>
      <c r="G115" s="6" t="str">
        <f aca="false">IF(F115&lt;&gt;0,F115*G$2/(100+G$2)," ")</f>
        <v> </v>
      </c>
      <c r="H115" s="6" t="str">
        <f aca="false">IF((F115&lt;&gt;0),F115-G115," ")</f>
        <v> </v>
      </c>
      <c r="I115" s="5"/>
      <c r="L115" s="7" t="str">
        <f aca="false">IF(F115&lt;&gt;0,F115-K115," ")</f>
        <v> </v>
      </c>
      <c r="M115" s="8" t="str">
        <f aca="false">IF((F115-K115)&lt;&gt;0,M$1-A115," ")</f>
        <v> </v>
      </c>
      <c r="N115" s="5"/>
      <c r="O115" s="17" t="str">
        <f aca="false">IF((E115="s"),H115," ")</f>
        <v> </v>
      </c>
      <c r="P115" s="17" t="str">
        <f aca="false">IF((E115="c"),H115," ")</f>
        <v> </v>
      </c>
      <c r="Q115" s="17" t="str">
        <f aca="false">IF((E115="o"),H115," ")</f>
        <v> </v>
      </c>
      <c r="R115" s="17" t="str">
        <f aca="false">IF((E115="d"),H115," ")</f>
        <v> </v>
      </c>
      <c r="S115" s="17" t="str">
        <f aca="false">IF((E115="w"),H115," ")</f>
        <v> </v>
      </c>
      <c r="T115" s="17" t="str">
        <f aca="false">IF((E115="r"),H115," ")</f>
        <v> </v>
      </c>
      <c r="U115" s="17" t="str">
        <f aca="false">IF((E115="p"),H115," ")</f>
        <v> </v>
      </c>
      <c r="V115" s="17" t="str">
        <f aca="false">IF((E115="t"),H115," ")</f>
        <v> </v>
      </c>
      <c r="W115" s="17" t="str">
        <f aca="false">IF((E115="q"),H115," ")</f>
        <v> </v>
      </c>
      <c r="X115" s="17" t="str">
        <f aca="false">IF((E115="m"),H115," ")</f>
        <v> </v>
      </c>
      <c r="Y115" s="17" t="str">
        <f aca="false">IF((E115="u"),H115," ")</f>
        <v> </v>
      </c>
      <c r="Z115" s="17" t="str">
        <f aca="false">IF((E115="a"),H115," ")</f>
        <v> </v>
      </c>
      <c r="AA115" s="17" t="str">
        <f aca="false">IF((E115="g"),H115," ")</f>
        <v> </v>
      </c>
      <c r="AB115" s="17" t="str">
        <f aca="false">IF((E115="h"),H115," ")</f>
        <v> </v>
      </c>
      <c r="AC115" s="30" t="str">
        <f aca="false">IF((E115="v"),H115," ")</f>
        <v> </v>
      </c>
      <c r="AD115" s="30" t="str">
        <f aca="false">IF((E115="n"),H115," ")</f>
        <v> </v>
      </c>
      <c r="AE115" s="17" t="str">
        <f aca="false">IF((E115="f"),H115," ")</f>
        <v> </v>
      </c>
      <c r="AF115" s="17" t="str">
        <f aca="false">IF((E115="l"),H115," ")</f>
        <v> </v>
      </c>
      <c r="AG115" s="17" t="str">
        <f aca="false">IF((E115="y"),H115," ")</f>
        <v> </v>
      </c>
      <c r="AH115" s="17" t="str">
        <f aca="false">IF((E115="z"),H115," ")</f>
        <v> </v>
      </c>
      <c r="AI115" s="17" t="str">
        <f aca="false">IF((E115="fa"),H115," ")</f>
        <v> </v>
      </c>
      <c r="AJ115" s="17" t="str">
        <f aca="false">IF((E115="e"),H115," ")</f>
        <v> </v>
      </c>
    </row>
    <row r="116" customFormat="false" ht="12" hidden="false" customHeight="false" outlineLevel="0" collapsed="false">
      <c r="A116" s="28"/>
      <c r="E116" s="2" t="str">
        <f aca="false">IF((F116&lt;&gt;0),"Enter Letter"," ")</f>
        <v> </v>
      </c>
      <c r="F116" s="30"/>
      <c r="G116" s="6" t="str">
        <f aca="false">IF(F116&lt;&gt;0,F116*G$2/(100+G$2)," ")</f>
        <v> </v>
      </c>
      <c r="H116" s="6" t="str">
        <f aca="false">IF((F116&lt;&gt;0),F116-G116," ")</f>
        <v> </v>
      </c>
      <c r="I116" s="5"/>
      <c r="L116" s="7" t="str">
        <f aca="false">IF(F116&lt;&gt;0,F116-K116," ")</f>
        <v> </v>
      </c>
      <c r="M116" s="8" t="str">
        <f aca="false">IF((F116-K116)&lt;&gt;0,M$1-A116," ")</f>
        <v> </v>
      </c>
      <c r="N116" s="5"/>
      <c r="O116" s="17" t="str">
        <f aca="false">IF((E116="s"),H116," ")</f>
        <v> </v>
      </c>
      <c r="P116" s="17" t="str">
        <f aca="false">IF((E116="c"),H116," ")</f>
        <v> </v>
      </c>
      <c r="Q116" s="17" t="str">
        <f aca="false">IF((E116="o"),H116," ")</f>
        <v> </v>
      </c>
      <c r="R116" s="17" t="str">
        <f aca="false">IF((E116="d"),H116," ")</f>
        <v> </v>
      </c>
      <c r="S116" s="17" t="str">
        <f aca="false">IF((E116="w"),H116," ")</f>
        <v> </v>
      </c>
      <c r="T116" s="17" t="str">
        <f aca="false">IF((E116="r"),H116," ")</f>
        <v> </v>
      </c>
      <c r="U116" s="17" t="str">
        <f aca="false">IF((E116="p"),H116," ")</f>
        <v> </v>
      </c>
      <c r="V116" s="17" t="str">
        <f aca="false">IF((E116="t"),H116," ")</f>
        <v> </v>
      </c>
      <c r="W116" s="17" t="str">
        <f aca="false">IF((E116="q"),H116," ")</f>
        <v> </v>
      </c>
      <c r="X116" s="17" t="str">
        <f aca="false">IF((E116="m"),H116," ")</f>
        <v> </v>
      </c>
      <c r="Y116" s="17" t="str">
        <f aca="false">IF((E116="u"),H116," ")</f>
        <v> </v>
      </c>
      <c r="Z116" s="17" t="str">
        <f aca="false">IF((E116="a"),H116," ")</f>
        <v> </v>
      </c>
      <c r="AA116" s="17" t="str">
        <f aca="false">IF((E116="g"),H116," ")</f>
        <v> </v>
      </c>
      <c r="AB116" s="17" t="str">
        <f aca="false">IF((E116="h"),H116," ")</f>
        <v> </v>
      </c>
      <c r="AC116" s="30" t="str">
        <f aca="false">IF((E116="v"),H116," ")</f>
        <v> </v>
      </c>
      <c r="AD116" s="30" t="str">
        <f aca="false">IF((E116="n"),H116," ")</f>
        <v> </v>
      </c>
      <c r="AE116" s="17" t="str">
        <f aca="false">IF((E116="f"),H116," ")</f>
        <v> </v>
      </c>
      <c r="AF116" s="17" t="str">
        <f aca="false">IF((E116="l"),H116," ")</f>
        <v> </v>
      </c>
      <c r="AG116" s="17" t="str">
        <f aca="false">IF((E116="y"),H116," ")</f>
        <v> </v>
      </c>
      <c r="AH116" s="17" t="str">
        <f aca="false">IF((E116="z"),H116," ")</f>
        <v> </v>
      </c>
      <c r="AI116" s="17" t="str">
        <f aca="false">IF((E116="fa"),H116," ")</f>
        <v> </v>
      </c>
      <c r="AJ116" s="17" t="str">
        <f aca="false">IF((E116="e"),H116," ")</f>
        <v> </v>
      </c>
    </row>
    <row r="117" customFormat="false" ht="12" hidden="false" customHeight="false" outlineLevel="0" collapsed="false">
      <c r="A117" s="28"/>
      <c r="E117" s="2" t="str">
        <f aca="false">IF((F117&lt;&gt;0),"Enter Letter"," ")</f>
        <v> </v>
      </c>
      <c r="F117" s="30"/>
      <c r="G117" s="6" t="str">
        <f aca="false">IF(F117&lt;&gt;0,F117*G$2/(100+G$2)," ")</f>
        <v> </v>
      </c>
      <c r="H117" s="6" t="str">
        <f aca="false">IF((F117&lt;&gt;0),F117-G117," ")</f>
        <v> </v>
      </c>
      <c r="I117" s="5"/>
      <c r="L117" s="7" t="str">
        <f aca="false">IF(F117&lt;&gt;0,F117-K117," ")</f>
        <v> </v>
      </c>
      <c r="M117" s="8" t="str">
        <f aca="false">IF((F117-K117)&lt;&gt;0,M$1-A117," ")</f>
        <v> </v>
      </c>
      <c r="N117" s="5"/>
      <c r="O117" s="17" t="str">
        <f aca="false">IF((E117="s"),H117," ")</f>
        <v> </v>
      </c>
      <c r="P117" s="17" t="str">
        <f aca="false">IF((E117="c"),H117," ")</f>
        <v> </v>
      </c>
      <c r="Q117" s="17" t="str">
        <f aca="false">IF((E117="o"),H117," ")</f>
        <v> </v>
      </c>
      <c r="R117" s="17" t="str">
        <f aca="false">IF((E117="d"),H117," ")</f>
        <v> </v>
      </c>
      <c r="S117" s="17" t="str">
        <f aca="false">IF((E117="w"),H117," ")</f>
        <v> </v>
      </c>
      <c r="T117" s="17" t="str">
        <f aca="false">IF((E117="r"),H117," ")</f>
        <v> </v>
      </c>
      <c r="U117" s="17" t="str">
        <f aca="false">IF((E117="p"),H117," ")</f>
        <v> </v>
      </c>
      <c r="V117" s="17" t="str">
        <f aca="false">IF((E117="t"),H117," ")</f>
        <v> </v>
      </c>
      <c r="W117" s="17" t="str">
        <f aca="false">IF((E117="q"),H117," ")</f>
        <v> </v>
      </c>
      <c r="X117" s="17" t="str">
        <f aca="false">IF((E117="m"),H117," ")</f>
        <v> </v>
      </c>
      <c r="Y117" s="17" t="str">
        <f aca="false">IF((E117="u"),H117," ")</f>
        <v> </v>
      </c>
      <c r="Z117" s="17" t="str">
        <f aca="false">IF((E117="a"),H117," ")</f>
        <v> </v>
      </c>
      <c r="AA117" s="17" t="str">
        <f aca="false">IF((E117="g"),H117," ")</f>
        <v> </v>
      </c>
      <c r="AB117" s="17" t="str">
        <f aca="false">IF((E117="h"),H117," ")</f>
        <v> </v>
      </c>
      <c r="AC117" s="30" t="str">
        <f aca="false">IF((E117="v"),H117," ")</f>
        <v> </v>
      </c>
      <c r="AD117" s="30" t="str">
        <f aca="false">IF((E117="n"),H117," ")</f>
        <v> </v>
      </c>
      <c r="AE117" s="17" t="str">
        <f aca="false">IF((E117="f"),H117," ")</f>
        <v> </v>
      </c>
      <c r="AF117" s="17" t="str">
        <f aca="false">IF((E117="l"),H117," ")</f>
        <v> </v>
      </c>
      <c r="AG117" s="17" t="str">
        <f aca="false">IF((E117="y"),H117," ")</f>
        <v> </v>
      </c>
      <c r="AH117" s="17" t="str">
        <f aca="false">IF((E117="z"),H117," ")</f>
        <v> </v>
      </c>
      <c r="AI117" s="17" t="str">
        <f aca="false">IF((E117="fa"),H117," ")</f>
        <v> </v>
      </c>
      <c r="AJ117" s="17" t="str">
        <f aca="false">IF((E117="e"),H117," ")</f>
        <v> </v>
      </c>
    </row>
    <row r="118" customFormat="false" ht="12" hidden="false" customHeight="false" outlineLevel="0" collapsed="false">
      <c r="A118" s="28"/>
      <c r="E118" s="2" t="str">
        <f aca="false">IF((F118&lt;&gt;0),"Enter Letter"," ")</f>
        <v> </v>
      </c>
      <c r="F118" s="30"/>
      <c r="G118" s="6" t="str">
        <f aca="false">IF(F118&lt;&gt;0,F118*G$2/(100+G$2)," ")</f>
        <v> </v>
      </c>
      <c r="H118" s="6" t="str">
        <f aca="false">IF((F118&lt;&gt;0),F118-G118," ")</f>
        <v> </v>
      </c>
      <c r="I118" s="5"/>
      <c r="L118" s="7" t="str">
        <f aca="false">IF(F118&lt;&gt;0,F118-K118," ")</f>
        <v> </v>
      </c>
      <c r="M118" s="8" t="str">
        <f aca="false">IF((F118-K118)&lt;&gt;0,M$1-A118," ")</f>
        <v> </v>
      </c>
      <c r="N118" s="5"/>
      <c r="O118" s="17" t="str">
        <f aca="false">IF((E118="s"),H118," ")</f>
        <v> </v>
      </c>
      <c r="P118" s="17" t="str">
        <f aca="false">IF((E118="c"),H118," ")</f>
        <v> </v>
      </c>
      <c r="Q118" s="17" t="str">
        <f aca="false">IF((E118="o"),H118," ")</f>
        <v> </v>
      </c>
      <c r="R118" s="17" t="str">
        <f aca="false">IF((E118="d"),H118," ")</f>
        <v> </v>
      </c>
      <c r="S118" s="17" t="str">
        <f aca="false">IF((E118="w"),H118," ")</f>
        <v> </v>
      </c>
      <c r="T118" s="17" t="str">
        <f aca="false">IF((E118="r"),H118," ")</f>
        <v> </v>
      </c>
      <c r="U118" s="17" t="str">
        <f aca="false">IF((E118="p"),H118," ")</f>
        <v> </v>
      </c>
      <c r="V118" s="17" t="str">
        <f aca="false">IF((E118="t"),H118," ")</f>
        <v> </v>
      </c>
      <c r="W118" s="17" t="str">
        <f aca="false">IF((E118="q"),H118," ")</f>
        <v> </v>
      </c>
      <c r="X118" s="17" t="str">
        <f aca="false">IF((E118="m"),H118," ")</f>
        <v> </v>
      </c>
      <c r="Y118" s="17" t="str">
        <f aca="false">IF((E118="u"),H118," ")</f>
        <v> </v>
      </c>
      <c r="Z118" s="17" t="str">
        <f aca="false">IF((E118="a"),H118," ")</f>
        <v> </v>
      </c>
      <c r="AA118" s="17" t="str">
        <f aca="false">IF((E118="g"),H118," ")</f>
        <v> </v>
      </c>
      <c r="AB118" s="17" t="str">
        <f aca="false">IF((E118="h"),H118," ")</f>
        <v> </v>
      </c>
      <c r="AC118" s="30" t="str">
        <f aca="false">IF((E118="v"),H118," ")</f>
        <v> </v>
      </c>
      <c r="AD118" s="30" t="str">
        <f aca="false">IF((E118="n"),H118," ")</f>
        <v> </v>
      </c>
      <c r="AE118" s="17" t="str">
        <f aca="false">IF((E118="f"),H118," ")</f>
        <v> </v>
      </c>
      <c r="AF118" s="17" t="str">
        <f aca="false">IF((E118="l"),H118," ")</f>
        <v> </v>
      </c>
      <c r="AG118" s="17" t="str">
        <f aca="false">IF((E118="y"),H118," ")</f>
        <v> </v>
      </c>
      <c r="AH118" s="17" t="str">
        <f aca="false">IF((E118="z"),H118," ")</f>
        <v> </v>
      </c>
      <c r="AI118" s="17" t="str">
        <f aca="false">IF((E118="fa"),H118," ")</f>
        <v> </v>
      </c>
      <c r="AJ118" s="17" t="str">
        <f aca="false">IF((E118="e"),H118," ")</f>
        <v> </v>
      </c>
    </row>
    <row r="119" customFormat="false" ht="12" hidden="false" customHeight="false" outlineLevel="0" collapsed="false">
      <c r="A119" s="28"/>
      <c r="E119" s="2" t="str">
        <f aca="false">IF((F119&lt;&gt;0),"Enter Letter"," ")</f>
        <v> </v>
      </c>
      <c r="F119" s="30"/>
      <c r="G119" s="6" t="str">
        <f aca="false">IF(F119&lt;&gt;0,F119*G$2/(100+G$2)," ")</f>
        <v> </v>
      </c>
      <c r="H119" s="6" t="str">
        <f aca="false">IF((F119&lt;&gt;0),F119-G119," ")</f>
        <v> </v>
      </c>
      <c r="I119" s="5"/>
      <c r="L119" s="7" t="str">
        <f aca="false">IF(F119&lt;&gt;0,F119-K119," ")</f>
        <v> </v>
      </c>
      <c r="M119" s="8" t="str">
        <f aca="false">IF((F119-K119)&lt;&gt;0,M$1-A119," ")</f>
        <v> </v>
      </c>
      <c r="N119" s="5"/>
      <c r="O119" s="17" t="str">
        <f aca="false">IF((E119="s"),H119," ")</f>
        <v> </v>
      </c>
      <c r="P119" s="17" t="str">
        <f aca="false">IF((E119="c"),H119," ")</f>
        <v> </v>
      </c>
      <c r="Q119" s="17" t="str">
        <f aca="false">IF((E119="o"),H119," ")</f>
        <v> </v>
      </c>
      <c r="R119" s="17" t="str">
        <f aca="false">IF((E119="d"),H119," ")</f>
        <v> </v>
      </c>
      <c r="S119" s="17" t="str">
        <f aca="false">IF((E119="w"),H119," ")</f>
        <v> </v>
      </c>
      <c r="T119" s="17" t="str">
        <f aca="false">IF((E119="r"),H119," ")</f>
        <v> </v>
      </c>
      <c r="U119" s="17" t="str">
        <f aca="false">IF((E119="p"),H119," ")</f>
        <v> </v>
      </c>
      <c r="V119" s="17" t="str">
        <f aca="false">IF((E119="t"),H119," ")</f>
        <v> </v>
      </c>
      <c r="W119" s="17" t="str">
        <f aca="false">IF((E119="q"),H119," ")</f>
        <v> </v>
      </c>
      <c r="X119" s="17" t="str">
        <f aca="false">IF((E119="m"),H119," ")</f>
        <v> </v>
      </c>
      <c r="Y119" s="17" t="str">
        <f aca="false">IF((E119="u"),H119," ")</f>
        <v> </v>
      </c>
      <c r="Z119" s="17" t="str">
        <f aca="false">IF((E119="a"),H119," ")</f>
        <v> </v>
      </c>
      <c r="AA119" s="17" t="str">
        <f aca="false">IF((E119="g"),H119," ")</f>
        <v> </v>
      </c>
      <c r="AB119" s="17" t="str">
        <f aca="false">IF((E119="h"),H119," ")</f>
        <v> </v>
      </c>
      <c r="AC119" s="30" t="str">
        <f aca="false">IF((E119="v"),H119," ")</f>
        <v> </v>
      </c>
      <c r="AD119" s="30" t="str">
        <f aca="false">IF((E119="n"),H119," ")</f>
        <v> </v>
      </c>
      <c r="AE119" s="17" t="str">
        <f aca="false">IF((E119="f"),H119," ")</f>
        <v> </v>
      </c>
      <c r="AF119" s="17" t="str">
        <f aca="false">IF((E119="l"),H119," ")</f>
        <v> </v>
      </c>
      <c r="AG119" s="17" t="str">
        <f aca="false">IF((E119="y"),H119," ")</f>
        <v> </v>
      </c>
      <c r="AH119" s="17" t="str">
        <f aca="false">IF((E119="z"),H119," ")</f>
        <v> </v>
      </c>
      <c r="AI119" s="17" t="str">
        <f aca="false">IF((E119="fa"),H119," ")</f>
        <v> </v>
      </c>
      <c r="AJ119" s="17" t="str">
        <f aca="false">IF((E119="e"),H119," ")</f>
        <v> </v>
      </c>
    </row>
    <row r="120" customFormat="false" ht="12" hidden="false" customHeight="false" outlineLevel="0" collapsed="false">
      <c r="A120" s="28"/>
      <c r="E120" s="2" t="str">
        <f aca="false">IF((F120&lt;&gt;0),"Enter Letter"," ")</f>
        <v> </v>
      </c>
      <c r="F120" s="30"/>
      <c r="G120" s="6" t="str">
        <f aca="false">IF(F120&lt;&gt;0,F120*G$2/(100+G$2)," ")</f>
        <v> </v>
      </c>
      <c r="H120" s="6" t="str">
        <f aca="false">IF((F120&lt;&gt;0),F120-G120," ")</f>
        <v> </v>
      </c>
      <c r="I120" s="5"/>
      <c r="L120" s="7" t="str">
        <f aca="false">IF(F120&lt;&gt;0,F120-K120," ")</f>
        <v> </v>
      </c>
      <c r="M120" s="8" t="str">
        <f aca="false">IF((F120-K120)&lt;&gt;0,M$1-A120," ")</f>
        <v> </v>
      </c>
      <c r="N120" s="5"/>
      <c r="O120" s="17" t="str">
        <f aca="false">IF((E120="s"),H120," ")</f>
        <v> </v>
      </c>
      <c r="P120" s="17" t="str">
        <f aca="false">IF((E120="c"),H120," ")</f>
        <v> </v>
      </c>
      <c r="Q120" s="17" t="str">
        <f aca="false">IF((E120="o"),H120," ")</f>
        <v> </v>
      </c>
      <c r="R120" s="17" t="str">
        <f aca="false">IF((E120="d"),H120," ")</f>
        <v> </v>
      </c>
      <c r="S120" s="17" t="str">
        <f aca="false">IF((E120="w"),H120," ")</f>
        <v> </v>
      </c>
      <c r="T120" s="17" t="str">
        <f aca="false">IF((E120="r"),H120," ")</f>
        <v> </v>
      </c>
      <c r="U120" s="17" t="str">
        <f aca="false">IF((E120="p"),H120," ")</f>
        <v> </v>
      </c>
      <c r="V120" s="17" t="str">
        <f aca="false">IF((E120="t"),H120," ")</f>
        <v> </v>
      </c>
      <c r="W120" s="17" t="str">
        <f aca="false">IF((E120="q"),H120," ")</f>
        <v> </v>
      </c>
      <c r="X120" s="17" t="str">
        <f aca="false">IF((E120="m"),H120," ")</f>
        <v> </v>
      </c>
      <c r="Y120" s="17" t="str">
        <f aca="false">IF((E120="u"),H120," ")</f>
        <v> </v>
      </c>
      <c r="Z120" s="17" t="str">
        <f aca="false">IF((E120="a"),H120," ")</f>
        <v> </v>
      </c>
      <c r="AA120" s="17" t="str">
        <f aca="false">IF((E120="g"),H120," ")</f>
        <v> </v>
      </c>
      <c r="AB120" s="17" t="str">
        <f aca="false">IF((E120="h"),H120," ")</f>
        <v> </v>
      </c>
      <c r="AC120" s="30" t="str">
        <f aca="false">IF((E120="v"),H120," ")</f>
        <v> </v>
      </c>
      <c r="AD120" s="30" t="str">
        <f aca="false">IF((E120="n"),H120," ")</f>
        <v> </v>
      </c>
      <c r="AE120" s="17" t="str">
        <f aca="false">IF((E120="f"),H120," ")</f>
        <v> </v>
      </c>
      <c r="AF120" s="17" t="str">
        <f aca="false">IF((E120="l"),H120," ")</f>
        <v> </v>
      </c>
      <c r="AG120" s="17" t="str">
        <f aca="false">IF((E120="y"),H120," ")</f>
        <v> </v>
      </c>
      <c r="AH120" s="17" t="str">
        <f aca="false">IF((E120="z"),H120," ")</f>
        <v> </v>
      </c>
      <c r="AI120" s="17" t="str">
        <f aca="false">IF((E120="fa"),H120," ")</f>
        <v> </v>
      </c>
      <c r="AJ120" s="17" t="str">
        <f aca="false">IF((E120="e"),H120," ")</f>
        <v> </v>
      </c>
    </row>
    <row r="121" customFormat="false" ht="12" hidden="false" customHeight="false" outlineLevel="0" collapsed="false">
      <c r="A121" s="28"/>
      <c r="E121" s="2" t="str">
        <f aca="false">IF((F121&lt;&gt;0),"Enter Letter"," ")</f>
        <v> </v>
      </c>
      <c r="F121" s="30"/>
      <c r="G121" s="6" t="str">
        <f aca="false">IF(F121&lt;&gt;0,F121*G$2/(100+G$2)," ")</f>
        <v> </v>
      </c>
      <c r="H121" s="6" t="str">
        <f aca="false">IF((F121&lt;&gt;0),F121-G121," ")</f>
        <v> </v>
      </c>
      <c r="I121" s="5"/>
      <c r="L121" s="7" t="str">
        <f aca="false">IF(F121&lt;&gt;0,F121-K121," ")</f>
        <v> </v>
      </c>
      <c r="M121" s="8" t="str">
        <f aca="false">IF((F121-K121)&lt;&gt;0,M$1-A121," ")</f>
        <v> </v>
      </c>
      <c r="N121" s="5"/>
      <c r="O121" s="17" t="str">
        <f aca="false">IF((E121="s"),H121," ")</f>
        <v> </v>
      </c>
      <c r="P121" s="17" t="str">
        <f aca="false">IF((E121="c"),H121," ")</f>
        <v> </v>
      </c>
      <c r="Q121" s="17" t="str">
        <f aca="false">IF((E121="o"),H121," ")</f>
        <v> </v>
      </c>
      <c r="R121" s="17" t="str">
        <f aca="false">IF((E121="d"),H121," ")</f>
        <v> </v>
      </c>
      <c r="S121" s="17" t="str">
        <f aca="false">IF((E121="w"),H121," ")</f>
        <v> </v>
      </c>
      <c r="T121" s="17" t="str">
        <f aca="false">IF((E121="r"),H121," ")</f>
        <v> </v>
      </c>
      <c r="U121" s="17" t="str">
        <f aca="false">IF((E121="p"),H121," ")</f>
        <v> </v>
      </c>
      <c r="V121" s="17" t="str">
        <f aca="false">IF((E121="t"),H121," ")</f>
        <v> </v>
      </c>
      <c r="W121" s="17" t="str">
        <f aca="false">IF((E121="q"),H121," ")</f>
        <v> </v>
      </c>
      <c r="X121" s="17" t="str">
        <f aca="false">IF((E121="m"),H121," ")</f>
        <v> </v>
      </c>
      <c r="Y121" s="17" t="str">
        <f aca="false">IF((E121="u"),H121," ")</f>
        <v> </v>
      </c>
      <c r="Z121" s="17" t="str">
        <f aca="false">IF((E121="a"),H121," ")</f>
        <v> </v>
      </c>
      <c r="AA121" s="17" t="str">
        <f aca="false">IF((E121="g"),H121," ")</f>
        <v> </v>
      </c>
      <c r="AB121" s="17" t="str">
        <f aca="false">IF((E121="h"),H121," ")</f>
        <v> </v>
      </c>
      <c r="AC121" s="30" t="str">
        <f aca="false">IF((E121="v"),H121," ")</f>
        <v> </v>
      </c>
      <c r="AD121" s="30" t="str">
        <f aca="false">IF((E121="n"),H121," ")</f>
        <v> </v>
      </c>
      <c r="AE121" s="17" t="str">
        <f aca="false">IF((E121="f"),H121," ")</f>
        <v> </v>
      </c>
      <c r="AF121" s="17" t="str">
        <f aca="false">IF((E121="l"),H121," ")</f>
        <v> </v>
      </c>
      <c r="AG121" s="17" t="str">
        <f aca="false">IF((E121="y"),H121," ")</f>
        <v> </v>
      </c>
      <c r="AH121" s="17" t="str">
        <f aca="false">IF((E121="z"),H121," ")</f>
        <v> </v>
      </c>
      <c r="AI121" s="17" t="str">
        <f aca="false">IF((E121="fa"),H121," ")</f>
        <v> </v>
      </c>
      <c r="AJ121" s="17" t="str">
        <f aca="false">IF((E121="e"),H121," ")</f>
        <v> </v>
      </c>
    </row>
    <row r="122" customFormat="false" ht="12" hidden="false" customHeight="false" outlineLevel="0" collapsed="false">
      <c r="A122" s="28"/>
      <c r="E122" s="2" t="str">
        <f aca="false">IF((F122&lt;&gt;0),"Enter Letter"," ")</f>
        <v> </v>
      </c>
      <c r="F122" s="30"/>
      <c r="G122" s="6" t="str">
        <f aca="false">IF(F122&lt;&gt;0,F122*G$2/(100+G$2)," ")</f>
        <v> </v>
      </c>
      <c r="H122" s="6" t="str">
        <f aca="false">IF((F122&lt;&gt;0),F122-G122," ")</f>
        <v> </v>
      </c>
      <c r="I122" s="5"/>
      <c r="L122" s="7" t="str">
        <f aca="false">IF(F122&lt;&gt;0,F122-K122," ")</f>
        <v> </v>
      </c>
      <c r="M122" s="8" t="str">
        <f aca="false">IF((F122-K122)&lt;&gt;0,M$1-A122," ")</f>
        <v> </v>
      </c>
      <c r="N122" s="5"/>
      <c r="O122" s="17" t="str">
        <f aca="false">IF((E122="s"),H122," ")</f>
        <v> </v>
      </c>
      <c r="P122" s="17" t="str">
        <f aca="false">IF((E122="c"),H122," ")</f>
        <v> </v>
      </c>
      <c r="Q122" s="17" t="str">
        <f aca="false">IF((E122="o"),H122," ")</f>
        <v> </v>
      </c>
      <c r="R122" s="17" t="str">
        <f aca="false">IF((E122="d"),H122," ")</f>
        <v> </v>
      </c>
      <c r="S122" s="17" t="str">
        <f aca="false">IF((E122="w"),H122," ")</f>
        <v> </v>
      </c>
      <c r="T122" s="17" t="str">
        <f aca="false">IF((E122="r"),H122," ")</f>
        <v> </v>
      </c>
      <c r="U122" s="17" t="str">
        <f aca="false">IF((E122="p"),H122," ")</f>
        <v> </v>
      </c>
      <c r="V122" s="17" t="str">
        <f aca="false">IF((E122="t"),H122," ")</f>
        <v> </v>
      </c>
      <c r="W122" s="17" t="str">
        <f aca="false">IF((E122="q"),H122," ")</f>
        <v> </v>
      </c>
      <c r="X122" s="17" t="str">
        <f aca="false">IF((E122="m"),H122," ")</f>
        <v> </v>
      </c>
      <c r="Y122" s="17" t="str">
        <f aca="false">IF((E122="u"),H122," ")</f>
        <v> </v>
      </c>
      <c r="Z122" s="17" t="str">
        <f aca="false">IF((E122="a"),H122," ")</f>
        <v> </v>
      </c>
      <c r="AA122" s="17" t="str">
        <f aca="false">IF((E122="g"),H122," ")</f>
        <v> </v>
      </c>
      <c r="AB122" s="17" t="str">
        <f aca="false">IF((E122="h"),H122," ")</f>
        <v> </v>
      </c>
      <c r="AC122" s="30" t="str">
        <f aca="false">IF((E122="v"),H122," ")</f>
        <v> </v>
      </c>
      <c r="AD122" s="30" t="str">
        <f aca="false">IF((E122="n"),H122," ")</f>
        <v> </v>
      </c>
      <c r="AE122" s="17" t="str">
        <f aca="false">IF((E122="f"),H122," ")</f>
        <v> </v>
      </c>
      <c r="AF122" s="17" t="str">
        <f aca="false">IF((E122="l"),H122," ")</f>
        <v> </v>
      </c>
      <c r="AG122" s="17" t="str">
        <f aca="false">IF((E122="y"),H122," ")</f>
        <v> </v>
      </c>
      <c r="AH122" s="17" t="str">
        <f aca="false">IF((E122="z"),H122," ")</f>
        <v> </v>
      </c>
      <c r="AI122" s="17" t="str">
        <f aca="false">IF((E122="fa"),H122," ")</f>
        <v> </v>
      </c>
      <c r="AJ122" s="17" t="str">
        <f aca="false">IF((E122="e"),H122," ")</f>
        <v> </v>
      </c>
    </row>
    <row r="123" customFormat="false" ht="12" hidden="false" customHeight="false" outlineLevel="0" collapsed="false">
      <c r="A123" s="28"/>
      <c r="E123" s="2" t="str">
        <f aca="false">IF((F123&lt;&gt;0),"Enter Letter"," ")</f>
        <v> </v>
      </c>
      <c r="F123" s="30"/>
      <c r="G123" s="6" t="str">
        <f aca="false">IF(F123&lt;&gt;0,F123*G$2/(100+G$2)," ")</f>
        <v> </v>
      </c>
      <c r="H123" s="6" t="str">
        <f aca="false">IF((F123&lt;&gt;0),F123-G123," ")</f>
        <v> </v>
      </c>
      <c r="I123" s="5"/>
      <c r="L123" s="7" t="str">
        <f aca="false">IF(F123&lt;&gt;0,F123-K123," ")</f>
        <v> </v>
      </c>
      <c r="M123" s="8" t="str">
        <f aca="false">IF((F123-K123)&lt;&gt;0,M$1-A123," ")</f>
        <v> </v>
      </c>
      <c r="N123" s="5"/>
      <c r="O123" s="17" t="str">
        <f aca="false">IF((E123="s"),H123," ")</f>
        <v> </v>
      </c>
      <c r="P123" s="17" t="str">
        <f aca="false">IF((E123="c"),H123," ")</f>
        <v> </v>
      </c>
      <c r="Q123" s="17" t="str">
        <f aca="false">IF((E123="o"),H123," ")</f>
        <v> </v>
      </c>
      <c r="R123" s="17" t="str">
        <f aca="false">IF((E123="d"),H123," ")</f>
        <v> </v>
      </c>
      <c r="S123" s="17" t="str">
        <f aca="false">IF((E123="w"),H123," ")</f>
        <v> </v>
      </c>
      <c r="T123" s="17" t="str">
        <f aca="false">IF((E123="r"),H123," ")</f>
        <v> </v>
      </c>
      <c r="U123" s="17" t="str">
        <f aca="false">IF((E123="p"),H123," ")</f>
        <v> </v>
      </c>
      <c r="V123" s="17" t="str">
        <f aca="false">IF((E123="t"),H123," ")</f>
        <v> </v>
      </c>
      <c r="W123" s="17" t="str">
        <f aca="false">IF((E123="q"),H123," ")</f>
        <v> </v>
      </c>
      <c r="X123" s="17" t="str">
        <f aca="false">IF((E123="m"),H123," ")</f>
        <v> </v>
      </c>
      <c r="Y123" s="17" t="str">
        <f aca="false">IF((E123="u"),H123," ")</f>
        <v> </v>
      </c>
      <c r="Z123" s="17" t="str">
        <f aca="false">IF((E123="a"),H123," ")</f>
        <v> </v>
      </c>
      <c r="AA123" s="17" t="str">
        <f aca="false">IF((E123="g"),H123," ")</f>
        <v> </v>
      </c>
      <c r="AB123" s="17" t="str">
        <f aca="false">IF((E123="h"),H123," ")</f>
        <v> </v>
      </c>
      <c r="AC123" s="30" t="str">
        <f aca="false">IF((E123="v"),H123," ")</f>
        <v> </v>
      </c>
      <c r="AD123" s="30" t="str">
        <f aca="false">IF((E123="n"),H123," ")</f>
        <v> </v>
      </c>
      <c r="AE123" s="17" t="str">
        <f aca="false">IF((E123="f"),H123," ")</f>
        <v> </v>
      </c>
      <c r="AF123" s="17" t="str">
        <f aca="false">IF((E123="l"),H123," ")</f>
        <v> </v>
      </c>
      <c r="AG123" s="17" t="str">
        <f aca="false">IF((E123="y"),H123," ")</f>
        <v> </v>
      </c>
      <c r="AH123" s="17" t="str">
        <f aca="false">IF((E123="z"),H123," ")</f>
        <v> </v>
      </c>
      <c r="AI123" s="17" t="str">
        <f aca="false">IF((E123="fa"),H123," ")</f>
        <v> </v>
      </c>
      <c r="AJ123" s="17" t="str">
        <f aca="false">IF((E123="e"),H123," ")</f>
        <v> </v>
      </c>
    </row>
    <row r="124" customFormat="false" ht="12" hidden="false" customHeight="false" outlineLevel="0" collapsed="false">
      <c r="A124" s="28"/>
      <c r="E124" s="2" t="str">
        <f aca="false">IF((F124&lt;&gt;0),"Enter Letter"," ")</f>
        <v> </v>
      </c>
      <c r="F124" s="30"/>
      <c r="G124" s="6" t="str">
        <f aca="false">IF(F124&lt;&gt;0,F124*G$2/(100+G$2)," ")</f>
        <v> </v>
      </c>
      <c r="H124" s="6" t="str">
        <f aca="false">IF((F124&lt;&gt;0),F124-G124," ")</f>
        <v> </v>
      </c>
      <c r="I124" s="5"/>
      <c r="L124" s="7" t="str">
        <f aca="false">IF(F124&lt;&gt;0,F124-K124," ")</f>
        <v> </v>
      </c>
      <c r="M124" s="8" t="str">
        <f aca="false">IF((F124-K124)&lt;&gt;0,M$1-A124," ")</f>
        <v> </v>
      </c>
      <c r="N124" s="5"/>
      <c r="O124" s="17" t="str">
        <f aca="false">IF((E124="s"),H124," ")</f>
        <v> </v>
      </c>
      <c r="P124" s="17" t="str">
        <f aca="false">IF((E124="c"),H124," ")</f>
        <v> </v>
      </c>
      <c r="Q124" s="17" t="str">
        <f aca="false">IF((E124="o"),H124," ")</f>
        <v> </v>
      </c>
      <c r="R124" s="17" t="str">
        <f aca="false">IF((E124="d"),H124," ")</f>
        <v> </v>
      </c>
      <c r="S124" s="17" t="str">
        <f aca="false">IF((E124="w"),H124," ")</f>
        <v> </v>
      </c>
      <c r="T124" s="17" t="str">
        <f aca="false">IF((E124="r"),H124," ")</f>
        <v> </v>
      </c>
      <c r="U124" s="17" t="str">
        <f aca="false">IF((E124="p"),H124," ")</f>
        <v> </v>
      </c>
      <c r="V124" s="17" t="str">
        <f aca="false">IF((E124="t"),H124," ")</f>
        <v> </v>
      </c>
      <c r="W124" s="17" t="str">
        <f aca="false">IF((E124="q"),H124," ")</f>
        <v> </v>
      </c>
      <c r="X124" s="17" t="str">
        <f aca="false">IF((E124="m"),H124," ")</f>
        <v> </v>
      </c>
      <c r="Y124" s="17" t="str">
        <f aca="false">IF((E124="u"),H124," ")</f>
        <v> </v>
      </c>
      <c r="Z124" s="17" t="str">
        <f aca="false">IF((E124="a"),H124," ")</f>
        <v> </v>
      </c>
      <c r="AA124" s="17" t="str">
        <f aca="false">IF((E124="g"),H124," ")</f>
        <v> </v>
      </c>
      <c r="AB124" s="17" t="str">
        <f aca="false">IF((E124="h"),H124," ")</f>
        <v> </v>
      </c>
      <c r="AC124" s="30" t="str">
        <f aca="false">IF((E124="v"),H124," ")</f>
        <v> </v>
      </c>
      <c r="AD124" s="30" t="str">
        <f aca="false">IF((E124="n"),H124," ")</f>
        <v> </v>
      </c>
      <c r="AE124" s="17" t="str">
        <f aca="false">IF((E124="f"),H124," ")</f>
        <v> </v>
      </c>
      <c r="AF124" s="17" t="str">
        <f aca="false">IF((E124="l"),H124," ")</f>
        <v> </v>
      </c>
      <c r="AG124" s="17" t="str">
        <f aca="false">IF((E124="y"),H124," ")</f>
        <v> </v>
      </c>
      <c r="AH124" s="17" t="str">
        <f aca="false">IF((E124="z"),H124," ")</f>
        <v> </v>
      </c>
      <c r="AI124" s="17" t="str">
        <f aca="false">IF((E124="fa"),H124," ")</f>
        <v> </v>
      </c>
      <c r="AJ124" s="17" t="str">
        <f aca="false">IF((E124="e"),H124," ")</f>
        <v> </v>
      </c>
    </row>
    <row r="125" customFormat="false" ht="12" hidden="false" customHeight="false" outlineLevel="0" collapsed="false">
      <c r="A125" s="28"/>
      <c r="E125" s="2" t="str">
        <f aca="false">IF((F125&lt;&gt;0),"Enter Letter"," ")</f>
        <v> </v>
      </c>
      <c r="F125" s="30"/>
      <c r="G125" s="6" t="str">
        <f aca="false">IF(F125&lt;&gt;0,F125*G$2/(100+G$2)," ")</f>
        <v> </v>
      </c>
      <c r="H125" s="6" t="str">
        <f aca="false">IF((F125&lt;&gt;0),F125-G125," ")</f>
        <v> </v>
      </c>
      <c r="I125" s="5"/>
      <c r="L125" s="7" t="str">
        <f aca="false">IF(F125&lt;&gt;0,F125-K125," ")</f>
        <v> </v>
      </c>
      <c r="M125" s="8" t="str">
        <f aca="false">IF((F125-K125)&lt;&gt;0,M$1-A125," ")</f>
        <v> </v>
      </c>
      <c r="N125" s="5"/>
      <c r="O125" s="17" t="str">
        <f aca="false">IF((E125="s"),H125," ")</f>
        <v> </v>
      </c>
      <c r="P125" s="17" t="str">
        <f aca="false">IF((E125="c"),H125," ")</f>
        <v> </v>
      </c>
      <c r="Q125" s="17" t="str">
        <f aca="false">IF((E125="o"),H125," ")</f>
        <v> </v>
      </c>
      <c r="R125" s="17" t="str">
        <f aca="false">IF((E125="d"),H125," ")</f>
        <v> </v>
      </c>
      <c r="S125" s="17" t="str">
        <f aca="false">IF((E125="w"),H125," ")</f>
        <v> </v>
      </c>
      <c r="T125" s="17" t="str">
        <f aca="false">IF((E125="r"),H125," ")</f>
        <v> </v>
      </c>
      <c r="U125" s="17" t="str">
        <f aca="false">IF((E125="p"),H125," ")</f>
        <v> </v>
      </c>
      <c r="V125" s="17" t="str">
        <f aca="false">IF((E125="t"),H125," ")</f>
        <v> </v>
      </c>
      <c r="W125" s="17" t="str">
        <f aca="false">IF((E125="q"),H125," ")</f>
        <v> </v>
      </c>
      <c r="X125" s="17" t="str">
        <f aca="false">IF((E125="m"),H125," ")</f>
        <v> </v>
      </c>
      <c r="Y125" s="17" t="str">
        <f aca="false">IF((E125="u"),H125," ")</f>
        <v> </v>
      </c>
      <c r="Z125" s="17" t="str">
        <f aca="false">IF((E125="a"),H125," ")</f>
        <v> </v>
      </c>
      <c r="AA125" s="17" t="str">
        <f aca="false">IF((E125="g"),H125," ")</f>
        <v> </v>
      </c>
      <c r="AB125" s="17" t="str">
        <f aca="false">IF((E125="h"),H125," ")</f>
        <v> </v>
      </c>
      <c r="AC125" s="30" t="str">
        <f aca="false">IF((E125="v"),H125," ")</f>
        <v> </v>
      </c>
      <c r="AD125" s="30" t="str">
        <f aca="false">IF((E125="n"),H125," ")</f>
        <v> </v>
      </c>
      <c r="AE125" s="17" t="str">
        <f aca="false">IF((E125="f"),H125," ")</f>
        <v> </v>
      </c>
      <c r="AF125" s="17" t="str">
        <f aca="false">IF((E125="l"),H125," ")</f>
        <v> </v>
      </c>
      <c r="AG125" s="17" t="str">
        <f aca="false">IF((E125="y"),H125," ")</f>
        <v> </v>
      </c>
      <c r="AH125" s="17" t="str">
        <f aca="false">IF((E125="z"),H125," ")</f>
        <v> </v>
      </c>
      <c r="AI125" s="17" t="str">
        <f aca="false">IF((E125="fa"),H125," ")</f>
        <v> </v>
      </c>
      <c r="AJ125" s="17" t="str">
        <f aca="false">IF((E125="e"),H125," ")</f>
        <v> </v>
      </c>
    </row>
    <row r="126" customFormat="false" ht="12" hidden="false" customHeight="false" outlineLevel="0" collapsed="false">
      <c r="A126" s="28"/>
      <c r="E126" s="2" t="str">
        <f aca="false">IF((F126&lt;&gt;0),"Enter Letter"," ")</f>
        <v> </v>
      </c>
      <c r="F126" s="30"/>
      <c r="G126" s="6" t="str">
        <f aca="false">IF(F126&lt;&gt;0,F126*G$2/(100+G$2)," ")</f>
        <v> </v>
      </c>
      <c r="H126" s="6" t="str">
        <f aca="false">IF((F126&lt;&gt;0),F126-G126," ")</f>
        <v> </v>
      </c>
      <c r="I126" s="5"/>
      <c r="L126" s="7" t="str">
        <f aca="false">IF(F126&lt;&gt;0,F126-K126," ")</f>
        <v> </v>
      </c>
      <c r="M126" s="8" t="str">
        <f aca="false">IF((F126-K126)&lt;&gt;0,M$1-A126," ")</f>
        <v> </v>
      </c>
      <c r="N126" s="5"/>
      <c r="O126" s="17" t="str">
        <f aca="false">IF((E126="s"),H126," ")</f>
        <v> </v>
      </c>
      <c r="P126" s="17" t="str">
        <f aca="false">IF((E126="c"),H126," ")</f>
        <v> </v>
      </c>
      <c r="Q126" s="17" t="str">
        <f aca="false">IF((E126="o"),H126," ")</f>
        <v> </v>
      </c>
      <c r="R126" s="17" t="str">
        <f aca="false">IF((E126="d"),H126," ")</f>
        <v> </v>
      </c>
      <c r="S126" s="17" t="str">
        <f aca="false">IF((E126="w"),H126," ")</f>
        <v> </v>
      </c>
      <c r="T126" s="17" t="str">
        <f aca="false">IF((E126="r"),H126," ")</f>
        <v> </v>
      </c>
      <c r="U126" s="17" t="str">
        <f aca="false">IF((E126="p"),H126," ")</f>
        <v> </v>
      </c>
      <c r="V126" s="17" t="str">
        <f aca="false">IF((E126="t"),H126," ")</f>
        <v> </v>
      </c>
      <c r="W126" s="17" t="str">
        <f aca="false">IF((E126="q"),H126," ")</f>
        <v> </v>
      </c>
      <c r="X126" s="17" t="str">
        <f aca="false">IF((E126="m"),H126," ")</f>
        <v> </v>
      </c>
      <c r="Y126" s="17" t="str">
        <f aca="false">IF((E126="u"),H126," ")</f>
        <v> </v>
      </c>
      <c r="Z126" s="17" t="str">
        <f aca="false">IF((E126="a"),H126," ")</f>
        <v> </v>
      </c>
      <c r="AA126" s="17" t="str">
        <f aca="false">IF((E126="g"),H126," ")</f>
        <v> </v>
      </c>
      <c r="AB126" s="17" t="str">
        <f aca="false">IF((E126="h"),H126," ")</f>
        <v> </v>
      </c>
      <c r="AC126" s="30" t="str">
        <f aca="false">IF((E126="v"),H126," ")</f>
        <v> </v>
      </c>
      <c r="AD126" s="30" t="str">
        <f aca="false">IF((E126="n"),H126," ")</f>
        <v> </v>
      </c>
      <c r="AE126" s="17" t="str">
        <f aca="false">IF((E126="f"),H126," ")</f>
        <v> </v>
      </c>
      <c r="AF126" s="17" t="str">
        <f aca="false">IF((E126="l"),H126," ")</f>
        <v> </v>
      </c>
      <c r="AG126" s="17" t="str">
        <f aca="false">IF((E126="y"),H126," ")</f>
        <v> </v>
      </c>
      <c r="AH126" s="17" t="str">
        <f aca="false">IF((E126="z"),H126," ")</f>
        <v> </v>
      </c>
      <c r="AI126" s="17" t="str">
        <f aca="false">IF((E126="fa"),H126," ")</f>
        <v> </v>
      </c>
      <c r="AJ126" s="17" t="str">
        <f aca="false">IF((E126="e"),H126," ")</f>
        <v> </v>
      </c>
    </row>
    <row r="127" customFormat="false" ht="12" hidden="false" customHeight="false" outlineLevel="0" collapsed="false">
      <c r="A127" s="28"/>
      <c r="E127" s="2" t="str">
        <f aca="false">IF((F127&lt;&gt;0),"Enter Letter"," ")</f>
        <v> </v>
      </c>
      <c r="F127" s="30"/>
      <c r="G127" s="6" t="str">
        <f aca="false">IF(F127&lt;&gt;0,F127*G$2/(100+G$2)," ")</f>
        <v> </v>
      </c>
      <c r="H127" s="6" t="str">
        <f aca="false">IF((F127&lt;&gt;0),F127-G127," ")</f>
        <v> </v>
      </c>
      <c r="I127" s="5"/>
      <c r="L127" s="7" t="str">
        <f aca="false">IF(F127&lt;&gt;0,F127-K127," ")</f>
        <v> </v>
      </c>
      <c r="M127" s="8" t="str">
        <f aca="false">IF((F127-K127)&lt;&gt;0,M$1-A127," ")</f>
        <v> </v>
      </c>
      <c r="N127" s="5"/>
      <c r="O127" s="17" t="str">
        <f aca="false">IF((E127="s"),H127," ")</f>
        <v> </v>
      </c>
      <c r="P127" s="17" t="str">
        <f aca="false">IF((E127="c"),H127," ")</f>
        <v> </v>
      </c>
      <c r="Q127" s="17" t="str">
        <f aca="false">IF((E127="o"),H127," ")</f>
        <v> </v>
      </c>
      <c r="R127" s="17" t="str">
        <f aca="false">IF((E127="d"),H127," ")</f>
        <v> </v>
      </c>
      <c r="S127" s="17" t="str">
        <f aca="false">IF((E127="w"),H127," ")</f>
        <v> </v>
      </c>
      <c r="T127" s="17" t="str">
        <f aca="false">IF((E127="r"),H127," ")</f>
        <v> </v>
      </c>
      <c r="U127" s="17" t="str">
        <f aca="false">IF((E127="p"),H127," ")</f>
        <v> </v>
      </c>
      <c r="V127" s="17" t="str">
        <f aca="false">IF((E127="t"),H127," ")</f>
        <v> </v>
      </c>
      <c r="W127" s="17" t="str">
        <f aca="false">IF((E127="q"),H127," ")</f>
        <v> </v>
      </c>
      <c r="X127" s="17" t="str">
        <f aca="false">IF((E127="m"),H127," ")</f>
        <v> </v>
      </c>
      <c r="Y127" s="17" t="str">
        <f aca="false">IF((E127="u"),H127," ")</f>
        <v> </v>
      </c>
      <c r="Z127" s="17" t="str">
        <f aca="false">IF((E127="a"),H127," ")</f>
        <v> </v>
      </c>
      <c r="AA127" s="17" t="str">
        <f aca="false">IF((E127="g"),H127," ")</f>
        <v> </v>
      </c>
      <c r="AB127" s="17" t="str">
        <f aca="false">IF((E127="h"),H127," ")</f>
        <v> </v>
      </c>
      <c r="AC127" s="30" t="str">
        <f aca="false">IF((E127="v"),H127," ")</f>
        <v> </v>
      </c>
      <c r="AD127" s="30" t="str">
        <f aca="false">IF((E127="n"),H127," ")</f>
        <v> </v>
      </c>
      <c r="AE127" s="17" t="str">
        <f aca="false">IF((E127="f"),H127," ")</f>
        <v> </v>
      </c>
      <c r="AF127" s="17" t="str">
        <f aca="false">IF((E127="l"),H127," ")</f>
        <v> </v>
      </c>
      <c r="AG127" s="17" t="str">
        <f aca="false">IF((E127="y"),H127," ")</f>
        <v> </v>
      </c>
      <c r="AH127" s="17" t="str">
        <f aca="false">IF((E127="z"),H127," ")</f>
        <v> </v>
      </c>
      <c r="AI127" s="17" t="str">
        <f aca="false">IF((E127="fa"),H127," ")</f>
        <v> </v>
      </c>
      <c r="AJ127" s="17" t="str">
        <f aca="false">IF((E127="e"),H127," ")</f>
        <v> </v>
      </c>
    </row>
    <row r="128" customFormat="false" ht="12" hidden="false" customHeight="false" outlineLevel="0" collapsed="false">
      <c r="A128" s="28"/>
      <c r="E128" s="2" t="str">
        <f aca="false">IF((F128&lt;&gt;0),"Enter Letter"," ")</f>
        <v> </v>
      </c>
      <c r="F128" s="30"/>
      <c r="G128" s="6" t="str">
        <f aca="false">IF(F128&lt;&gt;0,F128*G$2/(100+G$2)," ")</f>
        <v> </v>
      </c>
      <c r="H128" s="6" t="str">
        <f aca="false">IF((F128&lt;&gt;0),F128-G128," ")</f>
        <v> </v>
      </c>
      <c r="I128" s="5"/>
      <c r="L128" s="7" t="str">
        <f aca="false">IF(F128&lt;&gt;0,F128-K128," ")</f>
        <v> </v>
      </c>
      <c r="M128" s="8" t="str">
        <f aca="false">IF((F128-K128)&lt;&gt;0,M$1-A128," ")</f>
        <v> </v>
      </c>
      <c r="N128" s="5"/>
      <c r="O128" s="17" t="str">
        <f aca="false">IF((E128="s"),H128," ")</f>
        <v> </v>
      </c>
      <c r="P128" s="17" t="str">
        <f aca="false">IF((E128="c"),H128," ")</f>
        <v> </v>
      </c>
      <c r="Q128" s="17" t="str">
        <f aca="false">IF((E128="o"),H128," ")</f>
        <v> </v>
      </c>
      <c r="R128" s="17" t="str">
        <f aca="false">IF((E128="d"),H128," ")</f>
        <v> </v>
      </c>
      <c r="S128" s="17" t="str">
        <f aca="false">IF((E128="w"),H128," ")</f>
        <v> </v>
      </c>
      <c r="T128" s="17" t="str">
        <f aca="false">IF((E128="r"),H128," ")</f>
        <v> </v>
      </c>
      <c r="U128" s="17" t="str">
        <f aca="false">IF((E128="p"),H128," ")</f>
        <v> </v>
      </c>
      <c r="V128" s="17" t="str">
        <f aca="false">IF((E128="t"),H128," ")</f>
        <v> </v>
      </c>
      <c r="W128" s="17" t="str">
        <f aca="false">IF((E128="q"),H128," ")</f>
        <v> </v>
      </c>
      <c r="X128" s="17" t="str">
        <f aca="false">IF((E128="m"),H128," ")</f>
        <v> </v>
      </c>
      <c r="Y128" s="17" t="str">
        <f aca="false">IF((E128="u"),H128," ")</f>
        <v> </v>
      </c>
      <c r="Z128" s="17" t="str">
        <f aca="false">IF((E128="a"),H128," ")</f>
        <v> </v>
      </c>
      <c r="AA128" s="17" t="str">
        <f aca="false">IF((E128="g"),H128," ")</f>
        <v> </v>
      </c>
      <c r="AB128" s="17" t="str">
        <f aca="false">IF((E128="h"),H128," ")</f>
        <v> </v>
      </c>
      <c r="AC128" s="30" t="str">
        <f aca="false">IF((E128="v"),H128," ")</f>
        <v> </v>
      </c>
      <c r="AD128" s="30" t="str">
        <f aca="false">IF((E128="n"),H128," ")</f>
        <v> </v>
      </c>
      <c r="AE128" s="17" t="str">
        <f aca="false">IF((E128="f"),H128," ")</f>
        <v> </v>
      </c>
      <c r="AF128" s="17" t="str">
        <f aca="false">IF((E128="l"),H128," ")</f>
        <v> </v>
      </c>
      <c r="AG128" s="17" t="str">
        <f aca="false">IF((E128="y"),H128," ")</f>
        <v> </v>
      </c>
      <c r="AH128" s="17" t="str">
        <f aca="false">IF((E128="z"),H128," ")</f>
        <v> </v>
      </c>
      <c r="AI128" s="17" t="str">
        <f aca="false">IF((E128="fa"),H128," ")</f>
        <v> </v>
      </c>
      <c r="AJ128" s="17" t="str">
        <f aca="false">IF((E128="e"),H128," ")</f>
        <v> </v>
      </c>
    </row>
    <row r="129" customFormat="false" ht="12" hidden="false" customHeight="false" outlineLevel="0" collapsed="false">
      <c r="A129" s="28"/>
      <c r="E129" s="2" t="str">
        <f aca="false">IF((F129&lt;&gt;0),"Enter Letter"," ")</f>
        <v> </v>
      </c>
      <c r="F129" s="30"/>
      <c r="G129" s="6" t="str">
        <f aca="false">IF(F129&lt;&gt;0,F129*G$2/(100+G$2)," ")</f>
        <v> </v>
      </c>
      <c r="H129" s="6" t="str">
        <f aca="false">IF((F129&lt;&gt;0),F129-G129," ")</f>
        <v> </v>
      </c>
      <c r="I129" s="5"/>
      <c r="L129" s="7" t="str">
        <f aca="false">IF(F129&lt;&gt;0,F129-K129," ")</f>
        <v> </v>
      </c>
      <c r="M129" s="8" t="str">
        <f aca="false">IF((F129-K129)&lt;&gt;0,M$1-A129," ")</f>
        <v> </v>
      </c>
      <c r="N129" s="5"/>
      <c r="O129" s="17" t="str">
        <f aca="false">IF((E129="s"),H129," ")</f>
        <v> </v>
      </c>
      <c r="P129" s="17" t="str">
        <f aca="false">IF((E129="c"),H129," ")</f>
        <v> </v>
      </c>
      <c r="Q129" s="17" t="str">
        <f aca="false">IF((E129="o"),H129," ")</f>
        <v> </v>
      </c>
      <c r="R129" s="17" t="str">
        <f aca="false">IF((E129="d"),H129," ")</f>
        <v> </v>
      </c>
      <c r="S129" s="17" t="str">
        <f aca="false">IF((E129="w"),H129," ")</f>
        <v> </v>
      </c>
      <c r="T129" s="17" t="str">
        <f aca="false">IF((E129="r"),H129," ")</f>
        <v> </v>
      </c>
      <c r="U129" s="17" t="str">
        <f aca="false">IF((E129="p"),H129," ")</f>
        <v> </v>
      </c>
      <c r="V129" s="17" t="str">
        <f aca="false">IF((E129="t"),H129," ")</f>
        <v> </v>
      </c>
      <c r="W129" s="17" t="str">
        <f aca="false">IF((E129="q"),H129," ")</f>
        <v> </v>
      </c>
      <c r="X129" s="17" t="str">
        <f aca="false">IF((E129="m"),H129," ")</f>
        <v> </v>
      </c>
      <c r="Y129" s="17" t="str">
        <f aca="false">IF((E129="u"),H129," ")</f>
        <v> </v>
      </c>
      <c r="Z129" s="17" t="str">
        <f aca="false">IF((E129="a"),H129," ")</f>
        <v> </v>
      </c>
      <c r="AA129" s="17" t="str">
        <f aca="false">IF((E129="g"),H129," ")</f>
        <v> </v>
      </c>
      <c r="AB129" s="17" t="str">
        <f aca="false">IF((E129="h"),H129," ")</f>
        <v> </v>
      </c>
      <c r="AC129" s="30" t="str">
        <f aca="false">IF((E129="v"),H129," ")</f>
        <v> </v>
      </c>
      <c r="AD129" s="30" t="str">
        <f aca="false">IF((E129="n"),H129," ")</f>
        <v> </v>
      </c>
      <c r="AE129" s="17" t="str">
        <f aca="false">IF((E129="f"),H129," ")</f>
        <v> </v>
      </c>
      <c r="AF129" s="17" t="str">
        <f aca="false">IF((E129="l"),H129," ")</f>
        <v> </v>
      </c>
      <c r="AG129" s="17" t="str">
        <f aca="false">IF((E129="y"),H129," ")</f>
        <v> </v>
      </c>
      <c r="AH129" s="17" t="str">
        <f aca="false">IF((E129="z"),H129," ")</f>
        <v> </v>
      </c>
      <c r="AI129" s="17" t="str">
        <f aca="false">IF((E129="fa"),H129," ")</f>
        <v> </v>
      </c>
      <c r="AJ129" s="17" t="str">
        <f aca="false">IF((E129="e"),H129," ")</f>
        <v> </v>
      </c>
    </row>
    <row r="130" customFormat="false" ht="12" hidden="false" customHeight="false" outlineLevel="0" collapsed="false">
      <c r="A130" s="28"/>
      <c r="E130" s="2" t="str">
        <f aca="false">IF((F130&lt;&gt;0),"Enter Letter"," ")</f>
        <v> </v>
      </c>
      <c r="F130" s="30"/>
      <c r="G130" s="6" t="str">
        <f aca="false">IF(F130&lt;&gt;0,F130*G$2/(100+G$2)," ")</f>
        <v> </v>
      </c>
      <c r="H130" s="6" t="str">
        <f aca="false">IF((F130&lt;&gt;0),F130-G130," ")</f>
        <v> </v>
      </c>
      <c r="I130" s="5"/>
      <c r="L130" s="7" t="str">
        <f aca="false">IF(F130&lt;&gt;0,F130-K130," ")</f>
        <v> </v>
      </c>
      <c r="M130" s="8" t="str">
        <f aca="false">IF((F130-K130)&lt;&gt;0,M$1-A130," ")</f>
        <v> </v>
      </c>
      <c r="N130" s="5"/>
      <c r="O130" s="17" t="str">
        <f aca="false">IF((E130="s"),H130," ")</f>
        <v> </v>
      </c>
      <c r="P130" s="17" t="str">
        <f aca="false">IF((E130="c"),H130," ")</f>
        <v> </v>
      </c>
      <c r="Q130" s="17" t="str">
        <f aca="false">IF((E130="o"),H130," ")</f>
        <v> </v>
      </c>
      <c r="R130" s="17" t="str">
        <f aca="false">IF((E130="d"),H130," ")</f>
        <v> </v>
      </c>
      <c r="S130" s="17" t="str">
        <f aca="false">IF((E130="w"),H130," ")</f>
        <v> </v>
      </c>
      <c r="T130" s="17" t="str">
        <f aca="false">IF((E130="r"),H130," ")</f>
        <v> </v>
      </c>
      <c r="U130" s="17" t="str">
        <f aca="false">IF((E130="p"),H130," ")</f>
        <v> </v>
      </c>
      <c r="V130" s="17" t="str">
        <f aca="false">IF((E130="t"),H130," ")</f>
        <v> </v>
      </c>
      <c r="W130" s="17" t="str">
        <f aca="false">IF((E130="q"),H130," ")</f>
        <v> </v>
      </c>
      <c r="X130" s="17" t="str">
        <f aca="false">IF((E130="m"),H130," ")</f>
        <v> </v>
      </c>
      <c r="Y130" s="17" t="str">
        <f aca="false">IF((E130="u"),H130," ")</f>
        <v> </v>
      </c>
      <c r="Z130" s="17" t="str">
        <f aca="false">IF((E130="a"),H130," ")</f>
        <v> </v>
      </c>
      <c r="AA130" s="17" t="str">
        <f aca="false">IF((E130="g"),H130," ")</f>
        <v> </v>
      </c>
      <c r="AB130" s="17" t="str">
        <f aca="false">IF((E130="h"),H130," ")</f>
        <v> </v>
      </c>
      <c r="AC130" s="30" t="str">
        <f aca="false">IF((E130="v"),H130," ")</f>
        <v> </v>
      </c>
      <c r="AD130" s="30" t="str">
        <f aca="false">IF((E130="n"),H130," ")</f>
        <v> </v>
      </c>
      <c r="AE130" s="17" t="str">
        <f aca="false">IF((E130="f"),H130," ")</f>
        <v> </v>
      </c>
      <c r="AF130" s="17" t="str">
        <f aca="false">IF((E130="l"),H130," ")</f>
        <v> </v>
      </c>
      <c r="AG130" s="17" t="str">
        <f aca="false">IF((E130="y"),H130," ")</f>
        <v> </v>
      </c>
      <c r="AH130" s="17" t="str">
        <f aca="false">IF((E130="z"),H130," ")</f>
        <v> </v>
      </c>
      <c r="AI130" s="17" t="str">
        <f aca="false">IF((E130="fa"),H130," ")</f>
        <v> </v>
      </c>
      <c r="AJ130" s="17" t="str">
        <f aca="false">IF((E130="e"),H130," ")</f>
        <v> </v>
      </c>
    </row>
    <row r="131" customFormat="false" ht="12" hidden="false" customHeight="false" outlineLevel="0" collapsed="false">
      <c r="A131" s="28"/>
      <c r="E131" s="2" t="str">
        <f aca="false">IF((F131&lt;&gt;0),"Enter Letter"," ")</f>
        <v> </v>
      </c>
      <c r="F131" s="30"/>
      <c r="G131" s="6" t="str">
        <f aca="false">IF(F131&lt;&gt;0,F131*G$2/(100+G$2)," ")</f>
        <v> </v>
      </c>
      <c r="H131" s="6" t="str">
        <f aca="false">IF((F131&lt;&gt;0),F131-G131," ")</f>
        <v> </v>
      </c>
      <c r="I131" s="5"/>
      <c r="L131" s="7" t="str">
        <f aca="false">IF(F131&lt;&gt;0,F131-K131," ")</f>
        <v> </v>
      </c>
      <c r="M131" s="8" t="str">
        <f aca="false">IF((F131-K131)&lt;&gt;0,M$1-A131," ")</f>
        <v> </v>
      </c>
      <c r="N131" s="5"/>
      <c r="O131" s="17" t="str">
        <f aca="false">IF((E131="s"),H131," ")</f>
        <v> </v>
      </c>
      <c r="P131" s="17" t="str">
        <f aca="false">IF((E131="c"),H131," ")</f>
        <v> </v>
      </c>
      <c r="Q131" s="17" t="str">
        <f aca="false">IF((E131="o"),H131," ")</f>
        <v> </v>
      </c>
      <c r="R131" s="17" t="str">
        <f aca="false">IF((E131="d"),H131," ")</f>
        <v> </v>
      </c>
      <c r="S131" s="17" t="str">
        <f aca="false">IF((E131="w"),H131," ")</f>
        <v> </v>
      </c>
      <c r="T131" s="17" t="str">
        <f aca="false">IF((E131="r"),H131," ")</f>
        <v> </v>
      </c>
      <c r="U131" s="17" t="str">
        <f aca="false">IF((E131="p"),H131," ")</f>
        <v> </v>
      </c>
      <c r="V131" s="17" t="str">
        <f aca="false">IF((E131="t"),H131," ")</f>
        <v> </v>
      </c>
      <c r="W131" s="17" t="str">
        <f aca="false">IF((E131="q"),H131," ")</f>
        <v> </v>
      </c>
      <c r="X131" s="17" t="str">
        <f aca="false">IF((E131="m"),H131," ")</f>
        <v> </v>
      </c>
      <c r="Y131" s="17" t="str">
        <f aca="false">IF((E131="u"),H131," ")</f>
        <v> </v>
      </c>
      <c r="Z131" s="17" t="str">
        <f aca="false">IF((E131="a"),H131," ")</f>
        <v> </v>
      </c>
      <c r="AA131" s="17" t="str">
        <f aca="false">IF((E131="g"),H131," ")</f>
        <v> </v>
      </c>
      <c r="AB131" s="17" t="str">
        <f aca="false">IF((E131="h"),H131," ")</f>
        <v> </v>
      </c>
      <c r="AC131" s="30" t="str">
        <f aca="false">IF((E131="v"),H131," ")</f>
        <v> </v>
      </c>
      <c r="AD131" s="30" t="str">
        <f aca="false">IF((E131="n"),H131," ")</f>
        <v> </v>
      </c>
      <c r="AE131" s="17" t="str">
        <f aca="false">IF((E131="f"),H131," ")</f>
        <v> </v>
      </c>
      <c r="AF131" s="17" t="str">
        <f aca="false">IF((E131="l"),H131," ")</f>
        <v> </v>
      </c>
      <c r="AG131" s="17" t="str">
        <f aca="false">IF((E131="y"),H131," ")</f>
        <v> </v>
      </c>
      <c r="AH131" s="17" t="str">
        <f aca="false">IF((E131="z"),H131," ")</f>
        <v> </v>
      </c>
      <c r="AI131" s="17" t="str">
        <f aca="false">IF((E131="fa"),H131," ")</f>
        <v> </v>
      </c>
      <c r="AJ131" s="17" t="str">
        <f aca="false">IF((E131="e"),H131," ")</f>
        <v> </v>
      </c>
    </row>
    <row r="132" customFormat="false" ht="12" hidden="false" customHeight="false" outlineLevel="0" collapsed="false">
      <c r="A132" s="28"/>
      <c r="E132" s="2" t="str">
        <f aca="false">IF((F132&lt;&gt;0),"Enter Letter"," ")</f>
        <v> </v>
      </c>
      <c r="F132" s="30"/>
      <c r="G132" s="6" t="str">
        <f aca="false">IF(F132&lt;&gt;0,F132*G$2/(100+G$2)," ")</f>
        <v> </v>
      </c>
      <c r="H132" s="6" t="str">
        <f aca="false">IF((F132&lt;&gt;0),F132-G132," ")</f>
        <v> </v>
      </c>
      <c r="I132" s="5"/>
      <c r="L132" s="7" t="str">
        <f aca="false">IF(F132&lt;&gt;0,F132-K132," ")</f>
        <v> </v>
      </c>
      <c r="M132" s="8" t="str">
        <f aca="false">IF((F132-K132)&lt;&gt;0,M$1-A132," ")</f>
        <v> </v>
      </c>
      <c r="N132" s="5"/>
      <c r="O132" s="17" t="str">
        <f aca="false">IF((E132="s"),H132," ")</f>
        <v> </v>
      </c>
      <c r="P132" s="17" t="str">
        <f aca="false">IF((E132="c"),H132," ")</f>
        <v> </v>
      </c>
      <c r="Q132" s="17" t="str">
        <f aca="false">IF((E132="o"),H132," ")</f>
        <v> </v>
      </c>
      <c r="R132" s="17" t="str">
        <f aca="false">IF((E132="d"),H132," ")</f>
        <v> </v>
      </c>
      <c r="S132" s="17" t="str">
        <f aca="false">IF((E132="w"),H132," ")</f>
        <v> </v>
      </c>
      <c r="T132" s="17" t="str">
        <f aca="false">IF((E132="r"),H132," ")</f>
        <v> </v>
      </c>
      <c r="U132" s="17" t="str">
        <f aca="false">IF((E132="p"),H132," ")</f>
        <v> </v>
      </c>
      <c r="V132" s="17" t="str">
        <f aca="false">IF((E132="t"),H132," ")</f>
        <v> </v>
      </c>
      <c r="W132" s="17" t="str">
        <f aca="false">IF((E132="q"),H132," ")</f>
        <v> </v>
      </c>
      <c r="X132" s="17" t="str">
        <f aca="false">IF((E132="m"),H132," ")</f>
        <v> </v>
      </c>
      <c r="Y132" s="17" t="str">
        <f aca="false">IF((E132="u"),H132," ")</f>
        <v> </v>
      </c>
      <c r="Z132" s="17" t="str">
        <f aca="false">IF((E132="a"),H132," ")</f>
        <v> </v>
      </c>
      <c r="AA132" s="17" t="str">
        <f aca="false">IF((E132="g"),H132," ")</f>
        <v> </v>
      </c>
      <c r="AB132" s="17" t="str">
        <f aca="false">IF((E132="h"),H132," ")</f>
        <v> </v>
      </c>
      <c r="AC132" s="30" t="str">
        <f aca="false">IF((E132="v"),H132," ")</f>
        <v> </v>
      </c>
      <c r="AD132" s="30" t="str">
        <f aca="false">IF((E132="n"),H132," ")</f>
        <v> </v>
      </c>
      <c r="AE132" s="17" t="str">
        <f aca="false">IF((E132="f"),H132," ")</f>
        <v> </v>
      </c>
      <c r="AF132" s="17" t="str">
        <f aca="false">IF((E132="l"),H132," ")</f>
        <v> </v>
      </c>
      <c r="AG132" s="17" t="str">
        <f aca="false">IF((E132="y"),H132," ")</f>
        <v> </v>
      </c>
      <c r="AH132" s="17" t="str">
        <f aca="false">IF((E132="z"),H132," ")</f>
        <v> </v>
      </c>
      <c r="AI132" s="17" t="str">
        <f aca="false">IF((E132="fa"),H132," ")</f>
        <v> </v>
      </c>
      <c r="AJ132" s="17" t="str">
        <f aca="false">IF((E132="e"),H132," ")</f>
        <v> </v>
      </c>
    </row>
    <row r="133" customFormat="false" ht="12" hidden="false" customHeight="false" outlineLevel="0" collapsed="false">
      <c r="A133" s="28"/>
      <c r="E133" s="2" t="str">
        <f aca="false">IF((F133&lt;&gt;0),"Enter Letter"," ")</f>
        <v> </v>
      </c>
      <c r="F133" s="30"/>
      <c r="G133" s="6" t="str">
        <f aca="false">IF(F133&lt;&gt;0,F133*G$2/(100+G$2)," ")</f>
        <v> </v>
      </c>
      <c r="H133" s="6" t="str">
        <f aca="false">IF((F133&lt;&gt;0),F133-G133," ")</f>
        <v> </v>
      </c>
      <c r="I133" s="5"/>
      <c r="L133" s="7" t="str">
        <f aca="false">IF(F133&lt;&gt;0,F133-K133," ")</f>
        <v> </v>
      </c>
      <c r="M133" s="8" t="str">
        <f aca="false">IF((F133-K133)&lt;&gt;0,M$1-A133," ")</f>
        <v> </v>
      </c>
      <c r="N133" s="5"/>
      <c r="O133" s="17" t="str">
        <f aca="false">IF((E133="s"),H133," ")</f>
        <v> </v>
      </c>
      <c r="P133" s="17" t="str">
        <f aca="false">IF((E133="c"),H133," ")</f>
        <v> </v>
      </c>
      <c r="Q133" s="17" t="str">
        <f aca="false">IF((E133="o"),H133," ")</f>
        <v> </v>
      </c>
      <c r="R133" s="17" t="str">
        <f aca="false">IF((E133="d"),H133," ")</f>
        <v> </v>
      </c>
      <c r="S133" s="17" t="str">
        <f aca="false">IF((E133="w"),H133," ")</f>
        <v> </v>
      </c>
      <c r="T133" s="17" t="str">
        <f aca="false">IF((E133="r"),H133," ")</f>
        <v> </v>
      </c>
      <c r="U133" s="17" t="str">
        <f aca="false">IF((E133="p"),H133," ")</f>
        <v> </v>
      </c>
      <c r="V133" s="17" t="str">
        <f aca="false">IF((E133="t"),H133," ")</f>
        <v> </v>
      </c>
      <c r="W133" s="17" t="str">
        <f aca="false">IF((E133="q"),H133," ")</f>
        <v> </v>
      </c>
      <c r="X133" s="17" t="str">
        <f aca="false">IF((E133="m"),H133," ")</f>
        <v> </v>
      </c>
      <c r="Y133" s="17" t="str">
        <f aca="false">IF((E133="u"),H133," ")</f>
        <v> </v>
      </c>
      <c r="Z133" s="17" t="str">
        <f aca="false">IF((E133="a"),H133," ")</f>
        <v> </v>
      </c>
      <c r="AA133" s="17" t="str">
        <f aca="false">IF((E133="g"),H133," ")</f>
        <v> </v>
      </c>
      <c r="AB133" s="17" t="str">
        <f aca="false">IF((E133="h"),H133," ")</f>
        <v> </v>
      </c>
      <c r="AC133" s="30" t="str">
        <f aca="false">IF((E133="v"),H133," ")</f>
        <v> </v>
      </c>
      <c r="AD133" s="30" t="str">
        <f aca="false">IF((E133="n"),H133," ")</f>
        <v> </v>
      </c>
      <c r="AE133" s="17" t="str">
        <f aca="false">IF((E133="f"),H133," ")</f>
        <v> </v>
      </c>
      <c r="AF133" s="17" t="str">
        <f aca="false">IF((E133="l"),H133," ")</f>
        <v> </v>
      </c>
      <c r="AG133" s="17" t="str">
        <f aca="false">IF((E133="y"),H133," ")</f>
        <v> </v>
      </c>
      <c r="AH133" s="17" t="str">
        <f aca="false">IF((E133="z"),H133," ")</f>
        <v> </v>
      </c>
      <c r="AI133" s="17" t="str">
        <f aca="false">IF((E133="fa"),H133," ")</f>
        <v> </v>
      </c>
      <c r="AJ133" s="17" t="str">
        <f aca="false">IF((E133="e"),H133," ")</f>
        <v> </v>
      </c>
    </row>
    <row r="134" customFormat="false" ht="12" hidden="false" customHeight="false" outlineLevel="0" collapsed="false">
      <c r="A134" s="28"/>
      <c r="E134" s="2" t="str">
        <f aca="false">IF((F134&lt;&gt;0),"Enter Letter"," ")</f>
        <v> </v>
      </c>
      <c r="F134" s="30"/>
      <c r="G134" s="6" t="str">
        <f aca="false">IF(F134&lt;&gt;0,F134*G$2/(100+G$2)," ")</f>
        <v> </v>
      </c>
      <c r="H134" s="6" t="str">
        <f aca="false">IF((F134&lt;&gt;0),F134-G134," ")</f>
        <v> </v>
      </c>
      <c r="I134" s="5"/>
      <c r="L134" s="7" t="str">
        <f aca="false">IF(F134&lt;&gt;0,F134-K134," ")</f>
        <v> </v>
      </c>
      <c r="M134" s="8" t="str">
        <f aca="false">IF((F134-K134)&lt;&gt;0,M$1-A134," ")</f>
        <v> </v>
      </c>
      <c r="N134" s="5"/>
      <c r="O134" s="17" t="str">
        <f aca="false">IF((E134="s"),H134," ")</f>
        <v> </v>
      </c>
      <c r="P134" s="17" t="str">
        <f aca="false">IF((E134="c"),H134," ")</f>
        <v> </v>
      </c>
      <c r="Q134" s="17" t="str">
        <f aca="false">IF((E134="o"),H134," ")</f>
        <v> </v>
      </c>
      <c r="R134" s="17" t="str">
        <f aca="false">IF((E134="d"),H134," ")</f>
        <v> </v>
      </c>
      <c r="S134" s="17" t="str">
        <f aca="false">IF((E134="w"),H134," ")</f>
        <v> </v>
      </c>
      <c r="T134" s="17" t="str">
        <f aca="false">IF((E134="r"),H134," ")</f>
        <v> </v>
      </c>
      <c r="U134" s="17" t="str">
        <f aca="false">IF((E134="p"),H134," ")</f>
        <v> </v>
      </c>
      <c r="V134" s="17" t="str">
        <f aca="false">IF((E134="t"),H134," ")</f>
        <v> </v>
      </c>
      <c r="W134" s="17" t="str">
        <f aca="false">IF((E134="q"),H134," ")</f>
        <v> </v>
      </c>
      <c r="X134" s="17" t="str">
        <f aca="false">IF((E134="m"),H134," ")</f>
        <v> </v>
      </c>
      <c r="Y134" s="17" t="str">
        <f aca="false">IF((E134="u"),H134," ")</f>
        <v> </v>
      </c>
      <c r="Z134" s="17" t="str">
        <f aca="false">IF((E134="a"),H134," ")</f>
        <v> </v>
      </c>
      <c r="AA134" s="17" t="str">
        <f aca="false">IF((E134="g"),H134," ")</f>
        <v> </v>
      </c>
      <c r="AB134" s="17" t="str">
        <f aca="false">IF((E134="h"),H134," ")</f>
        <v> </v>
      </c>
      <c r="AC134" s="30" t="str">
        <f aca="false">IF((E134="v"),H134," ")</f>
        <v> </v>
      </c>
      <c r="AD134" s="30" t="str">
        <f aca="false">IF((E134="n"),H134," ")</f>
        <v> </v>
      </c>
      <c r="AE134" s="17" t="str">
        <f aca="false">IF((E134="f"),H134," ")</f>
        <v> </v>
      </c>
      <c r="AF134" s="17" t="str">
        <f aca="false">IF((E134="l"),H134," ")</f>
        <v> </v>
      </c>
      <c r="AG134" s="17" t="str">
        <f aca="false">IF((E134="y"),H134," ")</f>
        <v> </v>
      </c>
      <c r="AH134" s="17" t="str">
        <f aca="false">IF((E134="z"),H134," ")</f>
        <v> </v>
      </c>
      <c r="AI134" s="17" t="str">
        <f aca="false">IF((E134="fa"),H134," ")</f>
        <v> </v>
      </c>
      <c r="AJ134" s="17" t="str">
        <f aca="false">IF((E134="e"),H134," ")</f>
        <v> </v>
      </c>
    </row>
    <row r="135" customFormat="false" ht="12" hidden="false" customHeight="false" outlineLevel="0" collapsed="false">
      <c r="A135" s="28"/>
      <c r="E135" s="2" t="str">
        <f aca="false">IF((F135&lt;&gt;0),"Enter Letter"," ")</f>
        <v> </v>
      </c>
      <c r="F135" s="30"/>
      <c r="G135" s="6" t="str">
        <f aca="false">IF(F135&lt;&gt;0,F135*G$2/(100+G$2)," ")</f>
        <v> </v>
      </c>
      <c r="H135" s="6" t="str">
        <f aca="false">IF((F135&lt;&gt;0),F135-G135," ")</f>
        <v> </v>
      </c>
      <c r="I135" s="5"/>
      <c r="L135" s="7" t="str">
        <f aca="false">IF(F135&lt;&gt;0,F135-K135," ")</f>
        <v> </v>
      </c>
      <c r="M135" s="8" t="str">
        <f aca="false">IF((F135-K135)&lt;&gt;0,M$1-A135," ")</f>
        <v> </v>
      </c>
      <c r="N135" s="5"/>
      <c r="O135" s="17" t="str">
        <f aca="false">IF((E135="s"),H135," ")</f>
        <v> </v>
      </c>
      <c r="P135" s="17" t="str">
        <f aca="false">IF((E135="c"),H135," ")</f>
        <v> </v>
      </c>
      <c r="Q135" s="17" t="str">
        <f aca="false">IF((E135="o"),H135," ")</f>
        <v> </v>
      </c>
      <c r="R135" s="17" t="str">
        <f aca="false">IF((E135="d"),H135," ")</f>
        <v> </v>
      </c>
      <c r="S135" s="17" t="str">
        <f aca="false">IF((E135="w"),H135," ")</f>
        <v> </v>
      </c>
      <c r="T135" s="17" t="str">
        <f aca="false">IF((E135="r"),H135," ")</f>
        <v> </v>
      </c>
      <c r="U135" s="17" t="str">
        <f aca="false">IF((E135="p"),H135," ")</f>
        <v> </v>
      </c>
      <c r="V135" s="17" t="str">
        <f aca="false">IF((E135="t"),H135," ")</f>
        <v> </v>
      </c>
      <c r="W135" s="17" t="str">
        <f aca="false">IF((E135="q"),H135," ")</f>
        <v> </v>
      </c>
      <c r="X135" s="17" t="str">
        <f aca="false">IF((E135="m"),H135," ")</f>
        <v> </v>
      </c>
      <c r="Y135" s="17" t="str">
        <f aca="false">IF((E135="u"),H135," ")</f>
        <v> </v>
      </c>
      <c r="Z135" s="17" t="str">
        <f aca="false">IF((E135="a"),H135," ")</f>
        <v> </v>
      </c>
      <c r="AA135" s="17" t="str">
        <f aca="false">IF((E135="g"),H135," ")</f>
        <v> </v>
      </c>
      <c r="AB135" s="17" t="str">
        <f aca="false">IF((E135="h"),H135," ")</f>
        <v> </v>
      </c>
      <c r="AC135" s="30" t="str">
        <f aca="false">IF((E135="v"),H135," ")</f>
        <v> </v>
      </c>
      <c r="AD135" s="30" t="str">
        <f aca="false">IF((E135="n"),H135," ")</f>
        <v> </v>
      </c>
      <c r="AE135" s="17" t="str">
        <f aca="false">IF((E135="f"),H135," ")</f>
        <v> </v>
      </c>
      <c r="AF135" s="17" t="str">
        <f aca="false">IF((E135="l"),H135," ")</f>
        <v> </v>
      </c>
      <c r="AG135" s="17" t="str">
        <f aca="false">IF((E135="y"),H135," ")</f>
        <v> </v>
      </c>
      <c r="AH135" s="17" t="str">
        <f aca="false">IF((E135="z"),H135," ")</f>
        <v> </v>
      </c>
      <c r="AI135" s="17" t="str">
        <f aca="false">IF((E135="fa"),H135," ")</f>
        <v> </v>
      </c>
      <c r="AJ135" s="17" t="str">
        <f aca="false">IF((E135="e"),H135," ")</f>
        <v> </v>
      </c>
    </row>
    <row r="136" customFormat="false" ht="12" hidden="false" customHeight="false" outlineLevel="0" collapsed="false">
      <c r="A136" s="28"/>
      <c r="E136" s="2" t="str">
        <f aca="false">IF((F136&lt;&gt;0),"Enter Letter"," ")</f>
        <v> </v>
      </c>
      <c r="F136" s="30"/>
      <c r="G136" s="6" t="str">
        <f aca="false">IF(F136&lt;&gt;0,F136*G$2/(100+G$2)," ")</f>
        <v> </v>
      </c>
      <c r="H136" s="6" t="str">
        <f aca="false">IF((F136&lt;&gt;0),F136-G136," ")</f>
        <v> </v>
      </c>
      <c r="I136" s="5"/>
      <c r="L136" s="7" t="str">
        <f aca="false">IF(F136&lt;&gt;0,F136-K136," ")</f>
        <v> </v>
      </c>
      <c r="M136" s="8" t="str">
        <f aca="false">IF((F136-K136)&lt;&gt;0,M$1-A136," ")</f>
        <v> </v>
      </c>
      <c r="N136" s="5"/>
      <c r="O136" s="17" t="str">
        <f aca="false">IF((E136="s"),H136," ")</f>
        <v> </v>
      </c>
      <c r="P136" s="17" t="str">
        <f aca="false">IF((E136="c"),H136," ")</f>
        <v> </v>
      </c>
      <c r="Q136" s="17" t="str">
        <f aca="false">IF((E136="o"),H136," ")</f>
        <v> </v>
      </c>
      <c r="R136" s="17" t="str">
        <f aca="false">IF((E136="d"),H136," ")</f>
        <v> </v>
      </c>
      <c r="S136" s="17" t="str">
        <f aca="false">IF((E136="w"),H136," ")</f>
        <v> </v>
      </c>
      <c r="T136" s="17" t="str">
        <f aca="false">IF((E136="r"),H136," ")</f>
        <v> </v>
      </c>
      <c r="U136" s="17" t="str">
        <f aca="false">IF((E136="p"),H136," ")</f>
        <v> </v>
      </c>
      <c r="V136" s="17" t="str">
        <f aca="false">IF((E136="t"),H136," ")</f>
        <v> </v>
      </c>
      <c r="W136" s="17" t="str">
        <f aca="false">IF((E136="q"),H136," ")</f>
        <v> </v>
      </c>
      <c r="X136" s="17" t="str">
        <f aca="false">IF((E136="m"),H136," ")</f>
        <v> </v>
      </c>
      <c r="Y136" s="17" t="str">
        <f aca="false">IF((E136="u"),H136," ")</f>
        <v> </v>
      </c>
      <c r="Z136" s="17" t="str">
        <f aca="false">IF((E136="a"),H136," ")</f>
        <v> </v>
      </c>
      <c r="AA136" s="17" t="str">
        <f aca="false">IF((E136="g"),H136," ")</f>
        <v> </v>
      </c>
      <c r="AB136" s="17" t="str">
        <f aca="false">IF((E136="h"),H136," ")</f>
        <v> </v>
      </c>
      <c r="AC136" s="30" t="str">
        <f aca="false">IF((E136="v"),H136," ")</f>
        <v> </v>
      </c>
      <c r="AD136" s="30" t="str">
        <f aca="false">IF((E136="n"),H136," ")</f>
        <v> </v>
      </c>
      <c r="AE136" s="17" t="str">
        <f aca="false">IF((E136="f"),H136," ")</f>
        <v> </v>
      </c>
      <c r="AF136" s="17" t="str">
        <f aca="false">IF((E136="l"),H136," ")</f>
        <v> </v>
      </c>
      <c r="AG136" s="17" t="str">
        <f aca="false">IF((E136="y"),H136," ")</f>
        <v> </v>
      </c>
      <c r="AH136" s="17" t="str">
        <f aca="false">IF((E136="z"),H136," ")</f>
        <v> </v>
      </c>
      <c r="AI136" s="17" t="str">
        <f aca="false">IF((E136="fa"),H136," ")</f>
        <v> </v>
      </c>
      <c r="AJ136" s="17" t="str">
        <f aca="false">IF((E136="e"),H136," ")</f>
        <v> </v>
      </c>
    </row>
    <row r="137" customFormat="false" ht="12" hidden="false" customHeight="false" outlineLevel="0" collapsed="false">
      <c r="A137" s="28"/>
      <c r="E137" s="2" t="str">
        <f aca="false">IF((F137&lt;&gt;0),"Enter Letter"," ")</f>
        <v> </v>
      </c>
      <c r="F137" s="30"/>
      <c r="G137" s="6" t="str">
        <f aca="false">IF(F137&lt;&gt;0,F137*G$2/(100+G$2)," ")</f>
        <v> </v>
      </c>
      <c r="H137" s="6" t="str">
        <f aca="false">IF((F137&lt;&gt;0),F137-G137," ")</f>
        <v> </v>
      </c>
      <c r="I137" s="5"/>
      <c r="L137" s="7" t="str">
        <f aca="false">IF(F137&lt;&gt;0,F137-K137," ")</f>
        <v> </v>
      </c>
      <c r="M137" s="8" t="str">
        <f aca="false">IF((F137-K137)&lt;&gt;0,M$1-A137," ")</f>
        <v> </v>
      </c>
      <c r="N137" s="5"/>
      <c r="O137" s="17" t="str">
        <f aca="false">IF((E137="s"),H137," ")</f>
        <v> </v>
      </c>
      <c r="P137" s="17" t="str">
        <f aca="false">IF((E137="c"),H137," ")</f>
        <v> </v>
      </c>
      <c r="Q137" s="17" t="str">
        <f aca="false">IF((E137="o"),H137," ")</f>
        <v> </v>
      </c>
      <c r="R137" s="17" t="str">
        <f aca="false">IF((E137="d"),H137," ")</f>
        <v> </v>
      </c>
      <c r="S137" s="17" t="str">
        <f aca="false">IF((E137="w"),H137," ")</f>
        <v> </v>
      </c>
      <c r="T137" s="17" t="str">
        <f aca="false">IF((E137="r"),H137," ")</f>
        <v> </v>
      </c>
      <c r="U137" s="17" t="str">
        <f aca="false">IF((E137="p"),H137," ")</f>
        <v> </v>
      </c>
      <c r="V137" s="17" t="str">
        <f aca="false">IF((E137="t"),H137," ")</f>
        <v> </v>
      </c>
      <c r="W137" s="17" t="str">
        <f aca="false">IF((E137="q"),H137," ")</f>
        <v> </v>
      </c>
      <c r="X137" s="17" t="str">
        <f aca="false">IF((E137="m"),H137," ")</f>
        <v> </v>
      </c>
      <c r="Y137" s="17" t="str">
        <f aca="false">IF((E137="u"),H137," ")</f>
        <v> </v>
      </c>
      <c r="Z137" s="17" t="str">
        <f aca="false">IF((E137="a"),H137," ")</f>
        <v> </v>
      </c>
      <c r="AA137" s="17" t="str">
        <f aca="false">IF((E137="g"),H137," ")</f>
        <v> </v>
      </c>
      <c r="AB137" s="17" t="str">
        <f aca="false">IF((E137="h"),H137," ")</f>
        <v> </v>
      </c>
      <c r="AC137" s="30" t="str">
        <f aca="false">IF((E137="v"),H137," ")</f>
        <v> </v>
      </c>
      <c r="AD137" s="30" t="str">
        <f aca="false">IF((E137="n"),H137," ")</f>
        <v> </v>
      </c>
      <c r="AE137" s="17" t="str">
        <f aca="false">IF((E137="f"),H137," ")</f>
        <v> </v>
      </c>
      <c r="AF137" s="17" t="str">
        <f aca="false">IF((E137="l"),H137," ")</f>
        <v> </v>
      </c>
      <c r="AG137" s="17" t="str">
        <f aca="false">IF((E137="y"),H137," ")</f>
        <v> </v>
      </c>
      <c r="AH137" s="17" t="str">
        <f aca="false">IF((E137="z"),H137," ")</f>
        <v> </v>
      </c>
      <c r="AI137" s="17" t="str">
        <f aca="false">IF((E137="fa"),H137," ")</f>
        <v> </v>
      </c>
      <c r="AJ137" s="17" t="str">
        <f aca="false">IF((E137="e"),H137," ")</f>
        <v> </v>
      </c>
    </row>
    <row r="138" customFormat="false" ht="12" hidden="false" customHeight="false" outlineLevel="0" collapsed="false">
      <c r="A138" s="28"/>
      <c r="E138" s="2" t="str">
        <f aca="false">IF((F138&lt;&gt;0),"Enter Letter"," ")</f>
        <v> </v>
      </c>
      <c r="F138" s="30"/>
      <c r="G138" s="6" t="str">
        <f aca="false">IF(F138&lt;&gt;0,F138*G$2/(100+G$2)," ")</f>
        <v> </v>
      </c>
      <c r="H138" s="6" t="str">
        <f aca="false">IF((F138&lt;&gt;0),F138-G138," ")</f>
        <v> </v>
      </c>
      <c r="I138" s="5"/>
      <c r="L138" s="7" t="str">
        <f aca="false">IF(F138&lt;&gt;0,F138-K138," ")</f>
        <v> </v>
      </c>
      <c r="M138" s="8" t="str">
        <f aca="false">IF((F138-K138)&lt;&gt;0,M$1-A138," ")</f>
        <v> </v>
      </c>
      <c r="N138" s="5"/>
      <c r="O138" s="17" t="str">
        <f aca="false">IF((E138="s"),H138," ")</f>
        <v> </v>
      </c>
      <c r="P138" s="17" t="str">
        <f aca="false">IF((E138="c"),H138," ")</f>
        <v> </v>
      </c>
      <c r="Q138" s="17" t="str">
        <f aca="false">IF((E138="o"),H138," ")</f>
        <v> </v>
      </c>
      <c r="R138" s="17" t="str">
        <f aca="false">IF((E138="d"),H138," ")</f>
        <v> </v>
      </c>
      <c r="S138" s="17" t="str">
        <f aca="false">IF((E138="w"),H138," ")</f>
        <v> </v>
      </c>
      <c r="T138" s="17" t="str">
        <f aca="false">IF((E138="r"),H138," ")</f>
        <v> </v>
      </c>
      <c r="U138" s="17" t="str">
        <f aca="false">IF((E138="p"),H138," ")</f>
        <v> </v>
      </c>
      <c r="V138" s="17" t="str">
        <f aca="false">IF((E138="t"),H138," ")</f>
        <v> </v>
      </c>
      <c r="W138" s="17" t="str">
        <f aca="false">IF((E138="q"),H138," ")</f>
        <v> </v>
      </c>
      <c r="X138" s="17" t="str">
        <f aca="false">IF((E138="m"),H138," ")</f>
        <v> </v>
      </c>
      <c r="Y138" s="17" t="str">
        <f aca="false">IF((E138="u"),H138," ")</f>
        <v> </v>
      </c>
      <c r="Z138" s="17" t="str">
        <f aca="false">IF((E138="a"),H138," ")</f>
        <v> </v>
      </c>
      <c r="AA138" s="17" t="str">
        <f aca="false">IF((E138="g"),H138," ")</f>
        <v> </v>
      </c>
      <c r="AB138" s="17" t="str">
        <f aca="false">IF((E138="h"),H138," ")</f>
        <v> </v>
      </c>
      <c r="AC138" s="30" t="str">
        <f aca="false">IF((E138="v"),H138," ")</f>
        <v> </v>
      </c>
      <c r="AD138" s="30" t="str">
        <f aca="false">IF((E138="n"),H138," ")</f>
        <v> </v>
      </c>
      <c r="AE138" s="17" t="str">
        <f aca="false">IF((E138="f"),H138," ")</f>
        <v> </v>
      </c>
      <c r="AF138" s="17" t="str">
        <f aca="false">IF((E138="l"),H138," ")</f>
        <v> </v>
      </c>
      <c r="AG138" s="17" t="str">
        <f aca="false">IF((E138="y"),H138," ")</f>
        <v> </v>
      </c>
      <c r="AH138" s="17" t="str">
        <f aca="false">IF((E138="z"),H138," ")</f>
        <v> </v>
      </c>
      <c r="AI138" s="17" t="str">
        <f aca="false">IF((E138="fa"),H138," ")</f>
        <v> </v>
      </c>
      <c r="AJ138" s="17" t="str">
        <f aca="false">IF((E138="e"),H138," ")</f>
        <v> </v>
      </c>
    </row>
    <row r="139" customFormat="false" ht="12" hidden="false" customHeight="false" outlineLevel="0" collapsed="false">
      <c r="A139" s="28"/>
      <c r="E139" s="2" t="str">
        <f aca="false">IF((F139&lt;&gt;0),"Enter Letter"," ")</f>
        <v> </v>
      </c>
      <c r="F139" s="30"/>
      <c r="G139" s="6" t="str">
        <f aca="false">IF(F139&lt;&gt;0,F139*G$2/(100+G$2)," ")</f>
        <v> </v>
      </c>
      <c r="H139" s="6" t="str">
        <f aca="false">IF((F139&lt;&gt;0),F139-G139," ")</f>
        <v> </v>
      </c>
      <c r="I139" s="5"/>
      <c r="L139" s="7" t="str">
        <f aca="false">IF(F139&lt;&gt;0,F139-K139," ")</f>
        <v> </v>
      </c>
      <c r="M139" s="8" t="str">
        <f aca="false">IF((F139-K139)&lt;&gt;0,M$1-A139," ")</f>
        <v> </v>
      </c>
      <c r="N139" s="5"/>
      <c r="O139" s="17" t="str">
        <f aca="false">IF((E139="s"),H139," ")</f>
        <v> </v>
      </c>
      <c r="P139" s="17" t="str">
        <f aca="false">IF((E139="c"),H139," ")</f>
        <v> </v>
      </c>
      <c r="Q139" s="17" t="str">
        <f aca="false">IF((E139="o"),H139," ")</f>
        <v> </v>
      </c>
      <c r="R139" s="17" t="str">
        <f aca="false">IF((E139="d"),H139," ")</f>
        <v> </v>
      </c>
      <c r="S139" s="17" t="str">
        <f aca="false">IF((E139="w"),H139," ")</f>
        <v> </v>
      </c>
      <c r="T139" s="17" t="str">
        <f aca="false">IF((E139="r"),H139," ")</f>
        <v> </v>
      </c>
      <c r="U139" s="17" t="str">
        <f aca="false">IF((E139="p"),H139," ")</f>
        <v> </v>
      </c>
      <c r="V139" s="17" t="str">
        <f aca="false">IF((E139="t"),H139," ")</f>
        <v> </v>
      </c>
      <c r="W139" s="17" t="str">
        <f aca="false">IF((E139="q"),H139," ")</f>
        <v> </v>
      </c>
      <c r="X139" s="17" t="str">
        <f aca="false">IF((E139="m"),H139," ")</f>
        <v> </v>
      </c>
      <c r="Y139" s="17" t="str">
        <f aca="false">IF((E139="u"),H139," ")</f>
        <v> </v>
      </c>
      <c r="Z139" s="17" t="str">
        <f aca="false">IF((E139="a"),H139," ")</f>
        <v> </v>
      </c>
      <c r="AA139" s="17" t="str">
        <f aca="false">IF((E139="g"),H139," ")</f>
        <v> </v>
      </c>
      <c r="AB139" s="17" t="str">
        <f aca="false">IF((E139="h"),H139," ")</f>
        <v> </v>
      </c>
      <c r="AC139" s="30" t="str">
        <f aca="false">IF((E139="v"),H139," ")</f>
        <v> </v>
      </c>
      <c r="AD139" s="30" t="str">
        <f aca="false">IF((E139="n"),H139," ")</f>
        <v> </v>
      </c>
      <c r="AE139" s="17" t="str">
        <f aca="false">IF((E139="f"),H139," ")</f>
        <v> </v>
      </c>
      <c r="AF139" s="17" t="str">
        <f aca="false">IF((E139="l"),H139," ")</f>
        <v> </v>
      </c>
      <c r="AG139" s="17" t="str">
        <f aca="false">IF((E139="y"),H139," ")</f>
        <v> </v>
      </c>
      <c r="AH139" s="17" t="str">
        <f aca="false">IF((E139="z"),H139," ")</f>
        <v> </v>
      </c>
      <c r="AI139" s="17" t="str">
        <f aca="false">IF((E139="fa"),H139," ")</f>
        <v> </v>
      </c>
      <c r="AJ139" s="17" t="str">
        <f aca="false">IF((E139="e"),H139," ")</f>
        <v> </v>
      </c>
    </row>
    <row r="140" customFormat="false" ht="12" hidden="false" customHeight="false" outlineLevel="0" collapsed="false">
      <c r="A140" s="28"/>
      <c r="E140" s="2" t="str">
        <f aca="false">IF((F140&lt;&gt;0),"Enter Letter"," ")</f>
        <v> </v>
      </c>
      <c r="F140" s="30"/>
      <c r="G140" s="6" t="str">
        <f aca="false">IF(F140&lt;&gt;0,F140*G$2/(100+G$2)," ")</f>
        <v> </v>
      </c>
      <c r="H140" s="6" t="str">
        <f aca="false">IF((F140&lt;&gt;0),F140-G140," ")</f>
        <v> </v>
      </c>
      <c r="I140" s="5"/>
      <c r="L140" s="7" t="str">
        <f aca="false">IF(F140&lt;&gt;0,F140-K140," ")</f>
        <v> </v>
      </c>
      <c r="M140" s="8" t="str">
        <f aca="false">IF((F140-K140)&lt;&gt;0,M$1-A140," ")</f>
        <v> </v>
      </c>
      <c r="N140" s="5"/>
      <c r="O140" s="17" t="str">
        <f aca="false">IF((E140="s"),H140," ")</f>
        <v> </v>
      </c>
      <c r="P140" s="17" t="str">
        <f aca="false">IF((E140="c"),H140," ")</f>
        <v> </v>
      </c>
      <c r="Q140" s="17" t="str">
        <f aca="false">IF((E140="o"),H140," ")</f>
        <v> </v>
      </c>
      <c r="R140" s="17" t="str">
        <f aca="false">IF((E140="d"),H140," ")</f>
        <v> </v>
      </c>
      <c r="S140" s="17" t="str">
        <f aca="false">IF((E140="w"),H140," ")</f>
        <v> </v>
      </c>
      <c r="T140" s="17" t="str">
        <f aca="false">IF((E140="r"),H140," ")</f>
        <v> </v>
      </c>
      <c r="U140" s="17" t="str">
        <f aca="false">IF((E140="p"),H140," ")</f>
        <v> </v>
      </c>
      <c r="V140" s="17" t="str">
        <f aca="false">IF((E140="t"),H140," ")</f>
        <v> </v>
      </c>
      <c r="W140" s="17" t="str">
        <f aca="false">IF((E140="q"),H140," ")</f>
        <v> </v>
      </c>
      <c r="X140" s="17" t="str">
        <f aca="false">IF((E140="m"),H140," ")</f>
        <v> </v>
      </c>
      <c r="Y140" s="17" t="str">
        <f aca="false">IF((E140="u"),H140," ")</f>
        <v> </v>
      </c>
      <c r="Z140" s="17" t="str">
        <f aca="false">IF((E140="a"),H140," ")</f>
        <v> </v>
      </c>
      <c r="AA140" s="17" t="str">
        <f aca="false">IF((E140="g"),H140," ")</f>
        <v> </v>
      </c>
      <c r="AB140" s="17" t="str">
        <f aca="false">IF((E140="h"),H140," ")</f>
        <v> </v>
      </c>
      <c r="AC140" s="30" t="str">
        <f aca="false">IF((E140="v"),H140," ")</f>
        <v> </v>
      </c>
      <c r="AD140" s="30" t="str">
        <f aca="false">IF((E140="n"),H140," ")</f>
        <v> </v>
      </c>
      <c r="AE140" s="17" t="str">
        <f aca="false">IF((E140="f"),H140," ")</f>
        <v> </v>
      </c>
      <c r="AF140" s="17" t="str">
        <f aca="false">IF((E140="l"),H140," ")</f>
        <v> </v>
      </c>
      <c r="AG140" s="17" t="str">
        <f aca="false">IF((E140="y"),H140," ")</f>
        <v> </v>
      </c>
      <c r="AH140" s="17" t="str">
        <f aca="false">IF((E140="z"),H140," ")</f>
        <v> </v>
      </c>
      <c r="AI140" s="17" t="str">
        <f aca="false">IF((E140="fa"),H140," ")</f>
        <v> </v>
      </c>
      <c r="AJ140" s="17" t="str">
        <f aca="false">IF((E140="e"),H140," ")</f>
        <v> </v>
      </c>
    </row>
    <row r="141" customFormat="false" ht="12" hidden="false" customHeight="false" outlineLevel="0" collapsed="false">
      <c r="A141" s="28"/>
      <c r="E141" s="2" t="str">
        <f aca="false">IF((F141&lt;&gt;0),"Enter Letter"," ")</f>
        <v> </v>
      </c>
      <c r="F141" s="30"/>
      <c r="G141" s="6" t="str">
        <f aca="false">IF(F141&lt;&gt;0,F141*G$2/(100+G$2)," ")</f>
        <v> </v>
      </c>
      <c r="H141" s="6" t="str">
        <f aca="false">IF((F141&lt;&gt;0),F141-G141," ")</f>
        <v> </v>
      </c>
      <c r="I141" s="5"/>
      <c r="L141" s="7" t="str">
        <f aca="false">IF(F141&lt;&gt;0,F141-K141," ")</f>
        <v> </v>
      </c>
      <c r="M141" s="8" t="str">
        <f aca="false">IF((F141-K141)&lt;&gt;0,M$1-A141," ")</f>
        <v> </v>
      </c>
      <c r="N141" s="5"/>
      <c r="O141" s="17" t="str">
        <f aca="false">IF((E141="s"),H141," ")</f>
        <v> </v>
      </c>
      <c r="P141" s="17" t="str">
        <f aca="false">IF((E141="c"),H141," ")</f>
        <v> </v>
      </c>
      <c r="Q141" s="17" t="str">
        <f aca="false">IF((E141="o"),H141," ")</f>
        <v> </v>
      </c>
      <c r="R141" s="17" t="str">
        <f aca="false">IF((E141="d"),H141," ")</f>
        <v> </v>
      </c>
      <c r="S141" s="17" t="str">
        <f aca="false">IF((E141="w"),H141," ")</f>
        <v> </v>
      </c>
      <c r="T141" s="17" t="str">
        <f aca="false">IF((E141="r"),H141," ")</f>
        <v> </v>
      </c>
      <c r="U141" s="17" t="str">
        <f aca="false">IF((E141="p"),H141," ")</f>
        <v> </v>
      </c>
      <c r="V141" s="17" t="str">
        <f aca="false">IF((E141="t"),H141," ")</f>
        <v> </v>
      </c>
      <c r="W141" s="17" t="str">
        <f aca="false">IF((E141="q"),H141," ")</f>
        <v> </v>
      </c>
      <c r="X141" s="17" t="str">
        <f aca="false">IF((E141="m"),H141," ")</f>
        <v> </v>
      </c>
      <c r="Y141" s="17" t="str">
        <f aca="false">IF((E141="u"),H141," ")</f>
        <v> </v>
      </c>
      <c r="Z141" s="17" t="str">
        <f aca="false">IF((E141="a"),H141," ")</f>
        <v> </v>
      </c>
      <c r="AA141" s="17" t="str">
        <f aca="false">IF((E141="g"),H141," ")</f>
        <v> </v>
      </c>
      <c r="AB141" s="17" t="str">
        <f aca="false">IF((E141="h"),H141," ")</f>
        <v> </v>
      </c>
      <c r="AC141" s="30" t="str">
        <f aca="false">IF((E141="v"),H141," ")</f>
        <v> </v>
      </c>
      <c r="AD141" s="30" t="str">
        <f aca="false">IF((E141="n"),H141," ")</f>
        <v> </v>
      </c>
      <c r="AE141" s="17" t="str">
        <f aca="false">IF((E141="f"),H141," ")</f>
        <v> </v>
      </c>
      <c r="AF141" s="17" t="str">
        <f aca="false">IF((E141="l"),H141," ")</f>
        <v> </v>
      </c>
      <c r="AG141" s="17" t="str">
        <f aca="false">IF((E141="y"),H141," ")</f>
        <v> </v>
      </c>
      <c r="AH141" s="17" t="str">
        <f aca="false">IF((E141="z"),H141," ")</f>
        <v> </v>
      </c>
      <c r="AI141" s="17" t="str">
        <f aca="false">IF((E141="fa"),H141," ")</f>
        <v> </v>
      </c>
      <c r="AJ141" s="17" t="str">
        <f aca="false">IF((E141="e"),H141," ")</f>
        <v> </v>
      </c>
    </row>
    <row r="142" customFormat="false" ht="12" hidden="false" customHeight="false" outlineLevel="0" collapsed="false">
      <c r="A142" s="28"/>
      <c r="E142" s="2" t="str">
        <f aca="false">IF((F142&lt;&gt;0),"Enter Letter"," ")</f>
        <v> </v>
      </c>
      <c r="F142" s="30"/>
      <c r="G142" s="6" t="str">
        <f aca="false">IF(F142&lt;&gt;0,F142*G$2/(100+G$2)," ")</f>
        <v> </v>
      </c>
      <c r="H142" s="6" t="str">
        <f aca="false">IF((F142&lt;&gt;0),F142-G142," ")</f>
        <v> </v>
      </c>
      <c r="I142" s="5"/>
      <c r="L142" s="7" t="str">
        <f aca="false">IF(F142&lt;&gt;0,F142-K142," ")</f>
        <v> </v>
      </c>
      <c r="M142" s="8" t="str">
        <f aca="false">IF((F142-K142)&lt;&gt;0,M$1-A142," ")</f>
        <v> </v>
      </c>
      <c r="N142" s="5"/>
      <c r="O142" s="17" t="str">
        <f aca="false">IF((E142="s"),H142," ")</f>
        <v> </v>
      </c>
      <c r="P142" s="17" t="str">
        <f aca="false">IF((E142="c"),H142," ")</f>
        <v> </v>
      </c>
      <c r="Q142" s="17" t="str">
        <f aca="false">IF((E142="o"),H142," ")</f>
        <v> </v>
      </c>
      <c r="R142" s="17" t="str">
        <f aca="false">IF((E142="d"),H142," ")</f>
        <v> </v>
      </c>
      <c r="S142" s="17" t="str">
        <f aca="false">IF((E142="w"),H142," ")</f>
        <v> </v>
      </c>
      <c r="T142" s="17" t="str">
        <f aca="false">IF((E142="r"),H142," ")</f>
        <v> </v>
      </c>
      <c r="U142" s="17" t="str">
        <f aca="false">IF((E142="p"),H142," ")</f>
        <v> </v>
      </c>
      <c r="V142" s="17" t="str">
        <f aca="false">IF((E142="t"),H142," ")</f>
        <v> </v>
      </c>
      <c r="W142" s="17" t="str">
        <f aca="false">IF((E142="q"),H142," ")</f>
        <v> </v>
      </c>
      <c r="X142" s="17" t="str">
        <f aca="false">IF((E142="m"),H142," ")</f>
        <v> </v>
      </c>
      <c r="Y142" s="17" t="str">
        <f aca="false">IF((E142="u"),H142," ")</f>
        <v> </v>
      </c>
      <c r="Z142" s="17" t="str">
        <f aca="false">IF((E142="a"),H142," ")</f>
        <v> </v>
      </c>
      <c r="AA142" s="17" t="str">
        <f aca="false">IF((E142="g"),H142," ")</f>
        <v> </v>
      </c>
      <c r="AB142" s="17" t="str">
        <f aca="false">IF((E142="h"),H142," ")</f>
        <v> </v>
      </c>
      <c r="AC142" s="30" t="str">
        <f aca="false">IF((E142="v"),H142," ")</f>
        <v> </v>
      </c>
      <c r="AD142" s="30" t="str">
        <f aca="false">IF((E142="n"),H142," ")</f>
        <v> </v>
      </c>
      <c r="AE142" s="17" t="str">
        <f aca="false">IF((E142="f"),H142," ")</f>
        <v> </v>
      </c>
      <c r="AF142" s="17" t="str">
        <f aca="false">IF((E142="l"),H142," ")</f>
        <v> </v>
      </c>
      <c r="AG142" s="17" t="str">
        <f aca="false">IF((E142="y"),H142," ")</f>
        <v> </v>
      </c>
      <c r="AH142" s="17" t="str">
        <f aca="false">IF((E142="z"),H142," ")</f>
        <v> </v>
      </c>
      <c r="AI142" s="17" t="str">
        <f aca="false">IF((E142="fa"),H142," ")</f>
        <v> </v>
      </c>
      <c r="AJ142" s="17" t="str">
        <f aca="false">IF((E142="e"),H142," ")</f>
        <v> </v>
      </c>
    </row>
    <row r="143" customFormat="false" ht="12" hidden="false" customHeight="false" outlineLevel="0" collapsed="false">
      <c r="A143" s="28"/>
      <c r="E143" s="2" t="str">
        <f aca="false">IF((F143&lt;&gt;0),"Enter Letter"," ")</f>
        <v> </v>
      </c>
      <c r="F143" s="30"/>
      <c r="G143" s="6" t="str">
        <f aca="false">IF(F143&lt;&gt;0,F143*G$2/(100+G$2)," ")</f>
        <v> </v>
      </c>
      <c r="H143" s="6" t="str">
        <f aca="false">IF((F143&lt;&gt;0),F143-G143," ")</f>
        <v> </v>
      </c>
      <c r="I143" s="5"/>
      <c r="L143" s="7" t="str">
        <f aca="false">IF(F143&lt;&gt;0,F143-K143," ")</f>
        <v> </v>
      </c>
      <c r="M143" s="8" t="str">
        <f aca="false">IF((F143-K143)&lt;&gt;0,M$1-A143," ")</f>
        <v> </v>
      </c>
      <c r="N143" s="5"/>
      <c r="O143" s="17" t="str">
        <f aca="false">IF((E143="s"),H143," ")</f>
        <v> </v>
      </c>
      <c r="P143" s="17" t="str">
        <f aca="false">IF((E143="c"),H143," ")</f>
        <v> </v>
      </c>
      <c r="Q143" s="17" t="str">
        <f aca="false">IF((E143="o"),H143," ")</f>
        <v> </v>
      </c>
      <c r="R143" s="17" t="str">
        <f aca="false">IF((E143="d"),H143," ")</f>
        <v> </v>
      </c>
      <c r="S143" s="17" t="str">
        <f aca="false">IF((E143="w"),H143," ")</f>
        <v> </v>
      </c>
      <c r="T143" s="17" t="str">
        <f aca="false">IF((E143="r"),H143," ")</f>
        <v> </v>
      </c>
      <c r="U143" s="17" t="str">
        <f aca="false">IF((E143="p"),H143," ")</f>
        <v> </v>
      </c>
      <c r="V143" s="17" t="str">
        <f aca="false">IF((E143="t"),H143," ")</f>
        <v> </v>
      </c>
      <c r="W143" s="17" t="str">
        <f aca="false">IF((E143="q"),H143," ")</f>
        <v> </v>
      </c>
      <c r="X143" s="17" t="str">
        <f aca="false">IF((E143="m"),H143," ")</f>
        <v> </v>
      </c>
      <c r="Y143" s="17" t="str">
        <f aca="false">IF((E143="u"),H143," ")</f>
        <v> </v>
      </c>
      <c r="Z143" s="17" t="str">
        <f aca="false">IF((E143="a"),H143," ")</f>
        <v> </v>
      </c>
      <c r="AA143" s="17" t="str">
        <f aca="false">IF((E143="g"),H143," ")</f>
        <v> </v>
      </c>
      <c r="AB143" s="17" t="str">
        <f aca="false">IF((E143="h"),H143," ")</f>
        <v> </v>
      </c>
      <c r="AC143" s="30" t="str">
        <f aca="false">IF((E143="v"),H143," ")</f>
        <v> </v>
      </c>
      <c r="AD143" s="30" t="str">
        <f aca="false">IF((E143="n"),H143," ")</f>
        <v> </v>
      </c>
      <c r="AE143" s="17" t="str">
        <f aca="false">IF((E143="f"),H143," ")</f>
        <v> </v>
      </c>
      <c r="AF143" s="17" t="str">
        <f aca="false">IF((E143="l"),H143," ")</f>
        <v> </v>
      </c>
      <c r="AG143" s="17" t="str">
        <f aca="false">IF((E143="y"),H143," ")</f>
        <v> </v>
      </c>
      <c r="AH143" s="17" t="str">
        <f aca="false">IF((E143="z"),H143," ")</f>
        <v> </v>
      </c>
      <c r="AI143" s="17" t="str">
        <f aca="false">IF((E143="fa"),H143," ")</f>
        <v> </v>
      </c>
      <c r="AJ143" s="17" t="str">
        <f aca="false">IF((E143="e"),H143," ")</f>
        <v> </v>
      </c>
    </row>
    <row r="144" customFormat="false" ht="12" hidden="false" customHeight="false" outlineLevel="0" collapsed="false">
      <c r="A144" s="28"/>
      <c r="E144" s="2" t="str">
        <f aca="false">IF((F144&lt;&gt;0),"Enter Letter"," ")</f>
        <v> </v>
      </c>
      <c r="F144" s="30"/>
      <c r="G144" s="6" t="str">
        <f aca="false">IF(F144&lt;&gt;0,F144*G$2/(100+G$2)," ")</f>
        <v> </v>
      </c>
      <c r="H144" s="6" t="str">
        <f aca="false">IF((F144&lt;&gt;0),F144-G144," ")</f>
        <v> </v>
      </c>
      <c r="I144" s="5"/>
      <c r="L144" s="7" t="str">
        <f aca="false">IF(F144&lt;&gt;0,F144-K144," ")</f>
        <v> </v>
      </c>
      <c r="M144" s="8" t="str">
        <f aca="false">IF((F144-K144)&lt;&gt;0,M$1-A144," ")</f>
        <v> </v>
      </c>
      <c r="N144" s="5"/>
      <c r="O144" s="17" t="str">
        <f aca="false">IF((E144="s"),H144," ")</f>
        <v> </v>
      </c>
      <c r="P144" s="17" t="str">
        <f aca="false">IF((E144="c"),H144," ")</f>
        <v> </v>
      </c>
      <c r="Q144" s="17" t="str">
        <f aca="false">IF((E144="o"),H144," ")</f>
        <v> </v>
      </c>
      <c r="R144" s="17" t="str">
        <f aca="false">IF((E144="d"),H144," ")</f>
        <v> </v>
      </c>
      <c r="S144" s="17" t="str">
        <f aca="false">IF((E144="w"),H144," ")</f>
        <v> </v>
      </c>
      <c r="T144" s="17" t="str">
        <f aca="false">IF((E144="r"),H144," ")</f>
        <v> </v>
      </c>
      <c r="U144" s="17" t="str">
        <f aca="false">IF((E144="p"),H144," ")</f>
        <v> </v>
      </c>
      <c r="V144" s="17" t="str">
        <f aca="false">IF((E144="t"),H144," ")</f>
        <v> </v>
      </c>
      <c r="W144" s="17" t="str">
        <f aca="false">IF((E144="q"),H144," ")</f>
        <v> </v>
      </c>
      <c r="X144" s="17" t="str">
        <f aca="false">IF((E144="m"),H144," ")</f>
        <v> </v>
      </c>
      <c r="Y144" s="17" t="str">
        <f aca="false">IF((E144="u"),H144," ")</f>
        <v> </v>
      </c>
      <c r="Z144" s="17" t="str">
        <f aca="false">IF((E144="a"),H144," ")</f>
        <v> </v>
      </c>
      <c r="AA144" s="17" t="str">
        <f aca="false">IF((E144="g"),H144," ")</f>
        <v> </v>
      </c>
      <c r="AB144" s="17" t="str">
        <f aca="false">IF((E144="h"),H144," ")</f>
        <v> </v>
      </c>
      <c r="AC144" s="30" t="str">
        <f aca="false">IF((E144="v"),H144," ")</f>
        <v> </v>
      </c>
      <c r="AD144" s="30" t="str">
        <f aca="false">IF((E144="n"),H144," ")</f>
        <v> </v>
      </c>
      <c r="AE144" s="17" t="str">
        <f aca="false">IF((E144="f"),H144," ")</f>
        <v> </v>
      </c>
      <c r="AF144" s="17" t="str">
        <f aca="false">IF((E144="l"),H144," ")</f>
        <v> </v>
      </c>
      <c r="AG144" s="17" t="str">
        <f aca="false">IF((E144="y"),H144," ")</f>
        <v> </v>
      </c>
      <c r="AH144" s="17" t="str">
        <f aca="false">IF((E144="z"),H144," ")</f>
        <v> </v>
      </c>
      <c r="AI144" s="17" t="str">
        <f aca="false">IF((E144="fa"),H144," ")</f>
        <v> </v>
      </c>
      <c r="AJ144" s="17" t="str">
        <f aca="false">IF((E144="e"),H144," ")</f>
        <v> </v>
      </c>
    </row>
    <row r="145" customFormat="false" ht="12" hidden="false" customHeight="false" outlineLevel="0" collapsed="false">
      <c r="A145" s="28"/>
      <c r="E145" s="2" t="str">
        <f aca="false">IF((F145&lt;&gt;0),"Enter Letter"," ")</f>
        <v> </v>
      </c>
      <c r="F145" s="30"/>
      <c r="G145" s="6" t="str">
        <f aca="false">IF(F145&lt;&gt;0,F145*G$2/(100+G$2)," ")</f>
        <v> </v>
      </c>
      <c r="H145" s="6" t="str">
        <f aca="false">IF((F145&lt;&gt;0),F145-G145," ")</f>
        <v> </v>
      </c>
      <c r="I145" s="5"/>
      <c r="L145" s="7" t="str">
        <f aca="false">IF(F145&lt;&gt;0,F145-K145," ")</f>
        <v> </v>
      </c>
      <c r="M145" s="8" t="str">
        <f aca="false">IF((F145-K145)&lt;&gt;0,M$1-A145," ")</f>
        <v> </v>
      </c>
      <c r="N145" s="5"/>
      <c r="O145" s="17" t="str">
        <f aca="false">IF((E145="s"),H145," ")</f>
        <v> </v>
      </c>
      <c r="P145" s="17" t="str">
        <f aca="false">IF((E145="c"),H145," ")</f>
        <v> </v>
      </c>
      <c r="Q145" s="17" t="str">
        <f aca="false">IF((E145="o"),H145," ")</f>
        <v> </v>
      </c>
      <c r="R145" s="17" t="str">
        <f aca="false">IF((E145="d"),H145," ")</f>
        <v> </v>
      </c>
      <c r="S145" s="17" t="str">
        <f aca="false">IF((E145="w"),H145," ")</f>
        <v> </v>
      </c>
      <c r="T145" s="17" t="str">
        <f aca="false">IF((E145="r"),H145," ")</f>
        <v> </v>
      </c>
      <c r="U145" s="17" t="str">
        <f aca="false">IF((E145="p"),H145," ")</f>
        <v> </v>
      </c>
      <c r="V145" s="17" t="str">
        <f aca="false">IF((E145="t"),H145," ")</f>
        <v> </v>
      </c>
      <c r="W145" s="17" t="str">
        <f aca="false">IF((E145="q"),H145," ")</f>
        <v> </v>
      </c>
      <c r="X145" s="17" t="str">
        <f aca="false">IF((E145="m"),H145," ")</f>
        <v> </v>
      </c>
      <c r="Y145" s="17" t="str">
        <f aca="false">IF((E145="u"),H145," ")</f>
        <v> </v>
      </c>
      <c r="Z145" s="17" t="str">
        <f aca="false">IF((E145="a"),H145," ")</f>
        <v> </v>
      </c>
      <c r="AA145" s="17" t="str">
        <f aca="false">IF((E145="g"),H145," ")</f>
        <v> </v>
      </c>
      <c r="AB145" s="17" t="str">
        <f aca="false">IF((E145="h"),H145," ")</f>
        <v> </v>
      </c>
      <c r="AC145" s="30" t="str">
        <f aca="false">IF((E145="v"),H145," ")</f>
        <v> </v>
      </c>
      <c r="AD145" s="30" t="str">
        <f aca="false">IF((E145="n"),H145," ")</f>
        <v> </v>
      </c>
      <c r="AE145" s="17" t="str">
        <f aca="false">IF((E145="f"),H145," ")</f>
        <v> </v>
      </c>
      <c r="AF145" s="17" t="str">
        <f aca="false">IF((E145="l"),H145," ")</f>
        <v> </v>
      </c>
      <c r="AG145" s="17" t="str">
        <f aca="false">IF((E145="y"),H145," ")</f>
        <v> </v>
      </c>
      <c r="AH145" s="17" t="str">
        <f aca="false">IF((E145="z"),H145," ")</f>
        <v> </v>
      </c>
      <c r="AI145" s="17" t="str">
        <f aca="false">IF((E145="fa"),H145," ")</f>
        <v> </v>
      </c>
      <c r="AJ145" s="17" t="str">
        <f aca="false">IF((E145="e"),H145," ")</f>
        <v> </v>
      </c>
    </row>
    <row r="146" customFormat="false" ht="12" hidden="false" customHeight="false" outlineLevel="0" collapsed="false">
      <c r="A146" s="28"/>
      <c r="E146" s="2" t="str">
        <f aca="false">IF((F146&lt;&gt;0),"Enter Letter"," ")</f>
        <v> </v>
      </c>
      <c r="F146" s="30"/>
      <c r="G146" s="6" t="str">
        <f aca="false">IF(F146&lt;&gt;0,F146*G$2/(100+G$2)," ")</f>
        <v> </v>
      </c>
      <c r="H146" s="6" t="str">
        <f aca="false">IF((F146&lt;&gt;0),F146-G146," ")</f>
        <v> </v>
      </c>
      <c r="I146" s="5"/>
      <c r="L146" s="7" t="str">
        <f aca="false">IF(F146&lt;&gt;0,F146-K146," ")</f>
        <v> </v>
      </c>
      <c r="M146" s="8" t="str">
        <f aca="false">IF((F146-K146)&lt;&gt;0,M$1-A146," ")</f>
        <v> </v>
      </c>
      <c r="N146" s="5"/>
      <c r="O146" s="17" t="str">
        <f aca="false">IF((E146="s"),H146," ")</f>
        <v> </v>
      </c>
      <c r="P146" s="17" t="str">
        <f aca="false">IF((E146="c"),H146," ")</f>
        <v> </v>
      </c>
      <c r="Q146" s="17" t="str">
        <f aca="false">IF((E146="o"),H146," ")</f>
        <v> </v>
      </c>
      <c r="R146" s="17" t="str">
        <f aca="false">IF((E146="d"),H146," ")</f>
        <v> </v>
      </c>
      <c r="S146" s="17" t="str">
        <f aca="false">IF((E146="w"),H146," ")</f>
        <v> </v>
      </c>
      <c r="T146" s="17" t="str">
        <f aca="false">IF((E146="r"),H146," ")</f>
        <v> </v>
      </c>
      <c r="U146" s="17" t="str">
        <f aca="false">IF((E146="p"),H146," ")</f>
        <v> </v>
      </c>
      <c r="V146" s="17" t="str">
        <f aca="false">IF((E146="t"),H146," ")</f>
        <v> </v>
      </c>
      <c r="W146" s="17" t="str">
        <f aca="false">IF((E146="q"),H146," ")</f>
        <v> </v>
      </c>
      <c r="X146" s="17" t="str">
        <f aca="false">IF((E146="m"),H146," ")</f>
        <v> </v>
      </c>
      <c r="Y146" s="17" t="str">
        <f aca="false">IF((E146="u"),H146," ")</f>
        <v> </v>
      </c>
      <c r="Z146" s="17" t="str">
        <f aca="false">IF((E146="a"),H146," ")</f>
        <v> </v>
      </c>
      <c r="AA146" s="17" t="str">
        <f aca="false">IF((E146="g"),H146," ")</f>
        <v> </v>
      </c>
      <c r="AB146" s="17" t="str">
        <f aca="false">IF((E146="h"),H146," ")</f>
        <v> </v>
      </c>
      <c r="AC146" s="30" t="str">
        <f aca="false">IF((E146="v"),H146," ")</f>
        <v> </v>
      </c>
      <c r="AD146" s="30" t="str">
        <f aca="false">IF((E146="n"),H146," ")</f>
        <v> </v>
      </c>
      <c r="AE146" s="17" t="str">
        <f aca="false">IF((E146="f"),H146," ")</f>
        <v> </v>
      </c>
      <c r="AF146" s="17" t="str">
        <f aca="false">IF((E146="l"),H146," ")</f>
        <v> </v>
      </c>
      <c r="AG146" s="17" t="str">
        <f aca="false">IF((E146="y"),H146," ")</f>
        <v> </v>
      </c>
      <c r="AH146" s="17" t="str">
        <f aca="false">IF((E146="z"),H146," ")</f>
        <v> </v>
      </c>
      <c r="AI146" s="17" t="str">
        <f aca="false">IF((E146="fa"),H146," ")</f>
        <v> </v>
      </c>
      <c r="AJ146" s="17" t="str">
        <f aca="false">IF((E146="e"),H146," ")</f>
        <v> </v>
      </c>
    </row>
    <row r="147" customFormat="false" ht="12" hidden="false" customHeight="false" outlineLevel="0" collapsed="false">
      <c r="A147" s="28"/>
      <c r="E147" s="2" t="str">
        <f aca="false">IF((F147&lt;&gt;0),"Enter Letter"," ")</f>
        <v> </v>
      </c>
      <c r="F147" s="30"/>
      <c r="G147" s="6" t="str">
        <f aca="false">IF(F147&lt;&gt;0,F147*G$2/(100+G$2)," ")</f>
        <v> </v>
      </c>
      <c r="H147" s="6" t="str">
        <f aca="false">IF((F147&lt;&gt;0),F147-G147," ")</f>
        <v> </v>
      </c>
      <c r="I147" s="5"/>
      <c r="L147" s="7" t="str">
        <f aca="false">IF(F147&lt;&gt;0,F147-K147," ")</f>
        <v> </v>
      </c>
      <c r="M147" s="8" t="str">
        <f aca="false">IF((F147-K147)&lt;&gt;0,M$1-A147," ")</f>
        <v> </v>
      </c>
      <c r="N147" s="5"/>
      <c r="O147" s="17" t="str">
        <f aca="false">IF((E147="s"),H147," ")</f>
        <v> </v>
      </c>
      <c r="P147" s="17" t="str">
        <f aca="false">IF((E147="c"),H147," ")</f>
        <v> </v>
      </c>
      <c r="Q147" s="17" t="str">
        <f aca="false">IF((E147="o"),H147," ")</f>
        <v> </v>
      </c>
      <c r="R147" s="17" t="str">
        <f aca="false">IF((E147="d"),H147," ")</f>
        <v> </v>
      </c>
      <c r="S147" s="17" t="str">
        <f aca="false">IF((E147="w"),H147," ")</f>
        <v> </v>
      </c>
      <c r="T147" s="17" t="str">
        <f aca="false">IF((E147="r"),H147," ")</f>
        <v> </v>
      </c>
      <c r="U147" s="17" t="str">
        <f aca="false">IF((E147="p"),H147," ")</f>
        <v> </v>
      </c>
      <c r="V147" s="17" t="str">
        <f aca="false">IF((E147="t"),H147," ")</f>
        <v> </v>
      </c>
      <c r="W147" s="17" t="str">
        <f aca="false">IF((E147="q"),H147," ")</f>
        <v> </v>
      </c>
      <c r="X147" s="17" t="str">
        <f aca="false">IF((E147="m"),H147," ")</f>
        <v> </v>
      </c>
      <c r="Y147" s="17" t="str">
        <f aca="false">IF((E147="u"),H147," ")</f>
        <v> </v>
      </c>
      <c r="Z147" s="17" t="str">
        <f aca="false">IF((E147="a"),H147," ")</f>
        <v> </v>
      </c>
      <c r="AA147" s="17" t="str">
        <f aca="false">IF((E147="g"),H147," ")</f>
        <v> </v>
      </c>
      <c r="AB147" s="17" t="str">
        <f aca="false">IF((E147="h"),H147," ")</f>
        <v> </v>
      </c>
      <c r="AC147" s="30" t="str">
        <f aca="false">IF((E147="v"),H147," ")</f>
        <v> </v>
      </c>
      <c r="AD147" s="30" t="str">
        <f aca="false">IF((E147="n"),H147," ")</f>
        <v> </v>
      </c>
      <c r="AE147" s="17" t="str">
        <f aca="false">IF((E147="f"),H147," ")</f>
        <v> </v>
      </c>
      <c r="AF147" s="17" t="str">
        <f aca="false">IF((E147="l"),H147," ")</f>
        <v> </v>
      </c>
      <c r="AG147" s="17" t="str">
        <f aca="false">IF((E147="y"),H147," ")</f>
        <v> </v>
      </c>
      <c r="AH147" s="17" t="str">
        <f aca="false">IF((E147="z"),H147," ")</f>
        <v> </v>
      </c>
      <c r="AI147" s="17" t="str">
        <f aca="false">IF((E147="fa"),H147," ")</f>
        <v> </v>
      </c>
      <c r="AJ147" s="17" t="str">
        <f aca="false">IF((E147="e"),H147," ")</f>
        <v> </v>
      </c>
    </row>
    <row r="148" customFormat="false" ht="12" hidden="false" customHeight="false" outlineLevel="0" collapsed="false">
      <c r="A148" s="28"/>
      <c r="E148" s="2" t="str">
        <f aca="false">IF((F148&lt;&gt;0),"Enter Letter"," ")</f>
        <v> </v>
      </c>
      <c r="F148" s="30"/>
      <c r="G148" s="6" t="str">
        <f aca="false">IF(F148&lt;&gt;0,F148*G$2/(100+G$2)," ")</f>
        <v> </v>
      </c>
      <c r="H148" s="6" t="str">
        <f aca="false">IF((F148&lt;&gt;0),F148-G148," ")</f>
        <v> </v>
      </c>
      <c r="I148" s="5"/>
      <c r="L148" s="7" t="str">
        <f aca="false">IF(F148&lt;&gt;0,F148-K148," ")</f>
        <v> </v>
      </c>
      <c r="M148" s="8" t="str">
        <f aca="false">IF((F148-K148)&lt;&gt;0,M$1-A148," ")</f>
        <v> </v>
      </c>
      <c r="N148" s="5"/>
      <c r="O148" s="17" t="str">
        <f aca="false">IF((E148="s"),H148," ")</f>
        <v> </v>
      </c>
      <c r="P148" s="17" t="str">
        <f aca="false">IF((E148="c"),H148," ")</f>
        <v> </v>
      </c>
      <c r="Q148" s="17" t="str">
        <f aca="false">IF((E148="o"),H148," ")</f>
        <v> </v>
      </c>
      <c r="R148" s="17" t="str">
        <f aca="false">IF((E148="d"),H148," ")</f>
        <v> </v>
      </c>
      <c r="S148" s="17" t="str">
        <f aca="false">IF((E148="w"),H148," ")</f>
        <v> </v>
      </c>
      <c r="T148" s="17" t="str">
        <f aca="false">IF((E148="r"),H148," ")</f>
        <v> </v>
      </c>
      <c r="U148" s="17" t="str">
        <f aca="false">IF((E148="p"),H148," ")</f>
        <v> </v>
      </c>
      <c r="V148" s="17" t="str">
        <f aca="false">IF((E148="t"),H148," ")</f>
        <v> </v>
      </c>
      <c r="W148" s="17" t="str">
        <f aca="false">IF((E148="q"),H148," ")</f>
        <v> </v>
      </c>
      <c r="X148" s="17" t="str">
        <f aca="false">IF((E148="m"),H148," ")</f>
        <v> </v>
      </c>
      <c r="Y148" s="17" t="str">
        <f aca="false">IF((E148="u"),H148," ")</f>
        <v> </v>
      </c>
      <c r="Z148" s="17" t="str">
        <f aca="false">IF((E148="a"),H148," ")</f>
        <v> </v>
      </c>
      <c r="AA148" s="17" t="str">
        <f aca="false">IF((E148="g"),H148," ")</f>
        <v> </v>
      </c>
      <c r="AB148" s="17" t="str">
        <f aca="false">IF((E148="h"),H148," ")</f>
        <v> </v>
      </c>
      <c r="AC148" s="30" t="str">
        <f aca="false">IF((E148="v"),H148," ")</f>
        <v> </v>
      </c>
      <c r="AD148" s="30" t="str">
        <f aca="false">IF((E148="n"),H148," ")</f>
        <v> </v>
      </c>
      <c r="AE148" s="17" t="str">
        <f aca="false">IF((E148="f"),H148," ")</f>
        <v> </v>
      </c>
      <c r="AF148" s="17" t="str">
        <f aca="false">IF((E148="l"),H148," ")</f>
        <v> </v>
      </c>
      <c r="AG148" s="17" t="str">
        <f aca="false">IF((E148="y"),H148," ")</f>
        <v> </v>
      </c>
      <c r="AH148" s="17" t="str">
        <f aca="false">IF((E148="z"),H148," ")</f>
        <v> </v>
      </c>
      <c r="AI148" s="17" t="str">
        <f aca="false">IF((E148="fa"),H148," ")</f>
        <v> </v>
      </c>
      <c r="AJ148" s="17" t="str">
        <f aca="false">IF((E148="e"),H148," ")</f>
        <v> </v>
      </c>
    </row>
    <row r="149" customFormat="false" ht="12" hidden="false" customHeight="false" outlineLevel="0" collapsed="false">
      <c r="A149" s="28"/>
      <c r="E149" s="2" t="str">
        <f aca="false">IF((F149&lt;&gt;0),"Enter Letter"," ")</f>
        <v> </v>
      </c>
      <c r="F149" s="30"/>
      <c r="G149" s="6" t="str">
        <f aca="false">IF(F149&lt;&gt;0,F149*G$2/(100+G$2)," ")</f>
        <v> </v>
      </c>
      <c r="H149" s="6" t="str">
        <f aca="false">IF((F149&lt;&gt;0),F149-G149," ")</f>
        <v> </v>
      </c>
      <c r="I149" s="5"/>
      <c r="L149" s="7" t="str">
        <f aca="false">IF(F149&lt;&gt;0,F149-K149," ")</f>
        <v> </v>
      </c>
      <c r="M149" s="8" t="str">
        <f aca="false">IF((F149-K149)&lt;&gt;0,M$1-A149," ")</f>
        <v> </v>
      </c>
      <c r="N149" s="5"/>
      <c r="O149" s="17" t="str">
        <f aca="false">IF((E149="s"),H149," ")</f>
        <v> </v>
      </c>
      <c r="P149" s="17" t="str">
        <f aca="false">IF((E149="c"),H149," ")</f>
        <v> </v>
      </c>
      <c r="Q149" s="17" t="str">
        <f aca="false">IF((E149="o"),H149," ")</f>
        <v> </v>
      </c>
      <c r="R149" s="17" t="str">
        <f aca="false">IF((E149="d"),H149," ")</f>
        <v> </v>
      </c>
      <c r="S149" s="17" t="str">
        <f aca="false">IF((E149="w"),H149," ")</f>
        <v> </v>
      </c>
      <c r="T149" s="17" t="str">
        <f aca="false">IF((E149="r"),H149," ")</f>
        <v> </v>
      </c>
      <c r="U149" s="17" t="str">
        <f aca="false">IF((E149="p"),H149," ")</f>
        <v> </v>
      </c>
      <c r="V149" s="17" t="str">
        <f aca="false">IF((E149="t"),H149," ")</f>
        <v> </v>
      </c>
      <c r="W149" s="17" t="str">
        <f aca="false">IF((E149="q"),H149," ")</f>
        <v> </v>
      </c>
      <c r="X149" s="17" t="str">
        <f aca="false">IF((E149="m"),H149," ")</f>
        <v> </v>
      </c>
      <c r="Y149" s="17" t="str">
        <f aca="false">IF((E149="u"),H149," ")</f>
        <v> </v>
      </c>
      <c r="Z149" s="17" t="str">
        <f aca="false">IF((E149="a"),H149," ")</f>
        <v> </v>
      </c>
      <c r="AA149" s="17" t="str">
        <f aca="false">IF((E149="g"),H149," ")</f>
        <v> </v>
      </c>
      <c r="AB149" s="17" t="str">
        <f aca="false">IF((E149="h"),H149," ")</f>
        <v> </v>
      </c>
      <c r="AC149" s="30" t="str">
        <f aca="false">IF((E149="v"),H149," ")</f>
        <v> </v>
      </c>
      <c r="AD149" s="30" t="str">
        <f aca="false">IF((E149="n"),H149," ")</f>
        <v> </v>
      </c>
      <c r="AE149" s="17" t="str">
        <f aca="false">IF((E149="f"),H149," ")</f>
        <v> </v>
      </c>
      <c r="AF149" s="17" t="str">
        <f aca="false">IF((E149="l"),H149," ")</f>
        <v> </v>
      </c>
      <c r="AG149" s="17" t="str">
        <f aca="false">IF((E149="y"),H149," ")</f>
        <v> </v>
      </c>
      <c r="AH149" s="17" t="str">
        <f aca="false">IF((E149="z"),H149," ")</f>
        <v> </v>
      </c>
      <c r="AI149" s="17" t="str">
        <f aca="false">IF((E149="fa"),H149," ")</f>
        <v> </v>
      </c>
      <c r="AJ149" s="17" t="str">
        <f aca="false">IF((E149="e"),H149," ")</f>
        <v> </v>
      </c>
    </row>
    <row r="150" customFormat="false" ht="12" hidden="false" customHeight="false" outlineLevel="0" collapsed="false">
      <c r="A150" s="28"/>
      <c r="E150" s="2" t="str">
        <f aca="false">IF((F150&lt;&gt;0),"Enter Letter"," ")</f>
        <v> </v>
      </c>
      <c r="F150" s="30"/>
      <c r="G150" s="6" t="str">
        <f aca="false">IF(F150&lt;&gt;0,F150*G$2/(100+G$2)," ")</f>
        <v> </v>
      </c>
      <c r="H150" s="6" t="str">
        <f aca="false">IF((F150&lt;&gt;0),F150-G150," ")</f>
        <v> </v>
      </c>
      <c r="I150" s="5"/>
      <c r="L150" s="7" t="str">
        <f aca="false">IF(F150&lt;&gt;0,F150-K150," ")</f>
        <v> </v>
      </c>
      <c r="M150" s="8" t="str">
        <f aca="false">IF((F150-K150)&lt;&gt;0,M$1-A150," ")</f>
        <v> </v>
      </c>
      <c r="N150" s="5"/>
      <c r="O150" s="17" t="str">
        <f aca="false">IF((E150="s"),H150," ")</f>
        <v> </v>
      </c>
      <c r="P150" s="17" t="str">
        <f aca="false">IF((E150="c"),H150," ")</f>
        <v> </v>
      </c>
      <c r="Q150" s="17" t="str">
        <f aca="false">IF((E150="o"),H150," ")</f>
        <v> </v>
      </c>
      <c r="R150" s="17" t="str">
        <f aca="false">IF((E150="d"),H150," ")</f>
        <v> </v>
      </c>
      <c r="S150" s="17" t="str">
        <f aca="false">IF((E150="w"),H150," ")</f>
        <v> </v>
      </c>
      <c r="T150" s="17" t="str">
        <f aca="false">IF((E150="r"),H150," ")</f>
        <v> </v>
      </c>
      <c r="U150" s="17" t="str">
        <f aca="false">IF((E150="p"),H150," ")</f>
        <v> </v>
      </c>
      <c r="V150" s="17" t="str">
        <f aca="false">IF((E150="t"),H150," ")</f>
        <v> </v>
      </c>
      <c r="W150" s="17" t="str">
        <f aca="false">IF((E150="q"),H150," ")</f>
        <v> </v>
      </c>
      <c r="X150" s="17" t="str">
        <f aca="false">IF((E150="m"),H150," ")</f>
        <v> </v>
      </c>
      <c r="Y150" s="17" t="str">
        <f aca="false">IF((E150="u"),H150," ")</f>
        <v> </v>
      </c>
      <c r="Z150" s="17" t="str">
        <f aca="false">IF((E150="a"),H150," ")</f>
        <v> </v>
      </c>
      <c r="AA150" s="17" t="str">
        <f aca="false">IF((E150="g"),H150," ")</f>
        <v> </v>
      </c>
      <c r="AB150" s="17" t="str">
        <f aca="false">IF((E150="h"),H150," ")</f>
        <v> </v>
      </c>
      <c r="AC150" s="30" t="str">
        <f aca="false">IF((E150="v"),H150," ")</f>
        <v> </v>
      </c>
      <c r="AD150" s="30" t="str">
        <f aca="false">IF((E150="n"),H150," ")</f>
        <v> </v>
      </c>
      <c r="AE150" s="17" t="str">
        <f aca="false">IF((E150="f"),H150," ")</f>
        <v> </v>
      </c>
      <c r="AF150" s="17" t="str">
        <f aca="false">IF((E150="l"),H150," ")</f>
        <v> </v>
      </c>
      <c r="AG150" s="17" t="str">
        <f aca="false">IF((E150="y"),H150," ")</f>
        <v> </v>
      </c>
      <c r="AH150" s="17" t="str">
        <f aca="false">IF((E150="z"),H150," ")</f>
        <v> </v>
      </c>
      <c r="AI150" s="17" t="str">
        <f aca="false">IF((E150="fa"),H150," ")</f>
        <v> </v>
      </c>
      <c r="AJ150" s="17" t="str">
        <f aca="false">IF((E150="e"),H150," ")</f>
        <v> </v>
      </c>
    </row>
    <row r="151" customFormat="false" ht="12" hidden="false" customHeight="false" outlineLevel="0" collapsed="false">
      <c r="A151" s="28"/>
      <c r="E151" s="2" t="str">
        <f aca="false">IF((F151&lt;&gt;0),"Enter Letter"," ")</f>
        <v> </v>
      </c>
      <c r="F151" s="30"/>
      <c r="G151" s="6" t="str">
        <f aca="false">IF(F151&lt;&gt;0,F151*G$2/(100+G$2)," ")</f>
        <v> </v>
      </c>
      <c r="H151" s="6" t="str">
        <f aca="false">IF((F151&lt;&gt;0),F151-G151," ")</f>
        <v> </v>
      </c>
      <c r="I151" s="5"/>
      <c r="L151" s="7" t="str">
        <f aca="false">IF(F151&lt;&gt;0,F151-K151," ")</f>
        <v> </v>
      </c>
      <c r="M151" s="8" t="str">
        <f aca="false">IF((F151-K151)&lt;&gt;0,M$1-A151," ")</f>
        <v> </v>
      </c>
      <c r="N151" s="5"/>
      <c r="O151" s="17" t="str">
        <f aca="false">IF((E151="s"),H151," ")</f>
        <v> </v>
      </c>
      <c r="P151" s="17" t="str">
        <f aca="false">IF((E151="c"),H151," ")</f>
        <v> </v>
      </c>
      <c r="Q151" s="17" t="str">
        <f aca="false">IF((E151="o"),H151," ")</f>
        <v> </v>
      </c>
      <c r="R151" s="17" t="str">
        <f aca="false">IF((E151="d"),H151," ")</f>
        <v> </v>
      </c>
      <c r="S151" s="17" t="str">
        <f aca="false">IF((E151="w"),H151," ")</f>
        <v> </v>
      </c>
      <c r="T151" s="17" t="str">
        <f aca="false">IF((E151="r"),H151," ")</f>
        <v> </v>
      </c>
      <c r="U151" s="17" t="str">
        <f aca="false">IF((E151="p"),H151," ")</f>
        <v> </v>
      </c>
      <c r="V151" s="17" t="str">
        <f aca="false">IF((E151="t"),H151," ")</f>
        <v> </v>
      </c>
      <c r="W151" s="17" t="str">
        <f aca="false">IF((E151="q"),H151," ")</f>
        <v> </v>
      </c>
      <c r="X151" s="17" t="str">
        <f aca="false">IF((E151="m"),H151," ")</f>
        <v> </v>
      </c>
      <c r="Y151" s="17" t="str">
        <f aca="false">IF((E151="u"),H151," ")</f>
        <v> </v>
      </c>
      <c r="Z151" s="17" t="str">
        <f aca="false">IF((E151="a"),H151," ")</f>
        <v> </v>
      </c>
      <c r="AA151" s="17" t="str">
        <f aca="false">IF((E151="g"),H151," ")</f>
        <v> </v>
      </c>
      <c r="AB151" s="17" t="str">
        <f aca="false">IF((E151="h"),H151," ")</f>
        <v> </v>
      </c>
      <c r="AC151" s="30" t="str">
        <f aca="false">IF((E151="v"),H151," ")</f>
        <v> </v>
      </c>
      <c r="AD151" s="30" t="str">
        <f aca="false">IF((E151="n"),H151," ")</f>
        <v> </v>
      </c>
      <c r="AE151" s="17" t="str">
        <f aca="false">IF((E151="f"),H151," ")</f>
        <v> </v>
      </c>
      <c r="AF151" s="17" t="str">
        <f aca="false">IF((E151="l"),H151," ")</f>
        <v> </v>
      </c>
      <c r="AG151" s="17" t="str">
        <f aca="false">IF((E151="y"),H151," ")</f>
        <v> </v>
      </c>
      <c r="AH151" s="17" t="str">
        <f aca="false">IF((E151="z"),H151," ")</f>
        <v> </v>
      </c>
      <c r="AI151" s="17" t="str">
        <f aca="false">IF((E151="fa"),H151," ")</f>
        <v> </v>
      </c>
      <c r="AJ151" s="17" t="str">
        <f aca="false">IF((E151="e"),H151," ")</f>
        <v> </v>
      </c>
    </row>
    <row r="152" customFormat="false" ht="12" hidden="false" customHeight="false" outlineLevel="0" collapsed="false">
      <c r="A152" s="28"/>
      <c r="E152" s="2" t="str">
        <f aca="false">IF((F152&lt;&gt;0),"Enter Letter"," ")</f>
        <v> </v>
      </c>
      <c r="F152" s="30"/>
      <c r="G152" s="6" t="str">
        <f aca="false">IF(F152&lt;&gt;0,F152*G$2/(100+G$2)," ")</f>
        <v> </v>
      </c>
      <c r="H152" s="6" t="str">
        <f aca="false">IF((F152&lt;&gt;0),F152-G152," ")</f>
        <v> </v>
      </c>
      <c r="I152" s="5"/>
      <c r="L152" s="7" t="str">
        <f aca="false">IF(F152&lt;&gt;0,F152-K152," ")</f>
        <v> </v>
      </c>
      <c r="M152" s="8" t="str">
        <f aca="false">IF((F152-K152)&lt;&gt;0,M$1-A152," ")</f>
        <v> </v>
      </c>
      <c r="N152" s="5"/>
      <c r="O152" s="17" t="str">
        <f aca="false">IF((E152="s"),H152," ")</f>
        <v> </v>
      </c>
      <c r="P152" s="17" t="str">
        <f aca="false">IF((E152="c"),H152," ")</f>
        <v> </v>
      </c>
      <c r="Q152" s="17" t="str">
        <f aca="false">IF((E152="o"),H152," ")</f>
        <v> </v>
      </c>
      <c r="R152" s="17" t="str">
        <f aca="false">IF((E152="d"),H152," ")</f>
        <v> </v>
      </c>
      <c r="S152" s="17" t="str">
        <f aca="false">IF((E152="w"),H152," ")</f>
        <v> </v>
      </c>
      <c r="T152" s="17" t="str">
        <f aca="false">IF((E152="r"),H152," ")</f>
        <v> </v>
      </c>
      <c r="U152" s="17" t="str">
        <f aca="false">IF((E152="p"),H152," ")</f>
        <v> </v>
      </c>
      <c r="V152" s="17" t="str">
        <f aca="false">IF((E152="t"),H152," ")</f>
        <v> </v>
      </c>
      <c r="W152" s="17" t="str">
        <f aca="false">IF((E152="q"),H152," ")</f>
        <v> </v>
      </c>
      <c r="X152" s="17" t="str">
        <f aca="false">IF((E152="m"),H152," ")</f>
        <v> </v>
      </c>
      <c r="Y152" s="17" t="str">
        <f aca="false">IF((E152="u"),H152," ")</f>
        <v> </v>
      </c>
      <c r="Z152" s="17" t="str">
        <f aca="false">IF((E152="a"),H152," ")</f>
        <v> </v>
      </c>
      <c r="AA152" s="17" t="str">
        <f aca="false">IF((E152="g"),H152," ")</f>
        <v> </v>
      </c>
      <c r="AB152" s="17" t="str">
        <f aca="false">IF((E152="h"),H152," ")</f>
        <v> </v>
      </c>
      <c r="AC152" s="30" t="str">
        <f aca="false">IF((E152="v"),H152," ")</f>
        <v> </v>
      </c>
      <c r="AD152" s="30" t="str">
        <f aca="false">IF((E152="n"),H152," ")</f>
        <v> </v>
      </c>
      <c r="AE152" s="17" t="str">
        <f aca="false">IF((E152="f"),H152," ")</f>
        <v> </v>
      </c>
      <c r="AF152" s="17" t="str">
        <f aca="false">IF((E152="l"),H152," ")</f>
        <v> </v>
      </c>
      <c r="AG152" s="17" t="str">
        <f aca="false">IF((E152="y"),H152," ")</f>
        <v> </v>
      </c>
      <c r="AH152" s="17" t="str">
        <f aca="false">IF((E152="z"),H152," ")</f>
        <v> </v>
      </c>
      <c r="AI152" s="17" t="str">
        <f aca="false">IF((E152="fa"),H152," ")</f>
        <v> </v>
      </c>
      <c r="AJ152" s="17" t="str">
        <f aca="false">IF((E152="e"),H152," ")</f>
        <v> </v>
      </c>
    </row>
    <row r="153" customFormat="false" ht="12" hidden="false" customHeight="false" outlineLevel="0" collapsed="false">
      <c r="A153" s="28"/>
      <c r="E153" s="2" t="str">
        <f aca="false">IF((F153&lt;&gt;0),"Enter Letter"," ")</f>
        <v> </v>
      </c>
      <c r="F153" s="30"/>
      <c r="G153" s="6" t="str">
        <f aca="false">IF(F153&lt;&gt;0,F153*G$2/(100+G$2)," ")</f>
        <v> </v>
      </c>
      <c r="H153" s="6" t="str">
        <f aca="false">IF((F153&lt;&gt;0),F153-G153," ")</f>
        <v> </v>
      </c>
      <c r="I153" s="5"/>
      <c r="L153" s="7" t="str">
        <f aca="false">IF(F153&lt;&gt;0,F153-K153," ")</f>
        <v> </v>
      </c>
      <c r="M153" s="8" t="str">
        <f aca="false">IF((F153-K153)&lt;&gt;0,M$1-A153," ")</f>
        <v> </v>
      </c>
      <c r="N153" s="5"/>
      <c r="O153" s="17" t="str">
        <f aca="false">IF((E153="s"),H153," ")</f>
        <v> </v>
      </c>
      <c r="P153" s="17" t="str">
        <f aca="false">IF((E153="c"),H153," ")</f>
        <v> </v>
      </c>
      <c r="Q153" s="17" t="str">
        <f aca="false">IF((E153="o"),H153," ")</f>
        <v> </v>
      </c>
      <c r="R153" s="17" t="str">
        <f aca="false">IF((E153="d"),H153," ")</f>
        <v> </v>
      </c>
      <c r="S153" s="17" t="str">
        <f aca="false">IF((E153="w"),H153," ")</f>
        <v> </v>
      </c>
      <c r="T153" s="17" t="str">
        <f aca="false">IF((E153="r"),H153," ")</f>
        <v> </v>
      </c>
      <c r="U153" s="17" t="str">
        <f aca="false">IF((E153="p"),H153," ")</f>
        <v> </v>
      </c>
      <c r="V153" s="17" t="str">
        <f aca="false">IF((E153="t"),H153," ")</f>
        <v> </v>
      </c>
      <c r="W153" s="17" t="str">
        <f aca="false">IF((E153="q"),H153," ")</f>
        <v> </v>
      </c>
      <c r="X153" s="17" t="str">
        <f aca="false">IF((E153="m"),H153," ")</f>
        <v> </v>
      </c>
      <c r="Y153" s="17" t="str">
        <f aca="false">IF((E153="u"),H153," ")</f>
        <v> </v>
      </c>
      <c r="Z153" s="17" t="str">
        <f aca="false">IF((E153="a"),H153," ")</f>
        <v> </v>
      </c>
      <c r="AA153" s="17" t="str">
        <f aca="false">IF((E153="g"),H153," ")</f>
        <v> </v>
      </c>
      <c r="AB153" s="17" t="str">
        <f aca="false">IF((E153="h"),H153," ")</f>
        <v> </v>
      </c>
      <c r="AC153" s="30" t="str">
        <f aca="false">IF((E153="v"),H153," ")</f>
        <v> </v>
      </c>
      <c r="AD153" s="30" t="str">
        <f aca="false">IF((E153="n"),H153," ")</f>
        <v> </v>
      </c>
      <c r="AE153" s="17" t="str">
        <f aca="false">IF((E153="f"),H153," ")</f>
        <v> </v>
      </c>
      <c r="AF153" s="17" t="str">
        <f aca="false">IF((E153="l"),H153," ")</f>
        <v> </v>
      </c>
      <c r="AG153" s="17" t="str">
        <f aca="false">IF((E153="y"),H153," ")</f>
        <v> </v>
      </c>
      <c r="AH153" s="17" t="str">
        <f aca="false">IF((E153="z"),H153," ")</f>
        <v> </v>
      </c>
      <c r="AI153" s="17" t="str">
        <f aca="false">IF((E153="fa"),H153," ")</f>
        <v> </v>
      </c>
      <c r="AJ153" s="17" t="str">
        <f aca="false">IF((E153="e"),H153," ")</f>
        <v> </v>
      </c>
    </row>
    <row r="154" customFormat="false" ht="12" hidden="false" customHeight="false" outlineLevel="0" collapsed="false">
      <c r="A154" s="28"/>
      <c r="E154" s="2" t="str">
        <f aca="false">IF((F154&lt;&gt;0),"Enter Letter"," ")</f>
        <v> </v>
      </c>
      <c r="F154" s="30"/>
      <c r="G154" s="6" t="str">
        <f aca="false">IF(F154&lt;&gt;0,F154*G$2/(100+G$2)," ")</f>
        <v> </v>
      </c>
      <c r="H154" s="6" t="str">
        <f aca="false">IF((F154&lt;&gt;0),F154-G154," ")</f>
        <v> </v>
      </c>
      <c r="I154" s="5"/>
      <c r="L154" s="7" t="str">
        <f aca="false">IF(F154&lt;&gt;0,F154-K154," ")</f>
        <v> </v>
      </c>
      <c r="M154" s="8" t="str">
        <f aca="false">IF((F154-K154)&lt;&gt;0,M$1-A154," ")</f>
        <v> </v>
      </c>
      <c r="N154" s="5"/>
      <c r="O154" s="17" t="str">
        <f aca="false">IF((E154="s"),H154," ")</f>
        <v> </v>
      </c>
      <c r="P154" s="17" t="str">
        <f aca="false">IF((E154="c"),H154," ")</f>
        <v> </v>
      </c>
      <c r="Q154" s="17" t="str">
        <f aca="false">IF((E154="o"),H154," ")</f>
        <v> </v>
      </c>
      <c r="R154" s="17" t="str">
        <f aca="false">IF((E154="d"),H154," ")</f>
        <v> </v>
      </c>
      <c r="S154" s="17" t="str">
        <f aca="false">IF((E154="w"),H154," ")</f>
        <v> </v>
      </c>
      <c r="T154" s="17" t="str">
        <f aca="false">IF((E154="r"),H154," ")</f>
        <v> </v>
      </c>
      <c r="U154" s="17" t="str">
        <f aca="false">IF((E154="p"),H154," ")</f>
        <v> </v>
      </c>
      <c r="V154" s="17" t="str">
        <f aca="false">IF((E154="t"),H154," ")</f>
        <v> </v>
      </c>
      <c r="W154" s="17" t="str">
        <f aca="false">IF((E154="q"),H154," ")</f>
        <v> </v>
      </c>
      <c r="X154" s="17" t="str">
        <f aca="false">IF((E154="m"),H154," ")</f>
        <v> </v>
      </c>
      <c r="Y154" s="17" t="str">
        <f aca="false">IF((E154="u"),H154," ")</f>
        <v> </v>
      </c>
      <c r="Z154" s="17" t="str">
        <f aca="false">IF((E154="a"),H154," ")</f>
        <v> </v>
      </c>
      <c r="AA154" s="17" t="str">
        <f aca="false">IF((E154="g"),H154," ")</f>
        <v> </v>
      </c>
      <c r="AB154" s="17" t="str">
        <f aca="false">IF((E154="h"),H154," ")</f>
        <v> </v>
      </c>
      <c r="AC154" s="30" t="str">
        <f aca="false">IF((E154="v"),H154," ")</f>
        <v> </v>
      </c>
      <c r="AD154" s="30" t="str">
        <f aca="false">IF((E154="n"),H154," ")</f>
        <v> </v>
      </c>
      <c r="AE154" s="17" t="str">
        <f aca="false">IF((E154="f"),H154," ")</f>
        <v> </v>
      </c>
      <c r="AF154" s="17" t="str">
        <f aca="false">IF((E154="l"),H154," ")</f>
        <v> </v>
      </c>
      <c r="AG154" s="17" t="str">
        <f aca="false">IF((E154="y"),H154," ")</f>
        <v> </v>
      </c>
      <c r="AH154" s="17" t="str">
        <f aca="false">IF((E154="z"),H154," ")</f>
        <v> </v>
      </c>
      <c r="AI154" s="17" t="str">
        <f aca="false">IF((E154="fa"),H154," ")</f>
        <v> </v>
      </c>
      <c r="AJ154" s="17" t="str">
        <f aca="false">IF((E154="e"),H154," ")</f>
        <v> </v>
      </c>
    </row>
    <row r="155" customFormat="false" ht="12" hidden="false" customHeight="false" outlineLevel="0" collapsed="false">
      <c r="A155" s="28"/>
      <c r="E155" s="2" t="str">
        <f aca="false">IF((F155&lt;&gt;0),"Enter Letter"," ")</f>
        <v> </v>
      </c>
      <c r="F155" s="30"/>
      <c r="G155" s="6" t="str">
        <f aca="false">IF(F155&lt;&gt;0,F155*G$2/(100+G$2)," ")</f>
        <v> </v>
      </c>
      <c r="H155" s="6" t="str">
        <f aca="false">IF((F155&lt;&gt;0),F155-G155," ")</f>
        <v> </v>
      </c>
      <c r="I155" s="5"/>
      <c r="L155" s="7" t="str">
        <f aca="false">IF(F155&lt;&gt;0,F155-K155," ")</f>
        <v> </v>
      </c>
      <c r="M155" s="8" t="str">
        <f aca="false">IF((F155-K155)&lt;&gt;0,M$1-A155," ")</f>
        <v> </v>
      </c>
      <c r="N155" s="5"/>
      <c r="O155" s="17" t="str">
        <f aca="false">IF((E155="s"),H155," ")</f>
        <v> </v>
      </c>
      <c r="P155" s="17" t="str">
        <f aca="false">IF((E155="c"),H155," ")</f>
        <v> </v>
      </c>
      <c r="Q155" s="17" t="str">
        <f aca="false">IF((E155="o"),H155," ")</f>
        <v> </v>
      </c>
      <c r="R155" s="17" t="str">
        <f aca="false">IF((E155="d"),H155," ")</f>
        <v> </v>
      </c>
      <c r="S155" s="17" t="str">
        <f aca="false">IF((E155="w"),H155," ")</f>
        <v> </v>
      </c>
      <c r="T155" s="17" t="str">
        <f aca="false">IF((E155="r"),H155," ")</f>
        <v> </v>
      </c>
      <c r="U155" s="17" t="str">
        <f aca="false">IF((E155="p"),H155," ")</f>
        <v> </v>
      </c>
      <c r="V155" s="17" t="str">
        <f aca="false">IF((E155="t"),H155," ")</f>
        <v> </v>
      </c>
      <c r="W155" s="17" t="str">
        <f aca="false">IF((E155="q"),H155," ")</f>
        <v> </v>
      </c>
      <c r="X155" s="17" t="str">
        <f aca="false">IF((E155="m"),H155," ")</f>
        <v> </v>
      </c>
      <c r="Y155" s="17" t="str">
        <f aca="false">IF((E155="u"),H155," ")</f>
        <v> </v>
      </c>
      <c r="Z155" s="17" t="str">
        <f aca="false">IF((E155="a"),H155," ")</f>
        <v> </v>
      </c>
      <c r="AA155" s="17" t="str">
        <f aca="false">IF((E155="g"),H155," ")</f>
        <v> </v>
      </c>
      <c r="AB155" s="17" t="str">
        <f aca="false">IF((E155="h"),H155," ")</f>
        <v> </v>
      </c>
      <c r="AC155" s="30" t="str">
        <f aca="false">IF((E155="v"),H155," ")</f>
        <v> </v>
      </c>
      <c r="AD155" s="30" t="str">
        <f aca="false">IF((E155="n"),H155," ")</f>
        <v> </v>
      </c>
      <c r="AE155" s="17" t="str">
        <f aca="false">IF((E155="f"),H155," ")</f>
        <v> </v>
      </c>
      <c r="AF155" s="17" t="str">
        <f aca="false">IF((E155="l"),H155," ")</f>
        <v> </v>
      </c>
      <c r="AG155" s="17" t="str">
        <f aca="false">IF((E155="y"),H155," ")</f>
        <v> </v>
      </c>
      <c r="AH155" s="17" t="str">
        <f aca="false">IF((E155="z"),H155," ")</f>
        <v> </v>
      </c>
      <c r="AI155" s="17" t="str">
        <f aca="false">IF((E155="fa"),H155," ")</f>
        <v> </v>
      </c>
      <c r="AJ155" s="17" t="str">
        <f aca="false">IF((E155="e"),H155," ")</f>
        <v> </v>
      </c>
    </row>
    <row r="156" customFormat="false" ht="12" hidden="false" customHeight="false" outlineLevel="0" collapsed="false">
      <c r="A156" s="28"/>
      <c r="E156" s="2" t="str">
        <f aca="false">IF((F156&lt;&gt;0),"Enter Letter"," ")</f>
        <v> </v>
      </c>
      <c r="F156" s="30"/>
      <c r="G156" s="6" t="str">
        <f aca="false">IF(F156&lt;&gt;0,F156*G$2/(100+G$2)," ")</f>
        <v> </v>
      </c>
      <c r="H156" s="6" t="str">
        <f aca="false">IF((F156&lt;&gt;0),F156-G156," ")</f>
        <v> </v>
      </c>
      <c r="I156" s="5"/>
      <c r="L156" s="7" t="str">
        <f aca="false">IF(F156&lt;&gt;0,F156-K156," ")</f>
        <v> </v>
      </c>
      <c r="M156" s="8" t="str">
        <f aca="false">IF((F156-K156)&lt;&gt;0,M$1-A156," ")</f>
        <v> </v>
      </c>
      <c r="N156" s="5"/>
      <c r="O156" s="17" t="str">
        <f aca="false">IF((E156="s"),H156," ")</f>
        <v> </v>
      </c>
      <c r="P156" s="17" t="str">
        <f aca="false">IF((E156="c"),H156," ")</f>
        <v> </v>
      </c>
      <c r="Q156" s="17" t="str">
        <f aca="false">IF((E156="o"),H156," ")</f>
        <v> </v>
      </c>
      <c r="R156" s="17" t="str">
        <f aca="false">IF((E156="d"),H156," ")</f>
        <v> </v>
      </c>
      <c r="S156" s="17" t="str">
        <f aca="false">IF((E156="w"),H156," ")</f>
        <v> </v>
      </c>
      <c r="T156" s="17" t="str">
        <f aca="false">IF((E156="r"),H156," ")</f>
        <v> </v>
      </c>
      <c r="U156" s="17" t="str">
        <f aca="false">IF((E156="p"),H156," ")</f>
        <v> </v>
      </c>
      <c r="V156" s="17" t="str">
        <f aca="false">IF((E156="t"),H156," ")</f>
        <v> </v>
      </c>
      <c r="W156" s="17" t="str">
        <f aca="false">IF((E156="q"),H156," ")</f>
        <v> </v>
      </c>
      <c r="X156" s="17" t="str">
        <f aca="false">IF((E156="m"),H156," ")</f>
        <v> </v>
      </c>
      <c r="Y156" s="17" t="str">
        <f aca="false">IF((E156="u"),H156," ")</f>
        <v> </v>
      </c>
      <c r="Z156" s="17" t="str">
        <f aca="false">IF((E156="a"),H156," ")</f>
        <v> </v>
      </c>
      <c r="AA156" s="17" t="str">
        <f aca="false">IF((E156="g"),H156," ")</f>
        <v> </v>
      </c>
      <c r="AB156" s="17" t="str">
        <f aca="false">IF((E156="h"),H156," ")</f>
        <v> </v>
      </c>
      <c r="AC156" s="30" t="str">
        <f aca="false">IF((E156="v"),H156," ")</f>
        <v> </v>
      </c>
      <c r="AD156" s="30" t="str">
        <f aca="false">IF((E156="n"),H156," ")</f>
        <v> </v>
      </c>
      <c r="AE156" s="17" t="str">
        <f aca="false">IF((E156="f"),H156," ")</f>
        <v> </v>
      </c>
      <c r="AF156" s="17" t="str">
        <f aca="false">IF((E156="l"),H156," ")</f>
        <v> </v>
      </c>
      <c r="AG156" s="17" t="str">
        <f aca="false">IF((E156="y"),H156," ")</f>
        <v> </v>
      </c>
      <c r="AH156" s="17" t="str">
        <f aca="false">IF((E156="z"),H156," ")</f>
        <v> </v>
      </c>
      <c r="AI156" s="17" t="str">
        <f aca="false">IF((E156="fa"),H156," ")</f>
        <v> </v>
      </c>
      <c r="AJ156" s="17" t="str">
        <f aca="false">IF((E156="e"),H156," ")</f>
        <v> </v>
      </c>
    </row>
    <row r="157" customFormat="false" ht="12" hidden="false" customHeight="false" outlineLevel="0" collapsed="false">
      <c r="A157" s="28"/>
      <c r="E157" s="2" t="str">
        <f aca="false">IF((F157&lt;&gt;0),"Enter Letter"," ")</f>
        <v> </v>
      </c>
      <c r="F157" s="30"/>
      <c r="G157" s="6" t="str">
        <f aca="false">IF(F157&lt;&gt;0,F157*G$2/(100+G$2)," ")</f>
        <v> </v>
      </c>
      <c r="H157" s="6" t="str">
        <f aca="false">IF((F157&lt;&gt;0),F157-G157," ")</f>
        <v> </v>
      </c>
      <c r="I157" s="5"/>
      <c r="L157" s="7" t="str">
        <f aca="false">IF(F157&lt;&gt;0,F157-K157," ")</f>
        <v> </v>
      </c>
      <c r="M157" s="8" t="str">
        <f aca="false">IF((F157-K157)&lt;&gt;0,M$1-A157," ")</f>
        <v> </v>
      </c>
      <c r="N157" s="5"/>
      <c r="O157" s="17" t="str">
        <f aca="false">IF((E157="s"),H157," ")</f>
        <v> </v>
      </c>
      <c r="P157" s="17" t="str">
        <f aca="false">IF((E157="c"),H157," ")</f>
        <v> </v>
      </c>
      <c r="Q157" s="17" t="str">
        <f aca="false">IF((E157="o"),H157," ")</f>
        <v> </v>
      </c>
      <c r="R157" s="17" t="str">
        <f aca="false">IF((E157="d"),H157," ")</f>
        <v> </v>
      </c>
      <c r="S157" s="17" t="str">
        <f aca="false">IF((E157="w"),H157," ")</f>
        <v> </v>
      </c>
      <c r="T157" s="17" t="str">
        <f aca="false">IF((E157="r"),H157," ")</f>
        <v> </v>
      </c>
      <c r="U157" s="17" t="str">
        <f aca="false">IF((E157="p"),H157," ")</f>
        <v> </v>
      </c>
      <c r="V157" s="17" t="str">
        <f aca="false">IF((E157="t"),H157," ")</f>
        <v> </v>
      </c>
      <c r="W157" s="17" t="str">
        <f aca="false">IF((E157="q"),H157," ")</f>
        <v> </v>
      </c>
      <c r="X157" s="17" t="str">
        <f aca="false">IF((E157="m"),H157," ")</f>
        <v> </v>
      </c>
      <c r="Y157" s="17" t="str">
        <f aca="false">IF((E157="u"),H157," ")</f>
        <v> </v>
      </c>
      <c r="Z157" s="17" t="str">
        <f aca="false">IF((E157="a"),H157," ")</f>
        <v> </v>
      </c>
      <c r="AA157" s="17" t="str">
        <f aca="false">IF((E157="g"),H157," ")</f>
        <v> </v>
      </c>
      <c r="AB157" s="17" t="str">
        <f aca="false">IF((E157="h"),H157," ")</f>
        <v> </v>
      </c>
      <c r="AC157" s="30" t="str">
        <f aca="false">IF((E157="v"),H157," ")</f>
        <v> </v>
      </c>
      <c r="AD157" s="30" t="str">
        <f aca="false">IF((E157="n"),H157," ")</f>
        <v> </v>
      </c>
      <c r="AE157" s="17" t="str">
        <f aca="false">IF((E157="f"),H157," ")</f>
        <v> </v>
      </c>
      <c r="AF157" s="17" t="str">
        <f aca="false">IF((E157="l"),H157," ")</f>
        <v> </v>
      </c>
      <c r="AG157" s="17" t="str">
        <f aca="false">IF((E157="y"),H157," ")</f>
        <v> </v>
      </c>
      <c r="AH157" s="17" t="str">
        <f aca="false">IF((E157="z"),H157," ")</f>
        <v> </v>
      </c>
      <c r="AI157" s="17" t="str">
        <f aca="false">IF((E157="fa"),H157," ")</f>
        <v> </v>
      </c>
      <c r="AJ157" s="17" t="str">
        <f aca="false">IF((E157="e"),H157," ")</f>
        <v> </v>
      </c>
    </row>
    <row r="158" customFormat="false" ht="12" hidden="false" customHeight="false" outlineLevel="0" collapsed="false">
      <c r="A158" s="28"/>
      <c r="E158" s="2" t="str">
        <f aca="false">IF((F158&lt;&gt;0),"Enter Letter"," ")</f>
        <v> </v>
      </c>
      <c r="F158" s="30"/>
      <c r="G158" s="6" t="str">
        <f aca="false">IF(F158&lt;&gt;0,F158*G$2/(100+G$2)," ")</f>
        <v> </v>
      </c>
      <c r="H158" s="6" t="str">
        <f aca="false">IF((F158&lt;&gt;0),F158-G158," ")</f>
        <v> </v>
      </c>
      <c r="I158" s="5"/>
      <c r="L158" s="7" t="str">
        <f aca="false">IF(F158&lt;&gt;0,F158-K158," ")</f>
        <v> </v>
      </c>
      <c r="M158" s="8" t="str">
        <f aca="false">IF((F158-K158)&lt;&gt;0,M$1-A158," ")</f>
        <v> </v>
      </c>
      <c r="N158" s="5"/>
      <c r="O158" s="17" t="str">
        <f aca="false">IF((E158="s"),H158," ")</f>
        <v> </v>
      </c>
      <c r="P158" s="17" t="str">
        <f aca="false">IF((E158="c"),H158," ")</f>
        <v> </v>
      </c>
      <c r="Q158" s="17" t="str">
        <f aca="false">IF((E158="o"),H158," ")</f>
        <v> </v>
      </c>
      <c r="R158" s="17" t="str">
        <f aca="false">IF((E158="d"),H158," ")</f>
        <v> </v>
      </c>
      <c r="S158" s="17" t="str">
        <f aca="false">IF((E158="w"),H158," ")</f>
        <v> </v>
      </c>
      <c r="T158" s="17" t="str">
        <f aca="false">IF((E158="r"),H158," ")</f>
        <v> </v>
      </c>
      <c r="U158" s="17" t="str">
        <f aca="false">IF((E158="p"),H158," ")</f>
        <v> </v>
      </c>
      <c r="V158" s="17" t="str">
        <f aca="false">IF((E158="t"),H158," ")</f>
        <v> </v>
      </c>
      <c r="W158" s="17" t="str">
        <f aca="false">IF((E158="q"),H158," ")</f>
        <v> </v>
      </c>
      <c r="X158" s="17" t="str">
        <f aca="false">IF((E158="m"),H158," ")</f>
        <v> </v>
      </c>
      <c r="Y158" s="17" t="str">
        <f aca="false">IF((E158="u"),H158," ")</f>
        <v> </v>
      </c>
      <c r="Z158" s="17" t="str">
        <f aca="false">IF((E158="a"),H158," ")</f>
        <v> </v>
      </c>
      <c r="AA158" s="17" t="str">
        <f aca="false">IF((E158="g"),H158," ")</f>
        <v> </v>
      </c>
      <c r="AB158" s="17" t="str">
        <f aca="false">IF((E158="h"),H158," ")</f>
        <v> </v>
      </c>
      <c r="AC158" s="30" t="str">
        <f aca="false">IF((E158="v"),H158," ")</f>
        <v> </v>
      </c>
      <c r="AD158" s="30" t="str">
        <f aca="false">IF((E158="n"),H158," ")</f>
        <v> </v>
      </c>
      <c r="AE158" s="17" t="str">
        <f aca="false">IF((E158="f"),H158," ")</f>
        <v> </v>
      </c>
      <c r="AF158" s="17" t="str">
        <f aca="false">IF((E158="l"),H158," ")</f>
        <v> </v>
      </c>
      <c r="AG158" s="17" t="str">
        <f aca="false">IF((E158="y"),H158," ")</f>
        <v> </v>
      </c>
      <c r="AH158" s="17" t="str">
        <f aca="false">IF((E158="z"),H158," ")</f>
        <v> </v>
      </c>
      <c r="AI158" s="17" t="str">
        <f aca="false">IF((E158="fa"),H158," ")</f>
        <v> </v>
      </c>
      <c r="AJ158" s="17" t="str">
        <f aca="false">IF((E158="e"),H158," ")</f>
        <v> </v>
      </c>
    </row>
    <row r="159" customFormat="false" ht="12" hidden="false" customHeight="false" outlineLevel="0" collapsed="false">
      <c r="A159" s="28"/>
      <c r="E159" s="2" t="str">
        <f aca="false">IF((F159&lt;&gt;0),"Enter Letter"," ")</f>
        <v> </v>
      </c>
      <c r="F159" s="30"/>
      <c r="G159" s="6" t="str">
        <f aca="false">IF(F159&lt;&gt;0,F159*G$2/(100+G$2)," ")</f>
        <v> </v>
      </c>
      <c r="H159" s="6" t="str">
        <f aca="false">IF((F159&lt;&gt;0),F159-G159," ")</f>
        <v> </v>
      </c>
      <c r="I159" s="5"/>
      <c r="L159" s="7" t="str">
        <f aca="false">IF(F159&lt;&gt;0,F159-K159," ")</f>
        <v> </v>
      </c>
      <c r="M159" s="8" t="str">
        <f aca="false">IF((F159-K159)&lt;&gt;0,M$1-A159," ")</f>
        <v> </v>
      </c>
      <c r="N159" s="5"/>
      <c r="O159" s="17" t="str">
        <f aca="false">IF((E159="s"),H159," ")</f>
        <v> </v>
      </c>
      <c r="P159" s="17" t="str">
        <f aca="false">IF((E159="c"),H159," ")</f>
        <v> </v>
      </c>
      <c r="Q159" s="17" t="str">
        <f aca="false">IF((E159="o"),H159," ")</f>
        <v> </v>
      </c>
      <c r="R159" s="17" t="str">
        <f aca="false">IF((E159="d"),H159," ")</f>
        <v> </v>
      </c>
      <c r="S159" s="17" t="str">
        <f aca="false">IF((E159="w"),H159," ")</f>
        <v> </v>
      </c>
      <c r="T159" s="17" t="str">
        <f aca="false">IF((E159="r"),H159," ")</f>
        <v> </v>
      </c>
      <c r="U159" s="17" t="str">
        <f aca="false">IF((E159="p"),H159," ")</f>
        <v> </v>
      </c>
      <c r="V159" s="17" t="str">
        <f aca="false">IF((E159="t"),H159," ")</f>
        <v> </v>
      </c>
      <c r="W159" s="17" t="str">
        <f aca="false">IF((E159="q"),H159," ")</f>
        <v> </v>
      </c>
      <c r="X159" s="17" t="str">
        <f aca="false">IF((E159="m"),H159," ")</f>
        <v> </v>
      </c>
      <c r="Y159" s="17" t="str">
        <f aca="false">IF((E159="u"),H159," ")</f>
        <v> </v>
      </c>
      <c r="Z159" s="17" t="str">
        <f aca="false">IF((E159="a"),H159," ")</f>
        <v> </v>
      </c>
      <c r="AA159" s="17" t="str">
        <f aca="false">IF((E159="g"),H159," ")</f>
        <v> </v>
      </c>
      <c r="AB159" s="17" t="str">
        <f aca="false">IF((E159="h"),H159," ")</f>
        <v> </v>
      </c>
      <c r="AC159" s="30" t="str">
        <f aca="false">IF((E159="v"),H159," ")</f>
        <v> </v>
      </c>
      <c r="AD159" s="30" t="str">
        <f aca="false">IF((E159="n"),H159," ")</f>
        <v> </v>
      </c>
      <c r="AE159" s="17" t="str">
        <f aca="false">IF((E159="f"),H159," ")</f>
        <v> </v>
      </c>
      <c r="AF159" s="17" t="str">
        <f aca="false">IF((E159="l"),H159," ")</f>
        <v> </v>
      </c>
      <c r="AG159" s="17" t="str">
        <f aca="false">IF((E159="y"),H159," ")</f>
        <v> </v>
      </c>
      <c r="AH159" s="17" t="str">
        <f aca="false">IF((E159="z"),H159," ")</f>
        <v> </v>
      </c>
      <c r="AI159" s="17" t="str">
        <f aca="false">IF((E159="fa"),H159," ")</f>
        <v> </v>
      </c>
      <c r="AJ159" s="17" t="str">
        <f aca="false">IF((E159="e"),H159," ")</f>
        <v> </v>
      </c>
    </row>
    <row r="160" customFormat="false" ht="12" hidden="false" customHeight="false" outlineLevel="0" collapsed="false">
      <c r="A160" s="28"/>
      <c r="E160" s="2" t="str">
        <f aca="false">IF((F160&lt;&gt;0),"Enter Letter"," ")</f>
        <v> </v>
      </c>
      <c r="F160" s="30"/>
      <c r="G160" s="6" t="str">
        <f aca="false">IF(F160&lt;&gt;0,F160*G$2/(100+G$2)," ")</f>
        <v> </v>
      </c>
      <c r="H160" s="6" t="str">
        <f aca="false">IF((F160&lt;&gt;0),F160-G160," ")</f>
        <v> </v>
      </c>
      <c r="I160" s="5"/>
      <c r="L160" s="7" t="str">
        <f aca="false">IF(F160&lt;&gt;0,F160-K160," ")</f>
        <v> </v>
      </c>
      <c r="M160" s="8" t="str">
        <f aca="false">IF((F160-K160)&lt;&gt;0,M$1-A160," ")</f>
        <v> </v>
      </c>
      <c r="N160" s="5"/>
      <c r="O160" s="17" t="str">
        <f aca="false">IF((E160="s"),H160," ")</f>
        <v> </v>
      </c>
      <c r="P160" s="17" t="str">
        <f aca="false">IF((E160="c"),H160," ")</f>
        <v> </v>
      </c>
      <c r="Q160" s="17" t="str">
        <f aca="false">IF((E160="o"),H160," ")</f>
        <v> </v>
      </c>
      <c r="R160" s="17" t="str">
        <f aca="false">IF((E160="d"),H160," ")</f>
        <v> </v>
      </c>
      <c r="S160" s="17" t="str">
        <f aca="false">IF((E160="w"),H160," ")</f>
        <v> </v>
      </c>
      <c r="T160" s="17" t="str">
        <f aca="false">IF((E160="r"),H160," ")</f>
        <v> </v>
      </c>
      <c r="U160" s="17" t="str">
        <f aca="false">IF((E160="p"),H160," ")</f>
        <v> </v>
      </c>
      <c r="V160" s="17" t="str">
        <f aca="false">IF((E160="t"),H160," ")</f>
        <v> </v>
      </c>
      <c r="W160" s="17" t="str">
        <f aca="false">IF((E160="q"),H160," ")</f>
        <v> </v>
      </c>
      <c r="X160" s="17" t="str">
        <f aca="false">IF((E160="m"),H160," ")</f>
        <v> </v>
      </c>
      <c r="Y160" s="17" t="str">
        <f aca="false">IF((E160="u"),H160," ")</f>
        <v> </v>
      </c>
      <c r="Z160" s="17" t="str">
        <f aca="false">IF((E160="a"),H160," ")</f>
        <v> </v>
      </c>
      <c r="AA160" s="17" t="str">
        <f aca="false">IF((E160="g"),H160," ")</f>
        <v> </v>
      </c>
      <c r="AB160" s="17" t="str">
        <f aca="false">IF((E160="h"),H160," ")</f>
        <v> </v>
      </c>
      <c r="AC160" s="30" t="str">
        <f aca="false">IF((E160="v"),H160," ")</f>
        <v> </v>
      </c>
      <c r="AD160" s="30" t="str">
        <f aca="false">IF((E160="n"),H160," ")</f>
        <v> </v>
      </c>
      <c r="AE160" s="17" t="str">
        <f aca="false">IF((E160="f"),H160," ")</f>
        <v> </v>
      </c>
      <c r="AF160" s="17" t="str">
        <f aca="false">IF((E160="l"),H160," ")</f>
        <v> </v>
      </c>
      <c r="AG160" s="17" t="str">
        <f aca="false">IF((E160="y"),H160," ")</f>
        <v> </v>
      </c>
      <c r="AH160" s="17" t="str">
        <f aca="false">IF((E160="z"),H160," ")</f>
        <v> </v>
      </c>
      <c r="AI160" s="17" t="str">
        <f aca="false">IF((E160="fa"),H160," ")</f>
        <v> </v>
      </c>
      <c r="AJ160" s="17" t="str">
        <f aca="false">IF((E160="e"),H160," ")</f>
        <v> </v>
      </c>
    </row>
    <row r="161" customFormat="false" ht="12" hidden="false" customHeight="false" outlineLevel="0" collapsed="false">
      <c r="A161" s="28"/>
      <c r="E161" s="2" t="str">
        <f aca="false">IF((F161&lt;&gt;0),"Enter Letter"," ")</f>
        <v> </v>
      </c>
      <c r="F161" s="30"/>
      <c r="G161" s="6" t="str">
        <f aca="false">IF(F161&lt;&gt;0,F161*G$2/(100+G$2)," ")</f>
        <v> </v>
      </c>
      <c r="H161" s="6" t="str">
        <f aca="false">IF((F161&lt;&gt;0),F161-G161," ")</f>
        <v> </v>
      </c>
      <c r="I161" s="5"/>
      <c r="L161" s="7" t="str">
        <f aca="false">IF(F161&lt;&gt;0,F161-K161," ")</f>
        <v> </v>
      </c>
      <c r="M161" s="8" t="str">
        <f aca="false">IF((F161-K161)&lt;&gt;0,M$1-A161," ")</f>
        <v> </v>
      </c>
      <c r="N161" s="5"/>
      <c r="O161" s="17" t="str">
        <f aca="false">IF((E161="s"),H161," ")</f>
        <v> </v>
      </c>
      <c r="P161" s="17" t="str">
        <f aca="false">IF((E161="c"),H161," ")</f>
        <v> </v>
      </c>
      <c r="Q161" s="17" t="str">
        <f aca="false">IF((E161="o"),H161," ")</f>
        <v> </v>
      </c>
      <c r="R161" s="17" t="str">
        <f aca="false">IF((E161="d"),H161," ")</f>
        <v> </v>
      </c>
      <c r="S161" s="17" t="str">
        <f aca="false">IF((E161="w"),H161," ")</f>
        <v> </v>
      </c>
      <c r="T161" s="17" t="str">
        <f aca="false">IF((E161="r"),H161," ")</f>
        <v> </v>
      </c>
      <c r="U161" s="17" t="str">
        <f aca="false">IF((E161="p"),H161," ")</f>
        <v> </v>
      </c>
      <c r="V161" s="17" t="str">
        <f aca="false">IF((E161="t"),H161," ")</f>
        <v> </v>
      </c>
      <c r="W161" s="17" t="str">
        <f aca="false">IF((E161="q"),H161," ")</f>
        <v> </v>
      </c>
      <c r="X161" s="17" t="str">
        <f aca="false">IF((E161="m"),H161," ")</f>
        <v> </v>
      </c>
      <c r="Y161" s="17" t="str">
        <f aca="false">IF((E161="u"),H161," ")</f>
        <v> </v>
      </c>
      <c r="Z161" s="17" t="str">
        <f aca="false">IF((E161="a"),H161," ")</f>
        <v> </v>
      </c>
      <c r="AA161" s="17" t="str">
        <f aca="false">IF((E161="g"),H161," ")</f>
        <v> </v>
      </c>
      <c r="AB161" s="17" t="str">
        <f aca="false">IF((E161="h"),H161," ")</f>
        <v> </v>
      </c>
      <c r="AC161" s="30" t="str">
        <f aca="false">IF((E161="v"),H161," ")</f>
        <v> </v>
      </c>
      <c r="AD161" s="30" t="str">
        <f aca="false">IF((E161="n"),H161," ")</f>
        <v> </v>
      </c>
      <c r="AE161" s="17" t="str">
        <f aca="false">IF((E161="f"),H161," ")</f>
        <v> </v>
      </c>
      <c r="AF161" s="17" t="str">
        <f aca="false">IF((E161="l"),H161," ")</f>
        <v> </v>
      </c>
      <c r="AG161" s="17" t="str">
        <f aca="false">IF((E161="y"),H161," ")</f>
        <v> </v>
      </c>
      <c r="AH161" s="17" t="str">
        <f aca="false">IF((E161="z"),H161," ")</f>
        <v> </v>
      </c>
      <c r="AI161" s="17" t="str">
        <f aca="false">IF((E161="fa"),H161," ")</f>
        <v> </v>
      </c>
      <c r="AJ161" s="17" t="str">
        <f aca="false">IF((E161="e"),H161," ")</f>
        <v> </v>
      </c>
    </row>
    <row r="162" customFormat="false" ht="12" hidden="false" customHeight="false" outlineLevel="0" collapsed="false">
      <c r="A162" s="28"/>
      <c r="E162" s="2" t="str">
        <f aca="false">IF((F162&lt;&gt;0),"Enter Letter"," ")</f>
        <v> </v>
      </c>
      <c r="F162" s="30"/>
      <c r="G162" s="6" t="str">
        <f aca="false">IF(F162&lt;&gt;0,F162*G$2/(100+G$2)," ")</f>
        <v> </v>
      </c>
      <c r="H162" s="6" t="str">
        <f aca="false">IF((F162&lt;&gt;0),F162-G162," ")</f>
        <v> </v>
      </c>
      <c r="I162" s="5"/>
      <c r="L162" s="7" t="str">
        <f aca="false">IF(F162&lt;&gt;0,F162-K162," ")</f>
        <v> </v>
      </c>
      <c r="M162" s="8" t="str">
        <f aca="false">IF((F162-K162)&lt;&gt;0,M$1-A162," ")</f>
        <v> </v>
      </c>
      <c r="N162" s="5"/>
      <c r="O162" s="17" t="str">
        <f aca="false">IF((E162="s"),H162," ")</f>
        <v> </v>
      </c>
      <c r="P162" s="17" t="str">
        <f aca="false">IF((E162="c"),H162," ")</f>
        <v> </v>
      </c>
      <c r="Q162" s="17" t="str">
        <f aca="false">IF((E162="o"),H162," ")</f>
        <v> </v>
      </c>
      <c r="R162" s="17" t="str">
        <f aca="false">IF((E162="d"),H162," ")</f>
        <v> </v>
      </c>
      <c r="S162" s="17" t="str">
        <f aca="false">IF((E162="w"),H162," ")</f>
        <v> </v>
      </c>
      <c r="T162" s="17" t="str">
        <f aca="false">IF((E162="r"),H162," ")</f>
        <v> </v>
      </c>
      <c r="U162" s="17" t="str">
        <f aca="false">IF((E162="p"),H162," ")</f>
        <v> </v>
      </c>
      <c r="V162" s="17" t="str">
        <f aca="false">IF((E162="t"),H162," ")</f>
        <v> </v>
      </c>
      <c r="W162" s="17" t="str">
        <f aca="false">IF((E162="q"),H162," ")</f>
        <v> </v>
      </c>
      <c r="X162" s="17" t="str">
        <f aca="false">IF((E162="m"),H162," ")</f>
        <v> </v>
      </c>
      <c r="Y162" s="17" t="str">
        <f aca="false">IF((E162="u"),H162," ")</f>
        <v> </v>
      </c>
      <c r="Z162" s="17" t="str">
        <f aca="false">IF((E162="a"),H162," ")</f>
        <v> </v>
      </c>
      <c r="AA162" s="17" t="str">
        <f aca="false">IF((E162="g"),H162," ")</f>
        <v> </v>
      </c>
      <c r="AB162" s="17" t="str">
        <f aca="false">IF((E162="h"),H162," ")</f>
        <v> </v>
      </c>
      <c r="AC162" s="30" t="str">
        <f aca="false">IF((E162="v"),H162," ")</f>
        <v> </v>
      </c>
      <c r="AD162" s="30" t="str">
        <f aca="false">IF((E162="n"),H162," ")</f>
        <v> </v>
      </c>
      <c r="AE162" s="17" t="str">
        <f aca="false">IF((E162="f"),H162," ")</f>
        <v> </v>
      </c>
      <c r="AF162" s="17" t="str">
        <f aca="false">IF((E162="l"),H162," ")</f>
        <v> </v>
      </c>
      <c r="AG162" s="17" t="str">
        <f aca="false">IF((E162="y"),H162," ")</f>
        <v> </v>
      </c>
      <c r="AH162" s="17" t="str">
        <f aca="false">IF((E162="z"),H162," ")</f>
        <v> </v>
      </c>
      <c r="AI162" s="17" t="str">
        <f aca="false">IF((E162="fa"),H162," ")</f>
        <v> </v>
      </c>
      <c r="AJ162" s="17" t="str">
        <f aca="false">IF((E162="e"),H162," ")</f>
        <v> </v>
      </c>
    </row>
    <row r="163" customFormat="false" ht="12" hidden="false" customHeight="false" outlineLevel="0" collapsed="false">
      <c r="A163" s="28"/>
      <c r="E163" s="2" t="str">
        <f aca="false">IF((F163&lt;&gt;0),"Enter Letter"," ")</f>
        <v> </v>
      </c>
      <c r="F163" s="30"/>
      <c r="G163" s="6" t="str">
        <f aca="false">IF(F163&lt;&gt;0,F163*G$2/(100+G$2)," ")</f>
        <v> </v>
      </c>
      <c r="H163" s="6" t="str">
        <f aca="false">IF((F163&lt;&gt;0),F163-G163," ")</f>
        <v> </v>
      </c>
      <c r="I163" s="5"/>
      <c r="L163" s="7" t="str">
        <f aca="false">IF(F163&lt;&gt;0,F163-K163," ")</f>
        <v> </v>
      </c>
      <c r="M163" s="8" t="str">
        <f aca="false">IF((F163-K163)&lt;&gt;0,M$1-A163," ")</f>
        <v> </v>
      </c>
      <c r="N163" s="5"/>
      <c r="O163" s="17" t="str">
        <f aca="false">IF((E163="s"),H163," ")</f>
        <v> </v>
      </c>
      <c r="P163" s="17" t="str">
        <f aca="false">IF((E163="c"),H163," ")</f>
        <v> </v>
      </c>
      <c r="Q163" s="17" t="str">
        <f aca="false">IF((E163="o"),H163," ")</f>
        <v> </v>
      </c>
      <c r="R163" s="17" t="str">
        <f aca="false">IF((E163="d"),H163," ")</f>
        <v> </v>
      </c>
      <c r="S163" s="17" t="str">
        <f aca="false">IF((E163="w"),H163," ")</f>
        <v> </v>
      </c>
      <c r="T163" s="17" t="str">
        <f aca="false">IF((E163="r"),H163," ")</f>
        <v> </v>
      </c>
      <c r="U163" s="17" t="str">
        <f aca="false">IF((E163="p"),H163," ")</f>
        <v> </v>
      </c>
      <c r="V163" s="17" t="str">
        <f aca="false">IF((E163="t"),H163," ")</f>
        <v> </v>
      </c>
      <c r="W163" s="17" t="str">
        <f aca="false">IF((E163="q"),H163," ")</f>
        <v> </v>
      </c>
      <c r="X163" s="17" t="str">
        <f aca="false">IF((E163="m"),H163," ")</f>
        <v> </v>
      </c>
      <c r="Y163" s="17" t="str">
        <f aca="false">IF((E163="u"),H163," ")</f>
        <v> </v>
      </c>
      <c r="Z163" s="17" t="str">
        <f aca="false">IF((E163="a"),H163," ")</f>
        <v> </v>
      </c>
      <c r="AA163" s="17" t="str">
        <f aca="false">IF((E163="g"),H163," ")</f>
        <v> </v>
      </c>
      <c r="AB163" s="17" t="str">
        <f aca="false">IF((E163="h"),H163," ")</f>
        <v> </v>
      </c>
      <c r="AC163" s="30" t="str">
        <f aca="false">IF((E163="v"),H163," ")</f>
        <v> </v>
      </c>
      <c r="AD163" s="30" t="str">
        <f aca="false">IF((E163="n"),H163," ")</f>
        <v> </v>
      </c>
      <c r="AE163" s="17" t="str">
        <f aca="false">IF((E163="f"),H163," ")</f>
        <v> </v>
      </c>
      <c r="AF163" s="17" t="str">
        <f aca="false">IF((E163="l"),H163," ")</f>
        <v> </v>
      </c>
      <c r="AG163" s="17" t="str">
        <f aca="false">IF((E163="y"),H163," ")</f>
        <v> </v>
      </c>
      <c r="AH163" s="17" t="str">
        <f aca="false">IF((E163="z"),H163," ")</f>
        <v> </v>
      </c>
      <c r="AI163" s="17" t="str">
        <f aca="false">IF((E163="fa"),H163," ")</f>
        <v> </v>
      </c>
      <c r="AJ163" s="17" t="str">
        <f aca="false">IF((E163="e"),H163," ")</f>
        <v> </v>
      </c>
    </row>
    <row r="164" customFormat="false" ht="12" hidden="false" customHeight="false" outlineLevel="0" collapsed="false">
      <c r="A164" s="28"/>
      <c r="E164" s="2" t="str">
        <f aca="false">IF((F164&lt;&gt;0),"Enter Letter"," ")</f>
        <v> </v>
      </c>
      <c r="F164" s="30"/>
      <c r="G164" s="6" t="str">
        <f aca="false">IF(F164&lt;&gt;0,F164*G$2/(100+G$2)," ")</f>
        <v> </v>
      </c>
      <c r="H164" s="6" t="str">
        <f aca="false">IF((F164&lt;&gt;0),F164-G164," ")</f>
        <v> </v>
      </c>
      <c r="I164" s="5"/>
      <c r="L164" s="7" t="str">
        <f aca="false">IF(F164&lt;&gt;0,F164-K164," ")</f>
        <v> </v>
      </c>
      <c r="M164" s="8" t="str">
        <f aca="false">IF((F164-K164)&lt;&gt;0,M$1-A164," ")</f>
        <v> </v>
      </c>
      <c r="N164" s="5"/>
      <c r="O164" s="17" t="str">
        <f aca="false">IF((E164="s"),H164," ")</f>
        <v> </v>
      </c>
      <c r="P164" s="17" t="str">
        <f aca="false">IF((E164="c"),H164," ")</f>
        <v> </v>
      </c>
      <c r="Q164" s="17" t="str">
        <f aca="false">IF((E164="o"),H164," ")</f>
        <v> </v>
      </c>
      <c r="R164" s="17" t="str">
        <f aca="false">IF((E164="d"),H164," ")</f>
        <v> </v>
      </c>
      <c r="S164" s="17" t="str">
        <f aca="false">IF((E164="w"),H164," ")</f>
        <v> </v>
      </c>
      <c r="T164" s="17" t="str">
        <f aca="false">IF((E164="r"),H164," ")</f>
        <v> </v>
      </c>
      <c r="U164" s="17" t="str">
        <f aca="false">IF((E164="p"),H164," ")</f>
        <v> </v>
      </c>
      <c r="V164" s="17" t="str">
        <f aca="false">IF((E164="t"),H164," ")</f>
        <v> </v>
      </c>
      <c r="W164" s="17" t="str">
        <f aca="false">IF((E164="q"),H164," ")</f>
        <v> </v>
      </c>
      <c r="X164" s="17" t="str">
        <f aca="false">IF((E164="m"),H164," ")</f>
        <v> </v>
      </c>
      <c r="Y164" s="17" t="str">
        <f aca="false">IF((E164="u"),H164," ")</f>
        <v> </v>
      </c>
      <c r="Z164" s="17" t="str">
        <f aca="false">IF((E164="a"),H164," ")</f>
        <v> </v>
      </c>
      <c r="AA164" s="17" t="str">
        <f aca="false">IF((E164="g"),H164," ")</f>
        <v> </v>
      </c>
      <c r="AB164" s="17" t="str">
        <f aca="false">IF((E164="h"),H164," ")</f>
        <v> </v>
      </c>
      <c r="AC164" s="30" t="str">
        <f aca="false">IF((E164="v"),H164," ")</f>
        <v> </v>
      </c>
      <c r="AD164" s="30" t="str">
        <f aca="false">IF((E164="n"),H164," ")</f>
        <v> </v>
      </c>
      <c r="AE164" s="17" t="str">
        <f aca="false">IF((E164="f"),H164," ")</f>
        <v> </v>
      </c>
      <c r="AF164" s="17" t="str">
        <f aca="false">IF((E164="l"),H164," ")</f>
        <v> </v>
      </c>
      <c r="AG164" s="17" t="str">
        <f aca="false">IF((E164="y"),H164," ")</f>
        <v> </v>
      </c>
      <c r="AH164" s="17" t="str">
        <f aca="false">IF((E164="z"),H164," ")</f>
        <v> </v>
      </c>
      <c r="AI164" s="17" t="str">
        <f aca="false">IF((E164="fa"),H164," ")</f>
        <v> </v>
      </c>
      <c r="AJ164" s="17" t="str">
        <f aca="false">IF((E164="e"),H164," ")</f>
        <v> </v>
      </c>
    </row>
    <row r="165" customFormat="false" ht="12" hidden="false" customHeight="false" outlineLevel="0" collapsed="false">
      <c r="A165" s="28"/>
      <c r="E165" s="2" t="str">
        <f aca="false">IF((F165&lt;&gt;0),"Enter Letter"," ")</f>
        <v> </v>
      </c>
      <c r="F165" s="30"/>
      <c r="G165" s="6" t="str">
        <f aca="false">IF(F165&lt;&gt;0,F165*G$2/(100+G$2)," ")</f>
        <v> </v>
      </c>
      <c r="H165" s="6" t="str">
        <f aca="false">IF((F165&lt;&gt;0),F165-G165," ")</f>
        <v> </v>
      </c>
      <c r="I165" s="5"/>
      <c r="L165" s="7" t="str">
        <f aca="false">IF(F165&lt;&gt;0,F165-K165," ")</f>
        <v> </v>
      </c>
      <c r="M165" s="8" t="str">
        <f aca="false">IF((F165-K165)&lt;&gt;0,M$1-A165," ")</f>
        <v> </v>
      </c>
      <c r="N165" s="5"/>
      <c r="O165" s="17" t="str">
        <f aca="false">IF((E165="s"),H165," ")</f>
        <v> </v>
      </c>
      <c r="P165" s="17" t="str">
        <f aca="false">IF((E165="c"),H165," ")</f>
        <v> </v>
      </c>
      <c r="Q165" s="17" t="str">
        <f aca="false">IF((E165="o"),H165," ")</f>
        <v> </v>
      </c>
      <c r="R165" s="17" t="str">
        <f aca="false">IF((E165="d"),H165," ")</f>
        <v> </v>
      </c>
      <c r="S165" s="17" t="str">
        <f aca="false">IF((E165="w"),H165," ")</f>
        <v> </v>
      </c>
      <c r="T165" s="17" t="str">
        <f aca="false">IF((E165="r"),H165," ")</f>
        <v> </v>
      </c>
      <c r="U165" s="17" t="str">
        <f aca="false">IF((E165="p"),H165," ")</f>
        <v> </v>
      </c>
      <c r="V165" s="17" t="str">
        <f aca="false">IF((E165="t"),H165," ")</f>
        <v> </v>
      </c>
      <c r="W165" s="17" t="str">
        <f aca="false">IF((E165="q"),H165," ")</f>
        <v> </v>
      </c>
      <c r="X165" s="17" t="str">
        <f aca="false">IF((E165="m"),H165," ")</f>
        <v> </v>
      </c>
      <c r="Y165" s="17" t="str">
        <f aca="false">IF((E165="u"),H165," ")</f>
        <v> </v>
      </c>
      <c r="Z165" s="17" t="str">
        <f aca="false">IF((E165="a"),H165," ")</f>
        <v> </v>
      </c>
      <c r="AA165" s="17" t="str">
        <f aca="false">IF((E165="g"),H165," ")</f>
        <v> </v>
      </c>
      <c r="AB165" s="17" t="str">
        <f aca="false">IF((E165="h"),H165," ")</f>
        <v> </v>
      </c>
      <c r="AC165" s="30" t="str">
        <f aca="false">IF((E165="v"),H165," ")</f>
        <v> </v>
      </c>
      <c r="AD165" s="30" t="str">
        <f aca="false">IF((E165="n"),H165," ")</f>
        <v> </v>
      </c>
      <c r="AE165" s="17" t="str">
        <f aca="false">IF((E165="f"),H165," ")</f>
        <v> </v>
      </c>
      <c r="AF165" s="17" t="str">
        <f aca="false">IF((E165="l"),H165," ")</f>
        <v> </v>
      </c>
      <c r="AG165" s="17" t="str">
        <f aca="false">IF((E165="y"),H165," ")</f>
        <v> </v>
      </c>
      <c r="AH165" s="17" t="str">
        <f aca="false">IF((E165="z"),H165," ")</f>
        <v> </v>
      </c>
      <c r="AI165" s="17" t="str">
        <f aca="false">IF((E165="fa"),H165," ")</f>
        <v> </v>
      </c>
      <c r="AJ165" s="17" t="str">
        <f aca="false">IF((E165="e"),H165," ")</f>
        <v> </v>
      </c>
    </row>
    <row r="166" customFormat="false" ht="12" hidden="false" customHeight="false" outlineLevel="0" collapsed="false">
      <c r="A166" s="28"/>
      <c r="E166" s="2" t="str">
        <f aca="false">IF((F166&lt;&gt;0),"Enter Letter"," ")</f>
        <v> </v>
      </c>
      <c r="F166" s="30"/>
      <c r="G166" s="6" t="str">
        <f aca="false">IF(F166&lt;&gt;0,F166*G$2/(100+G$2)," ")</f>
        <v> </v>
      </c>
      <c r="H166" s="6" t="str">
        <f aca="false">IF((F166&lt;&gt;0),F166-G166," ")</f>
        <v> </v>
      </c>
      <c r="I166" s="5"/>
      <c r="L166" s="7" t="str">
        <f aca="false">IF(F166&lt;&gt;0,F166-K166," ")</f>
        <v> </v>
      </c>
      <c r="M166" s="8" t="str">
        <f aca="false">IF((F166-K166)&lt;&gt;0,M$1-A166," ")</f>
        <v> </v>
      </c>
      <c r="N166" s="5"/>
      <c r="O166" s="17" t="str">
        <f aca="false">IF((E166="s"),H166," ")</f>
        <v> </v>
      </c>
      <c r="P166" s="17" t="str">
        <f aca="false">IF((E166="c"),H166," ")</f>
        <v> </v>
      </c>
      <c r="Q166" s="17" t="str">
        <f aca="false">IF((E166="o"),H166," ")</f>
        <v> </v>
      </c>
      <c r="R166" s="17" t="str">
        <f aca="false">IF((E166="d"),H166," ")</f>
        <v> </v>
      </c>
      <c r="S166" s="17" t="str">
        <f aca="false">IF((E166="w"),H166," ")</f>
        <v> </v>
      </c>
      <c r="T166" s="17" t="str">
        <f aca="false">IF((E166="r"),H166," ")</f>
        <v> </v>
      </c>
      <c r="U166" s="17" t="str">
        <f aca="false">IF((E166="p"),H166," ")</f>
        <v> </v>
      </c>
      <c r="V166" s="17" t="str">
        <f aca="false">IF((E166="t"),H166," ")</f>
        <v> </v>
      </c>
      <c r="W166" s="17" t="str">
        <f aca="false">IF((E166="q"),H166," ")</f>
        <v> </v>
      </c>
      <c r="X166" s="17" t="str">
        <f aca="false">IF((E166="m"),H166," ")</f>
        <v> </v>
      </c>
      <c r="Y166" s="17" t="str">
        <f aca="false">IF((E166="u"),H166," ")</f>
        <v> </v>
      </c>
      <c r="Z166" s="17" t="str">
        <f aca="false">IF((E166="a"),H166," ")</f>
        <v> </v>
      </c>
      <c r="AA166" s="17" t="str">
        <f aca="false">IF((E166="g"),H166," ")</f>
        <v> </v>
      </c>
      <c r="AB166" s="17" t="str">
        <f aca="false">IF((E166="h"),H166," ")</f>
        <v> </v>
      </c>
      <c r="AC166" s="30" t="str">
        <f aca="false">IF((E166="v"),H166," ")</f>
        <v> </v>
      </c>
      <c r="AD166" s="30" t="str">
        <f aca="false">IF((E166="n"),H166," ")</f>
        <v> </v>
      </c>
      <c r="AE166" s="17" t="str">
        <f aca="false">IF((E166="f"),H166," ")</f>
        <v> </v>
      </c>
      <c r="AF166" s="17" t="str">
        <f aca="false">IF((E166="l"),H166," ")</f>
        <v> </v>
      </c>
      <c r="AG166" s="17" t="str">
        <f aca="false">IF((E166="y"),H166," ")</f>
        <v> </v>
      </c>
      <c r="AH166" s="17" t="str">
        <f aca="false">IF((E166="z"),H166," ")</f>
        <v> </v>
      </c>
      <c r="AI166" s="17" t="str">
        <f aca="false">IF((E166="fa"),H166," ")</f>
        <v> </v>
      </c>
      <c r="AJ166" s="17" t="str">
        <f aca="false">IF((E166="e"),H166," ")</f>
        <v> </v>
      </c>
    </row>
    <row r="167" customFormat="false" ht="12" hidden="false" customHeight="false" outlineLevel="0" collapsed="false">
      <c r="A167" s="28"/>
      <c r="E167" s="2" t="str">
        <f aca="false">IF((F167&lt;&gt;0),"Enter Letter"," ")</f>
        <v> </v>
      </c>
      <c r="F167" s="30"/>
      <c r="G167" s="6" t="str">
        <f aca="false">IF(F167&lt;&gt;0,F167*G$2/(100+G$2)," ")</f>
        <v> </v>
      </c>
      <c r="H167" s="6" t="str">
        <f aca="false">IF((F167&lt;&gt;0),F167-G167," ")</f>
        <v> </v>
      </c>
      <c r="I167" s="5"/>
      <c r="L167" s="7" t="str">
        <f aca="false">IF(F167&lt;&gt;0,F167-K167," ")</f>
        <v> </v>
      </c>
      <c r="M167" s="8" t="str">
        <f aca="false">IF((F167-K167)&lt;&gt;0,M$1-A167," ")</f>
        <v> </v>
      </c>
      <c r="N167" s="5"/>
      <c r="O167" s="17" t="str">
        <f aca="false">IF((E167="s"),H167," ")</f>
        <v> </v>
      </c>
      <c r="P167" s="17" t="str">
        <f aca="false">IF((E167="c"),H167," ")</f>
        <v> </v>
      </c>
      <c r="Q167" s="17" t="str">
        <f aca="false">IF((E167="o"),H167," ")</f>
        <v> </v>
      </c>
      <c r="R167" s="17" t="str">
        <f aca="false">IF((E167="d"),H167," ")</f>
        <v> </v>
      </c>
      <c r="S167" s="17" t="str">
        <f aca="false">IF((E167="w"),H167," ")</f>
        <v> </v>
      </c>
      <c r="T167" s="17" t="str">
        <f aca="false">IF((E167="r"),H167," ")</f>
        <v> </v>
      </c>
      <c r="U167" s="17" t="str">
        <f aca="false">IF((E167="p"),H167," ")</f>
        <v> </v>
      </c>
      <c r="V167" s="17" t="str">
        <f aca="false">IF((E167="t"),H167," ")</f>
        <v> </v>
      </c>
      <c r="W167" s="17" t="str">
        <f aca="false">IF((E167="q"),H167," ")</f>
        <v> </v>
      </c>
      <c r="X167" s="17" t="str">
        <f aca="false">IF((E167="m"),H167," ")</f>
        <v> </v>
      </c>
      <c r="Y167" s="17" t="str">
        <f aca="false">IF((E167="u"),H167," ")</f>
        <v> </v>
      </c>
      <c r="Z167" s="17" t="str">
        <f aca="false">IF((E167="a"),H167," ")</f>
        <v> </v>
      </c>
      <c r="AA167" s="17" t="str">
        <f aca="false">IF((E167="g"),H167," ")</f>
        <v> </v>
      </c>
      <c r="AB167" s="17" t="str">
        <f aca="false">IF((E167="h"),H167," ")</f>
        <v> </v>
      </c>
      <c r="AC167" s="30" t="str">
        <f aca="false">IF((E167="v"),H167," ")</f>
        <v> </v>
      </c>
      <c r="AD167" s="30" t="str">
        <f aca="false">IF((E167="n"),H167," ")</f>
        <v> </v>
      </c>
      <c r="AE167" s="17" t="str">
        <f aca="false">IF((E167="f"),H167," ")</f>
        <v> </v>
      </c>
      <c r="AF167" s="17" t="str">
        <f aca="false">IF((E167="l"),H167," ")</f>
        <v> </v>
      </c>
      <c r="AG167" s="17" t="str">
        <f aca="false">IF((E167="y"),H167," ")</f>
        <v> </v>
      </c>
      <c r="AH167" s="17" t="str">
        <f aca="false">IF((E167="z"),H167," ")</f>
        <v> </v>
      </c>
      <c r="AI167" s="17" t="str">
        <f aca="false">IF((E167="fa"),H167," ")</f>
        <v> </v>
      </c>
      <c r="AJ167" s="17" t="str">
        <f aca="false">IF((E167="e"),H167," ")</f>
        <v> </v>
      </c>
    </row>
    <row r="168" customFormat="false" ht="12" hidden="false" customHeight="false" outlineLevel="0" collapsed="false">
      <c r="A168" s="28"/>
      <c r="E168" s="2" t="str">
        <f aca="false">IF((F168&lt;&gt;0),"Enter Letter"," ")</f>
        <v> </v>
      </c>
      <c r="F168" s="30"/>
      <c r="G168" s="6" t="str">
        <f aca="false">IF(F168&lt;&gt;0,F168*G$2/(100+G$2)," ")</f>
        <v> </v>
      </c>
      <c r="H168" s="6" t="str">
        <f aca="false">IF((F168&lt;&gt;0),F168-G168," ")</f>
        <v> </v>
      </c>
      <c r="I168" s="5"/>
      <c r="L168" s="7" t="str">
        <f aca="false">IF(F168&lt;&gt;0,F168-K168," ")</f>
        <v> </v>
      </c>
      <c r="M168" s="8" t="str">
        <f aca="false">IF((F168-K168)&lt;&gt;0,M$1-A168," ")</f>
        <v> </v>
      </c>
      <c r="N168" s="5"/>
      <c r="O168" s="17" t="str">
        <f aca="false">IF((E168="s"),H168," ")</f>
        <v> </v>
      </c>
      <c r="P168" s="17" t="str">
        <f aca="false">IF((E168="c"),H168," ")</f>
        <v> </v>
      </c>
      <c r="Q168" s="17" t="str">
        <f aca="false">IF((E168="o"),H168," ")</f>
        <v> </v>
      </c>
      <c r="R168" s="17" t="str">
        <f aca="false">IF((E168="d"),H168," ")</f>
        <v> </v>
      </c>
      <c r="S168" s="17" t="str">
        <f aca="false">IF((E168="w"),H168," ")</f>
        <v> </v>
      </c>
      <c r="T168" s="17" t="str">
        <f aca="false">IF((E168="r"),H168," ")</f>
        <v> </v>
      </c>
      <c r="U168" s="17" t="str">
        <f aca="false">IF((E168="p"),H168," ")</f>
        <v> </v>
      </c>
      <c r="V168" s="17" t="str">
        <f aca="false">IF((E168="t"),H168," ")</f>
        <v> </v>
      </c>
      <c r="W168" s="17" t="str">
        <f aca="false">IF((E168="q"),H168," ")</f>
        <v> </v>
      </c>
      <c r="X168" s="17" t="str">
        <f aca="false">IF((E168="m"),H168," ")</f>
        <v> </v>
      </c>
      <c r="Y168" s="17" t="str">
        <f aca="false">IF((E168="u"),H168," ")</f>
        <v> </v>
      </c>
      <c r="Z168" s="17" t="str">
        <f aca="false">IF((E168="a"),H168," ")</f>
        <v> </v>
      </c>
      <c r="AA168" s="17" t="str">
        <f aca="false">IF((E168="g"),H168," ")</f>
        <v> </v>
      </c>
      <c r="AB168" s="17" t="str">
        <f aca="false">IF((E168="h"),H168," ")</f>
        <v> </v>
      </c>
      <c r="AC168" s="30" t="str">
        <f aca="false">IF((E168="v"),H168," ")</f>
        <v> </v>
      </c>
      <c r="AD168" s="30" t="str">
        <f aca="false">IF((E168="n"),H168," ")</f>
        <v> </v>
      </c>
      <c r="AE168" s="17" t="str">
        <f aca="false">IF((E168="f"),H168," ")</f>
        <v> </v>
      </c>
      <c r="AF168" s="17" t="str">
        <f aca="false">IF((E168="l"),H168," ")</f>
        <v> </v>
      </c>
      <c r="AG168" s="17" t="str">
        <f aca="false">IF((E168="y"),H168," ")</f>
        <v> </v>
      </c>
      <c r="AH168" s="17" t="str">
        <f aca="false">IF((E168="z"),H168," ")</f>
        <v> </v>
      </c>
      <c r="AI168" s="17" t="str">
        <f aca="false">IF((E168="fa"),H168," ")</f>
        <v> </v>
      </c>
      <c r="AJ168" s="17" t="str">
        <f aca="false">IF((E168="e"),H168," ")</f>
        <v> </v>
      </c>
    </row>
    <row r="169" customFormat="false" ht="12" hidden="false" customHeight="false" outlineLevel="0" collapsed="false">
      <c r="A169" s="28"/>
      <c r="E169" s="2" t="str">
        <f aca="false">IF((F169&lt;&gt;0),"Enter Letter"," ")</f>
        <v> </v>
      </c>
      <c r="F169" s="30"/>
      <c r="G169" s="6" t="str">
        <f aca="false">IF(F169&lt;&gt;0,F169*G$2/(100+G$2)," ")</f>
        <v> </v>
      </c>
      <c r="H169" s="6" t="str">
        <f aca="false">IF((F169&lt;&gt;0),F169-G169," ")</f>
        <v> </v>
      </c>
      <c r="I169" s="5"/>
      <c r="L169" s="7" t="str">
        <f aca="false">IF(F169&lt;&gt;0,F169-K169," ")</f>
        <v> </v>
      </c>
      <c r="M169" s="8" t="str">
        <f aca="false">IF((F169-K169)&lt;&gt;0,M$1-A169," ")</f>
        <v> </v>
      </c>
      <c r="N169" s="5"/>
      <c r="O169" s="17" t="str">
        <f aca="false">IF((E169="s"),H169," ")</f>
        <v> </v>
      </c>
      <c r="P169" s="17" t="str">
        <f aca="false">IF((E169="c"),H169," ")</f>
        <v> </v>
      </c>
      <c r="Q169" s="17" t="str">
        <f aca="false">IF((E169="o"),H169," ")</f>
        <v> </v>
      </c>
      <c r="R169" s="17" t="str">
        <f aca="false">IF((E169="d"),H169," ")</f>
        <v> </v>
      </c>
      <c r="S169" s="17" t="str">
        <f aca="false">IF((E169="w"),H169," ")</f>
        <v> </v>
      </c>
      <c r="T169" s="17" t="str">
        <f aca="false">IF((E169="r"),H169," ")</f>
        <v> </v>
      </c>
      <c r="U169" s="17" t="str">
        <f aca="false">IF((E169="p"),H169," ")</f>
        <v> </v>
      </c>
      <c r="V169" s="17" t="str">
        <f aca="false">IF((E169="t"),H169," ")</f>
        <v> </v>
      </c>
      <c r="W169" s="17" t="str">
        <f aca="false">IF((E169="q"),H169," ")</f>
        <v> </v>
      </c>
      <c r="X169" s="17" t="str">
        <f aca="false">IF((E169="m"),H169," ")</f>
        <v> </v>
      </c>
      <c r="Y169" s="17" t="str">
        <f aca="false">IF((E169="u"),H169," ")</f>
        <v> </v>
      </c>
      <c r="Z169" s="17" t="str">
        <f aca="false">IF((E169="a"),H169," ")</f>
        <v> </v>
      </c>
      <c r="AA169" s="17" t="str">
        <f aca="false">IF((E169="g"),H169," ")</f>
        <v> </v>
      </c>
      <c r="AB169" s="17" t="str">
        <f aca="false">IF((E169="h"),H169," ")</f>
        <v> </v>
      </c>
      <c r="AC169" s="30" t="str">
        <f aca="false">IF((E169="v"),H169," ")</f>
        <v> </v>
      </c>
      <c r="AD169" s="30" t="str">
        <f aca="false">IF((E169="n"),H169," ")</f>
        <v> </v>
      </c>
      <c r="AE169" s="17" t="str">
        <f aca="false">IF((E169="f"),H169," ")</f>
        <v> </v>
      </c>
      <c r="AF169" s="17" t="str">
        <f aca="false">IF((E169="l"),H169," ")</f>
        <v> </v>
      </c>
      <c r="AG169" s="17" t="str">
        <f aca="false">IF((E169="y"),H169," ")</f>
        <v> </v>
      </c>
      <c r="AH169" s="17" t="str">
        <f aca="false">IF((E169="z"),H169," ")</f>
        <v> </v>
      </c>
      <c r="AI169" s="17" t="str">
        <f aca="false">IF((E169="fa"),H169," ")</f>
        <v> </v>
      </c>
      <c r="AJ169" s="17" t="str">
        <f aca="false">IF((E169="e"),H169," ")</f>
        <v> </v>
      </c>
    </row>
    <row r="170" customFormat="false" ht="12" hidden="false" customHeight="false" outlineLevel="0" collapsed="false">
      <c r="A170" s="28"/>
      <c r="E170" s="2" t="str">
        <f aca="false">IF((F170&lt;&gt;0),"Enter Letter"," ")</f>
        <v> </v>
      </c>
      <c r="F170" s="30"/>
      <c r="G170" s="6" t="str">
        <f aca="false">IF(F170&lt;&gt;0,F170*G$2/(100+G$2)," ")</f>
        <v> </v>
      </c>
      <c r="H170" s="6" t="str">
        <f aca="false">IF((F170&lt;&gt;0),F170-G170," ")</f>
        <v> </v>
      </c>
      <c r="I170" s="5"/>
      <c r="L170" s="7" t="str">
        <f aca="false">IF(F170&lt;&gt;0,F170-K170," ")</f>
        <v> </v>
      </c>
      <c r="M170" s="8" t="str">
        <f aca="false">IF((F170-K170)&lt;&gt;0,M$1-A170," ")</f>
        <v> </v>
      </c>
      <c r="N170" s="5"/>
      <c r="O170" s="17" t="str">
        <f aca="false">IF((E170="s"),H170," ")</f>
        <v> </v>
      </c>
      <c r="P170" s="17" t="str">
        <f aca="false">IF((E170="c"),H170," ")</f>
        <v> </v>
      </c>
      <c r="Q170" s="17" t="str">
        <f aca="false">IF((E170="o"),H170," ")</f>
        <v> </v>
      </c>
      <c r="R170" s="17" t="str">
        <f aca="false">IF((E170="d"),H170," ")</f>
        <v> </v>
      </c>
      <c r="S170" s="17" t="str">
        <f aca="false">IF((E170="w"),H170," ")</f>
        <v> </v>
      </c>
      <c r="T170" s="17" t="str">
        <f aca="false">IF((E170="r"),H170," ")</f>
        <v> </v>
      </c>
      <c r="U170" s="17" t="str">
        <f aca="false">IF((E170="p"),H170," ")</f>
        <v> </v>
      </c>
      <c r="V170" s="17" t="str">
        <f aca="false">IF((E170="t"),H170," ")</f>
        <v> </v>
      </c>
      <c r="W170" s="17" t="str">
        <f aca="false">IF((E170="q"),H170," ")</f>
        <v> </v>
      </c>
      <c r="X170" s="17" t="str">
        <f aca="false">IF((E170="m"),H170," ")</f>
        <v> </v>
      </c>
      <c r="Y170" s="17" t="str">
        <f aca="false">IF((E170="u"),H170," ")</f>
        <v> </v>
      </c>
      <c r="Z170" s="17" t="str">
        <f aca="false">IF((E170="a"),H170," ")</f>
        <v> </v>
      </c>
      <c r="AA170" s="17" t="str">
        <f aca="false">IF((E170="g"),H170," ")</f>
        <v> </v>
      </c>
      <c r="AB170" s="17" t="str">
        <f aca="false">IF((E170="h"),H170," ")</f>
        <v> </v>
      </c>
      <c r="AC170" s="30" t="str">
        <f aca="false">IF((E170="v"),H170," ")</f>
        <v> </v>
      </c>
      <c r="AD170" s="30" t="str">
        <f aca="false">IF((E170="n"),H170," ")</f>
        <v> </v>
      </c>
      <c r="AE170" s="17" t="str">
        <f aca="false">IF((E170="f"),H170," ")</f>
        <v> </v>
      </c>
      <c r="AF170" s="17" t="str">
        <f aca="false">IF((E170="l"),H170," ")</f>
        <v> </v>
      </c>
      <c r="AG170" s="17" t="str">
        <f aca="false">IF((E170="y"),H170," ")</f>
        <v> </v>
      </c>
      <c r="AH170" s="17" t="str">
        <f aca="false">IF((E170="z"),H170," ")</f>
        <v> </v>
      </c>
      <c r="AI170" s="17" t="str">
        <f aca="false">IF((E170="fa"),H170," ")</f>
        <v> </v>
      </c>
      <c r="AJ170" s="17" t="str">
        <f aca="false">IF((E170="e"),H170," ")</f>
        <v> </v>
      </c>
    </row>
    <row r="171" customFormat="false" ht="12" hidden="false" customHeight="false" outlineLevel="0" collapsed="false">
      <c r="A171" s="28"/>
      <c r="E171" s="2" t="str">
        <f aca="false">IF((F171&lt;&gt;0),"Enter Letter"," ")</f>
        <v> </v>
      </c>
      <c r="F171" s="30"/>
      <c r="G171" s="6" t="str">
        <f aca="false">IF(F171&lt;&gt;0,F171*G$2/(100+G$2)," ")</f>
        <v> </v>
      </c>
      <c r="H171" s="6" t="str">
        <f aca="false">IF((F171&lt;&gt;0),F171-G171," ")</f>
        <v> </v>
      </c>
      <c r="I171" s="5"/>
      <c r="L171" s="7" t="str">
        <f aca="false">IF(F171&lt;&gt;0,F171-K171," ")</f>
        <v> </v>
      </c>
      <c r="M171" s="8" t="str">
        <f aca="false">IF((F171-K171)&lt;&gt;0,M$1-A171," ")</f>
        <v> </v>
      </c>
      <c r="N171" s="5"/>
      <c r="O171" s="17" t="str">
        <f aca="false">IF((E171="s"),H171," ")</f>
        <v> </v>
      </c>
      <c r="P171" s="17" t="str">
        <f aca="false">IF((E171="c"),H171," ")</f>
        <v> </v>
      </c>
      <c r="Q171" s="17" t="str">
        <f aca="false">IF((E171="o"),H171," ")</f>
        <v> </v>
      </c>
      <c r="R171" s="17" t="str">
        <f aca="false">IF((E171="d"),H171," ")</f>
        <v> </v>
      </c>
      <c r="S171" s="17" t="str">
        <f aca="false">IF((E171="w"),H171," ")</f>
        <v> </v>
      </c>
      <c r="T171" s="17" t="str">
        <f aca="false">IF((E171="r"),H171," ")</f>
        <v> </v>
      </c>
      <c r="U171" s="17" t="str">
        <f aca="false">IF((E171="p"),H171," ")</f>
        <v> </v>
      </c>
      <c r="V171" s="17" t="str">
        <f aca="false">IF((E171="t"),H171," ")</f>
        <v> </v>
      </c>
      <c r="W171" s="17" t="str">
        <f aca="false">IF((E171="q"),H171," ")</f>
        <v> </v>
      </c>
      <c r="X171" s="17" t="str">
        <f aca="false">IF((E171="m"),H171," ")</f>
        <v> </v>
      </c>
      <c r="Y171" s="17" t="str">
        <f aca="false">IF((E171="u"),H171," ")</f>
        <v> </v>
      </c>
      <c r="Z171" s="17" t="str">
        <f aca="false">IF((E171="a"),H171," ")</f>
        <v> </v>
      </c>
      <c r="AA171" s="17" t="str">
        <f aca="false">IF((E171="g"),H171," ")</f>
        <v> </v>
      </c>
      <c r="AB171" s="17" t="str">
        <f aca="false">IF((E171="h"),H171," ")</f>
        <v> </v>
      </c>
      <c r="AC171" s="30" t="str">
        <f aca="false">IF((E171="v"),H171," ")</f>
        <v> </v>
      </c>
      <c r="AD171" s="30" t="str">
        <f aca="false">IF((E171="n"),H171," ")</f>
        <v> </v>
      </c>
      <c r="AE171" s="17" t="str">
        <f aca="false">IF((E171="f"),H171," ")</f>
        <v> </v>
      </c>
      <c r="AF171" s="17" t="str">
        <f aca="false">IF((E171="l"),H171," ")</f>
        <v> </v>
      </c>
      <c r="AG171" s="17" t="str">
        <f aca="false">IF((E171="y"),H171," ")</f>
        <v> </v>
      </c>
      <c r="AH171" s="17" t="str">
        <f aca="false">IF((E171="z"),H171," ")</f>
        <v> </v>
      </c>
      <c r="AI171" s="17" t="str">
        <f aca="false">IF((E171="fa"),H171," ")</f>
        <v> </v>
      </c>
      <c r="AJ171" s="17" t="str">
        <f aca="false">IF((E171="e"),H171," ")</f>
        <v> </v>
      </c>
    </row>
    <row r="172" customFormat="false" ht="12" hidden="false" customHeight="false" outlineLevel="0" collapsed="false">
      <c r="A172" s="28"/>
      <c r="E172" s="2" t="str">
        <f aca="false">IF((F172&lt;&gt;0),"Enter Letter"," ")</f>
        <v> </v>
      </c>
      <c r="F172" s="30"/>
      <c r="G172" s="6" t="str">
        <f aca="false">IF(F172&lt;&gt;0,F172*G$2/(100+G$2)," ")</f>
        <v> </v>
      </c>
      <c r="H172" s="6" t="str">
        <f aca="false">IF((F172&lt;&gt;0),F172-G172," ")</f>
        <v> </v>
      </c>
      <c r="I172" s="5"/>
      <c r="L172" s="7" t="str">
        <f aca="false">IF(F172&lt;&gt;0,F172-K172," ")</f>
        <v> </v>
      </c>
      <c r="M172" s="8" t="str">
        <f aca="false">IF((F172-K172)&lt;&gt;0,M$1-A172," ")</f>
        <v> </v>
      </c>
      <c r="N172" s="5"/>
      <c r="O172" s="17" t="str">
        <f aca="false">IF((E172="s"),H172," ")</f>
        <v> </v>
      </c>
      <c r="P172" s="17" t="str">
        <f aca="false">IF((E172="c"),H172," ")</f>
        <v> </v>
      </c>
      <c r="Q172" s="17" t="str">
        <f aca="false">IF((E172="o"),H172," ")</f>
        <v> </v>
      </c>
      <c r="R172" s="17" t="str">
        <f aca="false">IF((E172="d"),H172," ")</f>
        <v> </v>
      </c>
      <c r="S172" s="17" t="str">
        <f aca="false">IF((E172="w"),H172," ")</f>
        <v> </v>
      </c>
      <c r="T172" s="17" t="str">
        <f aca="false">IF((E172="r"),H172," ")</f>
        <v> </v>
      </c>
      <c r="U172" s="17" t="str">
        <f aca="false">IF((E172="p"),H172," ")</f>
        <v> </v>
      </c>
      <c r="V172" s="17" t="str">
        <f aca="false">IF((E172="t"),H172," ")</f>
        <v> </v>
      </c>
      <c r="W172" s="17" t="str">
        <f aca="false">IF((E172="q"),H172," ")</f>
        <v> </v>
      </c>
      <c r="X172" s="17" t="str">
        <f aca="false">IF((E172="m"),H172," ")</f>
        <v> </v>
      </c>
      <c r="Y172" s="17" t="str">
        <f aca="false">IF((E172="u"),H172," ")</f>
        <v> </v>
      </c>
      <c r="Z172" s="17" t="str">
        <f aca="false">IF((E172="a"),H172," ")</f>
        <v> </v>
      </c>
      <c r="AA172" s="17" t="str">
        <f aca="false">IF((E172="g"),H172," ")</f>
        <v> </v>
      </c>
      <c r="AB172" s="17" t="str">
        <f aca="false">IF((E172="h"),H172," ")</f>
        <v> </v>
      </c>
      <c r="AC172" s="30" t="str">
        <f aca="false">IF((E172="v"),H172," ")</f>
        <v> </v>
      </c>
      <c r="AD172" s="30" t="str">
        <f aca="false">IF((E172="n"),H172," ")</f>
        <v> </v>
      </c>
      <c r="AE172" s="17" t="str">
        <f aca="false">IF((E172="f"),H172," ")</f>
        <v> </v>
      </c>
      <c r="AF172" s="17" t="str">
        <f aca="false">IF((E172="l"),H172," ")</f>
        <v> </v>
      </c>
      <c r="AG172" s="17" t="str">
        <f aca="false">IF((E172="y"),H172," ")</f>
        <v> </v>
      </c>
      <c r="AH172" s="17" t="str">
        <f aca="false">IF((E172="z"),H172," ")</f>
        <v> </v>
      </c>
      <c r="AI172" s="17" t="str">
        <f aca="false">IF((E172="fa"),H172," ")</f>
        <v> </v>
      </c>
      <c r="AJ172" s="17" t="str">
        <f aca="false">IF((E172="e"),H172," ")</f>
        <v> </v>
      </c>
    </row>
    <row r="173" customFormat="false" ht="12" hidden="false" customHeight="false" outlineLevel="0" collapsed="false">
      <c r="A173" s="28"/>
      <c r="E173" s="2" t="str">
        <f aca="false">IF((F173&lt;&gt;0),"Enter Letter"," ")</f>
        <v> </v>
      </c>
      <c r="F173" s="30"/>
      <c r="G173" s="6" t="str">
        <f aca="false">IF(F173&lt;&gt;0,F173*G$2/(100+G$2)," ")</f>
        <v> </v>
      </c>
      <c r="H173" s="6" t="str">
        <f aca="false">IF((F173&lt;&gt;0),F173-G173," ")</f>
        <v> </v>
      </c>
      <c r="I173" s="5"/>
      <c r="L173" s="7" t="str">
        <f aca="false">IF(F173&lt;&gt;0,F173-K173," ")</f>
        <v> </v>
      </c>
      <c r="M173" s="8" t="str">
        <f aca="false">IF((F173-K173)&lt;&gt;0,M$1-A173," ")</f>
        <v> </v>
      </c>
      <c r="N173" s="5"/>
      <c r="O173" s="17" t="str">
        <f aca="false">IF((E173="s"),H173," ")</f>
        <v> </v>
      </c>
      <c r="P173" s="17" t="str">
        <f aca="false">IF((E173="c"),H173," ")</f>
        <v> </v>
      </c>
      <c r="Q173" s="17" t="str">
        <f aca="false">IF((E173="o"),H173," ")</f>
        <v> </v>
      </c>
      <c r="R173" s="17" t="str">
        <f aca="false">IF((E173="d"),H173," ")</f>
        <v> </v>
      </c>
      <c r="S173" s="17" t="str">
        <f aca="false">IF((E173="w"),H173," ")</f>
        <v> </v>
      </c>
      <c r="T173" s="17" t="str">
        <f aca="false">IF((E173="r"),H173," ")</f>
        <v> </v>
      </c>
      <c r="U173" s="17" t="str">
        <f aca="false">IF((E173="p"),H173," ")</f>
        <v> </v>
      </c>
      <c r="V173" s="17" t="str">
        <f aca="false">IF((E173="t"),H173," ")</f>
        <v> </v>
      </c>
      <c r="W173" s="17" t="str">
        <f aca="false">IF((E173="q"),H173," ")</f>
        <v> </v>
      </c>
      <c r="X173" s="17" t="str">
        <f aca="false">IF((E173="m"),H173," ")</f>
        <v> </v>
      </c>
      <c r="Y173" s="17" t="str">
        <f aca="false">IF((E173="u"),H173," ")</f>
        <v> </v>
      </c>
      <c r="Z173" s="17" t="str">
        <f aca="false">IF((E173="a"),H173," ")</f>
        <v> </v>
      </c>
      <c r="AA173" s="17" t="str">
        <f aca="false">IF((E173="g"),H173," ")</f>
        <v> </v>
      </c>
      <c r="AB173" s="17" t="str">
        <f aca="false">IF((E173="h"),H173," ")</f>
        <v> </v>
      </c>
      <c r="AC173" s="30" t="str">
        <f aca="false">IF((E173="v"),H173," ")</f>
        <v> </v>
      </c>
      <c r="AD173" s="30" t="str">
        <f aca="false">IF((E173="n"),H173," ")</f>
        <v> </v>
      </c>
      <c r="AE173" s="17" t="str">
        <f aca="false">IF((E173="f"),H173," ")</f>
        <v> </v>
      </c>
      <c r="AF173" s="17" t="str">
        <f aca="false">IF((E173="l"),H173," ")</f>
        <v> </v>
      </c>
      <c r="AG173" s="17" t="str">
        <f aca="false">IF((E173="y"),H173," ")</f>
        <v> </v>
      </c>
      <c r="AH173" s="17" t="str">
        <f aca="false">IF((E173="z"),H173," ")</f>
        <v> </v>
      </c>
      <c r="AI173" s="17" t="str">
        <f aca="false">IF((E173="fa"),H173," ")</f>
        <v> </v>
      </c>
      <c r="AJ173" s="17" t="str">
        <f aca="false">IF((E173="e"),H173," ")</f>
        <v> </v>
      </c>
    </row>
    <row r="174" customFormat="false" ht="12" hidden="false" customHeight="false" outlineLevel="0" collapsed="false">
      <c r="A174" s="28"/>
      <c r="E174" s="2" t="str">
        <f aca="false">IF((F174&lt;&gt;0),"Enter Letter"," ")</f>
        <v> </v>
      </c>
      <c r="F174" s="30"/>
      <c r="G174" s="6" t="str">
        <f aca="false">IF(F174&lt;&gt;0,F174*G$2/(100+G$2)," ")</f>
        <v> </v>
      </c>
      <c r="H174" s="6" t="str">
        <f aca="false">IF((F174&lt;&gt;0),F174-G174," ")</f>
        <v> </v>
      </c>
      <c r="I174" s="5"/>
      <c r="L174" s="7" t="str">
        <f aca="false">IF(F174&lt;&gt;0,F174-K174," ")</f>
        <v> </v>
      </c>
      <c r="M174" s="8" t="str">
        <f aca="false">IF((F174-K174)&lt;&gt;0,M$1-A174," ")</f>
        <v> </v>
      </c>
      <c r="N174" s="5"/>
      <c r="O174" s="17" t="str">
        <f aca="false">IF((E174="s"),H174," ")</f>
        <v> </v>
      </c>
      <c r="P174" s="17" t="str">
        <f aca="false">IF((E174="c"),H174," ")</f>
        <v> </v>
      </c>
      <c r="Q174" s="17" t="str">
        <f aca="false">IF((E174="o"),H174," ")</f>
        <v> </v>
      </c>
      <c r="R174" s="17" t="str">
        <f aca="false">IF((E174="d"),H174," ")</f>
        <v> </v>
      </c>
      <c r="S174" s="17" t="str">
        <f aca="false">IF((E174="w"),H174," ")</f>
        <v> </v>
      </c>
      <c r="T174" s="17" t="str">
        <f aca="false">IF((E174="r"),H174," ")</f>
        <v> </v>
      </c>
      <c r="U174" s="17" t="str">
        <f aca="false">IF((E174="p"),H174," ")</f>
        <v> </v>
      </c>
      <c r="V174" s="17" t="str">
        <f aca="false">IF((E174="t"),H174," ")</f>
        <v> </v>
      </c>
      <c r="W174" s="17" t="str">
        <f aca="false">IF((E174="q"),H174," ")</f>
        <v> </v>
      </c>
      <c r="X174" s="17" t="str">
        <f aca="false">IF((E174="m"),H174," ")</f>
        <v> </v>
      </c>
      <c r="Y174" s="17" t="str">
        <f aca="false">IF((E174="u"),H174," ")</f>
        <v> </v>
      </c>
      <c r="Z174" s="17" t="str">
        <f aca="false">IF((E174="a"),H174," ")</f>
        <v> </v>
      </c>
      <c r="AA174" s="17" t="str">
        <f aca="false">IF((E174="g"),H174," ")</f>
        <v> </v>
      </c>
      <c r="AB174" s="17" t="str">
        <f aca="false">IF((E174="h"),H174," ")</f>
        <v> </v>
      </c>
      <c r="AC174" s="30" t="str">
        <f aca="false">IF((E174="v"),H174," ")</f>
        <v> </v>
      </c>
      <c r="AD174" s="30" t="str">
        <f aca="false">IF((E174="n"),H174," ")</f>
        <v> </v>
      </c>
      <c r="AE174" s="17" t="str">
        <f aca="false">IF((E174="f"),H174," ")</f>
        <v> </v>
      </c>
      <c r="AF174" s="17" t="str">
        <f aca="false">IF((E174="l"),H174," ")</f>
        <v> </v>
      </c>
      <c r="AG174" s="17" t="str">
        <f aca="false">IF((E174="y"),H174," ")</f>
        <v> </v>
      </c>
      <c r="AH174" s="17" t="str">
        <f aca="false">IF((E174="z"),H174," ")</f>
        <v> </v>
      </c>
      <c r="AI174" s="17" t="str">
        <f aca="false">IF((E174="fa"),H174," ")</f>
        <v> </v>
      </c>
      <c r="AJ174" s="17" t="str">
        <f aca="false">IF((E174="e"),H174," ")</f>
        <v> </v>
      </c>
    </row>
    <row r="175" customFormat="false" ht="12" hidden="false" customHeight="false" outlineLevel="0" collapsed="false">
      <c r="A175" s="28"/>
      <c r="E175" s="2" t="str">
        <f aca="false">IF((F175&lt;&gt;0),"Enter Letter"," ")</f>
        <v> </v>
      </c>
      <c r="F175" s="30"/>
      <c r="G175" s="6" t="str">
        <f aca="false">IF(F175&lt;&gt;0,F175*G$2/(100+G$2)," ")</f>
        <v> </v>
      </c>
      <c r="H175" s="6" t="str">
        <f aca="false">IF((F175&lt;&gt;0),F175-G175," ")</f>
        <v> </v>
      </c>
      <c r="I175" s="5"/>
      <c r="L175" s="7" t="str">
        <f aca="false">IF(F175&lt;&gt;0,F175-K175," ")</f>
        <v> </v>
      </c>
      <c r="M175" s="8" t="str">
        <f aca="false">IF((F175-K175)&lt;&gt;0,M$1-A175," ")</f>
        <v> </v>
      </c>
      <c r="N175" s="5"/>
      <c r="O175" s="17" t="str">
        <f aca="false">IF((E175="s"),H175," ")</f>
        <v> </v>
      </c>
      <c r="P175" s="17" t="str">
        <f aca="false">IF((E175="c"),H175," ")</f>
        <v> </v>
      </c>
      <c r="Q175" s="17" t="str">
        <f aca="false">IF((E175="o"),H175," ")</f>
        <v> </v>
      </c>
      <c r="R175" s="17" t="str">
        <f aca="false">IF((E175="d"),H175," ")</f>
        <v> </v>
      </c>
      <c r="S175" s="17" t="str">
        <f aca="false">IF((E175="w"),H175," ")</f>
        <v> </v>
      </c>
      <c r="T175" s="17" t="str">
        <f aca="false">IF((E175="r"),H175," ")</f>
        <v> </v>
      </c>
      <c r="U175" s="17" t="str">
        <f aca="false">IF((E175="p"),H175," ")</f>
        <v> </v>
      </c>
      <c r="V175" s="17" t="str">
        <f aca="false">IF((E175="t"),H175," ")</f>
        <v> </v>
      </c>
      <c r="W175" s="17" t="str">
        <f aca="false">IF((E175="q"),H175," ")</f>
        <v> </v>
      </c>
      <c r="X175" s="17" t="str">
        <f aca="false">IF((E175="m"),H175," ")</f>
        <v> </v>
      </c>
      <c r="Y175" s="17" t="str">
        <f aca="false">IF((E175="u"),H175," ")</f>
        <v> </v>
      </c>
      <c r="Z175" s="17" t="str">
        <f aca="false">IF((E175="a"),H175," ")</f>
        <v> </v>
      </c>
      <c r="AA175" s="17" t="str">
        <f aca="false">IF((E175="g"),H175," ")</f>
        <v> </v>
      </c>
      <c r="AB175" s="17" t="str">
        <f aca="false">IF((E175="h"),H175," ")</f>
        <v> </v>
      </c>
      <c r="AC175" s="30" t="str">
        <f aca="false">IF((E175="v"),H175," ")</f>
        <v> </v>
      </c>
      <c r="AD175" s="30" t="str">
        <f aca="false">IF((E175="n"),H175," ")</f>
        <v> </v>
      </c>
      <c r="AE175" s="17" t="str">
        <f aca="false">IF((E175="f"),H175," ")</f>
        <v> </v>
      </c>
      <c r="AF175" s="17" t="str">
        <f aca="false">IF((E175="l"),H175," ")</f>
        <v> </v>
      </c>
      <c r="AG175" s="17" t="str">
        <f aca="false">IF((E175="y"),H175," ")</f>
        <v> </v>
      </c>
      <c r="AH175" s="17" t="str">
        <f aca="false">IF((E175="z"),H175," ")</f>
        <v> </v>
      </c>
      <c r="AI175" s="17" t="str">
        <f aca="false">IF((E175="fa"),H175," ")</f>
        <v> </v>
      </c>
      <c r="AJ175" s="17" t="str">
        <f aca="false">IF((E175="e"),H175," ")</f>
        <v> </v>
      </c>
    </row>
    <row r="176" customFormat="false" ht="12" hidden="false" customHeight="false" outlineLevel="0" collapsed="false">
      <c r="A176" s="28"/>
      <c r="E176" s="2" t="str">
        <f aca="false">IF((F176&lt;&gt;0),"Enter Letter"," ")</f>
        <v> </v>
      </c>
      <c r="F176" s="30"/>
      <c r="G176" s="6" t="str">
        <f aca="false">IF(F176&lt;&gt;0,F176*G$2/(100+G$2)," ")</f>
        <v> </v>
      </c>
      <c r="H176" s="6" t="str">
        <f aca="false">IF((F176&lt;&gt;0),F176-G176," ")</f>
        <v> </v>
      </c>
      <c r="I176" s="5"/>
      <c r="L176" s="7" t="str">
        <f aca="false">IF(F176&lt;&gt;0,F176-K176," ")</f>
        <v> </v>
      </c>
      <c r="M176" s="8" t="str">
        <f aca="false">IF((F176-K176)&lt;&gt;0,M$1-A176," ")</f>
        <v> </v>
      </c>
      <c r="N176" s="5"/>
      <c r="O176" s="17" t="str">
        <f aca="false">IF((E176="s"),H176," ")</f>
        <v> </v>
      </c>
      <c r="P176" s="17" t="str">
        <f aca="false">IF((E176="c"),H176," ")</f>
        <v> </v>
      </c>
      <c r="Q176" s="17" t="str">
        <f aca="false">IF((E176="o"),H176," ")</f>
        <v> </v>
      </c>
      <c r="R176" s="17" t="str">
        <f aca="false">IF((E176="d"),H176," ")</f>
        <v> </v>
      </c>
      <c r="S176" s="17" t="str">
        <f aca="false">IF((E176="w"),H176," ")</f>
        <v> </v>
      </c>
      <c r="T176" s="17" t="str">
        <f aca="false">IF((E176="r"),H176," ")</f>
        <v> </v>
      </c>
      <c r="U176" s="17" t="str">
        <f aca="false">IF((E176="p"),H176," ")</f>
        <v> </v>
      </c>
      <c r="V176" s="17" t="str">
        <f aca="false">IF((E176="t"),H176," ")</f>
        <v> </v>
      </c>
      <c r="W176" s="17" t="str">
        <f aca="false">IF((E176="q"),H176," ")</f>
        <v> </v>
      </c>
      <c r="X176" s="17" t="str">
        <f aca="false">IF((E176="m"),H176," ")</f>
        <v> </v>
      </c>
      <c r="Y176" s="17" t="str">
        <f aca="false">IF((E176="u"),H176," ")</f>
        <v> </v>
      </c>
      <c r="Z176" s="17" t="str">
        <f aca="false">IF((E176="a"),H176," ")</f>
        <v> </v>
      </c>
      <c r="AA176" s="17" t="str">
        <f aca="false">IF((E176="g"),H176," ")</f>
        <v> </v>
      </c>
      <c r="AB176" s="17" t="str">
        <f aca="false">IF((E176="h"),H176," ")</f>
        <v> </v>
      </c>
      <c r="AC176" s="30" t="str">
        <f aca="false">IF((E176="v"),H176," ")</f>
        <v> </v>
      </c>
      <c r="AD176" s="30" t="str">
        <f aca="false">IF((E176="n"),H176," ")</f>
        <v> </v>
      </c>
      <c r="AE176" s="17" t="str">
        <f aca="false">IF((E176="f"),H176," ")</f>
        <v> </v>
      </c>
      <c r="AF176" s="17" t="str">
        <f aca="false">IF((E176="l"),H176," ")</f>
        <v> </v>
      </c>
      <c r="AG176" s="17" t="str">
        <f aca="false">IF((E176="y"),H176," ")</f>
        <v> </v>
      </c>
      <c r="AH176" s="17" t="str">
        <f aca="false">IF((E176="z"),H176," ")</f>
        <v> </v>
      </c>
      <c r="AI176" s="17" t="str">
        <f aca="false">IF((E176="fa"),H176," ")</f>
        <v> </v>
      </c>
      <c r="AJ176" s="17" t="str">
        <f aca="false">IF((E176="e"),H176," ")</f>
        <v> </v>
      </c>
    </row>
    <row r="177" customFormat="false" ht="12" hidden="false" customHeight="false" outlineLevel="0" collapsed="false">
      <c r="A177" s="28"/>
      <c r="E177" s="2" t="str">
        <f aca="false">IF((F177&lt;&gt;0),"Enter Letter"," ")</f>
        <v> </v>
      </c>
      <c r="F177" s="30"/>
      <c r="G177" s="6" t="str">
        <f aca="false">IF(F177&lt;&gt;0,F177*G$2/(100+G$2)," ")</f>
        <v> </v>
      </c>
      <c r="H177" s="6" t="str">
        <f aca="false">IF((F177&lt;&gt;0),F177-G177," ")</f>
        <v> </v>
      </c>
      <c r="I177" s="5"/>
      <c r="L177" s="7" t="str">
        <f aca="false">IF(F177&lt;&gt;0,F177-K177," ")</f>
        <v> </v>
      </c>
      <c r="M177" s="8" t="str">
        <f aca="false">IF((F177-K177)&lt;&gt;0,M$1-A177," ")</f>
        <v> </v>
      </c>
      <c r="N177" s="5"/>
      <c r="O177" s="17" t="str">
        <f aca="false">IF((E177="s"),H177," ")</f>
        <v> </v>
      </c>
      <c r="P177" s="17" t="str">
        <f aca="false">IF((E177="c"),H177," ")</f>
        <v> </v>
      </c>
      <c r="Q177" s="17" t="str">
        <f aca="false">IF((E177="o"),H177," ")</f>
        <v> </v>
      </c>
      <c r="R177" s="17" t="str">
        <f aca="false">IF((E177="d"),H177," ")</f>
        <v> </v>
      </c>
      <c r="S177" s="17" t="str">
        <f aca="false">IF((E177="w"),H177," ")</f>
        <v> </v>
      </c>
      <c r="T177" s="17" t="str">
        <f aca="false">IF((E177="r"),H177," ")</f>
        <v> </v>
      </c>
      <c r="U177" s="17" t="str">
        <f aca="false">IF((E177="p"),H177," ")</f>
        <v> </v>
      </c>
      <c r="V177" s="17" t="str">
        <f aca="false">IF((E177="t"),H177," ")</f>
        <v> </v>
      </c>
      <c r="W177" s="17" t="str">
        <f aca="false">IF((E177="q"),H177," ")</f>
        <v> </v>
      </c>
      <c r="X177" s="17" t="str">
        <f aca="false">IF((E177="m"),H177," ")</f>
        <v> </v>
      </c>
      <c r="Y177" s="17" t="str">
        <f aca="false">IF((E177="u"),H177," ")</f>
        <v> </v>
      </c>
      <c r="Z177" s="17" t="str">
        <f aca="false">IF((E177="a"),H177," ")</f>
        <v> </v>
      </c>
      <c r="AA177" s="17" t="str">
        <f aca="false">IF((E177="g"),H177," ")</f>
        <v> </v>
      </c>
      <c r="AB177" s="17" t="str">
        <f aca="false">IF((E177="h"),H177," ")</f>
        <v> </v>
      </c>
      <c r="AC177" s="30" t="str">
        <f aca="false">IF((E177="v"),H177," ")</f>
        <v> </v>
      </c>
      <c r="AD177" s="30" t="str">
        <f aca="false">IF((E177="n"),H177," ")</f>
        <v> </v>
      </c>
      <c r="AE177" s="17" t="str">
        <f aca="false">IF((E177="f"),H177," ")</f>
        <v> </v>
      </c>
      <c r="AF177" s="17" t="str">
        <f aca="false">IF((E177="l"),H177," ")</f>
        <v> </v>
      </c>
      <c r="AG177" s="17" t="str">
        <f aca="false">IF((E177="y"),H177," ")</f>
        <v> </v>
      </c>
      <c r="AH177" s="17" t="str">
        <f aca="false">IF((E177="z"),H177," ")</f>
        <v> </v>
      </c>
      <c r="AI177" s="17" t="str">
        <f aca="false">IF((E177="fa"),H177," ")</f>
        <v> </v>
      </c>
      <c r="AJ177" s="17" t="str">
        <f aca="false">IF((E177="e"),H177," ")</f>
        <v> </v>
      </c>
    </row>
    <row r="178" customFormat="false" ht="12" hidden="false" customHeight="false" outlineLevel="0" collapsed="false">
      <c r="A178" s="28"/>
      <c r="E178" s="2" t="str">
        <f aca="false">IF((F178&lt;&gt;0),"Enter Letter"," ")</f>
        <v> </v>
      </c>
      <c r="F178" s="30"/>
      <c r="G178" s="6" t="str">
        <f aca="false">IF(F178&lt;&gt;0,F178*G$2/(100+G$2)," ")</f>
        <v> </v>
      </c>
      <c r="H178" s="6" t="str">
        <f aca="false">IF((F178&lt;&gt;0),F178-G178," ")</f>
        <v> </v>
      </c>
      <c r="I178" s="5"/>
      <c r="L178" s="7" t="str">
        <f aca="false">IF(F178&lt;&gt;0,F178-K178," ")</f>
        <v> </v>
      </c>
      <c r="M178" s="8" t="str">
        <f aca="false">IF((F178-K178)&lt;&gt;0,M$1-A178," ")</f>
        <v> </v>
      </c>
      <c r="N178" s="5"/>
      <c r="O178" s="17" t="str">
        <f aca="false">IF((E178="s"),H178," ")</f>
        <v> </v>
      </c>
      <c r="P178" s="17" t="str">
        <f aca="false">IF((E178="c"),H178," ")</f>
        <v> </v>
      </c>
      <c r="Q178" s="17" t="str">
        <f aca="false">IF((E178="o"),H178," ")</f>
        <v> </v>
      </c>
      <c r="R178" s="17" t="str">
        <f aca="false">IF((E178="d"),H178," ")</f>
        <v> </v>
      </c>
      <c r="S178" s="17" t="str">
        <f aca="false">IF((E178="w"),H178," ")</f>
        <v> </v>
      </c>
      <c r="T178" s="17" t="str">
        <f aca="false">IF((E178="r"),H178," ")</f>
        <v> </v>
      </c>
      <c r="U178" s="17" t="str">
        <f aca="false">IF((E178="p"),H178," ")</f>
        <v> </v>
      </c>
      <c r="V178" s="17" t="str">
        <f aca="false">IF((E178="t"),H178," ")</f>
        <v> </v>
      </c>
      <c r="W178" s="17" t="str">
        <f aca="false">IF((E178="q"),H178," ")</f>
        <v> </v>
      </c>
      <c r="X178" s="17" t="str">
        <f aca="false">IF((E178="m"),H178," ")</f>
        <v> </v>
      </c>
      <c r="Y178" s="17" t="str">
        <f aca="false">IF((E178="u"),H178," ")</f>
        <v> </v>
      </c>
      <c r="Z178" s="17" t="str">
        <f aca="false">IF((E178="a"),H178," ")</f>
        <v> </v>
      </c>
      <c r="AA178" s="17" t="str">
        <f aca="false">IF((E178="g"),H178," ")</f>
        <v> </v>
      </c>
      <c r="AB178" s="17" t="str">
        <f aca="false">IF((E178="h"),H178," ")</f>
        <v> </v>
      </c>
      <c r="AC178" s="30" t="str">
        <f aca="false">IF((E178="v"),H178," ")</f>
        <v> </v>
      </c>
      <c r="AD178" s="30" t="str">
        <f aca="false">IF((E178="n"),H178," ")</f>
        <v> </v>
      </c>
      <c r="AE178" s="17" t="str">
        <f aca="false">IF((E178="f"),H178," ")</f>
        <v> </v>
      </c>
      <c r="AF178" s="17" t="str">
        <f aca="false">IF((E178="l"),H178," ")</f>
        <v> </v>
      </c>
      <c r="AG178" s="17" t="str">
        <f aca="false">IF((E178="y"),H178," ")</f>
        <v> </v>
      </c>
      <c r="AH178" s="17" t="str">
        <f aca="false">IF((E178="z"),H178," ")</f>
        <v> </v>
      </c>
      <c r="AI178" s="17" t="str">
        <f aca="false">IF((E178="fa"),H178," ")</f>
        <v> </v>
      </c>
      <c r="AJ178" s="17" t="str">
        <f aca="false">IF((E178="e"),H178," ")</f>
        <v> </v>
      </c>
    </row>
    <row r="179" customFormat="false" ht="12" hidden="false" customHeight="false" outlineLevel="0" collapsed="false">
      <c r="A179" s="28"/>
      <c r="E179" s="2" t="str">
        <f aca="false">IF((F179&lt;&gt;0),"Enter Letter"," ")</f>
        <v> </v>
      </c>
      <c r="F179" s="30"/>
      <c r="G179" s="6" t="str">
        <f aca="false">IF(F179&lt;&gt;0,F179*G$2/(100+G$2)," ")</f>
        <v> </v>
      </c>
      <c r="H179" s="6" t="str">
        <f aca="false">IF((F179&lt;&gt;0),F179-G179," ")</f>
        <v> </v>
      </c>
      <c r="I179" s="5"/>
      <c r="L179" s="7" t="str">
        <f aca="false">IF(F179&lt;&gt;0,F179-K179," ")</f>
        <v> </v>
      </c>
      <c r="M179" s="8" t="str">
        <f aca="false">IF((F179-K179)&lt;&gt;0,M$1-A179," ")</f>
        <v> </v>
      </c>
      <c r="N179" s="5"/>
      <c r="O179" s="17" t="str">
        <f aca="false">IF((E179="s"),H179," ")</f>
        <v> </v>
      </c>
      <c r="P179" s="17" t="str">
        <f aca="false">IF((E179="c"),H179," ")</f>
        <v> </v>
      </c>
      <c r="Q179" s="17" t="str">
        <f aca="false">IF((E179="o"),H179," ")</f>
        <v> </v>
      </c>
      <c r="R179" s="17" t="str">
        <f aca="false">IF((E179="d"),H179," ")</f>
        <v> </v>
      </c>
      <c r="S179" s="17" t="str">
        <f aca="false">IF((E179="w"),H179," ")</f>
        <v> </v>
      </c>
      <c r="T179" s="17" t="str">
        <f aca="false">IF((E179="r"),H179," ")</f>
        <v> </v>
      </c>
      <c r="U179" s="17" t="str">
        <f aca="false">IF((E179="p"),H179," ")</f>
        <v> </v>
      </c>
      <c r="V179" s="17" t="str">
        <f aca="false">IF((E179="t"),H179," ")</f>
        <v> </v>
      </c>
      <c r="W179" s="17" t="str">
        <f aca="false">IF((E179="q"),H179," ")</f>
        <v> </v>
      </c>
      <c r="X179" s="17" t="str">
        <f aca="false">IF((E179="m"),H179," ")</f>
        <v> </v>
      </c>
      <c r="Y179" s="17" t="str">
        <f aca="false">IF((E179="u"),H179," ")</f>
        <v> </v>
      </c>
      <c r="Z179" s="17" t="str">
        <f aca="false">IF((E179="a"),H179," ")</f>
        <v> </v>
      </c>
      <c r="AA179" s="17" t="str">
        <f aca="false">IF((E179="g"),H179," ")</f>
        <v> </v>
      </c>
      <c r="AB179" s="17" t="str">
        <f aca="false">IF((E179="h"),H179," ")</f>
        <v> </v>
      </c>
      <c r="AC179" s="30" t="str">
        <f aca="false">IF((E179="v"),H179," ")</f>
        <v> </v>
      </c>
      <c r="AD179" s="30" t="str">
        <f aca="false">IF((E179="n"),H179," ")</f>
        <v> </v>
      </c>
      <c r="AE179" s="17" t="str">
        <f aca="false">IF((E179="f"),H179," ")</f>
        <v> </v>
      </c>
      <c r="AF179" s="17" t="str">
        <f aca="false">IF((E179="l"),H179," ")</f>
        <v> </v>
      </c>
      <c r="AG179" s="17" t="str">
        <f aca="false">IF((E179="y"),H179," ")</f>
        <v> </v>
      </c>
      <c r="AH179" s="17" t="str">
        <f aca="false">IF((E179="z"),H179," ")</f>
        <v> </v>
      </c>
      <c r="AI179" s="17" t="str">
        <f aca="false">IF((E179="fa"),H179," ")</f>
        <v> </v>
      </c>
      <c r="AJ179" s="17" t="str">
        <f aca="false">IF((E179="e"),H179," ")</f>
        <v> </v>
      </c>
    </row>
    <row r="180" customFormat="false" ht="12" hidden="false" customHeight="false" outlineLevel="0" collapsed="false">
      <c r="A180" s="28"/>
      <c r="E180" s="2" t="str">
        <f aca="false">IF((F180&lt;&gt;0),"Enter Letter"," ")</f>
        <v> </v>
      </c>
      <c r="F180" s="30"/>
      <c r="G180" s="6" t="str">
        <f aca="false">IF(F180&lt;&gt;0,F180*G$2/(100+G$2)," ")</f>
        <v> </v>
      </c>
      <c r="H180" s="6" t="str">
        <f aca="false">IF((F180&lt;&gt;0),F180-G180," ")</f>
        <v> </v>
      </c>
      <c r="I180" s="5"/>
      <c r="L180" s="7" t="str">
        <f aca="false">IF(F180&lt;&gt;0,F180-K180," ")</f>
        <v> </v>
      </c>
      <c r="M180" s="8" t="str">
        <f aca="false">IF((F180-K180)&lt;&gt;0,M$1-A180," ")</f>
        <v> </v>
      </c>
      <c r="N180" s="5"/>
      <c r="O180" s="17" t="str">
        <f aca="false">IF((E180="s"),H180," ")</f>
        <v> </v>
      </c>
      <c r="P180" s="17" t="str">
        <f aca="false">IF((E180="c"),H180," ")</f>
        <v> </v>
      </c>
      <c r="Q180" s="17" t="str">
        <f aca="false">IF((E180="o"),H180," ")</f>
        <v> </v>
      </c>
      <c r="R180" s="17" t="str">
        <f aca="false">IF((E180="d"),H180," ")</f>
        <v> </v>
      </c>
      <c r="S180" s="17" t="str">
        <f aca="false">IF((E180="w"),H180," ")</f>
        <v> </v>
      </c>
      <c r="T180" s="17" t="str">
        <f aca="false">IF((E180="r"),H180," ")</f>
        <v> </v>
      </c>
      <c r="U180" s="17" t="str">
        <f aca="false">IF((E180="p"),H180," ")</f>
        <v> </v>
      </c>
      <c r="V180" s="17" t="str">
        <f aca="false">IF((E180="t"),H180," ")</f>
        <v> </v>
      </c>
      <c r="W180" s="17" t="str">
        <f aca="false">IF((E180="q"),H180," ")</f>
        <v> </v>
      </c>
      <c r="X180" s="17" t="str">
        <f aca="false">IF((E180="m"),H180," ")</f>
        <v> </v>
      </c>
      <c r="Y180" s="17" t="str">
        <f aca="false">IF((E180="u"),H180," ")</f>
        <v> </v>
      </c>
      <c r="Z180" s="17" t="str">
        <f aca="false">IF((E180="a"),H180," ")</f>
        <v> </v>
      </c>
      <c r="AA180" s="17" t="str">
        <f aca="false">IF((E180="g"),H180," ")</f>
        <v> </v>
      </c>
      <c r="AB180" s="17" t="str">
        <f aca="false">IF((E180="h"),H180," ")</f>
        <v> </v>
      </c>
      <c r="AC180" s="30" t="str">
        <f aca="false">IF((E180="v"),H180," ")</f>
        <v> </v>
      </c>
      <c r="AD180" s="30" t="str">
        <f aca="false">IF((E180="n"),H180," ")</f>
        <v> </v>
      </c>
      <c r="AE180" s="17" t="str">
        <f aca="false">IF((E180="f"),H180," ")</f>
        <v> </v>
      </c>
      <c r="AF180" s="17" t="str">
        <f aca="false">IF((E180="l"),H180," ")</f>
        <v> </v>
      </c>
      <c r="AG180" s="17" t="str">
        <f aca="false">IF((E180="y"),H180," ")</f>
        <v> </v>
      </c>
      <c r="AH180" s="17" t="str">
        <f aca="false">IF((E180="z"),H180," ")</f>
        <v> </v>
      </c>
      <c r="AI180" s="17" t="str">
        <f aca="false">IF((E180="fa"),H180," ")</f>
        <v> </v>
      </c>
      <c r="AJ180" s="17" t="str">
        <f aca="false">IF((E180="e"),H180," ")</f>
        <v> </v>
      </c>
    </row>
    <row r="181" customFormat="false" ht="12" hidden="false" customHeight="false" outlineLevel="0" collapsed="false">
      <c r="A181" s="28"/>
      <c r="E181" s="2" t="str">
        <f aca="false">IF((F181&lt;&gt;0),"Enter Letter"," ")</f>
        <v> </v>
      </c>
      <c r="F181" s="30"/>
      <c r="G181" s="6" t="str">
        <f aca="false">IF(F181&lt;&gt;0,F181*G$2/(100+G$2)," ")</f>
        <v> </v>
      </c>
      <c r="H181" s="6" t="str">
        <f aca="false">IF((F181&lt;&gt;0),F181-G181," ")</f>
        <v> </v>
      </c>
      <c r="I181" s="5"/>
      <c r="L181" s="7" t="str">
        <f aca="false">IF(F181&lt;&gt;0,F181-K181," ")</f>
        <v> </v>
      </c>
      <c r="M181" s="8" t="str">
        <f aca="false">IF((F181-K181)&lt;&gt;0,M$1-A181," ")</f>
        <v> </v>
      </c>
      <c r="N181" s="5"/>
      <c r="O181" s="17" t="str">
        <f aca="false">IF((E181="s"),H181," ")</f>
        <v> </v>
      </c>
      <c r="P181" s="17" t="str">
        <f aca="false">IF((E181="c"),H181," ")</f>
        <v> </v>
      </c>
      <c r="Q181" s="17" t="str">
        <f aca="false">IF((E181="o"),H181," ")</f>
        <v> </v>
      </c>
      <c r="R181" s="17" t="str">
        <f aca="false">IF((E181="d"),H181," ")</f>
        <v> </v>
      </c>
      <c r="S181" s="17" t="str">
        <f aca="false">IF((E181="w"),H181," ")</f>
        <v> </v>
      </c>
      <c r="T181" s="17" t="str">
        <f aca="false">IF((E181="r"),H181," ")</f>
        <v> </v>
      </c>
      <c r="U181" s="17" t="str">
        <f aca="false">IF((E181="p"),H181," ")</f>
        <v> </v>
      </c>
      <c r="V181" s="17" t="str">
        <f aca="false">IF((E181="t"),H181," ")</f>
        <v> </v>
      </c>
      <c r="W181" s="17" t="str">
        <f aca="false">IF((E181="q"),H181," ")</f>
        <v> </v>
      </c>
      <c r="X181" s="17" t="str">
        <f aca="false">IF((E181="m"),H181," ")</f>
        <v> </v>
      </c>
      <c r="Y181" s="17" t="str">
        <f aca="false">IF((E181="u"),H181," ")</f>
        <v> </v>
      </c>
      <c r="Z181" s="17" t="str">
        <f aca="false">IF((E181="a"),H181," ")</f>
        <v> </v>
      </c>
      <c r="AA181" s="17" t="str">
        <f aca="false">IF((E181="g"),H181," ")</f>
        <v> </v>
      </c>
      <c r="AB181" s="17" t="str">
        <f aca="false">IF((E181="h"),H181," ")</f>
        <v> </v>
      </c>
      <c r="AC181" s="30" t="str">
        <f aca="false">IF((E181="v"),H181," ")</f>
        <v> </v>
      </c>
      <c r="AD181" s="30" t="str">
        <f aca="false">IF((E181="n"),H181," ")</f>
        <v> </v>
      </c>
      <c r="AE181" s="17" t="str">
        <f aca="false">IF((E181="f"),H181," ")</f>
        <v> </v>
      </c>
      <c r="AF181" s="17" t="str">
        <f aca="false">IF((E181="l"),H181," ")</f>
        <v> </v>
      </c>
      <c r="AG181" s="17" t="str">
        <f aca="false">IF((E181="y"),H181," ")</f>
        <v> </v>
      </c>
      <c r="AH181" s="17" t="str">
        <f aca="false">IF((E181="z"),H181," ")</f>
        <v> </v>
      </c>
      <c r="AI181" s="17" t="str">
        <f aca="false">IF((E181="fa"),H181," ")</f>
        <v> </v>
      </c>
      <c r="AJ181" s="17" t="str">
        <f aca="false">IF((E181="e"),H181," ")</f>
        <v> </v>
      </c>
    </row>
    <row r="182" customFormat="false" ht="12" hidden="false" customHeight="false" outlineLevel="0" collapsed="false">
      <c r="A182" s="28"/>
      <c r="E182" s="2" t="str">
        <f aca="false">IF((F182&lt;&gt;0),"Enter Letter"," ")</f>
        <v> </v>
      </c>
      <c r="F182" s="30"/>
      <c r="G182" s="6" t="str">
        <f aca="false">IF(F182&lt;&gt;0,F182*G$2/(100+G$2)," ")</f>
        <v> </v>
      </c>
      <c r="H182" s="6" t="str">
        <f aca="false">IF((F182&lt;&gt;0),F182-G182," ")</f>
        <v> </v>
      </c>
      <c r="I182" s="5"/>
      <c r="L182" s="7" t="str">
        <f aca="false">IF(F182&lt;&gt;0,F182-K182," ")</f>
        <v> </v>
      </c>
      <c r="M182" s="8" t="str">
        <f aca="false">IF((F182-K182)&lt;&gt;0,M$1-A182," ")</f>
        <v> </v>
      </c>
      <c r="N182" s="5"/>
      <c r="O182" s="17" t="str">
        <f aca="false">IF((E182="s"),H182," ")</f>
        <v> </v>
      </c>
      <c r="P182" s="17" t="str">
        <f aca="false">IF((E182="c"),H182," ")</f>
        <v> </v>
      </c>
      <c r="Q182" s="17" t="str">
        <f aca="false">IF((E182="o"),H182," ")</f>
        <v> </v>
      </c>
      <c r="R182" s="17" t="str">
        <f aca="false">IF((E182="d"),H182," ")</f>
        <v> </v>
      </c>
      <c r="S182" s="17" t="str">
        <f aca="false">IF((E182="w"),H182," ")</f>
        <v> </v>
      </c>
      <c r="T182" s="17" t="str">
        <f aca="false">IF((E182="r"),H182," ")</f>
        <v> </v>
      </c>
      <c r="U182" s="17" t="str">
        <f aca="false">IF((E182="p"),H182," ")</f>
        <v> </v>
      </c>
      <c r="V182" s="17" t="str">
        <f aca="false">IF((E182="t"),H182," ")</f>
        <v> </v>
      </c>
      <c r="W182" s="17" t="str">
        <f aca="false">IF((E182="q"),H182," ")</f>
        <v> </v>
      </c>
      <c r="X182" s="17" t="str">
        <f aca="false">IF((E182="m"),H182," ")</f>
        <v> </v>
      </c>
      <c r="Y182" s="17" t="str">
        <f aca="false">IF((E182="u"),H182," ")</f>
        <v> </v>
      </c>
      <c r="Z182" s="17" t="str">
        <f aca="false">IF((E182="a"),H182," ")</f>
        <v> </v>
      </c>
      <c r="AA182" s="17" t="str">
        <f aca="false">IF((E182="g"),H182," ")</f>
        <v> </v>
      </c>
      <c r="AB182" s="17" t="str">
        <f aca="false">IF((E182="h"),H182," ")</f>
        <v> </v>
      </c>
      <c r="AC182" s="30" t="str">
        <f aca="false">IF((E182="v"),H182," ")</f>
        <v> </v>
      </c>
      <c r="AD182" s="30" t="str">
        <f aca="false">IF((E182="n"),H182," ")</f>
        <v> </v>
      </c>
      <c r="AE182" s="17" t="str">
        <f aca="false">IF((E182="f"),H182," ")</f>
        <v> </v>
      </c>
      <c r="AF182" s="17" t="str">
        <f aca="false">IF((E182="l"),H182," ")</f>
        <v> </v>
      </c>
      <c r="AG182" s="17" t="str">
        <f aca="false">IF((E182="y"),H182," ")</f>
        <v> </v>
      </c>
      <c r="AH182" s="17" t="str">
        <f aca="false">IF((E182="z"),H182," ")</f>
        <v> </v>
      </c>
      <c r="AI182" s="17" t="str">
        <f aca="false">IF((E182="fa"),H182," ")</f>
        <v> </v>
      </c>
      <c r="AJ182" s="17" t="str">
        <f aca="false">IF((E182="e"),H182," ")</f>
        <v> </v>
      </c>
    </row>
    <row r="183" customFormat="false" ht="12" hidden="false" customHeight="false" outlineLevel="0" collapsed="false">
      <c r="A183" s="28"/>
      <c r="E183" s="2" t="str">
        <f aca="false">IF((F183&lt;&gt;0),"Enter Letter"," ")</f>
        <v> </v>
      </c>
      <c r="F183" s="30"/>
      <c r="G183" s="6" t="str">
        <f aca="false">IF(F183&lt;&gt;0,F183*G$2/(100+G$2)," ")</f>
        <v> </v>
      </c>
      <c r="H183" s="6" t="str">
        <f aca="false">IF((F183&lt;&gt;0),F183-G183," ")</f>
        <v> </v>
      </c>
      <c r="I183" s="5"/>
      <c r="L183" s="7" t="str">
        <f aca="false">IF(F183&lt;&gt;0,F183-K183," ")</f>
        <v> </v>
      </c>
      <c r="M183" s="8" t="str">
        <f aca="false">IF((F183-K183)&lt;&gt;0,M$1-A183," ")</f>
        <v> </v>
      </c>
      <c r="N183" s="5"/>
      <c r="O183" s="17" t="str">
        <f aca="false">IF((E183="s"),H183," ")</f>
        <v> </v>
      </c>
      <c r="P183" s="17" t="str">
        <f aca="false">IF((E183="c"),H183," ")</f>
        <v> </v>
      </c>
      <c r="Q183" s="17" t="str">
        <f aca="false">IF((E183="o"),H183," ")</f>
        <v> </v>
      </c>
      <c r="R183" s="17" t="str">
        <f aca="false">IF((E183="d"),H183," ")</f>
        <v> </v>
      </c>
      <c r="S183" s="17" t="str">
        <f aca="false">IF((E183="w"),H183," ")</f>
        <v> </v>
      </c>
      <c r="T183" s="17" t="str">
        <f aca="false">IF((E183="r"),H183," ")</f>
        <v> </v>
      </c>
      <c r="U183" s="17" t="str">
        <f aca="false">IF((E183="p"),H183," ")</f>
        <v> </v>
      </c>
      <c r="V183" s="17" t="str">
        <f aca="false">IF((E183="t"),H183," ")</f>
        <v> </v>
      </c>
      <c r="W183" s="17" t="str">
        <f aca="false">IF((E183="q"),H183," ")</f>
        <v> </v>
      </c>
      <c r="X183" s="17" t="str">
        <f aca="false">IF((E183="m"),H183," ")</f>
        <v> </v>
      </c>
      <c r="Y183" s="17" t="str">
        <f aca="false">IF((E183="u"),H183," ")</f>
        <v> </v>
      </c>
      <c r="Z183" s="17" t="str">
        <f aca="false">IF((E183="a"),H183," ")</f>
        <v> </v>
      </c>
      <c r="AA183" s="17" t="str">
        <f aca="false">IF((E183="g"),H183," ")</f>
        <v> </v>
      </c>
      <c r="AB183" s="17" t="str">
        <f aca="false">IF((E183="h"),H183," ")</f>
        <v> </v>
      </c>
      <c r="AC183" s="30" t="str">
        <f aca="false">IF((E183="v"),H183," ")</f>
        <v> </v>
      </c>
      <c r="AD183" s="30" t="str">
        <f aca="false">IF((E183="n"),H183," ")</f>
        <v> </v>
      </c>
      <c r="AE183" s="17" t="str">
        <f aca="false">IF((E183="f"),H183," ")</f>
        <v> </v>
      </c>
      <c r="AF183" s="17" t="str">
        <f aca="false">IF((E183="l"),H183," ")</f>
        <v> </v>
      </c>
      <c r="AG183" s="17" t="str">
        <f aca="false">IF((E183="y"),H183," ")</f>
        <v> </v>
      </c>
      <c r="AH183" s="17" t="str">
        <f aca="false">IF((E183="z"),H183," ")</f>
        <v> </v>
      </c>
      <c r="AI183" s="17" t="str">
        <f aca="false">IF((E183="fa"),H183," ")</f>
        <v> </v>
      </c>
      <c r="AJ183" s="17" t="str">
        <f aca="false">IF((E183="e"),H183," ")</f>
        <v> </v>
      </c>
    </row>
    <row r="184" customFormat="false" ht="12" hidden="false" customHeight="false" outlineLevel="0" collapsed="false">
      <c r="A184" s="28"/>
      <c r="E184" s="2" t="str">
        <f aca="false">IF((F184&lt;&gt;0),"Enter Letter"," ")</f>
        <v> </v>
      </c>
      <c r="F184" s="30"/>
      <c r="G184" s="6" t="str">
        <f aca="false">IF(F184&lt;&gt;0,F184*G$2/(100+G$2)," ")</f>
        <v> </v>
      </c>
      <c r="H184" s="6" t="str">
        <f aca="false">IF((F184&lt;&gt;0),F184-G184," ")</f>
        <v> </v>
      </c>
      <c r="I184" s="5"/>
      <c r="L184" s="7" t="str">
        <f aca="false">IF(F184&lt;&gt;0,F184-K184," ")</f>
        <v> </v>
      </c>
      <c r="M184" s="8" t="str">
        <f aca="false">IF((F184-K184)&lt;&gt;0,M$1-A184," ")</f>
        <v> </v>
      </c>
      <c r="N184" s="5"/>
      <c r="O184" s="17" t="str">
        <f aca="false">IF((E184="s"),H184," ")</f>
        <v> </v>
      </c>
      <c r="P184" s="17" t="str">
        <f aca="false">IF((E184="c"),H184," ")</f>
        <v> </v>
      </c>
      <c r="Q184" s="17" t="str">
        <f aca="false">IF((E184="o"),H184," ")</f>
        <v> </v>
      </c>
      <c r="R184" s="17" t="str">
        <f aca="false">IF((E184="d"),H184," ")</f>
        <v> </v>
      </c>
      <c r="S184" s="17" t="str">
        <f aca="false">IF((E184="w"),H184," ")</f>
        <v> </v>
      </c>
      <c r="T184" s="17" t="str">
        <f aca="false">IF((E184="r"),H184," ")</f>
        <v> </v>
      </c>
      <c r="U184" s="17" t="str">
        <f aca="false">IF((E184="p"),H184," ")</f>
        <v> </v>
      </c>
      <c r="V184" s="17" t="str">
        <f aca="false">IF((E184="t"),H184," ")</f>
        <v> </v>
      </c>
      <c r="W184" s="17" t="str">
        <f aca="false">IF((E184="q"),H184," ")</f>
        <v> </v>
      </c>
      <c r="X184" s="17" t="str">
        <f aca="false">IF((E184="m"),H184," ")</f>
        <v> </v>
      </c>
      <c r="Y184" s="17" t="str">
        <f aca="false">IF((E184="u"),H184," ")</f>
        <v> </v>
      </c>
      <c r="Z184" s="17" t="str">
        <f aca="false">IF((E184="a"),H184," ")</f>
        <v> </v>
      </c>
      <c r="AA184" s="17" t="str">
        <f aca="false">IF((E184="g"),H184," ")</f>
        <v> </v>
      </c>
      <c r="AB184" s="17" t="str">
        <f aca="false">IF((E184="h"),H184," ")</f>
        <v> </v>
      </c>
      <c r="AC184" s="30" t="str">
        <f aca="false">IF((E184="v"),H184," ")</f>
        <v> </v>
      </c>
      <c r="AD184" s="30" t="str">
        <f aca="false">IF((E184="n"),H184," ")</f>
        <v> </v>
      </c>
      <c r="AE184" s="17" t="str">
        <f aca="false">IF((E184="f"),H184," ")</f>
        <v> </v>
      </c>
      <c r="AF184" s="17" t="str">
        <f aca="false">IF((E184="l"),H184," ")</f>
        <v> </v>
      </c>
      <c r="AG184" s="17" t="str">
        <f aca="false">IF((E184="y"),H184," ")</f>
        <v> </v>
      </c>
      <c r="AH184" s="17" t="str">
        <f aca="false">IF((E184="z"),H184," ")</f>
        <v> </v>
      </c>
      <c r="AI184" s="17" t="str">
        <f aca="false">IF((E184="fa"),H184," ")</f>
        <v> </v>
      </c>
      <c r="AJ184" s="17" t="str">
        <f aca="false">IF((E184="e"),H184," ")</f>
        <v> </v>
      </c>
    </row>
    <row r="185" customFormat="false" ht="12" hidden="false" customHeight="false" outlineLevel="0" collapsed="false">
      <c r="A185" s="28"/>
      <c r="E185" s="2" t="str">
        <f aca="false">IF((F185&lt;&gt;0),"Enter Letter"," ")</f>
        <v> </v>
      </c>
      <c r="F185" s="30"/>
      <c r="G185" s="6" t="str">
        <f aca="false">IF(F185&lt;&gt;0,F185*G$2/(100+G$2)," ")</f>
        <v> </v>
      </c>
      <c r="H185" s="6" t="str">
        <f aca="false">IF((F185&lt;&gt;0),F185-G185," ")</f>
        <v> </v>
      </c>
      <c r="I185" s="5"/>
      <c r="L185" s="7" t="str">
        <f aca="false">IF(F185&lt;&gt;0,F185-K185," ")</f>
        <v> </v>
      </c>
      <c r="M185" s="8" t="str">
        <f aca="false">IF((F185-K185)&lt;&gt;0,M$1-A185," ")</f>
        <v> </v>
      </c>
      <c r="N185" s="5"/>
      <c r="O185" s="17" t="str">
        <f aca="false">IF((E185="s"),H185," ")</f>
        <v> </v>
      </c>
      <c r="P185" s="17" t="str">
        <f aca="false">IF((E185="c"),H185," ")</f>
        <v> </v>
      </c>
      <c r="Q185" s="17" t="str">
        <f aca="false">IF((E185="o"),H185," ")</f>
        <v> </v>
      </c>
      <c r="R185" s="17" t="str">
        <f aca="false">IF((E185="d"),H185," ")</f>
        <v> </v>
      </c>
      <c r="S185" s="17" t="str">
        <f aca="false">IF((E185="w"),H185," ")</f>
        <v> </v>
      </c>
      <c r="T185" s="17" t="str">
        <f aca="false">IF((E185="r"),H185," ")</f>
        <v> </v>
      </c>
      <c r="U185" s="17" t="str">
        <f aca="false">IF((E185="p"),H185," ")</f>
        <v> </v>
      </c>
      <c r="V185" s="17" t="str">
        <f aca="false">IF((E185="t"),H185," ")</f>
        <v> </v>
      </c>
      <c r="W185" s="17" t="str">
        <f aca="false">IF((E185="q"),H185," ")</f>
        <v> </v>
      </c>
      <c r="X185" s="17" t="str">
        <f aca="false">IF((E185="m"),H185," ")</f>
        <v> </v>
      </c>
      <c r="Y185" s="17" t="str">
        <f aca="false">IF((E185="u"),H185," ")</f>
        <v> </v>
      </c>
      <c r="Z185" s="17" t="str">
        <f aca="false">IF((E185="a"),H185," ")</f>
        <v> </v>
      </c>
      <c r="AA185" s="17" t="str">
        <f aca="false">IF((E185="g"),H185," ")</f>
        <v> </v>
      </c>
      <c r="AB185" s="17" t="str">
        <f aca="false">IF((E185="h"),H185," ")</f>
        <v> </v>
      </c>
      <c r="AC185" s="30" t="str">
        <f aca="false">IF((E185="v"),H185," ")</f>
        <v> </v>
      </c>
      <c r="AD185" s="30" t="str">
        <f aca="false">IF((E185="n"),H185," ")</f>
        <v> </v>
      </c>
      <c r="AE185" s="17" t="str">
        <f aca="false">IF((E185="f"),H185," ")</f>
        <v> </v>
      </c>
      <c r="AF185" s="17" t="str">
        <f aca="false">IF((E185="l"),H185," ")</f>
        <v> </v>
      </c>
      <c r="AG185" s="17" t="str">
        <f aca="false">IF((E185="y"),H185," ")</f>
        <v> </v>
      </c>
      <c r="AH185" s="17" t="str">
        <f aca="false">IF((E185="z"),H185," ")</f>
        <v> </v>
      </c>
      <c r="AI185" s="17" t="str">
        <f aca="false">IF((E185="fa"),H185," ")</f>
        <v> </v>
      </c>
      <c r="AJ185" s="17" t="str">
        <f aca="false">IF((E185="e"),H185," ")</f>
        <v> </v>
      </c>
    </row>
    <row r="186" customFormat="false" ht="12" hidden="false" customHeight="false" outlineLevel="0" collapsed="false">
      <c r="A186" s="28"/>
      <c r="E186" s="2" t="str">
        <f aca="false">IF((F186&lt;&gt;0),"Enter Letter"," ")</f>
        <v> </v>
      </c>
      <c r="F186" s="30"/>
      <c r="G186" s="6" t="str">
        <f aca="false">IF(F186&lt;&gt;0,F186*G$2/(100+G$2)," ")</f>
        <v> </v>
      </c>
      <c r="H186" s="6" t="str">
        <f aca="false">IF((F186&lt;&gt;0),F186-G186," ")</f>
        <v> </v>
      </c>
      <c r="I186" s="5"/>
      <c r="L186" s="7" t="str">
        <f aca="false">IF(F186&lt;&gt;0,F186-K186," ")</f>
        <v> </v>
      </c>
      <c r="M186" s="8" t="str">
        <f aca="false">IF((F186-K186)&lt;&gt;0,M$1-A186," ")</f>
        <v> </v>
      </c>
      <c r="N186" s="5"/>
      <c r="O186" s="17" t="str">
        <f aca="false">IF((E186="s"),H186," ")</f>
        <v> </v>
      </c>
      <c r="P186" s="17" t="str">
        <f aca="false">IF((E186="c"),H186," ")</f>
        <v> </v>
      </c>
      <c r="Q186" s="17" t="str">
        <f aca="false">IF((E186="o"),H186," ")</f>
        <v> </v>
      </c>
      <c r="R186" s="17" t="str">
        <f aca="false">IF((E186="d"),H186," ")</f>
        <v> </v>
      </c>
      <c r="S186" s="17" t="str">
        <f aca="false">IF((E186="w"),H186," ")</f>
        <v> </v>
      </c>
      <c r="T186" s="17" t="str">
        <f aca="false">IF((E186="r"),H186," ")</f>
        <v> </v>
      </c>
      <c r="U186" s="17" t="str">
        <f aca="false">IF((E186="p"),H186," ")</f>
        <v> </v>
      </c>
      <c r="V186" s="17" t="str">
        <f aca="false">IF((E186="t"),H186," ")</f>
        <v> </v>
      </c>
      <c r="W186" s="17" t="str">
        <f aca="false">IF((E186="q"),H186," ")</f>
        <v> </v>
      </c>
      <c r="X186" s="17" t="str">
        <f aca="false">IF((E186="m"),H186," ")</f>
        <v> </v>
      </c>
      <c r="Y186" s="17" t="str">
        <f aca="false">IF((E186="u"),H186," ")</f>
        <v> </v>
      </c>
      <c r="Z186" s="17" t="str">
        <f aca="false">IF((E186="a"),H186," ")</f>
        <v> </v>
      </c>
      <c r="AA186" s="17" t="str">
        <f aca="false">IF((E186="g"),H186," ")</f>
        <v> </v>
      </c>
      <c r="AB186" s="17" t="str">
        <f aca="false">IF((E186="h"),H186," ")</f>
        <v> </v>
      </c>
      <c r="AC186" s="30" t="str">
        <f aca="false">IF((E186="v"),H186," ")</f>
        <v> </v>
      </c>
      <c r="AD186" s="30" t="str">
        <f aca="false">IF((E186="n"),H186," ")</f>
        <v> </v>
      </c>
      <c r="AE186" s="17" t="str">
        <f aca="false">IF((E186="f"),H186," ")</f>
        <v> </v>
      </c>
      <c r="AF186" s="17" t="str">
        <f aca="false">IF((E186="l"),H186," ")</f>
        <v> </v>
      </c>
      <c r="AG186" s="17" t="str">
        <f aca="false">IF((E186="y"),H186," ")</f>
        <v> </v>
      </c>
      <c r="AH186" s="17" t="str">
        <f aca="false">IF((E186="z"),H186," ")</f>
        <v> </v>
      </c>
      <c r="AI186" s="17" t="str">
        <f aca="false">IF((E186="fa"),H186," ")</f>
        <v> </v>
      </c>
      <c r="AJ186" s="17" t="str">
        <f aca="false">IF((E186="e"),H186," ")</f>
        <v> </v>
      </c>
    </row>
    <row r="187" customFormat="false" ht="12" hidden="false" customHeight="false" outlineLevel="0" collapsed="false">
      <c r="A187" s="28"/>
      <c r="E187" s="2" t="str">
        <f aca="false">IF((F187&lt;&gt;0),"Enter Letter"," ")</f>
        <v> </v>
      </c>
      <c r="F187" s="30"/>
      <c r="G187" s="6" t="str">
        <f aca="false">IF(F187&lt;&gt;0,F187*G$2/(100+G$2)," ")</f>
        <v> </v>
      </c>
      <c r="H187" s="6" t="str">
        <f aca="false">IF((F187&lt;&gt;0),F187-G187," ")</f>
        <v> </v>
      </c>
      <c r="I187" s="5"/>
      <c r="L187" s="7" t="str">
        <f aca="false">IF(F187&lt;&gt;0,F187-K187," ")</f>
        <v> </v>
      </c>
      <c r="M187" s="8" t="str">
        <f aca="false">IF((F187-K187)&lt;&gt;0,M$1-A187," ")</f>
        <v> </v>
      </c>
      <c r="N187" s="5"/>
      <c r="O187" s="17" t="str">
        <f aca="false">IF((E187="s"),H187," ")</f>
        <v> </v>
      </c>
      <c r="P187" s="17" t="str">
        <f aca="false">IF((E187="c"),H187," ")</f>
        <v> </v>
      </c>
      <c r="Q187" s="17" t="str">
        <f aca="false">IF((E187="o"),H187," ")</f>
        <v> </v>
      </c>
      <c r="R187" s="17" t="str">
        <f aca="false">IF((E187="d"),H187," ")</f>
        <v> </v>
      </c>
      <c r="S187" s="17" t="str">
        <f aca="false">IF((E187="w"),H187," ")</f>
        <v> </v>
      </c>
      <c r="T187" s="17" t="str">
        <f aca="false">IF((E187="r"),H187," ")</f>
        <v> </v>
      </c>
      <c r="U187" s="17" t="str">
        <f aca="false">IF((E187="p"),H187," ")</f>
        <v> </v>
      </c>
      <c r="V187" s="17" t="str">
        <f aca="false">IF((E187="t"),H187," ")</f>
        <v> </v>
      </c>
      <c r="W187" s="17" t="str">
        <f aca="false">IF((E187="q"),H187," ")</f>
        <v> </v>
      </c>
      <c r="X187" s="17" t="str">
        <f aca="false">IF((E187="m"),H187," ")</f>
        <v> </v>
      </c>
      <c r="Y187" s="17" t="str">
        <f aca="false">IF((E187="u"),H187," ")</f>
        <v> </v>
      </c>
      <c r="Z187" s="17" t="str">
        <f aca="false">IF((E187="a"),H187," ")</f>
        <v> </v>
      </c>
      <c r="AA187" s="17" t="str">
        <f aca="false">IF((E187="g"),H187," ")</f>
        <v> </v>
      </c>
      <c r="AB187" s="17" t="str">
        <f aca="false">IF((E187="h"),H187," ")</f>
        <v> </v>
      </c>
      <c r="AC187" s="30" t="str">
        <f aca="false">IF((E187="v"),H187," ")</f>
        <v> </v>
      </c>
      <c r="AD187" s="30" t="str">
        <f aca="false">IF((E187="n"),H187," ")</f>
        <v> </v>
      </c>
      <c r="AE187" s="17" t="str">
        <f aca="false">IF((E187="f"),H187," ")</f>
        <v> </v>
      </c>
      <c r="AF187" s="17" t="str">
        <f aca="false">IF((E187="l"),H187," ")</f>
        <v> </v>
      </c>
      <c r="AG187" s="17" t="str">
        <f aca="false">IF((E187="y"),H187," ")</f>
        <v> </v>
      </c>
      <c r="AH187" s="17" t="str">
        <f aca="false">IF((E187="z"),H187," ")</f>
        <v> </v>
      </c>
      <c r="AI187" s="17" t="str">
        <f aca="false">IF((E187="fa"),H187," ")</f>
        <v> </v>
      </c>
      <c r="AJ187" s="17" t="str">
        <f aca="false">IF((E187="e"),H187," ")</f>
        <v> </v>
      </c>
    </row>
    <row r="188" customFormat="false" ht="12" hidden="false" customHeight="false" outlineLevel="0" collapsed="false">
      <c r="A188" s="28"/>
      <c r="E188" s="2" t="str">
        <f aca="false">IF((F188&lt;&gt;0),"Enter Letter"," ")</f>
        <v> </v>
      </c>
      <c r="F188" s="30"/>
      <c r="G188" s="6" t="str">
        <f aca="false">IF(F188&lt;&gt;0,F188*G$2/(100+G$2)," ")</f>
        <v> </v>
      </c>
      <c r="H188" s="6" t="str">
        <f aca="false">IF((F188&lt;&gt;0),F188-G188," ")</f>
        <v> </v>
      </c>
      <c r="I188" s="5"/>
      <c r="L188" s="7" t="str">
        <f aca="false">IF(F188&lt;&gt;0,F188-K188," ")</f>
        <v> </v>
      </c>
      <c r="M188" s="8" t="str">
        <f aca="false">IF((F188-K188)&lt;&gt;0,M$1-A188," ")</f>
        <v> </v>
      </c>
      <c r="N188" s="5"/>
      <c r="O188" s="17" t="str">
        <f aca="false">IF((E188="s"),H188," ")</f>
        <v> </v>
      </c>
      <c r="P188" s="17" t="str">
        <f aca="false">IF((E188="c"),H188," ")</f>
        <v> </v>
      </c>
      <c r="Q188" s="17" t="str">
        <f aca="false">IF((E188="o"),H188," ")</f>
        <v> </v>
      </c>
      <c r="R188" s="17" t="str">
        <f aca="false">IF((E188="d"),H188," ")</f>
        <v> </v>
      </c>
      <c r="S188" s="17" t="str">
        <f aca="false">IF((E188="w"),H188," ")</f>
        <v> </v>
      </c>
      <c r="T188" s="17" t="str">
        <f aca="false">IF((E188="r"),H188," ")</f>
        <v> </v>
      </c>
      <c r="U188" s="17" t="str">
        <f aca="false">IF((E188="p"),H188," ")</f>
        <v> </v>
      </c>
      <c r="V188" s="17" t="str">
        <f aca="false">IF((E188="t"),H188," ")</f>
        <v> </v>
      </c>
      <c r="W188" s="17" t="str">
        <f aca="false">IF((E188="q"),H188," ")</f>
        <v> </v>
      </c>
      <c r="X188" s="17" t="str">
        <f aca="false">IF((E188="m"),H188," ")</f>
        <v> </v>
      </c>
      <c r="Y188" s="17" t="str">
        <f aca="false">IF((E188="u"),H188," ")</f>
        <v> </v>
      </c>
      <c r="Z188" s="17" t="str">
        <f aca="false">IF((E188="a"),H188," ")</f>
        <v> </v>
      </c>
      <c r="AA188" s="17" t="str">
        <f aca="false">IF((E188="g"),H188," ")</f>
        <v> </v>
      </c>
      <c r="AB188" s="17" t="str">
        <f aca="false">IF((E188="h"),H188," ")</f>
        <v> </v>
      </c>
      <c r="AC188" s="30" t="str">
        <f aca="false">IF((E188="v"),H188," ")</f>
        <v> </v>
      </c>
      <c r="AD188" s="30" t="str">
        <f aca="false">IF((E188="n"),H188," ")</f>
        <v> </v>
      </c>
      <c r="AE188" s="17" t="str">
        <f aca="false">IF((E188="f"),H188," ")</f>
        <v> </v>
      </c>
      <c r="AF188" s="17" t="str">
        <f aca="false">IF((E188="l"),H188," ")</f>
        <v> </v>
      </c>
      <c r="AG188" s="17" t="str">
        <f aca="false">IF((E188="y"),H188," ")</f>
        <v> </v>
      </c>
      <c r="AH188" s="17" t="str">
        <f aca="false">IF((E188="z"),H188," ")</f>
        <v> </v>
      </c>
      <c r="AI188" s="17" t="str">
        <f aca="false">IF((E188="fa"),H188," ")</f>
        <v> </v>
      </c>
      <c r="AJ188" s="17" t="str">
        <f aca="false">IF((E188="e"),H188," ")</f>
        <v> </v>
      </c>
    </row>
    <row r="189" customFormat="false" ht="12" hidden="false" customHeight="false" outlineLevel="0" collapsed="false">
      <c r="A189" s="28"/>
      <c r="E189" s="2" t="str">
        <f aca="false">IF((F189&lt;&gt;0),"Enter Letter"," ")</f>
        <v> </v>
      </c>
      <c r="F189" s="30"/>
      <c r="G189" s="6" t="str">
        <f aca="false">IF(F189&lt;&gt;0,F189*G$2/(100+G$2)," ")</f>
        <v> </v>
      </c>
      <c r="H189" s="6" t="str">
        <f aca="false">IF((F189&lt;&gt;0),F189-G189," ")</f>
        <v> </v>
      </c>
      <c r="I189" s="5"/>
      <c r="L189" s="7" t="str">
        <f aca="false">IF(F189&lt;&gt;0,F189-K189," ")</f>
        <v> </v>
      </c>
      <c r="M189" s="8" t="str">
        <f aca="false">IF((F189-K189)&lt;&gt;0,M$1-A189," ")</f>
        <v> </v>
      </c>
      <c r="N189" s="5"/>
      <c r="O189" s="17" t="str">
        <f aca="false">IF((E189="s"),H189," ")</f>
        <v> </v>
      </c>
      <c r="P189" s="17" t="str">
        <f aca="false">IF((E189="c"),H189," ")</f>
        <v> </v>
      </c>
      <c r="Q189" s="17" t="str">
        <f aca="false">IF((E189="o"),H189," ")</f>
        <v> </v>
      </c>
      <c r="R189" s="17" t="str">
        <f aca="false">IF((E189="d"),H189," ")</f>
        <v> </v>
      </c>
      <c r="S189" s="17" t="str">
        <f aca="false">IF((E189="w"),H189," ")</f>
        <v> </v>
      </c>
      <c r="T189" s="17" t="str">
        <f aca="false">IF((E189="r"),H189," ")</f>
        <v> </v>
      </c>
      <c r="U189" s="17" t="str">
        <f aca="false">IF((E189="p"),H189," ")</f>
        <v> </v>
      </c>
      <c r="V189" s="17" t="str">
        <f aca="false">IF((E189="t"),H189," ")</f>
        <v> </v>
      </c>
      <c r="W189" s="17" t="str">
        <f aca="false">IF((E189="q"),H189," ")</f>
        <v> </v>
      </c>
      <c r="X189" s="17" t="str">
        <f aca="false">IF((E189="m"),H189," ")</f>
        <v> </v>
      </c>
      <c r="Y189" s="17" t="str">
        <f aca="false">IF((E189="u"),H189," ")</f>
        <v> </v>
      </c>
      <c r="Z189" s="17" t="str">
        <f aca="false">IF((E189="a"),H189," ")</f>
        <v> </v>
      </c>
      <c r="AA189" s="17" t="str">
        <f aca="false">IF((E189="g"),H189," ")</f>
        <v> </v>
      </c>
      <c r="AB189" s="17" t="str">
        <f aca="false">IF((E189="h"),H189," ")</f>
        <v> </v>
      </c>
      <c r="AC189" s="30" t="str">
        <f aca="false">IF((E189="v"),H189," ")</f>
        <v> </v>
      </c>
      <c r="AD189" s="30" t="str">
        <f aca="false">IF((E189="n"),H189," ")</f>
        <v> </v>
      </c>
      <c r="AE189" s="17" t="str">
        <f aca="false">IF((E189="f"),H189," ")</f>
        <v> </v>
      </c>
      <c r="AF189" s="17" t="str">
        <f aca="false">IF((E189="l"),H189," ")</f>
        <v> </v>
      </c>
      <c r="AG189" s="17" t="str">
        <f aca="false">IF((E189="y"),H189," ")</f>
        <v> </v>
      </c>
      <c r="AH189" s="17" t="str">
        <f aca="false">IF((E189="z"),H189," ")</f>
        <v> </v>
      </c>
      <c r="AI189" s="17" t="str">
        <f aca="false">IF((E189="fa"),H189," ")</f>
        <v> </v>
      </c>
      <c r="AJ189" s="17" t="str">
        <f aca="false">IF((E189="e"),H189," ")</f>
        <v> </v>
      </c>
    </row>
    <row r="190" customFormat="false" ht="12" hidden="false" customHeight="false" outlineLevel="0" collapsed="false">
      <c r="A190" s="28"/>
      <c r="E190" s="2" t="str">
        <f aca="false">IF((F190&lt;&gt;0),"Enter Letter"," ")</f>
        <v> </v>
      </c>
      <c r="F190" s="30"/>
      <c r="G190" s="6" t="str">
        <f aca="false">IF(F190&lt;&gt;0,F190*G$2/(100+G$2)," ")</f>
        <v> </v>
      </c>
      <c r="H190" s="6" t="str">
        <f aca="false">IF((F190&lt;&gt;0),F190-G190," ")</f>
        <v> </v>
      </c>
      <c r="I190" s="5"/>
      <c r="L190" s="7" t="str">
        <f aca="false">IF(F190&lt;&gt;0,F190-K190," ")</f>
        <v> </v>
      </c>
      <c r="M190" s="8" t="str">
        <f aca="false">IF((F190-K190)&lt;&gt;0,M$1-A190," ")</f>
        <v> </v>
      </c>
      <c r="N190" s="5"/>
      <c r="O190" s="17" t="str">
        <f aca="false">IF((E190="s"),H190," ")</f>
        <v> </v>
      </c>
      <c r="P190" s="17" t="str">
        <f aca="false">IF((E190="c"),H190," ")</f>
        <v> </v>
      </c>
      <c r="Q190" s="17" t="str">
        <f aca="false">IF((E190="o"),H190," ")</f>
        <v> </v>
      </c>
      <c r="R190" s="17" t="str">
        <f aca="false">IF((E190="d"),H190," ")</f>
        <v> </v>
      </c>
      <c r="S190" s="17" t="str">
        <f aca="false">IF((E190="w"),H190," ")</f>
        <v> </v>
      </c>
      <c r="T190" s="17" t="str">
        <f aca="false">IF((E190="r"),H190," ")</f>
        <v> </v>
      </c>
      <c r="U190" s="17" t="str">
        <f aca="false">IF((E190="p"),H190," ")</f>
        <v> </v>
      </c>
      <c r="V190" s="17" t="str">
        <f aca="false">IF((E190="t"),H190," ")</f>
        <v> </v>
      </c>
      <c r="W190" s="17" t="str">
        <f aca="false">IF((E190="q"),H190," ")</f>
        <v> </v>
      </c>
      <c r="X190" s="17" t="str">
        <f aca="false">IF((E190="m"),H190," ")</f>
        <v> </v>
      </c>
      <c r="Y190" s="17" t="str">
        <f aca="false">IF((E190="u"),H190," ")</f>
        <v> </v>
      </c>
      <c r="Z190" s="17" t="str">
        <f aca="false">IF((E190="a"),H190," ")</f>
        <v> </v>
      </c>
      <c r="AA190" s="17" t="str">
        <f aca="false">IF((E190="g"),H190," ")</f>
        <v> </v>
      </c>
      <c r="AB190" s="17" t="str">
        <f aca="false">IF((E190="h"),H190," ")</f>
        <v> </v>
      </c>
      <c r="AC190" s="30" t="str">
        <f aca="false">IF((E190="v"),H190," ")</f>
        <v> </v>
      </c>
      <c r="AD190" s="30" t="str">
        <f aca="false">IF((E190="n"),H190," ")</f>
        <v> </v>
      </c>
      <c r="AE190" s="17" t="str">
        <f aca="false">IF((E190="f"),H190," ")</f>
        <v> </v>
      </c>
      <c r="AF190" s="17" t="str">
        <f aca="false">IF((E190="l"),H190," ")</f>
        <v> </v>
      </c>
      <c r="AG190" s="17" t="str">
        <f aca="false">IF((E190="y"),H190," ")</f>
        <v> </v>
      </c>
      <c r="AH190" s="17" t="str">
        <f aca="false">IF((E190="z"),H190," ")</f>
        <v> </v>
      </c>
      <c r="AI190" s="17" t="str">
        <f aca="false">IF((E190="fa"),H190," ")</f>
        <v> </v>
      </c>
      <c r="AJ190" s="17" t="str">
        <f aca="false">IF((E190="e"),H190," ")</f>
        <v> </v>
      </c>
    </row>
    <row r="191" customFormat="false" ht="12" hidden="false" customHeight="false" outlineLevel="0" collapsed="false">
      <c r="A191" s="28"/>
      <c r="E191" s="2" t="str">
        <f aca="false">IF((F191&lt;&gt;0),"Enter Letter"," ")</f>
        <v> </v>
      </c>
      <c r="F191" s="30"/>
      <c r="G191" s="6" t="str">
        <f aca="false">IF(F191&lt;&gt;0,F191*G$2/(100+G$2)," ")</f>
        <v> </v>
      </c>
      <c r="H191" s="6" t="str">
        <f aca="false">IF((F191&lt;&gt;0),F191-G191," ")</f>
        <v> </v>
      </c>
      <c r="I191" s="5"/>
      <c r="L191" s="7" t="str">
        <f aca="false">IF(F191&lt;&gt;0,F191-K191," ")</f>
        <v> </v>
      </c>
      <c r="M191" s="8" t="str">
        <f aca="false">IF((F191-K191)&lt;&gt;0,M$1-A191," ")</f>
        <v> </v>
      </c>
      <c r="N191" s="5"/>
      <c r="O191" s="17" t="str">
        <f aca="false">IF((E191="s"),H191," ")</f>
        <v> </v>
      </c>
      <c r="P191" s="17" t="str">
        <f aca="false">IF((E191="c"),H191," ")</f>
        <v> </v>
      </c>
      <c r="Q191" s="17" t="str">
        <f aca="false">IF((E191="o"),H191," ")</f>
        <v> </v>
      </c>
      <c r="R191" s="17" t="str">
        <f aca="false">IF((E191="d"),H191," ")</f>
        <v> </v>
      </c>
      <c r="S191" s="17" t="str">
        <f aca="false">IF((E191="w"),H191," ")</f>
        <v> </v>
      </c>
      <c r="T191" s="17" t="str">
        <f aca="false">IF((E191="r"),H191," ")</f>
        <v> </v>
      </c>
      <c r="U191" s="17" t="str">
        <f aca="false">IF((E191="p"),H191," ")</f>
        <v> </v>
      </c>
      <c r="V191" s="17" t="str">
        <f aca="false">IF((E191="t"),H191," ")</f>
        <v> </v>
      </c>
      <c r="W191" s="17" t="str">
        <f aca="false">IF((E191="q"),H191," ")</f>
        <v> </v>
      </c>
      <c r="X191" s="17" t="str">
        <f aca="false">IF((E191="m"),H191," ")</f>
        <v> </v>
      </c>
      <c r="Y191" s="17" t="str">
        <f aca="false">IF((E191="u"),H191," ")</f>
        <v> </v>
      </c>
      <c r="Z191" s="17" t="str">
        <f aca="false">IF((E191="a"),H191," ")</f>
        <v> </v>
      </c>
      <c r="AA191" s="17" t="str">
        <f aca="false">IF((E191="g"),H191," ")</f>
        <v> </v>
      </c>
      <c r="AB191" s="17" t="str">
        <f aca="false">IF((E191="h"),H191," ")</f>
        <v> </v>
      </c>
      <c r="AC191" s="30" t="str">
        <f aca="false">IF((E191="v"),H191," ")</f>
        <v> </v>
      </c>
      <c r="AD191" s="30" t="str">
        <f aca="false">IF((E191="n"),H191," ")</f>
        <v> </v>
      </c>
      <c r="AE191" s="17" t="str">
        <f aca="false">IF((E191="f"),H191," ")</f>
        <v> </v>
      </c>
      <c r="AF191" s="17" t="str">
        <f aca="false">IF((E191="l"),H191," ")</f>
        <v> </v>
      </c>
      <c r="AG191" s="17" t="str">
        <f aca="false">IF((E191="y"),H191," ")</f>
        <v> </v>
      </c>
      <c r="AH191" s="17" t="str">
        <f aca="false">IF((E191="z"),H191," ")</f>
        <v> </v>
      </c>
      <c r="AI191" s="17" t="str">
        <f aca="false">IF((E191="fa"),H191," ")</f>
        <v> </v>
      </c>
      <c r="AJ191" s="17" t="str">
        <f aca="false">IF((E191="e"),H191," ")</f>
        <v> </v>
      </c>
    </row>
    <row r="192" customFormat="false" ht="12" hidden="false" customHeight="false" outlineLevel="0" collapsed="false">
      <c r="A192" s="28"/>
      <c r="E192" s="2" t="str">
        <f aca="false">IF((F192&lt;&gt;0),"Enter Letter"," ")</f>
        <v> </v>
      </c>
      <c r="F192" s="30"/>
      <c r="G192" s="6" t="str">
        <f aca="false">IF(F192&lt;&gt;0,F192*G$2/(100+G$2)," ")</f>
        <v> </v>
      </c>
      <c r="H192" s="6" t="str">
        <f aca="false">IF((F192&lt;&gt;0),F192-G192," ")</f>
        <v> </v>
      </c>
      <c r="I192" s="5"/>
      <c r="L192" s="7" t="str">
        <f aca="false">IF(F192&lt;&gt;0,F192-K192," ")</f>
        <v> </v>
      </c>
      <c r="M192" s="8" t="str">
        <f aca="false">IF((F192-K192)&lt;&gt;0,M$1-A192," ")</f>
        <v> </v>
      </c>
      <c r="N192" s="5"/>
      <c r="O192" s="17" t="str">
        <f aca="false">IF((E192="s"),H192," ")</f>
        <v> </v>
      </c>
      <c r="P192" s="17" t="str">
        <f aca="false">IF((E192="c"),H192," ")</f>
        <v> </v>
      </c>
      <c r="Q192" s="17" t="str">
        <f aca="false">IF((E192="o"),H192," ")</f>
        <v> </v>
      </c>
      <c r="R192" s="17" t="str">
        <f aca="false">IF((E192="d"),H192," ")</f>
        <v> </v>
      </c>
      <c r="S192" s="17" t="str">
        <f aca="false">IF((E192="w"),H192," ")</f>
        <v> </v>
      </c>
      <c r="T192" s="17" t="str">
        <f aca="false">IF((E192="r"),H192," ")</f>
        <v> </v>
      </c>
      <c r="U192" s="17" t="str">
        <f aca="false">IF((E192="p"),H192," ")</f>
        <v> </v>
      </c>
      <c r="V192" s="17" t="str">
        <f aca="false">IF((E192="t"),H192," ")</f>
        <v> </v>
      </c>
      <c r="W192" s="17" t="str">
        <f aca="false">IF((E192="q"),H192," ")</f>
        <v> </v>
      </c>
      <c r="X192" s="17" t="str">
        <f aca="false">IF((E192="m"),H192," ")</f>
        <v> </v>
      </c>
      <c r="Y192" s="17" t="str">
        <f aca="false">IF((E192="u"),H192," ")</f>
        <v> </v>
      </c>
      <c r="Z192" s="17" t="str">
        <f aca="false">IF((E192="a"),H192," ")</f>
        <v> </v>
      </c>
      <c r="AA192" s="17" t="str">
        <f aca="false">IF((E192="g"),H192," ")</f>
        <v> </v>
      </c>
      <c r="AB192" s="17" t="str">
        <f aca="false">IF((E192="h"),H192," ")</f>
        <v> </v>
      </c>
      <c r="AC192" s="30" t="str">
        <f aca="false">IF((E192="v"),H192," ")</f>
        <v> </v>
      </c>
      <c r="AD192" s="30" t="str">
        <f aca="false">IF((E192="n"),H192," ")</f>
        <v> </v>
      </c>
      <c r="AE192" s="17" t="str">
        <f aca="false">IF((E192="f"),H192," ")</f>
        <v> </v>
      </c>
      <c r="AF192" s="17" t="str">
        <f aca="false">IF((E192="l"),H192," ")</f>
        <v> </v>
      </c>
      <c r="AG192" s="17" t="str">
        <f aca="false">IF((E192="y"),H192," ")</f>
        <v> </v>
      </c>
      <c r="AH192" s="17" t="str">
        <f aca="false">IF((E192="z"),H192," ")</f>
        <v> </v>
      </c>
      <c r="AI192" s="17" t="str">
        <f aca="false">IF((E192="fa"),H192," ")</f>
        <v> </v>
      </c>
      <c r="AJ192" s="17" t="str">
        <f aca="false">IF((E192="e"),H192," ")</f>
        <v> </v>
      </c>
    </row>
    <row r="193" customFormat="false" ht="12" hidden="false" customHeight="false" outlineLevel="0" collapsed="false">
      <c r="A193" s="28"/>
      <c r="E193" s="2" t="str">
        <f aca="false">IF((F193&lt;&gt;0),"Enter Letter"," ")</f>
        <v> </v>
      </c>
      <c r="F193" s="30"/>
      <c r="G193" s="6" t="str">
        <f aca="false">IF(F193&lt;&gt;0,F193*G$2/(100+G$2)," ")</f>
        <v> </v>
      </c>
      <c r="H193" s="6" t="str">
        <f aca="false">IF((F193&lt;&gt;0),F193-G193," ")</f>
        <v> </v>
      </c>
      <c r="I193" s="5"/>
      <c r="L193" s="7" t="str">
        <f aca="false">IF(F193&lt;&gt;0,F193-K193," ")</f>
        <v> </v>
      </c>
      <c r="M193" s="8" t="str">
        <f aca="false">IF((F193-K193)&lt;&gt;0,M$1-A193," ")</f>
        <v> </v>
      </c>
      <c r="N193" s="5"/>
      <c r="O193" s="17" t="str">
        <f aca="false">IF((E193="s"),H193," ")</f>
        <v> </v>
      </c>
      <c r="P193" s="17" t="str">
        <f aca="false">IF((E193="c"),H193," ")</f>
        <v> </v>
      </c>
      <c r="Q193" s="17" t="str">
        <f aca="false">IF((E193="o"),H193," ")</f>
        <v> </v>
      </c>
      <c r="R193" s="17" t="str">
        <f aca="false">IF((E193="d"),H193," ")</f>
        <v> </v>
      </c>
      <c r="S193" s="17" t="str">
        <f aca="false">IF((E193="w"),H193," ")</f>
        <v> </v>
      </c>
      <c r="T193" s="17" t="str">
        <f aca="false">IF((E193="r"),H193," ")</f>
        <v> </v>
      </c>
      <c r="U193" s="17" t="str">
        <f aca="false">IF((E193="p"),H193," ")</f>
        <v> </v>
      </c>
      <c r="V193" s="17" t="str">
        <f aca="false">IF((E193="t"),H193," ")</f>
        <v> </v>
      </c>
      <c r="W193" s="17" t="str">
        <f aca="false">IF((E193="q"),H193," ")</f>
        <v> </v>
      </c>
      <c r="X193" s="17" t="str">
        <f aca="false">IF((E193="m"),H193," ")</f>
        <v> </v>
      </c>
      <c r="Y193" s="17" t="str">
        <f aca="false">IF((E193="u"),H193," ")</f>
        <v> </v>
      </c>
      <c r="Z193" s="17" t="str">
        <f aca="false">IF((E193="a"),H193," ")</f>
        <v> </v>
      </c>
      <c r="AA193" s="17" t="str">
        <f aca="false">IF((E193="g"),H193," ")</f>
        <v> </v>
      </c>
      <c r="AB193" s="17" t="str">
        <f aca="false">IF((E193="h"),H193," ")</f>
        <v> </v>
      </c>
      <c r="AC193" s="30" t="str">
        <f aca="false">IF((E193="v"),H193," ")</f>
        <v> </v>
      </c>
      <c r="AD193" s="30" t="str">
        <f aca="false">IF((E193="n"),H193," ")</f>
        <v> </v>
      </c>
      <c r="AE193" s="17" t="str">
        <f aca="false">IF((E193="f"),H193," ")</f>
        <v> </v>
      </c>
      <c r="AF193" s="17" t="str">
        <f aca="false">IF((E193="l"),H193," ")</f>
        <v> </v>
      </c>
      <c r="AG193" s="17" t="str">
        <f aca="false">IF((E193="y"),H193," ")</f>
        <v> </v>
      </c>
      <c r="AH193" s="17" t="str">
        <f aca="false">IF((E193="z"),H193," ")</f>
        <v> </v>
      </c>
      <c r="AI193" s="17" t="str">
        <f aca="false">IF((E193="fa"),H193," ")</f>
        <v> </v>
      </c>
      <c r="AJ193" s="17" t="str">
        <f aca="false">IF((E193="e"),H193," ")</f>
        <v> </v>
      </c>
    </row>
    <row r="194" customFormat="false" ht="12" hidden="false" customHeight="false" outlineLevel="0" collapsed="false">
      <c r="A194" s="28"/>
      <c r="E194" s="2" t="str">
        <f aca="false">IF((F194&lt;&gt;0),"Enter Letter"," ")</f>
        <v> </v>
      </c>
      <c r="F194" s="30"/>
      <c r="G194" s="6" t="str">
        <f aca="false">IF(F194&lt;&gt;0,F194*G$2/(100+G$2)," ")</f>
        <v> </v>
      </c>
      <c r="H194" s="6" t="str">
        <f aca="false">IF((F194&lt;&gt;0),F194-G194," ")</f>
        <v> </v>
      </c>
      <c r="I194" s="5"/>
      <c r="L194" s="7" t="str">
        <f aca="false">IF(F194&lt;&gt;0,F194-K194," ")</f>
        <v> </v>
      </c>
      <c r="M194" s="8" t="str">
        <f aca="false">IF((F194-K194)&lt;&gt;0,M$1-A194," ")</f>
        <v> </v>
      </c>
      <c r="N194" s="5"/>
      <c r="O194" s="17" t="str">
        <f aca="false">IF((E194="s"),H194," ")</f>
        <v> </v>
      </c>
      <c r="P194" s="17" t="str">
        <f aca="false">IF((E194="c"),H194," ")</f>
        <v> </v>
      </c>
      <c r="Q194" s="17" t="str">
        <f aca="false">IF((E194="o"),H194," ")</f>
        <v> </v>
      </c>
      <c r="R194" s="17" t="str">
        <f aca="false">IF((E194="d"),H194," ")</f>
        <v> </v>
      </c>
      <c r="S194" s="17" t="str">
        <f aca="false">IF((E194="w"),H194," ")</f>
        <v> </v>
      </c>
      <c r="T194" s="17" t="str">
        <f aca="false">IF((E194="r"),H194," ")</f>
        <v> </v>
      </c>
      <c r="U194" s="17" t="str">
        <f aca="false">IF((E194="p"),H194," ")</f>
        <v> </v>
      </c>
      <c r="V194" s="17" t="str">
        <f aca="false">IF((E194="t"),H194," ")</f>
        <v> </v>
      </c>
      <c r="W194" s="17" t="str">
        <f aca="false">IF((E194="q"),H194," ")</f>
        <v> </v>
      </c>
      <c r="X194" s="17" t="str">
        <f aca="false">IF((E194="m"),H194," ")</f>
        <v> </v>
      </c>
      <c r="Y194" s="17" t="str">
        <f aca="false">IF((E194="u"),H194," ")</f>
        <v> </v>
      </c>
      <c r="Z194" s="17" t="str">
        <f aca="false">IF((E194="a"),H194," ")</f>
        <v> </v>
      </c>
      <c r="AA194" s="17" t="str">
        <f aca="false">IF((E194="g"),H194," ")</f>
        <v> </v>
      </c>
      <c r="AB194" s="17" t="str">
        <f aca="false">IF((E194="h"),H194," ")</f>
        <v> </v>
      </c>
      <c r="AC194" s="30" t="str">
        <f aca="false">IF((E194="v"),H194," ")</f>
        <v> </v>
      </c>
      <c r="AD194" s="30" t="str">
        <f aca="false">IF((E194="n"),H194," ")</f>
        <v> </v>
      </c>
      <c r="AE194" s="17" t="str">
        <f aca="false">IF((E194="f"),H194," ")</f>
        <v> </v>
      </c>
      <c r="AF194" s="17" t="str">
        <f aca="false">IF((E194="l"),H194," ")</f>
        <v> </v>
      </c>
      <c r="AG194" s="17" t="str">
        <f aca="false">IF((E194="y"),H194," ")</f>
        <v> </v>
      </c>
      <c r="AH194" s="17" t="str">
        <f aca="false">IF((E194="z"),H194," ")</f>
        <v> </v>
      </c>
      <c r="AI194" s="17" t="str">
        <f aca="false">IF((E194="fa"),H194," ")</f>
        <v> </v>
      </c>
      <c r="AJ194" s="17" t="str">
        <f aca="false">IF((E194="e"),H194," ")</f>
        <v> </v>
      </c>
    </row>
    <row r="195" customFormat="false" ht="12" hidden="false" customHeight="false" outlineLevel="0" collapsed="false">
      <c r="A195" s="28"/>
      <c r="E195" s="2" t="str">
        <f aca="false">IF((F195&lt;&gt;0),"Enter Letter"," ")</f>
        <v> </v>
      </c>
      <c r="F195" s="30"/>
      <c r="G195" s="6" t="str">
        <f aca="false">IF(F195&lt;&gt;0,F195*G$2/(100+G$2)," ")</f>
        <v> </v>
      </c>
      <c r="H195" s="6" t="str">
        <f aca="false">IF((F195&lt;&gt;0),F195-G195," ")</f>
        <v> </v>
      </c>
      <c r="I195" s="5"/>
      <c r="L195" s="7" t="str">
        <f aca="false">IF(F195&lt;&gt;0,F195-K195," ")</f>
        <v> </v>
      </c>
      <c r="M195" s="8" t="str">
        <f aca="false">IF((F195-K195)&lt;&gt;0,M$1-A195," ")</f>
        <v> </v>
      </c>
      <c r="N195" s="5"/>
      <c r="O195" s="17" t="str">
        <f aca="false">IF((E195="s"),H195," ")</f>
        <v> </v>
      </c>
      <c r="P195" s="17" t="str">
        <f aca="false">IF((E195="c"),H195," ")</f>
        <v> </v>
      </c>
      <c r="Q195" s="17" t="str">
        <f aca="false">IF((E195="o"),H195," ")</f>
        <v> </v>
      </c>
      <c r="R195" s="17" t="str">
        <f aca="false">IF((E195="d"),H195," ")</f>
        <v> </v>
      </c>
      <c r="S195" s="17" t="str">
        <f aca="false">IF((E195="w"),H195," ")</f>
        <v> </v>
      </c>
      <c r="T195" s="17" t="str">
        <f aca="false">IF((E195="r"),H195," ")</f>
        <v> </v>
      </c>
      <c r="U195" s="17" t="str">
        <f aca="false">IF((E195="p"),H195," ")</f>
        <v> </v>
      </c>
      <c r="V195" s="17" t="str">
        <f aca="false">IF((E195="t"),H195," ")</f>
        <v> </v>
      </c>
      <c r="W195" s="17" t="str">
        <f aca="false">IF((E195="q"),H195," ")</f>
        <v> </v>
      </c>
      <c r="X195" s="17" t="str">
        <f aca="false">IF((E195="m"),H195," ")</f>
        <v> </v>
      </c>
      <c r="Y195" s="17" t="str">
        <f aca="false">IF((E195="u"),H195," ")</f>
        <v> </v>
      </c>
      <c r="Z195" s="17" t="str">
        <f aca="false">IF((E195="a"),H195," ")</f>
        <v> </v>
      </c>
      <c r="AA195" s="17" t="str">
        <f aca="false">IF((E195="g"),H195," ")</f>
        <v> </v>
      </c>
      <c r="AB195" s="17" t="str">
        <f aca="false">IF((E195="h"),H195," ")</f>
        <v> </v>
      </c>
      <c r="AC195" s="30" t="str">
        <f aca="false">IF((E195="v"),H195," ")</f>
        <v> </v>
      </c>
      <c r="AD195" s="30" t="str">
        <f aca="false">IF((E195="n"),H195," ")</f>
        <v> </v>
      </c>
      <c r="AE195" s="17" t="str">
        <f aca="false">IF((E195="f"),H195," ")</f>
        <v> </v>
      </c>
      <c r="AF195" s="17" t="str">
        <f aca="false">IF((E195="l"),H195," ")</f>
        <v> </v>
      </c>
      <c r="AG195" s="17" t="str">
        <f aca="false">IF((E195="y"),H195," ")</f>
        <v> </v>
      </c>
      <c r="AH195" s="17" t="str">
        <f aca="false">IF((E195="z"),H195," ")</f>
        <v> </v>
      </c>
      <c r="AI195" s="17" t="str">
        <f aca="false">IF((E195="fa"),H195," ")</f>
        <v> </v>
      </c>
      <c r="AJ195" s="17" t="str">
        <f aca="false">IF((E195="e"),H195," ")</f>
        <v> </v>
      </c>
    </row>
    <row r="196" customFormat="false" ht="12" hidden="false" customHeight="false" outlineLevel="0" collapsed="false">
      <c r="A196" s="28"/>
      <c r="E196" s="2" t="str">
        <f aca="false">IF((F196&lt;&gt;0),"Enter Letter"," ")</f>
        <v> </v>
      </c>
      <c r="F196" s="30"/>
      <c r="G196" s="6" t="str">
        <f aca="false">IF(F196&lt;&gt;0,F196*G$2/(100+G$2)," ")</f>
        <v> </v>
      </c>
      <c r="H196" s="6" t="str">
        <f aca="false">IF((F196&lt;&gt;0),F196-G196," ")</f>
        <v> </v>
      </c>
      <c r="I196" s="5"/>
      <c r="L196" s="7" t="str">
        <f aca="false">IF(F196&lt;&gt;0,F196-K196," ")</f>
        <v> </v>
      </c>
      <c r="M196" s="8" t="str">
        <f aca="false">IF((F196-K196)&lt;&gt;0,M$1-A196," ")</f>
        <v> </v>
      </c>
      <c r="N196" s="5"/>
      <c r="O196" s="17" t="str">
        <f aca="false">IF((E196="s"),H196," ")</f>
        <v> </v>
      </c>
      <c r="P196" s="17" t="str">
        <f aca="false">IF((E196="c"),H196," ")</f>
        <v> </v>
      </c>
      <c r="Q196" s="17" t="str">
        <f aca="false">IF((E196="o"),H196," ")</f>
        <v> </v>
      </c>
      <c r="R196" s="17" t="str">
        <f aca="false">IF((E196="d"),H196," ")</f>
        <v> </v>
      </c>
      <c r="S196" s="17" t="str">
        <f aca="false">IF((E196="w"),H196," ")</f>
        <v> </v>
      </c>
      <c r="T196" s="17" t="str">
        <f aca="false">IF((E196="r"),H196," ")</f>
        <v> </v>
      </c>
      <c r="U196" s="17" t="str">
        <f aca="false">IF((E196="p"),H196," ")</f>
        <v> </v>
      </c>
      <c r="V196" s="17" t="str">
        <f aca="false">IF((E196="t"),H196," ")</f>
        <v> </v>
      </c>
      <c r="W196" s="17" t="str">
        <f aca="false">IF((E196="q"),H196," ")</f>
        <v> </v>
      </c>
      <c r="X196" s="17" t="str">
        <f aca="false">IF((E196="m"),H196," ")</f>
        <v> </v>
      </c>
      <c r="Y196" s="17" t="str">
        <f aca="false">IF((E196="u"),H196," ")</f>
        <v> </v>
      </c>
      <c r="Z196" s="17" t="str">
        <f aca="false">IF((E196="a"),H196," ")</f>
        <v> </v>
      </c>
      <c r="AA196" s="17" t="str">
        <f aca="false">IF((E196="g"),H196," ")</f>
        <v> </v>
      </c>
      <c r="AB196" s="17" t="str">
        <f aca="false">IF((E196="h"),H196," ")</f>
        <v> </v>
      </c>
      <c r="AC196" s="30" t="str">
        <f aca="false">IF((E196="v"),H196," ")</f>
        <v> </v>
      </c>
      <c r="AD196" s="30" t="str">
        <f aca="false">IF((E196="n"),H196," ")</f>
        <v> </v>
      </c>
      <c r="AE196" s="17" t="str">
        <f aca="false">IF((E196="f"),H196," ")</f>
        <v> </v>
      </c>
      <c r="AF196" s="17" t="str">
        <f aca="false">IF((E196="l"),H196," ")</f>
        <v> </v>
      </c>
      <c r="AG196" s="17" t="str">
        <f aca="false">IF((E196="y"),H196," ")</f>
        <v> </v>
      </c>
      <c r="AH196" s="17" t="str">
        <f aca="false">IF((E196="z"),H196," ")</f>
        <v> </v>
      </c>
      <c r="AI196" s="17" t="str">
        <f aca="false">IF((E196="fa"),H196," ")</f>
        <v> </v>
      </c>
      <c r="AJ196" s="17" t="str">
        <f aca="false">IF((E196="e"),H196," ")</f>
        <v> </v>
      </c>
    </row>
    <row r="197" customFormat="false" ht="12" hidden="false" customHeight="false" outlineLevel="0" collapsed="false">
      <c r="A197" s="28"/>
      <c r="E197" s="2" t="str">
        <f aca="false">IF((F197&lt;&gt;0),"Enter Letter"," ")</f>
        <v> </v>
      </c>
      <c r="F197" s="30"/>
      <c r="G197" s="6" t="str">
        <f aca="false">IF(F197&lt;&gt;0,F197*G$2/(100+G$2)," ")</f>
        <v> </v>
      </c>
      <c r="H197" s="6" t="str">
        <f aca="false">IF((F197&lt;&gt;0),F197-G197," ")</f>
        <v> </v>
      </c>
      <c r="I197" s="5"/>
      <c r="L197" s="7" t="str">
        <f aca="false">IF(F197&lt;&gt;0,F197-K197," ")</f>
        <v> </v>
      </c>
      <c r="M197" s="8" t="str">
        <f aca="false">IF((F197-K197)&lt;&gt;0,M$1-A197," ")</f>
        <v> </v>
      </c>
      <c r="N197" s="5"/>
      <c r="O197" s="17" t="str">
        <f aca="false">IF((E197="s"),H197," ")</f>
        <v> </v>
      </c>
      <c r="P197" s="17" t="str">
        <f aca="false">IF((E197="c"),H197," ")</f>
        <v> </v>
      </c>
      <c r="Q197" s="17" t="str">
        <f aca="false">IF((E197="o"),H197," ")</f>
        <v> </v>
      </c>
      <c r="R197" s="17" t="str">
        <f aca="false">IF((E197="d"),H197," ")</f>
        <v> </v>
      </c>
      <c r="S197" s="17" t="str">
        <f aca="false">IF((E197="w"),H197," ")</f>
        <v> </v>
      </c>
      <c r="T197" s="17" t="str">
        <f aca="false">IF((E197="r"),H197," ")</f>
        <v> </v>
      </c>
      <c r="U197" s="17" t="str">
        <f aca="false">IF((E197="p"),H197," ")</f>
        <v> </v>
      </c>
      <c r="V197" s="17" t="str">
        <f aca="false">IF((E197="t"),H197," ")</f>
        <v> </v>
      </c>
      <c r="W197" s="17" t="str">
        <f aca="false">IF((E197="q"),H197," ")</f>
        <v> </v>
      </c>
      <c r="X197" s="17" t="str">
        <f aca="false">IF((E197="m"),H197," ")</f>
        <v> </v>
      </c>
      <c r="Y197" s="17" t="str">
        <f aca="false">IF((E197="u"),H197," ")</f>
        <v> </v>
      </c>
      <c r="Z197" s="17" t="str">
        <f aca="false">IF((E197="a"),H197," ")</f>
        <v> </v>
      </c>
      <c r="AA197" s="17" t="str">
        <f aca="false">IF((E197="g"),H197," ")</f>
        <v> </v>
      </c>
      <c r="AB197" s="17" t="str">
        <f aca="false">IF((E197="h"),H197," ")</f>
        <v> </v>
      </c>
      <c r="AC197" s="30" t="str">
        <f aca="false">IF((E197="v"),H197," ")</f>
        <v> </v>
      </c>
      <c r="AD197" s="30" t="str">
        <f aca="false">IF((E197="n"),H197," ")</f>
        <v> </v>
      </c>
      <c r="AE197" s="17" t="str">
        <f aca="false">IF((E197="f"),H197," ")</f>
        <v> </v>
      </c>
      <c r="AF197" s="17" t="str">
        <f aca="false">IF((E197="l"),H197," ")</f>
        <v> </v>
      </c>
      <c r="AG197" s="17" t="str">
        <f aca="false">IF((E197="y"),H197," ")</f>
        <v> </v>
      </c>
      <c r="AH197" s="17" t="str">
        <f aca="false">IF((E197="z"),H197," ")</f>
        <v> </v>
      </c>
      <c r="AI197" s="17" t="str">
        <f aca="false">IF((E197="fa"),H197," ")</f>
        <v> </v>
      </c>
      <c r="AJ197" s="17" t="str">
        <f aca="false">IF((E197="e"),H197," ")</f>
        <v> </v>
      </c>
    </row>
    <row r="198" customFormat="false" ht="12" hidden="false" customHeight="false" outlineLevel="0" collapsed="false">
      <c r="A198" s="28"/>
      <c r="E198" s="2" t="str">
        <f aca="false">IF((F198&lt;&gt;0),"Enter Letter"," ")</f>
        <v> </v>
      </c>
      <c r="F198" s="30"/>
      <c r="G198" s="6" t="str">
        <f aca="false">IF(F198&lt;&gt;0,F198*G$2/(100+G$2)," ")</f>
        <v> </v>
      </c>
      <c r="H198" s="6" t="str">
        <f aca="false">IF((F198&lt;&gt;0),F198-G198," ")</f>
        <v> </v>
      </c>
      <c r="I198" s="5"/>
      <c r="L198" s="7" t="str">
        <f aca="false">IF(F198&lt;&gt;0,F198-K198," ")</f>
        <v> </v>
      </c>
      <c r="M198" s="8" t="str">
        <f aca="false">IF((F198-K198)&lt;&gt;0,M$1-A198," ")</f>
        <v> </v>
      </c>
      <c r="N198" s="5"/>
      <c r="O198" s="17" t="str">
        <f aca="false">IF((E198="s"),H198," ")</f>
        <v> </v>
      </c>
      <c r="P198" s="17" t="str">
        <f aca="false">IF((E198="c"),H198," ")</f>
        <v> </v>
      </c>
      <c r="Q198" s="17" t="str">
        <f aca="false">IF((E198="o"),H198," ")</f>
        <v> </v>
      </c>
      <c r="R198" s="17" t="str">
        <f aca="false">IF((E198="d"),H198," ")</f>
        <v> </v>
      </c>
      <c r="S198" s="17" t="str">
        <f aca="false">IF((E198="w"),H198," ")</f>
        <v> </v>
      </c>
      <c r="T198" s="17" t="str">
        <f aca="false">IF((E198="r"),H198," ")</f>
        <v> </v>
      </c>
      <c r="U198" s="17" t="str">
        <f aca="false">IF((E198="p"),H198," ")</f>
        <v> </v>
      </c>
      <c r="V198" s="17" t="str">
        <f aca="false">IF((E198="t"),H198," ")</f>
        <v> </v>
      </c>
      <c r="W198" s="17" t="str">
        <f aca="false">IF((E198="q"),H198," ")</f>
        <v> </v>
      </c>
      <c r="X198" s="17" t="str">
        <f aca="false">IF((E198="m"),H198," ")</f>
        <v> </v>
      </c>
      <c r="Y198" s="17" t="str">
        <f aca="false">IF((E198="u"),H198," ")</f>
        <v> </v>
      </c>
      <c r="Z198" s="17" t="str">
        <f aca="false">IF((E198="a"),H198," ")</f>
        <v> </v>
      </c>
      <c r="AA198" s="17" t="str">
        <f aca="false">IF((E198="g"),H198," ")</f>
        <v> </v>
      </c>
      <c r="AB198" s="17" t="str">
        <f aca="false">IF((E198="h"),H198," ")</f>
        <v> </v>
      </c>
      <c r="AC198" s="30" t="str">
        <f aca="false">IF((E198="v"),H198," ")</f>
        <v> </v>
      </c>
      <c r="AD198" s="30" t="str">
        <f aca="false">IF((E198="n"),H198," ")</f>
        <v> </v>
      </c>
      <c r="AE198" s="17" t="str">
        <f aca="false">IF((E198="f"),H198," ")</f>
        <v> </v>
      </c>
      <c r="AF198" s="17" t="str">
        <f aca="false">IF((E198="l"),H198," ")</f>
        <v> </v>
      </c>
      <c r="AG198" s="17" t="str">
        <f aca="false">IF((E198="y"),H198," ")</f>
        <v> </v>
      </c>
      <c r="AH198" s="17" t="str">
        <f aca="false">IF((E198="z"),H198," ")</f>
        <v> </v>
      </c>
      <c r="AI198" s="17" t="str">
        <f aca="false">IF((E198="fa"),H198," ")</f>
        <v> </v>
      </c>
      <c r="AJ198" s="17" t="str">
        <f aca="false">IF((E198="e"),H198," ")</f>
        <v> </v>
      </c>
    </row>
    <row r="199" customFormat="false" ht="12" hidden="false" customHeight="false" outlineLevel="0" collapsed="false">
      <c r="A199" s="28"/>
      <c r="E199" s="2" t="str">
        <f aca="false">IF((F199&lt;&gt;0),"Enter Letter"," ")</f>
        <v> </v>
      </c>
      <c r="F199" s="30"/>
      <c r="G199" s="6" t="str">
        <f aca="false">IF(F199&lt;&gt;0,F199*G$2/(100+G$2)," ")</f>
        <v> </v>
      </c>
      <c r="H199" s="6" t="str">
        <f aca="false">IF((F199&lt;&gt;0),F199-G199," ")</f>
        <v> </v>
      </c>
      <c r="I199" s="5"/>
      <c r="L199" s="7" t="str">
        <f aca="false">IF(F199&lt;&gt;0,F199-K199," ")</f>
        <v> </v>
      </c>
      <c r="M199" s="8" t="str">
        <f aca="false">IF((F199-K199)&lt;&gt;0,M$1-A199," ")</f>
        <v> </v>
      </c>
      <c r="N199" s="5"/>
      <c r="O199" s="17" t="str">
        <f aca="false">IF((E199="s"),H199," ")</f>
        <v> </v>
      </c>
      <c r="P199" s="17" t="str">
        <f aca="false">IF((E199="c"),H199," ")</f>
        <v> </v>
      </c>
      <c r="Q199" s="17" t="str">
        <f aca="false">IF((E199="o"),H199," ")</f>
        <v> </v>
      </c>
      <c r="R199" s="17" t="str">
        <f aca="false">IF((E199="d"),H199," ")</f>
        <v> </v>
      </c>
      <c r="S199" s="17" t="str">
        <f aca="false">IF((E199="w"),H199," ")</f>
        <v> </v>
      </c>
      <c r="T199" s="17" t="str">
        <f aca="false">IF((E199="r"),H199," ")</f>
        <v> </v>
      </c>
      <c r="U199" s="17" t="str">
        <f aca="false">IF((E199="p"),H199," ")</f>
        <v> </v>
      </c>
      <c r="V199" s="17" t="str">
        <f aca="false">IF((E199="t"),H199," ")</f>
        <v> </v>
      </c>
      <c r="W199" s="17" t="str">
        <f aca="false">IF((E199="q"),H199," ")</f>
        <v> </v>
      </c>
      <c r="X199" s="17" t="str">
        <f aca="false">IF((E199="m"),H199," ")</f>
        <v> </v>
      </c>
      <c r="Y199" s="17" t="str">
        <f aca="false">IF((E199="u"),H199," ")</f>
        <v> </v>
      </c>
      <c r="Z199" s="17" t="str">
        <f aca="false">IF((E199="a"),H199," ")</f>
        <v> </v>
      </c>
      <c r="AA199" s="17" t="str">
        <f aca="false">IF((E199="g"),H199," ")</f>
        <v> </v>
      </c>
      <c r="AB199" s="17" t="str">
        <f aca="false">IF((E199="h"),H199," ")</f>
        <v> </v>
      </c>
      <c r="AC199" s="30" t="str">
        <f aca="false">IF((E199="v"),H199," ")</f>
        <v> </v>
      </c>
      <c r="AD199" s="30" t="str">
        <f aca="false">IF((E199="n"),H199," ")</f>
        <v> </v>
      </c>
      <c r="AE199" s="17" t="str">
        <f aca="false">IF((E199="f"),H199," ")</f>
        <v> </v>
      </c>
      <c r="AF199" s="17" t="str">
        <f aca="false">IF((E199="l"),H199," ")</f>
        <v> </v>
      </c>
      <c r="AG199" s="17" t="str">
        <f aca="false">IF((E199="y"),H199," ")</f>
        <v> </v>
      </c>
      <c r="AH199" s="17" t="str">
        <f aca="false">IF((E199="z"),H199," ")</f>
        <v> </v>
      </c>
      <c r="AI199" s="17" t="str">
        <f aca="false">IF((E199="fa"),H199," ")</f>
        <v> </v>
      </c>
      <c r="AJ199" s="17" t="str">
        <f aca="false">IF((E199="e"),H199," ")</f>
        <v> </v>
      </c>
    </row>
    <row r="200" customFormat="false" ht="12" hidden="false" customHeight="false" outlineLevel="0" collapsed="false">
      <c r="A200" s="28"/>
      <c r="E200" s="2" t="str">
        <f aca="false">IF((F200&lt;&gt;0),"Enter Letter"," ")</f>
        <v> </v>
      </c>
      <c r="F200" s="30"/>
      <c r="G200" s="6" t="str">
        <f aca="false">IF(F200&lt;&gt;0,F200*G$2/(100+G$2)," ")</f>
        <v> </v>
      </c>
      <c r="H200" s="6" t="str">
        <f aca="false">IF((F200&lt;&gt;0),F200-G200," ")</f>
        <v> </v>
      </c>
      <c r="I200" s="5"/>
      <c r="L200" s="7" t="str">
        <f aca="false">IF(F200&lt;&gt;0,F200-K200," ")</f>
        <v> </v>
      </c>
      <c r="M200" s="8" t="str">
        <f aca="false">IF((F200-K200)&lt;&gt;0,M$1-A200," ")</f>
        <v> </v>
      </c>
      <c r="N200" s="5"/>
      <c r="O200" s="17" t="str">
        <f aca="false">IF((E200="s"),H200," ")</f>
        <v> </v>
      </c>
      <c r="P200" s="17" t="str">
        <f aca="false">IF((E200="c"),H200," ")</f>
        <v> </v>
      </c>
      <c r="Q200" s="17" t="str">
        <f aca="false">IF((E200="o"),H200," ")</f>
        <v> </v>
      </c>
      <c r="R200" s="17" t="str">
        <f aca="false">IF((E200="d"),H200," ")</f>
        <v> </v>
      </c>
      <c r="S200" s="17" t="str">
        <f aca="false">IF((E200="w"),H200," ")</f>
        <v> </v>
      </c>
      <c r="T200" s="17" t="str">
        <f aca="false">IF((E200="r"),H200," ")</f>
        <v> </v>
      </c>
      <c r="U200" s="17" t="str">
        <f aca="false">IF((E200="p"),H200," ")</f>
        <v> </v>
      </c>
      <c r="V200" s="17" t="str">
        <f aca="false">IF((E200="t"),H200," ")</f>
        <v> </v>
      </c>
      <c r="W200" s="17" t="str">
        <f aca="false">IF((E200="q"),H200," ")</f>
        <v> </v>
      </c>
      <c r="X200" s="17" t="str">
        <f aca="false">IF((E200="m"),H200," ")</f>
        <v> </v>
      </c>
      <c r="Y200" s="17" t="str">
        <f aca="false">IF((E200="u"),H200," ")</f>
        <v> </v>
      </c>
      <c r="Z200" s="17" t="str">
        <f aca="false">IF((E200="a"),H200," ")</f>
        <v> </v>
      </c>
      <c r="AA200" s="17" t="str">
        <f aca="false">IF((E200="g"),H200," ")</f>
        <v> </v>
      </c>
      <c r="AB200" s="17" t="str">
        <f aca="false">IF((E200="h"),H200," ")</f>
        <v> </v>
      </c>
      <c r="AC200" s="30" t="str">
        <f aca="false">IF((E200="v"),H200," ")</f>
        <v> </v>
      </c>
      <c r="AD200" s="30" t="str">
        <f aca="false">IF((E200="n"),H200," ")</f>
        <v> </v>
      </c>
      <c r="AE200" s="17" t="str">
        <f aca="false">IF((E200="f"),H200," ")</f>
        <v> </v>
      </c>
      <c r="AF200" s="17" t="str">
        <f aca="false">IF((E200="l"),H200," ")</f>
        <v> </v>
      </c>
      <c r="AG200" s="17" t="str">
        <f aca="false">IF((E200="y"),H200," ")</f>
        <v> </v>
      </c>
      <c r="AH200" s="17" t="str">
        <f aca="false">IF((E200="z"),H200," ")</f>
        <v> </v>
      </c>
      <c r="AI200" s="17" t="str">
        <f aca="false">IF((E200="fa"),H200," ")</f>
        <v> </v>
      </c>
      <c r="AJ200" s="17" t="str">
        <f aca="false">IF((E200="e"),H200," ")</f>
        <v> </v>
      </c>
    </row>
    <row r="201" customFormat="false" ht="12" hidden="false" customHeight="false" outlineLevel="0" collapsed="false">
      <c r="A201" s="28"/>
      <c r="E201" s="2" t="str">
        <f aca="false">IF((F201&lt;&gt;0),"Enter Letter"," ")</f>
        <v> </v>
      </c>
      <c r="F201" s="30"/>
      <c r="G201" s="6" t="str">
        <f aca="false">IF(F201&lt;&gt;0,F201*G$2/(100+G$2)," ")</f>
        <v> </v>
      </c>
      <c r="H201" s="6" t="str">
        <f aca="false">IF((F201&lt;&gt;0),F201-G201," ")</f>
        <v> </v>
      </c>
      <c r="I201" s="5"/>
      <c r="L201" s="7" t="str">
        <f aca="false">IF(F201&lt;&gt;0,F201-K201," ")</f>
        <v> </v>
      </c>
      <c r="M201" s="8" t="str">
        <f aca="false">IF((F201-K201)&lt;&gt;0,M$1-A201," ")</f>
        <v> </v>
      </c>
      <c r="N201" s="5"/>
      <c r="O201" s="17" t="str">
        <f aca="false">IF((E201="s"),H201," ")</f>
        <v> </v>
      </c>
      <c r="P201" s="17" t="str">
        <f aca="false">IF((E201="c"),H201," ")</f>
        <v> </v>
      </c>
      <c r="Q201" s="17" t="str">
        <f aca="false">IF((E201="o"),H201," ")</f>
        <v> </v>
      </c>
      <c r="R201" s="17" t="str">
        <f aca="false">IF((E201="d"),H201," ")</f>
        <v> </v>
      </c>
      <c r="S201" s="17" t="str">
        <f aca="false">IF((E201="w"),H201," ")</f>
        <v> </v>
      </c>
      <c r="T201" s="17" t="str">
        <f aca="false">IF((E201="r"),H201," ")</f>
        <v> </v>
      </c>
      <c r="U201" s="17" t="str">
        <f aca="false">IF((E201="p"),H201," ")</f>
        <v> </v>
      </c>
      <c r="V201" s="17" t="str">
        <f aca="false">IF((E201="t"),H201," ")</f>
        <v> </v>
      </c>
      <c r="W201" s="17" t="str">
        <f aca="false">IF((E201="q"),H201," ")</f>
        <v> </v>
      </c>
      <c r="X201" s="17" t="str">
        <f aca="false">IF((E201="m"),H201," ")</f>
        <v> </v>
      </c>
      <c r="Y201" s="17" t="str">
        <f aca="false">IF((E201="u"),H201," ")</f>
        <v> </v>
      </c>
      <c r="Z201" s="17" t="str">
        <f aca="false">IF((E201="a"),H201," ")</f>
        <v> </v>
      </c>
      <c r="AA201" s="17" t="str">
        <f aca="false">IF((E201="g"),H201," ")</f>
        <v> </v>
      </c>
      <c r="AB201" s="17" t="str">
        <f aca="false">IF((E201="h"),H201," ")</f>
        <v> </v>
      </c>
      <c r="AC201" s="30" t="str">
        <f aca="false">IF((E201="v"),H201," ")</f>
        <v> </v>
      </c>
      <c r="AD201" s="30" t="str">
        <f aca="false">IF((E201="n"),H201," ")</f>
        <v> </v>
      </c>
      <c r="AE201" s="17" t="str">
        <f aca="false">IF((E201="f"),H201," ")</f>
        <v> </v>
      </c>
      <c r="AF201" s="17" t="str">
        <f aca="false">IF((E201="l"),H201," ")</f>
        <v> </v>
      </c>
      <c r="AG201" s="17" t="str">
        <f aca="false">IF((E201="y"),H201," ")</f>
        <v> </v>
      </c>
      <c r="AH201" s="17" t="str">
        <f aca="false">IF((E201="z"),H201," ")</f>
        <v> </v>
      </c>
      <c r="AI201" s="17" t="str">
        <f aca="false">IF((E201="fa"),H201," ")</f>
        <v> </v>
      </c>
      <c r="AJ201" s="17" t="str">
        <f aca="false">IF((E201="e"),H201," ")</f>
        <v> </v>
      </c>
    </row>
    <row r="202" customFormat="false" ht="12" hidden="false" customHeight="false" outlineLevel="0" collapsed="false">
      <c r="A202" s="28"/>
      <c r="E202" s="2" t="str">
        <f aca="false">IF((F202&lt;&gt;0),"Enter Letter"," ")</f>
        <v> </v>
      </c>
      <c r="F202" s="30"/>
      <c r="G202" s="6" t="str">
        <f aca="false">IF(F202&lt;&gt;0,F202*G$2/(100+G$2)," ")</f>
        <v> </v>
      </c>
      <c r="H202" s="6" t="str">
        <f aca="false">IF((F202&lt;&gt;0),F202-G202," ")</f>
        <v> </v>
      </c>
      <c r="I202" s="5"/>
      <c r="L202" s="7" t="str">
        <f aca="false">IF(F202&lt;&gt;0,F202-K202," ")</f>
        <v> </v>
      </c>
      <c r="M202" s="8" t="str">
        <f aca="false">IF((F202-K202)&lt;&gt;0,M$1-A202," ")</f>
        <v> </v>
      </c>
      <c r="N202" s="5"/>
      <c r="O202" s="17" t="str">
        <f aca="false">IF((E202="s"),H202," ")</f>
        <v> </v>
      </c>
      <c r="P202" s="17" t="str">
        <f aca="false">IF((E202="c"),H202," ")</f>
        <v> </v>
      </c>
      <c r="Q202" s="17" t="str">
        <f aca="false">IF((E202="o"),H202," ")</f>
        <v> </v>
      </c>
      <c r="R202" s="17" t="str">
        <f aca="false">IF((E202="d"),H202," ")</f>
        <v> </v>
      </c>
      <c r="S202" s="17" t="str">
        <f aca="false">IF((E202="w"),H202," ")</f>
        <v> </v>
      </c>
      <c r="T202" s="17" t="str">
        <f aca="false">IF((E202="r"),H202," ")</f>
        <v> </v>
      </c>
      <c r="U202" s="17" t="str">
        <f aca="false">IF((E202="p"),H202," ")</f>
        <v> </v>
      </c>
      <c r="V202" s="17" t="str">
        <f aca="false">IF((E202="t"),H202," ")</f>
        <v> </v>
      </c>
      <c r="W202" s="17" t="str">
        <f aca="false">IF((E202="q"),H202," ")</f>
        <v> </v>
      </c>
      <c r="X202" s="17" t="str">
        <f aca="false">IF((E202="m"),H202," ")</f>
        <v> </v>
      </c>
      <c r="Y202" s="17" t="str">
        <f aca="false">IF((E202="u"),H202," ")</f>
        <v> </v>
      </c>
      <c r="Z202" s="17" t="str">
        <f aca="false">IF((E202="a"),H202," ")</f>
        <v> </v>
      </c>
      <c r="AA202" s="17" t="str">
        <f aca="false">IF((E202="g"),H202," ")</f>
        <v> </v>
      </c>
      <c r="AB202" s="17" t="str">
        <f aca="false">IF((E202="h"),H202," ")</f>
        <v> </v>
      </c>
      <c r="AC202" s="30" t="str">
        <f aca="false">IF((E202="v"),H202," ")</f>
        <v> </v>
      </c>
      <c r="AD202" s="30" t="str">
        <f aca="false">IF((E202="n"),H202," ")</f>
        <v> </v>
      </c>
      <c r="AE202" s="17" t="str">
        <f aca="false">IF((E202="f"),H202," ")</f>
        <v> </v>
      </c>
      <c r="AF202" s="17" t="str">
        <f aca="false">IF((E202="l"),H202," ")</f>
        <v> </v>
      </c>
      <c r="AG202" s="17" t="str">
        <f aca="false">IF((E202="y"),H202," ")</f>
        <v> </v>
      </c>
      <c r="AH202" s="17" t="str">
        <f aca="false">IF((E202="z"),H202," ")</f>
        <v> </v>
      </c>
      <c r="AI202" s="17" t="str">
        <f aca="false">IF((E202="fa"),H202," ")</f>
        <v> </v>
      </c>
      <c r="AJ202" s="17" t="str">
        <f aca="false">IF((E202="e"),H202," ")</f>
        <v> </v>
      </c>
    </row>
    <row r="203" customFormat="false" ht="12" hidden="false" customHeight="false" outlineLevel="0" collapsed="false">
      <c r="A203" s="28"/>
      <c r="E203" s="2" t="str">
        <f aca="false">IF((F203&lt;&gt;0),"Enter Letter"," ")</f>
        <v> </v>
      </c>
      <c r="F203" s="30"/>
      <c r="G203" s="6" t="str">
        <f aca="false">IF(F203&lt;&gt;0,F203*G$2/(100+G$2)," ")</f>
        <v> </v>
      </c>
      <c r="H203" s="6" t="str">
        <f aca="false">IF((F203&lt;&gt;0),F203-G203," ")</f>
        <v> </v>
      </c>
      <c r="I203" s="5"/>
      <c r="L203" s="7" t="str">
        <f aca="false">IF(F203&lt;&gt;0,F203-K203," ")</f>
        <v> </v>
      </c>
      <c r="M203" s="8" t="str">
        <f aca="false">IF((F203-K203)&lt;&gt;0,M$1-A203," ")</f>
        <v> </v>
      </c>
      <c r="N203" s="5"/>
      <c r="O203" s="17" t="str">
        <f aca="false">IF((E203="s"),H203," ")</f>
        <v> </v>
      </c>
      <c r="P203" s="17" t="str">
        <f aca="false">IF((E203="c"),H203," ")</f>
        <v> </v>
      </c>
      <c r="Q203" s="17" t="str">
        <f aca="false">IF((E203="o"),H203," ")</f>
        <v> </v>
      </c>
      <c r="R203" s="17" t="str">
        <f aca="false">IF((E203="d"),H203," ")</f>
        <v> </v>
      </c>
      <c r="S203" s="17" t="str">
        <f aca="false">IF((E203="w"),H203," ")</f>
        <v> </v>
      </c>
      <c r="T203" s="17" t="str">
        <f aca="false">IF((E203="r"),H203," ")</f>
        <v> </v>
      </c>
      <c r="U203" s="17" t="str">
        <f aca="false">IF((E203="p"),H203," ")</f>
        <v> </v>
      </c>
      <c r="V203" s="17" t="str">
        <f aca="false">IF((E203="t"),H203," ")</f>
        <v> </v>
      </c>
      <c r="W203" s="17" t="str">
        <f aca="false">IF((E203="q"),H203," ")</f>
        <v> </v>
      </c>
      <c r="X203" s="17" t="str">
        <f aca="false">IF((E203="m"),H203," ")</f>
        <v> </v>
      </c>
      <c r="Y203" s="17" t="str">
        <f aca="false">IF((E203="u"),H203," ")</f>
        <v> </v>
      </c>
      <c r="Z203" s="17" t="str">
        <f aca="false">IF((E203="a"),H203," ")</f>
        <v> </v>
      </c>
      <c r="AA203" s="17" t="str">
        <f aca="false">IF((E203="g"),H203," ")</f>
        <v> </v>
      </c>
      <c r="AB203" s="17" t="str">
        <f aca="false">IF((E203="h"),H203," ")</f>
        <v> </v>
      </c>
      <c r="AC203" s="30" t="str">
        <f aca="false">IF((E203="v"),H203," ")</f>
        <v> </v>
      </c>
      <c r="AD203" s="30" t="str">
        <f aca="false">IF((E203="n"),H203," ")</f>
        <v> </v>
      </c>
      <c r="AE203" s="17" t="str">
        <f aca="false">IF((E203="f"),H203," ")</f>
        <v> </v>
      </c>
      <c r="AF203" s="17" t="str">
        <f aca="false">IF((E203="l"),H203," ")</f>
        <v> </v>
      </c>
      <c r="AG203" s="17" t="str">
        <f aca="false">IF((E203="y"),H203," ")</f>
        <v> </v>
      </c>
      <c r="AH203" s="17" t="str">
        <f aca="false">IF((E203="z"),H203," ")</f>
        <v> </v>
      </c>
      <c r="AI203" s="17" t="str">
        <f aca="false">IF((E203="fa"),H203," ")</f>
        <v> </v>
      </c>
      <c r="AJ203" s="17" t="str">
        <f aca="false">IF((E203="e"),H203," ")</f>
        <v> </v>
      </c>
    </row>
    <row r="204" customFormat="false" ht="12" hidden="false" customHeight="false" outlineLevel="0" collapsed="false">
      <c r="A204" s="28"/>
      <c r="E204" s="2" t="str">
        <f aca="false">IF((F204&lt;&gt;0),"Enter Letter"," ")</f>
        <v> </v>
      </c>
      <c r="F204" s="30"/>
      <c r="G204" s="6" t="str">
        <f aca="false">IF(F204&lt;&gt;0,F204*G$2/(100+G$2)," ")</f>
        <v> </v>
      </c>
      <c r="H204" s="6" t="str">
        <f aca="false">IF((F204&lt;&gt;0),F204-G204," ")</f>
        <v> </v>
      </c>
      <c r="I204" s="5"/>
      <c r="L204" s="7" t="str">
        <f aca="false">IF(F204&lt;&gt;0,F204-K204," ")</f>
        <v> </v>
      </c>
      <c r="M204" s="8" t="str">
        <f aca="false">IF((F204-K204)&lt;&gt;0,M$1-A204," ")</f>
        <v> </v>
      </c>
      <c r="N204" s="5"/>
      <c r="O204" s="17" t="str">
        <f aca="false">IF((E204="s"),H204," ")</f>
        <v> </v>
      </c>
      <c r="P204" s="17" t="str">
        <f aca="false">IF((E204="c"),H204," ")</f>
        <v> </v>
      </c>
      <c r="Q204" s="17" t="str">
        <f aca="false">IF((E204="o"),H204," ")</f>
        <v> </v>
      </c>
      <c r="R204" s="17" t="str">
        <f aca="false">IF((E204="d"),H204," ")</f>
        <v> </v>
      </c>
      <c r="S204" s="17" t="str">
        <f aca="false">IF((E204="w"),H204," ")</f>
        <v> </v>
      </c>
      <c r="T204" s="17" t="str">
        <f aca="false">IF((E204="r"),H204," ")</f>
        <v> </v>
      </c>
      <c r="U204" s="17" t="str">
        <f aca="false">IF((E204="p"),H204," ")</f>
        <v> </v>
      </c>
      <c r="V204" s="17" t="str">
        <f aca="false">IF((E204="t"),H204," ")</f>
        <v> </v>
      </c>
      <c r="W204" s="17" t="str">
        <f aca="false">IF((E204="q"),H204," ")</f>
        <v> </v>
      </c>
      <c r="X204" s="17" t="str">
        <f aca="false">IF((E204="m"),H204," ")</f>
        <v> </v>
      </c>
      <c r="Y204" s="17" t="str">
        <f aca="false">IF((E204="u"),H204," ")</f>
        <v> </v>
      </c>
      <c r="Z204" s="17" t="str">
        <f aca="false">IF((E204="a"),H204," ")</f>
        <v> </v>
      </c>
      <c r="AA204" s="17" t="str">
        <f aca="false">IF((E204="g"),H204," ")</f>
        <v> </v>
      </c>
      <c r="AB204" s="17" t="str">
        <f aca="false">IF((E204="h"),H204," ")</f>
        <v> </v>
      </c>
      <c r="AC204" s="30" t="str">
        <f aca="false">IF((E204="v"),H204," ")</f>
        <v> </v>
      </c>
      <c r="AD204" s="30" t="str">
        <f aca="false">IF((E204="n"),H204," ")</f>
        <v> </v>
      </c>
      <c r="AE204" s="17" t="str">
        <f aca="false">IF((E204="f"),H204," ")</f>
        <v> </v>
      </c>
      <c r="AF204" s="17" t="str">
        <f aca="false">IF((E204="l"),H204," ")</f>
        <v> </v>
      </c>
      <c r="AG204" s="17" t="str">
        <f aca="false">IF((E204="y"),H204," ")</f>
        <v> </v>
      </c>
      <c r="AH204" s="17" t="str">
        <f aca="false">IF((E204="z"),H204," ")</f>
        <v> </v>
      </c>
      <c r="AI204" s="17" t="str">
        <f aca="false">IF((E204="fa"),H204," ")</f>
        <v> </v>
      </c>
      <c r="AJ204" s="17" t="str">
        <f aca="false">IF((E204="e"),H204," ")</f>
        <v> </v>
      </c>
    </row>
    <row r="205" customFormat="false" ht="12" hidden="false" customHeight="false" outlineLevel="0" collapsed="false">
      <c r="A205" s="28"/>
      <c r="E205" s="2" t="str">
        <f aca="false">IF((F205&lt;&gt;0),"Enter Letter"," ")</f>
        <v> </v>
      </c>
      <c r="F205" s="30"/>
      <c r="G205" s="6" t="str">
        <f aca="false">IF(F205&lt;&gt;0,F205*G$2/(100+G$2)," ")</f>
        <v> </v>
      </c>
      <c r="H205" s="6" t="str">
        <f aca="false">IF((F205&lt;&gt;0),F205-G205," ")</f>
        <v> </v>
      </c>
      <c r="I205" s="5"/>
      <c r="L205" s="7" t="str">
        <f aca="false">IF(F205&lt;&gt;0,F205-K205," ")</f>
        <v> </v>
      </c>
      <c r="M205" s="8" t="str">
        <f aca="false">IF((F205-K205)&lt;&gt;0,M$1-A205," ")</f>
        <v> </v>
      </c>
      <c r="N205" s="5"/>
      <c r="O205" s="17" t="str">
        <f aca="false">IF((E205="s"),H205," ")</f>
        <v> </v>
      </c>
      <c r="P205" s="17" t="str">
        <f aca="false">IF((E205="c"),H205," ")</f>
        <v> </v>
      </c>
      <c r="Q205" s="17" t="str">
        <f aca="false">IF((E205="o"),H205," ")</f>
        <v> </v>
      </c>
      <c r="R205" s="17" t="str">
        <f aca="false">IF((E205="d"),H205," ")</f>
        <v> </v>
      </c>
      <c r="S205" s="17" t="str">
        <f aca="false">IF((E205="w"),H205," ")</f>
        <v> </v>
      </c>
      <c r="T205" s="17" t="str">
        <f aca="false">IF((E205="r"),H205," ")</f>
        <v> </v>
      </c>
      <c r="U205" s="17" t="str">
        <f aca="false">IF((E205="p"),H205," ")</f>
        <v> </v>
      </c>
      <c r="V205" s="17" t="str">
        <f aca="false">IF((E205="t"),H205," ")</f>
        <v> </v>
      </c>
      <c r="W205" s="17" t="str">
        <f aca="false">IF((E205="q"),H205," ")</f>
        <v> </v>
      </c>
      <c r="X205" s="17" t="str">
        <f aca="false">IF((E205="m"),H205," ")</f>
        <v> </v>
      </c>
      <c r="Y205" s="17" t="str">
        <f aca="false">IF((E205="u"),H205," ")</f>
        <v> </v>
      </c>
      <c r="Z205" s="17" t="str">
        <f aca="false">IF((E205="a"),H205," ")</f>
        <v> </v>
      </c>
      <c r="AA205" s="17" t="str">
        <f aca="false">IF((E205="g"),H205," ")</f>
        <v> </v>
      </c>
      <c r="AB205" s="17" t="str">
        <f aca="false">IF((E205="h"),H205," ")</f>
        <v> </v>
      </c>
      <c r="AC205" s="30" t="str">
        <f aca="false">IF((E205="v"),H205," ")</f>
        <v> </v>
      </c>
      <c r="AD205" s="30" t="str">
        <f aca="false">IF((E205="n"),H205," ")</f>
        <v> </v>
      </c>
      <c r="AE205" s="17" t="str">
        <f aca="false">IF((E205="f"),H205," ")</f>
        <v> </v>
      </c>
      <c r="AF205" s="17" t="str">
        <f aca="false">IF((E205="l"),H205," ")</f>
        <v> </v>
      </c>
      <c r="AG205" s="17" t="str">
        <f aca="false">IF((E205="y"),H205," ")</f>
        <v> </v>
      </c>
      <c r="AH205" s="17" t="str">
        <f aca="false">IF((E205="z"),H205," ")</f>
        <v> </v>
      </c>
      <c r="AI205" s="17" t="str">
        <f aca="false">IF((E205="fa"),H205," ")</f>
        <v> </v>
      </c>
      <c r="AJ205" s="17" t="str">
        <f aca="false">IF((E205="e"),H205," ")</f>
        <v> </v>
      </c>
    </row>
    <row r="206" customFormat="false" ht="12" hidden="false" customHeight="false" outlineLevel="0" collapsed="false">
      <c r="A206" s="28"/>
      <c r="E206" s="2" t="str">
        <f aca="false">IF((F206&lt;&gt;0),"Enter Letter"," ")</f>
        <v> </v>
      </c>
      <c r="F206" s="30"/>
      <c r="G206" s="6" t="str">
        <f aca="false">IF(F206&lt;&gt;0,F206*G$2/(100+G$2)," ")</f>
        <v> </v>
      </c>
      <c r="H206" s="6" t="str">
        <f aca="false">IF((F206&lt;&gt;0),F206-G206," ")</f>
        <v> </v>
      </c>
      <c r="I206" s="5"/>
      <c r="L206" s="7" t="str">
        <f aca="false">IF(F206&lt;&gt;0,F206-K206," ")</f>
        <v> </v>
      </c>
      <c r="M206" s="8" t="str">
        <f aca="false">IF((F206-K206)&lt;&gt;0,M$1-A206," ")</f>
        <v> </v>
      </c>
      <c r="N206" s="5"/>
      <c r="O206" s="17" t="str">
        <f aca="false">IF((E206="s"),H206," ")</f>
        <v> </v>
      </c>
      <c r="P206" s="17" t="str">
        <f aca="false">IF((E206="c"),H206," ")</f>
        <v> </v>
      </c>
      <c r="Q206" s="17" t="str">
        <f aca="false">IF((E206="o"),H206," ")</f>
        <v> </v>
      </c>
      <c r="R206" s="17" t="str">
        <f aca="false">IF((E206="d"),H206," ")</f>
        <v> </v>
      </c>
      <c r="S206" s="17" t="str">
        <f aca="false">IF((E206="w"),H206," ")</f>
        <v> </v>
      </c>
      <c r="T206" s="17" t="str">
        <f aca="false">IF((E206="r"),H206," ")</f>
        <v> </v>
      </c>
      <c r="U206" s="17" t="str">
        <f aca="false">IF((E206="p"),H206," ")</f>
        <v> </v>
      </c>
      <c r="V206" s="17" t="str">
        <f aca="false">IF((E206="t"),H206," ")</f>
        <v> </v>
      </c>
      <c r="W206" s="17" t="str">
        <f aca="false">IF((E206="q"),H206," ")</f>
        <v> </v>
      </c>
      <c r="X206" s="17" t="str">
        <f aca="false">IF((E206="m"),H206," ")</f>
        <v> </v>
      </c>
      <c r="Y206" s="17" t="str">
        <f aca="false">IF((E206="u"),H206," ")</f>
        <v> </v>
      </c>
      <c r="Z206" s="17" t="str">
        <f aca="false">IF((E206="a"),H206," ")</f>
        <v> </v>
      </c>
      <c r="AA206" s="17" t="str">
        <f aca="false">IF((E206="g"),H206," ")</f>
        <v> </v>
      </c>
      <c r="AB206" s="17" t="str">
        <f aca="false">IF((E206="h"),H206," ")</f>
        <v> </v>
      </c>
      <c r="AC206" s="30" t="str">
        <f aca="false">IF((E206="v"),H206," ")</f>
        <v> </v>
      </c>
      <c r="AD206" s="30" t="str">
        <f aca="false">IF((E206="n"),H206," ")</f>
        <v> </v>
      </c>
      <c r="AE206" s="17" t="str">
        <f aca="false">IF((E206="f"),H206," ")</f>
        <v> </v>
      </c>
      <c r="AF206" s="17" t="str">
        <f aca="false">IF((E206="l"),H206," ")</f>
        <v> </v>
      </c>
      <c r="AG206" s="17" t="str">
        <f aca="false">IF((E206="y"),H206," ")</f>
        <v> </v>
      </c>
      <c r="AH206" s="17" t="str">
        <f aca="false">IF((E206="z"),H206," ")</f>
        <v> </v>
      </c>
      <c r="AI206" s="17" t="str">
        <f aca="false">IF((E206="fa"),H206," ")</f>
        <v> </v>
      </c>
      <c r="AJ206" s="17" t="str">
        <f aca="false">IF((E206="e"),H206," ")</f>
        <v> </v>
      </c>
    </row>
    <row r="207" customFormat="false" ht="12" hidden="false" customHeight="false" outlineLevel="0" collapsed="false">
      <c r="A207" s="28"/>
      <c r="E207" s="2" t="str">
        <f aca="false">IF((F207&lt;&gt;0),"Enter Letter"," ")</f>
        <v> </v>
      </c>
      <c r="F207" s="30"/>
      <c r="G207" s="6" t="str">
        <f aca="false">IF(F207&lt;&gt;0,F207*G$2/(100+G$2)," ")</f>
        <v> </v>
      </c>
      <c r="H207" s="6" t="str">
        <f aca="false">IF((F207&lt;&gt;0),F207-G207," ")</f>
        <v> </v>
      </c>
      <c r="I207" s="5"/>
      <c r="L207" s="7" t="str">
        <f aca="false">IF(F207&lt;&gt;0,F207-K207," ")</f>
        <v> </v>
      </c>
      <c r="M207" s="8" t="str">
        <f aca="false">IF((F207-K207)&lt;&gt;0,M$1-A207," ")</f>
        <v> </v>
      </c>
      <c r="N207" s="5"/>
      <c r="O207" s="17" t="str">
        <f aca="false">IF((E207="s"),H207," ")</f>
        <v> </v>
      </c>
      <c r="P207" s="17" t="str">
        <f aca="false">IF((E207="c"),H207," ")</f>
        <v> </v>
      </c>
      <c r="Q207" s="17" t="str">
        <f aca="false">IF((E207="o"),H207," ")</f>
        <v> </v>
      </c>
      <c r="R207" s="17" t="str">
        <f aca="false">IF((E207="d"),H207," ")</f>
        <v> </v>
      </c>
      <c r="S207" s="17" t="str">
        <f aca="false">IF((E207="w"),H207," ")</f>
        <v> </v>
      </c>
      <c r="T207" s="17" t="str">
        <f aca="false">IF((E207="r"),H207," ")</f>
        <v> </v>
      </c>
      <c r="U207" s="17" t="str">
        <f aca="false">IF((E207="p"),H207," ")</f>
        <v> </v>
      </c>
      <c r="V207" s="17" t="str">
        <f aca="false">IF((E207="t"),H207," ")</f>
        <v> </v>
      </c>
      <c r="W207" s="17" t="str">
        <f aca="false">IF((E207="q"),H207," ")</f>
        <v> </v>
      </c>
      <c r="X207" s="17" t="str">
        <f aca="false">IF((E207="m"),H207," ")</f>
        <v> </v>
      </c>
      <c r="Y207" s="17" t="str">
        <f aca="false">IF((E207="u"),H207," ")</f>
        <v> </v>
      </c>
      <c r="Z207" s="17" t="str">
        <f aca="false">IF((E207="a"),H207," ")</f>
        <v> </v>
      </c>
      <c r="AA207" s="17" t="str">
        <f aca="false">IF((E207="g"),H207," ")</f>
        <v> </v>
      </c>
      <c r="AB207" s="17" t="str">
        <f aca="false">IF((E207="h"),H207," ")</f>
        <v> </v>
      </c>
      <c r="AC207" s="30" t="str">
        <f aca="false">IF((E207="v"),H207," ")</f>
        <v> </v>
      </c>
      <c r="AD207" s="30" t="str">
        <f aca="false">IF((E207="n"),H207," ")</f>
        <v> </v>
      </c>
      <c r="AE207" s="17" t="str">
        <f aca="false">IF((E207="f"),H207," ")</f>
        <v> </v>
      </c>
      <c r="AF207" s="17" t="str">
        <f aca="false">IF((E207="l"),H207," ")</f>
        <v> </v>
      </c>
      <c r="AG207" s="17" t="str">
        <f aca="false">IF((E207="y"),H207," ")</f>
        <v> </v>
      </c>
      <c r="AH207" s="17" t="str">
        <f aca="false">IF((E207="z"),H207," ")</f>
        <v> </v>
      </c>
      <c r="AI207" s="17" t="str">
        <f aca="false">IF((E207="fa"),H207," ")</f>
        <v> </v>
      </c>
      <c r="AJ207" s="17" t="str">
        <f aca="false">IF((E207="e"),H207," ")</f>
        <v> </v>
      </c>
    </row>
    <row r="208" customFormat="false" ht="12" hidden="false" customHeight="false" outlineLevel="0" collapsed="false">
      <c r="A208" s="28"/>
      <c r="E208" s="2" t="str">
        <f aca="false">IF((F208&lt;&gt;0),"Enter Letter"," ")</f>
        <v> </v>
      </c>
      <c r="F208" s="30"/>
      <c r="G208" s="6" t="str">
        <f aca="false">IF(F208&lt;&gt;0,F208*G$2/(100+G$2)," ")</f>
        <v> </v>
      </c>
      <c r="H208" s="6" t="str">
        <f aca="false">IF((F208&lt;&gt;0),F208-G208," ")</f>
        <v> </v>
      </c>
      <c r="I208" s="5"/>
      <c r="L208" s="7" t="str">
        <f aca="false">IF(F208&lt;&gt;0,F208-K208," ")</f>
        <v> </v>
      </c>
      <c r="M208" s="8" t="str">
        <f aca="false">IF((F208-K208)&lt;&gt;0,M$1-A208," ")</f>
        <v> </v>
      </c>
      <c r="N208" s="5"/>
      <c r="O208" s="17" t="str">
        <f aca="false">IF((E208="s"),H208," ")</f>
        <v> </v>
      </c>
      <c r="P208" s="17" t="str">
        <f aca="false">IF((E208="c"),H208," ")</f>
        <v> </v>
      </c>
      <c r="Q208" s="17" t="str">
        <f aca="false">IF((E208="o"),H208," ")</f>
        <v> </v>
      </c>
      <c r="R208" s="17" t="str">
        <f aca="false">IF((E208="d"),H208," ")</f>
        <v> </v>
      </c>
      <c r="S208" s="17" t="str">
        <f aca="false">IF((E208="w"),H208," ")</f>
        <v> </v>
      </c>
      <c r="T208" s="17" t="str">
        <f aca="false">IF((E208="r"),H208," ")</f>
        <v> </v>
      </c>
      <c r="U208" s="17" t="str">
        <f aca="false">IF((E208="p"),H208," ")</f>
        <v> </v>
      </c>
      <c r="V208" s="17" t="str">
        <f aca="false">IF((E208="t"),H208," ")</f>
        <v> </v>
      </c>
      <c r="W208" s="17" t="str">
        <f aca="false">IF((E208="q"),H208," ")</f>
        <v> </v>
      </c>
      <c r="X208" s="17" t="str">
        <f aca="false">IF((E208="m"),H208," ")</f>
        <v> </v>
      </c>
      <c r="Y208" s="17" t="str">
        <f aca="false">IF((E208="u"),H208," ")</f>
        <v> </v>
      </c>
      <c r="Z208" s="17" t="str">
        <f aca="false">IF((E208="a"),H208," ")</f>
        <v> </v>
      </c>
      <c r="AA208" s="17" t="str">
        <f aca="false">IF((E208="g"),H208," ")</f>
        <v> </v>
      </c>
      <c r="AB208" s="17" t="str">
        <f aca="false">IF((E208="h"),H208," ")</f>
        <v> </v>
      </c>
      <c r="AC208" s="30" t="str">
        <f aca="false">IF((E208="v"),H208," ")</f>
        <v> </v>
      </c>
      <c r="AD208" s="30" t="str">
        <f aca="false">IF((E208="n"),H208," ")</f>
        <v> </v>
      </c>
      <c r="AE208" s="17" t="str">
        <f aca="false">IF((E208="f"),H208," ")</f>
        <v> </v>
      </c>
      <c r="AF208" s="17" t="str">
        <f aca="false">IF((E208="l"),H208," ")</f>
        <v> </v>
      </c>
      <c r="AG208" s="17" t="str">
        <f aca="false">IF((E208="y"),H208," ")</f>
        <v> </v>
      </c>
      <c r="AH208" s="17" t="str">
        <f aca="false">IF((E208="z"),H208," ")</f>
        <v> </v>
      </c>
      <c r="AI208" s="17" t="str">
        <f aca="false">IF((E208="fa"),H208," ")</f>
        <v> </v>
      </c>
      <c r="AJ208" s="17" t="str">
        <f aca="false">IF((E208="e"),H208," ")</f>
        <v> </v>
      </c>
    </row>
    <row r="209" customFormat="false" ht="12" hidden="false" customHeight="false" outlineLevel="0" collapsed="false">
      <c r="A209" s="28"/>
      <c r="E209" s="2" t="str">
        <f aca="false">IF((F209&lt;&gt;0),"Enter Letter"," ")</f>
        <v> </v>
      </c>
      <c r="F209" s="30"/>
      <c r="G209" s="6" t="str">
        <f aca="false">IF(F209&lt;&gt;0,F209*G$2/(100+G$2)," ")</f>
        <v> </v>
      </c>
      <c r="H209" s="6" t="str">
        <f aca="false">IF((F209&lt;&gt;0),F209-G209," ")</f>
        <v> </v>
      </c>
      <c r="I209" s="5"/>
      <c r="L209" s="7" t="str">
        <f aca="false">IF(F209&lt;&gt;0,F209-K209," ")</f>
        <v> </v>
      </c>
      <c r="M209" s="8" t="str">
        <f aca="false">IF((F209-K209)&lt;&gt;0,M$1-A209," ")</f>
        <v> </v>
      </c>
      <c r="N209" s="5"/>
      <c r="O209" s="17" t="str">
        <f aca="false">IF((E209="s"),H209," ")</f>
        <v> </v>
      </c>
      <c r="P209" s="17" t="str">
        <f aca="false">IF((E209="c"),H209," ")</f>
        <v> </v>
      </c>
      <c r="Q209" s="17" t="str">
        <f aca="false">IF((E209="o"),H209," ")</f>
        <v> </v>
      </c>
      <c r="R209" s="17" t="str">
        <f aca="false">IF((E209="d"),H209," ")</f>
        <v> </v>
      </c>
      <c r="S209" s="17" t="str">
        <f aca="false">IF((E209="w"),H209," ")</f>
        <v> </v>
      </c>
      <c r="T209" s="17" t="str">
        <f aca="false">IF((E209="r"),H209," ")</f>
        <v> </v>
      </c>
      <c r="U209" s="17" t="str">
        <f aca="false">IF((E209="p"),H209," ")</f>
        <v> </v>
      </c>
      <c r="V209" s="17" t="str">
        <f aca="false">IF((E209="t"),H209," ")</f>
        <v> </v>
      </c>
      <c r="W209" s="17" t="str">
        <f aca="false">IF((E209="q"),H209," ")</f>
        <v> </v>
      </c>
      <c r="X209" s="17" t="str">
        <f aca="false">IF((E209="m"),H209," ")</f>
        <v> </v>
      </c>
      <c r="Y209" s="17" t="str">
        <f aca="false">IF((E209="u"),H209," ")</f>
        <v> </v>
      </c>
      <c r="Z209" s="17" t="str">
        <f aca="false">IF((E209="a"),H209," ")</f>
        <v> </v>
      </c>
      <c r="AA209" s="17" t="str">
        <f aca="false">IF((E209="g"),H209," ")</f>
        <v> </v>
      </c>
      <c r="AB209" s="17" t="str">
        <f aca="false">IF((E209="h"),H209," ")</f>
        <v> </v>
      </c>
      <c r="AC209" s="30" t="str">
        <f aca="false">IF((E209="v"),H209," ")</f>
        <v> </v>
      </c>
      <c r="AD209" s="30" t="str">
        <f aca="false">IF((E209="n"),H209," ")</f>
        <v> </v>
      </c>
      <c r="AE209" s="17" t="str">
        <f aca="false">IF((E209="f"),H209," ")</f>
        <v> </v>
      </c>
      <c r="AF209" s="17" t="str">
        <f aca="false">IF((E209="l"),H209," ")</f>
        <v> </v>
      </c>
      <c r="AG209" s="17" t="str">
        <f aca="false">IF((E209="y"),H209," ")</f>
        <v> </v>
      </c>
      <c r="AH209" s="17" t="str">
        <f aca="false">IF((E209="z"),H209," ")</f>
        <v> </v>
      </c>
      <c r="AI209" s="17" t="str">
        <f aca="false">IF((E209="fa"),H209," ")</f>
        <v> </v>
      </c>
      <c r="AJ209" s="17" t="str">
        <f aca="false">IF((E209="e"),H209," ")</f>
        <v> </v>
      </c>
    </row>
    <row r="210" customFormat="false" ht="12" hidden="false" customHeight="false" outlineLevel="0" collapsed="false">
      <c r="A210" s="28"/>
      <c r="E210" s="2" t="str">
        <f aca="false">IF((F210&lt;&gt;0),"Enter Letter"," ")</f>
        <v> </v>
      </c>
      <c r="F210" s="30"/>
      <c r="G210" s="6" t="str">
        <f aca="false">IF(F210&lt;&gt;0,F210*G$2/(100+G$2)," ")</f>
        <v> </v>
      </c>
      <c r="H210" s="6" t="str">
        <f aca="false">IF((F210&lt;&gt;0),F210-G210," ")</f>
        <v> </v>
      </c>
      <c r="I210" s="5"/>
      <c r="L210" s="7" t="str">
        <f aca="false">IF(F210&lt;&gt;0,F210-K210," ")</f>
        <v> </v>
      </c>
      <c r="M210" s="8" t="str">
        <f aca="false">IF((F210-K210)&lt;&gt;0,M$1-A210," ")</f>
        <v> </v>
      </c>
      <c r="N210" s="5"/>
      <c r="O210" s="17" t="str">
        <f aca="false">IF((E210="s"),H210," ")</f>
        <v> </v>
      </c>
      <c r="P210" s="17" t="str">
        <f aca="false">IF((E210="c"),H210," ")</f>
        <v> </v>
      </c>
      <c r="Q210" s="17" t="str">
        <f aca="false">IF((E210="o"),H210," ")</f>
        <v> </v>
      </c>
      <c r="R210" s="17" t="str">
        <f aca="false">IF((E210="d"),H210," ")</f>
        <v> </v>
      </c>
      <c r="S210" s="17" t="str">
        <f aca="false">IF((E210="w"),H210," ")</f>
        <v> </v>
      </c>
      <c r="T210" s="17" t="str">
        <f aca="false">IF((E210="r"),H210," ")</f>
        <v> </v>
      </c>
      <c r="U210" s="17" t="str">
        <f aca="false">IF((E210="p"),H210," ")</f>
        <v> </v>
      </c>
      <c r="V210" s="17" t="str">
        <f aca="false">IF((E210="t"),H210," ")</f>
        <v> </v>
      </c>
      <c r="W210" s="17" t="str">
        <f aca="false">IF((E210="q"),H210," ")</f>
        <v> </v>
      </c>
      <c r="X210" s="17" t="str">
        <f aca="false">IF((E210="m"),H210," ")</f>
        <v> </v>
      </c>
      <c r="Y210" s="17" t="str">
        <f aca="false">IF((E210="u"),H210," ")</f>
        <v> </v>
      </c>
      <c r="Z210" s="17" t="str">
        <f aca="false">IF((E210="a"),H210," ")</f>
        <v> </v>
      </c>
      <c r="AA210" s="17" t="str">
        <f aca="false">IF((E210="g"),H210," ")</f>
        <v> </v>
      </c>
      <c r="AB210" s="17" t="str">
        <f aca="false">IF((E210="h"),H210," ")</f>
        <v> </v>
      </c>
      <c r="AC210" s="30" t="str">
        <f aca="false">IF((E210="v"),H210," ")</f>
        <v> </v>
      </c>
      <c r="AD210" s="30" t="str">
        <f aca="false">IF((E210="n"),H210," ")</f>
        <v> </v>
      </c>
      <c r="AE210" s="17" t="str">
        <f aca="false">IF((E210="f"),H210," ")</f>
        <v> </v>
      </c>
      <c r="AF210" s="17" t="str">
        <f aca="false">IF((E210="l"),H210," ")</f>
        <v> </v>
      </c>
      <c r="AG210" s="17" t="str">
        <f aca="false">IF((E210="y"),H210," ")</f>
        <v> </v>
      </c>
      <c r="AH210" s="17" t="str">
        <f aca="false">IF((E210="z"),H210," ")</f>
        <v> </v>
      </c>
      <c r="AI210" s="17" t="str">
        <f aca="false">IF((E210="fa"),H210," ")</f>
        <v> </v>
      </c>
      <c r="AJ210" s="17" t="str">
        <f aca="false">IF((E210="e"),H210," ")</f>
        <v> </v>
      </c>
    </row>
    <row r="211" customFormat="false" ht="12" hidden="false" customHeight="false" outlineLevel="0" collapsed="false">
      <c r="A211" s="28"/>
      <c r="E211" s="2" t="str">
        <f aca="false">IF((F211&lt;&gt;0),"Enter Letter"," ")</f>
        <v> </v>
      </c>
      <c r="F211" s="30"/>
      <c r="G211" s="6" t="str">
        <f aca="false">IF(F211&lt;&gt;0,F211*G$2/(100+G$2)," ")</f>
        <v> </v>
      </c>
      <c r="H211" s="6" t="str">
        <f aca="false">IF((F211&lt;&gt;0),F211-G211," ")</f>
        <v> </v>
      </c>
      <c r="I211" s="5"/>
      <c r="L211" s="7" t="str">
        <f aca="false">IF(F211&lt;&gt;0,F211-K211," ")</f>
        <v> </v>
      </c>
      <c r="M211" s="8" t="str">
        <f aca="false">IF((F211-K211)&lt;&gt;0,M$1-A211," ")</f>
        <v> </v>
      </c>
      <c r="N211" s="5"/>
      <c r="O211" s="17" t="str">
        <f aca="false">IF((E211="s"),H211," ")</f>
        <v> </v>
      </c>
      <c r="P211" s="17" t="str">
        <f aca="false">IF((E211="c"),H211," ")</f>
        <v> </v>
      </c>
      <c r="Q211" s="17" t="str">
        <f aca="false">IF((E211="o"),H211," ")</f>
        <v> </v>
      </c>
      <c r="R211" s="17" t="str">
        <f aca="false">IF((E211="d"),H211," ")</f>
        <v> </v>
      </c>
      <c r="S211" s="17" t="str">
        <f aca="false">IF((E211="w"),H211," ")</f>
        <v> </v>
      </c>
      <c r="T211" s="17" t="str">
        <f aca="false">IF((E211="r"),H211," ")</f>
        <v> </v>
      </c>
      <c r="U211" s="17" t="str">
        <f aca="false">IF((E211="p"),H211," ")</f>
        <v> </v>
      </c>
      <c r="V211" s="17" t="str">
        <f aca="false">IF((E211="t"),H211," ")</f>
        <v> </v>
      </c>
      <c r="W211" s="17" t="str">
        <f aca="false">IF((E211="q"),H211," ")</f>
        <v> </v>
      </c>
      <c r="X211" s="17" t="str">
        <f aca="false">IF((E211="m"),H211," ")</f>
        <v> </v>
      </c>
      <c r="Y211" s="17" t="str">
        <f aca="false">IF((E211="u"),H211," ")</f>
        <v> </v>
      </c>
      <c r="Z211" s="17" t="str">
        <f aca="false">IF((E211="a"),H211," ")</f>
        <v> </v>
      </c>
      <c r="AA211" s="17" t="str">
        <f aca="false">IF((E211="g"),H211," ")</f>
        <v> </v>
      </c>
      <c r="AB211" s="17" t="str">
        <f aca="false">IF((E211="h"),H211," ")</f>
        <v> </v>
      </c>
      <c r="AC211" s="30" t="str">
        <f aca="false">IF((E211="v"),H211," ")</f>
        <v> </v>
      </c>
      <c r="AD211" s="30" t="str">
        <f aca="false">IF((E211="n"),H211," ")</f>
        <v> </v>
      </c>
      <c r="AE211" s="17" t="str">
        <f aca="false">IF((E211="f"),H211," ")</f>
        <v> </v>
      </c>
      <c r="AF211" s="17" t="str">
        <f aca="false">IF((E211="l"),H211," ")</f>
        <v> </v>
      </c>
      <c r="AG211" s="17" t="str">
        <f aca="false">IF((E211="y"),H211," ")</f>
        <v> </v>
      </c>
      <c r="AH211" s="17" t="str">
        <f aca="false">IF((E211="z"),H211," ")</f>
        <v> </v>
      </c>
      <c r="AI211" s="17" t="str">
        <f aca="false">IF((E211="fa"),H211," ")</f>
        <v> </v>
      </c>
      <c r="AJ211" s="17" t="str">
        <f aca="false">IF((E211="e"),H211," ")</f>
        <v> </v>
      </c>
    </row>
    <row r="212" customFormat="false" ht="12" hidden="false" customHeight="false" outlineLevel="0" collapsed="false">
      <c r="A212" s="28"/>
      <c r="E212" s="2" t="str">
        <f aca="false">IF((F212&lt;&gt;0),"Enter Letter"," ")</f>
        <v> </v>
      </c>
      <c r="F212" s="30"/>
      <c r="G212" s="6" t="str">
        <f aca="false">IF(F212&lt;&gt;0,F212*G$2/(100+G$2)," ")</f>
        <v> </v>
      </c>
      <c r="H212" s="6" t="str">
        <f aca="false">IF((F212&lt;&gt;0),F212-G212," ")</f>
        <v> </v>
      </c>
      <c r="I212" s="5"/>
      <c r="L212" s="7" t="str">
        <f aca="false">IF(F212&lt;&gt;0,F212-K212," ")</f>
        <v> </v>
      </c>
      <c r="M212" s="8" t="str">
        <f aca="false">IF((F212-K212)&lt;&gt;0,M$1-A212," ")</f>
        <v> </v>
      </c>
      <c r="N212" s="5"/>
      <c r="O212" s="17" t="str">
        <f aca="false">IF((E212="s"),H212," ")</f>
        <v> </v>
      </c>
      <c r="P212" s="17" t="str">
        <f aca="false">IF((E212="c"),H212," ")</f>
        <v> </v>
      </c>
      <c r="Q212" s="17" t="str">
        <f aca="false">IF((E212="o"),H212," ")</f>
        <v> </v>
      </c>
      <c r="R212" s="17" t="str">
        <f aca="false">IF((E212="d"),H212," ")</f>
        <v> </v>
      </c>
      <c r="S212" s="17" t="str">
        <f aca="false">IF((E212="w"),H212," ")</f>
        <v> </v>
      </c>
      <c r="T212" s="17" t="str">
        <f aca="false">IF((E212="r"),H212," ")</f>
        <v> </v>
      </c>
      <c r="U212" s="17" t="str">
        <f aca="false">IF((E212="p"),H212," ")</f>
        <v> </v>
      </c>
      <c r="V212" s="17" t="str">
        <f aca="false">IF((E212="t"),H212," ")</f>
        <v> </v>
      </c>
      <c r="W212" s="17" t="str">
        <f aca="false">IF((E212="q"),H212," ")</f>
        <v> </v>
      </c>
      <c r="X212" s="17" t="str">
        <f aca="false">IF((E212="m"),H212," ")</f>
        <v> </v>
      </c>
      <c r="Y212" s="17" t="str">
        <f aca="false">IF((E212="u"),H212," ")</f>
        <v> </v>
      </c>
      <c r="Z212" s="17" t="str">
        <f aca="false">IF((E212="a"),H212," ")</f>
        <v> </v>
      </c>
      <c r="AA212" s="17" t="str">
        <f aca="false">IF((E212="g"),H212," ")</f>
        <v> </v>
      </c>
      <c r="AB212" s="17" t="str">
        <f aca="false">IF((E212="h"),H212," ")</f>
        <v> </v>
      </c>
      <c r="AC212" s="30" t="str">
        <f aca="false">IF((E212="v"),H212," ")</f>
        <v> </v>
      </c>
      <c r="AD212" s="30" t="str">
        <f aca="false">IF((E212="n"),H212," ")</f>
        <v> </v>
      </c>
      <c r="AE212" s="17" t="str">
        <f aca="false">IF((E212="f"),H212," ")</f>
        <v> </v>
      </c>
      <c r="AF212" s="17" t="str">
        <f aca="false">IF((E212="l"),H212," ")</f>
        <v> </v>
      </c>
      <c r="AG212" s="17" t="str">
        <f aca="false">IF((E212="y"),H212," ")</f>
        <v> </v>
      </c>
      <c r="AH212" s="17" t="str">
        <f aca="false">IF((E212="z"),H212," ")</f>
        <v> </v>
      </c>
      <c r="AI212" s="17" t="str">
        <f aca="false">IF((E212="fa"),H212," ")</f>
        <v> </v>
      </c>
      <c r="AJ212" s="17" t="str">
        <f aca="false">IF((E212="e"),H212," ")</f>
        <v> </v>
      </c>
    </row>
    <row r="213" customFormat="false" ht="12" hidden="false" customHeight="false" outlineLevel="0" collapsed="false">
      <c r="A213" s="28"/>
      <c r="E213" s="2" t="str">
        <f aca="false">IF((F213&lt;&gt;0),"Enter Letter"," ")</f>
        <v> </v>
      </c>
      <c r="F213" s="30"/>
      <c r="G213" s="6" t="str">
        <f aca="false">IF(F213&lt;&gt;0,F213*G$2/(100+G$2)," ")</f>
        <v> </v>
      </c>
      <c r="H213" s="6" t="str">
        <f aca="false">IF((F213&lt;&gt;0),F213-G213," ")</f>
        <v> </v>
      </c>
      <c r="I213" s="5"/>
      <c r="L213" s="7" t="str">
        <f aca="false">IF(F213&lt;&gt;0,F213-K213," ")</f>
        <v> </v>
      </c>
      <c r="M213" s="8" t="str">
        <f aca="false">IF((F213-K213)&lt;&gt;0,M$1-A213," ")</f>
        <v> </v>
      </c>
      <c r="N213" s="5"/>
      <c r="O213" s="17" t="str">
        <f aca="false">IF((E213="s"),H213," ")</f>
        <v> </v>
      </c>
      <c r="P213" s="17" t="str">
        <f aca="false">IF((E213="c"),H213," ")</f>
        <v> </v>
      </c>
      <c r="Q213" s="17" t="str">
        <f aca="false">IF((E213="o"),H213," ")</f>
        <v> </v>
      </c>
      <c r="R213" s="17" t="str">
        <f aca="false">IF((E213="d"),H213," ")</f>
        <v> </v>
      </c>
      <c r="S213" s="17" t="str">
        <f aca="false">IF((E213="w"),H213," ")</f>
        <v> </v>
      </c>
      <c r="T213" s="17" t="str">
        <f aca="false">IF((E213="r"),H213," ")</f>
        <v> </v>
      </c>
      <c r="U213" s="17" t="str">
        <f aca="false">IF((E213="p"),H213," ")</f>
        <v> </v>
      </c>
      <c r="V213" s="17" t="str">
        <f aca="false">IF((E213="t"),H213," ")</f>
        <v> </v>
      </c>
      <c r="W213" s="17" t="str">
        <f aca="false">IF((E213="q"),H213," ")</f>
        <v> </v>
      </c>
      <c r="X213" s="17" t="str">
        <f aca="false">IF((E213="m"),H213," ")</f>
        <v> </v>
      </c>
      <c r="Y213" s="17" t="str">
        <f aca="false">IF((E213="u"),H213," ")</f>
        <v> </v>
      </c>
      <c r="Z213" s="17" t="str">
        <f aca="false">IF((E213="a"),H213," ")</f>
        <v> </v>
      </c>
      <c r="AA213" s="17" t="str">
        <f aca="false">IF((E213="g"),H213," ")</f>
        <v> </v>
      </c>
      <c r="AB213" s="17" t="str">
        <f aca="false">IF((E213="h"),H213," ")</f>
        <v> </v>
      </c>
      <c r="AC213" s="30" t="str">
        <f aca="false">IF((E213="v"),H213," ")</f>
        <v> </v>
      </c>
      <c r="AD213" s="30" t="str">
        <f aca="false">IF((E213="n"),H213," ")</f>
        <v> </v>
      </c>
      <c r="AE213" s="17" t="str">
        <f aca="false">IF((E213="f"),H213," ")</f>
        <v> </v>
      </c>
      <c r="AF213" s="17" t="str">
        <f aca="false">IF((E213="l"),H213," ")</f>
        <v> </v>
      </c>
      <c r="AG213" s="17" t="str">
        <f aca="false">IF((E213="y"),H213," ")</f>
        <v> </v>
      </c>
      <c r="AH213" s="17" t="str">
        <f aca="false">IF((E213="z"),H213," ")</f>
        <v> </v>
      </c>
      <c r="AI213" s="17" t="str">
        <f aca="false">IF((E213="fa"),H213," ")</f>
        <v> </v>
      </c>
      <c r="AJ213" s="17" t="str">
        <f aca="false">IF((E213="e"),H213," ")</f>
        <v> </v>
      </c>
    </row>
    <row r="214" customFormat="false" ht="12" hidden="false" customHeight="false" outlineLevel="0" collapsed="false">
      <c r="A214" s="28"/>
      <c r="E214" s="2" t="str">
        <f aca="false">IF((F214&lt;&gt;0),"Enter Letter"," ")</f>
        <v> </v>
      </c>
      <c r="F214" s="30"/>
      <c r="G214" s="6" t="str">
        <f aca="false">IF(F214&lt;&gt;0,F214*G$2/(100+G$2)," ")</f>
        <v> </v>
      </c>
      <c r="H214" s="6" t="str">
        <f aca="false">IF((F214&lt;&gt;0),F214-G214," ")</f>
        <v> </v>
      </c>
      <c r="I214" s="5"/>
      <c r="L214" s="7" t="str">
        <f aca="false">IF(F214&lt;&gt;0,F214-K214," ")</f>
        <v> </v>
      </c>
      <c r="M214" s="8" t="str">
        <f aca="false">IF((F214-K214)&lt;&gt;0,M$1-A214," ")</f>
        <v> </v>
      </c>
      <c r="N214" s="5"/>
      <c r="O214" s="17" t="str">
        <f aca="false">IF((E214="s"),H214," ")</f>
        <v> </v>
      </c>
      <c r="P214" s="17" t="str">
        <f aca="false">IF((E214="c"),H214," ")</f>
        <v> </v>
      </c>
      <c r="Q214" s="17" t="str">
        <f aca="false">IF((E214="o"),H214," ")</f>
        <v> </v>
      </c>
      <c r="R214" s="17" t="str">
        <f aca="false">IF((E214="d"),H214," ")</f>
        <v> </v>
      </c>
      <c r="S214" s="17" t="str">
        <f aca="false">IF((E214="w"),H214," ")</f>
        <v> </v>
      </c>
      <c r="T214" s="17" t="str">
        <f aca="false">IF((E214="r"),H214," ")</f>
        <v> </v>
      </c>
      <c r="U214" s="17" t="str">
        <f aca="false">IF((E214="p"),H214," ")</f>
        <v> </v>
      </c>
      <c r="V214" s="17" t="str">
        <f aca="false">IF((E214="t"),H214," ")</f>
        <v> </v>
      </c>
      <c r="W214" s="17" t="str">
        <f aca="false">IF((E214="q"),H214," ")</f>
        <v> </v>
      </c>
      <c r="X214" s="17" t="str">
        <f aca="false">IF((E214="m"),H214," ")</f>
        <v> </v>
      </c>
      <c r="Y214" s="17" t="str">
        <f aca="false">IF((E214="u"),H214," ")</f>
        <v> </v>
      </c>
      <c r="Z214" s="17" t="str">
        <f aca="false">IF((E214="a"),H214," ")</f>
        <v> </v>
      </c>
      <c r="AA214" s="17" t="str">
        <f aca="false">IF((E214="g"),H214," ")</f>
        <v> </v>
      </c>
      <c r="AB214" s="17" t="str">
        <f aca="false">IF((E214="h"),H214," ")</f>
        <v> </v>
      </c>
      <c r="AC214" s="30" t="str">
        <f aca="false">IF((E214="v"),H214," ")</f>
        <v> </v>
      </c>
      <c r="AD214" s="30" t="str">
        <f aca="false">IF((E214="n"),H214," ")</f>
        <v> </v>
      </c>
      <c r="AE214" s="17" t="str">
        <f aca="false">IF((E214="f"),H214," ")</f>
        <v> </v>
      </c>
      <c r="AF214" s="17" t="str">
        <f aca="false">IF((E214="l"),H214," ")</f>
        <v> </v>
      </c>
      <c r="AG214" s="17" t="str">
        <f aca="false">IF((E214="y"),H214," ")</f>
        <v> </v>
      </c>
      <c r="AH214" s="17" t="str">
        <f aca="false">IF((E214="z"),H214," ")</f>
        <v> </v>
      </c>
      <c r="AI214" s="17" t="str">
        <f aca="false">IF((E214="fa"),H214," ")</f>
        <v> </v>
      </c>
      <c r="AJ214" s="17" t="str">
        <f aca="false">IF((E214="e"),H214," ")</f>
        <v> </v>
      </c>
    </row>
    <row r="215" customFormat="false" ht="12" hidden="false" customHeight="false" outlineLevel="0" collapsed="false">
      <c r="A215" s="28"/>
      <c r="E215" s="2" t="str">
        <f aca="false">IF((F215&lt;&gt;0),"Enter Letter"," ")</f>
        <v> </v>
      </c>
      <c r="F215" s="30"/>
      <c r="G215" s="6" t="str">
        <f aca="false">IF(F215&lt;&gt;0,F215*G$2/(100+G$2)," ")</f>
        <v> </v>
      </c>
      <c r="H215" s="6" t="str">
        <f aca="false">IF((F215&lt;&gt;0),F215-G215," ")</f>
        <v> </v>
      </c>
      <c r="I215" s="5"/>
      <c r="L215" s="7" t="str">
        <f aca="false">IF(F215&lt;&gt;0,F215-K215," ")</f>
        <v> </v>
      </c>
      <c r="M215" s="8" t="str">
        <f aca="false">IF((F215-K215)&lt;&gt;0,M$1-A215," ")</f>
        <v> </v>
      </c>
      <c r="N215" s="5"/>
      <c r="O215" s="17" t="str">
        <f aca="false">IF((E215="s"),H215," ")</f>
        <v> </v>
      </c>
      <c r="P215" s="17" t="str">
        <f aca="false">IF((E215="c"),H215," ")</f>
        <v> </v>
      </c>
      <c r="Q215" s="17" t="str">
        <f aca="false">IF((E215="o"),H215," ")</f>
        <v> </v>
      </c>
      <c r="R215" s="17" t="str">
        <f aca="false">IF((E215="d"),H215," ")</f>
        <v> </v>
      </c>
      <c r="S215" s="17" t="str">
        <f aca="false">IF((E215="w"),H215," ")</f>
        <v> </v>
      </c>
      <c r="T215" s="17" t="str">
        <f aca="false">IF((E215="r"),H215," ")</f>
        <v> </v>
      </c>
      <c r="U215" s="17" t="str">
        <f aca="false">IF((E215="p"),H215," ")</f>
        <v> </v>
      </c>
      <c r="V215" s="17" t="str">
        <f aca="false">IF((E215="t"),H215," ")</f>
        <v> </v>
      </c>
      <c r="W215" s="17" t="str">
        <f aca="false">IF((E215="q"),H215," ")</f>
        <v> </v>
      </c>
      <c r="X215" s="17" t="str">
        <f aca="false">IF((E215="m"),H215," ")</f>
        <v> </v>
      </c>
      <c r="Y215" s="17" t="str">
        <f aca="false">IF((E215="u"),H215," ")</f>
        <v> </v>
      </c>
      <c r="Z215" s="17" t="str">
        <f aca="false">IF((E215="a"),H215," ")</f>
        <v> </v>
      </c>
      <c r="AA215" s="17" t="str">
        <f aca="false">IF((E215="g"),H215," ")</f>
        <v> </v>
      </c>
      <c r="AB215" s="17" t="str">
        <f aca="false">IF((E215="h"),H215," ")</f>
        <v> </v>
      </c>
      <c r="AC215" s="30" t="str">
        <f aca="false">IF((E215="v"),H215," ")</f>
        <v> </v>
      </c>
      <c r="AD215" s="30" t="str">
        <f aca="false">IF((E215="n"),H215," ")</f>
        <v> </v>
      </c>
      <c r="AE215" s="17" t="str">
        <f aca="false">IF((E215="f"),H215," ")</f>
        <v> </v>
      </c>
      <c r="AF215" s="17" t="str">
        <f aca="false">IF((E215="l"),H215," ")</f>
        <v> </v>
      </c>
      <c r="AG215" s="17" t="str">
        <f aca="false">IF((E215="y"),H215," ")</f>
        <v> </v>
      </c>
      <c r="AH215" s="17" t="str">
        <f aca="false">IF((E215="z"),H215," ")</f>
        <v> </v>
      </c>
      <c r="AI215" s="17" t="str">
        <f aca="false">IF((E215="fa"),H215," ")</f>
        <v> </v>
      </c>
      <c r="AJ215" s="17" t="str">
        <f aca="false">IF((E215="e"),H215," ")</f>
        <v> </v>
      </c>
    </row>
    <row r="216" customFormat="false" ht="12" hidden="false" customHeight="false" outlineLevel="0" collapsed="false">
      <c r="A216" s="28"/>
      <c r="E216" s="2" t="str">
        <f aca="false">IF((F216&lt;&gt;0),"Enter Letter"," ")</f>
        <v> </v>
      </c>
      <c r="F216" s="30"/>
      <c r="G216" s="6" t="str">
        <f aca="false">IF(F216&lt;&gt;0,F216*G$2/(100+G$2)," ")</f>
        <v> </v>
      </c>
      <c r="H216" s="6" t="str">
        <f aca="false">IF((F216&lt;&gt;0),F216-G216," ")</f>
        <v> </v>
      </c>
      <c r="I216" s="5"/>
      <c r="L216" s="7" t="str">
        <f aca="false">IF(F216&lt;&gt;0,F216-K216," ")</f>
        <v> </v>
      </c>
      <c r="M216" s="8" t="str">
        <f aca="false">IF((F216-K216)&lt;&gt;0,M$1-A216," ")</f>
        <v> </v>
      </c>
      <c r="N216" s="5"/>
      <c r="O216" s="17" t="str">
        <f aca="false">IF((E216="s"),H216," ")</f>
        <v> </v>
      </c>
      <c r="P216" s="17" t="str">
        <f aca="false">IF((E216="c"),H216," ")</f>
        <v> </v>
      </c>
      <c r="Q216" s="17" t="str">
        <f aca="false">IF((E216="o"),H216," ")</f>
        <v> </v>
      </c>
      <c r="R216" s="17" t="str">
        <f aca="false">IF((E216="d"),H216," ")</f>
        <v> </v>
      </c>
      <c r="S216" s="17" t="str">
        <f aca="false">IF((E216="w"),H216," ")</f>
        <v> </v>
      </c>
      <c r="T216" s="17" t="str">
        <f aca="false">IF((E216="r"),H216," ")</f>
        <v> </v>
      </c>
      <c r="U216" s="17" t="str">
        <f aca="false">IF((E216="p"),H216," ")</f>
        <v> </v>
      </c>
      <c r="V216" s="17" t="str">
        <f aca="false">IF((E216="t"),H216," ")</f>
        <v> </v>
      </c>
      <c r="W216" s="17" t="str">
        <f aca="false">IF((E216="q"),H216," ")</f>
        <v> </v>
      </c>
      <c r="X216" s="17" t="str">
        <f aca="false">IF((E216="m"),H216," ")</f>
        <v> </v>
      </c>
      <c r="Y216" s="17" t="str">
        <f aca="false">IF((E216="u"),H216," ")</f>
        <v> </v>
      </c>
      <c r="Z216" s="17" t="str">
        <f aca="false">IF((E216="a"),H216," ")</f>
        <v> </v>
      </c>
      <c r="AA216" s="17" t="str">
        <f aca="false">IF((E216="g"),H216," ")</f>
        <v> </v>
      </c>
      <c r="AB216" s="17" t="str">
        <f aca="false">IF((E216="h"),H216," ")</f>
        <v> </v>
      </c>
      <c r="AC216" s="30" t="str">
        <f aca="false">IF((E216="v"),H216," ")</f>
        <v> </v>
      </c>
      <c r="AD216" s="30" t="str">
        <f aca="false">IF((E216="n"),H216," ")</f>
        <v> </v>
      </c>
      <c r="AE216" s="17" t="str">
        <f aca="false">IF((E216="f"),H216," ")</f>
        <v> </v>
      </c>
      <c r="AF216" s="17" t="str">
        <f aca="false">IF((E216="l"),H216," ")</f>
        <v> </v>
      </c>
      <c r="AG216" s="17" t="str">
        <f aca="false">IF((E216="y"),H216," ")</f>
        <v> </v>
      </c>
      <c r="AH216" s="17" t="str">
        <f aca="false">IF((E216="z"),H216," ")</f>
        <v> </v>
      </c>
      <c r="AI216" s="17" t="str">
        <f aca="false">IF((E216="fa"),H216," ")</f>
        <v> </v>
      </c>
      <c r="AJ216" s="17" t="str">
        <f aca="false">IF((E216="e"),H216," ")</f>
        <v> </v>
      </c>
    </row>
    <row r="217" customFormat="false" ht="12" hidden="false" customHeight="false" outlineLevel="0" collapsed="false">
      <c r="A217" s="28"/>
      <c r="E217" s="2" t="str">
        <f aca="false">IF((F217&lt;&gt;0),"Enter Letter"," ")</f>
        <v> </v>
      </c>
      <c r="F217" s="30"/>
      <c r="G217" s="6" t="str">
        <f aca="false">IF(F217&lt;&gt;0,F217*G$2/(100+G$2)," ")</f>
        <v> </v>
      </c>
      <c r="H217" s="6" t="str">
        <f aca="false">IF((F217&lt;&gt;0),F217-G217," ")</f>
        <v> </v>
      </c>
      <c r="I217" s="5"/>
      <c r="L217" s="7" t="str">
        <f aca="false">IF(F217&lt;&gt;0,F217-K217," ")</f>
        <v> </v>
      </c>
      <c r="M217" s="8" t="str">
        <f aca="false">IF((F217-K217)&lt;&gt;0,M$1-A217," ")</f>
        <v> </v>
      </c>
      <c r="N217" s="5"/>
      <c r="O217" s="17" t="str">
        <f aca="false">IF((E217="s"),H217," ")</f>
        <v> </v>
      </c>
      <c r="P217" s="17" t="str">
        <f aca="false">IF((E217="c"),H217," ")</f>
        <v> </v>
      </c>
      <c r="Q217" s="17" t="str">
        <f aca="false">IF((E217="o"),H217," ")</f>
        <v> </v>
      </c>
      <c r="R217" s="17" t="str">
        <f aca="false">IF((E217="d"),H217," ")</f>
        <v> </v>
      </c>
      <c r="S217" s="17" t="str">
        <f aca="false">IF((E217="w"),H217," ")</f>
        <v> </v>
      </c>
      <c r="T217" s="17" t="str">
        <f aca="false">IF((E217="r"),H217," ")</f>
        <v> </v>
      </c>
      <c r="U217" s="17" t="str">
        <f aca="false">IF((E217="p"),H217," ")</f>
        <v> </v>
      </c>
      <c r="V217" s="17" t="str">
        <f aca="false">IF((E217="t"),H217," ")</f>
        <v> </v>
      </c>
      <c r="W217" s="17" t="str">
        <f aca="false">IF((E217="q"),H217," ")</f>
        <v> </v>
      </c>
      <c r="X217" s="17" t="str">
        <f aca="false">IF((E217="m"),H217," ")</f>
        <v> </v>
      </c>
      <c r="Y217" s="17" t="str">
        <f aca="false">IF((E217="u"),H217," ")</f>
        <v> </v>
      </c>
      <c r="Z217" s="17" t="str">
        <f aca="false">IF((E217="a"),H217," ")</f>
        <v> </v>
      </c>
      <c r="AA217" s="17" t="str">
        <f aca="false">IF((E217="g"),H217," ")</f>
        <v> </v>
      </c>
      <c r="AB217" s="17" t="str">
        <f aca="false">IF((E217="h"),H217," ")</f>
        <v> </v>
      </c>
      <c r="AC217" s="30" t="str">
        <f aca="false">IF((E217="v"),H217," ")</f>
        <v> </v>
      </c>
      <c r="AD217" s="30" t="str">
        <f aca="false">IF((E217="n"),H217," ")</f>
        <v> </v>
      </c>
      <c r="AE217" s="17" t="str">
        <f aca="false">IF((E217="f"),H217," ")</f>
        <v> </v>
      </c>
      <c r="AF217" s="17" t="str">
        <f aca="false">IF((E217="l"),H217," ")</f>
        <v> </v>
      </c>
      <c r="AG217" s="17" t="str">
        <f aca="false">IF((E217="y"),H217," ")</f>
        <v> </v>
      </c>
      <c r="AH217" s="17" t="str">
        <f aca="false">IF((E217="z"),H217," ")</f>
        <v> </v>
      </c>
      <c r="AI217" s="17" t="str">
        <f aca="false">IF((E217="fa"),H217," ")</f>
        <v> </v>
      </c>
      <c r="AJ217" s="17" t="str">
        <f aca="false">IF((E217="e"),H217," ")</f>
        <v> </v>
      </c>
    </row>
    <row r="218" customFormat="false" ht="12" hidden="false" customHeight="false" outlineLevel="0" collapsed="false">
      <c r="A218" s="28"/>
      <c r="E218" s="2" t="str">
        <f aca="false">IF((F218&lt;&gt;0),"Enter Letter"," ")</f>
        <v> </v>
      </c>
      <c r="F218" s="30"/>
      <c r="G218" s="6" t="str">
        <f aca="false">IF(F218&lt;&gt;0,F218*G$2/(100+G$2)," ")</f>
        <v> </v>
      </c>
      <c r="H218" s="6" t="str">
        <f aca="false">IF((F218&lt;&gt;0),F218-G218," ")</f>
        <v> </v>
      </c>
      <c r="I218" s="5"/>
      <c r="L218" s="7" t="str">
        <f aca="false">IF(F218&lt;&gt;0,F218-K218," ")</f>
        <v> </v>
      </c>
      <c r="M218" s="8" t="str">
        <f aca="false">IF((F218-K218)&lt;&gt;0,M$1-A218," ")</f>
        <v> </v>
      </c>
      <c r="N218" s="5"/>
      <c r="O218" s="17" t="str">
        <f aca="false">IF((E218="s"),H218," ")</f>
        <v> </v>
      </c>
      <c r="P218" s="17" t="str">
        <f aca="false">IF((E218="c"),H218," ")</f>
        <v> </v>
      </c>
      <c r="Q218" s="17" t="str">
        <f aca="false">IF((E218="o"),H218," ")</f>
        <v> </v>
      </c>
      <c r="R218" s="17" t="str">
        <f aca="false">IF((E218="d"),H218," ")</f>
        <v> </v>
      </c>
      <c r="S218" s="17" t="str">
        <f aca="false">IF((E218="w"),H218," ")</f>
        <v> </v>
      </c>
      <c r="T218" s="17" t="str">
        <f aca="false">IF((E218="r"),H218," ")</f>
        <v> </v>
      </c>
      <c r="U218" s="17" t="str">
        <f aca="false">IF((E218="p"),H218," ")</f>
        <v> </v>
      </c>
      <c r="V218" s="17" t="str">
        <f aca="false">IF((E218="t"),H218," ")</f>
        <v> </v>
      </c>
      <c r="W218" s="17" t="str">
        <f aca="false">IF((E218="q"),H218," ")</f>
        <v> </v>
      </c>
      <c r="X218" s="17" t="str">
        <f aca="false">IF((E218="m"),H218," ")</f>
        <v> </v>
      </c>
      <c r="Y218" s="17" t="str">
        <f aca="false">IF((E218="u"),H218," ")</f>
        <v> </v>
      </c>
      <c r="Z218" s="17" t="str">
        <f aca="false">IF((E218="a"),H218," ")</f>
        <v> </v>
      </c>
      <c r="AA218" s="17" t="str">
        <f aca="false">IF((E218="g"),H218," ")</f>
        <v> </v>
      </c>
      <c r="AB218" s="17" t="str">
        <f aca="false">IF((E218="h"),H218," ")</f>
        <v> </v>
      </c>
      <c r="AC218" s="30" t="str">
        <f aca="false">IF((E218="v"),H218," ")</f>
        <v> </v>
      </c>
      <c r="AD218" s="30" t="str">
        <f aca="false">IF((E218="n"),H218," ")</f>
        <v> </v>
      </c>
      <c r="AE218" s="17" t="str">
        <f aca="false">IF((E218="f"),H218," ")</f>
        <v> </v>
      </c>
      <c r="AF218" s="17" t="str">
        <f aca="false">IF((E218="l"),H218," ")</f>
        <v> </v>
      </c>
      <c r="AG218" s="17" t="str">
        <f aca="false">IF((E218="y"),H218," ")</f>
        <v> </v>
      </c>
      <c r="AH218" s="17" t="str">
        <f aca="false">IF((E218="z"),H218," ")</f>
        <v> </v>
      </c>
      <c r="AI218" s="17" t="str">
        <f aca="false">IF((E218="fa"),H218," ")</f>
        <v> </v>
      </c>
      <c r="AJ218" s="17" t="str">
        <f aca="false">IF((E218="e"),H218," ")</f>
        <v> </v>
      </c>
    </row>
    <row r="219" customFormat="false" ht="12" hidden="false" customHeight="false" outlineLevel="0" collapsed="false">
      <c r="A219" s="28"/>
      <c r="E219" s="2" t="str">
        <f aca="false">IF((F219&lt;&gt;0),"Enter Letter"," ")</f>
        <v> </v>
      </c>
      <c r="F219" s="30"/>
      <c r="G219" s="6" t="str">
        <f aca="false">IF(F219&lt;&gt;0,F219*G$2/(100+G$2)," ")</f>
        <v> </v>
      </c>
      <c r="H219" s="6" t="str">
        <f aca="false">IF((F219&lt;&gt;0),F219-G219," ")</f>
        <v> </v>
      </c>
      <c r="I219" s="5"/>
      <c r="L219" s="7" t="str">
        <f aca="false">IF(F219&lt;&gt;0,F219-K219," ")</f>
        <v> </v>
      </c>
      <c r="M219" s="8" t="str">
        <f aca="false">IF((F219-K219)&lt;&gt;0,M$1-A219," ")</f>
        <v> </v>
      </c>
      <c r="N219" s="5"/>
      <c r="O219" s="17" t="str">
        <f aca="false">IF((E219="s"),H219," ")</f>
        <v> </v>
      </c>
      <c r="P219" s="17" t="str">
        <f aca="false">IF((E219="c"),H219," ")</f>
        <v> </v>
      </c>
      <c r="Q219" s="17" t="str">
        <f aca="false">IF((E219="o"),H219," ")</f>
        <v> </v>
      </c>
      <c r="R219" s="17" t="str">
        <f aca="false">IF((E219="d"),H219," ")</f>
        <v> </v>
      </c>
      <c r="S219" s="17" t="str">
        <f aca="false">IF((E219="w"),H219," ")</f>
        <v> </v>
      </c>
      <c r="T219" s="17" t="str">
        <f aca="false">IF((E219="r"),H219," ")</f>
        <v> </v>
      </c>
      <c r="U219" s="17" t="str">
        <f aca="false">IF((E219="p"),H219," ")</f>
        <v> </v>
      </c>
      <c r="V219" s="17" t="str">
        <f aca="false">IF((E219="t"),H219," ")</f>
        <v> </v>
      </c>
      <c r="W219" s="17" t="str">
        <f aca="false">IF((E219="q"),H219," ")</f>
        <v> </v>
      </c>
      <c r="X219" s="17" t="str">
        <f aca="false">IF((E219="m"),H219," ")</f>
        <v> </v>
      </c>
      <c r="Y219" s="17" t="str">
        <f aca="false">IF((E219="u"),H219," ")</f>
        <v> </v>
      </c>
      <c r="Z219" s="17" t="str">
        <f aca="false">IF((E219="a"),H219," ")</f>
        <v> </v>
      </c>
      <c r="AA219" s="17" t="str">
        <f aca="false">IF((E219="g"),H219," ")</f>
        <v> </v>
      </c>
      <c r="AB219" s="17" t="str">
        <f aca="false">IF((E219="h"),H219," ")</f>
        <v> </v>
      </c>
      <c r="AC219" s="30" t="str">
        <f aca="false">IF((E219="v"),H219," ")</f>
        <v> </v>
      </c>
      <c r="AD219" s="30" t="str">
        <f aca="false">IF((E219="n"),H219," ")</f>
        <v> </v>
      </c>
      <c r="AE219" s="17" t="str">
        <f aca="false">IF((E219="f"),H219," ")</f>
        <v> </v>
      </c>
      <c r="AF219" s="17" t="str">
        <f aca="false">IF((E219="l"),H219," ")</f>
        <v> </v>
      </c>
      <c r="AG219" s="17" t="str">
        <f aca="false">IF((E219="y"),H219," ")</f>
        <v> </v>
      </c>
      <c r="AH219" s="17" t="str">
        <f aca="false">IF((E219="z"),H219," ")</f>
        <v> </v>
      </c>
      <c r="AI219" s="17" t="str">
        <f aca="false">IF((E219="fa"),H219," ")</f>
        <v> </v>
      </c>
      <c r="AJ219" s="17" t="str">
        <f aca="false">IF((E219="e"),H219," ")</f>
        <v> </v>
      </c>
    </row>
    <row r="220" customFormat="false" ht="12" hidden="false" customHeight="false" outlineLevel="0" collapsed="false">
      <c r="A220" s="28"/>
      <c r="E220" s="2" t="str">
        <f aca="false">IF((F220&lt;&gt;0),"Enter Letter"," ")</f>
        <v> </v>
      </c>
      <c r="F220" s="30"/>
      <c r="G220" s="6" t="str">
        <f aca="false">IF(F220&lt;&gt;0,F220*G$2/(100+G$2)," ")</f>
        <v> </v>
      </c>
      <c r="H220" s="6" t="str">
        <f aca="false">IF((F220&lt;&gt;0),F220-G220," ")</f>
        <v> </v>
      </c>
      <c r="I220" s="5"/>
      <c r="L220" s="7" t="str">
        <f aca="false">IF(F220&lt;&gt;0,F220-K220," ")</f>
        <v> </v>
      </c>
      <c r="M220" s="8" t="str">
        <f aca="false">IF((F220-K220)&lt;&gt;0,M$1-A220," ")</f>
        <v> </v>
      </c>
      <c r="N220" s="5"/>
      <c r="O220" s="17" t="str">
        <f aca="false">IF((E220="s"),H220," ")</f>
        <v> </v>
      </c>
      <c r="P220" s="17" t="str">
        <f aca="false">IF((E220="c"),H220," ")</f>
        <v> </v>
      </c>
      <c r="Q220" s="17" t="str">
        <f aca="false">IF((E220="o"),H220," ")</f>
        <v> </v>
      </c>
      <c r="R220" s="17" t="str">
        <f aca="false">IF((E220="d"),H220," ")</f>
        <v> </v>
      </c>
      <c r="S220" s="17" t="str">
        <f aca="false">IF((E220="w"),H220," ")</f>
        <v> </v>
      </c>
      <c r="T220" s="17" t="str">
        <f aca="false">IF((E220="r"),H220," ")</f>
        <v> </v>
      </c>
      <c r="U220" s="17" t="str">
        <f aca="false">IF((E220="p"),H220," ")</f>
        <v> </v>
      </c>
      <c r="V220" s="17" t="str">
        <f aca="false">IF((E220="t"),H220," ")</f>
        <v> </v>
      </c>
      <c r="W220" s="17" t="str">
        <f aca="false">IF((E220="q"),H220," ")</f>
        <v> </v>
      </c>
      <c r="X220" s="17" t="str">
        <f aca="false">IF((E220="m"),H220," ")</f>
        <v> </v>
      </c>
      <c r="Y220" s="17" t="str">
        <f aca="false">IF((E220="u"),H220," ")</f>
        <v> </v>
      </c>
      <c r="Z220" s="17" t="str">
        <f aca="false">IF((E220="a"),H220," ")</f>
        <v> </v>
      </c>
      <c r="AA220" s="17" t="str">
        <f aca="false">IF((E220="g"),H220," ")</f>
        <v> </v>
      </c>
      <c r="AB220" s="17" t="str">
        <f aca="false">IF((E220="h"),H220," ")</f>
        <v> </v>
      </c>
      <c r="AC220" s="30" t="str">
        <f aca="false">IF((E220="v"),H220," ")</f>
        <v> </v>
      </c>
      <c r="AD220" s="30" t="str">
        <f aca="false">IF((E220="n"),H220," ")</f>
        <v> </v>
      </c>
      <c r="AE220" s="17" t="str">
        <f aca="false">IF((E220="f"),H220," ")</f>
        <v> </v>
      </c>
      <c r="AF220" s="17" t="str">
        <f aca="false">IF((E220="l"),H220," ")</f>
        <v> </v>
      </c>
      <c r="AG220" s="17" t="str">
        <f aca="false">IF((E220="y"),H220," ")</f>
        <v> </v>
      </c>
      <c r="AH220" s="17" t="str">
        <f aca="false">IF((E220="z"),H220," ")</f>
        <v> </v>
      </c>
      <c r="AI220" s="17" t="str">
        <f aca="false">IF((E220="fa"),H220," ")</f>
        <v> </v>
      </c>
      <c r="AJ220" s="17" t="str">
        <f aca="false">IF((E220="e"),H220," ")</f>
        <v> </v>
      </c>
    </row>
    <row r="221" customFormat="false" ht="12" hidden="false" customHeight="false" outlineLevel="0" collapsed="false">
      <c r="A221" s="28"/>
      <c r="E221" s="2" t="str">
        <f aca="false">IF((F221&lt;&gt;0),"Enter Letter"," ")</f>
        <v> </v>
      </c>
      <c r="F221" s="30"/>
      <c r="G221" s="6" t="str">
        <f aca="false">IF(F221&lt;&gt;0,F221*G$2/(100+G$2)," ")</f>
        <v> </v>
      </c>
      <c r="H221" s="6" t="str">
        <f aca="false">IF((F221&lt;&gt;0),F221-G221," ")</f>
        <v> </v>
      </c>
      <c r="I221" s="5"/>
      <c r="L221" s="7" t="str">
        <f aca="false">IF(F221&lt;&gt;0,F221-K221," ")</f>
        <v> </v>
      </c>
      <c r="M221" s="8" t="str">
        <f aca="false">IF((F221-K221)&lt;&gt;0,M$1-A221," ")</f>
        <v> </v>
      </c>
      <c r="N221" s="5"/>
      <c r="O221" s="17" t="str">
        <f aca="false">IF((E221="s"),H221," ")</f>
        <v> </v>
      </c>
      <c r="P221" s="17" t="str">
        <f aca="false">IF((E221="c"),H221," ")</f>
        <v> </v>
      </c>
      <c r="Q221" s="17" t="str">
        <f aca="false">IF((E221="o"),H221," ")</f>
        <v> </v>
      </c>
      <c r="R221" s="17" t="str">
        <f aca="false">IF((E221="d"),H221," ")</f>
        <v> </v>
      </c>
      <c r="S221" s="17" t="str">
        <f aca="false">IF((E221="w"),H221," ")</f>
        <v> </v>
      </c>
      <c r="T221" s="17" t="str">
        <f aca="false">IF((E221="r"),H221," ")</f>
        <v> </v>
      </c>
      <c r="U221" s="17" t="str">
        <f aca="false">IF((E221="p"),H221," ")</f>
        <v> </v>
      </c>
      <c r="V221" s="17" t="str">
        <f aca="false">IF((E221="t"),H221," ")</f>
        <v> </v>
      </c>
      <c r="W221" s="17" t="str">
        <f aca="false">IF((E221="q"),H221," ")</f>
        <v> </v>
      </c>
      <c r="X221" s="17" t="str">
        <f aca="false">IF((E221="m"),H221," ")</f>
        <v> </v>
      </c>
      <c r="Y221" s="17" t="str">
        <f aca="false">IF((E221="u"),H221," ")</f>
        <v> </v>
      </c>
      <c r="Z221" s="17" t="str">
        <f aca="false">IF((E221="a"),H221," ")</f>
        <v> </v>
      </c>
      <c r="AA221" s="17" t="str">
        <f aca="false">IF((E221="g"),H221," ")</f>
        <v> </v>
      </c>
      <c r="AB221" s="17" t="str">
        <f aca="false">IF((E221="h"),H221," ")</f>
        <v> </v>
      </c>
      <c r="AC221" s="30" t="str">
        <f aca="false">IF((E221="v"),H221," ")</f>
        <v> </v>
      </c>
      <c r="AD221" s="30" t="str">
        <f aca="false">IF((E221="n"),H221," ")</f>
        <v> </v>
      </c>
      <c r="AE221" s="17" t="str">
        <f aca="false">IF((E221="f"),H221," ")</f>
        <v> </v>
      </c>
      <c r="AF221" s="17" t="str">
        <f aca="false">IF((E221="l"),H221," ")</f>
        <v> </v>
      </c>
      <c r="AG221" s="17" t="str">
        <f aca="false">IF((E221="y"),H221," ")</f>
        <v> </v>
      </c>
      <c r="AH221" s="17" t="str">
        <f aca="false">IF((E221="z"),H221," ")</f>
        <v> </v>
      </c>
      <c r="AI221" s="17" t="str">
        <f aca="false">IF((E221="fa"),H221," ")</f>
        <v> </v>
      </c>
      <c r="AJ221" s="17" t="str">
        <f aca="false">IF((E221="e"),H221," ")</f>
        <v> </v>
      </c>
    </row>
    <row r="222" customFormat="false" ht="12" hidden="false" customHeight="false" outlineLevel="0" collapsed="false">
      <c r="A222" s="28"/>
      <c r="E222" s="2" t="str">
        <f aca="false">IF((F222&lt;&gt;0),"Enter Letter"," ")</f>
        <v> </v>
      </c>
      <c r="F222" s="30"/>
      <c r="G222" s="6" t="str">
        <f aca="false">IF(F222&lt;&gt;0,F222*G$2/(100+G$2)," ")</f>
        <v> </v>
      </c>
      <c r="H222" s="6" t="str">
        <f aca="false">IF((F222&lt;&gt;0),F222-G222," ")</f>
        <v> </v>
      </c>
      <c r="I222" s="5"/>
      <c r="L222" s="7" t="str">
        <f aca="false">IF(F222&lt;&gt;0,F222-K222," ")</f>
        <v> </v>
      </c>
      <c r="M222" s="8" t="str">
        <f aca="false">IF((F222-K222)&lt;&gt;0,M$1-A222," ")</f>
        <v> </v>
      </c>
      <c r="N222" s="5"/>
      <c r="O222" s="17" t="str">
        <f aca="false">IF((E222="s"),H222," ")</f>
        <v> </v>
      </c>
      <c r="P222" s="17" t="str">
        <f aca="false">IF((E222="c"),H222," ")</f>
        <v> </v>
      </c>
      <c r="Q222" s="17" t="str">
        <f aca="false">IF((E222="o"),H222," ")</f>
        <v> </v>
      </c>
      <c r="R222" s="17" t="str">
        <f aca="false">IF((E222="d"),H222," ")</f>
        <v> </v>
      </c>
      <c r="S222" s="17" t="str">
        <f aca="false">IF((E222="w"),H222," ")</f>
        <v> </v>
      </c>
      <c r="T222" s="17" t="str">
        <f aca="false">IF((E222="r"),H222," ")</f>
        <v> </v>
      </c>
      <c r="U222" s="17" t="str">
        <f aca="false">IF((E222="p"),H222," ")</f>
        <v> </v>
      </c>
      <c r="V222" s="17" t="str">
        <f aca="false">IF((E222="t"),H222," ")</f>
        <v> </v>
      </c>
      <c r="W222" s="17" t="str">
        <f aca="false">IF((E222="q"),H222," ")</f>
        <v> </v>
      </c>
      <c r="X222" s="17" t="str">
        <f aca="false">IF((E222="m"),H222," ")</f>
        <v> </v>
      </c>
      <c r="Y222" s="17" t="str">
        <f aca="false">IF((E222="u"),H222," ")</f>
        <v> </v>
      </c>
      <c r="Z222" s="17" t="str">
        <f aca="false">IF((E222="a"),H222," ")</f>
        <v> </v>
      </c>
      <c r="AA222" s="17" t="str">
        <f aca="false">IF((E222="g"),H222," ")</f>
        <v> </v>
      </c>
      <c r="AB222" s="17" t="str">
        <f aca="false">IF((E222="h"),H222," ")</f>
        <v> </v>
      </c>
      <c r="AC222" s="30" t="str">
        <f aca="false">IF((E222="v"),H222," ")</f>
        <v> </v>
      </c>
      <c r="AD222" s="30" t="str">
        <f aca="false">IF((E222="n"),H222," ")</f>
        <v> </v>
      </c>
      <c r="AE222" s="17" t="str">
        <f aca="false">IF((E222="f"),H222," ")</f>
        <v> </v>
      </c>
      <c r="AF222" s="17" t="str">
        <f aca="false">IF((E222="l"),H222," ")</f>
        <v> </v>
      </c>
      <c r="AG222" s="17" t="str">
        <f aca="false">IF((E222="y"),H222," ")</f>
        <v> </v>
      </c>
      <c r="AH222" s="17" t="str">
        <f aca="false">IF((E222="z"),H222," ")</f>
        <v> </v>
      </c>
      <c r="AI222" s="17" t="str">
        <f aca="false">IF((E222="fa"),H222," ")</f>
        <v> </v>
      </c>
      <c r="AJ222" s="17" t="str">
        <f aca="false">IF((E222="e"),H222," ")</f>
        <v> </v>
      </c>
    </row>
    <row r="223" customFormat="false" ht="12" hidden="false" customHeight="false" outlineLevel="0" collapsed="false">
      <c r="A223" s="28"/>
      <c r="E223" s="2" t="str">
        <f aca="false">IF((F223&lt;&gt;0),"Enter Letter"," ")</f>
        <v> </v>
      </c>
      <c r="F223" s="30"/>
      <c r="G223" s="6" t="str">
        <f aca="false">IF(F223&lt;&gt;0,F223*G$2/(100+G$2)," ")</f>
        <v> </v>
      </c>
      <c r="H223" s="6" t="str">
        <f aca="false">IF((F223&lt;&gt;0),F223-G223," ")</f>
        <v> </v>
      </c>
      <c r="I223" s="5"/>
      <c r="L223" s="7" t="str">
        <f aca="false">IF(F223&lt;&gt;0,F223-K223," ")</f>
        <v> </v>
      </c>
      <c r="M223" s="8" t="str">
        <f aca="false">IF((F223-K223)&lt;&gt;0,M$1-A223," ")</f>
        <v> </v>
      </c>
      <c r="N223" s="5"/>
      <c r="O223" s="17" t="str">
        <f aca="false">IF((E223="s"),H223," ")</f>
        <v> </v>
      </c>
      <c r="P223" s="17" t="str">
        <f aca="false">IF((E223="c"),H223," ")</f>
        <v> </v>
      </c>
      <c r="Q223" s="17" t="str">
        <f aca="false">IF((E223="o"),H223," ")</f>
        <v> </v>
      </c>
      <c r="R223" s="17" t="str">
        <f aca="false">IF((E223="d"),H223," ")</f>
        <v> </v>
      </c>
      <c r="S223" s="17" t="str">
        <f aca="false">IF((E223="w"),H223," ")</f>
        <v> </v>
      </c>
      <c r="T223" s="17" t="str">
        <f aca="false">IF((E223="r"),H223," ")</f>
        <v> </v>
      </c>
      <c r="U223" s="17" t="str">
        <f aca="false">IF((E223="p"),H223," ")</f>
        <v> </v>
      </c>
      <c r="V223" s="17" t="str">
        <f aca="false">IF((E223="t"),H223," ")</f>
        <v> </v>
      </c>
      <c r="W223" s="17" t="str">
        <f aca="false">IF((E223="q"),H223," ")</f>
        <v> </v>
      </c>
      <c r="X223" s="17" t="str">
        <f aca="false">IF((E223="m"),H223," ")</f>
        <v> </v>
      </c>
      <c r="Y223" s="17" t="str">
        <f aca="false">IF((E223="u"),H223," ")</f>
        <v> </v>
      </c>
      <c r="Z223" s="17" t="str">
        <f aca="false">IF((E223="a"),H223," ")</f>
        <v> </v>
      </c>
      <c r="AA223" s="17" t="str">
        <f aca="false">IF((E223="g"),H223," ")</f>
        <v> </v>
      </c>
      <c r="AB223" s="17" t="str">
        <f aca="false">IF((E223="h"),H223," ")</f>
        <v> </v>
      </c>
      <c r="AC223" s="30" t="str">
        <f aca="false">IF((E223="v"),H223," ")</f>
        <v> </v>
      </c>
      <c r="AD223" s="30" t="str">
        <f aca="false">IF((E223="n"),H223," ")</f>
        <v> </v>
      </c>
      <c r="AE223" s="17" t="str">
        <f aca="false">IF((E223="f"),H223," ")</f>
        <v> </v>
      </c>
      <c r="AF223" s="17" t="str">
        <f aca="false">IF((E223="l"),H223," ")</f>
        <v> </v>
      </c>
      <c r="AG223" s="17" t="str">
        <f aca="false">IF((E223="y"),H223," ")</f>
        <v> </v>
      </c>
      <c r="AH223" s="17" t="str">
        <f aca="false">IF((E223="z"),H223," ")</f>
        <v> </v>
      </c>
      <c r="AI223" s="17" t="str">
        <f aca="false">IF((E223="fa"),H223," ")</f>
        <v> </v>
      </c>
      <c r="AJ223" s="17" t="str">
        <f aca="false">IF((E223="e"),H223," ")</f>
        <v> </v>
      </c>
    </row>
    <row r="224" customFormat="false" ht="12" hidden="false" customHeight="false" outlineLevel="0" collapsed="false">
      <c r="A224" s="28"/>
      <c r="E224" s="2" t="str">
        <f aca="false">IF((F224&lt;&gt;0),"Enter Letter"," ")</f>
        <v> </v>
      </c>
      <c r="F224" s="30"/>
      <c r="G224" s="6" t="str">
        <f aca="false">IF(F224&lt;&gt;0,F224*G$2/(100+G$2)," ")</f>
        <v> </v>
      </c>
      <c r="H224" s="6" t="str">
        <f aca="false">IF((F224&lt;&gt;0),F224-G224," ")</f>
        <v> </v>
      </c>
      <c r="I224" s="5"/>
      <c r="L224" s="7" t="str">
        <f aca="false">IF(F224&lt;&gt;0,F224-K224," ")</f>
        <v> </v>
      </c>
      <c r="M224" s="8" t="str">
        <f aca="false">IF((F224-K224)&lt;&gt;0,M$1-A224," ")</f>
        <v> </v>
      </c>
      <c r="N224" s="5"/>
      <c r="O224" s="17" t="str">
        <f aca="false">IF((E224="s"),H224," ")</f>
        <v> </v>
      </c>
      <c r="P224" s="17" t="str">
        <f aca="false">IF((E224="c"),H224," ")</f>
        <v> </v>
      </c>
      <c r="Q224" s="17" t="str">
        <f aca="false">IF((E224="o"),H224," ")</f>
        <v> </v>
      </c>
      <c r="R224" s="17" t="str">
        <f aca="false">IF((E224="d"),H224," ")</f>
        <v> </v>
      </c>
      <c r="S224" s="17" t="str">
        <f aca="false">IF((E224="w"),H224," ")</f>
        <v> </v>
      </c>
      <c r="T224" s="17" t="str">
        <f aca="false">IF((E224="r"),H224," ")</f>
        <v> </v>
      </c>
      <c r="U224" s="17" t="str">
        <f aca="false">IF((E224="p"),H224," ")</f>
        <v> </v>
      </c>
      <c r="V224" s="17" t="str">
        <f aca="false">IF((E224="t"),H224," ")</f>
        <v> </v>
      </c>
      <c r="W224" s="17" t="str">
        <f aca="false">IF((E224="q"),H224," ")</f>
        <v> </v>
      </c>
      <c r="X224" s="17" t="str">
        <f aca="false">IF((E224="m"),H224," ")</f>
        <v> </v>
      </c>
      <c r="Y224" s="17" t="str">
        <f aca="false">IF((E224="u"),H224," ")</f>
        <v> </v>
      </c>
      <c r="Z224" s="17" t="str">
        <f aca="false">IF((E224="a"),H224," ")</f>
        <v> </v>
      </c>
      <c r="AA224" s="17" t="str">
        <f aca="false">IF((E224="g"),H224," ")</f>
        <v> </v>
      </c>
      <c r="AB224" s="17" t="str">
        <f aca="false">IF((E224="h"),H224," ")</f>
        <v> </v>
      </c>
      <c r="AC224" s="30" t="str">
        <f aca="false">IF((E224="v"),H224," ")</f>
        <v> </v>
      </c>
      <c r="AD224" s="30" t="str">
        <f aca="false">IF((E224="n"),H224," ")</f>
        <v> </v>
      </c>
      <c r="AE224" s="17" t="str">
        <f aca="false">IF((E224="f"),H224," ")</f>
        <v> </v>
      </c>
      <c r="AF224" s="17" t="str">
        <f aca="false">IF((E224="l"),H224," ")</f>
        <v> </v>
      </c>
      <c r="AG224" s="17" t="str">
        <f aca="false">IF((E224="y"),H224," ")</f>
        <v> </v>
      </c>
      <c r="AH224" s="17" t="str">
        <f aca="false">IF((E224="z"),H224," ")</f>
        <v> </v>
      </c>
      <c r="AI224" s="17" t="str">
        <f aca="false">IF((E224="fa"),H224," ")</f>
        <v> </v>
      </c>
      <c r="AJ224" s="17" t="str">
        <f aca="false">IF((E224="e"),H224," ")</f>
        <v> </v>
      </c>
    </row>
    <row r="225" customFormat="false" ht="12" hidden="false" customHeight="false" outlineLevel="0" collapsed="false">
      <c r="A225" s="28"/>
      <c r="E225" s="2" t="str">
        <f aca="false">IF((F225&lt;&gt;0),"Enter Letter"," ")</f>
        <v> </v>
      </c>
      <c r="F225" s="30"/>
      <c r="G225" s="6" t="str">
        <f aca="false">IF(F225&lt;&gt;0,F225*G$2/(100+G$2)," ")</f>
        <v> </v>
      </c>
      <c r="H225" s="6" t="str">
        <f aca="false">IF((F225&lt;&gt;0),F225-G225," ")</f>
        <v> </v>
      </c>
      <c r="I225" s="5"/>
      <c r="L225" s="7" t="str">
        <f aca="false">IF(F225&lt;&gt;0,F225-K225," ")</f>
        <v> </v>
      </c>
      <c r="M225" s="8" t="str">
        <f aca="false">IF((F225-K225)&lt;&gt;0,M$1-A225," ")</f>
        <v> </v>
      </c>
      <c r="N225" s="5"/>
      <c r="O225" s="17" t="str">
        <f aca="false">IF((E225="s"),H225," ")</f>
        <v> </v>
      </c>
      <c r="P225" s="17" t="str">
        <f aca="false">IF((E225="c"),H225," ")</f>
        <v> </v>
      </c>
      <c r="Q225" s="17" t="str">
        <f aca="false">IF((E225="o"),H225," ")</f>
        <v> </v>
      </c>
      <c r="R225" s="17" t="str">
        <f aca="false">IF((E225="d"),H225," ")</f>
        <v> </v>
      </c>
      <c r="S225" s="17" t="str">
        <f aca="false">IF((E225="w"),H225," ")</f>
        <v> </v>
      </c>
      <c r="T225" s="17" t="str">
        <f aca="false">IF((E225="r"),H225," ")</f>
        <v> </v>
      </c>
      <c r="U225" s="17" t="str">
        <f aca="false">IF((E225="p"),H225," ")</f>
        <v> </v>
      </c>
      <c r="V225" s="17" t="str">
        <f aca="false">IF((E225="t"),H225," ")</f>
        <v> </v>
      </c>
      <c r="W225" s="17" t="str">
        <f aca="false">IF((E225="q"),H225," ")</f>
        <v> </v>
      </c>
      <c r="X225" s="17" t="str">
        <f aca="false">IF((E225="m"),H225," ")</f>
        <v> </v>
      </c>
      <c r="Y225" s="17" t="str">
        <f aca="false">IF((E225="u"),H225," ")</f>
        <v> </v>
      </c>
      <c r="Z225" s="17" t="str">
        <f aca="false">IF((E225="a"),H225," ")</f>
        <v> </v>
      </c>
      <c r="AA225" s="17" t="str">
        <f aca="false">IF((E225="g"),H225," ")</f>
        <v> </v>
      </c>
      <c r="AB225" s="17" t="str">
        <f aca="false">IF((E225="h"),H225," ")</f>
        <v> </v>
      </c>
      <c r="AC225" s="30" t="str">
        <f aca="false">IF((E225="v"),H225," ")</f>
        <v> </v>
      </c>
      <c r="AD225" s="30" t="str">
        <f aca="false">IF((E225="n"),H225," ")</f>
        <v> </v>
      </c>
      <c r="AE225" s="17" t="str">
        <f aca="false">IF((E225="f"),H225," ")</f>
        <v> </v>
      </c>
      <c r="AF225" s="17" t="str">
        <f aca="false">IF((E225="l"),H225," ")</f>
        <v> </v>
      </c>
      <c r="AG225" s="17" t="str">
        <f aca="false">IF((E225="y"),H225," ")</f>
        <v> </v>
      </c>
      <c r="AH225" s="17" t="str">
        <f aca="false">IF((E225="z"),H225," ")</f>
        <v> </v>
      </c>
      <c r="AI225" s="17" t="str">
        <f aca="false">IF((E225="fa"),H225," ")</f>
        <v> </v>
      </c>
      <c r="AJ225" s="17" t="str">
        <f aca="false">IF((E225="e"),H225," ")</f>
        <v> </v>
      </c>
    </row>
    <row r="226" customFormat="false" ht="12" hidden="false" customHeight="false" outlineLevel="0" collapsed="false">
      <c r="A226" s="28"/>
      <c r="E226" s="2" t="str">
        <f aca="false">IF((F226&lt;&gt;0),"Enter Letter"," ")</f>
        <v> </v>
      </c>
      <c r="F226" s="30"/>
      <c r="G226" s="6" t="str">
        <f aca="false">IF(F226&lt;&gt;0,F226*G$2/(100+G$2)," ")</f>
        <v> </v>
      </c>
      <c r="H226" s="6" t="str">
        <f aca="false">IF((F226&lt;&gt;0),F226-G226," ")</f>
        <v> </v>
      </c>
      <c r="I226" s="5"/>
      <c r="L226" s="7" t="str">
        <f aca="false">IF(F226&lt;&gt;0,F226-K226," ")</f>
        <v> </v>
      </c>
      <c r="M226" s="8" t="str">
        <f aca="false">IF((F226-K226)&lt;&gt;0,M$1-A226," ")</f>
        <v> </v>
      </c>
      <c r="N226" s="5"/>
      <c r="O226" s="17" t="str">
        <f aca="false">IF((E226="s"),H226," ")</f>
        <v> </v>
      </c>
      <c r="P226" s="17" t="str">
        <f aca="false">IF((E226="c"),H226," ")</f>
        <v> </v>
      </c>
      <c r="Q226" s="17" t="str">
        <f aca="false">IF((E226="o"),H226," ")</f>
        <v> </v>
      </c>
      <c r="R226" s="17" t="str">
        <f aca="false">IF((E226="d"),H226," ")</f>
        <v> </v>
      </c>
      <c r="S226" s="17" t="str">
        <f aca="false">IF((E226="w"),H226," ")</f>
        <v> </v>
      </c>
      <c r="T226" s="17" t="str">
        <f aca="false">IF((E226="r"),H226," ")</f>
        <v> </v>
      </c>
      <c r="U226" s="17" t="str">
        <f aca="false">IF((E226="p"),H226," ")</f>
        <v> </v>
      </c>
      <c r="V226" s="17" t="str">
        <f aca="false">IF((E226="t"),H226," ")</f>
        <v> </v>
      </c>
      <c r="W226" s="17" t="str">
        <f aca="false">IF((E226="q"),H226," ")</f>
        <v> </v>
      </c>
      <c r="X226" s="17" t="str">
        <f aca="false">IF((E226="m"),H226," ")</f>
        <v> </v>
      </c>
      <c r="Y226" s="17" t="str">
        <f aca="false">IF((E226="u"),H226," ")</f>
        <v> </v>
      </c>
      <c r="Z226" s="17" t="str">
        <f aca="false">IF((E226="a"),H226," ")</f>
        <v> </v>
      </c>
      <c r="AA226" s="17" t="str">
        <f aca="false">IF((E226="g"),H226," ")</f>
        <v> </v>
      </c>
      <c r="AB226" s="17" t="str">
        <f aca="false">IF((E226="h"),H226," ")</f>
        <v> </v>
      </c>
      <c r="AC226" s="30" t="str">
        <f aca="false">IF((E226="v"),H226," ")</f>
        <v> </v>
      </c>
      <c r="AD226" s="30" t="str">
        <f aca="false">IF((E226="n"),H226," ")</f>
        <v> </v>
      </c>
      <c r="AE226" s="17" t="str">
        <f aca="false">IF((E226="f"),H226," ")</f>
        <v> </v>
      </c>
      <c r="AF226" s="17" t="str">
        <f aca="false">IF((E226="l"),H226," ")</f>
        <v> </v>
      </c>
      <c r="AG226" s="17" t="str">
        <f aca="false">IF((E226="y"),H226," ")</f>
        <v> </v>
      </c>
      <c r="AH226" s="17" t="str">
        <f aca="false">IF((E226="z"),H226," ")</f>
        <v> </v>
      </c>
      <c r="AI226" s="17" t="str">
        <f aca="false">IF((E226="fa"),H226," ")</f>
        <v> </v>
      </c>
      <c r="AJ226" s="17" t="str">
        <f aca="false">IF((E226="e"),H226," ")</f>
        <v> </v>
      </c>
    </row>
    <row r="227" customFormat="false" ht="12" hidden="false" customHeight="false" outlineLevel="0" collapsed="false">
      <c r="A227" s="28"/>
      <c r="E227" s="2" t="str">
        <f aca="false">IF((F227&lt;&gt;0),"Enter Letter"," ")</f>
        <v> </v>
      </c>
      <c r="F227" s="30"/>
      <c r="G227" s="6" t="str">
        <f aca="false">IF(F227&lt;&gt;0,F227*G$2/(100+G$2)," ")</f>
        <v> </v>
      </c>
      <c r="H227" s="6" t="str">
        <f aca="false">IF((F227&lt;&gt;0),F227-G227," ")</f>
        <v> </v>
      </c>
      <c r="I227" s="5"/>
      <c r="L227" s="7" t="str">
        <f aca="false">IF(F227&lt;&gt;0,F227-K227," ")</f>
        <v> </v>
      </c>
      <c r="M227" s="8" t="str">
        <f aca="false">IF((F227-K227)&lt;&gt;0,M$1-A227," ")</f>
        <v> </v>
      </c>
      <c r="N227" s="5"/>
      <c r="O227" s="17" t="str">
        <f aca="false">IF((E227="s"),H227," ")</f>
        <v> </v>
      </c>
      <c r="P227" s="17" t="str">
        <f aca="false">IF((E227="c"),H227," ")</f>
        <v> </v>
      </c>
      <c r="Q227" s="17" t="str">
        <f aca="false">IF((E227="o"),H227," ")</f>
        <v> </v>
      </c>
      <c r="R227" s="17" t="str">
        <f aca="false">IF((E227="d"),H227," ")</f>
        <v> </v>
      </c>
      <c r="S227" s="17" t="str">
        <f aca="false">IF((E227="w"),H227," ")</f>
        <v> </v>
      </c>
      <c r="T227" s="17" t="str">
        <f aca="false">IF((E227="r"),H227," ")</f>
        <v> </v>
      </c>
      <c r="U227" s="17" t="str">
        <f aca="false">IF((E227="p"),H227," ")</f>
        <v> </v>
      </c>
      <c r="V227" s="17" t="str">
        <f aca="false">IF((E227="t"),H227," ")</f>
        <v> </v>
      </c>
      <c r="W227" s="17" t="str">
        <f aca="false">IF((E227="q"),H227," ")</f>
        <v> </v>
      </c>
      <c r="X227" s="17" t="str">
        <f aca="false">IF((E227="m"),H227," ")</f>
        <v> </v>
      </c>
      <c r="Y227" s="17" t="str">
        <f aca="false">IF((E227="u"),H227," ")</f>
        <v> </v>
      </c>
      <c r="Z227" s="17" t="str">
        <f aca="false">IF((E227="a"),H227," ")</f>
        <v> </v>
      </c>
      <c r="AA227" s="17" t="str">
        <f aca="false">IF((E227="g"),H227," ")</f>
        <v> </v>
      </c>
      <c r="AB227" s="17" t="str">
        <f aca="false">IF((E227="h"),H227," ")</f>
        <v> </v>
      </c>
      <c r="AC227" s="30" t="str">
        <f aca="false">IF((E227="v"),H227," ")</f>
        <v> </v>
      </c>
      <c r="AD227" s="30" t="str">
        <f aca="false">IF((E227="n"),H227," ")</f>
        <v> </v>
      </c>
      <c r="AE227" s="17" t="str">
        <f aca="false">IF((E227="f"),H227," ")</f>
        <v> </v>
      </c>
      <c r="AF227" s="17" t="str">
        <f aca="false">IF((E227="l"),H227," ")</f>
        <v> </v>
      </c>
      <c r="AG227" s="17" t="str">
        <f aca="false">IF((E227="y"),H227," ")</f>
        <v> </v>
      </c>
      <c r="AH227" s="17" t="str">
        <f aca="false">IF((E227="z"),H227," ")</f>
        <v> </v>
      </c>
      <c r="AI227" s="17" t="str">
        <f aca="false">IF((E227="fa"),H227," ")</f>
        <v> </v>
      </c>
      <c r="AJ227" s="17" t="str">
        <f aca="false">IF((E227="e"),H227," ")</f>
        <v> </v>
      </c>
    </row>
    <row r="228" customFormat="false" ht="12" hidden="false" customHeight="false" outlineLevel="0" collapsed="false">
      <c r="A228" s="28"/>
      <c r="E228" s="2" t="str">
        <f aca="false">IF((F228&lt;&gt;0),"Enter Letter"," ")</f>
        <v> </v>
      </c>
      <c r="F228" s="30"/>
      <c r="G228" s="6" t="str">
        <f aca="false">IF(F228&lt;&gt;0,F228*G$2/(100+G$2)," ")</f>
        <v> </v>
      </c>
      <c r="H228" s="6" t="str">
        <f aca="false">IF((F228&lt;&gt;0),F228-G228," ")</f>
        <v> </v>
      </c>
      <c r="I228" s="5"/>
      <c r="L228" s="7" t="str">
        <f aca="false">IF(F228&lt;&gt;0,F228-K228," ")</f>
        <v> </v>
      </c>
      <c r="M228" s="8" t="str">
        <f aca="false">IF((F228-K228)&lt;&gt;0,M$1-A228," ")</f>
        <v> </v>
      </c>
      <c r="N228" s="5"/>
      <c r="O228" s="17" t="str">
        <f aca="false">IF((E228="s"),H228," ")</f>
        <v> </v>
      </c>
      <c r="P228" s="17" t="str">
        <f aca="false">IF((E228="c"),H228," ")</f>
        <v> </v>
      </c>
      <c r="Q228" s="17" t="str">
        <f aca="false">IF((E228="o"),H228," ")</f>
        <v> </v>
      </c>
      <c r="R228" s="17" t="str">
        <f aca="false">IF((E228="d"),H228," ")</f>
        <v> </v>
      </c>
      <c r="S228" s="17" t="str">
        <f aca="false">IF((E228="w"),H228," ")</f>
        <v> </v>
      </c>
      <c r="T228" s="17" t="str">
        <f aca="false">IF((E228="r"),H228," ")</f>
        <v> </v>
      </c>
      <c r="U228" s="17" t="str">
        <f aca="false">IF((E228="p"),H228," ")</f>
        <v> </v>
      </c>
      <c r="V228" s="17" t="str">
        <f aca="false">IF((E228="t"),H228," ")</f>
        <v> </v>
      </c>
      <c r="W228" s="17" t="str">
        <f aca="false">IF((E228="q"),H228," ")</f>
        <v> </v>
      </c>
      <c r="X228" s="17" t="str">
        <f aca="false">IF((E228="m"),H228," ")</f>
        <v> </v>
      </c>
      <c r="Y228" s="17" t="str">
        <f aca="false">IF((E228="u"),H228," ")</f>
        <v> </v>
      </c>
      <c r="Z228" s="17" t="str">
        <f aca="false">IF((E228="a"),H228," ")</f>
        <v> </v>
      </c>
      <c r="AA228" s="17" t="str">
        <f aca="false">IF((E228="g"),H228," ")</f>
        <v> </v>
      </c>
      <c r="AB228" s="17" t="str">
        <f aca="false">IF((E228="h"),H228," ")</f>
        <v> </v>
      </c>
      <c r="AC228" s="30" t="str">
        <f aca="false">IF((E228="v"),H228," ")</f>
        <v> </v>
      </c>
      <c r="AD228" s="30" t="str">
        <f aca="false">IF((E228="n"),H228," ")</f>
        <v> </v>
      </c>
      <c r="AE228" s="17" t="str">
        <f aca="false">IF((E228="f"),H228," ")</f>
        <v> </v>
      </c>
      <c r="AF228" s="17" t="str">
        <f aca="false">IF((E228="l"),H228," ")</f>
        <v> </v>
      </c>
      <c r="AG228" s="17" t="str">
        <f aca="false">IF((E228="y"),H228," ")</f>
        <v> </v>
      </c>
      <c r="AH228" s="17" t="str">
        <f aca="false">IF((E228="z"),H228," ")</f>
        <v> </v>
      </c>
      <c r="AI228" s="17" t="str">
        <f aca="false">IF((E228="fa"),H228," ")</f>
        <v> </v>
      </c>
      <c r="AJ228" s="17" t="str">
        <f aca="false">IF((E228="e"),H228," ")</f>
        <v> </v>
      </c>
    </row>
    <row r="229" customFormat="false" ht="12" hidden="false" customHeight="false" outlineLevel="0" collapsed="false">
      <c r="A229" s="28"/>
      <c r="E229" s="2" t="str">
        <f aca="false">IF((F229&lt;&gt;0),"Enter Letter"," ")</f>
        <v> </v>
      </c>
      <c r="F229" s="30"/>
      <c r="G229" s="6" t="str">
        <f aca="false">IF(F229&lt;&gt;0,F229*G$2/(100+G$2)," ")</f>
        <v> </v>
      </c>
      <c r="H229" s="6" t="str">
        <f aca="false">IF((F229&lt;&gt;0),F229-G229," ")</f>
        <v> </v>
      </c>
      <c r="I229" s="5"/>
      <c r="L229" s="7" t="str">
        <f aca="false">IF(F229&lt;&gt;0,F229-K229," ")</f>
        <v> </v>
      </c>
      <c r="M229" s="8" t="str">
        <f aca="false">IF((F229-K229)&lt;&gt;0,M$1-A229," ")</f>
        <v> </v>
      </c>
      <c r="N229" s="5"/>
      <c r="O229" s="17" t="str">
        <f aca="false">IF((E229="s"),H229," ")</f>
        <v> </v>
      </c>
      <c r="P229" s="17" t="str">
        <f aca="false">IF((E229="c"),H229," ")</f>
        <v> </v>
      </c>
      <c r="Q229" s="17" t="str">
        <f aca="false">IF((E229="o"),H229," ")</f>
        <v> </v>
      </c>
      <c r="R229" s="17" t="str">
        <f aca="false">IF((E229="d"),H229," ")</f>
        <v> </v>
      </c>
      <c r="S229" s="17" t="str">
        <f aca="false">IF((E229="w"),H229," ")</f>
        <v> </v>
      </c>
      <c r="T229" s="17" t="str">
        <f aca="false">IF((E229="r"),H229," ")</f>
        <v> </v>
      </c>
      <c r="U229" s="17" t="str">
        <f aca="false">IF((E229="p"),H229," ")</f>
        <v> </v>
      </c>
      <c r="V229" s="17" t="str">
        <f aca="false">IF((E229="t"),H229," ")</f>
        <v> </v>
      </c>
      <c r="W229" s="17" t="str">
        <f aca="false">IF((E229="q"),H229," ")</f>
        <v> </v>
      </c>
      <c r="X229" s="17" t="str">
        <f aca="false">IF((E229="m"),H229," ")</f>
        <v> </v>
      </c>
      <c r="Y229" s="17" t="str">
        <f aca="false">IF((E229="u"),H229," ")</f>
        <v> </v>
      </c>
      <c r="Z229" s="17" t="str">
        <f aca="false">IF((E229="a"),H229," ")</f>
        <v> </v>
      </c>
      <c r="AA229" s="17" t="str">
        <f aca="false">IF((E229="g"),H229," ")</f>
        <v> </v>
      </c>
      <c r="AB229" s="17" t="str">
        <f aca="false">IF((E229="h"),H229," ")</f>
        <v> </v>
      </c>
      <c r="AC229" s="30" t="str">
        <f aca="false">IF((E229="v"),H229," ")</f>
        <v> </v>
      </c>
      <c r="AD229" s="30" t="str">
        <f aca="false">IF((E229="n"),H229," ")</f>
        <v> </v>
      </c>
      <c r="AE229" s="17" t="str">
        <f aca="false">IF((E229="f"),H229," ")</f>
        <v> </v>
      </c>
      <c r="AF229" s="17" t="str">
        <f aca="false">IF((E229="l"),H229," ")</f>
        <v> </v>
      </c>
      <c r="AG229" s="17" t="str">
        <f aca="false">IF((E229="y"),H229," ")</f>
        <v> </v>
      </c>
      <c r="AH229" s="17" t="str">
        <f aca="false">IF((E229="z"),H229," ")</f>
        <v> </v>
      </c>
      <c r="AI229" s="17" t="str">
        <f aca="false">IF((E229="fa"),H229," ")</f>
        <v> </v>
      </c>
      <c r="AJ229" s="17" t="str">
        <f aca="false">IF((E229="e"),H229," ")</f>
        <v> </v>
      </c>
    </row>
    <row r="230" customFormat="false" ht="12" hidden="false" customHeight="false" outlineLevel="0" collapsed="false">
      <c r="A230" s="28"/>
      <c r="E230" s="2" t="str">
        <f aca="false">IF((F230&lt;&gt;0),"Enter Letter"," ")</f>
        <v> </v>
      </c>
      <c r="F230" s="30"/>
      <c r="G230" s="6" t="str">
        <f aca="false">IF(F230&lt;&gt;0,F230*G$2/(100+G$2)," ")</f>
        <v> </v>
      </c>
      <c r="H230" s="6" t="str">
        <f aca="false">IF((F230&lt;&gt;0),F230-G230," ")</f>
        <v> </v>
      </c>
      <c r="I230" s="5"/>
      <c r="L230" s="7" t="str">
        <f aca="false">IF(F230&lt;&gt;0,F230-K230," ")</f>
        <v> </v>
      </c>
      <c r="M230" s="8" t="str">
        <f aca="false">IF((F230-K230)&lt;&gt;0,M$1-A230," ")</f>
        <v> </v>
      </c>
      <c r="N230" s="5"/>
      <c r="O230" s="17" t="str">
        <f aca="false">IF((E230="s"),H230," ")</f>
        <v> </v>
      </c>
      <c r="P230" s="17" t="str">
        <f aca="false">IF((E230="c"),H230," ")</f>
        <v> </v>
      </c>
      <c r="Q230" s="17" t="str">
        <f aca="false">IF((E230="o"),H230," ")</f>
        <v> </v>
      </c>
      <c r="R230" s="17" t="str">
        <f aca="false">IF((E230="d"),H230," ")</f>
        <v> </v>
      </c>
      <c r="S230" s="17" t="str">
        <f aca="false">IF((E230="w"),H230," ")</f>
        <v> </v>
      </c>
      <c r="T230" s="17" t="str">
        <f aca="false">IF((E230="r"),H230," ")</f>
        <v> </v>
      </c>
      <c r="U230" s="17" t="str">
        <f aca="false">IF((E230="p"),H230," ")</f>
        <v> </v>
      </c>
      <c r="V230" s="17" t="str">
        <f aca="false">IF((E230="t"),H230," ")</f>
        <v> </v>
      </c>
      <c r="W230" s="17" t="str">
        <f aca="false">IF((E230="q"),H230," ")</f>
        <v> </v>
      </c>
      <c r="X230" s="17" t="str">
        <f aca="false">IF((E230="m"),H230," ")</f>
        <v> </v>
      </c>
      <c r="Y230" s="17" t="str">
        <f aca="false">IF((E230="u"),H230," ")</f>
        <v> </v>
      </c>
      <c r="Z230" s="17" t="str">
        <f aca="false">IF((E230="a"),H230," ")</f>
        <v> </v>
      </c>
      <c r="AA230" s="17" t="str">
        <f aca="false">IF((E230="g"),H230," ")</f>
        <v> </v>
      </c>
      <c r="AB230" s="17" t="str">
        <f aca="false">IF((E230="h"),H230," ")</f>
        <v> </v>
      </c>
      <c r="AC230" s="30" t="str">
        <f aca="false">IF((E230="v"),H230," ")</f>
        <v> </v>
      </c>
      <c r="AD230" s="30" t="str">
        <f aca="false">IF((E230="n"),H230," ")</f>
        <v> </v>
      </c>
      <c r="AE230" s="17" t="str">
        <f aca="false">IF((E230="f"),H230," ")</f>
        <v> </v>
      </c>
      <c r="AF230" s="17" t="str">
        <f aca="false">IF((E230="l"),H230," ")</f>
        <v> </v>
      </c>
      <c r="AG230" s="17" t="str">
        <f aca="false">IF((E230="y"),H230," ")</f>
        <v> </v>
      </c>
      <c r="AH230" s="17" t="str">
        <f aca="false">IF((E230="z"),H230," ")</f>
        <v> </v>
      </c>
      <c r="AI230" s="17" t="str">
        <f aca="false">IF((E230="fa"),H230," ")</f>
        <v> </v>
      </c>
      <c r="AJ230" s="17" t="str">
        <f aca="false">IF((E230="e"),H230," ")</f>
        <v> </v>
      </c>
    </row>
    <row r="231" customFormat="false" ht="12" hidden="false" customHeight="false" outlineLevel="0" collapsed="false">
      <c r="A231" s="28"/>
      <c r="E231" s="2" t="str">
        <f aca="false">IF((F231&lt;&gt;0),"Enter Letter"," ")</f>
        <v> </v>
      </c>
      <c r="F231" s="30"/>
      <c r="G231" s="6" t="str">
        <f aca="false">IF(F231&lt;&gt;0,F231*G$2/(100+G$2)," ")</f>
        <v> </v>
      </c>
      <c r="H231" s="6" t="str">
        <f aca="false">IF((F231&lt;&gt;0),F231-G231," ")</f>
        <v> </v>
      </c>
      <c r="I231" s="5"/>
      <c r="L231" s="7" t="str">
        <f aca="false">IF(F231&lt;&gt;0,F231-K231," ")</f>
        <v> </v>
      </c>
      <c r="M231" s="8" t="str">
        <f aca="false">IF((F231-K231)&lt;&gt;0,M$1-A231," ")</f>
        <v> </v>
      </c>
      <c r="N231" s="5"/>
      <c r="O231" s="17" t="str">
        <f aca="false">IF((E231="s"),H231," ")</f>
        <v> </v>
      </c>
      <c r="P231" s="17" t="str">
        <f aca="false">IF((E231="c"),H231," ")</f>
        <v> </v>
      </c>
      <c r="Q231" s="17" t="str">
        <f aca="false">IF((E231="o"),H231," ")</f>
        <v> </v>
      </c>
      <c r="R231" s="17" t="str">
        <f aca="false">IF((E231="d"),H231," ")</f>
        <v> </v>
      </c>
      <c r="S231" s="17" t="str">
        <f aca="false">IF((E231="w"),H231," ")</f>
        <v> </v>
      </c>
      <c r="T231" s="17" t="str">
        <f aca="false">IF((E231="r"),H231," ")</f>
        <v> </v>
      </c>
      <c r="U231" s="17" t="str">
        <f aca="false">IF((E231="p"),H231," ")</f>
        <v> </v>
      </c>
      <c r="V231" s="17" t="str">
        <f aca="false">IF((E231="t"),H231," ")</f>
        <v> </v>
      </c>
      <c r="W231" s="17" t="str">
        <f aca="false">IF((E231="q"),H231," ")</f>
        <v> </v>
      </c>
      <c r="X231" s="17" t="str">
        <f aca="false">IF((E231="m"),H231," ")</f>
        <v> </v>
      </c>
      <c r="Y231" s="17" t="str">
        <f aca="false">IF((E231="u"),H231," ")</f>
        <v> </v>
      </c>
      <c r="Z231" s="17" t="str">
        <f aca="false">IF((E231="a"),H231," ")</f>
        <v> </v>
      </c>
      <c r="AA231" s="17" t="str">
        <f aca="false">IF((E231="g"),H231," ")</f>
        <v> </v>
      </c>
      <c r="AB231" s="17" t="str">
        <f aca="false">IF((E231="h"),H231," ")</f>
        <v> </v>
      </c>
      <c r="AC231" s="30" t="str">
        <f aca="false">IF((E231="v"),H231," ")</f>
        <v> </v>
      </c>
      <c r="AD231" s="30" t="str">
        <f aca="false">IF((E231="n"),H231," ")</f>
        <v> </v>
      </c>
      <c r="AE231" s="17" t="str">
        <f aca="false">IF((E231="f"),H231," ")</f>
        <v> </v>
      </c>
      <c r="AF231" s="17" t="str">
        <f aca="false">IF((E231="l"),H231," ")</f>
        <v> </v>
      </c>
      <c r="AG231" s="17" t="str">
        <f aca="false">IF((E231="y"),H231," ")</f>
        <v> </v>
      </c>
      <c r="AH231" s="17" t="str">
        <f aca="false">IF((E231="z"),H231," ")</f>
        <v> </v>
      </c>
      <c r="AI231" s="17" t="str">
        <f aca="false">IF((E231="fa"),H231," ")</f>
        <v> </v>
      </c>
      <c r="AJ231" s="17" t="str">
        <f aca="false">IF((E231="e"),H231," ")</f>
        <v> </v>
      </c>
    </row>
    <row r="232" customFormat="false" ht="12" hidden="false" customHeight="false" outlineLevel="0" collapsed="false">
      <c r="A232" s="28"/>
      <c r="E232" s="2" t="str">
        <f aca="false">IF((F232&lt;&gt;0),"Enter Letter"," ")</f>
        <v> </v>
      </c>
      <c r="F232" s="30"/>
      <c r="G232" s="6" t="str">
        <f aca="false">IF(F232&lt;&gt;0,F232*G$2/(100+G$2)," ")</f>
        <v> </v>
      </c>
      <c r="H232" s="6" t="str">
        <f aca="false">IF((F232&lt;&gt;0),F232-G232," ")</f>
        <v> </v>
      </c>
      <c r="I232" s="5"/>
      <c r="L232" s="7" t="str">
        <f aca="false">IF(F232&lt;&gt;0,F232-K232," ")</f>
        <v> </v>
      </c>
      <c r="M232" s="8" t="str">
        <f aca="false">IF((F232-K232)&lt;&gt;0,M$1-A232," ")</f>
        <v> </v>
      </c>
      <c r="N232" s="5"/>
      <c r="O232" s="17" t="str">
        <f aca="false">IF((E232="s"),H232," ")</f>
        <v> </v>
      </c>
      <c r="P232" s="17" t="str">
        <f aca="false">IF((E232="c"),H232," ")</f>
        <v> </v>
      </c>
      <c r="Q232" s="17" t="str">
        <f aca="false">IF((E232="o"),H232," ")</f>
        <v> </v>
      </c>
      <c r="R232" s="17" t="str">
        <f aca="false">IF((E232="d"),H232," ")</f>
        <v> </v>
      </c>
      <c r="S232" s="17" t="str">
        <f aca="false">IF((E232="w"),H232," ")</f>
        <v> </v>
      </c>
      <c r="T232" s="17" t="str">
        <f aca="false">IF((E232="r"),H232," ")</f>
        <v> </v>
      </c>
      <c r="U232" s="17" t="str">
        <f aca="false">IF((E232="p"),H232," ")</f>
        <v> </v>
      </c>
      <c r="V232" s="17" t="str">
        <f aca="false">IF((E232="t"),H232," ")</f>
        <v> </v>
      </c>
      <c r="W232" s="17" t="str">
        <f aca="false">IF((E232="q"),H232," ")</f>
        <v> </v>
      </c>
      <c r="X232" s="17" t="str">
        <f aca="false">IF((E232="m"),H232," ")</f>
        <v> </v>
      </c>
      <c r="Y232" s="17" t="str">
        <f aca="false">IF((E232="u"),H232," ")</f>
        <v> </v>
      </c>
      <c r="Z232" s="17" t="str">
        <f aca="false">IF((E232="a"),H232," ")</f>
        <v> </v>
      </c>
      <c r="AA232" s="17" t="str">
        <f aca="false">IF((E232="g"),H232," ")</f>
        <v> </v>
      </c>
      <c r="AB232" s="17" t="str">
        <f aca="false">IF((E232="h"),H232," ")</f>
        <v> </v>
      </c>
      <c r="AC232" s="30" t="str">
        <f aca="false">IF((E232="v"),H232," ")</f>
        <v> </v>
      </c>
      <c r="AD232" s="30" t="str">
        <f aca="false">IF((E232="n"),H232," ")</f>
        <v> </v>
      </c>
      <c r="AE232" s="17" t="str">
        <f aca="false">IF((E232="f"),H232," ")</f>
        <v> </v>
      </c>
      <c r="AF232" s="17" t="str">
        <f aca="false">IF((E232="l"),H232," ")</f>
        <v> </v>
      </c>
      <c r="AG232" s="17" t="str">
        <f aca="false">IF((E232="y"),H232," ")</f>
        <v> </v>
      </c>
      <c r="AH232" s="17" t="str">
        <f aca="false">IF((E232="z"),H232," ")</f>
        <v> </v>
      </c>
      <c r="AI232" s="17" t="str">
        <f aca="false">IF((E232="fa"),H232," ")</f>
        <v> </v>
      </c>
      <c r="AJ232" s="17" t="str">
        <f aca="false">IF((E232="e"),H232," ")</f>
        <v> </v>
      </c>
    </row>
    <row r="233" customFormat="false" ht="12" hidden="false" customHeight="false" outlineLevel="0" collapsed="false">
      <c r="A233" s="28"/>
      <c r="E233" s="2" t="str">
        <f aca="false">IF((F233&lt;&gt;0),"Enter Letter"," ")</f>
        <v> </v>
      </c>
      <c r="F233" s="30"/>
      <c r="G233" s="6" t="str">
        <f aca="false">IF(F233&lt;&gt;0,F233*G$2/(100+G$2)," ")</f>
        <v> </v>
      </c>
      <c r="H233" s="6" t="str">
        <f aca="false">IF((F233&lt;&gt;0),F233-G233," ")</f>
        <v> </v>
      </c>
      <c r="I233" s="5"/>
      <c r="L233" s="7" t="str">
        <f aca="false">IF(F233&lt;&gt;0,F233-K233," ")</f>
        <v> </v>
      </c>
      <c r="M233" s="8" t="str">
        <f aca="false">IF((F233-K233)&lt;&gt;0,M$1-A233," ")</f>
        <v> </v>
      </c>
      <c r="N233" s="5"/>
      <c r="O233" s="17" t="str">
        <f aca="false">IF((E233="s"),H233," ")</f>
        <v> </v>
      </c>
      <c r="P233" s="17" t="str">
        <f aca="false">IF((E233="c"),H233," ")</f>
        <v> </v>
      </c>
      <c r="Q233" s="17" t="str">
        <f aca="false">IF((E233="o"),H233," ")</f>
        <v> </v>
      </c>
      <c r="R233" s="17" t="str">
        <f aca="false">IF((E233="d"),H233," ")</f>
        <v> </v>
      </c>
      <c r="S233" s="17" t="str">
        <f aca="false">IF((E233="w"),H233," ")</f>
        <v> </v>
      </c>
      <c r="T233" s="17" t="str">
        <f aca="false">IF((E233="r"),H233," ")</f>
        <v> </v>
      </c>
      <c r="U233" s="17" t="str">
        <f aca="false">IF((E233="p"),H233," ")</f>
        <v> </v>
      </c>
      <c r="V233" s="17" t="str">
        <f aca="false">IF((E233="t"),H233," ")</f>
        <v> </v>
      </c>
      <c r="W233" s="17" t="str">
        <f aca="false">IF((E233="q"),H233," ")</f>
        <v> </v>
      </c>
      <c r="X233" s="17" t="str">
        <f aca="false">IF((E233="m"),H233," ")</f>
        <v> </v>
      </c>
      <c r="Y233" s="17" t="str">
        <f aca="false">IF((E233="u"),H233," ")</f>
        <v> </v>
      </c>
      <c r="Z233" s="17" t="str">
        <f aca="false">IF((E233="a"),H233," ")</f>
        <v> </v>
      </c>
      <c r="AA233" s="17" t="str">
        <f aca="false">IF((E233="g"),H233," ")</f>
        <v> </v>
      </c>
      <c r="AB233" s="17" t="str">
        <f aca="false">IF((E233="h"),H233," ")</f>
        <v> </v>
      </c>
      <c r="AC233" s="30" t="str">
        <f aca="false">IF((E233="v"),H233," ")</f>
        <v> </v>
      </c>
      <c r="AD233" s="30" t="str">
        <f aca="false">IF((E233="n"),H233," ")</f>
        <v> </v>
      </c>
      <c r="AE233" s="17" t="str">
        <f aca="false">IF((E233="f"),H233," ")</f>
        <v> </v>
      </c>
      <c r="AF233" s="17" t="str">
        <f aca="false">IF((E233="l"),H233," ")</f>
        <v> </v>
      </c>
      <c r="AG233" s="17" t="str">
        <f aca="false">IF((E233="y"),H233," ")</f>
        <v> </v>
      </c>
      <c r="AH233" s="17" t="str">
        <f aca="false">IF((E233="z"),H233," ")</f>
        <v> </v>
      </c>
      <c r="AI233" s="17" t="str">
        <f aca="false">IF((E233="fa"),H233," ")</f>
        <v> </v>
      </c>
      <c r="AJ233" s="17" t="str">
        <f aca="false">IF((E233="e"),H233," ")</f>
        <v> </v>
      </c>
    </row>
    <row r="234" customFormat="false" ht="12" hidden="false" customHeight="false" outlineLevel="0" collapsed="false">
      <c r="A234" s="28"/>
      <c r="E234" s="2" t="str">
        <f aca="false">IF((F234&lt;&gt;0),"Enter Letter"," ")</f>
        <v> </v>
      </c>
      <c r="F234" s="30"/>
      <c r="G234" s="6" t="str">
        <f aca="false">IF(F234&lt;&gt;0,F234*G$2/(100+G$2)," ")</f>
        <v> </v>
      </c>
      <c r="H234" s="6" t="str">
        <f aca="false">IF((F234&lt;&gt;0),F234-G234," ")</f>
        <v> </v>
      </c>
      <c r="I234" s="5"/>
      <c r="L234" s="7" t="str">
        <f aca="false">IF(F234&lt;&gt;0,F234-K234," ")</f>
        <v> </v>
      </c>
      <c r="M234" s="8" t="str">
        <f aca="false">IF((F234-K234)&lt;&gt;0,M$1-A234," ")</f>
        <v> </v>
      </c>
      <c r="N234" s="5"/>
      <c r="O234" s="17" t="str">
        <f aca="false">IF((E234="s"),H234," ")</f>
        <v> </v>
      </c>
      <c r="P234" s="17" t="str">
        <f aca="false">IF((E234="c"),H234," ")</f>
        <v> </v>
      </c>
      <c r="Q234" s="17" t="str">
        <f aca="false">IF((E234="o"),H234," ")</f>
        <v> </v>
      </c>
      <c r="R234" s="17" t="str">
        <f aca="false">IF((E234="d"),H234," ")</f>
        <v> </v>
      </c>
      <c r="S234" s="17" t="str">
        <f aca="false">IF((E234="w"),H234," ")</f>
        <v> </v>
      </c>
      <c r="T234" s="17" t="str">
        <f aca="false">IF((E234="r"),H234," ")</f>
        <v> </v>
      </c>
      <c r="U234" s="17" t="str">
        <f aca="false">IF((E234="p"),H234," ")</f>
        <v> </v>
      </c>
      <c r="V234" s="17" t="str">
        <f aca="false">IF((E234="t"),H234," ")</f>
        <v> </v>
      </c>
      <c r="W234" s="17" t="str">
        <f aca="false">IF((E234="q"),H234," ")</f>
        <v> </v>
      </c>
      <c r="X234" s="17" t="str">
        <f aca="false">IF((E234="m"),H234," ")</f>
        <v> </v>
      </c>
      <c r="Y234" s="17" t="str">
        <f aca="false">IF((E234="u"),H234," ")</f>
        <v> </v>
      </c>
      <c r="Z234" s="17" t="str">
        <f aca="false">IF((E234="a"),H234," ")</f>
        <v> </v>
      </c>
      <c r="AA234" s="17" t="str">
        <f aca="false">IF((E234="g"),H234," ")</f>
        <v> </v>
      </c>
      <c r="AB234" s="17" t="str">
        <f aca="false">IF((E234="h"),H234," ")</f>
        <v> </v>
      </c>
      <c r="AC234" s="30" t="str">
        <f aca="false">IF((E234="v"),H234," ")</f>
        <v> </v>
      </c>
      <c r="AD234" s="30" t="str">
        <f aca="false">IF((E234="n"),H234," ")</f>
        <v> </v>
      </c>
      <c r="AE234" s="17" t="str">
        <f aca="false">IF((E234="f"),H234," ")</f>
        <v> </v>
      </c>
      <c r="AF234" s="17" t="str">
        <f aca="false">IF((E234="l"),H234," ")</f>
        <v> </v>
      </c>
      <c r="AG234" s="17" t="str">
        <f aca="false">IF((E234="y"),H234," ")</f>
        <v> </v>
      </c>
      <c r="AH234" s="17" t="str">
        <f aca="false">IF((E234="z"),H234," ")</f>
        <v> </v>
      </c>
      <c r="AI234" s="17" t="str">
        <f aca="false">IF((E234="fa"),H234," ")</f>
        <v> </v>
      </c>
      <c r="AJ234" s="17" t="str">
        <f aca="false">IF((E234="e"),H234," ")</f>
        <v> </v>
      </c>
    </row>
    <row r="235" customFormat="false" ht="12" hidden="false" customHeight="false" outlineLevel="0" collapsed="false">
      <c r="A235" s="28"/>
      <c r="E235" s="2" t="str">
        <f aca="false">IF((F235&lt;&gt;0),"Enter Letter"," ")</f>
        <v> </v>
      </c>
      <c r="F235" s="30"/>
      <c r="G235" s="6" t="str">
        <f aca="false">IF(F235&lt;&gt;0,F235*G$2/(100+G$2)," ")</f>
        <v> </v>
      </c>
      <c r="H235" s="6" t="str">
        <f aca="false">IF((F235&lt;&gt;0),F235-G235," ")</f>
        <v> </v>
      </c>
      <c r="I235" s="5"/>
      <c r="L235" s="7" t="str">
        <f aca="false">IF(F235&lt;&gt;0,F235-K235," ")</f>
        <v> </v>
      </c>
      <c r="M235" s="8" t="str">
        <f aca="false">IF((F235-K235)&lt;&gt;0,M$1-A235," ")</f>
        <v> </v>
      </c>
      <c r="N235" s="5"/>
      <c r="O235" s="17" t="str">
        <f aca="false">IF((E235="s"),H235," ")</f>
        <v> </v>
      </c>
      <c r="P235" s="17" t="str">
        <f aca="false">IF((E235="c"),H235," ")</f>
        <v> </v>
      </c>
      <c r="Q235" s="17" t="str">
        <f aca="false">IF((E235="o"),H235," ")</f>
        <v> </v>
      </c>
      <c r="R235" s="17" t="str">
        <f aca="false">IF((E235="d"),H235," ")</f>
        <v> </v>
      </c>
      <c r="S235" s="17" t="str">
        <f aca="false">IF((E235="w"),H235," ")</f>
        <v> </v>
      </c>
      <c r="T235" s="17" t="str">
        <f aca="false">IF((E235="r"),H235," ")</f>
        <v> </v>
      </c>
      <c r="U235" s="17" t="str">
        <f aca="false">IF((E235="p"),H235," ")</f>
        <v> </v>
      </c>
      <c r="V235" s="17" t="str">
        <f aca="false">IF((E235="t"),H235," ")</f>
        <v> </v>
      </c>
      <c r="W235" s="17" t="str">
        <f aca="false">IF((E235="q"),H235," ")</f>
        <v> </v>
      </c>
      <c r="X235" s="17" t="str">
        <f aca="false">IF((E235="m"),H235," ")</f>
        <v> </v>
      </c>
      <c r="Y235" s="17" t="str">
        <f aca="false">IF((E235="u"),H235," ")</f>
        <v> </v>
      </c>
      <c r="Z235" s="17" t="str">
        <f aca="false">IF((E235="a"),H235," ")</f>
        <v> </v>
      </c>
      <c r="AA235" s="17" t="str">
        <f aca="false">IF((E235="g"),H235," ")</f>
        <v> </v>
      </c>
      <c r="AB235" s="17" t="str">
        <f aca="false">IF((E235="h"),H235," ")</f>
        <v> </v>
      </c>
      <c r="AC235" s="30" t="str">
        <f aca="false">IF((E235="v"),H235," ")</f>
        <v> </v>
      </c>
      <c r="AD235" s="30" t="str">
        <f aca="false">IF((E235="n"),H235," ")</f>
        <v> </v>
      </c>
      <c r="AE235" s="17" t="str">
        <f aca="false">IF((E235="f"),H235," ")</f>
        <v> </v>
      </c>
      <c r="AF235" s="17" t="str">
        <f aca="false">IF((E235="l"),H235," ")</f>
        <v> </v>
      </c>
      <c r="AG235" s="17" t="str">
        <f aca="false">IF((E235="y"),H235," ")</f>
        <v> </v>
      </c>
      <c r="AH235" s="17" t="str">
        <f aca="false">IF((E235="z"),H235," ")</f>
        <v> </v>
      </c>
      <c r="AI235" s="17" t="str">
        <f aca="false">IF((E235="fa"),H235," ")</f>
        <v> </v>
      </c>
      <c r="AJ235" s="17" t="str">
        <f aca="false">IF((E235="e"),H235," ")</f>
        <v> </v>
      </c>
    </row>
    <row r="236" customFormat="false" ht="12" hidden="false" customHeight="false" outlineLevel="0" collapsed="false">
      <c r="A236" s="28"/>
      <c r="E236" s="2" t="str">
        <f aca="false">IF((F236&lt;&gt;0),"Enter Letter"," ")</f>
        <v> </v>
      </c>
      <c r="F236" s="30"/>
      <c r="G236" s="6" t="str">
        <f aca="false">IF(F236&lt;&gt;0,F236*G$2/(100+G$2)," ")</f>
        <v> </v>
      </c>
      <c r="H236" s="6" t="str">
        <f aca="false">IF((F236&lt;&gt;0),F236-G236," ")</f>
        <v> </v>
      </c>
      <c r="I236" s="5"/>
      <c r="L236" s="7" t="str">
        <f aca="false">IF(F236&lt;&gt;0,F236-K236," ")</f>
        <v> </v>
      </c>
      <c r="M236" s="8" t="str">
        <f aca="false">IF((F236-K236)&lt;&gt;0,M$1-A236," ")</f>
        <v> </v>
      </c>
      <c r="N236" s="5"/>
      <c r="O236" s="17" t="str">
        <f aca="false">IF((E236="s"),H236," ")</f>
        <v> </v>
      </c>
      <c r="P236" s="17" t="str">
        <f aca="false">IF((E236="c"),H236," ")</f>
        <v> </v>
      </c>
      <c r="Q236" s="17" t="str">
        <f aca="false">IF((E236="o"),H236," ")</f>
        <v> </v>
      </c>
      <c r="R236" s="17" t="str">
        <f aca="false">IF((E236="d"),H236," ")</f>
        <v> </v>
      </c>
      <c r="S236" s="17" t="str">
        <f aca="false">IF((E236="w"),H236," ")</f>
        <v> </v>
      </c>
      <c r="T236" s="17" t="str">
        <f aca="false">IF((E236="r"),H236," ")</f>
        <v> </v>
      </c>
      <c r="U236" s="17" t="str">
        <f aca="false">IF((E236="p"),H236," ")</f>
        <v> </v>
      </c>
      <c r="V236" s="17" t="str">
        <f aca="false">IF((E236="t"),H236," ")</f>
        <v> </v>
      </c>
      <c r="W236" s="17" t="str">
        <f aca="false">IF((E236="q"),H236," ")</f>
        <v> </v>
      </c>
      <c r="X236" s="17" t="str">
        <f aca="false">IF((E236="m"),H236," ")</f>
        <v> </v>
      </c>
      <c r="Y236" s="17" t="str">
        <f aca="false">IF((E236="u"),H236," ")</f>
        <v> </v>
      </c>
      <c r="Z236" s="17" t="str">
        <f aca="false">IF((E236="a"),H236," ")</f>
        <v> </v>
      </c>
      <c r="AA236" s="17" t="str">
        <f aca="false">IF((E236="g"),H236," ")</f>
        <v> </v>
      </c>
      <c r="AB236" s="17" t="str">
        <f aca="false">IF((E236="h"),H236," ")</f>
        <v> </v>
      </c>
      <c r="AC236" s="30" t="str">
        <f aca="false">IF((E236="v"),H236," ")</f>
        <v> </v>
      </c>
      <c r="AD236" s="30" t="str">
        <f aca="false">IF((E236="n"),H236," ")</f>
        <v> </v>
      </c>
      <c r="AE236" s="17" t="str">
        <f aca="false">IF((E236="f"),H236," ")</f>
        <v> </v>
      </c>
      <c r="AF236" s="17" t="str">
        <f aca="false">IF((E236="l"),H236," ")</f>
        <v> </v>
      </c>
      <c r="AG236" s="17" t="str">
        <f aca="false">IF((E236="y"),H236," ")</f>
        <v> </v>
      </c>
      <c r="AH236" s="17" t="str">
        <f aca="false">IF((E236="z"),H236," ")</f>
        <v> </v>
      </c>
      <c r="AI236" s="17" t="str">
        <f aca="false">IF((E236="fa"),H236," ")</f>
        <v> </v>
      </c>
      <c r="AJ236" s="17" t="str">
        <f aca="false">IF((E236="e"),H236," ")</f>
        <v> </v>
      </c>
    </row>
    <row r="237" customFormat="false" ht="12" hidden="false" customHeight="false" outlineLevel="0" collapsed="false">
      <c r="A237" s="28"/>
      <c r="E237" s="2" t="str">
        <f aca="false">IF((F237&lt;&gt;0),"Enter Letter"," ")</f>
        <v> </v>
      </c>
      <c r="F237" s="30"/>
      <c r="G237" s="6" t="str">
        <f aca="false">IF(F237&lt;&gt;0,F237*G$2/(100+G$2)," ")</f>
        <v> </v>
      </c>
      <c r="H237" s="6" t="str">
        <f aca="false">IF((F237&lt;&gt;0),F237-G237," ")</f>
        <v> </v>
      </c>
      <c r="I237" s="5"/>
      <c r="L237" s="7" t="str">
        <f aca="false">IF(F237&lt;&gt;0,F237-K237," ")</f>
        <v> </v>
      </c>
      <c r="M237" s="8" t="str">
        <f aca="false">IF((F237-K237)&lt;&gt;0,M$1-A237," ")</f>
        <v> </v>
      </c>
      <c r="N237" s="5"/>
      <c r="O237" s="17" t="str">
        <f aca="false">IF((E237="s"),H237," ")</f>
        <v> </v>
      </c>
      <c r="P237" s="17" t="str">
        <f aca="false">IF((E237="c"),H237," ")</f>
        <v> </v>
      </c>
      <c r="Q237" s="17" t="str">
        <f aca="false">IF((E237="o"),H237," ")</f>
        <v> </v>
      </c>
      <c r="R237" s="17" t="str">
        <f aca="false">IF((E237="d"),H237," ")</f>
        <v> </v>
      </c>
      <c r="S237" s="17" t="str">
        <f aca="false">IF((E237="w"),H237," ")</f>
        <v> </v>
      </c>
      <c r="T237" s="17" t="str">
        <f aca="false">IF((E237="r"),H237," ")</f>
        <v> </v>
      </c>
      <c r="U237" s="17" t="str">
        <f aca="false">IF((E237="p"),H237," ")</f>
        <v> </v>
      </c>
      <c r="V237" s="17" t="str">
        <f aca="false">IF((E237="t"),H237," ")</f>
        <v> </v>
      </c>
      <c r="W237" s="17" t="str">
        <f aca="false">IF((E237="q"),H237," ")</f>
        <v> </v>
      </c>
      <c r="X237" s="17" t="str">
        <f aca="false">IF((E237="m"),H237," ")</f>
        <v> </v>
      </c>
      <c r="Y237" s="17" t="str">
        <f aca="false">IF((E237="u"),H237," ")</f>
        <v> </v>
      </c>
      <c r="Z237" s="17" t="str">
        <f aca="false">IF((E237="a"),H237," ")</f>
        <v> </v>
      </c>
      <c r="AA237" s="17" t="str">
        <f aca="false">IF((E237="g"),H237," ")</f>
        <v> </v>
      </c>
      <c r="AB237" s="17" t="str">
        <f aca="false">IF((E237="h"),H237," ")</f>
        <v> </v>
      </c>
      <c r="AC237" s="30" t="str">
        <f aca="false">IF((E237="v"),H237," ")</f>
        <v> </v>
      </c>
      <c r="AD237" s="30" t="str">
        <f aca="false">IF((E237="n"),H237," ")</f>
        <v> </v>
      </c>
      <c r="AE237" s="17" t="str">
        <f aca="false">IF((E237="f"),H237," ")</f>
        <v> </v>
      </c>
      <c r="AF237" s="17" t="str">
        <f aca="false">IF((E237="l"),H237," ")</f>
        <v> </v>
      </c>
      <c r="AG237" s="17" t="str">
        <f aca="false">IF((E237="y"),H237," ")</f>
        <v> </v>
      </c>
      <c r="AH237" s="17" t="str">
        <f aca="false">IF((E237="z"),H237," ")</f>
        <v> </v>
      </c>
      <c r="AI237" s="17" t="str">
        <f aca="false">IF((E237="fa"),H237," ")</f>
        <v> </v>
      </c>
      <c r="AJ237" s="17" t="str">
        <f aca="false">IF((E237="e"),H237," ")</f>
        <v> </v>
      </c>
    </row>
    <row r="238" customFormat="false" ht="12" hidden="false" customHeight="false" outlineLevel="0" collapsed="false">
      <c r="A238" s="28"/>
      <c r="E238" s="2" t="str">
        <f aca="false">IF((F238&lt;&gt;0),"Enter Letter"," ")</f>
        <v> </v>
      </c>
      <c r="F238" s="30"/>
      <c r="G238" s="6" t="str">
        <f aca="false">IF(F238&lt;&gt;0,F238*G$2/(100+G$2)," ")</f>
        <v> </v>
      </c>
      <c r="H238" s="6" t="str">
        <f aca="false">IF((F238&lt;&gt;0),F238-G238," ")</f>
        <v> </v>
      </c>
      <c r="I238" s="5"/>
      <c r="L238" s="7" t="str">
        <f aca="false">IF(F238&lt;&gt;0,F238-K238," ")</f>
        <v> </v>
      </c>
      <c r="M238" s="8" t="str">
        <f aca="false">IF((F238-K238)&lt;&gt;0,M$1-A238," ")</f>
        <v> </v>
      </c>
      <c r="N238" s="5"/>
      <c r="O238" s="17" t="str">
        <f aca="false">IF((E238="s"),H238," ")</f>
        <v> </v>
      </c>
      <c r="P238" s="17" t="str">
        <f aca="false">IF((E238="c"),H238," ")</f>
        <v> </v>
      </c>
      <c r="Q238" s="17" t="str">
        <f aca="false">IF((E238="o"),H238," ")</f>
        <v> </v>
      </c>
      <c r="R238" s="17" t="str">
        <f aca="false">IF((E238="d"),H238," ")</f>
        <v> </v>
      </c>
      <c r="S238" s="17" t="str">
        <f aca="false">IF((E238="w"),H238," ")</f>
        <v> </v>
      </c>
      <c r="T238" s="17" t="str">
        <f aca="false">IF((E238="r"),H238," ")</f>
        <v> </v>
      </c>
      <c r="U238" s="17" t="str">
        <f aca="false">IF((E238="p"),H238," ")</f>
        <v> </v>
      </c>
      <c r="V238" s="17" t="str">
        <f aca="false">IF((E238="t"),H238," ")</f>
        <v> </v>
      </c>
      <c r="W238" s="17" t="str">
        <f aca="false">IF((E238="q"),H238," ")</f>
        <v> </v>
      </c>
      <c r="X238" s="17" t="str">
        <f aca="false">IF((E238="m"),H238," ")</f>
        <v> </v>
      </c>
      <c r="Y238" s="17" t="str">
        <f aca="false">IF((E238="u"),H238," ")</f>
        <v> </v>
      </c>
      <c r="Z238" s="17" t="str">
        <f aca="false">IF((E238="a"),H238," ")</f>
        <v> </v>
      </c>
      <c r="AA238" s="17" t="str">
        <f aca="false">IF((E238="g"),H238," ")</f>
        <v> </v>
      </c>
      <c r="AB238" s="17" t="str">
        <f aca="false">IF((E238="h"),H238," ")</f>
        <v> </v>
      </c>
      <c r="AC238" s="30" t="str">
        <f aca="false">IF((E238="v"),H238," ")</f>
        <v> </v>
      </c>
      <c r="AD238" s="30" t="str">
        <f aca="false">IF((E238="n"),H238," ")</f>
        <v> </v>
      </c>
      <c r="AE238" s="17" t="str">
        <f aca="false">IF((E238="f"),H238," ")</f>
        <v> </v>
      </c>
      <c r="AF238" s="17" t="str">
        <f aca="false">IF((E238="l"),H238," ")</f>
        <v> </v>
      </c>
      <c r="AG238" s="17" t="str">
        <f aca="false">IF((E238="y"),H238," ")</f>
        <v> </v>
      </c>
      <c r="AH238" s="17" t="str">
        <f aca="false">IF((E238="z"),H238," ")</f>
        <v> </v>
      </c>
      <c r="AI238" s="17" t="str">
        <f aca="false">IF((E238="fa"),H238," ")</f>
        <v> </v>
      </c>
      <c r="AJ238" s="17" t="str">
        <f aca="false">IF((E238="e"),H238," ")</f>
        <v> </v>
      </c>
    </row>
    <row r="239" customFormat="false" ht="12" hidden="false" customHeight="false" outlineLevel="0" collapsed="false">
      <c r="A239" s="28"/>
      <c r="E239" s="2" t="str">
        <f aca="false">IF((F239&lt;&gt;0),"Enter Letter"," ")</f>
        <v> </v>
      </c>
      <c r="F239" s="30"/>
      <c r="G239" s="6" t="str">
        <f aca="false">IF(F239&lt;&gt;0,F239*G$2/(100+G$2)," ")</f>
        <v> </v>
      </c>
      <c r="H239" s="6" t="str">
        <f aca="false">IF((F239&lt;&gt;0),F239-G239," ")</f>
        <v> </v>
      </c>
      <c r="I239" s="5"/>
      <c r="L239" s="7" t="str">
        <f aca="false">IF(F239&lt;&gt;0,F239-K239," ")</f>
        <v> </v>
      </c>
      <c r="M239" s="8" t="str">
        <f aca="false">IF((F239-K239)&lt;&gt;0,M$1-A239," ")</f>
        <v> </v>
      </c>
      <c r="N239" s="5"/>
      <c r="O239" s="17" t="str">
        <f aca="false">IF((E239="s"),H239," ")</f>
        <v> </v>
      </c>
      <c r="P239" s="17" t="str">
        <f aca="false">IF((E239="c"),H239," ")</f>
        <v> </v>
      </c>
      <c r="Q239" s="17" t="str">
        <f aca="false">IF((E239="o"),H239," ")</f>
        <v> </v>
      </c>
      <c r="R239" s="17" t="str">
        <f aca="false">IF((E239="d"),H239," ")</f>
        <v> </v>
      </c>
      <c r="S239" s="17" t="str">
        <f aca="false">IF((E239="w"),H239," ")</f>
        <v> </v>
      </c>
      <c r="T239" s="17" t="str">
        <f aca="false">IF((E239="r"),H239," ")</f>
        <v> </v>
      </c>
      <c r="U239" s="17" t="str">
        <f aca="false">IF((E239="p"),H239," ")</f>
        <v> </v>
      </c>
      <c r="V239" s="17" t="str">
        <f aca="false">IF((E239="t"),H239," ")</f>
        <v> </v>
      </c>
      <c r="W239" s="17" t="str">
        <f aca="false">IF((E239="q"),H239," ")</f>
        <v> </v>
      </c>
      <c r="X239" s="17" t="str">
        <f aca="false">IF((E239="m"),H239," ")</f>
        <v> </v>
      </c>
      <c r="Y239" s="17" t="str">
        <f aca="false">IF((E239="u"),H239," ")</f>
        <v> </v>
      </c>
      <c r="Z239" s="17" t="str">
        <f aca="false">IF((E239="a"),H239," ")</f>
        <v> </v>
      </c>
      <c r="AA239" s="17" t="str">
        <f aca="false">IF((E239="g"),H239," ")</f>
        <v> </v>
      </c>
      <c r="AB239" s="17" t="str">
        <f aca="false">IF((E239="h"),H239," ")</f>
        <v> </v>
      </c>
      <c r="AC239" s="30" t="str">
        <f aca="false">IF((E239="v"),H239," ")</f>
        <v> </v>
      </c>
      <c r="AD239" s="30" t="str">
        <f aca="false">IF((E239="n"),H239," ")</f>
        <v> </v>
      </c>
      <c r="AE239" s="17" t="str">
        <f aca="false">IF((E239="f"),H239," ")</f>
        <v> </v>
      </c>
      <c r="AF239" s="17" t="str">
        <f aca="false">IF((E239="l"),H239," ")</f>
        <v> </v>
      </c>
      <c r="AG239" s="17" t="str">
        <f aca="false">IF((E239="y"),H239," ")</f>
        <v> </v>
      </c>
      <c r="AH239" s="17" t="str">
        <f aca="false">IF((E239="z"),H239," ")</f>
        <v> </v>
      </c>
      <c r="AI239" s="17" t="str">
        <f aca="false">IF((E239="fa"),H239," ")</f>
        <v> </v>
      </c>
      <c r="AJ239" s="17" t="str">
        <f aca="false">IF((E239="e"),H239," ")</f>
        <v> </v>
      </c>
    </row>
    <row r="240" customFormat="false" ht="12" hidden="false" customHeight="false" outlineLevel="0" collapsed="false">
      <c r="A240" s="28"/>
      <c r="E240" s="2" t="str">
        <f aca="false">IF((F240&lt;&gt;0),"Enter Letter"," ")</f>
        <v> </v>
      </c>
      <c r="F240" s="30"/>
      <c r="G240" s="6" t="str">
        <f aca="false">IF(F240&lt;&gt;0,F240*G$2/(100+G$2)," ")</f>
        <v> </v>
      </c>
      <c r="H240" s="6" t="str">
        <f aca="false">IF((F240&lt;&gt;0),F240-G240," ")</f>
        <v> </v>
      </c>
      <c r="I240" s="5"/>
      <c r="L240" s="7" t="str">
        <f aca="false">IF(F240&lt;&gt;0,F240-K240," ")</f>
        <v> </v>
      </c>
      <c r="M240" s="8" t="str">
        <f aca="false">IF((F240-K240)&lt;&gt;0,M$1-A240," ")</f>
        <v> </v>
      </c>
      <c r="N240" s="5"/>
      <c r="O240" s="17" t="str">
        <f aca="false">IF((E240="s"),H240," ")</f>
        <v> </v>
      </c>
      <c r="P240" s="17" t="str">
        <f aca="false">IF((E240="c"),H240," ")</f>
        <v> </v>
      </c>
      <c r="Q240" s="17" t="str">
        <f aca="false">IF((E240="o"),H240," ")</f>
        <v> </v>
      </c>
      <c r="R240" s="17" t="str">
        <f aca="false">IF((E240="d"),H240," ")</f>
        <v> </v>
      </c>
      <c r="S240" s="17" t="str">
        <f aca="false">IF((E240="w"),H240," ")</f>
        <v> </v>
      </c>
      <c r="T240" s="17" t="str">
        <f aca="false">IF((E240="r"),H240," ")</f>
        <v> </v>
      </c>
      <c r="U240" s="17" t="str">
        <f aca="false">IF((E240="p"),H240," ")</f>
        <v> </v>
      </c>
      <c r="V240" s="17" t="str">
        <f aca="false">IF((E240="t"),H240," ")</f>
        <v> </v>
      </c>
      <c r="W240" s="17" t="str">
        <f aca="false">IF((E240="q"),H240," ")</f>
        <v> </v>
      </c>
      <c r="X240" s="17" t="str">
        <f aca="false">IF((E240="m"),H240," ")</f>
        <v> </v>
      </c>
      <c r="Y240" s="17" t="str">
        <f aca="false">IF((E240="u"),H240," ")</f>
        <v> </v>
      </c>
      <c r="Z240" s="17" t="str">
        <f aca="false">IF((E240="a"),H240," ")</f>
        <v> </v>
      </c>
      <c r="AA240" s="17" t="str">
        <f aca="false">IF((E240="g"),H240," ")</f>
        <v> </v>
      </c>
      <c r="AB240" s="17" t="str">
        <f aca="false">IF((E240="h"),H240," ")</f>
        <v> </v>
      </c>
      <c r="AC240" s="30" t="str">
        <f aca="false">IF((E240="v"),H240," ")</f>
        <v> </v>
      </c>
      <c r="AD240" s="30" t="str">
        <f aca="false">IF((E240="n"),H240," ")</f>
        <v> </v>
      </c>
      <c r="AE240" s="17" t="str">
        <f aca="false">IF((E240="f"),H240," ")</f>
        <v> </v>
      </c>
      <c r="AF240" s="17" t="str">
        <f aca="false">IF((E240="l"),H240," ")</f>
        <v> </v>
      </c>
      <c r="AG240" s="17" t="str">
        <f aca="false">IF((E240="y"),H240," ")</f>
        <v> </v>
      </c>
      <c r="AH240" s="17" t="str">
        <f aca="false">IF((E240="z"),H240," ")</f>
        <v> </v>
      </c>
      <c r="AI240" s="17" t="str">
        <f aca="false">IF((E240="fa"),H240," ")</f>
        <v> </v>
      </c>
      <c r="AJ240" s="17" t="str">
        <f aca="false">IF((E240="e"),H240," ")</f>
        <v> </v>
      </c>
    </row>
    <row r="241" customFormat="false" ht="12" hidden="false" customHeight="false" outlineLevel="0" collapsed="false">
      <c r="A241" s="28"/>
      <c r="E241" s="2" t="str">
        <f aca="false">IF((F241&lt;&gt;0),"Enter Letter"," ")</f>
        <v> </v>
      </c>
      <c r="F241" s="30"/>
      <c r="G241" s="6" t="str">
        <f aca="false">IF(F241&lt;&gt;0,F241*G$2/(100+G$2)," ")</f>
        <v> </v>
      </c>
      <c r="H241" s="6" t="str">
        <f aca="false">IF((F241&lt;&gt;0),F241-G241," ")</f>
        <v> </v>
      </c>
      <c r="I241" s="5"/>
      <c r="L241" s="7" t="str">
        <f aca="false">IF(F241&lt;&gt;0,F241-K241," ")</f>
        <v> </v>
      </c>
      <c r="M241" s="8" t="str">
        <f aca="false">IF((F241-K241)&lt;&gt;0,M$1-A241," ")</f>
        <v> </v>
      </c>
      <c r="N241" s="5"/>
      <c r="O241" s="17" t="str">
        <f aca="false">IF((E241="s"),H241," ")</f>
        <v> </v>
      </c>
      <c r="P241" s="17" t="str">
        <f aca="false">IF((E241="c"),H241," ")</f>
        <v> </v>
      </c>
      <c r="Q241" s="17" t="str">
        <f aca="false">IF((E241="o"),H241," ")</f>
        <v> </v>
      </c>
      <c r="R241" s="17" t="str">
        <f aca="false">IF((E241="d"),H241," ")</f>
        <v> </v>
      </c>
      <c r="S241" s="17" t="str">
        <f aca="false">IF((E241="w"),H241," ")</f>
        <v> </v>
      </c>
      <c r="T241" s="17" t="str">
        <f aca="false">IF((E241="r"),H241," ")</f>
        <v> </v>
      </c>
      <c r="U241" s="17" t="str">
        <f aca="false">IF((E241="p"),H241," ")</f>
        <v> </v>
      </c>
      <c r="V241" s="17" t="str">
        <f aca="false">IF((E241="t"),H241," ")</f>
        <v> </v>
      </c>
      <c r="W241" s="17" t="str">
        <f aca="false">IF((E241="q"),H241," ")</f>
        <v> </v>
      </c>
      <c r="X241" s="17" t="str">
        <f aca="false">IF((E241="m"),H241," ")</f>
        <v> </v>
      </c>
      <c r="Y241" s="17" t="str">
        <f aca="false">IF((E241="u"),H241," ")</f>
        <v> </v>
      </c>
      <c r="Z241" s="17" t="str">
        <f aca="false">IF((E241="a"),H241," ")</f>
        <v> </v>
      </c>
      <c r="AA241" s="17" t="str">
        <f aca="false">IF((E241="g"),H241," ")</f>
        <v> </v>
      </c>
      <c r="AB241" s="17" t="str">
        <f aca="false">IF((E241="h"),H241," ")</f>
        <v> </v>
      </c>
      <c r="AC241" s="30" t="str">
        <f aca="false">IF((E241="v"),H241," ")</f>
        <v> </v>
      </c>
      <c r="AD241" s="30" t="str">
        <f aca="false">IF((E241="n"),H241," ")</f>
        <v> </v>
      </c>
      <c r="AE241" s="17" t="str">
        <f aca="false">IF((E241="f"),H241," ")</f>
        <v> </v>
      </c>
      <c r="AF241" s="17" t="str">
        <f aca="false">IF((E241="l"),H241," ")</f>
        <v> </v>
      </c>
      <c r="AG241" s="17" t="str">
        <f aca="false">IF((E241="y"),H241," ")</f>
        <v> </v>
      </c>
      <c r="AH241" s="17" t="str">
        <f aca="false">IF((E241="z"),H241," ")</f>
        <v> </v>
      </c>
      <c r="AI241" s="17" t="str">
        <f aca="false">IF((E241="fa"),H241," ")</f>
        <v> </v>
      </c>
      <c r="AJ241" s="17" t="str">
        <f aca="false">IF((E241="e"),H241," ")</f>
        <v> </v>
      </c>
    </row>
    <row r="242" customFormat="false" ht="12" hidden="false" customHeight="false" outlineLevel="0" collapsed="false">
      <c r="A242" s="28"/>
      <c r="E242" s="2" t="str">
        <f aca="false">IF((F242&lt;&gt;0),"Enter Letter"," ")</f>
        <v> </v>
      </c>
      <c r="F242" s="30"/>
      <c r="G242" s="6" t="str">
        <f aca="false">IF(F242&lt;&gt;0,F242*G$2/(100+G$2)," ")</f>
        <v> </v>
      </c>
      <c r="H242" s="6" t="str">
        <f aca="false">IF((F242&lt;&gt;0),F242-G242," ")</f>
        <v> </v>
      </c>
      <c r="I242" s="5"/>
      <c r="L242" s="7" t="str">
        <f aca="false">IF(F242&lt;&gt;0,F242-K242," ")</f>
        <v> </v>
      </c>
      <c r="M242" s="8" t="str">
        <f aca="false">IF((F242-K242)&lt;&gt;0,M$1-A242," ")</f>
        <v> </v>
      </c>
      <c r="N242" s="5"/>
      <c r="O242" s="17" t="str">
        <f aca="false">IF((E242="s"),H242," ")</f>
        <v> </v>
      </c>
      <c r="P242" s="17" t="str">
        <f aca="false">IF((E242="c"),H242," ")</f>
        <v> </v>
      </c>
      <c r="Q242" s="17" t="str">
        <f aca="false">IF((E242="o"),H242," ")</f>
        <v> </v>
      </c>
      <c r="R242" s="17" t="str">
        <f aca="false">IF((E242="d"),H242," ")</f>
        <v> </v>
      </c>
      <c r="S242" s="17" t="str">
        <f aca="false">IF((E242="w"),H242," ")</f>
        <v> </v>
      </c>
      <c r="T242" s="17" t="str">
        <f aca="false">IF((E242="r"),H242," ")</f>
        <v> </v>
      </c>
      <c r="U242" s="17" t="str">
        <f aca="false">IF((E242="p"),H242," ")</f>
        <v> </v>
      </c>
      <c r="V242" s="17" t="str">
        <f aca="false">IF((E242="t"),H242," ")</f>
        <v> </v>
      </c>
      <c r="W242" s="17" t="str">
        <f aca="false">IF((E242="q"),H242," ")</f>
        <v> </v>
      </c>
      <c r="X242" s="17" t="str">
        <f aca="false">IF((E242="m"),H242," ")</f>
        <v> </v>
      </c>
      <c r="Y242" s="17" t="str">
        <f aca="false">IF((E242="u"),H242," ")</f>
        <v> </v>
      </c>
      <c r="Z242" s="17" t="str">
        <f aca="false">IF((E242="a"),H242," ")</f>
        <v> </v>
      </c>
      <c r="AA242" s="17" t="str">
        <f aca="false">IF((E242="g"),H242," ")</f>
        <v> </v>
      </c>
      <c r="AB242" s="17" t="str">
        <f aca="false">IF((E242="h"),H242," ")</f>
        <v> </v>
      </c>
      <c r="AC242" s="30" t="str">
        <f aca="false">IF((E242="v"),H242," ")</f>
        <v> </v>
      </c>
      <c r="AD242" s="30" t="str">
        <f aca="false">IF((E242="n"),H242," ")</f>
        <v> </v>
      </c>
      <c r="AE242" s="17" t="str">
        <f aca="false">IF((E242="f"),H242," ")</f>
        <v> </v>
      </c>
      <c r="AF242" s="17" t="str">
        <f aca="false">IF((E242="l"),H242," ")</f>
        <v> </v>
      </c>
      <c r="AG242" s="17" t="str">
        <f aca="false">IF((E242="y"),H242," ")</f>
        <v> </v>
      </c>
      <c r="AH242" s="17" t="str">
        <f aca="false">IF((E242="z"),H242," ")</f>
        <v> </v>
      </c>
      <c r="AI242" s="17" t="str">
        <f aca="false">IF((E242="fa"),H242," ")</f>
        <v> </v>
      </c>
      <c r="AJ242" s="17" t="str">
        <f aca="false">IF((E242="e"),H242," ")</f>
        <v> </v>
      </c>
    </row>
    <row r="243" customFormat="false" ht="12" hidden="false" customHeight="false" outlineLevel="0" collapsed="false">
      <c r="A243" s="28"/>
      <c r="E243" s="2" t="str">
        <f aca="false">IF((F243&lt;&gt;0),"Enter Letter"," ")</f>
        <v> </v>
      </c>
      <c r="F243" s="30"/>
      <c r="G243" s="6" t="str">
        <f aca="false">IF(F243&lt;&gt;0,F243*G$2/(100+G$2)," ")</f>
        <v> </v>
      </c>
      <c r="H243" s="6" t="str">
        <f aca="false">IF((F243&lt;&gt;0),F243-G243," ")</f>
        <v> </v>
      </c>
      <c r="I243" s="5"/>
      <c r="L243" s="7" t="str">
        <f aca="false">IF(F243&lt;&gt;0,F243-K243," ")</f>
        <v> </v>
      </c>
      <c r="M243" s="8" t="str">
        <f aca="false">IF((F243-K243)&lt;&gt;0,M$1-A243," ")</f>
        <v> </v>
      </c>
      <c r="N243" s="5"/>
      <c r="O243" s="17" t="str">
        <f aca="false">IF((E243="s"),H243," ")</f>
        <v> </v>
      </c>
      <c r="P243" s="17" t="str">
        <f aca="false">IF((E243="c"),H243," ")</f>
        <v> </v>
      </c>
      <c r="Q243" s="17" t="str">
        <f aca="false">IF((E243="o"),H243," ")</f>
        <v> </v>
      </c>
      <c r="R243" s="17" t="str">
        <f aca="false">IF((E243="d"),H243," ")</f>
        <v> </v>
      </c>
      <c r="S243" s="17" t="str">
        <f aca="false">IF((E243="w"),H243," ")</f>
        <v> </v>
      </c>
      <c r="T243" s="17" t="str">
        <f aca="false">IF((E243="r"),H243," ")</f>
        <v> </v>
      </c>
      <c r="U243" s="17" t="str">
        <f aca="false">IF((E243="p"),H243," ")</f>
        <v> </v>
      </c>
      <c r="V243" s="17" t="str">
        <f aca="false">IF((E243="t"),H243," ")</f>
        <v> </v>
      </c>
      <c r="W243" s="17" t="str">
        <f aca="false">IF((E243="q"),H243," ")</f>
        <v> </v>
      </c>
      <c r="X243" s="17" t="str">
        <f aca="false">IF((E243="m"),H243," ")</f>
        <v> </v>
      </c>
      <c r="Y243" s="17" t="str">
        <f aca="false">IF((E243="u"),H243," ")</f>
        <v> </v>
      </c>
      <c r="Z243" s="17" t="str">
        <f aca="false">IF((E243="a"),H243," ")</f>
        <v> </v>
      </c>
      <c r="AA243" s="17" t="str">
        <f aca="false">IF((E243="g"),H243," ")</f>
        <v> </v>
      </c>
      <c r="AB243" s="17" t="str">
        <f aca="false">IF((E243="h"),H243," ")</f>
        <v> </v>
      </c>
      <c r="AC243" s="30" t="str">
        <f aca="false">IF((E243="v"),H243," ")</f>
        <v> </v>
      </c>
      <c r="AD243" s="30" t="str">
        <f aca="false">IF((E243="n"),H243," ")</f>
        <v> </v>
      </c>
      <c r="AE243" s="17" t="str">
        <f aca="false">IF((E243="f"),H243," ")</f>
        <v> </v>
      </c>
      <c r="AF243" s="17" t="str">
        <f aca="false">IF((E243="l"),H243," ")</f>
        <v> </v>
      </c>
      <c r="AG243" s="17" t="str">
        <f aca="false">IF((E243="y"),H243," ")</f>
        <v> </v>
      </c>
      <c r="AH243" s="17" t="str">
        <f aca="false">IF((E243="z"),H243," ")</f>
        <v> </v>
      </c>
      <c r="AI243" s="17" t="str">
        <f aca="false">IF((E243="fa"),H243," ")</f>
        <v> </v>
      </c>
      <c r="AJ243" s="17" t="str">
        <f aca="false">IF((E243="e"),H243," ")</f>
        <v> </v>
      </c>
    </row>
    <row r="244" customFormat="false" ht="12" hidden="false" customHeight="false" outlineLevel="0" collapsed="false">
      <c r="A244" s="28"/>
      <c r="E244" s="2" t="str">
        <f aca="false">IF((F244&lt;&gt;0),"Enter Letter"," ")</f>
        <v> </v>
      </c>
      <c r="F244" s="30"/>
      <c r="G244" s="6" t="str">
        <f aca="false">IF(F244&lt;&gt;0,F244*G$2/(100+G$2)," ")</f>
        <v> </v>
      </c>
      <c r="H244" s="6" t="str">
        <f aca="false">IF((F244&lt;&gt;0),F244-G244," ")</f>
        <v> </v>
      </c>
      <c r="I244" s="5"/>
      <c r="L244" s="7" t="str">
        <f aca="false">IF(F244&lt;&gt;0,F244-K244," ")</f>
        <v> </v>
      </c>
      <c r="M244" s="8" t="str">
        <f aca="false">IF((F244-K244)&lt;&gt;0,M$1-A244," ")</f>
        <v> </v>
      </c>
      <c r="N244" s="5"/>
      <c r="O244" s="17" t="str">
        <f aca="false">IF((E244="s"),H244," ")</f>
        <v> </v>
      </c>
      <c r="P244" s="17" t="str">
        <f aca="false">IF((E244="c"),H244," ")</f>
        <v> </v>
      </c>
      <c r="Q244" s="17" t="str">
        <f aca="false">IF((E244="o"),H244," ")</f>
        <v> </v>
      </c>
      <c r="R244" s="17" t="str">
        <f aca="false">IF((E244="d"),H244," ")</f>
        <v> </v>
      </c>
      <c r="S244" s="17" t="str">
        <f aca="false">IF((E244="w"),H244," ")</f>
        <v> </v>
      </c>
      <c r="T244" s="17" t="str">
        <f aca="false">IF((E244="r"),H244," ")</f>
        <v> </v>
      </c>
      <c r="U244" s="17" t="str">
        <f aca="false">IF((E244="p"),H244," ")</f>
        <v> </v>
      </c>
      <c r="V244" s="17" t="str">
        <f aca="false">IF((E244="t"),H244," ")</f>
        <v> </v>
      </c>
      <c r="W244" s="17" t="str">
        <f aca="false">IF((E244="q"),H244," ")</f>
        <v> </v>
      </c>
      <c r="X244" s="17" t="str">
        <f aca="false">IF((E244="m"),H244," ")</f>
        <v> </v>
      </c>
      <c r="Y244" s="17" t="str">
        <f aca="false">IF((E244="u"),H244," ")</f>
        <v> </v>
      </c>
      <c r="Z244" s="17" t="str">
        <f aca="false">IF((E244="a"),H244," ")</f>
        <v> </v>
      </c>
      <c r="AA244" s="17" t="str">
        <f aca="false">IF((E244="g"),H244," ")</f>
        <v> </v>
      </c>
      <c r="AB244" s="17" t="str">
        <f aca="false">IF((E244="h"),H244," ")</f>
        <v> </v>
      </c>
      <c r="AC244" s="30" t="str">
        <f aca="false">IF((E244="v"),H244," ")</f>
        <v> </v>
      </c>
      <c r="AD244" s="30" t="str">
        <f aca="false">IF((E244="n"),H244," ")</f>
        <v> </v>
      </c>
      <c r="AE244" s="17" t="str">
        <f aca="false">IF((E244="f"),H244," ")</f>
        <v> </v>
      </c>
      <c r="AF244" s="17" t="str">
        <f aca="false">IF((E244="l"),H244," ")</f>
        <v> </v>
      </c>
      <c r="AG244" s="17" t="str">
        <f aca="false">IF((E244="y"),H244," ")</f>
        <v> </v>
      </c>
      <c r="AH244" s="17" t="str">
        <f aca="false">IF((E244="z"),H244," ")</f>
        <v> </v>
      </c>
      <c r="AI244" s="17" t="str">
        <f aca="false">IF((E244="fa"),H244," ")</f>
        <v> </v>
      </c>
      <c r="AJ244" s="17" t="str">
        <f aca="false">IF((E244="e"),H244," ")</f>
        <v> </v>
      </c>
    </row>
    <row r="245" customFormat="false" ht="12" hidden="false" customHeight="false" outlineLevel="0" collapsed="false">
      <c r="A245" s="28"/>
      <c r="E245" s="2" t="str">
        <f aca="false">IF((F245&lt;&gt;0),"Enter Letter"," ")</f>
        <v> </v>
      </c>
      <c r="F245" s="30"/>
      <c r="G245" s="6" t="str">
        <f aca="false">IF(F245&lt;&gt;0,F245*G$2/(100+G$2)," ")</f>
        <v> </v>
      </c>
      <c r="H245" s="6" t="str">
        <f aca="false">IF((F245&lt;&gt;0),F245-G245," ")</f>
        <v> </v>
      </c>
      <c r="I245" s="5"/>
      <c r="L245" s="7" t="str">
        <f aca="false">IF(F245&lt;&gt;0,F245-K245," ")</f>
        <v> </v>
      </c>
      <c r="M245" s="8" t="str">
        <f aca="false">IF((F245-K245)&lt;&gt;0,M$1-A245," ")</f>
        <v> </v>
      </c>
      <c r="N245" s="5"/>
      <c r="O245" s="17" t="str">
        <f aca="false">IF((E245="s"),H245," ")</f>
        <v> </v>
      </c>
      <c r="P245" s="17" t="str">
        <f aca="false">IF((E245="c"),H245," ")</f>
        <v> </v>
      </c>
      <c r="Q245" s="17" t="str">
        <f aca="false">IF((E245="o"),H245," ")</f>
        <v> </v>
      </c>
      <c r="R245" s="17" t="str">
        <f aca="false">IF((E245="d"),H245," ")</f>
        <v> </v>
      </c>
      <c r="S245" s="17" t="str">
        <f aca="false">IF((E245="w"),H245," ")</f>
        <v> </v>
      </c>
      <c r="T245" s="17" t="str">
        <f aca="false">IF((E245="r"),H245," ")</f>
        <v> </v>
      </c>
      <c r="U245" s="17" t="str">
        <f aca="false">IF((E245="p"),H245," ")</f>
        <v> </v>
      </c>
      <c r="V245" s="17" t="str">
        <f aca="false">IF((E245="t"),H245," ")</f>
        <v> </v>
      </c>
      <c r="W245" s="17" t="str">
        <f aca="false">IF((E245="q"),H245," ")</f>
        <v> </v>
      </c>
      <c r="X245" s="17" t="str">
        <f aca="false">IF((E245="m"),H245," ")</f>
        <v> </v>
      </c>
      <c r="Y245" s="17" t="str">
        <f aca="false">IF((E245="u"),H245," ")</f>
        <v> </v>
      </c>
      <c r="Z245" s="17" t="str">
        <f aca="false">IF((E245="a"),H245," ")</f>
        <v> </v>
      </c>
      <c r="AA245" s="17" t="str">
        <f aca="false">IF((E245="g"),H245," ")</f>
        <v> </v>
      </c>
      <c r="AB245" s="17" t="str">
        <f aca="false">IF((E245="h"),H245," ")</f>
        <v> </v>
      </c>
      <c r="AC245" s="30" t="str">
        <f aca="false">IF((E245="v"),H245," ")</f>
        <v> </v>
      </c>
      <c r="AD245" s="30" t="str">
        <f aca="false">IF((E245="n"),H245," ")</f>
        <v> </v>
      </c>
      <c r="AE245" s="17" t="str">
        <f aca="false">IF((E245="f"),H245," ")</f>
        <v> </v>
      </c>
      <c r="AF245" s="17" t="str">
        <f aca="false">IF((E245="l"),H245," ")</f>
        <v> </v>
      </c>
      <c r="AG245" s="17" t="str">
        <f aca="false">IF((E245="y"),H245," ")</f>
        <v> </v>
      </c>
      <c r="AH245" s="17" t="str">
        <f aca="false">IF((E245="z"),H245," ")</f>
        <v> </v>
      </c>
      <c r="AI245" s="17" t="str">
        <f aca="false">IF((E245="fa"),H245," ")</f>
        <v> </v>
      </c>
      <c r="AJ245" s="17" t="str">
        <f aca="false">IF((E245="e"),H245," ")</f>
        <v> </v>
      </c>
    </row>
    <row r="246" customFormat="false" ht="12" hidden="false" customHeight="false" outlineLevel="0" collapsed="false">
      <c r="A246" s="28"/>
      <c r="E246" s="2" t="str">
        <f aca="false">IF((F246&lt;&gt;0),"Enter Letter"," ")</f>
        <v> </v>
      </c>
      <c r="F246" s="30"/>
      <c r="G246" s="6" t="str">
        <f aca="false">IF(F246&lt;&gt;0,F246*G$2/(100+G$2)," ")</f>
        <v> </v>
      </c>
      <c r="H246" s="6" t="str">
        <f aca="false">IF((F246&lt;&gt;0),F246-G246," ")</f>
        <v> </v>
      </c>
      <c r="I246" s="5"/>
      <c r="L246" s="7" t="str">
        <f aca="false">IF(F246&lt;&gt;0,F246-K246," ")</f>
        <v> </v>
      </c>
      <c r="M246" s="8" t="str">
        <f aca="false">IF((F246-K246)&lt;&gt;0,M$1-A246," ")</f>
        <v> </v>
      </c>
      <c r="N246" s="5"/>
      <c r="O246" s="17" t="str">
        <f aca="false">IF((E246="s"),H246," ")</f>
        <v> </v>
      </c>
      <c r="P246" s="17" t="str">
        <f aca="false">IF((E246="c"),H246," ")</f>
        <v> </v>
      </c>
      <c r="Q246" s="17" t="str">
        <f aca="false">IF((E246="o"),H246," ")</f>
        <v> </v>
      </c>
      <c r="R246" s="17" t="str">
        <f aca="false">IF((E246="d"),H246," ")</f>
        <v> </v>
      </c>
      <c r="S246" s="17" t="str">
        <f aca="false">IF((E246="w"),H246," ")</f>
        <v> </v>
      </c>
      <c r="T246" s="17" t="str">
        <f aca="false">IF((E246="r"),H246," ")</f>
        <v> </v>
      </c>
      <c r="U246" s="17" t="str">
        <f aca="false">IF((E246="p"),H246," ")</f>
        <v> </v>
      </c>
      <c r="V246" s="17" t="str">
        <f aca="false">IF((E246="t"),H246," ")</f>
        <v> </v>
      </c>
      <c r="W246" s="17" t="str">
        <f aca="false">IF((E246="q"),H246," ")</f>
        <v> </v>
      </c>
      <c r="X246" s="17" t="str">
        <f aca="false">IF((E246="m"),H246," ")</f>
        <v> </v>
      </c>
      <c r="Y246" s="17" t="str">
        <f aca="false">IF((E246="u"),H246," ")</f>
        <v> </v>
      </c>
      <c r="Z246" s="17" t="str">
        <f aca="false">IF((E246="a"),H246," ")</f>
        <v> </v>
      </c>
      <c r="AA246" s="17" t="str">
        <f aca="false">IF((E246="g"),H246," ")</f>
        <v> </v>
      </c>
      <c r="AB246" s="17" t="str">
        <f aca="false">IF((E246="h"),H246," ")</f>
        <v> </v>
      </c>
      <c r="AC246" s="30" t="str">
        <f aca="false">IF((E246="v"),H246," ")</f>
        <v> </v>
      </c>
      <c r="AD246" s="30" t="str">
        <f aca="false">IF((E246="n"),H246," ")</f>
        <v> </v>
      </c>
      <c r="AE246" s="17" t="str">
        <f aca="false">IF((E246="f"),H246," ")</f>
        <v> </v>
      </c>
      <c r="AF246" s="17" t="str">
        <f aca="false">IF((E246="l"),H246," ")</f>
        <v> </v>
      </c>
      <c r="AG246" s="17" t="str">
        <f aca="false">IF((E246="y"),H246," ")</f>
        <v> </v>
      </c>
      <c r="AH246" s="17" t="str">
        <f aca="false">IF((E246="z"),H246," ")</f>
        <v> </v>
      </c>
      <c r="AI246" s="17" t="str">
        <f aca="false">IF((E246="fa"),H246," ")</f>
        <v> </v>
      </c>
      <c r="AJ246" s="17" t="str">
        <f aca="false">IF((E246="e"),H246," ")</f>
        <v> </v>
      </c>
    </row>
    <row r="247" customFormat="false" ht="12" hidden="false" customHeight="false" outlineLevel="0" collapsed="false">
      <c r="A247" s="28"/>
      <c r="E247" s="2" t="str">
        <f aca="false">IF((F247&lt;&gt;0),"Enter Letter"," ")</f>
        <v> </v>
      </c>
      <c r="F247" s="30"/>
      <c r="G247" s="6" t="str">
        <f aca="false">IF(F247&lt;&gt;0,F247*G$2/(100+G$2)," ")</f>
        <v> </v>
      </c>
      <c r="H247" s="6" t="str">
        <f aca="false">IF((F247&lt;&gt;0),F247-G247," ")</f>
        <v> </v>
      </c>
      <c r="I247" s="5"/>
      <c r="L247" s="7" t="str">
        <f aca="false">IF(F247&lt;&gt;0,F247-K247," ")</f>
        <v> </v>
      </c>
      <c r="M247" s="8" t="str">
        <f aca="false">IF((F247-K247)&lt;&gt;0,M$1-A247," ")</f>
        <v> </v>
      </c>
      <c r="N247" s="5"/>
      <c r="O247" s="17" t="str">
        <f aca="false">IF((E247="s"),H247," ")</f>
        <v> </v>
      </c>
      <c r="P247" s="17" t="str">
        <f aca="false">IF((E247="c"),H247," ")</f>
        <v> </v>
      </c>
      <c r="Q247" s="17" t="str">
        <f aca="false">IF((E247="o"),H247," ")</f>
        <v> </v>
      </c>
      <c r="R247" s="17" t="str">
        <f aca="false">IF((E247="d"),H247," ")</f>
        <v> </v>
      </c>
      <c r="S247" s="17" t="str">
        <f aca="false">IF((E247="w"),H247," ")</f>
        <v> </v>
      </c>
      <c r="T247" s="17" t="str">
        <f aca="false">IF((E247="r"),H247," ")</f>
        <v> </v>
      </c>
      <c r="U247" s="17" t="str">
        <f aca="false">IF((E247="p"),H247," ")</f>
        <v> </v>
      </c>
      <c r="V247" s="17" t="str">
        <f aca="false">IF((E247="t"),H247," ")</f>
        <v> </v>
      </c>
      <c r="W247" s="17" t="str">
        <f aca="false">IF((E247="q"),H247," ")</f>
        <v> </v>
      </c>
      <c r="X247" s="17" t="str">
        <f aca="false">IF((E247="m"),H247," ")</f>
        <v> </v>
      </c>
      <c r="Y247" s="17" t="str">
        <f aca="false">IF((E247="u"),H247," ")</f>
        <v> </v>
      </c>
      <c r="Z247" s="17" t="str">
        <f aca="false">IF((E247="a"),H247," ")</f>
        <v> </v>
      </c>
      <c r="AA247" s="17" t="str">
        <f aca="false">IF((E247="g"),H247," ")</f>
        <v> </v>
      </c>
      <c r="AB247" s="17" t="str">
        <f aca="false">IF((E247="h"),H247," ")</f>
        <v> </v>
      </c>
      <c r="AC247" s="30" t="str">
        <f aca="false">IF((E247="v"),H247," ")</f>
        <v> </v>
      </c>
      <c r="AD247" s="30" t="str">
        <f aca="false">IF((E247="n"),H247," ")</f>
        <v> </v>
      </c>
      <c r="AE247" s="17" t="str">
        <f aca="false">IF((E247="f"),H247," ")</f>
        <v> </v>
      </c>
      <c r="AF247" s="17" t="str">
        <f aca="false">IF((E247="l"),H247," ")</f>
        <v> </v>
      </c>
      <c r="AG247" s="17" t="str">
        <f aca="false">IF((E247="y"),H247," ")</f>
        <v> </v>
      </c>
      <c r="AH247" s="17" t="str">
        <f aca="false">IF((E247="z"),H247," ")</f>
        <v> </v>
      </c>
      <c r="AI247" s="17" t="str">
        <f aca="false">IF((E247="fa"),H247," ")</f>
        <v> </v>
      </c>
      <c r="AJ247" s="17" t="str">
        <f aca="false">IF((E247="e"),H247," ")</f>
        <v> </v>
      </c>
    </row>
    <row r="248" customFormat="false" ht="12" hidden="false" customHeight="false" outlineLevel="0" collapsed="false">
      <c r="A248" s="28"/>
      <c r="E248" s="2" t="str">
        <f aca="false">IF((F248&lt;&gt;0),"Enter Letter"," ")</f>
        <v> </v>
      </c>
      <c r="F248" s="30"/>
      <c r="G248" s="6" t="str">
        <f aca="false">IF(F248&lt;&gt;0,F248*G$2/(100+G$2)," ")</f>
        <v> </v>
      </c>
      <c r="H248" s="6" t="str">
        <f aca="false">IF((F248&lt;&gt;0),F248-G248," ")</f>
        <v> </v>
      </c>
      <c r="I248" s="5"/>
      <c r="L248" s="7" t="str">
        <f aca="false">IF(F248&lt;&gt;0,F248-K248," ")</f>
        <v> </v>
      </c>
      <c r="M248" s="8" t="str">
        <f aca="false">IF((F248-K248)&lt;&gt;0,M$1-A248," ")</f>
        <v> </v>
      </c>
      <c r="N248" s="5"/>
      <c r="O248" s="17" t="str">
        <f aca="false">IF((E248="s"),H248," ")</f>
        <v> </v>
      </c>
      <c r="P248" s="17" t="str">
        <f aca="false">IF((E248="c"),H248," ")</f>
        <v> </v>
      </c>
      <c r="Q248" s="17" t="str">
        <f aca="false">IF((E248="o"),H248," ")</f>
        <v> </v>
      </c>
      <c r="R248" s="17" t="str">
        <f aca="false">IF((E248="d"),H248," ")</f>
        <v> </v>
      </c>
      <c r="S248" s="17" t="str">
        <f aca="false">IF((E248="w"),H248," ")</f>
        <v> </v>
      </c>
      <c r="T248" s="17" t="str">
        <f aca="false">IF((E248="r"),H248," ")</f>
        <v> </v>
      </c>
      <c r="U248" s="17" t="str">
        <f aca="false">IF((E248="p"),H248," ")</f>
        <v> </v>
      </c>
      <c r="V248" s="17" t="str">
        <f aca="false">IF((E248="t"),H248," ")</f>
        <v> </v>
      </c>
      <c r="W248" s="17" t="str">
        <f aca="false">IF((E248="q"),H248," ")</f>
        <v> </v>
      </c>
      <c r="X248" s="17" t="str">
        <f aca="false">IF((E248="m"),H248," ")</f>
        <v> </v>
      </c>
      <c r="Y248" s="17" t="str">
        <f aca="false">IF((E248="u"),H248," ")</f>
        <v> </v>
      </c>
      <c r="Z248" s="17" t="str">
        <f aca="false">IF((E248="a"),H248," ")</f>
        <v> </v>
      </c>
      <c r="AA248" s="17" t="str">
        <f aca="false">IF((E248="g"),H248," ")</f>
        <v> </v>
      </c>
      <c r="AB248" s="17" t="str">
        <f aca="false">IF((E248="h"),H248," ")</f>
        <v> </v>
      </c>
      <c r="AC248" s="30" t="str">
        <f aca="false">IF((E248="v"),H248," ")</f>
        <v> </v>
      </c>
      <c r="AD248" s="30" t="str">
        <f aca="false">IF((E248="n"),H248," ")</f>
        <v> </v>
      </c>
      <c r="AE248" s="17" t="str">
        <f aca="false">IF((E248="f"),H248," ")</f>
        <v> </v>
      </c>
      <c r="AF248" s="17" t="str">
        <f aca="false">IF((E248="l"),H248," ")</f>
        <v> </v>
      </c>
      <c r="AG248" s="17" t="str">
        <f aca="false">IF((E248="y"),H248," ")</f>
        <v> </v>
      </c>
      <c r="AH248" s="17" t="str">
        <f aca="false">IF((E248="z"),H248," ")</f>
        <v> </v>
      </c>
      <c r="AI248" s="17" t="str">
        <f aca="false">IF((E248="fa"),H248," ")</f>
        <v> </v>
      </c>
      <c r="AJ248" s="17" t="str">
        <f aca="false">IF((E248="e"),H248," ")</f>
        <v> </v>
      </c>
    </row>
    <row r="249" customFormat="false" ht="12" hidden="false" customHeight="false" outlineLevel="0" collapsed="false">
      <c r="A249" s="28"/>
      <c r="E249" s="2" t="str">
        <f aca="false">IF((F249&lt;&gt;0),"Enter Letter"," ")</f>
        <v> </v>
      </c>
      <c r="F249" s="30"/>
      <c r="G249" s="6" t="str">
        <f aca="false">IF(F249&lt;&gt;0,F249*G$2/(100+G$2)," ")</f>
        <v> </v>
      </c>
      <c r="H249" s="6" t="str">
        <f aca="false">IF((F249&lt;&gt;0),F249-G249," ")</f>
        <v> </v>
      </c>
      <c r="I249" s="5"/>
      <c r="L249" s="7" t="str">
        <f aca="false">IF(F249&lt;&gt;0,F249-K249," ")</f>
        <v> </v>
      </c>
      <c r="M249" s="8" t="str">
        <f aca="false">IF((F249-K249)&lt;&gt;0,M$1-A249," ")</f>
        <v> </v>
      </c>
      <c r="N249" s="5"/>
      <c r="O249" s="17" t="str">
        <f aca="false">IF((E249="s"),H249," ")</f>
        <v> </v>
      </c>
      <c r="P249" s="17" t="str">
        <f aca="false">IF((E249="c"),H249," ")</f>
        <v> </v>
      </c>
      <c r="Q249" s="17" t="str">
        <f aca="false">IF((E249="o"),H249," ")</f>
        <v> </v>
      </c>
      <c r="R249" s="17" t="str">
        <f aca="false">IF((E249="d"),H249," ")</f>
        <v> </v>
      </c>
      <c r="S249" s="17" t="str">
        <f aca="false">IF((E249="w"),H249," ")</f>
        <v> </v>
      </c>
      <c r="T249" s="17" t="str">
        <f aca="false">IF((E249="r"),H249," ")</f>
        <v> </v>
      </c>
      <c r="U249" s="17" t="str">
        <f aca="false">IF((E249="p"),H249," ")</f>
        <v> </v>
      </c>
      <c r="V249" s="17" t="str">
        <f aca="false">IF((E249="t"),H249," ")</f>
        <v> </v>
      </c>
      <c r="W249" s="17" t="str">
        <f aca="false">IF((E249="q"),H249," ")</f>
        <v> </v>
      </c>
      <c r="X249" s="17" t="str">
        <f aca="false">IF((E249="m"),H249," ")</f>
        <v> </v>
      </c>
      <c r="Y249" s="17" t="str">
        <f aca="false">IF((E249="u"),H249," ")</f>
        <v> </v>
      </c>
      <c r="Z249" s="17" t="str">
        <f aca="false">IF((E249="a"),H249," ")</f>
        <v> </v>
      </c>
      <c r="AA249" s="17" t="str">
        <f aca="false">IF((E249="g"),H249," ")</f>
        <v> </v>
      </c>
      <c r="AB249" s="17" t="str">
        <f aca="false">IF((E249="h"),H249," ")</f>
        <v> </v>
      </c>
      <c r="AC249" s="30" t="str">
        <f aca="false">IF((E249="v"),H249," ")</f>
        <v> </v>
      </c>
      <c r="AD249" s="30" t="str">
        <f aca="false">IF((E249="n"),H249," ")</f>
        <v> </v>
      </c>
      <c r="AE249" s="17" t="str">
        <f aca="false">IF((E249="f"),H249," ")</f>
        <v> </v>
      </c>
      <c r="AF249" s="17" t="str">
        <f aca="false">IF((E249="l"),H249," ")</f>
        <v> </v>
      </c>
      <c r="AG249" s="17" t="str">
        <f aca="false">IF((E249="y"),H249," ")</f>
        <v> </v>
      </c>
      <c r="AH249" s="17" t="str">
        <f aca="false">IF((E249="z"),H249," ")</f>
        <v> </v>
      </c>
      <c r="AI249" s="17" t="str">
        <f aca="false">IF((E249="fa"),H249," ")</f>
        <v> </v>
      </c>
      <c r="AJ249" s="17" t="str">
        <f aca="false">IF((E249="e"),H249," ")</f>
        <v> </v>
      </c>
    </row>
    <row r="250" customFormat="false" ht="12" hidden="false" customHeight="false" outlineLevel="0" collapsed="false">
      <c r="A250" s="28"/>
      <c r="E250" s="2" t="str">
        <f aca="false">IF((F250&lt;&gt;0),"Enter Letter"," ")</f>
        <v> </v>
      </c>
      <c r="F250" s="30"/>
      <c r="G250" s="6" t="str">
        <f aca="false">IF(F250&lt;&gt;0,F250*G$2/(100+G$2)," ")</f>
        <v> </v>
      </c>
      <c r="H250" s="6" t="str">
        <f aca="false">IF((F250&lt;&gt;0),F250-G250," ")</f>
        <v> </v>
      </c>
      <c r="I250" s="5"/>
      <c r="L250" s="7" t="str">
        <f aca="false">IF(F250&lt;&gt;0,F250-K250," ")</f>
        <v> </v>
      </c>
      <c r="M250" s="8" t="str">
        <f aca="false">IF((F250-K250)&lt;&gt;0,M$1-A250," ")</f>
        <v> </v>
      </c>
      <c r="N250" s="5"/>
      <c r="O250" s="17" t="str">
        <f aca="false">IF((E250="s"),H250," ")</f>
        <v> </v>
      </c>
      <c r="P250" s="17" t="str">
        <f aca="false">IF((E250="c"),H250," ")</f>
        <v> </v>
      </c>
      <c r="Q250" s="17" t="str">
        <f aca="false">IF((E250="o"),H250," ")</f>
        <v> </v>
      </c>
      <c r="R250" s="17" t="str">
        <f aca="false">IF((E250="d"),H250," ")</f>
        <v> </v>
      </c>
      <c r="S250" s="17" t="str">
        <f aca="false">IF((E250="w"),H250," ")</f>
        <v> </v>
      </c>
      <c r="T250" s="17" t="str">
        <f aca="false">IF((E250="r"),H250," ")</f>
        <v> </v>
      </c>
      <c r="U250" s="17" t="str">
        <f aca="false">IF((E250="p"),H250," ")</f>
        <v> </v>
      </c>
      <c r="V250" s="17" t="str">
        <f aca="false">IF((E250="t"),H250," ")</f>
        <v> </v>
      </c>
      <c r="W250" s="17" t="str">
        <f aca="false">IF((E250="q"),H250," ")</f>
        <v> </v>
      </c>
      <c r="X250" s="17" t="str">
        <f aca="false">IF((E250="m"),H250," ")</f>
        <v> </v>
      </c>
      <c r="Y250" s="17" t="str">
        <f aca="false">IF((E250="u"),H250," ")</f>
        <v> </v>
      </c>
      <c r="Z250" s="17" t="str">
        <f aca="false">IF((E250="a"),H250," ")</f>
        <v> </v>
      </c>
      <c r="AA250" s="17" t="str">
        <f aca="false">IF((E250="g"),H250," ")</f>
        <v> </v>
      </c>
      <c r="AB250" s="17" t="str">
        <f aca="false">IF((E250="h"),H250," ")</f>
        <v> </v>
      </c>
      <c r="AC250" s="30" t="str">
        <f aca="false">IF((E250="v"),H250," ")</f>
        <v> </v>
      </c>
      <c r="AD250" s="30" t="str">
        <f aca="false">IF((E250="n"),H250," ")</f>
        <v> </v>
      </c>
      <c r="AE250" s="17" t="str">
        <f aca="false">IF((E250="f"),H250," ")</f>
        <v> </v>
      </c>
      <c r="AF250" s="17" t="str">
        <f aca="false">IF((E250="l"),H250," ")</f>
        <v> </v>
      </c>
      <c r="AG250" s="17" t="str">
        <f aca="false">IF((E250="y"),H250," ")</f>
        <v> </v>
      </c>
      <c r="AH250" s="17" t="str">
        <f aca="false">IF((E250="z"),H250," ")</f>
        <v> </v>
      </c>
      <c r="AI250" s="17" t="str">
        <f aca="false">IF((E250="fa"),H250," ")</f>
        <v> </v>
      </c>
      <c r="AJ250" s="17" t="str">
        <f aca="false">IF((E250="e"),H250," ")</f>
        <v> </v>
      </c>
    </row>
    <row r="251" customFormat="false" ht="12" hidden="false" customHeight="false" outlineLevel="0" collapsed="false">
      <c r="A251" s="28"/>
      <c r="E251" s="2" t="str">
        <f aca="false">IF((F251&lt;&gt;0),"Enter Letter"," ")</f>
        <v> </v>
      </c>
      <c r="F251" s="30"/>
      <c r="G251" s="6" t="str">
        <f aca="false">IF(F251&lt;&gt;0,F251*G$2/(100+G$2)," ")</f>
        <v> </v>
      </c>
      <c r="H251" s="6" t="str">
        <f aca="false">IF((F251&lt;&gt;0),F251-G251," ")</f>
        <v> </v>
      </c>
      <c r="I251" s="5"/>
      <c r="L251" s="7" t="str">
        <f aca="false">IF(F251&lt;&gt;0,F251-K251," ")</f>
        <v> </v>
      </c>
      <c r="M251" s="8" t="str">
        <f aca="false">IF((F251-K251)&lt;&gt;0,M$1-A251," ")</f>
        <v> </v>
      </c>
      <c r="N251" s="5"/>
      <c r="O251" s="17" t="str">
        <f aca="false">IF((E251="s"),H251," ")</f>
        <v> </v>
      </c>
      <c r="P251" s="17" t="str">
        <f aca="false">IF((E251="c"),H251," ")</f>
        <v> </v>
      </c>
      <c r="Q251" s="17" t="str">
        <f aca="false">IF((E251="o"),H251," ")</f>
        <v> </v>
      </c>
      <c r="R251" s="17" t="str">
        <f aca="false">IF((E251="d"),H251," ")</f>
        <v> </v>
      </c>
      <c r="S251" s="17" t="str">
        <f aca="false">IF((E251="w"),H251," ")</f>
        <v> </v>
      </c>
      <c r="T251" s="17" t="str">
        <f aca="false">IF((E251="r"),H251," ")</f>
        <v> </v>
      </c>
      <c r="U251" s="17" t="str">
        <f aca="false">IF((E251="p"),H251," ")</f>
        <v> </v>
      </c>
      <c r="V251" s="17" t="str">
        <f aca="false">IF((E251="t"),H251," ")</f>
        <v> </v>
      </c>
      <c r="W251" s="17" t="str">
        <f aca="false">IF((E251="q"),H251," ")</f>
        <v> </v>
      </c>
      <c r="X251" s="17" t="str">
        <f aca="false">IF((E251="m"),H251," ")</f>
        <v> </v>
      </c>
      <c r="Y251" s="17" t="str">
        <f aca="false">IF((E251="u"),H251," ")</f>
        <v> </v>
      </c>
      <c r="Z251" s="17" t="str">
        <f aca="false">IF((E251="a"),H251," ")</f>
        <v> </v>
      </c>
      <c r="AA251" s="17" t="str">
        <f aca="false">IF((E251="g"),H251," ")</f>
        <v> </v>
      </c>
      <c r="AB251" s="17" t="str">
        <f aca="false">IF((E251="h"),H251," ")</f>
        <v> </v>
      </c>
      <c r="AC251" s="30" t="str">
        <f aca="false">IF((E251="v"),H251," ")</f>
        <v> </v>
      </c>
      <c r="AD251" s="30" t="str">
        <f aca="false">IF((E251="n"),H251," ")</f>
        <v> </v>
      </c>
      <c r="AE251" s="17" t="str">
        <f aca="false">IF((E251="f"),H251," ")</f>
        <v> </v>
      </c>
      <c r="AF251" s="17" t="str">
        <f aca="false">IF((E251="l"),H251," ")</f>
        <v> </v>
      </c>
      <c r="AG251" s="17" t="str">
        <f aca="false">IF((E251="y"),H251," ")</f>
        <v> </v>
      </c>
      <c r="AH251" s="17" t="str">
        <f aca="false">IF((E251="z"),H251," ")</f>
        <v> </v>
      </c>
      <c r="AI251" s="17" t="str">
        <f aca="false">IF((E251="fa"),H251," ")</f>
        <v> </v>
      </c>
      <c r="AJ251" s="17" t="str">
        <f aca="false">IF((E251="e"),H251," ")</f>
        <v> </v>
      </c>
    </row>
    <row r="252" customFormat="false" ht="12" hidden="false" customHeight="false" outlineLevel="0" collapsed="false">
      <c r="A252" s="28"/>
      <c r="E252" s="2" t="str">
        <f aca="false">IF((F252&lt;&gt;0),"Enter Letter"," ")</f>
        <v> </v>
      </c>
      <c r="F252" s="30"/>
      <c r="G252" s="6" t="str">
        <f aca="false">IF(F252&lt;&gt;0,F252*G$2/(100+G$2)," ")</f>
        <v> </v>
      </c>
      <c r="H252" s="6" t="str">
        <f aca="false">IF((F252&lt;&gt;0),F252-G252," ")</f>
        <v> </v>
      </c>
      <c r="I252" s="5"/>
      <c r="L252" s="7" t="str">
        <f aca="false">IF(F252&lt;&gt;0,F252-K252," ")</f>
        <v> </v>
      </c>
      <c r="M252" s="8" t="str">
        <f aca="false">IF((F252-K252)&lt;&gt;0,M$1-A252," ")</f>
        <v> </v>
      </c>
      <c r="N252" s="5"/>
      <c r="O252" s="17" t="str">
        <f aca="false">IF((E252="s"),H252," ")</f>
        <v> </v>
      </c>
      <c r="P252" s="17" t="str">
        <f aca="false">IF((E252="c"),H252," ")</f>
        <v> </v>
      </c>
      <c r="Q252" s="17" t="str">
        <f aca="false">IF((E252="o"),H252," ")</f>
        <v> </v>
      </c>
      <c r="R252" s="17" t="str">
        <f aca="false">IF((E252="d"),H252," ")</f>
        <v> </v>
      </c>
      <c r="S252" s="17" t="str">
        <f aca="false">IF((E252="w"),H252," ")</f>
        <v> </v>
      </c>
      <c r="T252" s="17" t="str">
        <f aca="false">IF((E252="r"),H252," ")</f>
        <v> </v>
      </c>
      <c r="U252" s="17" t="str">
        <f aca="false">IF((E252="p"),H252," ")</f>
        <v> </v>
      </c>
      <c r="V252" s="17" t="str">
        <f aca="false">IF((E252="t"),H252," ")</f>
        <v> </v>
      </c>
      <c r="W252" s="17" t="str">
        <f aca="false">IF((E252="q"),H252," ")</f>
        <v> </v>
      </c>
      <c r="X252" s="17" t="str">
        <f aca="false">IF((E252="m"),H252," ")</f>
        <v> </v>
      </c>
      <c r="Y252" s="17" t="str">
        <f aca="false">IF((E252="u"),H252," ")</f>
        <v> </v>
      </c>
      <c r="Z252" s="17" t="str">
        <f aca="false">IF((E252="a"),H252," ")</f>
        <v> </v>
      </c>
      <c r="AA252" s="17" t="str">
        <f aca="false">IF((E252="g"),H252," ")</f>
        <v> </v>
      </c>
      <c r="AB252" s="17" t="str">
        <f aca="false">IF((E252="h"),H252," ")</f>
        <v> </v>
      </c>
      <c r="AC252" s="30" t="str">
        <f aca="false">IF((E252="v"),H252," ")</f>
        <v> </v>
      </c>
      <c r="AD252" s="30" t="str">
        <f aca="false">IF((E252="n"),H252," ")</f>
        <v> </v>
      </c>
      <c r="AE252" s="17" t="str">
        <f aca="false">IF((E252="f"),H252," ")</f>
        <v> </v>
      </c>
      <c r="AF252" s="17" t="str">
        <f aca="false">IF((E252="l"),H252," ")</f>
        <v> </v>
      </c>
      <c r="AG252" s="17" t="str">
        <f aca="false">IF((E252="y"),H252," ")</f>
        <v> </v>
      </c>
      <c r="AH252" s="17" t="str">
        <f aca="false">IF((E252="z"),H252," ")</f>
        <v> </v>
      </c>
      <c r="AI252" s="17" t="str">
        <f aca="false">IF((E252="fa"),H252," ")</f>
        <v> </v>
      </c>
      <c r="AJ252" s="17" t="str">
        <f aca="false">IF((E252="e"),H252," ")</f>
        <v> </v>
      </c>
    </row>
    <row r="253" customFormat="false" ht="12" hidden="false" customHeight="false" outlineLevel="0" collapsed="false">
      <c r="A253" s="28"/>
      <c r="E253" s="2" t="str">
        <f aca="false">IF((F253&lt;&gt;0),"Enter Letter"," ")</f>
        <v> </v>
      </c>
      <c r="F253" s="30"/>
      <c r="G253" s="6" t="str">
        <f aca="false">IF(F253&lt;&gt;0,F253*G$2/(100+G$2)," ")</f>
        <v> </v>
      </c>
      <c r="H253" s="6" t="str">
        <f aca="false">IF((F253&lt;&gt;0),F253-G253," ")</f>
        <v> </v>
      </c>
      <c r="I253" s="5"/>
      <c r="L253" s="7" t="str">
        <f aca="false">IF(F253&lt;&gt;0,F253-K253," ")</f>
        <v> </v>
      </c>
      <c r="M253" s="8" t="str">
        <f aca="false">IF((F253-K253)&lt;&gt;0,M$1-A253," ")</f>
        <v> </v>
      </c>
      <c r="N253" s="5"/>
      <c r="O253" s="17" t="str">
        <f aca="false">IF((E253="s"),H253," ")</f>
        <v> </v>
      </c>
      <c r="P253" s="17" t="str">
        <f aca="false">IF((E253="c"),H253," ")</f>
        <v> </v>
      </c>
      <c r="Q253" s="17" t="str">
        <f aca="false">IF((E253="o"),H253," ")</f>
        <v> </v>
      </c>
      <c r="R253" s="17" t="str">
        <f aca="false">IF((E253="d"),H253," ")</f>
        <v> </v>
      </c>
      <c r="S253" s="17" t="str">
        <f aca="false">IF((E253="w"),H253," ")</f>
        <v> </v>
      </c>
      <c r="T253" s="17" t="str">
        <f aca="false">IF((E253="r"),H253," ")</f>
        <v> </v>
      </c>
      <c r="U253" s="17" t="str">
        <f aca="false">IF((E253="p"),H253," ")</f>
        <v> </v>
      </c>
      <c r="V253" s="17" t="str">
        <f aca="false">IF((E253="t"),H253," ")</f>
        <v> </v>
      </c>
      <c r="W253" s="17" t="str">
        <f aca="false">IF((E253="q"),H253," ")</f>
        <v> </v>
      </c>
      <c r="X253" s="17" t="str">
        <f aca="false">IF((E253="m"),H253," ")</f>
        <v> </v>
      </c>
      <c r="Y253" s="17" t="str">
        <f aca="false">IF((E253="u"),H253," ")</f>
        <v> </v>
      </c>
      <c r="Z253" s="17" t="str">
        <f aca="false">IF((E253="a"),H253," ")</f>
        <v> </v>
      </c>
      <c r="AA253" s="17" t="str">
        <f aca="false">IF((E253="g"),H253," ")</f>
        <v> </v>
      </c>
      <c r="AB253" s="17" t="str">
        <f aca="false">IF((E253="h"),H253," ")</f>
        <v> </v>
      </c>
      <c r="AC253" s="30" t="str">
        <f aca="false">IF((E253="v"),H253," ")</f>
        <v> </v>
      </c>
      <c r="AD253" s="30" t="str">
        <f aca="false">IF((E253="n"),H253," ")</f>
        <v> </v>
      </c>
      <c r="AE253" s="17" t="str">
        <f aca="false">IF((E253="f"),H253," ")</f>
        <v> </v>
      </c>
      <c r="AF253" s="17" t="str">
        <f aca="false">IF((E253="l"),H253," ")</f>
        <v> </v>
      </c>
      <c r="AG253" s="17" t="str">
        <f aca="false">IF((E253="y"),H253," ")</f>
        <v> </v>
      </c>
      <c r="AH253" s="17" t="str">
        <f aca="false">IF((E253="z"),H253," ")</f>
        <v> </v>
      </c>
      <c r="AI253" s="17" t="str">
        <f aca="false">IF((E253="fa"),H253," ")</f>
        <v> </v>
      </c>
      <c r="AJ253" s="17" t="str">
        <f aca="false">IF((E253="e"),H253," ")</f>
        <v> </v>
      </c>
    </row>
    <row r="254" customFormat="false" ht="12" hidden="false" customHeight="false" outlineLevel="0" collapsed="false">
      <c r="A254" s="28"/>
      <c r="E254" s="2" t="str">
        <f aca="false">IF((F254&lt;&gt;0),"Enter Letter"," ")</f>
        <v> </v>
      </c>
      <c r="F254" s="30"/>
      <c r="G254" s="6" t="str">
        <f aca="false">IF(F254&lt;&gt;0,F254*G$2/(100+G$2)," ")</f>
        <v> </v>
      </c>
      <c r="H254" s="6" t="str">
        <f aca="false">IF((F254&lt;&gt;0),F254-G254," ")</f>
        <v> </v>
      </c>
      <c r="I254" s="5"/>
      <c r="L254" s="7" t="str">
        <f aca="false">IF(F254&lt;&gt;0,F254-K254," ")</f>
        <v> </v>
      </c>
      <c r="M254" s="8" t="str">
        <f aca="false">IF((F254-K254)&lt;&gt;0,M$1-A254," ")</f>
        <v> </v>
      </c>
      <c r="N254" s="5"/>
      <c r="O254" s="17" t="str">
        <f aca="false">IF((E254="s"),H254," ")</f>
        <v> </v>
      </c>
      <c r="P254" s="17" t="str">
        <f aca="false">IF((E254="c"),H254," ")</f>
        <v> </v>
      </c>
      <c r="Q254" s="17" t="str">
        <f aca="false">IF((E254="o"),H254," ")</f>
        <v> </v>
      </c>
      <c r="R254" s="17" t="str">
        <f aca="false">IF((E254="d"),H254," ")</f>
        <v> </v>
      </c>
      <c r="S254" s="17" t="str">
        <f aca="false">IF((E254="w"),H254," ")</f>
        <v> </v>
      </c>
      <c r="T254" s="17" t="str">
        <f aca="false">IF((E254="r"),H254," ")</f>
        <v> </v>
      </c>
      <c r="U254" s="17" t="str">
        <f aca="false">IF((E254="p"),H254," ")</f>
        <v> </v>
      </c>
      <c r="V254" s="17" t="str">
        <f aca="false">IF((E254="t"),H254," ")</f>
        <v> </v>
      </c>
      <c r="W254" s="17" t="str">
        <f aca="false">IF((E254="q"),H254," ")</f>
        <v> </v>
      </c>
      <c r="X254" s="17" t="str">
        <f aca="false">IF((E254="m"),H254," ")</f>
        <v> </v>
      </c>
      <c r="Y254" s="17" t="str">
        <f aca="false">IF((E254="u"),H254," ")</f>
        <v> </v>
      </c>
      <c r="Z254" s="17" t="str">
        <f aca="false">IF((E254="a"),H254," ")</f>
        <v> </v>
      </c>
      <c r="AA254" s="17" t="str">
        <f aca="false">IF((E254="g"),H254," ")</f>
        <v> </v>
      </c>
      <c r="AB254" s="17" t="str">
        <f aca="false">IF((E254="h"),H254," ")</f>
        <v> </v>
      </c>
      <c r="AC254" s="30" t="str">
        <f aca="false">IF((E254="v"),H254," ")</f>
        <v> </v>
      </c>
      <c r="AD254" s="30" t="str">
        <f aca="false">IF((E254="n"),H254," ")</f>
        <v> </v>
      </c>
      <c r="AE254" s="17" t="str">
        <f aca="false">IF((E254="f"),H254," ")</f>
        <v> </v>
      </c>
      <c r="AF254" s="17" t="str">
        <f aca="false">IF((E254="l"),H254," ")</f>
        <v> </v>
      </c>
      <c r="AG254" s="17" t="str">
        <f aca="false">IF((E254="y"),H254," ")</f>
        <v> </v>
      </c>
      <c r="AH254" s="17" t="str">
        <f aca="false">IF((E254="z"),H254," ")</f>
        <v> </v>
      </c>
      <c r="AI254" s="17" t="str">
        <f aca="false">IF((E254="fa"),H254," ")</f>
        <v> </v>
      </c>
      <c r="AJ254" s="17" t="str">
        <f aca="false">IF((E254="e"),H254," ")</f>
        <v> </v>
      </c>
    </row>
    <row r="255" customFormat="false" ht="12" hidden="false" customHeight="false" outlineLevel="0" collapsed="false">
      <c r="A255" s="28"/>
      <c r="E255" s="2" t="str">
        <f aca="false">IF((F255&lt;&gt;0),"Enter Letter"," ")</f>
        <v> </v>
      </c>
      <c r="F255" s="30"/>
      <c r="G255" s="6" t="str">
        <f aca="false">IF(F255&lt;&gt;0,F255*G$2/(100+G$2)," ")</f>
        <v> </v>
      </c>
      <c r="H255" s="6" t="str">
        <f aca="false">IF((F255&lt;&gt;0),F255-G255," ")</f>
        <v> </v>
      </c>
      <c r="I255" s="5"/>
      <c r="L255" s="7" t="str">
        <f aca="false">IF(F255&lt;&gt;0,F255-K255," ")</f>
        <v> </v>
      </c>
      <c r="M255" s="8" t="str">
        <f aca="false">IF((F255-K255)&lt;&gt;0,M$1-A255," ")</f>
        <v> </v>
      </c>
      <c r="N255" s="5"/>
      <c r="O255" s="17" t="str">
        <f aca="false">IF((E255="s"),H255," ")</f>
        <v> </v>
      </c>
      <c r="P255" s="17" t="str">
        <f aca="false">IF((E255="c"),H255," ")</f>
        <v> </v>
      </c>
      <c r="Q255" s="17" t="str">
        <f aca="false">IF((E255="o"),H255," ")</f>
        <v> </v>
      </c>
      <c r="R255" s="17" t="str">
        <f aca="false">IF((E255="d"),H255," ")</f>
        <v> </v>
      </c>
      <c r="S255" s="17" t="str">
        <f aca="false">IF((E255="w"),H255," ")</f>
        <v> </v>
      </c>
      <c r="T255" s="17" t="str">
        <f aca="false">IF((E255="r"),H255," ")</f>
        <v> </v>
      </c>
      <c r="U255" s="17" t="str">
        <f aca="false">IF((E255="p"),H255," ")</f>
        <v> </v>
      </c>
      <c r="V255" s="17" t="str">
        <f aca="false">IF((E255="t"),H255," ")</f>
        <v> </v>
      </c>
      <c r="W255" s="17" t="str">
        <f aca="false">IF((E255="q"),H255," ")</f>
        <v> </v>
      </c>
      <c r="X255" s="17" t="str">
        <f aca="false">IF((E255="m"),H255," ")</f>
        <v> </v>
      </c>
      <c r="Y255" s="17" t="str">
        <f aca="false">IF((E255="u"),H255," ")</f>
        <v> </v>
      </c>
      <c r="Z255" s="17" t="str">
        <f aca="false">IF((E255="a"),H255," ")</f>
        <v> </v>
      </c>
      <c r="AA255" s="17" t="str">
        <f aca="false">IF((E255="g"),H255," ")</f>
        <v> </v>
      </c>
      <c r="AB255" s="17" t="str">
        <f aca="false">IF((E255="h"),H255," ")</f>
        <v> </v>
      </c>
      <c r="AC255" s="30" t="str">
        <f aca="false">IF((E255="v"),H255," ")</f>
        <v> </v>
      </c>
      <c r="AD255" s="30" t="str">
        <f aca="false">IF((E255="n"),H255," ")</f>
        <v> </v>
      </c>
      <c r="AE255" s="17" t="str">
        <f aca="false">IF((E255="f"),H255," ")</f>
        <v> </v>
      </c>
      <c r="AF255" s="17" t="str">
        <f aca="false">IF((E255="l"),H255," ")</f>
        <v> </v>
      </c>
      <c r="AG255" s="17" t="str">
        <f aca="false">IF((E255="y"),H255," ")</f>
        <v> </v>
      </c>
      <c r="AH255" s="17" t="str">
        <f aca="false">IF((E255="z"),H255," ")</f>
        <v> </v>
      </c>
      <c r="AI255" s="17" t="str">
        <f aca="false">IF((E255="fa"),H255," ")</f>
        <v> </v>
      </c>
      <c r="AJ255" s="17" t="str">
        <f aca="false">IF((E255="e"),H255," ")</f>
        <v> </v>
      </c>
    </row>
    <row r="256" customFormat="false" ht="12" hidden="false" customHeight="false" outlineLevel="0" collapsed="false">
      <c r="A256" s="28"/>
      <c r="E256" s="2" t="str">
        <f aca="false">IF((F256&lt;&gt;0),"Enter Letter"," ")</f>
        <v> </v>
      </c>
      <c r="F256" s="30"/>
      <c r="G256" s="6" t="str">
        <f aca="false">IF(F256&lt;&gt;0,F256*G$2/(100+G$2)," ")</f>
        <v> </v>
      </c>
      <c r="H256" s="6" t="str">
        <f aca="false">IF((F256&lt;&gt;0),F256-G256," ")</f>
        <v> </v>
      </c>
      <c r="I256" s="5"/>
      <c r="L256" s="7" t="str">
        <f aca="false">IF(F256&lt;&gt;0,F256-K256," ")</f>
        <v> </v>
      </c>
      <c r="M256" s="8" t="str">
        <f aca="false">IF((F256-K256)&lt;&gt;0,M$1-A256," ")</f>
        <v> </v>
      </c>
      <c r="N256" s="5"/>
      <c r="O256" s="17" t="str">
        <f aca="false">IF((E256="s"),H256," ")</f>
        <v> </v>
      </c>
      <c r="P256" s="17" t="str">
        <f aca="false">IF((E256="c"),H256," ")</f>
        <v> </v>
      </c>
      <c r="Q256" s="17" t="str">
        <f aca="false">IF((E256="o"),H256," ")</f>
        <v> </v>
      </c>
      <c r="R256" s="17" t="str">
        <f aca="false">IF((E256="d"),H256," ")</f>
        <v> </v>
      </c>
      <c r="S256" s="17" t="str">
        <f aca="false">IF((E256="w"),H256," ")</f>
        <v> </v>
      </c>
      <c r="T256" s="17" t="str">
        <f aca="false">IF((E256="r"),H256," ")</f>
        <v> </v>
      </c>
      <c r="U256" s="17" t="str">
        <f aca="false">IF((E256="p"),H256," ")</f>
        <v> </v>
      </c>
      <c r="V256" s="17" t="str">
        <f aca="false">IF((E256="t"),H256," ")</f>
        <v> </v>
      </c>
      <c r="W256" s="17" t="str">
        <f aca="false">IF((E256="q"),H256," ")</f>
        <v> </v>
      </c>
      <c r="X256" s="17" t="str">
        <f aca="false">IF((E256="m"),H256," ")</f>
        <v> </v>
      </c>
      <c r="Y256" s="17" t="str">
        <f aca="false">IF((E256="u"),H256," ")</f>
        <v> </v>
      </c>
      <c r="Z256" s="17" t="str">
        <f aca="false">IF((E256="a"),H256," ")</f>
        <v> </v>
      </c>
      <c r="AA256" s="17" t="str">
        <f aca="false">IF((E256="g"),H256," ")</f>
        <v> </v>
      </c>
      <c r="AB256" s="17" t="str">
        <f aca="false">IF((E256="h"),H256," ")</f>
        <v> </v>
      </c>
      <c r="AC256" s="30" t="str">
        <f aca="false">IF((E256="v"),H256," ")</f>
        <v> </v>
      </c>
      <c r="AD256" s="30" t="str">
        <f aca="false">IF((E256="n"),H256," ")</f>
        <v> </v>
      </c>
      <c r="AE256" s="17" t="str">
        <f aca="false">IF((E256="f"),H256," ")</f>
        <v> </v>
      </c>
      <c r="AF256" s="17" t="str">
        <f aca="false">IF((E256="l"),H256," ")</f>
        <v> </v>
      </c>
      <c r="AG256" s="17" t="str">
        <f aca="false">IF((E256="y"),H256," ")</f>
        <v> </v>
      </c>
      <c r="AH256" s="17" t="str">
        <f aca="false">IF((E256="z"),H256," ")</f>
        <v> </v>
      </c>
      <c r="AI256" s="17" t="str">
        <f aca="false">IF((E256="fa"),H256," ")</f>
        <v> </v>
      </c>
      <c r="AJ256" s="17" t="str">
        <f aca="false">IF((E256="e"),H256," ")</f>
        <v> </v>
      </c>
    </row>
    <row r="257" customFormat="false" ht="12" hidden="false" customHeight="false" outlineLevel="0" collapsed="false">
      <c r="A257" s="28"/>
      <c r="E257" s="2" t="str">
        <f aca="false">IF((F257&lt;&gt;0),"Enter Letter"," ")</f>
        <v> </v>
      </c>
      <c r="F257" s="30"/>
      <c r="G257" s="6" t="str">
        <f aca="false">IF(F257&lt;&gt;0,F257*G$2/(100+G$2)," ")</f>
        <v> </v>
      </c>
      <c r="H257" s="6" t="str">
        <f aca="false">IF((F257&lt;&gt;0),F257-G257," ")</f>
        <v> </v>
      </c>
      <c r="I257" s="5"/>
      <c r="L257" s="7" t="str">
        <f aca="false">IF(F257&lt;&gt;0,F257-K257," ")</f>
        <v> </v>
      </c>
      <c r="M257" s="8" t="str">
        <f aca="false">IF((F257-K257)&lt;&gt;0,M$1-A257," ")</f>
        <v> </v>
      </c>
      <c r="N257" s="5"/>
      <c r="O257" s="17" t="str">
        <f aca="false">IF((E257="s"),H257," ")</f>
        <v> </v>
      </c>
      <c r="P257" s="17" t="str">
        <f aca="false">IF((E257="c"),H257," ")</f>
        <v> </v>
      </c>
      <c r="Q257" s="17" t="str">
        <f aca="false">IF((E257="o"),H257," ")</f>
        <v> </v>
      </c>
      <c r="R257" s="17" t="str">
        <f aca="false">IF((E257="d"),H257," ")</f>
        <v> </v>
      </c>
      <c r="S257" s="17" t="str">
        <f aca="false">IF((E257="w"),H257," ")</f>
        <v> </v>
      </c>
      <c r="T257" s="17" t="str">
        <f aca="false">IF((E257="r"),H257," ")</f>
        <v> </v>
      </c>
      <c r="U257" s="17" t="str">
        <f aca="false">IF((E257="p"),H257," ")</f>
        <v> </v>
      </c>
      <c r="V257" s="17" t="str">
        <f aca="false">IF((E257="t"),H257," ")</f>
        <v> </v>
      </c>
      <c r="W257" s="17" t="str">
        <f aca="false">IF((E257="q"),H257," ")</f>
        <v> </v>
      </c>
      <c r="X257" s="17" t="str">
        <f aca="false">IF((E257="m"),H257," ")</f>
        <v> </v>
      </c>
      <c r="Y257" s="17" t="str">
        <f aca="false">IF((E257="u"),H257," ")</f>
        <v> </v>
      </c>
      <c r="Z257" s="17" t="str">
        <f aca="false">IF((E257="a"),H257," ")</f>
        <v> </v>
      </c>
      <c r="AA257" s="17" t="str">
        <f aca="false">IF((E257="g"),H257," ")</f>
        <v> </v>
      </c>
      <c r="AB257" s="17" t="str">
        <f aca="false">IF((E257="h"),H257," ")</f>
        <v> </v>
      </c>
      <c r="AC257" s="30" t="str">
        <f aca="false">IF((E257="v"),H257," ")</f>
        <v> </v>
      </c>
      <c r="AD257" s="30" t="str">
        <f aca="false">IF((E257="n"),H257," ")</f>
        <v> </v>
      </c>
      <c r="AE257" s="17" t="str">
        <f aca="false">IF((E257="f"),H257," ")</f>
        <v> </v>
      </c>
      <c r="AF257" s="17" t="str">
        <f aca="false">IF((E257="l"),H257," ")</f>
        <v> </v>
      </c>
      <c r="AG257" s="17" t="str">
        <f aca="false">IF((E257="y"),H257," ")</f>
        <v> </v>
      </c>
      <c r="AH257" s="17" t="str">
        <f aca="false">IF((E257="z"),H257," ")</f>
        <v> </v>
      </c>
      <c r="AI257" s="17" t="str">
        <f aca="false">IF((E257="fa"),H257," ")</f>
        <v> </v>
      </c>
      <c r="AJ257" s="17" t="str">
        <f aca="false">IF((E257="e"),H257," ")</f>
        <v> </v>
      </c>
    </row>
    <row r="258" customFormat="false" ht="12" hidden="false" customHeight="false" outlineLevel="0" collapsed="false">
      <c r="A258" s="28"/>
      <c r="E258" s="2" t="str">
        <f aca="false">IF((F258&lt;&gt;0),"Enter Letter"," ")</f>
        <v> </v>
      </c>
      <c r="F258" s="30"/>
      <c r="G258" s="6" t="str">
        <f aca="false">IF(F258&lt;&gt;0,F258*G$2/(100+G$2)," ")</f>
        <v> </v>
      </c>
      <c r="H258" s="6" t="str">
        <f aca="false">IF((F258&lt;&gt;0),F258-G258," ")</f>
        <v> </v>
      </c>
      <c r="I258" s="5"/>
      <c r="L258" s="7" t="str">
        <f aca="false">IF(F258&lt;&gt;0,F258-K258," ")</f>
        <v> </v>
      </c>
      <c r="M258" s="8" t="str">
        <f aca="false">IF((F258-K258)&lt;&gt;0,M$1-A258," ")</f>
        <v> </v>
      </c>
      <c r="N258" s="5"/>
      <c r="O258" s="17" t="str">
        <f aca="false">IF((E258="s"),H258," ")</f>
        <v> </v>
      </c>
      <c r="P258" s="17" t="str">
        <f aca="false">IF((E258="c"),H258," ")</f>
        <v> </v>
      </c>
      <c r="Q258" s="17" t="str">
        <f aca="false">IF((E258="o"),H258," ")</f>
        <v> </v>
      </c>
      <c r="R258" s="17" t="str">
        <f aca="false">IF((E258="d"),H258," ")</f>
        <v> </v>
      </c>
      <c r="S258" s="17" t="str">
        <f aca="false">IF((E258="w"),H258," ")</f>
        <v> </v>
      </c>
      <c r="T258" s="17" t="str">
        <f aca="false">IF((E258="r"),H258," ")</f>
        <v> </v>
      </c>
      <c r="U258" s="17" t="str">
        <f aca="false">IF((E258="p"),H258," ")</f>
        <v> </v>
      </c>
      <c r="V258" s="17" t="str">
        <f aca="false">IF((E258="t"),H258," ")</f>
        <v> </v>
      </c>
      <c r="W258" s="17" t="str">
        <f aca="false">IF((E258="q"),H258," ")</f>
        <v> </v>
      </c>
      <c r="X258" s="17" t="str">
        <f aca="false">IF((E258="m"),H258," ")</f>
        <v> </v>
      </c>
      <c r="Y258" s="17" t="str">
        <f aca="false">IF((E258="u"),H258," ")</f>
        <v> </v>
      </c>
      <c r="Z258" s="17" t="str">
        <f aca="false">IF((E258="a"),H258," ")</f>
        <v> </v>
      </c>
      <c r="AA258" s="17" t="str">
        <f aca="false">IF((E258="g"),H258," ")</f>
        <v> </v>
      </c>
      <c r="AB258" s="17" t="str">
        <f aca="false">IF((E258="h"),H258," ")</f>
        <v> </v>
      </c>
      <c r="AC258" s="30" t="str">
        <f aca="false">IF((E258="v"),H258," ")</f>
        <v> </v>
      </c>
      <c r="AD258" s="30" t="str">
        <f aca="false">IF((E258="n"),H258," ")</f>
        <v> </v>
      </c>
      <c r="AE258" s="17" t="str">
        <f aca="false">IF((E258="f"),H258," ")</f>
        <v> </v>
      </c>
      <c r="AF258" s="17" t="str">
        <f aca="false">IF((E258="l"),H258," ")</f>
        <v> </v>
      </c>
      <c r="AG258" s="17" t="str">
        <f aca="false">IF((E258="y"),H258," ")</f>
        <v> </v>
      </c>
      <c r="AH258" s="17" t="str">
        <f aca="false">IF((E258="z"),H258," ")</f>
        <v> </v>
      </c>
      <c r="AI258" s="17" t="str">
        <f aca="false">IF((E258="fa"),H258," ")</f>
        <v> </v>
      </c>
      <c r="AJ258" s="17" t="str">
        <f aca="false">IF((E258="e"),H258," ")</f>
        <v> </v>
      </c>
    </row>
    <row r="259" customFormat="false" ht="12" hidden="false" customHeight="false" outlineLevel="0" collapsed="false">
      <c r="A259" s="28"/>
      <c r="E259" s="2" t="str">
        <f aca="false">IF((F259&lt;&gt;0),"Enter Letter"," ")</f>
        <v> </v>
      </c>
      <c r="F259" s="30"/>
      <c r="G259" s="6" t="str">
        <f aca="false">IF(F259&lt;&gt;0,F259*G$2/(100+G$2)," ")</f>
        <v> </v>
      </c>
      <c r="H259" s="6" t="str">
        <f aca="false">IF((F259&lt;&gt;0),F259-G259," ")</f>
        <v> </v>
      </c>
      <c r="I259" s="5"/>
      <c r="L259" s="7" t="str">
        <f aca="false">IF(F259&lt;&gt;0,F259-K259," ")</f>
        <v> </v>
      </c>
      <c r="M259" s="8" t="str">
        <f aca="false">IF((F259-K259)&lt;&gt;0,M$1-A259," ")</f>
        <v> </v>
      </c>
      <c r="N259" s="5"/>
      <c r="O259" s="17" t="str">
        <f aca="false">IF((E259="s"),H259," ")</f>
        <v> </v>
      </c>
      <c r="P259" s="17" t="str">
        <f aca="false">IF((E259="c"),H259," ")</f>
        <v> </v>
      </c>
      <c r="Q259" s="17" t="str">
        <f aca="false">IF((E259="o"),H259," ")</f>
        <v> </v>
      </c>
      <c r="R259" s="17" t="str">
        <f aca="false">IF((E259="d"),H259," ")</f>
        <v> </v>
      </c>
      <c r="S259" s="17" t="str">
        <f aca="false">IF((E259="w"),H259," ")</f>
        <v> </v>
      </c>
      <c r="T259" s="17" t="str">
        <f aca="false">IF((E259="r"),H259," ")</f>
        <v> </v>
      </c>
      <c r="U259" s="17" t="str">
        <f aca="false">IF((E259="p"),H259," ")</f>
        <v> </v>
      </c>
      <c r="V259" s="17" t="str">
        <f aca="false">IF((E259="t"),H259," ")</f>
        <v> </v>
      </c>
      <c r="W259" s="17" t="str">
        <f aca="false">IF((E259="q"),H259," ")</f>
        <v> </v>
      </c>
      <c r="X259" s="17" t="str">
        <f aca="false">IF((E259="m"),H259," ")</f>
        <v> </v>
      </c>
      <c r="Y259" s="17" t="str">
        <f aca="false">IF((E259="u"),H259," ")</f>
        <v> </v>
      </c>
      <c r="Z259" s="17" t="str">
        <f aca="false">IF((E259="a"),H259," ")</f>
        <v> </v>
      </c>
      <c r="AA259" s="17" t="str">
        <f aca="false">IF((E259="g"),H259," ")</f>
        <v> </v>
      </c>
      <c r="AB259" s="17" t="str">
        <f aca="false">IF((E259="h"),H259," ")</f>
        <v> </v>
      </c>
      <c r="AC259" s="30" t="str">
        <f aca="false">IF((E259="v"),H259," ")</f>
        <v> </v>
      </c>
      <c r="AD259" s="30" t="str">
        <f aca="false">IF((E259="n"),H259," ")</f>
        <v> </v>
      </c>
      <c r="AE259" s="17" t="str">
        <f aca="false">IF((E259="f"),H259," ")</f>
        <v> </v>
      </c>
      <c r="AF259" s="17" t="str">
        <f aca="false">IF((E259="l"),H259," ")</f>
        <v> </v>
      </c>
      <c r="AG259" s="17" t="str">
        <f aca="false">IF((E259="y"),H259," ")</f>
        <v> </v>
      </c>
      <c r="AH259" s="17" t="str">
        <f aca="false">IF((E259="z"),H259," ")</f>
        <v> </v>
      </c>
      <c r="AI259" s="17" t="str">
        <f aca="false">IF((E259="fa"),H259," ")</f>
        <v> </v>
      </c>
      <c r="AJ259" s="17" t="str">
        <f aca="false">IF((E259="e"),H259," ")</f>
        <v> </v>
      </c>
    </row>
    <row r="260" customFormat="false" ht="12" hidden="false" customHeight="false" outlineLevel="0" collapsed="false">
      <c r="A260" s="28"/>
      <c r="E260" s="2" t="str">
        <f aca="false">IF((F260&lt;&gt;0),"Enter Letter"," ")</f>
        <v> </v>
      </c>
      <c r="F260" s="30"/>
      <c r="G260" s="6" t="str">
        <f aca="false">IF(F260&lt;&gt;0,F260*G$2/(100+G$2)," ")</f>
        <v> </v>
      </c>
      <c r="H260" s="6" t="str">
        <f aca="false">IF((F260&lt;&gt;0),F260-G260," ")</f>
        <v> </v>
      </c>
      <c r="I260" s="5"/>
      <c r="L260" s="7" t="str">
        <f aca="false">IF(F260&lt;&gt;0,F260-K260," ")</f>
        <v> </v>
      </c>
      <c r="M260" s="8" t="str">
        <f aca="false">IF((F260-K260)&lt;&gt;0,M$1-A260," ")</f>
        <v> </v>
      </c>
      <c r="N260" s="5"/>
      <c r="O260" s="17" t="str">
        <f aca="false">IF((E260="s"),H260," ")</f>
        <v> </v>
      </c>
      <c r="P260" s="17" t="str">
        <f aca="false">IF((E260="c"),H260," ")</f>
        <v> </v>
      </c>
      <c r="Q260" s="17" t="str">
        <f aca="false">IF((E260="o"),H260," ")</f>
        <v> </v>
      </c>
      <c r="R260" s="17" t="str">
        <f aca="false">IF((E260="d"),H260," ")</f>
        <v> </v>
      </c>
      <c r="S260" s="17" t="str">
        <f aca="false">IF((E260="w"),H260," ")</f>
        <v> </v>
      </c>
      <c r="T260" s="17" t="str">
        <f aca="false">IF((E260="r"),H260," ")</f>
        <v> </v>
      </c>
      <c r="U260" s="17" t="str">
        <f aca="false">IF((E260="p"),H260," ")</f>
        <v> </v>
      </c>
      <c r="V260" s="17" t="str">
        <f aca="false">IF((E260="t"),H260," ")</f>
        <v> </v>
      </c>
      <c r="W260" s="17" t="str">
        <f aca="false">IF((E260="q"),H260," ")</f>
        <v> </v>
      </c>
      <c r="X260" s="17" t="str">
        <f aca="false">IF((E260="m"),H260," ")</f>
        <v> </v>
      </c>
      <c r="Y260" s="17" t="str">
        <f aca="false">IF((E260="u"),H260," ")</f>
        <v> </v>
      </c>
      <c r="Z260" s="17" t="str">
        <f aca="false">IF((E260="a"),H260," ")</f>
        <v> </v>
      </c>
      <c r="AA260" s="17" t="str">
        <f aca="false">IF((E260="g"),H260," ")</f>
        <v> </v>
      </c>
      <c r="AB260" s="17" t="str">
        <f aca="false">IF((E260="h"),H260," ")</f>
        <v> </v>
      </c>
      <c r="AC260" s="30" t="str">
        <f aca="false">IF((E260="v"),H260," ")</f>
        <v> </v>
      </c>
      <c r="AD260" s="30" t="str">
        <f aca="false">IF((E260="n"),H260," ")</f>
        <v> </v>
      </c>
      <c r="AE260" s="17" t="str">
        <f aca="false">IF((E260="f"),H260," ")</f>
        <v> </v>
      </c>
      <c r="AF260" s="17" t="str">
        <f aca="false">IF((E260="l"),H260," ")</f>
        <v> </v>
      </c>
      <c r="AG260" s="17" t="str">
        <f aca="false">IF((E260="y"),H260," ")</f>
        <v> </v>
      </c>
      <c r="AH260" s="17" t="str">
        <f aca="false">IF((E260="z"),H260," ")</f>
        <v> </v>
      </c>
      <c r="AI260" s="17" t="str">
        <f aca="false">IF((E260="fa"),H260," ")</f>
        <v> </v>
      </c>
      <c r="AJ260" s="17" t="str">
        <f aca="false">IF((E260="e"),H260," ")</f>
        <v> </v>
      </c>
    </row>
    <row r="261" customFormat="false" ht="12" hidden="false" customHeight="false" outlineLevel="0" collapsed="false">
      <c r="A261" s="28"/>
      <c r="E261" s="2" t="str">
        <f aca="false">IF((F261&lt;&gt;0),"Enter Letter"," ")</f>
        <v> </v>
      </c>
      <c r="F261" s="30"/>
      <c r="G261" s="6" t="str">
        <f aca="false">IF(F261&lt;&gt;0,F261*G$2/(100+G$2)," ")</f>
        <v> </v>
      </c>
      <c r="H261" s="6" t="str">
        <f aca="false">IF((F261&lt;&gt;0),F261-G261," ")</f>
        <v> </v>
      </c>
      <c r="I261" s="5"/>
      <c r="L261" s="7" t="str">
        <f aca="false">IF(F261&lt;&gt;0,F261-K261," ")</f>
        <v> </v>
      </c>
      <c r="M261" s="8" t="str">
        <f aca="false">IF((F261-K261)&lt;&gt;0,M$1-A261," ")</f>
        <v> </v>
      </c>
      <c r="N261" s="5"/>
      <c r="O261" s="17" t="str">
        <f aca="false">IF((E261="s"),H261," ")</f>
        <v> </v>
      </c>
      <c r="P261" s="17" t="str">
        <f aca="false">IF((E261="c"),H261," ")</f>
        <v> </v>
      </c>
      <c r="Q261" s="17" t="str">
        <f aca="false">IF((E261="o"),H261," ")</f>
        <v> </v>
      </c>
      <c r="R261" s="17" t="str">
        <f aca="false">IF((E261="d"),H261," ")</f>
        <v> </v>
      </c>
      <c r="S261" s="17" t="str">
        <f aca="false">IF((E261="w"),H261," ")</f>
        <v> </v>
      </c>
      <c r="T261" s="17" t="str">
        <f aca="false">IF((E261="r"),H261," ")</f>
        <v> </v>
      </c>
      <c r="U261" s="17" t="str">
        <f aca="false">IF((E261="p"),H261," ")</f>
        <v> </v>
      </c>
      <c r="V261" s="17" t="str">
        <f aca="false">IF((E261="t"),H261," ")</f>
        <v> </v>
      </c>
      <c r="W261" s="17" t="str">
        <f aca="false">IF((E261="q"),H261," ")</f>
        <v> </v>
      </c>
      <c r="X261" s="17" t="str">
        <f aca="false">IF((E261="m"),H261," ")</f>
        <v> </v>
      </c>
      <c r="Y261" s="17" t="str">
        <f aca="false">IF((E261="u"),H261," ")</f>
        <v> </v>
      </c>
      <c r="Z261" s="17" t="str">
        <f aca="false">IF((E261="a"),H261," ")</f>
        <v> </v>
      </c>
      <c r="AA261" s="17" t="str">
        <f aca="false">IF((E261="g"),H261," ")</f>
        <v> </v>
      </c>
      <c r="AB261" s="17" t="str">
        <f aca="false">IF((E261="h"),H261," ")</f>
        <v> </v>
      </c>
      <c r="AC261" s="30" t="str">
        <f aca="false">IF((E261="v"),H261," ")</f>
        <v> </v>
      </c>
      <c r="AD261" s="30" t="str">
        <f aca="false">IF((E261="n"),H261," ")</f>
        <v> </v>
      </c>
      <c r="AE261" s="17" t="str">
        <f aca="false">IF((E261="f"),H261," ")</f>
        <v> </v>
      </c>
      <c r="AF261" s="17" t="str">
        <f aca="false">IF((E261="l"),H261," ")</f>
        <v> </v>
      </c>
      <c r="AG261" s="17" t="str">
        <f aca="false">IF((E261="y"),H261," ")</f>
        <v> </v>
      </c>
      <c r="AH261" s="17" t="str">
        <f aca="false">IF((E261="z"),H261," ")</f>
        <v> </v>
      </c>
      <c r="AI261" s="17" t="str">
        <f aca="false">IF((E261="fa"),H261," ")</f>
        <v> </v>
      </c>
      <c r="AJ261" s="17" t="str">
        <f aca="false">IF((E261="e"),H261," ")</f>
        <v> </v>
      </c>
    </row>
    <row r="262" customFormat="false" ht="12" hidden="false" customHeight="false" outlineLevel="0" collapsed="false">
      <c r="A262" s="28"/>
      <c r="E262" s="2" t="str">
        <f aca="false">IF((F262&lt;&gt;0),"Enter Letter"," ")</f>
        <v> </v>
      </c>
      <c r="F262" s="30"/>
      <c r="G262" s="6" t="str">
        <f aca="false">IF(F262&lt;&gt;0,F262*G$2/(100+G$2)," ")</f>
        <v> </v>
      </c>
      <c r="H262" s="6" t="str">
        <f aca="false">IF((F262&lt;&gt;0),F262-G262," ")</f>
        <v> </v>
      </c>
      <c r="I262" s="5"/>
      <c r="L262" s="7" t="str">
        <f aca="false">IF(F262&lt;&gt;0,F262-K262," ")</f>
        <v> </v>
      </c>
      <c r="M262" s="8" t="str">
        <f aca="false">IF((F262-K262)&lt;&gt;0,M$1-A262," ")</f>
        <v> </v>
      </c>
      <c r="N262" s="5"/>
      <c r="O262" s="17" t="str">
        <f aca="false">IF((E262="s"),H262," ")</f>
        <v> </v>
      </c>
      <c r="P262" s="17" t="str">
        <f aca="false">IF((E262="c"),H262," ")</f>
        <v> </v>
      </c>
      <c r="Q262" s="17" t="str">
        <f aca="false">IF((E262="o"),H262," ")</f>
        <v> </v>
      </c>
      <c r="R262" s="17" t="str">
        <f aca="false">IF((E262="d"),H262," ")</f>
        <v> </v>
      </c>
      <c r="S262" s="17" t="str">
        <f aca="false">IF((E262="w"),H262," ")</f>
        <v> </v>
      </c>
      <c r="T262" s="17" t="str">
        <f aca="false">IF((E262="r"),H262," ")</f>
        <v> </v>
      </c>
      <c r="U262" s="17" t="str">
        <f aca="false">IF((E262="p"),H262," ")</f>
        <v> </v>
      </c>
      <c r="V262" s="17" t="str">
        <f aca="false">IF((E262="t"),H262," ")</f>
        <v> </v>
      </c>
      <c r="W262" s="17" t="str">
        <f aca="false">IF((E262="q"),H262," ")</f>
        <v> </v>
      </c>
      <c r="X262" s="17" t="str">
        <f aca="false">IF((E262="m"),H262," ")</f>
        <v> </v>
      </c>
      <c r="Y262" s="17" t="str">
        <f aca="false">IF((E262="u"),H262," ")</f>
        <v> </v>
      </c>
      <c r="Z262" s="17" t="str">
        <f aca="false">IF((E262="a"),H262," ")</f>
        <v> </v>
      </c>
      <c r="AA262" s="17" t="str">
        <f aca="false">IF((E262="g"),H262," ")</f>
        <v> </v>
      </c>
      <c r="AB262" s="17" t="str">
        <f aca="false">IF((E262="h"),H262," ")</f>
        <v> </v>
      </c>
      <c r="AC262" s="30" t="str">
        <f aca="false">IF((E262="v"),H262," ")</f>
        <v> </v>
      </c>
      <c r="AD262" s="30" t="str">
        <f aca="false">IF((E262="n"),H262," ")</f>
        <v> </v>
      </c>
      <c r="AE262" s="17" t="str">
        <f aca="false">IF((E262="f"),H262," ")</f>
        <v> </v>
      </c>
      <c r="AF262" s="17" t="str">
        <f aca="false">IF((E262="l"),H262," ")</f>
        <v> </v>
      </c>
      <c r="AG262" s="17" t="str">
        <f aca="false">IF((E262="y"),H262," ")</f>
        <v> </v>
      </c>
      <c r="AH262" s="17" t="str">
        <f aca="false">IF((E262="z"),H262," ")</f>
        <v> </v>
      </c>
      <c r="AI262" s="17" t="str">
        <f aca="false">IF((E262="fa"),H262," ")</f>
        <v> </v>
      </c>
      <c r="AJ262" s="17" t="str">
        <f aca="false">IF((E262="e"),H262," ")</f>
        <v> </v>
      </c>
    </row>
    <row r="263" customFormat="false" ht="12" hidden="false" customHeight="false" outlineLevel="0" collapsed="false">
      <c r="A263" s="28"/>
      <c r="E263" s="2" t="str">
        <f aca="false">IF((F263&lt;&gt;0),"Enter Letter"," ")</f>
        <v> </v>
      </c>
      <c r="F263" s="30"/>
      <c r="G263" s="6" t="str">
        <f aca="false">IF(F263&lt;&gt;0,F263*G$2/(100+G$2)," ")</f>
        <v> </v>
      </c>
      <c r="H263" s="6" t="str">
        <f aca="false">IF((F263&lt;&gt;0),F263-G263," ")</f>
        <v> </v>
      </c>
      <c r="I263" s="5"/>
      <c r="L263" s="7" t="str">
        <f aca="false">IF(F263&lt;&gt;0,F263-K263," ")</f>
        <v> </v>
      </c>
      <c r="M263" s="8" t="str">
        <f aca="false">IF((F263-K263)&lt;&gt;0,M$1-A263," ")</f>
        <v> </v>
      </c>
      <c r="N263" s="5"/>
      <c r="O263" s="17" t="str">
        <f aca="false">IF((E263="s"),H263," ")</f>
        <v> </v>
      </c>
      <c r="P263" s="17" t="str">
        <f aca="false">IF((E263="c"),H263," ")</f>
        <v> </v>
      </c>
      <c r="Q263" s="17" t="str">
        <f aca="false">IF((E263="o"),H263," ")</f>
        <v> </v>
      </c>
      <c r="R263" s="17" t="str">
        <f aca="false">IF((E263="d"),H263," ")</f>
        <v> </v>
      </c>
      <c r="S263" s="17" t="str">
        <f aca="false">IF((E263="w"),H263," ")</f>
        <v> </v>
      </c>
      <c r="T263" s="17" t="str">
        <f aca="false">IF((E263="r"),H263," ")</f>
        <v> </v>
      </c>
      <c r="U263" s="17" t="str">
        <f aca="false">IF((E263="p"),H263," ")</f>
        <v> </v>
      </c>
      <c r="V263" s="17" t="str">
        <f aca="false">IF((E263="t"),H263," ")</f>
        <v> </v>
      </c>
      <c r="W263" s="17" t="str">
        <f aca="false">IF((E263="q"),H263," ")</f>
        <v> </v>
      </c>
      <c r="X263" s="17" t="str">
        <f aca="false">IF((E263="m"),H263," ")</f>
        <v> </v>
      </c>
      <c r="Y263" s="17" t="str">
        <f aca="false">IF((E263="u"),H263," ")</f>
        <v> </v>
      </c>
      <c r="Z263" s="17" t="str">
        <f aca="false">IF((E263="a"),H263," ")</f>
        <v> </v>
      </c>
      <c r="AA263" s="17" t="str">
        <f aca="false">IF((E263="g"),H263," ")</f>
        <v> </v>
      </c>
      <c r="AB263" s="17" t="str">
        <f aca="false">IF((E263="h"),H263," ")</f>
        <v> </v>
      </c>
      <c r="AC263" s="30" t="str">
        <f aca="false">IF((E263="v"),H263," ")</f>
        <v> </v>
      </c>
      <c r="AD263" s="30" t="str">
        <f aca="false">IF((E263="n"),H263," ")</f>
        <v> </v>
      </c>
      <c r="AE263" s="17" t="str">
        <f aca="false">IF((E263="f"),H263," ")</f>
        <v> </v>
      </c>
      <c r="AF263" s="17" t="str">
        <f aca="false">IF((E263="l"),H263," ")</f>
        <v> </v>
      </c>
      <c r="AG263" s="17" t="str">
        <f aca="false">IF((E263="y"),H263," ")</f>
        <v> </v>
      </c>
      <c r="AH263" s="17" t="str">
        <f aca="false">IF((E263="z"),H263," ")</f>
        <v> </v>
      </c>
      <c r="AI263" s="17" t="str">
        <f aca="false">IF((E263="fa"),H263," ")</f>
        <v> </v>
      </c>
      <c r="AJ263" s="17" t="str">
        <f aca="false">IF((E263="e"),H263," ")</f>
        <v> </v>
      </c>
    </row>
    <row r="264" customFormat="false" ht="12" hidden="false" customHeight="false" outlineLevel="0" collapsed="false">
      <c r="A264" s="28"/>
      <c r="E264" s="2" t="str">
        <f aca="false">IF((F264&lt;&gt;0),"Enter Letter"," ")</f>
        <v> </v>
      </c>
      <c r="F264" s="30"/>
      <c r="G264" s="6" t="str">
        <f aca="false">IF(F264&lt;&gt;0,F264*G$2/(100+G$2)," ")</f>
        <v> </v>
      </c>
      <c r="H264" s="6" t="str">
        <f aca="false">IF((F264&lt;&gt;0),F264-G264," ")</f>
        <v> </v>
      </c>
      <c r="I264" s="5"/>
      <c r="L264" s="7" t="str">
        <f aca="false">IF(F264&lt;&gt;0,F264-K264," ")</f>
        <v> </v>
      </c>
      <c r="M264" s="8" t="str">
        <f aca="false">IF((F264-K264)&lt;&gt;0,M$1-A264," ")</f>
        <v> </v>
      </c>
      <c r="N264" s="5"/>
      <c r="O264" s="17" t="str">
        <f aca="false">IF((E264="s"),H264," ")</f>
        <v> </v>
      </c>
      <c r="P264" s="17" t="str">
        <f aca="false">IF((E264="c"),H264," ")</f>
        <v> </v>
      </c>
      <c r="Q264" s="17" t="str">
        <f aca="false">IF((E264="o"),H264," ")</f>
        <v> </v>
      </c>
      <c r="R264" s="17" t="str">
        <f aca="false">IF((E264="d"),H264," ")</f>
        <v> </v>
      </c>
      <c r="S264" s="17" t="str">
        <f aca="false">IF((E264="w"),H264," ")</f>
        <v> </v>
      </c>
      <c r="T264" s="17" t="str">
        <f aca="false">IF((E264="r"),H264," ")</f>
        <v> </v>
      </c>
      <c r="U264" s="17" t="str">
        <f aca="false">IF((E264="p"),H264," ")</f>
        <v> </v>
      </c>
      <c r="V264" s="17" t="str">
        <f aca="false">IF((E264="t"),H264," ")</f>
        <v> </v>
      </c>
      <c r="W264" s="17" t="str">
        <f aca="false">IF((E264="q"),H264," ")</f>
        <v> </v>
      </c>
      <c r="X264" s="17" t="str">
        <f aca="false">IF((E264="m"),H264," ")</f>
        <v> </v>
      </c>
      <c r="Y264" s="17" t="str">
        <f aca="false">IF((E264="u"),H264," ")</f>
        <v> </v>
      </c>
      <c r="Z264" s="17" t="str">
        <f aca="false">IF((E264="a"),H264," ")</f>
        <v> </v>
      </c>
      <c r="AA264" s="17" t="str">
        <f aca="false">IF((E264="g"),H264," ")</f>
        <v> </v>
      </c>
      <c r="AB264" s="17" t="str">
        <f aca="false">IF((E264="h"),H264," ")</f>
        <v> </v>
      </c>
      <c r="AC264" s="30" t="str">
        <f aca="false">IF((E264="v"),H264," ")</f>
        <v> </v>
      </c>
      <c r="AD264" s="30" t="str">
        <f aca="false">IF((E264="n"),H264," ")</f>
        <v> </v>
      </c>
      <c r="AE264" s="17" t="str">
        <f aca="false">IF((E264="f"),H264," ")</f>
        <v> </v>
      </c>
      <c r="AF264" s="17" t="str">
        <f aca="false">IF((E264="l"),H264," ")</f>
        <v> </v>
      </c>
      <c r="AG264" s="17" t="str">
        <f aca="false">IF((E264="y"),H264," ")</f>
        <v> </v>
      </c>
      <c r="AH264" s="17" t="str">
        <f aca="false">IF((E264="z"),H264," ")</f>
        <v> </v>
      </c>
      <c r="AI264" s="17" t="str">
        <f aca="false">IF((E264="fa"),H264," ")</f>
        <v> </v>
      </c>
      <c r="AJ264" s="17" t="str">
        <f aca="false">IF((E264="e"),H264," ")</f>
        <v> </v>
      </c>
    </row>
    <row r="265" customFormat="false" ht="12" hidden="false" customHeight="false" outlineLevel="0" collapsed="false">
      <c r="A265" s="28"/>
      <c r="E265" s="2" t="str">
        <f aca="false">IF((F265&lt;&gt;0),"Enter Letter"," ")</f>
        <v> </v>
      </c>
      <c r="F265" s="30"/>
      <c r="G265" s="6" t="str">
        <f aca="false">IF(F265&lt;&gt;0,F265*G$2/(100+G$2)," ")</f>
        <v> </v>
      </c>
      <c r="H265" s="6" t="str">
        <f aca="false">IF((F265&lt;&gt;0),F265-G265," ")</f>
        <v> </v>
      </c>
      <c r="I265" s="5"/>
      <c r="L265" s="7" t="str">
        <f aca="false">IF(F265&lt;&gt;0,F265-K265," ")</f>
        <v> </v>
      </c>
      <c r="M265" s="8" t="str">
        <f aca="false">IF((F265-K265)&lt;&gt;0,M$1-A265," ")</f>
        <v> </v>
      </c>
      <c r="N265" s="5"/>
      <c r="O265" s="17" t="str">
        <f aca="false">IF((E265="s"),H265," ")</f>
        <v> </v>
      </c>
      <c r="P265" s="17" t="str">
        <f aca="false">IF((E265="c"),H265," ")</f>
        <v> </v>
      </c>
      <c r="Q265" s="17" t="str">
        <f aca="false">IF((E265="o"),H265," ")</f>
        <v> </v>
      </c>
      <c r="R265" s="17" t="str">
        <f aca="false">IF((E265="d"),H265," ")</f>
        <v> </v>
      </c>
      <c r="S265" s="17" t="str">
        <f aca="false">IF((E265="w"),H265," ")</f>
        <v> </v>
      </c>
      <c r="T265" s="17" t="str">
        <f aca="false">IF((E265="r"),H265," ")</f>
        <v> </v>
      </c>
      <c r="U265" s="17" t="str">
        <f aca="false">IF((E265="p"),H265," ")</f>
        <v> </v>
      </c>
      <c r="V265" s="17" t="str">
        <f aca="false">IF((E265="t"),H265," ")</f>
        <v> </v>
      </c>
      <c r="W265" s="17" t="str">
        <f aca="false">IF((E265="q"),H265," ")</f>
        <v> </v>
      </c>
      <c r="X265" s="17" t="str">
        <f aca="false">IF((E265="m"),H265," ")</f>
        <v> </v>
      </c>
      <c r="Y265" s="17" t="str">
        <f aca="false">IF((E265="u"),H265," ")</f>
        <v> </v>
      </c>
      <c r="Z265" s="17" t="str">
        <f aca="false">IF((E265="a"),H265," ")</f>
        <v> </v>
      </c>
      <c r="AA265" s="17" t="str">
        <f aca="false">IF((E265="g"),H265," ")</f>
        <v> </v>
      </c>
      <c r="AB265" s="17" t="str">
        <f aca="false">IF((E265="h"),H265," ")</f>
        <v> </v>
      </c>
      <c r="AC265" s="30" t="str">
        <f aca="false">IF((E265="v"),H265," ")</f>
        <v> </v>
      </c>
      <c r="AD265" s="30" t="str">
        <f aca="false">IF((E265="n"),H265," ")</f>
        <v> </v>
      </c>
      <c r="AE265" s="17" t="str">
        <f aca="false">IF((E265="f"),H265," ")</f>
        <v> </v>
      </c>
      <c r="AF265" s="17" t="str">
        <f aca="false">IF((E265="l"),H265," ")</f>
        <v> </v>
      </c>
      <c r="AG265" s="17" t="str">
        <f aca="false">IF((E265="y"),H265," ")</f>
        <v> </v>
      </c>
      <c r="AH265" s="17" t="str">
        <f aca="false">IF((E265="z"),H265," ")</f>
        <v> </v>
      </c>
      <c r="AI265" s="17" t="str">
        <f aca="false">IF((E265="fa"),H265," ")</f>
        <v> </v>
      </c>
      <c r="AJ265" s="17" t="str">
        <f aca="false">IF((E265="e"),H265," ")</f>
        <v> </v>
      </c>
    </row>
    <row r="266" customFormat="false" ht="12" hidden="false" customHeight="false" outlineLevel="0" collapsed="false">
      <c r="A266" s="28"/>
      <c r="E266" s="2" t="str">
        <f aca="false">IF((F266&lt;&gt;0),"Enter Letter"," ")</f>
        <v> </v>
      </c>
      <c r="F266" s="30"/>
      <c r="G266" s="6" t="str">
        <f aca="false">IF(F266&lt;&gt;0,F266*G$2/(100+G$2)," ")</f>
        <v> </v>
      </c>
      <c r="H266" s="6" t="str">
        <f aca="false">IF((F266&lt;&gt;0),F266-G266," ")</f>
        <v> </v>
      </c>
      <c r="I266" s="5"/>
      <c r="L266" s="7" t="str">
        <f aca="false">IF(F266&lt;&gt;0,F266-K266," ")</f>
        <v> </v>
      </c>
      <c r="M266" s="8" t="str">
        <f aca="false">IF((F266-K266)&lt;&gt;0,M$1-A266," ")</f>
        <v> </v>
      </c>
      <c r="N266" s="5"/>
      <c r="O266" s="17" t="str">
        <f aca="false">IF((E266="s"),H266," ")</f>
        <v> </v>
      </c>
      <c r="P266" s="17" t="str">
        <f aca="false">IF((E266="c"),H266," ")</f>
        <v> </v>
      </c>
      <c r="Q266" s="17" t="str">
        <f aca="false">IF((E266="o"),H266," ")</f>
        <v> </v>
      </c>
      <c r="R266" s="17" t="str">
        <f aca="false">IF((E266="d"),H266," ")</f>
        <v> </v>
      </c>
      <c r="S266" s="17" t="str">
        <f aca="false">IF((E266="w"),H266," ")</f>
        <v> </v>
      </c>
      <c r="T266" s="17" t="str">
        <f aca="false">IF((E266="r"),H266," ")</f>
        <v> </v>
      </c>
      <c r="U266" s="17" t="str">
        <f aca="false">IF((E266="p"),H266," ")</f>
        <v> </v>
      </c>
      <c r="V266" s="17" t="str">
        <f aca="false">IF((E266="t"),H266," ")</f>
        <v> </v>
      </c>
      <c r="W266" s="17" t="str">
        <f aca="false">IF((E266="q"),H266," ")</f>
        <v> </v>
      </c>
      <c r="X266" s="17" t="str">
        <f aca="false">IF((E266="m"),H266," ")</f>
        <v> </v>
      </c>
      <c r="Y266" s="17" t="str">
        <f aca="false">IF((E266="u"),H266," ")</f>
        <v> </v>
      </c>
      <c r="Z266" s="17" t="str">
        <f aca="false">IF((E266="a"),H266," ")</f>
        <v> </v>
      </c>
      <c r="AA266" s="17" t="str">
        <f aca="false">IF((E266="g"),H266," ")</f>
        <v> </v>
      </c>
      <c r="AB266" s="17" t="str">
        <f aca="false">IF((E266="h"),H266," ")</f>
        <v> </v>
      </c>
      <c r="AC266" s="30" t="str">
        <f aca="false">IF((E266="v"),H266," ")</f>
        <v> </v>
      </c>
      <c r="AD266" s="30" t="str">
        <f aca="false">IF((E266="n"),H266," ")</f>
        <v> </v>
      </c>
      <c r="AE266" s="17" t="str">
        <f aca="false">IF((E266="f"),H266," ")</f>
        <v> </v>
      </c>
      <c r="AF266" s="17" t="str">
        <f aca="false">IF((E266="l"),H266," ")</f>
        <v> </v>
      </c>
      <c r="AG266" s="17" t="str">
        <f aca="false">IF((E266="y"),H266," ")</f>
        <v> </v>
      </c>
      <c r="AH266" s="17" t="str">
        <f aca="false">IF((E266="z"),H266," ")</f>
        <v> </v>
      </c>
      <c r="AI266" s="17" t="str">
        <f aca="false">IF((E266="fa"),H266," ")</f>
        <v> </v>
      </c>
      <c r="AJ266" s="17" t="str">
        <f aca="false">IF((E266="e"),H266," ")</f>
        <v> </v>
      </c>
    </row>
    <row r="267" customFormat="false" ht="12" hidden="false" customHeight="false" outlineLevel="0" collapsed="false">
      <c r="A267" s="28"/>
      <c r="E267" s="2" t="str">
        <f aca="false">IF((F267&lt;&gt;0),"Enter Letter"," ")</f>
        <v> </v>
      </c>
      <c r="F267" s="30"/>
      <c r="G267" s="6" t="str">
        <f aca="false">IF(F267&lt;&gt;0,F267*G$2/(100+G$2)," ")</f>
        <v> </v>
      </c>
      <c r="H267" s="6" t="str">
        <f aca="false">IF((F267&lt;&gt;0),F267-G267," ")</f>
        <v> </v>
      </c>
      <c r="I267" s="5"/>
      <c r="L267" s="7" t="str">
        <f aca="false">IF(F267&lt;&gt;0,F267-K267," ")</f>
        <v> </v>
      </c>
      <c r="M267" s="8" t="str">
        <f aca="false">IF((F267-K267)&lt;&gt;0,M$1-A267," ")</f>
        <v> </v>
      </c>
      <c r="N267" s="5"/>
      <c r="O267" s="17" t="str">
        <f aca="false">IF((E267="s"),H267," ")</f>
        <v> </v>
      </c>
      <c r="P267" s="17" t="str">
        <f aca="false">IF((E267="c"),H267," ")</f>
        <v> </v>
      </c>
      <c r="Q267" s="17" t="str">
        <f aca="false">IF((E267="o"),H267," ")</f>
        <v> </v>
      </c>
      <c r="R267" s="17" t="str">
        <f aca="false">IF((E267="d"),H267," ")</f>
        <v> </v>
      </c>
      <c r="S267" s="17" t="str">
        <f aca="false">IF((E267="w"),H267," ")</f>
        <v> </v>
      </c>
      <c r="T267" s="17" t="str">
        <f aca="false">IF((E267="r"),H267," ")</f>
        <v> </v>
      </c>
      <c r="U267" s="17" t="str">
        <f aca="false">IF((E267="p"),H267," ")</f>
        <v> </v>
      </c>
      <c r="V267" s="17" t="str">
        <f aca="false">IF((E267="t"),H267," ")</f>
        <v> </v>
      </c>
      <c r="W267" s="17" t="str">
        <f aca="false">IF((E267="q"),H267," ")</f>
        <v> </v>
      </c>
      <c r="X267" s="17" t="str">
        <f aca="false">IF((E267="m"),H267," ")</f>
        <v> </v>
      </c>
      <c r="Y267" s="17" t="str">
        <f aca="false">IF((E267="u"),H267," ")</f>
        <v> </v>
      </c>
      <c r="Z267" s="17" t="str">
        <f aca="false">IF((E267="a"),H267," ")</f>
        <v> </v>
      </c>
      <c r="AA267" s="17" t="str">
        <f aca="false">IF((E267="g"),H267," ")</f>
        <v> </v>
      </c>
      <c r="AB267" s="17" t="str">
        <f aca="false">IF((E267="h"),H267," ")</f>
        <v> </v>
      </c>
      <c r="AC267" s="30" t="str">
        <f aca="false">IF((E267="v"),H267," ")</f>
        <v> </v>
      </c>
      <c r="AD267" s="30" t="str">
        <f aca="false">IF((E267="n"),H267," ")</f>
        <v> </v>
      </c>
      <c r="AE267" s="17" t="str">
        <f aca="false">IF((E267="f"),H267," ")</f>
        <v> </v>
      </c>
      <c r="AF267" s="17" t="str">
        <f aca="false">IF((E267="l"),H267," ")</f>
        <v> </v>
      </c>
      <c r="AG267" s="17" t="str">
        <f aca="false">IF((E267="y"),H267," ")</f>
        <v> </v>
      </c>
      <c r="AH267" s="17" t="str">
        <f aca="false">IF((E267="z"),H267," ")</f>
        <v> </v>
      </c>
      <c r="AI267" s="17" t="str">
        <f aca="false">IF((E267="fa"),H267," ")</f>
        <v> </v>
      </c>
      <c r="AJ267" s="17" t="str">
        <f aca="false">IF((E267="e"),H267," ")</f>
        <v> </v>
      </c>
    </row>
    <row r="268" customFormat="false" ht="12" hidden="false" customHeight="false" outlineLevel="0" collapsed="false">
      <c r="A268" s="28"/>
      <c r="E268" s="2" t="str">
        <f aca="false">IF((F268&lt;&gt;0),"Enter Letter"," ")</f>
        <v> </v>
      </c>
      <c r="F268" s="30"/>
      <c r="G268" s="6" t="str">
        <f aca="false">IF(F268&lt;&gt;0,F268*G$2/(100+G$2)," ")</f>
        <v> </v>
      </c>
      <c r="H268" s="6" t="str">
        <f aca="false">IF((F268&lt;&gt;0),F268-G268," ")</f>
        <v> </v>
      </c>
      <c r="I268" s="5"/>
      <c r="L268" s="7" t="str">
        <f aca="false">IF(F268&lt;&gt;0,F268-K268," ")</f>
        <v> </v>
      </c>
      <c r="M268" s="8" t="str">
        <f aca="false">IF((F268-K268)&lt;&gt;0,M$1-A268," ")</f>
        <v> </v>
      </c>
      <c r="N268" s="5"/>
      <c r="O268" s="17" t="str">
        <f aca="false">IF((E268="s"),H268," ")</f>
        <v> </v>
      </c>
      <c r="P268" s="17" t="str">
        <f aca="false">IF((E268="c"),H268," ")</f>
        <v> </v>
      </c>
      <c r="Q268" s="17" t="str">
        <f aca="false">IF((E268="o"),H268," ")</f>
        <v> </v>
      </c>
      <c r="R268" s="17" t="str">
        <f aca="false">IF((E268="d"),H268," ")</f>
        <v> </v>
      </c>
      <c r="S268" s="17" t="str">
        <f aca="false">IF((E268="w"),H268," ")</f>
        <v> </v>
      </c>
      <c r="T268" s="17" t="str">
        <f aca="false">IF((E268="r"),H268," ")</f>
        <v> </v>
      </c>
      <c r="U268" s="17" t="str">
        <f aca="false">IF((E268="p"),H268," ")</f>
        <v> </v>
      </c>
      <c r="V268" s="17" t="str">
        <f aca="false">IF((E268="t"),H268," ")</f>
        <v> </v>
      </c>
      <c r="W268" s="17" t="str">
        <f aca="false">IF((E268="q"),H268," ")</f>
        <v> </v>
      </c>
      <c r="X268" s="17" t="str">
        <f aca="false">IF((E268="m"),H268," ")</f>
        <v> </v>
      </c>
      <c r="Y268" s="17" t="str">
        <f aca="false">IF((E268="u"),H268," ")</f>
        <v> </v>
      </c>
      <c r="Z268" s="17" t="str">
        <f aca="false">IF((E268="a"),H268," ")</f>
        <v> </v>
      </c>
      <c r="AA268" s="17" t="str">
        <f aca="false">IF((E268="g"),H268," ")</f>
        <v> </v>
      </c>
      <c r="AB268" s="17" t="str">
        <f aca="false">IF((E268="h"),H268," ")</f>
        <v> </v>
      </c>
      <c r="AC268" s="30" t="str">
        <f aca="false">IF((E268="v"),H268," ")</f>
        <v> </v>
      </c>
      <c r="AD268" s="30" t="str">
        <f aca="false">IF((E268="n"),H268," ")</f>
        <v> </v>
      </c>
      <c r="AE268" s="17" t="str">
        <f aca="false">IF((E268="f"),H268," ")</f>
        <v> </v>
      </c>
      <c r="AF268" s="17" t="str">
        <f aca="false">IF((E268="l"),H268," ")</f>
        <v> </v>
      </c>
      <c r="AG268" s="17" t="str">
        <f aca="false">IF((E268="y"),H268," ")</f>
        <v> </v>
      </c>
      <c r="AH268" s="17" t="str">
        <f aca="false">IF((E268="z"),H268," ")</f>
        <v> </v>
      </c>
      <c r="AI268" s="17" t="str">
        <f aca="false">IF((E268="fa"),H268," ")</f>
        <v> </v>
      </c>
      <c r="AJ268" s="17" t="str">
        <f aca="false">IF((E268="e"),H268," ")</f>
        <v> </v>
      </c>
    </row>
    <row r="269" customFormat="false" ht="12" hidden="false" customHeight="false" outlineLevel="0" collapsed="false">
      <c r="A269" s="28"/>
      <c r="E269" s="2" t="str">
        <f aca="false">IF((F269&lt;&gt;0),"Enter Letter"," ")</f>
        <v> </v>
      </c>
      <c r="F269" s="30"/>
      <c r="G269" s="6" t="str">
        <f aca="false">IF(F269&lt;&gt;0,F269*G$2/(100+G$2)," ")</f>
        <v> </v>
      </c>
      <c r="H269" s="6" t="str">
        <f aca="false">IF((F269&lt;&gt;0),F269-G269," ")</f>
        <v> </v>
      </c>
      <c r="I269" s="5"/>
      <c r="L269" s="7" t="str">
        <f aca="false">IF(F269&lt;&gt;0,F269-K269," ")</f>
        <v> </v>
      </c>
      <c r="M269" s="8" t="str">
        <f aca="false">IF((F269-K269)&lt;&gt;0,M$1-A269," ")</f>
        <v> </v>
      </c>
      <c r="N269" s="5"/>
      <c r="O269" s="17" t="str">
        <f aca="false">IF((E269="s"),H269," ")</f>
        <v> </v>
      </c>
      <c r="P269" s="17" t="str">
        <f aca="false">IF((E269="c"),H269," ")</f>
        <v> </v>
      </c>
      <c r="Q269" s="17" t="str">
        <f aca="false">IF((E269="o"),H269," ")</f>
        <v> </v>
      </c>
      <c r="R269" s="17" t="str">
        <f aca="false">IF((E269="d"),H269," ")</f>
        <v> </v>
      </c>
      <c r="S269" s="17" t="str">
        <f aca="false">IF((E269="w"),H269," ")</f>
        <v> </v>
      </c>
      <c r="T269" s="17" t="str">
        <f aca="false">IF((E269="r"),H269," ")</f>
        <v> </v>
      </c>
      <c r="U269" s="17" t="str">
        <f aca="false">IF((E269="p"),H269," ")</f>
        <v> </v>
      </c>
      <c r="V269" s="17" t="str">
        <f aca="false">IF((E269="t"),H269," ")</f>
        <v> </v>
      </c>
      <c r="W269" s="17" t="str">
        <f aca="false">IF((E269="q"),H269," ")</f>
        <v> </v>
      </c>
      <c r="X269" s="17" t="str">
        <f aca="false">IF((E269="m"),H269," ")</f>
        <v> </v>
      </c>
      <c r="Y269" s="17" t="str">
        <f aca="false">IF((E269="u"),H269," ")</f>
        <v> </v>
      </c>
      <c r="Z269" s="17" t="str">
        <f aca="false">IF((E269="a"),H269," ")</f>
        <v> </v>
      </c>
      <c r="AA269" s="17" t="str">
        <f aca="false">IF((E269="g"),H269," ")</f>
        <v> </v>
      </c>
      <c r="AB269" s="17" t="str">
        <f aca="false">IF((E269="h"),H269," ")</f>
        <v> </v>
      </c>
      <c r="AC269" s="30" t="str">
        <f aca="false">IF((E269="v"),H269," ")</f>
        <v> </v>
      </c>
      <c r="AD269" s="30" t="str">
        <f aca="false">IF((E269="n"),H269," ")</f>
        <v> </v>
      </c>
      <c r="AE269" s="17" t="str">
        <f aca="false">IF((E269="f"),H269," ")</f>
        <v> </v>
      </c>
      <c r="AF269" s="17" t="str">
        <f aca="false">IF((E269="l"),H269," ")</f>
        <v> </v>
      </c>
      <c r="AG269" s="17" t="str">
        <f aca="false">IF((E269="y"),H269," ")</f>
        <v> </v>
      </c>
      <c r="AH269" s="17" t="str">
        <f aca="false">IF((E269="z"),H269," ")</f>
        <v> </v>
      </c>
      <c r="AI269" s="17" t="str">
        <f aca="false">IF((E269="fa"),H269," ")</f>
        <v> </v>
      </c>
      <c r="AJ269" s="17" t="str">
        <f aca="false">IF((E269="e"),H269," ")</f>
        <v> </v>
      </c>
    </row>
    <row r="270" customFormat="false" ht="12" hidden="false" customHeight="false" outlineLevel="0" collapsed="false">
      <c r="A270" s="28"/>
      <c r="E270" s="2" t="str">
        <f aca="false">IF((F270&lt;&gt;0),"Enter Letter"," ")</f>
        <v> </v>
      </c>
      <c r="F270" s="30"/>
      <c r="G270" s="6" t="str">
        <f aca="false">IF(F270&lt;&gt;0,F270*G$2/(100+G$2)," ")</f>
        <v> </v>
      </c>
      <c r="H270" s="6" t="str">
        <f aca="false">IF((F270&lt;&gt;0),F270-G270," ")</f>
        <v> </v>
      </c>
      <c r="I270" s="5"/>
      <c r="L270" s="7" t="str">
        <f aca="false">IF(F270&lt;&gt;0,F270-K270," ")</f>
        <v> </v>
      </c>
      <c r="M270" s="8" t="str">
        <f aca="false">IF((F270-K270)&lt;&gt;0,M$1-A270," ")</f>
        <v> </v>
      </c>
      <c r="N270" s="5"/>
      <c r="O270" s="17" t="str">
        <f aca="false">IF((E270="s"),H270," ")</f>
        <v> </v>
      </c>
      <c r="P270" s="17" t="str">
        <f aca="false">IF((E270="c"),H270," ")</f>
        <v> </v>
      </c>
      <c r="Q270" s="17" t="str">
        <f aca="false">IF((E270="o"),H270," ")</f>
        <v> </v>
      </c>
      <c r="R270" s="17" t="str">
        <f aca="false">IF((E270="d"),H270," ")</f>
        <v> </v>
      </c>
      <c r="S270" s="17" t="str">
        <f aca="false">IF((E270="w"),H270," ")</f>
        <v> </v>
      </c>
      <c r="T270" s="17" t="str">
        <f aca="false">IF((E270="r"),H270," ")</f>
        <v> </v>
      </c>
      <c r="U270" s="17" t="str">
        <f aca="false">IF((E270="p"),H270," ")</f>
        <v> </v>
      </c>
      <c r="V270" s="17" t="str">
        <f aca="false">IF((E270="t"),H270," ")</f>
        <v> </v>
      </c>
      <c r="W270" s="17" t="str">
        <f aca="false">IF((E270="q"),H270," ")</f>
        <v> </v>
      </c>
      <c r="X270" s="17" t="str">
        <f aca="false">IF((E270="m"),H270," ")</f>
        <v> </v>
      </c>
      <c r="Y270" s="17" t="str">
        <f aca="false">IF((E270="u"),H270," ")</f>
        <v> </v>
      </c>
      <c r="Z270" s="17" t="str">
        <f aca="false">IF((E270="a"),H270," ")</f>
        <v> </v>
      </c>
      <c r="AA270" s="17" t="str">
        <f aca="false">IF((E270="g"),H270," ")</f>
        <v> </v>
      </c>
      <c r="AB270" s="17" t="str">
        <f aca="false">IF((E270="h"),H270," ")</f>
        <v> </v>
      </c>
      <c r="AC270" s="30" t="str">
        <f aca="false">IF((E270="v"),H270," ")</f>
        <v> </v>
      </c>
      <c r="AD270" s="30" t="str">
        <f aca="false">IF((E270="n"),H270," ")</f>
        <v> </v>
      </c>
      <c r="AE270" s="17" t="str">
        <f aca="false">IF((E270="f"),H270," ")</f>
        <v> </v>
      </c>
      <c r="AF270" s="17" t="str">
        <f aca="false">IF((E270="l"),H270," ")</f>
        <v> </v>
      </c>
      <c r="AG270" s="17" t="str">
        <f aca="false">IF((E270="y"),H270," ")</f>
        <v> </v>
      </c>
      <c r="AH270" s="17" t="str">
        <f aca="false">IF((E270="z"),H270," ")</f>
        <v> </v>
      </c>
      <c r="AI270" s="17" t="str">
        <f aca="false">IF((E270="fa"),H270," ")</f>
        <v> </v>
      </c>
      <c r="AJ270" s="17" t="str">
        <f aca="false">IF((E270="e"),H270," ")</f>
        <v> </v>
      </c>
    </row>
    <row r="271" customFormat="false" ht="12" hidden="false" customHeight="false" outlineLevel="0" collapsed="false">
      <c r="A271" s="28"/>
      <c r="E271" s="2" t="str">
        <f aca="false">IF((F271&lt;&gt;0),"Enter Letter"," ")</f>
        <v> </v>
      </c>
      <c r="F271" s="30"/>
      <c r="G271" s="6" t="str">
        <f aca="false">IF(F271&lt;&gt;0,F271*G$2/(100+G$2)," ")</f>
        <v> </v>
      </c>
      <c r="H271" s="6" t="str">
        <f aca="false">IF((F271&lt;&gt;0),F271-G271," ")</f>
        <v> </v>
      </c>
      <c r="I271" s="5"/>
      <c r="L271" s="7" t="str">
        <f aca="false">IF(F271&lt;&gt;0,F271-K271," ")</f>
        <v> </v>
      </c>
      <c r="M271" s="8" t="str">
        <f aca="false">IF((F271-K271)&lt;&gt;0,M$1-A271," ")</f>
        <v> </v>
      </c>
      <c r="N271" s="5"/>
      <c r="O271" s="17" t="str">
        <f aca="false">IF((E271="s"),H271," ")</f>
        <v> </v>
      </c>
      <c r="P271" s="17" t="str">
        <f aca="false">IF((E271="c"),H271," ")</f>
        <v> </v>
      </c>
      <c r="Q271" s="17" t="str">
        <f aca="false">IF((E271="o"),H271," ")</f>
        <v> </v>
      </c>
      <c r="R271" s="17" t="str">
        <f aca="false">IF((E271="d"),H271," ")</f>
        <v> </v>
      </c>
      <c r="S271" s="17" t="str">
        <f aca="false">IF((E271="w"),H271," ")</f>
        <v> </v>
      </c>
      <c r="T271" s="17" t="str">
        <f aca="false">IF((E271="r"),H271," ")</f>
        <v> </v>
      </c>
      <c r="U271" s="17" t="str">
        <f aca="false">IF((E271="p"),H271," ")</f>
        <v> </v>
      </c>
      <c r="V271" s="17" t="str">
        <f aca="false">IF((E271="t"),H271," ")</f>
        <v> </v>
      </c>
      <c r="W271" s="17" t="str">
        <f aca="false">IF((E271="q"),H271," ")</f>
        <v> </v>
      </c>
      <c r="X271" s="17" t="str">
        <f aca="false">IF((E271="m"),H271," ")</f>
        <v> </v>
      </c>
      <c r="Y271" s="17" t="str">
        <f aca="false">IF((E271="u"),H271," ")</f>
        <v> </v>
      </c>
      <c r="Z271" s="17" t="str">
        <f aca="false">IF((E271="a"),H271," ")</f>
        <v> </v>
      </c>
      <c r="AA271" s="17" t="str">
        <f aca="false">IF((E271="g"),H271," ")</f>
        <v> </v>
      </c>
      <c r="AB271" s="17" t="str">
        <f aca="false">IF((E271="h"),H271," ")</f>
        <v> </v>
      </c>
      <c r="AC271" s="30" t="str">
        <f aca="false">IF((E271="v"),H271," ")</f>
        <v> </v>
      </c>
      <c r="AD271" s="30" t="str">
        <f aca="false">IF((E271="n"),H271," ")</f>
        <v> </v>
      </c>
      <c r="AE271" s="17" t="str">
        <f aca="false">IF((E271="f"),H271," ")</f>
        <v> </v>
      </c>
      <c r="AF271" s="17" t="str">
        <f aca="false">IF((E271="l"),H271," ")</f>
        <v> </v>
      </c>
      <c r="AG271" s="17" t="str">
        <f aca="false">IF((E271="y"),H271," ")</f>
        <v> </v>
      </c>
      <c r="AH271" s="17" t="str">
        <f aca="false">IF((E271="z"),H271," ")</f>
        <v> </v>
      </c>
      <c r="AI271" s="17" t="str">
        <f aca="false">IF((E271="fa"),H271," ")</f>
        <v> </v>
      </c>
      <c r="AJ271" s="17" t="str">
        <f aca="false">IF((E271="e"),H271," ")</f>
        <v> </v>
      </c>
    </row>
    <row r="272" customFormat="false" ht="12" hidden="false" customHeight="false" outlineLevel="0" collapsed="false">
      <c r="A272" s="28"/>
      <c r="E272" s="2" t="str">
        <f aca="false">IF((F272&lt;&gt;0),"Enter Letter"," ")</f>
        <v> </v>
      </c>
      <c r="F272" s="30"/>
      <c r="G272" s="6" t="str">
        <f aca="false">IF(F272&lt;&gt;0,F272*G$2/(100+G$2)," ")</f>
        <v> </v>
      </c>
      <c r="H272" s="6" t="str">
        <f aca="false">IF((F272&lt;&gt;0),F272-G272," ")</f>
        <v> </v>
      </c>
      <c r="I272" s="5"/>
      <c r="L272" s="7" t="str">
        <f aca="false">IF(F272&lt;&gt;0,F272-K272," ")</f>
        <v> </v>
      </c>
      <c r="M272" s="8" t="str">
        <f aca="false">IF((F272-K272)&lt;&gt;0,M$1-A272," ")</f>
        <v> </v>
      </c>
      <c r="N272" s="5"/>
      <c r="O272" s="17" t="str">
        <f aca="false">IF((E272="s"),H272," ")</f>
        <v> </v>
      </c>
      <c r="P272" s="17" t="str">
        <f aca="false">IF((E272="c"),H272," ")</f>
        <v> </v>
      </c>
      <c r="Q272" s="17" t="str">
        <f aca="false">IF((E272="o"),H272," ")</f>
        <v> </v>
      </c>
      <c r="R272" s="17" t="str">
        <f aca="false">IF((E272="d"),H272," ")</f>
        <v> </v>
      </c>
      <c r="S272" s="17" t="str">
        <f aca="false">IF((E272="w"),H272," ")</f>
        <v> </v>
      </c>
      <c r="T272" s="17" t="str">
        <f aca="false">IF((E272="r"),H272," ")</f>
        <v> </v>
      </c>
      <c r="U272" s="17" t="str">
        <f aca="false">IF((E272="p"),H272," ")</f>
        <v> </v>
      </c>
      <c r="V272" s="17" t="str">
        <f aca="false">IF((E272="t"),H272," ")</f>
        <v> </v>
      </c>
      <c r="W272" s="17" t="str">
        <f aca="false">IF((E272="q"),H272," ")</f>
        <v> </v>
      </c>
      <c r="X272" s="17" t="str">
        <f aca="false">IF((E272="m"),H272," ")</f>
        <v> </v>
      </c>
      <c r="Y272" s="17" t="str">
        <f aca="false">IF((E272="u"),H272," ")</f>
        <v> </v>
      </c>
      <c r="Z272" s="17" t="str">
        <f aca="false">IF((E272="a"),H272," ")</f>
        <v> </v>
      </c>
      <c r="AA272" s="17" t="str">
        <f aca="false">IF((E272="g"),H272," ")</f>
        <v> </v>
      </c>
      <c r="AB272" s="17" t="str">
        <f aca="false">IF((E272="h"),H272," ")</f>
        <v> </v>
      </c>
      <c r="AC272" s="30" t="str">
        <f aca="false">IF((E272="v"),H272," ")</f>
        <v> </v>
      </c>
      <c r="AD272" s="30" t="str">
        <f aca="false">IF((E272="n"),H272," ")</f>
        <v> </v>
      </c>
      <c r="AE272" s="17" t="str">
        <f aca="false">IF((E272="f"),H272," ")</f>
        <v> </v>
      </c>
      <c r="AF272" s="17" t="str">
        <f aca="false">IF((E272="l"),H272," ")</f>
        <v> </v>
      </c>
      <c r="AG272" s="17" t="str">
        <f aca="false">IF((E272="y"),H272," ")</f>
        <v> </v>
      </c>
      <c r="AH272" s="17" t="str">
        <f aca="false">IF((E272="z"),H272," ")</f>
        <v> </v>
      </c>
      <c r="AI272" s="17" t="str">
        <f aca="false">IF((E272="fa"),H272," ")</f>
        <v> </v>
      </c>
      <c r="AJ272" s="17" t="str">
        <f aca="false">IF((E272="e"),H272," ")</f>
        <v> </v>
      </c>
    </row>
    <row r="273" customFormat="false" ht="12" hidden="false" customHeight="false" outlineLevel="0" collapsed="false">
      <c r="A273" s="28"/>
      <c r="E273" s="2" t="str">
        <f aca="false">IF((F273&lt;&gt;0),"Enter Letter"," ")</f>
        <v> </v>
      </c>
      <c r="F273" s="30"/>
      <c r="G273" s="6" t="str">
        <f aca="false">IF(F273&lt;&gt;0,F273*G$2/(100+G$2)," ")</f>
        <v> </v>
      </c>
      <c r="H273" s="6" t="str">
        <f aca="false">IF((F273&lt;&gt;0),F273-G273," ")</f>
        <v> </v>
      </c>
      <c r="I273" s="5"/>
      <c r="L273" s="7" t="str">
        <f aca="false">IF(F273&lt;&gt;0,F273-K273," ")</f>
        <v> </v>
      </c>
      <c r="M273" s="8" t="str">
        <f aca="false">IF((F273-K273)&lt;&gt;0,M$1-A273," ")</f>
        <v> </v>
      </c>
      <c r="N273" s="5"/>
      <c r="O273" s="17" t="str">
        <f aca="false">IF((E273="s"),H273," ")</f>
        <v> </v>
      </c>
      <c r="P273" s="17" t="str">
        <f aca="false">IF((E273="c"),H273," ")</f>
        <v> </v>
      </c>
      <c r="Q273" s="17" t="str">
        <f aca="false">IF((E273="o"),H273," ")</f>
        <v> </v>
      </c>
      <c r="R273" s="17" t="str">
        <f aca="false">IF((E273="d"),H273," ")</f>
        <v> </v>
      </c>
      <c r="S273" s="17" t="str">
        <f aca="false">IF((E273="w"),H273," ")</f>
        <v> </v>
      </c>
      <c r="T273" s="17" t="str">
        <f aca="false">IF((E273="r"),H273," ")</f>
        <v> </v>
      </c>
      <c r="U273" s="17" t="str">
        <f aca="false">IF((E273="p"),H273," ")</f>
        <v> </v>
      </c>
      <c r="V273" s="17" t="str">
        <f aca="false">IF((E273="t"),H273," ")</f>
        <v> </v>
      </c>
      <c r="W273" s="17" t="str">
        <f aca="false">IF((E273="q"),H273," ")</f>
        <v> </v>
      </c>
      <c r="X273" s="17" t="str">
        <f aca="false">IF((E273="m"),H273," ")</f>
        <v> </v>
      </c>
      <c r="Y273" s="17" t="str">
        <f aca="false">IF((E273="u"),H273," ")</f>
        <v> </v>
      </c>
      <c r="Z273" s="17" t="str">
        <f aca="false">IF((E273="a"),H273," ")</f>
        <v> </v>
      </c>
      <c r="AA273" s="17" t="str">
        <f aca="false">IF((E273="g"),H273," ")</f>
        <v> </v>
      </c>
      <c r="AB273" s="17" t="str">
        <f aca="false">IF((E273="h"),H273," ")</f>
        <v> </v>
      </c>
      <c r="AC273" s="30" t="str">
        <f aca="false">IF((E273="v"),H273," ")</f>
        <v> </v>
      </c>
      <c r="AD273" s="30" t="str">
        <f aca="false">IF((E273="n"),H273," ")</f>
        <v> </v>
      </c>
      <c r="AE273" s="17" t="str">
        <f aca="false">IF((E273="f"),H273," ")</f>
        <v> </v>
      </c>
      <c r="AF273" s="17" t="str">
        <f aca="false">IF((E273="l"),H273," ")</f>
        <v> </v>
      </c>
      <c r="AG273" s="17" t="str">
        <f aca="false">IF((E273="y"),H273," ")</f>
        <v> </v>
      </c>
      <c r="AH273" s="17" t="str">
        <f aca="false">IF((E273="z"),H273," ")</f>
        <v> </v>
      </c>
      <c r="AI273" s="17" t="str">
        <f aca="false">IF((E273="fa"),H273," ")</f>
        <v> </v>
      </c>
      <c r="AJ273" s="17" t="str">
        <f aca="false">IF((E273="e"),H273," ")</f>
        <v> </v>
      </c>
    </row>
    <row r="274" customFormat="false" ht="12" hidden="false" customHeight="false" outlineLevel="0" collapsed="false">
      <c r="A274" s="28"/>
      <c r="E274" s="2" t="str">
        <f aca="false">IF((F274&lt;&gt;0),"Enter Letter"," ")</f>
        <v> </v>
      </c>
      <c r="F274" s="30"/>
      <c r="G274" s="6" t="str">
        <f aca="false">IF(F274&lt;&gt;0,F274*G$2/(100+G$2)," ")</f>
        <v> </v>
      </c>
      <c r="H274" s="6" t="str">
        <f aca="false">IF((F274&lt;&gt;0),F274-G274," ")</f>
        <v> </v>
      </c>
      <c r="I274" s="5"/>
      <c r="L274" s="7" t="str">
        <f aca="false">IF(F274&lt;&gt;0,F274-K274," ")</f>
        <v> </v>
      </c>
      <c r="M274" s="8" t="str">
        <f aca="false">IF((F274-K274)&lt;&gt;0,M$1-A274," ")</f>
        <v> </v>
      </c>
      <c r="N274" s="5"/>
      <c r="O274" s="17" t="str">
        <f aca="false">IF((E274="s"),H274," ")</f>
        <v> </v>
      </c>
      <c r="P274" s="17" t="str">
        <f aca="false">IF((E274="c"),H274," ")</f>
        <v> </v>
      </c>
      <c r="Q274" s="17" t="str">
        <f aca="false">IF((E274="o"),H274," ")</f>
        <v> </v>
      </c>
      <c r="R274" s="17" t="str">
        <f aca="false">IF((E274="d"),H274," ")</f>
        <v> </v>
      </c>
      <c r="S274" s="17" t="str">
        <f aca="false">IF((E274="w"),H274," ")</f>
        <v> </v>
      </c>
      <c r="T274" s="17" t="str">
        <f aca="false">IF((E274="r"),H274," ")</f>
        <v> </v>
      </c>
      <c r="U274" s="17" t="str">
        <f aca="false">IF((E274="p"),H274," ")</f>
        <v> </v>
      </c>
      <c r="V274" s="17" t="str">
        <f aca="false">IF((E274="t"),H274," ")</f>
        <v> </v>
      </c>
      <c r="W274" s="17" t="str">
        <f aca="false">IF((E274="q"),H274," ")</f>
        <v> </v>
      </c>
      <c r="X274" s="17" t="str">
        <f aca="false">IF((E274="m"),H274," ")</f>
        <v> </v>
      </c>
      <c r="Y274" s="17" t="str">
        <f aca="false">IF((E274="u"),H274," ")</f>
        <v> </v>
      </c>
      <c r="Z274" s="17" t="str">
        <f aca="false">IF((E274="a"),H274," ")</f>
        <v> </v>
      </c>
      <c r="AA274" s="17" t="str">
        <f aca="false">IF((E274="g"),H274," ")</f>
        <v> </v>
      </c>
      <c r="AB274" s="17" t="str">
        <f aca="false">IF((E274="h"),H274," ")</f>
        <v> </v>
      </c>
      <c r="AC274" s="30" t="str">
        <f aca="false">IF((E274="v"),H274," ")</f>
        <v> </v>
      </c>
      <c r="AD274" s="30" t="str">
        <f aca="false">IF((E274="n"),H274," ")</f>
        <v> </v>
      </c>
      <c r="AE274" s="17" t="str">
        <f aca="false">IF((E274="f"),H274," ")</f>
        <v> </v>
      </c>
      <c r="AF274" s="17" t="str">
        <f aca="false">IF((E274="l"),H274," ")</f>
        <v> </v>
      </c>
      <c r="AG274" s="17" t="str">
        <f aca="false">IF((E274="y"),H274," ")</f>
        <v> </v>
      </c>
      <c r="AH274" s="17" t="str">
        <f aca="false">IF((E274="z"),H274," ")</f>
        <v> </v>
      </c>
      <c r="AI274" s="17" t="str">
        <f aca="false">IF((E274="fa"),H274," ")</f>
        <v> </v>
      </c>
      <c r="AJ274" s="17" t="str">
        <f aca="false">IF((E274="e"),H274," ")</f>
        <v> </v>
      </c>
    </row>
    <row r="275" customFormat="false" ht="12" hidden="false" customHeight="false" outlineLevel="0" collapsed="false">
      <c r="A275" s="28"/>
      <c r="E275" s="2" t="str">
        <f aca="false">IF((F275&lt;&gt;0),"Enter Letter"," ")</f>
        <v> </v>
      </c>
      <c r="F275" s="30"/>
      <c r="G275" s="6" t="str">
        <f aca="false">IF(F275&lt;&gt;0,F275*G$2/(100+G$2)," ")</f>
        <v> </v>
      </c>
      <c r="H275" s="6" t="str">
        <f aca="false">IF((F275&lt;&gt;0),F275-G275," ")</f>
        <v> </v>
      </c>
      <c r="I275" s="5"/>
      <c r="L275" s="7" t="str">
        <f aca="false">IF(F275&lt;&gt;0,F275-K275," ")</f>
        <v> </v>
      </c>
      <c r="M275" s="8" t="str">
        <f aca="false">IF((F275-K275)&lt;&gt;0,M$1-A275," ")</f>
        <v> </v>
      </c>
      <c r="N275" s="5"/>
      <c r="O275" s="17" t="str">
        <f aca="false">IF((E275="s"),H275," ")</f>
        <v> </v>
      </c>
      <c r="P275" s="17" t="str">
        <f aca="false">IF((E275="c"),H275," ")</f>
        <v> </v>
      </c>
      <c r="Q275" s="17" t="str">
        <f aca="false">IF((E275="o"),H275," ")</f>
        <v> </v>
      </c>
      <c r="R275" s="17" t="str">
        <f aca="false">IF((E275="d"),H275," ")</f>
        <v> </v>
      </c>
      <c r="S275" s="17" t="str">
        <f aca="false">IF((E275="w"),H275," ")</f>
        <v> </v>
      </c>
      <c r="T275" s="17" t="str">
        <f aca="false">IF((E275="r"),H275," ")</f>
        <v> </v>
      </c>
      <c r="U275" s="17" t="str">
        <f aca="false">IF((E275="p"),H275," ")</f>
        <v> </v>
      </c>
      <c r="V275" s="17" t="str">
        <f aca="false">IF((E275="t"),H275," ")</f>
        <v> </v>
      </c>
      <c r="W275" s="17" t="str">
        <f aca="false">IF((E275="q"),H275," ")</f>
        <v> </v>
      </c>
      <c r="X275" s="17" t="str">
        <f aca="false">IF((E275="m"),H275," ")</f>
        <v> </v>
      </c>
      <c r="Y275" s="17" t="str">
        <f aca="false">IF((E275="u"),H275," ")</f>
        <v> </v>
      </c>
      <c r="Z275" s="17" t="str">
        <f aca="false">IF((E275="a"),H275," ")</f>
        <v> </v>
      </c>
      <c r="AA275" s="17" t="str">
        <f aca="false">IF((E275="g"),H275," ")</f>
        <v> </v>
      </c>
      <c r="AB275" s="17" t="str">
        <f aca="false">IF((E275="h"),H275," ")</f>
        <v> </v>
      </c>
      <c r="AC275" s="30" t="str">
        <f aca="false">IF((E275="v"),H275," ")</f>
        <v> </v>
      </c>
      <c r="AD275" s="30" t="str">
        <f aca="false">IF((E275="n"),H275," ")</f>
        <v> </v>
      </c>
      <c r="AE275" s="17" t="str">
        <f aca="false">IF((E275="f"),H275," ")</f>
        <v> </v>
      </c>
      <c r="AF275" s="17" t="str">
        <f aca="false">IF((E275="l"),H275," ")</f>
        <v> </v>
      </c>
      <c r="AG275" s="17" t="str">
        <f aca="false">IF((E275="y"),H275," ")</f>
        <v> </v>
      </c>
      <c r="AH275" s="17" t="str">
        <f aca="false">IF((E275="z"),H275," ")</f>
        <v> </v>
      </c>
      <c r="AI275" s="17" t="str">
        <f aca="false">IF((E275="fa"),H275," ")</f>
        <v> </v>
      </c>
      <c r="AJ275" s="17" t="str">
        <f aca="false">IF((E275="e"),H275," ")</f>
        <v> </v>
      </c>
    </row>
    <row r="276" customFormat="false" ht="12" hidden="false" customHeight="false" outlineLevel="0" collapsed="false">
      <c r="A276" s="28"/>
      <c r="E276" s="2" t="str">
        <f aca="false">IF((F276&lt;&gt;0),"Enter Letter"," ")</f>
        <v> </v>
      </c>
      <c r="F276" s="30"/>
      <c r="G276" s="6" t="str">
        <f aca="false">IF(F276&lt;&gt;0,F276*G$2/(100+G$2)," ")</f>
        <v> </v>
      </c>
      <c r="H276" s="6" t="str">
        <f aca="false">IF((F276&lt;&gt;0),F276-G276," ")</f>
        <v> </v>
      </c>
      <c r="I276" s="5"/>
      <c r="L276" s="7" t="str">
        <f aca="false">IF(F276&lt;&gt;0,F276-K276," ")</f>
        <v> </v>
      </c>
      <c r="M276" s="8" t="str">
        <f aca="false">IF((F276-K276)&lt;&gt;0,M$1-A276," ")</f>
        <v> </v>
      </c>
      <c r="N276" s="5"/>
      <c r="O276" s="17" t="str">
        <f aca="false">IF((E276="s"),H276," ")</f>
        <v> </v>
      </c>
      <c r="P276" s="17" t="str">
        <f aca="false">IF((E276="c"),H276," ")</f>
        <v> </v>
      </c>
      <c r="Q276" s="17" t="str">
        <f aca="false">IF((E276="o"),H276," ")</f>
        <v> </v>
      </c>
      <c r="R276" s="17" t="str">
        <f aca="false">IF((E276="d"),H276," ")</f>
        <v> </v>
      </c>
      <c r="S276" s="17" t="str">
        <f aca="false">IF((E276="w"),H276," ")</f>
        <v> </v>
      </c>
      <c r="T276" s="17" t="str">
        <f aca="false">IF((E276="r"),H276," ")</f>
        <v> </v>
      </c>
      <c r="U276" s="17" t="str">
        <f aca="false">IF((E276="p"),H276," ")</f>
        <v> </v>
      </c>
      <c r="V276" s="17" t="str">
        <f aca="false">IF((E276="t"),H276," ")</f>
        <v> </v>
      </c>
      <c r="W276" s="17" t="str">
        <f aca="false">IF((E276="q"),H276," ")</f>
        <v> </v>
      </c>
      <c r="X276" s="17" t="str">
        <f aca="false">IF((E276="m"),H276," ")</f>
        <v> </v>
      </c>
      <c r="Y276" s="17" t="str">
        <f aca="false">IF((E276="u"),H276," ")</f>
        <v> </v>
      </c>
      <c r="Z276" s="17" t="str">
        <f aca="false">IF((E276="a"),H276," ")</f>
        <v> </v>
      </c>
      <c r="AA276" s="17" t="str">
        <f aca="false">IF((E276="g"),H276," ")</f>
        <v> </v>
      </c>
      <c r="AB276" s="17" t="str">
        <f aca="false">IF((E276="h"),H276," ")</f>
        <v> </v>
      </c>
      <c r="AC276" s="30" t="str">
        <f aca="false">IF((E276="v"),H276," ")</f>
        <v> </v>
      </c>
      <c r="AD276" s="30" t="str">
        <f aca="false">IF((E276="n"),H276," ")</f>
        <v> </v>
      </c>
      <c r="AE276" s="17" t="str">
        <f aca="false">IF((E276="f"),H276," ")</f>
        <v> </v>
      </c>
      <c r="AF276" s="17" t="str">
        <f aca="false">IF((E276="l"),H276," ")</f>
        <v> </v>
      </c>
      <c r="AG276" s="17" t="str">
        <f aca="false">IF((E276="y"),H276," ")</f>
        <v> </v>
      </c>
      <c r="AH276" s="17" t="str">
        <f aca="false">IF((E276="z"),H276," ")</f>
        <v> </v>
      </c>
      <c r="AI276" s="17" t="str">
        <f aca="false">IF((E276="fa"),H276," ")</f>
        <v> </v>
      </c>
      <c r="AJ276" s="17" t="str">
        <f aca="false">IF((E276="e"),H276," ")</f>
        <v> </v>
      </c>
    </row>
    <row r="277" customFormat="false" ht="12" hidden="false" customHeight="false" outlineLevel="0" collapsed="false">
      <c r="A277" s="28"/>
      <c r="E277" s="2" t="str">
        <f aca="false">IF((F277&lt;&gt;0),"Enter Letter"," ")</f>
        <v> </v>
      </c>
      <c r="F277" s="30"/>
      <c r="G277" s="6" t="str">
        <f aca="false">IF(F277&lt;&gt;0,F277*G$2/(100+G$2)," ")</f>
        <v> </v>
      </c>
      <c r="H277" s="6" t="str">
        <f aca="false">IF((F277&lt;&gt;0),F277-G277," ")</f>
        <v> </v>
      </c>
      <c r="I277" s="5"/>
      <c r="L277" s="7" t="str">
        <f aca="false">IF(F277&lt;&gt;0,F277-K277," ")</f>
        <v> </v>
      </c>
      <c r="M277" s="8" t="str">
        <f aca="false">IF((F277-K277)&lt;&gt;0,M$1-A277," ")</f>
        <v> </v>
      </c>
      <c r="N277" s="5"/>
      <c r="O277" s="17" t="str">
        <f aca="false">IF((E277="s"),H277," ")</f>
        <v> </v>
      </c>
      <c r="P277" s="17" t="str">
        <f aca="false">IF((E277="c"),H277," ")</f>
        <v> </v>
      </c>
      <c r="Q277" s="17" t="str">
        <f aca="false">IF((E277="o"),H277," ")</f>
        <v> </v>
      </c>
      <c r="R277" s="17" t="str">
        <f aca="false">IF((E277="d"),H277," ")</f>
        <v> </v>
      </c>
      <c r="S277" s="17" t="str">
        <f aca="false">IF((E277="w"),H277," ")</f>
        <v> </v>
      </c>
      <c r="T277" s="17" t="str">
        <f aca="false">IF((E277="r"),H277," ")</f>
        <v> </v>
      </c>
      <c r="U277" s="17" t="str">
        <f aca="false">IF((E277="p"),H277," ")</f>
        <v> </v>
      </c>
      <c r="V277" s="17" t="str">
        <f aca="false">IF((E277="t"),H277," ")</f>
        <v> </v>
      </c>
      <c r="W277" s="17" t="str">
        <f aca="false">IF((E277="q"),H277," ")</f>
        <v> </v>
      </c>
      <c r="X277" s="17" t="str">
        <f aca="false">IF((E277="m"),H277," ")</f>
        <v> </v>
      </c>
      <c r="Y277" s="17" t="str">
        <f aca="false">IF((E277="u"),H277," ")</f>
        <v> </v>
      </c>
      <c r="Z277" s="17" t="str">
        <f aca="false">IF((E277="a"),H277," ")</f>
        <v> </v>
      </c>
      <c r="AA277" s="17" t="str">
        <f aca="false">IF((E277="g"),H277," ")</f>
        <v> </v>
      </c>
      <c r="AB277" s="17" t="str">
        <f aca="false">IF((E277="h"),H277," ")</f>
        <v> </v>
      </c>
      <c r="AC277" s="30" t="str">
        <f aca="false">IF((E277="v"),H277," ")</f>
        <v> </v>
      </c>
      <c r="AD277" s="30" t="str">
        <f aca="false">IF((E277="n"),H277," ")</f>
        <v> </v>
      </c>
      <c r="AE277" s="17" t="str">
        <f aca="false">IF((E277="f"),H277," ")</f>
        <v> </v>
      </c>
      <c r="AF277" s="17" t="str">
        <f aca="false">IF((E277="l"),H277," ")</f>
        <v> </v>
      </c>
      <c r="AG277" s="17" t="str">
        <f aca="false">IF((E277="y"),H277," ")</f>
        <v> </v>
      </c>
      <c r="AH277" s="17" t="str">
        <f aca="false">IF((E277="z"),H277," ")</f>
        <v> </v>
      </c>
      <c r="AI277" s="17" t="str">
        <f aca="false">IF((E277="fa"),H277," ")</f>
        <v> </v>
      </c>
      <c r="AJ277" s="17" t="str">
        <f aca="false">IF((E277="e"),H277," ")</f>
        <v> </v>
      </c>
    </row>
    <row r="278" customFormat="false" ht="12" hidden="false" customHeight="false" outlineLevel="0" collapsed="false">
      <c r="A278" s="28"/>
      <c r="E278" s="2" t="str">
        <f aca="false">IF((F278&lt;&gt;0),"Enter Letter"," ")</f>
        <v> </v>
      </c>
      <c r="F278" s="30"/>
      <c r="G278" s="6" t="str">
        <f aca="false">IF(F278&lt;&gt;0,F278*G$2/(100+G$2)," ")</f>
        <v> </v>
      </c>
      <c r="H278" s="6" t="str">
        <f aca="false">IF((F278&lt;&gt;0),F278-G278," ")</f>
        <v> </v>
      </c>
      <c r="I278" s="5"/>
      <c r="L278" s="7" t="str">
        <f aca="false">IF(F278&lt;&gt;0,F278-K278," ")</f>
        <v> </v>
      </c>
      <c r="M278" s="8" t="str">
        <f aca="false">IF((F278-K278)&lt;&gt;0,M$1-A278," ")</f>
        <v> </v>
      </c>
      <c r="N278" s="5"/>
      <c r="O278" s="17" t="str">
        <f aca="false">IF((E278="s"),H278," ")</f>
        <v> </v>
      </c>
      <c r="P278" s="17" t="str">
        <f aca="false">IF((E278="c"),H278," ")</f>
        <v> </v>
      </c>
      <c r="Q278" s="17" t="str">
        <f aca="false">IF((E278="o"),H278," ")</f>
        <v> </v>
      </c>
      <c r="R278" s="17" t="str">
        <f aca="false">IF((E278="d"),H278," ")</f>
        <v> </v>
      </c>
      <c r="S278" s="17" t="str">
        <f aca="false">IF((E278="w"),H278," ")</f>
        <v> </v>
      </c>
      <c r="T278" s="17" t="str">
        <f aca="false">IF((E278="r"),H278," ")</f>
        <v> </v>
      </c>
      <c r="U278" s="17" t="str">
        <f aca="false">IF((E278="p"),H278," ")</f>
        <v> </v>
      </c>
      <c r="V278" s="17" t="str">
        <f aca="false">IF((E278="t"),H278," ")</f>
        <v> </v>
      </c>
      <c r="W278" s="17" t="str">
        <f aca="false">IF((E278="q"),H278," ")</f>
        <v> </v>
      </c>
      <c r="X278" s="17" t="str">
        <f aca="false">IF((E278="m"),H278," ")</f>
        <v> </v>
      </c>
      <c r="Y278" s="17" t="str">
        <f aca="false">IF((E278="u"),H278," ")</f>
        <v> </v>
      </c>
      <c r="Z278" s="17" t="str">
        <f aca="false">IF((E278="a"),H278," ")</f>
        <v> </v>
      </c>
      <c r="AA278" s="17" t="str">
        <f aca="false">IF((E278="g"),H278," ")</f>
        <v> </v>
      </c>
      <c r="AB278" s="17" t="str">
        <f aca="false">IF((E278="h"),H278," ")</f>
        <v> </v>
      </c>
      <c r="AC278" s="30" t="str">
        <f aca="false">IF((E278="v"),H278," ")</f>
        <v> </v>
      </c>
      <c r="AD278" s="30" t="str">
        <f aca="false">IF((E278="n"),H278," ")</f>
        <v> </v>
      </c>
      <c r="AE278" s="17" t="str">
        <f aca="false">IF((E278="f"),H278," ")</f>
        <v> </v>
      </c>
      <c r="AF278" s="17" t="str">
        <f aca="false">IF((E278="l"),H278," ")</f>
        <v> </v>
      </c>
      <c r="AG278" s="17" t="str">
        <f aca="false">IF((E278="y"),H278," ")</f>
        <v> </v>
      </c>
      <c r="AH278" s="17" t="str">
        <f aca="false">IF((E278="z"),H278," ")</f>
        <v> </v>
      </c>
      <c r="AI278" s="17" t="str">
        <f aca="false">IF((E278="fa"),H278," ")</f>
        <v> </v>
      </c>
      <c r="AJ278" s="17" t="str">
        <f aca="false">IF((E278="e"),H278," ")</f>
        <v> </v>
      </c>
    </row>
    <row r="279" customFormat="false" ht="12" hidden="false" customHeight="false" outlineLevel="0" collapsed="false">
      <c r="A279" s="28"/>
      <c r="E279" s="2" t="str">
        <f aca="false">IF((F279&lt;&gt;0),"Enter Letter"," ")</f>
        <v> </v>
      </c>
      <c r="F279" s="30"/>
      <c r="G279" s="6" t="str">
        <f aca="false">IF(F279&lt;&gt;0,F279*G$2/(100+G$2)," ")</f>
        <v> </v>
      </c>
      <c r="H279" s="6" t="str">
        <f aca="false">IF((F279&lt;&gt;0),F279-G279," ")</f>
        <v> </v>
      </c>
      <c r="I279" s="5"/>
      <c r="L279" s="7" t="str">
        <f aca="false">IF(F279&lt;&gt;0,F279-K279," ")</f>
        <v> </v>
      </c>
      <c r="M279" s="8" t="str">
        <f aca="false">IF((F279-K279)&lt;&gt;0,M$1-A279," ")</f>
        <v> </v>
      </c>
      <c r="N279" s="5"/>
      <c r="O279" s="17" t="str">
        <f aca="false">IF((E279="s"),H279," ")</f>
        <v> </v>
      </c>
      <c r="P279" s="17" t="str">
        <f aca="false">IF((E279="c"),H279," ")</f>
        <v> </v>
      </c>
      <c r="Q279" s="17" t="str">
        <f aca="false">IF((E279="o"),H279," ")</f>
        <v> </v>
      </c>
      <c r="R279" s="17" t="str">
        <f aca="false">IF((E279="d"),H279," ")</f>
        <v> </v>
      </c>
      <c r="S279" s="17" t="str">
        <f aca="false">IF((E279="w"),H279," ")</f>
        <v> </v>
      </c>
      <c r="T279" s="17" t="str">
        <f aca="false">IF((E279="r"),H279," ")</f>
        <v> </v>
      </c>
      <c r="U279" s="17" t="str">
        <f aca="false">IF((E279="p"),H279," ")</f>
        <v> </v>
      </c>
      <c r="V279" s="17" t="str">
        <f aca="false">IF((E279="t"),H279," ")</f>
        <v> </v>
      </c>
      <c r="W279" s="17" t="str">
        <f aca="false">IF((E279="q"),H279," ")</f>
        <v> </v>
      </c>
      <c r="X279" s="17" t="str">
        <f aca="false">IF((E279="m"),H279," ")</f>
        <v> </v>
      </c>
      <c r="Y279" s="17" t="str">
        <f aca="false">IF((E279="u"),H279," ")</f>
        <v> </v>
      </c>
      <c r="Z279" s="17" t="str">
        <f aca="false">IF((E279="a"),H279," ")</f>
        <v> </v>
      </c>
      <c r="AA279" s="17" t="str">
        <f aca="false">IF((E279="g"),H279," ")</f>
        <v> </v>
      </c>
      <c r="AB279" s="17" t="str">
        <f aca="false">IF((E279="h"),H279," ")</f>
        <v> </v>
      </c>
      <c r="AC279" s="30" t="str">
        <f aca="false">IF((E279="v"),H279," ")</f>
        <v> </v>
      </c>
      <c r="AD279" s="30" t="str">
        <f aca="false">IF((E279="n"),H279," ")</f>
        <v> </v>
      </c>
      <c r="AE279" s="17" t="str">
        <f aca="false">IF((E279="f"),H279," ")</f>
        <v> </v>
      </c>
      <c r="AF279" s="17" t="str">
        <f aca="false">IF((E279="l"),H279," ")</f>
        <v> </v>
      </c>
      <c r="AG279" s="17" t="str">
        <f aca="false">IF((E279="y"),H279," ")</f>
        <v> </v>
      </c>
      <c r="AH279" s="17" t="str">
        <f aca="false">IF((E279="z"),H279," ")</f>
        <v> </v>
      </c>
      <c r="AI279" s="17" t="str">
        <f aca="false">IF((E279="fa"),H279," ")</f>
        <v> </v>
      </c>
      <c r="AJ279" s="17" t="str">
        <f aca="false">IF((E279="e"),H279," ")</f>
        <v> </v>
      </c>
    </row>
    <row r="280" customFormat="false" ht="12" hidden="false" customHeight="false" outlineLevel="0" collapsed="false">
      <c r="A280" s="28"/>
      <c r="E280" s="2" t="str">
        <f aca="false">IF((F280&lt;&gt;0),"Enter Letter"," ")</f>
        <v> </v>
      </c>
      <c r="F280" s="30"/>
      <c r="G280" s="6" t="str">
        <f aca="false">IF(F280&lt;&gt;0,F280*G$2/(100+G$2)," ")</f>
        <v> </v>
      </c>
      <c r="H280" s="6" t="str">
        <f aca="false">IF((F280&lt;&gt;0),F280-G280," ")</f>
        <v> </v>
      </c>
      <c r="I280" s="5"/>
      <c r="L280" s="7" t="str">
        <f aca="false">IF(F280&lt;&gt;0,F280-K280," ")</f>
        <v> </v>
      </c>
      <c r="M280" s="8" t="str">
        <f aca="false">IF((F280-K280)&lt;&gt;0,M$1-A280," ")</f>
        <v> </v>
      </c>
      <c r="N280" s="5"/>
      <c r="O280" s="17" t="str">
        <f aca="false">IF((E280="s"),H280," ")</f>
        <v> </v>
      </c>
      <c r="P280" s="17" t="str">
        <f aca="false">IF((E280="c"),H280," ")</f>
        <v> </v>
      </c>
      <c r="Q280" s="17" t="str">
        <f aca="false">IF((E280="o"),H280," ")</f>
        <v> </v>
      </c>
      <c r="R280" s="17" t="str">
        <f aca="false">IF((E280="d"),H280," ")</f>
        <v> </v>
      </c>
      <c r="S280" s="17" t="str">
        <f aca="false">IF((E280="w"),H280," ")</f>
        <v> </v>
      </c>
      <c r="T280" s="17" t="str">
        <f aca="false">IF((E280="r"),H280," ")</f>
        <v> </v>
      </c>
      <c r="U280" s="17" t="str">
        <f aca="false">IF((E280="p"),H280," ")</f>
        <v> </v>
      </c>
      <c r="V280" s="17" t="str">
        <f aca="false">IF((E280="t"),H280," ")</f>
        <v> </v>
      </c>
      <c r="W280" s="17" t="str">
        <f aca="false">IF((E280="q"),H280," ")</f>
        <v> </v>
      </c>
      <c r="X280" s="17" t="str">
        <f aca="false">IF((E280="m"),H280," ")</f>
        <v> </v>
      </c>
      <c r="Y280" s="17" t="str">
        <f aca="false">IF((E280="u"),H280," ")</f>
        <v> </v>
      </c>
      <c r="Z280" s="17" t="str">
        <f aca="false">IF((E280="a"),H280," ")</f>
        <v> </v>
      </c>
      <c r="AA280" s="17" t="str">
        <f aca="false">IF((E280="g"),H280," ")</f>
        <v> </v>
      </c>
      <c r="AB280" s="17" t="str">
        <f aca="false">IF((E280="h"),H280," ")</f>
        <v> </v>
      </c>
      <c r="AC280" s="30" t="str">
        <f aca="false">IF((E280="v"),H280," ")</f>
        <v> </v>
      </c>
      <c r="AD280" s="30" t="str">
        <f aca="false">IF((E280="n"),H280," ")</f>
        <v> </v>
      </c>
      <c r="AE280" s="17" t="str">
        <f aca="false">IF((E280="f"),H280," ")</f>
        <v> </v>
      </c>
      <c r="AF280" s="17" t="str">
        <f aca="false">IF((E280="l"),H280," ")</f>
        <v> </v>
      </c>
      <c r="AG280" s="17" t="str">
        <f aca="false">IF((E280="y"),H280," ")</f>
        <v> </v>
      </c>
      <c r="AH280" s="17" t="str">
        <f aca="false">IF((E280="z"),H280," ")</f>
        <v> </v>
      </c>
      <c r="AI280" s="17" t="str">
        <f aca="false">IF((E280="fa"),H280," ")</f>
        <v> </v>
      </c>
      <c r="AJ280" s="17" t="str">
        <f aca="false">IF((E280="e"),H280," ")</f>
        <v> </v>
      </c>
    </row>
    <row r="281" customFormat="false" ht="12" hidden="false" customHeight="false" outlineLevel="0" collapsed="false">
      <c r="A281" s="28"/>
      <c r="E281" s="2" t="str">
        <f aca="false">IF((F281&lt;&gt;0),"Enter Letter"," ")</f>
        <v> </v>
      </c>
      <c r="F281" s="30"/>
      <c r="G281" s="6" t="str">
        <f aca="false">IF(F281&lt;&gt;0,F281*G$2/(100+G$2)," ")</f>
        <v> </v>
      </c>
      <c r="H281" s="6" t="str">
        <f aca="false">IF((F281&lt;&gt;0),F281-G281," ")</f>
        <v> </v>
      </c>
      <c r="I281" s="5"/>
      <c r="L281" s="7" t="str">
        <f aca="false">IF(F281&lt;&gt;0,F281-K281," ")</f>
        <v> </v>
      </c>
      <c r="M281" s="8" t="str">
        <f aca="false">IF((F281-K281)&lt;&gt;0,M$1-A281," ")</f>
        <v> </v>
      </c>
      <c r="N281" s="5"/>
      <c r="O281" s="17" t="str">
        <f aca="false">IF((E281="s"),H281," ")</f>
        <v> </v>
      </c>
      <c r="P281" s="17" t="str">
        <f aca="false">IF((E281="c"),H281," ")</f>
        <v> </v>
      </c>
      <c r="Q281" s="17" t="str">
        <f aca="false">IF((E281="o"),H281," ")</f>
        <v> </v>
      </c>
      <c r="R281" s="17" t="str">
        <f aca="false">IF((E281="d"),H281," ")</f>
        <v> </v>
      </c>
      <c r="S281" s="17" t="str">
        <f aca="false">IF((E281="w"),H281," ")</f>
        <v> </v>
      </c>
      <c r="T281" s="17" t="str">
        <f aca="false">IF((E281="r"),H281," ")</f>
        <v> </v>
      </c>
      <c r="U281" s="17" t="str">
        <f aca="false">IF((E281="p"),H281," ")</f>
        <v> </v>
      </c>
      <c r="V281" s="17" t="str">
        <f aca="false">IF((E281="t"),H281," ")</f>
        <v> </v>
      </c>
      <c r="W281" s="17" t="str">
        <f aca="false">IF((E281="q"),H281," ")</f>
        <v> </v>
      </c>
      <c r="X281" s="17" t="str">
        <f aca="false">IF((E281="m"),H281," ")</f>
        <v> </v>
      </c>
      <c r="Y281" s="17" t="str">
        <f aca="false">IF((E281="u"),H281," ")</f>
        <v> </v>
      </c>
      <c r="Z281" s="17" t="str">
        <f aca="false">IF((E281="a"),H281," ")</f>
        <v> </v>
      </c>
      <c r="AA281" s="17" t="str">
        <f aca="false">IF((E281="g"),H281," ")</f>
        <v> </v>
      </c>
      <c r="AB281" s="17" t="str">
        <f aca="false">IF((E281="h"),H281," ")</f>
        <v> </v>
      </c>
      <c r="AC281" s="30" t="str">
        <f aca="false">IF((E281="v"),H281," ")</f>
        <v> </v>
      </c>
      <c r="AD281" s="30" t="str">
        <f aca="false">IF((E281="n"),H281," ")</f>
        <v> </v>
      </c>
      <c r="AE281" s="17" t="str">
        <f aca="false">IF((E281="f"),H281," ")</f>
        <v> </v>
      </c>
      <c r="AF281" s="17" t="str">
        <f aca="false">IF((E281="l"),H281," ")</f>
        <v> </v>
      </c>
      <c r="AG281" s="17" t="str">
        <f aca="false">IF((E281="y"),H281," ")</f>
        <v> </v>
      </c>
      <c r="AH281" s="17" t="str">
        <f aca="false">IF((E281="z"),H281," ")</f>
        <v> </v>
      </c>
      <c r="AI281" s="17" t="str">
        <f aca="false">IF((E281="fa"),H281," ")</f>
        <v> </v>
      </c>
      <c r="AJ281" s="17" t="str">
        <f aca="false">IF((E281="e"),H281," ")</f>
        <v> </v>
      </c>
    </row>
    <row r="282" customFormat="false" ht="12" hidden="false" customHeight="false" outlineLevel="0" collapsed="false">
      <c r="A282" s="28"/>
      <c r="E282" s="2" t="str">
        <f aca="false">IF((F282&lt;&gt;0),"Enter Letter"," ")</f>
        <v> </v>
      </c>
      <c r="F282" s="30"/>
      <c r="G282" s="6" t="str">
        <f aca="false">IF(F282&lt;&gt;0,F282*G$2/(100+G$2)," ")</f>
        <v> </v>
      </c>
      <c r="H282" s="6" t="str">
        <f aca="false">IF((F282&lt;&gt;0),F282-G282," ")</f>
        <v> </v>
      </c>
      <c r="I282" s="5"/>
      <c r="L282" s="7" t="str">
        <f aca="false">IF(F282&lt;&gt;0,F282-K282," ")</f>
        <v> </v>
      </c>
      <c r="M282" s="8" t="str">
        <f aca="false">IF((F282-K282)&lt;&gt;0,M$1-A282," ")</f>
        <v> </v>
      </c>
      <c r="N282" s="5"/>
      <c r="O282" s="17" t="str">
        <f aca="false">IF((E282="s"),H282," ")</f>
        <v> </v>
      </c>
      <c r="P282" s="17" t="str">
        <f aca="false">IF((E282="c"),H282," ")</f>
        <v> </v>
      </c>
      <c r="Q282" s="17" t="str">
        <f aca="false">IF((E282="o"),H282," ")</f>
        <v> </v>
      </c>
      <c r="R282" s="17" t="str">
        <f aca="false">IF((E282="d"),H282," ")</f>
        <v> </v>
      </c>
      <c r="S282" s="17" t="str">
        <f aca="false">IF((E282="w"),H282," ")</f>
        <v> </v>
      </c>
      <c r="T282" s="17" t="str">
        <f aca="false">IF((E282="r"),H282," ")</f>
        <v> </v>
      </c>
      <c r="U282" s="17" t="str">
        <f aca="false">IF((E282="p"),H282," ")</f>
        <v> </v>
      </c>
      <c r="V282" s="17" t="str">
        <f aca="false">IF((E282="t"),H282," ")</f>
        <v> </v>
      </c>
      <c r="W282" s="17" t="str">
        <f aca="false">IF((E282="q"),H282," ")</f>
        <v> </v>
      </c>
      <c r="X282" s="17" t="str">
        <f aca="false">IF((E282="m"),H282," ")</f>
        <v> </v>
      </c>
      <c r="Y282" s="17" t="str">
        <f aca="false">IF((E282="u"),H282," ")</f>
        <v> </v>
      </c>
      <c r="Z282" s="17" t="str">
        <f aca="false">IF((E282="a"),H282," ")</f>
        <v> </v>
      </c>
      <c r="AA282" s="17" t="str">
        <f aca="false">IF((E282="g"),H282," ")</f>
        <v> </v>
      </c>
      <c r="AB282" s="17" t="str">
        <f aca="false">IF((E282="h"),H282," ")</f>
        <v> </v>
      </c>
      <c r="AC282" s="30" t="str">
        <f aca="false">IF((E282="v"),H282," ")</f>
        <v> </v>
      </c>
      <c r="AD282" s="30" t="str">
        <f aca="false">IF((E282="n"),H282," ")</f>
        <v> </v>
      </c>
      <c r="AE282" s="17" t="str">
        <f aca="false">IF((E282="f"),H282," ")</f>
        <v> </v>
      </c>
      <c r="AF282" s="17" t="str">
        <f aca="false">IF((E282="l"),H282," ")</f>
        <v> </v>
      </c>
      <c r="AG282" s="17" t="str">
        <f aca="false">IF((E282="y"),H282," ")</f>
        <v> </v>
      </c>
      <c r="AH282" s="17" t="str">
        <f aca="false">IF((E282="z"),H282," ")</f>
        <v> </v>
      </c>
      <c r="AI282" s="17" t="str">
        <f aca="false">IF((E282="fa"),H282," ")</f>
        <v> </v>
      </c>
      <c r="AJ282" s="17" t="str">
        <f aca="false">IF((E282="e"),H282," ")</f>
        <v> </v>
      </c>
    </row>
    <row r="283" customFormat="false" ht="12" hidden="false" customHeight="false" outlineLevel="0" collapsed="false">
      <c r="A283" s="28"/>
      <c r="E283" s="2" t="str">
        <f aca="false">IF((F283&lt;&gt;0),"Enter Letter"," ")</f>
        <v> </v>
      </c>
      <c r="F283" s="30"/>
      <c r="G283" s="6" t="str">
        <f aca="false">IF(F283&lt;&gt;0,F283*G$2/(100+G$2)," ")</f>
        <v> </v>
      </c>
      <c r="H283" s="6" t="str">
        <f aca="false">IF((F283&lt;&gt;0),F283-G283," ")</f>
        <v> </v>
      </c>
      <c r="I283" s="5"/>
      <c r="L283" s="7" t="str">
        <f aca="false">IF(F283&lt;&gt;0,F283-K283," ")</f>
        <v> </v>
      </c>
      <c r="M283" s="8" t="str">
        <f aca="false">IF((F283-K283)&lt;&gt;0,M$1-A283," ")</f>
        <v> </v>
      </c>
      <c r="N283" s="5"/>
      <c r="O283" s="17" t="str">
        <f aca="false">IF((E283="s"),H283," ")</f>
        <v> </v>
      </c>
      <c r="P283" s="17" t="str">
        <f aca="false">IF((E283="c"),H283," ")</f>
        <v> </v>
      </c>
      <c r="Q283" s="17" t="str">
        <f aca="false">IF((E283="o"),H283," ")</f>
        <v> </v>
      </c>
      <c r="R283" s="17" t="str">
        <f aca="false">IF((E283="d"),H283," ")</f>
        <v> </v>
      </c>
      <c r="S283" s="17" t="str">
        <f aca="false">IF((E283="w"),H283," ")</f>
        <v> </v>
      </c>
      <c r="T283" s="17" t="str">
        <f aca="false">IF((E283="r"),H283," ")</f>
        <v> </v>
      </c>
      <c r="U283" s="17" t="str">
        <f aca="false">IF((E283="p"),H283," ")</f>
        <v> </v>
      </c>
      <c r="V283" s="17" t="str">
        <f aca="false">IF((E283="t"),H283," ")</f>
        <v> </v>
      </c>
      <c r="W283" s="17" t="str">
        <f aca="false">IF((E283="q"),H283," ")</f>
        <v> </v>
      </c>
      <c r="X283" s="17" t="str">
        <f aca="false">IF((E283="m"),H283," ")</f>
        <v> </v>
      </c>
      <c r="Y283" s="17" t="str">
        <f aca="false">IF((E283="u"),H283," ")</f>
        <v> </v>
      </c>
      <c r="Z283" s="17" t="str">
        <f aca="false">IF((E283="a"),H283," ")</f>
        <v> </v>
      </c>
      <c r="AA283" s="17" t="str">
        <f aca="false">IF((E283="g"),H283," ")</f>
        <v> </v>
      </c>
      <c r="AB283" s="17" t="str">
        <f aca="false">IF((E283="h"),H283," ")</f>
        <v> </v>
      </c>
      <c r="AC283" s="30" t="str">
        <f aca="false">IF((E283="v"),H283," ")</f>
        <v> </v>
      </c>
      <c r="AD283" s="30" t="str">
        <f aca="false">IF((E283="n"),H283," ")</f>
        <v> </v>
      </c>
      <c r="AE283" s="17" t="str">
        <f aca="false">IF((E283="f"),H283," ")</f>
        <v> </v>
      </c>
      <c r="AF283" s="17" t="str">
        <f aca="false">IF((E283="l"),H283," ")</f>
        <v> </v>
      </c>
      <c r="AG283" s="17" t="str">
        <f aca="false">IF((E283="y"),H283," ")</f>
        <v> </v>
      </c>
      <c r="AH283" s="17" t="str">
        <f aca="false">IF((E283="z"),H283," ")</f>
        <v> </v>
      </c>
      <c r="AI283" s="17" t="str">
        <f aca="false">IF((E283="fa"),H283," ")</f>
        <v> </v>
      </c>
      <c r="AJ283" s="17" t="str">
        <f aca="false">IF((E283="e"),H283," ")</f>
        <v> </v>
      </c>
    </row>
    <row r="284" customFormat="false" ht="12" hidden="false" customHeight="false" outlineLevel="0" collapsed="false">
      <c r="A284" s="28"/>
      <c r="E284" s="2" t="str">
        <f aca="false">IF((F284&lt;&gt;0),"Enter Letter"," ")</f>
        <v> </v>
      </c>
      <c r="F284" s="30"/>
      <c r="G284" s="6" t="str">
        <f aca="false">IF(F284&lt;&gt;0,F284*G$2/(100+G$2)," ")</f>
        <v> </v>
      </c>
      <c r="H284" s="6" t="str">
        <f aca="false">IF((F284&lt;&gt;0),F284-G284," ")</f>
        <v> </v>
      </c>
      <c r="I284" s="5"/>
      <c r="L284" s="7" t="str">
        <f aca="false">IF(F284&lt;&gt;0,F284-K284," ")</f>
        <v> </v>
      </c>
      <c r="M284" s="8" t="str">
        <f aca="false">IF((F284-K284)&lt;&gt;0,M$1-A284," ")</f>
        <v> </v>
      </c>
      <c r="N284" s="5"/>
      <c r="O284" s="17" t="str">
        <f aca="false">IF((E284="s"),H284," ")</f>
        <v> </v>
      </c>
      <c r="P284" s="17" t="str">
        <f aca="false">IF((E284="c"),H284," ")</f>
        <v> </v>
      </c>
      <c r="Q284" s="17" t="str">
        <f aca="false">IF((E284="o"),H284," ")</f>
        <v> </v>
      </c>
      <c r="R284" s="17" t="str">
        <f aca="false">IF((E284="d"),H284," ")</f>
        <v> </v>
      </c>
      <c r="S284" s="17" t="str">
        <f aca="false">IF((E284="w"),H284," ")</f>
        <v> </v>
      </c>
      <c r="T284" s="17" t="str">
        <f aca="false">IF((E284="r"),H284," ")</f>
        <v> </v>
      </c>
      <c r="U284" s="17" t="str">
        <f aca="false">IF((E284="p"),H284," ")</f>
        <v> </v>
      </c>
      <c r="V284" s="17" t="str">
        <f aca="false">IF((E284="t"),H284," ")</f>
        <v> </v>
      </c>
      <c r="W284" s="17" t="str">
        <f aca="false">IF((E284="q"),H284," ")</f>
        <v> </v>
      </c>
      <c r="X284" s="17" t="str">
        <f aca="false">IF((E284="m"),H284," ")</f>
        <v> </v>
      </c>
      <c r="Y284" s="17" t="str">
        <f aca="false">IF((E284="u"),H284," ")</f>
        <v> </v>
      </c>
      <c r="Z284" s="17" t="str">
        <f aca="false">IF((E284="a"),H284," ")</f>
        <v> </v>
      </c>
      <c r="AA284" s="17" t="str">
        <f aca="false">IF((E284="g"),H284," ")</f>
        <v> </v>
      </c>
      <c r="AB284" s="17" t="str">
        <f aca="false">IF((E284="h"),H284," ")</f>
        <v> </v>
      </c>
      <c r="AC284" s="30" t="str">
        <f aca="false">IF((E284="v"),H284," ")</f>
        <v> </v>
      </c>
      <c r="AD284" s="30" t="str">
        <f aca="false">IF((E284="n"),H284," ")</f>
        <v> </v>
      </c>
      <c r="AE284" s="17" t="str">
        <f aca="false">IF((E284="f"),H284," ")</f>
        <v> </v>
      </c>
      <c r="AF284" s="17" t="str">
        <f aca="false">IF((E284="l"),H284," ")</f>
        <v> </v>
      </c>
      <c r="AG284" s="17" t="str">
        <f aca="false">IF((E284="y"),H284," ")</f>
        <v> </v>
      </c>
      <c r="AH284" s="17" t="str">
        <f aca="false">IF((E284="z"),H284," ")</f>
        <v> </v>
      </c>
      <c r="AI284" s="17" t="str">
        <f aca="false">IF((E284="fa"),H284," ")</f>
        <v> </v>
      </c>
      <c r="AJ284" s="17" t="str">
        <f aca="false">IF((E284="e"),H284," ")</f>
        <v> </v>
      </c>
    </row>
    <row r="285" customFormat="false" ht="12" hidden="false" customHeight="false" outlineLevel="0" collapsed="false">
      <c r="A285" s="28"/>
      <c r="E285" s="2" t="str">
        <f aca="false">IF((F285&lt;&gt;0),"Enter Letter"," ")</f>
        <v> </v>
      </c>
      <c r="F285" s="30"/>
      <c r="G285" s="6" t="str">
        <f aca="false">IF(F285&lt;&gt;0,F285*G$2/(100+G$2)," ")</f>
        <v> </v>
      </c>
      <c r="H285" s="6" t="str">
        <f aca="false">IF((F285&lt;&gt;0),F285-G285," ")</f>
        <v> </v>
      </c>
      <c r="I285" s="5"/>
      <c r="L285" s="7" t="str">
        <f aca="false">IF(F285&lt;&gt;0,F285-K285," ")</f>
        <v> </v>
      </c>
      <c r="M285" s="8" t="str">
        <f aca="false">IF((F285-K285)&lt;&gt;0,M$1-A285," ")</f>
        <v> </v>
      </c>
      <c r="N285" s="5"/>
      <c r="O285" s="17" t="str">
        <f aca="false">IF((E285="s"),H285," ")</f>
        <v> </v>
      </c>
      <c r="P285" s="17" t="str">
        <f aca="false">IF((E285="c"),H285," ")</f>
        <v> </v>
      </c>
      <c r="Q285" s="17" t="str">
        <f aca="false">IF((E285="o"),H285," ")</f>
        <v> </v>
      </c>
      <c r="R285" s="17" t="str">
        <f aca="false">IF((E285="d"),H285," ")</f>
        <v> </v>
      </c>
      <c r="S285" s="17" t="str">
        <f aca="false">IF((E285="w"),H285," ")</f>
        <v> </v>
      </c>
      <c r="T285" s="17" t="str">
        <f aca="false">IF((E285="r"),H285," ")</f>
        <v> </v>
      </c>
      <c r="U285" s="17" t="str">
        <f aca="false">IF((E285="p"),H285," ")</f>
        <v> </v>
      </c>
      <c r="V285" s="17" t="str">
        <f aca="false">IF((E285="t"),H285," ")</f>
        <v> </v>
      </c>
      <c r="W285" s="17" t="str">
        <f aca="false">IF((E285="q"),H285," ")</f>
        <v> </v>
      </c>
      <c r="X285" s="17" t="str">
        <f aca="false">IF((E285="m"),H285," ")</f>
        <v> </v>
      </c>
      <c r="Y285" s="17" t="str">
        <f aca="false">IF((E285="u"),H285," ")</f>
        <v> </v>
      </c>
      <c r="Z285" s="17" t="str">
        <f aca="false">IF((E285="a"),H285," ")</f>
        <v> </v>
      </c>
      <c r="AA285" s="17" t="str">
        <f aca="false">IF((E285="g"),H285," ")</f>
        <v> </v>
      </c>
      <c r="AB285" s="17" t="str">
        <f aca="false">IF((E285="h"),H285," ")</f>
        <v> </v>
      </c>
      <c r="AC285" s="30" t="str">
        <f aca="false">IF((E285="v"),H285," ")</f>
        <v> </v>
      </c>
      <c r="AD285" s="30" t="str">
        <f aca="false">IF((E285="n"),H285," ")</f>
        <v> </v>
      </c>
      <c r="AE285" s="17" t="str">
        <f aca="false">IF((E285="f"),H285," ")</f>
        <v> </v>
      </c>
      <c r="AF285" s="17" t="str">
        <f aca="false">IF((E285="l"),H285," ")</f>
        <v> </v>
      </c>
      <c r="AG285" s="17" t="str">
        <f aca="false">IF((E285="y"),H285," ")</f>
        <v> </v>
      </c>
      <c r="AH285" s="17" t="str">
        <f aca="false">IF((E285="z"),H285," ")</f>
        <v> </v>
      </c>
      <c r="AI285" s="17" t="str">
        <f aca="false">IF((E285="fa"),H285," ")</f>
        <v> </v>
      </c>
      <c r="AJ285" s="17" t="str">
        <f aca="false">IF((E285="e"),H285," ")</f>
        <v> </v>
      </c>
    </row>
    <row r="286" customFormat="false" ht="12" hidden="false" customHeight="false" outlineLevel="0" collapsed="false">
      <c r="A286" s="28"/>
      <c r="E286" s="2" t="str">
        <f aca="false">IF((F286&lt;&gt;0),"Enter Letter"," ")</f>
        <v> </v>
      </c>
      <c r="F286" s="30"/>
      <c r="G286" s="6" t="str">
        <f aca="false">IF(F286&lt;&gt;0,F286*G$2/(100+G$2)," ")</f>
        <v> </v>
      </c>
      <c r="H286" s="6" t="str">
        <f aca="false">IF((F286&lt;&gt;0),F286-G286," ")</f>
        <v> </v>
      </c>
      <c r="I286" s="5"/>
      <c r="L286" s="7" t="str">
        <f aca="false">IF(F286&lt;&gt;0,F286-K286," ")</f>
        <v> </v>
      </c>
      <c r="M286" s="8" t="str">
        <f aca="false">IF((F286-K286)&lt;&gt;0,M$1-A286," ")</f>
        <v> </v>
      </c>
      <c r="N286" s="5"/>
      <c r="O286" s="17" t="str">
        <f aca="false">IF((E286="s"),H286," ")</f>
        <v> </v>
      </c>
      <c r="P286" s="17" t="str">
        <f aca="false">IF((E286="c"),H286," ")</f>
        <v> </v>
      </c>
      <c r="Q286" s="17" t="str">
        <f aca="false">IF((E286="o"),H286," ")</f>
        <v> </v>
      </c>
      <c r="R286" s="17" t="str">
        <f aca="false">IF((E286="d"),H286," ")</f>
        <v> </v>
      </c>
      <c r="S286" s="17" t="str">
        <f aca="false">IF((E286="w"),H286," ")</f>
        <v> </v>
      </c>
      <c r="T286" s="17" t="str">
        <f aca="false">IF((E286="r"),H286," ")</f>
        <v> </v>
      </c>
      <c r="U286" s="17" t="str">
        <f aca="false">IF((E286="p"),H286," ")</f>
        <v> </v>
      </c>
      <c r="V286" s="17" t="str">
        <f aca="false">IF((E286="t"),H286," ")</f>
        <v> </v>
      </c>
      <c r="W286" s="17" t="str">
        <f aca="false">IF((E286="q"),H286," ")</f>
        <v> </v>
      </c>
      <c r="X286" s="17" t="str">
        <f aca="false">IF((E286="m"),H286," ")</f>
        <v> </v>
      </c>
      <c r="Y286" s="17" t="str">
        <f aca="false">IF((E286="u"),H286," ")</f>
        <v> </v>
      </c>
      <c r="Z286" s="17" t="str">
        <f aca="false">IF((E286="a"),H286," ")</f>
        <v> </v>
      </c>
      <c r="AA286" s="17" t="str">
        <f aca="false">IF((E286="g"),H286," ")</f>
        <v> </v>
      </c>
      <c r="AB286" s="17" t="str">
        <f aca="false">IF((E286="h"),H286," ")</f>
        <v> </v>
      </c>
      <c r="AC286" s="30" t="str">
        <f aca="false">IF((E286="v"),H286," ")</f>
        <v> </v>
      </c>
      <c r="AD286" s="30" t="str">
        <f aca="false">IF((E286="n"),H286," ")</f>
        <v> </v>
      </c>
      <c r="AE286" s="17" t="str">
        <f aca="false">IF((E286="f"),H286," ")</f>
        <v> </v>
      </c>
      <c r="AF286" s="17" t="str">
        <f aca="false">IF((E286="l"),H286," ")</f>
        <v> </v>
      </c>
      <c r="AG286" s="17" t="str">
        <f aca="false">IF((E286="y"),H286," ")</f>
        <v> </v>
      </c>
      <c r="AH286" s="17" t="str">
        <f aca="false">IF((E286="z"),H286," ")</f>
        <v> </v>
      </c>
      <c r="AI286" s="17" t="str">
        <f aca="false">IF((E286="fa"),H286," ")</f>
        <v> </v>
      </c>
      <c r="AJ286" s="17" t="str">
        <f aca="false">IF((E286="e"),H286," ")</f>
        <v> </v>
      </c>
    </row>
    <row r="287" customFormat="false" ht="12" hidden="false" customHeight="false" outlineLevel="0" collapsed="false">
      <c r="A287" s="28"/>
      <c r="E287" s="2" t="str">
        <f aca="false">IF((F287&lt;&gt;0),"Enter Letter"," ")</f>
        <v> </v>
      </c>
      <c r="F287" s="30"/>
      <c r="G287" s="6" t="str">
        <f aca="false">IF(F287&lt;&gt;0,F287*G$2/(100+G$2)," ")</f>
        <v> </v>
      </c>
      <c r="H287" s="6" t="str">
        <f aca="false">IF((F287&lt;&gt;0),F287-G287," ")</f>
        <v> </v>
      </c>
      <c r="I287" s="5"/>
      <c r="L287" s="7" t="str">
        <f aca="false">IF(F287&lt;&gt;0,F287-K287," ")</f>
        <v> </v>
      </c>
      <c r="M287" s="8" t="str">
        <f aca="false">IF((F287-K287)&lt;&gt;0,M$1-A287," ")</f>
        <v> </v>
      </c>
      <c r="N287" s="5"/>
      <c r="O287" s="17" t="str">
        <f aca="false">IF((E287="s"),H287," ")</f>
        <v> </v>
      </c>
      <c r="P287" s="17" t="str">
        <f aca="false">IF((E287="c"),H287," ")</f>
        <v> </v>
      </c>
      <c r="Q287" s="17" t="str">
        <f aca="false">IF((E287="o"),H287," ")</f>
        <v> </v>
      </c>
      <c r="R287" s="17" t="str">
        <f aca="false">IF((E287="d"),H287," ")</f>
        <v> </v>
      </c>
      <c r="S287" s="17" t="str">
        <f aca="false">IF((E287="w"),H287," ")</f>
        <v> </v>
      </c>
      <c r="T287" s="17" t="str">
        <f aca="false">IF((E287="r"),H287," ")</f>
        <v> </v>
      </c>
      <c r="U287" s="17" t="str">
        <f aca="false">IF((E287="p"),H287," ")</f>
        <v> </v>
      </c>
      <c r="V287" s="17" t="str">
        <f aca="false">IF((E287="t"),H287," ")</f>
        <v> </v>
      </c>
      <c r="W287" s="17" t="str">
        <f aca="false">IF((E287="q"),H287," ")</f>
        <v> </v>
      </c>
      <c r="X287" s="17" t="str">
        <f aca="false">IF((E287="m"),H287," ")</f>
        <v> </v>
      </c>
      <c r="Y287" s="17" t="str">
        <f aca="false">IF((E287="u"),H287," ")</f>
        <v> </v>
      </c>
      <c r="Z287" s="17" t="str">
        <f aca="false">IF((E287="a"),H287," ")</f>
        <v> </v>
      </c>
      <c r="AA287" s="17" t="str">
        <f aca="false">IF((E287="g"),H287," ")</f>
        <v> </v>
      </c>
      <c r="AB287" s="17" t="str">
        <f aca="false">IF((E287="h"),H287," ")</f>
        <v> </v>
      </c>
      <c r="AC287" s="30" t="str">
        <f aca="false">IF((E287="v"),H287," ")</f>
        <v> </v>
      </c>
      <c r="AD287" s="30" t="str">
        <f aca="false">IF((E287="n"),H287," ")</f>
        <v> </v>
      </c>
      <c r="AE287" s="17" t="str">
        <f aca="false">IF((E287="f"),H287," ")</f>
        <v> </v>
      </c>
      <c r="AF287" s="17" t="str">
        <f aca="false">IF((E287="l"),H287," ")</f>
        <v> </v>
      </c>
      <c r="AG287" s="17" t="str">
        <f aca="false">IF((E287="y"),H287," ")</f>
        <v> </v>
      </c>
      <c r="AH287" s="17" t="str">
        <f aca="false">IF((E287="z"),H287," ")</f>
        <v> </v>
      </c>
      <c r="AI287" s="17" t="str">
        <f aca="false">IF((E287="fa"),H287," ")</f>
        <v> </v>
      </c>
      <c r="AJ287" s="17" t="str">
        <f aca="false">IF((E287="e"),H287," ")</f>
        <v> </v>
      </c>
    </row>
    <row r="288" customFormat="false" ht="12" hidden="false" customHeight="false" outlineLevel="0" collapsed="false">
      <c r="A288" s="28"/>
      <c r="E288" s="2" t="str">
        <f aca="false">IF((F288&lt;&gt;0),"Enter Letter"," ")</f>
        <v> </v>
      </c>
      <c r="F288" s="30"/>
      <c r="G288" s="6" t="str">
        <f aca="false">IF(F288&lt;&gt;0,F288*G$2/(100+G$2)," ")</f>
        <v> </v>
      </c>
      <c r="H288" s="6" t="str">
        <f aca="false">IF((F288&lt;&gt;0),F288-G288," ")</f>
        <v> </v>
      </c>
      <c r="I288" s="5"/>
      <c r="L288" s="7" t="str">
        <f aca="false">IF(F288&lt;&gt;0,F288-K288," ")</f>
        <v> </v>
      </c>
      <c r="M288" s="8" t="str">
        <f aca="false">IF((F288-K288)&lt;&gt;0,M$1-A288," ")</f>
        <v> </v>
      </c>
      <c r="N288" s="5"/>
      <c r="O288" s="17" t="str">
        <f aca="false">IF((E288="s"),H288," ")</f>
        <v> </v>
      </c>
      <c r="P288" s="17" t="str">
        <f aca="false">IF((E288="c"),H288," ")</f>
        <v> </v>
      </c>
      <c r="Q288" s="17" t="str">
        <f aca="false">IF((E288="o"),H288," ")</f>
        <v> </v>
      </c>
      <c r="R288" s="17" t="str">
        <f aca="false">IF((E288="d"),H288," ")</f>
        <v> </v>
      </c>
      <c r="S288" s="17" t="str">
        <f aca="false">IF((E288="w"),H288," ")</f>
        <v> </v>
      </c>
      <c r="T288" s="17" t="str">
        <f aca="false">IF((E288="r"),H288," ")</f>
        <v> </v>
      </c>
      <c r="U288" s="17" t="str">
        <f aca="false">IF((E288="p"),H288," ")</f>
        <v> </v>
      </c>
      <c r="V288" s="17" t="str">
        <f aca="false">IF((E288="t"),H288," ")</f>
        <v> </v>
      </c>
      <c r="W288" s="17" t="str">
        <f aca="false">IF((E288="q"),H288," ")</f>
        <v> </v>
      </c>
      <c r="X288" s="17" t="str">
        <f aca="false">IF((E288="m"),H288," ")</f>
        <v> </v>
      </c>
      <c r="Y288" s="17" t="str">
        <f aca="false">IF((E288="u"),H288," ")</f>
        <v> </v>
      </c>
      <c r="Z288" s="17" t="str">
        <f aca="false">IF((E288="a"),H288," ")</f>
        <v> </v>
      </c>
      <c r="AA288" s="17" t="str">
        <f aca="false">IF((E288="g"),H288," ")</f>
        <v> </v>
      </c>
      <c r="AB288" s="17" t="str">
        <f aca="false">IF((E288="h"),H288," ")</f>
        <v> </v>
      </c>
      <c r="AC288" s="30" t="str">
        <f aca="false">IF((E288="v"),H288," ")</f>
        <v> </v>
      </c>
      <c r="AD288" s="30" t="str">
        <f aca="false">IF((E288="n"),H288," ")</f>
        <v> </v>
      </c>
      <c r="AE288" s="17" t="str">
        <f aca="false">IF((E288="f"),H288," ")</f>
        <v> </v>
      </c>
      <c r="AF288" s="17" t="str">
        <f aca="false">IF((E288="l"),H288," ")</f>
        <v> </v>
      </c>
      <c r="AG288" s="17" t="str">
        <f aca="false">IF((E288="y"),H288," ")</f>
        <v> </v>
      </c>
      <c r="AH288" s="17" t="str">
        <f aca="false">IF((E288="z"),H288," ")</f>
        <v> </v>
      </c>
      <c r="AI288" s="17" t="str">
        <f aca="false">IF((E288="fa"),H288," ")</f>
        <v> </v>
      </c>
      <c r="AJ288" s="17" t="str">
        <f aca="false">IF((E288="e"),H288," ")</f>
        <v> </v>
      </c>
    </row>
    <row r="289" customFormat="false" ht="12" hidden="false" customHeight="false" outlineLevel="0" collapsed="false">
      <c r="A289" s="28"/>
      <c r="E289" s="2" t="str">
        <f aca="false">IF((F289&lt;&gt;0),"Enter Letter"," ")</f>
        <v> </v>
      </c>
      <c r="F289" s="30"/>
      <c r="G289" s="6" t="str">
        <f aca="false">IF(F289&lt;&gt;0,F289*G$2/(100+G$2)," ")</f>
        <v> </v>
      </c>
      <c r="H289" s="6" t="str">
        <f aca="false">IF((F289&lt;&gt;0),F289-G289," ")</f>
        <v> </v>
      </c>
      <c r="I289" s="5"/>
      <c r="L289" s="7" t="str">
        <f aca="false">IF(F289&lt;&gt;0,F289-K289," ")</f>
        <v> </v>
      </c>
      <c r="M289" s="8" t="str">
        <f aca="false">IF((F289-K289)&lt;&gt;0,M$1-A289," ")</f>
        <v> </v>
      </c>
      <c r="N289" s="5"/>
      <c r="O289" s="17" t="str">
        <f aca="false">IF((E289="s"),H289," ")</f>
        <v> </v>
      </c>
      <c r="P289" s="17" t="str">
        <f aca="false">IF((E289="c"),H289," ")</f>
        <v> </v>
      </c>
      <c r="Q289" s="17" t="str">
        <f aca="false">IF((E289="o"),H289," ")</f>
        <v> </v>
      </c>
      <c r="R289" s="17" t="str">
        <f aca="false">IF((E289="d"),H289," ")</f>
        <v> </v>
      </c>
      <c r="S289" s="17" t="str">
        <f aca="false">IF((E289="w"),H289," ")</f>
        <v> </v>
      </c>
      <c r="T289" s="17" t="str">
        <f aca="false">IF((E289="r"),H289," ")</f>
        <v> </v>
      </c>
      <c r="U289" s="17" t="str">
        <f aca="false">IF((E289="p"),H289," ")</f>
        <v> </v>
      </c>
      <c r="V289" s="17" t="str">
        <f aca="false">IF((E289="t"),H289," ")</f>
        <v> </v>
      </c>
      <c r="W289" s="17" t="str">
        <f aca="false">IF((E289="q"),H289," ")</f>
        <v> </v>
      </c>
      <c r="X289" s="17" t="str">
        <f aca="false">IF((E289="m"),H289," ")</f>
        <v> </v>
      </c>
      <c r="Y289" s="17" t="str">
        <f aca="false">IF((E289="u"),H289," ")</f>
        <v> </v>
      </c>
      <c r="Z289" s="17" t="str">
        <f aca="false">IF((E289="a"),H289," ")</f>
        <v> </v>
      </c>
      <c r="AA289" s="17" t="str">
        <f aca="false">IF((E289="g"),H289," ")</f>
        <v> </v>
      </c>
      <c r="AB289" s="17" t="str">
        <f aca="false">IF((E289="h"),H289," ")</f>
        <v> </v>
      </c>
      <c r="AC289" s="30" t="str">
        <f aca="false">IF((E289="v"),H289," ")</f>
        <v> </v>
      </c>
      <c r="AD289" s="30" t="str">
        <f aca="false">IF((E289="n"),H289," ")</f>
        <v> </v>
      </c>
      <c r="AE289" s="17" t="str">
        <f aca="false">IF((E289="f"),H289," ")</f>
        <v> </v>
      </c>
      <c r="AF289" s="17" t="str">
        <f aca="false">IF((E289="l"),H289," ")</f>
        <v> </v>
      </c>
      <c r="AG289" s="17" t="str">
        <f aca="false">IF((E289="y"),H289," ")</f>
        <v> </v>
      </c>
      <c r="AH289" s="17" t="str">
        <f aca="false">IF((E289="z"),H289," ")</f>
        <v> </v>
      </c>
      <c r="AI289" s="17" t="str">
        <f aca="false">IF((E289="fa"),H289," ")</f>
        <v> </v>
      </c>
      <c r="AJ289" s="17" t="str">
        <f aca="false">IF((E289="e"),H289," ")</f>
        <v> </v>
      </c>
    </row>
    <row r="290" customFormat="false" ht="12" hidden="false" customHeight="false" outlineLevel="0" collapsed="false">
      <c r="A290" s="28"/>
      <c r="E290" s="2" t="str">
        <f aca="false">IF((F290&lt;&gt;0),"Enter Letter"," ")</f>
        <v> </v>
      </c>
      <c r="F290" s="30"/>
      <c r="G290" s="6" t="str">
        <f aca="false">IF(F290&lt;&gt;0,F290*G$2/(100+G$2)," ")</f>
        <v> </v>
      </c>
      <c r="H290" s="6" t="str">
        <f aca="false">IF((F290&lt;&gt;0),F290-G290," ")</f>
        <v> </v>
      </c>
      <c r="I290" s="5"/>
      <c r="L290" s="7" t="str">
        <f aca="false">IF(F290&lt;&gt;0,F290-K290," ")</f>
        <v> </v>
      </c>
      <c r="M290" s="8" t="str">
        <f aca="false">IF((F290-K290)&lt;&gt;0,M$1-A290," ")</f>
        <v> </v>
      </c>
      <c r="N290" s="5"/>
      <c r="O290" s="17" t="str">
        <f aca="false">IF((E290="s"),H290," ")</f>
        <v> </v>
      </c>
      <c r="P290" s="17" t="str">
        <f aca="false">IF((E290="c"),H290," ")</f>
        <v> </v>
      </c>
      <c r="Q290" s="17" t="str">
        <f aca="false">IF((E290="o"),H290," ")</f>
        <v> </v>
      </c>
      <c r="R290" s="17" t="str">
        <f aca="false">IF((E290="d"),H290," ")</f>
        <v> </v>
      </c>
      <c r="S290" s="17" t="str">
        <f aca="false">IF((E290="w"),H290," ")</f>
        <v> </v>
      </c>
      <c r="T290" s="17" t="str">
        <f aca="false">IF((E290="r"),H290," ")</f>
        <v> </v>
      </c>
      <c r="U290" s="17" t="str">
        <f aca="false">IF((E290="p"),H290," ")</f>
        <v> </v>
      </c>
      <c r="V290" s="17" t="str">
        <f aca="false">IF((E290="t"),H290," ")</f>
        <v> </v>
      </c>
      <c r="W290" s="17" t="str">
        <f aca="false">IF((E290="q"),H290," ")</f>
        <v> </v>
      </c>
      <c r="X290" s="17" t="str">
        <f aca="false">IF((E290="m"),H290," ")</f>
        <v> </v>
      </c>
      <c r="Y290" s="17" t="str">
        <f aca="false">IF((E290="u"),H290," ")</f>
        <v> </v>
      </c>
      <c r="Z290" s="17" t="str">
        <f aca="false">IF((E290="a"),H290," ")</f>
        <v> </v>
      </c>
      <c r="AA290" s="17" t="str">
        <f aca="false">IF((E290="g"),H290," ")</f>
        <v> </v>
      </c>
      <c r="AB290" s="17" t="str">
        <f aca="false">IF((E290="h"),H290," ")</f>
        <v> </v>
      </c>
      <c r="AC290" s="30" t="str">
        <f aca="false">IF((E290="v"),H290," ")</f>
        <v> </v>
      </c>
      <c r="AD290" s="30" t="str">
        <f aca="false">IF((E290="n"),H290," ")</f>
        <v> </v>
      </c>
      <c r="AE290" s="17" t="str">
        <f aca="false">IF((E290="f"),H290," ")</f>
        <v> </v>
      </c>
      <c r="AF290" s="17" t="str">
        <f aca="false">IF((E290="l"),H290," ")</f>
        <v> </v>
      </c>
      <c r="AG290" s="17" t="str">
        <f aca="false">IF((E290="y"),H290," ")</f>
        <v> </v>
      </c>
      <c r="AH290" s="17" t="str">
        <f aca="false">IF((E290="z"),H290," ")</f>
        <v> </v>
      </c>
      <c r="AI290" s="17" t="str">
        <f aca="false">IF((E290="fa"),H290," ")</f>
        <v> </v>
      </c>
      <c r="AJ290" s="17" t="str">
        <f aca="false">IF((E290="e"),H290," ")</f>
        <v> </v>
      </c>
    </row>
    <row r="291" customFormat="false" ht="12" hidden="false" customHeight="false" outlineLevel="0" collapsed="false">
      <c r="A291" s="28"/>
      <c r="E291" s="2" t="str">
        <f aca="false">IF((F291&lt;&gt;0),"Enter Letter"," ")</f>
        <v> </v>
      </c>
      <c r="F291" s="30"/>
      <c r="G291" s="6" t="str">
        <f aca="false">IF(F291&lt;&gt;0,F291*G$2/(100+G$2)," ")</f>
        <v> </v>
      </c>
      <c r="H291" s="6" t="str">
        <f aca="false">IF((F291&lt;&gt;0),F291-G291," ")</f>
        <v> </v>
      </c>
      <c r="I291" s="5"/>
      <c r="L291" s="7" t="str">
        <f aca="false">IF(F291&lt;&gt;0,F291-K291," ")</f>
        <v> </v>
      </c>
      <c r="M291" s="8" t="str">
        <f aca="false">IF((F291-K291)&lt;&gt;0,M$1-A291," ")</f>
        <v> </v>
      </c>
      <c r="N291" s="5"/>
      <c r="O291" s="17" t="str">
        <f aca="false">IF((E291="s"),H291," ")</f>
        <v> </v>
      </c>
      <c r="P291" s="17" t="str">
        <f aca="false">IF((E291="c"),H291," ")</f>
        <v> </v>
      </c>
      <c r="Q291" s="17" t="str">
        <f aca="false">IF((E291="o"),H291," ")</f>
        <v> </v>
      </c>
      <c r="R291" s="17" t="str">
        <f aca="false">IF((E291="d"),H291," ")</f>
        <v> </v>
      </c>
      <c r="S291" s="17" t="str">
        <f aca="false">IF((E291="w"),H291," ")</f>
        <v> </v>
      </c>
      <c r="T291" s="17" t="str">
        <f aca="false">IF((E291="r"),H291," ")</f>
        <v> </v>
      </c>
      <c r="U291" s="17" t="str">
        <f aca="false">IF((E291="p"),H291," ")</f>
        <v> </v>
      </c>
      <c r="V291" s="17" t="str">
        <f aca="false">IF((E291="t"),H291," ")</f>
        <v> </v>
      </c>
      <c r="W291" s="17" t="str">
        <f aca="false">IF((E291="q"),H291," ")</f>
        <v> </v>
      </c>
      <c r="X291" s="17" t="str">
        <f aca="false">IF((E291="m"),H291," ")</f>
        <v> </v>
      </c>
      <c r="Y291" s="17" t="str">
        <f aca="false">IF((E291="u"),H291," ")</f>
        <v> </v>
      </c>
      <c r="Z291" s="17" t="str">
        <f aca="false">IF((E291="a"),H291," ")</f>
        <v> </v>
      </c>
      <c r="AA291" s="17" t="str">
        <f aca="false">IF((E291="g"),H291," ")</f>
        <v> </v>
      </c>
      <c r="AB291" s="17" t="str">
        <f aca="false">IF((E291="h"),H291," ")</f>
        <v> </v>
      </c>
      <c r="AC291" s="30" t="str">
        <f aca="false">IF((E291="v"),H291," ")</f>
        <v> </v>
      </c>
      <c r="AD291" s="30" t="str">
        <f aca="false">IF((E291="n"),H291," ")</f>
        <v> </v>
      </c>
      <c r="AE291" s="17" t="str">
        <f aca="false">IF((E291="f"),H291," ")</f>
        <v> </v>
      </c>
      <c r="AF291" s="17" t="str">
        <f aca="false">IF((E291="l"),H291," ")</f>
        <v> </v>
      </c>
      <c r="AG291" s="17" t="str">
        <f aca="false">IF((E291="y"),H291," ")</f>
        <v> </v>
      </c>
      <c r="AH291" s="17" t="str">
        <f aca="false">IF((E291="z"),H291," ")</f>
        <v> </v>
      </c>
      <c r="AI291" s="17" t="str">
        <f aca="false">IF((E291="fa"),H291," ")</f>
        <v> </v>
      </c>
      <c r="AJ291" s="17" t="str">
        <f aca="false">IF((E291="e"),H291," ")</f>
        <v> </v>
      </c>
    </row>
    <row r="292" customFormat="false" ht="12" hidden="false" customHeight="false" outlineLevel="0" collapsed="false">
      <c r="A292" s="28"/>
      <c r="E292" s="2" t="str">
        <f aca="false">IF((F292&lt;&gt;0),"Enter Letter"," ")</f>
        <v> </v>
      </c>
      <c r="F292" s="30"/>
      <c r="G292" s="6" t="str">
        <f aca="false">IF(F292&lt;&gt;0,F292*G$2/(100+G$2)," ")</f>
        <v> </v>
      </c>
      <c r="H292" s="6" t="str">
        <f aca="false">IF((F292&lt;&gt;0),F292-G292," ")</f>
        <v> </v>
      </c>
      <c r="I292" s="5"/>
      <c r="L292" s="7" t="str">
        <f aca="false">IF(F292&lt;&gt;0,F292-K292," ")</f>
        <v> </v>
      </c>
      <c r="M292" s="8" t="str">
        <f aca="false">IF((F292-K292)&lt;&gt;0,M$1-A292," ")</f>
        <v> </v>
      </c>
      <c r="N292" s="5"/>
      <c r="O292" s="17" t="str">
        <f aca="false">IF((E292="s"),H292," ")</f>
        <v> </v>
      </c>
      <c r="P292" s="17" t="str">
        <f aca="false">IF((E292="c"),H292," ")</f>
        <v> </v>
      </c>
      <c r="Q292" s="17" t="str">
        <f aca="false">IF((E292="o"),H292," ")</f>
        <v> </v>
      </c>
      <c r="R292" s="17" t="str">
        <f aca="false">IF((E292="d"),H292," ")</f>
        <v> </v>
      </c>
      <c r="S292" s="17" t="str">
        <f aca="false">IF((E292="w"),H292," ")</f>
        <v> </v>
      </c>
      <c r="T292" s="17" t="str">
        <f aca="false">IF((E292="r"),H292," ")</f>
        <v> </v>
      </c>
      <c r="U292" s="17" t="str">
        <f aca="false">IF((E292="p"),H292," ")</f>
        <v> </v>
      </c>
      <c r="V292" s="17" t="str">
        <f aca="false">IF((E292="t"),H292," ")</f>
        <v> </v>
      </c>
      <c r="W292" s="17" t="str">
        <f aca="false">IF((E292="q"),H292," ")</f>
        <v> </v>
      </c>
      <c r="X292" s="17" t="str">
        <f aca="false">IF((E292="m"),H292," ")</f>
        <v> </v>
      </c>
      <c r="Y292" s="17" t="str">
        <f aca="false">IF((E292="u"),H292," ")</f>
        <v> </v>
      </c>
      <c r="Z292" s="17" t="str">
        <f aca="false">IF((E292="a"),H292," ")</f>
        <v> </v>
      </c>
      <c r="AA292" s="17" t="str">
        <f aca="false">IF((E292="g"),H292," ")</f>
        <v> </v>
      </c>
      <c r="AB292" s="17" t="str">
        <f aca="false">IF((E292="h"),H292," ")</f>
        <v> </v>
      </c>
      <c r="AC292" s="30" t="str">
        <f aca="false">IF((E292="v"),H292," ")</f>
        <v> </v>
      </c>
      <c r="AD292" s="30" t="str">
        <f aca="false">IF((E292="n"),H292," ")</f>
        <v> </v>
      </c>
      <c r="AE292" s="17" t="str">
        <f aca="false">IF((E292="f"),H292," ")</f>
        <v> </v>
      </c>
      <c r="AF292" s="17" t="str">
        <f aca="false">IF((E292="l"),H292," ")</f>
        <v> </v>
      </c>
      <c r="AG292" s="17" t="str">
        <f aca="false">IF((E292="y"),H292," ")</f>
        <v> </v>
      </c>
      <c r="AH292" s="17" t="str">
        <f aca="false">IF((E292="z"),H292," ")</f>
        <v> </v>
      </c>
      <c r="AI292" s="17" t="str">
        <f aca="false">IF((E292="fa"),H292," ")</f>
        <v> </v>
      </c>
      <c r="AJ292" s="17" t="str">
        <f aca="false">IF((E292="e"),H292," ")</f>
        <v> </v>
      </c>
    </row>
    <row r="293" customFormat="false" ht="12" hidden="false" customHeight="false" outlineLevel="0" collapsed="false">
      <c r="A293" s="28"/>
      <c r="E293" s="2" t="str">
        <f aca="false">IF((F293&lt;&gt;0),"Enter Letter"," ")</f>
        <v> </v>
      </c>
      <c r="F293" s="30"/>
      <c r="G293" s="6" t="str">
        <f aca="false">IF(F293&lt;&gt;0,F293*G$2/(100+G$2)," ")</f>
        <v> </v>
      </c>
      <c r="H293" s="6" t="str">
        <f aca="false">IF((F293&lt;&gt;0),F293-G293," ")</f>
        <v> </v>
      </c>
      <c r="I293" s="5"/>
      <c r="L293" s="7" t="str">
        <f aca="false">IF(F293&lt;&gt;0,F293-K293," ")</f>
        <v> </v>
      </c>
      <c r="M293" s="8" t="str">
        <f aca="false">IF((F293-K293)&lt;&gt;0,M$1-A293," ")</f>
        <v> </v>
      </c>
      <c r="N293" s="5"/>
      <c r="O293" s="17" t="str">
        <f aca="false">IF((E293="s"),H293," ")</f>
        <v> </v>
      </c>
      <c r="P293" s="17" t="str">
        <f aca="false">IF((E293="c"),H293," ")</f>
        <v> </v>
      </c>
      <c r="Q293" s="17" t="str">
        <f aca="false">IF((E293="o"),H293," ")</f>
        <v> </v>
      </c>
      <c r="R293" s="17" t="str">
        <f aca="false">IF((E293="d"),H293," ")</f>
        <v> </v>
      </c>
      <c r="S293" s="17" t="str">
        <f aca="false">IF((E293="w"),H293," ")</f>
        <v> </v>
      </c>
      <c r="T293" s="17" t="str">
        <f aca="false">IF((E293="r"),H293," ")</f>
        <v> </v>
      </c>
      <c r="U293" s="17" t="str">
        <f aca="false">IF((E293="p"),H293," ")</f>
        <v> </v>
      </c>
      <c r="V293" s="17" t="str">
        <f aca="false">IF((E293="t"),H293," ")</f>
        <v> </v>
      </c>
      <c r="W293" s="17" t="str">
        <f aca="false">IF((E293="q"),H293," ")</f>
        <v> </v>
      </c>
      <c r="X293" s="17" t="str">
        <f aca="false">IF((E293="m"),H293," ")</f>
        <v> </v>
      </c>
      <c r="Y293" s="17" t="str">
        <f aca="false">IF((E293="u"),H293," ")</f>
        <v> </v>
      </c>
      <c r="Z293" s="17" t="str">
        <f aca="false">IF((E293="a"),H293," ")</f>
        <v> </v>
      </c>
      <c r="AA293" s="17" t="str">
        <f aca="false">IF((E293="g"),H293," ")</f>
        <v> </v>
      </c>
      <c r="AB293" s="17" t="str">
        <f aca="false">IF((E293="h"),H293," ")</f>
        <v> </v>
      </c>
      <c r="AC293" s="30" t="str">
        <f aca="false">IF((E293="v"),H293," ")</f>
        <v> </v>
      </c>
      <c r="AD293" s="30" t="str">
        <f aca="false">IF((E293="n"),H293," ")</f>
        <v> </v>
      </c>
      <c r="AE293" s="17" t="str">
        <f aca="false">IF((E293="f"),H293," ")</f>
        <v> </v>
      </c>
      <c r="AF293" s="17" t="str">
        <f aca="false">IF((E293="l"),H293," ")</f>
        <v> </v>
      </c>
      <c r="AG293" s="17" t="str">
        <f aca="false">IF((E293="y"),H293," ")</f>
        <v> </v>
      </c>
      <c r="AH293" s="17" t="str">
        <f aca="false">IF((E293="z"),H293," ")</f>
        <v> </v>
      </c>
      <c r="AI293" s="17" t="str">
        <f aca="false">IF((E293="fa"),H293," ")</f>
        <v> </v>
      </c>
      <c r="AJ293" s="17" t="str">
        <f aca="false">IF((E293="e"),H293," ")</f>
        <v> </v>
      </c>
    </row>
    <row r="294" customFormat="false" ht="12" hidden="false" customHeight="false" outlineLevel="0" collapsed="false">
      <c r="A294" s="28"/>
      <c r="E294" s="2" t="str">
        <f aca="false">IF((F294&lt;&gt;0),"Enter Letter"," ")</f>
        <v> </v>
      </c>
      <c r="F294" s="30"/>
      <c r="G294" s="6" t="str">
        <f aca="false">IF(F294&lt;&gt;0,F294*G$2/(100+G$2)," ")</f>
        <v> </v>
      </c>
      <c r="H294" s="6" t="str">
        <f aca="false">IF((F294&lt;&gt;0),F294-G294," ")</f>
        <v> </v>
      </c>
      <c r="I294" s="5"/>
      <c r="L294" s="7" t="str">
        <f aca="false">IF(F294&lt;&gt;0,F294-K294," ")</f>
        <v> </v>
      </c>
      <c r="M294" s="8" t="str">
        <f aca="false">IF((F294-K294)&lt;&gt;0,M$1-A294," ")</f>
        <v> </v>
      </c>
      <c r="N294" s="5"/>
      <c r="O294" s="17" t="str">
        <f aca="false">IF((E294="s"),H294," ")</f>
        <v> </v>
      </c>
      <c r="P294" s="17" t="str">
        <f aca="false">IF((E294="c"),H294," ")</f>
        <v> </v>
      </c>
      <c r="Q294" s="17" t="str">
        <f aca="false">IF((E294="o"),H294," ")</f>
        <v> </v>
      </c>
      <c r="R294" s="17" t="str">
        <f aca="false">IF((E294="d"),H294," ")</f>
        <v> </v>
      </c>
      <c r="S294" s="17" t="str">
        <f aca="false">IF((E294="w"),H294," ")</f>
        <v> </v>
      </c>
      <c r="T294" s="17" t="str">
        <f aca="false">IF((E294="r"),H294," ")</f>
        <v> </v>
      </c>
      <c r="U294" s="17" t="str">
        <f aca="false">IF((E294="p"),H294," ")</f>
        <v> </v>
      </c>
      <c r="V294" s="17" t="str">
        <f aca="false">IF((E294="t"),H294," ")</f>
        <v> </v>
      </c>
      <c r="W294" s="17" t="str">
        <f aca="false">IF((E294="q"),H294," ")</f>
        <v> </v>
      </c>
      <c r="X294" s="17" t="str">
        <f aca="false">IF((E294="m"),H294," ")</f>
        <v> </v>
      </c>
      <c r="Y294" s="17" t="str">
        <f aca="false">IF((E294="u"),H294," ")</f>
        <v> </v>
      </c>
      <c r="Z294" s="17" t="str">
        <f aca="false">IF((E294="a"),H294," ")</f>
        <v> </v>
      </c>
      <c r="AA294" s="17" t="str">
        <f aca="false">IF((E294="g"),H294," ")</f>
        <v> </v>
      </c>
      <c r="AB294" s="17" t="str">
        <f aca="false">IF((E294="h"),H294," ")</f>
        <v> </v>
      </c>
      <c r="AC294" s="30" t="str">
        <f aca="false">IF((E294="v"),H294," ")</f>
        <v> </v>
      </c>
      <c r="AD294" s="30" t="str">
        <f aca="false">IF((E294="n"),H294," ")</f>
        <v> </v>
      </c>
      <c r="AE294" s="17" t="str">
        <f aca="false">IF((E294="f"),H294," ")</f>
        <v> </v>
      </c>
      <c r="AF294" s="17" t="str">
        <f aca="false">IF((E294="l"),H294," ")</f>
        <v> </v>
      </c>
      <c r="AG294" s="17" t="str">
        <f aca="false">IF((E294="y"),H294," ")</f>
        <v> </v>
      </c>
      <c r="AH294" s="17" t="str">
        <f aca="false">IF((E294="z"),H294," ")</f>
        <v> </v>
      </c>
      <c r="AI294" s="17" t="str">
        <f aca="false">IF((E294="fa"),H294," ")</f>
        <v> </v>
      </c>
      <c r="AJ294" s="17" t="str">
        <f aca="false">IF((E294="e"),H294," ")</f>
        <v> </v>
      </c>
    </row>
    <row r="295" customFormat="false" ht="12" hidden="false" customHeight="false" outlineLevel="0" collapsed="false">
      <c r="A295" s="28"/>
      <c r="E295" s="2" t="str">
        <f aca="false">IF((F295&lt;&gt;0),"Enter Letter"," ")</f>
        <v> </v>
      </c>
      <c r="F295" s="30"/>
      <c r="G295" s="6" t="str">
        <f aca="false">IF(F295&lt;&gt;0,F295*G$2/(100+G$2)," ")</f>
        <v> </v>
      </c>
      <c r="H295" s="6" t="str">
        <f aca="false">IF((F295&lt;&gt;0),F295-G295," ")</f>
        <v> </v>
      </c>
      <c r="I295" s="5"/>
      <c r="L295" s="7" t="str">
        <f aca="false">IF(F295&lt;&gt;0,F295-K295," ")</f>
        <v> </v>
      </c>
      <c r="M295" s="8" t="str">
        <f aca="false">IF((F295-K295)&lt;&gt;0,M$1-A295," ")</f>
        <v> </v>
      </c>
      <c r="N295" s="5"/>
      <c r="O295" s="17" t="str">
        <f aca="false">IF((E295="s"),H295," ")</f>
        <v> </v>
      </c>
      <c r="P295" s="17" t="str">
        <f aca="false">IF((E295="c"),H295," ")</f>
        <v> </v>
      </c>
      <c r="Q295" s="17" t="str">
        <f aca="false">IF((E295="o"),H295," ")</f>
        <v> </v>
      </c>
      <c r="R295" s="17" t="str">
        <f aca="false">IF((E295="d"),H295," ")</f>
        <v> </v>
      </c>
      <c r="S295" s="17" t="str">
        <f aca="false">IF((E295="w"),H295," ")</f>
        <v> </v>
      </c>
      <c r="T295" s="17" t="str">
        <f aca="false">IF((E295="r"),H295," ")</f>
        <v> </v>
      </c>
      <c r="U295" s="17" t="str">
        <f aca="false">IF((E295="p"),H295," ")</f>
        <v> </v>
      </c>
      <c r="V295" s="17" t="str">
        <f aca="false">IF((E295="t"),H295," ")</f>
        <v> </v>
      </c>
      <c r="W295" s="17" t="str">
        <f aca="false">IF((E295="q"),H295," ")</f>
        <v> </v>
      </c>
      <c r="X295" s="17" t="str">
        <f aca="false">IF((E295="m"),H295," ")</f>
        <v> </v>
      </c>
      <c r="Y295" s="17" t="str">
        <f aca="false">IF((E295="u"),H295," ")</f>
        <v> </v>
      </c>
      <c r="Z295" s="17" t="str">
        <f aca="false">IF((E295="a"),H295," ")</f>
        <v> </v>
      </c>
      <c r="AA295" s="17" t="str">
        <f aca="false">IF((E295="g"),H295," ")</f>
        <v> </v>
      </c>
      <c r="AB295" s="17" t="str">
        <f aca="false">IF((E295="h"),H295," ")</f>
        <v> </v>
      </c>
      <c r="AC295" s="30" t="str">
        <f aca="false">IF((E295="v"),H295," ")</f>
        <v> </v>
      </c>
      <c r="AD295" s="30" t="str">
        <f aca="false">IF((E295="n"),H295," ")</f>
        <v> </v>
      </c>
      <c r="AE295" s="17" t="str">
        <f aca="false">IF((E295="f"),H295," ")</f>
        <v> </v>
      </c>
      <c r="AF295" s="17" t="str">
        <f aca="false">IF((E295="l"),H295," ")</f>
        <v> </v>
      </c>
      <c r="AG295" s="17" t="str">
        <f aca="false">IF((E295="y"),H295," ")</f>
        <v> </v>
      </c>
      <c r="AH295" s="17" t="str">
        <f aca="false">IF((E295="z"),H295," ")</f>
        <v> </v>
      </c>
      <c r="AI295" s="17" t="str">
        <f aca="false">IF((E295="fa"),H295," ")</f>
        <v> </v>
      </c>
      <c r="AJ295" s="17" t="str">
        <f aca="false">IF((E295="e"),H295," ")</f>
        <v> </v>
      </c>
    </row>
    <row r="296" customFormat="false" ht="12" hidden="false" customHeight="false" outlineLevel="0" collapsed="false">
      <c r="A296" s="28"/>
      <c r="E296" s="2" t="str">
        <f aca="false">IF((F296&lt;&gt;0),"Enter Letter"," ")</f>
        <v> </v>
      </c>
      <c r="F296" s="30"/>
      <c r="G296" s="6" t="str">
        <f aca="false">IF(F296&lt;&gt;0,F296*G$2/(100+G$2)," ")</f>
        <v> </v>
      </c>
      <c r="H296" s="6" t="str">
        <f aca="false">IF((F296&lt;&gt;0),F296-G296," ")</f>
        <v> </v>
      </c>
      <c r="I296" s="5"/>
      <c r="L296" s="7" t="str">
        <f aca="false">IF(F296&lt;&gt;0,F296-K296," ")</f>
        <v> </v>
      </c>
      <c r="M296" s="8" t="str">
        <f aca="false">IF((F296-K296)&lt;&gt;0,M$1-A296," ")</f>
        <v> </v>
      </c>
      <c r="N296" s="5"/>
      <c r="O296" s="17" t="str">
        <f aca="false">IF((E296="s"),H296," ")</f>
        <v> </v>
      </c>
      <c r="P296" s="17" t="str">
        <f aca="false">IF((E296="c"),H296," ")</f>
        <v> </v>
      </c>
      <c r="Q296" s="17" t="str">
        <f aca="false">IF((E296="o"),H296," ")</f>
        <v> </v>
      </c>
      <c r="R296" s="17" t="str">
        <f aca="false">IF((E296="d"),H296," ")</f>
        <v> </v>
      </c>
      <c r="S296" s="17" t="str">
        <f aca="false">IF((E296="w"),H296," ")</f>
        <v> </v>
      </c>
      <c r="T296" s="17" t="str">
        <f aca="false">IF((E296="r"),H296," ")</f>
        <v> </v>
      </c>
      <c r="U296" s="17" t="str">
        <f aca="false">IF((E296="p"),H296," ")</f>
        <v> </v>
      </c>
      <c r="V296" s="17" t="str">
        <f aca="false">IF((E296="t"),H296," ")</f>
        <v> </v>
      </c>
      <c r="W296" s="17" t="str">
        <f aca="false">IF((E296="q"),H296," ")</f>
        <v> </v>
      </c>
      <c r="X296" s="17" t="str">
        <f aca="false">IF((E296="m"),H296," ")</f>
        <v> </v>
      </c>
      <c r="Y296" s="17" t="str">
        <f aca="false">IF((E296="u"),H296," ")</f>
        <v> </v>
      </c>
      <c r="Z296" s="17" t="str">
        <f aca="false">IF((E296="a"),H296," ")</f>
        <v> </v>
      </c>
      <c r="AA296" s="17" t="str">
        <f aca="false">IF((E296="g"),H296," ")</f>
        <v> </v>
      </c>
      <c r="AB296" s="17" t="str">
        <f aca="false">IF((E296="h"),H296," ")</f>
        <v> </v>
      </c>
      <c r="AC296" s="30" t="str">
        <f aca="false">IF((E296="v"),H296," ")</f>
        <v> </v>
      </c>
      <c r="AD296" s="30" t="str">
        <f aca="false">IF((E296="n"),H296," ")</f>
        <v> </v>
      </c>
      <c r="AE296" s="17" t="str">
        <f aca="false">IF((E296="f"),H296," ")</f>
        <v> </v>
      </c>
      <c r="AF296" s="17" t="str">
        <f aca="false">IF((E296="l"),H296," ")</f>
        <v> </v>
      </c>
      <c r="AG296" s="17" t="str">
        <f aca="false">IF((E296="y"),H296," ")</f>
        <v> </v>
      </c>
      <c r="AH296" s="17" t="str">
        <f aca="false">IF((E296="z"),H296," ")</f>
        <v> </v>
      </c>
      <c r="AI296" s="17" t="str">
        <f aca="false">IF((E296="fa"),H296," ")</f>
        <v> </v>
      </c>
      <c r="AJ296" s="17" t="str">
        <f aca="false">IF((E296="e"),H296," ")</f>
        <v> </v>
      </c>
    </row>
    <row r="297" customFormat="false" ht="12" hidden="false" customHeight="false" outlineLevel="0" collapsed="false">
      <c r="A297" s="28"/>
      <c r="E297" s="2" t="str">
        <f aca="false">IF((F297&lt;&gt;0),"Enter Letter"," ")</f>
        <v> </v>
      </c>
      <c r="F297" s="30"/>
      <c r="G297" s="6" t="str">
        <f aca="false">IF(F297&lt;&gt;0,F297*G$2/(100+G$2)," ")</f>
        <v> </v>
      </c>
      <c r="H297" s="6" t="str">
        <f aca="false">IF((F297&lt;&gt;0),F297-G297," ")</f>
        <v> </v>
      </c>
      <c r="I297" s="5"/>
      <c r="L297" s="7" t="str">
        <f aca="false">IF(F297&lt;&gt;0,F297-K297," ")</f>
        <v> </v>
      </c>
      <c r="M297" s="8" t="str">
        <f aca="false">IF((F297-K297)&lt;&gt;0,M$1-A297," ")</f>
        <v> </v>
      </c>
      <c r="N297" s="5"/>
      <c r="O297" s="17" t="str">
        <f aca="false">IF((E297="s"),H297," ")</f>
        <v> </v>
      </c>
      <c r="P297" s="17" t="str">
        <f aca="false">IF((E297="c"),H297," ")</f>
        <v> </v>
      </c>
      <c r="Q297" s="17" t="str">
        <f aca="false">IF((E297="o"),H297," ")</f>
        <v> </v>
      </c>
      <c r="R297" s="17" t="str">
        <f aca="false">IF((E297="d"),H297," ")</f>
        <v> </v>
      </c>
      <c r="S297" s="17" t="str">
        <f aca="false">IF((E297="w"),H297," ")</f>
        <v> </v>
      </c>
      <c r="T297" s="17" t="str">
        <f aca="false">IF((E297="r"),H297," ")</f>
        <v> </v>
      </c>
      <c r="U297" s="17" t="str">
        <f aca="false">IF((E297="p"),H297," ")</f>
        <v> </v>
      </c>
      <c r="V297" s="17" t="str">
        <f aca="false">IF((E297="t"),H297," ")</f>
        <v> </v>
      </c>
      <c r="W297" s="17" t="str">
        <f aca="false">IF((E297="q"),H297," ")</f>
        <v> </v>
      </c>
      <c r="X297" s="17" t="str">
        <f aca="false">IF((E297="m"),H297," ")</f>
        <v> </v>
      </c>
      <c r="Y297" s="17" t="str">
        <f aca="false">IF((E297="u"),H297," ")</f>
        <v> </v>
      </c>
      <c r="Z297" s="17" t="str">
        <f aca="false">IF((E297="a"),H297," ")</f>
        <v> </v>
      </c>
      <c r="AA297" s="17" t="str">
        <f aca="false">IF((E297="g"),H297," ")</f>
        <v> </v>
      </c>
      <c r="AB297" s="17" t="str">
        <f aca="false">IF((E297="h"),H297," ")</f>
        <v> </v>
      </c>
      <c r="AC297" s="30" t="str">
        <f aca="false">IF((E297="v"),H297," ")</f>
        <v> </v>
      </c>
      <c r="AD297" s="30" t="str">
        <f aca="false">IF((E297="n"),H297," ")</f>
        <v> </v>
      </c>
      <c r="AE297" s="17" t="str">
        <f aca="false">IF((E297="f"),H297," ")</f>
        <v> </v>
      </c>
      <c r="AF297" s="17" t="str">
        <f aca="false">IF((E297="l"),H297," ")</f>
        <v> </v>
      </c>
      <c r="AG297" s="17" t="str">
        <f aca="false">IF((E297="y"),H297," ")</f>
        <v> </v>
      </c>
      <c r="AH297" s="17" t="str">
        <f aca="false">IF((E297="z"),H297," ")</f>
        <v> </v>
      </c>
      <c r="AI297" s="17" t="str">
        <f aca="false">IF((E297="fa"),H297," ")</f>
        <v> </v>
      </c>
      <c r="AJ297" s="17" t="str">
        <f aca="false">IF((E297="e"),H297," ")</f>
        <v> </v>
      </c>
    </row>
    <row r="298" customFormat="false" ht="12" hidden="false" customHeight="false" outlineLevel="0" collapsed="false">
      <c r="A298" s="28"/>
      <c r="E298" s="2" t="str">
        <f aca="false">IF((F298&lt;&gt;0),"Enter Letter"," ")</f>
        <v> </v>
      </c>
      <c r="F298" s="30"/>
      <c r="G298" s="6" t="str">
        <f aca="false">IF(F298&lt;&gt;0,F298*G$2/(100+G$2)," ")</f>
        <v> </v>
      </c>
      <c r="H298" s="6" t="str">
        <f aca="false">IF((F298&lt;&gt;0),F298-G298," ")</f>
        <v> </v>
      </c>
      <c r="I298" s="5"/>
      <c r="L298" s="7" t="str">
        <f aca="false">IF(F298&lt;&gt;0,F298-K298," ")</f>
        <v> </v>
      </c>
      <c r="M298" s="8" t="str">
        <f aca="false">IF((F298-K298)&lt;&gt;0,M$1-A298," ")</f>
        <v> </v>
      </c>
      <c r="N298" s="5"/>
      <c r="O298" s="17" t="str">
        <f aca="false">IF((E298="s"),H298," ")</f>
        <v> </v>
      </c>
      <c r="P298" s="17" t="str">
        <f aca="false">IF((E298="c"),H298," ")</f>
        <v> </v>
      </c>
      <c r="Q298" s="17" t="str">
        <f aca="false">IF((E298="o"),H298," ")</f>
        <v> </v>
      </c>
      <c r="R298" s="17" t="str">
        <f aca="false">IF((E298="d"),H298," ")</f>
        <v> </v>
      </c>
      <c r="S298" s="17" t="str">
        <f aca="false">IF((E298="w"),H298," ")</f>
        <v> </v>
      </c>
      <c r="T298" s="17" t="str">
        <f aca="false">IF((E298="r"),H298," ")</f>
        <v> </v>
      </c>
      <c r="U298" s="17" t="str">
        <f aca="false">IF((E298="p"),H298," ")</f>
        <v> </v>
      </c>
      <c r="V298" s="17" t="str">
        <f aca="false">IF((E298="t"),H298," ")</f>
        <v> </v>
      </c>
      <c r="W298" s="17" t="str">
        <f aca="false">IF((E298="q"),H298," ")</f>
        <v> </v>
      </c>
      <c r="X298" s="17" t="str">
        <f aca="false">IF((E298="m"),H298," ")</f>
        <v> </v>
      </c>
      <c r="Y298" s="17" t="str">
        <f aca="false">IF((E298="u"),H298," ")</f>
        <v> </v>
      </c>
      <c r="Z298" s="17" t="str">
        <f aca="false">IF((E298="a"),H298," ")</f>
        <v> </v>
      </c>
      <c r="AA298" s="17" t="str">
        <f aca="false">IF((E298="g"),H298," ")</f>
        <v> </v>
      </c>
      <c r="AB298" s="17" t="str">
        <f aca="false">IF((E298="h"),H298," ")</f>
        <v> </v>
      </c>
      <c r="AC298" s="30" t="str">
        <f aca="false">IF((E298="v"),H298," ")</f>
        <v> </v>
      </c>
      <c r="AD298" s="30" t="str">
        <f aca="false">IF((E298="n"),H298," ")</f>
        <v> </v>
      </c>
      <c r="AE298" s="17" t="str">
        <f aca="false">IF((E298="f"),H298," ")</f>
        <v> </v>
      </c>
      <c r="AF298" s="17" t="str">
        <f aca="false">IF((E298="l"),H298," ")</f>
        <v> </v>
      </c>
      <c r="AG298" s="17" t="str">
        <f aca="false">IF((E298="y"),H298," ")</f>
        <v> </v>
      </c>
      <c r="AH298" s="17" t="str">
        <f aca="false">IF((E298="z"),H298," ")</f>
        <v> </v>
      </c>
      <c r="AI298" s="17" t="str">
        <f aca="false">IF((E298="fa"),H298," ")</f>
        <v> </v>
      </c>
      <c r="AJ298" s="17" t="str">
        <f aca="false">IF((E298="e"),H298," ")</f>
        <v> </v>
      </c>
    </row>
    <row r="299" customFormat="false" ht="12" hidden="false" customHeight="false" outlineLevel="0" collapsed="false">
      <c r="A299" s="28"/>
      <c r="E299" s="2" t="str">
        <f aca="false">IF((F299&lt;&gt;0),"Enter Letter"," ")</f>
        <v> </v>
      </c>
      <c r="F299" s="30"/>
      <c r="G299" s="6" t="str">
        <f aca="false">IF(F299&lt;&gt;0,F299*G$2/(100+G$2)," ")</f>
        <v> </v>
      </c>
      <c r="H299" s="6" t="str">
        <f aca="false">IF((F299&lt;&gt;0),F299-G299," ")</f>
        <v> </v>
      </c>
      <c r="I299" s="5"/>
      <c r="L299" s="7" t="str">
        <f aca="false">IF(F299&lt;&gt;0,F299-K299," ")</f>
        <v> </v>
      </c>
      <c r="M299" s="8" t="str">
        <f aca="false">IF((F299-K299)&lt;&gt;0,M$1-A299," ")</f>
        <v> </v>
      </c>
      <c r="N299" s="5"/>
      <c r="O299" s="17" t="str">
        <f aca="false">IF((E299="s"),H299," ")</f>
        <v> </v>
      </c>
      <c r="P299" s="17" t="str">
        <f aca="false">IF((E299="c"),H299," ")</f>
        <v> </v>
      </c>
      <c r="Q299" s="17" t="str">
        <f aca="false">IF((E299="o"),H299," ")</f>
        <v> </v>
      </c>
      <c r="R299" s="17" t="str">
        <f aca="false">IF((E299="d"),H299," ")</f>
        <v> </v>
      </c>
      <c r="S299" s="17" t="str">
        <f aca="false">IF((E299="w"),H299," ")</f>
        <v> </v>
      </c>
      <c r="T299" s="17" t="str">
        <f aca="false">IF((E299="r"),H299," ")</f>
        <v> </v>
      </c>
      <c r="U299" s="17" t="str">
        <f aca="false">IF((E299="p"),H299," ")</f>
        <v> </v>
      </c>
      <c r="V299" s="17" t="str">
        <f aca="false">IF((E299="t"),H299," ")</f>
        <v> </v>
      </c>
      <c r="W299" s="17" t="str">
        <f aca="false">IF((E299="q"),H299," ")</f>
        <v> </v>
      </c>
      <c r="X299" s="17" t="str">
        <f aca="false">IF((E299="m"),H299," ")</f>
        <v> </v>
      </c>
      <c r="Y299" s="17" t="str">
        <f aca="false">IF((E299="u"),H299," ")</f>
        <v> </v>
      </c>
      <c r="Z299" s="17" t="str">
        <f aca="false">IF((E299="a"),H299," ")</f>
        <v> </v>
      </c>
      <c r="AA299" s="17" t="str">
        <f aca="false">IF((E299="g"),H299," ")</f>
        <v> </v>
      </c>
      <c r="AB299" s="17" t="str">
        <f aca="false">IF((E299="h"),H299," ")</f>
        <v> </v>
      </c>
      <c r="AC299" s="30" t="str">
        <f aca="false">IF((E299="v"),H299," ")</f>
        <v> </v>
      </c>
      <c r="AD299" s="30" t="str">
        <f aca="false">IF((E299="n"),H299," ")</f>
        <v> </v>
      </c>
      <c r="AE299" s="17" t="str">
        <f aca="false">IF((E299="f"),H299," ")</f>
        <v> </v>
      </c>
      <c r="AF299" s="17" t="str">
        <f aca="false">IF((E299="l"),H299," ")</f>
        <v> </v>
      </c>
      <c r="AG299" s="17" t="str">
        <f aca="false">IF((E299="y"),H299," ")</f>
        <v> </v>
      </c>
      <c r="AH299" s="17" t="str">
        <f aca="false">IF((E299="z"),H299," ")</f>
        <v> </v>
      </c>
      <c r="AI299" s="17" t="str">
        <f aca="false">IF((E299="fa"),H299," ")</f>
        <v> </v>
      </c>
      <c r="AJ299" s="17" t="str">
        <f aca="false">IF((E299="e"),H299," ")</f>
        <v> </v>
      </c>
    </row>
    <row r="300" customFormat="false" ht="12" hidden="false" customHeight="false" outlineLevel="0" collapsed="false">
      <c r="A300" s="32"/>
      <c r="B300" s="33"/>
      <c r="C300" s="34"/>
      <c r="D300" s="33"/>
      <c r="E300" s="46" t="str">
        <f aca="false">IF((F300&lt;&gt;0),"Enter Letter"," ")</f>
        <v> </v>
      </c>
      <c r="F300" s="47"/>
      <c r="G300" s="36" t="str">
        <f aca="false">IF(F300&lt;&gt;0,F300*G$2/(100+G$2)," ")</f>
        <v> </v>
      </c>
      <c r="H300" s="36" t="str">
        <f aca="false">IF((F300&lt;&gt;0),F300-G300," ")</f>
        <v> </v>
      </c>
      <c r="I300" s="48"/>
      <c r="J300" s="36"/>
      <c r="K300" s="36"/>
      <c r="L300" s="37" t="str">
        <f aca="false">IF(F300&lt;&gt;0,F300-K300," ")</f>
        <v> </v>
      </c>
      <c r="M300" s="38" t="str">
        <f aca="false">IF((F300-K300)&lt;&gt;0,M$1-A300," ")</f>
        <v> </v>
      </c>
      <c r="N300" s="48"/>
      <c r="O300" s="49" t="str">
        <f aca="false">IF((E300="s"),H300," ")</f>
        <v> </v>
      </c>
      <c r="P300" s="49" t="str">
        <f aca="false">IF((E300="c"),H300," ")</f>
        <v> </v>
      </c>
      <c r="Q300" s="49" t="str">
        <f aca="false">IF((E300="o"),H300," ")</f>
        <v> </v>
      </c>
      <c r="R300" s="49" t="str">
        <f aca="false">IF((E300="d"),H300," ")</f>
        <v> </v>
      </c>
      <c r="S300" s="49" t="str">
        <f aca="false">IF((E300="w"),H300," ")</f>
        <v> </v>
      </c>
      <c r="T300" s="49" t="str">
        <f aca="false">IF((E300="r"),H300," ")</f>
        <v> </v>
      </c>
      <c r="U300" s="49" t="str">
        <f aca="false">IF((E300="p"),H300," ")</f>
        <v> </v>
      </c>
      <c r="V300" s="49" t="str">
        <f aca="false">IF((E300="t"),H300," ")</f>
        <v> </v>
      </c>
      <c r="W300" s="49" t="str">
        <f aca="false">IF((E300="q"),H300," ")</f>
        <v> </v>
      </c>
      <c r="X300" s="49" t="str">
        <f aca="false">IF((E300="m"),H300," ")</f>
        <v> </v>
      </c>
      <c r="Y300" s="49" t="str">
        <f aca="false">IF((E300="u"),H300," ")</f>
        <v> </v>
      </c>
      <c r="Z300" s="49" t="str">
        <f aca="false">IF((E300="a"),H300," ")</f>
        <v> </v>
      </c>
      <c r="AA300" s="49" t="str">
        <f aca="false">IF((E300="g"),H300," ")</f>
        <v> </v>
      </c>
      <c r="AB300" s="49" t="str">
        <f aca="false">IF((E300="h"),H300," ")</f>
        <v> </v>
      </c>
      <c r="AC300" s="47" t="str">
        <f aca="false">IF((E300="v"),H300," ")</f>
        <v> </v>
      </c>
      <c r="AD300" s="47" t="str">
        <f aca="false">IF((E300="n"),H300," ")</f>
        <v> </v>
      </c>
      <c r="AE300" s="49" t="str">
        <f aca="false">IF((E300="f"),H300," ")</f>
        <v> </v>
      </c>
      <c r="AF300" s="49" t="str">
        <f aca="false">IF((E300="l"),H300," ")</f>
        <v> </v>
      </c>
      <c r="AG300" s="49" t="str">
        <f aca="false">IF((E300="y"),H300," ")</f>
        <v> </v>
      </c>
      <c r="AH300" s="49" t="str">
        <f aca="false">IF((E300="z"),H300," ")</f>
        <v> </v>
      </c>
      <c r="AI300" s="49" t="str">
        <f aca="false">IF((E300="fa"),H300," ")</f>
        <v> </v>
      </c>
      <c r="AJ300" s="49" t="str">
        <f aca="false">IF((E300="e"),H300," ")</f>
        <v> </v>
      </c>
      <c r="AK300" s="49"/>
      <c r="AL300" s="49"/>
    </row>
    <row r="301" customFormat="false" ht="12" hidden="false" customHeight="false" outlineLevel="0" collapsed="false">
      <c r="A301" s="28"/>
    </row>
  </sheetData>
  <mergeCells count="37">
    <mergeCell ref="C1:C4"/>
    <mergeCell ref="D1:E1"/>
    <mergeCell ref="I1:I4"/>
    <mergeCell ref="J1:J4"/>
    <mergeCell ref="N1:N4"/>
    <mergeCell ref="AJ1:AJ4"/>
    <mergeCell ref="A2:A4"/>
    <mergeCell ref="B2:B4"/>
    <mergeCell ref="D2:D4"/>
    <mergeCell ref="E2:E4"/>
    <mergeCell ref="F2:F4"/>
    <mergeCell ref="H2:H4"/>
    <mergeCell ref="K2:M2"/>
    <mergeCell ref="O2:Q2"/>
    <mergeCell ref="R2:R3"/>
    <mergeCell ref="S2:S3"/>
    <mergeCell ref="T2:U2"/>
    <mergeCell ref="V2:V3"/>
    <mergeCell ref="W2:W3"/>
    <mergeCell ref="X2:X3"/>
    <mergeCell ref="Y2:Y3"/>
    <mergeCell ref="Z2:Z3"/>
    <mergeCell ref="AA2:AA3"/>
    <mergeCell ref="AB2:AB3"/>
    <mergeCell ref="AC2:AC3"/>
    <mergeCell ref="AD2:AD3"/>
    <mergeCell ref="AE2:AE3"/>
    <mergeCell ref="AF2:AF3"/>
    <mergeCell ref="AG2:AG3"/>
    <mergeCell ref="AH2:AH3"/>
    <mergeCell ref="AI2:AI3"/>
    <mergeCell ref="AK2:AL2"/>
    <mergeCell ref="G3:G4"/>
    <mergeCell ref="K3:K4"/>
    <mergeCell ref="L3:L4"/>
    <mergeCell ref="M3:M4"/>
    <mergeCell ref="AK3:AL3"/>
  </mergeCells>
  <dataValidations count="4">
    <dataValidation allowBlank="true" error="While dates outside the financial year can be accepted for valid transactions the date may not have been entered in the correct format.&#10;&#10;CORRECT DATE FORMAT IS DD/MM/YY&#10;&#10;Example 25/12/08 then appears as 25-Dec-08&#10;" errorStyle="stop" errorTitle="DATE ERROR" operator="between" showDropDown="false" showErrorMessage="true" showInputMessage="false" sqref="A5:A300" type="date">
      <formula1>38353</formula1>
      <formula2>53327</formula2>
    </dataValidation>
    <dataValidation allowBlank="true" errorStyle="stop" operator="between" prompt="Entries below the line are not included in column totals or analysed.&#10;&#10;To accomodate additional entries the formulae in column totals need changing and sales analysis columns formulae added " promptTitle="PLEASE NOTE" showDropDown="false" showErrorMessage="true" showInputMessage="true" sqref="A301" type="none">
      <formula1>0</formula1>
      <formula2>0</formula2>
    </dataValidation>
    <dataValidation allowBlank="true" errorStyle="stop" operator="between" prompt="An amount in this cell is an indication column H does not equal column F minus G or the analysis in columns O to AI does not add up to total in column H&#10;&#10;CHECK ENTRY CODE LETTERS or ANY MANUAL ENTRIES IN COL G to H and COL O to AI&#10;" promptTitle="ERROR ALERT" showDropDown="false" showErrorMessage="true" showInputMessage="true" sqref="A1" type="none">
      <formula1>0</formula1>
      <formula2>0</formula2>
    </dataValidation>
    <dataValidation allowBlank="true" errorStyle="stop" operator="between" showDropDown="false" showErrorMessage="true" showInputMessage="false" sqref="E5:E300" type="list">
      <formula1>$O$4:$AI$4</formula1>
      <formula2>0</formula2>
    </dataValidation>
  </dataValidations>
  <printOptions headings="false" gridLines="true" gridLinesSet="true" horizontalCentered="false" verticalCentered="false"/>
  <pageMargins left="0.118055555555556" right="0.0784722222222222" top="0.590277777777778" bottom="0.590277777777778" header="0.196527777777778" footer="0.196527777777778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&amp;C&amp;"Arial,Bold"&amp;11Costs and Expenses</oddHeader>
    <oddFooter>&amp;L&amp;D  &amp;T&amp;C&amp;P  of  &amp;N&amp;R&amp;F  &amp;A</oddFooter>
  </headerFooter>
  <colBreaks count="1" manualBreakCount="1">
    <brk id="24" man="true" max="65535" min="0"/>
  </colBreak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Z3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625" defaultRowHeight="12" zeroHeight="false" outlineLevelRow="0" outlineLevelCol="0"/>
  <cols>
    <col collapsed="false" customWidth="true" hidden="false" outlineLevel="0" max="1" min="1" style="1" width="8.82"/>
    <col collapsed="false" customWidth="true" hidden="false" outlineLevel="0" max="2" min="2" style="2" width="18.66"/>
    <col collapsed="false" customWidth="true" hidden="false" outlineLevel="0" max="3" min="3" style="3" width="12.66"/>
    <col collapsed="false" customWidth="true" hidden="false" outlineLevel="0" max="4" min="4" style="2" width="14.66"/>
    <col collapsed="false" customWidth="true" hidden="false" outlineLevel="0" max="5" min="5" style="5" width="9.66"/>
    <col collapsed="false" customWidth="true" hidden="false" outlineLevel="0" max="6" min="6" style="6" width="10.5"/>
    <col collapsed="false" customWidth="true" hidden="false" outlineLevel="0" max="7" min="7" style="6" width="9.66"/>
    <col collapsed="false" customWidth="true" hidden="false" outlineLevel="0" max="8" min="8" style="6" width="10.82"/>
    <col collapsed="false" customWidth="true" hidden="false" outlineLevel="0" max="9" min="9" style="6" width="0.82"/>
    <col collapsed="false" customWidth="true" hidden="false" outlineLevel="0" max="10" min="10" style="6" width="9.99"/>
    <col collapsed="false" customWidth="true" hidden="false" outlineLevel="0" max="11" min="11" style="6" width="9.66"/>
    <col collapsed="false" customWidth="true" hidden="false" outlineLevel="0" max="12" min="12" style="7" width="9.66"/>
    <col collapsed="false" customWidth="true" hidden="false" outlineLevel="0" max="13" min="13" style="8" width="9.49"/>
    <col collapsed="false" customWidth="true" hidden="false" outlineLevel="0" max="14" min="14" style="6" width="0.82"/>
    <col collapsed="false" customWidth="true" hidden="false" outlineLevel="0" max="23" min="15" style="17" width="9.66"/>
    <col collapsed="false" customWidth="true" hidden="false" outlineLevel="0" max="28" min="24" style="17" width="10.5"/>
    <col collapsed="false" customWidth="true" hidden="false" outlineLevel="0" max="30" min="29" style="39" width="10.5"/>
    <col collapsed="false" customWidth="true" hidden="false" outlineLevel="0" max="36" min="31" style="17" width="10.5"/>
    <col collapsed="false" customWidth="false" hidden="false" outlineLevel="0" max="37" min="37" style="17" width="9.15"/>
    <col collapsed="false" customWidth="true" hidden="false" outlineLevel="0" max="38" min="38" style="17" width="12.66"/>
    <col collapsed="false" customWidth="false" hidden="false" outlineLevel="0" max="257" min="39" style="2" width="9.15"/>
  </cols>
  <sheetData>
    <row r="1" s="17" customFormat="true" ht="12.75" hidden="false" customHeight="true" outlineLevel="0" collapsed="false">
      <c r="A1" s="40" t="n">
        <f aca="false">F1-G1-SUM(O1:AJ1)</f>
        <v>0</v>
      </c>
      <c r="B1" s="41" t="s">
        <v>22</v>
      </c>
      <c r="C1" s="20" t="s">
        <v>5</v>
      </c>
      <c r="D1" s="42" t="s">
        <v>23</v>
      </c>
      <c r="E1" s="42"/>
      <c r="F1" s="12" t="n">
        <f aca="false">SUM(F5:F300)</f>
        <v>43005.75</v>
      </c>
      <c r="G1" s="12" t="n">
        <f aca="false">SUM(G5:G300)</f>
        <v>7167.625</v>
      </c>
      <c r="H1" s="12" t="n">
        <f aca="false">SUM(H5:H300)</f>
        <v>35838.125</v>
      </c>
      <c r="I1" s="13"/>
      <c r="J1" s="14" t="s">
        <v>2</v>
      </c>
      <c r="K1" s="15" t="n">
        <f aca="false">SUM(K5:K300)</f>
        <v>0</v>
      </c>
      <c r="L1" s="15" t="n">
        <f aca="false">SUM(L5:L300)</f>
        <v>43005.75</v>
      </c>
      <c r="M1" s="16" t="n">
        <f aca="true">TODAY()</f>
        <v>46278</v>
      </c>
      <c r="N1" s="13"/>
      <c r="O1" s="12" t="n">
        <f aca="false">SUM(O5:O300)</f>
        <v>400</v>
      </c>
      <c r="P1" s="12" t="n">
        <f aca="false">SUM(P5:P300)</f>
        <v>0</v>
      </c>
      <c r="Q1" s="12" t="n">
        <f aca="false">SUM(Q5:Q300)</f>
        <v>237.5</v>
      </c>
      <c r="R1" s="12" t="n">
        <f aca="false">SUM(R5:R300)</f>
        <v>0</v>
      </c>
      <c r="S1" s="12" t="n">
        <f aca="false">SUM(S5:S300)</f>
        <v>0</v>
      </c>
      <c r="T1" s="12" t="n">
        <f aca="false">SUM(T5:T300)</f>
        <v>1000</v>
      </c>
      <c r="U1" s="12" t="n">
        <f aca="false">SUM(U5:U300)</f>
        <v>0</v>
      </c>
      <c r="V1" s="12" t="n">
        <f aca="false">SUM(V5:V300)</f>
        <v>0</v>
      </c>
      <c r="W1" s="12" t="n">
        <f aca="false">SUM(W5:W300)</f>
        <v>0</v>
      </c>
      <c r="X1" s="12" t="n">
        <f aca="false">SUM(X5:X300)</f>
        <v>80</v>
      </c>
      <c r="Y1" s="12" t="n">
        <f aca="false">SUM(Y5:Y300)</f>
        <v>125.833333333333</v>
      </c>
      <c r="Z1" s="12" t="n">
        <f aca="false">SUM(Z5:Z300)</f>
        <v>2500</v>
      </c>
      <c r="AA1" s="12" t="n">
        <f aca="false">SUM(AA5:AA300)</f>
        <v>112.5</v>
      </c>
      <c r="AB1" s="12" t="n">
        <f aca="false">SUM(AB5:AB300)</f>
        <v>176.666666666667</v>
      </c>
      <c r="AC1" s="12" t="n">
        <f aca="false">SUM(AC5:AC300)</f>
        <v>505.625</v>
      </c>
      <c r="AD1" s="12" t="n">
        <f aca="false">SUM(AD5:AD300)</f>
        <v>300</v>
      </c>
      <c r="AE1" s="12" t="n">
        <f aca="false">SUM(AE5:AE300)</f>
        <v>150</v>
      </c>
      <c r="AF1" s="12" t="n">
        <f aca="false">SUM(AF5:AF300)</f>
        <v>250</v>
      </c>
      <c r="AG1" s="12" t="n">
        <f aca="false">SUM(AG5:AG300)</f>
        <v>0</v>
      </c>
      <c r="AH1" s="12" t="n">
        <f aca="false">SUM(AH5:AH300)</f>
        <v>0</v>
      </c>
      <c r="AI1" s="12" t="n">
        <f aca="false">SUM(AI5:AI300)</f>
        <v>30000</v>
      </c>
      <c r="AJ1" s="12" t="n">
        <f aca="false">SUM(AJ5:AJ300)</f>
        <v>0</v>
      </c>
      <c r="AK1" s="12" t="n">
        <f aca="false">SUM(AK5:AK300)</f>
        <v>0</v>
      </c>
      <c r="AL1" s="43"/>
    </row>
    <row r="2" s="17" customFormat="true" ht="13.5" hidden="false" customHeight="true" outlineLevel="0" collapsed="false">
      <c r="A2" s="18" t="s">
        <v>3</v>
      </c>
      <c r="B2" s="19" t="s">
        <v>4</v>
      </c>
      <c r="C2" s="20"/>
      <c r="D2" s="21" t="s">
        <v>6</v>
      </c>
      <c r="E2" s="21" t="s">
        <v>24</v>
      </c>
      <c r="F2" s="19" t="s">
        <v>7</v>
      </c>
      <c r="G2" s="22" t="n">
        <f aca="false">IF([2]May!$G$4&gt;0,0,[2]May!$G$2)</f>
        <v>20</v>
      </c>
      <c r="H2" s="19" t="s">
        <v>8</v>
      </c>
      <c r="I2" s="13"/>
      <c r="J2" s="14"/>
      <c r="K2" s="23" t="s">
        <v>9</v>
      </c>
      <c r="L2" s="23"/>
      <c r="M2" s="23"/>
      <c r="N2" s="13"/>
      <c r="O2" s="19" t="s">
        <v>25</v>
      </c>
      <c r="P2" s="19"/>
      <c r="Q2" s="19"/>
      <c r="R2" s="19" t="s">
        <v>26</v>
      </c>
      <c r="S2" s="19" t="s">
        <v>27</v>
      </c>
      <c r="T2" s="19" t="s">
        <v>28</v>
      </c>
      <c r="U2" s="19"/>
      <c r="V2" s="19" t="s">
        <v>29</v>
      </c>
      <c r="W2" s="19" t="s">
        <v>30</v>
      </c>
      <c r="X2" s="19" t="s">
        <v>31</v>
      </c>
      <c r="Y2" s="19" t="s">
        <v>32</v>
      </c>
      <c r="Z2" s="19" t="s">
        <v>33</v>
      </c>
      <c r="AA2" s="19" t="s">
        <v>34</v>
      </c>
      <c r="AB2" s="19" t="s">
        <v>35</v>
      </c>
      <c r="AC2" s="19" t="s">
        <v>36</v>
      </c>
      <c r="AD2" s="19" t="s">
        <v>37</v>
      </c>
      <c r="AE2" s="19" t="s">
        <v>38</v>
      </c>
      <c r="AF2" s="19" t="s">
        <v>39</v>
      </c>
      <c r="AG2" s="19" t="s">
        <v>40</v>
      </c>
      <c r="AH2" s="19" t="s">
        <v>41</v>
      </c>
      <c r="AI2" s="19" t="s">
        <v>42</v>
      </c>
      <c r="AJ2" s="12" t="s">
        <v>43</v>
      </c>
      <c r="AK2" s="19" t="s">
        <v>44</v>
      </c>
      <c r="AL2" s="19"/>
    </row>
    <row r="3" s="26" customFormat="true" ht="34.5" hidden="false" customHeight="true" outlineLevel="0" collapsed="false">
      <c r="A3" s="18"/>
      <c r="B3" s="19"/>
      <c r="C3" s="20"/>
      <c r="D3" s="21"/>
      <c r="E3" s="21"/>
      <c r="F3" s="19"/>
      <c r="G3" s="19" t="s">
        <v>10</v>
      </c>
      <c r="H3" s="19"/>
      <c r="I3" s="13"/>
      <c r="J3" s="14"/>
      <c r="K3" s="24" t="s">
        <v>11</v>
      </c>
      <c r="L3" s="24" t="s">
        <v>12</v>
      </c>
      <c r="M3" s="25" t="s">
        <v>13</v>
      </c>
      <c r="N3" s="13"/>
      <c r="O3" s="21" t="s">
        <v>45</v>
      </c>
      <c r="P3" s="21" t="s">
        <v>46</v>
      </c>
      <c r="Q3" s="21" t="s">
        <v>47</v>
      </c>
      <c r="R3" s="19"/>
      <c r="S3" s="19"/>
      <c r="T3" s="21" t="s">
        <v>48</v>
      </c>
      <c r="U3" s="21" t="s">
        <v>49</v>
      </c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2"/>
      <c r="AK3" s="19" t="s">
        <v>50</v>
      </c>
      <c r="AL3" s="19"/>
    </row>
    <row r="4" s="27" customFormat="true" ht="12.75" hidden="false" customHeight="true" outlineLevel="0" collapsed="false">
      <c r="A4" s="18"/>
      <c r="B4" s="19"/>
      <c r="C4" s="20"/>
      <c r="D4" s="21"/>
      <c r="E4" s="21"/>
      <c r="F4" s="19"/>
      <c r="G4" s="19"/>
      <c r="H4" s="19"/>
      <c r="I4" s="13"/>
      <c r="J4" s="14"/>
      <c r="K4" s="24"/>
      <c r="L4" s="24"/>
      <c r="M4" s="24"/>
      <c r="N4" s="13"/>
      <c r="O4" s="44" t="s">
        <v>51</v>
      </c>
      <c r="P4" s="44" t="s">
        <v>52</v>
      </c>
      <c r="Q4" s="44" t="s">
        <v>53</v>
      </c>
      <c r="R4" s="44" t="s">
        <v>54</v>
      </c>
      <c r="S4" s="44" t="s">
        <v>55</v>
      </c>
      <c r="T4" s="44" t="s">
        <v>56</v>
      </c>
      <c r="U4" s="44" t="s">
        <v>57</v>
      </c>
      <c r="V4" s="44" t="s">
        <v>58</v>
      </c>
      <c r="W4" s="44" t="s">
        <v>59</v>
      </c>
      <c r="X4" s="44" t="s">
        <v>60</v>
      </c>
      <c r="Y4" s="44" t="s">
        <v>61</v>
      </c>
      <c r="Z4" s="44" t="s">
        <v>62</v>
      </c>
      <c r="AA4" s="44" t="s">
        <v>63</v>
      </c>
      <c r="AB4" s="44" t="s">
        <v>64</v>
      </c>
      <c r="AC4" s="45" t="s">
        <v>65</v>
      </c>
      <c r="AD4" s="45" t="s">
        <v>66</v>
      </c>
      <c r="AE4" s="44" t="s">
        <v>67</v>
      </c>
      <c r="AF4" s="44" t="s">
        <v>68</v>
      </c>
      <c r="AG4" s="44" t="s">
        <v>69</v>
      </c>
      <c r="AH4" s="44" t="s">
        <v>70</v>
      </c>
      <c r="AI4" s="44" t="s">
        <v>71</v>
      </c>
      <c r="AJ4" s="12" t="s">
        <v>72</v>
      </c>
      <c r="AK4" s="19" t="s">
        <v>73</v>
      </c>
      <c r="AL4" s="19" t="s">
        <v>74</v>
      </c>
    </row>
    <row r="5" s="5" customFormat="true" ht="12" hidden="false" customHeight="false" outlineLevel="0" collapsed="false">
      <c r="A5" s="28" t="n">
        <v>46508</v>
      </c>
      <c r="B5" s="2" t="s">
        <v>14</v>
      </c>
      <c r="C5" s="3"/>
      <c r="D5" s="2" t="s">
        <v>75</v>
      </c>
      <c r="E5" s="2" t="s">
        <v>76</v>
      </c>
      <c r="F5" s="30" t="n">
        <v>1200</v>
      </c>
      <c r="G5" s="6" t="n">
        <f aca="false">IF(F5&lt;&gt;0,F5*G$2/(100+G$2)," ")</f>
        <v>200</v>
      </c>
      <c r="H5" s="6" t="n">
        <f aca="false">IF((F5&lt;&gt;0),F5-G5," ")</f>
        <v>1000</v>
      </c>
      <c r="J5" s="6"/>
      <c r="K5" s="6"/>
      <c r="L5" s="7" t="n">
        <f aca="false">IF(F5&lt;&gt;0,F5-K5," ")</f>
        <v>1200</v>
      </c>
      <c r="M5" s="8" t="n">
        <f aca="false">IF((F5-K5)&lt;&gt;0,M$1-A5," ")</f>
        <v>-230</v>
      </c>
      <c r="O5" s="17" t="str">
        <f aca="false">IF((E5="s"),H5," ")</f>
        <v> </v>
      </c>
      <c r="P5" s="17" t="str">
        <f aca="false">IF((E5="c"),H5," ")</f>
        <v> </v>
      </c>
      <c r="Q5" s="17" t="str">
        <f aca="false">IF((E5="o"),H5," ")</f>
        <v> </v>
      </c>
      <c r="R5" s="17" t="str">
        <f aca="false">IF((E5="d"),H5," ")</f>
        <v> </v>
      </c>
      <c r="S5" s="17" t="str">
        <f aca="false">IF((E5="w"),H5," ")</f>
        <v> </v>
      </c>
      <c r="T5" s="17" t="n">
        <f aca="false">IF((E5="r"),H5," ")</f>
        <v>1000</v>
      </c>
      <c r="U5" s="17" t="str">
        <f aca="false">IF((E5="p"),H5," ")</f>
        <v> </v>
      </c>
      <c r="V5" s="17" t="str">
        <f aca="false">IF((E5="t"),H5," ")</f>
        <v> </v>
      </c>
      <c r="W5" s="17" t="str">
        <f aca="false">IF((E5="q"),H5," ")</f>
        <v> </v>
      </c>
      <c r="X5" s="17" t="str">
        <f aca="false">IF((E5="m"),H5," ")</f>
        <v> </v>
      </c>
      <c r="Y5" s="17" t="str">
        <f aca="false">IF((E5="u"),H5," ")</f>
        <v> </v>
      </c>
      <c r="Z5" s="17" t="str">
        <f aca="false">IF((E5="a"),H5," ")</f>
        <v> </v>
      </c>
      <c r="AA5" s="17" t="str">
        <f aca="false">IF((E5="g"),H5," ")</f>
        <v> </v>
      </c>
      <c r="AB5" s="17" t="str">
        <f aca="false">IF((E5="h"),H5," ")</f>
        <v> </v>
      </c>
      <c r="AC5" s="30" t="str">
        <f aca="false">IF((E5="v"),H5," ")</f>
        <v> </v>
      </c>
      <c r="AD5" s="30" t="str">
        <f aca="false">IF((E5="n"),H5," ")</f>
        <v> </v>
      </c>
      <c r="AE5" s="17" t="str">
        <f aca="false">IF((E5="f"),H5," ")</f>
        <v> </v>
      </c>
      <c r="AF5" s="17" t="str">
        <f aca="false">IF((E5="l"),H5," ")</f>
        <v> </v>
      </c>
      <c r="AG5" s="17" t="str">
        <f aca="false">IF((E5="y"),H5," ")</f>
        <v> </v>
      </c>
      <c r="AH5" s="17" t="str">
        <f aca="false">IF((E5="z"),H5," ")</f>
        <v> </v>
      </c>
      <c r="AI5" s="17" t="str">
        <f aca="false">IF((E5="fa"),H5," ")</f>
        <v> </v>
      </c>
      <c r="AJ5" s="17" t="str">
        <f aca="false">IF((E5="e"),H5," ")</f>
        <v> </v>
      </c>
      <c r="AK5" s="17"/>
      <c r="AL5" s="17"/>
      <c r="BZ5" s="5" t="s">
        <v>77</v>
      </c>
    </row>
    <row r="6" customFormat="false" ht="12" hidden="false" customHeight="false" outlineLevel="0" collapsed="false">
      <c r="A6" s="28" t="n">
        <v>46508</v>
      </c>
      <c r="B6" s="2" t="s">
        <v>78</v>
      </c>
      <c r="D6" s="2" t="s">
        <v>79</v>
      </c>
      <c r="E6" s="2" t="s">
        <v>80</v>
      </c>
      <c r="F6" s="30" t="n">
        <v>30</v>
      </c>
      <c r="G6" s="6" t="n">
        <f aca="false">IF(F6&lt;&gt;0,F6*G$2/(100+G$2)," ")</f>
        <v>5</v>
      </c>
      <c r="H6" s="6" t="n">
        <f aca="false">IF((F6&lt;&gt;0),F6-G6," ")</f>
        <v>25</v>
      </c>
      <c r="I6" s="5"/>
      <c r="L6" s="7" t="n">
        <f aca="false">IF(F6&lt;&gt;0,F6-K6," ")</f>
        <v>30</v>
      </c>
      <c r="M6" s="8" t="n">
        <f aca="false">IF((F6-K6)&lt;&gt;0,M$1-A6," ")</f>
        <v>-230</v>
      </c>
      <c r="N6" s="5"/>
      <c r="O6" s="17" t="str">
        <f aca="false">IF((E6="s"),H6," ")</f>
        <v> </v>
      </c>
      <c r="P6" s="17" t="str">
        <f aca="false">IF((E6="c"),H6," ")</f>
        <v> </v>
      </c>
      <c r="Q6" s="17" t="str">
        <f aca="false">IF((E6="o"),H6," ")</f>
        <v> </v>
      </c>
      <c r="R6" s="17" t="str">
        <f aca="false">IF((E6="d"),H6," ")</f>
        <v> </v>
      </c>
      <c r="S6" s="17" t="str">
        <f aca="false">IF((E6="w"),H6," ")</f>
        <v> </v>
      </c>
      <c r="T6" s="17" t="str">
        <f aca="false">IF((E6="r"),H6," ")</f>
        <v> </v>
      </c>
      <c r="U6" s="17" t="str">
        <f aca="false">IF((E6="p"),H6," ")</f>
        <v> </v>
      </c>
      <c r="V6" s="17" t="str">
        <f aca="false">IF((E6="t"),H6," ")</f>
        <v> </v>
      </c>
      <c r="W6" s="17" t="str">
        <f aca="false">IF((E6="q"),H6," ")</f>
        <v> </v>
      </c>
      <c r="X6" s="17" t="str">
        <f aca="false">IF((E6="m"),H6," ")</f>
        <v> </v>
      </c>
      <c r="Y6" s="17" t="str">
        <f aca="false">IF((E6="u"),H6," ")</f>
        <v> </v>
      </c>
      <c r="Z6" s="17" t="str">
        <f aca="false">IF((E6="a"),H6," ")</f>
        <v> </v>
      </c>
      <c r="AA6" s="17" t="n">
        <f aca="false">IF((E6="g"),H6," ")</f>
        <v>25</v>
      </c>
      <c r="AB6" s="17" t="str">
        <f aca="false">IF((E6="h"),H6," ")</f>
        <v> </v>
      </c>
      <c r="AC6" s="30" t="str">
        <f aca="false">IF((E6="v"),H6," ")</f>
        <v> </v>
      </c>
      <c r="AD6" s="30" t="str">
        <f aca="false">IF((E6="n"),H6," ")</f>
        <v> </v>
      </c>
      <c r="AE6" s="17" t="str">
        <f aca="false">IF((E6="f"),H6," ")</f>
        <v> </v>
      </c>
      <c r="AF6" s="17" t="str">
        <f aca="false">IF((E6="l"),H6," ")</f>
        <v> </v>
      </c>
      <c r="AG6" s="17" t="str">
        <f aca="false">IF((E6="y"),H6," ")</f>
        <v> </v>
      </c>
      <c r="AH6" s="17" t="str">
        <f aca="false">IF((E6="z"),H6," ")</f>
        <v> </v>
      </c>
      <c r="AI6" s="17" t="str">
        <f aca="false">IF((E6="fa"),H6," ")</f>
        <v> </v>
      </c>
      <c r="AJ6" s="17" t="str">
        <f aca="false">IF((E6="e"),H6," ")</f>
        <v> </v>
      </c>
      <c r="BZ6" s="2" t="s">
        <v>81</v>
      </c>
    </row>
    <row r="7" customFormat="false" ht="12" hidden="false" customHeight="false" outlineLevel="0" collapsed="false">
      <c r="A7" s="28" t="n">
        <v>46508</v>
      </c>
      <c r="B7" s="2" t="s">
        <v>82</v>
      </c>
      <c r="D7" s="2" t="s">
        <v>83</v>
      </c>
      <c r="E7" s="2" t="s">
        <v>80</v>
      </c>
      <c r="F7" s="30" t="n">
        <v>15</v>
      </c>
      <c r="G7" s="6" t="n">
        <f aca="false">IF(F7&lt;&gt;0,F7*G$2/(100+G$2)," ")</f>
        <v>2.5</v>
      </c>
      <c r="H7" s="6" t="n">
        <f aca="false">IF((F7&lt;&gt;0),F7-G7," ")</f>
        <v>12.5</v>
      </c>
      <c r="I7" s="5"/>
      <c r="L7" s="7" t="n">
        <f aca="false">IF(F7&lt;&gt;0,F7-K7," ")</f>
        <v>15</v>
      </c>
      <c r="M7" s="8" t="n">
        <f aca="false">IF((F7-K7)&lt;&gt;0,M$1-A7," ")</f>
        <v>-230</v>
      </c>
      <c r="N7" s="5"/>
      <c r="O7" s="17" t="str">
        <f aca="false">IF((E7="s"),H7," ")</f>
        <v> </v>
      </c>
      <c r="P7" s="17" t="str">
        <f aca="false">IF((E7="c"),H7," ")</f>
        <v> </v>
      </c>
      <c r="Q7" s="17" t="str">
        <f aca="false">IF((E7="o"),H7," ")</f>
        <v> </v>
      </c>
      <c r="R7" s="17" t="str">
        <f aca="false">IF((E7="d"),H7," ")</f>
        <v> </v>
      </c>
      <c r="S7" s="17" t="str">
        <f aca="false">IF((E7="w"),H7," ")</f>
        <v> </v>
      </c>
      <c r="T7" s="17" t="str">
        <f aca="false">IF((E7="r"),H7," ")</f>
        <v> </v>
      </c>
      <c r="U7" s="17" t="str">
        <f aca="false">IF((E7="p"),H7," ")</f>
        <v> </v>
      </c>
      <c r="V7" s="17" t="str">
        <f aca="false">IF((E7="t"),H7," ")</f>
        <v> </v>
      </c>
      <c r="W7" s="17" t="str">
        <f aca="false">IF((E7="q"),H7," ")</f>
        <v> </v>
      </c>
      <c r="X7" s="17" t="str">
        <f aca="false">IF((E7="m"),H7," ")</f>
        <v> </v>
      </c>
      <c r="Y7" s="17" t="str">
        <f aca="false">IF((E7="u"),H7," ")</f>
        <v> </v>
      </c>
      <c r="Z7" s="17" t="str">
        <f aca="false">IF((E7="a"),H7," ")</f>
        <v> </v>
      </c>
      <c r="AA7" s="17" t="n">
        <f aca="false">IF((E7="g"),H7," ")</f>
        <v>12.5</v>
      </c>
      <c r="AB7" s="17" t="str">
        <f aca="false">IF((E7="h"),H7," ")</f>
        <v> </v>
      </c>
      <c r="AC7" s="30" t="str">
        <f aca="false">IF((E7="v"),H7," ")</f>
        <v> </v>
      </c>
      <c r="AD7" s="30" t="str">
        <f aca="false">IF((E7="n"),H7," ")</f>
        <v> </v>
      </c>
      <c r="AE7" s="17" t="str">
        <f aca="false">IF((E7="f"),H7," ")</f>
        <v> </v>
      </c>
      <c r="AF7" s="17" t="str">
        <f aca="false">IF((E7="l"),H7," ")</f>
        <v> </v>
      </c>
      <c r="AG7" s="17" t="str">
        <f aca="false">IF((E7="y"),H7," ")</f>
        <v> </v>
      </c>
      <c r="AH7" s="17" t="str">
        <f aca="false">IF((E7="z"),H7," ")</f>
        <v> </v>
      </c>
      <c r="AI7" s="17" t="str">
        <f aca="false">IF((E7="fa"),H7," ")</f>
        <v> </v>
      </c>
      <c r="AJ7" s="17" t="str">
        <f aca="false">IF((E7="e"),H7," ")</f>
        <v> </v>
      </c>
      <c r="BZ7" s="2" t="s">
        <v>81</v>
      </c>
    </row>
    <row r="8" customFormat="false" ht="12" hidden="false" customHeight="false" outlineLevel="0" collapsed="false">
      <c r="A8" s="28" t="n">
        <v>46508</v>
      </c>
      <c r="B8" s="2" t="s">
        <v>84</v>
      </c>
      <c r="D8" s="2" t="s">
        <v>85</v>
      </c>
      <c r="E8" s="2" t="s">
        <v>86</v>
      </c>
      <c r="F8" s="30" t="n">
        <v>45</v>
      </c>
      <c r="G8" s="6" t="n">
        <f aca="false">IF(F8&lt;&gt;0,F8*G$2/(100+G$2)," ")</f>
        <v>7.5</v>
      </c>
      <c r="H8" s="6" t="n">
        <f aca="false">IF((F8&lt;&gt;0),F8-G8," ")</f>
        <v>37.5</v>
      </c>
      <c r="I8" s="5"/>
      <c r="L8" s="7" t="n">
        <f aca="false">IF(F8&lt;&gt;0,F8-K8," ")</f>
        <v>45</v>
      </c>
      <c r="M8" s="8" t="n">
        <f aca="false">IF((F8-K8)&lt;&gt;0,M$1-A8," ")</f>
        <v>-230</v>
      </c>
      <c r="N8" s="5"/>
      <c r="O8" s="17" t="str">
        <f aca="false">IF((E8="s"),H8," ")</f>
        <v> </v>
      </c>
      <c r="P8" s="17" t="str">
        <f aca="false">IF((E8="c"),H8," ")</f>
        <v> </v>
      </c>
      <c r="Q8" s="17" t="n">
        <f aca="false">IF((E8="o"),H8," ")</f>
        <v>37.5</v>
      </c>
      <c r="R8" s="17" t="str">
        <f aca="false">IF((E8="d"),H8," ")</f>
        <v> </v>
      </c>
      <c r="S8" s="17" t="str">
        <f aca="false">IF((E8="w"),H8," ")</f>
        <v> </v>
      </c>
      <c r="T8" s="17" t="str">
        <f aca="false">IF((E8="r"),H8," ")</f>
        <v> </v>
      </c>
      <c r="U8" s="17" t="str">
        <f aca="false">IF((E8="p"),H8," ")</f>
        <v> </v>
      </c>
      <c r="V8" s="17" t="str">
        <f aca="false">IF((E8="t"),H8," ")</f>
        <v> </v>
      </c>
      <c r="W8" s="17" t="str">
        <f aca="false">IF((E8="q"),H8," ")</f>
        <v> </v>
      </c>
      <c r="X8" s="17" t="str">
        <f aca="false">IF((E8="m"),H8," ")</f>
        <v> </v>
      </c>
      <c r="Y8" s="17" t="str">
        <f aca="false">IF((E8="u"),H8," ")</f>
        <v> </v>
      </c>
      <c r="Z8" s="17" t="str">
        <f aca="false">IF((E8="a"),H8," ")</f>
        <v> </v>
      </c>
      <c r="AA8" s="17" t="str">
        <f aca="false">IF((E8="g"),H8," ")</f>
        <v> </v>
      </c>
      <c r="AB8" s="17" t="str">
        <f aca="false">IF((E8="h"),H8," ")</f>
        <v> </v>
      </c>
      <c r="AC8" s="30" t="str">
        <f aca="false">IF((E8="v"),H8," ")</f>
        <v> </v>
      </c>
      <c r="AD8" s="30" t="str">
        <f aca="false">IF((E8="n"),H8," ")</f>
        <v> </v>
      </c>
      <c r="AE8" s="17" t="str">
        <f aca="false">IF((E8="f"),H8," ")</f>
        <v> </v>
      </c>
      <c r="AF8" s="17" t="str">
        <f aca="false">IF((E8="l"),H8," ")</f>
        <v> </v>
      </c>
      <c r="AG8" s="17" t="str">
        <f aca="false">IF((E8="y"),H8," ")</f>
        <v> </v>
      </c>
      <c r="AH8" s="17" t="str">
        <f aca="false">IF((E8="z"),H8," ")</f>
        <v> </v>
      </c>
      <c r="AI8" s="17" t="str">
        <f aca="false">IF((E8="fa"),H8," ")</f>
        <v> </v>
      </c>
      <c r="AJ8" s="17" t="str">
        <f aca="false">IF((E8="e"),H8," ")</f>
        <v> </v>
      </c>
      <c r="BZ8" s="2" t="s">
        <v>87</v>
      </c>
    </row>
    <row r="9" customFormat="false" ht="12" hidden="false" customHeight="false" outlineLevel="0" collapsed="false">
      <c r="A9" s="28" t="n">
        <v>46508</v>
      </c>
      <c r="B9" s="2" t="s">
        <v>235</v>
      </c>
      <c r="D9" s="2" t="s">
        <v>236</v>
      </c>
      <c r="E9" s="2" t="s">
        <v>90</v>
      </c>
      <c r="F9" s="30" t="n">
        <v>360</v>
      </c>
      <c r="G9" s="6" t="n">
        <f aca="false">IF(F9&lt;&gt;0,F9*G$2/(100+G$2)," ")</f>
        <v>60</v>
      </c>
      <c r="H9" s="6" t="n">
        <f aca="false">IF((F9&lt;&gt;0),F9-G9," ")</f>
        <v>300</v>
      </c>
      <c r="I9" s="5"/>
      <c r="L9" s="7" t="n">
        <f aca="false">IF(F9&lt;&gt;0,F9-K9," ")</f>
        <v>360</v>
      </c>
      <c r="M9" s="8" t="n">
        <f aca="false">IF((F9-K9)&lt;&gt;0,M$1-A9," ")</f>
        <v>-230</v>
      </c>
      <c r="N9" s="5"/>
      <c r="O9" s="17" t="str">
        <f aca="false">IF((E9="s"),H9," ")</f>
        <v> </v>
      </c>
      <c r="P9" s="17" t="str">
        <f aca="false">IF((E9="c"),H9," ")</f>
        <v> </v>
      </c>
      <c r="Q9" s="17" t="str">
        <f aca="false">IF((E9="o"),H9," ")</f>
        <v> </v>
      </c>
      <c r="R9" s="17" t="str">
        <f aca="false">IF((E9="d"),H9," ")</f>
        <v> </v>
      </c>
      <c r="S9" s="17" t="str">
        <f aca="false">IF((E9="w"),H9," ")</f>
        <v> </v>
      </c>
      <c r="T9" s="17" t="str">
        <f aca="false">IF((E9="r"),H9," ")</f>
        <v> </v>
      </c>
      <c r="U9" s="17" t="str">
        <f aca="false">IF((E9="p"),H9," ")</f>
        <v> </v>
      </c>
      <c r="V9" s="17" t="str">
        <f aca="false">IF((E9="t"),H9," ")</f>
        <v> </v>
      </c>
      <c r="W9" s="17" t="str">
        <f aca="false">IF((E9="q"),H9," ")</f>
        <v> </v>
      </c>
      <c r="X9" s="17" t="str">
        <f aca="false">IF((E9="m"),H9," ")</f>
        <v> </v>
      </c>
      <c r="Y9" s="17" t="str">
        <f aca="false">IF((E9="u"),H9," ")</f>
        <v> </v>
      </c>
      <c r="Z9" s="17" t="str">
        <f aca="false">IF((E9="a"),H9," ")</f>
        <v> </v>
      </c>
      <c r="AA9" s="17" t="str">
        <f aca="false">IF((E9="g"),H9," ")</f>
        <v> </v>
      </c>
      <c r="AB9" s="17" t="str">
        <f aca="false">IF((E9="h"),H9," ")</f>
        <v> </v>
      </c>
      <c r="AC9" s="30" t="str">
        <f aca="false">IF((E9="v"),H9," ")</f>
        <v> </v>
      </c>
      <c r="AD9" s="30" t="n">
        <f aca="false">IF((E9="n"),H9," ")</f>
        <v>300</v>
      </c>
      <c r="AE9" s="17" t="str">
        <f aca="false">IF((E9="f"),H9," ")</f>
        <v> </v>
      </c>
      <c r="AF9" s="17" t="str">
        <f aca="false">IF((E9="l"),H9," ")</f>
        <v> </v>
      </c>
      <c r="AG9" s="17" t="str">
        <f aca="false">IF((E9="y"),H9," ")</f>
        <v> </v>
      </c>
      <c r="AH9" s="17" t="str">
        <f aca="false">IF((E9="z"),H9," ")</f>
        <v> </v>
      </c>
      <c r="AI9" s="17" t="str">
        <f aca="false">IF((E9="fa"),H9," ")</f>
        <v> </v>
      </c>
      <c r="AJ9" s="17" t="str">
        <f aca="false">IF((E9="e"),H9," ")</f>
        <v> </v>
      </c>
      <c r="BZ9" s="2" t="s">
        <v>91</v>
      </c>
    </row>
    <row r="10" customFormat="false" ht="12" hidden="false" customHeight="false" outlineLevel="0" collapsed="false">
      <c r="A10" s="28" t="n">
        <v>46508</v>
      </c>
      <c r="B10" s="2" t="s">
        <v>92</v>
      </c>
      <c r="D10" s="2" t="s">
        <v>93</v>
      </c>
      <c r="E10" s="2" t="s">
        <v>86</v>
      </c>
      <c r="F10" s="30" t="n">
        <v>24</v>
      </c>
      <c r="G10" s="6" t="n">
        <f aca="false">IF(F10&lt;&gt;0,F10*G$2/(100+G$2)," ")</f>
        <v>4</v>
      </c>
      <c r="H10" s="6" t="n">
        <f aca="false">IF((F10&lt;&gt;0),F10-G10," ")</f>
        <v>20</v>
      </c>
      <c r="I10" s="5"/>
      <c r="L10" s="7" t="n">
        <f aca="false">IF(F10&lt;&gt;0,F10-K10," ")</f>
        <v>24</v>
      </c>
      <c r="M10" s="8" t="n">
        <f aca="false">IF((F10-K10)&lt;&gt;0,M$1-A10," ")</f>
        <v>-230</v>
      </c>
      <c r="N10" s="5"/>
      <c r="O10" s="17" t="str">
        <f aca="false">IF((E10="s"),H10," ")</f>
        <v> </v>
      </c>
      <c r="P10" s="17" t="str">
        <f aca="false">IF((E10="c"),H10," ")</f>
        <v> </v>
      </c>
      <c r="Q10" s="17" t="n">
        <f aca="false">IF((E10="o"),H10," ")</f>
        <v>20</v>
      </c>
      <c r="R10" s="17" t="str">
        <f aca="false">IF((E10="d"),H10," ")</f>
        <v> </v>
      </c>
      <c r="S10" s="17" t="str">
        <f aca="false">IF((E10="w"),H10," ")</f>
        <v> </v>
      </c>
      <c r="T10" s="17" t="str">
        <f aca="false">IF((E10="r"),H10," ")</f>
        <v> </v>
      </c>
      <c r="U10" s="17" t="str">
        <f aca="false">IF((E10="p"),H10," ")</f>
        <v> </v>
      </c>
      <c r="V10" s="17" t="str">
        <f aca="false">IF((E10="t"),H10," ")</f>
        <v> </v>
      </c>
      <c r="W10" s="17" t="str">
        <f aca="false">IF((E10="q"),H10," ")</f>
        <v> </v>
      </c>
      <c r="X10" s="17" t="str">
        <f aca="false">IF((E10="m"),H10," ")</f>
        <v> </v>
      </c>
      <c r="Y10" s="17" t="str">
        <f aca="false">IF((E10="u"),H10," ")</f>
        <v> </v>
      </c>
      <c r="Z10" s="17" t="str">
        <f aca="false">IF((E10="a"),H10," ")</f>
        <v> </v>
      </c>
      <c r="AA10" s="17" t="str">
        <f aca="false">IF((E10="g"),H10," ")</f>
        <v> </v>
      </c>
      <c r="AB10" s="17" t="str">
        <f aca="false">IF((E10="h"),H10," ")</f>
        <v> </v>
      </c>
      <c r="AC10" s="30" t="str">
        <f aca="false">IF((E10="v"),H10," ")</f>
        <v> </v>
      </c>
      <c r="AD10" s="30" t="str">
        <f aca="false">IF((E10="n"),H10," ")</f>
        <v> </v>
      </c>
      <c r="AE10" s="17" t="str">
        <f aca="false">IF((E10="f"),H10," ")</f>
        <v> </v>
      </c>
      <c r="AF10" s="17" t="str">
        <f aca="false">IF((E10="l"),H10," ")</f>
        <v> </v>
      </c>
      <c r="AG10" s="17" t="str">
        <f aca="false">IF((E10="y"),H10," ")</f>
        <v> </v>
      </c>
      <c r="AH10" s="17" t="str">
        <f aca="false">IF((E10="z"),H10," ")</f>
        <v> </v>
      </c>
      <c r="AI10" s="17" t="str">
        <f aca="false">IF((E10="fa"),H10," ")</f>
        <v> </v>
      </c>
      <c r="AJ10" s="17" t="str">
        <f aca="false">IF((E10="e"),H10," ")</f>
        <v> </v>
      </c>
      <c r="BZ10" s="2" t="s">
        <v>87</v>
      </c>
    </row>
    <row r="11" customFormat="false" ht="12" hidden="false" customHeight="false" outlineLevel="0" collapsed="false">
      <c r="A11" s="28" t="n">
        <v>46508</v>
      </c>
      <c r="B11" s="2" t="s">
        <v>94</v>
      </c>
      <c r="D11" s="2" t="s">
        <v>95</v>
      </c>
      <c r="E11" s="2" t="s">
        <v>80</v>
      </c>
      <c r="F11" s="30" t="n">
        <v>18</v>
      </c>
      <c r="G11" s="6" t="n">
        <f aca="false">IF(F11&lt;&gt;0,F11*G$2/(100+G$2)," ")</f>
        <v>3</v>
      </c>
      <c r="H11" s="6" t="n">
        <f aca="false">IF((F11&lt;&gt;0),F11-G11," ")</f>
        <v>15</v>
      </c>
      <c r="I11" s="5"/>
      <c r="L11" s="7" t="n">
        <f aca="false">IF(F11&lt;&gt;0,F11-K11," ")</f>
        <v>18</v>
      </c>
      <c r="M11" s="8" t="n">
        <f aca="false">IF((F11-K11)&lt;&gt;0,M$1-A11," ")</f>
        <v>-230</v>
      </c>
      <c r="N11" s="5"/>
      <c r="O11" s="17" t="str">
        <f aca="false">IF((E11="s"),H11," ")</f>
        <v> </v>
      </c>
      <c r="P11" s="17" t="str">
        <f aca="false">IF((E11="c"),H11," ")</f>
        <v> </v>
      </c>
      <c r="Q11" s="17" t="str">
        <f aca="false">IF((E11="o"),H11," ")</f>
        <v> </v>
      </c>
      <c r="R11" s="17" t="str">
        <f aca="false">IF((E11="d"),H11," ")</f>
        <v> </v>
      </c>
      <c r="S11" s="17" t="str">
        <f aca="false">IF((E11="w"),H11," ")</f>
        <v> </v>
      </c>
      <c r="T11" s="17" t="str">
        <f aca="false">IF((E11="r"),H11," ")</f>
        <v> </v>
      </c>
      <c r="U11" s="17" t="str">
        <f aca="false">IF((E11="p"),H11," ")</f>
        <v> </v>
      </c>
      <c r="V11" s="17" t="str">
        <f aca="false">IF((E11="t"),H11," ")</f>
        <v> </v>
      </c>
      <c r="W11" s="17" t="str">
        <f aca="false">IF((E11="q"),H11," ")</f>
        <v> </v>
      </c>
      <c r="X11" s="17" t="str">
        <f aca="false">IF((E11="m"),H11," ")</f>
        <v> </v>
      </c>
      <c r="Y11" s="17" t="str">
        <f aca="false">IF((E11="u"),H11," ")</f>
        <v> </v>
      </c>
      <c r="Z11" s="17" t="str">
        <f aca="false">IF((E11="a"),H11," ")</f>
        <v> </v>
      </c>
      <c r="AA11" s="17" t="n">
        <f aca="false">IF((E11="g"),H11," ")</f>
        <v>15</v>
      </c>
      <c r="AB11" s="17" t="str">
        <f aca="false">IF((E11="h"),H11," ")</f>
        <v> </v>
      </c>
      <c r="AC11" s="30" t="str">
        <f aca="false">IF((E11="v"),H11," ")</f>
        <v> </v>
      </c>
      <c r="AD11" s="30" t="str">
        <f aca="false">IF((E11="n"),H11," ")</f>
        <v> </v>
      </c>
      <c r="AE11" s="17" t="str">
        <f aca="false">IF((E11="f"),H11," ")</f>
        <v> </v>
      </c>
      <c r="AF11" s="17" t="str">
        <f aca="false">IF((E11="l"),H11," ")</f>
        <v> </v>
      </c>
      <c r="AG11" s="17" t="str">
        <f aca="false">IF((E11="y"),H11," ")</f>
        <v> </v>
      </c>
      <c r="AH11" s="17" t="str">
        <f aca="false">IF((E11="z"),H11," ")</f>
        <v> </v>
      </c>
      <c r="AI11" s="17" t="str">
        <f aca="false">IF((E11="fa"),H11," ")</f>
        <v> </v>
      </c>
      <c r="AJ11" s="17" t="str">
        <f aca="false">IF((E11="e"),H11," ")</f>
        <v> </v>
      </c>
      <c r="BZ11" s="2" t="s">
        <v>81</v>
      </c>
    </row>
    <row r="12" customFormat="false" ht="12" hidden="false" customHeight="false" outlineLevel="0" collapsed="false">
      <c r="A12" s="28" t="n">
        <v>46510</v>
      </c>
      <c r="B12" s="2" t="s">
        <v>96</v>
      </c>
      <c r="D12" s="2" t="s">
        <v>97</v>
      </c>
      <c r="E12" s="2" t="s">
        <v>86</v>
      </c>
      <c r="F12" s="30" t="n">
        <v>180</v>
      </c>
      <c r="G12" s="6" t="n">
        <f aca="false">IF(F12&lt;&gt;0,F12*G$2/(100+G$2)," ")</f>
        <v>30</v>
      </c>
      <c r="H12" s="6" t="n">
        <f aca="false">IF((F12&lt;&gt;0),F12-G12," ")</f>
        <v>150</v>
      </c>
      <c r="I12" s="5"/>
      <c r="L12" s="7" t="n">
        <f aca="false">IF(F12&lt;&gt;0,F12-K12," ")</f>
        <v>180</v>
      </c>
      <c r="M12" s="8" t="n">
        <f aca="false">IF((F12-K12)&lt;&gt;0,M$1-A12," ")</f>
        <v>-232</v>
      </c>
      <c r="N12" s="5"/>
      <c r="O12" s="17" t="str">
        <f aca="false">IF((E12="s"),H12," ")</f>
        <v> </v>
      </c>
      <c r="P12" s="17" t="str">
        <f aca="false">IF((E12="c"),H12," ")</f>
        <v> </v>
      </c>
      <c r="Q12" s="17" t="n">
        <f aca="false">IF((E12="o"),H12," ")</f>
        <v>150</v>
      </c>
      <c r="R12" s="17" t="str">
        <f aca="false">IF((E12="d"),H12," ")</f>
        <v> </v>
      </c>
      <c r="S12" s="17" t="str">
        <f aca="false">IF((E12="w"),H12," ")</f>
        <v> </v>
      </c>
      <c r="T12" s="17" t="str">
        <f aca="false">IF((E12="r"),H12," ")</f>
        <v> </v>
      </c>
      <c r="U12" s="17" t="str">
        <f aca="false">IF((E12="p"),H12," ")</f>
        <v> </v>
      </c>
      <c r="V12" s="17" t="str">
        <f aca="false">IF((E12="t"),H12," ")</f>
        <v> </v>
      </c>
      <c r="W12" s="17" t="str">
        <f aca="false">IF((E12="q"),H12," ")</f>
        <v> </v>
      </c>
      <c r="X12" s="17" t="str">
        <f aca="false">IF((E12="m"),H12," ")</f>
        <v> </v>
      </c>
      <c r="Y12" s="17" t="str">
        <f aca="false">IF((E12="u"),H12," ")</f>
        <v> </v>
      </c>
      <c r="Z12" s="17" t="str">
        <f aca="false">IF((E12="a"),H12," ")</f>
        <v> </v>
      </c>
      <c r="AA12" s="17" t="str">
        <f aca="false">IF((E12="g"),H12," ")</f>
        <v> </v>
      </c>
      <c r="AB12" s="17" t="str">
        <f aca="false">IF((E12="h"),H12," ")</f>
        <v> </v>
      </c>
      <c r="AC12" s="30" t="str">
        <f aca="false">IF((E12="v"),H12," ")</f>
        <v> </v>
      </c>
      <c r="AD12" s="30" t="str">
        <f aca="false">IF((E12="n"),H12," ")</f>
        <v> </v>
      </c>
      <c r="AE12" s="17" t="str">
        <f aca="false">IF((E12="f"),H12," ")</f>
        <v> </v>
      </c>
      <c r="AF12" s="17" t="str">
        <f aca="false">IF((E12="l"),H12," ")</f>
        <v> </v>
      </c>
      <c r="AG12" s="17" t="str">
        <f aca="false">IF((E12="y"),H12," ")</f>
        <v> </v>
      </c>
      <c r="AH12" s="17" t="str">
        <f aca="false">IF((E12="z"),H12," ")</f>
        <v> </v>
      </c>
      <c r="AI12" s="17" t="str">
        <f aca="false">IF((E12="fa"),H12," ")</f>
        <v> </v>
      </c>
      <c r="AJ12" s="17" t="str">
        <f aca="false">IF((E12="e"),H12," ")</f>
        <v> </v>
      </c>
      <c r="BZ12" s="2" t="s">
        <v>87</v>
      </c>
    </row>
    <row r="13" customFormat="false" ht="12" hidden="false" customHeight="false" outlineLevel="0" collapsed="false">
      <c r="A13" s="28" t="n">
        <v>46510</v>
      </c>
      <c r="B13" s="2" t="s">
        <v>98</v>
      </c>
      <c r="D13" s="2" t="s">
        <v>99</v>
      </c>
      <c r="E13" s="2" t="s">
        <v>100</v>
      </c>
      <c r="F13" s="30" t="n">
        <v>22</v>
      </c>
      <c r="G13" s="6" t="n">
        <f aca="false">IF(F13&lt;&gt;0,F13*G$2/(100+G$2)," ")</f>
        <v>3.66666666666667</v>
      </c>
      <c r="H13" s="6" t="n">
        <f aca="false">IF((F13&lt;&gt;0),F13-G13," ")</f>
        <v>18.3333333333333</v>
      </c>
      <c r="I13" s="5"/>
      <c r="L13" s="7" t="n">
        <f aca="false">IF(F13&lt;&gt;0,F13-K13," ")</f>
        <v>22</v>
      </c>
      <c r="M13" s="8" t="n">
        <f aca="false">IF((F13-K13)&lt;&gt;0,M$1-A13," ")</f>
        <v>-232</v>
      </c>
      <c r="N13" s="5"/>
      <c r="O13" s="17" t="str">
        <f aca="false">IF((E13="s"),H13," ")</f>
        <v> </v>
      </c>
      <c r="P13" s="17" t="str">
        <f aca="false">IF((E13="c"),H13," ")</f>
        <v> </v>
      </c>
      <c r="Q13" s="17" t="str">
        <f aca="false">IF((E13="o"),H13," ")</f>
        <v> </v>
      </c>
      <c r="R13" s="17" t="str">
        <f aca="false">IF((E13="d"),H13," ")</f>
        <v> </v>
      </c>
      <c r="S13" s="17" t="str">
        <f aca="false">IF((E13="w"),H13," ")</f>
        <v> </v>
      </c>
      <c r="T13" s="17" t="str">
        <f aca="false">IF((E13="r"),H13," ")</f>
        <v> </v>
      </c>
      <c r="U13" s="17" t="str">
        <f aca="false">IF((E13="p"),H13," ")</f>
        <v> </v>
      </c>
      <c r="V13" s="17" t="str">
        <f aca="false">IF((E13="t"),H13," ")</f>
        <v> </v>
      </c>
      <c r="W13" s="17" t="str">
        <f aca="false">IF((E13="q"),H13," ")</f>
        <v> </v>
      </c>
      <c r="X13" s="17" t="str">
        <f aca="false">IF((E13="m"),H13," ")</f>
        <v> </v>
      </c>
      <c r="Y13" s="17" t="n">
        <f aca="false">IF((E13="u"),H13," ")</f>
        <v>18.3333333333333</v>
      </c>
      <c r="Z13" s="17" t="str">
        <f aca="false">IF((E13="a"),H13," ")</f>
        <v> </v>
      </c>
      <c r="AA13" s="17" t="str">
        <f aca="false">IF((E13="g"),H13," ")</f>
        <v> </v>
      </c>
      <c r="AB13" s="17" t="str">
        <f aca="false">IF((E13="h"),H13," ")</f>
        <v> </v>
      </c>
      <c r="AC13" s="30" t="str">
        <f aca="false">IF((E13="v"),H13," ")</f>
        <v> </v>
      </c>
      <c r="AD13" s="30" t="str">
        <f aca="false">IF((E13="n"),H13," ")</f>
        <v> </v>
      </c>
      <c r="AE13" s="17" t="str">
        <f aca="false">IF((E13="f"),H13," ")</f>
        <v> </v>
      </c>
      <c r="AF13" s="17" t="str">
        <f aca="false">IF((E13="l"),H13," ")</f>
        <v> </v>
      </c>
      <c r="AG13" s="17" t="str">
        <f aca="false">IF((E13="y"),H13," ")</f>
        <v> </v>
      </c>
      <c r="AH13" s="17" t="str">
        <f aca="false">IF((E13="z"),H13," ")</f>
        <v> </v>
      </c>
      <c r="AI13" s="17" t="str">
        <f aca="false">IF((E13="fa"),H13," ")</f>
        <v> </v>
      </c>
      <c r="AJ13" s="17" t="str">
        <f aca="false">IF((E13="e"),H13," ")</f>
        <v> </v>
      </c>
      <c r="BZ13" s="2" t="s">
        <v>101</v>
      </c>
    </row>
    <row r="14" customFormat="false" ht="12" hidden="false" customHeight="false" outlineLevel="0" collapsed="false">
      <c r="A14" s="28" t="n">
        <v>46512</v>
      </c>
      <c r="B14" s="2" t="s">
        <v>102</v>
      </c>
      <c r="D14" s="2" t="s">
        <v>103</v>
      </c>
      <c r="E14" s="2" t="s">
        <v>100</v>
      </c>
      <c r="F14" s="30" t="n">
        <v>24</v>
      </c>
      <c r="G14" s="6" t="n">
        <f aca="false">IF(F14&lt;&gt;0,F14*G$2/(100+G$2)," ")</f>
        <v>4</v>
      </c>
      <c r="H14" s="6" t="n">
        <f aca="false">IF((F14&lt;&gt;0),F14-G14," ")</f>
        <v>20</v>
      </c>
      <c r="I14" s="5"/>
      <c r="L14" s="7" t="n">
        <f aca="false">IF(F14&lt;&gt;0,F14-K14," ")</f>
        <v>24</v>
      </c>
      <c r="M14" s="8" t="n">
        <f aca="false">IF((F14-K14)&lt;&gt;0,M$1-A14," ")</f>
        <v>-234</v>
      </c>
      <c r="N14" s="5"/>
      <c r="O14" s="17" t="str">
        <f aca="false">IF((E14="s"),H14," ")</f>
        <v> </v>
      </c>
      <c r="P14" s="17" t="str">
        <f aca="false">IF((E14="c"),H14," ")</f>
        <v> </v>
      </c>
      <c r="Q14" s="17" t="str">
        <f aca="false">IF((E14="o"),H14," ")</f>
        <v> </v>
      </c>
      <c r="R14" s="17" t="str">
        <f aca="false">IF((E14="d"),H14," ")</f>
        <v> </v>
      </c>
      <c r="S14" s="17" t="str">
        <f aca="false">IF((E14="w"),H14," ")</f>
        <v> </v>
      </c>
      <c r="T14" s="17" t="str">
        <f aca="false">IF((E14="r"),H14," ")</f>
        <v> </v>
      </c>
      <c r="U14" s="17" t="str">
        <f aca="false">IF((E14="p"),H14," ")</f>
        <v> </v>
      </c>
      <c r="V14" s="17" t="str">
        <f aca="false">IF((E14="t"),H14," ")</f>
        <v> </v>
      </c>
      <c r="W14" s="17" t="str">
        <f aca="false">IF((E14="q"),H14," ")</f>
        <v> </v>
      </c>
      <c r="X14" s="17" t="str">
        <f aca="false">IF((E14="m"),H14," ")</f>
        <v> </v>
      </c>
      <c r="Y14" s="17" t="n">
        <f aca="false">IF((E14="u"),H14," ")</f>
        <v>20</v>
      </c>
      <c r="Z14" s="17" t="str">
        <f aca="false">IF((E14="a"),H14," ")</f>
        <v> </v>
      </c>
      <c r="AA14" s="17" t="str">
        <f aca="false">IF((E14="g"),H14," ")</f>
        <v> </v>
      </c>
      <c r="AB14" s="17" t="str">
        <f aca="false">IF((E14="h"),H14," ")</f>
        <v> </v>
      </c>
      <c r="AC14" s="30" t="str">
        <f aca="false">IF((E14="v"),H14," ")</f>
        <v> </v>
      </c>
      <c r="AD14" s="30" t="str">
        <f aca="false">IF((E14="n"),H14," ")</f>
        <v> </v>
      </c>
      <c r="AE14" s="17" t="str">
        <f aca="false">IF((E14="f"),H14," ")</f>
        <v> </v>
      </c>
      <c r="AF14" s="17" t="str">
        <f aca="false">IF((E14="l"),H14," ")</f>
        <v> </v>
      </c>
      <c r="AG14" s="17" t="str">
        <f aca="false">IF((E14="y"),H14," ")</f>
        <v> </v>
      </c>
      <c r="AH14" s="17" t="str">
        <f aca="false">IF((E14="z"),H14," ")</f>
        <v> </v>
      </c>
      <c r="AI14" s="17" t="str">
        <f aca="false">IF((E14="fa"),H14," ")</f>
        <v> </v>
      </c>
      <c r="AJ14" s="17" t="str">
        <f aca="false">IF((E14="e"),H14," ")</f>
        <v> </v>
      </c>
      <c r="BZ14" s="2" t="s">
        <v>101</v>
      </c>
    </row>
    <row r="15" customFormat="false" ht="12" hidden="false" customHeight="false" outlineLevel="0" collapsed="false">
      <c r="A15" s="28" t="n">
        <v>46512</v>
      </c>
      <c r="B15" s="2" t="s">
        <v>104</v>
      </c>
      <c r="D15" s="2" t="s">
        <v>105</v>
      </c>
      <c r="E15" s="2" t="s">
        <v>106</v>
      </c>
      <c r="F15" s="30" t="n">
        <v>180</v>
      </c>
      <c r="G15" s="6" t="n">
        <f aca="false">IF(F15&lt;&gt;0,F15*G$2/(100+G$2)," ")</f>
        <v>30</v>
      </c>
      <c r="H15" s="6" t="n">
        <f aca="false">IF((F15&lt;&gt;0),F15-G15," ")</f>
        <v>150</v>
      </c>
      <c r="I15" s="5"/>
      <c r="L15" s="7" t="n">
        <f aca="false">IF(F15&lt;&gt;0,F15-K15," ")</f>
        <v>180</v>
      </c>
      <c r="M15" s="8" t="n">
        <f aca="false">IF((F15-K15)&lt;&gt;0,M$1-A15," ")</f>
        <v>-234</v>
      </c>
      <c r="N15" s="5"/>
      <c r="O15" s="17" t="str">
        <f aca="false">IF((E15="s"),H15," ")</f>
        <v> </v>
      </c>
      <c r="P15" s="17" t="str">
        <f aca="false">IF((E15="c"),H15," ")</f>
        <v> </v>
      </c>
      <c r="Q15" s="17" t="str">
        <f aca="false">IF((E15="o"),H15," ")</f>
        <v> </v>
      </c>
      <c r="R15" s="17" t="str">
        <f aca="false">IF((E15="d"),H15," ")</f>
        <v> </v>
      </c>
      <c r="S15" s="17" t="str">
        <f aca="false">IF((E15="w"),H15," ")</f>
        <v> </v>
      </c>
      <c r="T15" s="17" t="str">
        <f aca="false">IF((E15="r"),H15," ")</f>
        <v> </v>
      </c>
      <c r="U15" s="17" t="str">
        <f aca="false">IF((E15="p"),H15," ")</f>
        <v> </v>
      </c>
      <c r="V15" s="17" t="str">
        <f aca="false">IF((E15="t"),H15," ")</f>
        <v> </v>
      </c>
      <c r="W15" s="17" t="str">
        <f aca="false">IF((E15="q"),H15," ")</f>
        <v> </v>
      </c>
      <c r="X15" s="17" t="str">
        <f aca="false">IF((E15="m"),H15," ")</f>
        <v> </v>
      </c>
      <c r="Y15" s="17" t="str">
        <f aca="false">IF((E15="u"),H15," ")</f>
        <v> </v>
      </c>
      <c r="Z15" s="17" t="str">
        <f aca="false">IF((E15="a"),H15," ")</f>
        <v> </v>
      </c>
      <c r="AA15" s="17" t="str">
        <f aca="false">IF((E15="g"),H15," ")</f>
        <v> </v>
      </c>
      <c r="AB15" s="17" t="str">
        <f aca="false">IF((E15="h"),H15," ")</f>
        <v> </v>
      </c>
      <c r="AC15" s="30" t="n">
        <f aca="false">IF((E15="v"),H15," ")</f>
        <v>150</v>
      </c>
      <c r="AD15" s="30" t="str">
        <f aca="false">IF((E15="n"),H15," ")</f>
        <v> </v>
      </c>
      <c r="AE15" s="17" t="str">
        <f aca="false">IF((E15="f"),H15," ")</f>
        <v> </v>
      </c>
      <c r="AF15" s="17" t="str">
        <f aca="false">IF((E15="l"),H15," ")</f>
        <v> </v>
      </c>
      <c r="AG15" s="17" t="str">
        <f aca="false">IF((E15="y"),H15," ")</f>
        <v> </v>
      </c>
      <c r="AH15" s="17" t="str">
        <f aca="false">IF((E15="z"),H15," ")</f>
        <v> </v>
      </c>
      <c r="AI15" s="17" t="str">
        <f aca="false">IF((E15="fa"),H15," ")</f>
        <v> </v>
      </c>
      <c r="AJ15" s="17" t="str">
        <f aca="false">IF((E15="e"),H15," ")</f>
        <v> </v>
      </c>
      <c r="BZ15" s="2" t="s">
        <v>107</v>
      </c>
    </row>
    <row r="16" customFormat="false" ht="12" hidden="false" customHeight="false" outlineLevel="0" collapsed="false">
      <c r="A16" s="28" t="n">
        <v>46512</v>
      </c>
      <c r="B16" s="2" t="s">
        <v>108</v>
      </c>
      <c r="D16" s="2" t="s">
        <v>109</v>
      </c>
      <c r="E16" s="2" t="s">
        <v>86</v>
      </c>
      <c r="F16" s="30" t="n">
        <v>36</v>
      </c>
      <c r="G16" s="6" t="n">
        <f aca="false">IF(F16&lt;&gt;0,F16*G$2/(100+G$2)," ")</f>
        <v>6</v>
      </c>
      <c r="H16" s="6" t="n">
        <f aca="false">IF((F16&lt;&gt;0),F16-G16," ")</f>
        <v>30</v>
      </c>
      <c r="I16" s="5"/>
      <c r="L16" s="7" t="n">
        <f aca="false">IF(F16&lt;&gt;0,F16-K16," ")</f>
        <v>36</v>
      </c>
      <c r="M16" s="8" t="n">
        <f aca="false">IF((F16-K16)&lt;&gt;0,M$1-A16," ")</f>
        <v>-234</v>
      </c>
      <c r="N16" s="5"/>
      <c r="O16" s="17" t="str">
        <f aca="false">IF((E16="s"),H16," ")</f>
        <v> </v>
      </c>
      <c r="P16" s="17" t="str">
        <f aca="false">IF((E16="c"),H16," ")</f>
        <v> </v>
      </c>
      <c r="Q16" s="17" t="n">
        <f aca="false">IF((E16="o"),H16," ")</f>
        <v>30</v>
      </c>
      <c r="R16" s="17" t="str">
        <f aca="false">IF((E16="d"),H16," ")</f>
        <v> </v>
      </c>
      <c r="S16" s="17" t="str">
        <f aca="false">IF((E16="w"),H16," ")</f>
        <v> </v>
      </c>
      <c r="T16" s="17" t="str">
        <f aca="false">IF((E16="r"),H16," ")</f>
        <v> </v>
      </c>
      <c r="U16" s="17" t="str">
        <f aca="false">IF((E16="p"),H16," ")</f>
        <v> </v>
      </c>
      <c r="V16" s="17" t="str">
        <f aca="false">IF((E16="t"),H16," ")</f>
        <v> </v>
      </c>
      <c r="W16" s="17" t="str">
        <f aca="false">IF((E16="q"),H16," ")</f>
        <v> </v>
      </c>
      <c r="X16" s="17" t="str">
        <f aca="false">IF((E16="m"),H16," ")</f>
        <v> </v>
      </c>
      <c r="Y16" s="17" t="str">
        <f aca="false">IF((E16="u"),H16," ")</f>
        <v> </v>
      </c>
      <c r="Z16" s="17" t="str">
        <f aca="false">IF((E16="a"),H16," ")</f>
        <v> </v>
      </c>
      <c r="AA16" s="17" t="str">
        <f aca="false">IF((E16="g"),H16," ")</f>
        <v> </v>
      </c>
      <c r="AB16" s="17" t="str">
        <f aca="false">IF((E16="h"),H16," ")</f>
        <v> </v>
      </c>
      <c r="AC16" s="30" t="str">
        <f aca="false">IF((E16="v"),H16," ")</f>
        <v> </v>
      </c>
      <c r="AD16" s="30" t="str">
        <f aca="false">IF((E16="n"),H16," ")</f>
        <v> </v>
      </c>
      <c r="AE16" s="17" t="str">
        <f aca="false">IF((E16="f"),H16," ")</f>
        <v> </v>
      </c>
      <c r="AF16" s="17" t="str">
        <f aca="false">IF((E16="l"),H16," ")</f>
        <v> </v>
      </c>
      <c r="AG16" s="17" t="str">
        <f aca="false">IF((E16="y"),H16," ")</f>
        <v> </v>
      </c>
      <c r="AH16" s="17" t="str">
        <f aca="false">IF((E16="z"),H16," ")</f>
        <v> </v>
      </c>
      <c r="AI16" s="17" t="str">
        <f aca="false">IF((E16="fa"),H16," ")</f>
        <v> </v>
      </c>
      <c r="AJ16" s="17" t="str">
        <f aca="false">IF((E16="e"),H16," ")</f>
        <v> </v>
      </c>
      <c r="BZ16" s="2" t="s">
        <v>87</v>
      </c>
    </row>
    <row r="17" customFormat="false" ht="12" hidden="false" customHeight="false" outlineLevel="0" collapsed="false">
      <c r="A17" s="28" t="n">
        <v>46515</v>
      </c>
      <c r="B17" s="2" t="s">
        <v>110</v>
      </c>
      <c r="D17" s="2" t="s">
        <v>111</v>
      </c>
      <c r="E17" s="2" t="s">
        <v>112</v>
      </c>
      <c r="F17" s="30" t="n">
        <v>48</v>
      </c>
      <c r="G17" s="6" t="n">
        <f aca="false">IF(F17&lt;&gt;0,F17*G$2/(100+G$2)," ")</f>
        <v>8</v>
      </c>
      <c r="H17" s="6" t="n">
        <f aca="false">IF((F17&lt;&gt;0),F17-G17," ")</f>
        <v>40</v>
      </c>
      <c r="I17" s="5"/>
      <c r="L17" s="7" t="n">
        <f aca="false">IF(F17&lt;&gt;0,F17-K17," ")</f>
        <v>48</v>
      </c>
      <c r="M17" s="8" t="n">
        <f aca="false">IF((F17-K17)&lt;&gt;0,M$1-A17," ")</f>
        <v>-237</v>
      </c>
      <c r="N17" s="5"/>
      <c r="O17" s="17" t="str">
        <f aca="false">IF((E17="s"),H17," ")</f>
        <v> </v>
      </c>
      <c r="P17" s="17" t="str">
        <f aca="false">IF((E17="c"),H17," ")</f>
        <v> </v>
      </c>
      <c r="Q17" s="17" t="str">
        <f aca="false">IF((E17="o"),H17," ")</f>
        <v> </v>
      </c>
      <c r="R17" s="17" t="str">
        <f aca="false">IF((E17="d"),H17," ")</f>
        <v> </v>
      </c>
      <c r="S17" s="17" t="str">
        <f aca="false">IF((E17="w"),H17," ")</f>
        <v> </v>
      </c>
      <c r="T17" s="17" t="str">
        <f aca="false">IF((E17="r"),H17," ")</f>
        <v> </v>
      </c>
      <c r="U17" s="17" t="str">
        <f aca="false">IF((E17="p"),H17," ")</f>
        <v> </v>
      </c>
      <c r="V17" s="17" t="str">
        <f aca="false">IF((E17="t"),H17," ")</f>
        <v> </v>
      </c>
      <c r="W17" s="17" t="str">
        <f aca="false">IF((E17="q"),H17," ")</f>
        <v> </v>
      </c>
      <c r="X17" s="17" t="str">
        <f aca="false">IF((E17="m"),H17," ")</f>
        <v> </v>
      </c>
      <c r="Y17" s="17" t="str">
        <f aca="false">IF((E17="u"),H17," ")</f>
        <v> </v>
      </c>
      <c r="Z17" s="17" t="str">
        <f aca="false">IF((E17="a"),H17," ")</f>
        <v> </v>
      </c>
      <c r="AA17" s="17" t="str">
        <f aca="false">IF((E17="g"),H17," ")</f>
        <v> </v>
      </c>
      <c r="AB17" s="17" t="n">
        <f aca="false">IF((E17="h"),H17," ")</f>
        <v>40</v>
      </c>
      <c r="AC17" s="30" t="str">
        <f aca="false">IF((E17="v"),H17," ")</f>
        <v> </v>
      </c>
      <c r="AD17" s="30" t="str">
        <f aca="false">IF((E17="n"),H17," ")</f>
        <v> </v>
      </c>
      <c r="AE17" s="17" t="str">
        <f aca="false">IF((E17="f"),H17," ")</f>
        <v> </v>
      </c>
      <c r="AF17" s="17" t="str">
        <f aca="false">IF((E17="l"),H17," ")</f>
        <v> </v>
      </c>
      <c r="AG17" s="17" t="str">
        <f aca="false">IF((E17="y"),H17," ")</f>
        <v> </v>
      </c>
      <c r="AH17" s="17" t="str">
        <f aca="false">IF((E17="z"),H17," ")</f>
        <v> </v>
      </c>
      <c r="AI17" s="17" t="str">
        <f aca="false">IF((E17="fa"),H17," ")</f>
        <v> </v>
      </c>
      <c r="AJ17" s="17" t="str">
        <f aca="false">IF((E17="e"),H17," ")</f>
        <v> </v>
      </c>
      <c r="BZ17" s="2" t="s">
        <v>113</v>
      </c>
    </row>
    <row r="18" customFormat="false" ht="12" hidden="false" customHeight="false" outlineLevel="0" collapsed="false">
      <c r="A18" s="28" t="n">
        <v>46517</v>
      </c>
      <c r="B18" s="2" t="s">
        <v>114</v>
      </c>
      <c r="D18" s="2" t="s">
        <v>115</v>
      </c>
      <c r="E18" s="2" t="s">
        <v>100</v>
      </c>
      <c r="F18" s="30" t="n">
        <v>36</v>
      </c>
      <c r="G18" s="6" t="n">
        <f aca="false">IF(F18&lt;&gt;0,F18*G$2/(100+G$2)," ")</f>
        <v>6</v>
      </c>
      <c r="H18" s="6" t="n">
        <f aca="false">IF((F18&lt;&gt;0),F18-G18," ")</f>
        <v>30</v>
      </c>
      <c r="I18" s="5"/>
      <c r="L18" s="7" t="n">
        <f aca="false">IF(F18&lt;&gt;0,F18-K18," ")</f>
        <v>36</v>
      </c>
      <c r="M18" s="8" t="n">
        <f aca="false">IF((F18-K18)&lt;&gt;0,M$1-A18," ")</f>
        <v>-239</v>
      </c>
      <c r="N18" s="5"/>
      <c r="O18" s="17" t="str">
        <f aca="false">IF((E18="s"),H18," ")</f>
        <v> </v>
      </c>
      <c r="P18" s="17" t="str">
        <f aca="false">IF((E18="c"),H18," ")</f>
        <v> </v>
      </c>
      <c r="Q18" s="17" t="str">
        <f aca="false">IF((E18="o"),H18," ")</f>
        <v> </v>
      </c>
      <c r="R18" s="17" t="str">
        <f aca="false">IF((E18="d"),H18," ")</f>
        <v> </v>
      </c>
      <c r="S18" s="17" t="str">
        <f aca="false">IF((E18="w"),H18," ")</f>
        <v> </v>
      </c>
      <c r="T18" s="17" t="str">
        <f aca="false">IF((E18="r"),H18," ")</f>
        <v> </v>
      </c>
      <c r="U18" s="17" t="str">
        <f aca="false">IF((E18="p"),H18," ")</f>
        <v> </v>
      </c>
      <c r="V18" s="17" t="str">
        <f aca="false">IF((E18="t"),H18," ")</f>
        <v> </v>
      </c>
      <c r="W18" s="17" t="str">
        <f aca="false">IF((E18="q"),H18," ")</f>
        <v> </v>
      </c>
      <c r="X18" s="17" t="str">
        <f aca="false">IF((E18="m"),H18," ")</f>
        <v> </v>
      </c>
      <c r="Y18" s="17" t="n">
        <f aca="false">IF((E18="u"),H18," ")</f>
        <v>30</v>
      </c>
      <c r="Z18" s="17" t="str">
        <f aca="false">IF((E18="a"),H18," ")</f>
        <v> </v>
      </c>
      <c r="AA18" s="17" t="str">
        <f aca="false">IF((E18="g"),H18," ")</f>
        <v> </v>
      </c>
      <c r="AB18" s="17" t="str">
        <f aca="false">IF((E18="h"),H18," ")</f>
        <v> </v>
      </c>
      <c r="AC18" s="30" t="str">
        <f aca="false">IF((E18="v"),H18," ")</f>
        <v> </v>
      </c>
      <c r="AD18" s="30" t="str">
        <f aca="false">IF((E18="n"),H18," ")</f>
        <v> </v>
      </c>
      <c r="AE18" s="17" t="str">
        <f aca="false">IF((E18="f"),H18," ")</f>
        <v> </v>
      </c>
      <c r="AF18" s="17" t="str">
        <f aca="false">IF((E18="l"),H18," ")</f>
        <v> </v>
      </c>
      <c r="AG18" s="17" t="str">
        <f aca="false">IF((E18="y"),H18," ")</f>
        <v> </v>
      </c>
      <c r="AH18" s="17" t="str">
        <f aca="false">IF((E18="z"),H18," ")</f>
        <v> </v>
      </c>
      <c r="AI18" s="17" t="str">
        <f aca="false">IF((E18="fa"),H18," ")</f>
        <v> </v>
      </c>
      <c r="AJ18" s="17" t="str">
        <f aca="false">IF((E18="e"),H18," ")</f>
        <v> </v>
      </c>
      <c r="BZ18" s="2" t="s">
        <v>101</v>
      </c>
    </row>
    <row r="19" customFormat="false" ht="12" hidden="false" customHeight="false" outlineLevel="0" collapsed="false">
      <c r="A19" s="28" t="n">
        <v>46517</v>
      </c>
      <c r="B19" s="2" t="s">
        <v>116</v>
      </c>
      <c r="D19" s="2" t="s">
        <v>117</v>
      </c>
      <c r="E19" s="2" t="s">
        <v>118</v>
      </c>
      <c r="F19" s="30" t="n">
        <v>180</v>
      </c>
      <c r="G19" s="6" t="n">
        <f aca="false">IF(F19&lt;&gt;0,F19*G$2/(100+G$2)," ")</f>
        <v>30</v>
      </c>
      <c r="H19" s="6" t="n">
        <f aca="false">IF((F19&lt;&gt;0),F19-G19," ")</f>
        <v>150</v>
      </c>
      <c r="I19" s="5"/>
      <c r="L19" s="7" t="n">
        <f aca="false">IF(F19&lt;&gt;0,F19-K19," ")</f>
        <v>180</v>
      </c>
      <c r="M19" s="8" t="n">
        <f aca="false">IF((F19-K19)&lt;&gt;0,M$1-A19," ")</f>
        <v>-239</v>
      </c>
      <c r="N19" s="5"/>
      <c r="O19" s="17" t="str">
        <f aca="false">IF((E19="s"),H19," ")</f>
        <v> </v>
      </c>
      <c r="P19" s="17" t="str">
        <f aca="false">IF((E19="c"),H19," ")</f>
        <v> </v>
      </c>
      <c r="Q19" s="17" t="str">
        <f aca="false">IF((E19="o"),H19," ")</f>
        <v> </v>
      </c>
      <c r="R19" s="17" t="str">
        <f aca="false">IF((E19="d"),H19," ")</f>
        <v> </v>
      </c>
      <c r="S19" s="17" t="str">
        <f aca="false">IF((E19="w"),H19," ")</f>
        <v> </v>
      </c>
      <c r="T19" s="17" t="str">
        <f aca="false">IF((E19="r"),H19," ")</f>
        <v> </v>
      </c>
      <c r="U19" s="17" t="str">
        <f aca="false">IF((E19="p"),H19," ")</f>
        <v> </v>
      </c>
      <c r="V19" s="17" t="str">
        <f aca="false">IF((E19="t"),H19," ")</f>
        <v> </v>
      </c>
      <c r="W19" s="17" t="str">
        <f aca="false">IF((E19="q"),H19," ")</f>
        <v> </v>
      </c>
      <c r="X19" s="17" t="str">
        <f aca="false">IF((E19="m"),H19," ")</f>
        <v> </v>
      </c>
      <c r="Y19" s="17" t="str">
        <f aca="false">IF((E19="u"),H19," ")</f>
        <v> </v>
      </c>
      <c r="Z19" s="17" t="str">
        <f aca="false">IF((E19="a"),H19," ")</f>
        <v> </v>
      </c>
      <c r="AA19" s="17" t="str">
        <f aca="false">IF((E19="g"),H19," ")</f>
        <v> </v>
      </c>
      <c r="AB19" s="17" t="str">
        <f aca="false">IF((E19="h"),H19," ")</f>
        <v> </v>
      </c>
      <c r="AC19" s="30" t="str">
        <f aca="false">IF((E19="v"),H19," ")</f>
        <v> </v>
      </c>
      <c r="AD19" s="30" t="str">
        <f aca="false">IF((E19="n"),H19," ")</f>
        <v> </v>
      </c>
      <c r="AE19" s="17" t="n">
        <f aca="false">IF((E19="f"),H19," ")</f>
        <v>150</v>
      </c>
      <c r="AF19" s="17" t="str">
        <f aca="false">IF((E19="l"),H19," ")</f>
        <v> </v>
      </c>
      <c r="AG19" s="17" t="str">
        <f aca="false">IF((E19="y"),H19," ")</f>
        <v> </v>
      </c>
      <c r="AH19" s="17" t="str">
        <f aca="false">IF((E19="z"),H19," ")</f>
        <v> </v>
      </c>
      <c r="AI19" s="17" t="str">
        <f aca="false">IF((E19="fa"),H19," ")</f>
        <v> </v>
      </c>
      <c r="AJ19" s="17" t="str">
        <f aca="false">IF((E19="e"),H19," ")</f>
        <v> </v>
      </c>
      <c r="BZ19" s="2" t="s">
        <v>119</v>
      </c>
    </row>
    <row r="20" customFormat="false" ht="12" hidden="false" customHeight="false" outlineLevel="0" collapsed="false">
      <c r="A20" s="28" t="n">
        <v>46517</v>
      </c>
      <c r="B20" s="2" t="s">
        <v>120</v>
      </c>
      <c r="D20" s="2" t="s">
        <v>121</v>
      </c>
      <c r="E20" s="2" t="s">
        <v>122</v>
      </c>
      <c r="F20" s="30" t="n">
        <v>480</v>
      </c>
      <c r="G20" s="6" t="n">
        <f aca="false">IF(F20&lt;&gt;0,F20*G$2/(100+G$2)," ")</f>
        <v>80</v>
      </c>
      <c r="H20" s="6" t="n">
        <f aca="false">IF((F20&lt;&gt;0),F20-G20," ")</f>
        <v>400</v>
      </c>
      <c r="I20" s="5"/>
      <c r="L20" s="7" t="n">
        <f aca="false">IF(F20&lt;&gt;0,F20-K20," ")</f>
        <v>480</v>
      </c>
      <c r="M20" s="8" t="n">
        <f aca="false">IF((F20-K20)&lt;&gt;0,M$1-A20," ")</f>
        <v>-239</v>
      </c>
      <c r="N20" s="5"/>
      <c r="O20" s="17" t="n">
        <f aca="false">IF((E20="s"),H20," ")</f>
        <v>400</v>
      </c>
      <c r="P20" s="17" t="str">
        <f aca="false">IF((E20="c"),H20," ")</f>
        <v> </v>
      </c>
      <c r="Q20" s="17" t="str">
        <f aca="false">IF((E20="o"),H20," ")</f>
        <v> </v>
      </c>
      <c r="R20" s="17" t="str">
        <f aca="false">IF((E20="d"),H20," ")</f>
        <v> </v>
      </c>
      <c r="S20" s="17" t="str">
        <f aca="false">IF((E20="w"),H20," ")</f>
        <v> </v>
      </c>
      <c r="T20" s="17" t="str">
        <f aca="false">IF((E20="r"),H20," ")</f>
        <v> </v>
      </c>
      <c r="U20" s="17" t="str">
        <f aca="false">IF((E20="p"),H20," ")</f>
        <v> </v>
      </c>
      <c r="V20" s="17" t="str">
        <f aca="false">IF((E20="t"),H20," ")</f>
        <v> </v>
      </c>
      <c r="W20" s="17" t="str">
        <f aca="false">IF((E20="q"),H20," ")</f>
        <v> </v>
      </c>
      <c r="X20" s="17" t="str">
        <f aca="false">IF((E20="m"),H20," ")</f>
        <v> </v>
      </c>
      <c r="Y20" s="17" t="str">
        <f aca="false">IF((E20="u"),H20," ")</f>
        <v> </v>
      </c>
      <c r="Z20" s="17" t="str">
        <f aca="false">IF((E20="a"),H20," ")</f>
        <v> </v>
      </c>
      <c r="AA20" s="17" t="str">
        <f aca="false">IF((E20="g"),H20," ")</f>
        <v> </v>
      </c>
      <c r="AB20" s="17" t="str">
        <f aca="false">IF((E20="h"),H20," ")</f>
        <v> </v>
      </c>
      <c r="AC20" s="30" t="str">
        <f aca="false">IF((E20="v"),H20," ")</f>
        <v> </v>
      </c>
      <c r="AD20" s="30" t="str">
        <f aca="false">IF((E20="n"),H20," ")</f>
        <v> </v>
      </c>
      <c r="AE20" s="17" t="str">
        <f aca="false">IF((E20="f"),H20," ")</f>
        <v> </v>
      </c>
      <c r="AF20" s="17" t="str">
        <f aca="false">IF((E20="l"),H20," ")</f>
        <v> </v>
      </c>
      <c r="AG20" s="17" t="str">
        <f aca="false">IF((E20="y"),H20," ")</f>
        <v> </v>
      </c>
      <c r="AH20" s="17" t="str">
        <f aca="false">IF((E20="z"),H20," ")</f>
        <v> </v>
      </c>
      <c r="AI20" s="17" t="str">
        <f aca="false">IF((E20="fa"),H20," ")</f>
        <v> </v>
      </c>
      <c r="AJ20" s="17" t="str">
        <f aca="false">IF((E20="e"),H20," ")</f>
        <v> </v>
      </c>
      <c r="BZ20" s="2" t="s">
        <v>123</v>
      </c>
    </row>
    <row r="21" customFormat="false" ht="12" hidden="false" customHeight="false" outlineLevel="0" collapsed="false">
      <c r="A21" s="28" t="n">
        <v>46517</v>
      </c>
      <c r="B21" s="2" t="s">
        <v>159</v>
      </c>
      <c r="D21" s="2" t="s">
        <v>237</v>
      </c>
      <c r="E21" s="2" t="s">
        <v>161</v>
      </c>
      <c r="F21" s="30" t="n">
        <v>1800</v>
      </c>
      <c r="G21" s="6" t="n">
        <f aca="false">IF(F21&lt;&gt;0,F21*G$2/(100+G$2)," ")</f>
        <v>300</v>
      </c>
      <c r="H21" s="6" t="n">
        <f aca="false">IF((F21&lt;&gt;0),F21-G21," ")</f>
        <v>1500</v>
      </c>
      <c r="I21" s="5"/>
      <c r="L21" s="7" t="n">
        <f aca="false">IF(F21&lt;&gt;0,F21-K21," ")</f>
        <v>1800</v>
      </c>
      <c r="M21" s="8" t="n">
        <f aca="false">IF((F21-K21)&lt;&gt;0,M$1-A21," ")</f>
        <v>-239</v>
      </c>
      <c r="N21" s="5"/>
      <c r="O21" s="17" t="str">
        <f aca="false">IF((E21="s"),H21," ")</f>
        <v> </v>
      </c>
      <c r="P21" s="17" t="str">
        <f aca="false">IF((E21="c"),H21," ")</f>
        <v> </v>
      </c>
      <c r="Q21" s="17" t="str">
        <f aca="false">IF((E21="o"),H21," ")</f>
        <v> </v>
      </c>
      <c r="R21" s="17" t="str">
        <f aca="false">IF((E21="d"),H21," ")</f>
        <v> </v>
      </c>
      <c r="S21" s="17" t="str">
        <f aca="false">IF((E21="w"),H21," ")</f>
        <v> </v>
      </c>
      <c r="T21" s="17" t="str">
        <f aca="false">IF((E21="r"),H21," ")</f>
        <v> </v>
      </c>
      <c r="U21" s="17" t="str">
        <f aca="false">IF((E21="p"),H21," ")</f>
        <v> </v>
      </c>
      <c r="V21" s="17" t="str">
        <f aca="false">IF((E21="t"),H21," ")</f>
        <v> </v>
      </c>
      <c r="W21" s="17" t="str">
        <f aca="false">IF((E21="q"),H21," ")</f>
        <v> </v>
      </c>
      <c r="X21" s="17" t="str">
        <f aca="false">IF((E21="m"),H21," ")</f>
        <v> </v>
      </c>
      <c r="Y21" s="17" t="str">
        <f aca="false">IF((E21="u"),H21," ")</f>
        <v> </v>
      </c>
      <c r="Z21" s="17" t="n">
        <f aca="false">IF((E21="a"),H21," ")</f>
        <v>1500</v>
      </c>
      <c r="AA21" s="17" t="str">
        <f aca="false">IF((E21="g"),H21," ")</f>
        <v> </v>
      </c>
      <c r="AB21" s="17" t="str">
        <f aca="false">IF((E21="h"),H21," ")</f>
        <v> </v>
      </c>
      <c r="AC21" s="30" t="str">
        <f aca="false">IF((E21="v"),H21," ")</f>
        <v> </v>
      </c>
      <c r="AD21" s="30" t="str">
        <f aca="false">IF((E21="n"),H21," ")</f>
        <v> </v>
      </c>
      <c r="AE21" s="17" t="str">
        <f aca="false">IF((E21="f"),H21," ")</f>
        <v> </v>
      </c>
      <c r="AF21" s="17" t="str">
        <f aca="false">IF((E21="l"),H21," ")</f>
        <v> </v>
      </c>
      <c r="AG21" s="17" t="str">
        <f aca="false">IF((E21="y"),H21," ")</f>
        <v> </v>
      </c>
      <c r="AH21" s="17" t="str">
        <f aca="false">IF((E21="z"),H21," ")</f>
        <v> </v>
      </c>
      <c r="AI21" s="17" t="str">
        <f aca="false">IF((E21="fa"),H21," ")</f>
        <v> </v>
      </c>
      <c r="AJ21" s="17" t="str">
        <f aca="false">IF((E21="e"),H21," ")</f>
        <v> </v>
      </c>
      <c r="BZ21" s="2" t="s">
        <v>162</v>
      </c>
    </row>
    <row r="22" customFormat="false" ht="12" hidden="false" customHeight="false" outlineLevel="0" collapsed="false">
      <c r="A22" s="28" t="n">
        <v>46519</v>
      </c>
      <c r="B22" s="2" t="s">
        <v>124</v>
      </c>
      <c r="D22" s="2" t="s">
        <v>125</v>
      </c>
      <c r="E22" s="2" t="s">
        <v>106</v>
      </c>
      <c r="F22" s="30" t="n">
        <v>18</v>
      </c>
      <c r="G22" s="6" t="n">
        <f aca="false">IF(F22&lt;&gt;0,F22*G$2/(100+G$2)," ")</f>
        <v>3</v>
      </c>
      <c r="H22" s="6" t="n">
        <f aca="false">IF((F22&lt;&gt;0),F22-G22," ")</f>
        <v>15</v>
      </c>
      <c r="I22" s="5"/>
      <c r="L22" s="7" t="n">
        <f aca="false">IF(F22&lt;&gt;0,F22-K22," ")</f>
        <v>18</v>
      </c>
      <c r="M22" s="8" t="n">
        <f aca="false">IF((F22-K22)&lt;&gt;0,M$1-A22," ")</f>
        <v>-241</v>
      </c>
      <c r="N22" s="5"/>
      <c r="O22" s="17" t="str">
        <f aca="false">IF((E22="s"),H22," ")</f>
        <v> </v>
      </c>
      <c r="P22" s="17" t="str">
        <f aca="false">IF((E22="c"),H22," ")</f>
        <v> </v>
      </c>
      <c r="Q22" s="17" t="str">
        <f aca="false">IF((E22="o"),H22," ")</f>
        <v> </v>
      </c>
      <c r="R22" s="17" t="str">
        <f aca="false">IF((E22="d"),H22," ")</f>
        <v> </v>
      </c>
      <c r="S22" s="17" t="str">
        <f aca="false">IF((E22="w"),H22," ")</f>
        <v> </v>
      </c>
      <c r="T22" s="17" t="str">
        <f aca="false">IF((E22="r"),H22," ")</f>
        <v> </v>
      </c>
      <c r="U22" s="17" t="str">
        <f aca="false">IF((E22="p"),H22," ")</f>
        <v> </v>
      </c>
      <c r="V22" s="17" t="str">
        <f aca="false">IF((E22="t"),H22," ")</f>
        <v> </v>
      </c>
      <c r="W22" s="17" t="str">
        <f aca="false">IF((E22="q"),H22," ")</f>
        <v> </v>
      </c>
      <c r="X22" s="17" t="str">
        <f aca="false">IF((E22="m"),H22," ")</f>
        <v> </v>
      </c>
      <c r="Y22" s="17" t="str">
        <f aca="false">IF((E22="u"),H22," ")</f>
        <v> </v>
      </c>
      <c r="Z22" s="17" t="str">
        <f aca="false">IF((E22="a"),H22," ")</f>
        <v> </v>
      </c>
      <c r="AA22" s="17" t="str">
        <f aca="false">IF((E22="g"),H22," ")</f>
        <v> </v>
      </c>
      <c r="AB22" s="17" t="str">
        <f aca="false">IF((E22="h"),H22," ")</f>
        <v> </v>
      </c>
      <c r="AC22" s="30" t="n">
        <f aca="false">IF((E22="v"),H22," ")</f>
        <v>15</v>
      </c>
      <c r="AD22" s="30" t="str">
        <f aca="false">IF((E22="n"),H22," ")</f>
        <v> </v>
      </c>
      <c r="AE22" s="17" t="str">
        <f aca="false">IF((E22="f"),H22," ")</f>
        <v> </v>
      </c>
      <c r="AF22" s="17" t="str">
        <f aca="false">IF((E22="l"),H22," ")</f>
        <v> </v>
      </c>
      <c r="AG22" s="17" t="str">
        <f aca="false">IF((E22="y"),H22," ")</f>
        <v> </v>
      </c>
      <c r="AH22" s="17" t="str">
        <f aca="false">IF((E22="z"),H22," ")</f>
        <v> </v>
      </c>
      <c r="AI22" s="17" t="str">
        <f aca="false">IF((E22="fa"),H22," ")</f>
        <v> </v>
      </c>
      <c r="AJ22" s="17" t="str">
        <f aca="false">IF((E22="e"),H22," ")</f>
        <v> </v>
      </c>
      <c r="BZ22" s="2" t="s">
        <v>107</v>
      </c>
    </row>
    <row r="23" customFormat="false" ht="12" hidden="false" customHeight="false" outlineLevel="0" collapsed="false">
      <c r="A23" s="28" t="n">
        <v>46521</v>
      </c>
      <c r="B23" s="2" t="s">
        <v>126</v>
      </c>
      <c r="D23" s="2" t="s">
        <v>127</v>
      </c>
      <c r="E23" s="2" t="s">
        <v>100</v>
      </c>
      <c r="F23" s="30" t="n">
        <v>36</v>
      </c>
      <c r="G23" s="6" t="n">
        <f aca="false">IF(F23&lt;&gt;0,F23*G$2/(100+G$2)," ")</f>
        <v>6</v>
      </c>
      <c r="H23" s="6" t="n">
        <f aca="false">IF((F23&lt;&gt;0),F23-G23," ")</f>
        <v>30</v>
      </c>
      <c r="I23" s="5"/>
      <c r="L23" s="7" t="n">
        <f aca="false">IF(F23&lt;&gt;0,F23-K23," ")</f>
        <v>36</v>
      </c>
      <c r="M23" s="8" t="n">
        <f aca="false">IF((F23-K23)&lt;&gt;0,M$1-A23," ")</f>
        <v>-243</v>
      </c>
      <c r="N23" s="5"/>
      <c r="O23" s="17" t="str">
        <f aca="false">IF((E23="s"),H23," ")</f>
        <v> </v>
      </c>
      <c r="P23" s="17" t="str">
        <f aca="false">IF((E23="c"),H23," ")</f>
        <v> </v>
      </c>
      <c r="Q23" s="17" t="str">
        <f aca="false">IF((E23="o"),H23," ")</f>
        <v> </v>
      </c>
      <c r="R23" s="17" t="str">
        <f aca="false">IF((E23="d"),H23," ")</f>
        <v> </v>
      </c>
      <c r="S23" s="17" t="str">
        <f aca="false">IF((E23="w"),H23," ")</f>
        <v> </v>
      </c>
      <c r="T23" s="17" t="str">
        <f aca="false">IF((E23="r"),H23," ")</f>
        <v> </v>
      </c>
      <c r="U23" s="17" t="str">
        <f aca="false">IF((E23="p"),H23," ")</f>
        <v> </v>
      </c>
      <c r="V23" s="17" t="str">
        <f aca="false">IF((E23="t"),H23," ")</f>
        <v> </v>
      </c>
      <c r="W23" s="17" t="str">
        <f aca="false">IF((E23="q"),H23," ")</f>
        <v> </v>
      </c>
      <c r="X23" s="17" t="str">
        <f aca="false">IF((E23="m"),H23," ")</f>
        <v> </v>
      </c>
      <c r="Y23" s="17" t="n">
        <f aca="false">IF((E23="u"),H23," ")</f>
        <v>30</v>
      </c>
      <c r="Z23" s="17" t="str">
        <f aca="false">IF((E23="a"),H23," ")</f>
        <v> </v>
      </c>
      <c r="AA23" s="17" t="str">
        <f aca="false">IF((E23="g"),H23," ")</f>
        <v> </v>
      </c>
      <c r="AB23" s="17" t="str">
        <f aca="false">IF((E23="h"),H23," ")</f>
        <v> </v>
      </c>
      <c r="AC23" s="30" t="str">
        <f aca="false">IF((E23="v"),H23," ")</f>
        <v> </v>
      </c>
      <c r="AD23" s="30" t="str">
        <f aca="false">IF((E23="n"),H23," ")</f>
        <v> </v>
      </c>
      <c r="AE23" s="17" t="str">
        <f aca="false">IF((E23="f"),H23," ")</f>
        <v> </v>
      </c>
      <c r="AF23" s="17" t="str">
        <f aca="false">IF((E23="l"),H23," ")</f>
        <v> </v>
      </c>
      <c r="AG23" s="17" t="str">
        <f aca="false">IF((E23="y"),H23," ")</f>
        <v> </v>
      </c>
      <c r="AH23" s="17" t="str">
        <f aca="false">IF((E23="z"),H23," ")</f>
        <v> </v>
      </c>
      <c r="AI23" s="17" t="str">
        <f aca="false">IF((E23="fa"),H23," ")</f>
        <v> </v>
      </c>
      <c r="AJ23" s="17" t="str">
        <f aca="false">IF((E23="e"),H23," ")</f>
        <v> </v>
      </c>
      <c r="BZ23" s="2" t="s">
        <v>101</v>
      </c>
    </row>
    <row r="24" customFormat="false" ht="12" hidden="false" customHeight="false" outlineLevel="0" collapsed="false">
      <c r="A24" s="28" t="n">
        <v>46521</v>
      </c>
      <c r="B24" s="2" t="s">
        <v>128</v>
      </c>
      <c r="D24" s="2" t="s">
        <v>129</v>
      </c>
      <c r="E24" s="2" t="s">
        <v>112</v>
      </c>
      <c r="F24" s="30" t="n">
        <v>24</v>
      </c>
      <c r="G24" s="6" t="n">
        <f aca="false">IF(F24&lt;&gt;0,F24*G$2/(100+G$2)," ")</f>
        <v>4</v>
      </c>
      <c r="H24" s="6" t="n">
        <f aca="false">IF((F24&lt;&gt;0),F24-G24," ")</f>
        <v>20</v>
      </c>
      <c r="I24" s="5"/>
      <c r="L24" s="7" t="n">
        <f aca="false">IF(F24&lt;&gt;0,F24-K24," ")</f>
        <v>24</v>
      </c>
      <c r="M24" s="8" t="n">
        <f aca="false">IF((F24-K24)&lt;&gt;0,M$1-A24," ")</f>
        <v>-243</v>
      </c>
      <c r="N24" s="5"/>
      <c r="O24" s="17" t="str">
        <f aca="false">IF((E24="s"),H24," ")</f>
        <v> </v>
      </c>
      <c r="P24" s="17" t="str">
        <f aca="false">IF((E24="c"),H24," ")</f>
        <v> </v>
      </c>
      <c r="Q24" s="17" t="str">
        <f aca="false">IF((E24="o"),H24," ")</f>
        <v> </v>
      </c>
      <c r="R24" s="17" t="str">
        <f aca="false">IF((E24="d"),H24," ")</f>
        <v> </v>
      </c>
      <c r="S24" s="17" t="str">
        <f aca="false">IF((E24="w"),H24," ")</f>
        <v> </v>
      </c>
      <c r="T24" s="17" t="str">
        <f aca="false">IF((E24="r"),H24," ")</f>
        <v> </v>
      </c>
      <c r="U24" s="17" t="str">
        <f aca="false">IF((E24="p"),H24," ")</f>
        <v> </v>
      </c>
      <c r="V24" s="17" t="str">
        <f aca="false">IF((E24="t"),H24," ")</f>
        <v> </v>
      </c>
      <c r="W24" s="17" t="str">
        <f aca="false">IF((E24="q"),H24," ")</f>
        <v> </v>
      </c>
      <c r="X24" s="17" t="str">
        <f aca="false">IF((E24="m"),H24," ")</f>
        <v> </v>
      </c>
      <c r="Y24" s="17" t="str">
        <f aca="false">IF((E24="u"),H24," ")</f>
        <v> </v>
      </c>
      <c r="Z24" s="17" t="str">
        <f aca="false">IF((E24="a"),H24," ")</f>
        <v> </v>
      </c>
      <c r="AA24" s="17" t="str">
        <f aca="false">IF((E24="g"),H24," ")</f>
        <v> </v>
      </c>
      <c r="AB24" s="17" t="n">
        <f aca="false">IF((E24="h"),H24," ")</f>
        <v>20</v>
      </c>
      <c r="AC24" s="30" t="str">
        <f aca="false">IF((E24="v"),H24," ")</f>
        <v> </v>
      </c>
      <c r="AD24" s="30" t="str">
        <f aca="false">IF((E24="n"),H24," ")</f>
        <v> </v>
      </c>
      <c r="AE24" s="17" t="str">
        <f aca="false">IF((E24="f"),H24," ")</f>
        <v> </v>
      </c>
      <c r="AF24" s="17" t="str">
        <f aca="false">IF((E24="l"),H24," ")</f>
        <v> </v>
      </c>
      <c r="AG24" s="17" t="str">
        <f aca="false">IF((E24="y"),H24," ")</f>
        <v> </v>
      </c>
      <c r="AH24" s="17" t="str">
        <f aca="false">IF((E24="z"),H24," ")</f>
        <v> </v>
      </c>
      <c r="AI24" s="17" t="str">
        <f aca="false">IF((E24="fa"),H24," ")</f>
        <v> </v>
      </c>
      <c r="AJ24" s="17" t="str">
        <f aca="false">IF((E24="e"),H24," ")</f>
        <v> </v>
      </c>
      <c r="BZ24" s="2" t="s">
        <v>113</v>
      </c>
    </row>
    <row r="25" customFormat="false" ht="12" hidden="false" customHeight="false" outlineLevel="0" collapsed="false">
      <c r="A25" s="28" t="n">
        <v>46521</v>
      </c>
      <c r="B25" s="2" t="s">
        <v>130</v>
      </c>
      <c r="D25" s="2" t="s">
        <v>131</v>
      </c>
      <c r="E25" s="2" t="s">
        <v>112</v>
      </c>
      <c r="F25" s="30" t="n">
        <v>12</v>
      </c>
      <c r="G25" s="6" t="n">
        <f aca="false">IF(F25&lt;&gt;0,F25*G$2/(100+G$2)," ")</f>
        <v>2</v>
      </c>
      <c r="H25" s="6" t="n">
        <f aca="false">IF((F25&lt;&gt;0),F25-G25," ")</f>
        <v>10</v>
      </c>
      <c r="I25" s="5"/>
      <c r="L25" s="7" t="n">
        <f aca="false">IF(F25&lt;&gt;0,F25-K25," ")</f>
        <v>12</v>
      </c>
      <c r="M25" s="8" t="n">
        <f aca="false">IF((F25-K25)&lt;&gt;0,M$1-A25," ")</f>
        <v>-243</v>
      </c>
      <c r="N25" s="5"/>
      <c r="O25" s="17" t="str">
        <f aca="false">IF((E25="s"),H25," ")</f>
        <v> </v>
      </c>
      <c r="P25" s="17" t="str">
        <f aca="false">IF((E25="c"),H25," ")</f>
        <v> </v>
      </c>
      <c r="Q25" s="17" t="str">
        <f aca="false">IF((E25="o"),H25," ")</f>
        <v> </v>
      </c>
      <c r="R25" s="17" t="str">
        <f aca="false">IF((E25="d"),H25," ")</f>
        <v> </v>
      </c>
      <c r="S25" s="17" t="str">
        <f aca="false">IF((E25="w"),H25," ")</f>
        <v> </v>
      </c>
      <c r="T25" s="17" t="str">
        <f aca="false">IF((E25="r"),H25," ")</f>
        <v> </v>
      </c>
      <c r="U25" s="17" t="str">
        <f aca="false">IF((E25="p"),H25," ")</f>
        <v> </v>
      </c>
      <c r="V25" s="17" t="str">
        <f aca="false">IF((E25="t"),H25," ")</f>
        <v> </v>
      </c>
      <c r="W25" s="17" t="str">
        <f aca="false">IF((E25="q"),H25," ")</f>
        <v> </v>
      </c>
      <c r="X25" s="17" t="str">
        <f aca="false">IF((E25="m"),H25," ")</f>
        <v> </v>
      </c>
      <c r="Y25" s="17" t="str">
        <f aca="false">IF((E25="u"),H25," ")</f>
        <v> </v>
      </c>
      <c r="Z25" s="17" t="str">
        <f aca="false">IF((E25="a"),H25," ")</f>
        <v> </v>
      </c>
      <c r="AA25" s="17" t="str">
        <f aca="false">IF((E25="g"),H25," ")</f>
        <v> </v>
      </c>
      <c r="AB25" s="17" t="n">
        <f aca="false">IF((E25="h"),H25," ")</f>
        <v>10</v>
      </c>
      <c r="AC25" s="30" t="str">
        <f aca="false">IF((E25="v"),H25," ")</f>
        <v> </v>
      </c>
      <c r="AD25" s="30" t="str">
        <f aca="false">IF((E25="n"),H25," ")</f>
        <v> </v>
      </c>
      <c r="AE25" s="17" t="str">
        <f aca="false">IF((E25="f"),H25," ")</f>
        <v> </v>
      </c>
      <c r="AF25" s="17" t="str">
        <f aca="false">IF((E25="l"),H25," ")</f>
        <v> </v>
      </c>
      <c r="AG25" s="17" t="str">
        <f aca="false">IF((E25="y"),H25," ")</f>
        <v> </v>
      </c>
      <c r="AH25" s="17" t="str">
        <f aca="false">IF((E25="z"),H25," ")</f>
        <v> </v>
      </c>
      <c r="AI25" s="17" t="str">
        <f aca="false">IF((E25="fa"),H25," ")</f>
        <v> </v>
      </c>
      <c r="AJ25" s="17" t="str">
        <f aca="false">IF((E25="e"),H25," ")</f>
        <v> </v>
      </c>
      <c r="BZ25" s="2" t="s">
        <v>113</v>
      </c>
    </row>
    <row r="26" customFormat="false" ht="12" hidden="false" customHeight="false" outlineLevel="0" collapsed="false">
      <c r="A26" s="28" t="n">
        <v>46522</v>
      </c>
      <c r="B26" s="2" t="s">
        <v>20</v>
      </c>
      <c r="D26" s="2" t="s">
        <v>105</v>
      </c>
      <c r="E26" s="2" t="s">
        <v>106</v>
      </c>
      <c r="F26" s="30" t="n">
        <v>150</v>
      </c>
      <c r="G26" s="6" t="n">
        <f aca="false">IF(F26&lt;&gt;0,F26*G$2/(100+G$2)," ")</f>
        <v>25</v>
      </c>
      <c r="H26" s="6" t="n">
        <f aca="false">IF((F26&lt;&gt;0),F26-G26," ")</f>
        <v>125</v>
      </c>
      <c r="I26" s="5"/>
      <c r="L26" s="7" t="n">
        <f aca="false">IF(F26&lt;&gt;0,F26-K26," ")</f>
        <v>150</v>
      </c>
      <c r="M26" s="8" t="n">
        <f aca="false">IF((F26-K26)&lt;&gt;0,M$1-A26," ")</f>
        <v>-244</v>
      </c>
      <c r="N26" s="5"/>
      <c r="O26" s="17" t="str">
        <f aca="false">IF((E26="s"),H26," ")</f>
        <v> </v>
      </c>
      <c r="P26" s="17" t="str">
        <f aca="false">IF((E26="c"),H26," ")</f>
        <v> </v>
      </c>
      <c r="Q26" s="17" t="str">
        <f aca="false">IF((E26="o"),H26," ")</f>
        <v> </v>
      </c>
      <c r="R26" s="17" t="str">
        <f aca="false">IF((E26="d"),H26," ")</f>
        <v> </v>
      </c>
      <c r="S26" s="17" t="str">
        <f aca="false">IF((E26="w"),H26," ")</f>
        <v> </v>
      </c>
      <c r="T26" s="17" t="str">
        <f aca="false">IF((E26="r"),H26," ")</f>
        <v> </v>
      </c>
      <c r="U26" s="17" t="str">
        <f aca="false">IF((E26="p"),H26," ")</f>
        <v> </v>
      </c>
      <c r="V26" s="17" t="str">
        <f aca="false">IF((E26="t"),H26," ")</f>
        <v> </v>
      </c>
      <c r="W26" s="17" t="str">
        <f aca="false">IF((E26="q"),H26," ")</f>
        <v> </v>
      </c>
      <c r="X26" s="17" t="str">
        <f aca="false">IF((E26="m"),H26," ")</f>
        <v> </v>
      </c>
      <c r="Y26" s="17" t="str">
        <f aca="false">IF((E26="u"),H26," ")</f>
        <v> </v>
      </c>
      <c r="Z26" s="17" t="str">
        <f aca="false">IF((E26="a"),H26," ")</f>
        <v> </v>
      </c>
      <c r="AA26" s="17" t="str">
        <f aca="false">IF((E26="g"),H26," ")</f>
        <v> </v>
      </c>
      <c r="AB26" s="17" t="str">
        <f aca="false">IF((E26="h"),H26," ")</f>
        <v> </v>
      </c>
      <c r="AC26" s="30" t="n">
        <f aca="false">IF((E26="v"),H26," ")</f>
        <v>125</v>
      </c>
      <c r="AD26" s="30" t="str">
        <f aca="false">IF((E26="n"),H26," ")</f>
        <v> </v>
      </c>
      <c r="AE26" s="17" t="str">
        <f aca="false">IF((E26="f"),H26," ")</f>
        <v> </v>
      </c>
      <c r="AF26" s="17" t="str">
        <f aca="false">IF((E26="l"),H26," ")</f>
        <v> </v>
      </c>
      <c r="AG26" s="17" t="str">
        <f aca="false">IF((E26="y"),H26," ")</f>
        <v> </v>
      </c>
      <c r="AH26" s="17" t="str">
        <f aca="false">IF((E26="z"),H26," ")</f>
        <v> </v>
      </c>
      <c r="AI26" s="17" t="str">
        <f aca="false">IF((E26="fa"),H26," ")</f>
        <v> </v>
      </c>
      <c r="AJ26" s="17" t="str">
        <f aca="false">IF((E26="e"),H26," ")</f>
        <v> </v>
      </c>
      <c r="BZ26" s="2" t="s">
        <v>107</v>
      </c>
    </row>
    <row r="27" customFormat="false" ht="12" hidden="false" customHeight="false" outlineLevel="0" collapsed="false">
      <c r="A27" s="28" t="n">
        <v>46522</v>
      </c>
      <c r="B27" s="2" t="s">
        <v>132</v>
      </c>
      <c r="D27" s="2" t="s">
        <v>133</v>
      </c>
      <c r="E27" s="2" t="s">
        <v>80</v>
      </c>
      <c r="F27" s="30" t="n">
        <v>12</v>
      </c>
      <c r="G27" s="6" t="n">
        <f aca="false">IF(F27&lt;&gt;0,F27*G$2/(100+G$2)," ")</f>
        <v>2</v>
      </c>
      <c r="H27" s="6" t="n">
        <f aca="false">IF((F27&lt;&gt;0),F27-G27," ")</f>
        <v>10</v>
      </c>
      <c r="I27" s="5"/>
      <c r="L27" s="7" t="n">
        <f aca="false">IF(F27&lt;&gt;0,F27-K27," ")</f>
        <v>12</v>
      </c>
      <c r="M27" s="8" t="n">
        <f aca="false">IF((F27-K27)&lt;&gt;0,M$1-A27," ")</f>
        <v>-244</v>
      </c>
      <c r="N27" s="5"/>
      <c r="O27" s="17" t="str">
        <f aca="false">IF((E27="s"),H27," ")</f>
        <v> </v>
      </c>
      <c r="P27" s="17" t="str">
        <f aca="false">IF((E27="c"),H27," ")</f>
        <v> </v>
      </c>
      <c r="Q27" s="17" t="str">
        <f aca="false">IF((E27="o"),H27," ")</f>
        <v> </v>
      </c>
      <c r="R27" s="17" t="str">
        <f aca="false">IF((E27="d"),H27," ")</f>
        <v> </v>
      </c>
      <c r="S27" s="17" t="str">
        <f aca="false">IF((E27="w"),H27," ")</f>
        <v> </v>
      </c>
      <c r="T27" s="17" t="str">
        <f aca="false">IF((E27="r"),H27," ")</f>
        <v> </v>
      </c>
      <c r="U27" s="17" t="str">
        <f aca="false">IF((E27="p"),H27," ")</f>
        <v> </v>
      </c>
      <c r="V27" s="17" t="str">
        <f aca="false">IF((E27="t"),H27," ")</f>
        <v> </v>
      </c>
      <c r="W27" s="17" t="str">
        <f aca="false">IF((E27="q"),H27," ")</f>
        <v> </v>
      </c>
      <c r="X27" s="17" t="str">
        <f aca="false">IF((E27="m"),H27," ")</f>
        <v> </v>
      </c>
      <c r="Y27" s="17" t="str">
        <f aca="false">IF((E27="u"),H27," ")</f>
        <v> </v>
      </c>
      <c r="Z27" s="17" t="str">
        <f aca="false">IF((E27="a"),H27," ")</f>
        <v> </v>
      </c>
      <c r="AA27" s="17" t="n">
        <f aca="false">IF((E27="g"),H27," ")</f>
        <v>10</v>
      </c>
      <c r="AB27" s="17" t="str">
        <f aca="false">IF((E27="h"),H27," ")</f>
        <v> </v>
      </c>
      <c r="AC27" s="30" t="str">
        <f aca="false">IF((E27="v"),H27," ")</f>
        <v> </v>
      </c>
      <c r="AD27" s="30" t="str">
        <f aca="false">IF((E27="n"),H27," ")</f>
        <v> </v>
      </c>
      <c r="AE27" s="17" t="str">
        <f aca="false">IF((E27="f"),H27," ")</f>
        <v> </v>
      </c>
      <c r="AF27" s="17" t="str">
        <f aca="false">IF((E27="l"),H27," ")</f>
        <v> </v>
      </c>
      <c r="AG27" s="17" t="str">
        <f aca="false">IF((E27="y"),H27," ")</f>
        <v> </v>
      </c>
      <c r="AH27" s="17" t="str">
        <f aca="false">IF((E27="z"),H27," ")</f>
        <v> </v>
      </c>
      <c r="AI27" s="17" t="str">
        <f aca="false">IF((E27="fa"),H27," ")</f>
        <v> </v>
      </c>
      <c r="AJ27" s="17" t="str">
        <f aca="false">IF((E27="e"),H27," ")</f>
        <v> </v>
      </c>
      <c r="BZ27" s="2" t="s">
        <v>81</v>
      </c>
    </row>
    <row r="28" customFormat="false" ht="12" hidden="false" customHeight="false" outlineLevel="0" collapsed="false">
      <c r="A28" s="28" t="n">
        <v>46522</v>
      </c>
      <c r="B28" s="2" t="s">
        <v>238</v>
      </c>
      <c r="D28" s="2" t="s">
        <v>239</v>
      </c>
      <c r="E28" s="2" t="s">
        <v>161</v>
      </c>
      <c r="F28" s="30" t="n">
        <v>1200</v>
      </c>
      <c r="G28" s="6" t="n">
        <f aca="false">IF(F28&lt;&gt;0,F28*G$2/(100+G$2)," ")</f>
        <v>200</v>
      </c>
      <c r="H28" s="6" t="n">
        <f aca="false">IF((F28&lt;&gt;0),F28-G28," ")</f>
        <v>1000</v>
      </c>
      <c r="I28" s="5"/>
      <c r="L28" s="7" t="n">
        <f aca="false">IF(F28&lt;&gt;0,F28-K28," ")</f>
        <v>1200</v>
      </c>
      <c r="M28" s="8" t="n">
        <f aca="false">IF((F28-K28)&lt;&gt;0,M$1-A28," ")</f>
        <v>-244</v>
      </c>
      <c r="N28" s="5"/>
      <c r="O28" s="17" t="str">
        <f aca="false">IF((E28="s"),H28," ")</f>
        <v> </v>
      </c>
      <c r="P28" s="17" t="str">
        <f aca="false">IF((E28="c"),H28," ")</f>
        <v> </v>
      </c>
      <c r="Q28" s="17" t="str">
        <f aca="false">IF((E28="o"),H28," ")</f>
        <v> </v>
      </c>
      <c r="R28" s="17" t="str">
        <f aca="false">IF((E28="d"),H28," ")</f>
        <v> </v>
      </c>
      <c r="S28" s="17" t="str">
        <f aca="false">IF((E28="w"),H28," ")</f>
        <v> </v>
      </c>
      <c r="T28" s="17" t="str">
        <f aca="false">IF((E28="r"),H28," ")</f>
        <v> </v>
      </c>
      <c r="U28" s="17" t="str">
        <f aca="false">IF((E28="p"),H28," ")</f>
        <v> </v>
      </c>
      <c r="V28" s="17" t="str">
        <f aca="false">IF((E28="t"),H28," ")</f>
        <v> </v>
      </c>
      <c r="W28" s="17" t="str">
        <f aca="false">IF((E28="q"),H28," ")</f>
        <v> </v>
      </c>
      <c r="X28" s="17" t="str">
        <f aca="false">IF((E28="m"),H28," ")</f>
        <v> </v>
      </c>
      <c r="Y28" s="17" t="str">
        <f aca="false">IF((E28="u"),H28," ")</f>
        <v> </v>
      </c>
      <c r="Z28" s="17" t="n">
        <f aca="false">IF((E28="a"),H28," ")</f>
        <v>1000</v>
      </c>
      <c r="AA28" s="17" t="str">
        <f aca="false">IF((E28="g"),H28," ")</f>
        <v> </v>
      </c>
      <c r="AB28" s="17" t="str">
        <f aca="false">IF((E28="h"),H28," ")</f>
        <v> </v>
      </c>
      <c r="AC28" s="30" t="str">
        <f aca="false">IF((E28="v"),H28," ")</f>
        <v> </v>
      </c>
      <c r="AD28" s="30" t="str">
        <f aca="false">IF((E28="n"),H28," ")</f>
        <v> </v>
      </c>
      <c r="AE28" s="17" t="str">
        <f aca="false">IF((E28="f"),H28," ")</f>
        <v> </v>
      </c>
      <c r="AF28" s="17" t="str">
        <f aca="false">IF((E28="l"),H28," ")</f>
        <v> </v>
      </c>
      <c r="AG28" s="17" t="str">
        <f aca="false">IF((E28="y"),H28," ")</f>
        <v> </v>
      </c>
      <c r="AH28" s="17" t="str">
        <f aca="false">IF((E28="z"),H28," ")</f>
        <v> </v>
      </c>
      <c r="AI28" s="17" t="str">
        <f aca="false">IF((E28="fa"),H28," ")</f>
        <v> </v>
      </c>
      <c r="AJ28" s="17" t="str">
        <f aca="false">IF((E28="e"),H28," ")</f>
        <v> </v>
      </c>
      <c r="BZ28" s="2" t="s">
        <v>162</v>
      </c>
    </row>
    <row r="29" customFormat="false" ht="12" hidden="false" customHeight="false" outlineLevel="0" collapsed="false">
      <c r="A29" s="28" t="n">
        <v>46525</v>
      </c>
      <c r="B29" s="2" t="s">
        <v>188</v>
      </c>
      <c r="D29" s="2" t="s">
        <v>240</v>
      </c>
      <c r="E29" s="2" t="s">
        <v>112</v>
      </c>
      <c r="F29" s="30" t="n">
        <v>120</v>
      </c>
      <c r="G29" s="6" t="n">
        <f aca="false">IF(F29&lt;&gt;0,F29*G$2/(100+G$2)," ")</f>
        <v>20</v>
      </c>
      <c r="H29" s="6" t="n">
        <f aca="false">IF((F29&lt;&gt;0),F29-G29," ")</f>
        <v>100</v>
      </c>
      <c r="I29" s="5"/>
      <c r="L29" s="7" t="n">
        <f aca="false">IF(F29&lt;&gt;0,F29-K29," ")</f>
        <v>120</v>
      </c>
      <c r="M29" s="8" t="n">
        <f aca="false">IF((F29-K29)&lt;&gt;0,M$1-A29," ")</f>
        <v>-247</v>
      </c>
      <c r="N29" s="5"/>
      <c r="O29" s="17" t="str">
        <f aca="false">IF((E29="s"),H29," ")</f>
        <v> </v>
      </c>
      <c r="P29" s="17" t="str">
        <f aca="false">IF((E29="c"),H29," ")</f>
        <v> </v>
      </c>
      <c r="Q29" s="17" t="str">
        <f aca="false">IF((E29="o"),H29," ")</f>
        <v> </v>
      </c>
      <c r="R29" s="17" t="str">
        <f aca="false">IF((E29="d"),H29," ")</f>
        <v> </v>
      </c>
      <c r="S29" s="17" t="str">
        <f aca="false">IF((E29="w"),H29," ")</f>
        <v> </v>
      </c>
      <c r="T29" s="17" t="str">
        <f aca="false">IF((E29="r"),H29," ")</f>
        <v> </v>
      </c>
      <c r="U29" s="17" t="str">
        <f aca="false">IF((E29="p"),H29," ")</f>
        <v> </v>
      </c>
      <c r="V29" s="17" t="str">
        <f aca="false">IF((E29="t"),H29," ")</f>
        <v> </v>
      </c>
      <c r="W29" s="17" t="str">
        <f aca="false">IF((E29="q"),H29," ")</f>
        <v> </v>
      </c>
      <c r="X29" s="17" t="str">
        <f aca="false">IF((E29="m"),H29," ")</f>
        <v> </v>
      </c>
      <c r="Y29" s="17" t="str">
        <f aca="false">IF((E29="u"),H29," ")</f>
        <v> </v>
      </c>
      <c r="Z29" s="17" t="str">
        <f aca="false">IF((E29="a"),H29," ")</f>
        <v> </v>
      </c>
      <c r="AA29" s="17" t="str">
        <f aca="false">IF((E29="g"),H29," ")</f>
        <v> </v>
      </c>
      <c r="AB29" s="17" t="n">
        <f aca="false">IF((E29="h"),H29," ")</f>
        <v>100</v>
      </c>
      <c r="AC29" s="30" t="str">
        <f aca="false">IF((E29="v"),H29," ")</f>
        <v> </v>
      </c>
      <c r="AD29" s="30" t="str">
        <f aca="false">IF((E29="n"),H29," ")</f>
        <v> </v>
      </c>
      <c r="AE29" s="17" t="str">
        <f aca="false">IF((E29="f"),H29," ")</f>
        <v> </v>
      </c>
      <c r="AF29" s="17" t="str">
        <f aca="false">IF((E29="l"),H29," ")</f>
        <v> </v>
      </c>
      <c r="AG29" s="17" t="str">
        <f aca="false">IF((E29="y"),H29," ")</f>
        <v> </v>
      </c>
      <c r="AH29" s="17" t="str">
        <f aca="false">IF((E29="z"),H29," ")</f>
        <v> </v>
      </c>
      <c r="AI29" s="17" t="str">
        <f aca="false">IF((E29="fa"),H29," ")</f>
        <v> </v>
      </c>
      <c r="AJ29" s="17" t="str">
        <f aca="false">IF((E29="e"),H29," ")</f>
        <v> </v>
      </c>
      <c r="BZ29" s="2" t="s">
        <v>113</v>
      </c>
    </row>
    <row r="30" customFormat="false" ht="12" hidden="false" customHeight="false" outlineLevel="0" collapsed="false">
      <c r="A30" s="28" t="n">
        <v>46525</v>
      </c>
      <c r="B30" s="2" t="s">
        <v>134</v>
      </c>
      <c r="D30" s="2" t="s">
        <v>105</v>
      </c>
      <c r="E30" s="2" t="s">
        <v>106</v>
      </c>
      <c r="F30" s="30" t="n">
        <v>96</v>
      </c>
      <c r="G30" s="6" t="n">
        <f aca="false">IF(F30&lt;&gt;0,F30*G$2/(100+G$2)," ")</f>
        <v>16</v>
      </c>
      <c r="H30" s="6" t="n">
        <f aca="false">IF((F30&lt;&gt;0),F30-G30," ")</f>
        <v>80</v>
      </c>
      <c r="I30" s="5"/>
      <c r="L30" s="7" t="n">
        <f aca="false">IF(F30&lt;&gt;0,F30-K30," ")</f>
        <v>96</v>
      </c>
      <c r="M30" s="8" t="n">
        <f aca="false">IF((F30-K30)&lt;&gt;0,M$1-A30," ")</f>
        <v>-247</v>
      </c>
      <c r="N30" s="5"/>
      <c r="O30" s="17" t="str">
        <f aca="false">IF((E30="s"),H30," ")</f>
        <v> </v>
      </c>
      <c r="P30" s="17" t="str">
        <f aca="false">IF((E30="c"),H30," ")</f>
        <v> </v>
      </c>
      <c r="Q30" s="17" t="str">
        <f aca="false">IF((E30="o"),H30," ")</f>
        <v> </v>
      </c>
      <c r="R30" s="17" t="str">
        <f aca="false">IF((E30="d"),H30," ")</f>
        <v> </v>
      </c>
      <c r="S30" s="17" t="str">
        <f aca="false">IF((E30="w"),H30," ")</f>
        <v> </v>
      </c>
      <c r="T30" s="17" t="str">
        <f aca="false">IF((E30="r"),H30," ")</f>
        <v> </v>
      </c>
      <c r="U30" s="17" t="str">
        <f aca="false">IF((E30="p"),H30," ")</f>
        <v> </v>
      </c>
      <c r="V30" s="17" t="str">
        <f aca="false">IF((E30="t"),H30," ")</f>
        <v> </v>
      </c>
      <c r="W30" s="17" t="str">
        <f aca="false">IF((E30="q"),H30," ")</f>
        <v> </v>
      </c>
      <c r="X30" s="17" t="str">
        <f aca="false">IF((E30="m"),H30," ")</f>
        <v> </v>
      </c>
      <c r="Y30" s="17" t="str">
        <f aca="false">IF((E30="u"),H30," ")</f>
        <v> </v>
      </c>
      <c r="Z30" s="17" t="str">
        <f aca="false">IF((E30="a"),H30," ")</f>
        <v> </v>
      </c>
      <c r="AA30" s="17" t="str">
        <f aca="false">IF((E30="g"),H30," ")</f>
        <v> </v>
      </c>
      <c r="AB30" s="17" t="str">
        <f aca="false">IF((E30="h"),H30," ")</f>
        <v> </v>
      </c>
      <c r="AC30" s="30" t="n">
        <f aca="false">IF((E30="v"),H30," ")</f>
        <v>80</v>
      </c>
      <c r="AD30" s="30" t="str">
        <f aca="false">IF((E30="n"),H30," ")</f>
        <v> </v>
      </c>
      <c r="AE30" s="17" t="str">
        <f aca="false">IF((E30="f"),H30," ")</f>
        <v> </v>
      </c>
      <c r="AF30" s="17" t="str">
        <f aca="false">IF((E30="l"),H30," ")</f>
        <v> </v>
      </c>
      <c r="AG30" s="17" t="str">
        <f aca="false">IF((E30="y"),H30," ")</f>
        <v> </v>
      </c>
      <c r="AH30" s="17" t="str">
        <f aca="false">IF((E30="z"),H30," ")</f>
        <v> </v>
      </c>
      <c r="AI30" s="17" t="str">
        <f aca="false">IF((E30="fa"),H30," ")</f>
        <v> </v>
      </c>
      <c r="AJ30" s="17" t="str">
        <f aca="false">IF((E30="e"),H30," ")</f>
        <v> </v>
      </c>
      <c r="BZ30" s="2" t="s">
        <v>107</v>
      </c>
    </row>
    <row r="31" customFormat="false" ht="12" hidden="false" customHeight="false" outlineLevel="0" collapsed="false">
      <c r="A31" s="28" t="n">
        <v>46527</v>
      </c>
      <c r="B31" s="2" t="s">
        <v>135</v>
      </c>
      <c r="D31" s="2" t="s">
        <v>136</v>
      </c>
      <c r="E31" s="2" t="s">
        <v>80</v>
      </c>
      <c r="F31" s="30" t="n">
        <v>60</v>
      </c>
      <c r="G31" s="6" t="n">
        <f aca="false">IF(F31&lt;&gt;0,F31*G$2/(100+G$2)," ")</f>
        <v>10</v>
      </c>
      <c r="H31" s="6" t="n">
        <f aca="false">IF((F31&lt;&gt;0),F31-G31," ")</f>
        <v>50</v>
      </c>
      <c r="I31" s="5"/>
      <c r="L31" s="7" t="n">
        <f aca="false">IF(F31&lt;&gt;0,F31-K31," ")</f>
        <v>60</v>
      </c>
      <c r="M31" s="8" t="n">
        <f aca="false">IF((F31-K31)&lt;&gt;0,M$1-A31," ")</f>
        <v>-249</v>
      </c>
      <c r="N31" s="5"/>
      <c r="O31" s="17" t="str">
        <f aca="false">IF((E31="s"),H31," ")</f>
        <v> </v>
      </c>
      <c r="P31" s="17" t="str">
        <f aca="false">IF((E31="c"),H31," ")</f>
        <v> </v>
      </c>
      <c r="Q31" s="17" t="str">
        <f aca="false">IF((E31="o"),H31," ")</f>
        <v> </v>
      </c>
      <c r="R31" s="17" t="str">
        <f aca="false">IF((E31="d"),H31," ")</f>
        <v> </v>
      </c>
      <c r="S31" s="17" t="str">
        <f aca="false">IF((E31="w"),H31," ")</f>
        <v> </v>
      </c>
      <c r="T31" s="17" t="str">
        <f aca="false">IF((E31="r"),H31," ")</f>
        <v> </v>
      </c>
      <c r="U31" s="17" t="str">
        <f aca="false">IF((E31="p"),H31," ")</f>
        <v> </v>
      </c>
      <c r="V31" s="17" t="str">
        <f aca="false">IF((E31="t"),H31," ")</f>
        <v> </v>
      </c>
      <c r="W31" s="17" t="str">
        <f aca="false">IF((E31="q"),H31," ")</f>
        <v> </v>
      </c>
      <c r="X31" s="17" t="str">
        <f aca="false">IF((E31="m"),H31," ")</f>
        <v> </v>
      </c>
      <c r="Y31" s="17" t="str">
        <f aca="false">IF((E31="u"),H31," ")</f>
        <v> </v>
      </c>
      <c r="Z31" s="17" t="str">
        <f aca="false">IF((E31="a"),H31," ")</f>
        <v> </v>
      </c>
      <c r="AA31" s="17" t="n">
        <f aca="false">IF((E31="g"),H31," ")</f>
        <v>50</v>
      </c>
      <c r="AB31" s="17" t="str">
        <f aca="false">IF((E31="h"),H31," ")</f>
        <v> </v>
      </c>
      <c r="AC31" s="30" t="str">
        <f aca="false">IF((E31="v"),H31," ")</f>
        <v> </v>
      </c>
      <c r="AD31" s="30" t="str">
        <f aca="false">IF((E31="n"),H31," ")</f>
        <v> </v>
      </c>
      <c r="AE31" s="17" t="str">
        <f aca="false">IF((E31="f"),H31," ")</f>
        <v> </v>
      </c>
      <c r="AF31" s="17" t="str">
        <f aca="false">IF((E31="l"),H31," ")</f>
        <v> </v>
      </c>
      <c r="AG31" s="17" t="str">
        <f aca="false">IF((E31="y"),H31," ")</f>
        <v> </v>
      </c>
      <c r="AH31" s="17" t="str">
        <f aca="false">IF((E31="z"),H31," ")</f>
        <v> </v>
      </c>
      <c r="AI31" s="17" t="str">
        <f aca="false">IF((E31="fa"),H31," ")</f>
        <v> </v>
      </c>
      <c r="AJ31" s="17" t="str">
        <f aca="false">IF((E31="e"),H31," ")</f>
        <v> </v>
      </c>
      <c r="BZ31" s="2" t="s">
        <v>81</v>
      </c>
    </row>
    <row r="32" customFormat="false" ht="12" hidden="false" customHeight="false" outlineLevel="0" collapsed="false">
      <c r="A32" s="28" t="n">
        <v>46527</v>
      </c>
      <c r="B32" s="2" t="s">
        <v>137</v>
      </c>
      <c r="D32" s="2" t="s">
        <v>138</v>
      </c>
      <c r="E32" s="2" t="s">
        <v>139</v>
      </c>
      <c r="F32" s="30" t="n">
        <v>96</v>
      </c>
      <c r="G32" s="6" t="n">
        <f aca="false">IF(F32&lt;&gt;0,F32*G$2/(100+G$2)," ")</f>
        <v>16</v>
      </c>
      <c r="H32" s="6" t="n">
        <f aca="false">IF((F32&lt;&gt;0),F32-G32," ")</f>
        <v>80</v>
      </c>
      <c r="I32" s="5"/>
      <c r="L32" s="7" t="n">
        <f aca="false">IF(F32&lt;&gt;0,F32-K32," ")</f>
        <v>96</v>
      </c>
      <c r="M32" s="8" t="n">
        <f aca="false">IF((F32-K32)&lt;&gt;0,M$1-A32," ")</f>
        <v>-249</v>
      </c>
      <c r="N32" s="5"/>
      <c r="O32" s="17" t="str">
        <f aca="false">IF((E32="s"),H32," ")</f>
        <v> </v>
      </c>
      <c r="P32" s="17" t="str">
        <f aca="false">IF((E32="c"),H32," ")</f>
        <v> </v>
      </c>
      <c r="Q32" s="17" t="str">
        <f aca="false">IF((E32="o"),H32," ")</f>
        <v> </v>
      </c>
      <c r="R32" s="17" t="str">
        <f aca="false">IF((E32="d"),H32," ")</f>
        <v> </v>
      </c>
      <c r="S32" s="17" t="str">
        <f aca="false">IF((E32="w"),H32," ")</f>
        <v> </v>
      </c>
      <c r="T32" s="17" t="str">
        <f aca="false">IF((E32="r"),H32," ")</f>
        <v> </v>
      </c>
      <c r="U32" s="17" t="str">
        <f aca="false">IF((E32="p"),H32," ")</f>
        <v> </v>
      </c>
      <c r="V32" s="17" t="str">
        <f aca="false">IF((E32="t"),H32," ")</f>
        <v> </v>
      </c>
      <c r="W32" s="17" t="str">
        <f aca="false">IF((E32="q"),H32," ")</f>
        <v> </v>
      </c>
      <c r="X32" s="17" t="n">
        <f aca="false">IF((E32="m"),H32," ")</f>
        <v>80</v>
      </c>
      <c r="Y32" s="17" t="str">
        <f aca="false">IF((E32="u"),H32," ")</f>
        <v> </v>
      </c>
      <c r="Z32" s="17" t="str">
        <f aca="false">IF((E32="a"),H32," ")</f>
        <v> </v>
      </c>
      <c r="AA32" s="17" t="str">
        <f aca="false">IF((E32="g"),H32," ")</f>
        <v> </v>
      </c>
      <c r="AB32" s="17" t="str">
        <f aca="false">IF((E32="h"),H32," ")</f>
        <v> </v>
      </c>
      <c r="AC32" s="30" t="str">
        <f aca="false">IF((E32="v"),H32," ")</f>
        <v> </v>
      </c>
      <c r="AD32" s="30" t="str">
        <f aca="false">IF((E32="n"),H32," ")</f>
        <v> </v>
      </c>
      <c r="AE32" s="17" t="str">
        <f aca="false">IF((E32="f"),H32," ")</f>
        <v> </v>
      </c>
      <c r="AF32" s="17" t="str">
        <f aca="false">IF((E32="l"),H32," ")</f>
        <v> </v>
      </c>
      <c r="AG32" s="17" t="str">
        <f aca="false">IF((E32="y"),H32," ")</f>
        <v> </v>
      </c>
      <c r="AH32" s="17" t="str">
        <f aca="false">IF((E32="z"),H32," ")</f>
        <v> </v>
      </c>
      <c r="AI32" s="17" t="str">
        <f aca="false">IF((E32="fa"),H32," ")</f>
        <v> </v>
      </c>
      <c r="AJ32" s="17" t="str">
        <f aca="false">IF((E32="e"),H32," ")</f>
        <v> </v>
      </c>
      <c r="BZ32" s="2" t="s">
        <v>140</v>
      </c>
    </row>
    <row r="33" customFormat="false" ht="12" hidden="false" customHeight="false" outlineLevel="0" collapsed="false">
      <c r="A33" s="28" t="n">
        <v>46528</v>
      </c>
      <c r="B33" s="2" t="s">
        <v>141</v>
      </c>
      <c r="D33" s="2" t="s">
        <v>142</v>
      </c>
      <c r="E33" s="2" t="s">
        <v>112</v>
      </c>
      <c r="F33" s="30" t="n">
        <v>8</v>
      </c>
      <c r="G33" s="6" t="n">
        <f aca="false">IF(F33&lt;&gt;0,F33*G$2/(100+G$2)," ")</f>
        <v>1.33333333333333</v>
      </c>
      <c r="H33" s="6" t="n">
        <f aca="false">IF((F33&lt;&gt;0),F33-G33," ")</f>
        <v>6.66666666666667</v>
      </c>
      <c r="I33" s="5"/>
      <c r="L33" s="7" t="n">
        <f aca="false">IF(F33&lt;&gt;0,F33-K33," ")</f>
        <v>8</v>
      </c>
      <c r="M33" s="8" t="n">
        <f aca="false">IF((F33-K33)&lt;&gt;0,M$1-A33," ")</f>
        <v>-250</v>
      </c>
      <c r="N33" s="5"/>
      <c r="O33" s="17" t="str">
        <f aca="false">IF((E33="s"),H33," ")</f>
        <v> </v>
      </c>
      <c r="P33" s="17" t="str">
        <f aca="false">IF((E33="c"),H33," ")</f>
        <v> </v>
      </c>
      <c r="Q33" s="17" t="str">
        <f aca="false">IF((E33="o"),H33," ")</f>
        <v> </v>
      </c>
      <c r="R33" s="17" t="str">
        <f aca="false">IF((E33="d"),H33," ")</f>
        <v> </v>
      </c>
      <c r="S33" s="17" t="str">
        <f aca="false">IF((E33="w"),H33," ")</f>
        <v> </v>
      </c>
      <c r="T33" s="17" t="str">
        <f aca="false">IF((E33="r"),H33," ")</f>
        <v> </v>
      </c>
      <c r="U33" s="17" t="str">
        <f aca="false">IF((E33="p"),H33," ")</f>
        <v> </v>
      </c>
      <c r="V33" s="17" t="str">
        <f aca="false">IF((E33="t"),H33," ")</f>
        <v> </v>
      </c>
      <c r="W33" s="17" t="str">
        <f aca="false">IF((E33="q"),H33," ")</f>
        <v> </v>
      </c>
      <c r="X33" s="17" t="str">
        <f aca="false">IF((E33="m"),H33," ")</f>
        <v> </v>
      </c>
      <c r="Y33" s="17" t="str">
        <f aca="false">IF((E33="u"),H33," ")</f>
        <v> </v>
      </c>
      <c r="Z33" s="17" t="str">
        <f aca="false">IF((E33="a"),H33," ")</f>
        <v> </v>
      </c>
      <c r="AA33" s="17" t="str">
        <f aca="false">IF((E33="g"),H33," ")</f>
        <v> </v>
      </c>
      <c r="AB33" s="17" t="n">
        <f aca="false">IF((E33="h"),H33," ")</f>
        <v>6.66666666666667</v>
      </c>
      <c r="AC33" s="30" t="str">
        <f aca="false">IF((E33="v"),H33," ")</f>
        <v> </v>
      </c>
      <c r="AD33" s="30" t="str">
        <f aca="false">IF((E33="n"),H33," ")</f>
        <v> </v>
      </c>
      <c r="AE33" s="17" t="str">
        <f aca="false">IF((E33="f"),H33," ")</f>
        <v> </v>
      </c>
      <c r="AF33" s="17" t="str">
        <f aca="false">IF((E33="l"),H33," ")</f>
        <v> </v>
      </c>
      <c r="AG33" s="17" t="str">
        <f aca="false">IF((E33="y"),H33," ")</f>
        <v> </v>
      </c>
      <c r="AH33" s="17" t="str">
        <f aca="false">IF((E33="z"),H33," ")</f>
        <v> </v>
      </c>
      <c r="AI33" s="17" t="str">
        <f aca="false">IF((E33="fa"),H33," ")</f>
        <v> </v>
      </c>
      <c r="AJ33" s="17" t="str">
        <f aca="false">IF((E33="e"),H33," ")</f>
        <v> </v>
      </c>
      <c r="BZ33" s="2" t="s">
        <v>113</v>
      </c>
    </row>
    <row r="34" customFormat="false" ht="12" hidden="false" customHeight="false" outlineLevel="0" collapsed="false">
      <c r="A34" s="28" t="n">
        <v>46529</v>
      </c>
      <c r="B34" s="2" t="s">
        <v>143</v>
      </c>
      <c r="D34" s="2" t="s">
        <v>144</v>
      </c>
      <c r="E34" s="2" t="s">
        <v>100</v>
      </c>
      <c r="F34" s="30" t="n">
        <v>18</v>
      </c>
      <c r="G34" s="6" t="n">
        <f aca="false">IF(F34&lt;&gt;0,F34*G$2/(100+G$2)," ")</f>
        <v>3</v>
      </c>
      <c r="H34" s="6" t="n">
        <f aca="false">IF((F34&lt;&gt;0),F34-G34," ")</f>
        <v>15</v>
      </c>
      <c r="I34" s="5"/>
      <c r="L34" s="7" t="n">
        <f aca="false">IF(F34&lt;&gt;0,F34-K34," ")</f>
        <v>18</v>
      </c>
      <c r="M34" s="8" t="n">
        <f aca="false">IF((F34-K34)&lt;&gt;0,M$1-A34," ")</f>
        <v>-251</v>
      </c>
      <c r="N34" s="5"/>
      <c r="O34" s="17" t="str">
        <f aca="false">IF((E34="s"),H34," ")</f>
        <v> </v>
      </c>
      <c r="P34" s="17" t="str">
        <f aca="false">IF((E34="c"),H34," ")</f>
        <v> </v>
      </c>
      <c r="Q34" s="17" t="str">
        <f aca="false">IF((E34="o"),H34," ")</f>
        <v> </v>
      </c>
      <c r="R34" s="17" t="str">
        <f aca="false">IF((E34="d"),H34," ")</f>
        <v> </v>
      </c>
      <c r="S34" s="17" t="str">
        <f aca="false">IF((E34="w"),H34," ")</f>
        <v> </v>
      </c>
      <c r="T34" s="17" t="str">
        <f aca="false">IF((E34="r"),H34," ")</f>
        <v> </v>
      </c>
      <c r="U34" s="17" t="str">
        <f aca="false">IF((E34="p"),H34," ")</f>
        <v> </v>
      </c>
      <c r="V34" s="17" t="str">
        <f aca="false">IF((E34="t"),H34," ")</f>
        <v> </v>
      </c>
      <c r="W34" s="17" t="str">
        <f aca="false">IF((E34="q"),H34," ")</f>
        <v> </v>
      </c>
      <c r="X34" s="17" t="str">
        <f aca="false">IF((E34="m"),H34," ")</f>
        <v> </v>
      </c>
      <c r="Y34" s="17" t="n">
        <f aca="false">IF((E34="u"),H34," ")</f>
        <v>15</v>
      </c>
      <c r="Z34" s="17" t="str">
        <f aca="false">IF((E34="a"),H34," ")</f>
        <v> </v>
      </c>
      <c r="AA34" s="17" t="str">
        <f aca="false">IF((E34="g"),H34," ")</f>
        <v> </v>
      </c>
      <c r="AB34" s="17" t="str">
        <f aca="false">IF((E34="h"),H34," ")</f>
        <v> </v>
      </c>
      <c r="AC34" s="30" t="str">
        <f aca="false">IF((E34="v"),H34," ")</f>
        <v> </v>
      </c>
      <c r="AD34" s="30" t="str">
        <f aca="false">IF((E34="n"),H34," ")</f>
        <v> </v>
      </c>
      <c r="AE34" s="17" t="str">
        <f aca="false">IF((E34="f"),H34," ")</f>
        <v> </v>
      </c>
      <c r="AF34" s="17" t="str">
        <f aca="false">IF((E34="l"),H34," ")</f>
        <v> </v>
      </c>
      <c r="AG34" s="17" t="str">
        <f aca="false">IF((E34="y"),H34," ")</f>
        <v> </v>
      </c>
      <c r="AH34" s="17" t="str">
        <f aca="false">IF((E34="z"),H34," ")</f>
        <v> </v>
      </c>
      <c r="AI34" s="17" t="str">
        <f aca="false">IF((E34="fa"),H34," ")</f>
        <v> </v>
      </c>
      <c r="AJ34" s="17" t="str">
        <f aca="false">IF((E34="e"),H34," ")</f>
        <v> </v>
      </c>
      <c r="BZ34" s="2" t="s">
        <v>101</v>
      </c>
    </row>
    <row r="35" customFormat="false" ht="12" hidden="false" customHeight="false" outlineLevel="0" collapsed="false">
      <c r="A35" s="28" t="n">
        <v>46532</v>
      </c>
      <c r="B35" s="2" t="s">
        <v>145</v>
      </c>
      <c r="D35" s="2" t="s">
        <v>146</v>
      </c>
      <c r="E35" s="2" t="s">
        <v>100</v>
      </c>
      <c r="F35" s="30" t="n">
        <v>15</v>
      </c>
      <c r="G35" s="6" t="n">
        <f aca="false">IF(F35&lt;&gt;0,F35*G$2/(100+G$2)," ")</f>
        <v>2.5</v>
      </c>
      <c r="H35" s="6" t="n">
        <f aca="false">IF((F35&lt;&gt;0),F35-G35," ")</f>
        <v>12.5</v>
      </c>
      <c r="I35" s="5"/>
      <c r="L35" s="7" t="n">
        <f aca="false">IF(F35&lt;&gt;0,F35-K35," ")</f>
        <v>15</v>
      </c>
      <c r="M35" s="8" t="n">
        <f aca="false">IF((F35-K35)&lt;&gt;0,M$1-A35," ")</f>
        <v>-254</v>
      </c>
      <c r="N35" s="5"/>
      <c r="O35" s="17" t="str">
        <f aca="false">IF((E35="s"),H35," ")</f>
        <v> </v>
      </c>
      <c r="P35" s="17" t="str">
        <f aca="false">IF((E35="c"),H35," ")</f>
        <v> </v>
      </c>
      <c r="Q35" s="17" t="str">
        <f aca="false">IF((E35="o"),H35," ")</f>
        <v> </v>
      </c>
      <c r="R35" s="17" t="str">
        <f aca="false">IF((E35="d"),H35," ")</f>
        <v> </v>
      </c>
      <c r="S35" s="17" t="str">
        <f aca="false">IF((E35="w"),H35," ")</f>
        <v> </v>
      </c>
      <c r="T35" s="17" t="str">
        <f aca="false">IF((E35="r"),H35," ")</f>
        <v> </v>
      </c>
      <c r="U35" s="17" t="str">
        <f aca="false">IF((E35="p"),H35," ")</f>
        <v> </v>
      </c>
      <c r="V35" s="17" t="str">
        <f aca="false">IF((E35="t"),H35," ")</f>
        <v> </v>
      </c>
      <c r="W35" s="17" t="str">
        <f aca="false">IF((E35="q"),H35," ")</f>
        <v> </v>
      </c>
      <c r="X35" s="17" t="str">
        <f aca="false">IF((E35="m"),H35," ")</f>
        <v> </v>
      </c>
      <c r="Y35" s="17" t="n">
        <f aca="false">IF((E35="u"),H35," ")</f>
        <v>12.5</v>
      </c>
      <c r="Z35" s="17" t="str">
        <f aca="false">IF((E35="a"),H35," ")</f>
        <v> </v>
      </c>
      <c r="AA35" s="17" t="str">
        <f aca="false">IF((E35="g"),H35," ")</f>
        <v> </v>
      </c>
      <c r="AB35" s="17" t="str">
        <f aca="false">IF((E35="h"),H35," ")</f>
        <v> </v>
      </c>
      <c r="AC35" s="30" t="str">
        <f aca="false">IF((E35="v"),H35," ")</f>
        <v> </v>
      </c>
      <c r="AD35" s="30" t="str">
        <f aca="false">IF((E35="n"),H35," ")</f>
        <v> </v>
      </c>
      <c r="AE35" s="17" t="str">
        <f aca="false">IF((E35="f"),H35," ")</f>
        <v> </v>
      </c>
      <c r="AF35" s="17" t="str">
        <f aca="false">IF((E35="l"),H35," ")</f>
        <v> </v>
      </c>
      <c r="AG35" s="17" t="str">
        <f aca="false">IF((E35="y"),H35," ")</f>
        <v> </v>
      </c>
      <c r="AH35" s="17" t="str">
        <f aca="false">IF((E35="z"),H35," ")</f>
        <v> </v>
      </c>
      <c r="AI35" s="17" t="str">
        <f aca="false">IF((E35="fa"),H35," ")</f>
        <v> </v>
      </c>
      <c r="AJ35" s="17" t="str">
        <f aca="false">IF((E35="e"),H35," ")</f>
        <v> </v>
      </c>
      <c r="BZ35" s="2" t="s">
        <v>101</v>
      </c>
    </row>
    <row r="36" customFormat="false" ht="12" hidden="false" customHeight="false" outlineLevel="0" collapsed="false">
      <c r="A36" s="28" t="n">
        <v>46532</v>
      </c>
      <c r="B36" s="2" t="s">
        <v>147</v>
      </c>
      <c r="D36" s="2" t="s">
        <v>241</v>
      </c>
      <c r="E36" s="2" t="s">
        <v>106</v>
      </c>
      <c r="F36" s="30" t="n">
        <v>42.75</v>
      </c>
      <c r="G36" s="6" t="n">
        <f aca="false">IF(F36&lt;&gt;0,F36*G$2/(100+G$2)," ")</f>
        <v>7.125</v>
      </c>
      <c r="H36" s="6" t="n">
        <f aca="false">IF((F36&lt;&gt;0),F36-G36," ")</f>
        <v>35.625</v>
      </c>
      <c r="I36" s="5"/>
      <c r="L36" s="7" t="n">
        <f aca="false">IF(F36&lt;&gt;0,F36-K36," ")</f>
        <v>42.75</v>
      </c>
      <c r="M36" s="8" t="n">
        <f aca="false">IF((F36-K36)&lt;&gt;0,M$1-A36," ")</f>
        <v>-254</v>
      </c>
      <c r="N36" s="5"/>
      <c r="O36" s="17" t="str">
        <f aca="false">IF((E36="s"),H36," ")</f>
        <v> </v>
      </c>
      <c r="P36" s="17" t="str">
        <f aca="false">IF((E36="c"),H36," ")</f>
        <v> </v>
      </c>
      <c r="Q36" s="17" t="str">
        <f aca="false">IF((E36="o"),H36," ")</f>
        <v> </v>
      </c>
      <c r="R36" s="17" t="str">
        <f aca="false">IF((E36="d"),H36," ")</f>
        <v> </v>
      </c>
      <c r="S36" s="17" t="str">
        <f aca="false">IF((E36="w"),H36," ")</f>
        <v> </v>
      </c>
      <c r="T36" s="17" t="str">
        <f aca="false">IF((E36="r"),H36," ")</f>
        <v> </v>
      </c>
      <c r="U36" s="17" t="str">
        <f aca="false">IF((E36="p"),H36," ")</f>
        <v> </v>
      </c>
      <c r="V36" s="17" t="str">
        <f aca="false">IF((E36="t"),H36," ")</f>
        <v> </v>
      </c>
      <c r="W36" s="17" t="str">
        <f aca="false">IF((E36="q"),H36," ")</f>
        <v> </v>
      </c>
      <c r="X36" s="17" t="str">
        <f aca="false">IF((E36="m"),H36," ")</f>
        <v> </v>
      </c>
      <c r="Y36" s="17" t="str">
        <f aca="false">IF((E36="u"),H36," ")</f>
        <v> </v>
      </c>
      <c r="Z36" s="17" t="str">
        <f aca="false">IF((E36="a"),H36," ")</f>
        <v> </v>
      </c>
      <c r="AA36" s="17" t="str">
        <f aca="false">IF((E36="g"),H36," ")</f>
        <v> </v>
      </c>
      <c r="AB36" s="17" t="str">
        <f aca="false">IF((E36="h"),H36," ")</f>
        <v> </v>
      </c>
      <c r="AC36" s="30" t="n">
        <f aca="false">IF((E36="v"),H36," ")</f>
        <v>35.625</v>
      </c>
      <c r="AD36" s="30" t="str">
        <f aca="false">IF((E36="n"),H36," ")</f>
        <v> </v>
      </c>
      <c r="AE36" s="17" t="str">
        <f aca="false">IF((E36="f"),H36," ")</f>
        <v> </v>
      </c>
      <c r="AF36" s="17" t="str">
        <f aca="false">IF((E36="l"),H36," ")</f>
        <v> </v>
      </c>
      <c r="AG36" s="17" t="str">
        <f aca="false">IF((E36="y"),H36," ")</f>
        <v> </v>
      </c>
      <c r="AH36" s="17" t="str">
        <f aca="false">IF((E36="z"),H36," ")</f>
        <v> </v>
      </c>
      <c r="AI36" s="17" t="str">
        <f aca="false">IF((E36="fa"),H36," ")</f>
        <v> </v>
      </c>
      <c r="AJ36" s="17" t="str">
        <f aca="false">IF((E36="e"),H36," ")</f>
        <v> </v>
      </c>
      <c r="BZ36" s="2" t="s">
        <v>107</v>
      </c>
    </row>
    <row r="37" customFormat="false" ht="12" hidden="false" customHeight="false" outlineLevel="0" collapsed="false">
      <c r="A37" s="28" t="n">
        <v>46532</v>
      </c>
      <c r="B37" s="2" t="s">
        <v>242</v>
      </c>
      <c r="C37" s="3" t="s">
        <v>243</v>
      </c>
      <c r="D37" s="2" t="s">
        <v>244</v>
      </c>
      <c r="E37" s="2" t="s">
        <v>168</v>
      </c>
      <c r="F37" s="30" t="n">
        <v>36000</v>
      </c>
      <c r="G37" s="6" t="n">
        <f aca="false">IF(F37&lt;&gt;0,F37*G$2/(100+G$2)," ")</f>
        <v>6000</v>
      </c>
      <c r="H37" s="6" t="n">
        <f aca="false">IF((F37&lt;&gt;0),F37-G37," ")</f>
        <v>30000</v>
      </c>
      <c r="I37" s="5"/>
      <c r="L37" s="7" t="n">
        <f aca="false">IF(F37&lt;&gt;0,F37-K37," ")</f>
        <v>36000</v>
      </c>
      <c r="M37" s="8" t="n">
        <f aca="false">IF((F37-K37)&lt;&gt;0,M$1-A37," ")</f>
        <v>-254</v>
      </c>
      <c r="N37" s="5"/>
      <c r="O37" s="17" t="str">
        <f aca="false">IF((E37="s"),H37," ")</f>
        <v> </v>
      </c>
      <c r="P37" s="17" t="str">
        <f aca="false">IF((E37="c"),H37," ")</f>
        <v> </v>
      </c>
      <c r="Q37" s="17" t="str">
        <f aca="false">IF((E37="o"),H37," ")</f>
        <v> </v>
      </c>
      <c r="R37" s="17" t="str">
        <f aca="false">IF((E37="d"),H37," ")</f>
        <v> </v>
      </c>
      <c r="S37" s="17" t="str">
        <f aca="false">IF((E37="w"),H37," ")</f>
        <v> </v>
      </c>
      <c r="T37" s="17" t="str">
        <f aca="false">IF((E37="r"),H37," ")</f>
        <v> </v>
      </c>
      <c r="U37" s="17" t="str">
        <f aca="false">IF((E37="p"),H37," ")</f>
        <v> </v>
      </c>
      <c r="V37" s="17" t="str">
        <f aca="false">IF((E37="t"),H37," ")</f>
        <v> </v>
      </c>
      <c r="W37" s="17" t="str">
        <f aca="false">IF((E37="q"),H37," ")</f>
        <v> </v>
      </c>
      <c r="X37" s="17" t="str">
        <f aca="false">IF((E37="m"),H37," ")</f>
        <v> </v>
      </c>
      <c r="Y37" s="17" t="str">
        <f aca="false">IF((E37="u"),H37," ")</f>
        <v> </v>
      </c>
      <c r="Z37" s="17" t="str">
        <f aca="false">IF((E37="a"),H37," ")</f>
        <v> </v>
      </c>
      <c r="AA37" s="17" t="str">
        <f aca="false">IF((E37="g"),H37," ")</f>
        <v> </v>
      </c>
      <c r="AB37" s="17" t="str">
        <f aca="false">IF((E37="h"),H37," ")</f>
        <v> </v>
      </c>
      <c r="AC37" s="30" t="str">
        <f aca="false">IF((E37="v"),H37," ")</f>
        <v> </v>
      </c>
      <c r="AD37" s="30" t="str">
        <f aca="false">IF((E37="n"),H37," ")</f>
        <v> </v>
      </c>
      <c r="AE37" s="17" t="str">
        <f aca="false">IF((E37="f"),H37," ")</f>
        <v> </v>
      </c>
      <c r="AF37" s="17" t="str">
        <f aca="false">IF((E37="l"),H37," ")</f>
        <v> </v>
      </c>
      <c r="AG37" s="17" t="str">
        <f aca="false">IF((E37="y"),H37," ")</f>
        <v> </v>
      </c>
      <c r="AH37" s="17" t="str">
        <f aca="false">IF((E37="z"),H37," ")</f>
        <v> </v>
      </c>
      <c r="AI37" s="17" t="n">
        <f aca="false">IF((E37="fa"),H37," ")</f>
        <v>30000</v>
      </c>
      <c r="AJ37" s="17" t="str">
        <f aca="false">IF((E37="e"),H37," ")</f>
        <v> </v>
      </c>
      <c r="BZ37" s="2" t="s">
        <v>169</v>
      </c>
    </row>
    <row r="38" customFormat="false" ht="12" hidden="false" customHeight="false" outlineLevel="0" collapsed="false">
      <c r="A38" s="28" t="n">
        <v>46535</v>
      </c>
      <c r="B38" s="2" t="s">
        <v>20</v>
      </c>
      <c r="D38" s="2" t="s">
        <v>149</v>
      </c>
      <c r="E38" s="2" t="s">
        <v>106</v>
      </c>
      <c r="F38" s="30" t="n">
        <v>120</v>
      </c>
      <c r="G38" s="6" t="n">
        <f aca="false">IF(F38&lt;&gt;0,F38*G$2/(100+G$2)," ")</f>
        <v>20</v>
      </c>
      <c r="H38" s="6" t="n">
        <f aca="false">IF((F38&lt;&gt;0),F38-G38," ")</f>
        <v>100</v>
      </c>
      <c r="I38" s="5"/>
      <c r="L38" s="7" t="n">
        <f aca="false">IF(F38&lt;&gt;0,F38-K38," ")</f>
        <v>120</v>
      </c>
      <c r="M38" s="8" t="n">
        <f aca="false">IF((F38-K38)&lt;&gt;0,M$1-A38," ")</f>
        <v>-257</v>
      </c>
      <c r="N38" s="5"/>
      <c r="O38" s="17" t="str">
        <f aca="false">IF((E38="s"),H38," ")</f>
        <v> </v>
      </c>
      <c r="P38" s="17" t="str">
        <f aca="false">IF((E38="c"),H38," ")</f>
        <v> </v>
      </c>
      <c r="Q38" s="17" t="str">
        <f aca="false">IF((E38="o"),H38," ")</f>
        <v> </v>
      </c>
      <c r="R38" s="17" t="str">
        <f aca="false">IF((E38="d"),H38," ")</f>
        <v> </v>
      </c>
      <c r="S38" s="17" t="str">
        <f aca="false">IF((E38="w"),H38," ")</f>
        <v> </v>
      </c>
      <c r="T38" s="17" t="str">
        <f aca="false">IF((E38="r"),H38," ")</f>
        <v> </v>
      </c>
      <c r="U38" s="17" t="str">
        <f aca="false">IF((E38="p"),H38," ")</f>
        <v> </v>
      </c>
      <c r="V38" s="17" t="str">
        <f aca="false">IF((E38="t"),H38," ")</f>
        <v> </v>
      </c>
      <c r="W38" s="17" t="str">
        <f aca="false">IF((E38="q"),H38," ")</f>
        <v> </v>
      </c>
      <c r="X38" s="17" t="str">
        <f aca="false">IF((E38="m"),H38," ")</f>
        <v> </v>
      </c>
      <c r="Y38" s="17" t="str">
        <f aca="false">IF((E38="u"),H38," ")</f>
        <v> </v>
      </c>
      <c r="Z38" s="17" t="str">
        <f aca="false">IF((E38="a"),H38," ")</f>
        <v> </v>
      </c>
      <c r="AA38" s="17" t="str">
        <f aca="false">IF((E38="g"),H38," ")</f>
        <v> </v>
      </c>
      <c r="AB38" s="17" t="str">
        <f aca="false">IF((E38="h"),H38," ")</f>
        <v> </v>
      </c>
      <c r="AC38" s="30" t="n">
        <f aca="false">IF((E38="v"),H38," ")</f>
        <v>100</v>
      </c>
      <c r="AD38" s="30" t="str">
        <f aca="false">IF((E38="n"),H38," ")</f>
        <v> </v>
      </c>
      <c r="AE38" s="17" t="str">
        <f aca="false">IF((E38="f"),H38," ")</f>
        <v> </v>
      </c>
      <c r="AF38" s="17" t="str">
        <f aca="false">IF((E38="l"),H38," ")</f>
        <v> </v>
      </c>
      <c r="AG38" s="17" t="str">
        <f aca="false">IF((E38="y"),H38," ")</f>
        <v> </v>
      </c>
      <c r="AH38" s="17" t="str">
        <f aca="false">IF((E38="z"),H38," ")</f>
        <v> </v>
      </c>
      <c r="AI38" s="17" t="str">
        <f aca="false">IF((E38="fa"),H38," ")</f>
        <v> </v>
      </c>
      <c r="AJ38" s="17" t="str">
        <f aca="false">IF((E38="e"),H38," ")</f>
        <v> </v>
      </c>
      <c r="BZ38" s="2" t="s">
        <v>107</v>
      </c>
    </row>
    <row r="39" customFormat="false" ht="12" hidden="false" customHeight="false" outlineLevel="0" collapsed="false">
      <c r="A39" s="28" t="n">
        <v>46538</v>
      </c>
      <c r="B39" s="2" t="s">
        <v>16</v>
      </c>
      <c r="D39" s="2" t="s">
        <v>150</v>
      </c>
      <c r="E39" s="2" t="s">
        <v>151</v>
      </c>
      <c r="F39" s="30" t="n">
        <v>300</v>
      </c>
      <c r="G39" s="6" t="n">
        <f aca="false">IF(F39&lt;&gt;0,F39*G$2/(100+G$2)," ")</f>
        <v>50</v>
      </c>
      <c r="H39" s="6" t="n">
        <f aca="false">IF((F39&lt;&gt;0),F39-G39," ")</f>
        <v>250</v>
      </c>
      <c r="I39" s="5"/>
      <c r="L39" s="7" t="n">
        <f aca="false">IF(F39&lt;&gt;0,F39-K39," ")</f>
        <v>300</v>
      </c>
      <c r="M39" s="8" t="n">
        <f aca="false">IF((F39-K39)&lt;&gt;0,M$1-A39," ")</f>
        <v>-260</v>
      </c>
      <c r="N39" s="5"/>
      <c r="O39" s="17" t="str">
        <f aca="false">IF((E39="s"),H39," ")</f>
        <v> </v>
      </c>
      <c r="P39" s="17" t="str">
        <f aca="false">IF((E39="c"),H39," ")</f>
        <v> </v>
      </c>
      <c r="Q39" s="17" t="str">
        <f aca="false">IF((E39="o"),H39," ")</f>
        <v> </v>
      </c>
      <c r="R39" s="17" t="str">
        <f aca="false">IF((E39="d"),H39," ")</f>
        <v> </v>
      </c>
      <c r="S39" s="17" t="str">
        <f aca="false">IF((E39="w"),H39," ")</f>
        <v> </v>
      </c>
      <c r="T39" s="17" t="str">
        <f aca="false">IF((E39="r"),H39," ")</f>
        <v> </v>
      </c>
      <c r="U39" s="17" t="str">
        <f aca="false">IF((E39="p"),H39," ")</f>
        <v> </v>
      </c>
      <c r="V39" s="17" t="str">
        <f aca="false">IF((E39="t"),H39," ")</f>
        <v> </v>
      </c>
      <c r="W39" s="17" t="str">
        <f aca="false">IF((E39="q"),H39," ")</f>
        <v> </v>
      </c>
      <c r="X39" s="17" t="str">
        <f aca="false">IF((E39="m"),H39," ")</f>
        <v> </v>
      </c>
      <c r="Y39" s="17" t="str">
        <f aca="false">IF((E39="u"),H39," ")</f>
        <v> </v>
      </c>
      <c r="Z39" s="17" t="str">
        <f aca="false">IF((E39="a"),H39," ")</f>
        <v> </v>
      </c>
      <c r="AA39" s="17" t="str">
        <f aca="false">IF((E39="g"),H39," ")</f>
        <v> </v>
      </c>
      <c r="AB39" s="17" t="str">
        <f aca="false">IF((E39="h"),H39," ")</f>
        <v> </v>
      </c>
      <c r="AC39" s="30" t="str">
        <f aca="false">IF((E39="v"),H39," ")</f>
        <v> </v>
      </c>
      <c r="AD39" s="30" t="str">
        <f aca="false">IF((E39="n"),H39," ")</f>
        <v> </v>
      </c>
      <c r="AE39" s="17" t="str">
        <f aca="false">IF((E39="f"),H39," ")</f>
        <v> </v>
      </c>
      <c r="AF39" s="17" t="n">
        <f aca="false">IF((E39="l"),H39," ")</f>
        <v>250</v>
      </c>
      <c r="AG39" s="17" t="str">
        <f aca="false">IF((E39="y"),H39," ")</f>
        <v> </v>
      </c>
      <c r="AH39" s="17" t="str">
        <f aca="false">IF((E39="z"),H39," ")</f>
        <v> </v>
      </c>
      <c r="AI39" s="17" t="str">
        <f aca="false">IF((E39="fa"),H39," ")</f>
        <v> </v>
      </c>
      <c r="AJ39" s="17" t="str">
        <f aca="false">IF((E39="e"),H39," ")</f>
        <v> </v>
      </c>
      <c r="BZ39" s="2" t="s">
        <v>152</v>
      </c>
    </row>
    <row r="40" customFormat="false" ht="12" hidden="false" customHeight="false" outlineLevel="0" collapsed="false">
      <c r="A40" s="28"/>
      <c r="E40" s="2"/>
      <c r="F40" s="30"/>
      <c r="G40" s="6" t="str">
        <f aca="false">IF(F40&lt;&gt;0,F40*G$2/(100+G$2)," ")</f>
        <v> </v>
      </c>
      <c r="H40" s="6" t="str">
        <f aca="false">IF((F40&lt;&gt;0),F40-G40," ")</f>
        <v> </v>
      </c>
      <c r="I40" s="5"/>
      <c r="L40" s="7" t="str">
        <f aca="false">IF(F40&lt;&gt;0,F40-K40," ")</f>
        <v> </v>
      </c>
      <c r="M40" s="8" t="str">
        <f aca="false">IF((F40-K40)&lt;&gt;0,M$1-A40," ")</f>
        <v> </v>
      </c>
      <c r="N40" s="5"/>
      <c r="O40" s="17" t="str">
        <f aca="false">IF((E40="s"),H40," ")</f>
        <v> </v>
      </c>
      <c r="P40" s="17" t="str">
        <f aca="false">IF((E40="c"),H40," ")</f>
        <v> </v>
      </c>
      <c r="Q40" s="17" t="str">
        <f aca="false">IF((E40="o"),H40," ")</f>
        <v> </v>
      </c>
      <c r="R40" s="17" t="str">
        <f aca="false">IF((E40="d"),H40," ")</f>
        <v> </v>
      </c>
      <c r="S40" s="17" t="str">
        <f aca="false">IF((E40="w"),H40," ")</f>
        <v> </v>
      </c>
      <c r="T40" s="17" t="str">
        <f aca="false">IF((E40="r"),H40," ")</f>
        <v> </v>
      </c>
      <c r="U40" s="17" t="str">
        <f aca="false">IF((E40="p"),H40," ")</f>
        <v> </v>
      </c>
      <c r="V40" s="17" t="str">
        <f aca="false">IF((E40="t"),H40," ")</f>
        <v> </v>
      </c>
      <c r="W40" s="17" t="str">
        <f aca="false">IF((E40="q"),H40," ")</f>
        <v> </v>
      </c>
      <c r="X40" s="17" t="str">
        <f aca="false">IF((E40="m"),H40," ")</f>
        <v> </v>
      </c>
      <c r="Y40" s="17" t="str">
        <f aca="false">IF((E40="u"),H40," ")</f>
        <v> </v>
      </c>
      <c r="Z40" s="17" t="str">
        <f aca="false">IF((E40="a"),H40," ")</f>
        <v> </v>
      </c>
      <c r="AA40" s="17" t="str">
        <f aca="false">IF((E40="g"),H40," ")</f>
        <v> </v>
      </c>
      <c r="AB40" s="17" t="str">
        <f aca="false">IF((E40="h"),H40," ")</f>
        <v> </v>
      </c>
      <c r="AC40" s="30" t="str">
        <f aca="false">IF((E40="v"),H40," ")</f>
        <v> </v>
      </c>
      <c r="AD40" s="30" t="str">
        <f aca="false">IF((E40="n"),H40," ")</f>
        <v> </v>
      </c>
      <c r="AE40" s="17" t="str">
        <f aca="false">IF((E40="f"),H40," ")</f>
        <v> </v>
      </c>
      <c r="AF40" s="17" t="str">
        <f aca="false">IF((E40="l"),H40," ")</f>
        <v> </v>
      </c>
      <c r="AG40" s="17" t="str">
        <f aca="false">IF((E40="y"),H40," ")</f>
        <v> </v>
      </c>
      <c r="AH40" s="17" t="str">
        <f aca="false">IF((E40="z"),H40," ")</f>
        <v> </v>
      </c>
      <c r="AI40" s="17" t="str">
        <f aca="false">IF((E40="fa"),H40," ")</f>
        <v> </v>
      </c>
      <c r="AJ40" s="17" t="str">
        <f aca="false">IF((E40="e"),H40," ")</f>
        <v> </v>
      </c>
    </row>
    <row r="41" customFormat="false" ht="12" hidden="false" customHeight="false" outlineLevel="0" collapsed="false">
      <c r="A41" s="28"/>
      <c r="E41" s="2"/>
      <c r="F41" s="30"/>
      <c r="G41" s="6" t="str">
        <f aca="false">IF(F41&lt;&gt;0,F41*G$2/(100+G$2)," ")</f>
        <v> </v>
      </c>
      <c r="H41" s="6" t="str">
        <f aca="false">IF((F41&lt;&gt;0),F41-G41," ")</f>
        <v> </v>
      </c>
      <c r="I41" s="5"/>
      <c r="L41" s="7" t="str">
        <f aca="false">IF(F41&lt;&gt;0,F41-K41," ")</f>
        <v> </v>
      </c>
      <c r="M41" s="8" t="str">
        <f aca="false">IF((F41-K41)&lt;&gt;0,M$1-A41," ")</f>
        <v> </v>
      </c>
      <c r="N41" s="5"/>
      <c r="O41" s="17" t="str">
        <f aca="false">IF((E41="s"),H41," ")</f>
        <v> </v>
      </c>
      <c r="P41" s="17" t="str">
        <f aca="false">IF((E41="c"),H41," ")</f>
        <v> </v>
      </c>
      <c r="Q41" s="17" t="str">
        <f aca="false">IF((E41="o"),H41," ")</f>
        <v> </v>
      </c>
      <c r="R41" s="17" t="str">
        <f aca="false">IF((E41="d"),H41," ")</f>
        <v> </v>
      </c>
      <c r="S41" s="17" t="str">
        <f aca="false">IF((E41="w"),H41," ")</f>
        <v> </v>
      </c>
      <c r="T41" s="17" t="str">
        <f aca="false">IF((E41="r"),H41," ")</f>
        <v> </v>
      </c>
      <c r="U41" s="17" t="str">
        <f aca="false">IF((E41="p"),H41," ")</f>
        <v> </v>
      </c>
      <c r="V41" s="17" t="str">
        <f aca="false">IF((E41="t"),H41," ")</f>
        <v> </v>
      </c>
      <c r="W41" s="17" t="str">
        <f aca="false">IF((E41="q"),H41," ")</f>
        <v> </v>
      </c>
      <c r="X41" s="17" t="str">
        <f aca="false">IF((E41="m"),H41," ")</f>
        <v> </v>
      </c>
      <c r="Y41" s="17" t="str">
        <f aca="false">IF((E41="u"),H41," ")</f>
        <v> </v>
      </c>
      <c r="Z41" s="17" t="str">
        <f aca="false">IF((E41="a"),H41," ")</f>
        <v> </v>
      </c>
      <c r="AA41" s="17" t="str">
        <f aca="false">IF((E41="g"),H41," ")</f>
        <v> </v>
      </c>
      <c r="AB41" s="17" t="str">
        <f aca="false">IF((E41="h"),H41," ")</f>
        <v> </v>
      </c>
      <c r="AC41" s="30" t="str">
        <f aca="false">IF((E41="v"),H41," ")</f>
        <v> </v>
      </c>
      <c r="AD41" s="30" t="str">
        <f aca="false">IF((E41="n"),H41," ")</f>
        <v> </v>
      </c>
      <c r="AE41" s="17" t="str">
        <f aca="false">IF((E41="f"),H41," ")</f>
        <v> </v>
      </c>
      <c r="AF41" s="17" t="str">
        <f aca="false">IF((E41="l"),H41," ")</f>
        <v> </v>
      </c>
      <c r="AG41" s="17" t="str">
        <f aca="false">IF((E41="y"),H41," ")</f>
        <v> </v>
      </c>
      <c r="AH41" s="17" t="str">
        <f aca="false">IF((E41="z"),H41," ")</f>
        <v> </v>
      </c>
      <c r="AI41" s="17" t="str">
        <f aca="false">IF((E41="fa"),H41," ")</f>
        <v> </v>
      </c>
      <c r="AJ41" s="17" t="str">
        <f aca="false">IF((E41="e"),H41," ")</f>
        <v> </v>
      </c>
    </row>
    <row r="42" customFormat="false" ht="12" hidden="false" customHeight="false" outlineLevel="0" collapsed="false">
      <c r="A42" s="28"/>
      <c r="E42" s="2"/>
      <c r="F42" s="30"/>
      <c r="G42" s="6" t="str">
        <f aca="false">IF(F42&lt;&gt;0,F42*G$2/(100+G$2)," ")</f>
        <v> </v>
      </c>
      <c r="H42" s="6" t="str">
        <f aca="false">IF((F42&lt;&gt;0),F42-G42," ")</f>
        <v> </v>
      </c>
      <c r="I42" s="5"/>
      <c r="L42" s="7" t="str">
        <f aca="false">IF(F42&lt;&gt;0,F42-K42," ")</f>
        <v> </v>
      </c>
      <c r="M42" s="8" t="str">
        <f aca="false">IF((F42-K42)&lt;&gt;0,M$1-A42," ")</f>
        <v> </v>
      </c>
      <c r="N42" s="5"/>
      <c r="O42" s="17" t="str">
        <f aca="false">IF((E42="s"),H42," ")</f>
        <v> </v>
      </c>
      <c r="P42" s="17" t="str">
        <f aca="false">IF((E42="c"),H42," ")</f>
        <v> </v>
      </c>
      <c r="Q42" s="17" t="str">
        <f aca="false">IF((E42="o"),H42," ")</f>
        <v> </v>
      </c>
      <c r="R42" s="17" t="str">
        <f aca="false">IF((E42="d"),H42," ")</f>
        <v> </v>
      </c>
      <c r="S42" s="17" t="str">
        <f aca="false">IF((E42="w"),H42," ")</f>
        <v> </v>
      </c>
      <c r="T42" s="17" t="str">
        <f aca="false">IF((E42="r"),H42," ")</f>
        <v> </v>
      </c>
      <c r="U42" s="17" t="str">
        <f aca="false">IF((E42="p"),H42," ")</f>
        <v> </v>
      </c>
      <c r="V42" s="17" t="str">
        <f aca="false">IF((E42="t"),H42," ")</f>
        <v> </v>
      </c>
      <c r="W42" s="17" t="str">
        <f aca="false">IF((E42="q"),H42," ")</f>
        <v> </v>
      </c>
      <c r="X42" s="17" t="str">
        <f aca="false">IF((E42="m"),H42," ")</f>
        <v> </v>
      </c>
      <c r="Y42" s="17" t="str">
        <f aca="false">IF((E42="u"),H42," ")</f>
        <v> </v>
      </c>
      <c r="Z42" s="17" t="str">
        <f aca="false">IF((E42="a"),H42," ")</f>
        <v> </v>
      </c>
      <c r="AA42" s="17" t="str">
        <f aca="false">IF((E42="g"),H42," ")</f>
        <v> </v>
      </c>
      <c r="AB42" s="17" t="str">
        <f aca="false">IF((E42="h"),H42," ")</f>
        <v> </v>
      </c>
      <c r="AC42" s="30" t="str">
        <f aca="false">IF((E42="v"),H42," ")</f>
        <v> </v>
      </c>
      <c r="AD42" s="30" t="str">
        <f aca="false">IF((E42="n"),H42," ")</f>
        <v> </v>
      </c>
      <c r="AE42" s="17" t="str">
        <f aca="false">IF((E42="f"),H42," ")</f>
        <v> </v>
      </c>
      <c r="AF42" s="17" t="str">
        <f aca="false">IF((E42="l"),H42," ")</f>
        <v> </v>
      </c>
      <c r="AG42" s="17" t="str">
        <f aca="false">IF((E42="y"),H42," ")</f>
        <v> </v>
      </c>
      <c r="AH42" s="17" t="str">
        <f aca="false">IF((E42="z"),H42," ")</f>
        <v> </v>
      </c>
      <c r="AI42" s="17" t="str">
        <f aca="false">IF((E42="fa"),H42," ")</f>
        <v> </v>
      </c>
      <c r="AJ42" s="17" t="str">
        <f aca="false">IF((E42="e"),H42," ")</f>
        <v> </v>
      </c>
    </row>
    <row r="43" customFormat="false" ht="12" hidden="false" customHeight="false" outlineLevel="0" collapsed="false">
      <c r="A43" s="28"/>
      <c r="E43" s="2"/>
      <c r="F43" s="30"/>
      <c r="G43" s="6" t="str">
        <f aca="false">IF(F43&lt;&gt;0,F43*G$2/(100+G$2)," ")</f>
        <v> </v>
      </c>
      <c r="H43" s="6" t="str">
        <f aca="false">IF((F43&lt;&gt;0),F43-G43," ")</f>
        <v> </v>
      </c>
      <c r="I43" s="5"/>
      <c r="L43" s="7" t="str">
        <f aca="false">IF(F43&lt;&gt;0,F43-K43," ")</f>
        <v> </v>
      </c>
      <c r="M43" s="8" t="str">
        <f aca="false">IF((F43-K43)&lt;&gt;0,M$1-A43," ")</f>
        <v> </v>
      </c>
      <c r="N43" s="5"/>
      <c r="O43" s="17" t="str">
        <f aca="false">IF((E43="s"),H43," ")</f>
        <v> </v>
      </c>
      <c r="P43" s="17" t="str">
        <f aca="false">IF((E43="c"),H43," ")</f>
        <v> </v>
      </c>
      <c r="Q43" s="17" t="str">
        <f aca="false">IF((E43="o"),H43," ")</f>
        <v> </v>
      </c>
      <c r="R43" s="17" t="str">
        <f aca="false">IF((E43="d"),H43," ")</f>
        <v> </v>
      </c>
      <c r="S43" s="17" t="str">
        <f aca="false">IF((E43="w"),H43," ")</f>
        <v> </v>
      </c>
      <c r="T43" s="17" t="str">
        <f aca="false">IF((E43="r"),H43," ")</f>
        <v> </v>
      </c>
      <c r="U43" s="17" t="str">
        <f aca="false">IF((E43="p"),H43," ")</f>
        <v> </v>
      </c>
      <c r="V43" s="17" t="str">
        <f aca="false">IF((E43="t"),H43," ")</f>
        <v> </v>
      </c>
      <c r="W43" s="17" t="str">
        <f aca="false">IF((E43="q"),H43," ")</f>
        <v> </v>
      </c>
      <c r="X43" s="17" t="str">
        <f aca="false">IF((E43="m"),H43," ")</f>
        <v> </v>
      </c>
      <c r="Y43" s="17" t="str">
        <f aca="false">IF((E43="u"),H43," ")</f>
        <v> </v>
      </c>
      <c r="Z43" s="17" t="str">
        <f aca="false">IF((E43="a"),H43," ")</f>
        <v> </v>
      </c>
      <c r="AA43" s="17" t="str">
        <f aca="false">IF((E43="g"),H43," ")</f>
        <v> </v>
      </c>
      <c r="AB43" s="17" t="str">
        <f aca="false">IF((E43="h"),H43," ")</f>
        <v> </v>
      </c>
      <c r="AC43" s="30" t="str">
        <f aca="false">IF((E43="v"),H43," ")</f>
        <v> </v>
      </c>
      <c r="AD43" s="30" t="str">
        <f aca="false">IF((E43="n"),H43," ")</f>
        <v> </v>
      </c>
      <c r="AE43" s="17" t="str">
        <f aca="false">IF((E43="f"),H43," ")</f>
        <v> </v>
      </c>
      <c r="AF43" s="17" t="str">
        <f aca="false">IF((E43="l"),H43," ")</f>
        <v> </v>
      </c>
      <c r="AG43" s="17" t="str">
        <f aca="false">IF((E43="y"),H43," ")</f>
        <v> </v>
      </c>
      <c r="AH43" s="17" t="str">
        <f aca="false">IF((E43="z"),H43," ")</f>
        <v> </v>
      </c>
      <c r="AI43" s="17" t="str">
        <f aca="false">IF((E43="fa"),H43," ")</f>
        <v> </v>
      </c>
      <c r="AJ43" s="17" t="str">
        <f aca="false">IF((E43="e"),H43," ")</f>
        <v> </v>
      </c>
    </row>
    <row r="44" customFormat="false" ht="12" hidden="false" customHeight="false" outlineLevel="0" collapsed="false">
      <c r="A44" s="28"/>
      <c r="E44" s="2"/>
      <c r="F44" s="30"/>
      <c r="G44" s="6" t="str">
        <f aca="false">IF(F44&lt;&gt;0,F44*G$2/(100+G$2)," ")</f>
        <v> </v>
      </c>
      <c r="H44" s="6" t="str">
        <f aca="false">IF((F44&lt;&gt;0),F44-G44," ")</f>
        <v> </v>
      </c>
      <c r="I44" s="5"/>
      <c r="L44" s="7" t="str">
        <f aca="false">IF(F44&lt;&gt;0,F44-K44," ")</f>
        <v> </v>
      </c>
      <c r="M44" s="8" t="str">
        <f aca="false">IF((F44-K44)&lt;&gt;0,M$1-A44," ")</f>
        <v> </v>
      </c>
      <c r="N44" s="5"/>
      <c r="O44" s="17" t="str">
        <f aca="false">IF((E44="s"),H44," ")</f>
        <v> </v>
      </c>
      <c r="P44" s="17" t="str">
        <f aca="false">IF((E44="c"),H44," ")</f>
        <v> </v>
      </c>
      <c r="Q44" s="17" t="str">
        <f aca="false">IF((E44="o"),H44," ")</f>
        <v> </v>
      </c>
      <c r="R44" s="17" t="str">
        <f aca="false">IF((E44="d"),H44," ")</f>
        <v> </v>
      </c>
      <c r="S44" s="17" t="str">
        <f aca="false">IF((E44="w"),H44," ")</f>
        <v> </v>
      </c>
      <c r="T44" s="17" t="str">
        <f aca="false">IF((E44="r"),H44," ")</f>
        <v> </v>
      </c>
      <c r="U44" s="17" t="str">
        <f aca="false">IF((E44="p"),H44," ")</f>
        <v> </v>
      </c>
      <c r="V44" s="17" t="str">
        <f aca="false">IF((E44="t"),H44," ")</f>
        <v> </v>
      </c>
      <c r="W44" s="17" t="str">
        <f aca="false">IF((E44="q"),H44," ")</f>
        <v> </v>
      </c>
      <c r="X44" s="17" t="str">
        <f aca="false">IF((E44="m"),H44," ")</f>
        <v> </v>
      </c>
      <c r="Y44" s="17" t="str">
        <f aca="false">IF((E44="u"),H44," ")</f>
        <v> </v>
      </c>
      <c r="Z44" s="17" t="str">
        <f aca="false">IF((E44="a"),H44," ")</f>
        <v> </v>
      </c>
      <c r="AA44" s="17" t="str">
        <f aca="false">IF((E44="g"),H44," ")</f>
        <v> </v>
      </c>
      <c r="AB44" s="17" t="str">
        <f aca="false">IF((E44="h"),H44," ")</f>
        <v> </v>
      </c>
      <c r="AC44" s="30" t="str">
        <f aca="false">IF((E44="v"),H44," ")</f>
        <v> </v>
      </c>
      <c r="AD44" s="30" t="str">
        <f aca="false">IF((E44="n"),H44," ")</f>
        <v> </v>
      </c>
      <c r="AE44" s="17" t="str">
        <f aca="false">IF((E44="f"),H44," ")</f>
        <v> </v>
      </c>
      <c r="AF44" s="17" t="str">
        <f aca="false">IF((E44="l"),H44," ")</f>
        <v> </v>
      </c>
      <c r="AG44" s="17" t="str">
        <f aca="false">IF((E44="y"),H44," ")</f>
        <v> </v>
      </c>
      <c r="AH44" s="17" t="str">
        <f aca="false">IF((E44="z"),H44," ")</f>
        <v> </v>
      </c>
      <c r="AI44" s="17" t="str">
        <f aca="false">IF((E44="fa"),H44," ")</f>
        <v> </v>
      </c>
      <c r="AJ44" s="17" t="str">
        <f aca="false">IF((E44="e"),H44," ")</f>
        <v> </v>
      </c>
    </row>
    <row r="45" customFormat="false" ht="12" hidden="false" customHeight="false" outlineLevel="0" collapsed="false">
      <c r="A45" s="28"/>
      <c r="E45" s="2"/>
      <c r="F45" s="30"/>
      <c r="G45" s="6" t="str">
        <f aca="false">IF(F45&lt;&gt;0,F45*G$2/(100+G$2)," ")</f>
        <v> </v>
      </c>
      <c r="H45" s="6" t="str">
        <f aca="false">IF((F45&lt;&gt;0),F45-G45," ")</f>
        <v> </v>
      </c>
      <c r="I45" s="5"/>
      <c r="L45" s="7" t="str">
        <f aca="false">IF(F45&lt;&gt;0,F45-K45," ")</f>
        <v> </v>
      </c>
      <c r="M45" s="8" t="str">
        <f aca="false">IF((F45-K45)&lt;&gt;0,M$1-A45," ")</f>
        <v> </v>
      </c>
      <c r="N45" s="5"/>
      <c r="O45" s="17" t="str">
        <f aca="false">IF((E45="s"),H45," ")</f>
        <v> </v>
      </c>
      <c r="P45" s="17" t="str">
        <f aca="false">IF((E45="c"),H45," ")</f>
        <v> </v>
      </c>
      <c r="Q45" s="17" t="str">
        <f aca="false">IF((E45="o"),H45," ")</f>
        <v> </v>
      </c>
      <c r="R45" s="17" t="str">
        <f aca="false">IF((E45="d"),H45," ")</f>
        <v> </v>
      </c>
      <c r="S45" s="17" t="str">
        <f aca="false">IF((E45="w"),H45," ")</f>
        <v> </v>
      </c>
      <c r="T45" s="17" t="str">
        <f aca="false">IF((E45="r"),H45," ")</f>
        <v> </v>
      </c>
      <c r="U45" s="17" t="str">
        <f aca="false">IF((E45="p"),H45," ")</f>
        <v> </v>
      </c>
      <c r="V45" s="17" t="str">
        <f aca="false">IF((E45="t"),H45," ")</f>
        <v> </v>
      </c>
      <c r="W45" s="17" t="str">
        <f aca="false">IF((E45="q"),H45," ")</f>
        <v> </v>
      </c>
      <c r="X45" s="17" t="str">
        <f aca="false">IF((E45="m"),H45," ")</f>
        <v> </v>
      </c>
      <c r="Y45" s="17" t="str">
        <f aca="false">IF((E45="u"),H45," ")</f>
        <v> </v>
      </c>
      <c r="Z45" s="17" t="str">
        <f aca="false">IF((E45="a"),H45," ")</f>
        <v> </v>
      </c>
      <c r="AA45" s="17" t="str">
        <f aca="false">IF((E45="g"),H45," ")</f>
        <v> </v>
      </c>
      <c r="AB45" s="17" t="str">
        <f aca="false">IF((E45="h"),H45," ")</f>
        <v> </v>
      </c>
      <c r="AC45" s="30" t="str">
        <f aca="false">IF((E45="v"),H45," ")</f>
        <v> </v>
      </c>
      <c r="AD45" s="30" t="str">
        <f aca="false">IF((E45="n"),H45," ")</f>
        <v> </v>
      </c>
      <c r="AE45" s="17" t="str">
        <f aca="false">IF((E45="f"),H45," ")</f>
        <v> </v>
      </c>
      <c r="AF45" s="17" t="str">
        <f aca="false">IF((E45="l"),H45," ")</f>
        <v> </v>
      </c>
      <c r="AG45" s="17" t="str">
        <f aca="false">IF((E45="y"),H45," ")</f>
        <v> </v>
      </c>
      <c r="AH45" s="17" t="str">
        <f aca="false">IF((E45="z"),H45," ")</f>
        <v> </v>
      </c>
      <c r="AI45" s="17" t="str">
        <f aca="false">IF((E45="fa"),H45," ")</f>
        <v> </v>
      </c>
      <c r="AJ45" s="17" t="str">
        <f aca="false">IF((E45="e"),H45," ")</f>
        <v> </v>
      </c>
    </row>
    <row r="46" customFormat="false" ht="12" hidden="false" customHeight="false" outlineLevel="0" collapsed="false">
      <c r="A46" s="28"/>
      <c r="E46" s="2"/>
      <c r="F46" s="30"/>
      <c r="G46" s="6" t="str">
        <f aca="false">IF(F46&lt;&gt;0,F46*G$2/(100+G$2)," ")</f>
        <v> </v>
      </c>
      <c r="H46" s="6" t="str">
        <f aca="false">IF((F46&lt;&gt;0),F46-G46," ")</f>
        <v> </v>
      </c>
      <c r="I46" s="5"/>
      <c r="L46" s="7" t="str">
        <f aca="false">IF(F46&lt;&gt;0,F46-K46," ")</f>
        <v> </v>
      </c>
      <c r="M46" s="8" t="str">
        <f aca="false">IF((F46-K46)&lt;&gt;0,M$1-A46," ")</f>
        <v> </v>
      </c>
      <c r="N46" s="5"/>
      <c r="O46" s="17" t="str">
        <f aca="false">IF((E46="s"),H46," ")</f>
        <v> </v>
      </c>
      <c r="P46" s="17" t="str">
        <f aca="false">IF((E46="c"),H46," ")</f>
        <v> </v>
      </c>
      <c r="Q46" s="17" t="str">
        <f aca="false">IF((E46="o"),H46," ")</f>
        <v> </v>
      </c>
      <c r="R46" s="17" t="str">
        <f aca="false">IF((E46="d"),H46," ")</f>
        <v> </v>
      </c>
      <c r="S46" s="17" t="str">
        <f aca="false">IF((E46="w"),H46," ")</f>
        <v> </v>
      </c>
      <c r="T46" s="17" t="str">
        <f aca="false">IF((E46="r"),H46," ")</f>
        <v> </v>
      </c>
      <c r="U46" s="17" t="str">
        <f aca="false">IF((E46="p"),H46," ")</f>
        <v> </v>
      </c>
      <c r="V46" s="17" t="str">
        <f aca="false">IF((E46="t"),H46," ")</f>
        <v> </v>
      </c>
      <c r="W46" s="17" t="str">
        <f aca="false">IF((E46="q"),H46," ")</f>
        <v> </v>
      </c>
      <c r="X46" s="17" t="str">
        <f aca="false">IF((E46="m"),H46," ")</f>
        <v> </v>
      </c>
      <c r="Y46" s="17" t="str">
        <f aca="false">IF((E46="u"),H46," ")</f>
        <v> </v>
      </c>
      <c r="Z46" s="17" t="str">
        <f aca="false">IF((E46="a"),H46," ")</f>
        <v> </v>
      </c>
      <c r="AA46" s="17" t="str">
        <f aca="false">IF((E46="g"),H46," ")</f>
        <v> </v>
      </c>
      <c r="AB46" s="17" t="str">
        <f aca="false">IF((E46="h"),H46," ")</f>
        <v> </v>
      </c>
      <c r="AC46" s="30" t="str">
        <f aca="false">IF((E46="v"),H46," ")</f>
        <v> </v>
      </c>
      <c r="AD46" s="30" t="str">
        <f aca="false">IF((E46="n"),H46," ")</f>
        <v> </v>
      </c>
      <c r="AE46" s="17" t="str">
        <f aca="false">IF((E46="f"),H46," ")</f>
        <v> </v>
      </c>
      <c r="AF46" s="17" t="str">
        <f aca="false">IF((E46="l"),H46," ")</f>
        <v> </v>
      </c>
      <c r="AG46" s="17" t="str">
        <f aca="false">IF((E46="y"),H46," ")</f>
        <v> </v>
      </c>
      <c r="AH46" s="17" t="str">
        <f aca="false">IF((E46="z"),H46," ")</f>
        <v> </v>
      </c>
      <c r="AI46" s="17" t="str">
        <f aca="false">IF((E46="fa"),H46," ")</f>
        <v> </v>
      </c>
      <c r="AJ46" s="17" t="str">
        <f aca="false">IF((E46="e"),H46," ")</f>
        <v> </v>
      </c>
    </row>
    <row r="47" customFormat="false" ht="12" hidden="false" customHeight="false" outlineLevel="0" collapsed="false">
      <c r="A47" s="28"/>
      <c r="E47" s="2"/>
      <c r="F47" s="30"/>
      <c r="G47" s="6" t="str">
        <f aca="false">IF(F47&lt;&gt;0,F47*G$2/(100+G$2)," ")</f>
        <v> </v>
      </c>
      <c r="H47" s="6" t="str">
        <f aca="false">IF((F47&lt;&gt;0),F47-G47," ")</f>
        <v> </v>
      </c>
      <c r="I47" s="5"/>
      <c r="L47" s="7" t="str">
        <f aca="false">IF(F47&lt;&gt;0,F47-K47," ")</f>
        <v> </v>
      </c>
      <c r="M47" s="8" t="str">
        <f aca="false">IF((F47-K47)&lt;&gt;0,M$1-A47," ")</f>
        <v> </v>
      </c>
      <c r="N47" s="5"/>
      <c r="O47" s="17" t="str">
        <f aca="false">IF((E47="s"),H47," ")</f>
        <v> </v>
      </c>
      <c r="P47" s="17" t="str">
        <f aca="false">IF((E47="c"),H47," ")</f>
        <v> </v>
      </c>
      <c r="Q47" s="17" t="str">
        <f aca="false">IF((E47="o"),H47," ")</f>
        <v> </v>
      </c>
      <c r="R47" s="17" t="str">
        <f aca="false">IF((E47="d"),H47," ")</f>
        <v> </v>
      </c>
      <c r="S47" s="17" t="str">
        <f aca="false">IF((E47="w"),H47," ")</f>
        <v> </v>
      </c>
      <c r="T47" s="17" t="str">
        <f aca="false">IF((E47="r"),H47," ")</f>
        <v> </v>
      </c>
      <c r="U47" s="17" t="str">
        <f aca="false">IF((E47="p"),H47," ")</f>
        <v> </v>
      </c>
      <c r="V47" s="17" t="str">
        <f aca="false">IF((E47="t"),H47," ")</f>
        <v> </v>
      </c>
      <c r="W47" s="17" t="str">
        <f aca="false">IF((E47="q"),H47," ")</f>
        <v> </v>
      </c>
      <c r="X47" s="17" t="str">
        <f aca="false">IF((E47="m"),H47," ")</f>
        <v> </v>
      </c>
      <c r="Y47" s="17" t="str">
        <f aca="false">IF((E47="u"),H47," ")</f>
        <v> </v>
      </c>
      <c r="Z47" s="17" t="str">
        <f aca="false">IF((E47="a"),H47," ")</f>
        <v> </v>
      </c>
      <c r="AA47" s="17" t="str">
        <f aca="false">IF((E47="g"),H47," ")</f>
        <v> </v>
      </c>
      <c r="AB47" s="17" t="str">
        <f aca="false">IF((E47="h"),H47," ")</f>
        <v> </v>
      </c>
      <c r="AC47" s="30" t="str">
        <f aca="false">IF((E47="v"),H47," ")</f>
        <v> </v>
      </c>
      <c r="AD47" s="30" t="str">
        <f aca="false">IF((E47="n"),H47," ")</f>
        <v> </v>
      </c>
      <c r="AE47" s="17" t="str">
        <f aca="false">IF((E47="f"),H47," ")</f>
        <v> </v>
      </c>
      <c r="AF47" s="17" t="str">
        <f aca="false">IF((E47="l"),H47," ")</f>
        <v> </v>
      </c>
      <c r="AG47" s="17" t="str">
        <f aca="false">IF((E47="y"),H47," ")</f>
        <v> </v>
      </c>
      <c r="AH47" s="17" t="str">
        <f aca="false">IF((E47="z"),H47," ")</f>
        <v> </v>
      </c>
      <c r="AI47" s="17" t="str">
        <f aca="false">IF((E47="fa"),H47," ")</f>
        <v> </v>
      </c>
      <c r="AJ47" s="17" t="str">
        <f aca="false">IF((E47="e"),H47," ")</f>
        <v> </v>
      </c>
    </row>
    <row r="48" customFormat="false" ht="12" hidden="false" customHeight="false" outlineLevel="0" collapsed="false">
      <c r="A48" s="28"/>
      <c r="E48" s="2"/>
      <c r="F48" s="30"/>
      <c r="G48" s="6" t="str">
        <f aca="false">IF(F48&lt;&gt;0,F48*G$2/(100+G$2)," ")</f>
        <v> </v>
      </c>
      <c r="H48" s="6" t="str">
        <f aca="false">IF((F48&lt;&gt;0),F48-G48," ")</f>
        <v> </v>
      </c>
      <c r="I48" s="5"/>
      <c r="L48" s="7" t="str">
        <f aca="false">IF(F48&lt;&gt;0,F48-K48," ")</f>
        <v> </v>
      </c>
      <c r="M48" s="8" t="str">
        <f aca="false">IF((F48-K48)&lt;&gt;0,M$1-A48," ")</f>
        <v> </v>
      </c>
      <c r="N48" s="5"/>
      <c r="O48" s="17" t="str">
        <f aca="false">IF((E48="s"),H48," ")</f>
        <v> </v>
      </c>
      <c r="P48" s="17" t="str">
        <f aca="false">IF((E48="c"),H48," ")</f>
        <v> </v>
      </c>
      <c r="Q48" s="17" t="str">
        <f aca="false">IF((E48="o"),H48," ")</f>
        <v> </v>
      </c>
      <c r="R48" s="17" t="str">
        <f aca="false">IF((E48="d"),H48," ")</f>
        <v> </v>
      </c>
      <c r="S48" s="17" t="str">
        <f aca="false">IF((E48="w"),H48," ")</f>
        <v> </v>
      </c>
      <c r="T48" s="17" t="str">
        <f aca="false">IF((E48="r"),H48," ")</f>
        <v> </v>
      </c>
      <c r="U48" s="17" t="str">
        <f aca="false">IF((E48="p"),H48," ")</f>
        <v> </v>
      </c>
      <c r="V48" s="17" t="str">
        <f aca="false">IF((E48="t"),H48," ")</f>
        <v> </v>
      </c>
      <c r="W48" s="17" t="str">
        <f aca="false">IF((E48="q"),H48," ")</f>
        <v> </v>
      </c>
      <c r="X48" s="17" t="str">
        <f aca="false">IF((E48="m"),H48," ")</f>
        <v> </v>
      </c>
      <c r="Y48" s="17" t="str">
        <f aca="false">IF((E48="u"),H48," ")</f>
        <v> </v>
      </c>
      <c r="Z48" s="17" t="str">
        <f aca="false">IF((E48="a"),H48," ")</f>
        <v> </v>
      </c>
      <c r="AA48" s="17" t="str">
        <f aca="false">IF((E48="g"),H48," ")</f>
        <v> </v>
      </c>
      <c r="AB48" s="17" t="str">
        <f aca="false">IF((E48="h"),H48," ")</f>
        <v> </v>
      </c>
      <c r="AC48" s="30" t="str">
        <f aca="false">IF((E48="v"),H48," ")</f>
        <v> </v>
      </c>
      <c r="AD48" s="30" t="str">
        <f aca="false">IF((E48="n"),H48," ")</f>
        <v> </v>
      </c>
      <c r="AE48" s="17" t="str">
        <f aca="false">IF((E48="f"),H48," ")</f>
        <v> </v>
      </c>
      <c r="AF48" s="17" t="str">
        <f aca="false">IF((E48="l"),H48," ")</f>
        <v> </v>
      </c>
      <c r="AG48" s="17" t="str">
        <f aca="false">IF((E48="y"),H48," ")</f>
        <v> </v>
      </c>
      <c r="AH48" s="17" t="str">
        <f aca="false">IF((E48="z"),H48," ")</f>
        <v> </v>
      </c>
      <c r="AI48" s="17" t="str">
        <f aca="false">IF((E48="fa"),H48," ")</f>
        <v> </v>
      </c>
      <c r="AJ48" s="17" t="str">
        <f aca="false">IF((E48="e"),H48," ")</f>
        <v> </v>
      </c>
    </row>
    <row r="49" customFormat="false" ht="12" hidden="false" customHeight="false" outlineLevel="0" collapsed="false">
      <c r="A49" s="28"/>
      <c r="E49" s="2"/>
      <c r="F49" s="30"/>
      <c r="G49" s="6" t="str">
        <f aca="false">IF(F49&lt;&gt;0,F49*G$2/(100+G$2)," ")</f>
        <v> </v>
      </c>
      <c r="H49" s="6" t="str">
        <f aca="false">IF((F49&lt;&gt;0),F49-G49," ")</f>
        <v> </v>
      </c>
      <c r="I49" s="5"/>
      <c r="L49" s="7" t="str">
        <f aca="false">IF(F49&lt;&gt;0,F49-K49," ")</f>
        <v> </v>
      </c>
      <c r="M49" s="8" t="str">
        <f aca="false">IF((F49-K49)&lt;&gt;0,M$1-A49," ")</f>
        <v> </v>
      </c>
      <c r="N49" s="5"/>
      <c r="O49" s="17" t="str">
        <f aca="false">IF((E49="s"),H49," ")</f>
        <v> </v>
      </c>
      <c r="P49" s="17" t="str">
        <f aca="false">IF((E49="c"),H49," ")</f>
        <v> </v>
      </c>
      <c r="Q49" s="17" t="str">
        <f aca="false">IF((E49="o"),H49," ")</f>
        <v> </v>
      </c>
      <c r="R49" s="17" t="str">
        <f aca="false">IF((E49="d"),H49," ")</f>
        <v> </v>
      </c>
      <c r="S49" s="17" t="str">
        <f aca="false">IF((E49="w"),H49," ")</f>
        <v> </v>
      </c>
      <c r="T49" s="17" t="str">
        <f aca="false">IF((E49="r"),H49," ")</f>
        <v> </v>
      </c>
      <c r="U49" s="17" t="str">
        <f aca="false">IF((E49="p"),H49," ")</f>
        <v> </v>
      </c>
      <c r="V49" s="17" t="str">
        <f aca="false">IF((E49="t"),H49," ")</f>
        <v> </v>
      </c>
      <c r="W49" s="17" t="str">
        <f aca="false">IF((E49="q"),H49," ")</f>
        <v> </v>
      </c>
      <c r="X49" s="17" t="str">
        <f aca="false">IF((E49="m"),H49," ")</f>
        <v> </v>
      </c>
      <c r="Y49" s="17" t="str">
        <f aca="false">IF((E49="u"),H49," ")</f>
        <v> </v>
      </c>
      <c r="Z49" s="17" t="str">
        <f aca="false">IF((E49="a"),H49," ")</f>
        <v> </v>
      </c>
      <c r="AA49" s="17" t="str">
        <f aca="false">IF((E49="g"),H49," ")</f>
        <v> </v>
      </c>
      <c r="AB49" s="17" t="str">
        <f aca="false">IF((E49="h"),H49," ")</f>
        <v> </v>
      </c>
      <c r="AC49" s="30" t="str">
        <f aca="false">IF((E49="v"),H49," ")</f>
        <v> </v>
      </c>
      <c r="AD49" s="30" t="str">
        <f aca="false">IF((E49="n"),H49," ")</f>
        <v> </v>
      </c>
      <c r="AE49" s="17" t="str">
        <f aca="false">IF((E49="f"),H49," ")</f>
        <v> </v>
      </c>
      <c r="AF49" s="17" t="str">
        <f aca="false">IF((E49="l"),H49," ")</f>
        <v> </v>
      </c>
      <c r="AG49" s="17" t="str">
        <f aca="false">IF((E49="y"),H49," ")</f>
        <v> </v>
      </c>
      <c r="AH49" s="17" t="str">
        <f aca="false">IF((E49="z"),H49," ")</f>
        <v> </v>
      </c>
      <c r="AI49" s="17" t="str">
        <f aca="false">IF((E49="fa"),H49," ")</f>
        <v> </v>
      </c>
      <c r="AJ49" s="17" t="str">
        <f aca="false">IF((E49="e"),H49," ")</f>
        <v> </v>
      </c>
    </row>
    <row r="50" customFormat="false" ht="12" hidden="false" customHeight="false" outlineLevel="0" collapsed="false">
      <c r="A50" s="28"/>
      <c r="E50" s="2"/>
      <c r="F50" s="30"/>
      <c r="G50" s="6" t="str">
        <f aca="false">IF(F50&lt;&gt;0,F50*G$2/(100+G$2)," ")</f>
        <v> </v>
      </c>
      <c r="H50" s="6" t="str">
        <f aca="false">IF((F50&lt;&gt;0),F50-G50," ")</f>
        <v> </v>
      </c>
      <c r="I50" s="5"/>
      <c r="L50" s="7" t="str">
        <f aca="false">IF(F50&lt;&gt;0,F50-K50," ")</f>
        <v> </v>
      </c>
      <c r="M50" s="8" t="str">
        <f aca="false">IF((F50-K50)&lt;&gt;0,M$1-A50," ")</f>
        <v> </v>
      </c>
      <c r="N50" s="5"/>
      <c r="O50" s="17" t="str">
        <f aca="false">IF((E50="s"),H50," ")</f>
        <v> </v>
      </c>
      <c r="P50" s="17" t="str">
        <f aca="false">IF((E50="c"),H50," ")</f>
        <v> </v>
      </c>
      <c r="Q50" s="17" t="str">
        <f aca="false">IF((E50="o"),H50," ")</f>
        <v> </v>
      </c>
      <c r="R50" s="17" t="str">
        <f aca="false">IF((E50="d"),H50," ")</f>
        <v> </v>
      </c>
      <c r="S50" s="17" t="str">
        <f aca="false">IF((E50="w"),H50," ")</f>
        <v> </v>
      </c>
      <c r="T50" s="17" t="str">
        <f aca="false">IF((E50="r"),H50," ")</f>
        <v> </v>
      </c>
      <c r="U50" s="17" t="str">
        <f aca="false">IF((E50="p"),H50," ")</f>
        <v> </v>
      </c>
      <c r="V50" s="17" t="str">
        <f aca="false">IF((E50="t"),H50," ")</f>
        <v> </v>
      </c>
      <c r="W50" s="17" t="str">
        <f aca="false">IF((E50="q"),H50," ")</f>
        <v> </v>
      </c>
      <c r="X50" s="17" t="str">
        <f aca="false">IF((E50="m"),H50," ")</f>
        <v> </v>
      </c>
      <c r="Y50" s="17" t="str">
        <f aca="false">IF((E50="u"),H50," ")</f>
        <v> </v>
      </c>
      <c r="Z50" s="17" t="str">
        <f aca="false">IF((E50="a"),H50," ")</f>
        <v> </v>
      </c>
      <c r="AA50" s="17" t="str">
        <f aca="false">IF((E50="g"),H50," ")</f>
        <v> </v>
      </c>
      <c r="AB50" s="17" t="str">
        <f aca="false">IF((E50="h"),H50," ")</f>
        <v> </v>
      </c>
      <c r="AC50" s="30" t="str">
        <f aca="false">IF((E50="v"),H50," ")</f>
        <v> </v>
      </c>
      <c r="AD50" s="30" t="str">
        <f aca="false">IF((E50="n"),H50," ")</f>
        <v> </v>
      </c>
      <c r="AE50" s="17" t="str">
        <f aca="false">IF((E50="f"),H50," ")</f>
        <v> </v>
      </c>
      <c r="AF50" s="17" t="str">
        <f aca="false">IF((E50="l"),H50," ")</f>
        <v> </v>
      </c>
      <c r="AG50" s="17" t="str">
        <f aca="false">IF((E50="y"),H50," ")</f>
        <v> </v>
      </c>
      <c r="AH50" s="17" t="str">
        <f aca="false">IF((E50="z"),H50," ")</f>
        <v> </v>
      </c>
      <c r="AI50" s="17" t="str">
        <f aca="false">IF((E50="fa"),H50," ")</f>
        <v> </v>
      </c>
      <c r="AJ50" s="17" t="str">
        <f aca="false">IF((E50="e"),H50," ")</f>
        <v> </v>
      </c>
    </row>
    <row r="51" customFormat="false" ht="12" hidden="false" customHeight="false" outlineLevel="0" collapsed="false">
      <c r="A51" s="28"/>
      <c r="E51" s="2"/>
      <c r="F51" s="30"/>
      <c r="G51" s="6" t="str">
        <f aca="false">IF(F51&lt;&gt;0,F51*G$2/(100+G$2)," ")</f>
        <v> </v>
      </c>
      <c r="H51" s="6" t="str">
        <f aca="false">IF((F51&lt;&gt;0),F51-G51," ")</f>
        <v> </v>
      </c>
      <c r="I51" s="5"/>
      <c r="L51" s="7" t="str">
        <f aca="false">IF(F51&lt;&gt;0,F51-K51," ")</f>
        <v> </v>
      </c>
      <c r="M51" s="8" t="str">
        <f aca="false">IF((F51-K51)&lt;&gt;0,M$1-A51," ")</f>
        <v> </v>
      </c>
      <c r="N51" s="5"/>
      <c r="O51" s="17" t="str">
        <f aca="false">IF((E51="s"),H51," ")</f>
        <v> </v>
      </c>
      <c r="P51" s="17" t="str">
        <f aca="false">IF((E51="c"),H51," ")</f>
        <v> </v>
      </c>
      <c r="Q51" s="17" t="str">
        <f aca="false">IF((E51="o"),H51," ")</f>
        <v> </v>
      </c>
      <c r="R51" s="17" t="str">
        <f aca="false">IF((E51="d"),H51," ")</f>
        <v> </v>
      </c>
      <c r="S51" s="17" t="str">
        <f aca="false">IF((E51="w"),H51," ")</f>
        <v> </v>
      </c>
      <c r="T51" s="17" t="str">
        <f aca="false">IF((E51="r"),H51," ")</f>
        <v> </v>
      </c>
      <c r="U51" s="17" t="str">
        <f aca="false">IF((E51="p"),H51," ")</f>
        <v> </v>
      </c>
      <c r="V51" s="17" t="str">
        <f aca="false">IF((E51="t"),H51," ")</f>
        <v> </v>
      </c>
      <c r="W51" s="17" t="str">
        <f aca="false">IF((E51="q"),H51," ")</f>
        <v> </v>
      </c>
      <c r="X51" s="17" t="str">
        <f aca="false">IF((E51="m"),H51," ")</f>
        <v> </v>
      </c>
      <c r="Y51" s="17" t="str">
        <f aca="false">IF((E51="u"),H51," ")</f>
        <v> </v>
      </c>
      <c r="Z51" s="17" t="str">
        <f aca="false">IF((E51="a"),H51," ")</f>
        <v> </v>
      </c>
      <c r="AA51" s="17" t="str">
        <f aca="false">IF((E51="g"),H51," ")</f>
        <v> </v>
      </c>
      <c r="AB51" s="17" t="str">
        <f aca="false">IF((E51="h"),H51," ")</f>
        <v> </v>
      </c>
      <c r="AC51" s="30" t="str">
        <f aca="false">IF((E51="v"),H51," ")</f>
        <v> </v>
      </c>
      <c r="AD51" s="30" t="str">
        <f aca="false">IF((E51="n"),H51," ")</f>
        <v> </v>
      </c>
      <c r="AE51" s="17" t="str">
        <f aca="false">IF((E51="f"),H51," ")</f>
        <v> </v>
      </c>
      <c r="AF51" s="17" t="str">
        <f aca="false">IF((E51="l"),H51," ")</f>
        <v> </v>
      </c>
      <c r="AG51" s="17" t="str">
        <f aca="false">IF((E51="y"),H51," ")</f>
        <v> </v>
      </c>
      <c r="AH51" s="17" t="str">
        <f aca="false">IF((E51="z"),H51," ")</f>
        <v> </v>
      </c>
      <c r="AI51" s="17" t="str">
        <f aca="false">IF((E51="fa"),H51," ")</f>
        <v> </v>
      </c>
      <c r="AJ51" s="17" t="str">
        <f aca="false">IF((E51="e"),H51," ")</f>
        <v> </v>
      </c>
    </row>
    <row r="52" customFormat="false" ht="12" hidden="false" customHeight="false" outlineLevel="0" collapsed="false">
      <c r="A52" s="28"/>
      <c r="E52" s="2"/>
      <c r="F52" s="30"/>
      <c r="G52" s="6" t="str">
        <f aca="false">IF(F52&lt;&gt;0,F52*G$2/(100+G$2)," ")</f>
        <v> </v>
      </c>
      <c r="H52" s="6" t="str">
        <f aca="false">IF((F52&lt;&gt;0),F52-G52," ")</f>
        <v> </v>
      </c>
      <c r="I52" s="5"/>
      <c r="L52" s="7" t="str">
        <f aca="false">IF(F52&lt;&gt;0,F52-K52," ")</f>
        <v> </v>
      </c>
      <c r="M52" s="8" t="str">
        <f aca="false">IF((F52-K52)&lt;&gt;0,M$1-A52," ")</f>
        <v> </v>
      </c>
      <c r="N52" s="5"/>
      <c r="O52" s="17" t="str">
        <f aca="false">IF((E52="s"),H52," ")</f>
        <v> </v>
      </c>
      <c r="P52" s="17" t="str">
        <f aca="false">IF((E52="c"),H52," ")</f>
        <v> </v>
      </c>
      <c r="Q52" s="17" t="str">
        <f aca="false">IF((E52="o"),H52," ")</f>
        <v> </v>
      </c>
      <c r="R52" s="17" t="str">
        <f aca="false">IF((E52="d"),H52," ")</f>
        <v> </v>
      </c>
      <c r="S52" s="17" t="str">
        <f aca="false">IF((E52="w"),H52," ")</f>
        <v> </v>
      </c>
      <c r="T52" s="17" t="str">
        <f aca="false">IF((E52="r"),H52," ")</f>
        <v> </v>
      </c>
      <c r="U52" s="17" t="str">
        <f aca="false">IF((E52="p"),H52," ")</f>
        <v> </v>
      </c>
      <c r="V52" s="17" t="str">
        <f aca="false">IF((E52="t"),H52," ")</f>
        <v> </v>
      </c>
      <c r="W52" s="17" t="str">
        <f aca="false">IF((E52="q"),H52," ")</f>
        <v> </v>
      </c>
      <c r="X52" s="17" t="str">
        <f aca="false">IF((E52="m"),H52," ")</f>
        <v> </v>
      </c>
      <c r="Y52" s="17" t="str">
        <f aca="false">IF((E52="u"),H52," ")</f>
        <v> </v>
      </c>
      <c r="Z52" s="17" t="str">
        <f aca="false">IF((E52="a"),H52," ")</f>
        <v> </v>
      </c>
      <c r="AA52" s="17" t="str">
        <f aca="false">IF((E52="g"),H52," ")</f>
        <v> </v>
      </c>
      <c r="AB52" s="17" t="str">
        <f aca="false">IF((E52="h"),H52," ")</f>
        <v> </v>
      </c>
      <c r="AC52" s="30" t="str">
        <f aca="false">IF((E52="v"),H52," ")</f>
        <v> </v>
      </c>
      <c r="AD52" s="30" t="str">
        <f aca="false">IF((E52="n"),H52," ")</f>
        <v> </v>
      </c>
      <c r="AE52" s="17" t="str">
        <f aca="false">IF((E52="f"),H52," ")</f>
        <v> </v>
      </c>
      <c r="AF52" s="17" t="str">
        <f aca="false">IF((E52="l"),H52," ")</f>
        <v> </v>
      </c>
      <c r="AG52" s="17" t="str">
        <f aca="false">IF((E52="y"),H52," ")</f>
        <v> </v>
      </c>
      <c r="AH52" s="17" t="str">
        <f aca="false">IF((E52="z"),H52," ")</f>
        <v> </v>
      </c>
      <c r="AI52" s="17" t="str">
        <f aca="false">IF((E52="fa"),H52," ")</f>
        <v> </v>
      </c>
      <c r="AJ52" s="17" t="str">
        <f aca="false">IF((E52="e"),H52," ")</f>
        <v> </v>
      </c>
    </row>
    <row r="53" customFormat="false" ht="12" hidden="false" customHeight="false" outlineLevel="0" collapsed="false">
      <c r="A53" s="28"/>
      <c r="E53" s="2"/>
      <c r="F53" s="30"/>
      <c r="G53" s="6" t="str">
        <f aca="false">IF(F53&lt;&gt;0,F53*G$2/(100+G$2)," ")</f>
        <v> </v>
      </c>
      <c r="H53" s="6" t="str">
        <f aca="false">IF((F53&lt;&gt;0),F53-G53," ")</f>
        <v> </v>
      </c>
      <c r="I53" s="5"/>
      <c r="L53" s="7" t="str">
        <f aca="false">IF(F53&lt;&gt;0,F53-K53," ")</f>
        <v> </v>
      </c>
      <c r="M53" s="8" t="str">
        <f aca="false">IF((F53-K53)&lt;&gt;0,M$1-A53," ")</f>
        <v> </v>
      </c>
      <c r="N53" s="5"/>
      <c r="O53" s="17" t="str">
        <f aca="false">IF((E53="s"),H53," ")</f>
        <v> </v>
      </c>
      <c r="P53" s="17" t="str">
        <f aca="false">IF((E53="c"),H53," ")</f>
        <v> </v>
      </c>
      <c r="Q53" s="17" t="str">
        <f aca="false">IF((E53="o"),H53," ")</f>
        <v> </v>
      </c>
      <c r="R53" s="17" t="str">
        <f aca="false">IF((E53="d"),H53," ")</f>
        <v> </v>
      </c>
      <c r="S53" s="17" t="str">
        <f aca="false">IF((E53="w"),H53," ")</f>
        <v> </v>
      </c>
      <c r="T53" s="17" t="str">
        <f aca="false">IF((E53="r"),H53," ")</f>
        <v> </v>
      </c>
      <c r="U53" s="17" t="str">
        <f aca="false">IF((E53="p"),H53," ")</f>
        <v> </v>
      </c>
      <c r="V53" s="17" t="str">
        <f aca="false">IF((E53="t"),H53," ")</f>
        <v> </v>
      </c>
      <c r="W53" s="17" t="str">
        <f aca="false">IF((E53="q"),H53," ")</f>
        <v> </v>
      </c>
      <c r="X53" s="17" t="str">
        <f aca="false">IF((E53="m"),H53," ")</f>
        <v> </v>
      </c>
      <c r="Y53" s="17" t="str">
        <f aca="false">IF((E53="u"),H53," ")</f>
        <v> </v>
      </c>
      <c r="Z53" s="17" t="str">
        <f aca="false">IF((E53="a"),H53," ")</f>
        <v> </v>
      </c>
      <c r="AA53" s="17" t="str">
        <f aca="false">IF((E53="g"),H53," ")</f>
        <v> </v>
      </c>
      <c r="AB53" s="17" t="str">
        <f aca="false">IF((E53="h"),H53," ")</f>
        <v> </v>
      </c>
      <c r="AC53" s="30" t="str">
        <f aca="false">IF((E53="v"),H53," ")</f>
        <v> </v>
      </c>
      <c r="AD53" s="30" t="str">
        <f aca="false">IF((E53="n"),H53," ")</f>
        <v> </v>
      </c>
      <c r="AE53" s="17" t="str">
        <f aca="false">IF((E53="f"),H53," ")</f>
        <v> </v>
      </c>
      <c r="AF53" s="17" t="str">
        <f aca="false">IF((E53="l"),H53," ")</f>
        <v> </v>
      </c>
      <c r="AG53" s="17" t="str">
        <f aca="false">IF((E53="y"),H53," ")</f>
        <v> </v>
      </c>
      <c r="AH53" s="17" t="str">
        <f aca="false">IF((E53="z"),H53," ")</f>
        <v> </v>
      </c>
      <c r="AI53" s="17" t="str">
        <f aca="false">IF((E53="fa"),H53," ")</f>
        <v> </v>
      </c>
      <c r="AJ53" s="17" t="str">
        <f aca="false">IF((E53="e"),H53," ")</f>
        <v> </v>
      </c>
    </row>
    <row r="54" customFormat="false" ht="12" hidden="false" customHeight="false" outlineLevel="0" collapsed="false">
      <c r="A54" s="28"/>
      <c r="E54" s="2"/>
      <c r="F54" s="30"/>
      <c r="G54" s="6" t="str">
        <f aca="false">IF(F54&lt;&gt;0,F54*G$2/(100+G$2)," ")</f>
        <v> </v>
      </c>
      <c r="H54" s="6" t="str">
        <f aca="false">IF((F54&lt;&gt;0),F54-G54," ")</f>
        <v> </v>
      </c>
      <c r="I54" s="5"/>
      <c r="L54" s="7" t="str">
        <f aca="false">IF(F54&lt;&gt;0,F54-K54," ")</f>
        <v> </v>
      </c>
      <c r="M54" s="8" t="str">
        <f aca="false">IF((F54-K54)&lt;&gt;0,M$1-A54," ")</f>
        <v> </v>
      </c>
      <c r="N54" s="5"/>
      <c r="O54" s="17" t="str">
        <f aca="false">IF((E54="s"),H54," ")</f>
        <v> </v>
      </c>
      <c r="P54" s="17" t="str">
        <f aca="false">IF((E54="c"),H54," ")</f>
        <v> </v>
      </c>
      <c r="Q54" s="17" t="str">
        <f aca="false">IF((E54="o"),H54," ")</f>
        <v> </v>
      </c>
      <c r="R54" s="17" t="str">
        <f aca="false">IF((E54="d"),H54," ")</f>
        <v> </v>
      </c>
      <c r="S54" s="17" t="str">
        <f aca="false">IF((E54="w"),H54," ")</f>
        <v> </v>
      </c>
      <c r="T54" s="17" t="str">
        <f aca="false">IF((E54="r"),H54," ")</f>
        <v> </v>
      </c>
      <c r="U54" s="17" t="str">
        <f aca="false">IF((E54="p"),H54," ")</f>
        <v> </v>
      </c>
      <c r="V54" s="17" t="str">
        <f aca="false">IF((E54="t"),H54," ")</f>
        <v> </v>
      </c>
      <c r="W54" s="17" t="str">
        <f aca="false">IF((E54="q"),H54," ")</f>
        <v> </v>
      </c>
      <c r="X54" s="17" t="str">
        <f aca="false">IF((E54="m"),H54," ")</f>
        <v> </v>
      </c>
      <c r="Y54" s="17" t="str">
        <f aca="false">IF((E54="u"),H54," ")</f>
        <v> </v>
      </c>
      <c r="Z54" s="17" t="str">
        <f aca="false">IF((E54="a"),H54," ")</f>
        <v> </v>
      </c>
      <c r="AA54" s="17" t="str">
        <f aca="false">IF((E54="g"),H54," ")</f>
        <v> </v>
      </c>
      <c r="AB54" s="17" t="str">
        <f aca="false">IF((E54="h"),H54," ")</f>
        <v> </v>
      </c>
      <c r="AC54" s="30" t="str">
        <f aca="false">IF((E54="v"),H54," ")</f>
        <v> </v>
      </c>
      <c r="AD54" s="30" t="str">
        <f aca="false">IF((E54="n"),H54," ")</f>
        <v> </v>
      </c>
      <c r="AE54" s="17" t="str">
        <f aca="false">IF((E54="f"),H54," ")</f>
        <v> </v>
      </c>
      <c r="AF54" s="17" t="str">
        <f aca="false">IF((E54="l"),H54," ")</f>
        <v> </v>
      </c>
      <c r="AG54" s="17" t="str">
        <f aca="false">IF((E54="y"),H54," ")</f>
        <v> </v>
      </c>
      <c r="AH54" s="17" t="str">
        <f aca="false">IF((E54="z"),H54," ")</f>
        <v> </v>
      </c>
      <c r="AI54" s="17" t="str">
        <f aca="false">IF((E54="fa"),H54," ")</f>
        <v> </v>
      </c>
      <c r="AJ54" s="17" t="str">
        <f aca="false">IF((E54="e"),H54," ")</f>
        <v> </v>
      </c>
    </row>
    <row r="55" customFormat="false" ht="12" hidden="false" customHeight="false" outlineLevel="0" collapsed="false">
      <c r="A55" s="28"/>
      <c r="E55" s="2"/>
      <c r="F55" s="30"/>
      <c r="G55" s="6" t="str">
        <f aca="false">IF(F55&lt;&gt;0,F55*G$2/(100+G$2)," ")</f>
        <v> </v>
      </c>
      <c r="H55" s="6" t="str">
        <f aca="false">IF((F55&lt;&gt;0),F55-G55," ")</f>
        <v> </v>
      </c>
      <c r="I55" s="5"/>
      <c r="L55" s="7" t="str">
        <f aca="false">IF(F55&lt;&gt;0,F55-K55," ")</f>
        <v> </v>
      </c>
      <c r="M55" s="8" t="str">
        <f aca="false">IF((F55-K55)&lt;&gt;0,M$1-A55," ")</f>
        <v> </v>
      </c>
      <c r="N55" s="5"/>
      <c r="O55" s="17" t="str">
        <f aca="false">IF((E55="s"),H55," ")</f>
        <v> </v>
      </c>
      <c r="P55" s="17" t="str">
        <f aca="false">IF((E55="c"),H55," ")</f>
        <v> </v>
      </c>
      <c r="Q55" s="17" t="str">
        <f aca="false">IF((E55="o"),H55," ")</f>
        <v> </v>
      </c>
      <c r="R55" s="17" t="str">
        <f aca="false">IF((E55="d"),H55," ")</f>
        <v> </v>
      </c>
      <c r="S55" s="17" t="str">
        <f aca="false">IF((E55="w"),H55," ")</f>
        <v> </v>
      </c>
      <c r="T55" s="17" t="str">
        <f aca="false">IF((E55="r"),H55," ")</f>
        <v> </v>
      </c>
      <c r="U55" s="17" t="str">
        <f aca="false">IF((E55="p"),H55," ")</f>
        <v> </v>
      </c>
      <c r="V55" s="17" t="str">
        <f aca="false">IF((E55="t"),H55," ")</f>
        <v> </v>
      </c>
      <c r="W55" s="17" t="str">
        <f aca="false">IF((E55="q"),H55," ")</f>
        <v> </v>
      </c>
      <c r="X55" s="17" t="str">
        <f aca="false">IF((E55="m"),H55," ")</f>
        <v> </v>
      </c>
      <c r="Y55" s="17" t="str">
        <f aca="false">IF((E55="u"),H55," ")</f>
        <v> </v>
      </c>
      <c r="Z55" s="17" t="str">
        <f aca="false">IF((E55="a"),H55," ")</f>
        <v> </v>
      </c>
      <c r="AA55" s="17" t="str">
        <f aca="false">IF((E55="g"),H55," ")</f>
        <v> </v>
      </c>
      <c r="AB55" s="17" t="str">
        <f aca="false">IF((E55="h"),H55," ")</f>
        <v> </v>
      </c>
      <c r="AC55" s="30" t="str">
        <f aca="false">IF((E55="v"),H55," ")</f>
        <v> </v>
      </c>
      <c r="AD55" s="30" t="str">
        <f aca="false">IF((E55="n"),H55," ")</f>
        <v> </v>
      </c>
      <c r="AE55" s="17" t="str">
        <f aca="false">IF((E55="f"),H55," ")</f>
        <v> </v>
      </c>
      <c r="AF55" s="17" t="str">
        <f aca="false">IF((E55="l"),H55," ")</f>
        <v> </v>
      </c>
      <c r="AG55" s="17" t="str">
        <f aca="false">IF((E55="y"),H55," ")</f>
        <v> </v>
      </c>
      <c r="AH55" s="17" t="str">
        <f aca="false">IF((E55="z"),H55," ")</f>
        <v> </v>
      </c>
      <c r="AI55" s="17" t="str">
        <f aca="false">IF((E55="fa"),H55," ")</f>
        <v> </v>
      </c>
      <c r="AJ55" s="17" t="str">
        <f aca="false">IF((E55="e"),H55," ")</f>
        <v> </v>
      </c>
    </row>
    <row r="56" customFormat="false" ht="12" hidden="false" customHeight="false" outlineLevel="0" collapsed="false">
      <c r="A56" s="28"/>
      <c r="E56" s="2"/>
      <c r="F56" s="30"/>
      <c r="G56" s="6" t="str">
        <f aca="false">IF(F56&lt;&gt;0,F56*G$2/(100+G$2)," ")</f>
        <v> </v>
      </c>
      <c r="H56" s="6" t="str">
        <f aca="false">IF((F56&lt;&gt;0),F56-G56," ")</f>
        <v> </v>
      </c>
      <c r="I56" s="5"/>
      <c r="L56" s="7" t="str">
        <f aca="false">IF(F56&lt;&gt;0,F56-K56," ")</f>
        <v> </v>
      </c>
      <c r="M56" s="8" t="str">
        <f aca="false">IF((F56-K56)&lt;&gt;0,M$1-A56," ")</f>
        <v> </v>
      </c>
      <c r="N56" s="5"/>
      <c r="O56" s="17" t="str">
        <f aca="false">IF((E56="s"),H56," ")</f>
        <v> </v>
      </c>
      <c r="P56" s="17" t="str">
        <f aca="false">IF((E56="c"),H56," ")</f>
        <v> </v>
      </c>
      <c r="Q56" s="17" t="str">
        <f aca="false">IF((E56="o"),H56," ")</f>
        <v> </v>
      </c>
      <c r="R56" s="17" t="str">
        <f aca="false">IF((E56="d"),H56," ")</f>
        <v> </v>
      </c>
      <c r="S56" s="17" t="str">
        <f aca="false">IF((E56="w"),H56," ")</f>
        <v> </v>
      </c>
      <c r="T56" s="17" t="str">
        <f aca="false">IF((E56="r"),H56," ")</f>
        <v> </v>
      </c>
      <c r="U56" s="17" t="str">
        <f aca="false">IF((E56="p"),H56," ")</f>
        <v> </v>
      </c>
      <c r="V56" s="17" t="str">
        <f aca="false">IF((E56="t"),H56," ")</f>
        <v> </v>
      </c>
      <c r="W56" s="17" t="str">
        <f aca="false">IF((E56="q"),H56," ")</f>
        <v> </v>
      </c>
      <c r="X56" s="17" t="str">
        <f aca="false">IF((E56="m"),H56," ")</f>
        <v> </v>
      </c>
      <c r="Y56" s="17" t="str">
        <f aca="false">IF((E56="u"),H56," ")</f>
        <v> </v>
      </c>
      <c r="Z56" s="17" t="str">
        <f aca="false">IF((E56="a"),H56," ")</f>
        <v> </v>
      </c>
      <c r="AA56" s="17" t="str">
        <f aca="false">IF((E56="g"),H56," ")</f>
        <v> </v>
      </c>
      <c r="AB56" s="17" t="str">
        <f aca="false">IF((E56="h"),H56," ")</f>
        <v> </v>
      </c>
      <c r="AC56" s="30" t="str">
        <f aca="false">IF((E56="v"),H56," ")</f>
        <v> </v>
      </c>
      <c r="AD56" s="30" t="str">
        <f aca="false">IF((E56="n"),H56," ")</f>
        <v> </v>
      </c>
      <c r="AE56" s="17" t="str">
        <f aca="false">IF((E56="f"),H56," ")</f>
        <v> </v>
      </c>
      <c r="AF56" s="17" t="str">
        <f aca="false">IF((E56="l"),H56," ")</f>
        <v> </v>
      </c>
      <c r="AG56" s="17" t="str">
        <f aca="false">IF((E56="y"),H56," ")</f>
        <v> </v>
      </c>
      <c r="AH56" s="17" t="str">
        <f aca="false">IF((E56="z"),H56," ")</f>
        <v> </v>
      </c>
      <c r="AI56" s="17" t="str">
        <f aca="false">IF((E56="fa"),H56," ")</f>
        <v> </v>
      </c>
      <c r="AJ56" s="17" t="str">
        <f aca="false">IF((E56="e"),H56," ")</f>
        <v> </v>
      </c>
    </row>
    <row r="57" customFormat="false" ht="12" hidden="false" customHeight="false" outlineLevel="0" collapsed="false">
      <c r="A57" s="28"/>
      <c r="E57" s="2"/>
      <c r="F57" s="30"/>
      <c r="G57" s="6" t="str">
        <f aca="false">IF(F57&lt;&gt;0,F57*G$2/(100+G$2)," ")</f>
        <v> </v>
      </c>
      <c r="H57" s="6" t="str">
        <f aca="false">IF((F57&lt;&gt;0),F57-G57," ")</f>
        <v> </v>
      </c>
      <c r="I57" s="5"/>
      <c r="L57" s="7" t="str">
        <f aca="false">IF(F57&lt;&gt;0,F57-K57," ")</f>
        <v> </v>
      </c>
      <c r="M57" s="8" t="str">
        <f aca="false">IF((F57-K57)&lt;&gt;0,M$1-A57," ")</f>
        <v> </v>
      </c>
      <c r="N57" s="5"/>
      <c r="O57" s="17" t="str">
        <f aca="false">IF((E57="s"),H57," ")</f>
        <v> </v>
      </c>
      <c r="P57" s="17" t="str">
        <f aca="false">IF((E57="c"),H57," ")</f>
        <v> </v>
      </c>
      <c r="Q57" s="17" t="str">
        <f aca="false">IF((E57="o"),H57," ")</f>
        <v> </v>
      </c>
      <c r="R57" s="17" t="str">
        <f aca="false">IF((E57="d"),H57," ")</f>
        <v> </v>
      </c>
      <c r="S57" s="17" t="str">
        <f aca="false">IF((E57="w"),H57," ")</f>
        <v> </v>
      </c>
      <c r="T57" s="17" t="str">
        <f aca="false">IF((E57="r"),H57," ")</f>
        <v> </v>
      </c>
      <c r="U57" s="17" t="str">
        <f aca="false">IF((E57="p"),H57," ")</f>
        <v> </v>
      </c>
      <c r="V57" s="17" t="str">
        <f aca="false">IF((E57="t"),H57," ")</f>
        <v> </v>
      </c>
      <c r="W57" s="17" t="str">
        <f aca="false">IF((E57="q"),H57," ")</f>
        <v> </v>
      </c>
      <c r="X57" s="17" t="str">
        <f aca="false">IF((E57="m"),H57," ")</f>
        <v> </v>
      </c>
      <c r="Y57" s="17" t="str">
        <f aca="false">IF((E57="u"),H57," ")</f>
        <v> </v>
      </c>
      <c r="Z57" s="17" t="str">
        <f aca="false">IF((E57="a"),H57," ")</f>
        <v> </v>
      </c>
      <c r="AA57" s="17" t="str">
        <f aca="false">IF((E57="g"),H57," ")</f>
        <v> </v>
      </c>
      <c r="AB57" s="17" t="str">
        <f aca="false">IF((E57="h"),H57," ")</f>
        <v> </v>
      </c>
      <c r="AC57" s="30" t="str">
        <f aca="false">IF((E57="v"),H57," ")</f>
        <v> </v>
      </c>
      <c r="AD57" s="30" t="str">
        <f aca="false">IF((E57="n"),H57," ")</f>
        <v> </v>
      </c>
      <c r="AE57" s="17" t="str">
        <f aca="false">IF((E57="f"),H57," ")</f>
        <v> </v>
      </c>
      <c r="AF57" s="17" t="str">
        <f aca="false">IF((E57="l"),H57," ")</f>
        <v> </v>
      </c>
      <c r="AG57" s="17" t="str">
        <f aca="false">IF((E57="y"),H57," ")</f>
        <v> </v>
      </c>
      <c r="AH57" s="17" t="str">
        <f aca="false">IF((E57="z"),H57," ")</f>
        <v> </v>
      </c>
      <c r="AI57" s="17" t="str">
        <f aca="false">IF((E57="fa"),H57," ")</f>
        <v> </v>
      </c>
      <c r="AJ57" s="17" t="str">
        <f aca="false">IF((E57="e"),H57," ")</f>
        <v> </v>
      </c>
    </row>
    <row r="58" customFormat="false" ht="12" hidden="false" customHeight="false" outlineLevel="0" collapsed="false">
      <c r="A58" s="28"/>
      <c r="E58" s="2"/>
      <c r="F58" s="30"/>
      <c r="G58" s="6" t="str">
        <f aca="false">IF(F58&lt;&gt;0,F58*G$2/(100+G$2)," ")</f>
        <v> </v>
      </c>
      <c r="H58" s="6" t="str">
        <f aca="false">IF((F58&lt;&gt;0),F58-G58," ")</f>
        <v> </v>
      </c>
      <c r="I58" s="5"/>
      <c r="L58" s="7" t="str">
        <f aca="false">IF(F58&lt;&gt;0,F58-K58," ")</f>
        <v> </v>
      </c>
      <c r="M58" s="8" t="str">
        <f aca="false">IF((F58-K58)&lt;&gt;0,M$1-A58," ")</f>
        <v> </v>
      </c>
      <c r="N58" s="5"/>
      <c r="O58" s="17" t="str">
        <f aca="false">IF((E58="s"),H58," ")</f>
        <v> </v>
      </c>
      <c r="P58" s="17" t="str">
        <f aca="false">IF((E58="c"),H58," ")</f>
        <v> </v>
      </c>
      <c r="Q58" s="17" t="str">
        <f aca="false">IF((E58="o"),H58," ")</f>
        <v> </v>
      </c>
      <c r="R58" s="17" t="str">
        <f aca="false">IF((E58="d"),H58," ")</f>
        <v> </v>
      </c>
      <c r="S58" s="17" t="str">
        <f aca="false">IF((E58="w"),H58," ")</f>
        <v> </v>
      </c>
      <c r="T58" s="17" t="str">
        <f aca="false">IF((E58="r"),H58," ")</f>
        <v> </v>
      </c>
      <c r="U58" s="17" t="str">
        <f aca="false">IF((E58="p"),H58," ")</f>
        <v> </v>
      </c>
      <c r="V58" s="17" t="str">
        <f aca="false">IF((E58="t"),H58," ")</f>
        <v> </v>
      </c>
      <c r="W58" s="17" t="str">
        <f aca="false">IF((E58="q"),H58," ")</f>
        <v> </v>
      </c>
      <c r="X58" s="17" t="str">
        <f aca="false">IF((E58="m"),H58," ")</f>
        <v> </v>
      </c>
      <c r="Y58" s="17" t="str">
        <f aca="false">IF((E58="u"),H58," ")</f>
        <v> </v>
      </c>
      <c r="Z58" s="17" t="str">
        <f aca="false">IF((E58="a"),H58," ")</f>
        <v> </v>
      </c>
      <c r="AA58" s="17" t="str">
        <f aca="false">IF((E58="g"),H58," ")</f>
        <v> </v>
      </c>
      <c r="AB58" s="17" t="str">
        <f aca="false">IF((E58="h"),H58," ")</f>
        <v> </v>
      </c>
      <c r="AC58" s="30" t="str">
        <f aca="false">IF((E58="v"),H58," ")</f>
        <v> </v>
      </c>
      <c r="AD58" s="30" t="str">
        <f aca="false">IF((E58="n"),H58," ")</f>
        <v> </v>
      </c>
      <c r="AE58" s="17" t="str">
        <f aca="false">IF((E58="f"),H58," ")</f>
        <v> </v>
      </c>
      <c r="AF58" s="17" t="str">
        <f aca="false">IF((E58="l"),H58," ")</f>
        <v> </v>
      </c>
      <c r="AG58" s="17" t="str">
        <f aca="false">IF((E58="y"),H58," ")</f>
        <v> </v>
      </c>
      <c r="AH58" s="17" t="str">
        <f aca="false">IF((E58="z"),H58," ")</f>
        <v> </v>
      </c>
      <c r="AI58" s="17" t="str">
        <f aca="false">IF((E58="fa"),H58," ")</f>
        <v> </v>
      </c>
      <c r="AJ58" s="17" t="str">
        <f aca="false">IF((E58="e"),H58," ")</f>
        <v> </v>
      </c>
    </row>
    <row r="59" customFormat="false" ht="12" hidden="false" customHeight="false" outlineLevel="0" collapsed="false">
      <c r="A59" s="28"/>
      <c r="E59" s="2"/>
      <c r="F59" s="30"/>
      <c r="G59" s="6" t="str">
        <f aca="false">IF(F59&lt;&gt;0,F59*G$2/(100+G$2)," ")</f>
        <v> </v>
      </c>
      <c r="H59" s="6" t="str">
        <f aca="false">IF((F59&lt;&gt;0),F59-G59," ")</f>
        <v> </v>
      </c>
      <c r="I59" s="5"/>
      <c r="L59" s="7" t="str">
        <f aca="false">IF(F59&lt;&gt;0,F59-K59," ")</f>
        <v> </v>
      </c>
      <c r="M59" s="8" t="str">
        <f aca="false">IF((F59-K59)&lt;&gt;0,M$1-A59," ")</f>
        <v> </v>
      </c>
      <c r="N59" s="5"/>
      <c r="O59" s="17" t="str">
        <f aca="false">IF((E59="s"),H59," ")</f>
        <v> </v>
      </c>
      <c r="P59" s="17" t="str">
        <f aca="false">IF((E59="c"),H59," ")</f>
        <v> </v>
      </c>
      <c r="Q59" s="17" t="str">
        <f aca="false">IF((E59="o"),H59," ")</f>
        <v> </v>
      </c>
      <c r="R59" s="17" t="str">
        <f aca="false">IF((E59="d"),H59," ")</f>
        <v> </v>
      </c>
      <c r="S59" s="17" t="str">
        <f aca="false">IF((E59="w"),H59," ")</f>
        <v> </v>
      </c>
      <c r="T59" s="17" t="str">
        <f aca="false">IF((E59="r"),H59," ")</f>
        <v> </v>
      </c>
      <c r="U59" s="17" t="str">
        <f aca="false">IF((E59="p"),H59," ")</f>
        <v> </v>
      </c>
      <c r="V59" s="17" t="str">
        <f aca="false">IF((E59="t"),H59," ")</f>
        <v> </v>
      </c>
      <c r="W59" s="17" t="str">
        <f aca="false">IF((E59="q"),H59," ")</f>
        <v> </v>
      </c>
      <c r="X59" s="17" t="str">
        <f aca="false">IF((E59="m"),H59," ")</f>
        <v> </v>
      </c>
      <c r="Y59" s="17" t="str">
        <f aca="false">IF((E59="u"),H59," ")</f>
        <v> </v>
      </c>
      <c r="Z59" s="17" t="str">
        <f aca="false">IF((E59="a"),H59," ")</f>
        <v> </v>
      </c>
      <c r="AA59" s="17" t="str">
        <f aca="false">IF((E59="g"),H59," ")</f>
        <v> </v>
      </c>
      <c r="AB59" s="17" t="str">
        <f aca="false">IF((E59="h"),H59," ")</f>
        <v> </v>
      </c>
      <c r="AC59" s="30" t="str">
        <f aca="false">IF((E59="v"),H59," ")</f>
        <v> </v>
      </c>
      <c r="AD59" s="30" t="str">
        <f aca="false">IF((E59="n"),H59," ")</f>
        <v> </v>
      </c>
      <c r="AE59" s="17" t="str">
        <f aca="false">IF((E59="f"),H59," ")</f>
        <v> </v>
      </c>
      <c r="AF59" s="17" t="str">
        <f aca="false">IF((E59="l"),H59," ")</f>
        <v> </v>
      </c>
      <c r="AG59" s="17" t="str">
        <f aca="false">IF((E59="y"),H59," ")</f>
        <v> </v>
      </c>
      <c r="AH59" s="17" t="str">
        <f aca="false">IF((E59="z"),H59," ")</f>
        <v> </v>
      </c>
      <c r="AI59" s="17" t="str">
        <f aca="false">IF((E59="fa"),H59," ")</f>
        <v> </v>
      </c>
      <c r="AJ59" s="17" t="str">
        <f aca="false">IF((E59="e"),H59," ")</f>
        <v> </v>
      </c>
    </row>
    <row r="60" customFormat="false" ht="12" hidden="false" customHeight="false" outlineLevel="0" collapsed="false">
      <c r="A60" s="28"/>
      <c r="E60" s="2"/>
      <c r="F60" s="30"/>
      <c r="G60" s="6" t="str">
        <f aca="false">IF(F60&lt;&gt;0,F60*G$2/(100+G$2)," ")</f>
        <v> </v>
      </c>
      <c r="H60" s="6" t="str">
        <f aca="false">IF((F60&lt;&gt;0),F60-G60," ")</f>
        <v> </v>
      </c>
      <c r="I60" s="5"/>
      <c r="L60" s="7" t="str">
        <f aca="false">IF(F60&lt;&gt;0,F60-K60," ")</f>
        <v> </v>
      </c>
      <c r="M60" s="8" t="str">
        <f aca="false">IF((F60-K60)&lt;&gt;0,M$1-A60," ")</f>
        <v> </v>
      </c>
      <c r="N60" s="5"/>
      <c r="O60" s="17" t="str">
        <f aca="false">IF((E60="s"),H60," ")</f>
        <v> </v>
      </c>
      <c r="P60" s="17" t="str">
        <f aca="false">IF((E60="c"),H60," ")</f>
        <v> </v>
      </c>
      <c r="Q60" s="17" t="str">
        <f aca="false">IF((E60="o"),H60," ")</f>
        <v> </v>
      </c>
      <c r="R60" s="17" t="str">
        <f aca="false">IF((E60="d"),H60," ")</f>
        <v> </v>
      </c>
      <c r="S60" s="17" t="str">
        <f aca="false">IF((E60="w"),H60," ")</f>
        <v> </v>
      </c>
      <c r="T60" s="17" t="str">
        <f aca="false">IF((E60="r"),H60," ")</f>
        <v> </v>
      </c>
      <c r="U60" s="17" t="str">
        <f aca="false">IF((E60="p"),H60," ")</f>
        <v> </v>
      </c>
      <c r="V60" s="17" t="str">
        <f aca="false">IF((E60="t"),H60," ")</f>
        <v> </v>
      </c>
      <c r="W60" s="17" t="str">
        <f aca="false">IF((E60="q"),H60," ")</f>
        <v> </v>
      </c>
      <c r="X60" s="17" t="str">
        <f aca="false">IF((E60="m"),H60," ")</f>
        <v> </v>
      </c>
      <c r="Y60" s="17" t="str">
        <f aca="false">IF((E60="u"),H60," ")</f>
        <v> </v>
      </c>
      <c r="Z60" s="17" t="str">
        <f aca="false">IF((E60="a"),H60," ")</f>
        <v> </v>
      </c>
      <c r="AA60" s="17" t="str">
        <f aca="false">IF((E60="g"),H60," ")</f>
        <v> </v>
      </c>
      <c r="AB60" s="17" t="str">
        <f aca="false">IF((E60="h"),H60," ")</f>
        <v> </v>
      </c>
      <c r="AC60" s="30" t="str">
        <f aca="false">IF((E60="v"),H60," ")</f>
        <v> </v>
      </c>
      <c r="AD60" s="30" t="str">
        <f aca="false">IF((E60="n"),H60," ")</f>
        <v> </v>
      </c>
      <c r="AE60" s="17" t="str">
        <f aca="false">IF((E60="f"),H60," ")</f>
        <v> </v>
      </c>
      <c r="AF60" s="17" t="str">
        <f aca="false">IF((E60="l"),H60," ")</f>
        <v> </v>
      </c>
      <c r="AG60" s="17" t="str">
        <f aca="false">IF((E60="y"),H60," ")</f>
        <v> </v>
      </c>
      <c r="AH60" s="17" t="str">
        <f aca="false">IF((E60="z"),H60," ")</f>
        <v> </v>
      </c>
      <c r="AI60" s="17" t="str">
        <f aca="false">IF((E60="fa"),H60," ")</f>
        <v> </v>
      </c>
      <c r="AJ60" s="17" t="str">
        <f aca="false">IF((E60="e"),H60," ")</f>
        <v> </v>
      </c>
    </row>
    <row r="61" customFormat="false" ht="12" hidden="false" customHeight="false" outlineLevel="0" collapsed="false">
      <c r="A61" s="28"/>
      <c r="E61" s="2"/>
      <c r="F61" s="30"/>
      <c r="G61" s="6" t="str">
        <f aca="false">IF(F61&lt;&gt;0,F61*G$2/(100+G$2)," ")</f>
        <v> </v>
      </c>
      <c r="H61" s="6" t="str">
        <f aca="false">IF((F61&lt;&gt;0),F61-G61," ")</f>
        <v> </v>
      </c>
      <c r="I61" s="5"/>
      <c r="L61" s="7" t="str">
        <f aca="false">IF(F61&lt;&gt;0,F61-K61," ")</f>
        <v> </v>
      </c>
      <c r="M61" s="8" t="str">
        <f aca="false">IF((F61-K61)&lt;&gt;0,M$1-A61," ")</f>
        <v> </v>
      </c>
      <c r="N61" s="5"/>
      <c r="O61" s="17" t="str">
        <f aca="false">IF((E61="s"),H61," ")</f>
        <v> </v>
      </c>
      <c r="P61" s="17" t="str">
        <f aca="false">IF((E61="c"),H61," ")</f>
        <v> </v>
      </c>
      <c r="Q61" s="17" t="str">
        <f aca="false">IF((E61="o"),H61," ")</f>
        <v> </v>
      </c>
      <c r="R61" s="17" t="str">
        <f aca="false">IF((E61="d"),H61," ")</f>
        <v> </v>
      </c>
      <c r="S61" s="17" t="str">
        <f aca="false">IF((E61="w"),H61," ")</f>
        <v> </v>
      </c>
      <c r="T61" s="17" t="str">
        <f aca="false">IF((E61="r"),H61," ")</f>
        <v> </v>
      </c>
      <c r="U61" s="17" t="str">
        <f aca="false">IF((E61="p"),H61," ")</f>
        <v> </v>
      </c>
      <c r="V61" s="17" t="str">
        <f aca="false">IF((E61="t"),H61," ")</f>
        <v> </v>
      </c>
      <c r="W61" s="17" t="str">
        <f aca="false">IF((E61="q"),H61," ")</f>
        <v> </v>
      </c>
      <c r="X61" s="17" t="str">
        <f aca="false">IF((E61="m"),H61," ")</f>
        <v> </v>
      </c>
      <c r="Y61" s="17" t="str">
        <f aca="false">IF((E61="u"),H61," ")</f>
        <v> </v>
      </c>
      <c r="Z61" s="17" t="str">
        <f aca="false">IF((E61="a"),H61," ")</f>
        <v> </v>
      </c>
      <c r="AA61" s="17" t="str">
        <f aca="false">IF((E61="g"),H61," ")</f>
        <v> </v>
      </c>
      <c r="AB61" s="17" t="str">
        <f aca="false">IF((E61="h"),H61," ")</f>
        <v> </v>
      </c>
      <c r="AC61" s="30" t="str">
        <f aca="false">IF((E61="v"),H61," ")</f>
        <v> </v>
      </c>
      <c r="AD61" s="30" t="str">
        <f aca="false">IF((E61="n"),H61," ")</f>
        <v> </v>
      </c>
      <c r="AE61" s="17" t="str">
        <f aca="false">IF((E61="f"),H61," ")</f>
        <v> </v>
      </c>
      <c r="AF61" s="17" t="str">
        <f aca="false">IF((E61="l"),H61," ")</f>
        <v> </v>
      </c>
      <c r="AG61" s="17" t="str">
        <f aca="false">IF((E61="y"),H61," ")</f>
        <v> </v>
      </c>
      <c r="AH61" s="17" t="str">
        <f aca="false">IF((E61="z"),H61," ")</f>
        <v> </v>
      </c>
      <c r="AI61" s="17" t="str">
        <f aca="false">IF((E61="fa"),H61," ")</f>
        <v> </v>
      </c>
      <c r="AJ61" s="17" t="str">
        <f aca="false">IF((E61="e"),H61," ")</f>
        <v> </v>
      </c>
    </row>
    <row r="62" customFormat="false" ht="12" hidden="false" customHeight="false" outlineLevel="0" collapsed="false">
      <c r="A62" s="28"/>
      <c r="E62" s="2"/>
      <c r="F62" s="30"/>
      <c r="G62" s="6" t="str">
        <f aca="false">IF(F62&lt;&gt;0,F62*G$2/(100+G$2)," ")</f>
        <v> </v>
      </c>
      <c r="H62" s="6" t="str">
        <f aca="false">IF((F62&lt;&gt;0),F62-G62," ")</f>
        <v> </v>
      </c>
      <c r="I62" s="5"/>
      <c r="L62" s="7" t="str">
        <f aca="false">IF(F62&lt;&gt;0,F62-K62," ")</f>
        <v> </v>
      </c>
      <c r="M62" s="8" t="str">
        <f aca="false">IF((F62-K62)&lt;&gt;0,M$1-A62," ")</f>
        <v> </v>
      </c>
      <c r="N62" s="5"/>
      <c r="O62" s="17" t="str">
        <f aca="false">IF((E62="s"),H62," ")</f>
        <v> </v>
      </c>
      <c r="P62" s="17" t="str">
        <f aca="false">IF((E62="c"),H62," ")</f>
        <v> </v>
      </c>
      <c r="Q62" s="17" t="str">
        <f aca="false">IF((E62="o"),H62," ")</f>
        <v> </v>
      </c>
      <c r="R62" s="17" t="str">
        <f aca="false">IF((E62="d"),H62," ")</f>
        <v> </v>
      </c>
      <c r="S62" s="17" t="str">
        <f aca="false">IF((E62="w"),H62," ")</f>
        <v> </v>
      </c>
      <c r="T62" s="17" t="str">
        <f aca="false">IF((E62="r"),H62," ")</f>
        <v> </v>
      </c>
      <c r="U62" s="17" t="str">
        <f aca="false">IF((E62="p"),H62," ")</f>
        <v> </v>
      </c>
      <c r="V62" s="17" t="str">
        <f aca="false">IF((E62="t"),H62," ")</f>
        <v> </v>
      </c>
      <c r="W62" s="17" t="str">
        <f aca="false">IF((E62="q"),H62," ")</f>
        <v> </v>
      </c>
      <c r="X62" s="17" t="str">
        <f aca="false">IF((E62="m"),H62," ")</f>
        <v> </v>
      </c>
      <c r="Y62" s="17" t="str">
        <f aca="false">IF((E62="u"),H62," ")</f>
        <v> </v>
      </c>
      <c r="Z62" s="17" t="str">
        <f aca="false">IF((E62="a"),H62," ")</f>
        <v> </v>
      </c>
      <c r="AA62" s="17" t="str">
        <f aca="false">IF((E62="g"),H62," ")</f>
        <v> </v>
      </c>
      <c r="AB62" s="17" t="str">
        <f aca="false">IF((E62="h"),H62," ")</f>
        <v> </v>
      </c>
      <c r="AC62" s="30" t="str">
        <f aca="false">IF((E62="v"),H62," ")</f>
        <v> </v>
      </c>
      <c r="AD62" s="30" t="str">
        <f aca="false">IF((E62="n"),H62," ")</f>
        <v> </v>
      </c>
      <c r="AE62" s="17" t="str">
        <f aca="false">IF((E62="f"),H62," ")</f>
        <v> </v>
      </c>
      <c r="AF62" s="17" t="str">
        <f aca="false">IF((E62="l"),H62," ")</f>
        <v> </v>
      </c>
      <c r="AG62" s="17" t="str">
        <f aca="false">IF((E62="y"),H62," ")</f>
        <v> </v>
      </c>
      <c r="AH62" s="17" t="str">
        <f aca="false">IF((E62="z"),H62," ")</f>
        <v> </v>
      </c>
      <c r="AI62" s="17" t="str">
        <f aca="false">IF((E62="fa"),H62," ")</f>
        <v> </v>
      </c>
      <c r="AJ62" s="17" t="str">
        <f aca="false">IF((E62="e"),H62," ")</f>
        <v> </v>
      </c>
    </row>
    <row r="63" customFormat="false" ht="12" hidden="false" customHeight="false" outlineLevel="0" collapsed="false">
      <c r="A63" s="28"/>
      <c r="E63" s="2"/>
      <c r="F63" s="30"/>
      <c r="G63" s="6" t="str">
        <f aca="false">IF(F63&lt;&gt;0,F63*G$2/(100+G$2)," ")</f>
        <v> </v>
      </c>
      <c r="H63" s="6" t="str">
        <f aca="false">IF((F63&lt;&gt;0),F63-G63," ")</f>
        <v> </v>
      </c>
      <c r="I63" s="5"/>
      <c r="L63" s="7" t="str">
        <f aca="false">IF(F63&lt;&gt;0,F63-K63," ")</f>
        <v> </v>
      </c>
      <c r="M63" s="8" t="str">
        <f aca="false">IF((F63-K63)&lt;&gt;0,M$1-A63," ")</f>
        <v> </v>
      </c>
      <c r="N63" s="5"/>
      <c r="O63" s="17" t="str">
        <f aca="false">IF((E63="s"),H63," ")</f>
        <v> </v>
      </c>
      <c r="P63" s="17" t="str">
        <f aca="false">IF((E63="c"),H63," ")</f>
        <v> </v>
      </c>
      <c r="Q63" s="17" t="str">
        <f aca="false">IF((E63="o"),H63," ")</f>
        <v> </v>
      </c>
      <c r="R63" s="17" t="str">
        <f aca="false">IF((E63="d"),H63," ")</f>
        <v> </v>
      </c>
      <c r="S63" s="17" t="str">
        <f aca="false">IF((E63="w"),H63," ")</f>
        <v> </v>
      </c>
      <c r="T63" s="17" t="str">
        <f aca="false">IF((E63="r"),H63," ")</f>
        <v> </v>
      </c>
      <c r="U63" s="17" t="str">
        <f aca="false">IF((E63="p"),H63," ")</f>
        <v> </v>
      </c>
      <c r="V63" s="17" t="str">
        <f aca="false">IF((E63="t"),H63," ")</f>
        <v> </v>
      </c>
      <c r="W63" s="17" t="str">
        <f aca="false">IF((E63="q"),H63," ")</f>
        <v> </v>
      </c>
      <c r="X63" s="17" t="str">
        <f aca="false">IF((E63="m"),H63," ")</f>
        <v> </v>
      </c>
      <c r="Y63" s="17" t="str">
        <f aca="false">IF((E63="u"),H63," ")</f>
        <v> </v>
      </c>
      <c r="Z63" s="17" t="str">
        <f aca="false">IF((E63="a"),H63," ")</f>
        <v> </v>
      </c>
      <c r="AA63" s="17" t="str">
        <f aca="false">IF((E63="g"),H63," ")</f>
        <v> </v>
      </c>
      <c r="AB63" s="17" t="str">
        <f aca="false">IF((E63="h"),H63," ")</f>
        <v> </v>
      </c>
      <c r="AC63" s="30" t="str">
        <f aca="false">IF((E63="v"),H63," ")</f>
        <v> </v>
      </c>
      <c r="AD63" s="30" t="str">
        <f aca="false">IF((E63="n"),H63," ")</f>
        <v> </v>
      </c>
      <c r="AE63" s="17" t="str">
        <f aca="false">IF((E63="f"),H63," ")</f>
        <v> </v>
      </c>
      <c r="AF63" s="17" t="str">
        <f aca="false">IF((E63="l"),H63," ")</f>
        <v> </v>
      </c>
      <c r="AG63" s="17" t="str">
        <f aca="false">IF((E63="y"),H63," ")</f>
        <v> </v>
      </c>
      <c r="AH63" s="17" t="str">
        <f aca="false">IF((E63="z"),H63," ")</f>
        <v> </v>
      </c>
      <c r="AI63" s="17" t="str">
        <f aca="false">IF((E63="fa"),H63," ")</f>
        <v> </v>
      </c>
      <c r="AJ63" s="17" t="str">
        <f aca="false">IF((E63="e"),H63," ")</f>
        <v> </v>
      </c>
    </row>
    <row r="64" customFormat="false" ht="12" hidden="false" customHeight="false" outlineLevel="0" collapsed="false">
      <c r="A64" s="28"/>
      <c r="E64" s="2"/>
      <c r="F64" s="30"/>
      <c r="G64" s="6" t="str">
        <f aca="false">IF(F64&lt;&gt;0,F64*G$2/(100+G$2)," ")</f>
        <v> </v>
      </c>
      <c r="H64" s="6" t="str">
        <f aca="false">IF((F64&lt;&gt;0),F64-G64," ")</f>
        <v> </v>
      </c>
      <c r="I64" s="5"/>
      <c r="L64" s="7" t="str">
        <f aca="false">IF(F64&lt;&gt;0,F64-K64," ")</f>
        <v> </v>
      </c>
      <c r="M64" s="8" t="str">
        <f aca="false">IF((F64-K64)&lt;&gt;0,M$1-A64," ")</f>
        <v> </v>
      </c>
      <c r="N64" s="5"/>
      <c r="O64" s="17" t="str">
        <f aca="false">IF((E64="s"),H64," ")</f>
        <v> </v>
      </c>
      <c r="P64" s="17" t="str">
        <f aca="false">IF((E64="c"),H64," ")</f>
        <v> </v>
      </c>
      <c r="Q64" s="17" t="str">
        <f aca="false">IF((E64="o"),H64," ")</f>
        <v> </v>
      </c>
      <c r="R64" s="17" t="str">
        <f aca="false">IF((E64="d"),H64," ")</f>
        <v> </v>
      </c>
      <c r="S64" s="17" t="str">
        <f aca="false">IF((E64="w"),H64," ")</f>
        <v> </v>
      </c>
      <c r="T64" s="17" t="str">
        <f aca="false">IF((E64="r"),H64," ")</f>
        <v> </v>
      </c>
      <c r="U64" s="17" t="str">
        <f aca="false">IF((E64="p"),H64," ")</f>
        <v> </v>
      </c>
      <c r="V64" s="17" t="str">
        <f aca="false">IF((E64="t"),H64," ")</f>
        <v> </v>
      </c>
      <c r="W64" s="17" t="str">
        <f aca="false">IF((E64="q"),H64," ")</f>
        <v> </v>
      </c>
      <c r="X64" s="17" t="str">
        <f aca="false">IF((E64="m"),H64," ")</f>
        <v> </v>
      </c>
      <c r="Y64" s="17" t="str">
        <f aca="false">IF((E64="u"),H64," ")</f>
        <v> </v>
      </c>
      <c r="Z64" s="17" t="str">
        <f aca="false">IF((E64="a"),H64," ")</f>
        <v> </v>
      </c>
      <c r="AA64" s="17" t="str">
        <f aca="false">IF((E64="g"),H64," ")</f>
        <v> </v>
      </c>
      <c r="AB64" s="17" t="str">
        <f aca="false">IF((E64="h"),H64," ")</f>
        <v> </v>
      </c>
      <c r="AC64" s="30" t="str">
        <f aca="false">IF((E64="v"),H64," ")</f>
        <v> </v>
      </c>
      <c r="AD64" s="30" t="str">
        <f aca="false">IF((E64="n"),H64," ")</f>
        <v> </v>
      </c>
      <c r="AE64" s="17" t="str">
        <f aca="false">IF((E64="f"),H64," ")</f>
        <v> </v>
      </c>
      <c r="AF64" s="17" t="str">
        <f aca="false">IF((E64="l"),H64," ")</f>
        <v> </v>
      </c>
      <c r="AG64" s="17" t="str">
        <f aca="false">IF((E64="y"),H64," ")</f>
        <v> </v>
      </c>
      <c r="AH64" s="17" t="str">
        <f aca="false">IF((E64="z"),H64," ")</f>
        <v> </v>
      </c>
      <c r="AI64" s="17" t="str">
        <f aca="false">IF((E64="fa"),H64," ")</f>
        <v> </v>
      </c>
      <c r="AJ64" s="17" t="str">
        <f aca="false">IF((E64="e"),H64," ")</f>
        <v> </v>
      </c>
    </row>
    <row r="65" customFormat="false" ht="12" hidden="false" customHeight="false" outlineLevel="0" collapsed="false">
      <c r="A65" s="28"/>
      <c r="E65" s="2"/>
      <c r="F65" s="30"/>
      <c r="G65" s="6" t="str">
        <f aca="false">IF(F65&lt;&gt;0,F65*G$2/(100+G$2)," ")</f>
        <v> </v>
      </c>
      <c r="H65" s="6" t="str">
        <f aca="false">IF((F65&lt;&gt;0),F65-G65," ")</f>
        <v> </v>
      </c>
      <c r="I65" s="5"/>
      <c r="L65" s="7" t="str">
        <f aca="false">IF(F65&lt;&gt;0,F65-K65," ")</f>
        <v> </v>
      </c>
      <c r="M65" s="8" t="str">
        <f aca="false">IF((F65-K65)&lt;&gt;0,M$1-A65," ")</f>
        <v> </v>
      </c>
      <c r="N65" s="5"/>
      <c r="O65" s="17" t="str">
        <f aca="false">IF((E65="s"),H65," ")</f>
        <v> </v>
      </c>
      <c r="P65" s="17" t="str">
        <f aca="false">IF((E65="c"),H65," ")</f>
        <v> </v>
      </c>
      <c r="Q65" s="17" t="str">
        <f aca="false">IF((E65="o"),H65," ")</f>
        <v> </v>
      </c>
      <c r="R65" s="17" t="str">
        <f aca="false">IF((E65="d"),H65," ")</f>
        <v> </v>
      </c>
      <c r="S65" s="17" t="str">
        <f aca="false">IF((E65="w"),H65," ")</f>
        <v> </v>
      </c>
      <c r="T65" s="17" t="str">
        <f aca="false">IF((E65="r"),H65," ")</f>
        <v> </v>
      </c>
      <c r="U65" s="17" t="str">
        <f aca="false">IF((E65="p"),H65," ")</f>
        <v> </v>
      </c>
      <c r="V65" s="17" t="str">
        <f aca="false">IF((E65="t"),H65," ")</f>
        <v> </v>
      </c>
      <c r="W65" s="17" t="str">
        <f aca="false">IF((E65="q"),H65," ")</f>
        <v> </v>
      </c>
      <c r="X65" s="17" t="str">
        <f aca="false">IF((E65="m"),H65," ")</f>
        <v> </v>
      </c>
      <c r="Y65" s="17" t="str">
        <f aca="false">IF((E65="u"),H65," ")</f>
        <v> </v>
      </c>
      <c r="Z65" s="17" t="str">
        <f aca="false">IF((E65="a"),H65," ")</f>
        <v> </v>
      </c>
      <c r="AA65" s="17" t="str">
        <f aca="false">IF((E65="g"),H65," ")</f>
        <v> </v>
      </c>
      <c r="AB65" s="17" t="str">
        <f aca="false">IF((E65="h"),H65," ")</f>
        <v> </v>
      </c>
      <c r="AC65" s="30" t="str">
        <f aca="false">IF((E65="v"),H65," ")</f>
        <v> </v>
      </c>
      <c r="AD65" s="30" t="str">
        <f aca="false">IF((E65="n"),H65," ")</f>
        <v> </v>
      </c>
      <c r="AE65" s="17" t="str">
        <f aca="false">IF((E65="f"),H65," ")</f>
        <v> </v>
      </c>
      <c r="AF65" s="17" t="str">
        <f aca="false">IF((E65="l"),H65," ")</f>
        <v> </v>
      </c>
      <c r="AG65" s="17" t="str">
        <f aca="false">IF((E65="y"),H65," ")</f>
        <v> </v>
      </c>
      <c r="AH65" s="17" t="str">
        <f aca="false">IF((E65="z"),H65," ")</f>
        <v> </v>
      </c>
      <c r="AI65" s="17" t="str">
        <f aca="false">IF((E65="fa"),H65," ")</f>
        <v> </v>
      </c>
      <c r="AJ65" s="17" t="str">
        <f aca="false">IF((E65="e"),H65," ")</f>
        <v> </v>
      </c>
    </row>
    <row r="66" customFormat="false" ht="12" hidden="false" customHeight="false" outlineLevel="0" collapsed="false">
      <c r="A66" s="28"/>
      <c r="E66" s="2"/>
      <c r="F66" s="30"/>
      <c r="G66" s="6" t="str">
        <f aca="false">IF(F66&lt;&gt;0,F66*G$2/(100+G$2)," ")</f>
        <v> </v>
      </c>
      <c r="H66" s="6" t="str">
        <f aca="false">IF((F66&lt;&gt;0),F66-G66," ")</f>
        <v> </v>
      </c>
      <c r="I66" s="5"/>
      <c r="L66" s="7" t="str">
        <f aca="false">IF(F66&lt;&gt;0,F66-K66," ")</f>
        <v> </v>
      </c>
      <c r="M66" s="8" t="str">
        <f aca="false">IF((F66-K66)&lt;&gt;0,M$1-A66," ")</f>
        <v> </v>
      </c>
      <c r="N66" s="5"/>
      <c r="O66" s="17" t="str">
        <f aca="false">IF((E66="s"),H66," ")</f>
        <v> </v>
      </c>
      <c r="P66" s="17" t="str">
        <f aca="false">IF((E66="c"),H66," ")</f>
        <v> </v>
      </c>
      <c r="Q66" s="17" t="str">
        <f aca="false">IF((E66="o"),H66," ")</f>
        <v> </v>
      </c>
      <c r="R66" s="17" t="str">
        <f aca="false">IF((E66="d"),H66," ")</f>
        <v> </v>
      </c>
      <c r="S66" s="17" t="str">
        <f aca="false">IF((E66="w"),H66," ")</f>
        <v> </v>
      </c>
      <c r="T66" s="17" t="str">
        <f aca="false">IF((E66="r"),H66," ")</f>
        <v> </v>
      </c>
      <c r="U66" s="17" t="str">
        <f aca="false">IF((E66="p"),H66," ")</f>
        <v> </v>
      </c>
      <c r="V66" s="17" t="str">
        <f aca="false">IF((E66="t"),H66," ")</f>
        <v> </v>
      </c>
      <c r="W66" s="17" t="str">
        <f aca="false">IF((E66="q"),H66," ")</f>
        <v> </v>
      </c>
      <c r="X66" s="17" t="str">
        <f aca="false">IF((E66="m"),H66," ")</f>
        <v> </v>
      </c>
      <c r="Y66" s="17" t="str">
        <f aca="false">IF((E66="u"),H66," ")</f>
        <v> </v>
      </c>
      <c r="Z66" s="17" t="str">
        <f aca="false">IF((E66="a"),H66," ")</f>
        <v> </v>
      </c>
      <c r="AA66" s="17" t="str">
        <f aca="false">IF((E66="g"),H66," ")</f>
        <v> </v>
      </c>
      <c r="AB66" s="17" t="str">
        <f aca="false">IF((E66="h"),H66," ")</f>
        <v> </v>
      </c>
      <c r="AC66" s="30" t="str">
        <f aca="false">IF((E66="v"),H66," ")</f>
        <v> </v>
      </c>
      <c r="AD66" s="30" t="str">
        <f aca="false">IF((E66="n"),H66," ")</f>
        <v> </v>
      </c>
      <c r="AE66" s="17" t="str">
        <f aca="false">IF((E66="f"),H66," ")</f>
        <v> </v>
      </c>
      <c r="AF66" s="17" t="str">
        <f aca="false">IF((E66="l"),H66," ")</f>
        <v> </v>
      </c>
      <c r="AG66" s="17" t="str">
        <f aca="false">IF((E66="y"),H66," ")</f>
        <v> </v>
      </c>
      <c r="AH66" s="17" t="str">
        <f aca="false">IF((E66="z"),H66," ")</f>
        <v> </v>
      </c>
      <c r="AI66" s="17" t="str">
        <f aca="false">IF((E66="fa"),H66," ")</f>
        <v> </v>
      </c>
      <c r="AJ66" s="17" t="str">
        <f aca="false">IF((E66="e"),H66," ")</f>
        <v> </v>
      </c>
    </row>
    <row r="67" customFormat="false" ht="12" hidden="false" customHeight="false" outlineLevel="0" collapsed="false">
      <c r="A67" s="28"/>
      <c r="E67" s="2"/>
      <c r="F67" s="30"/>
      <c r="G67" s="6" t="str">
        <f aca="false">IF(F67&lt;&gt;0,F67*G$2/(100+G$2)," ")</f>
        <v> </v>
      </c>
      <c r="H67" s="6" t="str">
        <f aca="false">IF((F67&lt;&gt;0),F67-G67," ")</f>
        <v> </v>
      </c>
      <c r="I67" s="5"/>
      <c r="L67" s="7" t="str">
        <f aca="false">IF(F67&lt;&gt;0,F67-K67," ")</f>
        <v> </v>
      </c>
      <c r="M67" s="8" t="str">
        <f aca="false">IF((F67-K67)&lt;&gt;0,M$1-A67," ")</f>
        <v> </v>
      </c>
      <c r="N67" s="5"/>
      <c r="O67" s="17" t="str">
        <f aca="false">IF((E67="s"),H67," ")</f>
        <v> </v>
      </c>
      <c r="P67" s="17" t="str">
        <f aca="false">IF((E67="c"),H67," ")</f>
        <v> </v>
      </c>
      <c r="Q67" s="17" t="str">
        <f aca="false">IF((E67="o"),H67," ")</f>
        <v> </v>
      </c>
      <c r="R67" s="17" t="str">
        <f aca="false">IF((E67="d"),H67," ")</f>
        <v> </v>
      </c>
      <c r="S67" s="17" t="str">
        <f aca="false">IF((E67="w"),H67," ")</f>
        <v> </v>
      </c>
      <c r="T67" s="17" t="str">
        <f aca="false">IF((E67="r"),H67," ")</f>
        <v> </v>
      </c>
      <c r="U67" s="17" t="str">
        <f aca="false">IF((E67="p"),H67," ")</f>
        <v> </v>
      </c>
      <c r="V67" s="17" t="str">
        <f aca="false">IF((E67="t"),H67," ")</f>
        <v> </v>
      </c>
      <c r="W67" s="17" t="str">
        <f aca="false">IF((E67="q"),H67," ")</f>
        <v> </v>
      </c>
      <c r="X67" s="17" t="str">
        <f aca="false">IF((E67="m"),H67," ")</f>
        <v> </v>
      </c>
      <c r="Y67" s="17" t="str">
        <f aca="false">IF((E67="u"),H67," ")</f>
        <v> </v>
      </c>
      <c r="Z67" s="17" t="str">
        <f aca="false">IF((E67="a"),H67," ")</f>
        <v> </v>
      </c>
      <c r="AA67" s="17" t="str">
        <f aca="false">IF((E67="g"),H67," ")</f>
        <v> </v>
      </c>
      <c r="AB67" s="17" t="str">
        <f aca="false">IF((E67="h"),H67," ")</f>
        <v> </v>
      </c>
      <c r="AC67" s="30" t="str">
        <f aca="false">IF((E67="v"),H67," ")</f>
        <v> </v>
      </c>
      <c r="AD67" s="30" t="str">
        <f aca="false">IF((E67="n"),H67," ")</f>
        <v> </v>
      </c>
      <c r="AE67" s="17" t="str">
        <f aca="false">IF((E67="f"),H67," ")</f>
        <v> </v>
      </c>
      <c r="AF67" s="17" t="str">
        <f aca="false">IF((E67="l"),H67," ")</f>
        <v> </v>
      </c>
      <c r="AG67" s="17" t="str">
        <f aca="false">IF((E67="y"),H67," ")</f>
        <v> </v>
      </c>
      <c r="AH67" s="17" t="str">
        <f aca="false">IF((E67="z"),H67," ")</f>
        <v> </v>
      </c>
      <c r="AI67" s="17" t="str">
        <f aca="false">IF((E67="fa"),H67," ")</f>
        <v> </v>
      </c>
      <c r="AJ67" s="17" t="str">
        <f aca="false">IF((E67="e"),H67," ")</f>
        <v> </v>
      </c>
    </row>
    <row r="68" customFormat="false" ht="12" hidden="false" customHeight="false" outlineLevel="0" collapsed="false">
      <c r="A68" s="28"/>
      <c r="E68" s="2"/>
      <c r="F68" s="30"/>
      <c r="G68" s="6" t="str">
        <f aca="false">IF(F68&lt;&gt;0,F68*G$2/(100+G$2)," ")</f>
        <v> </v>
      </c>
      <c r="H68" s="6" t="str">
        <f aca="false">IF((F68&lt;&gt;0),F68-G68," ")</f>
        <v> </v>
      </c>
      <c r="I68" s="5"/>
      <c r="L68" s="7" t="str">
        <f aca="false">IF(F68&lt;&gt;0,F68-K68," ")</f>
        <v> </v>
      </c>
      <c r="M68" s="8" t="str">
        <f aca="false">IF((F68-K68)&lt;&gt;0,M$1-A68," ")</f>
        <v> </v>
      </c>
      <c r="N68" s="5"/>
      <c r="O68" s="17" t="str">
        <f aca="false">IF((E68="s"),H68," ")</f>
        <v> </v>
      </c>
      <c r="P68" s="17" t="str">
        <f aca="false">IF((E68="c"),H68," ")</f>
        <v> </v>
      </c>
      <c r="Q68" s="17" t="str">
        <f aca="false">IF((E68="o"),H68," ")</f>
        <v> </v>
      </c>
      <c r="R68" s="17" t="str">
        <f aca="false">IF((E68="d"),H68," ")</f>
        <v> </v>
      </c>
      <c r="S68" s="17" t="str">
        <f aca="false">IF((E68="w"),H68," ")</f>
        <v> </v>
      </c>
      <c r="T68" s="17" t="str">
        <f aca="false">IF((E68="r"),H68," ")</f>
        <v> </v>
      </c>
      <c r="U68" s="17" t="str">
        <f aca="false">IF((E68="p"),H68," ")</f>
        <v> </v>
      </c>
      <c r="V68" s="17" t="str">
        <f aca="false">IF((E68="t"),H68," ")</f>
        <v> </v>
      </c>
      <c r="W68" s="17" t="str">
        <f aca="false">IF((E68="q"),H68," ")</f>
        <v> </v>
      </c>
      <c r="X68" s="17" t="str">
        <f aca="false">IF((E68="m"),H68," ")</f>
        <v> </v>
      </c>
      <c r="Y68" s="17" t="str">
        <f aca="false">IF((E68="u"),H68," ")</f>
        <v> </v>
      </c>
      <c r="Z68" s="17" t="str">
        <f aca="false">IF((E68="a"),H68," ")</f>
        <v> </v>
      </c>
      <c r="AA68" s="17" t="str">
        <f aca="false">IF((E68="g"),H68," ")</f>
        <v> </v>
      </c>
      <c r="AB68" s="17" t="str">
        <f aca="false">IF((E68="h"),H68," ")</f>
        <v> </v>
      </c>
      <c r="AC68" s="30" t="str">
        <f aca="false">IF((E68="v"),H68," ")</f>
        <v> </v>
      </c>
      <c r="AD68" s="30" t="str">
        <f aca="false">IF((E68="n"),H68," ")</f>
        <v> </v>
      </c>
      <c r="AE68" s="17" t="str">
        <f aca="false">IF((E68="f"),H68," ")</f>
        <v> </v>
      </c>
      <c r="AF68" s="17" t="str">
        <f aca="false">IF((E68="l"),H68," ")</f>
        <v> </v>
      </c>
      <c r="AG68" s="17" t="str">
        <f aca="false">IF((E68="y"),H68," ")</f>
        <v> </v>
      </c>
      <c r="AH68" s="17" t="str">
        <f aca="false">IF((E68="z"),H68," ")</f>
        <v> </v>
      </c>
      <c r="AI68" s="17" t="str">
        <f aca="false">IF((E68="fa"),H68," ")</f>
        <v> </v>
      </c>
      <c r="AJ68" s="17" t="str">
        <f aca="false">IF((E68="e"),H68," ")</f>
        <v> </v>
      </c>
    </row>
    <row r="69" customFormat="false" ht="12" hidden="false" customHeight="false" outlineLevel="0" collapsed="false">
      <c r="A69" s="28"/>
      <c r="E69" s="2"/>
      <c r="F69" s="30"/>
      <c r="G69" s="6" t="str">
        <f aca="false">IF(F69&lt;&gt;0,F69*G$2/(100+G$2)," ")</f>
        <v> </v>
      </c>
      <c r="H69" s="6" t="str">
        <f aca="false">IF((F69&lt;&gt;0),F69-G69," ")</f>
        <v> </v>
      </c>
      <c r="I69" s="5"/>
      <c r="L69" s="7" t="str">
        <f aca="false">IF(F69&lt;&gt;0,F69-K69," ")</f>
        <v> </v>
      </c>
      <c r="M69" s="8" t="str">
        <f aca="false">IF((F69-K69)&lt;&gt;0,M$1-A69," ")</f>
        <v> </v>
      </c>
      <c r="N69" s="5"/>
      <c r="O69" s="17" t="str">
        <f aca="false">IF((E69="s"),H69," ")</f>
        <v> </v>
      </c>
      <c r="P69" s="17" t="str">
        <f aca="false">IF((E69="c"),H69," ")</f>
        <v> </v>
      </c>
      <c r="Q69" s="17" t="str">
        <f aca="false">IF((E69="o"),H69," ")</f>
        <v> </v>
      </c>
      <c r="R69" s="17" t="str">
        <f aca="false">IF((E69="d"),H69," ")</f>
        <v> </v>
      </c>
      <c r="S69" s="17" t="str">
        <f aca="false">IF((E69="w"),H69," ")</f>
        <v> </v>
      </c>
      <c r="T69" s="17" t="str">
        <f aca="false">IF((E69="r"),H69," ")</f>
        <v> </v>
      </c>
      <c r="U69" s="17" t="str">
        <f aca="false">IF((E69="p"),H69," ")</f>
        <v> </v>
      </c>
      <c r="V69" s="17" t="str">
        <f aca="false">IF((E69="t"),H69," ")</f>
        <v> </v>
      </c>
      <c r="W69" s="17" t="str">
        <f aca="false">IF((E69="q"),H69," ")</f>
        <v> </v>
      </c>
      <c r="X69" s="17" t="str">
        <f aca="false">IF((E69="m"),H69," ")</f>
        <v> </v>
      </c>
      <c r="Y69" s="17" t="str">
        <f aca="false">IF((E69="u"),H69," ")</f>
        <v> </v>
      </c>
      <c r="Z69" s="17" t="str">
        <f aca="false">IF((E69="a"),H69," ")</f>
        <v> </v>
      </c>
      <c r="AA69" s="17" t="str">
        <f aca="false">IF((E69="g"),H69," ")</f>
        <v> </v>
      </c>
      <c r="AB69" s="17" t="str">
        <f aca="false">IF((E69="h"),H69," ")</f>
        <v> </v>
      </c>
      <c r="AC69" s="30" t="str">
        <f aca="false">IF((E69="v"),H69," ")</f>
        <v> </v>
      </c>
      <c r="AD69" s="30" t="str">
        <f aca="false">IF((E69="n"),H69," ")</f>
        <v> </v>
      </c>
      <c r="AE69" s="17" t="str">
        <f aca="false">IF((E69="f"),H69," ")</f>
        <v> </v>
      </c>
      <c r="AF69" s="17" t="str">
        <f aca="false">IF((E69="l"),H69," ")</f>
        <v> </v>
      </c>
      <c r="AG69" s="17" t="str">
        <f aca="false">IF((E69="y"),H69," ")</f>
        <v> </v>
      </c>
      <c r="AH69" s="17" t="str">
        <f aca="false">IF((E69="z"),H69," ")</f>
        <v> </v>
      </c>
      <c r="AI69" s="17" t="str">
        <f aca="false">IF((E69="fa"),H69," ")</f>
        <v> </v>
      </c>
      <c r="AJ69" s="17" t="str">
        <f aca="false">IF((E69="e"),H69," ")</f>
        <v> </v>
      </c>
    </row>
    <row r="70" customFormat="false" ht="12" hidden="false" customHeight="false" outlineLevel="0" collapsed="false">
      <c r="A70" s="28"/>
      <c r="E70" s="2" t="str">
        <f aca="false">IF((F70&lt;&gt;0),"Enter Letter"," ")</f>
        <v> </v>
      </c>
      <c r="F70" s="30"/>
      <c r="G70" s="6" t="str">
        <f aca="false">IF(F70&lt;&gt;0,F70*G$2/(100+G$2)," ")</f>
        <v> </v>
      </c>
      <c r="H70" s="6" t="str">
        <f aca="false">IF((F70&lt;&gt;0),F70-G70," ")</f>
        <v> </v>
      </c>
      <c r="I70" s="5"/>
      <c r="L70" s="7" t="str">
        <f aca="false">IF(F70&lt;&gt;0,F70-K70," ")</f>
        <v> </v>
      </c>
      <c r="M70" s="8" t="str">
        <f aca="false">IF((F70-K70)&lt;&gt;0,M$1-A70," ")</f>
        <v> </v>
      </c>
      <c r="N70" s="5"/>
      <c r="O70" s="17" t="str">
        <f aca="false">IF((E70="s"),H70," ")</f>
        <v> </v>
      </c>
      <c r="P70" s="17" t="str">
        <f aca="false">IF((E70="c"),H70," ")</f>
        <v> </v>
      </c>
      <c r="Q70" s="17" t="str">
        <f aca="false">IF((E70="o"),H70," ")</f>
        <v> </v>
      </c>
      <c r="R70" s="17" t="str">
        <f aca="false">IF((E70="d"),H70," ")</f>
        <v> </v>
      </c>
      <c r="S70" s="17" t="str">
        <f aca="false">IF((E70="w"),H70," ")</f>
        <v> </v>
      </c>
      <c r="T70" s="17" t="str">
        <f aca="false">IF((E70="r"),H70," ")</f>
        <v> </v>
      </c>
      <c r="U70" s="17" t="str">
        <f aca="false">IF((E70="p"),H70," ")</f>
        <v> </v>
      </c>
      <c r="V70" s="17" t="str">
        <f aca="false">IF((E70="t"),H70," ")</f>
        <v> </v>
      </c>
      <c r="W70" s="17" t="str">
        <f aca="false">IF((E70="q"),H70," ")</f>
        <v> </v>
      </c>
      <c r="X70" s="17" t="str">
        <f aca="false">IF((E70="m"),H70," ")</f>
        <v> </v>
      </c>
      <c r="Y70" s="17" t="str">
        <f aca="false">IF((E70="u"),H70," ")</f>
        <v> </v>
      </c>
      <c r="Z70" s="17" t="str">
        <f aca="false">IF((E70="a"),H70," ")</f>
        <v> </v>
      </c>
      <c r="AA70" s="17" t="str">
        <f aca="false">IF((E70="g"),H70," ")</f>
        <v> </v>
      </c>
      <c r="AB70" s="17" t="str">
        <f aca="false">IF((E70="h"),H70," ")</f>
        <v> </v>
      </c>
      <c r="AC70" s="30" t="str">
        <f aca="false">IF((E70="v"),H70," ")</f>
        <v> </v>
      </c>
      <c r="AD70" s="30" t="str">
        <f aca="false">IF((E70="n"),H70," ")</f>
        <v> </v>
      </c>
      <c r="AE70" s="17" t="str">
        <f aca="false">IF((E70="f"),H70," ")</f>
        <v> </v>
      </c>
      <c r="AF70" s="17" t="str">
        <f aca="false">IF((E70="l"),H70," ")</f>
        <v> </v>
      </c>
      <c r="AG70" s="17" t="str">
        <f aca="false">IF((E70="y"),H70," ")</f>
        <v> </v>
      </c>
      <c r="AH70" s="17" t="str">
        <f aca="false">IF((E70="z"),H70," ")</f>
        <v> </v>
      </c>
      <c r="AI70" s="17" t="str">
        <f aca="false">IF((E70="fa"),H70," ")</f>
        <v> </v>
      </c>
      <c r="AJ70" s="17" t="str">
        <f aca="false">IF((E70="e"),H70," ")</f>
        <v> </v>
      </c>
    </row>
    <row r="71" customFormat="false" ht="12" hidden="false" customHeight="false" outlineLevel="0" collapsed="false">
      <c r="A71" s="28"/>
      <c r="E71" s="2" t="str">
        <f aca="false">IF((F71&lt;&gt;0),"Enter Letter"," ")</f>
        <v> </v>
      </c>
      <c r="F71" s="30"/>
      <c r="G71" s="6" t="str">
        <f aca="false">IF(F71&lt;&gt;0,F71*G$2/(100+G$2)," ")</f>
        <v> </v>
      </c>
      <c r="H71" s="6" t="str">
        <f aca="false">IF((F71&lt;&gt;0),F71-G71," ")</f>
        <v> </v>
      </c>
      <c r="I71" s="5"/>
      <c r="L71" s="7" t="str">
        <f aca="false">IF(F71&lt;&gt;0,F71-K71," ")</f>
        <v> </v>
      </c>
      <c r="M71" s="8" t="str">
        <f aca="false">IF((F71-K71)&lt;&gt;0,M$1-A71," ")</f>
        <v> </v>
      </c>
      <c r="N71" s="5"/>
      <c r="O71" s="17" t="str">
        <f aca="false">IF((E71="s"),H71," ")</f>
        <v> </v>
      </c>
      <c r="P71" s="17" t="str">
        <f aca="false">IF((E71="c"),H71," ")</f>
        <v> </v>
      </c>
      <c r="Q71" s="17" t="str">
        <f aca="false">IF((E71="o"),H71," ")</f>
        <v> </v>
      </c>
      <c r="R71" s="17" t="str">
        <f aca="false">IF((E71="d"),H71," ")</f>
        <v> </v>
      </c>
      <c r="S71" s="17" t="str">
        <f aca="false">IF((E71="w"),H71," ")</f>
        <v> </v>
      </c>
      <c r="T71" s="17" t="str">
        <f aca="false">IF((E71="r"),H71," ")</f>
        <v> </v>
      </c>
      <c r="U71" s="17" t="str">
        <f aca="false">IF((E71="p"),H71," ")</f>
        <v> </v>
      </c>
      <c r="V71" s="17" t="str">
        <f aca="false">IF((E71="t"),H71," ")</f>
        <v> </v>
      </c>
      <c r="W71" s="17" t="str">
        <f aca="false">IF((E71="q"),H71," ")</f>
        <v> </v>
      </c>
      <c r="X71" s="17" t="str">
        <f aca="false">IF((E71="m"),H71," ")</f>
        <v> </v>
      </c>
      <c r="Y71" s="17" t="str">
        <f aca="false">IF((E71="u"),H71," ")</f>
        <v> </v>
      </c>
      <c r="Z71" s="17" t="str">
        <f aca="false">IF((E71="a"),H71," ")</f>
        <v> </v>
      </c>
      <c r="AA71" s="17" t="str">
        <f aca="false">IF((E71="g"),H71," ")</f>
        <v> </v>
      </c>
      <c r="AB71" s="17" t="str">
        <f aca="false">IF((E71="h"),H71," ")</f>
        <v> </v>
      </c>
      <c r="AC71" s="30" t="str">
        <f aca="false">IF((E71="v"),H71," ")</f>
        <v> </v>
      </c>
      <c r="AD71" s="30" t="str">
        <f aca="false">IF((E71="n"),H71," ")</f>
        <v> </v>
      </c>
      <c r="AE71" s="17" t="str">
        <f aca="false">IF((E71="f"),H71," ")</f>
        <v> </v>
      </c>
      <c r="AF71" s="17" t="str">
        <f aca="false">IF((E71="l"),H71," ")</f>
        <v> </v>
      </c>
      <c r="AG71" s="17" t="str">
        <f aca="false">IF((E71="y"),H71," ")</f>
        <v> </v>
      </c>
      <c r="AH71" s="17" t="str">
        <f aca="false">IF((E71="z"),H71," ")</f>
        <v> </v>
      </c>
      <c r="AI71" s="17" t="str">
        <f aca="false">IF((E71="fa"),H71," ")</f>
        <v> </v>
      </c>
      <c r="AJ71" s="17" t="str">
        <f aca="false">IF((E71="e"),H71," ")</f>
        <v> </v>
      </c>
    </row>
    <row r="72" customFormat="false" ht="12" hidden="false" customHeight="false" outlineLevel="0" collapsed="false">
      <c r="A72" s="28"/>
      <c r="E72" s="2" t="str">
        <f aca="false">IF((F72&lt;&gt;0),"Enter Letter"," ")</f>
        <v> </v>
      </c>
      <c r="F72" s="30"/>
      <c r="G72" s="6" t="str">
        <f aca="false">IF(F72&lt;&gt;0,F72*G$2/(100+G$2)," ")</f>
        <v> </v>
      </c>
      <c r="H72" s="6" t="str">
        <f aca="false">IF((F72&lt;&gt;0),F72-G72," ")</f>
        <v> </v>
      </c>
      <c r="I72" s="5"/>
      <c r="L72" s="7" t="str">
        <f aca="false">IF(F72&lt;&gt;0,F72-K72," ")</f>
        <v> </v>
      </c>
      <c r="M72" s="8" t="str">
        <f aca="false">IF((F72-K72)&lt;&gt;0,M$1-A72," ")</f>
        <v> </v>
      </c>
      <c r="N72" s="5"/>
      <c r="O72" s="17" t="str">
        <f aca="false">IF((E72="s"),H72," ")</f>
        <v> </v>
      </c>
      <c r="P72" s="17" t="str">
        <f aca="false">IF((E72="c"),H72," ")</f>
        <v> </v>
      </c>
      <c r="Q72" s="17" t="str">
        <f aca="false">IF((E72="o"),H72," ")</f>
        <v> </v>
      </c>
      <c r="R72" s="17" t="str">
        <f aca="false">IF((E72="d"),H72," ")</f>
        <v> </v>
      </c>
      <c r="S72" s="17" t="str">
        <f aca="false">IF((E72="w"),H72," ")</f>
        <v> </v>
      </c>
      <c r="T72" s="17" t="str">
        <f aca="false">IF((E72="r"),H72," ")</f>
        <v> </v>
      </c>
      <c r="U72" s="17" t="str">
        <f aca="false">IF((E72="p"),H72," ")</f>
        <v> </v>
      </c>
      <c r="V72" s="17" t="str">
        <f aca="false">IF((E72="t"),H72," ")</f>
        <v> </v>
      </c>
      <c r="W72" s="17" t="str">
        <f aca="false">IF((E72="q"),H72," ")</f>
        <v> </v>
      </c>
      <c r="X72" s="17" t="str">
        <f aca="false">IF((E72="m"),H72," ")</f>
        <v> </v>
      </c>
      <c r="Y72" s="17" t="str">
        <f aca="false">IF((E72="u"),H72," ")</f>
        <v> </v>
      </c>
      <c r="Z72" s="17" t="str">
        <f aca="false">IF((E72="a"),H72," ")</f>
        <v> </v>
      </c>
      <c r="AA72" s="17" t="str">
        <f aca="false">IF((E72="g"),H72," ")</f>
        <v> </v>
      </c>
      <c r="AB72" s="17" t="str">
        <f aca="false">IF((E72="h"),H72," ")</f>
        <v> </v>
      </c>
      <c r="AC72" s="30" t="str">
        <f aca="false">IF((E72="v"),H72," ")</f>
        <v> </v>
      </c>
      <c r="AD72" s="30" t="str">
        <f aca="false">IF((E72="n"),H72," ")</f>
        <v> </v>
      </c>
      <c r="AE72" s="17" t="str">
        <f aca="false">IF((E72="f"),H72," ")</f>
        <v> </v>
      </c>
      <c r="AF72" s="17" t="str">
        <f aca="false">IF((E72="l"),H72," ")</f>
        <v> </v>
      </c>
      <c r="AG72" s="17" t="str">
        <f aca="false">IF((E72="y"),H72," ")</f>
        <v> </v>
      </c>
      <c r="AH72" s="17" t="str">
        <f aca="false">IF((E72="z"),H72," ")</f>
        <v> </v>
      </c>
      <c r="AI72" s="17" t="str">
        <f aca="false">IF((E72="fa"),H72," ")</f>
        <v> </v>
      </c>
      <c r="AJ72" s="17" t="str">
        <f aca="false">IF((E72="e"),H72," ")</f>
        <v> </v>
      </c>
    </row>
    <row r="73" customFormat="false" ht="12" hidden="false" customHeight="false" outlineLevel="0" collapsed="false">
      <c r="A73" s="28"/>
      <c r="E73" s="2" t="str">
        <f aca="false">IF((F73&lt;&gt;0),"Enter Letter"," ")</f>
        <v> </v>
      </c>
      <c r="F73" s="30"/>
      <c r="G73" s="6" t="str">
        <f aca="false">IF(F73&lt;&gt;0,F73*G$2/(100+G$2)," ")</f>
        <v> </v>
      </c>
      <c r="H73" s="6" t="str">
        <f aca="false">IF((F73&lt;&gt;0),F73-G73," ")</f>
        <v> </v>
      </c>
      <c r="I73" s="5"/>
      <c r="L73" s="7" t="str">
        <f aca="false">IF(F73&lt;&gt;0,F73-K73," ")</f>
        <v> </v>
      </c>
      <c r="M73" s="8" t="str">
        <f aca="false">IF((F73-K73)&lt;&gt;0,M$1-A73," ")</f>
        <v> </v>
      </c>
      <c r="N73" s="5"/>
      <c r="O73" s="17" t="str">
        <f aca="false">IF((E73="s"),H73," ")</f>
        <v> </v>
      </c>
      <c r="P73" s="17" t="str">
        <f aca="false">IF((E73="c"),H73," ")</f>
        <v> </v>
      </c>
      <c r="Q73" s="17" t="str">
        <f aca="false">IF((E73="o"),H73," ")</f>
        <v> </v>
      </c>
      <c r="R73" s="17" t="str">
        <f aca="false">IF((E73="d"),H73," ")</f>
        <v> </v>
      </c>
      <c r="S73" s="17" t="str">
        <f aca="false">IF((E73="w"),H73," ")</f>
        <v> </v>
      </c>
      <c r="T73" s="17" t="str">
        <f aca="false">IF((E73="r"),H73," ")</f>
        <v> </v>
      </c>
      <c r="U73" s="17" t="str">
        <f aca="false">IF((E73="p"),H73," ")</f>
        <v> </v>
      </c>
      <c r="V73" s="17" t="str">
        <f aca="false">IF((E73="t"),H73," ")</f>
        <v> </v>
      </c>
      <c r="W73" s="17" t="str">
        <f aca="false">IF((E73="q"),H73," ")</f>
        <v> </v>
      </c>
      <c r="X73" s="17" t="str">
        <f aca="false">IF((E73="m"),H73," ")</f>
        <v> </v>
      </c>
      <c r="Y73" s="17" t="str">
        <f aca="false">IF((E73="u"),H73," ")</f>
        <v> </v>
      </c>
      <c r="Z73" s="17" t="str">
        <f aca="false">IF((E73="a"),H73," ")</f>
        <v> </v>
      </c>
      <c r="AA73" s="17" t="str">
        <f aca="false">IF((E73="g"),H73," ")</f>
        <v> </v>
      </c>
      <c r="AB73" s="17" t="str">
        <f aca="false">IF((E73="h"),H73," ")</f>
        <v> </v>
      </c>
      <c r="AC73" s="30" t="str">
        <f aca="false">IF((E73="v"),H73," ")</f>
        <v> </v>
      </c>
      <c r="AD73" s="30" t="str">
        <f aca="false">IF((E73="n"),H73," ")</f>
        <v> </v>
      </c>
      <c r="AE73" s="17" t="str">
        <f aca="false">IF((E73="f"),H73," ")</f>
        <v> </v>
      </c>
      <c r="AF73" s="17" t="str">
        <f aca="false">IF((E73="l"),H73," ")</f>
        <v> </v>
      </c>
      <c r="AG73" s="17" t="str">
        <f aca="false">IF((E73="y"),H73," ")</f>
        <v> </v>
      </c>
      <c r="AH73" s="17" t="str">
        <f aca="false">IF((E73="z"),H73," ")</f>
        <v> </v>
      </c>
      <c r="AI73" s="17" t="str">
        <f aca="false">IF((E73="fa"),H73," ")</f>
        <v> </v>
      </c>
      <c r="AJ73" s="17" t="str">
        <f aca="false">IF((E73="e"),H73," ")</f>
        <v> </v>
      </c>
    </row>
    <row r="74" customFormat="false" ht="12" hidden="false" customHeight="false" outlineLevel="0" collapsed="false">
      <c r="A74" s="28"/>
      <c r="E74" s="2" t="str">
        <f aca="false">IF((F74&lt;&gt;0),"Enter Letter"," ")</f>
        <v> </v>
      </c>
      <c r="F74" s="30"/>
      <c r="G74" s="6" t="str">
        <f aca="false">IF(F74&lt;&gt;0,F74*G$2/(100+G$2)," ")</f>
        <v> </v>
      </c>
      <c r="H74" s="6" t="str">
        <f aca="false">IF((F74&lt;&gt;0),F74-G74," ")</f>
        <v> </v>
      </c>
      <c r="I74" s="5"/>
      <c r="L74" s="7" t="str">
        <f aca="false">IF(F74&lt;&gt;0,F74-K74," ")</f>
        <v> </v>
      </c>
      <c r="M74" s="8" t="str">
        <f aca="false">IF((F74-K74)&lt;&gt;0,M$1-A74," ")</f>
        <v> </v>
      </c>
      <c r="N74" s="5"/>
      <c r="O74" s="17" t="str">
        <f aca="false">IF((E74="s"),H74," ")</f>
        <v> </v>
      </c>
      <c r="P74" s="17" t="str">
        <f aca="false">IF((E74="c"),H74," ")</f>
        <v> </v>
      </c>
      <c r="Q74" s="17" t="str">
        <f aca="false">IF((E74="o"),H74," ")</f>
        <v> </v>
      </c>
      <c r="R74" s="17" t="str">
        <f aca="false">IF((E74="d"),H74," ")</f>
        <v> </v>
      </c>
      <c r="S74" s="17" t="str">
        <f aca="false">IF((E74="w"),H74," ")</f>
        <v> </v>
      </c>
      <c r="T74" s="17" t="str">
        <f aca="false">IF((E74="r"),H74," ")</f>
        <v> </v>
      </c>
      <c r="U74" s="17" t="str">
        <f aca="false">IF((E74="p"),H74," ")</f>
        <v> </v>
      </c>
      <c r="V74" s="17" t="str">
        <f aca="false">IF((E74="t"),H74," ")</f>
        <v> </v>
      </c>
      <c r="W74" s="17" t="str">
        <f aca="false">IF((E74="q"),H74," ")</f>
        <v> </v>
      </c>
      <c r="X74" s="17" t="str">
        <f aca="false">IF((E74="m"),H74," ")</f>
        <v> </v>
      </c>
      <c r="Y74" s="17" t="str">
        <f aca="false">IF((E74="u"),H74," ")</f>
        <v> </v>
      </c>
      <c r="Z74" s="17" t="str">
        <f aca="false">IF((E74="a"),H74," ")</f>
        <v> </v>
      </c>
      <c r="AA74" s="17" t="str">
        <f aca="false">IF((E74="g"),H74," ")</f>
        <v> </v>
      </c>
      <c r="AB74" s="17" t="str">
        <f aca="false">IF((E74="h"),H74," ")</f>
        <v> </v>
      </c>
      <c r="AC74" s="30" t="str">
        <f aca="false">IF((E74="v"),H74," ")</f>
        <v> </v>
      </c>
      <c r="AD74" s="30" t="str">
        <f aca="false">IF((E74="n"),H74," ")</f>
        <v> </v>
      </c>
      <c r="AE74" s="17" t="str">
        <f aca="false">IF((E74="f"),H74," ")</f>
        <v> </v>
      </c>
      <c r="AF74" s="17" t="str">
        <f aca="false">IF((E74="l"),H74," ")</f>
        <v> </v>
      </c>
      <c r="AG74" s="17" t="str">
        <f aca="false">IF((E74="y"),H74," ")</f>
        <v> </v>
      </c>
      <c r="AH74" s="17" t="str">
        <f aca="false">IF((E74="z"),H74," ")</f>
        <v> </v>
      </c>
      <c r="AI74" s="17" t="str">
        <f aca="false">IF((E74="fa"),H74," ")</f>
        <v> </v>
      </c>
      <c r="AJ74" s="17" t="str">
        <f aca="false">IF((E74="e"),H74," ")</f>
        <v> </v>
      </c>
    </row>
    <row r="75" customFormat="false" ht="12" hidden="false" customHeight="false" outlineLevel="0" collapsed="false">
      <c r="A75" s="28"/>
      <c r="E75" s="2" t="str">
        <f aca="false">IF((F75&lt;&gt;0),"Enter Letter"," ")</f>
        <v> </v>
      </c>
      <c r="F75" s="30"/>
      <c r="G75" s="6" t="str">
        <f aca="false">IF(F75&lt;&gt;0,F75*G$2/(100+G$2)," ")</f>
        <v> </v>
      </c>
      <c r="H75" s="6" t="str">
        <f aca="false">IF((F75&lt;&gt;0),F75-G75," ")</f>
        <v> </v>
      </c>
      <c r="I75" s="5"/>
      <c r="L75" s="7" t="str">
        <f aca="false">IF(F75&lt;&gt;0,F75-K75," ")</f>
        <v> </v>
      </c>
      <c r="M75" s="8" t="str">
        <f aca="false">IF((F75-K75)&lt;&gt;0,M$1-A75," ")</f>
        <v> </v>
      </c>
      <c r="N75" s="5"/>
      <c r="O75" s="17" t="str">
        <f aca="false">IF((E75="s"),H75," ")</f>
        <v> </v>
      </c>
      <c r="P75" s="17" t="str">
        <f aca="false">IF((E75="c"),H75," ")</f>
        <v> </v>
      </c>
      <c r="Q75" s="17" t="str">
        <f aca="false">IF((E75="o"),H75," ")</f>
        <v> </v>
      </c>
      <c r="R75" s="17" t="str">
        <f aca="false">IF((E75="d"),H75," ")</f>
        <v> </v>
      </c>
      <c r="S75" s="17" t="str">
        <f aca="false">IF((E75="w"),H75," ")</f>
        <v> </v>
      </c>
      <c r="T75" s="17" t="str">
        <f aca="false">IF((E75="r"),H75," ")</f>
        <v> </v>
      </c>
      <c r="U75" s="17" t="str">
        <f aca="false">IF((E75="p"),H75," ")</f>
        <v> </v>
      </c>
      <c r="V75" s="17" t="str">
        <f aca="false">IF((E75="t"),H75," ")</f>
        <v> </v>
      </c>
      <c r="W75" s="17" t="str">
        <f aca="false">IF((E75="q"),H75," ")</f>
        <v> </v>
      </c>
      <c r="X75" s="17" t="str">
        <f aca="false">IF((E75="m"),H75," ")</f>
        <v> </v>
      </c>
      <c r="Y75" s="17" t="str">
        <f aca="false">IF((E75="u"),H75," ")</f>
        <v> </v>
      </c>
      <c r="Z75" s="17" t="str">
        <f aca="false">IF((E75="a"),H75," ")</f>
        <v> </v>
      </c>
      <c r="AA75" s="17" t="str">
        <f aca="false">IF((E75="g"),H75," ")</f>
        <v> </v>
      </c>
      <c r="AB75" s="17" t="str">
        <f aca="false">IF((E75="h"),H75," ")</f>
        <v> </v>
      </c>
      <c r="AC75" s="30" t="str">
        <f aca="false">IF((E75="v"),H75," ")</f>
        <v> </v>
      </c>
      <c r="AD75" s="30" t="str">
        <f aca="false">IF((E75="n"),H75," ")</f>
        <v> </v>
      </c>
      <c r="AE75" s="17" t="str">
        <f aca="false">IF((E75="f"),H75," ")</f>
        <v> </v>
      </c>
      <c r="AF75" s="17" t="str">
        <f aca="false">IF((E75="l"),H75," ")</f>
        <v> </v>
      </c>
      <c r="AG75" s="17" t="str">
        <f aca="false">IF((E75="y"),H75," ")</f>
        <v> </v>
      </c>
      <c r="AH75" s="17" t="str">
        <f aca="false">IF((E75="z"),H75," ")</f>
        <v> </v>
      </c>
      <c r="AI75" s="17" t="str">
        <f aca="false">IF((E75="fa"),H75," ")</f>
        <v> </v>
      </c>
      <c r="AJ75" s="17" t="str">
        <f aca="false">IF((E75="e"),H75," ")</f>
        <v> </v>
      </c>
    </row>
    <row r="76" customFormat="false" ht="12" hidden="false" customHeight="false" outlineLevel="0" collapsed="false">
      <c r="A76" s="28"/>
      <c r="E76" s="2" t="str">
        <f aca="false">IF((F76&lt;&gt;0),"Enter Letter"," ")</f>
        <v> </v>
      </c>
      <c r="F76" s="30"/>
      <c r="G76" s="6" t="str">
        <f aca="false">IF(F76&lt;&gt;0,F76*G$2/(100+G$2)," ")</f>
        <v> </v>
      </c>
      <c r="H76" s="6" t="str">
        <f aca="false">IF((F76&lt;&gt;0),F76-G76," ")</f>
        <v> </v>
      </c>
      <c r="I76" s="5"/>
      <c r="L76" s="7" t="str">
        <f aca="false">IF(F76&lt;&gt;0,F76-K76," ")</f>
        <v> </v>
      </c>
      <c r="M76" s="8" t="str">
        <f aca="false">IF((F76-K76)&lt;&gt;0,M$1-A76," ")</f>
        <v> </v>
      </c>
      <c r="N76" s="5"/>
      <c r="O76" s="17" t="str">
        <f aca="false">IF((E76="s"),H76," ")</f>
        <v> </v>
      </c>
      <c r="P76" s="17" t="str">
        <f aca="false">IF((E76="c"),H76," ")</f>
        <v> </v>
      </c>
      <c r="Q76" s="17" t="str">
        <f aca="false">IF((E76="o"),H76," ")</f>
        <v> </v>
      </c>
      <c r="R76" s="17" t="str">
        <f aca="false">IF((E76="d"),H76," ")</f>
        <v> </v>
      </c>
      <c r="S76" s="17" t="str">
        <f aca="false">IF((E76="w"),H76," ")</f>
        <v> </v>
      </c>
      <c r="T76" s="17" t="str">
        <f aca="false">IF((E76="r"),H76," ")</f>
        <v> </v>
      </c>
      <c r="U76" s="17" t="str">
        <f aca="false">IF((E76="p"),H76," ")</f>
        <v> </v>
      </c>
      <c r="V76" s="17" t="str">
        <f aca="false">IF((E76="t"),H76," ")</f>
        <v> </v>
      </c>
      <c r="W76" s="17" t="str">
        <f aca="false">IF((E76="q"),H76," ")</f>
        <v> </v>
      </c>
      <c r="X76" s="17" t="str">
        <f aca="false">IF((E76="m"),H76," ")</f>
        <v> </v>
      </c>
      <c r="Y76" s="17" t="str">
        <f aca="false">IF((E76="u"),H76," ")</f>
        <v> </v>
      </c>
      <c r="Z76" s="17" t="str">
        <f aca="false">IF((E76="a"),H76," ")</f>
        <v> </v>
      </c>
      <c r="AA76" s="17" t="str">
        <f aca="false">IF((E76="g"),H76," ")</f>
        <v> </v>
      </c>
      <c r="AB76" s="17" t="str">
        <f aca="false">IF((E76="h"),H76," ")</f>
        <v> </v>
      </c>
      <c r="AC76" s="30" t="str">
        <f aca="false">IF((E76="v"),H76," ")</f>
        <v> </v>
      </c>
      <c r="AD76" s="30" t="str">
        <f aca="false">IF((E76="n"),H76," ")</f>
        <v> </v>
      </c>
      <c r="AE76" s="17" t="str">
        <f aca="false">IF((E76="f"),H76," ")</f>
        <v> </v>
      </c>
      <c r="AF76" s="17" t="str">
        <f aca="false">IF((E76="l"),H76," ")</f>
        <v> </v>
      </c>
      <c r="AG76" s="17" t="str">
        <f aca="false">IF((E76="y"),H76," ")</f>
        <v> </v>
      </c>
      <c r="AH76" s="17" t="str">
        <f aca="false">IF((E76="z"),H76," ")</f>
        <v> </v>
      </c>
      <c r="AI76" s="17" t="str">
        <f aca="false">IF((E76="fa"),H76," ")</f>
        <v> </v>
      </c>
      <c r="AJ76" s="17" t="str">
        <f aca="false">IF((E76="e"),H76," ")</f>
        <v> </v>
      </c>
    </row>
    <row r="77" customFormat="false" ht="12" hidden="false" customHeight="false" outlineLevel="0" collapsed="false">
      <c r="A77" s="28"/>
      <c r="E77" s="2" t="str">
        <f aca="false">IF((F77&lt;&gt;0),"Enter Letter"," ")</f>
        <v> </v>
      </c>
      <c r="F77" s="30"/>
      <c r="G77" s="6" t="str">
        <f aca="false">IF(F77&lt;&gt;0,F77*G$2/(100+G$2)," ")</f>
        <v> </v>
      </c>
      <c r="H77" s="6" t="str">
        <f aca="false">IF((F77&lt;&gt;0),F77-G77," ")</f>
        <v> </v>
      </c>
      <c r="I77" s="5"/>
      <c r="L77" s="7" t="str">
        <f aca="false">IF(F77&lt;&gt;0,F77-K77," ")</f>
        <v> </v>
      </c>
      <c r="M77" s="8" t="str">
        <f aca="false">IF((F77-K77)&lt;&gt;0,M$1-A77," ")</f>
        <v> </v>
      </c>
      <c r="N77" s="5"/>
      <c r="O77" s="17" t="str">
        <f aca="false">IF((E77="s"),H77," ")</f>
        <v> </v>
      </c>
      <c r="P77" s="17" t="str">
        <f aca="false">IF((E77="c"),H77," ")</f>
        <v> </v>
      </c>
      <c r="Q77" s="17" t="str">
        <f aca="false">IF((E77="o"),H77," ")</f>
        <v> </v>
      </c>
      <c r="R77" s="17" t="str">
        <f aca="false">IF((E77="d"),H77," ")</f>
        <v> </v>
      </c>
      <c r="S77" s="17" t="str">
        <f aca="false">IF((E77="w"),H77," ")</f>
        <v> </v>
      </c>
      <c r="T77" s="17" t="str">
        <f aca="false">IF((E77="r"),H77," ")</f>
        <v> </v>
      </c>
      <c r="U77" s="17" t="str">
        <f aca="false">IF((E77="p"),H77," ")</f>
        <v> </v>
      </c>
      <c r="V77" s="17" t="str">
        <f aca="false">IF((E77="t"),H77," ")</f>
        <v> </v>
      </c>
      <c r="W77" s="17" t="str">
        <f aca="false">IF((E77="q"),H77," ")</f>
        <v> </v>
      </c>
      <c r="X77" s="17" t="str">
        <f aca="false">IF((E77="m"),H77," ")</f>
        <v> </v>
      </c>
      <c r="Y77" s="17" t="str">
        <f aca="false">IF((E77="u"),H77," ")</f>
        <v> </v>
      </c>
      <c r="Z77" s="17" t="str">
        <f aca="false">IF((E77="a"),H77," ")</f>
        <v> </v>
      </c>
      <c r="AA77" s="17" t="str">
        <f aca="false">IF((E77="g"),H77," ")</f>
        <v> </v>
      </c>
      <c r="AB77" s="17" t="str">
        <f aca="false">IF((E77="h"),H77," ")</f>
        <v> </v>
      </c>
      <c r="AC77" s="30" t="str">
        <f aca="false">IF((E77="v"),H77," ")</f>
        <v> </v>
      </c>
      <c r="AD77" s="30" t="str">
        <f aca="false">IF((E77="n"),H77," ")</f>
        <v> </v>
      </c>
      <c r="AE77" s="17" t="str">
        <f aca="false">IF((E77="f"),H77," ")</f>
        <v> </v>
      </c>
      <c r="AF77" s="17" t="str">
        <f aca="false">IF((E77="l"),H77," ")</f>
        <v> </v>
      </c>
      <c r="AG77" s="17" t="str">
        <f aca="false">IF((E77="y"),H77," ")</f>
        <v> </v>
      </c>
      <c r="AH77" s="17" t="str">
        <f aca="false">IF((E77="z"),H77," ")</f>
        <v> </v>
      </c>
      <c r="AI77" s="17" t="str">
        <f aca="false">IF((E77="fa"),H77," ")</f>
        <v> </v>
      </c>
      <c r="AJ77" s="17" t="str">
        <f aca="false">IF((E77="e"),H77," ")</f>
        <v> </v>
      </c>
    </row>
    <row r="78" customFormat="false" ht="12" hidden="false" customHeight="false" outlineLevel="0" collapsed="false">
      <c r="A78" s="28"/>
      <c r="E78" s="2" t="str">
        <f aca="false">IF((F78&lt;&gt;0),"Enter Letter"," ")</f>
        <v> </v>
      </c>
      <c r="F78" s="30"/>
      <c r="G78" s="6" t="str">
        <f aca="false">IF(F78&lt;&gt;0,F78*G$2/(100+G$2)," ")</f>
        <v> </v>
      </c>
      <c r="H78" s="6" t="str">
        <f aca="false">IF((F78&lt;&gt;0),F78-G78," ")</f>
        <v> </v>
      </c>
      <c r="I78" s="5"/>
      <c r="L78" s="7" t="str">
        <f aca="false">IF(F78&lt;&gt;0,F78-K78," ")</f>
        <v> </v>
      </c>
      <c r="M78" s="8" t="str">
        <f aca="false">IF((F78-K78)&lt;&gt;0,M$1-A78," ")</f>
        <v> </v>
      </c>
      <c r="N78" s="5"/>
      <c r="O78" s="17" t="str">
        <f aca="false">IF((E78="s"),H78," ")</f>
        <v> </v>
      </c>
      <c r="P78" s="17" t="str">
        <f aca="false">IF((E78="c"),H78," ")</f>
        <v> </v>
      </c>
      <c r="Q78" s="17" t="str">
        <f aca="false">IF((E78="o"),H78," ")</f>
        <v> </v>
      </c>
      <c r="R78" s="17" t="str">
        <f aca="false">IF((E78="d"),H78," ")</f>
        <v> </v>
      </c>
      <c r="S78" s="17" t="str">
        <f aca="false">IF((E78="w"),H78," ")</f>
        <v> </v>
      </c>
      <c r="T78" s="17" t="str">
        <f aca="false">IF((E78="r"),H78," ")</f>
        <v> </v>
      </c>
      <c r="U78" s="17" t="str">
        <f aca="false">IF((E78="p"),H78," ")</f>
        <v> </v>
      </c>
      <c r="V78" s="17" t="str">
        <f aca="false">IF((E78="t"),H78," ")</f>
        <v> </v>
      </c>
      <c r="W78" s="17" t="str">
        <f aca="false">IF((E78="q"),H78," ")</f>
        <v> </v>
      </c>
      <c r="X78" s="17" t="str">
        <f aca="false">IF((E78="m"),H78," ")</f>
        <v> </v>
      </c>
      <c r="Y78" s="17" t="str">
        <f aca="false">IF((E78="u"),H78," ")</f>
        <v> </v>
      </c>
      <c r="Z78" s="17" t="str">
        <f aca="false">IF((E78="a"),H78," ")</f>
        <v> </v>
      </c>
      <c r="AA78" s="17" t="str">
        <f aca="false">IF((E78="g"),H78," ")</f>
        <v> </v>
      </c>
      <c r="AB78" s="17" t="str">
        <f aca="false">IF((E78="h"),H78," ")</f>
        <v> </v>
      </c>
      <c r="AC78" s="30" t="str">
        <f aca="false">IF((E78="v"),H78," ")</f>
        <v> </v>
      </c>
      <c r="AD78" s="30" t="str">
        <f aca="false">IF((E78="n"),H78," ")</f>
        <v> </v>
      </c>
      <c r="AE78" s="17" t="str">
        <f aca="false">IF((E78="f"),H78," ")</f>
        <v> </v>
      </c>
      <c r="AF78" s="17" t="str">
        <f aca="false">IF((E78="l"),H78," ")</f>
        <v> </v>
      </c>
      <c r="AG78" s="17" t="str">
        <f aca="false">IF((E78="y"),H78," ")</f>
        <v> </v>
      </c>
      <c r="AH78" s="17" t="str">
        <f aca="false">IF((E78="z"),H78," ")</f>
        <v> </v>
      </c>
      <c r="AI78" s="17" t="str">
        <f aca="false">IF((E78="fa"),H78," ")</f>
        <v> </v>
      </c>
      <c r="AJ78" s="17" t="str">
        <f aca="false">IF((E78="e"),H78," ")</f>
        <v> </v>
      </c>
    </row>
    <row r="79" customFormat="false" ht="12" hidden="false" customHeight="false" outlineLevel="0" collapsed="false">
      <c r="A79" s="28"/>
      <c r="E79" s="2" t="str">
        <f aca="false">IF((F79&lt;&gt;0),"Enter Letter"," ")</f>
        <v> </v>
      </c>
      <c r="F79" s="30"/>
      <c r="G79" s="6" t="str">
        <f aca="false">IF(F79&lt;&gt;0,F79*G$2/(100+G$2)," ")</f>
        <v> </v>
      </c>
      <c r="H79" s="6" t="str">
        <f aca="false">IF((F79&lt;&gt;0),F79-G79," ")</f>
        <v> </v>
      </c>
      <c r="I79" s="5"/>
      <c r="L79" s="7" t="str">
        <f aca="false">IF(F79&lt;&gt;0,F79-K79," ")</f>
        <v> </v>
      </c>
      <c r="M79" s="8" t="str">
        <f aca="false">IF((F79-K79)&lt;&gt;0,M$1-A79," ")</f>
        <v> </v>
      </c>
      <c r="N79" s="5"/>
      <c r="O79" s="17" t="str">
        <f aca="false">IF((E79="s"),H79," ")</f>
        <v> </v>
      </c>
      <c r="P79" s="17" t="str">
        <f aca="false">IF((E79="c"),H79," ")</f>
        <v> </v>
      </c>
      <c r="Q79" s="17" t="str">
        <f aca="false">IF((E79="o"),H79," ")</f>
        <v> </v>
      </c>
      <c r="R79" s="17" t="str">
        <f aca="false">IF((E79="d"),H79," ")</f>
        <v> </v>
      </c>
      <c r="S79" s="17" t="str">
        <f aca="false">IF((E79="w"),H79," ")</f>
        <v> </v>
      </c>
      <c r="T79" s="17" t="str">
        <f aca="false">IF((E79="r"),H79," ")</f>
        <v> </v>
      </c>
      <c r="U79" s="17" t="str">
        <f aca="false">IF((E79="p"),H79," ")</f>
        <v> </v>
      </c>
      <c r="V79" s="17" t="str">
        <f aca="false">IF((E79="t"),H79," ")</f>
        <v> </v>
      </c>
      <c r="W79" s="17" t="str">
        <f aca="false">IF((E79="q"),H79," ")</f>
        <v> </v>
      </c>
      <c r="X79" s="17" t="str">
        <f aca="false">IF((E79="m"),H79," ")</f>
        <v> </v>
      </c>
      <c r="Y79" s="17" t="str">
        <f aca="false">IF((E79="u"),H79," ")</f>
        <v> </v>
      </c>
      <c r="Z79" s="17" t="str">
        <f aca="false">IF((E79="a"),H79," ")</f>
        <v> </v>
      </c>
      <c r="AA79" s="17" t="str">
        <f aca="false">IF((E79="g"),H79," ")</f>
        <v> </v>
      </c>
      <c r="AB79" s="17" t="str">
        <f aca="false">IF((E79="h"),H79," ")</f>
        <v> </v>
      </c>
      <c r="AC79" s="30" t="str">
        <f aca="false">IF((E79="v"),H79," ")</f>
        <v> </v>
      </c>
      <c r="AD79" s="30" t="str">
        <f aca="false">IF((E79="n"),H79," ")</f>
        <v> </v>
      </c>
      <c r="AE79" s="17" t="str">
        <f aca="false">IF((E79="f"),H79," ")</f>
        <v> </v>
      </c>
      <c r="AF79" s="17" t="str">
        <f aca="false">IF((E79="l"),H79," ")</f>
        <v> </v>
      </c>
      <c r="AG79" s="17" t="str">
        <f aca="false">IF((E79="y"),H79," ")</f>
        <v> </v>
      </c>
      <c r="AH79" s="17" t="str">
        <f aca="false">IF((E79="z"),H79," ")</f>
        <v> </v>
      </c>
      <c r="AI79" s="17" t="str">
        <f aca="false">IF((E79="fa"),H79," ")</f>
        <v> </v>
      </c>
      <c r="AJ79" s="17" t="str">
        <f aca="false">IF((E79="e"),H79," ")</f>
        <v> </v>
      </c>
    </row>
    <row r="80" customFormat="false" ht="12" hidden="false" customHeight="false" outlineLevel="0" collapsed="false">
      <c r="A80" s="28"/>
      <c r="E80" s="2" t="str">
        <f aca="false">IF((F80&lt;&gt;0),"Enter Letter"," ")</f>
        <v> </v>
      </c>
      <c r="F80" s="30"/>
      <c r="G80" s="6" t="str">
        <f aca="false">IF(F80&lt;&gt;0,F80*G$2/(100+G$2)," ")</f>
        <v> </v>
      </c>
      <c r="H80" s="6" t="str">
        <f aca="false">IF((F80&lt;&gt;0),F80-G80," ")</f>
        <v> </v>
      </c>
      <c r="I80" s="5"/>
      <c r="L80" s="7" t="str">
        <f aca="false">IF(F80&lt;&gt;0,F80-K80," ")</f>
        <v> </v>
      </c>
      <c r="M80" s="8" t="str">
        <f aca="false">IF((F80-K80)&lt;&gt;0,M$1-A80," ")</f>
        <v> </v>
      </c>
      <c r="N80" s="5"/>
      <c r="O80" s="17" t="str">
        <f aca="false">IF((E80="s"),H80," ")</f>
        <v> </v>
      </c>
      <c r="P80" s="17" t="str">
        <f aca="false">IF((E80="c"),H80," ")</f>
        <v> </v>
      </c>
      <c r="Q80" s="17" t="str">
        <f aca="false">IF((E80="o"),H80," ")</f>
        <v> </v>
      </c>
      <c r="R80" s="17" t="str">
        <f aca="false">IF((E80="d"),H80," ")</f>
        <v> </v>
      </c>
      <c r="S80" s="17" t="str">
        <f aca="false">IF((E80="w"),H80," ")</f>
        <v> </v>
      </c>
      <c r="T80" s="17" t="str">
        <f aca="false">IF((E80="r"),H80," ")</f>
        <v> </v>
      </c>
      <c r="U80" s="17" t="str">
        <f aca="false">IF((E80="p"),H80," ")</f>
        <v> </v>
      </c>
      <c r="V80" s="17" t="str">
        <f aca="false">IF((E80="t"),H80," ")</f>
        <v> </v>
      </c>
      <c r="W80" s="17" t="str">
        <f aca="false">IF((E80="q"),H80," ")</f>
        <v> </v>
      </c>
      <c r="X80" s="17" t="str">
        <f aca="false">IF((E80="m"),H80," ")</f>
        <v> </v>
      </c>
      <c r="Y80" s="17" t="str">
        <f aca="false">IF((E80="u"),H80," ")</f>
        <v> </v>
      </c>
      <c r="Z80" s="17" t="str">
        <f aca="false">IF((E80="a"),H80," ")</f>
        <v> </v>
      </c>
      <c r="AA80" s="17" t="str">
        <f aca="false">IF((E80="g"),H80," ")</f>
        <v> </v>
      </c>
      <c r="AB80" s="17" t="str">
        <f aca="false">IF((E80="h"),H80," ")</f>
        <v> </v>
      </c>
      <c r="AC80" s="30" t="str">
        <f aca="false">IF((E80="v"),H80," ")</f>
        <v> </v>
      </c>
      <c r="AD80" s="30" t="str">
        <f aca="false">IF((E80="n"),H80," ")</f>
        <v> </v>
      </c>
      <c r="AE80" s="17" t="str">
        <f aca="false">IF((E80="f"),H80," ")</f>
        <v> </v>
      </c>
      <c r="AF80" s="17" t="str">
        <f aca="false">IF((E80="l"),H80," ")</f>
        <v> </v>
      </c>
      <c r="AG80" s="17" t="str">
        <f aca="false">IF((E80="y"),H80," ")</f>
        <v> </v>
      </c>
      <c r="AH80" s="17" t="str">
        <f aca="false">IF((E80="z"),H80," ")</f>
        <v> </v>
      </c>
      <c r="AI80" s="17" t="str">
        <f aca="false">IF((E80="fa"),H80," ")</f>
        <v> </v>
      </c>
      <c r="AJ80" s="17" t="str">
        <f aca="false">IF((E80="e"),H80," ")</f>
        <v> </v>
      </c>
    </row>
    <row r="81" customFormat="false" ht="12" hidden="false" customHeight="false" outlineLevel="0" collapsed="false">
      <c r="A81" s="28"/>
      <c r="E81" s="2" t="str">
        <f aca="false">IF((F81&lt;&gt;0),"Enter Letter"," ")</f>
        <v> </v>
      </c>
      <c r="F81" s="30"/>
      <c r="G81" s="6" t="str">
        <f aca="false">IF(F81&lt;&gt;0,F81*G$2/(100+G$2)," ")</f>
        <v> </v>
      </c>
      <c r="H81" s="6" t="str">
        <f aca="false">IF((F81&lt;&gt;0),F81-G81," ")</f>
        <v> </v>
      </c>
      <c r="I81" s="5"/>
      <c r="L81" s="7" t="str">
        <f aca="false">IF(F81&lt;&gt;0,F81-K81," ")</f>
        <v> </v>
      </c>
      <c r="M81" s="8" t="str">
        <f aca="false">IF((F81-K81)&lt;&gt;0,M$1-A81," ")</f>
        <v> </v>
      </c>
      <c r="N81" s="5"/>
      <c r="O81" s="17" t="str">
        <f aca="false">IF((E81="s"),H81," ")</f>
        <v> </v>
      </c>
      <c r="P81" s="17" t="str">
        <f aca="false">IF((E81="c"),H81," ")</f>
        <v> </v>
      </c>
      <c r="Q81" s="17" t="str">
        <f aca="false">IF((E81="o"),H81," ")</f>
        <v> </v>
      </c>
      <c r="R81" s="17" t="str">
        <f aca="false">IF((E81="d"),H81," ")</f>
        <v> </v>
      </c>
      <c r="S81" s="17" t="str">
        <f aca="false">IF((E81="w"),H81," ")</f>
        <v> </v>
      </c>
      <c r="T81" s="17" t="str">
        <f aca="false">IF((E81="r"),H81," ")</f>
        <v> </v>
      </c>
      <c r="U81" s="17" t="str">
        <f aca="false">IF((E81="p"),H81," ")</f>
        <v> </v>
      </c>
      <c r="V81" s="17" t="str">
        <f aca="false">IF((E81="t"),H81," ")</f>
        <v> </v>
      </c>
      <c r="W81" s="17" t="str">
        <f aca="false">IF((E81="q"),H81," ")</f>
        <v> </v>
      </c>
      <c r="X81" s="17" t="str">
        <f aca="false">IF((E81="m"),H81," ")</f>
        <v> </v>
      </c>
      <c r="Y81" s="17" t="str">
        <f aca="false">IF((E81="u"),H81," ")</f>
        <v> </v>
      </c>
      <c r="Z81" s="17" t="str">
        <f aca="false">IF((E81="a"),H81," ")</f>
        <v> </v>
      </c>
      <c r="AA81" s="17" t="str">
        <f aca="false">IF((E81="g"),H81," ")</f>
        <v> </v>
      </c>
      <c r="AB81" s="17" t="str">
        <f aca="false">IF((E81="h"),H81," ")</f>
        <v> </v>
      </c>
      <c r="AC81" s="30" t="str">
        <f aca="false">IF((E81="v"),H81," ")</f>
        <v> </v>
      </c>
      <c r="AD81" s="30" t="str">
        <f aca="false">IF((E81="n"),H81," ")</f>
        <v> </v>
      </c>
      <c r="AE81" s="17" t="str">
        <f aca="false">IF((E81="f"),H81," ")</f>
        <v> </v>
      </c>
      <c r="AF81" s="17" t="str">
        <f aca="false">IF((E81="l"),H81," ")</f>
        <v> </v>
      </c>
      <c r="AG81" s="17" t="str">
        <f aca="false">IF((E81="y"),H81," ")</f>
        <v> </v>
      </c>
      <c r="AH81" s="17" t="str">
        <f aca="false">IF((E81="z"),H81," ")</f>
        <v> </v>
      </c>
      <c r="AI81" s="17" t="str">
        <f aca="false">IF((E81="fa"),H81," ")</f>
        <v> </v>
      </c>
      <c r="AJ81" s="17" t="str">
        <f aca="false">IF((E81="e"),H81," ")</f>
        <v> </v>
      </c>
    </row>
    <row r="82" customFormat="false" ht="12" hidden="false" customHeight="false" outlineLevel="0" collapsed="false">
      <c r="A82" s="28"/>
      <c r="E82" s="2" t="str">
        <f aca="false">IF((F82&lt;&gt;0),"Enter Letter"," ")</f>
        <v> </v>
      </c>
      <c r="F82" s="30"/>
      <c r="G82" s="6" t="str">
        <f aca="false">IF(F82&lt;&gt;0,F82*G$2/(100+G$2)," ")</f>
        <v> </v>
      </c>
      <c r="H82" s="6" t="str">
        <f aca="false">IF((F82&lt;&gt;0),F82-G82," ")</f>
        <v> </v>
      </c>
      <c r="I82" s="5"/>
      <c r="L82" s="7" t="str">
        <f aca="false">IF(F82&lt;&gt;0,F82-K82," ")</f>
        <v> </v>
      </c>
      <c r="M82" s="8" t="str">
        <f aca="false">IF((F82-K82)&lt;&gt;0,M$1-A82," ")</f>
        <v> </v>
      </c>
      <c r="N82" s="5"/>
      <c r="O82" s="17" t="str">
        <f aca="false">IF((E82="s"),H82," ")</f>
        <v> </v>
      </c>
      <c r="P82" s="17" t="str">
        <f aca="false">IF((E82="c"),H82," ")</f>
        <v> </v>
      </c>
      <c r="Q82" s="17" t="str">
        <f aca="false">IF((E82="o"),H82," ")</f>
        <v> </v>
      </c>
      <c r="R82" s="17" t="str">
        <f aca="false">IF((E82="d"),H82," ")</f>
        <v> </v>
      </c>
      <c r="S82" s="17" t="str">
        <f aca="false">IF((E82="w"),H82," ")</f>
        <v> </v>
      </c>
      <c r="T82" s="17" t="str">
        <f aca="false">IF((E82="r"),H82," ")</f>
        <v> </v>
      </c>
      <c r="U82" s="17" t="str">
        <f aca="false">IF((E82="p"),H82," ")</f>
        <v> </v>
      </c>
      <c r="V82" s="17" t="str">
        <f aca="false">IF((E82="t"),H82," ")</f>
        <v> </v>
      </c>
      <c r="W82" s="17" t="str">
        <f aca="false">IF((E82="q"),H82," ")</f>
        <v> </v>
      </c>
      <c r="X82" s="17" t="str">
        <f aca="false">IF((E82="m"),H82," ")</f>
        <v> </v>
      </c>
      <c r="Y82" s="17" t="str">
        <f aca="false">IF((E82="u"),H82," ")</f>
        <v> </v>
      </c>
      <c r="Z82" s="17" t="str">
        <f aca="false">IF((E82="a"),H82," ")</f>
        <v> </v>
      </c>
      <c r="AA82" s="17" t="str">
        <f aca="false">IF((E82="g"),H82," ")</f>
        <v> </v>
      </c>
      <c r="AB82" s="17" t="str">
        <f aca="false">IF((E82="h"),H82," ")</f>
        <v> </v>
      </c>
      <c r="AC82" s="30" t="str">
        <f aca="false">IF((E82="v"),H82," ")</f>
        <v> </v>
      </c>
      <c r="AD82" s="30" t="str">
        <f aca="false">IF((E82="n"),H82," ")</f>
        <v> </v>
      </c>
      <c r="AE82" s="17" t="str">
        <f aca="false">IF((E82="f"),H82," ")</f>
        <v> </v>
      </c>
      <c r="AF82" s="17" t="str">
        <f aca="false">IF((E82="l"),H82," ")</f>
        <v> </v>
      </c>
      <c r="AG82" s="17" t="str">
        <f aca="false">IF((E82="y"),H82," ")</f>
        <v> </v>
      </c>
      <c r="AH82" s="17" t="str">
        <f aca="false">IF((E82="z"),H82," ")</f>
        <v> </v>
      </c>
      <c r="AI82" s="17" t="str">
        <f aca="false">IF((E82="fa"),H82," ")</f>
        <v> </v>
      </c>
      <c r="AJ82" s="17" t="str">
        <f aca="false">IF((E82="e"),H82," ")</f>
        <v> </v>
      </c>
    </row>
    <row r="83" customFormat="false" ht="12" hidden="false" customHeight="false" outlineLevel="0" collapsed="false">
      <c r="A83" s="28"/>
      <c r="E83" s="2" t="str">
        <f aca="false">IF((F83&lt;&gt;0),"Enter Letter"," ")</f>
        <v> </v>
      </c>
      <c r="F83" s="30"/>
      <c r="G83" s="6" t="str">
        <f aca="false">IF(F83&lt;&gt;0,F83*G$2/(100+G$2)," ")</f>
        <v> </v>
      </c>
      <c r="H83" s="6" t="str">
        <f aca="false">IF((F83&lt;&gt;0),F83-G83," ")</f>
        <v> </v>
      </c>
      <c r="I83" s="5"/>
      <c r="L83" s="7" t="str">
        <f aca="false">IF(F83&lt;&gt;0,F83-K83," ")</f>
        <v> </v>
      </c>
      <c r="M83" s="8" t="str">
        <f aca="false">IF((F83-K83)&lt;&gt;0,M$1-A83," ")</f>
        <v> </v>
      </c>
      <c r="N83" s="5"/>
      <c r="O83" s="17" t="str">
        <f aca="false">IF((E83="s"),H83," ")</f>
        <v> </v>
      </c>
      <c r="P83" s="17" t="str">
        <f aca="false">IF((E83="c"),H83," ")</f>
        <v> </v>
      </c>
      <c r="Q83" s="17" t="str">
        <f aca="false">IF((E83="o"),H83," ")</f>
        <v> </v>
      </c>
      <c r="R83" s="17" t="str">
        <f aca="false">IF((E83="d"),H83," ")</f>
        <v> </v>
      </c>
      <c r="S83" s="17" t="str">
        <f aca="false">IF((E83="w"),H83," ")</f>
        <v> </v>
      </c>
      <c r="T83" s="17" t="str">
        <f aca="false">IF((E83="r"),H83," ")</f>
        <v> </v>
      </c>
      <c r="U83" s="17" t="str">
        <f aca="false">IF((E83="p"),H83," ")</f>
        <v> </v>
      </c>
      <c r="V83" s="17" t="str">
        <f aca="false">IF((E83="t"),H83," ")</f>
        <v> </v>
      </c>
      <c r="W83" s="17" t="str">
        <f aca="false">IF((E83="q"),H83," ")</f>
        <v> </v>
      </c>
      <c r="X83" s="17" t="str">
        <f aca="false">IF((E83="m"),H83," ")</f>
        <v> </v>
      </c>
      <c r="Y83" s="17" t="str">
        <f aca="false">IF((E83="u"),H83," ")</f>
        <v> </v>
      </c>
      <c r="Z83" s="17" t="str">
        <f aca="false">IF((E83="a"),H83," ")</f>
        <v> </v>
      </c>
      <c r="AA83" s="17" t="str">
        <f aca="false">IF((E83="g"),H83," ")</f>
        <v> </v>
      </c>
      <c r="AB83" s="17" t="str">
        <f aca="false">IF((E83="h"),H83," ")</f>
        <v> </v>
      </c>
      <c r="AC83" s="30" t="str">
        <f aca="false">IF((E83="v"),H83," ")</f>
        <v> </v>
      </c>
      <c r="AD83" s="30" t="str">
        <f aca="false">IF((E83="n"),H83," ")</f>
        <v> </v>
      </c>
      <c r="AE83" s="17" t="str">
        <f aca="false">IF((E83="f"),H83," ")</f>
        <v> </v>
      </c>
      <c r="AF83" s="17" t="str">
        <f aca="false">IF((E83="l"),H83," ")</f>
        <v> </v>
      </c>
      <c r="AG83" s="17" t="str">
        <f aca="false">IF((E83="y"),H83," ")</f>
        <v> </v>
      </c>
      <c r="AH83" s="17" t="str">
        <f aca="false">IF((E83="z"),H83," ")</f>
        <v> </v>
      </c>
      <c r="AI83" s="17" t="str">
        <f aca="false">IF((E83="fa"),H83," ")</f>
        <v> </v>
      </c>
      <c r="AJ83" s="17" t="str">
        <f aca="false">IF((E83="e"),H83," ")</f>
        <v> </v>
      </c>
    </row>
    <row r="84" customFormat="false" ht="12" hidden="false" customHeight="false" outlineLevel="0" collapsed="false">
      <c r="A84" s="28"/>
      <c r="E84" s="2" t="str">
        <f aca="false">IF((F84&lt;&gt;0),"Enter Letter"," ")</f>
        <v> </v>
      </c>
      <c r="F84" s="30"/>
      <c r="G84" s="6" t="str">
        <f aca="false">IF(F84&lt;&gt;0,F84*G$2/(100+G$2)," ")</f>
        <v> </v>
      </c>
      <c r="H84" s="6" t="str">
        <f aca="false">IF((F84&lt;&gt;0),F84-G84," ")</f>
        <v> </v>
      </c>
      <c r="I84" s="5"/>
      <c r="L84" s="7" t="str">
        <f aca="false">IF(F84&lt;&gt;0,F84-K84," ")</f>
        <v> </v>
      </c>
      <c r="M84" s="8" t="str">
        <f aca="false">IF((F84-K84)&lt;&gt;0,M$1-A84," ")</f>
        <v> </v>
      </c>
      <c r="N84" s="5"/>
      <c r="O84" s="17" t="str">
        <f aca="false">IF((E84="s"),H84," ")</f>
        <v> </v>
      </c>
      <c r="P84" s="17" t="str">
        <f aca="false">IF((E84="c"),H84," ")</f>
        <v> </v>
      </c>
      <c r="Q84" s="17" t="str">
        <f aca="false">IF((E84="o"),H84," ")</f>
        <v> </v>
      </c>
      <c r="R84" s="17" t="str">
        <f aca="false">IF((E84="d"),H84," ")</f>
        <v> </v>
      </c>
      <c r="S84" s="17" t="str">
        <f aca="false">IF((E84="w"),H84," ")</f>
        <v> </v>
      </c>
      <c r="T84" s="17" t="str">
        <f aca="false">IF((E84="r"),H84," ")</f>
        <v> </v>
      </c>
      <c r="U84" s="17" t="str">
        <f aca="false">IF((E84="p"),H84," ")</f>
        <v> </v>
      </c>
      <c r="V84" s="17" t="str">
        <f aca="false">IF((E84="t"),H84," ")</f>
        <v> </v>
      </c>
      <c r="W84" s="17" t="str">
        <f aca="false">IF((E84="q"),H84," ")</f>
        <v> </v>
      </c>
      <c r="X84" s="17" t="str">
        <f aca="false">IF((E84="m"),H84," ")</f>
        <v> </v>
      </c>
      <c r="Y84" s="17" t="str">
        <f aca="false">IF((E84="u"),H84," ")</f>
        <v> </v>
      </c>
      <c r="Z84" s="17" t="str">
        <f aca="false">IF((E84="a"),H84," ")</f>
        <v> </v>
      </c>
      <c r="AA84" s="17" t="str">
        <f aca="false">IF((E84="g"),H84," ")</f>
        <v> </v>
      </c>
      <c r="AB84" s="17" t="str">
        <f aca="false">IF((E84="h"),H84," ")</f>
        <v> </v>
      </c>
      <c r="AC84" s="30" t="str">
        <f aca="false">IF((E84="v"),H84," ")</f>
        <v> </v>
      </c>
      <c r="AD84" s="30" t="str">
        <f aca="false">IF((E84="n"),H84," ")</f>
        <v> </v>
      </c>
      <c r="AE84" s="17" t="str">
        <f aca="false">IF((E84="f"),H84," ")</f>
        <v> </v>
      </c>
      <c r="AF84" s="17" t="str">
        <f aca="false">IF((E84="l"),H84," ")</f>
        <v> </v>
      </c>
      <c r="AG84" s="17" t="str">
        <f aca="false">IF((E84="y"),H84," ")</f>
        <v> </v>
      </c>
      <c r="AH84" s="17" t="str">
        <f aca="false">IF((E84="z"),H84," ")</f>
        <v> </v>
      </c>
      <c r="AI84" s="17" t="str">
        <f aca="false">IF((E84="fa"),H84," ")</f>
        <v> </v>
      </c>
      <c r="AJ84" s="17" t="str">
        <f aca="false">IF((E84="e"),H84," ")</f>
        <v> </v>
      </c>
    </row>
    <row r="85" customFormat="false" ht="12" hidden="false" customHeight="false" outlineLevel="0" collapsed="false">
      <c r="A85" s="28"/>
      <c r="E85" s="2" t="str">
        <f aca="false">IF((F85&lt;&gt;0),"Enter Letter"," ")</f>
        <v> </v>
      </c>
      <c r="F85" s="30"/>
      <c r="G85" s="6" t="str">
        <f aca="false">IF(F85&lt;&gt;0,F85*G$2/(100+G$2)," ")</f>
        <v> </v>
      </c>
      <c r="H85" s="6" t="str">
        <f aca="false">IF((F85&lt;&gt;0),F85-G85," ")</f>
        <v> </v>
      </c>
      <c r="I85" s="5"/>
      <c r="L85" s="7" t="str">
        <f aca="false">IF(F85&lt;&gt;0,F85-K85," ")</f>
        <v> </v>
      </c>
      <c r="M85" s="8" t="str">
        <f aca="false">IF((F85-K85)&lt;&gt;0,M$1-A85," ")</f>
        <v> </v>
      </c>
      <c r="N85" s="5"/>
      <c r="O85" s="17" t="str">
        <f aca="false">IF((E85="s"),H85," ")</f>
        <v> </v>
      </c>
      <c r="P85" s="17" t="str">
        <f aca="false">IF((E85="c"),H85," ")</f>
        <v> </v>
      </c>
      <c r="Q85" s="17" t="str">
        <f aca="false">IF((E85="o"),H85," ")</f>
        <v> </v>
      </c>
      <c r="R85" s="17" t="str">
        <f aca="false">IF((E85="d"),H85," ")</f>
        <v> </v>
      </c>
      <c r="S85" s="17" t="str">
        <f aca="false">IF((E85="w"),H85," ")</f>
        <v> </v>
      </c>
      <c r="T85" s="17" t="str">
        <f aca="false">IF((E85="r"),H85," ")</f>
        <v> </v>
      </c>
      <c r="U85" s="17" t="str">
        <f aca="false">IF((E85="p"),H85," ")</f>
        <v> </v>
      </c>
      <c r="V85" s="17" t="str">
        <f aca="false">IF((E85="t"),H85," ")</f>
        <v> </v>
      </c>
      <c r="W85" s="17" t="str">
        <f aca="false">IF((E85="q"),H85," ")</f>
        <v> </v>
      </c>
      <c r="X85" s="17" t="str">
        <f aca="false">IF((E85="m"),H85," ")</f>
        <v> </v>
      </c>
      <c r="Y85" s="17" t="str">
        <f aca="false">IF((E85="u"),H85," ")</f>
        <v> </v>
      </c>
      <c r="Z85" s="17" t="str">
        <f aca="false">IF((E85="a"),H85," ")</f>
        <v> </v>
      </c>
      <c r="AA85" s="17" t="str">
        <f aca="false">IF((E85="g"),H85," ")</f>
        <v> </v>
      </c>
      <c r="AB85" s="17" t="str">
        <f aca="false">IF((E85="h"),H85," ")</f>
        <v> </v>
      </c>
      <c r="AC85" s="30" t="str">
        <f aca="false">IF((E85="v"),H85," ")</f>
        <v> </v>
      </c>
      <c r="AD85" s="30" t="str">
        <f aca="false">IF((E85="n"),H85," ")</f>
        <v> </v>
      </c>
      <c r="AE85" s="17" t="str">
        <f aca="false">IF((E85="f"),H85," ")</f>
        <v> </v>
      </c>
      <c r="AF85" s="17" t="str">
        <f aca="false">IF((E85="l"),H85," ")</f>
        <v> </v>
      </c>
      <c r="AG85" s="17" t="str">
        <f aca="false">IF((E85="y"),H85," ")</f>
        <v> </v>
      </c>
      <c r="AH85" s="17" t="str">
        <f aca="false">IF((E85="z"),H85," ")</f>
        <v> </v>
      </c>
      <c r="AI85" s="17" t="str">
        <f aca="false">IF((E85="fa"),H85," ")</f>
        <v> </v>
      </c>
      <c r="AJ85" s="17" t="str">
        <f aca="false">IF((E85="e"),H85," ")</f>
        <v> </v>
      </c>
    </row>
    <row r="86" customFormat="false" ht="12" hidden="false" customHeight="false" outlineLevel="0" collapsed="false">
      <c r="A86" s="28"/>
      <c r="E86" s="2" t="str">
        <f aca="false">IF((F86&lt;&gt;0),"Enter Letter"," ")</f>
        <v> </v>
      </c>
      <c r="F86" s="30"/>
      <c r="G86" s="6" t="str">
        <f aca="false">IF(F86&lt;&gt;0,F86*G$2/(100+G$2)," ")</f>
        <v> </v>
      </c>
      <c r="H86" s="6" t="str">
        <f aca="false">IF((F86&lt;&gt;0),F86-G86," ")</f>
        <v> </v>
      </c>
      <c r="I86" s="5"/>
      <c r="L86" s="7" t="str">
        <f aca="false">IF(F86&lt;&gt;0,F86-K86," ")</f>
        <v> </v>
      </c>
      <c r="M86" s="8" t="str">
        <f aca="false">IF((F86-K86)&lt;&gt;0,M$1-A86," ")</f>
        <v> </v>
      </c>
      <c r="N86" s="5"/>
      <c r="O86" s="17" t="str">
        <f aca="false">IF((E86="s"),H86," ")</f>
        <v> </v>
      </c>
      <c r="P86" s="17" t="str">
        <f aca="false">IF((E86="c"),H86," ")</f>
        <v> </v>
      </c>
      <c r="Q86" s="17" t="str">
        <f aca="false">IF((E86="o"),H86," ")</f>
        <v> </v>
      </c>
      <c r="R86" s="17" t="str">
        <f aca="false">IF((E86="d"),H86," ")</f>
        <v> </v>
      </c>
      <c r="S86" s="17" t="str">
        <f aca="false">IF((E86="w"),H86," ")</f>
        <v> </v>
      </c>
      <c r="T86" s="17" t="str">
        <f aca="false">IF((E86="r"),H86," ")</f>
        <v> </v>
      </c>
      <c r="U86" s="17" t="str">
        <f aca="false">IF((E86="p"),H86," ")</f>
        <v> </v>
      </c>
      <c r="V86" s="17" t="str">
        <f aca="false">IF((E86="t"),H86," ")</f>
        <v> </v>
      </c>
      <c r="W86" s="17" t="str">
        <f aca="false">IF((E86="q"),H86," ")</f>
        <v> </v>
      </c>
      <c r="X86" s="17" t="str">
        <f aca="false">IF((E86="m"),H86," ")</f>
        <v> </v>
      </c>
      <c r="Y86" s="17" t="str">
        <f aca="false">IF((E86="u"),H86," ")</f>
        <v> </v>
      </c>
      <c r="Z86" s="17" t="str">
        <f aca="false">IF((E86="a"),H86," ")</f>
        <v> </v>
      </c>
      <c r="AA86" s="17" t="str">
        <f aca="false">IF((E86="g"),H86," ")</f>
        <v> </v>
      </c>
      <c r="AB86" s="17" t="str">
        <f aca="false">IF((E86="h"),H86," ")</f>
        <v> </v>
      </c>
      <c r="AC86" s="30" t="str">
        <f aca="false">IF((E86="v"),H86," ")</f>
        <v> </v>
      </c>
      <c r="AD86" s="30" t="str">
        <f aca="false">IF((E86="n"),H86," ")</f>
        <v> </v>
      </c>
      <c r="AE86" s="17" t="str">
        <f aca="false">IF((E86="f"),H86," ")</f>
        <v> </v>
      </c>
      <c r="AF86" s="17" t="str">
        <f aca="false">IF((E86="l"),H86," ")</f>
        <v> </v>
      </c>
      <c r="AG86" s="17" t="str">
        <f aca="false">IF((E86="y"),H86," ")</f>
        <v> </v>
      </c>
      <c r="AH86" s="17" t="str">
        <f aca="false">IF((E86="z"),H86," ")</f>
        <v> </v>
      </c>
      <c r="AI86" s="17" t="str">
        <f aca="false">IF((E86="fa"),H86," ")</f>
        <v> </v>
      </c>
      <c r="AJ86" s="17" t="str">
        <f aca="false">IF((E86="e"),H86," ")</f>
        <v> </v>
      </c>
    </row>
    <row r="87" customFormat="false" ht="12" hidden="false" customHeight="false" outlineLevel="0" collapsed="false">
      <c r="A87" s="28"/>
      <c r="E87" s="2" t="str">
        <f aca="false">IF((F87&lt;&gt;0),"Enter Letter"," ")</f>
        <v> </v>
      </c>
      <c r="F87" s="30"/>
      <c r="G87" s="6" t="str">
        <f aca="false">IF(F87&lt;&gt;0,F87*G$2/(100+G$2)," ")</f>
        <v> </v>
      </c>
      <c r="H87" s="6" t="str">
        <f aca="false">IF((F87&lt;&gt;0),F87-G87," ")</f>
        <v> </v>
      </c>
      <c r="I87" s="5"/>
      <c r="L87" s="7" t="str">
        <f aca="false">IF(F87&lt;&gt;0,F87-K87," ")</f>
        <v> </v>
      </c>
      <c r="M87" s="8" t="str">
        <f aca="false">IF((F87-K87)&lt;&gt;0,M$1-A87," ")</f>
        <v> </v>
      </c>
      <c r="N87" s="5"/>
      <c r="O87" s="17" t="str">
        <f aca="false">IF((E87="s"),H87," ")</f>
        <v> </v>
      </c>
      <c r="P87" s="17" t="str">
        <f aca="false">IF((E87="c"),H87," ")</f>
        <v> </v>
      </c>
      <c r="Q87" s="17" t="str">
        <f aca="false">IF((E87="o"),H87," ")</f>
        <v> </v>
      </c>
      <c r="R87" s="17" t="str">
        <f aca="false">IF((E87="d"),H87," ")</f>
        <v> </v>
      </c>
      <c r="S87" s="17" t="str">
        <f aca="false">IF((E87="w"),H87," ")</f>
        <v> </v>
      </c>
      <c r="T87" s="17" t="str">
        <f aca="false">IF((E87="r"),H87," ")</f>
        <v> </v>
      </c>
      <c r="U87" s="17" t="str">
        <f aca="false">IF((E87="p"),H87," ")</f>
        <v> </v>
      </c>
      <c r="V87" s="17" t="str">
        <f aca="false">IF((E87="t"),H87," ")</f>
        <v> </v>
      </c>
      <c r="W87" s="17" t="str">
        <f aca="false">IF((E87="q"),H87," ")</f>
        <v> </v>
      </c>
      <c r="X87" s="17" t="str">
        <f aca="false">IF((E87="m"),H87," ")</f>
        <v> </v>
      </c>
      <c r="Y87" s="17" t="str">
        <f aca="false">IF((E87="u"),H87," ")</f>
        <v> </v>
      </c>
      <c r="Z87" s="17" t="str">
        <f aca="false">IF((E87="a"),H87," ")</f>
        <v> </v>
      </c>
      <c r="AA87" s="17" t="str">
        <f aca="false">IF((E87="g"),H87," ")</f>
        <v> </v>
      </c>
      <c r="AB87" s="17" t="str">
        <f aca="false">IF((E87="h"),H87," ")</f>
        <v> </v>
      </c>
      <c r="AC87" s="30" t="str">
        <f aca="false">IF((E87="v"),H87," ")</f>
        <v> </v>
      </c>
      <c r="AD87" s="30" t="str">
        <f aca="false">IF((E87="n"),H87," ")</f>
        <v> </v>
      </c>
      <c r="AE87" s="17" t="str">
        <f aca="false">IF((E87="f"),H87," ")</f>
        <v> </v>
      </c>
      <c r="AF87" s="17" t="str">
        <f aca="false">IF((E87="l"),H87," ")</f>
        <v> </v>
      </c>
      <c r="AG87" s="17" t="str">
        <f aca="false">IF((E87="y"),H87," ")</f>
        <v> </v>
      </c>
      <c r="AH87" s="17" t="str">
        <f aca="false">IF((E87="z"),H87," ")</f>
        <v> </v>
      </c>
      <c r="AI87" s="17" t="str">
        <f aca="false">IF((E87="fa"),H87," ")</f>
        <v> </v>
      </c>
      <c r="AJ87" s="17" t="str">
        <f aca="false">IF((E87="e"),H87," ")</f>
        <v> </v>
      </c>
    </row>
    <row r="88" customFormat="false" ht="12" hidden="false" customHeight="false" outlineLevel="0" collapsed="false">
      <c r="A88" s="28"/>
      <c r="E88" s="2" t="str">
        <f aca="false">IF((F88&lt;&gt;0),"Enter Letter"," ")</f>
        <v> </v>
      </c>
      <c r="F88" s="30"/>
      <c r="G88" s="6" t="str">
        <f aca="false">IF(F88&lt;&gt;0,F88*G$2/(100+G$2)," ")</f>
        <v> </v>
      </c>
      <c r="H88" s="6" t="str">
        <f aca="false">IF((F88&lt;&gt;0),F88-G88," ")</f>
        <v> </v>
      </c>
      <c r="I88" s="5"/>
      <c r="L88" s="7" t="str">
        <f aca="false">IF(F88&lt;&gt;0,F88-K88," ")</f>
        <v> </v>
      </c>
      <c r="M88" s="8" t="str">
        <f aca="false">IF((F88-K88)&lt;&gt;0,M$1-A88," ")</f>
        <v> </v>
      </c>
      <c r="N88" s="5"/>
      <c r="O88" s="17" t="str">
        <f aca="false">IF((E88="s"),H88," ")</f>
        <v> </v>
      </c>
      <c r="P88" s="17" t="str">
        <f aca="false">IF((E88="c"),H88," ")</f>
        <v> </v>
      </c>
      <c r="Q88" s="17" t="str">
        <f aca="false">IF((E88="o"),H88," ")</f>
        <v> </v>
      </c>
      <c r="R88" s="17" t="str">
        <f aca="false">IF((E88="d"),H88," ")</f>
        <v> </v>
      </c>
      <c r="S88" s="17" t="str">
        <f aca="false">IF((E88="w"),H88," ")</f>
        <v> </v>
      </c>
      <c r="T88" s="17" t="str">
        <f aca="false">IF((E88="r"),H88," ")</f>
        <v> </v>
      </c>
      <c r="U88" s="17" t="str">
        <f aca="false">IF((E88="p"),H88," ")</f>
        <v> </v>
      </c>
      <c r="V88" s="17" t="str">
        <f aca="false">IF((E88="t"),H88," ")</f>
        <v> </v>
      </c>
      <c r="W88" s="17" t="str">
        <f aca="false">IF((E88="q"),H88," ")</f>
        <v> </v>
      </c>
      <c r="X88" s="17" t="str">
        <f aca="false">IF((E88="m"),H88," ")</f>
        <v> </v>
      </c>
      <c r="Y88" s="17" t="str">
        <f aca="false">IF((E88="u"),H88," ")</f>
        <v> </v>
      </c>
      <c r="Z88" s="17" t="str">
        <f aca="false">IF((E88="a"),H88," ")</f>
        <v> </v>
      </c>
      <c r="AA88" s="17" t="str">
        <f aca="false">IF((E88="g"),H88," ")</f>
        <v> </v>
      </c>
      <c r="AB88" s="17" t="str">
        <f aca="false">IF((E88="h"),H88," ")</f>
        <v> </v>
      </c>
      <c r="AC88" s="30" t="str">
        <f aca="false">IF((E88="v"),H88," ")</f>
        <v> </v>
      </c>
      <c r="AD88" s="30" t="str">
        <f aca="false">IF((E88="n"),H88," ")</f>
        <v> </v>
      </c>
      <c r="AE88" s="17" t="str">
        <f aca="false">IF((E88="f"),H88," ")</f>
        <v> </v>
      </c>
      <c r="AF88" s="17" t="str">
        <f aca="false">IF((E88="l"),H88," ")</f>
        <v> </v>
      </c>
      <c r="AG88" s="17" t="str">
        <f aca="false">IF((E88="y"),H88," ")</f>
        <v> </v>
      </c>
      <c r="AH88" s="17" t="str">
        <f aca="false">IF((E88="z"),H88," ")</f>
        <v> </v>
      </c>
      <c r="AI88" s="17" t="str">
        <f aca="false">IF((E88="fa"),H88," ")</f>
        <v> </v>
      </c>
      <c r="AJ88" s="17" t="str">
        <f aca="false">IF((E88="e"),H88," ")</f>
        <v> </v>
      </c>
    </row>
    <row r="89" customFormat="false" ht="12" hidden="false" customHeight="false" outlineLevel="0" collapsed="false">
      <c r="A89" s="28"/>
      <c r="E89" s="2" t="str">
        <f aca="false">IF((F89&lt;&gt;0),"Enter Letter"," ")</f>
        <v> </v>
      </c>
      <c r="F89" s="30"/>
      <c r="G89" s="6" t="str">
        <f aca="false">IF(F89&lt;&gt;0,F89*G$2/(100+G$2)," ")</f>
        <v> </v>
      </c>
      <c r="H89" s="6" t="str">
        <f aca="false">IF((F89&lt;&gt;0),F89-G89," ")</f>
        <v> </v>
      </c>
      <c r="I89" s="5"/>
      <c r="L89" s="7" t="str">
        <f aca="false">IF(F89&lt;&gt;0,F89-K89," ")</f>
        <v> </v>
      </c>
      <c r="M89" s="8" t="str">
        <f aca="false">IF((F89-K89)&lt;&gt;0,M$1-A89," ")</f>
        <v> </v>
      </c>
      <c r="N89" s="5"/>
      <c r="O89" s="17" t="str">
        <f aca="false">IF((E89="s"),H89," ")</f>
        <v> </v>
      </c>
      <c r="P89" s="17" t="str">
        <f aca="false">IF((E89="c"),H89," ")</f>
        <v> </v>
      </c>
      <c r="Q89" s="17" t="str">
        <f aca="false">IF((E89="o"),H89," ")</f>
        <v> </v>
      </c>
      <c r="R89" s="17" t="str">
        <f aca="false">IF((E89="d"),H89," ")</f>
        <v> </v>
      </c>
      <c r="S89" s="17" t="str">
        <f aca="false">IF((E89="w"),H89," ")</f>
        <v> </v>
      </c>
      <c r="T89" s="17" t="str">
        <f aca="false">IF((E89="r"),H89," ")</f>
        <v> </v>
      </c>
      <c r="U89" s="17" t="str">
        <f aca="false">IF((E89="p"),H89," ")</f>
        <v> </v>
      </c>
      <c r="V89" s="17" t="str">
        <f aca="false">IF((E89="t"),H89," ")</f>
        <v> </v>
      </c>
      <c r="W89" s="17" t="str">
        <f aca="false">IF((E89="q"),H89," ")</f>
        <v> </v>
      </c>
      <c r="X89" s="17" t="str">
        <f aca="false">IF((E89="m"),H89," ")</f>
        <v> </v>
      </c>
      <c r="Y89" s="17" t="str">
        <f aca="false">IF((E89="u"),H89," ")</f>
        <v> </v>
      </c>
      <c r="Z89" s="17" t="str">
        <f aca="false">IF((E89="a"),H89," ")</f>
        <v> </v>
      </c>
      <c r="AA89" s="17" t="str">
        <f aca="false">IF((E89="g"),H89," ")</f>
        <v> </v>
      </c>
      <c r="AB89" s="17" t="str">
        <f aca="false">IF((E89="h"),H89," ")</f>
        <v> </v>
      </c>
      <c r="AC89" s="30" t="str">
        <f aca="false">IF((E89="v"),H89," ")</f>
        <v> </v>
      </c>
      <c r="AD89" s="30" t="str">
        <f aca="false">IF((E89="n"),H89," ")</f>
        <v> </v>
      </c>
      <c r="AE89" s="17" t="str">
        <f aca="false">IF((E89="f"),H89," ")</f>
        <v> </v>
      </c>
      <c r="AF89" s="17" t="str">
        <f aca="false">IF((E89="l"),H89," ")</f>
        <v> </v>
      </c>
      <c r="AG89" s="17" t="str">
        <f aca="false">IF((E89="y"),H89," ")</f>
        <v> </v>
      </c>
      <c r="AH89" s="17" t="str">
        <f aca="false">IF((E89="z"),H89," ")</f>
        <v> </v>
      </c>
      <c r="AI89" s="17" t="str">
        <f aca="false">IF((E89="fa"),H89," ")</f>
        <v> </v>
      </c>
      <c r="AJ89" s="17" t="str">
        <f aca="false">IF((E89="e"),H89," ")</f>
        <v> </v>
      </c>
    </row>
    <row r="90" customFormat="false" ht="12" hidden="false" customHeight="false" outlineLevel="0" collapsed="false">
      <c r="A90" s="28"/>
      <c r="E90" s="2" t="str">
        <f aca="false">IF((F90&lt;&gt;0),"Enter Letter"," ")</f>
        <v> </v>
      </c>
      <c r="F90" s="30"/>
      <c r="G90" s="6" t="str">
        <f aca="false">IF(F90&lt;&gt;0,F90*G$2/(100+G$2)," ")</f>
        <v> </v>
      </c>
      <c r="H90" s="6" t="str">
        <f aca="false">IF((F90&lt;&gt;0),F90-G90," ")</f>
        <v> </v>
      </c>
      <c r="I90" s="5"/>
      <c r="L90" s="7" t="str">
        <f aca="false">IF(F90&lt;&gt;0,F90-K90," ")</f>
        <v> </v>
      </c>
      <c r="M90" s="8" t="str">
        <f aca="false">IF((F90-K90)&lt;&gt;0,M$1-A90," ")</f>
        <v> </v>
      </c>
      <c r="N90" s="5"/>
      <c r="O90" s="17" t="str">
        <f aca="false">IF((E90="s"),H90," ")</f>
        <v> </v>
      </c>
      <c r="P90" s="17" t="str">
        <f aca="false">IF((E90="c"),H90," ")</f>
        <v> </v>
      </c>
      <c r="Q90" s="17" t="str">
        <f aca="false">IF((E90="o"),H90," ")</f>
        <v> </v>
      </c>
      <c r="R90" s="17" t="str">
        <f aca="false">IF((E90="d"),H90," ")</f>
        <v> </v>
      </c>
      <c r="S90" s="17" t="str">
        <f aca="false">IF((E90="w"),H90," ")</f>
        <v> </v>
      </c>
      <c r="T90" s="17" t="str">
        <f aca="false">IF((E90="r"),H90," ")</f>
        <v> </v>
      </c>
      <c r="U90" s="17" t="str">
        <f aca="false">IF((E90="p"),H90," ")</f>
        <v> </v>
      </c>
      <c r="V90" s="17" t="str">
        <f aca="false">IF((E90="t"),H90," ")</f>
        <v> </v>
      </c>
      <c r="W90" s="17" t="str">
        <f aca="false">IF((E90="q"),H90," ")</f>
        <v> </v>
      </c>
      <c r="X90" s="17" t="str">
        <f aca="false">IF((E90="m"),H90," ")</f>
        <v> </v>
      </c>
      <c r="Y90" s="17" t="str">
        <f aca="false">IF((E90="u"),H90," ")</f>
        <v> </v>
      </c>
      <c r="Z90" s="17" t="str">
        <f aca="false">IF((E90="a"),H90," ")</f>
        <v> </v>
      </c>
      <c r="AA90" s="17" t="str">
        <f aca="false">IF((E90="g"),H90," ")</f>
        <v> </v>
      </c>
      <c r="AB90" s="17" t="str">
        <f aca="false">IF((E90="h"),H90," ")</f>
        <v> </v>
      </c>
      <c r="AC90" s="30" t="str">
        <f aca="false">IF((E90="v"),H90," ")</f>
        <v> </v>
      </c>
      <c r="AD90" s="30" t="str">
        <f aca="false">IF((E90="n"),H90," ")</f>
        <v> </v>
      </c>
      <c r="AE90" s="17" t="str">
        <f aca="false">IF((E90="f"),H90," ")</f>
        <v> </v>
      </c>
      <c r="AF90" s="17" t="str">
        <f aca="false">IF((E90="l"),H90," ")</f>
        <v> </v>
      </c>
      <c r="AG90" s="17" t="str">
        <f aca="false">IF((E90="y"),H90," ")</f>
        <v> </v>
      </c>
      <c r="AH90" s="17" t="str">
        <f aca="false">IF((E90="z"),H90," ")</f>
        <v> </v>
      </c>
      <c r="AI90" s="17" t="str">
        <f aca="false">IF((E90="fa"),H90," ")</f>
        <v> </v>
      </c>
      <c r="AJ90" s="17" t="str">
        <f aca="false">IF((E90="e"),H90," ")</f>
        <v> </v>
      </c>
    </row>
    <row r="91" customFormat="false" ht="12" hidden="false" customHeight="false" outlineLevel="0" collapsed="false">
      <c r="A91" s="28"/>
      <c r="E91" s="2" t="str">
        <f aca="false">IF((F91&lt;&gt;0),"Enter Letter"," ")</f>
        <v> </v>
      </c>
      <c r="F91" s="30"/>
      <c r="G91" s="6" t="str">
        <f aca="false">IF(F91&lt;&gt;0,F91*G$2/(100+G$2)," ")</f>
        <v> </v>
      </c>
      <c r="H91" s="6" t="str">
        <f aca="false">IF((F91&lt;&gt;0),F91-G91," ")</f>
        <v> </v>
      </c>
      <c r="I91" s="5"/>
      <c r="L91" s="7" t="str">
        <f aca="false">IF(F91&lt;&gt;0,F91-K91," ")</f>
        <v> </v>
      </c>
      <c r="M91" s="8" t="str">
        <f aca="false">IF((F91-K91)&lt;&gt;0,M$1-A91," ")</f>
        <v> </v>
      </c>
      <c r="N91" s="5"/>
      <c r="O91" s="17" t="str">
        <f aca="false">IF((E91="s"),H91," ")</f>
        <v> </v>
      </c>
      <c r="P91" s="17" t="str">
        <f aca="false">IF((E91="c"),H91," ")</f>
        <v> </v>
      </c>
      <c r="Q91" s="17" t="str">
        <f aca="false">IF((E91="o"),H91," ")</f>
        <v> </v>
      </c>
      <c r="R91" s="17" t="str">
        <f aca="false">IF((E91="d"),H91," ")</f>
        <v> </v>
      </c>
      <c r="S91" s="17" t="str">
        <f aca="false">IF((E91="w"),H91," ")</f>
        <v> </v>
      </c>
      <c r="T91" s="17" t="str">
        <f aca="false">IF((E91="r"),H91," ")</f>
        <v> </v>
      </c>
      <c r="U91" s="17" t="str">
        <f aca="false">IF((E91="p"),H91," ")</f>
        <v> </v>
      </c>
      <c r="V91" s="17" t="str">
        <f aca="false">IF((E91="t"),H91," ")</f>
        <v> </v>
      </c>
      <c r="W91" s="17" t="str">
        <f aca="false">IF((E91="q"),H91," ")</f>
        <v> </v>
      </c>
      <c r="X91" s="17" t="str">
        <f aca="false">IF((E91="m"),H91," ")</f>
        <v> </v>
      </c>
      <c r="Y91" s="17" t="str">
        <f aca="false">IF((E91="u"),H91," ")</f>
        <v> </v>
      </c>
      <c r="Z91" s="17" t="str">
        <f aca="false">IF((E91="a"),H91," ")</f>
        <v> </v>
      </c>
      <c r="AA91" s="17" t="str">
        <f aca="false">IF((E91="g"),H91," ")</f>
        <v> </v>
      </c>
      <c r="AB91" s="17" t="str">
        <f aca="false">IF((E91="h"),H91," ")</f>
        <v> </v>
      </c>
      <c r="AC91" s="30" t="str">
        <f aca="false">IF((E91="v"),H91," ")</f>
        <v> </v>
      </c>
      <c r="AD91" s="30" t="str">
        <f aca="false">IF((E91="n"),H91," ")</f>
        <v> </v>
      </c>
      <c r="AE91" s="17" t="str">
        <f aca="false">IF((E91="f"),H91," ")</f>
        <v> </v>
      </c>
      <c r="AF91" s="17" t="str">
        <f aca="false">IF((E91="l"),H91," ")</f>
        <v> </v>
      </c>
      <c r="AG91" s="17" t="str">
        <f aca="false">IF((E91="y"),H91," ")</f>
        <v> </v>
      </c>
      <c r="AH91" s="17" t="str">
        <f aca="false">IF((E91="z"),H91," ")</f>
        <v> </v>
      </c>
      <c r="AI91" s="17" t="str">
        <f aca="false">IF((E91="fa"),H91," ")</f>
        <v> </v>
      </c>
      <c r="AJ91" s="17" t="str">
        <f aca="false">IF((E91="e"),H91," ")</f>
        <v> </v>
      </c>
    </row>
    <row r="92" customFormat="false" ht="12" hidden="false" customHeight="false" outlineLevel="0" collapsed="false">
      <c r="A92" s="28"/>
      <c r="E92" s="2" t="str">
        <f aca="false">IF((F92&lt;&gt;0),"Enter Letter"," ")</f>
        <v> </v>
      </c>
      <c r="F92" s="30"/>
      <c r="G92" s="6" t="str">
        <f aca="false">IF(F92&lt;&gt;0,F92*G$2/(100+G$2)," ")</f>
        <v> </v>
      </c>
      <c r="H92" s="6" t="str">
        <f aca="false">IF((F92&lt;&gt;0),F92-G92," ")</f>
        <v> </v>
      </c>
      <c r="I92" s="5"/>
      <c r="L92" s="7" t="str">
        <f aca="false">IF(F92&lt;&gt;0,F92-K92," ")</f>
        <v> </v>
      </c>
      <c r="M92" s="8" t="str">
        <f aca="false">IF((F92-K92)&lt;&gt;0,M$1-A92," ")</f>
        <v> </v>
      </c>
      <c r="N92" s="5"/>
      <c r="O92" s="17" t="str">
        <f aca="false">IF((E92="s"),H92," ")</f>
        <v> </v>
      </c>
      <c r="P92" s="17" t="str">
        <f aca="false">IF((E92="c"),H92," ")</f>
        <v> </v>
      </c>
      <c r="Q92" s="17" t="str">
        <f aca="false">IF((E92="o"),H92," ")</f>
        <v> </v>
      </c>
      <c r="R92" s="17" t="str">
        <f aca="false">IF((E92="d"),H92," ")</f>
        <v> </v>
      </c>
      <c r="S92" s="17" t="str">
        <f aca="false">IF((E92="w"),H92," ")</f>
        <v> </v>
      </c>
      <c r="T92" s="17" t="str">
        <f aca="false">IF((E92="r"),H92," ")</f>
        <v> </v>
      </c>
      <c r="U92" s="17" t="str">
        <f aca="false">IF((E92="p"),H92," ")</f>
        <v> </v>
      </c>
      <c r="V92" s="17" t="str">
        <f aca="false">IF((E92="t"),H92," ")</f>
        <v> </v>
      </c>
      <c r="W92" s="17" t="str">
        <f aca="false">IF((E92="q"),H92," ")</f>
        <v> </v>
      </c>
      <c r="X92" s="17" t="str">
        <f aca="false">IF((E92="m"),H92," ")</f>
        <v> </v>
      </c>
      <c r="Y92" s="17" t="str">
        <f aca="false">IF((E92="u"),H92," ")</f>
        <v> </v>
      </c>
      <c r="Z92" s="17" t="str">
        <f aca="false">IF((E92="a"),H92," ")</f>
        <v> </v>
      </c>
      <c r="AA92" s="17" t="str">
        <f aca="false">IF((E92="g"),H92," ")</f>
        <v> </v>
      </c>
      <c r="AB92" s="17" t="str">
        <f aca="false">IF((E92="h"),H92," ")</f>
        <v> </v>
      </c>
      <c r="AC92" s="30" t="str">
        <f aca="false">IF((E92="v"),H92," ")</f>
        <v> </v>
      </c>
      <c r="AD92" s="30" t="str">
        <f aca="false">IF((E92="n"),H92," ")</f>
        <v> </v>
      </c>
      <c r="AE92" s="17" t="str">
        <f aca="false">IF((E92="f"),H92," ")</f>
        <v> </v>
      </c>
      <c r="AF92" s="17" t="str">
        <f aca="false">IF((E92="l"),H92," ")</f>
        <v> </v>
      </c>
      <c r="AG92" s="17" t="str">
        <f aca="false">IF((E92="y"),H92," ")</f>
        <v> </v>
      </c>
      <c r="AH92" s="17" t="str">
        <f aca="false">IF((E92="z"),H92," ")</f>
        <v> </v>
      </c>
      <c r="AI92" s="17" t="str">
        <f aca="false">IF((E92="fa"),H92," ")</f>
        <v> </v>
      </c>
      <c r="AJ92" s="17" t="str">
        <f aca="false">IF((E92="e"),H92," ")</f>
        <v> </v>
      </c>
    </row>
    <row r="93" customFormat="false" ht="12" hidden="false" customHeight="false" outlineLevel="0" collapsed="false">
      <c r="A93" s="28"/>
      <c r="E93" s="2" t="str">
        <f aca="false">IF((F93&lt;&gt;0),"Enter Letter"," ")</f>
        <v> </v>
      </c>
      <c r="F93" s="30"/>
      <c r="G93" s="6" t="str">
        <f aca="false">IF(F93&lt;&gt;0,F93*G$2/(100+G$2)," ")</f>
        <v> </v>
      </c>
      <c r="H93" s="6" t="str">
        <f aca="false">IF((F93&lt;&gt;0),F93-G93," ")</f>
        <v> </v>
      </c>
      <c r="I93" s="5"/>
      <c r="L93" s="7" t="str">
        <f aca="false">IF(F93&lt;&gt;0,F93-K93," ")</f>
        <v> </v>
      </c>
      <c r="M93" s="8" t="str">
        <f aca="false">IF((F93-K93)&lt;&gt;0,M$1-A93," ")</f>
        <v> </v>
      </c>
      <c r="N93" s="5"/>
      <c r="O93" s="17" t="str">
        <f aca="false">IF((E93="s"),H93," ")</f>
        <v> </v>
      </c>
      <c r="P93" s="17" t="str">
        <f aca="false">IF((E93="c"),H93," ")</f>
        <v> </v>
      </c>
      <c r="Q93" s="17" t="str">
        <f aca="false">IF((E93="o"),H93," ")</f>
        <v> </v>
      </c>
      <c r="R93" s="17" t="str">
        <f aca="false">IF((E93="d"),H93," ")</f>
        <v> </v>
      </c>
      <c r="S93" s="17" t="str">
        <f aca="false">IF((E93="w"),H93," ")</f>
        <v> </v>
      </c>
      <c r="T93" s="17" t="str">
        <f aca="false">IF((E93="r"),H93," ")</f>
        <v> </v>
      </c>
      <c r="U93" s="17" t="str">
        <f aca="false">IF((E93="p"),H93," ")</f>
        <v> </v>
      </c>
      <c r="V93" s="17" t="str">
        <f aca="false">IF((E93="t"),H93," ")</f>
        <v> </v>
      </c>
      <c r="W93" s="17" t="str">
        <f aca="false">IF((E93="q"),H93," ")</f>
        <v> </v>
      </c>
      <c r="X93" s="17" t="str">
        <f aca="false">IF((E93="m"),H93," ")</f>
        <v> </v>
      </c>
      <c r="Y93" s="17" t="str">
        <f aca="false">IF((E93="u"),H93," ")</f>
        <v> </v>
      </c>
      <c r="Z93" s="17" t="str">
        <f aca="false">IF((E93="a"),H93," ")</f>
        <v> </v>
      </c>
      <c r="AA93" s="17" t="str">
        <f aca="false">IF((E93="g"),H93," ")</f>
        <v> </v>
      </c>
      <c r="AB93" s="17" t="str">
        <f aca="false">IF((E93="h"),H93," ")</f>
        <v> </v>
      </c>
      <c r="AC93" s="30" t="str">
        <f aca="false">IF((E93="v"),H93," ")</f>
        <v> </v>
      </c>
      <c r="AD93" s="30" t="str">
        <f aca="false">IF((E93="n"),H93," ")</f>
        <v> </v>
      </c>
      <c r="AE93" s="17" t="str">
        <f aca="false">IF((E93="f"),H93," ")</f>
        <v> </v>
      </c>
      <c r="AF93" s="17" t="str">
        <f aca="false">IF((E93="l"),H93," ")</f>
        <v> </v>
      </c>
      <c r="AG93" s="17" t="str">
        <f aca="false">IF((E93="y"),H93," ")</f>
        <v> </v>
      </c>
      <c r="AH93" s="17" t="str">
        <f aca="false">IF((E93="z"),H93," ")</f>
        <v> </v>
      </c>
      <c r="AI93" s="17" t="str">
        <f aca="false">IF((E93="fa"),H93," ")</f>
        <v> </v>
      </c>
      <c r="AJ93" s="17" t="str">
        <f aca="false">IF((E93="e"),H93," ")</f>
        <v> </v>
      </c>
    </row>
    <row r="94" customFormat="false" ht="12" hidden="false" customHeight="false" outlineLevel="0" collapsed="false">
      <c r="A94" s="28"/>
      <c r="E94" s="2" t="str">
        <f aca="false">IF((F94&lt;&gt;0),"Enter Letter"," ")</f>
        <v> </v>
      </c>
      <c r="F94" s="30"/>
      <c r="G94" s="6" t="str">
        <f aca="false">IF(F94&lt;&gt;0,F94*G$2/(100+G$2)," ")</f>
        <v> </v>
      </c>
      <c r="H94" s="6" t="str">
        <f aca="false">IF((F94&lt;&gt;0),F94-G94," ")</f>
        <v> </v>
      </c>
      <c r="I94" s="5"/>
      <c r="L94" s="7" t="str">
        <f aca="false">IF(F94&lt;&gt;0,F94-K94," ")</f>
        <v> </v>
      </c>
      <c r="M94" s="8" t="str">
        <f aca="false">IF((F94-K94)&lt;&gt;0,M$1-A94," ")</f>
        <v> </v>
      </c>
      <c r="N94" s="5"/>
      <c r="O94" s="17" t="str">
        <f aca="false">IF((E94="s"),H94," ")</f>
        <v> </v>
      </c>
      <c r="P94" s="17" t="str">
        <f aca="false">IF((E94="c"),H94," ")</f>
        <v> </v>
      </c>
      <c r="Q94" s="17" t="str">
        <f aca="false">IF((E94="o"),H94," ")</f>
        <v> </v>
      </c>
      <c r="R94" s="17" t="str">
        <f aca="false">IF((E94="d"),H94," ")</f>
        <v> </v>
      </c>
      <c r="S94" s="17" t="str">
        <f aca="false">IF((E94="w"),H94," ")</f>
        <v> </v>
      </c>
      <c r="T94" s="17" t="str">
        <f aca="false">IF((E94="r"),H94," ")</f>
        <v> </v>
      </c>
      <c r="U94" s="17" t="str">
        <f aca="false">IF((E94="p"),H94," ")</f>
        <v> </v>
      </c>
      <c r="V94" s="17" t="str">
        <f aca="false">IF((E94="t"),H94," ")</f>
        <v> </v>
      </c>
      <c r="W94" s="17" t="str">
        <f aca="false">IF((E94="q"),H94," ")</f>
        <v> </v>
      </c>
      <c r="X94" s="17" t="str">
        <f aca="false">IF((E94="m"),H94," ")</f>
        <v> </v>
      </c>
      <c r="Y94" s="17" t="str">
        <f aca="false">IF((E94="u"),H94," ")</f>
        <v> </v>
      </c>
      <c r="Z94" s="17" t="str">
        <f aca="false">IF((E94="a"),H94," ")</f>
        <v> </v>
      </c>
      <c r="AA94" s="17" t="str">
        <f aca="false">IF((E94="g"),H94," ")</f>
        <v> </v>
      </c>
      <c r="AB94" s="17" t="str">
        <f aca="false">IF((E94="h"),H94," ")</f>
        <v> </v>
      </c>
      <c r="AC94" s="30" t="str">
        <f aca="false">IF((E94="v"),H94," ")</f>
        <v> </v>
      </c>
      <c r="AD94" s="30" t="str">
        <f aca="false">IF((E94="n"),H94," ")</f>
        <v> </v>
      </c>
      <c r="AE94" s="17" t="str">
        <f aca="false">IF((E94="f"),H94," ")</f>
        <v> </v>
      </c>
      <c r="AF94" s="17" t="str">
        <f aca="false">IF((E94="l"),H94," ")</f>
        <v> </v>
      </c>
      <c r="AG94" s="17" t="str">
        <f aca="false">IF((E94="y"),H94," ")</f>
        <v> </v>
      </c>
      <c r="AH94" s="17" t="str">
        <f aca="false">IF((E94="z"),H94," ")</f>
        <v> </v>
      </c>
      <c r="AI94" s="17" t="str">
        <f aca="false">IF((E94="fa"),H94," ")</f>
        <v> </v>
      </c>
      <c r="AJ94" s="17" t="str">
        <f aca="false">IF((E94="e"),H94," ")</f>
        <v> </v>
      </c>
    </row>
    <row r="95" customFormat="false" ht="12" hidden="false" customHeight="false" outlineLevel="0" collapsed="false">
      <c r="A95" s="28"/>
      <c r="E95" s="2" t="str">
        <f aca="false">IF((F95&lt;&gt;0),"Enter Letter"," ")</f>
        <v> </v>
      </c>
      <c r="F95" s="30"/>
      <c r="G95" s="6" t="str">
        <f aca="false">IF(F95&lt;&gt;0,F95*G$2/(100+G$2)," ")</f>
        <v> </v>
      </c>
      <c r="H95" s="6" t="str">
        <f aca="false">IF((F95&lt;&gt;0),F95-G95," ")</f>
        <v> </v>
      </c>
      <c r="I95" s="5"/>
      <c r="L95" s="7" t="str">
        <f aca="false">IF(F95&lt;&gt;0,F95-K95," ")</f>
        <v> </v>
      </c>
      <c r="M95" s="8" t="str">
        <f aca="false">IF((F95-K95)&lt;&gt;0,M$1-A95," ")</f>
        <v> </v>
      </c>
      <c r="N95" s="5"/>
      <c r="O95" s="17" t="str">
        <f aca="false">IF((E95="s"),H95," ")</f>
        <v> </v>
      </c>
      <c r="P95" s="17" t="str">
        <f aca="false">IF((E95="c"),H95," ")</f>
        <v> </v>
      </c>
      <c r="Q95" s="17" t="str">
        <f aca="false">IF((E95="o"),H95," ")</f>
        <v> </v>
      </c>
      <c r="R95" s="17" t="str">
        <f aca="false">IF((E95="d"),H95," ")</f>
        <v> </v>
      </c>
      <c r="S95" s="17" t="str">
        <f aca="false">IF((E95="w"),H95," ")</f>
        <v> </v>
      </c>
      <c r="T95" s="17" t="str">
        <f aca="false">IF((E95="r"),H95," ")</f>
        <v> </v>
      </c>
      <c r="U95" s="17" t="str">
        <f aca="false">IF((E95="p"),H95," ")</f>
        <v> </v>
      </c>
      <c r="V95" s="17" t="str">
        <f aca="false">IF((E95="t"),H95," ")</f>
        <v> </v>
      </c>
      <c r="W95" s="17" t="str">
        <f aca="false">IF((E95="q"),H95," ")</f>
        <v> </v>
      </c>
      <c r="X95" s="17" t="str">
        <f aca="false">IF((E95="m"),H95," ")</f>
        <v> </v>
      </c>
      <c r="Y95" s="17" t="str">
        <f aca="false">IF((E95="u"),H95," ")</f>
        <v> </v>
      </c>
      <c r="Z95" s="17" t="str">
        <f aca="false">IF((E95="a"),H95," ")</f>
        <v> </v>
      </c>
      <c r="AA95" s="17" t="str">
        <f aca="false">IF((E95="g"),H95," ")</f>
        <v> </v>
      </c>
      <c r="AB95" s="17" t="str">
        <f aca="false">IF((E95="h"),H95," ")</f>
        <v> </v>
      </c>
      <c r="AC95" s="30" t="str">
        <f aca="false">IF((E95="v"),H95," ")</f>
        <v> </v>
      </c>
      <c r="AD95" s="30" t="str">
        <f aca="false">IF((E95="n"),H95," ")</f>
        <v> </v>
      </c>
      <c r="AE95" s="17" t="str">
        <f aca="false">IF((E95="f"),H95," ")</f>
        <v> </v>
      </c>
      <c r="AF95" s="17" t="str">
        <f aca="false">IF((E95="l"),H95," ")</f>
        <v> </v>
      </c>
      <c r="AG95" s="17" t="str">
        <f aca="false">IF((E95="y"),H95," ")</f>
        <v> </v>
      </c>
      <c r="AH95" s="17" t="str">
        <f aca="false">IF((E95="z"),H95," ")</f>
        <v> </v>
      </c>
      <c r="AI95" s="17" t="str">
        <f aca="false">IF((E95="fa"),H95," ")</f>
        <v> </v>
      </c>
      <c r="AJ95" s="17" t="str">
        <f aca="false">IF((E95="e"),H95," ")</f>
        <v> </v>
      </c>
    </row>
    <row r="96" customFormat="false" ht="12" hidden="false" customHeight="false" outlineLevel="0" collapsed="false">
      <c r="A96" s="28"/>
      <c r="E96" s="2" t="str">
        <f aca="false">IF((F96&lt;&gt;0),"Enter Letter"," ")</f>
        <v> </v>
      </c>
      <c r="F96" s="30"/>
      <c r="G96" s="6" t="str">
        <f aca="false">IF(F96&lt;&gt;0,F96*G$2/(100+G$2)," ")</f>
        <v> </v>
      </c>
      <c r="H96" s="6" t="str">
        <f aca="false">IF((F96&lt;&gt;0),F96-G96," ")</f>
        <v> </v>
      </c>
      <c r="I96" s="5"/>
      <c r="L96" s="7" t="str">
        <f aca="false">IF(F96&lt;&gt;0,F96-K96," ")</f>
        <v> </v>
      </c>
      <c r="M96" s="8" t="str">
        <f aca="false">IF((F96-K96)&lt;&gt;0,M$1-A96," ")</f>
        <v> </v>
      </c>
      <c r="N96" s="5"/>
      <c r="O96" s="17" t="str">
        <f aca="false">IF((E96="s"),H96," ")</f>
        <v> </v>
      </c>
      <c r="P96" s="17" t="str">
        <f aca="false">IF((E96="c"),H96," ")</f>
        <v> </v>
      </c>
      <c r="Q96" s="17" t="str">
        <f aca="false">IF((E96="o"),H96," ")</f>
        <v> </v>
      </c>
      <c r="R96" s="17" t="str">
        <f aca="false">IF((E96="d"),H96," ")</f>
        <v> </v>
      </c>
      <c r="S96" s="17" t="str">
        <f aca="false">IF((E96="w"),H96," ")</f>
        <v> </v>
      </c>
      <c r="T96" s="17" t="str">
        <f aca="false">IF((E96="r"),H96," ")</f>
        <v> </v>
      </c>
      <c r="U96" s="17" t="str">
        <f aca="false">IF((E96="p"),H96," ")</f>
        <v> </v>
      </c>
      <c r="V96" s="17" t="str">
        <f aca="false">IF((E96="t"),H96," ")</f>
        <v> </v>
      </c>
      <c r="W96" s="17" t="str">
        <f aca="false">IF((E96="q"),H96," ")</f>
        <v> </v>
      </c>
      <c r="X96" s="17" t="str">
        <f aca="false">IF((E96="m"),H96," ")</f>
        <v> </v>
      </c>
      <c r="Y96" s="17" t="str">
        <f aca="false">IF((E96="u"),H96," ")</f>
        <v> </v>
      </c>
      <c r="Z96" s="17" t="str">
        <f aca="false">IF((E96="a"),H96," ")</f>
        <v> </v>
      </c>
      <c r="AA96" s="17" t="str">
        <f aca="false">IF((E96="g"),H96," ")</f>
        <v> </v>
      </c>
      <c r="AB96" s="17" t="str">
        <f aca="false">IF((E96="h"),H96," ")</f>
        <v> </v>
      </c>
      <c r="AC96" s="30" t="str">
        <f aca="false">IF((E96="v"),H96," ")</f>
        <v> </v>
      </c>
      <c r="AD96" s="30" t="str">
        <f aca="false">IF((E96="n"),H96," ")</f>
        <v> </v>
      </c>
      <c r="AE96" s="17" t="str">
        <f aca="false">IF((E96="f"),H96," ")</f>
        <v> </v>
      </c>
      <c r="AF96" s="17" t="str">
        <f aca="false">IF((E96="l"),H96," ")</f>
        <v> </v>
      </c>
      <c r="AG96" s="17" t="str">
        <f aca="false">IF((E96="y"),H96," ")</f>
        <v> </v>
      </c>
      <c r="AH96" s="17" t="str">
        <f aca="false">IF((E96="z"),H96," ")</f>
        <v> </v>
      </c>
      <c r="AI96" s="17" t="str">
        <f aca="false">IF((E96="fa"),H96," ")</f>
        <v> </v>
      </c>
      <c r="AJ96" s="17" t="str">
        <f aca="false">IF((E96="e"),H96," ")</f>
        <v> </v>
      </c>
    </row>
    <row r="97" customFormat="false" ht="12" hidden="false" customHeight="false" outlineLevel="0" collapsed="false">
      <c r="A97" s="28"/>
      <c r="E97" s="2" t="str">
        <f aca="false">IF((F97&lt;&gt;0),"Enter Letter"," ")</f>
        <v> </v>
      </c>
      <c r="F97" s="30"/>
      <c r="G97" s="6" t="str">
        <f aca="false">IF(F97&lt;&gt;0,F97*G$2/(100+G$2)," ")</f>
        <v> </v>
      </c>
      <c r="H97" s="6" t="str">
        <f aca="false">IF((F97&lt;&gt;0),F97-G97," ")</f>
        <v> </v>
      </c>
      <c r="I97" s="5"/>
      <c r="L97" s="7" t="str">
        <f aca="false">IF(F97&lt;&gt;0,F97-K97," ")</f>
        <v> </v>
      </c>
      <c r="M97" s="8" t="str">
        <f aca="false">IF((F97-K97)&lt;&gt;0,M$1-A97," ")</f>
        <v> </v>
      </c>
      <c r="N97" s="5"/>
      <c r="O97" s="17" t="str">
        <f aca="false">IF((E97="s"),H97," ")</f>
        <v> </v>
      </c>
      <c r="P97" s="17" t="str">
        <f aca="false">IF((E97="c"),H97," ")</f>
        <v> </v>
      </c>
      <c r="Q97" s="17" t="str">
        <f aca="false">IF((E97="o"),H97," ")</f>
        <v> </v>
      </c>
      <c r="R97" s="17" t="str">
        <f aca="false">IF((E97="d"),H97," ")</f>
        <v> </v>
      </c>
      <c r="S97" s="17" t="str">
        <f aca="false">IF((E97="w"),H97," ")</f>
        <v> </v>
      </c>
      <c r="T97" s="17" t="str">
        <f aca="false">IF((E97="r"),H97," ")</f>
        <v> </v>
      </c>
      <c r="U97" s="17" t="str">
        <f aca="false">IF((E97="p"),H97," ")</f>
        <v> </v>
      </c>
      <c r="V97" s="17" t="str">
        <f aca="false">IF((E97="t"),H97," ")</f>
        <v> </v>
      </c>
      <c r="W97" s="17" t="str">
        <f aca="false">IF((E97="q"),H97," ")</f>
        <v> </v>
      </c>
      <c r="X97" s="17" t="str">
        <f aca="false">IF((E97="m"),H97," ")</f>
        <v> </v>
      </c>
      <c r="Y97" s="17" t="str">
        <f aca="false">IF((E97="u"),H97," ")</f>
        <v> </v>
      </c>
      <c r="Z97" s="17" t="str">
        <f aca="false">IF((E97="a"),H97," ")</f>
        <v> </v>
      </c>
      <c r="AA97" s="17" t="str">
        <f aca="false">IF((E97="g"),H97," ")</f>
        <v> </v>
      </c>
      <c r="AB97" s="17" t="str">
        <f aca="false">IF((E97="h"),H97," ")</f>
        <v> </v>
      </c>
      <c r="AC97" s="30" t="str">
        <f aca="false">IF((E97="v"),H97," ")</f>
        <v> </v>
      </c>
      <c r="AD97" s="30" t="str">
        <f aca="false">IF((E97="n"),H97," ")</f>
        <v> </v>
      </c>
      <c r="AE97" s="17" t="str">
        <f aca="false">IF((E97="f"),H97," ")</f>
        <v> </v>
      </c>
      <c r="AF97" s="17" t="str">
        <f aca="false">IF((E97="l"),H97," ")</f>
        <v> </v>
      </c>
      <c r="AG97" s="17" t="str">
        <f aca="false">IF((E97="y"),H97," ")</f>
        <v> </v>
      </c>
      <c r="AH97" s="17" t="str">
        <f aca="false">IF((E97="z"),H97," ")</f>
        <v> </v>
      </c>
      <c r="AI97" s="17" t="str">
        <f aca="false">IF((E97="fa"),H97," ")</f>
        <v> </v>
      </c>
      <c r="AJ97" s="17" t="str">
        <f aca="false">IF((E97="e"),H97," ")</f>
        <v> </v>
      </c>
    </row>
    <row r="98" customFormat="false" ht="12" hidden="false" customHeight="false" outlineLevel="0" collapsed="false">
      <c r="A98" s="28"/>
      <c r="E98" s="2" t="str">
        <f aca="false">IF((F98&lt;&gt;0),"Enter Letter"," ")</f>
        <v> </v>
      </c>
      <c r="F98" s="30"/>
      <c r="G98" s="6" t="str">
        <f aca="false">IF(F98&lt;&gt;0,F98*G$2/(100+G$2)," ")</f>
        <v> </v>
      </c>
      <c r="H98" s="6" t="str">
        <f aca="false">IF((F98&lt;&gt;0),F98-G98," ")</f>
        <v> </v>
      </c>
      <c r="I98" s="5"/>
      <c r="L98" s="7" t="str">
        <f aca="false">IF(F98&lt;&gt;0,F98-K98," ")</f>
        <v> </v>
      </c>
      <c r="M98" s="8" t="str">
        <f aca="false">IF((F98-K98)&lt;&gt;0,M$1-A98," ")</f>
        <v> </v>
      </c>
      <c r="N98" s="5"/>
      <c r="O98" s="17" t="str">
        <f aca="false">IF((E98="s"),H98," ")</f>
        <v> </v>
      </c>
      <c r="P98" s="17" t="str">
        <f aca="false">IF((E98="c"),H98," ")</f>
        <v> </v>
      </c>
      <c r="Q98" s="17" t="str">
        <f aca="false">IF((E98="o"),H98," ")</f>
        <v> </v>
      </c>
      <c r="R98" s="17" t="str">
        <f aca="false">IF((E98="d"),H98," ")</f>
        <v> </v>
      </c>
      <c r="S98" s="17" t="str">
        <f aca="false">IF((E98="w"),H98," ")</f>
        <v> </v>
      </c>
      <c r="T98" s="17" t="str">
        <f aca="false">IF((E98="r"),H98," ")</f>
        <v> </v>
      </c>
      <c r="U98" s="17" t="str">
        <f aca="false">IF((E98="p"),H98," ")</f>
        <v> </v>
      </c>
      <c r="V98" s="17" t="str">
        <f aca="false">IF((E98="t"),H98," ")</f>
        <v> </v>
      </c>
      <c r="W98" s="17" t="str">
        <f aca="false">IF((E98="q"),H98," ")</f>
        <v> </v>
      </c>
      <c r="X98" s="17" t="str">
        <f aca="false">IF((E98="m"),H98," ")</f>
        <v> </v>
      </c>
      <c r="Y98" s="17" t="str">
        <f aca="false">IF((E98="u"),H98," ")</f>
        <v> </v>
      </c>
      <c r="Z98" s="17" t="str">
        <f aca="false">IF((E98="a"),H98," ")</f>
        <v> </v>
      </c>
      <c r="AA98" s="17" t="str">
        <f aca="false">IF((E98="g"),H98," ")</f>
        <v> </v>
      </c>
      <c r="AB98" s="17" t="str">
        <f aca="false">IF((E98="h"),H98," ")</f>
        <v> </v>
      </c>
      <c r="AC98" s="30" t="str">
        <f aca="false">IF((E98="v"),H98," ")</f>
        <v> </v>
      </c>
      <c r="AD98" s="30" t="str">
        <f aca="false">IF((E98="n"),H98," ")</f>
        <v> </v>
      </c>
      <c r="AE98" s="17" t="str">
        <f aca="false">IF((E98="f"),H98," ")</f>
        <v> </v>
      </c>
      <c r="AF98" s="17" t="str">
        <f aca="false">IF((E98="l"),H98," ")</f>
        <v> </v>
      </c>
      <c r="AG98" s="17" t="str">
        <f aca="false">IF((E98="y"),H98," ")</f>
        <v> </v>
      </c>
      <c r="AH98" s="17" t="str">
        <f aca="false">IF((E98="z"),H98," ")</f>
        <v> </v>
      </c>
      <c r="AI98" s="17" t="str">
        <f aca="false">IF((E98="fa"),H98," ")</f>
        <v> </v>
      </c>
      <c r="AJ98" s="17" t="str">
        <f aca="false">IF((E98="e"),H98," ")</f>
        <v> </v>
      </c>
    </row>
    <row r="99" customFormat="false" ht="12" hidden="false" customHeight="false" outlineLevel="0" collapsed="false">
      <c r="A99" s="28"/>
      <c r="E99" s="2" t="str">
        <f aca="false">IF((F99&lt;&gt;0),"Enter Letter"," ")</f>
        <v> </v>
      </c>
      <c r="F99" s="30"/>
      <c r="G99" s="6" t="str">
        <f aca="false">IF(F99&lt;&gt;0,F99*G$2/(100+G$2)," ")</f>
        <v> </v>
      </c>
      <c r="H99" s="6" t="str">
        <f aca="false">IF((F99&lt;&gt;0),F99-G99," ")</f>
        <v> </v>
      </c>
      <c r="I99" s="5"/>
      <c r="L99" s="7" t="str">
        <f aca="false">IF(F99&lt;&gt;0,F99-K99," ")</f>
        <v> </v>
      </c>
      <c r="M99" s="8" t="str">
        <f aca="false">IF((F99-K99)&lt;&gt;0,M$1-A99," ")</f>
        <v> </v>
      </c>
      <c r="N99" s="5"/>
      <c r="O99" s="17" t="str">
        <f aca="false">IF((E99="s"),H99," ")</f>
        <v> </v>
      </c>
      <c r="P99" s="17" t="str">
        <f aca="false">IF((E99="c"),H99," ")</f>
        <v> </v>
      </c>
      <c r="Q99" s="17" t="str">
        <f aca="false">IF((E99="o"),H99," ")</f>
        <v> </v>
      </c>
      <c r="R99" s="17" t="str">
        <f aca="false">IF((E99="d"),H99," ")</f>
        <v> </v>
      </c>
      <c r="S99" s="17" t="str">
        <f aca="false">IF((E99="w"),H99," ")</f>
        <v> </v>
      </c>
      <c r="T99" s="17" t="str">
        <f aca="false">IF((E99="r"),H99," ")</f>
        <v> </v>
      </c>
      <c r="U99" s="17" t="str">
        <f aca="false">IF((E99="p"),H99," ")</f>
        <v> </v>
      </c>
      <c r="V99" s="17" t="str">
        <f aca="false">IF((E99="t"),H99," ")</f>
        <v> </v>
      </c>
      <c r="W99" s="17" t="str">
        <f aca="false">IF((E99="q"),H99," ")</f>
        <v> </v>
      </c>
      <c r="X99" s="17" t="str">
        <f aca="false">IF((E99="m"),H99," ")</f>
        <v> </v>
      </c>
      <c r="Y99" s="17" t="str">
        <f aca="false">IF((E99="u"),H99," ")</f>
        <v> </v>
      </c>
      <c r="Z99" s="17" t="str">
        <f aca="false">IF((E99="a"),H99," ")</f>
        <v> </v>
      </c>
      <c r="AA99" s="17" t="str">
        <f aca="false">IF((E99="g"),H99," ")</f>
        <v> </v>
      </c>
      <c r="AB99" s="17" t="str">
        <f aca="false">IF((E99="h"),H99," ")</f>
        <v> </v>
      </c>
      <c r="AC99" s="30" t="str">
        <f aca="false">IF((E99="v"),H99," ")</f>
        <v> </v>
      </c>
      <c r="AD99" s="30" t="str">
        <f aca="false">IF((E99="n"),H99," ")</f>
        <v> </v>
      </c>
      <c r="AE99" s="17" t="str">
        <f aca="false">IF((E99="f"),H99," ")</f>
        <v> </v>
      </c>
      <c r="AF99" s="17" t="str">
        <f aca="false">IF((E99="l"),H99," ")</f>
        <v> </v>
      </c>
      <c r="AG99" s="17" t="str">
        <f aca="false">IF((E99="y"),H99," ")</f>
        <v> </v>
      </c>
      <c r="AH99" s="17" t="str">
        <f aca="false">IF((E99="z"),H99," ")</f>
        <v> </v>
      </c>
      <c r="AI99" s="17" t="str">
        <f aca="false">IF((E99="fa"),H99," ")</f>
        <v> </v>
      </c>
      <c r="AJ99" s="17" t="str">
        <f aca="false">IF((E99="e"),H99," ")</f>
        <v> </v>
      </c>
    </row>
    <row r="100" customFormat="false" ht="12" hidden="false" customHeight="false" outlineLevel="0" collapsed="false">
      <c r="A100" s="28"/>
      <c r="E100" s="2" t="str">
        <f aca="false">IF((F100&lt;&gt;0),"Enter Letter"," ")</f>
        <v> </v>
      </c>
      <c r="F100" s="30"/>
      <c r="G100" s="6" t="str">
        <f aca="false">IF(F100&lt;&gt;0,F100*G$2/(100+G$2)," ")</f>
        <v> </v>
      </c>
      <c r="H100" s="6" t="str">
        <f aca="false">IF((F100&lt;&gt;0),F100-G100," ")</f>
        <v> </v>
      </c>
      <c r="I100" s="5"/>
      <c r="L100" s="7" t="str">
        <f aca="false">IF(F100&lt;&gt;0,F100-K100," ")</f>
        <v> </v>
      </c>
      <c r="M100" s="8" t="str">
        <f aca="false">IF((F100-K100)&lt;&gt;0,M$1-A100," ")</f>
        <v> </v>
      </c>
      <c r="N100" s="5"/>
      <c r="O100" s="17" t="str">
        <f aca="false">IF((E100="s"),H100," ")</f>
        <v> </v>
      </c>
      <c r="P100" s="17" t="str">
        <f aca="false">IF((E100="c"),H100," ")</f>
        <v> </v>
      </c>
      <c r="Q100" s="17" t="str">
        <f aca="false">IF((E100="o"),H100," ")</f>
        <v> </v>
      </c>
      <c r="R100" s="17" t="str">
        <f aca="false">IF((E100="d"),H100," ")</f>
        <v> </v>
      </c>
      <c r="S100" s="17" t="str">
        <f aca="false">IF((E100="w"),H100," ")</f>
        <v> </v>
      </c>
      <c r="T100" s="17" t="str">
        <f aca="false">IF((E100="r"),H100," ")</f>
        <v> </v>
      </c>
      <c r="U100" s="17" t="str">
        <f aca="false">IF((E100="p"),H100," ")</f>
        <v> </v>
      </c>
      <c r="V100" s="17" t="str">
        <f aca="false">IF((E100="t"),H100," ")</f>
        <v> </v>
      </c>
      <c r="W100" s="17" t="str">
        <f aca="false">IF((E100="q"),H100," ")</f>
        <v> </v>
      </c>
      <c r="X100" s="17" t="str">
        <f aca="false">IF((E100="m"),H100," ")</f>
        <v> </v>
      </c>
      <c r="Y100" s="17" t="str">
        <f aca="false">IF((E100="u"),H100," ")</f>
        <v> </v>
      </c>
      <c r="Z100" s="17" t="str">
        <f aca="false">IF((E100="a"),H100," ")</f>
        <v> </v>
      </c>
      <c r="AA100" s="17" t="str">
        <f aca="false">IF((E100="g"),H100," ")</f>
        <v> </v>
      </c>
      <c r="AB100" s="17" t="str">
        <f aca="false">IF((E100="h"),H100," ")</f>
        <v> </v>
      </c>
      <c r="AC100" s="30" t="str">
        <f aca="false">IF((E100="v"),H100," ")</f>
        <v> </v>
      </c>
      <c r="AD100" s="30" t="str">
        <f aca="false">IF((E100="n"),H100," ")</f>
        <v> </v>
      </c>
      <c r="AE100" s="17" t="str">
        <f aca="false">IF((E100="f"),H100," ")</f>
        <v> </v>
      </c>
      <c r="AF100" s="17" t="str">
        <f aca="false">IF((E100="l"),H100," ")</f>
        <v> </v>
      </c>
      <c r="AG100" s="17" t="str">
        <f aca="false">IF((E100="y"),H100," ")</f>
        <v> </v>
      </c>
      <c r="AH100" s="17" t="str">
        <f aca="false">IF((E100="z"),H100," ")</f>
        <v> </v>
      </c>
      <c r="AI100" s="17" t="str">
        <f aca="false">IF((E100="fa"),H100," ")</f>
        <v> </v>
      </c>
      <c r="AJ100" s="17" t="str">
        <f aca="false">IF((E100="e"),H100," ")</f>
        <v> </v>
      </c>
    </row>
    <row r="101" customFormat="false" ht="12" hidden="false" customHeight="false" outlineLevel="0" collapsed="false">
      <c r="A101" s="28"/>
      <c r="E101" s="2" t="str">
        <f aca="false">IF((F101&lt;&gt;0),"Enter Letter"," ")</f>
        <v> </v>
      </c>
      <c r="F101" s="30"/>
      <c r="G101" s="6" t="str">
        <f aca="false">IF(F101&lt;&gt;0,F101*G$2/(100+G$2)," ")</f>
        <v> </v>
      </c>
      <c r="H101" s="6" t="str">
        <f aca="false">IF((F101&lt;&gt;0),F101-G101," ")</f>
        <v> </v>
      </c>
      <c r="I101" s="5"/>
      <c r="L101" s="7" t="str">
        <f aca="false">IF(F101&lt;&gt;0,F101-K101," ")</f>
        <v> </v>
      </c>
      <c r="M101" s="8" t="str">
        <f aca="false">IF((F101-K101)&lt;&gt;0,M$1-A101," ")</f>
        <v> </v>
      </c>
      <c r="N101" s="5"/>
      <c r="O101" s="17" t="str">
        <f aca="false">IF((E101="s"),H101," ")</f>
        <v> </v>
      </c>
      <c r="P101" s="17" t="str">
        <f aca="false">IF((E101="c"),H101," ")</f>
        <v> </v>
      </c>
      <c r="Q101" s="17" t="str">
        <f aca="false">IF((E101="o"),H101," ")</f>
        <v> </v>
      </c>
      <c r="R101" s="17" t="str">
        <f aca="false">IF((E101="d"),H101," ")</f>
        <v> </v>
      </c>
      <c r="S101" s="17" t="str">
        <f aca="false">IF((E101="w"),H101," ")</f>
        <v> </v>
      </c>
      <c r="T101" s="17" t="str">
        <f aca="false">IF((E101="r"),H101," ")</f>
        <v> </v>
      </c>
      <c r="U101" s="17" t="str">
        <f aca="false">IF((E101="p"),H101," ")</f>
        <v> </v>
      </c>
      <c r="V101" s="17" t="str">
        <f aca="false">IF((E101="t"),H101," ")</f>
        <v> </v>
      </c>
      <c r="W101" s="17" t="str">
        <f aca="false">IF((E101="q"),H101," ")</f>
        <v> </v>
      </c>
      <c r="X101" s="17" t="str">
        <f aca="false">IF((E101="m"),H101," ")</f>
        <v> </v>
      </c>
      <c r="Y101" s="17" t="str">
        <f aca="false">IF((E101="u"),H101," ")</f>
        <v> </v>
      </c>
      <c r="Z101" s="17" t="str">
        <f aca="false">IF((E101="a"),H101," ")</f>
        <v> </v>
      </c>
      <c r="AA101" s="17" t="str">
        <f aca="false">IF((E101="g"),H101," ")</f>
        <v> </v>
      </c>
      <c r="AB101" s="17" t="str">
        <f aca="false">IF((E101="h"),H101," ")</f>
        <v> </v>
      </c>
      <c r="AC101" s="30" t="str">
        <f aca="false">IF((E101="v"),H101," ")</f>
        <v> </v>
      </c>
      <c r="AD101" s="30" t="str">
        <f aca="false">IF((E101="n"),H101," ")</f>
        <v> </v>
      </c>
      <c r="AE101" s="17" t="str">
        <f aca="false">IF((E101="f"),H101," ")</f>
        <v> </v>
      </c>
      <c r="AF101" s="17" t="str">
        <f aca="false">IF((E101="l"),H101," ")</f>
        <v> </v>
      </c>
      <c r="AG101" s="17" t="str">
        <f aca="false">IF((E101="y"),H101," ")</f>
        <v> </v>
      </c>
      <c r="AH101" s="17" t="str">
        <f aca="false">IF((E101="z"),H101," ")</f>
        <v> </v>
      </c>
      <c r="AI101" s="17" t="str">
        <f aca="false">IF((E101="fa"),H101," ")</f>
        <v> </v>
      </c>
      <c r="AJ101" s="17" t="str">
        <f aca="false">IF((E101="e"),H101," ")</f>
        <v> </v>
      </c>
    </row>
    <row r="102" customFormat="false" ht="12" hidden="false" customHeight="false" outlineLevel="0" collapsed="false">
      <c r="A102" s="28"/>
      <c r="E102" s="2" t="str">
        <f aca="false">IF((F102&lt;&gt;0),"Enter Letter"," ")</f>
        <v> </v>
      </c>
      <c r="F102" s="30"/>
      <c r="G102" s="6" t="str">
        <f aca="false">IF(F102&lt;&gt;0,F102*G$2/(100+G$2)," ")</f>
        <v> </v>
      </c>
      <c r="H102" s="6" t="str">
        <f aca="false">IF((F102&lt;&gt;0),F102-G102," ")</f>
        <v> </v>
      </c>
      <c r="I102" s="5"/>
      <c r="L102" s="7" t="str">
        <f aca="false">IF(F102&lt;&gt;0,F102-K102," ")</f>
        <v> </v>
      </c>
      <c r="M102" s="8" t="str">
        <f aca="false">IF((F102-K102)&lt;&gt;0,M$1-A102," ")</f>
        <v> </v>
      </c>
      <c r="N102" s="5"/>
      <c r="O102" s="17" t="str">
        <f aca="false">IF((E102="s"),H102," ")</f>
        <v> </v>
      </c>
      <c r="P102" s="17" t="str">
        <f aca="false">IF((E102="c"),H102," ")</f>
        <v> </v>
      </c>
      <c r="Q102" s="17" t="str">
        <f aca="false">IF((E102="o"),H102," ")</f>
        <v> </v>
      </c>
      <c r="R102" s="17" t="str">
        <f aca="false">IF((E102="d"),H102," ")</f>
        <v> </v>
      </c>
      <c r="S102" s="17" t="str">
        <f aca="false">IF((E102="w"),H102," ")</f>
        <v> </v>
      </c>
      <c r="T102" s="17" t="str">
        <f aca="false">IF((E102="r"),H102," ")</f>
        <v> </v>
      </c>
      <c r="U102" s="17" t="str">
        <f aca="false">IF((E102="p"),H102," ")</f>
        <v> </v>
      </c>
      <c r="V102" s="17" t="str">
        <f aca="false">IF((E102="t"),H102," ")</f>
        <v> </v>
      </c>
      <c r="W102" s="17" t="str">
        <f aca="false">IF((E102="q"),H102," ")</f>
        <v> </v>
      </c>
      <c r="X102" s="17" t="str">
        <f aca="false">IF((E102="m"),H102," ")</f>
        <v> </v>
      </c>
      <c r="Y102" s="17" t="str">
        <f aca="false">IF((E102="u"),H102," ")</f>
        <v> </v>
      </c>
      <c r="Z102" s="17" t="str">
        <f aca="false">IF((E102="a"),H102," ")</f>
        <v> </v>
      </c>
      <c r="AA102" s="17" t="str">
        <f aca="false">IF((E102="g"),H102," ")</f>
        <v> </v>
      </c>
      <c r="AB102" s="17" t="str">
        <f aca="false">IF((E102="h"),H102," ")</f>
        <v> </v>
      </c>
      <c r="AC102" s="30" t="str">
        <f aca="false">IF((E102="v"),H102," ")</f>
        <v> </v>
      </c>
      <c r="AD102" s="30" t="str">
        <f aca="false">IF((E102="n"),H102," ")</f>
        <v> </v>
      </c>
      <c r="AE102" s="17" t="str">
        <f aca="false">IF((E102="f"),H102," ")</f>
        <v> </v>
      </c>
      <c r="AF102" s="17" t="str">
        <f aca="false">IF((E102="l"),H102," ")</f>
        <v> </v>
      </c>
      <c r="AG102" s="17" t="str">
        <f aca="false">IF((E102="y"),H102," ")</f>
        <v> </v>
      </c>
      <c r="AH102" s="17" t="str">
        <f aca="false">IF((E102="z"),H102," ")</f>
        <v> </v>
      </c>
      <c r="AI102" s="17" t="str">
        <f aca="false">IF((E102="fa"),H102," ")</f>
        <v> </v>
      </c>
      <c r="AJ102" s="17" t="str">
        <f aca="false">IF((E102="e"),H102," ")</f>
        <v> </v>
      </c>
    </row>
    <row r="103" customFormat="false" ht="12" hidden="false" customHeight="false" outlineLevel="0" collapsed="false">
      <c r="A103" s="28"/>
      <c r="E103" s="2" t="str">
        <f aca="false">IF((F103&lt;&gt;0),"Enter Letter"," ")</f>
        <v> </v>
      </c>
      <c r="F103" s="30"/>
      <c r="G103" s="6" t="str">
        <f aca="false">IF(F103&lt;&gt;0,F103*G$2/(100+G$2)," ")</f>
        <v> </v>
      </c>
      <c r="H103" s="6" t="str">
        <f aca="false">IF((F103&lt;&gt;0),F103-G103," ")</f>
        <v> </v>
      </c>
      <c r="I103" s="5"/>
      <c r="L103" s="7" t="str">
        <f aca="false">IF(F103&lt;&gt;0,F103-K103," ")</f>
        <v> </v>
      </c>
      <c r="M103" s="8" t="str">
        <f aca="false">IF((F103-K103)&lt;&gt;0,M$1-A103," ")</f>
        <v> </v>
      </c>
      <c r="N103" s="5"/>
      <c r="O103" s="17" t="str">
        <f aca="false">IF((E103="s"),H103," ")</f>
        <v> </v>
      </c>
      <c r="P103" s="17" t="str">
        <f aca="false">IF((E103="c"),H103," ")</f>
        <v> </v>
      </c>
      <c r="Q103" s="17" t="str">
        <f aca="false">IF((E103="o"),H103," ")</f>
        <v> </v>
      </c>
      <c r="R103" s="17" t="str">
        <f aca="false">IF((E103="d"),H103," ")</f>
        <v> </v>
      </c>
      <c r="S103" s="17" t="str">
        <f aca="false">IF((E103="w"),H103," ")</f>
        <v> </v>
      </c>
      <c r="T103" s="17" t="str">
        <f aca="false">IF((E103="r"),H103," ")</f>
        <v> </v>
      </c>
      <c r="U103" s="17" t="str">
        <f aca="false">IF((E103="p"),H103," ")</f>
        <v> </v>
      </c>
      <c r="V103" s="17" t="str">
        <f aca="false">IF((E103="t"),H103," ")</f>
        <v> </v>
      </c>
      <c r="W103" s="17" t="str">
        <f aca="false">IF((E103="q"),H103," ")</f>
        <v> </v>
      </c>
      <c r="X103" s="17" t="str">
        <f aca="false">IF((E103="m"),H103," ")</f>
        <v> </v>
      </c>
      <c r="Y103" s="17" t="str">
        <f aca="false">IF((E103="u"),H103," ")</f>
        <v> </v>
      </c>
      <c r="Z103" s="17" t="str">
        <f aca="false">IF((E103="a"),H103," ")</f>
        <v> </v>
      </c>
      <c r="AA103" s="17" t="str">
        <f aca="false">IF((E103="g"),H103," ")</f>
        <v> </v>
      </c>
      <c r="AB103" s="17" t="str">
        <f aca="false">IF((E103="h"),H103," ")</f>
        <v> </v>
      </c>
      <c r="AC103" s="30" t="str">
        <f aca="false">IF((E103="v"),H103," ")</f>
        <v> </v>
      </c>
      <c r="AD103" s="30" t="str">
        <f aca="false">IF((E103="n"),H103," ")</f>
        <v> </v>
      </c>
      <c r="AE103" s="17" t="str">
        <f aca="false">IF((E103="f"),H103," ")</f>
        <v> </v>
      </c>
      <c r="AF103" s="17" t="str">
        <f aca="false">IF((E103="l"),H103," ")</f>
        <v> </v>
      </c>
      <c r="AG103" s="17" t="str">
        <f aca="false">IF((E103="y"),H103," ")</f>
        <v> </v>
      </c>
      <c r="AH103" s="17" t="str">
        <f aca="false">IF((E103="z"),H103," ")</f>
        <v> </v>
      </c>
      <c r="AI103" s="17" t="str">
        <f aca="false">IF((E103="fa"),H103," ")</f>
        <v> </v>
      </c>
      <c r="AJ103" s="17" t="str">
        <f aca="false">IF((E103="e"),H103," ")</f>
        <v> </v>
      </c>
    </row>
    <row r="104" customFormat="false" ht="12" hidden="false" customHeight="false" outlineLevel="0" collapsed="false">
      <c r="A104" s="28"/>
      <c r="E104" s="2" t="str">
        <f aca="false">IF((F104&lt;&gt;0),"Enter Letter"," ")</f>
        <v> </v>
      </c>
      <c r="F104" s="30"/>
      <c r="G104" s="6" t="str">
        <f aca="false">IF(F104&lt;&gt;0,F104*G$2/(100+G$2)," ")</f>
        <v> </v>
      </c>
      <c r="H104" s="6" t="str">
        <f aca="false">IF((F104&lt;&gt;0),F104-G104," ")</f>
        <v> </v>
      </c>
      <c r="I104" s="5"/>
      <c r="L104" s="7" t="str">
        <f aca="false">IF(F104&lt;&gt;0,F104-K104," ")</f>
        <v> </v>
      </c>
      <c r="M104" s="8" t="str">
        <f aca="false">IF((F104-K104)&lt;&gt;0,M$1-A104," ")</f>
        <v> </v>
      </c>
      <c r="N104" s="5"/>
      <c r="O104" s="17" t="str">
        <f aca="false">IF((E104="s"),H104," ")</f>
        <v> </v>
      </c>
      <c r="P104" s="17" t="str">
        <f aca="false">IF((E104="c"),H104," ")</f>
        <v> </v>
      </c>
      <c r="Q104" s="17" t="str">
        <f aca="false">IF((E104="o"),H104," ")</f>
        <v> </v>
      </c>
      <c r="R104" s="17" t="str">
        <f aca="false">IF((E104="d"),H104," ")</f>
        <v> </v>
      </c>
      <c r="S104" s="17" t="str">
        <f aca="false">IF((E104="w"),H104," ")</f>
        <v> </v>
      </c>
      <c r="T104" s="17" t="str">
        <f aca="false">IF((E104="r"),H104," ")</f>
        <v> </v>
      </c>
      <c r="U104" s="17" t="str">
        <f aca="false">IF((E104="p"),H104," ")</f>
        <v> </v>
      </c>
      <c r="V104" s="17" t="str">
        <f aca="false">IF((E104="t"),H104," ")</f>
        <v> </v>
      </c>
      <c r="W104" s="17" t="str">
        <f aca="false">IF((E104="q"),H104," ")</f>
        <v> </v>
      </c>
      <c r="X104" s="17" t="str">
        <f aca="false">IF((E104="m"),H104," ")</f>
        <v> </v>
      </c>
      <c r="Y104" s="17" t="str">
        <f aca="false">IF((E104="u"),H104," ")</f>
        <v> </v>
      </c>
      <c r="Z104" s="17" t="str">
        <f aca="false">IF((E104="a"),H104," ")</f>
        <v> </v>
      </c>
      <c r="AA104" s="17" t="str">
        <f aca="false">IF((E104="g"),H104," ")</f>
        <v> </v>
      </c>
      <c r="AB104" s="17" t="str">
        <f aca="false">IF((E104="h"),H104," ")</f>
        <v> </v>
      </c>
      <c r="AC104" s="30" t="str">
        <f aca="false">IF((E104="v"),H104," ")</f>
        <v> </v>
      </c>
      <c r="AD104" s="30" t="str">
        <f aca="false">IF((E104="n"),H104," ")</f>
        <v> </v>
      </c>
      <c r="AE104" s="17" t="str">
        <f aca="false">IF((E104="f"),H104," ")</f>
        <v> </v>
      </c>
      <c r="AF104" s="17" t="str">
        <f aca="false">IF((E104="l"),H104," ")</f>
        <v> </v>
      </c>
      <c r="AG104" s="17" t="str">
        <f aca="false">IF((E104="y"),H104," ")</f>
        <v> </v>
      </c>
      <c r="AH104" s="17" t="str">
        <f aca="false">IF((E104="z"),H104," ")</f>
        <v> </v>
      </c>
      <c r="AI104" s="17" t="str">
        <f aca="false">IF((E104="fa"),H104," ")</f>
        <v> </v>
      </c>
      <c r="AJ104" s="17" t="str">
        <f aca="false">IF((E104="e"),H104," ")</f>
        <v> </v>
      </c>
    </row>
    <row r="105" customFormat="false" ht="12" hidden="false" customHeight="false" outlineLevel="0" collapsed="false">
      <c r="A105" s="28"/>
      <c r="E105" s="2" t="str">
        <f aca="false">IF((F105&lt;&gt;0),"Enter Letter"," ")</f>
        <v> </v>
      </c>
      <c r="F105" s="30"/>
      <c r="G105" s="6" t="str">
        <f aca="false">IF(F105&lt;&gt;0,F105*G$2/(100+G$2)," ")</f>
        <v> </v>
      </c>
      <c r="H105" s="6" t="str">
        <f aca="false">IF((F105&lt;&gt;0),F105-G105," ")</f>
        <v> </v>
      </c>
      <c r="I105" s="5"/>
      <c r="L105" s="7" t="str">
        <f aca="false">IF(F105&lt;&gt;0,F105-K105," ")</f>
        <v> </v>
      </c>
      <c r="M105" s="8" t="str">
        <f aca="false">IF((F105-K105)&lt;&gt;0,M$1-A105," ")</f>
        <v> </v>
      </c>
      <c r="N105" s="5"/>
      <c r="O105" s="17" t="str">
        <f aca="false">IF((E105="s"),H105," ")</f>
        <v> </v>
      </c>
      <c r="P105" s="17" t="str">
        <f aca="false">IF((E105="c"),H105," ")</f>
        <v> </v>
      </c>
      <c r="Q105" s="17" t="str">
        <f aca="false">IF((E105="o"),H105," ")</f>
        <v> </v>
      </c>
      <c r="R105" s="17" t="str">
        <f aca="false">IF((E105="d"),H105," ")</f>
        <v> </v>
      </c>
      <c r="S105" s="17" t="str">
        <f aca="false">IF((E105="w"),H105," ")</f>
        <v> </v>
      </c>
      <c r="T105" s="17" t="str">
        <f aca="false">IF((E105="r"),H105," ")</f>
        <v> </v>
      </c>
      <c r="U105" s="17" t="str">
        <f aca="false">IF((E105="p"),H105," ")</f>
        <v> </v>
      </c>
      <c r="V105" s="17" t="str">
        <f aca="false">IF((E105="t"),H105," ")</f>
        <v> </v>
      </c>
      <c r="W105" s="17" t="str">
        <f aca="false">IF((E105="q"),H105," ")</f>
        <v> </v>
      </c>
      <c r="X105" s="17" t="str">
        <f aca="false">IF((E105="m"),H105," ")</f>
        <v> </v>
      </c>
      <c r="Y105" s="17" t="str">
        <f aca="false">IF((E105="u"),H105," ")</f>
        <v> </v>
      </c>
      <c r="Z105" s="17" t="str">
        <f aca="false">IF((E105="a"),H105," ")</f>
        <v> </v>
      </c>
      <c r="AA105" s="17" t="str">
        <f aca="false">IF((E105="g"),H105," ")</f>
        <v> </v>
      </c>
      <c r="AB105" s="17" t="str">
        <f aca="false">IF((E105="h"),H105," ")</f>
        <v> </v>
      </c>
      <c r="AC105" s="30" t="str">
        <f aca="false">IF((E105="v"),H105," ")</f>
        <v> </v>
      </c>
      <c r="AD105" s="30" t="str">
        <f aca="false">IF((E105="n"),H105," ")</f>
        <v> </v>
      </c>
      <c r="AE105" s="17" t="str">
        <f aca="false">IF((E105="f"),H105," ")</f>
        <v> </v>
      </c>
      <c r="AF105" s="17" t="str">
        <f aca="false">IF((E105="l"),H105," ")</f>
        <v> </v>
      </c>
      <c r="AG105" s="17" t="str">
        <f aca="false">IF((E105="y"),H105," ")</f>
        <v> </v>
      </c>
      <c r="AH105" s="17" t="str">
        <f aca="false">IF((E105="z"),H105," ")</f>
        <v> </v>
      </c>
      <c r="AI105" s="17" t="str">
        <f aca="false">IF((E105="fa"),H105," ")</f>
        <v> </v>
      </c>
      <c r="AJ105" s="17" t="str">
        <f aca="false">IF((E105="e"),H105," ")</f>
        <v> </v>
      </c>
    </row>
    <row r="106" customFormat="false" ht="12" hidden="false" customHeight="false" outlineLevel="0" collapsed="false">
      <c r="A106" s="28"/>
      <c r="E106" s="2" t="str">
        <f aca="false">IF((F106&lt;&gt;0),"Enter Letter"," ")</f>
        <v> </v>
      </c>
      <c r="F106" s="30"/>
      <c r="G106" s="6" t="str">
        <f aca="false">IF(F106&lt;&gt;0,F106*G$2/(100+G$2)," ")</f>
        <v> </v>
      </c>
      <c r="H106" s="6" t="str">
        <f aca="false">IF((F106&lt;&gt;0),F106-G106," ")</f>
        <v> </v>
      </c>
      <c r="I106" s="5"/>
      <c r="L106" s="7" t="str">
        <f aca="false">IF(F106&lt;&gt;0,F106-K106," ")</f>
        <v> </v>
      </c>
      <c r="M106" s="8" t="str">
        <f aca="false">IF((F106-K106)&lt;&gt;0,M$1-A106," ")</f>
        <v> </v>
      </c>
      <c r="N106" s="5"/>
      <c r="O106" s="17" t="str">
        <f aca="false">IF((E106="s"),H106," ")</f>
        <v> </v>
      </c>
      <c r="P106" s="17" t="str">
        <f aca="false">IF((E106="c"),H106," ")</f>
        <v> </v>
      </c>
      <c r="Q106" s="17" t="str">
        <f aca="false">IF((E106="o"),H106," ")</f>
        <v> </v>
      </c>
      <c r="R106" s="17" t="str">
        <f aca="false">IF((E106="d"),H106," ")</f>
        <v> </v>
      </c>
      <c r="S106" s="17" t="str">
        <f aca="false">IF((E106="w"),H106," ")</f>
        <v> </v>
      </c>
      <c r="T106" s="17" t="str">
        <f aca="false">IF((E106="r"),H106," ")</f>
        <v> </v>
      </c>
      <c r="U106" s="17" t="str">
        <f aca="false">IF((E106="p"),H106," ")</f>
        <v> </v>
      </c>
      <c r="V106" s="17" t="str">
        <f aca="false">IF((E106="t"),H106," ")</f>
        <v> </v>
      </c>
      <c r="W106" s="17" t="str">
        <f aca="false">IF((E106="q"),H106," ")</f>
        <v> </v>
      </c>
      <c r="X106" s="17" t="str">
        <f aca="false">IF((E106="m"),H106," ")</f>
        <v> </v>
      </c>
      <c r="Y106" s="17" t="str">
        <f aca="false">IF((E106="u"),H106," ")</f>
        <v> </v>
      </c>
      <c r="Z106" s="17" t="str">
        <f aca="false">IF((E106="a"),H106," ")</f>
        <v> </v>
      </c>
      <c r="AA106" s="17" t="str">
        <f aca="false">IF((E106="g"),H106," ")</f>
        <v> </v>
      </c>
      <c r="AB106" s="17" t="str">
        <f aca="false">IF((E106="h"),H106," ")</f>
        <v> </v>
      </c>
      <c r="AC106" s="30" t="str">
        <f aca="false">IF((E106="v"),H106," ")</f>
        <v> </v>
      </c>
      <c r="AD106" s="30" t="str">
        <f aca="false">IF((E106="n"),H106," ")</f>
        <v> </v>
      </c>
      <c r="AE106" s="17" t="str">
        <f aca="false">IF((E106="f"),H106," ")</f>
        <v> </v>
      </c>
      <c r="AF106" s="17" t="str">
        <f aca="false">IF((E106="l"),H106," ")</f>
        <v> </v>
      </c>
      <c r="AG106" s="17" t="str">
        <f aca="false">IF((E106="y"),H106," ")</f>
        <v> </v>
      </c>
      <c r="AH106" s="17" t="str">
        <f aca="false">IF((E106="z"),H106," ")</f>
        <v> </v>
      </c>
      <c r="AI106" s="17" t="str">
        <f aca="false">IF((E106="fa"),H106," ")</f>
        <v> </v>
      </c>
      <c r="AJ106" s="17" t="str">
        <f aca="false">IF((E106="e"),H106," ")</f>
        <v> </v>
      </c>
    </row>
    <row r="107" customFormat="false" ht="12" hidden="false" customHeight="false" outlineLevel="0" collapsed="false">
      <c r="A107" s="28"/>
      <c r="E107" s="2" t="str">
        <f aca="false">IF((F107&lt;&gt;0),"Enter Letter"," ")</f>
        <v> </v>
      </c>
      <c r="F107" s="30"/>
      <c r="G107" s="6" t="str">
        <f aca="false">IF(F107&lt;&gt;0,F107*G$2/(100+G$2)," ")</f>
        <v> </v>
      </c>
      <c r="H107" s="6" t="str">
        <f aca="false">IF((F107&lt;&gt;0),F107-G107," ")</f>
        <v> </v>
      </c>
      <c r="I107" s="5"/>
      <c r="L107" s="7" t="str">
        <f aca="false">IF(F107&lt;&gt;0,F107-K107," ")</f>
        <v> </v>
      </c>
      <c r="M107" s="8" t="str">
        <f aca="false">IF((F107-K107)&lt;&gt;0,M$1-A107," ")</f>
        <v> </v>
      </c>
      <c r="N107" s="5"/>
      <c r="O107" s="17" t="str">
        <f aca="false">IF((E107="s"),H107," ")</f>
        <v> </v>
      </c>
      <c r="P107" s="17" t="str">
        <f aca="false">IF((E107="c"),H107," ")</f>
        <v> </v>
      </c>
      <c r="Q107" s="17" t="str">
        <f aca="false">IF((E107="o"),H107," ")</f>
        <v> </v>
      </c>
      <c r="R107" s="17" t="str">
        <f aca="false">IF((E107="d"),H107," ")</f>
        <v> </v>
      </c>
      <c r="S107" s="17" t="str">
        <f aca="false">IF((E107="w"),H107," ")</f>
        <v> </v>
      </c>
      <c r="T107" s="17" t="str">
        <f aca="false">IF((E107="r"),H107," ")</f>
        <v> </v>
      </c>
      <c r="U107" s="17" t="str">
        <f aca="false">IF((E107="p"),H107," ")</f>
        <v> </v>
      </c>
      <c r="V107" s="17" t="str">
        <f aca="false">IF((E107="t"),H107," ")</f>
        <v> </v>
      </c>
      <c r="W107" s="17" t="str">
        <f aca="false">IF((E107="q"),H107," ")</f>
        <v> </v>
      </c>
      <c r="X107" s="17" t="str">
        <f aca="false">IF((E107="m"),H107," ")</f>
        <v> </v>
      </c>
      <c r="Y107" s="17" t="str">
        <f aca="false">IF((E107="u"),H107," ")</f>
        <v> </v>
      </c>
      <c r="Z107" s="17" t="str">
        <f aca="false">IF((E107="a"),H107," ")</f>
        <v> </v>
      </c>
      <c r="AA107" s="17" t="str">
        <f aca="false">IF((E107="g"),H107," ")</f>
        <v> </v>
      </c>
      <c r="AB107" s="17" t="str">
        <f aca="false">IF((E107="h"),H107," ")</f>
        <v> </v>
      </c>
      <c r="AC107" s="30" t="str">
        <f aca="false">IF((E107="v"),H107," ")</f>
        <v> </v>
      </c>
      <c r="AD107" s="30" t="str">
        <f aca="false">IF((E107="n"),H107," ")</f>
        <v> </v>
      </c>
      <c r="AE107" s="17" t="str">
        <f aca="false">IF((E107="f"),H107," ")</f>
        <v> </v>
      </c>
      <c r="AF107" s="17" t="str">
        <f aca="false">IF((E107="l"),H107," ")</f>
        <v> </v>
      </c>
      <c r="AG107" s="17" t="str">
        <f aca="false">IF((E107="y"),H107," ")</f>
        <v> </v>
      </c>
      <c r="AH107" s="17" t="str">
        <f aca="false">IF((E107="z"),H107," ")</f>
        <v> </v>
      </c>
      <c r="AI107" s="17" t="str">
        <f aca="false">IF((E107="fa"),H107," ")</f>
        <v> </v>
      </c>
      <c r="AJ107" s="17" t="str">
        <f aca="false">IF((E107="e"),H107," ")</f>
        <v> </v>
      </c>
    </row>
    <row r="108" customFormat="false" ht="12" hidden="false" customHeight="false" outlineLevel="0" collapsed="false">
      <c r="A108" s="28"/>
      <c r="E108" s="2" t="str">
        <f aca="false">IF((F108&lt;&gt;0),"Enter Letter"," ")</f>
        <v> </v>
      </c>
      <c r="F108" s="30"/>
      <c r="G108" s="6" t="str">
        <f aca="false">IF(F108&lt;&gt;0,F108*G$2/(100+G$2)," ")</f>
        <v> </v>
      </c>
      <c r="H108" s="6" t="str">
        <f aca="false">IF((F108&lt;&gt;0),F108-G108," ")</f>
        <v> </v>
      </c>
      <c r="I108" s="5"/>
      <c r="L108" s="7" t="str">
        <f aca="false">IF(F108&lt;&gt;0,F108-K108," ")</f>
        <v> </v>
      </c>
      <c r="M108" s="8" t="str">
        <f aca="false">IF((F108-K108)&lt;&gt;0,M$1-A108," ")</f>
        <v> </v>
      </c>
      <c r="N108" s="5"/>
      <c r="O108" s="17" t="str">
        <f aca="false">IF((E108="s"),H108," ")</f>
        <v> </v>
      </c>
      <c r="P108" s="17" t="str">
        <f aca="false">IF((E108="c"),H108," ")</f>
        <v> </v>
      </c>
      <c r="Q108" s="17" t="str">
        <f aca="false">IF((E108="o"),H108," ")</f>
        <v> </v>
      </c>
      <c r="R108" s="17" t="str">
        <f aca="false">IF((E108="d"),H108," ")</f>
        <v> </v>
      </c>
      <c r="S108" s="17" t="str">
        <f aca="false">IF((E108="w"),H108," ")</f>
        <v> </v>
      </c>
      <c r="T108" s="17" t="str">
        <f aca="false">IF((E108="r"),H108," ")</f>
        <v> </v>
      </c>
      <c r="U108" s="17" t="str">
        <f aca="false">IF((E108="p"),H108," ")</f>
        <v> </v>
      </c>
      <c r="V108" s="17" t="str">
        <f aca="false">IF((E108="t"),H108," ")</f>
        <v> </v>
      </c>
      <c r="W108" s="17" t="str">
        <f aca="false">IF((E108="q"),H108," ")</f>
        <v> </v>
      </c>
      <c r="X108" s="17" t="str">
        <f aca="false">IF((E108="m"),H108," ")</f>
        <v> </v>
      </c>
      <c r="Y108" s="17" t="str">
        <f aca="false">IF((E108="u"),H108," ")</f>
        <v> </v>
      </c>
      <c r="Z108" s="17" t="str">
        <f aca="false">IF((E108="a"),H108," ")</f>
        <v> </v>
      </c>
      <c r="AA108" s="17" t="str">
        <f aca="false">IF((E108="g"),H108," ")</f>
        <v> </v>
      </c>
      <c r="AB108" s="17" t="str">
        <f aca="false">IF((E108="h"),H108," ")</f>
        <v> </v>
      </c>
      <c r="AC108" s="30" t="str">
        <f aca="false">IF((E108="v"),H108," ")</f>
        <v> </v>
      </c>
      <c r="AD108" s="30" t="str">
        <f aca="false">IF((E108="n"),H108," ")</f>
        <v> </v>
      </c>
      <c r="AE108" s="17" t="str">
        <f aca="false">IF((E108="f"),H108," ")</f>
        <v> </v>
      </c>
      <c r="AF108" s="17" t="str">
        <f aca="false">IF((E108="l"),H108," ")</f>
        <v> </v>
      </c>
      <c r="AG108" s="17" t="str">
        <f aca="false">IF((E108="y"),H108," ")</f>
        <v> </v>
      </c>
      <c r="AH108" s="17" t="str">
        <f aca="false">IF((E108="z"),H108," ")</f>
        <v> </v>
      </c>
      <c r="AI108" s="17" t="str">
        <f aca="false">IF((E108="fa"),H108," ")</f>
        <v> </v>
      </c>
      <c r="AJ108" s="17" t="str">
        <f aca="false">IF((E108="e"),H108," ")</f>
        <v> </v>
      </c>
    </row>
    <row r="109" customFormat="false" ht="12" hidden="false" customHeight="false" outlineLevel="0" collapsed="false">
      <c r="A109" s="28"/>
      <c r="E109" s="2" t="str">
        <f aca="false">IF((F109&lt;&gt;0),"Enter Letter"," ")</f>
        <v> </v>
      </c>
      <c r="F109" s="30"/>
      <c r="G109" s="6" t="str">
        <f aca="false">IF(F109&lt;&gt;0,F109*G$2/(100+G$2)," ")</f>
        <v> </v>
      </c>
      <c r="H109" s="6" t="str">
        <f aca="false">IF((F109&lt;&gt;0),F109-G109," ")</f>
        <v> </v>
      </c>
      <c r="I109" s="5"/>
      <c r="L109" s="7" t="str">
        <f aca="false">IF(F109&lt;&gt;0,F109-K109," ")</f>
        <v> </v>
      </c>
      <c r="M109" s="8" t="str">
        <f aca="false">IF((F109-K109)&lt;&gt;0,M$1-A109," ")</f>
        <v> </v>
      </c>
      <c r="N109" s="5"/>
      <c r="O109" s="17" t="str">
        <f aca="false">IF((E109="s"),H109," ")</f>
        <v> </v>
      </c>
      <c r="P109" s="17" t="str">
        <f aca="false">IF((E109="c"),H109," ")</f>
        <v> </v>
      </c>
      <c r="Q109" s="17" t="str">
        <f aca="false">IF((E109="o"),H109," ")</f>
        <v> </v>
      </c>
      <c r="R109" s="17" t="str">
        <f aca="false">IF((E109="d"),H109," ")</f>
        <v> </v>
      </c>
      <c r="S109" s="17" t="str">
        <f aca="false">IF((E109="w"),H109," ")</f>
        <v> </v>
      </c>
      <c r="T109" s="17" t="str">
        <f aca="false">IF((E109="r"),H109," ")</f>
        <v> </v>
      </c>
      <c r="U109" s="17" t="str">
        <f aca="false">IF((E109="p"),H109," ")</f>
        <v> </v>
      </c>
      <c r="V109" s="17" t="str">
        <f aca="false">IF((E109="t"),H109," ")</f>
        <v> </v>
      </c>
      <c r="W109" s="17" t="str">
        <f aca="false">IF((E109="q"),H109," ")</f>
        <v> </v>
      </c>
      <c r="X109" s="17" t="str">
        <f aca="false">IF((E109="m"),H109," ")</f>
        <v> </v>
      </c>
      <c r="Y109" s="17" t="str">
        <f aca="false">IF((E109="u"),H109," ")</f>
        <v> </v>
      </c>
      <c r="Z109" s="17" t="str">
        <f aca="false">IF((E109="a"),H109," ")</f>
        <v> </v>
      </c>
      <c r="AA109" s="17" t="str">
        <f aca="false">IF((E109="g"),H109," ")</f>
        <v> </v>
      </c>
      <c r="AB109" s="17" t="str">
        <f aca="false">IF((E109="h"),H109," ")</f>
        <v> </v>
      </c>
      <c r="AC109" s="30" t="str">
        <f aca="false">IF((E109="v"),H109," ")</f>
        <v> </v>
      </c>
      <c r="AD109" s="30" t="str">
        <f aca="false">IF((E109="n"),H109," ")</f>
        <v> </v>
      </c>
      <c r="AE109" s="17" t="str">
        <f aca="false">IF((E109="f"),H109," ")</f>
        <v> </v>
      </c>
      <c r="AF109" s="17" t="str">
        <f aca="false">IF((E109="l"),H109," ")</f>
        <v> </v>
      </c>
      <c r="AG109" s="17" t="str">
        <f aca="false">IF((E109="y"),H109," ")</f>
        <v> </v>
      </c>
      <c r="AH109" s="17" t="str">
        <f aca="false">IF((E109="z"),H109," ")</f>
        <v> </v>
      </c>
      <c r="AI109" s="17" t="str">
        <f aca="false">IF((E109="fa"),H109," ")</f>
        <v> </v>
      </c>
      <c r="AJ109" s="17" t="str">
        <f aca="false">IF((E109="e"),H109," ")</f>
        <v> </v>
      </c>
    </row>
    <row r="110" customFormat="false" ht="12" hidden="false" customHeight="false" outlineLevel="0" collapsed="false">
      <c r="A110" s="28"/>
      <c r="E110" s="2" t="str">
        <f aca="false">IF((F110&lt;&gt;0),"Enter Letter"," ")</f>
        <v> </v>
      </c>
      <c r="F110" s="30"/>
      <c r="G110" s="6" t="str">
        <f aca="false">IF(F110&lt;&gt;0,F110*G$2/(100+G$2)," ")</f>
        <v> </v>
      </c>
      <c r="H110" s="6" t="str">
        <f aca="false">IF((F110&lt;&gt;0),F110-G110," ")</f>
        <v> </v>
      </c>
      <c r="I110" s="5"/>
      <c r="L110" s="7" t="str">
        <f aca="false">IF(F110&lt;&gt;0,F110-K110," ")</f>
        <v> </v>
      </c>
      <c r="M110" s="8" t="str">
        <f aca="false">IF((F110-K110)&lt;&gt;0,M$1-A110," ")</f>
        <v> </v>
      </c>
      <c r="N110" s="5"/>
      <c r="O110" s="17" t="str">
        <f aca="false">IF((E110="s"),H110," ")</f>
        <v> </v>
      </c>
      <c r="P110" s="17" t="str">
        <f aca="false">IF((E110="c"),H110," ")</f>
        <v> </v>
      </c>
      <c r="Q110" s="17" t="str">
        <f aca="false">IF((E110="o"),H110," ")</f>
        <v> </v>
      </c>
      <c r="R110" s="17" t="str">
        <f aca="false">IF((E110="d"),H110," ")</f>
        <v> </v>
      </c>
      <c r="S110" s="17" t="str">
        <f aca="false">IF((E110="w"),H110," ")</f>
        <v> </v>
      </c>
      <c r="T110" s="17" t="str">
        <f aca="false">IF((E110="r"),H110," ")</f>
        <v> </v>
      </c>
      <c r="U110" s="17" t="str">
        <f aca="false">IF((E110="p"),H110," ")</f>
        <v> </v>
      </c>
      <c r="V110" s="17" t="str">
        <f aca="false">IF((E110="t"),H110," ")</f>
        <v> </v>
      </c>
      <c r="W110" s="17" t="str">
        <f aca="false">IF((E110="q"),H110," ")</f>
        <v> </v>
      </c>
      <c r="X110" s="17" t="str">
        <f aca="false">IF((E110="m"),H110," ")</f>
        <v> </v>
      </c>
      <c r="Y110" s="17" t="str">
        <f aca="false">IF((E110="u"),H110," ")</f>
        <v> </v>
      </c>
      <c r="Z110" s="17" t="str">
        <f aca="false">IF((E110="a"),H110," ")</f>
        <v> </v>
      </c>
      <c r="AA110" s="17" t="str">
        <f aca="false">IF((E110="g"),H110," ")</f>
        <v> </v>
      </c>
      <c r="AB110" s="17" t="str">
        <f aca="false">IF((E110="h"),H110," ")</f>
        <v> </v>
      </c>
      <c r="AC110" s="30" t="str">
        <f aca="false">IF((E110="v"),H110," ")</f>
        <v> </v>
      </c>
      <c r="AD110" s="30" t="str">
        <f aca="false">IF((E110="n"),H110," ")</f>
        <v> </v>
      </c>
      <c r="AE110" s="17" t="str">
        <f aca="false">IF((E110="f"),H110," ")</f>
        <v> </v>
      </c>
      <c r="AF110" s="17" t="str">
        <f aca="false">IF((E110="l"),H110," ")</f>
        <v> </v>
      </c>
      <c r="AG110" s="17" t="str">
        <f aca="false">IF((E110="y"),H110," ")</f>
        <v> </v>
      </c>
      <c r="AH110" s="17" t="str">
        <f aca="false">IF((E110="z"),H110," ")</f>
        <v> </v>
      </c>
      <c r="AI110" s="17" t="str">
        <f aca="false">IF((E110="fa"),H110," ")</f>
        <v> </v>
      </c>
      <c r="AJ110" s="17" t="str">
        <f aca="false">IF((E110="e"),H110," ")</f>
        <v> </v>
      </c>
    </row>
    <row r="111" customFormat="false" ht="12" hidden="false" customHeight="false" outlineLevel="0" collapsed="false">
      <c r="A111" s="28"/>
      <c r="E111" s="2" t="str">
        <f aca="false">IF((F111&lt;&gt;0),"Enter Letter"," ")</f>
        <v> </v>
      </c>
      <c r="F111" s="30"/>
      <c r="G111" s="6" t="str">
        <f aca="false">IF(F111&lt;&gt;0,F111*G$2/(100+G$2)," ")</f>
        <v> </v>
      </c>
      <c r="H111" s="6" t="str">
        <f aca="false">IF((F111&lt;&gt;0),F111-G111," ")</f>
        <v> </v>
      </c>
      <c r="I111" s="5"/>
      <c r="L111" s="7" t="str">
        <f aca="false">IF(F111&lt;&gt;0,F111-K111," ")</f>
        <v> </v>
      </c>
      <c r="M111" s="8" t="str">
        <f aca="false">IF((F111-K111)&lt;&gt;0,M$1-A111," ")</f>
        <v> </v>
      </c>
      <c r="N111" s="5"/>
      <c r="O111" s="17" t="str">
        <f aca="false">IF((E111="s"),H111," ")</f>
        <v> </v>
      </c>
      <c r="P111" s="17" t="str">
        <f aca="false">IF((E111="c"),H111," ")</f>
        <v> </v>
      </c>
      <c r="Q111" s="17" t="str">
        <f aca="false">IF((E111="o"),H111," ")</f>
        <v> </v>
      </c>
      <c r="R111" s="17" t="str">
        <f aca="false">IF((E111="d"),H111," ")</f>
        <v> </v>
      </c>
      <c r="S111" s="17" t="str">
        <f aca="false">IF((E111="w"),H111," ")</f>
        <v> </v>
      </c>
      <c r="T111" s="17" t="str">
        <f aca="false">IF((E111="r"),H111," ")</f>
        <v> </v>
      </c>
      <c r="U111" s="17" t="str">
        <f aca="false">IF((E111="p"),H111," ")</f>
        <v> </v>
      </c>
      <c r="V111" s="17" t="str">
        <f aca="false">IF((E111="t"),H111," ")</f>
        <v> </v>
      </c>
      <c r="W111" s="17" t="str">
        <f aca="false">IF((E111="q"),H111," ")</f>
        <v> </v>
      </c>
      <c r="X111" s="17" t="str">
        <f aca="false">IF((E111="m"),H111," ")</f>
        <v> </v>
      </c>
      <c r="Y111" s="17" t="str">
        <f aca="false">IF((E111="u"),H111," ")</f>
        <v> </v>
      </c>
      <c r="Z111" s="17" t="str">
        <f aca="false">IF((E111="a"),H111," ")</f>
        <v> </v>
      </c>
      <c r="AA111" s="17" t="str">
        <f aca="false">IF((E111="g"),H111," ")</f>
        <v> </v>
      </c>
      <c r="AB111" s="17" t="str">
        <f aca="false">IF((E111="h"),H111," ")</f>
        <v> </v>
      </c>
      <c r="AC111" s="30" t="str">
        <f aca="false">IF((E111="v"),H111," ")</f>
        <v> </v>
      </c>
      <c r="AD111" s="30" t="str">
        <f aca="false">IF((E111="n"),H111," ")</f>
        <v> </v>
      </c>
      <c r="AE111" s="17" t="str">
        <f aca="false">IF((E111="f"),H111," ")</f>
        <v> </v>
      </c>
      <c r="AF111" s="17" t="str">
        <f aca="false">IF((E111="l"),H111," ")</f>
        <v> </v>
      </c>
      <c r="AG111" s="17" t="str">
        <f aca="false">IF((E111="y"),H111," ")</f>
        <v> </v>
      </c>
      <c r="AH111" s="17" t="str">
        <f aca="false">IF((E111="z"),H111," ")</f>
        <v> </v>
      </c>
      <c r="AI111" s="17" t="str">
        <f aca="false">IF((E111="fa"),H111," ")</f>
        <v> </v>
      </c>
      <c r="AJ111" s="17" t="str">
        <f aca="false">IF((E111="e"),H111," ")</f>
        <v> </v>
      </c>
    </row>
    <row r="112" customFormat="false" ht="12" hidden="false" customHeight="false" outlineLevel="0" collapsed="false">
      <c r="A112" s="28"/>
      <c r="E112" s="2" t="str">
        <f aca="false">IF((F112&lt;&gt;0),"Enter Letter"," ")</f>
        <v> </v>
      </c>
      <c r="F112" s="30"/>
      <c r="G112" s="6" t="str">
        <f aca="false">IF(F112&lt;&gt;0,F112*G$2/(100+G$2)," ")</f>
        <v> </v>
      </c>
      <c r="H112" s="6" t="str">
        <f aca="false">IF((F112&lt;&gt;0),F112-G112," ")</f>
        <v> </v>
      </c>
      <c r="I112" s="5"/>
      <c r="L112" s="7" t="str">
        <f aca="false">IF(F112&lt;&gt;0,F112-K112," ")</f>
        <v> </v>
      </c>
      <c r="M112" s="8" t="str">
        <f aca="false">IF((F112-K112)&lt;&gt;0,M$1-A112," ")</f>
        <v> </v>
      </c>
      <c r="N112" s="5"/>
      <c r="O112" s="17" t="str">
        <f aca="false">IF((E112="s"),H112," ")</f>
        <v> </v>
      </c>
      <c r="P112" s="17" t="str">
        <f aca="false">IF((E112="c"),H112," ")</f>
        <v> </v>
      </c>
      <c r="Q112" s="17" t="str">
        <f aca="false">IF((E112="o"),H112," ")</f>
        <v> </v>
      </c>
      <c r="R112" s="17" t="str">
        <f aca="false">IF((E112="d"),H112," ")</f>
        <v> </v>
      </c>
      <c r="S112" s="17" t="str">
        <f aca="false">IF((E112="w"),H112," ")</f>
        <v> </v>
      </c>
      <c r="T112" s="17" t="str">
        <f aca="false">IF((E112="r"),H112," ")</f>
        <v> </v>
      </c>
      <c r="U112" s="17" t="str">
        <f aca="false">IF((E112="p"),H112," ")</f>
        <v> </v>
      </c>
      <c r="V112" s="17" t="str">
        <f aca="false">IF((E112="t"),H112," ")</f>
        <v> </v>
      </c>
      <c r="W112" s="17" t="str">
        <f aca="false">IF((E112="q"),H112," ")</f>
        <v> </v>
      </c>
      <c r="X112" s="17" t="str">
        <f aca="false">IF((E112="m"),H112," ")</f>
        <v> </v>
      </c>
      <c r="Y112" s="17" t="str">
        <f aca="false">IF((E112="u"),H112," ")</f>
        <v> </v>
      </c>
      <c r="Z112" s="17" t="str">
        <f aca="false">IF((E112="a"),H112," ")</f>
        <v> </v>
      </c>
      <c r="AA112" s="17" t="str">
        <f aca="false">IF((E112="g"),H112," ")</f>
        <v> </v>
      </c>
      <c r="AB112" s="17" t="str">
        <f aca="false">IF((E112="h"),H112," ")</f>
        <v> </v>
      </c>
      <c r="AC112" s="30" t="str">
        <f aca="false">IF((E112="v"),H112," ")</f>
        <v> </v>
      </c>
      <c r="AD112" s="30" t="str">
        <f aca="false">IF((E112="n"),H112," ")</f>
        <v> </v>
      </c>
      <c r="AE112" s="17" t="str">
        <f aca="false">IF((E112="f"),H112," ")</f>
        <v> </v>
      </c>
      <c r="AF112" s="17" t="str">
        <f aca="false">IF((E112="l"),H112," ")</f>
        <v> </v>
      </c>
      <c r="AG112" s="17" t="str">
        <f aca="false">IF((E112="y"),H112," ")</f>
        <v> </v>
      </c>
      <c r="AH112" s="17" t="str">
        <f aca="false">IF((E112="z"),H112," ")</f>
        <v> </v>
      </c>
      <c r="AI112" s="17" t="str">
        <f aca="false">IF((E112="fa"),H112," ")</f>
        <v> </v>
      </c>
      <c r="AJ112" s="17" t="str">
        <f aca="false">IF((E112="e"),H112," ")</f>
        <v> </v>
      </c>
    </row>
    <row r="113" customFormat="false" ht="12" hidden="false" customHeight="false" outlineLevel="0" collapsed="false">
      <c r="A113" s="28"/>
      <c r="E113" s="2" t="str">
        <f aca="false">IF((F113&lt;&gt;0),"Enter Letter"," ")</f>
        <v> </v>
      </c>
      <c r="F113" s="30"/>
      <c r="G113" s="6" t="str">
        <f aca="false">IF(F113&lt;&gt;0,F113*G$2/(100+G$2)," ")</f>
        <v> </v>
      </c>
      <c r="H113" s="6" t="str">
        <f aca="false">IF((F113&lt;&gt;0),F113-G113," ")</f>
        <v> </v>
      </c>
      <c r="I113" s="5"/>
      <c r="L113" s="7" t="str">
        <f aca="false">IF(F113&lt;&gt;0,F113-K113," ")</f>
        <v> </v>
      </c>
      <c r="M113" s="8" t="str">
        <f aca="false">IF((F113-K113)&lt;&gt;0,M$1-A113," ")</f>
        <v> </v>
      </c>
      <c r="N113" s="5"/>
      <c r="O113" s="17" t="str">
        <f aca="false">IF((E113="s"),H113," ")</f>
        <v> </v>
      </c>
      <c r="P113" s="17" t="str">
        <f aca="false">IF((E113="c"),H113," ")</f>
        <v> </v>
      </c>
      <c r="Q113" s="17" t="str">
        <f aca="false">IF((E113="o"),H113," ")</f>
        <v> </v>
      </c>
      <c r="R113" s="17" t="str">
        <f aca="false">IF((E113="d"),H113," ")</f>
        <v> </v>
      </c>
      <c r="S113" s="17" t="str">
        <f aca="false">IF((E113="w"),H113," ")</f>
        <v> </v>
      </c>
      <c r="T113" s="17" t="str">
        <f aca="false">IF((E113="r"),H113," ")</f>
        <v> </v>
      </c>
      <c r="U113" s="17" t="str">
        <f aca="false">IF((E113="p"),H113," ")</f>
        <v> </v>
      </c>
      <c r="V113" s="17" t="str">
        <f aca="false">IF((E113="t"),H113," ")</f>
        <v> </v>
      </c>
      <c r="W113" s="17" t="str">
        <f aca="false">IF((E113="q"),H113," ")</f>
        <v> </v>
      </c>
      <c r="X113" s="17" t="str">
        <f aca="false">IF((E113="m"),H113," ")</f>
        <v> </v>
      </c>
      <c r="Y113" s="17" t="str">
        <f aca="false">IF((E113="u"),H113," ")</f>
        <v> </v>
      </c>
      <c r="Z113" s="17" t="str">
        <f aca="false">IF((E113="a"),H113," ")</f>
        <v> </v>
      </c>
      <c r="AA113" s="17" t="str">
        <f aca="false">IF((E113="g"),H113," ")</f>
        <v> </v>
      </c>
      <c r="AB113" s="17" t="str">
        <f aca="false">IF((E113="h"),H113," ")</f>
        <v> </v>
      </c>
      <c r="AC113" s="30" t="str">
        <f aca="false">IF((E113="v"),H113," ")</f>
        <v> </v>
      </c>
      <c r="AD113" s="30" t="str">
        <f aca="false">IF((E113="n"),H113," ")</f>
        <v> </v>
      </c>
      <c r="AE113" s="17" t="str">
        <f aca="false">IF((E113="f"),H113," ")</f>
        <v> </v>
      </c>
      <c r="AF113" s="17" t="str">
        <f aca="false">IF((E113="l"),H113," ")</f>
        <v> </v>
      </c>
      <c r="AG113" s="17" t="str">
        <f aca="false">IF((E113="y"),H113," ")</f>
        <v> </v>
      </c>
      <c r="AH113" s="17" t="str">
        <f aca="false">IF((E113="z"),H113," ")</f>
        <v> </v>
      </c>
      <c r="AI113" s="17" t="str">
        <f aca="false">IF((E113="fa"),H113," ")</f>
        <v> </v>
      </c>
      <c r="AJ113" s="17" t="str">
        <f aca="false">IF((E113="e"),H113," ")</f>
        <v> </v>
      </c>
    </row>
    <row r="114" customFormat="false" ht="12" hidden="false" customHeight="false" outlineLevel="0" collapsed="false">
      <c r="A114" s="28"/>
      <c r="E114" s="2" t="str">
        <f aca="false">IF((F114&lt;&gt;0),"Enter Letter"," ")</f>
        <v> </v>
      </c>
      <c r="F114" s="30"/>
      <c r="G114" s="6" t="str">
        <f aca="false">IF(F114&lt;&gt;0,F114*G$2/(100+G$2)," ")</f>
        <v> </v>
      </c>
      <c r="H114" s="6" t="str">
        <f aca="false">IF((F114&lt;&gt;0),F114-G114," ")</f>
        <v> </v>
      </c>
      <c r="I114" s="5"/>
      <c r="L114" s="7" t="str">
        <f aca="false">IF(F114&lt;&gt;0,F114-K114," ")</f>
        <v> </v>
      </c>
      <c r="M114" s="8" t="str">
        <f aca="false">IF((F114-K114)&lt;&gt;0,M$1-A114," ")</f>
        <v> </v>
      </c>
      <c r="N114" s="5"/>
      <c r="O114" s="17" t="str">
        <f aca="false">IF((E114="s"),H114," ")</f>
        <v> </v>
      </c>
      <c r="P114" s="17" t="str">
        <f aca="false">IF((E114="c"),H114," ")</f>
        <v> </v>
      </c>
      <c r="Q114" s="17" t="str">
        <f aca="false">IF((E114="o"),H114," ")</f>
        <v> </v>
      </c>
      <c r="R114" s="17" t="str">
        <f aca="false">IF((E114="d"),H114," ")</f>
        <v> </v>
      </c>
      <c r="S114" s="17" t="str">
        <f aca="false">IF((E114="w"),H114," ")</f>
        <v> </v>
      </c>
      <c r="T114" s="17" t="str">
        <f aca="false">IF((E114="r"),H114," ")</f>
        <v> </v>
      </c>
      <c r="U114" s="17" t="str">
        <f aca="false">IF((E114="p"),H114," ")</f>
        <v> </v>
      </c>
      <c r="V114" s="17" t="str">
        <f aca="false">IF((E114="t"),H114," ")</f>
        <v> </v>
      </c>
      <c r="W114" s="17" t="str">
        <f aca="false">IF((E114="q"),H114," ")</f>
        <v> </v>
      </c>
      <c r="X114" s="17" t="str">
        <f aca="false">IF((E114="m"),H114," ")</f>
        <v> </v>
      </c>
      <c r="Y114" s="17" t="str">
        <f aca="false">IF((E114="u"),H114," ")</f>
        <v> </v>
      </c>
      <c r="Z114" s="17" t="str">
        <f aca="false">IF((E114="a"),H114," ")</f>
        <v> </v>
      </c>
      <c r="AA114" s="17" t="str">
        <f aca="false">IF((E114="g"),H114," ")</f>
        <v> </v>
      </c>
      <c r="AB114" s="17" t="str">
        <f aca="false">IF((E114="h"),H114," ")</f>
        <v> </v>
      </c>
      <c r="AC114" s="30" t="str">
        <f aca="false">IF((E114="v"),H114," ")</f>
        <v> </v>
      </c>
      <c r="AD114" s="30" t="str">
        <f aca="false">IF((E114="n"),H114," ")</f>
        <v> </v>
      </c>
      <c r="AE114" s="17" t="str">
        <f aca="false">IF((E114="f"),H114," ")</f>
        <v> </v>
      </c>
      <c r="AF114" s="17" t="str">
        <f aca="false">IF((E114="l"),H114," ")</f>
        <v> </v>
      </c>
      <c r="AG114" s="17" t="str">
        <f aca="false">IF((E114="y"),H114," ")</f>
        <v> </v>
      </c>
      <c r="AH114" s="17" t="str">
        <f aca="false">IF((E114="z"),H114," ")</f>
        <v> </v>
      </c>
      <c r="AI114" s="17" t="str">
        <f aca="false">IF((E114="fa"),H114," ")</f>
        <v> </v>
      </c>
      <c r="AJ114" s="17" t="str">
        <f aca="false">IF((E114="e"),H114," ")</f>
        <v> </v>
      </c>
    </row>
    <row r="115" customFormat="false" ht="12" hidden="false" customHeight="false" outlineLevel="0" collapsed="false">
      <c r="A115" s="28"/>
      <c r="E115" s="2" t="str">
        <f aca="false">IF((F115&lt;&gt;0),"Enter Letter"," ")</f>
        <v> </v>
      </c>
      <c r="F115" s="30"/>
      <c r="G115" s="6" t="str">
        <f aca="false">IF(F115&lt;&gt;0,F115*G$2/(100+G$2)," ")</f>
        <v> </v>
      </c>
      <c r="H115" s="6" t="str">
        <f aca="false">IF((F115&lt;&gt;0),F115-G115," ")</f>
        <v> </v>
      </c>
      <c r="I115" s="5"/>
      <c r="L115" s="7" t="str">
        <f aca="false">IF(F115&lt;&gt;0,F115-K115," ")</f>
        <v> </v>
      </c>
      <c r="M115" s="8" t="str">
        <f aca="false">IF((F115-K115)&lt;&gt;0,M$1-A115," ")</f>
        <v> </v>
      </c>
      <c r="N115" s="5"/>
      <c r="O115" s="17" t="str">
        <f aca="false">IF((E115="s"),H115," ")</f>
        <v> </v>
      </c>
      <c r="P115" s="17" t="str">
        <f aca="false">IF((E115="c"),H115," ")</f>
        <v> </v>
      </c>
      <c r="Q115" s="17" t="str">
        <f aca="false">IF((E115="o"),H115," ")</f>
        <v> </v>
      </c>
      <c r="R115" s="17" t="str">
        <f aca="false">IF((E115="d"),H115," ")</f>
        <v> </v>
      </c>
      <c r="S115" s="17" t="str">
        <f aca="false">IF((E115="w"),H115," ")</f>
        <v> </v>
      </c>
      <c r="T115" s="17" t="str">
        <f aca="false">IF((E115="r"),H115," ")</f>
        <v> </v>
      </c>
      <c r="U115" s="17" t="str">
        <f aca="false">IF((E115="p"),H115," ")</f>
        <v> </v>
      </c>
      <c r="V115" s="17" t="str">
        <f aca="false">IF((E115="t"),H115," ")</f>
        <v> </v>
      </c>
      <c r="W115" s="17" t="str">
        <f aca="false">IF((E115="q"),H115," ")</f>
        <v> </v>
      </c>
      <c r="X115" s="17" t="str">
        <f aca="false">IF((E115="m"),H115," ")</f>
        <v> </v>
      </c>
      <c r="Y115" s="17" t="str">
        <f aca="false">IF((E115="u"),H115," ")</f>
        <v> </v>
      </c>
      <c r="Z115" s="17" t="str">
        <f aca="false">IF((E115="a"),H115," ")</f>
        <v> </v>
      </c>
      <c r="AA115" s="17" t="str">
        <f aca="false">IF((E115="g"),H115," ")</f>
        <v> </v>
      </c>
      <c r="AB115" s="17" t="str">
        <f aca="false">IF((E115="h"),H115," ")</f>
        <v> </v>
      </c>
      <c r="AC115" s="30" t="str">
        <f aca="false">IF((E115="v"),H115," ")</f>
        <v> </v>
      </c>
      <c r="AD115" s="30" t="str">
        <f aca="false">IF((E115="n"),H115," ")</f>
        <v> </v>
      </c>
      <c r="AE115" s="17" t="str">
        <f aca="false">IF((E115="f"),H115," ")</f>
        <v> </v>
      </c>
      <c r="AF115" s="17" t="str">
        <f aca="false">IF((E115="l"),H115," ")</f>
        <v> </v>
      </c>
      <c r="AG115" s="17" t="str">
        <f aca="false">IF((E115="y"),H115," ")</f>
        <v> </v>
      </c>
      <c r="AH115" s="17" t="str">
        <f aca="false">IF((E115="z"),H115," ")</f>
        <v> </v>
      </c>
      <c r="AI115" s="17" t="str">
        <f aca="false">IF((E115="fa"),H115," ")</f>
        <v> </v>
      </c>
      <c r="AJ115" s="17" t="str">
        <f aca="false">IF((E115="e"),H115," ")</f>
        <v> </v>
      </c>
    </row>
    <row r="116" customFormat="false" ht="12" hidden="false" customHeight="false" outlineLevel="0" collapsed="false">
      <c r="A116" s="28"/>
      <c r="E116" s="2" t="str">
        <f aca="false">IF((F116&lt;&gt;0),"Enter Letter"," ")</f>
        <v> </v>
      </c>
      <c r="F116" s="30"/>
      <c r="G116" s="6" t="str">
        <f aca="false">IF(F116&lt;&gt;0,F116*G$2/(100+G$2)," ")</f>
        <v> </v>
      </c>
      <c r="H116" s="6" t="str">
        <f aca="false">IF((F116&lt;&gt;0),F116-G116," ")</f>
        <v> </v>
      </c>
      <c r="I116" s="5"/>
      <c r="L116" s="7" t="str">
        <f aca="false">IF(F116&lt;&gt;0,F116-K116," ")</f>
        <v> </v>
      </c>
      <c r="M116" s="8" t="str">
        <f aca="false">IF((F116-K116)&lt;&gt;0,M$1-A116," ")</f>
        <v> </v>
      </c>
      <c r="N116" s="5"/>
      <c r="O116" s="17" t="str">
        <f aca="false">IF((E116="s"),H116," ")</f>
        <v> </v>
      </c>
      <c r="P116" s="17" t="str">
        <f aca="false">IF((E116="c"),H116," ")</f>
        <v> </v>
      </c>
      <c r="Q116" s="17" t="str">
        <f aca="false">IF((E116="o"),H116," ")</f>
        <v> </v>
      </c>
      <c r="R116" s="17" t="str">
        <f aca="false">IF((E116="d"),H116," ")</f>
        <v> </v>
      </c>
      <c r="S116" s="17" t="str">
        <f aca="false">IF((E116="w"),H116," ")</f>
        <v> </v>
      </c>
      <c r="T116" s="17" t="str">
        <f aca="false">IF((E116="r"),H116," ")</f>
        <v> </v>
      </c>
      <c r="U116" s="17" t="str">
        <f aca="false">IF((E116="p"),H116," ")</f>
        <v> </v>
      </c>
      <c r="V116" s="17" t="str">
        <f aca="false">IF((E116="t"),H116," ")</f>
        <v> </v>
      </c>
      <c r="W116" s="17" t="str">
        <f aca="false">IF((E116="q"),H116," ")</f>
        <v> </v>
      </c>
      <c r="X116" s="17" t="str">
        <f aca="false">IF((E116="m"),H116," ")</f>
        <v> </v>
      </c>
      <c r="Y116" s="17" t="str">
        <f aca="false">IF((E116="u"),H116," ")</f>
        <v> </v>
      </c>
      <c r="Z116" s="17" t="str">
        <f aca="false">IF((E116="a"),H116," ")</f>
        <v> </v>
      </c>
      <c r="AA116" s="17" t="str">
        <f aca="false">IF((E116="g"),H116," ")</f>
        <v> </v>
      </c>
      <c r="AB116" s="17" t="str">
        <f aca="false">IF((E116="h"),H116," ")</f>
        <v> </v>
      </c>
      <c r="AC116" s="30" t="str">
        <f aca="false">IF((E116="v"),H116," ")</f>
        <v> </v>
      </c>
      <c r="AD116" s="30" t="str">
        <f aca="false">IF((E116="n"),H116," ")</f>
        <v> </v>
      </c>
      <c r="AE116" s="17" t="str">
        <f aca="false">IF((E116="f"),H116," ")</f>
        <v> </v>
      </c>
      <c r="AF116" s="17" t="str">
        <f aca="false">IF((E116="l"),H116," ")</f>
        <v> </v>
      </c>
      <c r="AG116" s="17" t="str">
        <f aca="false">IF((E116="y"),H116," ")</f>
        <v> </v>
      </c>
      <c r="AH116" s="17" t="str">
        <f aca="false">IF((E116="z"),H116," ")</f>
        <v> </v>
      </c>
      <c r="AI116" s="17" t="str">
        <f aca="false">IF((E116="fa"),H116," ")</f>
        <v> </v>
      </c>
      <c r="AJ116" s="17" t="str">
        <f aca="false">IF((E116="e"),H116," ")</f>
        <v> </v>
      </c>
    </row>
    <row r="117" customFormat="false" ht="12" hidden="false" customHeight="false" outlineLevel="0" collapsed="false">
      <c r="A117" s="28"/>
      <c r="E117" s="2" t="str">
        <f aca="false">IF((F117&lt;&gt;0),"Enter Letter"," ")</f>
        <v> </v>
      </c>
      <c r="F117" s="30"/>
      <c r="G117" s="6" t="str">
        <f aca="false">IF(F117&lt;&gt;0,F117*G$2/(100+G$2)," ")</f>
        <v> </v>
      </c>
      <c r="H117" s="6" t="str">
        <f aca="false">IF((F117&lt;&gt;0),F117-G117," ")</f>
        <v> </v>
      </c>
      <c r="I117" s="5"/>
      <c r="L117" s="7" t="str">
        <f aca="false">IF(F117&lt;&gt;0,F117-K117," ")</f>
        <v> </v>
      </c>
      <c r="M117" s="8" t="str">
        <f aca="false">IF((F117-K117)&lt;&gt;0,M$1-A117," ")</f>
        <v> </v>
      </c>
      <c r="N117" s="5"/>
      <c r="O117" s="17" t="str">
        <f aca="false">IF((E117="s"),H117," ")</f>
        <v> </v>
      </c>
      <c r="P117" s="17" t="str">
        <f aca="false">IF((E117="c"),H117," ")</f>
        <v> </v>
      </c>
      <c r="Q117" s="17" t="str">
        <f aca="false">IF((E117="o"),H117," ")</f>
        <v> </v>
      </c>
      <c r="R117" s="17" t="str">
        <f aca="false">IF((E117="d"),H117," ")</f>
        <v> </v>
      </c>
      <c r="S117" s="17" t="str">
        <f aca="false">IF((E117="w"),H117," ")</f>
        <v> </v>
      </c>
      <c r="T117" s="17" t="str">
        <f aca="false">IF((E117="r"),H117," ")</f>
        <v> </v>
      </c>
      <c r="U117" s="17" t="str">
        <f aca="false">IF((E117="p"),H117," ")</f>
        <v> </v>
      </c>
      <c r="V117" s="17" t="str">
        <f aca="false">IF((E117="t"),H117," ")</f>
        <v> </v>
      </c>
      <c r="W117" s="17" t="str">
        <f aca="false">IF((E117="q"),H117," ")</f>
        <v> </v>
      </c>
      <c r="X117" s="17" t="str">
        <f aca="false">IF((E117="m"),H117," ")</f>
        <v> </v>
      </c>
      <c r="Y117" s="17" t="str">
        <f aca="false">IF((E117="u"),H117," ")</f>
        <v> </v>
      </c>
      <c r="Z117" s="17" t="str">
        <f aca="false">IF((E117="a"),H117," ")</f>
        <v> </v>
      </c>
      <c r="AA117" s="17" t="str">
        <f aca="false">IF((E117="g"),H117," ")</f>
        <v> </v>
      </c>
      <c r="AB117" s="17" t="str">
        <f aca="false">IF((E117="h"),H117," ")</f>
        <v> </v>
      </c>
      <c r="AC117" s="30" t="str">
        <f aca="false">IF((E117="v"),H117," ")</f>
        <v> </v>
      </c>
      <c r="AD117" s="30" t="str">
        <f aca="false">IF((E117="n"),H117," ")</f>
        <v> </v>
      </c>
      <c r="AE117" s="17" t="str">
        <f aca="false">IF((E117="f"),H117," ")</f>
        <v> </v>
      </c>
      <c r="AF117" s="17" t="str">
        <f aca="false">IF((E117="l"),H117," ")</f>
        <v> </v>
      </c>
      <c r="AG117" s="17" t="str">
        <f aca="false">IF((E117="y"),H117," ")</f>
        <v> </v>
      </c>
      <c r="AH117" s="17" t="str">
        <f aca="false">IF((E117="z"),H117," ")</f>
        <v> </v>
      </c>
      <c r="AI117" s="17" t="str">
        <f aca="false">IF((E117="fa"),H117," ")</f>
        <v> </v>
      </c>
      <c r="AJ117" s="17" t="str">
        <f aca="false">IF((E117="e"),H117," ")</f>
        <v> </v>
      </c>
    </row>
    <row r="118" customFormat="false" ht="12" hidden="false" customHeight="false" outlineLevel="0" collapsed="false">
      <c r="A118" s="28"/>
      <c r="E118" s="2" t="str">
        <f aca="false">IF((F118&lt;&gt;0),"Enter Letter"," ")</f>
        <v> </v>
      </c>
      <c r="F118" s="30"/>
      <c r="G118" s="6" t="str">
        <f aca="false">IF(F118&lt;&gt;0,F118*G$2/(100+G$2)," ")</f>
        <v> </v>
      </c>
      <c r="H118" s="6" t="str">
        <f aca="false">IF((F118&lt;&gt;0),F118-G118," ")</f>
        <v> </v>
      </c>
      <c r="I118" s="5"/>
      <c r="L118" s="7" t="str">
        <f aca="false">IF(F118&lt;&gt;0,F118-K118," ")</f>
        <v> </v>
      </c>
      <c r="M118" s="8" t="str">
        <f aca="false">IF((F118-K118)&lt;&gt;0,M$1-A118," ")</f>
        <v> </v>
      </c>
      <c r="N118" s="5"/>
      <c r="O118" s="17" t="str">
        <f aca="false">IF((E118="s"),H118," ")</f>
        <v> </v>
      </c>
      <c r="P118" s="17" t="str">
        <f aca="false">IF((E118="c"),H118," ")</f>
        <v> </v>
      </c>
      <c r="Q118" s="17" t="str">
        <f aca="false">IF((E118="o"),H118," ")</f>
        <v> </v>
      </c>
      <c r="R118" s="17" t="str">
        <f aca="false">IF((E118="d"),H118," ")</f>
        <v> </v>
      </c>
      <c r="S118" s="17" t="str">
        <f aca="false">IF((E118="w"),H118," ")</f>
        <v> </v>
      </c>
      <c r="T118" s="17" t="str">
        <f aca="false">IF((E118="r"),H118," ")</f>
        <v> </v>
      </c>
      <c r="U118" s="17" t="str">
        <f aca="false">IF((E118="p"),H118," ")</f>
        <v> </v>
      </c>
      <c r="V118" s="17" t="str">
        <f aca="false">IF((E118="t"),H118," ")</f>
        <v> </v>
      </c>
      <c r="W118" s="17" t="str">
        <f aca="false">IF((E118="q"),H118," ")</f>
        <v> </v>
      </c>
      <c r="X118" s="17" t="str">
        <f aca="false">IF((E118="m"),H118," ")</f>
        <v> </v>
      </c>
      <c r="Y118" s="17" t="str">
        <f aca="false">IF((E118="u"),H118," ")</f>
        <v> </v>
      </c>
      <c r="Z118" s="17" t="str">
        <f aca="false">IF((E118="a"),H118," ")</f>
        <v> </v>
      </c>
      <c r="AA118" s="17" t="str">
        <f aca="false">IF((E118="g"),H118," ")</f>
        <v> </v>
      </c>
      <c r="AB118" s="17" t="str">
        <f aca="false">IF((E118="h"),H118," ")</f>
        <v> </v>
      </c>
      <c r="AC118" s="30" t="str">
        <f aca="false">IF((E118="v"),H118," ")</f>
        <v> </v>
      </c>
      <c r="AD118" s="30" t="str">
        <f aca="false">IF((E118="n"),H118," ")</f>
        <v> </v>
      </c>
      <c r="AE118" s="17" t="str">
        <f aca="false">IF((E118="f"),H118," ")</f>
        <v> </v>
      </c>
      <c r="AF118" s="17" t="str">
        <f aca="false">IF((E118="l"),H118," ")</f>
        <v> </v>
      </c>
      <c r="AG118" s="17" t="str">
        <f aca="false">IF((E118="y"),H118," ")</f>
        <v> </v>
      </c>
      <c r="AH118" s="17" t="str">
        <f aca="false">IF((E118="z"),H118," ")</f>
        <v> </v>
      </c>
      <c r="AI118" s="17" t="str">
        <f aca="false">IF((E118="fa"),H118," ")</f>
        <v> </v>
      </c>
      <c r="AJ118" s="17" t="str">
        <f aca="false">IF((E118="e"),H118," ")</f>
        <v> </v>
      </c>
    </row>
    <row r="119" customFormat="false" ht="12" hidden="false" customHeight="false" outlineLevel="0" collapsed="false">
      <c r="A119" s="28"/>
      <c r="E119" s="2" t="str">
        <f aca="false">IF((F119&lt;&gt;0),"Enter Letter"," ")</f>
        <v> </v>
      </c>
      <c r="F119" s="30"/>
      <c r="G119" s="6" t="str">
        <f aca="false">IF(F119&lt;&gt;0,F119*G$2/(100+G$2)," ")</f>
        <v> </v>
      </c>
      <c r="H119" s="6" t="str">
        <f aca="false">IF((F119&lt;&gt;0),F119-G119," ")</f>
        <v> </v>
      </c>
      <c r="I119" s="5"/>
      <c r="L119" s="7" t="str">
        <f aca="false">IF(F119&lt;&gt;0,F119-K119," ")</f>
        <v> </v>
      </c>
      <c r="M119" s="8" t="str">
        <f aca="false">IF((F119-K119)&lt;&gt;0,M$1-A119," ")</f>
        <v> </v>
      </c>
      <c r="N119" s="5"/>
      <c r="O119" s="17" t="str">
        <f aca="false">IF((E119="s"),H119," ")</f>
        <v> </v>
      </c>
      <c r="P119" s="17" t="str">
        <f aca="false">IF((E119="c"),H119," ")</f>
        <v> </v>
      </c>
      <c r="Q119" s="17" t="str">
        <f aca="false">IF((E119="o"),H119," ")</f>
        <v> </v>
      </c>
      <c r="R119" s="17" t="str">
        <f aca="false">IF((E119="d"),H119," ")</f>
        <v> </v>
      </c>
      <c r="S119" s="17" t="str">
        <f aca="false">IF((E119="w"),H119," ")</f>
        <v> </v>
      </c>
      <c r="T119" s="17" t="str">
        <f aca="false">IF((E119="r"),H119," ")</f>
        <v> </v>
      </c>
      <c r="U119" s="17" t="str">
        <f aca="false">IF((E119="p"),H119," ")</f>
        <v> </v>
      </c>
      <c r="V119" s="17" t="str">
        <f aca="false">IF((E119="t"),H119," ")</f>
        <v> </v>
      </c>
      <c r="W119" s="17" t="str">
        <f aca="false">IF((E119="q"),H119," ")</f>
        <v> </v>
      </c>
      <c r="X119" s="17" t="str">
        <f aca="false">IF((E119="m"),H119," ")</f>
        <v> </v>
      </c>
      <c r="Y119" s="17" t="str">
        <f aca="false">IF((E119="u"),H119," ")</f>
        <v> </v>
      </c>
      <c r="Z119" s="17" t="str">
        <f aca="false">IF((E119="a"),H119," ")</f>
        <v> </v>
      </c>
      <c r="AA119" s="17" t="str">
        <f aca="false">IF((E119="g"),H119," ")</f>
        <v> </v>
      </c>
      <c r="AB119" s="17" t="str">
        <f aca="false">IF((E119="h"),H119," ")</f>
        <v> </v>
      </c>
      <c r="AC119" s="30" t="str">
        <f aca="false">IF((E119="v"),H119," ")</f>
        <v> </v>
      </c>
      <c r="AD119" s="30" t="str">
        <f aca="false">IF((E119="n"),H119," ")</f>
        <v> </v>
      </c>
      <c r="AE119" s="17" t="str">
        <f aca="false">IF((E119="f"),H119," ")</f>
        <v> </v>
      </c>
      <c r="AF119" s="17" t="str">
        <f aca="false">IF((E119="l"),H119," ")</f>
        <v> </v>
      </c>
      <c r="AG119" s="17" t="str">
        <f aca="false">IF((E119="y"),H119," ")</f>
        <v> </v>
      </c>
      <c r="AH119" s="17" t="str">
        <f aca="false">IF((E119="z"),H119," ")</f>
        <v> </v>
      </c>
      <c r="AI119" s="17" t="str">
        <f aca="false">IF((E119="fa"),H119," ")</f>
        <v> </v>
      </c>
      <c r="AJ119" s="17" t="str">
        <f aca="false">IF((E119="e"),H119," ")</f>
        <v> </v>
      </c>
    </row>
    <row r="120" customFormat="false" ht="12" hidden="false" customHeight="false" outlineLevel="0" collapsed="false">
      <c r="A120" s="28"/>
      <c r="E120" s="2" t="str">
        <f aca="false">IF((F120&lt;&gt;0),"Enter Letter"," ")</f>
        <v> </v>
      </c>
      <c r="F120" s="30"/>
      <c r="G120" s="6" t="str">
        <f aca="false">IF(F120&lt;&gt;0,F120*G$2/(100+G$2)," ")</f>
        <v> </v>
      </c>
      <c r="H120" s="6" t="str">
        <f aca="false">IF((F120&lt;&gt;0),F120-G120," ")</f>
        <v> </v>
      </c>
      <c r="I120" s="5"/>
      <c r="L120" s="7" t="str">
        <f aca="false">IF(F120&lt;&gt;0,F120-K120," ")</f>
        <v> </v>
      </c>
      <c r="M120" s="8" t="str">
        <f aca="false">IF((F120-K120)&lt;&gt;0,M$1-A120," ")</f>
        <v> </v>
      </c>
      <c r="N120" s="5"/>
      <c r="O120" s="17" t="str">
        <f aca="false">IF((E120="s"),H120," ")</f>
        <v> </v>
      </c>
      <c r="P120" s="17" t="str">
        <f aca="false">IF((E120="c"),H120," ")</f>
        <v> </v>
      </c>
      <c r="Q120" s="17" t="str">
        <f aca="false">IF((E120="o"),H120," ")</f>
        <v> </v>
      </c>
      <c r="R120" s="17" t="str">
        <f aca="false">IF((E120="d"),H120," ")</f>
        <v> </v>
      </c>
      <c r="S120" s="17" t="str">
        <f aca="false">IF((E120="w"),H120," ")</f>
        <v> </v>
      </c>
      <c r="T120" s="17" t="str">
        <f aca="false">IF((E120="r"),H120," ")</f>
        <v> </v>
      </c>
      <c r="U120" s="17" t="str">
        <f aca="false">IF((E120="p"),H120," ")</f>
        <v> </v>
      </c>
      <c r="V120" s="17" t="str">
        <f aca="false">IF((E120="t"),H120," ")</f>
        <v> </v>
      </c>
      <c r="W120" s="17" t="str">
        <f aca="false">IF((E120="q"),H120," ")</f>
        <v> </v>
      </c>
      <c r="X120" s="17" t="str">
        <f aca="false">IF((E120="m"),H120," ")</f>
        <v> </v>
      </c>
      <c r="Y120" s="17" t="str">
        <f aca="false">IF((E120="u"),H120," ")</f>
        <v> </v>
      </c>
      <c r="Z120" s="17" t="str">
        <f aca="false">IF((E120="a"),H120," ")</f>
        <v> </v>
      </c>
      <c r="AA120" s="17" t="str">
        <f aca="false">IF((E120="g"),H120," ")</f>
        <v> </v>
      </c>
      <c r="AB120" s="17" t="str">
        <f aca="false">IF((E120="h"),H120," ")</f>
        <v> </v>
      </c>
      <c r="AC120" s="30" t="str">
        <f aca="false">IF((E120="v"),H120," ")</f>
        <v> </v>
      </c>
      <c r="AD120" s="30" t="str">
        <f aca="false">IF((E120="n"),H120," ")</f>
        <v> </v>
      </c>
      <c r="AE120" s="17" t="str">
        <f aca="false">IF((E120="f"),H120," ")</f>
        <v> </v>
      </c>
      <c r="AF120" s="17" t="str">
        <f aca="false">IF((E120="l"),H120," ")</f>
        <v> </v>
      </c>
      <c r="AG120" s="17" t="str">
        <f aca="false">IF((E120="y"),H120," ")</f>
        <v> </v>
      </c>
      <c r="AH120" s="17" t="str">
        <f aca="false">IF((E120="z"),H120," ")</f>
        <v> </v>
      </c>
      <c r="AI120" s="17" t="str">
        <f aca="false">IF((E120="fa"),H120," ")</f>
        <v> </v>
      </c>
      <c r="AJ120" s="17" t="str">
        <f aca="false">IF((E120="e"),H120," ")</f>
        <v> </v>
      </c>
    </row>
    <row r="121" customFormat="false" ht="12" hidden="false" customHeight="false" outlineLevel="0" collapsed="false">
      <c r="A121" s="28"/>
      <c r="E121" s="2" t="str">
        <f aca="false">IF((F121&lt;&gt;0),"Enter Letter"," ")</f>
        <v> </v>
      </c>
      <c r="F121" s="30"/>
      <c r="G121" s="6" t="str">
        <f aca="false">IF(F121&lt;&gt;0,F121*G$2/(100+G$2)," ")</f>
        <v> </v>
      </c>
      <c r="H121" s="6" t="str">
        <f aca="false">IF((F121&lt;&gt;0),F121-G121," ")</f>
        <v> </v>
      </c>
      <c r="I121" s="5"/>
      <c r="L121" s="7" t="str">
        <f aca="false">IF(F121&lt;&gt;0,F121-K121," ")</f>
        <v> </v>
      </c>
      <c r="M121" s="8" t="str">
        <f aca="false">IF((F121-K121)&lt;&gt;0,M$1-A121," ")</f>
        <v> </v>
      </c>
      <c r="N121" s="5"/>
      <c r="O121" s="17" t="str">
        <f aca="false">IF((E121="s"),H121," ")</f>
        <v> </v>
      </c>
      <c r="P121" s="17" t="str">
        <f aca="false">IF((E121="c"),H121," ")</f>
        <v> </v>
      </c>
      <c r="Q121" s="17" t="str">
        <f aca="false">IF((E121="o"),H121," ")</f>
        <v> </v>
      </c>
      <c r="R121" s="17" t="str">
        <f aca="false">IF((E121="d"),H121," ")</f>
        <v> </v>
      </c>
      <c r="S121" s="17" t="str">
        <f aca="false">IF((E121="w"),H121," ")</f>
        <v> </v>
      </c>
      <c r="T121" s="17" t="str">
        <f aca="false">IF((E121="r"),H121," ")</f>
        <v> </v>
      </c>
      <c r="U121" s="17" t="str">
        <f aca="false">IF((E121="p"),H121," ")</f>
        <v> </v>
      </c>
      <c r="V121" s="17" t="str">
        <f aca="false">IF((E121="t"),H121," ")</f>
        <v> </v>
      </c>
      <c r="W121" s="17" t="str">
        <f aca="false">IF((E121="q"),H121," ")</f>
        <v> </v>
      </c>
      <c r="X121" s="17" t="str">
        <f aca="false">IF((E121="m"),H121," ")</f>
        <v> </v>
      </c>
      <c r="Y121" s="17" t="str">
        <f aca="false">IF((E121="u"),H121," ")</f>
        <v> </v>
      </c>
      <c r="Z121" s="17" t="str">
        <f aca="false">IF((E121="a"),H121," ")</f>
        <v> </v>
      </c>
      <c r="AA121" s="17" t="str">
        <f aca="false">IF((E121="g"),H121," ")</f>
        <v> </v>
      </c>
      <c r="AB121" s="17" t="str">
        <f aca="false">IF((E121="h"),H121," ")</f>
        <v> </v>
      </c>
      <c r="AC121" s="30" t="str">
        <f aca="false">IF((E121="v"),H121," ")</f>
        <v> </v>
      </c>
      <c r="AD121" s="30" t="str">
        <f aca="false">IF((E121="n"),H121," ")</f>
        <v> </v>
      </c>
      <c r="AE121" s="17" t="str">
        <f aca="false">IF((E121="f"),H121," ")</f>
        <v> </v>
      </c>
      <c r="AF121" s="17" t="str">
        <f aca="false">IF((E121="l"),H121," ")</f>
        <v> </v>
      </c>
      <c r="AG121" s="17" t="str">
        <f aca="false">IF((E121="y"),H121," ")</f>
        <v> </v>
      </c>
      <c r="AH121" s="17" t="str">
        <f aca="false">IF((E121="z"),H121," ")</f>
        <v> </v>
      </c>
      <c r="AI121" s="17" t="str">
        <f aca="false">IF((E121="fa"),H121," ")</f>
        <v> </v>
      </c>
      <c r="AJ121" s="17" t="str">
        <f aca="false">IF((E121="e"),H121," ")</f>
        <v> </v>
      </c>
    </row>
    <row r="122" customFormat="false" ht="12" hidden="false" customHeight="false" outlineLevel="0" collapsed="false">
      <c r="A122" s="28"/>
      <c r="E122" s="2" t="str">
        <f aca="false">IF((F122&lt;&gt;0),"Enter Letter"," ")</f>
        <v> </v>
      </c>
      <c r="F122" s="30"/>
      <c r="G122" s="6" t="str">
        <f aca="false">IF(F122&lt;&gt;0,F122*G$2/(100+G$2)," ")</f>
        <v> </v>
      </c>
      <c r="H122" s="6" t="str">
        <f aca="false">IF((F122&lt;&gt;0),F122-G122," ")</f>
        <v> </v>
      </c>
      <c r="I122" s="5"/>
      <c r="L122" s="7" t="str">
        <f aca="false">IF(F122&lt;&gt;0,F122-K122," ")</f>
        <v> </v>
      </c>
      <c r="M122" s="8" t="str">
        <f aca="false">IF((F122-K122)&lt;&gt;0,M$1-A122," ")</f>
        <v> </v>
      </c>
      <c r="N122" s="5"/>
      <c r="O122" s="17" t="str">
        <f aca="false">IF((E122="s"),H122," ")</f>
        <v> </v>
      </c>
      <c r="P122" s="17" t="str">
        <f aca="false">IF((E122="c"),H122," ")</f>
        <v> </v>
      </c>
      <c r="Q122" s="17" t="str">
        <f aca="false">IF((E122="o"),H122," ")</f>
        <v> </v>
      </c>
      <c r="R122" s="17" t="str">
        <f aca="false">IF((E122="d"),H122," ")</f>
        <v> </v>
      </c>
      <c r="S122" s="17" t="str">
        <f aca="false">IF((E122="w"),H122," ")</f>
        <v> </v>
      </c>
      <c r="T122" s="17" t="str">
        <f aca="false">IF((E122="r"),H122," ")</f>
        <v> </v>
      </c>
      <c r="U122" s="17" t="str">
        <f aca="false">IF((E122="p"),H122," ")</f>
        <v> </v>
      </c>
      <c r="V122" s="17" t="str">
        <f aca="false">IF((E122="t"),H122," ")</f>
        <v> </v>
      </c>
      <c r="W122" s="17" t="str">
        <f aca="false">IF((E122="q"),H122," ")</f>
        <v> </v>
      </c>
      <c r="X122" s="17" t="str">
        <f aca="false">IF((E122="m"),H122," ")</f>
        <v> </v>
      </c>
      <c r="Y122" s="17" t="str">
        <f aca="false">IF((E122="u"),H122," ")</f>
        <v> </v>
      </c>
      <c r="Z122" s="17" t="str">
        <f aca="false">IF((E122="a"),H122," ")</f>
        <v> </v>
      </c>
      <c r="AA122" s="17" t="str">
        <f aca="false">IF((E122="g"),H122," ")</f>
        <v> </v>
      </c>
      <c r="AB122" s="17" t="str">
        <f aca="false">IF((E122="h"),H122," ")</f>
        <v> </v>
      </c>
      <c r="AC122" s="30" t="str">
        <f aca="false">IF((E122="v"),H122," ")</f>
        <v> </v>
      </c>
      <c r="AD122" s="30" t="str">
        <f aca="false">IF((E122="n"),H122," ")</f>
        <v> </v>
      </c>
      <c r="AE122" s="17" t="str">
        <f aca="false">IF((E122="f"),H122," ")</f>
        <v> </v>
      </c>
      <c r="AF122" s="17" t="str">
        <f aca="false">IF((E122="l"),H122," ")</f>
        <v> </v>
      </c>
      <c r="AG122" s="17" t="str">
        <f aca="false">IF((E122="y"),H122," ")</f>
        <v> </v>
      </c>
      <c r="AH122" s="17" t="str">
        <f aca="false">IF((E122="z"),H122," ")</f>
        <v> </v>
      </c>
      <c r="AI122" s="17" t="str">
        <f aca="false">IF((E122="fa"),H122," ")</f>
        <v> </v>
      </c>
      <c r="AJ122" s="17" t="str">
        <f aca="false">IF((E122="e"),H122," ")</f>
        <v> </v>
      </c>
    </row>
    <row r="123" customFormat="false" ht="12" hidden="false" customHeight="false" outlineLevel="0" collapsed="false">
      <c r="A123" s="28"/>
      <c r="E123" s="2" t="str">
        <f aca="false">IF((F123&lt;&gt;0),"Enter Letter"," ")</f>
        <v> </v>
      </c>
      <c r="F123" s="30"/>
      <c r="G123" s="6" t="str">
        <f aca="false">IF(F123&lt;&gt;0,F123*G$2/(100+G$2)," ")</f>
        <v> </v>
      </c>
      <c r="H123" s="6" t="str">
        <f aca="false">IF((F123&lt;&gt;0),F123-G123," ")</f>
        <v> </v>
      </c>
      <c r="I123" s="5"/>
      <c r="L123" s="7" t="str">
        <f aca="false">IF(F123&lt;&gt;0,F123-K123," ")</f>
        <v> </v>
      </c>
      <c r="M123" s="8" t="str">
        <f aca="false">IF((F123-K123)&lt;&gt;0,M$1-A123," ")</f>
        <v> </v>
      </c>
      <c r="N123" s="5"/>
      <c r="O123" s="17" t="str">
        <f aca="false">IF((E123="s"),H123," ")</f>
        <v> </v>
      </c>
      <c r="P123" s="17" t="str">
        <f aca="false">IF((E123="c"),H123," ")</f>
        <v> </v>
      </c>
      <c r="Q123" s="17" t="str">
        <f aca="false">IF((E123="o"),H123," ")</f>
        <v> </v>
      </c>
      <c r="R123" s="17" t="str">
        <f aca="false">IF((E123="d"),H123," ")</f>
        <v> </v>
      </c>
      <c r="S123" s="17" t="str">
        <f aca="false">IF((E123="w"),H123," ")</f>
        <v> </v>
      </c>
      <c r="T123" s="17" t="str">
        <f aca="false">IF((E123="r"),H123," ")</f>
        <v> </v>
      </c>
      <c r="U123" s="17" t="str">
        <f aca="false">IF((E123="p"),H123," ")</f>
        <v> </v>
      </c>
      <c r="V123" s="17" t="str">
        <f aca="false">IF((E123="t"),H123," ")</f>
        <v> </v>
      </c>
      <c r="W123" s="17" t="str">
        <f aca="false">IF((E123="q"),H123," ")</f>
        <v> </v>
      </c>
      <c r="X123" s="17" t="str">
        <f aca="false">IF((E123="m"),H123," ")</f>
        <v> </v>
      </c>
      <c r="Y123" s="17" t="str">
        <f aca="false">IF((E123="u"),H123," ")</f>
        <v> </v>
      </c>
      <c r="Z123" s="17" t="str">
        <f aca="false">IF((E123="a"),H123," ")</f>
        <v> </v>
      </c>
      <c r="AA123" s="17" t="str">
        <f aca="false">IF((E123="g"),H123," ")</f>
        <v> </v>
      </c>
      <c r="AB123" s="17" t="str">
        <f aca="false">IF((E123="h"),H123," ")</f>
        <v> </v>
      </c>
      <c r="AC123" s="30" t="str">
        <f aca="false">IF((E123="v"),H123," ")</f>
        <v> </v>
      </c>
      <c r="AD123" s="30" t="str">
        <f aca="false">IF((E123="n"),H123," ")</f>
        <v> </v>
      </c>
      <c r="AE123" s="17" t="str">
        <f aca="false">IF((E123="f"),H123," ")</f>
        <v> </v>
      </c>
      <c r="AF123" s="17" t="str">
        <f aca="false">IF((E123="l"),H123," ")</f>
        <v> </v>
      </c>
      <c r="AG123" s="17" t="str">
        <f aca="false">IF((E123="y"),H123," ")</f>
        <v> </v>
      </c>
      <c r="AH123" s="17" t="str">
        <f aca="false">IF((E123="z"),H123," ")</f>
        <v> </v>
      </c>
      <c r="AI123" s="17" t="str">
        <f aca="false">IF((E123="fa"),H123," ")</f>
        <v> </v>
      </c>
      <c r="AJ123" s="17" t="str">
        <f aca="false">IF((E123="e"),H123," ")</f>
        <v> </v>
      </c>
    </row>
    <row r="124" customFormat="false" ht="12" hidden="false" customHeight="false" outlineLevel="0" collapsed="false">
      <c r="A124" s="28"/>
      <c r="E124" s="2" t="str">
        <f aca="false">IF((F124&lt;&gt;0),"Enter Letter"," ")</f>
        <v> </v>
      </c>
      <c r="F124" s="30"/>
      <c r="G124" s="6" t="str">
        <f aca="false">IF(F124&lt;&gt;0,F124*G$2/(100+G$2)," ")</f>
        <v> </v>
      </c>
      <c r="H124" s="6" t="str">
        <f aca="false">IF((F124&lt;&gt;0),F124-G124," ")</f>
        <v> </v>
      </c>
      <c r="I124" s="5"/>
      <c r="L124" s="7" t="str">
        <f aca="false">IF(F124&lt;&gt;0,F124-K124," ")</f>
        <v> </v>
      </c>
      <c r="M124" s="8" t="str">
        <f aca="false">IF((F124-K124)&lt;&gt;0,M$1-A124," ")</f>
        <v> </v>
      </c>
      <c r="N124" s="5"/>
      <c r="O124" s="17" t="str">
        <f aca="false">IF((E124="s"),H124," ")</f>
        <v> </v>
      </c>
      <c r="P124" s="17" t="str">
        <f aca="false">IF((E124="c"),H124," ")</f>
        <v> </v>
      </c>
      <c r="Q124" s="17" t="str">
        <f aca="false">IF((E124="o"),H124," ")</f>
        <v> </v>
      </c>
      <c r="R124" s="17" t="str">
        <f aca="false">IF((E124="d"),H124," ")</f>
        <v> </v>
      </c>
      <c r="S124" s="17" t="str">
        <f aca="false">IF((E124="w"),H124," ")</f>
        <v> </v>
      </c>
      <c r="T124" s="17" t="str">
        <f aca="false">IF((E124="r"),H124," ")</f>
        <v> </v>
      </c>
      <c r="U124" s="17" t="str">
        <f aca="false">IF((E124="p"),H124," ")</f>
        <v> </v>
      </c>
      <c r="V124" s="17" t="str">
        <f aca="false">IF((E124="t"),H124," ")</f>
        <v> </v>
      </c>
      <c r="W124" s="17" t="str">
        <f aca="false">IF((E124="q"),H124," ")</f>
        <v> </v>
      </c>
      <c r="X124" s="17" t="str">
        <f aca="false">IF((E124="m"),H124," ")</f>
        <v> </v>
      </c>
      <c r="Y124" s="17" t="str">
        <f aca="false">IF((E124="u"),H124," ")</f>
        <v> </v>
      </c>
      <c r="Z124" s="17" t="str">
        <f aca="false">IF((E124="a"),H124," ")</f>
        <v> </v>
      </c>
      <c r="AA124" s="17" t="str">
        <f aca="false">IF((E124="g"),H124," ")</f>
        <v> </v>
      </c>
      <c r="AB124" s="17" t="str">
        <f aca="false">IF((E124="h"),H124," ")</f>
        <v> </v>
      </c>
      <c r="AC124" s="30" t="str">
        <f aca="false">IF((E124="v"),H124," ")</f>
        <v> </v>
      </c>
      <c r="AD124" s="30" t="str">
        <f aca="false">IF((E124="n"),H124," ")</f>
        <v> </v>
      </c>
      <c r="AE124" s="17" t="str">
        <f aca="false">IF((E124="f"),H124," ")</f>
        <v> </v>
      </c>
      <c r="AF124" s="17" t="str">
        <f aca="false">IF((E124="l"),H124," ")</f>
        <v> </v>
      </c>
      <c r="AG124" s="17" t="str">
        <f aca="false">IF((E124="y"),H124," ")</f>
        <v> </v>
      </c>
      <c r="AH124" s="17" t="str">
        <f aca="false">IF((E124="z"),H124," ")</f>
        <v> </v>
      </c>
      <c r="AI124" s="17" t="str">
        <f aca="false">IF((E124="fa"),H124," ")</f>
        <v> </v>
      </c>
      <c r="AJ124" s="17" t="str">
        <f aca="false">IF((E124="e"),H124," ")</f>
        <v> </v>
      </c>
    </row>
    <row r="125" customFormat="false" ht="12" hidden="false" customHeight="false" outlineLevel="0" collapsed="false">
      <c r="A125" s="28"/>
      <c r="E125" s="2" t="str">
        <f aca="false">IF((F125&lt;&gt;0),"Enter Letter"," ")</f>
        <v> </v>
      </c>
      <c r="F125" s="30"/>
      <c r="G125" s="6" t="str">
        <f aca="false">IF(F125&lt;&gt;0,F125*G$2/(100+G$2)," ")</f>
        <v> </v>
      </c>
      <c r="H125" s="6" t="str">
        <f aca="false">IF((F125&lt;&gt;0),F125-G125," ")</f>
        <v> </v>
      </c>
      <c r="I125" s="5"/>
      <c r="L125" s="7" t="str">
        <f aca="false">IF(F125&lt;&gt;0,F125-K125," ")</f>
        <v> </v>
      </c>
      <c r="M125" s="8" t="str">
        <f aca="false">IF((F125-K125)&lt;&gt;0,M$1-A125," ")</f>
        <v> </v>
      </c>
      <c r="N125" s="5"/>
      <c r="O125" s="17" t="str">
        <f aca="false">IF((E125="s"),H125," ")</f>
        <v> </v>
      </c>
      <c r="P125" s="17" t="str">
        <f aca="false">IF((E125="c"),H125," ")</f>
        <v> </v>
      </c>
      <c r="Q125" s="17" t="str">
        <f aca="false">IF((E125="o"),H125," ")</f>
        <v> </v>
      </c>
      <c r="R125" s="17" t="str">
        <f aca="false">IF((E125="d"),H125," ")</f>
        <v> </v>
      </c>
      <c r="S125" s="17" t="str">
        <f aca="false">IF((E125="w"),H125," ")</f>
        <v> </v>
      </c>
      <c r="T125" s="17" t="str">
        <f aca="false">IF((E125="r"),H125," ")</f>
        <v> </v>
      </c>
      <c r="U125" s="17" t="str">
        <f aca="false">IF((E125="p"),H125," ")</f>
        <v> </v>
      </c>
      <c r="V125" s="17" t="str">
        <f aca="false">IF((E125="t"),H125," ")</f>
        <v> </v>
      </c>
      <c r="W125" s="17" t="str">
        <f aca="false">IF((E125="q"),H125," ")</f>
        <v> </v>
      </c>
      <c r="X125" s="17" t="str">
        <f aca="false">IF((E125="m"),H125," ")</f>
        <v> </v>
      </c>
      <c r="Y125" s="17" t="str">
        <f aca="false">IF((E125="u"),H125," ")</f>
        <v> </v>
      </c>
      <c r="Z125" s="17" t="str">
        <f aca="false">IF((E125="a"),H125," ")</f>
        <v> </v>
      </c>
      <c r="AA125" s="17" t="str">
        <f aca="false">IF((E125="g"),H125," ")</f>
        <v> </v>
      </c>
      <c r="AB125" s="17" t="str">
        <f aca="false">IF((E125="h"),H125," ")</f>
        <v> </v>
      </c>
      <c r="AC125" s="30" t="str">
        <f aca="false">IF((E125="v"),H125," ")</f>
        <v> </v>
      </c>
      <c r="AD125" s="30" t="str">
        <f aca="false">IF((E125="n"),H125," ")</f>
        <v> </v>
      </c>
      <c r="AE125" s="17" t="str">
        <f aca="false">IF((E125="f"),H125," ")</f>
        <v> </v>
      </c>
      <c r="AF125" s="17" t="str">
        <f aca="false">IF((E125="l"),H125," ")</f>
        <v> </v>
      </c>
      <c r="AG125" s="17" t="str">
        <f aca="false">IF((E125="y"),H125," ")</f>
        <v> </v>
      </c>
      <c r="AH125" s="17" t="str">
        <f aca="false">IF((E125="z"),H125," ")</f>
        <v> </v>
      </c>
      <c r="AI125" s="17" t="str">
        <f aca="false">IF((E125="fa"),H125," ")</f>
        <v> </v>
      </c>
      <c r="AJ125" s="17" t="str">
        <f aca="false">IF((E125="e"),H125," ")</f>
        <v> </v>
      </c>
    </row>
    <row r="126" customFormat="false" ht="12" hidden="false" customHeight="false" outlineLevel="0" collapsed="false">
      <c r="A126" s="28"/>
      <c r="E126" s="2" t="str">
        <f aca="false">IF((F126&lt;&gt;0),"Enter Letter"," ")</f>
        <v> </v>
      </c>
      <c r="F126" s="30"/>
      <c r="G126" s="6" t="str">
        <f aca="false">IF(F126&lt;&gt;0,F126*G$2/(100+G$2)," ")</f>
        <v> </v>
      </c>
      <c r="H126" s="6" t="str">
        <f aca="false">IF((F126&lt;&gt;0),F126-G126," ")</f>
        <v> </v>
      </c>
      <c r="I126" s="5"/>
      <c r="L126" s="7" t="str">
        <f aca="false">IF(F126&lt;&gt;0,F126-K126," ")</f>
        <v> </v>
      </c>
      <c r="M126" s="8" t="str">
        <f aca="false">IF((F126-K126)&lt;&gt;0,M$1-A126," ")</f>
        <v> </v>
      </c>
      <c r="N126" s="5"/>
      <c r="O126" s="17" t="str">
        <f aca="false">IF((E126="s"),H126," ")</f>
        <v> </v>
      </c>
      <c r="P126" s="17" t="str">
        <f aca="false">IF((E126="c"),H126," ")</f>
        <v> </v>
      </c>
      <c r="Q126" s="17" t="str">
        <f aca="false">IF((E126="o"),H126," ")</f>
        <v> </v>
      </c>
      <c r="R126" s="17" t="str">
        <f aca="false">IF((E126="d"),H126," ")</f>
        <v> </v>
      </c>
      <c r="S126" s="17" t="str">
        <f aca="false">IF((E126="w"),H126," ")</f>
        <v> </v>
      </c>
      <c r="T126" s="17" t="str">
        <f aca="false">IF((E126="r"),H126," ")</f>
        <v> </v>
      </c>
      <c r="U126" s="17" t="str">
        <f aca="false">IF((E126="p"),H126," ")</f>
        <v> </v>
      </c>
      <c r="V126" s="17" t="str">
        <f aca="false">IF((E126="t"),H126," ")</f>
        <v> </v>
      </c>
      <c r="W126" s="17" t="str">
        <f aca="false">IF((E126="q"),H126," ")</f>
        <v> </v>
      </c>
      <c r="X126" s="17" t="str">
        <f aca="false">IF((E126="m"),H126," ")</f>
        <v> </v>
      </c>
      <c r="Y126" s="17" t="str">
        <f aca="false">IF((E126="u"),H126," ")</f>
        <v> </v>
      </c>
      <c r="Z126" s="17" t="str">
        <f aca="false">IF((E126="a"),H126," ")</f>
        <v> </v>
      </c>
      <c r="AA126" s="17" t="str">
        <f aca="false">IF((E126="g"),H126," ")</f>
        <v> </v>
      </c>
      <c r="AB126" s="17" t="str">
        <f aca="false">IF((E126="h"),H126," ")</f>
        <v> </v>
      </c>
      <c r="AC126" s="30" t="str">
        <f aca="false">IF((E126="v"),H126," ")</f>
        <v> </v>
      </c>
      <c r="AD126" s="30" t="str">
        <f aca="false">IF((E126="n"),H126," ")</f>
        <v> </v>
      </c>
      <c r="AE126" s="17" t="str">
        <f aca="false">IF((E126="f"),H126," ")</f>
        <v> </v>
      </c>
      <c r="AF126" s="17" t="str">
        <f aca="false">IF((E126="l"),H126," ")</f>
        <v> </v>
      </c>
      <c r="AG126" s="17" t="str">
        <f aca="false">IF((E126="y"),H126," ")</f>
        <v> </v>
      </c>
      <c r="AH126" s="17" t="str">
        <f aca="false">IF((E126="z"),H126," ")</f>
        <v> </v>
      </c>
      <c r="AI126" s="17" t="str">
        <f aca="false">IF((E126="fa"),H126," ")</f>
        <v> </v>
      </c>
      <c r="AJ126" s="17" t="str">
        <f aca="false">IF((E126="e"),H126," ")</f>
        <v> </v>
      </c>
    </row>
    <row r="127" customFormat="false" ht="12" hidden="false" customHeight="false" outlineLevel="0" collapsed="false">
      <c r="A127" s="28"/>
      <c r="E127" s="2" t="str">
        <f aca="false">IF((F127&lt;&gt;0),"Enter Letter"," ")</f>
        <v> </v>
      </c>
      <c r="F127" s="30"/>
      <c r="G127" s="6" t="str">
        <f aca="false">IF(F127&lt;&gt;0,F127*G$2/(100+G$2)," ")</f>
        <v> </v>
      </c>
      <c r="H127" s="6" t="str">
        <f aca="false">IF((F127&lt;&gt;0),F127-G127," ")</f>
        <v> </v>
      </c>
      <c r="I127" s="5"/>
      <c r="L127" s="7" t="str">
        <f aca="false">IF(F127&lt;&gt;0,F127-K127," ")</f>
        <v> </v>
      </c>
      <c r="M127" s="8" t="str">
        <f aca="false">IF((F127-K127)&lt;&gt;0,M$1-A127," ")</f>
        <v> </v>
      </c>
      <c r="N127" s="5"/>
      <c r="O127" s="17" t="str">
        <f aca="false">IF((E127="s"),H127," ")</f>
        <v> </v>
      </c>
      <c r="P127" s="17" t="str">
        <f aca="false">IF((E127="c"),H127," ")</f>
        <v> </v>
      </c>
      <c r="Q127" s="17" t="str">
        <f aca="false">IF((E127="o"),H127," ")</f>
        <v> </v>
      </c>
      <c r="R127" s="17" t="str">
        <f aca="false">IF((E127="d"),H127," ")</f>
        <v> </v>
      </c>
      <c r="S127" s="17" t="str">
        <f aca="false">IF((E127="w"),H127," ")</f>
        <v> </v>
      </c>
      <c r="T127" s="17" t="str">
        <f aca="false">IF((E127="r"),H127," ")</f>
        <v> </v>
      </c>
      <c r="U127" s="17" t="str">
        <f aca="false">IF((E127="p"),H127," ")</f>
        <v> </v>
      </c>
      <c r="V127" s="17" t="str">
        <f aca="false">IF((E127="t"),H127," ")</f>
        <v> </v>
      </c>
      <c r="W127" s="17" t="str">
        <f aca="false">IF((E127="q"),H127," ")</f>
        <v> </v>
      </c>
      <c r="X127" s="17" t="str">
        <f aca="false">IF((E127="m"),H127," ")</f>
        <v> </v>
      </c>
      <c r="Y127" s="17" t="str">
        <f aca="false">IF((E127="u"),H127," ")</f>
        <v> </v>
      </c>
      <c r="Z127" s="17" t="str">
        <f aca="false">IF((E127="a"),H127," ")</f>
        <v> </v>
      </c>
      <c r="AA127" s="17" t="str">
        <f aca="false">IF((E127="g"),H127," ")</f>
        <v> </v>
      </c>
      <c r="AB127" s="17" t="str">
        <f aca="false">IF((E127="h"),H127," ")</f>
        <v> </v>
      </c>
      <c r="AC127" s="30" t="str">
        <f aca="false">IF((E127="v"),H127," ")</f>
        <v> </v>
      </c>
      <c r="AD127" s="30" t="str">
        <f aca="false">IF((E127="n"),H127," ")</f>
        <v> </v>
      </c>
      <c r="AE127" s="17" t="str">
        <f aca="false">IF((E127="f"),H127," ")</f>
        <v> </v>
      </c>
      <c r="AF127" s="17" t="str">
        <f aca="false">IF((E127="l"),H127," ")</f>
        <v> </v>
      </c>
      <c r="AG127" s="17" t="str">
        <f aca="false">IF((E127="y"),H127," ")</f>
        <v> </v>
      </c>
      <c r="AH127" s="17" t="str">
        <f aca="false">IF((E127="z"),H127," ")</f>
        <v> </v>
      </c>
      <c r="AI127" s="17" t="str">
        <f aca="false">IF((E127="fa"),H127," ")</f>
        <v> </v>
      </c>
      <c r="AJ127" s="17" t="str">
        <f aca="false">IF((E127="e"),H127," ")</f>
        <v> </v>
      </c>
    </row>
    <row r="128" customFormat="false" ht="12" hidden="false" customHeight="false" outlineLevel="0" collapsed="false">
      <c r="A128" s="28"/>
      <c r="E128" s="2" t="str">
        <f aca="false">IF((F128&lt;&gt;0),"Enter Letter"," ")</f>
        <v> </v>
      </c>
      <c r="F128" s="30"/>
      <c r="G128" s="6" t="str">
        <f aca="false">IF(F128&lt;&gt;0,F128*G$2/(100+G$2)," ")</f>
        <v> </v>
      </c>
      <c r="H128" s="6" t="str">
        <f aca="false">IF((F128&lt;&gt;0),F128-G128," ")</f>
        <v> </v>
      </c>
      <c r="I128" s="5"/>
      <c r="L128" s="7" t="str">
        <f aca="false">IF(F128&lt;&gt;0,F128-K128," ")</f>
        <v> </v>
      </c>
      <c r="M128" s="8" t="str">
        <f aca="false">IF((F128-K128)&lt;&gt;0,M$1-A128," ")</f>
        <v> </v>
      </c>
      <c r="N128" s="5"/>
      <c r="O128" s="17" t="str">
        <f aca="false">IF((E128="s"),H128," ")</f>
        <v> </v>
      </c>
      <c r="P128" s="17" t="str">
        <f aca="false">IF((E128="c"),H128," ")</f>
        <v> </v>
      </c>
      <c r="Q128" s="17" t="str">
        <f aca="false">IF((E128="o"),H128," ")</f>
        <v> </v>
      </c>
      <c r="R128" s="17" t="str">
        <f aca="false">IF((E128="d"),H128," ")</f>
        <v> </v>
      </c>
      <c r="S128" s="17" t="str">
        <f aca="false">IF((E128="w"),H128," ")</f>
        <v> </v>
      </c>
      <c r="T128" s="17" t="str">
        <f aca="false">IF((E128="r"),H128," ")</f>
        <v> </v>
      </c>
      <c r="U128" s="17" t="str">
        <f aca="false">IF((E128="p"),H128," ")</f>
        <v> </v>
      </c>
      <c r="V128" s="17" t="str">
        <f aca="false">IF((E128="t"),H128," ")</f>
        <v> </v>
      </c>
      <c r="W128" s="17" t="str">
        <f aca="false">IF((E128="q"),H128," ")</f>
        <v> </v>
      </c>
      <c r="X128" s="17" t="str">
        <f aca="false">IF((E128="m"),H128," ")</f>
        <v> </v>
      </c>
      <c r="Y128" s="17" t="str">
        <f aca="false">IF((E128="u"),H128," ")</f>
        <v> </v>
      </c>
      <c r="Z128" s="17" t="str">
        <f aca="false">IF((E128="a"),H128," ")</f>
        <v> </v>
      </c>
      <c r="AA128" s="17" t="str">
        <f aca="false">IF((E128="g"),H128," ")</f>
        <v> </v>
      </c>
      <c r="AB128" s="17" t="str">
        <f aca="false">IF((E128="h"),H128," ")</f>
        <v> </v>
      </c>
      <c r="AC128" s="30" t="str">
        <f aca="false">IF((E128="v"),H128," ")</f>
        <v> </v>
      </c>
      <c r="AD128" s="30" t="str">
        <f aca="false">IF((E128="n"),H128," ")</f>
        <v> </v>
      </c>
      <c r="AE128" s="17" t="str">
        <f aca="false">IF((E128="f"),H128," ")</f>
        <v> </v>
      </c>
      <c r="AF128" s="17" t="str">
        <f aca="false">IF((E128="l"),H128," ")</f>
        <v> </v>
      </c>
      <c r="AG128" s="17" t="str">
        <f aca="false">IF((E128="y"),H128," ")</f>
        <v> </v>
      </c>
      <c r="AH128" s="17" t="str">
        <f aca="false">IF((E128="z"),H128," ")</f>
        <v> </v>
      </c>
      <c r="AI128" s="17" t="str">
        <f aca="false">IF((E128="fa"),H128," ")</f>
        <v> </v>
      </c>
      <c r="AJ128" s="17" t="str">
        <f aca="false">IF((E128="e"),H128," ")</f>
        <v> </v>
      </c>
    </row>
    <row r="129" customFormat="false" ht="12" hidden="false" customHeight="false" outlineLevel="0" collapsed="false">
      <c r="A129" s="28"/>
      <c r="E129" s="2" t="str">
        <f aca="false">IF((F129&lt;&gt;0),"Enter Letter"," ")</f>
        <v> </v>
      </c>
      <c r="F129" s="30"/>
      <c r="G129" s="6" t="str">
        <f aca="false">IF(F129&lt;&gt;0,F129*G$2/(100+G$2)," ")</f>
        <v> </v>
      </c>
      <c r="H129" s="6" t="str">
        <f aca="false">IF((F129&lt;&gt;0),F129-G129," ")</f>
        <v> </v>
      </c>
      <c r="I129" s="5"/>
      <c r="L129" s="7" t="str">
        <f aca="false">IF(F129&lt;&gt;0,F129-K129," ")</f>
        <v> </v>
      </c>
      <c r="M129" s="8" t="str">
        <f aca="false">IF((F129-K129)&lt;&gt;0,M$1-A129," ")</f>
        <v> </v>
      </c>
      <c r="N129" s="5"/>
      <c r="O129" s="17" t="str">
        <f aca="false">IF((E129="s"),H129," ")</f>
        <v> </v>
      </c>
      <c r="P129" s="17" t="str">
        <f aca="false">IF((E129="c"),H129," ")</f>
        <v> </v>
      </c>
      <c r="Q129" s="17" t="str">
        <f aca="false">IF((E129="o"),H129," ")</f>
        <v> </v>
      </c>
      <c r="R129" s="17" t="str">
        <f aca="false">IF((E129="d"),H129," ")</f>
        <v> </v>
      </c>
      <c r="S129" s="17" t="str">
        <f aca="false">IF((E129="w"),H129," ")</f>
        <v> </v>
      </c>
      <c r="T129" s="17" t="str">
        <f aca="false">IF((E129="r"),H129," ")</f>
        <v> </v>
      </c>
      <c r="U129" s="17" t="str">
        <f aca="false">IF((E129="p"),H129," ")</f>
        <v> </v>
      </c>
      <c r="V129" s="17" t="str">
        <f aca="false">IF((E129="t"),H129," ")</f>
        <v> </v>
      </c>
      <c r="W129" s="17" t="str">
        <f aca="false">IF((E129="q"),H129," ")</f>
        <v> </v>
      </c>
      <c r="X129" s="17" t="str">
        <f aca="false">IF((E129="m"),H129," ")</f>
        <v> </v>
      </c>
      <c r="Y129" s="17" t="str">
        <f aca="false">IF((E129="u"),H129," ")</f>
        <v> </v>
      </c>
      <c r="Z129" s="17" t="str">
        <f aca="false">IF((E129="a"),H129," ")</f>
        <v> </v>
      </c>
      <c r="AA129" s="17" t="str">
        <f aca="false">IF((E129="g"),H129," ")</f>
        <v> </v>
      </c>
      <c r="AB129" s="17" t="str">
        <f aca="false">IF((E129="h"),H129," ")</f>
        <v> </v>
      </c>
      <c r="AC129" s="30" t="str">
        <f aca="false">IF((E129="v"),H129," ")</f>
        <v> </v>
      </c>
      <c r="AD129" s="30" t="str">
        <f aca="false">IF((E129="n"),H129," ")</f>
        <v> </v>
      </c>
      <c r="AE129" s="17" t="str">
        <f aca="false">IF((E129="f"),H129," ")</f>
        <v> </v>
      </c>
      <c r="AF129" s="17" t="str">
        <f aca="false">IF((E129="l"),H129," ")</f>
        <v> </v>
      </c>
      <c r="AG129" s="17" t="str">
        <f aca="false">IF((E129="y"),H129," ")</f>
        <v> </v>
      </c>
      <c r="AH129" s="17" t="str">
        <f aca="false">IF((E129="z"),H129," ")</f>
        <v> </v>
      </c>
      <c r="AI129" s="17" t="str">
        <f aca="false">IF((E129="fa"),H129," ")</f>
        <v> </v>
      </c>
      <c r="AJ129" s="17" t="str">
        <f aca="false">IF((E129="e"),H129," ")</f>
        <v> </v>
      </c>
    </row>
    <row r="130" customFormat="false" ht="12" hidden="false" customHeight="false" outlineLevel="0" collapsed="false">
      <c r="A130" s="28"/>
      <c r="E130" s="2" t="str">
        <f aca="false">IF((F130&lt;&gt;0),"Enter Letter"," ")</f>
        <v> </v>
      </c>
      <c r="F130" s="30"/>
      <c r="G130" s="6" t="str">
        <f aca="false">IF(F130&lt;&gt;0,F130*G$2/(100+G$2)," ")</f>
        <v> </v>
      </c>
      <c r="H130" s="6" t="str">
        <f aca="false">IF((F130&lt;&gt;0),F130-G130," ")</f>
        <v> </v>
      </c>
      <c r="I130" s="5"/>
      <c r="L130" s="7" t="str">
        <f aca="false">IF(F130&lt;&gt;0,F130-K130," ")</f>
        <v> </v>
      </c>
      <c r="M130" s="8" t="str">
        <f aca="false">IF((F130-K130)&lt;&gt;0,M$1-A130," ")</f>
        <v> </v>
      </c>
      <c r="N130" s="5"/>
      <c r="O130" s="17" t="str">
        <f aca="false">IF((E130="s"),H130," ")</f>
        <v> </v>
      </c>
      <c r="P130" s="17" t="str">
        <f aca="false">IF((E130="c"),H130," ")</f>
        <v> </v>
      </c>
      <c r="Q130" s="17" t="str">
        <f aca="false">IF((E130="o"),H130," ")</f>
        <v> </v>
      </c>
      <c r="R130" s="17" t="str">
        <f aca="false">IF((E130="d"),H130," ")</f>
        <v> </v>
      </c>
      <c r="S130" s="17" t="str">
        <f aca="false">IF((E130="w"),H130," ")</f>
        <v> </v>
      </c>
      <c r="T130" s="17" t="str">
        <f aca="false">IF((E130="r"),H130," ")</f>
        <v> </v>
      </c>
      <c r="U130" s="17" t="str">
        <f aca="false">IF((E130="p"),H130," ")</f>
        <v> </v>
      </c>
      <c r="V130" s="17" t="str">
        <f aca="false">IF((E130="t"),H130," ")</f>
        <v> </v>
      </c>
      <c r="W130" s="17" t="str">
        <f aca="false">IF((E130="q"),H130," ")</f>
        <v> </v>
      </c>
      <c r="X130" s="17" t="str">
        <f aca="false">IF((E130="m"),H130," ")</f>
        <v> </v>
      </c>
      <c r="Y130" s="17" t="str">
        <f aca="false">IF((E130="u"),H130," ")</f>
        <v> </v>
      </c>
      <c r="Z130" s="17" t="str">
        <f aca="false">IF((E130="a"),H130," ")</f>
        <v> </v>
      </c>
      <c r="AA130" s="17" t="str">
        <f aca="false">IF((E130="g"),H130," ")</f>
        <v> </v>
      </c>
      <c r="AB130" s="17" t="str">
        <f aca="false">IF((E130="h"),H130," ")</f>
        <v> </v>
      </c>
      <c r="AC130" s="30" t="str">
        <f aca="false">IF((E130="v"),H130," ")</f>
        <v> </v>
      </c>
      <c r="AD130" s="30" t="str">
        <f aca="false">IF((E130="n"),H130," ")</f>
        <v> </v>
      </c>
      <c r="AE130" s="17" t="str">
        <f aca="false">IF((E130="f"),H130," ")</f>
        <v> </v>
      </c>
      <c r="AF130" s="17" t="str">
        <f aca="false">IF((E130="l"),H130," ")</f>
        <v> </v>
      </c>
      <c r="AG130" s="17" t="str">
        <f aca="false">IF((E130="y"),H130," ")</f>
        <v> </v>
      </c>
      <c r="AH130" s="17" t="str">
        <f aca="false">IF((E130="z"),H130," ")</f>
        <v> </v>
      </c>
      <c r="AI130" s="17" t="str">
        <f aca="false">IF((E130="fa"),H130," ")</f>
        <v> </v>
      </c>
      <c r="AJ130" s="17" t="str">
        <f aca="false">IF((E130="e"),H130," ")</f>
        <v> </v>
      </c>
    </row>
    <row r="131" customFormat="false" ht="12" hidden="false" customHeight="false" outlineLevel="0" collapsed="false">
      <c r="A131" s="28"/>
      <c r="E131" s="2" t="str">
        <f aca="false">IF((F131&lt;&gt;0),"Enter Letter"," ")</f>
        <v> </v>
      </c>
      <c r="F131" s="30"/>
      <c r="G131" s="6" t="str">
        <f aca="false">IF(F131&lt;&gt;0,F131*G$2/(100+G$2)," ")</f>
        <v> </v>
      </c>
      <c r="H131" s="6" t="str">
        <f aca="false">IF((F131&lt;&gt;0),F131-G131," ")</f>
        <v> </v>
      </c>
      <c r="I131" s="5"/>
      <c r="L131" s="7" t="str">
        <f aca="false">IF(F131&lt;&gt;0,F131-K131," ")</f>
        <v> </v>
      </c>
      <c r="M131" s="8" t="str">
        <f aca="false">IF((F131-K131)&lt;&gt;0,M$1-A131," ")</f>
        <v> </v>
      </c>
      <c r="N131" s="5"/>
      <c r="O131" s="17" t="str">
        <f aca="false">IF((E131="s"),H131," ")</f>
        <v> </v>
      </c>
      <c r="P131" s="17" t="str">
        <f aca="false">IF((E131="c"),H131," ")</f>
        <v> </v>
      </c>
      <c r="Q131" s="17" t="str">
        <f aca="false">IF((E131="o"),H131," ")</f>
        <v> </v>
      </c>
      <c r="R131" s="17" t="str">
        <f aca="false">IF((E131="d"),H131," ")</f>
        <v> </v>
      </c>
      <c r="S131" s="17" t="str">
        <f aca="false">IF((E131="w"),H131," ")</f>
        <v> </v>
      </c>
      <c r="T131" s="17" t="str">
        <f aca="false">IF((E131="r"),H131," ")</f>
        <v> </v>
      </c>
      <c r="U131" s="17" t="str">
        <f aca="false">IF((E131="p"),H131," ")</f>
        <v> </v>
      </c>
      <c r="V131" s="17" t="str">
        <f aca="false">IF((E131="t"),H131," ")</f>
        <v> </v>
      </c>
      <c r="W131" s="17" t="str">
        <f aca="false">IF((E131="q"),H131," ")</f>
        <v> </v>
      </c>
      <c r="X131" s="17" t="str">
        <f aca="false">IF((E131="m"),H131," ")</f>
        <v> </v>
      </c>
      <c r="Y131" s="17" t="str">
        <f aca="false">IF((E131="u"),H131," ")</f>
        <v> </v>
      </c>
      <c r="Z131" s="17" t="str">
        <f aca="false">IF((E131="a"),H131," ")</f>
        <v> </v>
      </c>
      <c r="AA131" s="17" t="str">
        <f aca="false">IF((E131="g"),H131," ")</f>
        <v> </v>
      </c>
      <c r="AB131" s="17" t="str">
        <f aca="false">IF((E131="h"),H131," ")</f>
        <v> </v>
      </c>
      <c r="AC131" s="30" t="str">
        <f aca="false">IF((E131="v"),H131," ")</f>
        <v> </v>
      </c>
      <c r="AD131" s="30" t="str">
        <f aca="false">IF((E131="n"),H131," ")</f>
        <v> </v>
      </c>
      <c r="AE131" s="17" t="str">
        <f aca="false">IF((E131="f"),H131," ")</f>
        <v> </v>
      </c>
      <c r="AF131" s="17" t="str">
        <f aca="false">IF((E131="l"),H131," ")</f>
        <v> </v>
      </c>
      <c r="AG131" s="17" t="str">
        <f aca="false">IF((E131="y"),H131," ")</f>
        <v> </v>
      </c>
      <c r="AH131" s="17" t="str">
        <f aca="false">IF((E131="z"),H131," ")</f>
        <v> </v>
      </c>
      <c r="AI131" s="17" t="str">
        <f aca="false">IF((E131="fa"),H131," ")</f>
        <v> </v>
      </c>
      <c r="AJ131" s="17" t="str">
        <f aca="false">IF((E131="e"),H131," ")</f>
        <v> </v>
      </c>
    </row>
    <row r="132" customFormat="false" ht="12" hidden="false" customHeight="false" outlineLevel="0" collapsed="false">
      <c r="A132" s="28"/>
      <c r="E132" s="2" t="str">
        <f aca="false">IF((F132&lt;&gt;0),"Enter Letter"," ")</f>
        <v> </v>
      </c>
      <c r="F132" s="30"/>
      <c r="G132" s="6" t="str">
        <f aca="false">IF(F132&lt;&gt;0,F132*G$2/(100+G$2)," ")</f>
        <v> </v>
      </c>
      <c r="H132" s="6" t="str">
        <f aca="false">IF((F132&lt;&gt;0),F132-G132," ")</f>
        <v> </v>
      </c>
      <c r="I132" s="5"/>
      <c r="L132" s="7" t="str">
        <f aca="false">IF(F132&lt;&gt;0,F132-K132," ")</f>
        <v> </v>
      </c>
      <c r="M132" s="8" t="str">
        <f aca="false">IF((F132-K132)&lt;&gt;0,M$1-A132," ")</f>
        <v> </v>
      </c>
      <c r="N132" s="5"/>
      <c r="O132" s="17" t="str">
        <f aca="false">IF((E132="s"),H132," ")</f>
        <v> </v>
      </c>
      <c r="P132" s="17" t="str">
        <f aca="false">IF((E132="c"),H132," ")</f>
        <v> </v>
      </c>
      <c r="Q132" s="17" t="str">
        <f aca="false">IF((E132="o"),H132," ")</f>
        <v> </v>
      </c>
      <c r="R132" s="17" t="str">
        <f aca="false">IF((E132="d"),H132," ")</f>
        <v> </v>
      </c>
      <c r="S132" s="17" t="str">
        <f aca="false">IF((E132="w"),H132," ")</f>
        <v> </v>
      </c>
      <c r="T132" s="17" t="str">
        <f aca="false">IF((E132="r"),H132," ")</f>
        <v> </v>
      </c>
      <c r="U132" s="17" t="str">
        <f aca="false">IF((E132="p"),H132," ")</f>
        <v> </v>
      </c>
      <c r="V132" s="17" t="str">
        <f aca="false">IF((E132="t"),H132," ")</f>
        <v> </v>
      </c>
      <c r="W132" s="17" t="str">
        <f aca="false">IF((E132="q"),H132," ")</f>
        <v> </v>
      </c>
      <c r="X132" s="17" t="str">
        <f aca="false">IF((E132="m"),H132," ")</f>
        <v> </v>
      </c>
      <c r="Y132" s="17" t="str">
        <f aca="false">IF((E132="u"),H132," ")</f>
        <v> </v>
      </c>
      <c r="Z132" s="17" t="str">
        <f aca="false">IF((E132="a"),H132," ")</f>
        <v> </v>
      </c>
      <c r="AA132" s="17" t="str">
        <f aca="false">IF((E132="g"),H132," ")</f>
        <v> </v>
      </c>
      <c r="AB132" s="17" t="str">
        <f aca="false">IF((E132="h"),H132," ")</f>
        <v> </v>
      </c>
      <c r="AC132" s="30" t="str">
        <f aca="false">IF((E132="v"),H132," ")</f>
        <v> </v>
      </c>
      <c r="AD132" s="30" t="str">
        <f aca="false">IF((E132="n"),H132," ")</f>
        <v> </v>
      </c>
      <c r="AE132" s="17" t="str">
        <f aca="false">IF((E132="f"),H132," ")</f>
        <v> </v>
      </c>
      <c r="AF132" s="17" t="str">
        <f aca="false">IF((E132="l"),H132," ")</f>
        <v> </v>
      </c>
      <c r="AG132" s="17" t="str">
        <f aca="false">IF((E132="y"),H132," ")</f>
        <v> </v>
      </c>
      <c r="AH132" s="17" t="str">
        <f aca="false">IF((E132="z"),H132," ")</f>
        <v> </v>
      </c>
      <c r="AI132" s="17" t="str">
        <f aca="false">IF((E132="fa"),H132," ")</f>
        <v> </v>
      </c>
      <c r="AJ132" s="17" t="str">
        <f aca="false">IF((E132="e"),H132," ")</f>
        <v> </v>
      </c>
    </row>
    <row r="133" customFormat="false" ht="12" hidden="false" customHeight="false" outlineLevel="0" collapsed="false">
      <c r="A133" s="28"/>
      <c r="E133" s="2" t="str">
        <f aca="false">IF((F133&lt;&gt;0),"Enter Letter"," ")</f>
        <v> </v>
      </c>
      <c r="F133" s="30"/>
      <c r="G133" s="6" t="str">
        <f aca="false">IF(F133&lt;&gt;0,F133*G$2/(100+G$2)," ")</f>
        <v> </v>
      </c>
      <c r="H133" s="6" t="str">
        <f aca="false">IF((F133&lt;&gt;0),F133-G133," ")</f>
        <v> </v>
      </c>
      <c r="I133" s="5"/>
      <c r="L133" s="7" t="str">
        <f aca="false">IF(F133&lt;&gt;0,F133-K133," ")</f>
        <v> </v>
      </c>
      <c r="M133" s="8" t="str">
        <f aca="false">IF((F133-K133)&lt;&gt;0,M$1-A133," ")</f>
        <v> </v>
      </c>
      <c r="N133" s="5"/>
      <c r="O133" s="17" t="str">
        <f aca="false">IF((E133="s"),H133," ")</f>
        <v> </v>
      </c>
      <c r="P133" s="17" t="str">
        <f aca="false">IF((E133="c"),H133," ")</f>
        <v> </v>
      </c>
      <c r="Q133" s="17" t="str">
        <f aca="false">IF((E133="o"),H133," ")</f>
        <v> </v>
      </c>
      <c r="R133" s="17" t="str">
        <f aca="false">IF((E133="d"),H133," ")</f>
        <v> </v>
      </c>
      <c r="S133" s="17" t="str">
        <f aca="false">IF((E133="w"),H133," ")</f>
        <v> </v>
      </c>
      <c r="T133" s="17" t="str">
        <f aca="false">IF((E133="r"),H133," ")</f>
        <v> </v>
      </c>
      <c r="U133" s="17" t="str">
        <f aca="false">IF((E133="p"),H133," ")</f>
        <v> </v>
      </c>
      <c r="V133" s="17" t="str">
        <f aca="false">IF((E133="t"),H133," ")</f>
        <v> </v>
      </c>
      <c r="W133" s="17" t="str">
        <f aca="false">IF((E133="q"),H133," ")</f>
        <v> </v>
      </c>
      <c r="X133" s="17" t="str">
        <f aca="false">IF((E133="m"),H133," ")</f>
        <v> </v>
      </c>
      <c r="Y133" s="17" t="str">
        <f aca="false">IF((E133="u"),H133," ")</f>
        <v> </v>
      </c>
      <c r="Z133" s="17" t="str">
        <f aca="false">IF((E133="a"),H133," ")</f>
        <v> </v>
      </c>
      <c r="AA133" s="17" t="str">
        <f aca="false">IF((E133="g"),H133," ")</f>
        <v> </v>
      </c>
      <c r="AB133" s="17" t="str">
        <f aca="false">IF((E133="h"),H133," ")</f>
        <v> </v>
      </c>
      <c r="AC133" s="30" t="str">
        <f aca="false">IF((E133="v"),H133," ")</f>
        <v> </v>
      </c>
      <c r="AD133" s="30" t="str">
        <f aca="false">IF((E133="n"),H133," ")</f>
        <v> </v>
      </c>
      <c r="AE133" s="17" t="str">
        <f aca="false">IF((E133="f"),H133," ")</f>
        <v> </v>
      </c>
      <c r="AF133" s="17" t="str">
        <f aca="false">IF((E133="l"),H133," ")</f>
        <v> </v>
      </c>
      <c r="AG133" s="17" t="str">
        <f aca="false">IF((E133="y"),H133," ")</f>
        <v> </v>
      </c>
      <c r="AH133" s="17" t="str">
        <f aca="false">IF((E133="z"),H133," ")</f>
        <v> </v>
      </c>
      <c r="AI133" s="17" t="str">
        <f aca="false">IF((E133="fa"),H133," ")</f>
        <v> </v>
      </c>
      <c r="AJ133" s="17" t="str">
        <f aca="false">IF((E133="e"),H133," ")</f>
        <v> </v>
      </c>
    </row>
    <row r="134" customFormat="false" ht="12" hidden="false" customHeight="false" outlineLevel="0" collapsed="false">
      <c r="A134" s="28"/>
      <c r="E134" s="2" t="str">
        <f aca="false">IF((F134&lt;&gt;0),"Enter Letter"," ")</f>
        <v> </v>
      </c>
      <c r="F134" s="30"/>
      <c r="G134" s="6" t="str">
        <f aca="false">IF(F134&lt;&gt;0,F134*G$2/(100+G$2)," ")</f>
        <v> </v>
      </c>
      <c r="H134" s="6" t="str">
        <f aca="false">IF((F134&lt;&gt;0),F134-G134," ")</f>
        <v> </v>
      </c>
      <c r="I134" s="5"/>
      <c r="L134" s="7" t="str">
        <f aca="false">IF(F134&lt;&gt;0,F134-K134," ")</f>
        <v> </v>
      </c>
      <c r="M134" s="8" t="str">
        <f aca="false">IF((F134-K134)&lt;&gt;0,M$1-A134," ")</f>
        <v> </v>
      </c>
      <c r="N134" s="5"/>
      <c r="O134" s="17" t="str">
        <f aca="false">IF((E134="s"),H134," ")</f>
        <v> </v>
      </c>
      <c r="P134" s="17" t="str">
        <f aca="false">IF((E134="c"),H134," ")</f>
        <v> </v>
      </c>
      <c r="Q134" s="17" t="str">
        <f aca="false">IF((E134="o"),H134," ")</f>
        <v> </v>
      </c>
      <c r="R134" s="17" t="str">
        <f aca="false">IF((E134="d"),H134," ")</f>
        <v> </v>
      </c>
      <c r="S134" s="17" t="str">
        <f aca="false">IF((E134="w"),H134," ")</f>
        <v> </v>
      </c>
      <c r="T134" s="17" t="str">
        <f aca="false">IF((E134="r"),H134," ")</f>
        <v> </v>
      </c>
      <c r="U134" s="17" t="str">
        <f aca="false">IF((E134="p"),H134," ")</f>
        <v> </v>
      </c>
      <c r="V134" s="17" t="str">
        <f aca="false">IF((E134="t"),H134," ")</f>
        <v> </v>
      </c>
      <c r="W134" s="17" t="str">
        <f aca="false">IF((E134="q"),H134," ")</f>
        <v> </v>
      </c>
      <c r="X134" s="17" t="str">
        <f aca="false">IF((E134="m"),H134," ")</f>
        <v> </v>
      </c>
      <c r="Y134" s="17" t="str">
        <f aca="false">IF((E134="u"),H134," ")</f>
        <v> </v>
      </c>
      <c r="Z134" s="17" t="str">
        <f aca="false">IF((E134="a"),H134," ")</f>
        <v> </v>
      </c>
      <c r="AA134" s="17" t="str">
        <f aca="false">IF((E134="g"),H134," ")</f>
        <v> </v>
      </c>
      <c r="AB134" s="17" t="str">
        <f aca="false">IF((E134="h"),H134," ")</f>
        <v> </v>
      </c>
      <c r="AC134" s="30" t="str">
        <f aca="false">IF((E134="v"),H134," ")</f>
        <v> </v>
      </c>
      <c r="AD134" s="30" t="str">
        <f aca="false">IF((E134="n"),H134," ")</f>
        <v> </v>
      </c>
      <c r="AE134" s="17" t="str">
        <f aca="false">IF((E134="f"),H134," ")</f>
        <v> </v>
      </c>
      <c r="AF134" s="17" t="str">
        <f aca="false">IF((E134="l"),H134," ")</f>
        <v> </v>
      </c>
      <c r="AG134" s="17" t="str">
        <f aca="false">IF((E134="y"),H134," ")</f>
        <v> </v>
      </c>
      <c r="AH134" s="17" t="str">
        <f aca="false">IF((E134="z"),H134," ")</f>
        <v> </v>
      </c>
      <c r="AI134" s="17" t="str">
        <f aca="false">IF((E134="fa"),H134," ")</f>
        <v> </v>
      </c>
      <c r="AJ134" s="17" t="str">
        <f aca="false">IF((E134="e"),H134," ")</f>
        <v> </v>
      </c>
    </row>
    <row r="135" customFormat="false" ht="12" hidden="false" customHeight="false" outlineLevel="0" collapsed="false">
      <c r="A135" s="28"/>
      <c r="E135" s="2" t="str">
        <f aca="false">IF((F135&lt;&gt;0),"Enter Letter"," ")</f>
        <v> </v>
      </c>
      <c r="F135" s="30"/>
      <c r="G135" s="6" t="str">
        <f aca="false">IF(F135&lt;&gt;0,F135*G$2/(100+G$2)," ")</f>
        <v> </v>
      </c>
      <c r="H135" s="6" t="str">
        <f aca="false">IF((F135&lt;&gt;0),F135-G135," ")</f>
        <v> </v>
      </c>
      <c r="I135" s="5"/>
      <c r="L135" s="7" t="str">
        <f aca="false">IF(F135&lt;&gt;0,F135-K135," ")</f>
        <v> </v>
      </c>
      <c r="M135" s="8" t="str">
        <f aca="false">IF((F135-K135)&lt;&gt;0,M$1-A135," ")</f>
        <v> </v>
      </c>
      <c r="N135" s="5"/>
      <c r="O135" s="17" t="str">
        <f aca="false">IF((E135="s"),H135," ")</f>
        <v> </v>
      </c>
      <c r="P135" s="17" t="str">
        <f aca="false">IF((E135="c"),H135," ")</f>
        <v> </v>
      </c>
      <c r="Q135" s="17" t="str">
        <f aca="false">IF((E135="o"),H135," ")</f>
        <v> </v>
      </c>
      <c r="R135" s="17" t="str">
        <f aca="false">IF((E135="d"),H135," ")</f>
        <v> </v>
      </c>
      <c r="S135" s="17" t="str">
        <f aca="false">IF((E135="w"),H135," ")</f>
        <v> </v>
      </c>
      <c r="T135" s="17" t="str">
        <f aca="false">IF((E135="r"),H135," ")</f>
        <v> </v>
      </c>
      <c r="U135" s="17" t="str">
        <f aca="false">IF((E135="p"),H135," ")</f>
        <v> </v>
      </c>
      <c r="V135" s="17" t="str">
        <f aca="false">IF((E135="t"),H135," ")</f>
        <v> </v>
      </c>
      <c r="W135" s="17" t="str">
        <f aca="false">IF((E135="q"),H135," ")</f>
        <v> </v>
      </c>
      <c r="X135" s="17" t="str">
        <f aca="false">IF((E135="m"),H135," ")</f>
        <v> </v>
      </c>
      <c r="Y135" s="17" t="str">
        <f aca="false">IF((E135="u"),H135," ")</f>
        <v> </v>
      </c>
      <c r="Z135" s="17" t="str">
        <f aca="false">IF((E135="a"),H135," ")</f>
        <v> </v>
      </c>
      <c r="AA135" s="17" t="str">
        <f aca="false">IF((E135="g"),H135," ")</f>
        <v> </v>
      </c>
      <c r="AB135" s="17" t="str">
        <f aca="false">IF((E135="h"),H135," ")</f>
        <v> </v>
      </c>
      <c r="AC135" s="30" t="str">
        <f aca="false">IF((E135="v"),H135," ")</f>
        <v> </v>
      </c>
      <c r="AD135" s="30" t="str">
        <f aca="false">IF((E135="n"),H135," ")</f>
        <v> </v>
      </c>
      <c r="AE135" s="17" t="str">
        <f aca="false">IF((E135="f"),H135," ")</f>
        <v> </v>
      </c>
      <c r="AF135" s="17" t="str">
        <f aca="false">IF((E135="l"),H135," ")</f>
        <v> </v>
      </c>
      <c r="AG135" s="17" t="str">
        <f aca="false">IF((E135="y"),H135," ")</f>
        <v> </v>
      </c>
      <c r="AH135" s="17" t="str">
        <f aca="false">IF((E135="z"),H135," ")</f>
        <v> </v>
      </c>
      <c r="AI135" s="17" t="str">
        <f aca="false">IF((E135="fa"),H135," ")</f>
        <v> </v>
      </c>
      <c r="AJ135" s="17" t="str">
        <f aca="false">IF((E135="e"),H135," ")</f>
        <v> </v>
      </c>
    </row>
    <row r="136" customFormat="false" ht="12" hidden="false" customHeight="false" outlineLevel="0" collapsed="false">
      <c r="A136" s="28"/>
      <c r="E136" s="2" t="str">
        <f aca="false">IF((F136&lt;&gt;0),"Enter Letter"," ")</f>
        <v> </v>
      </c>
      <c r="F136" s="30"/>
      <c r="G136" s="6" t="str">
        <f aca="false">IF(F136&lt;&gt;0,F136*G$2/(100+G$2)," ")</f>
        <v> </v>
      </c>
      <c r="H136" s="6" t="str">
        <f aca="false">IF((F136&lt;&gt;0),F136-G136," ")</f>
        <v> </v>
      </c>
      <c r="I136" s="5"/>
      <c r="L136" s="7" t="str">
        <f aca="false">IF(F136&lt;&gt;0,F136-K136," ")</f>
        <v> </v>
      </c>
      <c r="M136" s="8" t="str">
        <f aca="false">IF((F136-K136)&lt;&gt;0,M$1-A136," ")</f>
        <v> </v>
      </c>
      <c r="N136" s="5"/>
      <c r="O136" s="17" t="str">
        <f aca="false">IF((E136="s"),H136," ")</f>
        <v> </v>
      </c>
      <c r="P136" s="17" t="str">
        <f aca="false">IF((E136="c"),H136," ")</f>
        <v> </v>
      </c>
      <c r="Q136" s="17" t="str">
        <f aca="false">IF((E136="o"),H136," ")</f>
        <v> </v>
      </c>
      <c r="R136" s="17" t="str">
        <f aca="false">IF((E136="d"),H136," ")</f>
        <v> </v>
      </c>
      <c r="S136" s="17" t="str">
        <f aca="false">IF((E136="w"),H136," ")</f>
        <v> </v>
      </c>
      <c r="T136" s="17" t="str">
        <f aca="false">IF((E136="r"),H136," ")</f>
        <v> </v>
      </c>
      <c r="U136" s="17" t="str">
        <f aca="false">IF((E136="p"),H136," ")</f>
        <v> </v>
      </c>
      <c r="V136" s="17" t="str">
        <f aca="false">IF((E136="t"),H136," ")</f>
        <v> </v>
      </c>
      <c r="W136" s="17" t="str">
        <f aca="false">IF((E136="q"),H136," ")</f>
        <v> </v>
      </c>
      <c r="X136" s="17" t="str">
        <f aca="false">IF((E136="m"),H136," ")</f>
        <v> </v>
      </c>
      <c r="Y136" s="17" t="str">
        <f aca="false">IF((E136="u"),H136," ")</f>
        <v> </v>
      </c>
      <c r="Z136" s="17" t="str">
        <f aca="false">IF((E136="a"),H136," ")</f>
        <v> </v>
      </c>
      <c r="AA136" s="17" t="str">
        <f aca="false">IF((E136="g"),H136," ")</f>
        <v> </v>
      </c>
      <c r="AB136" s="17" t="str">
        <f aca="false">IF((E136="h"),H136," ")</f>
        <v> </v>
      </c>
      <c r="AC136" s="30" t="str">
        <f aca="false">IF((E136="v"),H136," ")</f>
        <v> </v>
      </c>
      <c r="AD136" s="30" t="str">
        <f aca="false">IF((E136="n"),H136," ")</f>
        <v> </v>
      </c>
      <c r="AE136" s="17" t="str">
        <f aca="false">IF((E136="f"),H136," ")</f>
        <v> </v>
      </c>
      <c r="AF136" s="17" t="str">
        <f aca="false">IF((E136="l"),H136," ")</f>
        <v> </v>
      </c>
      <c r="AG136" s="17" t="str">
        <f aca="false">IF((E136="y"),H136," ")</f>
        <v> </v>
      </c>
      <c r="AH136" s="17" t="str">
        <f aca="false">IF((E136="z"),H136," ")</f>
        <v> </v>
      </c>
      <c r="AI136" s="17" t="str">
        <f aca="false">IF((E136="fa"),H136," ")</f>
        <v> </v>
      </c>
      <c r="AJ136" s="17" t="str">
        <f aca="false">IF((E136="e"),H136," ")</f>
        <v> </v>
      </c>
    </row>
    <row r="137" customFormat="false" ht="12" hidden="false" customHeight="false" outlineLevel="0" collapsed="false">
      <c r="A137" s="28"/>
      <c r="E137" s="2" t="str">
        <f aca="false">IF((F137&lt;&gt;0),"Enter Letter"," ")</f>
        <v> </v>
      </c>
      <c r="F137" s="30"/>
      <c r="G137" s="6" t="str">
        <f aca="false">IF(F137&lt;&gt;0,F137*G$2/(100+G$2)," ")</f>
        <v> </v>
      </c>
      <c r="H137" s="6" t="str">
        <f aca="false">IF((F137&lt;&gt;0),F137-G137," ")</f>
        <v> </v>
      </c>
      <c r="I137" s="5"/>
      <c r="L137" s="7" t="str">
        <f aca="false">IF(F137&lt;&gt;0,F137-K137," ")</f>
        <v> </v>
      </c>
      <c r="M137" s="8" t="str">
        <f aca="false">IF((F137-K137)&lt;&gt;0,M$1-A137," ")</f>
        <v> </v>
      </c>
      <c r="N137" s="5"/>
      <c r="O137" s="17" t="str">
        <f aca="false">IF((E137="s"),H137," ")</f>
        <v> </v>
      </c>
      <c r="P137" s="17" t="str">
        <f aca="false">IF((E137="c"),H137," ")</f>
        <v> </v>
      </c>
      <c r="Q137" s="17" t="str">
        <f aca="false">IF((E137="o"),H137," ")</f>
        <v> </v>
      </c>
      <c r="R137" s="17" t="str">
        <f aca="false">IF((E137="d"),H137," ")</f>
        <v> </v>
      </c>
      <c r="S137" s="17" t="str">
        <f aca="false">IF((E137="w"),H137," ")</f>
        <v> </v>
      </c>
      <c r="T137" s="17" t="str">
        <f aca="false">IF((E137="r"),H137," ")</f>
        <v> </v>
      </c>
      <c r="U137" s="17" t="str">
        <f aca="false">IF((E137="p"),H137," ")</f>
        <v> </v>
      </c>
      <c r="V137" s="17" t="str">
        <f aca="false">IF((E137="t"),H137," ")</f>
        <v> </v>
      </c>
      <c r="W137" s="17" t="str">
        <f aca="false">IF((E137="q"),H137," ")</f>
        <v> </v>
      </c>
      <c r="X137" s="17" t="str">
        <f aca="false">IF((E137="m"),H137," ")</f>
        <v> </v>
      </c>
      <c r="Y137" s="17" t="str">
        <f aca="false">IF((E137="u"),H137," ")</f>
        <v> </v>
      </c>
      <c r="Z137" s="17" t="str">
        <f aca="false">IF((E137="a"),H137," ")</f>
        <v> </v>
      </c>
      <c r="AA137" s="17" t="str">
        <f aca="false">IF((E137="g"),H137," ")</f>
        <v> </v>
      </c>
      <c r="AB137" s="17" t="str">
        <f aca="false">IF((E137="h"),H137," ")</f>
        <v> </v>
      </c>
      <c r="AC137" s="30" t="str">
        <f aca="false">IF((E137="v"),H137," ")</f>
        <v> </v>
      </c>
      <c r="AD137" s="30" t="str">
        <f aca="false">IF((E137="n"),H137," ")</f>
        <v> </v>
      </c>
      <c r="AE137" s="17" t="str">
        <f aca="false">IF((E137="f"),H137," ")</f>
        <v> </v>
      </c>
      <c r="AF137" s="17" t="str">
        <f aca="false">IF((E137="l"),H137," ")</f>
        <v> </v>
      </c>
      <c r="AG137" s="17" t="str">
        <f aca="false">IF((E137="y"),H137," ")</f>
        <v> </v>
      </c>
      <c r="AH137" s="17" t="str">
        <f aca="false">IF((E137="z"),H137," ")</f>
        <v> </v>
      </c>
      <c r="AI137" s="17" t="str">
        <f aca="false">IF((E137="fa"),H137," ")</f>
        <v> </v>
      </c>
      <c r="AJ137" s="17" t="str">
        <f aca="false">IF((E137="e"),H137," ")</f>
        <v> </v>
      </c>
    </row>
    <row r="138" customFormat="false" ht="12" hidden="false" customHeight="false" outlineLevel="0" collapsed="false">
      <c r="A138" s="28"/>
      <c r="E138" s="2" t="str">
        <f aca="false">IF((F138&lt;&gt;0),"Enter Letter"," ")</f>
        <v> </v>
      </c>
      <c r="F138" s="30"/>
      <c r="G138" s="6" t="str">
        <f aca="false">IF(F138&lt;&gt;0,F138*G$2/(100+G$2)," ")</f>
        <v> </v>
      </c>
      <c r="H138" s="6" t="str">
        <f aca="false">IF((F138&lt;&gt;0),F138-G138," ")</f>
        <v> </v>
      </c>
      <c r="I138" s="5"/>
      <c r="L138" s="7" t="str">
        <f aca="false">IF(F138&lt;&gt;0,F138-K138," ")</f>
        <v> </v>
      </c>
      <c r="M138" s="8" t="str">
        <f aca="false">IF((F138-K138)&lt;&gt;0,M$1-A138," ")</f>
        <v> </v>
      </c>
      <c r="N138" s="5"/>
      <c r="O138" s="17" t="str">
        <f aca="false">IF((E138="s"),H138," ")</f>
        <v> </v>
      </c>
      <c r="P138" s="17" t="str">
        <f aca="false">IF((E138="c"),H138," ")</f>
        <v> </v>
      </c>
      <c r="Q138" s="17" t="str">
        <f aca="false">IF((E138="o"),H138," ")</f>
        <v> </v>
      </c>
      <c r="R138" s="17" t="str">
        <f aca="false">IF((E138="d"),H138," ")</f>
        <v> </v>
      </c>
      <c r="S138" s="17" t="str">
        <f aca="false">IF((E138="w"),H138," ")</f>
        <v> </v>
      </c>
      <c r="T138" s="17" t="str">
        <f aca="false">IF((E138="r"),H138," ")</f>
        <v> </v>
      </c>
      <c r="U138" s="17" t="str">
        <f aca="false">IF((E138="p"),H138," ")</f>
        <v> </v>
      </c>
      <c r="V138" s="17" t="str">
        <f aca="false">IF((E138="t"),H138," ")</f>
        <v> </v>
      </c>
      <c r="W138" s="17" t="str">
        <f aca="false">IF((E138="q"),H138," ")</f>
        <v> </v>
      </c>
      <c r="X138" s="17" t="str">
        <f aca="false">IF((E138="m"),H138," ")</f>
        <v> </v>
      </c>
      <c r="Y138" s="17" t="str">
        <f aca="false">IF((E138="u"),H138," ")</f>
        <v> </v>
      </c>
      <c r="Z138" s="17" t="str">
        <f aca="false">IF((E138="a"),H138," ")</f>
        <v> </v>
      </c>
      <c r="AA138" s="17" t="str">
        <f aca="false">IF((E138="g"),H138," ")</f>
        <v> </v>
      </c>
      <c r="AB138" s="17" t="str">
        <f aca="false">IF((E138="h"),H138," ")</f>
        <v> </v>
      </c>
      <c r="AC138" s="30" t="str">
        <f aca="false">IF((E138="v"),H138," ")</f>
        <v> </v>
      </c>
      <c r="AD138" s="30" t="str">
        <f aca="false">IF((E138="n"),H138," ")</f>
        <v> </v>
      </c>
      <c r="AE138" s="17" t="str">
        <f aca="false">IF((E138="f"),H138," ")</f>
        <v> </v>
      </c>
      <c r="AF138" s="17" t="str">
        <f aca="false">IF((E138="l"),H138," ")</f>
        <v> </v>
      </c>
      <c r="AG138" s="17" t="str">
        <f aca="false">IF((E138="y"),H138," ")</f>
        <v> </v>
      </c>
      <c r="AH138" s="17" t="str">
        <f aca="false">IF((E138="z"),H138," ")</f>
        <v> </v>
      </c>
      <c r="AI138" s="17" t="str">
        <f aca="false">IF((E138="fa"),H138," ")</f>
        <v> </v>
      </c>
      <c r="AJ138" s="17" t="str">
        <f aca="false">IF((E138="e"),H138," ")</f>
        <v> </v>
      </c>
    </row>
    <row r="139" customFormat="false" ht="12" hidden="false" customHeight="false" outlineLevel="0" collapsed="false">
      <c r="A139" s="28"/>
      <c r="E139" s="2" t="str">
        <f aca="false">IF((F139&lt;&gt;0),"Enter Letter"," ")</f>
        <v> </v>
      </c>
      <c r="F139" s="30"/>
      <c r="G139" s="6" t="str">
        <f aca="false">IF(F139&lt;&gt;0,F139*G$2/(100+G$2)," ")</f>
        <v> </v>
      </c>
      <c r="H139" s="6" t="str">
        <f aca="false">IF((F139&lt;&gt;0),F139-G139," ")</f>
        <v> </v>
      </c>
      <c r="I139" s="5"/>
      <c r="L139" s="7" t="str">
        <f aca="false">IF(F139&lt;&gt;0,F139-K139," ")</f>
        <v> </v>
      </c>
      <c r="M139" s="8" t="str">
        <f aca="false">IF((F139-K139)&lt;&gt;0,M$1-A139," ")</f>
        <v> </v>
      </c>
      <c r="N139" s="5"/>
      <c r="O139" s="17" t="str">
        <f aca="false">IF((E139="s"),H139," ")</f>
        <v> </v>
      </c>
      <c r="P139" s="17" t="str">
        <f aca="false">IF((E139="c"),H139," ")</f>
        <v> </v>
      </c>
      <c r="Q139" s="17" t="str">
        <f aca="false">IF((E139="o"),H139," ")</f>
        <v> </v>
      </c>
      <c r="R139" s="17" t="str">
        <f aca="false">IF((E139="d"),H139," ")</f>
        <v> </v>
      </c>
      <c r="S139" s="17" t="str">
        <f aca="false">IF((E139="w"),H139," ")</f>
        <v> </v>
      </c>
      <c r="T139" s="17" t="str">
        <f aca="false">IF((E139="r"),H139," ")</f>
        <v> </v>
      </c>
      <c r="U139" s="17" t="str">
        <f aca="false">IF((E139="p"),H139," ")</f>
        <v> </v>
      </c>
      <c r="V139" s="17" t="str">
        <f aca="false">IF((E139="t"),H139," ")</f>
        <v> </v>
      </c>
      <c r="W139" s="17" t="str">
        <f aca="false">IF((E139="q"),H139," ")</f>
        <v> </v>
      </c>
      <c r="X139" s="17" t="str">
        <f aca="false">IF((E139="m"),H139," ")</f>
        <v> </v>
      </c>
      <c r="Y139" s="17" t="str">
        <f aca="false">IF((E139="u"),H139," ")</f>
        <v> </v>
      </c>
      <c r="Z139" s="17" t="str">
        <f aca="false">IF((E139="a"),H139," ")</f>
        <v> </v>
      </c>
      <c r="AA139" s="17" t="str">
        <f aca="false">IF((E139="g"),H139," ")</f>
        <v> </v>
      </c>
      <c r="AB139" s="17" t="str">
        <f aca="false">IF((E139="h"),H139," ")</f>
        <v> </v>
      </c>
      <c r="AC139" s="30" t="str">
        <f aca="false">IF((E139="v"),H139," ")</f>
        <v> </v>
      </c>
      <c r="AD139" s="30" t="str">
        <f aca="false">IF((E139="n"),H139," ")</f>
        <v> </v>
      </c>
      <c r="AE139" s="17" t="str">
        <f aca="false">IF((E139="f"),H139," ")</f>
        <v> </v>
      </c>
      <c r="AF139" s="17" t="str">
        <f aca="false">IF((E139="l"),H139," ")</f>
        <v> </v>
      </c>
      <c r="AG139" s="17" t="str">
        <f aca="false">IF((E139="y"),H139," ")</f>
        <v> </v>
      </c>
      <c r="AH139" s="17" t="str">
        <f aca="false">IF((E139="z"),H139," ")</f>
        <v> </v>
      </c>
      <c r="AI139" s="17" t="str">
        <f aca="false">IF((E139="fa"),H139," ")</f>
        <v> </v>
      </c>
      <c r="AJ139" s="17" t="str">
        <f aca="false">IF((E139="e"),H139," ")</f>
        <v> </v>
      </c>
    </row>
    <row r="140" customFormat="false" ht="12" hidden="false" customHeight="false" outlineLevel="0" collapsed="false">
      <c r="A140" s="28"/>
      <c r="E140" s="2" t="str">
        <f aca="false">IF((F140&lt;&gt;0),"Enter Letter"," ")</f>
        <v> </v>
      </c>
      <c r="F140" s="30"/>
      <c r="G140" s="6" t="str">
        <f aca="false">IF(F140&lt;&gt;0,F140*G$2/(100+G$2)," ")</f>
        <v> </v>
      </c>
      <c r="H140" s="6" t="str">
        <f aca="false">IF((F140&lt;&gt;0),F140-G140," ")</f>
        <v> </v>
      </c>
      <c r="I140" s="5"/>
      <c r="L140" s="7" t="str">
        <f aca="false">IF(F140&lt;&gt;0,F140-K140," ")</f>
        <v> </v>
      </c>
      <c r="M140" s="8" t="str">
        <f aca="false">IF((F140-K140)&lt;&gt;0,M$1-A140," ")</f>
        <v> </v>
      </c>
      <c r="N140" s="5"/>
      <c r="O140" s="17" t="str">
        <f aca="false">IF((E140="s"),H140," ")</f>
        <v> </v>
      </c>
      <c r="P140" s="17" t="str">
        <f aca="false">IF((E140="c"),H140," ")</f>
        <v> </v>
      </c>
      <c r="Q140" s="17" t="str">
        <f aca="false">IF((E140="o"),H140," ")</f>
        <v> </v>
      </c>
      <c r="R140" s="17" t="str">
        <f aca="false">IF((E140="d"),H140," ")</f>
        <v> </v>
      </c>
      <c r="S140" s="17" t="str">
        <f aca="false">IF((E140="w"),H140," ")</f>
        <v> </v>
      </c>
      <c r="T140" s="17" t="str">
        <f aca="false">IF((E140="r"),H140," ")</f>
        <v> </v>
      </c>
      <c r="U140" s="17" t="str">
        <f aca="false">IF((E140="p"),H140," ")</f>
        <v> </v>
      </c>
      <c r="V140" s="17" t="str">
        <f aca="false">IF((E140="t"),H140," ")</f>
        <v> </v>
      </c>
      <c r="W140" s="17" t="str">
        <f aca="false">IF((E140="q"),H140," ")</f>
        <v> </v>
      </c>
      <c r="X140" s="17" t="str">
        <f aca="false">IF((E140="m"),H140," ")</f>
        <v> </v>
      </c>
      <c r="Y140" s="17" t="str">
        <f aca="false">IF((E140="u"),H140," ")</f>
        <v> </v>
      </c>
      <c r="Z140" s="17" t="str">
        <f aca="false">IF((E140="a"),H140," ")</f>
        <v> </v>
      </c>
      <c r="AA140" s="17" t="str">
        <f aca="false">IF((E140="g"),H140," ")</f>
        <v> </v>
      </c>
      <c r="AB140" s="17" t="str">
        <f aca="false">IF((E140="h"),H140," ")</f>
        <v> </v>
      </c>
      <c r="AC140" s="30" t="str">
        <f aca="false">IF((E140="v"),H140," ")</f>
        <v> </v>
      </c>
      <c r="AD140" s="30" t="str">
        <f aca="false">IF((E140="n"),H140," ")</f>
        <v> </v>
      </c>
      <c r="AE140" s="17" t="str">
        <f aca="false">IF((E140="f"),H140," ")</f>
        <v> </v>
      </c>
      <c r="AF140" s="17" t="str">
        <f aca="false">IF((E140="l"),H140," ")</f>
        <v> </v>
      </c>
      <c r="AG140" s="17" t="str">
        <f aca="false">IF((E140="y"),H140," ")</f>
        <v> </v>
      </c>
      <c r="AH140" s="17" t="str">
        <f aca="false">IF((E140="z"),H140," ")</f>
        <v> </v>
      </c>
      <c r="AI140" s="17" t="str">
        <f aca="false">IF((E140="fa"),H140," ")</f>
        <v> </v>
      </c>
      <c r="AJ140" s="17" t="str">
        <f aca="false">IF((E140="e"),H140," ")</f>
        <v> </v>
      </c>
    </row>
    <row r="141" customFormat="false" ht="12" hidden="false" customHeight="false" outlineLevel="0" collapsed="false">
      <c r="A141" s="28"/>
      <c r="E141" s="2" t="str">
        <f aca="false">IF((F141&lt;&gt;0),"Enter Letter"," ")</f>
        <v> </v>
      </c>
      <c r="F141" s="30"/>
      <c r="G141" s="6" t="str">
        <f aca="false">IF(F141&lt;&gt;0,F141*G$2/(100+G$2)," ")</f>
        <v> </v>
      </c>
      <c r="H141" s="6" t="str">
        <f aca="false">IF((F141&lt;&gt;0),F141-G141," ")</f>
        <v> </v>
      </c>
      <c r="I141" s="5"/>
      <c r="L141" s="7" t="str">
        <f aca="false">IF(F141&lt;&gt;0,F141-K141," ")</f>
        <v> </v>
      </c>
      <c r="M141" s="8" t="str">
        <f aca="false">IF((F141-K141)&lt;&gt;0,M$1-A141," ")</f>
        <v> </v>
      </c>
      <c r="N141" s="5"/>
      <c r="O141" s="17" t="str">
        <f aca="false">IF((E141="s"),H141," ")</f>
        <v> </v>
      </c>
      <c r="P141" s="17" t="str">
        <f aca="false">IF((E141="c"),H141," ")</f>
        <v> </v>
      </c>
      <c r="Q141" s="17" t="str">
        <f aca="false">IF((E141="o"),H141," ")</f>
        <v> </v>
      </c>
      <c r="R141" s="17" t="str">
        <f aca="false">IF((E141="d"),H141," ")</f>
        <v> </v>
      </c>
      <c r="S141" s="17" t="str">
        <f aca="false">IF((E141="w"),H141," ")</f>
        <v> </v>
      </c>
      <c r="T141" s="17" t="str">
        <f aca="false">IF((E141="r"),H141," ")</f>
        <v> </v>
      </c>
      <c r="U141" s="17" t="str">
        <f aca="false">IF((E141="p"),H141," ")</f>
        <v> </v>
      </c>
      <c r="V141" s="17" t="str">
        <f aca="false">IF((E141="t"),H141," ")</f>
        <v> </v>
      </c>
      <c r="W141" s="17" t="str">
        <f aca="false">IF((E141="q"),H141," ")</f>
        <v> </v>
      </c>
      <c r="X141" s="17" t="str">
        <f aca="false">IF((E141="m"),H141," ")</f>
        <v> </v>
      </c>
      <c r="Y141" s="17" t="str">
        <f aca="false">IF((E141="u"),H141," ")</f>
        <v> </v>
      </c>
      <c r="Z141" s="17" t="str">
        <f aca="false">IF((E141="a"),H141," ")</f>
        <v> </v>
      </c>
      <c r="AA141" s="17" t="str">
        <f aca="false">IF((E141="g"),H141," ")</f>
        <v> </v>
      </c>
      <c r="AB141" s="17" t="str">
        <f aca="false">IF((E141="h"),H141," ")</f>
        <v> </v>
      </c>
      <c r="AC141" s="30" t="str">
        <f aca="false">IF((E141="v"),H141," ")</f>
        <v> </v>
      </c>
      <c r="AD141" s="30" t="str">
        <f aca="false">IF((E141="n"),H141," ")</f>
        <v> </v>
      </c>
      <c r="AE141" s="17" t="str">
        <f aca="false">IF((E141="f"),H141," ")</f>
        <v> </v>
      </c>
      <c r="AF141" s="17" t="str">
        <f aca="false">IF((E141="l"),H141," ")</f>
        <v> </v>
      </c>
      <c r="AG141" s="17" t="str">
        <f aca="false">IF((E141="y"),H141," ")</f>
        <v> </v>
      </c>
      <c r="AH141" s="17" t="str">
        <f aca="false">IF((E141="z"),H141," ")</f>
        <v> </v>
      </c>
      <c r="AI141" s="17" t="str">
        <f aca="false">IF((E141="fa"),H141," ")</f>
        <v> </v>
      </c>
      <c r="AJ141" s="17" t="str">
        <f aca="false">IF((E141="e"),H141," ")</f>
        <v> </v>
      </c>
    </row>
    <row r="142" customFormat="false" ht="12" hidden="false" customHeight="false" outlineLevel="0" collapsed="false">
      <c r="A142" s="28"/>
      <c r="E142" s="2" t="str">
        <f aca="false">IF((F142&lt;&gt;0),"Enter Letter"," ")</f>
        <v> </v>
      </c>
      <c r="F142" s="30"/>
      <c r="G142" s="6" t="str">
        <f aca="false">IF(F142&lt;&gt;0,F142*G$2/(100+G$2)," ")</f>
        <v> </v>
      </c>
      <c r="H142" s="6" t="str">
        <f aca="false">IF((F142&lt;&gt;0),F142-G142," ")</f>
        <v> </v>
      </c>
      <c r="I142" s="5"/>
      <c r="L142" s="7" t="str">
        <f aca="false">IF(F142&lt;&gt;0,F142-K142," ")</f>
        <v> </v>
      </c>
      <c r="M142" s="8" t="str">
        <f aca="false">IF((F142-K142)&lt;&gt;0,M$1-A142," ")</f>
        <v> </v>
      </c>
      <c r="N142" s="5"/>
      <c r="O142" s="17" t="str">
        <f aca="false">IF((E142="s"),H142," ")</f>
        <v> </v>
      </c>
      <c r="P142" s="17" t="str">
        <f aca="false">IF((E142="c"),H142," ")</f>
        <v> </v>
      </c>
      <c r="Q142" s="17" t="str">
        <f aca="false">IF((E142="o"),H142," ")</f>
        <v> </v>
      </c>
      <c r="R142" s="17" t="str">
        <f aca="false">IF((E142="d"),H142," ")</f>
        <v> </v>
      </c>
      <c r="S142" s="17" t="str">
        <f aca="false">IF((E142="w"),H142," ")</f>
        <v> </v>
      </c>
      <c r="T142" s="17" t="str">
        <f aca="false">IF((E142="r"),H142," ")</f>
        <v> </v>
      </c>
      <c r="U142" s="17" t="str">
        <f aca="false">IF((E142="p"),H142," ")</f>
        <v> </v>
      </c>
      <c r="V142" s="17" t="str">
        <f aca="false">IF((E142="t"),H142," ")</f>
        <v> </v>
      </c>
      <c r="W142" s="17" t="str">
        <f aca="false">IF((E142="q"),H142," ")</f>
        <v> </v>
      </c>
      <c r="X142" s="17" t="str">
        <f aca="false">IF((E142="m"),H142," ")</f>
        <v> </v>
      </c>
      <c r="Y142" s="17" t="str">
        <f aca="false">IF((E142="u"),H142," ")</f>
        <v> </v>
      </c>
      <c r="Z142" s="17" t="str">
        <f aca="false">IF((E142="a"),H142," ")</f>
        <v> </v>
      </c>
      <c r="AA142" s="17" t="str">
        <f aca="false">IF((E142="g"),H142," ")</f>
        <v> </v>
      </c>
      <c r="AB142" s="17" t="str">
        <f aca="false">IF((E142="h"),H142," ")</f>
        <v> </v>
      </c>
      <c r="AC142" s="30" t="str">
        <f aca="false">IF((E142="v"),H142," ")</f>
        <v> </v>
      </c>
      <c r="AD142" s="30" t="str">
        <f aca="false">IF((E142="n"),H142," ")</f>
        <v> </v>
      </c>
      <c r="AE142" s="17" t="str">
        <f aca="false">IF((E142="f"),H142," ")</f>
        <v> </v>
      </c>
      <c r="AF142" s="17" t="str">
        <f aca="false">IF((E142="l"),H142," ")</f>
        <v> </v>
      </c>
      <c r="AG142" s="17" t="str">
        <f aca="false">IF((E142="y"),H142," ")</f>
        <v> </v>
      </c>
      <c r="AH142" s="17" t="str">
        <f aca="false">IF((E142="z"),H142," ")</f>
        <v> </v>
      </c>
      <c r="AI142" s="17" t="str">
        <f aca="false">IF((E142="fa"),H142," ")</f>
        <v> </v>
      </c>
      <c r="AJ142" s="17" t="str">
        <f aca="false">IF((E142="e"),H142," ")</f>
        <v> </v>
      </c>
    </row>
    <row r="143" customFormat="false" ht="12" hidden="false" customHeight="false" outlineLevel="0" collapsed="false">
      <c r="A143" s="28"/>
      <c r="E143" s="2" t="str">
        <f aca="false">IF((F143&lt;&gt;0),"Enter Letter"," ")</f>
        <v> </v>
      </c>
      <c r="F143" s="30"/>
      <c r="G143" s="6" t="str">
        <f aca="false">IF(F143&lt;&gt;0,F143*G$2/(100+G$2)," ")</f>
        <v> </v>
      </c>
      <c r="H143" s="6" t="str">
        <f aca="false">IF((F143&lt;&gt;0),F143-G143," ")</f>
        <v> </v>
      </c>
      <c r="I143" s="5"/>
      <c r="L143" s="7" t="str">
        <f aca="false">IF(F143&lt;&gt;0,F143-K143," ")</f>
        <v> </v>
      </c>
      <c r="M143" s="8" t="str">
        <f aca="false">IF((F143-K143)&lt;&gt;0,M$1-A143," ")</f>
        <v> </v>
      </c>
      <c r="N143" s="5"/>
      <c r="O143" s="17" t="str">
        <f aca="false">IF((E143="s"),H143," ")</f>
        <v> </v>
      </c>
      <c r="P143" s="17" t="str">
        <f aca="false">IF((E143="c"),H143," ")</f>
        <v> </v>
      </c>
      <c r="Q143" s="17" t="str">
        <f aca="false">IF((E143="o"),H143," ")</f>
        <v> </v>
      </c>
      <c r="R143" s="17" t="str">
        <f aca="false">IF((E143="d"),H143," ")</f>
        <v> </v>
      </c>
      <c r="S143" s="17" t="str">
        <f aca="false">IF((E143="w"),H143," ")</f>
        <v> </v>
      </c>
      <c r="T143" s="17" t="str">
        <f aca="false">IF((E143="r"),H143," ")</f>
        <v> </v>
      </c>
      <c r="U143" s="17" t="str">
        <f aca="false">IF((E143="p"),H143," ")</f>
        <v> </v>
      </c>
      <c r="V143" s="17" t="str">
        <f aca="false">IF((E143="t"),H143," ")</f>
        <v> </v>
      </c>
      <c r="W143" s="17" t="str">
        <f aca="false">IF((E143="q"),H143," ")</f>
        <v> </v>
      </c>
      <c r="X143" s="17" t="str">
        <f aca="false">IF((E143="m"),H143," ")</f>
        <v> </v>
      </c>
      <c r="Y143" s="17" t="str">
        <f aca="false">IF((E143="u"),H143," ")</f>
        <v> </v>
      </c>
      <c r="Z143" s="17" t="str">
        <f aca="false">IF((E143="a"),H143," ")</f>
        <v> </v>
      </c>
      <c r="AA143" s="17" t="str">
        <f aca="false">IF((E143="g"),H143," ")</f>
        <v> </v>
      </c>
      <c r="AB143" s="17" t="str">
        <f aca="false">IF((E143="h"),H143," ")</f>
        <v> </v>
      </c>
      <c r="AC143" s="30" t="str">
        <f aca="false">IF((E143="v"),H143," ")</f>
        <v> </v>
      </c>
      <c r="AD143" s="30" t="str">
        <f aca="false">IF((E143="n"),H143," ")</f>
        <v> </v>
      </c>
      <c r="AE143" s="17" t="str">
        <f aca="false">IF((E143="f"),H143," ")</f>
        <v> </v>
      </c>
      <c r="AF143" s="17" t="str">
        <f aca="false">IF((E143="l"),H143," ")</f>
        <v> </v>
      </c>
      <c r="AG143" s="17" t="str">
        <f aca="false">IF((E143="y"),H143," ")</f>
        <v> </v>
      </c>
      <c r="AH143" s="17" t="str">
        <f aca="false">IF((E143="z"),H143," ")</f>
        <v> </v>
      </c>
      <c r="AI143" s="17" t="str">
        <f aca="false">IF((E143="fa"),H143," ")</f>
        <v> </v>
      </c>
      <c r="AJ143" s="17" t="str">
        <f aca="false">IF((E143="e"),H143," ")</f>
        <v> </v>
      </c>
    </row>
    <row r="144" customFormat="false" ht="12" hidden="false" customHeight="false" outlineLevel="0" collapsed="false">
      <c r="A144" s="28"/>
      <c r="E144" s="2" t="str">
        <f aca="false">IF((F144&lt;&gt;0),"Enter Letter"," ")</f>
        <v> </v>
      </c>
      <c r="F144" s="30"/>
      <c r="G144" s="6" t="str">
        <f aca="false">IF(F144&lt;&gt;0,F144*G$2/(100+G$2)," ")</f>
        <v> </v>
      </c>
      <c r="H144" s="6" t="str">
        <f aca="false">IF((F144&lt;&gt;0),F144-G144," ")</f>
        <v> </v>
      </c>
      <c r="I144" s="5"/>
      <c r="L144" s="7" t="str">
        <f aca="false">IF(F144&lt;&gt;0,F144-K144," ")</f>
        <v> </v>
      </c>
      <c r="M144" s="8" t="str">
        <f aca="false">IF((F144-K144)&lt;&gt;0,M$1-A144," ")</f>
        <v> </v>
      </c>
      <c r="N144" s="5"/>
      <c r="O144" s="17" t="str">
        <f aca="false">IF((E144="s"),H144," ")</f>
        <v> </v>
      </c>
      <c r="P144" s="17" t="str">
        <f aca="false">IF((E144="c"),H144," ")</f>
        <v> </v>
      </c>
      <c r="Q144" s="17" t="str">
        <f aca="false">IF((E144="o"),H144," ")</f>
        <v> </v>
      </c>
      <c r="R144" s="17" t="str">
        <f aca="false">IF((E144="d"),H144," ")</f>
        <v> </v>
      </c>
      <c r="S144" s="17" t="str">
        <f aca="false">IF((E144="w"),H144," ")</f>
        <v> </v>
      </c>
      <c r="T144" s="17" t="str">
        <f aca="false">IF((E144="r"),H144," ")</f>
        <v> </v>
      </c>
      <c r="U144" s="17" t="str">
        <f aca="false">IF((E144="p"),H144," ")</f>
        <v> </v>
      </c>
      <c r="V144" s="17" t="str">
        <f aca="false">IF((E144="t"),H144," ")</f>
        <v> </v>
      </c>
      <c r="W144" s="17" t="str">
        <f aca="false">IF((E144="q"),H144," ")</f>
        <v> </v>
      </c>
      <c r="X144" s="17" t="str">
        <f aca="false">IF((E144="m"),H144," ")</f>
        <v> </v>
      </c>
      <c r="Y144" s="17" t="str">
        <f aca="false">IF((E144="u"),H144," ")</f>
        <v> </v>
      </c>
      <c r="Z144" s="17" t="str">
        <f aca="false">IF((E144="a"),H144," ")</f>
        <v> </v>
      </c>
      <c r="AA144" s="17" t="str">
        <f aca="false">IF((E144="g"),H144," ")</f>
        <v> </v>
      </c>
      <c r="AB144" s="17" t="str">
        <f aca="false">IF((E144="h"),H144," ")</f>
        <v> </v>
      </c>
      <c r="AC144" s="30" t="str">
        <f aca="false">IF((E144="v"),H144," ")</f>
        <v> </v>
      </c>
      <c r="AD144" s="30" t="str">
        <f aca="false">IF((E144="n"),H144," ")</f>
        <v> </v>
      </c>
      <c r="AE144" s="17" t="str">
        <f aca="false">IF((E144="f"),H144," ")</f>
        <v> </v>
      </c>
      <c r="AF144" s="17" t="str">
        <f aca="false">IF((E144="l"),H144," ")</f>
        <v> </v>
      </c>
      <c r="AG144" s="17" t="str">
        <f aca="false">IF((E144="y"),H144," ")</f>
        <v> </v>
      </c>
      <c r="AH144" s="17" t="str">
        <f aca="false">IF((E144="z"),H144," ")</f>
        <v> </v>
      </c>
      <c r="AI144" s="17" t="str">
        <f aca="false">IF((E144="fa"),H144," ")</f>
        <v> </v>
      </c>
      <c r="AJ144" s="17" t="str">
        <f aca="false">IF((E144="e"),H144," ")</f>
        <v> </v>
      </c>
    </row>
    <row r="145" customFormat="false" ht="12" hidden="false" customHeight="false" outlineLevel="0" collapsed="false">
      <c r="A145" s="28"/>
      <c r="E145" s="2" t="str">
        <f aca="false">IF((F145&lt;&gt;0),"Enter Letter"," ")</f>
        <v> </v>
      </c>
      <c r="F145" s="30"/>
      <c r="G145" s="6" t="str">
        <f aca="false">IF(F145&lt;&gt;0,F145*G$2/(100+G$2)," ")</f>
        <v> </v>
      </c>
      <c r="H145" s="6" t="str">
        <f aca="false">IF((F145&lt;&gt;0),F145-G145," ")</f>
        <v> </v>
      </c>
      <c r="I145" s="5"/>
      <c r="L145" s="7" t="str">
        <f aca="false">IF(F145&lt;&gt;0,F145-K145," ")</f>
        <v> </v>
      </c>
      <c r="M145" s="8" t="str">
        <f aca="false">IF((F145-K145)&lt;&gt;0,M$1-A145," ")</f>
        <v> </v>
      </c>
      <c r="N145" s="5"/>
      <c r="O145" s="17" t="str">
        <f aca="false">IF((E145="s"),H145," ")</f>
        <v> </v>
      </c>
      <c r="P145" s="17" t="str">
        <f aca="false">IF((E145="c"),H145," ")</f>
        <v> </v>
      </c>
      <c r="Q145" s="17" t="str">
        <f aca="false">IF((E145="o"),H145," ")</f>
        <v> </v>
      </c>
      <c r="R145" s="17" t="str">
        <f aca="false">IF((E145="d"),H145," ")</f>
        <v> </v>
      </c>
      <c r="S145" s="17" t="str">
        <f aca="false">IF((E145="w"),H145," ")</f>
        <v> </v>
      </c>
      <c r="T145" s="17" t="str">
        <f aca="false">IF((E145="r"),H145," ")</f>
        <v> </v>
      </c>
      <c r="U145" s="17" t="str">
        <f aca="false">IF((E145="p"),H145," ")</f>
        <v> </v>
      </c>
      <c r="V145" s="17" t="str">
        <f aca="false">IF((E145="t"),H145," ")</f>
        <v> </v>
      </c>
      <c r="W145" s="17" t="str">
        <f aca="false">IF((E145="q"),H145," ")</f>
        <v> </v>
      </c>
      <c r="X145" s="17" t="str">
        <f aca="false">IF((E145="m"),H145," ")</f>
        <v> </v>
      </c>
      <c r="Y145" s="17" t="str">
        <f aca="false">IF((E145="u"),H145," ")</f>
        <v> </v>
      </c>
      <c r="Z145" s="17" t="str">
        <f aca="false">IF((E145="a"),H145," ")</f>
        <v> </v>
      </c>
      <c r="AA145" s="17" t="str">
        <f aca="false">IF((E145="g"),H145," ")</f>
        <v> </v>
      </c>
      <c r="AB145" s="17" t="str">
        <f aca="false">IF((E145="h"),H145," ")</f>
        <v> </v>
      </c>
      <c r="AC145" s="30" t="str">
        <f aca="false">IF((E145="v"),H145," ")</f>
        <v> </v>
      </c>
      <c r="AD145" s="30" t="str">
        <f aca="false">IF((E145="n"),H145," ")</f>
        <v> </v>
      </c>
      <c r="AE145" s="17" t="str">
        <f aca="false">IF((E145="f"),H145," ")</f>
        <v> </v>
      </c>
      <c r="AF145" s="17" t="str">
        <f aca="false">IF((E145="l"),H145," ")</f>
        <v> </v>
      </c>
      <c r="AG145" s="17" t="str">
        <f aca="false">IF((E145="y"),H145," ")</f>
        <v> </v>
      </c>
      <c r="AH145" s="17" t="str">
        <f aca="false">IF((E145="z"),H145," ")</f>
        <v> </v>
      </c>
      <c r="AI145" s="17" t="str">
        <f aca="false">IF((E145="fa"),H145," ")</f>
        <v> </v>
      </c>
      <c r="AJ145" s="17" t="str">
        <f aca="false">IF((E145="e"),H145," ")</f>
        <v> </v>
      </c>
    </row>
    <row r="146" customFormat="false" ht="12" hidden="false" customHeight="false" outlineLevel="0" collapsed="false">
      <c r="A146" s="28"/>
      <c r="E146" s="2" t="str">
        <f aca="false">IF((F146&lt;&gt;0),"Enter Letter"," ")</f>
        <v> </v>
      </c>
      <c r="F146" s="30"/>
      <c r="G146" s="6" t="str">
        <f aca="false">IF(F146&lt;&gt;0,F146*G$2/(100+G$2)," ")</f>
        <v> </v>
      </c>
      <c r="H146" s="6" t="str">
        <f aca="false">IF((F146&lt;&gt;0),F146-G146," ")</f>
        <v> </v>
      </c>
      <c r="I146" s="5"/>
      <c r="L146" s="7" t="str">
        <f aca="false">IF(F146&lt;&gt;0,F146-K146," ")</f>
        <v> </v>
      </c>
      <c r="M146" s="8" t="str">
        <f aca="false">IF((F146-K146)&lt;&gt;0,M$1-A146," ")</f>
        <v> </v>
      </c>
      <c r="N146" s="5"/>
      <c r="O146" s="17" t="str">
        <f aca="false">IF((E146="s"),H146," ")</f>
        <v> </v>
      </c>
      <c r="P146" s="17" t="str">
        <f aca="false">IF((E146="c"),H146," ")</f>
        <v> </v>
      </c>
      <c r="Q146" s="17" t="str">
        <f aca="false">IF((E146="o"),H146," ")</f>
        <v> </v>
      </c>
      <c r="R146" s="17" t="str">
        <f aca="false">IF((E146="d"),H146," ")</f>
        <v> </v>
      </c>
      <c r="S146" s="17" t="str">
        <f aca="false">IF((E146="w"),H146," ")</f>
        <v> </v>
      </c>
      <c r="T146" s="17" t="str">
        <f aca="false">IF((E146="r"),H146," ")</f>
        <v> </v>
      </c>
      <c r="U146" s="17" t="str">
        <f aca="false">IF((E146="p"),H146," ")</f>
        <v> </v>
      </c>
      <c r="V146" s="17" t="str">
        <f aca="false">IF((E146="t"),H146," ")</f>
        <v> </v>
      </c>
      <c r="W146" s="17" t="str">
        <f aca="false">IF((E146="q"),H146," ")</f>
        <v> </v>
      </c>
      <c r="X146" s="17" t="str">
        <f aca="false">IF((E146="m"),H146," ")</f>
        <v> </v>
      </c>
      <c r="Y146" s="17" t="str">
        <f aca="false">IF((E146="u"),H146," ")</f>
        <v> </v>
      </c>
      <c r="Z146" s="17" t="str">
        <f aca="false">IF((E146="a"),H146," ")</f>
        <v> </v>
      </c>
      <c r="AA146" s="17" t="str">
        <f aca="false">IF((E146="g"),H146," ")</f>
        <v> </v>
      </c>
      <c r="AB146" s="17" t="str">
        <f aca="false">IF((E146="h"),H146," ")</f>
        <v> </v>
      </c>
      <c r="AC146" s="30" t="str">
        <f aca="false">IF((E146="v"),H146," ")</f>
        <v> </v>
      </c>
      <c r="AD146" s="30" t="str">
        <f aca="false">IF((E146="n"),H146," ")</f>
        <v> </v>
      </c>
      <c r="AE146" s="17" t="str">
        <f aca="false">IF((E146="f"),H146," ")</f>
        <v> </v>
      </c>
      <c r="AF146" s="17" t="str">
        <f aca="false">IF((E146="l"),H146," ")</f>
        <v> </v>
      </c>
      <c r="AG146" s="17" t="str">
        <f aca="false">IF((E146="y"),H146," ")</f>
        <v> </v>
      </c>
      <c r="AH146" s="17" t="str">
        <f aca="false">IF((E146="z"),H146," ")</f>
        <v> </v>
      </c>
      <c r="AI146" s="17" t="str">
        <f aca="false">IF((E146="fa"),H146," ")</f>
        <v> </v>
      </c>
      <c r="AJ146" s="17" t="str">
        <f aca="false">IF((E146="e"),H146," ")</f>
        <v> </v>
      </c>
    </row>
    <row r="147" customFormat="false" ht="12" hidden="false" customHeight="false" outlineLevel="0" collapsed="false">
      <c r="A147" s="28"/>
      <c r="E147" s="2" t="str">
        <f aca="false">IF((F147&lt;&gt;0),"Enter Letter"," ")</f>
        <v> </v>
      </c>
      <c r="F147" s="30"/>
      <c r="G147" s="6" t="str">
        <f aca="false">IF(F147&lt;&gt;0,F147*G$2/(100+G$2)," ")</f>
        <v> </v>
      </c>
      <c r="H147" s="6" t="str">
        <f aca="false">IF((F147&lt;&gt;0),F147-G147," ")</f>
        <v> </v>
      </c>
      <c r="I147" s="5"/>
      <c r="L147" s="7" t="str">
        <f aca="false">IF(F147&lt;&gt;0,F147-K147," ")</f>
        <v> </v>
      </c>
      <c r="M147" s="8" t="str">
        <f aca="false">IF((F147-K147)&lt;&gt;0,M$1-A147," ")</f>
        <v> </v>
      </c>
      <c r="N147" s="5"/>
      <c r="O147" s="17" t="str">
        <f aca="false">IF((E147="s"),H147," ")</f>
        <v> </v>
      </c>
      <c r="P147" s="17" t="str">
        <f aca="false">IF((E147="c"),H147," ")</f>
        <v> </v>
      </c>
      <c r="Q147" s="17" t="str">
        <f aca="false">IF((E147="o"),H147," ")</f>
        <v> </v>
      </c>
      <c r="R147" s="17" t="str">
        <f aca="false">IF((E147="d"),H147," ")</f>
        <v> </v>
      </c>
      <c r="S147" s="17" t="str">
        <f aca="false">IF((E147="w"),H147," ")</f>
        <v> </v>
      </c>
      <c r="T147" s="17" t="str">
        <f aca="false">IF((E147="r"),H147," ")</f>
        <v> </v>
      </c>
      <c r="U147" s="17" t="str">
        <f aca="false">IF((E147="p"),H147," ")</f>
        <v> </v>
      </c>
      <c r="V147" s="17" t="str">
        <f aca="false">IF((E147="t"),H147," ")</f>
        <v> </v>
      </c>
      <c r="W147" s="17" t="str">
        <f aca="false">IF((E147="q"),H147," ")</f>
        <v> </v>
      </c>
      <c r="X147" s="17" t="str">
        <f aca="false">IF((E147="m"),H147," ")</f>
        <v> </v>
      </c>
      <c r="Y147" s="17" t="str">
        <f aca="false">IF((E147="u"),H147," ")</f>
        <v> </v>
      </c>
      <c r="Z147" s="17" t="str">
        <f aca="false">IF((E147="a"),H147," ")</f>
        <v> </v>
      </c>
      <c r="AA147" s="17" t="str">
        <f aca="false">IF((E147="g"),H147," ")</f>
        <v> </v>
      </c>
      <c r="AB147" s="17" t="str">
        <f aca="false">IF((E147="h"),H147," ")</f>
        <v> </v>
      </c>
      <c r="AC147" s="30" t="str">
        <f aca="false">IF((E147="v"),H147," ")</f>
        <v> </v>
      </c>
      <c r="AD147" s="30" t="str">
        <f aca="false">IF((E147="n"),H147," ")</f>
        <v> </v>
      </c>
      <c r="AE147" s="17" t="str">
        <f aca="false">IF((E147="f"),H147," ")</f>
        <v> </v>
      </c>
      <c r="AF147" s="17" t="str">
        <f aca="false">IF((E147="l"),H147," ")</f>
        <v> </v>
      </c>
      <c r="AG147" s="17" t="str">
        <f aca="false">IF((E147="y"),H147," ")</f>
        <v> </v>
      </c>
      <c r="AH147" s="17" t="str">
        <f aca="false">IF((E147="z"),H147," ")</f>
        <v> </v>
      </c>
      <c r="AI147" s="17" t="str">
        <f aca="false">IF((E147="fa"),H147," ")</f>
        <v> </v>
      </c>
      <c r="AJ147" s="17" t="str">
        <f aca="false">IF((E147="e"),H147," ")</f>
        <v> </v>
      </c>
    </row>
    <row r="148" customFormat="false" ht="12" hidden="false" customHeight="false" outlineLevel="0" collapsed="false">
      <c r="A148" s="28"/>
      <c r="E148" s="2" t="str">
        <f aca="false">IF((F148&lt;&gt;0),"Enter Letter"," ")</f>
        <v> </v>
      </c>
      <c r="F148" s="30"/>
      <c r="G148" s="6" t="str">
        <f aca="false">IF(F148&lt;&gt;0,F148*G$2/(100+G$2)," ")</f>
        <v> </v>
      </c>
      <c r="H148" s="6" t="str">
        <f aca="false">IF((F148&lt;&gt;0),F148-G148," ")</f>
        <v> </v>
      </c>
      <c r="I148" s="5"/>
      <c r="L148" s="7" t="str">
        <f aca="false">IF(F148&lt;&gt;0,F148-K148," ")</f>
        <v> </v>
      </c>
      <c r="M148" s="8" t="str">
        <f aca="false">IF((F148-K148)&lt;&gt;0,M$1-A148," ")</f>
        <v> </v>
      </c>
      <c r="N148" s="5"/>
      <c r="O148" s="17" t="str">
        <f aca="false">IF((E148="s"),H148," ")</f>
        <v> </v>
      </c>
      <c r="P148" s="17" t="str">
        <f aca="false">IF((E148="c"),H148," ")</f>
        <v> </v>
      </c>
      <c r="Q148" s="17" t="str">
        <f aca="false">IF((E148="o"),H148," ")</f>
        <v> </v>
      </c>
      <c r="R148" s="17" t="str">
        <f aca="false">IF((E148="d"),H148," ")</f>
        <v> </v>
      </c>
      <c r="S148" s="17" t="str">
        <f aca="false">IF((E148="w"),H148," ")</f>
        <v> </v>
      </c>
      <c r="T148" s="17" t="str">
        <f aca="false">IF((E148="r"),H148," ")</f>
        <v> </v>
      </c>
      <c r="U148" s="17" t="str">
        <f aca="false">IF((E148="p"),H148," ")</f>
        <v> </v>
      </c>
      <c r="V148" s="17" t="str">
        <f aca="false">IF((E148="t"),H148," ")</f>
        <v> </v>
      </c>
      <c r="W148" s="17" t="str">
        <f aca="false">IF((E148="q"),H148," ")</f>
        <v> </v>
      </c>
      <c r="X148" s="17" t="str">
        <f aca="false">IF((E148="m"),H148," ")</f>
        <v> </v>
      </c>
      <c r="Y148" s="17" t="str">
        <f aca="false">IF((E148="u"),H148," ")</f>
        <v> </v>
      </c>
      <c r="Z148" s="17" t="str">
        <f aca="false">IF((E148="a"),H148," ")</f>
        <v> </v>
      </c>
      <c r="AA148" s="17" t="str">
        <f aca="false">IF((E148="g"),H148," ")</f>
        <v> </v>
      </c>
      <c r="AB148" s="17" t="str">
        <f aca="false">IF((E148="h"),H148," ")</f>
        <v> </v>
      </c>
      <c r="AC148" s="30" t="str">
        <f aca="false">IF((E148="v"),H148," ")</f>
        <v> </v>
      </c>
      <c r="AD148" s="30" t="str">
        <f aca="false">IF((E148="n"),H148," ")</f>
        <v> </v>
      </c>
      <c r="AE148" s="17" t="str">
        <f aca="false">IF((E148="f"),H148," ")</f>
        <v> </v>
      </c>
      <c r="AF148" s="17" t="str">
        <f aca="false">IF((E148="l"),H148," ")</f>
        <v> </v>
      </c>
      <c r="AG148" s="17" t="str">
        <f aca="false">IF((E148="y"),H148," ")</f>
        <v> </v>
      </c>
      <c r="AH148" s="17" t="str">
        <f aca="false">IF((E148="z"),H148," ")</f>
        <v> </v>
      </c>
      <c r="AI148" s="17" t="str">
        <f aca="false">IF((E148="fa"),H148," ")</f>
        <v> </v>
      </c>
      <c r="AJ148" s="17" t="str">
        <f aca="false">IF((E148="e"),H148," ")</f>
        <v> </v>
      </c>
    </row>
    <row r="149" customFormat="false" ht="12" hidden="false" customHeight="false" outlineLevel="0" collapsed="false">
      <c r="A149" s="28"/>
      <c r="E149" s="2" t="str">
        <f aca="false">IF((F149&lt;&gt;0),"Enter Letter"," ")</f>
        <v> </v>
      </c>
      <c r="F149" s="30"/>
      <c r="G149" s="6" t="str">
        <f aca="false">IF(F149&lt;&gt;0,F149*G$2/(100+G$2)," ")</f>
        <v> </v>
      </c>
      <c r="H149" s="6" t="str">
        <f aca="false">IF((F149&lt;&gt;0),F149-G149," ")</f>
        <v> </v>
      </c>
      <c r="I149" s="5"/>
      <c r="L149" s="7" t="str">
        <f aca="false">IF(F149&lt;&gt;0,F149-K149," ")</f>
        <v> </v>
      </c>
      <c r="M149" s="8" t="str">
        <f aca="false">IF((F149-K149)&lt;&gt;0,M$1-A149," ")</f>
        <v> </v>
      </c>
      <c r="N149" s="5"/>
      <c r="O149" s="17" t="str">
        <f aca="false">IF((E149="s"),H149," ")</f>
        <v> </v>
      </c>
      <c r="P149" s="17" t="str">
        <f aca="false">IF((E149="c"),H149," ")</f>
        <v> </v>
      </c>
      <c r="Q149" s="17" t="str">
        <f aca="false">IF((E149="o"),H149," ")</f>
        <v> </v>
      </c>
      <c r="R149" s="17" t="str">
        <f aca="false">IF((E149="d"),H149," ")</f>
        <v> </v>
      </c>
      <c r="S149" s="17" t="str">
        <f aca="false">IF((E149="w"),H149," ")</f>
        <v> </v>
      </c>
      <c r="T149" s="17" t="str">
        <f aca="false">IF((E149="r"),H149," ")</f>
        <v> </v>
      </c>
      <c r="U149" s="17" t="str">
        <f aca="false">IF((E149="p"),H149," ")</f>
        <v> </v>
      </c>
      <c r="V149" s="17" t="str">
        <f aca="false">IF((E149="t"),H149," ")</f>
        <v> </v>
      </c>
      <c r="W149" s="17" t="str">
        <f aca="false">IF((E149="q"),H149," ")</f>
        <v> </v>
      </c>
      <c r="X149" s="17" t="str">
        <f aca="false">IF((E149="m"),H149," ")</f>
        <v> </v>
      </c>
      <c r="Y149" s="17" t="str">
        <f aca="false">IF((E149="u"),H149," ")</f>
        <v> </v>
      </c>
      <c r="Z149" s="17" t="str">
        <f aca="false">IF((E149="a"),H149," ")</f>
        <v> </v>
      </c>
      <c r="AA149" s="17" t="str">
        <f aca="false">IF((E149="g"),H149," ")</f>
        <v> </v>
      </c>
      <c r="AB149" s="17" t="str">
        <f aca="false">IF((E149="h"),H149," ")</f>
        <v> </v>
      </c>
      <c r="AC149" s="30" t="str">
        <f aca="false">IF((E149="v"),H149," ")</f>
        <v> </v>
      </c>
      <c r="AD149" s="30" t="str">
        <f aca="false">IF((E149="n"),H149," ")</f>
        <v> </v>
      </c>
      <c r="AE149" s="17" t="str">
        <f aca="false">IF((E149="f"),H149," ")</f>
        <v> </v>
      </c>
      <c r="AF149" s="17" t="str">
        <f aca="false">IF((E149="l"),H149," ")</f>
        <v> </v>
      </c>
      <c r="AG149" s="17" t="str">
        <f aca="false">IF((E149="y"),H149," ")</f>
        <v> </v>
      </c>
      <c r="AH149" s="17" t="str">
        <f aca="false">IF((E149="z"),H149," ")</f>
        <v> </v>
      </c>
      <c r="AI149" s="17" t="str">
        <f aca="false">IF((E149="fa"),H149," ")</f>
        <v> </v>
      </c>
      <c r="AJ149" s="17" t="str">
        <f aca="false">IF((E149="e"),H149," ")</f>
        <v> </v>
      </c>
    </row>
    <row r="150" customFormat="false" ht="12" hidden="false" customHeight="false" outlineLevel="0" collapsed="false">
      <c r="A150" s="28"/>
      <c r="E150" s="2" t="str">
        <f aca="false">IF((F150&lt;&gt;0),"Enter Letter"," ")</f>
        <v> </v>
      </c>
      <c r="F150" s="30"/>
      <c r="G150" s="6" t="str">
        <f aca="false">IF(F150&lt;&gt;0,F150*G$2/(100+G$2)," ")</f>
        <v> </v>
      </c>
      <c r="H150" s="6" t="str">
        <f aca="false">IF((F150&lt;&gt;0),F150-G150," ")</f>
        <v> </v>
      </c>
      <c r="I150" s="5"/>
      <c r="L150" s="7" t="str">
        <f aca="false">IF(F150&lt;&gt;0,F150-K150," ")</f>
        <v> </v>
      </c>
      <c r="M150" s="8" t="str">
        <f aca="false">IF((F150-K150)&lt;&gt;0,M$1-A150," ")</f>
        <v> </v>
      </c>
      <c r="N150" s="5"/>
      <c r="O150" s="17" t="str">
        <f aca="false">IF((E150="s"),H150," ")</f>
        <v> </v>
      </c>
      <c r="P150" s="17" t="str">
        <f aca="false">IF((E150="c"),H150," ")</f>
        <v> </v>
      </c>
      <c r="Q150" s="17" t="str">
        <f aca="false">IF((E150="o"),H150," ")</f>
        <v> </v>
      </c>
      <c r="R150" s="17" t="str">
        <f aca="false">IF((E150="d"),H150," ")</f>
        <v> </v>
      </c>
      <c r="S150" s="17" t="str">
        <f aca="false">IF((E150="w"),H150," ")</f>
        <v> </v>
      </c>
      <c r="T150" s="17" t="str">
        <f aca="false">IF((E150="r"),H150," ")</f>
        <v> </v>
      </c>
      <c r="U150" s="17" t="str">
        <f aca="false">IF((E150="p"),H150," ")</f>
        <v> </v>
      </c>
      <c r="V150" s="17" t="str">
        <f aca="false">IF((E150="t"),H150," ")</f>
        <v> </v>
      </c>
      <c r="W150" s="17" t="str">
        <f aca="false">IF((E150="q"),H150," ")</f>
        <v> </v>
      </c>
      <c r="X150" s="17" t="str">
        <f aca="false">IF((E150="m"),H150," ")</f>
        <v> </v>
      </c>
      <c r="Y150" s="17" t="str">
        <f aca="false">IF((E150="u"),H150," ")</f>
        <v> </v>
      </c>
      <c r="Z150" s="17" t="str">
        <f aca="false">IF((E150="a"),H150," ")</f>
        <v> </v>
      </c>
      <c r="AA150" s="17" t="str">
        <f aca="false">IF((E150="g"),H150," ")</f>
        <v> </v>
      </c>
      <c r="AB150" s="17" t="str">
        <f aca="false">IF((E150="h"),H150," ")</f>
        <v> </v>
      </c>
      <c r="AC150" s="30" t="str">
        <f aca="false">IF((E150="v"),H150," ")</f>
        <v> </v>
      </c>
      <c r="AD150" s="30" t="str">
        <f aca="false">IF((E150="n"),H150," ")</f>
        <v> </v>
      </c>
      <c r="AE150" s="17" t="str">
        <f aca="false">IF((E150="f"),H150," ")</f>
        <v> </v>
      </c>
      <c r="AF150" s="17" t="str">
        <f aca="false">IF((E150="l"),H150," ")</f>
        <v> </v>
      </c>
      <c r="AG150" s="17" t="str">
        <f aca="false">IF((E150="y"),H150," ")</f>
        <v> </v>
      </c>
      <c r="AH150" s="17" t="str">
        <f aca="false">IF((E150="z"),H150," ")</f>
        <v> </v>
      </c>
      <c r="AI150" s="17" t="str">
        <f aca="false">IF((E150="fa"),H150," ")</f>
        <v> </v>
      </c>
      <c r="AJ150" s="17" t="str">
        <f aca="false">IF((E150="e"),H150," ")</f>
        <v> </v>
      </c>
    </row>
    <row r="151" customFormat="false" ht="12" hidden="false" customHeight="false" outlineLevel="0" collapsed="false">
      <c r="A151" s="28"/>
      <c r="E151" s="2" t="str">
        <f aca="false">IF((F151&lt;&gt;0),"Enter Letter"," ")</f>
        <v> </v>
      </c>
      <c r="F151" s="30"/>
      <c r="G151" s="6" t="str">
        <f aca="false">IF(F151&lt;&gt;0,F151*G$2/(100+G$2)," ")</f>
        <v> </v>
      </c>
      <c r="H151" s="6" t="str">
        <f aca="false">IF((F151&lt;&gt;0),F151-G151," ")</f>
        <v> </v>
      </c>
      <c r="I151" s="5"/>
      <c r="L151" s="7" t="str">
        <f aca="false">IF(F151&lt;&gt;0,F151-K151," ")</f>
        <v> </v>
      </c>
      <c r="M151" s="8" t="str">
        <f aca="false">IF((F151-K151)&lt;&gt;0,M$1-A151," ")</f>
        <v> </v>
      </c>
      <c r="N151" s="5"/>
      <c r="O151" s="17" t="str">
        <f aca="false">IF((E151="s"),H151," ")</f>
        <v> </v>
      </c>
      <c r="P151" s="17" t="str">
        <f aca="false">IF((E151="c"),H151," ")</f>
        <v> </v>
      </c>
      <c r="Q151" s="17" t="str">
        <f aca="false">IF((E151="o"),H151," ")</f>
        <v> </v>
      </c>
      <c r="R151" s="17" t="str">
        <f aca="false">IF((E151="d"),H151," ")</f>
        <v> </v>
      </c>
      <c r="S151" s="17" t="str">
        <f aca="false">IF((E151="w"),H151," ")</f>
        <v> </v>
      </c>
      <c r="T151" s="17" t="str">
        <f aca="false">IF((E151="r"),H151," ")</f>
        <v> </v>
      </c>
      <c r="U151" s="17" t="str">
        <f aca="false">IF((E151="p"),H151," ")</f>
        <v> </v>
      </c>
      <c r="V151" s="17" t="str">
        <f aca="false">IF((E151="t"),H151," ")</f>
        <v> </v>
      </c>
      <c r="W151" s="17" t="str">
        <f aca="false">IF((E151="q"),H151," ")</f>
        <v> </v>
      </c>
      <c r="X151" s="17" t="str">
        <f aca="false">IF((E151="m"),H151," ")</f>
        <v> </v>
      </c>
      <c r="Y151" s="17" t="str">
        <f aca="false">IF((E151="u"),H151," ")</f>
        <v> </v>
      </c>
      <c r="Z151" s="17" t="str">
        <f aca="false">IF((E151="a"),H151," ")</f>
        <v> </v>
      </c>
      <c r="AA151" s="17" t="str">
        <f aca="false">IF((E151="g"),H151," ")</f>
        <v> </v>
      </c>
      <c r="AB151" s="17" t="str">
        <f aca="false">IF((E151="h"),H151," ")</f>
        <v> </v>
      </c>
      <c r="AC151" s="30" t="str">
        <f aca="false">IF((E151="v"),H151," ")</f>
        <v> </v>
      </c>
      <c r="AD151" s="30" t="str">
        <f aca="false">IF((E151="n"),H151," ")</f>
        <v> </v>
      </c>
      <c r="AE151" s="17" t="str">
        <f aca="false">IF((E151="f"),H151," ")</f>
        <v> </v>
      </c>
      <c r="AF151" s="17" t="str">
        <f aca="false">IF((E151="l"),H151," ")</f>
        <v> </v>
      </c>
      <c r="AG151" s="17" t="str">
        <f aca="false">IF((E151="y"),H151," ")</f>
        <v> </v>
      </c>
      <c r="AH151" s="17" t="str">
        <f aca="false">IF((E151="z"),H151," ")</f>
        <v> </v>
      </c>
      <c r="AI151" s="17" t="str">
        <f aca="false">IF((E151="fa"),H151," ")</f>
        <v> </v>
      </c>
      <c r="AJ151" s="17" t="str">
        <f aca="false">IF((E151="e"),H151," ")</f>
        <v> </v>
      </c>
    </row>
    <row r="152" customFormat="false" ht="12" hidden="false" customHeight="false" outlineLevel="0" collapsed="false">
      <c r="A152" s="28"/>
      <c r="E152" s="2" t="str">
        <f aca="false">IF((F152&lt;&gt;0),"Enter Letter"," ")</f>
        <v> </v>
      </c>
      <c r="F152" s="30"/>
      <c r="G152" s="6" t="str">
        <f aca="false">IF(F152&lt;&gt;0,F152*G$2/(100+G$2)," ")</f>
        <v> </v>
      </c>
      <c r="H152" s="6" t="str">
        <f aca="false">IF((F152&lt;&gt;0),F152-G152," ")</f>
        <v> </v>
      </c>
      <c r="I152" s="5"/>
      <c r="L152" s="7" t="str">
        <f aca="false">IF(F152&lt;&gt;0,F152-K152," ")</f>
        <v> </v>
      </c>
      <c r="M152" s="8" t="str">
        <f aca="false">IF((F152-K152)&lt;&gt;0,M$1-A152," ")</f>
        <v> </v>
      </c>
      <c r="N152" s="5"/>
      <c r="O152" s="17" t="str">
        <f aca="false">IF((E152="s"),H152," ")</f>
        <v> </v>
      </c>
      <c r="P152" s="17" t="str">
        <f aca="false">IF((E152="c"),H152," ")</f>
        <v> </v>
      </c>
      <c r="Q152" s="17" t="str">
        <f aca="false">IF((E152="o"),H152," ")</f>
        <v> </v>
      </c>
      <c r="R152" s="17" t="str">
        <f aca="false">IF((E152="d"),H152," ")</f>
        <v> </v>
      </c>
      <c r="S152" s="17" t="str">
        <f aca="false">IF((E152="w"),H152," ")</f>
        <v> </v>
      </c>
      <c r="T152" s="17" t="str">
        <f aca="false">IF((E152="r"),H152," ")</f>
        <v> </v>
      </c>
      <c r="U152" s="17" t="str">
        <f aca="false">IF((E152="p"),H152," ")</f>
        <v> </v>
      </c>
      <c r="V152" s="17" t="str">
        <f aca="false">IF((E152="t"),H152," ")</f>
        <v> </v>
      </c>
      <c r="W152" s="17" t="str">
        <f aca="false">IF((E152="q"),H152," ")</f>
        <v> </v>
      </c>
      <c r="X152" s="17" t="str">
        <f aca="false">IF((E152="m"),H152," ")</f>
        <v> </v>
      </c>
      <c r="Y152" s="17" t="str">
        <f aca="false">IF((E152="u"),H152," ")</f>
        <v> </v>
      </c>
      <c r="Z152" s="17" t="str">
        <f aca="false">IF((E152="a"),H152," ")</f>
        <v> </v>
      </c>
      <c r="AA152" s="17" t="str">
        <f aca="false">IF((E152="g"),H152," ")</f>
        <v> </v>
      </c>
      <c r="AB152" s="17" t="str">
        <f aca="false">IF((E152="h"),H152," ")</f>
        <v> </v>
      </c>
      <c r="AC152" s="30" t="str">
        <f aca="false">IF((E152="v"),H152," ")</f>
        <v> </v>
      </c>
      <c r="AD152" s="30" t="str">
        <f aca="false">IF((E152="n"),H152," ")</f>
        <v> </v>
      </c>
      <c r="AE152" s="17" t="str">
        <f aca="false">IF((E152="f"),H152," ")</f>
        <v> </v>
      </c>
      <c r="AF152" s="17" t="str">
        <f aca="false">IF((E152="l"),H152," ")</f>
        <v> </v>
      </c>
      <c r="AG152" s="17" t="str">
        <f aca="false">IF((E152="y"),H152," ")</f>
        <v> </v>
      </c>
      <c r="AH152" s="17" t="str">
        <f aca="false">IF((E152="z"),H152," ")</f>
        <v> </v>
      </c>
      <c r="AI152" s="17" t="str">
        <f aca="false">IF((E152="fa"),H152," ")</f>
        <v> </v>
      </c>
      <c r="AJ152" s="17" t="str">
        <f aca="false">IF((E152="e"),H152," ")</f>
        <v> </v>
      </c>
    </row>
    <row r="153" customFormat="false" ht="12" hidden="false" customHeight="false" outlineLevel="0" collapsed="false">
      <c r="A153" s="28"/>
      <c r="E153" s="2" t="str">
        <f aca="false">IF((F153&lt;&gt;0),"Enter Letter"," ")</f>
        <v> </v>
      </c>
      <c r="F153" s="30"/>
      <c r="G153" s="6" t="str">
        <f aca="false">IF(F153&lt;&gt;0,F153*G$2/(100+G$2)," ")</f>
        <v> </v>
      </c>
      <c r="H153" s="6" t="str">
        <f aca="false">IF((F153&lt;&gt;0),F153-G153," ")</f>
        <v> </v>
      </c>
      <c r="I153" s="5"/>
      <c r="L153" s="7" t="str">
        <f aca="false">IF(F153&lt;&gt;0,F153-K153," ")</f>
        <v> </v>
      </c>
      <c r="M153" s="8" t="str">
        <f aca="false">IF((F153-K153)&lt;&gt;0,M$1-A153," ")</f>
        <v> </v>
      </c>
      <c r="N153" s="5"/>
      <c r="O153" s="17" t="str">
        <f aca="false">IF((E153="s"),H153," ")</f>
        <v> </v>
      </c>
      <c r="P153" s="17" t="str">
        <f aca="false">IF((E153="c"),H153," ")</f>
        <v> </v>
      </c>
      <c r="Q153" s="17" t="str">
        <f aca="false">IF((E153="o"),H153," ")</f>
        <v> </v>
      </c>
      <c r="R153" s="17" t="str">
        <f aca="false">IF((E153="d"),H153," ")</f>
        <v> </v>
      </c>
      <c r="S153" s="17" t="str">
        <f aca="false">IF((E153="w"),H153," ")</f>
        <v> </v>
      </c>
      <c r="T153" s="17" t="str">
        <f aca="false">IF((E153="r"),H153," ")</f>
        <v> </v>
      </c>
      <c r="U153" s="17" t="str">
        <f aca="false">IF((E153="p"),H153," ")</f>
        <v> </v>
      </c>
      <c r="V153" s="17" t="str">
        <f aca="false">IF((E153="t"),H153," ")</f>
        <v> </v>
      </c>
      <c r="W153" s="17" t="str">
        <f aca="false">IF((E153="q"),H153," ")</f>
        <v> </v>
      </c>
      <c r="X153" s="17" t="str">
        <f aca="false">IF((E153="m"),H153," ")</f>
        <v> </v>
      </c>
      <c r="Y153" s="17" t="str">
        <f aca="false">IF((E153="u"),H153," ")</f>
        <v> </v>
      </c>
      <c r="Z153" s="17" t="str">
        <f aca="false">IF((E153="a"),H153," ")</f>
        <v> </v>
      </c>
      <c r="AA153" s="17" t="str">
        <f aca="false">IF((E153="g"),H153," ")</f>
        <v> </v>
      </c>
      <c r="AB153" s="17" t="str">
        <f aca="false">IF((E153="h"),H153," ")</f>
        <v> </v>
      </c>
      <c r="AC153" s="30" t="str">
        <f aca="false">IF((E153="v"),H153," ")</f>
        <v> </v>
      </c>
      <c r="AD153" s="30" t="str">
        <f aca="false">IF((E153="n"),H153," ")</f>
        <v> </v>
      </c>
      <c r="AE153" s="17" t="str">
        <f aca="false">IF((E153="f"),H153," ")</f>
        <v> </v>
      </c>
      <c r="AF153" s="17" t="str">
        <f aca="false">IF((E153="l"),H153," ")</f>
        <v> </v>
      </c>
      <c r="AG153" s="17" t="str">
        <f aca="false">IF((E153="y"),H153," ")</f>
        <v> </v>
      </c>
      <c r="AH153" s="17" t="str">
        <f aca="false">IF((E153="z"),H153," ")</f>
        <v> </v>
      </c>
      <c r="AI153" s="17" t="str">
        <f aca="false">IF((E153="fa"),H153," ")</f>
        <v> </v>
      </c>
      <c r="AJ153" s="17" t="str">
        <f aca="false">IF((E153="e"),H153," ")</f>
        <v> </v>
      </c>
    </row>
    <row r="154" customFormat="false" ht="12" hidden="false" customHeight="false" outlineLevel="0" collapsed="false">
      <c r="A154" s="28"/>
      <c r="E154" s="2" t="str">
        <f aca="false">IF((F154&lt;&gt;0),"Enter Letter"," ")</f>
        <v> </v>
      </c>
      <c r="F154" s="30"/>
      <c r="G154" s="6" t="str">
        <f aca="false">IF(F154&lt;&gt;0,F154*G$2/(100+G$2)," ")</f>
        <v> </v>
      </c>
      <c r="H154" s="6" t="str">
        <f aca="false">IF((F154&lt;&gt;0),F154-G154," ")</f>
        <v> </v>
      </c>
      <c r="I154" s="5"/>
      <c r="L154" s="7" t="str">
        <f aca="false">IF(F154&lt;&gt;0,F154-K154," ")</f>
        <v> </v>
      </c>
      <c r="M154" s="8" t="str">
        <f aca="false">IF((F154-K154)&lt;&gt;0,M$1-A154," ")</f>
        <v> </v>
      </c>
      <c r="N154" s="5"/>
      <c r="O154" s="17" t="str">
        <f aca="false">IF((E154="s"),H154," ")</f>
        <v> </v>
      </c>
      <c r="P154" s="17" t="str">
        <f aca="false">IF((E154="c"),H154," ")</f>
        <v> </v>
      </c>
      <c r="Q154" s="17" t="str">
        <f aca="false">IF((E154="o"),H154," ")</f>
        <v> </v>
      </c>
      <c r="R154" s="17" t="str">
        <f aca="false">IF((E154="d"),H154," ")</f>
        <v> </v>
      </c>
      <c r="S154" s="17" t="str">
        <f aca="false">IF((E154="w"),H154," ")</f>
        <v> </v>
      </c>
      <c r="T154" s="17" t="str">
        <f aca="false">IF((E154="r"),H154," ")</f>
        <v> </v>
      </c>
      <c r="U154" s="17" t="str">
        <f aca="false">IF((E154="p"),H154," ")</f>
        <v> </v>
      </c>
      <c r="V154" s="17" t="str">
        <f aca="false">IF((E154="t"),H154," ")</f>
        <v> </v>
      </c>
      <c r="W154" s="17" t="str">
        <f aca="false">IF((E154="q"),H154," ")</f>
        <v> </v>
      </c>
      <c r="X154" s="17" t="str">
        <f aca="false">IF((E154="m"),H154," ")</f>
        <v> </v>
      </c>
      <c r="Y154" s="17" t="str">
        <f aca="false">IF((E154="u"),H154," ")</f>
        <v> </v>
      </c>
      <c r="Z154" s="17" t="str">
        <f aca="false">IF((E154="a"),H154," ")</f>
        <v> </v>
      </c>
      <c r="AA154" s="17" t="str">
        <f aca="false">IF((E154="g"),H154," ")</f>
        <v> </v>
      </c>
      <c r="AB154" s="17" t="str">
        <f aca="false">IF((E154="h"),H154," ")</f>
        <v> </v>
      </c>
      <c r="AC154" s="30" t="str">
        <f aca="false">IF((E154="v"),H154," ")</f>
        <v> </v>
      </c>
      <c r="AD154" s="30" t="str">
        <f aca="false">IF((E154="n"),H154," ")</f>
        <v> </v>
      </c>
      <c r="AE154" s="17" t="str">
        <f aca="false">IF((E154="f"),H154," ")</f>
        <v> </v>
      </c>
      <c r="AF154" s="17" t="str">
        <f aca="false">IF((E154="l"),H154," ")</f>
        <v> </v>
      </c>
      <c r="AG154" s="17" t="str">
        <f aca="false">IF((E154="y"),H154," ")</f>
        <v> </v>
      </c>
      <c r="AH154" s="17" t="str">
        <f aca="false">IF((E154="z"),H154," ")</f>
        <v> </v>
      </c>
      <c r="AI154" s="17" t="str">
        <f aca="false">IF((E154="fa"),H154," ")</f>
        <v> </v>
      </c>
      <c r="AJ154" s="17" t="str">
        <f aca="false">IF((E154="e"),H154," ")</f>
        <v> </v>
      </c>
    </row>
    <row r="155" customFormat="false" ht="12" hidden="false" customHeight="false" outlineLevel="0" collapsed="false">
      <c r="A155" s="28"/>
      <c r="E155" s="2" t="str">
        <f aca="false">IF((F155&lt;&gt;0),"Enter Letter"," ")</f>
        <v> </v>
      </c>
      <c r="F155" s="30"/>
      <c r="G155" s="6" t="str">
        <f aca="false">IF(F155&lt;&gt;0,F155*G$2/(100+G$2)," ")</f>
        <v> </v>
      </c>
      <c r="H155" s="6" t="str">
        <f aca="false">IF((F155&lt;&gt;0),F155-G155," ")</f>
        <v> </v>
      </c>
      <c r="I155" s="5"/>
      <c r="L155" s="7" t="str">
        <f aca="false">IF(F155&lt;&gt;0,F155-K155," ")</f>
        <v> </v>
      </c>
      <c r="M155" s="8" t="str">
        <f aca="false">IF((F155-K155)&lt;&gt;0,M$1-A155," ")</f>
        <v> </v>
      </c>
      <c r="N155" s="5"/>
      <c r="O155" s="17" t="str">
        <f aca="false">IF((E155="s"),H155," ")</f>
        <v> </v>
      </c>
      <c r="P155" s="17" t="str">
        <f aca="false">IF((E155="c"),H155," ")</f>
        <v> </v>
      </c>
      <c r="Q155" s="17" t="str">
        <f aca="false">IF((E155="o"),H155," ")</f>
        <v> </v>
      </c>
      <c r="R155" s="17" t="str">
        <f aca="false">IF((E155="d"),H155," ")</f>
        <v> </v>
      </c>
      <c r="S155" s="17" t="str">
        <f aca="false">IF((E155="w"),H155," ")</f>
        <v> </v>
      </c>
      <c r="T155" s="17" t="str">
        <f aca="false">IF((E155="r"),H155," ")</f>
        <v> </v>
      </c>
      <c r="U155" s="17" t="str">
        <f aca="false">IF((E155="p"),H155," ")</f>
        <v> </v>
      </c>
      <c r="V155" s="17" t="str">
        <f aca="false">IF((E155="t"),H155," ")</f>
        <v> </v>
      </c>
      <c r="W155" s="17" t="str">
        <f aca="false">IF((E155="q"),H155," ")</f>
        <v> </v>
      </c>
      <c r="X155" s="17" t="str">
        <f aca="false">IF((E155="m"),H155," ")</f>
        <v> </v>
      </c>
      <c r="Y155" s="17" t="str">
        <f aca="false">IF((E155="u"),H155," ")</f>
        <v> </v>
      </c>
      <c r="Z155" s="17" t="str">
        <f aca="false">IF((E155="a"),H155," ")</f>
        <v> </v>
      </c>
      <c r="AA155" s="17" t="str">
        <f aca="false">IF((E155="g"),H155," ")</f>
        <v> </v>
      </c>
      <c r="AB155" s="17" t="str">
        <f aca="false">IF((E155="h"),H155," ")</f>
        <v> </v>
      </c>
      <c r="AC155" s="30" t="str">
        <f aca="false">IF((E155="v"),H155," ")</f>
        <v> </v>
      </c>
      <c r="AD155" s="30" t="str">
        <f aca="false">IF((E155="n"),H155," ")</f>
        <v> </v>
      </c>
      <c r="AE155" s="17" t="str">
        <f aca="false">IF((E155="f"),H155," ")</f>
        <v> </v>
      </c>
      <c r="AF155" s="17" t="str">
        <f aca="false">IF((E155="l"),H155," ")</f>
        <v> </v>
      </c>
      <c r="AG155" s="17" t="str">
        <f aca="false">IF((E155="y"),H155," ")</f>
        <v> </v>
      </c>
      <c r="AH155" s="17" t="str">
        <f aca="false">IF((E155="z"),H155," ")</f>
        <v> </v>
      </c>
      <c r="AI155" s="17" t="str">
        <f aca="false">IF((E155="fa"),H155," ")</f>
        <v> </v>
      </c>
      <c r="AJ155" s="17" t="str">
        <f aca="false">IF((E155="e"),H155," ")</f>
        <v> </v>
      </c>
    </row>
    <row r="156" customFormat="false" ht="12" hidden="false" customHeight="false" outlineLevel="0" collapsed="false">
      <c r="A156" s="28"/>
      <c r="E156" s="2" t="str">
        <f aca="false">IF((F156&lt;&gt;0),"Enter Letter"," ")</f>
        <v> </v>
      </c>
      <c r="F156" s="30"/>
      <c r="G156" s="6" t="str">
        <f aca="false">IF(F156&lt;&gt;0,F156*G$2/(100+G$2)," ")</f>
        <v> </v>
      </c>
      <c r="H156" s="6" t="str">
        <f aca="false">IF((F156&lt;&gt;0),F156-G156," ")</f>
        <v> </v>
      </c>
      <c r="I156" s="5"/>
      <c r="L156" s="7" t="str">
        <f aca="false">IF(F156&lt;&gt;0,F156-K156," ")</f>
        <v> </v>
      </c>
      <c r="M156" s="8" t="str">
        <f aca="false">IF((F156-K156)&lt;&gt;0,M$1-A156," ")</f>
        <v> </v>
      </c>
      <c r="N156" s="5"/>
      <c r="O156" s="17" t="str">
        <f aca="false">IF((E156="s"),H156," ")</f>
        <v> </v>
      </c>
      <c r="P156" s="17" t="str">
        <f aca="false">IF((E156="c"),H156," ")</f>
        <v> </v>
      </c>
      <c r="Q156" s="17" t="str">
        <f aca="false">IF((E156="o"),H156," ")</f>
        <v> </v>
      </c>
      <c r="R156" s="17" t="str">
        <f aca="false">IF((E156="d"),H156," ")</f>
        <v> </v>
      </c>
      <c r="S156" s="17" t="str">
        <f aca="false">IF((E156="w"),H156," ")</f>
        <v> </v>
      </c>
      <c r="T156" s="17" t="str">
        <f aca="false">IF((E156="r"),H156," ")</f>
        <v> </v>
      </c>
      <c r="U156" s="17" t="str">
        <f aca="false">IF((E156="p"),H156," ")</f>
        <v> </v>
      </c>
      <c r="V156" s="17" t="str">
        <f aca="false">IF((E156="t"),H156," ")</f>
        <v> </v>
      </c>
      <c r="W156" s="17" t="str">
        <f aca="false">IF((E156="q"),H156," ")</f>
        <v> </v>
      </c>
      <c r="X156" s="17" t="str">
        <f aca="false">IF((E156="m"),H156," ")</f>
        <v> </v>
      </c>
      <c r="Y156" s="17" t="str">
        <f aca="false">IF((E156="u"),H156," ")</f>
        <v> </v>
      </c>
      <c r="Z156" s="17" t="str">
        <f aca="false">IF((E156="a"),H156," ")</f>
        <v> </v>
      </c>
      <c r="AA156" s="17" t="str">
        <f aca="false">IF((E156="g"),H156," ")</f>
        <v> </v>
      </c>
      <c r="AB156" s="17" t="str">
        <f aca="false">IF((E156="h"),H156," ")</f>
        <v> </v>
      </c>
      <c r="AC156" s="30" t="str">
        <f aca="false">IF((E156="v"),H156," ")</f>
        <v> </v>
      </c>
      <c r="AD156" s="30" t="str">
        <f aca="false">IF((E156="n"),H156," ")</f>
        <v> </v>
      </c>
      <c r="AE156" s="17" t="str">
        <f aca="false">IF((E156="f"),H156," ")</f>
        <v> </v>
      </c>
      <c r="AF156" s="17" t="str">
        <f aca="false">IF((E156="l"),H156," ")</f>
        <v> </v>
      </c>
      <c r="AG156" s="17" t="str">
        <f aca="false">IF((E156="y"),H156," ")</f>
        <v> </v>
      </c>
      <c r="AH156" s="17" t="str">
        <f aca="false">IF((E156="z"),H156," ")</f>
        <v> </v>
      </c>
      <c r="AI156" s="17" t="str">
        <f aca="false">IF((E156="fa"),H156," ")</f>
        <v> </v>
      </c>
      <c r="AJ156" s="17" t="str">
        <f aca="false">IF((E156="e"),H156," ")</f>
        <v> </v>
      </c>
    </row>
    <row r="157" customFormat="false" ht="12" hidden="false" customHeight="false" outlineLevel="0" collapsed="false">
      <c r="A157" s="28"/>
      <c r="E157" s="2" t="str">
        <f aca="false">IF((F157&lt;&gt;0),"Enter Letter"," ")</f>
        <v> </v>
      </c>
      <c r="F157" s="30"/>
      <c r="G157" s="6" t="str">
        <f aca="false">IF(F157&lt;&gt;0,F157*G$2/(100+G$2)," ")</f>
        <v> </v>
      </c>
      <c r="H157" s="6" t="str">
        <f aca="false">IF((F157&lt;&gt;0),F157-G157," ")</f>
        <v> </v>
      </c>
      <c r="I157" s="5"/>
      <c r="L157" s="7" t="str">
        <f aca="false">IF(F157&lt;&gt;0,F157-K157," ")</f>
        <v> </v>
      </c>
      <c r="M157" s="8" t="str">
        <f aca="false">IF((F157-K157)&lt;&gt;0,M$1-A157," ")</f>
        <v> </v>
      </c>
      <c r="N157" s="5"/>
      <c r="O157" s="17" t="str">
        <f aca="false">IF((E157="s"),H157," ")</f>
        <v> </v>
      </c>
      <c r="P157" s="17" t="str">
        <f aca="false">IF((E157="c"),H157," ")</f>
        <v> </v>
      </c>
      <c r="Q157" s="17" t="str">
        <f aca="false">IF((E157="o"),H157," ")</f>
        <v> </v>
      </c>
      <c r="R157" s="17" t="str">
        <f aca="false">IF((E157="d"),H157," ")</f>
        <v> </v>
      </c>
      <c r="S157" s="17" t="str">
        <f aca="false">IF((E157="w"),H157," ")</f>
        <v> </v>
      </c>
      <c r="T157" s="17" t="str">
        <f aca="false">IF((E157="r"),H157," ")</f>
        <v> </v>
      </c>
      <c r="U157" s="17" t="str">
        <f aca="false">IF((E157="p"),H157," ")</f>
        <v> </v>
      </c>
      <c r="V157" s="17" t="str">
        <f aca="false">IF((E157="t"),H157," ")</f>
        <v> </v>
      </c>
      <c r="W157" s="17" t="str">
        <f aca="false">IF((E157="q"),H157," ")</f>
        <v> </v>
      </c>
      <c r="X157" s="17" t="str">
        <f aca="false">IF((E157="m"),H157," ")</f>
        <v> </v>
      </c>
      <c r="Y157" s="17" t="str">
        <f aca="false">IF((E157="u"),H157," ")</f>
        <v> </v>
      </c>
      <c r="Z157" s="17" t="str">
        <f aca="false">IF((E157="a"),H157," ")</f>
        <v> </v>
      </c>
      <c r="AA157" s="17" t="str">
        <f aca="false">IF((E157="g"),H157," ")</f>
        <v> </v>
      </c>
      <c r="AB157" s="17" t="str">
        <f aca="false">IF((E157="h"),H157," ")</f>
        <v> </v>
      </c>
      <c r="AC157" s="30" t="str">
        <f aca="false">IF((E157="v"),H157," ")</f>
        <v> </v>
      </c>
      <c r="AD157" s="30" t="str">
        <f aca="false">IF((E157="n"),H157," ")</f>
        <v> </v>
      </c>
      <c r="AE157" s="17" t="str">
        <f aca="false">IF((E157="f"),H157," ")</f>
        <v> </v>
      </c>
      <c r="AF157" s="17" t="str">
        <f aca="false">IF((E157="l"),H157," ")</f>
        <v> </v>
      </c>
      <c r="AG157" s="17" t="str">
        <f aca="false">IF((E157="y"),H157," ")</f>
        <v> </v>
      </c>
      <c r="AH157" s="17" t="str">
        <f aca="false">IF((E157="z"),H157," ")</f>
        <v> </v>
      </c>
      <c r="AI157" s="17" t="str">
        <f aca="false">IF((E157="fa"),H157," ")</f>
        <v> </v>
      </c>
      <c r="AJ157" s="17" t="str">
        <f aca="false">IF((E157="e"),H157," ")</f>
        <v> </v>
      </c>
    </row>
    <row r="158" customFormat="false" ht="12" hidden="false" customHeight="false" outlineLevel="0" collapsed="false">
      <c r="A158" s="28"/>
      <c r="E158" s="2" t="str">
        <f aca="false">IF((F158&lt;&gt;0),"Enter Letter"," ")</f>
        <v> </v>
      </c>
      <c r="F158" s="30"/>
      <c r="G158" s="6" t="str">
        <f aca="false">IF(F158&lt;&gt;0,F158*G$2/(100+G$2)," ")</f>
        <v> </v>
      </c>
      <c r="H158" s="6" t="str">
        <f aca="false">IF((F158&lt;&gt;0),F158-G158," ")</f>
        <v> </v>
      </c>
      <c r="I158" s="5"/>
      <c r="L158" s="7" t="str">
        <f aca="false">IF(F158&lt;&gt;0,F158-K158," ")</f>
        <v> </v>
      </c>
      <c r="M158" s="8" t="str">
        <f aca="false">IF((F158-K158)&lt;&gt;0,M$1-A158," ")</f>
        <v> </v>
      </c>
      <c r="N158" s="5"/>
      <c r="O158" s="17" t="str">
        <f aca="false">IF((E158="s"),H158," ")</f>
        <v> </v>
      </c>
      <c r="P158" s="17" t="str">
        <f aca="false">IF((E158="c"),H158," ")</f>
        <v> </v>
      </c>
      <c r="Q158" s="17" t="str">
        <f aca="false">IF((E158="o"),H158," ")</f>
        <v> </v>
      </c>
      <c r="R158" s="17" t="str">
        <f aca="false">IF((E158="d"),H158," ")</f>
        <v> </v>
      </c>
      <c r="S158" s="17" t="str">
        <f aca="false">IF((E158="w"),H158," ")</f>
        <v> </v>
      </c>
      <c r="T158" s="17" t="str">
        <f aca="false">IF((E158="r"),H158," ")</f>
        <v> </v>
      </c>
      <c r="U158" s="17" t="str">
        <f aca="false">IF((E158="p"),H158," ")</f>
        <v> </v>
      </c>
      <c r="V158" s="17" t="str">
        <f aca="false">IF((E158="t"),H158," ")</f>
        <v> </v>
      </c>
      <c r="W158" s="17" t="str">
        <f aca="false">IF((E158="q"),H158," ")</f>
        <v> </v>
      </c>
      <c r="X158" s="17" t="str">
        <f aca="false">IF((E158="m"),H158," ")</f>
        <v> </v>
      </c>
      <c r="Y158" s="17" t="str">
        <f aca="false">IF((E158="u"),H158," ")</f>
        <v> </v>
      </c>
      <c r="Z158" s="17" t="str">
        <f aca="false">IF((E158="a"),H158," ")</f>
        <v> </v>
      </c>
      <c r="AA158" s="17" t="str">
        <f aca="false">IF((E158="g"),H158," ")</f>
        <v> </v>
      </c>
      <c r="AB158" s="17" t="str">
        <f aca="false">IF((E158="h"),H158," ")</f>
        <v> </v>
      </c>
      <c r="AC158" s="30" t="str">
        <f aca="false">IF((E158="v"),H158," ")</f>
        <v> </v>
      </c>
      <c r="AD158" s="30" t="str">
        <f aca="false">IF((E158="n"),H158," ")</f>
        <v> </v>
      </c>
      <c r="AE158" s="17" t="str">
        <f aca="false">IF((E158="f"),H158," ")</f>
        <v> </v>
      </c>
      <c r="AF158" s="17" t="str">
        <f aca="false">IF((E158="l"),H158," ")</f>
        <v> </v>
      </c>
      <c r="AG158" s="17" t="str">
        <f aca="false">IF((E158="y"),H158," ")</f>
        <v> </v>
      </c>
      <c r="AH158" s="17" t="str">
        <f aca="false">IF((E158="z"),H158," ")</f>
        <v> </v>
      </c>
      <c r="AI158" s="17" t="str">
        <f aca="false">IF((E158="fa"),H158," ")</f>
        <v> </v>
      </c>
      <c r="AJ158" s="17" t="str">
        <f aca="false">IF((E158="e"),H158," ")</f>
        <v> </v>
      </c>
    </row>
    <row r="159" customFormat="false" ht="12" hidden="false" customHeight="false" outlineLevel="0" collapsed="false">
      <c r="A159" s="28"/>
      <c r="E159" s="2" t="str">
        <f aca="false">IF((F159&lt;&gt;0),"Enter Letter"," ")</f>
        <v> </v>
      </c>
      <c r="F159" s="30"/>
      <c r="G159" s="6" t="str">
        <f aca="false">IF(F159&lt;&gt;0,F159*G$2/(100+G$2)," ")</f>
        <v> </v>
      </c>
      <c r="H159" s="6" t="str">
        <f aca="false">IF((F159&lt;&gt;0),F159-G159," ")</f>
        <v> </v>
      </c>
      <c r="I159" s="5"/>
      <c r="L159" s="7" t="str">
        <f aca="false">IF(F159&lt;&gt;0,F159-K159," ")</f>
        <v> </v>
      </c>
      <c r="M159" s="8" t="str">
        <f aca="false">IF((F159-K159)&lt;&gt;0,M$1-A159," ")</f>
        <v> </v>
      </c>
      <c r="N159" s="5"/>
      <c r="O159" s="17" t="str">
        <f aca="false">IF((E159="s"),H159," ")</f>
        <v> </v>
      </c>
      <c r="P159" s="17" t="str">
        <f aca="false">IF((E159="c"),H159," ")</f>
        <v> </v>
      </c>
      <c r="Q159" s="17" t="str">
        <f aca="false">IF((E159="o"),H159," ")</f>
        <v> </v>
      </c>
      <c r="R159" s="17" t="str">
        <f aca="false">IF((E159="d"),H159," ")</f>
        <v> </v>
      </c>
      <c r="S159" s="17" t="str">
        <f aca="false">IF((E159="w"),H159," ")</f>
        <v> </v>
      </c>
      <c r="T159" s="17" t="str">
        <f aca="false">IF((E159="r"),H159," ")</f>
        <v> </v>
      </c>
      <c r="U159" s="17" t="str">
        <f aca="false">IF((E159="p"),H159," ")</f>
        <v> </v>
      </c>
      <c r="V159" s="17" t="str">
        <f aca="false">IF((E159="t"),H159," ")</f>
        <v> </v>
      </c>
      <c r="W159" s="17" t="str">
        <f aca="false">IF((E159="q"),H159," ")</f>
        <v> </v>
      </c>
      <c r="X159" s="17" t="str">
        <f aca="false">IF((E159="m"),H159," ")</f>
        <v> </v>
      </c>
      <c r="Y159" s="17" t="str">
        <f aca="false">IF((E159="u"),H159," ")</f>
        <v> </v>
      </c>
      <c r="Z159" s="17" t="str">
        <f aca="false">IF((E159="a"),H159," ")</f>
        <v> </v>
      </c>
      <c r="AA159" s="17" t="str">
        <f aca="false">IF((E159="g"),H159," ")</f>
        <v> </v>
      </c>
      <c r="AB159" s="17" t="str">
        <f aca="false">IF((E159="h"),H159," ")</f>
        <v> </v>
      </c>
      <c r="AC159" s="30" t="str">
        <f aca="false">IF((E159="v"),H159," ")</f>
        <v> </v>
      </c>
      <c r="AD159" s="30" t="str">
        <f aca="false">IF((E159="n"),H159," ")</f>
        <v> </v>
      </c>
      <c r="AE159" s="17" t="str">
        <f aca="false">IF((E159="f"),H159," ")</f>
        <v> </v>
      </c>
      <c r="AF159" s="17" t="str">
        <f aca="false">IF((E159="l"),H159," ")</f>
        <v> </v>
      </c>
      <c r="AG159" s="17" t="str">
        <f aca="false">IF((E159="y"),H159," ")</f>
        <v> </v>
      </c>
      <c r="AH159" s="17" t="str">
        <f aca="false">IF((E159="z"),H159," ")</f>
        <v> </v>
      </c>
      <c r="AI159" s="17" t="str">
        <f aca="false">IF((E159="fa"),H159," ")</f>
        <v> </v>
      </c>
      <c r="AJ159" s="17" t="str">
        <f aca="false">IF((E159="e"),H159," ")</f>
        <v> </v>
      </c>
    </row>
    <row r="160" customFormat="false" ht="12" hidden="false" customHeight="false" outlineLevel="0" collapsed="false">
      <c r="A160" s="28"/>
      <c r="E160" s="2" t="str">
        <f aca="false">IF((F160&lt;&gt;0),"Enter Letter"," ")</f>
        <v> </v>
      </c>
      <c r="F160" s="30"/>
      <c r="G160" s="6" t="str">
        <f aca="false">IF(F160&lt;&gt;0,F160*G$2/(100+G$2)," ")</f>
        <v> </v>
      </c>
      <c r="H160" s="6" t="str">
        <f aca="false">IF((F160&lt;&gt;0),F160-G160," ")</f>
        <v> </v>
      </c>
      <c r="I160" s="5"/>
      <c r="L160" s="7" t="str">
        <f aca="false">IF(F160&lt;&gt;0,F160-K160," ")</f>
        <v> </v>
      </c>
      <c r="M160" s="8" t="str">
        <f aca="false">IF((F160-K160)&lt;&gt;0,M$1-A160," ")</f>
        <v> </v>
      </c>
      <c r="N160" s="5"/>
      <c r="O160" s="17" t="str">
        <f aca="false">IF((E160="s"),H160," ")</f>
        <v> </v>
      </c>
      <c r="P160" s="17" t="str">
        <f aca="false">IF((E160="c"),H160," ")</f>
        <v> </v>
      </c>
      <c r="Q160" s="17" t="str">
        <f aca="false">IF((E160="o"),H160," ")</f>
        <v> </v>
      </c>
      <c r="R160" s="17" t="str">
        <f aca="false">IF((E160="d"),H160," ")</f>
        <v> </v>
      </c>
      <c r="S160" s="17" t="str">
        <f aca="false">IF((E160="w"),H160," ")</f>
        <v> </v>
      </c>
      <c r="T160" s="17" t="str">
        <f aca="false">IF((E160="r"),H160," ")</f>
        <v> </v>
      </c>
      <c r="U160" s="17" t="str">
        <f aca="false">IF((E160="p"),H160," ")</f>
        <v> </v>
      </c>
      <c r="V160" s="17" t="str">
        <f aca="false">IF((E160="t"),H160," ")</f>
        <v> </v>
      </c>
      <c r="W160" s="17" t="str">
        <f aca="false">IF((E160="q"),H160," ")</f>
        <v> </v>
      </c>
      <c r="X160" s="17" t="str">
        <f aca="false">IF((E160="m"),H160," ")</f>
        <v> </v>
      </c>
      <c r="Y160" s="17" t="str">
        <f aca="false">IF((E160="u"),H160," ")</f>
        <v> </v>
      </c>
      <c r="Z160" s="17" t="str">
        <f aca="false">IF((E160="a"),H160," ")</f>
        <v> </v>
      </c>
      <c r="AA160" s="17" t="str">
        <f aca="false">IF((E160="g"),H160," ")</f>
        <v> </v>
      </c>
      <c r="AB160" s="17" t="str">
        <f aca="false">IF((E160="h"),H160," ")</f>
        <v> </v>
      </c>
      <c r="AC160" s="30" t="str">
        <f aca="false">IF((E160="v"),H160," ")</f>
        <v> </v>
      </c>
      <c r="AD160" s="30" t="str">
        <f aca="false">IF((E160="n"),H160," ")</f>
        <v> </v>
      </c>
      <c r="AE160" s="17" t="str">
        <f aca="false">IF((E160="f"),H160," ")</f>
        <v> </v>
      </c>
      <c r="AF160" s="17" t="str">
        <f aca="false">IF((E160="l"),H160," ")</f>
        <v> </v>
      </c>
      <c r="AG160" s="17" t="str">
        <f aca="false">IF((E160="y"),H160," ")</f>
        <v> </v>
      </c>
      <c r="AH160" s="17" t="str">
        <f aca="false">IF((E160="z"),H160," ")</f>
        <v> </v>
      </c>
      <c r="AI160" s="17" t="str">
        <f aca="false">IF((E160="fa"),H160," ")</f>
        <v> </v>
      </c>
      <c r="AJ160" s="17" t="str">
        <f aca="false">IF((E160="e"),H160," ")</f>
        <v> </v>
      </c>
    </row>
    <row r="161" customFormat="false" ht="12" hidden="false" customHeight="false" outlineLevel="0" collapsed="false">
      <c r="A161" s="28"/>
      <c r="E161" s="2" t="str">
        <f aca="false">IF((F161&lt;&gt;0),"Enter Letter"," ")</f>
        <v> </v>
      </c>
      <c r="F161" s="30"/>
      <c r="G161" s="6" t="str">
        <f aca="false">IF(F161&lt;&gt;0,F161*G$2/(100+G$2)," ")</f>
        <v> </v>
      </c>
      <c r="H161" s="6" t="str">
        <f aca="false">IF((F161&lt;&gt;0),F161-G161," ")</f>
        <v> </v>
      </c>
      <c r="I161" s="5"/>
      <c r="L161" s="7" t="str">
        <f aca="false">IF(F161&lt;&gt;0,F161-K161," ")</f>
        <v> </v>
      </c>
      <c r="M161" s="8" t="str">
        <f aca="false">IF((F161-K161)&lt;&gt;0,M$1-A161," ")</f>
        <v> </v>
      </c>
      <c r="N161" s="5"/>
      <c r="O161" s="17" t="str">
        <f aca="false">IF((E161="s"),H161," ")</f>
        <v> </v>
      </c>
      <c r="P161" s="17" t="str">
        <f aca="false">IF((E161="c"),H161," ")</f>
        <v> </v>
      </c>
      <c r="Q161" s="17" t="str">
        <f aca="false">IF((E161="o"),H161," ")</f>
        <v> </v>
      </c>
      <c r="R161" s="17" t="str">
        <f aca="false">IF((E161="d"),H161," ")</f>
        <v> </v>
      </c>
      <c r="S161" s="17" t="str">
        <f aca="false">IF((E161="w"),H161," ")</f>
        <v> </v>
      </c>
      <c r="T161" s="17" t="str">
        <f aca="false">IF((E161="r"),H161," ")</f>
        <v> </v>
      </c>
      <c r="U161" s="17" t="str">
        <f aca="false">IF((E161="p"),H161," ")</f>
        <v> </v>
      </c>
      <c r="V161" s="17" t="str">
        <f aca="false">IF((E161="t"),H161," ")</f>
        <v> </v>
      </c>
      <c r="W161" s="17" t="str">
        <f aca="false">IF((E161="q"),H161," ")</f>
        <v> </v>
      </c>
      <c r="X161" s="17" t="str">
        <f aca="false">IF((E161="m"),H161," ")</f>
        <v> </v>
      </c>
      <c r="Y161" s="17" t="str">
        <f aca="false">IF((E161="u"),H161," ")</f>
        <v> </v>
      </c>
      <c r="Z161" s="17" t="str">
        <f aca="false">IF((E161="a"),H161," ")</f>
        <v> </v>
      </c>
      <c r="AA161" s="17" t="str">
        <f aca="false">IF((E161="g"),H161," ")</f>
        <v> </v>
      </c>
      <c r="AB161" s="17" t="str">
        <f aca="false">IF((E161="h"),H161," ")</f>
        <v> </v>
      </c>
      <c r="AC161" s="30" t="str">
        <f aca="false">IF((E161="v"),H161," ")</f>
        <v> </v>
      </c>
      <c r="AD161" s="30" t="str">
        <f aca="false">IF((E161="n"),H161," ")</f>
        <v> </v>
      </c>
      <c r="AE161" s="17" t="str">
        <f aca="false">IF((E161="f"),H161," ")</f>
        <v> </v>
      </c>
      <c r="AF161" s="17" t="str">
        <f aca="false">IF((E161="l"),H161," ")</f>
        <v> </v>
      </c>
      <c r="AG161" s="17" t="str">
        <f aca="false">IF((E161="y"),H161," ")</f>
        <v> </v>
      </c>
      <c r="AH161" s="17" t="str">
        <f aca="false">IF((E161="z"),H161," ")</f>
        <v> </v>
      </c>
      <c r="AI161" s="17" t="str">
        <f aca="false">IF((E161="fa"),H161," ")</f>
        <v> </v>
      </c>
      <c r="AJ161" s="17" t="str">
        <f aca="false">IF((E161="e"),H161," ")</f>
        <v> </v>
      </c>
    </row>
    <row r="162" customFormat="false" ht="12" hidden="false" customHeight="false" outlineLevel="0" collapsed="false">
      <c r="A162" s="28"/>
      <c r="E162" s="2" t="str">
        <f aca="false">IF((F162&lt;&gt;0),"Enter Letter"," ")</f>
        <v> </v>
      </c>
      <c r="F162" s="30"/>
      <c r="G162" s="6" t="str">
        <f aca="false">IF(F162&lt;&gt;0,F162*G$2/(100+G$2)," ")</f>
        <v> </v>
      </c>
      <c r="H162" s="6" t="str">
        <f aca="false">IF((F162&lt;&gt;0),F162-G162," ")</f>
        <v> </v>
      </c>
      <c r="I162" s="5"/>
      <c r="L162" s="7" t="str">
        <f aca="false">IF(F162&lt;&gt;0,F162-K162," ")</f>
        <v> </v>
      </c>
      <c r="M162" s="8" t="str">
        <f aca="false">IF((F162-K162)&lt;&gt;0,M$1-A162," ")</f>
        <v> </v>
      </c>
      <c r="N162" s="5"/>
      <c r="O162" s="17" t="str">
        <f aca="false">IF((E162="s"),H162," ")</f>
        <v> </v>
      </c>
      <c r="P162" s="17" t="str">
        <f aca="false">IF((E162="c"),H162," ")</f>
        <v> </v>
      </c>
      <c r="Q162" s="17" t="str">
        <f aca="false">IF((E162="o"),H162," ")</f>
        <v> </v>
      </c>
      <c r="R162" s="17" t="str">
        <f aca="false">IF((E162="d"),H162," ")</f>
        <v> </v>
      </c>
      <c r="S162" s="17" t="str">
        <f aca="false">IF((E162="w"),H162," ")</f>
        <v> </v>
      </c>
      <c r="T162" s="17" t="str">
        <f aca="false">IF((E162="r"),H162," ")</f>
        <v> </v>
      </c>
      <c r="U162" s="17" t="str">
        <f aca="false">IF((E162="p"),H162," ")</f>
        <v> </v>
      </c>
      <c r="V162" s="17" t="str">
        <f aca="false">IF((E162="t"),H162," ")</f>
        <v> </v>
      </c>
      <c r="W162" s="17" t="str">
        <f aca="false">IF((E162="q"),H162," ")</f>
        <v> </v>
      </c>
      <c r="X162" s="17" t="str">
        <f aca="false">IF((E162="m"),H162," ")</f>
        <v> </v>
      </c>
      <c r="Y162" s="17" t="str">
        <f aca="false">IF((E162="u"),H162," ")</f>
        <v> </v>
      </c>
      <c r="Z162" s="17" t="str">
        <f aca="false">IF((E162="a"),H162," ")</f>
        <v> </v>
      </c>
      <c r="AA162" s="17" t="str">
        <f aca="false">IF((E162="g"),H162," ")</f>
        <v> </v>
      </c>
      <c r="AB162" s="17" t="str">
        <f aca="false">IF((E162="h"),H162," ")</f>
        <v> </v>
      </c>
      <c r="AC162" s="30" t="str">
        <f aca="false">IF((E162="v"),H162," ")</f>
        <v> </v>
      </c>
      <c r="AD162" s="30" t="str">
        <f aca="false">IF((E162="n"),H162," ")</f>
        <v> </v>
      </c>
      <c r="AE162" s="17" t="str">
        <f aca="false">IF((E162="f"),H162," ")</f>
        <v> </v>
      </c>
      <c r="AF162" s="17" t="str">
        <f aca="false">IF((E162="l"),H162," ")</f>
        <v> </v>
      </c>
      <c r="AG162" s="17" t="str">
        <f aca="false">IF((E162="y"),H162," ")</f>
        <v> </v>
      </c>
      <c r="AH162" s="17" t="str">
        <f aca="false">IF((E162="z"),H162," ")</f>
        <v> </v>
      </c>
      <c r="AI162" s="17" t="str">
        <f aca="false">IF((E162="fa"),H162," ")</f>
        <v> </v>
      </c>
      <c r="AJ162" s="17" t="str">
        <f aca="false">IF((E162="e"),H162," ")</f>
        <v> </v>
      </c>
    </row>
    <row r="163" customFormat="false" ht="12" hidden="false" customHeight="false" outlineLevel="0" collapsed="false">
      <c r="A163" s="28"/>
      <c r="E163" s="2" t="str">
        <f aca="false">IF((F163&lt;&gt;0),"Enter Letter"," ")</f>
        <v> </v>
      </c>
      <c r="F163" s="30"/>
      <c r="G163" s="6" t="str">
        <f aca="false">IF(F163&lt;&gt;0,F163*G$2/(100+G$2)," ")</f>
        <v> </v>
      </c>
      <c r="H163" s="6" t="str">
        <f aca="false">IF((F163&lt;&gt;0),F163-G163," ")</f>
        <v> </v>
      </c>
      <c r="I163" s="5"/>
      <c r="L163" s="7" t="str">
        <f aca="false">IF(F163&lt;&gt;0,F163-K163," ")</f>
        <v> </v>
      </c>
      <c r="M163" s="8" t="str">
        <f aca="false">IF((F163-K163)&lt;&gt;0,M$1-A163," ")</f>
        <v> </v>
      </c>
      <c r="N163" s="5"/>
      <c r="O163" s="17" t="str">
        <f aca="false">IF((E163="s"),H163," ")</f>
        <v> </v>
      </c>
      <c r="P163" s="17" t="str">
        <f aca="false">IF((E163="c"),H163," ")</f>
        <v> </v>
      </c>
      <c r="Q163" s="17" t="str">
        <f aca="false">IF((E163="o"),H163," ")</f>
        <v> </v>
      </c>
      <c r="R163" s="17" t="str">
        <f aca="false">IF((E163="d"),H163," ")</f>
        <v> </v>
      </c>
      <c r="S163" s="17" t="str">
        <f aca="false">IF((E163="w"),H163," ")</f>
        <v> </v>
      </c>
      <c r="T163" s="17" t="str">
        <f aca="false">IF((E163="r"),H163," ")</f>
        <v> </v>
      </c>
      <c r="U163" s="17" t="str">
        <f aca="false">IF((E163="p"),H163," ")</f>
        <v> </v>
      </c>
      <c r="V163" s="17" t="str">
        <f aca="false">IF((E163="t"),H163," ")</f>
        <v> </v>
      </c>
      <c r="W163" s="17" t="str">
        <f aca="false">IF((E163="q"),H163," ")</f>
        <v> </v>
      </c>
      <c r="X163" s="17" t="str">
        <f aca="false">IF((E163="m"),H163," ")</f>
        <v> </v>
      </c>
      <c r="Y163" s="17" t="str">
        <f aca="false">IF((E163="u"),H163," ")</f>
        <v> </v>
      </c>
      <c r="Z163" s="17" t="str">
        <f aca="false">IF((E163="a"),H163," ")</f>
        <v> </v>
      </c>
      <c r="AA163" s="17" t="str">
        <f aca="false">IF((E163="g"),H163," ")</f>
        <v> </v>
      </c>
      <c r="AB163" s="17" t="str">
        <f aca="false">IF((E163="h"),H163," ")</f>
        <v> </v>
      </c>
      <c r="AC163" s="30" t="str">
        <f aca="false">IF((E163="v"),H163," ")</f>
        <v> </v>
      </c>
      <c r="AD163" s="30" t="str">
        <f aca="false">IF((E163="n"),H163," ")</f>
        <v> </v>
      </c>
      <c r="AE163" s="17" t="str">
        <f aca="false">IF((E163="f"),H163," ")</f>
        <v> </v>
      </c>
      <c r="AF163" s="17" t="str">
        <f aca="false">IF((E163="l"),H163," ")</f>
        <v> </v>
      </c>
      <c r="AG163" s="17" t="str">
        <f aca="false">IF((E163="y"),H163," ")</f>
        <v> </v>
      </c>
      <c r="AH163" s="17" t="str">
        <f aca="false">IF((E163="z"),H163," ")</f>
        <v> </v>
      </c>
      <c r="AI163" s="17" t="str">
        <f aca="false">IF((E163="fa"),H163," ")</f>
        <v> </v>
      </c>
      <c r="AJ163" s="17" t="str">
        <f aca="false">IF((E163="e"),H163," ")</f>
        <v> </v>
      </c>
    </row>
    <row r="164" customFormat="false" ht="12" hidden="false" customHeight="false" outlineLevel="0" collapsed="false">
      <c r="A164" s="28"/>
      <c r="E164" s="2" t="str">
        <f aca="false">IF((F164&lt;&gt;0),"Enter Letter"," ")</f>
        <v> </v>
      </c>
      <c r="F164" s="30"/>
      <c r="G164" s="6" t="str">
        <f aca="false">IF(F164&lt;&gt;0,F164*G$2/(100+G$2)," ")</f>
        <v> </v>
      </c>
      <c r="H164" s="6" t="str">
        <f aca="false">IF((F164&lt;&gt;0),F164-G164," ")</f>
        <v> </v>
      </c>
      <c r="I164" s="5"/>
      <c r="L164" s="7" t="str">
        <f aca="false">IF(F164&lt;&gt;0,F164-K164," ")</f>
        <v> </v>
      </c>
      <c r="M164" s="8" t="str">
        <f aca="false">IF((F164-K164)&lt;&gt;0,M$1-A164," ")</f>
        <v> </v>
      </c>
      <c r="N164" s="5"/>
      <c r="O164" s="17" t="str">
        <f aca="false">IF((E164="s"),H164," ")</f>
        <v> </v>
      </c>
      <c r="P164" s="17" t="str">
        <f aca="false">IF((E164="c"),H164," ")</f>
        <v> </v>
      </c>
      <c r="Q164" s="17" t="str">
        <f aca="false">IF((E164="o"),H164," ")</f>
        <v> </v>
      </c>
      <c r="R164" s="17" t="str">
        <f aca="false">IF((E164="d"),H164," ")</f>
        <v> </v>
      </c>
      <c r="S164" s="17" t="str">
        <f aca="false">IF((E164="w"),H164," ")</f>
        <v> </v>
      </c>
      <c r="T164" s="17" t="str">
        <f aca="false">IF((E164="r"),H164," ")</f>
        <v> </v>
      </c>
      <c r="U164" s="17" t="str">
        <f aca="false">IF((E164="p"),H164," ")</f>
        <v> </v>
      </c>
      <c r="V164" s="17" t="str">
        <f aca="false">IF((E164="t"),H164," ")</f>
        <v> </v>
      </c>
      <c r="W164" s="17" t="str">
        <f aca="false">IF((E164="q"),H164," ")</f>
        <v> </v>
      </c>
      <c r="X164" s="17" t="str">
        <f aca="false">IF((E164="m"),H164," ")</f>
        <v> </v>
      </c>
      <c r="Y164" s="17" t="str">
        <f aca="false">IF((E164="u"),H164," ")</f>
        <v> </v>
      </c>
      <c r="Z164" s="17" t="str">
        <f aca="false">IF((E164="a"),H164," ")</f>
        <v> </v>
      </c>
      <c r="AA164" s="17" t="str">
        <f aca="false">IF((E164="g"),H164," ")</f>
        <v> </v>
      </c>
      <c r="AB164" s="17" t="str">
        <f aca="false">IF((E164="h"),H164," ")</f>
        <v> </v>
      </c>
      <c r="AC164" s="30" t="str">
        <f aca="false">IF((E164="v"),H164," ")</f>
        <v> </v>
      </c>
      <c r="AD164" s="30" t="str">
        <f aca="false">IF((E164="n"),H164," ")</f>
        <v> </v>
      </c>
      <c r="AE164" s="17" t="str">
        <f aca="false">IF((E164="f"),H164," ")</f>
        <v> </v>
      </c>
      <c r="AF164" s="17" t="str">
        <f aca="false">IF((E164="l"),H164," ")</f>
        <v> </v>
      </c>
      <c r="AG164" s="17" t="str">
        <f aca="false">IF((E164="y"),H164," ")</f>
        <v> </v>
      </c>
      <c r="AH164" s="17" t="str">
        <f aca="false">IF((E164="z"),H164," ")</f>
        <v> </v>
      </c>
      <c r="AI164" s="17" t="str">
        <f aca="false">IF((E164="fa"),H164," ")</f>
        <v> </v>
      </c>
      <c r="AJ164" s="17" t="str">
        <f aca="false">IF((E164="e"),H164," ")</f>
        <v> </v>
      </c>
    </row>
    <row r="165" customFormat="false" ht="12" hidden="false" customHeight="false" outlineLevel="0" collapsed="false">
      <c r="A165" s="28"/>
      <c r="E165" s="2" t="str">
        <f aca="false">IF((F165&lt;&gt;0),"Enter Letter"," ")</f>
        <v> </v>
      </c>
      <c r="F165" s="30"/>
      <c r="G165" s="6" t="str">
        <f aca="false">IF(F165&lt;&gt;0,F165*G$2/(100+G$2)," ")</f>
        <v> </v>
      </c>
      <c r="H165" s="6" t="str">
        <f aca="false">IF((F165&lt;&gt;0),F165-G165," ")</f>
        <v> </v>
      </c>
      <c r="I165" s="5"/>
      <c r="L165" s="7" t="str">
        <f aca="false">IF(F165&lt;&gt;0,F165-K165," ")</f>
        <v> </v>
      </c>
      <c r="M165" s="8" t="str">
        <f aca="false">IF((F165-K165)&lt;&gt;0,M$1-A165," ")</f>
        <v> </v>
      </c>
      <c r="N165" s="5"/>
      <c r="O165" s="17" t="str">
        <f aca="false">IF((E165="s"),H165," ")</f>
        <v> </v>
      </c>
      <c r="P165" s="17" t="str">
        <f aca="false">IF((E165="c"),H165," ")</f>
        <v> </v>
      </c>
      <c r="Q165" s="17" t="str">
        <f aca="false">IF((E165="o"),H165," ")</f>
        <v> </v>
      </c>
      <c r="R165" s="17" t="str">
        <f aca="false">IF((E165="d"),H165," ")</f>
        <v> </v>
      </c>
      <c r="S165" s="17" t="str">
        <f aca="false">IF((E165="w"),H165," ")</f>
        <v> </v>
      </c>
      <c r="T165" s="17" t="str">
        <f aca="false">IF((E165="r"),H165," ")</f>
        <v> </v>
      </c>
      <c r="U165" s="17" t="str">
        <f aca="false">IF((E165="p"),H165," ")</f>
        <v> </v>
      </c>
      <c r="V165" s="17" t="str">
        <f aca="false">IF((E165="t"),H165," ")</f>
        <v> </v>
      </c>
      <c r="W165" s="17" t="str">
        <f aca="false">IF((E165="q"),H165," ")</f>
        <v> </v>
      </c>
      <c r="X165" s="17" t="str">
        <f aca="false">IF((E165="m"),H165," ")</f>
        <v> </v>
      </c>
      <c r="Y165" s="17" t="str">
        <f aca="false">IF((E165="u"),H165," ")</f>
        <v> </v>
      </c>
      <c r="Z165" s="17" t="str">
        <f aca="false">IF((E165="a"),H165," ")</f>
        <v> </v>
      </c>
      <c r="AA165" s="17" t="str">
        <f aca="false">IF((E165="g"),H165," ")</f>
        <v> </v>
      </c>
      <c r="AB165" s="17" t="str">
        <f aca="false">IF((E165="h"),H165," ")</f>
        <v> </v>
      </c>
      <c r="AC165" s="30" t="str">
        <f aca="false">IF((E165="v"),H165," ")</f>
        <v> </v>
      </c>
      <c r="AD165" s="30" t="str">
        <f aca="false">IF((E165="n"),H165," ")</f>
        <v> </v>
      </c>
      <c r="AE165" s="17" t="str">
        <f aca="false">IF((E165="f"),H165," ")</f>
        <v> </v>
      </c>
      <c r="AF165" s="17" t="str">
        <f aca="false">IF((E165="l"),H165," ")</f>
        <v> </v>
      </c>
      <c r="AG165" s="17" t="str">
        <f aca="false">IF((E165="y"),H165," ")</f>
        <v> </v>
      </c>
      <c r="AH165" s="17" t="str">
        <f aca="false">IF((E165="z"),H165," ")</f>
        <v> </v>
      </c>
      <c r="AI165" s="17" t="str">
        <f aca="false">IF((E165="fa"),H165," ")</f>
        <v> </v>
      </c>
      <c r="AJ165" s="17" t="str">
        <f aca="false">IF((E165="e"),H165," ")</f>
        <v> </v>
      </c>
    </row>
    <row r="166" customFormat="false" ht="12" hidden="false" customHeight="false" outlineLevel="0" collapsed="false">
      <c r="A166" s="28"/>
      <c r="E166" s="2" t="str">
        <f aca="false">IF((F166&lt;&gt;0),"Enter Letter"," ")</f>
        <v> </v>
      </c>
      <c r="F166" s="30"/>
      <c r="G166" s="6" t="str">
        <f aca="false">IF(F166&lt;&gt;0,F166*G$2/(100+G$2)," ")</f>
        <v> </v>
      </c>
      <c r="H166" s="6" t="str">
        <f aca="false">IF((F166&lt;&gt;0),F166-G166," ")</f>
        <v> </v>
      </c>
      <c r="I166" s="5"/>
      <c r="L166" s="7" t="str">
        <f aca="false">IF(F166&lt;&gt;0,F166-K166," ")</f>
        <v> </v>
      </c>
      <c r="M166" s="8" t="str">
        <f aca="false">IF((F166-K166)&lt;&gt;0,M$1-A166," ")</f>
        <v> </v>
      </c>
      <c r="N166" s="5"/>
      <c r="O166" s="17" t="str">
        <f aca="false">IF((E166="s"),H166," ")</f>
        <v> </v>
      </c>
      <c r="P166" s="17" t="str">
        <f aca="false">IF((E166="c"),H166," ")</f>
        <v> </v>
      </c>
      <c r="Q166" s="17" t="str">
        <f aca="false">IF((E166="o"),H166," ")</f>
        <v> </v>
      </c>
      <c r="R166" s="17" t="str">
        <f aca="false">IF((E166="d"),H166," ")</f>
        <v> </v>
      </c>
      <c r="S166" s="17" t="str">
        <f aca="false">IF((E166="w"),H166," ")</f>
        <v> </v>
      </c>
      <c r="T166" s="17" t="str">
        <f aca="false">IF((E166="r"),H166," ")</f>
        <v> </v>
      </c>
      <c r="U166" s="17" t="str">
        <f aca="false">IF((E166="p"),H166," ")</f>
        <v> </v>
      </c>
      <c r="V166" s="17" t="str">
        <f aca="false">IF((E166="t"),H166," ")</f>
        <v> </v>
      </c>
      <c r="W166" s="17" t="str">
        <f aca="false">IF((E166="q"),H166," ")</f>
        <v> </v>
      </c>
      <c r="X166" s="17" t="str">
        <f aca="false">IF((E166="m"),H166," ")</f>
        <v> </v>
      </c>
      <c r="Y166" s="17" t="str">
        <f aca="false">IF((E166="u"),H166," ")</f>
        <v> </v>
      </c>
      <c r="Z166" s="17" t="str">
        <f aca="false">IF((E166="a"),H166," ")</f>
        <v> </v>
      </c>
      <c r="AA166" s="17" t="str">
        <f aca="false">IF((E166="g"),H166," ")</f>
        <v> </v>
      </c>
      <c r="AB166" s="17" t="str">
        <f aca="false">IF((E166="h"),H166," ")</f>
        <v> </v>
      </c>
      <c r="AC166" s="30" t="str">
        <f aca="false">IF((E166="v"),H166," ")</f>
        <v> </v>
      </c>
      <c r="AD166" s="30" t="str">
        <f aca="false">IF((E166="n"),H166," ")</f>
        <v> </v>
      </c>
      <c r="AE166" s="17" t="str">
        <f aca="false">IF((E166="f"),H166," ")</f>
        <v> </v>
      </c>
      <c r="AF166" s="17" t="str">
        <f aca="false">IF((E166="l"),H166," ")</f>
        <v> </v>
      </c>
      <c r="AG166" s="17" t="str">
        <f aca="false">IF((E166="y"),H166," ")</f>
        <v> </v>
      </c>
      <c r="AH166" s="17" t="str">
        <f aca="false">IF((E166="z"),H166," ")</f>
        <v> </v>
      </c>
      <c r="AI166" s="17" t="str">
        <f aca="false">IF((E166="fa"),H166," ")</f>
        <v> </v>
      </c>
      <c r="AJ166" s="17" t="str">
        <f aca="false">IF((E166="e"),H166," ")</f>
        <v> </v>
      </c>
    </row>
    <row r="167" customFormat="false" ht="12" hidden="false" customHeight="false" outlineLevel="0" collapsed="false">
      <c r="A167" s="28"/>
      <c r="E167" s="2" t="str">
        <f aca="false">IF((F167&lt;&gt;0),"Enter Letter"," ")</f>
        <v> </v>
      </c>
      <c r="F167" s="30"/>
      <c r="G167" s="6" t="str">
        <f aca="false">IF(F167&lt;&gt;0,F167*G$2/(100+G$2)," ")</f>
        <v> </v>
      </c>
      <c r="H167" s="6" t="str">
        <f aca="false">IF((F167&lt;&gt;0),F167-G167," ")</f>
        <v> </v>
      </c>
      <c r="I167" s="5"/>
      <c r="L167" s="7" t="str">
        <f aca="false">IF(F167&lt;&gt;0,F167-K167," ")</f>
        <v> </v>
      </c>
      <c r="M167" s="8" t="str">
        <f aca="false">IF((F167-K167)&lt;&gt;0,M$1-A167," ")</f>
        <v> </v>
      </c>
      <c r="N167" s="5"/>
      <c r="O167" s="17" t="str">
        <f aca="false">IF((E167="s"),H167," ")</f>
        <v> </v>
      </c>
      <c r="P167" s="17" t="str">
        <f aca="false">IF((E167="c"),H167," ")</f>
        <v> </v>
      </c>
      <c r="Q167" s="17" t="str">
        <f aca="false">IF((E167="o"),H167," ")</f>
        <v> </v>
      </c>
      <c r="R167" s="17" t="str">
        <f aca="false">IF((E167="d"),H167," ")</f>
        <v> </v>
      </c>
      <c r="S167" s="17" t="str">
        <f aca="false">IF((E167="w"),H167," ")</f>
        <v> </v>
      </c>
      <c r="T167" s="17" t="str">
        <f aca="false">IF((E167="r"),H167," ")</f>
        <v> </v>
      </c>
      <c r="U167" s="17" t="str">
        <f aca="false">IF((E167="p"),H167," ")</f>
        <v> </v>
      </c>
      <c r="V167" s="17" t="str">
        <f aca="false">IF((E167="t"),H167," ")</f>
        <v> </v>
      </c>
      <c r="W167" s="17" t="str">
        <f aca="false">IF((E167="q"),H167," ")</f>
        <v> </v>
      </c>
      <c r="X167" s="17" t="str">
        <f aca="false">IF((E167="m"),H167," ")</f>
        <v> </v>
      </c>
      <c r="Y167" s="17" t="str">
        <f aca="false">IF((E167="u"),H167," ")</f>
        <v> </v>
      </c>
      <c r="Z167" s="17" t="str">
        <f aca="false">IF((E167="a"),H167," ")</f>
        <v> </v>
      </c>
      <c r="AA167" s="17" t="str">
        <f aca="false">IF((E167="g"),H167," ")</f>
        <v> </v>
      </c>
      <c r="AB167" s="17" t="str">
        <f aca="false">IF((E167="h"),H167," ")</f>
        <v> </v>
      </c>
      <c r="AC167" s="30" t="str">
        <f aca="false">IF((E167="v"),H167," ")</f>
        <v> </v>
      </c>
      <c r="AD167" s="30" t="str">
        <f aca="false">IF((E167="n"),H167," ")</f>
        <v> </v>
      </c>
      <c r="AE167" s="17" t="str">
        <f aca="false">IF((E167="f"),H167," ")</f>
        <v> </v>
      </c>
      <c r="AF167" s="17" t="str">
        <f aca="false">IF((E167="l"),H167," ")</f>
        <v> </v>
      </c>
      <c r="AG167" s="17" t="str">
        <f aca="false">IF((E167="y"),H167," ")</f>
        <v> </v>
      </c>
      <c r="AH167" s="17" t="str">
        <f aca="false">IF((E167="z"),H167," ")</f>
        <v> </v>
      </c>
      <c r="AI167" s="17" t="str">
        <f aca="false">IF((E167="fa"),H167," ")</f>
        <v> </v>
      </c>
      <c r="AJ167" s="17" t="str">
        <f aca="false">IF((E167="e"),H167," ")</f>
        <v> </v>
      </c>
    </row>
    <row r="168" customFormat="false" ht="12" hidden="false" customHeight="false" outlineLevel="0" collapsed="false">
      <c r="A168" s="28"/>
      <c r="E168" s="2" t="str">
        <f aca="false">IF((F168&lt;&gt;0),"Enter Letter"," ")</f>
        <v> </v>
      </c>
      <c r="F168" s="30"/>
      <c r="G168" s="6" t="str">
        <f aca="false">IF(F168&lt;&gt;0,F168*G$2/(100+G$2)," ")</f>
        <v> </v>
      </c>
      <c r="H168" s="6" t="str">
        <f aca="false">IF((F168&lt;&gt;0),F168-G168," ")</f>
        <v> </v>
      </c>
      <c r="I168" s="5"/>
      <c r="L168" s="7" t="str">
        <f aca="false">IF(F168&lt;&gt;0,F168-K168," ")</f>
        <v> </v>
      </c>
      <c r="M168" s="8" t="str">
        <f aca="false">IF((F168-K168)&lt;&gt;0,M$1-A168," ")</f>
        <v> </v>
      </c>
      <c r="N168" s="5"/>
      <c r="O168" s="17" t="str">
        <f aca="false">IF((E168="s"),H168," ")</f>
        <v> </v>
      </c>
      <c r="P168" s="17" t="str">
        <f aca="false">IF((E168="c"),H168," ")</f>
        <v> </v>
      </c>
      <c r="Q168" s="17" t="str">
        <f aca="false">IF((E168="o"),H168," ")</f>
        <v> </v>
      </c>
      <c r="R168" s="17" t="str">
        <f aca="false">IF((E168="d"),H168," ")</f>
        <v> </v>
      </c>
      <c r="S168" s="17" t="str">
        <f aca="false">IF((E168="w"),H168," ")</f>
        <v> </v>
      </c>
      <c r="T168" s="17" t="str">
        <f aca="false">IF((E168="r"),H168," ")</f>
        <v> </v>
      </c>
      <c r="U168" s="17" t="str">
        <f aca="false">IF((E168="p"),H168," ")</f>
        <v> </v>
      </c>
      <c r="V168" s="17" t="str">
        <f aca="false">IF((E168="t"),H168," ")</f>
        <v> </v>
      </c>
      <c r="W168" s="17" t="str">
        <f aca="false">IF((E168="q"),H168," ")</f>
        <v> </v>
      </c>
      <c r="X168" s="17" t="str">
        <f aca="false">IF((E168="m"),H168," ")</f>
        <v> </v>
      </c>
      <c r="Y168" s="17" t="str">
        <f aca="false">IF((E168="u"),H168," ")</f>
        <v> </v>
      </c>
      <c r="Z168" s="17" t="str">
        <f aca="false">IF((E168="a"),H168," ")</f>
        <v> </v>
      </c>
      <c r="AA168" s="17" t="str">
        <f aca="false">IF((E168="g"),H168," ")</f>
        <v> </v>
      </c>
      <c r="AB168" s="17" t="str">
        <f aca="false">IF((E168="h"),H168," ")</f>
        <v> </v>
      </c>
      <c r="AC168" s="30" t="str">
        <f aca="false">IF((E168="v"),H168," ")</f>
        <v> </v>
      </c>
      <c r="AD168" s="30" t="str">
        <f aca="false">IF((E168="n"),H168," ")</f>
        <v> </v>
      </c>
      <c r="AE168" s="17" t="str">
        <f aca="false">IF((E168="f"),H168," ")</f>
        <v> </v>
      </c>
      <c r="AF168" s="17" t="str">
        <f aca="false">IF((E168="l"),H168," ")</f>
        <v> </v>
      </c>
      <c r="AG168" s="17" t="str">
        <f aca="false">IF((E168="y"),H168," ")</f>
        <v> </v>
      </c>
      <c r="AH168" s="17" t="str">
        <f aca="false">IF((E168="z"),H168," ")</f>
        <v> </v>
      </c>
      <c r="AI168" s="17" t="str">
        <f aca="false">IF((E168="fa"),H168," ")</f>
        <v> </v>
      </c>
      <c r="AJ168" s="17" t="str">
        <f aca="false">IF((E168="e"),H168," ")</f>
        <v> </v>
      </c>
    </row>
    <row r="169" customFormat="false" ht="12" hidden="false" customHeight="false" outlineLevel="0" collapsed="false">
      <c r="A169" s="28"/>
      <c r="E169" s="2" t="str">
        <f aca="false">IF((F169&lt;&gt;0),"Enter Letter"," ")</f>
        <v> </v>
      </c>
      <c r="F169" s="30"/>
      <c r="G169" s="6" t="str">
        <f aca="false">IF(F169&lt;&gt;0,F169*G$2/(100+G$2)," ")</f>
        <v> </v>
      </c>
      <c r="H169" s="6" t="str">
        <f aca="false">IF((F169&lt;&gt;0),F169-G169," ")</f>
        <v> </v>
      </c>
      <c r="I169" s="5"/>
      <c r="L169" s="7" t="str">
        <f aca="false">IF(F169&lt;&gt;0,F169-K169," ")</f>
        <v> </v>
      </c>
      <c r="M169" s="8" t="str">
        <f aca="false">IF((F169-K169)&lt;&gt;0,M$1-A169," ")</f>
        <v> </v>
      </c>
      <c r="N169" s="5"/>
      <c r="O169" s="17" t="str">
        <f aca="false">IF((E169="s"),H169," ")</f>
        <v> </v>
      </c>
      <c r="P169" s="17" t="str">
        <f aca="false">IF((E169="c"),H169," ")</f>
        <v> </v>
      </c>
      <c r="Q169" s="17" t="str">
        <f aca="false">IF((E169="o"),H169," ")</f>
        <v> </v>
      </c>
      <c r="R169" s="17" t="str">
        <f aca="false">IF((E169="d"),H169," ")</f>
        <v> </v>
      </c>
      <c r="S169" s="17" t="str">
        <f aca="false">IF((E169="w"),H169," ")</f>
        <v> </v>
      </c>
      <c r="T169" s="17" t="str">
        <f aca="false">IF((E169="r"),H169," ")</f>
        <v> </v>
      </c>
      <c r="U169" s="17" t="str">
        <f aca="false">IF((E169="p"),H169," ")</f>
        <v> </v>
      </c>
      <c r="V169" s="17" t="str">
        <f aca="false">IF((E169="t"),H169," ")</f>
        <v> </v>
      </c>
      <c r="W169" s="17" t="str">
        <f aca="false">IF((E169="q"),H169," ")</f>
        <v> </v>
      </c>
      <c r="X169" s="17" t="str">
        <f aca="false">IF((E169="m"),H169," ")</f>
        <v> </v>
      </c>
      <c r="Y169" s="17" t="str">
        <f aca="false">IF((E169="u"),H169," ")</f>
        <v> </v>
      </c>
      <c r="Z169" s="17" t="str">
        <f aca="false">IF((E169="a"),H169," ")</f>
        <v> </v>
      </c>
      <c r="AA169" s="17" t="str">
        <f aca="false">IF((E169="g"),H169," ")</f>
        <v> </v>
      </c>
      <c r="AB169" s="17" t="str">
        <f aca="false">IF((E169="h"),H169," ")</f>
        <v> </v>
      </c>
      <c r="AC169" s="30" t="str">
        <f aca="false">IF((E169="v"),H169," ")</f>
        <v> </v>
      </c>
      <c r="AD169" s="30" t="str">
        <f aca="false">IF((E169="n"),H169," ")</f>
        <v> </v>
      </c>
      <c r="AE169" s="17" t="str">
        <f aca="false">IF((E169="f"),H169," ")</f>
        <v> </v>
      </c>
      <c r="AF169" s="17" t="str">
        <f aca="false">IF((E169="l"),H169," ")</f>
        <v> </v>
      </c>
      <c r="AG169" s="17" t="str">
        <f aca="false">IF((E169="y"),H169," ")</f>
        <v> </v>
      </c>
      <c r="AH169" s="17" t="str">
        <f aca="false">IF((E169="z"),H169," ")</f>
        <v> </v>
      </c>
      <c r="AI169" s="17" t="str">
        <f aca="false">IF((E169="fa"),H169," ")</f>
        <v> </v>
      </c>
      <c r="AJ169" s="17" t="str">
        <f aca="false">IF((E169="e"),H169," ")</f>
        <v> </v>
      </c>
    </row>
    <row r="170" customFormat="false" ht="12" hidden="false" customHeight="false" outlineLevel="0" collapsed="false">
      <c r="A170" s="28"/>
      <c r="E170" s="2" t="str">
        <f aca="false">IF((F170&lt;&gt;0),"Enter Letter"," ")</f>
        <v> </v>
      </c>
      <c r="F170" s="30"/>
      <c r="G170" s="6" t="str">
        <f aca="false">IF(F170&lt;&gt;0,F170*G$2/(100+G$2)," ")</f>
        <v> </v>
      </c>
      <c r="H170" s="6" t="str">
        <f aca="false">IF((F170&lt;&gt;0),F170-G170," ")</f>
        <v> </v>
      </c>
      <c r="I170" s="5"/>
      <c r="L170" s="7" t="str">
        <f aca="false">IF(F170&lt;&gt;0,F170-K170," ")</f>
        <v> </v>
      </c>
      <c r="M170" s="8" t="str">
        <f aca="false">IF((F170-K170)&lt;&gt;0,M$1-A170," ")</f>
        <v> </v>
      </c>
      <c r="N170" s="5"/>
      <c r="O170" s="17" t="str">
        <f aca="false">IF((E170="s"),H170," ")</f>
        <v> </v>
      </c>
      <c r="P170" s="17" t="str">
        <f aca="false">IF((E170="c"),H170," ")</f>
        <v> </v>
      </c>
      <c r="Q170" s="17" t="str">
        <f aca="false">IF((E170="o"),H170," ")</f>
        <v> </v>
      </c>
      <c r="R170" s="17" t="str">
        <f aca="false">IF((E170="d"),H170," ")</f>
        <v> </v>
      </c>
      <c r="S170" s="17" t="str">
        <f aca="false">IF((E170="w"),H170," ")</f>
        <v> </v>
      </c>
      <c r="T170" s="17" t="str">
        <f aca="false">IF((E170="r"),H170," ")</f>
        <v> </v>
      </c>
      <c r="U170" s="17" t="str">
        <f aca="false">IF((E170="p"),H170," ")</f>
        <v> </v>
      </c>
      <c r="V170" s="17" t="str">
        <f aca="false">IF((E170="t"),H170," ")</f>
        <v> </v>
      </c>
      <c r="W170" s="17" t="str">
        <f aca="false">IF((E170="q"),H170," ")</f>
        <v> </v>
      </c>
      <c r="X170" s="17" t="str">
        <f aca="false">IF((E170="m"),H170," ")</f>
        <v> </v>
      </c>
      <c r="Y170" s="17" t="str">
        <f aca="false">IF((E170="u"),H170," ")</f>
        <v> </v>
      </c>
      <c r="Z170" s="17" t="str">
        <f aca="false">IF((E170="a"),H170," ")</f>
        <v> </v>
      </c>
      <c r="AA170" s="17" t="str">
        <f aca="false">IF((E170="g"),H170," ")</f>
        <v> </v>
      </c>
      <c r="AB170" s="17" t="str">
        <f aca="false">IF((E170="h"),H170," ")</f>
        <v> </v>
      </c>
      <c r="AC170" s="30" t="str">
        <f aca="false">IF((E170="v"),H170," ")</f>
        <v> </v>
      </c>
      <c r="AD170" s="30" t="str">
        <f aca="false">IF((E170="n"),H170," ")</f>
        <v> </v>
      </c>
      <c r="AE170" s="17" t="str">
        <f aca="false">IF((E170="f"),H170," ")</f>
        <v> </v>
      </c>
      <c r="AF170" s="17" t="str">
        <f aca="false">IF((E170="l"),H170," ")</f>
        <v> </v>
      </c>
      <c r="AG170" s="17" t="str">
        <f aca="false">IF((E170="y"),H170," ")</f>
        <v> </v>
      </c>
      <c r="AH170" s="17" t="str">
        <f aca="false">IF((E170="z"),H170," ")</f>
        <v> </v>
      </c>
      <c r="AI170" s="17" t="str">
        <f aca="false">IF((E170="fa"),H170," ")</f>
        <v> </v>
      </c>
      <c r="AJ170" s="17" t="str">
        <f aca="false">IF((E170="e"),H170," ")</f>
        <v> </v>
      </c>
    </row>
    <row r="171" customFormat="false" ht="12" hidden="false" customHeight="false" outlineLevel="0" collapsed="false">
      <c r="A171" s="28"/>
      <c r="E171" s="2" t="str">
        <f aca="false">IF((F171&lt;&gt;0),"Enter Letter"," ")</f>
        <v> </v>
      </c>
      <c r="F171" s="30"/>
      <c r="G171" s="6" t="str">
        <f aca="false">IF(F171&lt;&gt;0,F171*G$2/(100+G$2)," ")</f>
        <v> </v>
      </c>
      <c r="H171" s="6" t="str">
        <f aca="false">IF((F171&lt;&gt;0),F171-G171," ")</f>
        <v> </v>
      </c>
      <c r="I171" s="5"/>
      <c r="L171" s="7" t="str">
        <f aca="false">IF(F171&lt;&gt;0,F171-K171," ")</f>
        <v> </v>
      </c>
      <c r="M171" s="8" t="str">
        <f aca="false">IF((F171-K171)&lt;&gt;0,M$1-A171," ")</f>
        <v> </v>
      </c>
      <c r="N171" s="5"/>
      <c r="O171" s="17" t="str">
        <f aca="false">IF((E171="s"),H171," ")</f>
        <v> </v>
      </c>
      <c r="P171" s="17" t="str">
        <f aca="false">IF((E171="c"),H171," ")</f>
        <v> </v>
      </c>
      <c r="Q171" s="17" t="str">
        <f aca="false">IF((E171="o"),H171," ")</f>
        <v> </v>
      </c>
      <c r="R171" s="17" t="str">
        <f aca="false">IF((E171="d"),H171," ")</f>
        <v> </v>
      </c>
      <c r="S171" s="17" t="str">
        <f aca="false">IF((E171="w"),H171," ")</f>
        <v> </v>
      </c>
      <c r="T171" s="17" t="str">
        <f aca="false">IF((E171="r"),H171," ")</f>
        <v> </v>
      </c>
      <c r="U171" s="17" t="str">
        <f aca="false">IF((E171="p"),H171," ")</f>
        <v> </v>
      </c>
      <c r="V171" s="17" t="str">
        <f aca="false">IF((E171="t"),H171," ")</f>
        <v> </v>
      </c>
      <c r="W171" s="17" t="str">
        <f aca="false">IF((E171="q"),H171," ")</f>
        <v> </v>
      </c>
      <c r="X171" s="17" t="str">
        <f aca="false">IF((E171="m"),H171," ")</f>
        <v> </v>
      </c>
      <c r="Y171" s="17" t="str">
        <f aca="false">IF((E171="u"),H171," ")</f>
        <v> </v>
      </c>
      <c r="Z171" s="17" t="str">
        <f aca="false">IF((E171="a"),H171," ")</f>
        <v> </v>
      </c>
      <c r="AA171" s="17" t="str">
        <f aca="false">IF((E171="g"),H171," ")</f>
        <v> </v>
      </c>
      <c r="AB171" s="17" t="str">
        <f aca="false">IF((E171="h"),H171," ")</f>
        <v> </v>
      </c>
      <c r="AC171" s="30" t="str">
        <f aca="false">IF((E171="v"),H171," ")</f>
        <v> </v>
      </c>
      <c r="AD171" s="30" t="str">
        <f aca="false">IF((E171="n"),H171," ")</f>
        <v> </v>
      </c>
      <c r="AE171" s="17" t="str">
        <f aca="false">IF((E171="f"),H171," ")</f>
        <v> </v>
      </c>
      <c r="AF171" s="17" t="str">
        <f aca="false">IF((E171="l"),H171," ")</f>
        <v> </v>
      </c>
      <c r="AG171" s="17" t="str">
        <f aca="false">IF((E171="y"),H171," ")</f>
        <v> </v>
      </c>
      <c r="AH171" s="17" t="str">
        <f aca="false">IF((E171="z"),H171," ")</f>
        <v> </v>
      </c>
      <c r="AI171" s="17" t="str">
        <f aca="false">IF((E171="fa"),H171," ")</f>
        <v> </v>
      </c>
      <c r="AJ171" s="17" t="str">
        <f aca="false">IF((E171="e"),H171," ")</f>
        <v> </v>
      </c>
    </row>
    <row r="172" customFormat="false" ht="12" hidden="false" customHeight="false" outlineLevel="0" collapsed="false">
      <c r="A172" s="28"/>
      <c r="E172" s="2" t="str">
        <f aca="false">IF((F172&lt;&gt;0),"Enter Letter"," ")</f>
        <v> </v>
      </c>
      <c r="F172" s="30"/>
      <c r="G172" s="6" t="str">
        <f aca="false">IF(F172&lt;&gt;0,F172*G$2/(100+G$2)," ")</f>
        <v> </v>
      </c>
      <c r="H172" s="6" t="str">
        <f aca="false">IF((F172&lt;&gt;0),F172-G172," ")</f>
        <v> </v>
      </c>
      <c r="I172" s="5"/>
      <c r="L172" s="7" t="str">
        <f aca="false">IF(F172&lt;&gt;0,F172-K172," ")</f>
        <v> </v>
      </c>
      <c r="M172" s="8" t="str">
        <f aca="false">IF((F172-K172)&lt;&gt;0,M$1-A172," ")</f>
        <v> </v>
      </c>
      <c r="N172" s="5"/>
      <c r="O172" s="17" t="str">
        <f aca="false">IF((E172="s"),H172," ")</f>
        <v> </v>
      </c>
      <c r="P172" s="17" t="str">
        <f aca="false">IF((E172="c"),H172," ")</f>
        <v> </v>
      </c>
      <c r="Q172" s="17" t="str">
        <f aca="false">IF((E172="o"),H172," ")</f>
        <v> </v>
      </c>
      <c r="R172" s="17" t="str">
        <f aca="false">IF((E172="d"),H172," ")</f>
        <v> </v>
      </c>
      <c r="S172" s="17" t="str">
        <f aca="false">IF((E172="w"),H172," ")</f>
        <v> </v>
      </c>
      <c r="T172" s="17" t="str">
        <f aca="false">IF((E172="r"),H172," ")</f>
        <v> </v>
      </c>
      <c r="U172" s="17" t="str">
        <f aca="false">IF((E172="p"),H172," ")</f>
        <v> </v>
      </c>
      <c r="V172" s="17" t="str">
        <f aca="false">IF((E172="t"),H172," ")</f>
        <v> </v>
      </c>
      <c r="W172" s="17" t="str">
        <f aca="false">IF((E172="q"),H172," ")</f>
        <v> </v>
      </c>
      <c r="X172" s="17" t="str">
        <f aca="false">IF((E172="m"),H172," ")</f>
        <v> </v>
      </c>
      <c r="Y172" s="17" t="str">
        <f aca="false">IF((E172="u"),H172," ")</f>
        <v> </v>
      </c>
      <c r="Z172" s="17" t="str">
        <f aca="false">IF((E172="a"),H172," ")</f>
        <v> </v>
      </c>
      <c r="AA172" s="17" t="str">
        <f aca="false">IF((E172="g"),H172," ")</f>
        <v> </v>
      </c>
      <c r="AB172" s="17" t="str">
        <f aca="false">IF((E172="h"),H172," ")</f>
        <v> </v>
      </c>
      <c r="AC172" s="30" t="str">
        <f aca="false">IF((E172="v"),H172," ")</f>
        <v> </v>
      </c>
      <c r="AD172" s="30" t="str">
        <f aca="false">IF((E172="n"),H172," ")</f>
        <v> </v>
      </c>
      <c r="AE172" s="17" t="str">
        <f aca="false">IF((E172="f"),H172," ")</f>
        <v> </v>
      </c>
      <c r="AF172" s="17" t="str">
        <f aca="false">IF((E172="l"),H172," ")</f>
        <v> </v>
      </c>
      <c r="AG172" s="17" t="str">
        <f aca="false">IF((E172="y"),H172," ")</f>
        <v> </v>
      </c>
      <c r="AH172" s="17" t="str">
        <f aca="false">IF((E172="z"),H172," ")</f>
        <v> </v>
      </c>
      <c r="AI172" s="17" t="str">
        <f aca="false">IF((E172="fa"),H172," ")</f>
        <v> </v>
      </c>
      <c r="AJ172" s="17" t="str">
        <f aca="false">IF((E172="e"),H172," ")</f>
        <v> </v>
      </c>
    </row>
    <row r="173" customFormat="false" ht="12" hidden="false" customHeight="false" outlineLevel="0" collapsed="false">
      <c r="A173" s="28"/>
      <c r="E173" s="2" t="str">
        <f aca="false">IF((F173&lt;&gt;0),"Enter Letter"," ")</f>
        <v> </v>
      </c>
      <c r="F173" s="30"/>
      <c r="G173" s="6" t="str">
        <f aca="false">IF(F173&lt;&gt;0,F173*G$2/(100+G$2)," ")</f>
        <v> </v>
      </c>
      <c r="H173" s="6" t="str">
        <f aca="false">IF((F173&lt;&gt;0),F173-G173," ")</f>
        <v> </v>
      </c>
      <c r="I173" s="5"/>
      <c r="L173" s="7" t="str">
        <f aca="false">IF(F173&lt;&gt;0,F173-K173," ")</f>
        <v> </v>
      </c>
      <c r="M173" s="8" t="str">
        <f aca="false">IF((F173-K173)&lt;&gt;0,M$1-A173," ")</f>
        <v> </v>
      </c>
      <c r="N173" s="5"/>
      <c r="O173" s="17" t="str">
        <f aca="false">IF((E173="s"),H173," ")</f>
        <v> </v>
      </c>
      <c r="P173" s="17" t="str">
        <f aca="false">IF((E173="c"),H173," ")</f>
        <v> </v>
      </c>
      <c r="Q173" s="17" t="str">
        <f aca="false">IF((E173="o"),H173," ")</f>
        <v> </v>
      </c>
      <c r="R173" s="17" t="str">
        <f aca="false">IF((E173="d"),H173," ")</f>
        <v> </v>
      </c>
      <c r="S173" s="17" t="str">
        <f aca="false">IF((E173="w"),H173," ")</f>
        <v> </v>
      </c>
      <c r="T173" s="17" t="str">
        <f aca="false">IF((E173="r"),H173," ")</f>
        <v> </v>
      </c>
      <c r="U173" s="17" t="str">
        <f aca="false">IF((E173="p"),H173," ")</f>
        <v> </v>
      </c>
      <c r="V173" s="17" t="str">
        <f aca="false">IF((E173="t"),H173," ")</f>
        <v> </v>
      </c>
      <c r="W173" s="17" t="str">
        <f aca="false">IF((E173="q"),H173," ")</f>
        <v> </v>
      </c>
      <c r="X173" s="17" t="str">
        <f aca="false">IF((E173="m"),H173," ")</f>
        <v> </v>
      </c>
      <c r="Y173" s="17" t="str">
        <f aca="false">IF((E173="u"),H173," ")</f>
        <v> </v>
      </c>
      <c r="Z173" s="17" t="str">
        <f aca="false">IF((E173="a"),H173," ")</f>
        <v> </v>
      </c>
      <c r="AA173" s="17" t="str">
        <f aca="false">IF((E173="g"),H173," ")</f>
        <v> </v>
      </c>
      <c r="AB173" s="17" t="str">
        <f aca="false">IF((E173="h"),H173," ")</f>
        <v> </v>
      </c>
      <c r="AC173" s="30" t="str">
        <f aca="false">IF((E173="v"),H173," ")</f>
        <v> </v>
      </c>
      <c r="AD173" s="30" t="str">
        <f aca="false">IF((E173="n"),H173," ")</f>
        <v> </v>
      </c>
      <c r="AE173" s="17" t="str">
        <f aca="false">IF((E173="f"),H173," ")</f>
        <v> </v>
      </c>
      <c r="AF173" s="17" t="str">
        <f aca="false">IF((E173="l"),H173," ")</f>
        <v> </v>
      </c>
      <c r="AG173" s="17" t="str">
        <f aca="false">IF((E173="y"),H173," ")</f>
        <v> </v>
      </c>
      <c r="AH173" s="17" t="str">
        <f aca="false">IF((E173="z"),H173," ")</f>
        <v> </v>
      </c>
      <c r="AI173" s="17" t="str">
        <f aca="false">IF((E173="fa"),H173," ")</f>
        <v> </v>
      </c>
      <c r="AJ173" s="17" t="str">
        <f aca="false">IF((E173="e"),H173," ")</f>
        <v> </v>
      </c>
    </row>
    <row r="174" customFormat="false" ht="12" hidden="false" customHeight="false" outlineLevel="0" collapsed="false">
      <c r="A174" s="28"/>
      <c r="E174" s="2" t="str">
        <f aca="false">IF((F174&lt;&gt;0),"Enter Letter"," ")</f>
        <v> </v>
      </c>
      <c r="F174" s="30"/>
      <c r="G174" s="6" t="str">
        <f aca="false">IF(F174&lt;&gt;0,F174*G$2/(100+G$2)," ")</f>
        <v> </v>
      </c>
      <c r="H174" s="6" t="str">
        <f aca="false">IF((F174&lt;&gt;0),F174-G174," ")</f>
        <v> </v>
      </c>
      <c r="I174" s="5"/>
      <c r="L174" s="7" t="str">
        <f aca="false">IF(F174&lt;&gt;0,F174-K174," ")</f>
        <v> </v>
      </c>
      <c r="M174" s="8" t="str">
        <f aca="false">IF((F174-K174)&lt;&gt;0,M$1-A174," ")</f>
        <v> </v>
      </c>
      <c r="N174" s="5"/>
      <c r="O174" s="17" t="str">
        <f aca="false">IF((E174="s"),H174," ")</f>
        <v> </v>
      </c>
      <c r="P174" s="17" t="str">
        <f aca="false">IF((E174="c"),H174," ")</f>
        <v> </v>
      </c>
      <c r="Q174" s="17" t="str">
        <f aca="false">IF((E174="o"),H174," ")</f>
        <v> </v>
      </c>
      <c r="R174" s="17" t="str">
        <f aca="false">IF((E174="d"),H174," ")</f>
        <v> </v>
      </c>
      <c r="S174" s="17" t="str">
        <f aca="false">IF((E174="w"),H174," ")</f>
        <v> </v>
      </c>
      <c r="T174" s="17" t="str">
        <f aca="false">IF((E174="r"),H174," ")</f>
        <v> </v>
      </c>
      <c r="U174" s="17" t="str">
        <f aca="false">IF((E174="p"),H174," ")</f>
        <v> </v>
      </c>
      <c r="V174" s="17" t="str">
        <f aca="false">IF((E174="t"),H174," ")</f>
        <v> </v>
      </c>
      <c r="W174" s="17" t="str">
        <f aca="false">IF((E174="q"),H174," ")</f>
        <v> </v>
      </c>
      <c r="X174" s="17" t="str">
        <f aca="false">IF((E174="m"),H174," ")</f>
        <v> </v>
      </c>
      <c r="Y174" s="17" t="str">
        <f aca="false">IF((E174="u"),H174," ")</f>
        <v> </v>
      </c>
      <c r="Z174" s="17" t="str">
        <f aca="false">IF((E174="a"),H174," ")</f>
        <v> </v>
      </c>
      <c r="AA174" s="17" t="str">
        <f aca="false">IF((E174="g"),H174," ")</f>
        <v> </v>
      </c>
      <c r="AB174" s="17" t="str">
        <f aca="false">IF((E174="h"),H174," ")</f>
        <v> </v>
      </c>
      <c r="AC174" s="30" t="str">
        <f aca="false">IF((E174="v"),H174," ")</f>
        <v> </v>
      </c>
      <c r="AD174" s="30" t="str">
        <f aca="false">IF((E174="n"),H174," ")</f>
        <v> </v>
      </c>
      <c r="AE174" s="17" t="str">
        <f aca="false">IF((E174="f"),H174," ")</f>
        <v> </v>
      </c>
      <c r="AF174" s="17" t="str">
        <f aca="false">IF((E174="l"),H174," ")</f>
        <v> </v>
      </c>
      <c r="AG174" s="17" t="str">
        <f aca="false">IF((E174="y"),H174," ")</f>
        <v> </v>
      </c>
      <c r="AH174" s="17" t="str">
        <f aca="false">IF((E174="z"),H174," ")</f>
        <v> </v>
      </c>
      <c r="AI174" s="17" t="str">
        <f aca="false">IF((E174="fa"),H174," ")</f>
        <v> </v>
      </c>
      <c r="AJ174" s="17" t="str">
        <f aca="false">IF((E174="e"),H174," ")</f>
        <v> </v>
      </c>
    </row>
    <row r="175" customFormat="false" ht="12" hidden="false" customHeight="false" outlineLevel="0" collapsed="false">
      <c r="A175" s="28"/>
      <c r="E175" s="2" t="str">
        <f aca="false">IF((F175&lt;&gt;0),"Enter Letter"," ")</f>
        <v> </v>
      </c>
      <c r="F175" s="30"/>
      <c r="G175" s="6" t="str">
        <f aca="false">IF(F175&lt;&gt;0,F175*G$2/(100+G$2)," ")</f>
        <v> </v>
      </c>
      <c r="H175" s="6" t="str">
        <f aca="false">IF((F175&lt;&gt;0),F175-G175," ")</f>
        <v> </v>
      </c>
      <c r="I175" s="5"/>
      <c r="L175" s="7" t="str">
        <f aca="false">IF(F175&lt;&gt;0,F175-K175," ")</f>
        <v> </v>
      </c>
      <c r="M175" s="8" t="str">
        <f aca="false">IF((F175-K175)&lt;&gt;0,M$1-A175," ")</f>
        <v> </v>
      </c>
      <c r="N175" s="5"/>
      <c r="O175" s="17" t="str">
        <f aca="false">IF((E175="s"),H175," ")</f>
        <v> </v>
      </c>
      <c r="P175" s="17" t="str">
        <f aca="false">IF((E175="c"),H175," ")</f>
        <v> </v>
      </c>
      <c r="Q175" s="17" t="str">
        <f aca="false">IF((E175="o"),H175," ")</f>
        <v> </v>
      </c>
      <c r="R175" s="17" t="str">
        <f aca="false">IF((E175="d"),H175," ")</f>
        <v> </v>
      </c>
      <c r="S175" s="17" t="str">
        <f aca="false">IF((E175="w"),H175," ")</f>
        <v> </v>
      </c>
      <c r="T175" s="17" t="str">
        <f aca="false">IF((E175="r"),H175," ")</f>
        <v> </v>
      </c>
      <c r="U175" s="17" t="str">
        <f aca="false">IF((E175="p"),H175," ")</f>
        <v> </v>
      </c>
      <c r="V175" s="17" t="str">
        <f aca="false">IF((E175="t"),H175," ")</f>
        <v> </v>
      </c>
      <c r="W175" s="17" t="str">
        <f aca="false">IF((E175="q"),H175," ")</f>
        <v> </v>
      </c>
      <c r="X175" s="17" t="str">
        <f aca="false">IF((E175="m"),H175," ")</f>
        <v> </v>
      </c>
      <c r="Y175" s="17" t="str">
        <f aca="false">IF((E175="u"),H175," ")</f>
        <v> </v>
      </c>
      <c r="Z175" s="17" t="str">
        <f aca="false">IF((E175="a"),H175," ")</f>
        <v> </v>
      </c>
      <c r="AA175" s="17" t="str">
        <f aca="false">IF((E175="g"),H175," ")</f>
        <v> </v>
      </c>
      <c r="AB175" s="17" t="str">
        <f aca="false">IF((E175="h"),H175," ")</f>
        <v> </v>
      </c>
      <c r="AC175" s="30" t="str">
        <f aca="false">IF((E175="v"),H175," ")</f>
        <v> </v>
      </c>
      <c r="AD175" s="30" t="str">
        <f aca="false">IF((E175="n"),H175," ")</f>
        <v> </v>
      </c>
      <c r="AE175" s="17" t="str">
        <f aca="false">IF((E175="f"),H175," ")</f>
        <v> </v>
      </c>
      <c r="AF175" s="17" t="str">
        <f aca="false">IF((E175="l"),H175," ")</f>
        <v> </v>
      </c>
      <c r="AG175" s="17" t="str">
        <f aca="false">IF((E175="y"),H175," ")</f>
        <v> </v>
      </c>
      <c r="AH175" s="17" t="str">
        <f aca="false">IF((E175="z"),H175," ")</f>
        <v> </v>
      </c>
      <c r="AI175" s="17" t="str">
        <f aca="false">IF((E175="fa"),H175," ")</f>
        <v> </v>
      </c>
      <c r="AJ175" s="17" t="str">
        <f aca="false">IF((E175="e"),H175," ")</f>
        <v> </v>
      </c>
    </row>
    <row r="176" customFormat="false" ht="12" hidden="false" customHeight="false" outlineLevel="0" collapsed="false">
      <c r="A176" s="28"/>
      <c r="E176" s="2" t="str">
        <f aca="false">IF((F176&lt;&gt;0),"Enter Letter"," ")</f>
        <v> </v>
      </c>
      <c r="F176" s="30"/>
      <c r="G176" s="6" t="str">
        <f aca="false">IF(F176&lt;&gt;0,F176*G$2/(100+G$2)," ")</f>
        <v> </v>
      </c>
      <c r="H176" s="6" t="str">
        <f aca="false">IF((F176&lt;&gt;0),F176-G176," ")</f>
        <v> </v>
      </c>
      <c r="I176" s="5"/>
      <c r="L176" s="7" t="str">
        <f aca="false">IF(F176&lt;&gt;0,F176-K176," ")</f>
        <v> </v>
      </c>
      <c r="M176" s="8" t="str">
        <f aca="false">IF((F176-K176)&lt;&gt;0,M$1-A176," ")</f>
        <v> </v>
      </c>
      <c r="N176" s="5"/>
      <c r="O176" s="17" t="str">
        <f aca="false">IF((E176="s"),H176," ")</f>
        <v> </v>
      </c>
      <c r="P176" s="17" t="str">
        <f aca="false">IF((E176="c"),H176," ")</f>
        <v> </v>
      </c>
      <c r="Q176" s="17" t="str">
        <f aca="false">IF((E176="o"),H176," ")</f>
        <v> </v>
      </c>
      <c r="R176" s="17" t="str">
        <f aca="false">IF((E176="d"),H176," ")</f>
        <v> </v>
      </c>
      <c r="S176" s="17" t="str">
        <f aca="false">IF((E176="w"),H176," ")</f>
        <v> </v>
      </c>
      <c r="T176" s="17" t="str">
        <f aca="false">IF((E176="r"),H176," ")</f>
        <v> </v>
      </c>
      <c r="U176" s="17" t="str">
        <f aca="false">IF((E176="p"),H176," ")</f>
        <v> </v>
      </c>
      <c r="V176" s="17" t="str">
        <f aca="false">IF((E176="t"),H176," ")</f>
        <v> </v>
      </c>
      <c r="W176" s="17" t="str">
        <f aca="false">IF((E176="q"),H176," ")</f>
        <v> </v>
      </c>
      <c r="X176" s="17" t="str">
        <f aca="false">IF((E176="m"),H176," ")</f>
        <v> </v>
      </c>
      <c r="Y176" s="17" t="str">
        <f aca="false">IF((E176="u"),H176," ")</f>
        <v> </v>
      </c>
      <c r="Z176" s="17" t="str">
        <f aca="false">IF((E176="a"),H176," ")</f>
        <v> </v>
      </c>
      <c r="AA176" s="17" t="str">
        <f aca="false">IF((E176="g"),H176," ")</f>
        <v> </v>
      </c>
      <c r="AB176" s="17" t="str">
        <f aca="false">IF((E176="h"),H176," ")</f>
        <v> </v>
      </c>
      <c r="AC176" s="30" t="str">
        <f aca="false">IF((E176="v"),H176," ")</f>
        <v> </v>
      </c>
      <c r="AD176" s="30" t="str">
        <f aca="false">IF((E176="n"),H176," ")</f>
        <v> </v>
      </c>
      <c r="AE176" s="17" t="str">
        <f aca="false">IF((E176="f"),H176," ")</f>
        <v> </v>
      </c>
      <c r="AF176" s="17" t="str">
        <f aca="false">IF((E176="l"),H176," ")</f>
        <v> </v>
      </c>
      <c r="AG176" s="17" t="str">
        <f aca="false">IF((E176="y"),H176," ")</f>
        <v> </v>
      </c>
      <c r="AH176" s="17" t="str">
        <f aca="false">IF((E176="z"),H176," ")</f>
        <v> </v>
      </c>
      <c r="AI176" s="17" t="str">
        <f aca="false">IF((E176="fa"),H176," ")</f>
        <v> </v>
      </c>
      <c r="AJ176" s="17" t="str">
        <f aca="false">IF((E176="e"),H176," ")</f>
        <v> </v>
      </c>
    </row>
    <row r="177" customFormat="false" ht="12" hidden="false" customHeight="false" outlineLevel="0" collapsed="false">
      <c r="A177" s="28"/>
      <c r="E177" s="2" t="str">
        <f aca="false">IF((F177&lt;&gt;0),"Enter Letter"," ")</f>
        <v> </v>
      </c>
      <c r="F177" s="30"/>
      <c r="G177" s="6" t="str">
        <f aca="false">IF(F177&lt;&gt;0,F177*G$2/(100+G$2)," ")</f>
        <v> </v>
      </c>
      <c r="H177" s="6" t="str">
        <f aca="false">IF((F177&lt;&gt;0),F177-G177," ")</f>
        <v> </v>
      </c>
      <c r="I177" s="5"/>
      <c r="L177" s="7" t="str">
        <f aca="false">IF(F177&lt;&gt;0,F177-K177," ")</f>
        <v> </v>
      </c>
      <c r="M177" s="8" t="str">
        <f aca="false">IF((F177-K177)&lt;&gt;0,M$1-A177," ")</f>
        <v> </v>
      </c>
      <c r="N177" s="5"/>
      <c r="O177" s="17" t="str">
        <f aca="false">IF((E177="s"),H177," ")</f>
        <v> </v>
      </c>
      <c r="P177" s="17" t="str">
        <f aca="false">IF((E177="c"),H177," ")</f>
        <v> </v>
      </c>
      <c r="Q177" s="17" t="str">
        <f aca="false">IF((E177="o"),H177," ")</f>
        <v> </v>
      </c>
      <c r="R177" s="17" t="str">
        <f aca="false">IF((E177="d"),H177," ")</f>
        <v> </v>
      </c>
      <c r="S177" s="17" t="str">
        <f aca="false">IF((E177="w"),H177," ")</f>
        <v> </v>
      </c>
      <c r="T177" s="17" t="str">
        <f aca="false">IF((E177="r"),H177," ")</f>
        <v> </v>
      </c>
      <c r="U177" s="17" t="str">
        <f aca="false">IF((E177="p"),H177," ")</f>
        <v> </v>
      </c>
      <c r="V177" s="17" t="str">
        <f aca="false">IF((E177="t"),H177," ")</f>
        <v> </v>
      </c>
      <c r="W177" s="17" t="str">
        <f aca="false">IF((E177="q"),H177," ")</f>
        <v> </v>
      </c>
      <c r="X177" s="17" t="str">
        <f aca="false">IF((E177="m"),H177," ")</f>
        <v> </v>
      </c>
      <c r="Y177" s="17" t="str">
        <f aca="false">IF((E177="u"),H177," ")</f>
        <v> </v>
      </c>
      <c r="Z177" s="17" t="str">
        <f aca="false">IF((E177="a"),H177," ")</f>
        <v> </v>
      </c>
      <c r="AA177" s="17" t="str">
        <f aca="false">IF((E177="g"),H177," ")</f>
        <v> </v>
      </c>
      <c r="AB177" s="17" t="str">
        <f aca="false">IF((E177="h"),H177," ")</f>
        <v> </v>
      </c>
      <c r="AC177" s="30" t="str">
        <f aca="false">IF((E177="v"),H177," ")</f>
        <v> </v>
      </c>
      <c r="AD177" s="30" t="str">
        <f aca="false">IF((E177="n"),H177," ")</f>
        <v> </v>
      </c>
      <c r="AE177" s="17" t="str">
        <f aca="false">IF((E177="f"),H177," ")</f>
        <v> </v>
      </c>
      <c r="AF177" s="17" t="str">
        <f aca="false">IF((E177="l"),H177," ")</f>
        <v> </v>
      </c>
      <c r="AG177" s="17" t="str">
        <f aca="false">IF((E177="y"),H177," ")</f>
        <v> </v>
      </c>
      <c r="AH177" s="17" t="str">
        <f aca="false">IF((E177="z"),H177," ")</f>
        <v> </v>
      </c>
      <c r="AI177" s="17" t="str">
        <f aca="false">IF((E177="fa"),H177," ")</f>
        <v> </v>
      </c>
      <c r="AJ177" s="17" t="str">
        <f aca="false">IF((E177="e"),H177," ")</f>
        <v> </v>
      </c>
    </row>
    <row r="178" customFormat="false" ht="12" hidden="false" customHeight="false" outlineLevel="0" collapsed="false">
      <c r="A178" s="28"/>
      <c r="E178" s="2" t="str">
        <f aca="false">IF((F178&lt;&gt;0),"Enter Letter"," ")</f>
        <v> </v>
      </c>
      <c r="F178" s="30"/>
      <c r="G178" s="6" t="str">
        <f aca="false">IF(F178&lt;&gt;0,F178*G$2/(100+G$2)," ")</f>
        <v> </v>
      </c>
      <c r="H178" s="6" t="str">
        <f aca="false">IF((F178&lt;&gt;0),F178-G178," ")</f>
        <v> </v>
      </c>
      <c r="I178" s="5"/>
      <c r="L178" s="7" t="str">
        <f aca="false">IF(F178&lt;&gt;0,F178-K178," ")</f>
        <v> </v>
      </c>
      <c r="M178" s="8" t="str">
        <f aca="false">IF((F178-K178)&lt;&gt;0,M$1-A178," ")</f>
        <v> </v>
      </c>
      <c r="N178" s="5"/>
      <c r="O178" s="17" t="str">
        <f aca="false">IF((E178="s"),H178," ")</f>
        <v> </v>
      </c>
      <c r="P178" s="17" t="str">
        <f aca="false">IF((E178="c"),H178," ")</f>
        <v> </v>
      </c>
      <c r="Q178" s="17" t="str">
        <f aca="false">IF((E178="o"),H178," ")</f>
        <v> </v>
      </c>
      <c r="R178" s="17" t="str">
        <f aca="false">IF((E178="d"),H178," ")</f>
        <v> </v>
      </c>
      <c r="S178" s="17" t="str">
        <f aca="false">IF((E178="w"),H178," ")</f>
        <v> </v>
      </c>
      <c r="T178" s="17" t="str">
        <f aca="false">IF((E178="r"),H178," ")</f>
        <v> </v>
      </c>
      <c r="U178" s="17" t="str">
        <f aca="false">IF((E178="p"),H178," ")</f>
        <v> </v>
      </c>
      <c r="V178" s="17" t="str">
        <f aca="false">IF((E178="t"),H178," ")</f>
        <v> </v>
      </c>
      <c r="W178" s="17" t="str">
        <f aca="false">IF((E178="q"),H178," ")</f>
        <v> </v>
      </c>
      <c r="X178" s="17" t="str">
        <f aca="false">IF((E178="m"),H178," ")</f>
        <v> </v>
      </c>
      <c r="Y178" s="17" t="str">
        <f aca="false">IF((E178="u"),H178," ")</f>
        <v> </v>
      </c>
      <c r="Z178" s="17" t="str">
        <f aca="false">IF((E178="a"),H178," ")</f>
        <v> </v>
      </c>
      <c r="AA178" s="17" t="str">
        <f aca="false">IF((E178="g"),H178," ")</f>
        <v> </v>
      </c>
      <c r="AB178" s="17" t="str">
        <f aca="false">IF((E178="h"),H178," ")</f>
        <v> </v>
      </c>
      <c r="AC178" s="30" t="str">
        <f aca="false">IF((E178="v"),H178," ")</f>
        <v> </v>
      </c>
      <c r="AD178" s="30" t="str">
        <f aca="false">IF((E178="n"),H178," ")</f>
        <v> </v>
      </c>
      <c r="AE178" s="17" t="str">
        <f aca="false">IF((E178="f"),H178," ")</f>
        <v> </v>
      </c>
      <c r="AF178" s="17" t="str">
        <f aca="false">IF((E178="l"),H178," ")</f>
        <v> </v>
      </c>
      <c r="AG178" s="17" t="str">
        <f aca="false">IF((E178="y"),H178," ")</f>
        <v> </v>
      </c>
      <c r="AH178" s="17" t="str">
        <f aca="false">IF((E178="z"),H178," ")</f>
        <v> </v>
      </c>
      <c r="AI178" s="17" t="str">
        <f aca="false">IF((E178="fa"),H178," ")</f>
        <v> </v>
      </c>
      <c r="AJ178" s="17" t="str">
        <f aca="false">IF((E178="e"),H178," ")</f>
        <v> </v>
      </c>
    </row>
    <row r="179" customFormat="false" ht="12" hidden="false" customHeight="false" outlineLevel="0" collapsed="false">
      <c r="A179" s="28"/>
      <c r="E179" s="2" t="str">
        <f aca="false">IF((F179&lt;&gt;0),"Enter Letter"," ")</f>
        <v> </v>
      </c>
      <c r="F179" s="30"/>
      <c r="G179" s="6" t="str">
        <f aca="false">IF(F179&lt;&gt;0,F179*G$2/(100+G$2)," ")</f>
        <v> </v>
      </c>
      <c r="H179" s="6" t="str">
        <f aca="false">IF((F179&lt;&gt;0),F179-G179," ")</f>
        <v> </v>
      </c>
      <c r="I179" s="5"/>
      <c r="L179" s="7" t="str">
        <f aca="false">IF(F179&lt;&gt;0,F179-K179," ")</f>
        <v> </v>
      </c>
      <c r="M179" s="8" t="str">
        <f aca="false">IF((F179-K179)&lt;&gt;0,M$1-A179," ")</f>
        <v> </v>
      </c>
      <c r="N179" s="5"/>
      <c r="O179" s="17" t="str">
        <f aca="false">IF((E179="s"),H179," ")</f>
        <v> </v>
      </c>
      <c r="P179" s="17" t="str">
        <f aca="false">IF((E179="c"),H179," ")</f>
        <v> </v>
      </c>
      <c r="Q179" s="17" t="str">
        <f aca="false">IF((E179="o"),H179," ")</f>
        <v> </v>
      </c>
      <c r="R179" s="17" t="str">
        <f aca="false">IF((E179="d"),H179," ")</f>
        <v> </v>
      </c>
      <c r="S179" s="17" t="str">
        <f aca="false">IF((E179="w"),H179," ")</f>
        <v> </v>
      </c>
      <c r="T179" s="17" t="str">
        <f aca="false">IF((E179="r"),H179," ")</f>
        <v> </v>
      </c>
      <c r="U179" s="17" t="str">
        <f aca="false">IF((E179="p"),H179," ")</f>
        <v> </v>
      </c>
      <c r="V179" s="17" t="str">
        <f aca="false">IF((E179="t"),H179," ")</f>
        <v> </v>
      </c>
      <c r="W179" s="17" t="str">
        <f aca="false">IF((E179="q"),H179," ")</f>
        <v> </v>
      </c>
      <c r="X179" s="17" t="str">
        <f aca="false">IF((E179="m"),H179," ")</f>
        <v> </v>
      </c>
      <c r="Y179" s="17" t="str">
        <f aca="false">IF((E179="u"),H179," ")</f>
        <v> </v>
      </c>
      <c r="Z179" s="17" t="str">
        <f aca="false">IF((E179="a"),H179," ")</f>
        <v> </v>
      </c>
      <c r="AA179" s="17" t="str">
        <f aca="false">IF((E179="g"),H179," ")</f>
        <v> </v>
      </c>
      <c r="AB179" s="17" t="str">
        <f aca="false">IF((E179="h"),H179," ")</f>
        <v> </v>
      </c>
      <c r="AC179" s="30" t="str">
        <f aca="false">IF((E179="v"),H179," ")</f>
        <v> </v>
      </c>
      <c r="AD179" s="30" t="str">
        <f aca="false">IF((E179="n"),H179," ")</f>
        <v> </v>
      </c>
      <c r="AE179" s="17" t="str">
        <f aca="false">IF((E179="f"),H179," ")</f>
        <v> </v>
      </c>
      <c r="AF179" s="17" t="str">
        <f aca="false">IF((E179="l"),H179," ")</f>
        <v> </v>
      </c>
      <c r="AG179" s="17" t="str">
        <f aca="false">IF((E179="y"),H179," ")</f>
        <v> </v>
      </c>
      <c r="AH179" s="17" t="str">
        <f aca="false">IF((E179="z"),H179," ")</f>
        <v> </v>
      </c>
      <c r="AI179" s="17" t="str">
        <f aca="false">IF((E179="fa"),H179," ")</f>
        <v> </v>
      </c>
      <c r="AJ179" s="17" t="str">
        <f aca="false">IF((E179="e"),H179," ")</f>
        <v> </v>
      </c>
    </row>
    <row r="180" customFormat="false" ht="12" hidden="false" customHeight="false" outlineLevel="0" collapsed="false">
      <c r="A180" s="28"/>
      <c r="E180" s="2" t="str">
        <f aca="false">IF((F180&lt;&gt;0),"Enter Letter"," ")</f>
        <v> </v>
      </c>
      <c r="F180" s="30"/>
      <c r="G180" s="6" t="str">
        <f aca="false">IF(F180&lt;&gt;0,F180*G$2/(100+G$2)," ")</f>
        <v> </v>
      </c>
      <c r="H180" s="6" t="str">
        <f aca="false">IF((F180&lt;&gt;0),F180-G180," ")</f>
        <v> </v>
      </c>
      <c r="I180" s="5"/>
      <c r="L180" s="7" t="str">
        <f aca="false">IF(F180&lt;&gt;0,F180-K180," ")</f>
        <v> </v>
      </c>
      <c r="M180" s="8" t="str">
        <f aca="false">IF((F180-K180)&lt;&gt;0,M$1-A180," ")</f>
        <v> </v>
      </c>
      <c r="N180" s="5"/>
      <c r="O180" s="17" t="str">
        <f aca="false">IF((E180="s"),H180," ")</f>
        <v> </v>
      </c>
      <c r="P180" s="17" t="str">
        <f aca="false">IF((E180="c"),H180," ")</f>
        <v> </v>
      </c>
      <c r="Q180" s="17" t="str">
        <f aca="false">IF((E180="o"),H180," ")</f>
        <v> </v>
      </c>
      <c r="R180" s="17" t="str">
        <f aca="false">IF((E180="d"),H180," ")</f>
        <v> </v>
      </c>
      <c r="S180" s="17" t="str">
        <f aca="false">IF((E180="w"),H180," ")</f>
        <v> </v>
      </c>
      <c r="T180" s="17" t="str">
        <f aca="false">IF((E180="r"),H180," ")</f>
        <v> </v>
      </c>
      <c r="U180" s="17" t="str">
        <f aca="false">IF((E180="p"),H180," ")</f>
        <v> </v>
      </c>
      <c r="V180" s="17" t="str">
        <f aca="false">IF((E180="t"),H180," ")</f>
        <v> </v>
      </c>
      <c r="W180" s="17" t="str">
        <f aca="false">IF((E180="q"),H180," ")</f>
        <v> </v>
      </c>
      <c r="X180" s="17" t="str">
        <f aca="false">IF((E180="m"),H180," ")</f>
        <v> </v>
      </c>
      <c r="Y180" s="17" t="str">
        <f aca="false">IF((E180="u"),H180," ")</f>
        <v> </v>
      </c>
      <c r="Z180" s="17" t="str">
        <f aca="false">IF((E180="a"),H180," ")</f>
        <v> </v>
      </c>
      <c r="AA180" s="17" t="str">
        <f aca="false">IF((E180="g"),H180," ")</f>
        <v> </v>
      </c>
      <c r="AB180" s="17" t="str">
        <f aca="false">IF((E180="h"),H180," ")</f>
        <v> </v>
      </c>
      <c r="AC180" s="30" t="str">
        <f aca="false">IF((E180="v"),H180," ")</f>
        <v> </v>
      </c>
      <c r="AD180" s="30" t="str">
        <f aca="false">IF((E180="n"),H180," ")</f>
        <v> </v>
      </c>
      <c r="AE180" s="17" t="str">
        <f aca="false">IF((E180="f"),H180," ")</f>
        <v> </v>
      </c>
      <c r="AF180" s="17" t="str">
        <f aca="false">IF((E180="l"),H180," ")</f>
        <v> </v>
      </c>
      <c r="AG180" s="17" t="str">
        <f aca="false">IF((E180="y"),H180," ")</f>
        <v> </v>
      </c>
      <c r="AH180" s="17" t="str">
        <f aca="false">IF((E180="z"),H180," ")</f>
        <v> </v>
      </c>
      <c r="AI180" s="17" t="str">
        <f aca="false">IF((E180="fa"),H180," ")</f>
        <v> </v>
      </c>
      <c r="AJ180" s="17" t="str">
        <f aca="false">IF((E180="e"),H180," ")</f>
        <v> </v>
      </c>
    </row>
    <row r="181" customFormat="false" ht="12" hidden="false" customHeight="false" outlineLevel="0" collapsed="false">
      <c r="A181" s="28"/>
      <c r="E181" s="2" t="str">
        <f aca="false">IF((F181&lt;&gt;0),"Enter Letter"," ")</f>
        <v> </v>
      </c>
      <c r="F181" s="30"/>
      <c r="G181" s="6" t="str">
        <f aca="false">IF(F181&lt;&gt;0,F181*G$2/(100+G$2)," ")</f>
        <v> </v>
      </c>
      <c r="H181" s="6" t="str">
        <f aca="false">IF((F181&lt;&gt;0),F181-G181," ")</f>
        <v> </v>
      </c>
      <c r="I181" s="5"/>
      <c r="L181" s="7" t="str">
        <f aca="false">IF(F181&lt;&gt;0,F181-K181," ")</f>
        <v> </v>
      </c>
      <c r="M181" s="8" t="str">
        <f aca="false">IF((F181-K181)&lt;&gt;0,M$1-A181," ")</f>
        <v> </v>
      </c>
      <c r="N181" s="5"/>
      <c r="O181" s="17" t="str">
        <f aca="false">IF((E181="s"),H181," ")</f>
        <v> </v>
      </c>
      <c r="P181" s="17" t="str">
        <f aca="false">IF((E181="c"),H181," ")</f>
        <v> </v>
      </c>
      <c r="Q181" s="17" t="str">
        <f aca="false">IF((E181="o"),H181," ")</f>
        <v> </v>
      </c>
      <c r="R181" s="17" t="str">
        <f aca="false">IF((E181="d"),H181," ")</f>
        <v> </v>
      </c>
      <c r="S181" s="17" t="str">
        <f aca="false">IF((E181="w"),H181," ")</f>
        <v> </v>
      </c>
      <c r="T181" s="17" t="str">
        <f aca="false">IF((E181="r"),H181," ")</f>
        <v> </v>
      </c>
      <c r="U181" s="17" t="str">
        <f aca="false">IF((E181="p"),H181," ")</f>
        <v> </v>
      </c>
      <c r="V181" s="17" t="str">
        <f aca="false">IF((E181="t"),H181," ")</f>
        <v> </v>
      </c>
      <c r="W181" s="17" t="str">
        <f aca="false">IF((E181="q"),H181," ")</f>
        <v> </v>
      </c>
      <c r="X181" s="17" t="str">
        <f aca="false">IF((E181="m"),H181," ")</f>
        <v> </v>
      </c>
      <c r="Y181" s="17" t="str">
        <f aca="false">IF((E181="u"),H181," ")</f>
        <v> </v>
      </c>
      <c r="Z181" s="17" t="str">
        <f aca="false">IF((E181="a"),H181," ")</f>
        <v> </v>
      </c>
      <c r="AA181" s="17" t="str">
        <f aca="false">IF((E181="g"),H181," ")</f>
        <v> </v>
      </c>
      <c r="AB181" s="17" t="str">
        <f aca="false">IF((E181="h"),H181," ")</f>
        <v> </v>
      </c>
      <c r="AC181" s="30" t="str">
        <f aca="false">IF((E181="v"),H181," ")</f>
        <v> </v>
      </c>
      <c r="AD181" s="30" t="str">
        <f aca="false">IF((E181="n"),H181," ")</f>
        <v> </v>
      </c>
      <c r="AE181" s="17" t="str">
        <f aca="false">IF((E181="f"),H181," ")</f>
        <v> </v>
      </c>
      <c r="AF181" s="17" t="str">
        <f aca="false">IF((E181="l"),H181," ")</f>
        <v> </v>
      </c>
      <c r="AG181" s="17" t="str">
        <f aca="false">IF((E181="y"),H181," ")</f>
        <v> </v>
      </c>
      <c r="AH181" s="17" t="str">
        <f aca="false">IF((E181="z"),H181," ")</f>
        <v> </v>
      </c>
      <c r="AI181" s="17" t="str">
        <f aca="false">IF((E181="fa"),H181," ")</f>
        <v> </v>
      </c>
      <c r="AJ181" s="17" t="str">
        <f aca="false">IF((E181="e"),H181," ")</f>
        <v> </v>
      </c>
    </row>
    <row r="182" customFormat="false" ht="12" hidden="false" customHeight="false" outlineLevel="0" collapsed="false">
      <c r="A182" s="28"/>
      <c r="E182" s="2" t="str">
        <f aca="false">IF((F182&lt;&gt;0),"Enter Letter"," ")</f>
        <v> </v>
      </c>
      <c r="F182" s="30"/>
      <c r="G182" s="6" t="str">
        <f aca="false">IF(F182&lt;&gt;0,F182*G$2/(100+G$2)," ")</f>
        <v> </v>
      </c>
      <c r="H182" s="6" t="str">
        <f aca="false">IF((F182&lt;&gt;0),F182-G182," ")</f>
        <v> </v>
      </c>
      <c r="I182" s="5"/>
      <c r="L182" s="7" t="str">
        <f aca="false">IF(F182&lt;&gt;0,F182-K182," ")</f>
        <v> </v>
      </c>
      <c r="M182" s="8" t="str">
        <f aca="false">IF((F182-K182)&lt;&gt;0,M$1-A182," ")</f>
        <v> </v>
      </c>
      <c r="N182" s="5"/>
      <c r="O182" s="17" t="str">
        <f aca="false">IF((E182="s"),H182," ")</f>
        <v> </v>
      </c>
      <c r="P182" s="17" t="str">
        <f aca="false">IF((E182="c"),H182," ")</f>
        <v> </v>
      </c>
      <c r="Q182" s="17" t="str">
        <f aca="false">IF((E182="o"),H182," ")</f>
        <v> </v>
      </c>
      <c r="R182" s="17" t="str">
        <f aca="false">IF((E182="d"),H182," ")</f>
        <v> </v>
      </c>
      <c r="S182" s="17" t="str">
        <f aca="false">IF((E182="w"),H182," ")</f>
        <v> </v>
      </c>
      <c r="T182" s="17" t="str">
        <f aca="false">IF((E182="r"),H182," ")</f>
        <v> </v>
      </c>
      <c r="U182" s="17" t="str">
        <f aca="false">IF((E182="p"),H182," ")</f>
        <v> </v>
      </c>
      <c r="V182" s="17" t="str">
        <f aca="false">IF((E182="t"),H182," ")</f>
        <v> </v>
      </c>
      <c r="W182" s="17" t="str">
        <f aca="false">IF((E182="q"),H182," ")</f>
        <v> </v>
      </c>
      <c r="X182" s="17" t="str">
        <f aca="false">IF((E182="m"),H182," ")</f>
        <v> </v>
      </c>
      <c r="Y182" s="17" t="str">
        <f aca="false">IF((E182="u"),H182," ")</f>
        <v> </v>
      </c>
      <c r="Z182" s="17" t="str">
        <f aca="false">IF((E182="a"),H182," ")</f>
        <v> </v>
      </c>
      <c r="AA182" s="17" t="str">
        <f aca="false">IF((E182="g"),H182," ")</f>
        <v> </v>
      </c>
      <c r="AB182" s="17" t="str">
        <f aca="false">IF((E182="h"),H182," ")</f>
        <v> </v>
      </c>
      <c r="AC182" s="30" t="str">
        <f aca="false">IF((E182="v"),H182," ")</f>
        <v> </v>
      </c>
      <c r="AD182" s="30" t="str">
        <f aca="false">IF((E182="n"),H182," ")</f>
        <v> </v>
      </c>
      <c r="AE182" s="17" t="str">
        <f aca="false">IF((E182="f"),H182," ")</f>
        <v> </v>
      </c>
      <c r="AF182" s="17" t="str">
        <f aca="false">IF((E182="l"),H182," ")</f>
        <v> </v>
      </c>
      <c r="AG182" s="17" t="str">
        <f aca="false">IF((E182="y"),H182," ")</f>
        <v> </v>
      </c>
      <c r="AH182" s="17" t="str">
        <f aca="false">IF((E182="z"),H182," ")</f>
        <v> </v>
      </c>
      <c r="AI182" s="17" t="str">
        <f aca="false">IF((E182="fa"),H182," ")</f>
        <v> </v>
      </c>
      <c r="AJ182" s="17" t="str">
        <f aca="false">IF((E182="e"),H182," ")</f>
        <v> </v>
      </c>
    </row>
    <row r="183" customFormat="false" ht="12" hidden="false" customHeight="false" outlineLevel="0" collapsed="false">
      <c r="A183" s="28"/>
      <c r="E183" s="2" t="str">
        <f aca="false">IF((F183&lt;&gt;0),"Enter Letter"," ")</f>
        <v> </v>
      </c>
      <c r="F183" s="30"/>
      <c r="G183" s="6" t="str">
        <f aca="false">IF(F183&lt;&gt;0,F183*G$2/(100+G$2)," ")</f>
        <v> </v>
      </c>
      <c r="H183" s="6" t="str">
        <f aca="false">IF((F183&lt;&gt;0),F183-G183," ")</f>
        <v> </v>
      </c>
      <c r="I183" s="5"/>
      <c r="L183" s="7" t="str">
        <f aca="false">IF(F183&lt;&gt;0,F183-K183," ")</f>
        <v> </v>
      </c>
      <c r="M183" s="8" t="str">
        <f aca="false">IF((F183-K183)&lt;&gt;0,M$1-A183," ")</f>
        <v> </v>
      </c>
      <c r="N183" s="5"/>
      <c r="O183" s="17" t="str">
        <f aca="false">IF((E183="s"),H183," ")</f>
        <v> </v>
      </c>
      <c r="P183" s="17" t="str">
        <f aca="false">IF((E183="c"),H183," ")</f>
        <v> </v>
      </c>
      <c r="Q183" s="17" t="str">
        <f aca="false">IF((E183="o"),H183," ")</f>
        <v> </v>
      </c>
      <c r="R183" s="17" t="str">
        <f aca="false">IF((E183="d"),H183," ")</f>
        <v> </v>
      </c>
      <c r="S183" s="17" t="str">
        <f aca="false">IF((E183="w"),H183," ")</f>
        <v> </v>
      </c>
      <c r="T183" s="17" t="str">
        <f aca="false">IF((E183="r"),H183," ")</f>
        <v> </v>
      </c>
      <c r="U183" s="17" t="str">
        <f aca="false">IF((E183="p"),H183," ")</f>
        <v> </v>
      </c>
      <c r="V183" s="17" t="str">
        <f aca="false">IF((E183="t"),H183," ")</f>
        <v> </v>
      </c>
      <c r="W183" s="17" t="str">
        <f aca="false">IF((E183="q"),H183," ")</f>
        <v> </v>
      </c>
      <c r="X183" s="17" t="str">
        <f aca="false">IF((E183="m"),H183," ")</f>
        <v> </v>
      </c>
      <c r="Y183" s="17" t="str">
        <f aca="false">IF((E183="u"),H183," ")</f>
        <v> </v>
      </c>
      <c r="Z183" s="17" t="str">
        <f aca="false">IF((E183="a"),H183," ")</f>
        <v> </v>
      </c>
      <c r="AA183" s="17" t="str">
        <f aca="false">IF((E183="g"),H183," ")</f>
        <v> </v>
      </c>
      <c r="AB183" s="17" t="str">
        <f aca="false">IF((E183="h"),H183," ")</f>
        <v> </v>
      </c>
      <c r="AC183" s="30" t="str">
        <f aca="false">IF((E183="v"),H183," ")</f>
        <v> </v>
      </c>
      <c r="AD183" s="30" t="str">
        <f aca="false">IF((E183="n"),H183," ")</f>
        <v> </v>
      </c>
      <c r="AE183" s="17" t="str">
        <f aca="false">IF((E183="f"),H183," ")</f>
        <v> </v>
      </c>
      <c r="AF183" s="17" t="str">
        <f aca="false">IF((E183="l"),H183," ")</f>
        <v> </v>
      </c>
      <c r="AG183" s="17" t="str">
        <f aca="false">IF((E183="y"),H183," ")</f>
        <v> </v>
      </c>
      <c r="AH183" s="17" t="str">
        <f aca="false">IF((E183="z"),H183," ")</f>
        <v> </v>
      </c>
      <c r="AI183" s="17" t="str">
        <f aca="false">IF((E183="fa"),H183," ")</f>
        <v> </v>
      </c>
      <c r="AJ183" s="17" t="str">
        <f aca="false">IF((E183="e"),H183," ")</f>
        <v> </v>
      </c>
    </row>
    <row r="184" customFormat="false" ht="12" hidden="false" customHeight="false" outlineLevel="0" collapsed="false">
      <c r="A184" s="28"/>
      <c r="E184" s="2" t="str">
        <f aca="false">IF((F184&lt;&gt;0),"Enter Letter"," ")</f>
        <v> </v>
      </c>
      <c r="F184" s="30"/>
      <c r="G184" s="6" t="str">
        <f aca="false">IF(F184&lt;&gt;0,F184*G$2/(100+G$2)," ")</f>
        <v> </v>
      </c>
      <c r="H184" s="6" t="str">
        <f aca="false">IF((F184&lt;&gt;0),F184-G184," ")</f>
        <v> </v>
      </c>
      <c r="I184" s="5"/>
      <c r="L184" s="7" t="str">
        <f aca="false">IF(F184&lt;&gt;0,F184-K184," ")</f>
        <v> </v>
      </c>
      <c r="M184" s="8" t="str">
        <f aca="false">IF((F184-K184)&lt;&gt;0,M$1-A184," ")</f>
        <v> </v>
      </c>
      <c r="N184" s="5"/>
      <c r="O184" s="17" t="str">
        <f aca="false">IF((E184="s"),H184," ")</f>
        <v> </v>
      </c>
      <c r="P184" s="17" t="str">
        <f aca="false">IF((E184="c"),H184," ")</f>
        <v> </v>
      </c>
      <c r="Q184" s="17" t="str">
        <f aca="false">IF((E184="o"),H184," ")</f>
        <v> </v>
      </c>
      <c r="R184" s="17" t="str">
        <f aca="false">IF((E184="d"),H184," ")</f>
        <v> </v>
      </c>
      <c r="S184" s="17" t="str">
        <f aca="false">IF((E184="w"),H184," ")</f>
        <v> </v>
      </c>
      <c r="T184" s="17" t="str">
        <f aca="false">IF((E184="r"),H184," ")</f>
        <v> </v>
      </c>
      <c r="U184" s="17" t="str">
        <f aca="false">IF((E184="p"),H184," ")</f>
        <v> </v>
      </c>
      <c r="V184" s="17" t="str">
        <f aca="false">IF((E184="t"),H184," ")</f>
        <v> </v>
      </c>
      <c r="W184" s="17" t="str">
        <f aca="false">IF((E184="q"),H184," ")</f>
        <v> </v>
      </c>
      <c r="X184" s="17" t="str">
        <f aca="false">IF((E184="m"),H184," ")</f>
        <v> </v>
      </c>
      <c r="Y184" s="17" t="str">
        <f aca="false">IF((E184="u"),H184," ")</f>
        <v> </v>
      </c>
      <c r="Z184" s="17" t="str">
        <f aca="false">IF((E184="a"),H184," ")</f>
        <v> </v>
      </c>
      <c r="AA184" s="17" t="str">
        <f aca="false">IF((E184="g"),H184," ")</f>
        <v> </v>
      </c>
      <c r="AB184" s="17" t="str">
        <f aca="false">IF((E184="h"),H184," ")</f>
        <v> </v>
      </c>
      <c r="AC184" s="30" t="str">
        <f aca="false">IF((E184="v"),H184," ")</f>
        <v> </v>
      </c>
      <c r="AD184" s="30" t="str">
        <f aca="false">IF((E184="n"),H184," ")</f>
        <v> </v>
      </c>
      <c r="AE184" s="17" t="str">
        <f aca="false">IF((E184="f"),H184," ")</f>
        <v> </v>
      </c>
      <c r="AF184" s="17" t="str">
        <f aca="false">IF((E184="l"),H184," ")</f>
        <v> </v>
      </c>
      <c r="AG184" s="17" t="str">
        <f aca="false">IF((E184="y"),H184," ")</f>
        <v> </v>
      </c>
      <c r="AH184" s="17" t="str">
        <f aca="false">IF((E184="z"),H184," ")</f>
        <v> </v>
      </c>
      <c r="AI184" s="17" t="str">
        <f aca="false">IF((E184="fa"),H184," ")</f>
        <v> </v>
      </c>
      <c r="AJ184" s="17" t="str">
        <f aca="false">IF((E184="e"),H184," ")</f>
        <v> </v>
      </c>
    </row>
    <row r="185" customFormat="false" ht="12" hidden="false" customHeight="false" outlineLevel="0" collapsed="false">
      <c r="A185" s="28"/>
      <c r="E185" s="2" t="str">
        <f aca="false">IF((F185&lt;&gt;0),"Enter Letter"," ")</f>
        <v> </v>
      </c>
      <c r="F185" s="30"/>
      <c r="G185" s="6" t="str">
        <f aca="false">IF(F185&lt;&gt;0,F185*G$2/(100+G$2)," ")</f>
        <v> </v>
      </c>
      <c r="H185" s="6" t="str">
        <f aca="false">IF((F185&lt;&gt;0),F185-G185," ")</f>
        <v> </v>
      </c>
      <c r="I185" s="5"/>
      <c r="L185" s="7" t="str">
        <f aca="false">IF(F185&lt;&gt;0,F185-K185," ")</f>
        <v> </v>
      </c>
      <c r="M185" s="8" t="str">
        <f aca="false">IF((F185-K185)&lt;&gt;0,M$1-A185," ")</f>
        <v> </v>
      </c>
      <c r="N185" s="5"/>
      <c r="O185" s="17" t="str">
        <f aca="false">IF((E185="s"),H185," ")</f>
        <v> </v>
      </c>
      <c r="P185" s="17" t="str">
        <f aca="false">IF((E185="c"),H185," ")</f>
        <v> </v>
      </c>
      <c r="Q185" s="17" t="str">
        <f aca="false">IF((E185="o"),H185," ")</f>
        <v> </v>
      </c>
      <c r="R185" s="17" t="str">
        <f aca="false">IF((E185="d"),H185," ")</f>
        <v> </v>
      </c>
      <c r="S185" s="17" t="str">
        <f aca="false">IF((E185="w"),H185," ")</f>
        <v> </v>
      </c>
      <c r="T185" s="17" t="str">
        <f aca="false">IF((E185="r"),H185," ")</f>
        <v> </v>
      </c>
      <c r="U185" s="17" t="str">
        <f aca="false">IF((E185="p"),H185," ")</f>
        <v> </v>
      </c>
      <c r="V185" s="17" t="str">
        <f aca="false">IF((E185="t"),H185," ")</f>
        <v> </v>
      </c>
      <c r="W185" s="17" t="str">
        <f aca="false">IF((E185="q"),H185," ")</f>
        <v> </v>
      </c>
      <c r="X185" s="17" t="str">
        <f aca="false">IF((E185="m"),H185," ")</f>
        <v> </v>
      </c>
      <c r="Y185" s="17" t="str">
        <f aca="false">IF((E185="u"),H185," ")</f>
        <v> </v>
      </c>
      <c r="Z185" s="17" t="str">
        <f aca="false">IF((E185="a"),H185," ")</f>
        <v> </v>
      </c>
      <c r="AA185" s="17" t="str">
        <f aca="false">IF((E185="g"),H185," ")</f>
        <v> </v>
      </c>
      <c r="AB185" s="17" t="str">
        <f aca="false">IF((E185="h"),H185," ")</f>
        <v> </v>
      </c>
      <c r="AC185" s="30" t="str">
        <f aca="false">IF((E185="v"),H185," ")</f>
        <v> </v>
      </c>
      <c r="AD185" s="30" t="str">
        <f aca="false">IF((E185="n"),H185," ")</f>
        <v> </v>
      </c>
      <c r="AE185" s="17" t="str">
        <f aca="false">IF((E185="f"),H185," ")</f>
        <v> </v>
      </c>
      <c r="AF185" s="17" t="str">
        <f aca="false">IF((E185="l"),H185," ")</f>
        <v> </v>
      </c>
      <c r="AG185" s="17" t="str">
        <f aca="false">IF((E185="y"),H185," ")</f>
        <v> </v>
      </c>
      <c r="AH185" s="17" t="str">
        <f aca="false">IF((E185="z"),H185," ")</f>
        <v> </v>
      </c>
      <c r="AI185" s="17" t="str">
        <f aca="false">IF((E185="fa"),H185," ")</f>
        <v> </v>
      </c>
      <c r="AJ185" s="17" t="str">
        <f aca="false">IF((E185="e"),H185," ")</f>
        <v> </v>
      </c>
    </row>
    <row r="186" customFormat="false" ht="12" hidden="false" customHeight="false" outlineLevel="0" collapsed="false">
      <c r="A186" s="28"/>
      <c r="E186" s="2" t="str">
        <f aca="false">IF((F186&lt;&gt;0),"Enter Letter"," ")</f>
        <v> </v>
      </c>
      <c r="F186" s="30"/>
      <c r="G186" s="6" t="str">
        <f aca="false">IF(F186&lt;&gt;0,F186*G$2/(100+G$2)," ")</f>
        <v> </v>
      </c>
      <c r="H186" s="6" t="str">
        <f aca="false">IF((F186&lt;&gt;0),F186-G186," ")</f>
        <v> </v>
      </c>
      <c r="I186" s="5"/>
      <c r="L186" s="7" t="str">
        <f aca="false">IF(F186&lt;&gt;0,F186-K186," ")</f>
        <v> </v>
      </c>
      <c r="M186" s="8" t="str">
        <f aca="false">IF((F186-K186)&lt;&gt;0,M$1-A186," ")</f>
        <v> </v>
      </c>
      <c r="N186" s="5"/>
      <c r="O186" s="17" t="str">
        <f aca="false">IF((E186="s"),H186," ")</f>
        <v> </v>
      </c>
      <c r="P186" s="17" t="str">
        <f aca="false">IF((E186="c"),H186," ")</f>
        <v> </v>
      </c>
      <c r="Q186" s="17" t="str">
        <f aca="false">IF((E186="o"),H186," ")</f>
        <v> </v>
      </c>
      <c r="R186" s="17" t="str">
        <f aca="false">IF((E186="d"),H186," ")</f>
        <v> </v>
      </c>
      <c r="S186" s="17" t="str">
        <f aca="false">IF((E186="w"),H186," ")</f>
        <v> </v>
      </c>
      <c r="T186" s="17" t="str">
        <f aca="false">IF((E186="r"),H186," ")</f>
        <v> </v>
      </c>
      <c r="U186" s="17" t="str">
        <f aca="false">IF((E186="p"),H186," ")</f>
        <v> </v>
      </c>
      <c r="V186" s="17" t="str">
        <f aca="false">IF((E186="t"),H186," ")</f>
        <v> </v>
      </c>
      <c r="W186" s="17" t="str">
        <f aca="false">IF((E186="q"),H186," ")</f>
        <v> </v>
      </c>
      <c r="X186" s="17" t="str">
        <f aca="false">IF((E186="m"),H186," ")</f>
        <v> </v>
      </c>
      <c r="Y186" s="17" t="str">
        <f aca="false">IF((E186="u"),H186," ")</f>
        <v> </v>
      </c>
      <c r="Z186" s="17" t="str">
        <f aca="false">IF((E186="a"),H186," ")</f>
        <v> </v>
      </c>
      <c r="AA186" s="17" t="str">
        <f aca="false">IF((E186="g"),H186," ")</f>
        <v> </v>
      </c>
      <c r="AB186" s="17" t="str">
        <f aca="false">IF((E186="h"),H186," ")</f>
        <v> </v>
      </c>
      <c r="AC186" s="30" t="str">
        <f aca="false">IF((E186="v"),H186," ")</f>
        <v> </v>
      </c>
      <c r="AD186" s="30" t="str">
        <f aca="false">IF((E186="n"),H186," ")</f>
        <v> </v>
      </c>
      <c r="AE186" s="17" t="str">
        <f aca="false">IF((E186="f"),H186," ")</f>
        <v> </v>
      </c>
      <c r="AF186" s="17" t="str">
        <f aca="false">IF((E186="l"),H186," ")</f>
        <v> </v>
      </c>
      <c r="AG186" s="17" t="str">
        <f aca="false">IF((E186="y"),H186," ")</f>
        <v> </v>
      </c>
      <c r="AH186" s="17" t="str">
        <f aca="false">IF((E186="z"),H186," ")</f>
        <v> </v>
      </c>
      <c r="AI186" s="17" t="str">
        <f aca="false">IF((E186="fa"),H186," ")</f>
        <v> </v>
      </c>
      <c r="AJ186" s="17" t="str">
        <f aca="false">IF((E186="e"),H186," ")</f>
        <v> </v>
      </c>
    </row>
    <row r="187" customFormat="false" ht="12" hidden="false" customHeight="false" outlineLevel="0" collapsed="false">
      <c r="A187" s="28"/>
      <c r="E187" s="2" t="str">
        <f aca="false">IF((F187&lt;&gt;0),"Enter Letter"," ")</f>
        <v> </v>
      </c>
      <c r="F187" s="30"/>
      <c r="G187" s="6" t="str">
        <f aca="false">IF(F187&lt;&gt;0,F187*G$2/(100+G$2)," ")</f>
        <v> </v>
      </c>
      <c r="H187" s="6" t="str">
        <f aca="false">IF((F187&lt;&gt;0),F187-G187," ")</f>
        <v> </v>
      </c>
      <c r="I187" s="5"/>
      <c r="L187" s="7" t="str">
        <f aca="false">IF(F187&lt;&gt;0,F187-K187," ")</f>
        <v> </v>
      </c>
      <c r="M187" s="8" t="str">
        <f aca="false">IF((F187-K187)&lt;&gt;0,M$1-A187," ")</f>
        <v> </v>
      </c>
      <c r="N187" s="5"/>
      <c r="O187" s="17" t="str">
        <f aca="false">IF((E187="s"),H187," ")</f>
        <v> </v>
      </c>
      <c r="P187" s="17" t="str">
        <f aca="false">IF((E187="c"),H187," ")</f>
        <v> </v>
      </c>
      <c r="Q187" s="17" t="str">
        <f aca="false">IF((E187="o"),H187," ")</f>
        <v> </v>
      </c>
      <c r="R187" s="17" t="str">
        <f aca="false">IF((E187="d"),H187," ")</f>
        <v> </v>
      </c>
      <c r="S187" s="17" t="str">
        <f aca="false">IF((E187="w"),H187," ")</f>
        <v> </v>
      </c>
      <c r="T187" s="17" t="str">
        <f aca="false">IF((E187="r"),H187," ")</f>
        <v> </v>
      </c>
      <c r="U187" s="17" t="str">
        <f aca="false">IF((E187="p"),H187," ")</f>
        <v> </v>
      </c>
      <c r="V187" s="17" t="str">
        <f aca="false">IF((E187="t"),H187," ")</f>
        <v> </v>
      </c>
      <c r="W187" s="17" t="str">
        <f aca="false">IF((E187="q"),H187," ")</f>
        <v> </v>
      </c>
      <c r="X187" s="17" t="str">
        <f aca="false">IF((E187="m"),H187," ")</f>
        <v> </v>
      </c>
      <c r="Y187" s="17" t="str">
        <f aca="false">IF((E187="u"),H187," ")</f>
        <v> </v>
      </c>
      <c r="Z187" s="17" t="str">
        <f aca="false">IF((E187="a"),H187," ")</f>
        <v> </v>
      </c>
      <c r="AA187" s="17" t="str">
        <f aca="false">IF((E187="g"),H187," ")</f>
        <v> </v>
      </c>
      <c r="AB187" s="17" t="str">
        <f aca="false">IF((E187="h"),H187," ")</f>
        <v> </v>
      </c>
      <c r="AC187" s="30" t="str">
        <f aca="false">IF((E187="v"),H187," ")</f>
        <v> </v>
      </c>
      <c r="AD187" s="30" t="str">
        <f aca="false">IF((E187="n"),H187," ")</f>
        <v> </v>
      </c>
      <c r="AE187" s="17" t="str">
        <f aca="false">IF((E187="f"),H187," ")</f>
        <v> </v>
      </c>
      <c r="AF187" s="17" t="str">
        <f aca="false">IF((E187="l"),H187," ")</f>
        <v> </v>
      </c>
      <c r="AG187" s="17" t="str">
        <f aca="false">IF((E187="y"),H187," ")</f>
        <v> </v>
      </c>
      <c r="AH187" s="17" t="str">
        <f aca="false">IF((E187="z"),H187," ")</f>
        <v> </v>
      </c>
      <c r="AI187" s="17" t="str">
        <f aca="false">IF((E187="fa"),H187," ")</f>
        <v> </v>
      </c>
      <c r="AJ187" s="17" t="str">
        <f aca="false">IF((E187="e"),H187," ")</f>
        <v> </v>
      </c>
    </row>
    <row r="188" customFormat="false" ht="12" hidden="false" customHeight="false" outlineLevel="0" collapsed="false">
      <c r="A188" s="28"/>
      <c r="E188" s="2" t="str">
        <f aca="false">IF((F188&lt;&gt;0),"Enter Letter"," ")</f>
        <v> </v>
      </c>
      <c r="F188" s="30"/>
      <c r="G188" s="6" t="str">
        <f aca="false">IF(F188&lt;&gt;0,F188*G$2/(100+G$2)," ")</f>
        <v> </v>
      </c>
      <c r="H188" s="6" t="str">
        <f aca="false">IF((F188&lt;&gt;0),F188-G188," ")</f>
        <v> </v>
      </c>
      <c r="I188" s="5"/>
      <c r="L188" s="7" t="str">
        <f aca="false">IF(F188&lt;&gt;0,F188-K188," ")</f>
        <v> </v>
      </c>
      <c r="M188" s="8" t="str">
        <f aca="false">IF((F188-K188)&lt;&gt;0,M$1-A188," ")</f>
        <v> </v>
      </c>
      <c r="N188" s="5"/>
      <c r="O188" s="17" t="str">
        <f aca="false">IF((E188="s"),H188," ")</f>
        <v> </v>
      </c>
      <c r="P188" s="17" t="str">
        <f aca="false">IF((E188="c"),H188," ")</f>
        <v> </v>
      </c>
      <c r="Q188" s="17" t="str">
        <f aca="false">IF((E188="o"),H188," ")</f>
        <v> </v>
      </c>
      <c r="R188" s="17" t="str">
        <f aca="false">IF((E188="d"),H188," ")</f>
        <v> </v>
      </c>
      <c r="S188" s="17" t="str">
        <f aca="false">IF((E188="w"),H188," ")</f>
        <v> </v>
      </c>
      <c r="T188" s="17" t="str">
        <f aca="false">IF((E188="r"),H188," ")</f>
        <v> </v>
      </c>
      <c r="U188" s="17" t="str">
        <f aca="false">IF((E188="p"),H188," ")</f>
        <v> </v>
      </c>
      <c r="V188" s="17" t="str">
        <f aca="false">IF((E188="t"),H188," ")</f>
        <v> </v>
      </c>
      <c r="W188" s="17" t="str">
        <f aca="false">IF((E188="q"),H188," ")</f>
        <v> </v>
      </c>
      <c r="X188" s="17" t="str">
        <f aca="false">IF((E188="m"),H188," ")</f>
        <v> </v>
      </c>
      <c r="Y188" s="17" t="str">
        <f aca="false">IF((E188="u"),H188," ")</f>
        <v> </v>
      </c>
      <c r="Z188" s="17" t="str">
        <f aca="false">IF((E188="a"),H188," ")</f>
        <v> </v>
      </c>
      <c r="AA188" s="17" t="str">
        <f aca="false">IF((E188="g"),H188," ")</f>
        <v> </v>
      </c>
      <c r="AB188" s="17" t="str">
        <f aca="false">IF((E188="h"),H188," ")</f>
        <v> </v>
      </c>
      <c r="AC188" s="30" t="str">
        <f aca="false">IF((E188="v"),H188," ")</f>
        <v> </v>
      </c>
      <c r="AD188" s="30" t="str">
        <f aca="false">IF((E188="n"),H188," ")</f>
        <v> </v>
      </c>
      <c r="AE188" s="17" t="str">
        <f aca="false">IF((E188="f"),H188," ")</f>
        <v> </v>
      </c>
      <c r="AF188" s="17" t="str">
        <f aca="false">IF((E188="l"),H188," ")</f>
        <v> </v>
      </c>
      <c r="AG188" s="17" t="str">
        <f aca="false">IF((E188="y"),H188," ")</f>
        <v> </v>
      </c>
      <c r="AH188" s="17" t="str">
        <f aca="false">IF((E188="z"),H188," ")</f>
        <v> </v>
      </c>
      <c r="AI188" s="17" t="str">
        <f aca="false">IF((E188="fa"),H188," ")</f>
        <v> </v>
      </c>
      <c r="AJ188" s="17" t="str">
        <f aca="false">IF((E188="e"),H188," ")</f>
        <v> </v>
      </c>
    </row>
    <row r="189" customFormat="false" ht="12" hidden="false" customHeight="false" outlineLevel="0" collapsed="false">
      <c r="A189" s="28"/>
      <c r="E189" s="2" t="str">
        <f aca="false">IF((F189&lt;&gt;0),"Enter Letter"," ")</f>
        <v> </v>
      </c>
      <c r="F189" s="30"/>
      <c r="G189" s="6" t="str">
        <f aca="false">IF(F189&lt;&gt;0,F189*G$2/(100+G$2)," ")</f>
        <v> </v>
      </c>
      <c r="H189" s="6" t="str">
        <f aca="false">IF((F189&lt;&gt;0),F189-G189," ")</f>
        <v> </v>
      </c>
      <c r="I189" s="5"/>
      <c r="L189" s="7" t="str">
        <f aca="false">IF(F189&lt;&gt;0,F189-K189," ")</f>
        <v> </v>
      </c>
      <c r="M189" s="8" t="str">
        <f aca="false">IF((F189-K189)&lt;&gt;0,M$1-A189," ")</f>
        <v> </v>
      </c>
      <c r="N189" s="5"/>
      <c r="O189" s="17" t="str">
        <f aca="false">IF((E189="s"),H189," ")</f>
        <v> </v>
      </c>
      <c r="P189" s="17" t="str">
        <f aca="false">IF((E189="c"),H189," ")</f>
        <v> </v>
      </c>
      <c r="Q189" s="17" t="str">
        <f aca="false">IF((E189="o"),H189," ")</f>
        <v> </v>
      </c>
      <c r="R189" s="17" t="str">
        <f aca="false">IF((E189="d"),H189," ")</f>
        <v> </v>
      </c>
      <c r="S189" s="17" t="str">
        <f aca="false">IF((E189="w"),H189," ")</f>
        <v> </v>
      </c>
      <c r="T189" s="17" t="str">
        <f aca="false">IF((E189="r"),H189," ")</f>
        <v> </v>
      </c>
      <c r="U189" s="17" t="str">
        <f aca="false">IF((E189="p"),H189," ")</f>
        <v> </v>
      </c>
      <c r="V189" s="17" t="str">
        <f aca="false">IF((E189="t"),H189," ")</f>
        <v> </v>
      </c>
      <c r="W189" s="17" t="str">
        <f aca="false">IF((E189="q"),H189," ")</f>
        <v> </v>
      </c>
      <c r="X189" s="17" t="str">
        <f aca="false">IF((E189="m"),H189," ")</f>
        <v> </v>
      </c>
      <c r="Y189" s="17" t="str">
        <f aca="false">IF((E189="u"),H189," ")</f>
        <v> </v>
      </c>
      <c r="Z189" s="17" t="str">
        <f aca="false">IF((E189="a"),H189," ")</f>
        <v> </v>
      </c>
      <c r="AA189" s="17" t="str">
        <f aca="false">IF((E189="g"),H189," ")</f>
        <v> </v>
      </c>
      <c r="AB189" s="17" t="str">
        <f aca="false">IF((E189="h"),H189," ")</f>
        <v> </v>
      </c>
      <c r="AC189" s="30" t="str">
        <f aca="false">IF((E189="v"),H189," ")</f>
        <v> </v>
      </c>
      <c r="AD189" s="30" t="str">
        <f aca="false">IF((E189="n"),H189," ")</f>
        <v> </v>
      </c>
      <c r="AE189" s="17" t="str">
        <f aca="false">IF((E189="f"),H189," ")</f>
        <v> </v>
      </c>
      <c r="AF189" s="17" t="str">
        <f aca="false">IF((E189="l"),H189," ")</f>
        <v> </v>
      </c>
      <c r="AG189" s="17" t="str">
        <f aca="false">IF((E189="y"),H189," ")</f>
        <v> </v>
      </c>
      <c r="AH189" s="17" t="str">
        <f aca="false">IF((E189="z"),H189," ")</f>
        <v> </v>
      </c>
      <c r="AI189" s="17" t="str">
        <f aca="false">IF((E189="fa"),H189," ")</f>
        <v> </v>
      </c>
      <c r="AJ189" s="17" t="str">
        <f aca="false">IF((E189="e"),H189," ")</f>
        <v> </v>
      </c>
    </row>
    <row r="190" customFormat="false" ht="12" hidden="false" customHeight="false" outlineLevel="0" collapsed="false">
      <c r="A190" s="28"/>
      <c r="E190" s="2" t="str">
        <f aca="false">IF((F190&lt;&gt;0),"Enter Letter"," ")</f>
        <v> </v>
      </c>
      <c r="F190" s="30"/>
      <c r="G190" s="6" t="str">
        <f aca="false">IF(F190&lt;&gt;0,F190*G$2/(100+G$2)," ")</f>
        <v> </v>
      </c>
      <c r="H190" s="6" t="str">
        <f aca="false">IF((F190&lt;&gt;0),F190-G190," ")</f>
        <v> </v>
      </c>
      <c r="I190" s="5"/>
      <c r="L190" s="7" t="str">
        <f aca="false">IF(F190&lt;&gt;0,F190-K190," ")</f>
        <v> </v>
      </c>
      <c r="M190" s="8" t="str">
        <f aca="false">IF((F190-K190)&lt;&gt;0,M$1-A190," ")</f>
        <v> </v>
      </c>
      <c r="N190" s="5"/>
      <c r="O190" s="17" t="str">
        <f aca="false">IF((E190="s"),H190," ")</f>
        <v> </v>
      </c>
      <c r="P190" s="17" t="str">
        <f aca="false">IF((E190="c"),H190," ")</f>
        <v> </v>
      </c>
      <c r="Q190" s="17" t="str">
        <f aca="false">IF((E190="o"),H190," ")</f>
        <v> </v>
      </c>
      <c r="R190" s="17" t="str">
        <f aca="false">IF((E190="d"),H190," ")</f>
        <v> </v>
      </c>
      <c r="S190" s="17" t="str">
        <f aca="false">IF((E190="w"),H190," ")</f>
        <v> </v>
      </c>
      <c r="T190" s="17" t="str">
        <f aca="false">IF((E190="r"),H190," ")</f>
        <v> </v>
      </c>
      <c r="U190" s="17" t="str">
        <f aca="false">IF((E190="p"),H190," ")</f>
        <v> </v>
      </c>
      <c r="V190" s="17" t="str">
        <f aca="false">IF((E190="t"),H190," ")</f>
        <v> </v>
      </c>
      <c r="W190" s="17" t="str">
        <f aca="false">IF((E190="q"),H190," ")</f>
        <v> </v>
      </c>
      <c r="X190" s="17" t="str">
        <f aca="false">IF((E190="m"),H190," ")</f>
        <v> </v>
      </c>
      <c r="Y190" s="17" t="str">
        <f aca="false">IF((E190="u"),H190," ")</f>
        <v> </v>
      </c>
      <c r="Z190" s="17" t="str">
        <f aca="false">IF((E190="a"),H190," ")</f>
        <v> </v>
      </c>
      <c r="AA190" s="17" t="str">
        <f aca="false">IF((E190="g"),H190," ")</f>
        <v> </v>
      </c>
      <c r="AB190" s="17" t="str">
        <f aca="false">IF((E190="h"),H190," ")</f>
        <v> </v>
      </c>
      <c r="AC190" s="30" t="str">
        <f aca="false">IF((E190="v"),H190," ")</f>
        <v> </v>
      </c>
      <c r="AD190" s="30" t="str">
        <f aca="false">IF((E190="n"),H190," ")</f>
        <v> </v>
      </c>
      <c r="AE190" s="17" t="str">
        <f aca="false">IF((E190="f"),H190," ")</f>
        <v> </v>
      </c>
      <c r="AF190" s="17" t="str">
        <f aca="false">IF((E190="l"),H190," ")</f>
        <v> </v>
      </c>
      <c r="AG190" s="17" t="str">
        <f aca="false">IF((E190="y"),H190," ")</f>
        <v> </v>
      </c>
      <c r="AH190" s="17" t="str">
        <f aca="false">IF((E190="z"),H190," ")</f>
        <v> </v>
      </c>
      <c r="AI190" s="17" t="str">
        <f aca="false">IF((E190="fa"),H190," ")</f>
        <v> </v>
      </c>
      <c r="AJ190" s="17" t="str">
        <f aca="false">IF((E190="e"),H190," ")</f>
        <v> </v>
      </c>
    </row>
    <row r="191" customFormat="false" ht="12" hidden="false" customHeight="false" outlineLevel="0" collapsed="false">
      <c r="A191" s="28"/>
      <c r="E191" s="2" t="str">
        <f aca="false">IF((F191&lt;&gt;0),"Enter Letter"," ")</f>
        <v> </v>
      </c>
      <c r="F191" s="30"/>
      <c r="G191" s="6" t="str">
        <f aca="false">IF(F191&lt;&gt;0,F191*G$2/(100+G$2)," ")</f>
        <v> </v>
      </c>
      <c r="H191" s="6" t="str">
        <f aca="false">IF((F191&lt;&gt;0),F191-G191," ")</f>
        <v> </v>
      </c>
      <c r="I191" s="5"/>
      <c r="L191" s="7" t="str">
        <f aca="false">IF(F191&lt;&gt;0,F191-K191," ")</f>
        <v> </v>
      </c>
      <c r="M191" s="8" t="str">
        <f aca="false">IF((F191-K191)&lt;&gt;0,M$1-A191," ")</f>
        <v> </v>
      </c>
      <c r="N191" s="5"/>
      <c r="O191" s="17" t="str">
        <f aca="false">IF((E191="s"),H191," ")</f>
        <v> </v>
      </c>
      <c r="P191" s="17" t="str">
        <f aca="false">IF((E191="c"),H191," ")</f>
        <v> </v>
      </c>
      <c r="Q191" s="17" t="str">
        <f aca="false">IF((E191="o"),H191," ")</f>
        <v> </v>
      </c>
      <c r="R191" s="17" t="str">
        <f aca="false">IF((E191="d"),H191," ")</f>
        <v> </v>
      </c>
      <c r="S191" s="17" t="str">
        <f aca="false">IF((E191="w"),H191," ")</f>
        <v> </v>
      </c>
      <c r="T191" s="17" t="str">
        <f aca="false">IF((E191="r"),H191," ")</f>
        <v> </v>
      </c>
      <c r="U191" s="17" t="str">
        <f aca="false">IF((E191="p"),H191," ")</f>
        <v> </v>
      </c>
      <c r="V191" s="17" t="str">
        <f aca="false">IF((E191="t"),H191," ")</f>
        <v> </v>
      </c>
      <c r="W191" s="17" t="str">
        <f aca="false">IF((E191="q"),H191," ")</f>
        <v> </v>
      </c>
      <c r="X191" s="17" t="str">
        <f aca="false">IF((E191="m"),H191," ")</f>
        <v> </v>
      </c>
      <c r="Y191" s="17" t="str">
        <f aca="false">IF((E191="u"),H191," ")</f>
        <v> </v>
      </c>
      <c r="Z191" s="17" t="str">
        <f aca="false">IF((E191="a"),H191," ")</f>
        <v> </v>
      </c>
      <c r="AA191" s="17" t="str">
        <f aca="false">IF((E191="g"),H191," ")</f>
        <v> </v>
      </c>
      <c r="AB191" s="17" t="str">
        <f aca="false">IF((E191="h"),H191," ")</f>
        <v> </v>
      </c>
      <c r="AC191" s="30" t="str">
        <f aca="false">IF((E191="v"),H191," ")</f>
        <v> </v>
      </c>
      <c r="AD191" s="30" t="str">
        <f aca="false">IF((E191="n"),H191," ")</f>
        <v> </v>
      </c>
      <c r="AE191" s="17" t="str">
        <f aca="false">IF((E191="f"),H191," ")</f>
        <v> </v>
      </c>
      <c r="AF191" s="17" t="str">
        <f aca="false">IF((E191="l"),H191," ")</f>
        <v> </v>
      </c>
      <c r="AG191" s="17" t="str">
        <f aca="false">IF((E191="y"),H191," ")</f>
        <v> </v>
      </c>
      <c r="AH191" s="17" t="str">
        <f aca="false">IF((E191="z"),H191," ")</f>
        <v> </v>
      </c>
      <c r="AI191" s="17" t="str">
        <f aca="false">IF((E191="fa"),H191," ")</f>
        <v> </v>
      </c>
      <c r="AJ191" s="17" t="str">
        <f aca="false">IF((E191="e"),H191," ")</f>
        <v> </v>
      </c>
    </row>
    <row r="192" customFormat="false" ht="12" hidden="false" customHeight="false" outlineLevel="0" collapsed="false">
      <c r="A192" s="28"/>
      <c r="E192" s="2" t="str">
        <f aca="false">IF((F192&lt;&gt;0),"Enter Letter"," ")</f>
        <v> </v>
      </c>
      <c r="F192" s="30"/>
      <c r="G192" s="6" t="str">
        <f aca="false">IF(F192&lt;&gt;0,F192*G$2/(100+G$2)," ")</f>
        <v> </v>
      </c>
      <c r="H192" s="6" t="str">
        <f aca="false">IF((F192&lt;&gt;0),F192-G192," ")</f>
        <v> </v>
      </c>
      <c r="I192" s="5"/>
      <c r="L192" s="7" t="str">
        <f aca="false">IF(F192&lt;&gt;0,F192-K192," ")</f>
        <v> </v>
      </c>
      <c r="M192" s="8" t="str">
        <f aca="false">IF((F192-K192)&lt;&gt;0,M$1-A192," ")</f>
        <v> </v>
      </c>
      <c r="N192" s="5"/>
      <c r="O192" s="17" t="str">
        <f aca="false">IF((E192="s"),H192," ")</f>
        <v> </v>
      </c>
      <c r="P192" s="17" t="str">
        <f aca="false">IF((E192="c"),H192," ")</f>
        <v> </v>
      </c>
      <c r="Q192" s="17" t="str">
        <f aca="false">IF((E192="o"),H192," ")</f>
        <v> </v>
      </c>
      <c r="R192" s="17" t="str">
        <f aca="false">IF((E192="d"),H192," ")</f>
        <v> </v>
      </c>
      <c r="S192" s="17" t="str">
        <f aca="false">IF((E192="w"),H192," ")</f>
        <v> </v>
      </c>
      <c r="T192" s="17" t="str">
        <f aca="false">IF((E192="r"),H192," ")</f>
        <v> </v>
      </c>
      <c r="U192" s="17" t="str">
        <f aca="false">IF((E192="p"),H192," ")</f>
        <v> </v>
      </c>
      <c r="V192" s="17" t="str">
        <f aca="false">IF((E192="t"),H192," ")</f>
        <v> </v>
      </c>
      <c r="W192" s="17" t="str">
        <f aca="false">IF((E192="q"),H192," ")</f>
        <v> </v>
      </c>
      <c r="X192" s="17" t="str">
        <f aca="false">IF((E192="m"),H192," ")</f>
        <v> </v>
      </c>
      <c r="Y192" s="17" t="str">
        <f aca="false">IF((E192="u"),H192," ")</f>
        <v> </v>
      </c>
      <c r="Z192" s="17" t="str">
        <f aca="false">IF((E192="a"),H192," ")</f>
        <v> </v>
      </c>
      <c r="AA192" s="17" t="str">
        <f aca="false">IF((E192="g"),H192," ")</f>
        <v> </v>
      </c>
      <c r="AB192" s="17" t="str">
        <f aca="false">IF((E192="h"),H192," ")</f>
        <v> </v>
      </c>
      <c r="AC192" s="30" t="str">
        <f aca="false">IF((E192="v"),H192," ")</f>
        <v> </v>
      </c>
      <c r="AD192" s="30" t="str">
        <f aca="false">IF((E192="n"),H192," ")</f>
        <v> </v>
      </c>
      <c r="AE192" s="17" t="str">
        <f aca="false">IF((E192="f"),H192," ")</f>
        <v> </v>
      </c>
      <c r="AF192" s="17" t="str">
        <f aca="false">IF((E192="l"),H192," ")</f>
        <v> </v>
      </c>
      <c r="AG192" s="17" t="str">
        <f aca="false">IF((E192="y"),H192," ")</f>
        <v> </v>
      </c>
      <c r="AH192" s="17" t="str">
        <f aca="false">IF((E192="z"),H192," ")</f>
        <v> </v>
      </c>
      <c r="AI192" s="17" t="str">
        <f aca="false">IF((E192="fa"),H192," ")</f>
        <v> </v>
      </c>
      <c r="AJ192" s="17" t="str">
        <f aca="false">IF((E192="e"),H192," ")</f>
        <v> </v>
      </c>
    </row>
    <row r="193" customFormat="false" ht="12" hidden="false" customHeight="false" outlineLevel="0" collapsed="false">
      <c r="A193" s="28"/>
      <c r="E193" s="2" t="str">
        <f aca="false">IF((F193&lt;&gt;0),"Enter Letter"," ")</f>
        <v> </v>
      </c>
      <c r="F193" s="30"/>
      <c r="G193" s="6" t="str">
        <f aca="false">IF(F193&lt;&gt;0,F193*G$2/(100+G$2)," ")</f>
        <v> </v>
      </c>
      <c r="H193" s="6" t="str">
        <f aca="false">IF((F193&lt;&gt;0),F193-G193," ")</f>
        <v> </v>
      </c>
      <c r="I193" s="5"/>
      <c r="L193" s="7" t="str">
        <f aca="false">IF(F193&lt;&gt;0,F193-K193," ")</f>
        <v> </v>
      </c>
      <c r="M193" s="8" t="str">
        <f aca="false">IF((F193-K193)&lt;&gt;0,M$1-A193," ")</f>
        <v> </v>
      </c>
      <c r="N193" s="5"/>
      <c r="O193" s="17" t="str">
        <f aca="false">IF((E193="s"),H193," ")</f>
        <v> </v>
      </c>
      <c r="P193" s="17" t="str">
        <f aca="false">IF((E193="c"),H193," ")</f>
        <v> </v>
      </c>
      <c r="Q193" s="17" t="str">
        <f aca="false">IF((E193="o"),H193," ")</f>
        <v> </v>
      </c>
      <c r="R193" s="17" t="str">
        <f aca="false">IF((E193="d"),H193," ")</f>
        <v> </v>
      </c>
      <c r="S193" s="17" t="str">
        <f aca="false">IF((E193="w"),H193," ")</f>
        <v> </v>
      </c>
      <c r="T193" s="17" t="str">
        <f aca="false">IF((E193="r"),H193," ")</f>
        <v> </v>
      </c>
      <c r="U193" s="17" t="str">
        <f aca="false">IF((E193="p"),H193," ")</f>
        <v> </v>
      </c>
      <c r="V193" s="17" t="str">
        <f aca="false">IF((E193="t"),H193," ")</f>
        <v> </v>
      </c>
      <c r="W193" s="17" t="str">
        <f aca="false">IF((E193="q"),H193," ")</f>
        <v> </v>
      </c>
      <c r="X193" s="17" t="str">
        <f aca="false">IF((E193="m"),H193," ")</f>
        <v> </v>
      </c>
      <c r="Y193" s="17" t="str">
        <f aca="false">IF((E193="u"),H193," ")</f>
        <v> </v>
      </c>
      <c r="Z193" s="17" t="str">
        <f aca="false">IF((E193="a"),H193," ")</f>
        <v> </v>
      </c>
      <c r="AA193" s="17" t="str">
        <f aca="false">IF((E193="g"),H193," ")</f>
        <v> </v>
      </c>
      <c r="AB193" s="17" t="str">
        <f aca="false">IF((E193="h"),H193," ")</f>
        <v> </v>
      </c>
      <c r="AC193" s="30" t="str">
        <f aca="false">IF((E193="v"),H193," ")</f>
        <v> </v>
      </c>
      <c r="AD193" s="30" t="str">
        <f aca="false">IF((E193="n"),H193," ")</f>
        <v> </v>
      </c>
      <c r="AE193" s="17" t="str">
        <f aca="false">IF((E193="f"),H193," ")</f>
        <v> </v>
      </c>
      <c r="AF193" s="17" t="str">
        <f aca="false">IF((E193="l"),H193," ")</f>
        <v> </v>
      </c>
      <c r="AG193" s="17" t="str">
        <f aca="false">IF((E193="y"),H193," ")</f>
        <v> </v>
      </c>
      <c r="AH193" s="17" t="str">
        <f aca="false">IF((E193="z"),H193," ")</f>
        <v> </v>
      </c>
      <c r="AI193" s="17" t="str">
        <f aca="false">IF((E193="fa"),H193," ")</f>
        <v> </v>
      </c>
      <c r="AJ193" s="17" t="str">
        <f aca="false">IF((E193="e"),H193," ")</f>
        <v> </v>
      </c>
    </row>
    <row r="194" customFormat="false" ht="12" hidden="false" customHeight="false" outlineLevel="0" collapsed="false">
      <c r="A194" s="28"/>
      <c r="E194" s="2" t="str">
        <f aca="false">IF((F194&lt;&gt;0),"Enter Letter"," ")</f>
        <v> </v>
      </c>
      <c r="F194" s="30"/>
      <c r="G194" s="6" t="str">
        <f aca="false">IF(F194&lt;&gt;0,F194*G$2/(100+G$2)," ")</f>
        <v> </v>
      </c>
      <c r="H194" s="6" t="str">
        <f aca="false">IF((F194&lt;&gt;0),F194-G194," ")</f>
        <v> </v>
      </c>
      <c r="I194" s="5"/>
      <c r="L194" s="7" t="str">
        <f aca="false">IF(F194&lt;&gt;0,F194-K194," ")</f>
        <v> </v>
      </c>
      <c r="M194" s="8" t="str">
        <f aca="false">IF((F194-K194)&lt;&gt;0,M$1-A194," ")</f>
        <v> </v>
      </c>
      <c r="N194" s="5"/>
      <c r="O194" s="17" t="str">
        <f aca="false">IF((E194="s"),H194," ")</f>
        <v> </v>
      </c>
      <c r="P194" s="17" t="str">
        <f aca="false">IF((E194="c"),H194," ")</f>
        <v> </v>
      </c>
      <c r="Q194" s="17" t="str">
        <f aca="false">IF((E194="o"),H194," ")</f>
        <v> </v>
      </c>
      <c r="R194" s="17" t="str">
        <f aca="false">IF((E194="d"),H194," ")</f>
        <v> </v>
      </c>
      <c r="S194" s="17" t="str">
        <f aca="false">IF((E194="w"),H194," ")</f>
        <v> </v>
      </c>
      <c r="T194" s="17" t="str">
        <f aca="false">IF((E194="r"),H194," ")</f>
        <v> </v>
      </c>
      <c r="U194" s="17" t="str">
        <f aca="false">IF((E194="p"),H194," ")</f>
        <v> </v>
      </c>
      <c r="V194" s="17" t="str">
        <f aca="false">IF((E194="t"),H194," ")</f>
        <v> </v>
      </c>
      <c r="W194" s="17" t="str">
        <f aca="false">IF((E194="q"),H194," ")</f>
        <v> </v>
      </c>
      <c r="X194" s="17" t="str">
        <f aca="false">IF((E194="m"),H194," ")</f>
        <v> </v>
      </c>
      <c r="Y194" s="17" t="str">
        <f aca="false">IF((E194="u"),H194," ")</f>
        <v> </v>
      </c>
      <c r="Z194" s="17" t="str">
        <f aca="false">IF((E194="a"),H194," ")</f>
        <v> </v>
      </c>
      <c r="AA194" s="17" t="str">
        <f aca="false">IF((E194="g"),H194," ")</f>
        <v> </v>
      </c>
      <c r="AB194" s="17" t="str">
        <f aca="false">IF((E194="h"),H194," ")</f>
        <v> </v>
      </c>
      <c r="AC194" s="30" t="str">
        <f aca="false">IF((E194="v"),H194," ")</f>
        <v> </v>
      </c>
      <c r="AD194" s="30" t="str">
        <f aca="false">IF((E194="n"),H194," ")</f>
        <v> </v>
      </c>
      <c r="AE194" s="17" t="str">
        <f aca="false">IF((E194="f"),H194," ")</f>
        <v> </v>
      </c>
      <c r="AF194" s="17" t="str">
        <f aca="false">IF((E194="l"),H194," ")</f>
        <v> </v>
      </c>
      <c r="AG194" s="17" t="str">
        <f aca="false">IF((E194="y"),H194," ")</f>
        <v> </v>
      </c>
      <c r="AH194" s="17" t="str">
        <f aca="false">IF((E194="z"),H194," ")</f>
        <v> </v>
      </c>
      <c r="AI194" s="17" t="str">
        <f aca="false">IF((E194="fa"),H194," ")</f>
        <v> </v>
      </c>
      <c r="AJ194" s="17" t="str">
        <f aca="false">IF((E194="e"),H194," ")</f>
        <v> </v>
      </c>
    </row>
    <row r="195" customFormat="false" ht="12" hidden="false" customHeight="false" outlineLevel="0" collapsed="false">
      <c r="A195" s="28"/>
      <c r="E195" s="2" t="str">
        <f aca="false">IF((F195&lt;&gt;0),"Enter Letter"," ")</f>
        <v> </v>
      </c>
      <c r="F195" s="30"/>
      <c r="G195" s="6" t="str">
        <f aca="false">IF(F195&lt;&gt;0,F195*G$2/(100+G$2)," ")</f>
        <v> </v>
      </c>
      <c r="H195" s="6" t="str">
        <f aca="false">IF((F195&lt;&gt;0),F195-G195," ")</f>
        <v> </v>
      </c>
      <c r="I195" s="5"/>
      <c r="L195" s="7" t="str">
        <f aca="false">IF(F195&lt;&gt;0,F195-K195," ")</f>
        <v> </v>
      </c>
      <c r="M195" s="8" t="str">
        <f aca="false">IF((F195-K195)&lt;&gt;0,M$1-A195," ")</f>
        <v> </v>
      </c>
      <c r="N195" s="5"/>
      <c r="O195" s="17" t="str">
        <f aca="false">IF((E195="s"),H195," ")</f>
        <v> </v>
      </c>
      <c r="P195" s="17" t="str">
        <f aca="false">IF((E195="c"),H195," ")</f>
        <v> </v>
      </c>
      <c r="Q195" s="17" t="str">
        <f aca="false">IF((E195="o"),H195," ")</f>
        <v> </v>
      </c>
      <c r="R195" s="17" t="str">
        <f aca="false">IF((E195="d"),H195," ")</f>
        <v> </v>
      </c>
      <c r="S195" s="17" t="str">
        <f aca="false">IF((E195="w"),H195," ")</f>
        <v> </v>
      </c>
      <c r="T195" s="17" t="str">
        <f aca="false">IF((E195="r"),H195," ")</f>
        <v> </v>
      </c>
      <c r="U195" s="17" t="str">
        <f aca="false">IF((E195="p"),H195," ")</f>
        <v> </v>
      </c>
      <c r="V195" s="17" t="str">
        <f aca="false">IF((E195="t"),H195," ")</f>
        <v> </v>
      </c>
      <c r="W195" s="17" t="str">
        <f aca="false">IF((E195="q"),H195," ")</f>
        <v> </v>
      </c>
      <c r="X195" s="17" t="str">
        <f aca="false">IF((E195="m"),H195," ")</f>
        <v> </v>
      </c>
      <c r="Y195" s="17" t="str">
        <f aca="false">IF((E195="u"),H195," ")</f>
        <v> </v>
      </c>
      <c r="Z195" s="17" t="str">
        <f aca="false">IF((E195="a"),H195," ")</f>
        <v> </v>
      </c>
      <c r="AA195" s="17" t="str">
        <f aca="false">IF((E195="g"),H195," ")</f>
        <v> </v>
      </c>
      <c r="AB195" s="17" t="str">
        <f aca="false">IF((E195="h"),H195," ")</f>
        <v> </v>
      </c>
      <c r="AC195" s="30" t="str">
        <f aca="false">IF((E195="v"),H195," ")</f>
        <v> </v>
      </c>
      <c r="AD195" s="30" t="str">
        <f aca="false">IF((E195="n"),H195," ")</f>
        <v> </v>
      </c>
      <c r="AE195" s="17" t="str">
        <f aca="false">IF((E195="f"),H195," ")</f>
        <v> </v>
      </c>
      <c r="AF195" s="17" t="str">
        <f aca="false">IF((E195="l"),H195," ")</f>
        <v> </v>
      </c>
      <c r="AG195" s="17" t="str">
        <f aca="false">IF((E195="y"),H195," ")</f>
        <v> </v>
      </c>
      <c r="AH195" s="17" t="str">
        <f aca="false">IF((E195="z"),H195," ")</f>
        <v> </v>
      </c>
      <c r="AI195" s="17" t="str">
        <f aca="false">IF((E195="fa"),H195," ")</f>
        <v> </v>
      </c>
      <c r="AJ195" s="17" t="str">
        <f aca="false">IF((E195="e"),H195," ")</f>
        <v> </v>
      </c>
    </row>
    <row r="196" customFormat="false" ht="12" hidden="false" customHeight="false" outlineLevel="0" collapsed="false">
      <c r="A196" s="28"/>
      <c r="E196" s="2" t="str">
        <f aca="false">IF((F196&lt;&gt;0),"Enter Letter"," ")</f>
        <v> </v>
      </c>
      <c r="F196" s="30"/>
      <c r="G196" s="6" t="str">
        <f aca="false">IF(F196&lt;&gt;0,F196*G$2/(100+G$2)," ")</f>
        <v> </v>
      </c>
      <c r="H196" s="6" t="str">
        <f aca="false">IF((F196&lt;&gt;0),F196-G196," ")</f>
        <v> </v>
      </c>
      <c r="I196" s="5"/>
      <c r="L196" s="7" t="str">
        <f aca="false">IF(F196&lt;&gt;0,F196-K196," ")</f>
        <v> </v>
      </c>
      <c r="M196" s="8" t="str">
        <f aca="false">IF((F196-K196)&lt;&gt;0,M$1-A196," ")</f>
        <v> </v>
      </c>
      <c r="N196" s="5"/>
      <c r="O196" s="17" t="str">
        <f aca="false">IF((E196="s"),H196," ")</f>
        <v> </v>
      </c>
      <c r="P196" s="17" t="str">
        <f aca="false">IF((E196="c"),H196," ")</f>
        <v> </v>
      </c>
      <c r="Q196" s="17" t="str">
        <f aca="false">IF((E196="o"),H196," ")</f>
        <v> </v>
      </c>
      <c r="R196" s="17" t="str">
        <f aca="false">IF((E196="d"),H196," ")</f>
        <v> </v>
      </c>
      <c r="S196" s="17" t="str">
        <f aca="false">IF((E196="w"),H196," ")</f>
        <v> </v>
      </c>
      <c r="T196" s="17" t="str">
        <f aca="false">IF((E196="r"),H196," ")</f>
        <v> </v>
      </c>
      <c r="U196" s="17" t="str">
        <f aca="false">IF((E196="p"),H196," ")</f>
        <v> </v>
      </c>
      <c r="V196" s="17" t="str">
        <f aca="false">IF((E196="t"),H196," ")</f>
        <v> </v>
      </c>
      <c r="W196" s="17" t="str">
        <f aca="false">IF((E196="q"),H196," ")</f>
        <v> </v>
      </c>
      <c r="X196" s="17" t="str">
        <f aca="false">IF((E196="m"),H196," ")</f>
        <v> </v>
      </c>
      <c r="Y196" s="17" t="str">
        <f aca="false">IF((E196="u"),H196," ")</f>
        <v> </v>
      </c>
      <c r="Z196" s="17" t="str">
        <f aca="false">IF((E196="a"),H196," ")</f>
        <v> </v>
      </c>
      <c r="AA196" s="17" t="str">
        <f aca="false">IF((E196="g"),H196," ")</f>
        <v> </v>
      </c>
      <c r="AB196" s="17" t="str">
        <f aca="false">IF((E196="h"),H196," ")</f>
        <v> </v>
      </c>
      <c r="AC196" s="30" t="str">
        <f aca="false">IF((E196="v"),H196," ")</f>
        <v> </v>
      </c>
      <c r="AD196" s="30" t="str">
        <f aca="false">IF((E196="n"),H196," ")</f>
        <v> </v>
      </c>
      <c r="AE196" s="17" t="str">
        <f aca="false">IF((E196="f"),H196," ")</f>
        <v> </v>
      </c>
      <c r="AF196" s="17" t="str">
        <f aca="false">IF((E196="l"),H196," ")</f>
        <v> </v>
      </c>
      <c r="AG196" s="17" t="str">
        <f aca="false">IF((E196="y"),H196," ")</f>
        <v> </v>
      </c>
      <c r="AH196" s="17" t="str">
        <f aca="false">IF((E196="z"),H196," ")</f>
        <v> </v>
      </c>
      <c r="AI196" s="17" t="str">
        <f aca="false">IF((E196="fa"),H196," ")</f>
        <v> </v>
      </c>
      <c r="AJ196" s="17" t="str">
        <f aca="false">IF((E196="e"),H196," ")</f>
        <v> </v>
      </c>
    </row>
    <row r="197" customFormat="false" ht="12" hidden="false" customHeight="false" outlineLevel="0" collapsed="false">
      <c r="A197" s="28"/>
      <c r="E197" s="2" t="str">
        <f aca="false">IF((F197&lt;&gt;0),"Enter Letter"," ")</f>
        <v> </v>
      </c>
      <c r="F197" s="30"/>
      <c r="G197" s="6" t="str">
        <f aca="false">IF(F197&lt;&gt;0,F197*G$2/(100+G$2)," ")</f>
        <v> </v>
      </c>
      <c r="H197" s="6" t="str">
        <f aca="false">IF((F197&lt;&gt;0),F197-G197," ")</f>
        <v> </v>
      </c>
      <c r="I197" s="5"/>
      <c r="L197" s="7" t="str">
        <f aca="false">IF(F197&lt;&gt;0,F197-K197," ")</f>
        <v> </v>
      </c>
      <c r="M197" s="8" t="str">
        <f aca="false">IF((F197-K197)&lt;&gt;0,M$1-A197," ")</f>
        <v> </v>
      </c>
      <c r="N197" s="5"/>
      <c r="O197" s="17" t="str">
        <f aca="false">IF((E197="s"),H197," ")</f>
        <v> </v>
      </c>
      <c r="P197" s="17" t="str">
        <f aca="false">IF((E197="c"),H197," ")</f>
        <v> </v>
      </c>
      <c r="Q197" s="17" t="str">
        <f aca="false">IF((E197="o"),H197," ")</f>
        <v> </v>
      </c>
      <c r="R197" s="17" t="str">
        <f aca="false">IF((E197="d"),H197," ")</f>
        <v> </v>
      </c>
      <c r="S197" s="17" t="str">
        <f aca="false">IF((E197="w"),H197," ")</f>
        <v> </v>
      </c>
      <c r="T197" s="17" t="str">
        <f aca="false">IF((E197="r"),H197," ")</f>
        <v> </v>
      </c>
      <c r="U197" s="17" t="str">
        <f aca="false">IF((E197="p"),H197," ")</f>
        <v> </v>
      </c>
      <c r="V197" s="17" t="str">
        <f aca="false">IF((E197="t"),H197," ")</f>
        <v> </v>
      </c>
      <c r="W197" s="17" t="str">
        <f aca="false">IF((E197="q"),H197," ")</f>
        <v> </v>
      </c>
      <c r="X197" s="17" t="str">
        <f aca="false">IF((E197="m"),H197," ")</f>
        <v> </v>
      </c>
      <c r="Y197" s="17" t="str">
        <f aca="false">IF((E197="u"),H197," ")</f>
        <v> </v>
      </c>
      <c r="Z197" s="17" t="str">
        <f aca="false">IF((E197="a"),H197," ")</f>
        <v> </v>
      </c>
      <c r="AA197" s="17" t="str">
        <f aca="false">IF((E197="g"),H197," ")</f>
        <v> </v>
      </c>
      <c r="AB197" s="17" t="str">
        <f aca="false">IF((E197="h"),H197," ")</f>
        <v> </v>
      </c>
      <c r="AC197" s="30" t="str">
        <f aca="false">IF((E197="v"),H197," ")</f>
        <v> </v>
      </c>
      <c r="AD197" s="30" t="str">
        <f aca="false">IF((E197="n"),H197," ")</f>
        <v> </v>
      </c>
      <c r="AE197" s="17" t="str">
        <f aca="false">IF((E197="f"),H197," ")</f>
        <v> </v>
      </c>
      <c r="AF197" s="17" t="str">
        <f aca="false">IF((E197="l"),H197," ")</f>
        <v> </v>
      </c>
      <c r="AG197" s="17" t="str">
        <f aca="false">IF((E197="y"),H197," ")</f>
        <v> </v>
      </c>
      <c r="AH197" s="17" t="str">
        <f aca="false">IF((E197="z"),H197," ")</f>
        <v> </v>
      </c>
      <c r="AI197" s="17" t="str">
        <f aca="false">IF((E197="fa"),H197," ")</f>
        <v> </v>
      </c>
      <c r="AJ197" s="17" t="str">
        <f aca="false">IF((E197="e"),H197," ")</f>
        <v> </v>
      </c>
    </row>
    <row r="198" customFormat="false" ht="12" hidden="false" customHeight="false" outlineLevel="0" collapsed="false">
      <c r="A198" s="28"/>
      <c r="E198" s="2" t="str">
        <f aca="false">IF((F198&lt;&gt;0),"Enter Letter"," ")</f>
        <v> </v>
      </c>
      <c r="F198" s="30"/>
      <c r="G198" s="6" t="str">
        <f aca="false">IF(F198&lt;&gt;0,F198*G$2/(100+G$2)," ")</f>
        <v> </v>
      </c>
      <c r="H198" s="6" t="str">
        <f aca="false">IF((F198&lt;&gt;0),F198-G198," ")</f>
        <v> </v>
      </c>
      <c r="I198" s="5"/>
      <c r="L198" s="7" t="str">
        <f aca="false">IF(F198&lt;&gt;0,F198-K198," ")</f>
        <v> </v>
      </c>
      <c r="M198" s="8" t="str">
        <f aca="false">IF((F198-K198)&lt;&gt;0,M$1-A198," ")</f>
        <v> </v>
      </c>
      <c r="N198" s="5"/>
      <c r="O198" s="17" t="str">
        <f aca="false">IF((E198="s"),H198," ")</f>
        <v> </v>
      </c>
      <c r="P198" s="17" t="str">
        <f aca="false">IF((E198="c"),H198," ")</f>
        <v> </v>
      </c>
      <c r="Q198" s="17" t="str">
        <f aca="false">IF((E198="o"),H198," ")</f>
        <v> </v>
      </c>
      <c r="R198" s="17" t="str">
        <f aca="false">IF((E198="d"),H198," ")</f>
        <v> </v>
      </c>
      <c r="S198" s="17" t="str">
        <f aca="false">IF((E198="w"),H198," ")</f>
        <v> </v>
      </c>
      <c r="T198" s="17" t="str">
        <f aca="false">IF((E198="r"),H198," ")</f>
        <v> </v>
      </c>
      <c r="U198" s="17" t="str">
        <f aca="false">IF((E198="p"),H198," ")</f>
        <v> </v>
      </c>
      <c r="V198" s="17" t="str">
        <f aca="false">IF((E198="t"),H198," ")</f>
        <v> </v>
      </c>
      <c r="W198" s="17" t="str">
        <f aca="false">IF((E198="q"),H198," ")</f>
        <v> </v>
      </c>
      <c r="X198" s="17" t="str">
        <f aca="false">IF((E198="m"),H198," ")</f>
        <v> </v>
      </c>
      <c r="Y198" s="17" t="str">
        <f aca="false">IF((E198="u"),H198," ")</f>
        <v> </v>
      </c>
      <c r="Z198" s="17" t="str">
        <f aca="false">IF((E198="a"),H198," ")</f>
        <v> </v>
      </c>
      <c r="AA198" s="17" t="str">
        <f aca="false">IF((E198="g"),H198," ")</f>
        <v> </v>
      </c>
      <c r="AB198" s="17" t="str">
        <f aca="false">IF((E198="h"),H198," ")</f>
        <v> </v>
      </c>
      <c r="AC198" s="30" t="str">
        <f aca="false">IF((E198="v"),H198," ")</f>
        <v> </v>
      </c>
      <c r="AD198" s="30" t="str">
        <f aca="false">IF((E198="n"),H198," ")</f>
        <v> </v>
      </c>
      <c r="AE198" s="17" t="str">
        <f aca="false">IF((E198="f"),H198," ")</f>
        <v> </v>
      </c>
      <c r="AF198" s="17" t="str">
        <f aca="false">IF((E198="l"),H198," ")</f>
        <v> </v>
      </c>
      <c r="AG198" s="17" t="str">
        <f aca="false">IF((E198="y"),H198," ")</f>
        <v> </v>
      </c>
      <c r="AH198" s="17" t="str">
        <f aca="false">IF((E198="z"),H198," ")</f>
        <v> </v>
      </c>
      <c r="AI198" s="17" t="str">
        <f aca="false">IF((E198="fa"),H198," ")</f>
        <v> </v>
      </c>
      <c r="AJ198" s="17" t="str">
        <f aca="false">IF((E198="e"),H198," ")</f>
        <v> </v>
      </c>
    </row>
    <row r="199" customFormat="false" ht="12" hidden="false" customHeight="false" outlineLevel="0" collapsed="false">
      <c r="A199" s="28"/>
      <c r="E199" s="2" t="str">
        <f aca="false">IF((F199&lt;&gt;0),"Enter Letter"," ")</f>
        <v> </v>
      </c>
      <c r="F199" s="30"/>
      <c r="G199" s="6" t="str">
        <f aca="false">IF(F199&lt;&gt;0,F199*G$2/(100+G$2)," ")</f>
        <v> </v>
      </c>
      <c r="H199" s="6" t="str">
        <f aca="false">IF((F199&lt;&gt;0),F199-G199," ")</f>
        <v> </v>
      </c>
      <c r="I199" s="5"/>
      <c r="L199" s="7" t="str">
        <f aca="false">IF(F199&lt;&gt;0,F199-K199," ")</f>
        <v> </v>
      </c>
      <c r="M199" s="8" t="str">
        <f aca="false">IF((F199-K199)&lt;&gt;0,M$1-A199," ")</f>
        <v> </v>
      </c>
      <c r="N199" s="5"/>
      <c r="O199" s="17" t="str">
        <f aca="false">IF((E199="s"),H199," ")</f>
        <v> </v>
      </c>
      <c r="P199" s="17" t="str">
        <f aca="false">IF((E199="c"),H199," ")</f>
        <v> </v>
      </c>
      <c r="Q199" s="17" t="str">
        <f aca="false">IF((E199="o"),H199," ")</f>
        <v> </v>
      </c>
      <c r="R199" s="17" t="str">
        <f aca="false">IF((E199="d"),H199," ")</f>
        <v> </v>
      </c>
      <c r="S199" s="17" t="str">
        <f aca="false">IF((E199="w"),H199," ")</f>
        <v> </v>
      </c>
      <c r="T199" s="17" t="str">
        <f aca="false">IF((E199="r"),H199," ")</f>
        <v> </v>
      </c>
      <c r="U199" s="17" t="str">
        <f aca="false">IF((E199="p"),H199," ")</f>
        <v> </v>
      </c>
      <c r="V199" s="17" t="str">
        <f aca="false">IF((E199="t"),H199," ")</f>
        <v> </v>
      </c>
      <c r="W199" s="17" t="str">
        <f aca="false">IF((E199="q"),H199," ")</f>
        <v> </v>
      </c>
      <c r="X199" s="17" t="str">
        <f aca="false">IF((E199="m"),H199," ")</f>
        <v> </v>
      </c>
      <c r="Y199" s="17" t="str">
        <f aca="false">IF((E199="u"),H199," ")</f>
        <v> </v>
      </c>
      <c r="Z199" s="17" t="str">
        <f aca="false">IF((E199="a"),H199," ")</f>
        <v> </v>
      </c>
      <c r="AA199" s="17" t="str">
        <f aca="false">IF((E199="g"),H199," ")</f>
        <v> </v>
      </c>
      <c r="AB199" s="17" t="str">
        <f aca="false">IF((E199="h"),H199," ")</f>
        <v> </v>
      </c>
      <c r="AC199" s="30" t="str">
        <f aca="false">IF((E199="v"),H199," ")</f>
        <v> </v>
      </c>
      <c r="AD199" s="30" t="str">
        <f aca="false">IF((E199="n"),H199," ")</f>
        <v> </v>
      </c>
      <c r="AE199" s="17" t="str">
        <f aca="false">IF((E199="f"),H199," ")</f>
        <v> </v>
      </c>
      <c r="AF199" s="17" t="str">
        <f aca="false">IF((E199="l"),H199," ")</f>
        <v> </v>
      </c>
      <c r="AG199" s="17" t="str">
        <f aca="false">IF((E199="y"),H199," ")</f>
        <v> </v>
      </c>
      <c r="AH199" s="17" t="str">
        <f aca="false">IF((E199="z"),H199," ")</f>
        <v> </v>
      </c>
      <c r="AI199" s="17" t="str">
        <f aca="false">IF((E199="fa"),H199," ")</f>
        <v> </v>
      </c>
      <c r="AJ199" s="17" t="str">
        <f aca="false">IF((E199="e"),H199," ")</f>
        <v> </v>
      </c>
    </row>
    <row r="200" customFormat="false" ht="12" hidden="false" customHeight="false" outlineLevel="0" collapsed="false">
      <c r="A200" s="28"/>
      <c r="E200" s="2" t="str">
        <f aca="false">IF((F200&lt;&gt;0),"Enter Letter"," ")</f>
        <v> </v>
      </c>
      <c r="F200" s="30"/>
      <c r="G200" s="6" t="str">
        <f aca="false">IF(F200&lt;&gt;0,F200*G$2/(100+G$2)," ")</f>
        <v> </v>
      </c>
      <c r="H200" s="6" t="str">
        <f aca="false">IF((F200&lt;&gt;0),F200-G200," ")</f>
        <v> </v>
      </c>
      <c r="I200" s="5"/>
      <c r="L200" s="7" t="str">
        <f aca="false">IF(F200&lt;&gt;0,F200-K200," ")</f>
        <v> </v>
      </c>
      <c r="M200" s="8" t="str">
        <f aca="false">IF((F200-K200)&lt;&gt;0,M$1-A200," ")</f>
        <v> </v>
      </c>
      <c r="N200" s="5"/>
      <c r="O200" s="17" t="str">
        <f aca="false">IF((E200="s"),H200," ")</f>
        <v> </v>
      </c>
      <c r="P200" s="17" t="str">
        <f aca="false">IF((E200="c"),H200," ")</f>
        <v> </v>
      </c>
      <c r="Q200" s="17" t="str">
        <f aca="false">IF((E200="o"),H200," ")</f>
        <v> </v>
      </c>
      <c r="R200" s="17" t="str">
        <f aca="false">IF((E200="d"),H200," ")</f>
        <v> </v>
      </c>
      <c r="S200" s="17" t="str">
        <f aca="false">IF((E200="w"),H200," ")</f>
        <v> </v>
      </c>
      <c r="T200" s="17" t="str">
        <f aca="false">IF((E200="r"),H200," ")</f>
        <v> </v>
      </c>
      <c r="U200" s="17" t="str">
        <f aca="false">IF((E200="p"),H200," ")</f>
        <v> </v>
      </c>
      <c r="V200" s="17" t="str">
        <f aca="false">IF((E200="t"),H200," ")</f>
        <v> </v>
      </c>
      <c r="W200" s="17" t="str">
        <f aca="false">IF((E200="q"),H200," ")</f>
        <v> </v>
      </c>
      <c r="X200" s="17" t="str">
        <f aca="false">IF((E200="m"),H200," ")</f>
        <v> </v>
      </c>
      <c r="Y200" s="17" t="str">
        <f aca="false">IF((E200="u"),H200," ")</f>
        <v> </v>
      </c>
      <c r="Z200" s="17" t="str">
        <f aca="false">IF((E200="a"),H200," ")</f>
        <v> </v>
      </c>
      <c r="AA200" s="17" t="str">
        <f aca="false">IF((E200="g"),H200," ")</f>
        <v> </v>
      </c>
      <c r="AB200" s="17" t="str">
        <f aca="false">IF((E200="h"),H200," ")</f>
        <v> </v>
      </c>
      <c r="AC200" s="30" t="str">
        <f aca="false">IF((E200="v"),H200," ")</f>
        <v> </v>
      </c>
      <c r="AD200" s="30" t="str">
        <f aca="false">IF((E200="n"),H200," ")</f>
        <v> </v>
      </c>
      <c r="AE200" s="17" t="str">
        <f aca="false">IF((E200="f"),H200," ")</f>
        <v> </v>
      </c>
      <c r="AF200" s="17" t="str">
        <f aca="false">IF((E200="l"),H200," ")</f>
        <v> </v>
      </c>
      <c r="AG200" s="17" t="str">
        <f aca="false">IF((E200="y"),H200," ")</f>
        <v> </v>
      </c>
      <c r="AH200" s="17" t="str">
        <f aca="false">IF((E200="z"),H200," ")</f>
        <v> </v>
      </c>
      <c r="AI200" s="17" t="str">
        <f aca="false">IF((E200="fa"),H200," ")</f>
        <v> </v>
      </c>
      <c r="AJ200" s="17" t="str">
        <f aca="false">IF((E200="e"),H200," ")</f>
        <v> </v>
      </c>
    </row>
    <row r="201" customFormat="false" ht="12" hidden="false" customHeight="false" outlineLevel="0" collapsed="false">
      <c r="A201" s="28"/>
      <c r="E201" s="2" t="str">
        <f aca="false">IF((F201&lt;&gt;0),"Enter Letter"," ")</f>
        <v> </v>
      </c>
      <c r="F201" s="30"/>
      <c r="G201" s="6" t="str">
        <f aca="false">IF(F201&lt;&gt;0,F201*G$2/(100+G$2)," ")</f>
        <v> </v>
      </c>
      <c r="H201" s="6" t="str">
        <f aca="false">IF((F201&lt;&gt;0),F201-G201," ")</f>
        <v> </v>
      </c>
      <c r="I201" s="5"/>
      <c r="L201" s="7" t="str">
        <f aca="false">IF(F201&lt;&gt;0,F201-K201," ")</f>
        <v> </v>
      </c>
      <c r="M201" s="8" t="str">
        <f aca="false">IF((F201-K201)&lt;&gt;0,M$1-A201," ")</f>
        <v> </v>
      </c>
      <c r="N201" s="5"/>
      <c r="O201" s="17" t="str">
        <f aca="false">IF((E201="s"),H201," ")</f>
        <v> </v>
      </c>
      <c r="P201" s="17" t="str">
        <f aca="false">IF((E201="c"),H201," ")</f>
        <v> </v>
      </c>
      <c r="Q201" s="17" t="str">
        <f aca="false">IF((E201="o"),H201," ")</f>
        <v> </v>
      </c>
      <c r="R201" s="17" t="str">
        <f aca="false">IF((E201="d"),H201," ")</f>
        <v> </v>
      </c>
      <c r="S201" s="17" t="str">
        <f aca="false">IF((E201="w"),H201," ")</f>
        <v> </v>
      </c>
      <c r="T201" s="17" t="str">
        <f aca="false">IF((E201="r"),H201," ")</f>
        <v> </v>
      </c>
      <c r="U201" s="17" t="str">
        <f aca="false">IF((E201="p"),H201," ")</f>
        <v> </v>
      </c>
      <c r="V201" s="17" t="str">
        <f aca="false">IF((E201="t"),H201," ")</f>
        <v> </v>
      </c>
      <c r="W201" s="17" t="str">
        <f aca="false">IF((E201="q"),H201," ")</f>
        <v> </v>
      </c>
      <c r="X201" s="17" t="str">
        <f aca="false">IF((E201="m"),H201," ")</f>
        <v> </v>
      </c>
      <c r="Y201" s="17" t="str">
        <f aca="false">IF((E201="u"),H201," ")</f>
        <v> </v>
      </c>
      <c r="Z201" s="17" t="str">
        <f aca="false">IF((E201="a"),H201," ")</f>
        <v> </v>
      </c>
      <c r="AA201" s="17" t="str">
        <f aca="false">IF((E201="g"),H201," ")</f>
        <v> </v>
      </c>
      <c r="AB201" s="17" t="str">
        <f aca="false">IF((E201="h"),H201," ")</f>
        <v> </v>
      </c>
      <c r="AC201" s="30" t="str">
        <f aca="false">IF((E201="v"),H201," ")</f>
        <v> </v>
      </c>
      <c r="AD201" s="30" t="str">
        <f aca="false">IF((E201="n"),H201," ")</f>
        <v> </v>
      </c>
      <c r="AE201" s="17" t="str">
        <f aca="false">IF((E201="f"),H201," ")</f>
        <v> </v>
      </c>
      <c r="AF201" s="17" t="str">
        <f aca="false">IF((E201="l"),H201," ")</f>
        <v> </v>
      </c>
      <c r="AG201" s="17" t="str">
        <f aca="false">IF((E201="y"),H201," ")</f>
        <v> </v>
      </c>
      <c r="AH201" s="17" t="str">
        <f aca="false">IF((E201="z"),H201," ")</f>
        <v> </v>
      </c>
      <c r="AI201" s="17" t="str">
        <f aca="false">IF((E201="fa"),H201," ")</f>
        <v> </v>
      </c>
      <c r="AJ201" s="17" t="str">
        <f aca="false">IF((E201="e"),H201," ")</f>
        <v> </v>
      </c>
    </row>
    <row r="202" customFormat="false" ht="12" hidden="false" customHeight="false" outlineLevel="0" collapsed="false">
      <c r="A202" s="28"/>
      <c r="E202" s="2" t="str">
        <f aca="false">IF((F202&lt;&gt;0),"Enter Letter"," ")</f>
        <v> </v>
      </c>
      <c r="F202" s="30"/>
      <c r="G202" s="6" t="str">
        <f aca="false">IF(F202&lt;&gt;0,F202*G$2/(100+G$2)," ")</f>
        <v> </v>
      </c>
      <c r="H202" s="6" t="str">
        <f aca="false">IF((F202&lt;&gt;0),F202-G202," ")</f>
        <v> </v>
      </c>
      <c r="I202" s="5"/>
      <c r="L202" s="7" t="str">
        <f aca="false">IF(F202&lt;&gt;0,F202-K202," ")</f>
        <v> </v>
      </c>
      <c r="M202" s="8" t="str">
        <f aca="false">IF((F202-K202)&lt;&gt;0,M$1-A202," ")</f>
        <v> </v>
      </c>
      <c r="N202" s="5"/>
      <c r="O202" s="17" t="str">
        <f aca="false">IF((E202="s"),H202," ")</f>
        <v> </v>
      </c>
      <c r="P202" s="17" t="str">
        <f aca="false">IF((E202="c"),H202," ")</f>
        <v> </v>
      </c>
      <c r="Q202" s="17" t="str">
        <f aca="false">IF((E202="o"),H202," ")</f>
        <v> </v>
      </c>
      <c r="R202" s="17" t="str">
        <f aca="false">IF((E202="d"),H202," ")</f>
        <v> </v>
      </c>
      <c r="S202" s="17" t="str">
        <f aca="false">IF((E202="w"),H202," ")</f>
        <v> </v>
      </c>
      <c r="T202" s="17" t="str">
        <f aca="false">IF((E202="r"),H202," ")</f>
        <v> </v>
      </c>
      <c r="U202" s="17" t="str">
        <f aca="false">IF((E202="p"),H202," ")</f>
        <v> </v>
      </c>
      <c r="V202" s="17" t="str">
        <f aca="false">IF((E202="t"),H202," ")</f>
        <v> </v>
      </c>
      <c r="W202" s="17" t="str">
        <f aca="false">IF((E202="q"),H202," ")</f>
        <v> </v>
      </c>
      <c r="X202" s="17" t="str">
        <f aca="false">IF((E202="m"),H202," ")</f>
        <v> </v>
      </c>
      <c r="Y202" s="17" t="str">
        <f aca="false">IF((E202="u"),H202," ")</f>
        <v> </v>
      </c>
      <c r="Z202" s="17" t="str">
        <f aca="false">IF((E202="a"),H202," ")</f>
        <v> </v>
      </c>
      <c r="AA202" s="17" t="str">
        <f aca="false">IF((E202="g"),H202," ")</f>
        <v> </v>
      </c>
      <c r="AB202" s="17" t="str">
        <f aca="false">IF((E202="h"),H202," ")</f>
        <v> </v>
      </c>
      <c r="AC202" s="30" t="str">
        <f aca="false">IF((E202="v"),H202," ")</f>
        <v> </v>
      </c>
      <c r="AD202" s="30" t="str">
        <f aca="false">IF((E202="n"),H202," ")</f>
        <v> </v>
      </c>
      <c r="AE202" s="17" t="str">
        <f aca="false">IF((E202="f"),H202," ")</f>
        <v> </v>
      </c>
      <c r="AF202" s="17" t="str">
        <f aca="false">IF((E202="l"),H202," ")</f>
        <v> </v>
      </c>
      <c r="AG202" s="17" t="str">
        <f aca="false">IF((E202="y"),H202," ")</f>
        <v> </v>
      </c>
      <c r="AH202" s="17" t="str">
        <f aca="false">IF((E202="z"),H202," ")</f>
        <v> </v>
      </c>
      <c r="AI202" s="17" t="str">
        <f aca="false">IF((E202="fa"),H202," ")</f>
        <v> </v>
      </c>
      <c r="AJ202" s="17" t="str">
        <f aca="false">IF((E202="e"),H202," ")</f>
        <v> </v>
      </c>
    </row>
    <row r="203" customFormat="false" ht="12" hidden="false" customHeight="false" outlineLevel="0" collapsed="false">
      <c r="A203" s="28"/>
      <c r="E203" s="2" t="str">
        <f aca="false">IF((F203&lt;&gt;0),"Enter Letter"," ")</f>
        <v> </v>
      </c>
      <c r="F203" s="30"/>
      <c r="G203" s="6" t="str">
        <f aca="false">IF(F203&lt;&gt;0,F203*G$2/(100+G$2)," ")</f>
        <v> </v>
      </c>
      <c r="H203" s="6" t="str">
        <f aca="false">IF((F203&lt;&gt;0),F203-G203," ")</f>
        <v> </v>
      </c>
      <c r="I203" s="5"/>
      <c r="L203" s="7" t="str">
        <f aca="false">IF(F203&lt;&gt;0,F203-K203," ")</f>
        <v> </v>
      </c>
      <c r="M203" s="8" t="str">
        <f aca="false">IF((F203-K203)&lt;&gt;0,M$1-A203," ")</f>
        <v> </v>
      </c>
      <c r="N203" s="5"/>
      <c r="O203" s="17" t="str">
        <f aca="false">IF((E203="s"),H203," ")</f>
        <v> </v>
      </c>
      <c r="P203" s="17" t="str">
        <f aca="false">IF((E203="c"),H203," ")</f>
        <v> </v>
      </c>
      <c r="Q203" s="17" t="str">
        <f aca="false">IF((E203="o"),H203," ")</f>
        <v> </v>
      </c>
      <c r="R203" s="17" t="str">
        <f aca="false">IF((E203="d"),H203," ")</f>
        <v> </v>
      </c>
      <c r="S203" s="17" t="str">
        <f aca="false">IF((E203="w"),H203," ")</f>
        <v> </v>
      </c>
      <c r="T203" s="17" t="str">
        <f aca="false">IF((E203="r"),H203," ")</f>
        <v> </v>
      </c>
      <c r="U203" s="17" t="str">
        <f aca="false">IF((E203="p"),H203," ")</f>
        <v> </v>
      </c>
      <c r="V203" s="17" t="str">
        <f aca="false">IF((E203="t"),H203," ")</f>
        <v> </v>
      </c>
      <c r="W203" s="17" t="str">
        <f aca="false">IF((E203="q"),H203," ")</f>
        <v> </v>
      </c>
      <c r="X203" s="17" t="str">
        <f aca="false">IF((E203="m"),H203," ")</f>
        <v> </v>
      </c>
      <c r="Y203" s="17" t="str">
        <f aca="false">IF((E203="u"),H203," ")</f>
        <v> </v>
      </c>
      <c r="Z203" s="17" t="str">
        <f aca="false">IF((E203="a"),H203," ")</f>
        <v> </v>
      </c>
      <c r="AA203" s="17" t="str">
        <f aca="false">IF((E203="g"),H203," ")</f>
        <v> </v>
      </c>
      <c r="AB203" s="17" t="str">
        <f aca="false">IF((E203="h"),H203," ")</f>
        <v> </v>
      </c>
      <c r="AC203" s="30" t="str">
        <f aca="false">IF((E203="v"),H203," ")</f>
        <v> </v>
      </c>
      <c r="AD203" s="30" t="str">
        <f aca="false">IF((E203="n"),H203," ")</f>
        <v> </v>
      </c>
      <c r="AE203" s="17" t="str">
        <f aca="false">IF((E203="f"),H203," ")</f>
        <v> </v>
      </c>
      <c r="AF203" s="17" t="str">
        <f aca="false">IF((E203="l"),H203," ")</f>
        <v> </v>
      </c>
      <c r="AG203" s="17" t="str">
        <f aca="false">IF((E203="y"),H203," ")</f>
        <v> </v>
      </c>
      <c r="AH203" s="17" t="str">
        <f aca="false">IF((E203="z"),H203," ")</f>
        <v> </v>
      </c>
      <c r="AI203" s="17" t="str">
        <f aca="false">IF((E203="fa"),H203," ")</f>
        <v> </v>
      </c>
      <c r="AJ203" s="17" t="str">
        <f aca="false">IF((E203="e"),H203," ")</f>
        <v> </v>
      </c>
    </row>
    <row r="204" customFormat="false" ht="12" hidden="false" customHeight="false" outlineLevel="0" collapsed="false">
      <c r="A204" s="28"/>
      <c r="E204" s="2" t="str">
        <f aca="false">IF((F204&lt;&gt;0),"Enter Letter"," ")</f>
        <v> </v>
      </c>
      <c r="F204" s="30"/>
      <c r="G204" s="6" t="str">
        <f aca="false">IF(F204&lt;&gt;0,F204*G$2/(100+G$2)," ")</f>
        <v> </v>
      </c>
      <c r="H204" s="6" t="str">
        <f aca="false">IF((F204&lt;&gt;0),F204-G204," ")</f>
        <v> </v>
      </c>
      <c r="I204" s="5"/>
      <c r="L204" s="7" t="str">
        <f aca="false">IF(F204&lt;&gt;0,F204-K204," ")</f>
        <v> </v>
      </c>
      <c r="M204" s="8" t="str">
        <f aca="false">IF((F204-K204)&lt;&gt;0,M$1-A204," ")</f>
        <v> </v>
      </c>
      <c r="N204" s="5"/>
      <c r="O204" s="17" t="str">
        <f aca="false">IF((E204="s"),H204," ")</f>
        <v> </v>
      </c>
      <c r="P204" s="17" t="str">
        <f aca="false">IF((E204="c"),H204," ")</f>
        <v> </v>
      </c>
      <c r="Q204" s="17" t="str">
        <f aca="false">IF((E204="o"),H204," ")</f>
        <v> </v>
      </c>
      <c r="R204" s="17" t="str">
        <f aca="false">IF((E204="d"),H204," ")</f>
        <v> </v>
      </c>
      <c r="S204" s="17" t="str">
        <f aca="false">IF((E204="w"),H204," ")</f>
        <v> </v>
      </c>
      <c r="T204" s="17" t="str">
        <f aca="false">IF((E204="r"),H204," ")</f>
        <v> </v>
      </c>
      <c r="U204" s="17" t="str">
        <f aca="false">IF((E204="p"),H204," ")</f>
        <v> </v>
      </c>
      <c r="V204" s="17" t="str">
        <f aca="false">IF((E204="t"),H204," ")</f>
        <v> </v>
      </c>
      <c r="W204" s="17" t="str">
        <f aca="false">IF((E204="q"),H204," ")</f>
        <v> </v>
      </c>
      <c r="X204" s="17" t="str">
        <f aca="false">IF((E204="m"),H204," ")</f>
        <v> </v>
      </c>
      <c r="Y204" s="17" t="str">
        <f aca="false">IF((E204="u"),H204," ")</f>
        <v> </v>
      </c>
      <c r="Z204" s="17" t="str">
        <f aca="false">IF((E204="a"),H204," ")</f>
        <v> </v>
      </c>
      <c r="AA204" s="17" t="str">
        <f aca="false">IF((E204="g"),H204," ")</f>
        <v> </v>
      </c>
      <c r="AB204" s="17" t="str">
        <f aca="false">IF((E204="h"),H204," ")</f>
        <v> </v>
      </c>
      <c r="AC204" s="30" t="str">
        <f aca="false">IF((E204="v"),H204," ")</f>
        <v> </v>
      </c>
      <c r="AD204" s="30" t="str">
        <f aca="false">IF((E204="n"),H204," ")</f>
        <v> </v>
      </c>
      <c r="AE204" s="17" t="str">
        <f aca="false">IF((E204="f"),H204," ")</f>
        <v> </v>
      </c>
      <c r="AF204" s="17" t="str">
        <f aca="false">IF((E204="l"),H204," ")</f>
        <v> </v>
      </c>
      <c r="AG204" s="17" t="str">
        <f aca="false">IF((E204="y"),H204," ")</f>
        <v> </v>
      </c>
      <c r="AH204" s="17" t="str">
        <f aca="false">IF((E204="z"),H204," ")</f>
        <v> </v>
      </c>
      <c r="AI204" s="17" t="str">
        <f aca="false">IF((E204="fa"),H204," ")</f>
        <v> </v>
      </c>
      <c r="AJ204" s="17" t="str">
        <f aca="false">IF((E204="e"),H204," ")</f>
        <v> </v>
      </c>
    </row>
    <row r="205" customFormat="false" ht="12" hidden="false" customHeight="false" outlineLevel="0" collapsed="false">
      <c r="A205" s="28"/>
      <c r="E205" s="2" t="str">
        <f aca="false">IF((F205&lt;&gt;0),"Enter Letter"," ")</f>
        <v> </v>
      </c>
      <c r="F205" s="30"/>
      <c r="G205" s="6" t="str">
        <f aca="false">IF(F205&lt;&gt;0,F205*G$2/(100+G$2)," ")</f>
        <v> </v>
      </c>
      <c r="H205" s="6" t="str">
        <f aca="false">IF((F205&lt;&gt;0),F205-G205," ")</f>
        <v> </v>
      </c>
      <c r="I205" s="5"/>
      <c r="L205" s="7" t="str">
        <f aca="false">IF(F205&lt;&gt;0,F205-K205," ")</f>
        <v> </v>
      </c>
      <c r="M205" s="8" t="str">
        <f aca="false">IF((F205-K205)&lt;&gt;0,M$1-A205," ")</f>
        <v> </v>
      </c>
      <c r="N205" s="5"/>
      <c r="O205" s="17" t="str">
        <f aca="false">IF((E205="s"),H205," ")</f>
        <v> </v>
      </c>
      <c r="P205" s="17" t="str">
        <f aca="false">IF((E205="c"),H205," ")</f>
        <v> </v>
      </c>
      <c r="Q205" s="17" t="str">
        <f aca="false">IF((E205="o"),H205," ")</f>
        <v> </v>
      </c>
      <c r="R205" s="17" t="str">
        <f aca="false">IF((E205="d"),H205," ")</f>
        <v> </v>
      </c>
      <c r="S205" s="17" t="str">
        <f aca="false">IF((E205="w"),H205," ")</f>
        <v> </v>
      </c>
      <c r="T205" s="17" t="str">
        <f aca="false">IF((E205="r"),H205," ")</f>
        <v> </v>
      </c>
      <c r="U205" s="17" t="str">
        <f aca="false">IF((E205="p"),H205," ")</f>
        <v> </v>
      </c>
      <c r="V205" s="17" t="str">
        <f aca="false">IF((E205="t"),H205," ")</f>
        <v> </v>
      </c>
      <c r="W205" s="17" t="str">
        <f aca="false">IF((E205="q"),H205," ")</f>
        <v> </v>
      </c>
      <c r="X205" s="17" t="str">
        <f aca="false">IF((E205="m"),H205," ")</f>
        <v> </v>
      </c>
      <c r="Y205" s="17" t="str">
        <f aca="false">IF((E205="u"),H205," ")</f>
        <v> </v>
      </c>
      <c r="Z205" s="17" t="str">
        <f aca="false">IF((E205="a"),H205," ")</f>
        <v> </v>
      </c>
      <c r="AA205" s="17" t="str">
        <f aca="false">IF((E205="g"),H205," ")</f>
        <v> </v>
      </c>
      <c r="AB205" s="17" t="str">
        <f aca="false">IF((E205="h"),H205," ")</f>
        <v> </v>
      </c>
      <c r="AC205" s="30" t="str">
        <f aca="false">IF((E205="v"),H205," ")</f>
        <v> </v>
      </c>
      <c r="AD205" s="30" t="str">
        <f aca="false">IF((E205="n"),H205," ")</f>
        <v> </v>
      </c>
      <c r="AE205" s="17" t="str">
        <f aca="false">IF((E205="f"),H205," ")</f>
        <v> </v>
      </c>
      <c r="AF205" s="17" t="str">
        <f aca="false">IF((E205="l"),H205," ")</f>
        <v> </v>
      </c>
      <c r="AG205" s="17" t="str">
        <f aca="false">IF((E205="y"),H205," ")</f>
        <v> </v>
      </c>
      <c r="AH205" s="17" t="str">
        <f aca="false">IF((E205="z"),H205," ")</f>
        <v> </v>
      </c>
      <c r="AI205" s="17" t="str">
        <f aca="false">IF((E205="fa"),H205," ")</f>
        <v> </v>
      </c>
      <c r="AJ205" s="17" t="str">
        <f aca="false">IF((E205="e"),H205," ")</f>
        <v> </v>
      </c>
    </row>
    <row r="206" customFormat="false" ht="12" hidden="false" customHeight="false" outlineLevel="0" collapsed="false">
      <c r="A206" s="28"/>
      <c r="E206" s="2" t="str">
        <f aca="false">IF((F206&lt;&gt;0),"Enter Letter"," ")</f>
        <v> </v>
      </c>
      <c r="F206" s="30"/>
      <c r="G206" s="6" t="str">
        <f aca="false">IF(F206&lt;&gt;0,F206*G$2/(100+G$2)," ")</f>
        <v> </v>
      </c>
      <c r="H206" s="6" t="str">
        <f aca="false">IF((F206&lt;&gt;0),F206-G206," ")</f>
        <v> </v>
      </c>
      <c r="I206" s="5"/>
      <c r="L206" s="7" t="str">
        <f aca="false">IF(F206&lt;&gt;0,F206-K206," ")</f>
        <v> </v>
      </c>
      <c r="M206" s="8" t="str">
        <f aca="false">IF((F206-K206)&lt;&gt;0,M$1-A206," ")</f>
        <v> </v>
      </c>
      <c r="N206" s="5"/>
      <c r="O206" s="17" t="str">
        <f aca="false">IF((E206="s"),H206," ")</f>
        <v> </v>
      </c>
      <c r="P206" s="17" t="str">
        <f aca="false">IF((E206="c"),H206," ")</f>
        <v> </v>
      </c>
      <c r="Q206" s="17" t="str">
        <f aca="false">IF((E206="o"),H206," ")</f>
        <v> </v>
      </c>
      <c r="R206" s="17" t="str">
        <f aca="false">IF((E206="d"),H206," ")</f>
        <v> </v>
      </c>
      <c r="S206" s="17" t="str">
        <f aca="false">IF((E206="w"),H206," ")</f>
        <v> </v>
      </c>
      <c r="T206" s="17" t="str">
        <f aca="false">IF((E206="r"),H206," ")</f>
        <v> </v>
      </c>
      <c r="U206" s="17" t="str">
        <f aca="false">IF((E206="p"),H206," ")</f>
        <v> </v>
      </c>
      <c r="V206" s="17" t="str">
        <f aca="false">IF((E206="t"),H206," ")</f>
        <v> </v>
      </c>
      <c r="W206" s="17" t="str">
        <f aca="false">IF((E206="q"),H206," ")</f>
        <v> </v>
      </c>
      <c r="X206" s="17" t="str">
        <f aca="false">IF((E206="m"),H206," ")</f>
        <v> </v>
      </c>
      <c r="Y206" s="17" t="str">
        <f aca="false">IF((E206="u"),H206," ")</f>
        <v> </v>
      </c>
      <c r="Z206" s="17" t="str">
        <f aca="false">IF((E206="a"),H206," ")</f>
        <v> </v>
      </c>
      <c r="AA206" s="17" t="str">
        <f aca="false">IF((E206="g"),H206," ")</f>
        <v> </v>
      </c>
      <c r="AB206" s="17" t="str">
        <f aca="false">IF((E206="h"),H206," ")</f>
        <v> </v>
      </c>
      <c r="AC206" s="30" t="str">
        <f aca="false">IF((E206="v"),H206," ")</f>
        <v> </v>
      </c>
      <c r="AD206" s="30" t="str">
        <f aca="false">IF((E206="n"),H206," ")</f>
        <v> </v>
      </c>
      <c r="AE206" s="17" t="str">
        <f aca="false">IF((E206="f"),H206," ")</f>
        <v> </v>
      </c>
      <c r="AF206" s="17" t="str">
        <f aca="false">IF((E206="l"),H206," ")</f>
        <v> </v>
      </c>
      <c r="AG206" s="17" t="str">
        <f aca="false">IF((E206="y"),H206," ")</f>
        <v> </v>
      </c>
      <c r="AH206" s="17" t="str">
        <f aca="false">IF((E206="z"),H206," ")</f>
        <v> </v>
      </c>
      <c r="AI206" s="17" t="str">
        <f aca="false">IF((E206="fa"),H206," ")</f>
        <v> </v>
      </c>
      <c r="AJ206" s="17" t="str">
        <f aca="false">IF((E206="e"),H206," ")</f>
        <v> </v>
      </c>
    </row>
    <row r="207" customFormat="false" ht="12" hidden="false" customHeight="false" outlineLevel="0" collapsed="false">
      <c r="A207" s="28"/>
      <c r="E207" s="2" t="str">
        <f aca="false">IF((F207&lt;&gt;0),"Enter Letter"," ")</f>
        <v> </v>
      </c>
      <c r="F207" s="30"/>
      <c r="G207" s="6" t="str">
        <f aca="false">IF(F207&lt;&gt;0,F207*G$2/(100+G$2)," ")</f>
        <v> </v>
      </c>
      <c r="H207" s="6" t="str">
        <f aca="false">IF((F207&lt;&gt;0),F207-G207," ")</f>
        <v> </v>
      </c>
      <c r="I207" s="5"/>
      <c r="L207" s="7" t="str">
        <f aca="false">IF(F207&lt;&gt;0,F207-K207," ")</f>
        <v> </v>
      </c>
      <c r="M207" s="8" t="str">
        <f aca="false">IF((F207-K207)&lt;&gt;0,M$1-A207," ")</f>
        <v> </v>
      </c>
      <c r="N207" s="5"/>
      <c r="O207" s="17" t="str">
        <f aca="false">IF((E207="s"),H207," ")</f>
        <v> </v>
      </c>
      <c r="P207" s="17" t="str">
        <f aca="false">IF((E207="c"),H207," ")</f>
        <v> </v>
      </c>
      <c r="Q207" s="17" t="str">
        <f aca="false">IF((E207="o"),H207," ")</f>
        <v> </v>
      </c>
      <c r="R207" s="17" t="str">
        <f aca="false">IF((E207="d"),H207," ")</f>
        <v> </v>
      </c>
      <c r="S207" s="17" t="str">
        <f aca="false">IF((E207="w"),H207," ")</f>
        <v> </v>
      </c>
      <c r="T207" s="17" t="str">
        <f aca="false">IF((E207="r"),H207," ")</f>
        <v> </v>
      </c>
      <c r="U207" s="17" t="str">
        <f aca="false">IF((E207="p"),H207," ")</f>
        <v> </v>
      </c>
      <c r="V207" s="17" t="str">
        <f aca="false">IF((E207="t"),H207," ")</f>
        <v> </v>
      </c>
      <c r="W207" s="17" t="str">
        <f aca="false">IF((E207="q"),H207," ")</f>
        <v> </v>
      </c>
      <c r="X207" s="17" t="str">
        <f aca="false">IF((E207="m"),H207," ")</f>
        <v> </v>
      </c>
      <c r="Y207" s="17" t="str">
        <f aca="false">IF((E207="u"),H207," ")</f>
        <v> </v>
      </c>
      <c r="Z207" s="17" t="str">
        <f aca="false">IF((E207="a"),H207," ")</f>
        <v> </v>
      </c>
      <c r="AA207" s="17" t="str">
        <f aca="false">IF((E207="g"),H207," ")</f>
        <v> </v>
      </c>
      <c r="AB207" s="17" t="str">
        <f aca="false">IF((E207="h"),H207," ")</f>
        <v> </v>
      </c>
      <c r="AC207" s="30" t="str">
        <f aca="false">IF((E207="v"),H207," ")</f>
        <v> </v>
      </c>
      <c r="AD207" s="30" t="str">
        <f aca="false">IF((E207="n"),H207," ")</f>
        <v> </v>
      </c>
      <c r="AE207" s="17" t="str">
        <f aca="false">IF((E207="f"),H207," ")</f>
        <v> </v>
      </c>
      <c r="AF207" s="17" t="str">
        <f aca="false">IF((E207="l"),H207," ")</f>
        <v> </v>
      </c>
      <c r="AG207" s="17" t="str">
        <f aca="false">IF((E207="y"),H207," ")</f>
        <v> </v>
      </c>
      <c r="AH207" s="17" t="str">
        <f aca="false">IF((E207="z"),H207," ")</f>
        <v> </v>
      </c>
      <c r="AI207" s="17" t="str">
        <f aca="false">IF((E207="fa"),H207," ")</f>
        <v> </v>
      </c>
      <c r="AJ207" s="17" t="str">
        <f aca="false">IF((E207="e"),H207," ")</f>
        <v> </v>
      </c>
    </row>
    <row r="208" customFormat="false" ht="12" hidden="false" customHeight="false" outlineLevel="0" collapsed="false">
      <c r="A208" s="28"/>
      <c r="E208" s="2" t="str">
        <f aca="false">IF((F208&lt;&gt;0),"Enter Letter"," ")</f>
        <v> </v>
      </c>
      <c r="F208" s="30"/>
      <c r="G208" s="6" t="str">
        <f aca="false">IF(F208&lt;&gt;0,F208*G$2/(100+G$2)," ")</f>
        <v> </v>
      </c>
      <c r="H208" s="6" t="str">
        <f aca="false">IF((F208&lt;&gt;0),F208-G208," ")</f>
        <v> </v>
      </c>
      <c r="I208" s="5"/>
      <c r="L208" s="7" t="str">
        <f aca="false">IF(F208&lt;&gt;0,F208-K208," ")</f>
        <v> </v>
      </c>
      <c r="M208" s="8" t="str">
        <f aca="false">IF((F208-K208)&lt;&gt;0,M$1-A208," ")</f>
        <v> </v>
      </c>
      <c r="N208" s="5"/>
      <c r="O208" s="17" t="str">
        <f aca="false">IF((E208="s"),H208," ")</f>
        <v> </v>
      </c>
      <c r="P208" s="17" t="str">
        <f aca="false">IF((E208="c"),H208," ")</f>
        <v> </v>
      </c>
      <c r="Q208" s="17" t="str">
        <f aca="false">IF((E208="o"),H208," ")</f>
        <v> </v>
      </c>
      <c r="R208" s="17" t="str">
        <f aca="false">IF((E208="d"),H208," ")</f>
        <v> </v>
      </c>
      <c r="S208" s="17" t="str">
        <f aca="false">IF((E208="w"),H208," ")</f>
        <v> </v>
      </c>
      <c r="T208" s="17" t="str">
        <f aca="false">IF((E208="r"),H208," ")</f>
        <v> </v>
      </c>
      <c r="U208" s="17" t="str">
        <f aca="false">IF((E208="p"),H208," ")</f>
        <v> </v>
      </c>
      <c r="V208" s="17" t="str">
        <f aca="false">IF((E208="t"),H208," ")</f>
        <v> </v>
      </c>
      <c r="W208" s="17" t="str">
        <f aca="false">IF((E208="q"),H208," ")</f>
        <v> </v>
      </c>
      <c r="X208" s="17" t="str">
        <f aca="false">IF((E208="m"),H208," ")</f>
        <v> </v>
      </c>
      <c r="Y208" s="17" t="str">
        <f aca="false">IF((E208="u"),H208," ")</f>
        <v> </v>
      </c>
      <c r="Z208" s="17" t="str">
        <f aca="false">IF((E208="a"),H208," ")</f>
        <v> </v>
      </c>
      <c r="AA208" s="17" t="str">
        <f aca="false">IF((E208="g"),H208," ")</f>
        <v> </v>
      </c>
      <c r="AB208" s="17" t="str">
        <f aca="false">IF((E208="h"),H208," ")</f>
        <v> </v>
      </c>
      <c r="AC208" s="30" t="str">
        <f aca="false">IF((E208="v"),H208," ")</f>
        <v> </v>
      </c>
      <c r="AD208" s="30" t="str">
        <f aca="false">IF((E208="n"),H208," ")</f>
        <v> </v>
      </c>
      <c r="AE208" s="17" t="str">
        <f aca="false">IF((E208="f"),H208," ")</f>
        <v> </v>
      </c>
      <c r="AF208" s="17" t="str">
        <f aca="false">IF((E208="l"),H208," ")</f>
        <v> </v>
      </c>
      <c r="AG208" s="17" t="str">
        <f aca="false">IF((E208="y"),H208," ")</f>
        <v> </v>
      </c>
      <c r="AH208" s="17" t="str">
        <f aca="false">IF((E208="z"),H208," ")</f>
        <v> </v>
      </c>
      <c r="AI208" s="17" t="str">
        <f aca="false">IF((E208="fa"),H208," ")</f>
        <v> </v>
      </c>
      <c r="AJ208" s="17" t="str">
        <f aca="false">IF((E208="e"),H208," ")</f>
        <v> </v>
      </c>
    </row>
    <row r="209" customFormat="false" ht="12" hidden="false" customHeight="false" outlineLevel="0" collapsed="false">
      <c r="A209" s="28"/>
      <c r="E209" s="2" t="str">
        <f aca="false">IF((F209&lt;&gt;0),"Enter Letter"," ")</f>
        <v> </v>
      </c>
      <c r="F209" s="30"/>
      <c r="G209" s="6" t="str">
        <f aca="false">IF(F209&lt;&gt;0,F209*G$2/(100+G$2)," ")</f>
        <v> </v>
      </c>
      <c r="H209" s="6" t="str">
        <f aca="false">IF((F209&lt;&gt;0),F209-G209," ")</f>
        <v> </v>
      </c>
      <c r="I209" s="5"/>
      <c r="L209" s="7" t="str">
        <f aca="false">IF(F209&lt;&gt;0,F209-K209," ")</f>
        <v> </v>
      </c>
      <c r="M209" s="8" t="str">
        <f aca="false">IF((F209-K209)&lt;&gt;0,M$1-A209," ")</f>
        <v> </v>
      </c>
      <c r="N209" s="5"/>
      <c r="O209" s="17" t="str">
        <f aca="false">IF((E209="s"),H209," ")</f>
        <v> </v>
      </c>
      <c r="P209" s="17" t="str">
        <f aca="false">IF((E209="c"),H209," ")</f>
        <v> </v>
      </c>
      <c r="Q209" s="17" t="str">
        <f aca="false">IF((E209="o"),H209," ")</f>
        <v> </v>
      </c>
      <c r="R209" s="17" t="str">
        <f aca="false">IF((E209="d"),H209," ")</f>
        <v> </v>
      </c>
      <c r="S209" s="17" t="str">
        <f aca="false">IF((E209="w"),H209," ")</f>
        <v> </v>
      </c>
      <c r="T209" s="17" t="str">
        <f aca="false">IF((E209="r"),H209," ")</f>
        <v> </v>
      </c>
      <c r="U209" s="17" t="str">
        <f aca="false">IF((E209="p"),H209," ")</f>
        <v> </v>
      </c>
      <c r="V209" s="17" t="str">
        <f aca="false">IF((E209="t"),H209," ")</f>
        <v> </v>
      </c>
      <c r="W209" s="17" t="str">
        <f aca="false">IF((E209="q"),H209," ")</f>
        <v> </v>
      </c>
      <c r="X209" s="17" t="str">
        <f aca="false">IF((E209="m"),H209," ")</f>
        <v> </v>
      </c>
      <c r="Y209" s="17" t="str">
        <f aca="false">IF((E209="u"),H209," ")</f>
        <v> </v>
      </c>
      <c r="Z209" s="17" t="str">
        <f aca="false">IF((E209="a"),H209," ")</f>
        <v> </v>
      </c>
      <c r="AA209" s="17" t="str">
        <f aca="false">IF((E209="g"),H209," ")</f>
        <v> </v>
      </c>
      <c r="AB209" s="17" t="str">
        <f aca="false">IF((E209="h"),H209," ")</f>
        <v> </v>
      </c>
      <c r="AC209" s="30" t="str">
        <f aca="false">IF((E209="v"),H209," ")</f>
        <v> </v>
      </c>
      <c r="AD209" s="30" t="str">
        <f aca="false">IF((E209="n"),H209," ")</f>
        <v> </v>
      </c>
      <c r="AE209" s="17" t="str">
        <f aca="false">IF((E209="f"),H209," ")</f>
        <v> </v>
      </c>
      <c r="AF209" s="17" t="str">
        <f aca="false">IF((E209="l"),H209," ")</f>
        <v> </v>
      </c>
      <c r="AG209" s="17" t="str">
        <f aca="false">IF((E209="y"),H209," ")</f>
        <v> </v>
      </c>
      <c r="AH209" s="17" t="str">
        <f aca="false">IF((E209="z"),H209," ")</f>
        <v> </v>
      </c>
      <c r="AI209" s="17" t="str">
        <f aca="false">IF((E209="fa"),H209," ")</f>
        <v> </v>
      </c>
      <c r="AJ209" s="17" t="str">
        <f aca="false">IF((E209="e"),H209," ")</f>
        <v> </v>
      </c>
    </row>
    <row r="210" customFormat="false" ht="12" hidden="false" customHeight="false" outlineLevel="0" collapsed="false">
      <c r="A210" s="28"/>
      <c r="E210" s="2" t="str">
        <f aca="false">IF((F210&lt;&gt;0),"Enter Letter"," ")</f>
        <v> </v>
      </c>
      <c r="F210" s="30"/>
      <c r="G210" s="6" t="str">
        <f aca="false">IF(F210&lt;&gt;0,F210*G$2/(100+G$2)," ")</f>
        <v> </v>
      </c>
      <c r="H210" s="6" t="str">
        <f aca="false">IF((F210&lt;&gt;0),F210-G210," ")</f>
        <v> </v>
      </c>
      <c r="I210" s="5"/>
      <c r="L210" s="7" t="str">
        <f aca="false">IF(F210&lt;&gt;0,F210-K210," ")</f>
        <v> </v>
      </c>
      <c r="M210" s="8" t="str">
        <f aca="false">IF((F210-K210)&lt;&gt;0,M$1-A210," ")</f>
        <v> </v>
      </c>
      <c r="N210" s="5"/>
      <c r="O210" s="17" t="str">
        <f aca="false">IF((E210="s"),H210," ")</f>
        <v> </v>
      </c>
      <c r="P210" s="17" t="str">
        <f aca="false">IF((E210="c"),H210," ")</f>
        <v> </v>
      </c>
      <c r="Q210" s="17" t="str">
        <f aca="false">IF((E210="o"),H210," ")</f>
        <v> </v>
      </c>
      <c r="R210" s="17" t="str">
        <f aca="false">IF((E210="d"),H210," ")</f>
        <v> </v>
      </c>
      <c r="S210" s="17" t="str">
        <f aca="false">IF((E210="w"),H210," ")</f>
        <v> </v>
      </c>
      <c r="T210" s="17" t="str">
        <f aca="false">IF((E210="r"),H210," ")</f>
        <v> </v>
      </c>
      <c r="U210" s="17" t="str">
        <f aca="false">IF((E210="p"),H210," ")</f>
        <v> </v>
      </c>
      <c r="V210" s="17" t="str">
        <f aca="false">IF((E210="t"),H210," ")</f>
        <v> </v>
      </c>
      <c r="W210" s="17" t="str">
        <f aca="false">IF((E210="q"),H210," ")</f>
        <v> </v>
      </c>
      <c r="X210" s="17" t="str">
        <f aca="false">IF((E210="m"),H210," ")</f>
        <v> </v>
      </c>
      <c r="Y210" s="17" t="str">
        <f aca="false">IF((E210="u"),H210," ")</f>
        <v> </v>
      </c>
      <c r="Z210" s="17" t="str">
        <f aca="false">IF((E210="a"),H210," ")</f>
        <v> </v>
      </c>
      <c r="AA210" s="17" t="str">
        <f aca="false">IF((E210="g"),H210," ")</f>
        <v> </v>
      </c>
      <c r="AB210" s="17" t="str">
        <f aca="false">IF((E210="h"),H210," ")</f>
        <v> </v>
      </c>
      <c r="AC210" s="30" t="str">
        <f aca="false">IF((E210="v"),H210," ")</f>
        <v> </v>
      </c>
      <c r="AD210" s="30" t="str">
        <f aca="false">IF((E210="n"),H210," ")</f>
        <v> </v>
      </c>
      <c r="AE210" s="17" t="str">
        <f aca="false">IF((E210="f"),H210," ")</f>
        <v> </v>
      </c>
      <c r="AF210" s="17" t="str">
        <f aca="false">IF((E210="l"),H210," ")</f>
        <v> </v>
      </c>
      <c r="AG210" s="17" t="str">
        <f aca="false">IF((E210="y"),H210," ")</f>
        <v> </v>
      </c>
      <c r="AH210" s="17" t="str">
        <f aca="false">IF((E210="z"),H210," ")</f>
        <v> </v>
      </c>
      <c r="AI210" s="17" t="str">
        <f aca="false">IF((E210="fa"),H210," ")</f>
        <v> </v>
      </c>
      <c r="AJ210" s="17" t="str">
        <f aca="false">IF((E210="e"),H210," ")</f>
        <v> </v>
      </c>
    </row>
    <row r="211" customFormat="false" ht="12" hidden="false" customHeight="false" outlineLevel="0" collapsed="false">
      <c r="A211" s="28"/>
      <c r="E211" s="2" t="str">
        <f aca="false">IF((F211&lt;&gt;0),"Enter Letter"," ")</f>
        <v> </v>
      </c>
      <c r="F211" s="30"/>
      <c r="G211" s="6" t="str">
        <f aca="false">IF(F211&lt;&gt;0,F211*G$2/(100+G$2)," ")</f>
        <v> </v>
      </c>
      <c r="H211" s="6" t="str">
        <f aca="false">IF((F211&lt;&gt;0),F211-G211," ")</f>
        <v> </v>
      </c>
      <c r="I211" s="5"/>
      <c r="L211" s="7" t="str">
        <f aca="false">IF(F211&lt;&gt;0,F211-K211," ")</f>
        <v> </v>
      </c>
      <c r="M211" s="8" t="str">
        <f aca="false">IF((F211-K211)&lt;&gt;0,M$1-A211," ")</f>
        <v> </v>
      </c>
      <c r="N211" s="5"/>
      <c r="O211" s="17" t="str">
        <f aca="false">IF((E211="s"),H211," ")</f>
        <v> </v>
      </c>
      <c r="P211" s="17" t="str">
        <f aca="false">IF((E211="c"),H211," ")</f>
        <v> </v>
      </c>
      <c r="Q211" s="17" t="str">
        <f aca="false">IF((E211="o"),H211," ")</f>
        <v> </v>
      </c>
      <c r="R211" s="17" t="str">
        <f aca="false">IF((E211="d"),H211," ")</f>
        <v> </v>
      </c>
      <c r="S211" s="17" t="str">
        <f aca="false">IF((E211="w"),H211," ")</f>
        <v> </v>
      </c>
      <c r="T211" s="17" t="str">
        <f aca="false">IF((E211="r"),H211," ")</f>
        <v> </v>
      </c>
      <c r="U211" s="17" t="str">
        <f aca="false">IF((E211="p"),H211," ")</f>
        <v> </v>
      </c>
      <c r="V211" s="17" t="str">
        <f aca="false">IF((E211="t"),H211," ")</f>
        <v> </v>
      </c>
      <c r="W211" s="17" t="str">
        <f aca="false">IF((E211="q"),H211," ")</f>
        <v> </v>
      </c>
      <c r="X211" s="17" t="str">
        <f aca="false">IF((E211="m"),H211," ")</f>
        <v> </v>
      </c>
      <c r="Y211" s="17" t="str">
        <f aca="false">IF((E211="u"),H211," ")</f>
        <v> </v>
      </c>
      <c r="Z211" s="17" t="str">
        <f aca="false">IF((E211="a"),H211," ")</f>
        <v> </v>
      </c>
      <c r="AA211" s="17" t="str">
        <f aca="false">IF((E211="g"),H211," ")</f>
        <v> </v>
      </c>
      <c r="AB211" s="17" t="str">
        <f aca="false">IF((E211="h"),H211," ")</f>
        <v> </v>
      </c>
      <c r="AC211" s="30" t="str">
        <f aca="false">IF((E211="v"),H211," ")</f>
        <v> </v>
      </c>
      <c r="AD211" s="30" t="str">
        <f aca="false">IF((E211="n"),H211," ")</f>
        <v> </v>
      </c>
      <c r="AE211" s="17" t="str">
        <f aca="false">IF((E211="f"),H211," ")</f>
        <v> </v>
      </c>
      <c r="AF211" s="17" t="str">
        <f aca="false">IF((E211="l"),H211," ")</f>
        <v> </v>
      </c>
      <c r="AG211" s="17" t="str">
        <f aca="false">IF((E211="y"),H211," ")</f>
        <v> </v>
      </c>
      <c r="AH211" s="17" t="str">
        <f aca="false">IF((E211="z"),H211," ")</f>
        <v> </v>
      </c>
      <c r="AI211" s="17" t="str">
        <f aca="false">IF((E211="fa"),H211," ")</f>
        <v> </v>
      </c>
      <c r="AJ211" s="17" t="str">
        <f aca="false">IF((E211="e"),H211," ")</f>
        <v> </v>
      </c>
    </row>
    <row r="212" customFormat="false" ht="12" hidden="false" customHeight="false" outlineLevel="0" collapsed="false">
      <c r="A212" s="28"/>
      <c r="E212" s="2" t="str">
        <f aca="false">IF((F212&lt;&gt;0),"Enter Letter"," ")</f>
        <v> </v>
      </c>
      <c r="F212" s="30"/>
      <c r="G212" s="6" t="str">
        <f aca="false">IF(F212&lt;&gt;0,F212*G$2/(100+G$2)," ")</f>
        <v> </v>
      </c>
      <c r="H212" s="6" t="str">
        <f aca="false">IF((F212&lt;&gt;0),F212-G212," ")</f>
        <v> </v>
      </c>
      <c r="I212" s="5"/>
      <c r="L212" s="7" t="str">
        <f aca="false">IF(F212&lt;&gt;0,F212-K212," ")</f>
        <v> </v>
      </c>
      <c r="M212" s="8" t="str">
        <f aca="false">IF((F212-K212)&lt;&gt;0,M$1-A212," ")</f>
        <v> </v>
      </c>
      <c r="N212" s="5"/>
      <c r="O212" s="17" t="str">
        <f aca="false">IF((E212="s"),H212," ")</f>
        <v> </v>
      </c>
      <c r="P212" s="17" t="str">
        <f aca="false">IF((E212="c"),H212," ")</f>
        <v> </v>
      </c>
      <c r="Q212" s="17" t="str">
        <f aca="false">IF((E212="o"),H212," ")</f>
        <v> </v>
      </c>
      <c r="R212" s="17" t="str">
        <f aca="false">IF((E212="d"),H212," ")</f>
        <v> </v>
      </c>
      <c r="S212" s="17" t="str">
        <f aca="false">IF((E212="w"),H212," ")</f>
        <v> </v>
      </c>
      <c r="T212" s="17" t="str">
        <f aca="false">IF((E212="r"),H212," ")</f>
        <v> </v>
      </c>
      <c r="U212" s="17" t="str">
        <f aca="false">IF((E212="p"),H212," ")</f>
        <v> </v>
      </c>
      <c r="V212" s="17" t="str">
        <f aca="false">IF((E212="t"),H212," ")</f>
        <v> </v>
      </c>
      <c r="W212" s="17" t="str">
        <f aca="false">IF((E212="q"),H212," ")</f>
        <v> </v>
      </c>
      <c r="X212" s="17" t="str">
        <f aca="false">IF((E212="m"),H212," ")</f>
        <v> </v>
      </c>
      <c r="Y212" s="17" t="str">
        <f aca="false">IF((E212="u"),H212," ")</f>
        <v> </v>
      </c>
      <c r="Z212" s="17" t="str">
        <f aca="false">IF((E212="a"),H212," ")</f>
        <v> </v>
      </c>
      <c r="AA212" s="17" t="str">
        <f aca="false">IF((E212="g"),H212," ")</f>
        <v> </v>
      </c>
      <c r="AB212" s="17" t="str">
        <f aca="false">IF((E212="h"),H212," ")</f>
        <v> </v>
      </c>
      <c r="AC212" s="30" t="str">
        <f aca="false">IF((E212="v"),H212," ")</f>
        <v> </v>
      </c>
      <c r="AD212" s="30" t="str">
        <f aca="false">IF((E212="n"),H212," ")</f>
        <v> </v>
      </c>
      <c r="AE212" s="17" t="str">
        <f aca="false">IF((E212="f"),H212," ")</f>
        <v> </v>
      </c>
      <c r="AF212" s="17" t="str">
        <f aca="false">IF((E212="l"),H212," ")</f>
        <v> </v>
      </c>
      <c r="AG212" s="17" t="str">
        <f aca="false">IF((E212="y"),H212," ")</f>
        <v> </v>
      </c>
      <c r="AH212" s="17" t="str">
        <f aca="false">IF((E212="z"),H212," ")</f>
        <v> </v>
      </c>
      <c r="AI212" s="17" t="str">
        <f aca="false">IF((E212="fa"),H212," ")</f>
        <v> </v>
      </c>
      <c r="AJ212" s="17" t="str">
        <f aca="false">IF((E212="e"),H212," ")</f>
        <v> </v>
      </c>
    </row>
    <row r="213" customFormat="false" ht="12" hidden="false" customHeight="false" outlineLevel="0" collapsed="false">
      <c r="A213" s="28"/>
      <c r="E213" s="2" t="str">
        <f aca="false">IF((F213&lt;&gt;0),"Enter Letter"," ")</f>
        <v> </v>
      </c>
      <c r="F213" s="30"/>
      <c r="G213" s="6" t="str">
        <f aca="false">IF(F213&lt;&gt;0,F213*G$2/(100+G$2)," ")</f>
        <v> </v>
      </c>
      <c r="H213" s="6" t="str">
        <f aca="false">IF((F213&lt;&gt;0),F213-G213," ")</f>
        <v> </v>
      </c>
      <c r="I213" s="5"/>
      <c r="L213" s="7" t="str">
        <f aca="false">IF(F213&lt;&gt;0,F213-K213," ")</f>
        <v> </v>
      </c>
      <c r="M213" s="8" t="str">
        <f aca="false">IF((F213-K213)&lt;&gt;0,M$1-A213," ")</f>
        <v> </v>
      </c>
      <c r="N213" s="5"/>
      <c r="O213" s="17" t="str">
        <f aca="false">IF((E213="s"),H213," ")</f>
        <v> </v>
      </c>
      <c r="P213" s="17" t="str">
        <f aca="false">IF((E213="c"),H213," ")</f>
        <v> </v>
      </c>
      <c r="Q213" s="17" t="str">
        <f aca="false">IF((E213="o"),H213," ")</f>
        <v> </v>
      </c>
      <c r="R213" s="17" t="str">
        <f aca="false">IF((E213="d"),H213," ")</f>
        <v> </v>
      </c>
      <c r="S213" s="17" t="str">
        <f aca="false">IF((E213="w"),H213," ")</f>
        <v> </v>
      </c>
      <c r="T213" s="17" t="str">
        <f aca="false">IF((E213="r"),H213," ")</f>
        <v> </v>
      </c>
      <c r="U213" s="17" t="str">
        <f aca="false">IF((E213="p"),H213," ")</f>
        <v> </v>
      </c>
      <c r="V213" s="17" t="str">
        <f aca="false">IF((E213="t"),H213," ")</f>
        <v> </v>
      </c>
      <c r="W213" s="17" t="str">
        <f aca="false">IF((E213="q"),H213," ")</f>
        <v> </v>
      </c>
      <c r="X213" s="17" t="str">
        <f aca="false">IF((E213="m"),H213," ")</f>
        <v> </v>
      </c>
      <c r="Y213" s="17" t="str">
        <f aca="false">IF((E213="u"),H213," ")</f>
        <v> </v>
      </c>
      <c r="Z213" s="17" t="str">
        <f aca="false">IF((E213="a"),H213," ")</f>
        <v> </v>
      </c>
      <c r="AA213" s="17" t="str">
        <f aca="false">IF((E213="g"),H213," ")</f>
        <v> </v>
      </c>
      <c r="AB213" s="17" t="str">
        <f aca="false">IF((E213="h"),H213," ")</f>
        <v> </v>
      </c>
      <c r="AC213" s="30" t="str">
        <f aca="false">IF((E213="v"),H213," ")</f>
        <v> </v>
      </c>
      <c r="AD213" s="30" t="str">
        <f aca="false">IF((E213="n"),H213," ")</f>
        <v> </v>
      </c>
      <c r="AE213" s="17" t="str">
        <f aca="false">IF((E213="f"),H213," ")</f>
        <v> </v>
      </c>
      <c r="AF213" s="17" t="str">
        <f aca="false">IF((E213="l"),H213," ")</f>
        <v> </v>
      </c>
      <c r="AG213" s="17" t="str">
        <f aca="false">IF((E213="y"),H213," ")</f>
        <v> </v>
      </c>
      <c r="AH213" s="17" t="str">
        <f aca="false">IF((E213="z"),H213," ")</f>
        <v> </v>
      </c>
      <c r="AI213" s="17" t="str">
        <f aca="false">IF((E213="fa"),H213," ")</f>
        <v> </v>
      </c>
      <c r="AJ213" s="17" t="str">
        <f aca="false">IF((E213="e"),H213," ")</f>
        <v> </v>
      </c>
    </row>
    <row r="214" customFormat="false" ht="12" hidden="false" customHeight="false" outlineLevel="0" collapsed="false">
      <c r="A214" s="28"/>
      <c r="E214" s="2" t="str">
        <f aca="false">IF((F214&lt;&gt;0),"Enter Letter"," ")</f>
        <v> </v>
      </c>
      <c r="F214" s="30"/>
      <c r="G214" s="6" t="str">
        <f aca="false">IF(F214&lt;&gt;0,F214*G$2/(100+G$2)," ")</f>
        <v> </v>
      </c>
      <c r="H214" s="6" t="str">
        <f aca="false">IF((F214&lt;&gt;0),F214-G214," ")</f>
        <v> </v>
      </c>
      <c r="I214" s="5"/>
      <c r="L214" s="7" t="str">
        <f aca="false">IF(F214&lt;&gt;0,F214-K214," ")</f>
        <v> </v>
      </c>
      <c r="M214" s="8" t="str">
        <f aca="false">IF((F214-K214)&lt;&gt;0,M$1-A214," ")</f>
        <v> </v>
      </c>
      <c r="N214" s="5"/>
      <c r="O214" s="17" t="str">
        <f aca="false">IF((E214="s"),H214," ")</f>
        <v> </v>
      </c>
      <c r="P214" s="17" t="str">
        <f aca="false">IF((E214="c"),H214," ")</f>
        <v> </v>
      </c>
      <c r="Q214" s="17" t="str">
        <f aca="false">IF((E214="o"),H214," ")</f>
        <v> </v>
      </c>
      <c r="R214" s="17" t="str">
        <f aca="false">IF((E214="d"),H214," ")</f>
        <v> </v>
      </c>
      <c r="S214" s="17" t="str">
        <f aca="false">IF((E214="w"),H214," ")</f>
        <v> </v>
      </c>
      <c r="T214" s="17" t="str">
        <f aca="false">IF((E214="r"),H214," ")</f>
        <v> </v>
      </c>
      <c r="U214" s="17" t="str">
        <f aca="false">IF((E214="p"),H214," ")</f>
        <v> </v>
      </c>
      <c r="V214" s="17" t="str">
        <f aca="false">IF((E214="t"),H214," ")</f>
        <v> </v>
      </c>
      <c r="W214" s="17" t="str">
        <f aca="false">IF((E214="q"),H214," ")</f>
        <v> </v>
      </c>
      <c r="X214" s="17" t="str">
        <f aca="false">IF((E214="m"),H214," ")</f>
        <v> </v>
      </c>
      <c r="Y214" s="17" t="str">
        <f aca="false">IF((E214="u"),H214," ")</f>
        <v> </v>
      </c>
      <c r="Z214" s="17" t="str">
        <f aca="false">IF((E214="a"),H214," ")</f>
        <v> </v>
      </c>
      <c r="AA214" s="17" t="str">
        <f aca="false">IF((E214="g"),H214," ")</f>
        <v> </v>
      </c>
      <c r="AB214" s="17" t="str">
        <f aca="false">IF((E214="h"),H214," ")</f>
        <v> </v>
      </c>
      <c r="AC214" s="30" t="str">
        <f aca="false">IF((E214="v"),H214," ")</f>
        <v> </v>
      </c>
      <c r="AD214" s="30" t="str">
        <f aca="false">IF((E214="n"),H214," ")</f>
        <v> </v>
      </c>
      <c r="AE214" s="17" t="str">
        <f aca="false">IF((E214="f"),H214," ")</f>
        <v> </v>
      </c>
      <c r="AF214" s="17" t="str">
        <f aca="false">IF((E214="l"),H214," ")</f>
        <v> </v>
      </c>
      <c r="AG214" s="17" t="str">
        <f aca="false">IF((E214="y"),H214," ")</f>
        <v> </v>
      </c>
      <c r="AH214" s="17" t="str">
        <f aca="false">IF((E214="z"),H214," ")</f>
        <v> </v>
      </c>
      <c r="AI214" s="17" t="str">
        <f aca="false">IF((E214="fa"),H214," ")</f>
        <v> </v>
      </c>
      <c r="AJ214" s="17" t="str">
        <f aca="false">IF((E214="e"),H214," ")</f>
        <v> </v>
      </c>
    </row>
    <row r="215" customFormat="false" ht="12" hidden="false" customHeight="false" outlineLevel="0" collapsed="false">
      <c r="A215" s="28"/>
      <c r="E215" s="2" t="str">
        <f aca="false">IF((F215&lt;&gt;0),"Enter Letter"," ")</f>
        <v> </v>
      </c>
      <c r="F215" s="30"/>
      <c r="G215" s="6" t="str">
        <f aca="false">IF(F215&lt;&gt;0,F215*G$2/(100+G$2)," ")</f>
        <v> </v>
      </c>
      <c r="H215" s="6" t="str">
        <f aca="false">IF((F215&lt;&gt;0),F215-G215," ")</f>
        <v> </v>
      </c>
      <c r="I215" s="5"/>
      <c r="L215" s="7" t="str">
        <f aca="false">IF(F215&lt;&gt;0,F215-K215," ")</f>
        <v> </v>
      </c>
      <c r="M215" s="8" t="str">
        <f aca="false">IF((F215-K215)&lt;&gt;0,M$1-A215," ")</f>
        <v> </v>
      </c>
      <c r="N215" s="5"/>
      <c r="O215" s="17" t="str">
        <f aca="false">IF((E215="s"),H215," ")</f>
        <v> </v>
      </c>
      <c r="P215" s="17" t="str">
        <f aca="false">IF((E215="c"),H215," ")</f>
        <v> </v>
      </c>
      <c r="Q215" s="17" t="str">
        <f aca="false">IF((E215="o"),H215," ")</f>
        <v> </v>
      </c>
      <c r="R215" s="17" t="str">
        <f aca="false">IF((E215="d"),H215," ")</f>
        <v> </v>
      </c>
      <c r="S215" s="17" t="str">
        <f aca="false">IF((E215="w"),H215," ")</f>
        <v> </v>
      </c>
      <c r="T215" s="17" t="str">
        <f aca="false">IF((E215="r"),H215," ")</f>
        <v> </v>
      </c>
      <c r="U215" s="17" t="str">
        <f aca="false">IF((E215="p"),H215," ")</f>
        <v> </v>
      </c>
      <c r="V215" s="17" t="str">
        <f aca="false">IF((E215="t"),H215," ")</f>
        <v> </v>
      </c>
      <c r="W215" s="17" t="str">
        <f aca="false">IF((E215="q"),H215," ")</f>
        <v> </v>
      </c>
      <c r="X215" s="17" t="str">
        <f aca="false">IF((E215="m"),H215," ")</f>
        <v> </v>
      </c>
      <c r="Y215" s="17" t="str">
        <f aca="false">IF((E215="u"),H215," ")</f>
        <v> </v>
      </c>
      <c r="Z215" s="17" t="str">
        <f aca="false">IF((E215="a"),H215," ")</f>
        <v> </v>
      </c>
      <c r="AA215" s="17" t="str">
        <f aca="false">IF((E215="g"),H215," ")</f>
        <v> </v>
      </c>
      <c r="AB215" s="17" t="str">
        <f aca="false">IF((E215="h"),H215," ")</f>
        <v> </v>
      </c>
      <c r="AC215" s="30" t="str">
        <f aca="false">IF((E215="v"),H215," ")</f>
        <v> </v>
      </c>
      <c r="AD215" s="30" t="str">
        <f aca="false">IF((E215="n"),H215," ")</f>
        <v> </v>
      </c>
      <c r="AE215" s="17" t="str">
        <f aca="false">IF((E215="f"),H215," ")</f>
        <v> </v>
      </c>
      <c r="AF215" s="17" t="str">
        <f aca="false">IF((E215="l"),H215," ")</f>
        <v> </v>
      </c>
      <c r="AG215" s="17" t="str">
        <f aca="false">IF((E215="y"),H215," ")</f>
        <v> </v>
      </c>
      <c r="AH215" s="17" t="str">
        <f aca="false">IF((E215="z"),H215," ")</f>
        <v> </v>
      </c>
      <c r="AI215" s="17" t="str">
        <f aca="false">IF((E215="fa"),H215," ")</f>
        <v> </v>
      </c>
      <c r="AJ215" s="17" t="str">
        <f aca="false">IF((E215="e"),H215," ")</f>
        <v> </v>
      </c>
    </row>
    <row r="216" customFormat="false" ht="12" hidden="false" customHeight="false" outlineLevel="0" collapsed="false">
      <c r="A216" s="28"/>
      <c r="E216" s="2" t="str">
        <f aca="false">IF((F216&lt;&gt;0),"Enter Letter"," ")</f>
        <v> </v>
      </c>
      <c r="F216" s="30"/>
      <c r="G216" s="6" t="str">
        <f aca="false">IF(F216&lt;&gt;0,F216*G$2/(100+G$2)," ")</f>
        <v> </v>
      </c>
      <c r="H216" s="6" t="str">
        <f aca="false">IF((F216&lt;&gt;0),F216-G216," ")</f>
        <v> </v>
      </c>
      <c r="I216" s="5"/>
      <c r="L216" s="7" t="str">
        <f aca="false">IF(F216&lt;&gt;0,F216-K216," ")</f>
        <v> </v>
      </c>
      <c r="M216" s="8" t="str">
        <f aca="false">IF((F216-K216)&lt;&gt;0,M$1-A216," ")</f>
        <v> </v>
      </c>
      <c r="N216" s="5"/>
      <c r="O216" s="17" t="str">
        <f aca="false">IF((E216="s"),H216," ")</f>
        <v> </v>
      </c>
      <c r="P216" s="17" t="str">
        <f aca="false">IF((E216="c"),H216," ")</f>
        <v> </v>
      </c>
      <c r="Q216" s="17" t="str">
        <f aca="false">IF((E216="o"),H216," ")</f>
        <v> </v>
      </c>
      <c r="R216" s="17" t="str">
        <f aca="false">IF((E216="d"),H216," ")</f>
        <v> </v>
      </c>
      <c r="S216" s="17" t="str">
        <f aca="false">IF((E216="w"),H216," ")</f>
        <v> </v>
      </c>
      <c r="T216" s="17" t="str">
        <f aca="false">IF((E216="r"),H216," ")</f>
        <v> </v>
      </c>
      <c r="U216" s="17" t="str">
        <f aca="false">IF((E216="p"),H216," ")</f>
        <v> </v>
      </c>
      <c r="V216" s="17" t="str">
        <f aca="false">IF((E216="t"),H216," ")</f>
        <v> </v>
      </c>
      <c r="W216" s="17" t="str">
        <f aca="false">IF((E216="q"),H216," ")</f>
        <v> </v>
      </c>
      <c r="X216" s="17" t="str">
        <f aca="false">IF((E216="m"),H216," ")</f>
        <v> </v>
      </c>
      <c r="Y216" s="17" t="str">
        <f aca="false">IF((E216="u"),H216," ")</f>
        <v> </v>
      </c>
      <c r="Z216" s="17" t="str">
        <f aca="false">IF((E216="a"),H216," ")</f>
        <v> </v>
      </c>
      <c r="AA216" s="17" t="str">
        <f aca="false">IF((E216="g"),H216," ")</f>
        <v> </v>
      </c>
      <c r="AB216" s="17" t="str">
        <f aca="false">IF((E216="h"),H216," ")</f>
        <v> </v>
      </c>
      <c r="AC216" s="30" t="str">
        <f aca="false">IF((E216="v"),H216," ")</f>
        <v> </v>
      </c>
      <c r="AD216" s="30" t="str">
        <f aca="false">IF((E216="n"),H216," ")</f>
        <v> </v>
      </c>
      <c r="AE216" s="17" t="str">
        <f aca="false">IF((E216="f"),H216," ")</f>
        <v> </v>
      </c>
      <c r="AF216" s="17" t="str">
        <f aca="false">IF((E216="l"),H216," ")</f>
        <v> </v>
      </c>
      <c r="AG216" s="17" t="str">
        <f aca="false">IF((E216="y"),H216," ")</f>
        <v> </v>
      </c>
      <c r="AH216" s="17" t="str">
        <f aca="false">IF((E216="z"),H216," ")</f>
        <v> </v>
      </c>
      <c r="AI216" s="17" t="str">
        <f aca="false">IF((E216="fa"),H216," ")</f>
        <v> </v>
      </c>
      <c r="AJ216" s="17" t="str">
        <f aca="false">IF((E216="e"),H216," ")</f>
        <v> </v>
      </c>
    </row>
    <row r="217" customFormat="false" ht="12" hidden="false" customHeight="false" outlineLevel="0" collapsed="false">
      <c r="A217" s="28"/>
      <c r="E217" s="2" t="str">
        <f aca="false">IF((F217&lt;&gt;0),"Enter Letter"," ")</f>
        <v> </v>
      </c>
      <c r="F217" s="30"/>
      <c r="G217" s="6" t="str">
        <f aca="false">IF(F217&lt;&gt;0,F217*G$2/(100+G$2)," ")</f>
        <v> </v>
      </c>
      <c r="H217" s="6" t="str">
        <f aca="false">IF((F217&lt;&gt;0),F217-G217," ")</f>
        <v> </v>
      </c>
      <c r="I217" s="5"/>
      <c r="L217" s="7" t="str">
        <f aca="false">IF(F217&lt;&gt;0,F217-K217," ")</f>
        <v> </v>
      </c>
      <c r="M217" s="8" t="str">
        <f aca="false">IF((F217-K217)&lt;&gt;0,M$1-A217," ")</f>
        <v> </v>
      </c>
      <c r="N217" s="5"/>
      <c r="O217" s="17" t="str">
        <f aca="false">IF((E217="s"),H217," ")</f>
        <v> </v>
      </c>
      <c r="P217" s="17" t="str">
        <f aca="false">IF((E217="c"),H217," ")</f>
        <v> </v>
      </c>
      <c r="Q217" s="17" t="str">
        <f aca="false">IF((E217="o"),H217," ")</f>
        <v> </v>
      </c>
      <c r="R217" s="17" t="str">
        <f aca="false">IF((E217="d"),H217," ")</f>
        <v> </v>
      </c>
      <c r="S217" s="17" t="str">
        <f aca="false">IF((E217="w"),H217," ")</f>
        <v> </v>
      </c>
      <c r="T217" s="17" t="str">
        <f aca="false">IF((E217="r"),H217," ")</f>
        <v> </v>
      </c>
      <c r="U217" s="17" t="str">
        <f aca="false">IF((E217="p"),H217," ")</f>
        <v> </v>
      </c>
      <c r="V217" s="17" t="str">
        <f aca="false">IF((E217="t"),H217," ")</f>
        <v> </v>
      </c>
      <c r="W217" s="17" t="str">
        <f aca="false">IF((E217="q"),H217," ")</f>
        <v> </v>
      </c>
      <c r="X217" s="17" t="str">
        <f aca="false">IF((E217="m"),H217," ")</f>
        <v> </v>
      </c>
      <c r="Y217" s="17" t="str">
        <f aca="false">IF((E217="u"),H217," ")</f>
        <v> </v>
      </c>
      <c r="Z217" s="17" t="str">
        <f aca="false">IF((E217="a"),H217," ")</f>
        <v> </v>
      </c>
      <c r="AA217" s="17" t="str">
        <f aca="false">IF((E217="g"),H217," ")</f>
        <v> </v>
      </c>
      <c r="AB217" s="17" t="str">
        <f aca="false">IF((E217="h"),H217," ")</f>
        <v> </v>
      </c>
      <c r="AC217" s="30" t="str">
        <f aca="false">IF((E217="v"),H217," ")</f>
        <v> </v>
      </c>
      <c r="AD217" s="30" t="str">
        <f aca="false">IF((E217="n"),H217," ")</f>
        <v> </v>
      </c>
      <c r="AE217" s="17" t="str">
        <f aca="false">IF((E217="f"),H217," ")</f>
        <v> </v>
      </c>
      <c r="AF217" s="17" t="str">
        <f aca="false">IF((E217="l"),H217," ")</f>
        <v> </v>
      </c>
      <c r="AG217" s="17" t="str">
        <f aca="false">IF((E217="y"),H217," ")</f>
        <v> </v>
      </c>
      <c r="AH217" s="17" t="str">
        <f aca="false">IF((E217="z"),H217," ")</f>
        <v> </v>
      </c>
      <c r="AI217" s="17" t="str">
        <f aca="false">IF((E217="fa"),H217," ")</f>
        <v> </v>
      </c>
      <c r="AJ217" s="17" t="str">
        <f aca="false">IF((E217="e"),H217," ")</f>
        <v> </v>
      </c>
    </row>
    <row r="218" customFormat="false" ht="12" hidden="false" customHeight="false" outlineLevel="0" collapsed="false">
      <c r="A218" s="28"/>
      <c r="E218" s="2" t="str">
        <f aca="false">IF((F218&lt;&gt;0),"Enter Letter"," ")</f>
        <v> </v>
      </c>
      <c r="F218" s="30"/>
      <c r="G218" s="6" t="str">
        <f aca="false">IF(F218&lt;&gt;0,F218*G$2/(100+G$2)," ")</f>
        <v> </v>
      </c>
      <c r="H218" s="6" t="str">
        <f aca="false">IF((F218&lt;&gt;0),F218-G218," ")</f>
        <v> </v>
      </c>
      <c r="I218" s="5"/>
      <c r="L218" s="7" t="str">
        <f aca="false">IF(F218&lt;&gt;0,F218-K218," ")</f>
        <v> </v>
      </c>
      <c r="M218" s="8" t="str">
        <f aca="false">IF((F218-K218)&lt;&gt;0,M$1-A218," ")</f>
        <v> </v>
      </c>
      <c r="N218" s="5"/>
      <c r="O218" s="17" t="str">
        <f aca="false">IF((E218="s"),H218," ")</f>
        <v> </v>
      </c>
      <c r="P218" s="17" t="str">
        <f aca="false">IF((E218="c"),H218," ")</f>
        <v> </v>
      </c>
      <c r="Q218" s="17" t="str">
        <f aca="false">IF((E218="o"),H218," ")</f>
        <v> </v>
      </c>
      <c r="R218" s="17" t="str">
        <f aca="false">IF((E218="d"),H218," ")</f>
        <v> </v>
      </c>
      <c r="S218" s="17" t="str">
        <f aca="false">IF((E218="w"),H218," ")</f>
        <v> </v>
      </c>
      <c r="T218" s="17" t="str">
        <f aca="false">IF((E218="r"),H218," ")</f>
        <v> </v>
      </c>
      <c r="U218" s="17" t="str">
        <f aca="false">IF((E218="p"),H218," ")</f>
        <v> </v>
      </c>
      <c r="V218" s="17" t="str">
        <f aca="false">IF((E218="t"),H218," ")</f>
        <v> </v>
      </c>
      <c r="W218" s="17" t="str">
        <f aca="false">IF((E218="q"),H218," ")</f>
        <v> </v>
      </c>
      <c r="X218" s="17" t="str">
        <f aca="false">IF((E218="m"),H218," ")</f>
        <v> </v>
      </c>
      <c r="Y218" s="17" t="str">
        <f aca="false">IF((E218="u"),H218," ")</f>
        <v> </v>
      </c>
      <c r="Z218" s="17" t="str">
        <f aca="false">IF((E218="a"),H218," ")</f>
        <v> </v>
      </c>
      <c r="AA218" s="17" t="str">
        <f aca="false">IF((E218="g"),H218," ")</f>
        <v> </v>
      </c>
      <c r="AB218" s="17" t="str">
        <f aca="false">IF((E218="h"),H218," ")</f>
        <v> </v>
      </c>
      <c r="AC218" s="30" t="str">
        <f aca="false">IF((E218="v"),H218," ")</f>
        <v> </v>
      </c>
      <c r="AD218" s="30" t="str">
        <f aca="false">IF((E218="n"),H218," ")</f>
        <v> </v>
      </c>
      <c r="AE218" s="17" t="str">
        <f aca="false">IF((E218="f"),H218," ")</f>
        <v> </v>
      </c>
      <c r="AF218" s="17" t="str">
        <f aca="false">IF((E218="l"),H218," ")</f>
        <v> </v>
      </c>
      <c r="AG218" s="17" t="str">
        <f aca="false">IF((E218="y"),H218," ")</f>
        <v> </v>
      </c>
      <c r="AH218" s="17" t="str">
        <f aca="false">IF((E218="z"),H218," ")</f>
        <v> </v>
      </c>
      <c r="AI218" s="17" t="str">
        <f aca="false">IF((E218="fa"),H218," ")</f>
        <v> </v>
      </c>
      <c r="AJ218" s="17" t="str">
        <f aca="false">IF((E218="e"),H218," ")</f>
        <v> </v>
      </c>
    </row>
    <row r="219" customFormat="false" ht="12" hidden="false" customHeight="false" outlineLevel="0" collapsed="false">
      <c r="A219" s="28"/>
      <c r="E219" s="2" t="str">
        <f aca="false">IF((F219&lt;&gt;0),"Enter Letter"," ")</f>
        <v> </v>
      </c>
      <c r="F219" s="30"/>
      <c r="G219" s="6" t="str">
        <f aca="false">IF(F219&lt;&gt;0,F219*G$2/(100+G$2)," ")</f>
        <v> </v>
      </c>
      <c r="H219" s="6" t="str">
        <f aca="false">IF((F219&lt;&gt;0),F219-G219," ")</f>
        <v> </v>
      </c>
      <c r="I219" s="5"/>
      <c r="L219" s="7" t="str">
        <f aca="false">IF(F219&lt;&gt;0,F219-K219," ")</f>
        <v> </v>
      </c>
      <c r="M219" s="8" t="str">
        <f aca="false">IF((F219-K219)&lt;&gt;0,M$1-A219," ")</f>
        <v> </v>
      </c>
      <c r="N219" s="5"/>
      <c r="O219" s="17" t="str">
        <f aca="false">IF((E219="s"),H219," ")</f>
        <v> </v>
      </c>
      <c r="P219" s="17" t="str">
        <f aca="false">IF((E219="c"),H219," ")</f>
        <v> </v>
      </c>
      <c r="Q219" s="17" t="str">
        <f aca="false">IF((E219="o"),H219," ")</f>
        <v> </v>
      </c>
      <c r="R219" s="17" t="str">
        <f aca="false">IF((E219="d"),H219," ")</f>
        <v> </v>
      </c>
      <c r="S219" s="17" t="str">
        <f aca="false">IF((E219="w"),H219," ")</f>
        <v> </v>
      </c>
      <c r="T219" s="17" t="str">
        <f aca="false">IF((E219="r"),H219," ")</f>
        <v> </v>
      </c>
      <c r="U219" s="17" t="str">
        <f aca="false">IF((E219="p"),H219," ")</f>
        <v> </v>
      </c>
      <c r="V219" s="17" t="str">
        <f aca="false">IF((E219="t"),H219," ")</f>
        <v> </v>
      </c>
      <c r="W219" s="17" t="str">
        <f aca="false">IF((E219="q"),H219," ")</f>
        <v> </v>
      </c>
      <c r="X219" s="17" t="str">
        <f aca="false">IF((E219="m"),H219," ")</f>
        <v> </v>
      </c>
      <c r="Y219" s="17" t="str">
        <f aca="false">IF((E219="u"),H219," ")</f>
        <v> </v>
      </c>
      <c r="Z219" s="17" t="str">
        <f aca="false">IF((E219="a"),H219," ")</f>
        <v> </v>
      </c>
      <c r="AA219" s="17" t="str">
        <f aca="false">IF((E219="g"),H219," ")</f>
        <v> </v>
      </c>
      <c r="AB219" s="17" t="str">
        <f aca="false">IF((E219="h"),H219," ")</f>
        <v> </v>
      </c>
      <c r="AC219" s="30" t="str">
        <f aca="false">IF((E219="v"),H219," ")</f>
        <v> </v>
      </c>
      <c r="AD219" s="30" t="str">
        <f aca="false">IF((E219="n"),H219," ")</f>
        <v> </v>
      </c>
      <c r="AE219" s="17" t="str">
        <f aca="false">IF((E219="f"),H219," ")</f>
        <v> </v>
      </c>
      <c r="AF219" s="17" t="str">
        <f aca="false">IF((E219="l"),H219," ")</f>
        <v> </v>
      </c>
      <c r="AG219" s="17" t="str">
        <f aca="false">IF((E219="y"),H219," ")</f>
        <v> </v>
      </c>
      <c r="AH219" s="17" t="str">
        <f aca="false">IF((E219="z"),H219," ")</f>
        <v> </v>
      </c>
      <c r="AI219" s="17" t="str">
        <f aca="false">IF((E219="fa"),H219," ")</f>
        <v> </v>
      </c>
      <c r="AJ219" s="17" t="str">
        <f aca="false">IF((E219="e"),H219," ")</f>
        <v> </v>
      </c>
    </row>
    <row r="220" customFormat="false" ht="12" hidden="false" customHeight="false" outlineLevel="0" collapsed="false">
      <c r="A220" s="28"/>
      <c r="E220" s="2" t="str">
        <f aca="false">IF((F220&lt;&gt;0),"Enter Letter"," ")</f>
        <v> </v>
      </c>
      <c r="F220" s="30"/>
      <c r="G220" s="6" t="str">
        <f aca="false">IF(F220&lt;&gt;0,F220*G$2/(100+G$2)," ")</f>
        <v> </v>
      </c>
      <c r="H220" s="6" t="str">
        <f aca="false">IF((F220&lt;&gt;0),F220-G220," ")</f>
        <v> </v>
      </c>
      <c r="I220" s="5"/>
      <c r="L220" s="7" t="str">
        <f aca="false">IF(F220&lt;&gt;0,F220-K220," ")</f>
        <v> </v>
      </c>
      <c r="M220" s="8" t="str">
        <f aca="false">IF((F220-K220)&lt;&gt;0,M$1-A220," ")</f>
        <v> </v>
      </c>
      <c r="N220" s="5"/>
      <c r="O220" s="17" t="str">
        <f aca="false">IF((E220="s"),H220," ")</f>
        <v> </v>
      </c>
      <c r="P220" s="17" t="str">
        <f aca="false">IF((E220="c"),H220," ")</f>
        <v> </v>
      </c>
      <c r="Q220" s="17" t="str">
        <f aca="false">IF((E220="o"),H220," ")</f>
        <v> </v>
      </c>
      <c r="R220" s="17" t="str">
        <f aca="false">IF((E220="d"),H220," ")</f>
        <v> </v>
      </c>
      <c r="S220" s="17" t="str">
        <f aca="false">IF((E220="w"),H220," ")</f>
        <v> </v>
      </c>
      <c r="T220" s="17" t="str">
        <f aca="false">IF((E220="r"),H220," ")</f>
        <v> </v>
      </c>
      <c r="U220" s="17" t="str">
        <f aca="false">IF((E220="p"),H220," ")</f>
        <v> </v>
      </c>
      <c r="V220" s="17" t="str">
        <f aca="false">IF((E220="t"),H220," ")</f>
        <v> </v>
      </c>
      <c r="W220" s="17" t="str">
        <f aca="false">IF((E220="q"),H220," ")</f>
        <v> </v>
      </c>
      <c r="X220" s="17" t="str">
        <f aca="false">IF((E220="m"),H220," ")</f>
        <v> </v>
      </c>
      <c r="Y220" s="17" t="str">
        <f aca="false">IF((E220="u"),H220," ")</f>
        <v> </v>
      </c>
      <c r="Z220" s="17" t="str">
        <f aca="false">IF((E220="a"),H220," ")</f>
        <v> </v>
      </c>
      <c r="AA220" s="17" t="str">
        <f aca="false">IF((E220="g"),H220," ")</f>
        <v> </v>
      </c>
      <c r="AB220" s="17" t="str">
        <f aca="false">IF((E220="h"),H220," ")</f>
        <v> </v>
      </c>
      <c r="AC220" s="30" t="str">
        <f aca="false">IF((E220="v"),H220," ")</f>
        <v> </v>
      </c>
      <c r="AD220" s="30" t="str">
        <f aca="false">IF((E220="n"),H220," ")</f>
        <v> </v>
      </c>
      <c r="AE220" s="17" t="str">
        <f aca="false">IF((E220="f"),H220," ")</f>
        <v> </v>
      </c>
      <c r="AF220" s="17" t="str">
        <f aca="false">IF((E220="l"),H220," ")</f>
        <v> </v>
      </c>
      <c r="AG220" s="17" t="str">
        <f aca="false">IF((E220="y"),H220," ")</f>
        <v> </v>
      </c>
      <c r="AH220" s="17" t="str">
        <f aca="false">IF((E220="z"),H220," ")</f>
        <v> </v>
      </c>
      <c r="AI220" s="17" t="str">
        <f aca="false">IF((E220="fa"),H220," ")</f>
        <v> </v>
      </c>
      <c r="AJ220" s="17" t="str">
        <f aca="false">IF((E220="e"),H220," ")</f>
        <v> </v>
      </c>
    </row>
    <row r="221" customFormat="false" ht="12" hidden="false" customHeight="false" outlineLevel="0" collapsed="false">
      <c r="A221" s="28"/>
      <c r="E221" s="2" t="str">
        <f aca="false">IF((F221&lt;&gt;0),"Enter Letter"," ")</f>
        <v> </v>
      </c>
      <c r="F221" s="30"/>
      <c r="G221" s="6" t="str">
        <f aca="false">IF(F221&lt;&gt;0,F221*G$2/(100+G$2)," ")</f>
        <v> </v>
      </c>
      <c r="H221" s="6" t="str">
        <f aca="false">IF((F221&lt;&gt;0),F221-G221," ")</f>
        <v> </v>
      </c>
      <c r="I221" s="5"/>
      <c r="L221" s="7" t="str">
        <f aca="false">IF(F221&lt;&gt;0,F221-K221," ")</f>
        <v> </v>
      </c>
      <c r="M221" s="8" t="str">
        <f aca="false">IF((F221-K221)&lt;&gt;0,M$1-A221," ")</f>
        <v> </v>
      </c>
      <c r="N221" s="5"/>
      <c r="O221" s="17" t="str">
        <f aca="false">IF((E221="s"),H221," ")</f>
        <v> </v>
      </c>
      <c r="P221" s="17" t="str">
        <f aca="false">IF((E221="c"),H221," ")</f>
        <v> </v>
      </c>
      <c r="Q221" s="17" t="str">
        <f aca="false">IF((E221="o"),H221," ")</f>
        <v> </v>
      </c>
      <c r="R221" s="17" t="str">
        <f aca="false">IF((E221="d"),H221," ")</f>
        <v> </v>
      </c>
      <c r="S221" s="17" t="str">
        <f aca="false">IF((E221="w"),H221," ")</f>
        <v> </v>
      </c>
      <c r="T221" s="17" t="str">
        <f aca="false">IF((E221="r"),H221," ")</f>
        <v> </v>
      </c>
      <c r="U221" s="17" t="str">
        <f aca="false">IF((E221="p"),H221," ")</f>
        <v> </v>
      </c>
      <c r="V221" s="17" t="str">
        <f aca="false">IF((E221="t"),H221," ")</f>
        <v> </v>
      </c>
      <c r="W221" s="17" t="str">
        <f aca="false">IF((E221="q"),H221," ")</f>
        <v> </v>
      </c>
      <c r="X221" s="17" t="str">
        <f aca="false">IF((E221="m"),H221," ")</f>
        <v> </v>
      </c>
      <c r="Y221" s="17" t="str">
        <f aca="false">IF((E221="u"),H221," ")</f>
        <v> </v>
      </c>
      <c r="Z221" s="17" t="str">
        <f aca="false">IF((E221="a"),H221," ")</f>
        <v> </v>
      </c>
      <c r="AA221" s="17" t="str">
        <f aca="false">IF((E221="g"),H221," ")</f>
        <v> </v>
      </c>
      <c r="AB221" s="17" t="str">
        <f aca="false">IF((E221="h"),H221," ")</f>
        <v> </v>
      </c>
      <c r="AC221" s="30" t="str">
        <f aca="false">IF((E221="v"),H221," ")</f>
        <v> </v>
      </c>
      <c r="AD221" s="30" t="str">
        <f aca="false">IF((E221="n"),H221," ")</f>
        <v> </v>
      </c>
      <c r="AE221" s="17" t="str">
        <f aca="false">IF((E221="f"),H221," ")</f>
        <v> </v>
      </c>
      <c r="AF221" s="17" t="str">
        <f aca="false">IF((E221="l"),H221," ")</f>
        <v> </v>
      </c>
      <c r="AG221" s="17" t="str">
        <f aca="false">IF((E221="y"),H221," ")</f>
        <v> </v>
      </c>
      <c r="AH221" s="17" t="str">
        <f aca="false">IF((E221="z"),H221," ")</f>
        <v> </v>
      </c>
      <c r="AI221" s="17" t="str">
        <f aca="false">IF((E221="fa"),H221," ")</f>
        <v> </v>
      </c>
      <c r="AJ221" s="17" t="str">
        <f aca="false">IF((E221="e"),H221," ")</f>
        <v> </v>
      </c>
    </row>
    <row r="222" customFormat="false" ht="12" hidden="false" customHeight="false" outlineLevel="0" collapsed="false">
      <c r="A222" s="28"/>
      <c r="E222" s="2" t="str">
        <f aca="false">IF((F222&lt;&gt;0),"Enter Letter"," ")</f>
        <v> </v>
      </c>
      <c r="F222" s="30"/>
      <c r="G222" s="6" t="str">
        <f aca="false">IF(F222&lt;&gt;0,F222*G$2/(100+G$2)," ")</f>
        <v> </v>
      </c>
      <c r="H222" s="6" t="str">
        <f aca="false">IF((F222&lt;&gt;0),F222-G222," ")</f>
        <v> </v>
      </c>
      <c r="I222" s="5"/>
      <c r="L222" s="7" t="str">
        <f aca="false">IF(F222&lt;&gt;0,F222-K222," ")</f>
        <v> </v>
      </c>
      <c r="M222" s="8" t="str">
        <f aca="false">IF((F222-K222)&lt;&gt;0,M$1-A222," ")</f>
        <v> </v>
      </c>
      <c r="N222" s="5"/>
      <c r="O222" s="17" t="str">
        <f aca="false">IF((E222="s"),H222," ")</f>
        <v> </v>
      </c>
      <c r="P222" s="17" t="str">
        <f aca="false">IF((E222="c"),H222," ")</f>
        <v> </v>
      </c>
      <c r="Q222" s="17" t="str">
        <f aca="false">IF((E222="o"),H222," ")</f>
        <v> </v>
      </c>
      <c r="R222" s="17" t="str">
        <f aca="false">IF((E222="d"),H222," ")</f>
        <v> </v>
      </c>
      <c r="S222" s="17" t="str">
        <f aca="false">IF((E222="w"),H222," ")</f>
        <v> </v>
      </c>
      <c r="T222" s="17" t="str">
        <f aca="false">IF((E222="r"),H222," ")</f>
        <v> </v>
      </c>
      <c r="U222" s="17" t="str">
        <f aca="false">IF((E222="p"),H222," ")</f>
        <v> </v>
      </c>
      <c r="V222" s="17" t="str">
        <f aca="false">IF((E222="t"),H222," ")</f>
        <v> </v>
      </c>
      <c r="W222" s="17" t="str">
        <f aca="false">IF((E222="q"),H222," ")</f>
        <v> </v>
      </c>
      <c r="X222" s="17" t="str">
        <f aca="false">IF((E222="m"),H222," ")</f>
        <v> </v>
      </c>
      <c r="Y222" s="17" t="str">
        <f aca="false">IF((E222="u"),H222," ")</f>
        <v> </v>
      </c>
      <c r="Z222" s="17" t="str">
        <f aca="false">IF((E222="a"),H222," ")</f>
        <v> </v>
      </c>
      <c r="AA222" s="17" t="str">
        <f aca="false">IF((E222="g"),H222," ")</f>
        <v> </v>
      </c>
      <c r="AB222" s="17" t="str">
        <f aca="false">IF((E222="h"),H222," ")</f>
        <v> </v>
      </c>
      <c r="AC222" s="30" t="str">
        <f aca="false">IF((E222="v"),H222," ")</f>
        <v> </v>
      </c>
      <c r="AD222" s="30" t="str">
        <f aca="false">IF((E222="n"),H222," ")</f>
        <v> </v>
      </c>
      <c r="AE222" s="17" t="str">
        <f aca="false">IF((E222="f"),H222," ")</f>
        <v> </v>
      </c>
      <c r="AF222" s="17" t="str">
        <f aca="false">IF((E222="l"),H222," ")</f>
        <v> </v>
      </c>
      <c r="AG222" s="17" t="str">
        <f aca="false">IF((E222="y"),H222," ")</f>
        <v> </v>
      </c>
      <c r="AH222" s="17" t="str">
        <f aca="false">IF((E222="z"),H222," ")</f>
        <v> </v>
      </c>
      <c r="AI222" s="17" t="str">
        <f aca="false">IF((E222="fa"),H222," ")</f>
        <v> </v>
      </c>
      <c r="AJ222" s="17" t="str">
        <f aca="false">IF((E222="e"),H222," ")</f>
        <v> </v>
      </c>
    </row>
    <row r="223" customFormat="false" ht="12" hidden="false" customHeight="false" outlineLevel="0" collapsed="false">
      <c r="A223" s="28"/>
      <c r="E223" s="2" t="str">
        <f aca="false">IF((F223&lt;&gt;0),"Enter Letter"," ")</f>
        <v> </v>
      </c>
      <c r="F223" s="30"/>
      <c r="G223" s="6" t="str">
        <f aca="false">IF(F223&lt;&gt;0,F223*G$2/(100+G$2)," ")</f>
        <v> </v>
      </c>
      <c r="H223" s="6" t="str">
        <f aca="false">IF((F223&lt;&gt;0),F223-G223," ")</f>
        <v> </v>
      </c>
      <c r="I223" s="5"/>
      <c r="L223" s="7" t="str">
        <f aca="false">IF(F223&lt;&gt;0,F223-K223," ")</f>
        <v> </v>
      </c>
      <c r="M223" s="8" t="str">
        <f aca="false">IF((F223-K223)&lt;&gt;0,M$1-A223," ")</f>
        <v> </v>
      </c>
      <c r="N223" s="5"/>
      <c r="O223" s="17" t="str">
        <f aca="false">IF((E223="s"),H223," ")</f>
        <v> </v>
      </c>
      <c r="P223" s="17" t="str">
        <f aca="false">IF((E223="c"),H223," ")</f>
        <v> </v>
      </c>
      <c r="Q223" s="17" t="str">
        <f aca="false">IF((E223="o"),H223," ")</f>
        <v> </v>
      </c>
      <c r="R223" s="17" t="str">
        <f aca="false">IF((E223="d"),H223," ")</f>
        <v> </v>
      </c>
      <c r="S223" s="17" t="str">
        <f aca="false">IF((E223="w"),H223," ")</f>
        <v> </v>
      </c>
      <c r="T223" s="17" t="str">
        <f aca="false">IF((E223="r"),H223," ")</f>
        <v> </v>
      </c>
      <c r="U223" s="17" t="str">
        <f aca="false">IF((E223="p"),H223," ")</f>
        <v> </v>
      </c>
      <c r="V223" s="17" t="str">
        <f aca="false">IF((E223="t"),H223," ")</f>
        <v> </v>
      </c>
      <c r="W223" s="17" t="str">
        <f aca="false">IF((E223="q"),H223," ")</f>
        <v> </v>
      </c>
      <c r="X223" s="17" t="str">
        <f aca="false">IF((E223="m"),H223," ")</f>
        <v> </v>
      </c>
      <c r="Y223" s="17" t="str">
        <f aca="false">IF((E223="u"),H223," ")</f>
        <v> </v>
      </c>
      <c r="Z223" s="17" t="str">
        <f aca="false">IF((E223="a"),H223," ")</f>
        <v> </v>
      </c>
      <c r="AA223" s="17" t="str">
        <f aca="false">IF((E223="g"),H223," ")</f>
        <v> </v>
      </c>
      <c r="AB223" s="17" t="str">
        <f aca="false">IF((E223="h"),H223," ")</f>
        <v> </v>
      </c>
      <c r="AC223" s="30" t="str">
        <f aca="false">IF((E223="v"),H223," ")</f>
        <v> </v>
      </c>
      <c r="AD223" s="30" t="str">
        <f aca="false">IF((E223="n"),H223," ")</f>
        <v> </v>
      </c>
      <c r="AE223" s="17" t="str">
        <f aca="false">IF((E223="f"),H223," ")</f>
        <v> </v>
      </c>
      <c r="AF223" s="17" t="str">
        <f aca="false">IF((E223="l"),H223," ")</f>
        <v> </v>
      </c>
      <c r="AG223" s="17" t="str">
        <f aca="false">IF((E223="y"),H223," ")</f>
        <v> </v>
      </c>
      <c r="AH223" s="17" t="str">
        <f aca="false">IF((E223="z"),H223," ")</f>
        <v> </v>
      </c>
      <c r="AI223" s="17" t="str">
        <f aca="false">IF((E223="fa"),H223," ")</f>
        <v> </v>
      </c>
      <c r="AJ223" s="17" t="str">
        <f aca="false">IF((E223="e"),H223," ")</f>
        <v> </v>
      </c>
    </row>
    <row r="224" customFormat="false" ht="12" hidden="false" customHeight="false" outlineLevel="0" collapsed="false">
      <c r="A224" s="28"/>
      <c r="E224" s="2" t="str">
        <f aca="false">IF((F224&lt;&gt;0),"Enter Letter"," ")</f>
        <v> </v>
      </c>
      <c r="F224" s="30"/>
      <c r="G224" s="6" t="str">
        <f aca="false">IF(F224&lt;&gt;0,F224*G$2/(100+G$2)," ")</f>
        <v> </v>
      </c>
      <c r="H224" s="6" t="str">
        <f aca="false">IF((F224&lt;&gt;0),F224-G224," ")</f>
        <v> </v>
      </c>
      <c r="I224" s="5"/>
      <c r="L224" s="7" t="str">
        <f aca="false">IF(F224&lt;&gt;0,F224-K224," ")</f>
        <v> </v>
      </c>
      <c r="M224" s="8" t="str">
        <f aca="false">IF((F224-K224)&lt;&gt;0,M$1-A224," ")</f>
        <v> </v>
      </c>
      <c r="N224" s="5"/>
      <c r="O224" s="17" t="str">
        <f aca="false">IF((E224="s"),H224," ")</f>
        <v> </v>
      </c>
      <c r="P224" s="17" t="str">
        <f aca="false">IF((E224="c"),H224," ")</f>
        <v> </v>
      </c>
      <c r="Q224" s="17" t="str">
        <f aca="false">IF((E224="o"),H224," ")</f>
        <v> </v>
      </c>
      <c r="R224" s="17" t="str">
        <f aca="false">IF((E224="d"),H224," ")</f>
        <v> </v>
      </c>
      <c r="S224" s="17" t="str">
        <f aca="false">IF((E224="w"),H224," ")</f>
        <v> </v>
      </c>
      <c r="T224" s="17" t="str">
        <f aca="false">IF((E224="r"),H224," ")</f>
        <v> </v>
      </c>
      <c r="U224" s="17" t="str">
        <f aca="false">IF((E224="p"),H224," ")</f>
        <v> </v>
      </c>
      <c r="V224" s="17" t="str">
        <f aca="false">IF((E224="t"),H224," ")</f>
        <v> </v>
      </c>
      <c r="W224" s="17" t="str">
        <f aca="false">IF((E224="q"),H224," ")</f>
        <v> </v>
      </c>
      <c r="X224" s="17" t="str">
        <f aca="false">IF((E224="m"),H224," ")</f>
        <v> </v>
      </c>
      <c r="Y224" s="17" t="str">
        <f aca="false">IF((E224="u"),H224," ")</f>
        <v> </v>
      </c>
      <c r="Z224" s="17" t="str">
        <f aca="false">IF((E224="a"),H224," ")</f>
        <v> </v>
      </c>
      <c r="AA224" s="17" t="str">
        <f aca="false">IF((E224="g"),H224," ")</f>
        <v> </v>
      </c>
      <c r="AB224" s="17" t="str">
        <f aca="false">IF((E224="h"),H224," ")</f>
        <v> </v>
      </c>
      <c r="AC224" s="30" t="str">
        <f aca="false">IF((E224="v"),H224," ")</f>
        <v> </v>
      </c>
      <c r="AD224" s="30" t="str">
        <f aca="false">IF((E224="n"),H224," ")</f>
        <v> </v>
      </c>
      <c r="AE224" s="17" t="str">
        <f aca="false">IF((E224="f"),H224," ")</f>
        <v> </v>
      </c>
      <c r="AF224" s="17" t="str">
        <f aca="false">IF((E224="l"),H224," ")</f>
        <v> </v>
      </c>
      <c r="AG224" s="17" t="str">
        <f aca="false">IF((E224="y"),H224," ")</f>
        <v> </v>
      </c>
      <c r="AH224" s="17" t="str">
        <f aca="false">IF((E224="z"),H224," ")</f>
        <v> </v>
      </c>
      <c r="AI224" s="17" t="str">
        <f aca="false">IF((E224="fa"),H224," ")</f>
        <v> </v>
      </c>
      <c r="AJ224" s="17" t="str">
        <f aca="false">IF((E224="e"),H224," ")</f>
        <v> </v>
      </c>
    </row>
    <row r="225" customFormat="false" ht="12" hidden="false" customHeight="false" outlineLevel="0" collapsed="false">
      <c r="A225" s="28"/>
      <c r="E225" s="2" t="str">
        <f aca="false">IF((F225&lt;&gt;0),"Enter Letter"," ")</f>
        <v> </v>
      </c>
      <c r="F225" s="30"/>
      <c r="G225" s="6" t="str">
        <f aca="false">IF(F225&lt;&gt;0,F225*G$2/(100+G$2)," ")</f>
        <v> </v>
      </c>
      <c r="H225" s="6" t="str">
        <f aca="false">IF((F225&lt;&gt;0),F225-G225," ")</f>
        <v> </v>
      </c>
      <c r="I225" s="5"/>
      <c r="L225" s="7" t="str">
        <f aca="false">IF(F225&lt;&gt;0,F225-K225," ")</f>
        <v> </v>
      </c>
      <c r="M225" s="8" t="str">
        <f aca="false">IF((F225-K225)&lt;&gt;0,M$1-A225," ")</f>
        <v> </v>
      </c>
      <c r="N225" s="5"/>
      <c r="O225" s="17" t="str">
        <f aca="false">IF((E225="s"),H225," ")</f>
        <v> </v>
      </c>
      <c r="P225" s="17" t="str">
        <f aca="false">IF((E225="c"),H225," ")</f>
        <v> </v>
      </c>
      <c r="Q225" s="17" t="str">
        <f aca="false">IF((E225="o"),H225," ")</f>
        <v> </v>
      </c>
      <c r="R225" s="17" t="str">
        <f aca="false">IF((E225="d"),H225," ")</f>
        <v> </v>
      </c>
      <c r="S225" s="17" t="str">
        <f aca="false">IF((E225="w"),H225," ")</f>
        <v> </v>
      </c>
      <c r="T225" s="17" t="str">
        <f aca="false">IF((E225="r"),H225," ")</f>
        <v> </v>
      </c>
      <c r="U225" s="17" t="str">
        <f aca="false">IF((E225="p"),H225," ")</f>
        <v> </v>
      </c>
      <c r="V225" s="17" t="str">
        <f aca="false">IF((E225="t"),H225," ")</f>
        <v> </v>
      </c>
      <c r="W225" s="17" t="str">
        <f aca="false">IF((E225="q"),H225," ")</f>
        <v> </v>
      </c>
      <c r="X225" s="17" t="str">
        <f aca="false">IF((E225="m"),H225," ")</f>
        <v> </v>
      </c>
      <c r="Y225" s="17" t="str">
        <f aca="false">IF((E225="u"),H225," ")</f>
        <v> </v>
      </c>
      <c r="Z225" s="17" t="str">
        <f aca="false">IF((E225="a"),H225," ")</f>
        <v> </v>
      </c>
      <c r="AA225" s="17" t="str">
        <f aca="false">IF((E225="g"),H225," ")</f>
        <v> </v>
      </c>
      <c r="AB225" s="17" t="str">
        <f aca="false">IF((E225="h"),H225," ")</f>
        <v> </v>
      </c>
      <c r="AC225" s="30" t="str">
        <f aca="false">IF((E225="v"),H225," ")</f>
        <v> </v>
      </c>
      <c r="AD225" s="30" t="str">
        <f aca="false">IF((E225="n"),H225," ")</f>
        <v> </v>
      </c>
      <c r="AE225" s="17" t="str">
        <f aca="false">IF((E225="f"),H225," ")</f>
        <v> </v>
      </c>
      <c r="AF225" s="17" t="str">
        <f aca="false">IF((E225="l"),H225," ")</f>
        <v> </v>
      </c>
      <c r="AG225" s="17" t="str">
        <f aca="false">IF((E225="y"),H225," ")</f>
        <v> </v>
      </c>
      <c r="AH225" s="17" t="str">
        <f aca="false">IF((E225="z"),H225," ")</f>
        <v> </v>
      </c>
      <c r="AI225" s="17" t="str">
        <f aca="false">IF((E225="fa"),H225," ")</f>
        <v> </v>
      </c>
      <c r="AJ225" s="17" t="str">
        <f aca="false">IF((E225="e"),H225," ")</f>
        <v> </v>
      </c>
    </row>
    <row r="226" customFormat="false" ht="12" hidden="false" customHeight="false" outlineLevel="0" collapsed="false">
      <c r="A226" s="28"/>
      <c r="E226" s="2" t="str">
        <f aca="false">IF((F226&lt;&gt;0),"Enter Letter"," ")</f>
        <v> </v>
      </c>
      <c r="F226" s="30"/>
      <c r="G226" s="6" t="str">
        <f aca="false">IF(F226&lt;&gt;0,F226*G$2/(100+G$2)," ")</f>
        <v> </v>
      </c>
      <c r="H226" s="6" t="str">
        <f aca="false">IF((F226&lt;&gt;0),F226-G226," ")</f>
        <v> </v>
      </c>
      <c r="I226" s="5"/>
      <c r="L226" s="7" t="str">
        <f aca="false">IF(F226&lt;&gt;0,F226-K226," ")</f>
        <v> </v>
      </c>
      <c r="M226" s="8" t="str">
        <f aca="false">IF((F226-K226)&lt;&gt;0,M$1-A226," ")</f>
        <v> </v>
      </c>
      <c r="N226" s="5"/>
      <c r="O226" s="17" t="str">
        <f aca="false">IF((E226="s"),H226," ")</f>
        <v> </v>
      </c>
      <c r="P226" s="17" t="str">
        <f aca="false">IF((E226="c"),H226," ")</f>
        <v> </v>
      </c>
      <c r="Q226" s="17" t="str">
        <f aca="false">IF((E226="o"),H226," ")</f>
        <v> </v>
      </c>
      <c r="R226" s="17" t="str">
        <f aca="false">IF((E226="d"),H226," ")</f>
        <v> </v>
      </c>
      <c r="S226" s="17" t="str">
        <f aca="false">IF((E226="w"),H226," ")</f>
        <v> </v>
      </c>
      <c r="T226" s="17" t="str">
        <f aca="false">IF((E226="r"),H226," ")</f>
        <v> </v>
      </c>
      <c r="U226" s="17" t="str">
        <f aca="false">IF((E226="p"),H226," ")</f>
        <v> </v>
      </c>
      <c r="V226" s="17" t="str">
        <f aca="false">IF((E226="t"),H226," ")</f>
        <v> </v>
      </c>
      <c r="W226" s="17" t="str">
        <f aca="false">IF((E226="q"),H226," ")</f>
        <v> </v>
      </c>
      <c r="X226" s="17" t="str">
        <f aca="false">IF((E226="m"),H226," ")</f>
        <v> </v>
      </c>
      <c r="Y226" s="17" t="str">
        <f aca="false">IF((E226="u"),H226," ")</f>
        <v> </v>
      </c>
      <c r="Z226" s="17" t="str">
        <f aca="false">IF((E226="a"),H226," ")</f>
        <v> </v>
      </c>
      <c r="AA226" s="17" t="str">
        <f aca="false">IF((E226="g"),H226," ")</f>
        <v> </v>
      </c>
      <c r="AB226" s="17" t="str">
        <f aca="false">IF((E226="h"),H226," ")</f>
        <v> </v>
      </c>
      <c r="AC226" s="30" t="str">
        <f aca="false">IF((E226="v"),H226," ")</f>
        <v> </v>
      </c>
      <c r="AD226" s="30" t="str">
        <f aca="false">IF((E226="n"),H226," ")</f>
        <v> </v>
      </c>
      <c r="AE226" s="17" t="str">
        <f aca="false">IF((E226="f"),H226," ")</f>
        <v> </v>
      </c>
      <c r="AF226" s="17" t="str">
        <f aca="false">IF((E226="l"),H226," ")</f>
        <v> </v>
      </c>
      <c r="AG226" s="17" t="str">
        <f aca="false">IF((E226="y"),H226," ")</f>
        <v> </v>
      </c>
      <c r="AH226" s="17" t="str">
        <f aca="false">IF((E226="z"),H226," ")</f>
        <v> </v>
      </c>
      <c r="AI226" s="17" t="str">
        <f aca="false">IF((E226="fa"),H226," ")</f>
        <v> </v>
      </c>
      <c r="AJ226" s="17" t="str">
        <f aca="false">IF((E226="e"),H226," ")</f>
        <v> </v>
      </c>
    </row>
    <row r="227" customFormat="false" ht="12" hidden="false" customHeight="false" outlineLevel="0" collapsed="false">
      <c r="A227" s="28"/>
      <c r="E227" s="2" t="str">
        <f aca="false">IF((F227&lt;&gt;0),"Enter Letter"," ")</f>
        <v> </v>
      </c>
      <c r="F227" s="30"/>
      <c r="G227" s="6" t="str">
        <f aca="false">IF(F227&lt;&gt;0,F227*G$2/(100+G$2)," ")</f>
        <v> </v>
      </c>
      <c r="H227" s="6" t="str">
        <f aca="false">IF((F227&lt;&gt;0),F227-G227," ")</f>
        <v> </v>
      </c>
      <c r="I227" s="5"/>
      <c r="L227" s="7" t="str">
        <f aca="false">IF(F227&lt;&gt;0,F227-K227," ")</f>
        <v> </v>
      </c>
      <c r="M227" s="8" t="str">
        <f aca="false">IF((F227-K227)&lt;&gt;0,M$1-A227," ")</f>
        <v> </v>
      </c>
      <c r="N227" s="5"/>
      <c r="O227" s="17" t="str">
        <f aca="false">IF((E227="s"),H227," ")</f>
        <v> </v>
      </c>
      <c r="P227" s="17" t="str">
        <f aca="false">IF((E227="c"),H227," ")</f>
        <v> </v>
      </c>
      <c r="Q227" s="17" t="str">
        <f aca="false">IF((E227="o"),H227," ")</f>
        <v> </v>
      </c>
      <c r="R227" s="17" t="str">
        <f aca="false">IF((E227="d"),H227," ")</f>
        <v> </v>
      </c>
      <c r="S227" s="17" t="str">
        <f aca="false">IF((E227="w"),H227," ")</f>
        <v> </v>
      </c>
      <c r="T227" s="17" t="str">
        <f aca="false">IF((E227="r"),H227," ")</f>
        <v> </v>
      </c>
      <c r="U227" s="17" t="str">
        <f aca="false">IF((E227="p"),H227," ")</f>
        <v> </v>
      </c>
      <c r="V227" s="17" t="str">
        <f aca="false">IF((E227="t"),H227," ")</f>
        <v> </v>
      </c>
      <c r="W227" s="17" t="str">
        <f aca="false">IF((E227="q"),H227," ")</f>
        <v> </v>
      </c>
      <c r="X227" s="17" t="str">
        <f aca="false">IF((E227="m"),H227," ")</f>
        <v> </v>
      </c>
      <c r="Y227" s="17" t="str">
        <f aca="false">IF((E227="u"),H227," ")</f>
        <v> </v>
      </c>
      <c r="Z227" s="17" t="str">
        <f aca="false">IF((E227="a"),H227," ")</f>
        <v> </v>
      </c>
      <c r="AA227" s="17" t="str">
        <f aca="false">IF((E227="g"),H227," ")</f>
        <v> </v>
      </c>
      <c r="AB227" s="17" t="str">
        <f aca="false">IF((E227="h"),H227," ")</f>
        <v> </v>
      </c>
      <c r="AC227" s="30" t="str">
        <f aca="false">IF((E227="v"),H227," ")</f>
        <v> </v>
      </c>
      <c r="AD227" s="30" t="str">
        <f aca="false">IF((E227="n"),H227," ")</f>
        <v> </v>
      </c>
      <c r="AE227" s="17" t="str">
        <f aca="false">IF((E227="f"),H227," ")</f>
        <v> </v>
      </c>
      <c r="AF227" s="17" t="str">
        <f aca="false">IF((E227="l"),H227," ")</f>
        <v> </v>
      </c>
      <c r="AG227" s="17" t="str">
        <f aca="false">IF((E227="y"),H227," ")</f>
        <v> </v>
      </c>
      <c r="AH227" s="17" t="str">
        <f aca="false">IF((E227="z"),H227," ")</f>
        <v> </v>
      </c>
      <c r="AI227" s="17" t="str">
        <f aca="false">IF((E227="fa"),H227," ")</f>
        <v> </v>
      </c>
      <c r="AJ227" s="17" t="str">
        <f aca="false">IF((E227="e"),H227," ")</f>
        <v> </v>
      </c>
    </row>
    <row r="228" customFormat="false" ht="12" hidden="false" customHeight="false" outlineLevel="0" collapsed="false">
      <c r="A228" s="28"/>
      <c r="E228" s="2" t="str">
        <f aca="false">IF((F228&lt;&gt;0),"Enter Letter"," ")</f>
        <v> </v>
      </c>
      <c r="F228" s="30"/>
      <c r="G228" s="6" t="str">
        <f aca="false">IF(F228&lt;&gt;0,F228*G$2/(100+G$2)," ")</f>
        <v> </v>
      </c>
      <c r="H228" s="6" t="str">
        <f aca="false">IF((F228&lt;&gt;0),F228-G228," ")</f>
        <v> </v>
      </c>
      <c r="I228" s="5"/>
      <c r="L228" s="7" t="str">
        <f aca="false">IF(F228&lt;&gt;0,F228-K228," ")</f>
        <v> </v>
      </c>
      <c r="M228" s="8" t="str">
        <f aca="false">IF((F228-K228)&lt;&gt;0,M$1-A228," ")</f>
        <v> </v>
      </c>
      <c r="N228" s="5"/>
      <c r="O228" s="17" t="str">
        <f aca="false">IF((E228="s"),H228," ")</f>
        <v> </v>
      </c>
      <c r="P228" s="17" t="str">
        <f aca="false">IF((E228="c"),H228," ")</f>
        <v> </v>
      </c>
      <c r="Q228" s="17" t="str">
        <f aca="false">IF((E228="o"),H228," ")</f>
        <v> </v>
      </c>
      <c r="R228" s="17" t="str">
        <f aca="false">IF((E228="d"),H228," ")</f>
        <v> </v>
      </c>
      <c r="S228" s="17" t="str">
        <f aca="false">IF((E228="w"),H228," ")</f>
        <v> </v>
      </c>
      <c r="T228" s="17" t="str">
        <f aca="false">IF((E228="r"),H228," ")</f>
        <v> </v>
      </c>
      <c r="U228" s="17" t="str">
        <f aca="false">IF((E228="p"),H228," ")</f>
        <v> </v>
      </c>
      <c r="V228" s="17" t="str">
        <f aca="false">IF((E228="t"),H228," ")</f>
        <v> </v>
      </c>
      <c r="W228" s="17" t="str">
        <f aca="false">IF((E228="q"),H228," ")</f>
        <v> </v>
      </c>
      <c r="X228" s="17" t="str">
        <f aca="false">IF((E228="m"),H228," ")</f>
        <v> </v>
      </c>
      <c r="Y228" s="17" t="str">
        <f aca="false">IF((E228="u"),H228," ")</f>
        <v> </v>
      </c>
      <c r="Z228" s="17" t="str">
        <f aca="false">IF((E228="a"),H228," ")</f>
        <v> </v>
      </c>
      <c r="AA228" s="17" t="str">
        <f aca="false">IF((E228="g"),H228," ")</f>
        <v> </v>
      </c>
      <c r="AB228" s="17" t="str">
        <f aca="false">IF((E228="h"),H228," ")</f>
        <v> </v>
      </c>
      <c r="AC228" s="30" t="str">
        <f aca="false">IF((E228="v"),H228," ")</f>
        <v> </v>
      </c>
      <c r="AD228" s="30" t="str">
        <f aca="false">IF((E228="n"),H228," ")</f>
        <v> </v>
      </c>
      <c r="AE228" s="17" t="str">
        <f aca="false">IF((E228="f"),H228," ")</f>
        <v> </v>
      </c>
      <c r="AF228" s="17" t="str">
        <f aca="false">IF((E228="l"),H228," ")</f>
        <v> </v>
      </c>
      <c r="AG228" s="17" t="str">
        <f aca="false">IF((E228="y"),H228," ")</f>
        <v> </v>
      </c>
      <c r="AH228" s="17" t="str">
        <f aca="false">IF((E228="z"),H228," ")</f>
        <v> </v>
      </c>
      <c r="AI228" s="17" t="str">
        <f aca="false">IF((E228="fa"),H228," ")</f>
        <v> </v>
      </c>
      <c r="AJ228" s="17" t="str">
        <f aca="false">IF((E228="e"),H228," ")</f>
        <v> </v>
      </c>
    </row>
    <row r="229" customFormat="false" ht="12" hidden="false" customHeight="false" outlineLevel="0" collapsed="false">
      <c r="A229" s="28"/>
      <c r="E229" s="2" t="str">
        <f aca="false">IF((F229&lt;&gt;0),"Enter Letter"," ")</f>
        <v> </v>
      </c>
      <c r="F229" s="30"/>
      <c r="G229" s="6" t="str">
        <f aca="false">IF(F229&lt;&gt;0,F229*G$2/(100+G$2)," ")</f>
        <v> </v>
      </c>
      <c r="H229" s="6" t="str">
        <f aca="false">IF((F229&lt;&gt;0),F229-G229," ")</f>
        <v> </v>
      </c>
      <c r="I229" s="5"/>
      <c r="L229" s="7" t="str">
        <f aca="false">IF(F229&lt;&gt;0,F229-K229," ")</f>
        <v> </v>
      </c>
      <c r="M229" s="8" t="str">
        <f aca="false">IF((F229-K229)&lt;&gt;0,M$1-A229," ")</f>
        <v> </v>
      </c>
      <c r="N229" s="5"/>
      <c r="O229" s="17" t="str">
        <f aca="false">IF((E229="s"),H229," ")</f>
        <v> </v>
      </c>
      <c r="P229" s="17" t="str">
        <f aca="false">IF((E229="c"),H229," ")</f>
        <v> </v>
      </c>
      <c r="Q229" s="17" t="str">
        <f aca="false">IF((E229="o"),H229," ")</f>
        <v> </v>
      </c>
      <c r="R229" s="17" t="str">
        <f aca="false">IF((E229="d"),H229," ")</f>
        <v> </v>
      </c>
      <c r="S229" s="17" t="str">
        <f aca="false">IF((E229="w"),H229," ")</f>
        <v> </v>
      </c>
      <c r="T229" s="17" t="str">
        <f aca="false">IF((E229="r"),H229," ")</f>
        <v> </v>
      </c>
      <c r="U229" s="17" t="str">
        <f aca="false">IF((E229="p"),H229," ")</f>
        <v> </v>
      </c>
      <c r="V229" s="17" t="str">
        <f aca="false">IF((E229="t"),H229," ")</f>
        <v> </v>
      </c>
      <c r="W229" s="17" t="str">
        <f aca="false">IF((E229="q"),H229," ")</f>
        <v> </v>
      </c>
      <c r="X229" s="17" t="str">
        <f aca="false">IF((E229="m"),H229," ")</f>
        <v> </v>
      </c>
      <c r="Y229" s="17" t="str">
        <f aca="false">IF((E229="u"),H229," ")</f>
        <v> </v>
      </c>
      <c r="Z229" s="17" t="str">
        <f aca="false">IF((E229="a"),H229," ")</f>
        <v> </v>
      </c>
      <c r="AA229" s="17" t="str">
        <f aca="false">IF((E229="g"),H229," ")</f>
        <v> </v>
      </c>
      <c r="AB229" s="17" t="str">
        <f aca="false">IF((E229="h"),H229," ")</f>
        <v> </v>
      </c>
      <c r="AC229" s="30" t="str">
        <f aca="false">IF((E229="v"),H229," ")</f>
        <v> </v>
      </c>
      <c r="AD229" s="30" t="str">
        <f aca="false">IF((E229="n"),H229," ")</f>
        <v> </v>
      </c>
      <c r="AE229" s="17" t="str">
        <f aca="false">IF((E229="f"),H229," ")</f>
        <v> </v>
      </c>
      <c r="AF229" s="17" t="str">
        <f aca="false">IF((E229="l"),H229," ")</f>
        <v> </v>
      </c>
      <c r="AG229" s="17" t="str">
        <f aca="false">IF((E229="y"),H229," ")</f>
        <v> </v>
      </c>
      <c r="AH229" s="17" t="str">
        <f aca="false">IF((E229="z"),H229," ")</f>
        <v> </v>
      </c>
      <c r="AI229" s="17" t="str">
        <f aca="false">IF((E229="fa"),H229," ")</f>
        <v> </v>
      </c>
      <c r="AJ229" s="17" t="str">
        <f aca="false">IF((E229="e"),H229," ")</f>
        <v> </v>
      </c>
    </row>
    <row r="230" customFormat="false" ht="12" hidden="false" customHeight="false" outlineLevel="0" collapsed="false">
      <c r="A230" s="28"/>
      <c r="E230" s="2" t="str">
        <f aca="false">IF((F230&lt;&gt;0),"Enter Letter"," ")</f>
        <v> </v>
      </c>
      <c r="F230" s="30"/>
      <c r="G230" s="6" t="str">
        <f aca="false">IF(F230&lt;&gt;0,F230*G$2/(100+G$2)," ")</f>
        <v> </v>
      </c>
      <c r="H230" s="6" t="str">
        <f aca="false">IF((F230&lt;&gt;0),F230-G230," ")</f>
        <v> </v>
      </c>
      <c r="I230" s="5"/>
      <c r="L230" s="7" t="str">
        <f aca="false">IF(F230&lt;&gt;0,F230-K230," ")</f>
        <v> </v>
      </c>
      <c r="M230" s="8" t="str">
        <f aca="false">IF((F230-K230)&lt;&gt;0,M$1-A230," ")</f>
        <v> </v>
      </c>
      <c r="N230" s="5"/>
      <c r="O230" s="17" t="str">
        <f aca="false">IF((E230="s"),H230," ")</f>
        <v> </v>
      </c>
      <c r="P230" s="17" t="str">
        <f aca="false">IF((E230="c"),H230," ")</f>
        <v> </v>
      </c>
      <c r="Q230" s="17" t="str">
        <f aca="false">IF((E230="o"),H230," ")</f>
        <v> </v>
      </c>
      <c r="R230" s="17" t="str">
        <f aca="false">IF((E230="d"),H230," ")</f>
        <v> </v>
      </c>
      <c r="S230" s="17" t="str">
        <f aca="false">IF((E230="w"),H230," ")</f>
        <v> </v>
      </c>
      <c r="T230" s="17" t="str">
        <f aca="false">IF((E230="r"),H230," ")</f>
        <v> </v>
      </c>
      <c r="U230" s="17" t="str">
        <f aca="false">IF((E230="p"),H230," ")</f>
        <v> </v>
      </c>
      <c r="V230" s="17" t="str">
        <f aca="false">IF((E230="t"),H230," ")</f>
        <v> </v>
      </c>
      <c r="W230" s="17" t="str">
        <f aca="false">IF((E230="q"),H230," ")</f>
        <v> </v>
      </c>
      <c r="X230" s="17" t="str">
        <f aca="false">IF((E230="m"),H230," ")</f>
        <v> </v>
      </c>
      <c r="Y230" s="17" t="str">
        <f aca="false">IF((E230="u"),H230," ")</f>
        <v> </v>
      </c>
      <c r="Z230" s="17" t="str">
        <f aca="false">IF((E230="a"),H230," ")</f>
        <v> </v>
      </c>
      <c r="AA230" s="17" t="str">
        <f aca="false">IF((E230="g"),H230," ")</f>
        <v> </v>
      </c>
      <c r="AB230" s="17" t="str">
        <f aca="false">IF((E230="h"),H230," ")</f>
        <v> </v>
      </c>
      <c r="AC230" s="30" t="str">
        <f aca="false">IF((E230="v"),H230," ")</f>
        <v> </v>
      </c>
      <c r="AD230" s="30" t="str">
        <f aca="false">IF((E230="n"),H230," ")</f>
        <v> </v>
      </c>
      <c r="AE230" s="17" t="str">
        <f aca="false">IF((E230="f"),H230," ")</f>
        <v> </v>
      </c>
      <c r="AF230" s="17" t="str">
        <f aca="false">IF((E230="l"),H230," ")</f>
        <v> </v>
      </c>
      <c r="AG230" s="17" t="str">
        <f aca="false">IF((E230="y"),H230," ")</f>
        <v> </v>
      </c>
      <c r="AH230" s="17" t="str">
        <f aca="false">IF((E230="z"),H230," ")</f>
        <v> </v>
      </c>
      <c r="AI230" s="17" t="str">
        <f aca="false">IF((E230="fa"),H230," ")</f>
        <v> </v>
      </c>
      <c r="AJ230" s="17" t="str">
        <f aca="false">IF((E230="e"),H230," ")</f>
        <v> </v>
      </c>
    </row>
    <row r="231" customFormat="false" ht="12" hidden="false" customHeight="false" outlineLevel="0" collapsed="false">
      <c r="A231" s="28"/>
      <c r="E231" s="2" t="str">
        <f aca="false">IF((F231&lt;&gt;0),"Enter Letter"," ")</f>
        <v> </v>
      </c>
      <c r="F231" s="30"/>
      <c r="G231" s="6" t="str">
        <f aca="false">IF(F231&lt;&gt;0,F231*G$2/(100+G$2)," ")</f>
        <v> </v>
      </c>
      <c r="H231" s="6" t="str">
        <f aca="false">IF((F231&lt;&gt;0),F231-G231," ")</f>
        <v> </v>
      </c>
      <c r="I231" s="5"/>
      <c r="L231" s="7" t="str">
        <f aca="false">IF(F231&lt;&gt;0,F231-K231," ")</f>
        <v> </v>
      </c>
      <c r="M231" s="8" t="str">
        <f aca="false">IF((F231-K231)&lt;&gt;0,M$1-A231," ")</f>
        <v> </v>
      </c>
      <c r="N231" s="5"/>
      <c r="O231" s="17" t="str">
        <f aca="false">IF((E231="s"),H231," ")</f>
        <v> </v>
      </c>
      <c r="P231" s="17" t="str">
        <f aca="false">IF((E231="c"),H231," ")</f>
        <v> </v>
      </c>
      <c r="Q231" s="17" t="str">
        <f aca="false">IF((E231="o"),H231," ")</f>
        <v> </v>
      </c>
      <c r="R231" s="17" t="str">
        <f aca="false">IF((E231="d"),H231," ")</f>
        <v> </v>
      </c>
      <c r="S231" s="17" t="str">
        <f aca="false">IF((E231="w"),H231," ")</f>
        <v> </v>
      </c>
      <c r="T231" s="17" t="str">
        <f aca="false">IF((E231="r"),H231," ")</f>
        <v> </v>
      </c>
      <c r="U231" s="17" t="str">
        <f aca="false">IF((E231="p"),H231," ")</f>
        <v> </v>
      </c>
      <c r="V231" s="17" t="str">
        <f aca="false">IF((E231="t"),H231," ")</f>
        <v> </v>
      </c>
      <c r="W231" s="17" t="str">
        <f aca="false">IF((E231="q"),H231," ")</f>
        <v> </v>
      </c>
      <c r="X231" s="17" t="str">
        <f aca="false">IF((E231="m"),H231," ")</f>
        <v> </v>
      </c>
      <c r="Y231" s="17" t="str">
        <f aca="false">IF((E231="u"),H231," ")</f>
        <v> </v>
      </c>
      <c r="Z231" s="17" t="str">
        <f aca="false">IF((E231="a"),H231," ")</f>
        <v> </v>
      </c>
      <c r="AA231" s="17" t="str">
        <f aca="false">IF((E231="g"),H231," ")</f>
        <v> </v>
      </c>
      <c r="AB231" s="17" t="str">
        <f aca="false">IF((E231="h"),H231," ")</f>
        <v> </v>
      </c>
      <c r="AC231" s="30" t="str">
        <f aca="false">IF((E231="v"),H231," ")</f>
        <v> </v>
      </c>
      <c r="AD231" s="30" t="str">
        <f aca="false">IF((E231="n"),H231," ")</f>
        <v> </v>
      </c>
      <c r="AE231" s="17" t="str">
        <f aca="false">IF((E231="f"),H231," ")</f>
        <v> </v>
      </c>
      <c r="AF231" s="17" t="str">
        <f aca="false">IF((E231="l"),H231," ")</f>
        <v> </v>
      </c>
      <c r="AG231" s="17" t="str">
        <f aca="false">IF((E231="y"),H231," ")</f>
        <v> </v>
      </c>
      <c r="AH231" s="17" t="str">
        <f aca="false">IF((E231="z"),H231," ")</f>
        <v> </v>
      </c>
      <c r="AI231" s="17" t="str">
        <f aca="false">IF((E231="fa"),H231," ")</f>
        <v> </v>
      </c>
      <c r="AJ231" s="17" t="str">
        <f aca="false">IF((E231="e"),H231," ")</f>
        <v> </v>
      </c>
    </row>
    <row r="232" customFormat="false" ht="12" hidden="false" customHeight="false" outlineLevel="0" collapsed="false">
      <c r="A232" s="28"/>
      <c r="E232" s="2" t="str">
        <f aca="false">IF((F232&lt;&gt;0),"Enter Letter"," ")</f>
        <v> </v>
      </c>
      <c r="F232" s="30"/>
      <c r="G232" s="6" t="str">
        <f aca="false">IF(F232&lt;&gt;0,F232*G$2/(100+G$2)," ")</f>
        <v> </v>
      </c>
      <c r="H232" s="6" t="str">
        <f aca="false">IF((F232&lt;&gt;0),F232-G232," ")</f>
        <v> </v>
      </c>
      <c r="I232" s="5"/>
      <c r="L232" s="7" t="str">
        <f aca="false">IF(F232&lt;&gt;0,F232-K232," ")</f>
        <v> </v>
      </c>
      <c r="M232" s="8" t="str">
        <f aca="false">IF((F232-K232)&lt;&gt;0,M$1-A232," ")</f>
        <v> </v>
      </c>
      <c r="N232" s="5"/>
      <c r="O232" s="17" t="str">
        <f aca="false">IF((E232="s"),H232," ")</f>
        <v> </v>
      </c>
      <c r="P232" s="17" t="str">
        <f aca="false">IF((E232="c"),H232," ")</f>
        <v> </v>
      </c>
      <c r="Q232" s="17" t="str">
        <f aca="false">IF((E232="o"),H232," ")</f>
        <v> </v>
      </c>
      <c r="R232" s="17" t="str">
        <f aca="false">IF((E232="d"),H232," ")</f>
        <v> </v>
      </c>
      <c r="S232" s="17" t="str">
        <f aca="false">IF((E232="w"),H232," ")</f>
        <v> </v>
      </c>
      <c r="T232" s="17" t="str">
        <f aca="false">IF((E232="r"),H232," ")</f>
        <v> </v>
      </c>
      <c r="U232" s="17" t="str">
        <f aca="false">IF((E232="p"),H232," ")</f>
        <v> </v>
      </c>
      <c r="V232" s="17" t="str">
        <f aca="false">IF((E232="t"),H232," ")</f>
        <v> </v>
      </c>
      <c r="W232" s="17" t="str">
        <f aca="false">IF((E232="q"),H232," ")</f>
        <v> </v>
      </c>
      <c r="X232" s="17" t="str">
        <f aca="false">IF((E232="m"),H232," ")</f>
        <v> </v>
      </c>
      <c r="Y232" s="17" t="str">
        <f aca="false">IF((E232="u"),H232," ")</f>
        <v> </v>
      </c>
      <c r="Z232" s="17" t="str">
        <f aca="false">IF((E232="a"),H232," ")</f>
        <v> </v>
      </c>
      <c r="AA232" s="17" t="str">
        <f aca="false">IF((E232="g"),H232," ")</f>
        <v> </v>
      </c>
      <c r="AB232" s="17" t="str">
        <f aca="false">IF((E232="h"),H232," ")</f>
        <v> </v>
      </c>
      <c r="AC232" s="30" t="str">
        <f aca="false">IF((E232="v"),H232," ")</f>
        <v> </v>
      </c>
      <c r="AD232" s="30" t="str">
        <f aca="false">IF((E232="n"),H232," ")</f>
        <v> </v>
      </c>
      <c r="AE232" s="17" t="str">
        <f aca="false">IF((E232="f"),H232," ")</f>
        <v> </v>
      </c>
      <c r="AF232" s="17" t="str">
        <f aca="false">IF((E232="l"),H232," ")</f>
        <v> </v>
      </c>
      <c r="AG232" s="17" t="str">
        <f aca="false">IF((E232="y"),H232," ")</f>
        <v> </v>
      </c>
      <c r="AH232" s="17" t="str">
        <f aca="false">IF((E232="z"),H232," ")</f>
        <v> </v>
      </c>
      <c r="AI232" s="17" t="str">
        <f aca="false">IF((E232="fa"),H232," ")</f>
        <v> </v>
      </c>
      <c r="AJ232" s="17" t="str">
        <f aca="false">IF((E232="e"),H232," ")</f>
        <v> </v>
      </c>
    </row>
    <row r="233" customFormat="false" ht="12" hidden="false" customHeight="false" outlineLevel="0" collapsed="false">
      <c r="A233" s="28"/>
      <c r="E233" s="2" t="str">
        <f aca="false">IF((F233&lt;&gt;0),"Enter Letter"," ")</f>
        <v> </v>
      </c>
      <c r="F233" s="30"/>
      <c r="G233" s="6" t="str">
        <f aca="false">IF(F233&lt;&gt;0,F233*G$2/(100+G$2)," ")</f>
        <v> </v>
      </c>
      <c r="H233" s="6" t="str">
        <f aca="false">IF((F233&lt;&gt;0),F233-G233," ")</f>
        <v> </v>
      </c>
      <c r="I233" s="5"/>
      <c r="L233" s="7" t="str">
        <f aca="false">IF(F233&lt;&gt;0,F233-K233," ")</f>
        <v> </v>
      </c>
      <c r="M233" s="8" t="str">
        <f aca="false">IF((F233-K233)&lt;&gt;0,M$1-A233," ")</f>
        <v> </v>
      </c>
      <c r="N233" s="5"/>
      <c r="O233" s="17" t="str">
        <f aca="false">IF((E233="s"),H233," ")</f>
        <v> </v>
      </c>
      <c r="P233" s="17" t="str">
        <f aca="false">IF((E233="c"),H233," ")</f>
        <v> </v>
      </c>
      <c r="Q233" s="17" t="str">
        <f aca="false">IF((E233="o"),H233," ")</f>
        <v> </v>
      </c>
      <c r="R233" s="17" t="str">
        <f aca="false">IF((E233="d"),H233," ")</f>
        <v> </v>
      </c>
      <c r="S233" s="17" t="str">
        <f aca="false">IF((E233="w"),H233," ")</f>
        <v> </v>
      </c>
      <c r="T233" s="17" t="str">
        <f aca="false">IF((E233="r"),H233," ")</f>
        <v> </v>
      </c>
      <c r="U233" s="17" t="str">
        <f aca="false">IF((E233="p"),H233," ")</f>
        <v> </v>
      </c>
      <c r="V233" s="17" t="str">
        <f aca="false">IF((E233="t"),H233," ")</f>
        <v> </v>
      </c>
      <c r="W233" s="17" t="str">
        <f aca="false">IF((E233="q"),H233," ")</f>
        <v> </v>
      </c>
      <c r="X233" s="17" t="str">
        <f aca="false">IF((E233="m"),H233," ")</f>
        <v> </v>
      </c>
      <c r="Y233" s="17" t="str">
        <f aca="false">IF((E233="u"),H233," ")</f>
        <v> </v>
      </c>
      <c r="Z233" s="17" t="str">
        <f aca="false">IF((E233="a"),H233," ")</f>
        <v> </v>
      </c>
      <c r="AA233" s="17" t="str">
        <f aca="false">IF((E233="g"),H233," ")</f>
        <v> </v>
      </c>
      <c r="AB233" s="17" t="str">
        <f aca="false">IF((E233="h"),H233," ")</f>
        <v> </v>
      </c>
      <c r="AC233" s="30" t="str">
        <f aca="false">IF((E233="v"),H233," ")</f>
        <v> </v>
      </c>
      <c r="AD233" s="30" t="str">
        <f aca="false">IF((E233="n"),H233," ")</f>
        <v> </v>
      </c>
      <c r="AE233" s="17" t="str">
        <f aca="false">IF((E233="f"),H233," ")</f>
        <v> </v>
      </c>
      <c r="AF233" s="17" t="str">
        <f aca="false">IF((E233="l"),H233," ")</f>
        <v> </v>
      </c>
      <c r="AG233" s="17" t="str">
        <f aca="false">IF((E233="y"),H233," ")</f>
        <v> </v>
      </c>
      <c r="AH233" s="17" t="str">
        <f aca="false">IF((E233="z"),H233," ")</f>
        <v> </v>
      </c>
      <c r="AI233" s="17" t="str">
        <f aca="false">IF((E233="fa"),H233," ")</f>
        <v> </v>
      </c>
      <c r="AJ233" s="17" t="str">
        <f aca="false">IF((E233="e"),H233," ")</f>
        <v> </v>
      </c>
    </row>
    <row r="234" customFormat="false" ht="12" hidden="false" customHeight="false" outlineLevel="0" collapsed="false">
      <c r="A234" s="28"/>
      <c r="E234" s="2" t="str">
        <f aca="false">IF((F234&lt;&gt;0),"Enter Letter"," ")</f>
        <v> </v>
      </c>
      <c r="F234" s="30"/>
      <c r="G234" s="6" t="str">
        <f aca="false">IF(F234&lt;&gt;0,F234*G$2/(100+G$2)," ")</f>
        <v> </v>
      </c>
      <c r="H234" s="6" t="str">
        <f aca="false">IF((F234&lt;&gt;0),F234-G234," ")</f>
        <v> </v>
      </c>
      <c r="I234" s="5"/>
      <c r="L234" s="7" t="str">
        <f aca="false">IF(F234&lt;&gt;0,F234-K234," ")</f>
        <v> </v>
      </c>
      <c r="M234" s="8" t="str">
        <f aca="false">IF((F234-K234)&lt;&gt;0,M$1-A234," ")</f>
        <v> </v>
      </c>
      <c r="N234" s="5"/>
      <c r="O234" s="17" t="str">
        <f aca="false">IF((E234="s"),H234," ")</f>
        <v> </v>
      </c>
      <c r="P234" s="17" t="str">
        <f aca="false">IF((E234="c"),H234," ")</f>
        <v> </v>
      </c>
      <c r="Q234" s="17" t="str">
        <f aca="false">IF((E234="o"),H234," ")</f>
        <v> </v>
      </c>
      <c r="R234" s="17" t="str">
        <f aca="false">IF((E234="d"),H234," ")</f>
        <v> </v>
      </c>
      <c r="S234" s="17" t="str">
        <f aca="false">IF((E234="w"),H234," ")</f>
        <v> </v>
      </c>
      <c r="T234" s="17" t="str">
        <f aca="false">IF((E234="r"),H234," ")</f>
        <v> </v>
      </c>
      <c r="U234" s="17" t="str">
        <f aca="false">IF((E234="p"),H234," ")</f>
        <v> </v>
      </c>
      <c r="V234" s="17" t="str">
        <f aca="false">IF((E234="t"),H234," ")</f>
        <v> </v>
      </c>
      <c r="W234" s="17" t="str">
        <f aca="false">IF((E234="q"),H234," ")</f>
        <v> </v>
      </c>
      <c r="X234" s="17" t="str">
        <f aca="false">IF((E234="m"),H234," ")</f>
        <v> </v>
      </c>
      <c r="Y234" s="17" t="str">
        <f aca="false">IF((E234="u"),H234," ")</f>
        <v> </v>
      </c>
      <c r="Z234" s="17" t="str">
        <f aca="false">IF((E234="a"),H234," ")</f>
        <v> </v>
      </c>
      <c r="AA234" s="17" t="str">
        <f aca="false">IF((E234="g"),H234," ")</f>
        <v> </v>
      </c>
      <c r="AB234" s="17" t="str">
        <f aca="false">IF((E234="h"),H234," ")</f>
        <v> </v>
      </c>
      <c r="AC234" s="30" t="str">
        <f aca="false">IF((E234="v"),H234," ")</f>
        <v> </v>
      </c>
      <c r="AD234" s="30" t="str">
        <f aca="false">IF((E234="n"),H234," ")</f>
        <v> </v>
      </c>
      <c r="AE234" s="17" t="str">
        <f aca="false">IF((E234="f"),H234," ")</f>
        <v> </v>
      </c>
      <c r="AF234" s="17" t="str">
        <f aca="false">IF((E234="l"),H234," ")</f>
        <v> </v>
      </c>
      <c r="AG234" s="17" t="str">
        <f aca="false">IF((E234="y"),H234," ")</f>
        <v> </v>
      </c>
      <c r="AH234" s="17" t="str">
        <f aca="false">IF((E234="z"),H234," ")</f>
        <v> </v>
      </c>
      <c r="AI234" s="17" t="str">
        <f aca="false">IF((E234="fa"),H234," ")</f>
        <v> </v>
      </c>
      <c r="AJ234" s="17" t="str">
        <f aca="false">IF((E234="e"),H234," ")</f>
        <v> </v>
      </c>
    </row>
    <row r="235" customFormat="false" ht="12" hidden="false" customHeight="false" outlineLevel="0" collapsed="false">
      <c r="A235" s="28"/>
      <c r="E235" s="2" t="str">
        <f aca="false">IF((F235&lt;&gt;0),"Enter Letter"," ")</f>
        <v> </v>
      </c>
      <c r="F235" s="30"/>
      <c r="G235" s="6" t="str">
        <f aca="false">IF(F235&lt;&gt;0,F235*G$2/(100+G$2)," ")</f>
        <v> </v>
      </c>
      <c r="H235" s="6" t="str">
        <f aca="false">IF((F235&lt;&gt;0),F235-G235," ")</f>
        <v> </v>
      </c>
      <c r="I235" s="5"/>
      <c r="L235" s="7" t="str">
        <f aca="false">IF(F235&lt;&gt;0,F235-K235," ")</f>
        <v> </v>
      </c>
      <c r="M235" s="8" t="str">
        <f aca="false">IF((F235-K235)&lt;&gt;0,M$1-A235," ")</f>
        <v> </v>
      </c>
      <c r="N235" s="5"/>
      <c r="O235" s="17" t="str">
        <f aca="false">IF((E235="s"),H235," ")</f>
        <v> </v>
      </c>
      <c r="P235" s="17" t="str">
        <f aca="false">IF((E235="c"),H235," ")</f>
        <v> </v>
      </c>
      <c r="Q235" s="17" t="str">
        <f aca="false">IF((E235="o"),H235," ")</f>
        <v> </v>
      </c>
      <c r="R235" s="17" t="str">
        <f aca="false">IF((E235="d"),H235," ")</f>
        <v> </v>
      </c>
      <c r="S235" s="17" t="str">
        <f aca="false">IF((E235="w"),H235," ")</f>
        <v> </v>
      </c>
      <c r="T235" s="17" t="str">
        <f aca="false">IF((E235="r"),H235," ")</f>
        <v> </v>
      </c>
      <c r="U235" s="17" t="str">
        <f aca="false">IF((E235="p"),H235," ")</f>
        <v> </v>
      </c>
      <c r="V235" s="17" t="str">
        <f aca="false">IF((E235="t"),H235," ")</f>
        <v> </v>
      </c>
      <c r="W235" s="17" t="str">
        <f aca="false">IF((E235="q"),H235," ")</f>
        <v> </v>
      </c>
      <c r="X235" s="17" t="str">
        <f aca="false">IF((E235="m"),H235," ")</f>
        <v> </v>
      </c>
      <c r="Y235" s="17" t="str">
        <f aca="false">IF((E235="u"),H235," ")</f>
        <v> </v>
      </c>
      <c r="Z235" s="17" t="str">
        <f aca="false">IF((E235="a"),H235," ")</f>
        <v> </v>
      </c>
      <c r="AA235" s="17" t="str">
        <f aca="false">IF((E235="g"),H235," ")</f>
        <v> </v>
      </c>
      <c r="AB235" s="17" t="str">
        <f aca="false">IF((E235="h"),H235," ")</f>
        <v> </v>
      </c>
      <c r="AC235" s="30" t="str">
        <f aca="false">IF((E235="v"),H235," ")</f>
        <v> </v>
      </c>
      <c r="AD235" s="30" t="str">
        <f aca="false">IF((E235="n"),H235," ")</f>
        <v> </v>
      </c>
      <c r="AE235" s="17" t="str">
        <f aca="false">IF((E235="f"),H235," ")</f>
        <v> </v>
      </c>
      <c r="AF235" s="17" t="str">
        <f aca="false">IF((E235="l"),H235," ")</f>
        <v> </v>
      </c>
      <c r="AG235" s="17" t="str">
        <f aca="false">IF((E235="y"),H235," ")</f>
        <v> </v>
      </c>
      <c r="AH235" s="17" t="str">
        <f aca="false">IF((E235="z"),H235," ")</f>
        <v> </v>
      </c>
      <c r="AI235" s="17" t="str">
        <f aca="false">IF((E235="fa"),H235," ")</f>
        <v> </v>
      </c>
      <c r="AJ235" s="17" t="str">
        <f aca="false">IF((E235="e"),H235," ")</f>
        <v> </v>
      </c>
    </row>
    <row r="236" customFormat="false" ht="12" hidden="false" customHeight="false" outlineLevel="0" collapsed="false">
      <c r="A236" s="28"/>
      <c r="E236" s="2" t="str">
        <f aca="false">IF((F236&lt;&gt;0),"Enter Letter"," ")</f>
        <v> </v>
      </c>
      <c r="F236" s="30"/>
      <c r="G236" s="6" t="str">
        <f aca="false">IF(F236&lt;&gt;0,F236*G$2/(100+G$2)," ")</f>
        <v> </v>
      </c>
      <c r="H236" s="6" t="str">
        <f aca="false">IF((F236&lt;&gt;0),F236-G236," ")</f>
        <v> </v>
      </c>
      <c r="I236" s="5"/>
      <c r="L236" s="7" t="str">
        <f aca="false">IF(F236&lt;&gt;0,F236-K236," ")</f>
        <v> </v>
      </c>
      <c r="M236" s="8" t="str">
        <f aca="false">IF((F236-K236)&lt;&gt;0,M$1-A236," ")</f>
        <v> </v>
      </c>
      <c r="N236" s="5"/>
      <c r="O236" s="17" t="str">
        <f aca="false">IF((E236="s"),H236," ")</f>
        <v> </v>
      </c>
      <c r="P236" s="17" t="str">
        <f aca="false">IF((E236="c"),H236," ")</f>
        <v> </v>
      </c>
      <c r="Q236" s="17" t="str">
        <f aca="false">IF((E236="o"),H236," ")</f>
        <v> </v>
      </c>
      <c r="R236" s="17" t="str">
        <f aca="false">IF((E236="d"),H236," ")</f>
        <v> </v>
      </c>
      <c r="S236" s="17" t="str">
        <f aca="false">IF((E236="w"),H236," ")</f>
        <v> </v>
      </c>
      <c r="T236" s="17" t="str">
        <f aca="false">IF((E236="r"),H236," ")</f>
        <v> </v>
      </c>
      <c r="U236" s="17" t="str">
        <f aca="false">IF((E236="p"),H236," ")</f>
        <v> </v>
      </c>
      <c r="V236" s="17" t="str">
        <f aca="false">IF((E236="t"),H236," ")</f>
        <v> </v>
      </c>
      <c r="W236" s="17" t="str">
        <f aca="false">IF((E236="q"),H236," ")</f>
        <v> </v>
      </c>
      <c r="X236" s="17" t="str">
        <f aca="false">IF((E236="m"),H236," ")</f>
        <v> </v>
      </c>
      <c r="Y236" s="17" t="str">
        <f aca="false">IF((E236="u"),H236," ")</f>
        <v> </v>
      </c>
      <c r="Z236" s="17" t="str">
        <f aca="false">IF((E236="a"),H236," ")</f>
        <v> </v>
      </c>
      <c r="AA236" s="17" t="str">
        <f aca="false">IF((E236="g"),H236," ")</f>
        <v> </v>
      </c>
      <c r="AB236" s="17" t="str">
        <f aca="false">IF((E236="h"),H236," ")</f>
        <v> </v>
      </c>
      <c r="AC236" s="30" t="str">
        <f aca="false">IF((E236="v"),H236," ")</f>
        <v> </v>
      </c>
      <c r="AD236" s="30" t="str">
        <f aca="false">IF((E236="n"),H236," ")</f>
        <v> </v>
      </c>
      <c r="AE236" s="17" t="str">
        <f aca="false">IF((E236="f"),H236," ")</f>
        <v> </v>
      </c>
      <c r="AF236" s="17" t="str">
        <f aca="false">IF((E236="l"),H236," ")</f>
        <v> </v>
      </c>
      <c r="AG236" s="17" t="str">
        <f aca="false">IF((E236="y"),H236," ")</f>
        <v> </v>
      </c>
      <c r="AH236" s="17" t="str">
        <f aca="false">IF((E236="z"),H236," ")</f>
        <v> </v>
      </c>
      <c r="AI236" s="17" t="str">
        <f aca="false">IF((E236="fa"),H236," ")</f>
        <v> </v>
      </c>
      <c r="AJ236" s="17" t="str">
        <f aca="false">IF((E236="e"),H236," ")</f>
        <v> </v>
      </c>
    </row>
    <row r="237" customFormat="false" ht="12" hidden="false" customHeight="false" outlineLevel="0" collapsed="false">
      <c r="A237" s="28"/>
      <c r="E237" s="2" t="str">
        <f aca="false">IF((F237&lt;&gt;0),"Enter Letter"," ")</f>
        <v> </v>
      </c>
      <c r="F237" s="30"/>
      <c r="G237" s="6" t="str">
        <f aca="false">IF(F237&lt;&gt;0,F237*G$2/(100+G$2)," ")</f>
        <v> </v>
      </c>
      <c r="H237" s="6" t="str">
        <f aca="false">IF((F237&lt;&gt;0),F237-G237," ")</f>
        <v> </v>
      </c>
      <c r="I237" s="5"/>
      <c r="L237" s="7" t="str">
        <f aca="false">IF(F237&lt;&gt;0,F237-K237," ")</f>
        <v> </v>
      </c>
      <c r="M237" s="8" t="str">
        <f aca="false">IF((F237-K237)&lt;&gt;0,M$1-A237," ")</f>
        <v> </v>
      </c>
      <c r="N237" s="5"/>
      <c r="O237" s="17" t="str">
        <f aca="false">IF((E237="s"),H237," ")</f>
        <v> </v>
      </c>
      <c r="P237" s="17" t="str">
        <f aca="false">IF((E237="c"),H237," ")</f>
        <v> </v>
      </c>
      <c r="Q237" s="17" t="str">
        <f aca="false">IF((E237="o"),H237," ")</f>
        <v> </v>
      </c>
      <c r="R237" s="17" t="str">
        <f aca="false">IF((E237="d"),H237," ")</f>
        <v> </v>
      </c>
      <c r="S237" s="17" t="str">
        <f aca="false">IF((E237="w"),H237," ")</f>
        <v> </v>
      </c>
      <c r="T237" s="17" t="str">
        <f aca="false">IF((E237="r"),H237," ")</f>
        <v> </v>
      </c>
      <c r="U237" s="17" t="str">
        <f aca="false">IF((E237="p"),H237," ")</f>
        <v> </v>
      </c>
      <c r="V237" s="17" t="str">
        <f aca="false">IF((E237="t"),H237," ")</f>
        <v> </v>
      </c>
      <c r="W237" s="17" t="str">
        <f aca="false">IF((E237="q"),H237," ")</f>
        <v> </v>
      </c>
      <c r="X237" s="17" t="str">
        <f aca="false">IF((E237="m"),H237," ")</f>
        <v> </v>
      </c>
      <c r="Y237" s="17" t="str">
        <f aca="false">IF((E237="u"),H237," ")</f>
        <v> </v>
      </c>
      <c r="Z237" s="17" t="str">
        <f aca="false">IF((E237="a"),H237," ")</f>
        <v> </v>
      </c>
      <c r="AA237" s="17" t="str">
        <f aca="false">IF((E237="g"),H237," ")</f>
        <v> </v>
      </c>
      <c r="AB237" s="17" t="str">
        <f aca="false">IF((E237="h"),H237," ")</f>
        <v> </v>
      </c>
      <c r="AC237" s="30" t="str">
        <f aca="false">IF((E237="v"),H237," ")</f>
        <v> </v>
      </c>
      <c r="AD237" s="30" t="str">
        <f aca="false">IF((E237="n"),H237," ")</f>
        <v> </v>
      </c>
      <c r="AE237" s="17" t="str">
        <f aca="false">IF((E237="f"),H237," ")</f>
        <v> </v>
      </c>
      <c r="AF237" s="17" t="str">
        <f aca="false">IF((E237="l"),H237," ")</f>
        <v> </v>
      </c>
      <c r="AG237" s="17" t="str">
        <f aca="false">IF((E237="y"),H237," ")</f>
        <v> </v>
      </c>
      <c r="AH237" s="17" t="str">
        <f aca="false">IF((E237="z"),H237," ")</f>
        <v> </v>
      </c>
      <c r="AI237" s="17" t="str">
        <f aca="false">IF((E237="fa"),H237," ")</f>
        <v> </v>
      </c>
      <c r="AJ237" s="17" t="str">
        <f aca="false">IF((E237="e"),H237," ")</f>
        <v> </v>
      </c>
    </row>
    <row r="238" customFormat="false" ht="12" hidden="false" customHeight="false" outlineLevel="0" collapsed="false">
      <c r="A238" s="28"/>
      <c r="E238" s="2" t="str">
        <f aca="false">IF((F238&lt;&gt;0),"Enter Letter"," ")</f>
        <v> </v>
      </c>
      <c r="F238" s="30"/>
      <c r="G238" s="6" t="str">
        <f aca="false">IF(F238&lt;&gt;0,F238*G$2/(100+G$2)," ")</f>
        <v> </v>
      </c>
      <c r="H238" s="6" t="str">
        <f aca="false">IF((F238&lt;&gt;0),F238-G238," ")</f>
        <v> </v>
      </c>
      <c r="I238" s="5"/>
      <c r="L238" s="7" t="str">
        <f aca="false">IF(F238&lt;&gt;0,F238-K238," ")</f>
        <v> </v>
      </c>
      <c r="M238" s="8" t="str">
        <f aca="false">IF((F238-K238)&lt;&gt;0,M$1-A238," ")</f>
        <v> </v>
      </c>
      <c r="N238" s="5"/>
      <c r="O238" s="17" t="str">
        <f aca="false">IF((E238="s"),H238," ")</f>
        <v> </v>
      </c>
      <c r="P238" s="17" t="str">
        <f aca="false">IF((E238="c"),H238," ")</f>
        <v> </v>
      </c>
      <c r="Q238" s="17" t="str">
        <f aca="false">IF((E238="o"),H238," ")</f>
        <v> </v>
      </c>
      <c r="R238" s="17" t="str">
        <f aca="false">IF((E238="d"),H238," ")</f>
        <v> </v>
      </c>
      <c r="S238" s="17" t="str">
        <f aca="false">IF((E238="w"),H238," ")</f>
        <v> </v>
      </c>
      <c r="T238" s="17" t="str">
        <f aca="false">IF((E238="r"),H238," ")</f>
        <v> </v>
      </c>
      <c r="U238" s="17" t="str">
        <f aca="false">IF((E238="p"),H238," ")</f>
        <v> </v>
      </c>
      <c r="V238" s="17" t="str">
        <f aca="false">IF((E238="t"),H238," ")</f>
        <v> </v>
      </c>
      <c r="W238" s="17" t="str">
        <f aca="false">IF((E238="q"),H238," ")</f>
        <v> </v>
      </c>
      <c r="X238" s="17" t="str">
        <f aca="false">IF((E238="m"),H238," ")</f>
        <v> </v>
      </c>
      <c r="Y238" s="17" t="str">
        <f aca="false">IF((E238="u"),H238," ")</f>
        <v> </v>
      </c>
      <c r="Z238" s="17" t="str">
        <f aca="false">IF((E238="a"),H238," ")</f>
        <v> </v>
      </c>
      <c r="AA238" s="17" t="str">
        <f aca="false">IF((E238="g"),H238," ")</f>
        <v> </v>
      </c>
      <c r="AB238" s="17" t="str">
        <f aca="false">IF((E238="h"),H238," ")</f>
        <v> </v>
      </c>
      <c r="AC238" s="30" t="str">
        <f aca="false">IF((E238="v"),H238," ")</f>
        <v> </v>
      </c>
      <c r="AD238" s="30" t="str">
        <f aca="false">IF((E238="n"),H238," ")</f>
        <v> </v>
      </c>
      <c r="AE238" s="17" t="str">
        <f aca="false">IF((E238="f"),H238," ")</f>
        <v> </v>
      </c>
      <c r="AF238" s="17" t="str">
        <f aca="false">IF((E238="l"),H238," ")</f>
        <v> </v>
      </c>
      <c r="AG238" s="17" t="str">
        <f aca="false">IF((E238="y"),H238," ")</f>
        <v> </v>
      </c>
      <c r="AH238" s="17" t="str">
        <f aca="false">IF((E238="z"),H238," ")</f>
        <v> </v>
      </c>
      <c r="AI238" s="17" t="str">
        <f aca="false">IF((E238="fa"),H238," ")</f>
        <v> </v>
      </c>
      <c r="AJ238" s="17" t="str">
        <f aca="false">IF((E238="e"),H238," ")</f>
        <v> </v>
      </c>
    </row>
    <row r="239" customFormat="false" ht="12" hidden="false" customHeight="false" outlineLevel="0" collapsed="false">
      <c r="A239" s="28"/>
      <c r="E239" s="2" t="str">
        <f aca="false">IF((F239&lt;&gt;0),"Enter Letter"," ")</f>
        <v> </v>
      </c>
      <c r="F239" s="30"/>
      <c r="G239" s="6" t="str">
        <f aca="false">IF(F239&lt;&gt;0,F239*G$2/(100+G$2)," ")</f>
        <v> </v>
      </c>
      <c r="H239" s="6" t="str">
        <f aca="false">IF((F239&lt;&gt;0),F239-G239," ")</f>
        <v> </v>
      </c>
      <c r="I239" s="5"/>
      <c r="L239" s="7" t="str">
        <f aca="false">IF(F239&lt;&gt;0,F239-K239," ")</f>
        <v> </v>
      </c>
      <c r="M239" s="8" t="str">
        <f aca="false">IF((F239-K239)&lt;&gt;0,M$1-A239," ")</f>
        <v> </v>
      </c>
      <c r="N239" s="5"/>
      <c r="O239" s="17" t="str">
        <f aca="false">IF((E239="s"),H239," ")</f>
        <v> </v>
      </c>
      <c r="P239" s="17" t="str">
        <f aca="false">IF((E239="c"),H239," ")</f>
        <v> </v>
      </c>
      <c r="Q239" s="17" t="str">
        <f aca="false">IF((E239="o"),H239," ")</f>
        <v> </v>
      </c>
      <c r="R239" s="17" t="str">
        <f aca="false">IF((E239="d"),H239," ")</f>
        <v> </v>
      </c>
      <c r="S239" s="17" t="str">
        <f aca="false">IF((E239="w"),H239," ")</f>
        <v> </v>
      </c>
      <c r="T239" s="17" t="str">
        <f aca="false">IF((E239="r"),H239," ")</f>
        <v> </v>
      </c>
      <c r="U239" s="17" t="str">
        <f aca="false">IF((E239="p"),H239," ")</f>
        <v> </v>
      </c>
      <c r="V239" s="17" t="str">
        <f aca="false">IF((E239="t"),H239," ")</f>
        <v> </v>
      </c>
      <c r="W239" s="17" t="str">
        <f aca="false">IF((E239="q"),H239," ")</f>
        <v> </v>
      </c>
      <c r="X239" s="17" t="str">
        <f aca="false">IF((E239="m"),H239," ")</f>
        <v> </v>
      </c>
      <c r="Y239" s="17" t="str">
        <f aca="false">IF((E239="u"),H239," ")</f>
        <v> </v>
      </c>
      <c r="Z239" s="17" t="str">
        <f aca="false">IF((E239="a"),H239," ")</f>
        <v> </v>
      </c>
      <c r="AA239" s="17" t="str">
        <f aca="false">IF((E239="g"),H239," ")</f>
        <v> </v>
      </c>
      <c r="AB239" s="17" t="str">
        <f aca="false">IF((E239="h"),H239," ")</f>
        <v> </v>
      </c>
      <c r="AC239" s="30" t="str">
        <f aca="false">IF((E239="v"),H239," ")</f>
        <v> </v>
      </c>
      <c r="AD239" s="30" t="str">
        <f aca="false">IF((E239="n"),H239," ")</f>
        <v> </v>
      </c>
      <c r="AE239" s="17" t="str">
        <f aca="false">IF((E239="f"),H239," ")</f>
        <v> </v>
      </c>
      <c r="AF239" s="17" t="str">
        <f aca="false">IF((E239="l"),H239," ")</f>
        <v> </v>
      </c>
      <c r="AG239" s="17" t="str">
        <f aca="false">IF((E239="y"),H239," ")</f>
        <v> </v>
      </c>
      <c r="AH239" s="17" t="str">
        <f aca="false">IF((E239="z"),H239," ")</f>
        <v> </v>
      </c>
      <c r="AI239" s="17" t="str">
        <f aca="false">IF((E239="fa"),H239," ")</f>
        <v> </v>
      </c>
      <c r="AJ239" s="17" t="str">
        <f aca="false">IF((E239="e"),H239," ")</f>
        <v> </v>
      </c>
    </row>
    <row r="240" customFormat="false" ht="12" hidden="false" customHeight="false" outlineLevel="0" collapsed="false">
      <c r="A240" s="28"/>
      <c r="E240" s="2" t="str">
        <f aca="false">IF((F240&lt;&gt;0),"Enter Letter"," ")</f>
        <v> </v>
      </c>
      <c r="F240" s="30"/>
      <c r="G240" s="6" t="str">
        <f aca="false">IF(F240&lt;&gt;0,F240*G$2/(100+G$2)," ")</f>
        <v> </v>
      </c>
      <c r="H240" s="6" t="str">
        <f aca="false">IF((F240&lt;&gt;0),F240-G240," ")</f>
        <v> </v>
      </c>
      <c r="I240" s="5"/>
      <c r="L240" s="7" t="str">
        <f aca="false">IF(F240&lt;&gt;0,F240-K240," ")</f>
        <v> </v>
      </c>
      <c r="M240" s="8" t="str">
        <f aca="false">IF((F240-K240)&lt;&gt;0,M$1-A240," ")</f>
        <v> </v>
      </c>
      <c r="N240" s="5"/>
      <c r="O240" s="17" t="str">
        <f aca="false">IF((E240="s"),H240," ")</f>
        <v> </v>
      </c>
      <c r="P240" s="17" t="str">
        <f aca="false">IF((E240="c"),H240," ")</f>
        <v> </v>
      </c>
      <c r="Q240" s="17" t="str">
        <f aca="false">IF((E240="o"),H240," ")</f>
        <v> </v>
      </c>
      <c r="R240" s="17" t="str">
        <f aca="false">IF((E240="d"),H240," ")</f>
        <v> </v>
      </c>
      <c r="S240" s="17" t="str">
        <f aca="false">IF((E240="w"),H240," ")</f>
        <v> </v>
      </c>
      <c r="T240" s="17" t="str">
        <f aca="false">IF((E240="r"),H240," ")</f>
        <v> </v>
      </c>
      <c r="U240" s="17" t="str">
        <f aca="false">IF((E240="p"),H240," ")</f>
        <v> </v>
      </c>
      <c r="V240" s="17" t="str">
        <f aca="false">IF((E240="t"),H240," ")</f>
        <v> </v>
      </c>
      <c r="W240" s="17" t="str">
        <f aca="false">IF((E240="q"),H240," ")</f>
        <v> </v>
      </c>
      <c r="X240" s="17" t="str">
        <f aca="false">IF((E240="m"),H240," ")</f>
        <v> </v>
      </c>
      <c r="Y240" s="17" t="str">
        <f aca="false">IF((E240="u"),H240," ")</f>
        <v> </v>
      </c>
      <c r="Z240" s="17" t="str">
        <f aca="false">IF((E240="a"),H240," ")</f>
        <v> </v>
      </c>
      <c r="AA240" s="17" t="str">
        <f aca="false">IF((E240="g"),H240," ")</f>
        <v> </v>
      </c>
      <c r="AB240" s="17" t="str">
        <f aca="false">IF((E240="h"),H240," ")</f>
        <v> </v>
      </c>
      <c r="AC240" s="30" t="str">
        <f aca="false">IF((E240="v"),H240," ")</f>
        <v> </v>
      </c>
      <c r="AD240" s="30" t="str">
        <f aca="false">IF((E240="n"),H240," ")</f>
        <v> </v>
      </c>
      <c r="AE240" s="17" t="str">
        <f aca="false">IF((E240="f"),H240," ")</f>
        <v> </v>
      </c>
      <c r="AF240" s="17" t="str">
        <f aca="false">IF((E240="l"),H240," ")</f>
        <v> </v>
      </c>
      <c r="AG240" s="17" t="str">
        <f aca="false">IF((E240="y"),H240," ")</f>
        <v> </v>
      </c>
      <c r="AH240" s="17" t="str">
        <f aca="false">IF((E240="z"),H240," ")</f>
        <v> </v>
      </c>
      <c r="AI240" s="17" t="str">
        <f aca="false">IF((E240="fa"),H240," ")</f>
        <v> </v>
      </c>
      <c r="AJ240" s="17" t="str">
        <f aca="false">IF((E240="e"),H240," ")</f>
        <v> </v>
      </c>
    </row>
    <row r="241" customFormat="false" ht="12" hidden="false" customHeight="false" outlineLevel="0" collapsed="false">
      <c r="A241" s="28"/>
      <c r="E241" s="2" t="str">
        <f aca="false">IF((F241&lt;&gt;0),"Enter Letter"," ")</f>
        <v> </v>
      </c>
      <c r="F241" s="30"/>
      <c r="G241" s="6" t="str">
        <f aca="false">IF(F241&lt;&gt;0,F241*G$2/(100+G$2)," ")</f>
        <v> </v>
      </c>
      <c r="H241" s="6" t="str">
        <f aca="false">IF((F241&lt;&gt;0),F241-G241," ")</f>
        <v> </v>
      </c>
      <c r="I241" s="5"/>
      <c r="L241" s="7" t="str">
        <f aca="false">IF(F241&lt;&gt;0,F241-K241," ")</f>
        <v> </v>
      </c>
      <c r="M241" s="8" t="str">
        <f aca="false">IF((F241-K241)&lt;&gt;0,M$1-A241," ")</f>
        <v> </v>
      </c>
      <c r="N241" s="5"/>
      <c r="O241" s="17" t="str">
        <f aca="false">IF((E241="s"),H241," ")</f>
        <v> </v>
      </c>
      <c r="P241" s="17" t="str">
        <f aca="false">IF((E241="c"),H241," ")</f>
        <v> </v>
      </c>
      <c r="Q241" s="17" t="str">
        <f aca="false">IF((E241="o"),H241," ")</f>
        <v> </v>
      </c>
      <c r="R241" s="17" t="str">
        <f aca="false">IF((E241="d"),H241," ")</f>
        <v> </v>
      </c>
      <c r="S241" s="17" t="str">
        <f aca="false">IF((E241="w"),H241," ")</f>
        <v> </v>
      </c>
      <c r="T241" s="17" t="str">
        <f aca="false">IF((E241="r"),H241," ")</f>
        <v> </v>
      </c>
      <c r="U241" s="17" t="str">
        <f aca="false">IF((E241="p"),H241," ")</f>
        <v> </v>
      </c>
      <c r="V241" s="17" t="str">
        <f aca="false">IF((E241="t"),H241," ")</f>
        <v> </v>
      </c>
      <c r="W241" s="17" t="str">
        <f aca="false">IF((E241="q"),H241," ")</f>
        <v> </v>
      </c>
      <c r="X241" s="17" t="str">
        <f aca="false">IF((E241="m"),H241," ")</f>
        <v> </v>
      </c>
      <c r="Y241" s="17" t="str">
        <f aca="false">IF((E241="u"),H241," ")</f>
        <v> </v>
      </c>
      <c r="Z241" s="17" t="str">
        <f aca="false">IF((E241="a"),H241," ")</f>
        <v> </v>
      </c>
      <c r="AA241" s="17" t="str">
        <f aca="false">IF((E241="g"),H241," ")</f>
        <v> </v>
      </c>
      <c r="AB241" s="17" t="str">
        <f aca="false">IF((E241="h"),H241," ")</f>
        <v> </v>
      </c>
      <c r="AC241" s="30" t="str">
        <f aca="false">IF((E241="v"),H241," ")</f>
        <v> </v>
      </c>
      <c r="AD241" s="30" t="str">
        <f aca="false">IF((E241="n"),H241," ")</f>
        <v> </v>
      </c>
      <c r="AE241" s="17" t="str">
        <f aca="false">IF((E241="f"),H241," ")</f>
        <v> </v>
      </c>
      <c r="AF241" s="17" t="str">
        <f aca="false">IF((E241="l"),H241," ")</f>
        <v> </v>
      </c>
      <c r="AG241" s="17" t="str">
        <f aca="false">IF((E241="y"),H241," ")</f>
        <v> </v>
      </c>
      <c r="AH241" s="17" t="str">
        <f aca="false">IF((E241="z"),H241," ")</f>
        <v> </v>
      </c>
      <c r="AI241" s="17" t="str">
        <f aca="false">IF((E241="fa"),H241," ")</f>
        <v> </v>
      </c>
      <c r="AJ241" s="17" t="str">
        <f aca="false">IF((E241="e"),H241," ")</f>
        <v> </v>
      </c>
    </row>
    <row r="242" customFormat="false" ht="12" hidden="false" customHeight="false" outlineLevel="0" collapsed="false">
      <c r="A242" s="28"/>
      <c r="E242" s="2" t="str">
        <f aca="false">IF((F242&lt;&gt;0),"Enter Letter"," ")</f>
        <v> </v>
      </c>
      <c r="F242" s="30"/>
      <c r="G242" s="6" t="str">
        <f aca="false">IF(F242&lt;&gt;0,F242*G$2/(100+G$2)," ")</f>
        <v> </v>
      </c>
      <c r="H242" s="6" t="str">
        <f aca="false">IF((F242&lt;&gt;0),F242-G242," ")</f>
        <v> </v>
      </c>
      <c r="I242" s="5"/>
      <c r="L242" s="7" t="str">
        <f aca="false">IF(F242&lt;&gt;0,F242-K242," ")</f>
        <v> </v>
      </c>
      <c r="M242" s="8" t="str">
        <f aca="false">IF((F242-K242)&lt;&gt;0,M$1-A242," ")</f>
        <v> </v>
      </c>
      <c r="N242" s="5"/>
      <c r="O242" s="17" t="str">
        <f aca="false">IF((E242="s"),H242," ")</f>
        <v> </v>
      </c>
      <c r="P242" s="17" t="str">
        <f aca="false">IF((E242="c"),H242," ")</f>
        <v> </v>
      </c>
      <c r="Q242" s="17" t="str">
        <f aca="false">IF((E242="o"),H242," ")</f>
        <v> </v>
      </c>
      <c r="R242" s="17" t="str">
        <f aca="false">IF((E242="d"),H242," ")</f>
        <v> </v>
      </c>
      <c r="S242" s="17" t="str">
        <f aca="false">IF((E242="w"),H242," ")</f>
        <v> </v>
      </c>
      <c r="T242" s="17" t="str">
        <f aca="false">IF((E242="r"),H242," ")</f>
        <v> </v>
      </c>
      <c r="U242" s="17" t="str">
        <f aca="false">IF((E242="p"),H242," ")</f>
        <v> </v>
      </c>
      <c r="V242" s="17" t="str">
        <f aca="false">IF((E242="t"),H242," ")</f>
        <v> </v>
      </c>
      <c r="W242" s="17" t="str">
        <f aca="false">IF((E242="q"),H242," ")</f>
        <v> </v>
      </c>
      <c r="X242" s="17" t="str">
        <f aca="false">IF((E242="m"),H242," ")</f>
        <v> </v>
      </c>
      <c r="Y242" s="17" t="str">
        <f aca="false">IF((E242="u"),H242," ")</f>
        <v> </v>
      </c>
      <c r="Z242" s="17" t="str">
        <f aca="false">IF((E242="a"),H242," ")</f>
        <v> </v>
      </c>
      <c r="AA242" s="17" t="str">
        <f aca="false">IF((E242="g"),H242," ")</f>
        <v> </v>
      </c>
      <c r="AB242" s="17" t="str">
        <f aca="false">IF((E242="h"),H242," ")</f>
        <v> </v>
      </c>
      <c r="AC242" s="30" t="str">
        <f aca="false">IF((E242="v"),H242," ")</f>
        <v> </v>
      </c>
      <c r="AD242" s="30" t="str">
        <f aca="false">IF((E242="n"),H242," ")</f>
        <v> </v>
      </c>
      <c r="AE242" s="17" t="str">
        <f aca="false">IF((E242="f"),H242," ")</f>
        <v> </v>
      </c>
      <c r="AF242" s="17" t="str">
        <f aca="false">IF((E242="l"),H242," ")</f>
        <v> </v>
      </c>
      <c r="AG242" s="17" t="str">
        <f aca="false">IF((E242="y"),H242," ")</f>
        <v> </v>
      </c>
      <c r="AH242" s="17" t="str">
        <f aca="false">IF((E242="z"),H242," ")</f>
        <v> </v>
      </c>
      <c r="AI242" s="17" t="str">
        <f aca="false">IF((E242="fa"),H242," ")</f>
        <v> </v>
      </c>
      <c r="AJ242" s="17" t="str">
        <f aca="false">IF((E242="e"),H242," ")</f>
        <v> </v>
      </c>
    </row>
    <row r="243" customFormat="false" ht="12" hidden="false" customHeight="false" outlineLevel="0" collapsed="false">
      <c r="A243" s="28"/>
      <c r="E243" s="2" t="str">
        <f aca="false">IF((F243&lt;&gt;0),"Enter Letter"," ")</f>
        <v> </v>
      </c>
      <c r="F243" s="30"/>
      <c r="G243" s="6" t="str">
        <f aca="false">IF(F243&lt;&gt;0,F243*G$2/(100+G$2)," ")</f>
        <v> </v>
      </c>
      <c r="H243" s="6" t="str">
        <f aca="false">IF((F243&lt;&gt;0),F243-G243," ")</f>
        <v> </v>
      </c>
      <c r="I243" s="5"/>
      <c r="L243" s="7" t="str">
        <f aca="false">IF(F243&lt;&gt;0,F243-K243," ")</f>
        <v> </v>
      </c>
      <c r="M243" s="8" t="str">
        <f aca="false">IF((F243-K243)&lt;&gt;0,M$1-A243," ")</f>
        <v> </v>
      </c>
      <c r="N243" s="5"/>
      <c r="O243" s="17" t="str">
        <f aca="false">IF((E243="s"),H243," ")</f>
        <v> </v>
      </c>
      <c r="P243" s="17" t="str">
        <f aca="false">IF((E243="c"),H243," ")</f>
        <v> </v>
      </c>
      <c r="Q243" s="17" t="str">
        <f aca="false">IF((E243="o"),H243," ")</f>
        <v> </v>
      </c>
      <c r="R243" s="17" t="str">
        <f aca="false">IF((E243="d"),H243," ")</f>
        <v> </v>
      </c>
      <c r="S243" s="17" t="str">
        <f aca="false">IF((E243="w"),H243," ")</f>
        <v> </v>
      </c>
      <c r="T243" s="17" t="str">
        <f aca="false">IF((E243="r"),H243," ")</f>
        <v> </v>
      </c>
      <c r="U243" s="17" t="str">
        <f aca="false">IF((E243="p"),H243," ")</f>
        <v> </v>
      </c>
      <c r="V243" s="17" t="str">
        <f aca="false">IF((E243="t"),H243," ")</f>
        <v> </v>
      </c>
      <c r="W243" s="17" t="str">
        <f aca="false">IF((E243="q"),H243," ")</f>
        <v> </v>
      </c>
      <c r="X243" s="17" t="str">
        <f aca="false">IF((E243="m"),H243," ")</f>
        <v> </v>
      </c>
      <c r="Y243" s="17" t="str">
        <f aca="false">IF((E243="u"),H243," ")</f>
        <v> </v>
      </c>
      <c r="Z243" s="17" t="str">
        <f aca="false">IF((E243="a"),H243," ")</f>
        <v> </v>
      </c>
      <c r="AA243" s="17" t="str">
        <f aca="false">IF((E243="g"),H243," ")</f>
        <v> </v>
      </c>
      <c r="AB243" s="17" t="str">
        <f aca="false">IF((E243="h"),H243," ")</f>
        <v> </v>
      </c>
      <c r="AC243" s="30" t="str">
        <f aca="false">IF((E243="v"),H243," ")</f>
        <v> </v>
      </c>
      <c r="AD243" s="30" t="str">
        <f aca="false">IF((E243="n"),H243," ")</f>
        <v> </v>
      </c>
      <c r="AE243" s="17" t="str">
        <f aca="false">IF((E243="f"),H243," ")</f>
        <v> </v>
      </c>
      <c r="AF243" s="17" t="str">
        <f aca="false">IF((E243="l"),H243," ")</f>
        <v> </v>
      </c>
      <c r="AG243" s="17" t="str">
        <f aca="false">IF((E243="y"),H243," ")</f>
        <v> </v>
      </c>
      <c r="AH243" s="17" t="str">
        <f aca="false">IF((E243="z"),H243," ")</f>
        <v> </v>
      </c>
      <c r="AI243" s="17" t="str">
        <f aca="false">IF((E243="fa"),H243," ")</f>
        <v> </v>
      </c>
      <c r="AJ243" s="17" t="str">
        <f aca="false">IF((E243="e"),H243," ")</f>
        <v> </v>
      </c>
    </row>
    <row r="244" customFormat="false" ht="12" hidden="false" customHeight="false" outlineLevel="0" collapsed="false">
      <c r="A244" s="28"/>
      <c r="E244" s="2" t="str">
        <f aca="false">IF((F244&lt;&gt;0),"Enter Letter"," ")</f>
        <v> </v>
      </c>
      <c r="F244" s="30"/>
      <c r="G244" s="6" t="str">
        <f aca="false">IF(F244&lt;&gt;0,F244*G$2/(100+G$2)," ")</f>
        <v> </v>
      </c>
      <c r="H244" s="6" t="str">
        <f aca="false">IF((F244&lt;&gt;0),F244-G244," ")</f>
        <v> </v>
      </c>
      <c r="I244" s="5"/>
      <c r="L244" s="7" t="str">
        <f aca="false">IF(F244&lt;&gt;0,F244-K244," ")</f>
        <v> </v>
      </c>
      <c r="M244" s="8" t="str">
        <f aca="false">IF((F244-K244)&lt;&gt;0,M$1-A244," ")</f>
        <v> </v>
      </c>
      <c r="N244" s="5"/>
      <c r="O244" s="17" t="str">
        <f aca="false">IF((E244="s"),H244," ")</f>
        <v> </v>
      </c>
      <c r="P244" s="17" t="str">
        <f aca="false">IF((E244="c"),H244," ")</f>
        <v> </v>
      </c>
      <c r="Q244" s="17" t="str">
        <f aca="false">IF((E244="o"),H244," ")</f>
        <v> </v>
      </c>
      <c r="R244" s="17" t="str">
        <f aca="false">IF((E244="d"),H244," ")</f>
        <v> </v>
      </c>
      <c r="S244" s="17" t="str">
        <f aca="false">IF((E244="w"),H244," ")</f>
        <v> </v>
      </c>
      <c r="T244" s="17" t="str">
        <f aca="false">IF((E244="r"),H244," ")</f>
        <v> </v>
      </c>
      <c r="U244" s="17" t="str">
        <f aca="false">IF((E244="p"),H244," ")</f>
        <v> </v>
      </c>
      <c r="V244" s="17" t="str">
        <f aca="false">IF((E244="t"),H244," ")</f>
        <v> </v>
      </c>
      <c r="W244" s="17" t="str">
        <f aca="false">IF((E244="q"),H244," ")</f>
        <v> </v>
      </c>
      <c r="X244" s="17" t="str">
        <f aca="false">IF((E244="m"),H244," ")</f>
        <v> </v>
      </c>
      <c r="Y244" s="17" t="str">
        <f aca="false">IF((E244="u"),H244," ")</f>
        <v> </v>
      </c>
      <c r="Z244" s="17" t="str">
        <f aca="false">IF((E244="a"),H244," ")</f>
        <v> </v>
      </c>
      <c r="AA244" s="17" t="str">
        <f aca="false">IF((E244="g"),H244," ")</f>
        <v> </v>
      </c>
      <c r="AB244" s="17" t="str">
        <f aca="false">IF((E244="h"),H244," ")</f>
        <v> </v>
      </c>
      <c r="AC244" s="30" t="str">
        <f aca="false">IF((E244="v"),H244," ")</f>
        <v> </v>
      </c>
      <c r="AD244" s="30" t="str">
        <f aca="false">IF((E244="n"),H244," ")</f>
        <v> </v>
      </c>
      <c r="AE244" s="17" t="str">
        <f aca="false">IF((E244="f"),H244," ")</f>
        <v> </v>
      </c>
      <c r="AF244" s="17" t="str">
        <f aca="false">IF((E244="l"),H244," ")</f>
        <v> </v>
      </c>
      <c r="AG244" s="17" t="str">
        <f aca="false">IF((E244="y"),H244," ")</f>
        <v> </v>
      </c>
      <c r="AH244" s="17" t="str">
        <f aca="false">IF((E244="z"),H244," ")</f>
        <v> </v>
      </c>
      <c r="AI244" s="17" t="str">
        <f aca="false">IF((E244="fa"),H244," ")</f>
        <v> </v>
      </c>
      <c r="AJ244" s="17" t="str">
        <f aca="false">IF((E244="e"),H244," ")</f>
        <v> </v>
      </c>
    </row>
    <row r="245" customFormat="false" ht="12" hidden="false" customHeight="false" outlineLevel="0" collapsed="false">
      <c r="A245" s="28"/>
      <c r="E245" s="2" t="str">
        <f aca="false">IF((F245&lt;&gt;0),"Enter Letter"," ")</f>
        <v> </v>
      </c>
      <c r="F245" s="30"/>
      <c r="G245" s="6" t="str">
        <f aca="false">IF(F245&lt;&gt;0,F245*G$2/(100+G$2)," ")</f>
        <v> </v>
      </c>
      <c r="H245" s="6" t="str">
        <f aca="false">IF((F245&lt;&gt;0),F245-G245," ")</f>
        <v> </v>
      </c>
      <c r="I245" s="5"/>
      <c r="L245" s="7" t="str">
        <f aca="false">IF(F245&lt;&gt;0,F245-K245," ")</f>
        <v> </v>
      </c>
      <c r="M245" s="8" t="str">
        <f aca="false">IF((F245-K245)&lt;&gt;0,M$1-A245," ")</f>
        <v> </v>
      </c>
      <c r="N245" s="5"/>
      <c r="O245" s="17" t="str">
        <f aca="false">IF((E245="s"),H245," ")</f>
        <v> </v>
      </c>
      <c r="P245" s="17" t="str">
        <f aca="false">IF((E245="c"),H245," ")</f>
        <v> </v>
      </c>
      <c r="Q245" s="17" t="str">
        <f aca="false">IF((E245="o"),H245," ")</f>
        <v> </v>
      </c>
      <c r="R245" s="17" t="str">
        <f aca="false">IF((E245="d"),H245," ")</f>
        <v> </v>
      </c>
      <c r="S245" s="17" t="str">
        <f aca="false">IF((E245="w"),H245," ")</f>
        <v> </v>
      </c>
      <c r="T245" s="17" t="str">
        <f aca="false">IF((E245="r"),H245," ")</f>
        <v> </v>
      </c>
      <c r="U245" s="17" t="str">
        <f aca="false">IF((E245="p"),H245," ")</f>
        <v> </v>
      </c>
      <c r="V245" s="17" t="str">
        <f aca="false">IF((E245="t"),H245," ")</f>
        <v> </v>
      </c>
      <c r="W245" s="17" t="str">
        <f aca="false">IF((E245="q"),H245," ")</f>
        <v> </v>
      </c>
      <c r="X245" s="17" t="str">
        <f aca="false">IF((E245="m"),H245," ")</f>
        <v> </v>
      </c>
      <c r="Y245" s="17" t="str">
        <f aca="false">IF((E245="u"),H245," ")</f>
        <v> </v>
      </c>
      <c r="Z245" s="17" t="str">
        <f aca="false">IF((E245="a"),H245," ")</f>
        <v> </v>
      </c>
      <c r="AA245" s="17" t="str">
        <f aca="false">IF((E245="g"),H245," ")</f>
        <v> </v>
      </c>
      <c r="AB245" s="17" t="str">
        <f aca="false">IF((E245="h"),H245," ")</f>
        <v> </v>
      </c>
      <c r="AC245" s="30" t="str">
        <f aca="false">IF((E245="v"),H245," ")</f>
        <v> </v>
      </c>
      <c r="AD245" s="30" t="str">
        <f aca="false">IF((E245="n"),H245," ")</f>
        <v> </v>
      </c>
      <c r="AE245" s="17" t="str">
        <f aca="false">IF((E245="f"),H245," ")</f>
        <v> </v>
      </c>
      <c r="AF245" s="17" t="str">
        <f aca="false">IF((E245="l"),H245," ")</f>
        <v> </v>
      </c>
      <c r="AG245" s="17" t="str">
        <f aca="false">IF((E245="y"),H245," ")</f>
        <v> </v>
      </c>
      <c r="AH245" s="17" t="str">
        <f aca="false">IF((E245="z"),H245," ")</f>
        <v> </v>
      </c>
      <c r="AI245" s="17" t="str">
        <f aca="false">IF((E245="fa"),H245," ")</f>
        <v> </v>
      </c>
      <c r="AJ245" s="17" t="str">
        <f aca="false">IF((E245="e"),H245," ")</f>
        <v> </v>
      </c>
    </row>
    <row r="246" customFormat="false" ht="12" hidden="false" customHeight="false" outlineLevel="0" collapsed="false">
      <c r="A246" s="28"/>
      <c r="E246" s="2" t="str">
        <f aca="false">IF((F246&lt;&gt;0),"Enter Letter"," ")</f>
        <v> </v>
      </c>
      <c r="F246" s="30"/>
      <c r="G246" s="6" t="str">
        <f aca="false">IF(F246&lt;&gt;0,F246*G$2/(100+G$2)," ")</f>
        <v> </v>
      </c>
      <c r="H246" s="6" t="str">
        <f aca="false">IF((F246&lt;&gt;0),F246-G246," ")</f>
        <v> </v>
      </c>
      <c r="I246" s="5"/>
      <c r="L246" s="7" t="str">
        <f aca="false">IF(F246&lt;&gt;0,F246-K246," ")</f>
        <v> </v>
      </c>
      <c r="M246" s="8" t="str">
        <f aca="false">IF((F246-K246)&lt;&gt;0,M$1-A246," ")</f>
        <v> </v>
      </c>
      <c r="N246" s="5"/>
      <c r="O246" s="17" t="str">
        <f aca="false">IF((E246="s"),H246," ")</f>
        <v> </v>
      </c>
      <c r="P246" s="17" t="str">
        <f aca="false">IF((E246="c"),H246," ")</f>
        <v> </v>
      </c>
      <c r="Q246" s="17" t="str">
        <f aca="false">IF((E246="o"),H246," ")</f>
        <v> </v>
      </c>
      <c r="R246" s="17" t="str">
        <f aca="false">IF((E246="d"),H246," ")</f>
        <v> </v>
      </c>
      <c r="S246" s="17" t="str">
        <f aca="false">IF((E246="w"),H246," ")</f>
        <v> </v>
      </c>
      <c r="T246" s="17" t="str">
        <f aca="false">IF((E246="r"),H246," ")</f>
        <v> </v>
      </c>
      <c r="U246" s="17" t="str">
        <f aca="false">IF((E246="p"),H246," ")</f>
        <v> </v>
      </c>
      <c r="V246" s="17" t="str">
        <f aca="false">IF((E246="t"),H246," ")</f>
        <v> </v>
      </c>
      <c r="W246" s="17" t="str">
        <f aca="false">IF((E246="q"),H246," ")</f>
        <v> </v>
      </c>
      <c r="X246" s="17" t="str">
        <f aca="false">IF((E246="m"),H246," ")</f>
        <v> </v>
      </c>
      <c r="Y246" s="17" t="str">
        <f aca="false">IF((E246="u"),H246," ")</f>
        <v> </v>
      </c>
      <c r="Z246" s="17" t="str">
        <f aca="false">IF((E246="a"),H246," ")</f>
        <v> </v>
      </c>
      <c r="AA246" s="17" t="str">
        <f aca="false">IF((E246="g"),H246," ")</f>
        <v> </v>
      </c>
      <c r="AB246" s="17" t="str">
        <f aca="false">IF((E246="h"),H246," ")</f>
        <v> </v>
      </c>
      <c r="AC246" s="30" t="str">
        <f aca="false">IF((E246="v"),H246," ")</f>
        <v> </v>
      </c>
      <c r="AD246" s="30" t="str">
        <f aca="false">IF((E246="n"),H246," ")</f>
        <v> </v>
      </c>
      <c r="AE246" s="17" t="str">
        <f aca="false">IF((E246="f"),H246," ")</f>
        <v> </v>
      </c>
      <c r="AF246" s="17" t="str">
        <f aca="false">IF((E246="l"),H246," ")</f>
        <v> </v>
      </c>
      <c r="AG246" s="17" t="str">
        <f aca="false">IF((E246="y"),H246," ")</f>
        <v> </v>
      </c>
      <c r="AH246" s="17" t="str">
        <f aca="false">IF((E246="z"),H246," ")</f>
        <v> </v>
      </c>
      <c r="AI246" s="17" t="str">
        <f aca="false">IF((E246="fa"),H246," ")</f>
        <v> </v>
      </c>
      <c r="AJ246" s="17" t="str">
        <f aca="false">IF((E246="e"),H246," ")</f>
        <v> </v>
      </c>
    </row>
    <row r="247" customFormat="false" ht="12" hidden="false" customHeight="false" outlineLevel="0" collapsed="false">
      <c r="A247" s="28"/>
      <c r="E247" s="2" t="str">
        <f aca="false">IF((F247&lt;&gt;0),"Enter Letter"," ")</f>
        <v> </v>
      </c>
      <c r="F247" s="30"/>
      <c r="G247" s="6" t="str">
        <f aca="false">IF(F247&lt;&gt;0,F247*G$2/(100+G$2)," ")</f>
        <v> </v>
      </c>
      <c r="H247" s="6" t="str">
        <f aca="false">IF((F247&lt;&gt;0),F247-G247," ")</f>
        <v> </v>
      </c>
      <c r="I247" s="5"/>
      <c r="L247" s="7" t="str">
        <f aca="false">IF(F247&lt;&gt;0,F247-K247," ")</f>
        <v> </v>
      </c>
      <c r="M247" s="8" t="str">
        <f aca="false">IF((F247-K247)&lt;&gt;0,M$1-A247," ")</f>
        <v> </v>
      </c>
      <c r="N247" s="5"/>
      <c r="O247" s="17" t="str">
        <f aca="false">IF((E247="s"),H247," ")</f>
        <v> </v>
      </c>
      <c r="P247" s="17" t="str">
        <f aca="false">IF((E247="c"),H247," ")</f>
        <v> </v>
      </c>
      <c r="Q247" s="17" t="str">
        <f aca="false">IF((E247="o"),H247," ")</f>
        <v> </v>
      </c>
      <c r="R247" s="17" t="str">
        <f aca="false">IF((E247="d"),H247," ")</f>
        <v> </v>
      </c>
      <c r="S247" s="17" t="str">
        <f aca="false">IF((E247="w"),H247," ")</f>
        <v> </v>
      </c>
      <c r="T247" s="17" t="str">
        <f aca="false">IF((E247="r"),H247," ")</f>
        <v> </v>
      </c>
      <c r="U247" s="17" t="str">
        <f aca="false">IF((E247="p"),H247," ")</f>
        <v> </v>
      </c>
      <c r="V247" s="17" t="str">
        <f aca="false">IF((E247="t"),H247," ")</f>
        <v> </v>
      </c>
      <c r="W247" s="17" t="str">
        <f aca="false">IF((E247="q"),H247," ")</f>
        <v> </v>
      </c>
      <c r="X247" s="17" t="str">
        <f aca="false">IF((E247="m"),H247," ")</f>
        <v> </v>
      </c>
      <c r="Y247" s="17" t="str">
        <f aca="false">IF((E247="u"),H247," ")</f>
        <v> </v>
      </c>
      <c r="Z247" s="17" t="str">
        <f aca="false">IF((E247="a"),H247," ")</f>
        <v> </v>
      </c>
      <c r="AA247" s="17" t="str">
        <f aca="false">IF((E247="g"),H247," ")</f>
        <v> </v>
      </c>
      <c r="AB247" s="17" t="str">
        <f aca="false">IF((E247="h"),H247," ")</f>
        <v> </v>
      </c>
      <c r="AC247" s="30" t="str">
        <f aca="false">IF((E247="v"),H247," ")</f>
        <v> </v>
      </c>
      <c r="AD247" s="30" t="str">
        <f aca="false">IF((E247="n"),H247," ")</f>
        <v> </v>
      </c>
      <c r="AE247" s="17" t="str">
        <f aca="false">IF((E247="f"),H247," ")</f>
        <v> </v>
      </c>
      <c r="AF247" s="17" t="str">
        <f aca="false">IF((E247="l"),H247," ")</f>
        <v> </v>
      </c>
      <c r="AG247" s="17" t="str">
        <f aca="false">IF((E247="y"),H247," ")</f>
        <v> </v>
      </c>
      <c r="AH247" s="17" t="str">
        <f aca="false">IF((E247="z"),H247," ")</f>
        <v> </v>
      </c>
      <c r="AI247" s="17" t="str">
        <f aca="false">IF((E247="fa"),H247," ")</f>
        <v> </v>
      </c>
      <c r="AJ247" s="17" t="str">
        <f aca="false">IF((E247="e"),H247," ")</f>
        <v> </v>
      </c>
    </row>
    <row r="248" customFormat="false" ht="12" hidden="false" customHeight="false" outlineLevel="0" collapsed="false">
      <c r="A248" s="28"/>
      <c r="E248" s="2" t="str">
        <f aca="false">IF((F248&lt;&gt;0),"Enter Letter"," ")</f>
        <v> </v>
      </c>
      <c r="F248" s="30"/>
      <c r="G248" s="6" t="str">
        <f aca="false">IF(F248&lt;&gt;0,F248*G$2/(100+G$2)," ")</f>
        <v> </v>
      </c>
      <c r="H248" s="6" t="str">
        <f aca="false">IF((F248&lt;&gt;0),F248-G248," ")</f>
        <v> </v>
      </c>
      <c r="I248" s="5"/>
      <c r="L248" s="7" t="str">
        <f aca="false">IF(F248&lt;&gt;0,F248-K248," ")</f>
        <v> </v>
      </c>
      <c r="M248" s="8" t="str">
        <f aca="false">IF((F248-K248)&lt;&gt;0,M$1-A248," ")</f>
        <v> </v>
      </c>
      <c r="N248" s="5"/>
      <c r="O248" s="17" t="str">
        <f aca="false">IF((E248="s"),H248," ")</f>
        <v> </v>
      </c>
      <c r="P248" s="17" t="str">
        <f aca="false">IF((E248="c"),H248," ")</f>
        <v> </v>
      </c>
      <c r="Q248" s="17" t="str">
        <f aca="false">IF((E248="o"),H248," ")</f>
        <v> </v>
      </c>
      <c r="R248" s="17" t="str">
        <f aca="false">IF((E248="d"),H248," ")</f>
        <v> </v>
      </c>
      <c r="S248" s="17" t="str">
        <f aca="false">IF((E248="w"),H248," ")</f>
        <v> </v>
      </c>
      <c r="T248" s="17" t="str">
        <f aca="false">IF((E248="r"),H248," ")</f>
        <v> </v>
      </c>
      <c r="U248" s="17" t="str">
        <f aca="false">IF((E248="p"),H248," ")</f>
        <v> </v>
      </c>
      <c r="V248" s="17" t="str">
        <f aca="false">IF((E248="t"),H248," ")</f>
        <v> </v>
      </c>
      <c r="W248" s="17" t="str">
        <f aca="false">IF((E248="q"),H248," ")</f>
        <v> </v>
      </c>
      <c r="X248" s="17" t="str">
        <f aca="false">IF((E248="m"),H248," ")</f>
        <v> </v>
      </c>
      <c r="Y248" s="17" t="str">
        <f aca="false">IF((E248="u"),H248," ")</f>
        <v> </v>
      </c>
      <c r="Z248" s="17" t="str">
        <f aca="false">IF((E248="a"),H248," ")</f>
        <v> </v>
      </c>
      <c r="AA248" s="17" t="str">
        <f aca="false">IF((E248="g"),H248," ")</f>
        <v> </v>
      </c>
      <c r="AB248" s="17" t="str">
        <f aca="false">IF((E248="h"),H248," ")</f>
        <v> </v>
      </c>
      <c r="AC248" s="30" t="str">
        <f aca="false">IF((E248="v"),H248," ")</f>
        <v> </v>
      </c>
      <c r="AD248" s="30" t="str">
        <f aca="false">IF((E248="n"),H248," ")</f>
        <v> </v>
      </c>
      <c r="AE248" s="17" t="str">
        <f aca="false">IF((E248="f"),H248," ")</f>
        <v> </v>
      </c>
      <c r="AF248" s="17" t="str">
        <f aca="false">IF((E248="l"),H248," ")</f>
        <v> </v>
      </c>
      <c r="AG248" s="17" t="str">
        <f aca="false">IF((E248="y"),H248," ")</f>
        <v> </v>
      </c>
      <c r="AH248" s="17" t="str">
        <f aca="false">IF((E248="z"),H248," ")</f>
        <v> </v>
      </c>
      <c r="AI248" s="17" t="str">
        <f aca="false">IF((E248="fa"),H248," ")</f>
        <v> </v>
      </c>
      <c r="AJ248" s="17" t="str">
        <f aca="false">IF((E248="e"),H248," ")</f>
        <v> </v>
      </c>
    </row>
    <row r="249" customFormat="false" ht="12" hidden="false" customHeight="false" outlineLevel="0" collapsed="false">
      <c r="A249" s="28"/>
      <c r="E249" s="2" t="str">
        <f aca="false">IF((F249&lt;&gt;0),"Enter Letter"," ")</f>
        <v> </v>
      </c>
      <c r="F249" s="30"/>
      <c r="G249" s="6" t="str">
        <f aca="false">IF(F249&lt;&gt;0,F249*G$2/(100+G$2)," ")</f>
        <v> </v>
      </c>
      <c r="H249" s="6" t="str">
        <f aca="false">IF((F249&lt;&gt;0),F249-G249," ")</f>
        <v> </v>
      </c>
      <c r="I249" s="5"/>
      <c r="L249" s="7" t="str">
        <f aca="false">IF(F249&lt;&gt;0,F249-K249," ")</f>
        <v> </v>
      </c>
      <c r="M249" s="8" t="str">
        <f aca="false">IF((F249-K249)&lt;&gt;0,M$1-A249," ")</f>
        <v> </v>
      </c>
      <c r="N249" s="5"/>
      <c r="O249" s="17" t="str">
        <f aca="false">IF((E249="s"),H249," ")</f>
        <v> </v>
      </c>
      <c r="P249" s="17" t="str">
        <f aca="false">IF((E249="c"),H249," ")</f>
        <v> </v>
      </c>
      <c r="Q249" s="17" t="str">
        <f aca="false">IF((E249="o"),H249," ")</f>
        <v> </v>
      </c>
      <c r="R249" s="17" t="str">
        <f aca="false">IF((E249="d"),H249," ")</f>
        <v> </v>
      </c>
      <c r="S249" s="17" t="str">
        <f aca="false">IF((E249="w"),H249," ")</f>
        <v> </v>
      </c>
      <c r="T249" s="17" t="str">
        <f aca="false">IF((E249="r"),H249," ")</f>
        <v> </v>
      </c>
      <c r="U249" s="17" t="str">
        <f aca="false">IF((E249="p"),H249," ")</f>
        <v> </v>
      </c>
      <c r="V249" s="17" t="str">
        <f aca="false">IF((E249="t"),H249," ")</f>
        <v> </v>
      </c>
      <c r="W249" s="17" t="str">
        <f aca="false">IF((E249="q"),H249," ")</f>
        <v> </v>
      </c>
      <c r="X249" s="17" t="str">
        <f aca="false">IF((E249="m"),H249," ")</f>
        <v> </v>
      </c>
      <c r="Y249" s="17" t="str">
        <f aca="false">IF((E249="u"),H249," ")</f>
        <v> </v>
      </c>
      <c r="Z249" s="17" t="str">
        <f aca="false">IF((E249="a"),H249," ")</f>
        <v> </v>
      </c>
      <c r="AA249" s="17" t="str">
        <f aca="false">IF((E249="g"),H249," ")</f>
        <v> </v>
      </c>
      <c r="AB249" s="17" t="str">
        <f aca="false">IF((E249="h"),H249," ")</f>
        <v> </v>
      </c>
      <c r="AC249" s="30" t="str">
        <f aca="false">IF((E249="v"),H249," ")</f>
        <v> </v>
      </c>
      <c r="AD249" s="30" t="str">
        <f aca="false">IF((E249="n"),H249," ")</f>
        <v> </v>
      </c>
      <c r="AE249" s="17" t="str">
        <f aca="false">IF((E249="f"),H249," ")</f>
        <v> </v>
      </c>
      <c r="AF249" s="17" t="str">
        <f aca="false">IF((E249="l"),H249," ")</f>
        <v> </v>
      </c>
      <c r="AG249" s="17" t="str">
        <f aca="false">IF((E249="y"),H249," ")</f>
        <v> </v>
      </c>
      <c r="AH249" s="17" t="str">
        <f aca="false">IF((E249="z"),H249," ")</f>
        <v> </v>
      </c>
      <c r="AI249" s="17" t="str">
        <f aca="false">IF((E249="fa"),H249," ")</f>
        <v> </v>
      </c>
      <c r="AJ249" s="17" t="str">
        <f aca="false">IF((E249="e"),H249," ")</f>
        <v> </v>
      </c>
    </row>
    <row r="250" customFormat="false" ht="12" hidden="false" customHeight="false" outlineLevel="0" collapsed="false">
      <c r="A250" s="28"/>
      <c r="E250" s="2" t="str">
        <f aca="false">IF((F250&lt;&gt;0),"Enter Letter"," ")</f>
        <v> </v>
      </c>
      <c r="F250" s="30"/>
      <c r="G250" s="6" t="str">
        <f aca="false">IF(F250&lt;&gt;0,F250*G$2/(100+G$2)," ")</f>
        <v> </v>
      </c>
      <c r="H250" s="6" t="str">
        <f aca="false">IF((F250&lt;&gt;0),F250-G250," ")</f>
        <v> </v>
      </c>
      <c r="I250" s="5"/>
      <c r="L250" s="7" t="str">
        <f aca="false">IF(F250&lt;&gt;0,F250-K250," ")</f>
        <v> </v>
      </c>
      <c r="M250" s="8" t="str">
        <f aca="false">IF((F250-K250)&lt;&gt;0,M$1-A250," ")</f>
        <v> </v>
      </c>
      <c r="N250" s="5"/>
      <c r="O250" s="17" t="str">
        <f aca="false">IF((E250="s"),H250," ")</f>
        <v> </v>
      </c>
      <c r="P250" s="17" t="str">
        <f aca="false">IF((E250="c"),H250," ")</f>
        <v> </v>
      </c>
      <c r="Q250" s="17" t="str">
        <f aca="false">IF((E250="o"),H250," ")</f>
        <v> </v>
      </c>
      <c r="R250" s="17" t="str">
        <f aca="false">IF((E250="d"),H250," ")</f>
        <v> </v>
      </c>
      <c r="S250" s="17" t="str">
        <f aca="false">IF((E250="w"),H250," ")</f>
        <v> </v>
      </c>
      <c r="T250" s="17" t="str">
        <f aca="false">IF((E250="r"),H250," ")</f>
        <v> </v>
      </c>
      <c r="U250" s="17" t="str">
        <f aca="false">IF((E250="p"),H250," ")</f>
        <v> </v>
      </c>
      <c r="V250" s="17" t="str">
        <f aca="false">IF((E250="t"),H250," ")</f>
        <v> </v>
      </c>
      <c r="W250" s="17" t="str">
        <f aca="false">IF((E250="q"),H250," ")</f>
        <v> </v>
      </c>
      <c r="X250" s="17" t="str">
        <f aca="false">IF((E250="m"),H250," ")</f>
        <v> </v>
      </c>
      <c r="Y250" s="17" t="str">
        <f aca="false">IF((E250="u"),H250," ")</f>
        <v> </v>
      </c>
      <c r="Z250" s="17" t="str">
        <f aca="false">IF((E250="a"),H250," ")</f>
        <v> </v>
      </c>
      <c r="AA250" s="17" t="str">
        <f aca="false">IF((E250="g"),H250," ")</f>
        <v> </v>
      </c>
      <c r="AB250" s="17" t="str">
        <f aca="false">IF((E250="h"),H250," ")</f>
        <v> </v>
      </c>
      <c r="AC250" s="30" t="str">
        <f aca="false">IF((E250="v"),H250," ")</f>
        <v> </v>
      </c>
      <c r="AD250" s="30" t="str">
        <f aca="false">IF((E250="n"),H250," ")</f>
        <v> </v>
      </c>
      <c r="AE250" s="17" t="str">
        <f aca="false">IF((E250="f"),H250," ")</f>
        <v> </v>
      </c>
      <c r="AF250" s="17" t="str">
        <f aca="false">IF((E250="l"),H250," ")</f>
        <v> </v>
      </c>
      <c r="AG250" s="17" t="str">
        <f aca="false">IF((E250="y"),H250," ")</f>
        <v> </v>
      </c>
      <c r="AH250" s="17" t="str">
        <f aca="false">IF((E250="z"),H250," ")</f>
        <v> </v>
      </c>
      <c r="AI250" s="17" t="str">
        <f aca="false">IF((E250="fa"),H250," ")</f>
        <v> </v>
      </c>
      <c r="AJ250" s="17" t="str">
        <f aca="false">IF((E250="e"),H250," ")</f>
        <v> </v>
      </c>
    </row>
    <row r="251" customFormat="false" ht="12" hidden="false" customHeight="false" outlineLevel="0" collapsed="false">
      <c r="A251" s="28"/>
      <c r="E251" s="2" t="str">
        <f aca="false">IF((F251&lt;&gt;0),"Enter Letter"," ")</f>
        <v> </v>
      </c>
      <c r="F251" s="30"/>
      <c r="G251" s="6" t="str">
        <f aca="false">IF(F251&lt;&gt;0,F251*G$2/(100+G$2)," ")</f>
        <v> </v>
      </c>
      <c r="H251" s="6" t="str">
        <f aca="false">IF((F251&lt;&gt;0),F251-G251," ")</f>
        <v> </v>
      </c>
      <c r="I251" s="5"/>
      <c r="L251" s="7" t="str">
        <f aca="false">IF(F251&lt;&gt;0,F251-K251," ")</f>
        <v> </v>
      </c>
      <c r="M251" s="8" t="str">
        <f aca="false">IF((F251-K251)&lt;&gt;0,M$1-A251," ")</f>
        <v> </v>
      </c>
      <c r="N251" s="5"/>
      <c r="O251" s="17" t="str">
        <f aca="false">IF((E251="s"),H251," ")</f>
        <v> </v>
      </c>
      <c r="P251" s="17" t="str">
        <f aca="false">IF((E251="c"),H251," ")</f>
        <v> </v>
      </c>
      <c r="Q251" s="17" t="str">
        <f aca="false">IF((E251="o"),H251," ")</f>
        <v> </v>
      </c>
      <c r="R251" s="17" t="str">
        <f aca="false">IF((E251="d"),H251," ")</f>
        <v> </v>
      </c>
      <c r="S251" s="17" t="str">
        <f aca="false">IF((E251="w"),H251," ")</f>
        <v> </v>
      </c>
      <c r="T251" s="17" t="str">
        <f aca="false">IF((E251="r"),H251," ")</f>
        <v> </v>
      </c>
      <c r="U251" s="17" t="str">
        <f aca="false">IF((E251="p"),H251," ")</f>
        <v> </v>
      </c>
      <c r="V251" s="17" t="str">
        <f aca="false">IF((E251="t"),H251," ")</f>
        <v> </v>
      </c>
      <c r="W251" s="17" t="str">
        <f aca="false">IF((E251="q"),H251," ")</f>
        <v> </v>
      </c>
      <c r="X251" s="17" t="str">
        <f aca="false">IF((E251="m"),H251," ")</f>
        <v> </v>
      </c>
      <c r="Y251" s="17" t="str">
        <f aca="false">IF((E251="u"),H251," ")</f>
        <v> </v>
      </c>
      <c r="Z251" s="17" t="str">
        <f aca="false">IF((E251="a"),H251," ")</f>
        <v> </v>
      </c>
      <c r="AA251" s="17" t="str">
        <f aca="false">IF((E251="g"),H251," ")</f>
        <v> </v>
      </c>
      <c r="AB251" s="17" t="str">
        <f aca="false">IF((E251="h"),H251," ")</f>
        <v> </v>
      </c>
      <c r="AC251" s="30" t="str">
        <f aca="false">IF((E251="v"),H251," ")</f>
        <v> </v>
      </c>
      <c r="AD251" s="30" t="str">
        <f aca="false">IF((E251="n"),H251," ")</f>
        <v> </v>
      </c>
      <c r="AE251" s="17" t="str">
        <f aca="false">IF((E251="f"),H251," ")</f>
        <v> </v>
      </c>
      <c r="AF251" s="17" t="str">
        <f aca="false">IF((E251="l"),H251," ")</f>
        <v> </v>
      </c>
      <c r="AG251" s="17" t="str">
        <f aca="false">IF((E251="y"),H251," ")</f>
        <v> </v>
      </c>
      <c r="AH251" s="17" t="str">
        <f aca="false">IF((E251="z"),H251," ")</f>
        <v> </v>
      </c>
      <c r="AI251" s="17" t="str">
        <f aca="false">IF((E251="fa"),H251," ")</f>
        <v> </v>
      </c>
      <c r="AJ251" s="17" t="str">
        <f aca="false">IF((E251="e"),H251," ")</f>
        <v> </v>
      </c>
    </row>
    <row r="252" customFormat="false" ht="12" hidden="false" customHeight="false" outlineLevel="0" collapsed="false">
      <c r="A252" s="28"/>
      <c r="E252" s="2" t="str">
        <f aca="false">IF((F252&lt;&gt;0),"Enter Letter"," ")</f>
        <v> </v>
      </c>
      <c r="F252" s="30"/>
      <c r="G252" s="6" t="str">
        <f aca="false">IF(F252&lt;&gt;0,F252*G$2/(100+G$2)," ")</f>
        <v> </v>
      </c>
      <c r="H252" s="6" t="str">
        <f aca="false">IF((F252&lt;&gt;0),F252-G252," ")</f>
        <v> </v>
      </c>
      <c r="I252" s="5"/>
      <c r="L252" s="7" t="str">
        <f aca="false">IF(F252&lt;&gt;0,F252-K252," ")</f>
        <v> </v>
      </c>
      <c r="M252" s="8" t="str">
        <f aca="false">IF((F252-K252)&lt;&gt;0,M$1-A252," ")</f>
        <v> </v>
      </c>
      <c r="N252" s="5"/>
      <c r="O252" s="17" t="str">
        <f aca="false">IF((E252="s"),H252," ")</f>
        <v> </v>
      </c>
      <c r="P252" s="17" t="str">
        <f aca="false">IF((E252="c"),H252," ")</f>
        <v> </v>
      </c>
      <c r="Q252" s="17" t="str">
        <f aca="false">IF((E252="o"),H252," ")</f>
        <v> </v>
      </c>
      <c r="R252" s="17" t="str">
        <f aca="false">IF((E252="d"),H252," ")</f>
        <v> </v>
      </c>
      <c r="S252" s="17" t="str">
        <f aca="false">IF((E252="w"),H252," ")</f>
        <v> </v>
      </c>
      <c r="T252" s="17" t="str">
        <f aca="false">IF((E252="r"),H252," ")</f>
        <v> </v>
      </c>
      <c r="U252" s="17" t="str">
        <f aca="false">IF((E252="p"),H252," ")</f>
        <v> </v>
      </c>
      <c r="V252" s="17" t="str">
        <f aca="false">IF((E252="t"),H252," ")</f>
        <v> </v>
      </c>
      <c r="W252" s="17" t="str">
        <f aca="false">IF((E252="q"),H252," ")</f>
        <v> </v>
      </c>
      <c r="X252" s="17" t="str">
        <f aca="false">IF((E252="m"),H252," ")</f>
        <v> </v>
      </c>
      <c r="Y252" s="17" t="str">
        <f aca="false">IF((E252="u"),H252," ")</f>
        <v> </v>
      </c>
      <c r="Z252" s="17" t="str">
        <f aca="false">IF((E252="a"),H252," ")</f>
        <v> </v>
      </c>
      <c r="AA252" s="17" t="str">
        <f aca="false">IF((E252="g"),H252," ")</f>
        <v> </v>
      </c>
      <c r="AB252" s="17" t="str">
        <f aca="false">IF((E252="h"),H252," ")</f>
        <v> </v>
      </c>
      <c r="AC252" s="30" t="str">
        <f aca="false">IF((E252="v"),H252," ")</f>
        <v> </v>
      </c>
      <c r="AD252" s="30" t="str">
        <f aca="false">IF((E252="n"),H252," ")</f>
        <v> </v>
      </c>
      <c r="AE252" s="17" t="str">
        <f aca="false">IF((E252="f"),H252," ")</f>
        <v> </v>
      </c>
      <c r="AF252" s="17" t="str">
        <f aca="false">IF((E252="l"),H252," ")</f>
        <v> </v>
      </c>
      <c r="AG252" s="17" t="str">
        <f aca="false">IF((E252="y"),H252," ")</f>
        <v> </v>
      </c>
      <c r="AH252" s="17" t="str">
        <f aca="false">IF((E252="z"),H252," ")</f>
        <v> </v>
      </c>
      <c r="AI252" s="17" t="str">
        <f aca="false">IF((E252="fa"),H252," ")</f>
        <v> </v>
      </c>
      <c r="AJ252" s="17" t="str">
        <f aca="false">IF((E252="e"),H252," ")</f>
        <v> </v>
      </c>
    </row>
    <row r="253" customFormat="false" ht="12" hidden="false" customHeight="false" outlineLevel="0" collapsed="false">
      <c r="A253" s="28"/>
      <c r="E253" s="2" t="str">
        <f aca="false">IF((F253&lt;&gt;0),"Enter Letter"," ")</f>
        <v> </v>
      </c>
      <c r="F253" s="30"/>
      <c r="G253" s="6" t="str">
        <f aca="false">IF(F253&lt;&gt;0,F253*G$2/(100+G$2)," ")</f>
        <v> </v>
      </c>
      <c r="H253" s="6" t="str">
        <f aca="false">IF((F253&lt;&gt;0),F253-G253," ")</f>
        <v> </v>
      </c>
      <c r="I253" s="5"/>
      <c r="L253" s="7" t="str">
        <f aca="false">IF(F253&lt;&gt;0,F253-K253," ")</f>
        <v> </v>
      </c>
      <c r="M253" s="8" t="str">
        <f aca="false">IF((F253-K253)&lt;&gt;0,M$1-A253," ")</f>
        <v> </v>
      </c>
      <c r="N253" s="5"/>
      <c r="O253" s="17" t="str">
        <f aca="false">IF((E253="s"),H253," ")</f>
        <v> </v>
      </c>
      <c r="P253" s="17" t="str">
        <f aca="false">IF((E253="c"),H253," ")</f>
        <v> </v>
      </c>
      <c r="Q253" s="17" t="str">
        <f aca="false">IF((E253="o"),H253," ")</f>
        <v> </v>
      </c>
      <c r="R253" s="17" t="str">
        <f aca="false">IF((E253="d"),H253," ")</f>
        <v> </v>
      </c>
      <c r="S253" s="17" t="str">
        <f aca="false">IF((E253="w"),H253," ")</f>
        <v> </v>
      </c>
      <c r="T253" s="17" t="str">
        <f aca="false">IF((E253="r"),H253," ")</f>
        <v> </v>
      </c>
      <c r="U253" s="17" t="str">
        <f aca="false">IF((E253="p"),H253," ")</f>
        <v> </v>
      </c>
      <c r="V253" s="17" t="str">
        <f aca="false">IF((E253="t"),H253," ")</f>
        <v> </v>
      </c>
      <c r="W253" s="17" t="str">
        <f aca="false">IF((E253="q"),H253," ")</f>
        <v> </v>
      </c>
      <c r="X253" s="17" t="str">
        <f aca="false">IF((E253="m"),H253," ")</f>
        <v> </v>
      </c>
      <c r="Y253" s="17" t="str">
        <f aca="false">IF((E253="u"),H253," ")</f>
        <v> </v>
      </c>
      <c r="Z253" s="17" t="str">
        <f aca="false">IF((E253="a"),H253," ")</f>
        <v> </v>
      </c>
      <c r="AA253" s="17" t="str">
        <f aca="false">IF((E253="g"),H253," ")</f>
        <v> </v>
      </c>
      <c r="AB253" s="17" t="str">
        <f aca="false">IF((E253="h"),H253," ")</f>
        <v> </v>
      </c>
      <c r="AC253" s="30" t="str">
        <f aca="false">IF((E253="v"),H253," ")</f>
        <v> </v>
      </c>
      <c r="AD253" s="30" t="str">
        <f aca="false">IF((E253="n"),H253," ")</f>
        <v> </v>
      </c>
      <c r="AE253" s="17" t="str">
        <f aca="false">IF((E253="f"),H253," ")</f>
        <v> </v>
      </c>
      <c r="AF253" s="17" t="str">
        <f aca="false">IF((E253="l"),H253," ")</f>
        <v> </v>
      </c>
      <c r="AG253" s="17" t="str">
        <f aca="false">IF((E253="y"),H253," ")</f>
        <v> </v>
      </c>
      <c r="AH253" s="17" t="str">
        <f aca="false">IF((E253="z"),H253," ")</f>
        <v> </v>
      </c>
      <c r="AI253" s="17" t="str">
        <f aca="false">IF((E253="fa"),H253," ")</f>
        <v> </v>
      </c>
      <c r="AJ253" s="17" t="str">
        <f aca="false">IF((E253="e"),H253," ")</f>
        <v> </v>
      </c>
    </row>
    <row r="254" customFormat="false" ht="12" hidden="false" customHeight="false" outlineLevel="0" collapsed="false">
      <c r="A254" s="28"/>
      <c r="E254" s="2" t="str">
        <f aca="false">IF((F254&lt;&gt;0),"Enter Letter"," ")</f>
        <v> </v>
      </c>
      <c r="F254" s="30"/>
      <c r="G254" s="6" t="str">
        <f aca="false">IF(F254&lt;&gt;0,F254*G$2/(100+G$2)," ")</f>
        <v> </v>
      </c>
      <c r="H254" s="6" t="str">
        <f aca="false">IF((F254&lt;&gt;0),F254-G254," ")</f>
        <v> </v>
      </c>
      <c r="I254" s="5"/>
      <c r="L254" s="7" t="str">
        <f aca="false">IF(F254&lt;&gt;0,F254-K254," ")</f>
        <v> </v>
      </c>
      <c r="M254" s="8" t="str">
        <f aca="false">IF((F254-K254)&lt;&gt;0,M$1-A254," ")</f>
        <v> </v>
      </c>
      <c r="N254" s="5"/>
      <c r="O254" s="17" t="str">
        <f aca="false">IF((E254="s"),H254," ")</f>
        <v> </v>
      </c>
      <c r="P254" s="17" t="str">
        <f aca="false">IF((E254="c"),H254," ")</f>
        <v> </v>
      </c>
      <c r="Q254" s="17" t="str">
        <f aca="false">IF((E254="o"),H254," ")</f>
        <v> </v>
      </c>
      <c r="R254" s="17" t="str">
        <f aca="false">IF((E254="d"),H254," ")</f>
        <v> </v>
      </c>
      <c r="S254" s="17" t="str">
        <f aca="false">IF((E254="w"),H254," ")</f>
        <v> </v>
      </c>
      <c r="T254" s="17" t="str">
        <f aca="false">IF((E254="r"),H254," ")</f>
        <v> </v>
      </c>
      <c r="U254" s="17" t="str">
        <f aca="false">IF((E254="p"),H254," ")</f>
        <v> </v>
      </c>
      <c r="V254" s="17" t="str">
        <f aca="false">IF((E254="t"),H254," ")</f>
        <v> </v>
      </c>
      <c r="W254" s="17" t="str">
        <f aca="false">IF((E254="q"),H254," ")</f>
        <v> </v>
      </c>
      <c r="X254" s="17" t="str">
        <f aca="false">IF((E254="m"),H254," ")</f>
        <v> </v>
      </c>
      <c r="Y254" s="17" t="str">
        <f aca="false">IF((E254="u"),H254," ")</f>
        <v> </v>
      </c>
      <c r="Z254" s="17" t="str">
        <f aca="false">IF((E254="a"),H254," ")</f>
        <v> </v>
      </c>
      <c r="AA254" s="17" t="str">
        <f aca="false">IF((E254="g"),H254," ")</f>
        <v> </v>
      </c>
      <c r="AB254" s="17" t="str">
        <f aca="false">IF((E254="h"),H254," ")</f>
        <v> </v>
      </c>
      <c r="AC254" s="30" t="str">
        <f aca="false">IF((E254="v"),H254," ")</f>
        <v> </v>
      </c>
      <c r="AD254" s="30" t="str">
        <f aca="false">IF((E254="n"),H254," ")</f>
        <v> </v>
      </c>
      <c r="AE254" s="17" t="str">
        <f aca="false">IF((E254="f"),H254," ")</f>
        <v> </v>
      </c>
      <c r="AF254" s="17" t="str">
        <f aca="false">IF((E254="l"),H254," ")</f>
        <v> </v>
      </c>
      <c r="AG254" s="17" t="str">
        <f aca="false">IF((E254="y"),H254," ")</f>
        <v> </v>
      </c>
      <c r="AH254" s="17" t="str">
        <f aca="false">IF((E254="z"),H254," ")</f>
        <v> </v>
      </c>
      <c r="AI254" s="17" t="str">
        <f aca="false">IF((E254="fa"),H254," ")</f>
        <v> </v>
      </c>
      <c r="AJ254" s="17" t="str">
        <f aca="false">IF((E254="e"),H254," ")</f>
        <v> </v>
      </c>
    </row>
    <row r="255" customFormat="false" ht="12" hidden="false" customHeight="false" outlineLevel="0" collapsed="false">
      <c r="A255" s="28"/>
      <c r="E255" s="2" t="str">
        <f aca="false">IF((F255&lt;&gt;0),"Enter Letter"," ")</f>
        <v> </v>
      </c>
      <c r="F255" s="30"/>
      <c r="G255" s="6" t="str">
        <f aca="false">IF(F255&lt;&gt;0,F255*G$2/(100+G$2)," ")</f>
        <v> </v>
      </c>
      <c r="H255" s="6" t="str">
        <f aca="false">IF((F255&lt;&gt;0),F255-G255," ")</f>
        <v> </v>
      </c>
      <c r="I255" s="5"/>
      <c r="L255" s="7" t="str">
        <f aca="false">IF(F255&lt;&gt;0,F255-K255," ")</f>
        <v> </v>
      </c>
      <c r="M255" s="8" t="str">
        <f aca="false">IF((F255-K255)&lt;&gt;0,M$1-A255," ")</f>
        <v> </v>
      </c>
      <c r="N255" s="5"/>
      <c r="O255" s="17" t="str">
        <f aca="false">IF((E255="s"),H255," ")</f>
        <v> </v>
      </c>
      <c r="P255" s="17" t="str">
        <f aca="false">IF((E255="c"),H255," ")</f>
        <v> </v>
      </c>
      <c r="Q255" s="17" t="str">
        <f aca="false">IF((E255="o"),H255," ")</f>
        <v> </v>
      </c>
      <c r="R255" s="17" t="str">
        <f aca="false">IF((E255="d"),H255," ")</f>
        <v> </v>
      </c>
      <c r="S255" s="17" t="str">
        <f aca="false">IF((E255="w"),H255," ")</f>
        <v> </v>
      </c>
      <c r="T255" s="17" t="str">
        <f aca="false">IF((E255="r"),H255," ")</f>
        <v> </v>
      </c>
      <c r="U255" s="17" t="str">
        <f aca="false">IF((E255="p"),H255," ")</f>
        <v> </v>
      </c>
      <c r="V255" s="17" t="str">
        <f aca="false">IF((E255="t"),H255," ")</f>
        <v> </v>
      </c>
      <c r="W255" s="17" t="str">
        <f aca="false">IF((E255="q"),H255," ")</f>
        <v> </v>
      </c>
      <c r="X255" s="17" t="str">
        <f aca="false">IF((E255="m"),H255," ")</f>
        <v> </v>
      </c>
      <c r="Y255" s="17" t="str">
        <f aca="false">IF((E255="u"),H255," ")</f>
        <v> </v>
      </c>
      <c r="Z255" s="17" t="str">
        <f aca="false">IF((E255="a"),H255," ")</f>
        <v> </v>
      </c>
      <c r="AA255" s="17" t="str">
        <f aca="false">IF((E255="g"),H255," ")</f>
        <v> </v>
      </c>
      <c r="AB255" s="17" t="str">
        <f aca="false">IF((E255="h"),H255," ")</f>
        <v> </v>
      </c>
      <c r="AC255" s="30" t="str">
        <f aca="false">IF((E255="v"),H255," ")</f>
        <v> </v>
      </c>
      <c r="AD255" s="30" t="str">
        <f aca="false">IF((E255="n"),H255," ")</f>
        <v> </v>
      </c>
      <c r="AE255" s="17" t="str">
        <f aca="false">IF((E255="f"),H255," ")</f>
        <v> </v>
      </c>
      <c r="AF255" s="17" t="str">
        <f aca="false">IF((E255="l"),H255," ")</f>
        <v> </v>
      </c>
      <c r="AG255" s="17" t="str">
        <f aca="false">IF((E255="y"),H255," ")</f>
        <v> </v>
      </c>
      <c r="AH255" s="17" t="str">
        <f aca="false">IF((E255="z"),H255," ")</f>
        <v> </v>
      </c>
      <c r="AI255" s="17" t="str">
        <f aca="false">IF((E255="fa"),H255," ")</f>
        <v> </v>
      </c>
      <c r="AJ255" s="17" t="str">
        <f aca="false">IF((E255="e"),H255," ")</f>
        <v> </v>
      </c>
    </row>
    <row r="256" customFormat="false" ht="12" hidden="false" customHeight="false" outlineLevel="0" collapsed="false">
      <c r="A256" s="28"/>
      <c r="E256" s="2" t="str">
        <f aca="false">IF((F256&lt;&gt;0),"Enter Letter"," ")</f>
        <v> </v>
      </c>
      <c r="F256" s="30"/>
      <c r="G256" s="6" t="str">
        <f aca="false">IF(F256&lt;&gt;0,F256*G$2/(100+G$2)," ")</f>
        <v> </v>
      </c>
      <c r="H256" s="6" t="str">
        <f aca="false">IF((F256&lt;&gt;0),F256-G256," ")</f>
        <v> </v>
      </c>
      <c r="I256" s="5"/>
      <c r="L256" s="7" t="str">
        <f aca="false">IF(F256&lt;&gt;0,F256-K256," ")</f>
        <v> </v>
      </c>
      <c r="M256" s="8" t="str">
        <f aca="false">IF((F256-K256)&lt;&gt;0,M$1-A256," ")</f>
        <v> </v>
      </c>
      <c r="N256" s="5"/>
      <c r="O256" s="17" t="str">
        <f aca="false">IF((E256="s"),H256," ")</f>
        <v> </v>
      </c>
      <c r="P256" s="17" t="str">
        <f aca="false">IF((E256="c"),H256," ")</f>
        <v> </v>
      </c>
      <c r="Q256" s="17" t="str">
        <f aca="false">IF((E256="o"),H256," ")</f>
        <v> </v>
      </c>
      <c r="R256" s="17" t="str">
        <f aca="false">IF((E256="d"),H256," ")</f>
        <v> </v>
      </c>
      <c r="S256" s="17" t="str">
        <f aca="false">IF((E256="w"),H256," ")</f>
        <v> </v>
      </c>
      <c r="T256" s="17" t="str">
        <f aca="false">IF((E256="r"),H256," ")</f>
        <v> </v>
      </c>
      <c r="U256" s="17" t="str">
        <f aca="false">IF((E256="p"),H256," ")</f>
        <v> </v>
      </c>
      <c r="V256" s="17" t="str">
        <f aca="false">IF((E256="t"),H256," ")</f>
        <v> </v>
      </c>
      <c r="W256" s="17" t="str">
        <f aca="false">IF((E256="q"),H256," ")</f>
        <v> </v>
      </c>
      <c r="X256" s="17" t="str">
        <f aca="false">IF((E256="m"),H256," ")</f>
        <v> </v>
      </c>
      <c r="Y256" s="17" t="str">
        <f aca="false">IF((E256="u"),H256," ")</f>
        <v> </v>
      </c>
      <c r="Z256" s="17" t="str">
        <f aca="false">IF((E256="a"),H256," ")</f>
        <v> </v>
      </c>
      <c r="AA256" s="17" t="str">
        <f aca="false">IF((E256="g"),H256," ")</f>
        <v> </v>
      </c>
      <c r="AB256" s="17" t="str">
        <f aca="false">IF((E256="h"),H256," ")</f>
        <v> </v>
      </c>
      <c r="AC256" s="30" t="str">
        <f aca="false">IF((E256="v"),H256," ")</f>
        <v> </v>
      </c>
      <c r="AD256" s="30" t="str">
        <f aca="false">IF((E256="n"),H256," ")</f>
        <v> </v>
      </c>
      <c r="AE256" s="17" t="str">
        <f aca="false">IF((E256="f"),H256," ")</f>
        <v> </v>
      </c>
      <c r="AF256" s="17" t="str">
        <f aca="false">IF((E256="l"),H256," ")</f>
        <v> </v>
      </c>
      <c r="AG256" s="17" t="str">
        <f aca="false">IF((E256="y"),H256," ")</f>
        <v> </v>
      </c>
      <c r="AH256" s="17" t="str">
        <f aca="false">IF((E256="z"),H256," ")</f>
        <v> </v>
      </c>
      <c r="AI256" s="17" t="str">
        <f aca="false">IF((E256="fa"),H256," ")</f>
        <v> </v>
      </c>
      <c r="AJ256" s="17" t="str">
        <f aca="false">IF((E256="e"),H256," ")</f>
        <v> </v>
      </c>
    </row>
    <row r="257" customFormat="false" ht="12" hidden="false" customHeight="false" outlineLevel="0" collapsed="false">
      <c r="A257" s="28"/>
      <c r="E257" s="2" t="str">
        <f aca="false">IF((F257&lt;&gt;0),"Enter Letter"," ")</f>
        <v> </v>
      </c>
      <c r="F257" s="30"/>
      <c r="G257" s="6" t="str">
        <f aca="false">IF(F257&lt;&gt;0,F257*G$2/(100+G$2)," ")</f>
        <v> </v>
      </c>
      <c r="H257" s="6" t="str">
        <f aca="false">IF((F257&lt;&gt;0),F257-G257," ")</f>
        <v> </v>
      </c>
      <c r="I257" s="5"/>
      <c r="L257" s="7" t="str">
        <f aca="false">IF(F257&lt;&gt;0,F257-K257," ")</f>
        <v> </v>
      </c>
      <c r="M257" s="8" t="str">
        <f aca="false">IF((F257-K257)&lt;&gt;0,M$1-A257," ")</f>
        <v> </v>
      </c>
      <c r="N257" s="5"/>
      <c r="O257" s="17" t="str">
        <f aca="false">IF((E257="s"),H257," ")</f>
        <v> </v>
      </c>
      <c r="P257" s="17" t="str">
        <f aca="false">IF((E257="c"),H257," ")</f>
        <v> </v>
      </c>
      <c r="Q257" s="17" t="str">
        <f aca="false">IF((E257="o"),H257," ")</f>
        <v> </v>
      </c>
      <c r="R257" s="17" t="str">
        <f aca="false">IF((E257="d"),H257," ")</f>
        <v> </v>
      </c>
      <c r="S257" s="17" t="str">
        <f aca="false">IF((E257="w"),H257," ")</f>
        <v> </v>
      </c>
      <c r="T257" s="17" t="str">
        <f aca="false">IF((E257="r"),H257," ")</f>
        <v> </v>
      </c>
      <c r="U257" s="17" t="str">
        <f aca="false">IF((E257="p"),H257," ")</f>
        <v> </v>
      </c>
      <c r="V257" s="17" t="str">
        <f aca="false">IF((E257="t"),H257," ")</f>
        <v> </v>
      </c>
      <c r="W257" s="17" t="str">
        <f aca="false">IF((E257="q"),H257," ")</f>
        <v> </v>
      </c>
      <c r="X257" s="17" t="str">
        <f aca="false">IF((E257="m"),H257," ")</f>
        <v> </v>
      </c>
      <c r="Y257" s="17" t="str">
        <f aca="false">IF((E257="u"),H257," ")</f>
        <v> </v>
      </c>
      <c r="Z257" s="17" t="str">
        <f aca="false">IF((E257="a"),H257," ")</f>
        <v> </v>
      </c>
      <c r="AA257" s="17" t="str">
        <f aca="false">IF((E257="g"),H257," ")</f>
        <v> </v>
      </c>
      <c r="AB257" s="17" t="str">
        <f aca="false">IF((E257="h"),H257," ")</f>
        <v> </v>
      </c>
      <c r="AC257" s="30" t="str">
        <f aca="false">IF((E257="v"),H257," ")</f>
        <v> </v>
      </c>
      <c r="AD257" s="30" t="str">
        <f aca="false">IF((E257="n"),H257," ")</f>
        <v> </v>
      </c>
      <c r="AE257" s="17" t="str">
        <f aca="false">IF((E257="f"),H257," ")</f>
        <v> </v>
      </c>
      <c r="AF257" s="17" t="str">
        <f aca="false">IF((E257="l"),H257," ")</f>
        <v> </v>
      </c>
      <c r="AG257" s="17" t="str">
        <f aca="false">IF((E257="y"),H257," ")</f>
        <v> </v>
      </c>
      <c r="AH257" s="17" t="str">
        <f aca="false">IF((E257="z"),H257," ")</f>
        <v> </v>
      </c>
      <c r="AI257" s="17" t="str">
        <f aca="false">IF((E257="fa"),H257," ")</f>
        <v> </v>
      </c>
      <c r="AJ257" s="17" t="str">
        <f aca="false">IF((E257="e"),H257," ")</f>
        <v> </v>
      </c>
    </row>
    <row r="258" customFormat="false" ht="12" hidden="false" customHeight="false" outlineLevel="0" collapsed="false">
      <c r="A258" s="28"/>
      <c r="E258" s="2" t="str">
        <f aca="false">IF((F258&lt;&gt;0),"Enter Letter"," ")</f>
        <v> </v>
      </c>
      <c r="F258" s="30"/>
      <c r="G258" s="6" t="str">
        <f aca="false">IF(F258&lt;&gt;0,F258*G$2/(100+G$2)," ")</f>
        <v> </v>
      </c>
      <c r="H258" s="6" t="str">
        <f aca="false">IF((F258&lt;&gt;0),F258-G258," ")</f>
        <v> </v>
      </c>
      <c r="I258" s="5"/>
      <c r="L258" s="7" t="str">
        <f aca="false">IF(F258&lt;&gt;0,F258-K258," ")</f>
        <v> </v>
      </c>
      <c r="M258" s="8" t="str">
        <f aca="false">IF((F258-K258)&lt;&gt;0,M$1-A258," ")</f>
        <v> </v>
      </c>
      <c r="N258" s="5"/>
      <c r="O258" s="17" t="str">
        <f aca="false">IF((E258="s"),H258," ")</f>
        <v> </v>
      </c>
      <c r="P258" s="17" t="str">
        <f aca="false">IF((E258="c"),H258," ")</f>
        <v> </v>
      </c>
      <c r="Q258" s="17" t="str">
        <f aca="false">IF((E258="o"),H258," ")</f>
        <v> </v>
      </c>
      <c r="R258" s="17" t="str">
        <f aca="false">IF((E258="d"),H258," ")</f>
        <v> </v>
      </c>
      <c r="S258" s="17" t="str">
        <f aca="false">IF((E258="w"),H258," ")</f>
        <v> </v>
      </c>
      <c r="T258" s="17" t="str">
        <f aca="false">IF((E258="r"),H258," ")</f>
        <v> </v>
      </c>
      <c r="U258" s="17" t="str">
        <f aca="false">IF((E258="p"),H258," ")</f>
        <v> </v>
      </c>
      <c r="V258" s="17" t="str">
        <f aca="false">IF((E258="t"),H258," ")</f>
        <v> </v>
      </c>
      <c r="W258" s="17" t="str">
        <f aca="false">IF((E258="q"),H258," ")</f>
        <v> </v>
      </c>
      <c r="X258" s="17" t="str">
        <f aca="false">IF((E258="m"),H258," ")</f>
        <v> </v>
      </c>
      <c r="Y258" s="17" t="str">
        <f aca="false">IF((E258="u"),H258," ")</f>
        <v> </v>
      </c>
      <c r="Z258" s="17" t="str">
        <f aca="false">IF((E258="a"),H258," ")</f>
        <v> </v>
      </c>
      <c r="AA258" s="17" t="str">
        <f aca="false">IF((E258="g"),H258," ")</f>
        <v> </v>
      </c>
      <c r="AB258" s="17" t="str">
        <f aca="false">IF((E258="h"),H258," ")</f>
        <v> </v>
      </c>
      <c r="AC258" s="30" t="str">
        <f aca="false">IF((E258="v"),H258," ")</f>
        <v> </v>
      </c>
      <c r="AD258" s="30" t="str">
        <f aca="false">IF((E258="n"),H258," ")</f>
        <v> </v>
      </c>
      <c r="AE258" s="17" t="str">
        <f aca="false">IF((E258="f"),H258," ")</f>
        <v> </v>
      </c>
      <c r="AF258" s="17" t="str">
        <f aca="false">IF((E258="l"),H258," ")</f>
        <v> </v>
      </c>
      <c r="AG258" s="17" t="str">
        <f aca="false">IF((E258="y"),H258," ")</f>
        <v> </v>
      </c>
      <c r="AH258" s="17" t="str">
        <f aca="false">IF((E258="z"),H258," ")</f>
        <v> </v>
      </c>
      <c r="AI258" s="17" t="str">
        <f aca="false">IF((E258="fa"),H258," ")</f>
        <v> </v>
      </c>
      <c r="AJ258" s="17" t="str">
        <f aca="false">IF((E258="e"),H258," ")</f>
        <v> </v>
      </c>
    </row>
    <row r="259" customFormat="false" ht="12" hidden="false" customHeight="false" outlineLevel="0" collapsed="false">
      <c r="A259" s="28"/>
      <c r="E259" s="2" t="str">
        <f aca="false">IF((F259&lt;&gt;0),"Enter Letter"," ")</f>
        <v> </v>
      </c>
      <c r="F259" s="30"/>
      <c r="G259" s="6" t="str">
        <f aca="false">IF(F259&lt;&gt;0,F259*G$2/(100+G$2)," ")</f>
        <v> </v>
      </c>
      <c r="H259" s="6" t="str">
        <f aca="false">IF((F259&lt;&gt;0),F259-G259," ")</f>
        <v> </v>
      </c>
      <c r="I259" s="5"/>
      <c r="L259" s="7" t="str">
        <f aca="false">IF(F259&lt;&gt;0,F259-K259," ")</f>
        <v> </v>
      </c>
      <c r="M259" s="8" t="str">
        <f aca="false">IF((F259-K259)&lt;&gt;0,M$1-A259," ")</f>
        <v> </v>
      </c>
      <c r="N259" s="5"/>
      <c r="O259" s="17" t="str">
        <f aca="false">IF((E259="s"),H259," ")</f>
        <v> </v>
      </c>
      <c r="P259" s="17" t="str">
        <f aca="false">IF((E259="c"),H259," ")</f>
        <v> </v>
      </c>
      <c r="Q259" s="17" t="str">
        <f aca="false">IF((E259="o"),H259," ")</f>
        <v> </v>
      </c>
      <c r="R259" s="17" t="str">
        <f aca="false">IF((E259="d"),H259," ")</f>
        <v> </v>
      </c>
      <c r="S259" s="17" t="str">
        <f aca="false">IF((E259="w"),H259," ")</f>
        <v> </v>
      </c>
      <c r="T259" s="17" t="str">
        <f aca="false">IF((E259="r"),H259," ")</f>
        <v> </v>
      </c>
      <c r="U259" s="17" t="str">
        <f aca="false">IF((E259="p"),H259," ")</f>
        <v> </v>
      </c>
      <c r="V259" s="17" t="str">
        <f aca="false">IF((E259="t"),H259," ")</f>
        <v> </v>
      </c>
      <c r="W259" s="17" t="str">
        <f aca="false">IF((E259="q"),H259," ")</f>
        <v> </v>
      </c>
      <c r="X259" s="17" t="str">
        <f aca="false">IF((E259="m"),H259," ")</f>
        <v> </v>
      </c>
      <c r="Y259" s="17" t="str">
        <f aca="false">IF((E259="u"),H259," ")</f>
        <v> </v>
      </c>
      <c r="Z259" s="17" t="str">
        <f aca="false">IF((E259="a"),H259," ")</f>
        <v> </v>
      </c>
      <c r="AA259" s="17" t="str">
        <f aca="false">IF((E259="g"),H259," ")</f>
        <v> </v>
      </c>
      <c r="AB259" s="17" t="str">
        <f aca="false">IF((E259="h"),H259," ")</f>
        <v> </v>
      </c>
      <c r="AC259" s="30" t="str">
        <f aca="false">IF((E259="v"),H259," ")</f>
        <v> </v>
      </c>
      <c r="AD259" s="30" t="str">
        <f aca="false">IF((E259="n"),H259," ")</f>
        <v> </v>
      </c>
      <c r="AE259" s="17" t="str">
        <f aca="false">IF((E259="f"),H259," ")</f>
        <v> </v>
      </c>
      <c r="AF259" s="17" t="str">
        <f aca="false">IF((E259="l"),H259," ")</f>
        <v> </v>
      </c>
      <c r="AG259" s="17" t="str">
        <f aca="false">IF((E259="y"),H259," ")</f>
        <v> </v>
      </c>
      <c r="AH259" s="17" t="str">
        <f aca="false">IF((E259="z"),H259," ")</f>
        <v> </v>
      </c>
      <c r="AI259" s="17" t="str">
        <f aca="false">IF((E259="fa"),H259," ")</f>
        <v> </v>
      </c>
      <c r="AJ259" s="17" t="str">
        <f aca="false">IF((E259="e"),H259," ")</f>
        <v> </v>
      </c>
    </row>
    <row r="260" customFormat="false" ht="12" hidden="false" customHeight="false" outlineLevel="0" collapsed="false">
      <c r="A260" s="28"/>
      <c r="E260" s="2" t="str">
        <f aca="false">IF((F260&lt;&gt;0),"Enter Letter"," ")</f>
        <v> </v>
      </c>
      <c r="F260" s="30"/>
      <c r="G260" s="6" t="str">
        <f aca="false">IF(F260&lt;&gt;0,F260*G$2/(100+G$2)," ")</f>
        <v> </v>
      </c>
      <c r="H260" s="6" t="str">
        <f aca="false">IF((F260&lt;&gt;0),F260-G260," ")</f>
        <v> </v>
      </c>
      <c r="I260" s="5"/>
      <c r="L260" s="7" t="str">
        <f aca="false">IF(F260&lt;&gt;0,F260-K260," ")</f>
        <v> </v>
      </c>
      <c r="M260" s="8" t="str">
        <f aca="false">IF((F260-K260)&lt;&gt;0,M$1-A260," ")</f>
        <v> </v>
      </c>
      <c r="N260" s="5"/>
      <c r="O260" s="17" t="str">
        <f aca="false">IF((E260="s"),H260," ")</f>
        <v> </v>
      </c>
      <c r="P260" s="17" t="str">
        <f aca="false">IF((E260="c"),H260," ")</f>
        <v> </v>
      </c>
      <c r="Q260" s="17" t="str">
        <f aca="false">IF((E260="o"),H260," ")</f>
        <v> </v>
      </c>
      <c r="R260" s="17" t="str">
        <f aca="false">IF((E260="d"),H260," ")</f>
        <v> </v>
      </c>
      <c r="S260" s="17" t="str">
        <f aca="false">IF((E260="w"),H260," ")</f>
        <v> </v>
      </c>
      <c r="T260" s="17" t="str">
        <f aca="false">IF((E260="r"),H260," ")</f>
        <v> </v>
      </c>
      <c r="U260" s="17" t="str">
        <f aca="false">IF((E260="p"),H260," ")</f>
        <v> </v>
      </c>
      <c r="V260" s="17" t="str">
        <f aca="false">IF((E260="t"),H260," ")</f>
        <v> </v>
      </c>
      <c r="W260" s="17" t="str">
        <f aca="false">IF((E260="q"),H260," ")</f>
        <v> </v>
      </c>
      <c r="X260" s="17" t="str">
        <f aca="false">IF((E260="m"),H260," ")</f>
        <v> </v>
      </c>
      <c r="Y260" s="17" t="str">
        <f aca="false">IF((E260="u"),H260," ")</f>
        <v> </v>
      </c>
      <c r="Z260" s="17" t="str">
        <f aca="false">IF((E260="a"),H260," ")</f>
        <v> </v>
      </c>
      <c r="AA260" s="17" t="str">
        <f aca="false">IF((E260="g"),H260," ")</f>
        <v> </v>
      </c>
      <c r="AB260" s="17" t="str">
        <f aca="false">IF((E260="h"),H260," ")</f>
        <v> </v>
      </c>
      <c r="AC260" s="30" t="str">
        <f aca="false">IF((E260="v"),H260," ")</f>
        <v> </v>
      </c>
      <c r="AD260" s="30" t="str">
        <f aca="false">IF((E260="n"),H260," ")</f>
        <v> </v>
      </c>
      <c r="AE260" s="17" t="str">
        <f aca="false">IF((E260="f"),H260," ")</f>
        <v> </v>
      </c>
      <c r="AF260" s="17" t="str">
        <f aca="false">IF((E260="l"),H260," ")</f>
        <v> </v>
      </c>
      <c r="AG260" s="17" t="str">
        <f aca="false">IF((E260="y"),H260," ")</f>
        <v> </v>
      </c>
      <c r="AH260" s="17" t="str">
        <f aca="false">IF((E260="z"),H260," ")</f>
        <v> </v>
      </c>
      <c r="AI260" s="17" t="str">
        <f aca="false">IF((E260="fa"),H260," ")</f>
        <v> </v>
      </c>
      <c r="AJ260" s="17" t="str">
        <f aca="false">IF((E260="e"),H260," ")</f>
        <v> </v>
      </c>
    </row>
    <row r="261" customFormat="false" ht="12" hidden="false" customHeight="false" outlineLevel="0" collapsed="false">
      <c r="A261" s="28"/>
      <c r="E261" s="2" t="str">
        <f aca="false">IF((F261&lt;&gt;0),"Enter Letter"," ")</f>
        <v> </v>
      </c>
      <c r="F261" s="30"/>
      <c r="G261" s="6" t="str">
        <f aca="false">IF(F261&lt;&gt;0,F261*G$2/(100+G$2)," ")</f>
        <v> </v>
      </c>
      <c r="H261" s="6" t="str">
        <f aca="false">IF((F261&lt;&gt;0),F261-G261," ")</f>
        <v> </v>
      </c>
      <c r="I261" s="5"/>
      <c r="L261" s="7" t="str">
        <f aca="false">IF(F261&lt;&gt;0,F261-K261," ")</f>
        <v> </v>
      </c>
      <c r="M261" s="8" t="str">
        <f aca="false">IF((F261-K261)&lt;&gt;0,M$1-A261," ")</f>
        <v> </v>
      </c>
      <c r="N261" s="5"/>
      <c r="O261" s="17" t="str">
        <f aca="false">IF((E261="s"),H261," ")</f>
        <v> </v>
      </c>
      <c r="P261" s="17" t="str">
        <f aca="false">IF((E261="c"),H261," ")</f>
        <v> </v>
      </c>
      <c r="Q261" s="17" t="str">
        <f aca="false">IF((E261="o"),H261," ")</f>
        <v> </v>
      </c>
      <c r="R261" s="17" t="str">
        <f aca="false">IF((E261="d"),H261," ")</f>
        <v> </v>
      </c>
      <c r="S261" s="17" t="str">
        <f aca="false">IF((E261="w"),H261," ")</f>
        <v> </v>
      </c>
      <c r="T261" s="17" t="str">
        <f aca="false">IF((E261="r"),H261," ")</f>
        <v> </v>
      </c>
      <c r="U261" s="17" t="str">
        <f aca="false">IF((E261="p"),H261," ")</f>
        <v> </v>
      </c>
      <c r="V261" s="17" t="str">
        <f aca="false">IF((E261="t"),H261," ")</f>
        <v> </v>
      </c>
      <c r="W261" s="17" t="str">
        <f aca="false">IF((E261="q"),H261," ")</f>
        <v> </v>
      </c>
      <c r="X261" s="17" t="str">
        <f aca="false">IF((E261="m"),H261," ")</f>
        <v> </v>
      </c>
      <c r="Y261" s="17" t="str">
        <f aca="false">IF((E261="u"),H261," ")</f>
        <v> </v>
      </c>
      <c r="Z261" s="17" t="str">
        <f aca="false">IF((E261="a"),H261," ")</f>
        <v> </v>
      </c>
      <c r="AA261" s="17" t="str">
        <f aca="false">IF((E261="g"),H261," ")</f>
        <v> </v>
      </c>
      <c r="AB261" s="17" t="str">
        <f aca="false">IF((E261="h"),H261," ")</f>
        <v> </v>
      </c>
      <c r="AC261" s="30" t="str">
        <f aca="false">IF((E261="v"),H261," ")</f>
        <v> </v>
      </c>
      <c r="AD261" s="30" t="str">
        <f aca="false">IF((E261="n"),H261," ")</f>
        <v> </v>
      </c>
      <c r="AE261" s="17" t="str">
        <f aca="false">IF((E261="f"),H261," ")</f>
        <v> </v>
      </c>
      <c r="AF261" s="17" t="str">
        <f aca="false">IF((E261="l"),H261," ")</f>
        <v> </v>
      </c>
      <c r="AG261" s="17" t="str">
        <f aca="false">IF((E261="y"),H261," ")</f>
        <v> </v>
      </c>
      <c r="AH261" s="17" t="str">
        <f aca="false">IF((E261="z"),H261," ")</f>
        <v> </v>
      </c>
      <c r="AI261" s="17" t="str">
        <f aca="false">IF((E261="fa"),H261," ")</f>
        <v> </v>
      </c>
      <c r="AJ261" s="17" t="str">
        <f aca="false">IF((E261="e"),H261," ")</f>
        <v> </v>
      </c>
    </row>
    <row r="262" customFormat="false" ht="12" hidden="false" customHeight="false" outlineLevel="0" collapsed="false">
      <c r="A262" s="28"/>
      <c r="E262" s="2" t="str">
        <f aca="false">IF((F262&lt;&gt;0),"Enter Letter"," ")</f>
        <v> </v>
      </c>
      <c r="F262" s="30"/>
      <c r="G262" s="6" t="str">
        <f aca="false">IF(F262&lt;&gt;0,F262*G$2/(100+G$2)," ")</f>
        <v> </v>
      </c>
      <c r="H262" s="6" t="str">
        <f aca="false">IF((F262&lt;&gt;0),F262-G262," ")</f>
        <v> </v>
      </c>
      <c r="I262" s="5"/>
      <c r="L262" s="7" t="str">
        <f aca="false">IF(F262&lt;&gt;0,F262-K262," ")</f>
        <v> </v>
      </c>
      <c r="M262" s="8" t="str">
        <f aca="false">IF((F262-K262)&lt;&gt;0,M$1-A262," ")</f>
        <v> </v>
      </c>
      <c r="N262" s="5"/>
      <c r="O262" s="17" t="str">
        <f aca="false">IF((E262="s"),H262," ")</f>
        <v> </v>
      </c>
      <c r="P262" s="17" t="str">
        <f aca="false">IF((E262="c"),H262," ")</f>
        <v> </v>
      </c>
      <c r="Q262" s="17" t="str">
        <f aca="false">IF((E262="o"),H262," ")</f>
        <v> </v>
      </c>
      <c r="R262" s="17" t="str">
        <f aca="false">IF((E262="d"),H262," ")</f>
        <v> </v>
      </c>
      <c r="S262" s="17" t="str">
        <f aca="false">IF((E262="w"),H262," ")</f>
        <v> </v>
      </c>
      <c r="T262" s="17" t="str">
        <f aca="false">IF((E262="r"),H262," ")</f>
        <v> </v>
      </c>
      <c r="U262" s="17" t="str">
        <f aca="false">IF((E262="p"),H262," ")</f>
        <v> </v>
      </c>
      <c r="V262" s="17" t="str">
        <f aca="false">IF((E262="t"),H262," ")</f>
        <v> </v>
      </c>
      <c r="W262" s="17" t="str">
        <f aca="false">IF((E262="q"),H262," ")</f>
        <v> </v>
      </c>
      <c r="X262" s="17" t="str">
        <f aca="false">IF((E262="m"),H262," ")</f>
        <v> </v>
      </c>
      <c r="Y262" s="17" t="str">
        <f aca="false">IF((E262="u"),H262," ")</f>
        <v> </v>
      </c>
      <c r="Z262" s="17" t="str">
        <f aca="false">IF((E262="a"),H262," ")</f>
        <v> </v>
      </c>
      <c r="AA262" s="17" t="str">
        <f aca="false">IF((E262="g"),H262," ")</f>
        <v> </v>
      </c>
      <c r="AB262" s="17" t="str">
        <f aca="false">IF((E262="h"),H262," ")</f>
        <v> </v>
      </c>
      <c r="AC262" s="30" t="str">
        <f aca="false">IF((E262="v"),H262," ")</f>
        <v> </v>
      </c>
      <c r="AD262" s="30" t="str">
        <f aca="false">IF((E262="n"),H262," ")</f>
        <v> </v>
      </c>
      <c r="AE262" s="17" t="str">
        <f aca="false">IF((E262="f"),H262," ")</f>
        <v> </v>
      </c>
      <c r="AF262" s="17" t="str">
        <f aca="false">IF((E262="l"),H262," ")</f>
        <v> </v>
      </c>
      <c r="AG262" s="17" t="str">
        <f aca="false">IF((E262="y"),H262," ")</f>
        <v> </v>
      </c>
      <c r="AH262" s="17" t="str">
        <f aca="false">IF((E262="z"),H262," ")</f>
        <v> </v>
      </c>
      <c r="AI262" s="17" t="str">
        <f aca="false">IF((E262="fa"),H262," ")</f>
        <v> </v>
      </c>
      <c r="AJ262" s="17" t="str">
        <f aca="false">IF((E262="e"),H262," ")</f>
        <v> </v>
      </c>
    </row>
    <row r="263" customFormat="false" ht="12" hidden="false" customHeight="false" outlineLevel="0" collapsed="false">
      <c r="A263" s="28"/>
      <c r="E263" s="2" t="str">
        <f aca="false">IF((F263&lt;&gt;0),"Enter Letter"," ")</f>
        <v> </v>
      </c>
      <c r="F263" s="30"/>
      <c r="G263" s="6" t="str">
        <f aca="false">IF(F263&lt;&gt;0,F263*G$2/(100+G$2)," ")</f>
        <v> </v>
      </c>
      <c r="H263" s="6" t="str">
        <f aca="false">IF((F263&lt;&gt;0),F263-G263," ")</f>
        <v> </v>
      </c>
      <c r="I263" s="5"/>
      <c r="L263" s="7" t="str">
        <f aca="false">IF(F263&lt;&gt;0,F263-K263," ")</f>
        <v> </v>
      </c>
      <c r="M263" s="8" t="str">
        <f aca="false">IF((F263-K263)&lt;&gt;0,M$1-A263," ")</f>
        <v> </v>
      </c>
      <c r="N263" s="5"/>
      <c r="O263" s="17" t="str">
        <f aca="false">IF((E263="s"),H263," ")</f>
        <v> </v>
      </c>
      <c r="P263" s="17" t="str">
        <f aca="false">IF((E263="c"),H263," ")</f>
        <v> </v>
      </c>
      <c r="Q263" s="17" t="str">
        <f aca="false">IF((E263="o"),H263," ")</f>
        <v> </v>
      </c>
      <c r="R263" s="17" t="str">
        <f aca="false">IF((E263="d"),H263," ")</f>
        <v> </v>
      </c>
      <c r="S263" s="17" t="str">
        <f aca="false">IF((E263="w"),H263," ")</f>
        <v> </v>
      </c>
      <c r="T263" s="17" t="str">
        <f aca="false">IF((E263="r"),H263," ")</f>
        <v> </v>
      </c>
      <c r="U263" s="17" t="str">
        <f aca="false">IF((E263="p"),H263," ")</f>
        <v> </v>
      </c>
      <c r="V263" s="17" t="str">
        <f aca="false">IF((E263="t"),H263," ")</f>
        <v> </v>
      </c>
      <c r="W263" s="17" t="str">
        <f aca="false">IF((E263="q"),H263," ")</f>
        <v> </v>
      </c>
      <c r="X263" s="17" t="str">
        <f aca="false">IF((E263="m"),H263," ")</f>
        <v> </v>
      </c>
      <c r="Y263" s="17" t="str">
        <f aca="false">IF((E263="u"),H263," ")</f>
        <v> </v>
      </c>
      <c r="Z263" s="17" t="str">
        <f aca="false">IF((E263="a"),H263," ")</f>
        <v> </v>
      </c>
      <c r="AA263" s="17" t="str">
        <f aca="false">IF((E263="g"),H263," ")</f>
        <v> </v>
      </c>
      <c r="AB263" s="17" t="str">
        <f aca="false">IF((E263="h"),H263," ")</f>
        <v> </v>
      </c>
      <c r="AC263" s="30" t="str">
        <f aca="false">IF((E263="v"),H263," ")</f>
        <v> </v>
      </c>
      <c r="AD263" s="30" t="str">
        <f aca="false">IF((E263="n"),H263," ")</f>
        <v> </v>
      </c>
      <c r="AE263" s="17" t="str">
        <f aca="false">IF((E263="f"),H263," ")</f>
        <v> </v>
      </c>
      <c r="AF263" s="17" t="str">
        <f aca="false">IF((E263="l"),H263," ")</f>
        <v> </v>
      </c>
      <c r="AG263" s="17" t="str">
        <f aca="false">IF((E263="y"),H263," ")</f>
        <v> </v>
      </c>
      <c r="AH263" s="17" t="str">
        <f aca="false">IF((E263="z"),H263," ")</f>
        <v> </v>
      </c>
      <c r="AI263" s="17" t="str">
        <f aca="false">IF((E263="fa"),H263," ")</f>
        <v> </v>
      </c>
      <c r="AJ263" s="17" t="str">
        <f aca="false">IF((E263="e"),H263," ")</f>
        <v> </v>
      </c>
    </row>
    <row r="264" customFormat="false" ht="12" hidden="false" customHeight="false" outlineLevel="0" collapsed="false">
      <c r="A264" s="28"/>
      <c r="E264" s="2" t="str">
        <f aca="false">IF((F264&lt;&gt;0),"Enter Letter"," ")</f>
        <v> </v>
      </c>
      <c r="F264" s="30"/>
      <c r="G264" s="6" t="str">
        <f aca="false">IF(F264&lt;&gt;0,F264*G$2/(100+G$2)," ")</f>
        <v> </v>
      </c>
      <c r="H264" s="6" t="str">
        <f aca="false">IF((F264&lt;&gt;0),F264-G264," ")</f>
        <v> </v>
      </c>
      <c r="I264" s="5"/>
      <c r="L264" s="7" t="str">
        <f aca="false">IF(F264&lt;&gt;0,F264-K264," ")</f>
        <v> </v>
      </c>
      <c r="M264" s="8" t="str">
        <f aca="false">IF((F264-K264)&lt;&gt;0,M$1-A264," ")</f>
        <v> </v>
      </c>
      <c r="N264" s="5"/>
      <c r="O264" s="17" t="str">
        <f aca="false">IF((E264="s"),H264," ")</f>
        <v> </v>
      </c>
      <c r="P264" s="17" t="str">
        <f aca="false">IF((E264="c"),H264," ")</f>
        <v> </v>
      </c>
      <c r="Q264" s="17" t="str">
        <f aca="false">IF((E264="o"),H264," ")</f>
        <v> </v>
      </c>
      <c r="R264" s="17" t="str">
        <f aca="false">IF((E264="d"),H264," ")</f>
        <v> </v>
      </c>
      <c r="S264" s="17" t="str">
        <f aca="false">IF((E264="w"),H264," ")</f>
        <v> </v>
      </c>
      <c r="T264" s="17" t="str">
        <f aca="false">IF((E264="r"),H264," ")</f>
        <v> </v>
      </c>
      <c r="U264" s="17" t="str">
        <f aca="false">IF((E264="p"),H264," ")</f>
        <v> </v>
      </c>
      <c r="V264" s="17" t="str">
        <f aca="false">IF((E264="t"),H264," ")</f>
        <v> </v>
      </c>
      <c r="W264" s="17" t="str">
        <f aca="false">IF((E264="q"),H264," ")</f>
        <v> </v>
      </c>
      <c r="X264" s="17" t="str">
        <f aca="false">IF((E264="m"),H264," ")</f>
        <v> </v>
      </c>
      <c r="Y264" s="17" t="str">
        <f aca="false">IF((E264="u"),H264," ")</f>
        <v> </v>
      </c>
      <c r="Z264" s="17" t="str">
        <f aca="false">IF((E264="a"),H264," ")</f>
        <v> </v>
      </c>
      <c r="AA264" s="17" t="str">
        <f aca="false">IF((E264="g"),H264," ")</f>
        <v> </v>
      </c>
      <c r="AB264" s="17" t="str">
        <f aca="false">IF((E264="h"),H264," ")</f>
        <v> </v>
      </c>
      <c r="AC264" s="30" t="str">
        <f aca="false">IF((E264="v"),H264," ")</f>
        <v> </v>
      </c>
      <c r="AD264" s="30" t="str">
        <f aca="false">IF((E264="n"),H264," ")</f>
        <v> </v>
      </c>
      <c r="AE264" s="17" t="str">
        <f aca="false">IF((E264="f"),H264," ")</f>
        <v> </v>
      </c>
      <c r="AF264" s="17" t="str">
        <f aca="false">IF((E264="l"),H264," ")</f>
        <v> </v>
      </c>
      <c r="AG264" s="17" t="str">
        <f aca="false">IF((E264="y"),H264," ")</f>
        <v> </v>
      </c>
      <c r="AH264" s="17" t="str">
        <f aca="false">IF((E264="z"),H264," ")</f>
        <v> </v>
      </c>
      <c r="AI264" s="17" t="str">
        <f aca="false">IF((E264="fa"),H264," ")</f>
        <v> </v>
      </c>
      <c r="AJ264" s="17" t="str">
        <f aca="false">IF((E264="e"),H264," ")</f>
        <v> </v>
      </c>
    </row>
    <row r="265" customFormat="false" ht="12" hidden="false" customHeight="false" outlineLevel="0" collapsed="false">
      <c r="A265" s="28"/>
      <c r="E265" s="2" t="str">
        <f aca="false">IF((F265&lt;&gt;0),"Enter Letter"," ")</f>
        <v> </v>
      </c>
      <c r="F265" s="30"/>
      <c r="G265" s="6" t="str">
        <f aca="false">IF(F265&lt;&gt;0,F265*G$2/(100+G$2)," ")</f>
        <v> </v>
      </c>
      <c r="H265" s="6" t="str">
        <f aca="false">IF((F265&lt;&gt;0),F265-G265," ")</f>
        <v> </v>
      </c>
      <c r="I265" s="5"/>
      <c r="L265" s="7" t="str">
        <f aca="false">IF(F265&lt;&gt;0,F265-K265," ")</f>
        <v> </v>
      </c>
      <c r="M265" s="8" t="str">
        <f aca="false">IF((F265-K265)&lt;&gt;0,M$1-A265," ")</f>
        <v> </v>
      </c>
      <c r="N265" s="5"/>
      <c r="O265" s="17" t="str">
        <f aca="false">IF((E265="s"),H265," ")</f>
        <v> </v>
      </c>
      <c r="P265" s="17" t="str">
        <f aca="false">IF((E265="c"),H265," ")</f>
        <v> </v>
      </c>
      <c r="Q265" s="17" t="str">
        <f aca="false">IF((E265="o"),H265," ")</f>
        <v> </v>
      </c>
      <c r="R265" s="17" t="str">
        <f aca="false">IF((E265="d"),H265," ")</f>
        <v> </v>
      </c>
      <c r="S265" s="17" t="str">
        <f aca="false">IF((E265="w"),H265," ")</f>
        <v> </v>
      </c>
      <c r="T265" s="17" t="str">
        <f aca="false">IF((E265="r"),H265," ")</f>
        <v> </v>
      </c>
      <c r="U265" s="17" t="str">
        <f aca="false">IF((E265="p"),H265," ")</f>
        <v> </v>
      </c>
      <c r="V265" s="17" t="str">
        <f aca="false">IF((E265="t"),H265," ")</f>
        <v> </v>
      </c>
      <c r="W265" s="17" t="str">
        <f aca="false">IF((E265="q"),H265," ")</f>
        <v> </v>
      </c>
      <c r="X265" s="17" t="str">
        <f aca="false">IF((E265="m"),H265," ")</f>
        <v> </v>
      </c>
      <c r="Y265" s="17" t="str">
        <f aca="false">IF((E265="u"),H265," ")</f>
        <v> </v>
      </c>
      <c r="Z265" s="17" t="str">
        <f aca="false">IF((E265="a"),H265," ")</f>
        <v> </v>
      </c>
      <c r="AA265" s="17" t="str">
        <f aca="false">IF((E265="g"),H265," ")</f>
        <v> </v>
      </c>
      <c r="AB265" s="17" t="str">
        <f aca="false">IF((E265="h"),H265," ")</f>
        <v> </v>
      </c>
      <c r="AC265" s="30" t="str">
        <f aca="false">IF((E265="v"),H265," ")</f>
        <v> </v>
      </c>
      <c r="AD265" s="30" t="str">
        <f aca="false">IF((E265="n"),H265," ")</f>
        <v> </v>
      </c>
      <c r="AE265" s="17" t="str">
        <f aca="false">IF((E265="f"),H265," ")</f>
        <v> </v>
      </c>
      <c r="AF265" s="17" t="str">
        <f aca="false">IF((E265="l"),H265," ")</f>
        <v> </v>
      </c>
      <c r="AG265" s="17" t="str">
        <f aca="false">IF((E265="y"),H265," ")</f>
        <v> </v>
      </c>
      <c r="AH265" s="17" t="str">
        <f aca="false">IF((E265="z"),H265," ")</f>
        <v> </v>
      </c>
      <c r="AI265" s="17" t="str">
        <f aca="false">IF((E265="fa"),H265," ")</f>
        <v> </v>
      </c>
      <c r="AJ265" s="17" t="str">
        <f aca="false">IF((E265="e"),H265," ")</f>
        <v> </v>
      </c>
    </row>
    <row r="266" customFormat="false" ht="12" hidden="false" customHeight="false" outlineLevel="0" collapsed="false">
      <c r="A266" s="28"/>
      <c r="E266" s="2" t="str">
        <f aca="false">IF((F266&lt;&gt;0),"Enter Letter"," ")</f>
        <v> </v>
      </c>
      <c r="F266" s="30"/>
      <c r="G266" s="6" t="str">
        <f aca="false">IF(F266&lt;&gt;0,F266*G$2/(100+G$2)," ")</f>
        <v> </v>
      </c>
      <c r="H266" s="6" t="str">
        <f aca="false">IF((F266&lt;&gt;0),F266-G266," ")</f>
        <v> </v>
      </c>
      <c r="I266" s="5"/>
      <c r="L266" s="7" t="str">
        <f aca="false">IF(F266&lt;&gt;0,F266-K266," ")</f>
        <v> </v>
      </c>
      <c r="M266" s="8" t="str">
        <f aca="false">IF((F266-K266)&lt;&gt;0,M$1-A266," ")</f>
        <v> </v>
      </c>
      <c r="N266" s="5"/>
      <c r="O266" s="17" t="str">
        <f aca="false">IF((E266="s"),H266," ")</f>
        <v> </v>
      </c>
      <c r="P266" s="17" t="str">
        <f aca="false">IF((E266="c"),H266," ")</f>
        <v> </v>
      </c>
      <c r="Q266" s="17" t="str">
        <f aca="false">IF((E266="o"),H266," ")</f>
        <v> </v>
      </c>
      <c r="R266" s="17" t="str">
        <f aca="false">IF((E266="d"),H266," ")</f>
        <v> </v>
      </c>
      <c r="S266" s="17" t="str">
        <f aca="false">IF((E266="w"),H266," ")</f>
        <v> </v>
      </c>
      <c r="T266" s="17" t="str">
        <f aca="false">IF((E266="r"),H266," ")</f>
        <v> </v>
      </c>
      <c r="U266" s="17" t="str">
        <f aca="false">IF((E266="p"),H266," ")</f>
        <v> </v>
      </c>
      <c r="V266" s="17" t="str">
        <f aca="false">IF((E266="t"),H266," ")</f>
        <v> </v>
      </c>
      <c r="W266" s="17" t="str">
        <f aca="false">IF((E266="q"),H266," ")</f>
        <v> </v>
      </c>
      <c r="X266" s="17" t="str">
        <f aca="false">IF((E266="m"),H266," ")</f>
        <v> </v>
      </c>
      <c r="Y266" s="17" t="str">
        <f aca="false">IF((E266="u"),H266," ")</f>
        <v> </v>
      </c>
      <c r="Z266" s="17" t="str">
        <f aca="false">IF((E266="a"),H266," ")</f>
        <v> </v>
      </c>
      <c r="AA266" s="17" t="str">
        <f aca="false">IF((E266="g"),H266," ")</f>
        <v> </v>
      </c>
      <c r="AB266" s="17" t="str">
        <f aca="false">IF((E266="h"),H266," ")</f>
        <v> </v>
      </c>
      <c r="AC266" s="30" t="str">
        <f aca="false">IF((E266="v"),H266," ")</f>
        <v> </v>
      </c>
      <c r="AD266" s="30" t="str">
        <f aca="false">IF((E266="n"),H266," ")</f>
        <v> </v>
      </c>
      <c r="AE266" s="17" t="str">
        <f aca="false">IF((E266="f"),H266," ")</f>
        <v> </v>
      </c>
      <c r="AF266" s="17" t="str">
        <f aca="false">IF((E266="l"),H266," ")</f>
        <v> </v>
      </c>
      <c r="AG266" s="17" t="str">
        <f aca="false">IF((E266="y"),H266," ")</f>
        <v> </v>
      </c>
      <c r="AH266" s="17" t="str">
        <f aca="false">IF((E266="z"),H266," ")</f>
        <v> </v>
      </c>
      <c r="AI266" s="17" t="str">
        <f aca="false">IF((E266="fa"),H266," ")</f>
        <v> </v>
      </c>
      <c r="AJ266" s="17" t="str">
        <f aca="false">IF((E266="e"),H266," ")</f>
        <v> </v>
      </c>
    </row>
    <row r="267" customFormat="false" ht="12" hidden="false" customHeight="false" outlineLevel="0" collapsed="false">
      <c r="A267" s="28"/>
      <c r="E267" s="2" t="str">
        <f aca="false">IF((F267&lt;&gt;0),"Enter Letter"," ")</f>
        <v> </v>
      </c>
      <c r="F267" s="30"/>
      <c r="G267" s="6" t="str">
        <f aca="false">IF(F267&lt;&gt;0,F267*G$2/(100+G$2)," ")</f>
        <v> </v>
      </c>
      <c r="H267" s="6" t="str">
        <f aca="false">IF((F267&lt;&gt;0),F267-G267," ")</f>
        <v> </v>
      </c>
      <c r="I267" s="5"/>
      <c r="L267" s="7" t="str">
        <f aca="false">IF(F267&lt;&gt;0,F267-K267," ")</f>
        <v> </v>
      </c>
      <c r="M267" s="8" t="str">
        <f aca="false">IF((F267-K267)&lt;&gt;0,M$1-A267," ")</f>
        <v> </v>
      </c>
      <c r="N267" s="5"/>
      <c r="O267" s="17" t="str">
        <f aca="false">IF((E267="s"),H267," ")</f>
        <v> </v>
      </c>
      <c r="P267" s="17" t="str">
        <f aca="false">IF((E267="c"),H267," ")</f>
        <v> </v>
      </c>
      <c r="Q267" s="17" t="str">
        <f aca="false">IF((E267="o"),H267," ")</f>
        <v> </v>
      </c>
      <c r="R267" s="17" t="str">
        <f aca="false">IF((E267="d"),H267," ")</f>
        <v> </v>
      </c>
      <c r="S267" s="17" t="str">
        <f aca="false">IF((E267="w"),H267," ")</f>
        <v> </v>
      </c>
      <c r="T267" s="17" t="str">
        <f aca="false">IF((E267="r"),H267," ")</f>
        <v> </v>
      </c>
      <c r="U267" s="17" t="str">
        <f aca="false">IF((E267="p"),H267," ")</f>
        <v> </v>
      </c>
      <c r="V267" s="17" t="str">
        <f aca="false">IF((E267="t"),H267," ")</f>
        <v> </v>
      </c>
      <c r="W267" s="17" t="str">
        <f aca="false">IF((E267="q"),H267," ")</f>
        <v> </v>
      </c>
      <c r="X267" s="17" t="str">
        <f aca="false">IF((E267="m"),H267," ")</f>
        <v> </v>
      </c>
      <c r="Y267" s="17" t="str">
        <f aca="false">IF((E267="u"),H267," ")</f>
        <v> </v>
      </c>
      <c r="Z267" s="17" t="str">
        <f aca="false">IF((E267="a"),H267," ")</f>
        <v> </v>
      </c>
      <c r="AA267" s="17" t="str">
        <f aca="false">IF((E267="g"),H267," ")</f>
        <v> </v>
      </c>
      <c r="AB267" s="17" t="str">
        <f aca="false">IF((E267="h"),H267," ")</f>
        <v> </v>
      </c>
      <c r="AC267" s="30" t="str">
        <f aca="false">IF((E267="v"),H267," ")</f>
        <v> </v>
      </c>
      <c r="AD267" s="30" t="str">
        <f aca="false">IF((E267="n"),H267," ")</f>
        <v> </v>
      </c>
      <c r="AE267" s="17" t="str">
        <f aca="false">IF((E267="f"),H267," ")</f>
        <v> </v>
      </c>
      <c r="AF267" s="17" t="str">
        <f aca="false">IF((E267="l"),H267," ")</f>
        <v> </v>
      </c>
      <c r="AG267" s="17" t="str">
        <f aca="false">IF((E267="y"),H267," ")</f>
        <v> </v>
      </c>
      <c r="AH267" s="17" t="str">
        <f aca="false">IF((E267="z"),H267," ")</f>
        <v> </v>
      </c>
      <c r="AI267" s="17" t="str">
        <f aca="false">IF((E267="fa"),H267," ")</f>
        <v> </v>
      </c>
      <c r="AJ267" s="17" t="str">
        <f aca="false">IF((E267="e"),H267," ")</f>
        <v> </v>
      </c>
    </row>
    <row r="268" customFormat="false" ht="12" hidden="false" customHeight="false" outlineLevel="0" collapsed="false">
      <c r="A268" s="28"/>
      <c r="E268" s="2" t="str">
        <f aca="false">IF((F268&lt;&gt;0),"Enter Letter"," ")</f>
        <v> </v>
      </c>
      <c r="F268" s="30"/>
      <c r="G268" s="6" t="str">
        <f aca="false">IF(F268&lt;&gt;0,F268*G$2/(100+G$2)," ")</f>
        <v> </v>
      </c>
      <c r="H268" s="6" t="str">
        <f aca="false">IF((F268&lt;&gt;0),F268-G268," ")</f>
        <v> </v>
      </c>
      <c r="I268" s="5"/>
      <c r="L268" s="7" t="str">
        <f aca="false">IF(F268&lt;&gt;0,F268-K268," ")</f>
        <v> </v>
      </c>
      <c r="M268" s="8" t="str">
        <f aca="false">IF((F268-K268)&lt;&gt;0,M$1-A268," ")</f>
        <v> </v>
      </c>
      <c r="N268" s="5"/>
      <c r="O268" s="17" t="str">
        <f aca="false">IF((E268="s"),H268," ")</f>
        <v> </v>
      </c>
      <c r="P268" s="17" t="str">
        <f aca="false">IF((E268="c"),H268," ")</f>
        <v> </v>
      </c>
      <c r="Q268" s="17" t="str">
        <f aca="false">IF((E268="o"),H268," ")</f>
        <v> </v>
      </c>
      <c r="R268" s="17" t="str">
        <f aca="false">IF((E268="d"),H268," ")</f>
        <v> </v>
      </c>
      <c r="S268" s="17" t="str">
        <f aca="false">IF((E268="w"),H268," ")</f>
        <v> </v>
      </c>
      <c r="T268" s="17" t="str">
        <f aca="false">IF((E268="r"),H268," ")</f>
        <v> </v>
      </c>
      <c r="U268" s="17" t="str">
        <f aca="false">IF((E268="p"),H268," ")</f>
        <v> </v>
      </c>
      <c r="V268" s="17" t="str">
        <f aca="false">IF((E268="t"),H268," ")</f>
        <v> </v>
      </c>
      <c r="W268" s="17" t="str">
        <f aca="false">IF((E268="q"),H268," ")</f>
        <v> </v>
      </c>
      <c r="X268" s="17" t="str">
        <f aca="false">IF((E268="m"),H268," ")</f>
        <v> </v>
      </c>
      <c r="Y268" s="17" t="str">
        <f aca="false">IF((E268="u"),H268," ")</f>
        <v> </v>
      </c>
      <c r="Z268" s="17" t="str">
        <f aca="false">IF((E268="a"),H268," ")</f>
        <v> </v>
      </c>
      <c r="AA268" s="17" t="str">
        <f aca="false">IF((E268="g"),H268," ")</f>
        <v> </v>
      </c>
      <c r="AB268" s="17" t="str">
        <f aca="false">IF((E268="h"),H268," ")</f>
        <v> </v>
      </c>
      <c r="AC268" s="30" t="str">
        <f aca="false">IF((E268="v"),H268," ")</f>
        <v> </v>
      </c>
      <c r="AD268" s="30" t="str">
        <f aca="false">IF((E268="n"),H268," ")</f>
        <v> </v>
      </c>
      <c r="AE268" s="17" t="str">
        <f aca="false">IF((E268="f"),H268," ")</f>
        <v> </v>
      </c>
      <c r="AF268" s="17" t="str">
        <f aca="false">IF((E268="l"),H268," ")</f>
        <v> </v>
      </c>
      <c r="AG268" s="17" t="str">
        <f aca="false">IF((E268="y"),H268," ")</f>
        <v> </v>
      </c>
      <c r="AH268" s="17" t="str">
        <f aca="false">IF((E268="z"),H268," ")</f>
        <v> </v>
      </c>
      <c r="AI268" s="17" t="str">
        <f aca="false">IF((E268="fa"),H268," ")</f>
        <v> </v>
      </c>
      <c r="AJ268" s="17" t="str">
        <f aca="false">IF((E268="e"),H268," ")</f>
        <v> </v>
      </c>
    </row>
    <row r="269" customFormat="false" ht="12" hidden="false" customHeight="false" outlineLevel="0" collapsed="false">
      <c r="A269" s="28"/>
      <c r="E269" s="2" t="str">
        <f aca="false">IF((F269&lt;&gt;0),"Enter Letter"," ")</f>
        <v> </v>
      </c>
      <c r="F269" s="30"/>
      <c r="G269" s="6" t="str">
        <f aca="false">IF(F269&lt;&gt;0,F269*G$2/(100+G$2)," ")</f>
        <v> </v>
      </c>
      <c r="H269" s="6" t="str">
        <f aca="false">IF((F269&lt;&gt;0),F269-G269," ")</f>
        <v> </v>
      </c>
      <c r="I269" s="5"/>
      <c r="L269" s="7" t="str">
        <f aca="false">IF(F269&lt;&gt;0,F269-K269," ")</f>
        <v> </v>
      </c>
      <c r="M269" s="8" t="str">
        <f aca="false">IF((F269-K269)&lt;&gt;0,M$1-A269," ")</f>
        <v> </v>
      </c>
      <c r="N269" s="5"/>
      <c r="O269" s="17" t="str">
        <f aca="false">IF((E269="s"),H269," ")</f>
        <v> </v>
      </c>
      <c r="P269" s="17" t="str">
        <f aca="false">IF((E269="c"),H269," ")</f>
        <v> </v>
      </c>
      <c r="Q269" s="17" t="str">
        <f aca="false">IF((E269="o"),H269," ")</f>
        <v> </v>
      </c>
      <c r="R269" s="17" t="str">
        <f aca="false">IF((E269="d"),H269," ")</f>
        <v> </v>
      </c>
      <c r="S269" s="17" t="str">
        <f aca="false">IF((E269="w"),H269," ")</f>
        <v> </v>
      </c>
      <c r="T269" s="17" t="str">
        <f aca="false">IF((E269="r"),H269," ")</f>
        <v> </v>
      </c>
      <c r="U269" s="17" t="str">
        <f aca="false">IF((E269="p"),H269," ")</f>
        <v> </v>
      </c>
      <c r="V269" s="17" t="str">
        <f aca="false">IF((E269="t"),H269," ")</f>
        <v> </v>
      </c>
      <c r="W269" s="17" t="str">
        <f aca="false">IF((E269="q"),H269," ")</f>
        <v> </v>
      </c>
      <c r="X269" s="17" t="str">
        <f aca="false">IF((E269="m"),H269," ")</f>
        <v> </v>
      </c>
      <c r="Y269" s="17" t="str">
        <f aca="false">IF((E269="u"),H269," ")</f>
        <v> </v>
      </c>
      <c r="Z269" s="17" t="str">
        <f aca="false">IF((E269="a"),H269," ")</f>
        <v> </v>
      </c>
      <c r="AA269" s="17" t="str">
        <f aca="false">IF((E269="g"),H269," ")</f>
        <v> </v>
      </c>
      <c r="AB269" s="17" t="str">
        <f aca="false">IF((E269="h"),H269," ")</f>
        <v> </v>
      </c>
      <c r="AC269" s="30" t="str">
        <f aca="false">IF((E269="v"),H269," ")</f>
        <v> </v>
      </c>
      <c r="AD269" s="30" t="str">
        <f aca="false">IF((E269="n"),H269," ")</f>
        <v> </v>
      </c>
      <c r="AE269" s="17" t="str">
        <f aca="false">IF((E269="f"),H269," ")</f>
        <v> </v>
      </c>
      <c r="AF269" s="17" t="str">
        <f aca="false">IF((E269="l"),H269," ")</f>
        <v> </v>
      </c>
      <c r="AG269" s="17" t="str">
        <f aca="false">IF((E269="y"),H269," ")</f>
        <v> </v>
      </c>
      <c r="AH269" s="17" t="str">
        <f aca="false">IF((E269="z"),H269," ")</f>
        <v> </v>
      </c>
      <c r="AI269" s="17" t="str">
        <f aca="false">IF((E269="fa"),H269," ")</f>
        <v> </v>
      </c>
      <c r="AJ269" s="17" t="str">
        <f aca="false">IF((E269="e"),H269," ")</f>
        <v> </v>
      </c>
    </row>
    <row r="270" customFormat="false" ht="12" hidden="false" customHeight="false" outlineLevel="0" collapsed="false">
      <c r="A270" s="28"/>
      <c r="E270" s="2" t="str">
        <f aca="false">IF((F270&lt;&gt;0),"Enter Letter"," ")</f>
        <v> </v>
      </c>
      <c r="F270" s="30"/>
      <c r="G270" s="6" t="str">
        <f aca="false">IF(F270&lt;&gt;0,F270*G$2/(100+G$2)," ")</f>
        <v> </v>
      </c>
      <c r="H270" s="6" t="str">
        <f aca="false">IF((F270&lt;&gt;0),F270-G270," ")</f>
        <v> </v>
      </c>
      <c r="I270" s="5"/>
      <c r="L270" s="7" t="str">
        <f aca="false">IF(F270&lt;&gt;0,F270-K270," ")</f>
        <v> </v>
      </c>
      <c r="M270" s="8" t="str">
        <f aca="false">IF((F270-K270)&lt;&gt;0,M$1-A270," ")</f>
        <v> </v>
      </c>
      <c r="N270" s="5"/>
      <c r="O270" s="17" t="str">
        <f aca="false">IF((E270="s"),H270," ")</f>
        <v> </v>
      </c>
      <c r="P270" s="17" t="str">
        <f aca="false">IF((E270="c"),H270," ")</f>
        <v> </v>
      </c>
      <c r="Q270" s="17" t="str">
        <f aca="false">IF((E270="o"),H270," ")</f>
        <v> </v>
      </c>
      <c r="R270" s="17" t="str">
        <f aca="false">IF((E270="d"),H270," ")</f>
        <v> </v>
      </c>
      <c r="S270" s="17" t="str">
        <f aca="false">IF((E270="w"),H270," ")</f>
        <v> </v>
      </c>
      <c r="T270" s="17" t="str">
        <f aca="false">IF((E270="r"),H270," ")</f>
        <v> </v>
      </c>
      <c r="U270" s="17" t="str">
        <f aca="false">IF((E270="p"),H270," ")</f>
        <v> </v>
      </c>
      <c r="V270" s="17" t="str">
        <f aca="false">IF((E270="t"),H270," ")</f>
        <v> </v>
      </c>
      <c r="W270" s="17" t="str">
        <f aca="false">IF((E270="q"),H270," ")</f>
        <v> </v>
      </c>
      <c r="X270" s="17" t="str">
        <f aca="false">IF((E270="m"),H270," ")</f>
        <v> </v>
      </c>
      <c r="Y270" s="17" t="str">
        <f aca="false">IF((E270="u"),H270," ")</f>
        <v> </v>
      </c>
      <c r="Z270" s="17" t="str">
        <f aca="false">IF((E270="a"),H270," ")</f>
        <v> </v>
      </c>
      <c r="AA270" s="17" t="str">
        <f aca="false">IF((E270="g"),H270," ")</f>
        <v> </v>
      </c>
      <c r="AB270" s="17" t="str">
        <f aca="false">IF((E270="h"),H270," ")</f>
        <v> </v>
      </c>
      <c r="AC270" s="30" t="str">
        <f aca="false">IF((E270="v"),H270," ")</f>
        <v> </v>
      </c>
      <c r="AD270" s="30" t="str">
        <f aca="false">IF((E270="n"),H270," ")</f>
        <v> </v>
      </c>
      <c r="AE270" s="17" t="str">
        <f aca="false">IF((E270="f"),H270," ")</f>
        <v> </v>
      </c>
      <c r="AF270" s="17" t="str">
        <f aca="false">IF((E270="l"),H270," ")</f>
        <v> </v>
      </c>
      <c r="AG270" s="17" t="str">
        <f aca="false">IF((E270="y"),H270," ")</f>
        <v> </v>
      </c>
      <c r="AH270" s="17" t="str">
        <f aca="false">IF((E270="z"),H270," ")</f>
        <v> </v>
      </c>
      <c r="AI270" s="17" t="str">
        <f aca="false">IF((E270="fa"),H270," ")</f>
        <v> </v>
      </c>
      <c r="AJ270" s="17" t="str">
        <f aca="false">IF((E270="e"),H270," ")</f>
        <v> </v>
      </c>
    </row>
    <row r="271" customFormat="false" ht="12" hidden="false" customHeight="false" outlineLevel="0" collapsed="false">
      <c r="A271" s="28"/>
      <c r="E271" s="2" t="str">
        <f aca="false">IF((F271&lt;&gt;0),"Enter Letter"," ")</f>
        <v> </v>
      </c>
      <c r="F271" s="30"/>
      <c r="G271" s="6" t="str">
        <f aca="false">IF(F271&lt;&gt;0,F271*G$2/(100+G$2)," ")</f>
        <v> </v>
      </c>
      <c r="H271" s="6" t="str">
        <f aca="false">IF((F271&lt;&gt;0),F271-G271," ")</f>
        <v> </v>
      </c>
      <c r="I271" s="5"/>
      <c r="L271" s="7" t="str">
        <f aca="false">IF(F271&lt;&gt;0,F271-K271," ")</f>
        <v> </v>
      </c>
      <c r="M271" s="8" t="str">
        <f aca="false">IF((F271-K271)&lt;&gt;0,M$1-A271," ")</f>
        <v> </v>
      </c>
      <c r="N271" s="5"/>
      <c r="O271" s="17" t="str">
        <f aca="false">IF((E271="s"),H271," ")</f>
        <v> </v>
      </c>
      <c r="P271" s="17" t="str">
        <f aca="false">IF((E271="c"),H271," ")</f>
        <v> </v>
      </c>
      <c r="Q271" s="17" t="str">
        <f aca="false">IF((E271="o"),H271," ")</f>
        <v> </v>
      </c>
      <c r="R271" s="17" t="str">
        <f aca="false">IF((E271="d"),H271," ")</f>
        <v> </v>
      </c>
      <c r="S271" s="17" t="str">
        <f aca="false">IF((E271="w"),H271," ")</f>
        <v> </v>
      </c>
      <c r="T271" s="17" t="str">
        <f aca="false">IF((E271="r"),H271," ")</f>
        <v> </v>
      </c>
      <c r="U271" s="17" t="str">
        <f aca="false">IF((E271="p"),H271," ")</f>
        <v> </v>
      </c>
      <c r="V271" s="17" t="str">
        <f aca="false">IF((E271="t"),H271," ")</f>
        <v> </v>
      </c>
      <c r="W271" s="17" t="str">
        <f aca="false">IF((E271="q"),H271," ")</f>
        <v> </v>
      </c>
      <c r="X271" s="17" t="str">
        <f aca="false">IF((E271="m"),H271," ")</f>
        <v> </v>
      </c>
      <c r="Y271" s="17" t="str">
        <f aca="false">IF((E271="u"),H271," ")</f>
        <v> </v>
      </c>
      <c r="Z271" s="17" t="str">
        <f aca="false">IF((E271="a"),H271," ")</f>
        <v> </v>
      </c>
      <c r="AA271" s="17" t="str">
        <f aca="false">IF((E271="g"),H271," ")</f>
        <v> </v>
      </c>
      <c r="AB271" s="17" t="str">
        <f aca="false">IF((E271="h"),H271," ")</f>
        <v> </v>
      </c>
      <c r="AC271" s="30" t="str">
        <f aca="false">IF((E271="v"),H271," ")</f>
        <v> </v>
      </c>
      <c r="AD271" s="30" t="str">
        <f aca="false">IF((E271="n"),H271," ")</f>
        <v> </v>
      </c>
      <c r="AE271" s="17" t="str">
        <f aca="false">IF((E271="f"),H271," ")</f>
        <v> </v>
      </c>
      <c r="AF271" s="17" t="str">
        <f aca="false">IF((E271="l"),H271," ")</f>
        <v> </v>
      </c>
      <c r="AG271" s="17" t="str">
        <f aca="false">IF((E271="y"),H271," ")</f>
        <v> </v>
      </c>
      <c r="AH271" s="17" t="str">
        <f aca="false">IF((E271="z"),H271," ")</f>
        <v> </v>
      </c>
      <c r="AI271" s="17" t="str">
        <f aca="false">IF((E271="fa"),H271," ")</f>
        <v> </v>
      </c>
      <c r="AJ271" s="17" t="str">
        <f aca="false">IF((E271="e"),H271," ")</f>
        <v> </v>
      </c>
    </row>
    <row r="272" customFormat="false" ht="12" hidden="false" customHeight="false" outlineLevel="0" collapsed="false">
      <c r="A272" s="28"/>
      <c r="E272" s="2" t="str">
        <f aca="false">IF((F272&lt;&gt;0),"Enter Letter"," ")</f>
        <v> </v>
      </c>
      <c r="F272" s="30"/>
      <c r="G272" s="6" t="str">
        <f aca="false">IF(F272&lt;&gt;0,F272*G$2/(100+G$2)," ")</f>
        <v> </v>
      </c>
      <c r="H272" s="6" t="str">
        <f aca="false">IF((F272&lt;&gt;0),F272-G272," ")</f>
        <v> </v>
      </c>
      <c r="I272" s="5"/>
      <c r="L272" s="7" t="str">
        <f aca="false">IF(F272&lt;&gt;0,F272-K272," ")</f>
        <v> </v>
      </c>
      <c r="M272" s="8" t="str">
        <f aca="false">IF((F272-K272)&lt;&gt;0,M$1-A272," ")</f>
        <v> </v>
      </c>
      <c r="N272" s="5"/>
      <c r="O272" s="17" t="str">
        <f aca="false">IF((E272="s"),H272," ")</f>
        <v> </v>
      </c>
      <c r="P272" s="17" t="str">
        <f aca="false">IF((E272="c"),H272," ")</f>
        <v> </v>
      </c>
      <c r="Q272" s="17" t="str">
        <f aca="false">IF((E272="o"),H272," ")</f>
        <v> </v>
      </c>
      <c r="R272" s="17" t="str">
        <f aca="false">IF((E272="d"),H272," ")</f>
        <v> </v>
      </c>
      <c r="S272" s="17" t="str">
        <f aca="false">IF((E272="w"),H272," ")</f>
        <v> </v>
      </c>
      <c r="T272" s="17" t="str">
        <f aca="false">IF((E272="r"),H272," ")</f>
        <v> </v>
      </c>
      <c r="U272" s="17" t="str">
        <f aca="false">IF((E272="p"),H272," ")</f>
        <v> </v>
      </c>
      <c r="V272" s="17" t="str">
        <f aca="false">IF((E272="t"),H272," ")</f>
        <v> </v>
      </c>
      <c r="W272" s="17" t="str">
        <f aca="false">IF((E272="q"),H272," ")</f>
        <v> </v>
      </c>
      <c r="X272" s="17" t="str">
        <f aca="false">IF((E272="m"),H272," ")</f>
        <v> </v>
      </c>
      <c r="Y272" s="17" t="str">
        <f aca="false">IF((E272="u"),H272," ")</f>
        <v> </v>
      </c>
      <c r="Z272" s="17" t="str">
        <f aca="false">IF((E272="a"),H272," ")</f>
        <v> </v>
      </c>
      <c r="AA272" s="17" t="str">
        <f aca="false">IF((E272="g"),H272," ")</f>
        <v> </v>
      </c>
      <c r="AB272" s="17" t="str">
        <f aca="false">IF((E272="h"),H272," ")</f>
        <v> </v>
      </c>
      <c r="AC272" s="30" t="str">
        <f aca="false">IF((E272="v"),H272," ")</f>
        <v> </v>
      </c>
      <c r="AD272" s="30" t="str">
        <f aca="false">IF((E272="n"),H272," ")</f>
        <v> </v>
      </c>
      <c r="AE272" s="17" t="str">
        <f aca="false">IF((E272="f"),H272," ")</f>
        <v> </v>
      </c>
      <c r="AF272" s="17" t="str">
        <f aca="false">IF((E272="l"),H272," ")</f>
        <v> </v>
      </c>
      <c r="AG272" s="17" t="str">
        <f aca="false">IF((E272="y"),H272," ")</f>
        <v> </v>
      </c>
      <c r="AH272" s="17" t="str">
        <f aca="false">IF((E272="z"),H272," ")</f>
        <v> </v>
      </c>
      <c r="AI272" s="17" t="str">
        <f aca="false">IF((E272="fa"),H272," ")</f>
        <v> </v>
      </c>
      <c r="AJ272" s="17" t="str">
        <f aca="false">IF((E272="e"),H272," ")</f>
        <v> </v>
      </c>
    </row>
    <row r="273" customFormat="false" ht="12" hidden="false" customHeight="false" outlineLevel="0" collapsed="false">
      <c r="A273" s="28"/>
      <c r="E273" s="2" t="str">
        <f aca="false">IF((F273&lt;&gt;0),"Enter Letter"," ")</f>
        <v> </v>
      </c>
      <c r="F273" s="30"/>
      <c r="G273" s="6" t="str">
        <f aca="false">IF(F273&lt;&gt;0,F273*G$2/(100+G$2)," ")</f>
        <v> </v>
      </c>
      <c r="H273" s="6" t="str">
        <f aca="false">IF((F273&lt;&gt;0),F273-G273," ")</f>
        <v> </v>
      </c>
      <c r="I273" s="5"/>
      <c r="L273" s="7" t="str">
        <f aca="false">IF(F273&lt;&gt;0,F273-K273," ")</f>
        <v> </v>
      </c>
      <c r="M273" s="8" t="str">
        <f aca="false">IF((F273-K273)&lt;&gt;0,M$1-A273," ")</f>
        <v> </v>
      </c>
      <c r="N273" s="5"/>
      <c r="O273" s="17" t="str">
        <f aca="false">IF((E273="s"),H273," ")</f>
        <v> </v>
      </c>
      <c r="P273" s="17" t="str">
        <f aca="false">IF((E273="c"),H273," ")</f>
        <v> </v>
      </c>
      <c r="Q273" s="17" t="str">
        <f aca="false">IF((E273="o"),H273," ")</f>
        <v> </v>
      </c>
      <c r="R273" s="17" t="str">
        <f aca="false">IF((E273="d"),H273," ")</f>
        <v> </v>
      </c>
      <c r="S273" s="17" t="str">
        <f aca="false">IF((E273="w"),H273," ")</f>
        <v> </v>
      </c>
      <c r="T273" s="17" t="str">
        <f aca="false">IF((E273="r"),H273," ")</f>
        <v> </v>
      </c>
      <c r="U273" s="17" t="str">
        <f aca="false">IF((E273="p"),H273," ")</f>
        <v> </v>
      </c>
      <c r="V273" s="17" t="str">
        <f aca="false">IF((E273="t"),H273," ")</f>
        <v> </v>
      </c>
      <c r="W273" s="17" t="str">
        <f aca="false">IF((E273="q"),H273," ")</f>
        <v> </v>
      </c>
      <c r="X273" s="17" t="str">
        <f aca="false">IF((E273="m"),H273," ")</f>
        <v> </v>
      </c>
      <c r="Y273" s="17" t="str">
        <f aca="false">IF((E273="u"),H273," ")</f>
        <v> </v>
      </c>
      <c r="Z273" s="17" t="str">
        <f aca="false">IF((E273="a"),H273," ")</f>
        <v> </v>
      </c>
      <c r="AA273" s="17" t="str">
        <f aca="false">IF((E273="g"),H273," ")</f>
        <v> </v>
      </c>
      <c r="AB273" s="17" t="str">
        <f aca="false">IF((E273="h"),H273," ")</f>
        <v> </v>
      </c>
      <c r="AC273" s="30" t="str">
        <f aca="false">IF((E273="v"),H273," ")</f>
        <v> </v>
      </c>
      <c r="AD273" s="30" t="str">
        <f aca="false">IF((E273="n"),H273," ")</f>
        <v> </v>
      </c>
      <c r="AE273" s="17" t="str">
        <f aca="false">IF((E273="f"),H273," ")</f>
        <v> </v>
      </c>
      <c r="AF273" s="17" t="str">
        <f aca="false">IF((E273="l"),H273," ")</f>
        <v> </v>
      </c>
      <c r="AG273" s="17" t="str">
        <f aca="false">IF((E273="y"),H273," ")</f>
        <v> </v>
      </c>
      <c r="AH273" s="17" t="str">
        <f aca="false">IF((E273="z"),H273," ")</f>
        <v> </v>
      </c>
      <c r="AI273" s="17" t="str">
        <f aca="false">IF((E273="fa"),H273," ")</f>
        <v> </v>
      </c>
      <c r="AJ273" s="17" t="str">
        <f aca="false">IF((E273="e"),H273," ")</f>
        <v> </v>
      </c>
    </row>
    <row r="274" customFormat="false" ht="12" hidden="false" customHeight="false" outlineLevel="0" collapsed="false">
      <c r="A274" s="28"/>
      <c r="E274" s="2" t="str">
        <f aca="false">IF((F274&lt;&gt;0),"Enter Letter"," ")</f>
        <v> </v>
      </c>
      <c r="F274" s="30"/>
      <c r="G274" s="6" t="str">
        <f aca="false">IF(F274&lt;&gt;0,F274*G$2/(100+G$2)," ")</f>
        <v> </v>
      </c>
      <c r="H274" s="6" t="str">
        <f aca="false">IF((F274&lt;&gt;0),F274-G274," ")</f>
        <v> </v>
      </c>
      <c r="I274" s="5"/>
      <c r="L274" s="7" t="str">
        <f aca="false">IF(F274&lt;&gt;0,F274-K274," ")</f>
        <v> </v>
      </c>
      <c r="M274" s="8" t="str">
        <f aca="false">IF((F274-K274)&lt;&gt;0,M$1-A274," ")</f>
        <v> </v>
      </c>
      <c r="N274" s="5"/>
      <c r="O274" s="17" t="str">
        <f aca="false">IF((E274="s"),H274," ")</f>
        <v> </v>
      </c>
      <c r="P274" s="17" t="str">
        <f aca="false">IF((E274="c"),H274," ")</f>
        <v> </v>
      </c>
      <c r="Q274" s="17" t="str">
        <f aca="false">IF((E274="o"),H274," ")</f>
        <v> </v>
      </c>
      <c r="R274" s="17" t="str">
        <f aca="false">IF((E274="d"),H274," ")</f>
        <v> </v>
      </c>
      <c r="S274" s="17" t="str">
        <f aca="false">IF((E274="w"),H274," ")</f>
        <v> </v>
      </c>
      <c r="T274" s="17" t="str">
        <f aca="false">IF((E274="r"),H274," ")</f>
        <v> </v>
      </c>
      <c r="U274" s="17" t="str">
        <f aca="false">IF((E274="p"),H274," ")</f>
        <v> </v>
      </c>
      <c r="V274" s="17" t="str">
        <f aca="false">IF((E274="t"),H274," ")</f>
        <v> </v>
      </c>
      <c r="W274" s="17" t="str">
        <f aca="false">IF((E274="q"),H274," ")</f>
        <v> </v>
      </c>
      <c r="X274" s="17" t="str">
        <f aca="false">IF((E274="m"),H274," ")</f>
        <v> </v>
      </c>
      <c r="Y274" s="17" t="str">
        <f aca="false">IF((E274="u"),H274," ")</f>
        <v> </v>
      </c>
      <c r="Z274" s="17" t="str">
        <f aca="false">IF((E274="a"),H274," ")</f>
        <v> </v>
      </c>
      <c r="AA274" s="17" t="str">
        <f aca="false">IF((E274="g"),H274," ")</f>
        <v> </v>
      </c>
      <c r="AB274" s="17" t="str">
        <f aca="false">IF((E274="h"),H274," ")</f>
        <v> </v>
      </c>
      <c r="AC274" s="30" t="str">
        <f aca="false">IF((E274="v"),H274," ")</f>
        <v> </v>
      </c>
      <c r="AD274" s="30" t="str">
        <f aca="false">IF((E274="n"),H274," ")</f>
        <v> </v>
      </c>
      <c r="AE274" s="17" t="str">
        <f aca="false">IF((E274="f"),H274," ")</f>
        <v> </v>
      </c>
      <c r="AF274" s="17" t="str">
        <f aca="false">IF((E274="l"),H274," ")</f>
        <v> </v>
      </c>
      <c r="AG274" s="17" t="str">
        <f aca="false">IF((E274="y"),H274," ")</f>
        <v> </v>
      </c>
      <c r="AH274" s="17" t="str">
        <f aca="false">IF((E274="z"),H274," ")</f>
        <v> </v>
      </c>
      <c r="AI274" s="17" t="str">
        <f aca="false">IF((E274="fa"),H274," ")</f>
        <v> </v>
      </c>
      <c r="AJ274" s="17" t="str">
        <f aca="false">IF((E274="e"),H274," ")</f>
        <v> </v>
      </c>
    </row>
    <row r="275" customFormat="false" ht="12" hidden="false" customHeight="false" outlineLevel="0" collapsed="false">
      <c r="A275" s="28"/>
      <c r="E275" s="2" t="str">
        <f aca="false">IF((F275&lt;&gt;0),"Enter Letter"," ")</f>
        <v> </v>
      </c>
      <c r="F275" s="30"/>
      <c r="G275" s="6" t="str">
        <f aca="false">IF(F275&lt;&gt;0,F275*G$2/(100+G$2)," ")</f>
        <v> </v>
      </c>
      <c r="H275" s="6" t="str">
        <f aca="false">IF((F275&lt;&gt;0),F275-G275," ")</f>
        <v> </v>
      </c>
      <c r="I275" s="5"/>
      <c r="L275" s="7" t="str">
        <f aca="false">IF(F275&lt;&gt;0,F275-K275," ")</f>
        <v> </v>
      </c>
      <c r="M275" s="8" t="str">
        <f aca="false">IF((F275-K275)&lt;&gt;0,M$1-A275," ")</f>
        <v> </v>
      </c>
      <c r="N275" s="5"/>
      <c r="O275" s="17" t="str">
        <f aca="false">IF((E275="s"),H275," ")</f>
        <v> </v>
      </c>
      <c r="P275" s="17" t="str">
        <f aca="false">IF((E275="c"),H275," ")</f>
        <v> </v>
      </c>
      <c r="Q275" s="17" t="str">
        <f aca="false">IF((E275="o"),H275," ")</f>
        <v> </v>
      </c>
      <c r="R275" s="17" t="str">
        <f aca="false">IF((E275="d"),H275," ")</f>
        <v> </v>
      </c>
      <c r="S275" s="17" t="str">
        <f aca="false">IF((E275="w"),H275," ")</f>
        <v> </v>
      </c>
      <c r="T275" s="17" t="str">
        <f aca="false">IF((E275="r"),H275," ")</f>
        <v> </v>
      </c>
      <c r="U275" s="17" t="str">
        <f aca="false">IF((E275="p"),H275," ")</f>
        <v> </v>
      </c>
      <c r="V275" s="17" t="str">
        <f aca="false">IF((E275="t"),H275," ")</f>
        <v> </v>
      </c>
      <c r="W275" s="17" t="str">
        <f aca="false">IF((E275="q"),H275," ")</f>
        <v> </v>
      </c>
      <c r="X275" s="17" t="str">
        <f aca="false">IF((E275="m"),H275," ")</f>
        <v> </v>
      </c>
      <c r="Y275" s="17" t="str">
        <f aca="false">IF((E275="u"),H275," ")</f>
        <v> </v>
      </c>
      <c r="Z275" s="17" t="str">
        <f aca="false">IF((E275="a"),H275," ")</f>
        <v> </v>
      </c>
      <c r="AA275" s="17" t="str">
        <f aca="false">IF((E275="g"),H275," ")</f>
        <v> </v>
      </c>
      <c r="AB275" s="17" t="str">
        <f aca="false">IF((E275="h"),H275," ")</f>
        <v> </v>
      </c>
      <c r="AC275" s="30" t="str">
        <f aca="false">IF((E275="v"),H275," ")</f>
        <v> </v>
      </c>
      <c r="AD275" s="30" t="str">
        <f aca="false">IF((E275="n"),H275," ")</f>
        <v> </v>
      </c>
      <c r="AE275" s="17" t="str">
        <f aca="false">IF((E275="f"),H275," ")</f>
        <v> </v>
      </c>
      <c r="AF275" s="17" t="str">
        <f aca="false">IF((E275="l"),H275," ")</f>
        <v> </v>
      </c>
      <c r="AG275" s="17" t="str">
        <f aca="false">IF((E275="y"),H275," ")</f>
        <v> </v>
      </c>
      <c r="AH275" s="17" t="str">
        <f aca="false">IF((E275="z"),H275," ")</f>
        <v> </v>
      </c>
      <c r="AI275" s="17" t="str">
        <f aca="false">IF((E275="fa"),H275," ")</f>
        <v> </v>
      </c>
      <c r="AJ275" s="17" t="str">
        <f aca="false">IF((E275="e"),H275," ")</f>
        <v> </v>
      </c>
    </row>
    <row r="276" customFormat="false" ht="12" hidden="false" customHeight="false" outlineLevel="0" collapsed="false">
      <c r="A276" s="28"/>
      <c r="E276" s="2" t="str">
        <f aca="false">IF((F276&lt;&gt;0),"Enter Letter"," ")</f>
        <v> </v>
      </c>
      <c r="F276" s="30"/>
      <c r="G276" s="6" t="str">
        <f aca="false">IF(F276&lt;&gt;0,F276*G$2/(100+G$2)," ")</f>
        <v> </v>
      </c>
      <c r="H276" s="6" t="str">
        <f aca="false">IF((F276&lt;&gt;0),F276-G276," ")</f>
        <v> </v>
      </c>
      <c r="I276" s="5"/>
      <c r="L276" s="7" t="str">
        <f aca="false">IF(F276&lt;&gt;0,F276-K276," ")</f>
        <v> </v>
      </c>
      <c r="M276" s="8" t="str">
        <f aca="false">IF((F276-K276)&lt;&gt;0,M$1-A276," ")</f>
        <v> </v>
      </c>
      <c r="N276" s="5"/>
      <c r="O276" s="17" t="str">
        <f aca="false">IF((E276="s"),H276," ")</f>
        <v> </v>
      </c>
      <c r="P276" s="17" t="str">
        <f aca="false">IF((E276="c"),H276," ")</f>
        <v> </v>
      </c>
      <c r="Q276" s="17" t="str">
        <f aca="false">IF((E276="o"),H276," ")</f>
        <v> </v>
      </c>
      <c r="R276" s="17" t="str">
        <f aca="false">IF((E276="d"),H276," ")</f>
        <v> </v>
      </c>
      <c r="S276" s="17" t="str">
        <f aca="false">IF((E276="w"),H276," ")</f>
        <v> </v>
      </c>
      <c r="T276" s="17" t="str">
        <f aca="false">IF((E276="r"),H276," ")</f>
        <v> </v>
      </c>
      <c r="U276" s="17" t="str">
        <f aca="false">IF((E276="p"),H276," ")</f>
        <v> </v>
      </c>
      <c r="V276" s="17" t="str">
        <f aca="false">IF((E276="t"),H276," ")</f>
        <v> </v>
      </c>
      <c r="W276" s="17" t="str">
        <f aca="false">IF((E276="q"),H276," ")</f>
        <v> </v>
      </c>
      <c r="X276" s="17" t="str">
        <f aca="false">IF((E276="m"),H276," ")</f>
        <v> </v>
      </c>
      <c r="Y276" s="17" t="str">
        <f aca="false">IF((E276="u"),H276," ")</f>
        <v> </v>
      </c>
      <c r="Z276" s="17" t="str">
        <f aca="false">IF((E276="a"),H276," ")</f>
        <v> </v>
      </c>
      <c r="AA276" s="17" t="str">
        <f aca="false">IF((E276="g"),H276," ")</f>
        <v> </v>
      </c>
      <c r="AB276" s="17" t="str">
        <f aca="false">IF((E276="h"),H276," ")</f>
        <v> </v>
      </c>
      <c r="AC276" s="30" t="str">
        <f aca="false">IF((E276="v"),H276," ")</f>
        <v> </v>
      </c>
      <c r="AD276" s="30" t="str">
        <f aca="false">IF((E276="n"),H276," ")</f>
        <v> </v>
      </c>
      <c r="AE276" s="17" t="str">
        <f aca="false">IF((E276="f"),H276," ")</f>
        <v> </v>
      </c>
      <c r="AF276" s="17" t="str">
        <f aca="false">IF((E276="l"),H276," ")</f>
        <v> </v>
      </c>
      <c r="AG276" s="17" t="str">
        <f aca="false">IF((E276="y"),H276," ")</f>
        <v> </v>
      </c>
      <c r="AH276" s="17" t="str">
        <f aca="false">IF((E276="z"),H276," ")</f>
        <v> </v>
      </c>
      <c r="AI276" s="17" t="str">
        <f aca="false">IF((E276="fa"),H276," ")</f>
        <v> </v>
      </c>
      <c r="AJ276" s="17" t="str">
        <f aca="false">IF((E276="e"),H276," ")</f>
        <v> </v>
      </c>
    </row>
    <row r="277" customFormat="false" ht="12" hidden="false" customHeight="false" outlineLevel="0" collapsed="false">
      <c r="A277" s="28"/>
      <c r="E277" s="2" t="str">
        <f aca="false">IF((F277&lt;&gt;0),"Enter Letter"," ")</f>
        <v> </v>
      </c>
      <c r="F277" s="30"/>
      <c r="G277" s="6" t="str">
        <f aca="false">IF(F277&lt;&gt;0,F277*G$2/(100+G$2)," ")</f>
        <v> </v>
      </c>
      <c r="H277" s="6" t="str">
        <f aca="false">IF((F277&lt;&gt;0),F277-G277," ")</f>
        <v> </v>
      </c>
      <c r="I277" s="5"/>
      <c r="L277" s="7" t="str">
        <f aca="false">IF(F277&lt;&gt;0,F277-K277," ")</f>
        <v> </v>
      </c>
      <c r="M277" s="8" t="str">
        <f aca="false">IF((F277-K277)&lt;&gt;0,M$1-A277," ")</f>
        <v> </v>
      </c>
      <c r="N277" s="5"/>
      <c r="O277" s="17" t="str">
        <f aca="false">IF((E277="s"),H277," ")</f>
        <v> </v>
      </c>
      <c r="P277" s="17" t="str">
        <f aca="false">IF((E277="c"),H277," ")</f>
        <v> </v>
      </c>
      <c r="Q277" s="17" t="str">
        <f aca="false">IF((E277="o"),H277," ")</f>
        <v> </v>
      </c>
      <c r="R277" s="17" t="str">
        <f aca="false">IF((E277="d"),H277," ")</f>
        <v> </v>
      </c>
      <c r="S277" s="17" t="str">
        <f aca="false">IF((E277="w"),H277," ")</f>
        <v> </v>
      </c>
      <c r="T277" s="17" t="str">
        <f aca="false">IF((E277="r"),H277," ")</f>
        <v> </v>
      </c>
      <c r="U277" s="17" t="str">
        <f aca="false">IF((E277="p"),H277," ")</f>
        <v> </v>
      </c>
      <c r="V277" s="17" t="str">
        <f aca="false">IF((E277="t"),H277," ")</f>
        <v> </v>
      </c>
      <c r="W277" s="17" t="str">
        <f aca="false">IF((E277="q"),H277," ")</f>
        <v> </v>
      </c>
      <c r="X277" s="17" t="str">
        <f aca="false">IF((E277="m"),H277," ")</f>
        <v> </v>
      </c>
      <c r="Y277" s="17" t="str">
        <f aca="false">IF((E277="u"),H277," ")</f>
        <v> </v>
      </c>
      <c r="Z277" s="17" t="str">
        <f aca="false">IF((E277="a"),H277," ")</f>
        <v> </v>
      </c>
      <c r="AA277" s="17" t="str">
        <f aca="false">IF((E277="g"),H277," ")</f>
        <v> </v>
      </c>
      <c r="AB277" s="17" t="str">
        <f aca="false">IF((E277="h"),H277," ")</f>
        <v> </v>
      </c>
      <c r="AC277" s="30" t="str">
        <f aca="false">IF((E277="v"),H277," ")</f>
        <v> </v>
      </c>
      <c r="AD277" s="30" t="str">
        <f aca="false">IF((E277="n"),H277," ")</f>
        <v> </v>
      </c>
      <c r="AE277" s="17" t="str">
        <f aca="false">IF((E277="f"),H277," ")</f>
        <v> </v>
      </c>
      <c r="AF277" s="17" t="str">
        <f aca="false">IF((E277="l"),H277," ")</f>
        <v> </v>
      </c>
      <c r="AG277" s="17" t="str">
        <f aca="false">IF((E277="y"),H277," ")</f>
        <v> </v>
      </c>
      <c r="AH277" s="17" t="str">
        <f aca="false">IF((E277="z"),H277," ")</f>
        <v> </v>
      </c>
      <c r="AI277" s="17" t="str">
        <f aca="false">IF((E277="fa"),H277," ")</f>
        <v> </v>
      </c>
      <c r="AJ277" s="17" t="str">
        <f aca="false">IF((E277="e"),H277," ")</f>
        <v> </v>
      </c>
    </row>
    <row r="278" customFormat="false" ht="12" hidden="false" customHeight="false" outlineLevel="0" collapsed="false">
      <c r="A278" s="28"/>
      <c r="E278" s="2" t="str">
        <f aca="false">IF((F278&lt;&gt;0),"Enter Letter"," ")</f>
        <v> </v>
      </c>
      <c r="F278" s="30"/>
      <c r="G278" s="6" t="str">
        <f aca="false">IF(F278&lt;&gt;0,F278*G$2/(100+G$2)," ")</f>
        <v> </v>
      </c>
      <c r="H278" s="6" t="str">
        <f aca="false">IF((F278&lt;&gt;0),F278-G278," ")</f>
        <v> </v>
      </c>
      <c r="I278" s="5"/>
      <c r="L278" s="7" t="str">
        <f aca="false">IF(F278&lt;&gt;0,F278-K278," ")</f>
        <v> </v>
      </c>
      <c r="M278" s="8" t="str">
        <f aca="false">IF((F278-K278)&lt;&gt;0,M$1-A278," ")</f>
        <v> </v>
      </c>
      <c r="N278" s="5"/>
      <c r="O278" s="17" t="str">
        <f aca="false">IF((E278="s"),H278," ")</f>
        <v> </v>
      </c>
      <c r="P278" s="17" t="str">
        <f aca="false">IF((E278="c"),H278," ")</f>
        <v> </v>
      </c>
      <c r="Q278" s="17" t="str">
        <f aca="false">IF((E278="o"),H278," ")</f>
        <v> </v>
      </c>
      <c r="R278" s="17" t="str">
        <f aca="false">IF((E278="d"),H278," ")</f>
        <v> </v>
      </c>
      <c r="S278" s="17" t="str">
        <f aca="false">IF((E278="w"),H278," ")</f>
        <v> </v>
      </c>
      <c r="T278" s="17" t="str">
        <f aca="false">IF((E278="r"),H278," ")</f>
        <v> </v>
      </c>
      <c r="U278" s="17" t="str">
        <f aca="false">IF((E278="p"),H278," ")</f>
        <v> </v>
      </c>
      <c r="V278" s="17" t="str">
        <f aca="false">IF((E278="t"),H278," ")</f>
        <v> </v>
      </c>
      <c r="W278" s="17" t="str">
        <f aca="false">IF((E278="q"),H278," ")</f>
        <v> </v>
      </c>
      <c r="X278" s="17" t="str">
        <f aca="false">IF((E278="m"),H278," ")</f>
        <v> </v>
      </c>
      <c r="Y278" s="17" t="str">
        <f aca="false">IF((E278="u"),H278," ")</f>
        <v> </v>
      </c>
      <c r="Z278" s="17" t="str">
        <f aca="false">IF((E278="a"),H278," ")</f>
        <v> </v>
      </c>
      <c r="AA278" s="17" t="str">
        <f aca="false">IF((E278="g"),H278," ")</f>
        <v> </v>
      </c>
      <c r="AB278" s="17" t="str">
        <f aca="false">IF((E278="h"),H278," ")</f>
        <v> </v>
      </c>
      <c r="AC278" s="30" t="str">
        <f aca="false">IF((E278="v"),H278," ")</f>
        <v> </v>
      </c>
      <c r="AD278" s="30" t="str">
        <f aca="false">IF((E278="n"),H278," ")</f>
        <v> </v>
      </c>
      <c r="AE278" s="17" t="str">
        <f aca="false">IF((E278="f"),H278," ")</f>
        <v> </v>
      </c>
      <c r="AF278" s="17" t="str">
        <f aca="false">IF((E278="l"),H278," ")</f>
        <v> </v>
      </c>
      <c r="AG278" s="17" t="str">
        <f aca="false">IF((E278="y"),H278," ")</f>
        <v> </v>
      </c>
      <c r="AH278" s="17" t="str">
        <f aca="false">IF((E278="z"),H278," ")</f>
        <v> </v>
      </c>
      <c r="AI278" s="17" t="str">
        <f aca="false">IF((E278="fa"),H278," ")</f>
        <v> </v>
      </c>
      <c r="AJ278" s="17" t="str">
        <f aca="false">IF((E278="e"),H278," ")</f>
        <v> </v>
      </c>
    </row>
    <row r="279" customFormat="false" ht="12" hidden="false" customHeight="false" outlineLevel="0" collapsed="false">
      <c r="A279" s="28"/>
      <c r="E279" s="2" t="str">
        <f aca="false">IF((F279&lt;&gt;0),"Enter Letter"," ")</f>
        <v> </v>
      </c>
      <c r="F279" s="30"/>
      <c r="G279" s="6" t="str">
        <f aca="false">IF(F279&lt;&gt;0,F279*G$2/(100+G$2)," ")</f>
        <v> </v>
      </c>
      <c r="H279" s="6" t="str">
        <f aca="false">IF((F279&lt;&gt;0),F279-G279," ")</f>
        <v> </v>
      </c>
      <c r="I279" s="5"/>
      <c r="L279" s="7" t="str">
        <f aca="false">IF(F279&lt;&gt;0,F279-K279," ")</f>
        <v> </v>
      </c>
      <c r="M279" s="8" t="str">
        <f aca="false">IF((F279-K279)&lt;&gt;0,M$1-A279," ")</f>
        <v> </v>
      </c>
      <c r="N279" s="5"/>
      <c r="O279" s="17" t="str">
        <f aca="false">IF((E279="s"),H279," ")</f>
        <v> </v>
      </c>
      <c r="P279" s="17" t="str">
        <f aca="false">IF((E279="c"),H279," ")</f>
        <v> </v>
      </c>
      <c r="Q279" s="17" t="str">
        <f aca="false">IF((E279="o"),H279," ")</f>
        <v> </v>
      </c>
      <c r="R279" s="17" t="str">
        <f aca="false">IF((E279="d"),H279," ")</f>
        <v> </v>
      </c>
      <c r="S279" s="17" t="str">
        <f aca="false">IF((E279="w"),H279," ")</f>
        <v> </v>
      </c>
      <c r="T279" s="17" t="str">
        <f aca="false">IF((E279="r"),H279," ")</f>
        <v> </v>
      </c>
      <c r="U279" s="17" t="str">
        <f aca="false">IF((E279="p"),H279," ")</f>
        <v> </v>
      </c>
      <c r="V279" s="17" t="str">
        <f aca="false">IF((E279="t"),H279," ")</f>
        <v> </v>
      </c>
      <c r="W279" s="17" t="str">
        <f aca="false">IF((E279="q"),H279," ")</f>
        <v> </v>
      </c>
      <c r="X279" s="17" t="str">
        <f aca="false">IF((E279="m"),H279," ")</f>
        <v> </v>
      </c>
      <c r="Y279" s="17" t="str">
        <f aca="false">IF((E279="u"),H279," ")</f>
        <v> </v>
      </c>
      <c r="Z279" s="17" t="str">
        <f aca="false">IF((E279="a"),H279," ")</f>
        <v> </v>
      </c>
      <c r="AA279" s="17" t="str">
        <f aca="false">IF((E279="g"),H279," ")</f>
        <v> </v>
      </c>
      <c r="AB279" s="17" t="str">
        <f aca="false">IF((E279="h"),H279," ")</f>
        <v> </v>
      </c>
      <c r="AC279" s="30" t="str">
        <f aca="false">IF((E279="v"),H279," ")</f>
        <v> </v>
      </c>
      <c r="AD279" s="30" t="str">
        <f aca="false">IF((E279="n"),H279," ")</f>
        <v> </v>
      </c>
      <c r="AE279" s="17" t="str">
        <f aca="false">IF((E279="f"),H279," ")</f>
        <v> </v>
      </c>
      <c r="AF279" s="17" t="str">
        <f aca="false">IF((E279="l"),H279," ")</f>
        <v> </v>
      </c>
      <c r="AG279" s="17" t="str">
        <f aca="false">IF((E279="y"),H279," ")</f>
        <v> </v>
      </c>
      <c r="AH279" s="17" t="str">
        <f aca="false">IF((E279="z"),H279," ")</f>
        <v> </v>
      </c>
      <c r="AI279" s="17" t="str">
        <f aca="false">IF((E279="fa"),H279," ")</f>
        <v> </v>
      </c>
      <c r="AJ279" s="17" t="str">
        <f aca="false">IF((E279="e"),H279," ")</f>
        <v> </v>
      </c>
    </row>
    <row r="280" customFormat="false" ht="12" hidden="false" customHeight="false" outlineLevel="0" collapsed="false">
      <c r="A280" s="28"/>
      <c r="E280" s="2" t="str">
        <f aca="false">IF((F280&lt;&gt;0),"Enter Letter"," ")</f>
        <v> </v>
      </c>
      <c r="F280" s="30"/>
      <c r="G280" s="6" t="str">
        <f aca="false">IF(F280&lt;&gt;0,F280*G$2/(100+G$2)," ")</f>
        <v> </v>
      </c>
      <c r="H280" s="6" t="str">
        <f aca="false">IF((F280&lt;&gt;0),F280-G280," ")</f>
        <v> </v>
      </c>
      <c r="I280" s="5"/>
      <c r="L280" s="7" t="str">
        <f aca="false">IF(F280&lt;&gt;0,F280-K280," ")</f>
        <v> </v>
      </c>
      <c r="M280" s="8" t="str">
        <f aca="false">IF((F280-K280)&lt;&gt;0,M$1-A280," ")</f>
        <v> </v>
      </c>
      <c r="N280" s="5"/>
      <c r="O280" s="17" t="str">
        <f aca="false">IF((E280="s"),H280," ")</f>
        <v> </v>
      </c>
      <c r="P280" s="17" t="str">
        <f aca="false">IF((E280="c"),H280," ")</f>
        <v> </v>
      </c>
      <c r="Q280" s="17" t="str">
        <f aca="false">IF((E280="o"),H280," ")</f>
        <v> </v>
      </c>
      <c r="R280" s="17" t="str">
        <f aca="false">IF((E280="d"),H280," ")</f>
        <v> </v>
      </c>
      <c r="S280" s="17" t="str">
        <f aca="false">IF((E280="w"),H280," ")</f>
        <v> </v>
      </c>
      <c r="T280" s="17" t="str">
        <f aca="false">IF((E280="r"),H280," ")</f>
        <v> </v>
      </c>
      <c r="U280" s="17" t="str">
        <f aca="false">IF((E280="p"),H280," ")</f>
        <v> </v>
      </c>
      <c r="V280" s="17" t="str">
        <f aca="false">IF((E280="t"),H280," ")</f>
        <v> </v>
      </c>
      <c r="W280" s="17" t="str">
        <f aca="false">IF((E280="q"),H280," ")</f>
        <v> </v>
      </c>
      <c r="X280" s="17" t="str">
        <f aca="false">IF((E280="m"),H280," ")</f>
        <v> </v>
      </c>
      <c r="Y280" s="17" t="str">
        <f aca="false">IF((E280="u"),H280," ")</f>
        <v> </v>
      </c>
      <c r="Z280" s="17" t="str">
        <f aca="false">IF((E280="a"),H280," ")</f>
        <v> </v>
      </c>
      <c r="AA280" s="17" t="str">
        <f aca="false">IF((E280="g"),H280," ")</f>
        <v> </v>
      </c>
      <c r="AB280" s="17" t="str">
        <f aca="false">IF((E280="h"),H280," ")</f>
        <v> </v>
      </c>
      <c r="AC280" s="30" t="str">
        <f aca="false">IF((E280="v"),H280," ")</f>
        <v> </v>
      </c>
      <c r="AD280" s="30" t="str">
        <f aca="false">IF((E280="n"),H280," ")</f>
        <v> </v>
      </c>
      <c r="AE280" s="17" t="str">
        <f aca="false">IF((E280="f"),H280," ")</f>
        <v> </v>
      </c>
      <c r="AF280" s="17" t="str">
        <f aca="false">IF((E280="l"),H280," ")</f>
        <v> </v>
      </c>
      <c r="AG280" s="17" t="str">
        <f aca="false">IF((E280="y"),H280," ")</f>
        <v> </v>
      </c>
      <c r="AH280" s="17" t="str">
        <f aca="false">IF((E280="z"),H280," ")</f>
        <v> </v>
      </c>
      <c r="AI280" s="17" t="str">
        <f aca="false">IF((E280="fa"),H280," ")</f>
        <v> </v>
      </c>
      <c r="AJ280" s="17" t="str">
        <f aca="false">IF((E280="e"),H280," ")</f>
        <v> </v>
      </c>
    </row>
    <row r="281" customFormat="false" ht="12" hidden="false" customHeight="false" outlineLevel="0" collapsed="false">
      <c r="A281" s="28"/>
      <c r="E281" s="2" t="str">
        <f aca="false">IF((F281&lt;&gt;0),"Enter Letter"," ")</f>
        <v> </v>
      </c>
      <c r="F281" s="30"/>
      <c r="G281" s="6" t="str">
        <f aca="false">IF(F281&lt;&gt;0,F281*G$2/(100+G$2)," ")</f>
        <v> </v>
      </c>
      <c r="H281" s="6" t="str">
        <f aca="false">IF((F281&lt;&gt;0),F281-G281," ")</f>
        <v> </v>
      </c>
      <c r="I281" s="5"/>
      <c r="L281" s="7" t="str">
        <f aca="false">IF(F281&lt;&gt;0,F281-K281," ")</f>
        <v> </v>
      </c>
      <c r="M281" s="8" t="str">
        <f aca="false">IF((F281-K281)&lt;&gt;0,M$1-A281," ")</f>
        <v> </v>
      </c>
      <c r="N281" s="5"/>
      <c r="O281" s="17" t="str">
        <f aca="false">IF((E281="s"),H281," ")</f>
        <v> </v>
      </c>
      <c r="P281" s="17" t="str">
        <f aca="false">IF((E281="c"),H281," ")</f>
        <v> </v>
      </c>
      <c r="Q281" s="17" t="str">
        <f aca="false">IF((E281="o"),H281," ")</f>
        <v> </v>
      </c>
      <c r="R281" s="17" t="str">
        <f aca="false">IF((E281="d"),H281," ")</f>
        <v> </v>
      </c>
      <c r="S281" s="17" t="str">
        <f aca="false">IF((E281="w"),H281," ")</f>
        <v> </v>
      </c>
      <c r="T281" s="17" t="str">
        <f aca="false">IF((E281="r"),H281," ")</f>
        <v> </v>
      </c>
      <c r="U281" s="17" t="str">
        <f aca="false">IF((E281="p"),H281," ")</f>
        <v> </v>
      </c>
      <c r="V281" s="17" t="str">
        <f aca="false">IF((E281="t"),H281," ")</f>
        <v> </v>
      </c>
      <c r="W281" s="17" t="str">
        <f aca="false">IF((E281="q"),H281," ")</f>
        <v> </v>
      </c>
      <c r="X281" s="17" t="str">
        <f aca="false">IF((E281="m"),H281," ")</f>
        <v> </v>
      </c>
      <c r="Y281" s="17" t="str">
        <f aca="false">IF((E281="u"),H281," ")</f>
        <v> </v>
      </c>
      <c r="Z281" s="17" t="str">
        <f aca="false">IF((E281="a"),H281," ")</f>
        <v> </v>
      </c>
      <c r="AA281" s="17" t="str">
        <f aca="false">IF((E281="g"),H281," ")</f>
        <v> </v>
      </c>
      <c r="AB281" s="17" t="str">
        <f aca="false">IF((E281="h"),H281," ")</f>
        <v> </v>
      </c>
      <c r="AC281" s="30" t="str">
        <f aca="false">IF((E281="v"),H281," ")</f>
        <v> </v>
      </c>
      <c r="AD281" s="30" t="str">
        <f aca="false">IF((E281="n"),H281," ")</f>
        <v> </v>
      </c>
      <c r="AE281" s="17" t="str">
        <f aca="false">IF((E281="f"),H281," ")</f>
        <v> </v>
      </c>
      <c r="AF281" s="17" t="str">
        <f aca="false">IF((E281="l"),H281," ")</f>
        <v> </v>
      </c>
      <c r="AG281" s="17" t="str">
        <f aca="false">IF((E281="y"),H281," ")</f>
        <v> </v>
      </c>
      <c r="AH281" s="17" t="str">
        <f aca="false">IF((E281="z"),H281," ")</f>
        <v> </v>
      </c>
      <c r="AI281" s="17" t="str">
        <f aca="false">IF((E281="fa"),H281," ")</f>
        <v> </v>
      </c>
      <c r="AJ281" s="17" t="str">
        <f aca="false">IF((E281="e"),H281," ")</f>
        <v> </v>
      </c>
    </row>
    <row r="282" customFormat="false" ht="12" hidden="false" customHeight="false" outlineLevel="0" collapsed="false">
      <c r="A282" s="28"/>
      <c r="E282" s="2" t="str">
        <f aca="false">IF((F282&lt;&gt;0),"Enter Letter"," ")</f>
        <v> </v>
      </c>
      <c r="F282" s="30"/>
      <c r="G282" s="6" t="str">
        <f aca="false">IF(F282&lt;&gt;0,F282*G$2/(100+G$2)," ")</f>
        <v> </v>
      </c>
      <c r="H282" s="6" t="str">
        <f aca="false">IF((F282&lt;&gt;0),F282-G282," ")</f>
        <v> </v>
      </c>
      <c r="I282" s="5"/>
      <c r="L282" s="7" t="str">
        <f aca="false">IF(F282&lt;&gt;0,F282-K282," ")</f>
        <v> </v>
      </c>
      <c r="M282" s="8" t="str">
        <f aca="false">IF((F282-K282)&lt;&gt;0,M$1-A282," ")</f>
        <v> </v>
      </c>
      <c r="N282" s="5"/>
      <c r="O282" s="17" t="str">
        <f aca="false">IF((E282="s"),H282," ")</f>
        <v> </v>
      </c>
      <c r="P282" s="17" t="str">
        <f aca="false">IF((E282="c"),H282," ")</f>
        <v> </v>
      </c>
      <c r="Q282" s="17" t="str">
        <f aca="false">IF((E282="o"),H282," ")</f>
        <v> </v>
      </c>
      <c r="R282" s="17" t="str">
        <f aca="false">IF((E282="d"),H282," ")</f>
        <v> </v>
      </c>
      <c r="S282" s="17" t="str">
        <f aca="false">IF((E282="w"),H282," ")</f>
        <v> </v>
      </c>
      <c r="T282" s="17" t="str">
        <f aca="false">IF((E282="r"),H282," ")</f>
        <v> </v>
      </c>
      <c r="U282" s="17" t="str">
        <f aca="false">IF((E282="p"),H282," ")</f>
        <v> </v>
      </c>
      <c r="V282" s="17" t="str">
        <f aca="false">IF((E282="t"),H282," ")</f>
        <v> </v>
      </c>
      <c r="W282" s="17" t="str">
        <f aca="false">IF((E282="q"),H282," ")</f>
        <v> </v>
      </c>
      <c r="X282" s="17" t="str">
        <f aca="false">IF((E282="m"),H282," ")</f>
        <v> </v>
      </c>
      <c r="Y282" s="17" t="str">
        <f aca="false">IF((E282="u"),H282," ")</f>
        <v> </v>
      </c>
      <c r="Z282" s="17" t="str">
        <f aca="false">IF((E282="a"),H282," ")</f>
        <v> </v>
      </c>
      <c r="AA282" s="17" t="str">
        <f aca="false">IF((E282="g"),H282," ")</f>
        <v> </v>
      </c>
      <c r="AB282" s="17" t="str">
        <f aca="false">IF((E282="h"),H282," ")</f>
        <v> </v>
      </c>
      <c r="AC282" s="30" t="str">
        <f aca="false">IF((E282="v"),H282," ")</f>
        <v> </v>
      </c>
      <c r="AD282" s="30" t="str">
        <f aca="false">IF((E282="n"),H282," ")</f>
        <v> </v>
      </c>
      <c r="AE282" s="17" t="str">
        <f aca="false">IF((E282="f"),H282," ")</f>
        <v> </v>
      </c>
      <c r="AF282" s="17" t="str">
        <f aca="false">IF((E282="l"),H282," ")</f>
        <v> </v>
      </c>
      <c r="AG282" s="17" t="str">
        <f aca="false">IF((E282="y"),H282," ")</f>
        <v> </v>
      </c>
      <c r="AH282" s="17" t="str">
        <f aca="false">IF((E282="z"),H282," ")</f>
        <v> </v>
      </c>
      <c r="AI282" s="17" t="str">
        <f aca="false">IF((E282="fa"),H282," ")</f>
        <v> </v>
      </c>
      <c r="AJ282" s="17" t="str">
        <f aca="false">IF((E282="e"),H282," ")</f>
        <v> </v>
      </c>
    </row>
    <row r="283" customFormat="false" ht="12" hidden="false" customHeight="false" outlineLevel="0" collapsed="false">
      <c r="A283" s="28"/>
      <c r="E283" s="2" t="str">
        <f aca="false">IF((F283&lt;&gt;0),"Enter Letter"," ")</f>
        <v> </v>
      </c>
      <c r="F283" s="30"/>
      <c r="G283" s="6" t="str">
        <f aca="false">IF(F283&lt;&gt;0,F283*G$2/(100+G$2)," ")</f>
        <v> </v>
      </c>
      <c r="H283" s="6" t="str">
        <f aca="false">IF((F283&lt;&gt;0),F283-G283," ")</f>
        <v> </v>
      </c>
      <c r="I283" s="5"/>
      <c r="L283" s="7" t="str">
        <f aca="false">IF(F283&lt;&gt;0,F283-K283," ")</f>
        <v> </v>
      </c>
      <c r="M283" s="8" t="str">
        <f aca="false">IF((F283-K283)&lt;&gt;0,M$1-A283," ")</f>
        <v> </v>
      </c>
      <c r="N283" s="5"/>
      <c r="O283" s="17" t="str">
        <f aca="false">IF((E283="s"),H283," ")</f>
        <v> </v>
      </c>
      <c r="P283" s="17" t="str">
        <f aca="false">IF((E283="c"),H283," ")</f>
        <v> </v>
      </c>
      <c r="Q283" s="17" t="str">
        <f aca="false">IF((E283="o"),H283," ")</f>
        <v> </v>
      </c>
      <c r="R283" s="17" t="str">
        <f aca="false">IF((E283="d"),H283," ")</f>
        <v> </v>
      </c>
      <c r="S283" s="17" t="str">
        <f aca="false">IF((E283="w"),H283," ")</f>
        <v> </v>
      </c>
      <c r="T283" s="17" t="str">
        <f aca="false">IF((E283="r"),H283," ")</f>
        <v> </v>
      </c>
      <c r="U283" s="17" t="str">
        <f aca="false">IF((E283="p"),H283," ")</f>
        <v> </v>
      </c>
      <c r="V283" s="17" t="str">
        <f aca="false">IF((E283="t"),H283," ")</f>
        <v> </v>
      </c>
      <c r="W283" s="17" t="str">
        <f aca="false">IF((E283="q"),H283," ")</f>
        <v> </v>
      </c>
      <c r="X283" s="17" t="str">
        <f aca="false">IF((E283="m"),H283," ")</f>
        <v> </v>
      </c>
      <c r="Y283" s="17" t="str">
        <f aca="false">IF((E283="u"),H283," ")</f>
        <v> </v>
      </c>
      <c r="Z283" s="17" t="str">
        <f aca="false">IF((E283="a"),H283," ")</f>
        <v> </v>
      </c>
      <c r="AA283" s="17" t="str">
        <f aca="false">IF((E283="g"),H283," ")</f>
        <v> </v>
      </c>
      <c r="AB283" s="17" t="str">
        <f aca="false">IF((E283="h"),H283," ")</f>
        <v> </v>
      </c>
      <c r="AC283" s="30" t="str">
        <f aca="false">IF((E283="v"),H283," ")</f>
        <v> </v>
      </c>
      <c r="AD283" s="30" t="str">
        <f aca="false">IF((E283="n"),H283," ")</f>
        <v> </v>
      </c>
      <c r="AE283" s="17" t="str">
        <f aca="false">IF((E283="f"),H283," ")</f>
        <v> </v>
      </c>
      <c r="AF283" s="17" t="str">
        <f aca="false">IF((E283="l"),H283," ")</f>
        <v> </v>
      </c>
      <c r="AG283" s="17" t="str">
        <f aca="false">IF((E283="y"),H283," ")</f>
        <v> </v>
      </c>
      <c r="AH283" s="17" t="str">
        <f aca="false">IF((E283="z"),H283," ")</f>
        <v> </v>
      </c>
      <c r="AI283" s="17" t="str">
        <f aca="false">IF((E283="fa"),H283," ")</f>
        <v> </v>
      </c>
      <c r="AJ283" s="17" t="str">
        <f aca="false">IF((E283="e"),H283," ")</f>
        <v> </v>
      </c>
    </row>
    <row r="284" customFormat="false" ht="12" hidden="false" customHeight="false" outlineLevel="0" collapsed="false">
      <c r="A284" s="28"/>
      <c r="E284" s="2" t="str">
        <f aca="false">IF((F284&lt;&gt;0),"Enter Letter"," ")</f>
        <v> </v>
      </c>
      <c r="F284" s="30"/>
      <c r="G284" s="6" t="str">
        <f aca="false">IF(F284&lt;&gt;0,F284*G$2/(100+G$2)," ")</f>
        <v> </v>
      </c>
      <c r="H284" s="6" t="str">
        <f aca="false">IF((F284&lt;&gt;0),F284-G284," ")</f>
        <v> </v>
      </c>
      <c r="I284" s="5"/>
      <c r="L284" s="7" t="str">
        <f aca="false">IF(F284&lt;&gt;0,F284-K284," ")</f>
        <v> </v>
      </c>
      <c r="M284" s="8" t="str">
        <f aca="false">IF((F284-K284)&lt;&gt;0,M$1-A284," ")</f>
        <v> </v>
      </c>
      <c r="N284" s="5"/>
      <c r="O284" s="17" t="str">
        <f aca="false">IF((E284="s"),H284," ")</f>
        <v> </v>
      </c>
      <c r="P284" s="17" t="str">
        <f aca="false">IF((E284="c"),H284," ")</f>
        <v> </v>
      </c>
      <c r="Q284" s="17" t="str">
        <f aca="false">IF((E284="o"),H284," ")</f>
        <v> </v>
      </c>
      <c r="R284" s="17" t="str">
        <f aca="false">IF((E284="d"),H284," ")</f>
        <v> </v>
      </c>
      <c r="S284" s="17" t="str">
        <f aca="false">IF((E284="w"),H284," ")</f>
        <v> </v>
      </c>
      <c r="T284" s="17" t="str">
        <f aca="false">IF((E284="r"),H284," ")</f>
        <v> </v>
      </c>
      <c r="U284" s="17" t="str">
        <f aca="false">IF((E284="p"),H284," ")</f>
        <v> </v>
      </c>
      <c r="V284" s="17" t="str">
        <f aca="false">IF((E284="t"),H284," ")</f>
        <v> </v>
      </c>
      <c r="W284" s="17" t="str">
        <f aca="false">IF((E284="q"),H284," ")</f>
        <v> </v>
      </c>
      <c r="X284" s="17" t="str">
        <f aca="false">IF((E284="m"),H284," ")</f>
        <v> </v>
      </c>
      <c r="Y284" s="17" t="str">
        <f aca="false">IF((E284="u"),H284," ")</f>
        <v> </v>
      </c>
      <c r="Z284" s="17" t="str">
        <f aca="false">IF((E284="a"),H284," ")</f>
        <v> </v>
      </c>
      <c r="AA284" s="17" t="str">
        <f aca="false">IF((E284="g"),H284," ")</f>
        <v> </v>
      </c>
      <c r="AB284" s="17" t="str">
        <f aca="false">IF((E284="h"),H284," ")</f>
        <v> </v>
      </c>
      <c r="AC284" s="30" t="str">
        <f aca="false">IF((E284="v"),H284," ")</f>
        <v> </v>
      </c>
      <c r="AD284" s="30" t="str">
        <f aca="false">IF((E284="n"),H284," ")</f>
        <v> </v>
      </c>
      <c r="AE284" s="17" t="str">
        <f aca="false">IF((E284="f"),H284," ")</f>
        <v> </v>
      </c>
      <c r="AF284" s="17" t="str">
        <f aca="false">IF((E284="l"),H284," ")</f>
        <v> </v>
      </c>
      <c r="AG284" s="17" t="str">
        <f aca="false">IF((E284="y"),H284," ")</f>
        <v> </v>
      </c>
      <c r="AH284" s="17" t="str">
        <f aca="false">IF((E284="z"),H284," ")</f>
        <v> </v>
      </c>
      <c r="AI284" s="17" t="str">
        <f aca="false">IF((E284="fa"),H284," ")</f>
        <v> </v>
      </c>
      <c r="AJ284" s="17" t="str">
        <f aca="false">IF((E284="e"),H284," ")</f>
        <v> </v>
      </c>
    </row>
    <row r="285" customFormat="false" ht="12" hidden="false" customHeight="false" outlineLevel="0" collapsed="false">
      <c r="A285" s="28"/>
      <c r="E285" s="2" t="str">
        <f aca="false">IF((F285&lt;&gt;0),"Enter Letter"," ")</f>
        <v> </v>
      </c>
      <c r="F285" s="30"/>
      <c r="G285" s="6" t="str">
        <f aca="false">IF(F285&lt;&gt;0,F285*G$2/(100+G$2)," ")</f>
        <v> </v>
      </c>
      <c r="H285" s="6" t="str">
        <f aca="false">IF((F285&lt;&gt;0),F285-G285," ")</f>
        <v> </v>
      </c>
      <c r="I285" s="5"/>
      <c r="L285" s="7" t="str">
        <f aca="false">IF(F285&lt;&gt;0,F285-K285," ")</f>
        <v> </v>
      </c>
      <c r="M285" s="8" t="str">
        <f aca="false">IF((F285-K285)&lt;&gt;0,M$1-A285," ")</f>
        <v> </v>
      </c>
      <c r="N285" s="5"/>
      <c r="O285" s="17" t="str">
        <f aca="false">IF((E285="s"),H285," ")</f>
        <v> </v>
      </c>
      <c r="P285" s="17" t="str">
        <f aca="false">IF((E285="c"),H285," ")</f>
        <v> </v>
      </c>
      <c r="Q285" s="17" t="str">
        <f aca="false">IF((E285="o"),H285," ")</f>
        <v> </v>
      </c>
      <c r="R285" s="17" t="str">
        <f aca="false">IF((E285="d"),H285," ")</f>
        <v> </v>
      </c>
      <c r="S285" s="17" t="str">
        <f aca="false">IF((E285="w"),H285," ")</f>
        <v> </v>
      </c>
      <c r="T285" s="17" t="str">
        <f aca="false">IF((E285="r"),H285," ")</f>
        <v> </v>
      </c>
      <c r="U285" s="17" t="str">
        <f aca="false">IF((E285="p"),H285," ")</f>
        <v> </v>
      </c>
      <c r="V285" s="17" t="str">
        <f aca="false">IF((E285="t"),H285," ")</f>
        <v> </v>
      </c>
      <c r="W285" s="17" t="str">
        <f aca="false">IF((E285="q"),H285," ")</f>
        <v> </v>
      </c>
      <c r="X285" s="17" t="str">
        <f aca="false">IF((E285="m"),H285," ")</f>
        <v> </v>
      </c>
      <c r="Y285" s="17" t="str">
        <f aca="false">IF((E285="u"),H285," ")</f>
        <v> </v>
      </c>
      <c r="Z285" s="17" t="str">
        <f aca="false">IF((E285="a"),H285," ")</f>
        <v> </v>
      </c>
      <c r="AA285" s="17" t="str">
        <f aca="false">IF((E285="g"),H285," ")</f>
        <v> </v>
      </c>
      <c r="AB285" s="17" t="str">
        <f aca="false">IF((E285="h"),H285," ")</f>
        <v> </v>
      </c>
      <c r="AC285" s="30" t="str">
        <f aca="false">IF((E285="v"),H285," ")</f>
        <v> </v>
      </c>
      <c r="AD285" s="30" t="str">
        <f aca="false">IF((E285="n"),H285," ")</f>
        <v> </v>
      </c>
      <c r="AE285" s="17" t="str">
        <f aca="false">IF((E285="f"),H285," ")</f>
        <v> </v>
      </c>
      <c r="AF285" s="17" t="str">
        <f aca="false">IF((E285="l"),H285," ")</f>
        <v> </v>
      </c>
      <c r="AG285" s="17" t="str">
        <f aca="false">IF((E285="y"),H285," ")</f>
        <v> </v>
      </c>
      <c r="AH285" s="17" t="str">
        <f aca="false">IF((E285="z"),H285," ")</f>
        <v> </v>
      </c>
      <c r="AI285" s="17" t="str">
        <f aca="false">IF((E285="fa"),H285," ")</f>
        <v> </v>
      </c>
      <c r="AJ285" s="17" t="str">
        <f aca="false">IF((E285="e"),H285," ")</f>
        <v> </v>
      </c>
    </row>
    <row r="286" customFormat="false" ht="12" hidden="false" customHeight="false" outlineLevel="0" collapsed="false">
      <c r="A286" s="28"/>
      <c r="E286" s="2" t="str">
        <f aca="false">IF((F286&lt;&gt;0),"Enter Letter"," ")</f>
        <v> </v>
      </c>
      <c r="F286" s="30"/>
      <c r="G286" s="6" t="str">
        <f aca="false">IF(F286&lt;&gt;0,F286*G$2/(100+G$2)," ")</f>
        <v> </v>
      </c>
      <c r="H286" s="6" t="str">
        <f aca="false">IF((F286&lt;&gt;0),F286-G286," ")</f>
        <v> </v>
      </c>
      <c r="I286" s="5"/>
      <c r="L286" s="7" t="str">
        <f aca="false">IF(F286&lt;&gt;0,F286-K286," ")</f>
        <v> </v>
      </c>
      <c r="M286" s="8" t="str">
        <f aca="false">IF((F286-K286)&lt;&gt;0,M$1-A286," ")</f>
        <v> </v>
      </c>
      <c r="N286" s="5"/>
      <c r="O286" s="17" t="str">
        <f aca="false">IF((E286="s"),H286," ")</f>
        <v> </v>
      </c>
      <c r="P286" s="17" t="str">
        <f aca="false">IF((E286="c"),H286," ")</f>
        <v> </v>
      </c>
      <c r="Q286" s="17" t="str">
        <f aca="false">IF((E286="o"),H286," ")</f>
        <v> </v>
      </c>
      <c r="R286" s="17" t="str">
        <f aca="false">IF((E286="d"),H286," ")</f>
        <v> </v>
      </c>
      <c r="S286" s="17" t="str">
        <f aca="false">IF((E286="w"),H286," ")</f>
        <v> </v>
      </c>
      <c r="T286" s="17" t="str">
        <f aca="false">IF((E286="r"),H286," ")</f>
        <v> </v>
      </c>
      <c r="U286" s="17" t="str">
        <f aca="false">IF((E286="p"),H286," ")</f>
        <v> </v>
      </c>
      <c r="V286" s="17" t="str">
        <f aca="false">IF((E286="t"),H286," ")</f>
        <v> </v>
      </c>
      <c r="W286" s="17" t="str">
        <f aca="false">IF((E286="q"),H286," ")</f>
        <v> </v>
      </c>
      <c r="X286" s="17" t="str">
        <f aca="false">IF((E286="m"),H286," ")</f>
        <v> </v>
      </c>
      <c r="Y286" s="17" t="str">
        <f aca="false">IF((E286="u"),H286," ")</f>
        <v> </v>
      </c>
      <c r="Z286" s="17" t="str">
        <f aca="false">IF((E286="a"),H286," ")</f>
        <v> </v>
      </c>
      <c r="AA286" s="17" t="str">
        <f aca="false">IF((E286="g"),H286," ")</f>
        <v> </v>
      </c>
      <c r="AB286" s="17" t="str">
        <f aca="false">IF((E286="h"),H286," ")</f>
        <v> </v>
      </c>
      <c r="AC286" s="30" t="str">
        <f aca="false">IF((E286="v"),H286," ")</f>
        <v> </v>
      </c>
      <c r="AD286" s="30" t="str">
        <f aca="false">IF((E286="n"),H286," ")</f>
        <v> </v>
      </c>
      <c r="AE286" s="17" t="str">
        <f aca="false">IF((E286="f"),H286," ")</f>
        <v> </v>
      </c>
      <c r="AF286" s="17" t="str">
        <f aca="false">IF((E286="l"),H286," ")</f>
        <v> </v>
      </c>
      <c r="AG286" s="17" t="str">
        <f aca="false">IF((E286="y"),H286," ")</f>
        <v> </v>
      </c>
      <c r="AH286" s="17" t="str">
        <f aca="false">IF((E286="z"),H286," ")</f>
        <v> </v>
      </c>
      <c r="AI286" s="17" t="str">
        <f aca="false">IF((E286="fa"),H286," ")</f>
        <v> </v>
      </c>
      <c r="AJ286" s="17" t="str">
        <f aca="false">IF((E286="e"),H286," ")</f>
        <v> </v>
      </c>
    </row>
    <row r="287" customFormat="false" ht="12" hidden="false" customHeight="false" outlineLevel="0" collapsed="false">
      <c r="A287" s="28"/>
      <c r="E287" s="2" t="str">
        <f aca="false">IF((F287&lt;&gt;0),"Enter Letter"," ")</f>
        <v> </v>
      </c>
      <c r="F287" s="30"/>
      <c r="G287" s="6" t="str">
        <f aca="false">IF(F287&lt;&gt;0,F287*G$2/(100+G$2)," ")</f>
        <v> </v>
      </c>
      <c r="H287" s="6" t="str">
        <f aca="false">IF((F287&lt;&gt;0),F287-G287," ")</f>
        <v> </v>
      </c>
      <c r="I287" s="5"/>
      <c r="L287" s="7" t="str">
        <f aca="false">IF(F287&lt;&gt;0,F287-K287," ")</f>
        <v> </v>
      </c>
      <c r="M287" s="8" t="str">
        <f aca="false">IF((F287-K287)&lt;&gt;0,M$1-A287," ")</f>
        <v> </v>
      </c>
      <c r="N287" s="5"/>
      <c r="O287" s="17" t="str">
        <f aca="false">IF((E287="s"),H287," ")</f>
        <v> </v>
      </c>
      <c r="P287" s="17" t="str">
        <f aca="false">IF((E287="c"),H287," ")</f>
        <v> </v>
      </c>
      <c r="Q287" s="17" t="str">
        <f aca="false">IF((E287="o"),H287," ")</f>
        <v> </v>
      </c>
      <c r="R287" s="17" t="str">
        <f aca="false">IF((E287="d"),H287," ")</f>
        <v> </v>
      </c>
      <c r="S287" s="17" t="str">
        <f aca="false">IF((E287="w"),H287," ")</f>
        <v> </v>
      </c>
      <c r="T287" s="17" t="str">
        <f aca="false">IF((E287="r"),H287," ")</f>
        <v> </v>
      </c>
      <c r="U287" s="17" t="str">
        <f aca="false">IF((E287="p"),H287," ")</f>
        <v> </v>
      </c>
      <c r="V287" s="17" t="str">
        <f aca="false">IF((E287="t"),H287," ")</f>
        <v> </v>
      </c>
      <c r="W287" s="17" t="str">
        <f aca="false">IF((E287="q"),H287," ")</f>
        <v> </v>
      </c>
      <c r="X287" s="17" t="str">
        <f aca="false">IF((E287="m"),H287," ")</f>
        <v> </v>
      </c>
      <c r="Y287" s="17" t="str">
        <f aca="false">IF((E287="u"),H287," ")</f>
        <v> </v>
      </c>
      <c r="Z287" s="17" t="str">
        <f aca="false">IF((E287="a"),H287," ")</f>
        <v> </v>
      </c>
      <c r="AA287" s="17" t="str">
        <f aca="false">IF((E287="g"),H287," ")</f>
        <v> </v>
      </c>
      <c r="AB287" s="17" t="str">
        <f aca="false">IF((E287="h"),H287," ")</f>
        <v> </v>
      </c>
      <c r="AC287" s="30" t="str">
        <f aca="false">IF((E287="v"),H287," ")</f>
        <v> </v>
      </c>
      <c r="AD287" s="30" t="str">
        <f aca="false">IF((E287="n"),H287," ")</f>
        <v> </v>
      </c>
      <c r="AE287" s="17" t="str">
        <f aca="false">IF((E287="f"),H287," ")</f>
        <v> </v>
      </c>
      <c r="AF287" s="17" t="str">
        <f aca="false">IF((E287="l"),H287," ")</f>
        <v> </v>
      </c>
      <c r="AG287" s="17" t="str">
        <f aca="false">IF((E287="y"),H287," ")</f>
        <v> </v>
      </c>
      <c r="AH287" s="17" t="str">
        <f aca="false">IF((E287="z"),H287," ")</f>
        <v> </v>
      </c>
      <c r="AI287" s="17" t="str">
        <f aca="false">IF((E287="fa"),H287," ")</f>
        <v> </v>
      </c>
      <c r="AJ287" s="17" t="str">
        <f aca="false">IF((E287="e"),H287," ")</f>
        <v> </v>
      </c>
    </row>
    <row r="288" customFormat="false" ht="12" hidden="false" customHeight="false" outlineLevel="0" collapsed="false">
      <c r="A288" s="28"/>
      <c r="E288" s="2" t="str">
        <f aca="false">IF((F288&lt;&gt;0),"Enter Letter"," ")</f>
        <v> </v>
      </c>
      <c r="F288" s="30"/>
      <c r="G288" s="6" t="str">
        <f aca="false">IF(F288&lt;&gt;0,F288*G$2/(100+G$2)," ")</f>
        <v> </v>
      </c>
      <c r="H288" s="6" t="str">
        <f aca="false">IF((F288&lt;&gt;0),F288-G288," ")</f>
        <v> </v>
      </c>
      <c r="I288" s="5"/>
      <c r="L288" s="7" t="str">
        <f aca="false">IF(F288&lt;&gt;0,F288-K288," ")</f>
        <v> </v>
      </c>
      <c r="M288" s="8" t="str">
        <f aca="false">IF((F288-K288)&lt;&gt;0,M$1-A288," ")</f>
        <v> </v>
      </c>
      <c r="N288" s="5"/>
      <c r="O288" s="17" t="str">
        <f aca="false">IF((E288="s"),H288," ")</f>
        <v> </v>
      </c>
      <c r="P288" s="17" t="str">
        <f aca="false">IF((E288="c"),H288," ")</f>
        <v> </v>
      </c>
      <c r="Q288" s="17" t="str">
        <f aca="false">IF((E288="o"),H288," ")</f>
        <v> </v>
      </c>
      <c r="R288" s="17" t="str">
        <f aca="false">IF((E288="d"),H288," ")</f>
        <v> </v>
      </c>
      <c r="S288" s="17" t="str">
        <f aca="false">IF((E288="w"),H288," ")</f>
        <v> </v>
      </c>
      <c r="T288" s="17" t="str">
        <f aca="false">IF((E288="r"),H288," ")</f>
        <v> </v>
      </c>
      <c r="U288" s="17" t="str">
        <f aca="false">IF((E288="p"),H288," ")</f>
        <v> </v>
      </c>
      <c r="V288" s="17" t="str">
        <f aca="false">IF((E288="t"),H288," ")</f>
        <v> </v>
      </c>
      <c r="W288" s="17" t="str">
        <f aca="false">IF((E288="q"),H288," ")</f>
        <v> </v>
      </c>
      <c r="X288" s="17" t="str">
        <f aca="false">IF((E288="m"),H288," ")</f>
        <v> </v>
      </c>
      <c r="Y288" s="17" t="str">
        <f aca="false">IF((E288="u"),H288," ")</f>
        <v> </v>
      </c>
      <c r="Z288" s="17" t="str">
        <f aca="false">IF((E288="a"),H288," ")</f>
        <v> </v>
      </c>
      <c r="AA288" s="17" t="str">
        <f aca="false">IF((E288="g"),H288," ")</f>
        <v> </v>
      </c>
      <c r="AB288" s="17" t="str">
        <f aca="false">IF((E288="h"),H288," ")</f>
        <v> </v>
      </c>
      <c r="AC288" s="30" t="str">
        <f aca="false">IF((E288="v"),H288," ")</f>
        <v> </v>
      </c>
      <c r="AD288" s="30" t="str">
        <f aca="false">IF((E288="n"),H288," ")</f>
        <v> </v>
      </c>
      <c r="AE288" s="17" t="str">
        <f aca="false">IF((E288="f"),H288," ")</f>
        <v> </v>
      </c>
      <c r="AF288" s="17" t="str">
        <f aca="false">IF((E288="l"),H288," ")</f>
        <v> </v>
      </c>
      <c r="AG288" s="17" t="str">
        <f aca="false">IF((E288="y"),H288," ")</f>
        <v> </v>
      </c>
      <c r="AH288" s="17" t="str">
        <f aca="false">IF((E288="z"),H288," ")</f>
        <v> </v>
      </c>
      <c r="AI288" s="17" t="str">
        <f aca="false">IF((E288="fa"),H288," ")</f>
        <v> </v>
      </c>
      <c r="AJ288" s="17" t="str">
        <f aca="false">IF((E288="e"),H288," ")</f>
        <v> </v>
      </c>
    </row>
    <row r="289" customFormat="false" ht="12" hidden="false" customHeight="false" outlineLevel="0" collapsed="false">
      <c r="A289" s="28"/>
      <c r="E289" s="2" t="str">
        <f aca="false">IF((F289&lt;&gt;0),"Enter Letter"," ")</f>
        <v> </v>
      </c>
      <c r="F289" s="30"/>
      <c r="G289" s="6" t="str">
        <f aca="false">IF(F289&lt;&gt;0,F289*G$2/(100+G$2)," ")</f>
        <v> </v>
      </c>
      <c r="H289" s="6" t="str">
        <f aca="false">IF((F289&lt;&gt;0),F289-G289," ")</f>
        <v> </v>
      </c>
      <c r="I289" s="5"/>
      <c r="L289" s="7" t="str">
        <f aca="false">IF(F289&lt;&gt;0,F289-K289," ")</f>
        <v> </v>
      </c>
      <c r="M289" s="8" t="str">
        <f aca="false">IF((F289-K289)&lt;&gt;0,M$1-A289," ")</f>
        <v> </v>
      </c>
      <c r="N289" s="5"/>
      <c r="O289" s="17" t="str">
        <f aca="false">IF((E289="s"),H289," ")</f>
        <v> </v>
      </c>
      <c r="P289" s="17" t="str">
        <f aca="false">IF((E289="c"),H289," ")</f>
        <v> </v>
      </c>
      <c r="Q289" s="17" t="str">
        <f aca="false">IF((E289="o"),H289," ")</f>
        <v> </v>
      </c>
      <c r="R289" s="17" t="str">
        <f aca="false">IF((E289="d"),H289," ")</f>
        <v> </v>
      </c>
      <c r="S289" s="17" t="str">
        <f aca="false">IF((E289="w"),H289," ")</f>
        <v> </v>
      </c>
      <c r="T289" s="17" t="str">
        <f aca="false">IF((E289="r"),H289," ")</f>
        <v> </v>
      </c>
      <c r="U289" s="17" t="str">
        <f aca="false">IF((E289="p"),H289," ")</f>
        <v> </v>
      </c>
      <c r="V289" s="17" t="str">
        <f aca="false">IF((E289="t"),H289," ")</f>
        <v> </v>
      </c>
      <c r="W289" s="17" t="str">
        <f aca="false">IF((E289="q"),H289," ")</f>
        <v> </v>
      </c>
      <c r="X289" s="17" t="str">
        <f aca="false">IF((E289="m"),H289," ")</f>
        <v> </v>
      </c>
      <c r="Y289" s="17" t="str">
        <f aca="false">IF((E289="u"),H289," ")</f>
        <v> </v>
      </c>
      <c r="Z289" s="17" t="str">
        <f aca="false">IF((E289="a"),H289," ")</f>
        <v> </v>
      </c>
      <c r="AA289" s="17" t="str">
        <f aca="false">IF((E289="g"),H289," ")</f>
        <v> </v>
      </c>
      <c r="AB289" s="17" t="str">
        <f aca="false">IF((E289="h"),H289," ")</f>
        <v> </v>
      </c>
      <c r="AC289" s="30" t="str">
        <f aca="false">IF((E289="v"),H289," ")</f>
        <v> </v>
      </c>
      <c r="AD289" s="30" t="str">
        <f aca="false">IF((E289="n"),H289," ")</f>
        <v> </v>
      </c>
      <c r="AE289" s="17" t="str">
        <f aca="false">IF((E289="f"),H289," ")</f>
        <v> </v>
      </c>
      <c r="AF289" s="17" t="str">
        <f aca="false">IF((E289="l"),H289," ")</f>
        <v> </v>
      </c>
      <c r="AG289" s="17" t="str">
        <f aca="false">IF((E289="y"),H289," ")</f>
        <v> </v>
      </c>
      <c r="AH289" s="17" t="str">
        <f aca="false">IF((E289="z"),H289," ")</f>
        <v> </v>
      </c>
      <c r="AI289" s="17" t="str">
        <f aca="false">IF((E289="fa"),H289," ")</f>
        <v> </v>
      </c>
      <c r="AJ289" s="17" t="str">
        <f aca="false">IF((E289="e"),H289," ")</f>
        <v> </v>
      </c>
    </row>
    <row r="290" customFormat="false" ht="12" hidden="false" customHeight="false" outlineLevel="0" collapsed="false">
      <c r="A290" s="28"/>
      <c r="E290" s="2" t="str">
        <f aca="false">IF((F290&lt;&gt;0),"Enter Letter"," ")</f>
        <v> </v>
      </c>
      <c r="F290" s="30"/>
      <c r="G290" s="6" t="str">
        <f aca="false">IF(F290&lt;&gt;0,F290*G$2/(100+G$2)," ")</f>
        <v> </v>
      </c>
      <c r="H290" s="6" t="str">
        <f aca="false">IF((F290&lt;&gt;0),F290-G290," ")</f>
        <v> </v>
      </c>
      <c r="I290" s="5"/>
      <c r="L290" s="7" t="str">
        <f aca="false">IF(F290&lt;&gt;0,F290-K290," ")</f>
        <v> </v>
      </c>
      <c r="M290" s="8" t="str">
        <f aca="false">IF((F290-K290)&lt;&gt;0,M$1-A290," ")</f>
        <v> </v>
      </c>
      <c r="N290" s="5"/>
      <c r="O290" s="17" t="str">
        <f aca="false">IF((E290="s"),H290," ")</f>
        <v> </v>
      </c>
      <c r="P290" s="17" t="str">
        <f aca="false">IF((E290="c"),H290," ")</f>
        <v> </v>
      </c>
      <c r="Q290" s="17" t="str">
        <f aca="false">IF((E290="o"),H290," ")</f>
        <v> </v>
      </c>
      <c r="R290" s="17" t="str">
        <f aca="false">IF((E290="d"),H290," ")</f>
        <v> </v>
      </c>
      <c r="S290" s="17" t="str">
        <f aca="false">IF((E290="w"),H290," ")</f>
        <v> </v>
      </c>
      <c r="T290" s="17" t="str">
        <f aca="false">IF((E290="r"),H290," ")</f>
        <v> </v>
      </c>
      <c r="U290" s="17" t="str">
        <f aca="false">IF((E290="p"),H290," ")</f>
        <v> </v>
      </c>
      <c r="V290" s="17" t="str">
        <f aca="false">IF((E290="t"),H290," ")</f>
        <v> </v>
      </c>
      <c r="W290" s="17" t="str">
        <f aca="false">IF((E290="q"),H290," ")</f>
        <v> </v>
      </c>
      <c r="X290" s="17" t="str">
        <f aca="false">IF((E290="m"),H290," ")</f>
        <v> </v>
      </c>
      <c r="Y290" s="17" t="str">
        <f aca="false">IF((E290="u"),H290," ")</f>
        <v> </v>
      </c>
      <c r="Z290" s="17" t="str">
        <f aca="false">IF((E290="a"),H290," ")</f>
        <v> </v>
      </c>
      <c r="AA290" s="17" t="str">
        <f aca="false">IF((E290="g"),H290," ")</f>
        <v> </v>
      </c>
      <c r="AB290" s="17" t="str">
        <f aca="false">IF((E290="h"),H290," ")</f>
        <v> </v>
      </c>
      <c r="AC290" s="30" t="str">
        <f aca="false">IF((E290="v"),H290," ")</f>
        <v> </v>
      </c>
      <c r="AD290" s="30" t="str">
        <f aca="false">IF((E290="n"),H290," ")</f>
        <v> </v>
      </c>
      <c r="AE290" s="17" t="str">
        <f aca="false">IF((E290="f"),H290," ")</f>
        <v> </v>
      </c>
      <c r="AF290" s="17" t="str">
        <f aca="false">IF((E290="l"),H290," ")</f>
        <v> </v>
      </c>
      <c r="AG290" s="17" t="str">
        <f aca="false">IF((E290="y"),H290," ")</f>
        <v> </v>
      </c>
      <c r="AH290" s="17" t="str">
        <f aca="false">IF((E290="z"),H290," ")</f>
        <v> </v>
      </c>
      <c r="AI290" s="17" t="str">
        <f aca="false">IF((E290="fa"),H290," ")</f>
        <v> </v>
      </c>
      <c r="AJ290" s="17" t="str">
        <f aca="false">IF((E290="e"),H290," ")</f>
        <v> </v>
      </c>
    </row>
    <row r="291" customFormat="false" ht="12" hidden="false" customHeight="false" outlineLevel="0" collapsed="false">
      <c r="A291" s="28"/>
      <c r="E291" s="2" t="str">
        <f aca="false">IF((F291&lt;&gt;0),"Enter Letter"," ")</f>
        <v> </v>
      </c>
      <c r="F291" s="30"/>
      <c r="G291" s="6" t="str">
        <f aca="false">IF(F291&lt;&gt;0,F291*G$2/(100+G$2)," ")</f>
        <v> </v>
      </c>
      <c r="H291" s="6" t="str">
        <f aca="false">IF((F291&lt;&gt;0),F291-G291," ")</f>
        <v> </v>
      </c>
      <c r="I291" s="5"/>
      <c r="L291" s="7" t="str">
        <f aca="false">IF(F291&lt;&gt;0,F291-K291," ")</f>
        <v> </v>
      </c>
      <c r="M291" s="8" t="str">
        <f aca="false">IF((F291-K291)&lt;&gt;0,M$1-A291," ")</f>
        <v> </v>
      </c>
      <c r="N291" s="5"/>
      <c r="O291" s="17" t="str">
        <f aca="false">IF((E291="s"),H291," ")</f>
        <v> </v>
      </c>
      <c r="P291" s="17" t="str">
        <f aca="false">IF((E291="c"),H291," ")</f>
        <v> </v>
      </c>
      <c r="Q291" s="17" t="str">
        <f aca="false">IF((E291="o"),H291," ")</f>
        <v> </v>
      </c>
      <c r="R291" s="17" t="str">
        <f aca="false">IF((E291="d"),H291," ")</f>
        <v> </v>
      </c>
      <c r="S291" s="17" t="str">
        <f aca="false">IF((E291="w"),H291," ")</f>
        <v> </v>
      </c>
      <c r="T291" s="17" t="str">
        <f aca="false">IF((E291="r"),H291," ")</f>
        <v> </v>
      </c>
      <c r="U291" s="17" t="str">
        <f aca="false">IF((E291="p"),H291," ")</f>
        <v> </v>
      </c>
      <c r="V291" s="17" t="str">
        <f aca="false">IF((E291="t"),H291," ")</f>
        <v> </v>
      </c>
      <c r="W291" s="17" t="str">
        <f aca="false">IF((E291="q"),H291," ")</f>
        <v> </v>
      </c>
      <c r="X291" s="17" t="str">
        <f aca="false">IF((E291="m"),H291," ")</f>
        <v> </v>
      </c>
      <c r="Y291" s="17" t="str">
        <f aca="false">IF((E291="u"),H291," ")</f>
        <v> </v>
      </c>
      <c r="Z291" s="17" t="str">
        <f aca="false">IF((E291="a"),H291," ")</f>
        <v> </v>
      </c>
      <c r="AA291" s="17" t="str">
        <f aca="false">IF((E291="g"),H291," ")</f>
        <v> </v>
      </c>
      <c r="AB291" s="17" t="str">
        <f aca="false">IF((E291="h"),H291," ")</f>
        <v> </v>
      </c>
      <c r="AC291" s="30" t="str">
        <f aca="false">IF((E291="v"),H291," ")</f>
        <v> </v>
      </c>
      <c r="AD291" s="30" t="str">
        <f aca="false">IF((E291="n"),H291," ")</f>
        <v> </v>
      </c>
      <c r="AE291" s="17" t="str">
        <f aca="false">IF((E291="f"),H291," ")</f>
        <v> </v>
      </c>
      <c r="AF291" s="17" t="str">
        <f aca="false">IF((E291="l"),H291," ")</f>
        <v> </v>
      </c>
      <c r="AG291" s="17" t="str">
        <f aca="false">IF((E291="y"),H291," ")</f>
        <v> </v>
      </c>
      <c r="AH291" s="17" t="str">
        <f aca="false">IF((E291="z"),H291," ")</f>
        <v> </v>
      </c>
      <c r="AI291" s="17" t="str">
        <f aca="false">IF((E291="fa"),H291," ")</f>
        <v> </v>
      </c>
      <c r="AJ291" s="17" t="str">
        <f aca="false">IF((E291="e"),H291," ")</f>
        <v> </v>
      </c>
    </row>
    <row r="292" customFormat="false" ht="12" hidden="false" customHeight="false" outlineLevel="0" collapsed="false">
      <c r="A292" s="28"/>
      <c r="E292" s="2" t="str">
        <f aca="false">IF((F292&lt;&gt;0),"Enter Letter"," ")</f>
        <v> </v>
      </c>
      <c r="F292" s="30"/>
      <c r="G292" s="6" t="str">
        <f aca="false">IF(F292&lt;&gt;0,F292*G$2/(100+G$2)," ")</f>
        <v> </v>
      </c>
      <c r="H292" s="6" t="str">
        <f aca="false">IF((F292&lt;&gt;0),F292-G292," ")</f>
        <v> </v>
      </c>
      <c r="I292" s="5"/>
      <c r="L292" s="7" t="str">
        <f aca="false">IF(F292&lt;&gt;0,F292-K292," ")</f>
        <v> </v>
      </c>
      <c r="M292" s="8" t="str">
        <f aca="false">IF((F292-K292)&lt;&gt;0,M$1-A292," ")</f>
        <v> </v>
      </c>
      <c r="N292" s="5"/>
      <c r="O292" s="17" t="str">
        <f aca="false">IF((E292="s"),H292," ")</f>
        <v> </v>
      </c>
      <c r="P292" s="17" t="str">
        <f aca="false">IF((E292="c"),H292," ")</f>
        <v> </v>
      </c>
      <c r="Q292" s="17" t="str">
        <f aca="false">IF((E292="o"),H292," ")</f>
        <v> </v>
      </c>
      <c r="R292" s="17" t="str">
        <f aca="false">IF((E292="d"),H292," ")</f>
        <v> </v>
      </c>
      <c r="S292" s="17" t="str">
        <f aca="false">IF((E292="w"),H292," ")</f>
        <v> </v>
      </c>
      <c r="T292" s="17" t="str">
        <f aca="false">IF((E292="r"),H292," ")</f>
        <v> </v>
      </c>
      <c r="U292" s="17" t="str">
        <f aca="false">IF((E292="p"),H292," ")</f>
        <v> </v>
      </c>
      <c r="V292" s="17" t="str">
        <f aca="false">IF((E292="t"),H292," ")</f>
        <v> </v>
      </c>
      <c r="W292" s="17" t="str">
        <f aca="false">IF((E292="q"),H292," ")</f>
        <v> </v>
      </c>
      <c r="X292" s="17" t="str">
        <f aca="false">IF((E292="m"),H292," ")</f>
        <v> </v>
      </c>
      <c r="Y292" s="17" t="str">
        <f aca="false">IF((E292="u"),H292," ")</f>
        <v> </v>
      </c>
      <c r="Z292" s="17" t="str">
        <f aca="false">IF((E292="a"),H292," ")</f>
        <v> </v>
      </c>
      <c r="AA292" s="17" t="str">
        <f aca="false">IF((E292="g"),H292," ")</f>
        <v> </v>
      </c>
      <c r="AB292" s="17" t="str">
        <f aca="false">IF((E292="h"),H292," ")</f>
        <v> </v>
      </c>
      <c r="AC292" s="30" t="str">
        <f aca="false">IF((E292="v"),H292," ")</f>
        <v> </v>
      </c>
      <c r="AD292" s="30" t="str">
        <f aca="false">IF((E292="n"),H292," ")</f>
        <v> </v>
      </c>
      <c r="AE292" s="17" t="str">
        <f aca="false">IF((E292="f"),H292," ")</f>
        <v> </v>
      </c>
      <c r="AF292" s="17" t="str">
        <f aca="false">IF((E292="l"),H292," ")</f>
        <v> </v>
      </c>
      <c r="AG292" s="17" t="str">
        <f aca="false">IF((E292="y"),H292," ")</f>
        <v> </v>
      </c>
      <c r="AH292" s="17" t="str">
        <f aca="false">IF((E292="z"),H292," ")</f>
        <v> </v>
      </c>
      <c r="AI292" s="17" t="str">
        <f aca="false">IF((E292="fa"),H292," ")</f>
        <v> </v>
      </c>
      <c r="AJ292" s="17" t="str">
        <f aca="false">IF((E292="e"),H292," ")</f>
        <v> </v>
      </c>
    </row>
    <row r="293" customFormat="false" ht="12" hidden="false" customHeight="false" outlineLevel="0" collapsed="false">
      <c r="A293" s="28"/>
      <c r="E293" s="2" t="str">
        <f aca="false">IF((F293&lt;&gt;0),"Enter Letter"," ")</f>
        <v> </v>
      </c>
      <c r="F293" s="30"/>
      <c r="G293" s="6" t="str">
        <f aca="false">IF(F293&lt;&gt;0,F293*G$2/(100+G$2)," ")</f>
        <v> </v>
      </c>
      <c r="H293" s="6" t="str">
        <f aca="false">IF((F293&lt;&gt;0),F293-G293," ")</f>
        <v> </v>
      </c>
      <c r="I293" s="5"/>
      <c r="L293" s="7" t="str">
        <f aca="false">IF(F293&lt;&gt;0,F293-K293," ")</f>
        <v> </v>
      </c>
      <c r="M293" s="8" t="str">
        <f aca="false">IF((F293-K293)&lt;&gt;0,M$1-A293," ")</f>
        <v> </v>
      </c>
      <c r="N293" s="5"/>
      <c r="O293" s="17" t="str">
        <f aca="false">IF((E293="s"),H293," ")</f>
        <v> </v>
      </c>
      <c r="P293" s="17" t="str">
        <f aca="false">IF((E293="c"),H293," ")</f>
        <v> </v>
      </c>
      <c r="Q293" s="17" t="str">
        <f aca="false">IF((E293="o"),H293," ")</f>
        <v> </v>
      </c>
      <c r="R293" s="17" t="str">
        <f aca="false">IF((E293="d"),H293," ")</f>
        <v> </v>
      </c>
      <c r="S293" s="17" t="str">
        <f aca="false">IF((E293="w"),H293," ")</f>
        <v> </v>
      </c>
      <c r="T293" s="17" t="str">
        <f aca="false">IF((E293="r"),H293," ")</f>
        <v> </v>
      </c>
      <c r="U293" s="17" t="str">
        <f aca="false">IF((E293="p"),H293," ")</f>
        <v> </v>
      </c>
      <c r="V293" s="17" t="str">
        <f aca="false">IF((E293="t"),H293," ")</f>
        <v> </v>
      </c>
      <c r="W293" s="17" t="str">
        <f aca="false">IF((E293="q"),H293," ")</f>
        <v> </v>
      </c>
      <c r="X293" s="17" t="str">
        <f aca="false">IF((E293="m"),H293," ")</f>
        <v> </v>
      </c>
      <c r="Y293" s="17" t="str">
        <f aca="false">IF((E293="u"),H293," ")</f>
        <v> </v>
      </c>
      <c r="Z293" s="17" t="str">
        <f aca="false">IF((E293="a"),H293," ")</f>
        <v> </v>
      </c>
      <c r="AA293" s="17" t="str">
        <f aca="false">IF((E293="g"),H293," ")</f>
        <v> </v>
      </c>
      <c r="AB293" s="17" t="str">
        <f aca="false">IF((E293="h"),H293," ")</f>
        <v> </v>
      </c>
      <c r="AC293" s="30" t="str">
        <f aca="false">IF((E293="v"),H293," ")</f>
        <v> </v>
      </c>
      <c r="AD293" s="30" t="str">
        <f aca="false">IF((E293="n"),H293," ")</f>
        <v> </v>
      </c>
      <c r="AE293" s="17" t="str">
        <f aca="false">IF((E293="f"),H293," ")</f>
        <v> </v>
      </c>
      <c r="AF293" s="17" t="str">
        <f aca="false">IF((E293="l"),H293," ")</f>
        <v> </v>
      </c>
      <c r="AG293" s="17" t="str">
        <f aca="false">IF((E293="y"),H293," ")</f>
        <v> </v>
      </c>
      <c r="AH293" s="17" t="str">
        <f aca="false">IF((E293="z"),H293," ")</f>
        <v> </v>
      </c>
      <c r="AI293" s="17" t="str">
        <f aca="false">IF((E293="fa"),H293," ")</f>
        <v> </v>
      </c>
      <c r="AJ293" s="17" t="str">
        <f aca="false">IF((E293="e"),H293," ")</f>
        <v> </v>
      </c>
    </row>
    <row r="294" customFormat="false" ht="12" hidden="false" customHeight="false" outlineLevel="0" collapsed="false">
      <c r="A294" s="28"/>
      <c r="E294" s="2" t="str">
        <f aca="false">IF((F294&lt;&gt;0),"Enter Letter"," ")</f>
        <v> </v>
      </c>
      <c r="F294" s="30"/>
      <c r="G294" s="6" t="str">
        <f aca="false">IF(F294&lt;&gt;0,F294*G$2/(100+G$2)," ")</f>
        <v> </v>
      </c>
      <c r="H294" s="6" t="str">
        <f aca="false">IF((F294&lt;&gt;0),F294-G294," ")</f>
        <v> </v>
      </c>
      <c r="I294" s="5"/>
      <c r="L294" s="7" t="str">
        <f aca="false">IF(F294&lt;&gt;0,F294-K294," ")</f>
        <v> </v>
      </c>
      <c r="M294" s="8" t="str">
        <f aca="false">IF((F294-K294)&lt;&gt;0,M$1-A294," ")</f>
        <v> </v>
      </c>
      <c r="N294" s="5"/>
      <c r="O294" s="17" t="str">
        <f aca="false">IF((E294="s"),H294," ")</f>
        <v> </v>
      </c>
      <c r="P294" s="17" t="str">
        <f aca="false">IF((E294="c"),H294," ")</f>
        <v> </v>
      </c>
      <c r="Q294" s="17" t="str">
        <f aca="false">IF((E294="o"),H294," ")</f>
        <v> </v>
      </c>
      <c r="R294" s="17" t="str">
        <f aca="false">IF((E294="d"),H294," ")</f>
        <v> </v>
      </c>
      <c r="S294" s="17" t="str">
        <f aca="false">IF((E294="w"),H294," ")</f>
        <v> </v>
      </c>
      <c r="T294" s="17" t="str">
        <f aca="false">IF((E294="r"),H294," ")</f>
        <v> </v>
      </c>
      <c r="U294" s="17" t="str">
        <f aca="false">IF((E294="p"),H294," ")</f>
        <v> </v>
      </c>
      <c r="V294" s="17" t="str">
        <f aca="false">IF((E294="t"),H294," ")</f>
        <v> </v>
      </c>
      <c r="W294" s="17" t="str">
        <f aca="false">IF((E294="q"),H294," ")</f>
        <v> </v>
      </c>
      <c r="X294" s="17" t="str">
        <f aca="false">IF((E294="m"),H294," ")</f>
        <v> </v>
      </c>
      <c r="Y294" s="17" t="str">
        <f aca="false">IF((E294="u"),H294," ")</f>
        <v> </v>
      </c>
      <c r="Z294" s="17" t="str">
        <f aca="false">IF((E294="a"),H294," ")</f>
        <v> </v>
      </c>
      <c r="AA294" s="17" t="str">
        <f aca="false">IF((E294="g"),H294," ")</f>
        <v> </v>
      </c>
      <c r="AB294" s="17" t="str">
        <f aca="false">IF((E294="h"),H294," ")</f>
        <v> </v>
      </c>
      <c r="AC294" s="30" t="str">
        <f aca="false">IF((E294="v"),H294," ")</f>
        <v> </v>
      </c>
      <c r="AD294" s="30" t="str">
        <f aca="false">IF((E294="n"),H294," ")</f>
        <v> </v>
      </c>
      <c r="AE294" s="17" t="str">
        <f aca="false">IF((E294="f"),H294," ")</f>
        <v> </v>
      </c>
      <c r="AF294" s="17" t="str">
        <f aca="false">IF((E294="l"),H294," ")</f>
        <v> </v>
      </c>
      <c r="AG294" s="17" t="str">
        <f aca="false">IF((E294="y"),H294," ")</f>
        <v> </v>
      </c>
      <c r="AH294" s="17" t="str">
        <f aca="false">IF((E294="z"),H294," ")</f>
        <v> </v>
      </c>
      <c r="AI294" s="17" t="str">
        <f aca="false">IF((E294="fa"),H294," ")</f>
        <v> </v>
      </c>
      <c r="AJ294" s="17" t="str">
        <f aca="false">IF((E294="e"),H294," ")</f>
        <v> </v>
      </c>
    </row>
    <row r="295" customFormat="false" ht="12" hidden="false" customHeight="false" outlineLevel="0" collapsed="false">
      <c r="A295" s="28"/>
      <c r="E295" s="2" t="str">
        <f aca="false">IF((F295&lt;&gt;0),"Enter Letter"," ")</f>
        <v> </v>
      </c>
      <c r="F295" s="30"/>
      <c r="G295" s="6" t="str">
        <f aca="false">IF(F295&lt;&gt;0,F295*G$2/(100+G$2)," ")</f>
        <v> </v>
      </c>
      <c r="H295" s="6" t="str">
        <f aca="false">IF((F295&lt;&gt;0),F295-G295," ")</f>
        <v> </v>
      </c>
      <c r="I295" s="5"/>
      <c r="L295" s="7" t="str">
        <f aca="false">IF(F295&lt;&gt;0,F295-K295," ")</f>
        <v> </v>
      </c>
      <c r="M295" s="8" t="str">
        <f aca="false">IF((F295-K295)&lt;&gt;0,M$1-A295," ")</f>
        <v> </v>
      </c>
      <c r="N295" s="5"/>
      <c r="O295" s="17" t="str">
        <f aca="false">IF((E295="s"),H295," ")</f>
        <v> </v>
      </c>
      <c r="P295" s="17" t="str">
        <f aca="false">IF((E295="c"),H295," ")</f>
        <v> </v>
      </c>
      <c r="Q295" s="17" t="str">
        <f aca="false">IF((E295="o"),H295," ")</f>
        <v> </v>
      </c>
      <c r="R295" s="17" t="str">
        <f aca="false">IF((E295="d"),H295," ")</f>
        <v> </v>
      </c>
      <c r="S295" s="17" t="str">
        <f aca="false">IF((E295="w"),H295," ")</f>
        <v> </v>
      </c>
      <c r="T295" s="17" t="str">
        <f aca="false">IF((E295="r"),H295," ")</f>
        <v> </v>
      </c>
      <c r="U295" s="17" t="str">
        <f aca="false">IF((E295="p"),H295," ")</f>
        <v> </v>
      </c>
      <c r="V295" s="17" t="str">
        <f aca="false">IF((E295="t"),H295," ")</f>
        <v> </v>
      </c>
      <c r="W295" s="17" t="str">
        <f aca="false">IF((E295="q"),H295," ")</f>
        <v> </v>
      </c>
      <c r="X295" s="17" t="str">
        <f aca="false">IF((E295="m"),H295," ")</f>
        <v> </v>
      </c>
      <c r="Y295" s="17" t="str">
        <f aca="false">IF((E295="u"),H295," ")</f>
        <v> </v>
      </c>
      <c r="Z295" s="17" t="str">
        <f aca="false">IF((E295="a"),H295," ")</f>
        <v> </v>
      </c>
      <c r="AA295" s="17" t="str">
        <f aca="false">IF((E295="g"),H295," ")</f>
        <v> </v>
      </c>
      <c r="AB295" s="17" t="str">
        <f aca="false">IF((E295="h"),H295," ")</f>
        <v> </v>
      </c>
      <c r="AC295" s="30" t="str">
        <f aca="false">IF((E295="v"),H295," ")</f>
        <v> </v>
      </c>
      <c r="AD295" s="30" t="str">
        <f aca="false">IF((E295="n"),H295," ")</f>
        <v> </v>
      </c>
      <c r="AE295" s="17" t="str">
        <f aca="false">IF((E295="f"),H295," ")</f>
        <v> </v>
      </c>
      <c r="AF295" s="17" t="str">
        <f aca="false">IF((E295="l"),H295," ")</f>
        <v> </v>
      </c>
      <c r="AG295" s="17" t="str">
        <f aca="false">IF((E295="y"),H295," ")</f>
        <v> </v>
      </c>
      <c r="AH295" s="17" t="str">
        <f aca="false">IF((E295="z"),H295," ")</f>
        <v> </v>
      </c>
      <c r="AI295" s="17" t="str">
        <f aca="false">IF((E295="fa"),H295," ")</f>
        <v> </v>
      </c>
      <c r="AJ295" s="17" t="str">
        <f aca="false">IF((E295="e"),H295," ")</f>
        <v> </v>
      </c>
    </row>
    <row r="296" customFormat="false" ht="12" hidden="false" customHeight="false" outlineLevel="0" collapsed="false">
      <c r="A296" s="28"/>
      <c r="E296" s="2" t="str">
        <f aca="false">IF((F296&lt;&gt;0),"Enter Letter"," ")</f>
        <v> </v>
      </c>
      <c r="F296" s="30"/>
      <c r="G296" s="6" t="str">
        <f aca="false">IF(F296&lt;&gt;0,F296*G$2/(100+G$2)," ")</f>
        <v> </v>
      </c>
      <c r="H296" s="6" t="str">
        <f aca="false">IF((F296&lt;&gt;0),F296-G296," ")</f>
        <v> </v>
      </c>
      <c r="I296" s="5"/>
      <c r="L296" s="7" t="str">
        <f aca="false">IF(F296&lt;&gt;0,F296-K296," ")</f>
        <v> </v>
      </c>
      <c r="M296" s="8" t="str">
        <f aca="false">IF((F296-K296)&lt;&gt;0,M$1-A296," ")</f>
        <v> </v>
      </c>
      <c r="N296" s="5"/>
      <c r="O296" s="17" t="str">
        <f aca="false">IF((E296="s"),H296," ")</f>
        <v> </v>
      </c>
      <c r="P296" s="17" t="str">
        <f aca="false">IF((E296="c"),H296," ")</f>
        <v> </v>
      </c>
      <c r="Q296" s="17" t="str">
        <f aca="false">IF((E296="o"),H296," ")</f>
        <v> </v>
      </c>
      <c r="R296" s="17" t="str">
        <f aca="false">IF((E296="d"),H296," ")</f>
        <v> </v>
      </c>
      <c r="S296" s="17" t="str">
        <f aca="false">IF((E296="w"),H296," ")</f>
        <v> </v>
      </c>
      <c r="T296" s="17" t="str">
        <f aca="false">IF((E296="r"),H296," ")</f>
        <v> </v>
      </c>
      <c r="U296" s="17" t="str">
        <f aca="false">IF((E296="p"),H296," ")</f>
        <v> </v>
      </c>
      <c r="V296" s="17" t="str">
        <f aca="false">IF((E296="t"),H296," ")</f>
        <v> </v>
      </c>
      <c r="W296" s="17" t="str">
        <f aca="false">IF((E296="q"),H296," ")</f>
        <v> </v>
      </c>
      <c r="X296" s="17" t="str">
        <f aca="false">IF((E296="m"),H296," ")</f>
        <v> </v>
      </c>
      <c r="Y296" s="17" t="str">
        <f aca="false">IF((E296="u"),H296," ")</f>
        <v> </v>
      </c>
      <c r="Z296" s="17" t="str">
        <f aca="false">IF((E296="a"),H296," ")</f>
        <v> </v>
      </c>
      <c r="AA296" s="17" t="str">
        <f aca="false">IF((E296="g"),H296," ")</f>
        <v> </v>
      </c>
      <c r="AB296" s="17" t="str">
        <f aca="false">IF((E296="h"),H296," ")</f>
        <v> </v>
      </c>
      <c r="AC296" s="30" t="str">
        <f aca="false">IF((E296="v"),H296," ")</f>
        <v> </v>
      </c>
      <c r="AD296" s="30" t="str">
        <f aca="false">IF((E296="n"),H296," ")</f>
        <v> </v>
      </c>
      <c r="AE296" s="17" t="str">
        <f aca="false">IF((E296="f"),H296," ")</f>
        <v> </v>
      </c>
      <c r="AF296" s="17" t="str">
        <f aca="false">IF((E296="l"),H296," ")</f>
        <v> </v>
      </c>
      <c r="AG296" s="17" t="str">
        <f aca="false">IF((E296="y"),H296," ")</f>
        <v> </v>
      </c>
      <c r="AH296" s="17" t="str">
        <f aca="false">IF((E296="z"),H296," ")</f>
        <v> </v>
      </c>
      <c r="AI296" s="17" t="str">
        <f aca="false">IF((E296="fa"),H296," ")</f>
        <v> </v>
      </c>
      <c r="AJ296" s="17" t="str">
        <f aca="false">IF((E296="e"),H296," ")</f>
        <v> </v>
      </c>
    </row>
    <row r="297" customFormat="false" ht="12" hidden="false" customHeight="false" outlineLevel="0" collapsed="false">
      <c r="A297" s="28"/>
      <c r="E297" s="2" t="str">
        <f aca="false">IF((F297&lt;&gt;0),"Enter Letter"," ")</f>
        <v> </v>
      </c>
      <c r="F297" s="30"/>
      <c r="G297" s="6" t="str">
        <f aca="false">IF(F297&lt;&gt;0,F297*G$2/(100+G$2)," ")</f>
        <v> </v>
      </c>
      <c r="H297" s="6" t="str">
        <f aca="false">IF((F297&lt;&gt;0),F297-G297," ")</f>
        <v> </v>
      </c>
      <c r="I297" s="5"/>
      <c r="L297" s="7" t="str">
        <f aca="false">IF(F297&lt;&gt;0,F297-K297," ")</f>
        <v> </v>
      </c>
      <c r="M297" s="8" t="str">
        <f aca="false">IF((F297-K297)&lt;&gt;0,M$1-A297," ")</f>
        <v> </v>
      </c>
      <c r="N297" s="5"/>
      <c r="O297" s="17" t="str">
        <f aca="false">IF((E297="s"),H297," ")</f>
        <v> </v>
      </c>
      <c r="P297" s="17" t="str">
        <f aca="false">IF((E297="c"),H297," ")</f>
        <v> </v>
      </c>
      <c r="Q297" s="17" t="str">
        <f aca="false">IF((E297="o"),H297," ")</f>
        <v> </v>
      </c>
      <c r="R297" s="17" t="str">
        <f aca="false">IF((E297="d"),H297," ")</f>
        <v> </v>
      </c>
      <c r="S297" s="17" t="str">
        <f aca="false">IF((E297="w"),H297," ")</f>
        <v> </v>
      </c>
      <c r="T297" s="17" t="str">
        <f aca="false">IF((E297="r"),H297," ")</f>
        <v> </v>
      </c>
      <c r="U297" s="17" t="str">
        <f aca="false">IF((E297="p"),H297," ")</f>
        <v> </v>
      </c>
      <c r="V297" s="17" t="str">
        <f aca="false">IF((E297="t"),H297," ")</f>
        <v> </v>
      </c>
      <c r="W297" s="17" t="str">
        <f aca="false">IF((E297="q"),H297," ")</f>
        <v> </v>
      </c>
      <c r="X297" s="17" t="str">
        <f aca="false">IF((E297="m"),H297," ")</f>
        <v> </v>
      </c>
      <c r="Y297" s="17" t="str">
        <f aca="false">IF((E297="u"),H297," ")</f>
        <v> </v>
      </c>
      <c r="Z297" s="17" t="str">
        <f aca="false">IF((E297="a"),H297," ")</f>
        <v> </v>
      </c>
      <c r="AA297" s="17" t="str">
        <f aca="false">IF((E297="g"),H297," ")</f>
        <v> </v>
      </c>
      <c r="AB297" s="17" t="str">
        <f aca="false">IF((E297="h"),H297," ")</f>
        <v> </v>
      </c>
      <c r="AC297" s="30" t="str">
        <f aca="false">IF((E297="v"),H297," ")</f>
        <v> </v>
      </c>
      <c r="AD297" s="30" t="str">
        <f aca="false">IF((E297="n"),H297," ")</f>
        <v> </v>
      </c>
      <c r="AE297" s="17" t="str">
        <f aca="false">IF((E297="f"),H297," ")</f>
        <v> </v>
      </c>
      <c r="AF297" s="17" t="str">
        <f aca="false">IF((E297="l"),H297," ")</f>
        <v> </v>
      </c>
      <c r="AG297" s="17" t="str">
        <f aca="false">IF((E297="y"),H297," ")</f>
        <v> </v>
      </c>
      <c r="AH297" s="17" t="str">
        <f aca="false">IF((E297="z"),H297," ")</f>
        <v> </v>
      </c>
      <c r="AI297" s="17" t="str">
        <f aca="false">IF((E297="fa"),H297," ")</f>
        <v> </v>
      </c>
      <c r="AJ297" s="17" t="str">
        <f aca="false">IF((E297="e"),H297," ")</f>
        <v> </v>
      </c>
    </row>
    <row r="298" customFormat="false" ht="12" hidden="false" customHeight="false" outlineLevel="0" collapsed="false">
      <c r="A298" s="28"/>
      <c r="E298" s="2" t="str">
        <f aca="false">IF((F298&lt;&gt;0),"Enter Letter"," ")</f>
        <v> </v>
      </c>
      <c r="F298" s="30"/>
      <c r="G298" s="6" t="str">
        <f aca="false">IF(F298&lt;&gt;0,F298*G$2/(100+G$2)," ")</f>
        <v> </v>
      </c>
      <c r="H298" s="6" t="str">
        <f aca="false">IF((F298&lt;&gt;0),F298-G298," ")</f>
        <v> </v>
      </c>
      <c r="I298" s="5"/>
      <c r="L298" s="7" t="str">
        <f aca="false">IF(F298&lt;&gt;0,F298-K298," ")</f>
        <v> </v>
      </c>
      <c r="M298" s="8" t="str">
        <f aca="false">IF((F298-K298)&lt;&gt;0,M$1-A298," ")</f>
        <v> </v>
      </c>
      <c r="N298" s="5"/>
      <c r="O298" s="17" t="str">
        <f aca="false">IF((E298="s"),H298," ")</f>
        <v> </v>
      </c>
      <c r="P298" s="17" t="str">
        <f aca="false">IF((E298="c"),H298," ")</f>
        <v> </v>
      </c>
      <c r="Q298" s="17" t="str">
        <f aca="false">IF((E298="o"),H298," ")</f>
        <v> </v>
      </c>
      <c r="R298" s="17" t="str">
        <f aca="false">IF((E298="d"),H298," ")</f>
        <v> </v>
      </c>
      <c r="S298" s="17" t="str">
        <f aca="false">IF((E298="w"),H298," ")</f>
        <v> </v>
      </c>
      <c r="T298" s="17" t="str">
        <f aca="false">IF((E298="r"),H298," ")</f>
        <v> </v>
      </c>
      <c r="U298" s="17" t="str">
        <f aca="false">IF((E298="p"),H298," ")</f>
        <v> </v>
      </c>
      <c r="V298" s="17" t="str">
        <f aca="false">IF((E298="t"),H298," ")</f>
        <v> </v>
      </c>
      <c r="W298" s="17" t="str">
        <f aca="false">IF((E298="q"),H298," ")</f>
        <v> </v>
      </c>
      <c r="X298" s="17" t="str">
        <f aca="false">IF((E298="m"),H298," ")</f>
        <v> </v>
      </c>
      <c r="Y298" s="17" t="str">
        <f aca="false">IF((E298="u"),H298," ")</f>
        <v> </v>
      </c>
      <c r="Z298" s="17" t="str">
        <f aca="false">IF((E298="a"),H298," ")</f>
        <v> </v>
      </c>
      <c r="AA298" s="17" t="str">
        <f aca="false">IF((E298="g"),H298," ")</f>
        <v> </v>
      </c>
      <c r="AB298" s="17" t="str">
        <f aca="false">IF((E298="h"),H298," ")</f>
        <v> </v>
      </c>
      <c r="AC298" s="30" t="str">
        <f aca="false">IF((E298="v"),H298," ")</f>
        <v> </v>
      </c>
      <c r="AD298" s="30" t="str">
        <f aca="false">IF((E298="n"),H298," ")</f>
        <v> </v>
      </c>
      <c r="AE298" s="17" t="str">
        <f aca="false">IF((E298="f"),H298," ")</f>
        <v> </v>
      </c>
      <c r="AF298" s="17" t="str">
        <f aca="false">IF((E298="l"),H298," ")</f>
        <v> </v>
      </c>
      <c r="AG298" s="17" t="str">
        <f aca="false">IF((E298="y"),H298," ")</f>
        <v> </v>
      </c>
      <c r="AH298" s="17" t="str">
        <f aca="false">IF((E298="z"),H298," ")</f>
        <v> </v>
      </c>
      <c r="AI298" s="17" t="str">
        <f aca="false">IF((E298="fa"),H298," ")</f>
        <v> </v>
      </c>
      <c r="AJ298" s="17" t="str">
        <f aca="false">IF((E298="e"),H298," ")</f>
        <v> </v>
      </c>
    </row>
    <row r="299" customFormat="false" ht="12" hidden="false" customHeight="false" outlineLevel="0" collapsed="false">
      <c r="A299" s="28"/>
      <c r="E299" s="2" t="str">
        <f aca="false">IF((F299&lt;&gt;0),"Enter Letter"," ")</f>
        <v> </v>
      </c>
      <c r="F299" s="30"/>
      <c r="G299" s="6" t="str">
        <f aca="false">IF(F299&lt;&gt;0,F299*G$2/(100+G$2)," ")</f>
        <v> </v>
      </c>
      <c r="H299" s="6" t="str">
        <f aca="false">IF((F299&lt;&gt;0),F299-G299," ")</f>
        <v> </v>
      </c>
      <c r="I299" s="5"/>
      <c r="L299" s="7" t="str">
        <f aca="false">IF(F299&lt;&gt;0,F299-K299," ")</f>
        <v> </v>
      </c>
      <c r="M299" s="8" t="str">
        <f aca="false">IF((F299-K299)&lt;&gt;0,M$1-A299," ")</f>
        <v> </v>
      </c>
      <c r="N299" s="5"/>
      <c r="O299" s="17" t="str">
        <f aca="false">IF((E299="s"),H299," ")</f>
        <v> </v>
      </c>
      <c r="P299" s="17" t="str">
        <f aca="false">IF((E299="c"),H299," ")</f>
        <v> </v>
      </c>
      <c r="Q299" s="17" t="str">
        <f aca="false">IF((E299="o"),H299," ")</f>
        <v> </v>
      </c>
      <c r="R299" s="17" t="str">
        <f aca="false">IF((E299="d"),H299," ")</f>
        <v> </v>
      </c>
      <c r="S299" s="17" t="str">
        <f aca="false">IF((E299="w"),H299," ")</f>
        <v> </v>
      </c>
      <c r="T299" s="17" t="str">
        <f aca="false">IF((E299="r"),H299," ")</f>
        <v> </v>
      </c>
      <c r="U299" s="17" t="str">
        <f aca="false">IF((E299="p"),H299," ")</f>
        <v> </v>
      </c>
      <c r="V299" s="17" t="str">
        <f aca="false">IF((E299="t"),H299," ")</f>
        <v> </v>
      </c>
      <c r="W299" s="17" t="str">
        <f aca="false">IF((E299="q"),H299," ")</f>
        <v> </v>
      </c>
      <c r="X299" s="17" t="str">
        <f aca="false">IF((E299="m"),H299," ")</f>
        <v> </v>
      </c>
      <c r="Y299" s="17" t="str">
        <f aca="false">IF((E299="u"),H299," ")</f>
        <v> </v>
      </c>
      <c r="Z299" s="17" t="str">
        <f aca="false">IF((E299="a"),H299," ")</f>
        <v> </v>
      </c>
      <c r="AA299" s="17" t="str">
        <f aca="false">IF((E299="g"),H299," ")</f>
        <v> </v>
      </c>
      <c r="AB299" s="17" t="str">
        <f aca="false">IF((E299="h"),H299," ")</f>
        <v> </v>
      </c>
      <c r="AC299" s="30" t="str">
        <f aca="false">IF((E299="v"),H299," ")</f>
        <v> </v>
      </c>
      <c r="AD299" s="30" t="str">
        <f aca="false">IF((E299="n"),H299," ")</f>
        <v> </v>
      </c>
      <c r="AE299" s="17" t="str">
        <f aca="false">IF((E299="f"),H299," ")</f>
        <v> </v>
      </c>
      <c r="AF299" s="17" t="str">
        <f aca="false">IF((E299="l"),H299," ")</f>
        <v> </v>
      </c>
      <c r="AG299" s="17" t="str">
        <f aca="false">IF((E299="y"),H299," ")</f>
        <v> </v>
      </c>
      <c r="AH299" s="17" t="str">
        <f aca="false">IF((E299="z"),H299," ")</f>
        <v> </v>
      </c>
      <c r="AI299" s="17" t="str">
        <f aca="false">IF((E299="fa"),H299," ")</f>
        <v> </v>
      </c>
      <c r="AJ299" s="17" t="str">
        <f aca="false">IF((E299="e"),H299," ")</f>
        <v> </v>
      </c>
    </row>
    <row r="300" customFormat="false" ht="12" hidden="false" customHeight="false" outlineLevel="0" collapsed="false">
      <c r="A300" s="32"/>
      <c r="B300" s="33"/>
      <c r="C300" s="34"/>
      <c r="D300" s="33"/>
      <c r="E300" s="46" t="str">
        <f aca="false">IF((F300&lt;&gt;0),"Enter Letter"," ")</f>
        <v> </v>
      </c>
      <c r="F300" s="47"/>
      <c r="G300" s="36" t="str">
        <f aca="false">IF(F300&lt;&gt;0,F300*G$2/(100+G$2)," ")</f>
        <v> </v>
      </c>
      <c r="H300" s="36" t="str">
        <f aca="false">IF((F300&lt;&gt;0),F300-G300," ")</f>
        <v> </v>
      </c>
      <c r="I300" s="48"/>
      <c r="J300" s="36"/>
      <c r="K300" s="36"/>
      <c r="L300" s="37" t="str">
        <f aca="false">IF(F300&lt;&gt;0,F300-K300," ")</f>
        <v> </v>
      </c>
      <c r="M300" s="38" t="str">
        <f aca="false">IF((F300-K300)&lt;&gt;0,M$1-A300," ")</f>
        <v> </v>
      </c>
      <c r="N300" s="48"/>
      <c r="O300" s="49" t="str">
        <f aca="false">IF((E300="s"),H300," ")</f>
        <v> </v>
      </c>
      <c r="P300" s="49" t="str">
        <f aca="false">IF((E300="c"),H300," ")</f>
        <v> </v>
      </c>
      <c r="Q300" s="49" t="str">
        <f aca="false">IF((E300="o"),H300," ")</f>
        <v> </v>
      </c>
      <c r="R300" s="49" t="str">
        <f aca="false">IF((E300="d"),H300," ")</f>
        <v> </v>
      </c>
      <c r="S300" s="49" t="str">
        <f aca="false">IF((E300="w"),H300," ")</f>
        <v> </v>
      </c>
      <c r="T300" s="49" t="str">
        <f aca="false">IF((E300="r"),H300," ")</f>
        <v> </v>
      </c>
      <c r="U300" s="49" t="str">
        <f aca="false">IF((E300="p"),H300," ")</f>
        <v> </v>
      </c>
      <c r="V300" s="49" t="str">
        <f aca="false">IF((E300="t"),H300," ")</f>
        <v> </v>
      </c>
      <c r="W300" s="49" t="str">
        <f aca="false">IF((E300="q"),H300," ")</f>
        <v> </v>
      </c>
      <c r="X300" s="49" t="str">
        <f aca="false">IF((E300="m"),H300," ")</f>
        <v> </v>
      </c>
      <c r="Y300" s="49" t="str">
        <f aca="false">IF((E300="u"),H300," ")</f>
        <v> </v>
      </c>
      <c r="Z300" s="49" t="str">
        <f aca="false">IF((E300="a"),H300," ")</f>
        <v> </v>
      </c>
      <c r="AA300" s="49" t="str">
        <f aca="false">IF((E300="g"),H300," ")</f>
        <v> </v>
      </c>
      <c r="AB300" s="49" t="str">
        <f aca="false">IF((E300="h"),H300," ")</f>
        <v> </v>
      </c>
      <c r="AC300" s="47" t="str">
        <f aca="false">IF((E300="v"),H300," ")</f>
        <v> </v>
      </c>
      <c r="AD300" s="47" t="str">
        <f aca="false">IF((E300="n"),H300," ")</f>
        <v> </v>
      </c>
      <c r="AE300" s="49" t="str">
        <f aca="false">IF((E300="f"),H300," ")</f>
        <v> </v>
      </c>
      <c r="AF300" s="49" t="str">
        <f aca="false">IF((E300="l"),H300," ")</f>
        <v> </v>
      </c>
      <c r="AG300" s="49" t="str">
        <f aca="false">IF((E300="y"),H300," ")</f>
        <v> </v>
      </c>
      <c r="AH300" s="49" t="str">
        <f aca="false">IF((E300="z"),H300," ")</f>
        <v> </v>
      </c>
      <c r="AI300" s="49" t="str">
        <f aca="false">IF((E300="fa"),H300," ")</f>
        <v> </v>
      </c>
      <c r="AJ300" s="49" t="str">
        <f aca="false">IF((E300="e"),H300," ")</f>
        <v> </v>
      </c>
      <c r="AK300" s="49"/>
      <c r="AL300" s="49"/>
    </row>
    <row r="301" customFormat="false" ht="12" hidden="false" customHeight="false" outlineLevel="0" collapsed="false">
      <c r="A301" s="28"/>
    </row>
  </sheetData>
  <mergeCells count="37">
    <mergeCell ref="C1:C4"/>
    <mergeCell ref="D1:E1"/>
    <mergeCell ref="I1:I4"/>
    <mergeCell ref="J1:J4"/>
    <mergeCell ref="N1:N4"/>
    <mergeCell ref="AJ1:AJ4"/>
    <mergeCell ref="A2:A4"/>
    <mergeCell ref="B2:B4"/>
    <mergeCell ref="D2:D4"/>
    <mergeCell ref="E2:E4"/>
    <mergeCell ref="F2:F4"/>
    <mergeCell ref="H2:H4"/>
    <mergeCell ref="K2:M2"/>
    <mergeCell ref="O2:Q2"/>
    <mergeCell ref="R2:R3"/>
    <mergeCell ref="S2:S3"/>
    <mergeCell ref="T2:U2"/>
    <mergeCell ref="V2:V3"/>
    <mergeCell ref="W2:W3"/>
    <mergeCell ref="X2:X3"/>
    <mergeCell ref="Y2:Y3"/>
    <mergeCell ref="Z2:Z3"/>
    <mergeCell ref="AA2:AA3"/>
    <mergeCell ref="AB2:AB3"/>
    <mergeCell ref="AC2:AC3"/>
    <mergeCell ref="AD2:AD3"/>
    <mergeCell ref="AE2:AE3"/>
    <mergeCell ref="AF2:AF3"/>
    <mergeCell ref="AG2:AG3"/>
    <mergeCell ref="AH2:AH3"/>
    <mergeCell ref="AI2:AI3"/>
    <mergeCell ref="AK2:AL2"/>
    <mergeCell ref="G3:G4"/>
    <mergeCell ref="K3:K4"/>
    <mergeCell ref="L3:L4"/>
    <mergeCell ref="M3:M4"/>
    <mergeCell ref="AK3:AL3"/>
  </mergeCells>
  <dataValidations count="4">
    <dataValidation allowBlank="true" error="While dates outside the financial year can be accepted for valid transactions the date may not have been entered in the correct format.&#10;&#10;CORRECT DATE FORMAT IS DD/MM/YY&#10;&#10;Example 25/12/08 then appears as 25-Dec-08&#10;" errorStyle="stop" errorTitle="DATE ERROR" operator="between" showDropDown="false" showErrorMessage="true" showInputMessage="false" sqref="A5:A300" type="date">
      <formula1>38353</formula1>
      <formula2>53327</formula2>
    </dataValidation>
    <dataValidation allowBlank="true" errorStyle="stop" operator="between" prompt="Entries below the line are not included in column totals or analysed.&#10;&#10;To accomodate additional entries the formulae in column totals need changing and sales analysis columns formulae added " promptTitle="PLEASE NOTE" showDropDown="false" showErrorMessage="true" showInputMessage="true" sqref="A301" type="none">
      <formula1>0</formula1>
      <formula2>0</formula2>
    </dataValidation>
    <dataValidation allowBlank="true" errorStyle="stop" operator="between" prompt="An amount in this cell is an indication column H does not equal column F minus G or the analysis in columns O to AI does not add up to total in column H&#10;&#10;CHECK ENTRY CODE LETTERS or ANY MANUAL ENTRIES IN COL G to H and COL O to AI&#10;" promptTitle="ERROR ALERT" showDropDown="false" showErrorMessage="true" showInputMessage="true" sqref="A1" type="none">
      <formula1>0</formula1>
      <formula2>0</formula2>
    </dataValidation>
    <dataValidation allowBlank="true" errorStyle="stop" operator="between" showDropDown="false" showErrorMessage="true" showInputMessage="false" sqref="E5:E300" type="list">
      <formula1>$O$4:$AI$4</formula1>
      <formula2>0</formula2>
    </dataValidation>
  </dataValidations>
  <printOptions headings="false" gridLines="true" gridLinesSet="true" horizontalCentered="false" verticalCentered="false"/>
  <pageMargins left="0.118055555555556" right="0.0784722222222222" top="0.590277777777778" bottom="0.590277777777778" header="0.196527777777778" footer="0.196527777777778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&amp;C&amp;"Arial,Bold"&amp;11Costs and Expenses</oddHeader>
    <oddFooter>&amp;L&amp;D  &amp;T&amp;C&amp;P  of  &amp;N&amp;R&amp;F  &amp;A</oddFooter>
  </headerFooter>
  <colBreaks count="1" manualBreakCount="1">
    <brk id="24" man="true" max="65535" min="0"/>
  </colBreak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Z3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625" defaultRowHeight="12" zeroHeight="false" outlineLevelRow="0" outlineLevelCol="0"/>
  <cols>
    <col collapsed="false" customWidth="true" hidden="false" outlineLevel="0" max="1" min="1" style="1" width="8.82"/>
    <col collapsed="false" customWidth="true" hidden="false" outlineLevel="0" max="2" min="2" style="2" width="18.66"/>
    <col collapsed="false" customWidth="true" hidden="false" outlineLevel="0" max="3" min="3" style="3" width="12.66"/>
    <col collapsed="false" customWidth="true" hidden="false" outlineLevel="0" max="4" min="4" style="2" width="14.66"/>
    <col collapsed="false" customWidth="true" hidden="false" outlineLevel="0" max="5" min="5" style="5" width="9.66"/>
    <col collapsed="false" customWidth="true" hidden="false" outlineLevel="0" max="6" min="6" style="6" width="10.5"/>
    <col collapsed="false" customWidth="true" hidden="false" outlineLevel="0" max="7" min="7" style="6" width="9.66"/>
    <col collapsed="false" customWidth="true" hidden="false" outlineLevel="0" max="8" min="8" style="6" width="10.66"/>
    <col collapsed="false" customWidth="true" hidden="false" outlineLevel="0" max="9" min="9" style="6" width="0.82"/>
    <col collapsed="false" customWidth="true" hidden="false" outlineLevel="0" max="10" min="10" style="6" width="9.99"/>
    <col collapsed="false" customWidth="true" hidden="false" outlineLevel="0" max="11" min="11" style="6" width="9.66"/>
    <col collapsed="false" customWidth="true" hidden="false" outlineLevel="0" max="12" min="12" style="7" width="9.66"/>
    <col collapsed="false" customWidth="true" hidden="false" outlineLevel="0" max="13" min="13" style="8" width="9.49"/>
    <col collapsed="false" customWidth="true" hidden="false" outlineLevel="0" max="14" min="14" style="6" width="0.82"/>
    <col collapsed="false" customWidth="true" hidden="false" outlineLevel="0" max="23" min="15" style="17" width="9.66"/>
    <col collapsed="false" customWidth="true" hidden="false" outlineLevel="0" max="28" min="24" style="17" width="10.5"/>
    <col collapsed="false" customWidth="true" hidden="false" outlineLevel="0" max="30" min="29" style="39" width="10.5"/>
    <col collapsed="false" customWidth="true" hidden="false" outlineLevel="0" max="36" min="31" style="17" width="10.5"/>
    <col collapsed="false" customWidth="false" hidden="false" outlineLevel="0" max="37" min="37" style="17" width="9.15"/>
    <col collapsed="false" customWidth="true" hidden="false" outlineLevel="0" max="38" min="38" style="17" width="12.66"/>
    <col collapsed="false" customWidth="false" hidden="false" outlineLevel="0" max="257" min="39" style="2" width="9.15"/>
  </cols>
  <sheetData>
    <row r="1" s="17" customFormat="true" ht="12.75" hidden="false" customHeight="true" outlineLevel="0" collapsed="false">
      <c r="A1" s="40" t="n">
        <f aca="false">F1-G1-SUM(O1:AJ1)</f>
        <v>0</v>
      </c>
      <c r="B1" s="41" t="s">
        <v>22</v>
      </c>
      <c r="C1" s="20" t="s">
        <v>5</v>
      </c>
      <c r="D1" s="42" t="s">
        <v>23</v>
      </c>
      <c r="E1" s="42"/>
      <c r="F1" s="12" t="n">
        <f aca="false">SUM(F5:F300)</f>
        <v>6918</v>
      </c>
      <c r="G1" s="12" t="n">
        <f aca="false">SUM(G5:G300)</f>
        <v>1153</v>
      </c>
      <c r="H1" s="12" t="n">
        <f aca="false">SUM(H5:H300)</f>
        <v>5765</v>
      </c>
      <c r="I1" s="13"/>
      <c r="J1" s="14" t="s">
        <v>2</v>
      </c>
      <c r="K1" s="15" t="n">
        <f aca="false">SUM(K5:K300)</f>
        <v>0</v>
      </c>
      <c r="L1" s="15" t="n">
        <f aca="false">SUM(L5:L300)</f>
        <v>6918</v>
      </c>
      <c r="M1" s="16" t="n">
        <f aca="true">TODAY()</f>
        <v>46278</v>
      </c>
      <c r="N1" s="13"/>
      <c r="O1" s="12" t="n">
        <f aca="false">SUM(O5:O300)</f>
        <v>700</v>
      </c>
      <c r="P1" s="12" t="n">
        <f aca="false">SUM(P5:P300)</f>
        <v>2500</v>
      </c>
      <c r="Q1" s="12" t="n">
        <f aca="false">SUM(Q5:Q300)</f>
        <v>207.5</v>
      </c>
      <c r="R1" s="12" t="n">
        <f aca="false">SUM(R5:R300)</f>
        <v>0</v>
      </c>
      <c r="S1" s="12" t="n">
        <f aca="false">SUM(S5:S300)</f>
        <v>0</v>
      </c>
      <c r="T1" s="12" t="n">
        <f aca="false">SUM(T5:T300)</f>
        <v>1000</v>
      </c>
      <c r="U1" s="12" t="n">
        <f aca="false">SUM(U5:U300)</f>
        <v>0</v>
      </c>
      <c r="V1" s="12" t="n">
        <f aca="false">SUM(V5:V300)</f>
        <v>200</v>
      </c>
      <c r="W1" s="12" t="n">
        <f aca="false">SUM(W5:W300)</f>
        <v>0</v>
      </c>
      <c r="X1" s="12" t="n">
        <f aca="false">SUM(X5:X300)</f>
        <v>0</v>
      </c>
      <c r="Y1" s="12" t="n">
        <f aca="false">SUM(Y5:Y300)</f>
        <v>95.8333333333333</v>
      </c>
      <c r="Z1" s="12" t="n">
        <f aca="false">SUM(Z5:Z300)</f>
        <v>0</v>
      </c>
      <c r="AA1" s="12" t="n">
        <f aca="false">SUM(AA5:AA300)</f>
        <v>137.5</v>
      </c>
      <c r="AB1" s="12" t="n">
        <f aca="false">SUM(AB5:AB300)</f>
        <v>136.666666666667</v>
      </c>
      <c r="AC1" s="12" t="n">
        <f aca="false">SUM(AC5:AC300)</f>
        <v>537.5</v>
      </c>
      <c r="AD1" s="12" t="n">
        <f aca="false">SUM(AD5:AD300)</f>
        <v>0</v>
      </c>
      <c r="AE1" s="12" t="n">
        <f aca="false">SUM(AE5:AE300)</f>
        <v>0</v>
      </c>
      <c r="AF1" s="12" t="n">
        <f aca="false">SUM(AF5:AF300)</f>
        <v>250</v>
      </c>
      <c r="AG1" s="12" t="n">
        <f aca="false">SUM(AG5:AG300)</f>
        <v>0</v>
      </c>
      <c r="AH1" s="12" t="n">
        <f aca="false">SUM(AH5:AH300)</f>
        <v>0</v>
      </c>
      <c r="AI1" s="12" t="n">
        <f aca="false">SUM(AI5:AI300)</f>
        <v>0</v>
      </c>
      <c r="AJ1" s="12" t="n">
        <f aca="false">SUM(AJ5:AJ300)</f>
        <v>0</v>
      </c>
      <c r="AK1" s="12" t="n">
        <f aca="false">SUM(AK5:AK300)</f>
        <v>600</v>
      </c>
      <c r="AL1" s="43"/>
    </row>
    <row r="2" s="17" customFormat="true" ht="13.5" hidden="false" customHeight="true" outlineLevel="0" collapsed="false">
      <c r="A2" s="18" t="s">
        <v>3</v>
      </c>
      <c r="B2" s="19" t="s">
        <v>4</v>
      </c>
      <c r="C2" s="20"/>
      <c r="D2" s="21" t="s">
        <v>6</v>
      </c>
      <c r="E2" s="21" t="s">
        <v>24</v>
      </c>
      <c r="F2" s="19" t="s">
        <v>7</v>
      </c>
      <c r="G2" s="22" t="n">
        <f aca="false">IF([2]Jun!$G$4&gt;0,0,[2]Jun!$G$2)</f>
        <v>20</v>
      </c>
      <c r="H2" s="19" t="s">
        <v>8</v>
      </c>
      <c r="I2" s="13"/>
      <c r="J2" s="14"/>
      <c r="K2" s="23" t="s">
        <v>9</v>
      </c>
      <c r="L2" s="23"/>
      <c r="M2" s="23"/>
      <c r="N2" s="13"/>
      <c r="O2" s="19" t="s">
        <v>25</v>
      </c>
      <c r="P2" s="19"/>
      <c r="Q2" s="19"/>
      <c r="R2" s="19" t="s">
        <v>26</v>
      </c>
      <c r="S2" s="19" t="s">
        <v>27</v>
      </c>
      <c r="T2" s="19" t="s">
        <v>28</v>
      </c>
      <c r="U2" s="19"/>
      <c r="V2" s="19" t="s">
        <v>29</v>
      </c>
      <c r="W2" s="19" t="s">
        <v>30</v>
      </c>
      <c r="X2" s="19" t="s">
        <v>31</v>
      </c>
      <c r="Y2" s="19" t="s">
        <v>32</v>
      </c>
      <c r="Z2" s="19" t="s">
        <v>33</v>
      </c>
      <c r="AA2" s="19" t="s">
        <v>34</v>
      </c>
      <c r="AB2" s="19" t="s">
        <v>35</v>
      </c>
      <c r="AC2" s="19" t="s">
        <v>36</v>
      </c>
      <c r="AD2" s="19" t="s">
        <v>37</v>
      </c>
      <c r="AE2" s="19" t="s">
        <v>38</v>
      </c>
      <c r="AF2" s="19" t="s">
        <v>39</v>
      </c>
      <c r="AG2" s="19" t="s">
        <v>40</v>
      </c>
      <c r="AH2" s="19" t="s">
        <v>41</v>
      </c>
      <c r="AI2" s="19" t="s">
        <v>42</v>
      </c>
      <c r="AJ2" s="12" t="s">
        <v>43</v>
      </c>
      <c r="AK2" s="19" t="s">
        <v>44</v>
      </c>
      <c r="AL2" s="19"/>
    </row>
    <row r="3" s="26" customFormat="true" ht="34.5" hidden="false" customHeight="true" outlineLevel="0" collapsed="false">
      <c r="A3" s="18"/>
      <c r="B3" s="19"/>
      <c r="C3" s="20"/>
      <c r="D3" s="21"/>
      <c r="E3" s="21"/>
      <c r="F3" s="19"/>
      <c r="G3" s="19" t="s">
        <v>10</v>
      </c>
      <c r="H3" s="19"/>
      <c r="I3" s="13"/>
      <c r="J3" s="14"/>
      <c r="K3" s="24" t="s">
        <v>11</v>
      </c>
      <c r="L3" s="24" t="s">
        <v>12</v>
      </c>
      <c r="M3" s="25" t="s">
        <v>13</v>
      </c>
      <c r="N3" s="13"/>
      <c r="O3" s="21" t="s">
        <v>45</v>
      </c>
      <c r="P3" s="21" t="s">
        <v>46</v>
      </c>
      <c r="Q3" s="21" t="s">
        <v>47</v>
      </c>
      <c r="R3" s="19"/>
      <c r="S3" s="19"/>
      <c r="T3" s="21" t="s">
        <v>48</v>
      </c>
      <c r="U3" s="21" t="s">
        <v>49</v>
      </c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2"/>
      <c r="AK3" s="19" t="s">
        <v>50</v>
      </c>
      <c r="AL3" s="19"/>
    </row>
    <row r="4" s="27" customFormat="true" ht="12.75" hidden="false" customHeight="true" outlineLevel="0" collapsed="false">
      <c r="A4" s="18"/>
      <c r="B4" s="19"/>
      <c r="C4" s="20"/>
      <c r="D4" s="21"/>
      <c r="E4" s="21"/>
      <c r="F4" s="19"/>
      <c r="G4" s="19"/>
      <c r="H4" s="19"/>
      <c r="I4" s="13"/>
      <c r="J4" s="14"/>
      <c r="K4" s="24"/>
      <c r="L4" s="24"/>
      <c r="M4" s="24"/>
      <c r="N4" s="13"/>
      <c r="O4" s="44" t="s">
        <v>51</v>
      </c>
      <c r="P4" s="44" t="s">
        <v>52</v>
      </c>
      <c r="Q4" s="44" t="s">
        <v>53</v>
      </c>
      <c r="R4" s="44" t="s">
        <v>54</v>
      </c>
      <c r="S4" s="44" t="s">
        <v>55</v>
      </c>
      <c r="T4" s="44" t="s">
        <v>56</v>
      </c>
      <c r="U4" s="44" t="s">
        <v>57</v>
      </c>
      <c r="V4" s="44" t="s">
        <v>58</v>
      </c>
      <c r="W4" s="44" t="s">
        <v>59</v>
      </c>
      <c r="X4" s="44" t="s">
        <v>60</v>
      </c>
      <c r="Y4" s="44" t="s">
        <v>61</v>
      </c>
      <c r="Z4" s="44" t="s">
        <v>62</v>
      </c>
      <c r="AA4" s="44" t="s">
        <v>63</v>
      </c>
      <c r="AB4" s="44" t="s">
        <v>64</v>
      </c>
      <c r="AC4" s="45" t="s">
        <v>65</v>
      </c>
      <c r="AD4" s="45" t="s">
        <v>66</v>
      </c>
      <c r="AE4" s="44" t="s">
        <v>67</v>
      </c>
      <c r="AF4" s="44" t="s">
        <v>68</v>
      </c>
      <c r="AG4" s="44" t="s">
        <v>69</v>
      </c>
      <c r="AH4" s="44" t="s">
        <v>70</v>
      </c>
      <c r="AI4" s="44" t="s">
        <v>71</v>
      </c>
      <c r="AJ4" s="12" t="s">
        <v>72</v>
      </c>
      <c r="AK4" s="19" t="s">
        <v>73</v>
      </c>
      <c r="AL4" s="19" t="s">
        <v>74</v>
      </c>
    </row>
    <row r="5" s="5" customFormat="true" ht="12" hidden="false" customHeight="false" outlineLevel="0" collapsed="false">
      <c r="A5" s="28" t="n">
        <v>46539</v>
      </c>
      <c r="B5" s="2" t="s">
        <v>14</v>
      </c>
      <c r="C5" s="3"/>
      <c r="D5" s="2" t="s">
        <v>75</v>
      </c>
      <c r="E5" s="2" t="s">
        <v>76</v>
      </c>
      <c r="F5" s="30" t="n">
        <v>1200</v>
      </c>
      <c r="G5" s="6" t="n">
        <f aca="false">IF(F5&lt;&gt;0,F5*G$2/(100+G$2)," ")</f>
        <v>200</v>
      </c>
      <c r="H5" s="6" t="n">
        <f aca="false">IF((F5&lt;&gt;0),F5-G5," ")</f>
        <v>1000</v>
      </c>
      <c r="J5" s="6"/>
      <c r="K5" s="6"/>
      <c r="L5" s="7" t="n">
        <f aca="false">IF(F5&lt;&gt;0,F5-K5," ")</f>
        <v>1200</v>
      </c>
      <c r="M5" s="8" t="n">
        <f aca="false">IF((F5-K5)&lt;&gt;0,M$1-A5," ")</f>
        <v>-261</v>
      </c>
      <c r="O5" s="17" t="str">
        <f aca="false">IF((E5="s"),H5," ")</f>
        <v> </v>
      </c>
      <c r="P5" s="17" t="str">
        <f aca="false">IF((E5="c"),H5," ")</f>
        <v> </v>
      </c>
      <c r="Q5" s="17" t="str">
        <f aca="false">IF((E5="o"),H5," ")</f>
        <v> </v>
      </c>
      <c r="R5" s="17" t="str">
        <f aca="false">IF((E5="d"),H5," ")</f>
        <v> </v>
      </c>
      <c r="S5" s="17" t="str">
        <f aca="false">IF((E5="w"),H5," ")</f>
        <v> </v>
      </c>
      <c r="T5" s="17" t="n">
        <f aca="false">IF((E5="r"),H5," ")</f>
        <v>1000</v>
      </c>
      <c r="U5" s="17" t="str">
        <f aca="false">IF((E5="p"),H5," ")</f>
        <v> </v>
      </c>
      <c r="V5" s="17" t="str">
        <f aca="false">IF((E5="t"),H5," ")</f>
        <v> </v>
      </c>
      <c r="W5" s="17" t="str">
        <f aca="false">IF((E5="q"),H5," ")</f>
        <v> </v>
      </c>
      <c r="X5" s="17" t="str">
        <f aca="false">IF((E5="m"),H5," ")</f>
        <v> </v>
      </c>
      <c r="Y5" s="17" t="str">
        <f aca="false">IF((E5="u"),H5," ")</f>
        <v> </v>
      </c>
      <c r="Z5" s="17" t="str">
        <f aca="false">IF((E5="a"),H5," ")</f>
        <v> </v>
      </c>
      <c r="AA5" s="17" t="str">
        <f aca="false">IF((E5="g"),H5," ")</f>
        <v> </v>
      </c>
      <c r="AB5" s="17" t="str">
        <f aca="false">IF((E5="h"),H5," ")</f>
        <v> </v>
      </c>
      <c r="AC5" s="30" t="str">
        <f aca="false">IF((E5="v"),H5," ")</f>
        <v> </v>
      </c>
      <c r="AD5" s="30" t="str">
        <f aca="false">IF((E5="n"),H5," ")</f>
        <v> </v>
      </c>
      <c r="AE5" s="17" t="str">
        <f aca="false">IF((E5="f"),H5," ")</f>
        <v> </v>
      </c>
      <c r="AF5" s="17" t="str">
        <f aca="false">IF((E5="l"),H5," ")</f>
        <v> </v>
      </c>
      <c r="AG5" s="17" t="str">
        <f aca="false">IF((E5="y"),H5," ")</f>
        <v> </v>
      </c>
      <c r="AH5" s="17" t="str">
        <f aca="false">IF((E5="z"),H5," ")</f>
        <v> </v>
      </c>
      <c r="AI5" s="17" t="str">
        <f aca="false">IF((E5="fa"),H5," ")</f>
        <v> </v>
      </c>
      <c r="AJ5" s="17" t="str">
        <f aca="false">IF((E5="e"),H5," ")</f>
        <v> </v>
      </c>
      <c r="AK5" s="17"/>
      <c r="AL5" s="17"/>
      <c r="BZ5" s="5" t="s">
        <v>77</v>
      </c>
    </row>
    <row r="6" customFormat="false" ht="12" hidden="false" customHeight="false" outlineLevel="0" collapsed="false">
      <c r="A6" s="28" t="n">
        <v>46539</v>
      </c>
      <c r="B6" s="2" t="s">
        <v>78</v>
      </c>
      <c r="D6" s="2" t="s">
        <v>79</v>
      </c>
      <c r="E6" s="2" t="s">
        <v>80</v>
      </c>
      <c r="F6" s="30" t="n">
        <v>30</v>
      </c>
      <c r="G6" s="6" t="n">
        <f aca="false">IF(F6&lt;&gt;0,F6*G$2/(100+G$2)," ")</f>
        <v>5</v>
      </c>
      <c r="H6" s="6" t="n">
        <f aca="false">IF((F6&lt;&gt;0),F6-G6," ")</f>
        <v>25</v>
      </c>
      <c r="I6" s="5"/>
      <c r="L6" s="7" t="n">
        <f aca="false">IF(F6&lt;&gt;0,F6-K6," ")</f>
        <v>30</v>
      </c>
      <c r="M6" s="8" t="n">
        <f aca="false">IF((F6-K6)&lt;&gt;0,M$1-A6," ")</f>
        <v>-261</v>
      </c>
      <c r="N6" s="5"/>
      <c r="O6" s="17" t="str">
        <f aca="false">IF((E6="s"),H6," ")</f>
        <v> </v>
      </c>
      <c r="P6" s="17" t="str">
        <f aca="false">IF((E6="c"),H6," ")</f>
        <v> </v>
      </c>
      <c r="Q6" s="17" t="str">
        <f aca="false">IF((E6="o"),H6," ")</f>
        <v> </v>
      </c>
      <c r="R6" s="17" t="str">
        <f aca="false">IF((E6="d"),H6," ")</f>
        <v> </v>
      </c>
      <c r="S6" s="17" t="str">
        <f aca="false">IF((E6="w"),H6," ")</f>
        <v> </v>
      </c>
      <c r="T6" s="17" t="str">
        <f aca="false">IF((E6="r"),H6," ")</f>
        <v> </v>
      </c>
      <c r="U6" s="17" t="str">
        <f aca="false">IF((E6="p"),H6," ")</f>
        <v> </v>
      </c>
      <c r="V6" s="17" t="str">
        <f aca="false">IF((E6="t"),H6," ")</f>
        <v> </v>
      </c>
      <c r="W6" s="17" t="str">
        <f aca="false">IF((E6="q"),H6," ")</f>
        <v> </v>
      </c>
      <c r="X6" s="17" t="str">
        <f aca="false">IF((E6="m"),H6," ")</f>
        <v> </v>
      </c>
      <c r="Y6" s="17" t="str">
        <f aca="false">IF((E6="u"),H6," ")</f>
        <v> </v>
      </c>
      <c r="Z6" s="17" t="str">
        <f aca="false">IF((E6="a"),H6," ")</f>
        <v> </v>
      </c>
      <c r="AA6" s="17" t="n">
        <f aca="false">IF((E6="g"),H6," ")</f>
        <v>25</v>
      </c>
      <c r="AB6" s="17" t="str">
        <f aca="false">IF((E6="h"),H6," ")</f>
        <v> </v>
      </c>
      <c r="AC6" s="30" t="str">
        <f aca="false">IF((E6="v"),H6," ")</f>
        <v> </v>
      </c>
      <c r="AD6" s="30" t="str">
        <f aca="false">IF((E6="n"),H6," ")</f>
        <v> </v>
      </c>
      <c r="AE6" s="17" t="str">
        <f aca="false">IF((E6="f"),H6," ")</f>
        <v> </v>
      </c>
      <c r="AF6" s="17" t="str">
        <f aca="false">IF((E6="l"),H6," ")</f>
        <v> </v>
      </c>
      <c r="AG6" s="17" t="str">
        <f aca="false">IF((E6="y"),H6," ")</f>
        <v> </v>
      </c>
      <c r="AH6" s="17" t="str">
        <f aca="false">IF((E6="z"),H6," ")</f>
        <v> </v>
      </c>
      <c r="AI6" s="17" t="str">
        <f aca="false">IF((E6="fa"),H6," ")</f>
        <v> </v>
      </c>
      <c r="AJ6" s="17" t="str">
        <f aca="false">IF((E6="e"),H6," ")</f>
        <v> </v>
      </c>
      <c r="BZ6" s="2" t="s">
        <v>81</v>
      </c>
    </row>
    <row r="7" customFormat="false" ht="12" hidden="false" customHeight="false" outlineLevel="0" collapsed="false">
      <c r="A7" s="28" t="n">
        <v>46539</v>
      </c>
      <c r="B7" s="2" t="s">
        <v>82</v>
      </c>
      <c r="D7" s="2" t="s">
        <v>83</v>
      </c>
      <c r="E7" s="2" t="s">
        <v>80</v>
      </c>
      <c r="F7" s="30" t="n">
        <v>15</v>
      </c>
      <c r="G7" s="6" t="n">
        <f aca="false">IF(F7&lt;&gt;0,F7*G$2/(100+G$2)," ")</f>
        <v>2.5</v>
      </c>
      <c r="H7" s="6" t="n">
        <f aca="false">IF((F7&lt;&gt;0),F7-G7," ")</f>
        <v>12.5</v>
      </c>
      <c r="I7" s="5"/>
      <c r="L7" s="7" t="n">
        <f aca="false">IF(F7&lt;&gt;0,F7-K7," ")</f>
        <v>15</v>
      </c>
      <c r="M7" s="8" t="n">
        <f aca="false">IF((F7-K7)&lt;&gt;0,M$1-A7," ")</f>
        <v>-261</v>
      </c>
      <c r="N7" s="5"/>
      <c r="O7" s="17" t="str">
        <f aca="false">IF((E7="s"),H7," ")</f>
        <v> </v>
      </c>
      <c r="P7" s="17" t="str">
        <f aca="false">IF((E7="c"),H7," ")</f>
        <v> </v>
      </c>
      <c r="Q7" s="17" t="str">
        <f aca="false">IF((E7="o"),H7," ")</f>
        <v> </v>
      </c>
      <c r="R7" s="17" t="str">
        <f aca="false">IF((E7="d"),H7," ")</f>
        <v> </v>
      </c>
      <c r="S7" s="17" t="str">
        <f aca="false">IF((E7="w"),H7," ")</f>
        <v> </v>
      </c>
      <c r="T7" s="17" t="str">
        <f aca="false">IF((E7="r"),H7," ")</f>
        <v> </v>
      </c>
      <c r="U7" s="17" t="str">
        <f aca="false">IF((E7="p"),H7," ")</f>
        <v> </v>
      </c>
      <c r="V7" s="17" t="str">
        <f aca="false">IF((E7="t"),H7," ")</f>
        <v> </v>
      </c>
      <c r="W7" s="17" t="str">
        <f aca="false">IF((E7="q"),H7," ")</f>
        <v> </v>
      </c>
      <c r="X7" s="17" t="str">
        <f aca="false">IF((E7="m"),H7," ")</f>
        <v> </v>
      </c>
      <c r="Y7" s="17" t="str">
        <f aca="false">IF((E7="u"),H7," ")</f>
        <v> </v>
      </c>
      <c r="Z7" s="17" t="str">
        <f aca="false">IF((E7="a"),H7," ")</f>
        <v> </v>
      </c>
      <c r="AA7" s="17" t="n">
        <f aca="false">IF((E7="g"),H7," ")</f>
        <v>12.5</v>
      </c>
      <c r="AB7" s="17" t="str">
        <f aca="false">IF((E7="h"),H7," ")</f>
        <v> </v>
      </c>
      <c r="AC7" s="30" t="str">
        <f aca="false">IF((E7="v"),H7," ")</f>
        <v> </v>
      </c>
      <c r="AD7" s="30" t="str">
        <f aca="false">IF((E7="n"),H7," ")</f>
        <v> </v>
      </c>
      <c r="AE7" s="17" t="str">
        <f aca="false">IF((E7="f"),H7," ")</f>
        <v> </v>
      </c>
      <c r="AF7" s="17" t="str">
        <f aca="false">IF((E7="l"),H7," ")</f>
        <v> </v>
      </c>
      <c r="AG7" s="17" t="str">
        <f aca="false">IF((E7="y"),H7," ")</f>
        <v> </v>
      </c>
      <c r="AH7" s="17" t="str">
        <f aca="false">IF((E7="z"),H7," ")</f>
        <v> </v>
      </c>
      <c r="AI7" s="17" t="str">
        <f aca="false">IF((E7="fa"),H7," ")</f>
        <v> </v>
      </c>
      <c r="AJ7" s="17" t="str">
        <f aca="false">IF((E7="e"),H7," ")</f>
        <v> </v>
      </c>
      <c r="BZ7" s="2" t="s">
        <v>81</v>
      </c>
    </row>
    <row r="8" customFormat="false" ht="12" hidden="false" customHeight="false" outlineLevel="0" collapsed="false">
      <c r="A8" s="28" t="n">
        <v>46539</v>
      </c>
      <c r="B8" s="2" t="s">
        <v>84</v>
      </c>
      <c r="D8" s="2" t="s">
        <v>85</v>
      </c>
      <c r="E8" s="2" t="s">
        <v>86</v>
      </c>
      <c r="F8" s="30" t="n">
        <v>45</v>
      </c>
      <c r="G8" s="6" t="n">
        <f aca="false">IF(F8&lt;&gt;0,F8*G$2/(100+G$2)," ")</f>
        <v>7.5</v>
      </c>
      <c r="H8" s="6" t="n">
        <f aca="false">IF((F8&lt;&gt;0),F8-G8," ")</f>
        <v>37.5</v>
      </c>
      <c r="I8" s="5"/>
      <c r="L8" s="7" t="n">
        <f aca="false">IF(F8&lt;&gt;0,F8-K8," ")</f>
        <v>45</v>
      </c>
      <c r="M8" s="8" t="n">
        <f aca="false">IF((F8-K8)&lt;&gt;0,M$1-A8," ")</f>
        <v>-261</v>
      </c>
      <c r="N8" s="5"/>
      <c r="O8" s="17" t="str">
        <f aca="false">IF((E8="s"),H8," ")</f>
        <v> </v>
      </c>
      <c r="P8" s="17" t="str">
        <f aca="false">IF((E8="c"),H8," ")</f>
        <v> </v>
      </c>
      <c r="Q8" s="17" t="n">
        <f aca="false">IF((E8="o"),H8," ")</f>
        <v>37.5</v>
      </c>
      <c r="R8" s="17" t="str">
        <f aca="false">IF((E8="d"),H8," ")</f>
        <v> </v>
      </c>
      <c r="S8" s="17" t="str">
        <f aca="false">IF((E8="w"),H8," ")</f>
        <v> </v>
      </c>
      <c r="T8" s="17" t="str">
        <f aca="false">IF((E8="r"),H8," ")</f>
        <v> </v>
      </c>
      <c r="U8" s="17" t="str">
        <f aca="false">IF((E8="p"),H8," ")</f>
        <v> </v>
      </c>
      <c r="V8" s="17" t="str">
        <f aca="false">IF((E8="t"),H8," ")</f>
        <v> </v>
      </c>
      <c r="W8" s="17" t="str">
        <f aca="false">IF((E8="q"),H8," ")</f>
        <v> </v>
      </c>
      <c r="X8" s="17" t="str">
        <f aca="false">IF((E8="m"),H8," ")</f>
        <v> </v>
      </c>
      <c r="Y8" s="17" t="str">
        <f aca="false">IF((E8="u"),H8," ")</f>
        <v> </v>
      </c>
      <c r="Z8" s="17" t="str">
        <f aca="false">IF((E8="a"),H8," ")</f>
        <v> </v>
      </c>
      <c r="AA8" s="17" t="str">
        <f aca="false">IF((E8="g"),H8," ")</f>
        <v> </v>
      </c>
      <c r="AB8" s="17" t="str">
        <f aca="false">IF((E8="h"),H8," ")</f>
        <v> </v>
      </c>
      <c r="AC8" s="30" t="str">
        <f aca="false">IF((E8="v"),H8," ")</f>
        <v> </v>
      </c>
      <c r="AD8" s="30" t="str">
        <f aca="false">IF((E8="n"),H8," ")</f>
        <v> </v>
      </c>
      <c r="AE8" s="17" t="str">
        <f aca="false">IF((E8="f"),H8," ")</f>
        <v> </v>
      </c>
      <c r="AF8" s="17" t="str">
        <f aca="false">IF((E8="l"),H8," ")</f>
        <v> </v>
      </c>
      <c r="AG8" s="17" t="str">
        <f aca="false">IF((E8="y"),H8," ")</f>
        <v> </v>
      </c>
      <c r="AH8" s="17" t="str">
        <f aca="false">IF((E8="z"),H8," ")</f>
        <v> </v>
      </c>
      <c r="AI8" s="17" t="str">
        <f aca="false">IF((E8="fa"),H8," ")</f>
        <v> </v>
      </c>
      <c r="AJ8" s="17" t="str">
        <f aca="false">IF((E8="e"),H8," ")</f>
        <v> </v>
      </c>
      <c r="BZ8" s="2" t="s">
        <v>87</v>
      </c>
    </row>
    <row r="9" customFormat="false" ht="12" hidden="false" customHeight="false" outlineLevel="0" collapsed="false">
      <c r="A9" s="28" t="n">
        <v>46539</v>
      </c>
      <c r="B9" s="2" t="s">
        <v>92</v>
      </c>
      <c r="D9" s="2" t="s">
        <v>93</v>
      </c>
      <c r="E9" s="2" t="s">
        <v>86</v>
      </c>
      <c r="F9" s="30" t="n">
        <v>24</v>
      </c>
      <c r="G9" s="6" t="n">
        <f aca="false">IF(F9&lt;&gt;0,F9*G$2/(100+G$2)," ")</f>
        <v>4</v>
      </c>
      <c r="H9" s="6" t="n">
        <f aca="false">IF((F9&lt;&gt;0),F9-G9," ")</f>
        <v>20</v>
      </c>
      <c r="I9" s="5"/>
      <c r="L9" s="7" t="n">
        <f aca="false">IF(F9&lt;&gt;0,F9-K9," ")</f>
        <v>24</v>
      </c>
      <c r="M9" s="8" t="n">
        <f aca="false">IF((F9-K9)&lt;&gt;0,M$1-A9," ")</f>
        <v>-261</v>
      </c>
      <c r="N9" s="5"/>
      <c r="O9" s="17" t="str">
        <f aca="false">IF((E9="s"),H9," ")</f>
        <v> </v>
      </c>
      <c r="P9" s="17" t="str">
        <f aca="false">IF((E9="c"),H9," ")</f>
        <v> </v>
      </c>
      <c r="Q9" s="17" t="n">
        <f aca="false">IF((E9="o"),H9," ")</f>
        <v>20</v>
      </c>
      <c r="R9" s="17" t="str">
        <f aca="false">IF((E9="d"),H9," ")</f>
        <v> </v>
      </c>
      <c r="S9" s="17" t="str">
        <f aca="false">IF((E9="w"),H9," ")</f>
        <v> </v>
      </c>
      <c r="T9" s="17" t="str">
        <f aca="false">IF((E9="r"),H9," ")</f>
        <v> </v>
      </c>
      <c r="U9" s="17" t="str">
        <f aca="false">IF((E9="p"),H9," ")</f>
        <v> </v>
      </c>
      <c r="V9" s="17" t="str">
        <f aca="false">IF((E9="t"),H9," ")</f>
        <v> </v>
      </c>
      <c r="W9" s="17" t="str">
        <f aca="false">IF((E9="q"),H9," ")</f>
        <v> </v>
      </c>
      <c r="X9" s="17" t="str">
        <f aca="false">IF((E9="m"),H9," ")</f>
        <v> </v>
      </c>
      <c r="Y9" s="17" t="str">
        <f aca="false">IF((E9="u"),H9," ")</f>
        <v> </v>
      </c>
      <c r="Z9" s="17" t="str">
        <f aca="false">IF((E9="a"),H9," ")</f>
        <v> </v>
      </c>
      <c r="AA9" s="17" t="str">
        <f aca="false">IF((E9="g"),H9," ")</f>
        <v> </v>
      </c>
      <c r="AB9" s="17" t="str">
        <f aca="false">IF((E9="h"),H9," ")</f>
        <v> </v>
      </c>
      <c r="AC9" s="30" t="str">
        <f aca="false">IF((E9="v"),H9," ")</f>
        <v> </v>
      </c>
      <c r="AD9" s="30" t="str">
        <f aca="false">IF((E9="n"),H9," ")</f>
        <v> </v>
      </c>
      <c r="AE9" s="17" t="str">
        <f aca="false">IF((E9="f"),H9," ")</f>
        <v> </v>
      </c>
      <c r="AF9" s="17" t="str">
        <f aca="false">IF((E9="l"),H9," ")</f>
        <v> </v>
      </c>
      <c r="AG9" s="17" t="str">
        <f aca="false">IF((E9="y"),H9," ")</f>
        <v> </v>
      </c>
      <c r="AH9" s="17" t="str">
        <f aca="false">IF((E9="z"),H9," ")</f>
        <v> </v>
      </c>
      <c r="AI9" s="17" t="str">
        <f aca="false">IF((E9="fa"),H9," ")</f>
        <v> </v>
      </c>
      <c r="AJ9" s="17" t="str">
        <f aca="false">IF((E9="e"),H9," ")</f>
        <v> </v>
      </c>
      <c r="BZ9" s="2" t="s">
        <v>87</v>
      </c>
    </row>
    <row r="10" customFormat="false" ht="12" hidden="false" customHeight="false" outlineLevel="0" collapsed="false">
      <c r="A10" s="28" t="n">
        <v>46539</v>
      </c>
      <c r="B10" s="2" t="s">
        <v>94</v>
      </c>
      <c r="D10" s="2" t="s">
        <v>95</v>
      </c>
      <c r="E10" s="2" t="s">
        <v>80</v>
      </c>
      <c r="F10" s="30" t="n">
        <v>18</v>
      </c>
      <c r="G10" s="6" t="n">
        <f aca="false">IF(F10&lt;&gt;0,F10*G$2/(100+G$2)," ")</f>
        <v>3</v>
      </c>
      <c r="H10" s="6" t="n">
        <f aca="false">IF((F10&lt;&gt;0),F10-G10," ")</f>
        <v>15</v>
      </c>
      <c r="I10" s="5"/>
      <c r="L10" s="7" t="n">
        <f aca="false">IF(F10&lt;&gt;0,F10-K10," ")</f>
        <v>18</v>
      </c>
      <c r="M10" s="8" t="n">
        <f aca="false">IF((F10-K10)&lt;&gt;0,M$1-A10," ")</f>
        <v>-261</v>
      </c>
      <c r="N10" s="5"/>
      <c r="O10" s="17" t="str">
        <f aca="false">IF((E10="s"),H10," ")</f>
        <v> </v>
      </c>
      <c r="P10" s="17" t="str">
        <f aca="false">IF((E10="c"),H10," ")</f>
        <v> </v>
      </c>
      <c r="Q10" s="17" t="str">
        <f aca="false">IF((E10="o"),H10," ")</f>
        <v> </v>
      </c>
      <c r="R10" s="17" t="str">
        <f aca="false">IF((E10="d"),H10," ")</f>
        <v> </v>
      </c>
      <c r="S10" s="17" t="str">
        <f aca="false">IF((E10="w"),H10," ")</f>
        <v> </v>
      </c>
      <c r="T10" s="17" t="str">
        <f aca="false">IF((E10="r"),H10," ")</f>
        <v> </v>
      </c>
      <c r="U10" s="17" t="str">
        <f aca="false">IF((E10="p"),H10," ")</f>
        <v> </v>
      </c>
      <c r="V10" s="17" t="str">
        <f aca="false">IF((E10="t"),H10," ")</f>
        <v> </v>
      </c>
      <c r="W10" s="17" t="str">
        <f aca="false">IF((E10="q"),H10," ")</f>
        <v> </v>
      </c>
      <c r="X10" s="17" t="str">
        <f aca="false">IF((E10="m"),H10," ")</f>
        <v> </v>
      </c>
      <c r="Y10" s="17" t="str">
        <f aca="false">IF((E10="u"),H10," ")</f>
        <v> </v>
      </c>
      <c r="Z10" s="17" t="str">
        <f aca="false">IF((E10="a"),H10," ")</f>
        <v> </v>
      </c>
      <c r="AA10" s="17" t="n">
        <f aca="false">IF((E10="g"),H10," ")</f>
        <v>15</v>
      </c>
      <c r="AB10" s="17" t="str">
        <f aca="false">IF((E10="h"),H10," ")</f>
        <v> </v>
      </c>
      <c r="AC10" s="30" t="str">
        <f aca="false">IF((E10="v"),H10," ")</f>
        <v> </v>
      </c>
      <c r="AD10" s="30" t="str">
        <f aca="false">IF((E10="n"),H10," ")</f>
        <v> </v>
      </c>
      <c r="AE10" s="17" t="str">
        <f aca="false">IF((E10="f"),H10," ")</f>
        <v> </v>
      </c>
      <c r="AF10" s="17" t="str">
        <f aca="false">IF((E10="l"),H10," ")</f>
        <v> </v>
      </c>
      <c r="AG10" s="17" t="str">
        <f aca="false">IF((E10="y"),H10," ")</f>
        <v> </v>
      </c>
      <c r="AH10" s="17" t="str">
        <f aca="false">IF((E10="z"),H10," ")</f>
        <v> </v>
      </c>
      <c r="AI10" s="17" t="str">
        <f aca="false">IF((E10="fa"),H10," ")</f>
        <v> </v>
      </c>
      <c r="AJ10" s="17" t="str">
        <f aca="false">IF((E10="e"),H10," ")</f>
        <v> </v>
      </c>
      <c r="BZ10" s="2" t="s">
        <v>81</v>
      </c>
    </row>
    <row r="11" customFormat="false" ht="12" hidden="false" customHeight="false" outlineLevel="0" collapsed="false">
      <c r="A11" s="28" t="n">
        <v>46541</v>
      </c>
      <c r="B11" s="2" t="s">
        <v>96</v>
      </c>
      <c r="D11" s="2" t="s">
        <v>97</v>
      </c>
      <c r="E11" s="2" t="s">
        <v>86</v>
      </c>
      <c r="F11" s="30" t="n">
        <v>180</v>
      </c>
      <c r="G11" s="6" t="n">
        <f aca="false">IF(F11&lt;&gt;0,F11*G$2/(100+G$2)," ")</f>
        <v>30</v>
      </c>
      <c r="H11" s="6" t="n">
        <f aca="false">IF((F11&lt;&gt;0),F11-G11," ")</f>
        <v>150</v>
      </c>
      <c r="I11" s="5"/>
      <c r="L11" s="7" t="n">
        <f aca="false">IF(F11&lt;&gt;0,F11-K11," ")</f>
        <v>180</v>
      </c>
      <c r="M11" s="8" t="n">
        <f aca="false">IF((F11-K11)&lt;&gt;0,M$1-A11," ")</f>
        <v>-263</v>
      </c>
      <c r="N11" s="5"/>
      <c r="O11" s="17" t="str">
        <f aca="false">IF((E11="s"),H11," ")</f>
        <v> </v>
      </c>
      <c r="P11" s="17" t="str">
        <f aca="false">IF((E11="c"),H11," ")</f>
        <v> </v>
      </c>
      <c r="Q11" s="17" t="n">
        <f aca="false">IF((E11="o"),H11," ")</f>
        <v>150</v>
      </c>
      <c r="R11" s="17" t="str">
        <f aca="false">IF((E11="d"),H11," ")</f>
        <v> </v>
      </c>
      <c r="S11" s="17" t="str">
        <f aca="false">IF((E11="w"),H11," ")</f>
        <v> </v>
      </c>
      <c r="T11" s="17" t="str">
        <f aca="false">IF((E11="r"),H11," ")</f>
        <v> </v>
      </c>
      <c r="U11" s="17" t="str">
        <f aca="false">IF((E11="p"),H11," ")</f>
        <v> </v>
      </c>
      <c r="V11" s="17" t="str">
        <f aca="false">IF((E11="t"),H11," ")</f>
        <v> </v>
      </c>
      <c r="W11" s="17" t="str">
        <f aca="false">IF((E11="q"),H11," ")</f>
        <v> </v>
      </c>
      <c r="X11" s="17" t="str">
        <f aca="false">IF((E11="m"),H11," ")</f>
        <v> </v>
      </c>
      <c r="Y11" s="17" t="str">
        <f aca="false">IF((E11="u"),H11," ")</f>
        <v> </v>
      </c>
      <c r="Z11" s="17" t="str">
        <f aca="false">IF((E11="a"),H11," ")</f>
        <v> </v>
      </c>
      <c r="AA11" s="17" t="str">
        <f aca="false">IF((E11="g"),H11," ")</f>
        <v> </v>
      </c>
      <c r="AB11" s="17" t="str">
        <f aca="false">IF((E11="h"),H11," ")</f>
        <v> </v>
      </c>
      <c r="AC11" s="30" t="str">
        <f aca="false">IF((E11="v"),H11," ")</f>
        <v> </v>
      </c>
      <c r="AD11" s="30" t="str">
        <f aca="false">IF((E11="n"),H11," ")</f>
        <v> </v>
      </c>
      <c r="AE11" s="17" t="str">
        <f aca="false">IF((E11="f"),H11," ")</f>
        <v> </v>
      </c>
      <c r="AF11" s="17" t="str">
        <f aca="false">IF((E11="l"),H11," ")</f>
        <v> </v>
      </c>
      <c r="AG11" s="17" t="str">
        <f aca="false">IF((E11="y"),H11," ")</f>
        <v> </v>
      </c>
      <c r="AH11" s="17" t="str">
        <f aca="false">IF((E11="z"),H11," ")</f>
        <v> </v>
      </c>
      <c r="AI11" s="17" t="str">
        <f aca="false">IF((E11="fa"),H11," ")</f>
        <v> </v>
      </c>
      <c r="AJ11" s="17" t="str">
        <f aca="false">IF((E11="e"),H11," ")</f>
        <v> </v>
      </c>
      <c r="BZ11" s="2" t="s">
        <v>87</v>
      </c>
    </row>
    <row r="12" customFormat="false" ht="12" hidden="false" customHeight="false" outlineLevel="0" collapsed="false">
      <c r="A12" s="28" t="n">
        <v>46541</v>
      </c>
      <c r="B12" s="2" t="s">
        <v>98</v>
      </c>
      <c r="D12" s="2" t="s">
        <v>99</v>
      </c>
      <c r="E12" s="2" t="s">
        <v>100</v>
      </c>
      <c r="F12" s="30" t="n">
        <v>22</v>
      </c>
      <c r="G12" s="6" t="n">
        <f aca="false">IF(F12&lt;&gt;0,F12*G$2/(100+G$2)," ")</f>
        <v>3.66666666666667</v>
      </c>
      <c r="H12" s="6" t="n">
        <f aca="false">IF((F12&lt;&gt;0),F12-G12," ")</f>
        <v>18.3333333333333</v>
      </c>
      <c r="I12" s="5"/>
      <c r="L12" s="7" t="n">
        <f aca="false">IF(F12&lt;&gt;0,F12-K12," ")</f>
        <v>22</v>
      </c>
      <c r="M12" s="8" t="n">
        <f aca="false">IF((F12-K12)&lt;&gt;0,M$1-A12," ")</f>
        <v>-263</v>
      </c>
      <c r="N12" s="5"/>
      <c r="O12" s="17" t="str">
        <f aca="false">IF((E12="s"),H12," ")</f>
        <v> </v>
      </c>
      <c r="P12" s="17" t="str">
        <f aca="false">IF((E12="c"),H12," ")</f>
        <v> </v>
      </c>
      <c r="Q12" s="17" t="str">
        <f aca="false">IF((E12="o"),H12," ")</f>
        <v> </v>
      </c>
      <c r="R12" s="17" t="str">
        <f aca="false">IF((E12="d"),H12," ")</f>
        <v> </v>
      </c>
      <c r="S12" s="17" t="str">
        <f aca="false">IF((E12="w"),H12," ")</f>
        <v> </v>
      </c>
      <c r="T12" s="17" t="str">
        <f aca="false">IF((E12="r"),H12," ")</f>
        <v> </v>
      </c>
      <c r="U12" s="17" t="str">
        <f aca="false">IF((E12="p"),H12," ")</f>
        <v> </v>
      </c>
      <c r="V12" s="17" t="str">
        <f aca="false">IF((E12="t"),H12," ")</f>
        <v> </v>
      </c>
      <c r="W12" s="17" t="str">
        <f aca="false">IF((E12="q"),H12," ")</f>
        <v> </v>
      </c>
      <c r="X12" s="17" t="str">
        <f aca="false">IF((E12="m"),H12," ")</f>
        <v> </v>
      </c>
      <c r="Y12" s="17" t="n">
        <f aca="false">IF((E12="u"),H12," ")</f>
        <v>18.3333333333333</v>
      </c>
      <c r="Z12" s="17" t="str">
        <f aca="false">IF((E12="a"),H12," ")</f>
        <v> </v>
      </c>
      <c r="AA12" s="17" t="str">
        <f aca="false">IF((E12="g"),H12," ")</f>
        <v> </v>
      </c>
      <c r="AB12" s="17" t="str">
        <f aca="false">IF((E12="h"),H12," ")</f>
        <v> </v>
      </c>
      <c r="AC12" s="30" t="str">
        <f aca="false">IF((E12="v"),H12," ")</f>
        <v> </v>
      </c>
      <c r="AD12" s="30" t="str">
        <f aca="false">IF((E12="n"),H12," ")</f>
        <v> </v>
      </c>
      <c r="AE12" s="17" t="str">
        <f aca="false">IF((E12="f"),H12," ")</f>
        <v> </v>
      </c>
      <c r="AF12" s="17" t="str">
        <f aca="false">IF((E12="l"),H12," ")</f>
        <v> </v>
      </c>
      <c r="AG12" s="17" t="str">
        <f aca="false">IF((E12="y"),H12," ")</f>
        <v> </v>
      </c>
      <c r="AH12" s="17" t="str">
        <f aca="false">IF((E12="z"),H12," ")</f>
        <v> </v>
      </c>
      <c r="AI12" s="17" t="str">
        <f aca="false">IF((E12="fa"),H12," ")</f>
        <v> </v>
      </c>
      <c r="AJ12" s="17" t="str">
        <f aca="false">IF((E12="e"),H12," ")</f>
        <v> </v>
      </c>
      <c r="BZ12" s="2" t="s">
        <v>101</v>
      </c>
    </row>
    <row r="13" customFormat="false" ht="12" hidden="false" customHeight="false" outlineLevel="0" collapsed="false">
      <c r="A13" s="28" t="n">
        <v>46543</v>
      </c>
      <c r="B13" s="2" t="s">
        <v>102</v>
      </c>
      <c r="D13" s="2" t="s">
        <v>103</v>
      </c>
      <c r="E13" s="2" t="s">
        <v>100</v>
      </c>
      <c r="F13" s="30" t="n">
        <v>24</v>
      </c>
      <c r="G13" s="6" t="n">
        <f aca="false">IF(F13&lt;&gt;0,F13*G$2/(100+G$2)," ")</f>
        <v>4</v>
      </c>
      <c r="H13" s="6" t="n">
        <f aca="false">IF((F13&lt;&gt;0),F13-G13," ")</f>
        <v>20</v>
      </c>
      <c r="I13" s="5"/>
      <c r="L13" s="7" t="n">
        <f aca="false">IF(F13&lt;&gt;0,F13-K13," ")</f>
        <v>24</v>
      </c>
      <c r="M13" s="8" t="n">
        <f aca="false">IF((F13-K13)&lt;&gt;0,M$1-A13," ")</f>
        <v>-265</v>
      </c>
      <c r="N13" s="5"/>
      <c r="O13" s="17" t="str">
        <f aca="false">IF((E13="s"),H13," ")</f>
        <v> </v>
      </c>
      <c r="P13" s="17" t="str">
        <f aca="false">IF((E13="c"),H13," ")</f>
        <v> </v>
      </c>
      <c r="Q13" s="17" t="str">
        <f aca="false">IF((E13="o"),H13," ")</f>
        <v> </v>
      </c>
      <c r="R13" s="17" t="str">
        <f aca="false">IF((E13="d"),H13," ")</f>
        <v> </v>
      </c>
      <c r="S13" s="17" t="str">
        <f aca="false">IF((E13="w"),H13," ")</f>
        <v> </v>
      </c>
      <c r="T13" s="17" t="str">
        <f aca="false">IF((E13="r"),H13," ")</f>
        <v> </v>
      </c>
      <c r="U13" s="17" t="str">
        <f aca="false">IF((E13="p"),H13," ")</f>
        <v> </v>
      </c>
      <c r="V13" s="17" t="str">
        <f aca="false">IF((E13="t"),H13," ")</f>
        <v> </v>
      </c>
      <c r="W13" s="17" t="str">
        <f aca="false">IF((E13="q"),H13," ")</f>
        <v> </v>
      </c>
      <c r="X13" s="17" t="str">
        <f aca="false">IF((E13="m"),H13," ")</f>
        <v> </v>
      </c>
      <c r="Y13" s="17" t="n">
        <f aca="false">IF((E13="u"),H13," ")</f>
        <v>20</v>
      </c>
      <c r="Z13" s="17" t="str">
        <f aca="false">IF((E13="a"),H13," ")</f>
        <v> </v>
      </c>
      <c r="AA13" s="17" t="str">
        <f aca="false">IF((E13="g"),H13," ")</f>
        <v> </v>
      </c>
      <c r="AB13" s="17" t="str">
        <f aca="false">IF((E13="h"),H13," ")</f>
        <v> </v>
      </c>
      <c r="AC13" s="30" t="str">
        <f aca="false">IF((E13="v"),H13," ")</f>
        <v> </v>
      </c>
      <c r="AD13" s="30" t="str">
        <f aca="false">IF((E13="n"),H13," ")</f>
        <v> </v>
      </c>
      <c r="AE13" s="17" t="str">
        <f aca="false">IF((E13="f"),H13," ")</f>
        <v> </v>
      </c>
      <c r="AF13" s="17" t="str">
        <f aca="false">IF((E13="l"),H13," ")</f>
        <v> </v>
      </c>
      <c r="AG13" s="17" t="str">
        <f aca="false">IF((E13="y"),H13," ")</f>
        <v> </v>
      </c>
      <c r="AH13" s="17" t="str">
        <f aca="false">IF((E13="z"),H13," ")</f>
        <v> </v>
      </c>
      <c r="AI13" s="17" t="str">
        <f aca="false">IF((E13="fa"),H13," ")</f>
        <v> </v>
      </c>
      <c r="AJ13" s="17" t="str">
        <f aca="false">IF((E13="e"),H13," ")</f>
        <v> </v>
      </c>
      <c r="BZ13" s="2" t="s">
        <v>101</v>
      </c>
    </row>
    <row r="14" customFormat="false" ht="12" hidden="false" customHeight="false" outlineLevel="0" collapsed="false">
      <c r="A14" s="28" t="n">
        <v>46543</v>
      </c>
      <c r="B14" s="2" t="s">
        <v>104</v>
      </c>
      <c r="D14" s="2" t="s">
        <v>105</v>
      </c>
      <c r="E14" s="2" t="s">
        <v>106</v>
      </c>
      <c r="F14" s="30" t="n">
        <v>180</v>
      </c>
      <c r="G14" s="6" t="n">
        <f aca="false">IF(F14&lt;&gt;0,F14*G$2/(100+G$2)," ")</f>
        <v>30</v>
      </c>
      <c r="H14" s="6" t="n">
        <f aca="false">IF((F14&lt;&gt;0),F14-G14," ")</f>
        <v>150</v>
      </c>
      <c r="I14" s="5"/>
      <c r="L14" s="7" t="n">
        <f aca="false">IF(F14&lt;&gt;0,F14-K14," ")</f>
        <v>180</v>
      </c>
      <c r="M14" s="8" t="n">
        <f aca="false">IF((F14-K14)&lt;&gt;0,M$1-A14," ")</f>
        <v>-265</v>
      </c>
      <c r="N14" s="5"/>
      <c r="O14" s="17" t="str">
        <f aca="false">IF((E14="s"),H14," ")</f>
        <v> </v>
      </c>
      <c r="P14" s="17" t="str">
        <f aca="false">IF((E14="c"),H14," ")</f>
        <v> </v>
      </c>
      <c r="Q14" s="17" t="str">
        <f aca="false">IF((E14="o"),H14," ")</f>
        <v> </v>
      </c>
      <c r="R14" s="17" t="str">
        <f aca="false">IF((E14="d"),H14," ")</f>
        <v> </v>
      </c>
      <c r="S14" s="17" t="str">
        <f aca="false">IF((E14="w"),H14," ")</f>
        <v> </v>
      </c>
      <c r="T14" s="17" t="str">
        <f aca="false">IF((E14="r"),H14," ")</f>
        <v> </v>
      </c>
      <c r="U14" s="17" t="str">
        <f aca="false">IF((E14="p"),H14," ")</f>
        <v> </v>
      </c>
      <c r="V14" s="17" t="str">
        <f aca="false">IF((E14="t"),H14," ")</f>
        <v> </v>
      </c>
      <c r="W14" s="17" t="str">
        <f aca="false">IF((E14="q"),H14," ")</f>
        <v> </v>
      </c>
      <c r="X14" s="17" t="str">
        <f aca="false">IF((E14="m"),H14," ")</f>
        <v> </v>
      </c>
      <c r="Y14" s="17" t="str">
        <f aca="false">IF((E14="u"),H14," ")</f>
        <v> </v>
      </c>
      <c r="Z14" s="17" t="str">
        <f aca="false">IF((E14="a"),H14," ")</f>
        <v> </v>
      </c>
      <c r="AA14" s="17" t="str">
        <f aca="false">IF((E14="g"),H14," ")</f>
        <v> </v>
      </c>
      <c r="AB14" s="17" t="str">
        <f aca="false">IF((E14="h"),H14," ")</f>
        <v> </v>
      </c>
      <c r="AC14" s="30" t="n">
        <f aca="false">IF((E14="v"),H14," ")</f>
        <v>150</v>
      </c>
      <c r="AD14" s="30" t="str">
        <f aca="false">IF((E14="n"),H14," ")</f>
        <v> </v>
      </c>
      <c r="AE14" s="17" t="str">
        <f aca="false">IF((E14="f"),H14," ")</f>
        <v> </v>
      </c>
      <c r="AF14" s="17" t="str">
        <f aca="false">IF((E14="l"),H14," ")</f>
        <v> </v>
      </c>
      <c r="AG14" s="17" t="str">
        <f aca="false">IF((E14="y"),H14," ")</f>
        <v> </v>
      </c>
      <c r="AH14" s="17" t="str">
        <f aca="false">IF((E14="z"),H14," ")</f>
        <v> </v>
      </c>
      <c r="AI14" s="17" t="str">
        <f aca="false">IF((E14="fa"),H14," ")</f>
        <v> </v>
      </c>
      <c r="AJ14" s="17" t="str">
        <f aca="false">IF((E14="e"),H14," ")</f>
        <v> </v>
      </c>
      <c r="BZ14" s="2" t="s">
        <v>107</v>
      </c>
    </row>
    <row r="15" customFormat="false" ht="12" hidden="false" customHeight="false" outlineLevel="0" collapsed="false">
      <c r="A15" s="28" t="n">
        <v>46544</v>
      </c>
      <c r="B15" s="2" t="s">
        <v>153</v>
      </c>
      <c r="D15" s="2" t="s">
        <v>154</v>
      </c>
      <c r="E15" s="2" t="s">
        <v>112</v>
      </c>
      <c r="F15" s="30" t="n">
        <v>72</v>
      </c>
      <c r="G15" s="6" t="n">
        <f aca="false">IF(F15&lt;&gt;0,F15*G$2/(100+G$2)," ")</f>
        <v>12</v>
      </c>
      <c r="H15" s="6" t="n">
        <f aca="false">IF((F15&lt;&gt;0),F15-G15," ")</f>
        <v>60</v>
      </c>
      <c r="I15" s="5"/>
      <c r="L15" s="7" t="n">
        <f aca="false">IF(F15&lt;&gt;0,F15-K15," ")</f>
        <v>72</v>
      </c>
      <c r="M15" s="8" t="n">
        <f aca="false">IF((F15-K15)&lt;&gt;0,M$1-A15," ")</f>
        <v>-266</v>
      </c>
      <c r="N15" s="5"/>
      <c r="O15" s="17" t="str">
        <f aca="false">IF((E15="s"),H15," ")</f>
        <v> </v>
      </c>
      <c r="P15" s="17" t="str">
        <f aca="false">IF((E15="c"),H15," ")</f>
        <v> </v>
      </c>
      <c r="Q15" s="17" t="str">
        <f aca="false">IF((E15="o"),H15," ")</f>
        <v> </v>
      </c>
      <c r="R15" s="17" t="str">
        <f aca="false">IF((E15="d"),H15," ")</f>
        <v> </v>
      </c>
      <c r="S15" s="17" t="str">
        <f aca="false">IF((E15="w"),H15," ")</f>
        <v> </v>
      </c>
      <c r="T15" s="17" t="str">
        <f aca="false">IF((E15="r"),H15," ")</f>
        <v> </v>
      </c>
      <c r="U15" s="17" t="str">
        <f aca="false">IF((E15="p"),H15," ")</f>
        <v> </v>
      </c>
      <c r="V15" s="17" t="str">
        <f aca="false">IF((E15="t"),H15," ")</f>
        <v> </v>
      </c>
      <c r="W15" s="17" t="str">
        <f aca="false">IF((E15="q"),H15," ")</f>
        <v> </v>
      </c>
      <c r="X15" s="17" t="str">
        <f aca="false">IF((E15="m"),H15," ")</f>
        <v> </v>
      </c>
      <c r="Y15" s="17" t="str">
        <f aca="false">IF((E15="u"),H15," ")</f>
        <v> </v>
      </c>
      <c r="Z15" s="17" t="str">
        <f aca="false">IF((E15="a"),H15," ")</f>
        <v> </v>
      </c>
      <c r="AA15" s="17" t="str">
        <f aca="false">IF((E15="g"),H15," ")</f>
        <v> </v>
      </c>
      <c r="AB15" s="17" t="n">
        <f aca="false">IF((E15="h"),H15," ")</f>
        <v>60</v>
      </c>
      <c r="AC15" s="30" t="str">
        <f aca="false">IF((E15="v"),H15," ")</f>
        <v> </v>
      </c>
      <c r="AD15" s="30" t="str">
        <f aca="false">IF((E15="n"),H15," ")</f>
        <v> </v>
      </c>
      <c r="AE15" s="17" t="str">
        <f aca="false">IF((E15="f"),H15," ")</f>
        <v> </v>
      </c>
      <c r="AF15" s="17" t="str">
        <f aca="false">IF((E15="l"),H15," ")</f>
        <v> </v>
      </c>
      <c r="AG15" s="17" t="str">
        <f aca="false">IF((E15="y"),H15," ")</f>
        <v> </v>
      </c>
      <c r="AH15" s="17" t="str">
        <f aca="false">IF((E15="z"),H15," ")</f>
        <v> </v>
      </c>
      <c r="AI15" s="17" t="str">
        <f aca="false">IF((E15="fa"),H15," ")</f>
        <v> </v>
      </c>
      <c r="AJ15" s="17" t="str">
        <f aca="false">IF((E15="e"),H15," ")</f>
        <v> </v>
      </c>
      <c r="BZ15" s="2" t="s">
        <v>113</v>
      </c>
    </row>
    <row r="16" customFormat="false" ht="12" hidden="false" customHeight="false" outlineLevel="0" collapsed="false">
      <c r="A16" s="28" t="n">
        <v>46546</v>
      </c>
      <c r="B16" s="2" t="s">
        <v>110</v>
      </c>
      <c r="D16" s="2" t="s">
        <v>111</v>
      </c>
      <c r="E16" s="2" t="s">
        <v>112</v>
      </c>
      <c r="F16" s="30" t="n">
        <v>48</v>
      </c>
      <c r="G16" s="6" t="n">
        <f aca="false">IF(F16&lt;&gt;0,F16*G$2/(100+G$2)," ")</f>
        <v>8</v>
      </c>
      <c r="H16" s="6" t="n">
        <f aca="false">IF((F16&lt;&gt;0),F16-G16," ")</f>
        <v>40</v>
      </c>
      <c r="I16" s="5"/>
      <c r="L16" s="7" t="n">
        <f aca="false">IF(F16&lt;&gt;0,F16-K16," ")</f>
        <v>48</v>
      </c>
      <c r="M16" s="8" t="n">
        <f aca="false">IF((F16-K16)&lt;&gt;0,M$1-A16," ")</f>
        <v>-268</v>
      </c>
      <c r="N16" s="5"/>
      <c r="O16" s="17" t="str">
        <f aca="false">IF((E16="s"),H16," ")</f>
        <v> </v>
      </c>
      <c r="P16" s="17" t="str">
        <f aca="false">IF((E16="c"),H16," ")</f>
        <v> </v>
      </c>
      <c r="Q16" s="17" t="str">
        <f aca="false">IF((E16="o"),H16," ")</f>
        <v> </v>
      </c>
      <c r="R16" s="17" t="str">
        <f aca="false">IF((E16="d"),H16," ")</f>
        <v> </v>
      </c>
      <c r="S16" s="17" t="str">
        <f aca="false">IF((E16="w"),H16," ")</f>
        <v> </v>
      </c>
      <c r="T16" s="17" t="str">
        <f aca="false">IF((E16="r"),H16," ")</f>
        <v> </v>
      </c>
      <c r="U16" s="17" t="str">
        <f aca="false">IF((E16="p"),H16," ")</f>
        <v> </v>
      </c>
      <c r="V16" s="17" t="str">
        <f aca="false">IF((E16="t"),H16," ")</f>
        <v> </v>
      </c>
      <c r="W16" s="17" t="str">
        <f aca="false">IF((E16="q"),H16," ")</f>
        <v> </v>
      </c>
      <c r="X16" s="17" t="str">
        <f aca="false">IF((E16="m"),H16," ")</f>
        <v> </v>
      </c>
      <c r="Y16" s="17" t="str">
        <f aca="false">IF((E16="u"),H16," ")</f>
        <v> </v>
      </c>
      <c r="Z16" s="17" t="str">
        <f aca="false">IF((E16="a"),H16," ")</f>
        <v> </v>
      </c>
      <c r="AA16" s="17" t="str">
        <f aca="false">IF((E16="g"),H16," ")</f>
        <v> </v>
      </c>
      <c r="AB16" s="17" t="n">
        <f aca="false">IF((E16="h"),H16," ")</f>
        <v>40</v>
      </c>
      <c r="AC16" s="30" t="str">
        <f aca="false">IF((E16="v"),H16," ")</f>
        <v> </v>
      </c>
      <c r="AD16" s="30" t="str">
        <f aca="false">IF((E16="n"),H16," ")</f>
        <v> </v>
      </c>
      <c r="AE16" s="17" t="str">
        <f aca="false">IF((E16="f"),H16," ")</f>
        <v> </v>
      </c>
      <c r="AF16" s="17" t="str">
        <f aca="false">IF((E16="l"),H16," ")</f>
        <v> </v>
      </c>
      <c r="AG16" s="17" t="str">
        <f aca="false">IF((E16="y"),H16," ")</f>
        <v> </v>
      </c>
      <c r="AH16" s="17" t="str">
        <f aca="false">IF((E16="z"),H16," ")</f>
        <v> </v>
      </c>
      <c r="AI16" s="17" t="str">
        <f aca="false">IF((E16="fa"),H16," ")</f>
        <v> </v>
      </c>
      <c r="AJ16" s="17" t="str">
        <f aca="false">IF((E16="e"),H16," ")</f>
        <v> </v>
      </c>
      <c r="BZ16" s="2" t="s">
        <v>113</v>
      </c>
    </row>
    <row r="17" customFormat="false" ht="12" hidden="false" customHeight="false" outlineLevel="0" collapsed="false">
      <c r="A17" s="28" t="n">
        <v>46548</v>
      </c>
      <c r="B17" s="2" t="s">
        <v>114</v>
      </c>
      <c r="D17" s="2" t="s">
        <v>115</v>
      </c>
      <c r="E17" s="2" t="s">
        <v>100</v>
      </c>
      <c r="F17" s="30" t="n">
        <v>36</v>
      </c>
      <c r="G17" s="6" t="n">
        <f aca="false">IF(F17&lt;&gt;0,F17*G$2/(100+G$2)," ")</f>
        <v>6</v>
      </c>
      <c r="H17" s="6" t="n">
        <f aca="false">IF((F17&lt;&gt;0),F17-G17," ")</f>
        <v>30</v>
      </c>
      <c r="I17" s="5"/>
      <c r="L17" s="7" t="n">
        <f aca="false">IF(F17&lt;&gt;0,F17-K17," ")</f>
        <v>36</v>
      </c>
      <c r="M17" s="8" t="n">
        <f aca="false">IF((F17-K17)&lt;&gt;0,M$1-A17," ")</f>
        <v>-270</v>
      </c>
      <c r="N17" s="5"/>
      <c r="O17" s="17" t="str">
        <f aca="false">IF((E17="s"),H17," ")</f>
        <v> </v>
      </c>
      <c r="P17" s="17" t="str">
        <f aca="false">IF((E17="c"),H17," ")</f>
        <v> </v>
      </c>
      <c r="Q17" s="17" t="str">
        <f aca="false">IF((E17="o"),H17," ")</f>
        <v> </v>
      </c>
      <c r="R17" s="17" t="str">
        <f aca="false">IF((E17="d"),H17," ")</f>
        <v> </v>
      </c>
      <c r="S17" s="17" t="str">
        <f aca="false">IF((E17="w"),H17," ")</f>
        <v> </v>
      </c>
      <c r="T17" s="17" t="str">
        <f aca="false">IF((E17="r"),H17," ")</f>
        <v> </v>
      </c>
      <c r="U17" s="17" t="str">
        <f aca="false">IF((E17="p"),H17," ")</f>
        <v> </v>
      </c>
      <c r="V17" s="17" t="str">
        <f aca="false">IF((E17="t"),H17," ")</f>
        <v> </v>
      </c>
      <c r="W17" s="17" t="str">
        <f aca="false">IF((E17="q"),H17," ")</f>
        <v> </v>
      </c>
      <c r="X17" s="17" t="str">
        <f aca="false">IF((E17="m"),H17," ")</f>
        <v> </v>
      </c>
      <c r="Y17" s="17" t="n">
        <f aca="false">IF((E17="u"),H17," ")</f>
        <v>30</v>
      </c>
      <c r="Z17" s="17" t="str">
        <f aca="false">IF((E17="a"),H17," ")</f>
        <v> </v>
      </c>
      <c r="AA17" s="17" t="str">
        <f aca="false">IF((E17="g"),H17," ")</f>
        <v> </v>
      </c>
      <c r="AB17" s="17" t="str">
        <f aca="false">IF((E17="h"),H17," ")</f>
        <v> </v>
      </c>
      <c r="AC17" s="30" t="str">
        <f aca="false">IF((E17="v"),H17," ")</f>
        <v> </v>
      </c>
      <c r="AD17" s="30" t="str">
        <f aca="false">IF((E17="n"),H17," ")</f>
        <v> </v>
      </c>
      <c r="AE17" s="17" t="str">
        <f aca="false">IF((E17="f"),H17," ")</f>
        <v> </v>
      </c>
      <c r="AF17" s="17" t="str">
        <f aca="false">IF((E17="l"),H17," ")</f>
        <v> </v>
      </c>
      <c r="AG17" s="17" t="str">
        <f aca="false">IF((E17="y"),H17," ")</f>
        <v> </v>
      </c>
      <c r="AH17" s="17" t="str">
        <f aca="false">IF((E17="z"),H17," ")</f>
        <v> </v>
      </c>
      <c r="AI17" s="17" t="str">
        <f aca="false">IF((E17="fa"),H17," ")</f>
        <v> </v>
      </c>
      <c r="AJ17" s="17" t="str">
        <f aca="false">IF((E17="e"),H17," ")</f>
        <v> </v>
      </c>
      <c r="BZ17" s="2" t="s">
        <v>101</v>
      </c>
    </row>
    <row r="18" customFormat="false" ht="12" hidden="false" customHeight="false" outlineLevel="0" collapsed="false">
      <c r="A18" s="28" t="n">
        <v>46550</v>
      </c>
      <c r="B18" s="2" t="s">
        <v>124</v>
      </c>
      <c r="D18" s="2" t="s">
        <v>125</v>
      </c>
      <c r="E18" s="2" t="s">
        <v>106</v>
      </c>
      <c r="F18" s="30" t="n">
        <v>18</v>
      </c>
      <c r="G18" s="6" t="n">
        <f aca="false">IF(F18&lt;&gt;0,F18*G$2/(100+G$2)," ")</f>
        <v>3</v>
      </c>
      <c r="H18" s="6" t="n">
        <f aca="false">IF((F18&lt;&gt;0),F18-G18," ")</f>
        <v>15</v>
      </c>
      <c r="I18" s="5"/>
      <c r="L18" s="7" t="n">
        <f aca="false">IF(F18&lt;&gt;0,F18-K18," ")</f>
        <v>18</v>
      </c>
      <c r="M18" s="8" t="n">
        <f aca="false">IF((F18-K18)&lt;&gt;0,M$1-A18," ")</f>
        <v>-272</v>
      </c>
      <c r="N18" s="5"/>
      <c r="O18" s="17" t="str">
        <f aca="false">IF((E18="s"),H18," ")</f>
        <v> </v>
      </c>
      <c r="P18" s="17" t="str">
        <f aca="false">IF((E18="c"),H18," ")</f>
        <v> </v>
      </c>
      <c r="Q18" s="17" t="str">
        <f aca="false">IF((E18="o"),H18," ")</f>
        <v> </v>
      </c>
      <c r="R18" s="17" t="str">
        <f aca="false">IF((E18="d"),H18," ")</f>
        <v> </v>
      </c>
      <c r="S18" s="17" t="str">
        <f aca="false">IF((E18="w"),H18," ")</f>
        <v> </v>
      </c>
      <c r="T18" s="17" t="str">
        <f aca="false">IF((E18="r"),H18," ")</f>
        <v> </v>
      </c>
      <c r="U18" s="17" t="str">
        <f aca="false">IF((E18="p"),H18," ")</f>
        <v> </v>
      </c>
      <c r="V18" s="17" t="str">
        <f aca="false">IF((E18="t"),H18," ")</f>
        <v> </v>
      </c>
      <c r="W18" s="17" t="str">
        <f aca="false">IF((E18="q"),H18," ")</f>
        <v> </v>
      </c>
      <c r="X18" s="17" t="str">
        <f aca="false">IF((E18="m"),H18," ")</f>
        <v> </v>
      </c>
      <c r="Y18" s="17" t="str">
        <f aca="false">IF((E18="u"),H18," ")</f>
        <v> </v>
      </c>
      <c r="Z18" s="17" t="str">
        <f aca="false">IF((E18="a"),H18," ")</f>
        <v> </v>
      </c>
      <c r="AA18" s="17" t="str">
        <f aca="false">IF((E18="g"),H18," ")</f>
        <v> </v>
      </c>
      <c r="AB18" s="17" t="str">
        <f aca="false">IF((E18="h"),H18," ")</f>
        <v> </v>
      </c>
      <c r="AC18" s="30" t="n">
        <f aca="false">IF((E18="v"),H18," ")</f>
        <v>15</v>
      </c>
      <c r="AD18" s="30" t="str">
        <f aca="false">IF((E18="n"),H18," ")</f>
        <v> </v>
      </c>
      <c r="AE18" s="17" t="str">
        <f aca="false">IF((E18="f"),H18," ")</f>
        <v> </v>
      </c>
      <c r="AF18" s="17" t="str">
        <f aca="false">IF((E18="l"),H18," ")</f>
        <v> </v>
      </c>
      <c r="AG18" s="17" t="str">
        <f aca="false">IF((E18="y"),H18," ")</f>
        <v> </v>
      </c>
      <c r="AH18" s="17" t="str">
        <f aca="false">IF((E18="z"),H18," ")</f>
        <v> </v>
      </c>
      <c r="AI18" s="17" t="str">
        <f aca="false">IF((E18="fa"),H18," ")</f>
        <v> </v>
      </c>
      <c r="AJ18" s="17" t="str">
        <f aca="false">IF((E18="e"),H18," ")</f>
        <v> </v>
      </c>
      <c r="BZ18" s="2" t="s">
        <v>107</v>
      </c>
    </row>
    <row r="19" customFormat="false" ht="12" hidden="false" customHeight="false" outlineLevel="0" collapsed="false">
      <c r="A19" s="28" t="n">
        <v>46552</v>
      </c>
      <c r="B19" s="2" t="s">
        <v>128</v>
      </c>
      <c r="D19" s="2" t="s">
        <v>129</v>
      </c>
      <c r="E19" s="2" t="s">
        <v>112</v>
      </c>
      <c r="F19" s="30" t="n">
        <v>24</v>
      </c>
      <c r="G19" s="6" t="n">
        <f aca="false">IF(F19&lt;&gt;0,F19*G$2/(100+G$2)," ")</f>
        <v>4</v>
      </c>
      <c r="H19" s="6" t="n">
        <f aca="false">IF((F19&lt;&gt;0),F19-G19," ")</f>
        <v>20</v>
      </c>
      <c r="I19" s="5"/>
      <c r="L19" s="7" t="n">
        <f aca="false">IF(F19&lt;&gt;0,F19-K19," ")</f>
        <v>24</v>
      </c>
      <c r="M19" s="8" t="n">
        <f aca="false">IF((F19-K19)&lt;&gt;0,M$1-A19," ")</f>
        <v>-274</v>
      </c>
      <c r="N19" s="5"/>
      <c r="O19" s="17" t="str">
        <f aca="false">IF((E19="s"),H19," ")</f>
        <v> </v>
      </c>
      <c r="P19" s="17" t="str">
        <f aca="false">IF((E19="c"),H19," ")</f>
        <v> </v>
      </c>
      <c r="Q19" s="17" t="str">
        <f aca="false">IF((E19="o"),H19," ")</f>
        <v> </v>
      </c>
      <c r="R19" s="17" t="str">
        <f aca="false">IF((E19="d"),H19," ")</f>
        <v> </v>
      </c>
      <c r="S19" s="17" t="str">
        <f aca="false">IF((E19="w"),H19," ")</f>
        <v> </v>
      </c>
      <c r="T19" s="17" t="str">
        <f aca="false">IF((E19="r"),H19," ")</f>
        <v> </v>
      </c>
      <c r="U19" s="17" t="str">
        <f aca="false">IF((E19="p"),H19," ")</f>
        <v> </v>
      </c>
      <c r="V19" s="17" t="str">
        <f aca="false">IF((E19="t"),H19," ")</f>
        <v> </v>
      </c>
      <c r="W19" s="17" t="str">
        <f aca="false">IF((E19="q"),H19," ")</f>
        <v> </v>
      </c>
      <c r="X19" s="17" t="str">
        <f aca="false">IF((E19="m"),H19," ")</f>
        <v> </v>
      </c>
      <c r="Y19" s="17" t="str">
        <f aca="false">IF((E19="u"),H19," ")</f>
        <v> </v>
      </c>
      <c r="Z19" s="17" t="str">
        <f aca="false">IF((E19="a"),H19," ")</f>
        <v> </v>
      </c>
      <c r="AA19" s="17" t="str">
        <f aca="false">IF((E19="g"),H19," ")</f>
        <v> </v>
      </c>
      <c r="AB19" s="17" t="n">
        <f aca="false">IF((E19="h"),H19," ")</f>
        <v>20</v>
      </c>
      <c r="AC19" s="30" t="str">
        <f aca="false">IF((E19="v"),H19," ")</f>
        <v> </v>
      </c>
      <c r="AD19" s="30" t="str">
        <f aca="false">IF((E19="n"),H19," ")</f>
        <v> </v>
      </c>
      <c r="AE19" s="17" t="str">
        <f aca="false">IF((E19="f"),H19," ")</f>
        <v> </v>
      </c>
      <c r="AF19" s="17" t="str">
        <f aca="false">IF((E19="l"),H19," ")</f>
        <v> </v>
      </c>
      <c r="AG19" s="17" t="str">
        <f aca="false">IF((E19="y"),H19," ")</f>
        <v> </v>
      </c>
      <c r="AH19" s="17" t="str">
        <f aca="false">IF((E19="z"),H19," ")</f>
        <v> </v>
      </c>
      <c r="AI19" s="17" t="str">
        <f aca="false">IF((E19="fa"),H19," ")</f>
        <v> </v>
      </c>
      <c r="AJ19" s="17" t="str">
        <f aca="false">IF((E19="e"),H19," ")</f>
        <v> </v>
      </c>
      <c r="BZ19" s="2" t="s">
        <v>113</v>
      </c>
    </row>
    <row r="20" customFormat="false" ht="12" hidden="false" customHeight="false" outlineLevel="0" collapsed="false">
      <c r="A20" s="28" t="n">
        <v>46552</v>
      </c>
      <c r="B20" s="2" t="s">
        <v>130</v>
      </c>
      <c r="D20" s="2" t="s">
        <v>131</v>
      </c>
      <c r="E20" s="2" t="s">
        <v>112</v>
      </c>
      <c r="F20" s="30" t="n">
        <v>12</v>
      </c>
      <c r="G20" s="6" t="n">
        <f aca="false">IF(F20&lt;&gt;0,F20*G$2/(100+G$2)," ")</f>
        <v>2</v>
      </c>
      <c r="H20" s="6" t="n">
        <f aca="false">IF((F20&lt;&gt;0),F20-G20," ")</f>
        <v>10</v>
      </c>
      <c r="I20" s="5"/>
      <c r="L20" s="7" t="n">
        <f aca="false">IF(F20&lt;&gt;0,F20-K20," ")</f>
        <v>12</v>
      </c>
      <c r="M20" s="8" t="n">
        <f aca="false">IF((F20-K20)&lt;&gt;0,M$1-A20," ")</f>
        <v>-274</v>
      </c>
      <c r="N20" s="5"/>
      <c r="O20" s="17" t="str">
        <f aca="false">IF((E20="s"),H20," ")</f>
        <v> </v>
      </c>
      <c r="P20" s="17" t="str">
        <f aca="false">IF((E20="c"),H20," ")</f>
        <v> </v>
      </c>
      <c r="Q20" s="17" t="str">
        <f aca="false">IF((E20="o"),H20," ")</f>
        <v> </v>
      </c>
      <c r="R20" s="17" t="str">
        <f aca="false">IF((E20="d"),H20," ")</f>
        <v> </v>
      </c>
      <c r="S20" s="17" t="str">
        <f aca="false">IF((E20="w"),H20," ")</f>
        <v> </v>
      </c>
      <c r="T20" s="17" t="str">
        <f aca="false">IF((E20="r"),H20," ")</f>
        <v> </v>
      </c>
      <c r="U20" s="17" t="str">
        <f aca="false">IF((E20="p"),H20," ")</f>
        <v> </v>
      </c>
      <c r="V20" s="17" t="str">
        <f aca="false">IF((E20="t"),H20," ")</f>
        <v> </v>
      </c>
      <c r="W20" s="17" t="str">
        <f aca="false">IF((E20="q"),H20," ")</f>
        <v> </v>
      </c>
      <c r="X20" s="17" t="str">
        <f aca="false">IF((E20="m"),H20," ")</f>
        <v> </v>
      </c>
      <c r="Y20" s="17" t="str">
        <f aca="false">IF((E20="u"),H20," ")</f>
        <v> </v>
      </c>
      <c r="Z20" s="17" t="str">
        <f aca="false">IF((E20="a"),H20," ")</f>
        <v> </v>
      </c>
      <c r="AA20" s="17" t="str">
        <f aca="false">IF((E20="g"),H20," ")</f>
        <v> </v>
      </c>
      <c r="AB20" s="17" t="n">
        <f aca="false">IF((E20="h"),H20," ")</f>
        <v>10</v>
      </c>
      <c r="AC20" s="30" t="str">
        <f aca="false">IF((E20="v"),H20," ")</f>
        <v> </v>
      </c>
      <c r="AD20" s="30" t="str">
        <f aca="false">IF((E20="n"),H20," ")</f>
        <v> </v>
      </c>
      <c r="AE20" s="17" t="str">
        <f aca="false">IF((E20="f"),H20," ")</f>
        <v> </v>
      </c>
      <c r="AF20" s="17" t="str">
        <f aca="false">IF((E20="l"),H20," ")</f>
        <v> </v>
      </c>
      <c r="AG20" s="17" t="str">
        <f aca="false">IF((E20="y"),H20," ")</f>
        <v> </v>
      </c>
      <c r="AH20" s="17" t="str">
        <f aca="false">IF((E20="z"),H20," ")</f>
        <v> </v>
      </c>
      <c r="AI20" s="17" t="str">
        <f aca="false">IF((E20="fa"),H20," ")</f>
        <v> </v>
      </c>
      <c r="AJ20" s="17" t="str">
        <f aca="false">IF((E20="e"),H20," ")</f>
        <v> </v>
      </c>
      <c r="BZ20" s="2" t="s">
        <v>113</v>
      </c>
    </row>
    <row r="21" customFormat="false" ht="12" hidden="false" customHeight="false" outlineLevel="0" collapsed="false">
      <c r="A21" s="28" t="n">
        <v>46553</v>
      </c>
      <c r="B21" s="2" t="s">
        <v>20</v>
      </c>
      <c r="D21" s="2" t="s">
        <v>105</v>
      </c>
      <c r="E21" s="2" t="s">
        <v>106</v>
      </c>
      <c r="F21" s="30" t="n">
        <v>150</v>
      </c>
      <c r="G21" s="6" t="n">
        <f aca="false">IF(F21&lt;&gt;0,F21*G$2/(100+G$2)," ")</f>
        <v>25</v>
      </c>
      <c r="H21" s="6" t="n">
        <f aca="false">IF((F21&lt;&gt;0),F21-G21," ")</f>
        <v>125</v>
      </c>
      <c r="I21" s="5"/>
      <c r="L21" s="7" t="n">
        <f aca="false">IF(F21&lt;&gt;0,F21-K21," ")</f>
        <v>150</v>
      </c>
      <c r="M21" s="8" t="n">
        <f aca="false">IF((F21-K21)&lt;&gt;0,M$1-A21," ")</f>
        <v>-275</v>
      </c>
      <c r="N21" s="5"/>
      <c r="O21" s="17" t="str">
        <f aca="false">IF((E21="s"),H21," ")</f>
        <v> </v>
      </c>
      <c r="P21" s="17" t="str">
        <f aca="false">IF((E21="c"),H21," ")</f>
        <v> </v>
      </c>
      <c r="Q21" s="17" t="str">
        <f aca="false">IF((E21="o"),H21," ")</f>
        <v> </v>
      </c>
      <c r="R21" s="17" t="str">
        <f aca="false">IF((E21="d"),H21," ")</f>
        <v> </v>
      </c>
      <c r="S21" s="17" t="str">
        <f aca="false">IF((E21="w"),H21," ")</f>
        <v> </v>
      </c>
      <c r="T21" s="17" t="str">
        <f aca="false">IF((E21="r"),H21," ")</f>
        <v> </v>
      </c>
      <c r="U21" s="17" t="str">
        <f aca="false">IF((E21="p"),H21," ")</f>
        <v> </v>
      </c>
      <c r="V21" s="17" t="str">
        <f aca="false">IF((E21="t"),H21," ")</f>
        <v> </v>
      </c>
      <c r="W21" s="17" t="str">
        <f aca="false">IF((E21="q"),H21," ")</f>
        <v> </v>
      </c>
      <c r="X21" s="17" t="str">
        <f aca="false">IF((E21="m"),H21," ")</f>
        <v> </v>
      </c>
      <c r="Y21" s="17" t="str">
        <f aca="false">IF((E21="u"),H21," ")</f>
        <v> </v>
      </c>
      <c r="Z21" s="17" t="str">
        <f aca="false">IF((E21="a"),H21," ")</f>
        <v> </v>
      </c>
      <c r="AA21" s="17" t="str">
        <f aca="false">IF((E21="g"),H21," ")</f>
        <v> </v>
      </c>
      <c r="AB21" s="17" t="str">
        <f aca="false">IF((E21="h"),H21," ")</f>
        <v> </v>
      </c>
      <c r="AC21" s="30" t="n">
        <f aca="false">IF((E21="v"),H21," ")</f>
        <v>125</v>
      </c>
      <c r="AD21" s="30" t="str">
        <f aca="false">IF((E21="n"),H21," ")</f>
        <v> </v>
      </c>
      <c r="AE21" s="17" t="str">
        <f aca="false">IF((E21="f"),H21," ")</f>
        <v> </v>
      </c>
      <c r="AF21" s="17" t="str">
        <f aca="false">IF((E21="l"),H21," ")</f>
        <v> </v>
      </c>
      <c r="AG21" s="17" t="str">
        <f aca="false">IF((E21="y"),H21," ")</f>
        <v> </v>
      </c>
      <c r="AH21" s="17" t="str">
        <f aca="false">IF((E21="z"),H21," ")</f>
        <v> </v>
      </c>
      <c r="AI21" s="17" t="str">
        <f aca="false">IF((E21="fa"),H21," ")</f>
        <v> </v>
      </c>
      <c r="AJ21" s="17" t="str">
        <f aca="false">IF((E21="e"),H21," ")</f>
        <v> </v>
      </c>
      <c r="BZ21" s="2" t="s">
        <v>107</v>
      </c>
    </row>
    <row r="22" customFormat="false" ht="12" hidden="false" customHeight="false" outlineLevel="0" collapsed="false">
      <c r="A22" s="28" t="n">
        <v>46553</v>
      </c>
      <c r="B22" s="2" t="s">
        <v>132</v>
      </c>
      <c r="D22" s="2" t="s">
        <v>133</v>
      </c>
      <c r="E22" s="2" t="s">
        <v>80</v>
      </c>
      <c r="F22" s="30" t="n">
        <v>12</v>
      </c>
      <c r="G22" s="6" t="n">
        <f aca="false">IF(F22&lt;&gt;0,F22*G$2/(100+G$2)," ")</f>
        <v>2</v>
      </c>
      <c r="H22" s="6" t="n">
        <f aca="false">IF((F22&lt;&gt;0),F22-G22," ")</f>
        <v>10</v>
      </c>
      <c r="I22" s="5"/>
      <c r="L22" s="7" t="n">
        <f aca="false">IF(F22&lt;&gt;0,F22-K22," ")</f>
        <v>12</v>
      </c>
      <c r="M22" s="8" t="n">
        <f aca="false">IF((F22-K22)&lt;&gt;0,M$1-A22," ")</f>
        <v>-275</v>
      </c>
      <c r="N22" s="5"/>
      <c r="O22" s="17" t="str">
        <f aca="false">IF((E22="s"),H22," ")</f>
        <v> </v>
      </c>
      <c r="P22" s="17" t="str">
        <f aca="false">IF((E22="c"),H22," ")</f>
        <v> </v>
      </c>
      <c r="Q22" s="17" t="str">
        <f aca="false">IF((E22="o"),H22," ")</f>
        <v> </v>
      </c>
      <c r="R22" s="17" t="str">
        <f aca="false">IF((E22="d"),H22," ")</f>
        <v> </v>
      </c>
      <c r="S22" s="17" t="str">
        <f aca="false">IF((E22="w"),H22," ")</f>
        <v> </v>
      </c>
      <c r="T22" s="17" t="str">
        <f aca="false">IF((E22="r"),H22," ")</f>
        <v> </v>
      </c>
      <c r="U22" s="17" t="str">
        <f aca="false">IF((E22="p"),H22," ")</f>
        <v> </v>
      </c>
      <c r="V22" s="17" t="str">
        <f aca="false">IF((E22="t"),H22," ")</f>
        <v> </v>
      </c>
      <c r="W22" s="17" t="str">
        <f aca="false">IF((E22="q"),H22," ")</f>
        <v> </v>
      </c>
      <c r="X22" s="17" t="str">
        <f aca="false">IF((E22="m"),H22," ")</f>
        <v> </v>
      </c>
      <c r="Y22" s="17" t="str">
        <f aca="false">IF((E22="u"),H22," ")</f>
        <v> </v>
      </c>
      <c r="Z22" s="17" t="str">
        <f aca="false">IF((E22="a"),H22," ")</f>
        <v> </v>
      </c>
      <c r="AA22" s="17" t="n">
        <f aca="false">IF((E22="g"),H22," ")</f>
        <v>10</v>
      </c>
      <c r="AB22" s="17" t="str">
        <f aca="false">IF((E22="h"),H22," ")</f>
        <v> </v>
      </c>
      <c r="AC22" s="30" t="str">
        <f aca="false">IF((E22="v"),H22," ")</f>
        <v> </v>
      </c>
      <c r="AD22" s="30" t="str">
        <f aca="false">IF((E22="n"),H22," ")</f>
        <v> </v>
      </c>
      <c r="AE22" s="17" t="str">
        <f aca="false">IF((E22="f"),H22," ")</f>
        <v> </v>
      </c>
      <c r="AF22" s="17" t="str">
        <f aca="false">IF((E22="l"),H22," ")</f>
        <v> </v>
      </c>
      <c r="AG22" s="17" t="str">
        <f aca="false">IF((E22="y"),H22," ")</f>
        <v> </v>
      </c>
      <c r="AH22" s="17" t="str">
        <f aca="false">IF((E22="z"),H22," ")</f>
        <v> </v>
      </c>
      <c r="AI22" s="17" t="str">
        <f aca="false">IF((E22="fa"),H22," ")</f>
        <v> </v>
      </c>
      <c r="AJ22" s="17" t="str">
        <f aca="false">IF((E22="e"),H22," ")</f>
        <v> </v>
      </c>
      <c r="BZ22" s="2" t="s">
        <v>81</v>
      </c>
    </row>
    <row r="23" customFormat="false" ht="12" hidden="false" customHeight="false" outlineLevel="0" collapsed="false">
      <c r="A23" s="28" t="n">
        <v>46553</v>
      </c>
      <c r="B23" s="2" t="s">
        <v>163</v>
      </c>
      <c r="D23" s="2" t="s">
        <v>164</v>
      </c>
      <c r="E23" s="2" t="s">
        <v>122</v>
      </c>
      <c r="F23" s="30" t="n">
        <v>540</v>
      </c>
      <c r="G23" s="6" t="n">
        <f aca="false">IF(F23&lt;&gt;0,F23*G$2/(100+G$2)," ")</f>
        <v>90</v>
      </c>
      <c r="H23" s="6" t="n">
        <f aca="false">IF((F23&lt;&gt;0),F23-G23," ")</f>
        <v>450</v>
      </c>
      <c r="I23" s="5"/>
      <c r="L23" s="7" t="n">
        <f aca="false">IF(F23&lt;&gt;0,F23-K23," ")</f>
        <v>540</v>
      </c>
      <c r="M23" s="8" t="n">
        <f aca="false">IF((F23-K23)&lt;&gt;0,M$1-A23," ")</f>
        <v>-275</v>
      </c>
      <c r="N23" s="5"/>
      <c r="O23" s="17" t="n">
        <f aca="false">IF((E23="s"),H23," ")</f>
        <v>450</v>
      </c>
      <c r="P23" s="17" t="str">
        <f aca="false">IF((E23="c"),H23," ")</f>
        <v> </v>
      </c>
      <c r="Q23" s="17" t="str">
        <f aca="false">IF((E23="o"),H23," ")</f>
        <v> </v>
      </c>
      <c r="R23" s="17" t="str">
        <f aca="false">IF((E23="d"),H23," ")</f>
        <v> </v>
      </c>
      <c r="S23" s="17" t="str">
        <f aca="false">IF((E23="w"),H23," ")</f>
        <v> </v>
      </c>
      <c r="T23" s="17" t="str">
        <f aca="false">IF((E23="r"),H23," ")</f>
        <v> </v>
      </c>
      <c r="U23" s="17" t="str">
        <f aca="false">IF((E23="p"),H23," ")</f>
        <v> </v>
      </c>
      <c r="V23" s="17" t="str">
        <f aca="false">IF((E23="t"),H23," ")</f>
        <v> </v>
      </c>
      <c r="W23" s="17" t="str">
        <f aca="false">IF((E23="q"),H23," ")</f>
        <v> </v>
      </c>
      <c r="X23" s="17" t="str">
        <f aca="false">IF((E23="m"),H23," ")</f>
        <v> </v>
      </c>
      <c r="Y23" s="17" t="str">
        <f aca="false">IF((E23="u"),H23," ")</f>
        <v> </v>
      </c>
      <c r="Z23" s="17" t="str">
        <f aca="false">IF((E23="a"),H23," ")</f>
        <v> </v>
      </c>
      <c r="AA23" s="17" t="str">
        <f aca="false">IF((E23="g"),H23," ")</f>
        <v> </v>
      </c>
      <c r="AB23" s="17" t="str">
        <f aca="false">IF((E23="h"),H23," ")</f>
        <v> </v>
      </c>
      <c r="AC23" s="30" t="str">
        <f aca="false">IF((E23="v"),H23," ")</f>
        <v> </v>
      </c>
      <c r="AD23" s="30" t="str">
        <f aca="false">IF((E23="n"),H23," ")</f>
        <v> </v>
      </c>
      <c r="AE23" s="17" t="str">
        <f aca="false">IF((E23="f"),H23," ")</f>
        <v> </v>
      </c>
      <c r="AF23" s="17" t="str">
        <f aca="false">IF((E23="l"),H23," ")</f>
        <v> </v>
      </c>
      <c r="AG23" s="17" t="str">
        <f aca="false">IF((E23="y"),H23," ")</f>
        <v> </v>
      </c>
      <c r="AH23" s="17" t="str">
        <f aca="false">IF((E23="z"),H23," ")</f>
        <v> </v>
      </c>
      <c r="AI23" s="17" t="str">
        <f aca="false">IF((E23="fa"),H23," ")</f>
        <v> </v>
      </c>
      <c r="AJ23" s="17" t="str">
        <f aca="false">IF((E23="e"),H23," ")</f>
        <v> </v>
      </c>
      <c r="BZ23" s="2" t="s">
        <v>123</v>
      </c>
    </row>
    <row r="24" customFormat="false" ht="12" hidden="false" customHeight="false" outlineLevel="0" collapsed="false">
      <c r="A24" s="28" t="n">
        <v>46553</v>
      </c>
      <c r="B24" s="2" t="s">
        <v>183</v>
      </c>
      <c r="C24" s="3" t="s">
        <v>245</v>
      </c>
      <c r="D24" s="2" t="s">
        <v>246</v>
      </c>
      <c r="E24" s="2" t="s">
        <v>186</v>
      </c>
      <c r="F24" s="30" t="n">
        <v>3000</v>
      </c>
      <c r="G24" s="6" t="n">
        <f aca="false">IF(F24&lt;&gt;0,F24*G$2/(100+G$2)," ")</f>
        <v>500</v>
      </c>
      <c r="H24" s="6" t="n">
        <f aca="false">IF((F24&lt;&gt;0),F24-G24," ")</f>
        <v>2500</v>
      </c>
      <c r="I24" s="5"/>
      <c r="L24" s="7" t="n">
        <f aca="false">IF(F24&lt;&gt;0,F24-K24," ")</f>
        <v>3000</v>
      </c>
      <c r="M24" s="8" t="n">
        <f aca="false">IF((F24-K24)&lt;&gt;0,M$1-A24," ")</f>
        <v>-275</v>
      </c>
      <c r="N24" s="5"/>
      <c r="O24" s="17" t="str">
        <f aca="false">IF((E24="s"),H24," ")</f>
        <v> </v>
      </c>
      <c r="P24" s="17" t="n">
        <f aca="false">IF((E24="c"),H24," ")</f>
        <v>2500</v>
      </c>
      <c r="Q24" s="17" t="str">
        <f aca="false">IF((E24="o"),H24," ")</f>
        <v> </v>
      </c>
      <c r="R24" s="17" t="str">
        <f aca="false">IF((E24="d"),H24," ")</f>
        <v> </v>
      </c>
      <c r="S24" s="17" t="str">
        <f aca="false">IF((E24="w"),H24," ")</f>
        <v> </v>
      </c>
      <c r="T24" s="17" t="str">
        <f aca="false">IF((E24="r"),H24," ")</f>
        <v> </v>
      </c>
      <c r="U24" s="17" t="str">
        <f aca="false">IF((E24="p"),H24," ")</f>
        <v> </v>
      </c>
      <c r="V24" s="17" t="str">
        <f aca="false">IF((E24="t"),H24," ")</f>
        <v> </v>
      </c>
      <c r="W24" s="17" t="str">
        <f aca="false">IF((E24="q"),H24," ")</f>
        <v> </v>
      </c>
      <c r="X24" s="17" t="str">
        <f aca="false">IF((E24="m"),H24," ")</f>
        <v> </v>
      </c>
      <c r="Y24" s="17" t="str">
        <f aca="false">IF((E24="u"),H24," ")</f>
        <v> </v>
      </c>
      <c r="Z24" s="17" t="str">
        <f aca="false">IF((E24="a"),H24," ")</f>
        <v> </v>
      </c>
      <c r="AA24" s="17" t="str">
        <f aca="false">IF((E24="g"),H24," ")</f>
        <v> </v>
      </c>
      <c r="AB24" s="17" t="str">
        <f aca="false">IF((E24="h"),H24," ")</f>
        <v> </v>
      </c>
      <c r="AC24" s="30" t="str">
        <f aca="false">IF((E24="v"),H24," ")</f>
        <v> </v>
      </c>
      <c r="AD24" s="30" t="str">
        <f aca="false">IF((E24="n"),H24," ")</f>
        <v> </v>
      </c>
      <c r="AE24" s="17" t="str">
        <f aca="false">IF((E24="f"),H24," ")</f>
        <v> </v>
      </c>
      <c r="AF24" s="17" t="str">
        <f aca="false">IF((E24="l"),H24," ")</f>
        <v> </v>
      </c>
      <c r="AG24" s="17" t="str">
        <f aca="false">IF((E24="y"),H24," ")</f>
        <v> </v>
      </c>
      <c r="AH24" s="17" t="str">
        <f aca="false">IF((E24="z"),H24," ")</f>
        <v> </v>
      </c>
      <c r="AI24" s="17" t="str">
        <f aca="false">IF((E24="fa"),H24," ")</f>
        <v> </v>
      </c>
      <c r="AJ24" s="17" t="str">
        <f aca="false">IF((E24="e"),H24," ")</f>
        <v> </v>
      </c>
      <c r="AK24" s="17" t="n">
        <v>600</v>
      </c>
      <c r="BZ24" s="2" t="s">
        <v>187</v>
      </c>
    </row>
    <row r="25" customFormat="false" ht="12" hidden="false" customHeight="false" outlineLevel="0" collapsed="false">
      <c r="A25" s="28" t="n">
        <v>46554</v>
      </c>
      <c r="B25" s="2" t="s">
        <v>170</v>
      </c>
      <c r="D25" s="2" t="s">
        <v>171</v>
      </c>
      <c r="E25" s="2" t="s">
        <v>80</v>
      </c>
      <c r="F25" s="30" t="n">
        <v>30</v>
      </c>
      <c r="G25" s="6" t="n">
        <f aca="false">IF(F25&lt;&gt;0,F25*G$2/(100+G$2)," ")</f>
        <v>5</v>
      </c>
      <c r="H25" s="6" t="n">
        <f aca="false">IF((F25&lt;&gt;0),F25-G25," ")</f>
        <v>25</v>
      </c>
      <c r="I25" s="5"/>
      <c r="L25" s="7" t="n">
        <f aca="false">IF(F25&lt;&gt;0,F25-K25," ")</f>
        <v>30</v>
      </c>
      <c r="M25" s="8" t="n">
        <f aca="false">IF((F25-K25)&lt;&gt;0,M$1-A25," ")</f>
        <v>-276</v>
      </c>
      <c r="N25" s="5"/>
      <c r="O25" s="17" t="str">
        <f aca="false">IF((E25="s"),H25," ")</f>
        <v> </v>
      </c>
      <c r="P25" s="17" t="str">
        <f aca="false">IF((E25="c"),H25," ")</f>
        <v> </v>
      </c>
      <c r="Q25" s="17" t="str">
        <f aca="false">IF((E25="o"),H25," ")</f>
        <v> </v>
      </c>
      <c r="R25" s="17" t="str">
        <f aca="false">IF((E25="d"),H25," ")</f>
        <v> </v>
      </c>
      <c r="S25" s="17" t="str">
        <f aca="false">IF((E25="w"),H25," ")</f>
        <v> </v>
      </c>
      <c r="T25" s="17" t="str">
        <f aca="false">IF((E25="r"),H25," ")</f>
        <v> </v>
      </c>
      <c r="U25" s="17" t="str">
        <f aca="false">IF((E25="p"),H25," ")</f>
        <v> </v>
      </c>
      <c r="V25" s="17" t="str">
        <f aca="false">IF((E25="t"),H25," ")</f>
        <v> </v>
      </c>
      <c r="W25" s="17" t="str">
        <f aca="false">IF((E25="q"),H25," ")</f>
        <v> </v>
      </c>
      <c r="X25" s="17" t="str">
        <f aca="false">IF((E25="m"),H25," ")</f>
        <v> </v>
      </c>
      <c r="Y25" s="17" t="str">
        <f aca="false">IF((E25="u"),H25," ")</f>
        <v> </v>
      </c>
      <c r="Z25" s="17" t="str">
        <f aca="false">IF((E25="a"),H25," ")</f>
        <v> </v>
      </c>
      <c r="AA25" s="17" t="n">
        <f aca="false">IF((E25="g"),H25," ")</f>
        <v>25</v>
      </c>
      <c r="AB25" s="17" t="str">
        <f aca="false">IF((E25="h"),H25," ")</f>
        <v> </v>
      </c>
      <c r="AC25" s="30" t="str">
        <f aca="false">IF((E25="v"),H25," ")</f>
        <v> </v>
      </c>
      <c r="AD25" s="30" t="str">
        <f aca="false">IF((E25="n"),H25," ")</f>
        <v> </v>
      </c>
      <c r="AE25" s="17" t="str">
        <f aca="false">IF((E25="f"),H25," ")</f>
        <v> </v>
      </c>
      <c r="AF25" s="17" t="str">
        <f aca="false">IF((E25="l"),H25," ")</f>
        <v> </v>
      </c>
      <c r="AG25" s="17" t="str">
        <f aca="false">IF((E25="y"),H25," ")</f>
        <v> </v>
      </c>
      <c r="AH25" s="17" t="str">
        <f aca="false">IF((E25="z"),H25," ")</f>
        <v> </v>
      </c>
      <c r="AI25" s="17" t="str">
        <f aca="false">IF((E25="fa"),H25," ")</f>
        <v> </v>
      </c>
      <c r="AJ25" s="17" t="str">
        <f aca="false">IF((E25="e"),H25," ")</f>
        <v> </v>
      </c>
      <c r="BZ25" s="2" t="s">
        <v>81</v>
      </c>
    </row>
    <row r="26" customFormat="false" ht="12" hidden="false" customHeight="false" outlineLevel="0" collapsed="false">
      <c r="A26" s="28" t="n">
        <v>46556</v>
      </c>
      <c r="B26" s="2" t="s">
        <v>134</v>
      </c>
      <c r="D26" s="2" t="s">
        <v>105</v>
      </c>
      <c r="E26" s="2" t="s">
        <v>106</v>
      </c>
      <c r="F26" s="30" t="n">
        <v>96</v>
      </c>
      <c r="G26" s="6" t="n">
        <f aca="false">IF(F26&lt;&gt;0,F26*G$2/(100+G$2)," ")</f>
        <v>16</v>
      </c>
      <c r="H26" s="6" t="n">
        <f aca="false">IF((F26&lt;&gt;0),F26-G26," ")</f>
        <v>80</v>
      </c>
      <c r="I26" s="5"/>
      <c r="L26" s="7" t="n">
        <f aca="false">IF(F26&lt;&gt;0,F26-K26," ")</f>
        <v>96</v>
      </c>
      <c r="M26" s="8" t="n">
        <f aca="false">IF((F26-K26)&lt;&gt;0,M$1-A26," ")</f>
        <v>-278</v>
      </c>
      <c r="N26" s="5"/>
      <c r="O26" s="17" t="str">
        <f aca="false">IF((E26="s"),H26," ")</f>
        <v> </v>
      </c>
      <c r="P26" s="17" t="str">
        <f aca="false">IF((E26="c"),H26," ")</f>
        <v> </v>
      </c>
      <c r="Q26" s="17" t="str">
        <f aca="false">IF((E26="o"),H26," ")</f>
        <v> </v>
      </c>
      <c r="R26" s="17" t="str">
        <f aca="false">IF((E26="d"),H26," ")</f>
        <v> </v>
      </c>
      <c r="S26" s="17" t="str">
        <f aca="false">IF((E26="w"),H26," ")</f>
        <v> </v>
      </c>
      <c r="T26" s="17" t="str">
        <f aca="false">IF((E26="r"),H26," ")</f>
        <v> </v>
      </c>
      <c r="U26" s="17" t="str">
        <f aca="false">IF((E26="p"),H26," ")</f>
        <v> </v>
      </c>
      <c r="V26" s="17" t="str">
        <f aca="false">IF((E26="t"),H26," ")</f>
        <v> </v>
      </c>
      <c r="W26" s="17" t="str">
        <f aca="false">IF((E26="q"),H26," ")</f>
        <v> </v>
      </c>
      <c r="X26" s="17" t="str">
        <f aca="false">IF((E26="m"),H26," ")</f>
        <v> </v>
      </c>
      <c r="Y26" s="17" t="str">
        <f aca="false">IF((E26="u"),H26," ")</f>
        <v> </v>
      </c>
      <c r="Z26" s="17" t="str">
        <f aca="false">IF((E26="a"),H26," ")</f>
        <v> </v>
      </c>
      <c r="AA26" s="17" t="str">
        <f aca="false">IF((E26="g"),H26," ")</f>
        <v> </v>
      </c>
      <c r="AB26" s="17" t="str">
        <f aca="false">IF((E26="h"),H26," ")</f>
        <v> </v>
      </c>
      <c r="AC26" s="30" t="n">
        <f aca="false">IF((E26="v"),H26," ")</f>
        <v>80</v>
      </c>
      <c r="AD26" s="30" t="str">
        <f aca="false">IF((E26="n"),H26," ")</f>
        <v> </v>
      </c>
      <c r="AE26" s="17" t="str">
        <f aca="false">IF((E26="f"),H26," ")</f>
        <v> </v>
      </c>
      <c r="AF26" s="17" t="str">
        <f aca="false">IF((E26="l"),H26," ")</f>
        <v> </v>
      </c>
      <c r="AG26" s="17" t="str">
        <f aca="false">IF((E26="y"),H26," ")</f>
        <v> </v>
      </c>
      <c r="AH26" s="17" t="str">
        <f aca="false">IF((E26="z"),H26," ")</f>
        <v> </v>
      </c>
      <c r="AI26" s="17" t="str">
        <f aca="false">IF((E26="fa"),H26," ")</f>
        <v> </v>
      </c>
      <c r="AJ26" s="17" t="str">
        <f aca="false">IF((E26="e"),H26," ")</f>
        <v> </v>
      </c>
      <c r="BZ26" s="2" t="s">
        <v>107</v>
      </c>
    </row>
    <row r="27" customFormat="false" ht="12" hidden="false" customHeight="false" outlineLevel="0" collapsed="false">
      <c r="A27" s="28" t="n">
        <v>46558</v>
      </c>
      <c r="B27" s="2" t="s">
        <v>135</v>
      </c>
      <c r="D27" s="2" t="s">
        <v>136</v>
      </c>
      <c r="E27" s="2" t="s">
        <v>80</v>
      </c>
      <c r="F27" s="30" t="n">
        <v>60</v>
      </c>
      <c r="G27" s="6" t="n">
        <f aca="false">IF(F27&lt;&gt;0,F27*G$2/(100+G$2)," ")</f>
        <v>10</v>
      </c>
      <c r="H27" s="6" t="n">
        <f aca="false">IF((F27&lt;&gt;0),F27-G27," ")</f>
        <v>50</v>
      </c>
      <c r="I27" s="5"/>
      <c r="L27" s="7" t="n">
        <f aca="false">IF(F27&lt;&gt;0,F27-K27," ")</f>
        <v>60</v>
      </c>
      <c r="M27" s="8" t="n">
        <f aca="false">IF((F27-K27)&lt;&gt;0,M$1-A27," ")</f>
        <v>-280</v>
      </c>
      <c r="N27" s="5"/>
      <c r="O27" s="17" t="str">
        <f aca="false">IF((E27="s"),H27," ")</f>
        <v> </v>
      </c>
      <c r="P27" s="17" t="str">
        <f aca="false">IF((E27="c"),H27," ")</f>
        <v> </v>
      </c>
      <c r="Q27" s="17" t="str">
        <f aca="false">IF((E27="o"),H27," ")</f>
        <v> </v>
      </c>
      <c r="R27" s="17" t="str">
        <f aca="false">IF((E27="d"),H27," ")</f>
        <v> </v>
      </c>
      <c r="S27" s="17" t="str">
        <f aca="false">IF((E27="w"),H27," ")</f>
        <v> </v>
      </c>
      <c r="T27" s="17" t="str">
        <f aca="false">IF((E27="r"),H27," ")</f>
        <v> </v>
      </c>
      <c r="U27" s="17" t="str">
        <f aca="false">IF((E27="p"),H27," ")</f>
        <v> </v>
      </c>
      <c r="V27" s="17" t="str">
        <f aca="false">IF((E27="t"),H27," ")</f>
        <v> </v>
      </c>
      <c r="W27" s="17" t="str">
        <f aca="false">IF((E27="q"),H27," ")</f>
        <v> </v>
      </c>
      <c r="X27" s="17" t="str">
        <f aca="false">IF((E27="m"),H27," ")</f>
        <v> </v>
      </c>
      <c r="Y27" s="17" t="str">
        <f aca="false">IF((E27="u"),H27," ")</f>
        <v> </v>
      </c>
      <c r="Z27" s="17" t="str">
        <f aca="false">IF((E27="a"),H27," ")</f>
        <v> </v>
      </c>
      <c r="AA27" s="17" t="n">
        <f aca="false">IF((E27="g"),H27," ")</f>
        <v>50</v>
      </c>
      <c r="AB27" s="17" t="str">
        <f aca="false">IF((E27="h"),H27," ")</f>
        <v> </v>
      </c>
      <c r="AC27" s="30" t="str">
        <f aca="false">IF((E27="v"),H27," ")</f>
        <v> </v>
      </c>
      <c r="AD27" s="30" t="str">
        <f aca="false">IF((E27="n"),H27," ")</f>
        <v> </v>
      </c>
      <c r="AE27" s="17" t="str">
        <f aca="false">IF((E27="f"),H27," ")</f>
        <v> </v>
      </c>
      <c r="AF27" s="17" t="str">
        <f aca="false">IF((E27="l"),H27," ")</f>
        <v> </v>
      </c>
      <c r="AG27" s="17" t="str">
        <f aca="false">IF((E27="y"),H27," ")</f>
        <v> </v>
      </c>
      <c r="AH27" s="17" t="str">
        <f aca="false">IF((E27="z"),H27," ")</f>
        <v> </v>
      </c>
      <c r="AI27" s="17" t="str">
        <f aca="false">IF((E27="fa"),H27," ")</f>
        <v> </v>
      </c>
      <c r="AJ27" s="17" t="str">
        <f aca="false">IF((E27="e"),H27," ")</f>
        <v> </v>
      </c>
      <c r="BZ27" s="2" t="s">
        <v>81</v>
      </c>
    </row>
    <row r="28" customFormat="false" ht="12" hidden="false" customHeight="false" outlineLevel="0" collapsed="false">
      <c r="A28" s="28" t="n">
        <v>46558</v>
      </c>
      <c r="B28" s="2" t="s">
        <v>172</v>
      </c>
      <c r="D28" s="2" t="s">
        <v>173</v>
      </c>
      <c r="E28" s="2" t="s">
        <v>174</v>
      </c>
      <c r="F28" s="30" t="n">
        <v>240</v>
      </c>
      <c r="G28" s="6" t="n">
        <f aca="false">IF(F28&lt;&gt;0,F28*G$2/(100+G$2)," ")</f>
        <v>40</v>
      </c>
      <c r="H28" s="6" t="n">
        <f aca="false">IF((F28&lt;&gt;0),F28-G28," ")</f>
        <v>200</v>
      </c>
      <c r="I28" s="5"/>
      <c r="L28" s="7" t="n">
        <f aca="false">IF(F28&lt;&gt;0,F28-K28," ")</f>
        <v>240</v>
      </c>
      <c r="M28" s="8" t="n">
        <f aca="false">IF((F28-K28)&lt;&gt;0,M$1-A28," ")</f>
        <v>-280</v>
      </c>
      <c r="N28" s="5"/>
      <c r="O28" s="17" t="str">
        <f aca="false">IF((E28="s"),H28," ")</f>
        <v> </v>
      </c>
      <c r="P28" s="17" t="str">
        <f aca="false">IF((E28="c"),H28," ")</f>
        <v> </v>
      </c>
      <c r="Q28" s="17" t="str">
        <f aca="false">IF((E28="o"),H28," ")</f>
        <v> </v>
      </c>
      <c r="R28" s="17" t="str">
        <f aca="false">IF((E28="d"),H28," ")</f>
        <v> </v>
      </c>
      <c r="S28" s="17" t="str">
        <f aca="false">IF((E28="w"),H28," ")</f>
        <v> </v>
      </c>
      <c r="T28" s="17" t="str">
        <f aca="false">IF((E28="r"),H28," ")</f>
        <v> </v>
      </c>
      <c r="U28" s="17" t="str">
        <f aca="false">IF((E28="p"),H28," ")</f>
        <v> </v>
      </c>
      <c r="V28" s="17" t="n">
        <f aca="false">IF((E28="t"),H28," ")</f>
        <v>200</v>
      </c>
      <c r="W28" s="17" t="str">
        <f aca="false">IF((E28="q"),H28," ")</f>
        <v> </v>
      </c>
      <c r="X28" s="17" t="str">
        <f aca="false">IF((E28="m"),H28," ")</f>
        <v> </v>
      </c>
      <c r="Y28" s="17" t="str">
        <f aca="false">IF((E28="u"),H28," ")</f>
        <v> </v>
      </c>
      <c r="Z28" s="17" t="str">
        <f aca="false">IF((E28="a"),H28," ")</f>
        <v> </v>
      </c>
      <c r="AA28" s="17" t="str">
        <f aca="false">IF((E28="g"),H28," ")</f>
        <v> </v>
      </c>
      <c r="AB28" s="17" t="str">
        <f aca="false">IF((E28="h"),H28," ")</f>
        <v> </v>
      </c>
      <c r="AC28" s="30" t="str">
        <f aca="false">IF((E28="v"),H28," ")</f>
        <v> </v>
      </c>
      <c r="AD28" s="30" t="str">
        <f aca="false">IF((E28="n"),H28," ")</f>
        <v> </v>
      </c>
      <c r="AE28" s="17" t="str">
        <f aca="false">IF((E28="f"),H28," ")</f>
        <v> </v>
      </c>
      <c r="AF28" s="17" t="str">
        <f aca="false">IF((E28="l"),H28," ")</f>
        <v> </v>
      </c>
      <c r="AG28" s="17" t="str">
        <f aca="false">IF((E28="y"),H28," ")</f>
        <v> </v>
      </c>
      <c r="AH28" s="17" t="str">
        <f aca="false">IF((E28="z"),H28," ")</f>
        <v> </v>
      </c>
      <c r="AI28" s="17" t="str">
        <f aca="false">IF((E28="fa"),H28," ")</f>
        <v> </v>
      </c>
      <c r="AJ28" s="17" t="str">
        <f aca="false">IF((E28="e"),H28," ")</f>
        <v> </v>
      </c>
      <c r="BZ28" s="2" t="s">
        <v>175</v>
      </c>
    </row>
    <row r="29" customFormat="false" ht="12" hidden="false" customHeight="false" outlineLevel="0" collapsed="false">
      <c r="A29" s="28" t="n">
        <v>46558</v>
      </c>
      <c r="B29" s="2" t="s">
        <v>176</v>
      </c>
      <c r="D29" s="2" t="s">
        <v>177</v>
      </c>
      <c r="E29" s="2" t="s">
        <v>122</v>
      </c>
      <c r="F29" s="30" t="n">
        <v>300</v>
      </c>
      <c r="G29" s="6" t="n">
        <f aca="false">IF(F29&lt;&gt;0,F29*G$2/(100+G$2)," ")</f>
        <v>50</v>
      </c>
      <c r="H29" s="6" t="n">
        <f aca="false">IF((F29&lt;&gt;0),F29-G29," ")</f>
        <v>250</v>
      </c>
      <c r="I29" s="5"/>
      <c r="L29" s="7" t="n">
        <f aca="false">IF(F29&lt;&gt;0,F29-K29," ")</f>
        <v>300</v>
      </c>
      <c r="M29" s="8" t="n">
        <f aca="false">IF((F29-K29)&lt;&gt;0,M$1-A29," ")</f>
        <v>-280</v>
      </c>
      <c r="N29" s="5"/>
      <c r="O29" s="17" t="n">
        <f aca="false">IF((E29="s"),H29," ")</f>
        <v>250</v>
      </c>
      <c r="P29" s="17" t="str">
        <f aca="false">IF((E29="c"),H29," ")</f>
        <v> </v>
      </c>
      <c r="Q29" s="17" t="str">
        <f aca="false">IF((E29="o"),H29," ")</f>
        <v> </v>
      </c>
      <c r="R29" s="17" t="str">
        <f aca="false">IF((E29="d"),H29," ")</f>
        <v> </v>
      </c>
      <c r="S29" s="17" t="str">
        <f aca="false">IF((E29="w"),H29," ")</f>
        <v> </v>
      </c>
      <c r="T29" s="17" t="str">
        <f aca="false">IF((E29="r"),H29," ")</f>
        <v> </v>
      </c>
      <c r="U29" s="17" t="str">
        <f aca="false">IF((E29="p"),H29," ")</f>
        <v> </v>
      </c>
      <c r="V29" s="17" t="str">
        <f aca="false">IF((E29="t"),H29," ")</f>
        <v> </v>
      </c>
      <c r="W29" s="17" t="str">
        <f aca="false">IF((E29="q"),H29," ")</f>
        <v> </v>
      </c>
      <c r="X29" s="17" t="str">
        <f aca="false">IF((E29="m"),H29," ")</f>
        <v> </v>
      </c>
      <c r="Y29" s="17" t="str">
        <f aca="false">IF((E29="u"),H29," ")</f>
        <v> </v>
      </c>
      <c r="Z29" s="17" t="str">
        <f aca="false">IF((E29="a"),H29," ")</f>
        <v> </v>
      </c>
      <c r="AA29" s="17" t="str">
        <f aca="false">IF((E29="g"),H29," ")</f>
        <v> </v>
      </c>
      <c r="AB29" s="17" t="str">
        <f aca="false">IF((E29="h"),H29," ")</f>
        <v> </v>
      </c>
      <c r="AC29" s="30" t="str">
        <f aca="false">IF((E29="v"),H29," ")</f>
        <v> </v>
      </c>
      <c r="AD29" s="30" t="str">
        <f aca="false">IF((E29="n"),H29," ")</f>
        <v> </v>
      </c>
      <c r="AE29" s="17" t="str">
        <f aca="false">IF((E29="f"),H29," ")</f>
        <v> </v>
      </c>
      <c r="AF29" s="17" t="str">
        <f aca="false">IF((E29="l"),H29," ")</f>
        <v> </v>
      </c>
      <c r="AG29" s="17" t="str">
        <f aca="false">IF((E29="y"),H29," ")</f>
        <v> </v>
      </c>
      <c r="AH29" s="17" t="str">
        <f aca="false">IF((E29="z"),H29," ")</f>
        <v> </v>
      </c>
      <c r="AI29" s="17" t="str">
        <f aca="false">IF((E29="fa"),H29," ")</f>
        <v> </v>
      </c>
      <c r="AJ29" s="17" t="str">
        <f aca="false">IF((E29="e"),H29," ")</f>
        <v> </v>
      </c>
      <c r="BZ29" s="2" t="s">
        <v>123</v>
      </c>
    </row>
    <row r="30" customFormat="false" ht="12" hidden="false" customHeight="false" outlineLevel="0" collapsed="false">
      <c r="A30" s="28" t="n">
        <v>46559</v>
      </c>
      <c r="B30" s="2" t="s">
        <v>141</v>
      </c>
      <c r="D30" s="2" t="s">
        <v>142</v>
      </c>
      <c r="E30" s="2" t="s">
        <v>112</v>
      </c>
      <c r="F30" s="30" t="n">
        <v>8</v>
      </c>
      <c r="G30" s="6" t="n">
        <f aca="false">IF(F30&lt;&gt;0,F30*G$2/(100+G$2)," ")</f>
        <v>1.33333333333333</v>
      </c>
      <c r="H30" s="6" t="n">
        <f aca="false">IF((F30&lt;&gt;0),F30-G30," ")</f>
        <v>6.66666666666667</v>
      </c>
      <c r="I30" s="5"/>
      <c r="L30" s="7" t="n">
        <f aca="false">IF(F30&lt;&gt;0,F30-K30," ")</f>
        <v>8</v>
      </c>
      <c r="M30" s="8" t="n">
        <f aca="false">IF((F30-K30)&lt;&gt;0,M$1-A30," ")</f>
        <v>-281</v>
      </c>
      <c r="N30" s="5"/>
      <c r="O30" s="17" t="str">
        <f aca="false">IF((E30="s"),H30," ")</f>
        <v> </v>
      </c>
      <c r="P30" s="17" t="str">
        <f aca="false">IF((E30="c"),H30," ")</f>
        <v> </v>
      </c>
      <c r="Q30" s="17" t="str">
        <f aca="false">IF((E30="o"),H30," ")</f>
        <v> </v>
      </c>
      <c r="R30" s="17" t="str">
        <f aca="false">IF((E30="d"),H30," ")</f>
        <v> </v>
      </c>
      <c r="S30" s="17" t="str">
        <f aca="false">IF((E30="w"),H30," ")</f>
        <v> </v>
      </c>
      <c r="T30" s="17" t="str">
        <f aca="false">IF((E30="r"),H30," ")</f>
        <v> </v>
      </c>
      <c r="U30" s="17" t="str">
        <f aca="false">IF((E30="p"),H30," ")</f>
        <v> </v>
      </c>
      <c r="V30" s="17" t="str">
        <f aca="false">IF((E30="t"),H30," ")</f>
        <v> </v>
      </c>
      <c r="W30" s="17" t="str">
        <f aca="false">IF((E30="q"),H30," ")</f>
        <v> </v>
      </c>
      <c r="X30" s="17" t="str">
        <f aca="false">IF((E30="m"),H30," ")</f>
        <v> </v>
      </c>
      <c r="Y30" s="17" t="str">
        <f aca="false">IF((E30="u"),H30," ")</f>
        <v> </v>
      </c>
      <c r="Z30" s="17" t="str">
        <f aca="false">IF((E30="a"),H30," ")</f>
        <v> </v>
      </c>
      <c r="AA30" s="17" t="str">
        <f aca="false">IF((E30="g"),H30," ")</f>
        <v> </v>
      </c>
      <c r="AB30" s="17" t="n">
        <f aca="false">IF((E30="h"),H30," ")</f>
        <v>6.66666666666667</v>
      </c>
      <c r="AC30" s="30" t="str">
        <f aca="false">IF((E30="v"),H30," ")</f>
        <v> </v>
      </c>
      <c r="AD30" s="30" t="str">
        <f aca="false">IF((E30="n"),H30," ")</f>
        <v> </v>
      </c>
      <c r="AE30" s="17" t="str">
        <f aca="false">IF((E30="f"),H30," ")</f>
        <v> </v>
      </c>
      <c r="AF30" s="17" t="str">
        <f aca="false">IF((E30="l"),H30," ")</f>
        <v> </v>
      </c>
      <c r="AG30" s="17" t="str">
        <f aca="false">IF((E30="y"),H30," ")</f>
        <v> </v>
      </c>
      <c r="AH30" s="17" t="str">
        <f aca="false">IF((E30="z"),H30," ")</f>
        <v> </v>
      </c>
      <c r="AI30" s="17" t="str">
        <f aca="false">IF((E30="fa"),H30," ")</f>
        <v> </v>
      </c>
      <c r="AJ30" s="17" t="str">
        <f aca="false">IF((E30="e"),H30," ")</f>
        <v> </v>
      </c>
      <c r="BZ30" s="2" t="s">
        <v>113</v>
      </c>
    </row>
    <row r="31" customFormat="false" ht="12" hidden="false" customHeight="false" outlineLevel="0" collapsed="false">
      <c r="A31" s="28" t="n">
        <v>46560</v>
      </c>
      <c r="B31" s="2" t="s">
        <v>143</v>
      </c>
      <c r="D31" s="2" t="s">
        <v>144</v>
      </c>
      <c r="E31" s="2" t="s">
        <v>100</v>
      </c>
      <c r="F31" s="30" t="n">
        <v>18</v>
      </c>
      <c r="G31" s="6" t="n">
        <f aca="false">IF(F31&lt;&gt;0,F31*G$2/(100+G$2)," ")</f>
        <v>3</v>
      </c>
      <c r="H31" s="6" t="n">
        <f aca="false">IF((F31&lt;&gt;0),F31-G31," ")</f>
        <v>15</v>
      </c>
      <c r="I31" s="5"/>
      <c r="L31" s="7" t="n">
        <f aca="false">IF(F31&lt;&gt;0,F31-K31," ")</f>
        <v>18</v>
      </c>
      <c r="M31" s="8" t="n">
        <f aca="false">IF((F31-K31)&lt;&gt;0,M$1-A31," ")</f>
        <v>-282</v>
      </c>
      <c r="N31" s="5"/>
      <c r="O31" s="17" t="str">
        <f aca="false">IF((E31="s"),H31," ")</f>
        <v> </v>
      </c>
      <c r="P31" s="17" t="str">
        <f aca="false">IF((E31="c"),H31," ")</f>
        <v> </v>
      </c>
      <c r="Q31" s="17" t="str">
        <f aca="false">IF((E31="o"),H31," ")</f>
        <v> </v>
      </c>
      <c r="R31" s="17" t="str">
        <f aca="false">IF((E31="d"),H31," ")</f>
        <v> </v>
      </c>
      <c r="S31" s="17" t="str">
        <f aca="false">IF((E31="w"),H31," ")</f>
        <v> </v>
      </c>
      <c r="T31" s="17" t="str">
        <f aca="false">IF((E31="r"),H31," ")</f>
        <v> </v>
      </c>
      <c r="U31" s="17" t="str">
        <f aca="false">IF((E31="p"),H31," ")</f>
        <v> </v>
      </c>
      <c r="V31" s="17" t="str">
        <f aca="false">IF((E31="t"),H31," ")</f>
        <v> </v>
      </c>
      <c r="W31" s="17" t="str">
        <f aca="false">IF((E31="q"),H31," ")</f>
        <v> </v>
      </c>
      <c r="X31" s="17" t="str">
        <f aca="false">IF((E31="m"),H31," ")</f>
        <v> </v>
      </c>
      <c r="Y31" s="17" t="n">
        <f aca="false">IF((E31="u"),H31," ")</f>
        <v>15</v>
      </c>
      <c r="Z31" s="17" t="str">
        <f aca="false">IF((E31="a"),H31," ")</f>
        <v> </v>
      </c>
      <c r="AA31" s="17" t="str">
        <f aca="false">IF((E31="g"),H31," ")</f>
        <v> </v>
      </c>
      <c r="AB31" s="17" t="str">
        <f aca="false">IF((E31="h"),H31," ")</f>
        <v> </v>
      </c>
      <c r="AC31" s="30" t="str">
        <f aca="false">IF((E31="v"),H31," ")</f>
        <v> </v>
      </c>
      <c r="AD31" s="30" t="str">
        <f aca="false">IF((E31="n"),H31," ")</f>
        <v> </v>
      </c>
      <c r="AE31" s="17" t="str">
        <f aca="false">IF((E31="f"),H31," ")</f>
        <v> </v>
      </c>
      <c r="AF31" s="17" t="str">
        <f aca="false">IF((E31="l"),H31," ")</f>
        <v> </v>
      </c>
      <c r="AG31" s="17" t="str">
        <f aca="false">IF((E31="y"),H31," ")</f>
        <v> </v>
      </c>
      <c r="AH31" s="17" t="str">
        <f aca="false">IF((E31="z"),H31," ")</f>
        <v> </v>
      </c>
      <c r="AI31" s="17" t="str">
        <f aca="false">IF((E31="fa"),H31," ")</f>
        <v> </v>
      </c>
      <c r="AJ31" s="17" t="str">
        <f aca="false">IF((E31="e"),H31," ")</f>
        <v> </v>
      </c>
      <c r="BZ31" s="2" t="s">
        <v>101</v>
      </c>
    </row>
    <row r="32" customFormat="false" ht="12" hidden="false" customHeight="false" outlineLevel="0" collapsed="false">
      <c r="A32" s="28" t="n">
        <v>46563</v>
      </c>
      <c r="B32" s="2" t="s">
        <v>145</v>
      </c>
      <c r="D32" s="2" t="s">
        <v>146</v>
      </c>
      <c r="E32" s="2" t="s">
        <v>100</v>
      </c>
      <c r="F32" s="30" t="n">
        <v>15</v>
      </c>
      <c r="G32" s="6" t="n">
        <f aca="false">IF(F32&lt;&gt;0,F32*G$2/(100+G$2)," ")</f>
        <v>2.5</v>
      </c>
      <c r="H32" s="6" t="n">
        <f aca="false">IF((F32&lt;&gt;0),F32-G32," ")</f>
        <v>12.5</v>
      </c>
      <c r="I32" s="5"/>
      <c r="L32" s="7" t="n">
        <f aca="false">IF(F32&lt;&gt;0,F32-K32," ")</f>
        <v>15</v>
      </c>
      <c r="M32" s="8" t="n">
        <f aca="false">IF((F32-K32)&lt;&gt;0,M$1-A32," ")</f>
        <v>-285</v>
      </c>
      <c r="N32" s="5"/>
      <c r="O32" s="17" t="str">
        <f aca="false">IF((E32="s"),H32," ")</f>
        <v> </v>
      </c>
      <c r="P32" s="17" t="str">
        <f aca="false">IF((E32="c"),H32," ")</f>
        <v> </v>
      </c>
      <c r="Q32" s="17" t="str">
        <f aca="false">IF((E32="o"),H32," ")</f>
        <v> </v>
      </c>
      <c r="R32" s="17" t="str">
        <f aca="false">IF((E32="d"),H32," ")</f>
        <v> </v>
      </c>
      <c r="S32" s="17" t="str">
        <f aca="false">IF((E32="w"),H32," ")</f>
        <v> </v>
      </c>
      <c r="T32" s="17" t="str">
        <f aca="false">IF((E32="r"),H32," ")</f>
        <v> </v>
      </c>
      <c r="U32" s="17" t="str">
        <f aca="false">IF((E32="p"),H32," ")</f>
        <v> </v>
      </c>
      <c r="V32" s="17" t="str">
        <f aca="false">IF((E32="t"),H32," ")</f>
        <v> </v>
      </c>
      <c r="W32" s="17" t="str">
        <f aca="false">IF((E32="q"),H32," ")</f>
        <v> </v>
      </c>
      <c r="X32" s="17" t="str">
        <f aca="false">IF((E32="m"),H32," ")</f>
        <v> </v>
      </c>
      <c r="Y32" s="17" t="n">
        <f aca="false">IF((E32="u"),H32," ")</f>
        <v>12.5</v>
      </c>
      <c r="Z32" s="17" t="str">
        <f aca="false">IF((E32="a"),H32," ")</f>
        <v> </v>
      </c>
      <c r="AA32" s="17" t="str">
        <f aca="false">IF((E32="g"),H32," ")</f>
        <v> </v>
      </c>
      <c r="AB32" s="17" t="str">
        <f aca="false">IF((E32="h"),H32," ")</f>
        <v> </v>
      </c>
      <c r="AC32" s="30" t="str">
        <f aca="false">IF((E32="v"),H32," ")</f>
        <v> </v>
      </c>
      <c r="AD32" s="30" t="str">
        <f aca="false">IF((E32="n"),H32," ")</f>
        <v> </v>
      </c>
      <c r="AE32" s="17" t="str">
        <f aca="false">IF((E32="f"),H32," ")</f>
        <v> </v>
      </c>
      <c r="AF32" s="17" t="str">
        <f aca="false">IF((E32="l"),H32," ")</f>
        <v> </v>
      </c>
      <c r="AG32" s="17" t="str">
        <f aca="false">IF((E32="y"),H32," ")</f>
        <v> </v>
      </c>
      <c r="AH32" s="17" t="str">
        <f aca="false">IF((E32="z"),H32," ")</f>
        <v> </v>
      </c>
      <c r="AI32" s="17" t="str">
        <f aca="false">IF((E32="fa"),H32," ")</f>
        <v> </v>
      </c>
      <c r="AJ32" s="17" t="str">
        <f aca="false">IF((E32="e"),H32," ")</f>
        <v> </v>
      </c>
      <c r="BZ32" s="2" t="s">
        <v>101</v>
      </c>
    </row>
    <row r="33" customFormat="false" ht="12" hidden="false" customHeight="false" outlineLevel="0" collapsed="false">
      <c r="A33" s="28" t="n">
        <v>46563</v>
      </c>
      <c r="B33" s="2" t="s">
        <v>147</v>
      </c>
      <c r="D33" s="2" t="s">
        <v>196</v>
      </c>
      <c r="E33" s="2" t="s">
        <v>106</v>
      </c>
      <c r="F33" s="30" t="n">
        <v>81</v>
      </c>
      <c r="G33" s="6" t="n">
        <f aca="false">IF(F33&lt;&gt;0,F33*G$2/(100+G$2)," ")</f>
        <v>13.5</v>
      </c>
      <c r="H33" s="6" t="n">
        <f aca="false">IF((F33&lt;&gt;0),F33-G33," ")</f>
        <v>67.5</v>
      </c>
      <c r="I33" s="5"/>
      <c r="L33" s="7" t="n">
        <f aca="false">IF(F33&lt;&gt;0,F33-K33," ")</f>
        <v>81</v>
      </c>
      <c r="M33" s="8" t="n">
        <f aca="false">IF((F33-K33)&lt;&gt;0,M$1-A33," ")</f>
        <v>-285</v>
      </c>
      <c r="N33" s="5"/>
      <c r="O33" s="17" t="str">
        <f aca="false">IF((E33="s"),H33," ")</f>
        <v> </v>
      </c>
      <c r="P33" s="17" t="str">
        <f aca="false">IF((E33="c"),H33," ")</f>
        <v> </v>
      </c>
      <c r="Q33" s="17" t="str">
        <f aca="false">IF((E33="o"),H33," ")</f>
        <v> </v>
      </c>
      <c r="R33" s="17" t="str">
        <f aca="false">IF((E33="d"),H33," ")</f>
        <v> </v>
      </c>
      <c r="S33" s="17" t="str">
        <f aca="false">IF((E33="w"),H33," ")</f>
        <v> </v>
      </c>
      <c r="T33" s="17" t="str">
        <f aca="false">IF((E33="r"),H33," ")</f>
        <v> </v>
      </c>
      <c r="U33" s="17" t="str">
        <f aca="false">IF((E33="p"),H33," ")</f>
        <v> </v>
      </c>
      <c r="V33" s="17" t="str">
        <f aca="false">IF((E33="t"),H33," ")</f>
        <v> </v>
      </c>
      <c r="W33" s="17" t="str">
        <f aca="false">IF((E33="q"),H33," ")</f>
        <v> </v>
      </c>
      <c r="X33" s="17" t="str">
        <f aca="false">IF((E33="m"),H33," ")</f>
        <v> </v>
      </c>
      <c r="Y33" s="17" t="str">
        <f aca="false">IF((E33="u"),H33," ")</f>
        <v> </v>
      </c>
      <c r="Z33" s="17" t="str">
        <f aca="false">IF((E33="a"),H33," ")</f>
        <v> </v>
      </c>
      <c r="AA33" s="17" t="str">
        <f aca="false">IF((E33="g"),H33," ")</f>
        <v> </v>
      </c>
      <c r="AB33" s="17" t="str">
        <f aca="false">IF((E33="h"),H33," ")</f>
        <v> </v>
      </c>
      <c r="AC33" s="30" t="n">
        <f aca="false">IF((E33="v"),H33," ")</f>
        <v>67.5</v>
      </c>
      <c r="AD33" s="30" t="str">
        <f aca="false">IF((E33="n"),H33," ")</f>
        <v> </v>
      </c>
      <c r="AE33" s="17" t="str">
        <f aca="false">IF((E33="f"),H33," ")</f>
        <v> </v>
      </c>
      <c r="AF33" s="17" t="str">
        <f aca="false">IF((E33="l"),H33," ")</f>
        <v> </v>
      </c>
      <c r="AG33" s="17" t="str">
        <f aca="false">IF((E33="y"),H33," ")</f>
        <v> </v>
      </c>
      <c r="AH33" s="17" t="str">
        <f aca="false">IF((E33="z"),H33," ")</f>
        <v> </v>
      </c>
      <c r="AI33" s="17" t="str">
        <f aca="false">IF((E33="fa"),H33," ")</f>
        <v> </v>
      </c>
      <c r="AJ33" s="17" t="str">
        <f aca="false">IF((E33="e"),H33," ")</f>
        <v> </v>
      </c>
      <c r="BZ33" s="2" t="s">
        <v>107</v>
      </c>
    </row>
    <row r="34" customFormat="false" ht="12" hidden="false" customHeight="false" outlineLevel="0" collapsed="false">
      <c r="A34" s="28" t="n">
        <v>46566</v>
      </c>
      <c r="B34" s="2" t="s">
        <v>20</v>
      </c>
      <c r="D34" s="2" t="s">
        <v>149</v>
      </c>
      <c r="E34" s="2" t="s">
        <v>106</v>
      </c>
      <c r="F34" s="30" t="n">
        <v>120</v>
      </c>
      <c r="G34" s="6" t="n">
        <f aca="false">IF(F34&lt;&gt;0,F34*G$2/(100+G$2)," ")</f>
        <v>20</v>
      </c>
      <c r="H34" s="6" t="n">
        <f aca="false">IF((F34&lt;&gt;0),F34-G34," ")</f>
        <v>100</v>
      </c>
      <c r="I34" s="5"/>
      <c r="L34" s="7" t="n">
        <f aca="false">IF(F34&lt;&gt;0,F34-K34," ")</f>
        <v>120</v>
      </c>
      <c r="M34" s="8" t="n">
        <f aca="false">IF((F34-K34)&lt;&gt;0,M$1-A34," ")</f>
        <v>-288</v>
      </c>
      <c r="N34" s="5"/>
      <c r="O34" s="17" t="str">
        <f aca="false">IF((E34="s"),H34," ")</f>
        <v> </v>
      </c>
      <c r="P34" s="17" t="str">
        <f aca="false">IF((E34="c"),H34," ")</f>
        <v> </v>
      </c>
      <c r="Q34" s="17" t="str">
        <f aca="false">IF((E34="o"),H34," ")</f>
        <v> </v>
      </c>
      <c r="R34" s="17" t="str">
        <f aca="false">IF((E34="d"),H34," ")</f>
        <v> </v>
      </c>
      <c r="S34" s="17" t="str">
        <f aca="false">IF((E34="w"),H34," ")</f>
        <v> </v>
      </c>
      <c r="T34" s="17" t="str">
        <f aca="false">IF((E34="r"),H34," ")</f>
        <v> </v>
      </c>
      <c r="U34" s="17" t="str">
        <f aca="false">IF((E34="p"),H34," ")</f>
        <v> </v>
      </c>
      <c r="V34" s="17" t="str">
        <f aca="false">IF((E34="t"),H34," ")</f>
        <v> </v>
      </c>
      <c r="W34" s="17" t="str">
        <f aca="false">IF((E34="q"),H34," ")</f>
        <v> </v>
      </c>
      <c r="X34" s="17" t="str">
        <f aca="false">IF((E34="m"),H34," ")</f>
        <v> </v>
      </c>
      <c r="Y34" s="17" t="str">
        <f aca="false">IF((E34="u"),H34," ")</f>
        <v> </v>
      </c>
      <c r="Z34" s="17" t="str">
        <f aca="false">IF((E34="a"),H34," ")</f>
        <v> </v>
      </c>
      <c r="AA34" s="17" t="str">
        <f aca="false">IF((E34="g"),H34," ")</f>
        <v> </v>
      </c>
      <c r="AB34" s="17" t="str">
        <f aca="false">IF((E34="h"),H34," ")</f>
        <v> </v>
      </c>
      <c r="AC34" s="30" t="n">
        <f aca="false">IF((E34="v"),H34," ")</f>
        <v>100</v>
      </c>
      <c r="AD34" s="30" t="str">
        <f aca="false">IF((E34="n"),H34," ")</f>
        <v> </v>
      </c>
      <c r="AE34" s="17" t="str">
        <f aca="false">IF((E34="f"),H34," ")</f>
        <v> </v>
      </c>
      <c r="AF34" s="17" t="str">
        <f aca="false">IF((E34="l"),H34," ")</f>
        <v> </v>
      </c>
      <c r="AG34" s="17" t="str">
        <f aca="false">IF((E34="y"),H34," ")</f>
        <v> </v>
      </c>
      <c r="AH34" s="17" t="str">
        <f aca="false">IF((E34="z"),H34," ")</f>
        <v> </v>
      </c>
      <c r="AI34" s="17" t="str">
        <f aca="false">IF((E34="fa"),H34," ")</f>
        <v> </v>
      </c>
      <c r="AJ34" s="17" t="str">
        <f aca="false">IF((E34="e"),H34," ")</f>
        <v> </v>
      </c>
      <c r="BZ34" s="2" t="s">
        <v>107</v>
      </c>
    </row>
    <row r="35" customFormat="false" ht="12" hidden="false" customHeight="false" outlineLevel="0" collapsed="false">
      <c r="A35" s="28" t="n">
        <v>46568</v>
      </c>
      <c r="B35" s="2" t="s">
        <v>16</v>
      </c>
      <c r="D35" s="2" t="s">
        <v>150</v>
      </c>
      <c r="E35" s="2" t="s">
        <v>151</v>
      </c>
      <c r="F35" s="30" t="n">
        <v>300</v>
      </c>
      <c r="G35" s="6" t="n">
        <f aca="false">IF(F35&lt;&gt;0,F35*G$2/(100+G$2)," ")</f>
        <v>50</v>
      </c>
      <c r="H35" s="6" t="n">
        <f aca="false">IF((F35&lt;&gt;0),F35-G35," ")</f>
        <v>250</v>
      </c>
      <c r="I35" s="5"/>
      <c r="L35" s="7" t="n">
        <f aca="false">IF(F35&lt;&gt;0,F35-K35," ")</f>
        <v>300</v>
      </c>
      <c r="M35" s="8" t="n">
        <f aca="false">IF((F35-K35)&lt;&gt;0,M$1-A35," ")</f>
        <v>-290</v>
      </c>
      <c r="N35" s="5"/>
      <c r="O35" s="17" t="str">
        <f aca="false">IF((E35="s"),H35," ")</f>
        <v> </v>
      </c>
      <c r="P35" s="17" t="str">
        <f aca="false">IF((E35="c"),H35," ")</f>
        <v> </v>
      </c>
      <c r="Q35" s="17" t="str">
        <f aca="false">IF((E35="o"),H35," ")</f>
        <v> </v>
      </c>
      <c r="R35" s="17" t="str">
        <f aca="false">IF((E35="d"),H35," ")</f>
        <v> </v>
      </c>
      <c r="S35" s="17" t="str">
        <f aca="false">IF((E35="w"),H35," ")</f>
        <v> </v>
      </c>
      <c r="T35" s="17" t="str">
        <f aca="false">IF((E35="r"),H35," ")</f>
        <v> </v>
      </c>
      <c r="U35" s="17" t="str">
        <f aca="false">IF((E35="p"),H35," ")</f>
        <v> </v>
      </c>
      <c r="V35" s="17" t="str">
        <f aca="false">IF((E35="t"),H35," ")</f>
        <v> </v>
      </c>
      <c r="W35" s="17" t="str">
        <f aca="false">IF((E35="q"),H35," ")</f>
        <v> </v>
      </c>
      <c r="X35" s="17" t="str">
        <f aca="false">IF((E35="m"),H35," ")</f>
        <v> </v>
      </c>
      <c r="Y35" s="17" t="str">
        <f aca="false">IF((E35="u"),H35," ")</f>
        <v> </v>
      </c>
      <c r="Z35" s="17" t="str">
        <f aca="false">IF((E35="a"),H35," ")</f>
        <v> </v>
      </c>
      <c r="AA35" s="17" t="str">
        <f aca="false">IF((E35="g"),H35," ")</f>
        <v> </v>
      </c>
      <c r="AB35" s="17" t="str">
        <f aca="false">IF((E35="h"),H35," ")</f>
        <v> </v>
      </c>
      <c r="AC35" s="30" t="str">
        <f aca="false">IF((E35="v"),H35," ")</f>
        <v> </v>
      </c>
      <c r="AD35" s="30" t="str">
        <f aca="false">IF((E35="n"),H35," ")</f>
        <v> </v>
      </c>
      <c r="AE35" s="17" t="str">
        <f aca="false">IF((E35="f"),H35," ")</f>
        <v> </v>
      </c>
      <c r="AF35" s="17" t="n">
        <f aca="false">IF((E35="l"),H35," ")</f>
        <v>250</v>
      </c>
      <c r="AG35" s="17" t="str">
        <f aca="false">IF((E35="y"),H35," ")</f>
        <v> </v>
      </c>
      <c r="AH35" s="17" t="str">
        <f aca="false">IF((E35="z"),H35," ")</f>
        <v> </v>
      </c>
      <c r="AI35" s="17" t="str">
        <f aca="false">IF((E35="fa"),H35," ")</f>
        <v> </v>
      </c>
      <c r="AJ35" s="17" t="str">
        <f aca="false">IF((E35="e"),H35," ")</f>
        <v> </v>
      </c>
      <c r="BZ35" s="2" t="s">
        <v>152</v>
      </c>
    </row>
    <row r="36" customFormat="false" ht="12" hidden="false" customHeight="false" outlineLevel="0" collapsed="false">
      <c r="A36" s="28"/>
      <c r="E36" s="2"/>
      <c r="F36" s="30"/>
      <c r="G36" s="6" t="str">
        <f aca="false">IF(F36&lt;&gt;0,F36*G$2/(100+G$2)," ")</f>
        <v> </v>
      </c>
      <c r="H36" s="6" t="str">
        <f aca="false">IF((F36&lt;&gt;0),F36-G36," ")</f>
        <v> </v>
      </c>
      <c r="I36" s="5"/>
      <c r="L36" s="7" t="str">
        <f aca="false">IF(F36&lt;&gt;0,F36-K36," ")</f>
        <v> </v>
      </c>
      <c r="M36" s="8" t="str">
        <f aca="false">IF((F36-K36)&lt;&gt;0,M$1-A36," ")</f>
        <v> </v>
      </c>
      <c r="N36" s="5"/>
      <c r="O36" s="17" t="str">
        <f aca="false">IF((E36="s"),H36," ")</f>
        <v> </v>
      </c>
      <c r="P36" s="17" t="str">
        <f aca="false">IF((E36="c"),H36," ")</f>
        <v> </v>
      </c>
      <c r="Q36" s="17" t="str">
        <f aca="false">IF((E36="o"),H36," ")</f>
        <v> </v>
      </c>
      <c r="R36" s="17" t="str">
        <f aca="false">IF((E36="d"),H36," ")</f>
        <v> </v>
      </c>
      <c r="S36" s="17" t="str">
        <f aca="false">IF((E36="w"),H36," ")</f>
        <v> </v>
      </c>
      <c r="T36" s="17" t="str">
        <f aca="false">IF((E36="r"),H36," ")</f>
        <v> </v>
      </c>
      <c r="U36" s="17" t="str">
        <f aca="false">IF((E36="p"),H36," ")</f>
        <v> </v>
      </c>
      <c r="V36" s="17" t="str">
        <f aca="false">IF((E36="t"),H36," ")</f>
        <v> </v>
      </c>
      <c r="W36" s="17" t="str">
        <f aca="false">IF((E36="q"),H36," ")</f>
        <v> </v>
      </c>
      <c r="X36" s="17" t="str">
        <f aca="false">IF((E36="m"),H36," ")</f>
        <v> </v>
      </c>
      <c r="Y36" s="17" t="str">
        <f aca="false">IF((E36="u"),H36," ")</f>
        <v> </v>
      </c>
      <c r="Z36" s="17" t="str">
        <f aca="false">IF((E36="a"),H36," ")</f>
        <v> </v>
      </c>
      <c r="AA36" s="17" t="str">
        <f aca="false">IF((E36="g"),H36," ")</f>
        <v> </v>
      </c>
      <c r="AB36" s="17" t="str">
        <f aca="false">IF((E36="h"),H36," ")</f>
        <v> </v>
      </c>
      <c r="AC36" s="30" t="str">
        <f aca="false">IF((E36="v"),H36," ")</f>
        <v> </v>
      </c>
      <c r="AD36" s="30" t="str">
        <f aca="false">IF((E36="n"),H36," ")</f>
        <v> </v>
      </c>
      <c r="AE36" s="17" t="str">
        <f aca="false">IF((E36="f"),H36," ")</f>
        <v> </v>
      </c>
      <c r="AF36" s="17" t="str">
        <f aca="false">IF((E36="l"),H36," ")</f>
        <v> </v>
      </c>
      <c r="AG36" s="17" t="str">
        <f aca="false">IF((E36="y"),H36," ")</f>
        <v> </v>
      </c>
      <c r="AH36" s="17" t="str">
        <f aca="false">IF((E36="z"),H36," ")</f>
        <v> </v>
      </c>
      <c r="AI36" s="17" t="str">
        <f aca="false">IF((E36="fa"),H36," ")</f>
        <v> </v>
      </c>
      <c r="AJ36" s="17" t="str">
        <f aca="false">IF((E36="e"),H36," ")</f>
        <v> </v>
      </c>
    </row>
    <row r="37" customFormat="false" ht="12" hidden="false" customHeight="false" outlineLevel="0" collapsed="false">
      <c r="A37" s="28"/>
      <c r="E37" s="2"/>
      <c r="F37" s="30"/>
      <c r="G37" s="6" t="str">
        <f aca="false">IF(F37&lt;&gt;0,F37*G$2/(100+G$2)," ")</f>
        <v> </v>
      </c>
      <c r="H37" s="6" t="str">
        <f aca="false">IF((F37&lt;&gt;0),F37-G37," ")</f>
        <v> </v>
      </c>
      <c r="I37" s="5"/>
      <c r="L37" s="7" t="str">
        <f aca="false">IF(F37&lt;&gt;0,F37-K37," ")</f>
        <v> </v>
      </c>
      <c r="M37" s="8" t="str">
        <f aca="false">IF((F37-K37)&lt;&gt;0,M$1-A37," ")</f>
        <v> </v>
      </c>
      <c r="N37" s="5"/>
      <c r="O37" s="17" t="str">
        <f aca="false">IF((E37="s"),H37," ")</f>
        <v> </v>
      </c>
      <c r="P37" s="17" t="str">
        <f aca="false">IF((E37="c"),H37," ")</f>
        <v> </v>
      </c>
      <c r="Q37" s="17" t="str">
        <f aca="false">IF((E37="o"),H37," ")</f>
        <v> </v>
      </c>
      <c r="R37" s="17" t="str">
        <f aca="false">IF((E37="d"),H37," ")</f>
        <v> </v>
      </c>
      <c r="S37" s="17" t="str">
        <f aca="false">IF((E37="w"),H37," ")</f>
        <v> </v>
      </c>
      <c r="T37" s="17" t="str">
        <f aca="false">IF((E37="r"),H37," ")</f>
        <v> </v>
      </c>
      <c r="U37" s="17" t="str">
        <f aca="false">IF((E37="p"),H37," ")</f>
        <v> </v>
      </c>
      <c r="V37" s="17" t="str">
        <f aca="false">IF((E37="t"),H37," ")</f>
        <v> </v>
      </c>
      <c r="W37" s="17" t="str">
        <f aca="false">IF((E37="q"),H37," ")</f>
        <v> </v>
      </c>
      <c r="X37" s="17" t="str">
        <f aca="false">IF((E37="m"),H37," ")</f>
        <v> </v>
      </c>
      <c r="Y37" s="17" t="str">
        <f aca="false">IF((E37="u"),H37," ")</f>
        <v> </v>
      </c>
      <c r="Z37" s="17" t="str">
        <f aca="false">IF((E37="a"),H37," ")</f>
        <v> </v>
      </c>
      <c r="AA37" s="17" t="str">
        <f aca="false">IF((E37="g"),H37," ")</f>
        <v> </v>
      </c>
      <c r="AB37" s="17" t="str">
        <f aca="false">IF((E37="h"),H37," ")</f>
        <v> </v>
      </c>
      <c r="AC37" s="30" t="str">
        <f aca="false">IF((E37="v"),H37," ")</f>
        <v> </v>
      </c>
      <c r="AD37" s="30" t="str">
        <f aca="false">IF((E37="n"),H37," ")</f>
        <v> </v>
      </c>
      <c r="AE37" s="17" t="str">
        <f aca="false">IF((E37="f"),H37," ")</f>
        <v> </v>
      </c>
      <c r="AF37" s="17" t="str">
        <f aca="false">IF((E37="l"),H37," ")</f>
        <v> </v>
      </c>
      <c r="AG37" s="17" t="str">
        <f aca="false">IF((E37="y"),H37," ")</f>
        <v> </v>
      </c>
      <c r="AH37" s="17" t="str">
        <f aca="false">IF((E37="z"),H37," ")</f>
        <v> </v>
      </c>
      <c r="AI37" s="17" t="str">
        <f aca="false">IF((E37="fa"),H37," ")</f>
        <v> </v>
      </c>
      <c r="AJ37" s="17" t="str">
        <f aca="false">IF((E37="e"),H37," ")</f>
        <v> </v>
      </c>
    </row>
    <row r="38" customFormat="false" ht="12" hidden="false" customHeight="false" outlineLevel="0" collapsed="false">
      <c r="A38" s="28"/>
      <c r="E38" s="2"/>
      <c r="F38" s="30"/>
      <c r="G38" s="6" t="str">
        <f aca="false">IF(F38&lt;&gt;0,F38*G$2/(100+G$2)," ")</f>
        <v> </v>
      </c>
      <c r="H38" s="6" t="str">
        <f aca="false">IF((F38&lt;&gt;0),F38-G38," ")</f>
        <v> </v>
      </c>
      <c r="I38" s="5"/>
      <c r="L38" s="7" t="str">
        <f aca="false">IF(F38&lt;&gt;0,F38-K38," ")</f>
        <v> </v>
      </c>
      <c r="M38" s="8" t="str">
        <f aca="false">IF((F38-K38)&lt;&gt;0,M$1-A38," ")</f>
        <v> </v>
      </c>
      <c r="N38" s="5"/>
      <c r="O38" s="17" t="str">
        <f aca="false">IF((E38="s"),H38," ")</f>
        <v> </v>
      </c>
      <c r="P38" s="17" t="str">
        <f aca="false">IF((E38="c"),H38," ")</f>
        <v> </v>
      </c>
      <c r="Q38" s="17" t="str">
        <f aca="false">IF((E38="o"),H38," ")</f>
        <v> </v>
      </c>
      <c r="R38" s="17" t="str">
        <f aca="false">IF((E38="d"),H38," ")</f>
        <v> </v>
      </c>
      <c r="S38" s="17" t="str">
        <f aca="false">IF((E38="w"),H38," ")</f>
        <v> </v>
      </c>
      <c r="T38" s="17" t="str">
        <f aca="false">IF((E38="r"),H38," ")</f>
        <v> </v>
      </c>
      <c r="U38" s="17" t="str">
        <f aca="false">IF((E38="p"),H38," ")</f>
        <v> </v>
      </c>
      <c r="V38" s="17" t="str">
        <f aca="false">IF((E38="t"),H38," ")</f>
        <v> </v>
      </c>
      <c r="W38" s="17" t="str">
        <f aca="false">IF((E38="q"),H38," ")</f>
        <v> </v>
      </c>
      <c r="X38" s="17" t="str">
        <f aca="false">IF((E38="m"),H38," ")</f>
        <v> </v>
      </c>
      <c r="Y38" s="17" t="str">
        <f aca="false">IF((E38="u"),H38," ")</f>
        <v> </v>
      </c>
      <c r="Z38" s="17" t="str">
        <f aca="false">IF((E38="a"),H38," ")</f>
        <v> </v>
      </c>
      <c r="AA38" s="17" t="str">
        <f aca="false">IF((E38="g"),H38," ")</f>
        <v> </v>
      </c>
      <c r="AB38" s="17" t="str">
        <f aca="false">IF((E38="h"),H38," ")</f>
        <v> </v>
      </c>
      <c r="AC38" s="30" t="str">
        <f aca="false">IF((E38="v"),H38," ")</f>
        <v> </v>
      </c>
      <c r="AD38" s="30" t="str">
        <f aca="false">IF((E38="n"),H38," ")</f>
        <v> </v>
      </c>
      <c r="AE38" s="17" t="str">
        <f aca="false">IF((E38="f"),H38," ")</f>
        <v> </v>
      </c>
      <c r="AF38" s="17" t="str">
        <f aca="false">IF((E38="l"),H38," ")</f>
        <v> </v>
      </c>
      <c r="AG38" s="17" t="str">
        <f aca="false">IF((E38="y"),H38," ")</f>
        <v> </v>
      </c>
      <c r="AH38" s="17" t="str">
        <f aca="false">IF((E38="z"),H38," ")</f>
        <v> </v>
      </c>
      <c r="AI38" s="17" t="str">
        <f aca="false">IF((E38="fa"),H38," ")</f>
        <v> </v>
      </c>
      <c r="AJ38" s="17" t="str">
        <f aca="false">IF((E38="e"),H38," ")</f>
        <v> </v>
      </c>
    </row>
    <row r="39" customFormat="false" ht="12" hidden="false" customHeight="false" outlineLevel="0" collapsed="false">
      <c r="A39" s="28"/>
      <c r="E39" s="2"/>
      <c r="F39" s="30"/>
      <c r="G39" s="6" t="str">
        <f aca="false">IF(F39&lt;&gt;0,F39*G$2/(100+G$2)," ")</f>
        <v> </v>
      </c>
      <c r="H39" s="6" t="str">
        <f aca="false">IF((F39&lt;&gt;0),F39-G39," ")</f>
        <v> </v>
      </c>
      <c r="I39" s="5"/>
      <c r="L39" s="7" t="str">
        <f aca="false">IF(F39&lt;&gt;0,F39-K39," ")</f>
        <v> </v>
      </c>
      <c r="M39" s="8" t="str">
        <f aca="false">IF((F39-K39)&lt;&gt;0,M$1-A39," ")</f>
        <v> </v>
      </c>
      <c r="N39" s="5"/>
      <c r="O39" s="17" t="str">
        <f aca="false">IF((E39="s"),H39," ")</f>
        <v> </v>
      </c>
      <c r="P39" s="17" t="str">
        <f aca="false">IF((E39="c"),H39," ")</f>
        <v> </v>
      </c>
      <c r="Q39" s="17" t="str">
        <f aca="false">IF((E39="o"),H39," ")</f>
        <v> </v>
      </c>
      <c r="R39" s="17" t="str">
        <f aca="false">IF((E39="d"),H39," ")</f>
        <v> </v>
      </c>
      <c r="S39" s="17" t="str">
        <f aca="false">IF((E39="w"),H39," ")</f>
        <v> </v>
      </c>
      <c r="T39" s="17" t="str">
        <f aca="false">IF((E39="r"),H39," ")</f>
        <v> </v>
      </c>
      <c r="U39" s="17" t="str">
        <f aca="false">IF((E39="p"),H39," ")</f>
        <v> </v>
      </c>
      <c r="V39" s="17" t="str">
        <f aca="false">IF((E39="t"),H39," ")</f>
        <v> </v>
      </c>
      <c r="W39" s="17" t="str">
        <f aca="false">IF((E39="q"),H39," ")</f>
        <v> </v>
      </c>
      <c r="X39" s="17" t="str">
        <f aca="false">IF((E39="m"),H39," ")</f>
        <v> </v>
      </c>
      <c r="Y39" s="17" t="str">
        <f aca="false">IF((E39="u"),H39," ")</f>
        <v> </v>
      </c>
      <c r="Z39" s="17" t="str">
        <f aca="false">IF((E39="a"),H39," ")</f>
        <v> </v>
      </c>
      <c r="AA39" s="17" t="str">
        <f aca="false">IF((E39="g"),H39," ")</f>
        <v> </v>
      </c>
      <c r="AB39" s="17" t="str">
        <f aca="false">IF((E39="h"),H39," ")</f>
        <v> </v>
      </c>
      <c r="AC39" s="30" t="str">
        <f aca="false">IF((E39="v"),H39," ")</f>
        <v> </v>
      </c>
      <c r="AD39" s="30" t="str">
        <f aca="false">IF((E39="n"),H39," ")</f>
        <v> </v>
      </c>
      <c r="AE39" s="17" t="str">
        <f aca="false">IF((E39="f"),H39," ")</f>
        <v> </v>
      </c>
      <c r="AF39" s="17" t="str">
        <f aca="false">IF((E39="l"),H39," ")</f>
        <v> </v>
      </c>
      <c r="AG39" s="17" t="str">
        <f aca="false">IF((E39="y"),H39," ")</f>
        <v> </v>
      </c>
      <c r="AH39" s="17" t="str">
        <f aca="false">IF((E39="z"),H39," ")</f>
        <v> </v>
      </c>
      <c r="AI39" s="17" t="str">
        <f aca="false">IF((E39="fa"),H39," ")</f>
        <v> </v>
      </c>
      <c r="AJ39" s="17" t="str">
        <f aca="false">IF((E39="e"),H39," ")</f>
        <v> </v>
      </c>
    </row>
    <row r="40" customFormat="false" ht="12" hidden="false" customHeight="false" outlineLevel="0" collapsed="false">
      <c r="A40" s="28"/>
      <c r="E40" s="2"/>
      <c r="F40" s="30"/>
      <c r="G40" s="6" t="str">
        <f aca="false">IF(F40&lt;&gt;0,F40*G$2/(100+G$2)," ")</f>
        <v> </v>
      </c>
      <c r="H40" s="6" t="str">
        <f aca="false">IF((F40&lt;&gt;0),F40-G40," ")</f>
        <v> </v>
      </c>
      <c r="I40" s="5"/>
      <c r="L40" s="7" t="str">
        <f aca="false">IF(F40&lt;&gt;0,F40-K40," ")</f>
        <v> </v>
      </c>
      <c r="M40" s="8" t="str">
        <f aca="false">IF((F40-K40)&lt;&gt;0,M$1-A40," ")</f>
        <v> </v>
      </c>
      <c r="N40" s="5"/>
      <c r="O40" s="17" t="str">
        <f aca="false">IF((E40="s"),H40," ")</f>
        <v> </v>
      </c>
      <c r="P40" s="17" t="str">
        <f aca="false">IF((E40="c"),H40," ")</f>
        <v> </v>
      </c>
      <c r="Q40" s="17" t="str">
        <f aca="false">IF((E40="o"),H40," ")</f>
        <v> </v>
      </c>
      <c r="R40" s="17" t="str">
        <f aca="false">IF((E40="d"),H40," ")</f>
        <v> </v>
      </c>
      <c r="S40" s="17" t="str">
        <f aca="false">IF((E40="w"),H40," ")</f>
        <v> </v>
      </c>
      <c r="T40" s="17" t="str">
        <f aca="false">IF((E40="r"),H40," ")</f>
        <v> </v>
      </c>
      <c r="U40" s="17" t="str">
        <f aca="false">IF((E40="p"),H40," ")</f>
        <v> </v>
      </c>
      <c r="V40" s="17" t="str">
        <f aca="false">IF((E40="t"),H40," ")</f>
        <v> </v>
      </c>
      <c r="W40" s="17" t="str">
        <f aca="false">IF((E40="q"),H40," ")</f>
        <v> </v>
      </c>
      <c r="X40" s="17" t="str">
        <f aca="false">IF((E40="m"),H40," ")</f>
        <v> </v>
      </c>
      <c r="Y40" s="17" t="str">
        <f aca="false">IF((E40="u"),H40," ")</f>
        <v> </v>
      </c>
      <c r="Z40" s="17" t="str">
        <f aca="false">IF((E40="a"),H40," ")</f>
        <v> </v>
      </c>
      <c r="AA40" s="17" t="str">
        <f aca="false">IF((E40="g"),H40," ")</f>
        <v> </v>
      </c>
      <c r="AB40" s="17" t="str">
        <f aca="false">IF((E40="h"),H40," ")</f>
        <v> </v>
      </c>
      <c r="AC40" s="30" t="str">
        <f aca="false">IF((E40="v"),H40," ")</f>
        <v> </v>
      </c>
      <c r="AD40" s="30" t="str">
        <f aca="false">IF((E40="n"),H40," ")</f>
        <v> </v>
      </c>
      <c r="AE40" s="17" t="str">
        <f aca="false">IF((E40="f"),H40," ")</f>
        <v> </v>
      </c>
      <c r="AF40" s="17" t="str">
        <f aca="false">IF((E40="l"),H40," ")</f>
        <v> </v>
      </c>
      <c r="AG40" s="17" t="str">
        <f aca="false">IF((E40="y"),H40," ")</f>
        <v> </v>
      </c>
      <c r="AH40" s="17" t="str">
        <f aca="false">IF((E40="z"),H40," ")</f>
        <v> </v>
      </c>
      <c r="AI40" s="17" t="str">
        <f aca="false">IF((E40="fa"),H40," ")</f>
        <v> </v>
      </c>
      <c r="AJ40" s="17" t="str">
        <f aca="false">IF((E40="e"),H40," ")</f>
        <v> </v>
      </c>
    </row>
    <row r="41" customFormat="false" ht="12" hidden="false" customHeight="false" outlineLevel="0" collapsed="false">
      <c r="A41" s="28"/>
      <c r="E41" s="2"/>
      <c r="F41" s="30"/>
      <c r="G41" s="6" t="str">
        <f aca="false">IF(F41&lt;&gt;0,F41*G$2/(100+G$2)," ")</f>
        <v> </v>
      </c>
      <c r="H41" s="6" t="str">
        <f aca="false">IF((F41&lt;&gt;0),F41-G41," ")</f>
        <v> </v>
      </c>
      <c r="I41" s="5"/>
      <c r="L41" s="7" t="str">
        <f aca="false">IF(F41&lt;&gt;0,F41-K41," ")</f>
        <v> </v>
      </c>
      <c r="M41" s="8" t="str">
        <f aca="false">IF((F41-K41)&lt;&gt;0,M$1-A41," ")</f>
        <v> </v>
      </c>
      <c r="N41" s="5"/>
      <c r="O41" s="17" t="str">
        <f aca="false">IF((E41="s"),H41," ")</f>
        <v> </v>
      </c>
      <c r="P41" s="17" t="str">
        <f aca="false">IF((E41="c"),H41," ")</f>
        <v> </v>
      </c>
      <c r="Q41" s="17" t="str">
        <f aca="false">IF((E41="o"),H41," ")</f>
        <v> </v>
      </c>
      <c r="R41" s="17" t="str">
        <f aca="false">IF((E41="d"),H41," ")</f>
        <v> </v>
      </c>
      <c r="S41" s="17" t="str">
        <f aca="false">IF((E41="w"),H41," ")</f>
        <v> </v>
      </c>
      <c r="T41" s="17" t="str">
        <f aca="false">IF((E41="r"),H41," ")</f>
        <v> </v>
      </c>
      <c r="U41" s="17" t="str">
        <f aca="false">IF((E41="p"),H41," ")</f>
        <v> </v>
      </c>
      <c r="V41" s="17" t="str">
        <f aca="false">IF((E41="t"),H41," ")</f>
        <v> </v>
      </c>
      <c r="W41" s="17" t="str">
        <f aca="false">IF((E41="q"),H41," ")</f>
        <v> </v>
      </c>
      <c r="X41" s="17" t="str">
        <f aca="false">IF((E41="m"),H41," ")</f>
        <v> </v>
      </c>
      <c r="Y41" s="17" t="str">
        <f aca="false">IF((E41="u"),H41," ")</f>
        <v> </v>
      </c>
      <c r="Z41" s="17" t="str">
        <f aca="false">IF((E41="a"),H41," ")</f>
        <v> </v>
      </c>
      <c r="AA41" s="17" t="str">
        <f aca="false">IF((E41="g"),H41," ")</f>
        <v> </v>
      </c>
      <c r="AB41" s="17" t="str">
        <f aca="false">IF((E41="h"),H41," ")</f>
        <v> </v>
      </c>
      <c r="AC41" s="30" t="str">
        <f aca="false">IF((E41="v"),H41," ")</f>
        <v> </v>
      </c>
      <c r="AD41" s="30" t="str">
        <f aca="false">IF((E41="n"),H41," ")</f>
        <v> </v>
      </c>
      <c r="AE41" s="17" t="str">
        <f aca="false">IF((E41="f"),H41," ")</f>
        <v> </v>
      </c>
      <c r="AF41" s="17" t="str">
        <f aca="false">IF((E41="l"),H41," ")</f>
        <v> </v>
      </c>
      <c r="AG41" s="17" t="str">
        <f aca="false">IF((E41="y"),H41," ")</f>
        <v> </v>
      </c>
      <c r="AH41" s="17" t="str">
        <f aca="false">IF((E41="z"),H41," ")</f>
        <v> </v>
      </c>
      <c r="AI41" s="17" t="str">
        <f aca="false">IF((E41="fa"),H41," ")</f>
        <v> </v>
      </c>
      <c r="AJ41" s="17" t="str">
        <f aca="false">IF((E41="e"),H41," ")</f>
        <v> </v>
      </c>
    </row>
    <row r="42" customFormat="false" ht="12" hidden="false" customHeight="false" outlineLevel="0" collapsed="false">
      <c r="A42" s="28"/>
      <c r="E42" s="2"/>
      <c r="F42" s="30"/>
      <c r="G42" s="6" t="str">
        <f aca="false">IF(F42&lt;&gt;0,F42*G$2/(100+G$2)," ")</f>
        <v> </v>
      </c>
      <c r="H42" s="6" t="str">
        <f aca="false">IF((F42&lt;&gt;0),F42-G42," ")</f>
        <v> </v>
      </c>
      <c r="I42" s="5"/>
      <c r="L42" s="7" t="str">
        <f aca="false">IF(F42&lt;&gt;0,F42-K42," ")</f>
        <v> </v>
      </c>
      <c r="M42" s="8" t="str">
        <f aca="false">IF((F42-K42)&lt;&gt;0,M$1-A42," ")</f>
        <v> </v>
      </c>
      <c r="N42" s="5"/>
      <c r="O42" s="17" t="str">
        <f aca="false">IF((E42="s"),H42," ")</f>
        <v> </v>
      </c>
      <c r="P42" s="17" t="str">
        <f aca="false">IF((E42="c"),H42," ")</f>
        <v> </v>
      </c>
      <c r="Q42" s="17" t="str">
        <f aca="false">IF((E42="o"),H42," ")</f>
        <v> </v>
      </c>
      <c r="R42" s="17" t="str">
        <f aca="false">IF((E42="d"),H42," ")</f>
        <v> </v>
      </c>
      <c r="S42" s="17" t="str">
        <f aca="false">IF((E42="w"),H42," ")</f>
        <v> </v>
      </c>
      <c r="T42" s="17" t="str">
        <f aca="false">IF((E42="r"),H42," ")</f>
        <v> </v>
      </c>
      <c r="U42" s="17" t="str">
        <f aca="false">IF((E42="p"),H42," ")</f>
        <v> </v>
      </c>
      <c r="V42" s="17" t="str">
        <f aca="false">IF((E42="t"),H42," ")</f>
        <v> </v>
      </c>
      <c r="W42" s="17" t="str">
        <f aca="false">IF((E42="q"),H42," ")</f>
        <v> </v>
      </c>
      <c r="X42" s="17" t="str">
        <f aca="false">IF((E42="m"),H42," ")</f>
        <v> </v>
      </c>
      <c r="Y42" s="17" t="str">
        <f aca="false">IF((E42="u"),H42," ")</f>
        <v> </v>
      </c>
      <c r="Z42" s="17" t="str">
        <f aca="false">IF((E42="a"),H42," ")</f>
        <v> </v>
      </c>
      <c r="AA42" s="17" t="str">
        <f aca="false">IF((E42="g"),H42," ")</f>
        <v> </v>
      </c>
      <c r="AB42" s="17" t="str">
        <f aca="false">IF((E42="h"),H42," ")</f>
        <v> </v>
      </c>
      <c r="AC42" s="30" t="str">
        <f aca="false">IF((E42="v"),H42," ")</f>
        <v> </v>
      </c>
      <c r="AD42" s="30" t="str">
        <f aca="false">IF((E42="n"),H42," ")</f>
        <v> </v>
      </c>
      <c r="AE42" s="17" t="str">
        <f aca="false">IF((E42="f"),H42," ")</f>
        <v> </v>
      </c>
      <c r="AF42" s="17" t="str">
        <f aca="false">IF((E42="l"),H42," ")</f>
        <v> </v>
      </c>
      <c r="AG42" s="17" t="str">
        <f aca="false">IF((E42="y"),H42," ")</f>
        <v> </v>
      </c>
      <c r="AH42" s="17" t="str">
        <f aca="false">IF((E42="z"),H42," ")</f>
        <v> </v>
      </c>
      <c r="AI42" s="17" t="str">
        <f aca="false">IF((E42="fa"),H42," ")</f>
        <v> </v>
      </c>
      <c r="AJ42" s="17" t="str">
        <f aca="false">IF((E42="e"),H42," ")</f>
        <v> </v>
      </c>
    </row>
    <row r="43" customFormat="false" ht="12" hidden="false" customHeight="false" outlineLevel="0" collapsed="false">
      <c r="A43" s="28"/>
      <c r="E43" s="2"/>
      <c r="F43" s="30"/>
      <c r="G43" s="6" t="str">
        <f aca="false">IF(F43&lt;&gt;0,F43*G$2/(100+G$2)," ")</f>
        <v> </v>
      </c>
      <c r="H43" s="6" t="str">
        <f aca="false">IF((F43&lt;&gt;0),F43-G43," ")</f>
        <v> </v>
      </c>
      <c r="I43" s="5"/>
      <c r="L43" s="7" t="str">
        <f aca="false">IF(F43&lt;&gt;0,F43-K43," ")</f>
        <v> </v>
      </c>
      <c r="M43" s="8" t="str">
        <f aca="false">IF((F43-K43)&lt;&gt;0,M$1-A43," ")</f>
        <v> </v>
      </c>
      <c r="N43" s="5"/>
      <c r="O43" s="17" t="str">
        <f aca="false">IF((E43="s"),H43," ")</f>
        <v> </v>
      </c>
      <c r="P43" s="17" t="str">
        <f aca="false">IF((E43="c"),H43," ")</f>
        <v> </v>
      </c>
      <c r="Q43" s="17" t="str">
        <f aca="false">IF((E43="o"),H43," ")</f>
        <v> </v>
      </c>
      <c r="R43" s="17" t="str">
        <f aca="false">IF((E43="d"),H43," ")</f>
        <v> </v>
      </c>
      <c r="S43" s="17" t="str">
        <f aca="false">IF((E43="w"),H43," ")</f>
        <v> </v>
      </c>
      <c r="T43" s="17" t="str">
        <f aca="false">IF((E43="r"),H43," ")</f>
        <v> </v>
      </c>
      <c r="U43" s="17" t="str">
        <f aca="false">IF((E43="p"),H43," ")</f>
        <v> </v>
      </c>
      <c r="V43" s="17" t="str">
        <f aca="false">IF((E43="t"),H43," ")</f>
        <v> </v>
      </c>
      <c r="W43" s="17" t="str">
        <f aca="false">IF((E43="q"),H43," ")</f>
        <v> </v>
      </c>
      <c r="X43" s="17" t="str">
        <f aca="false">IF((E43="m"),H43," ")</f>
        <v> </v>
      </c>
      <c r="Y43" s="17" t="str">
        <f aca="false">IF((E43="u"),H43," ")</f>
        <v> </v>
      </c>
      <c r="Z43" s="17" t="str">
        <f aca="false">IF((E43="a"),H43," ")</f>
        <v> </v>
      </c>
      <c r="AA43" s="17" t="str">
        <f aca="false">IF((E43="g"),H43," ")</f>
        <v> </v>
      </c>
      <c r="AB43" s="17" t="str">
        <f aca="false">IF((E43="h"),H43," ")</f>
        <v> </v>
      </c>
      <c r="AC43" s="30" t="str">
        <f aca="false">IF((E43="v"),H43," ")</f>
        <v> </v>
      </c>
      <c r="AD43" s="30" t="str">
        <f aca="false">IF((E43="n"),H43," ")</f>
        <v> </v>
      </c>
      <c r="AE43" s="17" t="str">
        <f aca="false">IF((E43="f"),H43," ")</f>
        <v> </v>
      </c>
      <c r="AF43" s="17" t="str">
        <f aca="false">IF((E43="l"),H43," ")</f>
        <v> </v>
      </c>
      <c r="AG43" s="17" t="str">
        <f aca="false">IF((E43="y"),H43," ")</f>
        <v> </v>
      </c>
      <c r="AH43" s="17" t="str">
        <f aca="false">IF((E43="z"),H43," ")</f>
        <v> </v>
      </c>
      <c r="AI43" s="17" t="str">
        <f aca="false">IF((E43="fa"),H43," ")</f>
        <v> </v>
      </c>
      <c r="AJ43" s="17" t="str">
        <f aca="false">IF((E43="e"),H43," ")</f>
        <v> </v>
      </c>
    </row>
    <row r="44" customFormat="false" ht="12" hidden="false" customHeight="false" outlineLevel="0" collapsed="false">
      <c r="A44" s="28"/>
      <c r="E44" s="2"/>
      <c r="F44" s="30"/>
      <c r="G44" s="6" t="str">
        <f aca="false">IF(F44&lt;&gt;0,F44*G$2/(100+G$2)," ")</f>
        <v> </v>
      </c>
      <c r="H44" s="6" t="str">
        <f aca="false">IF((F44&lt;&gt;0),F44-G44," ")</f>
        <v> </v>
      </c>
      <c r="I44" s="5"/>
      <c r="L44" s="7" t="str">
        <f aca="false">IF(F44&lt;&gt;0,F44-K44," ")</f>
        <v> </v>
      </c>
      <c r="M44" s="8" t="str">
        <f aca="false">IF((F44-K44)&lt;&gt;0,M$1-A44," ")</f>
        <v> </v>
      </c>
      <c r="N44" s="5"/>
      <c r="O44" s="17" t="str">
        <f aca="false">IF((E44="s"),H44," ")</f>
        <v> </v>
      </c>
      <c r="P44" s="17" t="str">
        <f aca="false">IF((E44="c"),H44," ")</f>
        <v> </v>
      </c>
      <c r="Q44" s="17" t="str">
        <f aca="false">IF((E44="o"),H44," ")</f>
        <v> </v>
      </c>
      <c r="R44" s="17" t="str">
        <f aca="false">IF((E44="d"),H44," ")</f>
        <v> </v>
      </c>
      <c r="S44" s="17" t="str">
        <f aca="false">IF((E44="w"),H44," ")</f>
        <v> </v>
      </c>
      <c r="T44" s="17" t="str">
        <f aca="false">IF((E44="r"),H44," ")</f>
        <v> </v>
      </c>
      <c r="U44" s="17" t="str">
        <f aca="false">IF((E44="p"),H44," ")</f>
        <v> </v>
      </c>
      <c r="V44" s="17" t="str">
        <f aca="false">IF((E44="t"),H44," ")</f>
        <v> </v>
      </c>
      <c r="W44" s="17" t="str">
        <f aca="false">IF((E44="q"),H44," ")</f>
        <v> </v>
      </c>
      <c r="X44" s="17" t="str">
        <f aca="false">IF((E44="m"),H44," ")</f>
        <v> </v>
      </c>
      <c r="Y44" s="17" t="str">
        <f aca="false">IF((E44="u"),H44," ")</f>
        <v> </v>
      </c>
      <c r="Z44" s="17" t="str">
        <f aca="false">IF((E44="a"),H44," ")</f>
        <v> </v>
      </c>
      <c r="AA44" s="17" t="str">
        <f aca="false">IF((E44="g"),H44," ")</f>
        <v> </v>
      </c>
      <c r="AB44" s="17" t="str">
        <f aca="false">IF((E44="h"),H44," ")</f>
        <v> </v>
      </c>
      <c r="AC44" s="30" t="str">
        <f aca="false">IF((E44="v"),H44," ")</f>
        <v> </v>
      </c>
      <c r="AD44" s="30" t="str">
        <f aca="false">IF((E44="n"),H44," ")</f>
        <v> </v>
      </c>
      <c r="AE44" s="17" t="str">
        <f aca="false">IF((E44="f"),H44," ")</f>
        <v> </v>
      </c>
      <c r="AF44" s="17" t="str">
        <f aca="false">IF((E44="l"),H44," ")</f>
        <v> </v>
      </c>
      <c r="AG44" s="17" t="str">
        <f aca="false">IF((E44="y"),H44," ")</f>
        <v> </v>
      </c>
      <c r="AH44" s="17" t="str">
        <f aca="false">IF((E44="z"),H44," ")</f>
        <v> </v>
      </c>
      <c r="AI44" s="17" t="str">
        <f aca="false">IF((E44="fa"),H44," ")</f>
        <v> </v>
      </c>
      <c r="AJ44" s="17" t="str">
        <f aca="false">IF((E44="e"),H44," ")</f>
        <v> </v>
      </c>
    </row>
    <row r="45" customFormat="false" ht="12" hidden="false" customHeight="false" outlineLevel="0" collapsed="false">
      <c r="A45" s="28"/>
      <c r="E45" s="2"/>
      <c r="F45" s="30"/>
      <c r="G45" s="6" t="str">
        <f aca="false">IF(F45&lt;&gt;0,F45*G$2/(100+G$2)," ")</f>
        <v> </v>
      </c>
      <c r="H45" s="6" t="str">
        <f aca="false">IF((F45&lt;&gt;0),F45-G45," ")</f>
        <v> </v>
      </c>
      <c r="I45" s="5"/>
      <c r="L45" s="7" t="str">
        <f aca="false">IF(F45&lt;&gt;0,F45-K45," ")</f>
        <v> </v>
      </c>
      <c r="M45" s="8" t="str">
        <f aca="false">IF((F45-K45)&lt;&gt;0,M$1-A45," ")</f>
        <v> </v>
      </c>
      <c r="N45" s="5"/>
      <c r="O45" s="17" t="str">
        <f aca="false">IF((E45="s"),H45," ")</f>
        <v> </v>
      </c>
      <c r="P45" s="17" t="str">
        <f aca="false">IF((E45="c"),H45," ")</f>
        <v> </v>
      </c>
      <c r="Q45" s="17" t="str">
        <f aca="false">IF((E45="o"),H45," ")</f>
        <v> </v>
      </c>
      <c r="R45" s="17" t="str">
        <f aca="false">IF((E45="d"),H45," ")</f>
        <v> </v>
      </c>
      <c r="S45" s="17" t="str">
        <f aca="false">IF((E45="w"),H45," ")</f>
        <v> </v>
      </c>
      <c r="T45" s="17" t="str">
        <f aca="false">IF((E45="r"),H45," ")</f>
        <v> </v>
      </c>
      <c r="U45" s="17" t="str">
        <f aca="false">IF((E45="p"),H45," ")</f>
        <v> </v>
      </c>
      <c r="V45" s="17" t="str">
        <f aca="false">IF((E45="t"),H45," ")</f>
        <v> </v>
      </c>
      <c r="W45" s="17" t="str">
        <f aca="false">IF((E45="q"),H45," ")</f>
        <v> </v>
      </c>
      <c r="X45" s="17" t="str">
        <f aca="false">IF((E45="m"),H45," ")</f>
        <v> </v>
      </c>
      <c r="Y45" s="17" t="str">
        <f aca="false">IF((E45="u"),H45," ")</f>
        <v> </v>
      </c>
      <c r="Z45" s="17" t="str">
        <f aca="false">IF((E45="a"),H45," ")</f>
        <v> </v>
      </c>
      <c r="AA45" s="17" t="str">
        <f aca="false">IF((E45="g"),H45," ")</f>
        <v> </v>
      </c>
      <c r="AB45" s="17" t="str">
        <f aca="false">IF((E45="h"),H45," ")</f>
        <v> </v>
      </c>
      <c r="AC45" s="30" t="str">
        <f aca="false">IF((E45="v"),H45," ")</f>
        <v> </v>
      </c>
      <c r="AD45" s="30" t="str">
        <f aca="false">IF((E45="n"),H45," ")</f>
        <v> </v>
      </c>
      <c r="AE45" s="17" t="str">
        <f aca="false">IF((E45="f"),H45," ")</f>
        <v> </v>
      </c>
      <c r="AF45" s="17" t="str">
        <f aca="false">IF((E45="l"),H45," ")</f>
        <v> </v>
      </c>
      <c r="AG45" s="17" t="str">
        <f aca="false">IF((E45="y"),H45," ")</f>
        <v> </v>
      </c>
      <c r="AH45" s="17" t="str">
        <f aca="false">IF((E45="z"),H45," ")</f>
        <v> </v>
      </c>
      <c r="AI45" s="17" t="str">
        <f aca="false">IF((E45="fa"),H45," ")</f>
        <v> </v>
      </c>
      <c r="AJ45" s="17" t="str">
        <f aca="false">IF((E45="e"),H45," ")</f>
        <v> </v>
      </c>
    </row>
    <row r="46" customFormat="false" ht="12" hidden="false" customHeight="false" outlineLevel="0" collapsed="false">
      <c r="A46" s="28"/>
      <c r="E46" s="2"/>
      <c r="F46" s="30"/>
      <c r="G46" s="6" t="str">
        <f aca="false">IF(F46&lt;&gt;0,F46*G$2/(100+G$2)," ")</f>
        <v> </v>
      </c>
      <c r="H46" s="6" t="str">
        <f aca="false">IF((F46&lt;&gt;0),F46-G46," ")</f>
        <v> </v>
      </c>
      <c r="I46" s="5"/>
      <c r="L46" s="7" t="str">
        <f aca="false">IF(F46&lt;&gt;0,F46-K46," ")</f>
        <v> </v>
      </c>
      <c r="M46" s="8" t="str">
        <f aca="false">IF((F46-K46)&lt;&gt;0,M$1-A46," ")</f>
        <v> </v>
      </c>
      <c r="N46" s="5"/>
      <c r="O46" s="17" t="str">
        <f aca="false">IF((E46="s"),H46," ")</f>
        <v> </v>
      </c>
      <c r="P46" s="17" t="str">
        <f aca="false">IF((E46="c"),H46," ")</f>
        <v> </v>
      </c>
      <c r="Q46" s="17" t="str">
        <f aca="false">IF((E46="o"),H46," ")</f>
        <v> </v>
      </c>
      <c r="R46" s="17" t="str">
        <f aca="false">IF((E46="d"),H46," ")</f>
        <v> </v>
      </c>
      <c r="S46" s="17" t="str">
        <f aca="false">IF((E46="w"),H46," ")</f>
        <v> </v>
      </c>
      <c r="T46" s="17" t="str">
        <f aca="false">IF((E46="r"),H46," ")</f>
        <v> </v>
      </c>
      <c r="U46" s="17" t="str">
        <f aca="false">IF((E46="p"),H46," ")</f>
        <v> </v>
      </c>
      <c r="V46" s="17" t="str">
        <f aca="false">IF((E46="t"),H46," ")</f>
        <v> </v>
      </c>
      <c r="W46" s="17" t="str">
        <f aca="false">IF((E46="q"),H46," ")</f>
        <v> </v>
      </c>
      <c r="X46" s="17" t="str">
        <f aca="false">IF((E46="m"),H46," ")</f>
        <v> </v>
      </c>
      <c r="Y46" s="17" t="str">
        <f aca="false">IF((E46="u"),H46," ")</f>
        <v> </v>
      </c>
      <c r="Z46" s="17" t="str">
        <f aca="false">IF((E46="a"),H46," ")</f>
        <v> </v>
      </c>
      <c r="AA46" s="17" t="str">
        <f aca="false">IF((E46="g"),H46," ")</f>
        <v> </v>
      </c>
      <c r="AB46" s="17" t="str">
        <f aca="false">IF((E46="h"),H46," ")</f>
        <v> </v>
      </c>
      <c r="AC46" s="30" t="str">
        <f aca="false">IF((E46="v"),H46," ")</f>
        <v> </v>
      </c>
      <c r="AD46" s="30" t="str">
        <f aca="false">IF((E46="n"),H46," ")</f>
        <v> </v>
      </c>
      <c r="AE46" s="17" t="str">
        <f aca="false">IF((E46="f"),H46," ")</f>
        <v> </v>
      </c>
      <c r="AF46" s="17" t="str">
        <f aca="false">IF((E46="l"),H46," ")</f>
        <v> </v>
      </c>
      <c r="AG46" s="17" t="str">
        <f aca="false">IF((E46="y"),H46," ")</f>
        <v> </v>
      </c>
      <c r="AH46" s="17" t="str">
        <f aca="false">IF((E46="z"),H46," ")</f>
        <v> </v>
      </c>
      <c r="AI46" s="17" t="str">
        <f aca="false">IF((E46="fa"),H46," ")</f>
        <v> </v>
      </c>
      <c r="AJ46" s="17" t="str">
        <f aca="false">IF((E46="e"),H46," ")</f>
        <v> </v>
      </c>
    </row>
    <row r="47" customFormat="false" ht="12" hidden="false" customHeight="false" outlineLevel="0" collapsed="false">
      <c r="A47" s="28"/>
      <c r="E47" s="2"/>
      <c r="F47" s="30"/>
      <c r="G47" s="6" t="str">
        <f aca="false">IF(F47&lt;&gt;0,F47*G$2/(100+G$2)," ")</f>
        <v> </v>
      </c>
      <c r="H47" s="6" t="str">
        <f aca="false">IF((F47&lt;&gt;0),F47-G47," ")</f>
        <v> </v>
      </c>
      <c r="I47" s="5"/>
      <c r="L47" s="7" t="str">
        <f aca="false">IF(F47&lt;&gt;0,F47-K47," ")</f>
        <v> </v>
      </c>
      <c r="M47" s="8" t="str">
        <f aca="false">IF((F47-K47)&lt;&gt;0,M$1-A47," ")</f>
        <v> </v>
      </c>
      <c r="N47" s="5"/>
      <c r="O47" s="17" t="str">
        <f aca="false">IF((E47="s"),H47," ")</f>
        <v> </v>
      </c>
      <c r="P47" s="17" t="str">
        <f aca="false">IF((E47="c"),H47," ")</f>
        <v> </v>
      </c>
      <c r="Q47" s="17" t="str">
        <f aca="false">IF((E47="o"),H47," ")</f>
        <v> </v>
      </c>
      <c r="R47" s="17" t="str">
        <f aca="false">IF((E47="d"),H47," ")</f>
        <v> </v>
      </c>
      <c r="S47" s="17" t="str">
        <f aca="false">IF((E47="w"),H47," ")</f>
        <v> </v>
      </c>
      <c r="T47" s="17" t="str">
        <f aca="false">IF((E47="r"),H47," ")</f>
        <v> </v>
      </c>
      <c r="U47" s="17" t="str">
        <f aca="false">IF((E47="p"),H47," ")</f>
        <v> </v>
      </c>
      <c r="V47" s="17" t="str">
        <f aca="false">IF((E47="t"),H47," ")</f>
        <v> </v>
      </c>
      <c r="W47" s="17" t="str">
        <f aca="false">IF((E47="q"),H47," ")</f>
        <v> </v>
      </c>
      <c r="X47" s="17" t="str">
        <f aca="false">IF((E47="m"),H47," ")</f>
        <v> </v>
      </c>
      <c r="Y47" s="17" t="str">
        <f aca="false">IF((E47="u"),H47," ")</f>
        <v> </v>
      </c>
      <c r="Z47" s="17" t="str">
        <f aca="false">IF((E47="a"),H47," ")</f>
        <v> </v>
      </c>
      <c r="AA47" s="17" t="str">
        <f aca="false">IF((E47="g"),H47," ")</f>
        <v> </v>
      </c>
      <c r="AB47" s="17" t="str">
        <f aca="false">IF((E47="h"),H47," ")</f>
        <v> </v>
      </c>
      <c r="AC47" s="30" t="str">
        <f aca="false">IF((E47="v"),H47," ")</f>
        <v> </v>
      </c>
      <c r="AD47" s="30" t="str">
        <f aca="false">IF((E47="n"),H47," ")</f>
        <v> </v>
      </c>
      <c r="AE47" s="17" t="str">
        <f aca="false">IF((E47="f"),H47," ")</f>
        <v> </v>
      </c>
      <c r="AF47" s="17" t="str">
        <f aca="false">IF((E47="l"),H47," ")</f>
        <v> </v>
      </c>
      <c r="AG47" s="17" t="str">
        <f aca="false">IF((E47="y"),H47," ")</f>
        <v> </v>
      </c>
      <c r="AH47" s="17" t="str">
        <f aca="false">IF((E47="z"),H47," ")</f>
        <v> </v>
      </c>
      <c r="AI47" s="17" t="str">
        <f aca="false">IF((E47="fa"),H47," ")</f>
        <v> </v>
      </c>
      <c r="AJ47" s="17" t="str">
        <f aca="false">IF((E47="e"),H47," ")</f>
        <v> </v>
      </c>
    </row>
    <row r="48" customFormat="false" ht="12" hidden="false" customHeight="false" outlineLevel="0" collapsed="false">
      <c r="A48" s="28"/>
      <c r="E48" s="2"/>
      <c r="F48" s="30"/>
      <c r="G48" s="6" t="str">
        <f aca="false">IF(F48&lt;&gt;0,F48*G$2/(100+G$2)," ")</f>
        <v> </v>
      </c>
      <c r="H48" s="6" t="str">
        <f aca="false">IF((F48&lt;&gt;0),F48-G48," ")</f>
        <v> </v>
      </c>
      <c r="I48" s="5"/>
      <c r="L48" s="7" t="str">
        <f aca="false">IF(F48&lt;&gt;0,F48-K48," ")</f>
        <v> </v>
      </c>
      <c r="M48" s="8" t="str">
        <f aca="false">IF((F48-K48)&lt;&gt;0,M$1-A48," ")</f>
        <v> </v>
      </c>
      <c r="N48" s="5"/>
      <c r="O48" s="17" t="str">
        <f aca="false">IF((E48="s"),H48," ")</f>
        <v> </v>
      </c>
      <c r="P48" s="17" t="str">
        <f aca="false">IF((E48="c"),H48," ")</f>
        <v> </v>
      </c>
      <c r="Q48" s="17" t="str">
        <f aca="false">IF((E48="o"),H48," ")</f>
        <v> </v>
      </c>
      <c r="R48" s="17" t="str">
        <f aca="false">IF((E48="d"),H48," ")</f>
        <v> </v>
      </c>
      <c r="S48" s="17" t="str">
        <f aca="false">IF((E48="w"),H48," ")</f>
        <v> </v>
      </c>
      <c r="T48" s="17" t="str">
        <f aca="false">IF((E48="r"),H48," ")</f>
        <v> </v>
      </c>
      <c r="U48" s="17" t="str">
        <f aca="false">IF((E48="p"),H48," ")</f>
        <v> </v>
      </c>
      <c r="V48" s="17" t="str">
        <f aca="false">IF((E48="t"),H48," ")</f>
        <v> </v>
      </c>
      <c r="W48" s="17" t="str">
        <f aca="false">IF((E48="q"),H48," ")</f>
        <v> </v>
      </c>
      <c r="X48" s="17" t="str">
        <f aca="false">IF((E48="m"),H48," ")</f>
        <v> </v>
      </c>
      <c r="Y48" s="17" t="str">
        <f aca="false">IF((E48="u"),H48," ")</f>
        <v> </v>
      </c>
      <c r="Z48" s="17" t="str">
        <f aca="false">IF((E48="a"),H48," ")</f>
        <v> </v>
      </c>
      <c r="AA48" s="17" t="str">
        <f aca="false">IF((E48="g"),H48," ")</f>
        <v> </v>
      </c>
      <c r="AB48" s="17" t="str">
        <f aca="false">IF((E48="h"),H48," ")</f>
        <v> </v>
      </c>
      <c r="AC48" s="30" t="str">
        <f aca="false">IF((E48="v"),H48," ")</f>
        <v> </v>
      </c>
      <c r="AD48" s="30" t="str">
        <f aca="false">IF((E48="n"),H48," ")</f>
        <v> </v>
      </c>
      <c r="AE48" s="17" t="str">
        <f aca="false">IF((E48="f"),H48," ")</f>
        <v> </v>
      </c>
      <c r="AF48" s="17" t="str">
        <f aca="false">IF((E48="l"),H48," ")</f>
        <v> </v>
      </c>
      <c r="AG48" s="17" t="str">
        <f aca="false">IF((E48="y"),H48," ")</f>
        <v> </v>
      </c>
      <c r="AH48" s="17" t="str">
        <f aca="false">IF((E48="z"),H48," ")</f>
        <v> </v>
      </c>
      <c r="AI48" s="17" t="str">
        <f aca="false">IF((E48="fa"),H48," ")</f>
        <v> </v>
      </c>
      <c r="AJ48" s="17" t="str">
        <f aca="false">IF((E48="e"),H48," ")</f>
        <v> </v>
      </c>
    </row>
    <row r="49" customFormat="false" ht="12" hidden="false" customHeight="false" outlineLevel="0" collapsed="false">
      <c r="A49" s="28"/>
      <c r="E49" s="2"/>
      <c r="F49" s="30"/>
      <c r="G49" s="6" t="str">
        <f aca="false">IF(F49&lt;&gt;0,F49*G$2/(100+G$2)," ")</f>
        <v> </v>
      </c>
      <c r="H49" s="6" t="str">
        <f aca="false">IF((F49&lt;&gt;0),F49-G49," ")</f>
        <v> </v>
      </c>
      <c r="I49" s="5"/>
      <c r="L49" s="7" t="str">
        <f aca="false">IF(F49&lt;&gt;0,F49-K49," ")</f>
        <v> </v>
      </c>
      <c r="M49" s="8" t="str">
        <f aca="false">IF((F49-K49)&lt;&gt;0,M$1-A49," ")</f>
        <v> </v>
      </c>
      <c r="N49" s="5"/>
      <c r="O49" s="17" t="str">
        <f aca="false">IF((E49="s"),H49," ")</f>
        <v> </v>
      </c>
      <c r="P49" s="17" t="str">
        <f aca="false">IF((E49="c"),H49," ")</f>
        <v> </v>
      </c>
      <c r="Q49" s="17" t="str">
        <f aca="false">IF((E49="o"),H49," ")</f>
        <v> </v>
      </c>
      <c r="R49" s="17" t="str">
        <f aca="false">IF((E49="d"),H49," ")</f>
        <v> </v>
      </c>
      <c r="S49" s="17" t="str">
        <f aca="false">IF((E49="w"),H49," ")</f>
        <v> </v>
      </c>
      <c r="T49" s="17" t="str">
        <f aca="false">IF((E49="r"),H49," ")</f>
        <v> </v>
      </c>
      <c r="U49" s="17" t="str">
        <f aca="false">IF((E49="p"),H49," ")</f>
        <v> </v>
      </c>
      <c r="V49" s="17" t="str">
        <f aca="false">IF((E49="t"),H49," ")</f>
        <v> </v>
      </c>
      <c r="W49" s="17" t="str">
        <f aca="false">IF((E49="q"),H49," ")</f>
        <v> </v>
      </c>
      <c r="X49" s="17" t="str">
        <f aca="false">IF((E49="m"),H49," ")</f>
        <v> </v>
      </c>
      <c r="Y49" s="17" t="str">
        <f aca="false">IF((E49="u"),H49," ")</f>
        <v> </v>
      </c>
      <c r="Z49" s="17" t="str">
        <f aca="false">IF((E49="a"),H49," ")</f>
        <v> </v>
      </c>
      <c r="AA49" s="17" t="str">
        <f aca="false">IF((E49="g"),H49," ")</f>
        <v> </v>
      </c>
      <c r="AB49" s="17" t="str">
        <f aca="false">IF((E49="h"),H49," ")</f>
        <v> </v>
      </c>
      <c r="AC49" s="30" t="str">
        <f aca="false">IF((E49="v"),H49," ")</f>
        <v> </v>
      </c>
      <c r="AD49" s="30" t="str">
        <f aca="false">IF((E49="n"),H49," ")</f>
        <v> </v>
      </c>
      <c r="AE49" s="17" t="str">
        <f aca="false">IF((E49="f"),H49," ")</f>
        <v> </v>
      </c>
      <c r="AF49" s="17" t="str">
        <f aca="false">IF((E49="l"),H49," ")</f>
        <v> </v>
      </c>
      <c r="AG49" s="17" t="str">
        <f aca="false">IF((E49="y"),H49," ")</f>
        <v> </v>
      </c>
      <c r="AH49" s="17" t="str">
        <f aca="false">IF((E49="z"),H49," ")</f>
        <v> </v>
      </c>
      <c r="AI49" s="17" t="str">
        <f aca="false">IF((E49="fa"),H49," ")</f>
        <v> </v>
      </c>
      <c r="AJ49" s="17" t="str">
        <f aca="false">IF((E49="e"),H49," ")</f>
        <v> </v>
      </c>
    </row>
    <row r="50" customFormat="false" ht="12" hidden="false" customHeight="false" outlineLevel="0" collapsed="false">
      <c r="A50" s="28"/>
      <c r="E50" s="2"/>
      <c r="F50" s="30"/>
      <c r="G50" s="6" t="str">
        <f aca="false">IF(F50&lt;&gt;0,F50*G$2/(100+G$2)," ")</f>
        <v> </v>
      </c>
      <c r="H50" s="6" t="str">
        <f aca="false">IF((F50&lt;&gt;0),F50-G50," ")</f>
        <v> </v>
      </c>
      <c r="I50" s="5"/>
      <c r="L50" s="7" t="str">
        <f aca="false">IF(F50&lt;&gt;0,F50-K50," ")</f>
        <v> </v>
      </c>
      <c r="M50" s="8" t="str">
        <f aca="false">IF((F50-K50)&lt;&gt;0,M$1-A50," ")</f>
        <v> </v>
      </c>
      <c r="N50" s="5"/>
      <c r="O50" s="17" t="str">
        <f aca="false">IF((E50="s"),H50," ")</f>
        <v> </v>
      </c>
      <c r="P50" s="17" t="str">
        <f aca="false">IF((E50="c"),H50," ")</f>
        <v> </v>
      </c>
      <c r="Q50" s="17" t="str">
        <f aca="false">IF((E50="o"),H50," ")</f>
        <v> </v>
      </c>
      <c r="R50" s="17" t="str">
        <f aca="false">IF((E50="d"),H50," ")</f>
        <v> </v>
      </c>
      <c r="S50" s="17" t="str">
        <f aca="false">IF((E50="w"),H50," ")</f>
        <v> </v>
      </c>
      <c r="T50" s="17" t="str">
        <f aca="false">IF((E50="r"),H50," ")</f>
        <v> </v>
      </c>
      <c r="U50" s="17" t="str">
        <f aca="false">IF((E50="p"),H50," ")</f>
        <v> </v>
      </c>
      <c r="V50" s="17" t="str">
        <f aca="false">IF((E50="t"),H50," ")</f>
        <v> </v>
      </c>
      <c r="W50" s="17" t="str">
        <f aca="false">IF((E50="q"),H50," ")</f>
        <v> </v>
      </c>
      <c r="X50" s="17" t="str">
        <f aca="false">IF((E50="m"),H50," ")</f>
        <v> </v>
      </c>
      <c r="Y50" s="17" t="str">
        <f aca="false">IF((E50="u"),H50," ")</f>
        <v> </v>
      </c>
      <c r="Z50" s="17" t="str">
        <f aca="false">IF((E50="a"),H50," ")</f>
        <v> </v>
      </c>
      <c r="AA50" s="17" t="str">
        <f aca="false">IF((E50="g"),H50," ")</f>
        <v> </v>
      </c>
      <c r="AB50" s="17" t="str">
        <f aca="false">IF((E50="h"),H50," ")</f>
        <v> </v>
      </c>
      <c r="AC50" s="30" t="str">
        <f aca="false">IF((E50="v"),H50," ")</f>
        <v> </v>
      </c>
      <c r="AD50" s="30" t="str">
        <f aca="false">IF((E50="n"),H50," ")</f>
        <v> </v>
      </c>
      <c r="AE50" s="17" t="str">
        <f aca="false">IF((E50="f"),H50," ")</f>
        <v> </v>
      </c>
      <c r="AF50" s="17" t="str">
        <f aca="false">IF((E50="l"),H50," ")</f>
        <v> </v>
      </c>
      <c r="AG50" s="17" t="str">
        <f aca="false">IF((E50="y"),H50," ")</f>
        <v> </v>
      </c>
      <c r="AH50" s="17" t="str">
        <f aca="false">IF((E50="z"),H50," ")</f>
        <v> </v>
      </c>
      <c r="AI50" s="17" t="str">
        <f aca="false">IF((E50="fa"),H50," ")</f>
        <v> </v>
      </c>
      <c r="AJ50" s="17" t="str">
        <f aca="false">IF((E50="e"),H50," ")</f>
        <v> </v>
      </c>
    </row>
    <row r="51" customFormat="false" ht="12" hidden="false" customHeight="false" outlineLevel="0" collapsed="false">
      <c r="A51" s="28"/>
      <c r="E51" s="2"/>
      <c r="F51" s="30"/>
      <c r="G51" s="6" t="str">
        <f aca="false">IF(F51&lt;&gt;0,F51*G$2/(100+G$2)," ")</f>
        <v> </v>
      </c>
      <c r="H51" s="6" t="str">
        <f aca="false">IF((F51&lt;&gt;0),F51-G51," ")</f>
        <v> </v>
      </c>
      <c r="I51" s="5"/>
      <c r="L51" s="7" t="str">
        <f aca="false">IF(F51&lt;&gt;0,F51-K51," ")</f>
        <v> </v>
      </c>
      <c r="M51" s="8" t="str">
        <f aca="false">IF((F51-K51)&lt;&gt;0,M$1-A51," ")</f>
        <v> </v>
      </c>
      <c r="N51" s="5"/>
      <c r="O51" s="17" t="str">
        <f aca="false">IF((E51="s"),H51," ")</f>
        <v> </v>
      </c>
      <c r="P51" s="17" t="str">
        <f aca="false">IF((E51="c"),H51," ")</f>
        <v> </v>
      </c>
      <c r="Q51" s="17" t="str">
        <f aca="false">IF((E51="o"),H51," ")</f>
        <v> </v>
      </c>
      <c r="R51" s="17" t="str">
        <f aca="false">IF((E51="d"),H51," ")</f>
        <v> </v>
      </c>
      <c r="S51" s="17" t="str">
        <f aca="false">IF((E51="w"),H51," ")</f>
        <v> </v>
      </c>
      <c r="T51" s="17" t="str">
        <f aca="false">IF((E51="r"),H51," ")</f>
        <v> </v>
      </c>
      <c r="U51" s="17" t="str">
        <f aca="false">IF((E51="p"),H51," ")</f>
        <v> </v>
      </c>
      <c r="V51" s="17" t="str">
        <f aca="false">IF((E51="t"),H51," ")</f>
        <v> </v>
      </c>
      <c r="W51" s="17" t="str">
        <f aca="false">IF((E51="q"),H51," ")</f>
        <v> </v>
      </c>
      <c r="X51" s="17" t="str">
        <f aca="false">IF((E51="m"),H51," ")</f>
        <v> </v>
      </c>
      <c r="Y51" s="17" t="str">
        <f aca="false">IF((E51="u"),H51," ")</f>
        <v> </v>
      </c>
      <c r="Z51" s="17" t="str">
        <f aca="false">IF((E51="a"),H51," ")</f>
        <v> </v>
      </c>
      <c r="AA51" s="17" t="str">
        <f aca="false">IF((E51="g"),H51," ")</f>
        <v> </v>
      </c>
      <c r="AB51" s="17" t="str">
        <f aca="false">IF((E51="h"),H51," ")</f>
        <v> </v>
      </c>
      <c r="AC51" s="30" t="str">
        <f aca="false">IF((E51="v"),H51," ")</f>
        <v> </v>
      </c>
      <c r="AD51" s="30" t="str">
        <f aca="false">IF((E51="n"),H51," ")</f>
        <v> </v>
      </c>
      <c r="AE51" s="17" t="str">
        <f aca="false">IF((E51="f"),H51," ")</f>
        <v> </v>
      </c>
      <c r="AF51" s="17" t="str">
        <f aca="false">IF((E51="l"),H51," ")</f>
        <v> </v>
      </c>
      <c r="AG51" s="17" t="str">
        <f aca="false">IF((E51="y"),H51," ")</f>
        <v> </v>
      </c>
      <c r="AH51" s="17" t="str">
        <f aca="false">IF((E51="z"),H51," ")</f>
        <v> </v>
      </c>
      <c r="AI51" s="17" t="str">
        <f aca="false">IF((E51="fa"),H51," ")</f>
        <v> </v>
      </c>
      <c r="AJ51" s="17" t="str">
        <f aca="false">IF((E51="e"),H51," ")</f>
        <v> </v>
      </c>
    </row>
    <row r="52" customFormat="false" ht="12" hidden="false" customHeight="false" outlineLevel="0" collapsed="false">
      <c r="A52" s="28"/>
      <c r="E52" s="2"/>
      <c r="F52" s="30"/>
      <c r="G52" s="6" t="str">
        <f aca="false">IF(F52&lt;&gt;0,F52*G$2/(100+G$2)," ")</f>
        <v> </v>
      </c>
      <c r="H52" s="6" t="str">
        <f aca="false">IF((F52&lt;&gt;0),F52-G52," ")</f>
        <v> </v>
      </c>
      <c r="I52" s="5"/>
      <c r="L52" s="7" t="str">
        <f aca="false">IF(F52&lt;&gt;0,F52-K52," ")</f>
        <v> </v>
      </c>
      <c r="M52" s="8" t="str">
        <f aca="false">IF((F52-K52)&lt;&gt;0,M$1-A52," ")</f>
        <v> </v>
      </c>
      <c r="N52" s="5"/>
      <c r="O52" s="17" t="str">
        <f aca="false">IF((E52="s"),H52," ")</f>
        <v> </v>
      </c>
      <c r="P52" s="17" t="str">
        <f aca="false">IF((E52="c"),H52," ")</f>
        <v> </v>
      </c>
      <c r="Q52" s="17" t="str">
        <f aca="false">IF((E52="o"),H52," ")</f>
        <v> </v>
      </c>
      <c r="R52" s="17" t="str">
        <f aca="false">IF((E52="d"),H52," ")</f>
        <v> </v>
      </c>
      <c r="S52" s="17" t="str">
        <f aca="false">IF((E52="w"),H52," ")</f>
        <v> </v>
      </c>
      <c r="T52" s="17" t="str">
        <f aca="false">IF((E52="r"),H52," ")</f>
        <v> </v>
      </c>
      <c r="U52" s="17" t="str">
        <f aca="false">IF((E52="p"),H52," ")</f>
        <v> </v>
      </c>
      <c r="V52" s="17" t="str">
        <f aca="false">IF((E52="t"),H52," ")</f>
        <v> </v>
      </c>
      <c r="W52" s="17" t="str">
        <f aca="false">IF((E52="q"),H52," ")</f>
        <v> </v>
      </c>
      <c r="X52" s="17" t="str">
        <f aca="false">IF((E52="m"),H52," ")</f>
        <v> </v>
      </c>
      <c r="Y52" s="17" t="str">
        <f aca="false">IF((E52="u"),H52," ")</f>
        <v> </v>
      </c>
      <c r="Z52" s="17" t="str">
        <f aca="false">IF((E52="a"),H52," ")</f>
        <v> </v>
      </c>
      <c r="AA52" s="17" t="str">
        <f aca="false">IF((E52="g"),H52," ")</f>
        <v> </v>
      </c>
      <c r="AB52" s="17" t="str">
        <f aca="false">IF((E52="h"),H52," ")</f>
        <v> </v>
      </c>
      <c r="AC52" s="30" t="str">
        <f aca="false">IF((E52="v"),H52," ")</f>
        <v> </v>
      </c>
      <c r="AD52" s="30" t="str">
        <f aca="false">IF((E52="n"),H52," ")</f>
        <v> </v>
      </c>
      <c r="AE52" s="17" t="str">
        <f aca="false">IF((E52="f"),H52," ")</f>
        <v> </v>
      </c>
      <c r="AF52" s="17" t="str">
        <f aca="false">IF((E52="l"),H52," ")</f>
        <v> </v>
      </c>
      <c r="AG52" s="17" t="str">
        <f aca="false">IF((E52="y"),H52," ")</f>
        <v> </v>
      </c>
      <c r="AH52" s="17" t="str">
        <f aca="false">IF((E52="z"),H52," ")</f>
        <v> </v>
      </c>
      <c r="AI52" s="17" t="str">
        <f aca="false">IF((E52="fa"),H52," ")</f>
        <v> </v>
      </c>
      <c r="AJ52" s="17" t="str">
        <f aca="false">IF((E52="e"),H52," ")</f>
        <v> </v>
      </c>
    </row>
    <row r="53" customFormat="false" ht="12" hidden="false" customHeight="false" outlineLevel="0" collapsed="false">
      <c r="A53" s="28"/>
      <c r="E53" s="2"/>
      <c r="F53" s="30"/>
      <c r="G53" s="6" t="str">
        <f aca="false">IF(F53&lt;&gt;0,F53*G$2/(100+G$2)," ")</f>
        <v> </v>
      </c>
      <c r="H53" s="6" t="str">
        <f aca="false">IF((F53&lt;&gt;0),F53-G53," ")</f>
        <v> </v>
      </c>
      <c r="I53" s="5"/>
      <c r="L53" s="7" t="str">
        <f aca="false">IF(F53&lt;&gt;0,F53-K53," ")</f>
        <v> </v>
      </c>
      <c r="M53" s="8" t="str">
        <f aca="false">IF((F53-K53)&lt;&gt;0,M$1-A53," ")</f>
        <v> </v>
      </c>
      <c r="N53" s="5"/>
      <c r="O53" s="17" t="str">
        <f aca="false">IF((E53="s"),H53," ")</f>
        <v> </v>
      </c>
      <c r="P53" s="17" t="str">
        <f aca="false">IF((E53="c"),H53," ")</f>
        <v> </v>
      </c>
      <c r="Q53" s="17" t="str">
        <f aca="false">IF((E53="o"),H53," ")</f>
        <v> </v>
      </c>
      <c r="R53" s="17" t="str">
        <f aca="false">IF((E53="d"),H53," ")</f>
        <v> </v>
      </c>
      <c r="S53" s="17" t="str">
        <f aca="false">IF((E53="w"),H53," ")</f>
        <v> </v>
      </c>
      <c r="T53" s="17" t="str">
        <f aca="false">IF((E53="r"),H53," ")</f>
        <v> </v>
      </c>
      <c r="U53" s="17" t="str">
        <f aca="false">IF((E53="p"),H53," ")</f>
        <v> </v>
      </c>
      <c r="V53" s="17" t="str">
        <f aca="false">IF((E53="t"),H53," ")</f>
        <v> </v>
      </c>
      <c r="W53" s="17" t="str">
        <f aca="false">IF((E53="q"),H53," ")</f>
        <v> </v>
      </c>
      <c r="X53" s="17" t="str">
        <f aca="false">IF((E53="m"),H53," ")</f>
        <v> </v>
      </c>
      <c r="Y53" s="17" t="str">
        <f aca="false">IF((E53="u"),H53," ")</f>
        <v> </v>
      </c>
      <c r="Z53" s="17" t="str">
        <f aca="false">IF((E53="a"),H53," ")</f>
        <v> </v>
      </c>
      <c r="AA53" s="17" t="str">
        <f aca="false">IF((E53="g"),H53," ")</f>
        <v> </v>
      </c>
      <c r="AB53" s="17" t="str">
        <f aca="false">IF((E53="h"),H53," ")</f>
        <v> </v>
      </c>
      <c r="AC53" s="30" t="str">
        <f aca="false">IF((E53="v"),H53," ")</f>
        <v> </v>
      </c>
      <c r="AD53" s="30" t="str">
        <f aca="false">IF((E53="n"),H53," ")</f>
        <v> </v>
      </c>
      <c r="AE53" s="17" t="str">
        <f aca="false">IF((E53="f"),H53," ")</f>
        <v> </v>
      </c>
      <c r="AF53" s="17" t="str">
        <f aca="false">IF((E53="l"),H53," ")</f>
        <v> </v>
      </c>
      <c r="AG53" s="17" t="str">
        <f aca="false">IF((E53="y"),H53," ")</f>
        <v> </v>
      </c>
      <c r="AH53" s="17" t="str">
        <f aca="false">IF((E53="z"),H53," ")</f>
        <v> </v>
      </c>
      <c r="AI53" s="17" t="str">
        <f aca="false">IF((E53="fa"),H53," ")</f>
        <v> </v>
      </c>
      <c r="AJ53" s="17" t="str">
        <f aca="false">IF((E53="e"),H53," ")</f>
        <v> </v>
      </c>
    </row>
    <row r="54" customFormat="false" ht="12" hidden="false" customHeight="false" outlineLevel="0" collapsed="false">
      <c r="A54" s="28"/>
      <c r="E54" s="2"/>
      <c r="F54" s="30"/>
      <c r="G54" s="6" t="str">
        <f aca="false">IF(F54&lt;&gt;0,F54*G$2/(100+G$2)," ")</f>
        <v> </v>
      </c>
      <c r="H54" s="6" t="str">
        <f aca="false">IF((F54&lt;&gt;0),F54-G54," ")</f>
        <v> </v>
      </c>
      <c r="I54" s="5"/>
      <c r="L54" s="7" t="str">
        <f aca="false">IF(F54&lt;&gt;0,F54-K54," ")</f>
        <v> </v>
      </c>
      <c r="M54" s="8" t="str">
        <f aca="false">IF((F54-K54)&lt;&gt;0,M$1-A54," ")</f>
        <v> </v>
      </c>
      <c r="N54" s="5"/>
      <c r="O54" s="17" t="str">
        <f aca="false">IF((E54="s"),H54," ")</f>
        <v> </v>
      </c>
      <c r="P54" s="17" t="str">
        <f aca="false">IF((E54="c"),H54," ")</f>
        <v> </v>
      </c>
      <c r="Q54" s="17" t="str">
        <f aca="false">IF((E54="o"),H54," ")</f>
        <v> </v>
      </c>
      <c r="R54" s="17" t="str">
        <f aca="false">IF((E54="d"),H54," ")</f>
        <v> </v>
      </c>
      <c r="S54" s="17" t="str">
        <f aca="false">IF((E54="w"),H54," ")</f>
        <v> </v>
      </c>
      <c r="T54" s="17" t="str">
        <f aca="false">IF((E54="r"),H54," ")</f>
        <v> </v>
      </c>
      <c r="U54" s="17" t="str">
        <f aca="false">IF((E54="p"),H54," ")</f>
        <v> </v>
      </c>
      <c r="V54" s="17" t="str">
        <f aca="false">IF((E54="t"),H54," ")</f>
        <v> </v>
      </c>
      <c r="W54" s="17" t="str">
        <f aca="false">IF((E54="q"),H54," ")</f>
        <v> </v>
      </c>
      <c r="X54" s="17" t="str">
        <f aca="false">IF((E54="m"),H54," ")</f>
        <v> </v>
      </c>
      <c r="Y54" s="17" t="str">
        <f aca="false">IF((E54="u"),H54," ")</f>
        <v> </v>
      </c>
      <c r="Z54" s="17" t="str">
        <f aca="false">IF((E54="a"),H54," ")</f>
        <v> </v>
      </c>
      <c r="AA54" s="17" t="str">
        <f aca="false">IF((E54="g"),H54," ")</f>
        <v> </v>
      </c>
      <c r="AB54" s="17" t="str">
        <f aca="false">IF((E54="h"),H54," ")</f>
        <v> </v>
      </c>
      <c r="AC54" s="30" t="str">
        <f aca="false">IF((E54="v"),H54," ")</f>
        <v> </v>
      </c>
      <c r="AD54" s="30" t="str">
        <f aca="false">IF((E54="n"),H54," ")</f>
        <v> </v>
      </c>
      <c r="AE54" s="17" t="str">
        <f aca="false">IF((E54="f"),H54," ")</f>
        <v> </v>
      </c>
      <c r="AF54" s="17" t="str">
        <f aca="false">IF((E54="l"),H54," ")</f>
        <v> </v>
      </c>
      <c r="AG54" s="17" t="str">
        <f aca="false">IF((E54="y"),H54," ")</f>
        <v> </v>
      </c>
      <c r="AH54" s="17" t="str">
        <f aca="false">IF((E54="z"),H54," ")</f>
        <v> </v>
      </c>
      <c r="AI54" s="17" t="str">
        <f aca="false">IF((E54="fa"),H54," ")</f>
        <v> </v>
      </c>
      <c r="AJ54" s="17" t="str">
        <f aca="false">IF((E54="e"),H54," ")</f>
        <v> </v>
      </c>
    </row>
    <row r="55" customFormat="false" ht="12" hidden="false" customHeight="false" outlineLevel="0" collapsed="false">
      <c r="A55" s="28"/>
      <c r="E55" s="2"/>
      <c r="F55" s="30"/>
      <c r="G55" s="6" t="str">
        <f aca="false">IF(F55&lt;&gt;0,F55*G$2/(100+G$2)," ")</f>
        <v> </v>
      </c>
      <c r="H55" s="6" t="str">
        <f aca="false">IF((F55&lt;&gt;0),F55-G55," ")</f>
        <v> </v>
      </c>
      <c r="I55" s="5"/>
      <c r="L55" s="7" t="str">
        <f aca="false">IF(F55&lt;&gt;0,F55-K55," ")</f>
        <v> </v>
      </c>
      <c r="M55" s="8" t="str">
        <f aca="false">IF((F55-K55)&lt;&gt;0,M$1-A55," ")</f>
        <v> </v>
      </c>
      <c r="N55" s="5"/>
      <c r="O55" s="17" t="str">
        <f aca="false">IF((E55="s"),H55," ")</f>
        <v> </v>
      </c>
      <c r="P55" s="17" t="str">
        <f aca="false">IF((E55="c"),H55," ")</f>
        <v> </v>
      </c>
      <c r="Q55" s="17" t="str">
        <f aca="false">IF((E55="o"),H55," ")</f>
        <v> </v>
      </c>
      <c r="R55" s="17" t="str">
        <f aca="false">IF((E55="d"),H55," ")</f>
        <v> </v>
      </c>
      <c r="S55" s="17" t="str">
        <f aca="false">IF((E55="w"),H55," ")</f>
        <v> </v>
      </c>
      <c r="T55" s="17" t="str">
        <f aca="false">IF((E55="r"),H55," ")</f>
        <v> </v>
      </c>
      <c r="U55" s="17" t="str">
        <f aca="false">IF((E55="p"),H55," ")</f>
        <v> </v>
      </c>
      <c r="V55" s="17" t="str">
        <f aca="false">IF((E55="t"),H55," ")</f>
        <v> </v>
      </c>
      <c r="W55" s="17" t="str">
        <f aca="false">IF((E55="q"),H55," ")</f>
        <v> </v>
      </c>
      <c r="X55" s="17" t="str">
        <f aca="false">IF((E55="m"),H55," ")</f>
        <v> </v>
      </c>
      <c r="Y55" s="17" t="str">
        <f aca="false">IF((E55="u"),H55," ")</f>
        <v> </v>
      </c>
      <c r="Z55" s="17" t="str">
        <f aca="false">IF((E55="a"),H55," ")</f>
        <v> </v>
      </c>
      <c r="AA55" s="17" t="str">
        <f aca="false">IF((E55="g"),H55," ")</f>
        <v> </v>
      </c>
      <c r="AB55" s="17" t="str">
        <f aca="false">IF((E55="h"),H55," ")</f>
        <v> </v>
      </c>
      <c r="AC55" s="30" t="str">
        <f aca="false">IF((E55="v"),H55," ")</f>
        <v> </v>
      </c>
      <c r="AD55" s="30" t="str">
        <f aca="false">IF((E55="n"),H55," ")</f>
        <v> </v>
      </c>
      <c r="AE55" s="17" t="str">
        <f aca="false">IF((E55="f"),H55," ")</f>
        <v> </v>
      </c>
      <c r="AF55" s="17" t="str">
        <f aca="false">IF((E55="l"),H55," ")</f>
        <v> </v>
      </c>
      <c r="AG55" s="17" t="str">
        <f aca="false">IF((E55="y"),H55," ")</f>
        <v> </v>
      </c>
      <c r="AH55" s="17" t="str">
        <f aca="false">IF((E55="z"),H55," ")</f>
        <v> </v>
      </c>
      <c r="AI55" s="17" t="str">
        <f aca="false">IF((E55="fa"),H55," ")</f>
        <v> </v>
      </c>
      <c r="AJ55" s="17" t="str">
        <f aca="false">IF((E55="e"),H55," ")</f>
        <v> </v>
      </c>
    </row>
    <row r="56" customFormat="false" ht="12" hidden="false" customHeight="false" outlineLevel="0" collapsed="false">
      <c r="A56" s="28"/>
      <c r="E56" s="2"/>
      <c r="F56" s="30"/>
      <c r="G56" s="6" t="str">
        <f aca="false">IF(F56&lt;&gt;0,F56*G$2/(100+G$2)," ")</f>
        <v> </v>
      </c>
      <c r="H56" s="6" t="str">
        <f aca="false">IF((F56&lt;&gt;0),F56-G56," ")</f>
        <v> </v>
      </c>
      <c r="I56" s="5"/>
      <c r="L56" s="7" t="str">
        <f aca="false">IF(F56&lt;&gt;0,F56-K56," ")</f>
        <v> </v>
      </c>
      <c r="M56" s="8" t="str">
        <f aca="false">IF((F56-K56)&lt;&gt;0,M$1-A56," ")</f>
        <v> </v>
      </c>
      <c r="N56" s="5"/>
      <c r="O56" s="17" t="str">
        <f aca="false">IF((E56="s"),H56," ")</f>
        <v> </v>
      </c>
      <c r="P56" s="17" t="str">
        <f aca="false">IF((E56="c"),H56," ")</f>
        <v> </v>
      </c>
      <c r="Q56" s="17" t="str">
        <f aca="false">IF((E56="o"),H56," ")</f>
        <v> </v>
      </c>
      <c r="R56" s="17" t="str">
        <f aca="false">IF((E56="d"),H56," ")</f>
        <v> </v>
      </c>
      <c r="S56" s="17" t="str">
        <f aca="false">IF((E56="w"),H56," ")</f>
        <v> </v>
      </c>
      <c r="T56" s="17" t="str">
        <f aca="false">IF((E56="r"),H56," ")</f>
        <v> </v>
      </c>
      <c r="U56" s="17" t="str">
        <f aca="false">IF((E56="p"),H56," ")</f>
        <v> </v>
      </c>
      <c r="V56" s="17" t="str">
        <f aca="false">IF((E56="t"),H56," ")</f>
        <v> </v>
      </c>
      <c r="W56" s="17" t="str">
        <f aca="false">IF((E56="q"),H56," ")</f>
        <v> </v>
      </c>
      <c r="X56" s="17" t="str">
        <f aca="false">IF((E56="m"),H56," ")</f>
        <v> </v>
      </c>
      <c r="Y56" s="17" t="str">
        <f aca="false">IF((E56="u"),H56," ")</f>
        <v> </v>
      </c>
      <c r="Z56" s="17" t="str">
        <f aca="false">IF((E56="a"),H56," ")</f>
        <v> </v>
      </c>
      <c r="AA56" s="17" t="str">
        <f aca="false">IF((E56="g"),H56," ")</f>
        <v> </v>
      </c>
      <c r="AB56" s="17" t="str">
        <f aca="false">IF((E56="h"),H56," ")</f>
        <v> </v>
      </c>
      <c r="AC56" s="30" t="str">
        <f aca="false">IF((E56="v"),H56," ")</f>
        <v> </v>
      </c>
      <c r="AD56" s="30" t="str">
        <f aca="false">IF((E56="n"),H56," ")</f>
        <v> </v>
      </c>
      <c r="AE56" s="17" t="str">
        <f aca="false">IF((E56="f"),H56," ")</f>
        <v> </v>
      </c>
      <c r="AF56" s="17" t="str">
        <f aca="false">IF((E56="l"),H56," ")</f>
        <v> </v>
      </c>
      <c r="AG56" s="17" t="str">
        <f aca="false">IF((E56="y"),H56," ")</f>
        <v> </v>
      </c>
      <c r="AH56" s="17" t="str">
        <f aca="false">IF((E56="z"),H56," ")</f>
        <v> </v>
      </c>
      <c r="AI56" s="17" t="str">
        <f aca="false">IF((E56="fa"),H56," ")</f>
        <v> </v>
      </c>
      <c r="AJ56" s="17" t="str">
        <f aca="false">IF((E56="e"),H56," ")</f>
        <v> </v>
      </c>
    </row>
    <row r="57" customFormat="false" ht="12" hidden="false" customHeight="false" outlineLevel="0" collapsed="false">
      <c r="A57" s="28"/>
      <c r="E57" s="2"/>
      <c r="F57" s="30"/>
      <c r="G57" s="6" t="str">
        <f aca="false">IF(F57&lt;&gt;0,F57*G$2/(100+G$2)," ")</f>
        <v> </v>
      </c>
      <c r="H57" s="6" t="str">
        <f aca="false">IF((F57&lt;&gt;0),F57-G57," ")</f>
        <v> </v>
      </c>
      <c r="I57" s="5"/>
      <c r="L57" s="7" t="str">
        <f aca="false">IF(F57&lt;&gt;0,F57-K57," ")</f>
        <v> </v>
      </c>
      <c r="M57" s="8" t="str">
        <f aca="false">IF((F57-K57)&lt;&gt;0,M$1-A57," ")</f>
        <v> </v>
      </c>
      <c r="N57" s="5"/>
      <c r="O57" s="17" t="str">
        <f aca="false">IF((E57="s"),H57," ")</f>
        <v> </v>
      </c>
      <c r="P57" s="17" t="str">
        <f aca="false">IF((E57="c"),H57," ")</f>
        <v> </v>
      </c>
      <c r="Q57" s="17" t="str">
        <f aca="false">IF((E57="o"),H57," ")</f>
        <v> </v>
      </c>
      <c r="R57" s="17" t="str">
        <f aca="false">IF((E57="d"),H57," ")</f>
        <v> </v>
      </c>
      <c r="S57" s="17" t="str">
        <f aca="false">IF((E57="w"),H57," ")</f>
        <v> </v>
      </c>
      <c r="T57" s="17" t="str">
        <f aca="false">IF((E57="r"),H57," ")</f>
        <v> </v>
      </c>
      <c r="U57" s="17" t="str">
        <f aca="false">IF((E57="p"),H57," ")</f>
        <v> </v>
      </c>
      <c r="V57" s="17" t="str">
        <f aca="false">IF((E57="t"),H57," ")</f>
        <v> </v>
      </c>
      <c r="W57" s="17" t="str">
        <f aca="false">IF((E57="q"),H57," ")</f>
        <v> </v>
      </c>
      <c r="X57" s="17" t="str">
        <f aca="false">IF((E57="m"),H57," ")</f>
        <v> </v>
      </c>
      <c r="Y57" s="17" t="str">
        <f aca="false">IF((E57="u"),H57," ")</f>
        <v> </v>
      </c>
      <c r="Z57" s="17" t="str">
        <f aca="false">IF((E57="a"),H57," ")</f>
        <v> </v>
      </c>
      <c r="AA57" s="17" t="str">
        <f aca="false">IF((E57="g"),H57," ")</f>
        <v> </v>
      </c>
      <c r="AB57" s="17" t="str">
        <f aca="false">IF((E57="h"),H57," ")</f>
        <v> </v>
      </c>
      <c r="AC57" s="30" t="str">
        <f aca="false">IF((E57="v"),H57," ")</f>
        <v> </v>
      </c>
      <c r="AD57" s="30" t="str">
        <f aca="false">IF((E57="n"),H57," ")</f>
        <v> </v>
      </c>
      <c r="AE57" s="17" t="str">
        <f aca="false">IF((E57="f"),H57," ")</f>
        <v> </v>
      </c>
      <c r="AF57" s="17" t="str">
        <f aca="false">IF((E57="l"),H57," ")</f>
        <v> </v>
      </c>
      <c r="AG57" s="17" t="str">
        <f aca="false">IF((E57="y"),H57," ")</f>
        <v> </v>
      </c>
      <c r="AH57" s="17" t="str">
        <f aca="false">IF((E57="z"),H57," ")</f>
        <v> </v>
      </c>
      <c r="AI57" s="17" t="str">
        <f aca="false">IF((E57="fa"),H57," ")</f>
        <v> </v>
      </c>
      <c r="AJ57" s="17" t="str">
        <f aca="false">IF((E57="e"),H57," ")</f>
        <v> </v>
      </c>
    </row>
    <row r="58" customFormat="false" ht="12" hidden="false" customHeight="false" outlineLevel="0" collapsed="false">
      <c r="A58" s="28"/>
      <c r="E58" s="2"/>
      <c r="F58" s="30"/>
      <c r="G58" s="6" t="str">
        <f aca="false">IF(F58&lt;&gt;0,F58*G$2/(100+G$2)," ")</f>
        <v> </v>
      </c>
      <c r="H58" s="6" t="str">
        <f aca="false">IF((F58&lt;&gt;0),F58-G58," ")</f>
        <v> </v>
      </c>
      <c r="I58" s="5"/>
      <c r="L58" s="7" t="str">
        <f aca="false">IF(F58&lt;&gt;0,F58-K58," ")</f>
        <v> </v>
      </c>
      <c r="M58" s="8" t="str">
        <f aca="false">IF((F58-K58)&lt;&gt;0,M$1-A58," ")</f>
        <v> </v>
      </c>
      <c r="N58" s="5"/>
      <c r="O58" s="17" t="str">
        <f aca="false">IF((E58="s"),H58," ")</f>
        <v> </v>
      </c>
      <c r="P58" s="17" t="str">
        <f aca="false">IF((E58="c"),H58," ")</f>
        <v> </v>
      </c>
      <c r="Q58" s="17" t="str">
        <f aca="false">IF((E58="o"),H58," ")</f>
        <v> </v>
      </c>
      <c r="R58" s="17" t="str">
        <f aca="false">IF((E58="d"),H58," ")</f>
        <v> </v>
      </c>
      <c r="S58" s="17" t="str">
        <f aca="false">IF((E58="w"),H58," ")</f>
        <v> </v>
      </c>
      <c r="T58" s="17" t="str">
        <f aca="false">IF((E58="r"),H58," ")</f>
        <v> </v>
      </c>
      <c r="U58" s="17" t="str">
        <f aca="false">IF((E58="p"),H58," ")</f>
        <v> </v>
      </c>
      <c r="V58" s="17" t="str">
        <f aca="false">IF((E58="t"),H58," ")</f>
        <v> </v>
      </c>
      <c r="W58" s="17" t="str">
        <f aca="false">IF((E58="q"),H58," ")</f>
        <v> </v>
      </c>
      <c r="X58" s="17" t="str">
        <f aca="false">IF((E58="m"),H58," ")</f>
        <v> </v>
      </c>
      <c r="Y58" s="17" t="str">
        <f aca="false">IF((E58="u"),H58," ")</f>
        <v> </v>
      </c>
      <c r="Z58" s="17" t="str">
        <f aca="false">IF((E58="a"),H58," ")</f>
        <v> </v>
      </c>
      <c r="AA58" s="17" t="str">
        <f aca="false">IF((E58="g"),H58," ")</f>
        <v> </v>
      </c>
      <c r="AB58" s="17" t="str">
        <f aca="false">IF((E58="h"),H58," ")</f>
        <v> </v>
      </c>
      <c r="AC58" s="30" t="str">
        <f aca="false">IF((E58="v"),H58," ")</f>
        <v> </v>
      </c>
      <c r="AD58" s="30" t="str">
        <f aca="false">IF((E58="n"),H58," ")</f>
        <v> </v>
      </c>
      <c r="AE58" s="17" t="str">
        <f aca="false">IF((E58="f"),H58," ")</f>
        <v> </v>
      </c>
      <c r="AF58" s="17" t="str">
        <f aca="false">IF((E58="l"),H58," ")</f>
        <v> </v>
      </c>
      <c r="AG58" s="17" t="str">
        <f aca="false">IF((E58="y"),H58," ")</f>
        <v> </v>
      </c>
      <c r="AH58" s="17" t="str">
        <f aca="false">IF((E58="z"),H58," ")</f>
        <v> </v>
      </c>
      <c r="AI58" s="17" t="str">
        <f aca="false">IF((E58="fa"),H58," ")</f>
        <v> </v>
      </c>
      <c r="AJ58" s="17" t="str">
        <f aca="false">IF((E58="e"),H58," ")</f>
        <v> </v>
      </c>
    </row>
    <row r="59" customFormat="false" ht="12" hidden="false" customHeight="false" outlineLevel="0" collapsed="false">
      <c r="A59" s="28"/>
      <c r="E59" s="2"/>
      <c r="F59" s="30"/>
      <c r="G59" s="6" t="str">
        <f aca="false">IF(F59&lt;&gt;0,F59*G$2/(100+G$2)," ")</f>
        <v> </v>
      </c>
      <c r="H59" s="6" t="str">
        <f aca="false">IF((F59&lt;&gt;0),F59-G59," ")</f>
        <v> </v>
      </c>
      <c r="I59" s="5"/>
      <c r="L59" s="7" t="str">
        <f aca="false">IF(F59&lt;&gt;0,F59-K59," ")</f>
        <v> </v>
      </c>
      <c r="M59" s="8" t="str">
        <f aca="false">IF((F59-K59)&lt;&gt;0,M$1-A59," ")</f>
        <v> </v>
      </c>
      <c r="N59" s="5"/>
      <c r="O59" s="17" t="str">
        <f aca="false">IF((E59="s"),H59," ")</f>
        <v> </v>
      </c>
      <c r="P59" s="17" t="str">
        <f aca="false">IF((E59="c"),H59," ")</f>
        <v> </v>
      </c>
      <c r="Q59" s="17" t="str">
        <f aca="false">IF((E59="o"),H59," ")</f>
        <v> </v>
      </c>
      <c r="R59" s="17" t="str">
        <f aca="false">IF((E59="d"),H59," ")</f>
        <v> </v>
      </c>
      <c r="S59" s="17" t="str">
        <f aca="false">IF((E59="w"),H59," ")</f>
        <v> </v>
      </c>
      <c r="T59" s="17" t="str">
        <f aca="false">IF((E59="r"),H59," ")</f>
        <v> </v>
      </c>
      <c r="U59" s="17" t="str">
        <f aca="false">IF((E59="p"),H59," ")</f>
        <v> </v>
      </c>
      <c r="V59" s="17" t="str">
        <f aca="false">IF((E59="t"),H59," ")</f>
        <v> </v>
      </c>
      <c r="W59" s="17" t="str">
        <f aca="false">IF((E59="q"),H59," ")</f>
        <v> </v>
      </c>
      <c r="X59" s="17" t="str">
        <f aca="false">IF((E59="m"),H59," ")</f>
        <v> </v>
      </c>
      <c r="Y59" s="17" t="str">
        <f aca="false">IF((E59="u"),H59," ")</f>
        <v> </v>
      </c>
      <c r="Z59" s="17" t="str">
        <f aca="false">IF((E59="a"),H59," ")</f>
        <v> </v>
      </c>
      <c r="AA59" s="17" t="str">
        <f aca="false">IF((E59="g"),H59," ")</f>
        <v> </v>
      </c>
      <c r="AB59" s="17" t="str">
        <f aca="false">IF((E59="h"),H59," ")</f>
        <v> </v>
      </c>
      <c r="AC59" s="30" t="str">
        <f aca="false">IF((E59="v"),H59," ")</f>
        <v> </v>
      </c>
      <c r="AD59" s="30" t="str">
        <f aca="false">IF((E59="n"),H59," ")</f>
        <v> </v>
      </c>
      <c r="AE59" s="17" t="str">
        <f aca="false">IF((E59="f"),H59," ")</f>
        <v> </v>
      </c>
      <c r="AF59" s="17" t="str">
        <f aca="false">IF((E59="l"),H59," ")</f>
        <v> </v>
      </c>
      <c r="AG59" s="17" t="str">
        <f aca="false">IF((E59="y"),H59," ")</f>
        <v> </v>
      </c>
      <c r="AH59" s="17" t="str">
        <f aca="false">IF((E59="z"),H59," ")</f>
        <v> </v>
      </c>
      <c r="AI59" s="17" t="str">
        <f aca="false">IF((E59="fa"),H59," ")</f>
        <v> </v>
      </c>
      <c r="AJ59" s="17" t="str">
        <f aca="false">IF((E59="e"),H59," ")</f>
        <v> </v>
      </c>
    </row>
    <row r="60" customFormat="false" ht="12" hidden="false" customHeight="false" outlineLevel="0" collapsed="false">
      <c r="A60" s="28"/>
      <c r="E60" s="2"/>
      <c r="F60" s="30"/>
      <c r="G60" s="6" t="str">
        <f aca="false">IF(F60&lt;&gt;0,F60*G$2/(100+G$2)," ")</f>
        <v> </v>
      </c>
      <c r="H60" s="6" t="str">
        <f aca="false">IF((F60&lt;&gt;0),F60-G60," ")</f>
        <v> </v>
      </c>
      <c r="I60" s="5"/>
      <c r="L60" s="7" t="str">
        <f aca="false">IF(F60&lt;&gt;0,F60-K60," ")</f>
        <v> </v>
      </c>
      <c r="M60" s="8" t="str">
        <f aca="false">IF((F60-K60)&lt;&gt;0,M$1-A60," ")</f>
        <v> </v>
      </c>
      <c r="N60" s="5"/>
      <c r="O60" s="17" t="str">
        <f aca="false">IF((E60="s"),H60," ")</f>
        <v> </v>
      </c>
      <c r="P60" s="17" t="str">
        <f aca="false">IF((E60="c"),H60," ")</f>
        <v> </v>
      </c>
      <c r="Q60" s="17" t="str">
        <f aca="false">IF((E60="o"),H60," ")</f>
        <v> </v>
      </c>
      <c r="R60" s="17" t="str">
        <f aca="false">IF((E60="d"),H60," ")</f>
        <v> </v>
      </c>
      <c r="S60" s="17" t="str">
        <f aca="false">IF((E60="w"),H60," ")</f>
        <v> </v>
      </c>
      <c r="T60" s="17" t="str">
        <f aca="false">IF((E60="r"),H60," ")</f>
        <v> </v>
      </c>
      <c r="U60" s="17" t="str">
        <f aca="false">IF((E60="p"),H60," ")</f>
        <v> </v>
      </c>
      <c r="V60" s="17" t="str">
        <f aca="false">IF((E60="t"),H60," ")</f>
        <v> </v>
      </c>
      <c r="W60" s="17" t="str">
        <f aca="false">IF((E60="q"),H60," ")</f>
        <v> </v>
      </c>
      <c r="X60" s="17" t="str">
        <f aca="false">IF((E60="m"),H60," ")</f>
        <v> </v>
      </c>
      <c r="Y60" s="17" t="str">
        <f aca="false">IF((E60="u"),H60," ")</f>
        <v> </v>
      </c>
      <c r="Z60" s="17" t="str">
        <f aca="false">IF((E60="a"),H60," ")</f>
        <v> </v>
      </c>
      <c r="AA60" s="17" t="str">
        <f aca="false">IF((E60="g"),H60," ")</f>
        <v> </v>
      </c>
      <c r="AB60" s="17" t="str">
        <f aca="false">IF((E60="h"),H60," ")</f>
        <v> </v>
      </c>
      <c r="AC60" s="30" t="str">
        <f aca="false">IF((E60="v"),H60," ")</f>
        <v> </v>
      </c>
      <c r="AD60" s="30" t="str">
        <f aca="false">IF((E60="n"),H60," ")</f>
        <v> </v>
      </c>
      <c r="AE60" s="17" t="str">
        <f aca="false">IF((E60="f"),H60," ")</f>
        <v> </v>
      </c>
      <c r="AF60" s="17" t="str">
        <f aca="false">IF((E60="l"),H60," ")</f>
        <v> </v>
      </c>
      <c r="AG60" s="17" t="str">
        <f aca="false">IF((E60="y"),H60," ")</f>
        <v> </v>
      </c>
      <c r="AH60" s="17" t="str">
        <f aca="false">IF((E60="z"),H60," ")</f>
        <v> </v>
      </c>
      <c r="AI60" s="17" t="str">
        <f aca="false">IF((E60="fa"),H60," ")</f>
        <v> </v>
      </c>
      <c r="AJ60" s="17" t="str">
        <f aca="false">IF((E60="e"),H60," ")</f>
        <v> </v>
      </c>
    </row>
    <row r="61" customFormat="false" ht="12" hidden="false" customHeight="false" outlineLevel="0" collapsed="false">
      <c r="A61" s="28"/>
      <c r="E61" s="2"/>
      <c r="F61" s="30"/>
      <c r="G61" s="6" t="str">
        <f aca="false">IF(F61&lt;&gt;0,F61*G$2/(100+G$2)," ")</f>
        <v> </v>
      </c>
      <c r="H61" s="6" t="str">
        <f aca="false">IF((F61&lt;&gt;0),F61-G61," ")</f>
        <v> </v>
      </c>
      <c r="I61" s="5"/>
      <c r="L61" s="7" t="str">
        <f aca="false">IF(F61&lt;&gt;0,F61-K61," ")</f>
        <v> </v>
      </c>
      <c r="M61" s="8" t="str">
        <f aca="false">IF((F61-K61)&lt;&gt;0,M$1-A61," ")</f>
        <v> </v>
      </c>
      <c r="N61" s="5"/>
      <c r="O61" s="17" t="str">
        <f aca="false">IF((E61="s"),H61," ")</f>
        <v> </v>
      </c>
      <c r="P61" s="17" t="str">
        <f aca="false">IF((E61="c"),H61," ")</f>
        <v> </v>
      </c>
      <c r="Q61" s="17" t="str">
        <f aca="false">IF((E61="o"),H61," ")</f>
        <v> </v>
      </c>
      <c r="R61" s="17" t="str">
        <f aca="false">IF((E61="d"),H61," ")</f>
        <v> </v>
      </c>
      <c r="S61" s="17" t="str">
        <f aca="false">IF((E61="w"),H61," ")</f>
        <v> </v>
      </c>
      <c r="T61" s="17" t="str">
        <f aca="false">IF((E61="r"),H61," ")</f>
        <v> </v>
      </c>
      <c r="U61" s="17" t="str">
        <f aca="false">IF((E61="p"),H61," ")</f>
        <v> </v>
      </c>
      <c r="V61" s="17" t="str">
        <f aca="false">IF((E61="t"),H61," ")</f>
        <v> </v>
      </c>
      <c r="W61" s="17" t="str">
        <f aca="false">IF((E61="q"),H61," ")</f>
        <v> </v>
      </c>
      <c r="X61" s="17" t="str">
        <f aca="false">IF((E61="m"),H61," ")</f>
        <v> </v>
      </c>
      <c r="Y61" s="17" t="str">
        <f aca="false">IF((E61="u"),H61," ")</f>
        <v> </v>
      </c>
      <c r="Z61" s="17" t="str">
        <f aca="false">IF((E61="a"),H61," ")</f>
        <v> </v>
      </c>
      <c r="AA61" s="17" t="str">
        <f aca="false">IF((E61="g"),H61," ")</f>
        <v> </v>
      </c>
      <c r="AB61" s="17" t="str">
        <f aca="false">IF((E61="h"),H61," ")</f>
        <v> </v>
      </c>
      <c r="AC61" s="30" t="str">
        <f aca="false">IF((E61="v"),H61," ")</f>
        <v> </v>
      </c>
      <c r="AD61" s="30" t="str">
        <f aca="false">IF((E61="n"),H61," ")</f>
        <v> </v>
      </c>
      <c r="AE61" s="17" t="str">
        <f aca="false">IF((E61="f"),H61," ")</f>
        <v> </v>
      </c>
      <c r="AF61" s="17" t="str">
        <f aca="false">IF((E61="l"),H61," ")</f>
        <v> </v>
      </c>
      <c r="AG61" s="17" t="str">
        <f aca="false">IF((E61="y"),H61," ")</f>
        <v> </v>
      </c>
      <c r="AH61" s="17" t="str">
        <f aca="false">IF((E61="z"),H61," ")</f>
        <v> </v>
      </c>
      <c r="AI61" s="17" t="str">
        <f aca="false">IF((E61="fa"),H61," ")</f>
        <v> </v>
      </c>
      <c r="AJ61" s="17" t="str">
        <f aca="false">IF((E61="e"),H61," ")</f>
        <v> </v>
      </c>
    </row>
    <row r="62" customFormat="false" ht="12" hidden="false" customHeight="false" outlineLevel="0" collapsed="false">
      <c r="A62" s="28"/>
      <c r="E62" s="2"/>
      <c r="F62" s="30"/>
      <c r="G62" s="6" t="str">
        <f aca="false">IF(F62&lt;&gt;0,F62*G$2/(100+G$2)," ")</f>
        <v> </v>
      </c>
      <c r="H62" s="6" t="str">
        <f aca="false">IF((F62&lt;&gt;0),F62-G62," ")</f>
        <v> </v>
      </c>
      <c r="I62" s="5"/>
      <c r="L62" s="7" t="str">
        <f aca="false">IF(F62&lt;&gt;0,F62-K62," ")</f>
        <v> </v>
      </c>
      <c r="M62" s="8" t="str">
        <f aca="false">IF((F62-K62)&lt;&gt;0,M$1-A62," ")</f>
        <v> </v>
      </c>
      <c r="N62" s="5"/>
      <c r="O62" s="17" t="str">
        <f aca="false">IF((E62="s"),H62," ")</f>
        <v> </v>
      </c>
      <c r="P62" s="17" t="str">
        <f aca="false">IF((E62="c"),H62," ")</f>
        <v> </v>
      </c>
      <c r="Q62" s="17" t="str">
        <f aca="false">IF((E62="o"),H62," ")</f>
        <v> </v>
      </c>
      <c r="R62" s="17" t="str">
        <f aca="false">IF((E62="d"),H62," ")</f>
        <v> </v>
      </c>
      <c r="S62" s="17" t="str">
        <f aca="false">IF((E62="w"),H62," ")</f>
        <v> </v>
      </c>
      <c r="T62" s="17" t="str">
        <f aca="false">IF((E62="r"),H62," ")</f>
        <v> </v>
      </c>
      <c r="U62" s="17" t="str">
        <f aca="false">IF((E62="p"),H62," ")</f>
        <v> </v>
      </c>
      <c r="V62" s="17" t="str">
        <f aca="false">IF((E62="t"),H62," ")</f>
        <v> </v>
      </c>
      <c r="W62" s="17" t="str">
        <f aca="false">IF((E62="q"),H62," ")</f>
        <v> </v>
      </c>
      <c r="X62" s="17" t="str">
        <f aca="false">IF((E62="m"),H62," ")</f>
        <v> </v>
      </c>
      <c r="Y62" s="17" t="str">
        <f aca="false">IF((E62="u"),H62," ")</f>
        <v> </v>
      </c>
      <c r="Z62" s="17" t="str">
        <f aca="false">IF((E62="a"),H62," ")</f>
        <v> </v>
      </c>
      <c r="AA62" s="17" t="str">
        <f aca="false">IF((E62="g"),H62," ")</f>
        <v> </v>
      </c>
      <c r="AB62" s="17" t="str">
        <f aca="false">IF((E62="h"),H62," ")</f>
        <v> </v>
      </c>
      <c r="AC62" s="30" t="str">
        <f aca="false">IF((E62="v"),H62," ")</f>
        <v> </v>
      </c>
      <c r="AD62" s="30" t="str">
        <f aca="false">IF((E62="n"),H62," ")</f>
        <v> </v>
      </c>
      <c r="AE62" s="17" t="str">
        <f aca="false">IF((E62="f"),H62," ")</f>
        <v> </v>
      </c>
      <c r="AF62" s="17" t="str">
        <f aca="false">IF((E62="l"),H62," ")</f>
        <v> </v>
      </c>
      <c r="AG62" s="17" t="str">
        <f aca="false">IF((E62="y"),H62," ")</f>
        <v> </v>
      </c>
      <c r="AH62" s="17" t="str">
        <f aca="false">IF((E62="z"),H62," ")</f>
        <v> </v>
      </c>
      <c r="AI62" s="17" t="str">
        <f aca="false">IF((E62="fa"),H62," ")</f>
        <v> </v>
      </c>
      <c r="AJ62" s="17" t="str">
        <f aca="false">IF((E62="e"),H62," ")</f>
        <v> </v>
      </c>
    </row>
    <row r="63" customFormat="false" ht="12" hidden="false" customHeight="false" outlineLevel="0" collapsed="false">
      <c r="A63" s="28"/>
      <c r="E63" s="2"/>
      <c r="F63" s="30"/>
      <c r="G63" s="6" t="str">
        <f aca="false">IF(F63&lt;&gt;0,F63*G$2/(100+G$2)," ")</f>
        <v> </v>
      </c>
      <c r="H63" s="6" t="str">
        <f aca="false">IF((F63&lt;&gt;0),F63-G63," ")</f>
        <v> </v>
      </c>
      <c r="I63" s="5"/>
      <c r="L63" s="7" t="str">
        <f aca="false">IF(F63&lt;&gt;0,F63-K63," ")</f>
        <v> </v>
      </c>
      <c r="M63" s="8" t="str">
        <f aca="false">IF((F63-K63)&lt;&gt;0,M$1-A63," ")</f>
        <v> </v>
      </c>
      <c r="N63" s="5"/>
      <c r="O63" s="17" t="str">
        <f aca="false">IF((E63="s"),H63," ")</f>
        <v> </v>
      </c>
      <c r="P63" s="17" t="str">
        <f aca="false">IF((E63="c"),H63," ")</f>
        <v> </v>
      </c>
      <c r="Q63" s="17" t="str">
        <f aca="false">IF((E63="o"),H63," ")</f>
        <v> </v>
      </c>
      <c r="R63" s="17" t="str">
        <f aca="false">IF((E63="d"),H63," ")</f>
        <v> </v>
      </c>
      <c r="S63" s="17" t="str">
        <f aca="false">IF((E63="w"),H63," ")</f>
        <v> </v>
      </c>
      <c r="T63" s="17" t="str">
        <f aca="false">IF((E63="r"),H63," ")</f>
        <v> </v>
      </c>
      <c r="U63" s="17" t="str">
        <f aca="false">IF((E63="p"),H63," ")</f>
        <v> </v>
      </c>
      <c r="V63" s="17" t="str">
        <f aca="false">IF((E63="t"),H63," ")</f>
        <v> </v>
      </c>
      <c r="W63" s="17" t="str">
        <f aca="false">IF((E63="q"),H63," ")</f>
        <v> </v>
      </c>
      <c r="X63" s="17" t="str">
        <f aca="false">IF((E63="m"),H63," ")</f>
        <v> </v>
      </c>
      <c r="Y63" s="17" t="str">
        <f aca="false">IF((E63="u"),H63," ")</f>
        <v> </v>
      </c>
      <c r="Z63" s="17" t="str">
        <f aca="false">IF((E63="a"),H63," ")</f>
        <v> </v>
      </c>
      <c r="AA63" s="17" t="str">
        <f aca="false">IF((E63="g"),H63," ")</f>
        <v> </v>
      </c>
      <c r="AB63" s="17" t="str">
        <f aca="false">IF((E63="h"),H63," ")</f>
        <v> </v>
      </c>
      <c r="AC63" s="30" t="str">
        <f aca="false">IF((E63="v"),H63," ")</f>
        <v> </v>
      </c>
      <c r="AD63" s="30" t="str">
        <f aca="false">IF((E63="n"),H63," ")</f>
        <v> </v>
      </c>
      <c r="AE63" s="17" t="str">
        <f aca="false">IF((E63="f"),H63," ")</f>
        <v> </v>
      </c>
      <c r="AF63" s="17" t="str">
        <f aca="false">IF((E63="l"),H63," ")</f>
        <v> </v>
      </c>
      <c r="AG63" s="17" t="str">
        <f aca="false">IF((E63="y"),H63," ")</f>
        <v> </v>
      </c>
      <c r="AH63" s="17" t="str">
        <f aca="false">IF((E63="z"),H63," ")</f>
        <v> </v>
      </c>
      <c r="AI63" s="17" t="str">
        <f aca="false">IF((E63="fa"),H63," ")</f>
        <v> </v>
      </c>
      <c r="AJ63" s="17" t="str">
        <f aca="false">IF((E63="e"),H63," ")</f>
        <v> </v>
      </c>
    </row>
    <row r="64" customFormat="false" ht="12" hidden="false" customHeight="false" outlineLevel="0" collapsed="false">
      <c r="A64" s="28"/>
      <c r="E64" s="2"/>
      <c r="F64" s="30"/>
      <c r="G64" s="6" t="str">
        <f aca="false">IF(F64&lt;&gt;0,F64*G$2/(100+G$2)," ")</f>
        <v> </v>
      </c>
      <c r="H64" s="6" t="str">
        <f aca="false">IF((F64&lt;&gt;0),F64-G64," ")</f>
        <v> </v>
      </c>
      <c r="I64" s="5"/>
      <c r="L64" s="7" t="str">
        <f aca="false">IF(F64&lt;&gt;0,F64-K64," ")</f>
        <v> </v>
      </c>
      <c r="M64" s="8" t="str">
        <f aca="false">IF((F64-K64)&lt;&gt;0,M$1-A64," ")</f>
        <v> </v>
      </c>
      <c r="N64" s="5"/>
      <c r="O64" s="17" t="str">
        <f aca="false">IF((E64="s"),H64," ")</f>
        <v> </v>
      </c>
      <c r="P64" s="17" t="str">
        <f aca="false">IF((E64="c"),H64," ")</f>
        <v> </v>
      </c>
      <c r="Q64" s="17" t="str">
        <f aca="false">IF((E64="o"),H64," ")</f>
        <v> </v>
      </c>
      <c r="R64" s="17" t="str">
        <f aca="false">IF((E64="d"),H64," ")</f>
        <v> </v>
      </c>
      <c r="S64" s="17" t="str">
        <f aca="false">IF((E64="w"),H64," ")</f>
        <v> </v>
      </c>
      <c r="T64" s="17" t="str">
        <f aca="false">IF((E64="r"),H64," ")</f>
        <v> </v>
      </c>
      <c r="U64" s="17" t="str">
        <f aca="false">IF((E64="p"),H64," ")</f>
        <v> </v>
      </c>
      <c r="V64" s="17" t="str">
        <f aca="false">IF((E64="t"),H64," ")</f>
        <v> </v>
      </c>
      <c r="W64" s="17" t="str">
        <f aca="false">IF((E64="q"),H64," ")</f>
        <v> </v>
      </c>
      <c r="X64" s="17" t="str">
        <f aca="false">IF((E64="m"),H64," ")</f>
        <v> </v>
      </c>
      <c r="Y64" s="17" t="str">
        <f aca="false">IF((E64="u"),H64," ")</f>
        <v> </v>
      </c>
      <c r="Z64" s="17" t="str">
        <f aca="false">IF((E64="a"),H64," ")</f>
        <v> </v>
      </c>
      <c r="AA64" s="17" t="str">
        <f aca="false">IF((E64="g"),H64," ")</f>
        <v> </v>
      </c>
      <c r="AB64" s="17" t="str">
        <f aca="false">IF((E64="h"),H64," ")</f>
        <v> </v>
      </c>
      <c r="AC64" s="30" t="str">
        <f aca="false">IF((E64="v"),H64," ")</f>
        <v> </v>
      </c>
      <c r="AD64" s="30" t="str">
        <f aca="false">IF((E64="n"),H64," ")</f>
        <v> </v>
      </c>
      <c r="AE64" s="17" t="str">
        <f aca="false">IF((E64="f"),H64," ")</f>
        <v> </v>
      </c>
      <c r="AF64" s="17" t="str">
        <f aca="false">IF((E64="l"),H64," ")</f>
        <v> </v>
      </c>
      <c r="AG64" s="17" t="str">
        <f aca="false">IF((E64="y"),H64," ")</f>
        <v> </v>
      </c>
      <c r="AH64" s="17" t="str">
        <f aca="false">IF((E64="z"),H64," ")</f>
        <v> </v>
      </c>
      <c r="AI64" s="17" t="str">
        <f aca="false">IF((E64="fa"),H64," ")</f>
        <v> </v>
      </c>
      <c r="AJ64" s="17" t="str">
        <f aca="false">IF((E64="e"),H64," ")</f>
        <v> </v>
      </c>
    </row>
    <row r="65" customFormat="false" ht="12" hidden="false" customHeight="false" outlineLevel="0" collapsed="false">
      <c r="A65" s="28"/>
      <c r="E65" s="2"/>
      <c r="F65" s="30"/>
      <c r="G65" s="6" t="str">
        <f aca="false">IF(F65&lt;&gt;0,F65*G$2/(100+G$2)," ")</f>
        <v> </v>
      </c>
      <c r="H65" s="6" t="str">
        <f aca="false">IF((F65&lt;&gt;0),F65-G65," ")</f>
        <v> </v>
      </c>
      <c r="I65" s="5"/>
      <c r="L65" s="7" t="str">
        <f aca="false">IF(F65&lt;&gt;0,F65-K65," ")</f>
        <v> </v>
      </c>
      <c r="M65" s="8" t="str">
        <f aca="false">IF((F65-K65)&lt;&gt;0,M$1-A65," ")</f>
        <v> </v>
      </c>
      <c r="N65" s="5"/>
      <c r="O65" s="17" t="str">
        <f aca="false">IF((E65="s"),H65," ")</f>
        <v> </v>
      </c>
      <c r="P65" s="17" t="str">
        <f aca="false">IF((E65="c"),H65," ")</f>
        <v> </v>
      </c>
      <c r="Q65" s="17" t="str">
        <f aca="false">IF((E65="o"),H65," ")</f>
        <v> </v>
      </c>
      <c r="R65" s="17" t="str">
        <f aca="false">IF((E65="d"),H65," ")</f>
        <v> </v>
      </c>
      <c r="S65" s="17" t="str">
        <f aca="false">IF((E65="w"),H65," ")</f>
        <v> </v>
      </c>
      <c r="T65" s="17" t="str">
        <f aca="false">IF((E65="r"),H65," ")</f>
        <v> </v>
      </c>
      <c r="U65" s="17" t="str">
        <f aca="false">IF((E65="p"),H65," ")</f>
        <v> </v>
      </c>
      <c r="V65" s="17" t="str">
        <f aca="false">IF((E65="t"),H65," ")</f>
        <v> </v>
      </c>
      <c r="W65" s="17" t="str">
        <f aca="false">IF((E65="q"),H65," ")</f>
        <v> </v>
      </c>
      <c r="X65" s="17" t="str">
        <f aca="false">IF((E65="m"),H65," ")</f>
        <v> </v>
      </c>
      <c r="Y65" s="17" t="str">
        <f aca="false">IF((E65="u"),H65," ")</f>
        <v> </v>
      </c>
      <c r="Z65" s="17" t="str">
        <f aca="false">IF((E65="a"),H65," ")</f>
        <v> </v>
      </c>
      <c r="AA65" s="17" t="str">
        <f aca="false">IF((E65="g"),H65," ")</f>
        <v> </v>
      </c>
      <c r="AB65" s="17" t="str">
        <f aca="false">IF((E65="h"),H65," ")</f>
        <v> </v>
      </c>
      <c r="AC65" s="30" t="str">
        <f aca="false">IF((E65="v"),H65," ")</f>
        <v> </v>
      </c>
      <c r="AD65" s="30" t="str">
        <f aca="false">IF((E65="n"),H65," ")</f>
        <v> </v>
      </c>
      <c r="AE65" s="17" t="str">
        <f aca="false">IF((E65="f"),H65," ")</f>
        <v> </v>
      </c>
      <c r="AF65" s="17" t="str">
        <f aca="false">IF((E65="l"),H65," ")</f>
        <v> </v>
      </c>
      <c r="AG65" s="17" t="str">
        <f aca="false">IF((E65="y"),H65," ")</f>
        <v> </v>
      </c>
      <c r="AH65" s="17" t="str">
        <f aca="false">IF((E65="z"),H65," ")</f>
        <v> </v>
      </c>
      <c r="AI65" s="17" t="str">
        <f aca="false">IF((E65="fa"),H65," ")</f>
        <v> </v>
      </c>
      <c r="AJ65" s="17" t="str">
        <f aca="false">IF((E65="e"),H65," ")</f>
        <v> </v>
      </c>
    </row>
    <row r="66" customFormat="false" ht="12" hidden="false" customHeight="false" outlineLevel="0" collapsed="false">
      <c r="A66" s="28"/>
      <c r="E66" s="2"/>
      <c r="F66" s="30"/>
      <c r="G66" s="6" t="str">
        <f aca="false">IF(F66&lt;&gt;0,F66*G$2/(100+G$2)," ")</f>
        <v> </v>
      </c>
      <c r="H66" s="6" t="str">
        <f aca="false">IF((F66&lt;&gt;0),F66-G66," ")</f>
        <v> </v>
      </c>
      <c r="I66" s="5"/>
      <c r="L66" s="7" t="str">
        <f aca="false">IF(F66&lt;&gt;0,F66-K66," ")</f>
        <v> </v>
      </c>
      <c r="M66" s="8" t="str">
        <f aca="false">IF((F66-K66)&lt;&gt;0,M$1-A66," ")</f>
        <v> </v>
      </c>
      <c r="N66" s="5"/>
      <c r="O66" s="17" t="str">
        <f aca="false">IF((E66="s"),H66," ")</f>
        <v> </v>
      </c>
      <c r="P66" s="17" t="str">
        <f aca="false">IF((E66="c"),H66," ")</f>
        <v> </v>
      </c>
      <c r="Q66" s="17" t="str">
        <f aca="false">IF((E66="o"),H66," ")</f>
        <v> </v>
      </c>
      <c r="R66" s="17" t="str">
        <f aca="false">IF((E66="d"),H66," ")</f>
        <v> </v>
      </c>
      <c r="S66" s="17" t="str">
        <f aca="false">IF((E66="w"),H66," ")</f>
        <v> </v>
      </c>
      <c r="T66" s="17" t="str">
        <f aca="false">IF((E66="r"),H66," ")</f>
        <v> </v>
      </c>
      <c r="U66" s="17" t="str">
        <f aca="false">IF((E66="p"),H66," ")</f>
        <v> </v>
      </c>
      <c r="V66" s="17" t="str">
        <f aca="false">IF((E66="t"),H66," ")</f>
        <v> </v>
      </c>
      <c r="W66" s="17" t="str">
        <f aca="false">IF((E66="q"),H66," ")</f>
        <v> </v>
      </c>
      <c r="X66" s="17" t="str">
        <f aca="false">IF((E66="m"),H66," ")</f>
        <v> </v>
      </c>
      <c r="Y66" s="17" t="str">
        <f aca="false">IF((E66="u"),H66," ")</f>
        <v> </v>
      </c>
      <c r="Z66" s="17" t="str">
        <f aca="false">IF((E66="a"),H66," ")</f>
        <v> </v>
      </c>
      <c r="AA66" s="17" t="str">
        <f aca="false">IF((E66="g"),H66," ")</f>
        <v> </v>
      </c>
      <c r="AB66" s="17" t="str">
        <f aca="false">IF((E66="h"),H66," ")</f>
        <v> </v>
      </c>
      <c r="AC66" s="30" t="str">
        <f aca="false">IF((E66="v"),H66," ")</f>
        <v> </v>
      </c>
      <c r="AD66" s="30" t="str">
        <f aca="false">IF((E66="n"),H66," ")</f>
        <v> </v>
      </c>
      <c r="AE66" s="17" t="str">
        <f aca="false">IF((E66="f"),H66," ")</f>
        <v> </v>
      </c>
      <c r="AF66" s="17" t="str">
        <f aca="false">IF((E66="l"),H66," ")</f>
        <v> </v>
      </c>
      <c r="AG66" s="17" t="str">
        <f aca="false">IF((E66="y"),H66," ")</f>
        <v> </v>
      </c>
      <c r="AH66" s="17" t="str">
        <f aca="false">IF((E66="z"),H66," ")</f>
        <v> </v>
      </c>
      <c r="AI66" s="17" t="str">
        <f aca="false">IF((E66="fa"),H66," ")</f>
        <v> </v>
      </c>
      <c r="AJ66" s="17" t="str">
        <f aca="false">IF((E66="e"),H66," ")</f>
        <v> </v>
      </c>
    </row>
    <row r="67" customFormat="false" ht="12" hidden="false" customHeight="false" outlineLevel="0" collapsed="false">
      <c r="A67" s="28"/>
      <c r="E67" s="2"/>
      <c r="F67" s="30"/>
      <c r="G67" s="6" t="str">
        <f aca="false">IF(F67&lt;&gt;0,F67*G$2/(100+G$2)," ")</f>
        <v> </v>
      </c>
      <c r="H67" s="6" t="str">
        <f aca="false">IF((F67&lt;&gt;0),F67-G67," ")</f>
        <v> </v>
      </c>
      <c r="I67" s="5"/>
      <c r="L67" s="7" t="str">
        <f aca="false">IF(F67&lt;&gt;0,F67-K67," ")</f>
        <v> </v>
      </c>
      <c r="M67" s="8" t="str">
        <f aca="false">IF((F67-K67)&lt;&gt;0,M$1-A67," ")</f>
        <v> </v>
      </c>
      <c r="N67" s="5"/>
      <c r="O67" s="17" t="str">
        <f aca="false">IF((E67="s"),H67," ")</f>
        <v> </v>
      </c>
      <c r="P67" s="17" t="str">
        <f aca="false">IF((E67="c"),H67," ")</f>
        <v> </v>
      </c>
      <c r="Q67" s="17" t="str">
        <f aca="false">IF((E67="o"),H67," ")</f>
        <v> </v>
      </c>
      <c r="R67" s="17" t="str">
        <f aca="false">IF((E67="d"),H67," ")</f>
        <v> </v>
      </c>
      <c r="S67" s="17" t="str">
        <f aca="false">IF((E67="w"),H67," ")</f>
        <v> </v>
      </c>
      <c r="T67" s="17" t="str">
        <f aca="false">IF((E67="r"),H67," ")</f>
        <v> </v>
      </c>
      <c r="U67" s="17" t="str">
        <f aca="false">IF((E67="p"),H67," ")</f>
        <v> </v>
      </c>
      <c r="V67" s="17" t="str">
        <f aca="false">IF((E67="t"),H67," ")</f>
        <v> </v>
      </c>
      <c r="W67" s="17" t="str">
        <f aca="false">IF((E67="q"),H67," ")</f>
        <v> </v>
      </c>
      <c r="X67" s="17" t="str">
        <f aca="false">IF((E67="m"),H67," ")</f>
        <v> </v>
      </c>
      <c r="Y67" s="17" t="str">
        <f aca="false">IF((E67="u"),H67," ")</f>
        <v> </v>
      </c>
      <c r="Z67" s="17" t="str">
        <f aca="false">IF((E67="a"),H67," ")</f>
        <v> </v>
      </c>
      <c r="AA67" s="17" t="str">
        <f aca="false">IF((E67="g"),H67," ")</f>
        <v> </v>
      </c>
      <c r="AB67" s="17" t="str">
        <f aca="false">IF((E67="h"),H67," ")</f>
        <v> </v>
      </c>
      <c r="AC67" s="30" t="str">
        <f aca="false">IF((E67="v"),H67," ")</f>
        <v> </v>
      </c>
      <c r="AD67" s="30" t="str">
        <f aca="false">IF((E67="n"),H67," ")</f>
        <v> </v>
      </c>
      <c r="AE67" s="17" t="str">
        <f aca="false">IF((E67="f"),H67," ")</f>
        <v> </v>
      </c>
      <c r="AF67" s="17" t="str">
        <f aca="false">IF((E67="l"),H67," ")</f>
        <v> </v>
      </c>
      <c r="AG67" s="17" t="str">
        <f aca="false">IF((E67="y"),H67," ")</f>
        <v> </v>
      </c>
      <c r="AH67" s="17" t="str">
        <f aca="false">IF((E67="z"),H67," ")</f>
        <v> </v>
      </c>
      <c r="AI67" s="17" t="str">
        <f aca="false">IF((E67="fa"),H67," ")</f>
        <v> </v>
      </c>
      <c r="AJ67" s="17" t="str">
        <f aca="false">IF((E67="e"),H67," ")</f>
        <v> </v>
      </c>
    </row>
    <row r="68" customFormat="false" ht="12" hidden="false" customHeight="false" outlineLevel="0" collapsed="false">
      <c r="A68" s="28"/>
      <c r="E68" s="2"/>
      <c r="F68" s="30"/>
      <c r="G68" s="6" t="str">
        <f aca="false">IF(F68&lt;&gt;0,F68*G$2/(100+G$2)," ")</f>
        <v> </v>
      </c>
      <c r="H68" s="6" t="str">
        <f aca="false">IF((F68&lt;&gt;0),F68-G68," ")</f>
        <v> </v>
      </c>
      <c r="I68" s="5"/>
      <c r="L68" s="7" t="str">
        <f aca="false">IF(F68&lt;&gt;0,F68-K68," ")</f>
        <v> </v>
      </c>
      <c r="M68" s="8" t="str">
        <f aca="false">IF((F68-K68)&lt;&gt;0,M$1-A68," ")</f>
        <v> </v>
      </c>
      <c r="N68" s="5"/>
      <c r="O68" s="17" t="str">
        <f aca="false">IF((E68="s"),H68," ")</f>
        <v> </v>
      </c>
      <c r="P68" s="17" t="str">
        <f aca="false">IF((E68="c"),H68," ")</f>
        <v> </v>
      </c>
      <c r="Q68" s="17" t="str">
        <f aca="false">IF((E68="o"),H68," ")</f>
        <v> </v>
      </c>
      <c r="R68" s="17" t="str">
        <f aca="false">IF((E68="d"),H68," ")</f>
        <v> </v>
      </c>
      <c r="S68" s="17" t="str">
        <f aca="false">IF((E68="w"),H68," ")</f>
        <v> </v>
      </c>
      <c r="T68" s="17" t="str">
        <f aca="false">IF((E68="r"),H68," ")</f>
        <v> </v>
      </c>
      <c r="U68" s="17" t="str">
        <f aca="false">IF((E68="p"),H68," ")</f>
        <v> </v>
      </c>
      <c r="V68" s="17" t="str">
        <f aca="false">IF((E68="t"),H68," ")</f>
        <v> </v>
      </c>
      <c r="W68" s="17" t="str">
        <f aca="false">IF((E68="q"),H68," ")</f>
        <v> </v>
      </c>
      <c r="X68" s="17" t="str">
        <f aca="false">IF((E68="m"),H68," ")</f>
        <v> </v>
      </c>
      <c r="Y68" s="17" t="str">
        <f aca="false">IF((E68="u"),H68," ")</f>
        <v> </v>
      </c>
      <c r="Z68" s="17" t="str">
        <f aca="false">IF((E68="a"),H68," ")</f>
        <v> </v>
      </c>
      <c r="AA68" s="17" t="str">
        <f aca="false">IF((E68="g"),H68," ")</f>
        <v> </v>
      </c>
      <c r="AB68" s="17" t="str">
        <f aca="false">IF((E68="h"),H68," ")</f>
        <v> </v>
      </c>
      <c r="AC68" s="30" t="str">
        <f aca="false">IF((E68="v"),H68," ")</f>
        <v> </v>
      </c>
      <c r="AD68" s="30" t="str">
        <f aca="false">IF((E68="n"),H68," ")</f>
        <v> </v>
      </c>
      <c r="AE68" s="17" t="str">
        <f aca="false">IF((E68="f"),H68," ")</f>
        <v> </v>
      </c>
      <c r="AF68" s="17" t="str">
        <f aca="false">IF((E68="l"),H68," ")</f>
        <v> </v>
      </c>
      <c r="AG68" s="17" t="str">
        <f aca="false">IF((E68="y"),H68," ")</f>
        <v> </v>
      </c>
      <c r="AH68" s="17" t="str">
        <f aca="false">IF((E68="z"),H68," ")</f>
        <v> </v>
      </c>
      <c r="AI68" s="17" t="str">
        <f aca="false">IF((E68="fa"),H68," ")</f>
        <v> </v>
      </c>
      <c r="AJ68" s="17" t="str">
        <f aca="false">IF((E68="e"),H68," ")</f>
        <v> </v>
      </c>
    </row>
    <row r="69" customFormat="false" ht="12" hidden="false" customHeight="false" outlineLevel="0" collapsed="false">
      <c r="A69" s="28"/>
      <c r="E69" s="2"/>
      <c r="F69" s="30"/>
      <c r="G69" s="6" t="str">
        <f aca="false">IF(F69&lt;&gt;0,F69*G$2/(100+G$2)," ")</f>
        <v> </v>
      </c>
      <c r="H69" s="6" t="str">
        <f aca="false">IF((F69&lt;&gt;0),F69-G69," ")</f>
        <v> </v>
      </c>
      <c r="I69" s="5"/>
      <c r="L69" s="7" t="str">
        <f aca="false">IF(F69&lt;&gt;0,F69-K69," ")</f>
        <v> </v>
      </c>
      <c r="M69" s="8" t="str">
        <f aca="false">IF((F69-K69)&lt;&gt;0,M$1-A69," ")</f>
        <v> </v>
      </c>
      <c r="N69" s="5"/>
      <c r="O69" s="17" t="str">
        <f aca="false">IF((E69="s"),H69," ")</f>
        <v> </v>
      </c>
      <c r="P69" s="17" t="str">
        <f aca="false">IF((E69="c"),H69," ")</f>
        <v> </v>
      </c>
      <c r="Q69" s="17" t="str">
        <f aca="false">IF((E69="o"),H69," ")</f>
        <v> </v>
      </c>
      <c r="R69" s="17" t="str">
        <f aca="false">IF((E69="d"),H69," ")</f>
        <v> </v>
      </c>
      <c r="S69" s="17" t="str">
        <f aca="false">IF((E69="w"),H69," ")</f>
        <v> </v>
      </c>
      <c r="T69" s="17" t="str">
        <f aca="false">IF((E69="r"),H69," ")</f>
        <v> </v>
      </c>
      <c r="U69" s="17" t="str">
        <f aca="false">IF((E69="p"),H69," ")</f>
        <v> </v>
      </c>
      <c r="V69" s="17" t="str">
        <f aca="false">IF((E69="t"),H69," ")</f>
        <v> </v>
      </c>
      <c r="W69" s="17" t="str">
        <f aca="false">IF((E69="q"),H69," ")</f>
        <v> </v>
      </c>
      <c r="X69" s="17" t="str">
        <f aca="false">IF((E69="m"),H69," ")</f>
        <v> </v>
      </c>
      <c r="Y69" s="17" t="str">
        <f aca="false">IF((E69="u"),H69," ")</f>
        <v> </v>
      </c>
      <c r="Z69" s="17" t="str">
        <f aca="false">IF((E69="a"),H69," ")</f>
        <v> </v>
      </c>
      <c r="AA69" s="17" t="str">
        <f aca="false">IF((E69="g"),H69," ")</f>
        <v> </v>
      </c>
      <c r="AB69" s="17" t="str">
        <f aca="false">IF((E69="h"),H69," ")</f>
        <v> </v>
      </c>
      <c r="AC69" s="30" t="str">
        <f aca="false">IF((E69="v"),H69," ")</f>
        <v> </v>
      </c>
      <c r="AD69" s="30" t="str">
        <f aca="false">IF((E69="n"),H69," ")</f>
        <v> </v>
      </c>
      <c r="AE69" s="17" t="str">
        <f aca="false">IF((E69="f"),H69," ")</f>
        <v> </v>
      </c>
      <c r="AF69" s="17" t="str">
        <f aca="false">IF((E69="l"),H69," ")</f>
        <v> </v>
      </c>
      <c r="AG69" s="17" t="str">
        <f aca="false">IF((E69="y"),H69," ")</f>
        <v> </v>
      </c>
      <c r="AH69" s="17" t="str">
        <f aca="false">IF((E69="z"),H69," ")</f>
        <v> </v>
      </c>
      <c r="AI69" s="17" t="str">
        <f aca="false">IF((E69="fa"),H69," ")</f>
        <v> </v>
      </c>
      <c r="AJ69" s="17" t="str">
        <f aca="false">IF((E69="e"),H69," ")</f>
        <v> </v>
      </c>
    </row>
    <row r="70" customFormat="false" ht="12" hidden="false" customHeight="false" outlineLevel="0" collapsed="false">
      <c r="A70" s="28"/>
      <c r="E70" s="2" t="str">
        <f aca="false">IF((F70&lt;&gt;0),"Enter Letter"," ")</f>
        <v> </v>
      </c>
      <c r="F70" s="30"/>
      <c r="G70" s="6" t="str">
        <f aca="false">IF(F70&lt;&gt;0,F70*G$2/(100+G$2)," ")</f>
        <v> </v>
      </c>
      <c r="H70" s="6" t="str">
        <f aca="false">IF((F70&lt;&gt;0),F70-G70," ")</f>
        <v> </v>
      </c>
      <c r="I70" s="5"/>
      <c r="L70" s="7" t="str">
        <f aca="false">IF(F70&lt;&gt;0,F70-K70," ")</f>
        <v> </v>
      </c>
      <c r="M70" s="8" t="str">
        <f aca="false">IF((F70-K70)&lt;&gt;0,M$1-A70," ")</f>
        <v> </v>
      </c>
      <c r="N70" s="5"/>
      <c r="O70" s="17" t="str">
        <f aca="false">IF((E70="s"),H70," ")</f>
        <v> </v>
      </c>
      <c r="P70" s="17" t="str">
        <f aca="false">IF((E70="c"),H70," ")</f>
        <v> </v>
      </c>
      <c r="Q70" s="17" t="str">
        <f aca="false">IF((E70="o"),H70," ")</f>
        <v> </v>
      </c>
      <c r="R70" s="17" t="str">
        <f aca="false">IF((E70="d"),H70," ")</f>
        <v> </v>
      </c>
      <c r="S70" s="17" t="str">
        <f aca="false">IF((E70="w"),H70," ")</f>
        <v> </v>
      </c>
      <c r="T70" s="17" t="str">
        <f aca="false">IF((E70="r"),H70," ")</f>
        <v> </v>
      </c>
      <c r="U70" s="17" t="str">
        <f aca="false">IF((E70="p"),H70," ")</f>
        <v> </v>
      </c>
      <c r="V70" s="17" t="str">
        <f aca="false">IF((E70="t"),H70," ")</f>
        <v> </v>
      </c>
      <c r="W70" s="17" t="str">
        <f aca="false">IF((E70="q"),H70," ")</f>
        <v> </v>
      </c>
      <c r="X70" s="17" t="str">
        <f aca="false">IF((E70="m"),H70," ")</f>
        <v> </v>
      </c>
      <c r="Y70" s="17" t="str">
        <f aca="false">IF((E70="u"),H70," ")</f>
        <v> </v>
      </c>
      <c r="Z70" s="17" t="str">
        <f aca="false">IF((E70="a"),H70," ")</f>
        <v> </v>
      </c>
      <c r="AA70" s="17" t="str">
        <f aca="false">IF((E70="g"),H70," ")</f>
        <v> </v>
      </c>
      <c r="AB70" s="17" t="str">
        <f aca="false">IF((E70="h"),H70," ")</f>
        <v> </v>
      </c>
      <c r="AC70" s="30" t="str">
        <f aca="false">IF((E70="v"),H70," ")</f>
        <v> </v>
      </c>
      <c r="AD70" s="30" t="str">
        <f aca="false">IF((E70="n"),H70," ")</f>
        <v> </v>
      </c>
      <c r="AE70" s="17" t="str">
        <f aca="false">IF((E70="f"),H70," ")</f>
        <v> </v>
      </c>
      <c r="AF70" s="17" t="str">
        <f aca="false">IF((E70="l"),H70," ")</f>
        <v> </v>
      </c>
      <c r="AG70" s="17" t="str">
        <f aca="false">IF((E70="y"),H70," ")</f>
        <v> </v>
      </c>
      <c r="AH70" s="17" t="str">
        <f aca="false">IF((E70="z"),H70," ")</f>
        <v> </v>
      </c>
      <c r="AI70" s="17" t="str">
        <f aca="false">IF((E70="fa"),H70," ")</f>
        <v> </v>
      </c>
      <c r="AJ70" s="17" t="str">
        <f aca="false">IF((E70="e"),H70," ")</f>
        <v> </v>
      </c>
    </row>
    <row r="71" customFormat="false" ht="12" hidden="false" customHeight="false" outlineLevel="0" collapsed="false">
      <c r="A71" s="28"/>
      <c r="E71" s="2" t="str">
        <f aca="false">IF((F71&lt;&gt;0),"Enter Letter"," ")</f>
        <v> </v>
      </c>
      <c r="F71" s="30"/>
      <c r="G71" s="6" t="str">
        <f aca="false">IF(F71&lt;&gt;0,F71*G$2/(100+G$2)," ")</f>
        <v> </v>
      </c>
      <c r="H71" s="6" t="str">
        <f aca="false">IF((F71&lt;&gt;0),F71-G71," ")</f>
        <v> </v>
      </c>
      <c r="I71" s="5"/>
      <c r="L71" s="7" t="str">
        <f aca="false">IF(F71&lt;&gt;0,F71-K71," ")</f>
        <v> </v>
      </c>
      <c r="M71" s="8" t="str">
        <f aca="false">IF((F71-K71)&lt;&gt;0,M$1-A71," ")</f>
        <v> </v>
      </c>
      <c r="N71" s="5"/>
      <c r="O71" s="17" t="str">
        <f aca="false">IF((E71="s"),H71," ")</f>
        <v> </v>
      </c>
      <c r="P71" s="17" t="str">
        <f aca="false">IF((E71="c"),H71," ")</f>
        <v> </v>
      </c>
      <c r="Q71" s="17" t="str">
        <f aca="false">IF((E71="o"),H71," ")</f>
        <v> </v>
      </c>
      <c r="R71" s="17" t="str">
        <f aca="false">IF((E71="d"),H71," ")</f>
        <v> </v>
      </c>
      <c r="S71" s="17" t="str">
        <f aca="false">IF((E71="w"),H71," ")</f>
        <v> </v>
      </c>
      <c r="T71" s="17" t="str">
        <f aca="false">IF((E71="r"),H71," ")</f>
        <v> </v>
      </c>
      <c r="U71" s="17" t="str">
        <f aca="false">IF((E71="p"),H71," ")</f>
        <v> </v>
      </c>
      <c r="V71" s="17" t="str">
        <f aca="false">IF((E71="t"),H71," ")</f>
        <v> </v>
      </c>
      <c r="W71" s="17" t="str">
        <f aca="false">IF((E71="q"),H71," ")</f>
        <v> </v>
      </c>
      <c r="X71" s="17" t="str">
        <f aca="false">IF((E71="m"),H71," ")</f>
        <v> </v>
      </c>
      <c r="Y71" s="17" t="str">
        <f aca="false">IF((E71="u"),H71," ")</f>
        <v> </v>
      </c>
      <c r="Z71" s="17" t="str">
        <f aca="false">IF((E71="a"),H71," ")</f>
        <v> </v>
      </c>
      <c r="AA71" s="17" t="str">
        <f aca="false">IF((E71="g"),H71," ")</f>
        <v> </v>
      </c>
      <c r="AB71" s="17" t="str">
        <f aca="false">IF((E71="h"),H71," ")</f>
        <v> </v>
      </c>
      <c r="AC71" s="30" t="str">
        <f aca="false">IF((E71="v"),H71," ")</f>
        <v> </v>
      </c>
      <c r="AD71" s="30" t="str">
        <f aca="false">IF((E71="n"),H71," ")</f>
        <v> </v>
      </c>
      <c r="AE71" s="17" t="str">
        <f aca="false">IF((E71="f"),H71," ")</f>
        <v> </v>
      </c>
      <c r="AF71" s="17" t="str">
        <f aca="false">IF((E71="l"),H71," ")</f>
        <v> </v>
      </c>
      <c r="AG71" s="17" t="str">
        <f aca="false">IF((E71="y"),H71," ")</f>
        <v> </v>
      </c>
      <c r="AH71" s="17" t="str">
        <f aca="false">IF((E71="z"),H71," ")</f>
        <v> </v>
      </c>
      <c r="AI71" s="17" t="str">
        <f aca="false">IF((E71="fa"),H71," ")</f>
        <v> </v>
      </c>
      <c r="AJ71" s="17" t="str">
        <f aca="false">IF((E71="e"),H71," ")</f>
        <v> </v>
      </c>
    </row>
    <row r="72" customFormat="false" ht="12" hidden="false" customHeight="false" outlineLevel="0" collapsed="false">
      <c r="A72" s="28"/>
      <c r="E72" s="2" t="str">
        <f aca="false">IF((F72&lt;&gt;0),"Enter Letter"," ")</f>
        <v> </v>
      </c>
      <c r="F72" s="30"/>
      <c r="G72" s="6" t="str">
        <f aca="false">IF(F72&lt;&gt;0,F72*G$2/(100+G$2)," ")</f>
        <v> </v>
      </c>
      <c r="H72" s="6" t="str">
        <f aca="false">IF((F72&lt;&gt;0),F72-G72," ")</f>
        <v> </v>
      </c>
      <c r="I72" s="5"/>
      <c r="L72" s="7" t="str">
        <f aca="false">IF(F72&lt;&gt;0,F72-K72," ")</f>
        <v> </v>
      </c>
      <c r="M72" s="8" t="str">
        <f aca="false">IF((F72-K72)&lt;&gt;0,M$1-A72," ")</f>
        <v> </v>
      </c>
      <c r="N72" s="5"/>
      <c r="O72" s="17" t="str">
        <f aca="false">IF((E72="s"),H72," ")</f>
        <v> </v>
      </c>
      <c r="P72" s="17" t="str">
        <f aca="false">IF((E72="c"),H72," ")</f>
        <v> </v>
      </c>
      <c r="Q72" s="17" t="str">
        <f aca="false">IF((E72="o"),H72," ")</f>
        <v> </v>
      </c>
      <c r="R72" s="17" t="str">
        <f aca="false">IF((E72="d"),H72," ")</f>
        <v> </v>
      </c>
      <c r="S72" s="17" t="str">
        <f aca="false">IF((E72="w"),H72," ")</f>
        <v> </v>
      </c>
      <c r="T72" s="17" t="str">
        <f aca="false">IF((E72="r"),H72," ")</f>
        <v> </v>
      </c>
      <c r="U72" s="17" t="str">
        <f aca="false">IF((E72="p"),H72," ")</f>
        <v> </v>
      </c>
      <c r="V72" s="17" t="str">
        <f aca="false">IF((E72="t"),H72," ")</f>
        <v> </v>
      </c>
      <c r="W72" s="17" t="str">
        <f aca="false">IF((E72="q"),H72," ")</f>
        <v> </v>
      </c>
      <c r="X72" s="17" t="str">
        <f aca="false">IF((E72="m"),H72," ")</f>
        <v> </v>
      </c>
      <c r="Y72" s="17" t="str">
        <f aca="false">IF((E72="u"),H72," ")</f>
        <v> </v>
      </c>
      <c r="Z72" s="17" t="str">
        <f aca="false">IF((E72="a"),H72," ")</f>
        <v> </v>
      </c>
      <c r="AA72" s="17" t="str">
        <f aca="false">IF((E72="g"),H72," ")</f>
        <v> </v>
      </c>
      <c r="AB72" s="17" t="str">
        <f aca="false">IF((E72="h"),H72," ")</f>
        <v> </v>
      </c>
      <c r="AC72" s="30" t="str">
        <f aca="false">IF((E72="v"),H72," ")</f>
        <v> </v>
      </c>
      <c r="AD72" s="30" t="str">
        <f aca="false">IF((E72="n"),H72," ")</f>
        <v> </v>
      </c>
      <c r="AE72" s="17" t="str">
        <f aca="false">IF((E72="f"),H72," ")</f>
        <v> </v>
      </c>
      <c r="AF72" s="17" t="str">
        <f aca="false">IF((E72="l"),H72," ")</f>
        <v> </v>
      </c>
      <c r="AG72" s="17" t="str">
        <f aca="false">IF((E72="y"),H72," ")</f>
        <v> </v>
      </c>
      <c r="AH72" s="17" t="str">
        <f aca="false">IF((E72="z"),H72," ")</f>
        <v> </v>
      </c>
      <c r="AI72" s="17" t="str">
        <f aca="false">IF((E72="fa"),H72," ")</f>
        <v> </v>
      </c>
      <c r="AJ72" s="17" t="str">
        <f aca="false">IF((E72="e"),H72," ")</f>
        <v> </v>
      </c>
    </row>
    <row r="73" customFormat="false" ht="12" hidden="false" customHeight="false" outlineLevel="0" collapsed="false">
      <c r="A73" s="28"/>
      <c r="E73" s="2" t="str">
        <f aca="false">IF((F73&lt;&gt;0),"Enter Letter"," ")</f>
        <v> </v>
      </c>
      <c r="F73" s="30"/>
      <c r="G73" s="6" t="str">
        <f aca="false">IF(F73&lt;&gt;0,F73*G$2/(100+G$2)," ")</f>
        <v> </v>
      </c>
      <c r="H73" s="6" t="str">
        <f aca="false">IF((F73&lt;&gt;0),F73-G73," ")</f>
        <v> </v>
      </c>
      <c r="I73" s="5"/>
      <c r="L73" s="7" t="str">
        <f aca="false">IF(F73&lt;&gt;0,F73-K73," ")</f>
        <v> </v>
      </c>
      <c r="M73" s="8" t="str">
        <f aca="false">IF((F73-K73)&lt;&gt;0,M$1-A73," ")</f>
        <v> </v>
      </c>
      <c r="N73" s="5"/>
      <c r="O73" s="17" t="str">
        <f aca="false">IF((E73="s"),H73," ")</f>
        <v> </v>
      </c>
      <c r="P73" s="17" t="str">
        <f aca="false">IF((E73="c"),H73," ")</f>
        <v> </v>
      </c>
      <c r="Q73" s="17" t="str">
        <f aca="false">IF((E73="o"),H73," ")</f>
        <v> </v>
      </c>
      <c r="R73" s="17" t="str">
        <f aca="false">IF((E73="d"),H73," ")</f>
        <v> </v>
      </c>
      <c r="S73" s="17" t="str">
        <f aca="false">IF((E73="w"),H73," ")</f>
        <v> </v>
      </c>
      <c r="T73" s="17" t="str">
        <f aca="false">IF((E73="r"),H73," ")</f>
        <v> </v>
      </c>
      <c r="U73" s="17" t="str">
        <f aca="false">IF((E73="p"),H73," ")</f>
        <v> </v>
      </c>
      <c r="V73" s="17" t="str">
        <f aca="false">IF((E73="t"),H73," ")</f>
        <v> </v>
      </c>
      <c r="W73" s="17" t="str">
        <f aca="false">IF((E73="q"),H73," ")</f>
        <v> </v>
      </c>
      <c r="X73" s="17" t="str">
        <f aca="false">IF((E73="m"),H73," ")</f>
        <v> </v>
      </c>
      <c r="Y73" s="17" t="str">
        <f aca="false">IF((E73="u"),H73," ")</f>
        <v> </v>
      </c>
      <c r="Z73" s="17" t="str">
        <f aca="false">IF((E73="a"),H73," ")</f>
        <v> </v>
      </c>
      <c r="AA73" s="17" t="str">
        <f aca="false">IF((E73="g"),H73," ")</f>
        <v> </v>
      </c>
      <c r="AB73" s="17" t="str">
        <f aca="false">IF((E73="h"),H73," ")</f>
        <v> </v>
      </c>
      <c r="AC73" s="30" t="str">
        <f aca="false">IF((E73="v"),H73," ")</f>
        <v> </v>
      </c>
      <c r="AD73" s="30" t="str">
        <f aca="false">IF((E73="n"),H73," ")</f>
        <v> </v>
      </c>
      <c r="AE73" s="17" t="str">
        <f aca="false">IF((E73="f"),H73," ")</f>
        <v> </v>
      </c>
      <c r="AF73" s="17" t="str">
        <f aca="false">IF((E73="l"),H73," ")</f>
        <v> </v>
      </c>
      <c r="AG73" s="17" t="str">
        <f aca="false">IF((E73="y"),H73," ")</f>
        <v> </v>
      </c>
      <c r="AH73" s="17" t="str">
        <f aca="false">IF((E73="z"),H73," ")</f>
        <v> </v>
      </c>
      <c r="AI73" s="17" t="str">
        <f aca="false">IF((E73="fa"),H73," ")</f>
        <v> </v>
      </c>
      <c r="AJ73" s="17" t="str">
        <f aca="false">IF((E73="e"),H73," ")</f>
        <v> </v>
      </c>
    </row>
    <row r="74" customFormat="false" ht="12" hidden="false" customHeight="false" outlineLevel="0" collapsed="false">
      <c r="A74" s="28"/>
      <c r="E74" s="2" t="str">
        <f aca="false">IF((F74&lt;&gt;0),"Enter Letter"," ")</f>
        <v> </v>
      </c>
      <c r="F74" s="30"/>
      <c r="G74" s="6" t="str">
        <f aca="false">IF(F74&lt;&gt;0,F74*G$2/(100+G$2)," ")</f>
        <v> </v>
      </c>
      <c r="H74" s="6" t="str">
        <f aca="false">IF((F74&lt;&gt;0),F74-G74," ")</f>
        <v> </v>
      </c>
      <c r="I74" s="5"/>
      <c r="L74" s="7" t="str">
        <f aca="false">IF(F74&lt;&gt;0,F74-K74," ")</f>
        <v> </v>
      </c>
      <c r="M74" s="8" t="str">
        <f aca="false">IF((F74-K74)&lt;&gt;0,M$1-A74," ")</f>
        <v> </v>
      </c>
      <c r="N74" s="5"/>
      <c r="O74" s="17" t="str">
        <f aca="false">IF((E74="s"),H74," ")</f>
        <v> </v>
      </c>
      <c r="P74" s="17" t="str">
        <f aca="false">IF((E74="c"),H74," ")</f>
        <v> </v>
      </c>
      <c r="Q74" s="17" t="str">
        <f aca="false">IF((E74="o"),H74," ")</f>
        <v> </v>
      </c>
      <c r="R74" s="17" t="str">
        <f aca="false">IF((E74="d"),H74," ")</f>
        <v> </v>
      </c>
      <c r="S74" s="17" t="str">
        <f aca="false">IF((E74="w"),H74," ")</f>
        <v> </v>
      </c>
      <c r="T74" s="17" t="str">
        <f aca="false">IF((E74="r"),H74," ")</f>
        <v> </v>
      </c>
      <c r="U74" s="17" t="str">
        <f aca="false">IF((E74="p"),H74," ")</f>
        <v> </v>
      </c>
      <c r="V74" s="17" t="str">
        <f aca="false">IF((E74="t"),H74," ")</f>
        <v> </v>
      </c>
      <c r="W74" s="17" t="str">
        <f aca="false">IF((E74="q"),H74," ")</f>
        <v> </v>
      </c>
      <c r="X74" s="17" t="str">
        <f aca="false">IF((E74="m"),H74," ")</f>
        <v> </v>
      </c>
      <c r="Y74" s="17" t="str">
        <f aca="false">IF((E74="u"),H74," ")</f>
        <v> </v>
      </c>
      <c r="Z74" s="17" t="str">
        <f aca="false">IF((E74="a"),H74," ")</f>
        <v> </v>
      </c>
      <c r="AA74" s="17" t="str">
        <f aca="false">IF((E74="g"),H74," ")</f>
        <v> </v>
      </c>
      <c r="AB74" s="17" t="str">
        <f aca="false">IF((E74="h"),H74," ")</f>
        <v> </v>
      </c>
      <c r="AC74" s="30" t="str">
        <f aca="false">IF((E74="v"),H74," ")</f>
        <v> </v>
      </c>
      <c r="AD74" s="30" t="str">
        <f aca="false">IF((E74="n"),H74," ")</f>
        <v> </v>
      </c>
      <c r="AE74" s="17" t="str">
        <f aca="false">IF((E74="f"),H74," ")</f>
        <v> </v>
      </c>
      <c r="AF74" s="17" t="str">
        <f aca="false">IF((E74="l"),H74," ")</f>
        <v> </v>
      </c>
      <c r="AG74" s="17" t="str">
        <f aca="false">IF((E74="y"),H74," ")</f>
        <v> </v>
      </c>
      <c r="AH74" s="17" t="str">
        <f aca="false">IF((E74="z"),H74," ")</f>
        <v> </v>
      </c>
      <c r="AI74" s="17" t="str">
        <f aca="false">IF((E74="fa"),H74," ")</f>
        <v> </v>
      </c>
      <c r="AJ74" s="17" t="str">
        <f aca="false">IF((E74="e"),H74," ")</f>
        <v> </v>
      </c>
    </row>
    <row r="75" customFormat="false" ht="12" hidden="false" customHeight="false" outlineLevel="0" collapsed="false">
      <c r="A75" s="28"/>
      <c r="E75" s="2" t="str">
        <f aca="false">IF((F75&lt;&gt;0),"Enter Letter"," ")</f>
        <v> </v>
      </c>
      <c r="F75" s="30"/>
      <c r="G75" s="6" t="str">
        <f aca="false">IF(F75&lt;&gt;0,F75*G$2/(100+G$2)," ")</f>
        <v> </v>
      </c>
      <c r="H75" s="6" t="str">
        <f aca="false">IF((F75&lt;&gt;0),F75-G75," ")</f>
        <v> </v>
      </c>
      <c r="I75" s="5"/>
      <c r="L75" s="7" t="str">
        <f aca="false">IF(F75&lt;&gt;0,F75-K75," ")</f>
        <v> </v>
      </c>
      <c r="M75" s="8" t="str">
        <f aca="false">IF((F75-K75)&lt;&gt;0,M$1-A75," ")</f>
        <v> </v>
      </c>
      <c r="N75" s="5"/>
      <c r="O75" s="17" t="str">
        <f aca="false">IF((E75="s"),H75," ")</f>
        <v> </v>
      </c>
      <c r="P75" s="17" t="str">
        <f aca="false">IF((E75="c"),H75," ")</f>
        <v> </v>
      </c>
      <c r="Q75" s="17" t="str">
        <f aca="false">IF((E75="o"),H75," ")</f>
        <v> </v>
      </c>
      <c r="R75" s="17" t="str">
        <f aca="false">IF((E75="d"),H75," ")</f>
        <v> </v>
      </c>
      <c r="S75" s="17" t="str">
        <f aca="false">IF((E75="w"),H75," ")</f>
        <v> </v>
      </c>
      <c r="T75" s="17" t="str">
        <f aca="false">IF((E75="r"),H75," ")</f>
        <v> </v>
      </c>
      <c r="U75" s="17" t="str">
        <f aca="false">IF((E75="p"),H75," ")</f>
        <v> </v>
      </c>
      <c r="V75" s="17" t="str">
        <f aca="false">IF((E75="t"),H75," ")</f>
        <v> </v>
      </c>
      <c r="W75" s="17" t="str">
        <f aca="false">IF((E75="q"),H75," ")</f>
        <v> </v>
      </c>
      <c r="X75" s="17" t="str">
        <f aca="false">IF((E75="m"),H75," ")</f>
        <v> </v>
      </c>
      <c r="Y75" s="17" t="str">
        <f aca="false">IF((E75="u"),H75," ")</f>
        <v> </v>
      </c>
      <c r="Z75" s="17" t="str">
        <f aca="false">IF((E75="a"),H75," ")</f>
        <v> </v>
      </c>
      <c r="AA75" s="17" t="str">
        <f aca="false">IF((E75="g"),H75," ")</f>
        <v> </v>
      </c>
      <c r="AB75" s="17" t="str">
        <f aca="false">IF((E75="h"),H75," ")</f>
        <v> </v>
      </c>
      <c r="AC75" s="30" t="str">
        <f aca="false">IF((E75="v"),H75," ")</f>
        <v> </v>
      </c>
      <c r="AD75" s="30" t="str">
        <f aca="false">IF((E75="n"),H75," ")</f>
        <v> </v>
      </c>
      <c r="AE75" s="17" t="str">
        <f aca="false">IF((E75="f"),H75," ")</f>
        <v> </v>
      </c>
      <c r="AF75" s="17" t="str">
        <f aca="false">IF((E75="l"),H75," ")</f>
        <v> </v>
      </c>
      <c r="AG75" s="17" t="str">
        <f aca="false">IF((E75="y"),H75," ")</f>
        <v> </v>
      </c>
      <c r="AH75" s="17" t="str">
        <f aca="false">IF((E75="z"),H75," ")</f>
        <v> </v>
      </c>
      <c r="AI75" s="17" t="str">
        <f aca="false">IF((E75="fa"),H75," ")</f>
        <v> </v>
      </c>
      <c r="AJ75" s="17" t="str">
        <f aca="false">IF((E75="e"),H75," ")</f>
        <v> </v>
      </c>
    </row>
    <row r="76" customFormat="false" ht="12" hidden="false" customHeight="false" outlineLevel="0" collapsed="false">
      <c r="A76" s="28"/>
      <c r="E76" s="2" t="str">
        <f aca="false">IF((F76&lt;&gt;0),"Enter Letter"," ")</f>
        <v> </v>
      </c>
      <c r="F76" s="30"/>
      <c r="G76" s="6" t="str">
        <f aca="false">IF(F76&lt;&gt;0,F76*G$2/(100+G$2)," ")</f>
        <v> </v>
      </c>
      <c r="H76" s="6" t="str">
        <f aca="false">IF((F76&lt;&gt;0),F76-G76," ")</f>
        <v> </v>
      </c>
      <c r="I76" s="5"/>
      <c r="L76" s="7" t="str">
        <f aca="false">IF(F76&lt;&gt;0,F76-K76," ")</f>
        <v> </v>
      </c>
      <c r="M76" s="8" t="str">
        <f aca="false">IF((F76-K76)&lt;&gt;0,M$1-A76," ")</f>
        <v> </v>
      </c>
      <c r="N76" s="5"/>
      <c r="O76" s="17" t="str">
        <f aca="false">IF((E76="s"),H76," ")</f>
        <v> </v>
      </c>
      <c r="P76" s="17" t="str">
        <f aca="false">IF((E76="c"),H76," ")</f>
        <v> </v>
      </c>
      <c r="Q76" s="17" t="str">
        <f aca="false">IF((E76="o"),H76," ")</f>
        <v> </v>
      </c>
      <c r="R76" s="17" t="str">
        <f aca="false">IF((E76="d"),H76," ")</f>
        <v> </v>
      </c>
      <c r="S76" s="17" t="str">
        <f aca="false">IF((E76="w"),H76," ")</f>
        <v> </v>
      </c>
      <c r="T76" s="17" t="str">
        <f aca="false">IF((E76="r"),H76," ")</f>
        <v> </v>
      </c>
      <c r="U76" s="17" t="str">
        <f aca="false">IF((E76="p"),H76," ")</f>
        <v> </v>
      </c>
      <c r="V76" s="17" t="str">
        <f aca="false">IF((E76="t"),H76," ")</f>
        <v> </v>
      </c>
      <c r="W76" s="17" t="str">
        <f aca="false">IF((E76="q"),H76," ")</f>
        <v> </v>
      </c>
      <c r="X76" s="17" t="str">
        <f aca="false">IF((E76="m"),H76," ")</f>
        <v> </v>
      </c>
      <c r="Y76" s="17" t="str">
        <f aca="false">IF((E76="u"),H76," ")</f>
        <v> </v>
      </c>
      <c r="Z76" s="17" t="str">
        <f aca="false">IF((E76="a"),H76," ")</f>
        <v> </v>
      </c>
      <c r="AA76" s="17" t="str">
        <f aca="false">IF((E76="g"),H76," ")</f>
        <v> </v>
      </c>
      <c r="AB76" s="17" t="str">
        <f aca="false">IF((E76="h"),H76," ")</f>
        <v> </v>
      </c>
      <c r="AC76" s="30" t="str">
        <f aca="false">IF((E76="v"),H76," ")</f>
        <v> </v>
      </c>
      <c r="AD76" s="30" t="str">
        <f aca="false">IF((E76="n"),H76," ")</f>
        <v> </v>
      </c>
      <c r="AE76" s="17" t="str">
        <f aca="false">IF((E76="f"),H76," ")</f>
        <v> </v>
      </c>
      <c r="AF76" s="17" t="str">
        <f aca="false">IF((E76="l"),H76," ")</f>
        <v> </v>
      </c>
      <c r="AG76" s="17" t="str">
        <f aca="false">IF((E76="y"),H76," ")</f>
        <v> </v>
      </c>
      <c r="AH76" s="17" t="str">
        <f aca="false">IF((E76="z"),H76," ")</f>
        <v> </v>
      </c>
      <c r="AI76" s="17" t="str">
        <f aca="false">IF((E76="fa"),H76," ")</f>
        <v> </v>
      </c>
      <c r="AJ76" s="17" t="str">
        <f aca="false">IF((E76="e"),H76," ")</f>
        <v> </v>
      </c>
    </row>
    <row r="77" customFormat="false" ht="12" hidden="false" customHeight="false" outlineLevel="0" collapsed="false">
      <c r="A77" s="28"/>
      <c r="E77" s="2" t="str">
        <f aca="false">IF((F77&lt;&gt;0),"Enter Letter"," ")</f>
        <v> </v>
      </c>
      <c r="F77" s="30"/>
      <c r="G77" s="6" t="str">
        <f aca="false">IF(F77&lt;&gt;0,F77*G$2/(100+G$2)," ")</f>
        <v> </v>
      </c>
      <c r="H77" s="6" t="str">
        <f aca="false">IF((F77&lt;&gt;0),F77-G77," ")</f>
        <v> </v>
      </c>
      <c r="I77" s="5"/>
      <c r="L77" s="7" t="str">
        <f aca="false">IF(F77&lt;&gt;0,F77-K77," ")</f>
        <v> </v>
      </c>
      <c r="M77" s="8" t="str">
        <f aca="false">IF((F77-K77)&lt;&gt;0,M$1-A77," ")</f>
        <v> </v>
      </c>
      <c r="N77" s="5"/>
      <c r="O77" s="17" t="str">
        <f aca="false">IF((E77="s"),H77," ")</f>
        <v> </v>
      </c>
      <c r="P77" s="17" t="str">
        <f aca="false">IF((E77="c"),H77," ")</f>
        <v> </v>
      </c>
      <c r="Q77" s="17" t="str">
        <f aca="false">IF((E77="o"),H77," ")</f>
        <v> </v>
      </c>
      <c r="R77" s="17" t="str">
        <f aca="false">IF((E77="d"),H77," ")</f>
        <v> </v>
      </c>
      <c r="S77" s="17" t="str">
        <f aca="false">IF((E77="w"),H77," ")</f>
        <v> </v>
      </c>
      <c r="T77" s="17" t="str">
        <f aca="false">IF((E77="r"),H77," ")</f>
        <v> </v>
      </c>
      <c r="U77" s="17" t="str">
        <f aca="false">IF((E77="p"),H77," ")</f>
        <v> </v>
      </c>
      <c r="V77" s="17" t="str">
        <f aca="false">IF((E77="t"),H77," ")</f>
        <v> </v>
      </c>
      <c r="W77" s="17" t="str">
        <f aca="false">IF((E77="q"),H77," ")</f>
        <v> </v>
      </c>
      <c r="X77" s="17" t="str">
        <f aca="false">IF((E77="m"),H77," ")</f>
        <v> </v>
      </c>
      <c r="Y77" s="17" t="str">
        <f aca="false">IF((E77="u"),H77," ")</f>
        <v> </v>
      </c>
      <c r="Z77" s="17" t="str">
        <f aca="false">IF((E77="a"),H77," ")</f>
        <v> </v>
      </c>
      <c r="AA77" s="17" t="str">
        <f aca="false">IF((E77="g"),H77," ")</f>
        <v> </v>
      </c>
      <c r="AB77" s="17" t="str">
        <f aca="false">IF((E77="h"),H77," ")</f>
        <v> </v>
      </c>
      <c r="AC77" s="30" t="str">
        <f aca="false">IF((E77="v"),H77," ")</f>
        <v> </v>
      </c>
      <c r="AD77" s="30" t="str">
        <f aca="false">IF((E77="n"),H77," ")</f>
        <v> </v>
      </c>
      <c r="AE77" s="17" t="str">
        <f aca="false">IF((E77="f"),H77," ")</f>
        <v> </v>
      </c>
      <c r="AF77" s="17" t="str">
        <f aca="false">IF((E77="l"),H77," ")</f>
        <v> </v>
      </c>
      <c r="AG77" s="17" t="str">
        <f aca="false">IF((E77="y"),H77," ")</f>
        <v> </v>
      </c>
      <c r="AH77" s="17" t="str">
        <f aca="false">IF((E77="z"),H77," ")</f>
        <v> </v>
      </c>
      <c r="AI77" s="17" t="str">
        <f aca="false">IF((E77="fa"),H77," ")</f>
        <v> </v>
      </c>
      <c r="AJ77" s="17" t="str">
        <f aca="false">IF((E77="e"),H77," ")</f>
        <v> </v>
      </c>
    </row>
    <row r="78" customFormat="false" ht="12" hidden="false" customHeight="false" outlineLevel="0" collapsed="false">
      <c r="A78" s="28"/>
      <c r="E78" s="2" t="str">
        <f aca="false">IF((F78&lt;&gt;0),"Enter Letter"," ")</f>
        <v> </v>
      </c>
      <c r="F78" s="30"/>
      <c r="G78" s="6" t="str">
        <f aca="false">IF(F78&lt;&gt;0,F78*G$2/(100+G$2)," ")</f>
        <v> </v>
      </c>
      <c r="H78" s="6" t="str">
        <f aca="false">IF((F78&lt;&gt;0),F78-G78," ")</f>
        <v> </v>
      </c>
      <c r="I78" s="5"/>
      <c r="L78" s="7" t="str">
        <f aca="false">IF(F78&lt;&gt;0,F78-K78," ")</f>
        <v> </v>
      </c>
      <c r="M78" s="8" t="str">
        <f aca="false">IF((F78-K78)&lt;&gt;0,M$1-A78," ")</f>
        <v> </v>
      </c>
      <c r="N78" s="5"/>
      <c r="O78" s="17" t="str">
        <f aca="false">IF((E78="s"),H78," ")</f>
        <v> </v>
      </c>
      <c r="P78" s="17" t="str">
        <f aca="false">IF((E78="c"),H78," ")</f>
        <v> </v>
      </c>
      <c r="Q78" s="17" t="str">
        <f aca="false">IF((E78="o"),H78," ")</f>
        <v> </v>
      </c>
      <c r="R78" s="17" t="str">
        <f aca="false">IF((E78="d"),H78," ")</f>
        <v> </v>
      </c>
      <c r="S78" s="17" t="str">
        <f aca="false">IF((E78="w"),H78," ")</f>
        <v> </v>
      </c>
      <c r="T78" s="17" t="str">
        <f aca="false">IF((E78="r"),H78," ")</f>
        <v> </v>
      </c>
      <c r="U78" s="17" t="str">
        <f aca="false">IF((E78="p"),H78," ")</f>
        <v> </v>
      </c>
      <c r="V78" s="17" t="str">
        <f aca="false">IF((E78="t"),H78," ")</f>
        <v> </v>
      </c>
      <c r="W78" s="17" t="str">
        <f aca="false">IF((E78="q"),H78," ")</f>
        <v> </v>
      </c>
      <c r="X78" s="17" t="str">
        <f aca="false">IF((E78="m"),H78," ")</f>
        <v> </v>
      </c>
      <c r="Y78" s="17" t="str">
        <f aca="false">IF((E78="u"),H78," ")</f>
        <v> </v>
      </c>
      <c r="Z78" s="17" t="str">
        <f aca="false">IF((E78="a"),H78," ")</f>
        <v> </v>
      </c>
      <c r="AA78" s="17" t="str">
        <f aca="false">IF((E78="g"),H78," ")</f>
        <v> </v>
      </c>
      <c r="AB78" s="17" t="str">
        <f aca="false">IF((E78="h"),H78," ")</f>
        <v> </v>
      </c>
      <c r="AC78" s="30" t="str">
        <f aca="false">IF((E78="v"),H78," ")</f>
        <v> </v>
      </c>
      <c r="AD78" s="30" t="str">
        <f aca="false">IF((E78="n"),H78," ")</f>
        <v> </v>
      </c>
      <c r="AE78" s="17" t="str">
        <f aca="false">IF((E78="f"),H78," ")</f>
        <v> </v>
      </c>
      <c r="AF78" s="17" t="str">
        <f aca="false">IF((E78="l"),H78," ")</f>
        <v> </v>
      </c>
      <c r="AG78" s="17" t="str">
        <f aca="false">IF((E78="y"),H78," ")</f>
        <v> </v>
      </c>
      <c r="AH78" s="17" t="str">
        <f aca="false">IF((E78="z"),H78," ")</f>
        <v> </v>
      </c>
      <c r="AI78" s="17" t="str">
        <f aca="false">IF((E78="fa"),H78," ")</f>
        <v> </v>
      </c>
      <c r="AJ78" s="17" t="str">
        <f aca="false">IF((E78="e"),H78," ")</f>
        <v> </v>
      </c>
    </row>
    <row r="79" customFormat="false" ht="12" hidden="false" customHeight="false" outlineLevel="0" collapsed="false">
      <c r="A79" s="28"/>
      <c r="E79" s="2" t="str">
        <f aca="false">IF((F79&lt;&gt;0),"Enter Letter"," ")</f>
        <v> </v>
      </c>
      <c r="F79" s="30"/>
      <c r="G79" s="6" t="str">
        <f aca="false">IF(F79&lt;&gt;0,F79*G$2/(100+G$2)," ")</f>
        <v> </v>
      </c>
      <c r="H79" s="6" t="str">
        <f aca="false">IF((F79&lt;&gt;0),F79-G79," ")</f>
        <v> </v>
      </c>
      <c r="I79" s="5"/>
      <c r="L79" s="7" t="str">
        <f aca="false">IF(F79&lt;&gt;0,F79-K79," ")</f>
        <v> </v>
      </c>
      <c r="M79" s="8" t="str">
        <f aca="false">IF((F79-K79)&lt;&gt;0,M$1-A79," ")</f>
        <v> </v>
      </c>
      <c r="N79" s="5"/>
      <c r="O79" s="17" t="str">
        <f aca="false">IF((E79="s"),H79," ")</f>
        <v> </v>
      </c>
      <c r="P79" s="17" t="str">
        <f aca="false">IF((E79="c"),H79," ")</f>
        <v> </v>
      </c>
      <c r="Q79" s="17" t="str">
        <f aca="false">IF((E79="o"),H79," ")</f>
        <v> </v>
      </c>
      <c r="R79" s="17" t="str">
        <f aca="false">IF((E79="d"),H79," ")</f>
        <v> </v>
      </c>
      <c r="S79" s="17" t="str">
        <f aca="false">IF((E79="w"),H79," ")</f>
        <v> </v>
      </c>
      <c r="T79" s="17" t="str">
        <f aca="false">IF((E79="r"),H79," ")</f>
        <v> </v>
      </c>
      <c r="U79" s="17" t="str">
        <f aca="false">IF((E79="p"),H79," ")</f>
        <v> </v>
      </c>
      <c r="V79" s="17" t="str">
        <f aca="false">IF((E79="t"),H79," ")</f>
        <v> </v>
      </c>
      <c r="W79" s="17" t="str">
        <f aca="false">IF((E79="q"),H79," ")</f>
        <v> </v>
      </c>
      <c r="X79" s="17" t="str">
        <f aca="false">IF((E79="m"),H79," ")</f>
        <v> </v>
      </c>
      <c r="Y79" s="17" t="str">
        <f aca="false">IF((E79="u"),H79," ")</f>
        <v> </v>
      </c>
      <c r="Z79" s="17" t="str">
        <f aca="false">IF((E79="a"),H79," ")</f>
        <v> </v>
      </c>
      <c r="AA79" s="17" t="str">
        <f aca="false">IF((E79="g"),H79," ")</f>
        <v> </v>
      </c>
      <c r="AB79" s="17" t="str">
        <f aca="false">IF((E79="h"),H79," ")</f>
        <v> </v>
      </c>
      <c r="AC79" s="30" t="str">
        <f aca="false">IF((E79="v"),H79," ")</f>
        <v> </v>
      </c>
      <c r="AD79" s="30" t="str">
        <f aca="false">IF((E79="n"),H79," ")</f>
        <v> </v>
      </c>
      <c r="AE79" s="17" t="str">
        <f aca="false">IF((E79="f"),H79," ")</f>
        <v> </v>
      </c>
      <c r="AF79" s="17" t="str">
        <f aca="false">IF((E79="l"),H79," ")</f>
        <v> </v>
      </c>
      <c r="AG79" s="17" t="str">
        <f aca="false">IF((E79="y"),H79," ")</f>
        <v> </v>
      </c>
      <c r="AH79" s="17" t="str">
        <f aca="false">IF((E79="z"),H79," ")</f>
        <v> </v>
      </c>
      <c r="AI79" s="17" t="str">
        <f aca="false">IF((E79="fa"),H79," ")</f>
        <v> </v>
      </c>
      <c r="AJ79" s="17" t="str">
        <f aca="false">IF((E79="e"),H79," ")</f>
        <v> </v>
      </c>
    </row>
    <row r="80" customFormat="false" ht="12" hidden="false" customHeight="false" outlineLevel="0" collapsed="false">
      <c r="A80" s="28"/>
      <c r="E80" s="2" t="str">
        <f aca="false">IF((F80&lt;&gt;0),"Enter Letter"," ")</f>
        <v> </v>
      </c>
      <c r="F80" s="30"/>
      <c r="G80" s="6" t="str">
        <f aca="false">IF(F80&lt;&gt;0,F80*G$2/(100+G$2)," ")</f>
        <v> </v>
      </c>
      <c r="H80" s="6" t="str">
        <f aca="false">IF((F80&lt;&gt;0),F80-G80," ")</f>
        <v> </v>
      </c>
      <c r="I80" s="5"/>
      <c r="L80" s="7" t="str">
        <f aca="false">IF(F80&lt;&gt;0,F80-K80," ")</f>
        <v> </v>
      </c>
      <c r="M80" s="8" t="str">
        <f aca="false">IF((F80-K80)&lt;&gt;0,M$1-A80," ")</f>
        <v> </v>
      </c>
      <c r="N80" s="5"/>
      <c r="O80" s="17" t="str">
        <f aca="false">IF((E80="s"),H80," ")</f>
        <v> </v>
      </c>
      <c r="P80" s="17" t="str">
        <f aca="false">IF((E80="c"),H80," ")</f>
        <v> </v>
      </c>
      <c r="Q80" s="17" t="str">
        <f aca="false">IF((E80="o"),H80," ")</f>
        <v> </v>
      </c>
      <c r="R80" s="17" t="str">
        <f aca="false">IF((E80="d"),H80," ")</f>
        <v> </v>
      </c>
      <c r="S80" s="17" t="str">
        <f aca="false">IF((E80="w"),H80," ")</f>
        <v> </v>
      </c>
      <c r="T80" s="17" t="str">
        <f aca="false">IF((E80="r"),H80," ")</f>
        <v> </v>
      </c>
      <c r="U80" s="17" t="str">
        <f aca="false">IF((E80="p"),H80," ")</f>
        <v> </v>
      </c>
      <c r="V80" s="17" t="str">
        <f aca="false">IF((E80="t"),H80," ")</f>
        <v> </v>
      </c>
      <c r="W80" s="17" t="str">
        <f aca="false">IF((E80="q"),H80," ")</f>
        <v> </v>
      </c>
      <c r="X80" s="17" t="str">
        <f aca="false">IF((E80="m"),H80," ")</f>
        <v> </v>
      </c>
      <c r="Y80" s="17" t="str">
        <f aca="false">IF((E80="u"),H80," ")</f>
        <v> </v>
      </c>
      <c r="Z80" s="17" t="str">
        <f aca="false">IF((E80="a"),H80," ")</f>
        <v> </v>
      </c>
      <c r="AA80" s="17" t="str">
        <f aca="false">IF((E80="g"),H80," ")</f>
        <v> </v>
      </c>
      <c r="AB80" s="17" t="str">
        <f aca="false">IF((E80="h"),H80," ")</f>
        <v> </v>
      </c>
      <c r="AC80" s="30" t="str">
        <f aca="false">IF((E80="v"),H80," ")</f>
        <v> </v>
      </c>
      <c r="AD80" s="30" t="str">
        <f aca="false">IF((E80="n"),H80," ")</f>
        <v> </v>
      </c>
      <c r="AE80" s="17" t="str">
        <f aca="false">IF((E80="f"),H80," ")</f>
        <v> </v>
      </c>
      <c r="AF80" s="17" t="str">
        <f aca="false">IF((E80="l"),H80," ")</f>
        <v> </v>
      </c>
      <c r="AG80" s="17" t="str">
        <f aca="false">IF((E80="y"),H80," ")</f>
        <v> </v>
      </c>
      <c r="AH80" s="17" t="str">
        <f aca="false">IF((E80="z"),H80," ")</f>
        <v> </v>
      </c>
      <c r="AI80" s="17" t="str">
        <f aca="false">IF((E80="fa"),H80," ")</f>
        <v> </v>
      </c>
      <c r="AJ80" s="17" t="str">
        <f aca="false">IF((E80="e"),H80," ")</f>
        <v> </v>
      </c>
    </row>
    <row r="81" customFormat="false" ht="12" hidden="false" customHeight="false" outlineLevel="0" collapsed="false">
      <c r="A81" s="28"/>
      <c r="E81" s="2" t="str">
        <f aca="false">IF((F81&lt;&gt;0),"Enter Letter"," ")</f>
        <v> </v>
      </c>
      <c r="F81" s="30"/>
      <c r="G81" s="6" t="str">
        <f aca="false">IF(F81&lt;&gt;0,F81*G$2/(100+G$2)," ")</f>
        <v> </v>
      </c>
      <c r="H81" s="6" t="str">
        <f aca="false">IF((F81&lt;&gt;0),F81-G81," ")</f>
        <v> </v>
      </c>
      <c r="I81" s="5"/>
      <c r="L81" s="7" t="str">
        <f aca="false">IF(F81&lt;&gt;0,F81-K81," ")</f>
        <v> </v>
      </c>
      <c r="M81" s="8" t="str">
        <f aca="false">IF((F81-K81)&lt;&gt;0,M$1-A81," ")</f>
        <v> </v>
      </c>
      <c r="N81" s="5"/>
      <c r="O81" s="17" t="str">
        <f aca="false">IF((E81="s"),H81," ")</f>
        <v> </v>
      </c>
      <c r="P81" s="17" t="str">
        <f aca="false">IF((E81="c"),H81," ")</f>
        <v> </v>
      </c>
      <c r="Q81" s="17" t="str">
        <f aca="false">IF((E81="o"),H81," ")</f>
        <v> </v>
      </c>
      <c r="R81" s="17" t="str">
        <f aca="false">IF((E81="d"),H81," ")</f>
        <v> </v>
      </c>
      <c r="S81" s="17" t="str">
        <f aca="false">IF((E81="w"),H81," ")</f>
        <v> </v>
      </c>
      <c r="T81" s="17" t="str">
        <f aca="false">IF((E81="r"),H81," ")</f>
        <v> </v>
      </c>
      <c r="U81" s="17" t="str">
        <f aca="false">IF((E81="p"),H81," ")</f>
        <v> </v>
      </c>
      <c r="V81" s="17" t="str">
        <f aca="false">IF((E81="t"),H81," ")</f>
        <v> </v>
      </c>
      <c r="W81" s="17" t="str">
        <f aca="false">IF((E81="q"),H81," ")</f>
        <v> </v>
      </c>
      <c r="X81" s="17" t="str">
        <f aca="false">IF((E81="m"),H81," ")</f>
        <v> </v>
      </c>
      <c r="Y81" s="17" t="str">
        <f aca="false">IF((E81="u"),H81," ")</f>
        <v> </v>
      </c>
      <c r="Z81" s="17" t="str">
        <f aca="false">IF((E81="a"),H81," ")</f>
        <v> </v>
      </c>
      <c r="AA81" s="17" t="str">
        <f aca="false">IF((E81="g"),H81," ")</f>
        <v> </v>
      </c>
      <c r="AB81" s="17" t="str">
        <f aca="false">IF((E81="h"),H81," ")</f>
        <v> </v>
      </c>
      <c r="AC81" s="30" t="str">
        <f aca="false">IF((E81="v"),H81," ")</f>
        <v> </v>
      </c>
      <c r="AD81" s="30" t="str">
        <f aca="false">IF((E81="n"),H81," ")</f>
        <v> </v>
      </c>
      <c r="AE81" s="17" t="str">
        <f aca="false">IF((E81="f"),H81," ")</f>
        <v> </v>
      </c>
      <c r="AF81" s="17" t="str">
        <f aca="false">IF((E81="l"),H81," ")</f>
        <v> </v>
      </c>
      <c r="AG81" s="17" t="str">
        <f aca="false">IF((E81="y"),H81," ")</f>
        <v> </v>
      </c>
      <c r="AH81" s="17" t="str">
        <f aca="false">IF((E81="z"),H81," ")</f>
        <v> </v>
      </c>
      <c r="AI81" s="17" t="str">
        <f aca="false">IF((E81="fa"),H81," ")</f>
        <v> </v>
      </c>
      <c r="AJ81" s="17" t="str">
        <f aca="false">IF((E81="e"),H81," ")</f>
        <v> </v>
      </c>
    </row>
    <row r="82" customFormat="false" ht="12" hidden="false" customHeight="false" outlineLevel="0" collapsed="false">
      <c r="A82" s="28"/>
      <c r="E82" s="2" t="str">
        <f aca="false">IF((F82&lt;&gt;0),"Enter Letter"," ")</f>
        <v> </v>
      </c>
      <c r="F82" s="30"/>
      <c r="G82" s="6" t="str">
        <f aca="false">IF(F82&lt;&gt;0,F82*G$2/(100+G$2)," ")</f>
        <v> </v>
      </c>
      <c r="H82" s="6" t="str">
        <f aca="false">IF((F82&lt;&gt;0),F82-G82," ")</f>
        <v> </v>
      </c>
      <c r="I82" s="5"/>
      <c r="L82" s="7" t="str">
        <f aca="false">IF(F82&lt;&gt;0,F82-K82," ")</f>
        <v> </v>
      </c>
      <c r="M82" s="8" t="str">
        <f aca="false">IF((F82-K82)&lt;&gt;0,M$1-A82," ")</f>
        <v> </v>
      </c>
      <c r="N82" s="5"/>
      <c r="O82" s="17" t="str">
        <f aca="false">IF((E82="s"),H82," ")</f>
        <v> </v>
      </c>
      <c r="P82" s="17" t="str">
        <f aca="false">IF((E82="c"),H82," ")</f>
        <v> </v>
      </c>
      <c r="Q82" s="17" t="str">
        <f aca="false">IF((E82="o"),H82," ")</f>
        <v> </v>
      </c>
      <c r="R82" s="17" t="str">
        <f aca="false">IF((E82="d"),H82," ")</f>
        <v> </v>
      </c>
      <c r="S82" s="17" t="str">
        <f aca="false">IF((E82="w"),H82," ")</f>
        <v> </v>
      </c>
      <c r="T82" s="17" t="str">
        <f aca="false">IF((E82="r"),H82," ")</f>
        <v> </v>
      </c>
      <c r="U82" s="17" t="str">
        <f aca="false">IF((E82="p"),H82," ")</f>
        <v> </v>
      </c>
      <c r="V82" s="17" t="str">
        <f aca="false">IF((E82="t"),H82," ")</f>
        <v> </v>
      </c>
      <c r="W82" s="17" t="str">
        <f aca="false">IF((E82="q"),H82," ")</f>
        <v> </v>
      </c>
      <c r="X82" s="17" t="str">
        <f aca="false">IF((E82="m"),H82," ")</f>
        <v> </v>
      </c>
      <c r="Y82" s="17" t="str">
        <f aca="false">IF((E82="u"),H82," ")</f>
        <v> </v>
      </c>
      <c r="Z82" s="17" t="str">
        <f aca="false">IF((E82="a"),H82," ")</f>
        <v> </v>
      </c>
      <c r="AA82" s="17" t="str">
        <f aca="false">IF((E82="g"),H82," ")</f>
        <v> </v>
      </c>
      <c r="AB82" s="17" t="str">
        <f aca="false">IF((E82="h"),H82," ")</f>
        <v> </v>
      </c>
      <c r="AC82" s="30" t="str">
        <f aca="false">IF((E82="v"),H82," ")</f>
        <v> </v>
      </c>
      <c r="AD82" s="30" t="str">
        <f aca="false">IF((E82="n"),H82," ")</f>
        <v> </v>
      </c>
      <c r="AE82" s="17" t="str">
        <f aca="false">IF((E82="f"),H82," ")</f>
        <v> </v>
      </c>
      <c r="AF82" s="17" t="str">
        <f aca="false">IF((E82="l"),H82," ")</f>
        <v> </v>
      </c>
      <c r="AG82" s="17" t="str">
        <f aca="false">IF((E82="y"),H82," ")</f>
        <v> </v>
      </c>
      <c r="AH82" s="17" t="str">
        <f aca="false">IF((E82="z"),H82," ")</f>
        <v> </v>
      </c>
      <c r="AI82" s="17" t="str">
        <f aca="false">IF((E82="fa"),H82," ")</f>
        <v> </v>
      </c>
      <c r="AJ82" s="17" t="str">
        <f aca="false">IF((E82="e"),H82," ")</f>
        <v> </v>
      </c>
    </row>
    <row r="83" customFormat="false" ht="12" hidden="false" customHeight="false" outlineLevel="0" collapsed="false">
      <c r="A83" s="28"/>
      <c r="E83" s="2" t="str">
        <f aca="false">IF((F83&lt;&gt;0),"Enter Letter"," ")</f>
        <v> </v>
      </c>
      <c r="F83" s="30"/>
      <c r="G83" s="6" t="str">
        <f aca="false">IF(F83&lt;&gt;0,F83*G$2/(100+G$2)," ")</f>
        <v> </v>
      </c>
      <c r="H83" s="6" t="str">
        <f aca="false">IF((F83&lt;&gt;0),F83-G83," ")</f>
        <v> </v>
      </c>
      <c r="I83" s="5"/>
      <c r="L83" s="7" t="str">
        <f aca="false">IF(F83&lt;&gt;0,F83-K83," ")</f>
        <v> </v>
      </c>
      <c r="M83" s="8" t="str">
        <f aca="false">IF((F83-K83)&lt;&gt;0,M$1-A83," ")</f>
        <v> </v>
      </c>
      <c r="N83" s="5"/>
      <c r="O83" s="17" t="str">
        <f aca="false">IF((E83="s"),H83," ")</f>
        <v> </v>
      </c>
      <c r="P83" s="17" t="str">
        <f aca="false">IF((E83="c"),H83," ")</f>
        <v> </v>
      </c>
      <c r="Q83" s="17" t="str">
        <f aca="false">IF((E83="o"),H83," ")</f>
        <v> </v>
      </c>
      <c r="R83" s="17" t="str">
        <f aca="false">IF((E83="d"),H83," ")</f>
        <v> </v>
      </c>
      <c r="S83" s="17" t="str">
        <f aca="false">IF((E83="w"),H83," ")</f>
        <v> </v>
      </c>
      <c r="T83" s="17" t="str">
        <f aca="false">IF((E83="r"),H83," ")</f>
        <v> </v>
      </c>
      <c r="U83" s="17" t="str">
        <f aca="false">IF((E83="p"),H83," ")</f>
        <v> </v>
      </c>
      <c r="V83" s="17" t="str">
        <f aca="false">IF((E83="t"),H83," ")</f>
        <v> </v>
      </c>
      <c r="W83" s="17" t="str">
        <f aca="false">IF((E83="q"),H83," ")</f>
        <v> </v>
      </c>
      <c r="X83" s="17" t="str">
        <f aca="false">IF((E83="m"),H83," ")</f>
        <v> </v>
      </c>
      <c r="Y83" s="17" t="str">
        <f aca="false">IF((E83="u"),H83," ")</f>
        <v> </v>
      </c>
      <c r="Z83" s="17" t="str">
        <f aca="false">IF((E83="a"),H83," ")</f>
        <v> </v>
      </c>
      <c r="AA83" s="17" t="str">
        <f aca="false">IF((E83="g"),H83," ")</f>
        <v> </v>
      </c>
      <c r="AB83" s="17" t="str">
        <f aca="false">IF((E83="h"),H83," ")</f>
        <v> </v>
      </c>
      <c r="AC83" s="30" t="str">
        <f aca="false">IF((E83="v"),H83," ")</f>
        <v> </v>
      </c>
      <c r="AD83" s="30" t="str">
        <f aca="false">IF((E83="n"),H83," ")</f>
        <v> </v>
      </c>
      <c r="AE83" s="17" t="str">
        <f aca="false">IF((E83="f"),H83," ")</f>
        <v> </v>
      </c>
      <c r="AF83" s="17" t="str">
        <f aca="false">IF((E83="l"),H83," ")</f>
        <v> </v>
      </c>
      <c r="AG83" s="17" t="str">
        <f aca="false">IF((E83="y"),H83," ")</f>
        <v> </v>
      </c>
      <c r="AH83" s="17" t="str">
        <f aca="false">IF((E83="z"),H83," ")</f>
        <v> </v>
      </c>
      <c r="AI83" s="17" t="str">
        <f aca="false">IF((E83="fa"),H83," ")</f>
        <v> </v>
      </c>
      <c r="AJ83" s="17" t="str">
        <f aca="false">IF((E83="e"),H83," ")</f>
        <v> </v>
      </c>
    </row>
    <row r="84" customFormat="false" ht="12" hidden="false" customHeight="false" outlineLevel="0" collapsed="false">
      <c r="A84" s="28"/>
      <c r="E84" s="2" t="str">
        <f aca="false">IF((F84&lt;&gt;0),"Enter Letter"," ")</f>
        <v> </v>
      </c>
      <c r="F84" s="30"/>
      <c r="G84" s="6" t="str">
        <f aca="false">IF(F84&lt;&gt;0,F84*G$2/(100+G$2)," ")</f>
        <v> </v>
      </c>
      <c r="H84" s="6" t="str">
        <f aca="false">IF((F84&lt;&gt;0),F84-G84," ")</f>
        <v> </v>
      </c>
      <c r="I84" s="5"/>
      <c r="L84" s="7" t="str">
        <f aca="false">IF(F84&lt;&gt;0,F84-K84," ")</f>
        <v> </v>
      </c>
      <c r="M84" s="8" t="str">
        <f aca="false">IF((F84-K84)&lt;&gt;0,M$1-A84," ")</f>
        <v> </v>
      </c>
      <c r="N84" s="5"/>
      <c r="O84" s="17" t="str">
        <f aca="false">IF((E84="s"),H84," ")</f>
        <v> </v>
      </c>
      <c r="P84" s="17" t="str">
        <f aca="false">IF((E84="c"),H84," ")</f>
        <v> </v>
      </c>
      <c r="Q84" s="17" t="str">
        <f aca="false">IF((E84="o"),H84," ")</f>
        <v> </v>
      </c>
      <c r="R84" s="17" t="str">
        <f aca="false">IF((E84="d"),H84," ")</f>
        <v> </v>
      </c>
      <c r="S84" s="17" t="str">
        <f aca="false">IF((E84="w"),H84," ")</f>
        <v> </v>
      </c>
      <c r="T84" s="17" t="str">
        <f aca="false">IF((E84="r"),H84," ")</f>
        <v> </v>
      </c>
      <c r="U84" s="17" t="str">
        <f aca="false">IF((E84="p"),H84," ")</f>
        <v> </v>
      </c>
      <c r="V84" s="17" t="str">
        <f aca="false">IF((E84="t"),H84," ")</f>
        <v> </v>
      </c>
      <c r="W84" s="17" t="str">
        <f aca="false">IF((E84="q"),H84," ")</f>
        <v> </v>
      </c>
      <c r="X84" s="17" t="str">
        <f aca="false">IF((E84="m"),H84," ")</f>
        <v> </v>
      </c>
      <c r="Y84" s="17" t="str">
        <f aca="false">IF((E84="u"),H84," ")</f>
        <v> </v>
      </c>
      <c r="Z84" s="17" t="str">
        <f aca="false">IF((E84="a"),H84," ")</f>
        <v> </v>
      </c>
      <c r="AA84" s="17" t="str">
        <f aca="false">IF((E84="g"),H84," ")</f>
        <v> </v>
      </c>
      <c r="AB84" s="17" t="str">
        <f aca="false">IF((E84="h"),H84," ")</f>
        <v> </v>
      </c>
      <c r="AC84" s="30" t="str">
        <f aca="false">IF((E84="v"),H84," ")</f>
        <v> </v>
      </c>
      <c r="AD84" s="30" t="str">
        <f aca="false">IF((E84="n"),H84," ")</f>
        <v> </v>
      </c>
      <c r="AE84" s="17" t="str">
        <f aca="false">IF((E84="f"),H84," ")</f>
        <v> </v>
      </c>
      <c r="AF84" s="17" t="str">
        <f aca="false">IF((E84="l"),H84," ")</f>
        <v> </v>
      </c>
      <c r="AG84" s="17" t="str">
        <f aca="false">IF((E84="y"),H84," ")</f>
        <v> </v>
      </c>
      <c r="AH84" s="17" t="str">
        <f aca="false">IF((E84="z"),H84," ")</f>
        <v> </v>
      </c>
      <c r="AI84" s="17" t="str">
        <f aca="false">IF((E84="fa"),H84," ")</f>
        <v> </v>
      </c>
      <c r="AJ84" s="17" t="str">
        <f aca="false">IF((E84="e"),H84," ")</f>
        <v> </v>
      </c>
    </row>
    <row r="85" customFormat="false" ht="12" hidden="false" customHeight="false" outlineLevel="0" collapsed="false">
      <c r="A85" s="28"/>
      <c r="E85" s="2" t="str">
        <f aca="false">IF((F85&lt;&gt;0),"Enter Letter"," ")</f>
        <v> </v>
      </c>
      <c r="F85" s="30"/>
      <c r="G85" s="6" t="str">
        <f aca="false">IF(F85&lt;&gt;0,F85*G$2/(100+G$2)," ")</f>
        <v> </v>
      </c>
      <c r="H85" s="6" t="str">
        <f aca="false">IF((F85&lt;&gt;0),F85-G85," ")</f>
        <v> </v>
      </c>
      <c r="I85" s="5"/>
      <c r="L85" s="7" t="str">
        <f aca="false">IF(F85&lt;&gt;0,F85-K85," ")</f>
        <v> </v>
      </c>
      <c r="M85" s="8" t="str">
        <f aca="false">IF((F85-K85)&lt;&gt;0,M$1-A85," ")</f>
        <v> </v>
      </c>
      <c r="N85" s="5"/>
      <c r="O85" s="17" t="str">
        <f aca="false">IF((E85="s"),H85," ")</f>
        <v> </v>
      </c>
      <c r="P85" s="17" t="str">
        <f aca="false">IF((E85="c"),H85," ")</f>
        <v> </v>
      </c>
      <c r="Q85" s="17" t="str">
        <f aca="false">IF((E85="o"),H85," ")</f>
        <v> </v>
      </c>
      <c r="R85" s="17" t="str">
        <f aca="false">IF((E85="d"),H85," ")</f>
        <v> </v>
      </c>
      <c r="S85" s="17" t="str">
        <f aca="false">IF((E85="w"),H85," ")</f>
        <v> </v>
      </c>
      <c r="T85" s="17" t="str">
        <f aca="false">IF((E85="r"),H85," ")</f>
        <v> </v>
      </c>
      <c r="U85" s="17" t="str">
        <f aca="false">IF((E85="p"),H85," ")</f>
        <v> </v>
      </c>
      <c r="V85" s="17" t="str">
        <f aca="false">IF((E85="t"),H85," ")</f>
        <v> </v>
      </c>
      <c r="W85" s="17" t="str">
        <f aca="false">IF((E85="q"),H85," ")</f>
        <v> </v>
      </c>
      <c r="X85" s="17" t="str">
        <f aca="false">IF((E85="m"),H85," ")</f>
        <v> </v>
      </c>
      <c r="Y85" s="17" t="str">
        <f aca="false">IF((E85="u"),H85," ")</f>
        <v> </v>
      </c>
      <c r="Z85" s="17" t="str">
        <f aca="false">IF((E85="a"),H85," ")</f>
        <v> </v>
      </c>
      <c r="AA85" s="17" t="str">
        <f aca="false">IF((E85="g"),H85," ")</f>
        <v> </v>
      </c>
      <c r="AB85" s="17" t="str">
        <f aca="false">IF((E85="h"),H85," ")</f>
        <v> </v>
      </c>
      <c r="AC85" s="30" t="str">
        <f aca="false">IF((E85="v"),H85," ")</f>
        <v> </v>
      </c>
      <c r="AD85" s="30" t="str">
        <f aca="false">IF((E85="n"),H85," ")</f>
        <v> </v>
      </c>
      <c r="AE85" s="17" t="str">
        <f aca="false">IF((E85="f"),H85," ")</f>
        <v> </v>
      </c>
      <c r="AF85" s="17" t="str">
        <f aca="false">IF((E85="l"),H85," ")</f>
        <v> </v>
      </c>
      <c r="AG85" s="17" t="str">
        <f aca="false">IF((E85="y"),H85," ")</f>
        <v> </v>
      </c>
      <c r="AH85" s="17" t="str">
        <f aca="false">IF((E85="z"),H85," ")</f>
        <v> </v>
      </c>
      <c r="AI85" s="17" t="str">
        <f aca="false">IF((E85="fa"),H85," ")</f>
        <v> </v>
      </c>
      <c r="AJ85" s="17" t="str">
        <f aca="false">IF((E85="e"),H85," ")</f>
        <v> </v>
      </c>
    </row>
    <row r="86" customFormat="false" ht="12" hidden="false" customHeight="false" outlineLevel="0" collapsed="false">
      <c r="A86" s="28"/>
      <c r="E86" s="2" t="str">
        <f aca="false">IF((F86&lt;&gt;0),"Enter Letter"," ")</f>
        <v> </v>
      </c>
      <c r="F86" s="30"/>
      <c r="G86" s="6" t="str">
        <f aca="false">IF(F86&lt;&gt;0,F86*G$2/(100+G$2)," ")</f>
        <v> </v>
      </c>
      <c r="H86" s="6" t="str">
        <f aca="false">IF((F86&lt;&gt;0),F86-G86," ")</f>
        <v> </v>
      </c>
      <c r="I86" s="5"/>
      <c r="L86" s="7" t="str">
        <f aca="false">IF(F86&lt;&gt;0,F86-K86," ")</f>
        <v> </v>
      </c>
      <c r="M86" s="8" t="str">
        <f aca="false">IF((F86-K86)&lt;&gt;0,M$1-A86," ")</f>
        <v> </v>
      </c>
      <c r="N86" s="5"/>
      <c r="O86" s="17" t="str">
        <f aca="false">IF((E86="s"),H86," ")</f>
        <v> </v>
      </c>
      <c r="P86" s="17" t="str">
        <f aca="false">IF((E86="c"),H86," ")</f>
        <v> </v>
      </c>
      <c r="Q86" s="17" t="str">
        <f aca="false">IF((E86="o"),H86," ")</f>
        <v> </v>
      </c>
      <c r="R86" s="17" t="str">
        <f aca="false">IF((E86="d"),H86," ")</f>
        <v> </v>
      </c>
      <c r="S86" s="17" t="str">
        <f aca="false">IF((E86="w"),H86," ")</f>
        <v> </v>
      </c>
      <c r="T86" s="17" t="str">
        <f aca="false">IF((E86="r"),H86," ")</f>
        <v> </v>
      </c>
      <c r="U86" s="17" t="str">
        <f aca="false">IF((E86="p"),H86," ")</f>
        <v> </v>
      </c>
      <c r="V86" s="17" t="str">
        <f aca="false">IF((E86="t"),H86," ")</f>
        <v> </v>
      </c>
      <c r="W86" s="17" t="str">
        <f aca="false">IF((E86="q"),H86," ")</f>
        <v> </v>
      </c>
      <c r="X86" s="17" t="str">
        <f aca="false">IF((E86="m"),H86," ")</f>
        <v> </v>
      </c>
      <c r="Y86" s="17" t="str">
        <f aca="false">IF((E86="u"),H86," ")</f>
        <v> </v>
      </c>
      <c r="Z86" s="17" t="str">
        <f aca="false">IF((E86="a"),H86," ")</f>
        <v> </v>
      </c>
      <c r="AA86" s="17" t="str">
        <f aca="false">IF((E86="g"),H86," ")</f>
        <v> </v>
      </c>
      <c r="AB86" s="17" t="str">
        <f aca="false">IF((E86="h"),H86," ")</f>
        <v> </v>
      </c>
      <c r="AC86" s="30" t="str">
        <f aca="false">IF((E86="v"),H86," ")</f>
        <v> </v>
      </c>
      <c r="AD86" s="30" t="str">
        <f aca="false">IF((E86="n"),H86," ")</f>
        <v> </v>
      </c>
      <c r="AE86" s="17" t="str">
        <f aca="false">IF((E86="f"),H86," ")</f>
        <v> </v>
      </c>
      <c r="AF86" s="17" t="str">
        <f aca="false">IF((E86="l"),H86," ")</f>
        <v> </v>
      </c>
      <c r="AG86" s="17" t="str">
        <f aca="false">IF((E86="y"),H86," ")</f>
        <v> </v>
      </c>
      <c r="AH86" s="17" t="str">
        <f aca="false">IF((E86="z"),H86," ")</f>
        <v> </v>
      </c>
      <c r="AI86" s="17" t="str">
        <f aca="false">IF((E86="fa"),H86," ")</f>
        <v> </v>
      </c>
      <c r="AJ86" s="17" t="str">
        <f aca="false">IF((E86="e"),H86," ")</f>
        <v> </v>
      </c>
    </row>
    <row r="87" customFormat="false" ht="12" hidden="false" customHeight="false" outlineLevel="0" collapsed="false">
      <c r="A87" s="28"/>
      <c r="E87" s="2" t="str">
        <f aca="false">IF((F87&lt;&gt;0),"Enter Letter"," ")</f>
        <v> </v>
      </c>
      <c r="F87" s="30"/>
      <c r="G87" s="6" t="str">
        <f aca="false">IF(F87&lt;&gt;0,F87*G$2/(100+G$2)," ")</f>
        <v> </v>
      </c>
      <c r="H87" s="6" t="str">
        <f aca="false">IF((F87&lt;&gt;0),F87-G87," ")</f>
        <v> </v>
      </c>
      <c r="I87" s="5"/>
      <c r="L87" s="7" t="str">
        <f aca="false">IF(F87&lt;&gt;0,F87-K87," ")</f>
        <v> </v>
      </c>
      <c r="M87" s="8" t="str">
        <f aca="false">IF((F87-K87)&lt;&gt;0,M$1-A87," ")</f>
        <v> </v>
      </c>
      <c r="N87" s="5"/>
      <c r="O87" s="17" t="str">
        <f aca="false">IF((E87="s"),H87," ")</f>
        <v> </v>
      </c>
      <c r="P87" s="17" t="str">
        <f aca="false">IF((E87="c"),H87," ")</f>
        <v> </v>
      </c>
      <c r="Q87" s="17" t="str">
        <f aca="false">IF((E87="o"),H87," ")</f>
        <v> </v>
      </c>
      <c r="R87" s="17" t="str">
        <f aca="false">IF((E87="d"),H87," ")</f>
        <v> </v>
      </c>
      <c r="S87" s="17" t="str">
        <f aca="false">IF((E87="w"),H87," ")</f>
        <v> </v>
      </c>
      <c r="T87" s="17" t="str">
        <f aca="false">IF((E87="r"),H87," ")</f>
        <v> </v>
      </c>
      <c r="U87" s="17" t="str">
        <f aca="false">IF((E87="p"),H87," ")</f>
        <v> </v>
      </c>
      <c r="V87" s="17" t="str">
        <f aca="false">IF((E87="t"),H87," ")</f>
        <v> </v>
      </c>
      <c r="W87" s="17" t="str">
        <f aca="false">IF((E87="q"),H87," ")</f>
        <v> </v>
      </c>
      <c r="X87" s="17" t="str">
        <f aca="false">IF((E87="m"),H87," ")</f>
        <v> </v>
      </c>
      <c r="Y87" s="17" t="str">
        <f aca="false">IF((E87="u"),H87," ")</f>
        <v> </v>
      </c>
      <c r="Z87" s="17" t="str">
        <f aca="false">IF((E87="a"),H87," ")</f>
        <v> </v>
      </c>
      <c r="AA87" s="17" t="str">
        <f aca="false">IF((E87="g"),H87," ")</f>
        <v> </v>
      </c>
      <c r="AB87" s="17" t="str">
        <f aca="false">IF((E87="h"),H87," ")</f>
        <v> </v>
      </c>
      <c r="AC87" s="30" t="str">
        <f aca="false">IF((E87="v"),H87," ")</f>
        <v> </v>
      </c>
      <c r="AD87" s="30" t="str">
        <f aca="false">IF((E87="n"),H87," ")</f>
        <v> </v>
      </c>
      <c r="AE87" s="17" t="str">
        <f aca="false">IF((E87="f"),H87," ")</f>
        <v> </v>
      </c>
      <c r="AF87" s="17" t="str">
        <f aca="false">IF((E87="l"),H87," ")</f>
        <v> </v>
      </c>
      <c r="AG87" s="17" t="str">
        <f aca="false">IF((E87="y"),H87," ")</f>
        <v> </v>
      </c>
      <c r="AH87" s="17" t="str">
        <f aca="false">IF((E87="z"),H87," ")</f>
        <v> </v>
      </c>
      <c r="AI87" s="17" t="str">
        <f aca="false">IF((E87="fa"),H87," ")</f>
        <v> </v>
      </c>
      <c r="AJ87" s="17" t="str">
        <f aca="false">IF((E87="e"),H87," ")</f>
        <v> </v>
      </c>
    </row>
    <row r="88" customFormat="false" ht="12" hidden="false" customHeight="false" outlineLevel="0" collapsed="false">
      <c r="A88" s="28"/>
      <c r="E88" s="2" t="str">
        <f aca="false">IF((F88&lt;&gt;0),"Enter Letter"," ")</f>
        <v> </v>
      </c>
      <c r="F88" s="30"/>
      <c r="G88" s="6" t="str">
        <f aca="false">IF(F88&lt;&gt;0,F88*G$2/(100+G$2)," ")</f>
        <v> </v>
      </c>
      <c r="H88" s="6" t="str">
        <f aca="false">IF((F88&lt;&gt;0),F88-G88," ")</f>
        <v> </v>
      </c>
      <c r="I88" s="5"/>
      <c r="L88" s="7" t="str">
        <f aca="false">IF(F88&lt;&gt;0,F88-K88," ")</f>
        <v> </v>
      </c>
      <c r="M88" s="8" t="str">
        <f aca="false">IF((F88-K88)&lt;&gt;0,M$1-A88," ")</f>
        <v> </v>
      </c>
      <c r="N88" s="5"/>
      <c r="O88" s="17" t="str">
        <f aca="false">IF((E88="s"),H88," ")</f>
        <v> </v>
      </c>
      <c r="P88" s="17" t="str">
        <f aca="false">IF((E88="c"),H88," ")</f>
        <v> </v>
      </c>
      <c r="Q88" s="17" t="str">
        <f aca="false">IF((E88="o"),H88," ")</f>
        <v> </v>
      </c>
      <c r="R88" s="17" t="str">
        <f aca="false">IF((E88="d"),H88," ")</f>
        <v> </v>
      </c>
      <c r="S88" s="17" t="str">
        <f aca="false">IF((E88="w"),H88," ")</f>
        <v> </v>
      </c>
      <c r="T88" s="17" t="str">
        <f aca="false">IF((E88="r"),H88," ")</f>
        <v> </v>
      </c>
      <c r="U88" s="17" t="str">
        <f aca="false">IF((E88="p"),H88," ")</f>
        <v> </v>
      </c>
      <c r="V88" s="17" t="str">
        <f aca="false">IF((E88="t"),H88," ")</f>
        <v> </v>
      </c>
      <c r="W88" s="17" t="str">
        <f aca="false">IF((E88="q"),H88," ")</f>
        <v> </v>
      </c>
      <c r="X88" s="17" t="str">
        <f aca="false">IF((E88="m"),H88," ")</f>
        <v> </v>
      </c>
      <c r="Y88" s="17" t="str">
        <f aca="false">IF((E88="u"),H88," ")</f>
        <v> </v>
      </c>
      <c r="Z88" s="17" t="str">
        <f aca="false">IF((E88="a"),H88," ")</f>
        <v> </v>
      </c>
      <c r="AA88" s="17" t="str">
        <f aca="false">IF((E88="g"),H88," ")</f>
        <v> </v>
      </c>
      <c r="AB88" s="17" t="str">
        <f aca="false">IF((E88="h"),H88," ")</f>
        <v> </v>
      </c>
      <c r="AC88" s="30" t="str">
        <f aca="false">IF((E88="v"),H88," ")</f>
        <v> </v>
      </c>
      <c r="AD88" s="30" t="str">
        <f aca="false">IF((E88="n"),H88," ")</f>
        <v> </v>
      </c>
      <c r="AE88" s="17" t="str">
        <f aca="false">IF((E88="f"),H88," ")</f>
        <v> </v>
      </c>
      <c r="AF88" s="17" t="str">
        <f aca="false">IF((E88="l"),H88," ")</f>
        <v> </v>
      </c>
      <c r="AG88" s="17" t="str">
        <f aca="false">IF((E88="y"),H88," ")</f>
        <v> </v>
      </c>
      <c r="AH88" s="17" t="str">
        <f aca="false">IF((E88="z"),H88," ")</f>
        <v> </v>
      </c>
      <c r="AI88" s="17" t="str">
        <f aca="false">IF((E88="fa"),H88," ")</f>
        <v> </v>
      </c>
      <c r="AJ88" s="17" t="str">
        <f aca="false">IF((E88="e"),H88," ")</f>
        <v> </v>
      </c>
    </row>
    <row r="89" customFormat="false" ht="12" hidden="false" customHeight="false" outlineLevel="0" collapsed="false">
      <c r="A89" s="28"/>
      <c r="E89" s="2" t="str">
        <f aca="false">IF((F89&lt;&gt;0),"Enter Letter"," ")</f>
        <v> </v>
      </c>
      <c r="F89" s="30"/>
      <c r="G89" s="6" t="str">
        <f aca="false">IF(F89&lt;&gt;0,F89*G$2/(100+G$2)," ")</f>
        <v> </v>
      </c>
      <c r="H89" s="6" t="str">
        <f aca="false">IF((F89&lt;&gt;0),F89-G89," ")</f>
        <v> </v>
      </c>
      <c r="I89" s="5"/>
      <c r="L89" s="7" t="str">
        <f aca="false">IF(F89&lt;&gt;0,F89-K89," ")</f>
        <v> </v>
      </c>
      <c r="M89" s="8" t="str">
        <f aca="false">IF((F89-K89)&lt;&gt;0,M$1-A89," ")</f>
        <v> </v>
      </c>
      <c r="N89" s="5"/>
      <c r="O89" s="17" t="str">
        <f aca="false">IF((E89="s"),H89," ")</f>
        <v> </v>
      </c>
      <c r="P89" s="17" t="str">
        <f aca="false">IF((E89="c"),H89," ")</f>
        <v> </v>
      </c>
      <c r="Q89" s="17" t="str">
        <f aca="false">IF((E89="o"),H89," ")</f>
        <v> </v>
      </c>
      <c r="R89" s="17" t="str">
        <f aca="false">IF((E89="d"),H89," ")</f>
        <v> </v>
      </c>
      <c r="S89" s="17" t="str">
        <f aca="false">IF((E89="w"),H89," ")</f>
        <v> </v>
      </c>
      <c r="T89" s="17" t="str">
        <f aca="false">IF((E89="r"),H89," ")</f>
        <v> </v>
      </c>
      <c r="U89" s="17" t="str">
        <f aca="false">IF((E89="p"),H89," ")</f>
        <v> </v>
      </c>
      <c r="V89" s="17" t="str">
        <f aca="false">IF((E89="t"),H89," ")</f>
        <v> </v>
      </c>
      <c r="W89" s="17" t="str">
        <f aca="false">IF((E89="q"),H89," ")</f>
        <v> </v>
      </c>
      <c r="X89" s="17" t="str">
        <f aca="false">IF((E89="m"),H89," ")</f>
        <v> </v>
      </c>
      <c r="Y89" s="17" t="str">
        <f aca="false">IF((E89="u"),H89," ")</f>
        <v> </v>
      </c>
      <c r="Z89" s="17" t="str">
        <f aca="false">IF((E89="a"),H89," ")</f>
        <v> </v>
      </c>
      <c r="AA89" s="17" t="str">
        <f aca="false">IF((E89="g"),H89," ")</f>
        <v> </v>
      </c>
      <c r="AB89" s="17" t="str">
        <f aca="false">IF((E89="h"),H89," ")</f>
        <v> </v>
      </c>
      <c r="AC89" s="30" t="str">
        <f aca="false">IF((E89="v"),H89," ")</f>
        <v> </v>
      </c>
      <c r="AD89" s="30" t="str">
        <f aca="false">IF((E89="n"),H89," ")</f>
        <v> </v>
      </c>
      <c r="AE89" s="17" t="str">
        <f aca="false">IF((E89="f"),H89," ")</f>
        <v> </v>
      </c>
      <c r="AF89" s="17" t="str">
        <f aca="false">IF((E89="l"),H89," ")</f>
        <v> </v>
      </c>
      <c r="AG89" s="17" t="str">
        <f aca="false">IF((E89="y"),H89," ")</f>
        <v> </v>
      </c>
      <c r="AH89" s="17" t="str">
        <f aca="false">IF((E89="z"),H89," ")</f>
        <v> </v>
      </c>
      <c r="AI89" s="17" t="str">
        <f aca="false">IF((E89="fa"),H89," ")</f>
        <v> </v>
      </c>
      <c r="AJ89" s="17" t="str">
        <f aca="false">IF((E89="e"),H89," ")</f>
        <v> </v>
      </c>
    </row>
    <row r="90" customFormat="false" ht="12" hidden="false" customHeight="false" outlineLevel="0" collapsed="false">
      <c r="A90" s="28"/>
      <c r="E90" s="2" t="str">
        <f aca="false">IF((F90&lt;&gt;0),"Enter Letter"," ")</f>
        <v> </v>
      </c>
      <c r="F90" s="30"/>
      <c r="G90" s="6" t="str">
        <f aca="false">IF(F90&lt;&gt;0,F90*G$2/(100+G$2)," ")</f>
        <v> </v>
      </c>
      <c r="H90" s="6" t="str">
        <f aca="false">IF((F90&lt;&gt;0),F90-G90," ")</f>
        <v> </v>
      </c>
      <c r="I90" s="5"/>
      <c r="L90" s="7" t="str">
        <f aca="false">IF(F90&lt;&gt;0,F90-K90," ")</f>
        <v> </v>
      </c>
      <c r="M90" s="8" t="str">
        <f aca="false">IF((F90-K90)&lt;&gt;0,M$1-A90," ")</f>
        <v> </v>
      </c>
      <c r="N90" s="5"/>
      <c r="O90" s="17" t="str">
        <f aca="false">IF((E90="s"),H90," ")</f>
        <v> </v>
      </c>
      <c r="P90" s="17" t="str">
        <f aca="false">IF((E90="c"),H90," ")</f>
        <v> </v>
      </c>
      <c r="Q90" s="17" t="str">
        <f aca="false">IF((E90="o"),H90," ")</f>
        <v> </v>
      </c>
      <c r="R90" s="17" t="str">
        <f aca="false">IF((E90="d"),H90," ")</f>
        <v> </v>
      </c>
      <c r="S90" s="17" t="str">
        <f aca="false">IF((E90="w"),H90," ")</f>
        <v> </v>
      </c>
      <c r="T90" s="17" t="str">
        <f aca="false">IF((E90="r"),H90," ")</f>
        <v> </v>
      </c>
      <c r="U90" s="17" t="str">
        <f aca="false">IF((E90="p"),H90," ")</f>
        <v> </v>
      </c>
      <c r="V90" s="17" t="str">
        <f aca="false">IF((E90="t"),H90," ")</f>
        <v> </v>
      </c>
      <c r="W90" s="17" t="str">
        <f aca="false">IF((E90="q"),H90," ")</f>
        <v> </v>
      </c>
      <c r="X90" s="17" t="str">
        <f aca="false">IF((E90="m"),H90," ")</f>
        <v> </v>
      </c>
      <c r="Y90" s="17" t="str">
        <f aca="false">IF((E90="u"),H90," ")</f>
        <v> </v>
      </c>
      <c r="Z90" s="17" t="str">
        <f aca="false">IF((E90="a"),H90," ")</f>
        <v> </v>
      </c>
      <c r="AA90" s="17" t="str">
        <f aca="false">IF((E90="g"),H90," ")</f>
        <v> </v>
      </c>
      <c r="AB90" s="17" t="str">
        <f aca="false">IF((E90="h"),H90," ")</f>
        <v> </v>
      </c>
      <c r="AC90" s="30" t="str">
        <f aca="false">IF((E90="v"),H90," ")</f>
        <v> </v>
      </c>
      <c r="AD90" s="30" t="str">
        <f aca="false">IF((E90="n"),H90," ")</f>
        <v> </v>
      </c>
      <c r="AE90" s="17" t="str">
        <f aca="false">IF((E90="f"),H90," ")</f>
        <v> </v>
      </c>
      <c r="AF90" s="17" t="str">
        <f aca="false">IF((E90="l"),H90," ")</f>
        <v> </v>
      </c>
      <c r="AG90" s="17" t="str">
        <f aca="false">IF((E90="y"),H90," ")</f>
        <v> </v>
      </c>
      <c r="AH90" s="17" t="str">
        <f aca="false">IF((E90="z"),H90," ")</f>
        <v> </v>
      </c>
      <c r="AI90" s="17" t="str">
        <f aca="false">IF((E90="fa"),H90," ")</f>
        <v> </v>
      </c>
      <c r="AJ90" s="17" t="str">
        <f aca="false">IF((E90="e"),H90," ")</f>
        <v> </v>
      </c>
    </row>
    <row r="91" customFormat="false" ht="12" hidden="false" customHeight="false" outlineLevel="0" collapsed="false">
      <c r="A91" s="28"/>
      <c r="E91" s="2" t="str">
        <f aca="false">IF((F91&lt;&gt;0),"Enter Letter"," ")</f>
        <v> </v>
      </c>
      <c r="F91" s="30"/>
      <c r="G91" s="6" t="str">
        <f aca="false">IF(F91&lt;&gt;0,F91*G$2/(100+G$2)," ")</f>
        <v> </v>
      </c>
      <c r="H91" s="6" t="str">
        <f aca="false">IF((F91&lt;&gt;0),F91-G91," ")</f>
        <v> </v>
      </c>
      <c r="I91" s="5"/>
      <c r="L91" s="7" t="str">
        <f aca="false">IF(F91&lt;&gt;0,F91-K91," ")</f>
        <v> </v>
      </c>
      <c r="M91" s="8" t="str">
        <f aca="false">IF((F91-K91)&lt;&gt;0,M$1-A91," ")</f>
        <v> </v>
      </c>
      <c r="N91" s="5"/>
      <c r="O91" s="17" t="str">
        <f aca="false">IF((E91="s"),H91," ")</f>
        <v> </v>
      </c>
      <c r="P91" s="17" t="str">
        <f aca="false">IF((E91="c"),H91," ")</f>
        <v> </v>
      </c>
      <c r="Q91" s="17" t="str">
        <f aca="false">IF((E91="o"),H91," ")</f>
        <v> </v>
      </c>
      <c r="R91" s="17" t="str">
        <f aca="false">IF((E91="d"),H91," ")</f>
        <v> </v>
      </c>
      <c r="S91" s="17" t="str">
        <f aca="false">IF((E91="w"),H91," ")</f>
        <v> </v>
      </c>
      <c r="T91" s="17" t="str">
        <f aca="false">IF((E91="r"),H91," ")</f>
        <v> </v>
      </c>
      <c r="U91" s="17" t="str">
        <f aca="false">IF((E91="p"),H91," ")</f>
        <v> </v>
      </c>
      <c r="V91" s="17" t="str">
        <f aca="false">IF((E91="t"),H91," ")</f>
        <v> </v>
      </c>
      <c r="W91" s="17" t="str">
        <f aca="false">IF((E91="q"),H91," ")</f>
        <v> </v>
      </c>
      <c r="X91" s="17" t="str">
        <f aca="false">IF((E91="m"),H91," ")</f>
        <v> </v>
      </c>
      <c r="Y91" s="17" t="str">
        <f aca="false">IF((E91="u"),H91," ")</f>
        <v> </v>
      </c>
      <c r="Z91" s="17" t="str">
        <f aca="false">IF((E91="a"),H91," ")</f>
        <v> </v>
      </c>
      <c r="AA91" s="17" t="str">
        <f aca="false">IF((E91="g"),H91," ")</f>
        <v> </v>
      </c>
      <c r="AB91" s="17" t="str">
        <f aca="false">IF((E91="h"),H91," ")</f>
        <v> </v>
      </c>
      <c r="AC91" s="30" t="str">
        <f aca="false">IF((E91="v"),H91," ")</f>
        <v> </v>
      </c>
      <c r="AD91" s="30" t="str">
        <f aca="false">IF((E91="n"),H91," ")</f>
        <v> </v>
      </c>
      <c r="AE91" s="17" t="str">
        <f aca="false">IF((E91="f"),H91," ")</f>
        <v> </v>
      </c>
      <c r="AF91" s="17" t="str">
        <f aca="false">IF((E91="l"),H91," ")</f>
        <v> </v>
      </c>
      <c r="AG91" s="17" t="str">
        <f aca="false">IF((E91="y"),H91," ")</f>
        <v> </v>
      </c>
      <c r="AH91" s="17" t="str">
        <f aca="false">IF((E91="z"),H91," ")</f>
        <v> </v>
      </c>
      <c r="AI91" s="17" t="str">
        <f aca="false">IF((E91="fa"),H91," ")</f>
        <v> </v>
      </c>
      <c r="AJ91" s="17" t="str">
        <f aca="false">IF((E91="e"),H91," ")</f>
        <v> </v>
      </c>
    </row>
    <row r="92" customFormat="false" ht="12" hidden="false" customHeight="false" outlineLevel="0" collapsed="false">
      <c r="A92" s="28"/>
      <c r="E92" s="2" t="str">
        <f aca="false">IF((F92&lt;&gt;0),"Enter Letter"," ")</f>
        <v> </v>
      </c>
      <c r="F92" s="30"/>
      <c r="G92" s="6" t="str">
        <f aca="false">IF(F92&lt;&gt;0,F92*G$2/(100+G$2)," ")</f>
        <v> </v>
      </c>
      <c r="H92" s="6" t="str">
        <f aca="false">IF((F92&lt;&gt;0),F92-G92," ")</f>
        <v> </v>
      </c>
      <c r="I92" s="5"/>
      <c r="L92" s="7" t="str">
        <f aca="false">IF(F92&lt;&gt;0,F92-K92," ")</f>
        <v> </v>
      </c>
      <c r="M92" s="8" t="str">
        <f aca="false">IF((F92-K92)&lt;&gt;0,M$1-A92," ")</f>
        <v> </v>
      </c>
      <c r="N92" s="5"/>
      <c r="O92" s="17" t="str">
        <f aca="false">IF((E92="s"),H92," ")</f>
        <v> </v>
      </c>
      <c r="P92" s="17" t="str">
        <f aca="false">IF((E92="c"),H92," ")</f>
        <v> </v>
      </c>
      <c r="Q92" s="17" t="str">
        <f aca="false">IF((E92="o"),H92," ")</f>
        <v> </v>
      </c>
      <c r="R92" s="17" t="str">
        <f aca="false">IF((E92="d"),H92," ")</f>
        <v> </v>
      </c>
      <c r="S92" s="17" t="str">
        <f aca="false">IF((E92="w"),H92," ")</f>
        <v> </v>
      </c>
      <c r="T92" s="17" t="str">
        <f aca="false">IF((E92="r"),H92," ")</f>
        <v> </v>
      </c>
      <c r="U92" s="17" t="str">
        <f aca="false">IF((E92="p"),H92," ")</f>
        <v> </v>
      </c>
      <c r="V92" s="17" t="str">
        <f aca="false">IF((E92="t"),H92," ")</f>
        <v> </v>
      </c>
      <c r="W92" s="17" t="str">
        <f aca="false">IF((E92="q"),H92," ")</f>
        <v> </v>
      </c>
      <c r="X92" s="17" t="str">
        <f aca="false">IF((E92="m"),H92," ")</f>
        <v> </v>
      </c>
      <c r="Y92" s="17" t="str">
        <f aca="false">IF((E92="u"),H92," ")</f>
        <v> </v>
      </c>
      <c r="Z92" s="17" t="str">
        <f aca="false">IF((E92="a"),H92," ")</f>
        <v> </v>
      </c>
      <c r="AA92" s="17" t="str">
        <f aca="false">IF((E92="g"),H92," ")</f>
        <v> </v>
      </c>
      <c r="AB92" s="17" t="str">
        <f aca="false">IF((E92="h"),H92," ")</f>
        <v> </v>
      </c>
      <c r="AC92" s="30" t="str">
        <f aca="false">IF((E92="v"),H92," ")</f>
        <v> </v>
      </c>
      <c r="AD92" s="30" t="str">
        <f aca="false">IF((E92="n"),H92," ")</f>
        <v> </v>
      </c>
      <c r="AE92" s="17" t="str">
        <f aca="false">IF((E92="f"),H92," ")</f>
        <v> </v>
      </c>
      <c r="AF92" s="17" t="str">
        <f aca="false">IF((E92="l"),H92," ")</f>
        <v> </v>
      </c>
      <c r="AG92" s="17" t="str">
        <f aca="false">IF((E92="y"),H92," ")</f>
        <v> </v>
      </c>
      <c r="AH92" s="17" t="str">
        <f aca="false">IF((E92="z"),H92," ")</f>
        <v> </v>
      </c>
      <c r="AI92" s="17" t="str">
        <f aca="false">IF((E92="fa"),H92," ")</f>
        <v> </v>
      </c>
      <c r="AJ92" s="17" t="str">
        <f aca="false">IF((E92="e"),H92," ")</f>
        <v> </v>
      </c>
    </row>
    <row r="93" customFormat="false" ht="12" hidden="false" customHeight="false" outlineLevel="0" collapsed="false">
      <c r="A93" s="28"/>
      <c r="E93" s="2" t="str">
        <f aca="false">IF((F93&lt;&gt;0),"Enter Letter"," ")</f>
        <v> </v>
      </c>
      <c r="F93" s="30"/>
      <c r="G93" s="6" t="str">
        <f aca="false">IF(F93&lt;&gt;0,F93*G$2/(100+G$2)," ")</f>
        <v> </v>
      </c>
      <c r="H93" s="6" t="str">
        <f aca="false">IF((F93&lt;&gt;0),F93-G93," ")</f>
        <v> </v>
      </c>
      <c r="I93" s="5"/>
      <c r="L93" s="7" t="str">
        <f aca="false">IF(F93&lt;&gt;0,F93-K93," ")</f>
        <v> </v>
      </c>
      <c r="M93" s="8" t="str">
        <f aca="false">IF((F93-K93)&lt;&gt;0,M$1-A93," ")</f>
        <v> </v>
      </c>
      <c r="N93" s="5"/>
      <c r="O93" s="17" t="str">
        <f aca="false">IF((E93="s"),H93," ")</f>
        <v> </v>
      </c>
      <c r="P93" s="17" t="str">
        <f aca="false">IF((E93="c"),H93," ")</f>
        <v> </v>
      </c>
      <c r="Q93" s="17" t="str">
        <f aca="false">IF((E93="o"),H93," ")</f>
        <v> </v>
      </c>
      <c r="R93" s="17" t="str">
        <f aca="false">IF((E93="d"),H93," ")</f>
        <v> </v>
      </c>
      <c r="S93" s="17" t="str">
        <f aca="false">IF((E93="w"),H93," ")</f>
        <v> </v>
      </c>
      <c r="T93" s="17" t="str">
        <f aca="false">IF((E93="r"),H93," ")</f>
        <v> </v>
      </c>
      <c r="U93" s="17" t="str">
        <f aca="false">IF((E93="p"),H93," ")</f>
        <v> </v>
      </c>
      <c r="V93" s="17" t="str">
        <f aca="false">IF((E93="t"),H93," ")</f>
        <v> </v>
      </c>
      <c r="W93" s="17" t="str">
        <f aca="false">IF((E93="q"),H93," ")</f>
        <v> </v>
      </c>
      <c r="X93" s="17" t="str">
        <f aca="false">IF((E93="m"),H93," ")</f>
        <v> </v>
      </c>
      <c r="Y93" s="17" t="str">
        <f aca="false">IF((E93="u"),H93," ")</f>
        <v> </v>
      </c>
      <c r="Z93" s="17" t="str">
        <f aca="false">IF((E93="a"),H93," ")</f>
        <v> </v>
      </c>
      <c r="AA93" s="17" t="str">
        <f aca="false">IF((E93="g"),H93," ")</f>
        <v> </v>
      </c>
      <c r="AB93" s="17" t="str">
        <f aca="false">IF((E93="h"),H93," ")</f>
        <v> </v>
      </c>
      <c r="AC93" s="30" t="str">
        <f aca="false">IF((E93="v"),H93," ")</f>
        <v> </v>
      </c>
      <c r="AD93" s="30" t="str">
        <f aca="false">IF((E93="n"),H93," ")</f>
        <v> </v>
      </c>
      <c r="AE93" s="17" t="str">
        <f aca="false">IF((E93="f"),H93," ")</f>
        <v> </v>
      </c>
      <c r="AF93" s="17" t="str">
        <f aca="false">IF((E93="l"),H93," ")</f>
        <v> </v>
      </c>
      <c r="AG93" s="17" t="str">
        <f aca="false">IF((E93="y"),H93," ")</f>
        <v> </v>
      </c>
      <c r="AH93" s="17" t="str">
        <f aca="false">IF((E93="z"),H93," ")</f>
        <v> </v>
      </c>
      <c r="AI93" s="17" t="str">
        <f aca="false">IF((E93="fa"),H93," ")</f>
        <v> </v>
      </c>
      <c r="AJ93" s="17" t="str">
        <f aca="false">IF((E93="e"),H93," ")</f>
        <v> </v>
      </c>
    </row>
    <row r="94" customFormat="false" ht="12" hidden="false" customHeight="false" outlineLevel="0" collapsed="false">
      <c r="A94" s="28"/>
      <c r="E94" s="2" t="str">
        <f aca="false">IF((F94&lt;&gt;0),"Enter Letter"," ")</f>
        <v> </v>
      </c>
      <c r="F94" s="30"/>
      <c r="G94" s="6" t="str">
        <f aca="false">IF(F94&lt;&gt;0,F94*G$2/(100+G$2)," ")</f>
        <v> </v>
      </c>
      <c r="H94" s="6" t="str">
        <f aca="false">IF((F94&lt;&gt;0),F94-G94," ")</f>
        <v> </v>
      </c>
      <c r="I94" s="5"/>
      <c r="L94" s="7" t="str">
        <f aca="false">IF(F94&lt;&gt;0,F94-K94," ")</f>
        <v> </v>
      </c>
      <c r="M94" s="8" t="str">
        <f aca="false">IF((F94-K94)&lt;&gt;0,M$1-A94," ")</f>
        <v> </v>
      </c>
      <c r="N94" s="5"/>
      <c r="O94" s="17" t="str">
        <f aca="false">IF((E94="s"),H94," ")</f>
        <v> </v>
      </c>
      <c r="P94" s="17" t="str">
        <f aca="false">IF((E94="c"),H94," ")</f>
        <v> </v>
      </c>
      <c r="Q94" s="17" t="str">
        <f aca="false">IF((E94="o"),H94," ")</f>
        <v> </v>
      </c>
      <c r="R94" s="17" t="str">
        <f aca="false">IF((E94="d"),H94," ")</f>
        <v> </v>
      </c>
      <c r="S94" s="17" t="str">
        <f aca="false">IF((E94="w"),H94," ")</f>
        <v> </v>
      </c>
      <c r="T94" s="17" t="str">
        <f aca="false">IF((E94="r"),H94," ")</f>
        <v> </v>
      </c>
      <c r="U94" s="17" t="str">
        <f aca="false">IF((E94="p"),H94," ")</f>
        <v> </v>
      </c>
      <c r="V94" s="17" t="str">
        <f aca="false">IF((E94="t"),H94," ")</f>
        <v> </v>
      </c>
      <c r="W94" s="17" t="str">
        <f aca="false">IF((E94="q"),H94," ")</f>
        <v> </v>
      </c>
      <c r="X94" s="17" t="str">
        <f aca="false">IF((E94="m"),H94," ")</f>
        <v> </v>
      </c>
      <c r="Y94" s="17" t="str">
        <f aca="false">IF((E94="u"),H94," ")</f>
        <v> </v>
      </c>
      <c r="Z94" s="17" t="str">
        <f aca="false">IF((E94="a"),H94," ")</f>
        <v> </v>
      </c>
      <c r="AA94" s="17" t="str">
        <f aca="false">IF((E94="g"),H94," ")</f>
        <v> </v>
      </c>
      <c r="AB94" s="17" t="str">
        <f aca="false">IF((E94="h"),H94," ")</f>
        <v> </v>
      </c>
      <c r="AC94" s="30" t="str">
        <f aca="false">IF((E94="v"),H94," ")</f>
        <v> </v>
      </c>
      <c r="AD94" s="30" t="str">
        <f aca="false">IF((E94="n"),H94," ")</f>
        <v> </v>
      </c>
      <c r="AE94" s="17" t="str">
        <f aca="false">IF((E94="f"),H94," ")</f>
        <v> </v>
      </c>
      <c r="AF94" s="17" t="str">
        <f aca="false">IF((E94="l"),H94," ")</f>
        <v> </v>
      </c>
      <c r="AG94" s="17" t="str">
        <f aca="false">IF((E94="y"),H94," ")</f>
        <v> </v>
      </c>
      <c r="AH94" s="17" t="str">
        <f aca="false">IF((E94="z"),H94," ")</f>
        <v> </v>
      </c>
      <c r="AI94" s="17" t="str">
        <f aca="false">IF((E94="fa"),H94," ")</f>
        <v> </v>
      </c>
      <c r="AJ94" s="17" t="str">
        <f aca="false">IF((E94="e"),H94," ")</f>
        <v> </v>
      </c>
    </row>
    <row r="95" customFormat="false" ht="12" hidden="false" customHeight="false" outlineLevel="0" collapsed="false">
      <c r="A95" s="28"/>
      <c r="E95" s="2" t="str">
        <f aca="false">IF((F95&lt;&gt;0),"Enter Letter"," ")</f>
        <v> </v>
      </c>
      <c r="F95" s="30"/>
      <c r="G95" s="6" t="str">
        <f aca="false">IF(F95&lt;&gt;0,F95*G$2/(100+G$2)," ")</f>
        <v> </v>
      </c>
      <c r="H95" s="6" t="str">
        <f aca="false">IF((F95&lt;&gt;0),F95-G95," ")</f>
        <v> </v>
      </c>
      <c r="I95" s="5"/>
      <c r="L95" s="7" t="str">
        <f aca="false">IF(F95&lt;&gt;0,F95-K95," ")</f>
        <v> </v>
      </c>
      <c r="M95" s="8" t="str">
        <f aca="false">IF((F95-K95)&lt;&gt;0,M$1-A95," ")</f>
        <v> </v>
      </c>
      <c r="N95" s="5"/>
      <c r="O95" s="17" t="str">
        <f aca="false">IF((E95="s"),H95," ")</f>
        <v> </v>
      </c>
      <c r="P95" s="17" t="str">
        <f aca="false">IF((E95="c"),H95," ")</f>
        <v> </v>
      </c>
      <c r="Q95" s="17" t="str">
        <f aca="false">IF((E95="o"),H95," ")</f>
        <v> </v>
      </c>
      <c r="R95" s="17" t="str">
        <f aca="false">IF((E95="d"),H95," ")</f>
        <v> </v>
      </c>
      <c r="S95" s="17" t="str">
        <f aca="false">IF((E95="w"),H95," ")</f>
        <v> </v>
      </c>
      <c r="T95" s="17" t="str">
        <f aca="false">IF((E95="r"),H95," ")</f>
        <v> </v>
      </c>
      <c r="U95" s="17" t="str">
        <f aca="false">IF((E95="p"),H95," ")</f>
        <v> </v>
      </c>
      <c r="V95" s="17" t="str">
        <f aca="false">IF((E95="t"),H95," ")</f>
        <v> </v>
      </c>
      <c r="W95" s="17" t="str">
        <f aca="false">IF((E95="q"),H95," ")</f>
        <v> </v>
      </c>
      <c r="X95" s="17" t="str">
        <f aca="false">IF((E95="m"),H95," ")</f>
        <v> </v>
      </c>
      <c r="Y95" s="17" t="str">
        <f aca="false">IF((E95="u"),H95," ")</f>
        <v> </v>
      </c>
      <c r="Z95" s="17" t="str">
        <f aca="false">IF((E95="a"),H95," ")</f>
        <v> </v>
      </c>
      <c r="AA95" s="17" t="str">
        <f aca="false">IF((E95="g"),H95," ")</f>
        <v> </v>
      </c>
      <c r="AB95" s="17" t="str">
        <f aca="false">IF((E95="h"),H95," ")</f>
        <v> </v>
      </c>
      <c r="AC95" s="30" t="str">
        <f aca="false">IF((E95="v"),H95," ")</f>
        <v> </v>
      </c>
      <c r="AD95" s="30" t="str">
        <f aca="false">IF((E95="n"),H95," ")</f>
        <v> </v>
      </c>
      <c r="AE95" s="17" t="str">
        <f aca="false">IF((E95="f"),H95," ")</f>
        <v> </v>
      </c>
      <c r="AF95" s="17" t="str">
        <f aca="false">IF((E95="l"),H95," ")</f>
        <v> </v>
      </c>
      <c r="AG95" s="17" t="str">
        <f aca="false">IF((E95="y"),H95," ")</f>
        <v> </v>
      </c>
      <c r="AH95" s="17" t="str">
        <f aca="false">IF((E95="z"),H95," ")</f>
        <v> </v>
      </c>
      <c r="AI95" s="17" t="str">
        <f aca="false">IF((E95="fa"),H95," ")</f>
        <v> </v>
      </c>
      <c r="AJ95" s="17" t="str">
        <f aca="false">IF((E95="e"),H95," ")</f>
        <v> </v>
      </c>
    </row>
    <row r="96" customFormat="false" ht="12" hidden="false" customHeight="false" outlineLevel="0" collapsed="false">
      <c r="A96" s="28"/>
      <c r="E96" s="2" t="str">
        <f aca="false">IF((F96&lt;&gt;0),"Enter Letter"," ")</f>
        <v> </v>
      </c>
      <c r="F96" s="30"/>
      <c r="G96" s="6" t="str">
        <f aca="false">IF(F96&lt;&gt;0,F96*G$2/(100+G$2)," ")</f>
        <v> </v>
      </c>
      <c r="H96" s="6" t="str">
        <f aca="false">IF((F96&lt;&gt;0),F96-G96," ")</f>
        <v> </v>
      </c>
      <c r="I96" s="5"/>
      <c r="L96" s="7" t="str">
        <f aca="false">IF(F96&lt;&gt;0,F96-K96," ")</f>
        <v> </v>
      </c>
      <c r="M96" s="8" t="str">
        <f aca="false">IF((F96-K96)&lt;&gt;0,M$1-A96," ")</f>
        <v> </v>
      </c>
      <c r="N96" s="5"/>
      <c r="O96" s="17" t="str">
        <f aca="false">IF((E96="s"),H96," ")</f>
        <v> </v>
      </c>
      <c r="P96" s="17" t="str">
        <f aca="false">IF((E96="c"),H96," ")</f>
        <v> </v>
      </c>
      <c r="Q96" s="17" t="str">
        <f aca="false">IF((E96="o"),H96," ")</f>
        <v> </v>
      </c>
      <c r="R96" s="17" t="str">
        <f aca="false">IF((E96="d"),H96," ")</f>
        <v> </v>
      </c>
      <c r="S96" s="17" t="str">
        <f aca="false">IF((E96="w"),H96," ")</f>
        <v> </v>
      </c>
      <c r="T96" s="17" t="str">
        <f aca="false">IF((E96="r"),H96," ")</f>
        <v> </v>
      </c>
      <c r="U96" s="17" t="str">
        <f aca="false">IF((E96="p"),H96," ")</f>
        <v> </v>
      </c>
      <c r="V96" s="17" t="str">
        <f aca="false">IF((E96="t"),H96," ")</f>
        <v> </v>
      </c>
      <c r="W96" s="17" t="str">
        <f aca="false">IF((E96="q"),H96," ")</f>
        <v> </v>
      </c>
      <c r="X96" s="17" t="str">
        <f aca="false">IF((E96="m"),H96," ")</f>
        <v> </v>
      </c>
      <c r="Y96" s="17" t="str">
        <f aca="false">IF((E96="u"),H96," ")</f>
        <v> </v>
      </c>
      <c r="Z96" s="17" t="str">
        <f aca="false">IF((E96="a"),H96," ")</f>
        <v> </v>
      </c>
      <c r="AA96" s="17" t="str">
        <f aca="false">IF((E96="g"),H96," ")</f>
        <v> </v>
      </c>
      <c r="AB96" s="17" t="str">
        <f aca="false">IF((E96="h"),H96," ")</f>
        <v> </v>
      </c>
      <c r="AC96" s="30" t="str">
        <f aca="false">IF((E96="v"),H96," ")</f>
        <v> </v>
      </c>
      <c r="AD96" s="30" t="str">
        <f aca="false">IF((E96="n"),H96," ")</f>
        <v> </v>
      </c>
      <c r="AE96" s="17" t="str">
        <f aca="false">IF((E96="f"),H96," ")</f>
        <v> </v>
      </c>
      <c r="AF96" s="17" t="str">
        <f aca="false">IF((E96="l"),H96," ")</f>
        <v> </v>
      </c>
      <c r="AG96" s="17" t="str">
        <f aca="false">IF((E96="y"),H96," ")</f>
        <v> </v>
      </c>
      <c r="AH96" s="17" t="str">
        <f aca="false">IF((E96="z"),H96," ")</f>
        <v> </v>
      </c>
      <c r="AI96" s="17" t="str">
        <f aca="false">IF((E96="fa"),H96," ")</f>
        <v> </v>
      </c>
      <c r="AJ96" s="17" t="str">
        <f aca="false">IF((E96="e"),H96," ")</f>
        <v> </v>
      </c>
    </row>
    <row r="97" customFormat="false" ht="12" hidden="false" customHeight="false" outlineLevel="0" collapsed="false">
      <c r="A97" s="28"/>
      <c r="E97" s="2" t="str">
        <f aca="false">IF((F97&lt;&gt;0),"Enter Letter"," ")</f>
        <v> </v>
      </c>
      <c r="F97" s="30"/>
      <c r="G97" s="6" t="str">
        <f aca="false">IF(F97&lt;&gt;0,F97*G$2/(100+G$2)," ")</f>
        <v> </v>
      </c>
      <c r="H97" s="6" t="str">
        <f aca="false">IF((F97&lt;&gt;0),F97-G97," ")</f>
        <v> </v>
      </c>
      <c r="I97" s="5"/>
      <c r="L97" s="7" t="str">
        <f aca="false">IF(F97&lt;&gt;0,F97-K97," ")</f>
        <v> </v>
      </c>
      <c r="M97" s="8" t="str">
        <f aca="false">IF((F97-K97)&lt;&gt;0,M$1-A97," ")</f>
        <v> </v>
      </c>
      <c r="N97" s="5"/>
      <c r="O97" s="17" t="str">
        <f aca="false">IF((E97="s"),H97," ")</f>
        <v> </v>
      </c>
      <c r="P97" s="17" t="str">
        <f aca="false">IF((E97="c"),H97," ")</f>
        <v> </v>
      </c>
      <c r="Q97" s="17" t="str">
        <f aca="false">IF((E97="o"),H97," ")</f>
        <v> </v>
      </c>
      <c r="R97" s="17" t="str">
        <f aca="false">IF((E97="d"),H97," ")</f>
        <v> </v>
      </c>
      <c r="S97" s="17" t="str">
        <f aca="false">IF((E97="w"),H97," ")</f>
        <v> </v>
      </c>
      <c r="T97" s="17" t="str">
        <f aca="false">IF((E97="r"),H97," ")</f>
        <v> </v>
      </c>
      <c r="U97" s="17" t="str">
        <f aca="false">IF((E97="p"),H97," ")</f>
        <v> </v>
      </c>
      <c r="V97" s="17" t="str">
        <f aca="false">IF((E97="t"),H97," ")</f>
        <v> </v>
      </c>
      <c r="W97" s="17" t="str">
        <f aca="false">IF((E97="q"),H97," ")</f>
        <v> </v>
      </c>
      <c r="X97" s="17" t="str">
        <f aca="false">IF((E97="m"),H97," ")</f>
        <v> </v>
      </c>
      <c r="Y97" s="17" t="str">
        <f aca="false">IF((E97="u"),H97," ")</f>
        <v> </v>
      </c>
      <c r="Z97" s="17" t="str">
        <f aca="false">IF((E97="a"),H97," ")</f>
        <v> </v>
      </c>
      <c r="AA97" s="17" t="str">
        <f aca="false">IF((E97="g"),H97," ")</f>
        <v> </v>
      </c>
      <c r="AB97" s="17" t="str">
        <f aca="false">IF((E97="h"),H97," ")</f>
        <v> </v>
      </c>
      <c r="AC97" s="30" t="str">
        <f aca="false">IF((E97="v"),H97," ")</f>
        <v> </v>
      </c>
      <c r="AD97" s="30" t="str">
        <f aca="false">IF((E97="n"),H97," ")</f>
        <v> </v>
      </c>
      <c r="AE97" s="17" t="str">
        <f aca="false">IF((E97="f"),H97," ")</f>
        <v> </v>
      </c>
      <c r="AF97" s="17" t="str">
        <f aca="false">IF((E97="l"),H97," ")</f>
        <v> </v>
      </c>
      <c r="AG97" s="17" t="str">
        <f aca="false">IF((E97="y"),H97," ")</f>
        <v> </v>
      </c>
      <c r="AH97" s="17" t="str">
        <f aca="false">IF((E97="z"),H97," ")</f>
        <v> </v>
      </c>
      <c r="AI97" s="17" t="str">
        <f aca="false">IF((E97="fa"),H97," ")</f>
        <v> </v>
      </c>
      <c r="AJ97" s="17" t="str">
        <f aca="false">IF((E97="e"),H97," ")</f>
        <v> </v>
      </c>
    </row>
    <row r="98" customFormat="false" ht="12" hidden="false" customHeight="false" outlineLevel="0" collapsed="false">
      <c r="A98" s="28"/>
      <c r="E98" s="2" t="str">
        <f aca="false">IF((F98&lt;&gt;0),"Enter Letter"," ")</f>
        <v> </v>
      </c>
      <c r="F98" s="30"/>
      <c r="G98" s="6" t="str">
        <f aca="false">IF(F98&lt;&gt;0,F98*G$2/(100+G$2)," ")</f>
        <v> </v>
      </c>
      <c r="H98" s="6" t="str">
        <f aca="false">IF((F98&lt;&gt;0),F98-G98," ")</f>
        <v> </v>
      </c>
      <c r="I98" s="5"/>
      <c r="L98" s="7" t="str">
        <f aca="false">IF(F98&lt;&gt;0,F98-K98," ")</f>
        <v> </v>
      </c>
      <c r="M98" s="8" t="str">
        <f aca="false">IF((F98-K98)&lt;&gt;0,M$1-A98," ")</f>
        <v> </v>
      </c>
      <c r="N98" s="5"/>
      <c r="O98" s="17" t="str">
        <f aca="false">IF((E98="s"),H98," ")</f>
        <v> </v>
      </c>
      <c r="P98" s="17" t="str">
        <f aca="false">IF((E98="c"),H98," ")</f>
        <v> </v>
      </c>
      <c r="Q98" s="17" t="str">
        <f aca="false">IF((E98="o"),H98," ")</f>
        <v> </v>
      </c>
      <c r="R98" s="17" t="str">
        <f aca="false">IF((E98="d"),H98," ")</f>
        <v> </v>
      </c>
      <c r="S98" s="17" t="str">
        <f aca="false">IF((E98="w"),H98," ")</f>
        <v> </v>
      </c>
      <c r="T98" s="17" t="str">
        <f aca="false">IF((E98="r"),H98," ")</f>
        <v> </v>
      </c>
      <c r="U98" s="17" t="str">
        <f aca="false">IF((E98="p"),H98," ")</f>
        <v> </v>
      </c>
      <c r="V98" s="17" t="str">
        <f aca="false">IF((E98="t"),H98," ")</f>
        <v> </v>
      </c>
      <c r="W98" s="17" t="str">
        <f aca="false">IF((E98="q"),H98," ")</f>
        <v> </v>
      </c>
      <c r="X98" s="17" t="str">
        <f aca="false">IF((E98="m"),H98," ")</f>
        <v> </v>
      </c>
      <c r="Y98" s="17" t="str">
        <f aca="false">IF((E98="u"),H98," ")</f>
        <v> </v>
      </c>
      <c r="Z98" s="17" t="str">
        <f aca="false">IF((E98="a"),H98," ")</f>
        <v> </v>
      </c>
      <c r="AA98" s="17" t="str">
        <f aca="false">IF((E98="g"),H98," ")</f>
        <v> </v>
      </c>
      <c r="AB98" s="17" t="str">
        <f aca="false">IF((E98="h"),H98," ")</f>
        <v> </v>
      </c>
      <c r="AC98" s="30" t="str">
        <f aca="false">IF((E98="v"),H98," ")</f>
        <v> </v>
      </c>
      <c r="AD98" s="30" t="str">
        <f aca="false">IF((E98="n"),H98," ")</f>
        <v> </v>
      </c>
      <c r="AE98" s="17" t="str">
        <f aca="false">IF((E98="f"),H98," ")</f>
        <v> </v>
      </c>
      <c r="AF98" s="17" t="str">
        <f aca="false">IF((E98="l"),H98," ")</f>
        <v> </v>
      </c>
      <c r="AG98" s="17" t="str">
        <f aca="false">IF((E98="y"),H98," ")</f>
        <v> </v>
      </c>
      <c r="AH98" s="17" t="str">
        <f aca="false">IF((E98="z"),H98," ")</f>
        <v> </v>
      </c>
      <c r="AI98" s="17" t="str">
        <f aca="false">IF((E98="fa"),H98," ")</f>
        <v> </v>
      </c>
      <c r="AJ98" s="17" t="str">
        <f aca="false">IF((E98="e"),H98," ")</f>
        <v> </v>
      </c>
    </row>
    <row r="99" customFormat="false" ht="12" hidden="false" customHeight="false" outlineLevel="0" collapsed="false">
      <c r="A99" s="28"/>
      <c r="E99" s="2" t="str">
        <f aca="false">IF((F99&lt;&gt;0),"Enter Letter"," ")</f>
        <v> </v>
      </c>
      <c r="F99" s="30"/>
      <c r="G99" s="6" t="str">
        <f aca="false">IF(F99&lt;&gt;0,F99*G$2/(100+G$2)," ")</f>
        <v> </v>
      </c>
      <c r="H99" s="6" t="str">
        <f aca="false">IF((F99&lt;&gt;0),F99-G99," ")</f>
        <v> </v>
      </c>
      <c r="I99" s="5"/>
      <c r="L99" s="7" t="str">
        <f aca="false">IF(F99&lt;&gt;0,F99-K99," ")</f>
        <v> </v>
      </c>
      <c r="M99" s="8" t="str">
        <f aca="false">IF((F99-K99)&lt;&gt;0,M$1-A99," ")</f>
        <v> </v>
      </c>
      <c r="N99" s="5"/>
      <c r="O99" s="17" t="str">
        <f aca="false">IF((E99="s"),H99," ")</f>
        <v> </v>
      </c>
      <c r="P99" s="17" t="str">
        <f aca="false">IF((E99="c"),H99," ")</f>
        <v> </v>
      </c>
      <c r="Q99" s="17" t="str">
        <f aca="false">IF((E99="o"),H99," ")</f>
        <v> </v>
      </c>
      <c r="R99" s="17" t="str">
        <f aca="false">IF((E99="d"),H99," ")</f>
        <v> </v>
      </c>
      <c r="S99" s="17" t="str">
        <f aca="false">IF((E99="w"),H99," ")</f>
        <v> </v>
      </c>
      <c r="T99" s="17" t="str">
        <f aca="false">IF((E99="r"),H99," ")</f>
        <v> </v>
      </c>
      <c r="U99" s="17" t="str">
        <f aca="false">IF((E99="p"),H99," ")</f>
        <v> </v>
      </c>
      <c r="V99" s="17" t="str">
        <f aca="false">IF((E99="t"),H99," ")</f>
        <v> </v>
      </c>
      <c r="W99" s="17" t="str">
        <f aca="false">IF((E99="q"),H99," ")</f>
        <v> </v>
      </c>
      <c r="X99" s="17" t="str">
        <f aca="false">IF((E99="m"),H99," ")</f>
        <v> </v>
      </c>
      <c r="Y99" s="17" t="str">
        <f aca="false">IF((E99="u"),H99," ")</f>
        <v> </v>
      </c>
      <c r="Z99" s="17" t="str">
        <f aca="false">IF((E99="a"),H99," ")</f>
        <v> </v>
      </c>
      <c r="AA99" s="17" t="str">
        <f aca="false">IF((E99="g"),H99," ")</f>
        <v> </v>
      </c>
      <c r="AB99" s="17" t="str">
        <f aca="false">IF((E99="h"),H99," ")</f>
        <v> </v>
      </c>
      <c r="AC99" s="30" t="str">
        <f aca="false">IF((E99="v"),H99," ")</f>
        <v> </v>
      </c>
      <c r="AD99" s="30" t="str">
        <f aca="false">IF((E99="n"),H99," ")</f>
        <v> </v>
      </c>
      <c r="AE99" s="17" t="str">
        <f aca="false">IF((E99="f"),H99," ")</f>
        <v> </v>
      </c>
      <c r="AF99" s="17" t="str">
        <f aca="false">IF((E99="l"),H99," ")</f>
        <v> </v>
      </c>
      <c r="AG99" s="17" t="str">
        <f aca="false">IF((E99="y"),H99," ")</f>
        <v> </v>
      </c>
      <c r="AH99" s="17" t="str">
        <f aca="false">IF((E99="z"),H99," ")</f>
        <v> </v>
      </c>
      <c r="AI99" s="17" t="str">
        <f aca="false">IF((E99="fa"),H99," ")</f>
        <v> </v>
      </c>
      <c r="AJ99" s="17" t="str">
        <f aca="false">IF((E99="e"),H99," ")</f>
        <v> </v>
      </c>
    </row>
    <row r="100" customFormat="false" ht="12" hidden="false" customHeight="false" outlineLevel="0" collapsed="false">
      <c r="A100" s="28"/>
      <c r="E100" s="2" t="str">
        <f aca="false">IF((F100&lt;&gt;0),"Enter Letter"," ")</f>
        <v> </v>
      </c>
      <c r="F100" s="30"/>
      <c r="G100" s="6" t="str">
        <f aca="false">IF(F100&lt;&gt;0,F100*G$2/(100+G$2)," ")</f>
        <v> </v>
      </c>
      <c r="H100" s="6" t="str">
        <f aca="false">IF((F100&lt;&gt;0),F100-G100," ")</f>
        <v> </v>
      </c>
      <c r="I100" s="5"/>
      <c r="L100" s="7" t="str">
        <f aca="false">IF(F100&lt;&gt;0,F100-K100," ")</f>
        <v> </v>
      </c>
      <c r="M100" s="8" t="str">
        <f aca="false">IF((F100-K100)&lt;&gt;0,M$1-A100," ")</f>
        <v> </v>
      </c>
      <c r="N100" s="5"/>
      <c r="O100" s="17" t="str">
        <f aca="false">IF((E100="s"),H100," ")</f>
        <v> </v>
      </c>
      <c r="P100" s="17" t="str">
        <f aca="false">IF((E100="c"),H100," ")</f>
        <v> </v>
      </c>
      <c r="Q100" s="17" t="str">
        <f aca="false">IF((E100="o"),H100," ")</f>
        <v> </v>
      </c>
      <c r="R100" s="17" t="str">
        <f aca="false">IF((E100="d"),H100," ")</f>
        <v> </v>
      </c>
      <c r="S100" s="17" t="str">
        <f aca="false">IF((E100="w"),H100," ")</f>
        <v> </v>
      </c>
      <c r="T100" s="17" t="str">
        <f aca="false">IF((E100="r"),H100," ")</f>
        <v> </v>
      </c>
      <c r="U100" s="17" t="str">
        <f aca="false">IF((E100="p"),H100," ")</f>
        <v> </v>
      </c>
      <c r="V100" s="17" t="str">
        <f aca="false">IF((E100="t"),H100," ")</f>
        <v> </v>
      </c>
      <c r="W100" s="17" t="str">
        <f aca="false">IF((E100="q"),H100," ")</f>
        <v> </v>
      </c>
      <c r="X100" s="17" t="str">
        <f aca="false">IF((E100="m"),H100," ")</f>
        <v> </v>
      </c>
      <c r="Y100" s="17" t="str">
        <f aca="false">IF((E100="u"),H100," ")</f>
        <v> </v>
      </c>
      <c r="Z100" s="17" t="str">
        <f aca="false">IF((E100="a"),H100," ")</f>
        <v> </v>
      </c>
      <c r="AA100" s="17" t="str">
        <f aca="false">IF((E100="g"),H100," ")</f>
        <v> </v>
      </c>
      <c r="AB100" s="17" t="str">
        <f aca="false">IF((E100="h"),H100," ")</f>
        <v> </v>
      </c>
      <c r="AC100" s="30" t="str">
        <f aca="false">IF((E100="v"),H100," ")</f>
        <v> </v>
      </c>
      <c r="AD100" s="30" t="str">
        <f aca="false">IF((E100="n"),H100," ")</f>
        <v> </v>
      </c>
      <c r="AE100" s="17" t="str">
        <f aca="false">IF((E100="f"),H100," ")</f>
        <v> </v>
      </c>
      <c r="AF100" s="17" t="str">
        <f aca="false">IF((E100="l"),H100," ")</f>
        <v> </v>
      </c>
      <c r="AG100" s="17" t="str">
        <f aca="false">IF((E100="y"),H100," ")</f>
        <v> </v>
      </c>
      <c r="AH100" s="17" t="str">
        <f aca="false">IF((E100="z"),H100," ")</f>
        <v> </v>
      </c>
      <c r="AI100" s="17" t="str">
        <f aca="false">IF((E100="fa"),H100," ")</f>
        <v> </v>
      </c>
      <c r="AJ100" s="17" t="str">
        <f aca="false">IF((E100="e"),H100," ")</f>
        <v> </v>
      </c>
    </row>
    <row r="101" customFormat="false" ht="12" hidden="false" customHeight="false" outlineLevel="0" collapsed="false">
      <c r="A101" s="28"/>
      <c r="E101" s="2" t="str">
        <f aca="false">IF((F101&lt;&gt;0),"Enter Letter"," ")</f>
        <v> </v>
      </c>
      <c r="F101" s="30"/>
      <c r="G101" s="6" t="str">
        <f aca="false">IF(F101&lt;&gt;0,F101*G$2/(100+G$2)," ")</f>
        <v> </v>
      </c>
      <c r="H101" s="6" t="str">
        <f aca="false">IF((F101&lt;&gt;0),F101-G101," ")</f>
        <v> </v>
      </c>
      <c r="I101" s="5"/>
      <c r="L101" s="7" t="str">
        <f aca="false">IF(F101&lt;&gt;0,F101-K101," ")</f>
        <v> </v>
      </c>
      <c r="M101" s="8" t="str">
        <f aca="false">IF((F101-K101)&lt;&gt;0,M$1-A101," ")</f>
        <v> </v>
      </c>
      <c r="N101" s="5"/>
      <c r="O101" s="17" t="str">
        <f aca="false">IF((E101="s"),H101," ")</f>
        <v> </v>
      </c>
      <c r="P101" s="17" t="str">
        <f aca="false">IF((E101="c"),H101," ")</f>
        <v> </v>
      </c>
      <c r="Q101" s="17" t="str">
        <f aca="false">IF((E101="o"),H101," ")</f>
        <v> </v>
      </c>
      <c r="R101" s="17" t="str">
        <f aca="false">IF((E101="d"),H101," ")</f>
        <v> </v>
      </c>
      <c r="S101" s="17" t="str">
        <f aca="false">IF((E101="w"),H101," ")</f>
        <v> </v>
      </c>
      <c r="T101" s="17" t="str">
        <f aca="false">IF((E101="r"),H101," ")</f>
        <v> </v>
      </c>
      <c r="U101" s="17" t="str">
        <f aca="false">IF((E101="p"),H101," ")</f>
        <v> </v>
      </c>
      <c r="V101" s="17" t="str">
        <f aca="false">IF((E101="t"),H101," ")</f>
        <v> </v>
      </c>
      <c r="W101" s="17" t="str">
        <f aca="false">IF((E101="q"),H101," ")</f>
        <v> </v>
      </c>
      <c r="X101" s="17" t="str">
        <f aca="false">IF((E101="m"),H101," ")</f>
        <v> </v>
      </c>
      <c r="Y101" s="17" t="str">
        <f aca="false">IF((E101="u"),H101," ")</f>
        <v> </v>
      </c>
      <c r="Z101" s="17" t="str">
        <f aca="false">IF((E101="a"),H101," ")</f>
        <v> </v>
      </c>
      <c r="AA101" s="17" t="str">
        <f aca="false">IF((E101="g"),H101," ")</f>
        <v> </v>
      </c>
      <c r="AB101" s="17" t="str">
        <f aca="false">IF((E101="h"),H101," ")</f>
        <v> </v>
      </c>
      <c r="AC101" s="30" t="str">
        <f aca="false">IF((E101="v"),H101," ")</f>
        <v> </v>
      </c>
      <c r="AD101" s="30" t="str">
        <f aca="false">IF((E101="n"),H101," ")</f>
        <v> </v>
      </c>
      <c r="AE101" s="17" t="str">
        <f aca="false">IF((E101="f"),H101," ")</f>
        <v> </v>
      </c>
      <c r="AF101" s="17" t="str">
        <f aca="false">IF((E101="l"),H101," ")</f>
        <v> </v>
      </c>
      <c r="AG101" s="17" t="str">
        <f aca="false">IF((E101="y"),H101," ")</f>
        <v> </v>
      </c>
      <c r="AH101" s="17" t="str">
        <f aca="false">IF((E101="z"),H101," ")</f>
        <v> </v>
      </c>
      <c r="AI101" s="17" t="str">
        <f aca="false">IF((E101="fa"),H101," ")</f>
        <v> </v>
      </c>
      <c r="AJ101" s="17" t="str">
        <f aca="false">IF((E101="e"),H101," ")</f>
        <v> </v>
      </c>
    </row>
    <row r="102" customFormat="false" ht="12" hidden="false" customHeight="false" outlineLevel="0" collapsed="false">
      <c r="A102" s="28"/>
      <c r="E102" s="2" t="str">
        <f aca="false">IF((F102&lt;&gt;0),"Enter Letter"," ")</f>
        <v> </v>
      </c>
      <c r="F102" s="30"/>
      <c r="G102" s="6" t="str">
        <f aca="false">IF(F102&lt;&gt;0,F102*G$2/(100+G$2)," ")</f>
        <v> </v>
      </c>
      <c r="H102" s="6" t="str">
        <f aca="false">IF((F102&lt;&gt;0),F102-G102," ")</f>
        <v> </v>
      </c>
      <c r="I102" s="5"/>
      <c r="L102" s="7" t="str">
        <f aca="false">IF(F102&lt;&gt;0,F102-K102," ")</f>
        <v> </v>
      </c>
      <c r="M102" s="8" t="str">
        <f aca="false">IF((F102-K102)&lt;&gt;0,M$1-A102," ")</f>
        <v> </v>
      </c>
      <c r="N102" s="5"/>
      <c r="O102" s="17" t="str">
        <f aca="false">IF((E102="s"),H102," ")</f>
        <v> </v>
      </c>
      <c r="P102" s="17" t="str">
        <f aca="false">IF((E102="c"),H102," ")</f>
        <v> </v>
      </c>
      <c r="Q102" s="17" t="str">
        <f aca="false">IF((E102="o"),H102," ")</f>
        <v> </v>
      </c>
      <c r="R102" s="17" t="str">
        <f aca="false">IF((E102="d"),H102," ")</f>
        <v> </v>
      </c>
      <c r="S102" s="17" t="str">
        <f aca="false">IF((E102="w"),H102," ")</f>
        <v> </v>
      </c>
      <c r="T102" s="17" t="str">
        <f aca="false">IF((E102="r"),H102," ")</f>
        <v> </v>
      </c>
      <c r="U102" s="17" t="str">
        <f aca="false">IF((E102="p"),H102," ")</f>
        <v> </v>
      </c>
      <c r="V102" s="17" t="str">
        <f aca="false">IF((E102="t"),H102," ")</f>
        <v> </v>
      </c>
      <c r="W102" s="17" t="str">
        <f aca="false">IF((E102="q"),H102," ")</f>
        <v> </v>
      </c>
      <c r="X102" s="17" t="str">
        <f aca="false">IF((E102="m"),H102," ")</f>
        <v> </v>
      </c>
      <c r="Y102" s="17" t="str">
        <f aca="false">IF((E102="u"),H102," ")</f>
        <v> </v>
      </c>
      <c r="Z102" s="17" t="str">
        <f aca="false">IF((E102="a"),H102," ")</f>
        <v> </v>
      </c>
      <c r="AA102" s="17" t="str">
        <f aca="false">IF((E102="g"),H102," ")</f>
        <v> </v>
      </c>
      <c r="AB102" s="17" t="str">
        <f aca="false">IF((E102="h"),H102," ")</f>
        <v> </v>
      </c>
      <c r="AC102" s="30" t="str">
        <f aca="false">IF((E102="v"),H102," ")</f>
        <v> </v>
      </c>
      <c r="AD102" s="30" t="str">
        <f aca="false">IF((E102="n"),H102," ")</f>
        <v> </v>
      </c>
      <c r="AE102" s="17" t="str">
        <f aca="false">IF((E102="f"),H102," ")</f>
        <v> </v>
      </c>
      <c r="AF102" s="17" t="str">
        <f aca="false">IF((E102="l"),H102," ")</f>
        <v> </v>
      </c>
      <c r="AG102" s="17" t="str">
        <f aca="false">IF((E102="y"),H102," ")</f>
        <v> </v>
      </c>
      <c r="AH102" s="17" t="str">
        <f aca="false">IF((E102="z"),H102," ")</f>
        <v> </v>
      </c>
      <c r="AI102" s="17" t="str">
        <f aca="false">IF((E102="fa"),H102," ")</f>
        <v> </v>
      </c>
      <c r="AJ102" s="17" t="str">
        <f aca="false">IF((E102="e"),H102," ")</f>
        <v> </v>
      </c>
    </row>
    <row r="103" customFormat="false" ht="12" hidden="false" customHeight="false" outlineLevel="0" collapsed="false">
      <c r="A103" s="28"/>
      <c r="E103" s="2" t="str">
        <f aca="false">IF((F103&lt;&gt;0),"Enter Letter"," ")</f>
        <v> </v>
      </c>
      <c r="F103" s="30"/>
      <c r="G103" s="6" t="str">
        <f aca="false">IF(F103&lt;&gt;0,F103*G$2/(100+G$2)," ")</f>
        <v> </v>
      </c>
      <c r="H103" s="6" t="str">
        <f aca="false">IF((F103&lt;&gt;0),F103-G103," ")</f>
        <v> </v>
      </c>
      <c r="I103" s="5"/>
      <c r="L103" s="7" t="str">
        <f aca="false">IF(F103&lt;&gt;0,F103-K103," ")</f>
        <v> </v>
      </c>
      <c r="M103" s="8" t="str">
        <f aca="false">IF((F103-K103)&lt;&gt;0,M$1-A103," ")</f>
        <v> </v>
      </c>
      <c r="N103" s="5"/>
      <c r="O103" s="17" t="str">
        <f aca="false">IF((E103="s"),H103," ")</f>
        <v> </v>
      </c>
      <c r="P103" s="17" t="str">
        <f aca="false">IF((E103="c"),H103," ")</f>
        <v> </v>
      </c>
      <c r="Q103" s="17" t="str">
        <f aca="false">IF((E103="o"),H103," ")</f>
        <v> </v>
      </c>
      <c r="R103" s="17" t="str">
        <f aca="false">IF((E103="d"),H103," ")</f>
        <v> </v>
      </c>
      <c r="S103" s="17" t="str">
        <f aca="false">IF((E103="w"),H103," ")</f>
        <v> </v>
      </c>
      <c r="T103" s="17" t="str">
        <f aca="false">IF((E103="r"),H103," ")</f>
        <v> </v>
      </c>
      <c r="U103" s="17" t="str">
        <f aca="false">IF((E103="p"),H103," ")</f>
        <v> </v>
      </c>
      <c r="V103" s="17" t="str">
        <f aca="false">IF((E103="t"),H103," ")</f>
        <v> </v>
      </c>
      <c r="W103" s="17" t="str">
        <f aca="false">IF((E103="q"),H103," ")</f>
        <v> </v>
      </c>
      <c r="X103" s="17" t="str">
        <f aca="false">IF((E103="m"),H103," ")</f>
        <v> </v>
      </c>
      <c r="Y103" s="17" t="str">
        <f aca="false">IF((E103="u"),H103," ")</f>
        <v> </v>
      </c>
      <c r="Z103" s="17" t="str">
        <f aca="false">IF((E103="a"),H103," ")</f>
        <v> </v>
      </c>
      <c r="AA103" s="17" t="str">
        <f aca="false">IF((E103="g"),H103," ")</f>
        <v> </v>
      </c>
      <c r="AB103" s="17" t="str">
        <f aca="false">IF((E103="h"),H103," ")</f>
        <v> </v>
      </c>
      <c r="AC103" s="30" t="str">
        <f aca="false">IF((E103="v"),H103," ")</f>
        <v> </v>
      </c>
      <c r="AD103" s="30" t="str">
        <f aca="false">IF((E103="n"),H103," ")</f>
        <v> </v>
      </c>
      <c r="AE103" s="17" t="str">
        <f aca="false">IF((E103="f"),H103," ")</f>
        <v> </v>
      </c>
      <c r="AF103" s="17" t="str">
        <f aca="false">IF((E103="l"),H103," ")</f>
        <v> </v>
      </c>
      <c r="AG103" s="17" t="str">
        <f aca="false">IF((E103="y"),H103," ")</f>
        <v> </v>
      </c>
      <c r="AH103" s="17" t="str">
        <f aca="false">IF((E103="z"),H103," ")</f>
        <v> </v>
      </c>
      <c r="AI103" s="17" t="str">
        <f aca="false">IF((E103="fa"),H103," ")</f>
        <v> </v>
      </c>
      <c r="AJ103" s="17" t="str">
        <f aca="false">IF((E103="e"),H103," ")</f>
        <v> </v>
      </c>
    </row>
    <row r="104" customFormat="false" ht="12" hidden="false" customHeight="false" outlineLevel="0" collapsed="false">
      <c r="A104" s="28"/>
      <c r="E104" s="2" t="str">
        <f aca="false">IF((F104&lt;&gt;0),"Enter Letter"," ")</f>
        <v> </v>
      </c>
      <c r="F104" s="30"/>
      <c r="G104" s="6" t="str">
        <f aca="false">IF(F104&lt;&gt;0,F104*G$2/(100+G$2)," ")</f>
        <v> </v>
      </c>
      <c r="H104" s="6" t="str">
        <f aca="false">IF((F104&lt;&gt;0),F104-G104," ")</f>
        <v> </v>
      </c>
      <c r="I104" s="5"/>
      <c r="L104" s="7" t="str">
        <f aca="false">IF(F104&lt;&gt;0,F104-K104," ")</f>
        <v> </v>
      </c>
      <c r="M104" s="8" t="str">
        <f aca="false">IF((F104-K104)&lt;&gt;0,M$1-A104," ")</f>
        <v> </v>
      </c>
      <c r="N104" s="5"/>
      <c r="O104" s="17" t="str">
        <f aca="false">IF((E104="s"),H104," ")</f>
        <v> </v>
      </c>
      <c r="P104" s="17" t="str">
        <f aca="false">IF((E104="c"),H104," ")</f>
        <v> </v>
      </c>
      <c r="Q104" s="17" t="str">
        <f aca="false">IF((E104="o"),H104," ")</f>
        <v> </v>
      </c>
      <c r="R104" s="17" t="str">
        <f aca="false">IF((E104="d"),H104," ")</f>
        <v> </v>
      </c>
      <c r="S104" s="17" t="str">
        <f aca="false">IF((E104="w"),H104," ")</f>
        <v> </v>
      </c>
      <c r="T104" s="17" t="str">
        <f aca="false">IF((E104="r"),H104," ")</f>
        <v> </v>
      </c>
      <c r="U104" s="17" t="str">
        <f aca="false">IF((E104="p"),H104," ")</f>
        <v> </v>
      </c>
      <c r="V104" s="17" t="str">
        <f aca="false">IF((E104="t"),H104," ")</f>
        <v> </v>
      </c>
      <c r="W104" s="17" t="str">
        <f aca="false">IF((E104="q"),H104," ")</f>
        <v> </v>
      </c>
      <c r="X104" s="17" t="str">
        <f aca="false">IF((E104="m"),H104," ")</f>
        <v> </v>
      </c>
      <c r="Y104" s="17" t="str">
        <f aca="false">IF((E104="u"),H104," ")</f>
        <v> </v>
      </c>
      <c r="Z104" s="17" t="str">
        <f aca="false">IF((E104="a"),H104," ")</f>
        <v> </v>
      </c>
      <c r="AA104" s="17" t="str">
        <f aca="false">IF((E104="g"),H104," ")</f>
        <v> </v>
      </c>
      <c r="AB104" s="17" t="str">
        <f aca="false">IF((E104="h"),H104," ")</f>
        <v> </v>
      </c>
      <c r="AC104" s="30" t="str">
        <f aca="false">IF((E104="v"),H104," ")</f>
        <v> </v>
      </c>
      <c r="AD104" s="30" t="str">
        <f aca="false">IF((E104="n"),H104," ")</f>
        <v> </v>
      </c>
      <c r="AE104" s="17" t="str">
        <f aca="false">IF((E104="f"),H104," ")</f>
        <v> </v>
      </c>
      <c r="AF104" s="17" t="str">
        <f aca="false">IF((E104="l"),H104," ")</f>
        <v> </v>
      </c>
      <c r="AG104" s="17" t="str">
        <f aca="false">IF((E104="y"),H104," ")</f>
        <v> </v>
      </c>
      <c r="AH104" s="17" t="str">
        <f aca="false">IF((E104="z"),H104," ")</f>
        <v> </v>
      </c>
      <c r="AI104" s="17" t="str">
        <f aca="false">IF((E104="fa"),H104," ")</f>
        <v> </v>
      </c>
      <c r="AJ104" s="17" t="str">
        <f aca="false">IF((E104="e"),H104," ")</f>
        <v> </v>
      </c>
    </row>
    <row r="105" customFormat="false" ht="12" hidden="false" customHeight="false" outlineLevel="0" collapsed="false">
      <c r="A105" s="28"/>
      <c r="E105" s="2" t="str">
        <f aca="false">IF((F105&lt;&gt;0),"Enter Letter"," ")</f>
        <v> </v>
      </c>
      <c r="F105" s="30"/>
      <c r="G105" s="6" t="str">
        <f aca="false">IF(F105&lt;&gt;0,F105*G$2/(100+G$2)," ")</f>
        <v> </v>
      </c>
      <c r="H105" s="6" t="str">
        <f aca="false">IF((F105&lt;&gt;0),F105-G105," ")</f>
        <v> </v>
      </c>
      <c r="I105" s="5"/>
      <c r="L105" s="7" t="str">
        <f aca="false">IF(F105&lt;&gt;0,F105-K105," ")</f>
        <v> </v>
      </c>
      <c r="M105" s="8" t="str">
        <f aca="false">IF((F105-K105)&lt;&gt;0,M$1-A105," ")</f>
        <v> </v>
      </c>
      <c r="N105" s="5"/>
      <c r="O105" s="17" t="str">
        <f aca="false">IF((E105="s"),H105," ")</f>
        <v> </v>
      </c>
      <c r="P105" s="17" t="str">
        <f aca="false">IF((E105="c"),H105," ")</f>
        <v> </v>
      </c>
      <c r="Q105" s="17" t="str">
        <f aca="false">IF((E105="o"),H105," ")</f>
        <v> </v>
      </c>
      <c r="R105" s="17" t="str">
        <f aca="false">IF((E105="d"),H105," ")</f>
        <v> </v>
      </c>
      <c r="S105" s="17" t="str">
        <f aca="false">IF((E105="w"),H105," ")</f>
        <v> </v>
      </c>
      <c r="T105" s="17" t="str">
        <f aca="false">IF((E105="r"),H105," ")</f>
        <v> </v>
      </c>
      <c r="U105" s="17" t="str">
        <f aca="false">IF((E105="p"),H105," ")</f>
        <v> </v>
      </c>
      <c r="V105" s="17" t="str">
        <f aca="false">IF((E105="t"),H105," ")</f>
        <v> </v>
      </c>
      <c r="W105" s="17" t="str">
        <f aca="false">IF((E105="q"),H105," ")</f>
        <v> </v>
      </c>
      <c r="X105" s="17" t="str">
        <f aca="false">IF((E105="m"),H105," ")</f>
        <v> </v>
      </c>
      <c r="Y105" s="17" t="str">
        <f aca="false">IF((E105="u"),H105," ")</f>
        <v> </v>
      </c>
      <c r="Z105" s="17" t="str">
        <f aca="false">IF((E105="a"),H105," ")</f>
        <v> </v>
      </c>
      <c r="AA105" s="17" t="str">
        <f aca="false">IF((E105="g"),H105," ")</f>
        <v> </v>
      </c>
      <c r="AB105" s="17" t="str">
        <f aca="false">IF((E105="h"),H105," ")</f>
        <v> </v>
      </c>
      <c r="AC105" s="30" t="str">
        <f aca="false">IF((E105="v"),H105," ")</f>
        <v> </v>
      </c>
      <c r="AD105" s="30" t="str">
        <f aca="false">IF((E105="n"),H105," ")</f>
        <v> </v>
      </c>
      <c r="AE105" s="17" t="str">
        <f aca="false">IF((E105="f"),H105," ")</f>
        <v> </v>
      </c>
      <c r="AF105" s="17" t="str">
        <f aca="false">IF((E105="l"),H105," ")</f>
        <v> </v>
      </c>
      <c r="AG105" s="17" t="str">
        <f aca="false">IF((E105="y"),H105," ")</f>
        <v> </v>
      </c>
      <c r="AH105" s="17" t="str">
        <f aca="false">IF((E105="z"),H105," ")</f>
        <v> </v>
      </c>
      <c r="AI105" s="17" t="str">
        <f aca="false">IF((E105="fa"),H105," ")</f>
        <v> </v>
      </c>
      <c r="AJ105" s="17" t="str">
        <f aca="false">IF((E105="e"),H105," ")</f>
        <v> </v>
      </c>
    </row>
    <row r="106" customFormat="false" ht="12" hidden="false" customHeight="false" outlineLevel="0" collapsed="false">
      <c r="A106" s="28"/>
      <c r="E106" s="2" t="str">
        <f aca="false">IF((F106&lt;&gt;0),"Enter Letter"," ")</f>
        <v> </v>
      </c>
      <c r="F106" s="30"/>
      <c r="G106" s="6" t="str">
        <f aca="false">IF(F106&lt;&gt;0,F106*G$2/(100+G$2)," ")</f>
        <v> </v>
      </c>
      <c r="H106" s="6" t="str">
        <f aca="false">IF((F106&lt;&gt;0),F106-G106," ")</f>
        <v> </v>
      </c>
      <c r="I106" s="5"/>
      <c r="L106" s="7" t="str">
        <f aca="false">IF(F106&lt;&gt;0,F106-K106," ")</f>
        <v> </v>
      </c>
      <c r="M106" s="8" t="str">
        <f aca="false">IF((F106-K106)&lt;&gt;0,M$1-A106," ")</f>
        <v> </v>
      </c>
      <c r="N106" s="5"/>
      <c r="O106" s="17" t="str">
        <f aca="false">IF((E106="s"),H106," ")</f>
        <v> </v>
      </c>
      <c r="P106" s="17" t="str">
        <f aca="false">IF((E106="c"),H106," ")</f>
        <v> </v>
      </c>
      <c r="Q106" s="17" t="str">
        <f aca="false">IF((E106="o"),H106," ")</f>
        <v> </v>
      </c>
      <c r="R106" s="17" t="str">
        <f aca="false">IF((E106="d"),H106," ")</f>
        <v> </v>
      </c>
      <c r="S106" s="17" t="str">
        <f aca="false">IF((E106="w"),H106," ")</f>
        <v> </v>
      </c>
      <c r="T106" s="17" t="str">
        <f aca="false">IF((E106="r"),H106," ")</f>
        <v> </v>
      </c>
      <c r="U106" s="17" t="str">
        <f aca="false">IF((E106="p"),H106," ")</f>
        <v> </v>
      </c>
      <c r="V106" s="17" t="str">
        <f aca="false">IF((E106="t"),H106," ")</f>
        <v> </v>
      </c>
      <c r="W106" s="17" t="str">
        <f aca="false">IF((E106="q"),H106," ")</f>
        <v> </v>
      </c>
      <c r="X106" s="17" t="str">
        <f aca="false">IF((E106="m"),H106," ")</f>
        <v> </v>
      </c>
      <c r="Y106" s="17" t="str">
        <f aca="false">IF((E106="u"),H106," ")</f>
        <v> </v>
      </c>
      <c r="Z106" s="17" t="str">
        <f aca="false">IF((E106="a"),H106," ")</f>
        <v> </v>
      </c>
      <c r="AA106" s="17" t="str">
        <f aca="false">IF((E106="g"),H106," ")</f>
        <v> </v>
      </c>
      <c r="AB106" s="17" t="str">
        <f aca="false">IF((E106="h"),H106," ")</f>
        <v> </v>
      </c>
      <c r="AC106" s="30" t="str">
        <f aca="false">IF((E106="v"),H106," ")</f>
        <v> </v>
      </c>
      <c r="AD106" s="30" t="str">
        <f aca="false">IF((E106="n"),H106," ")</f>
        <v> </v>
      </c>
      <c r="AE106" s="17" t="str">
        <f aca="false">IF((E106="f"),H106," ")</f>
        <v> </v>
      </c>
      <c r="AF106" s="17" t="str">
        <f aca="false">IF((E106="l"),H106," ")</f>
        <v> </v>
      </c>
      <c r="AG106" s="17" t="str">
        <f aca="false">IF((E106="y"),H106," ")</f>
        <v> </v>
      </c>
      <c r="AH106" s="17" t="str">
        <f aca="false">IF((E106="z"),H106," ")</f>
        <v> </v>
      </c>
      <c r="AI106" s="17" t="str">
        <f aca="false">IF((E106="fa"),H106," ")</f>
        <v> </v>
      </c>
      <c r="AJ106" s="17" t="str">
        <f aca="false">IF((E106="e"),H106," ")</f>
        <v> </v>
      </c>
    </row>
    <row r="107" customFormat="false" ht="12" hidden="false" customHeight="false" outlineLevel="0" collapsed="false">
      <c r="A107" s="28"/>
      <c r="E107" s="2" t="str">
        <f aca="false">IF((F107&lt;&gt;0),"Enter Letter"," ")</f>
        <v> </v>
      </c>
      <c r="F107" s="30"/>
      <c r="G107" s="6" t="str">
        <f aca="false">IF(F107&lt;&gt;0,F107*G$2/(100+G$2)," ")</f>
        <v> </v>
      </c>
      <c r="H107" s="6" t="str">
        <f aca="false">IF((F107&lt;&gt;0),F107-G107," ")</f>
        <v> </v>
      </c>
      <c r="I107" s="5"/>
      <c r="L107" s="7" t="str">
        <f aca="false">IF(F107&lt;&gt;0,F107-K107," ")</f>
        <v> </v>
      </c>
      <c r="M107" s="8" t="str">
        <f aca="false">IF((F107-K107)&lt;&gt;0,M$1-A107," ")</f>
        <v> </v>
      </c>
      <c r="N107" s="5"/>
      <c r="O107" s="17" t="str">
        <f aca="false">IF((E107="s"),H107," ")</f>
        <v> </v>
      </c>
      <c r="P107" s="17" t="str">
        <f aca="false">IF((E107="c"),H107," ")</f>
        <v> </v>
      </c>
      <c r="Q107" s="17" t="str">
        <f aca="false">IF((E107="o"),H107," ")</f>
        <v> </v>
      </c>
      <c r="R107" s="17" t="str">
        <f aca="false">IF((E107="d"),H107," ")</f>
        <v> </v>
      </c>
      <c r="S107" s="17" t="str">
        <f aca="false">IF((E107="w"),H107," ")</f>
        <v> </v>
      </c>
      <c r="T107" s="17" t="str">
        <f aca="false">IF((E107="r"),H107," ")</f>
        <v> </v>
      </c>
      <c r="U107" s="17" t="str">
        <f aca="false">IF((E107="p"),H107," ")</f>
        <v> </v>
      </c>
      <c r="V107" s="17" t="str">
        <f aca="false">IF((E107="t"),H107," ")</f>
        <v> </v>
      </c>
      <c r="W107" s="17" t="str">
        <f aca="false">IF((E107="q"),H107," ")</f>
        <v> </v>
      </c>
      <c r="X107" s="17" t="str">
        <f aca="false">IF((E107="m"),H107," ")</f>
        <v> </v>
      </c>
      <c r="Y107" s="17" t="str">
        <f aca="false">IF((E107="u"),H107," ")</f>
        <v> </v>
      </c>
      <c r="Z107" s="17" t="str">
        <f aca="false">IF((E107="a"),H107," ")</f>
        <v> </v>
      </c>
      <c r="AA107" s="17" t="str">
        <f aca="false">IF((E107="g"),H107," ")</f>
        <v> </v>
      </c>
      <c r="AB107" s="17" t="str">
        <f aca="false">IF((E107="h"),H107," ")</f>
        <v> </v>
      </c>
      <c r="AC107" s="30" t="str">
        <f aca="false">IF((E107="v"),H107," ")</f>
        <v> </v>
      </c>
      <c r="AD107" s="30" t="str">
        <f aca="false">IF((E107="n"),H107," ")</f>
        <v> </v>
      </c>
      <c r="AE107" s="17" t="str">
        <f aca="false">IF((E107="f"),H107," ")</f>
        <v> </v>
      </c>
      <c r="AF107" s="17" t="str">
        <f aca="false">IF((E107="l"),H107," ")</f>
        <v> </v>
      </c>
      <c r="AG107" s="17" t="str">
        <f aca="false">IF((E107="y"),H107," ")</f>
        <v> </v>
      </c>
      <c r="AH107" s="17" t="str">
        <f aca="false">IF((E107="z"),H107," ")</f>
        <v> </v>
      </c>
      <c r="AI107" s="17" t="str">
        <f aca="false">IF((E107="fa"),H107," ")</f>
        <v> </v>
      </c>
      <c r="AJ107" s="17" t="str">
        <f aca="false">IF((E107="e"),H107," ")</f>
        <v> </v>
      </c>
    </row>
    <row r="108" customFormat="false" ht="12" hidden="false" customHeight="false" outlineLevel="0" collapsed="false">
      <c r="A108" s="28"/>
      <c r="E108" s="2" t="str">
        <f aca="false">IF((F108&lt;&gt;0),"Enter Letter"," ")</f>
        <v> </v>
      </c>
      <c r="F108" s="30"/>
      <c r="G108" s="6" t="str">
        <f aca="false">IF(F108&lt;&gt;0,F108*G$2/(100+G$2)," ")</f>
        <v> </v>
      </c>
      <c r="H108" s="6" t="str">
        <f aca="false">IF((F108&lt;&gt;0),F108-G108," ")</f>
        <v> </v>
      </c>
      <c r="I108" s="5"/>
      <c r="L108" s="7" t="str">
        <f aca="false">IF(F108&lt;&gt;0,F108-K108," ")</f>
        <v> </v>
      </c>
      <c r="M108" s="8" t="str">
        <f aca="false">IF((F108-K108)&lt;&gt;0,M$1-A108," ")</f>
        <v> </v>
      </c>
      <c r="N108" s="5"/>
      <c r="O108" s="17" t="str">
        <f aca="false">IF((E108="s"),H108," ")</f>
        <v> </v>
      </c>
      <c r="P108" s="17" t="str">
        <f aca="false">IF((E108="c"),H108," ")</f>
        <v> </v>
      </c>
      <c r="Q108" s="17" t="str">
        <f aca="false">IF((E108="o"),H108," ")</f>
        <v> </v>
      </c>
      <c r="R108" s="17" t="str">
        <f aca="false">IF((E108="d"),H108," ")</f>
        <v> </v>
      </c>
      <c r="S108" s="17" t="str">
        <f aca="false">IF((E108="w"),H108," ")</f>
        <v> </v>
      </c>
      <c r="T108" s="17" t="str">
        <f aca="false">IF((E108="r"),H108," ")</f>
        <v> </v>
      </c>
      <c r="U108" s="17" t="str">
        <f aca="false">IF((E108="p"),H108," ")</f>
        <v> </v>
      </c>
      <c r="V108" s="17" t="str">
        <f aca="false">IF((E108="t"),H108," ")</f>
        <v> </v>
      </c>
      <c r="W108" s="17" t="str">
        <f aca="false">IF((E108="q"),H108," ")</f>
        <v> </v>
      </c>
      <c r="X108" s="17" t="str">
        <f aca="false">IF((E108="m"),H108," ")</f>
        <v> </v>
      </c>
      <c r="Y108" s="17" t="str">
        <f aca="false">IF((E108="u"),H108," ")</f>
        <v> </v>
      </c>
      <c r="Z108" s="17" t="str">
        <f aca="false">IF((E108="a"),H108," ")</f>
        <v> </v>
      </c>
      <c r="AA108" s="17" t="str">
        <f aca="false">IF((E108="g"),H108," ")</f>
        <v> </v>
      </c>
      <c r="AB108" s="17" t="str">
        <f aca="false">IF((E108="h"),H108," ")</f>
        <v> </v>
      </c>
      <c r="AC108" s="30" t="str">
        <f aca="false">IF((E108="v"),H108," ")</f>
        <v> </v>
      </c>
      <c r="AD108" s="30" t="str">
        <f aca="false">IF((E108="n"),H108," ")</f>
        <v> </v>
      </c>
      <c r="AE108" s="17" t="str">
        <f aca="false">IF((E108="f"),H108," ")</f>
        <v> </v>
      </c>
      <c r="AF108" s="17" t="str">
        <f aca="false">IF((E108="l"),H108," ")</f>
        <v> </v>
      </c>
      <c r="AG108" s="17" t="str">
        <f aca="false">IF((E108="y"),H108," ")</f>
        <v> </v>
      </c>
      <c r="AH108" s="17" t="str">
        <f aca="false">IF((E108="z"),H108," ")</f>
        <v> </v>
      </c>
      <c r="AI108" s="17" t="str">
        <f aca="false">IF((E108="fa"),H108," ")</f>
        <v> </v>
      </c>
      <c r="AJ108" s="17" t="str">
        <f aca="false">IF((E108="e"),H108," ")</f>
        <v> </v>
      </c>
    </row>
    <row r="109" customFormat="false" ht="12" hidden="false" customHeight="false" outlineLevel="0" collapsed="false">
      <c r="A109" s="28"/>
      <c r="E109" s="2" t="str">
        <f aca="false">IF((F109&lt;&gt;0),"Enter Letter"," ")</f>
        <v> </v>
      </c>
      <c r="F109" s="30"/>
      <c r="G109" s="6" t="str">
        <f aca="false">IF(F109&lt;&gt;0,F109*G$2/(100+G$2)," ")</f>
        <v> </v>
      </c>
      <c r="H109" s="6" t="str">
        <f aca="false">IF((F109&lt;&gt;0),F109-G109," ")</f>
        <v> </v>
      </c>
      <c r="I109" s="5"/>
      <c r="L109" s="7" t="str">
        <f aca="false">IF(F109&lt;&gt;0,F109-K109," ")</f>
        <v> </v>
      </c>
      <c r="M109" s="8" t="str">
        <f aca="false">IF((F109-K109)&lt;&gt;0,M$1-A109," ")</f>
        <v> </v>
      </c>
      <c r="N109" s="5"/>
      <c r="O109" s="17" t="str">
        <f aca="false">IF((E109="s"),H109," ")</f>
        <v> </v>
      </c>
      <c r="P109" s="17" t="str">
        <f aca="false">IF((E109="c"),H109," ")</f>
        <v> </v>
      </c>
      <c r="Q109" s="17" t="str">
        <f aca="false">IF((E109="o"),H109," ")</f>
        <v> </v>
      </c>
      <c r="R109" s="17" t="str">
        <f aca="false">IF((E109="d"),H109," ")</f>
        <v> </v>
      </c>
      <c r="S109" s="17" t="str">
        <f aca="false">IF((E109="w"),H109," ")</f>
        <v> </v>
      </c>
      <c r="T109" s="17" t="str">
        <f aca="false">IF((E109="r"),H109," ")</f>
        <v> </v>
      </c>
      <c r="U109" s="17" t="str">
        <f aca="false">IF((E109="p"),H109," ")</f>
        <v> </v>
      </c>
      <c r="V109" s="17" t="str">
        <f aca="false">IF((E109="t"),H109," ")</f>
        <v> </v>
      </c>
      <c r="W109" s="17" t="str">
        <f aca="false">IF((E109="q"),H109," ")</f>
        <v> </v>
      </c>
      <c r="X109" s="17" t="str">
        <f aca="false">IF((E109="m"),H109," ")</f>
        <v> </v>
      </c>
      <c r="Y109" s="17" t="str">
        <f aca="false">IF((E109="u"),H109," ")</f>
        <v> </v>
      </c>
      <c r="Z109" s="17" t="str">
        <f aca="false">IF((E109="a"),H109," ")</f>
        <v> </v>
      </c>
      <c r="AA109" s="17" t="str">
        <f aca="false">IF((E109="g"),H109," ")</f>
        <v> </v>
      </c>
      <c r="AB109" s="17" t="str">
        <f aca="false">IF((E109="h"),H109," ")</f>
        <v> </v>
      </c>
      <c r="AC109" s="30" t="str">
        <f aca="false">IF((E109="v"),H109," ")</f>
        <v> </v>
      </c>
      <c r="AD109" s="30" t="str">
        <f aca="false">IF((E109="n"),H109," ")</f>
        <v> </v>
      </c>
      <c r="AE109" s="17" t="str">
        <f aca="false">IF((E109="f"),H109," ")</f>
        <v> </v>
      </c>
      <c r="AF109" s="17" t="str">
        <f aca="false">IF((E109="l"),H109," ")</f>
        <v> </v>
      </c>
      <c r="AG109" s="17" t="str">
        <f aca="false">IF((E109="y"),H109," ")</f>
        <v> </v>
      </c>
      <c r="AH109" s="17" t="str">
        <f aca="false">IF((E109="z"),H109," ")</f>
        <v> </v>
      </c>
      <c r="AI109" s="17" t="str">
        <f aca="false">IF((E109="fa"),H109," ")</f>
        <v> </v>
      </c>
      <c r="AJ109" s="17" t="str">
        <f aca="false">IF((E109="e"),H109," ")</f>
        <v> </v>
      </c>
    </row>
    <row r="110" customFormat="false" ht="12" hidden="false" customHeight="false" outlineLevel="0" collapsed="false">
      <c r="A110" s="28"/>
      <c r="E110" s="2" t="str">
        <f aca="false">IF((F110&lt;&gt;0),"Enter Letter"," ")</f>
        <v> </v>
      </c>
      <c r="F110" s="30"/>
      <c r="G110" s="6" t="str">
        <f aca="false">IF(F110&lt;&gt;0,F110*G$2/(100+G$2)," ")</f>
        <v> </v>
      </c>
      <c r="H110" s="6" t="str">
        <f aca="false">IF((F110&lt;&gt;0),F110-G110," ")</f>
        <v> </v>
      </c>
      <c r="I110" s="5"/>
      <c r="L110" s="7" t="str">
        <f aca="false">IF(F110&lt;&gt;0,F110-K110," ")</f>
        <v> </v>
      </c>
      <c r="M110" s="8" t="str">
        <f aca="false">IF((F110-K110)&lt;&gt;0,M$1-A110," ")</f>
        <v> </v>
      </c>
      <c r="N110" s="5"/>
      <c r="O110" s="17" t="str">
        <f aca="false">IF((E110="s"),H110," ")</f>
        <v> </v>
      </c>
      <c r="P110" s="17" t="str">
        <f aca="false">IF((E110="c"),H110," ")</f>
        <v> </v>
      </c>
      <c r="Q110" s="17" t="str">
        <f aca="false">IF((E110="o"),H110," ")</f>
        <v> </v>
      </c>
      <c r="R110" s="17" t="str">
        <f aca="false">IF((E110="d"),H110," ")</f>
        <v> </v>
      </c>
      <c r="S110" s="17" t="str">
        <f aca="false">IF((E110="w"),H110," ")</f>
        <v> </v>
      </c>
      <c r="T110" s="17" t="str">
        <f aca="false">IF((E110="r"),H110," ")</f>
        <v> </v>
      </c>
      <c r="U110" s="17" t="str">
        <f aca="false">IF((E110="p"),H110," ")</f>
        <v> </v>
      </c>
      <c r="V110" s="17" t="str">
        <f aca="false">IF((E110="t"),H110," ")</f>
        <v> </v>
      </c>
      <c r="W110" s="17" t="str">
        <f aca="false">IF((E110="q"),H110," ")</f>
        <v> </v>
      </c>
      <c r="X110" s="17" t="str">
        <f aca="false">IF((E110="m"),H110," ")</f>
        <v> </v>
      </c>
      <c r="Y110" s="17" t="str">
        <f aca="false">IF((E110="u"),H110," ")</f>
        <v> </v>
      </c>
      <c r="Z110" s="17" t="str">
        <f aca="false">IF((E110="a"),H110," ")</f>
        <v> </v>
      </c>
      <c r="AA110" s="17" t="str">
        <f aca="false">IF((E110="g"),H110," ")</f>
        <v> </v>
      </c>
      <c r="AB110" s="17" t="str">
        <f aca="false">IF((E110="h"),H110," ")</f>
        <v> </v>
      </c>
      <c r="AC110" s="30" t="str">
        <f aca="false">IF((E110="v"),H110," ")</f>
        <v> </v>
      </c>
      <c r="AD110" s="30" t="str">
        <f aca="false">IF((E110="n"),H110," ")</f>
        <v> </v>
      </c>
      <c r="AE110" s="17" t="str">
        <f aca="false">IF((E110="f"),H110," ")</f>
        <v> </v>
      </c>
      <c r="AF110" s="17" t="str">
        <f aca="false">IF((E110="l"),H110," ")</f>
        <v> </v>
      </c>
      <c r="AG110" s="17" t="str">
        <f aca="false">IF((E110="y"),H110," ")</f>
        <v> </v>
      </c>
      <c r="AH110" s="17" t="str">
        <f aca="false">IF((E110="z"),H110," ")</f>
        <v> </v>
      </c>
      <c r="AI110" s="17" t="str">
        <f aca="false">IF((E110="fa"),H110," ")</f>
        <v> </v>
      </c>
      <c r="AJ110" s="17" t="str">
        <f aca="false">IF((E110="e"),H110," ")</f>
        <v> </v>
      </c>
    </row>
    <row r="111" customFormat="false" ht="12" hidden="false" customHeight="false" outlineLevel="0" collapsed="false">
      <c r="A111" s="28"/>
      <c r="E111" s="2" t="str">
        <f aca="false">IF((F111&lt;&gt;0),"Enter Letter"," ")</f>
        <v> </v>
      </c>
      <c r="F111" s="30"/>
      <c r="G111" s="6" t="str">
        <f aca="false">IF(F111&lt;&gt;0,F111*G$2/(100+G$2)," ")</f>
        <v> </v>
      </c>
      <c r="H111" s="6" t="str">
        <f aca="false">IF((F111&lt;&gt;0),F111-G111," ")</f>
        <v> </v>
      </c>
      <c r="I111" s="5"/>
      <c r="L111" s="7" t="str">
        <f aca="false">IF(F111&lt;&gt;0,F111-K111," ")</f>
        <v> </v>
      </c>
      <c r="M111" s="8" t="str">
        <f aca="false">IF((F111-K111)&lt;&gt;0,M$1-A111," ")</f>
        <v> </v>
      </c>
      <c r="N111" s="5"/>
      <c r="O111" s="17" t="str">
        <f aca="false">IF((E111="s"),H111," ")</f>
        <v> </v>
      </c>
      <c r="P111" s="17" t="str">
        <f aca="false">IF((E111="c"),H111," ")</f>
        <v> </v>
      </c>
      <c r="Q111" s="17" t="str">
        <f aca="false">IF((E111="o"),H111," ")</f>
        <v> </v>
      </c>
      <c r="R111" s="17" t="str">
        <f aca="false">IF((E111="d"),H111," ")</f>
        <v> </v>
      </c>
      <c r="S111" s="17" t="str">
        <f aca="false">IF((E111="w"),H111," ")</f>
        <v> </v>
      </c>
      <c r="T111" s="17" t="str">
        <f aca="false">IF((E111="r"),H111," ")</f>
        <v> </v>
      </c>
      <c r="U111" s="17" t="str">
        <f aca="false">IF((E111="p"),H111," ")</f>
        <v> </v>
      </c>
      <c r="V111" s="17" t="str">
        <f aca="false">IF((E111="t"),H111," ")</f>
        <v> </v>
      </c>
      <c r="W111" s="17" t="str">
        <f aca="false">IF((E111="q"),H111," ")</f>
        <v> </v>
      </c>
      <c r="X111" s="17" t="str">
        <f aca="false">IF((E111="m"),H111," ")</f>
        <v> </v>
      </c>
      <c r="Y111" s="17" t="str">
        <f aca="false">IF((E111="u"),H111," ")</f>
        <v> </v>
      </c>
      <c r="Z111" s="17" t="str">
        <f aca="false">IF((E111="a"),H111," ")</f>
        <v> </v>
      </c>
      <c r="AA111" s="17" t="str">
        <f aca="false">IF((E111="g"),H111," ")</f>
        <v> </v>
      </c>
      <c r="AB111" s="17" t="str">
        <f aca="false">IF((E111="h"),H111," ")</f>
        <v> </v>
      </c>
      <c r="AC111" s="30" t="str">
        <f aca="false">IF((E111="v"),H111," ")</f>
        <v> </v>
      </c>
      <c r="AD111" s="30" t="str">
        <f aca="false">IF((E111="n"),H111," ")</f>
        <v> </v>
      </c>
      <c r="AE111" s="17" t="str">
        <f aca="false">IF((E111="f"),H111," ")</f>
        <v> </v>
      </c>
      <c r="AF111" s="17" t="str">
        <f aca="false">IF((E111="l"),H111," ")</f>
        <v> </v>
      </c>
      <c r="AG111" s="17" t="str">
        <f aca="false">IF((E111="y"),H111," ")</f>
        <v> </v>
      </c>
      <c r="AH111" s="17" t="str">
        <f aca="false">IF((E111="z"),H111," ")</f>
        <v> </v>
      </c>
      <c r="AI111" s="17" t="str">
        <f aca="false">IF((E111="fa"),H111," ")</f>
        <v> </v>
      </c>
      <c r="AJ111" s="17" t="str">
        <f aca="false">IF((E111="e"),H111," ")</f>
        <v> </v>
      </c>
    </row>
    <row r="112" customFormat="false" ht="12" hidden="false" customHeight="false" outlineLevel="0" collapsed="false">
      <c r="A112" s="28"/>
      <c r="E112" s="2" t="str">
        <f aca="false">IF((F112&lt;&gt;0),"Enter Letter"," ")</f>
        <v> </v>
      </c>
      <c r="F112" s="30"/>
      <c r="G112" s="6" t="str">
        <f aca="false">IF(F112&lt;&gt;0,F112*G$2/(100+G$2)," ")</f>
        <v> </v>
      </c>
      <c r="H112" s="6" t="str">
        <f aca="false">IF((F112&lt;&gt;0),F112-G112," ")</f>
        <v> </v>
      </c>
      <c r="I112" s="5"/>
      <c r="L112" s="7" t="str">
        <f aca="false">IF(F112&lt;&gt;0,F112-K112," ")</f>
        <v> </v>
      </c>
      <c r="M112" s="8" t="str">
        <f aca="false">IF((F112-K112)&lt;&gt;0,M$1-A112," ")</f>
        <v> </v>
      </c>
      <c r="N112" s="5"/>
      <c r="O112" s="17" t="str">
        <f aca="false">IF((E112="s"),H112," ")</f>
        <v> </v>
      </c>
      <c r="P112" s="17" t="str">
        <f aca="false">IF((E112="c"),H112," ")</f>
        <v> </v>
      </c>
      <c r="Q112" s="17" t="str">
        <f aca="false">IF((E112="o"),H112," ")</f>
        <v> </v>
      </c>
      <c r="R112" s="17" t="str">
        <f aca="false">IF((E112="d"),H112," ")</f>
        <v> </v>
      </c>
      <c r="S112" s="17" t="str">
        <f aca="false">IF((E112="w"),H112," ")</f>
        <v> </v>
      </c>
      <c r="T112" s="17" t="str">
        <f aca="false">IF((E112="r"),H112," ")</f>
        <v> </v>
      </c>
      <c r="U112" s="17" t="str">
        <f aca="false">IF((E112="p"),H112," ")</f>
        <v> </v>
      </c>
      <c r="V112" s="17" t="str">
        <f aca="false">IF((E112="t"),H112," ")</f>
        <v> </v>
      </c>
      <c r="W112" s="17" t="str">
        <f aca="false">IF((E112="q"),H112," ")</f>
        <v> </v>
      </c>
      <c r="X112" s="17" t="str">
        <f aca="false">IF((E112="m"),H112," ")</f>
        <v> </v>
      </c>
      <c r="Y112" s="17" t="str">
        <f aca="false">IF((E112="u"),H112," ")</f>
        <v> </v>
      </c>
      <c r="Z112" s="17" t="str">
        <f aca="false">IF((E112="a"),H112," ")</f>
        <v> </v>
      </c>
      <c r="AA112" s="17" t="str">
        <f aca="false">IF((E112="g"),H112," ")</f>
        <v> </v>
      </c>
      <c r="AB112" s="17" t="str">
        <f aca="false">IF((E112="h"),H112," ")</f>
        <v> </v>
      </c>
      <c r="AC112" s="30" t="str">
        <f aca="false">IF((E112="v"),H112," ")</f>
        <v> </v>
      </c>
      <c r="AD112" s="30" t="str">
        <f aca="false">IF((E112="n"),H112," ")</f>
        <v> </v>
      </c>
      <c r="AE112" s="17" t="str">
        <f aca="false">IF((E112="f"),H112," ")</f>
        <v> </v>
      </c>
      <c r="AF112" s="17" t="str">
        <f aca="false">IF((E112="l"),H112," ")</f>
        <v> </v>
      </c>
      <c r="AG112" s="17" t="str">
        <f aca="false">IF((E112="y"),H112," ")</f>
        <v> </v>
      </c>
      <c r="AH112" s="17" t="str">
        <f aca="false">IF((E112="z"),H112," ")</f>
        <v> </v>
      </c>
      <c r="AI112" s="17" t="str">
        <f aca="false">IF((E112="fa"),H112," ")</f>
        <v> </v>
      </c>
      <c r="AJ112" s="17" t="str">
        <f aca="false">IF((E112="e"),H112," ")</f>
        <v> </v>
      </c>
    </row>
    <row r="113" customFormat="false" ht="12" hidden="false" customHeight="false" outlineLevel="0" collapsed="false">
      <c r="A113" s="28"/>
      <c r="E113" s="2" t="str">
        <f aca="false">IF((F113&lt;&gt;0),"Enter Letter"," ")</f>
        <v> </v>
      </c>
      <c r="F113" s="30"/>
      <c r="G113" s="6" t="str">
        <f aca="false">IF(F113&lt;&gt;0,F113*G$2/(100+G$2)," ")</f>
        <v> </v>
      </c>
      <c r="H113" s="6" t="str">
        <f aca="false">IF((F113&lt;&gt;0),F113-G113," ")</f>
        <v> </v>
      </c>
      <c r="I113" s="5"/>
      <c r="L113" s="7" t="str">
        <f aca="false">IF(F113&lt;&gt;0,F113-K113," ")</f>
        <v> </v>
      </c>
      <c r="M113" s="8" t="str">
        <f aca="false">IF((F113-K113)&lt;&gt;0,M$1-A113," ")</f>
        <v> </v>
      </c>
      <c r="N113" s="5"/>
      <c r="O113" s="17" t="str">
        <f aca="false">IF((E113="s"),H113," ")</f>
        <v> </v>
      </c>
      <c r="P113" s="17" t="str">
        <f aca="false">IF((E113="c"),H113," ")</f>
        <v> </v>
      </c>
      <c r="Q113" s="17" t="str">
        <f aca="false">IF((E113="o"),H113," ")</f>
        <v> </v>
      </c>
      <c r="R113" s="17" t="str">
        <f aca="false">IF((E113="d"),H113," ")</f>
        <v> </v>
      </c>
      <c r="S113" s="17" t="str">
        <f aca="false">IF((E113="w"),H113," ")</f>
        <v> </v>
      </c>
      <c r="T113" s="17" t="str">
        <f aca="false">IF((E113="r"),H113," ")</f>
        <v> </v>
      </c>
      <c r="U113" s="17" t="str">
        <f aca="false">IF((E113="p"),H113," ")</f>
        <v> </v>
      </c>
      <c r="V113" s="17" t="str">
        <f aca="false">IF((E113="t"),H113," ")</f>
        <v> </v>
      </c>
      <c r="W113" s="17" t="str">
        <f aca="false">IF((E113="q"),H113," ")</f>
        <v> </v>
      </c>
      <c r="X113" s="17" t="str">
        <f aca="false">IF((E113="m"),H113," ")</f>
        <v> </v>
      </c>
      <c r="Y113" s="17" t="str">
        <f aca="false">IF((E113="u"),H113," ")</f>
        <v> </v>
      </c>
      <c r="Z113" s="17" t="str">
        <f aca="false">IF((E113="a"),H113," ")</f>
        <v> </v>
      </c>
      <c r="AA113" s="17" t="str">
        <f aca="false">IF((E113="g"),H113," ")</f>
        <v> </v>
      </c>
      <c r="AB113" s="17" t="str">
        <f aca="false">IF((E113="h"),H113," ")</f>
        <v> </v>
      </c>
      <c r="AC113" s="30" t="str">
        <f aca="false">IF((E113="v"),H113," ")</f>
        <v> </v>
      </c>
      <c r="AD113" s="30" t="str">
        <f aca="false">IF((E113="n"),H113," ")</f>
        <v> </v>
      </c>
      <c r="AE113" s="17" t="str">
        <f aca="false">IF((E113="f"),H113," ")</f>
        <v> </v>
      </c>
      <c r="AF113" s="17" t="str">
        <f aca="false">IF((E113="l"),H113," ")</f>
        <v> </v>
      </c>
      <c r="AG113" s="17" t="str">
        <f aca="false">IF((E113="y"),H113," ")</f>
        <v> </v>
      </c>
      <c r="AH113" s="17" t="str">
        <f aca="false">IF((E113="z"),H113," ")</f>
        <v> </v>
      </c>
      <c r="AI113" s="17" t="str">
        <f aca="false">IF((E113="fa"),H113," ")</f>
        <v> </v>
      </c>
      <c r="AJ113" s="17" t="str">
        <f aca="false">IF((E113="e"),H113," ")</f>
        <v> </v>
      </c>
    </row>
    <row r="114" customFormat="false" ht="12" hidden="false" customHeight="false" outlineLevel="0" collapsed="false">
      <c r="A114" s="28"/>
      <c r="E114" s="2" t="str">
        <f aca="false">IF((F114&lt;&gt;0),"Enter Letter"," ")</f>
        <v> </v>
      </c>
      <c r="F114" s="30"/>
      <c r="G114" s="6" t="str">
        <f aca="false">IF(F114&lt;&gt;0,F114*G$2/(100+G$2)," ")</f>
        <v> </v>
      </c>
      <c r="H114" s="6" t="str">
        <f aca="false">IF((F114&lt;&gt;0),F114-G114," ")</f>
        <v> </v>
      </c>
      <c r="I114" s="5"/>
      <c r="L114" s="7" t="str">
        <f aca="false">IF(F114&lt;&gt;0,F114-K114," ")</f>
        <v> </v>
      </c>
      <c r="M114" s="8" t="str">
        <f aca="false">IF((F114-K114)&lt;&gt;0,M$1-A114," ")</f>
        <v> </v>
      </c>
      <c r="N114" s="5"/>
      <c r="O114" s="17" t="str">
        <f aca="false">IF((E114="s"),H114," ")</f>
        <v> </v>
      </c>
      <c r="P114" s="17" t="str">
        <f aca="false">IF((E114="c"),H114," ")</f>
        <v> </v>
      </c>
      <c r="Q114" s="17" t="str">
        <f aca="false">IF((E114="o"),H114," ")</f>
        <v> </v>
      </c>
      <c r="R114" s="17" t="str">
        <f aca="false">IF((E114="d"),H114," ")</f>
        <v> </v>
      </c>
      <c r="S114" s="17" t="str">
        <f aca="false">IF((E114="w"),H114," ")</f>
        <v> </v>
      </c>
      <c r="T114" s="17" t="str">
        <f aca="false">IF((E114="r"),H114," ")</f>
        <v> </v>
      </c>
      <c r="U114" s="17" t="str">
        <f aca="false">IF((E114="p"),H114," ")</f>
        <v> </v>
      </c>
      <c r="V114" s="17" t="str">
        <f aca="false">IF((E114="t"),H114," ")</f>
        <v> </v>
      </c>
      <c r="W114" s="17" t="str">
        <f aca="false">IF((E114="q"),H114," ")</f>
        <v> </v>
      </c>
      <c r="X114" s="17" t="str">
        <f aca="false">IF((E114="m"),H114," ")</f>
        <v> </v>
      </c>
      <c r="Y114" s="17" t="str">
        <f aca="false">IF((E114="u"),H114," ")</f>
        <v> </v>
      </c>
      <c r="Z114" s="17" t="str">
        <f aca="false">IF((E114="a"),H114," ")</f>
        <v> </v>
      </c>
      <c r="AA114" s="17" t="str">
        <f aca="false">IF((E114="g"),H114," ")</f>
        <v> </v>
      </c>
      <c r="AB114" s="17" t="str">
        <f aca="false">IF((E114="h"),H114," ")</f>
        <v> </v>
      </c>
      <c r="AC114" s="30" t="str">
        <f aca="false">IF((E114="v"),H114," ")</f>
        <v> </v>
      </c>
      <c r="AD114" s="30" t="str">
        <f aca="false">IF((E114="n"),H114," ")</f>
        <v> </v>
      </c>
      <c r="AE114" s="17" t="str">
        <f aca="false">IF((E114="f"),H114," ")</f>
        <v> </v>
      </c>
      <c r="AF114" s="17" t="str">
        <f aca="false">IF((E114="l"),H114," ")</f>
        <v> </v>
      </c>
      <c r="AG114" s="17" t="str">
        <f aca="false">IF((E114="y"),H114," ")</f>
        <v> </v>
      </c>
      <c r="AH114" s="17" t="str">
        <f aca="false">IF((E114="z"),H114," ")</f>
        <v> </v>
      </c>
      <c r="AI114" s="17" t="str">
        <f aca="false">IF((E114="fa"),H114," ")</f>
        <v> </v>
      </c>
      <c r="AJ114" s="17" t="str">
        <f aca="false">IF((E114="e"),H114," ")</f>
        <v> </v>
      </c>
    </row>
    <row r="115" customFormat="false" ht="12" hidden="false" customHeight="false" outlineLevel="0" collapsed="false">
      <c r="A115" s="28"/>
      <c r="E115" s="2" t="str">
        <f aca="false">IF((F115&lt;&gt;0),"Enter Letter"," ")</f>
        <v> </v>
      </c>
      <c r="F115" s="30"/>
      <c r="G115" s="6" t="str">
        <f aca="false">IF(F115&lt;&gt;0,F115*G$2/(100+G$2)," ")</f>
        <v> </v>
      </c>
      <c r="H115" s="6" t="str">
        <f aca="false">IF((F115&lt;&gt;0),F115-G115," ")</f>
        <v> </v>
      </c>
      <c r="I115" s="5"/>
      <c r="L115" s="7" t="str">
        <f aca="false">IF(F115&lt;&gt;0,F115-K115," ")</f>
        <v> </v>
      </c>
      <c r="M115" s="8" t="str">
        <f aca="false">IF((F115-K115)&lt;&gt;0,M$1-A115," ")</f>
        <v> </v>
      </c>
      <c r="N115" s="5"/>
      <c r="O115" s="17" t="str">
        <f aca="false">IF((E115="s"),H115," ")</f>
        <v> </v>
      </c>
      <c r="P115" s="17" t="str">
        <f aca="false">IF((E115="c"),H115," ")</f>
        <v> </v>
      </c>
      <c r="Q115" s="17" t="str">
        <f aca="false">IF((E115="o"),H115," ")</f>
        <v> </v>
      </c>
      <c r="R115" s="17" t="str">
        <f aca="false">IF((E115="d"),H115," ")</f>
        <v> </v>
      </c>
      <c r="S115" s="17" t="str">
        <f aca="false">IF((E115="w"),H115," ")</f>
        <v> </v>
      </c>
      <c r="T115" s="17" t="str">
        <f aca="false">IF((E115="r"),H115," ")</f>
        <v> </v>
      </c>
      <c r="U115" s="17" t="str">
        <f aca="false">IF((E115="p"),H115," ")</f>
        <v> </v>
      </c>
      <c r="V115" s="17" t="str">
        <f aca="false">IF((E115="t"),H115," ")</f>
        <v> </v>
      </c>
      <c r="W115" s="17" t="str">
        <f aca="false">IF((E115="q"),H115," ")</f>
        <v> </v>
      </c>
      <c r="X115" s="17" t="str">
        <f aca="false">IF((E115="m"),H115," ")</f>
        <v> </v>
      </c>
      <c r="Y115" s="17" t="str">
        <f aca="false">IF((E115="u"),H115," ")</f>
        <v> </v>
      </c>
      <c r="Z115" s="17" t="str">
        <f aca="false">IF((E115="a"),H115," ")</f>
        <v> </v>
      </c>
      <c r="AA115" s="17" t="str">
        <f aca="false">IF((E115="g"),H115," ")</f>
        <v> </v>
      </c>
      <c r="AB115" s="17" t="str">
        <f aca="false">IF((E115="h"),H115," ")</f>
        <v> </v>
      </c>
      <c r="AC115" s="30" t="str">
        <f aca="false">IF((E115="v"),H115," ")</f>
        <v> </v>
      </c>
      <c r="AD115" s="30" t="str">
        <f aca="false">IF((E115="n"),H115," ")</f>
        <v> </v>
      </c>
      <c r="AE115" s="17" t="str">
        <f aca="false">IF((E115="f"),H115," ")</f>
        <v> </v>
      </c>
      <c r="AF115" s="17" t="str">
        <f aca="false">IF((E115="l"),H115," ")</f>
        <v> </v>
      </c>
      <c r="AG115" s="17" t="str">
        <f aca="false">IF((E115="y"),H115," ")</f>
        <v> </v>
      </c>
      <c r="AH115" s="17" t="str">
        <f aca="false">IF((E115="z"),H115," ")</f>
        <v> </v>
      </c>
      <c r="AI115" s="17" t="str">
        <f aca="false">IF((E115="fa"),H115," ")</f>
        <v> </v>
      </c>
      <c r="AJ115" s="17" t="str">
        <f aca="false">IF((E115="e"),H115," ")</f>
        <v> </v>
      </c>
    </row>
    <row r="116" customFormat="false" ht="12" hidden="false" customHeight="false" outlineLevel="0" collapsed="false">
      <c r="A116" s="28"/>
      <c r="E116" s="2" t="str">
        <f aca="false">IF((F116&lt;&gt;0),"Enter Letter"," ")</f>
        <v> </v>
      </c>
      <c r="F116" s="30"/>
      <c r="G116" s="6" t="str">
        <f aca="false">IF(F116&lt;&gt;0,F116*G$2/(100+G$2)," ")</f>
        <v> </v>
      </c>
      <c r="H116" s="6" t="str">
        <f aca="false">IF((F116&lt;&gt;0),F116-G116," ")</f>
        <v> </v>
      </c>
      <c r="I116" s="5"/>
      <c r="L116" s="7" t="str">
        <f aca="false">IF(F116&lt;&gt;0,F116-K116," ")</f>
        <v> </v>
      </c>
      <c r="M116" s="8" t="str">
        <f aca="false">IF((F116-K116)&lt;&gt;0,M$1-A116," ")</f>
        <v> </v>
      </c>
      <c r="N116" s="5"/>
      <c r="O116" s="17" t="str">
        <f aca="false">IF((E116="s"),H116," ")</f>
        <v> </v>
      </c>
      <c r="P116" s="17" t="str">
        <f aca="false">IF((E116="c"),H116," ")</f>
        <v> </v>
      </c>
      <c r="Q116" s="17" t="str">
        <f aca="false">IF((E116="o"),H116," ")</f>
        <v> </v>
      </c>
      <c r="R116" s="17" t="str">
        <f aca="false">IF((E116="d"),H116," ")</f>
        <v> </v>
      </c>
      <c r="S116" s="17" t="str">
        <f aca="false">IF((E116="w"),H116," ")</f>
        <v> </v>
      </c>
      <c r="T116" s="17" t="str">
        <f aca="false">IF((E116="r"),H116," ")</f>
        <v> </v>
      </c>
      <c r="U116" s="17" t="str">
        <f aca="false">IF((E116="p"),H116," ")</f>
        <v> </v>
      </c>
      <c r="V116" s="17" t="str">
        <f aca="false">IF((E116="t"),H116," ")</f>
        <v> </v>
      </c>
      <c r="W116" s="17" t="str">
        <f aca="false">IF((E116="q"),H116," ")</f>
        <v> </v>
      </c>
      <c r="X116" s="17" t="str">
        <f aca="false">IF((E116="m"),H116," ")</f>
        <v> </v>
      </c>
      <c r="Y116" s="17" t="str">
        <f aca="false">IF((E116="u"),H116," ")</f>
        <v> </v>
      </c>
      <c r="Z116" s="17" t="str">
        <f aca="false">IF((E116="a"),H116," ")</f>
        <v> </v>
      </c>
      <c r="AA116" s="17" t="str">
        <f aca="false">IF((E116="g"),H116," ")</f>
        <v> </v>
      </c>
      <c r="AB116" s="17" t="str">
        <f aca="false">IF((E116="h"),H116," ")</f>
        <v> </v>
      </c>
      <c r="AC116" s="30" t="str">
        <f aca="false">IF((E116="v"),H116," ")</f>
        <v> </v>
      </c>
      <c r="AD116" s="30" t="str">
        <f aca="false">IF((E116="n"),H116," ")</f>
        <v> </v>
      </c>
      <c r="AE116" s="17" t="str">
        <f aca="false">IF((E116="f"),H116," ")</f>
        <v> </v>
      </c>
      <c r="AF116" s="17" t="str">
        <f aca="false">IF((E116="l"),H116," ")</f>
        <v> </v>
      </c>
      <c r="AG116" s="17" t="str">
        <f aca="false">IF((E116="y"),H116," ")</f>
        <v> </v>
      </c>
      <c r="AH116" s="17" t="str">
        <f aca="false">IF((E116="z"),H116," ")</f>
        <v> </v>
      </c>
      <c r="AI116" s="17" t="str">
        <f aca="false">IF((E116="fa"),H116," ")</f>
        <v> </v>
      </c>
      <c r="AJ116" s="17" t="str">
        <f aca="false">IF((E116="e"),H116," ")</f>
        <v> </v>
      </c>
    </row>
    <row r="117" customFormat="false" ht="12" hidden="false" customHeight="false" outlineLevel="0" collapsed="false">
      <c r="A117" s="28"/>
      <c r="E117" s="2" t="str">
        <f aca="false">IF((F117&lt;&gt;0),"Enter Letter"," ")</f>
        <v> </v>
      </c>
      <c r="F117" s="30"/>
      <c r="G117" s="6" t="str">
        <f aca="false">IF(F117&lt;&gt;0,F117*G$2/(100+G$2)," ")</f>
        <v> </v>
      </c>
      <c r="H117" s="6" t="str">
        <f aca="false">IF((F117&lt;&gt;0),F117-G117," ")</f>
        <v> </v>
      </c>
      <c r="I117" s="5"/>
      <c r="L117" s="7" t="str">
        <f aca="false">IF(F117&lt;&gt;0,F117-K117," ")</f>
        <v> </v>
      </c>
      <c r="M117" s="8" t="str">
        <f aca="false">IF((F117-K117)&lt;&gt;0,M$1-A117," ")</f>
        <v> </v>
      </c>
      <c r="N117" s="5"/>
      <c r="O117" s="17" t="str">
        <f aca="false">IF((E117="s"),H117," ")</f>
        <v> </v>
      </c>
      <c r="P117" s="17" t="str">
        <f aca="false">IF((E117="c"),H117," ")</f>
        <v> </v>
      </c>
      <c r="Q117" s="17" t="str">
        <f aca="false">IF((E117="o"),H117," ")</f>
        <v> </v>
      </c>
      <c r="R117" s="17" t="str">
        <f aca="false">IF((E117="d"),H117," ")</f>
        <v> </v>
      </c>
      <c r="S117" s="17" t="str">
        <f aca="false">IF((E117="w"),H117," ")</f>
        <v> </v>
      </c>
      <c r="T117" s="17" t="str">
        <f aca="false">IF((E117="r"),H117," ")</f>
        <v> </v>
      </c>
      <c r="U117" s="17" t="str">
        <f aca="false">IF((E117="p"),H117," ")</f>
        <v> </v>
      </c>
      <c r="V117" s="17" t="str">
        <f aca="false">IF((E117="t"),H117," ")</f>
        <v> </v>
      </c>
      <c r="W117" s="17" t="str">
        <f aca="false">IF((E117="q"),H117," ")</f>
        <v> </v>
      </c>
      <c r="X117" s="17" t="str">
        <f aca="false">IF((E117="m"),H117," ")</f>
        <v> </v>
      </c>
      <c r="Y117" s="17" t="str">
        <f aca="false">IF((E117="u"),H117," ")</f>
        <v> </v>
      </c>
      <c r="Z117" s="17" t="str">
        <f aca="false">IF((E117="a"),H117," ")</f>
        <v> </v>
      </c>
      <c r="AA117" s="17" t="str">
        <f aca="false">IF((E117="g"),H117," ")</f>
        <v> </v>
      </c>
      <c r="AB117" s="17" t="str">
        <f aca="false">IF((E117="h"),H117," ")</f>
        <v> </v>
      </c>
      <c r="AC117" s="30" t="str">
        <f aca="false">IF((E117="v"),H117," ")</f>
        <v> </v>
      </c>
      <c r="AD117" s="30" t="str">
        <f aca="false">IF((E117="n"),H117," ")</f>
        <v> </v>
      </c>
      <c r="AE117" s="17" t="str">
        <f aca="false">IF((E117="f"),H117," ")</f>
        <v> </v>
      </c>
      <c r="AF117" s="17" t="str">
        <f aca="false">IF((E117="l"),H117," ")</f>
        <v> </v>
      </c>
      <c r="AG117" s="17" t="str">
        <f aca="false">IF((E117="y"),H117," ")</f>
        <v> </v>
      </c>
      <c r="AH117" s="17" t="str">
        <f aca="false">IF((E117="z"),H117," ")</f>
        <v> </v>
      </c>
      <c r="AI117" s="17" t="str">
        <f aca="false">IF((E117="fa"),H117," ")</f>
        <v> </v>
      </c>
      <c r="AJ117" s="17" t="str">
        <f aca="false">IF((E117="e"),H117," ")</f>
        <v> </v>
      </c>
    </row>
    <row r="118" customFormat="false" ht="12" hidden="false" customHeight="false" outlineLevel="0" collapsed="false">
      <c r="A118" s="28"/>
      <c r="E118" s="2" t="str">
        <f aca="false">IF((F118&lt;&gt;0),"Enter Letter"," ")</f>
        <v> </v>
      </c>
      <c r="F118" s="30"/>
      <c r="G118" s="6" t="str">
        <f aca="false">IF(F118&lt;&gt;0,F118*G$2/(100+G$2)," ")</f>
        <v> </v>
      </c>
      <c r="H118" s="6" t="str">
        <f aca="false">IF((F118&lt;&gt;0),F118-G118," ")</f>
        <v> </v>
      </c>
      <c r="I118" s="5"/>
      <c r="L118" s="7" t="str">
        <f aca="false">IF(F118&lt;&gt;0,F118-K118," ")</f>
        <v> </v>
      </c>
      <c r="M118" s="8" t="str">
        <f aca="false">IF((F118-K118)&lt;&gt;0,M$1-A118," ")</f>
        <v> </v>
      </c>
      <c r="N118" s="5"/>
      <c r="O118" s="17" t="str">
        <f aca="false">IF((E118="s"),H118," ")</f>
        <v> </v>
      </c>
      <c r="P118" s="17" t="str">
        <f aca="false">IF((E118="c"),H118," ")</f>
        <v> </v>
      </c>
      <c r="Q118" s="17" t="str">
        <f aca="false">IF((E118="o"),H118," ")</f>
        <v> </v>
      </c>
      <c r="R118" s="17" t="str">
        <f aca="false">IF((E118="d"),H118," ")</f>
        <v> </v>
      </c>
      <c r="S118" s="17" t="str">
        <f aca="false">IF((E118="w"),H118," ")</f>
        <v> </v>
      </c>
      <c r="T118" s="17" t="str">
        <f aca="false">IF((E118="r"),H118," ")</f>
        <v> </v>
      </c>
      <c r="U118" s="17" t="str">
        <f aca="false">IF((E118="p"),H118," ")</f>
        <v> </v>
      </c>
      <c r="V118" s="17" t="str">
        <f aca="false">IF((E118="t"),H118," ")</f>
        <v> </v>
      </c>
      <c r="W118" s="17" t="str">
        <f aca="false">IF((E118="q"),H118," ")</f>
        <v> </v>
      </c>
      <c r="X118" s="17" t="str">
        <f aca="false">IF((E118="m"),H118," ")</f>
        <v> </v>
      </c>
      <c r="Y118" s="17" t="str">
        <f aca="false">IF((E118="u"),H118," ")</f>
        <v> </v>
      </c>
      <c r="Z118" s="17" t="str">
        <f aca="false">IF((E118="a"),H118," ")</f>
        <v> </v>
      </c>
      <c r="AA118" s="17" t="str">
        <f aca="false">IF((E118="g"),H118," ")</f>
        <v> </v>
      </c>
      <c r="AB118" s="17" t="str">
        <f aca="false">IF((E118="h"),H118," ")</f>
        <v> </v>
      </c>
      <c r="AC118" s="30" t="str">
        <f aca="false">IF((E118="v"),H118," ")</f>
        <v> </v>
      </c>
      <c r="AD118" s="30" t="str">
        <f aca="false">IF((E118="n"),H118," ")</f>
        <v> </v>
      </c>
      <c r="AE118" s="17" t="str">
        <f aca="false">IF((E118="f"),H118," ")</f>
        <v> </v>
      </c>
      <c r="AF118" s="17" t="str">
        <f aca="false">IF((E118="l"),H118," ")</f>
        <v> </v>
      </c>
      <c r="AG118" s="17" t="str">
        <f aca="false">IF((E118="y"),H118," ")</f>
        <v> </v>
      </c>
      <c r="AH118" s="17" t="str">
        <f aca="false">IF((E118="z"),H118," ")</f>
        <v> </v>
      </c>
      <c r="AI118" s="17" t="str">
        <f aca="false">IF((E118="fa"),H118," ")</f>
        <v> </v>
      </c>
      <c r="AJ118" s="17" t="str">
        <f aca="false">IF((E118="e"),H118," ")</f>
        <v> </v>
      </c>
    </row>
    <row r="119" customFormat="false" ht="12" hidden="false" customHeight="false" outlineLevel="0" collapsed="false">
      <c r="A119" s="28"/>
      <c r="E119" s="2" t="str">
        <f aca="false">IF((F119&lt;&gt;0),"Enter Letter"," ")</f>
        <v> </v>
      </c>
      <c r="F119" s="30"/>
      <c r="G119" s="6" t="str">
        <f aca="false">IF(F119&lt;&gt;0,F119*G$2/(100+G$2)," ")</f>
        <v> </v>
      </c>
      <c r="H119" s="6" t="str">
        <f aca="false">IF((F119&lt;&gt;0),F119-G119," ")</f>
        <v> </v>
      </c>
      <c r="I119" s="5"/>
      <c r="L119" s="7" t="str">
        <f aca="false">IF(F119&lt;&gt;0,F119-K119," ")</f>
        <v> </v>
      </c>
      <c r="M119" s="8" t="str">
        <f aca="false">IF((F119-K119)&lt;&gt;0,M$1-A119," ")</f>
        <v> </v>
      </c>
      <c r="N119" s="5"/>
      <c r="O119" s="17" t="str">
        <f aca="false">IF((E119="s"),H119," ")</f>
        <v> </v>
      </c>
      <c r="P119" s="17" t="str">
        <f aca="false">IF((E119="c"),H119," ")</f>
        <v> </v>
      </c>
      <c r="Q119" s="17" t="str">
        <f aca="false">IF((E119="o"),H119," ")</f>
        <v> </v>
      </c>
      <c r="R119" s="17" t="str">
        <f aca="false">IF((E119="d"),H119," ")</f>
        <v> </v>
      </c>
      <c r="S119" s="17" t="str">
        <f aca="false">IF((E119="w"),H119," ")</f>
        <v> </v>
      </c>
      <c r="T119" s="17" t="str">
        <f aca="false">IF((E119="r"),H119," ")</f>
        <v> </v>
      </c>
      <c r="U119" s="17" t="str">
        <f aca="false">IF((E119="p"),H119," ")</f>
        <v> </v>
      </c>
      <c r="V119" s="17" t="str">
        <f aca="false">IF((E119="t"),H119," ")</f>
        <v> </v>
      </c>
      <c r="W119" s="17" t="str">
        <f aca="false">IF((E119="q"),H119," ")</f>
        <v> </v>
      </c>
      <c r="X119" s="17" t="str">
        <f aca="false">IF((E119="m"),H119," ")</f>
        <v> </v>
      </c>
      <c r="Y119" s="17" t="str">
        <f aca="false">IF((E119="u"),H119," ")</f>
        <v> </v>
      </c>
      <c r="Z119" s="17" t="str">
        <f aca="false">IF((E119="a"),H119," ")</f>
        <v> </v>
      </c>
      <c r="AA119" s="17" t="str">
        <f aca="false">IF((E119="g"),H119," ")</f>
        <v> </v>
      </c>
      <c r="AB119" s="17" t="str">
        <f aca="false">IF((E119="h"),H119," ")</f>
        <v> </v>
      </c>
      <c r="AC119" s="30" t="str">
        <f aca="false">IF((E119="v"),H119," ")</f>
        <v> </v>
      </c>
      <c r="AD119" s="30" t="str">
        <f aca="false">IF((E119="n"),H119," ")</f>
        <v> </v>
      </c>
      <c r="AE119" s="17" t="str">
        <f aca="false">IF((E119="f"),H119," ")</f>
        <v> </v>
      </c>
      <c r="AF119" s="17" t="str">
        <f aca="false">IF((E119="l"),H119," ")</f>
        <v> </v>
      </c>
      <c r="AG119" s="17" t="str">
        <f aca="false">IF((E119="y"),H119," ")</f>
        <v> </v>
      </c>
      <c r="AH119" s="17" t="str">
        <f aca="false">IF((E119="z"),H119," ")</f>
        <v> </v>
      </c>
      <c r="AI119" s="17" t="str">
        <f aca="false">IF((E119="fa"),H119," ")</f>
        <v> </v>
      </c>
      <c r="AJ119" s="17" t="str">
        <f aca="false">IF((E119="e"),H119," ")</f>
        <v> </v>
      </c>
    </row>
    <row r="120" customFormat="false" ht="12" hidden="false" customHeight="false" outlineLevel="0" collapsed="false">
      <c r="A120" s="28"/>
      <c r="E120" s="2" t="str">
        <f aca="false">IF((F120&lt;&gt;0),"Enter Letter"," ")</f>
        <v> </v>
      </c>
      <c r="F120" s="30"/>
      <c r="G120" s="6" t="str">
        <f aca="false">IF(F120&lt;&gt;0,F120*G$2/(100+G$2)," ")</f>
        <v> </v>
      </c>
      <c r="H120" s="6" t="str">
        <f aca="false">IF((F120&lt;&gt;0),F120-G120," ")</f>
        <v> </v>
      </c>
      <c r="I120" s="5"/>
      <c r="L120" s="7" t="str">
        <f aca="false">IF(F120&lt;&gt;0,F120-K120," ")</f>
        <v> </v>
      </c>
      <c r="M120" s="8" t="str">
        <f aca="false">IF((F120-K120)&lt;&gt;0,M$1-A120," ")</f>
        <v> </v>
      </c>
      <c r="N120" s="5"/>
      <c r="O120" s="17" t="str">
        <f aca="false">IF((E120="s"),H120," ")</f>
        <v> </v>
      </c>
      <c r="P120" s="17" t="str">
        <f aca="false">IF((E120="c"),H120," ")</f>
        <v> </v>
      </c>
      <c r="Q120" s="17" t="str">
        <f aca="false">IF((E120="o"),H120," ")</f>
        <v> </v>
      </c>
      <c r="R120" s="17" t="str">
        <f aca="false">IF((E120="d"),H120," ")</f>
        <v> </v>
      </c>
      <c r="S120" s="17" t="str">
        <f aca="false">IF((E120="w"),H120," ")</f>
        <v> </v>
      </c>
      <c r="T120" s="17" t="str">
        <f aca="false">IF((E120="r"),H120," ")</f>
        <v> </v>
      </c>
      <c r="U120" s="17" t="str">
        <f aca="false">IF((E120="p"),H120," ")</f>
        <v> </v>
      </c>
      <c r="V120" s="17" t="str">
        <f aca="false">IF((E120="t"),H120," ")</f>
        <v> </v>
      </c>
      <c r="W120" s="17" t="str">
        <f aca="false">IF((E120="q"),H120," ")</f>
        <v> </v>
      </c>
      <c r="X120" s="17" t="str">
        <f aca="false">IF((E120="m"),H120," ")</f>
        <v> </v>
      </c>
      <c r="Y120" s="17" t="str">
        <f aca="false">IF((E120="u"),H120," ")</f>
        <v> </v>
      </c>
      <c r="Z120" s="17" t="str">
        <f aca="false">IF((E120="a"),H120," ")</f>
        <v> </v>
      </c>
      <c r="AA120" s="17" t="str">
        <f aca="false">IF((E120="g"),H120," ")</f>
        <v> </v>
      </c>
      <c r="AB120" s="17" t="str">
        <f aca="false">IF((E120="h"),H120," ")</f>
        <v> </v>
      </c>
      <c r="AC120" s="30" t="str">
        <f aca="false">IF((E120="v"),H120," ")</f>
        <v> </v>
      </c>
      <c r="AD120" s="30" t="str">
        <f aca="false">IF((E120="n"),H120," ")</f>
        <v> </v>
      </c>
      <c r="AE120" s="17" t="str">
        <f aca="false">IF((E120="f"),H120," ")</f>
        <v> </v>
      </c>
      <c r="AF120" s="17" t="str">
        <f aca="false">IF((E120="l"),H120," ")</f>
        <v> </v>
      </c>
      <c r="AG120" s="17" t="str">
        <f aca="false">IF((E120="y"),H120," ")</f>
        <v> </v>
      </c>
      <c r="AH120" s="17" t="str">
        <f aca="false">IF((E120="z"),H120," ")</f>
        <v> </v>
      </c>
      <c r="AI120" s="17" t="str">
        <f aca="false">IF((E120="fa"),H120," ")</f>
        <v> </v>
      </c>
      <c r="AJ120" s="17" t="str">
        <f aca="false">IF((E120="e"),H120," ")</f>
        <v> </v>
      </c>
    </row>
    <row r="121" customFormat="false" ht="12" hidden="false" customHeight="false" outlineLevel="0" collapsed="false">
      <c r="A121" s="28"/>
      <c r="E121" s="2" t="str">
        <f aca="false">IF((F121&lt;&gt;0),"Enter Letter"," ")</f>
        <v> </v>
      </c>
      <c r="F121" s="30"/>
      <c r="G121" s="6" t="str">
        <f aca="false">IF(F121&lt;&gt;0,F121*G$2/(100+G$2)," ")</f>
        <v> </v>
      </c>
      <c r="H121" s="6" t="str">
        <f aca="false">IF((F121&lt;&gt;0),F121-G121," ")</f>
        <v> </v>
      </c>
      <c r="I121" s="5"/>
      <c r="L121" s="7" t="str">
        <f aca="false">IF(F121&lt;&gt;0,F121-K121," ")</f>
        <v> </v>
      </c>
      <c r="M121" s="8" t="str">
        <f aca="false">IF((F121-K121)&lt;&gt;0,M$1-A121," ")</f>
        <v> </v>
      </c>
      <c r="N121" s="5"/>
      <c r="O121" s="17" t="str">
        <f aca="false">IF((E121="s"),H121," ")</f>
        <v> </v>
      </c>
      <c r="P121" s="17" t="str">
        <f aca="false">IF((E121="c"),H121," ")</f>
        <v> </v>
      </c>
      <c r="Q121" s="17" t="str">
        <f aca="false">IF((E121="o"),H121," ")</f>
        <v> </v>
      </c>
      <c r="R121" s="17" t="str">
        <f aca="false">IF((E121="d"),H121," ")</f>
        <v> </v>
      </c>
      <c r="S121" s="17" t="str">
        <f aca="false">IF((E121="w"),H121," ")</f>
        <v> </v>
      </c>
      <c r="T121" s="17" t="str">
        <f aca="false">IF((E121="r"),H121," ")</f>
        <v> </v>
      </c>
      <c r="U121" s="17" t="str">
        <f aca="false">IF((E121="p"),H121," ")</f>
        <v> </v>
      </c>
      <c r="V121" s="17" t="str">
        <f aca="false">IF((E121="t"),H121," ")</f>
        <v> </v>
      </c>
      <c r="W121" s="17" t="str">
        <f aca="false">IF((E121="q"),H121," ")</f>
        <v> </v>
      </c>
      <c r="X121" s="17" t="str">
        <f aca="false">IF((E121="m"),H121," ")</f>
        <v> </v>
      </c>
      <c r="Y121" s="17" t="str">
        <f aca="false">IF((E121="u"),H121," ")</f>
        <v> </v>
      </c>
      <c r="Z121" s="17" t="str">
        <f aca="false">IF((E121="a"),H121," ")</f>
        <v> </v>
      </c>
      <c r="AA121" s="17" t="str">
        <f aca="false">IF((E121="g"),H121," ")</f>
        <v> </v>
      </c>
      <c r="AB121" s="17" t="str">
        <f aca="false">IF((E121="h"),H121," ")</f>
        <v> </v>
      </c>
      <c r="AC121" s="30" t="str">
        <f aca="false">IF((E121="v"),H121," ")</f>
        <v> </v>
      </c>
      <c r="AD121" s="30" t="str">
        <f aca="false">IF((E121="n"),H121," ")</f>
        <v> </v>
      </c>
      <c r="AE121" s="17" t="str">
        <f aca="false">IF((E121="f"),H121," ")</f>
        <v> </v>
      </c>
      <c r="AF121" s="17" t="str">
        <f aca="false">IF((E121="l"),H121," ")</f>
        <v> </v>
      </c>
      <c r="AG121" s="17" t="str">
        <f aca="false">IF((E121="y"),H121," ")</f>
        <v> </v>
      </c>
      <c r="AH121" s="17" t="str">
        <f aca="false">IF((E121="z"),H121," ")</f>
        <v> </v>
      </c>
      <c r="AI121" s="17" t="str">
        <f aca="false">IF((E121="fa"),H121," ")</f>
        <v> </v>
      </c>
      <c r="AJ121" s="17" t="str">
        <f aca="false">IF((E121="e"),H121," ")</f>
        <v> </v>
      </c>
    </row>
    <row r="122" customFormat="false" ht="12" hidden="false" customHeight="false" outlineLevel="0" collapsed="false">
      <c r="A122" s="28"/>
      <c r="E122" s="2" t="str">
        <f aca="false">IF((F122&lt;&gt;0),"Enter Letter"," ")</f>
        <v> </v>
      </c>
      <c r="F122" s="30"/>
      <c r="G122" s="6" t="str">
        <f aca="false">IF(F122&lt;&gt;0,F122*G$2/(100+G$2)," ")</f>
        <v> </v>
      </c>
      <c r="H122" s="6" t="str">
        <f aca="false">IF((F122&lt;&gt;0),F122-G122," ")</f>
        <v> </v>
      </c>
      <c r="I122" s="5"/>
      <c r="L122" s="7" t="str">
        <f aca="false">IF(F122&lt;&gt;0,F122-K122," ")</f>
        <v> </v>
      </c>
      <c r="M122" s="8" t="str">
        <f aca="false">IF((F122-K122)&lt;&gt;0,M$1-A122," ")</f>
        <v> </v>
      </c>
      <c r="N122" s="5"/>
      <c r="O122" s="17" t="str">
        <f aca="false">IF((E122="s"),H122," ")</f>
        <v> </v>
      </c>
      <c r="P122" s="17" t="str">
        <f aca="false">IF((E122="c"),H122," ")</f>
        <v> </v>
      </c>
      <c r="Q122" s="17" t="str">
        <f aca="false">IF((E122="o"),H122," ")</f>
        <v> </v>
      </c>
      <c r="R122" s="17" t="str">
        <f aca="false">IF((E122="d"),H122," ")</f>
        <v> </v>
      </c>
      <c r="S122" s="17" t="str">
        <f aca="false">IF((E122="w"),H122," ")</f>
        <v> </v>
      </c>
      <c r="T122" s="17" t="str">
        <f aca="false">IF((E122="r"),H122," ")</f>
        <v> </v>
      </c>
      <c r="U122" s="17" t="str">
        <f aca="false">IF((E122="p"),H122," ")</f>
        <v> </v>
      </c>
      <c r="V122" s="17" t="str">
        <f aca="false">IF((E122="t"),H122," ")</f>
        <v> </v>
      </c>
      <c r="W122" s="17" t="str">
        <f aca="false">IF((E122="q"),H122," ")</f>
        <v> </v>
      </c>
      <c r="X122" s="17" t="str">
        <f aca="false">IF((E122="m"),H122," ")</f>
        <v> </v>
      </c>
      <c r="Y122" s="17" t="str">
        <f aca="false">IF((E122="u"),H122," ")</f>
        <v> </v>
      </c>
      <c r="Z122" s="17" t="str">
        <f aca="false">IF((E122="a"),H122," ")</f>
        <v> </v>
      </c>
      <c r="AA122" s="17" t="str">
        <f aca="false">IF((E122="g"),H122," ")</f>
        <v> </v>
      </c>
      <c r="AB122" s="17" t="str">
        <f aca="false">IF((E122="h"),H122," ")</f>
        <v> </v>
      </c>
      <c r="AC122" s="30" t="str">
        <f aca="false">IF((E122="v"),H122," ")</f>
        <v> </v>
      </c>
      <c r="AD122" s="30" t="str">
        <f aca="false">IF((E122="n"),H122," ")</f>
        <v> </v>
      </c>
      <c r="AE122" s="17" t="str">
        <f aca="false">IF((E122="f"),H122," ")</f>
        <v> </v>
      </c>
      <c r="AF122" s="17" t="str">
        <f aca="false">IF((E122="l"),H122," ")</f>
        <v> </v>
      </c>
      <c r="AG122" s="17" t="str">
        <f aca="false">IF((E122="y"),H122," ")</f>
        <v> </v>
      </c>
      <c r="AH122" s="17" t="str">
        <f aca="false">IF((E122="z"),H122," ")</f>
        <v> </v>
      </c>
      <c r="AI122" s="17" t="str">
        <f aca="false">IF((E122="fa"),H122," ")</f>
        <v> </v>
      </c>
      <c r="AJ122" s="17" t="str">
        <f aca="false">IF((E122="e"),H122," ")</f>
        <v> </v>
      </c>
    </row>
    <row r="123" customFormat="false" ht="12" hidden="false" customHeight="false" outlineLevel="0" collapsed="false">
      <c r="A123" s="28"/>
      <c r="E123" s="2" t="str">
        <f aca="false">IF((F123&lt;&gt;0),"Enter Letter"," ")</f>
        <v> </v>
      </c>
      <c r="F123" s="30"/>
      <c r="G123" s="6" t="str">
        <f aca="false">IF(F123&lt;&gt;0,F123*G$2/(100+G$2)," ")</f>
        <v> </v>
      </c>
      <c r="H123" s="6" t="str">
        <f aca="false">IF((F123&lt;&gt;0),F123-G123," ")</f>
        <v> </v>
      </c>
      <c r="I123" s="5"/>
      <c r="L123" s="7" t="str">
        <f aca="false">IF(F123&lt;&gt;0,F123-K123," ")</f>
        <v> </v>
      </c>
      <c r="M123" s="8" t="str">
        <f aca="false">IF((F123-K123)&lt;&gt;0,M$1-A123," ")</f>
        <v> </v>
      </c>
      <c r="N123" s="5"/>
      <c r="O123" s="17" t="str">
        <f aca="false">IF((E123="s"),H123," ")</f>
        <v> </v>
      </c>
      <c r="P123" s="17" t="str">
        <f aca="false">IF((E123="c"),H123," ")</f>
        <v> </v>
      </c>
      <c r="Q123" s="17" t="str">
        <f aca="false">IF((E123="o"),H123," ")</f>
        <v> </v>
      </c>
      <c r="R123" s="17" t="str">
        <f aca="false">IF((E123="d"),H123," ")</f>
        <v> </v>
      </c>
      <c r="S123" s="17" t="str">
        <f aca="false">IF((E123="w"),H123," ")</f>
        <v> </v>
      </c>
      <c r="T123" s="17" t="str">
        <f aca="false">IF((E123="r"),H123," ")</f>
        <v> </v>
      </c>
      <c r="U123" s="17" t="str">
        <f aca="false">IF((E123="p"),H123," ")</f>
        <v> </v>
      </c>
      <c r="V123" s="17" t="str">
        <f aca="false">IF((E123="t"),H123," ")</f>
        <v> </v>
      </c>
      <c r="W123" s="17" t="str">
        <f aca="false">IF((E123="q"),H123," ")</f>
        <v> </v>
      </c>
      <c r="X123" s="17" t="str">
        <f aca="false">IF((E123="m"),H123," ")</f>
        <v> </v>
      </c>
      <c r="Y123" s="17" t="str">
        <f aca="false">IF((E123="u"),H123," ")</f>
        <v> </v>
      </c>
      <c r="Z123" s="17" t="str">
        <f aca="false">IF((E123="a"),H123," ")</f>
        <v> </v>
      </c>
      <c r="AA123" s="17" t="str">
        <f aca="false">IF((E123="g"),H123," ")</f>
        <v> </v>
      </c>
      <c r="AB123" s="17" t="str">
        <f aca="false">IF((E123="h"),H123," ")</f>
        <v> </v>
      </c>
      <c r="AC123" s="30" t="str">
        <f aca="false">IF((E123="v"),H123," ")</f>
        <v> </v>
      </c>
      <c r="AD123" s="30" t="str">
        <f aca="false">IF((E123="n"),H123," ")</f>
        <v> </v>
      </c>
      <c r="AE123" s="17" t="str">
        <f aca="false">IF((E123="f"),H123," ")</f>
        <v> </v>
      </c>
      <c r="AF123" s="17" t="str">
        <f aca="false">IF((E123="l"),H123," ")</f>
        <v> </v>
      </c>
      <c r="AG123" s="17" t="str">
        <f aca="false">IF((E123="y"),H123," ")</f>
        <v> </v>
      </c>
      <c r="AH123" s="17" t="str">
        <f aca="false">IF((E123="z"),H123," ")</f>
        <v> </v>
      </c>
      <c r="AI123" s="17" t="str">
        <f aca="false">IF((E123="fa"),H123," ")</f>
        <v> </v>
      </c>
      <c r="AJ123" s="17" t="str">
        <f aca="false">IF((E123="e"),H123," ")</f>
        <v> </v>
      </c>
    </row>
    <row r="124" customFormat="false" ht="12" hidden="false" customHeight="false" outlineLevel="0" collapsed="false">
      <c r="A124" s="28"/>
      <c r="E124" s="2" t="str">
        <f aca="false">IF((F124&lt;&gt;0),"Enter Letter"," ")</f>
        <v> </v>
      </c>
      <c r="F124" s="30"/>
      <c r="G124" s="6" t="str">
        <f aca="false">IF(F124&lt;&gt;0,F124*G$2/(100+G$2)," ")</f>
        <v> </v>
      </c>
      <c r="H124" s="6" t="str">
        <f aca="false">IF((F124&lt;&gt;0),F124-G124," ")</f>
        <v> </v>
      </c>
      <c r="I124" s="5"/>
      <c r="L124" s="7" t="str">
        <f aca="false">IF(F124&lt;&gt;0,F124-K124," ")</f>
        <v> </v>
      </c>
      <c r="M124" s="8" t="str">
        <f aca="false">IF((F124-K124)&lt;&gt;0,M$1-A124," ")</f>
        <v> </v>
      </c>
      <c r="N124" s="5"/>
      <c r="O124" s="17" t="str">
        <f aca="false">IF((E124="s"),H124," ")</f>
        <v> </v>
      </c>
      <c r="P124" s="17" t="str">
        <f aca="false">IF((E124="c"),H124," ")</f>
        <v> </v>
      </c>
      <c r="Q124" s="17" t="str">
        <f aca="false">IF((E124="o"),H124," ")</f>
        <v> </v>
      </c>
      <c r="R124" s="17" t="str">
        <f aca="false">IF((E124="d"),H124," ")</f>
        <v> </v>
      </c>
      <c r="S124" s="17" t="str">
        <f aca="false">IF((E124="w"),H124," ")</f>
        <v> </v>
      </c>
      <c r="T124" s="17" t="str">
        <f aca="false">IF((E124="r"),H124," ")</f>
        <v> </v>
      </c>
      <c r="U124" s="17" t="str">
        <f aca="false">IF((E124="p"),H124," ")</f>
        <v> </v>
      </c>
      <c r="V124" s="17" t="str">
        <f aca="false">IF((E124="t"),H124," ")</f>
        <v> </v>
      </c>
      <c r="W124" s="17" t="str">
        <f aca="false">IF((E124="q"),H124," ")</f>
        <v> </v>
      </c>
      <c r="X124" s="17" t="str">
        <f aca="false">IF((E124="m"),H124," ")</f>
        <v> </v>
      </c>
      <c r="Y124" s="17" t="str">
        <f aca="false">IF((E124="u"),H124," ")</f>
        <v> </v>
      </c>
      <c r="Z124" s="17" t="str">
        <f aca="false">IF((E124="a"),H124," ")</f>
        <v> </v>
      </c>
      <c r="AA124" s="17" t="str">
        <f aca="false">IF((E124="g"),H124," ")</f>
        <v> </v>
      </c>
      <c r="AB124" s="17" t="str">
        <f aca="false">IF((E124="h"),H124," ")</f>
        <v> </v>
      </c>
      <c r="AC124" s="30" t="str">
        <f aca="false">IF((E124="v"),H124," ")</f>
        <v> </v>
      </c>
      <c r="AD124" s="30" t="str">
        <f aca="false">IF((E124="n"),H124," ")</f>
        <v> </v>
      </c>
      <c r="AE124" s="17" t="str">
        <f aca="false">IF((E124="f"),H124," ")</f>
        <v> </v>
      </c>
      <c r="AF124" s="17" t="str">
        <f aca="false">IF((E124="l"),H124," ")</f>
        <v> </v>
      </c>
      <c r="AG124" s="17" t="str">
        <f aca="false">IF((E124="y"),H124," ")</f>
        <v> </v>
      </c>
      <c r="AH124" s="17" t="str">
        <f aca="false">IF((E124="z"),H124," ")</f>
        <v> </v>
      </c>
      <c r="AI124" s="17" t="str">
        <f aca="false">IF((E124="fa"),H124," ")</f>
        <v> </v>
      </c>
      <c r="AJ124" s="17" t="str">
        <f aca="false">IF((E124="e"),H124," ")</f>
        <v> </v>
      </c>
    </row>
    <row r="125" customFormat="false" ht="12" hidden="false" customHeight="false" outlineLevel="0" collapsed="false">
      <c r="A125" s="28"/>
      <c r="E125" s="2" t="str">
        <f aca="false">IF((F125&lt;&gt;0),"Enter Letter"," ")</f>
        <v> </v>
      </c>
      <c r="F125" s="30"/>
      <c r="G125" s="6" t="str">
        <f aca="false">IF(F125&lt;&gt;0,F125*G$2/(100+G$2)," ")</f>
        <v> </v>
      </c>
      <c r="H125" s="6" t="str">
        <f aca="false">IF((F125&lt;&gt;0),F125-G125," ")</f>
        <v> </v>
      </c>
      <c r="I125" s="5"/>
      <c r="L125" s="7" t="str">
        <f aca="false">IF(F125&lt;&gt;0,F125-K125," ")</f>
        <v> </v>
      </c>
      <c r="M125" s="8" t="str">
        <f aca="false">IF((F125-K125)&lt;&gt;0,M$1-A125," ")</f>
        <v> </v>
      </c>
      <c r="N125" s="5"/>
      <c r="O125" s="17" t="str">
        <f aca="false">IF((E125="s"),H125," ")</f>
        <v> </v>
      </c>
      <c r="P125" s="17" t="str">
        <f aca="false">IF((E125="c"),H125," ")</f>
        <v> </v>
      </c>
      <c r="Q125" s="17" t="str">
        <f aca="false">IF((E125="o"),H125," ")</f>
        <v> </v>
      </c>
      <c r="R125" s="17" t="str">
        <f aca="false">IF((E125="d"),H125," ")</f>
        <v> </v>
      </c>
      <c r="S125" s="17" t="str">
        <f aca="false">IF((E125="w"),H125," ")</f>
        <v> </v>
      </c>
      <c r="T125" s="17" t="str">
        <f aca="false">IF((E125="r"),H125," ")</f>
        <v> </v>
      </c>
      <c r="U125" s="17" t="str">
        <f aca="false">IF((E125="p"),H125," ")</f>
        <v> </v>
      </c>
      <c r="V125" s="17" t="str">
        <f aca="false">IF((E125="t"),H125," ")</f>
        <v> </v>
      </c>
      <c r="W125" s="17" t="str">
        <f aca="false">IF((E125="q"),H125," ")</f>
        <v> </v>
      </c>
      <c r="X125" s="17" t="str">
        <f aca="false">IF((E125="m"),H125," ")</f>
        <v> </v>
      </c>
      <c r="Y125" s="17" t="str">
        <f aca="false">IF((E125="u"),H125," ")</f>
        <v> </v>
      </c>
      <c r="Z125" s="17" t="str">
        <f aca="false">IF((E125="a"),H125," ")</f>
        <v> </v>
      </c>
      <c r="AA125" s="17" t="str">
        <f aca="false">IF((E125="g"),H125," ")</f>
        <v> </v>
      </c>
      <c r="AB125" s="17" t="str">
        <f aca="false">IF((E125="h"),H125," ")</f>
        <v> </v>
      </c>
      <c r="AC125" s="30" t="str">
        <f aca="false">IF((E125="v"),H125," ")</f>
        <v> </v>
      </c>
      <c r="AD125" s="30" t="str">
        <f aca="false">IF((E125="n"),H125," ")</f>
        <v> </v>
      </c>
      <c r="AE125" s="17" t="str">
        <f aca="false">IF((E125="f"),H125," ")</f>
        <v> </v>
      </c>
      <c r="AF125" s="17" t="str">
        <f aca="false">IF((E125="l"),H125," ")</f>
        <v> </v>
      </c>
      <c r="AG125" s="17" t="str">
        <f aca="false">IF((E125="y"),H125," ")</f>
        <v> </v>
      </c>
      <c r="AH125" s="17" t="str">
        <f aca="false">IF((E125="z"),H125," ")</f>
        <v> </v>
      </c>
      <c r="AI125" s="17" t="str">
        <f aca="false">IF((E125="fa"),H125," ")</f>
        <v> </v>
      </c>
      <c r="AJ125" s="17" t="str">
        <f aca="false">IF((E125="e"),H125," ")</f>
        <v> </v>
      </c>
    </row>
    <row r="126" customFormat="false" ht="12" hidden="false" customHeight="false" outlineLevel="0" collapsed="false">
      <c r="A126" s="28"/>
      <c r="E126" s="2" t="str">
        <f aca="false">IF((F126&lt;&gt;0),"Enter Letter"," ")</f>
        <v> </v>
      </c>
      <c r="F126" s="30"/>
      <c r="G126" s="6" t="str">
        <f aca="false">IF(F126&lt;&gt;0,F126*G$2/(100+G$2)," ")</f>
        <v> </v>
      </c>
      <c r="H126" s="6" t="str">
        <f aca="false">IF((F126&lt;&gt;0),F126-G126," ")</f>
        <v> </v>
      </c>
      <c r="I126" s="5"/>
      <c r="L126" s="7" t="str">
        <f aca="false">IF(F126&lt;&gt;0,F126-K126," ")</f>
        <v> </v>
      </c>
      <c r="M126" s="8" t="str">
        <f aca="false">IF((F126-K126)&lt;&gt;0,M$1-A126," ")</f>
        <v> </v>
      </c>
      <c r="N126" s="5"/>
      <c r="O126" s="17" t="str">
        <f aca="false">IF((E126="s"),H126," ")</f>
        <v> </v>
      </c>
      <c r="P126" s="17" t="str">
        <f aca="false">IF((E126="c"),H126," ")</f>
        <v> </v>
      </c>
      <c r="Q126" s="17" t="str">
        <f aca="false">IF((E126="o"),H126," ")</f>
        <v> </v>
      </c>
      <c r="R126" s="17" t="str">
        <f aca="false">IF((E126="d"),H126," ")</f>
        <v> </v>
      </c>
      <c r="S126" s="17" t="str">
        <f aca="false">IF((E126="w"),H126," ")</f>
        <v> </v>
      </c>
      <c r="T126" s="17" t="str">
        <f aca="false">IF((E126="r"),H126," ")</f>
        <v> </v>
      </c>
      <c r="U126" s="17" t="str">
        <f aca="false">IF((E126="p"),H126," ")</f>
        <v> </v>
      </c>
      <c r="V126" s="17" t="str">
        <f aca="false">IF((E126="t"),H126," ")</f>
        <v> </v>
      </c>
      <c r="W126" s="17" t="str">
        <f aca="false">IF((E126="q"),H126," ")</f>
        <v> </v>
      </c>
      <c r="X126" s="17" t="str">
        <f aca="false">IF((E126="m"),H126," ")</f>
        <v> </v>
      </c>
      <c r="Y126" s="17" t="str">
        <f aca="false">IF((E126="u"),H126," ")</f>
        <v> </v>
      </c>
      <c r="Z126" s="17" t="str">
        <f aca="false">IF((E126="a"),H126," ")</f>
        <v> </v>
      </c>
      <c r="AA126" s="17" t="str">
        <f aca="false">IF((E126="g"),H126," ")</f>
        <v> </v>
      </c>
      <c r="AB126" s="17" t="str">
        <f aca="false">IF((E126="h"),H126," ")</f>
        <v> </v>
      </c>
      <c r="AC126" s="30" t="str">
        <f aca="false">IF((E126="v"),H126," ")</f>
        <v> </v>
      </c>
      <c r="AD126" s="30" t="str">
        <f aca="false">IF((E126="n"),H126," ")</f>
        <v> </v>
      </c>
      <c r="AE126" s="17" t="str">
        <f aca="false">IF((E126="f"),H126," ")</f>
        <v> </v>
      </c>
      <c r="AF126" s="17" t="str">
        <f aca="false">IF((E126="l"),H126," ")</f>
        <v> </v>
      </c>
      <c r="AG126" s="17" t="str">
        <f aca="false">IF((E126="y"),H126," ")</f>
        <v> </v>
      </c>
      <c r="AH126" s="17" t="str">
        <f aca="false">IF((E126="z"),H126," ")</f>
        <v> </v>
      </c>
      <c r="AI126" s="17" t="str">
        <f aca="false">IF((E126="fa"),H126," ")</f>
        <v> </v>
      </c>
      <c r="AJ126" s="17" t="str">
        <f aca="false">IF((E126="e"),H126," ")</f>
        <v> </v>
      </c>
    </row>
    <row r="127" customFormat="false" ht="12" hidden="false" customHeight="false" outlineLevel="0" collapsed="false">
      <c r="A127" s="28"/>
      <c r="E127" s="2" t="str">
        <f aca="false">IF((F127&lt;&gt;0),"Enter Letter"," ")</f>
        <v> </v>
      </c>
      <c r="F127" s="30"/>
      <c r="G127" s="6" t="str">
        <f aca="false">IF(F127&lt;&gt;0,F127*G$2/(100+G$2)," ")</f>
        <v> </v>
      </c>
      <c r="H127" s="6" t="str">
        <f aca="false">IF((F127&lt;&gt;0),F127-G127," ")</f>
        <v> </v>
      </c>
      <c r="I127" s="5"/>
      <c r="L127" s="7" t="str">
        <f aca="false">IF(F127&lt;&gt;0,F127-K127," ")</f>
        <v> </v>
      </c>
      <c r="M127" s="8" t="str">
        <f aca="false">IF((F127-K127)&lt;&gt;0,M$1-A127," ")</f>
        <v> </v>
      </c>
      <c r="N127" s="5"/>
      <c r="O127" s="17" t="str">
        <f aca="false">IF((E127="s"),H127," ")</f>
        <v> </v>
      </c>
      <c r="P127" s="17" t="str">
        <f aca="false">IF((E127="c"),H127," ")</f>
        <v> </v>
      </c>
      <c r="Q127" s="17" t="str">
        <f aca="false">IF((E127="o"),H127," ")</f>
        <v> </v>
      </c>
      <c r="R127" s="17" t="str">
        <f aca="false">IF((E127="d"),H127," ")</f>
        <v> </v>
      </c>
      <c r="S127" s="17" t="str">
        <f aca="false">IF((E127="w"),H127," ")</f>
        <v> </v>
      </c>
      <c r="T127" s="17" t="str">
        <f aca="false">IF((E127="r"),H127," ")</f>
        <v> </v>
      </c>
      <c r="U127" s="17" t="str">
        <f aca="false">IF((E127="p"),H127," ")</f>
        <v> </v>
      </c>
      <c r="V127" s="17" t="str">
        <f aca="false">IF((E127="t"),H127," ")</f>
        <v> </v>
      </c>
      <c r="W127" s="17" t="str">
        <f aca="false">IF((E127="q"),H127," ")</f>
        <v> </v>
      </c>
      <c r="X127" s="17" t="str">
        <f aca="false">IF((E127="m"),H127," ")</f>
        <v> </v>
      </c>
      <c r="Y127" s="17" t="str">
        <f aca="false">IF((E127="u"),H127," ")</f>
        <v> </v>
      </c>
      <c r="Z127" s="17" t="str">
        <f aca="false">IF((E127="a"),H127," ")</f>
        <v> </v>
      </c>
      <c r="AA127" s="17" t="str">
        <f aca="false">IF((E127="g"),H127," ")</f>
        <v> </v>
      </c>
      <c r="AB127" s="17" t="str">
        <f aca="false">IF((E127="h"),H127," ")</f>
        <v> </v>
      </c>
      <c r="AC127" s="30" t="str">
        <f aca="false">IF((E127="v"),H127," ")</f>
        <v> </v>
      </c>
      <c r="AD127" s="30" t="str">
        <f aca="false">IF((E127="n"),H127," ")</f>
        <v> </v>
      </c>
      <c r="AE127" s="17" t="str">
        <f aca="false">IF((E127="f"),H127," ")</f>
        <v> </v>
      </c>
      <c r="AF127" s="17" t="str">
        <f aca="false">IF((E127="l"),H127," ")</f>
        <v> </v>
      </c>
      <c r="AG127" s="17" t="str">
        <f aca="false">IF((E127="y"),H127," ")</f>
        <v> </v>
      </c>
      <c r="AH127" s="17" t="str">
        <f aca="false">IF((E127="z"),H127," ")</f>
        <v> </v>
      </c>
      <c r="AI127" s="17" t="str">
        <f aca="false">IF((E127="fa"),H127," ")</f>
        <v> </v>
      </c>
      <c r="AJ127" s="17" t="str">
        <f aca="false">IF((E127="e"),H127," ")</f>
        <v> </v>
      </c>
    </row>
    <row r="128" customFormat="false" ht="12" hidden="false" customHeight="false" outlineLevel="0" collapsed="false">
      <c r="A128" s="28"/>
      <c r="E128" s="2" t="str">
        <f aca="false">IF((F128&lt;&gt;0),"Enter Letter"," ")</f>
        <v> </v>
      </c>
      <c r="F128" s="30"/>
      <c r="G128" s="6" t="str">
        <f aca="false">IF(F128&lt;&gt;0,F128*G$2/(100+G$2)," ")</f>
        <v> </v>
      </c>
      <c r="H128" s="6" t="str">
        <f aca="false">IF((F128&lt;&gt;0),F128-G128," ")</f>
        <v> </v>
      </c>
      <c r="I128" s="5"/>
      <c r="L128" s="7" t="str">
        <f aca="false">IF(F128&lt;&gt;0,F128-K128," ")</f>
        <v> </v>
      </c>
      <c r="M128" s="8" t="str">
        <f aca="false">IF((F128-K128)&lt;&gt;0,M$1-A128," ")</f>
        <v> </v>
      </c>
      <c r="N128" s="5"/>
      <c r="O128" s="17" t="str">
        <f aca="false">IF((E128="s"),H128," ")</f>
        <v> </v>
      </c>
      <c r="P128" s="17" t="str">
        <f aca="false">IF((E128="c"),H128," ")</f>
        <v> </v>
      </c>
      <c r="Q128" s="17" t="str">
        <f aca="false">IF((E128="o"),H128," ")</f>
        <v> </v>
      </c>
      <c r="R128" s="17" t="str">
        <f aca="false">IF((E128="d"),H128," ")</f>
        <v> </v>
      </c>
      <c r="S128" s="17" t="str">
        <f aca="false">IF((E128="w"),H128," ")</f>
        <v> </v>
      </c>
      <c r="T128" s="17" t="str">
        <f aca="false">IF((E128="r"),H128," ")</f>
        <v> </v>
      </c>
      <c r="U128" s="17" t="str">
        <f aca="false">IF((E128="p"),H128," ")</f>
        <v> </v>
      </c>
      <c r="V128" s="17" t="str">
        <f aca="false">IF((E128="t"),H128," ")</f>
        <v> </v>
      </c>
      <c r="W128" s="17" t="str">
        <f aca="false">IF((E128="q"),H128," ")</f>
        <v> </v>
      </c>
      <c r="X128" s="17" t="str">
        <f aca="false">IF((E128="m"),H128," ")</f>
        <v> </v>
      </c>
      <c r="Y128" s="17" t="str">
        <f aca="false">IF((E128="u"),H128," ")</f>
        <v> </v>
      </c>
      <c r="Z128" s="17" t="str">
        <f aca="false">IF((E128="a"),H128," ")</f>
        <v> </v>
      </c>
      <c r="AA128" s="17" t="str">
        <f aca="false">IF((E128="g"),H128," ")</f>
        <v> </v>
      </c>
      <c r="AB128" s="17" t="str">
        <f aca="false">IF((E128="h"),H128," ")</f>
        <v> </v>
      </c>
      <c r="AC128" s="30" t="str">
        <f aca="false">IF((E128="v"),H128," ")</f>
        <v> </v>
      </c>
      <c r="AD128" s="30" t="str">
        <f aca="false">IF((E128="n"),H128," ")</f>
        <v> </v>
      </c>
      <c r="AE128" s="17" t="str">
        <f aca="false">IF((E128="f"),H128," ")</f>
        <v> </v>
      </c>
      <c r="AF128" s="17" t="str">
        <f aca="false">IF((E128="l"),H128," ")</f>
        <v> </v>
      </c>
      <c r="AG128" s="17" t="str">
        <f aca="false">IF((E128="y"),H128," ")</f>
        <v> </v>
      </c>
      <c r="AH128" s="17" t="str">
        <f aca="false">IF((E128="z"),H128," ")</f>
        <v> </v>
      </c>
      <c r="AI128" s="17" t="str">
        <f aca="false">IF((E128="fa"),H128," ")</f>
        <v> </v>
      </c>
      <c r="AJ128" s="17" t="str">
        <f aca="false">IF((E128="e"),H128," ")</f>
        <v> </v>
      </c>
    </row>
    <row r="129" customFormat="false" ht="12" hidden="false" customHeight="false" outlineLevel="0" collapsed="false">
      <c r="A129" s="28"/>
      <c r="E129" s="2" t="str">
        <f aca="false">IF((F129&lt;&gt;0),"Enter Letter"," ")</f>
        <v> </v>
      </c>
      <c r="F129" s="30"/>
      <c r="G129" s="6" t="str">
        <f aca="false">IF(F129&lt;&gt;0,F129*G$2/(100+G$2)," ")</f>
        <v> </v>
      </c>
      <c r="H129" s="6" t="str">
        <f aca="false">IF((F129&lt;&gt;0),F129-G129," ")</f>
        <v> </v>
      </c>
      <c r="I129" s="5"/>
      <c r="L129" s="7" t="str">
        <f aca="false">IF(F129&lt;&gt;0,F129-K129," ")</f>
        <v> </v>
      </c>
      <c r="M129" s="8" t="str">
        <f aca="false">IF((F129-K129)&lt;&gt;0,M$1-A129," ")</f>
        <v> </v>
      </c>
      <c r="N129" s="5"/>
      <c r="O129" s="17" t="str">
        <f aca="false">IF((E129="s"),H129," ")</f>
        <v> </v>
      </c>
      <c r="P129" s="17" t="str">
        <f aca="false">IF((E129="c"),H129," ")</f>
        <v> </v>
      </c>
      <c r="Q129" s="17" t="str">
        <f aca="false">IF((E129="o"),H129," ")</f>
        <v> </v>
      </c>
      <c r="R129" s="17" t="str">
        <f aca="false">IF((E129="d"),H129," ")</f>
        <v> </v>
      </c>
      <c r="S129" s="17" t="str">
        <f aca="false">IF((E129="w"),H129," ")</f>
        <v> </v>
      </c>
      <c r="T129" s="17" t="str">
        <f aca="false">IF((E129="r"),H129," ")</f>
        <v> </v>
      </c>
      <c r="U129" s="17" t="str">
        <f aca="false">IF((E129="p"),H129," ")</f>
        <v> </v>
      </c>
      <c r="V129" s="17" t="str">
        <f aca="false">IF((E129="t"),H129," ")</f>
        <v> </v>
      </c>
      <c r="W129" s="17" t="str">
        <f aca="false">IF((E129="q"),H129," ")</f>
        <v> </v>
      </c>
      <c r="X129" s="17" t="str">
        <f aca="false">IF((E129="m"),H129," ")</f>
        <v> </v>
      </c>
      <c r="Y129" s="17" t="str">
        <f aca="false">IF((E129="u"),H129," ")</f>
        <v> </v>
      </c>
      <c r="Z129" s="17" t="str">
        <f aca="false">IF((E129="a"),H129," ")</f>
        <v> </v>
      </c>
      <c r="AA129" s="17" t="str">
        <f aca="false">IF((E129="g"),H129," ")</f>
        <v> </v>
      </c>
      <c r="AB129" s="17" t="str">
        <f aca="false">IF((E129="h"),H129," ")</f>
        <v> </v>
      </c>
      <c r="AC129" s="30" t="str">
        <f aca="false">IF((E129="v"),H129," ")</f>
        <v> </v>
      </c>
      <c r="AD129" s="30" t="str">
        <f aca="false">IF((E129="n"),H129," ")</f>
        <v> </v>
      </c>
      <c r="AE129" s="17" t="str">
        <f aca="false">IF((E129="f"),H129," ")</f>
        <v> </v>
      </c>
      <c r="AF129" s="17" t="str">
        <f aca="false">IF((E129="l"),H129," ")</f>
        <v> </v>
      </c>
      <c r="AG129" s="17" t="str">
        <f aca="false">IF((E129="y"),H129," ")</f>
        <v> </v>
      </c>
      <c r="AH129" s="17" t="str">
        <f aca="false">IF((E129="z"),H129," ")</f>
        <v> </v>
      </c>
      <c r="AI129" s="17" t="str">
        <f aca="false">IF((E129="fa"),H129," ")</f>
        <v> </v>
      </c>
      <c r="AJ129" s="17" t="str">
        <f aca="false">IF((E129="e"),H129," ")</f>
        <v> </v>
      </c>
    </row>
    <row r="130" customFormat="false" ht="12" hidden="false" customHeight="false" outlineLevel="0" collapsed="false">
      <c r="A130" s="28"/>
      <c r="E130" s="2" t="str">
        <f aca="false">IF((F130&lt;&gt;0),"Enter Letter"," ")</f>
        <v> </v>
      </c>
      <c r="F130" s="30"/>
      <c r="G130" s="6" t="str">
        <f aca="false">IF(F130&lt;&gt;0,F130*G$2/(100+G$2)," ")</f>
        <v> </v>
      </c>
      <c r="H130" s="6" t="str">
        <f aca="false">IF((F130&lt;&gt;0),F130-G130," ")</f>
        <v> </v>
      </c>
      <c r="I130" s="5"/>
      <c r="L130" s="7" t="str">
        <f aca="false">IF(F130&lt;&gt;0,F130-K130," ")</f>
        <v> </v>
      </c>
      <c r="M130" s="8" t="str">
        <f aca="false">IF((F130-K130)&lt;&gt;0,M$1-A130," ")</f>
        <v> </v>
      </c>
      <c r="N130" s="5"/>
      <c r="O130" s="17" t="str">
        <f aca="false">IF((E130="s"),H130," ")</f>
        <v> </v>
      </c>
      <c r="P130" s="17" t="str">
        <f aca="false">IF((E130="c"),H130," ")</f>
        <v> </v>
      </c>
      <c r="Q130" s="17" t="str">
        <f aca="false">IF((E130="o"),H130," ")</f>
        <v> </v>
      </c>
      <c r="R130" s="17" t="str">
        <f aca="false">IF((E130="d"),H130," ")</f>
        <v> </v>
      </c>
      <c r="S130" s="17" t="str">
        <f aca="false">IF((E130="w"),H130," ")</f>
        <v> </v>
      </c>
      <c r="T130" s="17" t="str">
        <f aca="false">IF((E130="r"),H130," ")</f>
        <v> </v>
      </c>
      <c r="U130" s="17" t="str">
        <f aca="false">IF((E130="p"),H130," ")</f>
        <v> </v>
      </c>
      <c r="V130" s="17" t="str">
        <f aca="false">IF((E130="t"),H130," ")</f>
        <v> </v>
      </c>
      <c r="W130" s="17" t="str">
        <f aca="false">IF((E130="q"),H130," ")</f>
        <v> </v>
      </c>
      <c r="X130" s="17" t="str">
        <f aca="false">IF((E130="m"),H130," ")</f>
        <v> </v>
      </c>
      <c r="Y130" s="17" t="str">
        <f aca="false">IF((E130="u"),H130," ")</f>
        <v> </v>
      </c>
      <c r="Z130" s="17" t="str">
        <f aca="false">IF((E130="a"),H130," ")</f>
        <v> </v>
      </c>
      <c r="AA130" s="17" t="str">
        <f aca="false">IF((E130="g"),H130," ")</f>
        <v> </v>
      </c>
      <c r="AB130" s="17" t="str">
        <f aca="false">IF((E130="h"),H130," ")</f>
        <v> </v>
      </c>
      <c r="AC130" s="30" t="str">
        <f aca="false">IF((E130="v"),H130," ")</f>
        <v> </v>
      </c>
      <c r="AD130" s="30" t="str">
        <f aca="false">IF((E130="n"),H130," ")</f>
        <v> </v>
      </c>
      <c r="AE130" s="17" t="str">
        <f aca="false">IF((E130="f"),H130," ")</f>
        <v> </v>
      </c>
      <c r="AF130" s="17" t="str">
        <f aca="false">IF((E130="l"),H130," ")</f>
        <v> </v>
      </c>
      <c r="AG130" s="17" t="str">
        <f aca="false">IF((E130="y"),H130," ")</f>
        <v> </v>
      </c>
      <c r="AH130" s="17" t="str">
        <f aca="false">IF((E130="z"),H130," ")</f>
        <v> </v>
      </c>
      <c r="AI130" s="17" t="str">
        <f aca="false">IF((E130="fa"),H130," ")</f>
        <v> </v>
      </c>
      <c r="AJ130" s="17" t="str">
        <f aca="false">IF((E130="e"),H130," ")</f>
        <v> </v>
      </c>
    </row>
    <row r="131" customFormat="false" ht="12" hidden="false" customHeight="false" outlineLevel="0" collapsed="false">
      <c r="A131" s="28"/>
      <c r="E131" s="2" t="str">
        <f aca="false">IF((F131&lt;&gt;0),"Enter Letter"," ")</f>
        <v> </v>
      </c>
      <c r="F131" s="30"/>
      <c r="G131" s="6" t="str">
        <f aca="false">IF(F131&lt;&gt;0,F131*G$2/(100+G$2)," ")</f>
        <v> </v>
      </c>
      <c r="H131" s="6" t="str">
        <f aca="false">IF((F131&lt;&gt;0),F131-G131," ")</f>
        <v> </v>
      </c>
      <c r="I131" s="5"/>
      <c r="L131" s="7" t="str">
        <f aca="false">IF(F131&lt;&gt;0,F131-K131," ")</f>
        <v> </v>
      </c>
      <c r="M131" s="8" t="str">
        <f aca="false">IF((F131-K131)&lt;&gt;0,M$1-A131," ")</f>
        <v> </v>
      </c>
      <c r="N131" s="5"/>
      <c r="O131" s="17" t="str">
        <f aca="false">IF((E131="s"),H131," ")</f>
        <v> </v>
      </c>
      <c r="P131" s="17" t="str">
        <f aca="false">IF((E131="c"),H131," ")</f>
        <v> </v>
      </c>
      <c r="Q131" s="17" t="str">
        <f aca="false">IF((E131="o"),H131," ")</f>
        <v> </v>
      </c>
      <c r="R131" s="17" t="str">
        <f aca="false">IF((E131="d"),H131," ")</f>
        <v> </v>
      </c>
      <c r="S131" s="17" t="str">
        <f aca="false">IF((E131="w"),H131," ")</f>
        <v> </v>
      </c>
      <c r="T131" s="17" t="str">
        <f aca="false">IF((E131="r"),H131," ")</f>
        <v> </v>
      </c>
      <c r="U131" s="17" t="str">
        <f aca="false">IF((E131="p"),H131," ")</f>
        <v> </v>
      </c>
      <c r="V131" s="17" t="str">
        <f aca="false">IF((E131="t"),H131," ")</f>
        <v> </v>
      </c>
      <c r="W131" s="17" t="str">
        <f aca="false">IF((E131="q"),H131," ")</f>
        <v> </v>
      </c>
      <c r="X131" s="17" t="str">
        <f aca="false">IF((E131="m"),H131," ")</f>
        <v> </v>
      </c>
      <c r="Y131" s="17" t="str">
        <f aca="false">IF((E131="u"),H131," ")</f>
        <v> </v>
      </c>
      <c r="Z131" s="17" t="str">
        <f aca="false">IF((E131="a"),H131," ")</f>
        <v> </v>
      </c>
      <c r="AA131" s="17" t="str">
        <f aca="false">IF((E131="g"),H131," ")</f>
        <v> </v>
      </c>
      <c r="AB131" s="17" t="str">
        <f aca="false">IF((E131="h"),H131," ")</f>
        <v> </v>
      </c>
      <c r="AC131" s="30" t="str">
        <f aca="false">IF((E131="v"),H131," ")</f>
        <v> </v>
      </c>
      <c r="AD131" s="30" t="str">
        <f aca="false">IF((E131="n"),H131," ")</f>
        <v> </v>
      </c>
      <c r="AE131" s="17" t="str">
        <f aca="false">IF((E131="f"),H131," ")</f>
        <v> </v>
      </c>
      <c r="AF131" s="17" t="str">
        <f aca="false">IF((E131="l"),H131," ")</f>
        <v> </v>
      </c>
      <c r="AG131" s="17" t="str">
        <f aca="false">IF((E131="y"),H131," ")</f>
        <v> </v>
      </c>
      <c r="AH131" s="17" t="str">
        <f aca="false">IF((E131="z"),H131," ")</f>
        <v> </v>
      </c>
      <c r="AI131" s="17" t="str">
        <f aca="false">IF((E131="fa"),H131," ")</f>
        <v> </v>
      </c>
      <c r="AJ131" s="17" t="str">
        <f aca="false">IF((E131="e"),H131," ")</f>
        <v> </v>
      </c>
    </row>
    <row r="132" customFormat="false" ht="12" hidden="false" customHeight="false" outlineLevel="0" collapsed="false">
      <c r="A132" s="28"/>
      <c r="E132" s="2" t="str">
        <f aca="false">IF((F132&lt;&gt;0),"Enter Letter"," ")</f>
        <v> </v>
      </c>
      <c r="F132" s="30"/>
      <c r="G132" s="6" t="str">
        <f aca="false">IF(F132&lt;&gt;0,F132*G$2/(100+G$2)," ")</f>
        <v> </v>
      </c>
      <c r="H132" s="6" t="str">
        <f aca="false">IF((F132&lt;&gt;0),F132-G132," ")</f>
        <v> </v>
      </c>
      <c r="I132" s="5"/>
      <c r="L132" s="7" t="str">
        <f aca="false">IF(F132&lt;&gt;0,F132-K132," ")</f>
        <v> </v>
      </c>
      <c r="M132" s="8" t="str">
        <f aca="false">IF((F132-K132)&lt;&gt;0,M$1-A132," ")</f>
        <v> </v>
      </c>
      <c r="N132" s="5"/>
      <c r="O132" s="17" t="str">
        <f aca="false">IF((E132="s"),H132," ")</f>
        <v> </v>
      </c>
      <c r="P132" s="17" t="str">
        <f aca="false">IF((E132="c"),H132," ")</f>
        <v> </v>
      </c>
      <c r="Q132" s="17" t="str">
        <f aca="false">IF((E132="o"),H132," ")</f>
        <v> </v>
      </c>
      <c r="R132" s="17" t="str">
        <f aca="false">IF((E132="d"),H132," ")</f>
        <v> </v>
      </c>
      <c r="S132" s="17" t="str">
        <f aca="false">IF((E132="w"),H132," ")</f>
        <v> </v>
      </c>
      <c r="T132" s="17" t="str">
        <f aca="false">IF((E132="r"),H132," ")</f>
        <v> </v>
      </c>
      <c r="U132" s="17" t="str">
        <f aca="false">IF((E132="p"),H132," ")</f>
        <v> </v>
      </c>
      <c r="V132" s="17" t="str">
        <f aca="false">IF((E132="t"),H132," ")</f>
        <v> </v>
      </c>
      <c r="W132" s="17" t="str">
        <f aca="false">IF((E132="q"),H132," ")</f>
        <v> </v>
      </c>
      <c r="X132" s="17" t="str">
        <f aca="false">IF((E132="m"),H132," ")</f>
        <v> </v>
      </c>
      <c r="Y132" s="17" t="str">
        <f aca="false">IF((E132="u"),H132," ")</f>
        <v> </v>
      </c>
      <c r="Z132" s="17" t="str">
        <f aca="false">IF((E132="a"),H132," ")</f>
        <v> </v>
      </c>
      <c r="AA132" s="17" t="str">
        <f aca="false">IF((E132="g"),H132," ")</f>
        <v> </v>
      </c>
      <c r="AB132" s="17" t="str">
        <f aca="false">IF((E132="h"),H132," ")</f>
        <v> </v>
      </c>
      <c r="AC132" s="30" t="str">
        <f aca="false">IF((E132="v"),H132," ")</f>
        <v> </v>
      </c>
      <c r="AD132" s="30" t="str">
        <f aca="false">IF((E132="n"),H132," ")</f>
        <v> </v>
      </c>
      <c r="AE132" s="17" t="str">
        <f aca="false">IF((E132="f"),H132," ")</f>
        <v> </v>
      </c>
      <c r="AF132" s="17" t="str">
        <f aca="false">IF((E132="l"),H132," ")</f>
        <v> </v>
      </c>
      <c r="AG132" s="17" t="str">
        <f aca="false">IF((E132="y"),H132," ")</f>
        <v> </v>
      </c>
      <c r="AH132" s="17" t="str">
        <f aca="false">IF((E132="z"),H132," ")</f>
        <v> </v>
      </c>
      <c r="AI132" s="17" t="str">
        <f aca="false">IF((E132="fa"),H132," ")</f>
        <v> </v>
      </c>
      <c r="AJ132" s="17" t="str">
        <f aca="false">IF((E132="e"),H132," ")</f>
        <v> </v>
      </c>
    </row>
    <row r="133" customFormat="false" ht="12" hidden="false" customHeight="false" outlineLevel="0" collapsed="false">
      <c r="A133" s="28"/>
      <c r="E133" s="2" t="str">
        <f aca="false">IF((F133&lt;&gt;0),"Enter Letter"," ")</f>
        <v> </v>
      </c>
      <c r="F133" s="30"/>
      <c r="G133" s="6" t="str">
        <f aca="false">IF(F133&lt;&gt;0,F133*G$2/(100+G$2)," ")</f>
        <v> </v>
      </c>
      <c r="H133" s="6" t="str">
        <f aca="false">IF((F133&lt;&gt;0),F133-G133," ")</f>
        <v> </v>
      </c>
      <c r="I133" s="5"/>
      <c r="L133" s="7" t="str">
        <f aca="false">IF(F133&lt;&gt;0,F133-K133," ")</f>
        <v> </v>
      </c>
      <c r="M133" s="8" t="str">
        <f aca="false">IF((F133-K133)&lt;&gt;0,M$1-A133," ")</f>
        <v> </v>
      </c>
      <c r="N133" s="5"/>
      <c r="O133" s="17" t="str">
        <f aca="false">IF((E133="s"),H133," ")</f>
        <v> </v>
      </c>
      <c r="P133" s="17" t="str">
        <f aca="false">IF((E133="c"),H133," ")</f>
        <v> </v>
      </c>
      <c r="Q133" s="17" t="str">
        <f aca="false">IF((E133="o"),H133," ")</f>
        <v> </v>
      </c>
      <c r="R133" s="17" t="str">
        <f aca="false">IF((E133="d"),H133," ")</f>
        <v> </v>
      </c>
      <c r="S133" s="17" t="str">
        <f aca="false">IF((E133="w"),H133," ")</f>
        <v> </v>
      </c>
      <c r="T133" s="17" t="str">
        <f aca="false">IF((E133="r"),H133," ")</f>
        <v> </v>
      </c>
      <c r="U133" s="17" t="str">
        <f aca="false">IF((E133="p"),H133," ")</f>
        <v> </v>
      </c>
      <c r="V133" s="17" t="str">
        <f aca="false">IF((E133="t"),H133," ")</f>
        <v> </v>
      </c>
      <c r="W133" s="17" t="str">
        <f aca="false">IF((E133="q"),H133," ")</f>
        <v> </v>
      </c>
      <c r="X133" s="17" t="str">
        <f aca="false">IF((E133="m"),H133," ")</f>
        <v> </v>
      </c>
      <c r="Y133" s="17" t="str">
        <f aca="false">IF((E133="u"),H133," ")</f>
        <v> </v>
      </c>
      <c r="Z133" s="17" t="str">
        <f aca="false">IF((E133="a"),H133," ")</f>
        <v> </v>
      </c>
      <c r="AA133" s="17" t="str">
        <f aca="false">IF((E133="g"),H133," ")</f>
        <v> </v>
      </c>
      <c r="AB133" s="17" t="str">
        <f aca="false">IF((E133="h"),H133," ")</f>
        <v> </v>
      </c>
      <c r="AC133" s="30" t="str">
        <f aca="false">IF((E133="v"),H133," ")</f>
        <v> </v>
      </c>
      <c r="AD133" s="30" t="str">
        <f aca="false">IF((E133="n"),H133," ")</f>
        <v> </v>
      </c>
      <c r="AE133" s="17" t="str">
        <f aca="false">IF((E133="f"),H133," ")</f>
        <v> </v>
      </c>
      <c r="AF133" s="17" t="str">
        <f aca="false">IF((E133="l"),H133," ")</f>
        <v> </v>
      </c>
      <c r="AG133" s="17" t="str">
        <f aca="false">IF((E133="y"),H133," ")</f>
        <v> </v>
      </c>
      <c r="AH133" s="17" t="str">
        <f aca="false">IF((E133="z"),H133," ")</f>
        <v> </v>
      </c>
      <c r="AI133" s="17" t="str">
        <f aca="false">IF((E133="fa"),H133," ")</f>
        <v> </v>
      </c>
      <c r="AJ133" s="17" t="str">
        <f aca="false">IF((E133="e"),H133," ")</f>
        <v> </v>
      </c>
    </row>
    <row r="134" customFormat="false" ht="12" hidden="false" customHeight="false" outlineLevel="0" collapsed="false">
      <c r="A134" s="28"/>
      <c r="E134" s="2" t="str">
        <f aca="false">IF((F134&lt;&gt;0),"Enter Letter"," ")</f>
        <v> </v>
      </c>
      <c r="F134" s="30"/>
      <c r="G134" s="6" t="str">
        <f aca="false">IF(F134&lt;&gt;0,F134*G$2/(100+G$2)," ")</f>
        <v> </v>
      </c>
      <c r="H134" s="6" t="str">
        <f aca="false">IF((F134&lt;&gt;0),F134-G134," ")</f>
        <v> </v>
      </c>
      <c r="I134" s="5"/>
      <c r="L134" s="7" t="str">
        <f aca="false">IF(F134&lt;&gt;0,F134-K134," ")</f>
        <v> </v>
      </c>
      <c r="M134" s="8" t="str">
        <f aca="false">IF((F134-K134)&lt;&gt;0,M$1-A134," ")</f>
        <v> </v>
      </c>
      <c r="N134" s="5"/>
      <c r="O134" s="17" t="str">
        <f aca="false">IF((E134="s"),H134," ")</f>
        <v> </v>
      </c>
      <c r="P134" s="17" t="str">
        <f aca="false">IF((E134="c"),H134," ")</f>
        <v> </v>
      </c>
      <c r="Q134" s="17" t="str">
        <f aca="false">IF((E134="o"),H134," ")</f>
        <v> </v>
      </c>
      <c r="R134" s="17" t="str">
        <f aca="false">IF((E134="d"),H134," ")</f>
        <v> </v>
      </c>
      <c r="S134" s="17" t="str">
        <f aca="false">IF((E134="w"),H134," ")</f>
        <v> </v>
      </c>
      <c r="T134" s="17" t="str">
        <f aca="false">IF((E134="r"),H134," ")</f>
        <v> </v>
      </c>
      <c r="U134" s="17" t="str">
        <f aca="false">IF((E134="p"),H134," ")</f>
        <v> </v>
      </c>
      <c r="V134" s="17" t="str">
        <f aca="false">IF((E134="t"),H134," ")</f>
        <v> </v>
      </c>
      <c r="W134" s="17" t="str">
        <f aca="false">IF((E134="q"),H134," ")</f>
        <v> </v>
      </c>
      <c r="X134" s="17" t="str">
        <f aca="false">IF((E134="m"),H134," ")</f>
        <v> </v>
      </c>
      <c r="Y134" s="17" t="str">
        <f aca="false">IF((E134="u"),H134," ")</f>
        <v> </v>
      </c>
      <c r="Z134" s="17" t="str">
        <f aca="false">IF((E134="a"),H134," ")</f>
        <v> </v>
      </c>
      <c r="AA134" s="17" t="str">
        <f aca="false">IF((E134="g"),H134," ")</f>
        <v> </v>
      </c>
      <c r="AB134" s="17" t="str">
        <f aca="false">IF((E134="h"),H134," ")</f>
        <v> </v>
      </c>
      <c r="AC134" s="30" t="str">
        <f aca="false">IF((E134="v"),H134," ")</f>
        <v> </v>
      </c>
      <c r="AD134" s="30" t="str">
        <f aca="false">IF((E134="n"),H134," ")</f>
        <v> </v>
      </c>
      <c r="AE134" s="17" t="str">
        <f aca="false">IF((E134="f"),H134," ")</f>
        <v> </v>
      </c>
      <c r="AF134" s="17" t="str">
        <f aca="false">IF((E134="l"),H134," ")</f>
        <v> </v>
      </c>
      <c r="AG134" s="17" t="str">
        <f aca="false">IF((E134="y"),H134," ")</f>
        <v> </v>
      </c>
      <c r="AH134" s="17" t="str">
        <f aca="false">IF((E134="z"),H134," ")</f>
        <v> </v>
      </c>
      <c r="AI134" s="17" t="str">
        <f aca="false">IF((E134="fa"),H134," ")</f>
        <v> </v>
      </c>
      <c r="AJ134" s="17" t="str">
        <f aca="false">IF((E134="e"),H134," ")</f>
        <v> </v>
      </c>
    </row>
    <row r="135" customFormat="false" ht="12" hidden="false" customHeight="false" outlineLevel="0" collapsed="false">
      <c r="A135" s="28"/>
      <c r="E135" s="2" t="str">
        <f aca="false">IF((F135&lt;&gt;0),"Enter Letter"," ")</f>
        <v> </v>
      </c>
      <c r="F135" s="30"/>
      <c r="G135" s="6" t="str">
        <f aca="false">IF(F135&lt;&gt;0,F135*G$2/(100+G$2)," ")</f>
        <v> </v>
      </c>
      <c r="H135" s="6" t="str">
        <f aca="false">IF((F135&lt;&gt;0),F135-G135," ")</f>
        <v> </v>
      </c>
      <c r="I135" s="5"/>
      <c r="L135" s="7" t="str">
        <f aca="false">IF(F135&lt;&gt;0,F135-K135," ")</f>
        <v> </v>
      </c>
      <c r="M135" s="8" t="str">
        <f aca="false">IF((F135-K135)&lt;&gt;0,M$1-A135," ")</f>
        <v> </v>
      </c>
      <c r="N135" s="5"/>
      <c r="O135" s="17" t="str">
        <f aca="false">IF((E135="s"),H135," ")</f>
        <v> </v>
      </c>
      <c r="P135" s="17" t="str">
        <f aca="false">IF((E135="c"),H135," ")</f>
        <v> </v>
      </c>
      <c r="Q135" s="17" t="str">
        <f aca="false">IF((E135="o"),H135," ")</f>
        <v> </v>
      </c>
      <c r="R135" s="17" t="str">
        <f aca="false">IF((E135="d"),H135," ")</f>
        <v> </v>
      </c>
      <c r="S135" s="17" t="str">
        <f aca="false">IF((E135="w"),H135," ")</f>
        <v> </v>
      </c>
      <c r="T135" s="17" t="str">
        <f aca="false">IF((E135="r"),H135," ")</f>
        <v> </v>
      </c>
      <c r="U135" s="17" t="str">
        <f aca="false">IF((E135="p"),H135," ")</f>
        <v> </v>
      </c>
      <c r="V135" s="17" t="str">
        <f aca="false">IF((E135="t"),H135," ")</f>
        <v> </v>
      </c>
      <c r="W135" s="17" t="str">
        <f aca="false">IF((E135="q"),H135," ")</f>
        <v> </v>
      </c>
      <c r="X135" s="17" t="str">
        <f aca="false">IF((E135="m"),H135," ")</f>
        <v> </v>
      </c>
      <c r="Y135" s="17" t="str">
        <f aca="false">IF((E135="u"),H135," ")</f>
        <v> </v>
      </c>
      <c r="Z135" s="17" t="str">
        <f aca="false">IF((E135="a"),H135," ")</f>
        <v> </v>
      </c>
      <c r="AA135" s="17" t="str">
        <f aca="false">IF((E135="g"),H135," ")</f>
        <v> </v>
      </c>
      <c r="AB135" s="17" t="str">
        <f aca="false">IF((E135="h"),H135," ")</f>
        <v> </v>
      </c>
      <c r="AC135" s="30" t="str">
        <f aca="false">IF((E135="v"),H135," ")</f>
        <v> </v>
      </c>
      <c r="AD135" s="30" t="str">
        <f aca="false">IF((E135="n"),H135," ")</f>
        <v> </v>
      </c>
      <c r="AE135" s="17" t="str">
        <f aca="false">IF((E135="f"),H135," ")</f>
        <v> </v>
      </c>
      <c r="AF135" s="17" t="str">
        <f aca="false">IF((E135="l"),H135," ")</f>
        <v> </v>
      </c>
      <c r="AG135" s="17" t="str">
        <f aca="false">IF((E135="y"),H135," ")</f>
        <v> </v>
      </c>
      <c r="AH135" s="17" t="str">
        <f aca="false">IF((E135="z"),H135," ")</f>
        <v> </v>
      </c>
      <c r="AI135" s="17" t="str">
        <f aca="false">IF((E135="fa"),H135," ")</f>
        <v> </v>
      </c>
      <c r="AJ135" s="17" t="str">
        <f aca="false">IF((E135="e"),H135," ")</f>
        <v> </v>
      </c>
    </row>
    <row r="136" customFormat="false" ht="12" hidden="false" customHeight="false" outlineLevel="0" collapsed="false">
      <c r="A136" s="28"/>
      <c r="E136" s="2" t="str">
        <f aca="false">IF((F136&lt;&gt;0),"Enter Letter"," ")</f>
        <v> </v>
      </c>
      <c r="F136" s="30"/>
      <c r="G136" s="6" t="str">
        <f aca="false">IF(F136&lt;&gt;0,F136*G$2/(100+G$2)," ")</f>
        <v> </v>
      </c>
      <c r="H136" s="6" t="str">
        <f aca="false">IF((F136&lt;&gt;0),F136-G136," ")</f>
        <v> </v>
      </c>
      <c r="I136" s="5"/>
      <c r="L136" s="7" t="str">
        <f aca="false">IF(F136&lt;&gt;0,F136-K136," ")</f>
        <v> </v>
      </c>
      <c r="M136" s="8" t="str">
        <f aca="false">IF((F136-K136)&lt;&gt;0,M$1-A136," ")</f>
        <v> </v>
      </c>
      <c r="N136" s="5"/>
      <c r="O136" s="17" t="str">
        <f aca="false">IF((E136="s"),H136," ")</f>
        <v> </v>
      </c>
      <c r="P136" s="17" t="str">
        <f aca="false">IF((E136="c"),H136," ")</f>
        <v> </v>
      </c>
      <c r="Q136" s="17" t="str">
        <f aca="false">IF((E136="o"),H136," ")</f>
        <v> </v>
      </c>
      <c r="R136" s="17" t="str">
        <f aca="false">IF((E136="d"),H136," ")</f>
        <v> </v>
      </c>
      <c r="S136" s="17" t="str">
        <f aca="false">IF((E136="w"),H136," ")</f>
        <v> </v>
      </c>
      <c r="T136" s="17" t="str">
        <f aca="false">IF((E136="r"),H136," ")</f>
        <v> </v>
      </c>
      <c r="U136" s="17" t="str">
        <f aca="false">IF((E136="p"),H136," ")</f>
        <v> </v>
      </c>
      <c r="V136" s="17" t="str">
        <f aca="false">IF((E136="t"),H136," ")</f>
        <v> </v>
      </c>
      <c r="W136" s="17" t="str">
        <f aca="false">IF((E136="q"),H136," ")</f>
        <v> </v>
      </c>
      <c r="X136" s="17" t="str">
        <f aca="false">IF((E136="m"),H136," ")</f>
        <v> </v>
      </c>
      <c r="Y136" s="17" t="str">
        <f aca="false">IF((E136="u"),H136," ")</f>
        <v> </v>
      </c>
      <c r="Z136" s="17" t="str">
        <f aca="false">IF((E136="a"),H136," ")</f>
        <v> </v>
      </c>
      <c r="AA136" s="17" t="str">
        <f aca="false">IF((E136="g"),H136," ")</f>
        <v> </v>
      </c>
      <c r="AB136" s="17" t="str">
        <f aca="false">IF((E136="h"),H136," ")</f>
        <v> </v>
      </c>
      <c r="AC136" s="30" t="str">
        <f aca="false">IF((E136="v"),H136," ")</f>
        <v> </v>
      </c>
      <c r="AD136" s="30" t="str">
        <f aca="false">IF((E136="n"),H136," ")</f>
        <v> </v>
      </c>
      <c r="AE136" s="17" t="str">
        <f aca="false">IF((E136="f"),H136," ")</f>
        <v> </v>
      </c>
      <c r="AF136" s="17" t="str">
        <f aca="false">IF((E136="l"),H136," ")</f>
        <v> </v>
      </c>
      <c r="AG136" s="17" t="str">
        <f aca="false">IF((E136="y"),H136," ")</f>
        <v> </v>
      </c>
      <c r="AH136" s="17" t="str">
        <f aca="false">IF((E136="z"),H136," ")</f>
        <v> </v>
      </c>
      <c r="AI136" s="17" t="str">
        <f aca="false">IF((E136="fa"),H136," ")</f>
        <v> </v>
      </c>
      <c r="AJ136" s="17" t="str">
        <f aca="false">IF((E136="e"),H136," ")</f>
        <v> </v>
      </c>
    </row>
    <row r="137" customFormat="false" ht="12" hidden="false" customHeight="false" outlineLevel="0" collapsed="false">
      <c r="A137" s="28"/>
      <c r="E137" s="2" t="str">
        <f aca="false">IF((F137&lt;&gt;0),"Enter Letter"," ")</f>
        <v> </v>
      </c>
      <c r="F137" s="30"/>
      <c r="G137" s="6" t="str">
        <f aca="false">IF(F137&lt;&gt;0,F137*G$2/(100+G$2)," ")</f>
        <v> </v>
      </c>
      <c r="H137" s="6" t="str">
        <f aca="false">IF((F137&lt;&gt;0),F137-G137," ")</f>
        <v> </v>
      </c>
      <c r="I137" s="5"/>
      <c r="L137" s="7" t="str">
        <f aca="false">IF(F137&lt;&gt;0,F137-K137," ")</f>
        <v> </v>
      </c>
      <c r="M137" s="8" t="str">
        <f aca="false">IF((F137-K137)&lt;&gt;0,M$1-A137," ")</f>
        <v> </v>
      </c>
      <c r="N137" s="5"/>
      <c r="O137" s="17" t="str">
        <f aca="false">IF((E137="s"),H137," ")</f>
        <v> </v>
      </c>
      <c r="P137" s="17" t="str">
        <f aca="false">IF((E137="c"),H137," ")</f>
        <v> </v>
      </c>
      <c r="Q137" s="17" t="str">
        <f aca="false">IF((E137="o"),H137," ")</f>
        <v> </v>
      </c>
      <c r="R137" s="17" t="str">
        <f aca="false">IF((E137="d"),H137," ")</f>
        <v> </v>
      </c>
      <c r="S137" s="17" t="str">
        <f aca="false">IF((E137="w"),H137," ")</f>
        <v> </v>
      </c>
      <c r="T137" s="17" t="str">
        <f aca="false">IF((E137="r"),H137," ")</f>
        <v> </v>
      </c>
      <c r="U137" s="17" t="str">
        <f aca="false">IF((E137="p"),H137," ")</f>
        <v> </v>
      </c>
      <c r="V137" s="17" t="str">
        <f aca="false">IF((E137="t"),H137," ")</f>
        <v> </v>
      </c>
      <c r="W137" s="17" t="str">
        <f aca="false">IF((E137="q"),H137," ")</f>
        <v> </v>
      </c>
      <c r="X137" s="17" t="str">
        <f aca="false">IF((E137="m"),H137," ")</f>
        <v> </v>
      </c>
      <c r="Y137" s="17" t="str">
        <f aca="false">IF((E137="u"),H137," ")</f>
        <v> </v>
      </c>
      <c r="Z137" s="17" t="str">
        <f aca="false">IF((E137="a"),H137," ")</f>
        <v> </v>
      </c>
      <c r="AA137" s="17" t="str">
        <f aca="false">IF((E137="g"),H137," ")</f>
        <v> </v>
      </c>
      <c r="AB137" s="17" t="str">
        <f aca="false">IF((E137="h"),H137," ")</f>
        <v> </v>
      </c>
      <c r="AC137" s="30" t="str">
        <f aca="false">IF((E137="v"),H137," ")</f>
        <v> </v>
      </c>
      <c r="AD137" s="30" t="str">
        <f aca="false">IF((E137="n"),H137," ")</f>
        <v> </v>
      </c>
      <c r="AE137" s="17" t="str">
        <f aca="false">IF((E137="f"),H137," ")</f>
        <v> </v>
      </c>
      <c r="AF137" s="17" t="str">
        <f aca="false">IF((E137="l"),H137," ")</f>
        <v> </v>
      </c>
      <c r="AG137" s="17" t="str">
        <f aca="false">IF((E137="y"),H137," ")</f>
        <v> </v>
      </c>
      <c r="AH137" s="17" t="str">
        <f aca="false">IF((E137="z"),H137," ")</f>
        <v> </v>
      </c>
      <c r="AI137" s="17" t="str">
        <f aca="false">IF((E137="fa"),H137," ")</f>
        <v> </v>
      </c>
      <c r="AJ137" s="17" t="str">
        <f aca="false">IF((E137="e"),H137," ")</f>
        <v> </v>
      </c>
    </row>
    <row r="138" customFormat="false" ht="12" hidden="false" customHeight="false" outlineLevel="0" collapsed="false">
      <c r="A138" s="28"/>
      <c r="E138" s="2" t="str">
        <f aca="false">IF((F138&lt;&gt;0),"Enter Letter"," ")</f>
        <v> </v>
      </c>
      <c r="F138" s="30"/>
      <c r="G138" s="6" t="str">
        <f aca="false">IF(F138&lt;&gt;0,F138*G$2/(100+G$2)," ")</f>
        <v> </v>
      </c>
      <c r="H138" s="6" t="str">
        <f aca="false">IF((F138&lt;&gt;0),F138-G138," ")</f>
        <v> </v>
      </c>
      <c r="I138" s="5"/>
      <c r="L138" s="7" t="str">
        <f aca="false">IF(F138&lt;&gt;0,F138-K138," ")</f>
        <v> </v>
      </c>
      <c r="M138" s="8" t="str">
        <f aca="false">IF((F138-K138)&lt;&gt;0,M$1-A138," ")</f>
        <v> </v>
      </c>
      <c r="N138" s="5"/>
      <c r="O138" s="17" t="str">
        <f aca="false">IF((E138="s"),H138," ")</f>
        <v> </v>
      </c>
      <c r="P138" s="17" t="str">
        <f aca="false">IF((E138="c"),H138," ")</f>
        <v> </v>
      </c>
      <c r="Q138" s="17" t="str">
        <f aca="false">IF((E138="o"),H138," ")</f>
        <v> </v>
      </c>
      <c r="R138" s="17" t="str">
        <f aca="false">IF((E138="d"),H138," ")</f>
        <v> </v>
      </c>
      <c r="S138" s="17" t="str">
        <f aca="false">IF((E138="w"),H138," ")</f>
        <v> </v>
      </c>
      <c r="T138" s="17" t="str">
        <f aca="false">IF((E138="r"),H138," ")</f>
        <v> </v>
      </c>
      <c r="U138" s="17" t="str">
        <f aca="false">IF((E138="p"),H138," ")</f>
        <v> </v>
      </c>
      <c r="V138" s="17" t="str">
        <f aca="false">IF((E138="t"),H138," ")</f>
        <v> </v>
      </c>
      <c r="W138" s="17" t="str">
        <f aca="false">IF((E138="q"),H138," ")</f>
        <v> </v>
      </c>
      <c r="X138" s="17" t="str">
        <f aca="false">IF((E138="m"),H138," ")</f>
        <v> </v>
      </c>
      <c r="Y138" s="17" t="str">
        <f aca="false">IF((E138="u"),H138," ")</f>
        <v> </v>
      </c>
      <c r="Z138" s="17" t="str">
        <f aca="false">IF((E138="a"),H138," ")</f>
        <v> </v>
      </c>
      <c r="AA138" s="17" t="str">
        <f aca="false">IF((E138="g"),H138," ")</f>
        <v> </v>
      </c>
      <c r="AB138" s="17" t="str">
        <f aca="false">IF((E138="h"),H138," ")</f>
        <v> </v>
      </c>
      <c r="AC138" s="30" t="str">
        <f aca="false">IF((E138="v"),H138," ")</f>
        <v> </v>
      </c>
      <c r="AD138" s="30" t="str">
        <f aca="false">IF((E138="n"),H138," ")</f>
        <v> </v>
      </c>
      <c r="AE138" s="17" t="str">
        <f aca="false">IF((E138="f"),H138," ")</f>
        <v> </v>
      </c>
      <c r="AF138" s="17" t="str">
        <f aca="false">IF((E138="l"),H138," ")</f>
        <v> </v>
      </c>
      <c r="AG138" s="17" t="str">
        <f aca="false">IF((E138="y"),H138," ")</f>
        <v> </v>
      </c>
      <c r="AH138" s="17" t="str">
        <f aca="false">IF((E138="z"),H138," ")</f>
        <v> </v>
      </c>
      <c r="AI138" s="17" t="str">
        <f aca="false">IF((E138="fa"),H138," ")</f>
        <v> </v>
      </c>
      <c r="AJ138" s="17" t="str">
        <f aca="false">IF((E138="e"),H138," ")</f>
        <v> </v>
      </c>
    </row>
    <row r="139" customFormat="false" ht="12" hidden="false" customHeight="false" outlineLevel="0" collapsed="false">
      <c r="A139" s="28"/>
      <c r="E139" s="2" t="str">
        <f aca="false">IF((F139&lt;&gt;0),"Enter Letter"," ")</f>
        <v> </v>
      </c>
      <c r="F139" s="30"/>
      <c r="G139" s="6" t="str">
        <f aca="false">IF(F139&lt;&gt;0,F139*G$2/(100+G$2)," ")</f>
        <v> </v>
      </c>
      <c r="H139" s="6" t="str">
        <f aca="false">IF((F139&lt;&gt;0),F139-G139," ")</f>
        <v> </v>
      </c>
      <c r="I139" s="5"/>
      <c r="L139" s="7" t="str">
        <f aca="false">IF(F139&lt;&gt;0,F139-K139," ")</f>
        <v> </v>
      </c>
      <c r="M139" s="8" t="str">
        <f aca="false">IF((F139-K139)&lt;&gt;0,M$1-A139," ")</f>
        <v> </v>
      </c>
      <c r="N139" s="5"/>
      <c r="O139" s="17" t="str">
        <f aca="false">IF((E139="s"),H139," ")</f>
        <v> </v>
      </c>
      <c r="P139" s="17" t="str">
        <f aca="false">IF((E139="c"),H139," ")</f>
        <v> </v>
      </c>
      <c r="Q139" s="17" t="str">
        <f aca="false">IF((E139="o"),H139," ")</f>
        <v> </v>
      </c>
      <c r="R139" s="17" t="str">
        <f aca="false">IF((E139="d"),H139," ")</f>
        <v> </v>
      </c>
      <c r="S139" s="17" t="str">
        <f aca="false">IF((E139="w"),H139," ")</f>
        <v> </v>
      </c>
      <c r="T139" s="17" t="str">
        <f aca="false">IF((E139="r"),H139," ")</f>
        <v> </v>
      </c>
      <c r="U139" s="17" t="str">
        <f aca="false">IF((E139="p"),H139," ")</f>
        <v> </v>
      </c>
      <c r="V139" s="17" t="str">
        <f aca="false">IF((E139="t"),H139," ")</f>
        <v> </v>
      </c>
      <c r="W139" s="17" t="str">
        <f aca="false">IF((E139="q"),H139," ")</f>
        <v> </v>
      </c>
      <c r="X139" s="17" t="str">
        <f aca="false">IF((E139="m"),H139," ")</f>
        <v> </v>
      </c>
      <c r="Y139" s="17" t="str">
        <f aca="false">IF((E139="u"),H139," ")</f>
        <v> </v>
      </c>
      <c r="Z139" s="17" t="str">
        <f aca="false">IF((E139="a"),H139," ")</f>
        <v> </v>
      </c>
      <c r="AA139" s="17" t="str">
        <f aca="false">IF((E139="g"),H139," ")</f>
        <v> </v>
      </c>
      <c r="AB139" s="17" t="str">
        <f aca="false">IF((E139="h"),H139," ")</f>
        <v> </v>
      </c>
      <c r="AC139" s="30" t="str">
        <f aca="false">IF((E139="v"),H139," ")</f>
        <v> </v>
      </c>
      <c r="AD139" s="30" t="str">
        <f aca="false">IF((E139="n"),H139," ")</f>
        <v> </v>
      </c>
      <c r="AE139" s="17" t="str">
        <f aca="false">IF((E139="f"),H139," ")</f>
        <v> </v>
      </c>
      <c r="AF139" s="17" t="str">
        <f aca="false">IF((E139="l"),H139," ")</f>
        <v> </v>
      </c>
      <c r="AG139" s="17" t="str">
        <f aca="false">IF((E139="y"),H139," ")</f>
        <v> </v>
      </c>
      <c r="AH139" s="17" t="str">
        <f aca="false">IF((E139="z"),H139," ")</f>
        <v> </v>
      </c>
      <c r="AI139" s="17" t="str">
        <f aca="false">IF((E139="fa"),H139," ")</f>
        <v> </v>
      </c>
      <c r="AJ139" s="17" t="str">
        <f aca="false">IF((E139="e"),H139," ")</f>
        <v> </v>
      </c>
    </row>
    <row r="140" customFormat="false" ht="12" hidden="false" customHeight="false" outlineLevel="0" collapsed="false">
      <c r="A140" s="28"/>
      <c r="E140" s="2" t="str">
        <f aca="false">IF((F140&lt;&gt;0),"Enter Letter"," ")</f>
        <v> </v>
      </c>
      <c r="F140" s="30"/>
      <c r="G140" s="6" t="str">
        <f aca="false">IF(F140&lt;&gt;0,F140*G$2/(100+G$2)," ")</f>
        <v> </v>
      </c>
      <c r="H140" s="6" t="str">
        <f aca="false">IF((F140&lt;&gt;0),F140-G140," ")</f>
        <v> </v>
      </c>
      <c r="I140" s="5"/>
      <c r="L140" s="7" t="str">
        <f aca="false">IF(F140&lt;&gt;0,F140-K140," ")</f>
        <v> </v>
      </c>
      <c r="M140" s="8" t="str">
        <f aca="false">IF((F140-K140)&lt;&gt;0,M$1-A140," ")</f>
        <v> </v>
      </c>
      <c r="N140" s="5"/>
      <c r="O140" s="17" t="str">
        <f aca="false">IF((E140="s"),H140," ")</f>
        <v> </v>
      </c>
      <c r="P140" s="17" t="str">
        <f aca="false">IF((E140="c"),H140," ")</f>
        <v> </v>
      </c>
      <c r="Q140" s="17" t="str">
        <f aca="false">IF((E140="o"),H140," ")</f>
        <v> </v>
      </c>
      <c r="R140" s="17" t="str">
        <f aca="false">IF((E140="d"),H140," ")</f>
        <v> </v>
      </c>
      <c r="S140" s="17" t="str">
        <f aca="false">IF((E140="w"),H140," ")</f>
        <v> </v>
      </c>
      <c r="T140" s="17" t="str">
        <f aca="false">IF((E140="r"),H140," ")</f>
        <v> </v>
      </c>
      <c r="U140" s="17" t="str">
        <f aca="false">IF((E140="p"),H140," ")</f>
        <v> </v>
      </c>
      <c r="V140" s="17" t="str">
        <f aca="false">IF((E140="t"),H140," ")</f>
        <v> </v>
      </c>
      <c r="W140" s="17" t="str">
        <f aca="false">IF((E140="q"),H140," ")</f>
        <v> </v>
      </c>
      <c r="X140" s="17" t="str">
        <f aca="false">IF((E140="m"),H140," ")</f>
        <v> </v>
      </c>
      <c r="Y140" s="17" t="str">
        <f aca="false">IF((E140="u"),H140," ")</f>
        <v> </v>
      </c>
      <c r="Z140" s="17" t="str">
        <f aca="false">IF((E140="a"),H140," ")</f>
        <v> </v>
      </c>
      <c r="AA140" s="17" t="str">
        <f aca="false">IF((E140="g"),H140," ")</f>
        <v> </v>
      </c>
      <c r="AB140" s="17" t="str">
        <f aca="false">IF((E140="h"),H140," ")</f>
        <v> </v>
      </c>
      <c r="AC140" s="30" t="str">
        <f aca="false">IF((E140="v"),H140," ")</f>
        <v> </v>
      </c>
      <c r="AD140" s="30" t="str">
        <f aca="false">IF((E140="n"),H140," ")</f>
        <v> </v>
      </c>
      <c r="AE140" s="17" t="str">
        <f aca="false">IF((E140="f"),H140," ")</f>
        <v> </v>
      </c>
      <c r="AF140" s="17" t="str">
        <f aca="false">IF((E140="l"),H140," ")</f>
        <v> </v>
      </c>
      <c r="AG140" s="17" t="str">
        <f aca="false">IF((E140="y"),H140," ")</f>
        <v> </v>
      </c>
      <c r="AH140" s="17" t="str">
        <f aca="false">IF((E140="z"),H140," ")</f>
        <v> </v>
      </c>
      <c r="AI140" s="17" t="str">
        <f aca="false">IF((E140="fa"),H140," ")</f>
        <v> </v>
      </c>
      <c r="AJ140" s="17" t="str">
        <f aca="false">IF((E140="e"),H140," ")</f>
        <v> </v>
      </c>
    </row>
    <row r="141" customFormat="false" ht="12" hidden="false" customHeight="false" outlineLevel="0" collapsed="false">
      <c r="A141" s="28"/>
      <c r="E141" s="2" t="str">
        <f aca="false">IF((F141&lt;&gt;0),"Enter Letter"," ")</f>
        <v> </v>
      </c>
      <c r="F141" s="30"/>
      <c r="G141" s="6" t="str">
        <f aca="false">IF(F141&lt;&gt;0,F141*G$2/(100+G$2)," ")</f>
        <v> </v>
      </c>
      <c r="H141" s="6" t="str">
        <f aca="false">IF((F141&lt;&gt;0),F141-G141," ")</f>
        <v> </v>
      </c>
      <c r="I141" s="5"/>
      <c r="L141" s="7" t="str">
        <f aca="false">IF(F141&lt;&gt;0,F141-K141," ")</f>
        <v> </v>
      </c>
      <c r="M141" s="8" t="str">
        <f aca="false">IF((F141-K141)&lt;&gt;0,M$1-A141," ")</f>
        <v> </v>
      </c>
      <c r="N141" s="5"/>
      <c r="O141" s="17" t="str">
        <f aca="false">IF((E141="s"),H141," ")</f>
        <v> </v>
      </c>
      <c r="P141" s="17" t="str">
        <f aca="false">IF((E141="c"),H141," ")</f>
        <v> </v>
      </c>
      <c r="Q141" s="17" t="str">
        <f aca="false">IF((E141="o"),H141," ")</f>
        <v> </v>
      </c>
      <c r="R141" s="17" t="str">
        <f aca="false">IF((E141="d"),H141," ")</f>
        <v> </v>
      </c>
      <c r="S141" s="17" t="str">
        <f aca="false">IF((E141="w"),H141," ")</f>
        <v> </v>
      </c>
      <c r="T141" s="17" t="str">
        <f aca="false">IF((E141="r"),H141," ")</f>
        <v> </v>
      </c>
      <c r="U141" s="17" t="str">
        <f aca="false">IF((E141="p"),H141," ")</f>
        <v> </v>
      </c>
      <c r="V141" s="17" t="str">
        <f aca="false">IF((E141="t"),H141," ")</f>
        <v> </v>
      </c>
      <c r="W141" s="17" t="str">
        <f aca="false">IF((E141="q"),H141," ")</f>
        <v> </v>
      </c>
      <c r="X141" s="17" t="str">
        <f aca="false">IF((E141="m"),H141," ")</f>
        <v> </v>
      </c>
      <c r="Y141" s="17" t="str">
        <f aca="false">IF((E141="u"),H141," ")</f>
        <v> </v>
      </c>
      <c r="Z141" s="17" t="str">
        <f aca="false">IF((E141="a"),H141," ")</f>
        <v> </v>
      </c>
      <c r="AA141" s="17" t="str">
        <f aca="false">IF((E141="g"),H141," ")</f>
        <v> </v>
      </c>
      <c r="AB141" s="17" t="str">
        <f aca="false">IF((E141="h"),H141," ")</f>
        <v> </v>
      </c>
      <c r="AC141" s="30" t="str">
        <f aca="false">IF((E141="v"),H141," ")</f>
        <v> </v>
      </c>
      <c r="AD141" s="30" t="str">
        <f aca="false">IF((E141="n"),H141," ")</f>
        <v> </v>
      </c>
      <c r="AE141" s="17" t="str">
        <f aca="false">IF((E141="f"),H141," ")</f>
        <v> </v>
      </c>
      <c r="AF141" s="17" t="str">
        <f aca="false">IF((E141="l"),H141," ")</f>
        <v> </v>
      </c>
      <c r="AG141" s="17" t="str">
        <f aca="false">IF((E141="y"),H141," ")</f>
        <v> </v>
      </c>
      <c r="AH141" s="17" t="str">
        <f aca="false">IF((E141="z"),H141," ")</f>
        <v> </v>
      </c>
      <c r="AI141" s="17" t="str">
        <f aca="false">IF((E141="fa"),H141," ")</f>
        <v> </v>
      </c>
      <c r="AJ141" s="17" t="str">
        <f aca="false">IF((E141="e"),H141," ")</f>
        <v> </v>
      </c>
    </row>
    <row r="142" customFormat="false" ht="12" hidden="false" customHeight="false" outlineLevel="0" collapsed="false">
      <c r="A142" s="28"/>
      <c r="E142" s="2" t="str">
        <f aca="false">IF((F142&lt;&gt;0),"Enter Letter"," ")</f>
        <v> </v>
      </c>
      <c r="F142" s="30"/>
      <c r="G142" s="6" t="str">
        <f aca="false">IF(F142&lt;&gt;0,F142*G$2/(100+G$2)," ")</f>
        <v> </v>
      </c>
      <c r="H142" s="6" t="str">
        <f aca="false">IF((F142&lt;&gt;0),F142-G142," ")</f>
        <v> </v>
      </c>
      <c r="I142" s="5"/>
      <c r="L142" s="7" t="str">
        <f aca="false">IF(F142&lt;&gt;0,F142-K142," ")</f>
        <v> </v>
      </c>
      <c r="M142" s="8" t="str">
        <f aca="false">IF((F142-K142)&lt;&gt;0,M$1-A142," ")</f>
        <v> </v>
      </c>
      <c r="N142" s="5"/>
      <c r="O142" s="17" t="str">
        <f aca="false">IF((E142="s"),H142," ")</f>
        <v> </v>
      </c>
      <c r="P142" s="17" t="str">
        <f aca="false">IF((E142="c"),H142," ")</f>
        <v> </v>
      </c>
      <c r="Q142" s="17" t="str">
        <f aca="false">IF((E142="o"),H142," ")</f>
        <v> </v>
      </c>
      <c r="R142" s="17" t="str">
        <f aca="false">IF((E142="d"),H142," ")</f>
        <v> </v>
      </c>
      <c r="S142" s="17" t="str">
        <f aca="false">IF((E142="w"),H142," ")</f>
        <v> </v>
      </c>
      <c r="T142" s="17" t="str">
        <f aca="false">IF((E142="r"),H142," ")</f>
        <v> </v>
      </c>
      <c r="U142" s="17" t="str">
        <f aca="false">IF((E142="p"),H142," ")</f>
        <v> </v>
      </c>
      <c r="V142" s="17" t="str">
        <f aca="false">IF((E142="t"),H142," ")</f>
        <v> </v>
      </c>
      <c r="W142" s="17" t="str">
        <f aca="false">IF((E142="q"),H142," ")</f>
        <v> </v>
      </c>
      <c r="X142" s="17" t="str">
        <f aca="false">IF((E142="m"),H142," ")</f>
        <v> </v>
      </c>
      <c r="Y142" s="17" t="str">
        <f aca="false">IF((E142="u"),H142," ")</f>
        <v> </v>
      </c>
      <c r="Z142" s="17" t="str">
        <f aca="false">IF((E142="a"),H142," ")</f>
        <v> </v>
      </c>
      <c r="AA142" s="17" t="str">
        <f aca="false">IF((E142="g"),H142," ")</f>
        <v> </v>
      </c>
      <c r="AB142" s="17" t="str">
        <f aca="false">IF((E142="h"),H142," ")</f>
        <v> </v>
      </c>
      <c r="AC142" s="30" t="str">
        <f aca="false">IF((E142="v"),H142," ")</f>
        <v> </v>
      </c>
      <c r="AD142" s="30" t="str">
        <f aca="false">IF((E142="n"),H142," ")</f>
        <v> </v>
      </c>
      <c r="AE142" s="17" t="str">
        <f aca="false">IF((E142="f"),H142," ")</f>
        <v> </v>
      </c>
      <c r="AF142" s="17" t="str">
        <f aca="false">IF((E142="l"),H142," ")</f>
        <v> </v>
      </c>
      <c r="AG142" s="17" t="str">
        <f aca="false">IF((E142="y"),H142," ")</f>
        <v> </v>
      </c>
      <c r="AH142" s="17" t="str">
        <f aca="false">IF((E142="z"),H142," ")</f>
        <v> </v>
      </c>
      <c r="AI142" s="17" t="str">
        <f aca="false">IF((E142="fa"),H142," ")</f>
        <v> </v>
      </c>
      <c r="AJ142" s="17" t="str">
        <f aca="false">IF((E142="e"),H142," ")</f>
        <v> </v>
      </c>
    </row>
    <row r="143" customFormat="false" ht="12" hidden="false" customHeight="false" outlineLevel="0" collapsed="false">
      <c r="A143" s="28"/>
      <c r="E143" s="2" t="str">
        <f aca="false">IF((F143&lt;&gt;0),"Enter Letter"," ")</f>
        <v> </v>
      </c>
      <c r="F143" s="30"/>
      <c r="G143" s="6" t="str">
        <f aca="false">IF(F143&lt;&gt;0,F143*G$2/(100+G$2)," ")</f>
        <v> </v>
      </c>
      <c r="H143" s="6" t="str">
        <f aca="false">IF((F143&lt;&gt;0),F143-G143," ")</f>
        <v> </v>
      </c>
      <c r="I143" s="5"/>
      <c r="L143" s="7" t="str">
        <f aca="false">IF(F143&lt;&gt;0,F143-K143," ")</f>
        <v> </v>
      </c>
      <c r="M143" s="8" t="str">
        <f aca="false">IF((F143-K143)&lt;&gt;0,M$1-A143," ")</f>
        <v> </v>
      </c>
      <c r="N143" s="5"/>
      <c r="O143" s="17" t="str">
        <f aca="false">IF((E143="s"),H143," ")</f>
        <v> </v>
      </c>
      <c r="P143" s="17" t="str">
        <f aca="false">IF((E143="c"),H143," ")</f>
        <v> </v>
      </c>
      <c r="Q143" s="17" t="str">
        <f aca="false">IF((E143="o"),H143," ")</f>
        <v> </v>
      </c>
      <c r="R143" s="17" t="str">
        <f aca="false">IF((E143="d"),H143," ")</f>
        <v> </v>
      </c>
      <c r="S143" s="17" t="str">
        <f aca="false">IF((E143="w"),H143," ")</f>
        <v> </v>
      </c>
      <c r="T143" s="17" t="str">
        <f aca="false">IF((E143="r"),H143," ")</f>
        <v> </v>
      </c>
      <c r="U143" s="17" t="str">
        <f aca="false">IF((E143="p"),H143," ")</f>
        <v> </v>
      </c>
      <c r="V143" s="17" t="str">
        <f aca="false">IF((E143="t"),H143," ")</f>
        <v> </v>
      </c>
      <c r="W143" s="17" t="str">
        <f aca="false">IF((E143="q"),H143," ")</f>
        <v> </v>
      </c>
      <c r="X143" s="17" t="str">
        <f aca="false">IF((E143="m"),H143," ")</f>
        <v> </v>
      </c>
      <c r="Y143" s="17" t="str">
        <f aca="false">IF((E143="u"),H143," ")</f>
        <v> </v>
      </c>
      <c r="Z143" s="17" t="str">
        <f aca="false">IF((E143="a"),H143," ")</f>
        <v> </v>
      </c>
      <c r="AA143" s="17" t="str">
        <f aca="false">IF((E143="g"),H143," ")</f>
        <v> </v>
      </c>
      <c r="AB143" s="17" t="str">
        <f aca="false">IF((E143="h"),H143," ")</f>
        <v> </v>
      </c>
      <c r="AC143" s="30" t="str">
        <f aca="false">IF((E143="v"),H143," ")</f>
        <v> </v>
      </c>
      <c r="AD143" s="30" t="str">
        <f aca="false">IF((E143="n"),H143," ")</f>
        <v> </v>
      </c>
      <c r="AE143" s="17" t="str">
        <f aca="false">IF((E143="f"),H143," ")</f>
        <v> </v>
      </c>
      <c r="AF143" s="17" t="str">
        <f aca="false">IF((E143="l"),H143," ")</f>
        <v> </v>
      </c>
      <c r="AG143" s="17" t="str">
        <f aca="false">IF((E143="y"),H143," ")</f>
        <v> </v>
      </c>
      <c r="AH143" s="17" t="str">
        <f aca="false">IF((E143="z"),H143," ")</f>
        <v> </v>
      </c>
      <c r="AI143" s="17" t="str">
        <f aca="false">IF((E143="fa"),H143," ")</f>
        <v> </v>
      </c>
      <c r="AJ143" s="17" t="str">
        <f aca="false">IF((E143="e"),H143," ")</f>
        <v> </v>
      </c>
    </row>
    <row r="144" customFormat="false" ht="12" hidden="false" customHeight="false" outlineLevel="0" collapsed="false">
      <c r="A144" s="28"/>
      <c r="E144" s="2" t="str">
        <f aca="false">IF((F144&lt;&gt;0),"Enter Letter"," ")</f>
        <v> </v>
      </c>
      <c r="F144" s="30"/>
      <c r="G144" s="6" t="str">
        <f aca="false">IF(F144&lt;&gt;0,F144*G$2/(100+G$2)," ")</f>
        <v> </v>
      </c>
      <c r="H144" s="6" t="str">
        <f aca="false">IF((F144&lt;&gt;0),F144-G144," ")</f>
        <v> </v>
      </c>
      <c r="I144" s="5"/>
      <c r="L144" s="7" t="str">
        <f aca="false">IF(F144&lt;&gt;0,F144-K144," ")</f>
        <v> </v>
      </c>
      <c r="M144" s="8" t="str">
        <f aca="false">IF((F144-K144)&lt;&gt;0,M$1-A144," ")</f>
        <v> </v>
      </c>
      <c r="N144" s="5"/>
      <c r="O144" s="17" t="str">
        <f aca="false">IF((E144="s"),H144," ")</f>
        <v> </v>
      </c>
      <c r="P144" s="17" t="str">
        <f aca="false">IF((E144="c"),H144," ")</f>
        <v> </v>
      </c>
      <c r="Q144" s="17" t="str">
        <f aca="false">IF((E144="o"),H144," ")</f>
        <v> </v>
      </c>
      <c r="R144" s="17" t="str">
        <f aca="false">IF((E144="d"),H144," ")</f>
        <v> </v>
      </c>
      <c r="S144" s="17" t="str">
        <f aca="false">IF((E144="w"),H144," ")</f>
        <v> </v>
      </c>
      <c r="T144" s="17" t="str">
        <f aca="false">IF((E144="r"),H144," ")</f>
        <v> </v>
      </c>
      <c r="U144" s="17" t="str">
        <f aca="false">IF((E144="p"),H144," ")</f>
        <v> </v>
      </c>
      <c r="V144" s="17" t="str">
        <f aca="false">IF((E144="t"),H144," ")</f>
        <v> </v>
      </c>
      <c r="W144" s="17" t="str">
        <f aca="false">IF((E144="q"),H144," ")</f>
        <v> </v>
      </c>
      <c r="X144" s="17" t="str">
        <f aca="false">IF((E144="m"),H144," ")</f>
        <v> </v>
      </c>
      <c r="Y144" s="17" t="str">
        <f aca="false">IF((E144="u"),H144," ")</f>
        <v> </v>
      </c>
      <c r="Z144" s="17" t="str">
        <f aca="false">IF((E144="a"),H144," ")</f>
        <v> </v>
      </c>
      <c r="AA144" s="17" t="str">
        <f aca="false">IF((E144="g"),H144," ")</f>
        <v> </v>
      </c>
      <c r="AB144" s="17" t="str">
        <f aca="false">IF((E144="h"),H144," ")</f>
        <v> </v>
      </c>
      <c r="AC144" s="30" t="str">
        <f aca="false">IF((E144="v"),H144," ")</f>
        <v> </v>
      </c>
      <c r="AD144" s="30" t="str">
        <f aca="false">IF((E144="n"),H144," ")</f>
        <v> </v>
      </c>
      <c r="AE144" s="17" t="str">
        <f aca="false">IF((E144="f"),H144," ")</f>
        <v> </v>
      </c>
      <c r="AF144" s="17" t="str">
        <f aca="false">IF((E144="l"),H144," ")</f>
        <v> </v>
      </c>
      <c r="AG144" s="17" t="str">
        <f aca="false">IF((E144="y"),H144," ")</f>
        <v> </v>
      </c>
      <c r="AH144" s="17" t="str">
        <f aca="false">IF((E144="z"),H144," ")</f>
        <v> </v>
      </c>
      <c r="AI144" s="17" t="str">
        <f aca="false">IF((E144="fa"),H144," ")</f>
        <v> </v>
      </c>
      <c r="AJ144" s="17" t="str">
        <f aca="false">IF((E144="e"),H144," ")</f>
        <v> </v>
      </c>
    </row>
    <row r="145" customFormat="false" ht="12" hidden="false" customHeight="false" outlineLevel="0" collapsed="false">
      <c r="A145" s="28"/>
      <c r="E145" s="2" t="str">
        <f aca="false">IF((F145&lt;&gt;0),"Enter Letter"," ")</f>
        <v> </v>
      </c>
      <c r="F145" s="30"/>
      <c r="G145" s="6" t="str">
        <f aca="false">IF(F145&lt;&gt;0,F145*G$2/(100+G$2)," ")</f>
        <v> </v>
      </c>
      <c r="H145" s="6" t="str">
        <f aca="false">IF((F145&lt;&gt;0),F145-G145," ")</f>
        <v> </v>
      </c>
      <c r="I145" s="5"/>
      <c r="L145" s="7" t="str">
        <f aca="false">IF(F145&lt;&gt;0,F145-K145," ")</f>
        <v> </v>
      </c>
      <c r="M145" s="8" t="str">
        <f aca="false">IF((F145-K145)&lt;&gt;0,M$1-A145," ")</f>
        <v> </v>
      </c>
      <c r="N145" s="5"/>
      <c r="O145" s="17" t="str">
        <f aca="false">IF((E145="s"),H145," ")</f>
        <v> </v>
      </c>
      <c r="P145" s="17" t="str">
        <f aca="false">IF((E145="c"),H145," ")</f>
        <v> </v>
      </c>
      <c r="Q145" s="17" t="str">
        <f aca="false">IF((E145="o"),H145," ")</f>
        <v> </v>
      </c>
      <c r="R145" s="17" t="str">
        <f aca="false">IF((E145="d"),H145," ")</f>
        <v> </v>
      </c>
      <c r="S145" s="17" t="str">
        <f aca="false">IF((E145="w"),H145," ")</f>
        <v> </v>
      </c>
      <c r="T145" s="17" t="str">
        <f aca="false">IF((E145="r"),H145," ")</f>
        <v> </v>
      </c>
      <c r="U145" s="17" t="str">
        <f aca="false">IF((E145="p"),H145," ")</f>
        <v> </v>
      </c>
      <c r="V145" s="17" t="str">
        <f aca="false">IF((E145="t"),H145," ")</f>
        <v> </v>
      </c>
      <c r="W145" s="17" t="str">
        <f aca="false">IF((E145="q"),H145," ")</f>
        <v> </v>
      </c>
      <c r="X145" s="17" t="str">
        <f aca="false">IF((E145="m"),H145," ")</f>
        <v> </v>
      </c>
      <c r="Y145" s="17" t="str">
        <f aca="false">IF((E145="u"),H145," ")</f>
        <v> </v>
      </c>
      <c r="Z145" s="17" t="str">
        <f aca="false">IF((E145="a"),H145," ")</f>
        <v> </v>
      </c>
      <c r="AA145" s="17" t="str">
        <f aca="false">IF((E145="g"),H145," ")</f>
        <v> </v>
      </c>
      <c r="AB145" s="17" t="str">
        <f aca="false">IF((E145="h"),H145," ")</f>
        <v> </v>
      </c>
      <c r="AC145" s="30" t="str">
        <f aca="false">IF((E145="v"),H145," ")</f>
        <v> </v>
      </c>
      <c r="AD145" s="30" t="str">
        <f aca="false">IF((E145="n"),H145," ")</f>
        <v> </v>
      </c>
      <c r="AE145" s="17" t="str">
        <f aca="false">IF((E145="f"),H145," ")</f>
        <v> </v>
      </c>
      <c r="AF145" s="17" t="str">
        <f aca="false">IF((E145="l"),H145," ")</f>
        <v> </v>
      </c>
      <c r="AG145" s="17" t="str">
        <f aca="false">IF((E145="y"),H145," ")</f>
        <v> </v>
      </c>
      <c r="AH145" s="17" t="str">
        <f aca="false">IF((E145="z"),H145," ")</f>
        <v> </v>
      </c>
      <c r="AI145" s="17" t="str">
        <f aca="false">IF((E145="fa"),H145," ")</f>
        <v> </v>
      </c>
      <c r="AJ145" s="17" t="str">
        <f aca="false">IF((E145="e"),H145," ")</f>
        <v> </v>
      </c>
    </row>
    <row r="146" customFormat="false" ht="12" hidden="false" customHeight="false" outlineLevel="0" collapsed="false">
      <c r="A146" s="28"/>
      <c r="E146" s="2" t="str">
        <f aca="false">IF((F146&lt;&gt;0),"Enter Letter"," ")</f>
        <v> </v>
      </c>
      <c r="F146" s="30"/>
      <c r="G146" s="6" t="str">
        <f aca="false">IF(F146&lt;&gt;0,F146*G$2/(100+G$2)," ")</f>
        <v> </v>
      </c>
      <c r="H146" s="6" t="str">
        <f aca="false">IF((F146&lt;&gt;0),F146-G146," ")</f>
        <v> </v>
      </c>
      <c r="I146" s="5"/>
      <c r="L146" s="7" t="str">
        <f aca="false">IF(F146&lt;&gt;0,F146-K146," ")</f>
        <v> </v>
      </c>
      <c r="M146" s="8" t="str">
        <f aca="false">IF((F146-K146)&lt;&gt;0,M$1-A146," ")</f>
        <v> </v>
      </c>
      <c r="N146" s="5"/>
      <c r="O146" s="17" t="str">
        <f aca="false">IF((E146="s"),H146," ")</f>
        <v> </v>
      </c>
      <c r="P146" s="17" t="str">
        <f aca="false">IF((E146="c"),H146," ")</f>
        <v> </v>
      </c>
      <c r="Q146" s="17" t="str">
        <f aca="false">IF((E146="o"),H146," ")</f>
        <v> </v>
      </c>
      <c r="R146" s="17" t="str">
        <f aca="false">IF((E146="d"),H146," ")</f>
        <v> </v>
      </c>
      <c r="S146" s="17" t="str">
        <f aca="false">IF((E146="w"),H146," ")</f>
        <v> </v>
      </c>
      <c r="T146" s="17" t="str">
        <f aca="false">IF((E146="r"),H146," ")</f>
        <v> </v>
      </c>
      <c r="U146" s="17" t="str">
        <f aca="false">IF((E146="p"),H146," ")</f>
        <v> </v>
      </c>
      <c r="V146" s="17" t="str">
        <f aca="false">IF((E146="t"),H146," ")</f>
        <v> </v>
      </c>
      <c r="W146" s="17" t="str">
        <f aca="false">IF((E146="q"),H146," ")</f>
        <v> </v>
      </c>
      <c r="X146" s="17" t="str">
        <f aca="false">IF((E146="m"),H146," ")</f>
        <v> </v>
      </c>
      <c r="Y146" s="17" t="str">
        <f aca="false">IF((E146="u"),H146," ")</f>
        <v> </v>
      </c>
      <c r="Z146" s="17" t="str">
        <f aca="false">IF((E146="a"),H146," ")</f>
        <v> </v>
      </c>
      <c r="AA146" s="17" t="str">
        <f aca="false">IF((E146="g"),H146," ")</f>
        <v> </v>
      </c>
      <c r="AB146" s="17" t="str">
        <f aca="false">IF((E146="h"),H146," ")</f>
        <v> </v>
      </c>
      <c r="AC146" s="30" t="str">
        <f aca="false">IF((E146="v"),H146," ")</f>
        <v> </v>
      </c>
      <c r="AD146" s="30" t="str">
        <f aca="false">IF((E146="n"),H146," ")</f>
        <v> </v>
      </c>
      <c r="AE146" s="17" t="str">
        <f aca="false">IF((E146="f"),H146," ")</f>
        <v> </v>
      </c>
      <c r="AF146" s="17" t="str">
        <f aca="false">IF((E146="l"),H146," ")</f>
        <v> </v>
      </c>
      <c r="AG146" s="17" t="str">
        <f aca="false">IF((E146="y"),H146," ")</f>
        <v> </v>
      </c>
      <c r="AH146" s="17" t="str">
        <f aca="false">IF((E146="z"),H146," ")</f>
        <v> </v>
      </c>
      <c r="AI146" s="17" t="str">
        <f aca="false">IF((E146="fa"),H146," ")</f>
        <v> </v>
      </c>
      <c r="AJ146" s="17" t="str">
        <f aca="false">IF((E146="e"),H146," ")</f>
        <v> </v>
      </c>
    </row>
    <row r="147" customFormat="false" ht="12" hidden="false" customHeight="false" outlineLevel="0" collapsed="false">
      <c r="A147" s="28"/>
      <c r="E147" s="2" t="str">
        <f aca="false">IF((F147&lt;&gt;0),"Enter Letter"," ")</f>
        <v> </v>
      </c>
      <c r="F147" s="30"/>
      <c r="G147" s="6" t="str">
        <f aca="false">IF(F147&lt;&gt;0,F147*G$2/(100+G$2)," ")</f>
        <v> </v>
      </c>
      <c r="H147" s="6" t="str">
        <f aca="false">IF((F147&lt;&gt;0),F147-G147," ")</f>
        <v> </v>
      </c>
      <c r="I147" s="5"/>
      <c r="L147" s="7" t="str">
        <f aca="false">IF(F147&lt;&gt;0,F147-K147," ")</f>
        <v> </v>
      </c>
      <c r="M147" s="8" t="str">
        <f aca="false">IF((F147-K147)&lt;&gt;0,M$1-A147," ")</f>
        <v> </v>
      </c>
      <c r="N147" s="5"/>
      <c r="O147" s="17" t="str">
        <f aca="false">IF((E147="s"),H147," ")</f>
        <v> </v>
      </c>
      <c r="P147" s="17" t="str">
        <f aca="false">IF((E147="c"),H147," ")</f>
        <v> </v>
      </c>
      <c r="Q147" s="17" t="str">
        <f aca="false">IF((E147="o"),H147," ")</f>
        <v> </v>
      </c>
      <c r="R147" s="17" t="str">
        <f aca="false">IF((E147="d"),H147," ")</f>
        <v> </v>
      </c>
      <c r="S147" s="17" t="str">
        <f aca="false">IF((E147="w"),H147," ")</f>
        <v> </v>
      </c>
      <c r="T147" s="17" t="str">
        <f aca="false">IF((E147="r"),H147," ")</f>
        <v> </v>
      </c>
      <c r="U147" s="17" t="str">
        <f aca="false">IF((E147="p"),H147," ")</f>
        <v> </v>
      </c>
      <c r="V147" s="17" t="str">
        <f aca="false">IF((E147="t"),H147," ")</f>
        <v> </v>
      </c>
      <c r="W147" s="17" t="str">
        <f aca="false">IF((E147="q"),H147," ")</f>
        <v> </v>
      </c>
      <c r="X147" s="17" t="str">
        <f aca="false">IF((E147="m"),H147," ")</f>
        <v> </v>
      </c>
      <c r="Y147" s="17" t="str">
        <f aca="false">IF((E147="u"),H147," ")</f>
        <v> </v>
      </c>
      <c r="Z147" s="17" t="str">
        <f aca="false">IF((E147="a"),H147," ")</f>
        <v> </v>
      </c>
      <c r="AA147" s="17" t="str">
        <f aca="false">IF((E147="g"),H147," ")</f>
        <v> </v>
      </c>
      <c r="AB147" s="17" t="str">
        <f aca="false">IF((E147="h"),H147," ")</f>
        <v> </v>
      </c>
      <c r="AC147" s="30" t="str">
        <f aca="false">IF((E147="v"),H147," ")</f>
        <v> </v>
      </c>
      <c r="AD147" s="30" t="str">
        <f aca="false">IF((E147="n"),H147," ")</f>
        <v> </v>
      </c>
      <c r="AE147" s="17" t="str">
        <f aca="false">IF((E147="f"),H147," ")</f>
        <v> </v>
      </c>
      <c r="AF147" s="17" t="str">
        <f aca="false">IF((E147="l"),H147," ")</f>
        <v> </v>
      </c>
      <c r="AG147" s="17" t="str">
        <f aca="false">IF((E147="y"),H147," ")</f>
        <v> </v>
      </c>
      <c r="AH147" s="17" t="str">
        <f aca="false">IF((E147="z"),H147," ")</f>
        <v> </v>
      </c>
      <c r="AI147" s="17" t="str">
        <f aca="false">IF((E147="fa"),H147," ")</f>
        <v> </v>
      </c>
      <c r="AJ147" s="17" t="str">
        <f aca="false">IF((E147="e"),H147," ")</f>
        <v> </v>
      </c>
    </row>
    <row r="148" customFormat="false" ht="12" hidden="false" customHeight="false" outlineLevel="0" collapsed="false">
      <c r="A148" s="28"/>
      <c r="E148" s="2" t="str">
        <f aca="false">IF((F148&lt;&gt;0),"Enter Letter"," ")</f>
        <v> </v>
      </c>
      <c r="F148" s="30"/>
      <c r="G148" s="6" t="str">
        <f aca="false">IF(F148&lt;&gt;0,F148*G$2/(100+G$2)," ")</f>
        <v> </v>
      </c>
      <c r="H148" s="6" t="str">
        <f aca="false">IF((F148&lt;&gt;0),F148-G148," ")</f>
        <v> </v>
      </c>
      <c r="I148" s="5"/>
      <c r="L148" s="7" t="str">
        <f aca="false">IF(F148&lt;&gt;0,F148-K148," ")</f>
        <v> </v>
      </c>
      <c r="M148" s="8" t="str">
        <f aca="false">IF((F148-K148)&lt;&gt;0,M$1-A148," ")</f>
        <v> </v>
      </c>
      <c r="N148" s="5"/>
      <c r="O148" s="17" t="str">
        <f aca="false">IF((E148="s"),H148," ")</f>
        <v> </v>
      </c>
      <c r="P148" s="17" t="str">
        <f aca="false">IF((E148="c"),H148," ")</f>
        <v> </v>
      </c>
      <c r="Q148" s="17" t="str">
        <f aca="false">IF((E148="o"),H148," ")</f>
        <v> </v>
      </c>
      <c r="R148" s="17" t="str">
        <f aca="false">IF((E148="d"),H148," ")</f>
        <v> </v>
      </c>
      <c r="S148" s="17" t="str">
        <f aca="false">IF((E148="w"),H148," ")</f>
        <v> </v>
      </c>
      <c r="T148" s="17" t="str">
        <f aca="false">IF((E148="r"),H148," ")</f>
        <v> </v>
      </c>
      <c r="U148" s="17" t="str">
        <f aca="false">IF((E148="p"),H148," ")</f>
        <v> </v>
      </c>
      <c r="V148" s="17" t="str">
        <f aca="false">IF((E148="t"),H148," ")</f>
        <v> </v>
      </c>
      <c r="W148" s="17" t="str">
        <f aca="false">IF((E148="q"),H148," ")</f>
        <v> </v>
      </c>
      <c r="X148" s="17" t="str">
        <f aca="false">IF((E148="m"),H148," ")</f>
        <v> </v>
      </c>
      <c r="Y148" s="17" t="str">
        <f aca="false">IF((E148="u"),H148," ")</f>
        <v> </v>
      </c>
      <c r="Z148" s="17" t="str">
        <f aca="false">IF((E148="a"),H148," ")</f>
        <v> </v>
      </c>
      <c r="AA148" s="17" t="str">
        <f aca="false">IF((E148="g"),H148," ")</f>
        <v> </v>
      </c>
      <c r="AB148" s="17" t="str">
        <f aca="false">IF((E148="h"),H148," ")</f>
        <v> </v>
      </c>
      <c r="AC148" s="30" t="str">
        <f aca="false">IF((E148="v"),H148," ")</f>
        <v> </v>
      </c>
      <c r="AD148" s="30" t="str">
        <f aca="false">IF((E148="n"),H148," ")</f>
        <v> </v>
      </c>
      <c r="AE148" s="17" t="str">
        <f aca="false">IF((E148="f"),H148," ")</f>
        <v> </v>
      </c>
      <c r="AF148" s="17" t="str">
        <f aca="false">IF((E148="l"),H148," ")</f>
        <v> </v>
      </c>
      <c r="AG148" s="17" t="str">
        <f aca="false">IF((E148="y"),H148," ")</f>
        <v> </v>
      </c>
      <c r="AH148" s="17" t="str">
        <f aca="false">IF((E148="z"),H148," ")</f>
        <v> </v>
      </c>
      <c r="AI148" s="17" t="str">
        <f aca="false">IF((E148="fa"),H148," ")</f>
        <v> </v>
      </c>
      <c r="AJ148" s="17" t="str">
        <f aca="false">IF((E148="e"),H148," ")</f>
        <v> </v>
      </c>
    </row>
    <row r="149" customFormat="false" ht="12" hidden="false" customHeight="false" outlineLevel="0" collapsed="false">
      <c r="A149" s="28"/>
      <c r="E149" s="2" t="str">
        <f aca="false">IF((F149&lt;&gt;0),"Enter Letter"," ")</f>
        <v> </v>
      </c>
      <c r="F149" s="30"/>
      <c r="G149" s="6" t="str">
        <f aca="false">IF(F149&lt;&gt;0,F149*G$2/(100+G$2)," ")</f>
        <v> </v>
      </c>
      <c r="H149" s="6" t="str">
        <f aca="false">IF((F149&lt;&gt;0),F149-G149," ")</f>
        <v> </v>
      </c>
      <c r="I149" s="5"/>
      <c r="L149" s="7" t="str">
        <f aca="false">IF(F149&lt;&gt;0,F149-K149," ")</f>
        <v> </v>
      </c>
      <c r="M149" s="8" t="str">
        <f aca="false">IF((F149-K149)&lt;&gt;0,M$1-A149," ")</f>
        <v> </v>
      </c>
      <c r="N149" s="5"/>
      <c r="O149" s="17" t="str">
        <f aca="false">IF((E149="s"),H149," ")</f>
        <v> </v>
      </c>
      <c r="P149" s="17" t="str">
        <f aca="false">IF((E149="c"),H149," ")</f>
        <v> </v>
      </c>
      <c r="Q149" s="17" t="str">
        <f aca="false">IF((E149="o"),H149," ")</f>
        <v> </v>
      </c>
      <c r="R149" s="17" t="str">
        <f aca="false">IF((E149="d"),H149," ")</f>
        <v> </v>
      </c>
      <c r="S149" s="17" t="str">
        <f aca="false">IF((E149="w"),H149," ")</f>
        <v> </v>
      </c>
      <c r="T149" s="17" t="str">
        <f aca="false">IF((E149="r"),H149," ")</f>
        <v> </v>
      </c>
      <c r="U149" s="17" t="str">
        <f aca="false">IF((E149="p"),H149," ")</f>
        <v> </v>
      </c>
      <c r="V149" s="17" t="str">
        <f aca="false">IF((E149="t"),H149," ")</f>
        <v> </v>
      </c>
      <c r="W149" s="17" t="str">
        <f aca="false">IF((E149="q"),H149," ")</f>
        <v> </v>
      </c>
      <c r="X149" s="17" t="str">
        <f aca="false">IF((E149="m"),H149," ")</f>
        <v> </v>
      </c>
      <c r="Y149" s="17" t="str">
        <f aca="false">IF((E149="u"),H149," ")</f>
        <v> </v>
      </c>
      <c r="Z149" s="17" t="str">
        <f aca="false">IF((E149="a"),H149," ")</f>
        <v> </v>
      </c>
      <c r="AA149" s="17" t="str">
        <f aca="false">IF((E149="g"),H149," ")</f>
        <v> </v>
      </c>
      <c r="AB149" s="17" t="str">
        <f aca="false">IF((E149="h"),H149," ")</f>
        <v> </v>
      </c>
      <c r="AC149" s="30" t="str">
        <f aca="false">IF((E149="v"),H149," ")</f>
        <v> </v>
      </c>
      <c r="AD149" s="30" t="str">
        <f aca="false">IF((E149="n"),H149," ")</f>
        <v> </v>
      </c>
      <c r="AE149" s="17" t="str">
        <f aca="false">IF((E149="f"),H149," ")</f>
        <v> </v>
      </c>
      <c r="AF149" s="17" t="str">
        <f aca="false">IF((E149="l"),H149," ")</f>
        <v> </v>
      </c>
      <c r="AG149" s="17" t="str">
        <f aca="false">IF((E149="y"),H149," ")</f>
        <v> </v>
      </c>
      <c r="AH149" s="17" t="str">
        <f aca="false">IF((E149="z"),H149," ")</f>
        <v> </v>
      </c>
      <c r="AI149" s="17" t="str">
        <f aca="false">IF((E149="fa"),H149," ")</f>
        <v> </v>
      </c>
      <c r="AJ149" s="17" t="str">
        <f aca="false">IF((E149="e"),H149," ")</f>
        <v> </v>
      </c>
    </row>
    <row r="150" customFormat="false" ht="12" hidden="false" customHeight="false" outlineLevel="0" collapsed="false">
      <c r="A150" s="28"/>
      <c r="E150" s="2" t="str">
        <f aca="false">IF((F150&lt;&gt;0),"Enter Letter"," ")</f>
        <v> </v>
      </c>
      <c r="F150" s="30"/>
      <c r="G150" s="6" t="str">
        <f aca="false">IF(F150&lt;&gt;0,F150*G$2/(100+G$2)," ")</f>
        <v> </v>
      </c>
      <c r="H150" s="6" t="str">
        <f aca="false">IF((F150&lt;&gt;0),F150-G150," ")</f>
        <v> </v>
      </c>
      <c r="I150" s="5"/>
      <c r="L150" s="7" t="str">
        <f aca="false">IF(F150&lt;&gt;0,F150-K150," ")</f>
        <v> </v>
      </c>
      <c r="M150" s="8" t="str">
        <f aca="false">IF((F150-K150)&lt;&gt;0,M$1-A150," ")</f>
        <v> </v>
      </c>
      <c r="N150" s="5"/>
      <c r="O150" s="17" t="str">
        <f aca="false">IF((E150="s"),H150," ")</f>
        <v> </v>
      </c>
      <c r="P150" s="17" t="str">
        <f aca="false">IF((E150="c"),H150," ")</f>
        <v> </v>
      </c>
      <c r="Q150" s="17" t="str">
        <f aca="false">IF((E150="o"),H150," ")</f>
        <v> </v>
      </c>
      <c r="R150" s="17" t="str">
        <f aca="false">IF((E150="d"),H150," ")</f>
        <v> </v>
      </c>
      <c r="S150" s="17" t="str">
        <f aca="false">IF((E150="w"),H150," ")</f>
        <v> </v>
      </c>
      <c r="T150" s="17" t="str">
        <f aca="false">IF((E150="r"),H150," ")</f>
        <v> </v>
      </c>
      <c r="U150" s="17" t="str">
        <f aca="false">IF((E150="p"),H150," ")</f>
        <v> </v>
      </c>
      <c r="V150" s="17" t="str">
        <f aca="false">IF((E150="t"),H150," ")</f>
        <v> </v>
      </c>
      <c r="W150" s="17" t="str">
        <f aca="false">IF((E150="q"),H150," ")</f>
        <v> </v>
      </c>
      <c r="X150" s="17" t="str">
        <f aca="false">IF((E150="m"),H150," ")</f>
        <v> </v>
      </c>
      <c r="Y150" s="17" t="str">
        <f aca="false">IF((E150="u"),H150," ")</f>
        <v> </v>
      </c>
      <c r="Z150" s="17" t="str">
        <f aca="false">IF((E150="a"),H150," ")</f>
        <v> </v>
      </c>
      <c r="AA150" s="17" t="str">
        <f aca="false">IF((E150="g"),H150," ")</f>
        <v> </v>
      </c>
      <c r="AB150" s="17" t="str">
        <f aca="false">IF((E150="h"),H150," ")</f>
        <v> </v>
      </c>
      <c r="AC150" s="30" t="str">
        <f aca="false">IF((E150="v"),H150," ")</f>
        <v> </v>
      </c>
      <c r="AD150" s="30" t="str">
        <f aca="false">IF((E150="n"),H150," ")</f>
        <v> </v>
      </c>
      <c r="AE150" s="17" t="str">
        <f aca="false">IF((E150="f"),H150," ")</f>
        <v> </v>
      </c>
      <c r="AF150" s="17" t="str">
        <f aca="false">IF((E150="l"),H150," ")</f>
        <v> </v>
      </c>
      <c r="AG150" s="17" t="str">
        <f aca="false">IF((E150="y"),H150," ")</f>
        <v> </v>
      </c>
      <c r="AH150" s="17" t="str">
        <f aca="false">IF((E150="z"),H150," ")</f>
        <v> </v>
      </c>
      <c r="AI150" s="17" t="str">
        <f aca="false">IF((E150="fa"),H150," ")</f>
        <v> </v>
      </c>
      <c r="AJ150" s="17" t="str">
        <f aca="false">IF((E150="e"),H150," ")</f>
        <v> </v>
      </c>
    </row>
    <row r="151" customFormat="false" ht="12" hidden="false" customHeight="false" outlineLevel="0" collapsed="false">
      <c r="A151" s="28"/>
      <c r="E151" s="2" t="str">
        <f aca="false">IF((F151&lt;&gt;0),"Enter Letter"," ")</f>
        <v> </v>
      </c>
      <c r="F151" s="30"/>
      <c r="G151" s="6" t="str">
        <f aca="false">IF(F151&lt;&gt;0,F151*G$2/(100+G$2)," ")</f>
        <v> </v>
      </c>
      <c r="H151" s="6" t="str">
        <f aca="false">IF((F151&lt;&gt;0),F151-G151," ")</f>
        <v> </v>
      </c>
      <c r="I151" s="5"/>
      <c r="L151" s="7" t="str">
        <f aca="false">IF(F151&lt;&gt;0,F151-K151," ")</f>
        <v> </v>
      </c>
      <c r="M151" s="8" t="str">
        <f aca="false">IF((F151-K151)&lt;&gt;0,M$1-A151," ")</f>
        <v> </v>
      </c>
      <c r="N151" s="5"/>
      <c r="O151" s="17" t="str">
        <f aca="false">IF((E151="s"),H151," ")</f>
        <v> </v>
      </c>
      <c r="P151" s="17" t="str">
        <f aca="false">IF((E151="c"),H151," ")</f>
        <v> </v>
      </c>
      <c r="Q151" s="17" t="str">
        <f aca="false">IF((E151="o"),H151," ")</f>
        <v> </v>
      </c>
      <c r="R151" s="17" t="str">
        <f aca="false">IF((E151="d"),H151," ")</f>
        <v> </v>
      </c>
      <c r="S151" s="17" t="str">
        <f aca="false">IF((E151="w"),H151," ")</f>
        <v> </v>
      </c>
      <c r="T151" s="17" t="str">
        <f aca="false">IF((E151="r"),H151," ")</f>
        <v> </v>
      </c>
      <c r="U151" s="17" t="str">
        <f aca="false">IF((E151="p"),H151," ")</f>
        <v> </v>
      </c>
      <c r="V151" s="17" t="str">
        <f aca="false">IF((E151="t"),H151," ")</f>
        <v> </v>
      </c>
      <c r="W151" s="17" t="str">
        <f aca="false">IF((E151="q"),H151," ")</f>
        <v> </v>
      </c>
      <c r="X151" s="17" t="str">
        <f aca="false">IF((E151="m"),H151," ")</f>
        <v> </v>
      </c>
      <c r="Y151" s="17" t="str">
        <f aca="false">IF((E151="u"),H151," ")</f>
        <v> </v>
      </c>
      <c r="Z151" s="17" t="str">
        <f aca="false">IF((E151="a"),H151," ")</f>
        <v> </v>
      </c>
      <c r="AA151" s="17" t="str">
        <f aca="false">IF((E151="g"),H151," ")</f>
        <v> </v>
      </c>
      <c r="AB151" s="17" t="str">
        <f aca="false">IF((E151="h"),H151," ")</f>
        <v> </v>
      </c>
      <c r="AC151" s="30" t="str">
        <f aca="false">IF((E151="v"),H151," ")</f>
        <v> </v>
      </c>
      <c r="AD151" s="30" t="str">
        <f aca="false">IF((E151="n"),H151," ")</f>
        <v> </v>
      </c>
      <c r="AE151" s="17" t="str">
        <f aca="false">IF((E151="f"),H151," ")</f>
        <v> </v>
      </c>
      <c r="AF151" s="17" t="str">
        <f aca="false">IF((E151="l"),H151," ")</f>
        <v> </v>
      </c>
      <c r="AG151" s="17" t="str">
        <f aca="false">IF((E151="y"),H151," ")</f>
        <v> </v>
      </c>
      <c r="AH151" s="17" t="str">
        <f aca="false">IF((E151="z"),H151," ")</f>
        <v> </v>
      </c>
      <c r="AI151" s="17" t="str">
        <f aca="false">IF((E151="fa"),H151," ")</f>
        <v> </v>
      </c>
      <c r="AJ151" s="17" t="str">
        <f aca="false">IF((E151="e"),H151," ")</f>
        <v> </v>
      </c>
    </row>
    <row r="152" customFormat="false" ht="12" hidden="false" customHeight="false" outlineLevel="0" collapsed="false">
      <c r="A152" s="28"/>
      <c r="E152" s="2" t="str">
        <f aca="false">IF((F152&lt;&gt;0),"Enter Letter"," ")</f>
        <v> </v>
      </c>
      <c r="F152" s="30"/>
      <c r="G152" s="6" t="str">
        <f aca="false">IF(F152&lt;&gt;0,F152*G$2/(100+G$2)," ")</f>
        <v> </v>
      </c>
      <c r="H152" s="6" t="str">
        <f aca="false">IF((F152&lt;&gt;0),F152-G152," ")</f>
        <v> </v>
      </c>
      <c r="I152" s="5"/>
      <c r="L152" s="7" t="str">
        <f aca="false">IF(F152&lt;&gt;0,F152-K152," ")</f>
        <v> </v>
      </c>
      <c r="M152" s="8" t="str">
        <f aca="false">IF((F152-K152)&lt;&gt;0,M$1-A152," ")</f>
        <v> </v>
      </c>
      <c r="N152" s="5"/>
      <c r="O152" s="17" t="str">
        <f aca="false">IF((E152="s"),H152," ")</f>
        <v> </v>
      </c>
      <c r="P152" s="17" t="str">
        <f aca="false">IF((E152="c"),H152," ")</f>
        <v> </v>
      </c>
      <c r="Q152" s="17" t="str">
        <f aca="false">IF((E152="o"),H152," ")</f>
        <v> </v>
      </c>
      <c r="R152" s="17" t="str">
        <f aca="false">IF((E152="d"),H152," ")</f>
        <v> </v>
      </c>
      <c r="S152" s="17" t="str">
        <f aca="false">IF((E152="w"),H152," ")</f>
        <v> </v>
      </c>
      <c r="T152" s="17" t="str">
        <f aca="false">IF((E152="r"),H152," ")</f>
        <v> </v>
      </c>
      <c r="U152" s="17" t="str">
        <f aca="false">IF((E152="p"),H152," ")</f>
        <v> </v>
      </c>
      <c r="V152" s="17" t="str">
        <f aca="false">IF((E152="t"),H152," ")</f>
        <v> </v>
      </c>
      <c r="W152" s="17" t="str">
        <f aca="false">IF((E152="q"),H152," ")</f>
        <v> </v>
      </c>
      <c r="X152" s="17" t="str">
        <f aca="false">IF((E152="m"),H152," ")</f>
        <v> </v>
      </c>
      <c r="Y152" s="17" t="str">
        <f aca="false">IF((E152="u"),H152," ")</f>
        <v> </v>
      </c>
      <c r="Z152" s="17" t="str">
        <f aca="false">IF((E152="a"),H152," ")</f>
        <v> </v>
      </c>
      <c r="AA152" s="17" t="str">
        <f aca="false">IF((E152="g"),H152," ")</f>
        <v> </v>
      </c>
      <c r="AB152" s="17" t="str">
        <f aca="false">IF((E152="h"),H152," ")</f>
        <v> </v>
      </c>
      <c r="AC152" s="30" t="str">
        <f aca="false">IF((E152="v"),H152," ")</f>
        <v> </v>
      </c>
      <c r="AD152" s="30" t="str">
        <f aca="false">IF((E152="n"),H152," ")</f>
        <v> </v>
      </c>
      <c r="AE152" s="17" t="str">
        <f aca="false">IF((E152="f"),H152," ")</f>
        <v> </v>
      </c>
      <c r="AF152" s="17" t="str">
        <f aca="false">IF((E152="l"),H152," ")</f>
        <v> </v>
      </c>
      <c r="AG152" s="17" t="str">
        <f aca="false">IF((E152="y"),H152," ")</f>
        <v> </v>
      </c>
      <c r="AH152" s="17" t="str">
        <f aca="false">IF((E152="z"),H152," ")</f>
        <v> </v>
      </c>
      <c r="AI152" s="17" t="str">
        <f aca="false">IF((E152="fa"),H152," ")</f>
        <v> </v>
      </c>
      <c r="AJ152" s="17" t="str">
        <f aca="false">IF((E152="e"),H152," ")</f>
        <v> </v>
      </c>
    </row>
    <row r="153" customFormat="false" ht="12" hidden="false" customHeight="false" outlineLevel="0" collapsed="false">
      <c r="A153" s="28"/>
      <c r="E153" s="2" t="str">
        <f aca="false">IF((F153&lt;&gt;0),"Enter Letter"," ")</f>
        <v> </v>
      </c>
      <c r="F153" s="30"/>
      <c r="G153" s="6" t="str">
        <f aca="false">IF(F153&lt;&gt;0,F153*G$2/(100+G$2)," ")</f>
        <v> </v>
      </c>
      <c r="H153" s="6" t="str">
        <f aca="false">IF((F153&lt;&gt;0),F153-G153," ")</f>
        <v> </v>
      </c>
      <c r="I153" s="5"/>
      <c r="L153" s="7" t="str">
        <f aca="false">IF(F153&lt;&gt;0,F153-K153," ")</f>
        <v> </v>
      </c>
      <c r="M153" s="8" t="str">
        <f aca="false">IF((F153-K153)&lt;&gt;0,M$1-A153," ")</f>
        <v> </v>
      </c>
      <c r="N153" s="5"/>
      <c r="O153" s="17" t="str">
        <f aca="false">IF((E153="s"),H153," ")</f>
        <v> </v>
      </c>
      <c r="P153" s="17" t="str">
        <f aca="false">IF((E153="c"),H153," ")</f>
        <v> </v>
      </c>
      <c r="Q153" s="17" t="str">
        <f aca="false">IF((E153="o"),H153," ")</f>
        <v> </v>
      </c>
      <c r="R153" s="17" t="str">
        <f aca="false">IF((E153="d"),H153," ")</f>
        <v> </v>
      </c>
      <c r="S153" s="17" t="str">
        <f aca="false">IF((E153="w"),H153," ")</f>
        <v> </v>
      </c>
      <c r="T153" s="17" t="str">
        <f aca="false">IF((E153="r"),H153," ")</f>
        <v> </v>
      </c>
      <c r="U153" s="17" t="str">
        <f aca="false">IF((E153="p"),H153," ")</f>
        <v> </v>
      </c>
      <c r="V153" s="17" t="str">
        <f aca="false">IF((E153="t"),H153," ")</f>
        <v> </v>
      </c>
      <c r="W153" s="17" t="str">
        <f aca="false">IF((E153="q"),H153," ")</f>
        <v> </v>
      </c>
      <c r="X153" s="17" t="str">
        <f aca="false">IF((E153="m"),H153," ")</f>
        <v> </v>
      </c>
      <c r="Y153" s="17" t="str">
        <f aca="false">IF((E153="u"),H153," ")</f>
        <v> </v>
      </c>
      <c r="Z153" s="17" t="str">
        <f aca="false">IF((E153="a"),H153," ")</f>
        <v> </v>
      </c>
      <c r="AA153" s="17" t="str">
        <f aca="false">IF((E153="g"),H153," ")</f>
        <v> </v>
      </c>
      <c r="AB153" s="17" t="str">
        <f aca="false">IF((E153="h"),H153," ")</f>
        <v> </v>
      </c>
      <c r="AC153" s="30" t="str">
        <f aca="false">IF((E153="v"),H153," ")</f>
        <v> </v>
      </c>
      <c r="AD153" s="30" t="str">
        <f aca="false">IF((E153="n"),H153," ")</f>
        <v> </v>
      </c>
      <c r="AE153" s="17" t="str">
        <f aca="false">IF((E153="f"),H153," ")</f>
        <v> </v>
      </c>
      <c r="AF153" s="17" t="str">
        <f aca="false">IF((E153="l"),H153," ")</f>
        <v> </v>
      </c>
      <c r="AG153" s="17" t="str">
        <f aca="false">IF((E153="y"),H153," ")</f>
        <v> </v>
      </c>
      <c r="AH153" s="17" t="str">
        <f aca="false">IF((E153="z"),H153," ")</f>
        <v> </v>
      </c>
      <c r="AI153" s="17" t="str">
        <f aca="false">IF((E153="fa"),H153," ")</f>
        <v> </v>
      </c>
      <c r="AJ153" s="17" t="str">
        <f aca="false">IF((E153="e"),H153," ")</f>
        <v> </v>
      </c>
    </row>
    <row r="154" customFormat="false" ht="12" hidden="false" customHeight="false" outlineLevel="0" collapsed="false">
      <c r="A154" s="28"/>
      <c r="E154" s="2" t="str">
        <f aca="false">IF((F154&lt;&gt;0),"Enter Letter"," ")</f>
        <v> </v>
      </c>
      <c r="F154" s="30"/>
      <c r="G154" s="6" t="str">
        <f aca="false">IF(F154&lt;&gt;0,F154*G$2/(100+G$2)," ")</f>
        <v> </v>
      </c>
      <c r="H154" s="6" t="str">
        <f aca="false">IF((F154&lt;&gt;0),F154-G154," ")</f>
        <v> </v>
      </c>
      <c r="I154" s="5"/>
      <c r="L154" s="7" t="str">
        <f aca="false">IF(F154&lt;&gt;0,F154-K154," ")</f>
        <v> </v>
      </c>
      <c r="M154" s="8" t="str">
        <f aca="false">IF((F154-K154)&lt;&gt;0,M$1-A154," ")</f>
        <v> </v>
      </c>
      <c r="N154" s="5"/>
      <c r="O154" s="17" t="str">
        <f aca="false">IF((E154="s"),H154," ")</f>
        <v> </v>
      </c>
      <c r="P154" s="17" t="str">
        <f aca="false">IF((E154="c"),H154," ")</f>
        <v> </v>
      </c>
      <c r="Q154" s="17" t="str">
        <f aca="false">IF((E154="o"),H154," ")</f>
        <v> </v>
      </c>
      <c r="R154" s="17" t="str">
        <f aca="false">IF((E154="d"),H154," ")</f>
        <v> </v>
      </c>
      <c r="S154" s="17" t="str">
        <f aca="false">IF((E154="w"),H154," ")</f>
        <v> </v>
      </c>
      <c r="T154" s="17" t="str">
        <f aca="false">IF((E154="r"),H154," ")</f>
        <v> </v>
      </c>
      <c r="U154" s="17" t="str">
        <f aca="false">IF((E154="p"),H154," ")</f>
        <v> </v>
      </c>
      <c r="V154" s="17" t="str">
        <f aca="false">IF((E154="t"),H154," ")</f>
        <v> </v>
      </c>
      <c r="W154" s="17" t="str">
        <f aca="false">IF((E154="q"),H154," ")</f>
        <v> </v>
      </c>
      <c r="X154" s="17" t="str">
        <f aca="false">IF((E154="m"),H154," ")</f>
        <v> </v>
      </c>
      <c r="Y154" s="17" t="str">
        <f aca="false">IF((E154="u"),H154," ")</f>
        <v> </v>
      </c>
      <c r="Z154" s="17" t="str">
        <f aca="false">IF((E154="a"),H154," ")</f>
        <v> </v>
      </c>
      <c r="AA154" s="17" t="str">
        <f aca="false">IF((E154="g"),H154," ")</f>
        <v> </v>
      </c>
      <c r="AB154" s="17" t="str">
        <f aca="false">IF((E154="h"),H154," ")</f>
        <v> </v>
      </c>
      <c r="AC154" s="30" t="str">
        <f aca="false">IF((E154="v"),H154," ")</f>
        <v> </v>
      </c>
      <c r="AD154" s="30" t="str">
        <f aca="false">IF((E154="n"),H154," ")</f>
        <v> </v>
      </c>
      <c r="AE154" s="17" t="str">
        <f aca="false">IF((E154="f"),H154," ")</f>
        <v> </v>
      </c>
      <c r="AF154" s="17" t="str">
        <f aca="false">IF((E154="l"),H154," ")</f>
        <v> </v>
      </c>
      <c r="AG154" s="17" t="str">
        <f aca="false">IF((E154="y"),H154," ")</f>
        <v> </v>
      </c>
      <c r="AH154" s="17" t="str">
        <f aca="false">IF((E154="z"),H154," ")</f>
        <v> </v>
      </c>
      <c r="AI154" s="17" t="str">
        <f aca="false">IF((E154="fa"),H154," ")</f>
        <v> </v>
      </c>
      <c r="AJ154" s="17" t="str">
        <f aca="false">IF((E154="e"),H154," ")</f>
        <v> </v>
      </c>
    </row>
    <row r="155" customFormat="false" ht="12" hidden="false" customHeight="false" outlineLevel="0" collapsed="false">
      <c r="A155" s="28"/>
      <c r="E155" s="2" t="str">
        <f aca="false">IF((F155&lt;&gt;0),"Enter Letter"," ")</f>
        <v> </v>
      </c>
      <c r="F155" s="30"/>
      <c r="G155" s="6" t="str">
        <f aca="false">IF(F155&lt;&gt;0,F155*G$2/(100+G$2)," ")</f>
        <v> </v>
      </c>
      <c r="H155" s="6" t="str">
        <f aca="false">IF((F155&lt;&gt;0),F155-G155," ")</f>
        <v> </v>
      </c>
      <c r="I155" s="5"/>
      <c r="L155" s="7" t="str">
        <f aca="false">IF(F155&lt;&gt;0,F155-K155," ")</f>
        <v> </v>
      </c>
      <c r="M155" s="8" t="str">
        <f aca="false">IF((F155-K155)&lt;&gt;0,M$1-A155," ")</f>
        <v> </v>
      </c>
      <c r="N155" s="5"/>
      <c r="O155" s="17" t="str">
        <f aca="false">IF((E155="s"),H155," ")</f>
        <v> </v>
      </c>
      <c r="P155" s="17" t="str">
        <f aca="false">IF((E155="c"),H155," ")</f>
        <v> </v>
      </c>
      <c r="Q155" s="17" t="str">
        <f aca="false">IF((E155="o"),H155," ")</f>
        <v> </v>
      </c>
      <c r="R155" s="17" t="str">
        <f aca="false">IF((E155="d"),H155," ")</f>
        <v> </v>
      </c>
      <c r="S155" s="17" t="str">
        <f aca="false">IF((E155="w"),H155," ")</f>
        <v> </v>
      </c>
      <c r="T155" s="17" t="str">
        <f aca="false">IF((E155="r"),H155," ")</f>
        <v> </v>
      </c>
      <c r="U155" s="17" t="str">
        <f aca="false">IF((E155="p"),H155," ")</f>
        <v> </v>
      </c>
      <c r="V155" s="17" t="str">
        <f aca="false">IF((E155="t"),H155," ")</f>
        <v> </v>
      </c>
      <c r="W155" s="17" t="str">
        <f aca="false">IF((E155="q"),H155," ")</f>
        <v> </v>
      </c>
      <c r="X155" s="17" t="str">
        <f aca="false">IF((E155="m"),H155," ")</f>
        <v> </v>
      </c>
      <c r="Y155" s="17" t="str">
        <f aca="false">IF((E155="u"),H155," ")</f>
        <v> </v>
      </c>
      <c r="Z155" s="17" t="str">
        <f aca="false">IF((E155="a"),H155," ")</f>
        <v> </v>
      </c>
      <c r="AA155" s="17" t="str">
        <f aca="false">IF((E155="g"),H155," ")</f>
        <v> </v>
      </c>
      <c r="AB155" s="17" t="str">
        <f aca="false">IF((E155="h"),H155," ")</f>
        <v> </v>
      </c>
      <c r="AC155" s="30" t="str">
        <f aca="false">IF((E155="v"),H155," ")</f>
        <v> </v>
      </c>
      <c r="AD155" s="30" t="str">
        <f aca="false">IF((E155="n"),H155," ")</f>
        <v> </v>
      </c>
      <c r="AE155" s="17" t="str">
        <f aca="false">IF((E155="f"),H155," ")</f>
        <v> </v>
      </c>
      <c r="AF155" s="17" t="str">
        <f aca="false">IF((E155="l"),H155," ")</f>
        <v> </v>
      </c>
      <c r="AG155" s="17" t="str">
        <f aca="false">IF((E155="y"),H155," ")</f>
        <v> </v>
      </c>
      <c r="AH155" s="17" t="str">
        <f aca="false">IF((E155="z"),H155," ")</f>
        <v> </v>
      </c>
      <c r="AI155" s="17" t="str">
        <f aca="false">IF((E155="fa"),H155," ")</f>
        <v> </v>
      </c>
      <c r="AJ155" s="17" t="str">
        <f aca="false">IF((E155="e"),H155," ")</f>
        <v> </v>
      </c>
    </row>
    <row r="156" customFormat="false" ht="12" hidden="false" customHeight="false" outlineLevel="0" collapsed="false">
      <c r="A156" s="28"/>
      <c r="E156" s="2" t="str">
        <f aca="false">IF((F156&lt;&gt;0),"Enter Letter"," ")</f>
        <v> </v>
      </c>
      <c r="F156" s="30"/>
      <c r="G156" s="6" t="str">
        <f aca="false">IF(F156&lt;&gt;0,F156*G$2/(100+G$2)," ")</f>
        <v> </v>
      </c>
      <c r="H156" s="6" t="str">
        <f aca="false">IF((F156&lt;&gt;0),F156-G156," ")</f>
        <v> </v>
      </c>
      <c r="I156" s="5"/>
      <c r="L156" s="7" t="str">
        <f aca="false">IF(F156&lt;&gt;0,F156-K156," ")</f>
        <v> </v>
      </c>
      <c r="M156" s="8" t="str">
        <f aca="false">IF((F156-K156)&lt;&gt;0,M$1-A156," ")</f>
        <v> </v>
      </c>
      <c r="N156" s="5"/>
      <c r="O156" s="17" t="str">
        <f aca="false">IF((E156="s"),H156," ")</f>
        <v> </v>
      </c>
      <c r="P156" s="17" t="str">
        <f aca="false">IF((E156="c"),H156," ")</f>
        <v> </v>
      </c>
      <c r="Q156" s="17" t="str">
        <f aca="false">IF((E156="o"),H156," ")</f>
        <v> </v>
      </c>
      <c r="R156" s="17" t="str">
        <f aca="false">IF((E156="d"),H156," ")</f>
        <v> </v>
      </c>
      <c r="S156" s="17" t="str">
        <f aca="false">IF((E156="w"),H156," ")</f>
        <v> </v>
      </c>
      <c r="T156" s="17" t="str">
        <f aca="false">IF((E156="r"),H156," ")</f>
        <v> </v>
      </c>
      <c r="U156" s="17" t="str">
        <f aca="false">IF((E156="p"),H156," ")</f>
        <v> </v>
      </c>
      <c r="V156" s="17" t="str">
        <f aca="false">IF((E156="t"),H156," ")</f>
        <v> </v>
      </c>
      <c r="W156" s="17" t="str">
        <f aca="false">IF((E156="q"),H156," ")</f>
        <v> </v>
      </c>
      <c r="X156" s="17" t="str">
        <f aca="false">IF((E156="m"),H156," ")</f>
        <v> </v>
      </c>
      <c r="Y156" s="17" t="str">
        <f aca="false">IF((E156="u"),H156," ")</f>
        <v> </v>
      </c>
      <c r="Z156" s="17" t="str">
        <f aca="false">IF((E156="a"),H156," ")</f>
        <v> </v>
      </c>
      <c r="AA156" s="17" t="str">
        <f aca="false">IF((E156="g"),H156," ")</f>
        <v> </v>
      </c>
      <c r="AB156" s="17" t="str">
        <f aca="false">IF((E156="h"),H156," ")</f>
        <v> </v>
      </c>
      <c r="AC156" s="30" t="str">
        <f aca="false">IF((E156="v"),H156," ")</f>
        <v> </v>
      </c>
      <c r="AD156" s="30" t="str">
        <f aca="false">IF((E156="n"),H156," ")</f>
        <v> </v>
      </c>
      <c r="AE156" s="17" t="str">
        <f aca="false">IF((E156="f"),H156," ")</f>
        <v> </v>
      </c>
      <c r="AF156" s="17" t="str">
        <f aca="false">IF((E156="l"),H156," ")</f>
        <v> </v>
      </c>
      <c r="AG156" s="17" t="str">
        <f aca="false">IF((E156="y"),H156," ")</f>
        <v> </v>
      </c>
      <c r="AH156" s="17" t="str">
        <f aca="false">IF((E156="z"),H156," ")</f>
        <v> </v>
      </c>
      <c r="AI156" s="17" t="str">
        <f aca="false">IF((E156="fa"),H156," ")</f>
        <v> </v>
      </c>
      <c r="AJ156" s="17" t="str">
        <f aca="false">IF((E156="e"),H156," ")</f>
        <v> </v>
      </c>
    </row>
    <row r="157" customFormat="false" ht="12" hidden="false" customHeight="false" outlineLevel="0" collapsed="false">
      <c r="A157" s="28"/>
      <c r="E157" s="2" t="str">
        <f aca="false">IF((F157&lt;&gt;0),"Enter Letter"," ")</f>
        <v> </v>
      </c>
      <c r="F157" s="30"/>
      <c r="G157" s="6" t="str">
        <f aca="false">IF(F157&lt;&gt;0,F157*G$2/(100+G$2)," ")</f>
        <v> </v>
      </c>
      <c r="H157" s="6" t="str">
        <f aca="false">IF((F157&lt;&gt;0),F157-G157," ")</f>
        <v> </v>
      </c>
      <c r="I157" s="5"/>
      <c r="L157" s="7" t="str">
        <f aca="false">IF(F157&lt;&gt;0,F157-K157," ")</f>
        <v> </v>
      </c>
      <c r="M157" s="8" t="str">
        <f aca="false">IF((F157-K157)&lt;&gt;0,M$1-A157," ")</f>
        <v> </v>
      </c>
      <c r="N157" s="5"/>
      <c r="O157" s="17" t="str">
        <f aca="false">IF((E157="s"),H157," ")</f>
        <v> </v>
      </c>
      <c r="P157" s="17" t="str">
        <f aca="false">IF((E157="c"),H157," ")</f>
        <v> </v>
      </c>
      <c r="Q157" s="17" t="str">
        <f aca="false">IF((E157="o"),H157," ")</f>
        <v> </v>
      </c>
      <c r="R157" s="17" t="str">
        <f aca="false">IF((E157="d"),H157," ")</f>
        <v> </v>
      </c>
      <c r="S157" s="17" t="str">
        <f aca="false">IF((E157="w"),H157," ")</f>
        <v> </v>
      </c>
      <c r="T157" s="17" t="str">
        <f aca="false">IF((E157="r"),H157," ")</f>
        <v> </v>
      </c>
      <c r="U157" s="17" t="str">
        <f aca="false">IF((E157="p"),H157," ")</f>
        <v> </v>
      </c>
      <c r="V157" s="17" t="str">
        <f aca="false">IF((E157="t"),H157," ")</f>
        <v> </v>
      </c>
      <c r="W157" s="17" t="str">
        <f aca="false">IF((E157="q"),H157," ")</f>
        <v> </v>
      </c>
      <c r="X157" s="17" t="str">
        <f aca="false">IF((E157="m"),H157," ")</f>
        <v> </v>
      </c>
      <c r="Y157" s="17" t="str">
        <f aca="false">IF((E157="u"),H157," ")</f>
        <v> </v>
      </c>
      <c r="Z157" s="17" t="str">
        <f aca="false">IF((E157="a"),H157," ")</f>
        <v> </v>
      </c>
      <c r="AA157" s="17" t="str">
        <f aca="false">IF((E157="g"),H157," ")</f>
        <v> </v>
      </c>
      <c r="AB157" s="17" t="str">
        <f aca="false">IF((E157="h"),H157," ")</f>
        <v> </v>
      </c>
      <c r="AC157" s="30" t="str">
        <f aca="false">IF((E157="v"),H157," ")</f>
        <v> </v>
      </c>
      <c r="AD157" s="30" t="str">
        <f aca="false">IF((E157="n"),H157," ")</f>
        <v> </v>
      </c>
      <c r="AE157" s="17" t="str">
        <f aca="false">IF((E157="f"),H157," ")</f>
        <v> </v>
      </c>
      <c r="AF157" s="17" t="str">
        <f aca="false">IF((E157="l"),H157," ")</f>
        <v> </v>
      </c>
      <c r="AG157" s="17" t="str">
        <f aca="false">IF((E157="y"),H157," ")</f>
        <v> </v>
      </c>
      <c r="AH157" s="17" t="str">
        <f aca="false">IF((E157="z"),H157," ")</f>
        <v> </v>
      </c>
      <c r="AI157" s="17" t="str">
        <f aca="false">IF((E157="fa"),H157," ")</f>
        <v> </v>
      </c>
      <c r="AJ157" s="17" t="str">
        <f aca="false">IF((E157="e"),H157," ")</f>
        <v> </v>
      </c>
    </row>
    <row r="158" customFormat="false" ht="12" hidden="false" customHeight="false" outlineLevel="0" collapsed="false">
      <c r="A158" s="28"/>
      <c r="E158" s="2" t="str">
        <f aca="false">IF((F158&lt;&gt;0),"Enter Letter"," ")</f>
        <v> </v>
      </c>
      <c r="F158" s="30"/>
      <c r="G158" s="6" t="str">
        <f aca="false">IF(F158&lt;&gt;0,F158*G$2/(100+G$2)," ")</f>
        <v> </v>
      </c>
      <c r="H158" s="6" t="str">
        <f aca="false">IF((F158&lt;&gt;0),F158-G158," ")</f>
        <v> </v>
      </c>
      <c r="I158" s="5"/>
      <c r="L158" s="7" t="str">
        <f aca="false">IF(F158&lt;&gt;0,F158-K158," ")</f>
        <v> </v>
      </c>
      <c r="M158" s="8" t="str">
        <f aca="false">IF((F158-K158)&lt;&gt;0,M$1-A158," ")</f>
        <v> </v>
      </c>
      <c r="N158" s="5"/>
      <c r="O158" s="17" t="str">
        <f aca="false">IF((E158="s"),H158," ")</f>
        <v> </v>
      </c>
      <c r="P158" s="17" t="str">
        <f aca="false">IF((E158="c"),H158," ")</f>
        <v> </v>
      </c>
      <c r="Q158" s="17" t="str">
        <f aca="false">IF((E158="o"),H158," ")</f>
        <v> </v>
      </c>
      <c r="R158" s="17" t="str">
        <f aca="false">IF((E158="d"),H158," ")</f>
        <v> </v>
      </c>
      <c r="S158" s="17" t="str">
        <f aca="false">IF((E158="w"),H158," ")</f>
        <v> </v>
      </c>
      <c r="T158" s="17" t="str">
        <f aca="false">IF((E158="r"),H158," ")</f>
        <v> </v>
      </c>
      <c r="U158" s="17" t="str">
        <f aca="false">IF((E158="p"),H158," ")</f>
        <v> </v>
      </c>
      <c r="V158" s="17" t="str">
        <f aca="false">IF((E158="t"),H158," ")</f>
        <v> </v>
      </c>
      <c r="W158" s="17" t="str">
        <f aca="false">IF((E158="q"),H158," ")</f>
        <v> </v>
      </c>
      <c r="X158" s="17" t="str">
        <f aca="false">IF((E158="m"),H158," ")</f>
        <v> </v>
      </c>
      <c r="Y158" s="17" t="str">
        <f aca="false">IF((E158="u"),H158," ")</f>
        <v> </v>
      </c>
      <c r="Z158" s="17" t="str">
        <f aca="false">IF((E158="a"),H158," ")</f>
        <v> </v>
      </c>
      <c r="AA158" s="17" t="str">
        <f aca="false">IF((E158="g"),H158," ")</f>
        <v> </v>
      </c>
      <c r="AB158" s="17" t="str">
        <f aca="false">IF((E158="h"),H158," ")</f>
        <v> </v>
      </c>
      <c r="AC158" s="30" t="str">
        <f aca="false">IF((E158="v"),H158," ")</f>
        <v> </v>
      </c>
      <c r="AD158" s="30" t="str">
        <f aca="false">IF((E158="n"),H158," ")</f>
        <v> </v>
      </c>
      <c r="AE158" s="17" t="str">
        <f aca="false">IF((E158="f"),H158," ")</f>
        <v> </v>
      </c>
      <c r="AF158" s="17" t="str">
        <f aca="false">IF((E158="l"),H158," ")</f>
        <v> </v>
      </c>
      <c r="AG158" s="17" t="str">
        <f aca="false">IF((E158="y"),H158," ")</f>
        <v> </v>
      </c>
      <c r="AH158" s="17" t="str">
        <f aca="false">IF((E158="z"),H158," ")</f>
        <v> </v>
      </c>
      <c r="AI158" s="17" t="str">
        <f aca="false">IF((E158="fa"),H158," ")</f>
        <v> </v>
      </c>
      <c r="AJ158" s="17" t="str">
        <f aca="false">IF((E158="e"),H158," ")</f>
        <v> </v>
      </c>
    </row>
    <row r="159" customFormat="false" ht="12" hidden="false" customHeight="false" outlineLevel="0" collapsed="false">
      <c r="A159" s="28"/>
      <c r="E159" s="2" t="str">
        <f aca="false">IF((F159&lt;&gt;0),"Enter Letter"," ")</f>
        <v> </v>
      </c>
      <c r="F159" s="30"/>
      <c r="G159" s="6" t="str">
        <f aca="false">IF(F159&lt;&gt;0,F159*G$2/(100+G$2)," ")</f>
        <v> </v>
      </c>
      <c r="H159" s="6" t="str">
        <f aca="false">IF((F159&lt;&gt;0),F159-G159," ")</f>
        <v> </v>
      </c>
      <c r="I159" s="5"/>
      <c r="L159" s="7" t="str">
        <f aca="false">IF(F159&lt;&gt;0,F159-K159," ")</f>
        <v> </v>
      </c>
      <c r="M159" s="8" t="str">
        <f aca="false">IF((F159-K159)&lt;&gt;0,M$1-A159," ")</f>
        <v> </v>
      </c>
      <c r="N159" s="5"/>
      <c r="O159" s="17" t="str">
        <f aca="false">IF((E159="s"),H159," ")</f>
        <v> </v>
      </c>
      <c r="P159" s="17" t="str">
        <f aca="false">IF((E159="c"),H159," ")</f>
        <v> </v>
      </c>
      <c r="Q159" s="17" t="str">
        <f aca="false">IF((E159="o"),H159," ")</f>
        <v> </v>
      </c>
      <c r="R159" s="17" t="str">
        <f aca="false">IF((E159="d"),H159," ")</f>
        <v> </v>
      </c>
      <c r="S159" s="17" t="str">
        <f aca="false">IF((E159="w"),H159," ")</f>
        <v> </v>
      </c>
      <c r="T159" s="17" t="str">
        <f aca="false">IF((E159="r"),H159," ")</f>
        <v> </v>
      </c>
      <c r="U159" s="17" t="str">
        <f aca="false">IF((E159="p"),H159," ")</f>
        <v> </v>
      </c>
      <c r="V159" s="17" t="str">
        <f aca="false">IF((E159="t"),H159," ")</f>
        <v> </v>
      </c>
      <c r="W159" s="17" t="str">
        <f aca="false">IF((E159="q"),H159," ")</f>
        <v> </v>
      </c>
      <c r="X159" s="17" t="str">
        <f aca="false">IF((E159="m"),H159," ")</f>
        <v> </v>
      </c>
      <c r="Y159" s="17" t="str">
        <f aca="false">IF((E159="u"),H159," ")</f>
        <v> </v>
      </c>
      <c r="Z159" s="17" t="str">
        <f aca="false">IF((E159="a"),H159," ")</f>
        <v> </v>
      </c>
      <c r="AA159" s="17" t="str">
        <f aca="false">IF((E159="g"),H159," ")</f>
        <v> </v>
      </c>
      <c r="AB159" s="17" t="str">
        <f aca="false">IF((E159="h"),H159," ")</f>
        <v> </v>
      </c>
      <c r="AC159" s="30" t="str">
        <f aca="false">IF((E159="v"),H159," ")</f>
        <v> </v>
      </c>
      <c r="AD159" s="30" t="str">
        <f aca="false">IF((E159="n"),H159," ")</f>
        <v> </v>
      </c>
      <c r="AE159" s="17" t="str">
        <f aca="false">IF((E159="f"),H159," ")</f>
        <v> </v>
      </c>
      <c r="AF159" s="17" t="str">
        <f aca="false">IF((E159="l"),H159," ")</f>
        <v> </v>
      </c>
      <c r="AG159" s="17" t="str">
        <f aca="false">IF((E159="y"),H159," ")</f>
        <v> </v>
      </c>
      <c r="AH159" s="17" t="str">
        <f aca="false">IF((E159="z"),H159," ")</f>
        <v> </v>
      </c>
      <c r="AI159" s="17" t="str">
        <f aca="false">IF((E159="fa"),H159," ")</f>
        <v> </v>
      </c>
      <c r="AJ159" s="17" t="str">
        <f aca="false">IF((E159="e"),H159," ")</f>
        <v> </v>
      </c>
    </row>
    <row r="160" customFormat="false" ht="12" hidden="false" customHeight="false" outlineLevel="0" collapsed="false">
      <c r="A160" s="28"/>
      <c r="E160" s="2" t="str">
        <f aca="false">IF((F160&lt;&gt;0),"Enter Letter"," ")</f>
        <v> </v>
      </c>
      <c r="F160" s="30"/>
      <c r="G160" s="6" t="str">
        <f aca="false">IF(F160&lt;&gt;0,F160*G$2/(100+G$2)," ")</f>
        <v> </v>
      </c>
      <c r="H160" s="6" t="str">
        <f aca="false">IF((F160&lt;&gt;0),F160-G160," ")</f>
        <v> </v>
      </c>
      <c r="I160" s="5"/>
      <c r="L160" s="7" t="str">
        <f aca="false">IF(F160&lt;&gt;0,F160-K160," ")</f>
        <v> </v>
      </c>
      <c r="M160" s="8" t="str">
        <f aca="false">IF((F160-K160)&lt;&gt;0,M$1-A160," ")</f>
        <v> </v>
      </c>
      <c r="N160" s="5"/>
      <c r="O160" s="17" t="str">
        <f aca="false">IF((E160="s"),H160," ")</f>
        <v> </v>
      </c>
      <c r="P160" s="17" t="str">
        <f aca="false">IF((E160="c"),H160," ")</f>
        <v> </v>
      </c>
      <c r="Q160" s="17" t="str">
        <f aca="false">IF((E160="o"),H160," ")</f>
        <v> </v>
      </c>
      <c r="R160" s="17" t="str">
        <f aca="false">IF((E160="d"),H160," ")</f>
        <v> </v>
      </c>
      <c r="S160" s="17" t="str">
        <f aca="false">IF((E160="w"),H160," ")</f>
        <v> </v>
      </c>
      <c r="T160" s="17" t="str">
        <f aca="false">IF((E160="r"),H160," ")</f>
        <v> </v>
      </c>
      <c r="U160" s="17" t="str">
        <f aca="false">IF((E160="p"),H160," ")</f>
        <v> </v>
      </c>
      <c r="V160" s="17" t="str">
        <f aca="false">IF((E160="t"),H160," ")</f>
        <v> </v>
      </c>
      <c r="W160" s="17" t="str">
        <f aca="false">IF((E160="q"),H160," ")</f>
        <v> </v>
      </c>
      <c r="X160" s="17" t="str">
        <f aca="false">IF((E160="m"),H160," ")</f>
        <v> </v>
      </c>
      <c r="Y160" s="17" t="str">
        <f aca="false">IF((E160="u"),H160," ")</f>
        <v> </v>
      </c>
      <c r="Z160" s="17" t="str">
        <f aca="false">IF((E160="a"),H160," ")</f>
        <v> </v>
      </c>
      <c r="AA160" s="17" t="str">
        <f aca="false">IF((E160="g"),H160," ")</f>
        <v> </v>
      </c>
      <c r="AB160" s="17" t="str">
        <f aca="false">IF((E160="h"),H160," ")</f>
        <v> </v>
      </c>
      <c r="AC160" s="30" t="str">
        <f aca="false">IF((E160="v"),H160," ")</f>
        <v> </v>
      </c>
      <c r="AD160" s="30" t="str">
        <f aca="false">IF((E160="n"),H160," ")</f>
        <v> </v>
      </c>
      <c r="AE160" s="17" t="str">
        <f aca="false">IF((E160="f"),H160," ")</f>
        <v> </v>
      </c>
      <c r="AF160" s="17" t="str">
        <f aca="false">IF((E160="l"),H160," ")</f>
        <v> </v>
      </c>
      <c r="AG160" s="17" t="str">
        <f aca="false">IF((E160="y"),H160," ")</f>
        <v> </v>
      </c>
      <c r="AH160" s="17" t="str">
        <f aca="false">IF((E160="z"),H160," ")</f>
        <v> </v>
      </c>
      <c r="AI160" s="17" t="str">
        <f aca="false">IF((E160="fa"),H160," ")</f>
        <v> </v>
      </c>
      <c r="AJ160" s="17" t="str">
        <f aca="false">IF((E160="e"),H160," ")</f>
        <v> </v>
      </c>
    </row>
    <row r="161" customFormat="false" ht="12" hidden="false" customHeight="false" outlineLevel="0" collapsed="false">
      <c r="A161" s="28"/>
      <c r="E161" s="2" t="str">
        <f aca="false">IF((F161&lt;&gt;0),"Enter Letter"," ")</f>
        <v> </v>
      </c>
      <c r="F161" s="30"/>
      <c r="G161" s="6" t="str">
        <f aca="false">IF(F161&lt;&gt;0,F161*G$2/(100+G$2)," ")</f>
        <v> </v>
      </c>
      <c r="H161" s="6" t="str">
        <f aca="false">IF((F161&lt;&gt;0),F161-G161," ")</f>
        <v> </v>
      </c>
      <c r="I161" s="5"/>
      <c r="L161" s="7" t="str">
        <f aca="false">IF(F161&lt;&gt;0,F161-K161," ")</f>
        <v> </v>
      </c>
      <c r="M161" s="8" t="str">
        <f aca="false">IF((F161-K161)&lt;&gt;0,M$1-A161," ")</f>
        <v> </v>
      </c>
      <c r="N161" s="5"/>
      <c r="O161" s="17" t="str">
        <f aca="false">IF((E161="s"),H161," ")</f>
        <v> </v>
      </c>
      <c r="P161" s="17" t="str">
        <f aca="false">IF((E161="c"),H161," ")</f>
        <v> </v>
      </c>
      <c r="Q161" s="17" t="str">
        <f aca="false">IF((E161="o"),H161," ")</f>
        <v> </v>
      </c>
      <c r="R161" s="17" t="str">
        <f aca="false">IF((E161="d"),H161," ")</f>
        <v> </v>
      </c>
      <c r="S161" s="17" t="str">
        <f aca="false">IF((E161="w"),H161," ")</f>
        <v> </v>
      </c>
      <c r="T161" s="17" t="str">
        <f aca="false">IF((E161="r"),H161," ")</f>
        <v> </v>
      </c>
      <c r="U161" s="17" t="str">
        <f aca="false">IF((E161="p"),H161," ")</f>
        <v> </v>
      </c>
      <c r="V161" s="17" t="str">
        <f aca="false">IF((E161="t"),H161," ")</f>
        <v> </v>
      </c>
      <c r="W161" s="17" t="str">
        <f aca="false">IF((E161="q"),H161," ")</f>
        <v> </v>
      </c>
      <c r="X161" s="17" t="str">
        <f aca="false">IF((E161="m"),H161," ")</f>
        <v> </v>
      </c>
      <c r="Y161" s="17" t="str">
        <f aca="false">IF((E161="u"),H161," ")</f>
        <v> </v>
      </c>
      <c r="Z161" s="17" t="str">
        <f aca="false">IF((E161="a"),H161," ")</f>
        <v> </v>
      </c>
      <c r="AA161" s="17" t="str">
        <f aca="false">IF((E161="g"),H161," ")</f>
        <v> </v>
      </c>
      <c r="AB161" s="17" t="str">
        <f aca="false">IF((E161="h"),H161," ")</f>
        <v> </v>
      </c>
      <c r="AC161" s="30" t="str">
        <f aca="false">IF((E161="v"),H161," ")</f>
        <v> </v>
      </c>
      <c r="AD161" s="30" t="str">
        <f aca="false">IF((E161="n"),H161," ")</f>
        <v> </v>
      </c>
      <c r="AE161" s="17" t="str">
        <f aca="false">IF((E161="f"),H161," ")</f>
        <v> </v>
      </c>
      <c r="AF161" s="17" t="str">
        <f aca="false">IF((E161="l"),H161," ")</f>
        <v> </v>
      </c>
      <c r="AG161" s="17" t="str">
        <f aca="false">IF((E161="y"),H161," ")</f>
        <v> </v>
      </c>
      <c r="AH161" s="17" t="str">
        <f aca="false">IF((E161="z"),H161," ")</f>
        <v> </v>
      </c>
      <c r="AI161" s="17" t="str">
        <f aca="false">IF((E161="fa"),H161," ")</f>
        <v> </v>
      </c>
      <c r="AJ161" s="17" t="str">
        <f aca="false">IF((E161="e"),H161," ")</f>
        <v> </v>
      </c>
    </row>
    <row r="162" customFormat="false" ht="12" hidden="false" customHeight="false" outlineLevel="0" collapsed="false">
      <c r="A162" s="28"/>
      <c r="E162" s="2" t="str">
        <f aca="false">IF((F162&lt;&gt;0),"Enter Letter"," ")</f>
        <v> </v>
      </c>
      <c r="F162" s="30"/>
      <c r="G162" s="6" t="str">
        <f aca="false">IF(F162&lt;&gt;0,F162*G$2/(100+G$2)," ")</f>
        <v> </v>
      </c>
      <c r="H162" s="6" t="str">
        <f aca="false">IF((F162&lt;&gt;0),F162-G162," ")</f>
        <v> </v>
      </c>
      <c r="I162" s="5"/>
      <c r="L162" s="7" t="str">
        <f aca="false">IF(F162&lt;&gt;0,F162-K162," ")</f>
        <v> </v>
      </c>
      <c r="M162" s="8" t="str">
        <f aca="false">IF((F162-K162)&lt;&gt;0,M$1-A162," ")</f>
        <v> </v>
      </c>
      <c r="N162" s="5"/>
      <c r="O162" s="17" t="str">
        <f aca="false">IF((E162="s"),H162," ")</f>
        <v> </v>
      </c>
      <c r="P162" s="17" t="str">
        <f aca="false">IF((E162="c"),H162," ")</f>
        <v> </v>
      </c>
      <c r="Q162" s="17" t="str">
        <f aca="false">IF((E162="o"),H162," ")</f>
        <v> </v>
      </c>
      <c r="R162" s="17" t="str">
        <f aca="false">IF((E162="d"),H162," ")</f>
        <v> </v>
      </c>
      <c r="S162" s="17" t="str">
        <f aca="false">IF((E162="w"),H162," ")</f>
        <v> </v>
      </c>
      <c r="T162" s="17" t="str">
        <f aca="false">IF((E162="r"),H162," ")</f>
        <v> </v>
      </c>
      <c r="U162" s="17" t="str">
        <f aca="false">IF((E162="p"),H162," ")</f>
        <v> </v>
      </c>
      <c r="V162" s="17" t="str">
        <f aca="false">IF((E162="t"),H162," ")</f>
        <v> </v>
      </c>
      <c r="W162" s="17" t="str">
        <f aca="false">IF((E162="q"),H162," ")</f>
        <v> </v>
      </c>
      <c r="X162" s="17" t="str">
        <f aca="false">IF((E162="m"),H162," ")</f>
        <v> </v>
      </c>
      <c r="Y162" s="17" t="str">
        <f aca="false">IF((E162="u"),H162," ")</f>
        <v> </v>
      </c>
      <c r="Z162" s="17" t="str">
        <f aca="false">IF((E162="a"),H162," ")</f>
        <v> </v>
      </c>
      <c r="AA162" s="17" t="str">
        <f aca="false">IF((E162="g"),H162," ")</f>
        <v> </v>
      </c>
      <c r="AB162" s="17" t="str">
        <f aca="false">IF((E162="h"),H162," ")</f>
        <v> </v>
      </c>
      <c r="AC162" s="30" t="str">
        <f aca="false">IF((E162="v"),H162," ")</f>
        <v> </v>
      </c>
      <c r="AD162" s="30" t="str">
        <f aca="false">IF((E162="n"),H162," ")</f>
        <v> </v>
      </c>
      <c r="AE162" s="17" t="str">
        <f aca="false">IF((E162="f"),H162," ")</f>
        <v> </v>
      </c>
      <c r="AF162" s="17" t="str">
        <f aca="false">IF((E162="l"),H162," ")</f>
        <v> </v>
      </c>
      <c r="AG162" s="17" t="str">
        <f aca="false">IF((E162="y"),H162," ")</f>
        <v> </v>
      </c>
      <c r="AH162" s="17" t="str">
        <f aca="false">IF((E162="z"),H162," ")</f>
        <v> </v>
      </c>
      <c r="AI162" s="17" t="str">
        <f aca="false">IF((E162="fa"),H162," ")</f>
        <v> </v>
      </c>
      <c r="AJ162" s="17" t="str">
        <f aca="false">IF((E162="e"),H162," ")</f>
        <v> </v>
      </c>
    </row>
    <row r="163" customFormat="false" ht="12" hidden="false" customHeight="false" outlineLevel="0" collapsed="false">
      <c r="A163" s="28"/>
      <c r="E163" s="2" t="str">
        <f aca="false">IF((F163&lt;&gt;0),"Enter Letter"," ")</f>
        <v> </v>
      </c>
      <c r="F163" s="30"/>
      <c r="G163" s="6" t="str">
        <f aca="false">IF(F163&lt;&gt;0,F163*G$2/(100+G$2)," ")</f>
        <v> </v>
      </c>
      <c r="H163" s="6" t="str">
        <f aca="false">IF((F163&lt;&gt;0),F163-G163," ")</f>
        <v> </v>
      </c>
      <c r="I163" s="5"/>
      <c r="L163" s="7" t="str">
        <f aca="false">IF(F163&lt;&gt;0,F163-K163," ")</f>
        <v> </v>
      </c>
      <c r="M163" s="8" t="str">
        <f aca="false">IF((F163-K163)&lt;&gt;0,M$1-A163," ")</f>
        <v> </v>
      </c>
      <c r="N163" s="5"/>
      <c r="O163" s="17" t="str">
        <f aca="false">IF((E163="s"),H163," ")</f>
        <v> </v>
      </c>
      <c r="P163" s="17" t="str">
        <f aca="false">IF((E163="c"),H163," ")</f>
        <v> </v>
      </c>
      <c r="Q163" s="17" t="str">
        <f aca="false">IF((E163="o"),H163," ")</f>
        <v> </v>
      </c>
      <c r="R163" s="17" t="str">
        <f aca="false">IF((E163="d"),H163," ")</f>
        <v> </v>
      </c>
      <c r="S163" s="17" t="str">
        <f aca="false">IF((E163="w"),H163," ")</f>
        <v> </v>
      </c>
      <c r="T163" s="17" t="str">
        <f aca="false">IF((E163="r"),H163," ")</f>
        <v> </v>
      </c>
      <c r="U163" s="17" t="str">
        <f aca="false">IF((E163="p"),H163," ")</f>
        <v> </v>
      </c>
      <c r="V163" s="17" t="str">
        <f aca="false">IF((E163="t"),H163," ")</f>
        <v> </v>
      </c>
      <c r="W163" s="17" t="str">
        <f aca="false">IF((E163="q"),H163," ")</f>
        <v> </v>
      </c>
      <c r="X163" s="17" t="str">
        <f aca="false">IF((E163="m"),H163," ")</f>
        <v> </v>
      </c>
      <c r="Y163" s="17" t="str">
        <f aca="false">IF((E163="u"),H163," ")</f>
        <v> </v>
      </c>
      <c r="Z163" s="17" t="str">
        <f aca="false">IF((E163="a"),H163," ")</f>
        <v> </v>
      </c>
      <c r="AA163" s="17" t="str">
        <f aca="false">IF((E163="g"),H163," ")</f>
        <v> </v>
      </c>
      <c r="AB163" s="17" t="str">
        <f aca="false">IF((E163="h"),H163," ")</f>
        <v> </v>
      </c>
      <c r="AC163" s="30" t="str">
        <f aca="false">IF((E163="v"),H163," ")</f>
        <v> </v>
      </c>
      <c r="AD163" s="30" t="str">
        <f aca="false">IF((E163="n"),H163," ")</f>
        <v> </v>
      </c>
      <c r="AE163" s="17" t="str">
        <f aca="false">IF((E163="f"),H163," ")</f>
        <v> </v>
      </c>
      <c r="AF163" s="17" t="str">
        <f aca="false">IF((E163="l"),H163," ")</f>
        <v> </v>
      </c>
      <c r="AG163" s="17" t="str">
        <f aca="false">IF((E163="y"),H163," ")</f>
        <v> </v>
      </c>
      <c r="AH163" s="17" t="str">
        <f aca="false">IF((E163="z"),H163," ")</f>
        <v> </v>
      </c>
      <c r="AI163" s="17" t="str">
        <f aca="false">IF((E163="fa"),H163," ")</f>
        <v> </v>
      </c>
      <c r="AJ163" s="17" t="str">
        <f aca="false">IF((E163="e"),H163," ")</f>
        <v> </v>
      </c>
    </row>
    <row r="164" customFormat="false" ht="12" hidden="false" customHeight="false" outlineLevel="0" collapsed="false">
      <c r="A164" s="28"/>
      <c r="E164" s="2" t="str">
        <f aca="false">IF((F164&lt;&gt;0),"Enter Letter"," ")</f>
        <v> </v>
      </c>
      <c r="F164" s="30"/>
      <c r="G164" s="6" t="str">
        <f aca="false">IF(F164&lt;&gt;0,F164*G$2/(100+G$2)," ")</f>
        <v> </v>
      </c>
      <c r="H164" s="6" t="str">
        <f aca="false">IF((F164&lt;&gt;0),F164-G164," ")</f>
        <v> </v>
      </c>
      <c r="I164" s="5"/>
      <c r="L164" s="7" t="str">
        <f aca="false">IF(F164&lt;&gt;0,F164-K164," ")</f>
        <v> </v>
      </c>
      <c r="M164" s="8" t="str">
        <f aca="false">IF((F164-K164)&lt;&gt;0,M$1-A164," ")</f>
        <v> </v>
      </c>
      <c r="N164" s="5"/>
      <c r="O164" s="17" t="str">
        <f aca="false">IF((E164="s"),H164," ")</f>
        <v> </v>
      </c>
      <c r="P164" s="17" t="str">
        <f aca="false">IF((E164="c"),H164," ")</f>
        <v> </v>
      </c>
      <c r="Q164" s="17" t="str">
        <f aca="false">IF((E164="o"),H164," ")</f>
        <v> </v>
      </c>
      <c r="R164" s="17" t="str">
        <f aca="false">IF((E164="d"),H164," ")</f>
        <v> </v>
      </c>
      <c r="S164" s="17" t="str">
        <f aca="false">IF((E164="w"),H164," ")</f>
        <v> </v>
      </c>
      <c r="T164" s="17" t="str">
        <f aca="false">IF((E164="r"),H164," ")</f>
        <v> </v>
      </c>
      <c r="U164" s="17" t="str">
        <f aca="false">IF((E164="p"),H164," ")</f>
        <v> </v>
      </c>
      <c r="V164" s="17" t="str">
        <f aca="false">IF((E164="t"),H164," ")</f>
        <v> </v>
      </c>
      <c r="W164" s="17" t="str">
        <f aca="false">IF((E164="q"),H164," ")</f>
        <v> </v>
      </c>
      <c r="X164" s="17" t="str">
        <f aca="false">IF((E164="m"),H164," ")</f>
        <v> </v>
      </c>
      <c r="Y164" s="17" t="str">
        <f aca="false">IF((E164="u"),H164," ")</f>
        <v> </v>
      </c>
      <c r="Z164" s="17" t="str">
        <f aca="false">IF((E164="a"),H164," ")</f>
        <v> </v>
      </c>
      <c r="AA164" s="17" t="str">
        <f aca="false">IF((E164="g"),H164," ")</f>
        <v> </v>
      </c>
      <c r="AB164" s="17" t="str">
        <f aca="false">IF((E164="h"),H164," ")</f>
        <v> </v>
      </c>
      <c r="AC164" s="30" t="str">
        <f aca="false">IF((E164="v"),H164," ")</f>
        <v> </v>
      </c>
      <c r="AD164" s="30" t="str">
        <f aca="false">IF((E164="n"),H164," ")</f>
        <v> </v>
      </c>
      <c r="AE164" s="17" t="str">
        <f aca="false">IF((E164="f"),H164," ")</f>
        <v> </v>
      </c>
      <c r="AF164" s="17" t="str">
        <f aca="false">IF((E164="l"),H164," ")</f>
        <v> </v>
      </c>
      <c r="AG164" s="17" t="str">
        <f aca="false">IF((E164="y"),H164," ")</f>
        <v> </v>
      </c>
      <c r="AH164" s="17" t="str">
        <f aca="false">IF((E164="z"),H164," ")</f>
        <v> </v>
      </c>
      <c r="AI164" s="17" t="str">
        <f aca="false">IF((E164="fa"),H164," ")</f>
        <v> </v>
      </c>
      <c r="AJ164" s="17" t="str">
        <f aca="false">IF((E164="e"),H164," ")</f>
        <v> </v>
      </c>
    </row>
    <row r="165" customFormat="false" ht="12" hidden="false" customHeight="false" outlineLevel="0" collapsed="false">
      <c r="A165" s="28"/>
      <c r="E165" s="2" t="str">
        <f aca="false">IF((F165&lt;&gt;0),"Enter Letter"," ")</f>
        <v> </v>
      </c>
      <c r="F165" s="30"/>
      <c r="G165" s="6" t="str">
        <f aca="false">IF(F165&lt;&gt;0,F165*G$2/(100+G$2)," ")</f>
        <v> </v>
      </c>
      <c r="H165" s="6" t="str">
        <f aca="false">IF((F165&lt;&gt;0),F165-G165," ")</f>
        <v> </v>
      </c>
      <c r="I165" s="5"/>
      <c r="L165" s="7" t="str">
        <f aca="false">IF(F165&lt;&gt;0,F165-K165," ")</f>
        <v> </v>
      </c>
      <c r="M165" s="8" t="str">
        <f aca="false">IF((F165-K165)&lt;&gt;0,M$1-A165," ")</f>
        <v> </v>
      </c>
      <c r="N165" s="5"/>
      <c r="O165" s="17" t="str">
        <f aca="false">IF((E165="s"),H165," ")</f>
        <v> </v>
      </c>
      <c r="P165" s="17" t="str">
        <f aca="false">IF((E165="c"),H165," ")</f>
        <v> </v>
      </c>
      <c r="Q165" s="17" t="str">
        <f aca="false">IF((E165="o"),H165," ")</f>
        <v> </v>
      </c>
      <c r="R165" s="17" t="str">
        <f aca="false">IF((E165="d"),H165," ")</f>
        <v> </v>
      </c>
      <c r="S165" s="17" t="str">
        <f aca="false">IF((E165="w"),H165," ")</f>
        <v> </v>
      </c>
      <c r="T165" s="17" t="str">
        <f aca="false">IF((E165="r"),H165," ")</f>
        <v> </v>
      </c>
      <c r="U165" s="17" t="str">
        <f aca="false">IF((E165="p"),H165," ")</f>
        <v> </v>
      </c>
      <c r="V165" s="17" t="str">
        <f aca="false">IF((E165="t"),H165," ")</f>
        <v> </v>
      </c>
      <c r="W165" s="17" t="str">
        <f aca="false">IF((E165="q"),H165," ")</f>
        <v> </v>
      </c>
      <c r="X165" s="17" t="str">
        <f aca="false">IF((E165="m"),H165," ")</f>
        <v> </v>
      </c>
      <c r="Y165" s="17" t="str">
        <f aca="false">IF((E165="u"),H165," ")</f>
        <v> </v>
      </c>
      <c r="Z165" s="17" t="str">
        <f aca="false">IF((E165="a"),H165," ")</f>
        <v> </v>
      </c>
      <c r="AA165" s="17" t="str">
        <f aca="false">IF((E165="g"),H165," ")</f>
        <v> </v>
      </c>
      <c r="AB165" s="17" t="str">
        <f aca="false">IF((E165="h"),H165," ")</f>
        <v> </v>
      </c>
      <c r="AC165" s="30" t="str">
        <f aca="false">IF((E165="v"),H165," ")</f>
        <v> </v>
      </c>
      <c r="AD165" s="30" t="str">
        <f aca="false">IF((E165="n"),H165," ")</f>
        <v> </v>
      </c>
      <c r="AE165" s="17" t="str">
        <f aca="false">IF((E165="f"),H165," ")</f>
        <v> </v>
      </c>
      <c r="AF165" s="17" t="str">
        <f aca="false">IF((E165="l"),H165," ")</f>
        <v> </v>
      </c>
      <c r="AG165" s="17" t="str">
        <f aca="false">IF((E165="y"),H165," ")</f>
        <v> </v>
      </c>
      <c r="AH165" s="17" t="str">
        <f aca="false">IF((E165="z"),H165," ")</f>
        <v> </v>
      </c>
      <c r="AI165" s="17" t="str">
        <f aca="false">IF((E165="fa"),H165," ")</f>
        <v> </v>
      </c>
      <c r="AJ165" s="17" t="str">
        <f aca="false">IF((E165="e"),H165," ")</f>
        <v> </v>
      </c>
    </row>
    <row r="166" customFormat="false" ht="12" hidden="false" customHeight="false" outlineLevel="0" collapsed="false">
      <c r="A166" s="28"/>
      <c r="E166" s="2" t="str">
        <f aca="false">IF((F166&lt;&gt;0),"Enter Letter"," ")</f>
        <v> </v>
      </c>
      <c r="F166" s="30"/>
      <c r="G166" s="6" t="str">
        <f aca="false">IF(F166&lt;&gt;0,F166*G$2/(100+G$2)," ")</f>
        <v> </v>
      </c>
      <c r="H166" s="6" t="str">
        <f aca="false">IF((F166&lt;&gt;0),F166-G166," ")</f>
        <v> </v>
      </c>
      <c r="I166" s="5"/>
      <c r="L166" s="7" t="str">
        <f aca="false">IF(F166&lt;&gt;0,F166-K166," ")</f>
        <v> </v>
      </c>
      <c r="M166" s="8" t="str">
        <f aca="false">IF((F166-K166)&lt;&gt;0,M$1-A166," ")</f>
        <v> </v>
      </c>
      <c r="N166" s="5"/>
      <c r="O166" s="17" t="str">
        <f aca="false">IF((E166="s"),H166," ")</f>
        <v> </v>
      </c>
      <c r="P166" s="17" t="str">
        <f aca="false">IF((E166="c"),H166," ")</f>
        <v> </v>
      </c>
      <c r="Q166" s="17" t="str">
        <f aca="false">IF((E166="o"),H166," ")</f>
        <v> </v>
      </c>
      <c r="R166" s="17" t="str">
        <f aca="false">IF((E166="d"),H166," ")</f>
        <v> </v>
      </c>
      <c r="S166" s="17" t="str">
        <f aca="false">IF((E166="w"),H166," ")</f>
        <v> </v>
      </c>
      <c r="T166" s="17" t="str">
        <f aca="false">IF((E166="r"),H166," ")</f>
        <v> </v>
      </c>
      <c r="U166" s="17" t="str">
        <f aca="false">IF((E166="p"),H166," ")</f>
        <v> </v>
      </c>
      <c r="V166" s="17" t="str">
        <f aca="false">IF((E166="t"),H166," ")</f>
        <v> </v>
      </c>
      <c r="W166" s="17" t="str">
        <f aca="false">IF((E166="q"),H166," ")</f>
        <v> </v>
      </c>
      <c r="X166" s="17" t="str">
        <f aca="false">IF((E166="m"),H166," ")</f>
        <v> </v>
      </c>
      <c r="Y166" s="17" t="str">
        <f aca="false">IF((E166="u"),H166," ")</f>
        <v> </v>
      </c>
      <c r="Z166" s="17" t="str">
        <f aca="false">IF((E166="a"),H166," ")</f>
        <v> </v>
      </c>
      <c r="AA166" s="17" t="str">
        <f aca="false">IF((E166="g"),H166," ")</f>
        <v> </v>
      </c>
      <c r="AB166" s="17" t="str">
        <f aca="false">IF((E166="h"),H166," ")</f>
        <v> </v>
      </c>
      <c r="AC166" s="30" t="str">
        <f aca="false">IF((E166="v"),H166," ")</f>
        <v> </v>
      </c>
      <c r="AD166" s="30" t="str">
        <f aca="false">IF((E166="n"),H166," ")</f>
        <v> </v>
      </c>
      <c r="AE166" s="17" t="str">
        <f aca="false">IF((E166="f"),H166," ")</f>
        <v> </v>
      </c>
      <c r="AF166" s="17" t="str">
        <f aca="false">IF((E166="l"),H166," ")</f>
        <v> </v>
      </c>
      <c r="AG166" s="17" t="str">
        <f aca="false">IF((E166="y"),H166," ")</f>
        <v> </v>
      </c>
      <c r="AH166" s="17" t="str">
        <f aca="false">IF((E166="z"),H166," ")</f>
        <v> </v>
      </c>
      <c r="AI166" s="17" t="str">
        <f aca="false">IF((E166="fa"),H166," ")</f>
        <v> </v>
      </c>
      <c r="AJ166" s="17" t="str">
        <f aca="false">IF((E166="e"),H166," ")</f>
        <v> </v>
      </c>
    </row>
    <row r="167" customFormat="false" ht="12" hidden="false" customHeight="false" outlineLevel="0" collapsed="false">
      <c r="A167" s="28"/>
      <c r="E167" s="2" t="str">
        <f aca="false">IF((F167&lt;&gt;0),"Enter Letter"," ")</f>
        <v> </v>
      </c>
      <c r="F167" s="30"/>
      <c r="G167" s="6" t="str">
        <f aca="false">IF(F167&lt;&gt;0,F167*G$2/(100+G$2)," ")</f>
        <v> </v>
      </c>
      <c r="H167" s="6" t="str">
        <f aca="false">IF((F167&lt;&gt;0),F167-G167," ")</f>
        <v> </v>
      </c>
      <c r="I167" s="5"/>
      <c r="L167" s="7" t="str">
        <f aca="false">IF(F167&lt;&gt;0,F167-K167," ")</f>
        <v> </v>
      </c>
      <c r="M167" s="8" t="str">
        <f aca="false">IF((F167-K167)&lt;&gt;0,M$1-A167," ")</f>
        <v> </v>
      </c>
      <c r="N167" s="5"/>
      <c r="O167" s="17" t="str">
        <f aca="false">IF((E167="s"),H167," ")</f>
        <v> </v>
      </c>
      <c r="P167" s="17" t="str">
        <f aca="false">IF((E167="c"),H167," ")</f>
        <v> </v>
      </c>
      <c r="Q167" s="17" t="str">
        <f aca="false">IF((E167="o"),H167," ")</f>
        <v> </v>
      </c>
      <c r="R167" s="17" t="str">
        <f aca="false">IF((E167="d"),H167," ")</f>
        <v> </v>
      </c>
      <c r="S167" s="17" t="str">
        <f aca="false">IF((E167="w"),H167," ")</f>
        <v> </v>
      </c>
      <c r="T167" s="17" t="str">
        <f aca="false">IF((E167="r"),H167," ")</f>
        <v> </v>
      </c>
      <c r="U167" s="17" t="str">
        <f aca="false">IF((E167="p"),H167," ")</f>
        <v> </v>
      </c>
      <c r="V167" s="17" t="str">
        <f aca="false">IF((E167="t"),H167," ")</f>
        <v> </v>
      </c>
      <c r="W167" s="17" t="str">
        <f aca="false">IF((E167="q"),H167," ")</f>
        <v> </v>
      </c>
      <c r="X167" s="17" t="str">
        <f aca="false">IF((E167="m"),H167," ")</f>
        <v> </v>
      </c>
      <c r="Y167" s="17" t="str">
        <f aca="false">IF((E167="u"),H167," ")</f>
        <v> </v>
      </c>
      <c r="Z167" s="17" t="str">
        <f aca="false">IF((E167="a"),H167," ")</f>
        <v> </v>
      </c>
      <c r="AA167" s="17" t="str">
        <f aca="false">IF((E167="g"),H167," ")</f>
        <v> </v>
      </c>
      <c r="AB167" s="17" t="str">
        <f aca="false">IF((E167="h"),H167," ")</f>
        <v> </v>
      </c>
      <c r="AC167" s="30" t="str">
        <f aca="false">IF((E167="v"),H167," ")</f>
        <v> </v>
      </c>
      <c r="AD167" s="30" t="str">
        <f aca="false">IF((E167="n"),H167," ")</f>
        <v> </v>
      </c>
      <c r="AE167" s="17" t="str">
        <f aca="false">IF((E167="f"),H167," ")</f>
        <v> </v>
      </c>
      <c r="AF167" s="17" t="str">
        <f aca="false">IF((E167="l"),H167," ")</f>
        <v> </v>
      </c>
      <c r="AG167" s="17" t="str">
        <f aca="false">IF((E167="y"),H167," ")</f>
        <v> </v>
      </c>
      <c r="AH167" s="17" t="str">
        <f aca="false">IF((E167="z"),H167," ")</f>
        <v> </v>
      </c>
      <c r="AI167" s="17" t="str">
        <f aca="false">IF((E167="fa"),H167," ")</f>
        <v> </v>
      </c>
      <c r="AJ167" s="17" t="str">
        <f aca="false">IF((E167="e"),H167," ")</f>
        <v> </v>
      </c>
    </row>
    <row r="168" customFormat="false" ht="12" hidden="false" customHeight="false" outlineLevel="0" collapsed="false">
      <c r="A168" s="28"/>
      <c r="E168" s="2" t="str">
        <f aca="false">IF((F168&lt;&gt;0),"Enter Letter"," ")</f>
        <v> </v>
      </c>
      <c r="F168" s="30"/>
      <c r="G168" s="6" t="str">
        <f aca="false">IF(F168&lt;&gt;0,F168*G$2/(100+G$2)," ")</f>
        <v> </v>
      </c>
      <c r="H168" s="6" t="str">
        <f aca="false">IF((F168&lt;&gt;0),F168-G168," ")</f>
        <v> </v>
      </c>
      <c r="I168" s="5"/>
      <c r="L168" s="7" t="str">
        <f aca="false">IF(F168&lt;&gt;0,F168-K168," ")</f>
        <v> </v>
      </c>
      <c r="M168" s="8" t="str">
        <f aca="false">IF((F168-K168)&lt;&gt;0,M$1-A168," ")</f>
        <v> </v>
      </c>
      <c r="N168" s="5"/>
      <c r="O168" s="17" t="str">
        <f aca="false">IF((E168="s"),H168," ")</f>
        <v> </v>
      </c>
      <c r="P168" s="17" t="str">
        <f aca="false">IF((E168="c"),H168," ")</f>
        <v> </v>
      </c>
      <c r="Q168" s="17" t="str">
        <f aca="false">IF((E168="o"),H168," ")</f>
        <v> </v>
      </c>
      <c r="R168" s="17" t="str">
        <f aca="false">IF((E168="d"),H168," ")</f>
        <v> </v>
      </c>
      <c r="S168" s="17" t="str">
        <f aca="false">IF((E168="w"),H168," ")</f>
        <v> </v>
      </c>
      <c r="T168" s="17" t="str">
        <f aca="false">IF((E168="r"),H168," ")</f>
        <v> </v>
      </c>
      <c r="U168" s="17" t="str">
        <f aca="false">IF((E168="p"),H168," ")</f>
        <v> </v>
      </c>
      <c r="V168" s="17" t="str">
        <f aca="false">IF((E168="t"),H168," ")</f>
        <v> </v>
      </c>
      <c r="W168" s="17" t="str">
        <f aca="false">IF((E168="q"),H168," ")</f>
        <v> </v>
      </c>
      <c r="X168" s="17" t="str">
        <f aca="false">IF((E168="m"),H168," ")</f>
        <v> </v>
      </c>
      <c r="Y168" s="17" t="str">
        <f aca="false">IF((E168="u"),H168," ")</f>
        <v> </v>
      </c>
      <c r="Z168" s="17" t="str">
        <f aca="false">IF((E168="a"),H168," ")</f>
        <v> </v>
      </c>
      <c r="AA168" s="17" t="str">
        <f aca="false">IF((E168="g"),H168," ")</f>
        <v> </v>
      </c>
      <c r="AB168" s="17" t="str">
        <f aca="false">IF((E168="h"),H168," ")</f>
        <v> </v>
      </c>
      <c r="AC168" s="30" t="str">
        <f aca="false">IF((E168="v"),H168," ")</f>
        <v> </v>
      </c>
      <c r="AD168" s="30" t="str">
        <f aca="false">IF((E168="n"),H168," ")</f>
        <v> </v>
      </c>
      <c r="AE168" s="17" t="str">
        <f aca="false">IF((E168="f"),H168," ")</f>
        <v> </v>
      </c>
      <c r="AF168" s="17" t="str">
        <f aca="false">IF((E168="l"),H168," ")</f>
        <v> </v>
      </c>
      <c r="AG168" s="17" t="str">
        <f aca="false">IF((E168="y"),H168," ")</f>
        <v> </v>
      </c>
      <c r="AH168" s="17" t="str">
        <f aca="false">IF((E168="z"),H168," ")</f>
        <v> </v>
      </c>
      <c r="AI168" s="17" t="str">
        <f aca="false">IF((E168="fa"),H168," ")</f>
        <v> </v>
      </c>
      <c r="AJ168" s="17" t="str">
        <f aca="false">IF((E168="e"),H168," ")</f>
        <v> </v>
      </c>
    </row>
    <row r="169" customFormat="false" ht="12" hidden="false" customHeight="false" outlineLevel="0" collapsed="false">
      <c r="A169" s="28"/>
      <c r="E169" s="2" t="str">
        <f aca="false">IF((F169&lt;&gt;0),"Enter Letter"," ")</f>
        <v> </v>
      </c>
      <c r="F169" s="30"/>
      <c r="G169" s="6" t="str">
        <f aca="false">IF(F169&lt;&gt;0,F169*G$2/(100+G$2)," ")</f>
        <v> </v>
      </c>
      <c r="H169" s="6" t="str">
        <f aca="false">IF((F169&lt;&gt;0),F169-G169," ")</f>
        <v> </v>
      </c>
      <c r="I169" s="5"/>
      <c r="L169" s="7" t="str">
        <f aca="false">IF(F169&lt;&gt;0,F169-K169," ")</f>
        <v> </v>
      </c>
      <c r="M169" s="8" t="str">
        <f aca="false">IF((F169-K169)&lt;&gt;0,M$1-A169," ")</f>
        <v> </v>
      </c>
      <c r="N169" s="5"/>
      <c r="O169" s="17" t="str">
        <f aca="false">IF((E169="s"),H169," ")</f>
        <v> </v>
      </c>
      <c r="P169" s="17" t="str">
        <f aca="false">IF((E169="c"),H169," ")</f>
        <v> </v>
      </c>
      <c r="Q169" s="17" t="str">
        <f aca="false">IF((E169="o"),H169," ")</f>
        <v> </v>
      </c>
      <c r="R169" s="17" t="str">
        <f aca="false">IF((E169="d"),H169," ")</f>
        <v> </v>
      </c>
      <c r="S169" s="17" t="str">
        <f aca="false">IF((E169="w"),H169," ")</f>
        <v> </v>
      </c>
      <c r="T169" s="17" t="str">
        <f aca="false">IF((E169="r"),H169," ")</f>
        <v> </v>
      </c>
      <c r="U169" s="17" t="str">
        <f aca="false">IF((E169="p"),H169," ")</f>
        <v> </v>
      </c>
      <c r="V169" s="17" t="str">
        <f aca="false">IF((E169="t"),H169," ")</f>
        <v> </v>
      </c>
      <c r="W169" s="17" t="str">
        <f aca="false">IF((E169="q"),H169," ")</f>
        <v> </v>
      </c>
      <c r="X169" s="17" t="str">
        <f aca="false">IF((E169="m"),H169," ")</f>
        <v> </v>
      </c>
      <c r="Y169" s="17" t="str">
        <f aca="false">IF((E169="u"),H169," ")</f>
        <v> </v>
      </c>
      <c r="Z169" s="17" t="str">
        <f aca="false">IF((E169="a"),H169," ")</f>
        <v> </v>
      </c>
      <c r="AA169" s="17" t="str">
        <f aca="false">IF((E169="g"),H169," ")</f>
        <v> </v>
      </c>
      <c r="AB169" s="17" t="str">
        <f aca="false">IF((E169="h"),H169," ")</f>
        <v> </v>
      </c>
      <c r="AC169" s="30" t="str">
        <f aca="false">IF((E169="v"),H169," ")</f>
        <v> </v>
      </c>
      <c r="AD169" s="30" t="str">
        <f aca="false">IF((E169="n"),H169," ")</f>
        <v> </v>
      </c>
      <c r="AE169" s="17" t="str">
        <f aca="false">IF((E169="f"),H169," ")</f>
        <v> </v>
      </c>
      <c r="AF169" s="17" t="str">
        <f aca="false">IF((E169="l"),H169," ")</f>
        <v> </v>
      </c>
      <c r="AG169" s="17" t="str">
        <f aca="false">IF((E169="y"),H169," ")</f>
        <v> </v>
      </c>
      <c r="AH169" s="17" t="str">
        <f aca="false">IF((E169="z"),H169," ")</f>
        <v> </v>
      </c>
      <c r="AI169" s="17" t="str">
        <f aca="false">IF((E169="fa"),H169," ")</f>
        <v> </v>
      </c>
      <c r="AJ169" s="17" t="str">
        <f aca="false">IF((E169="e"),H169," ")</f>
        <v> </v>
      </c>
    </row>
    <row r="170" customFormat="false" ht="12" hidden="false" customHeight="false" outlineLevel="0" collapsed="false">
      <c r="A170" s="28"/>
      <c r="E170" s="2" t="str">
        <f aca="false">IF((F170&lt;&gt;0),"Enter Letter"," ")</f>
        <v> </v>
      </c>
      <c r="F170" s="30"/>
      <c r="G170" s="6" t="str">
        <f aca="false">IF(F170&lt;&gt;0,F170*G$2/(100+G$2)," ")</f>
        <v> </v>
      </c>
      <c r="H170" s="6" t="str">
        <f aca="false">IF((F170&lt;&gt;0),F170-G170," ")</f>
        <v> </v>
      </c>
      <c r="I170" s="5"/>
      <c r="L170" s="7" t="str">
        <f aca="false">IF(F170&lt;&gt;0,F170-K170," ")</f>
        <v> </v>
      </c>
      <c r="M170" s="8" t="str">
        <f aca="false">IF((F170-K170)&lt;&gt;0,M$1-A170," ")</f>
        <v> </v>
      </c>
      <c r="N170" s="5"/>
      <c r="O170" s="17" t="str">
        <f aca="false">IF((E170="s"),H170," ")</f>
        <v> </v>
      </c>
      <c r="P170" s="17" t="str">
        <f aca="false">IF((E170="c"),H170," ")</f>
        <v> </v>
      </c>
      <c r="Q170" s="17" t="str">
        <f aca="false">IF((E170="o"),H170," ")</f>
        <v> </v>
      </c>
      <c r="R170" s="17" t="str">
        <f aca="false">IF((E170="d"),H170," ")</f>
        <v> </v>
      </c>
      <c r="S170" s="17" t="str">
        <f aca="false">IF((E170="w"),H170," ")</f>
        <v> </v>
      </c>
      <c r="T170" s="17" t="str">
        <f aca="false">IF((E170="r"),H170," ")</f>
        <v> </v>
      </c>
      <c r="U170" s="17" t="str">
        <f aca="false">IF((E170="p"),H170," ")</f>
        <v> </v>
      </c>
      <c r="V170" s="17" t="str">
        <f aca="false">IF((E170="t"),H170," ")</f>
        <v> </v>
      </c>
      <c r="W170" s="17" t="str">
        <f aca="false">IF((E170="q"),H170," ")</f>
        <v> </v>
      </c>
      <c r="X170" s="17" t="str">
        <f aca="false">IF((E170="m"),H170," ")</f>
        <v> </v>
      </c>
      <c r="Y170" s="17" t="str">
        <f aca="false">IF((E170="u"),H170," ")</f>
        <v> </v>
      </c>
      <c r="Z170" s="17" t="str">
        <f aca="false">IF((E170="a"),H170," ")</f>
        <v> </v>
      </c>
      <c r="AA170" s="17" t="str">
        <f aca="false">IF((E170="g"),H170," ")</f>
        <v> </v>
      </c>
      <c r="AB170" s="17" t="str">
        <f aca="false">IF((E170="h"),H170," ")</f>
        <v> </v>
      </c>
      <c r="AC170" s="30" t="str">
        <f aca="false">IF((E170="v"),H170," ")</f>
        <v> </v>
      </c>
      <c r="AD170" s="30" t="str">
        <f aca="false">IF((E170="n"),H170," ")</f>
        <v> </v>
      </c>
      <c r="AE170" s="17" t="str">
        <f aca="false">IF((E170="f"),H170," ")</f>
        <v> </v>
      </c>
      <c r="AF170" s="17" t="str">
        <f aca="false">IF((E170="l"),H170," ")</f>
        <v> </v>
      </c>
      <c r="AG170" s="17" t="str">
        <f aca="false">IF((E170="y"),H170," ")</f>
        <v> </v>
      </c>
      <c r="AH170" s="17" t="str">
        <f aca="false">IF((E170="z"),H170," ")</f>
        <v> </v>
      </c>
      <c r="AI170" s="17" t="str">
        <f aca="false">IF((E170="fa"),H170," ")</f>
        <v> </v>
      </c>
      <c r="AJ170" s="17" t="str">
        <f aca="false">IF((E170="e"),H170," ")</f>
        <v> </v>
      </c>
    </row>
    <row r="171" customFormat="false" ht="12" hidden="false" customHeight="false" outlineLevel="0" collapsed="false">
      <c r="A171" s="28"/>
      <c r="E171" s="2" t="str">
        <f aca="false">IF((F171&lt;&gt;0),"Enter Letter"," ")</f>
        <v> </v>
      </c>
      <c r="F171" s="30"/>
      <c r="G171" s="6" t="str">
        <f aca="false">IF(F171&lt;&gt;0,F171*G$2/(100+G$2)," ")</f>
        <v> </v>
      </c>
      <c r="H171" s="6" t="str">
        <f aca="false">IF((F171&lt;&gt;0),F171-G171," ")</f>
        <v> </v>
      </c>
      <c r="I171" s="5"/>
      <c r="L171" s="7" t="str">
        <f aca="false">IF(F171&lt;&gt;0,F171-K171," ")</f>
        <v> </v>
      </c>
      <c r="M171" s="8" t="str">
        <f aca="false">IF((F171-K171)&lt;&gt;0,M$1-A171," ")</f>
        <v> </v>
      </c>
      <c r="N171" s="5"/>
      <c r="O171" s="17" t="str">
        <f aca="false">IF((E171="s"),H171," ")</f>
        <v> </v>
      </c>
      <c r="P171" s="17" t="str">
        <f aca="false">IF((E171="c"),H171," ")</f>
        <v> </v>
      </c>
      <c r="Q171" s="17" t="str">
        <f aca="false">IF((E171="o"),H171," ")</f>
        <v> </v>
      </c>
      <c r="R171" s="17" t="str">
        <f aca="false">IF((E171="d"),H171," ")</f>
        <v> </v>
      </c>
      <c r="S171" s="17" t="str">
        <f aca="false">IF((E171="w"),H171," ")</f>
        <v> </v>
      </c>
      <c r="T171" s="17" t="str">
        <f aca="false">IF((E171="r"),H171," ")</f>
        <v> </v>
      </c>
      <c r="U171" s="17" t="str">
        <f aca="false">IF((E171="p"),H171," ")</f>
        <v> </v>
      </c>
      <c r="V171" s="17" t="str">
        <f aca="false">IF((E171="t"),H171," ")</f>
        <v> </v>
      </c>
      <c r="W171" s="17" t="str">
        <f aca="false">IF((E171="q"),H171," ")</f>
        <v> </v>
      </c>
      <c r="X171" s="17" t="str">
        <f aca="false">IF((E171="m"),H171," ")</f>
        <v> </v>
      </c>
      <c r="Y171" s="17" t="str">
        <f aca="false">IF((E171="u"),H171," ")</f>
        <v> </v>
      </c>
      <c r="Z171" s="17" t="str">
        <f aca="false">IF((E171="a"),H171," ")</f>
        <v> </v>
      </c>
      <c r="AA171" s="17" t="str">
        <f aca="false">IF((E171="g"),H171," ")</f>
        <v> </v>
      </c>
      <c r="AB171" s="17" t="str">
        <f aca="false">IF((E171="h"),H171," ")</f>
        <v> </v>
      </c>
      <c r="AC171" s="30" t="str">
        <f aca="false">IF((E171="v"),H171," ")</f>
        <v> </v>
      </c>
      <c r="AD171" s="30" t="str">
        <f aca="false">IF((E171="n"),H171," ")</f>
        <v> </v>
      </c>
      <c r="AE171" s="17" t="str">
        <f aca="false">IF((E171="f"),H171," ")</f>
        <v> </v>
      </c>
      <c r="AF171" s="17" t="str">
        <f aca="false">IF((E171="l"),H171," ")</f>
        <v> </v>
      </c>
      <c r="AG171" s="17" t="str">
        <f aca="false">IF((E171="y"),H171," ")</f>
        <v> </v>
      </c>
      <c r="AH171" s="17" t="str">
        <f aca="false">IF((E171="z"),H171," ")</f>
        <v> </v>
      </c>
      <c r="AI171" s="17" t="str">
        <f aca="false">IF((E171="fa"),H171," ")</f>
        <v> </v>
      </c>
      <c r="AJ171" s="17" t="str">
        <f aca="false">IF((E171="e"),H171," ")</f>
        <v> </v>
      </c>
    </row>
    <row r="172" customFormat="false" ht="12" hidden="false" customHeight="false" outlineLevel="0" collapsed="false">
      <c r="A172" s="28"/>
      <c r="E172" s="2" t="str">
        <f aca="false">IF((F172&lt;&gt;0),"Enter Letter"," ")</f>
        <v> </v>
      </c>
      <c r="F172" s="30"/>
      <c r="G172" s="6" t="str">
        <f aca="false">IF(F172&lt;&gt;0,F172*G$2/(100+G$2)," ")</f>
        <v> </v>
      </c>
      <c r="H172" s="6" t="str">
        <f aca="false">IF((F172&lt;&gt;0),F172-G172," ")</f>
        <v> </v>
      </c>
      <c r="I172" s="5"/>
      <c r="L172" s="7" t="str">
        <f aca="false">IF(F172&lt;&gt;0,F172-K172," ")</f>
        <v> </v>
      </c>
      <c r="M172" s="8" t="str">
        <f aca="false">IF((F172-K172)&lt;&gt;0,M$1-A172," ")</f>
        <v> </v>
      </c>
      <c r="N172" s="5"/>
      <c r="O172" s="17" t="str">
        <f aca="false">IF((E172="s"),H172," ")</f>
        <v> </v>
      </c>
      <c r="P172" s="17" t="str">
        <f aca="false">IF((E172="c"),H172," ")</f>
        <v> </v>
      </c>
      <c r="Q172" s="17" t="str">
        <f aca="false">IF((E172="o"),H172," ")</f>
        <v> </v>
      </c>
      <c r="R172" s="17" t="str">
        <f aca="false">IF((E172="d"),H172," ")</f>
        <v> </v>
      </c>
      <c r="S172" s="17" t="str">
        <f aca="false">IF((E172="w"),H172," ")</f>
        <v> </v>
      </c>
      <c r="T172" s="17" t="str">
        <f aca="false">IF((E172="r"),H172," ")</f>
        <v> </v>
      </c>
      <c r="U172" s="17" t="str">
        <f aca="false">IF((E172="p"),H172," ")</f>
        <v> </v>
      </c>
      <c r="V172" s="17" t="str">
        <f aca="false">IF((E172="t"),H172," ")</f>
        <v> </v>
      </c>
      <c r="W172" s="17" t="str">
        <f aca="false">IF((E172="q"),H172," ")</f>
        <v> </v>
      </c>
      <c r="X172" s="17" t="str">
        <f aca="false">IF((E172="m"),H172," ")</f>
        <v> </v>
      </c>
      <c r="Y172" s="17" t="str">
        <f aca="false">IF((E172="u"),H172," ")</f>
        <v> </v>
      </c>
      <c r="Z172" s="17" t="str">
        <f aca="false">IF((E172="a"),H172," ")</f>
        <v> </v>
      </c>
      <c r="AA172" s="17" t="str">
        <f aca="false">IF((E172="g"),H172," ")</f>
        <v> </v>
      </c>
      <c r="AB172" s="17" t="str">
        <f aca="false">IF((E172="h"),H172," ")</f>
        <v> </v>
      </c>
      <c r="AC172" s="30" t="str">
        <f aca="false">IF((E172="v"),H172," ")</f>
        <v> </v>
      </c>
      <c r="AD172" s="30" t="str">
        <f aca="false">IF((E172="n"),H172," ")</f>
        <v> </v>
      </c>
      <c r="AE172" s="17" t="str">
        <f aca="false">IF((E172="f"),H172," ")</f>
        <v> </v>
      </c>
      <c r="AF172" s="17" t="str">
        <f aca="false">IF((E172="l"),H172," ")</f>
        <v> </v>
      </c>
      <c r="AG172" s="17" t="str">
        <f aca="false">IF((E172="y"),H172," ")</f>
        <v> </v>
      </c>
      <c r="AH172" s="17" t="str">
        <f aca="false">IF((E172="z"),H172," ")</f>
        <v> </v>
      </c>
      <c r="AI172" s="17" t="str">
        <f aca="false">IF((E172="fa"),H172," ")</f>
        <v> </v>
      </c>
      <c r="AJ172" s="17" t="str">
        <f aca="false">IF((E172="e"),H172," ")</f>
        <v> </v>
      </c>
    </row>
    <row r="173" customFormat="false" ht="12" hidden="false" customHeight="false" outlineLevel="0" collapsed="false">
      <c r="A173" s="28"/>
      <c r="E173" s="2" t="str">
        <f aca="false">IF((F173&lt;&gt;0),"Enter Letter"," ")</f>
        <v> </v>
      </c>
      <c r="F173" s="30"/>
      <c r="G173" s="6" t="str">
        <f aca="false">IF(F173&lt;&gt;0,F173*G$2/(100+G$2)," ")</f>
        <v> </v>
      </c>
      <c r="H173" s="6" t="str">
        <f aca="false">IF((F173&lt;&gt;0),F173-G173," ")</f>
        <v> </v>
      </c>
      <c r="I173" s="5"/>
      <c r="L173" s="7" t="str">
        <f aca="false">IF(F173&lt;&gt;0,F173-K173," ")</f>
        <v> </v>
      </c>
      <c r="M173" s="8" t="str">
        <f aca="false">IF((F173-K173)&lt;&gt;0,M$1-A173," ")</f>
        <v> </v>
      </c>
      <c r="N173" s="5"/>
      <c r="O173" s="17" t="str">
        <f aca="false">IF((E173="s"),H173," ")</f>
        <v> </v>
      </c>
      <c r="P173" s="17" t="str">
        <f aca="false">IF((E173="c"),H173," ")</f>
        <v> </v>
      </c>
      <c r="Q173" s="17" t="str">
        <f aca="false">IF((E173="o"),H173," ")</f>
        <v> </v>
      </c>
      <c r="R173" s="17" t="str">
        <f aca="false">IF((E173="d"),H173," ")</f>
        <v> </v>
      </c>
      <c r="S173" s="17" t="str">
        <f aca="false">IF((E173="w"),H173," ")</f>
        <v> </v>
      </c>
      <c r="T173" s="17" t="str">
        <f aca="false">IF((E173="r"),H173," ")</f>
        <v> </v>
      </c>
      <c r="U173" s="17" t="str">
        <f aca="false">IF((E173="p"),H173," ")</f>
        <v> </v>
      </c>
      <c r="V173" s="17" t="str">
        <f aca="false">IF((E173="t"),H173," ")</f>
        <v> </v>
      </c>
      <c r="W173" s="17" t="str">
        <f aca="false">IF((E173="q"),H173," ")</f>
        <v> </v>
      </c>
      <c r="X173" s="17" t="str">
        <f aca="false">IF((E173="m"),H173," ")</f>
        <v> </v>
      </c>
      <c r="Y173" s="17" t="str">
        <f aca="false">IF((E173="u"),H173," ")</f>
        <v> </v>
      </c>
      <c r="Z173" s="17" t="str">
        <f aca="false">IF((E173="a"),H173," ")</f>
        <v> </v>
      </c>
      <c r="AA173" s="17" t="str">
        <f aca="false">IF((E173="g"),H173," ")</f>
        <v> </v>
      </c>
      <c r="AB173" s="17" t="str">
        <f aca="false">IF((E173="h"),H173," ")</f>
        <v> </v>
      </c>
      <c r="AC173" s="30" t="str">
        <f aca="false">IF((E173="v"),H173," ")</f>
        <v> </v>
      </c>
      <c r="AD173" s="30" t="str">
        <f aca="false">IF((E173="n"),H173," ")</f>
        <v> </v>
      </c>
      <c r="AE173" s="17" t="str">
        <f aca="false">IF((E173="f"),H173," ")</f>
        <v> </v>
      </c>
      <c r="AF173" s="17" t="str">
        <f aca="false">IF((E173="l"),H173," ")</f>
        <v> </v>
      </c>
      <c r="AG173" s="17" t="str">
        <f aca="false">IF((E173="y"),H173," ")</f>
        <v> </v>
      </c>
      <c r="AH173" s="17" t="str">
        <f aca="false">IF((E173="z"),H173," ")</f>
        <v> </v>
      </c>
      <c r="AI173" s="17" t="str">
        <f aca="false">IF((E173="fa"),H173," ")</f>
        <v> </v>
      </c>
      <c r="AJ173" s="17" t="str">
        <f aca="false">IF((E173="e"),H173," ")</f>
        <v> </v>
      </c>
    </row>
    <row r="174" customFormat="false" ht="12" hidden="false" customHeight="false" outlineLevel="0" collapsed="false">
      <c r="A174" s="28"/>
      <c r="E174" s="2" t="str">
        <f aca="false">IF((F174&lt;&gt;0),"Enter Letter"," ")</f>
        <v> </v>
      </c>
      <c r="F174" s="30"/>
      <c r="G174" s="6" t="str">
        <f aca="false">IF(F174&lt;&gt;0,F174*G$2/(100+G$2)," ")</f>
        <v> </v>
      </c>
      <c r="H174" s="6" t="str">
        <f aca="false">IF((F174&lt;&gt;0),F174-G174," ")</f>
        <v> </v>
      </c>
      <c r="I174" s="5"/>
      <c r="L174" s="7" t="str">
        <f aca="false">IF(F174&lt;&gt;0,F174-K174," ")</f>
        <v> </v>
      </c>
      <c r="M174" s="8" t="str">
        <f aca="false">IF((F174-K174)&lt;&gt;0,M$1-A174," ")</f>
        <v> </v>
      </c>
      <c r="N174" s="5"/>
      <c r="O174" s="17" t="str">
        <f aca="false">IF((E174="s"),H174," ")</f>
        <v> </v>
      </c>
      <c r="P174" s="17" t="str">
        <f aca="false">IF((E174="c"),H174," ")</f>
        <v> </v>
      </c>
      <c r="Q174" s="17" t="str">
        <f aca="false">IF((E174="o"),H174," ")</f>
        <v> </v>
      </c>
      <c r="R174" s="17" t="str">
        <f aca="false">IF((E174="d"),H174," ")</f>
        <v> </v>
      </c>
      <c r="S174" s="17" t="str">
        <f aca="false">IF((E174="w"),H174," ")</f>
        <v> </v>
      </c>
      <c r="T174" s="17" t="str">
        <f aca="false">IF((E174="r"),H174," ")</f>
        <v> </v>
      </c>
      <c r="U174" s="17" t="str">
        <f aca="false">IF((E174="p"),H174," ")</f>
        <v> </v>
      </c>
      <c r="V174" s="17" t="str">
        <f aca="false">IF((E174="t"),H174," ")</f>
        <v> </v>
      </c>
      <c r="W174" s="17" t="str">
        <f aca="false">IF((E174="q"),H174," ")</f>
        <v> </v>
      </c>
      <c r="X174" s="17" t="str">
        <f aca="false">IF((E174="m"),H174," ")</f>
        <v> </v>
      </c>
      <c r="Y174" s="17" t="str">
        <f aca="false">IF((E174="u"),H174," ")</f>
        <v> </v>
      </c>
      <c r="Z174" s="17" t="str">
        <f aca="false">IF((E174="a"),H174," ")</f>
        <v> </v>
      </c>
      <c r="AA174" s="17" t="str">
        <f aca="false">IF((E174="g"),H174," ")</f>
        <v> </v>
      </c>
      <c r="AB174" s="17" t="str">
        <f aca="false">IF((E174="h"),H174," ")</f>
        <v> </v>
      </c>
      <c r="AC174" s="30" t="str">
        <f aca="false">IF((E174="v"),H174," ")</f>
        <v> </v>
      </c>
      <c r="AD174" s="30" t="str">
        <f aca="false">IF((E174="n"),H174," ")</f>
        <v> </v>
      </c>
      <c r="AE174" s="17" t="str">
        <f aca="false">IF((E174="f"),H174," ")</f>
        <v> </v>
      </c>
      <c r="AF174" s="17" t="str">
        <f aca="false">IF((E174="l"),H174," ")</f>
        <v> </v>
      </c>
      <c r="AG174" s="17" t="str">
        <f aca="false">IF((E174="y"),H174," ")</f>
        <v> </v>
      </c>
      <c r="AH174" s="17" t="str">
        <f aca="false">IF((E174="z"),H174," ")</f>
        <v> </v>
      </c>
      <c r="AI174" s="17" t="str">
        <f aca="false">IF((E174="fa"),H174," ")</f>
        <v> </v>
      </c>
      <c r="AJ174" s="17" t="str">
        <f aca="false">IF((E174="e"),H174," ")</f>
        <v> </v>
      </c>
    </row>
    <row r="175" customFormat="false" ht="12" hidden="false" customHeight="false" outlineLevel="0" collapsed="false">
      <c r="A175" s="28"/>
      <c r="E175" s="2" t="str">
        <f aca="false">IF((F175&lt;&gt;0),"Enter Letter"," ")</f>
        <v> </v>
      </c>
      <c r="F175" s="30"/>
      <c r="G175" s="6" t="str">
        <f aca="false">IF(F175&lt;&gt;0,F175*G$2/(100+G$2)," ")</f>
        <v> </v>
      </c>
      <c r="H175" s="6" t="str">
        <f aca="false">IF((F175&lt;&gt;0),F175-G175," ")</f>
        <v> </v>
      </c>
      <c r="I175" s="5"/>
      <c r="L175" s="7" t="str">
        <f aca="false">IF(F175&lt;&gt;0,F175-K175," ")</f>
        <v> </v>
      </c>
      <c r="M175" s="8" t="str">
        <f aca="false">IF((F175-K175)&lt;&gt;0,M$1-A175," ")</f>
        <v> </v>
      </c>
      <c r="N175" s="5"/>
      <c r="O175" s="17" t="str">
        <f aca="false">IF((E175="s"),H175," ")</f>
        <v> </v>
      </c>
      <c r="P175" s="17" t="str">
        <f aca="false">IF((E175="c"),H175," ")</f>
        <v> </v>
      </c>
      <c r="Q175" s="17" t="str">
        <f aca="false">IF((E175="o"),H175," ")</f>
        <v> </v>
      </c>
      <c r="R175" s="17" t="str">
        <f aca="false">IF((E175="d"),H175," ")</f>
        <v> </v>
      </c>
      <c r="S175" s="17" t="str">
        <f aca="false">IF((E175="w"),H175," ")</f>
        <v> </v>
      </c>
      <c r="T175" s="17" t="str">
        <f aca="false">IF((E175="r"),H175," ")</f>
        <v> </v>
      </c>
      <c r="U175" s="17" t="str">
        <f aca="false">IF((E175="p"),H175," ")</f>
        <v> </v>
      </c>
      <c r="V175" s="17" t="str">
        <f aca="false">IF((E175="t"),H175," ")</f>
        <v> </v>
      </c>
      <c r="W175" s="17" t="str">
        <f aca="false">IF((E175="q"),H175," ")</f>
        <v> </v>
      </c>
      <c r="X175" s="17" t="str">
        <f aca="false">IF((E175="m"),H175," ")</f>
        <v> </v>
      </c>
      <c r="Y175" s="17" t="str">
        <f aca="false">IF((E175="u"),H175," ")</f>
        <v> </v>
      </c>
      <c r="Z175" s="17" t="str">
        <f aca="false">IF((E175="a"),H175," ")</f>
        <v> </v>
      </c>
      <c r="AA175" s="17" t="str">
        <f aca="false">IF((E175="g"),H175," ")</f>
        <v> </v>
      </c>
      <c r="AB175" s="17" t="str">
        <f aca="false">IF((E175="h"),H175," ")</f>
        <v> </v>
      </c>
      <c r="AC175" s="30" t="str">
        <f aca="false">IF((E175="v"),H175," ")</f>
        <v> </v>
      </c>
      <c r="AD175" s="30" t="str">
        <f aca="false">IF((E175="n"),H175," ")</f>
        <v> </v>
      </c>
      <c r="AE175" s="17" t="str">
        <f aca="false">IF((E175="f"),H175," ")</f>
        <v> </v>
      </c>
      <c r="AF175" s="17" t="str">
        <f aca="false">IF((E175="l"),H175," ")</f>
        <v> </v>
      </c>
      <c r="AG175" s="17" t="str">
        <f aca="false">IF((E175="y"),H175," ")</f>
        <v> </v>
      </c>
      <c r="AH175" s="17" t="str">
        <f aca="false">IF((E175="z"),H175," ")</f>
        <v> </v>
      </c>
      <c r="AI175" s="17" t="str">
        <f aca="false">IF((E175="fa"),H175," ")</f>
        <v> </v>
      </c>
      <c r="AJ175" s="17" t="str">
        <f aca="false">IF((E175="e"),H175," ")</f>
        <v> </v>
      </c>
    </row>
    <row r="176" customFormat="false" ht="12" hidden="false" customHeight="false" outlineLevel="0" collapsed="false">
      <c r="A176" s="28"/>
      <c r="E176" s="2" t="str">
        <f aca="false">IF((F176&lt;&gt;0),"Enter Letter"," ")</f>
        <v> </v>
      </c>
      <c r="F176" s="30"/>
      <c r="G176" s="6" t="str">
        <f aca="false">IF(F176&lt;&gt;0,F176*G$2/(100+G$2)," ")</f>
        <v> </v>
      </c>
      <c r="H176" s="6" t="str">
        <f aca="false">IF((F176&lt;&gt;0),F176-G176," ")</f>
        <v> </v>
      </c>
      <c r="I176" s="5"/>
      <c r="L176" s="7" t="str">
        <f aca="false">IF(F176&lt;&gt;0,F176-K176," ")</f>
        <v> </v>
      </c>
      <c r="M176" s="8" t="str">
        <f aca="false">IF((F176-K176)&lt;&gt;0,M$1-A176," ")</f>
        <v> </v>
      </c>
      <c r="N176" s="5"/>
      <c r="O176" s="17" t="str">
        <f aca="false">IF((E176="s"),H176," ")</f>
        <v> </v>
      </c>
      <c r="P176" s="17" t="str">
        <f aca="false">IF((E176="c"),H176," ")</f>
        <v> </v>
      </c>
      <c r="Q176" s="17" t="str">
        <f aca="false">IF((E176="o"),H176," ")</f>
        <v> </v>
      </c>
      <c r="R176" s="17" t="str">
        <f aca="false">IF((E176="d"),H176," ")</f>
        <v> </v>
      </c>
      <c r="S176" s="17" t="str">
        <f aca="false">IF((E176="w"),H176," ")</f>
        <v> </v>
      </c>
      <c r="T176" s="17" t="str">
        <f aca="false">IF((E176="r"),H176," ")</f>
        <v> </v>
      </c>
      <c r="U176" s="17" t="str">
        <f aca="false">IF((E176="p"),H176," ")</f>
        <v> </v>
      </c>
      <c r="V176" s="17" t="str">
        <f aca="false">IF((E176="t"),H176," ")</f>
        <v> </v>
      </c>
      <c r="W176" s="17" t="str">
        <f aca="false">IF((E176="q"),H176," ")</f>
        <v> </v>
      </c>
      <c r="X176" s="17" t="str">
        <f aca="false">IF((E176="m"),H176," ")</f>
        <v> </v>
      </c>
      <c r="Y176" s="17" t="str">
        <f aca="false">IF((E176="u"),H176," ")</f>
        <v> </v>
      </c>
      <c r="Z176" s="17" t="str">
        <f aca="false">IF((E176="a"),H176," ")</f>
        <v> </v>
      </c>
      <c r="AA176" s="17" t="str">
        <f aca="false">IF((E176="g"),H176," ")</f>
        <v> </v>
      </c>
      <c r="AB176" s="17" t="str">
        <f aca="false">IF((E176="h"),H176," ")</f>
        <v> </v>
      </c>
      <c r="AC176" s="30" t="str">
        <f aca="false">IF((E176="v"),H176," ")</f>
        <v> </v>
      </c>
      <c r="AD176" s="30" t="str">
        <f aca="false">IF((E176="n"),H176," ")</f>
        <v> </v>
      </c>
      <c r="AE176" s="17" t="str">
        <f aca="false">IF((E176="f"),H176," ")</f>
        <v> </v>
      </c>
      <c r="AF176" s="17" t="str">
        <f aca="false">IF((E176="l"),H176," ")</f>
        <v> </v>
      </c>
      <c r="AG176" s="17" t="str">
        <f aca="false">IF((E176="y"),H176," ")</f>
        <v> </v>
      </c>
      <c r="AH176" s="17" t="str">
        <f aca="false">IF((E176="z"),H176," ")</f>
        <v> </v>
      </c>
      <c r="AI176" s="17" t="str">
        <f aca="false">IF((E176="fa"),H176," ")</f>
        <v> </v>
      </c>
      <c r="AJ176" s="17" t="str">
        <f aca="false">IF((E176="e"),H176," ")</f>
        <v> </v>
      </c>
    </row>
    <row r="177" customFormat="false" ht="12" hidden="false" customHeight="false" outlineLevel="0" collapsed="false">
      <c r="A177" s="28"/>
      <c r="E177" s="2" t="str">
        <f aca="false">IF((F177&lt;&gt;0),"Enter Letter"," ")</f>
        <v> </v>
      </c>
      <c r="F177" s="30"/>
      <c r="G177" s="6" t="str">
        <f aca="false">IF(F177&lt;&gt;0,F177*G$2/(100+G$2)," ")</f>
        <v> </v>
      </c>
      <c r="H177" s="6" t="str">
        <f aca="false">IF((F177&lt;&gt;0),F177-G177," ")</f>
        <v> </v>
      </c>
      <c r="I177" s="5"/>
      <c r="L177" s="7" t="str">
        <f aca="false">IF(F177&lt;&gt;0,F177-K177," ")</f>
        <v> </v>
      </c>
      <c r="M177" s="8" t="str">
        <f aca="false">IF((F177-K177)&lt;&gt;0,M$1-A177," ")</f>
        <v> </v>
      </c>
      <c r="N177" s="5"/>
      <c r="O177" s="17" t="str">
        <f aca="false">IF((E177="s"),H177," ")</f>
        <v> </v>
      </c>
      <c r="P177" s="17" t="str">
        <f aca="false">IF((E177="c"),H177," ")</f>
        <v> </v>
      </c>
      <c r="Q177" s="17" t="str">
        <f aca="false">IF((E177="o"),H177," ")</f>
        <v> </v>
      </c>
      <c r="R177" s="17" t="str">
        <f aca="false">IF((E177="d"),H177," ")</f>
        <v> </v>
      </c>
      <c r="S177" s="17" t="str">
        <f aca="false">IF((E177="w"),H177," ")</f>
        <v> </v>
      </c>
      <c r="T177" s="17" t="str">
        <f aca="false">IF((E177="r"),H177," ")</f>
        <v> </v>
      </c>
      <c r="U177" s="17" t="str">
        <f aca="false">IF((E177="p"),H177," ")</f>
        <v> </v>
      </c>
      <c r="V177" s="17" t="str">
        <f aca="false">IF((E177="t"),H177," ")</f>
        <v> </v>
      </c>
      <c r="W177" s="17" t="str">
        <f aca="false">IF((E177="q"),H177," ")</f>
        <v> </v>
      </c>
      <c r="X177" s="17" t="str">
        <f aca="false">IF((E177="m"),H177," ")</f>
        <v> </v>
      </c>
      <c r="Y177" s="17" t="str">
        <f aca="false">IF((E177="u"),H177," ")</f>
        <v> </v>
      </c>
      <c r="Z177" s="17" t="str">
        <f aca="false">IF((E177="a"),H177," ")</f>
        <v> </v>
      </c>
      <c r="AA177" s="17" t="str">
        <f aca="false">IF((E177="g"),H177," ")</f>
        <v> </v>
      </c>
      <c r="AB177" s="17" t="str">
        <f aca="false">IF((E177="h"),H177," ")</f>
        <v> </v>
      </c>
      <c r="AC177" s="30" t="str">
        <f aca="false">IF((E177="v"),H177," ")</f>
        <v> </v>
      </c>
      <c r="AD177" s="30" t="str">
        <f aca="false">IF((E177="n"),H177," ")</f>
        <v> </v>
      </c>
      <c r="AE177" s="17" t="str">
        <f aca="false">IF((E177="f"),H177," ")</f>
        <v> </v>
      </c>
      <c r="AF177" s="17" t="str">
        <f aca="false">IF((E177="l"),H177," ")</f>
        <v> </v>
      </c>
      <c r="AG177" s="17" t="str">
        <f aca="false">IF((E177="y"),H177," ")</f>
        <v> </v>
      </c>
      <c r="AH177" s="17" t="str">
        <f aca="false">IF((E177="z"),H177," ")</f>
        <v> </v>
      </c>
      <c r="AI177" s="17" t="str">
        <f aca="false">IF((E177="fa"),H177," ")</f>
        <v> </v>
      </c>
      <c r="AJ177" s="17" t="str">
        <f aca="false">IF((E177="e"),H177," ")</f>
        <v> </v>
      </c>
    </row>
    <row r="178" customFormat="false" ht="12" hidden="false" customHeight="false" outlineLevel="0" collapsed="false">
      <c r="A178" s="28"/>
      <c r="E178" s="2" t="str">
        <f aca="false">IF((F178&lt;&gt;0),"Enter Letter"," ")</f>
        <v> </v>
      </c>
      <c r="F178" s="30"/>
      <c r="G178" s="6" t="str">
        <f aca="false">IF(F178&lt;&gt;0,F178*G$2/(100+G$2)," ")</f>
        <v> </v>
      </c>
      <c r="H178" s="6" t="str">
        <f aca="false">IF((F178&lt;&gt;0),F178-G178," ")</f>
        <v> </v>
      </c>
      <c r="I178" s="5"/>
      <c r="L178" s="7" t="str">
        <f aca="false">IF(F178&lt;&gt;0,F178-K178," ")</f>
        <v> </v>
      </c>
      <c r="M178" s="8" t="str">
        <f aca="false">IF((F178-K178)&lt;&gt;0,M$1-A178," ")</f>
        <v> </v>
      </c>
      <c r="N178" s="5"/>
      <c r="O178" s="17" t="str">
        <f aca="false">IF((E178="s"),H178," ")</f>
        <v> </v>
      </c>
      <c r="P178" s="17" t="str">
        <f aca="false">IF((E178="c"),H178," ")</f>
        <v> </v>
      </c>
      <c r="Q178" s="17" t="str">
        <f aca="false">IF((E178="o"),H178," ")</f>
        <v> </v>
      </c>
      <c r="R178" s="17" t="str">
        <f aca="false">IF((E178="d"),H178," ")</f>
        <v> </v>
      </c>
      <c r="S178" s="17" t="str">
        <f aca="false">IF((E178="w"),H178," ")</f>
        <v> </v>
      </c>
      <c r="T178" s="17" t="str">
        <f aca="false">IF((E178="r"),H178," ")</f>
        <v> </v>
      </c>
      <c r="U178" s="17" t="str">
        <f aca="false">IF((E178="p"),H178," ")</f>
        <v> </v>
      </c>
      <c r="V178" s="17" t="str">
        <f aca="false">IF((E178="t"),H178," ")</f>
        <v> </v>
      </c>
      <c r="W178" s="17" t="str">
        <f aca="false">IF((E178="q"),H178," ")</f>
        <v> </v>
      </c>
      <c r="X178" s="17" t="str">
        <f aca="false">IF((E178="m"),H178," ")</f>
        <v> </v>
      </c>
      <c r="Y178" s="17" t="str">
        <f aca="false">IF((E178="u"),H178," ")</f>
        <v> </v>
      </c>
      <c r="Z178" s="17" t="str">
        <f aca="false">IF((E178="a"),H178," ")</f>
        <v> </v>
      </c>
      <c r="AA178" s="17" t="str">
        <f aca="false">IF((E178="g"),H178," ")</f>
        <v> </v>
      </c>
      <c r="AB178" s="17" t="str">
        <f aca="false">IF((E178="h"),H178," ")</f>
        <v> </v>
      </c>
      <c r="AC178" s="30" t="str">
        <f aca="false">IF((E178="v"),H178," ")</f>
        <v> </v>
      </c>
      <c r="AD178" s="30" t="str">
        <f aca="false">IF((E178="n"),H178," ")</f>
        <v> </v>
      </c>
      <c r="AE178" s="17" t="str">
        <f aca="false">IF((E178="f"),H178," ")</f>
        <v> </v>
      </c>
      <c r="AF178" s="17" t="str">
        <f aca="false">IF((E178="l"),H178," ")</f>
        <v> </v>
      </c>
      <c r="AG178" s="17" t="str">
        <f aca="false">IF((E178="y"),H178," ")</f>
        <v> </v>
      </c>
      <c r="AH178" s="17" t="str">
        <f aca="false">IF((E178="z"),H178," ")</f>
        <v> </v>
      </c>
      <c r="AI178" s="17" t="str">
        <f aca="false">IF((E178="fa"),H178," ")</f>
        <v> </v>
      </c>
      <c r="AJ178" s="17" t="str">
        <f aca="false">IF((E178="e"),H178," ")</f>
        <v> </v>
      </c>
    </row>
    <row r="179" customFormat="false" ht="12" hidden="false" customHeight="false" outlineLevel="0" collapsed="false">
      <c r="A179" s="28"/>
      <c r="E179" s="2" t="str">
        <f aca="false">IF((F179&lt;&gt;0),"Enter Letter"," ")</f>
        <v> </v>
      </c>
      <c r="F179" s="30"/>
      <c r="G179" s="6" t="str">
        <f aca="false">IF(F179&lt;&gt;0,F179*G$2/(100+G$2)," ")</f>
        <v> </v>
      </c>
      <c r="H179" s="6" t="str">
        <f aca="false">IF((F179&lt;&gt;0),F179-G179," ")</f>
        <v> </v>
      </c>
      <c r="I179" s="5"/>
      <c r="L179" s="7" t="str">
        <f aca="false">IF(F179&lt;&gt;0,F179-K179," ")</f>
        <v> </v>
      </c>
      <c r="M179" s="8" t="str">
        <f aca="false">IF((F179-K179)&lt;&gt;0,M$1-A179," ")</f>
        <v> </v>
      </c>
      <c r="N179" s="5"/>
      <c r="O179" s="17" t="str">
        <f aca="false">IF((E179="s"),H179," ")</f>
        <v> </v>
      </c>
      <c r="P179" s="17" t="str">
        <f aca="false">IF((E179="c"),H179," ")</f>
        <v> </v>
      </c>
      <c r="Q179" s="17" t="str">
        <f aca="false">IF((E179="o"),H179," ")</f>
        <v> </v>
      </c>
      <c r="R179" s="17" t="str">
        <f aca="false">IF((E179="d"),H179," ")</f>
        <v> </v>
      </c>
      <c r="S179" s="17" t="str">
        <f aca="false">IF((E179="w"),H179," ")</f>
        <v> </v>
      </c>
      <c r="T179" s="17" t="str">
        <f aca="false">IF((E179="r"),H179," ")</f>
        <v> </v>
      </c>
      <c r="U179" s="17" t="str">
        <f aca="false">IF((E179="p"),H179," ")</f>
        <v> </v>
      </c>
      <c r="V179" s="17" t="str">
        <f aca="false">IF((E179="t"),H179," ")</f>
        <v> </v>
      </c>
      <c r="W179" s="17" t="str">
        <f aca="false">IF((E179="q"),H179," ")</f>
        <v> </v>
      </c>
      <c r="X179" s="17" t="str">
        <f aca="false">IF((E179="m"),H179," ")</f>
        <v> </v>
      </c>
      <c r="Y179" s="17" t="str">
        <f aca="false">IF((E179="u"),H179," ")</f>
        <v> </v>
      </c>
      <c r="Z179" s="17" t="str">
        <f aca="false">IF((E179="a"),H179," ")</f>
        <v> </v>
      </c>
      <c r="AA179" s="17" t="str">
        <f aca="false">IF((E179="g"),H179," ")</f>
        <v> </v>
      </c>
      <c r="AB179" s="17" t="str">
        <f aca="false">IF((E179="h"),H179," ")</f>
        <v> </v>
      </c>
      <c r="AC179" s="30" t="str">
        <f aca="false">IF((E179="v"),H179," ")</f>
        <v> </v>
      </c>
      <c r="AD179" s="30" t="str">
        <f aca="false">IF((E179="n"),H179," ")</f>
        <v> </v>
      </c>
      <c r="AE179" s="17" t="str">
        <f aca="false">IF((E179="f"),H179," ")</f>
        <v> </v>
      </c>
      <c r="AF179" s="17" t="str">
        <f aca="false">IF((E179="l"),H179," ")</f>
        <v> </v>
      </c>
      <c r="AG179" s="17" t="str">
        <f aca="false">IF((E179="y"),H179," ")</f>
        <v> </v>
      </c>
      <c r="AH179" s="17" t="str">
        <f aca="false">IF((E179="z"),H179," ")</f>
        <v> </v>
      </c>
      <c r="AI179" s="17" t="str">
        <f aca="false">IF((E179="fa"),H179," ")</f>
        <v> </v>
      </c>
      <c r="AJ179" s="17" t="str">
        <f aca="false">IF((E179="e"),H179," ")</f>
        <v> </v>
      </c>
    </row>
    <row r="180" customFormat="false" ht="12" hidden="false" customHeight="false" outlineLevel="0" collapsed="false">
      <c r="A180" s="28"/>
      <c r="E180" s="2" t="str">
        <f aca="false">IF((F180&lt;&gt;0),"Enter Letter"," ")</f>
        <v> </v>
      </c>
      <c r="F180" s="30"/>
      <c r="G180" s="6" t="str">
        <f aca="false">IF(F180&lt;&gt;0,F180*G$2/(100+G$2)," ")</f>
        <v> </v>
      </c>
      <c r="H180" s="6" t="str">
        <f aca="false">IF((F180&lt;&gt;0),F180-G180," ")</f>
        <v> </v>
      </c>
      <c r="I180" s="5"/>
      <c r="L180" s="7" t="str">
        <f aca="false">IF(F180&lt;&gt;0,F180-K180," ")</f>
        <v> </v>
      </c>
      <c r="M180" s="8" t="str">
        <f aca="false">IF((F180-K180)&lt;&gt;0,M$1-A180," ")</f>
        <v> </v>
      </c>
      <c r="N180" s="5"/>
      <c r="O180" s="17" t="str">
        <f aca="false">IF((E180="s"),H180," ")</f>
        <v> </v>
      </c>
      <c r="P180" s="17" t="str">
        <f aca="false">IF((E180="c"),H180," ")</f>
        <v> </v>
      </c>
      <c r="Q180" s="17" t="str">
        <f aca="false">IF((E180="o"),H180," ")</f>
        <v> </v>
      </c>
      <c r="R180" s="17" t="str">
        <f aca="false">IF((E180="d"),H180," ")</f>
        <v> </v>
      </c>
      <c r="S180" s="17" t="str">
        <f aca="false">IF((E180="w"),H180," ")</f>
        <v> </v>
      </c>
      <c r="T180" s="17" t="str">
        <f aca="false">IF((E180="r"),H180," ")</f>
        <v> </v>
      </c>
      <c r="U180" s="17" t="str">
        <f aca="false">IF((E180="p"),H180," ")</f>
        <v> </v>
      </c>
      <c r="V180" s="17" t="str">
        <f aca="false">IF((E180="t"),H180," ")</f>
        <v> </v>
      </c>
      <c r="W180" s="17" t="str">
        <f aca="false">IF((E180="q"),H180," ")</f>
        <v> </v>
      </c>
      <c r="X180" s="17" t="str">
        <f aca="false">IF((E180="m"),H180," ")</f>
        <v> </v>
      </c>
      <c r="Y180" s="17" t="str">
        <f aca="false">IF((E180="u"),H180," ")</f>
        <v> </v>
      </c>
      <c r="Z180" s="17" t="str">
        <f aca="false">IF((E180="a"),H180," ")</f>
        <v> </v>
      </c>
      <c r="AA180" s="17" t="str">
        <f aca="false">IF((E180="g"),H180," ")</f>
        <v> </v>
      </c>
      <c r="AB180" s="17" t="str">
        <f aca="false">IF((E180="h"),H180," ")</f>
        <v> </v>
      </c>
      <c r="AC180" s="30" t="str">
        <f aca="false">IF((E180="v"),H180," ")</f>
        <v> </v>
      </c>
      <c r="AD180" s="30" t="str">
        <f aca="false">IF((E180="n"),H180," ")</f>
        <v> </v>
      </c>
      <c r="AE180" s="17" t="str">
        <f aca="false">IF((E180="f"),H180," ")</f>
        <v> </v>
      </c>
      <c r="AF180" s="17" t="str">
        <f aca="false">IF((E180="l"),H180," ")</f>
        <v> </v>
      </c>
      <c r="AG180" s="17" t="str">
        <f aca="false">IF((E180="y"),H180," ")</f>
        <v> </v>
      </c>
      <c r="AH180" s="17" t="str">
        <f aca="false">IF((E180="z"),H180," ")</f>
        <v> </v>
      </c>
      <c r="AI180" s="17" t="str">
        <f aca="false">IF((E180="fa"),H180," ")</f>
        <v> </v>
      </c>
      <c r="AJ180" s="17" t="str">
        <f aca="false">IF((E180="e"),H180," ")</f>
        <v> </v>
      </c>
    </row>
    <row r="181" customFormat="false" ht="12" hidden="false" customHeight="false" outlineLevel="0" collapsed="false">
      <c r="A181" s="28"/>
      <c r="E181" s="2" t="str">
        <f aca="false">IF((F181&lt;&gt;0),"Enter Letter"," ")</f>
        <v> </v>
      </c>
      <c r="F181" s="30"/>
      <c r="G181" s="6" t="str">
        <f aca="false">IF(F181&lt;&gt;0,F181*G$2/(100+G$2)," ")</f>
        <v> </v>
      </c>
      <c r="H181" s="6" t="str">
        <f aca="false">IF((F181&lt;&gt;0),F181-G181," ")</f>
        <v> </v>
      </c>
      <c r="I181" s="5"/>
      <c r="L181" s="7" t="str">
        <f aca="false">IF(F181&lt;&gt;0,F181-K181," ")</f>
        <v> </v>
      </c>
      <c r="M181" s="8" t="str">
        <f aca="false">IF((F181-K181)&lt;&gt;0,M$1-A181," ")</f>
        <v> </v>
      </c>
      <c r="N181" s="5"/>
      <c r="O181" s="17" t="str">
        <f aca="false">IF((E181="s"),H181," ")</f>
        <v> </v>
      </c>
      <c r="P181" s="17" t="str">
        <f aca="false">IF((E181="c"),H181," ")</f>
        <v> </v>
      </c>
      <c r="Q181" s="17" t="str">
        <f aca="false">IF((E181="o"),H181," ")</f>
        <v> </v>
      </c>
      <c r="R181" s="17" t="str">
        <f aca="false">IF((E181="d"),H181," ")</f>
        <v> </v>
      </c>
      <c r="S181" s="17" t="str">
        <f aca="false">IF((E181="w"),H181," ")</f>
        <v> </v>
      </c>
      <c r="T181" s="17" t="str">
        <f aca="false">IF((E181="r"),H181," ")</f>
        <v> </v>
      </c>
      <c r="U181" s="17" t="str">
        <f aca="false">IF((E181="p"),H181," ")</f>
        <v> </v>
      </c>
      <c r="V181" s="17" t="str">
        <f aca="false">IF((E181="t"),H181," ")</f>
        <v> </v>
      </c>
      <c r="W181" s="17" t="str">
        <f aca="false">IF((E181="q"),H181," ")</f>
        <v> </v>
      </c>
      <c r="X181" s="17" t="str">
        <f aca="false">IF((E181="m"),H181," ")</f>
        <v> </v>
      </c>
      <c r="Y181" s="17" t="str">
        <f aca="false">IF((E181="u"),H181," ")</f>
        <v> </v>
      </c>
      <c r="Z181" s="17" t="str">
        <f aca="false">IF((E181="a"),H181," ")</f>
        <v> </v>
      </c>
      <c r="AA181" s="17" t="str">
        <f aca="false">IF((E181="g"),H181," ")</f>
        <v> </v>
      </c>
      <c r="AB181" s="17" t="str">
        <f aca="false">IF((E181="h"),H181," ")</f>
        <v> </v>
      </c>
      <c r="AC181" s="30" t="str">
        <f aca="false">IF((E181="v"),H181," ")</f>
        <v> </v>
      </c>
      <c r="AD181" s="30" t="str">
        <f aca="false">IF((E181="n"),H181," ")</f>
        <v> </v>
      </c>
      <c r="AE181" s="17" t="str">
        <f aca="false">IF((E181="f"),H181," ")</f>
        <v> </v>
      </c>
      <c r="AF181" s="17" t="str">
        <f aca="false">IF((E181="l"),H181," ")</f>
        <v> </v>
      </c>
      <c r="AG181" s="17" t="str">
        <f aca="false">IF((E181="y"),H181," ")</f>
        <v> </v>
      </c>
      <c r="AH181" s="17" t="str">
        <f aca="false">IF((E181="z"),H181," ")</f>
        <v> </v>
      </c>
      <c r="AI181" s="17" t="str">
        <f aca="false">IF((E181="fa"),H181," ")</f>
        <v> </v>
      </c>
      <c r="AJ181" s="17" t="str">
        <f aca="false">IF((E181="e"),H181," ")</f>
        <v> </v>
      </c>
    </row>
    <row r="182" customFormat="false" ht="12" hidden="false" customHeight="false" outlineLevel="0" collapsed="false">
      <c r="A182" s="28"/>
      <c r="E182" s="2" t="str">
        <f aca="false">IF((F182&lt;&gt;0),"Enter Letter"," ")</f>
        <v> </v>
      </c>
      <c r="F182" s="30"/>
      <c r="G182" s="6" t="str">
        <f aca="false">IF(F182&lt;&gt;0,F182*G$2/(100+G$2)," ")</f>
        <v> </v>
      </c>
      <c r="H182" s="6" t="str">
        <f aca="false">IF((F182&lt;&gt;0),F182-G182," ")</f>
        <v> </v>
      </c>
      <c r="I182" s="5"/>
      <c r="L182" s="7" t="str">
        <f aca="false">IF(F182&lt;&gt;0,F182-K182," ")</f>
        <v> </v>
      </c>
      <c r="M182" s="8" t="str">
        <f aca="false">IF((F182-K182)&lt;&gt;0,M$1-A182," ")</f>
        <v> </v>
      </c>
      <c r="N182" s="5"/>
      <c r="O182" s="17" t="str">
        <f aca="false">IF((E182="s"),H182," ")</f>
        <v> </v>
      </c>
      <c r="P182" s="17" t="str">
        <f aca="false">IF((E182="c"),H182," ")</f>
        <v> </v>
      </c>
      <c r="Q182" s="17" t="str">
        <f aca="false">IF((E182="o"),H182," ")</f>
        <v> </v>
      </c>
      <c r="R182" s="17" t="str">
        <f aca="false">IF((E182="d"),H182," ")</f>
        <v> </v>
      </c>
      <c r="S182" s="17" t="str">
        <f aca="false">IF((E182="w"),H182," ")</f>
        <v> </v>
      </c>
      <c r="T182" s="17" t="str">
        <f aca="false">IF((E182="r"),H182," ")</f>
        <v> </v>
      </c>
      <c r="U182" s="17" t="str">
        <f aca="false">IF((E182="p"),H182," ")</f>
        <v> </v>
      </c>
      <c r="V182" s="17" t="str">
        <f aca="false">IF((E182="t"),H182," ")</f>
        <v> </v>
      </c>
      <c r="W182" s="17" t="str">
        <f aca="false">IF((E182="q"),H182," ")</f>
        <v> </v>
      </c>
      <c r="X182" s="17" t="str">
        <f aca="false">IF((E182="m"),H182," ")</f>
        <v> </v>
      </c>
      <c r="Y182" s="17" t="str">
        <f aca="false">IF((E182="u"),H182," ")</f>
        <v> </v>
      </c>
      <c r="Z182" s="17" t="str">
        <f aca="false">IF((E182="a"),H182," ")</f>
        <v> </v>
      </c>
      <c r="AA182" s="17" t="str">
        <f aca="false">IF((E182="g"),H182," ")</f>
        <v> </v>
      </c>
      <c r="AB182" s="17" t="str">
        <f aca="false">IF((E182="h"),H182," ")</f>
        <v> </v>
      </c>
      <c r="AC182" s="30" t="str">
        <f aca="false">IF((E182="v"),H182," ")</f>
        <v> </v>
      </c>
      <c r="AD182" s="30" t="str">
        <f aca="false">IF((E182="n"),H182," ")</f>
        <v> </v>
      </c>
      <c r="AE182" s="17" t="str">
        <f aca="false">IF((E182="f"),H182," ")</f>
        <v> </v>
      </c>
      <c r="AF182" s="17" t="str">
        <f aca="false">IF((E182="l"),H182," ")</f>
        <v> </v>
      </c>
      <c r="AG182" s="17" t="str">
        <f aca="false">IF((E182="y"),H182," ")</f>
        <v> </v>
      </c>
      <c r="AH182" s="17" t="str">
        <f aca="false">IF((E182="z"),H182," ")</f>
        <v> </v>
      </c>
      <c r="AI182" s="17" t="str">
        <f aca="false">IF((E182="fa"),H182," ")</f>
        <v> </v>
      </c>
      <c r="AJ182" s="17" t="str">
        <f aca="false">IF((E182="e"),H182," ")</f>
        <v> </v>
      </c>
    </row>
    <row r="183" customFormat="false" ht="12" hidden="false" customHeight="false" outlineLevel="0" collapsed="false">
      <c r="A183" s="28"/>
      <c r="E183" s="2" t="str">
        <f aca="false">IF((F183&lt;&gt;0),"Enter Letter"," ")</f>
        <v> </v>
      </c>
      <c r="F183" s="30"/>
      <c r="G183" s="6" t="str">
        <f aca="false">IF(F183&lt;&gt;0,F183*G$2/(100+G$2)," ")</f>
        <v> </v>
      </c>
      <c r="H183" s="6" t="str">
        <f aca="false">IF((F183&lt;&gt;0),F183-G183," ")</f>
        <v> </v>
      </c>
      <c r="I183" s="5"/>
      <c r="L183" s="7" t="str">
        <f aca="false">IF(F183&lt;&gt;0,F183-K183," ")</f>
        <v> </v>
      </c>
      <c r="M183" s="8" t="str">
        <f aca="false">IF((F183-K183)&lt;&gt;0,M$1-A183," ")</f>
        <v> </v>
      </c>
      <c r="N183" s="5"/>
      <c r="O183" s="17" t="str">
        <f aca="false">IF((E183="s"),H183," ")</f>
        <v> </v>
      </c>
      <c r="P183" s="17" t="str">
        <f aca="false">IF((E183="c"),H183," ")</f>
        <v> </v>
      </c>
      <c r="Q183" s="17" t="str">
        <f aca="false">IF((E183="o"),H183," ")</f>
        <v> </v>
      </c>
      <c r="R183" s="17" t="str">
        <f aca="false">IF((E183="d"),H183," ")</f>
        <v> </v>
      </c>
      <c r="S183" s="17" t="str">
        <f aca="false">IF((E183="w"),H183," ")</f>
        <v> </v>
      </c>
      <c r="T183" s="17" t="str">
        <f aca="false">IF((E183="r"),H183," ")</f>
        <v> </v>
      </c>
      <c r="U183" s="17" t="str">
        <f aca="false">IF((E183="p"),H183," ")</f>
        <v> </v>
      </c>
      <c r="V183" s="17" t="str">
        <f aca="false">IF((E183="t"),H183," ")</f>
        <v> </v>
      </c>
      <c r="W183" s="17" t="str">
        <f aca="false">IF((E183="q"),H183," ")</f>
        <v> </v>
      </c>
      <c r="X183" s="17" t="str">
        <f aca="false">IF((E183="m"),H183," ")</f>
        <v> </v>
      </c>
      <c r="Y183" s="17" t="str">
        <f aca="false">IF((E183="u"),H183," ")</f>
        <v> </v>
      </c>
      <c r="Z183" s="17" t="str">
        <f aca="false">IF((E183="a"),H183," ")</f>
        <v> </v>
      </c>
      <c r="AA183" s="17" t="str">
        <f aca="false">IF((E183="g"),H183," ")</f>
        <v> </v>
      </c>
      <c r="AB183" s="17" t="str">
        <f aca="false">IF((E183="h"),H183," ")</f>
        <v> </v>
      </c>
      <c r="AC183" s="30" t="str">
        <f aca="false">IF((E183="v"),H183," ")</f>
        <v> </v>
      </c>
      <c r="AD183" s="30" t="str">
        <f aca="false">IF((E183="n"),H183," ")</f>
        <v> </v>
      </c>
      <c r="AE183" s="17" t="str">
        <f aca="false">IF((E183="f"),H183," ")</f>
        <v> </v>
      </c>
      <c r="AF183" s="17" t="str">
        <f aca="false">IF((E183="l"),H183," ")</f>
        <v> </v>
      </c>
      <c r="AG183" s="17" t="str">
        <f aca="false">IF((E183="y"),H183," ")</f>
        <v> </v>
      </c>
      <c r="AH183" s="17" t="str">
        <f aca="false">IF((E183="z"),H183," ")</f>
        <v> </v>
      </c>
      <c r="AI183" s="17" t="str">
        <f aca="false">IF((E183="fa"),H183," ")</f>
        <v> </v>
      </c>
      <c r="AJ183" s="17" t="str">
        <f aca="false">IF((E183="e"),H183," ")</f>
        <v> </v>
      </c>
    </row>
    <row r="184" customFormat="false" ht="12" hidden="false" customHeight="false" outlineLevel="0" collapsed="false">
      <c r="A184" s="28"/>
      <c r="E184" s="2" t="str">
        <f aca="false">IF((F184&lt;&gt;0),"Enter Letter"," ")</f>
        <v> </v>
      </c>
      <c r="F184" s="30"/>
      <c r="G184" s="6" t="str">
        <f aca="false">IF(F184&lt;&gt;0,F184*G$2/(100+G$2)," ")</f>
        <v> </v>
      </c>
      <c r="H184" s="6" t="str">
        <f aca="false">IF((F184&lt;&gt;0),F184-G184," ")</f>
        <v> </v>
      </c>
      <c r="I184" s="5"/>
      <c r="L184" s="7" t="str">
        <f aca="false">IF(F184&lt;&gt;0,F184-K184," ")</f>
        <v> </v>
      </c>
      <c r="M184" s="8" t="str">
        <f aca="false">IF((F184-K184)&lt;&gt;0,M$1-A184," ")</f>
        <v> </v>
      </c>
      <c r="N184" s="5"/>
      <c r="O184" s="17" t="str">
        <f aca="false">IF((E184="s"),H184," ")</f>
        <v> </v>
      </c>
      <c r="P184" s="17" t="str">
        <f aca="false">IF((E184="c"),H184," ")</f>
        <v> </v>
      </c>
      <c r="Q184" s="17" t="str">
        <f aca="false">IF((E184="o"),H184," ")</f>
        <v> </v>
      </c>
      <c r="R184" s="17" t="str">
        <f aca="false">IF((E184="d"),H184," ")</f>
        <v> </v>
      </c>
      <c r="S184" s="17" t="str">
        <f aca="false">IF((E184="w"),H184," ")</f>
        <v> </v>
      </c>
      <c r="T184" s="17" t="str">
        <f aca="false">IF((E184="r"),H184," ")</f>
        <v> </v>
      </c>
      <c r="U184" s="17" t="str">
        <f aca="false">IF((E184="p"),H184," ")</f>
        <v> </v>
      </c>
      <c r="V184" s="17" t="str">
        <f aca="false">IF((E184="t"),H184," ")</f>
        <v> </v>
      </c>
      <c r="W184" s="17" t="str">
        <f aca="false">IF((E184="q"),H184," ")</f>
        <v> </v>
      </c>
      <c r="X184" s="17" t="str">
        <f aca="false">IF((E184="m"),H184," ")</f>
        <v> </v>
      </c>
      <c r="Y184" s="17" t="str">
        <f aca="false">IF((E184="u"),H184," ")</f>
        <v> </v>
      </c>
      <c r="Z184" s="17" t="str">
        <f aca="false">IF((E184="a"),H184," ")</f>
        <v> </v>
      </c>
      <c r="AA184" s="17" t="str">
        <f aca="false">IF((E184="g"),H184," ")</f>
        <v> </v>
      </c>
      <c r="AB184" s="17" t="str">
        <f aca="false">IF((E184="h"),H184," ")</f>
        <v> </v>
      </c>
      <c r="AC184" s="30" t="str">
        <f aca="false">IF((E184="v"),H184," ")</f>
        <v> </v>
      </c>
      <c r="AD184" s="30" t="str">
        <f aca="false">IF((E184="n"),H184," ")</f>
        <v> </v>
      </c>
      <c r="AE184" s="17" t="str">
        <f aca="false">IF((E184="f"),H184," ")</f>
        <v> </v>
      </c>
      <c r="AF184" s="17" t="str">
        <f aca="false">IF((E184="l"),H184," ")</f>
        <v> </v>
      </c>
      <c r="AG184" s="17" t="str">
        <f aca="false">IF((E184="y"),H184," ")</f>
        <v> </v>
      </c>
      <c r="AH184" s="17" t="str">
        <f aca="false">IF((E184="z"),H184," ")</f>
        <v> </v>
      </c>
      <c r="AI184" s="17" t="str">
        <f aca="false">IF((E184="fa"),H184," ")</f>
        <v> </v>
      </c>
      <c r="AJ184" s="17" t="str">
        <f aca="false">IF((E184="e"),H184," ")</f>
        <v> </v>
      </c>
    </row>
    <row r="185" customFormat="false" ht="12" hidden="false" customHeight="false" outlineLevel="0" collapsed="false">
      <c r="A185" s="28"/>
      <c r="E185" s="2" t="str">
        <f aca="false">IF((F185&lt;&gt;0),"Enter Letter"," ")</f>
        <v> </v>
      </c>
      <c r="F185" s="30"/>
      <c r="G185" s="6" t="str">
        <f aca="false">IF(F185&lt;&gt;0,F185*G$2/(100+G$2)," ")</f>
        <v> </v>
      </c>
      <c r="H185" s="6" t="str">
        <f aca="false">IF((F185&lt;&gt;0),F185-G185," ")</f>
        <v> </v>
      </c>
      <c r="I185" s="5"/>
      <c r="L185" s="7" t="str">
        <f aca="false">IF(F185&lt;&gt;0,F185-K185," ")</f>
        <v> </v>
      </c>
      <c r="M185" s="8" t="str">
        <f aca="false">IF((F185-K185)&lt;&gt;0,M$1-A185," ")</f>
        <v> </v>
      </c>
      <c r="N185" s="5"/>
      <c r="O185" s="17" t="str">
        <f aca="false">IF((E185="s"),H185," ")</f>
        <v> </v>
      </c>
      <c r="P185" s="17" t="str">
        <f aca="false">IF((E185="c"),H185," ")</f>
        <v> </v>
      </c>
      <c r="Q185" s="17" t="str">
        <f aca="false">IF((E185="o"),H185," ")</f>
        <v> </v>
      </c>
      <c r="R185" s="17" t="str">
        <f aca="false">IF((E185="d"),H185," ")</f>
        <v> </v>
      </c>
      <c r="S185" s="17" t="str">
        <f aca="false">IF((E185="w"),H185," ")</f>
        <v> </v>
      </c>
      <c r="T185" s="17" t="str">
        <f aca="false">IF((E185="r"),H185," ")</f>
        <v> </v>
      </c>
      <c r="U185" s="17" t="str">
        <f aca="false">IF((E185="p"),H185," ")</f>
        <v> </v>
      </c>
      <c r="V185" s="17" t="str">
        <f aca="false">IF((E185="t"),H185," ")</f>
        <v> </v>
      </c>
      <c r="W185" s="17" t="str">
        <f aca="false">IF((E185="q"),H185," ")</f>
        <v> </v>
      </c>
      <c r="X185" s="17" t="str">
        <f aca="false">IF((E185="m"),H185," ")</f>
        <v> </v>
      </c>
      <c r="Y185" s="17" t="str">
        <f aca="false">IF((E185="u"),H185," ")</f>
        <v> </v>
      </c>
      <c r="Z185" s="17" t="str">
        <f aca="false">IF((E185="a"),H185," ")</f>
        <v> </v>
      </c>
      <c r="AA185" s="17" t="str">
        <f aca="false">IF((E185="g"),H185," ")</f>
        <v> </v>
      </c>
      <c r="AB185" s="17" t="str">
        <f aca="false">IF((E185="h"),H185," ")</f>
        <v> </v>
      </c>
      <c r="AC185" s="30" t="str">
        <f aca="false">IF((E185="v"),H185," ")</f>
        <v> </v>
      </c>
      <c r="AD185" s="30" t="str">
        <f aca="false">IF((E185="n"),H185," ")</f>
        <v> </v>
      </c>
      <c r="AE185" s="17" t="str">
        <f aca="false">IF((E185="f"),H185," ")</f>
        <v> </v>
      </c>
      <c r="AF185" s="17" t="str">
        <f aca="false">IF((E185="l"),H185," ")</f>
        <v> </v>
      </c>
      <c r="AG185" s="17" t="str">
        <f aca="false">IF((E185="y"),H185," ")</f>
        <v> </v>
      </c>
      <c r="AH185" s="17" t="str">
        <f aca="false">IF((E185="z"),H185," ")</f>
        <v> </v>
      </c>
      <c r="AI185" s="17" t="str">
        <f aca="false">IF((E185="fa"),H185," ")</f>
        <v> </v>
      </c>
      <c r="AJ185" s="17" t="str">
        <f aca="false">IF((E185="e"),H185," ")</f>
        <v> </v>
      </c>
    </row>
    <row r="186" customFormat="false" ht="12" hidden="false" customHeight="false" outlineLevel="0" collapsed="false">
      <c r="A186" s="28"/>
      <c r="E186" s="2" t="str">
        <f aca="false">IF((F186&lt;&gt;0),"Enter Letter"," ")</f>
        <v> </v>
      </c>
      <c r="F186" s="30"/>
      <c r="G186" s="6" t="str">
        <f aca="false">IF(F186&lt;&gt;0,F186*G$2/(100+G$2)," ")</f>
        <v> </v>
      </c>
      <c r="H186" s="6" t="str">
        <f aca="false">IF((F186&lt;&gt;0),F186-G186," ")</f>
        <v> </v>
      </c>
      <c r="I186" s="5"/>
      <c r="L186" s="7" t="str">
        <f aca="false">IF(F186&lt;&gt;0,F186-K186," ")</f>
        <v> </v>
      </c>
      <c r="M186" s="8" t="str">
        <f aca="false">IF((F186-K186)&lt;&gt;0,M$1-A186," ")</f>
        <v> </v>
      </c>
      <c r="N186" s="5"/>
      <c r="O186" s="17" t="str">
        <f aca="false">IF((E186="s"),H186," ")</f>
        <v> </v>
      </c>
      <c r="P186" s="17" t="str">
        <f aca="false">IF((E186="c"),H186," ")</f>
        <v> </v>
      </c>
      <c r="Q186" s="17" t="str">
        <f aca="false">IF((E186="o"),H186," ")</f>
        <v> </v>
      </c>
      <c r="R186" s="17" t="str">
        <f aca="false">IF((E186="d"),H186," ")</f>
        <v> </v>
      </c>
      <c r="S186" s="17" t="str">
        <f aca="false">IF((E186="w"),H186," ")</f>
        <v> </v>
      </c>
      <c r="T186" s="17" t="str">
        <f aca="false">IF((E186="r"),H186," ")</f>
        <v> </v>
      </c>
      <c r="U186" s="17" t="str">
        <f aca="false">IF((E186="p"),H186," ")</f>
        <v> </v>
      </c>
      <c r="V186" s="17" t="str">
        <f aca="false">IF((E186="t"),H186," ")</f>
        <v> </v>
      </c>
      <c r="W186" s="17" t="str">
        <f aca="false">IF((E186="q"),H186," ")</f>
        <v> </v>
      </c>
      <c r="X186" s="17" t="str">
        <f aca="false">IF((E186="m"),H186," ")</f>
        <v> </v>
      </c>
      <c r="Y186" s="17" t="str">
        <f aca="false">IF((E186="u"),H186," ")</f>
        <v> </v>
      </c>
      <c r="Z186" s="17" t="str">
        <f aca="false">IF((E186="a"),H186," ")</f>
        <v> </v>
      </c>
      <c r="AA186" s="17" t="str">
        <f aca="false">IF((E186="g"),H186," ")</f>
        <v> </v>
      </c>
      <c r="AB186" s="17" t="str">
        <f aca="false">IF((E186="h"),H186," ")</f>
        <v> </v>
      </c>
      <c r="AC186" s="30" t="str">
        <f aca="false">IF((E186="v"),H186," ")</f>
        <v> </v>
      </c>
      <c r="AD186" s="30" t="str">
        <f aca="false">IF((E186="n"),H186," ")</f>
        <v> </v>
      </c>
      <c r="AE186" s="17" t="str">
        <f aca="false">IF((E186="f"),H186," ")</f>
        <v> </v>
      </c>
      <c r="AF186" s="17" t="str">
        <f aca="false">IF((E186="l"),H186," ")</f>
        <v> </v>
      </c>
      <c r="AG186" s="17" t="str">
        <f aca="false">IF((E186="y"),H186," ")</f>
        <v> </v>
      </c>
      <c r="AH186" s="17" t="str">
        <f aca="false">IF((E186="z"),H186," ")</f>
        <v> </v>
      </c>
      <c r="AI186" s="17" t="str">
        <f aca="false">IF((E186="fa"),H186," ")</f>
        <v> </v>
      </c>
      <c r="AJ186" s="17" t="str">
        <f aca="false">IF((E186="e"),H186," ")</f>
        <v> </v>
      </c>
    </row>
    <row r="187" customFormat="false" ht="12" hidden="false" customHeight="false" outlineLevel="0" collapsed="false">
      <c r="A187" s="28"/>
      <c r="E187" s="2" t="str">
        <f aca="false">IF((F187&lt;&gt;0),"Enter Letter"," ")</f>
        <v> </v>
      </c>
      <c r="F187" s="30"/>
      <c r="G187" s="6" t="str">
        <f aca="false">IF(F187&lt;&gt;0,F187*G$2/(100+G$2)," ")</f>
        <v> </v>
      </c>
      <c r="H187" s="6" t="str">
        <f aca="false">IF((F187&lt;&gt;0),F187-G187," ")</f>
        <v> </v>
      </c>
      <c r="I187" s="5"/>
      <c r="L187" s="7" t="str">
        <f aca="false">IF(F187&lt;&gt;0,F187-K187," ")</f>
        <v> </v>
      </c>
      <c r="M187" s="8" t="str">
        <f aca="false">IF((F187-K187)&lt;&gt;0,M$1-A187," ")</f>
        <v> </v>
      </c>
      <c r="N187" s="5"/>
      <c r="O187" s="17" t="str">
        <f aca="false">IF((E187="s"),H187," ")</f>
        <v> </v>
      </c>
      <c r="P187" s="17" t="str">
        <f aca="false">IF((E187="c"),H187," ")</f>
        <v> </v>
      </c>
      <c r="Q187" s="17" t="str">
        <f aca="false">IF((E187="o"),H187," ")</f>
        <v> </v>
      </c>
      <c r="R187" s="17" t="str">
        <f aca="false">IF((E187="d"),H187," ")</f>
        <v> </v>
      </c>
      <c r="S187" s="17" t="str">
        <f aca="false">IF((E187="w"),H187," ")</f>
        <v> </v>
      </c>
      <c r="T187" s="17" t="str">
        <f aca="false">IF((E187="r"),H187," ")</f>
        <v> </v>
      </c>
      <c r="U187" s="17" t="str">
        <f aca="false">IF((E187="p"),H187," ")</f>
        <v> </v>
      </c>
      <c r="V187" s="17" t="str">
        <f aca="false">IF((E187="t"),H187," ")</f>
        <v> </v>
      </c>
      <c r="W187" s="17" t="str">
        <f aca="false">IF((E187="q"),H187," ")</f>
        <v> </v>
      </c>
      <c r="X187" s="17" t="str">
        <f aca="false">IF((E187="m"),H187," ")</f>
        <v> </v>
      </c>
      <c r="Y187" s="17" t="str">
        <f aca="false">IF((E187="u"),H187," ")</f>
        <v> </v>
      </c>
      <c r="Z187" s="17" t="str">
        <f aca="false">IF((E187="a"),H187," ")</f>
        <v> </v>
      </c>
      <c r="AA187" s="17" t="str">
        <f aca="false">IF((E187="g"),H187," ")</f>
        <v> </v>
      </c>
      <c r="AB187" s="17" t="str">
        <f aca="false">IF((E187="h"),H187," ")</f>
        <v> </v>
      </c>
      <c r="AC187" s="30" t="str">
        <f aca="false">IF((E187="v"),H187," ")</f>
        <v> </v>
      </c>
      <c r="AD187" s="30" t="str">
        <f aca="false">IF((E187="n"),H187," ")</f>
        <v> </v>
      </c>
      <c r="AE187" s="17" t="str">
        <f aca="false">IF((E187="f"),H187," ")</f>
        <v> </v>
      </c>
      <c r="AF187" s="17" t="str">
        <f aca="false">IF((E187="l"),H187," ")</f>
        <v> </v>
      </c>
      <c r="AG187" s="17" t="str">
        <f aca="false">IF((E187="y"),H187," ")</f>
        <v> </v>
      </c>
      <c r="AH187" s="17" t="str">
        <f aca="false">IF((E187="z"),H187," ")</f>
        <v> </v>
      </c>
      <c r="AI187" s="17" t="str">
        <f aca="false">IF((E187="fa"),H187," ")</f>
        <v> </v>
      </c>
      <c r="AJ187" s="17" t="str">
        <f aca="false">IF((E187="e"),H187," ")</f>
        <v> </v>
      </c>
    </row>
    <row r="188" customFormat="false" ht="12" hidden="false" customHeight="false" outlineLevel="0" collapsed="false">
      <c r="A188" s="28"/>
      <c r="E188" s="2" t="str">
        <f aca="false">IF((F188&lt;&gt;0),"Enter Letter"," ")</f>
        <v> </v>
      </c>
      <c r="F188" s="30"/>
      <c r="G188" s="6" t="str">
        <f aca="false">IF(F188&lt;&gt;0,F188*G$2/(100+G$2)," ")</f>
        <v> </v>
      </c>
      <c r="H188" s="6" t="str">
        <f aca="false">IF((F188&lt;&gt;0),F188-G188," ")</f>
        <v> </v>
      </c>
      <c r="I188" s="5"/>
      <c r="L188" s="7" t="str">
        <f aca="false">IF(F188&lt;&gt;0,F188-K188," ")</f>
        <v> </v>
      </c>
      <c r="M188" s="8" t="str">
        <f aca="false">IF((F188-K188)&lt;&gt;0,M$1-A188," ")</f>
        <v> </v>
      </c>
      <c r="N188" s="5"/>
      <c r="O188" s="17" t="str">
        <f aca="false">IF((E188="s"),H188," ")</f>
        <v> </v>
      </c>
      <c r="P188" s="17" t="str">
        <f aca="false">IF((E188="c"),H188," ")</f>
        <v> </v>
      </c>
      <c r="Q188" s="17" t="str">
        <f aca="false">IF((E188="o"),H188," ")</f>
        <v> </v>
      </c>
      <c r="R188" s="17" t="str">
        <f aca="false">IF((E188="d"),H188," ")</f>
        <v> </v>
      </c>
      <c r="S188" s="17" t="str">
        <f aca="false">IF((E188="w"),H188," ")</f>
        <v> </v>
      </c>
      <c r="T188" s="17" t="str">
        <f aca="false">IF((E188="r"),H188," ")</f>
        <v> </v>
      </c>
      <c r="U188" s="17" t="str">
        <f aca="false">IF((E188="p"),H188," ")</f>
        <v> </v>
      </c>
      <c r="V188" s="17" t="str">
        <f aca="false">IF((E188="t"),H188," ")</f>
        <v> </v>
      </c>
      <c r="W188" s="17" t="str">
        <f aca="false">IF((E188="q"),H188," ")</f>
        <v> </v>
      </c>
      <c r="X188" s="17" t="str">
        <f aca="false">IF((E188="m"),H188," ")</f>
        <v> </v>
      </c>
      <c r="Y188" s="17" t="str">
        <f aca="false">IF((E188="u"),H188," ")</f>
        <v> </v>
      </c>
      <c r="Z188" s="17" t="str">
        <f aca="false">IF((E188="a"),H188," ")</f>
        <v> </v>
      </c>
      <c r="AA188" s="17" t="str">
        <f aca="false">IF((E188="g"),H188," ")</f>
        <v> </v>
      </c>
      <c r="AB188" s="17" t="str">
        <f aca="false">IF((E188="h"),H188," ")</f>
        <v> </v>
      </c>
      <c r="AC188" s="30" t="str">
        <f aca="false">IF((E188="v"),H188," ")</f>
        <v> </v>
      </c>
      <c r="AD188" s="30" t="str">
        <f aca="false">IF((E188="n"),H188," ")</f>
        <v> </v>
      </c>
      <c r="AE188" s="17" t="str">
        <f aca="false">IF((E188="f"),H188," ")</f>
        <v> </v>
      </c>
      <c r="AF188" s="17" t="str">
        <f aca="false">IF((E188="l"),H188," ")</f>
        <v> </v>
      </c>
      <c r="AG188" s="17" t="str">
        <f aca="false">IF((E188="y"),H188," ")</f>
        <v> </v>
      </c>
      <c r="AH188" s="17" t="str">
        <f aca="false">IF((E188="z"),H188," ")</f>
        <v> </v>
      </c>
      <c r="AI188" s="17" t="str">
        <f aca="false">IF((E188="fa"),H188," ")</f>
        <v> </v>
      </c>
      <c r="AJ188" s="17" t="str">
        <f aca="false">IF((E188="e"),H188," ")</f>
        <v> </v>
      </c>
    </row>
    <row r="189" customFormat="false" ht="12" hidden="false" customHeight="false" outlineLevel="0" collapsed="false">
      <c r="A189" s="28"/>
      <c r="E189" s="2" t="str">
        <f aca="false">IF((F189&lt;&gt;0),"Enter Letter"," ")</f>
        <v> </v>
      </c>
      <c r="F189" s="30"/>
      <c r="G189" s="6" t="str">
        <f aca="false">IF(F189&lt;&gt;0,F189*G$2/(100+G$2)," ")</f>
        <v> </v>
      </c>
      <c r="H189" s="6" t="str">
        <f aca="false">IF((F189&lt;&gt;0),F189-G189," ")</f>
        <v> </v>
      </c>
      <c r="I189" s="5"/>
      <c r="L189" s="7" t="str">
        <f aca="false">IF(F189&lt;&gt;0,F189-K189," ")</f>
        <v> </v>
      </c>
      <c r="M189" s="8" t="str">
        <f aca="false">IF((F189-K189)&lt;&gt;0,M$1-A189," ")</f>
        <v> </v>
      </c>
      <c r="N189" s="5"/>
      <c r="O189" s="17" t="str">
        <f aca="false">IF((E189="s"),H189," ")</f>
        <v> </v>
      </c>
      <c r="P189" s="17" t="str">
        <f aca="false">IF((E189="c"),H189," ")</f>
        <v> </v>
      </c>
      <c r="Q189" s="17" t="str">
        <f aca="false">IF((E189="o"),H189," ")</f>
        <v> </v>
      </c>
      <c r="R189" s="17" t="str">
        <f aca="false">IF((E189="d"),H189," ")</f>
        <v> </v>
      </c>
      <c r="S189" s="17" t="str">
        <f aca="false">IF((E189="w"),H189," ")</f>
        <v> </v>
      </c>
      <c r="T189" s="17" t="str">
        <f aca="false">IF((E189="r"),H189," ")</f>
        <v> </v>
      </c>
      <c r="U189" s="17" t="str">
        <f aca="false">IF((E189="p"),H189," ")</f>
        <v> </v>
      </c>
      <c r="V189" s="17" t="str">
        <f aca="false">IF((E189="t"),H189," ")</f>
        <v> </v>
      </c>
      <c r="W189" s="17" t="str">
        <f aca="false">IF((E189="q"),H189," ")</f>
        <v> </v>
      </c>
      <c r="X189" s="17" t="str">
        <f aca="false">IF((E189="m"),H189," ")</f>
        <v> </v>
      </c>
      <c r="Y189" s="17" t="str">
        <f aca="false">IF((E189="u"),H189," ")</f>
        <v> </v>
      </c>
      <c r="Z189" s="17" t="str">
        <f aca="false">IF((E189="a"),H189," ")</f>
        <v> </v>
      </c>
      <c r="AA189" s="17" t="str">
        <f aca="false">IF((E189="g"),H189," ")</f>
        <v> </v>
      </c>
      <c r="AB189" s="17" t="str">
        <f aca="false">IF((E189="h"),H189," ")</f>
        <v> </v>
      </c>
      <c r="AC189" s="30" t="str">
        <f aca="false">IF((E189="v"),H189," ")</f>
        <v> </v>
      </c>
      <c r="AD189" s="30" t="str">
        <f aca="false">IF((E189="n"),H189," ")</f>
        <v> </v>
      </c>
      <c r="AE189" s="17" t="str">
        <f aca="false">IF((E189="f"),H189," ")</f>
        <v> </v>
      </c>
      <c r="AF189" s="17" t="str">
        <f aca="false">IF((E189="l"),H189," ")</f>
        <v> </v>
      </c>
      <c r="AG189" s="17" t="str">
        <f aca="false">IF((E189="y"),H189," ")</f>
        <v> </v>
      </c>
      <c r="AH189" s="17" t="str">
        <f aca="false">IF((E189="z"),H189," ")</f>
        <v> </v>
      </c>
      <c r="AI189" s="17" t="str">
        <f aca="false">IF((E189="fa"),H189," ")</f>
        <v> </v>
      </c>
      <c r="AJ189" s="17" t="str">
        <f aca="false">IF((E189="e"),H189," ")</f>
        <v> </v>
      </c>
    </row>
    <row r="190" customFormat="false" ht="12" hidden="false" customHeight="false" outlineLevel="0" collapsed="false">
      <c r="A190" s="28"/>
      <c r="E190" s="2" t="str">
        <f aca="false">IF((F190&lt;&gt;0),"Enter Letter"," ")</f>
        <v> </v>
      </c>
      <c r="F190" s="30"/>
      <c r="G190" s="6" t="str">
        <f aca="false">IF(F190&lt;&gt;0,F190*G$2/(100+G$2)," ")</f>
        <v> </v>
      </c>
      <c r="H190" s="6" t="str">
        <f aca="false">IF((F190&lt;&gt;0),F190-G190," ")</f>
        <v> </v>
      </c>
      <c r="I190" s="5"/>
      <c r="L190" s="7" t="str">
        <f aca="false">IF(F190&lt;&gt;0,F190-K190," ")</f>
        <v> </v>
      </c>
      <c r="M190" s="8" t="str">
        <f aca="false">IF((F190-K190)&lt;&gt;0,M$1-A190," ")</f>
        <v> </v>
      </c>
      <c r="N190" s="5"/>
      <c r="O190" s="17" t="str">
        <f aca="false">IF((E190="s"),H190," ")</f>
        <v> </v>
      </c>
      <c r="P190" s="17" t="str">
        <f aca="false">IF((E190="c"),H190," ")</f>
        <v> </v>
      </c>
      <c r="Q190" s="17" t="str">
        <f aca="false">IF((E190="o"),H190," ")</f>
        <v> </v>
      </c>
      <c r="R190" s="17" t="str">
        <f aca="false">IF((E190="d"),H190," ")</f>
        <v> </v>
      </c>
      <c r="S190" s="17" t="str">
        <f aca="false">IF((E190="w"),H190," ")</f>
        <v> </v>
      </c>
      <c r="T190" s="17" t="str">
        <f aca="false">IF((E190="r"),H190," ")</f>
        <v> </v>
      </c>
      <c r="U190" s="17" t="str">
        <f aca="false">IF((E190="p"),H190," ")</f>
        <v> </v>
      </c>
      <c r="V190" s="17" t="str">
        <f aca="false">IF((E190="t"),H190," ")</f>
        <v> </v>
      </c>
      <c r="W190" s="17" t="str">
        <f aca="false">IF((E190="q"),H190," ")</f>
        <v> </v>
      </c>
      <c r="X190" s="17" t="str">
        <f aca="false">IF((E190="m"),H190," ")</f>
        <v> </v>
      </c>
      <c r="Y190" s="17" t="str">
        <f aca="false">IF((E190="u"),H190," ")</f>
        <v> </v>
      </c>
      <c r="Z190" s="17" t="str">
        <f aca="false">IF((E190="a"),H190," ")</f>
        <v> </v>
      </c>
      <c r="AA190" s="17" t="str">
        <f aca="false">IF((E190="g"),H190," ")</f>
        <v> </v>
      </c>
      <c r="AB190" s="17" t="str">
        <f aca="false">IF((E190="h"),H190," ")</f>
        <v> </v>
      </c>
      <c r="AC190" s="30" t="str">
        <f aca="false">IF((E190="v"),H190," ")</f>
        <v> </v>
      </c>
      <c r="AD190" s="30" t="str">
        <f aca="false">IF((E190="n"),H190," ")</f>
        <v> </v>
      </c>
      <c r="AE190" s="17" t="str">
        <f aca="false">IF((E190="f"),H190," ")</f>
        <v> </v>
      </c>
      <c r="AF190" s="17" t="str">
        <f aca="false">IF((E190="l"),H190," ")</f>
        <v> </v>
      </c>
      <c r="AG190" s="17" t="str">
        <f aca="false">IF((E190="y"),H190," ")</f>
        <v> </v>
      </c>
      <c r="AH190" s="17" t="str">
        <f aca="false">IF((E190="z"),H190," ")</f>
        <v> </v>
      </c>
      <c r="AI190" s="17" t="str">
        <f aca="false">IF((E190="fa"),H190," ")</f>
        <v> </v>
      </c>
      <c r="AJ190" s="17" t="str">
        <f aca="false">IF((E190="e"),H190," ")</f>
        <v> </v>
      </c>
    </row>
    <row r="191" customFormat="false" ht="12" hidden="false" customHeight="false" outlineLevel="0" collapsed="false">
      <c r="A191" s="28"/>
      <c r="E191" s="2" t="str">
        <f aca="false">IF((F191&lt;&gt;0),"Enter Letter"," ")</f>
        <v> </v>
      </c>
      <c r="F191" s="30"/>
      <c r="G191" s="6" t="str">
        <f aca="false">IF(F191&lt;&gt;0,F191*G$2/(100+G$2)," ")</f>
        <v> </v>
      </c>
      <c r="H191" s="6" t="str">
        <f aca="false">IF((F191&lt;&gt;0),F191-G191," ")</f>
        <v> </v>
      </c>
      <c r="I191" s="5"/>
      <c r="L191" s="7" t="str">
        <f aca="false">IF(F191&lt;&gt;0,F191-K191," ")</f>
        <v> </v>
      </c>
      <c r="M191" s="8" t="str">
        <f aca="false">IF((F191-K191)&lt;&gt;0,M$1-A191," ")</f>
        <v> </v>
      </c>
      <c r="N191" s="5"/>
      <c r="O191" s="17" t="str">
        <f aca="false">IF((E191="s"),H191," ")</f>
        <v> </v>
      </c>
      <c r="P191" s="17" t="str">
        <f aca="false">IF((E191="c"),H191," ")</f>
        <v> </v>
      </c>
      <c r="Q191" s="17" t="str">
        <f aca="false">IF((E191="o"),H191," ")</f>
        <v> </v>
      </c>
      <c r="R191" s="17" t="str">
        <f aca="false">IF((E191="d"),H191," ")</f>
        <v> </v>
      </c>
      <c r="S191" s="17" t="str">
        <f aca="false">IF((E191="w"),H191," ")</f>
        <v> </v>
      </c>
      <c r="T191" s="17" t="str">
        <f aca="false">IF((E191="r"),H191," ")</f>
        <v> </v>
      </c>
      <c r="U191" s="17" t="str">
        <f aca="false">IF((E191="p"),H191," ")</f>
        <v> </v>
      </c>
      <c r="V191" s="17" t="str">
        <f aca="false">IF((E191="t"),H191," ")</f>
        <v> </v>
      </c>
      <c r="W191" s="17" t="str">
        <f aca="false">IF((E191="q"),H191," ")</f>
        <v> </v>
      </c>
      <c r="X191" s="17" t="str">
        <f aca="false">IF((E191="m"),H191," ")</f>
        <v> </v>
      </c>
      <c r="Y191" s="17" t="str">
        <f aca="false">IF((E191="u"),H191," ")</f>
        <v> </v>
      </c>
      <c r="Z191" s="17" t="str">
        <f aca="false">IF((E191="a"),H191," ")</f>
        <v> </v>
      </c>
      <c r="AA191" s="17" t="str">
        <f aca="false">IF((E191="g"),H191," ")</f>
        <v> </v>
      </c>
      <c r="AB191" s="17" t="str">
        <f aca="false">IF((E191="h"),H191," ")</f>
        <v> </v>
      </c>
      <c r="AC191" s="30" t="str">
        <f aca="false">IF((E191="v"),H191," ")</f>
        <v> </v>
      </c>
      <c r="AD191" s="30" t="str">
        <f aca="false">IF((E191="n"),H191," ")</f>
        <v> </v>
      </c>
      <c r="AE191" s="17" t="str">
        <f aca="false">IF((E191="f"),H191," ")</f>
        <v> </v>
      </c>
      <c r="AF191" s="17" t="str">
        <f aca="false">IF((E191="l"),H191," ")</f>
        <v> </v>
      </c>
      <c r="AG191" s="17" t="str">
        <f aca="false">IF((E191="y"),H191," ")</f>
        <v> </v>
      </c>
      <c r="AH191" s="17" t="str">
        <f aca="false">IF((E191="z"),H191," ")</f>
        <v> </v>
      </c>
      <c r="AI191" s="17" t="str">
        <f aca="false">IF((E191="fa"),H191," ")</f>
        <v> </v>
      </c>
      <c r="AJ191" s="17" t="str">
        <f aca="false">IF((E191="e"),H191," ")</f>
        <v> </v>
      </c>
    </row>
    <row r="192" customFormat="false" ht="12" hidden="false" customHeight="false" outlineLevel="0" collapsed="false">
      <c r="A192" s="28"/>
      <c r="E192" s="2" t="str">
        <f aca="false">IF((F192&lt;&gt;0),"Enter Letter"," ")</f>
        <v> </v>
      </c>
      <c r="F192" s="30"/>
      <c r="G192" s="6" t="str">
        <f aca="false">IF(F192&lt;&gt;0,F192*G$2/(100+G$2)," ")</f>
        <v> </v>
      </c>
      <c r="H192" s="6" t="str">
        <f aca="false">IF((F192&lt;&gt;0),F192-G192," ")</f>
        <v> </v>
      </c>
      <c r="I192" s="5"/>
      <c r="L192" s="7" t="str">
        <f aca="false">IF(F192&lt;&gt;0,F192-K192," ")</f>
        <v> </v>
      </c>
      <c r="M192" s="8" t="str">
        <f aca="false">IF((F192-K192)&lt;&gt;0,M$1-A192," ")</f>
        <v> </v>
      </c>
      <c r="N192" s="5"/>
      <c r="O192" s="17" t="str">
        <f aca="false">IF((E192="s"),H192," ")</f>
        <v> </v>
      </c>
      <c r="P192" s="17" t="str">
        <f aca="false">IF((E192="c"),H192," ")</f>
        <v> </v>
      </c>
      <c r="Q192" s="17" t="str">
        <f aca="false">IF((E192="o"),H192," ")</f>
        <v> </v>
      </c>
      <c r="R192" s="17" t="str">
        <f aca="false">IF((E192="d"),H192," ")</f>
        <v> </v>
      </c>
      <c r="S192" s="17" t="str">
        <f aca="false">IF((E192="w"),H192," ")</f>
        <v> </v>
      </c>
      <c r="T192" s="17" t="str">
        <f aca="false">IF((E192="r"),H192," ")</f>
        <v> </v>
      </c>
      <c r="U192" s="17" t="str">
        <f aca="false">IF((E192="p"),H192," ")</f>
        <v> </v>
      </c>
      <c r="V192" s="17" t="str">
        <f aca="false">IF((E192="t"),H192," ")</f>
        <v> </v>
      </c>
      <c r="W192" s="17" t="str">
        <f aca="false">IF((E192="q"),H192," ")</f>
        <v> </v>
      </c>
      <c r="X192" s="17" t="str">
        <f aca="false">IF((E192="m"),H192," ")</f>
        <v> </v>
      </c>
      <c r="Y192" s="17" t="str">
        <f aca="false">IF((E192="u"),H192," ")</f>
        <v> </v>
      </c>
      <c r="Z192" s="17" t="str">
        <f aca="false">IF((E192="a"),H192," ")</f>
        <v> </v>
      </c>
      <c r="AA192" s="17" t="str">
        <f aca="false">IF((E192="g"),H192," ")</f>
        <v> </v>
      </c>
      <c r="AB192" s="17" t="str">
        <f aca="false">IF((E192="h"),H192," ")</f>
        <v> </v>
      </c>
      <c r="AC192" s="30" t="str">
        <f aca="false">IF((E192="v"),H192," ")</f>
        <v> </v>
      </c>
      <c r="AD192" s="30" t="str">
        <f aca="false">IF((E192="n"),H192," ")</f>
        <v> </v>
      </c>
      <c r="AE192" s="17" t="str">
        <f aca="false">IF((E192="f"),H192," ")</f>
        <v> </v>
      </c>
      <c r="AF192" s="17" t="str">
        <f aca="false">IF((E192="l"),H192," ")</f>
        <v> </v>
      </c>
      <c r="AG192" s="17" t="str">
        <f aca="false">IF((E192="y"),H192," ")</f>
        <v> </v>
      </c>
      <c r="AH192" s="17" t="str">
        <f aca="false">IF((E192="z"),H192," ")</f>
        <v> </v>
      </c>
      <c r="AI192" s="17" t="str">
        <f aca="false">IF((E192="fa"),H192," ")</f>
        <v> </v>
      </c>
      <c r="AJ192" s="17" t="str">
        <f aca="false">IF((E192="e"),H192," ")</f>
        <v> </v>
      </c>
    </row>
    <row r="193" customFormat="false" ht="12" hidden="false" customHeight="false" outlineLevel="0" collapsed="false">
      <c r="A193" s="28"/>
      <c r="E193" s="2" t="str">
        <f aca="false">IF((F193&lt;&gt;0),"Enter Letter"," ")</f>
        <v> </v>
      </c>
      <c r="F193" s="30"/>
      <c r="G193" s="6" t="str">
        <f aca="false">IF(F193&lt;&gt;0,F193*G$2/(100+G$2)," ")</f>
        <v> </v>
      </c>
      <c r="H193" s="6" t="str">
        <f aca="false">IF((F193&lt;&gt;0),F193-G193," ")</f>
        <v> </v>
      </c>
      <c r="I193" s="5"/>
      <c r="L193" s="7" t="str">
        <f aca="false">IF(F193&lt;&gt;0,F193-K193," ")</f>
        <v> </v>
      </c>
      <c r="M193" s="8" t="str">
        <f aca="false">IF((F193-K193)&lt;&gt;0,M$1-A193," ")</f>
        <v> </v>
      </c>
      <c r="N193" s="5"/>
      <c r="O193" s="17" t="str">
        <f aca="false">IF((E193="s"),H193," ")</f>
        <v> </v>
      </c>
      <c r="P193" s="17" t="str">
        <f aca="false">IF((E193="c"),H193," ")</f>
        <v> </v>
      </c>
      <c r="Q193" s="17" t="str">
        <f aca="false">IF((E193="o"),H193," ")</f>
        <v> </v>
      </c>
      <c r="R193" s="17" t="str">
        <f aca="false">IF((E193="d"),H193," ")</f>
        <v> </v>
      </c>
      <c r="S193" s="17" t="str">
        <f aca="false">IF((E193="w"),H193," ")</f>
        <v> </v>
      </c>
      <c r="T193" s="17" t="str">
        <f aca="false">IF((E193="r"),H193," ")</f>
        <v> </v>
      </c>
      <c r="U193" s="17" t="str">
        <f aca="false">IF((E193="p"),H193," ")</f>
        <v> </v>
      </c>
      <c r="V193" s="17" t="str">
        <f aca="false">IF((E193="t"),H193," ")</f>
        <v> </v>
      </c>
      <c r="W193" s="17" t="str">
        <f aca="false">IF((E193="q"),H193," ")</f>
        <v> </v>
      </c>
      <c r="X193" s="17" t="str">
        <f aca="false">IF((E193="m"),H193," ")</f>
        <v> </v>
      </c>
      <c r="Y193" s="17" t="str">
        <f aca="false">IF((E193="u"),H193," ")</f>
        <v> </v>
      </c>
      <c r="Z193" s="17" t="str">
        <f aca="false">IF((E193="a"),H193," ")</f>
        <v> </v>
      </c>
      <c r="AA193" s="17" t="str">
        <f aca="false">IF((E193="g"),H193," ")</f>
        <v> </v>
      </c>
      <c r="AB193" s="17" t="str">
        <f aca="false">IF((E193="h"),H193," ")</f>
        <v> </v>
      </c>
      <c r="AC193" s="30" t="str">
        <f aca="false">IF((E193="v"),H193," ")</f>
        <v> </v>
      </c>
      <c r="AD193" s="30" t="str">
        <f aca="false">IF((E193="n"),H193," ")</f>
        <v> </v>
      </c>
      <c r="AE193" s="17" t="str">
        <f aca="false">IF((E193="f"),H193," ")</f>
        <v> </v>
      </c>
      <c r="AF193" s="17" t="str">
        <f aca="false">IF((E193="l"),H193," ")</f>
        <v> </v>
      </c>
      <c r="AG193" s="17" t="str">
        <f aca="false">IF((E193="y"),H193," ")</f>
        <v> </v>
      </c>
      <c r="AH193" s="17" t="str">
        <f aca="false">IF((E193="z"),H193," ")</f>
        <v> </v>
      </c>
      <c r="AI193" s="17" t="str">
        <f aca="false">IF((E193="fa"),H193," ")</f>
        <v> </v>
      </c>
      <c r="AJ193" s="17" t="str">
        <f aca="false">IF((E193="e"),H193," ")</f>
        <v> </v>
      </c>
    </row>
    <row r="194" customFormat="false" ht="12" hidden="false" customHeight="false" outlineLevel="0" collapsed="false">
      <c r="A194" s="28"/>
      <c r="E194" s="2" t="str">
        <f aca="false">IF((F194&lt;&gt;0),"Enter Letter"," ")</f>
        <v> </v>
      </c>
      <c r="F194" s="30"/>
      <c r="G194" s="6" t="str">
        <f aca="false">IF(F194&lt;&gt;0,F194*G$2/(100+G$2)," ")</f>
        <v> </v>
      </c>
      <c r="H194" s="6" t="str">
        <f aca="false">IF((F194&lt;&gt;0),F194-G194," ")</f>
        <v> </v>
      </c>
      <c r="I194" s="5"/>
      <c r="L194" s="7" t="str">
        <f aca="false">IF(F194&lt;&gt;0,F194-K194," ")</f>
        <v> </v>
      </c>
      <c r="M194" s="8" t="str">
        <f aca="false">IF((F194-K194)&lt;&gt;0,M$1-A194," ")</f>
        <v> </v>
      </c>
      <c r="N194" s="5"/>
      <c r="O194" s="17" t="str">
        <f aca="false">IF((E194="s"),H194," ")</f>
        <v> </v>
      </c>
      <c r="P194" s="17" t="str">
        <f aca="false">IF((E194="c"),H194," ")</f>
        <v> </v>
      </c>
      <c r="Q194" s="17" t="str">
        <f aca="false">IF((E194="o"),H194," ")</f>
        <v> </v>
      </c>
      <c r="R194" s="17" t="str">
        <f aca="false">IF((E194="d"),H194," ")</f>
        <v> </v>
      </c>
      <c r="S194" s="17" t="str">
        <f aca="false">IF((E194="w"),H194," ")</f>
        <v> </v>
      </c>
      <c r="T194" s="17" t="str">
        <f aca="false">IF((E194="r"),H194," ")</f>
        <v> </v>
      </c>
      <c r="U194" s="17" t="str">
        <f aca="false">IF((E194="p"),H194," ")</f>
        <v> </v>
      </c>
      <c r="V194" s="17" t="str">
        <f aca="false">IF((E194="t"),H194," ")</f>
        <v> </v>
      </c>
      <c r="W194" s="17" t="str">
        <f aca="false">IF((E194="q"),H194," ")</f>
        <v> </v>
      </c>
      <c r="X194" s="17" t="str">
        <f aca="false">IF((E194="m"),H194," ")</f>
        <v> </v>
      </c>
      <c r="Y194" s="17" t="str">
        <f aca="false">IF((E194="u"),H194," ")</f>
        <v> </v>
      </c>
      <c r="Z194" s="17" t="str">
        <f aca="false">IF((E194="a"),H194," ")</f>
        <v> </v>
      </c>
      <c r="AA194" s="17" t="str">
        <f aca="false">IF((E194="g"),H194," ")</f>
        <v> </v>
      </c>
      <c r="AB194" s="17" t="str">
        <f aca="false">IF((E194="h"),H194," ")</f>
        <v> </v>
      </c>
      <c r="AC194" s="30" t="str">
        <f aca="false">IF((E194="v"),H194," ")</f>
        <v> </v>
      </c>
      <c r="AD194" s="30" t="str">
        <f aca="false">IF((E194="n"),H194," ")</f>
        <v> </v>
      </c>
      <c r="AE194" s="17" t="str">
        <f aca="false">IF((E194="f"),H194," ")</f>
        <v> </v>
      </c>
      <c r="AF194" s="17" t="str">
        <f aca="false">IF((E194="l"),H194," ")</f>
        <v> </v>
      </c>
      <c r="AG194" s="17" t="str">
        <f aca="false">IF((E194="y"),H194," ")</f>
        <v> </v>
      </c>
      <c r="AH194" s="17" t="str">
        <f aca="false">IF((E194="z"),H194," ")</f>
        <v> </v>
      </c>
      <c r="AI194" s="17" t="str">
        <f aca="false">IF((E194="fa"),H194," ")</f>
        <v> </v>
      </c>
      <c r="AJ194" s="17" t="str">
        <f aca="false">IF((E194="e"),H194," ")</f>
        <v> </v>
      </c>
    </row>
    <row r="195" customFormat="false" ht="12" hidden="false" customHeight="false" outlineLevel="0" collapsed="false">
      <c r="A195" s="28"/>
      <c r="E195" s="2" t="str">
        <f aca="false">IF((F195&lt;&gt;0),"Enter Letter"," ")</f>
        <v> </v>
      </c>
      <c r="F195" s="30"/>
      <c r="G195" s="6" t="str">
        <f aca="false">IF(F195&lt;&gt;0,F195*G$2/(100+G$2)," ")</f>
        <v> </v>
      </c>
      <c r="H195" s="6" t="str">
        <f aca="false">IF((F195&lt;&gt;0),F195-G195," ")</f>
        <v> </v>
      </c>
      <c r="I195" s="5"/>
      <c r="L195" s="7" t="str">
        <f aca="false">IF(F195&lt;&gt;0,F195-K195," ")</f>
        <v> </v>
      </c>
      <c r="M195" s="8" t="str">
        <f aca="false">IF((F195-K195)&lt;&gt;0,M$1-A195," ")</f>
        <v> </v>
      </c>
      <c r="N195" s="5"/>
      <c r="O195" s="17" t="str">
        <f aca="false">IF((E195="s"),H195," ")</f>
        <v> </v>
      </c>
      <c r="P195" s="17" t="str">
        <f aca="false">IF((E195="c"),H195," ")</f>
        <v> </v>
      </c>
      <c r="Q195" s="17" t="str">
        <f aca="false">IF((E195="o"),H195," ")</f>
        <v> </v>
      </c>
      <c r="R195" s="17" t="str">
        <f aca="false">IF((E195="d"),H195," ")</f>
        <v> </v>
      </c>
      <c r="S195" s="17" t="str">
        <f aca="false">IF((E195="w"),H195," ")</f>
        <v> </v>
      </c>
      <c r="T195" s="17" t="str">
        <f aca="false">IF((E195="r"),H195," ")</f>
        <v> </v>
      </c>
      <c r="U195" s="17" t="str">
        <f aca="false">IF((E195="p"),H195," ")</f>
        <v> </v>
      </c>
      <c r="V195" s="17" t="str">
        <f aca="false">IF((E195="t"),H195," ")</f>
        <v> </v>
      </c>
      <c r="W195" s="17" t="str">
        <f aca="false">IF((E195="q"),H195," ")</f>
        <v> </v>
      </c>
      <c r="X195" s="17" t="str">
        <f aca="false">IF((E195="m"),H195," ")</f>
        <v> </v>
      </c>
      <c r="Y195" s="17" t="str">
        <f aca="false">IF((E195="u"),H195," ")</f>
        <v> </v>
      </c>
      <c r="Z195" s="17" t="str">
        <f aca="false">IF((E195="a"),H195," ")</f>
        <v> </v>
      </c>
      <c r="AA195" s="17" t="str">
        <f aca="false">IF((E195="g"),H195," ")</f>
        <v> </v>
      </c>
      <c r="AB195" s="17" t="str">
        <f aca="false">IF((E195="h"),H195," ")</f>
        <v> </v>
      </c>
      <c r="AC195" s="30" t="str">
        <f aca="false">IF((E195="v"),H195," ")</f>
        <v> </v>
      </c>
      <c r="AD195" s="30" t="str">
        <f aca="false">IF((E195="n"),H195," ")</f>
        <v> </v>
      </c>
      <c r="AE195" s="17" t="str">
        <f aca="false">IF((E195="f"),H195," ")</f>
        <v> </v>
      </c>
      <c r="AF195" s="17" t="str">
        <f aca="false">IF((E195="l"),H195," ")</f>
        <v> </v>
      </c>
      <c r="AG195" s="17" t="str">
        <f aca="false">IF((E195="y"),H195," ")</f>
        <v> </v>
      </c>
      <c r="AH195" s="17" t="str">
        <f aca="false">IF((E195="z"),H195," ")</f>
        <v> </v>
      </c>
      <c r="AI195" s="17" t="str">
        <f aca="false">IF((E195="fa"),H195," ")</f>
        <v> </v>
      </c>
      <c r="AJ195" s="17" t="str">
        <f aca="false">IF((E195="e"),H195," ")</f>
        <v> </v>
      </c>
    </row>
    <row r="196" customFormat="false" ht="12" hidden="false" customHeight="false" outlineLevel="0" collapsed="false">
      <c r="A196" s="28"/>
      <c r="E196" s="2" t="str">
        <f aca="false">IF((F196&lt;&gt;0),"Enter Letter"," ")</f>
        <v> </v>
      </c>
      <c r="F196" s="30"/>
      <c r="G196" s="6" t="str">
        <f aca="false">IF(F196&lt;&gt;0,F196*G$2/(100+G$2)," ")</f>
        <v> </v>
      </c>
      <c r="H196" s="6" t="str">
        <f aca="false">IF((F196&lt;&gt;0),F196-G196," ")</f>
        <v> </v>
      </c>
      <c r="I196" s="5"/>
      <c r="L196" s="7" t="str">
        <f aca="false">IF(F196&lt;&gt;0,F196-K196," ")</f>
        <v> </v>
      </c>
      <c r="M196" s="8" t="str">
        <f aca="false">IF((F196-K196)&lt;&gt;0,M$1-A196," ")</f>
        <v> </v>
      </c>
      <c r="N196" s="5"/>
      <c r="O196" s="17" t="str">
        <f aca="false">IF((E196="s"),H196," ")</f>
        <v> </v>
      </c>
      <c r="P196" s="17" t="str">
        <f aca="false">IF((E196="c"),H196," ")</f>
        <v> </v>
      </c>
      <c r="Q196" s="17" t="str">
        <f aca="false">IF((E196="o"),H196," ")</f>
        <v> </v>
      </c>
      <c r="R196" s="17" t="str">
        <f aca="false">IF((E196="d"),H196," ")</f>
        <v> </v>
      </c>
      <c r="S196" s="17" t="str">
        <f aca="false">IF((E196="w"),H196," ")</f>
        <v> </v>
      </c>
      <c r="T196" s="17" t="str">
        <f aca="false">IF((E196="r"),H196," ")</f>
        <v> </v>
      </c>
      <c r="U196" s="17" t="str">
        <f aca="false">IF((E196="p"),H196," ")</f>
        <v> </v>
      </c>
      <c r="V196" s="17" t="str">
        <f aca="false">IF((E196="t"),H196," ")</f>
        <v> </v>
      </c>
      <c r="W196" s="17" t="str">
        <f aca="false">IF((E196="q"),H196," ")</f>
        <v> </v>
      </c>
      <c r="X196" s="17" t="str">
        <f aca="false">IF((E196="m"),H196," ")</f>
        <v> </v>
      </c>
      <c r="Y196" s="17" t="str">
        <f aca="false">IF((E196="u"),H196," ")</f>
        <v> </v>
      </c>
      <c r="Z196" s="17" t="str">
        <f aca="false">IF((E196="a"),H196," ")</f>
        <v> </v>
      </c>
      <c r="AA196" s="17" t="str">
        <f aca="false">IF((E196="g"),H196," ")</f>
        <v> </v>
      </c>
      <c r="AB196" s="17" t="str">
        <f aca="false">IF((E196="h"),H196," ")</f>
        <v> </v>
      </c>
      <c r="AC196" s="30" t="str">
        <f aca="false">IF((E196="v"),H196," ")</f>
        <v> </v>
      </c>
      <c r="AD196" s="30" t="str">
        <f aca="false">IF((E196="n"),H196," ")</f>
        <v> </v>
      </c>
      <c r="AE196" s="17" t="str">
        <f aca="false">IF((E196="f"),H196," ")</f>
        <v> </v>
      </c>
      <c r="AF196" s="17" t="str">
        <f aca="false">IF((E196="l"),H196," ")</f>
        <v> </v>
      </c>
      <c r="AG196" s="17" t="str">
        <f aca="false">IF((E196="y"),H196," ")</f>
        <v> </v>
      </c>
      <c r="AH196" s="17" t="str">
        <f aca="false">IF((E196="z"),H196," ")</f>
        <v> </v>
      </c>
      <c r="AI196" s="17" t="str">
        <f aca="false">IF((E196="fa"),H196," ")</f>
        <v> </v>
      </c>
      <c r="AJ196" s="17" t="str">
        <f aca="false">IF((E196="e"),H196," ")</f>
        <v> </v>
      </c>
    </row>
    <row r="197" customFormat="false" ht="12" hidden="false" customHeight="false" outlineLevel="0" collapsed="false">
      <c r="A197" s="28"/>
      <c r="E197" s="2" t="str">
        <f aca="false">IF((F197&lt;&gt;0),"Enter Letter"," ")</f>
        <v> </v>
      </c>
      <c r="F197" s="30"/>
      <c r="G197" s="6" t="str">
        <f aca="false">IF(F197&lt;&gt;0,F197*G$2/(100+G$2)," ")</f>
        <v> </v>
      </c>
      <c r="H197" s="6" t="str">
        <f aca="false">IF((F197&lt;&gt;0),F197-G197," ")</f>
        <v> </v>
      </c>
      <c r="I197" s="5"/>
      <c r="L197" s="7" t="str">
        <f aca="false">IF(F197&lt;&gt;0,F197-K197," ")</f>
        <v> </v>
      </c>
      <c r="M197" s="8" t="str">
        <f aca="false">IF((F197-K197)&lt;&gt;0,M$1-A197," ")</f>
        <v> </v>
      </c>
      <c r="N197" s="5"/>
      <c r="O197" s="17" t="str">
        <f aca="false">IF((E197="s"),H197," ")</f>
        <v> </v>
      </c>
      <c r="P197" s="17" t="str">
        <f aca="false">IF((E197="c"),H197," ")</f>
        <v> </v>
      </c>
      <c r="Q197" s="17" t="str">
        <f aca="false">IF((E197="o"),H197," ")</f>
        <v> </v>
      </c>
      <c r="R197" s="17" t="str">
        <f aca="false">IF((E197="d"),H197," ")</f>
        <v> </v>
      </c>
      <c r="S197" s="17" t="str">
        <f aca="false">IF((E197="w"),H197," ")</f>
        <v> </v>
      </c>
      <c r="T197" s="17" t="str">
        <f aca="false">IF((E197="r"),H197," ")</f>
        <v> </v>
      </c>
      <c r="U197" s="17" t="str">
        <f aca="false">IF((E197="p"),H197," ")</f>
        <v> </v>
      </c>
      <c r="V197" s="17" t="str">
        <f aca="false">IF((E197="t"),H197," ")</f>
        <v> </v>
      </c>
      <c r="W197" s="17" t="str">
        <f aca="false">IF((E197="q"),H197," ")</f>
        <v> </v>
      </c>
      <c r="X197" s="17" t="str">
        <f aca="false">IF((E197="m"),H197," ")</f>
        <v> </v>
      </c>
      <c r="Y197" s="17" t="str">
        <f aca="false">IF((E197="u"),H197," ")</f>
        <v> </v>
      </c>
      <c r="Z197" s="17" t="str">
        <f aca="false">IF((E197="a"),H197," ")</f>
        <v> </v>
      </c>
      <c r="AA197" s="17" t="str">
        <f aca="false">IF((E197="g"),H197," ")</f>
        <v> </v>
      </c>
      <c r="AB197" s="17" t="str">
        <f aca="false">IF((E197="h"),H197," ")</f>
        <v> </v>
      </c>
      <c r="AC197" s="30" t="str">
        <f aca="false">IF((E197="v"),H197," ")</f>
        <v> </v>
      </c>
      <c r="AD197" s="30" t="str">
        <f aca="false">IF((E197="n"),H197," ")</f>
        <v> </v>
      </c>
      <c r="AE197" s="17" t="str">
        <f aca="false">IF((E197="f"),H197," ")</f>
        <v> </v>
      </c>
      <c r="AF197" s="17" t="str">
        <f aca="false">IF((E197="l"),H197," ")</f>
        <v> </v>
      </c>
      <c r="AG197" s="17" t="str">
        <f aca="false">IF((E197="y"),H197," ")</f>
        <v> </v>
      </c>
      <c r="AH197" s="17" t="str">
        <f aca="false">IF((E197="z"),H197," ")</f>
        <v> </v>
      </c>
      <c r="AI197" s="17" t="str">
        <f aca="false">IF((E197="fa"),H197," ")</f>
        <v> </v>
      </c>
      <c r="AJ197" s="17" t="str">
        <f aca="false">IF((E197="e"),H197," ")</f>
        <v> </v>
      </c>
    </row>
    <row r="198" customFormat="false" ht="12" hidden="false" customHeight="false" outlineLevel="0" collapsed="false">
      <c r="A198" s="28"/>
      <c r="E198" s="2" t="str">
        <f aca="false">IF((F198&lt;&gt;0),"Enter Letter"," ")</f>
        <v> </v>
      </c>
      <c r="F198" s="30"/>
      <c r="G198" s="6" t="str">
        <f aca="false">IF(F198&lt;&gt;0,F198*G$2/(100+G$2)," ")</f>
        <v> </v>
      </c>
      <c r="H198" s="6" t="str">
        <f aca="false">IF((F198&lt;&gt;0),F198-G198," ")</f>
        <v> </v>
      </c>
      <c r="I198" s="5"/>
      <c r="L198" s="7" t="str">
        <f aca="false">IF(F198&lt;&gt;0,F198-K198," ")</f>
        <v> </v>
      </c>
      <c r="M198" s="8" t="str">
        <f aca="false">IF((F198-K198)&lt;&gt;0,M$1-A198," ")</f>
        <v> </v>
      </c>
      <c r="N198" s="5"/>
      <c r="O198" s="17" t="str">
        <f aca="false">IF((E198="s"),H198," ")</f>
        <v> </v>
      </c>
      <c r="P198" s="17" t="str">
        <f aca="false">IF((E198="c"),H198," ")</f>
        <v> </v>
      </c>
      <c r="Q198" s="17" t="str">
        <f aca="false">IF((E198="o"),H198," ")</f>
        <v> </v>
      </c>
      <c r="R198" s="17" t="str">
        <f aca="false">IF((E198="d"),H198," ")</f>
        <v> </v>
      </c>
      <c r="S198" s="17" t="str">
        <f aca="false">IF((E198="w"),H198," ")</f>
        <v> </v>
      </c>
      <c r="T198" s="17" t="str">
        <f aca="false">IF((E198="r"),H198," ")</f>
        <v> </v>
      </c>
      <c r="U198" s="17" t="str">
        <f aca="false">IF((E198="p"),H198," ")</f>
        <v> </v>
      </c>
      <c r="V198" s="17" t="str">
        <f aca="false">IF((E198="t"),H198," ")</f>
        <v> </v>
      </c>
      <c r="W198" s="17" t="str">
        <f aca="false">IF((E198="q"),H198," ")</f>
        <v> </v>
      </c>
      <c r="X198" s="17" t="str">
        <f aca="false">IF((E198="m"),H198," ")</f>
        <v> </v>
      </c>
      <c r="Y198" s="17" t="str">
        <f aca="false">IF((E198="u"),H198," ")</f>
        <v> </v>
      </c>
      <c r="Z198" s="17" t="str">
        <f aca="false">IF((E198="a"),H198," ")</f>
        <v> </v>
      </c>
      <c r="AA198" s="17" t="str">
        <f aca="false">IF((E198="g"),H198," ")</f>
        <v> </v>
      </c>
      <c r="AB198" s="17" t="str">
        <f aca="false">IF((E198="h"),H198," ")</f>
        <v> </v>
      </c>
      <c r="AC198" s="30" t="str">
        <f aca="false">IF((E198="v"),H198," ")</f>
        <v> </v>
      </c>
      <c r="AD198" s="30" t="str">
        <f aca="false">IF((E198="n"),H198," ")</f>
        <v> </v>
      </c>
      <c r="AE198" s="17" t="str">
        <f aca="false">IF((E198="f"),H198," ")</f>
        <v> </v>
      </c>
      <c r="AF198" s="17" t="str">
        <f aca="false">IF((E198="l"),H198," ")</f>
        <v> </v>
      </c>
      <c r="AG198" s="17" t="str">
        <f aca="false">IF((E198="y"),H198," ")</f>
        <v> </v>
      </c>
      <c r="AH198" s="17" t="str">
        <f aca="false">IF((E198="z"),H198," ")</f>
        <v> </v>
      </c>
      <c r="AI198" s="17" t="str">
        <f aca="false">IF((E198="fa"),H198," ")</f>
        <v> </v>
      </c>
      <c r="AJ198" s="17" t="str">
        <f aca="false">IF((E198="e"),H198," ")</f>
        <v> </v>
      </c>
    </row>
    <row r="199" customFormat="false" ht="12" hidden="false" customHeight="false" outlineLevel="0" collapsed="false">
      <c r="A199" s="28"/>
      <c r="E199" s="2" t="str">
        <f aca="false">IF((F199&lt;&gt;0),"Enter Letter"," ")</f>
        <v> </v>
      </c>
      <c r="F199" s="30"/>
      <c r="G199" s="6" t="str">
        <f aca="false">IF(F199&lt;&gt;0,F199*G$2/(100+G$2)," ")</f>
        <v> </v>
      </c>
      <c r="H199" s="6" t="str">
        <f aca="false">IF((F199&lt;&gt;0),F199-G199," ")</f>
        <v> </v>
      </c>
      <c r="I199" s="5"/>
      <c r="L199" s="7" t="str">
        <f aca="false">IF(F199&lt;&gt;0,F199-K199," ")</f>
        <v> </v>
      </c>
      <c r="M199" s="8" t="str">
        <f aca="false">IF((F199-K199)&lt;&gt;0,M$1-A199," ")</f>
        <v> </v>
      </c>
      <c r="N199" s="5"/>
      <c r="O199" s="17" t="str">
        <f aca="false">IF((E199="s"),H199," ")</f>
        <v> </v>
      </c>
      <c r="P199" s="17" t="str">
        <f aca="false">IF((E199="c"),H199," ")</f>
        <v> </v>
      </c>
      <c r="Q199" s="17" t="str">
        <f aca="false">IF((E199="o"),H199," ")</f>
        <v> </v>
      </c>
      <c r="R199" s="17" t="str">
        <f aca="false">IF((E199="d"),H199," ")</f>
        <v> </v>
      </c>
      <c r="S199" s="17" t="str">
        <f aca="false">IF((E199="w"),H199," ")</f>
        <v> </v>
      </c>
      <c r="T199" s="17" t="str">
        <f aca="false">IF((E199="r"),H199," ")</f>
        <v> </v>
      </c>
      <c r="U199" s="17" t="str">
        <f aca="false">IF((E199="p"),H199," ")</f>
        <v> </v>
      </c>
      <c r="V199" s="17" t="str">
        <f aca="false">IF((E199="t"),H199," ")</f>
        <v> </v>
      </c>
      <c r="W199" s="17" t="str">
        <f aca="false">IF((E199="q"),H199," ")</f>
        <v> </v>
      </c>
      <c r="X199" s="17" t="str">
        <f aca="false">IF((E199="m"),H199," ")</f>
        <v> </v>
      </c>
      <c r="Y199" s="17" t="str">
        <f aca="false">IF((E199="u"),H199," ")</f>
        <v> </v>
      </c>
      <c r="Z199" s="17" t="str">
        <f aca="false">IF((E199="a"),H199," ")</f>
        <v> </v>
      </c>
      <c r="AA199" s="17" t="str">
        <f aca="false">IF((E199="g"),H199," ")</f>
        <v> </v>
      </c>
      <c r="AB199" s="17" t="str">
        <f aca="false">IF((E199="h"),H199," ")</f>
        <v> </v>
      </c>
      <c r="AC199" s="30" t="str">
        <f aca="false">IF((E199="v"),H199," ")</f>
        <v> </v>
      </c>
      <c r="AD199" s="30" t="str">
        <f aca="false">IF((E199="n"),H199," ")</f>
        <v> </v>
      </c>
      <c r="AE199" s="17" t="str">
        <f aca="false">IF((E199="f"),H199," ")</f>
        <v> </v>
      </c>
      <c r="AF199" s="17" t="str">
        <f aca="false">IF((E199="l"),H199," ")</f>
        <v> </v>
      </c>
      <c r="AG199" s="17" t="str">
        <f aca="false">IF((E199="y"),H199," ")</f>
        <v> </v>
      </c>
      <c r="AH199" s="17" t="str">
        <f aca="false">IF((E199="z"),H199," ")</f>
        <v> </v>
      </c>
      <c r="AI199" s="17" t="str">
        <f aca="false">IF((E199="fa"),H199," ")</f>
        <v> </v>
      </c>
      <c r="AJ199" s="17" t="str">
        <f aca="false">IF((E199="e"),H199," ")</f>
        <v> </v>
      </c>
    </row>
    <row r="200" customFormat="false" ht="12" hidden="false" customHeight="false" outlineLevel="0" collapsed="false">
      <c r="A200" s="28"/>
      <c r="E200" s="2" t="str">
        <f aca="false">IF((F200&lt;&gt;0),"Enter Letter"," ")</f>
        <v> </v>
      </c>
      <c r="F200" s="30"/>
      <c r="G200" s="6" t="str">
        <f aca="false">IF(F200&lt;&gt;0,F200*G$2/(100+G$2)," ")</f>
        <v> </v>
      </c>
      <c r="H200" s="6" t="str">
        <f aca="false">IF((F200&lt;&gt;0),F200-G200," ")</f>
        <v> </v>
      </c>
      <c r="I200" s="5"/>
      <c r="L200" s="7" t="str">
        <f aca="false">IF(F200&lt;&gt;0,F200-K200," ")</f>
        <v> </v>
      </c>
      <c r="M200" s="8" t="str">
        <f aca="false">IF((F200-K200)&lt;&gt;0,M$1-A200," ")</f>
        <v> </v>
      </c>
      <c r="N200" s="5"/>
      <c r="O200" s="17" t="str">
        <f aca="false">IF((E200="s"),H200," ")</f>
        <v> </v>
      </c>
      <c r="P200" s="17" t="str">
        <f aca="false">IF((E200="c"),H200," ")</f>
        <v> </v>
      </c>
      <c r="Q200" s="17" t="str">
        <f aca="false">IF((E200="o"),H200," ")</f>
        <v> </v>
      </c>
      <c r="R200" s="17" t="str">
        <f aca="false">IF((E200="d"),H200," ")</f>
        <v> </v>
      </c>
      <c r="S200" s="17" t="str">
        <f aca="false">IF((E200="w"),H200," ")</f>
        <v> </v>
      </c>
      <c r="T200" s="17" t="str">
        <f aca="false">IF((E200="r"),H200," ")</f>
        <v> </v>
      </c>
      <c r="U200" s="17" t="str">
        <f aca="false">IF((E200="p"),H200," ")</f>
        <v> </v>
      </c>
      <c r="V200" s="17" t="str">
        <f aca="false">IF((E200="t"),H200," ")</f>
        <v> </v>
      </c>
      <c r="W200" s="17" t="str">
        <f aca="false">IF((E200="q"),H200," ")</f>
        <v> </v>
      </c>
      <c r="X200" s="17" t="str">
        <f aca="false">IF((E200="m"),H200," ")</f>
        <v> </v>
      </c>
      <c r="Y200" s="17" t="str">
        <f aca="false">IF((E200="u"),H200," ")</f>
        <v> </v>
      </c>
      <c r="Z200" s="17" t="str">
        <f aca="false">IF((E200="a"),H200," ")</f>
        <v> </v>
      </c>
      <c r="AA200" s="17" t="str">
        <f aca="false">IF((E200="g"),H200," ")</f>
        <v> </v>
      </c>
      <c r="AB200" s="17" t="str">
        <f aca="false">IF((E200="h"),H200," ")</f>
        <v> </v>
      </c>
      <c r="AC200" s="30" t="str">
        <f aca="false">IF((E200="v"),H200," ")</f>
        <v> </v>
      </c>
      <c r="AD200" s="30" t="str">
        <f aca="false">IF((E200="n"),H200," ")</f>
        <v> </v>
      </c>
      <c r="AE200" s="17" t="str">
        <f aca="false">IF((E200="f"),H200," ")</f>
        <v> </v>
      </c>
      <c r="AF200" s="17" t="str">
        <f aca="false">IF((E200="l"),H200," ")</f>
        <v> </v>
      </c>
      <c r="AG200" s="17" t="str">
        <f aca="false">IF((E200="y"),H200," ")</f>
        <v> </v>
      </c>
      <c r="AH200" s="17" t="str">
        <f aca="false">IF((E200="z"),H200," ")</f>
        <v> </v>
      </c>
      <c r="AI200" s="17" t="str">
        <f aca="false">IF((E200="fa"),H200," ")</f>
        <v> </v>
      </c>
      <c r="AJ200" s="17" t="str">
        <f aca="false">IF((E200="e"),H200," ")</f>
        <v> </v>
      </c>
    </row>
    <row r="201" customFormat="false" ht="12" hidden="false" customHeight="false" outlineLevel="0" collapsed="false">
      <c r="A201" s="28"/>
      <c r="E201" s="2" t="str">
        <f aca="false">IF((F201&lt;&gt;0),"Enter Letter"," ")</f>
        <v> </v>
      </c>
      <c r="F201" s="30"/>
      <c r="G201" s="6" t="str">
        <f aca="false">IF(F201&lt;&gt;0,F201*G$2/(100+G$2)," ")</f>
        <v> </v>
      </c>
      <c r="H201" s="6" t="str">
        <f aca="false">IF((F201&lt;&gt;0),F201-G201," ")</f>
        <v> </v>
      </c>
      <c r="I201" s="5"/>
      <c r="L201" s="7" t="str">
        <f aca="false">IF(F201&lt;&gt;0,F201-K201," ")</f>
        <v> </v>
      </c>
      <c r="M201" s="8" t="str">
        <f aca="false">IF((F201-K201)&lt;&gt;0,M$1-A201," ")</f>
        <v> </v>
      </c>
      <c r="N201" s="5"/>
      <c r="O201" s="17" t="str">
        <f aca="false">IF((E201="s"),H201," ")</f>
        <v> </v>
      </c>
      <c r="P201" s="17" t="str">
        <f aca="false">IF((E201="c"),H201," ")</f>
        <v> </v>
      </c>
      <c r="Q201" s="17" t="str">
        <f aca="false">IF((E201="o"),H201," ")</f>
        <v> </v>
      </c>
      <c r="R201" s="17" t="str">
        <f aca="false">IF((E201="d"),H201," ")</f>
        <v> </v>
      </c>
      <c r="S201" s="17" t="str">
        <f aca="false">IF((E201="w"),H201," ")</f>
        <v> </v>
      </c>
      <c r="T201" s="17" t="str">
        <f aca="false">IF((E201="r"),H201," ")</f>
        <v> </v>
      </c>
      <c r="U201" s="17" t="str">
        <f aca="false">IF((E201="p"),H201," ")</f>
        <v> </v>
      </c>
      <c r="V201" s="17" t="str">
        <f aca="false">IF((E201="t"),H201," ")</f>
        <v> </v>
      </c>
      <c r="W201" s="17" t="str">
        <f aca="false">IF((E201="q"),H201," ")</f>
        <v> </v>
      </c>
      <c r="X201" s="17" t="str">
        <f aca="false">IF((E201="m"),H201," ")</f>
        <v> </v>
      </c>
      <c r="Y201" s="17" t="str">
        <f aca="false">IF((E201="u"),H201," ")</f>
        <v> </v>
      </c>
      <c r="Z201" s="17" t="str">
        <f aca="false">IF((E201="a"),H201," ")</f>
        <v> </v>
      </c>
      <c r="AA201" s="17" t="str">
        <f aca="false">IF((E201="g"),H201," ")</f>
        <v> </v>
      </c>
      <c r="AB201" s="17" t="str">
        <f aca="false">IF((E201="h"),H201," ")</f>
        <v> </v>
      </c>
      <c r="AC201" s="30" t="str">
        <f aca="false">IF((E201="v"),H201," ")</f>
        <v> </v>
      </c>
      <c r="AD201" s="30" t="str">
        <f aca="false">IF((E201="n"),H201," ")</f>
        <v> </v>
      </c>
      <c r="AE201" s="17" t="str">
        <f aca="false">IF((E201="f"),H201," ")</f>
        <v> </v>
      </c>
      <c r="AF201" s="17" t="str">
        <f aca="false">IF((E201="l"),H201," ")</f>
        <v> </v>
      </c>
      <c r="AG201" s="17" t="str">
        <f aca="false">IF((E201="y"),H201," ")</f>
        <v> </v>
      </c>
      <c r="AH201" s="17" t="str">
        <f aca="false">IF((E201="z"),H201," ")</f>
        <v> </v>
      </c>
      <c r="AI201" s="17" t="str">
        <f aca="false">IF((E201="fa"),H201," ")</f>
        <v> </v>
      </c>
      <c r="AJ201" s="17" t="str">
        <f aca="false">IF((E201="e"),H201," ")</f>
        <v> </v>
      </c>
    </row>
    <row r="202" customFormat="false" ht="12" hidden="false" customHeight="false" outlineLevel="0" collapsed="false">
      <c r="A202" s="28"/>
      <c r="E202" s="2" t="str">
        <f aca="false">IF((F202&lt;&gt;0),"Enter Letter"," ")</f>
        <v> </v>
      </c>
      <c r="F202" s="30"/>
      <c r="G202" s="6" t="str">
        <f aca="false">IF(F202&lt;&gt;0,F202*G$2/(100+G$2)," ")</f>
        <v> </v>
      </c>
      <c r="H202" s="6" t="str">
        <f aca="false">IF((F202&lt;&gt;0),F202-G202," ")</f>
        <v> </v>
      </c>
      <c r="I202" s="5"/>
      <c r="L202" s="7" t="str">
        <f aca="false">IF(F202&lt;&gt;0,F202-K202," ")</f>
        <v> </v>
      </c>
      <c r="M202" s="8" t="str">
        <f aca="false">IF((F202-K202)&lt;&gt;0,M$1-A202," ")</f>
        <v> </v>
      </c>
      <c r="N202" s="5"/>
      <c r="O202" s="17" t="str">
        <f aca="false">IF((E202="s"),H202," ")</f>
        <v> </v>
      </c>
      <c r="P202" s="17" t="str">
        <f aca="false">IF((E202="c"),H202," ")</f>
        <v> </v>
      </c>
      <c r="Q202" s="17" t="str">
        <f aca="false">IF((E202="o"),H202," ")</f>
        <v> </v>
      </c>
      <c r="R202" s="17" t="str">
        <f aca="false">IF((E202="d"),H202," ")</f>
        <v> </v>
      </c>
      <c r="S202" s="17" t="str">
        <f aca="false">IF((E202="w"),H202," ")</f>
        <v> </v>
      </c>
      <c r="T202" s="17" t="str">
        <f aca="false">IF((E202="r"),H202," ")</f>
        <v> </v>
      </c>
      <c r="U202" s="17" t="str">
        <f aca="false">IF((E202="p"),H202," ")</f>
        <v> </v>
      </c>
      <c r="V202" s="17" t="str">
        <f aca="false">IF((E202="t"),H202," ")</f>
        <v> </v>
      </c>
      <c r="W202" s="17" t="str">
        <f aca="false">IF((E202="q"),H202," ")</f>
        <v> </v>
      </c>
      <c r="X202" s="17" t="str">
        <f aca="false">IF((E202="m"),H202," ")</f>
        <v> </v>
      </c>
      <c r="Y202" s="17" t="str">
        <f aca="false">IF((E202="u"),H202," ")</f>
        <v> </v>
      </c>
      <c r="Z202" s="17" t="str">
        <f aca="false">IF((E202="a"),H202," ")</f>
        <v> </v>
      </c>
      <c r="AA202" s="17" t="str">
        <f aca="false">IF((E202="g"),H202," ")</f>
        <v> </v>
      </c>
      <c r="AB202" s="17" t="str">
        <f aca="false">IF((E202="h"),H202," ")</f>
        <v> </v>
      </c>
      <c r="AC202" s="30" t="str">
        <f aca="false">IF((E202="v"),H202," ")</f>
        <v> </v>
      </c>
      <c r="AD202" s="30" t="str">
        <f aca="false">IF((E202="n"),H202," ")</f>
        <v> </v>
      </c>
      <c r="AE202" s="17" t="str">
        <f aca="false">IF((E202="f"),H202," ")</f>
        <v> </v>
      </c>
      <c r="AF202" s="17" t="str">
        <f aca="false">IF((E202="l"),H202," ")</f>
        <v> </v>
      </c>
      <c r="AG202" s="17" t="str">
        <f aca="false">IF((E202="y"),H202," ")</f>
        <v> </v>
      </c>
      <c r="AH202" s="17" t="str">
        <f aca="false">IF((E202="z"),H202," ")</f>
        <v> </v>
      </c>
      <c r="AI202" s="17" t="str">
        <f aca="false">IF((E202="fa"),H202," ")</f>
        <v> </v>
      </c>
      <c r="AJ202" s="17" t="str">
        <f aca="false">IF((E202="e"),H202," ")</f>
        <v> </v>
      </c>
    </row>
    <row r="203" customFormat="false" ht="12" hidden="false" customHeight="false" outlineLevel="0" collapsed="false">
      <c r="A203" s="28"/>
      <c r="E203" s="2" t="str">
        <f aca="false">IF((F203&lt;&gt;0),"Enter Letter"," ")</f>
        <v> </v>
      </c>
      <c r="F203" s="30"/>
      <c r="G203" s="6" t="str">
        <f aca="false">IF(F203&lt;&gt;0,F203*G$2/(100+G$2)," ")</f>
        <v> </v>
      </c>
      <c r="H203" s="6" t="str">
        <f aca="false">IF((F203&lt;&gt;0),F203-G203," ")</f>
        <v> </v>
      </c>
      <c r="I203" s="5"/>
      <c r="L203" s="7" t="str">
        <f aca="false">IF(F203&lt;&gt;0,F203-K203," ")</f>
        <v> </v>
      </c>
      <c r="M203" s="8" t="str">
        <f aca="false">IF((F203-K203)&lt;&gt;0,M$1-A203," ")</f>
        <v> </v>
      </c>
      <c r="N203" s="5"/>
      <c r="O203" s="17" t="str">
        <f aca="false">IF((E203="s"),H203," ")</f>
        <v> </v>
      </c>
      <c r="P203" s="17" t="str">
        <f aca="false">IF((E203="c"),H203," ")</f>
        <v> </v>
      </c>
      <c r="Q203" s="17" t="str">
        <f aca="false">IF((E203="o"),H203," ")</f>
        <v> </v>
      </c>
      <c r="R203" s="17" t="str">
        <f aca="false">IF((E203="d"),H203," ")</f>
        <v> </v>
      </c>
      <c r="S203" s="17" t="str">
        <f aca="false">IF((E203="w"),H203," ")</f>
        <v> </v>
      </c>
      <c r="T203" s="17" t="str">
        <f aca="false">IF((E203="r"),H203," ")</f>
        <v> </v>
      </c>
      <c r="U203" s="17" t="str">
        <f aca="false">IF((E203="p"),H203," ")</f>
        <v> </v>
      </c>
      <c r="V203" s="17" t="str">
        <f aca="false">IF((E203="t"),H203," ")</f>
        <v> </v>
      </c>
      <c r="W203" s="17" t="str">
        <f aca="false">IF((E203="q"),H203," ")</f>
        <v> </v>
      </c>
      <c r="X203" s="17" t="str">
        <f aca="false">IF((E203="m"),H203," ")</f>
        <v> </v>
      </c>
      <c r="Y203" s="17" t="str">
        <f aca="false">IF((E203="u"),H203," ")</f>
        <v> </v>
      </c>
      <c r="Z203" s="17" t="str">
        <f aca="false">IF((E203="a"),H203," ")</f>
        <v> </v>
      </c>
      <c r="AA203" s="17" t="str">
        <f aca="false">IF((E203="g"),H203," ")</f>
        <v> </v>
      </c>
      <c r="AB203" s="17" t="str">
        <f aca="false">IF((E203="h"),H203," ")</f>
        <v> </v>
      </c>
      <c r="AC203" s="30" t="str">
        <f aca="false">IF((E203="v"),H203," ")</f>
        <v> </v>
      </c>
      <c r="AD203" s="30" t="str">
        <f aca="false">IF((E203="n"),H203," ")</f>
        <v> </v>
      </c>
      <c r="AE203" s="17" t="str">
        <f aca="false">IF((E203="f"),H203," ")</f>
        <v> </v>
      </c>
      <c r="AF203" s="17" t="str">
        <f aca="false">IF((E203="l"),H203," ")</f>
        <v> </v>
      </c>
      <c r="AG203" s="17" t="str">
        <f aca="false">IF((E203="y"),H203," ")</f>
        <v> </v>
      </c>
      <c r="AH203" s="17" t="str">
        <f aca="false">IF((E203="z"),H203," ")</f>
        <v> </v>
      </c>
      <c r="AI203" s="17" t="str">
        <f aca="false">IF((E203="fa"),H203," ")</f>
        <v> </v>
      </c>
      <c r="AJ203" s="17" t="str">
        <f aca="false">IF((E203="e"),H203," ")</f>
        <v> </v>
      </c>
    </row>
    <row r="204" customFormat="false" ht="12" hidden="false" customHeight="false" outlineLevel="0" collapsed="false">
      <c r="A204" s="28"/>
      <c r="E204" s="2" t="str">
        <f aca="false">IF((F204&lt;&gt;0),"Enter Letter"," ")</f>
        <v> </v>
      </c>
      <c r="F204" s="30"/>
      <c r="G204" s="6" t="str">
        <f aca="false">IF(F204&lt;&gt;0,F204*G$2/(100+G$2)," ")</f>
        <v> </v>
      </c>
      <c r="H204" s="6" t="str">
        <f aca="false">IF((F204&lt;&gt;0),F204-G204," ")</f>
        <v> </v>
      </c>
      <c r="I204" s="5"/>
      <c r="L204" s="7" t="str">
        <f aca="false">IF(F204&lt;&gt;0,F204-K204," ")</f>
        <v> </v>
      </c>
      <c r="M204" s="8" t="str">
        <f aca="false">IF((F204-K204)&lt;&gt;0,M$1-A204," ")</f>
        <v> </v>
      </c>
      <c r="N204" s="5"/>
      <c r="O204" s="17" t="str">
        <f aca="false">IF((E204="s"),H204," ")</f>
        <v> </v>
      </c>
      <c r="P204" s="17" t="str">
        <f aca="false">IF((E204="c"),H204," ")</f>
        <v> </v>
      </c>
      <c r="Q204" s="17" t="str">
        <f aca="false">IF((E204="o"),H204," ")</f>
        <v> </v>
      </c>
      <c r="R204" s="17" t="str">
        <f aca="false">IF((E204="d"),H204," ")</f>
        <v> </v>
      </c>
      <c r="S204" s="17" t="str">
        <f aca="false">IF((E204="w"),H204," ")</f>
        <v> </v>
      </c>
      <c r="T204" s="17" t="str">
        <f aca="false">IF((E204="r"),H204," ")</f>
        <v> </v>
      </c>
      <c r="U204" s="17" t="str">
        <f aca="false">IF((E204="p"),H204," ")</f>
        <v> </v>
      </c>
      <c r="V204" s="17" t="str">
        <f aca="false">IF((E204="t"),H204," ")</f>
        <v> </v>
      </c>
      <c r="W204" s="17" t="str">
        <f aca="false">IF((E204="q"),H204," ")</f>
        <v> </v>
      </c>
      <c r="X204" s="17" t="str">
        <f aca="false">IF((E204="m"),H204," ")</f>
        <v> </v>
      </c>
      <c r="Y204" s="17" t="str">
        <f aca="false">IF((E204="u"),H204," ")</f>
        <v> </v>
      </c>
      <c r="Z204" s="17" t="str">
        <f aca="false">IF((E204="a"),H204," ")</f>
        <v> </v>
      </c>
      <c r="AA204" s="17" t="str">
        <f aca="false">IF((E204="g"),H204," ")</f>
        <v> </v>
      </c>
      <c r="AB204" s="17" t="str">
        <f aca="false">IF((E204="h"),H204," ")</f>
        <v> </v>
      </c>
      <c r="AC204" s="30" t="str">
        <f aca="false">IF((E204="v"),H204," ")</f>
        <v> </v>
      </c>
      <c r="AD204" s="30" t="str">
        <f aca="false">IF((E204="n"),H204," ")</f>
        <v> </v>
      </c>
      <c r="AE204" s="17" t="str">
        <f aca="false">IF((E204="f"),H204," ")</f>
        <v> </v>
      </c>
      <c r="AF204" s="17" t="str">
        <f aca="false">IF((E204="l"),H204," ")</f>
        <v> </v>
      </c>
      <c r="AG204" s="17" t="str">
        <f aca="false">IF((E204="y"),H204," ")</f>
        <v> </v>
      </c>
      <c r="AH204" s="17" t="str">
        <f aca="false">IF((E204="z"),H204," ")</f>
        <v> </v>
      </c>
      <c r="AI204" s="17" t="str">
        <f aca="false">IF((E204="fa"),H204," ")</f>
        <v> </v>
      </c>
      <c r="AJ204" s="17" t="str">
        <f aca="false">IF((E204="e"),H204," ")</f>
        <v> </v>
      </c>
    </row>
    <row r="205" customFormat="false" ht="12" hidden="false" customHeight="false" outlineLevel="0" collapsed="false">
      <c r="A205" s="28"/>
      <c r="E205" s="2" t="str">
        <f aca="false">IF((F205&lt;&gt;0),"Enter Letter"," ")</f>
        <v> </v>
      </c>
      <c r="F205" s="30"/>
      <c r="G205" s="6" t="str">
        <f aca="false">IF(F205&lt;&gt;0,F205*G$2/(100+G$2)," ")</f>
        <v> </v>
      </c>
      <c r="H205" s="6" t="str">
        <f aca="false">IF((F205&lt;&gt;0),F205-G205," ")</f>
        <v> </v>
      </c>
      <c r="I205" s="5"/>
      <c r="L205" s="7" t="str">
        <f aca="false">IF(F205&lt;&gt;0,F205-K205," ")</f>
        <v> </v>
      </c>
      <c r="M205" s="8" t="str">
        <f aca="false">IF((F205-K205)&lt;&gt;0,M$1-A205," ")</f>
        <v> </v>
      </c>
      <c r="N205" s="5"/>
      <c r="O205" s="17" t="str">
        <f aca="false">IF((E205="s"),H205," ")</f>
        <v> </v>
      </c>
      <c r="P205" s="17" t="str">
        <f aca="false">IF((E205="c"),H205," ")</f>
        <v> </v>
      </c>
      <c r="Q205" s="17" t="str">
        <f aca="false">IF((E205="o"),H205," ")</f>
        <v> </v>
      </c>
      <c r="R205" s="17" t="str">
        <f aca="false">IF((E205="d"),H205," ")</f>
        <v> </v>
      </c>
      <c r="S205" s="17" t="str">
        <f aca="false">IF((E205="w"),H205," ")</f>
        <v> </v>
      </c>
      <c r="T205" s="17" t="str">
        <f aca="false">IF((E205="r"),H205," ")</f>
        <v> </v>
      </c>
      <c r="U205" s="17" t="str">
        <f aca="false">IF((E205="p"),H205," ")</f>
        <v> </v>
      </c>
      <c r="V205" s="17" t="str">
        <f aca="false">IF((E205="t"),H205," ")</f>
        <v> </v>
      </c>
      <c r="W205" s="17" t="str">
        <f aca="false">IF((E205="q"),H205," ")</f>
        <v> </v>
      </c>
      <c r="X205" s="17" t="str">
        <f aca="false">IF((E205="m"),H205," ")</f>
        <v> </v>
      </c>
      <c r="Y205" s="17" t="str">
        <f aca="false">IF((E205="u"),H205," ")</f>
        <v> </v>
      </c>
      <c r="Z205" s="17" t="str">
        <f aca="false">IF((E205="a"),H205," ")</f>
        <v> </v>
      </c>
      <c r="AA205" s="17" t="str">
        <f aca="false">IF((E205="g"),H205," ")</f>
        <v> </v>
      </c>
      <c r="AB205" s="17" t="str">
        <f aca="false">IF((E205="h"),H205," ")</f>
        <v> </v>
      </c>
      <c r="AC205" s="30" t="str">
        <f aca="false">IF((E205="v"),H205," ")</f>
        <v> </v>
      </c>
      <c r="AD205" s="30" t="str">
        <f aca="false">IF((E205="n"),H205," ")</f>
        <v> </v>
      </c>
      <c r="AE205" s="17" t="str">
        <f aca="false">IF((E205="f"),H205," ")</f>
        <v> </v>
      </c>
      <c r="AF205" s="17" t="str">
        <f aca="false">IF((E205="l"),H205," ")</f>
        <v> </v>
      </c>
      <c r="AG205" s="17" t="str">
        <f aca="false">IF((E205="y"),H205," ")</f>
        <v> </v>
      </c>
      <c r="AH205" s="17" t="str">
        <f aca="false">IF((E205="z"),H205," ")</f>
        <v> </v>
      </c>
      <c r="AI205" s="17" t="str">
        <f aca="false">IF((E205="fa"),H205," ")</f>
        <v> </v>
      </c>
      <c r="AJ205" s="17" t="str">
        <f aca="false">IF((E205="e"),H205," ")</f>
        <v> </v>
      </c>
    </row>
    <row r="206" customFormat="false" ht="12" hidden="false" customHeight="false" outlineLevel="0" collapsed="false">
      <c r="A206" s="28"/>
      <c r="E206" s="2" t="str">
        <f aca="false">IF((F206&lt;&gt;0),"Enter Letter"," ")</f>
        <v> </v>
      </c>
      <c r="F206" s="30"/>
      <c r="G206" s="6" t="str">
        <f aca="false">IF(F206&lt;&gt;0,F206*G$2/(100+G$2)," ")</f>
        <v> </v>
      </c>
      <c r="H206" s="6" t="str">
        <f aca="false">IF((F206&lt;&gt;0),F206-G206," ")</f>
        <v> </v>
      </c>
      <c r="I206" s="5"/>
      <c r="L206" s="7" t="str">
        <f aca="false">IF(F206&lt;&gt;0,F206-K206," ")</f>
        <v> </v>
      </c>
      <c r="M206" s="8" t="str">
        <f aca="false">IF((F206-K206)&lt;&gt;0,M$1-A206," ")</f>
        <v> </v>
      </c>
      <c r="N206" s="5"/>
      <c r="O206" s="17" t="str">
        <f aca="false">IF((E206="s"),H206," ")</f>
        <v> </v>
      </c>
      <c r="P206" s="17" t="str">
        <f aca="false">IF((E206="c"),H206," ")</f>
        <v> </v>
      </c>
      <c r="Q206" s="17" t="str">
        <f aca="false">IF((E206="o"),H206," ")</f>
        <v> </v>
      </c>
      <c r="R206" s="17" t="str">
        <f aca="false">IF((E206="d"),H206," ")</f>
        <v> </v>
      </c>
      <c r="S206" s="17" t="str">
        <f aca="false">IF((E206="w"),H206," ")</f>
        <v> </v>
      </c>
      <c r="T206" s="17" t="str">
        <f aca="false">IF((E206="r"),H206," ")</f>
        <v> </v>
      </c>
      <c r="U206" s="17" t="str">
        <f aca="false">IF((E206="p"),H206," ")</f>
        <v> </v>
      </c>
      <c r="V206" s="17" t="str">
        <f aca="false">IF((E206="t"),H206," ")</f>
        <v> </v>
      </c>
      <c r="W206" s="17" t="str">
        <f aca="false">IF((E206="q"),H206," ")</f>
        <v> </v>
      </c>
      <c r="X206" s="17" t="str">
        <f aca="false">IF((E206="m"),H206," ")</f>
        <v> </v>
      </c>
      <c r="Y206" s="17" t="str">
        <f aca="false">IF((E206="u"),H206," ")</f>
        <v> </v>
      </c>
      <c r="Z206" s="17" t="str">
        <f aca="false">IF((E206="a"),H206," ")</f>
        <v> </v>
      </c>
      <c r="AA206" s="17" t="str">
        <f aca="false">IF((E206="g"),H206," ")</f>
        <v> </v>
      </c>
      <c r="AB206" s="17" t="str">
        <f aca="false">IF((E206="h"),H206," ")</f>
        <v> </v>
      </c>
      <c r="AC206" s="30" t="str">
        <f aca="false">IF((E206="v"),H206," ")</f>
        <v> </v>
      </c>
      <c r="AD206" s="30" t="str">
        <f aca="false">IF((E206="n"),H206," ")</f>
        <v> </v>
      </c>
      <c r="AE206" s="17" t="str">
        <f aca="false">IF((E206="f"),H206," ")</f>
        <v> </v>
      </c>
      <c r="AF206" s="17" t="str">
        <f aca="false">IF((E206="l"),H206," ")</f>
        <v> </v>
      </c>
      <c r="AG206" s="17" t="str">
        <f aca="false">IF((E206="y"),H206," ")</f>
        <v> </v>
      </c>
      <c r="AH206" s="17" t="str">
        <f aca="false">IF((E206="z"),H206," ")</f>
        <v> </v>
      </c>
      <c r="AI206" s="17" t="str">
        <f aca="false">IF((E206="fa"),H206," ")</f>
        <v> </v>
      </c>
      <c r="AJ206" s="17" t="str">
        <f aca="false">IF((E206="e"),H206," ")</f>
        <v> </v>
      </c>
    </row>
    <row r="207" customFormat="false" ht="12" hidden="false" customHeight="false" outlineLevel="0" collapsed="false">
      <c r="A207" s="28"/>
      <c r="E207" s="2" t="str">
        <f aca="false">IF((F207&lt;&gt;0),"Enter Letter"," ")</f>
        <v> </v>
      </c>
      <c r="F207" s="30"/>
      <c r="G207" s="6" t="str">
        <f aca="false">IF(F207&lt;&gt;0,F207*G$2/(100+G$2)," ")</f>
        <v> </v>
      </c>
      <c r="H207" s="6" t="str">
        <f aca="false">IF((F207&lt;&gt;0),F207-G207," ")</f>
        <v> </v>
      </c>
      <c r="I207" s="5"/>
      <c r="L207" s="7" t="str">
        <f aca="false">IF(F207&lt;&gt;0,F207-K207," ")</f>
        <v> </v>
      </c>
      <c r="M207" s="8" t="str">
        <f aca="false">IF((F207-K207)&lt;&gt;0,M$1-A207," ")</f>
        <v> </v>
      </c>
      <c r="N207" s="5"/>
      <c r="O207" s="17" t="str">
        <f aca="false">IF((E207="s"),H207," ")</f>
        <v> </v>
      </c>
      <c r="P207" s="17" t="str">
        <f aca="false">IF((E207="c"),H207," ")</f>
        <v> </v>
      </c>
      <c r="Q207" s="17" t="str">
        <f aca="false">IF((E207="o"),H207," ")</f>
        <v> </v>
      </c>
      <c r="R207" s="17" t="str">
        <f aca="false">IF((E207="d"),H207," ")</f>
        <v> </v>
      </c>
      <c r="S207" s="17" t="str">
        <f aca="false">IF((E207="w"),H207," ")</f>
        <v> </v>
      </c>
      <c r="T207" s="17" t="str">
        <f aca="false">IF((E207="r"),H207," ")</f>
        <v> </v>
      </c>
      <c r="U207" s="17" t="str">
        <f aca="false">IF((E207="p"),H207," ")</f>
        <v> </v>
      </c>
      <c r="V207" s="17" t="str">
        <f aca="false">IF((E207="t"),H207," ")</f>
        <v> </v>
      </c>
      <c r="W207" s="17" t="str">
        <f aca="false">IF((E207="q"),H207," ")</f>
        <v> </v>
      </c>
      <c r="X207" s="17" t="str">
        <f aca="false">IF((E207="m"),H207," ")</f>
        <v> </v>
      </c>
      <c r="Y207" s="17" t="str">
        <f aca="false">IF((E207="u"),H207," ")</f>
        <v> </v>
      </c>
      <c r="Z207" s="17" t="str">
        <f aca="false">IF((E207="a"),H207," ")</f>
        <v> </v>
      </c>
      <c r="AA207" s="17" t="str">
        <f aca="false">IF((E207="g"),H207," ")</f>
        <v> </v>
      </c>
      <c r="AB207" s="17" t="str">
        <f aca="false">IF((E207="h"),H207," ")</f>
        <v> </v>
      </c>
      <c r="AC207" s="30" t="str">
        <f aca="false">IF((E207="v"),H207," ")</f>
        <v> </v>
      </c>
      <c r="AD207" s="30" t="str">
        <f aca="false">IF((E207="n"),H207," ")</f>
        <v> </v>
      </c>
      <c r="AE207" s="17" t="str">
        <f aca="false">IF((E207="f"),H207," ")</f>
        <v> </v>
      </c>
      <c r="AF207" s="17" t="str">
        <f aca="false">IF((E207="l"),H207," ")</f>
        <v> </v>
      </c>
      <c r="AG207" s="17" t="str">
        <f aca="false">IF((E207="y"),H207," ")</f>
        <v> </v>
      </c>
      <c r="AH207" s="17" t="str">
        <f aca="false">IF((E207="z"),H207," ")</f>
        <v> </v>
      </c>
      <c r="AI207" s="17" t="str">
        <f aca="false">IF((E207="fa"),H207," ")</f>
        <v> </v>
      </c>
      <c r="AJ207" s="17" t="str">
        <f aca="false">IF((E207="e"),H207," ")</f>
        <v> </v>
      </c>
    </row>
    <row r="208" customFormat="false" ht="12" hidden="false" customHeight="false" outlineLevel="0" collapsed="false">
      <c r="A208" s="28"/>
      <c r="E208" s="2" t="str">
        <f aca="false">IF((F208&lt;&gt;0),"Enter Letter"," ")</f>
        <v> </v>
      </c>
      <c r="F208" s="30"/>
      <c r="G208" s="6" t="str">
        <f aca="false">IF(F208&lt;&gt;0,F208*G$2/(100+G$2)," ")</f>
        <v> </v>
      </c>
      <c r="H208" s="6" t="str">
        <f aca="false">IF((F208&lt;&gt;0),F208-G208," ")</f>
        <v> </v>
      </c>
      <c r="I208" s="5"/>
      <c r="L208" s="7" t="str">
        <f aca="false">IF(F208&lt;&gt;0,F208-K208," ")</f>
        <v> </v>
      </c>
      <c r="M208" s="8" t="str">
        <f aca="false">IF((F208-K208)&lt;&gt;0,M$1-A208," ")</f>
        <v> </v>
      </c>
      <c r="N208" s="5"/>
      <c r="O208" s="17" t="str">
        <f aca="false">IF((E208="s"),H208," ")</f>
        <v> </v>
      </c>
      <c r="P208" s="17" t="str">
        <f aca="false">IF((E208="c"),H208," ")</f>
        <v> </v>
      </c>
      <c r="Q208" s="17" t="str">
        <f aca="false">IF((E208="o"),H208," ")</f>
        <v> </v>
      </c>
      <c r="R208" s="17" t="str">
        <f aca="false">IF((E208="d"),H208," ")</f>
        <v> </v>
      </c>
      <c r="S208" s="17" t="str">
        <f aca="false">IF((E208="w"),H208," ")</f>
        <v> </v>
      </c>
      <c r="T208" s="17" t="str">
        <f aca="false">IF((E208="r"),H208," ")</f>
        <v> </v>
      </c>
      <c r="U208" s="17" t="str">
        <f aca="false">IF((E208="p"),H208," ")</f>
        <v> </v>
      </c>
      <c r="V208" s="17" t="str">
        <f aca="false">IF((E208="t"),H208," ")</f>
        <v> </v>
      </c>
      <c r="W208" s="17" t="str">
        <f aca="false">IF((E208="q"),H208," ")</f>
        <v> </v>
      </c>
      <c r="X208" s="17" t="str">
        <f aca="false">IF((E208="m"),H208," ")</f>
        <v> </v>
      </c>
      <c r="Y208" s="17" t="str">
        <f aca="false">IF((E208="u"),H208," ")</f>
        <v> </v>
      </c>
      <c r="Z208" s="17" t="str">
        <f aca="false">IF((E208="a"),H208," ")</f>
        <v> </v>
      </c>
      <c r="AA208" s="17" t="str">
        <f aca="false">IF((E208="g"),H208," ")</f>
        <v> </v>
      </c>
      <c r="AB208" s="17" t="str">
        <f aca="false">IF((E208="h"),H208," ")</f>
        <v> </v>
      </c>
      <c r="AC208" s="30" t="str">
        <f aca="false">IF((E208="v"),H208," ")</f>
        <v> </v>
      </c>
      <c r="AD208" s="30" t="str">
        <f aca="false">IF((E208="n"),H208," ")</f>
        <v> </v>
      </c>
      <c r="AE208" s="17" t="str">
        <f aca="false">IF((E208="f"),H208," ")</f>
        <v> </v>
      </c>
      <c r="AF208" s="17" t="str">
        <f aca="false">IF((E208="l"),H208," ")</f>
        <v> </v>
      </c>
      <c r="AG208" s="17" t="str">
        <f aca="false">IF((E208="y"),H208," ")</f>
        <v> </v>
      </c>
      <c r="AH208" s="17" t="str">
        <f aca="false">IF((E208="z"),H208," ")</f>
        <v> </v>
      </c>
      <c r="AI208" s="17" t="str">
        <f aca="false">IF((E208="fa"),H208," ")</f>
        <v> </v>
      </c>
      <c r="AJ208" s="17" t="str">
        <f aca="false">IF((E208="e"),H208," ")</f>
        <v> </v>
      </c>
    </row>
    <row r="209" customFormat="false" ht="12" hidden="false" customHeight="false" outlineLevel="0" collapsed="false">
      <c r="A209" s="28"/>
      <c r="E209" s="2" t="str">
        <f aca="false">IF((F209&lt;&gt;0),"Enter Letter"," ")</f>
        <v> </v>
      </c>
      <c r="F209" s="30"/>
      <c r="G209" s="6" t="str">
        <f aca="false">IF(F209&lt;&gt;0,F209*G$2/(100+G$2)," ")</f>
        <v> </v>
      </c>
      <c r="H209" s="6" t="str">
        <f aca="false">IF((F209&lt;&gt;0),F209-G209," ")</f>
        <v> </v>
      </c>
      <c r="I209" s="5"/>
      <c r="L209" s="7" t="str">
        <f aca="false">IF(F209&lt;&gt;0,F209-K209," ")</f>
        <v> </v>
      </c>
      <c r="M209" s="8" t="str">
        <f aca="false">IF((F209-K209)&lt;&gt;0,M$1-A209," ")</f>
        <v> </v>
      </c>
      <c r="N209" s="5"/>
      <c r="O209" s="17" t="str">
        <f aca="false">IF((E209="s"),H209," ")</f>
        <v> </v>
      </c>
      <c r="P209" s="17" t="str">
        <f aca="false">IF((E209="c"),H209," ")</f>
        <v> </v>
      </c>
      <c r="Q209" s="17" t="str">
        <f aca="false">IF((E209="o"),H209," ")</f>
        <v> </v>
      </c>
      <c r="R209" s="17" t="str">
        <f aca="false">IF((E209="d"),H209," ")</f>
        <v> </v>
      </c>
      <c r="S209" s="17" t="str">
        <f aca="false">IF((E209="w"),H209," ")</f>
        <v> </v>
      </c>
      <c r="T209" s="17" t="str">
        <f aca="false">IF((E209="r"),H209," ")</f>
        <v> </v>
      </c>
      <c r="U209" s="17" t="str">
        <f aca="false">IF((E209="p"),H209," ")</f>
        <v> </v>
      </c>
      <c r="V209" s="17" t="str">
        <f aca="false">IF((E209="t"),H209," ")</f>
        <v> </v>
      </c>
      <c r="W209" s="17" t="str">
        <f aca="false">IF((E209="q"),H209," ")</f>
        <v> </v>
      </c>
      <c r="X209" s="17" t="str">
        <f aca="false">IF((E209="m"),H209," ")</f>
        <v> </v>
      </c>
      <c r="Y209" s="17" t="str">
        <f aca="false">IF((E209="u"),H209," ")</f>
        <v> </v>
      </c>
      <c r="Z209" s="17" t="str">
        <f aca="false">IF((E209="a"),H209," ")</f>
        <v> </v>
      </c>
      <c r="AA209" s="17" t="str">
        <f aca="false">IF((E209="g"),H209," ")</f>
        <v> </v>
      </c>
      <c r="AB209" s="17" t="str">
        <f aca="false">IF((E209="h"),H209," ")</f>
        <v> </v>
      </c>
      <c r="AC209" s="30" t="str">
        <f aca="false">IF((E209="v"),H209," ")</f>
        <v> </v>
      </c>
      <c r="AD209" s="30" t="str">
        <f aca="false">IF((E209="n"),H209," ")</f>
        <v> </v>
      </c>
      <c r="AE209" s="17" t="str">
        <f aca="false">IF((E209="f"),H209," ")</f>
        <v> </v>
      </c>
      <c r="AF209" s="17" t="str">
        <f aca="false">IF((E209="l"),H209," ")</f>
        <v> </v>
      </c>
      <c r="AG209" s="17" t="str">
        <f aca="false">IF((E209="y"),H209," ")</f>
        <v> </v>
      </c>
      <c r="AH209" s="17" t="str">
        <f aca="false">IF((E209="z"),H209," ")</f>
        <v> </v>
      </c>
      <c r="AI209" s="17" t="str">
        <f aca="false">IF((E209="fa"),H209," ")</f>
        <v> </v>
      </c>
      <c r="AJ209" s="17" t="str">
        <f aca="false">IF((E209="e"),H209," ")</f>
        <v> </v>
      </c>
    </row>
    <row r="210" customFormat="false" ht="12" hidden="false" customHeight="false" outlineLevel="0" collapsed="false">
      <c r="A210" s="28"/>
      <c r="E210" s="2" t="str">
        <f aca="false">IF((F210&lt;&gt;0),"Enter Letter"," ")</f>
        <v> </v>
      </c>
      <c r="F210" s="30"/>
      <c r="G210" s="6" t="str">
        <f aca="false">IF(F210&lt;&gt;0,F210*G$2/(100+G$2)," ")</f>
        <v> </v>
      </c>
      <c r="H210" s="6" t="str">
        <f aca="false">IF((F210&lt;&gt;0),F210-G210," ")</f>
        <v> </v>
      </c>
      <c r="I210" s="5"/>
      <c r="L210" s="7" t="str">
        <f aca="false">IF(F210&lt;&gt;0,F210-K210," ")</f>
        <v> </v>
      </c>
      <c r="M210" s="8" t="str">
        <f aca="false">IF((F210-K210)&lt;&gt;0,M$1-A210," ")</f>
        <v> </v>
      </c>
      <c r="N210" s="5"/>
      <c r="O210" s="17" t="str">
        <f aca="false">IF((E210="s"),H210," ")</f>
        <v> </v>
      </c>
      <c r="P210" s="17" t="str">
        <f aca="false">IF((E210="c"),H210," ")</f>
        <v> </v>
      </c>
      <c r="Q210" s="17" t="str">
        <f aca="false">IF((E210="o"),H210," ")</f>
        <v> </v>
      </c>
      <c r="R210" s="17" t="str">
        <f aca="false">IF((E210="d"),H210," ")</f>
        <v> </v>
      </c>
      <c r="S210" s="17" t="str">
        <f aca="false">IF((E210="w"),H210," ")</f>
        <v> </v>
      </c>
      <c r="T210" s="17" t="str">
        <f aca="false">IF((E210="r"),H210," ")</f>
        <v> </v>
      </c>
      <c r="U210" s="17" t="str">
        <f aca="false">IF((E210="p"),H210," ")</f>
        <v> </v>
      </c>
      <c r="V210" s="17" t="str">
        <f aca="false">IF((E210="t"),H210," ")</f>
        <v> </v>
      </c>
      <c r="W210" s="17" t="str">
        <f aca="false">IF((E210="q"),H210," ")</f>
        <v> </v>
      </c>
      <c r="X210" s="17" t="str">
        <f aca="false">IF((E210="m"),H210," ")</f>
        <v> </v>
      </c>
      <c r="Y210" s="17" t="str">
        <f aca="false">IF((E210="u"),H210," ")</f>
        <v> </v>
      </c>
      <c r="Z210" s="17" t="str">
        <f aca="false">IF((E210="a"),H210," ")</f>
        <v> </v>
      </c>
      <c r="AA210" s="17" t="str">
        <f aca="false">IF((E210="g"),H210," ")</f>
        <v> </v>
      </c>
      <c r="AB210" s="17" t="str">
        <f aca="false">IF((E210="h"),H210," ")</f>
        <v> </v>
      </c>
      <c r="AC210" s="30" t="str">
        <f aca="false">IF((E210="v"),H210," ")</f>
        <v> </v>
      </c>
      <c r="AD210" s="30" t="str">
        <f aca="false">IF((E210="n"),H210," ")</f>
        <v> </v>
      </c>
      <c r="AE210" s="17" t="str">
        <f aca="false">IF((E210="f"),H210," ")</f>
        <v> </v>
      </c>
      <c r="AF210" s="17" t="str">
        <f aca="false">IF((E210="l"),H210," ")</f>
        <v> </v>
      </c>
      <c r="AG210" s="17" t="str">
        <f aca="false">IF((E210="y"),H210," ")</f>
        <v> </v>
      </c>
      <c r="AH210" s="17" t="str">
        <f aca="false">IF((E210="z"),H210," ")</f>
        <v> </v>
      </c>
      <c r="AI210" s="17" t="str">
        <f aca="false">IF((E210="fa"),H210," ")</f>
        <v> </v>
      </c>
      <c r="AJ210" s="17" t="str">
        <f aca="false">IF((E210="e"),H210," ")</f>
        <v> </v>
      </c>
    </row>
    <row r="211" customFormat="false" ht="12" hidden="false" customHeight="false" outlineLevel="0" collapsed="false">
      <c r="A211" s="28"/>
      <c r="E211" s="2" t="str">
        <f aca="false">IF((F211&lt;&gt;0),"Enter Letter"," ")</f>
        <v> </v>
      </c>
      <c r="F211" s="30"/>
      <c r="G211" s="6" t="str">
        <f aca="false">IF(F211&lt;&gt;0,F211*G$2/(100+G$2)," ")</f>
        <v> </v>
      </c>
      <c r="H211" s="6" t="str">
        <f aca="false">IF((F211&lt;&gt;0),F211-G211," ")</f>
        <v> </v>
      </c>
      <c r="I211" s="5"/>
      <c r="L211" s="7" t="str">
        <f aca="false">IF(F211&lt;&gt;0,F211-K211," ")</f>
        <v> </v>
      </c>
      <c r="M211" s="8" t="str">
        <f aca="false">IF((F211-K211)&lt;&gt;0,M$1-A211," ")</f>
        <v> </v>
      </c>
      <c r="N211" s="5"/>
      <c r="O211" s="17" t="str">
        <f aca="false">IF((E211="s"),H211," ")</f>
        <v> </v>
      </c>
      <c r="P211" s="17" t="str">
        <f aca="false">IF((E211="c"),H211," ")</f>
        <v> </v>
      </c>
      <c r="Q211" s="17" t="str">
        <f aca="false">IF((E211="o"),H211," ")</f>
        <v> </v>
      </c>
      <c r="R211" s="17" t="str">
        <f aca="false">IF((E211="d"),H211," ")</f>
        <v> </v>
      </c>
      <c r="S211" s="17" t="str">
        <f aca="false">IF((E211="w"),H211," ")</f>
        <v> </v>
      </c>
      <c r="T211" s="17" t="str">
        <f aca="false">IF((E211="r"),H211," ")</f>
        <v> </v>
      </c>
      <c r="U211" s="17" t="str">
        <f aca="false">IF((E211="p"),H211," ")</f>
        <v> </v>
      </c>
      <c r="V211" s="17" t="str">
        <f aca="false">IF((E211="t"),H211," ")</f>
        <v> </v>
      </c>
      <c r="W211" s="17" t="str">
        <f aca="false">IF((E211="q"),H211," ")</f>
        <v> </v>
      </c>
      <c r="X211" s="17" t="str">
        <f aca="false">IF((E211="m"),H211," ")</f>
        <v> </v>
      </c>
      <c r="Y211" s="17" t="str">
        <f aca="false">IF((E211="u"),H211," ")</f>
        <v> </v>
      </c>
      <c r="Z211" s="17" t="str">
        <f aca="false">IF((E211="a"),H211," ")</f>
        <v> </v>
      </c>
      <c r="AA211" s="17" t="str">
        <f aca="false">IF((E211="g"),H211," ")</f>
        <v> </v>
      </c>
      <c r="AB211" s="17" t="str">
        <f aca="false">IF((E211="h"),H211," ")</f>
        <v> </v>
      </c>
      <c r="AC211" s="30" t="str">
        <f aca="false">IF((E211="v"),H211," ")</f>
        <v> </v>
      </c>
      <c r="AD211" s="30" t="str">
        <f aca="false">IF((E211="n"),H211," ")</f>
        <v> </v>
      </c>
      <c r="AE211" s="17" t="str">
        <f aca="false">IF((E211="f"),H211," ")</f>
        <v> </v>
      </c>
      <c r="AF211" s="17" t="str">
        <f aca="false">IF((E211="l"),H211," ")</f>
        <v> </v>
      </c>
      <c r="AG211" s="17" t="str">
        <f aca="false">IF((E211="y"),H211," ")</f>
        <v> </v>
      </c>
      <c r="AH211" s="17" t="str">
        <f aca="false">IF((E211="z"),H211," ")</f>
        <v> </v>
      </c>
      <c r="AI211" s="17" t="str">
        <f aca="false">IF((E211="fa"),H211," ")</f>
        <v> </v>
      </c>
      <c r="AJ211" s="17" t="str">
        <f aca="false">IF((E211="e"),H211," ")</f>
        <v> </v>
      </c>
    </row>
    <row r="212" customFormat="false" ht="12" hidden="false" customHeight="false" outlineLevel="0" collapsed="false">
      <c r="A212" s="28"/>
      <c r="E212" s="2" t="str">
        <f aca="false">IF((F212&lt;&gt;0),"Enter Letter"," ")</f>
        <v> </v>
      </c>
      <c r="F212" s="30"/>
      <c r="G212" s="6" t="str">
        <f aca="false">IF(F212&lt;&gt;0,F212*G$2/(100+G$2)," ")</f>
        <v> </v>
      </c>
      <c r="H212" s="6" t="str">
        <f aca="false">IF((F212&lt;&gt;0),F212-G212," ")</f>
        <v> </v>
      </c>
      <c r="I212" s="5"/>
      <c r="L212" s="7" t="str">
        <f aca="false">IF(F212&lt;&gt;0,F212-K212," ")</f>
        <v> </v>
      </c>
      <c r="M212" s="8" t="str">
        <f aca="false">IF((F212-K212)&lt;&gt;0,M$1-A212," ")</f>
        <v> </v>
      </c>
      <c r="N212" s="5"/>
      <c r="O212" s="17" t="str">
        <f aca="false">IF((E212="s"),H212," ")</f>
        <v> </v>
      </c>
      <c r="P212" s="17" t="str">
        <f aca="false">IF((E212="c"),H212," ")</f>
        <v> </v>
      </c>
      <c r="Q212" s="17" t="str">
        <f aca="false">IF((E212="o"),H212," ")</f>
        <v> </v>
      </c>
      <c r="R212" s="17" t="str">
        <f aca="false">IF((E212="d"),H212," ")</f>
        <v> </v>
      </c>
      <c r="S212" s="17" t="str">
        <f aca="false">IF((E212="w"),H212," ")</f>
        <v> </v>
      </c>
      <c r="T212" s="17" t="str">
        <f aca="false">IF((E212="r"),H212," ")</f>
        <v> </v>
      </c>
      <c r="U212" s="17" t="str">
        <f aca="false">IF((E212="p"),H212," ")</f>
        <v> </v>
      </c>
      <c r="V212" s="17" t="str">
        <f aca="false">IF((E212="t"),H212," ")</f>
        <v> </v>
      </c>
      <c r="W212" s="17" t="str">
        <f aca="false">IF((E212="q"),H212," ")</f>
        <v> </v>
      </c>
      <c r="X212" s="17" t="str">
        <f aca="false">IF((E212="m"),H212," ")</f>
        <v> </v>
      </c>
      <c r="Y212" s="17" t="str">
        <f aca="false">IF((E212="u"),H212," ")</f>
        <v> </v>
      </c>
      <c r="Z212" s="17" t="str">
        <f aca="false">IF((E212="a"),H212," ")</f>
        <v> </v>
      </c>
      <c r="AA212" s="17" t="str">
        <f aca="false">IF((E212="g"),H212," ")</f>
        <v> </v>
      </c>
      <c r="AB212" s="17" t="str">
        <f aca="false">IF((E212="h"),H212," ")</f>
        <v> </v>
      </c>
      <c r="AC212" s="30" t="str">
        <f aca="false">IF((E212="v"),H212," ")</f>
        <v> </v>
      </c>
      <c r="AD212" s="30" t="str">
        <f aca="false">IF((E212="n"),H212," ")</f>
        <v> </v>
      </c>
      <c r="AE212" s="17" t="str">
        <f aca="false">IF((E212="f"),H212," ")</f>
        <v> </v>
      </c>
      <c r="AF212" s="17" t="str">
        <f aca="false">IF((E212="l"),H212," ")</f>
        <v> </v>
      </c>
      <c r="AG212" s="17" t="str">
        <f aca="false">IF((E212="y"),H212," ")</f>
        <v> </v>
      </c>
      <c r="AH212" s="17" t="str">
        <f aca="false">IF((E212="z"),H212," ")</f>
        <v> </v>
      </c>
      <c r="AI212" s="17" t="str">
        <f aca="false">IF((E212="fa"),H212," ")</f>
        <v> </v>
      </c>
      <c r="AJ212" s="17" t="str">
        <f aca="false">IF((E212="e"),H212," ")</f>
        <v> </v>
      </c>
    </row>
    <row r="213" customFormat="false" ht="12" hidden="false" customHeight="false" outlineLevel="0" collapsed="false">
      <c r="A213" s="28"/>
      <c r="E213" s="2" t="str">
        <f aca="false">IF((F213&lt;&gt;0),"Enter Letter"," ")</f>
        <v> </v>
      </c>
      <c r="F213" s="30"/>
      <c r="G213" s="6" t="str">
        <f aca="false">IF(F213&lt;&gt;0,F213*G$2/(100+G$2)," ")</f>
        <v> </v>
      </c>
      <c r="H213" s="6" t="str">
        <f aca="false">IF((F213&lt;&gt;0),F213-G213," ")</f>
        <v> </v>
      </c>
      <c r="I213" s="5"/>
      <c r="L213" s="7" t="str">
        <f aca="false">IF(F213&lt;&gt;0,F213-K213," ")</f>
        <v> </v>
      </c>
      <c r="M213" s="8" t="str">
        <f aca="false">IF((F213-K213)&lt;&gt;0,M$1-A213," ")</f>
        <v> </v>
      </c>
      <c r="N213" s="5"/>
      <c r="O213" s="17" t="str">
        <f aca="false">IF((E213="s"),H213," ")</f>
        <v> </v>
      </c>
      <c r="P213" s="17" t="str">
        <f aca="false">IF((E213="c"),H213," ")</f>
        <v> </v>
      </c>
      <c r="Q213" s="17" t="str">
        <f aca="false">IF((E213="o"),H213," ")</f>
        <v> </v>
      </c>
      <c r="R213" s="17" t="str">
        <f aca="false">IF((E213="d"),H213," ")</f>
        <v> </v>
      </c>
      <c r="S213" s="17" t="str">
        <f aca="false">IF((E213="w"),H213," ")</f>
        <v> </v>
      </c>
      <c r="T213" s="17" t="str">
        <f aca="false">IF((E213="r"),H213," ")</f>
        <v> </v>
      </c>
      <c r="U213" s="17" t="str">
        <f aca="false">IF((E213="p"),H213," ")</f>
        <v> </v>
      </c>
      <c r="V213" s="17" t="str">
        <f aca="false">IF((E213="t"),H213," ")</f>
        <v> </v>
      </c>
      <c r="W213" s="17" t="str">
        <f aca="false">IF((E213="q"),H213," ")</f>
        <v> </v>
      </c>
      <c r="X213" s="17" t="str">
        <f aca="false">IF((E213="m"),H213," ")</f>
        <v> </v>
      </c>
      <c r="Y213" s="17" t="str">
        <f aca="false">IF((E213="u"),H213," ")</f>
        <v> </v>
      </c>
      <c r="Z213" s="17" t="str">
        <f aca="false">IF((E213="a"),H213," ")</f>
        <v> </v>
      </c>
      <c r="AA213" s="17" t="str">
        <f aca="false">IF((E213="g"),H213," ")</f>
        <v> </v>
      </c>
      <c r="AB213" s="17" t="str">
        <f aca="false">IF((E213="h"),H213," ")</f>
        <v> </v>
      </c>
      <c r="AC213" s="30" t="str">
        <f aca="false">IF((E213="v"),H213," ")</f>
        <v> </v>
      </c>
      <c r="AD213" s="30" t="str">
        <f aca="false">IF((E213="n"),H213," ")</f>
        <v> </v>
      </c>
      <c r="AE213" s="17" t="str">
        <f aca="false">IF((E213="f"),H213," ")</f>
        <v> </v>
      </c>
      <c r="AF213" s="17" t="str">
        <f aca="false">IF((E213="l"),H213," ")</f>
        <v> </v>
      </c>
      <c r="AG213" s="17" t="str">
        <f aca="false">IF((E213="y"),H213," ")</f>
        <v> </v>
      </c>
      <c r="AH213" s="17" t="str">
        <f aca="false">IF((E213="z"),H213," ")</f>
        <v> </v>
      </c>
      <c r="AI213" s="17" t="str">
        <f aca="false">IF((E213="fa"),H213," ")</f>
        <v> </v>
      </c>
      <c r="AJ213" s="17" t="str">
        <f aca="false">IF((E213="e"),H213," ")</f>
        <v> </v>
      </c>
    </row>
    <row r="214" customFormat="false" ht="12" hidden="false" customHeight="false" outlineLevel="0" collapsed="false">
      <c r="A214" s="28"/>
      <c r="E214" s="2" t="str">
        <f aca="false">IF((F214&lt;&gt;0),"Enter Letter"," ")</f>
        <v> </v>
      </c>
      <c r="F214" s="30"/>
      <c r="G214" s="6" t="str">
        <f aca="false">IF(F214&lt;&gt;0,F214*G$2/(100+G$2)," ")</f>
        <v> </v>
      </c>
      <c r="H214" s="6" t="str">
        <f aca="false">IF((F214&lt;&gt;0),F214-G214," ")</f>
        <v> </v>
      </c>
      <c r="I214" s="5"/>
      <c r="L214" s="7" t="str">
        <f aca="false">IF(F214&lt;&gt;0,F214-K214," ")</f>
        <v> </v>
      </c>
      <c r="M214" s="8" t="str">
        <f aca="false">IF((F214-K214)&lt;&gt;0,M$1-A214," ")</f>
        <v> </v>
      </c>
      <c r="N214" s="5"/>
      <c r="O214" s="17" t="str">
        <f aca="false">IF((E214="s"),H214," ")</f>
        <v> </v>
      </c>
      <c r="P214" s="17" t="str">
        <f aca="false">IF((E214="c"),H214," ")</f>
        <v> </v>
      </c>
      <c r="Q214" s="17" t="str">
        <f aca="false">IF((E214="o"),H214," ")</f>
        <v> </v>
      </c>
      <c r="R214" s="17" t="str">
        <f aca="false">IF((E214="d"),H214," ")</f>
        <v> </v>
      </c>
      <c r="S214" s="17" t="str">
        <f aca="false">IF((E214="w"),H214," ")</f>
        <v> </v>
      </c>
      <c r="T214" s="17" t="str">
        <f aca="false">IF((E214="r"),H214," ")</f>
        <v> </v>
      </c>
      <c r="U214" s="17" t="str">
        <f aca="false">IF((E214="p"),H214," ")</f>
        <v> </v>
      </c>
      <c r="V214" s="17" t="str">
        <f aca="false">IF((E214="t"),H214," ")</f>
        <v> </v>
      </c>
      <c r="W214" s="17" t="str">
        <f aca="false">IF((E214="q"),H214," ")</f>
        <v> </v>
      </c>
      <c r="X214" s="17" t="str">
        <f aca="false">IF((E214="m"),H214," ")</f>
        <v> </v>
      </c>
      <c r="Y214" s="17" t="str">
        <f aca="false">IF((E214="u"),H214," ")</f>
        <v> </v>
      </c>
      <c r="Z214" s="17" t="str">
        <f aca="false">IF((E214="a"),H214," ")</f>
        <v> </v>
      </c>
      <c r="AA214" s="17" t="str">
        <f aca="false">IF((E214="g"),H214," ")</f>
        <v> </v>
      </c>
      <c r="AB214" s="17" t="str">
        <f aca="false">IF((E214="h"),H214," ")</f>
        <v> </v>
      </c>
      <c r="AC214" s="30" t="str">
        <f aca="false">IF((E214="v"),H214," ")</f>
        <v> </v>
      </c>
      <c r="AD214" s="30" t="str">
        <f aca="false">IF((E214="n"),H214," ")</f>
        <v> </v>
      </c>
      <c r="AE214" s="17" t="str">
        <f aca="false">IF((E214="f"),H214," ")</f>
        <v> </v>
      </c>
      <c r="AF214" s="17" t="str">
        <f aca="false">IF((E214="l"),H214," ")</f>
        <v> </v>
      </c>
      <c r="AG214" s="17" t="str">
        <f aca="false">IF((E214="y"),H214," ")</f>
        <v> </v>
      </c>
      <c r="AH214" s="17" t="str">
        <f aca="false">IF((E214="z"),H214," ")</f>
        <v> </v>
      </c>
      <c r="AI214" s="17" t="str">
        <f aca="false">IF((E214="fa"),H214," ")</f>
        <v> </v>
      </c>
      <c r="AJ214" s="17" t="str">
        <f aca="false">IF((E214="e"),H214," ")</f>
        <v> </v>
      </c>
    </row>
    <row r="215" customFormat="false" ht="12" hidden="false" customHeight="false" outlineLevel="0" collapsed="false">
      <c r="A215" s="28"/>
      <c r="E215" s="2" t="str">
        <f aca="false">IF((F215&lt;&gt;0),"Enter Letter"," ")</f>
        <v> </v>
      </c>
      <c r="F215" s="30"/>
      <c r="G215" s="6" t="str">
        <f aca="false">IF(F215&lt;&gt;0,F215*G$2/(100+G$2)," ")</f>
        <v> </v>
      </c>
      <c r="H215" s="6" t="str">
        <f aca="false">IF((F215&lt;&gt;0),F215-G215," ")</f>
        <v> </v>
      </c>
      <c r="I215" s="5"/>
      <c r="L215" s="7" t="str">
        <f aca="false">IF(F215&lt;&gt;0,F215-K215," ")</f>
        <v> </v>
      </c>
      <c r="M215" s="8" t="str">
        <f aca="false">IF((F215-K215)&lt;&gt;0,M$1-A215," ")</f>
        <v> </v>
      </c>
      <c r="N215" s="5"/>
      <c r="O215" s="17" t="str">
        <f aca="false">IF((E215="s"),H215," ")</f>
        <v> </v>
      </c>
      <c r="P215" s="17" t="str">
        <f aca="false">IF((E215="c"),H215," ")</f>
        <v> </v>
      </c>
      <c r="Q215" s="17" t="str">
        <f aca="false">IF((E215="o"),H215," ")</f>
        <v> </v>
      </c>
      <c r="R215" s="17" t="str">
        <f aca="false">IF((E215="d"),H215," ")</f>
        <v> </v>
      </c>
      <c r="S215" s="17" t="str">
        <f aca="false">IF((E215="w"),H215," ")</f>
        <v> </v>
      </c>
      <c r="T215" s="17" t="str">
        <f aca="false">IF((E215="r"),H215," ")</f>
        <v> </v>
      </c>
      <c r="U215" s="17" t="str">
        <f aca="false">IF((E215="p"),H215," ")</f>
        <v> </v>
      </c>
      <c r="V215" s="17" t="str">
        <f aca="false">IF((E215="t"),H215," ")</f>
        <v> </v>
      </c>
      <c r="W215" s="17" t="str">
        <f aca="false">IF((E215="q"),H215," ")</f>
        <v> </v>
      </c>
      <c r="X215" s="17" t="str">
        <f aca="false">IF((E215="m"),H215," ")</f>
        <v> </v>
      </c>
      <c r="Y215" s="17" t="str">
        <f aca="false">IF((E215="u"),H215," ")</f>
        <v> </v>
      </c>
      <c r="Z215" s="17" t="str">
        <f aca="false">IF((E215="a"),H215," ")</f>
        <v> </v>
      </c>
      <c r="AA215" s="17" t="str">
        <f aca="false">IF((E215="g"),H215," ")</f>
        <v> </v>
      </c>
      <c r="AB215" s="17" t="str">
        <f aca="false">IF((E215="h"),H215," ")</f>
        <v> </v>
      </c>
      <c r="AC215" s="30" t="str">
        <f aca="false">IF((E215="v"),H215," ")</f>
        <v> </v>
      </c>
      <c r="AD215" s="30" t="str">
        <f aca="false">IF((E215="n"),H215," ")</f>
        <v> </v>
      </c>
      <c r="AE215" s="17" t="str">
        <f aca="false">IF((E215="f"),H215," ")</f>
        <v> </v>
      </c>
      <c r="AF215" s="17" t="str">
        <f aca="false">IF((E215="l"),H215," ")</f>
        <v> </v>
      </c>
      <c r="AG215" s="17" t="str">
        <f aca="false">IF((E215="y"),H215," ")</f>
        <v> </v>
      </c>
      <c r="AH215" s="17" t="str">
        <f aca="false">IF((E215="z"),H215," ")</f>
        <v> </v>
      </c>
      <c r="AI215" s="17" t="str">
        <f aca="false">IF((E215="fa"),H215," ")</f>
        <v> </v>
      </c>
      <c r="AJ215" s="17" t="str">
        <f aca="false">IF((E215="e"),H215," ")</f>
        <v> </v>
      </c>
    </row>
    <row r="216" customFormat="false" ht="12" hidden="false" customHeight="false" outlineLevel="0" collapsed="false">
      <c r="A216" s="28"/>
      <c r="E216" s="2" t="str">
        <f aca="false">IF((F216&lt;&gt;0),"Enter Letter"," ")</f>
        <v> </v>
      </c>
      <c r="F216" s="30"/>
      <c r="G216" s="6" t="str">
        <f aca="false">IF(F216&lt;&gt;0,F216*G$2/(100+G$2)," ")</f>
        <v> </v>
      </c>
      <c r="H216" s="6" t="str">
        <f aca="false">IF((F216&lt;&gt;0),F216-G216," ")</f>
        <v> </v>
      </c>
      <c r="I216" s="5"/>
      <c r="L216" s="7" t="str">
        <f aca="false">IF(F216&lt;&gt;0,F216-K216," ")</f>
        <v> </v>
      </c>
      <c r="M216" s="8" t="str">
        <f aca="false">IF((F216-K216)&lt;&gt;0,M$1-A216," ")</f>
        <v> </v>
      </c>
      <c r="N216" s="5"/>
      <c r="O216" s="17" t="str">
        <f aca="false">IF((E216="s"),H216," ")</f>
        <v> </v>
      </c>
      <c r="P216" s="17" t="str">
        <f aca="false">IF((E216="c"),H216," ")</f>
        <v> </v>
      </c>
      <c r="Q216" s="17" t="str">
        <f aca="false">IF((E216="o"),H216," ")</f>
        <v> </v>
      </c>
      <c r="R216" s="17" t="str">
        <f aca="false">IF((E216="d"),H216," ")</f>
        <v> </v>
      </c>
      <c r="S216" s="17" t="str">
        <f aca="false">IF((E216="w"),H216," ")</f>
        <v> </v>
      </c>
      <c r="T216" s="17" t="str">
        <f aca="false">IF((E216="r"),H216," ")</f>
        <v> </v>
      </c>
      <c r="U216" s="17" t="str">
        <f aca="false">IF((E216="p"),H216," ")</f>
        <v> </v>
      </c>
      <c r="V216" s="17" t="str">
        <f aca="false">IF((E216="t"),H216," ")</f>
        <v> </v>
      </c>
      <c r="W216" s="17" t="str">
        <f aca="false">IF((E216="q"),H216," ")</f>
        <v> </v>
      </c>
      <c r="X216" s="17" t="str">
        <f aca="false">IF((E216="m"),H216," ")</f>
        <v> </v>
      </c>
      <c r="Y216" s="17" t="str">
        <f aca="false">IF((E216="u"),H216," ")</f>
        <v> </v>
      </c>
      <c r="Z216" s="17" t="str">
        <f aca="false">IF((E216="a"),H216," ")</f>
        <v> </v>
      </c>
      <c r="AA216" s="17" t="str">
        <f aca="false">IF((E216="g"),H216," ")</f>
        <v> </v>
      </c>
      <c r="AB216" s="17" t="str">
        <f aca="false">IF((E216="h"),H216," ")</f>
        <v> </v>
      </c>
      <c r="AC216" s="30" t="str">
        <f aca="false">IF((E216="v"),H216," ")</f>
        <v> </v>
      </c>
      <c r="AD216" s="30" t="str">
        <f aca="false">IF((E216="n"),H216," ")</f>
        <v> </v>
      </c>
      <c r="AE216" s="17" t="str">
        <f aca="false">IF((E216="f"),H216," ")</f>
        <v> </v>
      </c>
      <c r="AF216" s="17" t="str">
        <f aca="false">IF((E216="l"),H216," ")</f>
        <v> </v>
      </c>
      <c r="AG216" s="17" t="str">
        <f aca="false">IF((E216="y"),H216," ")</f>
        <v> </v>
      </c>
      <c r="AH216" s="17" t="str">
        <f aca="false">IF((E216="z"),H216," ")</f>
        <v> </v>
      </c>
      <c r="AI216" s="17" t="str">
        <f aca="false">IF((E216="fa"),H216," ")</f>
        <v> </v>
      </c>
      <c r="AJ216" s="17" t="str">
        <f aca="false">IF((E216="e"),H216," ")</f>
        <v> </v>
      </c>
    </row>
    <row r="217" customFormat="false" ht="12" hidden="false" customHeight="false" outlineLevel="0" collapsed="false">
      <c r="A217" s="28"/>
      <c r="E217" s="2" t="str">
        <f aca="false">IF((F217&lt;&gt;0),"Enter Letter"," ")</f>
        <v> </v>
      </c>
      <c r="F217" s="30"/>
      <c r="G217" s="6" t="str">
        <f aca="false">IF(F217&lt;&gt;0,F217*G$2/(100+G$2)," ")</f>
        <v> </v>
      </c>
      <c r="H217" s="6" t="str">
        <f aca="false">IF((F217&lt;&gt;0),F217-G217," ")</f>
        <v> </v>
      </c>
      <c r="I217" s="5"/>
      <c r="L217" s="7" t="str">
        <f aca="false">IF(F217&lt;&gt;0,F217-K217," ")</f>
        <v> </v>
      </c>
      <c r="M217" s="8" t="str">
        <f aca="false">IF((F217-K217)&lt;&gt;0,M$1-A217," ")</f>
        <v> </v>
      </c>
      <c r="N217" s="5"/>
      <c r="O217" s="17" t="str">
        <f aca="false">IF((E217="s"),H217," ")</f>
        <v> </v>
      </c>
      <c r="P217" s="17" t="str">
        <f aca="false">IF((E217="c"),H217," ")</f>
        <v> </v>
      </c>
      <c r="Q217" s="17" t="str">
        <f aca="false">IF((E217="o"),H217," ")</f>
        <v> </v>
      </c>
      <c r="R217" s="17" t="str">
        <f aca="false">IF((E217="d"),H217," ")</f>
        <v> </v>
      </c>
      <c r="S217" s="17" t="str">
        <f aca="false">IF((E217="w"),H217," ")</f>
        <v> </v>
      </c>
      <c r="T217" s="17" t="str">
        <f aca="false">IF((E217="r"),H217," ")</f>
        <v> </v>
      </c>
      <c r="U217" s="17" t="str">
        <f aca="false">IF((E217="p"),H217," ")</f>
        <v> </v>
      </c>
      <c r="V217" s="17" t="str">
        <f aca="false">IF((E217="t"),H217," ")</f>
        <v> </v>
      </c>
      <c r="W217" s="17" t="str">
        <f aca="false">IF((E217="q"),H217," ")</f>
        <v> </v>
      </c>
      <c r="X217" s="17" t="str">
        <f aca="false">IF((E217="m"),H217," ")</f>
        <v> </v>
      </c>
      <c r="Y217" s="17" t="str">
        <f aca="false">IF((E217="u"),H217," ")</f>
        <v> </v>
      </c>
      <c r="Z217" s="17" t="str">
        <f aca="false">IF((E217="a"),H217," ")</f>
        <v> </v>
      </c>
      <c r="AA217" s="17" t="str">
        <f aca="false">IF((E217="g"),H217," ")</f>
        <v> </v>
      </c>
      <c r="AB217" s="17" t="str">
        <f aca="false">IF((E217="h"),H217," ")</f>
        <v> </v>
      </c>
      <c r="AC217" s="30" t="str">
        <f aca="false">IF((E217="v"),H217," ")</f>
        <v> </v>
      </c>
      <c r="AD217" s="30" t="str">
        <f aca="false">IF((E217="n"),H217," ")</f>
        <v> </v>
      </c>
      <c r="AE217" s="17" t="str">
        <f aca="false">IF((E217="f"),H217," ")</f>
        <v> </v>
      </c>
      <c r="AF217" s="17" t="str">
        <f aca="false">IF((E217="l"),H217," ")</f>
        <v> </v>
      </c>
      <c r="AG217" s="17" t="str">
        <f aca="false">IF((E217="y"),H217," ")</f>
        <v> </v>
      </c>
      <c r="AH217" s="17" t="str">
        <f aca="false">IF((E217="z"),H217," ")</f>
        <v> </v>
      </c>
      <c r="AI217" s="17" t="str">
        <f aca="false">IF((E217="fa"),H217," ")</f>
        <v> </v>
      </c>
      <c r="AJ217" s="17" t="str">
        <f aca="false">IF((E217="e"),H217," ")</f>
        <v> </v>
      </c>
    </row>
    <row r="218" customFormat="false" ht="12" hidden="false" customHeight="false" outlineLevel="0" collapsed="false">
      <c r="A218" s="28"/>
      <c r="E218" s="2" t="str">
        <f aca="false">IF((F218&lt;&gt;0),"Enter Letter"," ")</f>
        <v> </v>
      </c>
      <c r="F218" s="30"/>
      <c r="G218" s="6" t="str">
        <f aca="false">IF(F218&lt;&gt;0,F218*G$2/(100+G$2)," ")</f>
        <v> </v>
      </c>
      <c r="H218" s="6" t="str">
        <f aca="false">IF((F218&lt;&gt;0),F218-G218," ")</f>
        <v> </v>
      </c>
      <c r="I218" s="5"/>
      <c r="L218" s="7" t="str">
        <f aca="false">IF(F218&lt;&gt;0,F218-K218," ")</f>
        <v> </v>
      </c>
      <c r="M218" s="8" t="str">
        <f aca="false">IF((F218-K218)&lt;&gt;0,M$1-A218," ")</f>
        <v> </v>
      </c>
      <c r="N218" s="5"/>
      <c r="O218" s="17" t="str">
        <f aca="false">IF((E218="s"),H218," ")</f>
        <v> </v>
      </c>
      <c r="P218" s="17" t="str">
        <f aca="false">IF((E218="c"),H218," ")</f>
        <v> </v>
      </c>
      <c r="Q218" s="17" t="str">
        <f aca="false">IF((E218="o"),H218," ")</f>
        <v> </v>
      </c>
      <c r="R218" s="17" t="str">
        <f aca="false">IF((E218="d"),H218," ")</f>
        <v> </v>
      </c>
      <c r="S218" s="17" t="str">
        <f aca="false">IF((E218="w"),H218," ")</f>
        <v> </v>
      </c>
      <c r="T218" s="17" t="str">
        <f aca="false">IF((E218="r"),H218," ")</f>
        <v> </v>
      </c>
      <c r="U218" s="17" t="str">
        <f aca="false">IF((E218="p"),H218," ")</f>
        <v> </v>
      </c>
      <c r="V218" s="17" t="str">
        <f aca="false">IF((E218="t"),H218," ")</f>
        <v> </v>
      </c>
      <c r="W218" s="17" t="str">
        <f aca="false">IF((E218="q"),H218," ")</f>
        <v> </v>
      </c>
      <c r="X218" s="17" t="str">
        <f aca="false">IF((E218="m"),H218," ")</f>
        <v> </v>
      </c>
      <c r="Y218" s="17" t="str">
        <f aca="false">IF((E218="u"),H218," ")</f>
        <v> </v>
      </c>
      <c r="Z218" s="17" t="str">
        <f aca="false">IF((E218="a"),H218," ")</f>
        <v> </v>
      </c>
      <c r="AA218" s="17" t="str">
        <f aca="false">IF((E218="g"),H218," ")</f>
        <v> </v>
      </c>
      <c r="AB218" s="17" t="str">
        <f aca="false">IF((E218="h"),H218," ")</f>
        <v> </v>
      </c>
      <c r="AC218" s="30" t="str">
        <f aca="false">IF((E218="v"),H218," ")</f>
        <v> </v>
      </c>
      <c r="AD218" s="30" t="str">
        <f aca="false">IF((E218="n"),H218," ")</f>
        <v> </v>
      </c>
      <c r="AE218" s="17" t="str">
        <f aca="false">IF((E218="f"),H218," ")</f>
        <v> </v>
      </c>
      <c r="AF218" s="17" t="str">
        <f aca="false">IF((E218="l"),H218," ")</f>
        <v> </v>
      </c>
      <c r="AG218" s="17" t="str">
        <f aca="false">IF((E218="y"),H218," ")</f>
        <v> </v>
      </c>
      <c r="AH218" s="17" t="str">
        <f aca="false">IF((E218="z"),H218," ")</f>
        <v> </v>
      </c>
      <c r="AI218" s="17" t="str">
        <f aca="false">IF((E218="fa"),H218," ")</f>
        <v> </v>
      </c>
      <c r="AJ218" s="17" t="str">
        <f aca="false">IF((E218="e"),H218," ")</f>
        <v> </v>
      </c>
    </row>
    <row r="219" customFormat="false" ht="12" hidden="false" customHeight="false" outlineLevel="0" collapsed="false">
      <c r="A219" s="28"/>
      <c r="E219" s="2" t="str">
        <f aca="false">IF((F219&lt;&gt;0),"Enter Letter"," ")</f>
        <v> </v>
      </c>
      <c r="F219" s="30"/>
      <c r="G219" s="6" t="str">
        <f aca="false">IF(F219&lt;&gt;0,F219*G$2/(100+G$2)," ")</f>
        <v> </v>
      </c>
      <c r="H219" s="6" t="str">
        <f aca="false">IF((F219&lt;&gt;0),F219-G219," ")</f>
        <v> </v>
      </c>
      <c r="I219" s="5"/>
      <c r="L219" s="7" t="str">
        <f aca="false">IF(F219&lt;&gt;0,F219-K219," ")</f>
        <v> </v>
      </c>
      <c r="M219" s="8" t="str">
        <f aca="false">IF((F219-K219)&lt;&gt;0,M$1-A219," ")</f>
        <v> </v>
      </c>
      <c r="N219" s="5"/>
      <c r="O219" s="17" t="str">
        <f aca="false">IF((E219="s"),H219," ")</f>
        <v> </v>
      </c>
      <c r="P219" s="17" t="str">
        <f aca="false">IF((E219="c"),H219," ")</f>
        <v> </v>
      </c>
      <c r="Q219" s="17" t="str">
        <f aca="false">IF((E219="o"),H219," ")</f>
        <v> </v>
      </c>
      <c r="R219" s="17" t="str">
        <f aca="false">IF((E219="d"),H219," ")</f>
        <v> </v>
      </c>
      <c r="S219" s="17" t="str">
        <f aca="false">IF((E219="w"),H219," ")</f>
        <v> </v>
      </c>
      <c r="T219" s="17" t="str">
        <f aca="false">IF((E219="r"),H219," ")</f>
        <v> </v>
      </c>
      <c r="U219" s="17" t="str">
        <f aca="false">IF((E219="p"),H219," ")</f>
        <v> </v>
      </c>
      <c r="V219" s="17" t="str">
        <f aca="false">IF((E219="t"),H219," ")</f>
        <v> </v>
      </c>
      <c r="W219" s="17" t="str">
        <f aca="false">IF((E219="q"),H219," ")</f>
        <v> </v>
      </c>
      <c r="X219" s="17" t="str">
        <f aca="false">IF((E219="m"),H219," ")</f>
        <v> </v>
      </c>
      <c r="Y219" s="17" t="str">
        <f aca="false">IF((E219="u"),H219," ")</f>
        <v> </v>
      </c>
      <c r="Z219" s="17" t="str">
        <f aca="false">IF((E219="a"),H219," ")</f>
        <v> </v>
      </c>
      <c r="AA219" s="17" t="str">
        <f aca="false">IF((E219="g"),H219," ")</f>
        <v> </v>
      </c>
      <c r="AB219" s="17" t="str">
        <f aca="false">IF((E219="h"),H219," ")</f>
        <v> </v>
      </c>
      <c r="AC219" s="30" t="str">
        <f aca="false">IF((E219="v"),H219," ")</f>
        <v> </v>
      </c>
      <c r="AD219" s="30" t="str">
        <f aca="false">IF((E219="n"),H219," ")</f>
        <v> </v>
      </c>
      <c r="AE219" s="17" t="str">
        <f aca="false">IF((E219="f"),H219," ")</f>
        <v> </v>
      </c>
      <c r="AF219" s="17" t="str">
        <f aca="false">IF((E219="l"),H219," ")</f>
        <v> </v>
      </c>
      <c r="AG219" s="17" t="str">
        <f aca="false">IF((E219="y"),H219," ")</f>
        <v> </v>
      </c>
      <c r="AH219" s="17" t="str">
        <f aca="false">IF((E219="z"),H219," ")</f>
        <v> </v>
      </c>
      <c r="AI219" s="17" t="str">
        <f aca="false">IF((E219="fa"),H219," ")</f>
        <v> </v>
      </c>
      <c r="AJ219" s="17" t="str">
        <f aca="false">IF((E219="e"),H219," ")</f>
        <v> </v>
      </c>
    </row>
    <row r="220" customFormat="false" ht="12" hidden="false" customHeight="false" outlineLevel="0" collapsed="false">
      <c r="A220" s="28"/>
      <c r="E220" s="2" t="str">
        <f aca="false">IF((F220&lt;&gt;0),"Enter Letter"," ")</f>
        <v> </v>
      </c>
      <c r="F220" s="30"/>
      <c r="G220" s="6" t="str">
        <f aca="false">IF(F220&lt;&gt;0,F220*G$2/(100+G$2)," ")</f>
        <v> </v>
      </c>
      <c r="H220" s="6" t="str">
        <f aca="false">IF((F220&lt;&gt;0),F220-G220," ")</f>
        <v> </v>
      </c>
      <c r="I220" s="5"/>
      <c r="L220" s="7" t="str">
        <f aca="false">IF(F220&lt;&gt;0,F220-K220," ")</f>
        <v> </v>
      </c>
      <c r="M220" s="8" t="str">
        <f aca="false">IF((F220-K220)&lt;&gt;0,M$1-A220," ")</f>
        <v> </v>
      </c>
      <c r="N220" s="5"/>
      <c r="O220" s="17" t="str">
        <f aca="false">IF((E220="s"),H220," ")</f>
        <v> </v>
      </c>
      <c r="P220" s="17" t="str">
        <f aca="false">IF((E220="c"),H220," ")</f>
        <v> </v>
      </c>
      <c r="Q220" s="17" t="str">
        <f aca="false">IF((E220="o"),H220," ")</f>
        <v> </v>
      </c>
      <c r="R220" s="17" t="str">
        <f aca="false">IF((E220="d"),H220," ")</f>
        <v> </v>
      </c>
      <c r="S220" s="17" t="str">
        <f aca="false">IF((E220="w"),H220," ")</f>
        <v> </v>
      </c>
      <c r="T220" s="17" t="str">
        <f aca="false">IF((E220="r"),H220," ")</f>
        <v> </v>
      </c>
      <c r="U220" s="17" t="str">
        <f aca="false">IF((E220="p"),H220," ")</f>
        <v> </v>
      </c>
      <c r="V220" s="17" t="str">
        <f aca="false">IF((E220="t"),H220," ")</f>
        <v> </v>
      </c>
      <c r="W220" s="17" t="str">
        <f aca="false">IF((E220="q"),H220," ")</f>
        <v> </v>
      </c>
      <c r="X220" s="17" t="str">
        <f aca="false">IF((E220="m"),H220," ")</f>
        <v> </v>
      </c>
      <c r="Y220" s="17" t="str">
        <f aca="false">IF((E220="u"),H220," ")</f>
        <v> </v>
      </c>
      <c r="Z220" s="17" t="str">
        <f aca="false">IF((E220="a"),H220," ")</f>
        <v> </v>
      </c>
      <c r="AA220" s="17" t="str">
        <f aca="false">IF((E220="g"),H220," ")</f>
        <v> </v>
      </c>
      <c r="AB220" s="17" t="str">
        <f aca="false">IF((E220="h"),H220," ")</f>
        <v> </v>
      </c>
      <c r="AC220" s="30" t="str">
        <f aca="false">IF((E220="v"),H220," ")</f>
        <v> </v>
      </c>
      <c r="AD220" s="30" t="str">
        <f aca="false">IF((E220="n"),H220," ")</f>
        <v> </v>
      </c>
      <c r="AE220" s="17" t="str">
        <f aca="false">IF((E220="f"),H220," ")</f>
        <v> </v>
      </c>
      <c r="AF220" s="17" t="str">
        <f aca="false">IF((E220="l"),H220," ")</f>
        <v> </v>
      </c>
      <c r="AG220" s="17" t="str">
        <f aca="false">IF((E220="y"),H220," ")</f>
        <v> </v>
      </c>
      <c r="AH220" s="17" t="str">
        <f aca="false">IF((E220="z"),H220," ")</f>
        <v> </v>
      </c>
      <c r="AI220" s="17" t="str">
        <f aca="false">IF((E220="fa"),H220," ")</f>
        <v> </v>
      </c>
      <c r="AJ220" s="17" t="str">
        <f aca="false">IF((E220="e"),H220," ")</f>
        <v> </v>
      </c>
    </row>
    <row r="221" customFormat="false" ht="12" hidden="false" customHeight="false" outlineLevel="0" collapsed="false">
      <c r="A221" s="28"/>
      <c r="E221" s="2" t="str">
        <f aca="false">IF((F221&lt;&gt;0),"Enter Letter"," ")</f>
        <v> </v>
      </c>
      <c r="F221" s="30"/>
      <c r="G221" s="6" t="str">
        <f aca="false">IF(F221&lt;&gt;0,F221*G$2/(100+G$2)," ")</f>
        <v> </v>
      </c>
      <c r="H221" s="6" t="str">
        <f aca="false">IF((F221&lt;&gt;0),F221-G221," ")</f>
        <v> </v>
      </c>
      <c r="I221" s="5"/>
      <c r="L221" s="7" t="str">
        <f aca="false">IF(F221&lt;&gt;0,F221-K221," ")</f>
        <v> </v>
      </c>
      <c r="M221" s="8" t="str">
        <f aca="false">IF((F221-K221)&lt;&gt;0,M$1-A221," ")</f>
        <v> </v>
      </c>
      <c r="N221" s="5"/>
      <c r="O221" s="17" t="str">
        <f aca="false">IF((E221="s"),H221," ")</f>
        <v> </v>
      </c>
      <c r="P221" s="17" t="str">
        <f aca="false">IF((E221="c"),H221," ")</f>
        <v> </v>
      </c>
      <c r="Q221" s="17" t="str">
        <f aca="false">IF((E221="o"),H221," ")</f>
        <v> </v>
      </c>
      <c r="R221" s="17" t="str">
        <f aca="false">IF((E221="d"),H221," ")</f>
        <v> </v>
      </c>
      <c r="S221" s="17" t="str">
        <f aca="false">IF((E221="w"),H221," ")</f>
        <v> </v>
      </c>
      <c r="T221" s="17" t="str">
        <f aca="false">IF((E221="r"),H221," ")</f>
        <v> </v>
      </c>
      <c r="U221" s="17" t="str">
        <f aca="false">IF((E221="p"),H221," ")</f>
        <v> </v>
      </c>
      <c r="V221" s="17" t="str">
        <f aca="false">IF((E221="t"),H221," ")</f>
        <v> </v>
      </c>
      <c r="W221" s="17" t="str">
        <f aca="false">IF((E221="q"),H221," ")</f>
        <v> </v>
      </c>
      <c r="X221" s="17" t="str">
        <f aca="false">IF((E221="m"),H221," ")</f>
        <v> </v>
      </c>
      <c r="Y221" s="17" t="str">
        <f aca="false">IF((E221="u"),H221," ")</f>
        <v> </v>
      </c>
      <c r="Z221" s="17" t="str">
        <f aca="false">IF((E221="a"),H221," ")</f>
        <v> </v>
      </c>
      <c r="AA221" s="17" t="str">
        <f aca="false">IF((E221="g"),H221," ")</f>
        <v> </v>
      </c>
      <c r="AB221" s="17" t="str">
        <f aca="false">IF((E221="h"),H221," ")</f>
        <v> </v>
      </c>
      <c r="AC221" s="30" t="str">
        <f aca="false">IF((E221="v"),H221," ")</f>
        <v> </v>
      </c>
      <c r="AD221" s="30" t="str">
        <f aca="false">IF((E221="n"),H221," ")</f>
        <v> </v>
      </c>
      <c r="AE221" s="17" t="str">
        <f aca="false">IF((E221="f"),H221," ")</f>
        <v> </v>
      </c>
      <c r="AF221" s="17" t="str">
        <f aca="false">IF((E221="l"),H221," ")</f>
        <v> </v>
      </c>
      <c r="AG221" s="17" t="str">
        <f aca="false">IF((E221="y"),H221," ")</f>
        <v> </v>
      </c>
      <c r="AH221" s="17" t="str">
        <f aca="false">IF((E221="z"),H221," ")</f>
        <v> </v>
      </c>
      <c r="AI221" s="17" t="str">
        <f aca="false">IF((E221="fa"),H221," ")</f>
        <v> </v>
      </c>
      <c r="AJ221" s="17" t="str">
        <f aca="false">IF((E221="e"),H221," ")</f>
        <v> </v>
      </c>
    </row>
    <row r="222" customFormat="false" ht="12" hidden="false" customHeight="false" outlineLevel="0" collapsed="false">
      <c r="A222" s="28"/>
      <c r="E222" s="2" t="str">
        <f aca="false">IF((F222&lt;&gt;0),"Enter Letter"," ")</f>
        <v> </v>
      </c>
      <c r="F222" s="30"/>
      <c r="G222" s="6" t="str">
        <f aca="false">IF(F222&lt;&gt;0,F222*G$2/(100+G$2)," ")</f>
        <v> </v>
      </c>
      <c r="H222" s="6" t="str">
        <f aca="false">IF((F222&lt;&gt;0),F222-G222," ")</f>
        <v> </v>
      </c>
      <c r="I222" s="5"/>
      <c r="L222" s="7" t="str">
        <f aca="false">IF(F222&lt;&gt;0,F222-K222," ")</f>
        <v> </v>
      </c>
      <c r="M222" s="8" t="str">
        <f aca="false">IF((F222-K222)&lt;&gt;0,M$1-A222," ")</f>
        <v> </v>
      </c>
      <c r="N222" s="5"/>
      <c r="O222" s="17" t="str">
        <f aca="false">IF((E222="s"),H222," ")</f>
        <v> </v>
      </c>
      <c r="P222" s="17" t="str">
        <f aca="false">IF((E222="c"),H222," ")</f>
        <v> </v>
      </c>
      <c r="Q222" s="17" t="str">
        <f aca="false">IF((E222="o"),H222," ")</f>
        <v> </v>
      </c>
      <c r="R222" s="17" t="str">
        <f aca="false">IF((E222="d"),H222," ")</f>
        <v> </v>
      </c>
      <c r="S222" s="17" t="str">
        <f aca="false">IF((E222="w"),H222," ")</f>
        <v> </v>
      </c>
      <c r="T222" s="17" t="str">
        <f aca="false">IF((E222="r"),H222," ")</f>
        <v> </v>
      </c>
      <c r="U222" s="17" t="str">
        <f aca="false">IF((E222="p"),H222," ")</f>
        <v> </v>
      </c>
      <c r="V222" s="17" t="str">
        <f aca="false">IF((E222="t"),H222," ")</f>
        <v> </v>
      </c>
      <c r="W222" s="17" t="str">
        <f aca="false">IF((E222="q"),H222," ")</f>
        <v> </v>
      </c>
      <c r="X222" s="17" t="str">
        <f aca="false">IF((E222="m"),H222," ")</f>
        <v> </v>
      </c>
      <c r="Y222" s="17" t="str">
        <f aca="false">IF((E222="u"),H222," ")</f>
        <v> </v>
      </c>
      <c r="Z222" s="17" t="str">
        <f aca="false">IF((E222="a"),H222," ")</f>
        <v> </v>
      </c>
      <c r="AA222" s="17" t="str">
        <f aca="false">IF((E222="g"),H222," ")</f>
        <v> </v>
      </c>
      <c r="AB222" s="17" t="str">
        <f aca="false">IF((E222="h"),H222," ")</f>
        <v> </v>
      </c>
      <c r="AC222" s="30" t="str">
        <f aca="false">IF((E222="v"),H222," ")</f>
        <v> </v>
      </c>
      <c r="AD222" s="30" t="str">
        <f aca="false">IF((E222="n"),H222," ")</f>
        <v> </v>
      </c>
      <c r="AE222" s="17" t="str">
        <f aca="false">IF((E222="f"),H222," ")</f>
        <v> </v>
      </c>
      <c r="AF222" s="17" t="str">
        <f aca="false">IF((E222="l"),H222," ")</f>
        <v> </v>
      </c>
      <c r="AG222" s="17" t="str">
        <f aca="false">IF((E222="y"),H222," ")</f>
        <v> </v>
      </c>
      <c r="AH222" s="17" t="str">
        <f aca="false">IF((E222="z"),H222," ")</f>
        <v> </v>
      </c>
      <c r="AI222" s="17" t="str">
        <f aca="false">IF((E222="fa"),H222," ")</f>
        <v> </v>
      </c>
      <c r="AJ222" s="17" t="str">
        <f aca="false">IF((E222="e"),H222," ")</f>
        <v> </v>
      </c>
    </row>
    <row r="223" customFormat="false" ht="12" hidden="false" customHeight="false" outlineLevel="0" collapsed="false">
      <c r="A223" s="28"/>
      <c r="E223" s="2" t="str">
        <f aca="false">IF((F223&lt;&gt;0),"Enter Letter"," ")</f>
        <v> </v>
      </c>
      <c r="F223" s="30"/>
      <c r="G223" s="6" t="str">
        <f aca="false">IF(F223&lt;&gt;0,F223*G$2/(100+G$2)," ")</f>
        <v> </v>
      </c>
      <c r="H223" s="6" t="str">
        <f aca="false">IF((F223&lt;&gt;0),F223-G223," ")</f>
        <v> </v>
      </c>
      <c r="I223" s="5"/>
      <c r="L223" s="7" t="str">
        <f aca="false">IF(F223&lt;&gt;0,F223-K223," ")</f>
        <v> </v>
      </c>
      <c r="M223" s="8" t="str">
        <f aca="false">IF((F223-K223)&lt;&gt;0,M$1-A223," ")</f>
        <v> </v>
      </c>
      <c r="N223" s="5"/>
      <c r="O223" s="17" t="str">
        <f aca="false">IF((E223="s"),H223," ")</f>
        <v> </v>
      </c>
      <c r="P223" s="17" t="str">
        <f aca="false">IF((E223="c"),H223," ")</f>
        <v> </v>
      </c>
      <c r="Q223" s="17" t="str">
        <f aca="false">IF((E223="o"),H223," ")</f>
        <v> </v>
      </c>
      <c r="R223" s="17" t="str">
        <f aca="false">IF((E223="d"),H223," ")</f>
        <v> </v>
      </c>
      <c r="S223" s="17" t="str">
        <f aca="false">IF((E223="w"),H223," ")</f>
        <v> </v>
      </c>
      <c r="T223" s="17" t="str">
        <f aca="false">IF((E223="r"),H223," ")</f>
        <v> </v>
      </c>
      <c r="U223" s="17" t="str">
        <f aca="false">IF((E223="p"),H223," ")</f>
        <v> </v>
      </c>
      <c r="V223" s="17" t="str">
        <f aca="false">IF((E223="t"),H223," ")</f>
        <v> </v>
      </c>
      <c r="W223" s="17" t="str">
        <f aca="false">IF((E223="q"),H223," ")</f>
        <v> </v>
      </c>
      <c r="X223" s="17" t="str">
        <f aca="false">IF((E223="m"),H223," ")</f>
        <v> </v>
      </c>
      <c r="Y223" s="17" t="str">
        <f aca="false">IF((E223="u"),H223," ")</f>
        <v> </v>
      </c>
      <c r="Z223" s="17" t="str">
        <f aca="false">IF((E223="a"),H223," ")</f>
        <v> </v>
      </c>
      <c r="AA223" s="17" t="str">
        <f aca="false">IF((E223="g"),H223," ")</f>
        <v> </v>
      </c>
      <c r="AB223" s="17" t="str">
        <f aca="false">IF((E223="h"),H223," ")</f>
        <v> </v>
      </c>
      <c r="AC223" s="30" t="str">
        <f aca="false">IF((E223="v"),H223," ")</f>
        <v> </v>
      </c>
      <c r="AD223" s="30" t="str">
        <f aca="false">IF((E223="n"),H223," ")</f>
        <v> </v>
      </c>
      <c r="AE223" s="17" t="str">
        <f aca="false">IF((E223="f"),H223," ")</f>
        <v> </v>
      </c>
      <c r="AF223" s="17" t="str">
        <f aca="false">IF((E223="l"),H223," ")</f>
        <v> </v>
      </c>
      <c r="AG223" s="17" t="str">
        <f aca="false">IF((E223="y"),H223," ")</f>
        <v> </v>
      </c>
      <c r="AH223" s="17" t="str">
        <f aca="false">IF((E223="z"),H223," ")</f>
        <v> </v>
      </c>
      <c r="AI223" s="17" t="str">
        <f aca="false">IF((E223="fa"),H223," ")</f>
        <v> </v>
      </c>
      <c r="AJ223" s="17" t="str">
        <f aca="false">IF((E223="e"),H223," ")</f>
        <v> </v>
      </c>
    </row>
    <row r="224" customFormat="false" ht="12" hidden="false" customHeight="false" outlineLevel="0" collapsed="false">
      <c r="A224" s="28"/>
      <c r="E224" s="2" t="str">
        <f aca="false">IF((F224&lt;&gt;0),"Enter Letter"," ")</f>
        <v> </v>
      </c>
      <c r="F224" s="30"/>
      <c r="G224" s="6" t="str">
        <f aca="false">IF(F224&lt;&gt;0,F224*G$2/(100+G$2)," ")</f>
        <v> </v>
      </c>
      <c r="H224" s="6" t="str">
        <f aca="false">IF((F224&lt;&gt;0),F224-G224," ")</f>
        <v> </v>
      </c>
      <c r="I224" s="5"/>
      <c r="L224" s="7" t="str">
        <f aca="false">IF(F224&lt;&gt;0,F224-K224," ")</f>
        <v> </v>
      </c>
      <c r="M224" s="8" t="str">
        <f aca="false">IF((F224-K224)&lt;&gt;0,M$1-A224," ")</f>
        <v> </v>
      </c>
      <c r="N224" s="5"/>
      <c r="O224" s="17" t="str">
        <f aca="false">IF((E224="s"),H224," ")</f>
        <v> </v>
      </c>
      <c r="P224" s="17" t="str">
        <f aca="false">IF((E224="c"),H224," ")</f>
        <v> </v>
      </c>
      <c r="Q224" s="17" t="str">
        <f aca="false">IF((E224="o"),H224," ")</f>
        <v> </v>
      </c>
      <c r="R224" s="17" t="str">
        <f aca="false">IF((E224="d"),H224," ")</f>
        <v> </v>
      </c>
      <c r="S224" s="17" t="str">
        <f aca="false">IF((E224="w"),H224," ")</f>
        <v> </v>
      </c>
      <c r="T224" s="17" t="str">
        <f aca="false">IF((E224="r"),H224," ")</f>
        <v> </v>
      </c>
      <c r="U224" s="17" t="str">
        <f aca="false">IF((E224="p"),H224," ")</f>
        <v> </v>
      </c>
      <c r="V224" s="17" t="str">
        <f aca="false">IF((E224="t"),H224," ")</f>
        <v> </v>
      </c>
      <c r="W224" s="17" t="str">
        <f aca="false">IF((E224="q"),H224," ")</f>
        <v> </v>
      </c>
      <c r="X224" s="17" t="str">
        <f aca="false">IF((E224="m"),H224," ")</f>
        <v> </v>
      </c>
      <c r="Y224" s="17" t="str">
        <f aca="false">IF((E224="u"),H224," ")</f>
        <v> </v>
      </c>
      <c r="Z224" s="17" t="str">
        <f aca="false">IF((E224="a"),H224," ")</f>
        <v> </v>
      </c>
      <c r="AA224" s="17" t="str">
        <f aca="false">IF((E224="g"),H224," ")</f>
        <v> </v>
      </c>
      <c r="AB224" s="17" t="str">
        <f aca="false">IF((E224="h"),H224," ")</f>
        <v> </v>
      </c>
      <c r="AC224" s="30" t="str">
        <f aca="false">IF((E224="v"),H224," ")</f>
        <v> </v>
      </c>
      <c r="AD224" s="30" t="str">
        <f aca="false">IF((E224="n"),H224," ")</f>
        <v> </v>
      </c>
      <c r="AE224" s="17" t="str">
        <f aca="false">IF((E224="f"),H224," ")</f>
        <v> </v>
      </c>
      <c r="AF224" s="17" t="str">
        <f aca="false">IF((E224="l"),H224," ")</f>
        <v> </v>
      </c>
      <c r="AG224" s="17" t="str">
        <f aca="false">IF((E224="y"),H224," ")</f>
        <v> </v>
      </c>
      <c r="AH224" s="17" t="str">
        <f aca="false">IF((E224="z"),H224," ")</f>
        <v> </v>
      </c>
      <c r="AI224" s="17" t="str">
        <f aca="false">IF((E224="fa"),H224," ")</f>
        <v> </v>
      </c>
      <c r="AJ224" s="17" t="str">
        <f aca="false">IF((E224="e"),H224," ")</f>
        <v> </v>
      </c>
    </row>
    <row r="225" customFormat="false" ht="12" hidden="false" customHeight="false" outlineLevel="0" collapsed="false">
      <c r="A225" s="28"/>
      <c r="E225" s="2" t="str">
        <f aca="false">IF((F225&lt;&gt;0),"Enter Letter"," ")</f>
        <v> </v>
      </c>
      <c r="F225" s="30"/>
      <c r="G225" s="6" t="str">
        <f aca="false">IF(F225&lt;&gt;0,F225*G$2/(100+G$2)," ")</f>
        <v> </v>
      </c>
      <c r="H225" s="6" t="str">
        <f aca="false">IF((F225&lt;&gt;0),F225-G225," ")</f>
        <v> </v>
      </c>
      <c r="I225" s="5"/>
      <c r="L225" s="7" t="str">
        <f aca="false">IF(F225&lt;&gt;0,F225-K225," ")</f>
        <v> </v>
      </c>
      <c r="M225" s="8" t="str">
        <f aca="false">IF((F225-K225)&lt;&gt;0,M$1-A225," ")</f>
        <v> </v>
      </c>
      <c r="N225" s="5"/>
      <c r="O225" s="17" t="str">
        <f aca="false">IF((E225="s"),H225," ")</f>
        <v> </v>
      </c>
      <c r="P225" s="17" t="str">
        <f aca="false">IF((E225="c"),H225," ")</f>
        <v> </v>
      </c>
      <c r="Q225" s="17" t="str">
        <f aca="false">IF((E225="o"),H225," ")</f>
        <v> </v>
      </c>
      <c r="R225" s="17" t="str">
        <f aca="false">IF((E225="d"),H225," ")</f>
        <v> </v>
      </c>
      <c r="S225" s="17" t="str">
        <f aca="false">IF((E225="w"),H225," ")</f>
        <v> </v>
      </c>
      <c r="T225" s="17" t="str">
        <f aca="false">IF((E225="r"),H225," ")</f>
        <v> </v>
      </c>
      <c r="U225" s="17" t="str">
        <f aca="false">IF((E225="p"),H225," ")</f>
        <v> </v>
      </c>
      <c r="V225" s="17" t="str">
        <f aca="false">IF((E225="t"),H225," ")</f>
        <v> </v>
      </c>
      <c r="W225" s="17" t="str">
        <f aca="false">IF((E225="q"),H225," ")</f>
        <v> </v>
      </c>
      <c r="X225" s="17" t="str">
        <f aca="false">IF((E225="m"),H225," ")</f>
        <v> </v>
      </c>
      <c r="Y225" s="17" t="str">
        <f aca="false">IF((E225="u"),H225," ")</f>
        <v> </v>
      </c>
      <c r="Z225" s="17" t="str">
        <f aca="false">IF((E225="a"),H225," ")</f>
        <v> </v>
      </c>
      <c r="AA225" s="17" t="str">
        <f aca="false">IF((E225="g"),H225," ")</f>
        <v> </v>
      </c>
      <c r="AB225" s="17" t="str">
        <f aca="false">IF((E225="h"),H225," ")</f>
        <v> </v>
      </c>
      <c r="AC225" s="30" t="str">
        <f aca="false">IF((E225="v"),H225," ")</f>
        <v> </v>
      </c>
      <c r="AD225" s="30" t="str">
        <f aca="false">IF((E225="n"),H225," ")</f>
        <v> </v>
      </c>
      <c r="AE225" s="17" t="str">
        <f aca="false">IF((E225="f"),H225," ")</f>
        <v> </v>
      </c>
      <c r="AF225" s="17" t="str">
        <f aca="false">IF((E225="l"),H225," ")</f>
        <v> </v>
      </c>
      <c r="AG225" s="17" t="str">
        <f aca="false">IF((E225="y"),H225," ")</f>
        <v> </v>
      </c>
      <c r="AH225" s="17" t="str">
        <f aca="false">IF((E225="z"),H225," ")</f>
        <v> </v>
      </c>
      <c r="AI225" s="17" t="str">
        <f aca="false">IF((E225="fa"),H225," ")</f>
        <v> </v>
      </c>
      <c r="AJ225" s="17" t="str">
        <f aca="false">IF((E225="e"),H225," ")</f>
        <v> </v>
      </c>
    </row>
    <row r="226" customFormat="false" ht="12" hidden="false" customHeight="false" outlineLevel="0" collapsed="false">
      <c r="A226" s="28"/>
      <c r="E226" s="2" t="str">
        <f aca="false">IF((F226&lt;&gt;0),"Enter Letter"," ")</f>
        <v> </v>
      </c>
      <c r="F226" s="30"/>
      <c r="G226" s="6" t="str">
        <f aca="false">IF(F226&lt;&gt;0,F226*G$2/(100+G$2)," ")</f>
        <v> </v>
      </c>
      <c r="H226" s="6" t="str">
        <f aca="false">IF((F226&lt;&gt;0),F226-G226," ")</f>
        <v> </v>
      </c>
      <c r="I226" s="5"/>
      <c r="L226" s="7" t="str">
        <f aca="false">IF(F226&lt;&gt;0,F226-K226," ")</f>
        <v> </v>
      </c>
      <c r="M226" s="8" t="str">
        <f aca="false">IF((F226-K226)&lt;&gt;0,M$1-A226," ")</f>
        <v> </v>
      </c>
      <c r="N226" s="5"/>
      <c r="O226" s="17" t="str">
        <f aca="false">IF((E226="s"),H226," ")</f>
        <v> </v>
      </c>
      <c r="P226" s="17" t="str">
        <f aca="false">IF((E226="c"),H226," ")</f>
        <v> </v>
      </c>
      <c r="Q226" s="17" t="str">
        <f aca="false">IF((E226="o"),H226," ")</f>
        <v> </v>
      </c>
      <c r="R226" s="17" t="str">
        <f aca="false">IF((E226="d"),H226," ")</f>
        <v> </v>
      </c>
      <c r="S226" s="17" t="str">
        <f aca="false">IF((E226="w"),H226," ")</f>
        <v> </v>
      </c>
      <c r="T226" s="17" t="str">
        <f aca="false">IF((E226="r"),H226," ")</f>
        <v> </v>
      </c>
      <c r="U226" s="17" t="str">
        <f aca="false">IF((E226="p"),H226," ")</f>
        <v> </v>
      </c>
      <c r="V226" s="17" t="str">
        <f aca="false">IF((E226="t"),H226," ")</f>
        <v> </v>
      </c>
      <c r="W226" s="17" t="str">
        <f aca="false">IF((E226="q"),H226," ")</f>
        <v> </v>
      </c>
      <c r="X226" s="17" t="str">
        <f aca="false">IF((E226="m"),H226," ")</f>
        <v> </v>
      </c>
      <c r="Y226" s="17" t="str">
        <f aca="false">IF((E226="u"),H226," ")</f>
        <v> </v>
      </c>
      <c r="Z226" s="17" t="str">
        <f aca="false">IF((E226="a"),H226," ")</f>
        <v> </v>
      </c>
      <c r="AA226" s="17" t="str">
        <f aca="false">IF((E226="g"),H226," ")</f>
        <v> </v>
      </c>
      <c r="AB226" s="17" t="str">
        <f aca="false">IF((E226="h"),H226," ")</f>
        <v> </v>
      </c>
      <c r="AC226" s="30" t="str">
        <f aca="false">IF((E226="v"),H226," ")</f>
        <v> </v>
      </c>
      <c r="AD226" s="30" t="str">
        <f aca="false">IF((E226="n"),H226," ")</f>
        <v> </v>
      </c>
      <c r="AE226" s="17" t="str">
        <f aca="false">IF((E226="f"),H226," ")</f>
        <v> </v>
      </c>
      <c r="AF226" s="17" t="str">
        <f aca="false">IF((E226="l"),H226," ")</f>
        <v> </v>
      </c>
      <c r="AG226" s="17" t="str">
        <f aca="false">IF((E226="y"),H226," ")</f>
        <v> </v>
      </c>
      <c r="AH226" s="17" t="str">
        <f aca="false">IF((E226="z"),H226," ")</f>
        <v> </v>
      </c>
      <c r="AI226" s="17" t="str">
        <f aca="false">IF((E226="fa"),H226," ")</f>
        <v> </v>
      </c>
      <c r="AJ226" s="17" t="str">
        <f aca="false">IF((E226="e"),H226," ")</f>
        <v> </v>
      </c>
    </row>
    <row r="227" customFormat="false" ht="12" hidden="false" customHeight="false" outlineLevel="0" collapsed="false">
      <c r="A227" s="28"/>
      <c r="E227" s="2" t="str">
        <f aca="false">IF((F227&lt;&gt;0),"Enter Letter"," ")</f>
        <v> </v>
      </c>
      <c r="F227" s="30"/>
      <c r="G227" s="6" t="str">
        <f aca="false">IF(F227&lt;&gt;0,F227*G$2/(100+G$2)," ")</f>
        <v> </v>
      </c>
      <c r="H227" s="6" t="str">
        <f aca="false">IF((F227&lt;&gt;0),F227-G227," ")</f>
        <v> </v>
      </c>
      <c r="I227" s="5"/>
      <c r="L227" s="7" t="str">
        <f aca="false">IF(F227&lt;&gt;0,F227-K227," ")</f>
        <v> </v>
      </c>
      <c r="M227" s="8" t="str">
        <f aca="false">IF((F227-K227)&lt;&gt;0,M$1-A227," ")</f>
        <v> </v>
      </c>
      <c r="N227" s="5"/>
      <c r="O227" s="17" t="str">
        <f aca="false">IF((E227="s"),H227," ")</f>
        <v> </v>
      </c>
      <c r="P227" s="17" t="str">
        <f aca="false">IF((E227="c"),H227," ")</f>
        <v> </v>
      </c>
      <c r="Q227" s="17" t="str">
        <f aca="false">IF((E227="o"),H227," ")</f>
        <v> </v>
      </c>
      <c r="R227" s="17" t="str">
        <f aca="false">IF((E227="d"),H227," ")</f>
        <v> </v>
      </c>
      <c r="S227" s="17" t="str">
        <f aca="false">IF((E227="w"),H227," ")</f>
        <v> </v>
      </c>
      <c r="T227" s="17" t="str">
        <f aca="false">IF((E227="r"),H227," ")</f>
        <v> </v>
      </c>
      <c r="U227" s="17" t="str">
        <f aca="false">IF((E227="p"),H227," ")</f>
        <v> </v>
      </c>
      <c r="V227" s="17" t="str">
        <f aca="false">IF((E227="t"),H227," ")</f>
        <v> </v>
      </c>
      <c r="W227" s="17" t="str">
        <f aca="false">IF((E227="q"),H227," ")</f>
        <v> </v>
      </c>
      <c r="X227" s="17" t="str">
        <f aca="false">IF((E227="m"),H227," ")</f>
        <v> </v>
      </c>
      <c r="Y227" s="17" t="str">
        <f aca="false">IF((E227="u"),H227," ")</f>
        <v> </v>
      </c>
      <c r="Z227" s="17" t="str">
        <f aca="false">IF((E227="a"),H227," ")</f>
        <v> </v>
      </c>
      <c r="AA227" s="17" t="str">
        <f aca="false">IF((E227="g"),H227," ")</f>
        <v> </v>
      </c>
      <c r="AB227" s="17" t="str">
        <f aca="false">IF((E227="h"),H227," ")</f>
        <v> </v>
      </c>
      <c r="AC227" s="30" t="str">
        <f aca="false">IF((E227="v"),H227," ")</f>
        <v> </v>
      </c>
      <c r="AD227" s="30" t="str">
        <f aca="false">IF((E227="n"),H227," ")</f>
        <v> </v>
      </c>
      <c r="AE227" s="17" t="str">
        <f aca="false">IF((E227="f"),H227," ")</f>
        <v> </v>
      </c>
      <c r="AF227" s="17" t="str">
        <f aca="false">IF((E227="l"),H227," ")</f>
        <v> </v>
      </c>
      <c r="AG227" s="17" t="str">
        <f aca="false">IF((E227="y"),H227," ")</f>
        <v> </v>
      </c>
      <c r="AH227" s="17" t="str">
        <f aca="false">IF((E227="z"),H227," ")</f>
        <v> </v>
      </c>
      <c r="AI227" s="17" t="str">
        <f aca="false">IF((E227="fa"),H227," ")</f>
        <v> </v>
      </c>
      <c r="AJ227" s="17" t="str">
        <f aca="false">IF((E227="e"),H227," ")</f>
        <v> </v>
      </c>
    </row>
    <row r="228" customFormat="false" ht="12" hidden="false" customHeight="false" outlineLevel="0" collapsed="false">
      <c r="A228" s="28"/>
      <c r="E228" s="2" t="str">
        <f aca="false">IF((F228&lt;&gt;0),"Enter Letter"," ")</f>
        <v> </v>
      </c>
      <c r="F228" s="30"/>
      <c r="G228" s="6" t="str">
        <f aca="false">IF(F228&lt;&gt;0,F228*G$2/(100+G$2)," ")</f>
        <v> </v>
      </c>
      <c r="H228" s="6" t="str">
        <f aca="false">IF((F228&lt;&gt;0),F228-G228," ")</f>
        <v> </v>
      </c>
      <c r="I228" s="5"/>
      <c r="L228" s="7" t="str">
        <f aca="false">IF(F228&lt;&gt;0,F228-K228," ")</f>
        <v> </v>
      </c>
      <c r="M228" s="8" t="str">
        <f aca="false">IF((F228-K228)&lt;&gt;0,M$1-A228," ")</f>
        <v> </v>
      </c>
      <c r="N228" s="5"/>
      <c r="O228" s="17" t="str">
        <f aca="false">IF((E228="s"),H228," ")</f>
        <v> </v>
      </c>
      <c r="P228" s="17" t="str">
        <f aca="false">IF((E228="c"),H228," ")</f>
        <v> </v>
      </c>
      <c r="Q228" s="17" t="str">
        <f aca="false">IF((E228="o"),H228," ")</f>
        <v> </v>
      </c>
      <c r="R228" s="17" t="str">
        <f aca="false">IF((E228="d"),H228," ")</f>
        <v> </v>
      </c>
      <c r="S228" s="17" t="str">
        <f aca="false">IF((E228="w"),H228," ")</f>
        <v> </v>
      </c>
      <c r="T228" s="17" t="str">
        <f aca="false">IF((E228="r"),H228," ")</f>
        <v> </v>
      </c>
      <c r="U228" s="17" t="str">
        <f aca="false">IF((E228="p"),H228," ")</f>
        <v> </v>
      </c>
      <c r="V228" s="17" t="str">
        <f aca="false">IF((E228="t"),H228," ")</f>
        <v> </v>
      </c>
      <c r="W228" s="17" t="str">
        <f aca="false">IF((E228="q"),H228," ")</f>
        <v> </v>
      </c>
      <c r="X228" s="17" t="str">
        <f aca="false">IF((E228="m"),H228," ")</f>
        <v> </v>
      </c>
      <c r="Y228" s="17" t="str">
        <f aca="false">IF((E228="u"),H228," ")</f>
        <v> </v>
      </c>
      <c r="Z228" s="17" t="str">
        <f aca="false">IF((E228="a"),H228," ")</f>
        <v> </v>
      </c>
      <c r="AA228" s="17" t="str">
        <f aca="false">IF((E228="g"),H228," ")</f>
        <v> </v>
      </c>
      <c r="AB228" s="17" t="str">
        <f aca="false">IF((E228="h"),H228," ")</f>
        <v> </v>
      </c>
      <c r="AC228" s="30" t="str">
        <f aca="false">IF((E228="v"),H228," ")</f>
        <v> </v>
      </c>
      <c r="AD228" s="30" t="str">
        <f aca="false">IF((E228="n"),H228," ")</f>
        <v> </v>
      </c>
      <c r="AE228" s="17" t="str">
        <f aca="false">IF((E228="f"),H228," ")</f>
        <v> </v>
      </c>
      <c r="AF228" s="17" t="str">
        <f aca="false">IF((E228="l"),H228," ")</f>
        <v> </v>
      </c>
      <c r="AG228" s="17" t="str">
        <f aca="false">IF((E228="y"),H228," ")</f>
        <v> </v>
      </c>
      <c r="AH228" s="17" t="str">
        <f aca="false">IF((E228="z"),H228," ")</f>
        <v> </v>
      </c>
      <c r="AI228" s="17" t="str">
        <f aca="false">IF((E228="fa"),H228," ")</f>
        <v> </v>
      </c>
      <c r="AJ228" s="17" t="str">
        <f aca="false">IF((E228="e"),H228," ")</f>
        <v> </v>
      </c>
    </row>
    <row r="229" customFormat="false" ht="12" hidden="false" customHeight="false" outlineLevel="0" collapsed="false">
      <c r="A229" s="28"/>
      <c r="E229" s="2" t="str">
        <f aca="false">IF((F229&lt;&gt;0),"Enter Letter"," ")</f>
        <v> </v>
      </c>
      <c r="F229" s="30"/>
      <c r="G229" s="6" t="str">
        <f aca="false">IF(F229&lt;&gt;0,F229*G$2/(100+G$2)," ")</f>
        <v> </v>
      </c>
      <c r="H229" s="6" t="str">
        <f aca="false">IF((F229&lt;&gt;0),F229-G229," ")</f>
        <v> </v>
      </c>
      <c r="I229" s="5"/>
      <c r="L229" s="7" t="str">
        <f aca="false">IF(F229&lt;&gt;0,F229-K229," ")</f>
        <v> </v>
      </c>
      <c r="M229" s="8" t="str">
        <f aca="false">IF((F229-K229)&lt;&gt;0,M$1-A229," ")</f>
        <v> </v>
      </c>
      <c r="N229" s="5"/>
      <c r="O229" s="17" t="str">
        <f aca="false">IF((E229="s"),H229," ")</f>
        <v> </v>
      </c>
      <c r="P229" s="17" t="str">
        <f aca="false">IF((E229="c"),H229," ")</f>
        <v> </v>
      </c>
      <c r="Q229" s="17" t="str">
        <f aca="false">IF((E229="o"),H229," ")</f>
        <v> </v>
      </c>
      <c r="R229" s="17" t="str">
        <f aca="false">IF((E229="d"),H229," ")</f>
        <v> </v>
      </c>
      <c r="S229" s="17" t="str">
        <f aca="false">IF((E229="w"),H229," ")</f>
        <v> </v>
      </c>
      <c r="T229" s="17" t="str">
        <f aca="false">IF((E229="r"),H229," ")</f>
        <v> </v>
      </c>
      <c r="U229" s="17" t="str">
        <f aca="false">IF((E229="p"),H229," ")</f>
        <v> </v>
      </c>
      <c r="V229" s="17" t="str">
        <f aca="false">IF((E229="t"),H229," ")</f>
        <v> </v>
      </c>
      <c r="W229" s="17" t="str">
        <f aca="false">IF((E229="q"),H229," ")</f>
        <v> </v>
      </c>
      <c r="X229" s="17" t="str">
        <f aca="false">IF((E229="m"),H229," ")</f>
        <v> </v>
      </c>
      <c r="Y229" s="17" t="str">
        <f aca="false">IF((E229="u"),H229," ")</f>
        <v> </v>
      </c>
      <c r="Z229" s="17" t="str">
        <f aca="false">IF((E229="a"),H229," ")</f>
        <v> </v>
      </c>
      <c r="AA229" s="17" t="str">
        <f aca="false">IF((E229="g"),H229," ")</f>
        <v> </v>
      </c>
      <c r="AB229" s="17" t="str">
        <f aca="false">IF((E229="h"),H229," ")</f>
        <v> </v>
      </c>
      <c r="AC229" s="30" t="str">
        <f aca="false">IF((E229="v"),H229," ")</f>
        <v> </v>
      </c>
      <c r="AD229" s="30" t="str">
        <f aca="false">IF((E229="n"),H229," ")</f>
        <v> </v>
      </c>
      <c r="AE229" s="17" t="str">
        <f aca="false">IF((E229="f"),H229," ")</f>
        <v> </v>
      </c>
      <c r="AF229" s="17" t="str">
        <f aca="false">IF((E229="l"),H229," ")</f>
        <v> </v>
      </c>
      <c r="AG229" s="17" t="str">
        <f aca="false">IF((E229="y"),H229," ")</f>
        <v> </v>
      </c>
      <c r="AH229" s="17" t="str">
        <f aca="false">IF((E229="z"),H229," ")</f>
        <v> </v>
      </c>
      <c r="AI229" s="17" t="str">
        <f aca="false">IF((E229="fa"),H229," ")</f>
        <v> </v>
      </c>
      <c r="AJ229" s="17" t="str">
        <f aca="false">IF((E229="e"),H229," ")</f>
        <v> </v>
      </c>
    </row>
    <row r="230" customFormat="false" ht="12" hidden="false" customHeight="false" outlineLevel="0" collapsed="false">
      <c r="A230" s="28"/>
      <c r="E230" s="2" t="str">
        <f aca="false">IF((F230&lt;&gt;0),"Enter Letter"," ")</f>
        <v> </v>
      </c>
      <c r="F230" s="30"/>
      <c r="G230" s="6" t="str">
        <f aca="false">IF(F230&lt;&gt;0,F230*G$2/(100+G$2)," ")</f>
        <v> </v>
      </c>
      <c r="H230" s="6" t="str">
        <f aca="false">IF((F230&lt;&gt;0),F230-G230," ")</f>
        <v> </v>
      </c>
      <c r="I230" s="5"/>
      <c r="L230" s="7" t="str">
        <f aca="false">IF(F230&lt;&gt;0,F230-K230," ")</f>
        <v> </v>
      </c>
      <c r="M230" s="8" t="str">
        <f aca="false">IF((F230-K230)&lt;&gt;0,M$1-A230," ")</f>
        <v> </v>
      </c>
      <c r="N230" s="5"/>
      <c r="O230" s="17" t="str">
        <f aca="false">IF((E230="s"),H230," ")</f>
        <v> </v>
      </c>
      <c r="P230" s="17" t="str">
        <f aca="false">IF((E230="c"),H230," ")</f>
        <v> </v>
      </c>
      <c r="Q230" s="17" t="str">
        <f aca="false">IF((E230="o"),H230," ")</f>
        <v> </v>
      </c>
      <c r="R230" s="17" t="str">
        <f aca="false">IF((E230="d"),H230," ")</f>
        <v> </v>
      </c>
      <c r="S230" s="17" t="str">
        <f aca="false">IF((E230="w"),H230," ")</f>
        <v> </v>
      </c>
      <c r="T230" s="17" t="str">
        <f aca="false">IF((E230="r"),H230," ")</f>
        <v> </v>
      </c>
      <c r="U230" s="17" t="str">
        <f aca="false">IF((E230="p"),H230," ")</f>
        <v> </v>
      </c>
      <c r="V230" s="17" t="str">
        <f aca="false">IF((E230="t"),H230," ")</f>
        <v> </v>
      </c>
      <c r="W230" s="17" t="str">
        <f aca="false">IF((E230="q"),H230," ")</f>
        <v> </v>
      </c>
      <c r="X230" s="17" t="str">
        <f aca="false">IF((E230="m"),H230," ")</f>
        <v> </v>
      </c>
      <c r="Y230" s="17" t="str">
        <f aca="false">IF((E230="u"),H230," ")</f>
        <v> </v>
      </c>
      <c r="Z230" s="17" t="str">
        <f aca="false">IF((E230="a"),H230," ")</f>
        <v> </v>
      </c>
      <c r="AA230" s="17" t="str">
        <f aca="false">IF((E230="g"),H230," ")</f>
        <v> </v>
      </c>
      <c r="AB230" s="17" t="str">
        <f aca="false">IF((E230="h"),H230," ")</f>
        <v> </v>
      </c>
      <c r="AC230" s="30" t="str">
        <f aca="false">IF((E230="v"),H230," ")</f>
        <v> </v>
      </c>
      <c r="AD230" s="30" t="str">
        <f aca="false">IF((E230="n"),H230," ")</f>
        <v> </v>
      </c>
      <c r="AE230" s="17" t="str">
        <f aca="false">IF((E230="f"),H230," ")</f>
        <v> </v>
      </c>
      <c r="AF230" s="17" t="str">
        <f aca="false">IF((E230="l"),H230," ")</f>
        <v> </v>
      </c>
      <c r="AG230" s="17" t="str">
        <f aca="false">IF((E230="y"),H230," ")</f>
        <v> </v>
      </c>
      <c r="AH230" s="17" t="str">
        <f aca="false">IF((E230="z"),H230," ")</f>
        <v> </v>
      </c>
      <c r="AI230" s="17" t="str">
        <f aca="false">IF((E230="fa"),H230," ")</f>
        <v> </v>
      </c>
      <c r="AJ230" s="17" t="str">
        <f aca="false">IF((E230="e"),H230," ")</f>
        <v> </v>
      </c>
    </row>
    <row r="231" customFormat="false" ht="12" hidden="false" customHeight="false" outlineLevel="0" collapsed="false">
      <c r="A231" s="28"/>
      <c r="E231" s="2" t="str">
        <f aca="false">IF((F231&lt;&gt;0),"Enter Letter"," ")</f>
        <v> </v>
      </c>
      <c r="F231" s="30"/>
      <c r="G231" s="6" t="str">
        <f aca="false">IF(F231&lt;&gt;0,F231*G$2/(100+G$2)," ")</f>
        <v> </v>
      </c>
      <c r="H231" s="6" t="str">
        <f aca="false">IF((F231&lt;&gt;0),F231-G231," ")</f>
        <v> </v>
      </c>
      <c r="I231" s="5"/>
      <c r="L231" s="7" t="str">
        <f aca="false">IF(F231&lt;&gt;0,F231-K231," ")</f>
        <v> </v>
      </c>
      <c r="M231" s="8" t="str">
        <f aca="false">IF((F231-K231)&lt;&gt;0,M$1-A231," ")</f>
        <v> </v>
      </c>
      <c r="N231" s="5"/>
      <c r="O231" s="17" t="str">
        <f aca="false">IF((E231="s"),H231," ")</f>
        <v> </v>
      </c>
      <c r="P231" s="17" t="str">
        <f aca="false">IF((E231="c"),H231," ")</f>
        <v> </v>
      </c>
      <c r="Q231" s="17" t="str">
        <f aca="false">IF((E231="o"),H231," ")</f>
        <v> </v>
      </c>
      <c r="R231" s="17" t="str">
        <f aca="false">IF((E231="d"),H231," ")</f>
        <v> </v>
      </c>
      <c r="S231" s="17" t="str">
        <f aca="false">IF((E231="w"),H231," ")</f>
        <v> </v>
      </c>
      <c r="T231" s="17" t="str">
        <f aca="false">IF((E231="r"),H231," ")</f>
        <v> </v>
      </c>
      <c r="U231" s="17" t="str">
        <f aca="false">IF((E231="p"),H231," ")</f>
        <v> </v>
      </c>
      <c r="V231" s="17" t="str">
        <f aca="false">IF((E231="t"),H231," ")</f>
        <v> </v>
      </c>
      <c r="W231" s="17" t="str">
        <f aca="false">IF((E231="q"),H231," ")</f>
        <v> </v>
      </c>
      <c r="X231" s="17" t="str">
        <f aca="false">IF((E231="m"),H231," ")</f>
        <v> </v>
      </c>
      <c r="Y231" s="17" t="str">
        <f aca="false">IF((E231="u"),H231," ")</f>
        <v> </v>
      </c>
      <c r="Z231" s="17" t="str">
        <f aca="false">IF((E231="a"),H231," ")</f>
        <v> </v>
      </c>
      <c r="AA231" s="17" t="str">
        <f aca="false">IF((E231="g"),H231," ")</f>
        <v> </v>
      </c>
      <c r="AB231" s="17" t="str">
        <f aca="false">IF((E231="h"),H231," ")</f>
        <v> </v>
      </c>
      <c r="AC231" s="30" t="str">
        <f aca="false">IF((E231="v"),H231," ")</f>
        <v> </v>
      </c>
      <c r="AD231" s="30" t="str">
        <f aca="false">IF((E231="n"),H231," ")</f>
        <v> </v>
      </c>
      <c r="AE231" s="17" t="str">
        <f aca="false">IF((E231="f"),H231," ")</f>
        <v> </v>
      </c>
      <c r="AF231" s="17" t="str">
        <f aca="false">IF((E231="l"),H231," ")</f>
        <v> </v>
      </c>
      <c r="AG231" s="17" t="str">
        <f aca="false">IF((E231="y"),H231," ")</f>
        <v> </v>
      </c>
      <c r="AH231" s="17" t="str">
        <f aca="false">IF((E231="z"),H231," ")</f>
        <v> </v>
      </c>
      <c r="AI231" s="17" t="str">
        <f aca="false">IF((E231="fa"),H231," ")</f>
        <v> </v>
      </c>
      <c r="AJ231" s="17" t="str">
        <f aca="false">IF((E231="e"),H231," ")</f>
        <v> </v>
      </c>
    </row>
    <row r="232" customFormat="false" ht="12" hidden="false" customHeight="false" outlineLevel="0" collapsed="false">
      <c r="A232" s="28"/>
      <c r="E232" s="2" t="str">
        <f aca="false">IF((F232&lt;&gt;0),"Enter Letter"," ")</f>
        <v> </v>
      </c>
      <c r="F232" s="30"/>
      <c r="G232" s="6" t="str">
        <f aca="false">IF(F232&lt;&gt;0,F232*G$2/(100+G$2)," ")</f>
        <v> </v>
      </c>
      <c r="H232" s="6" t="str">
        <f aca="false">IF((F232&lt;&gt;0),F232-G232," ")</f>
        <v> </v>
      </c>
      <c r="I232" s="5"/>
      <c r="L232" s="7" t="str">
        <f aca="false">IF(F232&lt;&gt;0,F232-K232," ")</f>
        <v> </v>
      </c>
      <c r="M232" s="8" t="str">
        <f aca="false">IF((F232-K232)&lt;&gt;0,M$1-A232," ")</f>
        <v> </v>
      </c>
      <c r="N232" s="5"/>
      <c r="O232" s="17" t="str">
        <f aca="false">IF((E232="s"),H232," ")</f>
        <v> </v>
      </c>
      <c r="P232" s="17" t="str">
        <f aca="false">IF((E232="c"),H232," ")</f>
        <v> </v>
      </c>
      <c r="Q232" s="17" t="str">
        <f aca="false">IF((E232="o"),H232," ")</f>
        <v> </v>
      </c>
      <c r="R232" s="17" t="str">
        <f aca="false">IF((E232="d"),H232," ")</f>
        <v> </v>
      </c>
      <c r="S232" s="17" t="str">
        <f aca="false">IF((E232="w"),H232," ")</f>
        <v> </v>
      </c>
      <c r="T232" s="17" t="str">
        <f aca="false">IF((E232="r"),H232," ")</f>
        <v> </v>
      </c>
      <c r="U232" s="17" t="str">
        <f aca="false">IF((E232="p"),H232," ")</f>
        <v> </v>
      </c>
      <c r="V232" s="17" t="str">
        <f aca="false">IF((E232="t"),H232," ")</f>
        <v> </v>
      </c>
      <c r="W232" s="17" t="str">
        <f aca="false">IF((E232="q"),H232," ")</f>
        <v> </v>
      </c>
      <c r="X232" s="17" t="str">
        <f aca="false">IF((E232="m"),H232," ")</f>
        <v> </v>
      </c>
      <c r="Y232" s="17" t="str">
        <f aca="false">IF((E232="u"),H232," ")</f>
        <v> </v>
      </c>
      <c r="Z232" s="17" t="str">
        <f aca="false">IF((E232="a"),H232," ")</f>
        <v> </v>
      </c>
      <c r="AA232" s="17" t="str">
        <f aca="false">IF((E232="g"),H232," ")</f>
        <v> </v>
      </c>
      <c r="AB232" s="17" t="str">
        <f aca="false">IF((E232="h"),H232," ")</f>
        <v> </v>
      </c>
      <c r="AC232" s="30" t="str">
        <f aca="false">IF((E232="v"),H232," ")</f>
        <v> </v>
      </c>
      <c r="AD232" s="30" t="str">
        <f aca="false">IF((E232="n"),H232," ")</f>
        <v> </v>
      </c>
      <c r="AE232" s="17" t="str">
        <f aca="false">IF((E232="f"),H232," ")</f>
        <v> </v>
      </c>
      <c r="AF232" s="17" t="str">
        <f aca="false">IF((E232="l"),H232," ")</f>
        <v> </v>
      </c>
      <c r="AG232" s="17" t="str">
        <f aca="false">IF((E232="y"),H232," ")</f>
        <v> </v>
      </c>
      <c r="AH232" s="17" t="str">
        <f aca="false">IF((E232="z"),H232," ")</f>
        <v> </v>
      </c>
      <c r="AI232" s="17" t="str">
        <f aca="false">IF((E232="fa"),H232," ")</f>
        <v> </v>
      </c>
      <c r="AJ232" s="17" t="str">
        <f aca="false">IF((E232="e"),H232," ")</f>
        <v> </v>
      </c>
    </row>
    <row r="233" customFormat="false" ht="12" hidden="false" customHeight="false" outlineLevel="0" collapsed="false">
      <c r="A233" s="28"/>
      <c r="E233" s="2" t="str">
        <f aca="false">IF((F233&lt;&gt;0),"Enter Letter"," ")</f>
        <v> </v>
      </c>
      <c r="F233" s="30"/>
      <c r="G233" s="6" t="str">
        <f aca="false">IF(F233&lt;&gt;0,F233*G$2/(100+G$2)," ")</f>
        <v> </v>
      </c>
      <c r="H233" s="6" t="str">
        <f aca="false">IF((F233&lt;&gt;0),F233-G233," ")</f>
        <v> </v>
      </c>
      <c r="I233" s="5"/>
      <c r="L233" s="7" t="str">
        <f aca="false">IF(F233&lt;&gt;0,F233-K233," ")</f>
        <v> </v>
      </c>
      <c r="M233" s="8" t="str">
        <f aca="false">IF((F233-K233)&lt;&gt;0,M$1-A233," ")</f>
        <v> </v>
      </c>
      <c r="N233" s="5"/>
      <c r="O233" s="17" t="str">
        <f aca="false">IF((E233="s"),H233," ")</f>
        <v> </v>
      </c>
      <c r="P233" s="17" t="str">
        <f aca="false">IF((E233="c"),H233," ")</f>
        <v> </v>
      </c>
      <c r="Q233" s="17" t="str">
        <f aca="false">IF((E233="o"),H233," ")</f>
        <v> </v>
      </c>
      <c r="R233" s="17" t="str">
        <f aca="false">IF((E233="d"),H233," ")</f>
        <v> </v>
      </c>
      <c r="S233" s="17" t="str">
        <f aca="false">IF((E233="w"),H233," ")</f>
        <v> </v>
      </c>
      <c r="T233" s="17" t="str">
        <f aca="false">IF((E233="r"),H233," ")</f>
        <v> </v>
      </c>
      <c r="U233" s="17" t="str">
        <f aca="false">IF((E233="p"),H233," ")</f>
        <v> </v>
      </c>
      <c r="V233" s="17" t="str">
        <f aca="false">IF((E233="t"),H233," ")</f>
        <v> </v>
      </c>
      <c r="W233" s="17" t="str">
        <f aca="false">IF((E233="q"),H233," ")</f>
        <v> </v>
      </c>
      <c r="X233" s="17" t="str">
        <f aca="false">IF((E233="m"),H233," ")</f>
        <v> </v>
      </c>
      <c r="Y233" s="17" t="str">
        <f aca="false">IF((E233="u"),H233," ")</f>
        <v> </v>
      </c>
      <c r="Z233" s="17" t="str">
        <f aca="false">IF((E233="a"),H233," ")</f>
        <v> </v>
      </c>
      <c r="AA233" s="17" t="str">
        <f aca="false">IF((E233="g"),H233," ")</f>
        <v> </v>
      </c>
      <c r="AB233" s="17" t="str">
        <f aca="false">IF((E233="h"),H233," ")</f>
        <v> </v>
      </c>
      <c r="AC233" s="30" t="str">
        <f aca="false">IF((E233="v"),H233," ")</f>
        <v> </v>
      </c>
      <c r="AD233" s="30" t="str">
        <f aca="false">IF((E233="n"),H233," ")</f>
        <v> </v>
      </c>
      <c r="AE233" s="17" t="str">
        <f aca="false">IF((E233="f"),H233," ")</f>
        <v> </v>
      </c>
      <c r="AF233" s="17" t="str">
        <f aca="false">IF((E233="l"),H233," ")</f>
        <v> </v>
      </c>
      <c r="AG233" s="17" t="str">
        <f aca="false">IF((E233="y"),H233," ")</f>
        <v> </v>
      </c>
      <c r="AH233" s="17" t="str">
        <f aca="false">IF((E233="z"),H233," ")</f>
        <v> </v>
      </c>
      <c r="AI233" s="17" t="str">
        <f aca="false">IF((E233="fa"),H233," ")</f>
        <v> </v>
      </c>
      <c r="AJ233" s="17" t="str">
        <f aca="false">IF((E233="e"),H233," ")</f>
        <v> </v>
      </c>
    </row>
    <row r="234" customFormat="false" ht="12" hidden="false" customHeight="false" outlineLevel="0" collapsed="false">
      <c r="A234" s="28"/>
      <c r="E234" s="2" t="str">
        <f aca="false">IF((F234&lt;&gt;0),"Enter Letter"," ")</f>
        <v> </v>
      </c>
      <c r="F234" s="30"/>
      <c r="G234" s="6" t="str">
        <f aca="false">IF(F234&lt;&gt;0,F234*G$2/(100+G$2)," ")</f>
        <v> </v>
      </c>
      <c r="H234" s="6" t="str">
        <f aca="false">IF((F234&lt;&gt;0),F234-G234," ")</f>
        <v> </v>
      </c>
      <c r="I234" s="5"/>
      <c r="L234" s="7" t="str">
        <f aca="false">IF(F234&lt;&gt;0,F234-K234," ")</f>
        <v> </v>
      </c>
      <c r="M234" s="8" t="str">
        <f aca="false">IF((F234-K234)&lt;&gt;0,M$1-A234," ")</f>
        <v> </v>
      </c>
      <c r="N234" s="5"/>
      <c r="O234" s="17" t="str">
        <f aca="false">IF((E234="s"),H234," ")</f>
        <v> </v>
      </c>
      <c r="P234" s="17" t="str">
        <f aca="false">IF((E234="c"),H234," ")</f>
        <v> </v>
      </c>
      <c r="Q234" s="17" t="str">
        <f aca="false">IF((E234="o"),H234," ")</f>
        <v> </v>
      </c>
      <c r="R234" s="17" t="str">
        <f aca="false">IF((E234="d"),H234," ")</f>
        <v> </v>
      </c>
      <c r="S234" s="17" t="str">
        <f aca="false">IF((E234="w"),H234," ")</f>
        <v> </v>
      </c>
      <c r="T234" s="17" t="str">
        <f aca="false">IF((E234="r"),H234," ")</f>
        <v> </v>
      </c>
      <c r="U234" s="17" t="str">
        <f aca="false">IF((E234="p"),H234," ")</f>
        <v> </v>
      </c>
      <c r="V234" s="17" t="str">
        <f aca="false">IF((E234="t"),H234," ")</f>
        <v> </v>
      </c>
      <c r="W234" s="17" t="str">
        <f aca="false">IF((E234="q"),H234," ")</f>
        <v> </v>
      </c>
      <c r="X234" s="17" t="str">
        <f aca="false">IF((E234="m"),H234," ")</f>
        <v> </v>
      </c>
      <c r="Y234" s="17" t="str">
        <f aca="false">IF((E234="u"),H234," ")</f>
        <v> </v>
      </c>
      <c r="Z234" s="17" t="str">
        <f aca="false">IF((E234="a"),H234," ")</f>
        <v> </v>
      </c>
      <c r="AA234" s="17" t="str">
        <f aca="false">IF((E234="g"),H234," ")</f>
        <v> </v>
      </c>
      <c r="AB234" s="17" t="str">
        <f aca="false">IF((E234="h"),H234," ")</f>
        <v> </v>
      </c>
      <c r="AC234" s="30" t="str">
        <f aca="false">IF((E234="v"),H234," ")</f>
        <v> </v>
      </c>
      <c r="AD234" s="30" t="str">
        <f aca="false">IF((E234="n"),H234," ")</f>
        <v> </v>
      </c>
      <c r="AE234" s="17" t="str">
        <f aca="false">IF((E234="f"),H234," ")</f>
        <v> </v>
      </c>
      <c r="AF234" s="17" t="str">
        <f aca="false">IF((E234="l"),H234," ")</f>
        <v> </v>
      </c>
      <c r="AG234" s="17" t="str">
        <f aca="false">IF((E234="y"),H234," ")</f>
        <v> </v>
      </c>
      <c r="AH234" s="17" t="str">
        <f aca="false">IF((E234="z"),H234," ")</f>
        <v> </v>
      </c>
      <c r="AI234" s="17" t="str">
        <f aca="false">IF((E234="fa"),H234," ")</f>
        <v> </v>
      </c>
      <c r="AJ234" s="17" t="str">
        <f aca="false">IF((E234="e"),H234," ")</f>
        <v> </v>
      </c>
    </row>
    <row r="235" customFormat="false" ht="12" hidden="false" customHeight="false" outlineLevel="0" collapsed="false">
      <c r="A235" s="28"/>
      <c r="E235" s="2" t="str">
        <f aca="false">IF((F235&lt;&gt;0),"Enter Letter"," ")</f>
        <v> </v>
      </c>
      <c r="F235" s="30"/>
      <c r="G235" s="6" t="str">
        <f aca="false">IF(F235&lt;&gt;0,F235*G$2/(100+G$2)," ")</f>
        <v> </v>
      </c>
      <c r="H235" s="6" t="str">
        <f aca="false">IF((F235&lt;&gt;0),F235-G235," ")</f>
        <v> </v>
      </c>
      <c r="I235" s="5"/>
      <c r="L235" s="7" t="str">
        <f aca="false">IF(F235&lt;&gt;0,F235-K235," ")</f>
        <v> </v>
      </c>
      <c r="M235" s="8" t="str">
        <f aca="false">IF((F235-K235)&lt;&gt;0,M$1-A235," ")</f>
        <v> </v>
      </c>
      <c r="N235" s="5"/>
      <c r="O235" s="17" t="str">
        <f aca="false">IF((E235="s"),H235," ")</f>
        <v> </v>
      </c>
      <c r="P235" s="17" t="str">
        <f aca="false">IF((E235="c"),H235," ")</f>
        <v> </v>
      </c>
      <c r="Q235" s="17" t="str">
        <f aca="false">IF((E235="o"),H235," ")</f>
        <v> </v>
      </c>
      <c r="R235" s="17" t="str">
        <f aca="false">IF((E235="d"),H235," ")</f>
        <v> </v>
      </c>
      <c r="S235" s="17" t="str">
        <f aca="false">IF((E235="w"),H235," ")</f>
        <v> </v>
      </c>
      <c r="T235" s="17" t="str">
        <f aca="false">IF((E235="r"),H235," ")</f>
        <v> </v>
      </c>
      <c r="U235" s="17" t="str">
        <f aca="false">IF((E235="p"),H235," ")</f>
        <v> </v>
      </c>
      <c r="V235" s="17" t="str">
        <f aca="false">IF((E235="t"),H235," ")</f>
        <v> </v>
      </c>
      <c r="W235" s="17" t="str">
        <f aca="false">IF((E235="q"),H235," ")</f>
        <v> </v>
      </c>
      <c r="X235" s="17" t="str">
        <f aca="false">IF((E235="m"),H235," ")</f>
        <v> </v>
      </c>
      <c r="Y235" s="17" t="str">
        <f aca="false">IF((E235="u"),H235," ")</f>
        <v> </v>
      </c>
      <c r="Z235" s="17" t="str">
        <f aca="false">IF((E235="a"),H235," ")</f>
        <v> </v>
      </c>
      <c r="AA235" s="17" t="str">
        <f aca="false">IF((E235="g"),H235," ")</f>
        <v> </v>
      </c>
      <c r="AB235" s="17" t="str">
        <f aca="false">IF((E235="h"),H235," ")</f>
        <v> </v>
      </c>
      <c r="AC235" s="30" t="str">
        <f aca="false">IF((E235="v"),H235," ")</f>
        <v> </v>
      </c>
      <c r="AD235" s="30" t="str">
        <f aca="false">IF((E235="n"),H235," ")</f>
        <v> </v>
      </c>
      <c r="AE235" s="17" t="str">
        <f aca="false">IF((E235="f"),H235," ")</f>
        <v> </v>
      </c>
      <c r="AF235" s="17" t="str">
        <f aca="false">IF((E235="l"),H235," ")</f>
        <v> </v>
      </c>
      <c r="AG235" s="17" t="str">
        <f aca="false">IF((E235="y"),H235," ")</f>
        <v> </v>
      </c>
      <c r="AH235" s="17" t="str">
        <f aca="false">IF((E235="z"),H235," ")</f>
        <v> </v>
      </c>
      <c r="AI235" s="17" t="str">
        <f aca="false">IF((E235="fa"),H235," ")</f>
        <v> </v>
      </c>
      <c r="AJ235" s="17" t="str">
        <f aca="false">IF((E235="e"),H235," ")</f>
        <v> </v>
      </c>
    </row>
    <row r="236" customFormat="false" ht="12" hidden="false" customHeight="false" outlineLevel="0" collapsed="false">
      <c r="A236" s="28"/>
      <c r="E236" s="2" t="str">
        <f aca="false">IF((F236&lt;&gt;0),"Enter Letter"," ")</f>
        <v> </v>
      </c>
      <c r="F236" s="30"/>
      <c r="G236" s="6" t="str">
        <f aca="false">IF(F236&lt;&gt;0,F236*G$2/(100+G$2)," ")</f>
        <v> </v>
      </c>
      <c r="H236" s="6" t="str">
        <f aca="false">IF((F236&lt;&gt;0),F236-G236," ")</f>
        <v> </v>
      </c>
      <c r="I236" s="5"/>
      <c r="L236" s="7" t="str">
        <f aca="false">IF(F236&lt;&gt;0,F236-K236," ")</f>
        <v> </v>
      </c>
      <c r="M236" s="8" t="str">
        <f aca="false">IF((F236-K236)&lt;&gt;0,M$1-A236," ")</f>
        <v> </v>
      </c>
      <c r="N236" s="5"/>
      <c r="O236" s="17" t="str">
        <f aca="false">IF((E236="s"),H236," ")</f>
        <v> </v>
      </c>
      <c r="P236" s="17" t="str">
        <f aca="false">IF((E236="c"),H236," ")</f>
        <v> </v>
      </c>
      <c r="Q236" s="17" t="str">
        <f aca="false">IF((E236="o"),H236," ")</f>
        <v> </v>
      </c>
      <c r="R236" s="17" t="str">
        <f aca="false">IF((E236="d"),H236," ")</f>
        <v> </v>
      </c>
      <c r="S236" s="17" t="str">
        <f aca="false">IF((E236="w"),H236," ")</f>
        <v> </v>
      </c>
      <c r="T236" s="17" t="str">
        <f aca="false">IF((E236="r"),H236," ")</f>
        <v> </v>
      </c>
      <c r="U236" s="17" t="str">
        <f aca="false">IF((E236="p"),H236," ")</f>
        <v> </v>
      </c>
      <c r="V236" s="17" t="str">
        <f aca="false">IF((E236="t"),H236," ")</f>
        <v> </v>
      </c>
      <c r="W236" s="17" t="str">
        <f aca="false">IF((E236="q"),H236," ")</f>
        <v> </v>
      </c>
      <c r="X236" s="17" t="str">
        <f aca="false">IF((E236="m"),H236," ")</f>
        <v> </v>
      </c>
      <c r="Y236" s="17" t="str">
        <f aca="false">IF((E236="u"),H236," ")</f>
        <v> </v>
      </c>
      <c r="Z236" s="17" t="str">
        <f aca="false">IF((E236="a"),H236," ")</f>
        <v> </v>
      </c>
      <c r="AA236" s="17" t="str">
        <f aca="false">IF((E236="g"),H236," ")</f>
        <v> </v>
      </c>
      <c r="AB236" s="17" t="str">
        <f aca="false">IF((E236="h"),H236," ")</f>
        <v> </v>
      </c>
      <c r="AC236" s="30" t="str">
        <f aca="false">IF((E236="v"),H236," ")</f>
        <v> </v>
      </c>
      <c r="AD236" s="30" t="str">
        <f aca="false">IF((E236="n"),H236," ")</f>
        <v> </v>
      </c>
      <c r="AE236" s="17" t="str">
        <f aca="false">IF((E236="f"),H236," ")</f>
        <v> </v>
      </c>
      <c r="AF236" s="17" t="str">
        <f aca="false">IF((E236="l"),H236," ")</f>
        <v> </v>
      </c>
      <c r="AG236" s="17" t="str">
        <f aca="false">IF((E236="y"),H236," ")</f>
        <v> </v>
      </c>
      <c r="AH236" s="17" t="str">
        <f aca="false">IF((E236="z"),H236," ")</f>
        <v> </v>
      </c>
      <c r="AI236" s="17" t="str">
        <f aca="false">IF((E236="fa"),H236," ")</f>
        <v> </v>
      </c>
      <c r="AJ236" s="17" t="str">
        <f aca="false">IF((E236="e"),H236," ")</f>
        <v> </v>
      </c>
    </row>
    <row r="237" customFormat="false" ht="12" hidden="false" customHeight="false" outlineLevel="0" collapsed="false">
      <c r="A237" s="28"/>
      <c r="E237" s="2" t="str">
        <f aca="false">IF((F237&lt;&gt;0),"Enter Letter"," ")</f>
        <v> </v>
      </c>
      <c r="F237" s="30"/>
      <c r="G237" s="6" t="str">
        <f aca="false">IF(F237&lt;&gt;0,F237*G$2/(100+G$2)," ")</f>
        <v> </v>
      </c>
      <c r="H237" s="6" t="str">
        <f aca="false">IF((F237&lt;&gt;0),F237-G237," ")</f>
        <v> </v>
      </c>
      <c r="I237" s="5"/>
      <c r="L237" s="7" t="str">
        <f aca="false">IF(F237&lt;&gt;0,F237-K237," ")</f>
        <v> </v>
      </c>
      <c r="M237" s="8" t="str">
        <f aca="false">IF((F237-K237)&lt;&gt;0,M$1-A237," ")</f>
        <v> </v>
      </c>
      <c r="N237" s="5"/>
      <c r="O237" s="17" t="str">
        <f aca="false">IF((E237="s"),H237," ")</f>
        <v> </v>
      </c>
      <c r="P237" s="17" t="str">
        <f aca="false">IF((E237="c"),H237," ")</f>
        <v> </v>
      </c>
      <c r="Q237" s="17" t="str">
        <f aca="false">IF((E237="o"),H237," ")</f>
        <v> </v>
      </c>
      <c r="R237" s="17" t="str">
        <f aca="false">IF((E237="d"),H237," ")</f>
        <v> </v>
      </c>
      <c r="S237" s="17" t="str">
        <f aca="false">IF((E237="w"),H237," ")</f>
        <v> </v>
      </c>
      <c r="T237" s="17" t="str">
        <f aca="false">IF((E237="r"),H237," ")</f>
        <v> </v>
      </c>
      <c r="U237" s="17" t="str">
        <f aca="false">IF((E237="p"),H237," ")</f>
        <v> </v>
      </c>
      <c r="V237" s="17" t="str">
        <f aca="false">IF((E237="t"),H237," ")</f>
        <v> </v>
      </c>
      <c r="W237" s="17" t="str">
        <f aca="false">IF((E237="q"),H237," ")</f>
        <v> </v>
      </c>
      <c r="X237" s="17" t="str">
        <f aca="false">IF((E237="m"),H237," ")</f>
        <v> </v>
      </c>
      <c r="Y237" s="17" t="str">
        <f aca="false">IF((E237="u"),H237," ")</f>
        <v> </v>
      </c>
      <c r="Z237" s="17" t="str">
        <f aca="false">IF((E237="a"),H237," ")</f>
        <v> </v>
      </c>
      <c r="AA237" s="17" t="str">
        <f aca="false">IF((E237="g"),H237," ")</f>
        <v> </v>
      </c>
      <c r="AB237" s="17" t="str">
        <f aca="false">IF((E237="h"),H237," ")</f>
        <v> </v>
      </c>
      <c r="AC237" s="30" t="str">
        <f aca="false">IF((E237="v"),H237," ")</f>
        <v> </v>
      </c>
      <c r="AD237" s="30" t="str">
        <f aca="false">IF((E237="n"),H237," ")</f>
        <v> </v>
      </c>
      <c r="AE237" s="17" t="str">
        <f aca="false">IF((E237="f"),H237," ")</f>
        <v> </v>
      </c>
      <c r="AF237" s="17" t="str">
        <f aca="false">IF((E237="l"),H237," ")</f>
        <v> </v>
      </c>
      <c r="AG237" s="17" t="str">
        <f aca="false">IF((E237="y"),H237," ")</f>
        <v> </v>
      </c>
      <c r="AH237" s="17" t="str">
        <f aca="false">IF((E237="z"),H237," ")</f>
        <v> </v>
      </c>
      <c r="AI237" s="17" t="str">
        <f aca="false">IF((E237="fa"),H237," ")</f>
        <v> </v>
      </c>
      <c r="AJ237" s="17" t="str">
        <f aca="false">IF((E237="e"),H237," ")</f>
        <v> </v>
      </c>
    </row>
    <row r="238" customFormat="false" ht="12" hidden="false" customHeight="false" outlineLevel="0" collapsed="false">
      <c r="A238" s="28"/>
      <c r="E238" s="2" t="str">
        <f aca="false">IF((F238&lt;&gt;0),"Enter Letter"," ")</f>
        <v> </v>
      </c>
      <c r="F238" s="30"/>
      <c r="G238" s="6" t="str">
        <f aca="false">IF(F238&lt;&gt;0,F238*G$2/(100+G$2)," ")</f>
        <v> </v>
      </c>
      <c r="H238" s="6" t="str">
        <f aca="false">IF((F238&lt;&gt;0),F238-G238," ")</f>
        <v> </v>
      </c>
      <c r="I238" s="5"/>
      <c r="L238" s="7" t="str">
        <f aca="false">IF(F238&lt;&gt;0,F238-K238," ")</f>
        <v> </v>
      </c>
      <c r="M238" s="8" t="str">
        <f aca="false">IF((F238-K238)&lt;&gt;0,M$1-A238," ")</f>
        <v> </v>
      </c>
      <c r="N238" s="5"/>
      <c r="O238" s="17" t="str">
        <f aca="false">IF((E238="s"),H238," ")</f>
        <v> </v>
      </c>
      <c r="P238" s="17" t="str">
        <f aca="false">IF((E238="c"),H238," ")</f>
        <v> </v>
      </c>
      <c r="Q238" s="17" t="str">
        <f aca="false">IF((E238="o"),H238," ")</f>
        <v> </v>
      </c>
      <c r="R238" s="17" t="str">
        <f aca="false">IF((E238="d"),H238," ")</f>
        <v> </v>
      </c>
      <c r="S238" s="17" t="str">
        <f aca="false">IF((E238="w"),H238," ")</f>
        <v> </v>
      </c>
      <c r="T238" s="17" t="str">
        <f aca="false">IF((E238="r"),H238," ")</f>
        <v> </v>
      </c>
      <c r="U238" s="17" t="str">
        <f aca="false">IF((E238="p"),H238," ")</f>
        <v> </v>
      </c>
      <c r="V238" s="17" t="str">
        <f aca="false">IF((E238="t"),H238," ")</f>
        <v> </v>
      </c>
      <c r="W238" s="17" t="str">
        <f aca="false">IF((E238="q"),H238," ")</f>
        <v> </v>
      </c>
      <c r="X238" s="17" t="str">
        <f aca="false">IF((E238="m"),H238," ")</f>
        <v> </v>
      </c>
      <c r="Y238" s="17" t="str">
        <f aca="false">IF((E238="u"),H238," ")</f>
        <v> </v>
      </c>
      <c r="Z238" s="17" t="str">
        <f aca="false">IF((E238="a"),H238," ")</f>
        <v> </v>
      </c>
      <c r="AA238" s="17" t="str">
        <f aca="false">IF((E238="g"),H238," ")</f>
        <v> </v>
      </c>
      <c r="AB238" s="17" t="str">
        <f aca="false">IF((E238="h"),H238," ")</f>
        <v> </v>
      </c>
      <c r="AC238" s="30" t="str">
        <f aca="false">IF((E238="v"),H238," ")</f>
        <v> </v>
      </c>
      <c r="AD238" s="30" t="str">
        <f aca="false">IF((E238="n"),H238," ")</f>
        <v> </v>
      </c>
      <c r="AE238" s="17" t="str">
        <f aca="false">IF((E238="f"),H238," ")</f>
        <v> </v>
      </c>
      <c r="AF238" s="17" t="str">
        <f aca="false">IF((E238="l"),H238," ")</f>
        <v> </v>
      </c>
      <c r="AG238" s="17" t="str">
        <f aca="false">IF((E238="y"),H238," ")</f>
        <v> </v>
      </c>
      <c r="AH238" s="17" t="str">
        <f aca="false">IF((E238="z"),H238," ")</f>
        <v> </v>
      </c>
      <c r="AI238" s="17" t="str">
        <f aca="false">IF((E238="fa"),H238," ")</f>
        <v> </v>
      </c>
      <c r="AJ238" s="17" t="str">
        <f aca="false">IF((E238="e"),H238," ")</f>
        <v> </v>
      </c>
    </row>
    <row r="239" customFormat="false" ht="12" hidden="false" customHeight="false" outlineLevel="0" collapsed="false">
      <c r="A239" s="28"/>
      <c r="E239" s="2" t="str">
        <f aca="false">IF((F239&lt;&gt;0),"Enter Letter"," ")</f>
        <v> </v>
      </c>
      <c r="F239" s="30"/>
      <c r="G239" s="6" t="str">
        <f aca="false">IF(F239&lt;&gt;0,F239*G$2/(100+G$2)," ")</f>
        <v> </v>
      </c>
      <c r="H239" s="6" t="str">
        <f aca="false">IF((F239&lt;&gt;0),F239-G239," ")</f>
        <v> </v>
      </c>
      <c r="I239" s="5"/>
      <c r="L239" s="7" t="str">
        <f aca="false">IF(F239&lt;&gt;0,F239-K239," ")</f>
        <v> </v>
      </c>
      <c r="M239" s="8" t="str">
        <f aca="false">IF((F239-K239)&lt;&gt;0,M$1-A239," ")</f>
        <v> </v>
      </c>
      <c r="N239" s="5"/>
      <c r="O239" s="17" t="str">
        <f aca="false">IF((E239="s"),H239," ")</f>
        <v> </v>
      </c>
      <c r="P239" s="17" t="str">
        <f aca="false">IF((E239="c"),H239," ")</f>
        <v> </v>
      </c>
      <c r="Q239" s="17" t="str">
        <f aca="false">IF((E239="o"),H239," ")</f>
        <v> </v>
      </c>
      <c r="R239" s="17" t="str">
        <f aca="false">IF((E239="d"),H239," ")</f>
        <v> </v>
      </c>
      <c r="S239" s="17" t="str">
        <f aca="false">IF((E239="w"),H239," ")</f>
        <v> </v>
      </c>
      <c r="T239" s="17" t="str">
        <f aca="false">IF((E239="r"),H239," ")</f>
        <v> </v>
      </c>
      <c r="U239" s="17" t="str">
        <f aca="false">IF((E239="p"),H239," ")</f>
        <v> </v>
      </c>
      <c r="V239" s="17" t="str">
        <f aca="false">IF((E239="t"),H239," ")</f>
        <v> </v>
      </c>
      <c r="W239" s="17" t="str">
        <f aca="false">IF((E239="q"),H239," ")</f>
        <v> </v>
      </c>
      <c r="X239" s="17" t="str">
        <f aca="false">IF((E239="m"),H239," ")</f>
        <v> </v>
      </c>
      <c r="Y239" s="17" t="str">
        <f aca="false">IF((E239="u"),H239," ")</f>
        <v> </v>
      </c>
      <c r="Z239" s="17" t="str">
        <f aca="false">IF((E239="a"),H239," ")</f>
        <v> </v>
      </c>
      <c r="AA239" s="17" t="str">
        <f aca="false">IF((E239="g"),H239," ")</f>
        <v> </v>
      </c>
      <c r="AB239" s="17" t="str">
        <f aca="false">IF((E239="h"),H239," ")</f>
        <v> </v>
      </c>
      <c r="AC239" s="30" t="str">
        <f aca="false">IF((E239="v"),H239," ")</f>
        <v> </v>
      </c>
      <c r="AD239" s="30" t="str">
        <f aca="false">IF((E239="n"),H239," ")</f>
        <v> </v>
      </c>
      <c r="AE239" s="17" t="str">
        <f aca="false">IF((E239="f"),H239," ")</f>
        <v> </v>
      </c>
      <c r="AF239" s="17" t="str">
        <f aca="false">IF((E239="l"),H239," ")</f>
        <v> </v>
      </c>
      <c r="AG239" s="17" t="str">
        <f aca="false">IF((E239="y"),H239," ")</f>
        <v> </v>
      </c>
      <c r="AH239" s="17" t="str">
        <f aca="false">IF((E239="z"),H239," ")</f>
        <v> </v>
      </c>
      <c r="AI239" s="17" t="str">
        <f aca="false">IF((E239="fa"),H239," ")</f>
        <v> </v>
      </c>
      <c r="AJ239" s="17" t="str">
        <f aca="false">IF((E239="e"),H239," ")</f>
        <v> </v>
      </c>
    </row>
    <row r="240" customFormat="false" ht="12" hidden="false" customHeight="false" outlineLevel="0" collapsed="false">
      <c r="A240" s="28"/>
      <c r="E240" s="2" t="str">
        <f aca="false">IF((F240&lt;&gt;0),"Enter Letter"," ")</f>
        <v> </v>
      </c>
      <c r="F240" s="30"/>
      <c r="G240" s="6" t="str">
        <f aca="false">IF(F240&lt;&gt;0,F240*G$2/(100+G$2)," ")</f>
        <v> </v>
      </c>
      <c r="H240" s="6" t="str">
        <f aca="false">IF((F240&lt;&gt;0),F240-G240," ")</f>
        <v> </v>
      </c>
      <c r="I240" s="5"/>
      <c r="L240" s="7" t="str">
        <f aca="false">IF(F240&lt;&gt;0,F240-K240," ")</f>
        <v> </v>
      </c>
      <c r="M240" s="8" t="str">
        <f aca="false">IF((F240-K240)&lt;&gt;0,M$1-A240," ")</f>
        <v> </v>
      </c>
      <c r="N240" s="5"/>
      <c r="O240" s="17" t="str">
        <f aca="false">IF((E240="s"),H240," ")</f>
        <v> </v>
      </c>
      <c r="P240" s="17" t="str">
        <f aca="false">IF((E240="c"),H240," ")</f>
        <v> </v>
      </c>
      <c r="Q240" s="17" t="str">
        <f aca="false">IF((E240="o"),H240," ")</f>
        <v> </v>
      </c>
      <c r="R240" s="17" t="str">
        <f aca="false">IF((E240="d"),H240," ")</f>
        <v> </v>
      </c>
      <c r="S240" s="17" t="str">
        <f aca="false">IF((E240="w"),H240," ")</f>
        <v> </v>
      </c>
      <c r="T240" s="17" t="str">
        <f aca="false">IF((E240="r"),H240," ")</f>
        <v> </v>
      </c>
      <c r="U240" s="17" t="str">
        <f aca="false">IF((E240="p"),H240," ")</f>
        <v> </v>
      </c>
      <c r="V240" s="17" t="str">
        <f aca="false">IF((E240="t"),H240," ")</f>
        <v> </v>
      </c>
      <c r="W240" s="17" t="str">
        <f aca="false">IF((E240="q"),H240," ")</f>
        <v> </v>
      </c>
      <c r="X240" s="17" t="str">
        <f aca="false">IF((E240="m"),H240," ")</f>
        <v> </v>
      </c>
      <c r="Y240" s="17" t="str">
        <f aca="false">IF((E240="u"),H240," ")</f>
        <v> </v>
      </c>
      <c r="Z240" s="17" t="str">
        <f aca="false">IF((E240="a"),H240," ")</f>
        <v> </v>
      </c>
      <c r="AA240" s="17" t="str">
        <f aca="false">IF((E240="g"),H240," ")</f>
        <v> </v>
      </c>
      <c r="AB240" s="17" t="str">
        <f aca="false">IF((E240="h"),H240," ")</f>
        <v> </v>
      </c>
      <c r="AC240" s="30" t="str">
        <f aca="false">IF((E240="v"),H240," ")</f>
        <v> </v>
      </c>
      <c r="AD240" s="30" t="str">
        <f aca="false">IF((E240="n"),H240," ")</f>
        <v> </v>
      </c>
      <c r="AE240" s="17" t="str">
        <f aca="false">IF((E240="f"),H240," ")</f>
        <v> </v>
      </c>
      <c r="AF240" s="17" t="str">
        <f aca="false">IF((E240="l"),H240," ")</f>
        <v> </v>
      </c>
      <c r="AG240" s="17" t="str">
        <f aca="false">IF((E240="y"),H240," ")</f>
        <v> </v>
      </c>
      <c r="AH240" s="17" t="str">
        <f aca="false">IF((E240="z"),H240," ")</f>
        <v> </v>
      </c>
      <c r="AI240" s="17" t="str">
        <f aca="false">IF((E240="fa"),H240," ")</f>
        <v> </v>
      </c>
      <c r="AJ240" s="17" t="str">
        <f aca="false">IF((E240="e"),H240," ")</f>
        <v> </v>
      </c>
    </row>
    <row r="241" customFormat="false" ht="12" hidden="false" customHeight="false" outlineLevel="0" collapsed="false">
      <c r="A241" s="28"/>
      <c r="E241" s="2" t="str">
        <f aca="false">IF((F241&lt;&gt;0),"Enter Letter"," ")</f>
        <v> </v>
      </c>
      <c r="F241" s="30"/>
      <c r="G241" s="6" t="str">
        <f aca="false">IF(F241&lt;&gt;0,F241*G$2/(100+G$2)," ")</f>
        <v> </v>
      </c>
      <c r="H241" s="6" t="str">
        <f aca="false">IF((F241&lt;&gt;0),F241-G241," ")</f>
        <v> </v>
      </c>
      <c r="I241" s="5"/>
      <c r="L241" s="7" t="str">
        <f aca="false">IF(F241&lt;&gt;0,F241-K241," ")</f>
        <v> </v>
      </c>
      <c r="M241" s="8" t="str">
        <f aca="false">IF((F241-K241)&lt;&gt;0,M$1-A241," ")</f>
        <v> </v>
      </c>
      <c r="N241" s="5"/>
      <c r="O241" s="17" t="str">
        <f aca="false">IF((E241="s"),H241," ")</f>
        <v> </v>
      </c>
      <c r="P241" s="17" t="str">
        <f aca="false">IF((E241="c"),H241," ")</f>
        <v> </v>
      </c>
      <c r="Q241" s="17" t="str">
        <f aca="false">IF((E241="o"),H241," ")</f>
        <v> </v>
      </c>
      <c r="R241" s="17" t="str">
        <f aca="false">IF((E241="d"),H241," ")</f>
        <v> </v>
      </c>
      <c r="S241" s="17" t="str">
        <f aca="false">IF((E241="w"),H241," ")</f>
        <v> </v>
      </c>
      <c r="T241" s="17" t="str">
        <f aca="false">IF((E241="r"),H241," ")</f>
        <v> </v>
      </c>
      <c r="U241" s="17" t="str">
        <f aca="false">IF((E241="p"),H241," ")</f>
        <v> </v>
      </c>
      <c r="V241" s="17" t="str">
        <f aca="false">IF((E241="t"),H241," ")</f>
        <v> </v>
      </c>
      <c r="W241" s="17" t="str">
        <f aca="false">IF((E241="q"),H241," ")</f>
        <v> </v>
      </c>
      <c r="X241" s="17" t="str">
        <f aca="false">IF((E241="m"),H241," ")</f>
        <v> </v>
      </c>
      <c r="Y241" s="17" t="str">
        <f aca="false">IF((E241="u"),H241," ")</f>
        <v> </v>
      </c>
      <c r="Z241" s="17" t="str">
        <f aca="false">IF((E241="a"),H241," ")</f>
        <v> </v>
      </c>
      <c r="AA241" s="17" t="str">
        <f aca="false">IF((E241="g"),H241," ")</f>
        <v> </v>
      </c>
      <c r="AB241" s="17" t="str">
        <f aca="false">IF((E241="h"),H241," ")</f>
        <v> </v>
      </c>
      <c r="AC241" s="30" t="str">
        <f aca="false">IF((E241="v"),H241," ")</f>
        <v> </v>
      </c>
      <c r="AD241" s="30" t="str">
        <f aca="false">IF((E241="n"),H241," ")</f>
        <v> </v>
      </c>
      <c r="AE241" s="17" t="str">
        <f aca="false">IF((E241="f"),H241," ")</f>
        <v> </v>
      </c>
      <c r="AF241" s="17" t="str">
        <f aca="false">IF((E241="l"),H241," ")</f>
        <v> </v>
      </c>
      <c r="AG241" s="17" t="str">
        <f aca="false">IF((E241="y"),H241," ")</f>
        <v> </v>
      </c>
      <c r="AH241" s="17" t="str">
        <f aca="false">IF((E241="z"),H241," ")</f>
        <v> </v>
      </c>
      <c r="AI241" s="17" t="str">
        <f aca="false">IF((E241="fa"),H241," ")</f>
        <v> </v>
      </c>
      <c r="AJ241" s="17" t="str">
        <f aca="false">IF((E241="e"),H241," ")</f>
        <v> </v>
      </c>
    </row>
    <row r="242" customFormat="false" ht="12" hidden="false" customHeight="false" outlineLevel="0" collapsed="false">
      <c r="A242" s="28"/>
      <c r="E242" s="2" t="str">
        <f aca="false">IF((F242&lt;&gt;0),"Enter Letter"," ")</f>
        <v> </v>
      </c>
      <c r="F242" s="30"/>
      <c r="G242" s="6" t="str">
        <f aca="false">IF(F242&lt;&gt;0,F242*G$2/(100+G$2)," ")</f>
        <v> </v>
      </c>
      <c r="H242" s="6" t="str">
        <f aca="false">IF((F242&lt;&gt;0),F242-G242," ")</f>
        <v> </v>
      </c>
      <c r="I242" s="5"/>
      <c r="L242" s="7" t="str">
        <f aca="false">IF(F242&lt;&gt;0,F242-K242," ")</f>
        <v> </v>
      </c>
      <c r="M242" s="8" t="str">
        <f aca="false">IF((F242-K242)&lt;&gt;0,M$1-A242," ")</f>
        <v> </v>
      </c>
      <c r="N242" s="5"/>
      <c r="O242" s="17" t="str">
        <f aca="false">IF((E242="s"),H242," ")</f>
        <v> </v>
      </c>
      <c r="P242" s="17" t="str">
        <f aca="false">IF((E242="c"),H242," ")</f>
        <v> </v>
      </c>
      <c r="Q242" s="17" t="str">
        <f aca="false">IF((E242="o"),H242," ")</f>
        <v> </v>
      </c>
      <c r="R242" s="17" t="str">
        <f aca="false">IF((E242="d"),H242," ")</f>
        <v> </v>
      </c>
      <c r="S242" s="17" t="str">
        <f aca="false">IF((E242="w"),H242," ")</f>
        <v> </v>
      </c>
      <c r="T242" s="17" t="str">
        <f aca="false">IF((E242="r"),H242," ")</f>
        <v> </v>
      </c>
      <c r="U242" s="17" t="str">
        <f aca="false">IF((E242="p"),H242," ")</f>
        <v> </v>
      </c>
      <c r="V242" s="17" t="str">
        <f aca="false">IF((E242="t"),H242," ")</f>
        <v> </v>
      </c>
      <c r="W242" s="17" t="str">
        <f aca="false">IF((E242="q"),H242," ")</f>
        <v> </v>
      </c>
      <c r="X242" s="17" t="str">
        <f aca="false">IF((E242="m"),H242," ")</f>
        <v> </v>
      </c>
      <c r="Y242" s="17" t="str">
        <f aca="false">IF((E242="u"),H242," ")</f>
        <v> </v>
      </c>
      <c r="Z242" s="17" t="str">
        <f aca="false">IF((E242="a"),H242," ")</f>
        <v> </v>
      </c>
      <c r="AA242" s="17" t="str">
        <f aca="false">IF((E242="g"),H242," ")</f>
        <v> </v>
      </c>
      <c r="AB242" s="17" t="str">
        <f aca="false">IF((E242="h"),H242," ")</f>
        <v> </v>
      </c>
      <c r="AC242" s="30" t="str">
        <f aca="false">IF((E242="v"),H242," ")</f>
        <v> </v>
      </c>
      <c r="AD242" s="30" t="str">
        <f aca="false">IF((E242="n"),H242," ")</f>
        <v> </v>
      </c>
      <c r="AE242" s="17" t="str">
        <f aca="false">IF((E242="f"),H242," ")</f>
        <v> </v>
      </c>
      <c r="AF242" s="17" t="str">
        <f aca="false">IF((E242="l"),H242," ")</f>
        <v> </v>
      </c>
      <c r="AG242" s="17" t="str">
        <f aca="false">IF((E242="y"),H242," ")</f>
        <v> </v>
      </c>
      <c r="AH242" s="17" t="str">
        <f aca="false">IF((E242="z"),H242," ")</f>
        <v> </v>
      </c>
      <c r="AI242" s="17" t="str">
        <f aca="false">IF((E242="fa"),H242," ")</f>
        <v> </v>
      </c>
      <c r="AJ242" s="17" t="str">
        <f aca="false">IF((E242="e"),H242," ")</f>
        <v> </v>
      </c>
    </row>
    <row r="243" customFormat="false" ht="12" hidden="false" customHeight="false" outlineLevel="0" collapsed="false">
      <c r="A243" s="28"/>
      <c r="E243" s="2" t="str">
        <f aca="false">IF((F243&lt;&gt;0),"Enter Letter"," ")</f>
        <v> </v>
      </c>
      <c r="F243" s="30"/>
      <c r="G243" s="6" t="str">
        <f aca="false">IF(F243&lt;&gt;0,F243*G$2/(100+G$2)," ")</f>
        <v> </v>
      </c>
      <c r="H243" s="6" t="str">
        <f aca="false">IF((F243&lt;&gt;0),F243-G243," ")</f>
        <v> </v>
      </c>
      <c r="I243" s="5"/>
      <c r="L243" s="7" t="str">
        <f aca="false">IF(F243&lt;&gt;0,F243-K243," ")</f>
        <v> </v>
      </c>
      <c r="M243" s="8" t="str">
        <f aca="false">IF((F243-K243)&lt;&gt;0,M$1-A243," ")</f>
        <v> </v>
      </c>
      <c r="N243" s="5"/>
      <c r="O243" s="17" t="str">
        <f aca="false">IF((E243="s"),H243," ")</f>
        <v> </v>
      </c>
      <c r="P243" s="17" t="str">
        <f aca="false">IF((E243="c"),H243," ")</f>
        <v> </v>
      </c>
      <c r="Q243" s="17" t="str">
        <f aca="false">IF((E243="o"),H243," ")</f>
        <v> </v>
      </c>
      <c r="R243" s="17" t="str">
        <f aca="false">IF((E243="d"),H243," ")</f>
        <v> </v>
      </c>
      <c r="S243" s="17" t="str">
        <f aca="false">IF((E243="w"),H243," ")</f>
        <v> </v>
      </c>
      <c r="T243" s="17" t="str">
        <f aca="false">IF((E243="r"),H243," ")</f>
        <v> </v>
      </c>
      <c r="U243" s="17" t="str">
        <f aca="false">IF((E243="p"),H243," ")</f>
        <v> </v>
      </c>
      <c r="V243" s="17" t="str">
        <f aca="false">IF((E243="t"),H243," ")</f>
        <v> </v>
      </c>
      <c r="W243" s="17" t="str">
        <f aca="false">IF((E243="q"),H243," ")</f>
        <v> </v>
      </c>
      <c r="X243" s="17" t="str">
        <f aca="false">IF((E243="m"),H243," ")</f>
        <v> </v>
      </c>
      <c r="Y243" s="17" t="str">
        <f aca="false">IF((E243="u"),H243," ")</f>
        <v> </v>
      </c>
      <c r="Z243" s="17" t="str">
        <f aca="false">IF((E243="a"),H243," ")</f>
        <v> </v>
      </c>
      <c r="AA243" s="17" t="str">
        <f aca="false">IF((E243="g"),H243," ")</f>
        <v> </v>
      </c>
      <c r="AB243" s="17" t="str">
        <f aca="false">IF((E243="h"),H243," ")</f>
        <v> </v>
      </c>
      <c r="AC243" s="30" t="str">
        <f aca="false">IF((E243="v"),H243," ")</f>
        <v> </v>
      </c>
      <c r="AD243" s="30" t="str">
        <f aca="false">IF((E243="n"),H243," ")</f>
        <v> </v>
      </c>
      <c r="AE243" s="17" t="str">
        <f aca="false">IF((E243="f"),H243," ")</f>
        <v> </v>
      </c>
      <c r="AF243" s="17" t="str">
        <f aca="false">IF((E243="l"),H243," ")</f>
        <v> </v>
      </c>
      <c r="AG243" s="17" t="str">
        <f aca="false">IF((E243="y"),H243," ")</f>
        <v> </v>
      </c>
      <c r="AH243" s="17" t="str">
        <f aca="false">IF((E243="z"),H243," ")</f>
        <v> </v>
      </c>
      <c r="AI243" s="17" t="str">
        <f aca="false">IF((E243="fa"),H243," ")</f>
        <v> </v>
      </c>
      <c r="AJ243" s="17" t="str">
        <f aca="false">IF((E243="e"),H243," ")</f>
        <v> </v>
      </c>
    </row>
    <row r="244" customFormat="false" ht="12" hidden="false" customHeight="false" outlineLevel="0" collapsed="false">
      <c r="A244" s="28"/>
      <c r="E244" s="2" t="str">
        <f aca="false">IF((F244&lt;&gt;0),"Enter Letter"," ")</f>
        <v> </v>
      </c>
      <c r="F244" s="30"/>
      <c r="G244" s="6" t="str">
        <f aca="false">IF(F244&lt;&gt;0,F244*G$2/(100+G$2)," ")</f>
        <v> </v>
      </c>
      <c r="H244" s="6" t="str">
        <f aca="false">IF((F244&lt;&gt;0),F244-G244," ")</f>
        <v> </v>
      </c>
      <c r="I244" s="5"/>
      <c r="L244" s="7" t="str">
        <f aca="false">IF(F244&lt;&gt;0,F244-K244," ")</f>
        <v> </v>
      </c>
      <c r="M244" s="8" t="str">
        <f aca="false">IF((F244-K244)&lt;&gt;0,M$1-A244," ")</f>
        <v> </v>
      </c>
      <c r="N244" s="5"/>
      <c r="O244" s="17" t="str">
        <f aca="false">IF((E244="s"),H244," ")</f>
        <v> </v>
      </c>
      <c r="P244" s="17" t="str">
        <f aca="false">IF((E244="c"),H244," ")</f>
        <v> </v>
      </c>
      <c r="Q244" s="17" t="str">
        <f aca="false">IF((E244="o"),H244," ")</f>
        <v> </v>
      </c>
      <c r="R244" s="17" t="str">
        <f aca="false">IF((E244="d"),H244," ")</f>
        <v> </v>
      </c>
      <c r="S244" s="17" t="str">
        <f aca="false">IF((E244="w"),H244," ")</f>
        <v> </v>
      </c>
      <c r="T244" s="17" t="str">
        <f aca="false">IF((E244="r"),H244," ")</f>
        <v> </v>
      </c>
      <c r="U244" s="17" t="str">
        <f aca="false">IF((E244="p"),H244," ")</f>
        <v> </v>
      </c>
      <c r="V244" s="17" t="str">
        <f aca="false">IF((E244="t"),H244," ")</f>
        <v> </v>
      </c>
      <c r="W244" s="17" t="str">
        <f aca="false">IF((E244="q"),H244," ")</f>
        <v> </v>
      </c>
      <c r="X244" s="17" t="str">
        <f aca="false">IF((E244="m"),H244," ")</f>
        <v> </v>
      </c>
      <c r="Y244" s="17" t="str">
        <f aca="false">IF((E244="u"),H244," ")</f>
        <v> </v>
      </c>
      <c r="Z244" s="17" t="str">
        <f aca="false">IF((E244="a"),H244," ")</f>
        <v> </v>
      </c>
      <c r="AA244" s="17" t="str">
        <f aca="false">IF((E244="g"),H244," ")</f>
        <v> </v>
      </c>
      <c r="AB244" s="17" t="str">
        <f aca="false">IF((E244="h"),H244," ")</f>
        <v> </v>
      </c>
      <c r="AC244" s="30" t="str">
        <f aca="false">IF((E244="v"),H244," ")</f>
        <v> </v>
      </c>
      <c r="AD244" s="30" t="str">
        <f aca="false">IF((E244="n"),H244," ")</f>
        <v> </v>
      </c>
      <c r="AE244" s="17" t="str">
        <f aca="false">IF((E244="f"),H244," ")</f>
        <v> </v>
      </c>
      <c r="AF244" s="17" t="str">
        <f aca="false">IF((E244="l"),H244," ")</f>
        <v> </v>
      </c>
      <c r="AG244" s="17" t="str">
        <f aca="false">IF((E244="y"),H244," ")</f>
        <v> </v>
      </c>
      <c r="AH244" s="17" t="str">
        <f aca="false">IF((E244="z"),H244," ")</f>
        <v> </v>
      </c>
      <c r="AI244" s="17" t="str">
        <f aca="false">IF((E244="fa"),H244," ")</f>
        <v> </v>
      </c>
      <c r="AJ244" s="17" t="str">
        <f aca="false">IF((E244="e"),H244," ")</f>
        <v> </v>
      </c>
    </row>
    <row r="245" customFormat="false" ht="12" hidden="false" customHeight="false" outlineLevel="0" collapsed="false">
      <c r="A245" s="28"/>
      <c r="E245" s="2" t="str">
        <f aca="false">IF((F245&lt;&gt;0),"Enter Letter"," ")</f>
        <v> </v>
      </c>
      <c r="F245" s="30"/>
      <c r="G245" s="6" t="str">
        <f aca="false">IF(F245&lt;&gt;0,F245*G$2/(100+G$2)," ")</f>
        <v> </v>
      </c>
      <c r="H245" s="6" t="str">
        <f aca="false">IF((F245&lt;&gt;0),F245-G245," ")</f>
        <v> </v>
      </c>
      <c r="I245" s="5"/>
      <c r="L245" s="7" t="str">
        <f aca="false">IF(F245&lt;&gt;0,F245-K245," ")</f>
        <v> </v>
      </c>
      <c r="M245" s="8" t="str">
        <f aca="false">IF((F245-K245)&lt;&gt;0,M$1-A245," ")</f>
        <v> </v>
      </c>
      <c r="N245" s="5"/>
      <c r="O245" s="17" t="str">
        <f aca="false">IF((E245="s"),H245," ")</f>
        <v> </v>
      </c>
      <c r="P245" s="17" t="str">
        <f aca="false">IF((E245="c"),H245," ")</f>
        <v> </v>
      </c>
      <c r="Q245" s="17" t="str">
        <f aca="false">IF((E245="o"),H245," ")</f>
        <v> </v>
      </c>
      <c r="R245" s="17" t="str">
        <f aca="false">IF((E245="d"),H245," ")</f>
        <v> </v>
      </c>
      <c r="S245" s="17" t="str">
        <f aca="false">IF((E245="w"),H245," ")</f>
        <v> </v>
      </c>
      <c r="T245" s="17" t="str">
        <f aca="false">IF((E245="r"),H245," ")</f>
        <v> </v>
      </c>
      <c r="U245" s="17" t="str">
        <f aca="false">IF((E245="p"),H245," ")</f>
        <v> </v>
      </c>
      <c r="V245" s="17" t="str">
        <f aca="false">IF((E245="t"),H245," ")</f>
        <v> </v>
      </c>
      <c r="W245" s="17" t="str">
        <f aca="false">IF((E245="q"),H245," ")</f>
        <v> </v>
      </c>
      <c r="X245" s="17" t="str">
        <f aca="false">IF((E245="m"),H245," ")</f>
        <v> </v>
      </c>
      <c r="Y245" s="17" t="str">
        <f aca="false">IF((E245="u"),H245," ")</f>
        <v> </v>
      </c>
      <c r="Z245" s="17" t="str">
        <f aca="false">IF((E245="a"),H245," ")</f>
        <v> </v>
      </c>
      <c r="AA245" s="17" t="str">
        <f aca="false">IF((E245="g"),H245," ")</f>
        <v> </v>
      </c>
      <c r="AB245" s="17" t="str">
        <f aca="false">IF((E245="h"),H245," ")</f>
        <v> </v>
      </c>
      <c r="AC245" s="30" t="str">
        <f aca="false">IF((E245="v"),H245," ")</f>
        <v> </v>
      </c>
      <c r="AD245" s="30" t="str">
        <f aca="false">IF((E245="n"),H245," ")</f>
        <v> </v>
      </c>
      <c r="AE245" s="17" t="str">
        <f aca="false">IF((E245="f"),H245," ")</f>
        <v> </v>
      </c>
      <c r="AF245" s="17" t="str">
        <f aca="false">IF((E245="l"),H245," ")</f>
        <v> </v>
      </c>
      <c r="AG245" s="17" t="str">
        <f aca="false">IF((E245="y"),H245," ")</f>
        <v> </v>
      </c>
      <c r="AH245" s="17" t="str">
        <f aca="false">IF((E245="z"),H245," ")</f>
        <v> </v>
      </c>
      <c r="AI245" s="17" t="str">
        <f aca="false">IF((E245="fa"),H245," ")</f>
        <v> </v>
      </c>
      <c r="AJ245" s="17" t="str">
        <f aca="false">IF((E245="e"),H245," ")</f>
        <v> </v>
      </c>
    </row>
    <row r="246" customFormat="false" ht="12" hidden="false" customHeight="false" outlineLevel="0" collapsed="false">
      <c r="A246" s="28"/>
      <c r="E246" s="2" t="str">
        <f aca="false">IF((F246&lt;&gt;0),"Enter Letter"," ")</f>
        <v> </v>
      </c>
      <c r="F246" s="30"/>
      <c r="G246" s="6" t="str">
        <f aca="false">IF(F246&lt;&gt;0,F246*G$2/(100+G$2)," ")</f>
        <v> </v>
      </c>
      <c r="H246" s="6" t="str">
        <f aca="false">IF((F246&lt;&gt;0),F246-G246," ")</f>
        <v> </v>
      </c>
      <c r="I246" s="5"/>
      <c r="L246" s="7" t="str">
        <f aca="false">IF(F246&lt;&gt;0,F246-K246," ")</f>
        <v> </v>
      </c>
      <c r="M246" s="8" t="str">
        <f aca="false">IF((F246-K246)&lt;&gt;0,M$1-A246," ")</f>
        <v> </v>
      </c>
      <c r="N246" s="5"/>
      <c r="O246" s="17" t="str">
        <f aca="false">IF((E246="s"),H246," ")</f>
        <v> </v>
      </c>
      <c r="P246" s="17" t="str">
        <f aca="false">IF((E246="c"),H246," ")</f>
        <v> </v>
      </c>
      <c r="Q246" s="17" t="str">
        <f aca="false">IF((E246="o"),H246," ")</f>
        <v> </v>
      </c>
      <c r="R246" s="17" t="str">
        <f aca="false">IF((E246="d"),H246," ")</f>
        <v> </v>
      </c>
      <c r="S246" s="17" t="str">
        <f aca="false">IF((E246="w"),H246," ")</f>
        <v> </v>
      </c>
      <c r="T246" s="17" t="str">
        <f aca="false">IF((E246="r"),H246," ")</f>
        <v> </v>
      </c>
      <c r="U246" s="17" t="str">
        <f aca="false">IF((E246="p"),H246," ")</f>
        <v> </v>
      </c>
      <c r="V246" s="17" t="str">
        <f aca="false">IF((E246="t"),H246," ")</f>
        <v> </v>
      </c>
      <c r="W246" s="17" t="str">
        <f aca="false">IF((E246="q"),H246," ")</f>
        <v> </v>
      </c>
      <c r="X246" s="17" t="str">
        <f aca="false">IF((E246="m"),H246," ")</f>
        <v> </v>
      </c>
      <c r="Y246" s="17" t="str">
        <f aca="false">IF((E246="u"),H246," ")</f>
        <v> </v>
      </c>
      <c r="Z246" s="17" t="str">
        <f aca="false">IF((E246="a"),H246," ")</f>
        <v> </v>
      </c>
      <c r="AA246" s="17" t="str">
        <f aca="false">IF((E246="g"),H246," ")</f>
        <v> </v>
      </c>
      <c r="AB246" s="17" t="str">
        <f aca="false">IF((E246="h"),H246," ")</f>
        <v> </v>
      </c>
      <c r="AC246" s="30" t="str">
        <f aca="false">IF((E246="v"),H246," ")</f>
        <v> </v>
      </c>
      <c r="AD246" s="30" t="str">
        <f aca="false">IF((E246="n"),H246," ")</f>
        <v> </v>
      </c>
      <c r="AE246" s="17" t="str">
        <f aca="false">IF((E246="f"),H246," ")</f>
        <v> </v>
      </c>
      <c r="AF246" s="17" t="str">
        <f aca="false">IF((E246="l"),H246," ")</f>
        <v> </v>
      </c>
      <c r="AG246" s="17" t="str">
        <f aca="false">IF((E246="y"),H246," ")</f>
        <v> </v>
      </c>
      <c r="AH246" s="17" t="str">
        <f aca="false">IF((E246="z"),H246," ")</f>
        <v> </v>
      </c>
      <c r="AI246" s="17" t="str">
        <f aca="false">IF((E246="fa"),H246," ")</f>
        <v> </v>
      </c>
      <c r="AJ246" s="17" t="str">
        <f aca="false">IF((E246="e"),H246," ")</f>
        <v> </v>
      </c>
    </row>
    <row r="247" customFormat="false" ht="12" hidden="false" customHeight="false" outlineLevel="0" collapsed="false">
      <c r="A247" s="28"/>
      <c r="E247" s="2" t="str">
        <f aca="false">IF((F247&lt;&gt;0),"Enter Letter"," ")</f>
        <v> </v>
      </c>
      <c r="F247" s="30"/>
      <c r="G247" s="6" t="str">
        <f aca="false">IF(F247&lt;&gt;0,F247*G$2/(100+G$2)," ")</f>
        <v> </v>
      </c>
      <c r="H247" s="6" t="str">
        <f aca="false">IF((F247&lt;&gt;0),F247-G247," ")</f>
        <v> </v>
      </c>
      <c r="I247" s="5"/>
      <c r="L247" s="7" t="str">
        <f aca="false">IF(F247&lt;&gt;0,F247-K247," ")</f>
        <v> </v>
      </c>
      <c r="M247" s="8" t="str">
        <f aca="false">IF((F247-K247)&lt;&gt;0,M$1-A247," ")</f>
        <v> </v>
      </c>
      <c r="N247" s="5"/>
      <c r="O247" s="17" t="str">
        <f aca="false">IF((E247="s"),H247," ")</f>
        <v> </v>
      </c>
      <c r="P247" s="17" t="str">
        <f aca="false">IF((E247="c"),H247," ")</f>
        <v> </v>
      </c>
      <c r="Q247" s="17" t="str">
        <f aca="false">IF((E247="o"),H247," ")</f>
        <v> </v>
      </c>
      <c r="R247" s="17" t="str">
        <f aca="false">IF((E247="d"),H247," ")</f>
        <v> </v>
      </c>
      <c r="S247" s="17" t="str">
        <f aca="false">IF((E247="w"),H247," ")</f>
        <v> </v>
      </c>
      <c r="T247" s="17" t="str">
        <f aca="false">IF((E247="r"),H247," ")</f>
        <v> </v>
      </c>
      <c r="U247" s="17" t="str">
        <f aca="false">IF((E247="p"),H247," ")</f>
        <v> </v>
      </c>
      <c r="V247" s="17" t="str">
        <f aca="false">IF((E247="t"),H247," ")</f>
        <v> </v>
      </c>
      <c r="W247" s="17" t="str">
        <f aca="false">IF((E247="q"),H247," ")</f>
        <v> </v>
      </c>
      <c r="X247" s="17" t="str">
        <f aca="false">IF((E247="m"),H247," ")</f>
        <v> </v>
      </c>
      <c r="Y247" s="17" t="str">
        <f aca="false">IF((E247="u"),H247," ")</f>
        <v> </v>
      </c>
      <c r="Z247" s="17" t="str">
        <f aca="false">IF((E247="a"),H247," ")</f>
        <v> </v>
      </c>
      <c r="AA247" s="17" t="str">
        <f aca="false">IF((E247="g"),H247," ")</f>
        <v> </v>
      </c>
      <c r="AB247" s="17" t="str">
        <f aca="false">IF((E247="h"),H247," ")</f>
        <v> </v>
      </c>
      <c r="AC247" s="30" t="str">
        <f aca="false">IF((E247="v"),H247," ")</f>
        <v> </v>
      </c>
      <c r="AD247" s="30" t="str">
        <f aca="false">IF((E247="n"),H247," ")</f>
        <v> </v>
      </c>
      <c r="AE247" s="17" t="str">
        <f aca="false">IF((E247="f"),H247," ")</f>
        <v> </v>
      </c>
      <c r="AF247" s="17" t="str">
        <f aca="false">IF((E247="l"),H247," ")</f>
        <v> </v>
      </c>
      <c r="AG247" s="17" t="str">
        <f aca="false">IF((E247="y"),H247," ")</f>
        <v> </v>
      </c>
      <c r="AH247" s="17" t="str">
        <f aca="false">IF((E247="z"),H247," ")</f>
        <v> </v>
      </c>
      <c r="AI247" s="17" t="str">
        <f aca="false">IF((E247="fa"),H247," ")</f>
        <v> </v>
      </c>
      <c r="AJ247" s="17" t="str">
        <f aca="false">IF((E247="e"),H247," ")</f>
        <v> </v>
      </c>
    </row>
    <row r="248" customFormat="false" ht="12" hidden="false" customHeight="false" outlineLevel="0" collapsed="false">
      <c r="A248" s="28"/>
      <c r="E248" s="2" t="str">
        <f aca="false">IF((F248&lt;&gt;0),"Enter Letter"," ")</f>
        <v> </v>
      </c>
      <c r="F248" s="30"/>
      <c r="G248" s="6" t="str">
        <f aca="false">IF(F248&lt;&gt;0,F248*G$2/(100+G$2)," ")</f>
        <v> </v>
      </c>
      <c r="H248" s="6" t="str">
        <f aca="false">IF((F248&lt;&gt;0),F248-G248," ")</f>
        <v> </v>
      </c>
      <c r="I248" s="5"/>
      <c r="L248" s="7" t="str">
        <f aca="false">IF(F248&lt;&gt;0,F248-K248," ")</f>
        <v> </v>
      </c>
      <c r="M248" s="8" t="str">
        <f aca="false">IF((F248-K248)&lt;&gt;0,M$1-A248," ")</f>
        <v> </v>
      </c>
      <c r="N248" s="5"/>
      <c r="O248" s="17" t="str">
        <f aca="false">IF((E248="s"),H248," ")</f>
        <v> </v>
      </c>
      <c r="P248" s="17" t="str">
        <f aca="false">IF((E248="c"),H248," ")</f>
        <v> </v>
      </c>
      <c r="Q248" s="17" t="str">
        <f aca="false">IF((E248="o"),H248," ")</f>
        <v> </v>
      </c>
      <c r="R248" s="17" t="str">
        <f aca="false">IF((E248="d"),H248," ")</f>
        <v> </v>
      </c>
      <c r="S248" s="17" t="str">
        <f aca="false">IF((E248="w"),H248," ")</f>
        <v> </v>
      </c>
      <c r="T248" s="17" t="str">
        <f aca="false">IF((E248="r"),H248," ")</f>
        <v> </v>
      </c>
      <c r="U248" s="17" t="str">
        <f aca="false">IF((E248="p"),H248," ")</f>
        <v> </v>
      </c>
      <c r="V248" s="17" t="str">
        <f aca="false">IF((E248="t"),H248," ")</f>
        <v> </v>
      </c>
      <c r="W248" s="17" t="str">
        <f aca="false">IF((E248="q"),H248," ")</f>
        <v> </v>
      </c>
      <c r="X248" s="17" t="str">
        <f aca="false">IF((E248="m"),H248," ")</f>
        <v> </v>
      </c>
      <c r="Y248" s="17" t="str">
        <f aca="false">IF((E248="u"),H248," ")</f>
        <v> </v>
      </c>
      <c r="Z248" s="17" t="str">
        <f aca="false">IF((E248="a"),H248," ")</f>
        <v> </v>
      </c>
      <c r="AA248" s="17" t="str">
        <f aca="false">IF((E248="g"),H248," ")</f>
        <v> </v>
      </c>
      <c r="AB248" s="17" t="str">
        <f aca="false">IF((E248="h"),H248," ")</f>
        <v> </v>
      </c>
      <c r="AC248" s="30" t="str">
        <f aca="false">IF((E248="v"),H248," ")</f>
        <v> </v>
      </c>
      <c r="AD248" s="30" t="str">
        <f aca="false">IF((E248="n"),H248," ")</f>
        <v> </v>
      </c>
      <c r="AE248" s="17" t="str">
        <f aca="false">IF((E248="f"),H248," ")</f>
        <v> </v>
      </c>
      <c r="AF248" s="17" t="str">
        <f aca="false">IF((E248="l"),H248," ")</f>
        <v> </v>
      </c>
      <c r="AG248" s="17" t="str">
        <f aca="false">IF((E248="y"),H248," ")</f>
        <v> </v>
      </c>
      <c r="AH248" s="17" t="str">
        <f aca="false">IF((E248="z"),H248," ")</f>
        <v> </v>
      </c>
      <c r="AI248" s="17" t="str">
        <f aca="false">IF((E248="fa"),H248," ")</f>
        <v> </v>
      </c>
      <c r="AJ248" s="17" t="str">
        <f aca="false">IF((E248="e"),H248," ")</f>
        <v> </v>
      </c>
    </row>
    <row r="249" customFormat="false" ht="12" hidden="false" customHeight="false" outlineLevel="0" collapsed="false">
      <c r="A249" s="28"/>
      <c r="E249" s="2" t="str">
        <f aca="false">IF((F249&lt;&gt;0),"Enter Letter"," ")</f>
        <v> </v>
      </c>
      <c r="F249" s="30"/>
      <c r="G249" s="6" t="str">
        <f aca="false">IF(F249&lt;&gt;0,F249*G$2/(100+G$2)," ")</f>
        <v> </v>
      </c>
      <c r="H249" s="6" t="str">
        <f aca="false">IF((F249&lt;&gt;0),F249-G249," ")</f>
        <v> </v>
      </c>
      <c r="I249" s="5"/>
      <c r="L249" s="7" t="str">
        <f aca="false">IF(F249&lt;&gt;0,F249-K249," ")</f>
        <v> </v>
      </c>
      <c r="M249" s="8" t="str">
        <f aca="false">IF((F249-K249)&lt;&gt;0,M$1-A249," ")</f>
        <v> </v>
      </c>
      <c r="N249" s="5"/>
      <c r="O249" s="17" t="str">
        <f aca="false">IF((E249="s"),H249," ")</f>
        <v> </v>
      </c>
      <c r="P249" s="17" t="str">
        <f aca="false">IF((E249="c"),H249," ")</f>
        <v> </v>
      </c>
      <c r="Q249" s="17" t="str">
        <f aca="false">IF((E249="o"),H249," ")</f>
        <v> </v>
      </c>
      <c r="R249" s="17" t="str">
        <f aca="false">IF((E249="d"),H249," ")</f>
        <v> </v>
      </c>
      <c r="S249" s="17" t="str">
        <f aca="false">IF((E249="w"),H249," ")</f>
        <v> </v>
      </c>
      <c r="T249" s="17" t="str">
        <f aca="false">IF((E249="r"),H249," ")</f>
        <v> </v>
      </c>
      <c r="U249" s="17" t="str">
        <f aca="false">IF((E249="p"),H249," ")</f>
        <v> </v>
      </c>
      <c r="V249" s="17" t="str">
        <f aca="false">IF((E249="t"),H249," ")</f>
        <v> </v>
      </c>
      <c r="W249" s="17" t="str">
        <f aca="false">IF((E249="q"),H249," ")</f>
        <v> </v>
      </c>
      <c r="X249" s="17" t="str">
        <f aca="false">IF((E249="m"),H249," ")</f>
        <v> </v>
      </c>
      <c r="Y249" s="17" t="str">
        <f aca="false">IF((E249="u"),H249," ")</f>
        <v> </v>
      </c>
      <c r="Z249" s="17" t="str">
        <f aca="false">IF((E249="a"),H249," ")</f>
        <v> </v>
      </c>
      <c r="AA249" s="17" t="str">
        <f aca="false">IF((E249="g"),H249," ")</f>
        <v> </v>
      </c>
      <c r="AB249" s="17" t="str">
        <f aca="false">IF((E249="h"),H249," ")</f>
        <v> </v>
      </c>
      <c r="AC249" s="30" t="str">
        <f aca="false">IF((E249="v"),H249," ")</f>
        <v> </v>
      </c>
      <c r="AD249" s="30" t="str">
        <f aca="false">IF((E249="n"),H249," ")</f>
        <v> </v>
      </c>
      <c r="AE249" s="17" t="str">
        <f aca="false">IF((E249="f"),H249," ")</f>
        <v> </v>
      </c>
      <c r="AF249" s="17" t="str">
        <f aca="false">IF((E249="l"),H249," ")</f>
        <v> </v>
      </c>
      <c r="AG249" s="17" t="str">
        <f aca="false">IF((E249="y"),H249," ")</f>
        <v> </v>
      </c>
      <c r="AH249" s="17" t="str">
        <f aca="false">IF((E249="z"),H249," ")</f>
        <v> </v>
      </c>
      <c r="AI249" s="17" t="str">
        <f aca="false">IF((E249="fa"),H249," ")</f>
        <v> </v>
      </c>
      <c r="AJ249" s="17" t="str">
        <f aca="false">IF((E249="e"),H249," ")</f>
        <v> </v>
      </c>
    </row>
    <row r="250" customFormat="false" ht="12" hidden="false" customHeight="false" outlineLevel="0" collapsed="false">
      <c r="A250" s="28"/>
      <c r="E250" s="2" t="str">
        <f aca="false">IF((F250&lt;&gt;0),"Enter Letter"," ")</f>
        <v> </v>
      </c>
      <c r="F250" s="30"/>
      <c r="G250" s="6" t="str">
        <f aca="false">IF(F250&lt;&gt;0,F250*G$2/(100+G$2)," ")</f>
        <v> </v>
      </c>
      <c r="H250" s="6" t="str">
        <f aca="false">IF((F250&lt;&gt;0),F250-G250," ")</f>
        <v> </v>
      </c>
      <c r="I250" s="5"/>
      <c r="L250" s="7" t="str">
        <f aca="false">IF(F250&lt;&gt;0,F250-K250," ")</f>
        <v> </v>
      </c>
      <c r="M250" s="8" t="str">
        <f aca="false">IF((F250-K250)&lt;&gt;0,M$1-A250," ")</f>
        <v> </v>
      </c>
      <c r="N250" s="5"/>
      <c r="O250" s="17" t="str">
        <f aca="false">IF((E250="s"),H250," ")</f>
        <v> </v>
      </c>
      <c r="P250" s="17" t="str">
        <f aca="false">IF((E250="c"),H250," ")</f>
        <v> </v>
      </c>
      <c r="Q250" s="17" t="str">
        <f aca="false">IF((E250="o"),H250," ")</f>
        <v> </v>
      </c>
      <c r="R250" s="17" t="str">
        <f aca="false">IF((E250="d"),H250," ")</f>
        <v> </v>
      </c>
      <c r="S250" s="17" t="str">
        <f aca="false">IF((E250="w"),H250," ")</f>
        <v> </v>
      </c>
      <c r="T250" s="17" t="str">
        <f aca="false">IF((E250="r"),H250," ")</f>
        <v> </v>
      </c>
      <c r="U250" s="17" t="str">
        <f aca="false">IF((E250="p"),H250," ")</f>
        <v> </v>
      </c>
      <c r="V250" s="17" t="str">
        <f aca="false">IF((E250="t"),H250," ")</f>
        <v> </v>
      </c>
      <c r="W250" s="17" t="str">
        <f aca="false">IF((E250="q"),H250," ")</f>
        <v> </v>
      </c>
      <c r="X250" s="17" t="str">
        <f aca="false">IF((E250="m"),H250," ")</f>
        <v> </v>
      </c>
      <c r="Y250" s="17" t="str">
        <f aca="false">IF((E250="u"),H250," ")</f>
        <v> </v>
      </c>
      <c r="Z250" s="17" t="str">
        <f aca="false">IF((E250="a"),H250," ")</f>
        <v> </v>
      </c>
      <c r="AA250" s="17" t="str">
        <f aca="false">IF((E250="g"),H250," ")</f>
        <v> </v>
      </c>
      <c r="AB250" s="17" t="str">
        <f aca="false">IF((E250="h"),H250," ")</f>
        <v> </v>
      </c>
      <c r="AC250" s="30" t="str">
        <f aca="false">IF((E250="v"),H250," ")</f>
        <v> </v>
      </c>
      <c r="AD250" s="30" t="str">
        <f aca="false">IF((E250="n"),H250," ")</f>
        <v> </v>
      </c>
      <c r="AE250" s="17" t="str">
        <f aca="false">IF((E250="f"),H250," ")</f>
        <v> </v>
      </c>
      <c r="AF250" s="17" t="str">
        <f aca="false">IF((E250="l"),H250," ")</f>
        <v> </v>
      </c>
      <c r="AG250" s="17" t="str">
        <f aca="false">IF((E250="y"),H250," ")</f>
        <v> </v>
      </c>
      <c r="AH250" s="17" t="str">
        <f aca="false">IF((E250="z"),H250," ")</f>
        <v> </v>
      </c>
      <c r="AI250" s="17" t="str">
        <f aca="false">IF((E250="fa"),H250," ")</f>
        <v> </v>
      </c>
      <c r="AJ250" s="17" t="str">
        <f aca="false">IF((E250="e"),H250," ")</f>
        <v> </v>
      </c>
    </row>
    <row r="251" customFormat="false" ht="12" hidden="false" customHeight="false" outlineLevel="0" collapsed="false">
      <c r="A251" s="28"/>
      <c r="E251" s="2" t="str">
        <f aca="false">IF((F251&lt;&gt;0),"Enter Letter"," ")</f>
        <v> </v>
      </c>
      <c r="F251" s="30"/>
      <c r="G251" s="6" t="str">
        <f aca="false">IF(F251&lt;&gt;0,F251*G$2/(100+G$2)," ")</f>
        <v> </v>
      </c>
      <c r="H251" s="6" t="str">
        <f aca="false">IF((F251&lt;&gt;0),F251-G251," ")</f>
        <v> </v>
      </c>
      <c r="I251" s="5"/>
      <c r="L251" s="7" t="str">
        <f aca="false">IF(F251&lt;&gt;0,F251-K251," ")</f>
        <v> </v>
      </c>
      <c r="M251" s="8" t="str">
        <f aca="false">IF((F251-K251)&lt;&gt;0,M$1-A251," ")</f>
        <v> </v>
      </c>
      <c r="N251" s="5"/>
      <c r="O251" s="17" t="str">
        <f aca="false">IF((E251="s"),H251," ")</f>
        <v> </v>
      </c>
      <c r="P251" s="17" t="str">
        <f aca="false">IF((E251="c"),H251," ")</f>
        <v> </v>
      </c>
      <c r="Q251" s="17" t="str">
        <f aca="false">IF((E251="o"),H251," ")</f>
        <v> </v>
      </c>
      <c r="R251" s="17" t="str">
        <f aca="false">IF((E251="d"),H251," ")</f>
        <v> </v>
      </c>
      <c r="S251" s="17" t="str">
        <f aca="false">IF((E251="w"),H251," ")</f>
        <v> </v>
      </c>
      <c r="T251" s="17" t="str">
        <f aca="false">IF((E251="r"),H251," ")</f>
        <v> </v>
      </c>
      <c r="U251" s="17" t="str">
        <f aca="false">IF((E251="p"),H251," ")</f>
        <v> </v>
      </c>
      <c r="V251" s="17" t="str">
        <f aca="false">IF((E251="t"),H251," ")</f>
        <v> </v>
      </c>
      <c r="W251" s="17" t="str">
        <f aca="false">IF((E251="q"),H251," ")</f>
        <v> </v>
      </c>
      <c r="X251" s="17" t="str">
        <f aca="false">IF((E251="m"),H251," ")</f>
        <v> </v>
      </c>
      <c r="Y251" s="17" t="str">
        <f aca="false">IF((E251="u"),H251," ")</f>
        <v> </v>
      </c>
      <c r="Z251" s="17" t="str">
        <f aca="false">IF((E251="a"),H251," ")</f>
        <v> </v>
      </c>
      <c r="AA251" s="17" t="str">
        <f aca="false">IF((E251="g"),H251," ")</f>
        <v> </v>
      </c>
      <c r="AB251" s="17" t="str">
        <f aca="false">IF((E251="h"),H251," ")</f>
        <v> </v>
      </c>
      <c r="AC251" s="30" t="str">
        <f aca="false">IF((E251="v"),H251," ")</f>
        <v> </v>
      </c>
      <c r="AD251" s="30" t="str">
        <f aca="false">IF((E251="n"),H251," ")</f>
        <v> </v>
      </c>
      <c r="AE251" s="17" t="str">
        <f aca="false">IF((E251="f"),H251," ")</f>
        <v> </v>
      </c>
      <c r="AF251" s="17" t="str">
        <f aca="false">IF((E251="l"),H251," ")</f>
        <v> </v>
      </c>
      <c r="AG251" s="17" t="str">
        <f aca="false">IF((E251="y"),H251," ")</f>
        <v> </v>
      </c>
      <c r="AH251" s="17" t="str">
        <f aca="false">IF((E251="z"),H251," ")</f>
        <v> </v>
      </c>
      <c r="AI251" s="17" t="str">
        <f aca="false">IF((E251="fa"),H251," ")</f>
        <v> </v>
      </c>
      <c r="AJ251" s="17" t="str">
        <f aca="false">IF((E251="e"),H251," ")</f>
        <v> </v>
      </c>
    </row>
    <row r="252" customFormat="false" ht="12" hidden="false" customHeight="false" outlineLevel="0" collapsed="false">
      <c r="A252" s="28"/>
      <c r="E252" s="2" t="str">
        <f aca="false">IF((F252&lt;&gt;0),"Enter Letter"," ")</f>
        <v> </v>
      </c>
      <c r="F252" s="30"/>
      <c r="G252" s="6" t="str">
        <f aca="false">IF(F252&lt;&gt;0,F252*G$2/(100+G$2)," ")</f>
        <v> </v>
      </c>
      <c r="H252" s="6" t="str">
        <f aca="false">IF((F252&lt;&gt;0),F252-G252," ")</f>
        <v> </v>
      </c>
      <c r="I252" s="5"/>
      <c r="L252" s="7" t="str">
        <f aca="false">IF(F252&lt;&gt;0,F252-K252," ")</f>
        <v> </v>
      </c>
      <c r="M252" s="8" t="str">
        <f aca="false">IF((F252-K252)&lt;&gt;0,M$1-A252," ")</f>
        <v> </v>
      </c>
      <c r="N252" s="5"/>
      <c r="O252" s="17" t="str">
        <f aca="false">IF((E252="s"),H252," ")</f>
        <v> </v>
      </c>
      <c r="P252" s="17" t="str">
        <f aca="false">IF((E252="c"),H252," ")</f>
        <v> </v>
      </c>
      <c r="Q252" s="17" t="str">
        <f aca="false">IF((E252="o"),H252," ")</f>
        <v> </v>
      </c>
      <c r="R252" s="17" t="str">
        <f aca="false">IF((E252="d"),H252," ")</f>
        <v> </v>
      </c>
      <c r="S252" s="17" t="str">
        <f aca="false">IF((E252="w"),H252," ")</f>
        <v> </v>
      </c>
      <c r="T252" s="17" t="str">
        <f aca="false">IF((E252="r"),H252," ")</f>
        <v> </v>
      </c>
      <c r="U252" s="17" t="str">
        <f aca="false">IF((E252="p"),H252," ")</f>
        <v> </v>
      </c>
      <c r="V252" s="17" t="str">
        <f aca="false">IF((E252="t"),H252," ")</f>
        <v> </v>
      </c>
      <c r="W252" s="17" t="str">
        <f aca="false">IF((E252="q"),H252," ")</f>
        <v> </v>
      </c>
      <c r="X252" s="17" t="str">
        <f aca="false">IF((E252="m"),H252," ")</f>
        <v> </v>
      </c>
      <c r="Y252" s="17" t="str">
        <f aca="false">IF((E252="u"),H252," ")</f>
        <v> </v>
      </c>
      <c r="Z252" s="17" t="str">
        <f aca="false">IF((E252="a"),H252," ")</f>
        <v> </v>
      </c>
      <c r="AA252" s="17" t="str">
        <f aca="false">IF((E252="g"),H252," ")</f>
        <v> </v>
      </c>
      <c r="AB252" s="17" t="str">
        <f aca="false">IF((E252="h"),H252," ")</f>
        <v> </v>
      </c>
      <c r="AC252" s="30" t="str">
        <f aca="false">IF((E252="v"),H252," ")</f>
        <v> </v>
      </c>
      <c r="AD252" s="30" t="str">
        <f aca="false">IF((E252="n"),H252," ")</f>
        <v> </v>
      </c>
      <c r="AE252" s="17" t="str">
        <f aca="false">IF((E252="f"),H252," ")</f>
        <v> </v>
      </c>
      <c r="AF252" s="17" t="str">
        <f aca="false">IF((E252="l"),H252," ")</f>
        <v> </v>
      </c>
      <c r="AG252" s="17" t="str">
        <f aca="false">IF((E252="y"),H252," ")</f>
        <v> </v>
      </c>
      <c r="AH252" s="17" t="str">
        <f aca="false">IF((E252="z"),H252," ")</f>
        <v> </v>
      </c>
      <c r="AI252" s="17" t="str">
        <f aca="false">IF((E252="fa"),H252," ")</f>
        <v> </v>
      </c>
      <c r="AJ252" s="17" t="str">
        <f aca="false">IF((E252="e"),H252," ")</f>
        <v> </v>
      </c>
    </row>
    <row r="253" customFormat="false" ht="12" hidden="false" customHeight="false" outlineLevel="0" collapsed="false">
      <c r="A253" s="28"/>
      <c r="E253" s="2" t="str">
        <f aca="false">IF((F253&lt;&gt;0),"Enter Letter"," ")</f>
        <v> </v>
      </c>
      <c r="F253" s="30"/>
      <c r="G253" s="6" t="str">
        <f aca="false">IF(F253&lt;&gt;0,F253*G$2/(100+G$2)," ")</f>
        <v> </v>
      </c>
      <c r="H253" s="6" t="str">
        <f aca="false">IF((F253&lt;&gt;0),F253-G253," ")</f>
        <v> </v>
      </c>
      <c r="I253" s="5"/>
      <c r="L253" s="7" t="str">
        <f aca="false">IF(F253&lt;&gt;0,F253-K253," ")</f>
        <v> </v>
      </c>
      <c r="M253" s="8" t="str">
        <f aca="false">IF((F253-K253)&lt;&gt;0,M$1-A253," ")</f>
        <v> </v>
      </c>
      <c r="N253" s="5"/>
      <c r="O253" s="17" t="str">
        <f aca="false">IF((E253="s"),H253," ")</f>
        <v> </v>
      </c>
      <c r="P253" s="17" t="str">
        <f aca="false">IF((E253="c"),H253," ")</f>
        <v> </v>
      </c>
      <c r="Q253" s="17" t="str">
        <f aca="false">IF((E253="o"),H253," ")</f>
        <v> </v>
      </c>
      <c r="R253" s="17" t="str">
        <f aca="false">IF((E253="d"),H253," ")</f>
        <v> </v>
      </c>
      <c r="S253" s="17" t="str">
        <f aca="false">IF((E253="w"),H253," ")</f>
        <v> </v>
      </c>
      <c r="T253" s="17" t="str">
        <f aca="false">IF((E253="r"),H253," ")</f>
        <v> </v>
      </c>
      <c r="U253" s="17" t="str">
        <f aca="false">IF((E253="p"),H253," ")</f>
        <v> </v>
      </c>
      <c r="V253" s="17" t="str">
        <f aca="false">IF((E253="t"),H253," ")</f>
        <v> </v>
      </c>
      <c r="W253" s="17" t="str">
        <f aca="false">IF((E253="q"),H253," ")</f>
        <v> </v>
      </c>
      <c r="X253" s="17" t="str">
        <f aca="false">IF((E253="m"),H253," ")</f>
        <v> </v>
      </c>
      <c r="Y253" s="17" t="str">
        <f aca="false">IF((E253="u"),H253," ")</f>
        <v> </v>
      </c>
      <c r="Z253" s="17" t="str">
        <f aca="false">IF((E253="a"),H253," ")</f>
        <v> </v>
      </c>
      <c r="AA253" s="17" t="str">
        <f aca="false">IF((E253="g"),H253," ")</f>
        <v> </v>
      </c>
      <c r="AB253" s="17" t="str">
        <f aca="false">IF((E253="h"),H253," ")</f>
        <v> </v>
      </c>
      <c r="AC253" s="30" t="str">
        <f aca="false">IF((E253="v"),H253," ")</f>
        <v> </v>
      </c>
      <c r="AD253" s="30" t="str">
        <f aca="false">IF((E253="n"),H253," ")</f>
        <v> </v>
      </c>
      <c r="AE253" s="17" t="str">
        <f aca="false">IF((E253="f"),H253," ")</f>
        <v> </v>
      </c>
      <c r="AF253" s="17" t="str">
        <f aca="false">IF((E253="l"),H253," ")</f>
        <v> </v>
      </c>
      <c r="AG253" s="17" t="str">
        <f aca="false">IF((E253="y"),H253," ")</f>
        <v> </v>
      </c>
      <c r="AH253" s="17" t="str">
        <f aca="false">IF((E253="z"),H253," ")</f>
        <v> </v>
      </c>
      <c r="AI253" s="17" t="str">
        <f aca="false">IF((E253="fa"),H253," ")</f>
        <v> </v>
      </c>
      <c r="AJ253" s="17" t="str">
        <f aca="false">IF((E253="e"),H253," ")</f>
        <v> </v>
      </c>
    </row>
    <row r="254" customFormat="false" ht="12" hidden="false" customHeight="false" outlineLevel="0" collapsed="false">
      <c r="A254" s="28"/>
      <c r="E254" s="2" t="str">
        <f aca="false">IF((F254&lt;&gt;0),"Enter Letter"," ")</f>
        <v> </v>
      </c>
      <c r="F254" s="30"/>
      <c r="G254" s="6" t="str">
        <f aca="false">IF(F254&lt;&gt;0,F254*G$2/(100+G$2)," ")</f>
        <v> </v>
      </c>
      <c r="H254" s="6" t="str">
        <f aca="false">IF((F254&lt;&gt;0),F254-G254," ")</f>
        <v> </v>
      </c>
      <c r="I254" s="5"/>
      <c r="L254" s="7" t="str">
        <f aca="false">IF(F254&lt;&gt;0,F254-K254," ")</f>
        <v> </v>
      </c>
      <c r="M254" s="8" t="str">
        <f aca="false">IF((F254-K254)&lt;&gt;0,M$1-A254," ")</f>
        <v> </v>
      </c>
      <c r="N254" s="5"/>
      <c r="O254" s="17" t="str">
        <f aca="false">IF((E254="s"),H254," ")</f>
        <v> </v>
      </c>
      <c r="P254" s="17" t="str">
        <f aca="false">IF((E254="c"),H254," ")</f>
        <v> </v>
      </c>
      <c r="Q254" s="17" t="str">
        <f aca="false">IF((E254="o"),H254," ")</f>
        <v> </v>
      </c>
      <c r="R254" s="17" t="str">
        <f aca="false">IF((E254="d"),H254," ")</f>
        <v> </v>
      </c>
      <c r="S254" s="17" t="str">
        <f aca="false">IF((E254="w"),H254," ")</f>
        <v> </v>
      </c>
      <c r="T254" s="17" t="str">
        <f aca="false">IF((E254="r"),H254," ")</f>
        <v> </v>
      </c>
      <c r="U254" s="17" t="str">
        <f aca="false">IF((E254="p"),H254," ")</f>
        <v> </v>
      </c>
      <c r="V254" s="17" t="str">
        <f aca="false">IF((E254="t"),H254," ")</f>
        <v> </v>
      </c>
      <c r="W254" s="17" t="str">
        <f aca="false">IF((E254="q"),H254," ")</f>
        <v> </v>
      </c>
      <c r="X254" s="17" t="str">
        <f aca="false">IF((E254="m"),H254," ")</f>
        <v> </v>
      </c>
      <c r="Y254" s="17" t="str">
        <f aca="false">IF((E254="u"),H254," ")</f>
        <v> </v>
      </c>
      <c r="Z254" s="17" t="str">
        <f aca="false">IF((E254="a"),H254," ")</f>
        <v> </v>
      </c>
      <c r="AA254" s="17" t="str">
        <f aca="false">IF((E254="g"),H254," ")</f>
        <v> </v>
      </c>
      <c r="AB254" s="17" t="str">
        <f aca="false">IF((E254="h"),H254," ")</f>
        <v> </v>
      </c>
      <c r="AC254" s="30" t="str">
        <f aca="false">IF((E254="v"),H254," ")</f>
        <v> </v>
      </c>
      <c r="AD254" s="30" t="str">
        <f aca="false">IF((E254="n"),H254," ")</f>
        <v> </v>
      </c>
      <c r="AE254" s="17" t="str">
        <f aca="false">IF((E254="f"),H254," ")</f>
        <v> </v>
      </c>
      <c r="AF254" s="17" t="str">
        <f aca="false">IF((E254="l"),H254," ")</f>
        <v> </v>
      </c>
      <c r="AG254" s="17" t="str">
        <f aca="false">IF((E254="y"),H254," ")</f>
        <v> </v>
      </c>
      <c r="AH254" s="17" t="str">
        <f aca="false">IF((E254="z"),H254," ")</f>
        <v> </v>
      </c>
      <c r="AI254" s="17" t="str">
        <f aca="false">IF((E254="fa"),H254," ")</f>
        <v> </v>
      </c>
      <c r="AJ254" s="17" t="str">
        <f aca="false">IF((E254="e"),H254," ")</f>
        <v> </v>
      </c>
    </row>
    <row r="255" customFormat="false" ht="12" hidden="false" customHeight="false" outlineLevel="0" collapsed="false">
      <c r="A255" s="28"/>
      <c r="E255" s="2" t="str">
        <f aca="false">IF((F255&lt;&gt;0),"Enter Letter"," ")</f>
        <v> </v>
      </c>
      <c r="F255" s="30"/>
      <c r="G255" s="6" t="str">
        <f aca="false">IF(F255&lt;&gt;0,F255*G$2/(100+G$2)," ")</f>
        <v> </v>
      </c>
      <c r="H255" s="6" t="str">
        <f aca="false">IF((F255&lt;&gt;0),F255-G255," ")</f>
        <v> </v>
      </c>
      <c r="I255" s="5"/>
      <c r="L255" s="7" t="str">
        <f aca="false">IF(F255&lt;&gt;0,F255-K255," ")</f>
        <v> </v>
      </c>
      <c r="M255" s="8" t="str">
        <f aca="false">IF((F255-K255)&lt;&gt;0,M$1-A255," ")</f>
        <v> </v>
      </c>
      <c r="N255" s="5"/>
      <c r="O255" s="17" t="str">
        <f aca="false">IF((E255="s"),H255," ")</f>
        <v> </v>
      </c>
      <c r="P255" s="17" t="str">
        <f aca="false">IF((E255="c"),H255," ")</f>
        <v> </v>
      </c>
      <c r="Q255" s="17" t="str">
        <f aca="false">IF((E255="o"),H255," ")</f>
        <v> </v>
      </c>
      <c r="R255" s="17" t="str">
        <f aca="false">IF((E255="d"),H255," ")</f>
        <v> </v>
      </c>
      <c r="S255" s="17" t="str">
        <f aca="false">IF((E255="w"),H255," ")</f>
        <v> </v>
      </c>
      <c r="T255" s="17" t="str">
        <f aca="false">IF((E255="r"),H255," ")</f>
        <v> </v>
      </c>
      <c r="U255" s="17" t="str">
        <f aca="false">IF((E255="p"),H255," ")</f>
        <v> </v>
      </c>
      <c r="V255" s="17" t="str">
        <f aca="false">IF((E255="t"),H255," ")</f>
        <v> </v>
      </c>
      <c r="W255" s="17" t="str">
        <f aca="false">IF((E255="q"),H255," ")</f>
        <v> </v>
      </c>
      <c r="X255" s="17" t="str">
        <f aca="false">IF((E255="m"),H255," ")</f>
        <v> </v>
      </c>
      <c r="Y255" s="17" t="str">
        <f aca="false">IF((E255="u"),H255," ")</f>
        <v> </v>
      </c>
      <c r="Z255" s="17" t="str">
        <f aca="false">IF((E255="a"),H255," ")</f>
        <v> </v>
      </c>
      <c r="AA255" s="17" t="str">
        <f aca="false">IF((E255="g"),H255," ")</f>
        <v> </v>
      </c>
      <c r="AB255" s="17" t="str">
        <f aca="false">IF((E255="h"),H255," ")</f>
        <v> </v>
      </c>
      <c r="AC255" s="30" t="str">
        <f aca="false">IF((E255="v"),H255," ")</f>
        <v> </v>
      </c>
      <c r="AD255" s="30" t="str">
        <f aca="false">IF((E255="n"),H255," ")</f>
        <v> </v>
      </c>
      <c r="AE255" s="17" t="str">
        <f aca="false">IF((E255="f"),H255," ")</f>
        <v> </v>
      </c>
      <c r="AF255" s="17" t="str">
        <f aca="false">IF((E255="l"),H255," ")</f>
        <v> </v>
      </c>
      <c r="AG255" s="17" t="str">
        <f aca="false">IF((E255="y"),H255," ")</f>
        <v> </v>
      </c>
      <c r="AH255" s="17" t="str">
        <f aca="false">IF((E255="z"),H255," ")</f>
        <v> </v>
      </c>
      <c r="AI255" s="17" t="str">
        <f aca="false">IF((E255="fa"),H255," ")</f>
        <v> </v>
      </c>
      <c r="AJ255" s="17" t="str">
        <f aca="false">IF((E255="e"),H255," ")</f>
        <v> </v>
      </c>
    </row>
    <row r="256" customFormat="false" ht="12" hidden="false" customHeight="false" outlineLevel="0" collapsed="false">
      <c r="A256" s="28"/>
      <c r="E256" s="2" t="str">
        <f aca="false">IF((F256&lt;&gt;0),"Enter Letter"," ")</f>
        <v> </v>
      </c>
      <c r="F256" s="30"/>
      <c r="G256" s="6" t="str">
        <f aca="false">IF(F256&lt;&gt;0,F256*G$2/(100+G$2)," ")</f>
        <v> </v>
      </c>
      <c r="H256" s="6" t="str">
        <f aca="false">IF((F256&lt;&gt;0),F256-G256," ")</f>
        <v> </v>
      </c>
      <c r="I256" s="5"/>
      <c r="L256" s="7" t="str">
        <f aca="false">IF(F256&lt;&gt;0,F256-K256," ")</f>
        <v> </v>
      </c>
      <c r="M256" s="8" t="str">
        <f aca="false">IF((F256-K256)&lt;&gt;0,M$1-A256," ")</f>
        <v> </v>
      </c>
      <c r="N256" s="5"/>
      <c r="O256" s="17" t="str">
        <f aca="false">IF((E256="s"),H256," ")</f>
        <v> </v>
      </c>
      <c r="P256" s="17" t="str">
        <f aca="false">IF((E256="c"),H256," ")</f>
        <v> </v>
      </c>
      <c r="Q256" s="17" t="str">
        <f aca="false">IF((E256="o"),H256," ")</f>
        <v> </v>
      </c>
      <c r="R256" s="17" t="str">
        <f aca="false">IF((E256="d"),H256," ")</f>
        <v> </v>
      </c>
      <c r="S256" s="17" t="str">
        <f aca="false">IF((E256="w"),H256," ")</f>
        <v> </v>
      </c>
      <c r="T256" s="17" t="str">
        <f aca="false">IF((E256="r"),H256," ")</f>
        <v> </v>
      </c>
      <c r="U256" s="17" t="str">
        <f aca="false">IF((E256="p"),H256," ")</f>
        <v> </v>
      </c>
      <c r="V256" s="17" t="str">
        <f aca="false">IF((E256="t"),H256," ")</f>
        <v> </v>
      </c>
      <c r="W256" s="17" t="str">
        <f aca="false">IF((E256="q"),H256," ")</f>
        <v> </v>
      </c>
      <c r="X256" s="17" t="str">
        <f aca="false">IF((E256="m"),H256," ")</f>
        <v> </v>
      </c>
      <c r="Y256" s="17" t="str">
        <f aca="false">IF((E256="u"),H256," ")</f>
        <v> </v>
      </c>
      <c r="Z256" s="17" t="str">
        <f aca="false">IF((E256="a"),H256," ")</f>
        <v> </v>
      </c>
      <c r="AA256" s="17" t="str">
        <f aca="false">IF((E256="g"),H256," ")</f>
        <v> </v>
      </c>
      <c r="AB256" s="17" t="str">
        <f aca="false">IF((E256="h"),H256," ")</f>
        <v> </v>
      </c>
      <c r="AC256" s="30" t="str">
        <f aca="false">IF((E256="v"),H256," ")</f>
        <v> </v>
      </c>
      <c r="AD256" s="30" t="str">
        <f aca="false">IF((E256="n"),H256," ")</f>
        <v> </v>
      </c>
      <c r="AE256" s="17" t="str">
        <f aca="false">IF((E256="f"),H256," ")</f>
        <v> </v>
      </c>
      <c r="AF256" s="17" t="str">
        <f aca="false">IF((E256="l"),H256," ")</f>
        <v> </v>
      </c>
      <c r="AG256" s="17" t="str">
        <f aca="false">IF((E256="y"),H256," ")</f>
        <v> </v>
      </c>
      <c r="AH256" s="17" t="str">
        <f aca="false">IF((E256="z"),H256," ")</f>
        <v> </v>
      </c>
      <c r="AI256" s="17" t="str">
        <f aca="false">IF((E256="fa"),H256," ")</f>
        <v> </v>
      </c>
      <c r="AJ256" s="17" t="str">
        <f aca="false">IF((E256="e"),H256," ")</f>
        <v> </v>
      </c>
    </row>
    <row r="257" customFormat="false" ht="12" hidden="false" customHeight="false" outlineLevel="0" collapsed="false">
      <c r="A257" s="28"/>
      <c r="E257" s="2" t="str">
        <f aca="false">IF((F257&lt;&gt;0),"Enter Letter"," ")</f>
        <v> </v>
      </c>
      <c r="F257" s="30"/>
      <c r="G257" s="6" t="str">
        <f aca="false">IF(F257&lt;&gt;0,F257*G$2/(100+G$2)," ")</f>
        <v> </v>
      </c>
      <c r="H257" s="6" t="str">
        <f aca="false">IF((F257&lt;&gt;0),F257-G257," ")</f>
        <v> </v>
      </c>
      <c r="I257" s="5"/>
      <c r="L257" s="7" t="str">
        <f aca="false">IF(F257&lt;&gt;0,F257-K257," ")</f>
        <v> </v>
      </c>
      <c r="M257" s="8" t="str">
        <f aca="false">IF((F257-K257)&lt;&gt;0,M$1-A257," ")</f>
        <v> </v>
      </c>
      <c r="N257" s="5"/>
      <c r="O257" s="17" t="str">
        <f aca="false">IF((E257="s"),H257," ")</f>
        <v> </v>
      </c>
      <c r="P257" s="17" t="str">
        <f aca="false">IF((E257="c"),H257," ")</f>
        <v> </v>
      </c>
      <c r="Q257" s="17" t="str">
        <f aca="false">IF((E257="o"),H257," ")</f>
        <v> </v>
      </c>
      <c r="R257" s="17" t="str">
        <f aca="false">IF((E257="d"),H257," ")</f>
        <v> </v>
      </c>
      <c r="S257" s="17" t="str">
        <f aca="false">IF((E257="w"),H257," ")</f>
        <v> </v>
      </c>
      <c r="T257" s="17" t="str">
        <f aca="false">IF((E257="r"),H257," ")</f>
        <v> </v>
      </c>
      <c r="U257" s="17" t="str">
        <f aca="false">IF((E257="p"),H257," ")</f>
        <v> </v>
      </c>
      <c r="V257" s="17" t="str">
        <f aca="false">IF((E257="t"),H257," ")</f>
        <v> </v>
      </c>
      <c r="W257" s="17" t="str">
        <f aca="false">IF((E257="q"),H257," ")</f>
        <v> </v>
      </c>
      <c r="X257" s="17" t="str">
        <f aca="false">IF((E257="m"),H257," ")</f>
        <v> </v>
      </c>
      <c r="Y257" s="17" t="str">
        <f aca="false">IF((E257="u"),H257," ")</f>
        <v> </v>
      </c>
      <c r="Z257" s="17" t="str">
        <f aca="false">IF((E257="a"),H257," ")</f>
        <v> </v>
      </c>
      <c r="AA257" s="17" t="str">
        <f aca="false">IF((E257="g"),H257," ")</f>
        <v> </v>
      </c>
      <c r="AB257" s="17" t="str">
        <f aca="false">IF((E257="h"),H257," ")</f>
        <v> </v>
      </c>
      <c r="AC257" s="30" t="str">
        <f aca="false">IF((E257="v"),H257," ")</f>
        <v> </v>
      </c>
      <c r="AD257" s="30" t="str">
        <f aca="false">IF((E257="n"),H257," ")</f>
        <v> </v>
      </c>
      <c r="AE257" s="17" t="str">
        <f aca="false">IF((E257="f"),H257," ")</f>
        <v> </v>
      </c>
      <c r="AF257" s="17" t="str">
        <f aca="false">IF((E257="l"),H257," ")</f>
        <v> </v>
      </c>
      <c r="AG257" s="17" t="str">
        <f aca="false">IF((E257="y"),H257," ")</f>
        <v> </v>
      </c>
      <c r="AH257" s="17" t="str">
        <f aca="false">IF((E257="z"),H257," ")</f>
        <v> </v>
      </c>
      <c r="AI257" s="17" t="str">
        <f aca="false">IF((E257="fa"),H257," ")</f>
        <v> </v>
      </c>
      <c r="AJ257" s="17" t="str">
        <f aca="false">IF((E257="e"),H257," ")</f>
        <v> </v>
      </c>
    </row>
    <row r="258" customFormat="false" ht="12" hidden="false" customHeight="false" outlineLevel="0" collapsed="false">
      <c r="A258" s="28"/>
      <c r="E258" s="2" t="str">
        <f aca="false">IF((F258&lt;&gt;0),"Enter Letter"," ")</f>
        <v> </v>
      </c>
      <c r="F258" s="30"/>
      <c r="G258" s="6" t="str">
        <f aca="false">IF(F258&lt;&gt;0,F258*G$2/(100+G$2)," ")</f>
        <v> </v>
      </c>
      <c r="H258" s="6" t="str">
        <f aca="false">IF((F258&lt;&gt;0),F258-G258," ")</f>
        <v> </v>
      </c>
      <c r="I258" s="5"/>
      <c r="L258" s="7" t="str">
        <f aca="false">IF(F258&lt;&gt;0,F258-K258," ")</f>
        <v> </v>
      </c>
      <c r="M258" s="8" t="str">
        <f aca="false">IF((F258-K258)&lt;&gt;0,M$1-A258," ")</f>
        <v> </v>
      </c>
      <c r="N258" s="5"/>
      <c r="O258" s="17" t="str">
        <f aca="false">IF((E258="s"),H258," ")</f>
        <v> </v>
      </c>
      <c r="P258" s="17" t="str">
        <f aca="false">IF((E258="c"),H258," ")</f>
        <v> </v>
      </c>
      <c r="Q258" s="17" t="str">
        <f aca="false">IF((E258="o"),H258," ")</f>
        <v> </v>
      </c>
      <c r="R258" s="17" t="str">
        <f aca="false">IF((E258="d"),H258," ")</f>
        <v> </v>
      </c>
      <c r="S258" s="17" t="str">
        <f aca="false">IF((E258="w"),H258," ")</f>
        <v> </v>
      </c>
      <c r="T258" s="17" t="str">
        <f aca="false">IF((E258="r"),H258," ")</f>
        <v> </v>
      </c>
      <c r="U258" s="17" t="str">
        <f aca="false">IF((E258="p"),H258," ")</f>
        <v> </v>
      </c>
      <c r="V258" s="17" t="str">
        <f aca="false">IF((E258="t"),H258," ")</f>
        <v> </v>
      </c>
      <c r="W258" s="17" t="str">
        <f aca="false">IF((E258="q"),H258," ")</f>
        <v> </v>
      </c>
      <c r="X258" s="17" t="str">
        <f aca="false">IF((E258="m"),H258," ")</f>
        <v> </v>
      </c>
      <c r="Y258" s="17" t="str">
        <f aca="false">IF((E258="u"),H258," ")</f>
        <v> </v>
      </c>
      <c r="Z258" s="17" t="str">
        <f aca="false">IF((E258="a"),H258," ")</f>
        <v> </v>
      </c>
      <c r="AA258" s="17" t="str">
        <f aca="false">IF((E258="g"),H258," ")</f>
        <v> </v>
      </c>
      <c r="AB258" s="17" t="str">
        <f aca="false">IF((E258="h"),H258," ")</f>
        <v> </v>
      </c>
      <c r="AC258" s="30" t="str">
        <f aca="false">IF((E258="v"),H258," ")</f>
        <v> </v>
      </c>
      <c r="AD258" s="30" t="str">
        <f aca="false">IF((E258="n"),H258," ")</f>
        <v> </v>
      </c>
      <c r="AE258" s="17" t="str">
        <f aca="false">IF((E258="f"),H258," ")</f>
        <v> </v>
      </c>
      <c r="AF258" s="17" t="str">
        <f aca="false">IF((E258="l"),H258," ")</f>
        <v> </v>
      </c>
      <c r="AG258" s="17" t="str">
        <f aca="false">IF((E258="y"),H258," ")</f>
        <v> </v>
      </c>
      <c r="AH258" s="17" t="str">
        <f aca="false">IF((E258="z"),H258," ")</f>
        <v> </v>
      </c>
      <c r="AI258" s="17" t="str">
        <f aca="false">IF((E258="fa"),H258," ")</f>
        <v> </v>
      </c>
      <c r="AJ258" s="17" t="str">
        <f aca="false">IF((E258="e"),H258," ")</f>
        <v> </v>
      </c>
    </row>
    <row r="259" customFormat="false" ht="12" hidden="false" customHeight="false" outlineLevel="0" collapsed="false">
      <c r="A259" s="28"/>
      <c r="E259" s="2" t="str">
        <f aca="false">IF((F259&lt;&gt;0),"Enter Letter"," ")</f>
        <v> </v>
      </c>
      <c r="F259" s="30"/>
      <c r="G259" s="6" t="str">
        <f aca="false">IF(F259&lt;&gt;0,F259*G$2/(100+G$2)," ")</f>
        <v> </v>
      </c>
      <c r="H259" s="6" t="str">
        <f aca="false">IF((F259&lt;&gt;0),F259-G259," ")</f>
        <v> </v>
      </c>
      <c r="I259" s="5"/>
      <c r="L259" s="7" t="str">
        <f aca="false">IF(F259&lt;&gt;0,F259-K259," ")</f>
        <v> </v>
      </c>
      <c r="M259" s="8" t="str">
        <f aca="false">IF((F259-K259)&lt;&gt;0,M$1-A259," ")</f>
        <v> </v>
      </c>
      <c r="N259" s="5"/>
      <c r="O259" s="17" t="str">
        <f aca="false">IF((E259="s"),H259," ")</f>
        <v> </v>
      </c>
      <c r="P259" s="17" t="str">
        <f aca="false">IF((E259="c"),H259," ")</f>
        <v> </v>
      </c>
      <c r="Q259" s="17" t="str">
        <f aca="false">IF((E259="o"),H259," ")</f>
        <v> </v>
      </c>
      <c r="R259" s="17" t="str">
        <f aca="false">IF((E259="d"),H259," ")</f>
        <v> </v>
      </c>
      <c r="S259" s="17" t="str">
        <f aca="false">IF((E259="w"),H259," ")</f>
        <v> </v>
      </c>
      <c r="T259" s="17" t="str">
        <f aca="false">IF((E259="r"),H259," ")</f>
        <v> </v>
      </c>
      <c r="U259" s="17" t="str">
        <f aca="false">IF((E259="p"),H259," ")</f>
        <v> </v>
      </c>
      <c r="V259" s="17" t="str">
        <f aca="false">IF((E259="t"),H259," ")</f>
        <v> </v>
      </c>
      <c r="W259" s="17" t="str">
        <f aca="false">IF((E259="q"),H259," ")</f>
        <v> </v>
      </c>
      <c r="X259" s="17" t="str">
        <f aca="false">IF((E259="m"),H259," ")</f>
        <v> </v>
      </c>
      <c r="Y259" s="17" t="str">
        <f aca="false">IF((E259="u"),H259," ")</f>
        <v> </v>
      </c>
      <c r="Z259" s="17" t="str">
        <f aca="false">IF((E259="a"),H259," ")</f>
        <v> </v>
      </c>
      <c r="AA259" s="17" t="str">
        <f aca="false">IF((E259="g"),H259," ")</f>
        <v> </v>
      </c>
      <c r="AB259" s="17" t="str">
        <f aca="false">IF((E259="h"),H259," ")</f>
        <v> </v>
      </c>
      <c r="AC259" s="30" t="str">
        <f aca="false">IF((E259="v"),H259," ")</f>
        <v> </v>
      </c>
      <c r="AD259" s="30" t="str">
        <f aca="false">IF((E259="n"),H259," ")</f>
        <v> </v>
      </c>
      <c r="AE259" s="17" t="str">
        <f aca="false">IF((E259="f"),H259," ")</f>
        <v> </v>
      </c>
      <c r="AF259" s="17" t="str">
        <f aca="false">IF((E259="l"),H259," ")</f>
        <v> </v>
      </c>
      <c r="AG259" s="17" t="str">
        <f aca="false">IF((E259="y"),H259," ")</f>
        <v> </v>
      </c>
      <c r="AH259" s="17" t="str">
        <f aca="false">IF((E259="z"),H259," ")</f>
        <v> </v>
      </c>
      <c r="AI259" s="17" t="str">
        <f aca="false">IF((E259="fa"),H259," ")</f>
        <v> </v>
      </c>
      <c r="AJ259" s="17" t="str">
        <f aca="false">IF((E259="e"),H259," ")</f>
        <v> </v>
      </c>
    </row>
    <row r="260" customFormat="false" ht="12" hidden="false" customHeight="false" outlineLevel="0" collapsed="false">
      <c r="A260" s="28"/>
      <c r="E260" s="2" t="str">
        <f aca="false">IF((F260&lt;&gt;0),"Enter Letter"," ")</f>
        <v> </v>
      </c>
      <c r="F260" s="30"/>
      <c r="G260" s="6" t="str">
        <f aca="false">IF(F260&lt;&gt;0,F260*G$2/(100+G$2)," ")</f>
        <v> </v>
      </c>
      <c r="H260" s="6" t="str">
        <f aca="false">IF((F260&lt;&gt;0),F260-G260," ")</f>
        <v> </v>
      </c>
      <c r="I260" s="5"/>
      <c r="L260" s="7" t="str">
        <f aca="false">IF(F260&lt;&gt;0,F260-K260," ")</f>
        <v> </v>
      </c>
      <c r="M260" s="8" t="str">
        <f aca="false">IF((F260-K260)&lt;&gt;0,M$1-A260," ")</f>
        <v> </v>
      </c>
      <c r="N260" s="5"/>
      <c r="O260" s="17" t="str">
        <f aca="false">IF((E260="s"),H260," ")</f>
        <v> </v>
      </c>
      <c r="P260" s="17" t="str">
        <f aca="false">IF((E260="c"),H260," ")</f>
        <v> </v>
      </c>
      <c r="Q260" s="17" t="str">
        <f aca="false">IF((E260="o"),H260," ")</f>
        <v> </v>
      </c>
      <c r="R260" s="17" t="str">
        <f aca="false">IF((E260="d"),H260," ")</f>
        <v> </v>
      </c>
      <c r="S260" s="17" t="str">
        <f aca="false">IF((E260="w"),H260," ")</f>
        <v> </v>
      </c>
      <c r="T260" s="17" t="str">
        <f aca="false">IF((E260="r"),H260," ")</f>
        <v> </v>
      </c>
      <c r="U260" s="17" t="str">
        <f aca="false">IF((E260="p"),H260," ")</f>
        <v> </v>
      </c>
      <c r="V260" s="17" t="str">
        <f aca="false">IF((E260="t"),H260," ")</f>
        <v> </v>
      </c>
      <c r="W260" s="17" t="str">
        <f aca="false">IF((E260="q"),H260," ")</f>
        <v> </v>
      </c>
      <c r="X260" s="17" t="str">
        <f aca="false">IF((E260="m"),H260," ")</f>
        <v> </v>
      </c>
      <c r="Y260" s="17" t="str">
        <f aca="false">IF((E260="u"),H260," ")</f>
        <v> </v>
      </c>
      <c r="Z260" s="17" t="str">
        <f aca="false">IF((E260="a"),H260," ")</f>
        <v> </v>
      </c>
      <c r="AA260" s="17" t="str">
        <f aca="false">IF((E260="g"),H260," ")</f>
        <v> </v>
      </c>
      <c r="AB260" s="17" t="str">
        <f aca="false">IF((E260="h"),H260," ")</f>
        <v> </v>
      </c>
      <c r="AC260" s="30" t="str">
        <f aca="false">IF((E260="v"),H260," ")</f>
        <v> </v>
      </c>
      <c r="AD260" s="30" t="str">
        <f aca="false">IF((E260="n"),H260," ")</f>
        <v> </v>
      </c>
      <c r="AE260" s="17" t="str">
        <f aca="false">IF((E260="f"),H260," ")</f>
        <v> </v>
      </c>
      <c r="AF260" s="17" t="str">
        <f aca="false">IF((E260="l"),H260," ")</f>
        <v> </v>
      </c>
      <c r="AG260" s="17" t="str">
        <f aca="false">IF((E260="y"),H260," ")</f>
        <v> </v>
      </c>
      <c r="AH260" s="17" t="str">
        <f aca="false">IF((E260="z"),H260," ")</f>
        <v> </v>
      </c>
      <c r="AI260" s="17" t="str">
        <f aca="false">IF((E260="fa"),H260," ")</f>
        <v> </v>
      </c>
      <c r="AJ260" s="17" t="str">
        <f aca="false">IF((E260="e"),H260," ")</f>
        <v> </v>
      </c>
    </row>
    <row r="261" customFormat="false" ht="12" hidden="false" customHeight="false" outlineLevel="0" collapsed="false">
      <c r="A261" s="28"/>
      <c r="E261" s="2" t="str">
        <f aca="false">IF((F261&lt;&gt;0),"Enter Letter"," ")</f>
        <v> </v>
      </c>
      <c r="F261" s="30"/>
      <c r="G261" s="6" t="str">
        <f aca="false">IF(F261&lt;&gt;0,F261*G$2/(100+G$2)," ")</f>
        <v> </v>
      </c>
      <c r="H261" s="6" t="str">
        <f aca="false">IF((F261&lt;&gt;0),F261-G261," ")</f>
        <v> </v>
      </c>
      <c r="I261" s="5"/>
      <c r="L261" s="7" t="str">
        <f aca="false">IF(F261&lt;&gt;0,F261-K261," ")</f>
        <v> </v>
      </c>
      <c r="M261" s="8" t="str">
        <f aca="false">IF((F261-K261)&lt;&gt;0,M$1-A261," ")</f>
        <v> </v>
      </c>
      <c r="N261" s="5"/>
      <c r="O261" s="17" t="str">
        <f aca="false">IF((E261="s"),H261," ")</f>
        <v> </v>
      </c>
      <c r="P261" s="17" t="str">
        <f aca="false">IF((E261="c"),H261," ")</f>
        <v> </v>
      </c>
      <c r="Q261" s="17" t="str">
        <f aca="false">IF((E261="o"),H261," ")</f>
        <v> </v>
      </c>
      <c r="R261" s="17" t="str">
        <f aca="false">IF((E261="d"),H261," ")</f>
        <v> </v>
      </c>
      <c r="S261" s="17" t="str">
        <f aca="false">IF((E261="w"),H261," ")</f>
        <v> </v>
      </c>
      <c r="T261" s="17" t="str">
        <f aca="false">IF((E261="r"),H261," ")</f>
        <v> </v>
      </c>
      <c r="U261" s="17" t="str">
        <f aca="false">IF((E261="p"),H261," ")</f>
        <v> </v>
      </c>
      <c r="V261" s="17" t="str">
        <f aca="false">IF((E261="t"),H261," ")</f>
        <v> </v>
      </c>
      <c r="W261" s="17" t="str">
        <f aca="false">IF((E261="q"),H261," ")</f>
        <v> </v>
      </c>
      <c r="X261" s="17" t="str">
        <f aca="false">IF((E261="m"),H261," ")</f>
        <v> </v>
      </c>
      <c r="Y261" s="17" t="str">
        <f aca="false">IF((E261="u"),H261," ")</f>
        <v> </v>
      </c>
      <c r="Z261" s="17" t="str">
        <f aca="false">IF((E261="a"),H261," ")</f>
        <v> </v>
      </c>
      <c r="AA261" s="17" t="str">
        <f aca="false">IF((E261="g"),H261," ")</f>
        <v> </v>
      </c>
      <c r="AB261" s="17" t="str">
        <f aca="false">IF((E261="h"),H261," ")</f>
        <v> </v>
      </c>
      <c r="AC261" s="30" t="str">
        <f aca="false">IF((E261="v"),H261," ")</f>
        <v> </v>
      </c>
      <c r="AD261" s="30" t="str">
        <f aca="false">IF((E261="n"),H261," ")</f>
        <v> </v>
      </c>
      <c r="AE261" s="17" t="str">
        <f aca="false">IF((E261="f"),H261," ")</f>
        <v> </v>
      </c>
      <c r="AF261" s="17" t="str">
        <f aca="false">IF((E261="l"),H261," ")</f>
        <v> </v>
      </c>
      <c r="AG261" s="17" t="str">
        <f aca="false">IF((E261="y"),H261," ")</f>
        <v> </v>
      </c>
      <c r="AH261" s="17" t="str">
        <f aca="false">IF((E261="z"),H261," ")</f>
        <v> </v>
      </c>
      <c r="AI261" s="17" t="str">
        <f aca="false">IF((E261="fa"),H261," ")</f>
        <v> </v>
      </c>
      <c r="AJ261" s="17" t="str">
        <f aca="false">IF((E261="e"),H261," ")</f>
        <v> </v>
      </c>
    </row>
    <row r="262" customFormat="false" ht="12" hidden="false" customHeight="false" outlineLevel="0" collapsed="false">
      <c r="A262" s="28"/>
      <c r="E262" s="2" t="str">
        <f aca="false">IF((F262&lt;&gt;0),"Enter Letter"," ")</f>
        <v> </v>
      </c>
      <c r="F262" s="30"/>
      <c r="G262" s="6" t="str">
        <f aca="false">IF(F262&lt;&gt;0,F262*G$2/(100+G$2)," ")</f>
        <v> </v>
      </c>
      <c r="H262" s="6" t="str">
        <f aca="false">IF((F262&lt;&gt;0),F262-G262," ")</f>
        <v> </v>
      </c>
      <c r="I262" s="5"/>
      <c r="L262" s="7" t="str">
        <f aca="false">IF(F262&lt;&gt;0,F262-K262," ")</f>
        <v> </v>
      </c>
      <c r="M262" s="8" t="str">
        <f aca="false">IF((F262-K262)&lt;&gt;0,M$1-A262," ")</f>
        <v> </v>
      </c>
      <c r="N262" s="5"/>
      <c r="O262" s="17" t="str">
        <f aca="false">IF((E262="s"),H262," ")</f>
        <v> </v>
      </c>
      <c r="P262" s="17" t="str">
        <f aca="false">IF((E262="c"),H262," ")</f>
        <v> </v>
      </c>
      <c r="Q262" s="17" t="str">
        <f aca="false">IF((E262="o"),H262," ")</f>
        <v> </v>
      </c>
      <c r="R262" s="17" t="str">
        <f aca="false">IF((E262="d"),H262," ")</f>
        <v> </v>
      </c>
      <c r="S262" s="17" t="str">
        <f aca="false">IF((E262="w"),H262," ")</f>
        <v> </v>
      </c>
      <c r="T262" s="17" t="str">
        <f aca="false">IF((E262="r"),H262," ")</f>
        <v> </v>
      </c>
      <c r="U262" s="17" t="str">
        <f aca="false">IF((E262="p"),H262," ")</f>
        <v> </v>
      </c>
      <c r="V262" s="17" t="str">
        <f aca="false">IF((E262="t"),H262," ")</f>
        <v> </v>
      </c>
      <c r="W262" s="17" t="str">
        <f aca="false">IF((E262="q"),H262," ")</f>
        <v> </v>
      </c>
      <c r="X262" s="17" t="str">
        <f aca="false">IF((E262="m"),H262," ")</f>
        <v> </v>
      </c>
      <c r="Y262" s="17" t="str">
        <f aca="false">IF((E262="u"),H262," ")</f>
        <v> </v>
      </c>
      <c r="Z262" s="17" t="str">
        <f aca="false">IF((E262="a"),H262," ")</f>
        <v> </v>
      </c>
      <c r="AA262" s="17" t="str">
        <f aca="false">IF((E262="g"),H262," ")</f>
        <v> </v>
      </c>
      <c r="AB262" s="17" t="str">
        <f aca="false">IF((E262="h"),H262," ")</f>
        <v> </v>
      </c>
      <c r="AC262" s="30" t="str">
        <f aca="false">IF((E262="v"),H262," ")</f>
        <v> </v>
      </c>
      <c r="AD262" s="30" t="str">
        <f aca="false">IF((E262="n"),H262," ")</f>
        <v> </v>
      </c>
      <c r="AE262" s="17" t="str">
        <f aca="false">IF((E262="f"),H262," ")</f>
        <v> </v>
      </c>
      <c r="AF262" s="17" t="str">
        <f aca="false">IF((E262="l"),H262," ")</f>
        <v> </v>
      </c>
      <c r="AG262" s="17" t="str">
        <f aca="false">IF((E262="y"),H262," ")</f>
        <v> </v>
      </c>
      <c r="AH262" s="17" t="str">
        <f aca="false">IF((E262="z"),H262," ")</f>
        <v> </v>
      </c>
      <c r="AI262" s="17" t="str">
        <f aca="false">IF((E262="fa"),H262," ")</f>
        <v> </v>
      </c>
      <c r="AJ262" s="17" t="str">
        <f aca="false">IF((E262="e"),H262," ")</f>
        <v> </v>
      </c>
    </row>
    <row r="263" customFormat="false" ht="12" hidden="false" customHeight="false" outlineLevel="0" collapsed="false">
      <c r="A263" s="28"/>
      <c r="E263" s="2" t="str">
        <f aca="false">IF((F263&lt;&gt;0),"Enter Letter"," ")</f>
        <v> </v>
      </c>
      <c r="F263" s="30"/>
      <c r="G263" s="6" t="str">
        <f aca="false">IF(F263&lt;&gt;0,F263*G$2/(100+G$2)," ")</f>
        <v> </v>
      </c>
      <c r="H263" s="6" t="str">
        <f aca="false">IF((F263&lt;&gt;0),F263-G263," ")</f>
        <v> </v>
      </c>
      <c r="I263" s="5"/>
      <c r="L263" s="7" t="str">
        <f aca="false">IF(F263&lt;&gt;0,F263-K263," ")</f>
        <v> </v>
      </c>
      <c r="M263" s="8" t="str">
        <f aca="false">IF((F263-K263)&lt;&gt;0,M$1-A263," ")</f>
        <v> </v>
      </c>
      <c r="N263" s="5"/>
      <c r="O263" s="17" t="str">
        <f aca="false">IF((E263="s"),H263," ")</f>
        <v> </v>
      </c>
      <c r="P263" s="17" t="str">
        <f aca="false">IF((E263="c"),H263," ")</f>
        <v> </v>
      </c>
      <c r="Q263" s="17" t="str">
        <f aca="false">IF((E263="o"),H263," ")</f>
        <v> </v>
      </c>
      <c r="R263" s="17" t="str">
        <f aca="false">IF((E263="d"),H263," ")</f>
        <v> </v>
      </c>
      <c r="S263" s="17" t="str">
        <f aca="false">IF((E263="w"),H263," ")</f>
        <v> </v>
      </c>
      <c r="T263" s="17" t="str">
        <f aca="false">IF((E263="r"),H263," ")</f>
        <v> </v>
      </c>
      <c r="U263" s="17" t="str">
        <f aca="false">IF((E263="p"),H263," ")</f>
        <v> </v>
      </c>
      <c r="V263" s="17" t="str">
        <f aca="false">IF((E263="t"),H263," ")</f>
        <v> </v>
      </c>
      <c r="W263" s="17" t="str">
        <f aca="false">IF((E263="q"),H263," ")</f>
        <v> </v>
      </c>
      <c r="X263" s="17" t="str">
        <f aca="false">IF((E263="m"),H263," ")</f>
        <v> </v>
      </c>
      <c r="Y263" s="17" t="str">
        <f aca="false">IF((E263="u"),H263," ")</f>
        <v> </v>
      </c>
      <c r="Z263" s="17" t="str">
        <f aca="false">IF((E263="a"),H263," ")</f>
        <v> </v>
      </c>
      <c r="AA263" s="17" t="str">
        <f aca="false">IF((E263="g"),H263," ")</f>
        <v> </v>
      </c>
      <c r="AB263" s="17" t="str">
        <f aca="false">IF((E263="h"),H263," ")</f>
        <v> </v>
      </c>
      <c r="AC263" s="30" t="str">
        <f aca="false">IF((E263="v"),H263," ")</f>
        <v> </v>
      </c>
      <c r="AD263" s="30" t="str">
        <f aca="false">IF((E263="n"),H263," ")</f>
        <v> </v>
      </c>
      <c r="AE263" s="17" t="str">
        <f aca="false">IF((E263="f"),H263," ")</f>
        <v> </v>
      </c>
      <c r="AF263" s="17" t="str">
        <f aca="false">IF((E263="l"),H263," ")</f>
        <v> </v>
      </c>
      <c r="AG263" s="17" t="str">
        <f aca="false">IF((E263="y"),H263," ")</f>
        <v> </v>
      </c>
      <c r="AH263" s="17" t="str">
        <f aca="false">IF((E263="z"),H263," ")</f>
        <v> </v>
      </c>
      <c r="AI263" s="17" t="str">
        <f aca="false">IF((E263="fa"),H263," ")</f>
        <v> </v>
      </c>
      <c r="AJ263" s="17" t="str">
        <f aca="false">IF((E263="e"),H263," ")</f>
        <v> </v>
      </c>
    </row>
    <row r="264" customFormat="false" ht="12" hidden="false" customHeight="false" outlineLevel="0" collapsed="false">
      <c r="A264" s="28"/>
      <c r="E264" s="2" t="str">
        <f aca="false">IF((F264&lt;&gt;0),"Enter Letter"," ")</f>
        <v> </v>
      </c>
      <c r="F264" s="30"/>
      <c r="G264" s="6" t="str">
        <f aca="false">IF(F264&lt;&gt;0,F264*G$2/(100+G$2)," ")</f>
        <v> </v>
      </c>
      <c r="H264" s="6" t="str">
        <f aca="false">IF((F264&lt;&gt;0),F264-G264," ")</f>
        <v> </v>
      </c>
      <c r="I264" s="5"/>
      <c r="L264" s="7" t="str">
        <f aca="false">IF(F264&lt;&gt;0,F264-K264," ")</f>
        <v> </v>
      </c>
      <c r="M264" s="8" t="str">
        <f aca="false">IF((F264-K264)&lt;&gt;0,M$1-A264," ")</f>
        <v> </v>
      </c>
      <c r="N264" s="5"/>
      <c r="O264" s="17" t="str">
        <f aca="false">IF((E264="s"),H264," ")</f>
        <v> </v>
      </c>
      <c r="P264" s="17" t="str">
        <f aca="false">IF((E264="c"),H264," ")</f>
        <v> </v>
      </c>
      <c r="Q264" s="17" t="str">
        <f aca="false">IF((E264="o"),H264," ")</f>
        <v> </v>
      </c>
      <c r="R264" s="17" t="str">
        <f aca="false">IF((E264="d"),H264," ")</f>
        <v> </v>
      </c>
      <c r="S264" s="17" t="str">
        <f aca="false">IF((E264="w"),H264," ")</f>
        <v> </v>
      </c>
      <c r="T264" s="17" t="str">
        <f aca="false">IF((E264="r"),H264," ")</f>
        <v> </v>
      </c>
      <c r="U264" s="17" t="str">
        <f aca="false">IF((E264="p"),H264," ")</f>
        <v> </v>
      </c>
      <c r="V264" s="17" t="str">
        <f aca="false">IF((E264="t"),H264," ")</f>
        <v> </v>
      </c>
      <c r="W264" s="17" t="str">
        <f aca="false">IF((E264="q"),H264," ")</f>
        <v> </v>
      </c>
      <c r="X264" s="17" t="str">
        <f aca="false">IF((E264="m"),H264," ")</f>
        <v> </v>
      </c>
      <c r="Y264" s="17" t="str">
        <f aca="false">IF((E264="u"),H264," ")</f>
        <v> </v>
      </c>
      <c r="Z264" s="17" t="str">
        <f aca="false">IF((E264="a"),H264," ")</f>
        <v> </v>
      </c>
      <c r="AA264" s="17" t="str">
        <f aca="false">IF((E264="g"),H264," ")</f>
        <v> </v>
      </c>
      <c r="AB264" s="17" t="str">
        <f aca="false">IF((E264="h"),H264," ")</f>
        <v> </v>
      </c>
      <c r="AC264" s="30" t="str">
        <f aca="false">IF((E264="v"),H264," ")</f>
        <v> </v>
      </c>
      <c r="AD264" s="30" t="str">
        <f aca="false">IF((E264="n"),H264," ")</f>
        <v> </v>
      </c>
      <c r="AE264" s="17" t="str">
        <f aca="false">IF((E264="f"),H264," ")</f>
        <v> </v>
      </c>
      <c r="AF264" s="17" t="str">
        <f aca="false">IF((E264="l"),H264," ")</f>
        <v> </v>
      </c>
      <c r="AG264" s="17" t="str">
        <f aca="false">IF((E264="y"),H264," ")</f>
        <v> </v>
      </c>
      <c r="AH264" s="17" t="str">
        <f aca="false">IF((E264="z"),H264," ")</f>
        <v> </v>
      </c>
      <c r="AI264" s="17" t="str">
        <f aca="false">IF((E264="fa"),H264," ")</f>
        <v> </v>
      </c>
      <c r="AJ264" s="17" t="str">
        <f aca="false">IF((E264="e"),H264," ")</f>
        <v> </v>
      </c>
    </row>
    <row r="265" customFormat="false" ht="12" hidden="false" customHeight="false" outlineLevel="0" collapsed="false">
      <c r="A265" s="28"/>
      <c r="E265" s="2" t="str">
        <f aca="false">IF((F265&lt;&gt;0),"Enter Letter"," ")</f>
        <v> </v>
      </c>
      <c r="F265" s="30"/>
      <c r="G265" s="6" t="str">
        <f aca="false">IF(F265&lt;&gt;0,F265*G$2/(100+G$2)," ")</f>
        <v> </v>
      </c>
      <c r="H265" s="6" t="str">
        <f aca="false">IF((F265&lt;&gt;0),F265-G265," ")</f>
        <v> </v>
      </c>
      <c r="I265" s="5"/>
      <c r="L265" s="7" t="str">
        <f aca="false">IF(F265&lt;&gt;0,F265-K265," ")</f>
        <v> </v>
      </c>
      <c r="M265" s="8" t="str">
        <f aca="false">IF((F265-K265)&lt;&gt;0,M$1-A265," ")</f>
        <v> </v>
      </c>
      <c r="N265" s="5"/>
      <c r="O265" s="17" t="str">
        <f aca="false">IF((E265="s"),H265," ")</f>
        <v> </v>
      </c>
      <c r="P265" s="17" t="str">
        <f aca="false">IF((E265="c"),H265," ")</f>
        <v> </v>
      </c>
      <c r="Q265" s="17" t="str">
        <f aca="false">IF((E265="o"),H265," ")</f>
        <v> </v>
      </c>
      <c r="R265" s="17" t="str">
        <f aca="false">IF((E265="d"),H265," ")</f>
        <v> </v>
      </c>
      <c r="S265" s="17" t="str">
        <f aca="false">IF((E265="w"),H265," ")</f>
        <v> </v>
      </c>
      <c r="T265" s="17" t="str">
        <f aca="false">IF((E265="r"),H265," ")</f>
        <v> </v>
      </c>
      <c r="U265" s="17" t="str">
        <f aca="false">IF((E265="p"),H265," ")</f>
        <v> </v>
      </c>
      <c r="V265" s="17" t="str">
        <f aca="false">IF((E265="t"),H265," ")</f>
        <v> </v>
      </c>
      <c r="W265" s="17" t="str">
        <f aca="false">IF((E265="q"),H265," ")</f>
        <v> </v>
      </c>
      <c r="X265" s="17" t="str">
        <f aca="false">IF((E265="m"),H265," ")</f>
        <v> </v>
      </c>
      <c r="Y265" s="17" t="str">
        <f aca="false">IF((E265="u"),H265," ")</f>
        <v> </v>
      </c>
      <c r="Z265" s="17" t="str">
        <f aca="false">IF((E265="a"),H265," ")</f>
        <v> </v>
      </c>
      <c r="AA265" s="17" t="str">
        <f aca="false">IF((E265="g"),H265," ")</f>
        <v> </v>
      </c>
      <c r="AB265" s="17" t="str">
        <f aca="false">IF((E265="h"),H265," ")</f>
        <v> </v>
      </c>
      <c r="AC265" s="30" t="str">
        <f aca="false">IF((E265="v"),H265," ")</f>
        <v> </v>
      </c>
      <c r="AD265" s="30" t="str">
        <f aca="false">IF((E265="n"),H265," ")</f>
        <v> </v>
      </c>
      <c r="AE265" s="17" t="str">
        <f aca="false">IF((E265="f"),H265," ")</f>
        <v> </v>
      </c>
      <c r="AF265" s="17" t="str">
        <f aca="false">IF((E265="l"),H265," ")</f>
        <v> </v>
      </c>
      <c r="AG265" s="17" t="str">
        <f aca="false">IF((E265="y"),H265," ")</f>
        <v> </v>
      </c>
      <c r="AH265" s="17" t="str">
        <f aca="false">IF((E265="z"),H265," ")</f>
        <v> </v>
      </c>
      <c r="AI265" s="17" t="str">
        <f aca="false">IF((E265="fa"),H265," ")</f>
        <v> </v>
      </c>
      <c r="AJ265" s="17" t="str">
        <f aca="false">IF((E265="e"),H265," ")</f>
        <v> </v>
      </c>
    </row>
    <row r="266" customFormat="false" ht="12" hidden="false" customHeight="false" outlineLevel="0" collapsed="false">
      <c r="A266" s="28"/>
      <c r="E266" s="2" t="str">
        <f aca="false">IF((F266&lt;&gt;0),"Enter Letter"," ")</f>
        <v> </v>
      </c>
      <c r="F266" s="30"/>
      <c r="G266" s="6" t="str">
        <f aca="false">IF(F266&lt;&gt;0,F266*G$2/(100+G$2)," ")</f>
        <v> </v>
      </c>
      <c r="H266" s="6" t="str">
        <f aca="false">IF((F266&lt;&gt;0),F266-G266," ")</f>
        <v> </v>
      </c>
      <c r="I266" s="5"/>
      <c r="L266" s="7" t="str">
        <f aca="false">IF(F266&lt;&gt;0,F266-K266," ")</f>
        <v> </v>
      </c>
      <c r="M266" s="8" t="str">
        <f aca="false">IF((F266-K266)&lt;&gt;0,M$1-A266," ")</f>
        <v> </v>
      </c>
      <c r="N266" s="5"/>
      <c r="O266" s="17" t="str">
        <f aca="false">IF((E266="s"),H266," ")</f>
        <v> </v>
      </c>
      <c r="P266" s="17" t="str">
        <f aca="false">IF((E266="c"),H266," ")</f>
        <v> </v>
      </c>
      <c r="Q266" s="17" t="str">
        <f aca="false">IF((E266="o"),H266," ")</f>
        <v> </v>
      </c>
      <c r="R266" s="17" t="str">
        <f aca="false">IF((E266="d"),H266," ")</f>
        <v> </v>
      </c>
      <c r="S266" s="17" t="str">
        <f aca="false">IF((E266="w"),H266," ")</f>
        <v> </v>
      </c>
      <c r="T266" s="17" t="str">
        <f aca="false">IF((E266="r"),H266," ")</f>
        <v> </v>
      </c>
      <c r="U266" s="17" t="str">
        <f aca="false">IF((E266="p"),H266," ")</f>
        <v> </v>
      </c>
      <c r="V266" s="17" t="str">
        <f aca="false">IF((E266="t"),H266," ")</f>
        <v> </v>
      </c>
      <c r="W266" s="17" t="str">
        <f aca="false">IF((E266="q"),H266," ")</f>
        <v> </v>
      </c>
      <c r="X266" s="17" t="str">
        <f aca="false">IF((E266="m"),H266," ")</f>
        <v> </v>
      </c>
      <c r="Y266" s="17" t="str">
        <f aca="false">IF((E266="u"),H266," ")</f>
        <v> </v>
      </c>
      <c r="Z266" s="17" t="str">
        <f aca="false">IF((E266="a"),H266," ")</f>
        <v> </v>
      </c>
      <c r="AA266" s="17" t="str">
        <f aca="false">IF((E266="g"),H266," ")</f>
        <v> </v>
      </c>
      <c r="AB266" s="17" t="str">
        <f aca="false">IF((E266="h"),H266," ")</f>
        <v> </v>
      </c>
      <c r="AC266" s="30" t="str">
        <f aca="false">IF((E266="v"),H266," ")</f>
        <v> </v>
      </c>
      <c r="AD266" s="30" t="str">
        <f aca="false">IF((E266="n"),H266," ")</f>
        <v> </v>
      </c>
      <c r="AE266" s="17" t="str">
        <f aca="false">IF((E266="f"),H266," ")</f>
        <v> </v>
      </c>
      <c r="AF266" s="17" t="str">
        <f aca="false">IF((E266="l"),H266," ")</f>
        <v> </v>
      </c>
      <c r="AG266" s="17" t="str">
        <f aca="false">IF((E266="y"),H266," ")</f>
        <v> </v>
      </c>
      <c r="AH266" s="17" t="str">
        <f aca="false">IF((E266="z"),H266," ")</f>
        <v> </v>
      </c>
      <c r="AI266" s="17" t="str">
        <f aca="false">IF((E266="fa"),H266," ")</f>
        <v> </v>
      </c>
      <c r="AJ266" s="17" t="str">
        <f aca="false">IF((E266="e"),H266," ")</f>
        <v> </v>
      </c>
    </row>
    <row r="267" customFormat="false" ht="12" hidden="false" customHeight="false" outlineLevel="0" collapsed="false">
      <c r="A267" s="28"/>
      <c r="E267" s="2" t="str">
        <f aca="false">IF((F267&lt;&gt;0),"Enter Letter"," ")</f>
        <v> </v>
      </c>
      <c r="F267" s="30"/>
      <c r="G267" s="6" t="str">
        <f aca="false">IF(F267&lt;&gt;0,F267*G$2/(100+G$2)," ")</f>
        <v> </v>
      </c>
      <c r="H267" s="6" t="str">
        <f aca="false">IF((F267&lt;&gt;0),F267-G267," ")</f>
        <v> </v>
      </c>
      <c r="I267" s="5"/>
      <c r="L267" s="7" t="str">
        <f aca="false">IF(F267&lt;&gt;0,F267-K267," ")</f>
        <v> </v>
      </c>
      <c r="M267" s="8" t="str">
        <f aca="false">IF((F267-K267)&lt;&gt;0,M$1-A267," ")</f>
        <v> </v>
      </c>
      <c r="N267" s="5"/>
      <c r="O267" s="17" t="str">
        <f aca="false">IF((E267="s"),H267," ")</f>
        <v> </v>
      </c>
      <c r="P267" s="17" t="str">
        <f aca="false">IF((E267="c"),H267," ")</f>
        <v> </v>
      </c>
      <c r="Q267" s="17" t="str">
        <f aca="false">IF((E267="o"),H267," ")</f>
        <v> </v>
      </c>
      <c r="R267" s="17" t="str">
        <f aca="false">IF((E267="d"),H267," ")</f>
        <v> </v>
      </c>
      <c r="S267" s="17" t="str">
        <f aca="false">IF((E267="w"),H267," ")</f>
        <v> </v>
      </c>
      <c r="T267" s="17" t="str">
        <f aca="false">IF((E267="r"),H267," ")</f>
        <v> </v>
      </c>
      <c r="U267" s="17" t="str">
        <f aca="false">IF((E267="p"),H267," ")</f>
        <v> </v>
      </c>
      <c r="V267" s="17" t="str">
        <f aca="false">IF((E267="t"),H267," ")</f>
        <v> </v>
      </c>
      <c r="W267" s="17" t="str">
        <f aca="false">IF((E267="q"),H267," ")</f>
        <v> </v>
      </c>
      <c r="X267" s="17" t="str">
        <f aca="false">IF((E267="m"),H267," ")</f>
        <v> </v>
      </c>
      <c r="Y267" s="17" t="str">
        <f aca="false">IF((E267="u"),H267," ")</f>
        <v> </v>
      </c>
      <c r="Z267" s="17" t="str">
        <f aca="false">IF((E267="a"),H267," ")</f>
        <v> </v>
      </c>
      <c r="AA267" s="17" t="str">
        <f aca="false">IF((E267="g"),H267," ")</f>
        <v> </v>
      </c>
      <c r="AB267" s="17" t="str">
        <f aca="false">IF((E267="h"),H267," ")</f>
        <v> </v>
      </c>
      <c r="AC267" s="30" t="str">
        <f aca="false">IF((E267="v"),H267," ")</f>
        <v> </v>
      </c>
      <c r="AD267" s="30" t="str">
        <f aca="false">IF((E267="n"),H267," ")</f>
        <v> </v>
      </c>
      <c r="AE267" s="17" t="str">
        <f aca="false">IF((E267="f"),H267," ")</f>
        <v> </v>
      </c>
      <c r="AF267" s="17" t="str">
        <f aca="false">IF((E267="l"),H267," ")</f>
        <v> </v>
      </c>
      <c r="AG267" s="17" t="str">
        <f aca="false">IF((E267="y"),H267," ")</f>
        <v> </v>
      </c>
      <c r="AH267" s="17" t="str">
        <f aca="false">IF((E267="z"),H267," ")</f>
        <v> </v>
      </c>
      <c r="AI267" s="17" t="str">
        <f aca="false">IF((E267="fa"),H267," ")</f>
        <v> </v>
      </c>
      <c r="AJ267" s="17" t="str">
        <f aca="false">IF((E267="e"),H267," ")</f>
        <v> </v>
      </c>
    </row>
    <row r="268" customFormat="false" ht="12" hidden="false" customHeight="false" outlineLevel="0" collapsed="false">
      <c r="A268" s="28"/>
      <c r="E268" s="2" t="str">
        <f aca="false">IF((F268&lt;&gt;0),"Enter Letter"," ")</f>
        <v> </v>
      </c>
      <c r="F268" s="30"/>
      <c r="G268" s="6" t="str">
        <f aca="false">IF(F268&lt;&gt;0,F268*G$2/(100+G$2)," ")</f>
        <v> </v>
      </c>
      <c r="H268" s="6" t="str">
        <f aca="false">IF((F268&lt;&gt;0),F268-G268," ")</f>
        <v> </v>
      </c>
      <c r="I268" s="5"/>
      <c r="L268" s="7" t="str">
        <f aca="false">IF(F268&lt;&gt;0,F268-K268," ")</f>
        <v> </v>
      </c>
      <c r="M268" s="8" t="str">
        <f aca="false">IF((F268-K268)&lt;&gt;0,M$1-A268," ")</f>
        <v> </v>
      </c>
      <c r="N268" s="5"/>
      <c r="O268" s="17" t="str">
        <f aca="false">IF((E268="s"),H268," ")</f>
        <v> </v>
      </c>
      <c r="P268" s="17" t="str">
        <f aca="false">IF((E268="c"),H268," ")</f>
        <v> </v>
      </c>
      <c r="Q268" s="17" t="str">
        <f aca="false">IF((E268="o"),H268," ")</f>
        <v> </v>
      </c>
      <c r="R268" s="17" t="str">
        <f aca="false">IF((E268="d"),H268," ")</f>
        <v> </v>
      </c>
      <c r="S268" s="17" t="str">
        <f aca="false">IF((E268="w"),H268," ")</f>
        <v> </v>
      </c>
      <c r="T268" s="17" t="str">
        <f aca="false">IF((E268="r"),H268," ")</f>
        <v> </v>
      </c>
      <c r="U268" s="17" t="str">
        <f aca="false">IF((E268="p"),H268," ")</f>
        <v> </v>
      </c>
      <c r="V268" s="17" t="str">
        <f aca="false">IF((E268="t"),H268," ")</f>
        <v> </v>
      </c>
      <c r="W268" s="17" t="str">
        <f aca="false">IF((E268="q"),H268," ")</f>
        <v> </v>
      </c>
      <c r="X268" s="17" t="str">
        <f aca="false">IF((E268="m"),H268," ")</f>
        <v> </v>
      </c>
      <c r="Y268" s="17" t="str">
        <f aca="false">IF((E268="u"),H268," ")</f>
        <v> </v>
      </c>
      <c r="Z268" s="17" t="str">
        <f aca="false">IF((E268="a"),H268," ")</f>
        <v> </v>
      </c>
      <c r="AA268" s="17" t="str">
        <f aca="false">IF((E268="g"),H268," ")</f>
        <v> </v>
      </c>
      <c r="AB268" s="17" t="str">
        <f aca="false">IF((E268="h"),H268," ")</f>
        <v> </v>
      </c>
      <c r="AC268" s="30" t="str">
        <f aca="false">IF((E268="v"),H268," ")</f>
        <v> </v>
      </c>
      <c r="AD268" s="30" t="str">
        <f aca="false">IF((E268="n"),H268," ")</f>
        <v> </v>
      </c>
      <c r="AE268" s="17" t="str">
        <f aca="false">IF((E268="f"),H268," ")</f>
        <v> </v>
      </c>
      <c r="AF268" s="17" t="str">
        <f aca="false">IF((E268="l"),H268," ")</f>
        <v> </v>
      </c>
      <c r="AG268" s="17" t="str">
        <f aca="false">IF((E268="y"),H268," ")</f>
        <v> </v>
      </c>
      <c r="AH268" s="17" t="str">
        <f aca="false">IF((E268="z"),H268," ")</f>
        <v> </v>
      </c>
      <c r="AI268" s="17" t="str">
        <f aca="false">IF((E268="fa"),H268," ")</f>
        <v> </v>
      </c>
      <c r="AJ268" s="17" t="str">
        <f aca="false">IF((E268="e"),H268," ")</f>
        <v> </v>
      </c>
    </row>
    <row r="269" customFormat="false" ht="12" hidden="false" customHeight="false" outlineLevel="0" collapsed="false">
      <c r="A269" s="28"/>
      <c r="E269" s="2" t="str">
        <f aca="false">IF((F269&lt;&gt;0),"Enter Letter"," ")</f>
        <v> </v>
      </c>
      <c r="F269" s="30"/>
      <c r="G269" s="6" t="str">
        <f aca="false">IF(F269&lt;&gt;0,F269*G$2/(100+G$2)," ")</f>
        <v> </v>
      </c>
      <c r="H269" s="6" t="str">
        <f aca="false">IF((F269&lt;&gt;0),F269-G269," ")</f>
        <v> </v>
      </c>
      <c r="I269" s="5"/>
      <c r="L269" s="7" t="str">
        <f aca="false">IF(F269&lt;&gt;0,F269-K269," ")</f>
        <v> </v>
      </c>
      <c r="M269" s="8" t="str">
        <f aca="false">IF((F269-K269)&lt;&gt;0,M$1-A269," ")</f>
        <v> </v>
      </c>
      <c r="N269" s="5"/>
      <c r="O269" s="17" t="str">
        <f aca="false">IF((E269="s"),H269," ")</f>
        <v> </v>
      </c>
      <c r="P269" s="17" t="str">
        <f aca="false">IF((E269="c"),H269," ")</f>
        <v> </v>
      </c>
      <c r="Q269" s="17" t="str">
        <f aca="false">IF((E269="o"),H269," ")</f>
        <v> </v>
      </c>
      <c r="R269" s="17" t="str">
        <f aca="false">IF((E269="d"),H269," ")</f>
        <v> </v>
      </c>
      <c r="S269" s="17" t="str">
        <f aca="false">IF((E269="w"),H269," ")</f>
        <v> </v>
      </c>
      <c r="T269" s="17" t="str">
        <f aca="false">IF((E269="r"),H269," ")</f>
        <v> </v>
      </c>
      <c r="U269" s="17" t="str">
        <f aca="false">IF((E269="p"),H269," ")</f>
        <v> </v>
      </c>
      <c r="V269" s="17" t="str">
        <f aca="false">IF((E269="t"),H269," ")</f>
        <v> </v>
      </c>
      <c r="W269" s="17" t="str">
        <f aca="false">IF((E269="q"),H269," ")</f>
        <v> </v>
      </c>
      <c r="X269" s="17" t="str">
        <f aca="false">IF((E269="m"),H269," ")</f>
        <v> </v>
      </c>
      <c r="Y269" s="17" t="str">
        <f aca="false">IF((E269="u"),H269," ")</f>
        <v> </v>
      </c>
      <c r="Z269" s="17" t="str">
        <f aca="false">IF((E269="a"),H269," ")</f>
        <v> </v>
      </c>
      <c r="AA269" s="17" t="str">
        <f aca="false">IF((E269="g"),H269," ")</f>
        <v> </v>
      </c>
      <c r="AB269" s="17" t="str">
        <f aca="false">IF((E269="h"),H269," ")</f>
        <v> </v>
      </c>
      <c r="AC269" s="30" t="str">
        <f aca="false">IF((E269="v"),H269," ")</f>
        <v> </v>
      </c>
      <c r="AD269" s="30" t="str">
        <f aca="false">IF((E269="n"),H269," ")</f>
        <v> </v>
      </c>
      <c r="AE269" s="17" t="str">
        <f aca="false">IF((E269="f"),H269," ")</f>
        <v> </v>
      </c>
      <c r="AF269" s="17" t="str">
        <f aca="false">IF((E269="l"),H269," ")</f>
        <v> </v>
      </c>
      <c r="AG269" s="17" t="str">
        <f aca="false">IF((E269="y"),H269," ")</f>
        <v> </v>
      </c>
      <c r="AH269" s="17" t="str">
        <f aca="false">IF((E269="z"),H269," ")</f>
        <v> </v>
      </c>
      <c r="AI269" s="17" t="str">
        <f aca="false">IF((E269="fa"),H269," ")</f>
        <v> </v>
      </c>
      <c r="AJ269" s="17" t="str">
        <f aca="false">IF((E269="e"),H269," ")</f>
        <v> </v>
      </c>
    </row>
    <row r="270" customFormat="false" ht="12" hidden="false" customHeight="false" outlineLevel="0" collapsed="false">
      <c r="A270" s="28"/>
      <c r="E270" s="2" t="str">
        <f aca="false">IF((F270&lt;&gt;0),"Enter Letter"," ")</f>
        <v> </v>
      </c>
      <c r="F270" s="30"/>
      <c r="G270" s="6" t="str">
        <f aca="false">IF(F270&lt;&gt;0,F270*G$2/(100+G$2)," ")</f>
        <v> </v>
      </c>
      <c r="H270" s="6" t="str">
        <f aca="false">IF((F270&lt;&gt;0),F270-G270," ")</f>
        <v> </v>
      </c>
      <c r="I270" s="5"/>
      <c r="L270" s="7" t="str">
        <f aca="false">IF(F270&lt;&gt;0,F270-K270," ")</f>
        <v> </v>
      </c>
      <c r="M270" s="8" t="str">
        <f aca="false">IF((F270-K270)&lt;&gt;0,M$1-A270," ")</f>
        <v> </v>
      </c>
      <c r="N270" s="5"/>
      <c r="O270" s="17" t="str">
        <f aca="false">IF((E270="s"),H270," ")</f>
        <v> </v>
      </c>
      <c r="P270" s="17" t="str">
        <f aca="false">IF((E270="c"),H270," ")</f>
        <v> </v>
      </c>
      <c r="Q270" s="17" t="str">
        <f aca="false">IF((E270="o"),H270," ")</f>
        <v> </v>
      </c>
      <c r="R270" s="17" t="str">
        <f aca="false">IF((E270="d"),H270," ")</f>
        <v> </v>
      </c>
      <c r="S270" s="17" t="str">
        <f aca="false">IF((E270="w"),H270," ")</f>
        <v> </v>
      </c>
      <c r="T270" s="17" t="str">
        <f aca="false">IF((E270="r"),H270," ")</f>
        <v> </v>
      </c>
      <c r="U270" s="17" t="str">
        <f aca="false">IF((E270="p"),H270," ")</f>
        <v> </v>
      </c>
      <c r="V270" s="17" t="str">
        <f aca="false">IF((E270="t"),H270," ")</f>
        <v> </v>
      </c>
      <c r="W270" s="17" t="str">
        <f aca="false">IF((E270="q"),H270," ")</f>
        <v> </v>
      </c>
      <c r="X270" s="17" t="str">
        <f aca="false">IF((E270="m"),H270," ")</f>
        <v> </v>
      </c>
      <c r="Y270" s="17" t="str">
        <f aca="false">IF((E270="u"),H270," ")</f>
        <v> </v>
      </c>
      <c r="Z270" s="17" t="str">
        <f aca="false">IF((E270="a"),H270," ")</f>
        <v> </v>
      </c>
      <c r="AA270" s="17" t="str">
        <f aca="false">IF((E270="g"),H270," ")</f>
        <v> </v>
      </c>
      <c r="AB270" s="17" t="str">
        <f aca="false">IF((E270="h"),H270," ")</f>
        <v> </v>
      </c>
      <c r="AC270" s="30" t="str">
        <f aca="false">IF((E270="v"),H270," ")</f>
        <v> </v>
      </c>
      <c r="AD270" s="30" t="str">
        <f aca="false">IF((E270="n"),H270," ")</f>
        <v> </v>
      </c>
      <c r="AE270" s="17" t="str">
        <f aca="false">IF((E270="f"),H270," ")</f>
        <v> </v>
      </c>
      <c r="AF270" s="17" t="str">
        <f aca="false">IF((E270="l"),H270," ")</f>
        <v> </v>
      </c>
      <c r="AG270" s="17" t="str">
        <f aca="false">IF((E270="y"),H270," ")</f>
        <v> </v>
      </c>
      <c r="AH270" s="17" t="str">
        <f aca="false">IF((E270="z"),H270," ")</f>
        <v> </v>
      </c>
      <c r="AI270" s="17" t="str">
        <f aca="false">IF((E270="fa"),H270," ")</f>
        <v> </v>
      </c>
      <c r="AJ270" s="17" t="str">
        <f aca="false">IF((E270="e"),H270," ")</f>
        <v> </v>
      </c>
    </row>
    <row r="271" customFormat="false" ht="12" hidden="false" customHeight="false" outlineLevel="0" collapsed="false">
      <c r="A271" s="28"/>
      <c r="E271" s="2" t="str">
        <f aca="false">IF((F271&lt;&gt;0),"Enter Letter"," ")</f>
        <v> </v>
      </c>
      <c r="F271" s="30"/>
      <c r="G271" s="6" t="str">
        <f aca="false">IF(F271&lt;&gt;0,F271*G$2/(100+G$2)," ")</f>
        <v> </v>
      </c>
      <c r="H271" s="6" t="str">
        <f aca="false">IF((F271&lt;&gt;0),F271-G271," ")</f>
        <v> </v>
      </c>
      <c r="I271" s="5"/>
      <c r="L271" s="7" t="str">
        <f aca="false">IF(F271&lt;&gt;0,F271-K271," ")</f>
        <v> </v>
      </c>
      <c r="M271" s="8" t="str">
        <f aca="false">IF((F271-K271)&lt;&gt;0,M$1-A271," ")</f>
        <v> </v>
      </c>
      <c r="N271" s="5"/>
      <c r="O271" s="17" t="str">
        <f aca="false">IF((E271="s"),H271," ")</f>
        <v> </v>
      </c>
      <c r="P271" s="17" t="str">
        <f aca="false">IF((E271="c"),H271," ")</f>
        <v> </v>
      </c>
      <c r="Q271" s="17" t="str">
        <f aca="false">IF((E271="o"),H271," ")</f>
        <v> </v>
      </c>
      <c r="R271" s="17" t="str">
        <f aca="false">IF((E271="d"),H271," ")</f>
        <v> </v>
      </c>
      <c r="S271" s="17" t="str">
        <f aca="false">IF((E271="w"),H271," ")</f>
        <v> </v>
      </c>
      <c r="T271" s="17" t="str">
        <f aca="false">IF((E271="r"),H271," ")</f>
        <v> </v>
      </c>
      <c r="U271" s="17" t="str">
        <f aca="false">IF((E271="p"),H271," ")</f>
        <v> </v>
      </c>
      <c r="V271" s="17" t="str">
        <f aca="false">IF((E271="t"),H271," ")</f>
        <v> </v>
      </c>
      <c r="W271" s="17" t="str">
        <f aca="false">IF((E271="q"),H271," ")</f>
        <v> </v>
      </c>
      <c r="X271" s="17" t="str">
        <f aca="false">IF((E271="m"),H271," ")</f>
        <v> </v>
      </c>
      <c r="Y271" s="17" t="str">
        <f aca="false">IF((E271="u"),H271," ")</f>
        <v> </v>
      </c>
      <c r="Z271" s="17" t="str">
        <f aca="false">IF((E271="a"),H271," ")</f>
        <v> </v>
      </c>
      <c r="AA271" s="17" t="str">
        <f aca="false">IF((E271="g"),H271," ")</f>
        <v> </v>
      </c>
      <c r="AB271" s="17" t="str">
        <f aca="false">IF((E271="h"),H271," ")</f>
        <v> </v>
      </c>
      <c r="AC271" s="30" t="str">
        <f aca="false">IF((E271="v"),H271," ")</f>
        <v> </v>
      </c>
      <c r="AD271" s="30" t="str">
        <f aca="false">IF((E271="n"),H271," ")</f>
        <v> </v>
      </c>
      <c r="AE271" s="17" t="str">
        <f aca="false">IF((E271="f"),H271," ")</f>
        <v> </v>
      </c>
      <c r="AF271" s="17" t="str">
        <f aca="false">IF((E271="l"),H271," ")</f>
        <v> </v>
      </c>
      <c r="AG271" s="17" t="str">
        <f aca="false">IF((E271="y"),H271," ")</f>
        <v> </v>
      </c>
      <c r="AH271" s="17" t="str">
        <f aca="false">IF((E271="z"),H271," ")</f>
        <v> </v>
      </c>
      <c r="AI271" s="17" t="str">
        <f aca="false">IF((E271="fa"),H271," ")</f>
        <v> </v>
      </c>
      <c r="AJ271" s="17" t="str">
        <f aca="false">IF((E271="e"),H271," ")</f>
        <v> </v>
      </c>
    </row>
    <row r="272" customFormat="false" ht="12" hidden="false" customHeight="false" outlineLevel="0" collapsed="false">
      <c r="A272" s="28"/>
      <c r="E272" s="2" t="str">
        <f aca="false">IF((F272&lt;&gt;0),"Enter Letter"," ")</f>
        <v> </v>
      </c>
      <c r="F272" s="30"/>
      <c r="G272" s="6" t="str">
        <f aca="false">IF(F272&lt;&gt;0,F272*G$2/(100+G$2)," ")</f>
        <v> </v>
      </c>
      <c r="H272" s="6" t="str">
        <f aca="false">IF((F272&lt;&gt;0),F272-G272," ")</f>
        <v> </v>
      </c>
      <c r="I272" s="5"/>
      <c r="L272" s="7" t="str">
        <f aca="false">IF(F272&lt;&gt;0,F272-K272," ")</f>
        <v> </v>
      </c>
      <c r="M272" s="8" t="str">
        <f aca="false">IF((F272-K272)&lt;&gt;0,M$1-A272," ")</f>
        <v> </v>
      </c>
      <c r="N272" s="5"/>
      <c r="O272" s="17" t="str">
        <f aca="false">IF((E272="s"),H272," ")</f>
        <v> </v>
      </c>
      <c r="P272" s="17" t="str">
        <f aca="false">IF((E272="c"),H272," ")</f>
        <v> </v>
      </c>
      <c r="Q272" s="17" t="str">
        <f aca="false">IF((E272="o"),H272," ")</f>
        <v> </v>
      </c>
      <c r="R272" s="17" t="str">
        <f aca="false">IF((E272="d"),H272," ")</f>
        <v> </v>
      </c>
      <c r="S272" s="17" t="str">
        <f aca="false">IF((E272="w"),H272," ")</f>
        <v> </v>
      </c>
      <c r="T272" s="17" t="str">
        <f aca="false">IF((E272="r"),H272," ")</f>
        <v> </v>
      </c>
      <c r="U272" s="17" t="str">
        <f aca="false">IF((E272="p"),H272," ")</f>
        <v> </v>
      </c>
      <c r="V272" s="17" t="str">
        <f aca="false">IF((E272="t"),H272," ")</f>
        <v> </v>
      </c>
      <c r="W272" s="17" t="str">
        <f aca="false">IF((E272="q"),H272," ")</f>
        <v> </v>
      </c>
      <c r="X272" s="17" t="str">
        <f aca="false">IF((E272="m"),H272," ")</f>
        <v> </v>
      </c>
      <c r="Y272" s="17" t="str">
        <f aca="false">IF((E272="u"),H272," ")</f>
        <v> </v>
      </c>
      <c r="Z272" s="17" t="str">
        <f aca="false">IF((E272="a"),H272," ")</f>
        <v> </v>
      </c>
      <c r="AA272" s="17" t="str">
        <f aca="false">IF((E272="g"),H272," ")</f>
        <v> </v>
      </c>
      <c r="AB272" s="17" t="str">
        <f aca="false">IF((E272="h"),H272," ")</f>
        <v> </v>
      </c>
      <c r="AC272" s="30" t="str">
        <f aca="false">IF((E272="v"),H272," ")</f>
        <v> </v>
      </c>
      <c r="AD272" s="30" t="str">
        <f aca="false">IF((E272="n"),H272," ")</f>
        <v> </v>
      </c>
      <c r="AE272" s="17" t="str">
        <f aca="false">IF((E272="f"),H272," ")</f>
        <v> </v>
      </c>
      <c r="AF272" s="17" t="str">
        <f aca="false">IF((E272="l"),H272," ")</f>
        <v> </v>
      </c>
      <c r="AG272" s="17" t="str">
        <f aca="false">IF((E272="y"),H272," ")</f>
        <v> </v>
      </c>
      <c r="AH272" s="17" t="str">
        <f aca="false">IF((E272="z"),H272," ")</f>
        <v> </v>
      </c>
      <c r="AI272" s="17" t="str">
        <f aca="false">IF((E272="fa"),H272," ")</f>
        <v> </v>
      </c>
      <c r="AJ272" s="17" t="str">
        <f aca="false">IF((E272="e"),H272," ")</f>
        <v> </v>
      </c>
    </row>
    <row r="273" customFormat="false" ht="12" hidden="false" customHeight="false" outlineLevel="0" collapsed="false">
      <c r="A273" s="28"/>
      <c r="E273" s="2" t="str">
        <f aca="false">IF((F273&lt;&gt;0),"Enter Letter"," ")</f>
        <v> </v>
      </c>
      <c r="F273" s="30"/>
      <c r="G273" s="6" t="str">
        <f aca="false">IF(F273&lt;&gt;0,F273*G$2/(100+G$2)," ")</f>
        <v> </v>
      </c>
      <c r="H273" s="6" t="str">
        <f aca="false">IF((F273&lt;&gt;0),F273-G273," ")</f>
        <v> </v>
      </c>
      <c r="I273" s="5"/>
      <c r="L273" s="7" t="str">
        <f aca="false">IF(F273&lt;&gt;0,F273-K273," ")</f>
        <v> </v>
      </c>
      <c r="M273" s="8" t="str">
        <f aca="false">IF((F273-K273)&lt;&gt;0,M$1-A273," ")</f>
        <v> </v>
      </c>
      <c r="N273" s="5"/>
      <c r="O273" s="17" t="str">
        <f aca="false">IF((E273="s"),H273," ")</f>
        <v> </v>
      </c>
      <c r="P273" s="17" t="str">
        <f aca="false">IF((E273="c"),H273," ")</f>
        <v> </v>
      </c>
      <c r="Q273" s="17" t="str">
        <f aca="false">IF((E273="o"),H273," ")</f>
        <v> </v>
      </c>
      <c r="R273" s="17" t="str">
        <f aca="false">IF((E273="d"),H273," ")</f>
        <v> </v>
      </c>
      <c r="S273" s="17" t="str">
        <f aca="false">IF((E273="w"),H273," ")</f>
        <v> </v>
      </c>
      <c r="T273" s="17" t="str">
        <f aca="false">IF((E273="r"),H273," ")</f>
        <v> </v>
      </c>
      <c r="U273" s="17" t="str">
        <f aca="false">IF((E273="p"),H273," ")</f>
        <v> </v>
      </c>
      <c r="V273" s="17" t="str">
        <f aca="false">IF((E273="t"),H273," ")</f>
        <v> </v>
      </c>
      <c r="W273" s="17" t="str">
        <f aca="false">IF((E273="q"),H273," ")</f>
        <v> </v>
      </c>
      <c r="X273" s="17" t="str">
        <f aca="false">IF((E273="m"),H273," ")</f>
        <v> </v>
      </c>
      <c r="Y273" s="17" t="str">
        <f aca="false">IF((E273="u"),H273," ")</f>
        <v> </v>
      </c>
      <c r="Z273" s="17" t="str">
        <f aca="false">IF((E273="a"),H273," ")</f>
        <v> </v>
      </c>
      <c r="AA273" s="17" t="str">
        <f aca="false">IF((E273="g"),H273," ")</f>
        <v> </v>
      </c>
      <c r="AB273" s="17" t="str">
        <f aca="false">IF((E273="h"),H273," ")</f>
        <v> </v>
      </c>
      <c r="AC273" s="30" t="str">
        <f aca="false">IF((E273="v"),H273," ")</f>
        <v> </v>
      </c>
      <c r="AD273" s="30" t="str">
        <f aca="false">IF((E273="n"),H273," ")</f>
        <v> </v>
      </c>
      <c r="AE273" s="17" t="str">
        <f aca="false">IF((E273="f"),H273," ")</f>
        <v> </v>
      </c>
      <c r="AF273" s="17" t="str">
        <f aca="false">IF((E273="l"),H273," ")</f>
        <v> </v>
      </c>
      <c r="AG273" s="17" t="str">
        <f aca="false">IF((E273="y"),H273," ")</f>
        <v> </v>
      </c>
      <c r="AH273" s="17" t="str">
        <f aca="false">IF((E273="z"),H273," ")</f>
        <v> </v>
      </c>
      <c r="AI273" s="17" t="str">
        <f aca="false">IF((E273="fa"),H273," ")</f>
        <v> </v>
      </c>
      <c r="AJ273" s="17" t="str">
        <f aca="false">IF((E273="e"),H273," ")</f>
        <v> </v>
      </c>
    </row>
    <row r="274" customFormat="false" ht="12" hidden="false" customHeight="false" outlineLevel="0" collapsed="false">
      <c r="A274" s="28"/>
      <c r="E274" s="2" t="str">
        <f aca="false">IF((F274&lt;&gt;0),"Enter Letter"," ")</f>
        <v> </v>
      </c>
      <c r="F274" s="30"/>
      <c r="G274" s="6" t="str">
        <f aca="false">IF(F274&lt;&gt;0,F274*G$2/(100+G$2)," ")</f>
        <v> </v>
      </c>
      <c r="H274" s="6" t="str">
        <f aca="false">IF((F274&lt;&gt;0),F274-G274," ")</f>
        <v> </v>
      </c>
      <c r="I274" s="5"/>
      <c r="L274" s="7" t="str">
        <f aca="false">IF(F274&lt;&gt;0,F274-K274," ")</f>
        <v> </v>
      </c>
      <c r="M274" s="8" t="str">
        <f aca="false">IF((F274-K274)&lt;&gt;0,M$1-A274," ")</f>
        <v> </v>
      </c>
      <c r="N274" s="5"/>
      <c r="O274" s="17" t="str">
        <f aca="false">IF((E274="s"),H274," ")</f>
        <v> </v>
      </c>
      <c r="P274" s="17" t="str">
        <f aca="false">IF((E274="c"),H274," ")</f>
        <v> </v>
      </c>
      <c r="Q274" s="17" t="str">
        <f aca="false">IF((E274="o"),H274," ")</f>
        <v> </v>
      </c>
      <c r="R274" s="17" t="str">
        <f aca="false">IF((E274="d"),H274," ")</f>
        <v> </v>
      </c>
      <c r="S274" s="17" t="str">
        <f aca="false">IF((E274="w"),H274," ")</f>
        <v> </v>
      </c>
      <c r="T274" s="17" t="str">
        <f aca="false">IF((E274="r"),H274," ")</f>
        <v> </v>
      </c>
      <c r="U274" s="17" t="str">
        <f aca="false">IF((E274="p"),H274," ")</f>
        <v> </v>
      </c>
      <c r="V274" s="17" t="str">
        <f aca="false">IF((E274="t"),H274," ")</f>
        <v> </v>
      </c>
      <c r="W274" s="17" t="str">
        <f aca="false">IF((E274="q"),H274," ")</f>
        <v> </v>
      </c>
      <c r="X274" s="17" t="str">
        <f aca="false">IF((E274="m"),H274," ")</f>
        <v> </v>
      </c>
      <c r="Y274" s="17" t="str">
        <f aca="false">IF((E274="u"),H274," ")</f>
        <v> </v>
      </c>
      <c r="Z274" s="17" t="str">
        <f aca="false">IF((E274="a"),H274," ")</f>
        <v> </v>
      </c>
      <c r="AA274" s="17" t="str">
        <f aca="false">IF((E274="g"),H274," ")</f>
        <v> </v>
      </c>
      <c r="AB274" s="17" t="str">
        <f aca="false">IF((E274="h"),H274," ")</f>
        <v> </v>
      </c>
      <c r="AC274" s="30" t="str">
        <f aca="false">IF((E274="v"),H274," ")</f>
        <v> </v>
      </c>
      <c r="AD274" s="30" t="str">
        <f aca="false">IF((E274="n"),H274," ")</f>
        <v> </v>
      </c>
      <c r="AE274" s="17" t="str">
        <f aca="false">IF((E274="f"),H274," ")</f>
        <v> </v>
      </c>
      <c r="AF274" s="17" t="str">
        <f aca="false">IF((E274="l"),H274," ")</f>
        <v> </v>
      </c>
      <c r="AG274" s="17" t="str">
        <f aca="false">IF((E274="y"),H274," ")</f>
        <v> </v>
      </c>
      <c r="AH274" s="17" t="str">
        <f aca="false">IF((E274="z"),H274," ")</f>
        <v> </v>
      </c>
      <c r="AI274" s="17" t="str">
        <f aca="false">IF((E274="fa"),H274," ")</f>
        <v> </v>
      </c>
      <c r="AJ274" s="17" t="str">
        <f aca="false">IF((E274="e"),H274," ")</f>
        <v> </v>
      </c>
    </row>
    <row r="275" customFormat="false" ht="12" hidden="false" customHeight="false" outlineLevel="0" collapsed="false">
      <c r="A275" s="28"/>
      <c r="E275" s="2" t="str">
        <f aca="false">IF((F275&lt;&gt;0),"Enter Letter"," ")</f>
        <v> </v>
      </c>
      <c r="F275" s="30"/>
      <c r="G275" s="6" t="str">
        <f aca="false">IF(F275&lt;&gt;0,F275*G$2/(100+G$2)," ")</f>
        <v> </v>
      </c>
      <c r="H275" s="6" t="str">
        <f aca="false">IF((F275&lt;&gt;0),F275-G275," ")</f>
        <v> </v>
      </c>
      <c r="I275" s="5"/>
      <c r="L275" s="7" t="str">
        <f aca="false">IF(F275&lt;&gt;0,F275-K275," ")</f>
        <v> </v>
      </c>
      <c r="M275" s="8" t="str">
        <f aca="false">IF((F275-K275)&lt;&gt;0,M$1-A275," ")</f>
        <v> </v>
      </c>
      <c r="N275" s="5"/>
      <c r="O275" s="17" t="str">
        <f aca="false">IF((E275="s"),H275," ")</f>
        <v> </v>
      </c>
      <c r="P275" s="17" t="str">
        <f aca="false">IF((E275="c"),H275," ")</f>
        <v> </v>
      </c>
      <c r="Q275" s="17" t="str">
        <f aca="false">IF((E275="o"),H275," ")</f>
        <v> </v>
      </c>
      <c r="R275" s="17" t="str">
        <f aca="false">IF((E275="d"),H275," ")</f>
        <v> </v>
      </c>
      <c r="S275" s="17" t="str">
        <f aca="false">IF((E275="w"),H275," ")</f>
        <v> </v>
      </c>
      <c r="T275" s="17" t="str">
        <f aca="false">IF((E275="r"),H275," ")</f>
        <v> </v>
      </c>
      <c r="U275" s="17" t="str">
        <f aca="false">IF((E275="p"),H275," ")</f>
        <v> </v>
      </c>
      <c r="V275" s="17" t="str">
        <f aca="false">IF((E275="t"),H275," ")</f>
        <v> </v>
      </c>
      <c r="W275" s="17" t="str">
        <f aca="false">IF((E275="q"),H275," ")</f>
        <v> </v>
      </c>
      <c r="X275" s="17" t="str">
        <f aca="false">IF((E275="m"),H275," ")</f>
        <v> </v>
      </c>
      <c r="Y275" s="17" t="str">
        <f aca="false">IF((E275="u"),H275," ")</f>
        <v> </v>
      </c>
      <c r="Z275" s="17" t="str">
        <f aca="false">IF((E275="a"),H275," ")</f>
        <v> </v>
      </c>
      <c r="AA275" s="17" t="str">
        <f aca="false">IF((E275="g"),H275," ")</f>
        <v> </v>
      </c>
      <c r="AB275" s="17" t="str">
        <f aca="false">IF((E275="h"),H275," ")</f>
        <v> </v>
      </c>
      <c r="AC275" s="30" t="str">
        <f aca="false">IF((E275="v"),H275," ")</f>
        <v> </v>
      </c>
      <c r="AD275" s="30" t="str">
        <f aca="false">IF((E275="n"),H275," ")</f>
        <v> </v>
      </c>
      <c r="AE275" s="17" t="str">
        <f aca="false">IF((E275="f"),H275," ")</f>
        <v> </v>
      </c>
      <c r="AF275" s="17" t="str">
        <f aca="false">IF((E275="l"),H275," ")</f>
        <v> </v>
      </c>
      <c r="AG275" s="17" t="str">
        <f aca="false">IF((E275="y"),H275," ")</f>
        <v> </v>
      </c>
      <c r="AH275" s="17" t="str">
        <f aca="false">IF((E275="z"),H275," ")</f>
        <v> </v>
      </c>
      <c r="AI275" s="17" t="str">
        <f aca="false">IF((E275="fa"),H275," ")</f>
        <v> </v>
      </c>
      <c r="AJ275" s="17" t="str">
        <f aca="false">IF((E275="e"),H275," ")</f>
        <v> </v>
      </c>
    </row>
    <row r="276" customFormat="false" ht="12" hidden="false" customHeight="false" outlineLevel="0" collapsed="false">
      <c r="A276" s="28"/>
      <c r="E276" s="2" t="str">
        <f aca="false">IF((F276&lt;&gt;0),"Enter Letter"," ")</f>
        <v> </v>
      </c>
      <c r="F276" s="30"/>
      <c r="G276" s="6" t="str">
        <f aca="false">IF(F276&lt;&gt;0,F276*G$2/(100+G$2)," ")</f>
        <v> </v>
      </c>
      <c r="H276" s="6" t="str">
        <f aca="false">IF((F276&lt;&gt;0),F276-G276," ")</f>
        <v> </v>
      </c>
      <c r="I276" s="5"/>
      <c r="L276" s="7" t="str">
        <f aca="false">IF(F276&lt;&gt;0,F276-K276," ")</f>
        <v> </v>
      </c>
      <c r="M276" s="8" t="str">
        <f aca="false">IF((F276-K276)&lt;&gt;0,M$1-A276," ")</f>
        <v> </v>
      </c>
      <c r="N276" s="5"/>
      <c r="O276" s="17" t="str">
        <f aca="false">IF((E276="s"),H276," ")</f>
        <v> </v>
      </c>
      <c r="P276" s="17" t="str">
        <f aca="false">IF((E276="c"),H276," ")</f>
        <v> </v>
      </c>
      <c r="Q276" s="17" t="str">
        <f aca="false">IF((E276="o"),H276," ")</f>
        <v> </v>
      </c>
      <c r="R276" s="17" t="str">
        <f aca="false">IF((E276="d"),H276," ")</f>
        <v> </v>
      </c>
      <c r="S276" s="17" t="str">
        <f aca="false">IF((E276="w"),H276," ")</f>
        <v> </v>
      </c>
      <c r="T276" s="17" t="str">
        <f aca="false">IF((E276="r"),H276," ")</f>
        <v> </v>
      </c>
      <c r="U276" s="17" t="str">
        <f aca="false">IF((E276="p"),H276," ")</f>
        <v> </v>
      </c>
      <c r="V276" s="17" t="str">
        <f aca="false">IF((E276="t"),H276," ")</f>
        <v> </v>
      </c>
      <c r="W276" s="17" t="str">
        <f aca="false">IF((E276="q"),H276," ")</f>
        <v> </v>
      </c>
      <c r="X276" s="17" t="str">
        <f aca="false">IF((E276="m"),H276," ")</f>
        <v> </v>
      </c>
      <c r="Y276" s="17" t="str">
        <f aca="false">IF((E276="u"),H276," ")</f>
        <v> </v>
      </c>
      <c r="Z276" s="17" t="str">
        <f aca="false">IF((E276="a"),H276," ")</f>
        <v> </v>
      </c>
      <c r="AA276" s="17" t="str">
        <f aca="false">IF((E276="g"),H276," ")</f>
        <v> </v>
      </c>
      <c r="AB276" s="17" t="str">
        <f aca="false">IF((E276="h"),H276," ")</f>
        <v> </v>
      </c>
      <c r="AC276" s="30" t="str">
        <f aca="false">IF((E276="v"),H276," ")</f>
        <v> </v>
      </c>
      <c r="AD276" s="30" t="str">
        <f aca="false">IF((E276="n"),H276," ")</f>
        <v> </v>
      </c>
      <c r="AE276" s="17" t="str">
        <f aca="false">IF((E276="f"),H276," ")</f>
        <v> </v>
      </c>
      <c r="AF276" s="17" t="str">
        <f aca="false">IF((E276="l"),H276," ")</f>
        <v> </v>
      </c>
      <c r="AG276" s="17" t="str">
        <f aca="false">IF((E276="y"),H276," ")</f>
        <v> </v>
      </c>
      <c r="AH276" s="17" t="str">
        <f aca="false">IF((E276="z"),H276," ")</f>
        <v> </v>
      </c>
      <c r="AI276" s="17" t="str">
        <f aca="false">IF((E276="fa"),H276," ")</f>
        <v> </v>
      </c>
      <c r="AJ276" s="17" t="str">
        <f aca="false">IF((E276="e"),H276," ")</f>
        <v> </v>
      </c>
    </row>
    <row r="277" customFormat="false" ht="12" hidden="false" customHeight="false" outlineLevel="0" collapsed="false">
      <c r="A277" s="28"/>
      <c r="E277" s="2" t="str">
        <f aca="false">IF((F277&lt;&gt;0),"Enter Letter"," ")</f>
        <v> </v>
      </c>
      <c r="F277" s="30"/>
      <c r="G277" s="6" t="str">
        <f aca="false">IF(F277&lt;&gt;0,F277*G$2/(100+G$2)," ")</f>
        <v> </v>
      </c>
      <c r="H277" s="6" t="str">
        <f aca="false">IF((F277&lt;&gt;0),F277-G277," ")</f>
        <v> </v>
      </c>
      <c r="I277" s="5"/>
      <c r="L277" s="7" t="str">
        <f aca="false">IF(F277&lt;&gt;0,F277-K277," ")</f>
        <v> </v>
      </c>
      <c r="M277" s="8" t="str">
        <f aca="false">IF((F277-K277)&lt;&gt;0,M$1-A277," ")</f>
        <v> </v>
      </c>
      <c r="N277" s="5"/>
      <c r="O277" s="17" t="str">
        <f aca="false">IF((E277="s"),H277," ")</f>
        <v> </v>
      </c>
      <c r="P277" s="17" t="str">
        <f aca="false">IF((E277="c"),H277," ")</f>
        <v> </v>
      </c>
      <c r="Q277" s="17" t="str">
        <f aca="false">IF((E277="o"),H277," ")</f>
        <v> </v>
      </c>
      <c r="R277" s="17" t="str">
        <f aca="false">IF((E277="d"),H277," ")</f>
        <v> </v>
      </c>
      <c r="S277" s="17" t="str">
        <f aca="false">IF((E277="w"),H277," ")</f>
        <v> </v>
      </c>
      <c r="T277" s="17" t="str">
        <f aca="false">IF((E277="r"),H277," ")</f>
        <v> </v>
      </c>
      <c r="U277" s="17" t="str">
        <f aca="false">IF((E277="p"),H277," ")</f>
        <v> </v>
      </c>
      <c r="V277" s="17" t="str">
        <f aca="false">IF((E277="t"),H277," ")</f>
        <v> </v>
      </c>
      <c r="W277" s="17" t="str">
        <f aca="false">IF((E277="q"),H277," ")</f>
        <v> </v>
      </c>
      <c r="X277" s="17" t="str">
        <f aca="false">IF((E277="m"),H277," ")</f>
        <v> </v>
      </c>
      <c r="Y277" s="17" t="str">
        <f aca="false">IF((E277="u"),H277," ")</f>
        <v> </v>
      </c>
      <c r="Z277" s="17" t="str">
        <f aca="false">IF((E277="a"),H277," ")</f>
        <v> </v>
      </c>
      <c r="AA277" s="17" t="str">
        <f aca="false">IF((E277="g"),H277," ")</f>
        <v> </v>
      </c>
      <c r="AB277" s="17" t="str">
        <f aca="false">IF((E277="h"),H277," ")</f>
        <v> </v>
      </c>
      <c r="AC277" s="30" t="str">
        <f aca="false">IF((E277="v"),H277," ")</f>
        <v> </v>
      </c>
      <c r="AD277" s="30" t="str">
        <f aca="false">IF((E277="n"),H277," ")</f>
        <v> </v>
      </c>
      <c r="AE277" s="17" t="str">
        <f aca="false">IF((E277="f"),H277," ")</f>
        <v> </v>
      </c>
      <c r="AF277" s="17" t="str">
        <f aca="false">IF((E277="l"),H277," ")</f>
        <v> </v>
      </c>
      <c r="AG277" s="17" t="str">
        <f aca="false">IF((E277="y"),H277," ")</f>
        <v> </v>
      </c>
      <c r="AH277" s="17" t="str">
        <f aca="false">IF((E277="z"),H277," ")</f>
        <v> </v>
      </c>
      <c r="AI277" s="17" t="str">
        <f aca="false">IF((E277="fa"),H277," ")</f>
        <v> </v>
      </c>
      <c r="AJ277" s="17" t="str">
        <f aca="false">IF((E277="e"),H277," ")</f>
        <v> </v>
      </c>
    </row>
    <row r="278" customFormat="false" ht="12" hidden="false" customHeight="false" outlineLevel="0" collapsed="false">
      <c r="A278" s="28"/>
      <c r="E278" s="2" t="str">
        <f aca="false">IF((F278&lt;&gt;0),"Enter Letter"," ")</f>
        <v> </v>
      </c>
      <c r="F278" s="30"/>
      <c r="G278" s="6" t="str">
        <f aca="false">IF(F278&lt;&gt;0,F278*G$2/(100+G$2)," ")</f>
        <v> </v>
      </c>
      <c r="H278" s="6" t="str">
        <f aca="false">IF((F278&lt;&gt;0),F278-G278," ")</f>
        <v> </v>
      </c>
      <c r="I278" s="5"/>
      <c r="L278" s="7" t="str">
        <f aca="false">IF(F278&lt;&gt;0,F278-K278," ")</f>
        <v> </v>
      </c>
      <c r="M278" s="8" t="str">
        <f aca="false">IF((F278-K278)&lt;&gt;0,M$1-A278," ")</f>
        <v> </v>
      </c>
      <c r="N278" s="5"/>
      <c r="O278" s="17" t="str">
        <f aca="false">IF((E278="s"),H278," ")</f>
        <v> </v>
      </c>
      <c r="P278" s="17" t="str">
        <f aca="false">IF((E278="c"),H278," ")</f>
        <v> </v>
      </c>
      <c r="Q278" s="17" t="str">
        <f aca="false">IF((E278="o"),H278," ")</f>
        <v> </v>
      </c>
      <c r="R278" s="17" t="str">
        <f aca="false">IF((E278="d"),H278," ")</f>
        <v> </v>
      </c>
      <c r="S278" s="17" t="str">
        <f aca="false">IF((E278="w"),H278," ")</f>
        <v> </v>
      </c>
      <c r="T278" s="17" t="str">
        <f aca="false">IF((E278="r"),H278," ")</f>
        <v> </v>
      </c>
      <c r="U278" s="17" t="str">
        <f aca="false">IF((E278="p"),H278," ")</f>
        <v> </v>
      </c>
      <c r="V278" s="17" t="str">
        <f aca="false">IF((E278="t"),H278," ")</f>
        <v> </v>
      </c>
      <c r="W278" s="17" t="str">
        <f aca="false">IF((E278="q"),H278," ")</f>
        <v> </v>
      </c>
      <c r="X278" s="17" t="str">
        <f aca="false">IF((E278="m"),H278," ")</f>
        <v> </v>
      </c>
      <c r="Y278" s="17" t="str">
        <f aca="false">IF((E278="u"),H278," ")</f>
        <v> </v>
      </c>
      <c r="Z278" s="17" t="str">
        <f aca="false">IF((E278="a"),H278," ")</f>
        <v> </v>
      </c>
      <c r="AA278" s="17" t="str">
        <f aca="false">IF((E278="g"),H278," ")</f>
        <v> </v>
      </c>
      <c r="AB278" s="17" t="str">
        <f aca="false">IF((E278="h"),H278," ")</f>
        <v> </v>
      </c>
      <c r="AC278" s="30" t="str">
        <f aca="false">IF((E278="v"),H278," ")</f>
        <v> </v>
      </c>
      <c r="AD278" s="30" t="str">
        <f aca="false">IF((E278="n"),H278," ")</f>
        <v> </v>
      </c>
      <c r="AE278" s="17" t="str">
        <f aca="false">IF((E278="f"),H278," ")</f>
        <v> </v>
      </c>
      <c r="AF278" s="17" t="str">
        <f aca="false">IF((E278="l"),H278," ")</f>
        <v> </v>
      </c>
      <c r="AG278" s="17" t="str">
        <f aca="false">IF((E278="y"),H278," ")</f>
        <v> </v>
      </c>
      <c r="AH278" s="17" t="str">
        <f aca="false">IF((E278="z"),H278," ")</f>
        <v> </v>
      </c>
      <c r="AI278" s="17" t="str">
        <f aca="false">IF((E278="fa"),H278," ")</f>
        <v> </v>
      </c>
      <c r="AJ278" s="17" t="str">
        <f aca="false">IF((E278="e"),H278," ")</f>
        <v> </v>
      </c>
    </row>
    <row r="279" customFormat="false" ht="12" hidden="false" customHeight="false" outlineLevel="0" collapsed="false">
      <c r="A279" s="28"/>
      <c r="E279" s="2" t="str">
        <f aca="false">IF((F279&lt;&gt;0),"Enter Letter"," ")</f>
        <v> </v>
      </c>
      <c r="F279" s="30"/>
      <c r="G279" s="6" t="str">
        <f aca="false">IF(F279&lt;&gt;0,F279*G$2/(100+G$2)," ")</f>
        <v> </v>
      </c>
      <c r="H279" s="6" t="str">
        <f aca="false">IF((F279&lt;&gt;0),F279-G279," ")</f>
        <v> </v>
      </c>
      <c r="I279" s="5"/>
      <c r="L279" s="7" t="str">
        <f aca="false">IF(F279&lt;&gt;0,F279-K279," ")</f>
        <v> </v>
      </c>
      <c r="M279" s="8" t="str">
        <f aca="false">IF((F279-K279)&lt;&gt;0,M$1-A279," ")</f>
        <v> </v>
      </c>
      <c r="N279" s="5"/>
      <c r="O279" s="17" t="str">
        <f aca="false">IF((E279="s"),H279," ")</f>
        <v> </v>
      </c>
      <c r="P279" s="17" t="str">
        <f aca="false">IF((E279="c"),H279," ")</f>
        <v> </v>
      </c>
      <c r="Q279" s="17" t="str">
        <f aca="false">IF((E279="o"),H279," ")</f>
        <v> </v>
      </c>
      <c r="R279" s="17" t="str">
        <f aca="false">IF((E279="d"),H279," ")</f>
        <v> </v>
      </c>
      <c r="S279" s="17" t="str">
        <f aca="false">IF((E279="w"),H279," ")</f>
        <v> </v>
      </c>
      <c r="T279" s="17" t="str">
        <f aca="false">IF((E279="r"),H279," ")</f>
        <v> </v>
      </c>
      <c r="U279" s="17" t="str">
        <f aca="false">IF((E279="p"),H279," ")</f>
        <v> </v>
      </c>
      <c r="V279" s="17" t="str">
        <f aca="false">IF((E279="t"),H279," ")</f>
        <v> </v>
      </c>
      <c r="W279" s="17" t="str">
        <f aca="false">IF((E279="q"),H279," ")</f>
        <v> </v>
      </c>
      <c r="X279" s="17" t="str">
        <f aca="false">IF((E279="m"),H279," ")</f>
        <v> </v>
      </c>
      <c r="Y279" s="17" t="str">
        <f aca="false">IF((E279="u"),H279," ")</f>
        <v> </v>
      </c>
      <c r="Z279" s="17" t="str">
        <f aca="false">IF((E279="a"),H279," ")</f>
        <v> </v>
      </c>
      <c r="AA279" s="17" t="str">
        <f aca="false">IF((E279="g"),H279," ")</f>
        <v> </v>
      </c>
      <c r="AB279" s="17" t="str">
        <f aca="false">IF((E279="h"),H279," ")</f>
        <v> </v>
      </c>
      <c r="AC279" s="30" t="str">
        <f aca="false">IF((E279="v"),H279," ")</f>
        <v> </v>
      </c>
      <c r="AD279" s="30" t="str">
        <f aca="false">IF((E279="n"),H279," ")</f>
        <v> </v>
      </c>
      <c r="AE279" s="17" t="str">
        <f aca="false">IF((E279="f"),H279," ")</f>
        <v> </v>
      </c>
      <c r="AF279" s="17" t="str">
        <f aca="false">IF((E279="l"),H279," ")</f>
        <v> </v>
      </c>
      <c r="AG279" s="17" t="str">
        <f aca="false">IF((E279="y"),H279," ")</f>
        <v> </v>
      </c>
      <c r="AH279" s="17" t="str">
        <f aca="false">IF((E279="z"),H279," ")</f>
        <v> </v>
      </c>
      <c r="AI279" s="17" t="str">
        <f aca="false">IF((E279="fa"),H279," ")</f>
        <v> </v>
      </c>
      <c r="AJ279" s="17" t="str">
        <f aca="false">IF((E279="e"),H279," ")</f>
        <v> </v>
      </c>
    </row>
    <row r="280" customFormat="false" ht="12" hidden="false" customHeight="false" outlineLevel="0" collapsed="false">
      <c r="A280" s="28"/>
      <c r="E280" s="2" t="str">
        <f aca="false">IF((F280&lt;&gt;0),"Enter Letter"," ")</f>
        <v> </v>
      </c>
      <c r="F280" s="30"/>
      <c r="G280" s="6" t="str">
        <f aca="false">IF(F280&lt;&gt;0,F280*G$2/(100+G$2)," ")</f>
        <v> </v>
      </c>
      <c r="H280" s="6" t="str">
        <f aca="false">IF((F280&lt;&gt;0),F280-G280," ")</f>
        <v> </v>
      </c>
      <c r="I280" s="5"/>
      <c r="L280" s="7" t="str">
        <f aca="false">IF(F280&lt;&gt;0,F280-K280," ")</f>
        <v> </v>
      </c>
      <c r="M280" s="8" t="str">
        <f aca="false">IF((F280-K280)&lt;&gt;0,M$1-A280," ")</f>
        <v> </v>
      </c>
      <c r="N280" s="5"/>
      <c r="O280" s="17" t="str">
        <f aca="false">IF((E280="s"),H280," ")</f>
        <v> </v>
      </c>
      <c r="P280" s="17" t="str">
        <f aca="false">IF((E280="c"),H280," ")</f>
        <v> </v>
      </c>
      <c r="Q280" s="17" t="str">
        <f aca="false">IF((E280="o"),H280," ")</f>
        <v> </v>
      </c>
      <c r="R280" s="17" t="str">
        <f aca="false">IF((E280="d"),H280," ")</f>
        <v> </v>
      </c>
      <c r="S280" s="17" t="str">
        <f aca="false">IF((E280="w"),H280," ")</f>
        <v> </v>
      </c>
      <c r="T280" s="17" t="str">
        <f aca="false">IF((E280="r"),H280," ")</f>
        <v> </v>
      </c>
      <c r="U280" s="17" t="str">
        <f aca="false">IF((E280="p"),H280," ")</f>
        <v> </v>
      </c>
      <c r="V280" s="17" t="str">
        <f aca="false">IF((E280="t"),H280," ")</f>
        <v> </v>
      </c>
      <c r="W280" s="17" t="str">
        <f aca="false">IF((E280="q"),H280," ")</f>
        <v> </v>
      </c>
      <c r="X280" s="17" t="str">
        <f aca="false">IF((E280="m"),H280," ")</f>
        <v> </v>
      </c>
      <c r="Y280" s="17" t="str">
        <f aca="false">IF((E280="u"),H280," ")</f>
        <v> </v>
      </c>
      <c r="Z280" s="17" t="str">
        <f aca="false">IF((E280="a"),H280," ")</f>
        <v> </v>
      </c>
      <c r="AA280" s="17" t="str">
        <f aca="false">IF((E280="g"),H280," ")</f>
        <v> </v>
      </c>
      <c r="AB280" s="17" t="str">
        <f aca="false">IF((E280="h"),H280," ")</f>
        <v> </v>
      </c>
      <c r="AC280" s="30" t="str">
        <f aca="false">IF((E280="v"),H280," ")</f>
        <v> </v>
      </c>
      <c r="AD280" s="30" t="str">
        <f aca="false">IF((E280="n"),H280," ")</f>
        <v> </v>
      </c>
      <c r="AE280" s="17" t="str">
        <f aca="false">IF((E280="f"),H280," ")</f>
        <v> </v>
      </c>
      <c r="AF280" s="17" t="str">
        <f aca="false">IF((E280="l"),H280," ")</f>
        <v> </v>
      </c>
      <c r="AG280" s="17" t="str">
        <f aca="false">IF((E280="y"),H280," ")</f>
        <v> </v>
      </c>
      <c r="AH280" s="17" t="str">
        <f aca="false">IF((E280="z"),H280," ")</f>
        <v> </v>
      </c>
      <c r="AI280" s="17" t="str">
        <f aca="false">IF((E280="fa"),H280," ")</f>
        <v> </v>
      </c>
      <c r="AJ280" s="17" t="str">
        <f aca="false">IF((E280="e"),H280," ")</f>
        <v> </v>
      </c>
    </row>
    <row r="281" customFormat="false" ht="12" hidden="false" customHeight="false" outlineLevel="0" collapsed="false">
      <c r="A281" s="28"/>
      <c r="E281" s="2" t="str">
        <f aca="false">IF((F281&lt;&gt;0),"Enter Letter"," ")</f>
        <v> </v>
      </c>
      <c r="F281" s="30"/>
      <c r="G281" s="6" t="str">
        <f aca="false">IF(F281&lt;&gt;0,F281*G$2/(100+G$2)," ")</f>
        <v> </v>
      </c>
      <c r="H281" s="6" t="str">
        <f aca="false">IF((F281&lt;&gt;0),F281-G281," ")</f>
        <v> </v>
      </c>
      <c r="I281" s="5"/>
      <c r="L281" s="7" t="str">
        <f aca="false">IF(F281&lt;&gt;0,F281-K281," ")</f>
        <v> </v>
      </c>
      <c r="M281" s="8" t="str">
        <f aca="false">IF((F281-K281)&lt;&gt;0,M$1-A281," ")</f>
        <v> </v>
      </c>
      <c r="N281" s="5"/>
      <c r="O281" s="17" t="str">
        <f aca="false">IF((E281="s"),H281," ")</f>
        <v> </v>
      </c>
      <c r="P281" s="17" t="str">
        <f aca="false">IF((E281="c"),H281," ")</f>
        <v> </v>
      </c>
      <c r="Q281" s="17" t="str">
        <f aca="false">IF((E281="o"),H281," ")</f>
        <v> </v>
      </c>
      <c r="R281" s="17" t="str">
        <f aca="false">IF((E281="d"),H281," ")</f>
        <v> </v>
      </c>
      <c r="S281" s="17" t="str">
        <f aca="false">IF((E281="w"),H281," ")</f>
        <v> </v>
      </c>
      <c r="T281" s="17" t="str">
        <f aca="false">IF((E281="r"),H281," ")</f>
        <v> </v>
      </c>
      <c r="U281" s="17" t="str">
        <f aca="false">IF((E281="p"),H281," ")</f>
        <v> </v>
      </c>
      <c r="V281" s="17" t="str">
        <f aca="false">IF((E281="t"),H281," ")</f>
        <v> </v>
      </c>
      <c r="W281" s="17" t="str">
        <f aca="false">IF((E281="q"),H281," ")</f>
        <v> </v>
      </c>
      <c r="X281" s="17" t="str">
        <f aca="false">IF((E281="m"),H281," ")</f>
        <v> </v>
      </c>
      <c r="Y281" s="17" t="str">
        <f aca="false">IF((E281="u"),H281," ")</f>
        <v> </v>
      </c>
      <c r="Z281" s="17" t="str">
        <f aca="false">IF((E281="a"),H281," ")</f>
        <v> </v>
      </c>
      <c r="AA281" s="17" t="str">
        <f aca="false">IF((E281="g"),H281," ")</f>
        <v> </v>
      </c>
      <c r="AB281" s="17" t="str">
        <f aca="false">IF((E281="h"),H281," ")</f>
        <v> </v>
      </c>
      <c r="AC281" s="30" t="str">
        <f aca="false">IF((E281="v"),H281," ")</f>
        <v> </v>
      </c>
      <c r="AD281" s="30" t="str">
        <f aca="false">IF((E281="n"),H281," ")</f>
        <v> </v>
      </c>
      <c r="AE281" s="17" t="str">
        <f aca="false">IF((E281="f"),H281," ")</f>
        <v> </v>
      </c>
      <c r="AF281" s="17" t="str">
        <f aca="false">IF((E281="l"),H281," ")</f>
        <v> </v>
      </c>
      <c r="AG281" s="17" t="str">
        <f aca="false">IF((E281="y"),H281," ")</f>
        <v> </v>
      </c>
      <c r="AH281" s="17" t="str">
        <f aca="false">IF((E281="z"),H281," ")</f>
        <v> </v>
      </c>
      <c r="AI281" s="17" t="str">
        <f aca="false">IF((E281="fa"),H281," ")</f>
        <v> </v>
      </c>
      <c r="AJ281" s="17" t="str">
        <f aca="false">IF((E281="e"),H281," ")</f>
        <v> </v>
      </c>
    </row>
    <row r="282" customFormat="false" ht="12" hidden="false" customHeight="false" outlineLevel="0" collapsed="false">
      <c r="A282" s="28"/>
      <c r="E282" s="2" t="str">
        <f aca="false">IF((F282&lt;&gt;0),"Enter Letter"," ")</f>
        <v> </v>
      </c>
      <c r="F282" s="30"/>
      <c r="G282" s="6" t="str">
        <f aca="false">IF(F282&lt;&gt;0,F282*G$2/(100+G$2)," ")</f>
        <v> </v>
      </c>
      <c r="H282" s="6" t="str">
        <f aca="false">IF((F282&lt;&gt;0),F282-G282," ")</f>
        <v> </v>
      </c>
      <c r="I282" s="5"/>
      <c r="L282" s="7" t="str">
        <f aca="false">IF(F282&lt;&gt;0,F282-K282," ")</f>
        <v> </v>
      </c>
      <c r="M282" s="8" t="str">
        <f aca="false">IF((F282-K282)&lt;&gt;0,M$1-A282," ")</f>
        <v> </v>
      </c>
      <c r="N282" s="5"/>
      <c r="O282" s="17" t="str">
        <f aca="false">IF((E282="s"),H282," ")</f>
        <v> </v>
      </c>
      <c r="P282" s="17" t="str">
        <f aca="false">IF((E282="c"),H282," ")</f>
        <v> </v>
      </c>
      <c r="Q282" s="17" t="str">
        <f aca="false">IF((E282="o"),H282," ")</f>
        <v> </v>
      </c>
      <c r="R282" s="17" t="str">
        <f aca="false">IF((E282="d"),H282," ")</f>
        <v> </v>
      </c>
      <c r="S282" s="17" t="str">
        <f aca="false">IF((E282="w"),H282," ")</f>
        <v> </v>
      </c>
      <c r="T282" s="17" t="str">
        <f aca="false">IF((E282="r"),H282," ")</f>
        <v> </v>
      </c>
      <c r="U282" s="17" t="str">
        <f aca="false">IF((E282="p"),H282," ")</f>
        <v> </v>
      </c>
      <c r="V282" s="17" t="str">
        <f aca="false">IF((E282="t"),H282," ")</f>
        <v> </v>
      </c>
      <c r="W282" s="17" t="str">
        <f aca="false">IF((E282="q"),H282," ")</f>
        <v> </v>
      </c>
      <c r="X282" s="17" t="str">
        <f aca="false">IF((E282="m"),H282," ")</f>
        <v> </v>
      </c>
      <c r="Y282" s="17" t="str">
        <f aca="false">IF((E282="u"),H282," ")</f>
        <v> </v>
      </c>
      <c r="Z282" s="17" t="str">
        <f aca="false">IF((E282="a"),H282," ")</f>
        <v> </v>
      </c>
      <c r="AA282" s="17" t="str">
        <f aca="false">IF((E282="g"),H282," ")</f>
        <v> </v>
      </c>
      <c r="AB282" s="17" t="str">
        <f aca="false">IF((E282="h"),H282," ")</f>
        <v> </v>
      </c>
      <c r="AC282" s="30" t="str">
        <f aca="false">IF((E282="v"),H282," ")</f>
        <v> </v>
      </c>
      <c r="AD282" s="30" t="str">
        <f aca="false">IF((E282="n"),H282," ")</f>
        <v> </v>
      </c>
      <c r="AE282" s="17" t="str">
        <f aca="false">IF((E282="f"),H282," ")</f>
        <v> </v>
      </c>
      <c r="AF282" s="17" t="str">
        <f aca="false">IF((E282="l"),H282," ")</f>
        <v> </v>
      </c>
      <c r="AG282" s="17" t="str">
        <f aca="false">IF((E282="y"),H282," ")</f>
        <v> </v>
      </c>
      <c r="AH282" s="17" t="str">
        <f aca="false">IF((E282="z"),H282," ")</f>
        <v> </v>
      </c>
      <c r="AI282" s="17" t="str">
        <f aca="false">IF((E282="fa"),H282," ")</f>
        <v> </v>
      </c>
      <c r="AJ282" s="17" t="str">
        <f aca="false">IF((E282="e"),H282," ")</f>
        <v> </v>
      </c>
    </row>
    <row r="283" customFormat="false" ht="12" hidden="false" customHeight="false" outlineLevel="0" collapsed="false">
      <c r="A283" s="28"/>
      <c r="E283" s="2" t="str">
        <f aca="false">IF((F283&lt;&gt;0),"Enter Letter"," ")</f>
        <v> </v>
      </c>
      <c r="F283" s="30"/>
      <c r="G283" s="6" t="str">
        <f aca="false">IF(F283&lt;&gt;0,F283*G$2/(100+G$2)," ")</f>
        <v> </v>
      </c>
      <c r="H283" s="6" t="str">
        <f aca="false">IF((F283&lt;&gt;0),F283-G283," ")</f>
        <v> </v>
      </c>
      <c r="I283" s="5"/>
      <c r="L283" s="7" t="str">
        <f aca="false">IF(F283&lt;&gt;0,F283-K283," ")</f>
        <v> </v>
      </c>
      <c r="M283" s="8" t="str">
        <f aca="false">IF((F283-K283)&lt;&gt;0,M$1-A283," ")</f>
        <v> </v>
      </c>
      <c r="N283" s="5"/>
      <c r="O283" s="17" t="str">
        <f aca="false">IF((E283="s"),H283," ")</f>
        <v> </v>
      </c>
      <c r="P283" s="17" t="str">
        <f aca="false">IF((E283="c"),H283," ")</f>
        <v> </v>
      </c>
      <c r="Q283" s="17" t="str">
        <f aca="false">IF((E283="o"),H283," ")</f>
        <v> </v>
      </c>
      <c r="R283" s="17" t="str">
        <f aca="false">IF((E283="d"),H283," ")</f>
        <v> </v>
      </c>
      <c r="S283" s="17" t="str">
        <f aca="false">IF((E283="w"),H283," ")</f>
        <v> </v>
      </c>
      <c r="T283" s="17" t="str">
        <f aca="false">IF((E283="r"),H283," ")</f>
        <v> </v>
      </c>
      <c r="U283" s="17" t="str">
        <f aca="false">IF((E283="p"),H283," ")</f>
        <v> </v>
      </c>
      <c r="V283" s="17" t="str">
        <f aca="false">IF((E283="t"),H283," ")</f>
        <v> </v>
      </c>
      <c r="W283" s="17" t="str">
        <f aca="false">IF((E283="q"),H283," ")</f>
        <v> </v>
      </c>
      <c r="X283" s="17" t="str">
        <f aca="false">IF((E283="m"),H283," ")</f>
        <v> </v>
      </c>
      <c r="Y283" s="17" t="str">
        <f aca="false">IF((E283="u"),H283," ")</f>
        <v> </v>
      </c>
      <c r="Z283" s="17" t="str">
        <f aca="false">IF((E283="a"),H283," ")</f>
        <v> </v>
      </c>
      <c r="AA283" s="17" t="str">
        <f aca="false">IF((E283="g"),H283," ")</f>
        <v> </v>
      </c>
      <c r="AB283" s="17" t="str">
        <f aca="false">IF((E283="h"),H283," ")</f>
        <v> </v>
      </c>
      <c r="AC283" s="30" t="str">
        <f aca="false">IF((E283="v"),H283," ")</f>
        <v> </v>
      </c>
      <c r="AD283" s="30" t="str">
        <f aca="false">IF((E283="n"),H283," ")</f>
        <v> </v>
      </c>
      <c r="AE283" s="17" t="str">
        <f aca="false">IF((E283="f"),H283," ")</f>
        <v> </v>
      </c>
      <c r="AF283" s="17" t="str">
        <f aca="false">IF((E283="l"),H283," ")</f>
        <v> </v>
      </c>
      <c r="AG283" s="17" t="str">
        <f aca="false">IF((E283="y"),H283," ")</f>
        <v> </v>
      </c>
      <c r="AH283" s="17" t="str">
        <f aca="false">IF((E283="z"),H283," ")</f>
        <v> </v>
      </c>
      <c r="AI283" s="17" t="str">
        <f aca="false">IF((E283="fa"),H283," ")</f>
        <v> </v>
      </c>
      <c r="AJ283" s="17" t="str">
        <f aca="false">IF((E283="e"),H283," ")</f>
        <v> </v>
      </c>
    </row>
    <row r="284" customFormat="false" ht="12" hidden="false" customHeight="false" outlineLevel="0" collapsed="false">
      <c r="A284" s="28"/>
      <c r="E284" s="2" t="str">
        <f aca="false">IF((F284&lt;&gt;0),"Enter Letter"," ")</f>
        <v> </v>
      </c>
      <c r="F284" s="30"/>
      <c r="G284" s="6" t="str">
        <f aca="false">IF(F284&lt;&gt;0,F284*G$2/(100+G$2)," ")</f>
        <v> </v>
      </c>
      <c r="H284" s="6" t="str">
        <f aca="false">IF((F284&lt;&gt;0),F284-G284," ")</f>
        <v> </v>
      </c>
      <c r="I284" s="5"/>
      <c r="L284" s="7" t="str">
        <f aca="false">IF(F284&lt;&gt;0,F284-K284," ")</f>
        <v> </v>
      </c>
      <c r="M284" s="8" t="str">
        <f aca="false">IF((F284-K284)&lt;&gt;0,M$1-A284," ")</f>
        <v> </v>
      </c>
      <c r="N284" s="5"/>
      <c r="O284" s="17" t="str">
        <f aca="false">IF((E284="s"),H284," ")</f>
        <v> </v>
      </c>
      <c r="P284" s="17" t="str">
        <f aca="false">IF((E284="c"),H284," ")</f>
        <v> </v>
      </c>
      <c r="Q284" s="17" t="str">
        <f aca="false">IF((E284="o"),H284," ")</f>
        <v> </v>
      </c>
      <c r="R284" s="17" t="str">
        <f aca="false">IF((E284="d"),H284," ")</f>
        <v> </v>
      </c>
      <c r="S284" s="17" t="str">
        <f aca="false">IF((E284="w"),H284," ")</f>
        <v> </v>
      </c>
      <c r="T284" s="17" t="str">
        <f aca="false">IF((E284="r"),H284," ")</f>
        <v> </v>
      </c>
      <c r="U284" s="17" t="str">
        <f aca="false">IF((E284="p"),H284," ")</f>
        <v> </v>
      </c>
      <c r="V284" s="17" t="str">
        <f aca="false">IF((E284="t"),H284," ")</f>
        <v> </v>
      </c>
      <c r="W284" s="17" t="str">
        <f aca="false">IF((E284="q"),H284," ")</f>
        <v> </v>
      </c>
      <c r="X284" s="17" t="str">
        <f aca="false">IF((E284="m"),H284," ")</f>
        <v> </v>
      </c>
      <c r="Y284" s="17" t="str">
        <f aca="false">IF((E284="u"),H284," ")</f>
        <v> </v>
      </c>
      <c r="Z284" s="17" t="str">
        <f aca="false">IF((E284="a"),H284," ")</f>
        <v> </v>
      </c>
      <c r="AA284" s="17" t="str">
        <f aca="false">IF((E284="g"),H284," ")</f>
        <v> </v>
      </c>
      <c r="AB284" s="17" t="str">
        <f aca="false">IF((E284="h"),H284," ")</f>
        <v> </v>
      </c>
      <c r="AC284" s="30" t="str">
        <f aca="false">IF((E284="v"),H284," ")</f>
        <v> </v>
      </c>
      <c r="AD284" s="30" t="str">
        <f aca="false">IF((E284="n"),H284," ")</f>
        <v> </v>
      </c>
      <c r="AE284" s="17" t="str">
        <f aca="false">IF((E284="f"),H284," ")</f>
        <v> </v>
      </c>
      <c r="AF284" s="17" t="str">
        <f aca="false">IF((E284="l"),H284," ")</f>
        <v> </v>
      </c>
      <c r="AG284" s="17" t="str">
        <f aca="false">IF((E284="y"),H284," ")</f>
        <v> </v>
      </c>
      <c r="AH284" s="17" t="str">
        <f aca="false">IF((E284="z"),H284," ")</f>
        <v> </v>
      </c>
      <c r="AI284" s="17" t="str">
        <f aca="false">IF((E284="fa"),H284," ")</f>
        <v> </v>
      </c>
      <c r="AJ284" s="17" t="str">
        <f aca="false">IF((E284="e"),H284," ")</f>
        <v> </v>
      </c>
    </row>
    <row r="285" customFormat="false" ht="12" hidden="false" customHeight="false" outlineLevel="0" collapsed="false">
      <c r="A285" s="28"/>
      <c r="E285" s="2" t="str">
        <f aca="false">IF((F285&lt;&gt;0),"Enter Letter"," ")</f>
        <v> </v>
      </c>
      <c r="F285" s="30"/>
      <c r="G285" s="6" t="str">
        <f aca="false">IF(F285&lt;&gt;0,F285*G$2/(100+G$2)," ")</f>
        <v> </v>
      </c>
      <c r="H285" s="6" t="str">
        <f aca="false">IF((F285&lt;&gt;0),F285-G285," ")</f>
        <v> </v>
      </c>
      <c r="I285" s="5"/>
      <c r="L285" s="7" t="str">
        <f aca="false">IF(F285&lt;&gt;0,F285-K285," ")</f>
        <v> </v>
      </c>
      <c r="M285" s="8" t="str">
        <f aca="false">IF((F285-K285)&lt;&gt;0,M$1-A285," ")</f>
        <v> </v>
      </c>
      <c r="N285" s="5"/>
      <c r="O285" s="17" t="str">
        <f aca="false">IF((E285="s"),H285," ")</f>
        <v> </v>
      </c>
      <c r="P285" s="17" t="str">
        <f aca="false">IF((E285="c"),H285," ")</f>
        <v> </v>
      </c>
      <c r="Q285" s="17" t="str">
        <f aca="false">IF((E285="o"),H285," ")</f>
        <v> </v>
      </c>
      <c r="R285" s="17" t="str">
        <f aca="false">IF((E285="d"),H285," ")</f>
        <v> </v>
      </c>
      <c r="S285" s="17" t="str">
        <f aca="false">IF((E285="w"),H285," ")</f>
        <v> </v>
      </c>
      <c r="T285" s="17" t="str">
        <f aca="false">IF((E285="r"),H285," ")</f>
        <v> </v>
      </c>
      <c r="U285" s="17" t="str">
        <f aca="false">IF((E285="p"),H285," ")</f>
        <v> </v>
      </c>
      <c r="V285" s="17" t="str">
        <f aca="false">IF((E285="t"),H285," ")</f>
        <v> </v>
      </c>
      <c r="W285" s="17" t="str">
        <f aca="false">IF((E285="q"),H285," ")</f>
        <v> </v>
      </c>
      <c r="X285" s="17" t="str">
        <f aca="false">IF((E285="m"),H285," ")</f>
        <v> </v>
      </c>
      <c r="Y285" s="17" t="str">
        <f aca="false">IF((E285="u"),H285," ")</f>
        <v> </v>
      </c>
      <c r="Z285" s="17" t="str">
        <f aca="false">IF((E285="a"),H285," ")</f>
        <v> </v>
      </c>
      <c r="AA285" s="17" t="str">
        <f aca="false">IF((E285="g"),H285," ")</f>
        <v> </v>
      </c>
      <c r="AB285" s="17" t="str">
        <f aca="false">IF((E285="h"),H285," ")</f>
        <v> </v>
      </c>
      <c r="AC285" s="30" t="str">
        <f aca="false">IF((E285="v"),H285," ")</f>
        <v> </v>
      </c>
      <c r="AD285" s="30" t="str">
        <f aca="false">IF((E285="n"),H285," ")</f>
        <v> </v>
      </c>
      <c r="AE285" s="17" t="str">
        <f aca="false">IF((E285="f"),H285," ")</f>
        <v> </v>
      </c>
      <c r="AF285" s="17" t="str">
        <f aca="false">IF((E285="l"),H285," ")</f>
        <v> </v>
      </c>
      <c r="AG285" s="17" t="str">
        <f aca="false">IF((E285="y"),H285," ")</f>
        <v> </v>
      </c>
      <c r="AH285" s="17" t="str">
        <f aca="false">IF((E285="z"),H285," ")</f>
        <v> </v>
      </c>
      <c r="AI285" s="17" t="str">
        <f aca="false">IF((E285="fa"),H285," ")</f>
        <v> </v>
      </c>
      <c r="AJ285" s="17" t="str">
        <f aca="false">IF((E285="e"),H285," ")</f>
        <v> </v>
      </c>
    </row>
    <row r="286" customFormat="false" ht="12" hidden="false" customHeight="false" outlineLevel="0" collapsed="false">
      <c r="A286" s="28"/>
      <c r="E286" s="2" t="str">
        <f aca="false">IF((F286&lt;&gt;0),"Enter Letter"," ")</f>
        <v> </v>
      </c>
      <c r="F286" s="30"/>
      <c r="G286" s="6" t="str">
        <f aca="false">IF(F286&lt;&gt;0,F286*G$2/(100+G$2)," ")</f>
        <v> </v>
      </c>
      <c r="H286" s="6" t="str">
        <f aca="false">IF((F286&lt;&gt;0),F286-G286," ")</f>
        <v> </v>
      </c>
      <c r="I286" s="5"/>
      <c r="L286" s="7" t="str">
        <f aca="false">IF(F286&lt;&gt;0,F286-K286," ")</f>
        <v> </v>
      </c>
      <c r="M286" s="8" t="str">
        <f aca="false">IF((F286-K286)&lt;&gt;0,M$1-A286," ")</f>
        <v> </v>
      </c>
      <c r="N286" s="5"/>
      <c r="O286" s="17" t="str">
        <f aca="false">IF((E286="s"),H286," ")</f>
        <v> </v>
      </c>
      <c r="P286" s="17" t="str">
        <f aca="false">IF((E286="c"),H286," ")</f>
        <v> </v>
      </c>
      <c r="Q286" s="17" t="str">
        <f aca="false">IF((E286="o"),H286," ")</f>
        <v> </v>
      </c>
      <c r="R286" s="17" t="str">
        <f aca="false">IF((E286="d"),H286," ")</f>
        <v> </v>
      </c>
      <c r="S286" s="17" t="str">
        <f aca="false">IF((E286="w"),H286," ")</f>
        <v> </v>
      </c>
      <c r="T286" s="17" t="str">
        <f aca="false">IF((E286="r"),H286," ")</f>
        <v> </v>
      </c>
      <c r="U286" s="17" t="str">
        <f aca="false">IF((E286="p"),H286," ")</f>
        <v> </v>
      </c>
      <c r="V286" s="17" t="str">
        <f aca="false">IF((E286="t"),H286," ")</f>
        <v> </v>
      </c>
      <c r="W286" s="17" t="str">
        <f aca="false">IF((E286="q"),H286," ")</f>
        <v> </v>
      </c>
      <c r="X286" s="17" t="str">
        <f aca="false">IF((E286="m"),H286," ")</f>
        <v> </v>
      </c>
      <c r="Y286" s="17" t="str">
        <f aca="false">IF((E286="u"),H286," ")</f>
        <v> </v>
      </c>
      <c r="Z286" s="17" t="str">
        <f aca="false">IF((E286="a"),H286," ")</f>
        <v> </v>
      </c>
      <c r="AA286" s="17" t="str">
        <f aca="false">IF((E286="g"),H286," ")</f>
        <v> </v>
      </c>
      <c r="AB286" s="17" t="str">
        <f aca="false">IF((E286="h"),H286," ")</f>
        <v> </v>
      </c>
      <c r="AC286" s="30" t="str">
        <f aca="false">IF((E286="v"),H286," ")</f>
        <v> </v>
      </c>
      <c r="AD286" s="30" t="str">
        <f aca="false">IF((E286="n"),H286," ")</f>
        <v> </v>
      </c>
      <c r="AE286" s="17" t="str">
        <f aca="false">IF((E286="f"),H286," ")</f>
        <v> </v>
      </c>
      <c r="AF286" s="17" t="str">
        <f aca="false">IF((E286="l"),H286," ")</f>
        <v> </v>
      </c>
      <c r="AG286" s="17" t="str">
        <f aca="false">IF((E286="y"),H286," ")</f>
        <v> </v>
      </c>
      <c r="AH286" s="17" t="str">
        <f aca="false">IF((E286="z"),H286," ")</f>
        <v> </v>
      </c>
      <c r="AI286" s="17" t="str">
        <f aca="false">IF((E286="fa"),H286," ")</f>
        <v> </v>
      </c>
      <c r="AJ286" s="17" t="str">
        <f aca="false">IF((E286="e"),H286," ")</f>
        <v> </v>
      </c>
    </row>
    <row r="287" customFormat="false" ht="12" hidden="false" customHeight="false" outlineLevel="0" collapsed="false">
      <c r="A287" s="28"/>
      <c r="E287" s="2" t="str">
        <f aca="false">IF((F287&lt;&gt;0),"Enter Letter"," ")</f>
        <v> </v>
      </c>
      <c r="F287" s="30"/>
      <c r="G287" s="6" t="str">
        <f aca="false">IF(F287&lt;&gt;0,F287*G$2/(100+G$2)," ")</f>
        <v> </v>
      </c>
      <c r="H287" s="6" t="str">
        <f aca="false">IF((F287&lt;&gt;0),F287-G287," ")</f>
        <v> </v>
      </c>
      <c r="I287" s="5"/>
      <c r="L287" s="7" t="str">
        <f aca="false">IF(F287&lt;&gt;0,F287-K287," ")</f>
        <v> </v>
      </c>
      <c r="M287" s="8" t="str">
        <f aca="false">IF((F287-K287)&lt;&gt;0,M$1-A287," ")</f>
        <v> </v>
      </c>
      <c r="N287" s="5"/>
      <c r="O287" s="17" t="str">
        <f aca="false">IF((E287="s"),H287," ")</f>
        <v> </v>
      </c>
      <c r="P287" s="17" t="str">
        <f aca="false">IF((E287="c"),H287," ")</f>
        <v> </v>
      </c>
      <c r="Q287" s="17" t="str">
        <f aca="false">IF((E287="o"),H287," ")</f>
        <v> </v>
      </c>
      <c r="R287" s="17" t="str">
        <f aca="false">IF((E287="d"),H287," ")</f>
        <v> </v>
      </c>
      <c r="S287" s="17" t="str">
        <f aca="false">IF((E287="w"),H287," ")</f>
        <v> </v>
      </c>
      <c r="T287" s="17" t="str">
        <f aca="false">IF((E287="r"),H287," ")</f>
        <v> </v>
      </c>
      <c r="U287" s="17" t="str">
        <f aca="false">IF((E287="p"),H287," ")</f>
        <v> </v>
      </c>
      <c r="V287" s="17" t="str">
        <f aca="false">IF((E287="t"),H287," ")</f>
        <v> </v>
      </c>
      <c r="W287" s="17" t="str">
        <f aca="false">IF((E287="q"),H287," ")</f>
        <v> </v>
      </c>
      <c r="X287" s="17" t="str">
        <f aca="false">IF((E287="m"),H287," ")</f>
        <v> </v>
      </c>
      <c r="Y287" s="17" t="str">
        <f aca="false">IF((E287="u"),H287," ")</f>
        <v> </v>
      </c>
      <c r="Z287" s="17" t="str">
        <f aca="false">IF((E287="a"),H287," ")</f>
        <v> </v>
      </c>
      <c r="AA287" s="17" t="str">
        <f aca="false">IF((E287="g"),H287," ")</f>
        <v> </v>
      </c>
      <c r="AB287" s="17" t="str">
        <f aca="false">IF((E287="h"),H287," ")</f>
        <v> </v>
      </c>
      <c r="AC287" s="30" t="str">
        <f aca="false">IF((E287="v"),H287," ")</f>
        <v> </v>
      </c>
      <c r="AD287" s="30" t="str">
        <f aca="false">IF((E287="n"),H287," ")</f>
        <v> </v>
      </c>
      <c r="AE287" s="17" t="str">
        <f aca="false">IF((E287="f"),H287," ")</f>
        <v> </v>
      </c>
      <c r="AF287" s="17" t="str">
        <f aca="false">IF((E287="l"),H287," ")</f>
        <v> </v>
      </c>
      <c r="AG287" s="17" t="str">
        <f aca="false">IF((E287="y"),H287," ")</f>
        <v> </v>
      </c>
      <c r="AH287" s="17" t="str">
        <f aca="false">IF((E287="z"),H287," ")</f>
        <v> </v>
      </c>
      <c r="AI287" s="17" t="str">
        <f aca="false">IF((E287="fa"),H287," ")</f>
        <v> </v>
      </c>
      <c r="AJ287" s="17" t="str">
        <f aca="false">IF((E287="e"),H287," ")</f>
        <v> </v>
      </c>
    </row>
    <row r="288" customFormat="false" ht="12" hidden="false" customHeight="false" outlineLevel="0" collapsed="false">
      <c r="A288" s="28"/>
      <c r="E288" s="2" t="str">
        <f aca="false">IF((F288&lt;&gt;0),"Enter Letter"," ")</f>
        <v> </v>
      </c>
      <c r="F288" s="30"/>
      <c r="G288" s="6" t="str">
        <f aca="false">IF(F288&lt;&gt;0,F288*G$2/(100+G$2)," ")</f>
        <v> </v>
      </c>
      <c r="H288" s="6" t="str">
        <f aca="false">IF((F288&lt;&gt;0),F288-G288," ")</f>
        <v> </v>
      </c>
      <c r="I288" s="5"/>
      <c r="L288" s="7" t="str">
        <f aca="false">IF(F288&lt;&gt;0,F288-K288," ")</f>
        <v> </v>
      </c>
      <c r="M288" s="8" t="str">
        <f aca="false">IF((F288-K288)&lt;&gt;0,M$1-A288," ")</f>
        <v> </v>
      </c>
      <c r="N288" s="5"/>
      <c r="O288" s="17" t="str">
        <f aca="false">IF((E288="s"),H288," ")</f>
        <v> </v>
      </c>
      <c r="P288" s="17" t="str">
        <f aca="false">IF((E288="c"),H288," ")</f>
        <v> </v>
      </c>
      <c r="Q288" s="17" t="str">
        <f aca="false">IF((E288="o"),H288," ")</f>
        <v> </v>
      </c>
      <c r="R288" s="17" t="str">
        <f aca="false">IF((E288="d"),H288," ")</f>
        <v> </v>
      </c>
      <c r="S288" s="17" t="str">
        <f aca="false">IF((E288="w"),H288," ")</f>
        <v> </v>
      </c>
      <c r="T288" s="17" t="str">
        <f aca="false">IF((E288="r"),H288," ")</f>
        <v> </v>
      </c>
      <c r="U288" s="17" t="str">
        <f aca="false">IF((E288="p"),H288," ")</f>
        <v> </v>
      </c>
      <c r="V288" s="17" t="str">
        <f aca="false">IF((E288="t"),H288," ")</f>
        <v> </v>
      </c>
      <c r="W288" s="17" t="str">
        <f aca="false">IF((E288="q"),H288," ")</f>
        <v> </v>
      </c>
      <c r="X288" s="17" t="str">
        <f aca="false">IF((E288="m"),H288," ")</f>
        <v> </v>
      </c>
      <c r="Y288" s="17" t="str">
        <f aca="false">IF((E288="u"),H288," ")</f>
        <v> </v>
      </c>
      <c r="Z288" s="17" t="str">
        <f aca="false">IF((E288="a"),H288," ")</f>
        <v> </v>
      </c>
      <c r="AA288" s="17" t="str">
        <f aca="false">IF((E288="g"),H288," ")</f>
        <v> </v>
      </c>
      <c r="AB288" s="17" t="str">
        <f aca="false">IF((E288="h"),H288," ")</f>
        <v> </v>
      </c>
      <c r="AC288" s="30" t="str">
        <f aca="false">IF((E288="v"),H288," ")</f>
        <v> </v>
      </c>
      <c r="AD288" s="30" t="str">
        <f aca="false">IF((E288="n"),H288," ")</f>
        <v> </v>
      </c>
      <c r="AE288" s="17" t="str">
        <f aca="false">IF((E288="f"),H288," ")</f>
        <v> </v>
      </c>
      <c r="AF288" s="17" t="str">
        <f aca="false">IF((E288="l"),H288," ")</f>
        <v> </v>
      </c>
      <c r="AG288" s="17" t="str">
        <f aca="false">IF((E288="y"),H288," ")</f>
        <v> </v>
      </c>
      <c r="AH288" s="17" t="str">
        <f aca="false">IF((E288="z"),H288," ")</f>
        <v> </v>
      </c>
      <c r="AI288" s="17" t="str">
        <f aca="false">IF((E288="fa"),H288," ")</f>
        <v> </v>
      </c>
      <c r="AJ288" s="17" t="str">
        <f aca="false">IF((E288="e"),H288," ")</f>
        <v> </v>
      </c>
    </row>
    <row r="289" customFormat="false" ht="12" hidden="false" customHeight="false" outlineLevel="0" collapsed="false">
      <c r="A289" s="28"/>
      <c r="E289" s="2" t="str">
        <f aca="false">IF((F289&lt;&gt;0),"Enter Letter"," ")</f>
        <v> </v>
      </c>
      <c r="F289" s="30"/>
      <c r="G289" s="6" t="str">
        <f aca="false">IF(F289&lt;&gt;0,F289*G$2/(100+G$2)," ")</f>
        <v> </v>
      </c>
      <c r="H289" s="6" t="str">
        <f aca="false">IF((F289&lt;&gt;0),F289-G289," ")</f>
        <v> </v>
      </c>
      <c r="I289" s="5"/>
      <c r="L289" s="7" t="str">
        <f aca="false">IF(F289&lt;&gt;0,F289-K289," ")</f>
        <v> </v>
      </c>
      <c r="M289" s="8" t="str">
        <f aca="false">IF((F289-K289)&lt;&gt;0,M$1-A289," ")</f>
        <v> </v>
      </c>
      <c r="N289" s="5"/>
      <c r="O289" s="17" t="str">
        <f aca="false">IF((E289="s"),H289," ")</f>
        <v> </v>
      </c>
      <c r="P289" s="17" t="str">
        <f aca="false">IF((E289="c"),H289," ")</f>
        <v> </v>
      </c>
      <c r="Q289" s="17" t="str">
        <f aca="false">IF((E289="o"),H289," ")</f>
        <v> </v>
      </c>
      <c r="R289" s="17" t="str">
        <f aca="false">IF((E289="d"),H289," ")</f>
        <v> </v>
      </c>
      <c r="S289" s="17" t="str">
        <f aca="false">IF((E289="w"),H289," ")</f>
        <v> </v>
      </c>
      <c r="T289" s="17" t="str">
        <f aca="false">IF((E289="r"),H289," ")</f>
        <v> </v>
      </c>
      <c r="U289" s="17" t="str">
        <f aca="false">IF((E289="p"),H289," ")</f>
        <v> </v>
      </c>
      <c r="V289" s="17" t="str">
        <f aca="false">IF((E289="t"),H289," ")</f>
        <v> </v>
      </c>
      <c r="W289" s="17" t="str">
        <f aca="false">IF((E289="q"),H289," ")</f>
        <v> </v>
      </c>
      <c r="X289" s="17" t="str">
        <f aca="false">IF((E289="m"),H289," ")</f>
        <v> </v>
      </c>
      <c r="Y289" s="17" t="str">
        <f aca="false">IF((E289="u"),H289," ")</f>
        <v> </v>
      </c>
      <c r="Z289" s="17" t="str">
        <f aca="false">IF((E289="a"),H289," ")</f>
        <v> </v>
      </c>
      <c r="AA289" s="17" t="str">
        <f aca="false">IF((E289="g"),H289," ")</f>
        <v> </v>
      </c>
      <c r="AB289" s="17" t="str">
        <f aca="false">IF((E289="h"),H289," ")</f>
        <v> </v>
      </c>
      <c r="AC289" s="30" t="str">
        <f aca="false">IF((E289="v"),H289," ")</f>
        <v> </v>
      </c>
      <c r="AD289" s="30" t="str">
        <f aca="false">IF((E289="n"),H289," ")</f>
        <v> </v>
      </c>
      <c r="AE289" s="17" t="str">
        <f aca="false">IF((E289="f"),H289," ")</f>
        <v> </v>
      </c>
      <c r="AF289" s="17" t="str">
        <f aca="false">IF((E289="l"),H289," ")</f>
        <v> </v>
      </c>
      <c r="AG289" s="17" t="str">
        <f aca="false">IF((E289="y"),H289," ")</f>
        <v> </v>
      </c>
      <c r="AH289" s="17" t="str">
        <f aca="false">IF((E289="z"),H289," ")</f>
        <v> </v>
      </c>
      <c r="AI289" s="17" t="str">
        <f aca="false">IF((E289="fa"),H289," ")</f>
        <v> </v>
      </c>
      <c r="AJ289" s="17" t="str">
        <f aca="false">IF((E289="e"),H289," ")</f>
        <v> </v>
      </c>
    </row>
    <row r="290" customFormat="false" ht="12" hidden="false" customHeight="false" outlineLevel="0" collapsed="false">
      <c r="A290" s="28"/>
      <c r="E290" s="2" t="str">
        <f aca="false">IF((F290&lt;&gt;0),"Enter Letter"," ")</f>
        <v> </v>
      </c>
      <c r="F290" s="30"/>
      <c r="G290" s="6" t="str">
        <f aca="false">IF(F290&lt;&gt;0,F290*G$2/(100+G$2)," ")</f>
        <v> </v>
      </c>
      <c r="H290" s="6" t="str">
        <f aca="false">IF((F290&lt;&gt;0),F290-G290," ")</f>
        <v> </v>
      </c>
      <c r="I290" s="5"/>
      <c r="L290" s="7" t="str">
        <f aca="false">IF(F290&lt;&gt;0,F290-K290," ")</f>
        <v> </v>
      </c>
      <c r="M290" s="8" t="str">
        <f aca="false">IF((F290-K290)&lt;&gt;0,M$1-A290," ")</f>
        <v> </v>
      </c>
      <c r="N290" s="5"/>
      <c r="O290" s="17" t="str">
        <f aca="false">IF((E290="s"),H290," ")</f>
        <v> </v>
      </c>
      <c r="P290" s="17" t="str">
        <f aca="false">IF((E290="c"),H290," ")</f>
        <v> </v>
      </c>
      <c r="Q290" s="17" t="str">
        <f aca="false">IF((E290="o"),H290," ")</f>
        <v> </v>
      </c>
      <c r="R290" s="17" t="str">
        <f aca="false">IF((E290="d"),H290," ")</f>
        <v> </v>
      </c>
      <c r="S290" s="17" t="str">
        <f aca="false">IF((E290="w"),H290," ")</f>
        <v> </v>
      </c>
      <c r="T290" s="17" t="str">
        <f aca="false">IF((E290="r"),H290," ")</f>
        <v> </v>
      </c>
      <c r="U290" s="17" t="str">
        <f aca="false">IF((E290="p"),H290," ")</f>
        <v> </v>
      </c>
      <c r="V290" s="17" t="str">
        <f aca="false">IF((E290="t"),H290," ")</f>
        <v> </v>
      </c>
      <c r="W290" s="17" t="str">
        <f aca="false">IF((E290="q"),H290," ")</f>
        <v> </v>
      </c>
      <c r="X290" s="17" t="str">
        <f aca="false">IF((E290="m"),H290," ")</f>
        <v> </v>
      </c>
      <c r="Y290" s="17" t="str">
        <f aca="false">IF((E290="u"),H290," ")</f>
        <v> </v>
      </c>
      <c r="Z290" s="17" t="str">
        <f aca="false">IF((E290="a"),H290," ")</f>
        <v> </v>
      </c>
      <c r="AA290" s="17" t="str">
        <f aca="false">IF((E290="g"),H290," ")</f>
        <v> </v>
      </c>
      <c r="AB290" s="17" t="str">
        <f aca="false">IF((E290="h"),H290," ")</f>
        <v> </v>
      </c>
      <c r="AC290" s="30" t="str">
        <f aca="false">IF((E290="v"),H290," ")</f>
        <v> </v>
      </c>
      <c r="AD290" s="30" t="str">
        <f aca="false">IF((E290="n"),H290," ")</f>
        <v> </v>
      </c>
      <c r="AE290" s="17" t="str">
        <f aca="false">IF((E290="f"),H290," ")</f>
        <v> </v>
      </c>
      <c r="AF290" s="17" t="str">
        <f aca="false">IF((E290="l"),H290," ")</f>
        <v> </v>
      </c>
      <c r="AG290" s="17" t="str">
        <f aca="false">IF((E290="y"),H290," ")</f>
        <v> </v>
      </c>
      <c r="AH290" s="17" t="str">
        <f aca="false">IF((E290="z"),H290," ")</f>
        <v> </v>
      </c>
      <c r="AI290" s="17" t="str">
        <f aca="false">IF((E290="fa"),H290," ")</f>
        <v> </v>
      </c>
      <c r="AJ290" s="17" t="str">
        <f aca="false">IF((E290="e"),H290," ")</f>
        <v> </v>
      </c>
    </row>
    <row r="291" customFormat="false" ht="12" hidden="false" customHeight="false" outlineLevel="0" collapsed="false">
      <c r="A291" s="28"/>
      <c r="E291" s="2" t="str">
        <f aca="false">IF((F291&lt;&gt;0),"Enter Letter"," ")</f>
        <v> </v>
      </c>
      <c r="F291" s="30"/>
      <c r="G291" s="6" t="str">
        <f aca="false">IF(F291&lt;&gt;0,F291*G$2/(100+G$2)," ")</f>
        <v> </v>
      </c>
      <c r="H291" s="6" t="str">
        <f aca="false">IF((F291&lt;&gt;0),F291-G291," ")</f>
        <v> </v>
      </c>
      <c r="I291" s="5"/>
      <c r="L291" s="7" t="str">
        <f aca="false">IF(F291&lt;&gt;0,F291-K291," ")</f>
        <v> </v>
      </c>
      <c r="M291" s="8" t="str">
        <f aca="false">IF((F291-K291)&lt;&gt;0,M$1-A291," ")</f>
        <v> </v>
      </c>
      <c r="N291" s="5"/>
      <c r="O291" s="17" t="str">
        <f aca="false">IF((E291="s"),H291," ")</f>
        <v> </v>
      </c>
      <c r="P291" s="17" t="str">
        <f aca="false">IF((E291="c"),H291," ")</f>
        <v> </v>
      </c>
      <c r="Q291" s="17" t="str">
        <f aca="false">IF((E291="o"),H291," ")</f>
        <v> </v>
      </c>
      <c r="R291" s="17" t="str">
        <f aca="false">IF((E291="d"),H291," ")</f>
        <v> </v>
      </c>
      <c r="S291" s="17" t="str">
        <f aca="false">IF((E291="w"),H291," ")</f>
        <v> </v>
      </c>
      <c r="T291" s="17" t="str">
        <f aca="false">IF((E291="r"),H291," ")</f>
        <v> </v>
      </c>
      <c r="U291" s="17" t="str">
        <f aca="false">IF((E291="p"),H291," ")</f>
        <v> </v>
      </c>
      <c r="V291" s="17" t="str">
        <f aca="false">IF((E291="t"),H291," ")</f>
        <v> </v>
      </c>
      <c r="W291" s="17" t="str">
        <f aca="false">IF((E291="q"),H291," ")</f>
        <v> </v>
      </c>
      <c r="X291" s="17" t="str">
        <f aca="false">IF((E291="m"),H291," ")</f>
        <v> </v>
      </c>
      <c r="Y291" s="17" t="str">
        <f aca="false">IF((E291="u"),H291," ")</f>
        <v> </v>
      </c>
      <c r="Z291" s="17" t="str">
        <f aca="false">IF((E291="a"),H291," ")</f>
        <v> </v>
      </c>
      <c r="AA291" s="17" t="str">
        <f aca="false">IF((E291="g"),H291," ")</f>
        <v> </v>
      </c>
      <c r="AB291" s="17" t="str">
        <f aca="false">IF((E291="h"),H291," ")</f>
        <v> </v>
      </c>
      <c r="AC291" s="30" t="str">
        <f aca="false">IF((E291="v"),H291," ")</f>
        <v> </v>
      </c>
      <c r="AD291" s="30" t="str">
        <f aca="false">IF((E291="n"),H291," ")</f>
        <v> </v>
      </c>
      <c r="AE291" s="17" t="str">
        <f aca="false">IF((E291="f"),H291," ")</f>
        <v> </v>
      </c>
      <c r="AF291" s="17" t="str">
        <f aca="false">IF((E291="l"),H291," ")</f>
        <v> </v>
      </c>
      <c r="AG291" s="17" t="str">
        <f aca="false">IF((E291="y"),H291," ")</f>
        <v> </v>
      </c>
      <c r="AH291" s="17" t="str">
        <f aca="false">IF((E291="z"),H291," ")</f>
        <v> </v>
      </c>
      <c r="AI291" s="17" t="str">
        <f aca="false">IF((E291="fa"),H291," ")</f>
        <v> </v>
      </c>
      <c r="AJ291" s="17" t="str">
        <f aca="false">IF((E291="e"),H291," ")</f>
        <v> </v>
      </c>
    </row>
    <row r="292" customFormat="false" ht="12" hidden="false" customHeight="false" outlineLevel="0" collapsed="false">
      <c r="A292" s="28"/>
      <c r="E292" s="2" t="str">
        <f aca="false">IF((F292&lt;&gt;0),"Enter Letter"," ")</f>
        <v> </v>
      </c>
      <c r="F292" s="30"/>
      <c r="G292" s="6" t="str">
        <f aca="false">IF(F292&lt;&gt;0,F292*G$2/(100+G$2)," ")</f>
        <v> </v>
      </c>
      <c r="H292" s="6" t="str">
        <f aca="false">IF((F292&lt;&gt;0),F292-G292," ")</f>
        <v> </v>
      </c>
      <c r="I292" s="5"/>
      <c r="L292" s="7" t="str">
        <f aca="false">IF(F292&lt;&gt;0,F292-K292," ")</f>
        <v> </v>
      </c>
      <c r="M292" s="8" t="str">
        <f aca="false">IF((F292-K292)&lt;&gt;0,M$1-A292," ")</f>
        <v> </v>
      </c>
      <c r="N292" s="5"/>
      <c r="O292" s="17" t="str">
        <f aca="false">IF((E292="s"),H292," ")</f>
        <v> </v>
      </c>
      <c r="P292" s="17" t="str">
        <f aca="false">IF((E292="c"),H292," ")</f>
        <v> </v>
      </c>
      <c r="Q292" s="17" t="str">
        <f aca="false">IF((E292="o"),H292," ")</f>
        <v> </v>
      </c>
      <c r="R292" s="17" t="str">
        <f aca="false">IF((E292="d"),H292," ")</f>
        <v> </v>
      </c>
      <c r="S292" s="17" t="str">
        <f aca="false">IF((E292="w"),H292," ")</f>
        <v> </v>
      </c>
      <c r="T292" s="17" t="str">
        <f aca="false">IF((E292="r"),H292," ")</f>
        <v> </v>
      </c>
      <c r="U292" s="17" t="str">
        <f aca="false">IF((E292="p"),H292," ")</f>
        <v> </v>
      </c>
      <c r="V292" s="17" t="str">
        <f aca="false">IF((E292="t"),H292," ")</f>
        <v> </v>
      </c>
      <c r="W292" s="17" t="str">
        <f aca="false">IF((E292="q"),H292," ")</f>
        <v> </v>
      </c>
      <c r="X292" s="17" t="str">
        <f aca="false">IF((E292="m"),H292," ")</f>
        <v> </v>
      </c>
      <c r="Y292" s="17" t="str">
        <f aca="false">IF((E292="u"),H292," ")</f>
        <v> </v>
      </c>
      <c r="Z292" s="17" t="str">
        <f aca="false">IF((E292="a"),H292," ")</f>
        <v> </v>
      </c>
      <c r="AA292" s="17" t="str">
        <f aca="false">IF((E292="g"),H292," ")</f>
        <v> </v>
      </c>
      <c r="AB292" s="17" t="str">
        <f aca="false">IF((E292="h"),H292," ")</f>
        <v> </v>
      </c>
      <c r="AC292" s="30" t="str">
        <f aca="false">IF((E292="v"),H292," ")</f>
        <v> </v>
      </c>
      <c r="AD292" s="30" t="str">
        <f aca="false">IF((E292="n"),H292," ")</f>
        <v> </v>
      </c>
      <c r="AE292" s="17" t="str">
        <f aca="false">IF((E292="f"),H292," ")</f>
        <v> </v>
      </c>
      <c r="AF292" s="17" t="str">
        <f aca="false">IF((E292="l"),H292," ")</f>
        <v> </v>
      </c>
      <c r="AG292" s="17" t="str">
        <f aca="false">IF((E292="y"),H292," ")</f>
        <v> </v>
      </c>
      <c r="AH292" s="17" t="str">
        <f aca="false">IF((E292="z"),H292," ")</f>
        <v> </v>
      </c>
      <c r="AI292" s="17" t="str">
        <f aca="false">IF((E292="fa"),H292," ")</f>
        <v> </v>
      </c>
      <c r="AJ292" s="17" t="str">
        <f aca="false">IF((E292="e"),H292," ")</f>
        <v> </v>
      </c>
    </row>
    <row r="293" customFormat="false" ht="12" hidden="false" customHeight="false" outlineLevel="0" collapsed="false">
      <c r="A293" s="28"/>
      <c r="E293" s="2" t="str">
        <f aca="false">IF((F293&lt;&gt;0),"Enter Letter"," ")</f>
        <v> </v>
      </c>
      <c r="F293" s="30"/>
      <c r="G293" s="6" t="str">
        <f aca="false">IF(F293&lt;&gt;0,F293*G$2/(100+G$2)," ")</f>
        <v> </v>
      </c>
      <c r="H293" s="6" t="str">
        <f aca="false">IF((F293&lt;&gt;0),F293-G293," ")</f>
        <v> </v>
      </c>
      <c r="I293" s="5"/>
      <c r="L293" s="7" t="str">
        <f aca="false">IF(F293&lt;&gt;0,F293-K293," ")</f>
        <v> </v>
      </c>
      <c r="M293" s="8" t="str">
        <f aca="false">IF((F293-K293)&lt;&gt;0,M$1-A293," ")</f>
        <v> </v>
      </c>
      <c r="N293" s="5"/>
      <c r="O293" s="17" t="str">
        <f aca="false">IF((E293="s"),H293," ")</f>
        <v> </v>
      </c>
      <c r="P293" s="17" t="str">
        <f aca="false">IF((E293="c"),H293," ")</f>
        <v> </v>
      </c>
      <c r="Q293" s="17" t="str">
        <f aca="false">IF((E293="o"),H293," ")</f>
        <v> </v>
      </c>
      <c r="R293" s="17" t="str">
        <f aca="false">IF((E293="d"),H293," ")</f>
        <v> </v>
      </c>
      <c r="S293" s="17" t="str">
        <f aca="false">IF((E293="w"),H293," ")</f>
        <v> </v>
      </c>
      <c r="T293" s="17" t="str">
        <f aca="false">IF((E293="r"),H293," ")</f>
        <v> </v>
      </c>
      <c r="U293" s="17" t="str">
        <f aca="false">IF((E293="p"),H293," ")</f>
        <v> </v>
      </c>
      <c r="V293" s="17" t="str">
        <f aca="false">IF((E293="t"),H293," ")</f>
        <v> </v>
      </c>
      <c r="W293" s="17" t="str">
        <f aca="false">IF((E293="q"),H293," ")</f>
        <v> </v>
      </c>
      <c r="X293" s="17" t="str">
        <f aca="false">IF((E293="m"),H293," ")</f>
        <v> </v>
      </c>
      <c r="Y293" s="17" t="str">
        <f aca="false">IF((E293="u"),H293," ")</f>
        <v> </v>
      </c>
      <c r="Z293" s="17" t="str">
        <f aca="false">IF((E293="a"),H293," ")</f>
        <v> </v>
      </c>
      <c r="AA293" s="17" t="str">
        <f aca="false">IF((E293="g"),H293," ")</f>
        <v> </v>
      </c>
      <c r="AB293" s="17" t="str">
        <f aca="false">IF((E293="h"),H293," ")</f>
        <v> </v>
      </c>
      <c r="AC293" s="30" t="str">
        <f aca="false">IF((E293="v"),H293," ")</f>
        <v> </v>
      </c>
      <c r="AD293" s="30" t="str">
        <f aca="false">IF((E293="n"),H293," ")</f>
        <v> </v>
      </c>
      <c r="AE293" s="17" t="str">
        <f aca="false">IF((E293="f"),H293," ")</f>
        <v> </v>
      </c>
      <c r="AF293" s="17" t="str">
        <f aca="false">IF((E293="l"),H293," ")</f>
        <v> </v>
      </c>
      <c r="AG293" s="17" t="str">
        <f aca="false">IF((E293="y"),H293," ")</f>
        <v> </v>
      </c>
      <c r="AH293" s="17" t="str">
        <f aca="false">IF((E293="z"),H293," ")</f>
        <v> </v>
      </c>
      <c r="AI293" s="17" t="str">
        <f aca="false">IF((E293="fa"),H293," ")</f>
        <v> </v>
      </c>
      <c r="AJ293" s="17" t="str">
        <f aca="false">IF((E293="e"),H293," ")</f>
        <v> </v>
      </c>
    </row>
    <row r="294" customFormat="false" ht="12" hidden="false" customHeight="false" outlineLevel="0" collapsed="false">
      <c r="A294" s="28"/>
      <c r="E294" s="2" t="str">
        <f aca="false">IF((F294&lt;&gt;0),"Enter Letter"," ")</f>
        <v> </v>
      </c>
      <c r="F294" s="30"/>
      <c r="G294" s="6" t="str">
        <f aca="false">IF(F294&lt;&gt;0,F294*G$2/(100+G$2)," ")</f>
        <v> </v>
      </c>
      <c r="H294" s="6" t="str">
        <f aca="false">IF((F294&lt;&gt;0),F294-G294," ")</f>
        <v> </v>
      </c>
      <c r="I294" s="5"/>
      <c r="L294" s="7" t="str">
        <f aca="false">IF(F294&lt;&gt;0,F294-K294," ")</f>
        <v> </v>
      </c>
      <c r="M294" s="8" t="str">
        <f aca="false">IF((F294-K294)&lt;&gt;0,M$1-A294," ")</f>
        <v> </v>
      </c>
      <c r="N294" s="5"/>
      <c r="O294" s="17" t="str">
        <f aca="false">IF((E294="s"),H294," ")</f>
        <v> </v>
      </c>
      <c r="P294" s="17" t="str">
        <f aca="false">IF((E294="c"),H294," ")</f>
        <v> </v>
      </c>
      <c r="Q294" s="17" t="str">
        <f aca="false">IF((E294="o"),H294," ")</f>
        <v> </v>
      </c>
      <c r="R294" s="17" t="str">
        <f aca="false">IF((E294="d"),H294," ")</f>
        <v> </v>
      </c>
      <c r="S294" s="17" t="str">
        <f aca="false">IF((E294="w"),H294," ")</f>
        <v> </v>
      </c>
      <c r="T294" s="17" t="str">
        <f aca="false">IF((E294="r"),H294," ")</f>
        <v> </v>
      </c>
      <c r="U294" s="17" t="str">
        <f aca="false">IF((E294="p"),H294," ")</f>
        <v> </v>
      </c>
      <c r="V294" s="17" t="str">
        <f aca="false">IF((E294="t"),H294," ")</f>
        <v> </v>
      </c>
      <c r="W294" s="17" t="str">
        <f aca="false">IF((E294="q"),H294," ")</f>
        <v> </v>
      </c>
      <c r="X294" s="17" t="str">
        <f aca="false">IF((E294="m"),H294," ")</f>
        <v> </v>
      </c>
      <c r="Y294" s="17" t="str">
        <f aca="false">IF((E294="u"),H294," ")</f>
        <v> </v>
      </c>
      <c r="Z294" s="17" t="str">
        <f aca="false">IF((E294="a"),H294," ")</f>
        <v> </v>
      </c>
      <c r="AA294" s="17" t="str">
        <f aca="false">IF((E294="g"),H294," ")</f>
        <v> </v>
      </c>
      <c r="AB294" s="17" t="str">
        <f aca="false">IF((E294="h"),H294," ")</f>
        <v> </v>
      </c>
      <c r="AC294" s="30" t="str">
        <f aca="false">IF((E294="v"),H294," ")</f>
        <v> </v>
      </c>
      <c r="AD294" s="30" t="str">
        <f aca="false">IF((E294="n"),H294," ")</f>
        <v> </v>
      </c>
      <c r="AE294" s="17" t="str">
        <f aca="false">IF((E294="f"),H294," ")</f>
        <v> </v>
      </c>
      <c r="AF294" s="17" t="str">
        <f aca="false">IF((E294="l"),H294," ")</f>
        <v> </v>
      </c>
      <c r="AG294" s="17" t="str">
        <f aca="false">IF((E294="y"),H294," ")</f>
        <v> </v>
      </c>
      <c r="AH294" s="17" t="str">
        <f aca="false">IF((E294="z"),H294," ")</f>
        <v> </v>
      </c>
      <c r="AI294" s="17" t="str">
        <f aca="false">IF((E294="fa"),H294," ")</f>
        <v> </v>
      </c>
      <c r="AJ294" s="17" t="str">
        <f aca="false">IF((E294="e"),H294," ")</f>
        <v> </v>
      </c>
    </row>
    <row r="295" customFormat="false" ht="12" hidden="false" customHeight="false" outlineLevel="0" collapsed="false">
      <c r="A295" s="28"/>
      <c r="E295" s="2" t="str">
        <f aca="false">IF((F295&lt;&gt;0),"Enter Letter"," ")</f>
        <v> </v>
      </c>
      <c r="F295" s="30"/>
      <c r="G295" s="6" t="str">
        <f aca="false">IF(F295&lt;&gt;0,F295*G$2/(100+G$2)," ")</f>
        <v> </v>
      </c>
      <c r="H295" s="6" t="str">
        <f aca="false">IF((F295&lt;&gt;0),F295-G295," ")</f>
        <v> </v>
      </c>
      <c r="I295" s="5"/>
      <c r="L295" s="7" t="str">
        <f aca="false">IF(F295&lt;&gt;0,F295-K295," ")</f>
        <v> </v>
      </c>
      <c r="M295" s="8" t="str">
        <f aca="false">IF((F295-K295)&lt;&gt;0,M$1-A295," ")</f>
        <v> </v>
      </c>
      <c r="N295" s="5"/>
      <c r="O295" s="17" t="str">
        <f aca="false">IF((E295="s"),H295," ")</f>
        <v> </v>
      </c>
      <c r="P295" s="17" t="str">
        <f aca="false">IF((E295="c"),H295," ")</f>
        <v> </v>
      </c>
      <c r="Q295" s="17" t="str">
        <f aca="false">IF((E295="o"),H295," ")</f>
        <v> </v>
      </c>
      <c r="R295" s="17" t="str">
        <f aca="false">IF((E295="d"),H295," ")</f>
        <v> </v>
      </c>
      <c r="S295" s="17" t="str">
        <f aca="false">IF((E295="w"),H295," ")</f>
        <v> </v>
      </c>
      <c r="T295" s="17" t="str">
        <f aca="false">IF((E295="r"),H295," ")</f>
        <v> </v>
      </c>
      <c r="U295" s="17" t="str">
        <f aca="false">IF((E295="p"),H295," ")</f>
        <v> </v>
      </c>
      <c r="V295" s="17" t="str">
        <f aca="false">IF((E295="t"),H295," ")</f>
        <v> </v>
      </c>
      <c r="W295" s="17" t="str">
        <f aca="false">IF((E295="q"),H295," ")</f>
        <v> </v>
      </c>
      <c r="X295" s="17" t="str">
        <f aca="false">IF((E295="m"),H295," ")</f>
        <v> </v>
      </c>
      <c r="Y295" s="17" t="str">
        <f aca="false">IF((E295="u"),H295," ")</f>
        <v> </v>
      </c>
      <c r="Z295" s="17" t="str">
        <f aca="false">IF((E295="a"),H295," ")</f>
        <v> </v>
      </c>
      <c r="AA295" s="17" t="str">
        <f aca="false">IF((E295="g"),H295," ")</f>
        <v> </v>
      </c>
      <c r="AB295" s="17" t="str">
        <f aca="false">IF((E295="h"),H295," ")</f>
        <v> </v>
      </c>
      <c r="AC295" s="30" t="str">
        <f aca="false">IF((E295="v"),H295," ")</f>
        <v> </v>
      </c>
      <c r="AD295" s="30" t="str">
        <f aca="false">IF((E295="n"),H295," ")</f>
        <v> </v>
      </c>
      <c r="AE295" s="17" t="str">
        <f aca="false">IF((E295="f"),H295," ")</f>
        <v> </v>
      </c>
      <c r="AF295" s="17" t="str">
        <f aca="false">IF((E295="l"),H295," ")</f>
        <v> </v>
      </c>
      <c r="AG295" s="17" t="str">
        <f aca="false">IF((E295="y"),H295," ")</f>
        <v> </v>
      </c>
      <c r="AH295" s="17" t="str">
        <f aca="false">IF((E295="z"),H295," ")</f>
        <v> </v>
      </c>
      <c r="AI295" s="17" t="str">
        <f aca="false">IF((E295="fa"),H295," ")</f>
        <v> </v>
      </c>
      <c r="AJ295" s="17" t="str">
        <f aca="false">IF((E295="e"),H295," ")</f>
        <v> </v>
      </c>
    </row>
    <row r="296" customFormat="false" ht="12" hidden="false" customHeight="false" outlineLevel="0" collapsed="false">
      <c r="A296" s="28"/>
      <c r="E296" s="2" t="str">
        <f aca="false">IF((F296&lt;&gt;0),"Enter Letter"," ")</f>
        <v> </v>
      </c>
      <c r="F296" s="30"/>
      <c r="G296" s="6" t="str">
        <f aca="false">IF(F296&lt;&gt;0,F296*G$2/(100+G$2)," ")</f>
        <v> </v>
      </c>
      <c r="H296" s="6" t="str">
        <f aca="false">IF((F296&lt;&gt;0),F296-G296," ")</f>
        <v> </v>
      </c>
      <c r="I296" s="5"/>
      <c r="L296" s="7" t="str">
        <f aca="false">IF(F296&lt;&gt;0,F296-K296," ")</f>
        <v> </v>
      </c>
      <c r="M296" s="8" t="str">
        <f aca="false">IF((F296-K296)&lt;&gt;0,M$1-A296," ")</f>
        <v> </v>
      </c>
      <c r="N296" s="5"/>
      <c r="O296" s="17" t="str">
        <f aca="false">IF((E296="s"),H296," ")</f>
        <v> </v>
      </c>
      <c r="P296" s="17" t="str">
        <f aca="false">IF((E296="c"),H296," ")</f>
        <v> </v>
      </c>
      <c r="Q296" s="17" t="str">
        <f aca="false">IF((E296="o"),H296," ")</f>
        <v> </v>
      </c>
      <c r="R296" s="17" t="str">
        <f aca="false">IF((E296="d"),H296," ")</f>
        <v> </v>
      </c>
      <c r="S296" s="17" t="str">
        <f aca="false">IF((E296="w"),H296," ")</f>
        <v> </v>
      </c>
      <c r="T296" s="17" t="str">
        <f aca="false">IF((E296="r"),H296," ")</f>
        <v> </v>
      </c>
      <c r="U296" s="17" t="str">
        <f aca="false">IF((E296="p"),H296," ")</f>
        <v> </v>
      </c>
      <c r="V296" s="17" t="str">
        <f aca="false">IF((E296="t"),H296," ")</f>
        <v> </v>
      </c>
      <c r="W296" s="17" t="str">
        <f aca="false">IF((E296="q"),H296," ")</f>
        <v> </v>
      </c>
      <c r="X296" s="17" t="str">
        <f aca="false">IF((E296="m"),H296," ")</f>
        <v> </v>
      </c>
      <c r="Y296" s="17" t="str">
        <f aca="false">IF((E296="u"),H296," ")</f>
        <v> </v>
      </c>
      <c r="Z296" s="17" t="str">
        <f aca="false">IF((E296="a"),H296," ")</f>
        <v> </v>
      </c>
      <c r="AA296" s="17" t="str">
        <f aca="false">IF((E296="g"),H296," ")</f>
        <v> </v>
      </c>
      <c r="AB296" s="17" t="str">
        <f aca="false">IF((E296="h"),H296," ")</f>
        <v> </v>
      </c>
      <c r="AC296" s="30" t="str">
        <f aca="false">IF((E296="v"),H296," ")</f>
        <v> </v>
      </c>
      <c r="AD296" s="30" t="str">
        <f aca="false">IF((E296="n"),H296," ")</f>
        <v> </v>
      </c>
      <c r="AE296" s="17" t="str">
        <f aca="false">IF((E296="f"),H296," ")</f>
        <v> </v>
      </c>
      <c r="AF296" s="17" t="str">
        <f aca="false">IF((E296="l"),H296," ")</f>
        <v> </v>
      </c>
      <c r="AG296" s="17" t="str">
        <f aca="false">IF((E296="y"),H296," ")</f>
        <v> </v>
      </c>
      <c r="AH296" s="17" t="str">
        <f aca="false">IF((E296="z"),H296," ")</f>
        <v> </v>
      </c>
      <c r="AI296" s="17" t="str">
        <f aca="false">IF((E296="fa"),H296," ")</f>
        <v> </v>
      </c>
      <c r="AJ296" s="17" t="str">
        <f aca="false">IF((E296="e"),H296," ")</f>
        <v> </v>
      </c>
    </row>
    <row r="297" customFormat="false" ht="12" hidden="false" customHeight="false" outlineLevel="0" collapsed="false">
      <c r="A297" s="28"/>
      <c r="E297" s="2" t="str">
        <f aca="false">IF((F297&lt;&gt;0),"Enter Letter"," ")</f>
        <v> </v>
      </c>
      <c r="F297" s="30"/>
      <c r="G297" s="6" t="str">
        <f aca="false">IF(F297&lt;&gt;0,F297*G$2/(100+G$2)," ")</f>
        <v> </v>
      </c>
      <c r="H297" s="6" t="str">
        <f aca="false">IF((F297&lt;&gt;0),F297-G297," ")</f>
        <v> </v>
      </c>
      <c r="I297" s="5"/>
      <c r="L297" s="7" t="str">
        <f aca="false">IF(F297&lt;&gt;0,F297-K297," ")</f>
        <v> </v>
      </c>
      <c r="M297" s="8" t="str">
        <f aca="false">IF((F297-K297)&lt;&gt;0,M$1-A297," ")</f>
        <v> </v>
      </c>
      <c r="N297" s="5"/>
      <c r="O297" s="17" t="str">
        <f aca="false">IF((E297="s"),H297," ")</f>
        <v> </v>
      </c>
      <c r="P297" s="17" t="str">
        <f aca="false">IF((E297="c"),H297," ")</f>
        <v> </v>
      </c>
      <c r="Q297" s="17" t="str">
        <f aca="false">IF((E297="o"),H297," ")</f>
        <v> </v>
      </c>
      <c r="R297" s="17" t="str">
        <f aca="false">IF((E297="d"),H297," ")</f>
        <v> </v>
      </c>
      <c r="S297" s="17" t="str">
        <f aca="false">IF((E297="w"),H297," ")</f>
        <v> </v>
      </c>
      <c r="T297" s="17" t="str">
        <f aca="false">IF((E297="r"),H297," ")</f>
        <v> </v>
      </c>
      <c r="U297" s="17" t="str">
        <f aca="false">IF((E297="p"),H297," ")</f>
        <v> </v>
      </c>
      <c r="V297" s="17" t="str">
        <f aca="false">IF((E297="t"),H297," ")</f>
        <v> </v>
      </c>
      <c r="W297" s="17" t="str">
        <f aca="false">IF((E297="q"),H297," ")</f>
        <v> </v>
      </c>
      <c r="X297" s="17" t="str">
        <f aca="false">IF((E297="m"),H297," ")</f>
        <v> </v>
      </c>
      <c r="Y297" s="17" t="str">
        <f aca="false">IF((E297="u"),H297," ")</f>
        <v> </v>
      </c>
      <c r="Z297" s="17" t="str">
        <f aca="false">IF((E297="a"),H297," ")</f>
        <v> </v>
      </c>
      <c r="AA297" s="17" t="str">
        <f aca="false">IF((E297="g"),H297," ")</f>
        <v> </v>
      </c>
      <c r="AB297" s="17" t="str">
        <f aca="false">IF((E297="h"),H297," ")</f>
        <v> </v>
      </c>
      <c r="AC297" s="30" t="str">
        <f aca="false">IF((E297="v"),H297," ")</f>
        <v> </v>
      </c>
      <c r="AD297" s="30" t="str">
        <f aca="false">IF((E297="n"),H297," ")</f>
        <v> </v>
      </c>
      <c r="AE297" s="17" t="str">
        <f aca="false">IF((E297="f"),H297," ")</f>
        <v> </v>
      </c>
      <c r="AF297" s="17" t="str">
        <f aca="false">IF((E297="l"),H297," ")</f>
        <v> </v>
      </c>
      <c r="AG297" s="17" t="str">
        <f aca="false">IF((E297="y"),H297," ")</f>
        <v> </v>
      </c>
      <c r="AH297" s="17" t="str">
        <f aca="false">IF((E297="z"),H297," ")</f>
        <v> </v>
      </c>
      <c r="AI297" s="17" t="str">
        <f aca="false">IF((E297="fa"),H297," ")</f>
        <v> </v>
      </c>
      <c r="AJ297" s="17" t="str">
        <f aca="false">IF((E297="e"),H297," ")</f>
        <v> </v>
      </c>
    </row>
    <row r="298" customFormat="false" ht="12" hidden="false" customHeight="false" outlineLevel="0" collapsed="false">
      <c r="A298" s="28"/>
      <c r="E298" s="2" t="str">
        <f aca="false">IF((F298&lt;&gt;0),"Enter Letter"," ")</f>
        <v> </v>
      </c>
      <c r="F298" s="30"/>
      <c r="G298" s="6" t="str">
        <f aca="false">IF(F298&lt;&gt;0,F298*G$2/(100+G$2)," ")</f>
        <v> </v>
      </c>
      <c r="H298" s="6" t="str">
        <f aca="false">IF((F298&lt;&gt;0),F298-G298," ")</f>
        <v> </v>
      </c>
      <c r="I298" s="5"/>
      <c r="L298" s="7" t="str">
        <f aca="false">IF(F298&lt;&gt;0,F298-K298," ")</f>
        <v> </v>
      </c>
      <c r="M298" s="8" t="str">
        <f aca="false">IF((F298-K298)&lt;&gt;0,M$1-A298," ")</f>
        <v> </v>
      </c>
      <c r="N298" s="5"/>
      <c r="O298" s="17" t="str">
        <f aca="false">IF((E298="s"),H298," ")</f>
        <v> </v>
      </c>
      <c r="P298" s="17" t="str">
        <f aca="false">IF((E298="c"),H298," ")</f>
        <v> </v>
      </c>
      <c r="Q298" s="17" t="str">
        <f aca="false">IF((E298="o"),H298," ")</f>
        <v> </v>
      </c>
      <c r="R298" s="17" t="str">
        <f aca="false">IF((E298="d"),H298," ")</f>
        <v> </v>
      </c>
      <c r="S298" s="17" t="str">
        <f aca="false">IF((E298="w"),H298," ")</f>
        <v> </v>
      </c>
      <c r="T298" s="17" t="str">
        <f aca="false">IF((E298="r"),H298," ")</f>
        <v> </v>
      </c>
      <c r="U298" s="17" t="str">
        <f aca="false">IF((E298="p"),H298," ")</f>
        <v> </v>
      </c>
      <c r="V298" s="17" t="str">
        <f aca="false">IF((E298="t"),H298," ")</f>
        <v> </v>
      </c>
      <c r="W298" s="17" t="str">
        <f aca="false">IF((E298="q"),H298," ")</f>
        <v> </v>
      </c>
      <c r="X298" s="17" t="str">
        <f aca="false">IF((E298="m"),H298," ")</f>
        <v> </v>
      </c>
      <c r="Y298" s="17" t="str">
        <f aca="false">IF((E298="u"),H298," ")</f>
        <v> </v>
      </c>
      <c r="Z298" s="17" t="str">
        <f aca="false">IF((E298="a"),H298," ")</f>
        <v> </v>
      </c>
      <c r="AA298" s="17" t="str">
        <f aca="false">IF((E298="g"),H298," ")</f>
        <v> </v>
      </c>
      <c r="AB298" s="17" t="str">
        <f aca="false">IF((E298="h"),H298," ")</f>
        <v> </v>
      </c>
      <c r="AC298" s="30" t="str">
        <f aca="false">IF((E298="v"),H298," ")</f>
        <v> </v>
      </c>
      <c r="AD298" s="30" t="str">
        <f aca="false">IF((E298="n"),H298," ")</f>
        <v> </v>
      </c>
      <c r="AE298" s="17" t="str">
        <f aca="false">IF((E298="f"),H298," ")</f>
        <v> </v>
      </c>
      <c r="AF298" s="17" t="str">
        <f aca="false">IF((E298="l"),H298," ")</f>
        <v> </v>
      </c>
      <c r="AG298" s="17" t="str">
        <f aca="false">IF((E298="y"),H298," ")</f>
        <v> </v>
      </c>
      <c r="AH298" s="17" t="str">
        <f aca="false">IF((E298="z"),H298," ")</f>
        <v> </v>
      </c>
      <c r="AI298" s="17" t="str">
        <f aca="false">IF((E298="fa"),H298," ")</f>
        <v> </v>
      </c>
      <c r="AJ298" s="17" t="str">
        <f aca="false">IF((E298="e"),H298," ")</f>
        <v> </v>
      </c>
    </row>
    <row r="299" customFormat="false" ht="12" hidden="false" customHeight="false" outlineLevel="0" collapsed="false">
      <c r="A299" s="28"/>
      <c r="E299" s="2" t="str">
        <f aca="false">IF((F299&lt;&gt;0),"Enter Letter"," ")</f>
        <v> </v>
      </c>
      <c r="F299" s="30"/>
      <c r="G299" s="6" t="str">
        <f aca="false">IF(F299&lt;&gt;0,F299*G$2/(100+G$2)," ")</f>
        <v> </v>
      </c>
      <c r="H299" s="6" t="str">
        <f aca="false">IF((F299&lt;&gt;0),F299-G299," ")</f>
        <v> </v>
      </c>
      <c r="I299" s="5"/>
      <c r="L299" s="7" t="str">
        <f aca="false">IF(F299&lt;&gt;0,F299-K299," ")</f>
        <v> </v>
      </c>
      <c r="M299" s="8" t="str">
        <f aca="false">IF((F299-K299)&lt;&gt;0,M$1-A299," ")</f>
        <v> </v>
      </c>
      <c r="N299" s="5"/>
      <c r="O299" s="17" t="str">
        <f aca="false">IF((E299="s"),H299," ")</f>
        <v> </v>
      </c>
      <c r="P299" s="17" t="str">
        <f aca="false">IF((E299="c"),H299," ")</f>
        <v> </v>
      </c>
      <c r="Q299" s="17" t="str">
        <f aca="false">IF((E299="o"),H299," ")</f>
        <v> </v>
      </c>
      <c r="R299" s="17" t="str">
        <f aca="false">IF((E299="d"),H299," ")</f>
        <v> </v>
      </c>
      <c r="S299" s="17" t="str">
        <f aca="false">IF((E299="w"),H299," ")</f>
        <v> </v>
      </c>
      <c r="T299" s="17" t="str">
        <f aca="false">IF((E299="r"),H299," ")</f>
        <v> </v>
      </c>
      <c r="U299" s="17" t="str">
        <f aca="false">IF((E299="p"),H299," ")</f>
        <v> </v>
      </c>
      <c r="V299" s="17" t="str">
        <f aca="false">IF((E299="t"),H299," ")</f>
        <v> </v>
      </c>
      <c r="W299" s="17" t="str">
        <f aca="false">IF((E299="q"),H299," ")</f>
        <v> </v>
      </c>
      <c r="X299" s="17" t="str">
        <f aca="false">IF((E299="m"),H299," ")</f>
        <v> </v>
      </c>
      <c r="Y299" s="17" t="str">
        <f aca="false">IF((E299="u"),H299," ")</f>
        <v> </v>
      </c>
      <c r="Z299" s="17" t="str">
        <f aca="false">IF((E299="a"),H299," ")</f>
        <v> </v>
      </c>
      <c r="AA299" s="17" t="str">
        <f aca="false">IF((E299="g"),H299," ")</f>
        <v> </v>
      </c>
      <c r="AB299" s="17" t="str">
        <f aca="false">IF((E299="h"),H299," ")</f>
        <v> </v>
      </c>
      <c r="AC299" s="30" t="str">
        <f aca="false">IF((E299="v"),H299," ")</f>
        <v> </v>
      </c>
      <c r="AD299" s="30" t="str">
        <f aca="false">IF((E299="n"),H299," ")</f>
        <v> </v>
      </c>
      <c r="AE299" s="17" t="str">
        <f aca="false">IF((E299="f"),H299," ")</f>
        <v> </v>
      </c>
      <c r="AF299" s="17" t="str">
        <f aca="false">IF((E299="l"),H299," ")</f>
        <v> </v>
      </c>
      <c r="AG299" s="17" t="str">
        <f aca="false">IF((E299="y"),H299," ")</f>
        <v> </v>
      </c>
      <c r="AH299" s="17" t="str">
        <f aca="false">IF((E299="z"),H299," ")</f>
        <v> </v>
      </c>
      <c r="AI299" s="17" t="str">
        <f aca="false">IF((E299="fa"),H299," ")</f>
        <v> </v>
      </c>
      <c r="AJ299" s="17" t="str">
        <f aca="false">IF((E299="e"),H299," ")</f>
        <v> </v>
      </c>
    </row>
    <row r="300" customFormat="false" ht="12" hidden="false" customHeight="false" outlineLevel="0" collapsed="false">
      <c r="A300" s="32"/>
      <c r="B300" s="33"/>
      <c r="C300" s="34"/>
      <c r="D300" s="33"/>
      <c r="E300" s="46" t="str">
        <f aca="false">IF((F300&lt;&gt;0),"Enter Letter"," ")</f>
        <v> </v>
      </c>
      <c r="F300" s="47"/>
      <c r="G300" s="36" t="str">
        <f aca="false">IF(F300&lt;&gt;0,F300*G$2/(100+G$2)," ")</f>
        <v> </v>
      </c>
      <c r="H300" s="36" t="str">
        <f aca="false">IF((F300&lt;&gt;0),F300-G300," ")</f>
        <v> </v>
      </c>
      <c r="I300" s="48"/>
      <c r="J300" s="36"/>
      <c r="K300" s="36"/>
      <c r="L300" s="37" t="str">
        <f aca="false">IF(F300&lt;&gt;0,F300-K300," ")</f>
        <v> </v>
      </c>
      <c r="M300" s="38" t="str">
        <f aca="false">IF((F300-K300)&lt;&gt;0,M$1-A300," ")</f>
        <v> </v>
      </c>
      <c r="N300" s="48"/>
      <c r="O300" s="49" t="str">
        <f aca="false">IF((E300="s"),H300," ")</f>
        <v> </v>
      </c>
      <c r="P300" s="49" t="str">
        <f aca="false">IF((E300="c"),H300," ")</f>
        <v> </v>
      </c>
      <c r="Q300" s="49" t="str">
        <f aca="false">IF((E300="o"),H300," ")</f>
        <v> </v>
      </c>
      <c r="R300" s="49" t="str">
        <f aca="false">IF((E300="d"),H300," ")</f>
        <v> </v>
      </c>
      <c r="S300" s="49" t="str">
        <f aca="false">IF((E300="w"),H300," ")</f>
        <v> </v>
      </c>
      <c r="T300" s="49" t="str">
        <f aca="false">IF((E300="r"),H300," ")</f>
        <v> </v>
      </c>
      <c r="U300" s="49" t="str">
        <f aca="false">IF((E300="p"),H300," ")</f>
        <v> </v>
      </c>
      <c r="V300" s="49" t="str">
        <f aca="false">IF((E300="t"),H300," ")</f>
        <v> </v>
      </c>
      <c r="W300" s="49" t="str">
        <f aca="false">IF((E300="q"),H300," ")</f>
        <v> </v>
      </c>
      <c r="X300" s="49" t="str">
        <f aca="false">IF((E300="m"),H300," ")</f>
        <v> </v>
      </c>
      <c r="Y300" s="49" t="str">
        <f aca="false">IF((E300="u"),H300," ")</f>
        <v> </v>
      </c>
      <c r="Z300" s="49" t="str">
        <f aca="false">IF((E300="a"),H300," ")</f>
        <v> </v>
      </c>
      <c r="AA300" s="49" t="str">
        <f aca="false">IF((E300="g"),H300," ")</f>
        <v> </v>
      </c>
      <c r="AB300" s="49" t="str">
        <f aca="false">IF((E300="h"),H300," ")</f>
        <v> </v>
      </c>
      <c r="AC300" s="47" t="str">
        <f aca="false">IF((E300="v"),H300," ")</f>
        <v> </v>
      </c>
      <c r="AD300" s="47" t="str">
        <f aca="false">IF((E300="n"),H300," ")</f>
        <v> </v>
      </c>
      <c r="AE300" s="49" t="str">
        <f aca="false">IF((E300="f"),H300," ")</f>
        <v> </v>
      </c>
      <c r="AF300" s="49" t="str">
        <f aca="false">IF((E300="l"),H300," ")</f>
        <v> </v>
      </c>
      <c r="AG300" s="49" t="str">
        <f aca="false">IF((E300="y"),H300," ")</f>
        <v> </v>
      </c>
      <c r="AH300" s="49" t="str">
        <f aca="false">IF((E300="z"),H300," ")</f>
        <v> </v>
      </c>
      <c r="AI300" s="49" t="str">
        <f aca="false">IF((E300="fa"),H300," ")</f>
        <v> </v>
      </c>
      <c r="AJ300" s="49" t="str">
        <f aca="false">IF((E300="e"),H300," ")</f>
        <v> </v>
      </c>
      <c r="AK300" s="49"/>
      <c r="AL300" s="49"/>
    </row>
    <row r="301" customFormat="false" ht="12" hidden="false" customHeight="false" outlineLevel="0" collapsed="false">
      <c r="A301" s="28"/>
    </row>
  </sheetData>
  <mergeCells count="37">
    <mergeCell ref="C1:C4"/>
    <mergeCell ref="D1:E1"/>
    <mergeCell ref="I1:I4"/>
    <mergeCell ref="J1:J4"/>
    <mergeCell ref="N1:N4"/>
    <mergeCell ref="AJ1:AJ4"/>
    <mergeCell ref="A2:A4"/>
    <mergeCell ref="B2:B4"/>
    <mergeCell ref="D2:D4"/>
    <mergeCell ref="E2:E4"/>
    <mergeCell ref="F2:F4"/>
    <mergeCell ref="H2:H4"/>
    <mergeCell ref="K2:M2"/>
    <mergeCell ref="O2:Q2"/>
    <mergeCell ref="R2:R3"/>
    <mergeCell ref="S2:S3"/>
    <mergeCell ref="T2:U2"/>
    <mergeCell ref="V2:V3"/>
    <mergeCell ref="W2:W3"/>
    <mergeCell ref="X2:X3"/>
    <mergeCell ref="Y2:Y3"/>
    <mergeCell ref="Z2:Z3"/>
    <mergeCell ref="AA2:AA3"/>
    <mergeCell ref="AB2:AB3"/>
    <mergeCell ref="AC2:AC3"/>
    <mergeCell ref="AD2:AD3"/>
    <mergeCell ref="AE2:AE3"/>
    <mergeCell ref="AF2:AF3"/>
    <mergeCell ref="AG2:AG3"/>
    <mergeCell ref="AH2:AH3"/>
    <mergeCell ref="AI2:AI3"/>
    <mergeCell ref="AK2:AL2"/>
    <mergeCell ref="G3:G4"/>
    <mergeCell ref="K3:K4"/>
    <mergeCell ref="L3:L4"/>
    <mergeCell ref="M3:M4"/>
    <mergeCell ref="AK3:AL3"/>
  </mergeCells>
  <dataValidations count="4">
    <dataValidation allowBlank="true" error="While dates outside the financial year can be accepted for valid transactions the date may not have been entered in the correct format.&#10;&#10;CORRECT DATE FORMAT IS DD/MM/YY&#10;&#10;Example 25/12/08 then appears as 25-Dec-08&#10;" errorStyle="stop" errorTitle="DATE ERROR" operator="between" showDropDown="false" showErrorMessage="true" showInputMessage="false" sqref="A5:A300" type="date">
      <formula1>38353</formula1>
      <formula2>53327</formula2>
    </dataValidation>
    <dataValidation allowBlank="true" errorStyle="stop" operator="between" prompt="Entries below the line are not included in column totals or analysed.&#10;&#10;To accomodate additional entries the formulae in column totals need changing and sales analysis columns formulae added " promptTitle="PLEASE NOTE" showDropDown="false" showErrorMessage="true" showInputMessage="true" sqref="A301" type="none">
      <formula1>0</formula1>
      <formula2>0</formula2>
    </dataValidation>
    <dataValidation allowBlank="true" errorStyle="stop" operator="between" prompt="An amount in this cell is an indication column H does not equal column F minus G or the analysis in columns O to AI does not add up to total in column H&#10;&#10;CHECK ENTRY CODE LETTERS or ANY MANUAL ENTRIES IN COL G to H and COL O to AI&#10;" promptTitle="ERROR ALERT" showDropDown="false" showErrorMessage="true" showInputMessage="true" sqref="A1" type="none">
      <formula1>0</formula1>
      <formula2>0</formula2>
    </dataValidation>
    <dataValidation allowBlank="true" errorStyle="stop" operator="between" showDropDown="false" showErrorMessage="true" showInputMessage="false" sqref="E5:E300" type="list">
      <formula1>$O$4:$AI$4</formula1>
      <formula2>0</formula2>
    </dataValidation>
  </dataValidations>
  <printOptions headings="false" gridLines="true" gridLinesSet="true" horizontalCentered="false" verticalCentered="false"/>
  <pageMargins left="0.118055555555556" right="0.0784722222222222" top="0.590277777777778" bottom="0.590277777777778" header="0.196527777777778" footer="0.196527777777778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&amp;C&amp;"Arial,Bold"&amp;11Costs and Expenses</oddHeader>
    <oddFooter>&amp;L&amp;D  &amp;T&amp;C&amp;P  of  &amp;N&amp;R&amp;F  &amp;A</oddFooter>
  </headerFooter>
  <colBreaks count="1" manualBreakCount="1">
    <brk id="24" man="true" max="65535" min="0"/>
  </colBreaks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Z3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625" defaultRowHeight="12" zeroHeight="false" outlineLevelRow="0" outlineLevelCol="0"/>
  <cols>
    <col collapsed="false" customWidth="true" hidden="false" outlineLevel="0" max="1" min="1" style="1" width="8.82"/>
    <col collapsed="false" customWidth="true" hidden="false" outlineLevel="0" max="2" min="2" style="2" width="18.66"/>
    <col collapsed="false" customWidth="true" hidden="false" outlineLevel="0" max="3" min="3" style="3" width="12.66"/>
    <col collapsed="false" customWidth="true" hidden="false" outlineLevel="0" max="4" min="4" style="2" width="14.66"/>
    <col collapsed="false" customWidth="true" hidden="false" outlineLevel="0" max="5" min="5" style="5" width="9.66"/>
    <col collapsed="false" customWidth="true" hidden="false" outlineLevel="0" max="6" min="6" style="6" width="10.5"/>
    <col collapsed="false" customWidth="true" hidden="false" outlineLevel="0" max="7" min="7" style="6" width="9.66"/>
    <col collapsed="false" customWidth="true" hidden="false" outlineLevel="0" max="8" min="8" style="6" width="10.66"/>
    <col collapsed="false" customWidth="true" hidden="false" outlineLevel="0" max="9" min="9" style="6" width="0.82"/>
    <col collapsed="false" customWidth="true" hidden="false" outlineLevel="0" max="10" min="10" style="6" width="9.99"/>
    <col collapsed="false" customWidth="true" hidden="false" outlineLevel="0" max="11" min="11" style="6" width="9.66"/>
    <col collapsed="false" customWidth="true" hidden="false" outlineLevel="0" max="12" min="12" style="7" width="9.66"/>
    <col collapsed="false" customWidth="true" hidden="false" outlineLevel="0" max="13" min="13" style="8" width="9.49"/>
    <col collapsed="false" customWidth="true" hidden="false" outlineLevel="0" max="14" min="14" style="6" width="0.82"/>
    <col collapsed="false" customWidth="true" hidden="false" outlineLevel="0" max="23" min="15" style="17" width="9.66"/>
    <col collapsed="false" customWidth="true" hidden="false" outlineLevel="0" max="28" min="24" style="17" width="10.5"/>
    <col collapsed="false" customWidth="true" hidden="false" outlineLevel="0" max="30" min="29" style="39" width="10.5"/>
    <col collapsed="false" customWidth="true" hidden="false" outlineLevel="0" max="36" min="31" style="17" width="10.5"/>
    <col collapsed="false" customWidth="false" hidden="false" outlineLevel="0" max="37" min="37" style="17" width="9.15"/>
    <col collapsed="false" customWidth="true" hidden="false" outlineLevel="0" max="38" min="38" style="17" width="12.66"/>
    <col collapsed="false" customWidth="false" hidden="false" outlineLevel="0" max="257" min="39" style="2" width="9.15"/>
  </cols>
  <sheetData>
    <row r="1" s="17" customFormat="true" ht="12.75" hidden="false" customHeight="true" outlineLevel="0" collapsed="false">
      <c r="A1" s="40" t="n">
        <f aca="false">F1-G1-SUM(O1:AJ1)</f>
        <v>0</v>
      </c>
      <c r="B1" s="41" t="s">
        <v>22</v>
      </c>
      <c r="C1" s="20" t="s">
        <v>5</v>
      </c>
      <c r="D1" s="42" t="s">
        <v>23</v>
      </c>
      <c r="E1" s="42"/>
      <c r="F1" s="12" t="n">
        <f aca="false">SUM(F5:F300)</f>
        <v>9451.5</v>
      </c>
      <c r="G1" s="12" t="n">
        <f aca="false">SUM(G5:G300)</f>
        <v>1575.25</v>
      </c>
      <c r="H1" s="12" t="n">
        <f aca="false">SUM(H5:H300)</f>
        <v>7876.25</v>
      </c>
      <c r="I1" s="13"/>
      <c r="J1" s="14" t="s">
        <v>2</v>
      </c>
      <c r="K1" s="15" t="n">
        <f aca="false">SUM(K5:K300)</f>
        <v>0</v>
      </c>
      <c r="L1" s="15" t="n">
        <f aca="false">SUM(L5:L300)</f>
        <v>9451.5</v>
      </c>
      <c r="M1" s="16" t="n">
        <f aca="true">TODAY()</f>
        <v>46278</v>
      </c>
      <c r="N1" s="13"/>
      <c r="O1" s="12" t="n">
        <f aca="false">SUM(O5:O300)</f>
        <v>400</v>
      </c>
      <c r="P1" s="12" t="n">
        <f aca="false">SUM(P5:P300)</f>
        <v>0</v>
      </c>
      <c r="Q1" s="12" t="n">
        <f aca="false">SUM(Q5:Q300)</f>
        <v>237.5</v>
      </c>
      <c r="R1" s="12" t="n">
        <f aca="false">SUM(R5:R300)</f>
        <v>4166.66666666667</v>
      </c>
      <c r="S1" s="12" t="n">
        <f aca="false">SUM(S5:S300)</f>
        <v>0</v>
      </c>
      <c r="T1" s="12" t="n">
        <f aca="false">SUM(T5:T300)</f>
        <v>1000</v>
      </c>
      <c r="U1" s="12" t="n">
        <f aca="false">SUM(U5:U300)</f>
        <v>350</v>
      </c>
      <c r="V1" s="12" t="n">
        <f aca="false">SUM(V5:V300)</f>
        <v>0</v>
      </c>
      <c r="W1" s="12" t="n">
        <f aca="false">SUM(W5:W300)</f>
        <v>0</v>
      </c>
      <c r="X1" s="12" t="n">
        <f aca="false">SUM(X5:X300)</f>
        <v>0</v>
      </c>
      <c r="Y1" s="12" t="n">
        <f aca="false">SUM(Y5:Y300)</f>
        <v>115.833333333333</v>
      </c>
      <c r="Z1" s="12" t="n">
        <f aca="false">SUM(Z5:Z300)</f>
        <v>0</v>
      </c>
      <c r="AA1" s="12" t="n">
        <f aca="false">SUM(AA5:AA300)</f>
        <v>212.5</v>
      </c>
      <c r="AB1" s="12" t="n">
        <f aca="false">SUM(AB5:AB300)</f>
        <v>76.6666666666667</v>
      </c>
      <c r="AC1" s="12" t="n">
        <f aca="false">SUM(AC5:AC300)</f>
        <v>511.25</v>
      </c>
      <c r="AD1" s="12" t="n">
        <f aca="false">SUM(AD5:AD300)</f>
        <v>0</v>
      </c>
      <c r="AE1" s="12" t="n">
        <f aca="false">SUM(AE5:AE300)</f>
        <v>0</v>
      </c>
      <c r="AF1" s="12" t="n">
        <f aca="false">SUM(AF5:AF300)</f>
        <v>389.166666666667</v>
      </c>
      <c r="AG1" s="12" t="n">
        <f aca="false">SUM(AG5:AG300)</f>
        <v>416.666666666667</v>
      </c>
      <c r="AH1" s="12" t="n">
        <f aca="false">SUM(AH5:AH300)</f>
        <v>0</v>
      </c>
      <c r="AI1" s="12" t="n">
        <f aca="false">SUM(AI5:AI300)</f>
        <v>0</v>
      </c>
      <c r="AJ1" s="12" t="n">
        <f aca="false">SUM(AJ5:AJ300)</f>
        <v>0</v>
      </c>
      <c r="AK1" s="12" t="n">
        <f aca="false">SUM(AK5:AK300)</f>
        <v>0</v>
      </c>
      <c r="AL1" s="43"/>
    </row>
    <row r="2" s="17" customFormat="true" ht="13.5" hidden="false" customHeight="true" outlineLevel="0" collapsed="false">
      <c r="A2" s="18" t="s">
        <v>3</v>
      </c>
      <c r="B2" s="19" t="s">
        <v>4</v>
      </c>
      <c r="C2" s="20"/>
      <c r="D2" s="21" t="s">
        <v>6</v>
      </c>
      <c r="E2" s="21" t="s">
        <v>24</v>
      </c>
      <c r="F2" s="19" t="s">
        <v>7</v>
      </c>
      <c r="G2" s="22" t="n">
        <f aca="false">IF([2]Jul!$G$4&gt;0,0,[2]Jul!$G$2)</f>
        <v>20</v>
      </c>
      <c r="H2" s="19" t="s">
        <v>8</v>
      </c>
      <c r="I2" s="13"/>
      <c r="J2" s="14"/>
      <c r="K2" s="23" t="s">
        <v>9</v>
      </c>
      <c r="L2" s="23"/>
      <c r="M2" s="23"/>
      <c r="N2" s="13"/>
      <c r="O2" s="19" t="s">
        <v>25</v>
      </c>
      <c r="P2" s="19"/>
      <c r="Q2" s="19"/>
      <c r="R2" s="19" t="s">
        <v>26</v>
      </c>
      <c r="S2" s="19" t="s">
        <v>27</v>
      </c>
      <c r="T2" s="19" t="s">
        <v>28</v>
      </c>
      <c r="U2" s="19"/>
      <c r="V2" s="19" t="s">
        <v>29</v>
      </c>
      <c r="W2" s="19" t="s">
        <v>30</v>
      </c>
      <c r="X2" s="19" t="s">
        <v>31</v>
      </c>
      <c r="Y2" s="19" t="s">
        <v>32</v>
      </c>
      <c r="Z2" s="19" t="s">
        <v>33</v>
      </c>
      <c r="AA2" s="19" t="s">
        <v>34</v>
      </c>
      <c r="AB2" s="19" t="s">
        <v>35</v>
      </c>
      <c r="AC2" s="19" t="s">
        <v>36</v>
      </c>
      <c r="AD2" s="19" t="s">
        <v>37</v>
      </c>
      <c r="AE2" s="19" t="s">
        <v>38</v>
      </c>
      <c r="AF2" s="19" t="s">
        <v>39</v>
      </c>
      <c r="AG2" s="19" t="s">
        <v>40</v>
      </c>
      <c r="AH2" s="19" t="s">
        <v>41</v>
      </c>
      <c r="AI2" s="19" t="s">
        <v>42</v>
      </c>
      <c r="AJ2" s="12" t="s">
        <v>43</v>
      </c>
      <c r="AK2" s="19" t="s">
        <v>44</v>
      </c>
      <c r="AL2" s="19"/>
    </row>
    <row r="3" s="26" customFormat="true" ht="34.5" hidden="false" customHeight="true" outlineLevel="0" collapsed="false">
      <c r="A3" s="18"/>
      <c r="B3" s="19"/>
      <c r="C3" s="20"/>
      <c r="D3" s="21"/>
      <c r="E3" s="21"/>
      <c r="F3" s="19"/>
      <c r="G3" s="19" t="s">
        <v>10</v>
      </c>
      <c r="H3" s="19"/>
      <c r="I3" s="13"/>
      <c r="J3" s="14"/>
      <c r="K3" s="24" t="s">
        <v>11</v>
      </c>
      <c r="L3" s="24" t="s">
        <v>12</v>
      </c>
      <c r="M3" s="25" t="s">
        <v>13</v>
      </c>
      <c r="N3" s="13"/>
      <c r="O3" s="21" t="s">
        <v>45</v>
      </c>
      <c r="P3" s="21" t="s">
        <v>46</v>
      </c>
      <c r="Q3" s="21" t="s">
        <v>47</v>
      </c>
      <c r="R3" s="19"/>
      <c r="S3" s="19"/>
      <c r="T3" s="21" t="s">
        <v>48</v>
      </c>
      <c r="U3" s="21" t="s">
        <v>49</v>
      </c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2"/>
      <c r="AK3" s="19" t="s">
        <v>50</v>
      </c>
      <c r="AL3" s="19"/>
    </row>
    <row r="4" s="27" customFormat="true" ht="12.75" hidden="false" customHeight="true" outlineLevel="0" collapsed="false">
      <c r="A4" s="18"/>
      <c r="B4" s="19"/>
      <c r="C4" s="20"/>
      <c r="D4" s="21"/>
      <c r="E4" s="21"/>
      <c r="F4" s="19"/>
      <c r="G4" s="19"/>
      <c r="H4" s="19"/>
      <c r="I4" s="13"/>
      <c r="J4" s="14"/>
      <c r="K4" s="24"/>
      <c r="L4" s="24"/>
      <c r="M4" s="24"/>
      <c r="N4" s="13"/>
      <c r="O4" s="44" t="s">
        <v>51</v>
      </c>
      <c r="P4" s="44" t="s">
        <v>52</v>
      </c>
      <c r="Q4" s="44" t="s">
        <v>53</v>
      </c>
      <c r="R4" s="44" t="s">
        <v>54</v>
      </c>
      <c r="S4" s="44" t="s">
        <v>55</v>
      </c>
      <c r="T4" s="44" t="s">
        <v>56</v>
      </c>
      <c r="U4" s="44" t="s">
        <v>57</v>
      </c>
      <c r="V4" s="44" t="s">
        <v>58</v>
      </c>
      <c r="W4" s="44" t="s">
        <v>59</v>
      </c>
      <c r="X4" s="44" t="s">
        <v>60</v>
      </c>
      <c r="Y4" s="44" t="s">
        <v>61</v>
      </c>
      <c r="Z4" s="44" t="s">
        <v>62</v>
      </c>
      <c r="AA4" s="44" t="s">
        <v>63</v>
      </c>
      <c r="AB4" s="44" t="s">
        <v>64</v>
      </c>
      <c r="AC4" s="45" t="s">
        <v>65</v>
      </c>
      <c r="AD4" s="45" t="s">
        <v>66</v>
      </c>
      <c r="AE4" s="44" t="s">
        <v>67</v>
      </c>
      <c r="AF4" s="44" t="s">
        <v>68</v>
      </c>
      <c r="AG4" s="44" t="s">
        <v>69</v>
      </c>
      <c r="AH4" s="44" t="s">
        <v>70</v>
      </c>
      <c r="AI4" s="44" t="s">
        <v>71</v>
      </c>
      <c r="AJ4" s="12" t="s">
        <v>72</v>
      </c>
      <c r="AK4" s="19" t="s">
        <v>73</v>
      </c>
      <c r="AL4" s="19" t="s">
        <v>74</v>
      </c>
    </row>
    <row r="5" s="5" customFormat="true" ht="12" hidden="false" customHeight="false" outlineLevel="0" collapsed="false">
      <c r="A5" s="28" t="n">
        <v>46569</v>
      </c>
      <c r="B5" s="2" t="s">
        <v>14</v>
      </c>
      <c r="C5" s="3"/>
      <c r="D5" s="2" t="s">
        <v>75</v>
      </c>
      <c r="E5" s="2" t="s">
        <v>76</v>
      </c>
      <c r="F5" s="30" t="n">
        <v>1200</v>
      </c>
      <c r="G5" s="6" t="n">
        <f aca="false">IF(F5&lt;&gt;0,F5*G$2/(100+G$2)," ")</f>
        <v>200</v>
      </c>
      <c r="H5" s="6" t="n">
        <f aca="false">IF((F5&lt;&gt;0),F5-G5," ")</f>
        <v>1000</v>
      </c>
      <c r="J5" s="6"/>
      <c r="K5" s="6"/>
      <c r="L5" s="7" t="n">
        <f aca="false">IF(F5&lt;&gt;0,F5-K5," ")</f>
        <v>1200</v>
      </c>
      <c r="M5" s="8" t="n">
        <f aca="false">IF((F5-K5)&lt;&gt;0,M$1-A5," ")</f>
        <v>-291</v>
      </c>
      <c r="O5" s="17" t="str">
        <f aca="false">IF((E5="s"),H5," ")</f>
        <v> </v>
      </c>
      <c r="P5" s="17" t="str">
        <f aca="false">IF((E5="c"),H5," ")</f>
        <v> </v>
      </c>
      <c r="Q5" s="17" t="str">
        <f aca="false">IF((E5="o"),H5," ")</f>
        <v> </v>
      </c>
      <c r="R5" s="17" t="str">
        <f aca="false">IF((E5="d"),H5," ")</f>
        <v> </v>
      </c>
      <c r="S5" s="17" t="str">
        <f aca="false">IF((E5="w"),H5," ")</f>
        <v> </v>
      </c>
      <c r="T5" s="17" t="n">
        <f aca="false">IF((E5="r"),H5," ")</f>
        <v>1000</v>
      </c>
      <c r="U5" s="17" t="str">
        <f aca="false">IF((E5="p"),H5," ")</f>
        <v> </v>
      </c>
      <c r="V5" s="17" t="str">
        <f aca="false">IF((E5="t"),H5," ")</f>
        <v> </v>
      </c>
      <c r="W5" s="17" t="str">
        <f aca="false">IF((E5="q"),H5," ")</f>
        <v> </v>
      </c>
      <c r="X5" s="17" t="str">
        <f aca="false">IF((E5="m"),H5," ")</f>
        <v> </v>
      </c>
      <c r="Y5" s="17" t="str">
        <f aca="false">IF((E5="u"),H5," ")</f>
        <v> </v>
      </c>
      <c r="Z5" s="17" t="str">
        <f aca="false">IF((E5="a"),H5," ")</f>
        <v> </v>
      </c>
      <c r="AA5" s="17" t="str">
        <f aca="false">IF((E5="g"),H5," ")</f>
        <v> </v>
      </c>
      <c r="AB5" s="17" t="str">
        <f aca="false">IF((E5="h"),H5," ")</f>
        <v> </v>
      </c>
      <c r="AC5" s="30" t="str">
        <f aca="false">IF((E5="v"),H5," ")</f>
        <v> </v>
      </c>
      <c r="AD5" s="30" t="str">
        <f aca="false">IF((E5="n"),H5," ")</f>
        <v> </v>
      </c>
      <c r="AE5" s="17" t="str">
        <f aca="false">IF((E5="f"),H5," ")</f>
        <v> </v>
      </c>
      <c r="AF5" s="17" t="str">
        <f aca="false">IF((E5="l"),H5," ")</f>
        <v> </v>
      </c>
      <c r="AG5" s="17" t="str">
        <f aca="false">IF((E5="y"),H5," ")</f>
        <v> </v>
      </c>
      <c r="AH5" s="17" t="str">
        <f aca="false">IF((E5="z"),H5," ")</f>
        <v> </v>
      </c>
      <c r="AI5" s="17" t="str">
        <f aca="false">IF((E5="fa"),H5," ")</f>
        <v> </v>
      </c>
      <c r="AJ5" s="17" t="str">
        <f aca="false">IF((E5="e"),H5," ")</f>
        <v> </v>
      </c>
      <c r="AK5" s="17"/>
      <c r="AL5" s="17"/>
      <c r="BZ5" s="5" t="s">
        <v>77</v>
      </c>
    </row>
    <row r="6" customFormat="false" ht="12" hidden="false" customHeight="false" outlineLevel="0" collapsed="false">
      <c r="A6" s="28" t="n">
        <v>46569</v>
      </c>
      <c r="B6" s="2" t="s">
        <v>78</v>
      </c>
      <c r="D6" s="2" t="s">
        <v>79</v>
      </c>
      <c r="E6" s="2" t="s">
        <v>80</v>
      </c>
      <c r="F6" s="30" t="n">
        <v>30</v>
      </c>
      <c r="G6" s="6" t="n">
        <f aca="false">IF(F6&lt;&gt;0,F6*G$2/(100+G$2)," ")</f>
        <v>5</v>
      </c>
      <c r="H6" s="6" t="n">
        <f aca="false">IF((F6&lt;&gt;0),F6-G6," ")</f>
        <v>25</v>
      </c>
      <c r="I6" s="5"/>
      <c r="L6" s="7" t="n">
        <f aca="false">IF(F6&lt;&gt;0,F6-K6," ")</f>
        <v>30</v>
      </c>
      <c r="M6" s="8" t="n">
        <f aca="false">IF((F6-K6)&lt;&gt;0,M$1-A6," ")</f>
        <v>-291</v>
      </c>
      <c r="N6" s="5"/>
      <c r="O6" s="17" t="str">
        <f aca="false">IF((E6="s"),H6," ")</f>
        <v> </v>
      </c>
      <c r="P6" s="17" t="str">
        <f aca="false">IF((E6="c"),H6," ")</f>
        <v> </v>
      </c>
      <c r="Q6" s="17" t="str">
        <f aca="false">IF((E6="o"),H6," ")</f>
        <v> </v>
      </c>
      <c r="R6" s="17" t="str">
        <f aca="false">IF((E6="d"),H6," ")</f>
        <v> </v>
      </c>
      <c r="S6" s="17" t="str">
        <f aca="false">IF((E6="w"),H6," ")</f>
        <v> </v>
      </c>
      <c r="T6" s="17" t="str">
        <f aca="false">IF((E6="r"),H6," ")</f>
        <v> </v>
      </c>
      <c r="U6" s="17" t="str">
        <f aca="false">IF((E6="p"),H6," ")</f>
        <v> </v>
      </c>
      <c r="V6" s="17" t="str">
        <f aca="false">IF((E6="t"),H6," ")</f>
        <v> </v>
      </c>
      <c r="W6" s="17" t="str">
        <f aca="false">IF((E6="q"),H6," ")</f>
        <v> </v>
      </c>
      <c r="X6" s="17" t="str">
        <f aca="false">IF((E6="m"),H6," ")</f>
        <v> </v>
      </c>
      <c r="Y6" s="17" t="str">
        <f aca="false">IF((E6="u"),H6," ")</f>
        <v> </v>
      </c>
      <c r="Z6" s="17" t="str">
        <f aca="false">IF((E6="a"),H6," ")</f>
        <v> </v>
      </c>
      <c r="AA6" s="17" t="n">
        <f aca="false">IF((E6="g"),H6," ")</f>
        <v>25</v>
      </c>
      <c r="AB6" s="17" t="str">
        <f aca="false">IF((E6="h"),H6," ")</f>
        <v> </v>
      </c>
      <c r="AC6" s="30" t="str">
        <f aca="false">IF((E6="v"),H6," ")</f>
        <v> </v>
      </c>
      <c r="AD6" s="30" t="str">
        <f aca="false">IF((E6="n"),H6," ")</f>
        <v> </v>
      </c>
      <c r="AE6" s="17" t="str">
        <f aca="false">IF((E6="f"),H6," ")</f>
        <v> </v>
      </c>
      <c r="AF6" s="17" t="str">
        <f aca="false">IF((E6="l"),H6," ")</f>
        <v> </v>
      </c>
      <c r="AG6" s="17" t="str">
        <f aca="false">IF((E6="y"),H6," ")</f>
        <v> </v>
      </c>
      <c r="AH6" s="17" t="str">
        <f aca="false">IF((E6="z"),H6," ")</f>
        <v> </v>
      </c>
      <c r="AI6" s="17" t="str">
        <f aca="false">IF((E6="fa"),H6," ")</f>
        <v> </v>
      </c>
      <c r="AJ6" s="17" t="str">
        <f aca="false">IF((E6="e"),H6," ")</f>
        <v> </v>
      </c>
      <c r="BZ6" s="2" t="s">
        <v>81</v>
      </c>
    </row>
    <row r="7" customFormat="false" ht="12" hidden="false" customHeight="false" outlineLevel="0" collapsed="false">
      <c r="A7" s="28" t="n">
        <v>46569</v>
      </c>
      <c r="B7" s="2" t="s">
        <v>82</v>
      </c>
      <c r="D7" s="2" t="s">
        <v>83</v>
      </c>
      <c r="E7" s="2" t="s">
        <v>80</v>
      </c>
      <c r="F7" s="30" t="n">
        <v>15</v>
      </c>
      <c r="G7" s="6" t="n">
        <f aca="false">IF(F7&lt;&gt;0,F7*G$2/(100+G$2)," ")</f>
        <v>2.5</v>
      </c>
      <c r="H7" s="6" t="n">
        <f aca="false">IF((F7&lt;&gt;0),F7-G7," ")</f>
        <v>12.5</v>
      </c>
      <c r="I7" s="5"/>
      <c r="L7" s="7" t="n">
        <f aca="false">IF(F7&lt;&gt;0,F7-K7," ")</f>
        <v>15</v>
      </c>
      <c r="M7" s="8" t="n">
        <f aca="false">IF((F7-K7)&lt;&gt;0,M$1-A7," ")</f>
        <v>-291</v>
      </c>
      <c r="N7" s="5"/>
      <c r="O7" s="17" t="str">
        <f aca="false">IF((E7="s"),H7," ")</f>
        <v> </v>
      </c>
      <c r="P7" s="17" t="str">
        <f aca="false">IF((E7="c"),H7," ")</f>
        <v> </v>
      </c>
      <c r="Q7" s="17" t="str">
        <f aca="false">IF((E7="o"),H7," ")</f>
        <v> </v>
      </c>
      <c r="R7" s="17" t="str">
        <f aca="false">IF((E7="d"),H7," ")</f>
        <v> </v>
      </c>
      <c r="S7" s="17" t="str">
        <f aca="false">IF((E7="w"),H7," ")</f>
        <v> </v>
      </c>
      <c r="T7" s="17" t="str">
        <f aca="false">IF((E7="r"),H7," ")</f>
        <v> </v>
      </c>
      <c r="U7" s="17" t="str">
        <f aca="false">IF((E7="p"),H7," ")</f>
        <v> </v>
      </c>
      <c r="V7" s="17" t="str">
        <f aca="false">IF((E7="t"),H7," ")</f>
        <v> </v>
      </c>
      <c r="W7" s="17" t="str">
        <f aca="false">IF((E7="q"),H7," ")</f>
        <v> </v>
      </c>
      <c r="X7" s="17" t="str">
        <f aca="false">IF((E7="m"),H7," ")</f>
        <v> </v>
      </c>
      <c r="Y7" s="17" t="str">
        <f aca="false">IF((E7="u"),H7," ")</f>
        <v> </v>
      </c>
      <c r="Z7" s="17" t="str">
        <f aca="false">IF((E7="a"),H7," ")</f>
        <v> </v>
      </c>
      <c r="AA7" s="17" t="n">
        <f aca="false">IF((E7="g"),H7," ")</f>
        <v>12.5</v>
      </c>
      <c r="AB7" s="17" t="str">
        <f aca="false">IF((E7="h"),H7," ")</f>
        <v> </v>
      </c>
      <c r="AC7" s="30" t="str">
        <f aca="false">IF((E7="v"),H7," ")</f>
        <v> </v>
      </c>
      <c r="AD7" s="30" t="str">
        <f aca="false">IF((E7="n"),H7," ")</f>
        <v> </v>
      </c>
      <c r="AE7" s="17" t="str">
        <f aca="false">IF((E7="f"),H7," ")</f>
        <v> </v>
      </c>
      <c r="AF7" s="17" t="str">
        <f aca="false">IF((E7="l"),H7," ")</f>
        <v> </v>
      </c>
      <c r="AG7" s="17" t="str">
        <f aca="false">IF((E7="y"),H7," ")</f>
        <v> </v>
      </c>
      <c r="AH7" s="17" t="str">
        <f aca="false">IF((E7="z"),H7," ")</f>
        <v> </v>
      </c>
      <c r="AI7" s="17" t="str">
        <f aca="false">IF((E7="fa"),H7," ")</f>
        <v> </v>
      </c>
      <c r="AJ7" s="17" t="str">
        <f aca="false">IF((E7="e"),H7," ")</f>
        <v> </v>
      </c>
      <c r="BZ7" s="2" t="s">
        <v>81</v>
      </c>
    </row>
    <row r="8" customFormat="false" ht="12" hidden="false" customHeight="false" outlineLevel="0" collapsed="false">
      <c r="A8" s="28" t="n">
        <v>46569</v>
      </c>
      <c r="B8" s="2" t="s">
        <v>84</v>
      </c>
      <c r="D8" s="2" t="s">
        <v>85</v>
      </c>
      <c r="E8" s="2" t="s">
        <v>86</v>
      </c>
      <c r="F8" s="30" t="n">
        <v>45</v>
      </c>
      <c r="G8" s="6" t="n">
        <f aca="false">IF(F8&lt;&gt;0,F8*G$2/(100+G$2)," ")</f>
        <v>7.5</v>
      </c>
      <c r="H8" s="6" t="n">
        <f aca="false">IF((F8&lt;&gt;0),F8-G8," ")</f>
        <v>37.5</v>
      </c>
      <c r="I8" s="5"/>
      <c r="L8" s="7" t="n">
        <f aca="false">IF(F8&lt;&gt;0,F8-K8," ")</f>
        <v>45</v>
      </c>
      <c r="M8" s="8" t="n">
        <f aca="false">IF((F8-K8)&lt;&gt;0,M$1-A8," ")</f>
        <v>-291</v>
      </c>
      <c r="N8" s="5"/>
      <c r="O8" s="17" t="str">
        <f aca="false">IF((E8="s"),H8," ")</f>
        <v> </v>
      </c>
      <c r="P8" s="17" t="str">
        <f aca="false">IF((E8="c"),H8," ")</f>
        <v> </v>
      </c>
      <c r="Q8" s="17" t="n">
        <f aca="false">IF((E8="o"),H8," ")</f>
        <v>37.5</v>
      </c>
      <c r="R8" s="17" t="str">
        <f aca="false">IF((E8="d"),H8," ")</f>
        <v> </v>
      </c>
      <c r="S8" s="17" t="str">
        <f aca="false">IF((E8="w"),H8," ")</f>
        <v> </v>
      </c>
      <c r="T8" s="17" t="str">
        <f aca="false">IF((E8="r"),H8," ")</f>
        <v> </v>
      </c>
      <c r="U8" s="17" t="str">
        <f aca="false">IF((E8="p"),H8," ")</f>
        <v> </v>
      </c>
      <c r="V8" s="17" t="str">
        <f aca="false">IF((E8="t"),H8," ")</f>
        <v> </v>
      </c>
      <c r="W8" s="17" t="str">
        <f aca="false">IF((E8="q"),H8," ")</f>
        <v> </v>
      </c>
      <c r="X8" s="17" t="str">
        <f aca="false">IF((E8="m"),H8," ")</f>
        <v> </v>
      </c>
      <c r="Y8" s="17" t="str">
        <f aca="false">IF((E8="u"),H8," ")</f>
        <v> </v>
      </c>
      <c r="Z8" s="17" t="str">
        <f aca="false">IF((E8="a"),H8," ")</f>
        <v> </v>
      </c>
      <c r="AA8" s="17" t="str">
        <f aca="false">IF((E8="g"),H8," ")</f>
        <v> </v>
      </c>
      <c r="AB8" s="17" t="str">
        <f aca="false">IF((E8="h"),H8," ")</f>
        <v> </v>
      </c>
      <c r="AC8" s="30" t="str">
        <f aca="false">IF((E8="v"),H8," ")</f>
        <v> </v>
      </c>
      <c r="AD8" s="30" t="str">
        <f aca="false">IF((E8="n"),H8," ")</f>
        <v> </v>
      </c>
      <c r="AE8" s="17" t="str">
        <f aca="false">IF((E8="f"),H8," ")</f>
        <v> </v>
      </c>
      <c r="AF8" s="17" t="str">
        <f aca="false">IF((E8="l"),H8," ")</f>
        <v> </v>
      </c>
      <c r="AG8" s="17" t="str">
        <f aca="false">IF((E8="y"),H8," ")</f>
        <v> </v>
      </c>
      <c r="AH8" s="17" t="str">
        <f aca="false">IF((E8="z"),H8," ")</f>
        <v> </v>
      </c>
      <c r="AI8" s="17" t="str">
        <f aca="false">IF((E8="fa"),H8," ")</f>
        <v> </v>
      </c>
      <c r="AJ8" s="17" t="str">
        <f aca="false">IF((E8="e"),H8," ")</f>
        <v> </v>
      </c>
      <c r="BZ8" s="2" t="s">
        <v>87</v>
      </c>
    </row>
    <row r="9" customFormat="false" ht="12" hidden="false" customHeight="false" outlineLevel="0" collapsed="false">
      <c r="A9" s="28" t="n">
        <v>46569</v>
      </c>
      <c r="B9" s="2" t="s">
        <v>92</v>
      </c>
      <c r="D9" s="2" t="s">
        <v>93</v>
      </c>
      <c r="E9" s="2" t="s">
        <v>86</v>
      </c>
      <c r="F9" s="30" t="n">
        <v>24</v>
      </c>
      <c r="G9" s="6" t="n">
        <f aca="false">IF(F9&lt;&gt;0,F9*G$2/(100+G$2)," ")</f>
        <v>4</v>
      </c>
      <c r="H9" s="6" t="n">
        <f aca="false">IF((F9&lt;&gt;0),F9-G9," ")</f>
        <v>20</v>
      </c>
      <c r="I9" s="5"/>
      <c r="L9" s="7" t="n">
        <f aca="false">IF(F9&lt;&gt;0,F9-K9," ")</f>
        <v>24</v>
      </c>
      <c r="M9" s="8" t="n">
        <f aca="false">IF((F9-K9)&lt;&gt;0,M$1-A9," ")</f>
        <v>-291</v>
      </c>
      <c r="N9" s="5"/>
      <c r="O9" s="17" t="str">
        <f aca="false">IF((E9="s"),H9," ")</f>
        <v> </v>
      </c>
      <c r="P9" s="17" t="str">
        <f aca="false">IF((E9="c"),H9," ")</f>
        <v> </v>
      </c>
      <c r="Q9" s="17" t="n">
        <f aca="false">IF((E9="o"),H9," ")</f>
        <v>20</v>
      </c>
      <c r="R9" s="17" t="str">
        <f aca="false">IF((E9="d"),H9," ")</f>
        <v> </v>
      </c>
      <c r="S9" s="17" t="str">
        <f aca="false">IF((E9="w"),H9," ")</f>
        <v> </v>
      </c>
      <c r="T9" s="17" t="str">
        <f aca="false">IF((E9="r"),H9," ")</f>
        <v> </v>
      </c>
      <c r="U9" s="17" t="str">
        <f aca="false">IF((E9="p"),H9," ")</f>
        <v> </v>
      </c>
      <c r="V9" s="17" t="str">
        <f aca="false">IF((E9="t"),H9," ")</f>
        <v> </v>
      </c>
      <c r="W9" s="17" t="str">
        <f aca="false">IF((E9="q"),H9," ")</f>
        <v> </v>
      </c>
      <c r="X9" s="17" t="str">
        <f aca="false">IF((E9="m"),H9," ")</f>
        <v> </v>
      </c>
      <c r="Y9" s="17" t="str">
        <f aca="false">IF((E9="u"),H9," ")</f>
        <v> </v>
      </c>
      <c r="Z9" s="17" t="str">
        <f aca="false">IF((E9="a"),H9," ")</f>
        <v> </v>
      </c>
      <c r="AA9" s="17" t="str">
        <f aca="false">IF((E9="g"),H9," ")</f>
        <v> </v>
      </c>
      <c r="AB9" s="17" t="str">
        <f aca="false">IF((E9="h"),H9," ")</f>
        <v> </v>
      </c>
      <c r="AC9" s="30" t="str">
        <f aca="false">IF((E9="v"),H9," ")</f>
        <v> </v>
      </c>
      <c r="AD9" s="30" t="str">
        <f aca="false">IF((E9="n"),H9," ")</f>
        <v> </v>
      </c>
      <c r="AE9" s="17" t="str">
        <f aca="false">IF((E9="f"),H9," ")</f>
        <v> </v>
      </c>
      <c r="AF9" s="17" t="str">
        <f aca="false">IF((E9="l"),H9," ")</f>
        <v> </v>
      </c>
      <c r="AG9" s="17" t="str">
        <f aca="false">IF((E9="y"),H9," ")</f>
        <v> </v>
      </c>
      <c r="AH9" s="17" t="str">
        <f aca="false">IF((E9="z"),H9," ")</f>
        <v> </v>
      </c>
      <c r="AI9" s="17" t="str">
        <f aca="false">IF((E9="fa"),H9," ")</f>
        <v> </v>
      </c>
      <c r="AJ9" s="17" t="str">
        <f aca="false">IF((E9="e"),H9," ")</f>
        <v> </v>
      </c>
      <c r="BZ9" s="2" t="s">
        <v>87</v>
      </c>
    </row>
    <row r="10" customFormat="false" ht="12" hidden="false" customHeight="false" outlineLevel="0" collapsed="false">
      <c r="A10" s="28" t="n">
        <v>46569</v>
      </c>
      <c r="B10" s="2" t="s">
        <v>94</v>
      </c>
      <c r="D10" s="2" t="s">
        <v>95</v>
      </c>
      <c r="E10" s="2" t="s">
        <v>80</v>
      </c>
      <c r="F10" s="30" t="n">
        <v>18</v>
      </c>
      <c r="G10" s="6" t="n">
        <f aca="false">IF(F10&lt;&gt;0,F10*G$2/(100+G$2)," ")</f>
        <v>3</v>
      </c>
      <c r="H10" s="6" t="n">
        <f aca="false">IF((F10&lt;&gt;0),F10-G10," ")</f>
        <v>15</v>
      </c>
      <c r="I10" s="5"/>
      <c r="L10" s="7" t="n">
        <f aca="false">IF(F10&lt;&gt;0,F10-K10," ")</f>
        <v>18</v>
      </c>
      <c r="M10" s="8" t="n">
        <f aca="false">IF((F10-K10)&lt;&gt;0,M$1-A10," ")</f>
        <v>-291</v>
      </c>
      <c r="N10" s="5"/>
      <c r="O10" s="17" t="str">
        <f aca="false">IF((E10="s"),H10," ")</f>
        <v> </v>
      </c>
      <c r="P10" s="17" t="str">
        <f aca="false">IF((E10="c"),H10," ")</f>
        <v> </v>
      </c>
      <c r="Q10" s="17" t="str">
        <f aca="false">IF((E10="o"),H10," ")</f>
        <v> </v>
      </c>
      <c r="R10" s="17" t="str">
        <f aca="false">IF((E10="d"),H10," ")</f>
        <v> </v>
      </c>
      <c r="S10" s="17" t="str">
        <f aca="false">IF((E10="w"),H10," ")</f>
        <v> </v>
      </c>
      <c r="T10" s="17" t="str">
        <f aca="false">IF((E10="r"),H10," ")</f>
        <v> </v>
      </c>
      <c r="U10" s="17" t="str">
        <f aca="false">IF((E10="p"),H10," ")</f>
        <v> </v>
      </c>
      <c r="V10" s="17" t="str">
        <f aca="false">IF((E10="t"),H10," ")</f>
        <v> </v>
      </c>
      <c r="W10" s="17" t="str">
        <f aca="false">IF((E10="q"),H10," ")</f>
        <v> </v>
      </c>
      <c r="X10" s="17" t="str">
        <f aca="false">IF((E10="m"),H10," ")</f>
        <v> </v>
      </c>
      <c r="Y10" s="17" t="str">
        <f aca="false">IF((E10="u"),H10," ")</f>
        <v> </v>
      </c>
      <c r="Z10" s="17" t="str">
        <f aca="false">IF((E10="a"),H10," ")</f>
        <v> </v>
      </c>
      <c r="AA10" s="17" t="n">
        <f aca="false">IF((E10="g"),H10," ")</f>
        <v>15</v>
      </c>
      <c r="AB10" s="17" t="str">
        <f aca="false">IF((E10="h"),H10," ")</f>
        <v> </v>
      </c>
      <c r="AC10" s="30" t="str">
        <f aca="false">IF((E10="v"),H10," ")</f>
        <v> </v>
      </c>
      <c r="AD10" s="30" t="str">
        <f aca="false">IF((E10="n"),H10," ")</f>
        <v> </v>
      </c>
      <c r="AE10" s="17" t="str">
        <f aca="false">IF((E10="f"),H10," ")</f>
        <v> </v>
      </c>
      <c r="AF10" s="17" t="str">
        <f aca="false">IF((E10="l"),H10," ")</f>
        <v> </v>
      </c>
      <c r="AG10" s="17" t="str">
        <f aca="false">IF((E10="y"),H10," ")</f>
        <v> </v>
      </c>
      <c r="AH10" s="17" t="str">
        <f aca="false">IF((E10="z"),H10," ")</f>
        <v> </v>
      </c>
      <c r="AI10" s="17" t="str">
        <f aca="false">IF((E10="fa"),H10," ")</f>
        <v> </v>
      </c>
      <c r="AJ10" s="17" t="str">
        <f aca="false">IF((E10="e"),H10," ")</f>
        <v> </v>
      </c>
      <c r="BZ10" s="2" t="s">
        <v>81</v>
      </c>
    </row>
    <row r="11" customFormat="false" ht="12" hidden="false" customHeight="false" outlineLevel="0" collapsed="false">
      <c r="A11" s="28" t="n">
        <v>46571</v>
      </c>
      <c r="B11" s="2" t="s">
        <v>96</v>
      </c>
      <c r="D11" s="2" t="s">
        <v>97</v>
      </c>
      <c r="E11" s="2" t="s">
        <v>86</v>
      </c>
      <c r="F11" s="30" t="n">
        <v>180</v>
      </c>
      <c r="G11" s="6" t="n">
        <f aca="false">IF(F11&lt;&gt;0,F11*G$2/(100+G$2)," ")</f>
        <v>30</v>
      </c>
      <c r="H11" s="6" t="n">
        <f aca="false">IF((F11&lt;&gt;0),F11-G11," ")</f>
        <v>150</v>
      </c>
      <c r="I11" s="5"/>
      <c r="L11" s="7" t="n">
        <f aca="false">IF(F11&lt;&gt;0,F11-K11," ")</f>
        <v>180</v>
      </c>
      <c r="M11" s="8" t="n">
        <f aca="false">IF((F11-K11)&lt;&gt;0,M$1-A11," ")</f>
        <v>-293</v>
      </c>
      <c r="N11" s="5"/>
      <c r="O11" s="17" t="str">
        <f aca="false">IF((E11="s"),H11," ")</f>
        <v> </v>
      </c>
      <c r="P11" s="17" t="str">
        <f aca="false">IF((E11="c"),H11," ")</f>
        <v> </v>
      </c>
      <c r="Q11" s="17" t="n">
        <f aca="false">IF((E11="o"),H11," ")</f>
        <v>150</v>
      </c>
      <c r="R11" s="17" t="str">
        <f aca="false">IF((E11="d"),H11," ")</f>
        <v> </v>
      </c>
      <c r="S11" s="17" t="str">
        <f aca="false">IF((E11="w"),H11," ")</f>
        <v> </v>
      </c>
      <c r="T11" s="17" t="str">
        <f aca="false">IF((E11="r"),H11," ")</f>
        <v> </v>
      </c>
      <c r="U11" s="17" t="str">
        <f aca="false">IF((E11="p"),H11," ")</f>
        <v> </v>
      </c>
      <c r="V11" s="17" t="str">
        <f aca="false">IF((E11="t"),H11," ")</f>
        <v> </v>
      </c>
      <c r="W11" s="17" t="str">
        <f aca="false">IF((E11="q"),H11," ")</f>
        <v> </v>
      </c>
      <c r="X11" s="17" t="str">
        <f aca="false">IF((E11="m"),H11," ")</f>
        <v> </v>
      </c>
      <c r="Y11" s="17" t="str">
        <f aca="false">IF((E11="u"),H11," ")</f>
        <v> </v>
      </c>
      <c r="Z11" s="17" t="str">
        <f aca="false">IF((E11="a"),H11," ")</f>
        <v> </v>
      </c>
      <c r="AA11" s="17" t="str">
        <f aca="false">IF((E11="g"),H11," ")</f>
        <v> </v>
      </c>
      <c r="AB11" s="17" t="str">
        <f aca="false">IF((E11="h"),H11," ")</f>
        <v> </v>
      </c>
      <c r="AC11" s="30" t="str">
        <f aca="false">IF((E11="v"),H11," ")</f>
        <v> </v>
      </c>
      <c r="AD11" s="30" t="str">
        <f aca="false">IF((E11="n"),H11," ")</f>
        <v> </v>
      </c>
      <c r="AE11" s="17" t="str">
        <f aca="false">IF((E11="f"),H11," ")</f>
        <v> </v>
      </c>
      <c r="AF11" s="17" t="str">
        <f aca="false">IF((E11="l"),H11," ")</f>
        <v> </v>
      </c>
      <c r="AG11" s="17" t="str">
        <f aca="false">IF((E11="y"),H11," ")</f>
        <v> </v>
      </c>
      <c r="AH11" s="17" t="str">
        <f aca="false">IF((E11="z"),H11," ")</f>
        <v> </v>
      </c>
      <c r="AI11" s="17" t="str">
        <f aca="false">IF((E11="fa"),H11," ")</f>
        <v> </v>
      </c>
      <c r="AJ11" s="17" t="str">
        <f aca="false">IF((E11="e"),H11," ")</f>
        <v> </v>
      </c>
      <c r="BZ11" s="2" t="s">
        <v>87</v>
      </c>
    </row>
    <row r="12" customFormat="false" ht="12" hidden="false" customHeight="false" outlineLevel="0" collapsed="false">
      <c r="A12" s="28" t="n">
        <v>46571</v>
      </c>
      <c r="B12" s="2" t="s">
        <v>98</v>
      </c>
      <c r="D12" s="2" t="s">
        <v>99</v>
      </c>
      <c r="E12" s="2" t="s">
        <v>100</v>
      </c>
      <c r="F12" s="30" t="n">
        <v>22</v>
      </c>
      <c r="G12" s="6" t="n">
        <f aca="false">IF(F12&lt;&gt;0,F12*G$2/(100+G$2)," ")</f>
        <v>3.66666666666667</v>
      </c>
      <c r="H12" s="6" t="n">
        <f aca="false">IF((F12&lt;&gt;0),F12-G12," ")</f>
        <v>18.3333333333333</v>
      </c>
      <c r="I12" s="5"/>
      <c r="L12" s="7" t="n">
        <f aca="false">IF(F12&lt;&gt;0,F12-K12," ")</f>
        <v>22</v>
      </c>
      <c r="M12" s="8" t="n">
        <f aca="false">IF((F12-K12)&lt;&gt;0,M$1-A12," ")</f>
        <v>-293</v>
      </c>
      <c r="N12" s="5"/>
      <c r="O12" s="17" t="str">
        <f aca="false">IF((E12="s"),H12," ")</f>
        <v> </v>
      </c>
      <c r="P12" s="17" t="str">
        <f aca="false">IF((E12="c"),H12," ")</f>
        <v> </v>
      </c>
      <c r="Q12" s="17" t="str">
        <f aca="false">IF((E12="o"),H12," ")</f>
        <v> </v>
      </c>
      <c r="R12" s="17" t="str">
        <f aca="false">IF((E12="d"),H12," ")</f>
        <v> </v>
      </c>
      <c r="S12" s="17" t="str">
        <f aca="false">IF((E12="w"),H12," ")</f>
        <v> </v>
      </c>
      <c r="T12" s="17" t="str">
        <f aca="false">IF((E12="r"),H12," ")</f>
        <v> </v>
      </c>
      <c r="U12" s="17" t="str">
        <f aca="false">IF((E12="p"),H12," ")</f>
        <v> </v>
      </c>
      <c r="V12" s="17" t="str">
        <f aca="false">IF((E12="t"),H12," ")</f>
        <v> </v>
      </c>
      <c r="W12" s="17" t="str">
        <f aca="false">IF((E12="q"),H12," ")</f>
        <v> </v>
      </c>
      <c r="X12" s="17" t="str">
        <f aca="false">IF((E12="m"),H12," ")</f>
        <v> </v>
      </c>
      <c r="Y12" s="17" t="n">
        <f aca="false">IF((E12="u"),H12," ")</f>
        <v>18.3333333333333</v>
      </c>
      <c r="Z12" s="17" t="str">
        <f aca="false">IF((E12="a"),H12," ")</f>
        <v> </v>
      </c>
      <c r="AA12" s="17" t="str">
        <f aca="false">IF((E12="g"),H12," ")</f>
        <v> </v>
      </c>
      <c r="AB12" s="17" t="str">
        <f aca="false">IF((E12="h"),H12," ")</f>
        <v> </v>
      </c>
      <c r="AC12" s="30" t="str">
        <f aca="false">IF((E12="v"),H12," ")</f>
        <v> </v>
      </c>
      <c r="AD12" s="30" t="str">
        <f aca="false">IF((E12="n"),H12," ")</f>
        <v> </v>
      </c>
      <c r="AE12" s="17" t="str">
        <f aca="false">IF((E12="f"),H12," ")</f>
        <v> </v>
      </c>
      <c r="AF12" s="17" t="str">
        <f aca="false">IF((E12="l"),H12," ")</f>
        <v> </v>
      </c>
      <c r="AG12" s="17" t="str">
        <f aca="false">IF((E12="y"),H12," ")</f>
        <v> </v>
      </c>
      <c r="AH12" s="17" t="str">
        <f aca="false">IF((E12="z"),H12," ")</f>
        <v> </v>
      </c>
      <c r="AI12" s="17" t="str">
        <f aca="false">IF((E12="fa"),H12," ")</f>
        <v> </v>
      </c>
      <c r="AJ12" s="17" t="str">
        <f aca="false">IF((E12="e"),H12," ")</f>
        <v> </v>
      </c>
      <c r="BZ12" s="2" t="s">
        <v>101</v>
      </c>
    </row>
    <row r="13" customFormat="false" ht="12" hidden="false" customHeight="false" outlineLevel="0" collapsed="false">
      <c r="A13" s="28" t="n">
        <v>46573</v>
      </c>
      <c r="B13" s="2" t="s">
        <v>102</v>
      </c>
      <c r="D13" s="2" t="s">
        <v>103</v>
      </c>
      <c r="E13" s="2" t="s">
        <v>100</v>
      </c>
      <c r="F13" s="30" t="n">
        <v>24</v>
      </c>
      <c r="G13" s="6" t="n">
        <f aca="false">IF(F13&lt;&gt;0,F13*G$2/(100+G$2)," ")</f>
        <v>4</v>
      </c>
      <c r="H13" s="6" t="n">
        <f aca="false">IF((F13&lt;&gt;0),F13-G13," ")</f>
        <v>20</v>
      </c>
      <c r="I13" s="5"/>
      <c r="L13" s="7" t="n">
        <f aca="false">IF(F13&lt;&gt;0,F13-K13," ")</f>
        <v>24</v>
      </c>
      <c r="M13" s="8" t="n">
        <f aca="false">IF((F13-K13)&lt;&gt;0,M$1-A13," ")</f>
        <v>-295</v>
      </c>
      <c r="N13" s="5"/>
      <c r="O13" s="17" t="str">
        <f aca="false">IF((E13="s"),H13," ")</f>
        <v> </v>
      </c>
      <c r="P13" s="17" t="str">
        <f aca="false">IF((E13="c"),H13," ")</f>
        <v> </v>
      </c>
      <c r="Q13" s="17" t="str">
        <f aca="false">IF((E13="o"),H13," ")</f>
        <v> </v>
      </c>
      <c r="R13" s="17" t="str">
        <f aca="false">IF((E13="d"),H13," ")</f>
        <v> </v>
      </c>
      <c r="S13" s="17" t="str">
        <f aca="false">IF((E13="w"),H13," ")</f>
        <v> </v>
      </c>
      <c r="T13" s="17" t="str">
        <f aca="false">IF((E13="r"),H13," ")</f>
        <v> </v>
      </c>
      <c r="U13" s="17" t="str">
        <f aca="false">IF((E13="p"),H13," ")</f>
        <v> </v>
      </c>
      <c r="V13" s="17" t="str">
        <f aca="false">IF((E13="t"),H13," ")</f>
        <v> </v>
      </c>
      <c r="W13" s="17" t="str">
        <f aca="false">IF((E13="q"),H13," ")</f>
        <v> </v>
      </c>
      <c r="X13" s="17" t="str">
        <f aca="false">IF((E13="m"),H13," ")</f>
        <v> </v>
      </c>
      <c r="Y13" s="17" t="n">
        <f aca="false">IF((E13="u"),H13," ")</f>
        <v>20</v>
      </c>
      <c r="Z13" s="17" t="str">
        <f aca="false">IF((E13="a"),H13," ")</f>
        <v> </v>
      </c>
      <c r="AA13" s="17" t="str">
        <f aca="false">IF((E13="g"),H13," ")</f>
        <v> </v>
      </c>
      <c r="AB13" s="17" t="str">
        <f aca="false">IF((E13="h"),H13," ")</f>
        <v> </v>
      </c>
      <c r="AC13" s="30" t="str">
        <f aca="false">IF((E13="v"),H13," ")</f>
        <v> </v>
      </c>
      <c r="AD13" s="30" t="str">
        <f aca="false">IF((E13="n"),H13," ")</f>
        <v> </v>
      </c>
      <c r="AE13" s="17" t="str">
        <f aca="false">IF((E13="f"),H13," ")</f>
        <v> </v>
      </c>
      <c r="AF13" s="17" t="str">
        <f aca="false">IF((E13="l"),H13," ")</f>
        <v> </v>
      </c>
      <c r="AG13" s="17" t="str">
        <f aca="false">IF((E13="y"),H13," ")</f>
        <v> </v>
      </c>
      <c r="AH13" s="17" t="str">
        <f aca="false">IF((E13="z"),H13," ")</f>
        <v> </v>
      </c>
      <c r="AI13" s="17" t="str">
        <f aca="false">IF((E13="fa"),H13," ")</f>
        <v> </v>
      </c>
      <c r="AJ13" s="17" t="str">
        <f aca="false">IF((E13="e"),H13," ")</f>
        <v> </v>
      </c>
      <c r="BZ13" s="2" t="s">
        <v>101</v>
      </c>
    </row>
    <row r="14" customFormat="false" ht="12" hidden="false" customHeight="false" outlineLevel="0" collapsed="false">
      <c r="A14" s="28" t="n">
        <v>46573</v>
      </c>
      <c r="B14" s="2" t="s">
        <v>104</v>
      </c>
      <c r="D14" s="2" t="s">
        <v>105</v>
      </c>
      <c r="E14" s="2" t="s">
        <v>106</v>
      </c>
      <c r="F14" s="30" t="n">
        <v>180</v>
      </c>
      <c r="G14" s="6" t="n">
        <f aca="false">IF(F14&lt;&gt;0,F14*G$2/(100+G$2)," ")</f>
        <v>30</v>
      </c>
      <c r="H14" s="6" t="n">
        <f aca="false">IF((F14&lt;&gt;0),F14-G14," ")</f>
        <v>150</v>
      </c>
      <c r="I14" s="5"/>
      <c r="L14" s="7" t="n">
        <f aca="false">IF(F14&lt;&gt;0,F14-K14," ")</f>
        <v>180</v>
      </c>
      <c r="M14" s="8" t="n">
        <f aca="false">IF((F14-K14)&lt;&gt;0,M$1-A14," ")</f>
        <v>-295</v>
      </c>
      <c r="N14" s="5"/>
      <c r="O14" s="17" t="str">
        <f aca="false">IF((E14="s"),H14," ")</f>
        <v> </v>
      </c>
      <c r="P14" s="17" t="str">
        <f aca="false">IF((E14="c"),H14," ")</f>
        <v> </v>
      </c>
      <c r="Q14" s="17" t="str">
        <f aca="false">IF((E14="o"),H14," ")</f>
        <v> </v>
      </c>
      <c r="R14" s="17" t="str">
        <f aca="false">IF((E14="d"),H14," ")</f>
        <v> </v>
      </c>
      <c r="S14" s="17" t="str">
        <f aca="false">IF((E14="w"),H14," ")</f>
        <v> </v>
      </c>
      <c r="T14" s="17" t="str">
        <f aca="false">IF((E14="r"),H14," ")</f>
        <v> </v>
      </c>
      <c r="U14" s="17" t="str">
        <f aca="false">IF((E14="p"),H14," ")</f>
        <v> </v>
      </c>
      <c r="V14" s="17" t="str">
        <f aca="false">IF((E14="t"),H14," ")</f>
        <v> </v>
      </c>
      <c r="W14" s="17" t="str">
        <f aca="false">IF((E14="q"),H14," ")</f>
        <v> </v>
      </c>
      <c r="X14" s="17" t="str">
        <f aca="false">IF((E14="m"),H14," ")</f>
        <v> </v>
      </c>
      <c r="Y14" s="17" t="str">
        <f aca="false">IF((E14="u"),H14," ")</f>
        <v> </v>
      </c>
      <c r="Z14" s="17" t="str">
        <f aca="false">IF((E14="a"),H14," ")</f>
        <v> </v>
      </c>
      <c r="AA14" s="17" t="str">
        <f aca="false">IF((E14="g"),H14," ")</f>
        <v> </v>
      </c>
      <c r="AB14" s="17" t="str">
        <f aca="false">IF((E14="h"),H14," ")</f>
        <v> </v>
      </c>
      <c r="AC14" s="30" t="n">
        <f aca="false">IF((E14="v"),H14," ")</f>
        <v>150</v>
      </c>
      <c r="AD14" s="30" t="str">
        <f aca="false">IF((E14="n"),H14," ")</f>
        <v> </v>
      </c>
      <c r="AE14" s="17" t="str">
        <f aca="false">IF((E14="f"),H14," ")</f>
        <v> </v>
      </c>
      <c r="AF14" s="17" t="str">
        <f aca="false">IF((E14="l"),H14," ")</f>
        <v> </v>
      </c>
      <c r="AG14" s="17" t="str">
        <f aca="false">IF((E14="y"),H14," ")</f>
        <v> </v>
      </c>
      <c r="AH14" s="17" t="str">
        <f aca="false">IF((E14="z"),H14," ")</f>
        <v> </v>
      </c>
      <c r="AI14" s="17" t="str">
        <f aca="false">IF((E14="fa"),H14," ")</f>
        <v> </v>
      </c>
      <c r="AJ14" s="17" t="str">
        <f aca="false">IF((E14="e"),H14," ")</f>
        <v> </v>
      </c>
      <c r="BZ14" s="2" t="s">
        <v>107</v>
      </c>
    </row>
    <row r="15" customFormat="false" ht="12" hidden="false" customHeight="false" outlineLevel="0" collapsed="false">
      <c r="A15" s="28" t="n">
        <v>46573</v>
      </c>
      <c r="B15" s="2" t="s">
        <v>108</v>
      </c>
      <c r="D15" s="2" t="s">
        <v>109</v>
      </c>
      <c r="E15" s="2" t="s">
        <v>86</v>
      </c>
      <c r="F15" s="30" t="n">
        <v>36</v>
      </c>
      <c r="G15" s="6" t="n">
        <f aca="false">IF(F15&lt;&gt;0,F15*G$2/(100+G$2)," ")</f>
        <v>6</v>
      </c>
      <c r="H15" s="6" t="n">
        <f aca="false">IF((F15&lt;&gt;0),F15-G15," ")</f>
        <v>30</v>
      </c>
      <c r="I15" s="5"/>
      <c r="L15" s="7" t="n">
        <f aca="false">IF(F15&lt;&gt;0,F15-K15," ")</f>
        <v>36</v>
      </c>
      <c r="M15" s="8" t="n">
        <f aca="false">IF((F15-K15)&lt;&gt;0,M$1-A15," ")</f>
        <v>-295</v>
      </c>
      <c r="N15" s="5"/>
      <c r="O15" s="17" t="str">
        <f aca="false">IF((E15="s"),H15," ")</f>
        <v> </v>
      </c>
      <c r="P15" s="17" t="str">
        <f aca="false">IF((E15="c"),H15," ")</f>
        <v> </v>
      </c>
      <c r="Q15" s="17" t="n">
        <f aca="false">IF((E15="o"),H15," ")</f>
        <v>30</v>
      </c>
      <c r="R15" s="17" t="str">
        <f aca="false">IF((E15="d"),H15," ")</f>
        <v> </v>
      </c>
      <c r="S15" s="17" t="str">
        <f aca="false">IF((E15="w"),H15," ")</f>
        <v> </v>
      </c>
      <c r="T15" s="17" t="str">
        <f aca="false">IF((E15="r"),H15," ")</f>
        <v> </v>
      </c>
      <c r="U15" s="17" t="str">
        <f aca="false">IF((E15="p"),H15," ")</f>
        <v> </v>
      </c>
      <c r="V15" s="17" t="str">
        <f aca="false">IF((E15="t"),H15," ")</f>
        <v> </v>
      </c>
      <c r="W15" s="17" t="str">
        <f aca="false">IF((E15="q"),H15," ")</f>
        <v> </v>
      </c>
      <c r="X15" s="17" t="str">
        <f aca="false">IF((E15="m"),H15," ")</f>
        <v> </v>
      </c>
      <c r="Y15" s="17" t="str">
        <f aca="false">IF((E15="u"),H15," ")</f>
        <v> </v>
      </c>
      <c r="Z15" s="17" t="str">
        <f aca="false">IF((E15="a"),H15," ")</f>
        <v> </v>
      </c>
      <c r="AA15" s="17" t="str">
        <f aca="false">IF((E15="g"),H15," ")</f>
        <v> </v>
      </c>
      <c r="AB15" s="17" t="str">
        <f aca="false">IF((E15="h"),H15," ")</f>
        <v> </v>
      </c>
      <c r="AC15" s="30" t="str">
        <f aca="false">IF((E15="v"),H15," ")</f>
        <v> </v>
      </c>
      <c r="AD15" s="30" t="str">
        <f aca="false">IF((E15="n"),H15," ")</f>
        <v> </v>
      </c>
      <c r="AE15" s="17" t="str">
        <f aca="false">IF((E15="f"),H15," ")</f>
        <v> </v>
      </c>
      <c r="AF15" s="17" t="str">
        <f aca="false">IF((E15="l"),H15," ")</f>
        <v> </v>
      </c>
      <c r="AG15" s="17" t="str">
        <f aca="false">IF((E15="y"),H15," ")</f>
        <v> </v>
      </c>
      <c r="AH15" s="17" t="str">
        <f aca="false">IF((E15="z"),H15," ")</f>
        <v> </v>
      </c>
      <c r="AI15" s="17" t="str">
        <f aca="false">IF((E15="fa"),H15," ")</f>
        <v> </v>
      </c>
      <c r="AJ15" s="17" t="str">
        <f aca="false">IF((E15="e"),H15," ")</f>
        <v> </v>
      </c>
      <c r="BZ15" s="2" t="s">
        <v>87</v>
      </c>
    </row>
    <row r="16" customFormat="false" ht="12" hidden="false" customHeight="false" outlineLevel="0" collapsed="false">
      <c r="A16" s="28" t="n">
        <v>46576</v>
      </c>
      <c r="B16" s="2" t="s">
        <v>110</v>
      </c>
      <c r="D16" s="2" t="s">
        <v>111</v>
      </c>
      <c r="E16" s="2" t="s">
        <v>112</v>
      </c>
      <c r="F16" s="30" t="n">
        <v>48</v>
      </c>
      <c r="G16" s="6" t="n">
        <f aca="false">IF(F16&lt;&gt;0,F16*G$2/(100+G$2)," ")</f>
        <v>8</v>
      </c>
      <c r="H16" s="6" t="n">
        <f aca="false">IF((F16&lt;&gt;0),F16-G16," ")</f>
        <v>40</v>
      </c>
      <c r="I16" s="5"/>
      <c r="L16" s="7" t="n">
        <f aca="false">IF(F16&lt;&gt;0,F16-K16," ")</f>
        <v>48</v>
      </c>
      <c r="M16" s="8" t="n">
        <f aca="false">IF((F16-K16)&lt;&gt;0,M$1-A16," ")</f>
        <v>-298</v>
      </c>
      <c r="N16" s="5"/>
      <c r="O16" s="17" t="str">
        <f aca="false">IF((E16="s"),H16," ")</f>
        <v> </v>
      </c>
      <c r="P16" s="17" t="str">
        <f aca="false">IF((E16="c"),H16," ")</f>
        <v> </v>
      </c>
      <c r="Q16" s="17" t="str">
        <f aca="false">IF((E16="o"),H16," ")</f>
        <v> </v>
      </c>
      <c r="R16" s="17" t="str">
        <f aca="false">IF((E16="d"),H16," ")</f>
        <v> </v>
      </c>
      <c r="S16" s="17" t="str">
        <f aca="false">IF((E16="w"),H16," ")</f>
        <v> </v>
      </c>
      <c r="T16" s="17" t="str">
        <f aca="false">IF((E16="r"),H16," ")</f>
        <v> </v>
      </c>
      <c r="U16" s="17" t="str">
        <f aca="false">IF((E16="p"),H16," ")</f>
        <v> </v>
      </c>
      <c r="V16" s="17" t="str">
        <f aca="false">IF((E16="t"),H16," ")</f>
        <v> </v>
      </c>
      <c r="W16" s="17" t="str">
        <f aca="false">IF((E16="q"),H16," ")</f>
        <v> </v>
      </c>
      <c r="X16" s="17" t="str">
        <f aca="false">IF((E16="m"),H16," ")</f>
        <v> </v>
      </c>
      <c r="Y16" s="17" t="str">
        <f aca="false">IF((E16="u"),H16," ")</f>
        <v> </v>
      </c>
      <c r="Z16" s="17" t="str">
        <f aca="false">IF((E16="a"),H16," ")</f>
        <v> </v>
      </c>
      <c r="AA16" s="17" t="str">
        <f aca="false">IF((E16="g"),H16," ")</f>
        <v> </v>
      </c>
      <c r="AB16" s="17" t="n">
        <f aca="false">IF((E16="h"),H16," ")</f>
        <v>40</v>
      </c>
      <c r="AC16" s="30" t="str">
        <f aca="false">IF((E16="v"),H16," ")</f>
        <v> </v>
      </c>
      <c r="AD16" s="30" t="str">
        <f aca="false">IF((E16="n"),H16," ")</f>
        <v> </v>
      </c>
      <c r="AE16" s="17" t="str">
        <f aca="false">IF((E16="f"),H16," ")</f>
        <v> </v>
      </c>
      <c r="AF16" s="17" t="str">
        <f aca="false">IF((E16="l"),H16," ")</f>
        <v> </v>
      </c>
      <c r="AG16" s="17" t="str">
        <f aca="false">IF((E16="y"),H16," ")</f>
        <v> </v>
      </c>
      <c r="AH16" s="17" t="str">
        <f aca="false">IF((E16="z"),H16," ")</f>
        <v> </v>
      </c>
      <c r="AI16" s="17" t="str">
        <f aca="false">IF((E16="fa"),H16," ")</f>
        <v> </v>
      </c>
      <c r="AJ16" s="17" t="str">
        <f aca="false">IF((E16="e"),H16," ")</f>
        <v> </v>
      </c>
      <c r="BZ16" s="2" t="s">
        <v>113</v>
      </c>
    </row>
    <row r="17" customFormat="false" ht="12" hidden="false" customHeight="false" outlineLevel="0" collapsed="false">
      <c r="A17" s="28" t="n">
        <v>46578</v>
      </c>
      <c r="B17" s="2" t="s">
        <v>114</v>
      </c>
      <c r="D17" s="2" t="s">
        <v>115</v>
      </c>
      <c r="E17" s="2" t="s">
        <v>100</v>
      </c>
      <c r="F17" s="30" t="n">
        <v>36</v>
      </c>
      <c r="G17" s="6" t="n">
        <f aca="false">IF(F17&lt;&gt;0,F17*G$2/(100+G$2)," ")</f>
        <v>6</v>
      </c>
      <c r="H17" s="6" t="n">
        <f aca="false">IF((F17&lt;&gt;0),F17-G17," ")</f>
        <v>30</v>
      </c>
      <c r="I17" s="5"/>
      <c r="L17" s="7" t="n">
        <f aca="false">IF(F17&lt;&gt;0,F17-K17," ")</f>
        <v>36</v>
      </c>
      <c r="M17" s="8" t="n">
        <f aca="false">IF((F17-K17)&lt;&gt;0,M$1-A17," ")</f>
        <v>-300</v>
      </c>
      <c r="N17" s="5"/>
      <c r="O17" s="17" t="str">
        <f aca="false">IF((E17="s"),H17," ")</f>
        <v> </v>
      </c>
      <c r="P17" s="17" t="str">
        <f aca="false">IF((E17="c"),H17," ")</f>
        <v> </v>
      </c>
      <c r="Q17" s="17" t="str">
        <f aca="false">IF((E17="o"),H17," ")</f>
        <v> </v>
      </c>
      <c r="R17" s="17" t="str">
        <f aca="false">IF((E17="d"),H17," ")</f>
        <v> </v>
      </c>
      <c r="S17" s="17" t="str">
        <f aca="false">IF((E17="w"),H17," ")</f>
        <v> </v>
      </c>
      <c r="T17" s="17" t="str">
        <f aca="false">IF((E17="r"),H17," ")</f>
        <v> </v>
      </c>
      <c r="U17" s="17" t="str">
        <f aca="false">IF((E17="p"),H17," ")</f>
        <v> </v>
      </c>
      <c r="V17" s="17" t="str">
        <f aca="false">IF((E17="t"),H17," ")</f>
        <v> </v>
      </c>
      <c r="W17" s="17" t="str">
        <f aca="false">IF((E17="q"),H17," ")</f>
        <v> </v>
      </c>
      <c r="X17" s="17" t="str">
        <f aca="false">IF((E17="m"),H17," ")</f>
        <v> </v>
      </c>
      <c r="Y17" s="17" t="n">
        <f aca="false">IF((E17="u"),H17," ")</f>
        <v>30</v>
      </c>
      <c r="Z17" s="17" t="str">
        <f aca="false">IF((E17="a"),H17," ")</f>
        <v> </v>
      </c>
      <c r="AA17" s="17" t="str">
        <f aca="false">IF((E17="g"),H17," ")</f>
        <v> </v>
      </c>
      <c r="AB17" s="17" t="str">
        <f aca="false">IF((E17="h"),H17," ")</f>
        <v> </v>
      </c>
      <c r="AC17" s="30" t="str">
        <f aca="false">IF((E17="v"),H17," ")</f>
        <v> </v>
      </c>
      <c r="AD17" s="30" t="str">
        <f aca="false">IF((E17="n"),H17," ")</f>
        <v> </v>
      </c>
      <c r="AE17" s="17" t="str">
        <f aca="false">IF((E17="f"),H17," ")</f>
        <v> </v>
      </c>
      <c r="AF17" s="17" t="str">
        <f aca="false">IF((E17="l"),H17," ")</f>
        <v> </v>
      </c>
      <c r="AG17" s="17" t="str">
        <f aca="false">IF((E17="y"),H17," ")</f>
        <v> </v>
      </c>
      <c r="AH17" s="17" t="str">
        <f aca="false">IF((E17="z"),H17," ")</f>
        <v> </v>
      </c>
      <c r="AI17" s="17" t="str">
        <f aca="false">IF((E17="fa"),H17," ")</f>
        <v> </v>
      </c>
      <c r="AJ17" s="17" t="str">
        <f aca="false">IF((E17="e"),H17," ")</f>
        <v> </v>
      </c>
      <c r="BZ17" s="2" t="s">
        <v>101</v>
      </c>
    </row>
    <row r="18" customFormat="false" ht="12" hidden="false" customHeight="false" outlineLevel="0" collapsed="false">
      <c r="A18" s="28" t="n">
        <v>46578</v>
      </c>
      <c r="B18" s="2" t="s">
        <v>181</v>
      </c>
      <c r="D18" s="2" t="s">
        <v>182</v>
      </c>
      <c r="E18" s="2" t="s">
        <v>80</v>
      </c>
      <c r="F18" s="30" t="n">
        <v>120</v>
      </c>
      <c r="G18" s="6" t="n">
        <f aca="false">IF(F18&lt;&gt;0,F18*G$2/(100+G$2)," ")</f>
        <v>20</v>
      </c>
      <c r="H18" s="6" t="n">
        <f aca="false">IF((F18&lt;&gt;0),F18-G18," ")</f>
        <v>100</v>
      </c>
      <c r="I18" s="5"/>
      <c r="L18" s="7" t="n">
        <f aca="false">IF(F18&lt;&gt;0,F18-K18," ")</f>
        <v>120</v>
      </c>
      <c r="M18" s="8" t="n">
        <f aca="false">IF((F18-K18)&lt;&gt;0,M$1-A18," ")</f>
        <v>-300</v>
      </c>
      <c r="N18" s="5"/>
      <c r="O18" s="17" t="str">
        <f aca="false">IF((E18="s"),H18," ")</f>
        <v> </v>
      </c>
      <c r="P18" s="17" t="str">
        <f aca="false">IF((E18="c"),H18," ")</f>
        <v> </v>
      </c>
      <c r="Q18" s="17" t="str">
        <f aca="false">IF((E18="o"),H18," ")</f>
        <v> </v>
      </c>
      <c r="R18" s="17" t="str">
        <f aca="false">IF((E18="d"),H18," ")</f>
        <v> </v>
      </c>
      <c r="S18" s="17" t="str">
        <f aca="false">IF((E18="w"),H18," ")</f>
        <v> </v>
      </c>
      <c r="T18" s="17" t="str">
        <f aca="false">IF((E18="r"),H18," ")</f>
        <v> </v>
      </c>
      <c r="U18" s="17" t="str">
        <f aca="false">IF((E18="p"),H18," ")</f>
        <v> </v>
      </c>
      <c r="V18" s="17" t="str">
        <f aca="false">IF((E18="t"),H18," ")</f>
        <v> </v>
      </c>
      <c r="W18" s="17" t="str">
        <f aca="false">IF((E18="q"),H18," ")</f>
        <v> </v>
      </c>
      <c r="X18" s="17" t="str">
        <f aca="false">IF((E18="m"),H18," ")</f>
        <v> </v>
      </c>
      <c r="Y18" s="17" t="str">
        <f aca="false">IF((E18="u"),H18," ")</f>
        <v> </v>
      </c>
      <c r="Z18" s="17" t="str">
        <f aca="false">IF((E18="a"),H18," ")</f>
        <v> </v>
      </c>
      <c r="AA18" s="17" t="n">
        <f aca="false">IF((E18="g"),H18," ")</f>
        <v>100</v>
      </c>
      <c r="AB18" s="17" t="str">
        <f aca="false">IF((E18="h"),H18," ")</f>
        <v> </v>
      </c>
      <c r="AC18" s="30" t="str">
        <f aca="false">IF((E18="v"),H18," ")</f>
        <v> </v>
      </c>
      <c r="AD18" s="30" t="str">
        <f aca="false">IF((E18="n"),H18," ")</f>
        <v> </v>
      </c>
      <c r="AE18" s="17" t="str">
        <f aca="false">IF((E18="f"),H18," ")</f>
        <v> </v>
      </c>
      <c r="AF18" s="17" t="str">
        <f aca="false">IF((E18="l"),H18," ")</f>
        <v> </v>
      </c>
      <c r="AG18" s="17" t="str">
        <f aca="false">IF((E18="y"),H18," ")</f>
        <v> </v>
      </c>
      <c r="AH18" s="17" t="str">
        <f aca="false">IF((E18="z"),H18," ")</f>
        <v> </v>
      </c>
      <c r="AI18" s="17" t="str">
        <f aca="false">IF((E18="fa"),H18," ")</f>
        <v> </v>
      </c>
      <c r="AJ18" s="17" t="str">
        <f aca="false">IF((E18="e"),H18," ")</f>
        <v> </v>
      </c>
      <c r="BZ18" s="2" t="s">
        <v>81</v>
      </c>
    </row>
    <row r="19" customFormat="false" ht="12" hidden="false" customHeight="false" outlineLevel="0" collapsed="false">
      <c r="A19" s="28" t="n">
        <v>46580</v>
      </c>
      <c r="B19" s="2" t="s">
        <v>124</v>
      </c>
      <c r="D19" s="2" t="s">
        <v>125</v>
      </c>
      <c r="E19" s="2" t="s">
        <v>106</v>
      </c>
      <c r="F19" s="30" t="n">
        <v>18</v>
      </c>
      <c r="G19" s="6" t="n">
        <f aca="false">IF(F19&lt;&gt;0,F19*G$2/(100+G$2)," ")</f>
        <v>3</v>
      </c>
      <c r="H19" s="6" t="n">
        <f aca="false">IF((F19&lt;&gt;0),F19-G19," ")</f>
        <v>15</v>
      </c>
      <c r="I19" s="5"/>
      <c r="L19" s="7" t="n">
        <f aca="false">IF(F19&lt;&gt;0,F19-K19," ")</f>
        <v>18</v>
      </c>
      <c r="M19" s="8" t="n">
        <f aca="false">IF((F19-K19)&lt;&gt;0,M$1-A19," ")</f>
        <v>-302</v>
      </c>
      <c r="N19" s="5"/>
      <c r="O19" s="17" t="str">
        <f aca="false">IF((E19="s"),H19," ")</f>
        <v> </v>
      </c>
      <c r="P19" s="17" t="str">
        <f aca="false">IF((E19="c"),H19," ")</f>
        <v> </v>
      </c>
      <c r="Q19" s="17" t="str">
        <f aca="false">IF((E19="o"),H19," ")</f>
        <v> </v>
      </c>
      <c r="R19" s="17" t="str">
        <f aca="false">IF((E19="d"),H19," ")</f>
        <v> </v>
      </c>
      <c r="S19" s="17" t="str">
        <f aca="false">IF((E19="w"),H19," ")</f>
        <v> </v>
      </c>
      <c r="T19" s="17" t="str">
        <f aca="false">IF((E19="r"),H19," ")</f>
        <v> </v>
      </c>
      <c r="U19" s="17" t="str">
        <f aca="false">IF((E19="p"),H19," ")</f>
        <v> </v>
      </c>
      <c r="V19" s="17" t="str">
        <f aca="false">IF((E19="t"),H19," ")</f>
        <v> </v>
      </c>
      <c r="W19" s="17" t="str">
        <f aca="false">IF((E19="q"),H19," ")</f>
        <v> </v>
      </c>
      <c r="X19" s="17" t="str">
        <f aca="false">IF((E19="m"),H19," ")</f>
        <v> </v>
      </c>
      <c r="Y19" s="17" t="str">
        <f aca="false">IF((E19="u"),H19," ")</f>
        <v> </v>
      </c>
      <c r="Z19" s="17" t="str">
        <f aca="false">IF((E19="a"),H19," ")</f>
        <v> </v>
      </c>
      <c r="AA19" s="17" t="str">
        <f aca="false">IF((E19="g"),H19," ")</f>
        <v> </v>
      </c>
      <c r="AB19" s="17" t="str">
        <f aca="false">IF((E19="h"),H19," ")</f>
        <v> </v>
      </c>
      <c r="AC19" s="30" t="n">
        <f aca="false">IF((E19="v"),H19," ")</f>
        <v>15</v>
      </c>
      <c r="AD19" s="30" t="str">
        <f aca="false">IF((E19="n"),H19," ")</f>
        <v> </v>
      </c>
      <c r="AE19" s="17" t="str">
        <f aca="false">IF((E19="f"),H19," ")</f>
        <v> </v>
      </c>
      <c r="AF19" s="17" t="str">
        <f aca="false">IF((E19="l"),H19," ")</f>
        <v> </v>
      </c>
      <c r="AG19" s="17" t="str">
        <f aca="false">IF((E19="y"),H19," ")</f>
        <v> </v>
      </c>
      <c r="AH19" s="17" t="str">
        <f aca="false">IF((E19="z"),H19," ")</f>
        <v> </v>
      </c>
      <c r="AI19" s="17" t="str">
        <f aca="false">IF((E19="fa"),H19," ")</f>
        <v> </v>
      </c>
      <c r="AJ19" s="17" t="str">
        <f aca="false">IF((E19="e"),H19," ")</f>
        <v> </v>
      </c>
      <c r="BZ19" s="2" t="s">
        <v>107</v>
      </c>
    </row>
    <row r="20" customFormat="false" ht="12" hidden="false" customHeight="false" outlineLevel="0" collapsed="false">
      <c r="A20" s="28" t="n">
        <v>46582</v>
      </c>
      <c r="B20" s="2" t="s">
        <v>126</v>
      </c>
      <c r="D20" s="2" t="s">
        <v>127</v>
      </c>
      <c r="E20" s="2" t="s">
        <v>100</v>
      </c>
      <c r="F20" s="30" t="n">
        <v>24</v>
      </c>
      <c r="G20" s="6" t="n">
        <f aca="false">IF(F20&lt;&gt;0,F20*G$2/(100+G$2)," ")</f>
        <v>4</v>
      </c>
      <c r="H20" s="6" t="n">
        <f aca="false">IF((F20&lt;&gt;0),F20-G20," ")</f>
        <v>20</v>
      </c>
      <c r="I20" s="5"/>
      <c r="L20" s="7" t="n">
        <f aca="false">IF(F20&lt;&gt;0,F20-K20," ")</f>
        <v>24</v>
      </c>
      <c r="M20" s="8" t="n">
        <f aca="false">IF((F20-K20)&lt;&gt;0,M$1-A20," ")</f>
        <v>-304</v>
      </c>
      <c r="N20" s="5"/>
      <c r="O20" s="17" t="str">
        <f aca="false">IF((E20="s"),H20," ")</f>
        <v> </v>
      </c>
      <c r="P20" s="17" t="str">
        <f aca="false">IF((E20="c"),H20," ")</f>
        <v> </v>
      </c>
      <c r="Q20" s="17" t="str">
        <f aca="false">IF((E20="o"),H20," ")</f>
        <v> </v>
      </c>
      <c r="R20" s="17" t="str">
        <f aca="false">IF((E20="d"),H20," ")</f>
        <v> </v>
      </c>
      <c r="S20" s="17" t="str">
        <f aca="false">IF((E20="w"),H20," ")</f>
        <v> </v>
      </c>
      <c r="T20" s="17" t="str">
        <f aca="false">IF((E20="r"),H20," ")</f>
        <v> </v>
      </c>
      <c r="U20" s="17" t="str">
        <f aca="false">IF((E20="p"),H20," ")</f>
        <v> </v>
      </c>
      <c r="V20" s="17" t="str">
        <f aca="false">IF((E20="t"),H20," ")</f>
        <v> </v>
      </c>
      <c r="W20" s="17" t="str">
        <f aca="false">IF((E20="q"),H20," ")</f>
        <v> </v>
      </c>
      <c r="X20" s="17" t="str">
        <f aca="false">IF((E20="m"),H20," ")</f>
        <v> </v>
      </c>
      <c r="Y20" s="17" t="n">
        <f aca="false">IF((E20="u"),H20," ")</f>
        <v>20</v>
      </c>
      <c r="Z20" s="17" t="str">
        <f aca="false">IF((E20="a"),H20," ")</f>
        <v> </v>
      </c>
      <c r="AA20" s="17" t="str">
        <f aca="false">IF((E20="g"),H20," ")</f>
        <v> </v>
      </c>
      <c r="AB20" s="17" t="str">
        <f aca="false">IF((E20="h"),H20," ")</f>
        <v> </v>
      </c>
      <c r="AC20" s="30" t="str">
        <f aca="false">IF((E20="v"),H20," ")</f>
        <v> </v>
      </c>
      <c r="AD20" s="30" t="str">
        <f aca="false">IF((E20="n"),H20," ")</f>
        <v> </v>
      </c>
      <c r="AE20" s="17" t="str">
        <f aca="false">IF((E20="f"),H20," ")</f>
        <v> </v>
      </c>
      <c r="AF20" s="17" t="str">
        <f aca="false">IF((E20="l"),H20," ")</f>
        <v> </v>
      </c>
      <c r="AG20" s="17" t="str">
        <f aca="false">IF((E20="y"),H20," ")</f>
        <v> </v>
      </c>
      <c r="AH20" s="17" t="str">
        <f aca="false">IF((E20="z"),H20," ")</f>
        <v> </v>
      </c>
      <c r="AI20" s="17" t="str">
        <f aca="false">IF((E20="fa"),H20," ")</f>
        <v> </v>
      </c>
      <c r="AJ20" s="17" t="str">
        <f aca="false">IF((E20="e"),H20," ")</f>
        <v> </v>
      </c>
      <c r="BZ20" s="2" t="s">
        <v>101</v>
      </c>
    </row>
    <row r="21" customFormat="false" ht="12" hidden="false" customHeight="false" outlineLevel="0" collapsed="false">
      <c r="A21" s="28" t="n">
        <v>46582</v>
      </c>
      <c r="B21" s="2" t="s">
        <v>128</v>
      </c>
      <c r="D21" s="2" t="s">
        <v>129</v>
      </c>
      <c r="E21" s="2" t="s">
        <v>112</v>
      </c>
      <c r="F21" s="30" t="n">
        <v>24</v>
      </c>
      <c r="G21" s="6" t="n">
        <f aca="false">IF(F21&lt;&gt;0,F21*G$2/(100+G$2)," ")</f>
        <v>4</v>
      </c>
      <c r="H21" s="6" t="n">
        <f aca="false">IF((F21&lt;&gt;0),F21-G21," ")</f>
        <v>20</v>
      </c>
      <c r="I21" s="5"/>
      <c r="L21" s="7" t="n">
        <f aca="false">IF(F21&lt;&gt;0,F21-K21," ")</f>
        <v>24</v>
      </c>
      <c r="M21" s="8" t="n">
        <f aca="false">IF((F21-K21)&lt;&gt;0,M$1-A21," ")</f>
        <v>-304</v>
      </c>
      <c r="N21" s="5"/>
      <c r="O21" s="17" t="str">
        <f aca="false">IF((E21="s"),H21," ")</f>
        <v> </v>
      </c>
      <c r="P21" s="17" t="str">
        <f aca="false">IF((E21="c"),H21," ")</f>
        <v> </v>
      </c>
      <c r="Q21" s="17" t="str">
        <f aca="false">IF((E21="o"),H21," ")</f>
        <v> </v>
      </c>
      <c r="R21" s="17" t="str">
        <f aca="false">IF((E21="d"),H21," ")</f>
        <v> </v>
      </c>
      <c r="S21" s="17" t="str">
        <f aca="false">IF((E21="w"),H21," ")</f>
        <v> </v>
      </c>
      <c r="T21" s="17" t="str">
        <f aca="false">IF((E21="r"),H21," ")</f>
        <v> </v>
      </c>
      <c r="U21" s="17" t="str">
        <f aca="false">IF((E21="p"),H21," ")</f>
        <v> </v>
      </c>
      <c r="V21" s="17" t="str">
        <f aca="false">IF((E21="t"),H21," ")</f>
        <v> </v>
      </c>
      <c r="W21" s="17" t="str">
        <f aca="false">IF((E21="q"),H21," ")</f>
        <v> </v>
      </c>
      <c r="X21" s="17" t="str">
        <f aca="false">IF((E21="m"),H21," ")</f>
        <v> </v>
      </c>
      <c r="Y21" s="17" t="str">
        <f aca="false">IF((E21="u"),H21," ")</f>
        <v> </v>
      </c>
      <c r="Z21" s="17" t="str">
        <f aca="false">IF((E21="a"),H21," ")</f>
        <v> </v>
      </c>
      <c r="AA21" s="17" t="str">
        <f aca="false">IF((E21="g"),H21," ")</f>
        <v> </v>
      </c>
      <c r="AB21" s="17" t="n">
        <f aca="false">IF((E21="h"),H21," ")</f>
        <v>20</v>
      </c>
      <c r="AC21" s="30" t="str">
        <f aca="false">IF((E21="v"),H21," ")</f>
        <v> </v>
      </c>
      <c r="AD21" s="30" t="str">
        <f aca="false">IF((E21="n"),H21," ")</f>
        <v> </v>
      </c>
      <c r="AE21" s="17" t="str">
        <f aca="false">IF((E21="f"),H21," ")</f>
        <v> </v>
      </c>
      <c r="AF21" s="17" t="str">
        <f aca="false">IF((E21="l"),H21," ")</f>
        <v> </v>
      </c>
      <c r="AG21" s="17" t="str">
        <f aca="false">IF((E21="y"),H21," ")</f>
        <v> </v>
      </c>
      <c r="AH21" s="17" t="str">
        <f aca="false">IF((E21="z"),H21," ")</f>
        <v> </v>
      </c>
      <c r="AI21" s="17" t="str">
        <f aca="false">IF((E21="fa"),H21," ")</f>
        <v> </v>
      </c>
      <c r="AJ21" s="17" t="str">
        <f aca="false">IF((E21="e"),H21," ")</f>
        <v> </v>
      </c>
      <c r="BZ21" s="2" t="s">
        <v>113</v>
      </c>
    </row>
    <row r="22" customFormat="false" ht="12" hidden="false" customHeight="false" outlineLevel="0" collapsed="false">
      <c r="A22" s="28" t="n">
        <v>46582</v>
      </c>
      <c r="B22" s="2" t="s">
        <v>130</v>
      </c>
      <c r="D22" s="2" t="s">
        <v>131</v>
      </c>
      <c r="E22" s="2" t="s">
        <v>112</v>
      </c>
      <c r="F22" s="30" t="n">
        <v>12</v>
      </c>
      <c r="G22" s="6" t="n">
        <f aca="false">IF(F22&lt;&gt;0,F22*G$2/(100+G$2)," ")</f>
        <v>2</v>
      </c>
      <c r="H22" s="6" t="n">
        <f aca="false">IF((F22&lt;&gt;0),F22-G22," ")</f>
        <v>10</v>
      </c>
      <c r="I22" s="5"/>
      <c r="L22" s="7" t="n">
        <f aca="false">IF(F22&lt;&gt;0,F22-K22," ")</f>
        <v>12</v>
      </c>
      <c r="M22" s="8" t="n">
        <f aca="false">IF((F22-K22)&lt;&gt;0,M$1-A22," ")</f>
        <v>-304</v>
      </c>
      <c r="N22" s="5"/>
      <c r="O22" s="17" t="str">
        <f aca="false">IF((E22="s"),H22," ")</f>
        <v> </v>
      </c>
      <c r="P22" s="17" t="str">
        <f aca="false">IF((E22="c"),H22," ")</f>
        <v> </v>
      </c>
      <c r="Q22" s="17" t="str">
        <f aca="false">IF((E22="o"),H22," ")</f>
        <v> </v>
      </c>
      <c r="R22" s="17" t="str">
        <f aca="false">IF((E22="d"),H22," ")</f>
        <v> </v>
      </c>
      <c r="S22" s="17" t="str">
        <f aca="false">IF((E22="w"),H22," ")</f>
        <v> </v>
      </c>
      <c r="T22" s="17" t="str">
        <f aca="false">IF((E22="r"),H22," ")</f>
        <v> </v>
      </c>
      <c r="U22" s="17" t="str">
        <f aca="false">IF((E22="p"),H22," ")</f>
        <v> </v>
      </c>
      <c r="V22" s="17" t="str">
        <f aca="false">IF((E22="t"),H22," ")</f>
        <v> </v>
      </c>
      <c r="W22" s="17" t="str">
        <f aca="false">IF((E22="q"),H22," ")</f>
        <v> </v>
      </c>
      <c r="X22" s="17" t="str">
        <f aca="false">IF((E22="m"),H22," ")</f>
        <v> </v>
      </c>
      <c r="Y22" s="17" t="str">
        <f aca="false">IF((E22="u"),H22," ")</f>
        <v> </v>
      </c>
      <c r="Z22" s="17" t="str">
        <f aca="false">IF((E22="a"),H22," ")</f>
        <v> </v>
      </c>
      <c r="AA22" s="17" t="str">
        <f aca="false">IF((E22="g"),H22," ")</f>
        <v> </v>
      </c>
      <c r="AB22" s="17" t="n">
        <f aca="false">IF((E22="h"),H22," ")</f>
        <v>10</v>
      </c>
      <c r="AC22" s="30" t="str">
        <f aca="false">IF((E22="v"),H22," ")</f>
        <v> </v>
      </c>
      <c r="AD22" s="30" t="str">
        <f aca="false">IF((E22="n"),H22," ")</f>
        <v> </v>
      </c>
      <c r="AE22" s="17" t="str">
        <f aca="false">IF((E22="f"),H22," ")</f>
        <v> </v>
      </c>
      <c r="AF22" s="17" t="str">
        <f aca="false">IF((E22="l"),H22," ")</f>
        <v> </v>
      </c>
      <c r="AG22" s="17" t="str">
        <f aca="false">IF((E22="y"),H22," ")</f>
        <v> </v>
      </c>
      <c r="AH22" s="17" t="str">
        <f aca="false">IF((E22="z"),H22," ")</f>
        <v> </v>
      </c>
      <c r="AI22" s="17" t="str">
        <f aca="false">IF((E22="fa"),H22," ")</f>
        <v> </v>
      </c>
      <c r="AJ22" s="17" t="str">
        <f aca="false">IF((E22="e"),H22," ")</f>
        <v> </v>
      </c>
      <c r="BZ22" s="2" t="s">
        <v>113</v>
      </c>
    </row>
    <row r="23" customFormat="false" ht="12" hidden="false" customHeight="false" outlineLevel="0" collapsed="false">
      <c r="A23" s="28" t="n">
        <v>46583</v>
      </c>
      <c r="B23" s="2" t="s">
        <v>20</v>
      </c>
      <c r="D23" s="2" t="s">
        <v>105</v>
      </c>
      <c r="E23" s="2" t="s">
        <v>106</v>
      </c>
      <c r="F23" s="30" t="n">
        <v>150</v>
      </c>
      <c r="G23" s="6" t="n">
        <f aca="false">IF(F23&lt;&gt;0,F23*G$2/(100+G$2)," ")</f>
        <v>25</v>
      </c>
      <c r="H23" s="6" t="n">
        <f aca="false">IF((F23&lt;&gt;0),F23-G23," ")</f>
        <v>125</v>
      </c>
      <c r="I23" s="5"/>
      <c r="L23" s="7" t="n">
        <f aca="false">IF(F23&lt;&gt;0,F23-K23," ")</f>
        <v>150</v>
      </c>
      <c r="M23" s="8" t="n">
        <f aca="false">IF((F23-K23)&lt;&gt;0,M$1-A23," ")</f>
        <v>-305</v>
      </c>
      <c r="N23" s="5"/>
      <c r="O23" s="17" t="str">
        <f aca="false">IF((E23="s"),H23," ")</f>
        <v> </v>
      </c>
      <c r="P23" s="17" t="str">
        <f aca="false">IF((E23="c"),H23," ")</f>
        <v> </v>
      </c>
      <c r="Q23" s="17" t="str">
        <f aca="false">IF((E23="o"),H23," ")</f>
        <v> </v>
      </c>
      <c r="R23" s="17" t="str">
        <f aca="false">IF((E23="d"),H23," ")</f>
        <v> </v>
      </c>
      <c r="S23" s="17" t="str">
        <f aca="false">IF((E23="w"),H23," ")</f>
        <v> </v>
      </c>
      <c r="T23" s="17" t="str">
        <f aca="false">IF((E23="r"),H23," ")</f>
        <v> </v>
      </c>
      <c r="U23" s="17" t="str">
        <f aca="false">IF((E23="p"),H23," ")</f>
        <v> </v>
      </c>
      <c r="V23" s="17" t="str">
        <f aca="false">IF((E23="t"),H23," ")</f>
        <v> </v>
      </c>
      <c r="W23" s="17" t="str">
        <f aca="false">IF((E23="q"),H23," ")</f>
        <v> </v>
      </c>
      <c r="X23" s="17" t="str">
        <f aca="false">IF((E23="m"),H23," ")</f>
        <v> </v>
      </c>
      <c r="Y23" s="17" t="str">
        <f aca="false">IF((E23="u"),H23," ")</f>
        <v> </v>
      </c>
      <c r="Z23" s="17" t="str">
        <f aca="false">IF((E23="a"),H23," ")</f>
        <v> </v>
      </c>
      <c r="AA23" s="17" t="str">
        <f aca="false">IF((E23="g"),H23," ")</f>
        <v> </v>
      </c>
      <c r="AB23" s="17" t="str">
        <f aca="false">IF((E23="h"),H23," ")</f>
        <v> </v>
      </c>
      <c r="AC23" s="30" t="n">
        <f aca="false">IF((E23="v"),H23," ")</f>
        <v>125</v>
      </c>
      <c r="AD23" s="30" t="str">
        <f aca="false">IF((E23="n"),H23," ")</f>
        <v> </v>
      </c>
      <c r="AE23" s="17" t="str">
        <f aca="false">IF((E23="f"),H23," ")</f>
        <v> </v>
      </c>
      <c r="AF23" s="17" t="str">
        <f aca="false">IF((E23="l"),H23," ")</f>
        <v> </v>
      </c>
      <c r="AG23" s="17" t="str">
        <f aca="false">IF((E23="y"),H23," ")</f>
        <v> </v>
      </c>
      <c r="AH23" s="17" t="str">
        <f aca="false">IF((E23="z"),H23," ")</f>
        <v> </v>
      </c>
      <c r="AI23" s="17" t="str">
        <f aca="false">IF((E23="fa"),H23," ")</f>
        <v> </v>
      </c>
      <c r="AJ23" s="17" t="str">
        <f aca="false">IF((E23="e"),H23," ")</f>
        <v> </v>
      </c>
      <c r="BZ23" s="2" t="s">
        <v>107</v>
      </c>
    </row>
    <row r="24" customFormat="false" ht="12" hidden="false" customHeight="false" outlineLevel="0" collapsed="false">
      <c r="A24" s="28" t="n">
        <v>46583</v>
      </c>
      <c r="B24" s="2" t="s">
        <v>132</v>
      </c>
      <c r="D24" s="2" t="s">
        <v>133</v>
      </c>
      <c r="E24" s="2" t="s">
        <v>80</v>
      </c>
      <c r="F24" s="30" t="n">
        <v>12</v>
      </c>
      <c r="G24" s="6" t="n">
        <f aca="false">IF(F24&lt;&gt;0,F24*G$2/(100+G$2)," ")</f>
        <v>2</v>
      </c>
      <c r="H24" s="6" t="n">
        <f aca="false">IF((F24&lt;&gt;0),F24-G24," ")</f>
        <v>10</v>
      </c>
      <c r="I24" s="5"/>
      <c r="L24" s="7" t="n">
        <f aca="false">IF(F24&lt;&gt;0,F24-K24," ")</f>
        <v>12</v>
      </c>
      <c r="M24" s="8" t="n">
        <f aca="false">IF((F24-K24)&lt;&gt;0,M$1-A24," ")</f>
        <v>-305</v>
      </c>
      <c r="N24" s="5"/>
      <c r="O24" s="17" t="str">
        <f aca="false">IF((E24="s"),H24," ")</f>
        <v> </v>
      </c>
      <c r="P24" s="17" t="str">
        <f aca="false">IF((E24="c"),H24," ")</f>
        <v> </v>
      </c>
      <c r="Q24" s="17" t="str">
        <f aca="false">IF((E24="o"),H24," ")</f>
        <v> </v>
      </c>
      <c r="R24" s="17" t="str">
        <f aca="false">IF((E24="d"),H24," ")</f>
        <v> </v>
      </c>
      <c r="S24" s="17" t="str">
        <f aca="false">IF((E24="w"),H24," ")</f>
        <v> </v>
      </c>
      <c r="T24" s="17" t="str">
        <f aca="false">IF((E24="r"),H24," ")</f>
        <v> </v>
      </c>
      <c r="U24" s="17" t="str">
        <f aca="false">IF((E24="p"),H24," ")</f>
        <v> </v>
      </c>
      <c r="V24" s="17" t="str">
        <f aca="false">IF((E24="t"),H24," ")</f>
        <v> </v>
      </c>
      <c r="W24" s="17" t="str">
        <f aca="false">IF((E24="q"),H24," ")</f>
        <v> </v>
      </c>
      <c r="X24" s="17" t="str">
        <f aca="false">IF((E24="m"),H24," ")</f>
        <v> </v>
      </c>
      <c r="Y24" s="17" t="str">
        <f aca="false">IF((E24="u"),H24," ")</f>
        <v> </v>
      </c>
      <c r="Z24" s="17" t="str">
        <f aca="false">IF((E24="a"),H24," ")</f>
        <v> </v>
      </c>
      <c r="AA24" s="17" t="n">
        <f aca="false">IF((E24="g"),H24," ")</f>
        <v>10</v>
      </c>
      <c r="AB24" s="17" t="str">
        <f aca="false">IF((E24="h"),H24," ")</f>
        <v> </v>
      </c>
      <c r="AC24" s="30" t="str">
        <f aca="false">IF((E24="v"),H24," ")</f>
        <v> </v>
      </c>
      <c r="AD24" s="30" t="str">
        <f aca="false">IF((E24="n"),H24," ")</f>
        <v> </v>
      </c>
      <c r="AE24" s="17" t="str">
        <f aca="false">IF((E24="f"),H24," ")</f>
        <v> </v>
      </c>
      <c r="AF24" s="17" t="str">
        <f aca="false">IF((E24="l"),H24," ")</f>
        <v> </v>
      </c>
      <c r="AG24" s="17" t="str">
        <f aca="false">IF((E24="y"),H24," ")</f>
        <v> </v>
      </c>
      <c r="AH24" s="17" t="str">
        <f aca="false">IF((E24="z"),H24," ")</f>
        <v> </v>
      </c>
      <c r="AI24" s="17" t="str">
        <f aca="false">IF((E24="fa"),H24," ")</f>
        <v> </v>
      </c>
      <c r="AJ24" s="17" t="str">
        <f aca="false">IF((E24="e"),H24," ")</f>
        <v> </v>
      </c>
      <c r="BZ24" s="2" t="s">
        <v>81</v>
      </c>
    </row>
    <row r="25" customFormat="false" ht="12" hidden="false" customHeight="false" outlineLevel="0" collapsed="false">
      <c r="A25" s="28" t="n">
        <v>46583</v>
      </c>
      <c r="B25" s="2" t="s">
        <v>247</v>
      </c>
      <c r="D25" s="2" t="s">
        <v>248</v>
      </c>
      <c r="E25" s="2" t="s">
        <v>249</v>
      </c>
      <c r="F25" s="30" t="n">
        <v>500</v>
      </c>
      <c r="G25" s="6" t="n">
        <f aca="false">IF(F25&lt;&gt;0,F25*G$2/(100+G$2)," ")</f>
        <v>83.3333333333333</v>
      </c>
      <c r="H25" s="6" t="n">
        <f aca="false">IF((F25&lt;&gt;0),F25-G25," ")</f>
        <v>416.666666666667</v>
      </c>
      <c r="I25" s="5"/>
      <c r="L25" s="7" t="n">
        <f aca="false">IF(F25&lt;&gt;0,F25-K25," ")</f>
        <v>500</v>
      </c>
      <c r="M25" s="8" t="n">
        <f aca="false">IF((F25-K25)&lt;&gt;0,M$1-A25," ")</f>
        <v>-305</v>
      </c>
      <c r="N25" s="5"/>
      <c r="O25" s="17" t="str">
        <f aca="false">IF((E25="s"),H25," ")</f>
        <v> </v>
      </c>
      <c r="P25" s="17" t="str">
        <f aca="false">IF((E25="c"),H25," ")</f>
        <v> </v>
      </c>
      <c r="Q25" s="17" t="str">
        <f aca="false">IF((E25="o"),H25," ")</f>
        <v> </v>
      </c>
      <c r="R25" s="17" t="str">
        <f aca="false">IF((E25="d"),H25," ")</f>
        <v> </v>
      </c>
      <c r="S25" s="17" t="str">
        <f aca="false">IF((E25="w"),H25," ")</f>
        <v> </v>
      </c>
      <c r="T25" s="17" t="str">
        <f aca="false">IF((E25="r"),H25," ")</f>
        <v> </v>
      </c>
      <c r="U25" s="17" t="str">
        <f aca="false">IF((E25="p"),H25," ")</f>
        <v> </v>
      </c>
      <c r="V25" s="17" t="str">
        <f aca="false">IF((E25="t"),H25," ")</f>
        <v> </v>
      </c>
      <c r="W25" s="17" t="str">
        <f aca="false">IF((E25="q"),H25," ")</f>
        <v> </v>
      </c>
      <c r="X25" s="17" t="str">
        <f aca="false">IF((E25="m"),H25," ")</f>
        <v> </v>
      </c>
      <c r="Y25" s="17" t="str">
        <f aca="false">IF((E25="u"),H25," ")</f>
        <v> </v>
      </c>
      <c r="Z25" s="17" t="str">
        <f aca="false">IF((E25="a"),H25," ")</f>
        <v> </v>
      </c>
      <c r="AA25" s="17" t="str">
        <f aca="false">IF((E25="g"),H25," ")</f>
        <v> </v>
      </c>
      <c r="AB25" s="17" t="str">
        <f aca="false">IF((E25="h"),H25," ")</f>
        <v> </v>
      </c>
      <c r="AC25" s="30" t="str">
        <f aca="false">IF((E25="v"),H25," ")</f>
        <v> </v>
      </c>
      <c r="AD25" s="30" t="str">
        <f aca="false">IF((E25="n"),H25," ")</f>
        <v> </v>
      </c>
      <c r="AE25" s="17" t="str">
        <f aca="false">IF((E25="f"),H25," ")</f>
        <v> </v>
      </c>
      <c r="AF25" s="17" t="str">
        <f aca="false">IF((E25="l"),H25," ")</f>
        <v> </v>
      </c>
      <c r="AG25" s="17" t="n">
        <f aca="false">IF((E25="y"),H25," ")</f>
        <v>416.666666666667</v>
      </c>
      <c r="AH25" s="17" t="str">
        <f aca="false">IF((E25="z"),H25," ")</f>
        <v> </v>
      </c>
      <c r="AI25" s="17" t="str">
        <f aca="false">IF((E25="fa"),H25," ")</f>
        <v> </v>
      </c>
      <c r="AJ25" s="17" t="str">
        <f aca="false">IF((E25="e"),H25," ")</f>
        <v> </v>
      </c>
      <c r="BZ25" s="2" t="s">
        <v>250</v>
      </c>
    </row>
    <row r="26" customFormat="false" ht="12" hidden="false" customHeight="false" outlineLevel="0" collapsed="false">
      <c r="A26" s="28" t="n">
        <v>46586</v>
      </c>
      <c r="B26" s="2" t="s">
        <v>190</v>
      </c>
      <c r="D26" s="2" t="s">
        <v>191</v>
      </c>
      <c r="E26" s="2" t="s">
        <v>122</v>
      </c>
      <c r="F26" s="30" t="n">
        <v>480</v>
      </c>
      <c r="G26" s="6" t="n">
        <f aca="false">IF(F26&lt;&gt;0,F26*G$2/(100+G$2)," ")</f>
        <v>80</v>
      </c>
      <c r="H26" s="6" t="n">
        <f aca="false">IF((F26&lt;&gt;0),F26-G26," ")</f>
        <v>400</v>
      </c>
      <c r="I26" s="5"/>
      <c r="L26" s="7" t="n">
        <f aca="false">IF(F26&lt;&gt;0,F26-K26," ")</f>
        <v>480</v>
      </c>
      <c r="M26" s="8" t="n">
        <f aca="false">IF((F26-K26)&lt;&gt;0,M$1-A26," ")</f>
        <v>-308</v>
      </c>
      <c r="N26" s="5"/>
      <c r="O26" s="17" t="n">
        <f aca="false">IF((E26="s"),H26," ")</f>
        <v>400</v>
      </c>
      <c r="P26" s="17" t="str">
        <f aca="false">IF((E26="c"),H26," ")</f>
        <v> </v>
      </c>
      <c r="Q26" s="17" t="str">
        <f aca="false">IF((E26="o"),H26," ")</f>
        <v> </v>
      </c>
      <c r="R26" s="17" t="str">
        <f aca="false">IF((E26="d"),H26," ")</f>
        <v> </v>
      </c>
      <c r="S26" s="17" t="str">
        <f aca="false">IF((E26="w"),H26," ")</f>
        <v> </v>
      </c>
      <c r="T26" s="17" t="str">
        <f aca="false">IF((E26="r"),H26," ")</f>
        <v> </v>
      </c>
      <c r="U26" s="17" t="str">
        <f aca="false">IF((E26="p"),H26," ")</f>
        <v> </v>
      </c>
      <c r="V26" s="17" t="str">
        <f aca="false">IF((E26="t"),H26," ")</f>
        <v> </v>
      </c>
      <c r="W26" s="17" t="str">
        <f aca="false">IF((E26="q"),H26," ")</f>
        <v> </v>
      </c>
      <c r="X26" s="17" t="str">
        <f aca="false">IF((E26="m"),H26," ")</f>
        <v> </v>
      </c>
      <c r="Y26" s="17" t="str">
        <f aca="false">IF((E26="u"),H26," ")</f>
        <v> </v>
      </c>
      <c r="Z26" s="17" t="str">
        <f aca="false">IF((E26="a"),H26," ")</f>
        <v> </v>
      </c>
      <c r="AA26" s="17" t="str">
        <f aca="false">IF((E26="g"),H26," ")</f>
        <v> </v>
      </c>
      <c r="AB26" s="17" t="str">
        <f aca="false">IF((E26="h"),H26," ")</f>
        <v> </v>
      </c>
      <c r="AC26" s="30" t="str">
        <f aca="false">IF((E26="v"),H26," ")</f>
        <v> </v>
      </c>
      <c r="AD26" s="30" t="str">
        <f aca="false">IF((E26="n"),H26," ")</f>
        <v> </v>
      </c>
      <c r="AE26" s="17" t="str">
        <f aca="false">IF((E26="f"),H26," ")</f>
        <v> </v>
      </c>
      <c r="AF26" s="17" t="str">
        <f aca="false">IF((E26="l"),H26," ")</f>
        <v> </v>
      </c>
      <c r="AG26" s="17" t="str">
        <f aca="false">IF((E26="y"),H26," ")</f>
        <v> </v>
      </c>
      <c r="AH26" s="17" t="str">
        <f aca="false">IF((E26="z"),H26," ")</f>
        <v> </v>
      </c>
      <c r="AI26" s="17" t="str">
        <f aca="false">IF((E26="fa"),H26," ")</f>
        <v> </v>
      </c>
      <c r="AJ26" s="17" t="str">
        <f aca="false">IF((E26="e"),H26," ")</f>
        <v> </v>
      </c>
      <c r="BZ26" s="2" t="s">
        <v>123</v>
      </c>
    </row>
    <row r="27" customFormat="false" ht="12" hidden="false" customHeight="false" outlineLevel="0" collapsed="false">
      <c r="A27" s="28" t="n">
        <v>46586</v>
      </c>
      <c r="B27" s="2" t="s">
        <v>134</v>
      </c>
      <c r="D27" s="2" t="s">
        <v>105</v>
      </c>
      <c r="E27" s="2" t="s">
        <v>106</v>
      </c>
      <c r="F27" s="30" t="n">
        <v>96</v>
      </c>
      <c r="G27" s="6" t="n">
        <f aca="false">IF(F27&lt;&gt;0,F27*G$2/(100+G$2)," ")</f>
        <v>16</v>
      </c>
      <c r="H27" s="6" t="n">
        <f aca="false">IF((F27&lt;&gt;0),F27-G27," ")</f>
        <v>80</v>
      </c>
      <c r="I27" s="5"/>
      <c r="L27" s="7" t="n">
        <f aca="false">IF(F27&lt;&gt;0,F27-K27," ")</f>
        <v>96</v>
      </c>
      <c r="M27" s="8" t="n">
        <f aca="false">IF((F27-K27)&lt;&gt;0,M$1-A27," ")</f>
        <v>-308</v>
      </c>
      <c r="N27" s="5"/>
      <c r="O27" s="17" t="str">
        <f aca="false">IF((E27="s"),H27," ")</f>
        <v> </v>
      </c>
      <c r="P27" s="17" t="str">
        <f aca="false">IF((E27="c"),H27," ")</f>
        <v> </v>
      </c>
      <c r="Q27" s="17" t="str">
        <f aca="false">IF((E27="o"),H27," ")</f>
        <v> </v>
      </c>
      <c r="R27" s="17" t="str">
        <f aca="false">IF((E27="d"),H27," ")</f>
        <v> </v>
      </c>
      <c r="S27" s="17" t="str">
        <f aca="false">IF((E27="w"),H27," ")</f>
        <v> </v>
      </c>
      <c r="T27" s="17" t="str">
        <f aca="false">IF((E27="r"),H27," ")</f>
        <v> </v>
      </c>
      <c r="U27" s="17" t="str">
        <f aca="false">IF((E27="p"),H27," ")</f>
        <v> </v>
      </c>
      <c r="V27" s="17" t="str">
        <f aca="false">IF((E27="t"),H27," ")</f>
        <v> </v>
      </c>
      <c r="W27" s="17" t="str">
        <f aca="false">IF((E27="q"),H27," ")</f>
        <v> </v>
      </c>
      <c r="X27" s="17" t="str">
        <f aca="false">IF((E27="m"),H27," ")</f>
        <v> </v>
      </c>
      <c r="Y27" s="17" t="str">
        <f aca="false">IF((E27="u"),H27," ")</f>
        <v> </v>
      </c>
      <c r="Z27" s="17" t="str">
        <f aca="false">IF((E27="a"),H27," ")</f>
        <v> </v>
      </c>
      <c r="AA27" s="17" t="str">
        <f aca="false">IF((E27="g"),H27," ")</f>
        <v> </v>
      </c>
      <c r="AB27" s="17" t="str">
        <f aca="false">IF((E27="h"),H27," ")</f>
        <v> </v>
      </c>
      <c r="AC27" s="30" t="n">
        <f aca="false">IF((E27="v"),H27," ")</f>
        <v>80</v>
      </c>
      <c r="AD27" s="30" t="str">
        <f aca="false">IF((E27="n"),H27," ")</f>
        <v> </v>
      </c>
      <c r="AE27" s="17" t="str">
        <f aca="false">IF((E27="f"),H27," ")</f>
        <v> </v>
      </c>
      <c r="AF27" s="17" t="str">
        <f aca="false">IF((E27="l"),H27," ")</f>
        <v> </v>
      </c>
      <c r="AG27" s="17" t="str">
        <f aca="false">IF((E27="y"),H27," ")</f>
        <v> </v>
      </c>
      <c r="AH27" s="17" t="str">
        <f aca="false">IF((E27="z"),H27," ")</f>
        <v> </v>
      </c>
      <c r="AI27" s="17" t="str">
        <f aca="false">IF((E27="fa"),H27," ")</f>
        <v> </v>
      </c>
      <c r="AJ27" s="17" t="str">
        <f aca="false">IF((E27="e"),H27," ")</f>
        <v> </v>
      </c>
      <c r="BZ27" s="2" t="s">
        <v>107</v>
      </c>
    </row>
    <row r="28" customFormat="false" ht="12" hidden="false" customHeight="false" outlineLevel="0" collapsed="false">
      <c r="A28" s="28" t="n">
        <v>46588</v>
      </c>
      <c r="B28" s="2" t="s">
        <v>135</v>
      </c>
      <c r="D28" s="2" t="s">
        <v>136</v>
      </c>
      <c r="E28" s="2" t="s">
        <v>80</v>
      </c>
      <c r="F28" s="30" t="n">
        <v>60</v>
      </c>
      <c r="G28" s="6" t="n">
        <f aca="false">IF(F28&lt;&gt;0,F28*G$2/(100+G$2)," ")</f>
        <v>10</v>
      </c>
      <c r="H28" s="6" t="n">
        <f aca="false">IF((F28&lt;&gt;0),F28-G28," ")</f>
        <v>50</v>
      </c>
      <c r="I28" s="5"/>
      <c r="L28" s="7" t="n">
        <f aca="false">IF(F28&lt;&gt;0,F28-K28," ")</f>
        <v>60</v>
      </c>
      <c r="M28" s="8" t="n">
        <f aca="false">IF((F28-K28)&lt;&gt;0,M$1-A28," ")</f>
        <v>-310</v>
      </c>
      <c r="N28" s="5"/>
      <c r="O28" s="17" t="str">
        <f aca="false">IF((E28="s"),H28," ")</f>
        <v> </v>
      </c>
      <c r="P28" s="17" t="str">
        <f aca="false">IF((E28="c"),H28," ")</f>
        <v> </v>
      </c>
      <c r="Q28" s="17" t="str">
        <f aca="false">IF((E28="o"),H28," ")</f>
        <v> </v>
      </c>
      <c r="R28" s="17" t="str">
        <f aca="false">IF((E28="d"),H28," ")</f>
        <v> </v>
      </c>
      <c r="S28" s="17" t="str">
        <f aca="false">IF((E28="w"),H28," ")</f>
        <v> </v>
      </c>
      <c r="T28" s="17" t="str">
        <f aca="false">IF((E28="r"),H28," ")</f>
        <v> </v>
      </c>
      <c r="U28" s="17" t="str">
        <f aca="false">IF((E28="p"),H28," ")</f>
        <v> </v>
      </c>
      <c r="V28" s="17" t="str">
        <f aca="false">IF((E28="t"),H28," ")</f>
        <v> </v>
      </c>
      <c r="W28" s="17" t="str">
        <f aca="false">IF((E28="q"),H28," ")</f>
        <v> </v>
      </c>
      <c r="X28" s="17" t="str">
        <f aca="false">IF((E28="m"),H28," ")</f>
        <v> </v>
      </c>
      <c r="Y28" s="17" t="str">
        <f aca="false">IF((E28="u"),H28," ")</f>
        <v> </v>
      </c>
      <c r="Z28" s="17" t="str">
        <f aca="false">IF((E28="a"),H28," ")</f>
        <v> </v>
      </c>
      <c r="AA28" s="17" t="n">
        <f aca="false">IF((E28="g"),H28," ")</f>
        <v>50</v>
      </c>
      <c r="AB28" s="17" t="str">
        <f aca="false">IF((E28="h"),H28," ")</f>
        <v> </v>
      </c>
      <c r="AC28" s="30" t="str">
        <f aca="false">IF((E28="v"),H28," ")</f>
        <v> </v>
      </c>
      <c r="AD28" s="30" t="str">
        <f aca="false">IF((E28="n"),H28," ")</f>
        <v> </v>
      </c>
      <c r="AE28" s="17" t="str">
        <f aca="false">IF((E28="f"),H28," ")</f>
        <v> </v>
      </c>
      <c r="AF28" s="17" t="str">
        <f aca="false">IF((E28="l"),H28," ")</f>
        <v> </v>
      </c>
      <c r="AG28" s="17" t="str">
        <f aca="false">IF((E28="y"),H28," ")</f>
        <v> </v>
      </c>
      <c r="AH28" s="17" t="str">
        <f aca="false">IF((E28="z"),H28," ")</f>
        <v> </v>
      </c>
      <c r="AI28" s="17" t="str">
        <f aca="false">IF((E28="fa"),H28," ")</f>
        <v> </v>
      </c>
      <c r="AJ28" s="17" t="str">
        <f aca="false">IF((E28="e"),H28," ")</f>
        <v> </v>
      </c>
      <c r="BZ28" s="2" t="s">
        <v>81</v>
      </c>
    </row>
    <row r="29" customFormat="false" ht="12" hidden="false" customHeight="false" outlineLevel="0" collapsed="false">
      <c r="A29" s="28" t="n">
        <v>46589</v>
      </c>
      <c r="B29" s="2" t="s">
        <v>141</v>
      </c>
      <c r="D29" s="2" t="s">
        <v>142</v>
      </c>
      <c r="E29" s="2" t="s">
        <v>112</v>
      </c>
      <c r="F29" s="30" t="n">
        <v>8</v>
      </c>
      <c r="G29" s="6" t="n">
        <f aca="false">IF(F29&lt;&gt;0,F29*G$2/(100+G$2)," ")</f>
        <v>1.33333333333333</v>
      </c>
      <c r="H29" s="6" t="n">
        <f aca="false">IF((F29&lt;&gt;0),F29-G29," ")</f>
        <v>6.66666666666667</v>
      </c>
      <c r="I29" s="5"/>
      <c r="L29" s="7" t="n">
        <f aca="false">IF(F29&lt;&gt;0,F29-K29," ")</f>
        <v>8</v>
      </c>
      <c r="M29" s="8" t="n">
        <f aca="false">IF((F29-K29)&lt;&gt;0,M$1-A29," ")</f>
        <v>-311</v>
      </c>
      <c r="N29" s="5"/>
      <c r="O29" s="17" t="str">
        <f aca="false">IF((E29="s"),H29," ")</f>
        <v> </v>
      </c>
      <c r="P29" s="17" t="str">
        <f aca="false">IF((E29="c"),H29," ")</f>
        <v> </v>
      </c>
      <c r="Q29" s="17" t="str">
        <f aca="false">IF((E29="o"),H29," ")</f>
        <v> </v>
      </c>
      <c r="R29" s="17" t="str">
        <f aca="false">IF((E29="d"),H29," ")</f>
        <v> </v>
      </c>
      <c r="S29" s="17" t="str">
        <f aca="false">IF((E29="w"),H29," ")</f>
        <v> </v>
      </c>
      <c r="T29" s="17" t="str">
        <f aca="false">IF((E29="r"),H29," ")</f>
        <v> </v>
      </c>
      <c r="U29" s="17" t="str">
        <f aca="false">IF((E29="p"),H29," ")</f>
        <v> </v>
      </c>
      <c r="V29" s="17" t="str">
        <f aca="false">IF((E29="t"),H29," ")</f>
        <v> </v>
      </c>
      <c r="W29" s="17" t="str">
        <f aca="false">IF((E29="q"),H29," ")</f>
        <v> </v>
      </c>
      <c r="X29" s="17" t="str">
        <f aca="false">IF((E29="m"),H29," ")</f>
        <v> </v>
      </c>
      <c r="Y29" s="17" t="str">
        <f aca="false">IF((E29="u"),H29," ")</f>
        <v> </v>
      </c>
      <c r="Z29" s="17" t="str">
        <f aca="false">IF((E29="a"),H29," ")</f>
        <v> </v>
      </c>
      <c r="AA29" s="17" t="str">
        <f aca="false">IF((E29="g"),H29," ")</f>
        <v> </v>
      </c>
      <c r="AB29" s="17" t="n">
        <f aca="false">IF((E29="h"),H29," ")</f>
        <v>6.66666666666667</v>
      </c>
      <c r="AC29" s="30" t="str">
        <f aca="false">IF((E29="v"),H29," ")</f>
        <v> </v>
      </c>
      <c r="AD29" s="30" t="str">
        <f aca="false">IF((E29="n"),H29," ")</f>
        <v> </v>
      </c>
      <c r="AE29" s="17" t="str">
        <f aca="false">IF((E29="f"),H29," ")</f>
        <v> </v>
      </c>
      <c r="AF29" s="17" t="str">
        <f aca="false">IF((E29="l"),H29," ")</f>
        <v> </v>
      </c>
      <c r="AG29" s="17" t="str">
        <f aca="false">IF((E29="y"),H29," ")</f>
        <v> </v>
      </c>
      <c r="AH29" s="17" t="str">
        <f aca="false">IF((E29="z"),H29," ")</f>
        <v> </v>
      </c>
      <c r="AI29" s="17" t="str">
        <f aca="false">IF((E29="fa"),H29," ")</f>
        <v> </v>
      </c>
      <c r="AJ29" s="17" t="str">
        <f aca="false">IF((E29="e"),H29," ")</f>
        <v> </v>
      </c>
      <c r="BZ29" s="2" t="s">
        <v>113</v>
      </c>
    </row>
    <row r="30" customFormat="false" ht="12" hidden="false" customHeight="false" outlineLevel="0" collapsed="false">
      <c r="A30" s="28" t="n">
        <v>46590</v>
      </c>
      <c r="B30" s="2" t="s">
        <v>143</v>
      </c>
      <c r="D30" s="2" t="s">
        <v>144</v>
      </c>
      <c r="E30" s="2" t="s">
        <v>100</v>
      </c>
      <c r="F30" s="30" t="n">
        <v>18</v>
      </c>
      <c r="G30" s="6" t="n">
        <f aca="false">IF(F30&lt;&gt;0,F30*G$2/(100+G$2)," ")</f>
        <v>3</v>
      </c>
      <c r="H30" s="6" t="n">
        <f aca="false">IF((F30&lt;&gt;0),F30-G30," ")</f>
        <v>15</v>
      </c>
      <c r="I30" s="5"/>
      <c r="L30" s="7" t="n">
        <f aca="false">IF(F30&lt;&gt;0,F30-K30," ")</f>
        <v>18</v>
      </c>
      <c r="M30" s="8" t="n">
        <f aca="false">IF((F30-K30)&lt;&gt;0,M$1-A30," ")</f>
        <v>-312</v>
      </c>
      <c r="N30" s="5"/>
      <c r="O30" s="17" t="str">
        <f aca="false">IF((E30="s"),H30," ")</f>
        <v> </v>
      </c>
      <c r="P30" s="17" t="str">
        <f aca="false">IF((E30="c"),H30," ")</f>
        <v> </v>
      </c>
      <c r="Q30" s="17" t="str">
        <f aca="false">IF((E30="o"),H30," ")</f>
        <v> </v>
      </c>
      <c r="R30" s="17" t="str">
        <f aca="false">IF((E30="d"),H30," ")</f>
        <v> </v>
      </c>
      <c r="S30" s="17" t="str">
        <f aca="false">IF((E30="w"),H30," ")</f>
        <v> </v>
      </c>
      <c r="T30" s="17" t="str">
        <f aca="false">IF((E30="r"),H30," ")</f>
        <v> </v>
      </c>
      <c r="U30" s="17" t="str">
        <f aca="false">IF((E30="p"),H30," ")</f>
        <v> </v>
      </c>
      <c r="V30" s="17" t="str">
        <f aca="false">IF((E30="t"),H30," ")</f>
        <v> </v>
      </c>
      <c r="W30" s="17" t="str">
        <f aca="false">IF((E30="q"),H30," ")</f>
        <v> </v>
      </c>
      <c r="X30" s="17" t="str">
        <f aca="false">IF((E30="m"),H30," ")</f>
        <v> </v>
      </c>
      <c r="Y30" s="17" t="n">
        <f aca="false">IF((E30="u"),H30," ")</f>
        <v>15</v>
      </c>
      <c r="Z30" s="17" t="str">
        <f aca="false">IF((E30="a"),H30," ")</f>
        <v> </v>
      </c>
      <c r="AA30" s="17" t="str">
        <f aca="false">IF((E30="g"),H30," ")</f>
        <v> </v>
      </c>
      <c r="AB30" s="17" t="str">
        <f aca="false">IF((E30="h"),H30," ")</f>
        <v> </v>
      </c>
      <c r="AC30" s="30" t="str">
        <f aca="false">IF((E30="v"),H30," ")</f>
        <v> </v>
      </c>
      <c r="AD30" s="30" t="str">
        <f aca="false">IF((E30="n"),H30," ")</f>
        <v> </v>
      </c>
      <c r="AE30" s="17" t="str">
        <f aca="false">IF((E30="f"),H30," ")</f>
        <v> </v>
      </c>
      <c r="AF30" s="17" t="str">
        <f aca="false">IF((E30="l"),H30," ")</f>
        <v> </v>
      </c>
      <c r="AG30" s="17" t="str">
        <f aca="false">IF((E30="y"),H30," ")</f>
        <v> </v>
      </c>
      <c r="AH30" s="17" t="str">
        <f aca="false">IF((E30="z"),H30," ")</f>
        <v> </v>
      </c>
      <c r="AI30" s="17" t="str">
        <f aca="false">IF((E30="fa"),H30," ")</f>
        <v> </v>
      </c>
      <c r="AJ30" s="17" t="str">
        <f aca="false">IF((E30="e"),H30," ")</f>
        <v> </v>
      </c>
      <c r="BZ30" s="2" t="s">
        <v>101</v>
      </c>
    </row>
    <row r="31" customFormat="false" ht="12" hidden="false" customHeight="false" outlineLevel="0" collapsed="false">
      <c r="A31" s="28" t="n">
        <v>46593</v>
      </c>
      <c r="B31" s="2" t="s">
        <v>192</v>
      </c>
      <c r="D31" s="2" t="s">
        <v>193</v>
      </c>
      <c r="E31" s="2" t="s">
        <v>194</v>
      </c>
      <c r="F31" s="30" t="n">
        <v>420</v>
      </c>
      <c r="G31" s="6" t="n">
        <f aca="false">IF(F31&lt;&gt;0,F31*G$2/(100+G$2)," ")</f>
        <v>70</v>
      </c>
      <c r="H31" s="6" t="n">
        <f aca="false">IF((F31&lt;&gt;0),F31-G31," ")</f>
        <v>350</v>
      </c>
      <c r="I31" s="5"/>
      <c r="L31" s="7" t="n">
        <f aca="false">IF(F31&lt;&gt;0,F31-K31," ")</f>
        <v>420</v>
      </c>
      <c r="M31" s="8" t="n">
        <f aca="false">IF((F31-K31)&lt;&gt;0,M$1-A31," ")</f>
        <v>-315</v>
      </c>
      <c r="N31" s="5"/>
      <c r="O31" s="17" t="str">
        <f aca="false">IF((E31="s"),H31," ")</f>
        <v> </v>
      </c>
      <c r="P31" s="17" t="str">
        <f aca="false">IF((E31="c"),H31," ")</f>
        <v> </v>
      </c>
      <c r="Q31" s="17" t="str">
        <f aca="false">IF((E31="o"),H31," ")</f>
        <v> </v>
      </c>
      <c r="R31" s="17" t="str">
        <f aca="false">IF((E31="d"),H31," ")</f>
        <v> </v>
      </c>
      <c r="S31" s="17" t="str">
        <f aca="false">IF((E31="w"),H31," ")</f>
        <v> </v>
      </c>
      <c r="T31" s="17" t="str">
        <f aca="false">IF((E31="r"),H31," ")</f>
        <v> </v>
      </c>
      <c r="U31" s="17" t="n">
        <f aca="false">IF((E31="p"),H31," ")</f>
        <v>350</v>
      </c>
      <c r="V31" s="17" t="str">
        <f aca="false">IF((E31="t"),H31," ")</f>
        <v> </v>
      </c>
      <c r="W31" s="17" t="str">
        <f aca="false">IF((E31="q"),H31," ")</f>
        <v> </v>
      </c>
      <c r="X31" s="17" t="str">
        <f aca="false">IF((E31="m"),H31," ")</f>
        <v> </v>
      </c>
      <c r="Y31" s="17" t="str">
        <f aca="false">IF((E31="u"),H31," ")</f>
        <v> </v>
      </c>
      <c r="Z31" s="17" t="str">
        <f aca="false">IF((E31="a"),H31," ")</f>
        <v> </v>
      </c>
      <c r="AA31" s="17" t="str">
        <f aca="false">IF((E31="g"),H31," ")</f>
        <v> </v>
      </c>
      <c r="AB31" s="17" t="str">
        <f aca="false">IF((E31="h"),H31," ")</f>
        <v> </v>
      </c>
      <c r="AC31" s="30" t="str">
        <f aca="false">IF((E31="v"),H31," ")</f>
        <v> </v>
      </c>
      <c r="AD31" s="30" t="str">
        <f aca="false">IF((E31="n"),H31," ")</f>
        <v> </v>
      </c>
      <c r="AE31" s="17" t="str">
        <f aca="false">IF((E31="f"),H31," ")</f>
        <v> </v>
      </c>
      <c r="AF31" s="17" t="str">
        <f aca="false">IF((E31="l"),H31," ")</f>
        <v> </v>
      </c>
      <c r="AG31" s="17" t="str">
        <f aca="false">IF((E31="y"),H31," ")</f>
        <v> </v>
      </c>
      <c r="AH31" s="17" t="str">
        <f aca="false">IF((E31="z"),H31," ")</f>
        <v> </v>
      </c>
      <c r="AI31" s="17" t="str">
        <f aca="false">IF((E31="fa"),H31," ")</f>
        <v> </v>
      </c>
      <c r="AJ31" s="17" t="str">
        <f aca="false">IF((E31="e"),H31," ")</f>
        <v> </v>
      </c>
      <c r="BZ31" s="2" t="s">
        <v>195</v>
      </c>
    </row>
    <row r="32" customFormat="false" ht="12" hidden="false" customHeight="false" outlineLevel="0" collapsed="false">
      <c r="A32" s="28" t="n">
        <v>46593</v>
      </c>
      <c r="B32" s="2" t="s">
        <v>145</v>
      </c>
      <c r="D32" s="2" t="s">
        <v>146</v>
      </c>
      <c r="E32" s="2" t="s">
        <v>100</v>
      </c>
      <c r="F32" s="30" t="n">
        <v>15</v>
      </c>
      <c r="G32" s="6" t="n">
        <f aca="false">IF(F32&lt;&gt;0,F32*G$2/(100+G$2)," ")</f>
        <v>2.5</v>
      </c>
      <c r="H32" s="6" t="n">
        <f aca="false">IF((F32&lt;&gt;0),F32-G32," ")</f>
        <v>12.5</v>
      </c>
      <c r="I32" s="5"/>
      <c r="L32" s="7" t="n">
        <f aca="false">IF(F32&lt;&gt;0,F32-K32," ")</f>
        <v>15</v>
      </c>
      <c r="M32" s="8" t="n">
        <f aca="false">IF((F32-K32)&lt;&gt;0,M$1-A32," ")</f>
        <v>-315</v>
      </c>
      <c r="N32" s="5"/>
      <c r="O32" s="17" t="str">
        <f aca="false">IF((E32="s"),H32," ")</f>
        <v> </v>
      </c>
      <c r="P32" s="17" t="str">
        <f aca="false">IF((E32="c"),H32," ")</f>
        <v> </v>
      </c>
      <c r="Q32" s="17" t="str">
        <f aca="false">IF((E32="o"),H32," ")</f>
        <v> </v>
      </c>
      <c r="R32" s="17" t="str">
        <f aca="false">IF((E32="d"),H32," ")</f>
        <v> </v>
      </c>
      <c r="S32" s="17" t="str">
        <f aca="false">IF((E32="w"),H32," ")</f>
        <v> </v>
      </c>
      <c r="T32" s="17" t="str">
        <f aca="false">IF((E32="r"),H32," ")</f>
        <v> </v>
      </c>
      <c r="U32" s="17" t="str">
        <f aca="false">IF((E32="p"),H32," ")</f>
        <v> </v>
      </c>
      <c r="V32" s="17" t="str">
        <f aca="false">IF((E32="t"),H32," ")</f>
        <v> </v>
      </c>
      <c r="W32" s="17" t="str">
        <f aca="false">IF((E32="q"),H32," ")</f>
        <v> </v>
      </c>
      <c r="X32" s="17" t="str">
        <f aca="false">IF((E32="m"),H32," ")</f>
        <v> </v>
      </c>
      <c r="Y32" s="17" t="n">
        <f aca="false">IF((E32="u"),H32," ")</f>
        <v>12.5</v>
      </c>
      <c r="Z32" s="17" t="str">
        <f aca="false">IF((E32="a"),H32," ")</f>
        <v> </v>
      </c>
      <c r="AA32" s="17" t="str">
        <f aca="false">IF((E32="g"),H32," ")</f>
        <v> </v>
      </c>
      <c r="AB32" s="17" t="str">
        <f aca="false">IF((E32="h"),H32," ")</f>
        <v> </v>
      </c>
      <c r="AC32" s="30" t="str">
        <f aca="false">IF((E32="v"),H32," ")</f>
        <v> </v>
      </c>
      <c r="AD32" s="30" t="str">
        <f aca="false">IF((E32="n"),H32," ")</f>
        <v> </v>
      </c>
      <c r="AE32" s="17" t="str">
        <f aca="false">IF((E32="f"),H32," ")</f>
        <v> </v>
      </c>
      <c r="AF32" s="17" t="str">
        <f aca="false">IF((E32="l"),H32," ")</f>
        <v> </v>
      </c>
      <c r="AG32" s="17" t="str">
        <f aca="false">IF((E32="y"),H32," ")</f>
        <v> </v>
      </c>
      <c r="AH32" s="17" t="str">
        <f aca="false">IF((E32="z"),H32," ")</f>
        <v> </v>
      </c>
      <c r="AI32" s="17" t="str">
        <f aca="false">IF((E32="fa"),H32," ")</f>
        <v> </v>
      </c>
      <c r="AJ32" s="17" t="str">
        <f aca="false">IF((E32="e"),H32," ")</f>
        <v> </v>
      </c>
      <c r="BZ32" s="2" t="s">
        <v>101</v>
      </c>
    </row>
    <row r="33" customFormat="false" ht="12" hidden="false" customHeight="false" outlineLevel="0" collapsed="false">
      <c r="A33" s="28" t="n">
        <v>46593</v>
      </c>
      <c r="B33" s="2" t="s">
        <v>147</v>
      </c>
      <c r="D33" s="2" t="s">
        <v>251</v>
      </c>
      <c r="E33" s="2" t="s">
        <v>106</v>
      </c>
      <c r="F33" s="30" t="n">
        <v>49.5</v>
      </c>
      <c r="G33" s="6" t="n">
        <f aca="false">IF(F33&lt;&gt;0,F33*G$2/(100+G$2)," ")</f>
        <v>8.25</v>
      </c>
      <c r="H33" s="6" t="n">
        <f aca="false">IF((F33&lt;&gt;0),F33-G33," ")</f>
        <v>41.25</v>
      </c>
      <c r="I33" s="5"/>
      <c r="L33" s="7" t="n">
        <f aca="false">IF(F33&lt;&gt;0,F33-K33," ")</f>
        <v>49.5</v>
      </c>
      <c r="M33" s="8" t="n">
        <f aca="false">IF((F33-K33)&lt;&gt;0,M$1-A33," ")</f>
        <v>-315</v>
      </c>
      <c r="N33" s="5"/>
      <c r="O33" s="17" t="str">
        <f aca="false">IF((E33="s"),H33," ")</f>
        <v> </v>
      </c>
      <c r="P33" s="17" t="str">
        <f aca="false">IF((E33="c"),H33," ")</f>
        <v> </v>
      </c>
      <c r="Q33" s="17" t="str">
        <f aca="false">IF((E33="o"),H33," ")</f>
        <v> </v>
      </c>
      <c r="R33" s="17" t="str">
        <f aca="false">IF((E33="d"),H33," ")</f>
        <v> </v>
      </c>
      <c r="S33" s="17" t="str">
        <f aca="false">IF((E33="w"),H33," ")</f>
        <v> </v>
      </c>
      <c r="T33" s="17" t="str">
        <f aca="false">IF((E33="r"),H33," ")</f>
        <v> </v>
      </c>
      <c r="U33" s="17" t="str">
        <f aca="false">IF((E33="p"),H33," ")</f>
        <v> </v>
      </c>
      <c r="V33" s="17" t="str">
        <f aca="false">IF((E33="t"),H33," ")</f>
        <v> </v>
      </c>
      <c r="W33" s="17" t="str">
        <f aca="false">IF((E33="q"),H33," ")</f>
        <v> </v>
      </c>
      <c r="X33" s="17" t="str">
        <f aca="false">IF((E33="m"),H33," ")</f>
        <v> </v>
      </c>
      <c r="Y33" s="17" t="str">
        <f aca="false">IF((E33="u"),H33," ")</f>
        <v> </v>
      </c>
      <c r="Z33" s="17" t="str">
        <f aca="false">IF((E33="a"),H33," ")</f>
        <v> </v>
      </c>
      <c r="AA33" s="17" t="str">
        <f aca="false">IF((E33="g"),H33," ")</f>
        <v> </v>
      </c>
      <c r="AB33" s="17" t="str">
        <f aca="false">IF((E33="h"),H33," ")</f>
        <v> </v>
      </c>
      <c r="AC33" s="30" t="n">
        <f aca="false">IF((E33="v"),H33," ")</f>
        <v>41.25</v>
      </c>
      <c r="AD33" s="30" t="str">
        <f aca="false">IF((E33="n"),H33," ")</f>
        <v> </v>
      </c>
      <c r="AE33" s="17" t="str">
        <f aca="false">IF((E33="f"),H33," ")</f>
        <v> </v>
      </c>
      <c r="AF33" s="17" t="str">
        <f aca="false">IF((E33="l"),H33," ")</f>
        <v> </v>
      </c>
      <c r="AG33" s="17" t="str">
        <f aca="false">IF((E33="y"),H33," ")</f>
        <v> </v>
      </c>
      <c r="AH33" s="17" t="str">
        <f aca="false">IF((E33="z"),H33," ")</f>
        <v> </v>
      </c>
      <c r="AI33" s="17" t="str">
        <f aca="false">IF((E33="fa"),H33," ")</f>
        <v> </v>
      </c>
      <c r="AJ33" s="17" t="str">
        <f aca="false">IF((E33="e"),H33," ")</f>
        <v> </v>
      </c>
      <c r="BZ33" s="2" t="s">
        <v>107</v>
      </c>
    </row>
    <row r="34" customFormat="false" ht="12" hidden="false" customHeight="false" outlineLevel="0" collapsed="false">
      <c r="A34" s="28" t="n">
        <v>46596</v>
      </c>
      <c r="B34" s="2" t="s">
        <v>20</v>
      </c>
      <c r="D34" s="2" t="s">
        <v>149</v>
      </c>
      <c r="E34" s="2" t="s">
        <v>106</v>
      </c>
      <c r="F34" s="30" t="n">
        <v>120</v>
      </c>
      <c r="G34" s="6" t="n">
        <f aca="false">IF(F34&lt;&gt;0,F34*G$2/(100+G$2)," ")</f>
        <v>20</v>
      </c>
      <c r="H34" s="6" t="n">
        <f aca="false">IF((F34&lt;&gt;0),F34-G34," ")</f>
        <v>100</v>
      </c>
      <c r="I34" s="5"/>
      <c r="L34" s="7" t="n">
        <f aca="false">IF(F34&lt;&gt;0,F34-K34," ")</f>
        <v>120</v>
      </c>
      <c r="M34" s="8" t="n">
        <f aca="false">IF((F34-K34)&lt;&gt;0,M$1-A34," ")</f>
        <v>-318</v>
      </c>
      <c r="N34" s="5"/>
      <c r="O34" s="17" t="str">
        <f aca="false">IF((E34="s"),H34," ")</f>
        <v> </v>
      </c>
      <c r="P34" s="17" t="str">
        <f aca="false">IF((E34="c"),H34," ")</f>
        <v> </v>
      </c>
      <c r="Q34" s="17" t="str">
        <f aca="false">IF((E34="o"),H34," ")</f>
        <v> </v>
      </c>
      <c r="R34" s="17" t="str">
        <f aca="false">IF((E34="d"),H34," ")</f>
        <v> </v>
      </c>
      <c r="S34" s="17" t="str">
        <f aca="false">IF((E34="w"),H34," ")</f>
        <v> </v>
      </c>
      <c r="T34" s="17" t="str">
        <f aca="false">IF((E34="r"),H34," ")</f>
        <v> </v>
      </c>
      <c r="U34" s="17" t="str">
        <f aca="false">IF((E34="p"),H34," ")</f>
        <v> </v>
      </c>
      <c r="V34" s="17" t="str">
        <f aca="false">IF((E34="t"),H34," ")</f>
        <v> </v>
      </c>
      <c r="W34" s="17" t="str">
        <f aca="false">IF((E34="q"),H34," ")</f>
        <v> </v>
      </c>
      <c r="X34" s="17" t="str">
        <f aca="false">IF((E34="m"),H34," ")</f>
        <v> </v>
      </c>
      <c r="Y34" s="17" t="str">
        <f aca="false">IF((E34="u"),H34," ")</f>
        <v> </v>
      </c>
      <c r="Z34" s="17" t="str">
        <f aca="false">IF((E34="a"),H34," ")</f>
        <v> </v>
      </c>
      <c r="AA34" s="17" t="str">
        <f aca="false">IF((E34="g"),H34," ")</f>
        <v> </v>
      </c>
      <c r="AB34" s="17" t="str">
        <f aca="false">IF((E34="h"),H34," ")</f>
        <v> </v>
      </c>
      <c r="AC34" s="30" t="n">
        <f aca="false">IF((E34="v"),H34," ")</f>
        <v>100</v>
      </c>
      <c r="AD34" s="30" t="str">
        <f aca="false">IF((E34="n"),H34," ")</f>
        <v> </v>
      </c>
      <c r="AE34" s="17" t="str">
        <f aca="false">IF((E34="f"),H34," ")</f>
        <v> </v>
      </c>
      <c r="AF34" s="17" t="str">
        <f aca="false">IF((E34="l"),H34," ")</f>
        <v> </v>
      </c>
      <c r="AG34" s="17" t="str">
        <f aca="false">IF((E34="y"),H34," ")</f>
        <v> </v>
      </c>
      <c r="AH34" s="17" t="str">
        <f aca="false">IF((E34="z"),H34," ")</f>
        <v> </v>
      </c>
      <c r="AI34" s="17" t="str">
        <f aca="false">IF((E34="fa"),H34," ")</f>
        <v> </v>
      </c>
      <c r="AJ34" s="17" t="str">
        <f aca="false">IF((E34="e"),H34," ")</f>
        <v> </v>
      </c>
      <c r="BZ34" s="2" t="s">
        <v>107</v>
      </c>
    </row>
    <row r="35" customFormat="false" ht="12" hidden="false" customHeight="false" outlineLevel="0" collapsed="false">
      <c r="A35" s="28" t="n">
        <v>46599</v>
      </c>
      <c r="B35" s="2" t="s">
        <v>16</v>
      </c>
      <c r="D35" s="2" t="s">
        <v>150</v>
      </c>
      <c r="E35" s="2" t="s">
        <v>151</v>
      </c>
      <c r="F35" s="30" t="n">
        <v>300</v>
      </c>
      <c r="G35" s="6" t="n">
        <f aca="false">IF(F35&lt;&gt;0,F35*G$2/(100+G$2)," ")</f>
        <v>50</v>
      </c>
      <c r="H35" s="6" t="n">
        <f aca="false">IF((F35&lt;&gt;0),F35-G35," ")</f>
        <v>250</v>
      </c>
      <c r="I35" s="5"/>
      <c r="L35" s="7" t="n">
        <f aca="false">IF(F35&lt;&gt;0,F35-K35," ")</f>
        <v>300</v>
      </c>
      <c r="M35" s="8" t="n">
        <f aca="false">IF((F35-K35)&lt;&gt;0,M$1-A35," ")</f>
        <v>-321</v>
      </c>
      <c r="N35" s="5"/>
      <c r="O35" s="17" t="str">
        <f aca="false">IF((E35="s"),H35," ")</f>
        <v> </v>
      </c>
      <c r="P35" s="17" t="str">
        <f aca="false">IF((E35="c"),H35," ")</f>
        <v> </v>
      </c>
      <c r="Q35" s="17" t="str">
        <f aca="false">IF((E35="o"),H35," ")</f>
        <v> </v>
      </c>
      <c r="R35" s="17" t="str">
        <f aca="false">IF((E35="d"),H35," ")</f>
        <v> </v>
      </c>
      <c r="S35" s="17" t="str">
        <f aca="false">IF((E35="w"),H35," ")</f>
        <v> </v>
      </c>
      <c r="T35" s="17" t="str">
        <f aca="false">IF((E35="r"),H35," ")</f>
        <v> </v>
      </c>
      <c r="U35" s="17" t="str">
        <f aca="false">IF((E35="p"),H35," ")</f>
        <v> </v>
      </c>
      <c r="V35" s="17" t="str">
        <f aca="false">IF((E35="t"),H35," ")</f>
        <v> </v>
      </c>
      <c r="W35" s="17" t="str">
        <f aca="false">IF((E35="q"),H35," ")</f>
        <v> </v>
      </c>
      <c r="X35" s="17" t="str">
        <f aca="false">IF((E35="m"),H35," ")</f>
        <v> </v>
      </c>
      <c r="Y35" s="17" t="str">
        <f aca="false">IF((E35="u"),H35," ")</f>
        <v> </v>
      </c>
      <c r="Z35" s="17" t="str">
        <f aca="false">IF((E35="a"),H35," ")</f>
        <v> </v>
      </c>
      <c r="AA35" s="17" t="str">
        <f aca="false">IF((E35="g"),H35," ")</f>
        <v> </v>
      </c>
      <c r="AB35" s="17" t="str">
        <f aca="false">IF((E35="h"),H35," ")</f>
        <v> </v>
      </c>
      <c r="AC35" s="30" t="str">
        <f aca="false">IF((E35="v"),H35," ")</f>
        <v> </v>
      </c>
      <c r="AD35" s="30" t="str">
        <f aca="false">IF((E35="n"),H35," ")</f>
        <v> </v>
      </c>
      <c r="AE35" s="17" t="str">
        <f aca="false">IF((E35="f"),H35," ")</f>
        <v> </v>
      </c>
      <c r="AF35" s="17" t="n">
        <f aca="false">IF((E35="l"),H35," ")</f>
        <v>250</v>
      </c>
      <c r="AG35" s="17" t="str">
        <f aca="false">IF((E35="y"),H35," ")</f>
        <v> </v>
      </c>
      <c r="AH35" s="17" t="str">
        <f aca="false">IF((E35="z"),H35," ")</f>
        <v> </v>
      </c>
      <c r="AI35" s="17" t="str">
        <f aca="false">IF((E35="fa"),H35," ")</f>
        <v> </v>
      </c>
      <c r="AJ35" s="17" t="str">
        <f aca="false">IF((E35="e"),H35," ")</f>
        <v> </v>
      </c>
      <c r="BZ35" s="2" t="s">
        <v>152</v>
      </c>
    </row>
    <row r="36" customFormat="false" ht="12" hidden="false" customHeight="false" outlineLevel="0" collapsed="false">
      <c r="A36" s="28" t="n">
        <v>46599</v>
      </c>
      <c r="B36" s="2" t="s">
        <v>252</v>
      </c>
      <c r="D36" s="2" t="s">
        <v>253</v>
      </c>
      <c r="E36" s="2" t="s">
        <v>254</v>
      </c>
      <c r="F36" s="30" t="n">
        <v>5000</v>
      </c>
      <c r="G36" s="6" t="n">
        <f aca="false">IF(F36&lt;&gt;0,F36*G$2/(100+G$2)," ")</f>
        <v>833.333333333333</v>
      </c>
      <c r="H36" s="6" t="n">
        <f aca="false">IF((F36&lt;&gt;0),F36-G36," ")</f>
        <v>4166.66666666667</v>
      </c>
      <c r="I36" s="5"/>
      <c r="L36" s="7" t="n">
        <f aca="false">IF(F36&lt;&gt;0,F36-K36," ")</f>
        <v>5000</v>
      </c>
      <c r="M36" s="8" t="n">
        <f aca="false">IF((F36-K36)&lt;&gt;0,M$1-A36," ")</f>
        <v>-321</v>
      </c>
      <c r="N36" s="5"/>
      <c r="O36" s="17" t="str">
        <f aca="false">IF((E36="s"),H36," ")</f>
        <v> </v>
      </c>
      <c r="P36" s="17" t="str">
        <f aca="false">IF((E36="c"),H36," ")</f>
        <v> </v>
      </c>
      <c r="Q36" s="17" t="str">
        <f aca="false">IF((E36="o"),H36," ")</f>
        <v> </v>
      </c>
      <c r="R36" s="17" t="n">
        <f aca="false">IF((E36="d"),H36," ")</f>
        <v>4166.66666666667</v>
      </c>
      <c r="S36" s="17" t="str">
        <f aca="false">IF((E36="w"),H36," ")</f>
        <v> </v>
      </c>
      <c r="T36" s="17" t="str">
        <f aca="false">IF((E36="r"),H36," ")</f>
        <v> </v>
      </c>
      <c r="U36" s="17" t="str">
        <f aca="false">IF((E36="p"),H36," ")</f>
        <v> </v>
      </c>
      <c r="V36" s="17" t="str">
        <f aca="false">IF((E36="t"),H36," ")</f>
        <v> </v>
      </c>
      <c r="W36" s="17" t="str">
        <f aca="false">IF((E36="q"),H36," ")</f>
        <v> </v>
      </c>
      <c r="X36" s="17" t="str">
        <f aca="false">IF((E36="m"),H36," ")</f>
        <v> </v>
      </c>
      <c r="Y36" s="17" t="str">
        <f aca="false">IF((E36="u"),H36," ")</f>
        <v> </v>
      </c>
      <c r="Z36" s="17" t="str">
        <f aca="false">IF((E36="a"),H36," ")</f>
        <v> </v>
      </c>
      <c r="AA36" s="17" t="str">
        <f aca="false">IF((E36="g"),H36," ")</f>
        <v> </v>
      </c>
      <c r="AB36" s="17" t="str">
        <f aca="false">IF((E36="h"),H36," ")</f>
        <v> </v>
      </c>
      <c r="AC36" s="30" t="str">
        <f aca="false">IF((E36="v"),H36," ")</f>
        <v> </v>
      </c>
      <c r="AD36" s="30" t="str">
        <f aca="false">IF((E36="n"),H36," ")</f>
        <v> </v>
      </c>
      <c r="AE36" s="17" t="str">
        <f aca="false">IF((E36="f"),H36," ")</f>
        <v> </v>
      </c>
      <c r="AF36" s="17" t="str">
        <f aca="false">IF((E36="l"),H36," ")</f>
        <v> </v>
      </c>
      <c r="AG36" s="17" t="str">
        <f aca="false">IF((E36="y"),H36," ")</f>
        <v> </v>
      </c>
      <c r="AH36" s="17" t="str">
        <f aca="false">IF((E36="z"),H36," ")</f>
        <v> </v>
      </c>
      <c r="AI36" s="17" t="str">
        <f aca="false">IF((E36="fa"),H36," ")</f>
        <v> </v>
      </c>
      <c r="AJ36" s="17" t="str">
        <f aca="false">IF((E36="e"),H36," ")</f>
        <v> </v>
      </c>
      <c r="BZ36" s="2" t="s">
        <v>255</v>
      </c>
    </row>
    <row r="37" customFormat="false" ht="12" hidden="false" customHeight="false" outlineLevel="0" collapsed="false">
      <c r="A37" s="28" t="n">
        <v>46599</v>
      </c>
      <c r="B37" s="2" t="s">
        <v>197</v>
      </c>
      <c r="C37" s="3" t="s">
        <v>256</v>
      </c>
      <c r="D37" s="2" t="s">
        <v>199</v>
      </c>
      <c r="E37" s="2" t="s">
        <v>151</v>
      </c>
      <c r="F37" s="30" t="n">
        <v>167</v>
      </c>
      <c r="G37" s="6" t="n">
        <f aca="false">IF(F37&lt;&gt;0,F37*G$2/(100+G$2)," ")</f>
        <v>27.8333333333333</v>
      </c>
      <c r="H37" s="6" t="n">
        <f aca="false">IF((F37&lt;&gt;0),F37-G37," ")</f>
        <v>139.166666666667</v>
      </c>
      <c r="I37" s="5"/>
      <c r="L37" s="7" t="n">
        <f aca="false">IF(F37&lt;&gt;0,F37-K37," ")</f>
        <v>167</v>
      </c>
      <c r="M37" s="8" t="n">
        <f aca="false">IF((F37-K37)&lt;&gt;0,M$1-A37," ")</f>
        <v>-321</v>
      </c>
      <c r="N37" s="5"/>
      <c r="O37" s="17" t="str">
        <f aca="false">IF((E37="s"),H37," ")</f>
        <v> </v>
      </c>
      <c r="P37" s="17" t="str">
        <f aca="false">IF((E37="c"),H37," ")</f>
        <v> </v>
      </c>
      <c r="Q37" s="17" t="str">
        <f aca="false">IF((E37="o"),H37," ")</f>
        <v> </v>
      </c>
      <c r="R37" s="17" t="str">
        <f aca="false">IF((E37="d"),H37," ")</f>
        <v> </v>
      </c>
      <c r="S37" s="17" t="str">
        <f aca="false">IF((E37="w"),H37," ")</f>
        <v> </v>
      </c>
      <c r="T37" s="17" t="str">
        <f aca="false">IF((E37="r"),H37," ")</f>
        <v> </v>
      </c>
      <c r="U37" s="17" t="str">
        <f aca="false">IF((E37="p"),H37," ")</f>
        <v> </v>
      </c>
      <c r="V37" s="17" t="str">
        <f aca="false">IF((E37="t"),H37," ")</f>
        <v> </v>
      </c>
      <c r="W37" s="17" t="str">
        <f aca="false">IF((E37="q"),H37," ")</f>
        <v> </v>
      </c>
      <c r="X37" s="17" t="str">
        <f aca="false">IF((E37="m"),H37," ")</f>
        <v> </v>
      </c>
      <c r="Y37" s="17" t="str">
        <f aca="false">IF((E37="u"),H37," ")</f>
        <v> </v>
      </c>
      <c r="Z37" s="17" t="str">
        <f aca="false">IF((E37="a"),H37," ")</f>
        <v> </v>
      </c>
      <c r="AA37" s="17" t="str">
        <f aca="false">IF((E37="g"),H37," ")</f>
        <v> </v>
      </c>
      <c r="AB37" s="17" t="str">
        <f aca="false">IF((E37="h"),H37," ")</f>
        <v> </v>
      </c>
      <c r="AC37" s="30" t="str">
        <f aca="false">IF((E37="v"),H37," ")</f>
        <v> </v>
      </c>
      <c r="AD37" s="30" t="str">
        <f aca="false">IF((E37="n"),H37," ")</f>
        <v> </v>
      </c>
      <c r="AE37" s="17" t="str">
        <f aca="false">IF((E37="f"),H37," ")</f>
        <v> </v>
      </c>
      <c r="AF37" s="17" t="n">
        <f aca="false">IF((E37="l"),H37," ")</f>
        <v>139.166666666667</v>
      </c>
      <c r="AG37" s="17" t="str">
        <f aca="false">IF((E37="y"),H37," ")</f>
        <v> </v>
      </c>
      <c r="AH37" s="17" t="str">
        <f aca="false">IF((E37="z"),H37," ")</f>
        <v> </v>
      </c>
      <c r="AI37" s="17" t="str">
        <f aca="false">IF((E37="fa"),H37," ")</f>
        <v> </v>
      </c>
      <c r="AJ37" s="17" t="str">
        <f aca="false">IF((E37="e"),H37," ")</f>
        <v> </v>
      </c>
      <c r="BZ37" s="2" t="s">
        <v>200</v>
      </c>
    </row>
    <row r="38" customFormat="false" ht="12" hidden="false" customHeight="false" outlineLevel="0" collapsed="false">
      <c r="A38" s="28"/>
      <c r="E38" s="2"/>
      <c r="F38" s="30"/>
      <c r="G38" s="6" t="str">
        <f aca="false">IF(F38&lt;&gt;0,F38*G$2/(100+G$2)," ")</f>
        <v> </v>
      </c>
      <c r="H38" s="6" t="str">
        <f aca="false">IF((F38&lt;&gt;0),F38-G38," ")</f>
        <v> </v>
      </c>
      <c r="I38" s="5"/>
      <c r="L38" s="7" t="str">
        <f aca="false">IF(F38&lt;&gt;0,F38-K38," ")</f>
        <v> </v>
      </c>
      <c r="M38" s="8" t="str">
        <f aca="false">IF((F38-K38)&lt;&gt;0,M$1-A38," ")</f>
        <v> </v>
      </c>
      <c r="N38" s="5"/>
      <c r="O38" s="17" t="str">
        <f aca="false">IF((E38="s"),H38," ")</f>
        <v> </v>
      </c>
      <c r="P38" s="17" t="str">
        <f aca="false">IF((E38="c"),H38," ")</f>
        <v> </v>
      </c>
      <c r="Q38" s="17" t="str">
        <f aca="false">IF((E38="o"),H38," ")</f>
        <v> </v>
      </c>
      <c r="R38" s="17" t="str">
        <f aca="false">IF((E38="d"),H38," ")</f>
        <v> </v>
      </c>
      <c r="S38" s="17" t="str">
        <f aca="false">IF((E38="w"),H38," ")</f>
        <v> </v>
      </c>
      <c r="T38" s="17" t="str">
        <f aca="false">IF((E38="r"),H38," ")</f>
        <v> </v>
      </c>
      <c r="U38" s="17" t="str">
        <f aca="false">IF((E38="p"),H38," ")</f>
        <v> </v>
      </c>
      <c r="V38" s="17" t="str">
        <f aca="false">IF((E38="t"),H38," ")</f>
        <v> </v>
      </c>
      <c r="W38" s="17" t="str">
        <f aca="false">IF((E38="q"),H38," ")</f>
        <v> </v>
      </c>
      <c r="X38" s="17" t="str">
        <f aca="false">IF((E38="m"),H38," ")</f>
        <v> </v>
      </c>
      <c r="Y38" s="17" t="str">
        <f aca="false">IF((E38="u"),H38," ")</f>
        <v> </v>
      </c>
      <c r="Z38" s="17" t="str">
        <f aca="false">IF((E38="a"),H38," ")</f>
        <v> </v>
      </c>
      <c r="AA38" s="17" t="str">
        <f aca="false">IF((E38="g"),H38," ")</f>
        <v> </v>
      </c>
      <c r="AB38" s="17" t="str">
        <f aca="false">IF((E38="h"),H38," ")</f>
        <v> </v>
      </c>
      <c r="AC38" s="30" t="str">
        <f aca="false">IF((E38="v"),H38," ")</f>
        <v> </v>
      </c>
      <c r="AD38" s="30" t="str">
        <f aca="false">IF((E38="n"),H38," ")</f>
        <v> </v>
      </c>
      <c r="AE38" s="17" t="str">
        <f aca="false">IF((E38="f"),H38," ")</f>
        <v> </v>
      </c>
      <c r="AF38" s="17" t="str">
        <f aca="false">IF((E38="l"),H38," ")</f>
        <v> </v>
      </c>
      <c r="AG38" s="17" t="str">
        <f aca="false">IF((E38="y"),H38," ")</f>
        <v> </v>
      </c>
      <c r="AH38" s="17" t="str">
        <f aca="false">IF((E38="z"),H38," ")</f>
        <v> </v>
      </c>
      <c r="AI38" s="17" t="str">
        <f aca="false">IF((E38="fa"),H38," ")</f>
        <v> </v>
      </c>
      <c r="AJ38" s="17" t="str">
        <f aca="false">IF((E38="e"),H38," ")</f>
        <v> </v>
      </c>
    </row>
    <row r="39" customFormat="false" ht="12" hidden="false" customHeight="false" outlineLevel="0" collapsed="false">
      <c r="A39" s="28"/>
      <c r="E39" s="2"/>
      <c r="F39" s="30"/>
      <c r="G39" s="6" t="str">
        <f aca="false">IF(F39&lt;&gt;0,F39*G$2/(100+G$2)," ")</f>
        <v> </v>
      </c>
      <c r="H39" s="6" t="str">
        <f aca="false">IF((F39&lt;&gt;0),F39-G39," ")</f>
        <v> </v>
      </c>
      <c r="I39" s="5"/>
      <c r="L39" s="7" t="str">
        <f aca="false">IF(F39&lt;&gt;0,F39-K39," ")</f>
        <v> </v>
      </c>
      <c r="M39" s="8" t="str">
        <f aca="false">IF((F39-K39)&lt;&gt;0,M$1-A39," ")</f>
        <v> </v>
      </c>
      <c r="N39" s="5"/>
      <c r="O39" s="17" t="str">
        <f aca="false">IF((E39="s"),H39," ")</f>
        <v> </v>
      </c>
      <c r="P39" s="17" t="str">
        <f aca="false">IF((E39="c"),H39," ")</f>
        <v> </v>
      </c>
      <c r="Q39" s="17" t="str">
        <f aca="false">IF((E39="o"),H39," ")</f>
        <v> </v>
      </c>
      <c r="R39" s="17" t="str">
        <f aca="false">IF((E39="d"),H39," ")</f>
        <v> </v>
      </c>
      <c r="S39" s="17" t="str">
        <f aca="false">IF((E39="w"),H39," ")</f>
        <v> </v>
      </c>
      <c r="T39" s="17" t="str">
        <f aca="false">IF((E39="r"),H39," ")</f>
        <v> </v>
      </c>
      <c r="U39" s="17" t="str">
        <f aca="false">IF((E39="p"),H39," ")</f>
        <v> </v>
      </c>
      <c r="V39" s="17" t="str">
        <f aca="false">IF((E39="t"),H39," ")</f>
        <v> </v>
      </c>
      <c r="W39" s="17" t="str">
        <f aca="false">IF((E39="q"),H39," ")</f>
        <v> </v>
      </c>
      <c r="X39" s="17" t="str">
        <f aca="false">IF((E39="m"),H39," ")</f>
        <v> </v>
      </c>
      <c r="Y39" s="17" t="str">
        <f aca="false">IF((E39="u"),H39," ")</f>
        <v> </v>
      </c>
      <c r="Z39" s="17" t="str">
        <f aca="false">IF((E39="a"),H39," ")</f>
        <v> </v>
      </c>
      <c r="AA39" s="17" t="str">
        <f aca="false">IF((E39="g"),H39," ")</f>
        <v> </v>
      </c>
      <c r="AB39" s="17" t="str">
        <f aca="false">IF((E39="h"),H39," ")</f>
        <v> </v>
      </c>
      <c r="AC39" s="30" t="str">
        <f aca="false">IF((E39="v"),H39," ")</f>
        <v> </v>
      </c>
      <c r="AD39" s="30" t="str">
        <f aca="false">IF((E39="n"),H39," ")</f>
        <v> </v>
      </c>
      <c r="AE39" s="17" t="str">
        <f aca="false">IF((E39="f"),H39," ")</f>
        <v> </v>
      </c>
      <c r="AF39" s="17" t="str">
        <f aca="false">IF((E39="l"),H39," ")</f>
        <v> </v>
      </c>
      <c r="AG39" s="17" t="str">
        <f aca="false">IF((E39="y"),H39," ")</f>
        <v> </v>
      </c>
      <c r="AH39" s="17" t="str">
        <f aca="false">IF((E39="z"),H39," ")</f>
        <v> </v>
      </c>
      <c r="AI39" s="17" t="str">
        <f aca="false">IF((E39="fa"),H39," ")</f>
        <v> </v>
      </c>
      <c r="AJ39" s="17" t="str">
        <f aca="false">IF((E39="e"),H39," ")</f>
        <v> </v>
      </c>
    </row>
    <row r="40" customFormat="false" ht="12" hidden="false" customHeight="false" outlineLevel="0" collapsed="false">
      <c r="A40" s="28"/>
      <c r="E40" s="2"/>
      <c r="F40" s="30"/>
      <c r="G40" s="6" t="str">
        <f aca="false">IF(F40&lt;&gt;0,F40*G$2/(100+G$2)," ")</f>
        <v> </v>
      </c>
      <c r="H40" s="6" t="str">
        <f aca="false">IF((F40&lt;&gt;0),F40-G40," ")</f>
        <v> </v>
      </c>
      <c r="I40" s="5"/>
      <c r="L40" s="7" t="str">
        <f aca="false">IF(F40&lt;&gt;0,F40-K40," ")</f>
        <v> </v>
      </c>
      <c r="M40" s="8" t="str">
        <f aca="false">IF((F40-K40)&lt;&gt;0,M$1-A40," ")</f>
        <v> </v>
      </c>
      <c r="N40" s="5"/>
      <c r="O40" s="17" t="str">
        <f aca="false">IF((E40="s"),H40," ")</f>
        <v> </v>
      </c>
      <c r="P40" s="17" t="str">
        <f aca="false">IF((E40="c"),H40," ")</f>
        <v> </v>
      </c>
      <c r="Q40" s="17" t="str">
        <f aca="false">IF((E40="o"),H40," ")</f>
        <v> </v>
      </c>
      <c r="R40" s="17" t="str">
        <f aca="false">IF((E40="d"),H40," ")</f>
        <v> </v>
      </c>
      <c r="S40" s="17" t="str">
        <f aca="false">IF((E40="w"),H40," ")</f>
        <v> </v>
      </c>
      <c r="T40" s="17" t="str">
        <f aca="false">IF((E40="r"),H40," ")</f>
        <v> </v>
      </c>
      <c r="U40" s="17" t="str">
        <f aca="false">IF((E40="p"),H40," ")</f>
        <v> </v>
      </c>
      <c r="V40" s="17" t="str">
        <f aca="false">IF((E40="t"),H40," ")</f>
        <v> </v>
      </c>
      <c r="W40" s="17" t="str">
        <f aca="false">IF((E40="q"),H40," ")</f>
        <v> </v>
      </c>
      <c r="X40" s="17" t="str">
        <f aca="false">IF((E40="m"),H40," ")</f>
        <v> </v>
      </c>
      <c r="Y40" s="17" t="str">
        <f aca="false">IF((E40="u"),H40," ")</f>
        <v> </v>
      </c>
      <c r="Z40" s="17" t="str">
        <f aca="false">IF((E40="a"),H40," ")</f>
        <v> </v>
      </c>
      <c r="AA40" s="17" t="str">
        <f aca="false">IF((E40="g"),H40," ")</f>
        <v> </v>
      </c>
      <c r="AB40" s="17" t="str">
        <f aca="false">IF((E40="h"),H40," ")</f>
        <v> </v>
      </c>
      <c r="AC40" s="30" t="str">
        <f aca="false">IF((E40="v"),H40," ")</f>
        <v> </v>
      </c>
      <c r="AD40" s="30" t="str">
        <f aca="false">IF((E40="n"),H40," ")</f>
        <v> </v>
      </c>
      <c r="AE40" s="17" t="str">
        <f aca="false">IF((E40="f"),H40," ")</f>
        <v> </v>
      </c>
      <c r="AF40" s="17" t="str">
        <f aca="false">IF((E40="l"),H40," ")</f>
        <v> </v>
      </c>
      <c r="AG40" s="17" t="str">
        <f aca="false">IF((E40="y"),H40," ")</f>
        <v> </v>
      </c>
      <c r="AH40" s="17" t="str">
        <f aca="false">IF((E40="z"),H40," ")</f>
        <v> </v>
      </c>
      <c r="AI40" s="17" t="str">
        <f aca="false">IF((E40="fa"),H40," ")</f>
        <v> </v>
      </c>
      <c r="AJ40" s="17" t="str">
        <f aca="false">IF((E40="e"),H40," ")</f>
        <v> </v>
      </c>
    </row>
    <row r="41" customFormat="false" ht="12" hidden="false" customHeight="false" outlineLevel="0" collapsed="false">
      <c r="A41" s="28"/>
      <c r="E41" s="2"/>
      <c r="F41" s="30"/>
      <c r="G41" s="6" t="str">
        <f aca="false">IF(F41&lt;&gt;0,F41*G$2/(100+G$2)," ")</f>
        <v> </v>
      </c>
      <c r="H41" s="6" t="str">
        <f aca="false">IF((F41&lt;&gt;0),F41-G41," ")</f>
        <v> </v>
      </c>
      <c r="I41" s="5"/>
      <c r="L41" s="7" t="str">
        <f aca="false">IF(F41&lt;&gt;0,F41-K41," ")</f>
        <v> </v>
      </c>
      <c r="M41" s="8" t="str">
        <f aca="false">IF((F41-K41)&lt;&gt;0,M$1-A41," ")</f>
        <v> </v>
      </c>
      <c r="N41" s="5"/>
      <c r="O41" s="17" t="str">
        <f aca="false">IF((E41="s"),H41," ")</f>
        <v> </v>
      </c>
      <c r="P41" s="17" t="str">
        <f aca="false">IF((E41="c"),H41," ")</f>
        <v> </v>
      </c>
      <c r="Q41" s="17" t="str">
        <f aca="false">IF((E41="o"),H41," ")</f>
        <v> </v>
      </c>
      <c r="R41" s="17" t="str">
        <f aca="false">IF((E41="d"),H41," ")</f>
        <v> </v>
      </c>
      <c r="S41" s="17" t="str">
        <f aca="false">IF((E41="w"),H41," ")</f>
        <v> </v>
      </c>
      <c r="T41" s="17" t="str">
        <f aca="false">IF((E41="r"),H41," ")</f>
        <v> </v>
      </c>
      <c r="U41" s="17" t="str">
        <f aca="false">IF((E41="p"),H41," ")</f>
        <v> </v>
      </c>
      <c r="V41" s="17" t="str">
        <f aca="false">IF((E41="t"),H41," ")</f>
        <v> </v>
      </c>
      <c r="W41" s="17" t="str">
        <f aca="false">IF((E41="q"),H41," ")</f>
        <v> </v>
      </c>
      <c r="X41" s="17" t="str">
        <f aca="false">IF((E41="m"),H41," ")</f>
        <v> </v>
      </c>
      <c r="Y41" s="17" t="str">
        <f aca="false">IF((E41="u"),H41," ")</f>
        <v> </v>
      </c>
      <c r="Z41" s="17" t="str">
        <f aca="false">IF((E41="a"),H41," ")</f>
        <v> </v>
      </c>
      <c r="AA41" s="17" t="str">
        <f aca="false">IF((E41="g"),H41," ")</f>
        <v> </v>
      </c>
      <c r="AB41" s="17" t="str">
        <f aca="false">IF((E41="h"),H41," ")</f>
        <v> </v>
      </c>
      <c r="AC41" s="30" t="str">
        <f aca="false">IF((E41="v"),H41," ")</f>
        <v> </v>
      </c>
      <c r="AD41" s="30" t="str">
        <f aca="false">IF((E41="n"),H41," ")</f>
        <v> </v>
      </c>
      <c r="AE41" s="17" t="str">
        <f aca="false">IF((E41="f"),H41," ")</f>
        <v> </v>
      </c>
      <c r="AF41" s="17" t="str">
        <f aca="false">IF((E41="l"),H41," ")</f>
        <v> </v>
      </c>
      <c r="AG41" s="17" t="str">
        <f aca="false">IF((E41="y"),H41," ")</f>
        <v> </v>
      </c>
      <c r="AH41" s="17" t="str">
        <f aca="false">IF((E41="z"),H41," ")</f>
        <v> </v>
      </c>
      <c r="AI41" s="17" t="str">
        <f aca="false">IF((E41="fa"),H41," ")</f>
        <v> </v>
      </c>
      <c r="AJ41" s="17" t="str">
        <f aca="false">IF((E41="e"),H41," ")</f>
        <v> </v>
      </c>
    </row>
    <row r="42" customFormat="false" ht="12" hidden="false" customHeight="false" outlineLevel="0" collapsed="false">
      <c r="A42" s="28"/>
      <c r="E42" s="2"/>
      <c r="F42" s="30"/>
      <c r="G42" s="6" t="str">
        <f aca="false">IF(F42&lt;&gt;0,F42*G$2/(100+G$2)," ")</f>
        <v> </v>
      </c>
      <c r="H42" s="6" t="str">
        <f aca="false">IF((F42&lt;&gt;0),F42-G42," ")</f>
        <v> </v>
      </c>
      <c r="I42" s="5"/>
      <c r="L42" s="7" t="str">
        <f aca="false">IF(F42&lt;&gt;0,F42-K42," ")</f>
        <v> </v>
      </c>
      <c r="M42" s="8" t="str">
        <f aca="false">IF((F42-K42)&lt;&gt;0,M$1-A42," ")</f>
        <v> </v>
      </c>
      <c r="N42" s="5"/>
      <c r="O42" s="17" t="str">
        <f aca="false">IF((E42="s"),H42," ")</f>
        <v> </v>
      </c>
      <c r="P42" s="17" t="str">
        <f aca="false">IF((E42="c"),H42," ")</f>
        <v> </v>
      </c>
      <c r="Q42" s="17" t="str">
        <f aca="false">IF((E42="o"),H42," ")</f>
        <v> </v>
      </c>
      <c r="R42" s="17" t="str">
        <f aca="false">IF((E42="d"),H42," ")</f>
        <v> </v>
      </c>
      <c r="S42" s="17" t="str">
        <f aca="false">IF((E42="w"),H42," ")</f>
        <v> </v>
      </c>
      <c r="T42" s="17" t="str">
        <f aca="false">IF((E42="r"),H42," ")</f>
        <v> </v>
      </c>
      <c r="U42" s="17" t="str">
        <f aca="false">IF((E42="p"),H42," ")</f>
        <v> </v>
      </c>
      <c r="V42" s="17" t="str">
        <f aca="false">IF((E42="t"),H42," ")</f>
        <v> </v>
      </c>
      <c r="W42" s="17" t="str">
        <f aca="false">IF((E42="q"),H42," ")</f>
        <v> </v>
      </c>
      <c r="X42" s="17" t="str">
        <f aca="false">IF((E42="m"),H42," ")</f>
        <v> </v>
      </c>
      <c r="Y42" s="17" t="str">
        <f aca="false">IF((E42="u"),H42," ")</f>
        <v> </v>
      </c>
      <c r="Z42" s="17" t="str">
        <f aca="false">IF((E42="a"),H42," ")</f>
        <v> </v>
      </c>
      <c r="AA42" s="17" t="str">
        <f aca="false">IF((E42="g"),H42," ")</f>
        <v> </v>
      </c>
      <c r="AB42" s="17" t="str">
        <f aca="false">IF((E42="h"),H42," ")</f>
        <v> </v>
      </c>
      <c r="AC42" s="30" t="str">
        <f aca="false">IF((E42="v"),H42," ")</f>
        <v> </v>
      </c>
      <c r="AD42" s="30" t="str">
        <f aca="false">IF((E42="n"),H42," ")</f>
        <v> </v>
      </c>
      <c r="AE42" s="17" t="str">
        <f aca="false">IF((E42="f"),H42," ")</f>
        <v> </v>
      </c>
      <c r="AF42" s="17" t="str">
        <f aca="false">IF((E42="l"),H42," ")</f>
        <v> </v>
      </c>
      <c r="AG42" s="17" t="str">
        <f aca="false">IF((E42="y"),H42," ")</f>
        <v> </v>
      </c>
      <c r="AH42" s="17" t="str">
        <f aca="false">IF((E42="z"),H42," ")</f>
        <v> </v>
      </c>
      <c r="AI42" s="17" t="str">
        <f aca="false">IF((E42="fa"),H42," ")</f>
        <v> </v>
      </c>
      <c r="AJ42" s="17" t="str">
        <f aca="false">IF((E42="e"),H42," ")</f>
        <v> </v>
      </c>
    </row>
    <row r="43" customFormat="false" ht="12" hidden="false" customHeight="false" outlineLevel="0" collapsed="false">
      <c r="A43" s="28"/>
      <c r="E43" s="2"/>
      <c r="F43" s="30"/>
      <c r="G43" s="6" t="str">
        <f aca="false">IF(F43&lt;&gt;0,F43*G$2/(100+G$2)," ")</f>
        <v> </v>
      </c>
      <c r="H43" s="6" t="str">
        <f aca="false">IF((F43&lt;&gt;0),F43-G43," ")</f>
        <v> </v>
      </c>
      <c r="I43" s="5"/>
      <c r="L43" s="7" t="str">
        <f aca="false">IF(F43&lt;&gt;0,F43-K43," ")</f>
        <v> </v>
      </c>
      <c r="M43" s="8" t="str">
        <f aca="false">IF((F43-K43)&lt;&gt;0,M$1-A43," ")</f>
        <v> </v>
      </c>
      <c r="N43" s="5"/>
      <c r="O43" s="17" t="str">
        <f aca="false">IF((E43="s"),H43," ")</f>
        <v> </v>
      </c>
      <c r="P43" s="17" t="str">
        <f aca="false">IF((E43="c"),H43," ")</f>
        <v> </v>
      </c>
      <c r="Q43" s="17" t="str">
        <f aca="false">IF((E43="o"),H43," ")</f>
        <v> </v>
      </c>
      <c r="R43" s="17" t="str">
        <f aca="false">IF((E43="d"),H43," ")</f>
        <v> </v>
      </c>
      <c r="S43" s="17" t="str">
        <f aca="false">IF((E43="w"),H43," ")</f>
        <v> </v>
      </c>
      <c r="T43" s="17" t="str">
        <f aca="false">IF((E43="r"),H43," ")</f>
        <v> </v>
      </c>
      <c r="U43" s="17" t="str">
        <f aca="false">IF((E43="p"),H43," ")</f>
        <v> </v>
      </c>
      <c r="V43" s="17" t="str">
        <f aca="false">IF((E43="t"),H43," ")</f>
        <v> </v>
      </c>
      <c r="W43" s="17" t="str">
        <f aca="false">IF((E43="q"),H43," ")</f>
        <v> </v>
      </c>
      <c r="X43" s="17" t="str">
        <f aca="false">IF((E43="m"),H43," ")</f>
        <v> </v>
      </c>
      <c r="Y43" s="17" t="str">
        <f aca="false">IF((E43="u"),H43," ")</f>
        <v> </v>
      </c>
      <c r="Z43" s="17" t="str">
        <f aca="false">IF((E43="a"),H43," ")</f>
        <v> </v>
      </c>
      <c r="AA43" s="17" t="str">
        <f aca="false">IF((E43="g"),H43," ")</f>
        <v> </v>
      </c>
      <c r="AB43" s="17" t="str">
        <f aca="false">IF((E43="h"),H43," ")</f>
        <v> </v>
      </c>
      <c r="AC43" s="30" t="str">
        <f aca="false">IF((E43="v"),H43," ")</f>
        <v> </v>
      </c>
      <c r="AD43" s="30" t="str">
        <f aca="false">IF((E43="n"),H43," ")</f>
        <v> </v>
      </c>
      <c r="AE43" s="17" t="str">
        <f aca="false">IF((E43="f"),H43," ")</f>
        <v> </v>
      </c>
      <c r="AF43" s="17" t="str">
        <f aca="false">IF((E43="l"),H43," ")</f>
        <v> </v>
      </c>
      <c r="AG43" s="17" t="str">
        <f aca="false">IF((E43="y"),H43," ")</f>
        <v> </v>
      </c>
      <c r="AH43" s="17" t="str">
        <f aca="false">IF((E43="z"),H43," ")</f>
        <v> </v>
      </c>
      <c r="AI43" s="17" t="str">
        <f aca="false">IF((E43="fa"),H43," ")</f>
        <v> </v>
      </c>
      <c r="AJ43" s="17" t="str">
        <f aca="false">IF((E43="e"),H43," ")</f>
        <v> </v>
      </c>
    </row>
    <row r="44" customFormat="false" ht="12" hidden="false" customHeight="false" outlineLevel="0" collapsed="false">
      <c r="A44" s="28"/>
      <c r="E44" s="2"/>
      <c r="F44" s="30"/>
      <c r="G44" s="6" t="str">
        <f aca="false">IF(F44&lt;&gt;0,F44*G$2/(100+G$2)," ")</f>
        <v> </v>
      </c>
      <c r="H44" s="6" t="str">
        <f aca="false">IF((F44&lt;&gt;0),F44-G44," ")</f>
        <v> </v>
      </c>
      <c r="I44" s="5"/>
      <c r="L44" s="7" t="str">
        <f aca="false">IF(F44&lt;&gt;0,F44-K44," ")</f>
        <v> </v>
      </c>
      <c r="M44" s="8" t="str">
        <f aca="false">IF((F44-K44)&lt;&gt;0,M$1-A44," ")</f>
        <v> </v>
      </c>
      <c r="N44" s="5"/>
      <c r="O44" s="17" t="str">
        <f aca="false">IF((E44="s"),H44," ")</f>
        <v> </v>
      </c>
      <c r="P44" s="17" t="str">
        <f aca="false">IF((E44="c"),H44," ")</f>
        <v> </v>
      </c>
      <c r="Q44" s="17" t="str">
        <f aca="false">IF((E44="o"),H44," ")</f>
        <v> </v>
      </c>
      <c r="R44" s="17" t="str">
        <f aca="false">IF((E44="d"),H44," ")</f>
        <v> </v>
      </c>
      <c r="S44" s="17" t="str">
        <f aca="false">IF((E44="w"),H44," ")</f>
        <v> </v>
      </c>
      <c r="T44" s="17" t="str">
        <f aca="false">IF((E44="r"),H44," ")</f>
        <v> </v>
      </c>
      <c r="U44" s="17" t="str">
        <f aca="false">IF((E44="p"),H44," ")</f>
        <v> </v>
      </c>
      <c r="V44" s="17" t="str">
        <f aca="false">IF((E44="t"),H44," ")</f>
        <v> </v>
      </c>
      <c r="W44" s="17" t="str">
        <f aca="false">IF((E44="q"),H44," ")</f>
        <v> </v>
      </c>
      <c r="X44" s="17" t="str">
        <f aca="false">IF((E44="m"),H44," ")</f>
        <v> </v>
      </c>
      <c r="Y44" s="17" t="str">
        <f aca="false">IF((E44="u"),H44," ")</f>
        <v> </v>
      </c>
      <c r="Z44" s="17" t="str">
        <f aca="false">IF((E44="a"),H44," ")</f>
        <v> </v>
      </c>
      <c r="AA44" s="17" t="str">
        <f aca="false">IF((E44="g"),H44," ")</f>
        <v> </v>
      </c>
      <c r="AB44" s="17" t="str">
        <f aca="false">IF((E44="h"),H44," ")</f>
        <v> </v>
      </c>
      <c r="AC44" s="30" t="str">
        <f aca="false">IF((E44="v"),H44," ")</f>
        <v> </v>
      </c>
      <c r="AD44" s="30" t="str">
        <f aca="false">IF((E44="n"),H44," ")</f>
        <v> </v>
      </c>
      <c r="AE44" s="17" t="str">
        <f aca="false">IF((E44="f"),H44," ")</f>
        <v> </v>
      </c>
      <c r="AF44" s="17" t="str">
        <f aca="false">IF((E44="l"),H44," ")</f>
        <v> </v>
      </c>
      <c r="AG44" s="17" t="str">
        <f aca="false">IF((E44="y"),H44," ")</f>
        <v> </v>
      </c>
      <c r="AH44" s="17" t="str">
        <f aca="false">IF((E44="z"),H44," ")</f>
        <v> </v>
      </c>
      <c r="AI44" s="17" t="str">
        <f aca="false">IF((E44="fa"),H44," ")</f>
        <v> </v>
      </c>
      <c r="AJ44" s="17" t="str">
        <f aca="false">IF((E44="e"),H44," ")</f>
        <v> </v>
      </c>
    </row>
    <row r="45" customFormat="false" ht="12" hidden="false" customHeight="false" outlineLevel="0" collapsed="false">
      <c r="A45" s="28"/>
      <c r="E45" s="2"/>
      <c r="F45" s="30"/>
      <c r="G45" s="6" t="str">
        <f aca="false">IF(F45&lt;&gt;0,F45*G$2/(100+G$2)," ")</f>
        <v> </v>
      </c>
      <c r="H45" s="6" t="str">
        <f aca="false">IF((F45&lt;&gt;0),F45-G45," ")</f>
        <v> </v>
      </c>
      <c r="I45" s="5"/>
      <c r="L45" s="7" t="str">
        <f aca="false">IF(F45&lt;&gt;0,F45-K45," ")</f>
        <v> </v>
      </c>
      <c r="M45" s="8" t="str">
        <f aca="false">IF((F45-K45)&lt;&gt;0,M$1-A45," ")</f>
        <v> </v>
      </c>
      <c r="N45" s="5"/>
      <c r="O45" s="17" t="str">
        <f aca="false">IF((E45="s"),H45," ")</f>
        <v> </v>
      </c>
      <c r="P45" s="17" t="str">
        <f aca="false">IF((E45="c"),H45," ")</f>
        <v> </v>
      </c>
      <c r="Q45" s="17" t="str">
        <f aca="false">IF((E45="o"),H45," ")</f>
        <v> </v>
      </c>
      <c r="R45" s="17" t="str">
        <f aca="false">IF((E45="d"),H45," ")</f>
        <v> </v>
      </c>
      <c r="S45" s="17" t="str">
        <f aca="false">IF((E45="w"),H45," ")</f>
        <v> </v>
      </c>
      <c r="T45" s="17" t="str">
        <f aca="false">IF((E45="r"),H45," ")</f>
        <v> </v>
      </c>
      <c r="U45" s="17" t="str">
        <f aca="false">IF((E45="p"),H45," ")</f>
        <v> </v>
      </c>
      <c r="V45" s="17" t="str">
        <f aca="false">IF((E45="t"),H45," ")</f>
        <v> </v>
      </c>
      <c r="W45" s="17" t="str">
        <f aca="false">IF((E45="q"),H45," ")</f>
        <v> </v>
      </c>
      <c r="X45" s="17" t="str">
        <f aca="false">IF((E45="m"),H45," ")</f>
        <v> </v>
      </c>
      <c r="Y45" s="17" t="str">
        <f aca="false">IF((E45="u"),H45," ")</f>
        <v> </v>
      </c>
      <c r="Z45" s="17" t="str">
        <f aca="false">IF((E45="a"),H45," ")</f>
        <v> </v>
      </c>
      <c r="AA45" s="17" t="str">
        <f aca="false">IF((E45="g"),H45," ")</f>
        <v> </v>
      </c>
      <c r="AB45" s="17" t="str">
        <f aca="false">IF((E45="h"),H45," ")</f>
        <v> </v>
      </c>
      <c r="AC45" s="30" t="str">
        <f aca="false">IF((E45="v"),H45," ")</f>
        <v> </v>
      </c>
      <c r="AD45" s="30" t="str">
        <f aca="false">IF((E45="n"),H45," ")</f>
        <v> </v>
      </c>
      <c r="AE45" s="17" t="str">
        <f aca="false">IF((E45="f"),H45," ")</f>
        <v> </v>
      </c>
      <c r="AF45" s="17" t="str">
        <f aca="false">IF((E45="l"),H45," ")</f>
        <v> </v>
      </c>
      <c r="AG45" s="17" t="str">
        <f aca="false">IF((E45="y"),H45," ")</f>
        <v> </v>
      </c>
      <c r="AH45" s="17" t="str">
        <f aca="false">IF((E45="z"),H45," ")</f>
        <v> </v>
      </c>
      <c r="AI45" s="17" t="str">
        <f aca="false">IF((E45="fa"),H45," ")</f>
        <v> </v>
      </c>
      <c r="AJ45" s="17" t="str">
        <f aca="false">IF((E45="e"),H45," ")</f>
        <v> </v>
      </c>
    </row>
    <row r="46" customFormat="false" ht="12" hidden="false" customHeight="false" outlineLevel="0" collapsed="false">
      <c r="A46" s="28"/>
      <c r="E46" s="2"/>
      <c r="F46" s="30"/>
      <c r="G46" s="6" t="str">
        <f aca="false">IF(F46&lt;&gt;0,F46*G$2/(100+G$2)," ")</f>
        <v> </v>
      </c>
      <c r="H46" s="6" t="str">
        <f aca="false">IF((F46&lt;&gt;0),F46-G46," ")</f>
        <v> </v>
      </c>
      <c r="I46" s="5"/>
      <c r="L46" s="7" t="str">
        <f aca="false">IF(F46&lt;&gt;0,F46-K46," ")</f>
        <v> </v>
      </c>
      <c r="M46" s="8" t="str">
        <f aca="false">IF((F46-K46)&lt;&gt;0,M$1-A46," ")</f>
        <v> </v>
      </c>
      <c r="N46" s="5"/>
      <c r="O46" s="17" t="str">
        <f aca="false">IF((E46="s"),H46," ")</f>
        <v> </v>
      </c>
      <c r="P46" s="17" t="str">
        <f aca="false">IF((E46="c"),H46," ")</f>
        <v> </v>
      </c>
      <c r="Q46" s="17" t="str">
        <f aca="false">IF((E46="o"),H46," ")</f>
        <v> </v>
      </c>
      <c r="R46" s="17" t="str">
        <f aca="false">IF((E46="d"),H46," ")</f>
        <v> </v>
      </c>
      <c r="S46" s="17" t="str">
        <f aca="false">IF((E46="w"),H46," ")</f>
        <v> </v>
      </c>
      <c r="T46" s="17" t="str">
        <f aca="false">IF((E46="r"),H46," ")</f>
        <v> </v>
      </c>
      <c r="U46" s="17" t="str">
        <f aca="false">IF((E46="p"),H46," ")</f>
        <v> </v>
      </c>
      <c r="V46" s="17" t="str">
        <f aca="false">IF((E46="t"),H46," ")</f>
        <v> </v>
      </c>
      <c r="W46" s="17" t="str">
        <f aca="false">IF((E46="q"),H46," ")</f>
        <v> </v>
      </c>
      <c r="X46" s="17" t="str">
        <f aca="false">IF((E46="m"),H46," ")</f>
        <v> </v>
      </c>
      <c r="Y46" s="17" t="str">
        <f aca="false">IF((E46="u"),H46," ")</f>
        <v> </v>
      </c>
      <c r="Z46" s="17" t="str">
        <f aca="false">IF((E46="a"),H46," ")</f>
        <v> </v>
      </c>
      <c r="AA46" s="17" t="str">
        <f aca="false">IF((E46="g"),H46," ")</f>
        <v> </v>
      </c>
      <c r="AB46" s="17" t="str">
        <f aca="false">IF((E46="h"),H46," ")</f>
        <v> </v>
      </c>
      <c r="AC46" s="30" t="str">
        <f aca="false">IF((E46="v"),H46," ")</f>
        <v> </v>
      </c>
      <c r="AD46" s="30" t="str">
        <f aca="false">IF((E46="n"),H46," ")</f>
        <v> </v>
      </c>
      <c r="AE46" s="17" t="str">
        <f aca="false">IF((E46="f"),H46," ")</f>
        <v> </v>
      </c>
      <c r="AF46" s="17" t="str">
        <f aca="false">IF((E46="l"),H46," ")</f>
        <v> </v>
      </c>
      <c r="AG46" s="17" t="str">
        <f aca="false">IF((E46="y"),H46," ")</f>
        <v> </v>
      </c>
      <c r="AH46" s="17" t="str">
        <f aca="false">IF((E46="z"),H46," ")</f>
        <v> </v>
      </c>
      <c r="AI46" s="17" t="str">
        <f aca="false">IF((E46="fa"),H46," ")</f>
        <v> </v>
      </c>
      <c r="AJ46" s="17" t="str">
        <f aca="false">IF((E46="e"),H46," ")</f>
        <v> </v>
      </c>
    </row>
    <row r="47" customFormat="false" ht="12" hidden="false" customHeight="false" outlineLevel="0" collapsed="false">
      <c r="A47" s="28"/>
      <c r="E47" s="2"/>
      <c r="F47" s="30"/>
      <c r="G47" s="6" t="str">
        <f aca="false">IF(F47&lt;&gt;0,F47*G$2/(100+G$2)," ")</f>
        <v> </v>
      </c>
      <c r="H47" s="6" t="str">
        <f aca="false">IF((F47&lt;&gt;0),F47-G47," ")</f>
        <v> </v>
      </c>
      <c r="I47" s="5"/>
      <c r="L47" s="7" t="str">
        <f aca="false">IF(F47&lt;&gt;0,F47-K47," ")</f>
        <v> </v>
      </c>
      <c r="M47" s="8" t="str">
        <f aca="false">IF((F47-K47)&lt;&gt;0,M$1-A47," ")</f>
        <v> </v>
      </c>
      <c r="N47" s="5"/>
      <c r="O47" s="17" t="str">
        <f aca="false">IF((E47="s"),H47," ")</f>
        <v> </v>
      </c>
      <c r="P47" s="17" t="str">
        <f aca="false">IF((E47="c"),H47," ")</f>
        <v> </v>
      </c>
      <c r="Q47" s="17" t="str">
        <f aca="false">IF((E47="o"),H47," ")</f>
        <v> </v>
      </c>
      <c r="R47" s="17" t="str">
        <f aca="false">IF((E47="d"),H47," ")</f>
        <v> </v>
      </c>
      <c r="S47" s="17" t="str">
        <f aca="false">IF((E47="w"),H47," ")</f>
        <v> </v>
      </c>
      <c r="T47" s="17" t="str">
        <f aca="false">IF((E47="r"),H47," ")</f>
        <v> </v>
      </c>
      <c r="U47" s="17" t="str">
        <f aca="false">IF((E47="p"),H47," ")</f>
        <v> </v>
      </c>
      <c r="V47" s="17" t="str">
        <f aca="false">IF((E47="t"),H47," ")</f>
        <v> </v>
      </c>
      <c r="W47" s="17" t="str">
        <f aca="false">IF((E47="q"),H47," ")</f>
        <v> </v>
      </c>
      <c r="X47" s="17" t="str">
        <f aca="false">IF((E47="m"),H47," ")</f>
        <v> </v>
      </c>
      <c r="Y47" s="17" t="str">
        <f aca="false">IF((E47="u"),H47," ")</f>
        <v> </v>
      </c>
      <c r="Z47" s="17" t="str">
        <f aca="false">IF((E47="a"),H47," ")</f>
        <v> </v>
      </c>
      <c r="AA47" s="17" t="str">
        <f aca="false">IF((E47="g"),H47," ")</f>
        <v> </v>
      </c>
      <c r="AB47" s="17" t="str">
        <f aca="false">IF((E47="h"),H47," ")</f>
        <v> </v>
      </c>
      <c r="AC47" s="30" t="str">
        <f aca="false">IF((E47="v"),H47," ")</f>
        <v> </v>
      </c>
      <c r="AD47" s="30" t="str">
        <f aca="false">IF((E47="n"),H47," ")</f>
        <v> </v>
      </c>
      <c r="AE47" s="17" t="str">
        <f aca="false">IF((E47="f"),H47," ")</f>
        <v> </v>
      </c>
      <c r="AF47" s="17" t="str">
        <f aca="false">IF((E47="l"),H47," ")</f>
        <v> </v>
      </c>
      <c r="AG47" s="17" t="str">
        <f aca="false">IF((E47="y"),H47," ")</f>
        <v> </v>
      </c>
      <c r="AH47" s="17" t="str">
        <f aca="false">IF((E47="z"),H47," ")</f>
        <v> </v>
      </c>
      <c r="AI47" s="17" t="str">
        <f aca="false">IF((E47="fa"),H47," ")</f>
        <v> </v>
      </c>
      <c r="AJ47" s="17" t="str">
        <f aca="false">IF((E47="e"),H47," ")</f>
        <v> </v>
      </c>
    </row>
    <row r="48" customFormat="false" ht="12" hidden="false" customHeight="false" outlineLevel="0" collapsed="false">
      <c r="A48" s="28"/>
      <c r="E48" s="2"/>
      <c r="F48" s="30"/>
      <c r="G48" s="6" t="str">
        <f aca="false">IF(F48&lt;&gt;0,F48*G$2/(100+G$2)," ")</f>
        <v> </v>
      </c>
      <c r="H48" s="6" t="str">
        <f aca="false">IF((F48&lt;&gt;0),F48-G48," ")</f>
        <v> </v>
      </c>
      <c r="I48" s="5"/>
      <c r="L48" s="7" t="str">
        <f aca="false">IF(F48&lt;&gt;0,F48-K48," ")</f>
        <v> </v>
      </c>
      <c r="M48" s="8" t="str">
        <f aca="false">IF((F48-K48)&lt;&gt;0,M$1-A48," ")</f>
        <v> </v>
      </c>
      <c r="N48" s="5"/>
      <c r="O48" s="17" t="str">
        <f aca="false">IF((E48="s"),H48," ")</f>
        <v> </v>
      </c>
      <c r="P48" s="17" t="str">
        <f aca="false">IF((E48="c"),H48," ")</f>
        <v> </v>
      </c>
      <c r="Q48" s="17" t="str">
        <f aca="false">IF((E48="o"),H48," ")</f>
        <v> </v>
      </c>
      <c r="R48" s="17" t="str">
        <f aca="false">IF((E48="d"),H48," ")</f>
        <v> </v>
      </c>
      <c r="S48" s="17" t="str">
        <f aca="false">IF((E48="w"),H48," ")</f>
        <v> </v>
      </c>
      <c r="T48" s="17" t="str">
        <f aca="false">IF((E48="r"),H48," ")</f>
        <v> </v>
      </c>
      <c r="U48" s="17" t="str">
        <f aca="false">IF((E48="p"),H48," ")</f>
        <v> </v>
      </c>
      <c r="V48" s="17" t="str">
        <f aca="false">IF((E48="t"),H48," ")</f>
        <v> </v>
      </c>
      <c r="W48" s="17" t="str">
        <f aca="false">IF((E48="q"),H48," ")</f>
        <v> </v>
      </c>
      <c r="X48" s="17" t="str">
        <f aca="false">IF((E48="m"),H48," ")</f>
        <v> </v>
      </c>
      <c r="Y48" s="17" t="str">
        <f aca="false">IF((E48="u"),H48," ")</f>
        <v> </v>
      </c>
      <c r="Z48" s="17" t="str">
        <f aca="false">IF((E48="a"),H48," ")</f>
        <v> </v>
      </c>
      <c r="AA48" s="17" t="str">
        <f aca="false">IF((E48="g"),H48," ")</f>
        <v> </v>
      </c>
      <c r="AB48" s="17" t="str">
        <f aca="false">IF((E48="h"),H48," ")</f>
        <v> </v>
      </c>
      <c r="AC48" s="30" t="str">
        <f aca="false">IF((E48="v"),H48," ")</f>
        <v> </v>
      </c>
      <c r="AD48" s="30" t="str">
        <f aca="false">IF((E48="n"),H48," ")</f>
        <v> </v>
      </c>
      <c r="AE48" s="17" t="str">
        <f aca="false">IF((E48="f"),H48," ")</f>
        <v> </v>
      </c>
      <c r="AF48" s="17" t="str">
        <f aca="false">IF((E48="l"),H48," ")</f>
        <v> </v>
      </c>
      <c r="AG48" s="17" t="str">
        <f aca="false">IF((E48="y"),H48," ")</f>
        <v> </v>
      </c>
      <c r="AH48" s="17" t="str">
        <f aca="false">IF((E48="z"),H48," ")</f>
        <v> </v>
      </c>
      <c r="AI48" s="17" t="str">
        <f aca="false">IF((E48="fa"),H48," ")</f>
        <v> </v>
      </c>
      <c r="AJ48" s="17" t="str">
        <f aca="false">IF((E48="e"),H48," ")</f>
        <v> </v>
      </c>
    </row>
    <row r="49" customFormat="false" ht="12" hidden="false" customHeight="false" outlineLevel="0" collapsed="false">
      <c r="A49" s="28"/>
      <c r="E49" s="2"/>
      <c r="F49" s="30"/>
      <c r="G49" s="6" t="str">
        <f aca="false">IF(F49&lt;&gt;0,F49*G$2/(100+G$2)," ")</f>
        <v> </v>
      </c>
      <c r="H49" s="6" t="str">
        <f aca="false">IF((F49&lt;&gt;0),F49-G49," ")</f>
        <v> </v>
      </c>
      <c r="I49" s="5"/>
      <c r="L49" s="7" t="str">
        <f aca="false">IF(F49&lt;&gt;0,F49-K49," ")</f>
        <v> </v>
      </c>
      <c r="M49" s="8" t="str">
        <f aca="false">IF((F49-K49)&lt;&gt;0,M$1-A49," ")</f>
        <v> </v>
      </c>
      <c r="N49" s="5"/>
      <c r="O49" s="17" t="str">
        <f aca="false">IF((E49="s"),H49," ")</f>
        <v> </v>
      </c>
      <c r="P49" s="17" t="str">
        <f aca="false">IF((E49="c"),H49," ")</f>
        <v> </v>
      </c>
      <c r="Q49" s="17" t="str">
        <f aca="false">IF((E49="o"),H49," ")</f>
        <v> </v>
      </c>
      <c r="R49" s="17" t="str">
        <f aca="false">IF((E49="d"),H49," ")</f>
        <v> </v>
      </c>
      <c r="S49" s="17" t="str">
        <f aca="false">IF((E49="w"),H49," ")</f>
        <v> </v>
      </c>
      <c r="T49" s="17" t="str">
        <f aca="false">IF((E49="r"),H49," ")</f>
        <v> </v>
      </c>
      <c r="U49" s="17" t="str">
        <f aca="false">IF((E49="p"),H49," ")</f>
        <v> </v>
      </c>
      <c r="V49" s="17" t="str">
        <f aca="false">IF((E49="t"),H49," ")</f>
        <v> </v>
      </c>
      <c r="W49" s="17" t="str">
        <f aca="false">IF((E49="q"),H49," ")</f>
        <v> </v>
      </c>
      <c r="X49" s="17" t="str">
        <f aca="false">IF((E49="m"),H49," ")</f>
        <v> </v>
      </c>
      <c r="Y49" s="17" t="str">
        <f aca="false">IF((E49="u"),H49," ")</f>
        <v> </v>
      </c>
      <c r="Z49" s="17" t="str">
        <f aca="false">IF((E49="a"),H49," ")</f>
        <v> </v>
      </c>
      <c r="AA49" s="17" t="str">
        <f aca="false">IF((E49="g"),H49," ")</f>
        <v> </v>
      </c>
      <c r="AB49" s="17" t="str">
        <f aca="false">IF((E49="h"),H49," ")</f>
        <v> </v>
      </c>
      <c r="AC49" s="30" t="str">
        <f aca="false">IF((E49="v"),H49," ")</f>
        <v> </v>
      </c>
      <c r="AD49" s="30" t="str">
        <f aca="false">IF((E49="n"),H49," ")</f>
        <v> </v>
      </c>
      <c r="AE49" s="17" t="str">
        <f aca="false">IF((E49="f"),H49," ")</f>
        <v> </v>
      </c>
      <c r="AF49" s="17" t="str">
        <f aca="false">IF((E49="l"),H49," ")</f>
        <v> </v>
      </c>
      <c r="AG49" s="17" t="str">
        <f aca="false">IF((E49="y"),H49," ")</f>
        <v> </v>
      </c>
      <c r="AH49" s="17" t="str">
        <f aca="false">IF((E49="z"),H49," ")</f>
        <v> </v>
      </c>
      <c r="AI49" s="17" t="str">
        <f aca="false">IF((E49="fa"),H49," ")</f>
        <v> </v>
      </c>
      <c r="AJ49" s="17" t="str">
        <f aca="false">IF((E49="e"),H49," ")</f>
        <v> </v>
      </c>
    </row>
    <row r="50" customFormat="false" ht="12" hidden="false" customHeight="false" outlineLevel="0" collapsed="false">
      <c r="A50" s="28"/>
      <c r="E50" s="2"/>
      <c r="F50" s="30"/>
      <c r="G50" s="6" t="str">
        <f aca="false">IF(F50&lt;&gt;0,F50*G$2/(100+G$2)," ")</f>
        <v> </v>
      </c>
      <c r="H50" s="6" t="str">
        <f aca="false">IF((F50&lt;&gt;0),F50-G50," ")</f>
        <v> </v>
      </c>
      <c r="I50" s="5"/>
      <c r="L50" s="7" t="str">
        <f aca="false">IF(F50&lt;&gt;0,F50-K50," ")</f>
        <v> </v>
      </c>
      <c r="M50" s="8" t="str">
        <f aca="false">IF((F50-K50)&lt;&gt;0,M$1-A50," ")</f>
        <v> </v>
      </c>
      <c r="N50" s="5"/>
      <c r="O50" s="17" t="str">
        <f aca="false">IF((E50="s"),H50," ")</f>
        <v> </v>
      </c>
      <c r="P50" s="17" t="str">
        <f aca="false">IF((E50="c"),H50," ")</f>
        <v> </v>
      </c>
      <c r="Q50" s="17" t="str">
        <f aca="false">IF((E50="o"),H50," ")</f>
        <v> </v>
      </c>
      <c r="R50" s="17" t="str">
        <f aca="false">IF((E50="d"),H50," ")</f>
        <v> </v>
      </c>
      <c r="S50" s="17" t="str">
        <f aca="false">IF((E50="w"),H50," ")</f>
        <v> </v>
      </c>
      <c r="T50" s="17" t="str">
        <f aca="false">IF((E50="r"),H50," ")</f>
        <v> </v>
      </c>
      <c r="U50" s="17" t="str">
        <f aca="false">IF((E50="p"),H50," ")</f>
        <v> </v>
      </c>
      <c r="V50" s="17" t="str">
        <f aca="false">IF((E50="t"),H50," ")</f>
        <v> </v>
      </c>
      <c r="W50" s="17" t="str">
        <f aca="false">IF((E50="q"),H50," ")</f>
        <v> </v>
      </c>
      <c r="X50" s="17" t="str">
        <f aca="false">IF((E50="m"),H50," ")</f>
        <v> </v>
      </c>
      <c r="Y50" s="17" t="str">
        <f aca="false">IF((E50="u"),H50," ")</f>
        <v> </v>
      </c>
      <c r="Z50" s="17" t="str">
        <f aca="false">IF((E50="a"),H50," ")</f>
        <v> </v>
      </c>
      <c r="AA50" s="17" t="str">
        <f aca="false">IF((E50="g"),H50," ")</f>
        <v> </v>
      </c>
      <c r="AB50" s="17" t="str">
        <f aca="false">IF((E50="h"),H50," ")</f>
        <v> </v>
      </c>
      <c r="AC50" s="30" t="str">
        <f aca="false">IF((E50="v"),H50," ")</f>
        <v> </v>
      </c>
      <c r="AD50" s="30" t="str">
        <f aca="false">IF((E50="n"),H50," ")</f>
        <v> </v>
      </c>
      <c r="AE50" s="17" t="str">
        <f aca="false">IF((E50="f"),H50," ")</f>
        <v> </v>
      </c>
      <c r="AF50" s="17" t="str">
        <f aca="false">IF((E50="l"),H50," ")</f>
        <v> </v>
      </c>
      <c r="AG50" s="17" t="str">
        <f aca="false">IF((E50="y"),H50," ")</f>
        <v> </v>
      </c>
      <c r="AH50" s="17" t="str">
        <f aca="false">IF((E50="z"),H50," ")</f>
        <v> </v>
      </c>
      <c r="AI50" s="17" t="str">
        <f aca="false">IF((E50="fa"),H50," ")</f>
        <v> </v>
      </c>
      <c r="AJ50" s="17" t="str">
        <f aca="false">IF((E50="e"),H50," ")</f>
        <v> </v>
      </c>
    </row>
    <row r="51" customFormat="false" ht="12" hidden="false" customHeight="false" outlineLevel="0" collapsed="false">
      <c r="A51" s="28"/>
      <c r="E51" s="2"/>
      <c r="F51" s="30"/>
      <c r="G51" s="6" t="str">
        <f aca="false">IF(F51&lt;&gt;0,F51*G$2/(100+G$2)," ")</f>
        <v> </v>
      </c>
      <c r="H51" s="6" t="str">
        <f aca="false">IF((F51&lt;&gt;0),F51-G51," ")</f>
        <v> </v>
      </c>
      <c r="I51" s="5"/>
      <c r="L51" s="7" t="str">
        <f aca="false">IF(F51&lt;&gt;0,F51-K51," ")</f>
        <v> </v>
      </c>
      <c r="M51" s="8" t="str">
        <f aca="false">IF((F51-K51)&lt;&gt;0,M$1-A51," ")</f>
        <v> </v>
      </c>
      <c r="N51" s="5"/>
      <c r="O51" s="17" t="str">
        <f aca="false">IF((E51="s"),H51," ")</f>
        <v> </v>
      </c>
      <c r="P51" s="17" t="str">
        <f aca="false">IF((E51="c"),H51," ")</f>
        <v> </v>
      </c>
      <c r="Q51" s="17" t="str">
        <f aca="false">IF((E51="o"),H51," ")</f>
        <v> </v>
      </c>
      <c r="R51" s="17" t="str">
        <f aca="false">IF((E51="d"),H51," ")</f>
        <v> </v>
      </c>
      <c r="S51" s="17" t="str">
        <f aca="false">IF((E51="w"),H51," ")</f>
        <v> </v>
      </c>
      <c r="T51" s="17" t="str">
        <f aca="false">IF((E51="r"),H51," ")</f>
        <v> </v>
      </c>
      <c r="U51" s="17" t="str">
        <f aca="false">IF((E51="p"),H51," ")</f>
        <v> </v>
      </c>
      <c r="V51" s="17" t="str">
        <f aca="false">IF((E51="t"),H51," ")</f>
        <v> </v>
      </c>
      <c r="W51" s="17" t="str">
        <f aca="false">IF((E51="q"),H51," ")</f>
        <v> </v>
      </c>
      <c r="X51" s="17" t="str">
        <f aca="false">IF((E51="m"),H51," ")</f>
        <v> </v>
      </c>
      <c r="Y51" s="17" t="str">
        <f aca="false">IF((E51="u"),H51," ")</f>
        <v> </v>
      </c>
      <c r="Z51" s="17" t="str">
        <f aca="false">IF((E51="a"),H51," ")</f>
        <v> </v>
      </c>
      <c r="AA51" s="17" t="str">
        <f aca="false">IF((E51="g"),H51," ")</f>
        <v> </v>
      </c>
      <c r="AB51" s="17" t="str">
        <f aca="false">IF((E51="h"),H51," ")</f>
        <v> </v>
      </c>
      <c r="AC51" s="30" t="str">
        <f aca="false">IF((E51="v"),H51," ")</f>
        <v> </v>
      </c>
      <c r="AD51" s="30" t="str">
        <f aca="false">IF((E51="n"),H51," ")</f>
        <v> </v>
      </c>
      <c r="AE51" s="17" t="str">
        <f aca="false">IF((E51="f"),H51," ")</f>
        <v> </v>
      </c>
      <c r="AF51" s="17" t="str">
        <f aca="false">IF((E51="l"),H51," ")</f>
        <v> </v>
      </c>
      <c r="AG51" s="17" t="str">
        <f aca="false">IF((E51="y"),H51," ")</f>
        <v> </v>
      </c>
      <c r="AH51" s="17" t="str">
        <f aca="false">IF((E51="z"),H51," ")</f>
        <v> </v>
      </c>
      <c r="AI51" s="17" t="str">
        <f aca="false">IF((E51="fa"),H51," ")</f>
        <v> </v>
      </c>
      <c r="AJ51" s="17" t="str">
        <f aca="false">IF((E51="e"),H51," ")</f>
        <v> </v>
      </c>
    </row>
    <row r="52" customFormat="false" ht="12" hidden="false" customHeight="false" outlineLevel="0" collapsed="false">
      <c r="A52" s="28"/>
      <c r="E52" s="2"/>
      <c r="F52" s="30"/>
      <c r="G52" s="6" t="str">
        <f aca="false">IF(F52&lt;&gt;0,F52*G$2/(100+G$2)," ")</f>
        <v> </v>
      </c>
      <c r="H52" s="6" t="str">
        <f aca="false">IF((F52&lt;&gt;0),F52-G52," ")</f>
        <v> </v>
      </c>
      <c r="I52" s="5"/>
      <c r="L52" s="7" t="str">
        <f aca="false">IF(F52&lt;&gt;0,F52-K52," ")</f>
        <v> </v>
      </c>
      <c r="M52" s="8" t="str">
        <f aca="false">IF((F52-K52)&lt;&gt;0,M$1-A52," ")</f>
        <v> </v>
      </c>
      <c r="N52" s="5"/>
      <c r="O52" s="17" t="str">
        <f aca="false">IF((E52="s"),H52," ")</f>
        <v> </v>
      </c>
      <c r="P52" s="17" t="str">
        <f aca="false">IF((E52="c"),H52," ")</f>
        <v> </v>
      </c>
      <c r="Q52" s="17" t="str">
        <f aca="false">IF((E52="o"),H52," ")</f>
        <v> </v>
      </c>
      <c r="R52" s="17" t="str">
        <f aca="false">IF((E52="d"),H52," ")</f>
        <v> </v>
      </c>
      <c r="S52" s="17" t="str">
        <f aca="false">IF((E52="w"),H52," ")</f>
        <v> </v>
      </c>
      <c r="T52" s="17" t="str">
        <f aca="false">IF((E52="r"),H52," ")</f>
        <v> </v>
      </c>
      <c r="U52" s="17" t="str">
        <f aca="false">IF((E52="p"),H52," ")</f>
        <v> </v>
      </c>
      <c r="V52" s="17" t="str">
        <f aca="false">IF((E52="t"),H52," ")</f>
        <v> </v>
      </c>
      <c r="W52" s="17" t="str">
        <f aca="false">IF((E52="q"),H52," ")</f>
        <v> </v>
      </c>
      <c r="X52" s="17" t="str">
        <f aca="false">IF((E52="m"),H52," ")</f>
        <v> </v>
      </c>
      <c r="Y52" s="17" t="str">
        <f aca="false">IF((E52="u"),H52," ")</f>
        <v> </v>
      </c>
      <c r="Z52" s="17" t="str">
        <f aca="false">IF((E52="a"),H52," ")</f>
        <v> </v>
      </c>
      <c r="AA52" s="17" t="str">
        <f aca="false">IF((E52="g"),H52," ")</f>
        <v> </v>
      </c>
      <c r="AB52" s="17" t="str">
        <f aca="false">IF((E52="h"),H52," ")</f>
        <v> </v>
      </c>
      <c r="AC52" s="30" t="str">
        <f aca="false">IF((E52="v"),H52," ")</f>
        <v> </v>
      </c>
      <c r="AD52" s="30" t="str">
        <f aca="false">IF((E52="n"),H52," ")</f>
        <v> </v>
      </c>
      <c r="AE52" s="17" t="str">
        <f aca="false">IF((E52="f"),H52," ")</f>
        <v> </v>
      </c>
      <c r="AF52" s="17" t="str">
        <f aca="false">IF((E52="l"),H52," ")</f>
        <v> </v>
      </c>
      <c r="AG52" s="17" t="str">
        <f aca="false">IF((E52="y"),H52," ")</f>
        <v> </v>
      </c>
      <c r="AH52" s="17" t="str">
        <f aca="false">IF((E52="z"),H52," ")</f>
        <v> </v>
      </c>
      <c r="AI52" s="17" t="str">
        <f aca="false">IF((E52="fa"),H52," ")</f>
        <v> </v>
      </c>
      <c r="AJ52" s="17" t="str">
        <f aca="false">IF((E52="e"),H52," ")</f>
        <v> </v>
      </c>
    </row>
    <row r="53" customFormat="false" ht="12" hidden="false" customHeight="false" outlineLevel="0" collapsed="false">
      <c r="A53" s="28"/>
      <c r="E53" s="2"/>
      <c r="F53" s="30"/>
      <c r="G53" s="6" t="str">
        <f aca="false">IF(F53&lt;&gt;0,F53*G$2/(100+G$2)," ")</f>
        <v> </v>
      </c>
      <c r="H53" s="6" t="str">
        <f aca="false">IF((F53&lt;&gt;0),F53-G53," ")</f>
        <v> </v>
      </c>
      <c r="I53" s="5"/>
      <c r="L53" s="7" t="str">
        <f aca="false">IF(F53&lt;&gt;0,F53-K53," ")</f>
        <v> </v>
      </c>
      <c r="M53" s="8" t="str">
        <f aca="false">IF((F53-K53)&lt;&gt;0,M$1-A53," ")</f>
        <v> </v>
      </c>
      <c r="N53" s="5"/>
      <c r="O53" s="17" t="str">
        <f aca="false">IF((E53="s"),H53," ")</f>
        <v> </v>
      </c>
      <c r="P53" s="17" t="str">
        <f aca="false">IF((E53="c"),H53," ")</f>
        <v> </v>
      </c>
      <c r="Q53" s="17" t="str">
        <f aca="false">IF((E53="o"),H53," ")</f>
        <v> </v>
      </c>
      <c r="R53" s="17" t="str">
        <f aca="false">IF((E53="d"),H53," ")</f>
        <v> </v>
      </c>
      <c r="S53" s="17" t="str">
        <f aca="false">IF((E53="w"),H53," ")</f>
        <v> </v>
      </c>
      <c r="T53" s="17" t="str">
        <f aca="false">IF((E53="r"),H53," ")</f>
        <v> </v>
      </c>
      <c r="U53" s="17" t="str">
        <f aca="false">IF((E53="p"),H53," ")</f>
        <v> </v>
      </c>
      <c r="V53" s="17" t="str">
        <f aca="false">IF((E53="t"),H53," ")</f>
        <v> </v>
      </c>
      <c r="W53" s="17" t="str">
        <f aca="false">IF((E53="q"),H53," ")</f>
        <v> </v>
      </c>
      <c r="X53" s="17" t="str">
        <f aca="false">IF((E53="m"),H53," ")</f>
        <v> </v>
      </c>
      <c r="Y53" s="17" t="str">
        <f aca="false">IF((E53="u"),H53," ")</f>
        <v> </v>
      </c>
      <c r="Z53" s="17" t="str">
        <f aca="false">IF((E53="a"),H53," ")</f>
        <v> </v>
      </c>
      <c r="AA53" s="17" t="str">
        <f aca="false">IF((E53="g"),H53," ")</f>
        <v> </v>
      </c>
      <c r="AB53" s="17" t="str">
        <f aca="false">IF((E53="h"),H53," ")</f>
        <v> </v>
      </c>
      <c r="AC53" s="30" t="str">
        <f aca="false">IF((E53="v"),H53," ")</f>
        <v> </v>
      </c>
      <c r="AD53" s="30" t="str">
        <f aca="false">IF((E53="n"),H53," ")</f>
        <v> </v>
      </c>
      <c r="AE53" s="17" t="str">
        <f aca="false">IF((E53="f"),H53," ")</f>
        <v> </v>
      </c>
      <c r="AF53" s="17" t="str">
        <f aca="false">IF((E53="l"),H53," ")</f>
        <v> </v>
      </c>
      <c r="AG53" s="17" t="str">
        <f aca="false">IF((E53="y"),H53," ")</f>
        <v> </v>
      </c>
      <c r="AH53" s="17" t="str">
        <f aca="false">IF((E53="z"),H53," ")</f>
        <v> </v>
      </c>
      <c r="AI53" s="17" t="str">
        <f aca="false">IF((E53="fa"),H53," ")</f>
        <v> </v>
      </c>
      <c r="AJ53" s="17" t="str">
        <f aca="false">IF((E53="e"),H53," ")</f>
        <v> </v>
      </c>
    </row>
    <row r="54" customFormat="false" ht="12" hidden="false" customHeight="false" outlineLevel="0" collapsed="false">
      <c r="A54" s="28"/>
      <c r="E54" s="2"/>
      <c r="F54" s="30"/>
      <c r="G54" s="6" t="str">
        <f aca="false">IF(F54&lt;&gt;0,F54*G$2/(100+G$2)," ")</f>
        <v> </v>
      </c>
      <c r="H54" s="6" t="str">
        <f aca="false">IF((F54&lt;&gt;0),F54-G54," ")</f>
        <v> </v>
      </c>
      <c r="I54" s="5"/>
      <c r="L54" s="7" t="str">
        <f aca="false">IF(F54&lt;&gt;0,F54-K54," ")</f>
        <v> </v>
      </c>
      <c r="M54" s="8" t="str">
        <f aca="false">IF((F54-K54)&lt;&gt;0,M$1-A54," ")</f>
        <v> </v>
      </c>
      <c r="N54" s="5"/>
      <c r="O54" s="17" t="str">
        <f aca="false">IF((E54="s"),H54," ")</f>
        <v> </v>
      </c>
      <c r="P54" s="17" t="str">
        <f aca="false">IF((E54="c"),H54," ")</f>
        <v> </v>
      </c>
      <c r="Q54" s="17" t="str">
        <f aca="false">IF((E54="o"),H54," ")</f>
        <v> </v>
      </c>
      <c r="R54" s="17" t="str">
        <f aca="false">IF((E54="d"),H54," ")</f>
        <v> </v>
      </c>
      <c r="S54" s="17" t="str">
        <f aca="false">IF((E54="w"),H54," ")</f>
        <v> </v>
      </c>
      <c r="T54" s="17" t="str">
        <f aca="false">IF((E54="r"),H54," ")</f>
        <v> </v>
      </c>
      <c r="U54" s="17" t="str">
        <f aca="false">IF((E54="p"),H54," ")</f>
        <v> </v>
      </c>
      <c r="V54" s="17" t="str">
        <f aca="false">IF((E54="t"),H54," ")</f>
        <v> </v>
      </c>
      <c r="W54" s="17" t="str">
        <f aca="false">IF((E54="q"),H54," ")</f>
        <v> </v>
      </c>
      <c r="X54" s="17" t="str">
        <f aca="false">IF((E54="m"),H54," ")</f>
        <v> </v>
      </c>
      <c r="Y54" s="17" t="str">
        <f aca="false">IF((E54="u"),H54," ")</f>
        <v> </v>
      </c>
      <c r="Z54" s="17" t="str">
        <f aca="false">IF((E54="a"),H54," ")</f>
        <v> </v>
      </c>
      <c r="AA54" s="17" t="str">
        <f aca="false">IF((E54="g"),H54," ")</f>
        <v> </v>
      </c>
      <c r="AB54" s="17" t="str">
        <f aca="false">IF((E54="h"),H54," ")</f>
        <v> </v>
      </c>
      <c r="AC54" s="30" t="str">
        <f aca="false">IF((E54="v"),H54," ")</f>
        <v> </v>
      </c>
      <c r="AD54" s="30" t="str">
        <f aca="false">IF((E54="n"),H54," ")</f>
        <v> </v>
      </c>
      <c r="AE54" s="17" t="str">
        <f aca="false">IF((E54="f"),H54," ")</f>
        <v> </v>
      </c>
      <c r="AF54" s="17" t="str">
        <f aca="false">IF((E54="l"),H54," ")</f>
        <v> </v>
      </c>
      <c r="AG54" s="17" t="str">
        <f aca="false">IF((E54="y"),H54," ")</f>
        <v> </v>
      </c>
      <c r="AH54" s="17" t="str">
        <f aca="false">IF((E54="z"),H54," ")</f>
        <v> </v>
      </c>
      <c r="AI54" s="17" t="str">
        <f aca="false">IF((E54="fa"),H54," ")</f>
        <v> </v>
      </c>
      <c r="AJ54" s="17" t="str">
        <f aca="false">IF((E54="e"),H54," ")</f>
        <v> </v>
      </c>
    </row>
    <row r="55" customFormat="false" ht="12" hidden="false" customHeight="false" outlineLevel="0" collapsed="false">
      <c r="A55" s="28"/>
      <c r="E55" s="2"/>
      <c r="F55" s="30"/>
      <c r="G55" s="6" t="str">
        <f aca="false">IF(F55&lt;&gt;0,F55*G$2/(100+G$2)," ")</f>
        <v> </v>
      </c>
      <c r="H55" s="6" t="str">
        <f aca="false">IF((F55&lt;&gt;0),F55-G55," ")</f>
        <v> </v>
      </c>
      <c r="I55" s="5"/>
      <c r="L55" s="7" t="str">
        <f aca="false">IF(F55&lt;&gt;0,F55-K55," ")</f>
        <v> </v>
      </c>
      <c r="M55" s="8" t="str">
        <f aca="false">IF((F55-K55)&lt;&gt;0,M$1-A55," ")</f>
        <v> </v>
      </c>
      <c r="N55" s="5"/>
      <c r="O55" s="17" t="str">
        <f aca="false">IF((E55="s"),H55," ")</f>
        <v> </v>
      </c>
      <c r="P55" s="17" t="str">
        <f aca="false">IF((E55="c"),H55," ")</f>
        <v> </v>
      </c>
      <c r="Q55" s="17" t="str">
        <f aca="false">IF((E55="o"),H55," ")</f>
        <v> </v>
      </c>
      <c r="R55" s="17" t="str">
        <f aca="false">IF((E55="d"),H55," ")</f>
        <v> </v>
      </c>
      <c r="S55" s="17" t="str">
        <f aca="false">IF((E55="w"),H55," ")</f>
        <v> </v>
      </c>
      <c r="T55" s="17" t="str">
        <f aca="false">IF((E55="r"),H55," ")</f>
        <v> </v>
      </c>
      <c r="U55" s="17" t="str">
        <f aca="false">IF((E55="p"),H55," ")</f>
        <v> </v>
      </c>
      <c r="V55" s="17" t="str">
        <f aca="false">IF((E55="t"),H55," ")</f>
        <v> </v>
      </c>
      <c r="W55" s="17" t="str">
        <f aca="false">IF((E55="q"),H55," ")</f>
        <v> </v>
      </c>
      <c r="X55" s="17" t="str">
        <f aca="false">IF((E55="m"),H55," ")</f>
        <v> </v>
      </c>
      <c r="Y55" s="17" t="str">
        <f aca="false">IF((E55="u"),H55," ")</f>
        <v> </v>
      </c>
      <c r="Z55" s="17" t="str">
        <f aca="false">IF((E55="a"),H55," ")</f>
        <v> </v>
      </c>
      <c r="AA55" s="17" t="str">
        <f aca="false">IF((E55="g"),H55," ")</f>
        <v> </v>
      </c>
      <c r="AB55" s="17" t="str">
        <f aca="false">IF((E55="h"),H55," ")</f>
        <v> </v>
      </c>
      <c r="AC55" s="30" t="str">
        <f aca="false">IF((E55="v"),H55," ")</f>
        <v> </v>
      </c>
      <c r="AD55" s="30" t="str">
        <f aca="false">IF((E55="n"),H55," ")</f>
        <v> </v>
      </c>
      <c r="AE55" s="17" t="str">
        <f aca="false">IF((E55="f"),H55," ")</f>
        <v> </v>
      </c>
      <c r="AF55" s="17" t="str">
        <f aca="false">IF((E55="l"),H55," ")</f>
        <v> </v>
      </c>
      <c r="AG55" s="17" t="str">
        <f aca="false">IF((E55="y"),H55," ")</f>
        <v> </v>
      </c>
      <c r="AH55" s="17" t="str">
        <f aca="false">IF((E55="z"),H55," ")</f>
        <v> </v>
      </c>
      <c r="AI55" s="17" t="str">
        <f aca="false">IF((E55="fa"),H55," ")</f>
        <v> </v>
      </c>
      <c r="AJ55" s="17" t="str">
        <f aca="false">IF((E55="e"),H55," ")</f>
        <v> </v>
      </c>
    </row>
    <row r="56" customFormat="false" ht="12" hidden="false" customHeight="false" outlineLevel="0" collapsed="false">
      <c r="A56" s="28"/>
      <c r="E56" s="2"/>
      <c r="F56" s="30"/>
      <c r="G56" s="6" t="str">
        <f aca="false">IF(F56&lt;&gt;0,F56*G$2/(100+G$2)," ")</f>
        <v> </v>
      </c>
      <c r="H56" s="6" t="str">
        <f aca="false">IF((F56&lt;&gt;0),F56-G56," ")</f>
        <v> </v>
      </c>
      <c r="I56" s="5"/>
      <c r="L56" s="7" t="str">
        <f aca="false">IF(F56&lt;&gt;0,F56-K56," ")</f>
        <v> </v>
      </c>
      <c r="M56" s="8" t="str">
        <f aca="false">IF((F56-K56)&lt;&gt;0,M$1-A56," ")</f>
        <v> </v>
      </c>
      <c r="N56" s="5"/>
      <c r="O56" s="17" t="str">
        <f aca="false">IF((E56="s"),H56," ")</f>
        <v> </v>
      </c>
      <c r="P56" s="17" t="str">
        <f aca="false">IF((E56="c"),H56," ")</f>
        <v> </v>
      </c>
      <c r="Q56" s="17" t="str">
        <f aca="false">IF((E56="o"),H56," ")</f>
        <v> </v>
      </c>
      <c r="R56" s="17" t="str">
        <f aca="false">IF((E56="d"),H56," ")</f>
        <v> </v>
      </c>
      <c r="S56" s="17" t="str">
        <f aca="false">IF((E56="w"),H56," ")</f>
        <v> </v>
      </c>
      <c r="T56" s="17" t="str">
        <f aca="false">IF((E56="r"),H56," ")</f>
        <v> </v>
      </c>
      <c r="U56" s="17" t="str">
        <f aca="false">IF((E56="p"),H56," ")</f>
        <v> </v>
      </c>
      <c r="V56" s="17" t="str">
        <f aca="false">IF((E56="t"),H56," ")</f>
        <v> </v>
      </c>
      <c r="W56" s="17" t="str">
        <f aca="false">IF((E56="q"),H56," ")</f>
        <v> </v>
      </c>
      <c r="X56" s="17" t="str">
        <f aca="false">IF((E56="m"),H56," ")</f>
        <v> </v>
      </c>
      <c r="Y56" s="17" t="str">
        <f aca="false">IF((E56="u"),H56," ")</f>
        <v> </v>
      </c>
      <c r="Z56" s="17" t="str">
        <f aca="false">IF((E56="a"),H56," ")</f>
        <v> </v>
      </c>
      <c r="AA56" s="17" t="str">
        <f aca="false">IF((E56="g"),H56," ")</f>
        <v> </v>
      </c>
      <c r="AB56" s="17" t="str">
        <f aca="false">IF((E56="h"),H56," ")</f>
        <v> </v>
      </c>
      <c r="AC56" s="30" t="str">
        <f aca="false">IF((E56="v"),H56," ")</f>
        <v> </v>
      </c>
      <c r="AD56" s="30" t="str">
        <f aca="false">IF((E56="n"),H56," ")</f>
        <v> </v>
      </c>
      <c r="AE56" s="17" t="str">
        <f aca="false">IF((E56="f"),H56," ")</f>
        <v> </v>
      </c>
      <c r="AF56" s="17" t="str">
        <f aca="false">IF((E56="l"),H56," ")</f>
        <v> </v>
      </c>
      <c r="AG56" s="17" t="str">
        <f aca="false">IF((E56="y"),H56," ")</f>
        <v> </v>
      </c>
      <c r="AH56" s="17" t="str">
        <f aca="false">IF((E56="z"),H56," ")</f>
        <v> </v>
      </c>
      <c r="AI56" s="17" t="str">
        <f aca="false">IF((E56="fa"),H56," ")</f>
        <v> </v>
      </c>
      <c r="AJ56" s="17" t="str">
        <f aca="false">IF((E56="e"),H56," ")</f>
        <v> </v>
      </c>
    </row>
    <row r="57" customFormat="false" ht="12" hidden="false" customHeight="false" outlineLevel="0" collapsed="false">
      <c r="A57" s="28"/>
      <c r="E57" s="2"/>
      <c r="F57" s="30"/>
      <c r="G57" s="6" t="str">
        <f aca="false">IF(F57&lt;&gt;0,F57*G$2/(100+G$2)," ")</f>
        <v> </v>
      </c>
      <c r="H57" s="6" t="str">
        <f aca="false">IF((F57&lt;&gt;0),F57-G57," ")</f>
        <v> </v>
      </c>
      <c r="I57" s="5"/>
      <c r="L57" s="7" t="str">
        <f aca="false">IF(F57&lt;&gt;0,F57-K57," ")</f>
        <v> </v>
      </c>
      <c r="M57" s="8" t="str">
        <f aca="false">IF((F57-K57)&lt;&gt;0,M$1-A57," ")</f>
        <v> </v>
      </c>
      <c r="N57" s="5"/>
      <c r="O57" s="17" t="str">
        <f aca="false">IF((E57="s"),H57," ")</f>
        <v> </v>
      </c>
      <c r="P57" s="17" t="str">
        <f aca="false">IF((E57="c"),H57," ")</f>
        <v> </v>
      </c>
      <c r="Q57" s="17" t="str">
        <f aca="false">IF((E57="o"),H57," ")</f>
        <v> </v>
      </c>
      <c r="R57" s="17" t="str">
        <f aca="false">IF((E57="d"),H57," ")</f>
        <v> </v>
      </c>
      <c r="S57" s="17" t="str">
        <f aca="false">IF((E57="w"),H57," ")</f>
        <v> </v>
      </c>
      <c r="T57" s="17" t="str">
        <f aca="false">IF((E57="r"),H57," ")</f>
        <v> </v>
      </c>
      <c r="U57" s="17" t="str">
        <f aca="false">IF((E57="p"),H57," ")</f>
        <v> </v>
      </c>
      <c r="V57" s="17" t="str">
        <f aca="false">IF((E57="t"),H57," ")</f>
        <v> </v>
      </c>
      <c r="W57" s="17" t="str">
        <f aca="false">IF((E57="q"),H57," ")</f>
        <v> </v>
      </c>
      <c r="X57" s="17" t="str">
        <f aca="false">IF((E57="m"),H57," ")</f>
        <v> </v>
      </c>
      <c r="Y57" s="17" t="str">
        <f aca="false">IF((E57="u"),H57," ")</f>
        <v> </v>
      </c>
      <c r="Z57" s="17" t="str">
        <f aca="false">IF((E57="a"),H57," ")</f>
        <v> </v>
      </c>
      <c r="AA57" s="17" t="str">
        <f aca="false">IF((E57="g"),H57," ")</f>
        <v> </v>
      </c>
      <c r="AB57" s="17" t="str">
        <f aca="false">IF((E57="h"),H57," ")</f>
        <v> </v>
      </c>
      <c r="AC57" s="30" t="str">
        <f aca="false">IF((E57="v"),H57," ")</f>
        <v> </v>
      </c>
      <c r="AD57" s="30" t="str">
        <f aca="false">IF((E57="n"),H57," ")</f>
        <v> </v>
      </c>
      <c r="AE57" s="17" t="str">
        <f aca="false">IF((E57="f"),H57," ")</f>
        <v> </v>
      </c>
      <c r="AF57" s="17" t="str">
        <f aca="false">IF((E57="l"),H57," ")</f>
        <v> </v>
      </c>
      <c r="AG57" s="17" t="str">
        <f aca="false">IF((E57="y"),H57," ")</f>
        <v> </v>
      </c>
      <c r="AH57" s="17" t="str">
        <f aca="false">IF((E57="z"),H57," ")</f>
        <v> </v>
      </c>
      <c r="AI57" s="17" t="str">
        <f aca="false">IF((E57="fa"),H57," ")</f>
        <v> </v>
      </c>
      <c r="AJ57" s="17" t="str">
        <f aca="false">IF((E57="e"),H57," ")</f>
        <v> </v>
      </c>
    </row>
    <row r="58" customFormat="false" ht="12" hidden="false" customHeight="false" outlineLevel="0" collapsed="false">
      <c r="A58" s="28"/>
      <c r="E58" s="2"/>
      <c r="F58" s="30"/>
      <c r="G58" s="6" t="str">
        <f aca="false">IF(F58&lt;&gt;0,F58*G$2/(100+G$2)," ")</f>
        <v> </v>
      </c>
      <c r="H58" s="6" t="str">
        <f aca="false">IF((F58&lt;&gt;0),F58-G58," ")</f>
        <v> </v>
      </c>
      <c r="I58" s="5"/>
      <c r="L58" s="7" t="str">
        <f aca="false">IF(F58&lt;&gt;0,F58-K58," ")</f>
        <v> </v>
      </c>
      <c r="M58" s="8" t="str">
        <f aca="false">IF((F58-K58)&lt;&gt;0,M$1-A58," ")</f>
        <v> </v>
      </c>
      <c r="N58" s="5"/>
      <c r="O58" s="17" t="str">
        <f aca="false">IF((E58="s"),H58," ")</f>
        <v> </v>
      </c>
      <c r="P58" s="17" t="str">
        <f aca="false">IF((E58="c"),H58," ")</f>
        <v> </v>
      </c>
      <c r="Q58" s="17" t="str">
        <f aca="false">IF((E58="o"),H58," ")</f>
        <v> </v>
      </c>
      <c r="R58" s="17" t="str">
        <f aca="false">IF((E58="d"),H58," ")</f>
        <v> </v>
      </c>
      <c r="S58" s="17" t="str">
        <f aca="false">IF((E58="w"),H58," ")</f>
        <v> </v>
      </c>
      <c r="T58" s="17" t="str">
        <f aca="false">IF((E58="r"),H58," ")</f>
        <v> </v>
      </c>
      <c r="U58" s="17" t="str">
        <f aca="false">IF((E58="p"),H58," ")</f>
        <v> </v>
      </c>
      <c r="V58" s="17" t="str">
        <f aca="false">IF((E58="t"),H58," ")</f>
        <v> </v>
      </c>
      <c r="W58" s="17" t="str">
        <f aca="false">IF((E58="q"),H58," ")</f>
        <v> </v>
      </c>
      <c r="X58" s="17" t="str">
        <f aca="false">IF((E58="m"),H58," ")</f>
        <v> </v>
      </c>
      <c r="Y58" s="17" t="str">
        <f aca="false">IF((E58="u"),H58," ")</f>
        <v> </v>
      </c>
      <c r="Z58" s="17" t="str">
        <f aca="false">IF((E58="a"),H58," ")</f>
        <v> </v>
      </c>
      <c r="AA58" s="17" t="str">
        <f aca="false">IF((E58="g"),H58," ")</f>
        <v> </v>
      </c>
      <c r="AB58" s="17" t="str">
        <f aca="false">IF((E58="h"),H58," ")</f>
        <v> </v>
      </c>
      <c r="AC58" s="30" t="str">
        <f aca="false">IF((E58="v"),H58," ")</f>
        <v> </v>
      </c>
      <c r="AD58" s="30" t="str">
        <f aca="false">IF((E58="n"),H58," ")</f>
        <v> </v>
      </c>
      <c r="AE58" s="17" t="str">
        <f aca="false">IF((E58="f"),H58," ")</f>
        <v> </v>
      </c>
      <c r="AF58" s="17" t="str">
        <f aca="false">IF((E58="l"),H58," ")</f>
        <v> </v>
      </c>
      <c r="AG58" s="17" t="str">
        <f aca="false">IF((E58="y"),H58," ")</f>
        <v> </v>
      </c>
      <c r="AH58" s="17" t="str">
        <f aca="false">IF((E58="z"),H58," ")</f>
        <v> </v>
      </c>
      <c r="AI58" s="17" t="str">
        <f aca="false">IF((E58="fa"),H58," ")</f>
        <v> </v>
      </c>
      <c r="AJ58" s="17" t="str">
        <f aca="false">IF((E58="e"),H58," ")</f>
        <v> </v>
      </c>
    </row>
    <row r="59" customFormat="false" ht="12" hidden="false" customHeight="false" outlineLevel="0" collapsed="false">
      <c r="A59" s="28"/>
      <c r="E59" s="2"/>
      <c r="F59" s="30"/>
      <c r="G59" s="6" t="str">
        <f aca="false">IF(F59&lt;&gt;0,F59*G$2/(100+G$2)," ")</f>
        <v> </v>
      </c>
      <c r="H59" s="6" t="str">
        <f aca="false">IF((F59&lt;&gt;0),F59-G59," ")</f>
        <v> </v>
      </c>
      <c r="I59" s="5"/>
      <c r="L59" s="7" t="str">
        <f aca="false">IF(F59&lt;&gt;0,F59-K59," ")</f>
        <v> </v>
      </c>
      <c r="M59" s="8" t="str">
        <f aca="false">IF((F59-K59)&lt;&gt;0,M$1-A59," ")</f>
        <v> </v>
      </c>
      <c r="N59" s="5"/>
      <c r="O59" s="17" t="str">
        <f aca="false">IF((E59="s"),H59," ")</f>
        <v> </v>
      </c>
      <c r="P59" s="17" t="str">
        <f aca="false">IF((E59="c"),H59," ")</f>
        <v> </v>
      </c>
      <c r="Q59" s="17" t="str">
        <f aca="false">IF((E59="o"),H59," ")</f>
        <v> </v>
      </c>
      <c r="R59" s="17" t="str">
        <f aca="false">IF((E59="d"),H59," ")</f>
        <v> </v>
      </c>
      <c r="S59" s="17" t="str">
        <f aca="false">IF((E59="w"),H59," ")</f>
        <v> </v>
      </c>
      <c r="T59" s="17" t="str">
        <f aca="false">IF((E59="r"),H59," ")</f>
        <v> </v>
      </c>
      <c r="U59" s="17" t="str">
        <f aca="false">IF((E59="p"),H59," ")</f>
        <v> </v>
      </c>
      <c r="V59" s="17" t="str">
        <f aca="false">IF((E59="t"),H59," ")</f>
        <v> </v>
      </c>
      <c r="W59" s="17" t="str">
        <f aca="false">IF((E59="q"),H59," ")</f>
        <v> </v>
      </c>
      <c r="X59" s="17" t="str">
        <f aca="false">IF((E59="m"),H59," ")</f>
        <v> </v>
      </c>
      <c r="Y59" s="17" t="str">
        <f aca="false">IF((E59="u"),H59," ")</f>
        <v> </v>
      </c>
      <c r="Z59" s="17" t="str">
        <f aca="false">IF((E59="a"),H59," ")</f>
        <v> </v>
      </c>
      <c r="AA59" s="17" t="str">
        <f aca="false">IF((E59="g"),H59," ")</f>
        <v> </v>
      </c>
      <c r="AB59" s="17" t="str">
        <f aca="false">IF((E59="h"),H59," ")</f>
        <v> </v>
      </c>
      <c r="AC59" s="30" t="str">
        <f aca="false">IF((E59="v"),H59," ")</f>
        <v> </v>
      </c>
      <c r="AD59" s="30" t="str">
        <f aca="false">IF((E59="n"),H59," ")</f>
        <v> </v>
      </c>
      <c r="AE59" s="17" t="str">
        <f aca="false">IF((E59="f"),H59," ")</f>
        <v> </v>
      </c>
      <c r="AF59" s="17" t="str">
        <f aca="false">IF((E59="l"),H59," ")</f>
        <v> </v>
      </c>
      <c r="AG59" s="17" t="str">
        <f aca="false">IF((E59="y"),H59," ")</f>
        <v> </v>
      </c>
      <c r="AH59" s="17" t="str">
        <f aca="false">IF((E59="z"),H59," ")</f>
        <v> </v>
      </c>
      <c r="AI59" s="17" t="str">
        <f aca="false">IF((E59="fa"),H59," ")</f>
        <v> </v>
      </c>
      <c r="AJ59" s="17" t="str">
        <f aca="false">IF((E59="e"),H59," ")</f>
        <v> </v>
      </c>
    </row>
    <row r="60" customFormat="false" ht="12" hidden="false" customHeight="false" outlineLevel="0" collapsed="false">
      <c r="A60" s="28"/>
      <c r="E60" s="2"/>
      <c r="F60" s="30"/>
      <c r="G60" s="6" t="str">
        <f aca="false">IF(F60&lt;&gt;0,F60*G$2/(100+G$2)," ")</f>
        <v> </v>
      </c>
      <c r="H60" s="6" t="str">
        <f aca="false">IF((F60&lt;&gt;0),F60-G60," ")</f>
        <v> </v>
      </c>
      <c r="I60" s="5"/>
      <c r="L60" s="7" t="str">
        <f aca="false">IF(F60&lt;&gt;0,F60-K60," ")</f>
        <v> </v>
      </c>
      <c r="M60" s="8" t="str">
        <f aca="false">IF((F60-K60)&lt;&gt;0,M$1-A60," ")</f>
        <v> </v>
      </c>
      <c r="N60" s="5"/>
      <c r="O60" s="17" t="str">
        <f aca="false">IF((E60="s"),H60," ")</f>
        <v> </v>
      </c>
      <c r="P60" s="17" t="str">
        <f aca="false">IF((E60="c"),H60," ")</f>
        <v> </v>
      </c>
      <c r="Q60" s="17" t="str">
        <f aca="false">IF((E60="o"),H60," ")</f>
        <v> </v>
      </c>
      <c r="R60" s="17" t="str">
        <f aca="false">IF((E60="d"),H60," ")</f>
        <v> </v>
      </c>
      <c r="S60" s="17" t="str">
        <f aca="false">IF((E60="w"),H60," ")</f>
        <v> </v>
      </c>
      <c r="T60" s="17" t="str">
        <f aca="false">IF((E60="r"),H60," ")</f>
        <v> </v>
      </c>
      <c r="U60" s="17" t="str">
        <f aca="false">IF((E60="p"),H60," ")</f>
        <v> </v>
      </c>
      <c r="V60" s="17" t="str">
        <f aca="false">IF((E60="t"),H60," ")</f>
        <v> </v>
      </c>
      <c r="W60" s="17" t="str">
        <f aca="false">IF((E60="q"),H60," ")</f>
        <v> </v>
      </c>
      <c r="X60" s="17" t="str">
        <f aca="false">IF((E60="m"),H60," ")</f>
        <v> </v>
      </c>
      <c r="Y60" s="17" t="str">
        <f aca="false">IF((E60="u"),H60," ")</f>
        <v> </v>
      </c>
      <c r="Z60" s="17" t="str">
        <f aca="false">IF((E60="a"),H60," ")</f>
        <v> </v>
      </c>
      <c r="AA60" s="17" t="str">
        <f aca="false">IF((E60="g"),H60," ")</f>
        <v> </v>
      </c>
      <c r="AB60" s="17" t="str">
        <f aca="false">IF((E60="h"),H60," ")</f>
        <v> </v>
      </c>
      <c r="AC60" s="30" t="str">
        <f aca="false">IF((E60="v"),H60," ")</f>
        <v> </v>
      </c>
      <c r="AD60" s="30" t="str">
        <f aca="false">IF((E60="n"),H60," ")</f>
        <v> </v>
      </c>
      <c r="AE60" s="17" t="str">
        <f aca="false">IF((E60="f"),H60," ")</f>
        <v> </v>
      </c>
      <c r="AF60" s="17" t="str">
        <f aca="false">IF((E60="l"),H60," ")</f>
        <v> </v>
      </c>
      <c r="AG60" s="17" t="str">
        <f aca="false">IF((E60="y"),H60," ")</f>
        <v> </v>
      </c>
      <c r="AH60" s="17" t="str">
        <f aca="false">IF((E60="z"),H60," ")</f>
        <v> </v>
      </c>
      <c r="AI60" s="17" t="str">
        <f aca="false">IF((E60="fa"),H60," ")</f>
        <v> </v>
      </c>
      <c r="AJ60" s="17" t="str">
        <f aca="false">IF((E60="e"),H60," ")</f>
        <v> </v>
      </c>
    </row>
    <row r="61" customFormat="false" ht="12" hidden="false" customHeight="false" outlineLevel="0" collapsed="false">
      <c r="A61" s="28"/>
      <c r="E61" s="2"/>
      <c r="F61" s="30"/>
      <c r="G61" s="6" t="str">
        <f aca="false">IF(F61&lt;&gt;0,F61*G$2/(100+G$2)," ")</f>
        <v> </v>
      </c>
      <c r="H61" s="6" t="str">
        <f aca="false">IF((F61&lt;&gt;0),F61-G61," ")</f>
        <v> </v>
      </c>
      <c r="I61" s="5"/>
      <c r="L61" s="7" t="str">
        <f aca="false">IF(F61&lt;&gt;0,F61-K61," ")</f>
        <v> </v>
      </c>
      <c r="M61" s="8" t="str">
        <f aca="false">IF((F61-K61)&lt;&gt;0,M$1-A61," ")</f>
        <v> </v>
      </c>
      <c r="N61" s="5"/>
      <c r="O61" s="17" t="str">
        <f aca="false">IF((E61="s"),H61," ")</f>
        <v> </v>
      </c>
      <c r="P61" s="17" t="str">
        <f aca="false">IF((E61="c"),H61," ")</f>
        <v> </v>
      </c>
      <c r="Q61" s="17" t="str">
        <f aca="false">IF((E61="o"),H61," ")</f>
        <v> </v>
      </c>
      <c r="R61" s="17" t="str">
        <f aca="false">IF((E61="d"),H61," ")</f>
        <v> </v>
      </c>
      <c r="S61" s="17" t="str">
        <f aca="false">IF((E61="w"),H61," ")</f>
        <v> </v>
      </c>
      <c r="T61" s="17" t="str">
        <f aca="false">IF((E61="r"),H61," ")</f>
        <v> </v>
      </c>
      <c r="U61" s="17" t="str">
        <f aca="false">IF((E61="p"),H61," ")</f>
        <v> </v>
      </c>
      <c r="V61" s="17" t="str">
        <f aca="false">IF((E61="t"),H61," ")</f>
        <v> </v>
      </c>
      <c r="W61" s="17" t="str">
        <f aca="false">IF((E61="q"),H61," ")</f>
        <v> </v>
      </c>
      <c r="X61" s="17" t="str">
        <f aca="false">IF((E61="m"),H61," ")</f>
        <v> </v>
      </c>
      <c r="Y61" s="17" t="str">
        <f aca="false">IF((E61="u"),H61," ")</f>
        <v> </v>
      </c>
      <c r="Z61" s="17" t="str">
        <f aca="false">IF((E61="a"),H61," ")</f>
        <v> </v>
      </c>
      <c r="AA61" s="17" t="str">
        <f aca="false">IF((E61="g"),H61," ")</f>
        <v> </v>
      </c>
      <c r="AB61" s="17" t="str">
        <f aca="false">IF((E61="h"),H61," ")</f>
        <v> </v>
      </c>
      <c r="AC61" s="30" t="str">
        <f aca="false">IF((E61="v"),H61," ")</f>
        <v> </v>
      </c>
      <c r="AD61" s="30" t="str">
        <f aca="false">IF((E61="n"),H61," ")</f>
        <v> </v>
      </c>
      <c r="AE61" s="17" t="str">
        <f aca="false">IF((E61="f"),H61," ")</f>
        <v> </v>
      </c>
      <c r="AF61" s="17" t="str">
        <f aca="false">IF((E61="l"),H61," ")</f>
        <v> </v>
      </c>
      <c r="AG61" s="17" t="str">
        <f aca="false">IF((E61="y"),H61," ")</f>
        <v> </v>
      </c>
      <c r="AH61" s="17" t="str">
        <f aca="false">IF((E61="z"),H61," ")</f>
        <v> </v>
      </c>
      <c r="AI61" s="17" t="str">
        <f aca="false">IF((E61="fa"),H61," ")</f>
        <v> </v>
      </c>
      <c r="AJ61" s="17" t="str">
        <f aca="false">IF((E61="e"),H61," ")</f>
        <v> </v>
      </c>
    </row>
    <row r="62" customFormat="false" ht="12" hidden="false" customHeight="false" outlineLevel="0" collapsed="false">
      <c r="A62" s="28"/>
      <c r="E62" s="2"/>
      <c r="F62" s="30"/>
      <c r="G62" s="6" t="str">
        <f aca="false">IF(F62&lt;&gt;0,F62*G$2/(100+G$2)," ")</f>
        <v> </v>
      </c>
      <c r="H62" s="6" t="str">
        <f aca="false">IF((F62&lt;&gt;0),F62-G62," ")</f>
        <v> </v>
      </c>
      <c r="I62" s="5"/>
      <c r="L62" s="7" t="str">
        <f aca="false">IF(F62&lt;&gt;0,F62-K62," ")</f>
        <v> </v>
      </c>
      <c r="M62" s="8" t="str">
        <f aca="false">IF((F62-K62)&lt;&gt;0,M$1-A62," ")</f>
        <v> </v>
      </c>
      <c r="N62" s="5"/>
      <c r="O62" s="17" t="str">
        <f aca="false">IF((E62="s"),H62," ")</f>
        <v> </v>
      </c>
      <c r="P62" s="17" t="str">
        <f aca="false">IF((E62="c"),H62," ")</f>
        <v> </v>
      </c>
      <c r="Q62" s="17" t="str">
        <f aca="false">IF((E62="o"),H62," ")</f>
        <v> </v>
      </c>
      <c r="R62" s="17" t="str">
        <f aca="false">IF((E62="d"),H62," ")</f>
        <v> </v>
      </c>
      <c r="S62" s="17" t="str">
        <f aca="false">IF((E62="w"),H62," ")</f>
        <v> </v>
      </c>
      <c r="T62" s="17" t="str">
        <f aca="false">IF((E62="r"),H62," ")</f>
        <v> </v>
      </c>
      <c r="U62" s="17" t="str">
        <f aca="false">IF((E62="p"),H62," ")</f>
        <v> </v>
      </c>
      <c r="V62" s="17" t="str">
        <f aca="false">IF((E62="t"),H62," ")</f>
        <v> </v>
      </c>
      <c r="W62" s="17" t="str">
        <f aca="false">IF((E62="q"),H62," ")</f>
        <v> </v>
      </c>
      <c r="X62" s="17" t="str">
        <f aca="false">IF((E62="m"),H62," ")</f>
        <v> </v>
      </c>
      <c r="Y62" s="17" t="str">
        <f aca="false">IF((E62="u"),H62," ")</f>
        <v> </v>
      </c>
      <c r="Z62" s="17" t="str">
        <f aca="false">IF((E62="a"),H62," ")</f>
        <v> </v>
      </c>
      <c r="AA62" s="17" t="str">
        <f aca="false">IF((E62="g"),H62," ")</f>
        <v> </v>
      </c>
      <c r="AB62" s="17" t="str">
        <f aca="false">IF((E62="h"),H62," ")</f>
        <v> </v>
      </c>
      <c r="AC62" s="30" t="str">
        <f aca="false">IF((E62="v"),H62," ")</f>
        <v> </v>
      </c>
      <c r="AD62" s="30" t="str">
        <f aca="false">IF((E62="n"),H62," ")</f>
        <v> </v>
      </c>
      <c r="AE62" s="17" t="str">
        <f aca="false">IF((E62="f"),H62," ")</f>
        <v> </v>
      </c>
      <c r="AF62" s="17" t="str">
        <f aca="false">IF((E62="l"),H62," ")</f>
        <v> </v>
      </c>
      <c r="AG62" s="17" t="str">
        <f aca="false">IF((E62="y"),H62," ")</f>
        <v> </v>
      </c>
      <c r="AH62" s="17" t="str">
        <f aca="false">IF((E62="z"),H62," ")</f>
        <v> </v>
      </c>
      <c r="AI62" s="17" t="str">
        <f aca="false">IF((E62="fa"),H62," ")</f>
        <v> </v>
      </c>
      <c r="AJ62" s="17" t="str">
        <f aca="false">IF((E62="e"),H62," ")</f>
        <v> </v>
      </c>
    </row>
    <row r="63" customFormat="false" ht="12" hidden="false" customHeight="false" outlineLevel="0" collapsed="false">
      <c r="A63" s="28"/>
      <c r="E63" s="2"/>
      <c r="F63" s="30"/>
      <c r="G63" s="6" t="str">
        <f aca="false">IF(F63&lt;&gt;0,F63*G$2/(100+G$2)," ")</f>
        <v> </v>
      </c>
      <c r="H63" s="6" t="str">
        <f aca="false">IF((F63&lt;&gt;0),F63-G63," ")</f>
        <v> </v>
      </c>
      <c r="I63" s="5"/>
      <c r="L63" s="7" t="str">
        <f aca="false">IF(F63&lt;&gt;0,F63-K63," ")</f>
        <v> </v>
      </c>
      <c r="M63" s="8" t="str">
        <f aca="false">IF((F63-K63)&lt;&gt;0,M$1-A63," ")</f>
        <v> </v>
      </c>
      <c r="N63" s="5"/>
      <c r="O63" s="17" t="str">
        <f aca="false">IF((E63="s"),H63," ")</f>
        <v> </v>
      </c>
      <c r="P63" s="17" t="str">
        <f aca="false">IF((E63="c"),H63," ")</f>
        <v> </v>
      </c>
      <c r="Q63" s="17" t="str">
        <f aca="false">IF((E63="o"),H63," ")</f>
        <v> </v>
      </c>
      <c r="R63" s="17" t="str">
        <f aca="false">IF((E63="d"),H63," ")</f>
        <v> </v>
      </c>
      <c r="S63" s="17" t="str">
        <f aca="false">IF((E63="w"),H63," ")</f>
        <v> </v>
      </c>
      <c r="T63" s="17" t="str">
        <f aca="false">IF((E63="r"),H63," ")</f>
        <v> </v>
      </c>
      <c r="U63" s="17" t="str">
        <f aca="false">IF((E63="p"),H63," ")</f>
        <v> </v>
      </c>
      <c r="V63" s="17" t="str">
        <f aca="false">IF((E63="t"),H63," ")</f>
        <v> </v>
      </c>
      <c r="W63" s="17" t="str">
        <f aca="false">IF((E63="q"),H63," ")</f>
        <v> </v>
      </c>
      <c r="X63" s="17" t="str">
        <f aca="false">IF((E63="m"),H63," ")</f>
        <v> </v>
      </c>
      <c r="Y63" s="17" t="str">
        <f aca="false">IF((E63="u"),H63," ")</f>
        <v> </v>
      </c>
      <c r="Z63" s="17" t="str">
        <f aca="false">IF((E63="a"),H63," ")</f>
        <v> </v>
      </c>
      <c r="AA63" s="17" t="str">
        <f aca="false">IF((E63="g"),H63," ")</f>
        <v> </v>
      </c>
      <c r="AB63" s="17" t="str">
        <f aca="false">IF((E63="h"),H63," ")</f>
        <v> </v>
      </c>
      <c r="AC63" s="30" t="str">
        <f aca="false">IF((E63="v"),H63," ")</f>
        <v> </v>
      </c>
      <c r="AD63" s="30" t="str">
        <f aca="false">IF((E63="n"),H63," ")</f>
        <v> </v>
      </c>
      <c r="AE63" s="17" t="str">
        <f aca="false">IF((E63="f"),H63," ")</f>
        <v> </v>
      </c>
      <c r="AF63" s="17" t="str">
        <f aca="false">IF((E63="l"),H63," ")</f>
        <v> </v>
      </c>
      <c r="AG63" s="17" t="str">
        <f aca="false">IF((E63="y"),H63," ")</f>
        <v> </v>
      </c>
      <c r="AH63" s="17" t="str">
        <f aca="false">IF((E63="z"),H63," ")</f>
        <v> </v>
      </c>
      <c r="AI63" s="17" t="str">
        <f aca="false">IF((E63="fa"),H63," ")</f>
        <v> </v>
      </c>
      <c r="AJ63" s="17" t="str">
        <f aca="false">IF((E63="e"),H63," ")</f>
        <v> </v>
      </c>
    </row>
    <row r="64" customFormat="false" ht="12" hidden="false" customHeight="false" outlineLevel="0" collapsed="false">
      <c r="A64" s="28"/>
      <c r="E64" s="2"/>
      <c r="F64" s="30"/>
      <c r="G64" s="6" t="str">
        <f aca="false">IF(F64&lt;&gt;0,F64*G$2/(100+G$2)," ")</f>
        <v> </v>
      </c>
      <c r="H64" s="6" t="str">
        <f aca="false">IF((F64&lt;&gt;0),F64-G64," ")</f>
        <v> </v>
      </c>
      <c r="I64" s="5"/>
      <c r="L64" s="7" t="str">
        <f aca="false">IF(F64&lt;&gt;0,F64-K64," ")</f>
        <v> </v>
      </c>
      <c r="M64" s="8" t="str">
        <f aca="false">IF((F64-K64)&lt;&gt;0,M$1-A64," ")</f>
        <v> </v>
      </c>
      <c r="N64" s="5"/>
      <c r="O64" s="17" t="str">
        <f aca="false">IF((E64="s"),H64," ")</f>
        <v> </v>
      </c>
      <c r="P64" s="17" t="str">
        <f aca="false">IF((E64="c"),H64," ")</f>
        <v> </v>
      </c>
      <c r="Q64" s="17" t="str">
        <f aca="false">IF((E64="o"),H64," ")</f>
        <v> </v>
      </c>
      <c r="R64" s="17" t="str">
        <f aca="false">IF((E64="d"),H64," ")</f>
        <v> </v>
      </c>
      <c r="S64" s="17" t="str">
        <f aca="false">IF((E64="w"),H64," ")</f>
        <v> </v>
      </c>
      <c r="T64" s="17" t="str">
        <f aca="false">IF((E64="r"),H64," ")</f>
        <v> </v>
      </c>
      <c r="U64" s="17" t="str">
        <f aca="false">IF((E64="p"),H64," ")</f>
        <v> </v>
      </c>
      <c r="V64" s="17" t="str">
        <f aca="false">IF((E64="t"),H64," ")</f>
        <v> </v>
      </c>
      <c r="W64" s="17" t="str">
        <f aca="false">IF((E64="q"),H64," ")</f>
        <v> </v>
      </c>
      <c r="X64" s="17" t="str">
        <f aca="false">IF((E64="m"),H64," ")</f>
        <v> </v>
      </c>
      <c r="Y64" s="17" t="str">
        <f aca="false">IF((E64="u"),H64," ")</f>
        <v> </v>
      </c>
      <c r="Z64" s="17" t="str">
        <f aca="false">IF((E64="a"),H64," ")</f>
        <v> </v>
      </c>
      <c r="AA64" s="17" t="str">
        <f aca="false">IF((E64="g"),H64," ")</f>
        <v> </v>
      </c>
      <c r="AB64" s="17" t="str">
        <f aca="false">IF((E64="h"),H64," ")</f>
        <v> </v>
      </c>
      <c r="AC64" s="30" t="str">
        <f aca="false">IF((E64="v"),H64," ")</f>
        <v> </v>
      </c>
      <c r="AD64" s="30" t="str">
        <f aca="false">IF((E64="n"),H64," ")</f>
        <v> </v>
      </c>
      <c r="AE64" s="17" t="str">
        <f aca="false">IF((E64="f"),H64," ")</f>
        <v> </v>
      </c>
      <c r="AF64" s="17" t="str">
        <f aca="false">IF((E64="l"),H64," ")</f>
        <v> </v>
      </c>
      <c r="AG64" s="17" t="str">
        <f aca="false">IF((E64="y"),H64," ")</f>
        <v> </v>
      </c>
      <c r="AH64" s="17" t="str">
        <f aca="false">IF((E64="z"),H64," ")</f>
        <v> </v>
      </c>
      <c r="AI64" s="17" t="str">
        <f aca="false">IF((E64="fa"),H64," ")</f>
        <v> </v>
      </c>
      <c r="AJ64" s="17" t="str">
        <f aca="false">IF((E64="e"),H64," ")</f>
        <v> </v>
      </c>
    </row>
    <row r="65" customFormat="false" ht="12" hidden="false" customHeight="false" outlineLevel="0" collapsed="false">
      <c r="A65" s="28"/>
      <c r="E65" s="2"/>
      <c r="F65" s="30"/>
      <c r="G65" s="6" t="str">
        <f aca="false">IF(F65&lt;&gt;0,F65*G$2/(100+G$2)," ")</f>
        <v> </v>
      </c>
      <c r="H65" s="6" t="str">
        <f aca="false">IF((F65&lt;&gt;0),F65-G65," ")</f>
        <v> </v>
      </c>
      <c r="I65" s="5"/>
      <c r="L65" s="7" t="str">
        <f aca="false">IF(F65&lt;&gt;0,F65-K65," ")</f>
        <v> </v>
      </c>
      <c r="M65" s="8" t="str">
        <f aca="false">IF((F65-K65)&lt;&gt;0,M$1-A65," ")</f>
        <v> </v>
      </c>
      <c r="N65" s="5"/>
      <c r="O65" s="17" t="str">
        <f aca="false">IF((E65="s"),H65," ")</f>
        <v> </v>
      </c>
      <c r="P65" s="17" t="str">
        <f aca="false">IF((E65="c"),H65," ")</f>
        <v> </v>
      </c>
      <c r="Q65" s="17" t="str">
        <f aca="false">IF((E65="o"),H65," ")</f>
        <v> </v>
      </c>
      <c r="R65" s="17" t="str">
        <f aca="false">IF((E65="d"),H65," ")</f>
        <v> </v>
      </c>
      <c r="S65" s="17" t="str">
        <f aca="false">IF((E65="w"),H65," ")</f>
        <v> </v>
      </c>
      <c r="T65" s="17" t="str">
        <f aca="false">IF((E65="r"),H65," ")</f>
        <v> </v>
      </c>
      <c r="U65" s="17" t="str">
        <f aca="false">IF((E65="p"),H65," ")</f>
        <v> </v>
      </c>
      <c r="V65" s="17" t="str">
        <f aca="false">IF((E65="t"),H65," ")</f>
        <v> </v>
      </c>
      <c r="W65" s="17" t="str">
        <f aca="false">IF((E65="q"),H65," ")</f>
        <v> </v>
      </c>
      <c r="X65" s="17" t="str">
        <f aca="false">IF((E65="m"),H65," ")</f>
        <v> </v>
      </c>
      <c r="Y65" s="17" t="str">
        <f aca="false">IF((E65="u"),H65," ")</f>
        <v> </v>
      </c>
      <c r="Z65" s="17" t="str">
        <f aca="false">IF((E65="a"),H65," ")</f>
        <v> </v>
      </c>
      <c r="AA65" s="17" t="str">
        <f aca="false">IF((E65="g"),H65," ")</f>
        <v> </v>
      </c>
      <c r="AB65" s="17" t="str">
        <f aca="false">IF((E65="h"),H65," ")</f>
        <v> </v>
      </c>
      <c r="AC65" s="30" t="str">
        <f aca="false">IF((E65="v"),H65," ")</f>
        <v> </v>
      </c>
      <c r="AD65" s="30" t="str">
        <f aca="false">IF((E65="n"),H65," ")</f>
        <v> </v>
      </c>
      <c r="AE65" s="17" t="str">
        <f aca="false">IF((E65="f"),H65," ")</f>
        <v> </v>
      </c>
      <c r="AF65" s="17" t="str">
        <f aca="false">IF((E65="l"),H65," ")</f>
        <v> </v>
      </c>
      <c r="AG65" s="17" t="str">
        <f aca="false">IF((E65="y"),H65," ")</f>
        <v> </v>
      </c>
      <c r="AH65" s="17" t="str">
        <f aca="false">IF((E65="z"),H65," ")</f>
        <v> </v>
      </c>
      <c r="AI65" s="17" t="str">
        <f aca="false">IF((E65="fa"),H65," ")</f>
        <v> </v>
      </c>
      <c r="AJ65" s="17" t="str">
        <f aca="false">IF((E65="e"),H65," ")</f>
        <v> </v>
      </c>
    </row>
    <row r="66" customFormat="false" ht="12" hidden="false" customHeight="false" outlineLevel="0" collapsed="false">
      <c r="A66" s="28"/>
      <c r="E66" s="2"/>
      <c r="F66" s="30"/>
      <c r="G66" s="6" t="str">
        <f aca="false">IF(F66&lt;&gt;0,F66*G$2/(100+G$2)," ")</f>
        <v> </v>
      </c>
      <c r="H66" s="6" t="str">
        <f aca="false">IF((F66&lt;&gt;0),F66-G66," ")</f>
        <v> </v>
      </c>
      <c r="I66" s="5"/>
      <c r="L66" s="7" t="str">
        <f aca="false">IF(F66&lt;&gt;0,F66-K66," ")</f>
        <v> </v>
      </c>
      <c r="M66" s="8" t="str">
        <f aca="false">IF((F66-K66)&lt;&gt;0,M$1-A66," ")</f>
        <v> </v>
      </c>
      <c r="N66" s="5"/>
      <c r="O66" s="17" t="str">
        <f aca="false">IF((E66="s"),H66," ")</f>
        <v> </v>
      </c>
      <c r="P66" s="17" t="str">
        <f aca="false">IF((E66="c"),H66," ")</f>
        <v> </v>
      </c>
      <c r="Q66" s="17" t="str">
        <f aca="false">IF((E66="o"),H66," ")</f>
        <v> </v>
      </c>
      <c r="R66" s="17" t="str">
        <f aca="false">IF((E66="d"),H66," ")</f>
        <v> </v>
      </c>
      <c r="S66" s="17" t="str">
        <f aca="false">IF((E66="w"),H66," ")</f>
        <v> </v>
      </c>
      <c r="T66" s="17" t="str">
        <f aca="false">IF((E66="r"),H66," ")</f>
        <v> </v>
      </c>
      <c r="U66" s="17" t="str">
        <f aca="false">IF((E66="p"),H66," ")</f>
        <v> </v>
      </c>
      <c r="V66" s="17" t="str">
        <f aca="false">IF((E66="t"),H66," ")</f>
        <v> </v>
      </c>
      <c r="W66" s="17" t="str">
        <f aca="false">IF((E66="q"),H66," ")</f>
        <v> </v>
      </c>
      <c r="X66" s="17" t="str">
        <f aca="false">IF((E66="m"),H66," ")</f>
        <v> </v>
      </c>
      <c r="Y66" s="17" t="str">
        <f aca="false">IF((E66="u"),H66," ")</f>
        <v> </v>
      </c>
      <c r="Z66" s="17" t="str">
        <f aca="false">IF((E66="a"),H66," ")</f>
        <v> </v>
      </c>
      <c r="AA66" s="17" t="str">
        <f aca="false">IF((E66="g"),H66," ")</f>
        <v> </v>
      </c>
      <c r="AB66" s="17" t="str">
        <f aca="false">IF((E66="h"),H66," ")</f>
        <v> </v>
      </c>
      <c r="AC66" s="30" t="str">
        <f aca="false">IF((E66="v"),H66," ")</f>
        <v> </v>
      </c>
      <c r="AD66" s="30" t="str">
        <f aca="false">IF((E66="n"),H66," ")</f>
        <v> </v>
      </c>
      <c r="AE66" s="17" t="str">
        <f aca="false">IF((E66="f"),H66," ")</f>
        <v> </v>
      </c>
      <c r="AF66" s="17" t="str">
        <f aca="false">IF((E66="l"),H66," ")</f>
        <v> </v>
      </c>
      <c r="AG66" s="17" t="str">
        <f aca="false">IF((E66="y"),H66," ")</f>
        <v> </v>
      </c>
      <c r="AH66" s="17" t="str">
        <f aca="false">IF((E66="z"),H66," ")</f>
        <v> </v>
      </c>
      <c r="AI66" s="17" t="str">
        <f aca="false">IF((E66="fa"),H66," ")</f>
        <v> </v>
      </c>
      <c r="AJ66" s="17" t="str">
        <f aca="false">IF((E66="e"),H66," ")</f>
        <v> </v>
      </c>
    </row>
    <row r="67" customFormat="false" ht="12" hidden="false" customHeight="false" outlineLevel="0" collapsed="false">
      <c r="A67" s="28"/>
      <c r="E67" s="2"/>
      <c r="F67" s="30"/>
      <c r="G67" s="6" t="str">
        <f aca="false">IF(F67&lt;&gt;0,F67*G$2/(100+G$2)," ")</f>
        <v> </v>
      </c>
      <c r="H67" s="6" t="str">
        <f aca="false">IF((F67&lt;&gt;0),F67-G67," ")</f>
        <v> </v>
      </c>
      <c r="I67" s="5"/>
      <c r="L67" s="7" t="str">
        <f aca="false">IF(F67&lt;&gt;0,F67-K67," ")</f>
        <v> </v>
      </c>
      <c r="M67" s="8" t="str">
        <f aca="false">IF((F67-K67)&lt;&gt;0,M$1-A67," ")</f>
        <v> </v>
      </c>
      <c r="N67" s="5"/>
      <c r="O67" s="17" t="str">
        <f aca="false">IF((E67="s"),H67," ")</f>
        <v> </v>
      </c>
      <c r="P67" s="17" t="str">
        <f aca="false">IF((E67="c"),H67," ")</f>
        <v> </v>
      </c>
      <c r="Q67" s="17" t="str">
        <f aca="false">IF((E67="o"),H67," ")</f>
        <v> </v>
      </c>
      <c r="R67" s="17" t="str">
        <f aca="false">IF((E67="d"),H67," ")</f>
        <v> </v>
      </c>
      <c r="S67" s="17" t="str">
        <f aca="false">IF((E67="w"),H67," ")</f>
        <v> </v>
      </c>
      <c r="T67" s="17" t="str">
        <f aca="false">IF((E67="r"),H67," ")</f>
        <v> </v>
      </c>
      <c r="U67" s="17" t="str">
        <f aca="false">IF((E67="p"),H67," ")</f>
        <v> </v>
      </c>
      <c r="V67" s="17" t="str">
        <f aca="false">IF((E67="t"),H67," ")</f>
        <v> </v>
      </c>
      <c r="W67" s="17" t="str">
        <f aca="false">IF((E67="q"),H67," ")</f>
        <v> </v>
      </c>
      <c r="X67" s="17" t="str">
        <f aca="false">IF((E67="m"),H67," ")</f>
        <v> </v>
      </c>
      <c r="Y67" s="17" t="str">
        <f aca="false">IF((E67="u"),H67," ")</f>
        <v> </v>
      </c>
      <c r="Z67" s="17" t="str">
        <f aca="false">IF((E67="a"),H67," ")</f>
        <v> </v>
      </c>
      <c r="AA67" s="17" t="str">
        <f aca="false">IF((E67="g"),H67," ")</f>
        <v> </v>
      </c>
      <c r="AB67" s="17" t="str">
        <f aca="false">IF((E67="h"),H67," ")</f>
        <v> </v>
      </c>
      <c r="AC67" s="30" t="str">
        <f aca="false">IF((E67="v"),H67," ")</f>
        <v> </v>
      </c>
      <c r="AD67" s="30" t="str">
        <f aca="false">IF((E67="n"),H67," ")</f>
        <v> </v>
      </c>
      <c r="AE67" s="17" t="str">
        <f aca="false">IF((E67="f"),H67," ")</f>
        <v> </v>
      </c>
      <c r="AF67" s="17" t="str">
        <f aca="false">IF((E67="l"),H67," ")</f>
        <v> </v>
      </c>
      <c r="AG67" s="17" t="str">
        <f aca="false">IF((E67="y"),H67," ")</f>
        <v> </v>
      </c>
      <c r="AH67" s="17" t="str">
        <f aca="false">IF((E67="z"),H67," ")</f>
        <v> </v>
      </c>
      <c r="AI67" s="17" t="str">
        <f aca="false">IF((E67="fa"),H67," ")</f>
        <v> </v>
      </c>
      <c r="AJ67" s="17" t="str">
        <f aca="false">IF((E67="e"),H67," ")</f>
        <v> </v>
      </c>
    </row>
    <row r="68" customFormat="false" ht="12" hidden="false" customHeight="false" outlineLevel="0" collapsed="false">
      <c r="A68" s="28"/>
      <c r="E68" s="2"/>
      <c r="F68" s="30"/>
      <c r="G68" s="6" t="str">
        <f aca="false">IF(F68&lt;&gt;0,F68*G$2/(100+G$2)," ")</f>
        <v> </v>
      </c>
      <c r="H68" s="6" t="str">
        <f aca="false">IF((F68&lt;&gt;0),F68-G68," ")</f>
        <v> </v>
      </c>
      <c r="I68" s="5"/>
      <c r="L68" s="7" t="str">
        <f aca="false">IF(F68&lt;&gt;0,F68-K68," ")</f>
        <v> </v>
      </c>
      <c r="M68" s="8" t="str">
        <f aca="false">IF((F68-K68)&lt;&gt;0,M$1-A68," ")</f>
        <v> </v>
      </c>
      <c r="N68" s="5"/>
      <c r="O68" s="17" t="str">
        <f aca="false">IF((E68="s"),H68," ")</f>
        <v> </v>
      </c>
      <c r="P68" s="17" t="str">
        <f aca="false">IF((E68="c"),H68," ")</f>
        <v> </v>
      </c>
      <c r="Q68" s="17" t="str">
        <f aca="false">IF((E68="o"),H68," ")</f>
        <v> </v>
      </c>
      <c r="R68" s="17" t="str">
        <f aca="false">IF((E68="d"),H68," ")</f>
        <v> </v>
      </c>
      <c r="S68" s="17" t="str">
        <f aca="false">IF((E68="w"),H68," ")</f>
        <v> </v>
      </c>
      <c r="T68" s="17" t="str">
        <f aca="false">IF((E68="r"),H68," ")</f>
        <v> </v>
      </c>
      <c r="U68" s="17" t="str">
        <f aca="false">IF((E68="p"),H68," ")</f>
        <v> </v>
      </c>
      <c r="V68" s="17" t="str">
        <f aca="false">IF((E68="t"),H68," ")</f>
        <v> </v>
      </c>
      <c r="W68" s="17" t="str">
        <f aca="false">IF((E68="q"),H68," ")</f>
        <v> </v>
      </c>
      <c r="X68" s="17" t="str">
        <f aca="false">IF((E68="m"),H68," ")</f>
        <v> </v>
      </c>
      <c r="Y68" s="17" t="str">
        <f aca="false">IF((E68="u"),H68," ")</f>
        <v> </v>
      </c>
      <c r="Z68" s="17" t="str">
        <f aca="false">IF((E68="a"),H68," ")</f>
        <v> </v>
      </c>
      <c r="AA68" s="17" t="str">
        <f aca="false">IF((E68="g"),H68," ")</f>
        <v> </v>
      </c>
      <c r="AB68" s="17" t="str">
        <f aca="false">IF((E68="h"),H68," ")</f>
        <v> </v>
      </c>
      <c r="AC68" s="30" t="str">
        <f aca="false">IF((E68="v"),H68," ")</f>
        <v> </v>
      </c>
      <c r="AD68" s="30" t="str">
        <f aca="false">IF((E68="n"),H68," ")</f>
        <v> </v>
      </c>
      <c r="AE68" s="17" t="str">
        <f aca="false">IF((E68="f"),H68," ")</f>
        <v> </v>
      </c>
      <c r="AF68" s="17" t="str">
        <f aca="false">IF((E68="l"),H68," ")</f>
        <v> </v>
      </c>
      <c r="AG68" s="17" t="str">
        <f aca="false">IF((E68="y"),H68," ")</f>
        <v> </v>
      </c>
      <c r="AH68" s="17" t="str">
        <f aca="false">IF((E68="z"),H68," ")</f>
        <v> </v>
      </c>
      <c r="AI68" s="17" t="str">
        <f aca="false">IF((E68="fa"),H68," ")</f>
        <v> </v>
      </c>
      <c r="AJ68" s="17" t="str">
        <f aca="false">IF((E68="e"),H68," ")</f>
        <v> </v>
      </c>
    </row>
    <row r="69" customFormat="false" ht="12" hidden="false" customHeight="false" outlineLevel="0" collapsed="false">
      <c r="A69" s="28"/>
      <c r="E69" s="2"/>
      <c r="F69" s="30"/>
      <c r="G69" s="6" t="str">
        <f aca="false">IF(F69&lt;&gt;0,F69*G$2/(100+G$2)," ")</f>
        <v> </v>
      </c>
      <c r="H69" s="6" t="str">
        <f aca="false">IF((F69&lt;&gt;0),F69-G69," ")</f>
        <v> </v>
      </c>
      <c r="I69" s="5"/>
      <c r="L69" s="7" t="str">
        <f aca="false">IF(F69&lt;&gt;0,F69-K69," ")</f>
        <v> </v>
      </c>
      <c r="M69" s="8" t="str">
        <f aca="false">IF((F69-K69)&lt;&gt;0,M$1-A69," ")</f>
        <v> </v>
      </c>
      <c r="N69" s="5"/>
      <c r="O69" s="17" t="str">
        <f aca="false">IF((E69="s"),H69," ")</f>
        <v> </v>
      </c>
      <c r="P69" s="17" t="str">
        <f aca="false">IF((E69="c"),H69," ")</f>
        <v> </v>
      </c>
      <c r="Q69" s="17" t="str">
        <f aca="false">IF((E69="o"),H69," ")</f>
        <v> </v>
      </c>
      <c r="R69" s="17" t="str">
        <f aca="false">IF((E69="d"),H69," ")</f>
        <v> </v>
      </c>
      <c r="S69" s="17" t="str">
        <f aca="false">IF((E69="w"),H69," ")</f>
        <v> </v>
      </c>
      <c r="T69" s="17" t="str">
        <f aca="false">IF((E69="r"),H69," ")</f>
        <v> </v>
      </c>
      <c r="U69" s="17" t="str">
        <f aca="false">IF((E69="p"),H69," ")</f>
        <v> </v>
      </c>
      <c r="V69" s="17" t="str">
        <f aca="false">IF((E69="t"),H69," ")</f>
        <v> </v>
      </c>
      <c r="W69" s="17" t="str">
        <f aca="false">IF((E69="q"),H69," ")</f>
        <v> </v>
      </c>
      <c r="X69" s="17" t="str">
        <f aca="false">IF((E69="m"),H69," ")</f>
        <v> </v>
      </c>
      <c r="Y69" s="17" t="str">
        <f aca="false">IF((E69="u"),H69," ")</f>
        <v> </v>
      </c>
      <c r="Z69" s="17" t="str">
        <f aca="false">IF((E69="a"),H69," ")</f>
        <v> </v>
      </c>
      <c r="AA69" s="17" t="str">
        <f aca="false">IF((E69="g"),H69," ")</f>
        <v> </v>
      </c>
      <c r="AB69" s="17" t="str">
        <f aca="false">IF((E69="h"),H69," ")</f>
        <v> </v>
      </c>
      <c r="AC69" s="30" t="str">
        <f aca="false">IF((E69="v"),H69," ")</f>
        <v> </v>
      </c>
      <c r="AD69" s="30" t="str">
        <f aca="false">IF((E69="n"),H69," ")</f>
        <v> </v>
      </c>
      <c r="AE69" s="17" t="str">
        <f aca="false">IF((E69="f"),H69," ")</f>
        <v> </v>
      </c>
      <c r="AF69" s="17" t="str">
        <f aca="false">IF((E69="l"),H69," ")</f>
        <v> </v>
      </c>
      <c r="AG69" s="17" t="str">
        <f aca="false">IF((E69="y"),H69," ")</f>
        <v> </v>
      </c>
      <c r="AH69" s="17" t="str">
        <f aca="false">IF((E69="z"),H69," ")</f>
        <v> </v>
      </c>
      <c r="AI69" s="17" t="str">
        <f aca="false">IF((E69="fa"),H69," ")</f>
        <v> </v>
      </c>
      <c r="AJ69" s="17" t="str">
        <f aca="false">IF((E69="e"),H69," ")</f>
        <v> </v>
      </c>
    </row>
    <row r="70" customFormat="false" ht="12" hidden="false" customHeight="false" outlineLevel="0" collapsed="false">
      <c r="A70" s="28"/>
      <c r="E70" s="2" t="str">
        <f aca="false">IF((F70&lt;&gt;0),"Enter Letter"," ")</f>
        <v> </v>
      </c>
      <c r="F70" s="30"/>
      <c r="G70" s="6" t="str">
        <f aca="false">IF(F70&lt;&gt;0,F70*G$2/(100+G$2)," ")</f>
        <v> </v>
      </c>
      <c r="H70" s="6" t="str">
        <f aca="false">IF((F70&lt;&gt;0),F70-G70," ")</f>
        <v> </v>
      </c>
      <c r="I70" s="5"/>
      <c r="L70" s="7" t="str">
        <f aca="false">IF(F70&lt;&gt;0,F70-K70," ")</f>
        <v> </v>
      </c>
      <c r="M70" s="8" t="str">
        <f aca="false">IF((F70-K70)&lt;&gt;0,M$1-A70," ")</f>
        <v> </v>
      </c>
      <c r="N70" s="5"/>
      <c r="O70" s="17" t="str">
        <f aca="false">IF((E70="s"),H70," ")</f>
        <v> </v>
      </c>
      <c r="P70" s="17" t="str">
        <f aca="false">IF((E70="c"),H70," ")</f>
        <v> </v>
      </c>
      <c r="Q70" s="17" t="str">
        <f aca="false">IF((E70="o"),H70," ")</f>
        <v> </v>
      </c>
      <c r="R70" s="17" t="str">
        <f aca="false">IF((E70="d"),H70," ")</f>
        <v> </v>
      </c>
      <c r="S70" s="17" t="str">
        <f aca="false">IF((E70="w"),H70," ")</f>
        <v> </v>
      </c>
      <c r="T70" s="17" t="str">
        <f aca="false">IF((E70="r"),H70," ")</f>
        <v> </v>
      </c>
      <c r="U70" s="17" t="str">
        <f aca="false">IF((E70="p"),H70," ")</f>
        <v> </v>
      </c>
      <c r="V70" s="17" t="str">
        <f aca="false">IF((E70="t"),H70," ")</f>
        <v> </v>
      </c>
      <c r="W70" s="17" t="str">
        <f aca="false">IF((E70="q"),H70," ")</f>
        <v> </v>
      </c>
      <c r="X70" s="17" t="str">
        <f aca="false">IF((E70="m"),H70," ")</f>
        <v> </v>
      </c>
      <c r="Y70" s="17" t="str">
        <f aca="false">IF((E70="u"),H70," ")</f>
        <v> </v>
      </c>
      <c r="Z70" s="17" t="str">
        <f aca="false">IF((E70="a"),H70," ")</f>
        <v> </v>
      </c>
      <c r="AA70" s="17" t="str">
        <f aca="false">IF((E70="g"),H70," ")</f>
        <v> </v>
      </c>
      <c r="AB70" s="17" t="str">
        <f aca="false">IF((E70="h"),H70," ")</f>
        <v> </v>
      </c>
      <c r="AC70" s="30" t="str">
        <f aca="false">IF((E70="v"),H70," ")</f>
        <v> </v>
      </c>
      <c r="AD70" s="30" t="str">
        <f aca="false">IF((E70="n"),H70," ")</f>
        <v> </v>
      </c>
      <c r="AE70" s="17" t="str">
        <f aca="false">IF((E70="f"),H70," ")</f>
        <v> </v>
      </c>
      <c r="AF70" s="17" t="str">
        <f aca="false">IF((E70="l"),H70," ")</f>
        <v> </v>
      </c>
      <c r="AG70" s="17" t="str">
        <f aca="false">IF((E70="y"),H70," ")</f>
        <v> </v>
      </c>
      <c r="AH70" s="17" t="str">
        <f aca="false">IF((E70="z"),H70," ")</f>
        <v> </v>
      </c>
      <c r="AI70" s="17" t="str">
        <f aca="false">IF((E70="fa"),H70," ")</f>
        <v> </v>
      </c>
      <c r="AJ70" s="17" t="str">
        <f aca="false">IF((E70="e"),H70," ")</f>
        <v> </v>
      </c>
    </row>
    <row r="71" customFormat="false" ht="12" hidden="false" customHeight="false" outlineLevel="0" collapsed="false">
      <c r="A71" s="28"/>
      <c r="E71" s="2" t="str">
        <f aca="false">IF((F71&lt;&gt;0),"Enter Letter"," ")</f>
        <v> </v>
      </c>
      <c r="F71" s="30"/>
      <c r="G71" s="6" t="str">
        <f aca="false">IF(F71&lt;&gt;0,F71*G$2/(100+G$2)," ")</f>
        <v> </v>
      </c>
      <c r="H71" s="6" t="str">
        <f aca="false">IF((F71&lt;&gt;0),F71-G71," ")</f>
        <v> </v>
      </c>
      <c r="I71" s="5"/>
      <c r="L71" s="7" t="str">
        <f aca="false">IF(F71&lt;&gt;0,F71-K71," ")</f>
        <v> </v>
      </c>
      <c r="M71" s="8" t="str">
        <f aca="false">IF((F71-K71)&lt;&gt;0,M$1-A71," ")</f>
        <v> </v>
      </c>
      <c r="N71" s="5"/>
      <c r="O71" s="17" t="str">
        <f aca="false">IF((E71="s"),H71," ")</f>
        <v> </v>
      </c>
      <c r="P71" s="17" t="str">
        <f aca="false">IF((E71="c"),H71," ")</f>
        <v> </v>
      </c>
      <c r="Q71" s="17" t="str">
        <f aca="false">IF((E71="o"),H71," ")</f>
        <v> </v>
      </c>
      <c r="R71" s="17" t="str">
        <f aca="false">IF((E71="d"),H71," ")</f>
        <v> </v>
      </c>
      <c r="S71" s="17" t="str">
        <f aca="false">IF((E71="w"),H71," ")</f>
        <v> </v>
      </c>
      <c r="T71" s="17" t="str">
        <f aca="false">IF((E71="r"),H71," ")</f>
        <v> </v>
      </c>
      <c r="U71" s="17" t="str">
        <f aca="false">IF((E71="p"),H71," ")</f>
        <v> </v>
      </c>
      <c r="V71" s="17" t="str">
        <f aca="false">IF((E71="t"),H71," ")</f>
        <v> </v>
      </c>
      <c r="W71" s="17" t="str">
        <f aca="false">IF((E71="q"),H71," ")</f>
        <v> </v>
      </c>
      <c r="X71" s="17" t="str">
        <f aca="false">IF((E71="m"),H71," ")</f>
        <v> </v>
      </c>
      <c r="Y71" s="17" t="str">
        <f aca="false">IF((E71="u"),H71," ")</f>
        <v> </v>
      </c>
      <c r="Z71" s="17" t="str">
        <f aca="false">IF((E71="a"),H71," ")</f>
        <v> </v>
      </c>
      <c r="AA71" s="17" t="str">
        <f aca="false">IF((E71="g"),H71," ")</f>
        <v> </v>
      </c>
      <c r="AB71" s="17" t="str">
        <f aca="false">IF((E71="h"),H71," ")</f>
        <v> </v>
      </c>
      <c r="AC71" s="30" t="str">
        <f aca="false">IF((E71="v"),H71," ")</f>
        <v> </v>
      </c>
      <c r="AD71" s="30" t="str">
        <f aca="false">IF((E71="n"),H71," ")</f>
        <v> </v>
      </c>
      <c r="AE71" s="17" t="str">
        <f aca="false">IF((E71="f"),H71," ")</f>
        <v> </v>
      </c>
      <c r="AF71" s="17" t="str">
        <f aca="false">IF((E71="l"),H71," ")</f>
        <v> </v>
      </c>
      <c r="AG71" s="17" t="str">
        <f aca="false">IF((E71="y"),H71," ")</f>
        <v> </v>
      </c>
      <c r="AH71" s="17" t="str">
        <f aca="false">IF((E71="z"),H71," ")</f>
        <v> </v>
      </c>
      <c r="AI71" s="17" t="str">
        <f aca="false">IF((E71="fa"),H71," ")</f>
        <v> </v>
      </c>
      <c r="AJ71" s="17" t="str">
        <f aca="false">IF((E71="e"),H71," ")</f>
        <v> </v>
      </c>
    </row>
    <row r="72" customFormat="false" ht="12" hidden="false" customHeight="false" outlineLevel="0" collapsed="false">
      <c r="A72" s="28"/>
      <c r="E72" s="2" t="str">
        <f aca="false">IF((F72&lt;&gt;0),"Enter Letter"," ")</f>
        <v> </v>
      </c>
      <c r="F72" s="30"/>
      <c r="G72" s="6" t="str">
        <f aca="false">IF(F72&lt;&gt;0,F72*G$2/(100+G$2)," ")</f>
        <v> </v>
      </c>
      <c r="H72" s="6" t="str">
        <f aca="false">IF((F72&lt;&gt;0),F72-G72," ")</f>
        <v> </v>
      </c>
      <c r="I72" s="5"/>
      <c r="L72" s="7" t="str">
        <f aca="false">IF(F72&lt;&gt;0,F72-K72," ")</f>
        <v> </v>
      </c>
      <c r="M72" s="8" t="str">
        <f aca="false">IF((F72-K72)&lt;&gt;0,M$1-A72," ")</f>
        <v> </v>
      </c>
      <c r="N72" s="5"/>
      <c r="O72" s="17" t="str">
        <f aca="false">IF((E72="s"),H72," ")</f>
        <v> </v>
      </c>
      <c r="P72" s="17" t="str">
        <f aca="false">IF((E72="c"),H72," ")</f>
        <v> </v>
      </c>
      <c r="Q72" s="17" t="str">
        <f aca="false">IF((E72="o"),H72," ")</f>
        <v> </v>
      </c>
      <c r="R72" s="17" t="str">
        <f aca="false">IF((E72="d"),H72," ")</f>
        <v> </v>
      </c>
      <c r="S72" s="17" t="str">
        <f aca="false">IF((E72="w"),H72," ")</f>
        <v> </v>
      </c>
      <c r="T72" s="17" t="str">
        <f aca="false">IF((E72="r"),H72," ")</f>
        <v> </v>
      </c>
      <c r="U72" s="17" t="str">
        <f aca="false">IF((E72="p"),H72," ")</f>
        <v> </v>
      </c>
      <c r="V72" s="17" t="str">
        <f aca="false">IF((E72="t"),H72," ")</f>
        <v> </v>
      </c>
      <c r="W72" s="17" t="str">
        <f aca="false">IF((E72="q"),H72," ")</f>
        <v> </v>
      </c>
      <c r="X72" s="17" t="str">
        <f aca="false">IF((E72="m"),H72," ")</f>
        <v> </v>
      </c>
      <c r="Y72" s="17" t="str">
        <f aca="false">IF((E72="u"),H72," ")</f>
        <v> </v>
      </c>
      <c r="Z72" s="17" t="str">
        <f aca="false">IF((E72="a"),H72," ")</f>
        <v> </v>
      </c>
      <c r="AA72" s="17" t="str">
        <f aca="false">IF((E72="g"),H72," ")</f>
        <v> </v>
      </c>
      <c r="AB72" s="17" t="str">
        <f aca="false">IF((E72="h"),H72," ")</f>
        <v> </v>
      </c>
      <c r="AC72" s="30" t="str">
        <f aca="false">IF((E72="v"),H72," ")</f>
        <v> </v>
      </c>
      <c r="AD72" s="30" t="str">
        <f aca="false">IF((E72="n"),H72," ")</f>
        <v> </v>
      </c>
      <c r="AE72" s="17" t="str">
        <f aca="false">IF((E72="f"),H72," ")</f>
        <v> </v>
      </c>
      <c r="AF72" s="17" t="str">
        <f aca="false">IF((E72="l"),H72," ")</f>
        <v> </v>
      </c>
      <c r="AG72" s="17" t="str">
        <f aca="false">IF((E72="y"),H72," ")</f>
        <v> </v>
      </c>
      <c r="AH72" s="17" t="str">
        <f aca="false">IF((E72="z"),H72," ")</f>
        <v> </v>
      </c>
      <c r="AI72" s="17" t="str">
        <f aca="false">IF((E72="fa"),H72," ")</f>
        <v> </v>
      </c>
      <c r="AJ72" s="17" t="str">
        <f aca="false">IF((E72="e"),H72," ")</f>
        <v> </v>
      </c>
    </row>
    <row r="73" customFormat="false" ht="12" hidden="false" customHeight="false" outlineLevel="0" collapsed="false">
      <c r="A73" s="28"/>
      <c r="E73" s="2" t="str">
        <f aca="false">IF((F73&lt;&gt;0),"Enter Letter"," ")</f>
        <v> </v>
      </c>
      <c r="F73" s="30"/>
      <c r="G73" s="6" t="str">
        <f aca="false">IF(F73&lt;&gt;0,F73*G$2/(100+G$2)," ")</f>
        <v> </v>
      </c>
      <c r="H73" s="6" t="str">
        <f aca="false">IF((F73&lt;&gt;0),F73-G73," ")</f>
        <v> </v>
      </c>
      <c r="I73" s="5"/>
      <c r="L73" s="7" t="str">
        <f aca="false">IF(F73&lt;&gt;0,F73-K73," ")</f>
        <v> </v>
      </c>
      <c r="M73" s="8" t="str">
        <f aca="false">IF((F73-K73)&lt;&gt;0,M$1-A73," ")</f>
        <v> </v>
      </c>
      <c r="N73" s="5"/>
      <c r="O73" s="17" t="str">
        <f aca="false">IF((E73="s"),H73," ")</f>
        <v> </v>
      </c>
      <c r="P73" s="17" t="str">
        <f aca="false">IF((E73="c"),H73," ")</f>
        <v> </v>
      </c>
      <c r="Q73" s="17" t="str">
        <f aca="false">IF((E73="o"),H73," ")</f>
        <v> </v>
      </c>
      <c r="R73" s="17" t="str">
        <f aca="false">IF((E73="d"),H73," ")</f>
        <v> </v>
      </c>
      <c r="S73" s="17" t="str">
        <f aca="false">IF((E73="w"),H73," ")</f>
        <v> </v>
      </c>
      <c r="T73" s="17" t="str">
        <f aca="false">IF((E73="r"),H73," ")</f>
        <v> </v>
      </c>
      <c r="U73" s="17" t="str">
        <f aca="false">IF((E73="p"),H73," ")</f>
        <v> </v>
      </c>
      <c r="V73" s="17" t="str">
        <f aca="false">IF((E73="t"),H73," ")</f>
        <v> </v>
      </c>
      <c r="W73" s="17" t="str">
        <f aca="false">IF((E73="q"),H73," ")</f>
        <v> </v>
      </c>
      <c r="X73" s="17" t="str">
        <f aca="false">IF((E73="m"),H73," ")</f>
        <v> </v>
      </c>
      <c r="Y73" s="17" t="str">
        <f aca="false">IF((E73="u"),H73," ")</f>
        <v> </v>
      </c>
      <c r="Z73" s="17" t="str">
        <f aca="false">IF((E73="a"),H73," ")</f>
        <v> </v>
      </c>
      <c r="AA73" s="17" t="str">
        <f aca="false">IF((E73="g"),H73," ")</f>
        <v> </v>
      </c>
      <c r="AB73" s="17" t="str">
        <f aca="false">IF((E73="h"),H73," ")</f>
        <v> </v>
      </c>
      <c r="AC73" s="30" t="str">
        <f aca="false">IF((E73="v"),H73," ")</f>
        <v> </v>
      </c>
      <c r="AD73" s="30" t="str">
        <f aca="false">IF((E73="n"),H73," ")</f>
        <v> </v>
      </c>
      <c r="AE73" s="17" t="str">
        <f aca="false">IF((E73="f"),H73," ")</f>
        <v> </v>
      </c>
      <c r="AF73" s="17" t="str">
        <f aca="false">IF((E73="l"),H73," ")</f>
        <v> </v>
      </c>
      <c r="AG73" s="17" t="str">
        <f aca="false">IF((E73="y"),H73," ")</f>
        <v> </v>
      </c>
      <c r="AH73" s="17" t="str">
        <f aca="false">IF((E73="z"),H73," ")</f>
        <v> </v>
      </c>
      <c r="AI73" s="17" t="str">
        <f aca="false">IF((E73="fa"),H73," ")</f>
        <v> </v>
      </c>
      <c r="AJ73" s="17" t="str">
        <f aca="false">IF((E73="e"),H73," ")</f>
        <v> </v>
      </c>
    </row>
    <row r="74" customFormat="false" ht="12" hidden="false" customHeight="false" outlineLevel="0" collapsed="false">
      <c r="A74" s="28"/>
      <c r="E74" s="2" t="str">
        <f aca="false">IF((F74&lt;&gt;0),"Enter Letter"," ")</f>
        <v> </v>
      </c>
      <c r="F74" s="30"/>
      <c r="G74" s="6" t="str">
        <f aca="false">IF(F74&lt;&gt;0,F74*G$2/(100+G$2)," ")</f>
        <v> </v>
      </c>
      <c r="H74" s="6" t="str">
        <f aca="false">IF((F74&lt;&gt;0),F74-G74," ")</f>
        <v> </v>
      </c>
      <c r="I74" s="5"/>
      <c r="L74" s="7" t="str">
        <f aca="false">IF(F74&lt;&gt;0,F74-K74," ")</f>
        <v> </v>
      </c>
      <c r="M74" s="8" t="str">
        <f aca="false">IF((F74-K74)&lt;&gt;0,M$1-A74," ")</f>
        <v> </v>
      </c>
      <c r="N74" s="5"/>
      <c r="O74" s="17" t="str">
        <f aca="false">IF((E74="s"),H74," ")</f>
        <v> </v>
      </c>
      <c r="P74" s="17" t="str">
        <f aca="false">IF((E74="c"),H74," ")</f>
        <v> </v>
      </c>
      <c r="Q74" s="17" t="str">
        <f aca="false">IF((E74="o"),H74," ")</f>
        <v> </v>
      </c>
      <c r="R74" s="17" t="str">
        <f aca="false">IF((E74="d"),H74," ")</f>
        <v> </v>
      </c>
      <c r="S74" s="17" t="str">
        <f aca="false">IF((E74="w"),H74," ")</f>
        <v> </v>
      </c>
      <c r="T74" s="17" t="str">
        <f aca="false">IF((E74="r"),H74," ")</f>
        <v> </v>
      </c>
      <c r="U74" s="17" t="str">
        <f aca="false">IF((E74="p"),H74," ")</f>
        <v> </v>
      </c>
      <c r="V74" s="17" t="str">
        <f aca="false">IF((E74="t"),H74," ")</f>
        <v> </v>
      </c>
      <c r="W74" s="17" t="str">
        <f aca="false">IF((E74="q"),H74," ")</f>
        <v> </v>
      </c>
      <c r="X74" s="17" t="str">
        <f aca="false">IF((E74="m"),H74," ")</f>
        <v> </v>
      </c>
      <c r="Y74" s="17" t="str">
        <f aca="false">IF((E74="u"),H74," ")</f>
        <v> </v>
      </c>
      <c r="Z74" s="17" t="str">
        <f aca="false">IF((E74="a"),H74," ")</f>
        <v> </v>
      </c>
      <c r="AA74" s="17" t="str">
        <f aca="false">IF((E74="g"),H74," ")</f>
        <v> </v>
      </c>
      <c r="AB74" s="17" t="str">
        <f aca="false">IF((E74="h"),H74," ")</f>
        <v> </v>
      </c>
      <c r="AC74" s="30" t="str">
        <f aca="false">IF((E74="v"),H74," ")</f>
        <v> </v>
      </c>
      <c r="AD74" s="30" t="str">
        <f aca="false">IF((E74="n"),H74," ")</f>
        <v> </v>
      </c>
      <c r="AE74" s="17" t="str">
        <f aca="false">IF((E74="f"),H74," ")</f>
        <v> </v>
      </c>
      <c r="AF74" s="17" t="str">
        <f aca="false">IF((E74="l"),H74," ")</f>
        <v> </v>
      </c>
      <c r="AG74" s="17" t="str">
        <f aca="false">IF((E74="y"),H74," ")</f>
        <v> </v>
      </c>
      <c r="AH74" s="17" t="str">
        <f aca="false">IF((E74="z"),H74," ")</f>
        <v> </v>
      </c>
      <c r="AI74" s="17" t="str">
        <f aca="false">IF((E74="fa"),H74," ")</f>
        <v> </v>
      </c>
      <c r="AJ74" s="17" t="str">
        <f aca="false">IF((E74="e"),H74," ")</f>
        <v> </v>
      </c>
    </row>
    <row r="75" customFormat="false" ht="12" hidden="false" customHeight="false" outlineLevel="0" collapsed="false">
      <c r="A75" s="28"/>
      <c r="E75" s="2" t="str">
        <f aca="false">IF((F75&lt;&gt;0),"Enter Letter"," ")</f>
        <v> </v>
      </c>
      <c r="F75" s="30"/>
      <c r="G75" s="6" t="str">
        <f aca="false">IF(F75&lt;&gt;0,F75*G$2/(100+G$2)," ")</f>
        <v> </v>
      </c>
      <c r="H75" s="6" t="str">
        <f aca="false">IF((F75&lt;&gt;0),F75-G75," ")</f>
        <v> </v>
      </c>
      <c r="I75" s="5"/>
      <c r="L75" s="7" t="str">
        <f aca="false">IF(F75&lt;&gt;0,F75-K75," ")</f>
        <v> </v>
      </c>
      <c r="M75" s="8" t="str">
        <f aca="false">IF((F75-K75)&lt;&gt;0,M$1-A75," ")</f>
        <v> </v>
      </c>
      <c r="N75" s="5"/>
      <c r="O75" s="17" t="str">
        <f aca="false">IF((E75="s"),H75," ")</f>
        <v> </v>
      </c>
      <c r="P75" s="17" t="str">
        <f aca="false">IF((E75="c"),H75," ")</f>
        <v> </v>
      </c>
      <c r="Q75" s="17" t="str">
        <f aca="false">IF((E75="o"),H75," ")</f>
        <v> </v>
      </c>
      <c r="R75" s="17" t="str">
        <f aca="false">IF((E75="d"),H75," ")</f>
        <v> </v>
      </c>
      <c r="S75" s="17" t="str">
        <f aca="false">IF((E75="w"),H75," ")</f>
        <v> </v>
      </c>
      <c r="T75" s="17" t="str">
        <f aca="false">IF((E75="r"),H75," ")</f>
        <v> </v>
      </c>
      <c r="U75" s="17" t="str">
        <f aca="false">IF((E75="p"),H75," ")</f>
        <v> </v>
      </c>
      <c r="V75" s="17" t="str">
        <f aca="false">IF((E75="t"),H75," ")</f>
        <v> </v>
      </c>
      <c r="W75" s="17" t="str">
        <f aca="false">IF((E75="q"),H75," ")</f>
        <v> </v>
      </c>
      <c r="X75" s="17" t="str">
        <f aca="false">IF((E75="m"),H75," ")</f>
        <v> </v>
      </c>
      <c r="Y75" s="17" t="str">
        <f aca="false">IF((E75="u"),H75," ")</f>
        <v> </v>
      </c>
      <c r="Z75" s="17" t="str">
        <f aca="false">IF((E75="a"),H75," ")</f>
        <v> </v>
      </c>
      <c r="AA75" s="17" t="str">
        <f aca="false">IF((E75="g"),H75," ")</f>
        <v> </v>
      </c>
      <c r="AB75" s="17" t="str">
        <f aca="false">IF((E75="h"),H75," ")</f>
        <v> </v>
      </c>
      <c r="AC75" s="30" t="str">
        <f aca="false">IF((E75="v"),H75," ")</f>
        <v> </v>
      </c>
      <c r="AD75" s="30" t="str">
        <f aca="false">IF((E75="n"),H75," ")</f>
        <v> </v>
      </c>
      <c r="AE75" s="17" t="str">
        <f aca="false">IF((E75="f"),H75," ")</f>
        <v> </v>
      </c>
      <c r="AF75" s="17" t="str">
        <f aca="false">IF((E75="l"),H75," ")</f>
        <v> </v>
      </c>
      <c r="AG75" s="17" t="str">
        <f aca="false">IF((E75="y"),H75," ")</f>
        <v> </v>
      </c>
      <c r="AH75" s="17" t="str">
        <f aca="false">IF((E75="z"),H75," ")</f>
        <v> </v>
      </c>
      <c r="AI75" s="17" t="str">
        <f aca="false">IF((E75="fa"),H75," ")</f>
        <v> </v>
      </c>
      <c r="AJ75" s="17" t="str">
        <f aca="false">IF((E75="e"),H75," ")</f>
        <v> </v>
      </c>
    </row>
    <row r="76" customFormat="false" ht="12" hidden="false" customHeight="false" outlineLevel="0" collapsed="false">
      <c r="A76" s="28"/>
      <c r="E76" s="2" t="str">
        <f aca="false">IF((F76&lt;&gt;0),"Enter Letter"," ")</f>
        <v> </v>
      </c>
      <c r="F76" s="30"/>
      <c r="G76" s="6" t="str">
        <f aca="false">IF(F76&lt;&gt;0,F76*G$2/(100+G$2)," ")</f>
        <v> </v>
      </c>
      <c r="H76" s="6" t="str">
        <f aca="false">IF((F76&lt;&gt;0),F76-G76," ")</f>
        <v> </v>
      </c>
      <c r="I76" s="5"/>
      <c r="L76" s="7" t="str">
        <f aca="false">IF(F76&lt;&gt;0,F76-K76," ")</f>
        <v> </v>
      </c>
      <c r="M76" s="8" t="str">
        <f aca="false">IF((F76-K76)&lt;&gt;0,M$1-A76," ")</f>
        <v> </v>
      </c>
      <c r="N76" s="5"/>
      <c r="O76" s="17" t="str">
        <f aca="false">IF((E76="s"),H76," ")</f>
        <v> </v>
      </c>
      <c r="P76" s="17" t="str">
        <f aca="false">IF((E76="c"),H76," ")</f>
        <v> </v>
      </c>
      <c r="Q76" s="17" t="str">
        <f aca="false">IF((E76="o"),H76," ")</f>
        <v> </v>
      </c>
      <c r="R76" s="17" t="str">
        <f aca="false">IF((E76="d"),H76," ")</f>
        <v> </v>
      </c>
      <c r="S76" s="17" t="str">
        <f aca="false">IF((E76="w"),H76," ")</f>
        <v> </v>
      </c>
      <c r="T76" s="17" t="str">
        <f aca="false">IF((E76="r"),H76," ")</f>
        <v> </v>
      </c>
      <c r="U76" s="17" t="str">
        <f aca="false">IF((E76="p"),H76," ")</f>
        <v> </v>
      </c>
      <c r="V76" s="17" t="str">
        <f aca="false">IF((E76="t"),H76," ")</f>
        <v> </v>
      </c>
      <c r="W76" s="17" t="str">
        <f aca="false">IF((E76="q"),H76," ")</f>
        <v> </v>
      </c>
      <c r="X76" s="17" t="str">
        <f aca="false">IF((E76="m"),H76," ")</f>
        <v> </v>
      </c>
      <c r="Y76" s="17" t="str">
        <f aca="false">IF((E76="u"),H76," ")</f>
        <v> </v>
      </c>
      <c r="Z76" s="17" t="str">
        <f aca="false">IF((E76="a"),H76," ")</f>
        <v> </v>
      </c>
      <c r="AA76" s="17" t="str">
        <f aca="false">IF((E76="g"),H76," ")</f>
        <v> </v>
      </c>
      <c r="AB76" s="17" t="str">
        <f aca="false">IF((E76="h"),H76," ")</f>
        <v> </v>
      </c>
      <c r="AC76" s="30" t="str">
        <f aca="false">IF((E76="v"),H76," ")</f>
        <v> </v>
      </c>
      <c r="AD76" s="30" t="str">
        <f aca="false">IF((E76="n"),H76," ")</f>
        <v> </v>
      </c>
      <c r="AE76" s="17" t="str">
        <f aca="false">IF((E76="f"),H76," ")</f>
        <v> </v>
      </c>
      <c r="AF76" s="17" t="str">
        <f aca="false">IF((E76="l"),H76," ")</f>
        <v> </v>
      </c>
      <c r="AG76" s="17" t="str">
        <f aca="false">IF((E76="y"),H76," ")</f>
        <v> </v>
      </c>
      <c r="AH76" s="17" t="str">
        <f aca="false">IF((E76="z"),H76," ")</f>
        <v> </v>
      </c>
      <c r="AI76" s="17" t="str">
        <f aca="false">IF((E76="fa"),H76," ")</f>
        <v> </v>
      </c>
      <c r="AJ76" s="17" t="str">
        <f aca="false">IF((E76="e"),H76," ")</f>
        <v> </v>
      </c>
    </row>
    <row r="77" customFormat="false" ht="12" hidden="false" customHeight="false" outlineLevel="0" collapsed="false">
      <c r="A77" s="28"/>
      <c r="E77" s="2" t="str">
        <f aca="false">IF((F77&lt;&gt;0),"Enter Letter"," ")</f>
        <v> </v>
      </c>
      <c r="F77" s="30"/>
      <c r="G77" s="6" t="str">
        <f aca="false">IF(F77&lt;&gt;0,F77*G$2/(100+G$2)," ")</f>
        <v> </v>
      </c>
      <c r="H77" s="6" t="str">
        <f aca="false">IF((F77&lt;&gt;0),F77-G77," ")</f>
        <v> </v>
      </c>
      <c r="I77" s="5"/>
      <c r="L77" s="7" t="str">
        <f aca="false">IF(F77&lt;&gt;0,F77-K77," ")</f>
        <v> </v>
      </c>
      <c r="M77" s="8" t="str">
        <f aca="false">IF((F77-K77)&lt;&gt;0,M$1-A77," ")</f>
        <v> </v>
      </c>
      <c r="N77" s="5"/>
      <c r="O77" s="17" t="str">
        <f aca="false">IF((E77="s"),H77," ")</f>
        <v> </v>
      </c>
      <c r="P77" s="17" t="str">
        <f aca="false">IF((E77="c"),H77," ")</f>
        <v> </v>
      </c>
      <c r="Q77" s="17" t="str">
        <f aca="false">IF((E77="o"),H77," ")</f>
        <v> </v>
      </c>
      <c r="R77" s="17" t="str">
        <f aca="false">IF((E77="d"),H77," ")</f>
        <v> </v>
      </c>
      <c r="S77" s="17" t="str">
        <f aca="false">IF((E77="w"),H77," ")</f>
        <v> </v>
      </c>
      <c r="T77" s="17" t="str">
        <f aca="false">IF((E77="r"),H77," ")</f>
        <v> </v>
      </c>
      <c r="U77" s="17" t="str">
        <f aca="false">IF((E77="p"),H77," ")</f>
        <v> </v>
      </c>
      <c r="V77" s="17" t="str">
        <f aca="false">IF((E77="t"),H77," ")</f>
        <v> </v>
      </c>
      <c r="W77" s="17" t="str">
        <f aca="false">IF((E77="q"),H77," ")</f>
        <v> </v>
      </c>
      <c r="X77" s="17" t="str">
        <f aca="false">IF((E77="m"),H77," ")</f>
        <v> </v>
      </c>
      <c r="Y77" s="17" t="str">
        <f aca="false">IF((E77="u"),H77," ")</f>
        <v> </v>
      </c>
      <c r="Z77" s="17" t="str">
        <f aca="false">IF((E77="a"),H77," ")</f>
        <v> </v>
      </c>
      <c r="AA77" s="17" t="str">
        <f aca="false">IF((E77="g"),H77," ")</f>
        <v> </v>
      </c>
      <c r="AB77" s="17" t="str">
        <f aca="false">IF((E77="h"),H77," ")</f>
        <v> </v>
      </c>
      <c r="AC77" s="30" t="str">
        <f aca="false">IF((E77="v"),H77," ")</f>
        <v> </v>
      </c>
      <c r="AD77" s="30" t="str">
        <f aca="false">IF((E77="n"),H77," ")</f>
        <v> </v>
      </c>
      <c r="AE77" s="17" t="str">
        <f aca="false">IF((E77="f"),H77," ")</f>
        <v> </v>
      </c>
      <c r="AF77" s="17" t="str">
        <f aca="false">IF((E77="l"),H77," ")</f>
        <v> </v>
      </c>
      <c r="AG77" s="17" t="str">
        <f aca="false">IF((E77="y"),H77," ")</f>
        <v> </v>
      </c>
      <c r="AH77" s="17" t="str">
        <f aca="false">IF((E77="z"),H77," ")</f>
        <v> </v>
      </c>
      <c r="AI77" s="17" t="str">
        <f aca="false">IF((E77="fa"),H77," ")</f>
        <v> </v>
      </c>
      <c r="AJ77" s="17" t="str">
        <f aca="false">IF((E77="e"),H77," ")</f>
        <v> </v>
      </c>
    </row>
    <row r="78" customFormat="false" ht="12" hidden="false" customHeight="false" outlineLevel="0" collapsed="false">
      <c r="A78" s="28"/>
      <c r="E78" s="2" t="str">
        <f aca="false">IF((F78&lt;&gt;0),"Enter Letter"," ")</f>
        <v> </v>
      </c>
      <c r="F78" s="30"/>
      <c r="G78" s="6" t="str">
        <f aca="false">IF(F78&lt;&gt;0,F78*G$2/(100+G$2)," ")</f>
        <v> </v>
      </c>
      <c r="H78" s="6" t="str">
        <f aca="false">IF((F78&lt;&gt;0),F78-G78," ")</f>
        <v> </v>
      </c>
      <c r="I78" s="5"/>
      <c r="L78" s="7" t="str">
        <f aca="false">IF(F78&lt;&gt;0,F78-K78," ")</f>
        <v> </v>
      </c>
      <c r="M78" s="8" t="str">
        <f aca="false">IF((F78-K78)&lt;&gt;0,M$1-A78," ")</f>
        <v> </v>
      </c>
      <c r="N78" s="5"/>
      <c r="O78" s="17" t="str">
        <f aca="false">IF((E78="s"),H78," ")</f>
        <v> </v>
      </c>
      <c r="P78" s="17" t="str">
        <f aca="false">IF((E78="c"),H78," ")</f>
        <v> </v>
      </c>
      <c r="Q78" s="17" t="str">
        <f aca="false">IF((E78="o"),H78," ")</f>
        <v> </v>
      </c>
      <c r="R78" s="17" t="str">
        <f aca="false">IF((E78="d"),H78," ")</f>
        <v> </v>
      </c>
      <c r="S78" s="17" t="str">
        <f aca="false">IF((E78="w"),H78," ")</f>
        <v> </v>
      </c>
      <c r="T78" s="17" t="str">
        <f aca="false">IF((E78="r"),H78," ")</f>
        <v> </v>
      </c>
      <c r="U78" s="17" t="str">
        <f aca="false">IF((E78="p"),H78," ")</f>
        <v> </v>
      </c>
      <c r="V78" s="17" t="str">
        <f aca="false">IF((E78="t"),H78," ")</f>
        <v> </v>
      </c>
      <c r="W78" s="17" t="str">
        <f aca="false">IF((E78="q"),H78," ")</f>
        <v> </v>
      </c>
      <c r="X78" s="17" t="str">
        <f aca="false">IF((E78="m"),H78," ")</f>
        <v> </v>
      </c>
      <c r="Y78" s="17" t="str">
        <f aca="false">IF((E78="u"),H78," ")</f>
        <v> </v>
      </c>
      <c r="Z78" s="17" t="str">
        <f aca="false">IF((E78="a"),H78," ")</f>
        <v> </v>
      </c>
      <c r="AA78" s="17" t="str">
        <f aca="false">IF((E78="g"),H78," ")</f>
        <v> </v>
      </c>
      <c r="AB78" s="17" t="str">
        <f aca="false">IF((E78="h"),H78," ")</f>
        <v> </v>
      </c>
      <c r="AC78" s="30" t="str">
        <f aca="false">IF((E78="v"),H78," ")</f>
        <v> </v>
      </c>
      <c r="AD78" s="30" t="str">
        <f aca="false">IF((E78="n"),H78," ")</f>
        <v> </v>
      </c>
      <c r="AE78" s="17" t="str">
        <f aca="false">IF((E78="f"),H78," ")</f>
        <v> </v>
      </c>
      <c r="AF78" s="17" t="str">
        <f aca="false">IF((E78="l"),H78," ")</f>
        <v> </v>
      </c>
      <c r="AG78" s="17" t="str">
        <f aca="false">IF((E78="y"),H78," ")</f>
        <v> </v>
      </c>
      <c r="AH78" s="17" t="str">
        <f aca="false">IF((E78="z"),H78," ")</f>
        <v> </v>
      </c>
      <c r="AI78" s="17" t="str">
        <f aca="false">IF((E78="fa"),H78," ")</f>
        <v> </v>
      </c>
      <c r="AJ78" s="17" t="str">
        <f aca="false">IF((E78="e"),H78," ")</f>
        <v> </v>
      </c>
    </row>
    <row r="79" customFormat="false" ht="12" hidden="false" customHeight="false" outlineLevel="0" collapsed="false">
      <c r="A79" s="28"/>
      <c r="E79" s="2" t="str">
        <f aca="false">IF((F79&lt;&gt;0),"Enter Letter"," ")</f>
        <v> </v>
      </c>
      <c r="F79" s="30"/>
      <c r="G79" s="6" t="str">
        <f aca="false">IF(F79&lt;&gt;0,F79*G$2/(100+G$2)," ")</f>
        <v> </v>
      </c>
      <c r="H79" s="6" t="str">
        <f aca="false">IF((F79&lt;&gt;0),F79-G79," ")</f>
        <v> </v>
      </c>
      <c r="I79" s="5"/>
      <c r="L79" s="7" t="str">
        <f aca="false">IF(F79&lt;&gt;0,F79-K79," ")</f>
        <v> </v>
      </c>
      <c r="M79" s="8" t="str">
        <f aca="false">IF((F79-K79)&lt;&gt;0,M$1-A79," ")</f>
        <v> </v>
      </c>
      <c r="N79" s="5"/>
      <c r="O79" s="17" t="str">
        <f aca="false">IF((E79="s"),H79," ")</f>
        <v> </v>
      </c>
      <c r="P79" s="17" t="str">
        <f aca="false">IF((E79="c"),H79," ")</f>
        <v> </v>
      </c>
      <c r="Q79" s="17" t="str">
        <f aca="false">IF((E79="o"),H79," ")</f>
        <v> </v>
      </c>
      <c r="R79" s="17" t="str">
        <f aca="false">IF((E79="d"),H79," ")</f>
        <v> </v>
      </c>
      <c r="S79" s="17" t="str">
        <f aca="false">IF((E79="w"),H79," ")</f>
        <v> </v>
      </c>
      <c r="T79" s="17" t="str">
        <f aca="false">IF((E79="r"),H79," ")</f>
        <v> </v>
      </c>
      <c r="U79" s="17" t="str">
        <f aca="false">IF((E79="p"),H79," ")</f>
        <v> </v>
      </c>
      <c r="V79" s="17" t="str">
        <f aca="false">IF((E79="t"),H79," ")</f>
        <v> </v>
      </c>
      <c r="W79" s="17" t="str">
        <f aca="false">IF((E79="q"),H79," ")</f>
        <v> </v>
      </c>
      <c r="X79" s="17" t="str">
        <f aca="false">IF((E79="m"),H79," ")</f>
        <v> </v>
      </c>
      <c r="Y79" s="17" t="str">
        <f aca="false">IF((E79="u"),H79," ")</f>
        <v> </v>
      </c>
      <c r="Z79" s="17" t="str">
        <f aca="false">IF((E79="a"),H79," ")</f>
        <v> </v>
      </c>
      <c r="AA79" s="17" t="str">
        <f aca="false">IF((E79="g"),H79," ")</f>
        <v> </v>
      </c>
      <c r="AB79" s="17" t="str">
        <f aca="false">IF((E79="h"),H79," ")</f>
        <v> </v>
      </c>
      <c r="AC79" s="30" t="str">
        <f aca="false">IF((E79="v"),H79," ")</f>
        <v> </v>
      </c>
      <c r="AD79" s="30" t="str">
        <f aca="false">IF((E79="n"),H79," ")</f>
        <v> </v>
      </c>
      <c r="AE79" s="17" t="str">
        <f aca="false">IF((E79="f"),H79," ")</f>
        <v> </v>
      </c>
      <c r="AF79" s="17" t="str">
        <f aca="false">IF((E79="l"),H79," ")</f>
        <v> </v>
      </c>
      <c r="AG79" s="17" t="str">
        <f aca="false">IF((E79="y"),H79," ")</f>
        <v> </v>
      </c>
      <c r="AH79" s="17" t="str">
        <f aca="false">IF((E79="z"),H79," ")</f>
        <v> </v>
      </c>
      <c r="AI79" s="17" t="str">
        <f aca="false">IF((E79="fa"),H79," ")</f>
        <v> </v>
      </c>
      <c r="AJ79" s="17" t="str">
        <f aca="false">IF((E79="e"),H79," ")</f>
        <v> </v>
      </c>
    </row>
    <row r="80" customFormat="false" ht="12" hidden="false" customHeight="false" outlineLevel="0" collapsed="false">
      <c r="A80" s="28"/>
      <c r="E80" s="2" t="str">
        <f aca="false">IF((F80&lt;&gt;0),"Enter Letter"," ")</f>
        <v> </v>
      </c>
      <c r="F80" s="30"/>
      <c r="G80" s="6" t="str">
        <f aca="false">IF(F80&lt;&gt;0,F80*G$2/(100+G$2)," ")</f>
        <v> </v>
      </c>
      <c r="H80" s="6" t="str">
        <f aca="false">IF((F80&lt;&gt;0),F80-G80," ")</f>
        <v> </v>
      </c>
      <c r="I80" s="5"/>
      <c r="L80" s="7" t="str">
        <f aca="false">IF(F80&lt;&gt;0,F80-K80," ")</f>
        <v> </v>
      </c>
      <c r="M80" s="8" t="str">
        <f aca="false">IF((F80-K80)&lt;&gt;0,M$1-A80," ")</f>
        <v> </v>
      </c>
      <c r="N80" s="5"/>
      <c r="O80" s="17" t="str">
        <f aca="false">IF((E80="s"),H80," ")</f>
        <v> </v>
      </c>
      <c r="P80" s="17" t="str">
        <f aca="false">IF((E80="c"),H80," ")</f>
        <v> </v>
      </c>
      <c r="Q80" s="17" t="str">
        <f aca="false">IF((E80="o"),H80," ")</f>
        <v> </v>
      </c>
      <c r="R80" s="17" t="str">
        <f aca="false">IF((E80="d"),H80," ")</f>
        <v> </v>
      </c>
      <c r="S80" s="17" t="str">
        <f aca="false">IF((E80="w"),H80," ")</f>
        <v> </v>
      </c>
      <c r="T80" s="17" t="str">
        <f aca="false">IF((E80="r"),H80," ")</f>
        <v> </v>
      </c>
      <c r="U80" s="17" t="str">
        <f aca="false">IF((E80="p"),H80," ")</f>
        <v> </v>
      </c>
      <c r="V80" s="17" t="str">
        <f aca="false">IF((E80="t"),H80," ")</f>
        <v> </v>
      </c>
      <c r="W80" s="17" t="str">
        <f aca="false">IF((E80="q"),H80," ")</f>
        <v> </v>
      </c>
      <c r="X80" s="17" t="str">
        <f aca="false">IF((E80="m"),H80," ")</f>
        <v> </v>
      </c>
      <c r="Y80" s="17" t="str">
        <f aca="false">IF((E80="u"),H80," ")</f>
        <v> </v>
      </c>
      <c r="Z80" s="17" t="str">
        <f aca="false">IF((E80="a"),H80," ")</f>
        <v> </v>
      </c>
      <c r="AA80" s="17" t="str">
        <f aca="false">IF((E80="g"),H80," ")</f>
        <v> </v>
      </c>
      <c r="AB80" s="17" t="str">
        <f aca="false">IF((E80="h"),H80," ")</f>
        <v> </v>
      </c>
      <c r="AC80" s="30" t="str">
        <f aca="false">IF((E80="v"),H80," ")</f>
        <v> </v>
      </c>
      <c r="AD80" s="30" t="str">
        <f aca="false">IF((E80="n"),H80," ")</f>
        <v> </v>
      </c>
      <c r="AE80" s="17" t="str">
        <f aca="false">IF((E80="f"),H80," ")</f>
        <v> </v>
      </c>
      <c r="AF80" s="17" t="str">
        <f aca="false">IF((E80="l"),H80," ")</f>
        <v> </v>
      </c>
      <c r="AG80" s="17" t="str">
        <f aca="false">IF((E80="y"),H80," ")</f>
        <v> </v>
      </c>
      <c r="AH80" s="17" t="str">
        <f aca="false">IF((E80="z"),H80," ")</f>
        <v> </v>
      </c>
      <c r="AI80" s="17" t="str">
        <f aca="false">IF((E80="fa"),H80," ")</f>
        <v> </v>
      </c>
      <c r="AJ80" s="17" t="str">
        <f aca="false">IF((E80="e"),H80," ")</f>
        <v> </v>
      </c>
    </row>
    <row r="81" customFormat="false" ht="12" hidden="false" customHeight="false" outlineLevel="0" collapsed="false">
      <c r="A81" s="28"/>
      <c r="E81" s="2" t="str">
        <f aca="false">IF((F81&lt;&gt;0),"Enter Letter"," ")</f>
        <v> </v>
      </c>
      <c r="F81" s="30"/>
      <c r="G81" s="6" t="str">
        <f aca="false">IF(F81&lt;&gt;0,F81*G$2/(100+G$2)," ")</f>
        <v> </v>
      </c>
      <c r="H81" s="6" t="str">
        <f aca="false">IF((F81&lt;&gt;0),F81-G81," ")</f>
        <v> </v>
      </c>
      <c r="I81" s="5"/>
      <c r="L81" s="7" t="str">
        <f aca="false">IF(F81&lt;&gt;0,F81-K81," ")</f>
        <v> </v>
      </c>
      <c r="M81" s="8" t="str">
        <f aca="false">IF((F81-K81)&lt;&gt;0,M$1-A81," ")</f>
        <v> </v>
      </c>
      <c r="N81" s="5"/>
      <c r="O81" s="17" t="str">
        <f aca="false">IF((E81="s"),H81," ")</f>
        <v> </v>
      </c>
      <c r="P81" s="17" t="str">
        <f aca="false">IF((E81="c"),H81," ")</f>
        <v> </v>
      </c>
      <c r="Q81" s="17" t="str">
        <f aca="false">IF((E81="o"),H81," ")</f>
        <v> </v>
      </c>
      <c r="R81" s="17" t="str">
        <f aca="false">IF((E81="d"),H81," ")</f>
        <v> </v>
      </c>
      <c r="S81" s="17" t="str">
        <f aca="false">IF((E81="w"),H81," ")</f>
        <v> </v>
      </c>
      <c r="T81" s="17" t="str">
        <f aca="false">IF((E81="r"),H81," ")</f>
        <v> </v>
      </c>
      <c r="U81" s="17" t="str">
        <f aca="false">IF((E81="p"),H81," ")</f>
        <v> </v>
      </c>
      <c r="V81" s="17" t="str">
        <f aca="false">IF((E81="t"),H81," ")</f>
        <v> </v>
      </c>
      <c r="W81" s="17" t="str">
        <f aca="false">IF((E81="q"),H81," ")</f>
        <v> </v>
      </c>
      <c r="X81" s="17" t="str">
        <f aca="false">IF((E81="m"),H81," ")</f>
        <v> </v>
      </c>
      <c r="Y81" s="17" t="str">
        <f aca="false">IF((E81="u"),H81," ")</f>
        <v> </v>
      </c>
      <c r="Z81" s="17" t="str">
        <f aca="false">IF((E81="a"),H81," ")</f>
        <v> </v>
      </c>
      <c r="AA81" s="17" t="str">
        <f aca="false">IF((E81="g"),H81," ")</f>
        <v> </v>
      </c>
      <c r="AB81" s="17" t="str">
        <f aca="false">IF((E81="h"),H81," ")</f>
        <v> </v>
      </c>
      <c r="AC81" s="30" t="str">
        <f aca="false">IF((E81="v"),H81," ")</f>
        <v> </v>
      </c>
      <c r="AD81" s="30" t="str">
        <f aca="false">IF((E81="n"),H81," ")</f>
        <v> </v>
      </c>
      <c r="AE81" s="17" t="str">
        <f aca="false">IF((E81="f"),H81," ")</f>
        <v> </v>
      </c>
      <c r="AF81" s="17" t="str">
        <f aca="false">IF((E81="l"),H81," ")</f>
        <v> </v>
      </c>
      <c r="AG81" s="17" t="str">
        <f aca="false">IF((E81="y"),H81," ")</f>
        <v> </v>
      </c>
      <c r="AH81" s="17" t="str">
        <f aca="false">IF((E81="z"),H81," ")</f>
        <v> </v>
      </c>
      <c r="AI81" s="17" t="str">
        <f aca="false">IF((E81="fa"),H81," ")</f>
        <v> </v>
      </c>
      <c r="AJ81" s="17" t="str">
        <f aca="false">IF((E81="e"),H81," ")</f>
        <v> </v>
      </c>
    </row>
    <row r="82" customFormat="false" ht="12" hidden="false" customHeight="false" outlineLevel="0" collapsed="false">
      <c r="A82" s="28"/>
      <c r="E82" s="2" t="str">
        <f aca="false">IF((F82&lt;&gt;0),"Enter Letter"," ")</f>
        <v> </v>
      </c>
      <c r="F82" s="30"/>
      <c r="G82" s="6" t="str">
        <f aca="false">IF(F82&lt;&gt;0,F82*G$2/(100+G$2)," ")</f>
        <v> </v>
      </c>
      <c r="H82" s="6" t="str">
        <f aca="false">IF((F82&lt;&gt;0),F82-G82," ")</f>
        <v> </v>
      </c>
      <c r="I82" s="5"/>
      <c r="L82" s="7" t="str">
        <f aca="false">IF(F82&lt;&gt;0,F82-K82," ")</f>
        <v> </v>
      </c>
      <c r="M82" s="8" t="str">
        <f aca="false">IF((F82-K82)&lt;&gt;0,M$1-A82," ")</f>
        <v> </v>
      </c>
      <c r="N82" s="5"/>
      <c r="O82" s="17" t="str">
        <f aca="false">IF((E82="s"),H82," ")</f>
        <v> </v>
      </c>
      <c r="P82" s="17" t="str">
        <f aca="false">IF((E82="c"),H82," ")</f>
        <v> </v>
      </c>
      <c r="Q82" s="17" t="str">
        <f aca="false">IF((E82="o"),H82," ")</f>
        <v> </v>
      </c>
      <c r="R82" s="17" t="str">
        <f aca="false">IF((E82="d"),H82," ")</f>
        <v> </v>
      </c>
      <c r="S82" s="17" t="str">
        <f aca="false">IF((E82="w"),H82," ")</f>
        <v> </v>
      </c>
      <c r="T82" s="17" t="str">
        <f aca="false">IF((E82="r"),H82," ")</f>
        <v> </v>
      </c>
      <c r="U82" s="17" t="str">
        <f aca="false">IF((E82="p"),H82," ")</f>
        <v> </v>
      </c>
      <c r="V82" s="17" t="str">
        <f aca="false">IF((E82="t"),H82," ")</f>
        <v> </v>
      </c>
      <c r="W82" s="17" t="str">
        <f aca="false">IF((E82="q"),H82," ")</f>
        <v> </v>
      </c>
      <c r="X82" s="17" t="str">
        <f aca="false">IF((E82="m"),H82," ")</f>
        <v> </v>
      </c>
      <c r="Y82" s="17" t="str">
        <f aca="false">IF((E82="u"),H82," ")</f>
        <v> </v>
      </c>
      <c r="Z82" s="17" t="str">
        <f aca="false">IF((E82="a"),H82," ")</f>
        <v> </v>
      </c>
      <c r="AA82" s="17" t="str">
        <f aca="false">IF((E82="g"),H82," ")</f>
        <v> </v>
      </c>
      <c r="AB82" s="17" t="str">
        <f aca="false">IF((E82="h"),H82," ")</f>
        <v> </v>
      </c>
      <c r="AC82" s="30" t="str">
        <f aca="false">IF((E82="v"),H82," ")</f>
        <v> </v>
      </c>
      <c r="AD82" s="30" t="str">
        <f aca="false">IF((E82="n"),H82," ")</f>
        <v> </v>
      </c>
      <c r="AE82" s="17" t="str">
        <f aca="false">IF((E82="f"),H82," ")</f>
        <v> </v>
      </c>
      <c r="AF82" s="17" t="str">
        <f aca="false">IF((E82="l"),H82," ")</f>
        <v> </v>
      </c>
      <c r="AG82" s="17" t="str">
        <f aca="false">IF((E82="y"),H82," ")</f>
        <v> </v>
      </c>
      <c r="AH82" s="17" t="str">
        <f aca="false">IF((E82="z"),H82," ")</f>
        <v> </v>
      </c>
      <c r="AI82" s="17" t="str">
        <f aca="false">IF((E82="fa"),H82," ")</f>
        <v> </v>
      </c>
      <c r="AJ82" s="17" t="str">
        <f aca="false">IF((E82="e"),H82," ")</f>
        <v> </v>
      </c>
    </row>
    <row r="83" customFormat="false" ht="12" hidden="false" customHeight="false" outlineLevel="0" collapsed="false">
      <c r="A83" s="28"/>
      <c r="E83" s="2" t="str">
        <f aca="false">IF((F83&lt;&gt;0),"Enter Letter"," ")</f>
        <v> </v>
      </c>
      <c r="F83" s="30"/>
      <c r="G83" s="6" t="str">
        <f aca="false">IF(F83&lt;&gt;0,F83*G$2/(100+G$2)," ")</f>
        <v> </v>
      </c>
      <c r="H83" s="6" t="str">
        <f aca="false">IF((F83&lt;&gt;0),F83-G83," ")</f>
        <v> </v>
      </c>
      <c r="I83" s="5"/>
      <c r="L83" s="7" t="str">
        <f aca="false">IF(F83&lt;&gt;0,F83-K83," ")</f>
        <v> </v>
      </c>
      <c r="M83" s="8" t="str">
        <f aca="false">IF((F83-K83)&lt;&gt;0,M$1-A83," ")</f>
        <v> </v>
      </c>
      <c r="N83" s="5"/>
      <c r="O83" s="17" t="str">
        <f aca="false">IF((E83="s"),H83," ")</f>
        <v> </v>
      </c>
      <c r="P83" s="17" t="str">
        <f aca="false">IF((E83="c"),H83," ")</f>
        <v> </v>
      </c>
      <c r="Q83" s="17" t="str">
        <f aca="false">IF((E83="o"),H83," ")</f>
        <v> </v>
      </c>
      <c r="R83" s="17" t="str">
        <f aca="false">IF((E83="d"),H83," ")</f>
        <v> </v>
      </c>
      <c r="S83" s="17" t="str">
        <f aca="false">IF((E83="w"),H83," ")</f>
        <v> </v>
      </c>
      <c r="T83" s="17" t="str">
        <f aca="false">IF((E83="r"),H83," ")</f>
        <v> </v>
      </c>
      <c r="U83" s="17" t="str">
        <f aca="false">IF((E83="p"),H83," ")</f>
        <v> </v>
      </c>
      <c r="V83" s="17" t="str">
        <f aca="false">IF((E83="t"),H83," ")</f>
        <v> </v>
      </c>
      <c r="W83" s="17" t="str">
        <f aca="false">IF((E83="q"),H83," ")</f>
        <v> </v>
      </c>
      <c r="X83" s="17" t="str">
        <f aca="false">IF((E83="m"),H83," ")</f>
        <v> </v>
      </c>
      <c r="Y83" s="17" t="str">
        <f aca="false">IF((E83="u"),H83," ")</f>
        <v> </v>
      </c>
      <c r="Z83" s="17" t="str">
        <f aca="false">IF((E83="a"),H83," ")</f>
        <v> </v>
      </c>
      <c r="AA83" s="17" t="str">
        <f aca="false">IF((E83="g"),H83," ")</f>
        <v> </v>
      </c>
      <c r="AB83" s="17" t="str">
        <f aca="false">IF((E83="h"),H83," ")</f>
        <v> </v>
      </c>
      <c r="AC83" s="30" t="str">
        <f aca="false">IF((E83="v"),H83," ")</f>
        <v> </v>
      </c>
      <c r="AD83" s="30" t="str">
        <f aca="false">IF((E83="n"),H83," ")</f>
        <v> </v>
      </c>
      <c r="AE83" s="17" t="str">
        <f aca="false">IF((E83="f"),H83," ")</f>
        <v> </v>
      </c>
      <c r="AF83" s="17" t="str">
        <f aca="false">IF((E83="l"),H83," ")</f>
        <v> </v>
      </c>
      <c r="AG83" s="17" t="str">
        <f aca="false">IF((E83="y"),H83," ")</f>
        <v> </v>
      </c>
      <c r="AH83" s="17" t="str">
        <f aca="false">IF((E83="z"),H83," ")</f>
        <v> </v>
      </c>
      <c r="AI83" s="17" t="str">
        <f aca="false">IF((E83="fa"),H83," ")</f>
        <v> </v>
      </c>
      <c r="AJ83" s="17" t="str">
        <f aca="false">IF((E83="e"),H83," ")</f>
        <v> </v>
      </c>
    </row>
    <row r="84" customFormat="false" ht="12" hidden="false" customHeight="false" outlineLevel="0" collapsed="false">
      <c r="A84" s="28"/>
      <c r="E84" s="2" t="str">
        <f aca="false">IF((F84&lt;&gt;0),"Enter Letter"," ")</f>
        <v> </v>
      </c>
      <c r="F84" s="30"/>
      <c r="G84" s="6" t="str">
        <f aca="false">IF(F84&lt;&gt;0,F84*G$2/(100+G$2)," ")</f>
        <v> </v>
      </c>
      <c r="H84" s="6" t="str">
        <f aca="false">IF((F84&lt;&gt;0),F84-G84," ")</f>
        <v> </v>
      </c>
      <c r="I84" s="5"/>
      <c r="L84" s="7" t="str">
        <f aca="false">IF(F84&lt;&gt;0,F84-K84," ")</f>
        <v> </v>
      </c>
      <c r="M84" s="8" t="str">
        <f aca="false">IF((F84-K84)&lt;&gt;0,M$1-A84," ")</f>
        <v> </v>
      </c>
      <c r="N84" s="5"/>
      <c r="O84" s="17" t="str">
        <f aca="false">IF((E84="s"),H84," ")</f>
        <v> </v>
      </c>
      <c r="P84" s="17" t="str">
        <f aca="false">IF((E84="c"),H84," ")</f>
        <v> </v>
      </c>
      <c r="Q84" s="17" t="str">
        <f aca="false">IF((E84="o"),H84," ")</f>
        <v> </v>
      </c>
      <c r="R84" s="17" t="str">
        <f aca="false">IF((E84="d"),H84," ")</f>
        <v> </v>
      </c>
      <c r="S84" s="17" t="str">
        <f aca="false">IF((E84="w"),H84," ")</f>
        <v> </v>
      </c>
      <c r="T84" s="17" t="str">
        <f aca="false">IF((E84="r"),H84," ")</f>
        <v> </v>
      </c>
      <c r="U84" s="17" t="str">
        <f aca="false">IF((E84="p"),H84," ")</f>
        <v> </v>
      </c>
      <c r="V84" s="17" t="str">
        <f aca="false">IF((E84="t"),H84," ")</f>
        <v> </v>
      </c>
      <c r="W84" s="17" t="str">
        <f aca="false">IF((E84="q"),H84," ")</f>
        <v> </v>
      </c>
      <c r="X84" s="17" t="str">
        <f aca="false">IF((E84="m"),H84," ")</f>
        <v> </v>
      </c>
      <c r="Y84" s="17" t="str">
        <f aca="false">IF((E84="u"),H84," ")</f>
        <v> </v>
      </c>
      <c r="Z84" s="17" t="str">
        <f aca="false">IF((E84="a"),H84," ")</f>
        <v> </v>
      </c>
      <c r="AA84" s="17" t="str">
        <f aca="false">IF((E84="g"),H84," ")</f>
        <v> </v>
      </c>
      <c r="AB84" s="17" t="str">
        <f aca="false">IF((E84="h"),H84," ")</f>
        <v> </v>
      </c>
      <c r="AC84" s="30" t="str">
        <f aca="false">IF((E84="v"),H84," ")</f>
        <v> </v>
      </c>
      <c r="AD84" s="30" t="str">
        <f aca="false">IF((E84="n"),H84," ")</f>
        <v> </v>
      </c>
      <c r="AE84" s="17" t="str">
        <f aca="false">IF((E84="f"),H84," ")</f>
        <v> </v>
      </c>
      <c r="AF84" s="17" t="str">
        <f aca="false">IF((E84="l"),H84," ")</f>
        <v> </v>
      </c>
      <c r="AG84" s="17" t="str">
        <f aca="false">IF((E84="y"),H84," ")</f>
        <v> </v>
      </c>
      <c r="AH84" s="17" t="str">
        <f aca="false">IF((E84="z"),H84," ")</f>
        <v> </v>
      </c>
      <c r="AI84" s="17" t="str">
        <f aca="false">IF((E84="fa"),H84," ")</f>
        <v> </v>
      </c>
      <c r="AJ84" s="17" t="str">
        <f aca="false">IF((E84="e"),H84," ")</f>
        <v> </v>
      </c>
    </row>
    <row r="85" customFormat="false" ht="12" hidden="false" customHeight="false" outlineLevel="0" collapsed="false">
      <c r="A85" s="28"/>
      <c r="E85" s="2" t="str">
        <f aca="false">IF((F85&lt;&gt;0),"Enter Letter"," ")</f>
        <v> </v>
      </c>
      <c r="F85" s="30"/>
      <c r="G85" s="6" t="str">
        <f aca="false">IF(F85&lt;&gt;0,F85*G$2/(100+G$2)," ")</f>
        <v> </v>
      </c>
      <c r="H85" s="6" t="str">
        <f aca="false">IF((F85&lt;&gt;0),F85-G85," ")</f>
        <v> </v>
      </c>
      <c r="I85" s="5"/>
      <c r="L85" s="7" t="str">
        <f aca="false">IF(F85&lt;&gt;0,F85-K85," ")</f>
        <v> </v>
      </c>
      <c r="M85" s="8" t="str">
        <f aca="false">IF((F85-K85)&lt;&gt;0,M$1-A85," ")</f>
        <v> </v>
      </c>
      <c r="N85" s="5"/>
      <c r="O85" s="17" t="str">
        <f aca="false">IF((E85="s"),H85," ")</f>
        <v> </v>
      </c>
      <c r="P85" s="17" t="str">
        <f aca="false">IF((E85="c"),H85," ")</f>
        <v> </v>
      </c>
      <c r="Q85" s="17" t="str">
        <f aca="false">IF((E85="o"),H85," ")</f>
        <v> </v>
      </c>
      <c r="R85" s="17" t="str">
        <f aca="false">IF((E85="d"),H85," ")</f>
        <v> </v>
      </c>
      <c r="S85" s="17" t="str">
        <f aca="false">IF((E85="w"),H85," ")</f>
        <v> </v>
      </c>
      <c r="T85" s="17" t="str">
        <f aca="false">IF((E85="r"),H85," ")</f>
        <v> </v>
      </c>
      <c r="U85" s="17" t="str">
        <f aca="false">IF((E85="p"),H85," ")</f>
        <v> </v>
      </c>
      <c r="V85" s="17" t="str">
        <f aca="false">IF((E85="t"),H85," ")</f>
        <v> </v>
      </c>
      <c r="W85" s="17" t="str">
        <f aca="false">IF((E85="q"),H85," ")</f>
        <v> </v>
      </c>
      <c r="X85" s="17" t="str">
        <f aca="false">IF((E85="m"),H85," ")</f>
        <v> </v>
      </c>
      <c r="Y85" s="17" t="str">
        <f aca="false">IF((E85="u"),H85," ")</f>
        <v> </v>
      </c>
      <c r="Z85" s="17" t="str">
        <f aca="false">IF((E85="a"),H85," ")</f>
        <v> </v>
      </c>
      <c r="AA85" s="17" t="str">
        <f aca="false">IF((E85="g"),H85," ")</f>
        <v> </v>
      </c>
      <c r="AB85" s="17" t="str">
        <f aca="false">IF((E85="h"),H85," ")</f>
        <v> </v>
      </c>
      <c r="AC85" s="30" t="str">
        <f aca="false">IF((E85="v"),H85," ")</f>
        <v> </v>
      </c>
      <c r="AD85" s="30" t="str">
        <f aca="false">IF((E85="n"),H85," ")</f>
        <v> </v>
      </c>
      <c r="AE85" s="17" t="str">
        <f aca="false">IF((E85="f"),H85," ")</f>
        <v> </v>
      </c>
      <c r="AF85" s="17" t="str">
        <f aca="false">IF((E85="l"),H85," ")</f>
        <v> </v>
      </c>
      <c r="AG85" s="17" t="str">
        <f aca="false">IF((E85="y"),H85," ")</f>
        <v> </v>
      </c>
      <c r="AH85" s="17" t="str">
        <f aca="false">IF((E85="z"),H85," ")</f>
        <v> </v>
      </c>
      <c r="AI85" s="17" t="str">
        <f aca="false">IF((E85="fa"),H85," ")</f>
        <v> </v>
      </c>
      <c r="AJ85" s="17" t="str">
        <f aca="false">IF((E85="e"),H85," ")</f>
        <v> </v>
      </c>
    </row>
    <row r="86" customFormat="false" ht="12" hidden="false" customHeight="false" outlineLevel="0" collapsed="false">
      <c r="A86" s="28"/>
      <c r="E86" s="2" t="str">
        <f aca="false">IF((F86&lt;&gt;0),"Enter Letter"," ")</f>
        <v> </v>
      </c>
      <c r="F86" s="30"/>
      <c r="G86" s="6" t="str">
        <f aca="false">IF(F86&lt;&gt;0,F86*G$2/(100+G$2)," ")</f>
        <v> </v>
      </c>
      <c r="H86" s="6" t="str">
        <f aca="false">IF((F86&lt;&gt;0),F86-G86," ")</f>
        <v> </v>
      </c>
      <c r="I86" s="5"/>
      <c r="L86" s="7" t="str">
        <f aca="false">IF(F86&lt;&gt;0,F86-K86," ")</f>
        <v> </v>
      </c>
      <c r="M86" s="8" t="str">
        <f aca="false">IF((F86-K86)&lt;&gt;0,M$1-A86," ")</f>
        <v> </v>
      </c>
      <c r="N86" s="5"/>
      <c r="O86" s="17" t="str">
        <f aca="false">IF((E86="s"),H86," ")</f>
        <v> </v>
      </c>
      <c r="P86" s="17" t="str">
        <f aca="false">IF((E86="c"),H86," ")</f>
        <v> </v>
      </c>
      <c r="Q86" s="17" t="str">
        <f aca="false">IF((E86="o"),H86," ")</f>
        <v> </v>
      </c>
      <c r="R86" s="17" t="str">
        <f aca="false">IF((E86="d"),H86," ")</f>
        <v> </v>
      </c>
      <c r="S86" s="17" t="str">
        <f aca="false">IF((E86="w"),H86," ")</f>
        <v> </v>
      </c>
      <c r="T86" s="17" t="str">
        <f aca="false">IF((E86="r"),H86," ")</f>
        <v> </v>
      </c>
      <c r="U86" s="17" t="str">
        <f aca="false">IF((E86="p"),H86," ")</f>
        <v> </v>
      </c>
      <c r="V86" s="17" t="str">
        <f aca="false">IF((E86="t"),H86," ")</f>
        <v> </v>
      </c>
      <c r="W86" s="17" t="str">
        <f aca="false">IF((E86="q"),H86," ")</f>
        <v> </v>
      </c>
      <c r="X86" s="17" t="str">
        <f aca="false">IF((E86="m"),H86," ")</f>
        <v> </v>
      </c>
      <c r="Y86" s="17" t="str">
        <f aca="false">IF((E86="u"),H86," ")</f>
        <v> </v>
      </c>
      <c r="Z86" s="17" t="str">
        <f aca="false">IF((E86="a"),H86," ")</f>
        <v> </v>
      </c>
      <c r="AA86" s="17" t="str">
        <f aca="false">IF((E86="g"),H86," ")</f>
        <v> </v>
      </c>
      <c r="AB86" s="17" t="str">
        <f aca="false">IF((E86="h"),H86," ")</f>
        <v> </v>
      </c>
      <c r="AC86" s="30" t="str">
        <f aca="false">IF((E86="v"),H86," ")</f>
        <v> </v>
      </c>
      <c r="AD86" s="30" t="str">
        <f aca="false">IF((E86="n"),H86," ")</f>
        <v> </v>
      </c>
      <c r="AE86" s="17" t="str">
        <f aca="false">IF((E86="f"),H86," ")</f>
        <v> </v>
      </c>
      <c r="AF86" s="17" t="str">
        <f aca="false">IF((E86="l"),H86," ")</f>
        <v> </v>
      </c>
      <c r="AG86" s="17" t="str">
        <f aca="false">IF((E86="y"),H86," ")</f>
        <v> </v>
      </c>
      <c r="AH86" s="17" t="str">
        <f aca="false">IF((E86="z"),H86," ")</f>
        <v> </v>
      </c>
      <c r="AI86" s="17" t="str">
        <f aca="false">IF((E86="fa"),H86," ")</f>
        <v> </v>
      </c>
      <c r="AJ86" s="17" t="str">
        <f aca="false">IF((E86="e"),H86," ")</f>
        <v> </v>
      </c>
    </row>
    <row r="87" customFormat="false" ht="12" hidden="false" customHeight="false" outlineLevel="0" collapsed="false">
      <c r="A87" s="28"/>
      <c r="E87" s="2" t="str">
        <f aca="false">IF((F87&lt;&gt;0),"Enter Letter"," ")</f>
        <v> </v>
      </c>
      <c r="F87" s="30"/>
      <c r="G87" s="6" t="str">
        <f aca="false">IF(F87&lt;&gt;0,F87*G$2/(100+G$2)," ")</f>
        <v> </v>
      </c>
      <c r="H87" s="6" t="str">
        <f aca="false">IF((F87&lt;&gt;0),F87-G87," ")</f>
        <v> </v>
      </c>
      <c r="I87" s="5"/>
      <c r="L87" s="7" t="str">
        <f aca="false">IF(F87&lt;&gt;0,F87-K87," ")</f>
        <v> </v>
      </c>
      <c r="M87" s="8" t="str">
        <f aca="false">IF((F87-K87)&lt;&gt;0,M$1-A87," ")</f>
        <v> </v>
      </c>
      <c r="N87" s="5"/>
      <c r="O87" s="17" t="str">
        <f aca="false">IF((E87="s"),H87," ")</f>
        <v> </v>
      </c>
      <c r="P87" s="17" t="str">
        <f aca="false">IF((E87="c"),H87," ")</f>
        <v> </v>
      </c>
      <c r="Q87" s="17" t="str">
        <f aca="false">IF((E87="o"),H87," ")</f>
        <v> </v>
      </c>
      <c r="R87" s="17" t="str">
        <f aca="false">IF((E87="d"),H87," ")</f>
        <v> </v>
      </c>
      <c r="S87" s="17" t="str">
        <f aca="false">IF((E87="w"),H87," ")</f>
        <v> </v>
      </c>
      <c r="T87" s="17" t="str">
        <f aca="false">IF((E87="r"),H87," ")</f>
        <v> </v>
      </c>
      <c r="U87" s="17" t="str">
        <f aca="false">IF((E87="p"),H87," ")</f>
        <v> </v>
      </c>
      <c r="V87" s="17" t="str">
        <f aca="false">IF((E87="t"),H87," ")</f>
        <v> </v>
      </c>
      <c r="W87" s="17" t="str">
        <f aca="false">IF((E87="q"),H87," ")</f>
        <v> </v>
      </c>
      <c r="X87" s="17" t="str">
        <f aca="false">IF((E87="m"),H87," ")</f>
        <v> </v>
      </c>
      <c r="Y87" s="17" t="str">
        <f aca="false">IF((E87="u"),H87," ")</f>
        <v> </v>
      </c>
      <c r="Z87" s="17" t="str">
        <f aca="false">IF((E87="a"),H87," ")</f>
        <v> </v>
      </c>
      <c r="AA87" s="17" t="str">
        <f aca="false">IF((E87="g"),H87," ")</f>
        <v> </v>
      </c>
      <c r="AB87" s="17" t="str">
        <f aca="false">IF((E87="h"),H87," ")</f>
        <v> </v>
      </c>
      <c r="AC87" s="30" t="str">
        <f aca="false">IF((E87="v"),H87," ")</f>
        <v> </v>
      </c>
      <c r="AD87" s="30" t="str">
        <f aca="false">IF((E87="n"),H87," ")</f>
        <v> </v>
      </c>
      <c r="AE87" s="17" t="str">
        <f aca="false">IF((E87="f"),H87," ")</f>
        <v> </v>
      </c>
      <c r="AF87" s="17" t="str">
        <f aca="false">IF((E87="l"),H87," ")</f>
        <v> </v>
      </c>
      <c r="AG87" s="17" t="str">
        <f aca="false">IF((E87="y"),H87," ")</f>
        <v> </v>
      </c>
      <c r="AH87" s="17" t="str">
        <f aca="false">IF((E87="z"),H87," ")</f>
        <v> </v>
      </c>
      <c r="AI87" s="17" t="str">
        <f aca="false">IF((E87="fa"),H87," ")</f>
        <v> </v>
      </c>
      <c r="AJ87" s="17" t="str">
        <f aca="false">IF((E87="e"),H87," ")</f>
        <v> </v>
      </c>
    </row>
    <row r="88" customFormat="false" ht="12" hidden="false" customHeight="false" outlineLevel="0" collapsed="false">
      <c r="A88" s="28"/>
      <c r="E88" s="2" t="str">
        <f aca="false">IF((F88&lt;&gt;0),"Enter Letter"," ")</f>
        <v> </v>
      </c>
      <c r="F88" s="30"/>
      <c r="G88" s="6" t="str">
        <f aca="false">IF(F88&lt;&gt;0,F88*G$2/(100+G$2)," ")</f>
        <v> </v>
      </c>
      <c r="H88" s="6" t="str">
        <f aca="false">IF((F88&lt;&gt;0),F88-G88," ")</f>
        <v> </v>
      </c>
      <c r="I88" s="5"/>
      <c r="L88" s="7" t="str">
        <f aca="false">IF(F88&lt;&gt;0,F88-K88," ")</f>
        <v> </v>
      </c>
      <c r="M88" s="8" t="str">
        <f aca="false">IF((F88-K88)&lt;&gt;0,M$1-A88," ")</f>
        <v> </v>
      </c>
      <c r="N88" s="5"/>
      <c r="O88" s="17" t="str">
        <f aca="false">IF((E88="s"),H88," ")</f>
        <v> </v>
      </c>
      <c r="P88" s="17" t="str">
        <f aca="false">IF((E88="c"),H88," ")</f>
        <v> </v>
      </c>
      <c r="Q88" s="17" t="str">
        <f aca="false">IF((E88="o"),H88," ")</f>
        <v> </v>
      </c>
      <c r="R88" s="17" t="str">
        <f aca="false">IF((E88="d"),H88," ")</f>
        <v> </v>
      </c>
      <c r="S88" s="17" t="str">
        <f aca="false">IF((E88="w"),H88," ")</f>
        <v> </v>
      </c>
      <c r="T88" s="17" t="str">
        <f aca="false">IF((E88="r"),H88," ")</f>
        <v> </v>
      </c>
      <c r="U88" s="17" t="str">
        <f aca="false">IF((E88="p"),H88," ")</f>
        <v> </v>
      </c>
      <c r="V88" s="17" t="str">
        <f aca="false">IF((E88="t"),H88," ")</f>
        <v> </v>
      </c>
      <c r="W88" s="17" t="str">
        <f aca="false">IF((E88="q"),H88," ")</f>
        <v> </v>
      </c>
      <c r="X88" s="17" t="str">
        <f aca="false">IF((E88="m"),H88," ")</f>
        <v> </v>
      </c>
      <c r="Y88" s="17" t="str">
        <f aca="false">IF((E88="u"),H88," ")</f>
        <v> </v>
      </c>
      <c r="Z88" s="17" t="str">
        <f aca="false">IF((E88="a"),H88," ")</f>
        <v> </v>
      </c>
      <c r="AA88" s="17" t="str">
        <f aca="false">IF((E88="g"),H88," ")</f>
        <v> </v>
      </c>
      <c r="AB88" s="17" t="str">
        <f aca="false">IF((E88="h"),H88," ")</f>
        <v> </v>
      </c>
      <c r="AC88" s="30" t="str">
        <f aca="false">IF((E88="v"),H88," ")</f>
        <v> </v>
      </c>
      <c r="AD88" s="30" t="str">
        <f aca="false">IF((E88="n"),H88," ")</f>
        <v> </v>
      </c>
      <c r="AE88" s="17" t="str">
        <f aca="false">IF((E88="f"),H88," ")</f>
        <v> </v>
      </c>
      <c r="AF88" s="17" t="str">
        <f aca="false">IF((E88="l"),H88," ")</f>
        <v> </v>
      </c>
      <c r="AG88" s="17" t="str">
        <f aca="false">IF((E88="y"),H88," ")</f>
        <v> </v>
      </c>
      <c r="AH88" s="17" t="str">
        <f aca="false">IF((E88="z"),H88," ")</f>
        <v> </v>
      </c>
      <c r="AI88" s="17" t="str">
        <f aca="false">IF((E88="fa"),H88," ")</f>
        <v> </v>
      </c>
      <c r="AJ88" s="17" t="str">
        <f aca="false">IF((E88="e"),H88," ")</f>
        <v> </v>
      </c>
    </row>
    <row r="89" customFormat="false" ht="12" hidden="false" customHeight="false" outlineLevel="0" collapsed="false">
      <c r="A89" s="28"/>
      <c r="E89" s="2" t="str">
        <f aca="false">IF((F89&lt;&gt;0),"Enter Letter"," ")</f>
        <v> </v>
      </c>
      <c r="F89" s="30"/>
      <c r="G89" s="6" t="str">
        <f aca="false">IF(F89&lt;&gt;0,F89*G$2/(100+G$2)," ")</f>
        <v> </v>
      </c>
      <c r="H89" s="6" t="str">
        <f aca="false">IF((F89&lt;&gt;0),F89-G89," ")</f>
        <v> </v>
      </c>
      <c r="I89" s="5"/>
      <c r="L89" s="7" t="str">
        <f aca="false">IF(F89&lt;&gt;0,F89-K89," ")</f>
        <v> </v>
      </c>
      <c r="M89" s="8" t="str">
        <f aca="false">IF((F89-K89)&lt;&gt;0,M$1-A89," ")</f>
        <v> </v>
      </c>
      <c r="N89" s="5"/>
      <c r="O89" s="17" t="str">
        <f aca="false">IF((E89="s"),H89," ")</f>
        <v> </v>
      </c>
      <c r="P89" s="17" t="str">
        <f aca="false">IF((E89="c"),H89," ")</f>
        <v> </v>
      </c>
      <c r="Q89" s="17" t="str">
        <f aca="false">IF((E89="o"),H89," ")</f>
        <v> </v>
      </c>
      <c r="R89" s="17" t="str">
        <f aca="false">IF((E89="d"),H89," ")</f>
        <v> </v>
      </c>
      <c r="S89" s="17" t="str">
        <f aca="false">IF((E89="w"),H89," ")</f>
        <v> </v>
      </c>
      <c r="T89" s="17" t="str">
        <f aca="false">IF((E89="r"),H89," ")</f>
        <v> </v>
      </c>
      <c r="U89" s="17" t="str">
        <f aca="false">IF((E89="p"),H89," ")</f>
        <v> </v>
      </c>
      <c r="V89" s="17" t="str">
        <f aca="false">IF((E89="t"),H89," ")</f>
        <v> </v>
      </c>
      <c r="W89" s="17" t="str">
        <f aca="false">IF((E89="q"),H89," ")</f>
        <v> </v>
      </c>
      <c r="X89" s="17" t="str">
        <f aca="false">IF((E89="m"),H89," ")</f>
        <v> </v>
      </c>
      <c r="Y89" s="17" t="str">
        <f aca="false">IF((E89="u"),H89," ")</f>
        <v> </v>
      </c>
      <c r="Z89" s="17" t="str">
        <f aca="false">IF((E89="a"),H89," ")</f>
        <v> </v>
      </c>
      <c r="AA89" s="17" t="str">
        <f aca="false">IF((E89="g"),H89," ")</f>
        <v> </v>
      </c>
      <c r="AB89" s="17" t="str">
        <f aca="false">IF((E89="h"),H89," ")</f>
        <v> </v>
      </c>
      <c r="AC89" s="30" t="str">
        <f aca="false">IF((E89="v"),H89," ")</f>
        <v> </v>
      </c>
      <c r="AD89" s="30" t="str">
        <f aca="false">IF((E89="n"),H89," ")</f>
        <v> </v>
      </c>
      <c r="AE89" s="17" t="str">
        <f aca="false">IF((E89="f"),H89," ")</f>
        <v> </v>
      </c>
      <c r="AF89" s="17" t="str">
        <f aca="false">IF((E89="l"),H89," ")</f>
        <v> </v>
      </c>
      <c r="AG89" s="17" t="str">
        <f aca="false">IF((E89="y"),H89," ")</f>
        <v> </v>
      </c>
      <c r="AH89" s="17" t="str">
        <f aca="false">IF((E89="z"),H89," ")</f>
        <v> </v>
      </c>
      <c r="AI89" s="17" t="str">
        <f aca="false">IF((E89="fa"),H89," ")</f>
        <v> </v>
      </c>
      <c r="AJ89" s="17" t="str">
        <f aca="false">IF((E89="e"),H89," ")</f>
        <v> </v>
      </c>
    </row>
    <row r="90" customFormat="false" ht="12" hidden="false" customHeight="false" outlineLevel="0" collapsed="false">
      <c r="A90" s="28"/>
      <c r="E90" s="2" t="str">
        <f aca="false">IF((F90&lt;&gt;0),"Enter Letter"," ")</f>
        <v> </v>
      </c>
      <c r="F90" s="30"/>
      <c r="G90" s="6" t="str">
        <f aca="false">IF(F90&lt;&gt;0,F90*G$2/(100+G$2)," ")</f>
        <v> </v>
      </c>
      <c r="H90" s="6" t="str">
        <f aca="false">IF((F90&lt;&gt;0),F90-G90," ")</f>
        <v> </v>
      </c>
      <c r="I90" s="5"/>
      <c r="L90" s="7" t="str">
        <f aca="false">IF(F90&lt;&gt;0,F90-K90," ")</f>
        <v> </v>
      </c>
      <c r="M90" s="8" t="str">
        <f aca="false">IF((F90-K90)&lt;&gt;0,M$1-A90," ")</f>
        <v> </v>
      </c>
      <c r="N90" s="5"/>
      <c r="O90" s="17" t="str">
        <f aca="false">IF((E90="s"),H90," ")</f>
        <v> </v>
      </c>
      <c r="P90" s="17" t="str">
        <f aca="false">IF((E90="c"),H90," ")</f>
        <v> </v>
      </c>
      <c r="Q90" s="17" t="str">
        <f aca="false">IF((E90="o"),H90," ")</f>
        <v> </v>
      </c>
      <c r="R90" s="17" t="str">
        <f aca="false">IF((E90="d"),H90," ")</f>
        <v> </v>
      </c>
      <c r="S90" s="17" t="str">
        <f aca="false">IF((E90="w"),H90," ")</f>
        <v> </v>
      </c>
      <c r="T90" s="17" t="str">
        <f aca="false">IF((E90="r"),H90," ")</f>
        <v> </v>
      </c>
      <c r="U90" s="17" t="str">
        <f aca="false">IF((E90="p"),H90," ")</f>
        <v> </v>
      </c>
      <c r="V90" s="17" t="str">
        <f aca="false">IF((E90="t"),H90," ")</f>
        <v> </v>
      </c>
      <c r="W90" s="17" t="str">
        <f aca="false">IF((E90="q"),H90," ")</f>
        <v> </v>
      </c>
      <c r="X90" s="17" t="str">
        <f aca="false">IF((E90="m"),H90," ")</f>
        <v> </v>
      </c>
      <c r="Y90" s="17" t="str">
        <f aca="false">IF((E90="u"),H90," ")</f>
        <v> </v>
      </c>
      <c r="Z90" s="17" t="str">
        <f aca="false">IF((E90="a"),H90," ")</f>
        <v> </v>
      </c>
      <c r="AA90" s="17" t="str">
        <f aca="false">IF((E90="g"),H90," ")</f>
        <v> </v>
      </c>
      <c r="AB90" s="17" t="str">
        <f aca="false">IF((E90="h"),H90," ")</f>
        <v> </v>
      </c>
      <c r="AC90" s="30" t="str">
        <f aca="false">IF((E90="v"),H90," ")</f>
        <v> </v>
      </c>
      <c r="AD90" s="30" t="str">
        <f aca="false">IF((E90="n"),H90," ")</f>
        <v> </v>
      </c>
      <c r="AE90" s="17" t="str">
        <f aca="false">IF((E90="f"),H90," ")</f>
        <v> </v>
      </c>
      <c r="AF90" s="17" t="str">
        <f aca="false">IF((E90="l"),H90," ")</f>
        <v> </v>
      </c>
      <c r="AG90" s="17" t="str">
        <f aca="false">IF((E90="y"),H90," ")</f>
        <v> </v>
      </c>
      <c r="AH90" s="17" t="str">
        <f aca="false">IF((E90="z"),H90," ")</f>
        <v> </v>
      </c>
      <c r="AI90" s="17" t="str">
        <f aca="false">IF((E90="fa"),H90," ")</f>
        <v> </v>
      </c>
      <c r="AJ90" s="17" t="str">
        <f aca="false">IF((E90="e"),H90," ")</f>
        <v> </v>
      </c>
    </row>
    <row r="91" customFormat="false" ht="12" hidden="false" customHeight="false" outlineLevel="0" collapsed="false">
      <c r="A91" s="28"/>
      <c r="E91" s="2" t="str">
        <f aca="false">IF((F91&lt;&gt;0),"Enter Letter"," ")</f>
        <v> </v>
      </c>
      <c r="F91" s="30"/>
      <c r="G91" s="6" t="str">
        <f aca="false">IF(F91&lt;&gt;0,F91*G$2/(100+G$2)," ")</f>
        <v> </v>
      </c>
      <c r="H91" s="6" t="str">
        <f aca="false">IF((F91&lt;&gt;0),F91-G91," ")</f>
        <v> </v>
      </c>
      <c r="I91" s="5"/>
      <c r="L91" s="7" t="str">
        <f aca="false">IF(F91&lt;&gt;0,F91-K91," ")</f>
        <v> </v>
      </c>
      <c r="M91" s="8" t="str">
        <f aca="false">IF((F91-K91)&lt;&gt;0,M$1-A91," ")</f>
        <v> </v>
      </c>
      <c r="N91" s="5"/>
      <c r="O91" s="17" t="str">
        <f aca="false">IF((E91="s"),H91," ")</f>
        <v> </v>
      </c>
      <c r="P91" s="17" t="str">
        <f aca="false">IF((E91="c"),H91," ")</f>
        <v> </v>
      </c>
      <c r="Q91" s="17" t="str">
        <f aca="false">IF((E91="o"),H91," ")</f>
        <v> </v>
      </c>
      <c r="R91" s="17" t="str">
        <f aca="false">IF((E91="d"),H91," ")</f>
        <v> </v>
      </c>
      <c r="S91" s="17" t="str">
        <f aca="false">IF((E91="w"),H91," ")</f>
        <v> </v>
      </c>
      <c r="T91" s="17" t="str">
        <f aca="false">IF((E91="r"),H91," ")</f>
        <v> </v>
      </c>
      <c r="U91" s="17" t="str">
        <f aca="false">IF((E91="p"),H91," ")</f>
        <v> </v>
      </c>
      <c r="V91" s="17" t="str">
        <f aca="false">IF((E91="t"),H91," ")</f>
        <v> </v>
      </c>
      <c r="W91" s="17" t="str">
        <f aca="false">IF((E91="q"),H91," ")</f>
        <v> </v>
      </c>
      <c r="X91" s="17" t="str">
        <f aca="false">IF((E91="m"),H91," ")</f>
        <v> </v>
      </c>
      <c r="Y91" s="17" t="str">
        <f aca="false">IF((E91="u"),H91," ")</f>
        <v> </v>
      </c>
      <c r="Z91" s="17" t="str">
        <f aca="false">IF((E91="a"),H91," ")</f>
        <v> </v>
      </c>
      <c r="AA91" s="17" t="str">
        <f aca="false">IF((E91="g"),H91," ")</f>
        <v> </v>
      </c>
      <c r="AB91" s="17" t="str">
        <f aca="false">IF((E91="h"),H91," ")</f>
        <v> </v>
      </c>
      <c r="AC91" s="30" t="str">
        <f aca="false">IF((E91="v"),H91," ")</f>
        <v> </v>
      </c>
      <c r="AD91" s="30" t="str">
        <f aca="false">IF((E91="n"),H91," ")</f>
        <v> </v>
      </c>
      <c r="AE91" s="17" t="str">
        <f aca="false">IF((E91="f"),H91," ")</f>
        <v> </v>
      </c>
      <c r="AF91" s="17" t="str">
        <f aca="false">IF((E91="l"),H91," ")</f>
        <v> </v>
      </c>
      <c r="AG91" s="17" t="str">
        <f aca="false">IF((E91="y"),H91," ")</f>
        <v> </v>
      </c>
      <c r="AH91" s="17" t="str">
        <f aca="false">IF((E91="z"),H91," ")</f>
        <v> </v>
      </c>
      <c r="AI91" s="17" t="str">
        <f aca="false">IF((E91="fa"),H91," ")</f>
        <v> </v>
      </c>
      <c r="AJ91" s="17" t="str">
        <f aca="false">IF((E91="e"),H91," ")</f>
        <v> </v>
      </c>
    </row>
    <row r="92" customFormat="false" ht="12" hidden="false" customHeight="false" outlineLevel="0" collapsed="false">
      <c r="A92" s="28"/>
      <c r="E92" s="2" t="str">
        <f aca="false">IF((F92&lt;&gt;0),"Enter Letter"," ")</f>
        <v> </v>
      </c>
      <c r="F92" s="30"/>
      <c r="G92" s="6" t="str">
        <f aca="false">IF(F92&lt;&gt;0,F92*G$2/(100+G$2)," ")</f>
        <v> </v>
      </c>
      <c r="H92" s="6" t="str">
        <f aca="false">IF((F92&lt;&gt;0),F92-G92," ")</f>
        <v> </v>
      </c>
      <c r="I92" s="5"/>
      <c r="L92" s="7" t="str">
        <f aca="false">IF(F92&lt;&gt;0,F92-K92," ")</f>
        <v> </v>
      </c>
      <c r="M92" s="8" t="str">
        <f aca="false">IF((F92-K92)&lt;&gt;0,M$1-A92," ")</f>
        <v> </v>
      </c>
      <c r="N92" s="5"/>
      <c r="O92" s="17" t="str">
        <f aca="false">IF((E92="s"),H92," ")</f>
        <v> </v>
      </c>
      <c r="P92" s="17" t="str">
        <f aca="false">IF((E92="c"),H92," ")</f>
        <v> </v>
      </c>
      <c r="Q92" s="17" t="str">
        <f aca="false">IF((E92="o"),H92," ")</f>
        <v> </v>
      </c>
      <c r="R92" s="17" t="str">
        <f aca="false">IF((E92="d"),H92," ")</f>
        <v> </v>
      </c>
      <c r="S92" s="17" t="str">
        <f aca="false">IF((E92="w"),H92," ")</f>
        <v> </v>
      </c>
      <c r="T92" s="17" t="str">
        <f aca="false">IF((E92="r"),H92," ")</f>
        <v> </v>
      </c>
      <c r="U92" s="17" t="str">
        <f aca="false">IF((E92="p"),H92," ")</f>
        <v> </v>
      </c>
      <c r="V92" s="17" t="str">
        <f aca="false">IF((E92="t"),H92," ")</f>
        <v> </v>
      </c>
      <c r="W92" s="17" t="str">
        <f aca="false">IF((E92="q"),H92," ")</f>
        <v> </v>
      </c>
      <c r="X92" s="17" t="str">
        <f aca="false">IF((E92="m"),H92," ")</f>
        <v> </v>
      </c>
      <c r="Y92" s="17" t="str">
        <f aca="false">IF((E92="u"),H92," ")</f>
        <v> </v>
      </c>
      <c r="Z92" s="17" t="str">
        <f aca="false">IF((E92="a"),H92," ")</f>
        <v> </v>
      </c>
      <c r="AA92" s="17" t="str">
        <f aca="false">IF((E92="g"),H92," ")</f>
        <v> </v>
      </c>
      <c r="AB92" s="17" t="str">
        <f aca="false">IF((E92="h"),H92," ")</f>
        <v> </v>
      </c>
      <c r="AC92" s="30" t="str">
        <f aca="false">IF((E92="v"),H92," ")</f>
        <v> </v>
      </c>
      <c r="AD92" s="30" t="str">
        <f aca="false">IF((E92="n"),H92," ")</f>
        <v> </v>
      </c>
      <c r="AE92" s="17" t="str">
        <f aca="false">IF((E92="f"),H92," ")</f>
        <v> </v>
      </c>
      <c r="AF92" s="17" t="str">
        <f aca="false">IF((E92="l"),H92," ")</f>
        <v> </v>
      </c>
      <c r="AG92" s="17" t="str">
        <f aca="false">IF((E92="y"),H92," ")</f>
        <v> </v>
      </c>
      <c r="AH92" s="17" t="str">
        <f aca="false">IF((E92="z"),H92," ")</f>
        <v> </v>
      </c>
      <c r="AI92" s="17" t="str">
        <f aca="false">IF((E92="fa"),H92," ")</f>
        <v> </v>
      </c>
      <c r="AJ92" s="17" t="str">
        <f aca="false">IF((E92="e"),H92," ")</f>
        <v> </v>
      </c>
    </row>
    <row r="93" customFormat="false" ht="12" hidden="false" customHeight="false" outlineLevel="0" collapsed="false">
      <c r="A93" s="28"/>
      <c r="E93" s="2" t="str">
        <f aca="false">IF((F93&lt;&gt;0),"Enter Letter"," ")</f>
        <v> </v>
      </c>
      <c r="F93" s="30"/>
      <c r="G93" s="6" t="str">
        <f aca="false">IF(F93&lt;&gt;0,F93*G$2/(100+G$2)," ")</f>
        <v> </v>
      </c>
      <c r="H93" s="6" t="str">
        <f aca="false">IF((F93&lt;&gt;0),F93-G93," ")</f>
        <v> </v>
      </c>
      <c r="I93" s="5"/>
      <c r="L93" s="7" t="str">
        <f aca="false">IF(F93&lt;&gt;0,F93-K93," ")</f>
        <v> </v>
      </c>
      <c r="M93" s="8" t="str">
        <f aca="false">IF((F93-K93)&lt;&gt;0,M$1-A93," ")</f>
        <v> </v>
      </c>
      <c r="N93" s="5"/>
      <c r="O93" s="17" t="str">
        <f aca="false">IF((E93="s"),H93," ")</f>
        <v> </v>
      </c>
      <c r="P93" s="17" t="str">
        <f aca="false">IF((E93="c"),H93," ")</f>
        <v> </v>
      </c>
      <c r="Q93" s="17" t="str">
        <f aca="false">IF((E93="o"),H93," ")</f>
        <v> </v>
      </c>
      <c r="R93" s="17" t="str">
        <f aca="false">IF((E93="d"),H93," ")</f>
        <v> </v>
      </c>
      <c r="S93" s="17" t="str">
        <f aca="false">IF((E93="w"),H93," ")</f>
        <v> </v>
      </c>
      <c r="T93" s="17" t="str">
        <f aca="false">IF((E93="r"),H93," ")</f>
        <v> </v>
      </c>
      <c r="U93" s="17" t="str">
        <f aca="false">IF((E93="p"),H93," ")</f>
        <v> </v>
      </c>
      <c r="V93" s="17" t="str">
        <f aca="false">IF((E93="t"),H93," ")</f>
        <v> </v>
      </c>
      <c r="W93" s="17" t="str">
        <f aca="false">IF((E93="q"),H93," ")</f>
        <v> </v>
      </c>
      <c r="X93" s="17" t="str">
        <f aca="false">IF((E93="m"),H93," ")</f>
        <v> </v>
      </c>
      <c r="Y93" s="17" t="str">
        <f aca="false">IF((E93="u"),H93," ")</f>
        <v> </v>
      </c>
      <c r="Z93" s="17" t="str">
        <f aca="false">IF((E93="a"),H93," ")</f>
        <v> </v>
      </c>
      <c r="AA93" s="17" t="str">
        <f aca="false">IF((E93="g"),H93," ")</f>
        <v> </v>
      </c>
      <c r="AB93" s="17" t="str">
        <f aca="false">IF((E93="h"),H93," ")</f>
        <v> </v>
      </c>
      <c r="AC93" s="30" t="str">
        <f aca="false">IF((E93="v"),H93," ")</f>
        <v> </v>
      </c>
      <c r="AD93" s="30" t="str">
        <f aca="false">IF((E93="n"),H93," ")</f>
        <v> </v>
      </c>
      <c r="AE93" s="17" t="str">
        <f aca="false">IF((E93="f"),H93," ")</f>
        <v> </v>
      </c>
      <c r="AF93" s="17" t="str">
        <f aca="false">IF((E93="l"),H93," ")</f>
        <v> </v>
      </c>
      <c r="AG93" s="17" t="str">
        <f aca="false">IF((E93="y"),H93," ")</f>
        <v> </v>
      </c>
      <c r="AH93" s="17" t="str">
        <f aca="false">IF((E93="z"),H93," ")</f>
        <v> </v>
      </c>
      <c r="AI93" s="17" t="str">
        <f aca="false">IF((E93="fa"),H93," ")</f>
        <v> </v>
      </c>
      <c r="AJ93" s="17" t="str">
        <f aca="false">IF((E93="e"),H93," ")</f>
        <v> </v>
      </c>
    </row>
    <row r="94" customFormat="false" ht="12" hidden="false" customHeight="false" outlineLevel="0" collapsed="false">
      <c r="A94" s="28"/>
      <c r="E94" s="2" t="str">
        <f aca="false">IF((F94&lt;&gt;0),"Enter Letter"," ")</f>
        <v> </v>
      </c>
      <c r="F94" s="30"/>
      <c r="G94" s="6" t="str">
        <f aca="false">IF(F94&lt;&gt;0,F94*G$2/(100+G$2)," ")</f>
        <v> </v>
      </c>
      <c r="H94" s="6" t="str">
        <f aca="false">IF((F94&lt;&gt;0),F94-G94," ")</f>
        <v> </v>
      </c>
      <c r="I94" s="5"/>
      <c r="L94" s="7" t="str">
        <f aca="false">IF(F94&lt;&gt;0,F94-K94," ")</f>
        <v> </v>
      </c>
      <c r="M94" s="8" t="str">
        <f aca="false">IF((F94-K94)&lt;&gt;0,M$1-A94," ")</f>
        <v> </v>
      </c>
      <c r="N94" s="5"/>
      <c r="O94" s="17" t="str">
        <f aca="false">IF((E94="s"),H94," ")</f>
        <v> </v>
      </c>
      <c r="P94" s="17" t="str">
        <f aca="false">IF((E94="c"),H94," ")</f>
        <v> </v>
      </c>
      <c r="Q94" s="17" t="str">
        <f aca="false">IF((E94="o"),H94," ")</f>
        <v> </v>
      </c>
      <c r="R94" s="17" t="str">
        <f aca="false">IF((E94="d"),H94," ")</f>
        <v> </v>
      </c>
      <c r="S94" s="17" t="str">
        <f aca="false">IF((E94="w"),H94," ")</f>
        <v> </v>
      </c>
      <c r="T94" s="17" t="str">
        <f aca="false">IF((E94="r"),H94," ")</f>
        <v> </v>
      </c>
      <c r="U94" s="17" t="str">
        <f aca="false">IF((E94="p"),H94," ")</f>
        <v> </v>
      </c>
      <c r="V94" s="17" t="str">
        <f aca="false">IF((E94="t"),H94," ")</f>
        <v> </v>
      </c>
      <c r="W94" s="17" t="str">
        <f aca="false">IF((E94="q"),H94," ")</f>
        <v> </v>
      </c>
      <c r="X94" s="17" t="str">
        <f aca="false">IF((E94="m"),H94," ")</f>
        <v> </v>
      </c>
      <c r="Y94" s="17" t="str">
        <f aca="false">IF((E94="u"),H94," ")</f>
        <v> </v>
      </c>
      <c r="Z94" s="17" t="str">
        <f aca="false">IF((E94="a"),H94," ")</f>
        <v> </v>
      </c>
      <c r="AA94" s="17" t="str">
        <f aca="false">IF((E94="g"),H94," ")</f>
        <v> </v>
      </c>
      <c r="AB94" s="17" t="str">
        <f aca="false">IF((E94="h"),H94," ")</f>
        <v> </v>
      </c>
      <c r="AC94" s="30" t="str">
        <f aca="false">IF((E94="v"),H94," ")</f>
        <v> </v>
      </c>
      <c r="AD94" s="30" t="str">
        <f aca="false">IF((E94="n"),H94," ")</f>
        <v> </v>
      </c>
      <c r="AE94" s="17" t="str">
        <f aca="false">IF((E94="f"),H94," ")</f>
        <v> </v>
      </c>
      <c r="AF94" s="17" t="str">
        <f aca="false">IF((E94="l"),H94," ")</f>
        <v> </v>
      </c>
      <c r="AG94" s="17" t="str">
        <f aca="false">IF((E94="y"),H94," ")</f>
        <v> </v>
      </c>
      <c r="AH94" s="17" t="str">
        <f aca="false">IF((E94="z"),H94," ")</f>
        <v> </v>
      </c>
      <c r="AI94" s="17" t="str">
        <f aca="false">IF((E94="fa"),H94," ")</f>
        <v> </v>
      </c>
      <c r="AJ94" s="17" t="str">
        <f aca="false">IF((E94="e"),H94," ")</f>
        <v> </v>
      </c>
    </row>
    <row r="95" customFormat="false" ht="12" hidden="false" customHeight="false" outlineLevel="0" collapsed="false">
      <c r="A95" s="28"/>
      <c r="E95" s="2" t="str">
        <f aca="false">IF((F95&lt;&gt;0),"Enter Letter"," ")</f>
        <v> </v>
      </c>
      <c r="F95" s="30"/>
      <c r="G95" s="6" t="str">
        <f aca="false">IF(F95&lt;&gt;0,F95*G$2/(100+G$2)," ")</f>
        <v> </v>
      </c>
      <c r="H95" s="6" t="str">
        <f aca="false">IF((F95&lt;&gt;0),F95-G95," ")</f>
        <v> </v>
      </c>
      <c r="I95" s="5"/>
      <c r="L95" s="7" t="str">
        <f aca="false">IF(F95&lt;&gt;0,F95-K95," ")</f>
        <v> </v>
      </c>
      <c r="M95" s="8" t="str">
        <f aca="false">IF((F95-K95)&lt;&gt;0,M$1-A95," ")</f>
        <v> </v>
      </c>
      <c r="N95" s="5"/>
      <c r="O95" s="17" t="str">
        <f aca="false">IF((E95="s"),H95," ")</f>
        <v> </v>
      </c>
      <c r="P95" s="17" t="str">
        <f aca="false">IF((E95="c"),H95," ")</f>
        <v> </v>
      </c>
      <c r="Q95" s="17" t="str">
        <f aca="false">IF((E95="o"),H95," ")</f>
        <v> </v>
      </c>
      <c r="R95" s="17" t="str">
        <f aca="false">IF((E95="d"),H95," ")</f>
        <v> </v>
      </c>
      <c r="S95" s="17" t="str">
        <f aca="false">IF((E95="w"),H95," ")</f>
        <v> </v>
      </c>
      <c r="T95" s="17" t="str">
        <f aca="false">IF((E95="r"),H95," ")</f>
        <v> </v>
      </c>
      <c r="U95" s="17" t="str">
        <f aca="false">IF((E95="p"),H95," ")</f>
        <v> </v>
      </c>
      <c r="V95" s="17" t="str">
        <f aca="false">IF((E95="t"),H95," ")</f>
        <v> </v>
      </c>
      <c r="W95" s="17" t="str">
        <f aca="false">IF((E95="q"),H95," ")</f>
        <v> </v>
      </c>
      <c r="X95" s="17" t="str">
        <f aca="false">IF((E95="m"),H95," ")</f>
        <v> </v>
      </c>
      <c r="Y95" s="17" t="str">
        <f aca="false">IF((E95="u"),H95," ")</f>
        <v> </v>
      </c>
      <c r="Z95" s="17" t="str">
        <f aca="false">IF((E95="a"),H95," ")</f>
        <v> </v>
      </c>
      <c r="AA95" s="17" t="str">
        <f aca="false">IF((E95="g"),H95," ")</f>
        <v> </v>
      </c>
      <c r="AB95" s="17" t="str">
        <f aca="false">IF((E95="h"),H95," ")</f>
        <v> </v>
      </c>
      <c r="AC95" s="30" t="str">
        <f aca="false">IF((E95="v"),H95," ")</f>
        <v> </v>
      </c>
      <c r="AD95" s="30" t="str">
        <f aca="false">IF((E95="n"),H95," ")</f>
        <v> </v>
      </c>
      <c r="AE95" s="17" t="str">
        <f aca="false">IF((E95="f"),H95," ")</f>
        <v> </v>
      </c>
      <c r="AF95" s="17" t="str">
        <f aca="false">IF((E95="l"),H95," ")</f>
        <v> </v>
      </c>
      <c r="AG95" s="17" t="str">
        <f aca="false">IF((E95="y"),H95," ")</f>
        <v> </v>
      </c>
      <c r="AH95" s="17" t="str">
        <f aca="false">IF((E95="z"),H95," ")</f>
        <v> </v>
      </c>
      <c r="AI95" s="17" t="str">
        <f aca="false">IF((E95="fa"),H95," ")</f>
        <v> </v>
      </c>
      <c r="AJ95" s="17" t="str">
        <f aca="false">IF((E95="e"),H95," ")</f>
        <v> </v>
      </c>
    </row>
    <row r="96" customFormat="false" ht="12" hidden="false" customHeight="false" outlineLevel="0" collapsed="false">
      <c r="A96" s="28"/>
      <c r="E96" s="2" t="str">
        <f aca="false">IF((F96&lt;&gt;0),"Enter Letter"," ")</f>
        <v> </v>
      </c>
      <c r="F96" s="30"/>
      <c r="G96" s="6" t="str">
        <f aca="false">IF(F96&lt;&gt;0,F96*G$2/(100+G$2)," ")</f>
        <v> </v>
      </c>
      <c r="H96" s="6" t="str">
        <f aca="false">IF((F96&lt;&gt;0),F96-G96," ")</f>
        <v> </v>
      </c>
      <c r="I96" s="5"/>
      <c r="L96" s="7" t="str">
        <f aca="false">IF(F96&lt;&gt;0,F96-K96," ")</f>
        <v> </v>
      </c>
      <c r="M96" s="8" t="str">
        <f aca="false">IF((F96-K96)&lt;&gt;0,M$1-A96," ")</f>
        <v> </v>
      </c>
      <c r="N96" s="5"/>
      <c r="O96" s="17" t="str">
        <f aca="false">IF((E96="s"),H96," ")</f>
        <v> </v>
      </c>
      <c r="P96" s="17" t="str">
        <f aca="false">IF((E96="c"),H96," ")</f>
        <v> </v>
      </c>
      <c r="Q96" s="17" t="str">
        <f aca="false">IF((E96="o"),H96," ")</f>
        <v> </v>
      </c>
      <c r="R96" s="17" t="str">
        <f aca="false">IF((E96="d"),H96," ")</f>
        <v> </v>
      </c>
      <c r="S96" s="17" t="str">
        <f aca="false">IF((E96="w"),H96," ")</f>
        <v> </v>
      </c>
      <c r="T96" s="17" t="str">
        <f aca="false">IF((E96="r"),H96," ")</f>
        <v> </v>
      </c>
      <c r="U96" s="17" t="str">
        <f aca="false">IF((E96="p"),H96," ")</f>
        <v> </v>
      </c>
      <c r="V96" s="17" t="str">
        <f aca="false">IF((E96="t"),H96," ")</f>
        <v> </v>
      </c>
      <c r="W96" s="17" t="str">
        <f aca="false">IF((E96="q"),H96," ")</f>
        <v> </v>
      </c>
      <c r="X96" s="17" t="str">
        <f aca="false">IF((E96="m"),H96," ")</f>
        <v> </v>
      </c>
      <c r="Y96" s="17" t="str">
        <f aca="false">IF((E96="u"),H96," ")</f>
        <v> </v>
      </c>
      <c r="Z96" s="17" t="str">
        <f aca="false">IF((E96="a"),H96," ")</f>
        <v> </v>
      </c>
      <c r="AA96" s="17" t="str">
        <f aca="false">IF((E96="g"),H96," ")</f>
        <v> </v>
      </c>
      <c r="AB96" s="17" t="str">
        <f aca="false">IF((E96="h"),H96," ")</f>
        <v> </v>
      </c>
      <c r="AC96" s="30" t="str">
        <f aca="false">IF((E96="v"),H96," ")</f>
        <v> </v>
      </c>
      <c r="AD96" s="30" t="str">
        <f aca="false">IF((E96="n"),H96," ")</f>
        <v> </v>
      </c>
      <c r="AE96" s="17" t="str">
        <f aca="false">IF((E96="f"),H96," ")</f>
        <v> </v>
      </c>
      <c r="AF96" s="17" t="str">
        <f aca="false">IF((E96="l"),H96," ")</f>
        <v> </v>
      </c>
      <c r="AG96" s="17" t="str">
        <f aca="false">IF((E96="y"),H96," ")</f>
        <v> </v>
      </c>
      <c r="AH96" s="17" t="str">
        <f aca="false">IF((E96="z"),H96," ")</f>
        <v> </v>
      </c>
      <c r="AI96" s="17" t="str">
        <f aca="false">IF((E96="fa"),H96," ")</f>
        <v> </v>
      </c>
      <c r="AJ96" s="17" t="str">
        <f aca="false">IF((E96="e"),H96," ")</f>
        <v> </v>
      </c>
    </row>
    <row r="97" customFormat="false" ht="12" hidden="false" customHeight="false" outlineLevel="0" collapsed="false">
      <c r="A97" s="28"/>
      <c r="E97" s="2" t="str">
        <f aca="false">IF((F97&lt;&gt;0),"Enter Letter"," ")</f>
        <v> </v>
      </c>
      <c r="F97" s="30"/>
      <c r="G97" s="6" t="str">
        <f aca="false">IF(F97&lt;&gt;0,F97*G$2/(100+G$2)," ")</f>
        <v> </v>
      </c>
      <c r="H97" s="6" t="str">
        <f aca="false">IF((F97&lt;&gt;0),F97-G97," ")</f>
        <v> </v>
      </c>
      <c r="I97" s="5"/>
      <c r="L97" s="7" t="str">
        <f aca="false">IF(F97&lt;&gt;0,F97-K97," ")</f>
        <v> </v>
      </c>
      <c r="M97" s="8" t="str">
        <f aca="false">IF((F97-K97)&lt;&gt;0,M$1-A97," ")</f>
        <v> </v>
      </c>
      <c r="N97" s="5"/>
      <c r="O97" s="17" t="str">
        <f aca="false">IF((E97="s"),H97," ")</f>
        <v> </v>
      </c>
      <c r="P97" s="17" t="str">
        <f aca="false">IF((E97="c"),H97," ")</f>
        <v> </v>
      </c>
      <c r="Q97" s="17" t="str">
        <f aca="false">IF((E97="o"),H97," ")</f>
        <v> </v>
      </c>
      <c r="R97" s="17" t="str">
        <f aca="false">IF((E97="d"),H97," ")</f>
        <v> </v>
      </c>
      <c r="S97" s="17" t="str">
        <f aca="false">IF((E97="w"),H97," ")</f>
        <v> </v>
      </c>
      <c r="T97" s="17" t="str">
        <f aca="false">IF((E97="r"),H97," ")</f>
        <v> </v>
      </c>
      <c r="U97" s="17" t="str">
        <f aca="false">IF((E97="p"),H97," ")</f>
        <v> </v>
      </c>
      <c r="V97" s="17" t="str">
        <f aca="false">IF((E97="t"),H97," ")</f>
        <v> </v>
      </c>
      <c r="W97" s="17" t="str">
        <f aca="false">IF((E97="q"),H97," ")</f>
        <v> </v>
      </c>
      <c r="X97" s="17" t="str">
        <f aca="false">IF((E97="m"),H97," ")</f>
        <v> </v>
      </c>
      <c r="Y97" s="17" t="str">
        <f aca="false">IF((E97="u"),H97," ")</f>
        <v> </v>
      </c>
      <c r="Z97" s="17" t="str">
        <f aca="false">IF((E97="a"),H97," ")</f>
        <v> </v>
      </c>
      <c r="AA97" s="17" t="str">
        <f aca="false">IF((E97="g"),H97," ")</f>
        <v> </v>
      </c>
      <c r="AB97" s="17" t="str">
        <f aca="false">IF((E97="h"),H97," ")</f>
        <v> </v>
      </c>
      <c r="AC97" s="30" t="str">
        <f aca="false">IF((E97="v"),H97," ")</f>
        <v> </v>
      </c>
      <c r="AD97" s="30" t="str">
        <f aca="false">IF((E97="n"),H97," ")</f>
        <v> </v>
      </c>
      <c r="AE97" s="17" t="str">
        <f aca="false">IF((E97="f"),H97," ")</f>
        <v> </v>
      </c>
      <c r="AF97" s="17" t="str">
        <f aca="false">IF((E97="l"),H97," ")</f>
        <v> </v>
      </c>
      <c r="AG97" s="17" t="str">
        <f aca="false">IF((E97="y"),H97," ")</f>
        <v> </v>
      </c>
      <c r="AH97" s="17" t="str">
        <f aca="false">IF((E97="z"),H97," ")</f>
        <v> </v>
      </c>
      <c r="AI97" s="17" t="str">
        <f aca="false">IF((E97="fa"),H97," ")</f>
        <v> </v>
      </c>
      <c r="AJ97" s="17" t="str">
        <f aca="false">IF((E97="e"),H97," ")</f>
        <v> </v>
      </c>
    </row>
    <row r="98" customFormat="false" ht="12" hidden="false" customHeight="false" outlineLevel="0" collapsed="false">
      <c r="A98" s="28"/>
      <c r="E98" s="2" t="str">
        <f aca="false">IF((F98&lt;&gt;0),"Enter Letter"," ")</f>
        <v> </v>
      </c>
      <c r="F98" s="30"/>
      <c r="G98" s="6" t="str">
        <f aca="false">IF(F98&lt;&gt;0,F98*G$2/(100+G$2)," ")</f>
        <v> </v>
      </c>
      <c r="H98" s="6" t="str">
        <f aca="false">IF((F98&lt;&gt;0),F98-G98," ")</f>
        <v> </v>
      </c>
      <c r="I98" s="5"/>
      <c r="L98" s="7" t="str">
        <f aca="false">IF(F98&lt;&gt;0,F98-K98," ")</f>
        <v> </v>
      </c>
      <c r="M98" s="8" t="str">
        <f aca="false">IF((F98-K98)&lt;&gt;0,M$1-A98," ")</f>
        <v> </v>
      </c>
      <c r="N98" s="5"/>
      <c r="O98" s="17" t="str">
        <f aca="false">IF((E98="s"),H98," ")</f>
        <v> </v>
      </c>
      <c r="P98" s="17" t="str">
        <f aca="false">IF((E98="c"),H98," ")</f>
        <v> </v>
      </c>
      <c r="Q98" s="17" t="str">
        <f aca="false">IF((E98="o"),H98," ")</f>
        <v> </v>
      </c>
      <c r="R98" s="17" t="str">
        <f aca="false">IF((E98="d"),H98," ")</f>
        <v> </v>
      </c>
      <c r="S98" s="17" t="str">
        <f aca="false">IF((E98="w"),H98," ")</f>
        <v> </v>
      </c>
      <c r="T98" s="17" t="str">
        <f aca="false">IF((E98="r"),H98," ")</f>
        <v> </v>
      </c>
      <c r="U98" s="17" t="str">
        <f aca="false">IF((E98="p"),H98," ")</f>
        <v> </v>
      </c>
      <c r="V98" s="17" t="str">
        <f aca="false">IF((E98="t"),H98," ")</f>
        <v> </v>
      </c>
      <c r="W98" s="17" t="str">
        <f aca="false">IF((E98="q"),H98," ")</f>
        <v> </v>
      </c>
      <c r="X98" s="17" t="str">
        <f aca="false">IF((E98="m"),H98," ")</f>
        <v> </v>
      </c>
      <c r="Y98" s="17" t="str">
        <f aca="false">IF((E98="u"),H98," ")</f>
        <v> </v>
      </c>
      <c r="Z98" s="17" t="str">
        <f aca="false">IF((E98="a"),H98," ")</f>
        <v> </v>
      </c>
      <c r="AA98" s="17" t="str">
        <f aca="false">IF((E98="g"),H98," ")</f>
        <v> </v>
      </c>
      <c r="AB98" s="17" t="str">
        <f aca="false">IF((E98="h"),H98," ")</f>
        <v> </v>
      </c>
      <c r="AC98" s="30" t="str">
        <f aca="false">IF((E98="v"),H98," ")</f>
        <v> </v>
      </c>
      <c r="AD98" s="30" t="str">
        <f aca="false">IF((E98="n"),H98," ")</f>
        <v> </v>
      </c>
      <c r="AE98" s="17" t="str">
        <f aca="false">IF((E98="f"),H98," ")</f>
        <v> </v>
      </c>
      <c r="AF98" s="17" t="str">
        <f aca="false">IF((E98="l"),H98," ")</f>
        <v> </v>
      </c>
      <c r="AG98" s="17" t="str">
        <f aca="false">IF((E98="y"),H98," ")</f>
        <v> </v>
      </c>
      <c r="AH98" s="17" t="str">
        <f aca="false">IF((E98="z"),H98," ")</f>
        <v> </v>
      </c>
      <c r="AI98" s="17" t="str">
        <f aca="false">IF((E98="fa"),H98," ")</f>
        <v> </v>
      </c>
      <c r="AJ98" s="17" t="str">
        <f aca="false">IF((E98="e"),H98," ")</f>
        <v> </v>
      </c>
    </row>
    <row r="99" customFormat="false" ht="12" hidden="false" customHeight="false" outlineLevel="0" collapsed="false">
      <c r="A99" s="28"/>
      <c r="E99" s="2" t="str">
        <f aca="false">IF((F99&lt;&gt;0),"Enter Letter"," ")</f>
        <v> </v>
      </c>
      <c r="F99" s="30"/>
      <c r="G99" s="6" t="str">
        <f aca="false">IF(F99&lt;&gt;0,F99*G$2/(100+G$2)," ")</f>
        <v> </v>
      </c>
      <c r="H99" s="6" t="str">
        <f aca="false">IF((F99&lt;&gt;0),F99-G99," ")</f>
        <v> </v>
      </c>
      <c r="I99" s="5"/>
      <c r="L99" s="7" t="str">
        <f aca="false">IF(F99&lt;&gt;0,F99-K99," ")</f>
        <v> </v>
      </c>
      <c r="M99" s="8" t="str">
        <f aca="false">IF((F99-K99)&lt;&gt;0,M$1-A99," ")</f>
        <v> </v>
      </c>
      <c r="N99" s="5"/>
      <c r="O99" s="17" t="str">
        <f aca="false">IF((E99="s"),H99," ")</f>
        <v> </v>
      </c>
      <c r="P99" s="17" t="str">
        <f aca="false">IF((E99="c"),H99," ")</f>
        <v> </v>
      </c>
      <c r="Q99" s="17" t="str">
        <f aca="false">IF((E99="o"),H99," ")</f>
        <v> </v>
      </c>
      <c r="R99" s="17" t="str">
        <f aca="false">IF((E99="d"),H99," ")</f>
        <v> </v>
      </c>
      <c r="S99" s="17" t="str">
        <f aca="false">IF((E99="w"),H99," ")</f>
        <v> </v>
      </c>
      <c r="T99" s="17" t="str">
        <f aca="false">IF((E99="r"),H99," ")</f>
        <v> </v>
      </c>
      <c r="U99" s="17" t="str">
        <f aca="false">IF((E99="p"),H99," ")</f>
        <v> </v>
      </c>
      <c r="V99" s="17" t="str">
        <f aca="false">IF((E99="t"),H99," ")</f>
        <v> </v>
      </c>
      <c r="W99" s="17" t="str">
        <f aca="false">IF((E99="q"),H99," ")</f>
        <v> </v>
      </c>
      <c r="X99" s="17" t="str">
        <f aca="false">IF((E99="m"),H99," ")</f>
        <v> </v>
      </c>
      <c r="Y99" s="17" t="str">
        <f aca="false">IF((E99="u"),H99," ")</f>
        <v> </v>
      </c>
      <c r="Z99" s="17" t="str">
        <f aca="false">IF((E99="a"),H99," ")</f>
        <v> </v>
      </c>
      <c r="AA99" s="17" t="str">
        <f aca="false">IF((E99="g"),H99," ")</f>
        <v> </v>
      </c>
      <c r="AB99" s="17" t="str">
        <f aca="false">IF((E99="h"),H99," ")</f>
        <v> </v>
      </c>
      <c r="AC99" s="30" t="str">
        <f aca="false">IF((E99="v"),H99," ")</f>
        <v> </v>
      </c>
      <c r="AD99" s="30" t="str">
        <f aca="false">IF((E99="n"),H99," ")</f>
        <v> </v>
      </c>
      <c r="AE99" s="17" t="str">
        <f aca="false">IF((E99="f"),H99," ")</f>
        <v> </v>
      </c>
      <c r="AF99" s="17" t="str">
        <f aca="false">IF((E99="l"),H99," ")</f>
        <v> </v>
      </c>
      <c r="AG99" s="17" t="str">
        <f aca="false">IF((E99="y"),H99," ")</f>
        <v> </v>
      </c>
      <c r="AH99" s="17" t="str">
        <f aca="false">IF((E99="z"),H99," ")</f>
        <v> </v>
      </c>
      <c r="AI99" s="17" t="str">
        <f aca="false">IF((E99="fa"),H99," ")</f>
        <v> </v>
      </c>
      <c r="AJ99" s="17" t="str">
        <f aca="false">IF((E99="e"),H99," ")</f>
        <v> </v>
      </c>
    </row>
    <row r="100" customFormat="false" ht="12" hidden="false" customHeight="false" outlineLevel="0" collapsed="false">
      <c r="A100" s="28"/>
      <c r="E100" s="2" t="str">
        <f aca="false">IF((F100&lt;&gt;0),"Enter Letter"," ")</f>
        <v> </v>
      </c>
      <c r="F100" s="30"/>
      <c r="G100" s="6" t="str">
        <f aca="false">IF(F100&lt;&gt;0,F100*G$2/(100+G$2)," ")</f>
        <v> </v>
      </c>
      <c r="H100" s="6" t="str">
        <f aca="false">IF((F100&lt;&gt;0),F100-G100," ")</f>
        <v> </v>
      </c>
      <c r="I100" s="5"/>
      <c r="L100" s="7" t="str">
        <f aca="false">IF(F100&lt;&gt;0,F100-K100," ")</f>
        <v> </v>
      </c>
      <c r="M100" s="8" t="str">
        <f aca="false">IF((F100-K100)&lt;&gt;0,M$1-A100," ")</f>
        <v> </v>
      </c>
      <c r="N100" s="5"/>
      <c r="O100" s="17" t="str">
        <f aca="false">IF((E100="s"),H100," ")</f>
        <v> </v>
      </c>
      <c r="P100" s="17" t="str">
        <f aca="false">IF((E100="c"),H100," ")</f>
        <v> </v>
      </c>
      <c r="Q100" s="17" t="str">
        <f aca="false">IF((E100="o"),H100," ")</f>
        <v> </v>
      </c>
      <c r="R100" s="17" t="str">
        <f aca="false">IF((E100="d"),H100," ")</f>
        <v> </v>
      </c>
      <c r="S100" s="17" t="str">
        <f aca="false">IF((E100="w"),H100," ")</f>
        <v> </v>
      </c>
      <c r="T100" s="17" t="str">
        <f aca="false">IF((E100="r"),H100," ")</f>
        <v> </v>
      </c>
      <c r="U100" s="17" t="str">
        <f aca="false">IF((E100="p"),H100," ")</f>
        <v> </v>
      </c>
      <c r="V100" s="17" t="str">
        <f aca="false">IF((E100="t"),H100," ")</f>
        <v> </v>
      </c>
      <c r="W100" s="17" t="str">
        <f aca="false">IF((E100="q"),H100," ")</f>
        <v> </v>
      </c>
      <c r="X100" s="17" t="str">
        <f aca="false">IF((E100="m"),H100," ")</f>
        <v> </v>
      </c>
      <c r="Y100" s="17" t="str">
        <f aca="false">IF((E100="u"),H100," ")</f>
        <v> </v>
      </c>
      <c r="Z100" s="17" t="str">
        <f aca="false">IF((E100="a"),H100," ")</f>
        <v> </v>
      </c>
      <c r="AA100" s="17" t="str">
        <f aca="false">IF((E100="g"),H100," ")</f>
        <v> </v>
      </c>
      <c r="AB100" s="17" t="str">
        <f aca="false">IF((E100="h"),H100," ")</f>
        <v> </v>
      </c>
      <c r="AC100" s="30" t="str">
        <f aca="false">IF((E100="v"),H100," ")</f>
        <v> </v>
      </c>
      <c r="AD100" s="30" t="str">
        <f aca="false">IF((E100="n"),H100," ")</f>
        <v> </v>
      </c>
      <c r="AE100" s="17" t="str">
        <f aca="false">IF((E100="f"),H100," ")</f>
        <v> </v>
      </c>
      <c r="AF100" s="17" t="str">
        <f aca="false">IF((E100="l"),H100," ")</f>
        <v> </v>
      </c>
      <c r="AG100" s="17" t="str">
        <f aca="false">IF((E100="y"),H100," ")</f>
        <v> </v>
      </c>
      <c r="AH100" s="17" t="str">
        <f aca="false">IF((E100="z"),H100," ")</f>
        <v> </v>
      </c>
      <c r="AI100" s="17" t="str">
        <f aca="false">IF((E100="fa"),H100," ")</f>
        <v> </v>
      </c>
      <c r="AJ100" s="17" t="str">
        <f aca="false">IF((E100="e"),H100," ")</f>
        <v> </v>
      </c>
    </row>
    <row r="101" customFormat="false" ht="12" hidden="false" customHeight="false" outlineLevel="0" collapsed="false">
      <c r="A101" s="28"/>
      <c r="E101" s="2" t="str">
        <f aca="false">IF((F101&lt;&gt;0),"Enter Letter"," ")</f>
        <v> </v>
      </c>
      <c r="F101" s="30"/>
      <c r="G101" s="6" t="str">
        <f aca="false">IF(F101&lt;&gt;0,F101*G$2/(100+G$2)," ")</f>
        <v> </v>
      </c>
      <c r="H101" s="6" t="str">
        <f aca="false">IF((F101&lt;&gt;0),F101-G101," ")</f>
        <v> </v>
      </c>
      <c r="I101" s="5"/>
      <c r="L101" s="7" t="str">
        <f aca="false">IF(F101&lt;&gt;0,F101-K101," ")</f>
        <v> </v>
      </c>
      <c r="M101" s="8" t="str">
        <f aca="false">IF((F101-K101)&lt;&gt;0,M$1-A101," ")</f>
        <v> </v>
      </c>
      <c r="N101" s="5"/>
      <c r="O101" s="17" t="str">
        <f aca="false">IF((E101="s"),H101," ")</f>
        <v> </v>
      </c>
      <c r="P101" s="17" t="str">
        <f aca="false">IF((E101="c"),H101," ")</f>
        <v> </v>
      </c>
      <c r="Q101" s="17" t="str">
        <f aca="false">IF((E101="o"),H101," ")</f>
        <v> </v>
      </c>
      <c r="R101" s="17" t="str">
        <f aca="false">IF((E101="d"),H101," ")</f>
        <v> </v>
      </c>
      <c r="S101" s="17" t="str">
        <f aca="false">IF((E101="w"),H101," ")</f>
        <v> </v>
      </c>
      <c r="T101" s="17" t="str">
        <f aca="false">IF((E101="r"),H101," ")</f>
        <v> </v>
      </c>
      <c r="U101" s="17" t="str">
        <f aca="false">IF((E101="p"),H101," ")</f>
        <v> </v>
      </c>
      <c r="V101" s="17" t="str">
        <f aca="false">IF((E101="t"),H101," ")</f>
        <v> </v>
      </c>
      <c r="W101" s="17" t="str">
        <f aca="false">IF((E101="q"),H101," ")</f>
        <v> </v>
      </c>
      <c r="X101" s="17" t="str">
        <f aca="false">IF((E101="m"),H101," ")</f>
        <v> </v>
      </c>
      <c r="Y101" s="17" t="str">
        <f aca="false">IF((E101="u"),H101," ")</f>
        <v> </v>
      </c>
      <c r="Z101" s="17" t="str">
        <f aca="false">IF((E101="a"),H101," ")</f>
        <v> </v>
      </c>
      <c r="AA101" s="17" t="str">
        <f aca="false">IF((E101="g"),H101," ")</f>
        <v> </v>
      </c>
      <c r="AB101" s="17" t="str">
        <f aca="false">IF((E101="h"),H101," ")</f>
        <v> </v>
      </c>
      <c r="AC101" s="30" t="str">
        <f aca="false">IF((E101="v"),H101," ")</f>
        <v> </v>
      </c>
      <c r="AD101" s="30" t="str">
        <f aca="false">IF((E101="n"),H101," ")</f>
        <v> </v>
      </c>
      <c r="AE101" s="17" t="str">
        <f aca="false">IF((E101="f"),H101," ")</f>
        <v> </v>
      </c>
      <c r="AF101" s="17" t="str">
        <f aca="false">IF((E101="l"),H101," ")</f>
        <v> </v>
      </c>
      <c r="AG101" s="17" t="str">
        <f aca="false">IF((E101="y"),H101," ")</f>
        <v> </v>
      </c>
      <c r="AH101" s="17" t="str">
        <f aca="false">IF((E101="z"),H101," ")</f>
        <v> </v>
      </c>
      <c r="AI101" s="17" t="str">
        <f aca="false">IF((E101="fa"),H101," ")</f>
        <v> </v>
      </c>
      <c r="AJ101" s="17" t="str">
        <f aca="false">IF((E101="e"),H101," ")</f>
        <v> </v>
      </c>
    </row>
    <row r="102" customFormat="false" ht="12" hidden="false" customHeight="false" outlineLevel="0" collapsed="false">
      <c r="A102" s="28"/>
      <c r="E102" s="2" t="str">
        <f aca="false">IF((F102&lt;&gt;0),"Enter Letter"," ")</f>
        <v> </v>
      </c>
      <c r="F102" s="30"/>
      <c r="G102" s="6" t="str">
        <f aca="false">IF(F102&lt;&gt;0,F102*G$2/(100+G$2)," ")</f>
        <v> </v>
      </c>
      <c r="H102" s="6" t="str">
        <f aca="false">IF((F102&lt;&gt;0),F102-G102," ")</f>
        <v> </v>
      </c>
      <c r="I102" s="5"/>
      <c r="L102" s="7" t="str">
        <f aca="false">IF(F102&lt;&gt;0,F102-K102," ")</f>
        <v> </v>
      </c>
      <c r="M102" s="8" t="str">
        <f aca="false">IF((F102-K102)&lt;&gt;0,M$1-A102," ")</f>
        <v> </v>
      </c>
      <c r="N102" s="5"/>
      <c r="O102" s="17" t="str">
        <f aca="false">IF((E102="s"),H102," ")</f>
        <v> </v>
      </c>
      <c r="P102" s="17" t="str">
        <f aca="false">IF((E102="c"),H102," ")</f>
        <v> </v>
      </c>
      <c r="Q102" s="17" t="str">
        <f aca="false">IF((E102="o"),H102," ")</f>
        <v> </v>
      </c>
      <c r="R102" s="17" t="str">
        <f aca="false">IF((E102="d"),H102," ")</f>
        <v> </v>
      </c>
      <c r="S102" s="17" t="str">
        <f aca="false">IF((E102="w"),H102," ")</f>
        <v> </v>
      </c>
      <c r="T102" s="17" t="str">
        <f aca="false">IF((E102="r"),H102," ")</f>
        <v> </v>
      </c>
      <c r="U102" s="17" t="str">
        <f aca="false">IF((E102="p"),H102," ")</f>
        <v> </v>
      </c>
      <c r="V102" s="17" t="str">
        <f aca="false">IF((E102="t"),H102," ")</f>
        <v> </v>
      </c>
      <c r="W102" s="17" t="str">
        <f aca="false">IF((E102="q"),H102," ")</f>
        <v> </v>
      </c>
      <c r="X102" s="17" t="str">
        <f aca="false">IF((E102="m"),H102," ")</f>
        <v> </v>
      </c>
      <c r="Y102" s="17" t="str">
        <f aca="false">IF((E102="u"),H102," ")</f>
        <v> </v>
      </c>
      <c r="Z102" s="17" t="str">
        <f aca="false">IF((E102="a"),H102," ")</f>
        <v> </v>
      </c>
      <c r="AA102" s="17" t="str">
        <f aca="false">IF((E102="g"),H102," ")</f>
        <v> </v>
      </c>
      <c r="AB102" s="17" t="str">
        <f aca="false">IF((E102="h"),H102," ")</f>
        <v> </v>
      </c>
      <c r="AC102" s="30" t="str">
        <f aca="false">IF((E102="v"),H102," ")</f>
        <v> </v>
      </c>
      <c r="AD102" s="30" t="str">
        <f aca="false">IF((E102="n"),H102," ")</f>
        <v> </v>
      </c>
      <c r="AE102" s="17" t="str">
        <f aca="false">IF((E102="f"),H102," ")</f>
        <v> </v>
      </c>
      <c r="AF102" s="17" t="str">
        <f aca="false">IF((E102="l"),H102," ")</f>
        <v> </v>
      </c>
      <c r="AG102" s="17" t="str">
        <f aca="false">IF((E102="y"),H102," ")</f>
        <v> </v>
      </c>
      <c r="AH102" s="17" t="str">
        <f aca="false">IF((E102="z"),H102," ")</f>
        <v> </v>
      </c>
      <c r="AI102" s="17" t="str">
        <f aca="false">IF((E102="fa"),H102," ")</f>
        <v> </v>
      </c>
      <c r="AJ102" s="17" t="str">
        <f aca="false">IF((E102="e"),H102," ")</f>
        <v> </v>
      </c>
    </row>
    <row r="103" customFormat="false" ht="12" hidden="false" customHeight="false" outlineLevel="0" collapsed="false">
      <c r="A103" s="28"/>
      <c r="E103" s="2" t="str">
        <f aca="false">IF((F103&lt;&gt;0),"Enter Letter"," ")</f>
        <v> </v>
      </c>
      <c r="F103" s="30"/>
      <c r="G103" s="6" t="str">
        <f aca="false">IF(F103&lt;&gt;0,F103*G$2/(100+G$2)," ")</f>
        <v> </v>
      </c>
      <c r="H103" s="6" t="str">
        <f aca="false">IF((F103&lt;&gt;0),F103-G103," ")</f>
        <v> </v>
      </c>
      <c r="I103" s="5"/>
      <c r="L103" s="7" t="str">
        <f aca="false">IF(F103&lt;&gt;0,F103-K103," ")</f>
        <v> </v>
      </c>
      <c r="M103" s="8" t="str">
        <f aca="false">IF((F103-K103)&lt;&gt;0,M$1-A103," ")</f>
        <v> </v>
      </c>
      <c r="N103" s="5"/>
      <c r="O103" s="17" t="str">
        <f aca="false">IF((E103="s"),H103," ")</f>
        <v> </v>
      </c>
      <c r="P103" s="17" t="str">
        <f aca="false">IF((E103="c"),H103," ")</f>
        <v> </v>
      </c>
      <c r="Q103" s="17" t="str">
        <f aca="false">IF((E103="o"),H103," ")</f>
        <v> </v>
      </c>
      <c r="R103" s="17" t="str">
        <f aca="false">IF((E103="d"),H103," ")</f>
        <v> </v>
      </c>
      <c r="S103" s="17" t="str">
        <f aca="false">IF((E103="w"),H103," ")</f>
        <v> </v>
      </c>
      <c r="T103" s="17" t="str">
        <f aca="false">IF((E103="r"),H103," ")</f>
        <v> </v>
      </c>
      <c r="U103" s="17" t="str">
        <f aca="false">IF((E103="p"),H103," ")</f>
        <v> </v>
      </c>
      <c r="V103" s="17" t="str">
        <f aca="false">IF((E103="t"),H103," ")</f>
        <v> </v>
      </c>
      <c r="W103" s="17" t="str">
        <f aca="false">IF((E103="q"),H103," ")</f>
        <v> </v>
      </c>
      <c r="X103" s="17" t="str">
        <f aca="false">IF((E103="m"),H103," ")</f>
        <v> </v>
      </c>
      <c r="Y103" s="17" t="str">
        <f aca="false">IF((E103="u"),H103," ")</f>
        <v> </v>
      </c>
      <c r="Z103" s="17" t="str">
        <f aca="false">IF((E103="a"),H103," ")</f>
        <v> </v>
      </c>
      <c r="AA103" s="17" t="str">
        <f aca="false">IF((E103="g"),H103," ")</f>
        <v> </v>
      </c>
      <c r="AB103" s="17" t="str">
        <f aca="false">IF((E103="h"),H103," ")</f>
        <v> </v>
      </c>
      <c r="AC103" s="30" t="str">
        <f aca="false">IF((E103="v"),H103," ")</f>
        <v> </v>
      </c>
      <c r="AD103" s="30" t="str">
        <f aca="false">IF((E103="n"),H103," ")</f>
        <v> </v>
      </c>
      <c r="AE103" s="17" t="str">
        <f aca="false">IF((E103="f"),H103," ")</f>
        <v> </v>
      </c>
      <c r="AF103" s="17" t="str">
        <f aca="false">IF((E103="l"),H103," ")</f>
        <v> </v>
      </c>
      <c r="AG103" s="17" t="str">
        <f aca="false">IF((E103="y"),H103," ")</f>
        <v> </v>
      </c>
      <c r="AH103" s="17" t="str">
        <f aca="false">IF((E103="z"),H103," ")</f>
        <v> </v>
      </c>
      <c r="AI103" s="17" t="str">
        <f aca="false">IF((E103="fa"),H103," ")</f>
        <v> </v>
      </c>
      <c r="AJ103" s="17" t="str">
        <f aca="false">IF((E103="e"),H103," ")</f>
        <v> </v>
      </c>
    </row>
    <row r="104" customFormat="false" ht="12" hidden="false" customHeight="false" outlineLevel="0" collapsed="false">
      <c r="A104" s="28"/>
      <c r="E104" s="2" t="str">
        <f aca="false">IF((F104&lt;&gt;0),"Enter Letter"," ")</f>
        <v> </v>
      </c>
      <c r="F104" s="30"/>
      <c r="G104" s="6" t="str">
        <f aca="false">IF(F104&lt;&gt;0,F104*G$2/(100+G$2)," ")</f>
        <v> </v>
      </c>
      <c r="H104" s="6" t="str">
        <f aca="false">IF((F104&lt;&gt;0),F104-G104," ")</f>
        <v> </v>
      </c>
      <c r="I104" s="5"/>
      <c r="L104" s="7" t="str">
        <f aca="false">IF(F104&lt;&gt;0,F104-K104," ")</f>
        <v> </v>
      </c>
      <c r="M104" s="8" t="str">
        <f aca="false">IF((F104-K104)&lt;&gt;0,M$1-A104," ")</f>
        <v> </v>
      </c>
      <c r="N104" s="5"/>
      <c r="O104" s="17" t="str">
        <f aca="false">IF((E104="s"),H104," ")</f>
        <v> </v>
      </c>
      <c r="P104" s="17" t="str">
        <f aca="false">IF((E104="c"),H104," ")</f>
        <v> </v>
      </c>
      <c r="Q104" s="17" t="str">
        <f aca="false">IF((E104="o"),H104," ")</f>
        <v> </v>
      </c>
      <c r="R104" s="17" t="str">
        <f aca="false">IF((E104="d"),H104," ")</f>
        <v> </v>
      </c>
      <c r="S104" s="17" t="str">
        <f aca="false">IF((E104="w"),H104," ")</f>
        <v> </v>
      </c>
      <c r="T104" s="17" t="str">
        <f aca="false">IF((E104="r"),H104," ")</f>
        <v> </v>
      </c>
      <c r="U104" s="17" t="str">
        <f aca="false">IF((E104="p"),H104," ")</f>
        <v> </v>
      </c>
      <c r="V104" s="17" t="str">
        <f aca="false">IF((E104="t"),H104," ")</f>
        <v> </v>
      </c>
      <c r="W104" s="17" t="str">
        <f aca="false">IF((E104="q"),H104," ")</f>
        <v> </v>
      </c>
      <c r="X104" s="17" t="str">
        <f aca="false">IF((E104="m"),H104," ")</f>
        <v> </v>
      </c>
      <c r="Y104" s="17" t="str">
        <f aca="false">IF((E104="u"),H104," ")</f>
        <v> </v>
      </c>
      <c r="Z104" s="17" t="str">
        <f aca="false">IF((E104="a"),H104," ")</f>
        <v> </v>
      </c>
      <c r="AA104" s="17" t="str">
        <f aca="false">IF((E104="g"),H104," ")</f>
        <v> </v>
      </c>
      <c r="AB104" s="17" t="str">
        <f aca="false">IF((E104="h"),H104," ")</f>
        <v> </v>
      </c>
      <c r="AC104" s="30" t="str">
        <f aca="false">IF((E104="v"),H104," ")</f>
        <v> </v>
      </c>
      <c r="AD104" s="30" t="str">
        <f aca="false">IF((E104="n"),H104," ")</f>
        <v> </v>
      </c>
      <c r="AE104" s="17" t="str">
        <f aca="false">IF((E104="f"),H104," ")</f>
        <v> </v>
      </c>
      <c r="AF104" s="17" t="str">
        <f aca="false">IF((E104="l"),H104," ")</f>
        <v> </v>
      </c>
      <c r="AG104" s="17" t="str">
        <f aca="false">IF((E104="y"),H104," ")</f>
        <v> </v>
      </c>
      <c r="AH104" s="17" t="str">
        <f aca="false">IF((E104="z"),H104," ")</f>
        <v> </v>
      </c>
      <c r="AI104" s="17" t="str">
        <f aca="false">IF((E104="fa"),H104," ")</f>
        <v> </v>
      </c>
      <c r="AJ104" s="17" t="str">
        <f aca="false">IF((E104="e"),H104," ")</f>
        <v> </v>
      </c>
    </row>
    <row r="105" customFormat="false" ht="12" hidden="false" customHeight="false" outlineLevel="0" collapsed="false">
      <c r="A105" s="28"/>
      <c r="E105" s="2" t="str">
        <f aca="false">IF((F105&lt;&gt;0),"Enter Letter"," ")</f>
        <v> </v>
      </c>
      <c r="F105" s="30"/>
      <c r="G105" s="6" t="str">
        <f aca="false">IF(F105&lt;&gt;0,F105*G$2/(100+G$2)," ")</f>
        <v> </v>
      </c>
      <c r="H105" s="6" t="str">
        <f aca="false">IF((F105&lt;&gt;0),F105-G105," ")</f>
        <v> </v>
      </c>
      <c r="I105" s="5"/>
      <c r="L105" s="7" t="str">
        <f aca="false">IF(F105&lt;&gt;0,F105-K105," ")</f>
        <v> </v>
      </c>
      <c r="M105" s="8" t="str">
        <f aca="false">IF((F105-K105)&lt;&gt;0,M$1-A105," ")</f>
        <v> </v>
      </c>
      <c r="N105" s="5"/>
      <c r="O105" s="17" t="str">
        <f aca="false">IF((E105="s"),H105," ")</f>
        <v> </v>
      </c>
      <c r="P105" s="17" t="str">
        <f aca="false">IF((E105="c"),H105," ")</f>
        <v> </v>
      </c>
      <c r="Q105" s="17" t="str">
        <f aca="false">IF((E105="o"),H105," ")</f>
        <v> </v>
      </c>
      <c r="R105" s="17" t="str">
        <f aca="false">IF((E105="d"),H105," ")</f>
        <v> </v>
      </c>
      <c r="S105" s="17" t="str">
        <f aca="false">IF((E105="w"),H105," ")</f>
        <v> </v>
      </c>
      <c r="T105" s="17" t="str">
        <f aca="false">IF((E105="r"),H105," ")</f>
        <v> </v>
      </c>
      <c r="U105" s="17" t="str">
        <f aca="false">IF((E105="p"),H105," ")</f>
        <v> </v>
      </c>
      <c r="V105" s="17" t="str">
        <f aca="false">IF((E105="t"),H105," ")</f>
        <v> </v>
      </c>
      <c r="W105" s="17" t="str">
        <f aca="false">IF((E105="q"),H105," ")</f>
        <v> </v>
      </c>
      <c r="X105" s="17" t="str">
        <f aca="false">IF((E105="m"),H105," ")</f>
        <v> </v>
      </c>
      <c r="Y105" s="17" t="str">
        <f aca="false">IF((E105="u"),H105," ")</f>
        <v> </v>
      </c>
      <c r="Z105" s="17" t="str">
        <f aca="false">IF((E105="a"),H105," ")</f>
        <v> </v>
      </c>
      <c r="AA105" s="17" t="str">
        <f aca="false">IF((E105="g"),H105," ")</f>
        <v> </v>
      </c>
      <c r="AB105" s="17" t="str">
        <f aca="false">IF((E105="h"),H105," ")</f>
        <v> </v>
      </c>
      <c r="AC105" s="30" t="str">
        <f aca="false">IF((E105="v"),H105," ")</f>
        <v> </v>
      </c>
      <c r="AD105" s="30" t="str">
        <f aca="false">IF((E105="n"),H105," ")</f>
        <v> </v>
      </c>
      <c r="AE105" s="17" t="str">
        <f aca="false">IF((E105="f"),H105," ")</f>
        <v> </v>
      </c>
      <c r="AF105" s="17" t="str">
        <f aca="false">IF((E105="l"),H105," ")</f>
        <v> </v>
      </c>
      <c r="AG105" s="17" t="str">
        <f aca="false">IF((E105="y"),H105," ")</f>
        <v> </v>
      </c>
      <c r="AH105" s="17" t="str">
        <f aca="false">IF((E105="z"),H105," ")</f>
        <v> </v>
      </c>
      <c r="AI105" s="17" t="str">
        <f aca="false">IF((E105="fa"),H105," ")</f>
        <v> </v>
      </c>
      <c r="AJ105" s="17" t="str">
        <f aca="false">IF((E105="e"),H105," ")</f>
        <v> </v>
      </c>
    </row>
    <row r="106" customFormat="false" ht="12" hidden="false" customHeight="false" outlineLevel="0" collapsed="false">
      <c r="A106" s="28"/>
      <c r="E106" s="2" t="str">
        <f aca="false">IF((F106&lt;&gt;0),"Enter Letter"," ")</f>
        <v> </v>
      </c>
      <c r="F106" s="30"/>
      <c r="G106" s="6" t="str">
        <f aca="false">IF(F106&lt;&gt;0,F106*G$2/(100+G$2)," ")</f>
        <v> </v>
      </c>
      <c r="H106" s="6" t="str">
        <f aca="false">IF((F106&lt;&gt;0),F106-G106," ")</f>
        <v> </v>
      </c>
      <c r="I106" s="5"/>
      <c r="L106" s="7" t="str">
        <f aca="false">IF(F106&lt;&gt;0,F106-K106," ")</f>
        <v> </v>
      </c>
      <c r="M106" s="8" t="str">
        <f aca="false">IF((F106-K106)&lt;&gt;0,M$1-A106," ")</f>
        <v> </v>
      </c>
      <c r="N106" s="5"/>
      <c r="O106" s="17" t="str">
        <f aca="false">IF((E106="s"),H106," ")</f>
        <v> </v>
      </c>
      <c r="P106" s="17" t="str">
        <f aca="false">IF((E106="c"),H106," ")</f>
        <v> </v>
      </c>
      <c r="Q106" s="17" t="str">
        <f aca="false">IF((E106="o"),H106," ")</f>
        <v> </v>
      </c>
      <c r="R106" s="17" t="str">
        <f aca="false">IF((E106="d"),H106," ")</f>
        <v> </v>
      </c>
      <c r="S106" s="17" t="str">
        <f aca="false">IF((E106="w"),H106," ")</f>
        <v> </v>
      </c>
      <c r="T106" s="17" t="str">
        <f aca="false">IF((E106="r"),H106," ")</f>
        <v> </v>
      </c>
      <c r="U106" s="17" t="str">
        <f aca="false">IF((E106="p"),H106," ")</f>
        <v> </v>
      </c>
      <c r="V106" s="17" t="str">
        <f aca="false">IF((E106="t"),H106," ")</f>
        <v> </v>
      </c>
      <c r="W106" s="17" t="str">
        <f aca="false">IF((E106="q"),H106," ")</f>
        <v> </v>
      </c>
      <c r="X106" s="17" t="str">
        <f aca="false">IF((E106="m"),H106," ")</f>
        <v> </v>
      </c>
      <c r="Y106" s="17" t="str">
        <f aca="false">IF((E106="u"),H106," ")</f>
        <v> </v>
      </c>
      <c r="Z106" s="17" t="str">
        <f aca="false">IF((E106="a"),H106," ")</f>
        <v> </v>
      </c>
      <c r="AA106" s="17" t="str">
        <f aca="false">IF((E106="g"),H106," ")</f>
        <v> </v>
      </c>
      <c r="AB106" s="17" t="str">
        <f aca="false">IF((E106="h"),H106," ")</f>
        <v> </v>
      </c>
      <c r="AC106" s="30" t="str">
        <f aca="false">IF((E106="v"),H106," ")</f>
        <v> </v>
      </c>
      <c r="AD106" s="30" t="str">
        <f aca="false">IF((E106="n"),H106," ")</f>
        <v> </v>
      </c>
      <c r="AE106" s="17" t="str">
        <f aca="false">IF((E106="f"),H106," ")</f>
        <v> </v>
      </c>
      <c r="AF106" s="17" t="str">
        <f aca="false">IF((E106="l"),H106," ")</f>
        <v> </v>
      </c>
      <c r="AG106" s="17" t="str">
        <f aca="false">IF((E106="y"),H106," ")</f>
        <v> </v>
      </c>
      <c r="AH106" s="17" t="str">
        <f aca="false">IF((E106="z"),H106," ")</f>
        <v> </v>
      </c>
      <c r="AI106" s="17" t="str">
        <f aca="false">IF((E106="fa"),H106," ")</f>
        <v> </v>
      </c>
      <c r="AJ106" s="17" t="str">
        <f aca="false">IF((E106="e"),H106," ")</f>
        <v> </v>
      </c>
    </row>
    <row r="107" customFormat="false" ht="12" hidden="false" customHeight="false" outlineLevel="0" collapsed="false">
      <c r="A107" s="28"/>
      <c r="E107" s="2" t="str">
        <f aca="false">IF((F107&lt;&gt;0),"Enter Letter"," ")</f>
        <v> </v>
      </c>
      <c r="F107" s="30"/>
      <c r="G107" s="6" t="str">
        <f aca="false">IF(F107&lt;&gt;0,F107*G$2/(100+G$2)," ")</f>
        <v> </v>
      </c>
      <c r="H107" s="6" t="str">
        <f aca="false">IF((F107&lt;&gt;0),F107-G107," ")</f>
        <v> </v>
      </c>
      <c r="I107" s="5"/>
      <c r="L107" s="7" t="str">
        <f aca="false">IF(F107&lt;&gt;0,F107-K107," ")</f>
        <v> </v>
      </c>
      <c r="M107" s="8" t="str">
        <f aca="false">IF((F107-K107)&lt;&gt;0,M$1-A107," ")</f>
        <v> </v>
      </c>
      <c r="N107" s="5"/>
      <c r="O107" s="17" t="str">
        <f aca="false">IF((E107="s"),H107," ")</f>
        <v> </v>
      </c>
      <c r="P107" s="17" t="str">
        <f aca="false">IF((E107="c"),H107," ")</f>
        <v> </v>
      </c>
      <c r="Q107" s="17" t="str">
        <f aca="false">IF((E107="o"),H107," ")</f>
        <v> </v>
      </c>
      <c r="R107" s="17" t="str">
        <f aca="false">IF((E107="d"),H107," ")</f>
        <v> </v>
      </c>
      <c r="S107" s="17" t="str">
        <f aca="false">IF((E107="w"),H107," ")</f>
        <v> </v>
      </c>
      <c r="T107" s="17" t="str">
        <f aca="false">IF((E107="r"),H107," ")</f>
        <v> </v>
      </c>
      <c r="U107" s="17" t="str">
        <f aca="false">IF((E107="p"),H107," ")</f>
        <v> </v>
      </c>
      <c r="V107" s="17" t="str">
        <f aca="false">IF((E107="t"),H107," ")</f>
        <v> </v>
      </c>
      <c r="W107" s="17" t="str">
        <f aca="false">IF((E107="q"),H107," ")</f>
        <v> </v>
      </c>
      <c r="X107" s="17" t="str">
        <f aca="false">IF((E107="m"),H107," ")</f>
        <v> </v>
      </c>
      <c r="Y107" s="17" t="str">
        <f aca="false">IF((E107="u"),H107," ")</f>
        <v> </v>
      </c>
      <c r="Z107" s="17" t="str">
        <f aca="false">IF((E107="a"),H107," ")</f>
        <v> </v>
      </c>
      <c r="AA107" s="17" t="str">
        <f aca="false">IF((E107="g"),H107," ")</f>
        <v> </v>
      </c>
      <c r="AB107" s="17" t="str">
        <f aca="false">IF((E107="h"),H107," ")</f>
        <v> </v>
      </c>
      <c r="AC107" s="30" t="str">
        <f aca="false">IF((E107="v"),H107," ")</f>
        <v> </v>
      </c>
      <c r="AD107" s="30" t="str">
        <f aca="false">IF((E107="n"),H107," ")</f>
        <v> </v>
      </c>
      <c r="AE107" s="17" t="str">
        <f aca="false">IF((E107="f"),H107," ")</f>
        <v> </v>
      </c>
      <c r="AF107" s="17" t="str">
        <f aca="false">IF((E107="l"),H107," ")</f>
        <v> </v>
      </c>
      <c r="AG107" s="17" t="str">
        <f aca="false">IF((E107="y"),H107," ")</f>
        <v> </v>
      </c>
      <c r="AH107" s="17" t="str">
        <f aca="false">IF((E107="z"),H107," ")</f>
        <v> </v>
      </c>
      <c r="AI107" s="17" t="str">
        <f aca="false">IF((E107="fa"),H107," ")</f>
        <v> </v>
      </c>
      <c r="AJ107" s="17" t="str">
        <f aca="false">IF((E107="e"),H107," ")</f>
        <v> </v>
      </c>
    </row>
    <row r="108" customFormat="false" ht="12" hidden="false" customHeight="false" outlineLevel="0" collapsed="false">
      <c r="A108" s="28"/>
      <c r="E108" s="2" t="str">
        <f aca="false">IF((F108&lt;&gt;0),"Enter Letter"," ")</f>
        <v> </v>
      </c>
      <c r="F108" s="30"/>
      <c r="G108" s="6" t="str">
        <f aca="false">IF(F108&lt;&gt;0,F108*G$2/(100+G$2)," ")</f>
        <v> </v>
      </c>
      <c r="H108" s="6" t="str">
        <f aca="false">IF((F108&lt;&gt;0),F108-G108," ")</f>
        <v> </v>
      </c>
      <c r="I108" s="5"/>
      <c r="L108" s="7" t="str">
        <f aca="false">IF(F108&lt;&gt;0,F108-K108," ")</f>
        <v> </v>
      </c>
      <c r="M108" s="8" t="str">
        <f aca="false">IF((F108-K108)&lt;&gt;0,M$1-A108," ")</f>
        <v> </v>
      </c>
      <c r="N108" s="5"/>
      <c r="O108" s="17" t="str">
        <f aca="false">IF((E108="s"),H108," ")</f>
        <v> </v>
      </c>
      <c r="P108" s="17" t="str">
        <f aca="false">IF((E108="c"),H108," ")</f>
        <v> </v>
      </c>
      <c r="Q108" s="17" t="str">
        <f aca="false">IF((E108="o"),H108," ")</f>
        <v> </v>
      </c>
      <c r="R108" s="17" t="str">
        <f aca="false">IF((E108="d"),H108," ")</f>
        <v> </v>
      </c>
      <c r="S108" s="17" t="str">
        <f aca="false">IF((E108="w"),H108," ")</f>
        <v> </v>
      </c>
      <c r="T108" s="17" t="str">
        <f aca="false">IF((E108="r"),H108," ")</f>
        <v> </v>
      </c>
      <c r="U108" s="17" t="str">
        <f aca="false">IF((E108="p"),H108," ")</f>
        <v> </v>
      </c>
      <c r="V108" s="17" t="str">
        <f aca="false">IF((E108="t"),H108," ")</f>
        <v> </v>
      </c>
      <c r="W108" s="17" t="str">
        <f aca="false">IF((E108="q"),H108," ")</f>
        <v> </v>
      </c>
      <c r="X108" s="17" t="str">
        <f aca="false">IF((E108="m"),H108," ")</f>
        <v> </v>
      </c>
      <c r="Y108" s="17" t="str">
        <f aca="false">IF((E108="u"),H108," ")</f>
        <v> </v>
      </c>
      <c r="Z108" s="17" t="str">
        <f aca="false">IF((E108="a"),H108," ")</f>
        <v> </v>
      </c>
      <c r="AA108" s="17" t="str">
        <f aca="false">IF((E108="g"),H108," ")</f>
        <v> </v>
      </c>
      <c r="AB108" s="17" t="str">
        <f aca="false">IF((E108="h"),H108," ")</f>
        <v> </v>
      </c>
      <c r="AC108" s="30" t="str">
        <f aca="false">IF((E108="v"),H108," ")</f>
        <v> </v>
      </c>
      <c r="AD108" s="30" t="str">
        <f aca="false">IF((E108="n"),H108," ")</f>
        <v> </v>
      </c>
      <c r="AE108" s="17" t="str">
        <f aca="false">IF((E108="f"),H108," ")</f>
        <v> </v>
      </c>
      <c r="AF108" s="17" t="str">
        <f aca="false">IF((E108="l"),H108," ")</f>
        <v> </v>
      </c>
      <c r="AG108" s="17" t="str">
        <f aca="false">IF((E108="y"),H108," ")</f>
        <v> </v>
      </c>
      <c r="AH108" s="17" t="str">
        <f aca="false">IF((E108="z"),H108," ")</f>
        <v> </v>
      </c>
      <c r="AI108" s="17" t="str">
        <f aca="false">IF((E108="fa"),H108," ")</f>
        <v> </v>
      </c>
      <c r="AJ108" s="17" t="str">
        <f aca="false">IF((E108="e"),H108," ")</f>
        <v> </v>
      </c>
    </row>
    <row r="109" customFormat="false" ht="12" hidden="false" customHeight="false" outlineLevel="0" collapsed="false">
      <c r="A109" s="28"/>
      <c r="E109" s="2" t="str">
        <f aca="false">IF((F109&lt;&gt;0),"Enter Letter"," ")</f>
        <v> </v>
      </c>
      <c r="F109" s="30"/>
      <c r="G109" s="6" t="str">
        <f aca="false">IF(F109&lt;&gt;0,F109*G$2/(100+G$2)," ")</f>
        <v> </v>
      </c>
      <c r="H109" s="6" t="str">
        <f aca="false">IF((F109&lt;&gt;0),F109-G109," ")</f>
        <v> </v>
      </c>
      <c r="I109" s="5"/>
      <c r="L109" s="7" t="str">
        <f aca="false">IF(F109&lt;&gt;0,F109-K109," ")</f>
        <v> </v>
      </c>
      <c r="M109" s="8" t="str">
        <f aca="false">IF((F109-K109)&lt;&gt;0,M$1-A109," ")</f>
        <v> </v>
      </c>
      <c r="N109" s="5"/>
      <c r="O109" s="17" t="str">
        <f aca="false">IF((E109="s"),H109," ")</f>
        <v> </v>
      </c>
      <c r="P109" s="17" t="str">
        <f aca="false">IF((E109="c"),H109," ")</f>
        <v> </v>
      </c>
      <c r="Q109" s="17" t="str">
        <f aca="false">IF((E109="o"),H109," ")</f>
        <v> </v>
      </c>
      <c r="R109" s="17" t="str">
        <f aca="false">IF((E109="d"),H109," ")</f>
        <v> </v>
      </c>
      <c r="S109" s="17" t="str">
        <f aca="false">IF((E109="w"),H109," ")</f>
        <v> </v>
      </c>
      <c r="T109" s="17" t="str">
        <f aca="false">IF((E109="r"),H109," ")</f>
        <v> </v>
      </c>
      <c r="U109" s="17" t="str">
        <f aca="false">IF((E109="p"),H109," ")</f>
        <v> </v>
      </c>
      <c r="V109" s="17" t="str">
        <f aca="false">IF((E109="t"),H109," ")</f>
        <v> </v>
      </c>
      <c r="W109" s="17" t="str">
        <f aca="false">IF((E109="q"),H109," ")</f>
        <v> </v>
      </c>
      <c r="X109" s="17" t="str">
        <f aca="false">IF((E109="m"),H109," ")</f>
        <v> </v>
      </c>
      <c r="Y109" s="17" t="str">
        <f aca="false">IF((E109="u"),H109," ")</f>
        <v> </v>
      </c>
      <c r="Z109" s="17" t="str">
        <f aca="false">IF((E109="a"),H109," ")</f>
        <v> </v>
      </c>
      <c r="AA109" s="17" t="str">
        <f aca="false">IF((E109="g"),H109," ")</f>
        <v> </v>
      </c>
      <c r="AB109" s="17" t="str">
        <f aca="false">IF((E109="h"),H109," ")</f>
        <v> </v>
      </c>
      <c r="AC109" s="30" t="str">
        <f aca="false">IF((E109="v"),H109," ")</f>
        <v> </v>
      </c>
      <c r="AD109" s="30" t="str">
        <f aca="false">IF((E109="n"),H109," ")</f>
        <v> </v>
      </c>
      <c r="AE109" s="17" t="str">
        <f aca="false">IF((E109="f"),H109," ")</f>
        <v> </v>
      </c>
      <c r="AF109" s="17" t="str">
        <f aca="false">IF((E109="l"),H109," ")</f>
        <v> </v>
      </c>
      <c r="AG109" s="17" t="str">
        <f aca="false">IF((E109="y"),H109," ")</f>
        <v> </v>
      </c>
      <c r="AH109" s="17" t="str">
        <f aca="false">IF((E109="z"),H109," ")</f>
        <v> </v>
      </c>
      <c r="AI109" s="17" t="str">
        <f aca="false">IF((E109="fa"),H109," ")</f>
        <v> </v>
      </c>
      <c r="AJ109" s="17" t="str">
        <f aca="false">IF((E109="e"),H109," ")</f>
        <v> </v>
      </c>
    </row>
    <row r="110" customFormat="false" ht="12" hidden="false" customHeight="false" outlineLevel="0" collapsed="false">
      <c r="A110" s="28"/>
      <c r="E110" s="2" t="str">
        <f aca="false">IF((F110&lt;&gt;0),"Enter Letter"," ")</f>
        <v> </v>
      </c>
      <c r="F110" s="30"/>
      <c r="G110" s="6" t="str">
        <f aca="false">IF(F110&lt;&gt;0,F110*G$2/(100+G$2)," ")</f>
        <v> </v>
      </c>
      <c r="H110" s="6" t="str">
        <f aca="false">IF((F110&lt;&gt;0),F110-G110," ")</f>
        <v> </v>
      </c>
      <c r="I110" s="5"/>
      <c r="L110" s="7" t="str">
        <f aca="false">IF(F110&lt;&gt;0,F110-K110," ")</f>
        <v> </v>
      </c>
      <c r="M110" s="8" t="str">
        <f aca="false">IF((F110-K110)&lt;&gt;0,M$1-A110," ")</f>
        <v> </v>
      </c>
      <c r="N110" s="5"/>
      <c r="O110" s="17" t="str">
        <f aca="false">IF((E110="s"),H110," ")</f>
        <v> </v>
      </c>
      <c r="P110" s="17" t="str">
        <f aca="false">IF((E110="c"),H110," ")</f>
        <v> </v>
      </c>
      <c r="Q110" s="17" t="str">
        <f aca="false">IF((E110="o"),H110," ")</f>
        <v> </v>
      </c>
      <c r="R110" s="17" t="str">
        <f aca="false">IF((E110="d"),H110," ")</f>
        <v> </v>
      </c>
      <c r="S110" s="17" t="str">
        <f aca="false">IF((E110="w"),H110," ")</f>
        <v> </v>
      </c>
      <c r="T110" s="17" t="str">
        <f aca="false">IF((E110="r"),H110," ")</f>
        <v> </v>
      </c>
      <c r="U110" s="17" t="str">
        <f aca="false">IF((E110="p"),H110," ")</f>
        <v> </v>
      </c>
      <c r="V110" s="17" t="str">
        <f aca="false">IF((E110="t"),H110," ")</f>
        <v> </v>
      </c>
      <c r="W110" s="17" t="str">
        <f aca="false">IF((E110="q"),H110," ")</f>
        <v> </v>
      </c>
      <c r="X110" s="17" t="str">
        <f aca="false">IF((E110="m"),H110," ")</f>
        <v> </v>
      </c>
      <c r="Y110" s="17" t="str">
        <f aca="false">IF((E110="u"),H110," ")</f>
        <v> </v>
      </c>
      <c r="Z110" s="17" t="str">
        <f aca="false">IF((E110="a"),H110," ")</f>
        <v> </v>
      </c>
      <c r="AA110" s="17" t="str">
        <f aca="false">IF((E110="g"),H110," ")</f>
        <v> </v>
      </c>
      <c r="AB110" s="17" t="str">
        <f aca="false">IF((E110="h"),H110," ")</f>
        <v> </v>
      </c>
      <c r="AC110" s="30" t="str">
        <f aca="false">IF((E110="v"),H110," ")</f>
        <v> </v>
      </c>
      <c r="AD110" s="30" t="str">
        <f aca="false">IF((E110="n"),H110," ")</f>
        <v> </v>
      </c>
      <c r="AE110" s="17" t="str">
        <f aca="false">IF((E110="f"),H110," ")</f>
        <v> </v>
      </c>
      <c r="AF110" s="17" t="str">
        <f aca="false">IF((E110="l"),H110," ")</f>
        <v> </v>
      </c>
      <c r="AG110" s="17" t="str">
        <f aca="false">IF((E110="y"),H110," ")</f>
        <v> </v>
      </c>
      <c r="AH110" s="17" t="str">
        <f aca="false">IF((E110="z"),H110," ")</f>
        <v> </v>
      </c>
      <c r="AI110" s="17" t="str">
        <f aca="false">IF((E110="fa"),H110," ")</f>
        <v> </v>
      </c>
      <c r="AJ110" s="17" t="str">
        <f aca="false">IF((E110="e"),H110," ")</f>
        <v> </v>
      </c>
    </row>
    <row r="111" customFormat="false" ht="12" hidden="false" customHeight="false" outlineLevel="0" collapsed="false">
      <c r="A111" s="28"/>
      <c r="E111" s="2" t="str">
        <f aca="false">IF((F111&lt;&gt;0),"Enter Letter"," ")</f>
        <v> </v>
      </c>
      <c r="F111" s="30"/>
      <c r="G111" s="6" t="str">
        <f aca="false">IF(F111&lt;&gt;0,F111*G$2/(100+G$2)," ")</f>
        <v> </v>
      </c>
      <c r="H111" s="6" t="str">
        <f aca="false">IF((F111&lt;&gt;0),F111-G111," ")</f>
        <v> </v>
      </c>
      <c r="I111" s="5"/>
      <c r="L111" s="7" t="str">
        <f aca="false">IF(F111&lt;&gt;0,F111-K111," ")</f>
        <v> </v>
      </c>
      <c r="M111" s="8" t="str">
        <f aca="false">IF((F111-K111)&lt;&gt;0,M$1-A111," ")</f>
        <v> </v>
      </c>
      <c r="N111" s="5"/>
      <c r="O111" s="17" t="str">
        <f aca="false">IF((E111="s"),H111," ")</f>
        <v> </v>
      </c>
      <c r="P111" s="17" t="str">
        <f aca="false">IF((E111="c"),H111," ")</f>
        <v> </v>
      </c>
      <c r="Q111" s="17" t="str">
        <f aca="false">IF((E111="o"),H111," ")</f>
        <v> </v>
      </c>
      <c r="R111" s="17" t="str">
        <f aca="false">IF((E111="d"),H111," ")</f>
        <v> </v>
      </c>
      <c r="S111" s="17" t="str">
        <f aca="false">IF((E111="w"),H111," ")</f>
        <v> </v>
      </c>
      <c r="T111" s="17" t="str">
        <f aca="false">IF((E111="r"),H111," ")</f>
        <v> </v>
      </c>
      <c r="U111" s="17" t="str">
        <f aca="false">IF((E111="p"),H111," ")</f>
        <v> </v>
      </c>
      <c r="V111" s="17" t="str">
        <f aca="false">IF((E111="t"),H111," ")</f>
        <v> </v>
      </c>
      <c r="W111" s="17" t="str">
        <f aca="false">IF((E111="q"),H111," ")</f>
        <v> </v>
      </c>
      <c r="X111" s="17" t="str">
        <f aca="false">IF((E111="m"),H111," ")</f>
        <v> </v>
      </c>
      <c r="Y111" s="17" t="str">
        <f aca="false">IF((E111="u"),H111," ")</f>
        <v> </v>
      </c>
      <c r="Z111" s="17" t="str">
        <f aca="false">IF((E111="a"),H111," ")</f>
        <v> </v>
      </c>
      <c r="AA111" s="17" t="str">
        <f aca="false">IF((E111="g"),H111," ")</f>
        <v> </v>
      </c>
      <c r="AB111" s="17" t="str">
        <f aca="false">IF((E111="h"),H111," ")</f>
        <v> </v>
      </c>
      <c r="AC111" s="30" t="str">
        <f aca="false">IF((E111="v"),H111," ")</f>
        <v> </v>
      </c>
      <c r="AD111" s="30" t="str">
        <f aca="false">IF((E111="n"),H111," ")</f>
        <v> </v>
      </c>
      <c r="AE111" s="17" t="str">
        <f aca="false">IF((E111="f"),H111," ")</f>
        <v> </v>
      </c>
      <c r="AF111" s="17" t="str">
        <f aca="false">IF((E111="l"),H111," ")</f>
        <v> </v>
      </c>
      <c r="AG111" s="17" t="str">
        <f aca="false">IF((E111="y"),H111," ")</f>
        <v> </v>
      </c>
      <c r="AH111" s="17" t="str">
        <f aca="false">IF((E111="z"),H111," ")</f>
        <v> </v>
      </c>
      <c r="AI111" s="17" t="str">
        <f aca="false">IF((E111="fa"),H111," ")</f>
        <v> </v>
      </c>
      <c r="AJ111" s="17" t="str">
        <f aca="false">IF((E111="e"),H111," ")</f>
        <v> </v>
      </c>
    </row>
    <row r="112" customFormat="false" ht="12" hidden="false" customHeight="false" outlineLevel="0" collapsed="false">
      <c r="A112" s="28"/>
      <c r="E112" s="2" t="str">
        <f aca="false">IF((F112&lt;&gt;0),"Enter Letter"," ")</f>
        <v> </v>
      </c>
      <c r="F112" s="30"/>
      <c r="G112" s="6" t="str">
        <f aca="false">IF(F112&lt;&gt;0,F112*G$2/(100+G$2)," ")</f>
        <v> </v>
      </c>
      <c r="H112" s="6" t="str">
        <f aca="false">IF((F112&lt;&gt;0),F112-G112," ")</f>
        <v> </v>
      </c>
      <c r="I112" s="5"/>
      <c r="L112" s="7" t="str">
        <f aca="false">IF(F112&lt;&gt;0,F112-K112," ")</f>
        <v> </v>
      </c>
      <c r="M112" s="8" t="str">
        <f aca="false">IF((F112-K112)&lt;&gt;0,M$1-A112," ")</f>
        <v> </v>
      </c>
      <c r="N112" s="5"/>
      <c r="O112" s="17" t="str">
        <f aca="false">IF((E112="s"),H112," ")</f>
        <v> </v>
      </c>
      <c r="P112" s="17" t="str">
        <f aca="false">IF((E112="c"),H112," ")</f>
        <v> </v>
      </c>
      <c r="Q112" s="17" t="str">
        <f aca="false">IF((E112="o"),H112," ")</f>
        <v> </v>
      </c>
      <c r="R112" s="17" t="str">
        <f aca="false">IF((E112="d"),H112," ")</f>
        <v> </v>
      </c>
      <c r="S112" s="17" t="str">
        <f aca="false">IF((E112="w"),H112," ")</f>
        <v> </v>
      </c>
      <c r="T112" s="17" t="str">
        <f aca="false">IF((E112="r"),H112," ")</f>
        <v> </v>
      </c>
      <c r="U112" s="17" t="str">
        <f aca="false">IF((E112="p"),H112," ")</f>
        <v> </v>
      </c>
      <c r="V112" s="17" t="str">
        <f aca="false">IF((E112="t"),H112," ")</f>
        <v> </v>
      </c>
      <c r="W112" s="17" t="str">
        <f aca="false">IF((E112="q"),H112," ")</f>
        <v> </v>
      </c>
      <c r="X112" s="17" t="str">
        <f aca="false">IF((E112="m"),H112," ")</f>
        <v> </v>
      </c>
      <c r="Y112" s="17" t="str">
        <f aca="false">IF((E112="u"),H112," ")</f>
        <v> </v>
      </c>
      <c r="Z112" s="17" t="str">
        <f aca="false">IF((E112="a"),H112," ")</f>
        <v> </v>
      </c>
      <c r="AA112" s="17" t="str">
        <f aca="false">IF((E112="g"),H112," ")</f>
        <v> </v>
      </c>
      <c r="AB112" s="17" t="str">
        <f aca="false">IF((E112="h"),H112," ")</f>
        <v> </v>
      </c>
      <c r="AC112" s="30" t="str">
        <f aca="false">IF((E112="v"),H112," ")</f>
        <v> </v>
      </c>
      <c r="AD112" s="30" t="str">
        <f aca="false">IF((E112="n"),H112," ")</f>
        <v> </v>
      </c>
      <c r="AE112" s="17" t="str">
        <f aca="false">IF((E112="f"),H112," ")</f>
        <v> </v>
      </c>
      <c r="AF112" s="17" t="str">
        <f aca="false">IF((E112="l"),H112," ")</f>
        <v> </v>
      </c>
      <c r="AG112" s="17" t="str">
        <f aca="false">IF((E112="y"),H112," ")</f>
        <v> </v>
      </c>
      <c r="AH112" s="17" t="str">
        <f aca="false">IF((E112="z"),H112," ")</f>
        <v> </v>
      </c>
      <c r="AI112" s="17" t="str">
        <f aca="false">IF((E112="fa"),H112," ")</f>
        <v> </v>
      </c>
      <c r="AJ112" s="17" t="str">
        <f aca="false">IF((E112="e"),H112," ")</f>
        <v> </v>
      </c>
    </row>
    <row r="113" customFormat="false" ht="12" hidden="false" customHeight="false" outlineLevel="0" collapsed="false">
      <c r="A113" s="28"/>
      <c r="E113" s="2" t="str">
        <f aca="false">IF((F113&lt;&gt;0),"Enter Letter"," ")</f>
        <v> </v>
      </c>
      <c r="F113" s="30"/>
      <c r="G113" s="6" t="str">
        <f aca="false">IF(F113&lt;&gt;0,F113*G$2/(100+G$2)," ")</f>
        <v> </v>
      </c>
      <c r="H113" s="6" t="str">
        <f aca="false">IF((F113&lt;&gt;0),F113-G113," ")</f>
        <v> </v>
      </c>
      <c r="I113" s="5"/>
      <c r="L113" s="7" t="str">
        <f aca="false">IF(F113&lt;&gt;0,F113-K113," ")</f>
        <v> </v>
      </c>
      <c r="M113" s="8" t="str">
        <f aca="false">IF((F113-K113)&lt;&gt;0,M$1-A113," ")</f>
        <v> </v>
      </c>
      <c r="N113" s="5"/>
      <c r="O113" s="17" t="str">
        <f aca="false">IF((E113="s"),H113," ")</f>
        <v> </v>
      </c>
      <c r="P113" s="17" t="str">
        <f aca="false">IF((E113="c"),H113," ")</f>
        <v> </v>
      </c>
      <c r="Q113" s="17" t="str">
        <f aca="false">IF((E113="o"),H113," ")</f>
        <v> </v>
      </c>
      <c r="R113" s="17" t="str">
        <f aca="false">IF((E113="d"),H113," ")</f>
        <v> </v>
      </c>
      <c r="S113" s="17" t="str">
        <f aca="false">IF((E113="w"),H113," ")</f>
        <v> </v>
      </c>
      <c r="T113" s="17" t="str">
        <f aca="false">IF((E113="r"),H113," ")</f>
        <v> </v>
      </c>
      <c r="U113" s="17" t="str">
        <f aca="false">IF((E113="p"),H113," ")</f>
        <v> </v>
      </c>
      <c r="V113" s="17" t="str">
        <f aca="false">IF((E113="t"),H113," ")</f>
        <v> </v>
      </c>
      <c r="W113" s="17" t="str">
        <f aca="false">IF((E113="q"),H113," ")</f>
        <v> </v>
      </c>
      <c r="X113" s="17" t="str">
        <f aca="false">IF((E113="m"),H113," ")</f>
        <v> </v>
      </c>
      <c r="Y113" s="17" t="str">
        <f aca="false">IF((E113="u"),H113," ")</f>
        <v> </v>
      </c>
      <c r="Z113" s="17" t="str">
        <f aca="false">IF((E113="a"),H113," ")</f>
        <v> </v>
      </c>
      <c r="AA113" s="17" t="str">
        <f aca="false">IF((E113="g"),H113," ")</f>
        <v> </v>
      </c>
      <c r="AB113" s="17" t="str">
        <f aca="false">IF((E113="h"),H113," ")</f>
        <v> </v>
      </c>
      <c r="AC113" s="30" t="str">
        <f aca="false">IF((E113="v"),H113," ")</f>
        <v> </v>
      </c>
      <c r="AD113" s="30" t="str">
        <f aca="false">IF((E113="n"),H113," ")</f>
        <v> </v>
      </c>
      <c r="AE113" s="17" t="str">
        <f aca="false">IF((E113="f"),H113," ")</f>
        <v> </v>
      </c>
      <c r="AF113" s="17" t="str">
        <f aca="false">IF((E113="l"),H113," ")</f>
        <v> </v>
      </c>
      <c r="AG113" s="17" t="str">
        <f aca="false">IF((E113="y"),H113," ")</f>
        <v> </v>
      </c>
      <c r="AH113" s="17" t="str">
        <f aca="false">IF((E113="z"),H113," ")</f>
        <v> </v>
      </c>
      <c r="AI113" s="17" t="str">
        <f aca="false">IF((E113="fa"),H113," ")</f>
        <v> </v>
      </c>
      <c r="AJ113" s="17" t="str">
        <f aca="false">IF((E113="e"),H113," ")</f>
        <v> </v>
      </c>
    </row>
    <row r="114" customFormat="false" ht="12" hidden="false" customHeight="false" outlineLevel="0" collapsed="false">
      <c r="A114" s="28"/>
      <c r="E114" s="2" t="str">
        <f aca="false">IF((F114&lt;&gt;0),"Enter Letter"," ")</f>
        <v> </v>
      </c>
      <c r="F114" s="30"/>
      <c r="G114" s="6" t="str">
        <f aca="false">IF(F114&lt;&gt;0,F114*G$2/(100+G$2)," ")</f>
        <v> </v>
      </c>
      <c r="H114" s="6" t="str">
        <f aca="false">IF((F114&lt;&gt;0),F114-G114," ")</f>
        <v> </v>
      </c>
      <c r="I114" s="5"/>
      <c r="L114" s="7" t="str">
        <f aca="false">IF(F114&lt;&gt;0,F114-K114," ")</f>
        <v> </v>
      </c>
      <c r="M114" s="8" t="str">
        <f aca="false">IF((F114-K114)&lt;&gt;0,M$1-A114," ")</f>
        <v> </v>
      </c>
      <c r="N114" s="5"/>
      <c r="O114" s="17" t="str">
        <f aca="false">IF((E114="s"),H114," ")</f>
        <v> </v>
      </c>
      <c r="P114" s="17" t="str">
        <f aca="false">IF((E114="c"),H114," ")</f>
        <v> </v>
      </c>
      <c r="Q114" s="17" t="str">
        <f aca="false">IF((E114="o"),H114," ")</f>
        <v> </v>
      </c>
      <c r="R114" s="17" t="str">
        <f aca="false">IF((E114="d"),H114," ")</f>
        <v> </v>
      </c>
      <c r="S114" s="17" t="str">
        <f aca="false">IF((E114="w"),H114," ")</f>
        <v> </v>
      </c>
      <c r="T114" s="17" t="str">
        <f aca="false">IF((E114="r"),H114," ")</f>
        <v> </v>
      </c>
      <c r="U114" s="17" t="str">
        <f aca="false">IF((E114="p"),H114," ")</f>
        <v> </v>
      </c>
      <c r="V114" s="17" t="str">
        <f aca="false">IF((E114="t"),H114," ")</f>
        <v> </v>
      </c>
      <c r="W114" s="17" t="str">
        <f aca="false">IF((E114="q"),H114," ")</f>
        <v> </v>
      </c>
      <c r="X114" s="17" t="str">
        <f aca="false">IF((E114="m"),H114," ")</f>
        <v> </v>
      </c>
      <c r="Y114" s="17" t="str">
        <f aca="false">IF((E114="u"),H114," ")</f>
        <v> </v>
      </c>
      <c r="Z114" s="17" t="str">
        <f aca="false">IF((E114="a"),H114," ")</f>
        <v> </v>
      </c>
      <c r="AA114" s="17" t="str">
        <f aca="false">IF((E114="g"),H114," ")</f>
        <v> </v>
      </c>
      <c r="AB114" s="17" t="str">
        <f aca="false">IF((E114="h"),H114," ")</f>
        <v> </v>
      </c>
      <c r="AC114" s="30" t="str">
        <f aca="false">IF((E114="v"),H114," ")</f>
        <v> </v>
      </c>
      <c r="AD114" s="30" t="str">
        <f aca="false">IF((E114="n"),H114," ")</f>
        <v> </v>
      </c>
      <c r="AE114" s="17" t="str">
        <f aca="false">IF((E114="f"),H114," ")</f>
        <v> </v>
      </c>
      <c r="AF114" s="17" t="str">
        <f aca="false">IF((E114="l"),H114," ")</f>
        <v> </v>
      </c>
      <c r="AG114" s="17" t="str">
        <f aca="false">IF((E114="y"),H114," ")</f>
        <v> </v>
      </c>
      <c r="AH114" s="17" t="str">
        <f aca="false">IF((E114="z"),H114," ")</f>
        <v> </v>
      </c>
      <c r="AI114" s="17" t="str">
        <f aca="false">IF((E114="fa"),H114," ")</f>
        <v> </v>
      </c>
      <c r="AJ114" s="17" t="str">
        <f aca="false">IF((E114="e"),H114," ")</f>
        <v> </v>
      </c>
    </row>
    <row r="115" customFormat="false" ht="12" hidden="false" customHeight="false" outlineLevel="0" collapsed="false">
      <c r="A115" s="28"/>
      <c r="E115" s="2" t="str">
        <f aca="false">IF((F115&lt;&gt;0),"Enter Letter"," ")</f>
        <v> </v>
      </c>
      <c r="F115" s="30"/>
      <c r="G115" s="6" t="str">
        <f aca="false">IF(F115&lt;&gt;0,F115*G$2/(100+G$2)," ")</f>
        <v> </v>
      </c>
      <c r="H115" s="6" t="str">
        <f aca="false">IF((F115&lt;&gt;0),F115-G115," ")</f>
        <v> </v>
      </c>
      <c r="I115" s="5"/>
      <c r="L115" s="7" t="str">
        <f aca="false">IF(F115&lt;&gt;0,F115-K115," ")</f>
        <v> </v>
      </c>
      <c r="M115" s="8" t="str">
        <f aca="false">IF((F115-K115)&lt;&gt;0,M$1-A115," ")</f>
        <v> </v>
      </c>
      <c r="N115" s="5"/>
      <c r="O115" s="17" t="str">
        <f aca="false">IF((E115="s"),H115," ")</f>
        <v> </v>
      </c>
      <c r="P115" s="17" t="str">
        <f aca="false">IF((E115="c"),H115," ")</f>
        <v> </v>
      </c>
      <c r="Q115" s="17" t="str">
        <f aca="false">IF((E115="o"),H115," ")</f>
        <v> </v>
      </c>
      <c r="R115" s="17" t="str">
        <f aca="false">IF((E115="d"),H115," ")</f>
        <v> </v>
      </c>
      <c r="S115" s="17" t="str">
        <f aca="false">IF((E115="w"),H115," ")</f>
        <v> </v>
      </c>
      <c r="T115" s="17" t="str">
        <f aca="false">IF((E115="r"),H115," ")</f>
        <v> </v>
      </c>
      <c r="U115" s="17" t="str">
        <f aca="false">IF((E115="p"),H115," ")</f>
        <v> </v>
      </c>
      <c r="V115" s="17" t="str">
        <f aca="false">IF((E115="t"),H115," ")</f>
        <v> </v>
      </c>
      <c r="W115" s="17" t="str">
        <f aca="false">IF((E115="q"),H115," ")</f>
        <v> </v>
      </c>
      <c r="X115" s="17" t="str">
        <f aca="false">IF((E115="m"),H115," ")</f>
        <v> </v>
      </c>
      <c r="Y115" s="17" t="str">
        <f aca="false">IF((E115="u"),H115," ")</f>
        <v> </v>
      </c>
      <c r="Z115" s="17" t="str">
        <f aca="false">IF((E115="a"),H115," ")</f>
        <v> </v>
      </c>
      <c r="AA115" s="17" t="str">
        <f aca="false">IF((E115="g"),H115," ")</f>
        <v> </v>
      </c>
      <c r="AB115" s="17" t="str">
        <f aca="false">IF((E115="h"),H115," ")</f>
        <v> </v>
      </c>
      <c r="AC115" s="30" t="str">
        <f aca="false">IF((E115="v"),H115," ")</f>
        <v> </v>
      </c>
      <c r="AD115" s="30" t="str">
        <f aca="false">IF((E115="n"),H115," ")</f>
        <v> </v>
      </c>
      <c r="AE115" s="17" t="str">
        <f aca="false">IF((E115="f"),H115," ")</f>
        <v> </v>
      </c>
      <c r="AF115" s="17" t="str">
        <f aca="false">IF((E115="l"),H115," ")</f>
        <v> </v>
      </c>
      <c r="AG115" s="17" t="str">
        <f aca="false">IF((E115="y"),H115," ")</f>
        <v> </v>
      </c>
      <c r="AH115" s="17" t="str">
        <f aca="false">IF((E115="z"),H115," ")</f>
        <v> </v>
      </c>
      <c r="AI115" s="17" t="str">
        <f aca="false">IF((E115="fa"),H115," ")</f>
        <v> </v>
      </c>
      <c r="AJ115" s="17" t="str">
        <f aca="false">IF((E115="e"),H115," ")</f>
        <v> </v>
      </c>
    </row>
    <row r="116" customFormat="false" ht="12" hidden="false" customHeight="false" outlineLevel="0" collapsed="false">
      <c r="A116" s="28"/>
      <c r="E116" s="2" t="str">
        <f aca="false">IF((F116&lt;&gt;0),"Enter Letter"," ")</f>
        <v> </v>
      </c>
      <c r="F116" s="30"/>
      <c r="G116" s="6" t="str">
        <f aca="false">IF(F116&lt;&gt;0,F116*G$2/(100+G$2)," ")</f>
        <v> </v>
      </c>
      <c r="H116" s="6" t="str">
        <f aca="false">IF((F116&lt;&gt;0),F116-G116," ")</f>
        <v> </v>
      </c>
      <c r="I116" s="5"/>
      <c r="L116" s="7" t="str">
        <f aca="false">IF(F116&lt;&gt;0,F116-K116," ")</f>
        <v> </v>
      </c>
      <c r="M116" s="8" t="str">
        <f aca="false">IF((F116-K116)&lt;&gt;0,M$1-A116," ")</f>
        <v> </v>
      </c>
      <c r="N116" s="5"/>
      <c r="O116" s="17" t="str">
        <f aca="false">IF((E116="s"),H116," ")</f>
        <v> </v>
      </c>
      <c r="P116" s="17" t="str">
        <f aca="false">IF((E116="c"),H116," ")</f>
        <v> </v>
      </c>
      <c r="Q116" s="17" t="str">
        <f aca="false">IF((E116="o"),H116," ")</f>
        <v> </v>
      </c>
      <c r="R116" s="17" t="str">
        <f aca="false">IF((E116="d"),H116," ")</f>
        <v> </v>
      </c>
      <c r="S116" s="17" t="str">
        <f aca="false">IF((E116="w"),H116," ")</f>
        <v> </v>
      </c>
      <c r="T116" s="17" t="str">
        <f aca="false">IF((E116="r"),H116," ")</f>
        <v> </v>
      </c>
      <c r="U116" s="17" t="str">
        <f aca="false">IF((E116="p"),H116," ")</f>
        <v> </v>
      </c>
      <c r="V116" s="17" t="str">
        <f aca="false">IF((E116="t"),H116," ")</f>
        <v> </v>
      </c>
      <c r="W116" s="17" t="str">
        <f aca="false">IF((E116="q"),H116," ")</f>
        <v> </v>
      </c>
      <c r="X116" s="17" t="str">
        <f aca="false">IF((E116="m"),H116," ")</f>
        <v> </v>
      </c>
      <c r="Y116" s="17" t="str">
        <f aca="false">IF((E116="u"),H116," ")</f>
        <v> </v>
      </c>
      <c r="Z116" s="17" t="str">
        <f aca="false">IF((E116="a"),H116," ")</f>
        <v> </v>
      </c>
      <c r="AA116" s="17" t="str">
        <f aca="false">IF((E116="g"),H116," ")</f>
        <v> </v>
      </c>
      <c r="AB116" s="17" t="str">
        <f aca="false">IF((E116="h"),H116," ")</f>
        <v> </v>
      </c>
      <c r="AC116" s="30" t="str">
        <f aca="false">IF((E116="v"),H116," ")</f>
        <v> </v>
      </c>
      <c r="AD116" s="30" t="str">
        <f aca="false">IF((E116="n"),H116," ")</f>
        <v> </v>
      </c>
      <c r="AE116" s="17" t="str">
        <f aca="false">IF((E116="f"),H116," ")</f>
        <v> </v>
      </c>
      <c r="AF116" s="17" t="str">
        <f aca="false">IF((E116="l"),H116," ")</f>
        <v> </v>
      </c>
      <c r="AG116" s="17" t="str">
        <f aca="false">IF((E116="y"),H116," ")</f>
        <v> </v>
      </c>
      <c r="AH116" s="17" t="str">
        <f aca="false">IF((E116="z"),H116," ")</f>
        <v> </v>
      </c>
      <c r="AI116" s="17" t="str">
        <f aca="false">IF((E116="fa"),H116," ")</f>
        <v> </v>
      </c>
      <c r="AJ116" s="17" t="str">
        <f aca="false">IF((E116="e"),H116," ")</f>
        <v> </v>
      </c>
    </row>
    <row r="117" customFormat="false" ht="12" hidden="false" customHeight="false" outlineLevel="0" collapsed="false">
      <c r="A117" s="28"/>
      <c r="E117" s="2" t="str">
        <f aca="false">IF((F117&lt;&gt;0),"Enter Letter"," ")</f>
        <v> </v>
      </c>
      <c r="F117" s="30"/>
      <c r="G117" s="6" t="str">
        <f aca="false">IF(F117&lt;&gt;0,F117*G$2/(100+G$2)," ")</f>
        <v> </v>
      </c>
      <c r="H117" s="6" t="str">
        <f aca="false">IF((F117&lt;&gt;0),F117-G117," ")</f>
        <v> </v>
      </c>
      <c r="I117" s="5"/>
      <c r="L117" s="7" t="str">
        <f aca="false">IF(F117&lt;&gt;0,F117-K117," ")</f>
        <v> </v>
      </c>
      <c r="M117" s="8" t="str">
        <f aca="false">IF((F117-K117)&lt;&gt;0,M$1-A117," ")</f>
        <v> </v>
      </c>
      <c r="N117" s="5"/>
      <c r="O117" s="17" t="str">
        <f aca="false">IF((E117="s"),H117," ")</f>
        <v> </v>
      </c>
      <c r="P117" s="17" t="str">
        <f aca="false">IF((E117="c"),H117," ")</f>
        <v> </v>
      </c>
      <c r="Q117" s="17" t="str">
        <f aca="false">IF((E117="o"),H117," ")</f>
        <v> </v>
      </c>
      <c r="R117" s="17" t="str">
        <f aca="false">IF((E117="d"),H117," ")</f>
        <v> </v>
      </c>
      <c r="S117" s="17" t="str">
        <f aca="false">IF((E117="w"),H117," ")</f>
        <v> </v>
      </c>
      <c r="T117" s="17" t="str">
        <f aca="false">IF((E117="r"),H117," ")</f>
        <v> </v>
      </c>
      <c r="U117" s="17" t="str">
        <f aca="false">IF((E117="p"),H117," ")</f>
        <v> </v>
      </c>
      <c r="V117" s="17" t="str">
        <f aca="false">IF((E117="t"),H117," ")</f>
        <v> </v>
      </c>
      <c r="W117" s="17" t="str">
        <f aca="false">IF((E117="q"),H117," ")</f>
        <v> </v>
      </c>
      <c r="X117" s="17" t="str">
        <f aca="false">IF((E117="m"),H117," ")</f>
        <v> </v>
      </c>
      <c r="Y117" s="17" t="str">
        <f aca="false">IF((E117="u"),H117," ")</f>
        <v> </v>
      </c>
      <c r="Z117" s="17" t="str">
        <f aca="false">IF((E117="a"),H117," ")</f>
        <v> </v>
      </c>
      <c r="AA117" s="17" t="str">
        <f aca="false">IF((E117="g"),H117," ")</f>
        <v> </v>
      </c>
      <c r="AB117" s="17" t="str">
        <f aca="false">IF((E117="h"),H117," ")</f>
        <v> </v>
      </c>
      <c r="AC117" s="30" t="str">
        <f aca="false">IF((E117="v"),H117," ")</f>
        <v> </v>
      </c>
      <c r="AD117" s="30" t="str">
        <f aca="false">IF((E117="n"),H117," ")</f>
        <v> </v>
      </c>
      <c r="AE117" s="17" t="str">
        <f aca="false">IF((E117="f"),H117," ")</f>
        <v> </v>
      </c>
      <c r="AF117" s="17" t="str">
        <f aca="false">IF((E117="l"),H117," ")</f>
        <v> </v>
      </c>
      <c r="AG117" s="17" t="str">
        <f aca="false">IF((E117="y"),H117," ")</f>
        <v> </v>
      </c>
      <c r="AH117" s="17" t="str">
        <f aca="false">IF((E117="z"),H117," ")</f>
        <v> </v>
      </c>
      <c r="AI117" s="17" t="str">
        <f aca="false">IF((E117="fa"),H117," ")</f>
        <v> </v>
      </c>
      <c r="AJ117" s="17" t="str">
        <f aca="false">IF((E117="e"),H117," ")</f>
        <v> </v>
      </c>
    </row>
    <row r="118" customFormat="false" ht="12" hidden="false" customHeight="false" outlineLevel="0" collapsed="false">
      <c r="A118" s="28"/>
      <c r="E118" s="2" t="str">
        <f aca="false">IF((F118&lt;&gt;0),"Enter Letter"," ")</f>
        <v> </v>
      </c>
      <c r="F118" s="30"/>
      <c r="G118" s="6" t="str">
        <f aca="false">IF(F118&lt;&gt;0,F118*G$2/(100+G$2)," ")</f>
        <v> </v>
      </c>
      <c r="H118" s="6" t="str">
        <f aca="false">IF((F118&lt;&gt;0),F118-G118," ")</f>
        <v> </v>
      </c>
      <c r="I118" s="5"/>
      <c r="L118" s="7" t="str">
        <f aca="false">IF(F118&lt;&gt;0,F118-K118," ")</f>
        <v> </v>
      </c>
      <c r="M118" s="8" t="str">
        <f aca="false">IF((F118-K118)&lt;&gt;0,M$1-A118," ")</f>
        <v> </v>
      </c>
      <c r="N118" s="5"/>
      <c r="O118" s="17" t="str">
        <f aca="false">IF((E118="s"),H118," ")</f>
        <v> </v>
      </c>
      <c r="P118" s="17" t="str">
        <f aca="false">IF((E118="c"),H118," ")</f>
        <v> </v>
      </c>
      <c r="Q118" s="17" t="str">
        <f aca="false">IF((E118="o"),H118," ")</f>
        <v> </v>
      </c>
      <c r="R118" s="17" t="str">
        <f aca="false">IF((E118="d"),H118," ")</f>
        <v> </v>
      </c>
      <c r="S118" s="17" t="str">
        <f aca="false">IF((E118="w"),H118," ")</f>
        <v> </v>
      </c>
      <c r="T118" s="17" t="str">
        <f aca="false">IF((E118="r"),H118," ")</f>
        <v> </v>
      </c>
      <c r="U118" s="17" t="str">
        <f aca="false">IF((E118="p"),H118," ")</f>
        <v> </v>
      </c>
      <c r="V118" s="17" t="str">
        <f aca="false">IF((E118="t"),H118," ")</f>
        <v> </v>
      </c>
      <c r="W118" s="17" t="str">
        <f aca="false">IF((E118="q"),H118," ")</f>
        <v> </v>
      </c>
      <c r="X118" s="17" t="str">
        <f aca="false">IF((E118="m"),H118," ")</f>
        <v> </v>
      </c>
      <c r="Y118" s="17" t="str">
        <f aca="false">IF((E118="u"),H118," ")</f>
        <v> </v>
      </c>
      <c r="Z118" s="17" t="str">
        <f aca="false">IF((E118="a"),H118," ")</f>
        <v> </v>
      </c>
      <c r="AA118" s="17" t="str">
        <f aca="false">IF((E118="g"),H118," ")</f>
        <v> </v>
      </c>
      <c r="AB118" s="17" t="str">
        <f aca="false">IF((E118="h"),H118," ")</f>
        <v> </v>
      </c>
      <c r="AC118" s="30" t="str">
        <f aca="false">IF((E118="v"),H118," ")</f>
        <v> </v>
      </c>
      <c r="AD118" s="30" t="str">
        <f aca="false">IF((E118="n"),H118," ")</f>
        <v> </v>
      </c>
      <c r="AE118" s="17" t="str">
        <f aca="false">IF((E118="f"),H118," ")</f>
        <v> </v>
      </c>
      <c r="AF118" s="17" t="str">
        <f aca="false">IF((E118="l"),H118," ")</f>
        <v> </v>
      </c>
      <c r="AG118" s="17" t="str">
        <f aca="false">IF((E118="y"),H118," ")</f>
        <v> </v>
      </c>
      <c r="AH118" s="17" t="str">
        <f aca="false">IF((E118="z"),H118," ")</f>
        <v> </v>
      </c>
      <c r="AI118" s="17" t="str">
        <f aca="false">IF((E118="fa"),H118," ")</f>
        <v> </v>
      </c>
      <c r="AJ118" s="17" t="str">
        <f aca="false">IF((E118="e"),H118," ")</f>
        <v> </v>
      </c>
    </row>
    <row r="119" customFormat="false" ht="12" hidden="false" customHeight="false" outlineLevel="0" collapsed="false">
      <c r="A119" s="28"/>
      <c r="E119" s="2" t="str">
        <f aca="false">IF((F119&lt;&gt;0),"Enter Letter"," ")</f>
        <v> </v>
      </c>
      <c r="F119" s="30"/>
      <c r="G119" s="6" t="str">
        <f aca="false">IF(F119&lt;&gt;0,F119*G$2/(100+G$2)," ")</f>
        <v> </v>
      </c>
      <c r="H119" s="6" t="str">
        <f aca="false">IF((F119&lt;&gt;0),F119-G119," ")</f>
        <v> </v>
      </c>
      <c r="I119" s="5"/>
      <c r="L119" s="7" t="str">
        <f aca="false">IF(F119&lt;&gt;0,F119-K119," ")</f>
        <v> </v>
      </c>
      <c r="M119" s="8" t="str">
        <f aca="false">IF((F119-K119)&lt;&gt;0,M$1-A119," ")</f>
        <v> </v>
      </c>
      <c r="N119" s="5"/>
      <c r="O119" s="17" t="str">
        <f aca="false">IF((E119="s"),H119," ")</f>
        <v> </v>
      </c>
      <c r="P119" s="17" t="str">
        <f aca="false">IF((E119="c"),H119," ")</f>
        <v> </v>
      </c>
      <c r="Q119" s="17" t="str">
        <f aca="false">IF((E119="o"),H119," ")</f>
        <v> </v>
      </c>
      <c r="R119" s="17" t="str">
        <f aca="false">IF((E119="d"),H119," ")</f>
        <v> </v>
      </c>
      <c r="S119" s="17" t="str">
        <f aca="false">IF((E119="w"),H119," ")</f>
        <v> </v>
      </c>
      <c r="T119" s="17" t="str">
        <f aca="false">IF((E119="r"),H119," ")</f>
        <v> </v>
      </c>
      <c r="U119" s="17" t="str">
        <f aca="false">IF((E119="p"),H119," ")</f>
        <v> </v>
      </c>
      <c r="V119" s="17" t="str">
        <f aca="false">IF((E119="t"),H119," ")</f>
        <v> </v>
      </c>
      <c r="W119" s="17" t="str">
        <f aca="false">IF((E119="q"),H119," ")</f>
        <v> </v>
      </c>
      <c r="X119" s="17" t="str">
        <f aca="false">IF((E119="m"),H119," ")</f>
        <v> </v>
      </c>
      <c r="Y119" s="17" t="str">
        <f aca="false">IF((E119="u"),H119," ")</f>
        <v> </v>
      </c>
      <c r="Z119" s="17" t="str">
        <f aca="false">IF((E119="a"),H119," ")</f>
        <v> </v>
      </c>
      <c r="AA119" s="17" t="str">
        <f aca="false">IF((E119="g"),H119," ")</f>
        <v> </v>
      </c>
      <c r="AB119" s="17" t="str">
        <f aca="false">IF((E119="h"),H119," ")</f>
        <v> </v>
      </c>
      <c r="AC119" s="30" t="str">
        <f aca="false">IF((E119="v"),H119," ")</f>
        <v> </v>
      </c>
      <c r="AD119" s="30" t="str">
        <f aca="false">IF((E119="n"),H119," ")</f>
        <v> </v>
      </c>
      <c r="AE119" s="17" t="str">
        <f aca="false">IF((E119="f"),H119," ")</f>
        <v> </v>
      </c>
      <c r="AF119" s="17" t="str">
        <f aca="false">IF((E119="l"),H119," ")</f>
        <v> </v>
      </c>
      <c r="AG119" s="17" t="str">
        <f aca="false">IF((E119="y"),H119," ")</f>
        <v> </v>
      </c>
      <c r="AH119" s="17" t="str">
        <f aca="false">IF((E119="z"),H119," ")</f>
        <v> </v>
      </c>
      <c r="AI119" s="17" t="str">
        <f aca="false">IF((E119="fa"),H119," ")</f>
        <v> </v>
      </c>
      <c r="AJ119" s="17" t="str">
        <f aca="false">IF((E119="e"),H119," ")</f>
        <v> </v>
      </c>
    </row>
    <row r="120" customFormat="false" ht="12" hidden="false" customHeight="false" outlineLevel="0" collapsed="false">
      <c r="A120" s="28"/>
      <c r="E120" s="2" t="str">
        <f aca="false">IF((F120&lt;&gt;0),"Enter Letter"," ")</f>
        <v> </v>
      </c>
      <c r="F120" s="30"/>
      <c r="G120" s="6" t="str">
        <f aca="false">IF(F120&lt;&gt;0,F120*G$2/(100+G$2)," ")</f>
        <v> </v>
      </c>
      <c r="H120" s="6" t="str">
        <f aca="false">IF((F120&lt;&gt;0),F120-G120," ")</f>
        <v> </v>
      </c>
      <c r="I120" s="5"/>
      <c r="L120" s="7" t="str">
        <f aca="false">IF(F120&lt;&gt;0,F120-K120," ")</f>
        <v> </v>
      </c>
      <c r="M120" s="8" t="str">
        <f aca="false">IF((F120-K120)&lt;&gt;0,M$1-A120," ")</f>
        <v> </v>
      </c>
      <c r="N120" s="5"/>
      <c r="O120" s="17" t="str">
        <f aca="false">IF((E120="s"),H120," ")</f>
        <v> </v>
      </c>
      <c r="P120" s="17" t="str">
        <f aca="false">IF((E120="c"),H120," ")</f>
        <v> </v>
      </c>
      <c r="Q120" s="17" t="str">
        <f aca="false">IF((E120="o"),H120," ")</f>
        <v> </v>
      </c>
      <c r="R120" s="17" t="str">
        <f aca="false">IF((E120="d"),H120," ")</f>
        <v> </v>
      </c>
      <c r="S120" s="17" t="str">
        <f aca="false">IF((E120="w"),H120," ")</f>
        <v> </v>
      </c>
      <c r="T120" s="17" t="str">
        <f aca="false">IF((E120="r"),H120," ")</f>
        <v> </v>
      </c>
      <c r="U120" s="17" t="str">
        <f aca="false">IF((E120="p"),H120," ")</f>
        <v> </v>
      </c>
      <c r="V120" s="17" t="str">
        <f aca="false">IF((E120="t"),H120," ")</f>
        <v> </v>
      </c>
      <c r="W120" s="17" t="str">
        <f aca="false">IF((E120="q"),H120," ")</f>
        <v> </v>
      </c>
      <c r="X120" s="17" t="str">
        <f aca="false">IF((E120="m"),H120," ")</f>
        <v> </v>
      </c>
      <c r="Y120" s="17" t="str">
        <f aca="false">IF((E120="u"),H120," ")</f>
        <v> </v>
      </c>
      <c r="Z120" s="17" t="str">
        <f aca="false">IF((E120="a"),H120," ")</f>
        <v> </v>
      </c>
      <c r="AA120" s="17" t="str">
        <f aca="false">IF((E120="g"),H120," ")</f>
        <v> </v>
      </c>
      <c r="AB120" s="17" t="str">
        <f aca="false">IF((E120="h"),H120," ")</f>
        <v> </v>
      </c>
      <c r="AC120" s="30" t="str">
        <f aca="false">IF((E120="v"),H120," ")</f>
        <v> </v>
      </c>
      <c r="AD120" s="30" t="str">
        <f aca="false">IF((E120="n"),H120," ")</f>
        <v> </v>
      </c>
      <c r="AE120" s="17" t="str">
        <f aca="false">IF((E120="f"),H120," ")</f>
        <v> </v>
      </c>
      <c r="AF120" s="17" t="str">
        <f aca="false">IF((E120="l"),H120," ")</f>
        <v> </v>
      </c>
      <c r="AG120" s="17" t="str">
        <f aca="false">IF((E120="y"),H120," ")</f>
        <v> </v>
      </c>
      <c r="AH120" s="17" t="str">
        <f aca="false">IF((E120="z"),H120," ")</f>
        <v> </v>
      </c>
      <c r="AI120" s="17" t="str">
        <f aca="false">IF((E120="fa"),H120," ")</f>
        <v> </v>
      </c>
      <c r="AJ120" s="17" t="str">
        <f aca="false">IF((E120="e"),H120," ")</f>
        <v> </v>
      </c>
    </row>
    <row r="121" customFormat="false" ht="12" hidden="false" customHeight="false" outlineLevel="0" collapsed="false">
      <c r="A121" s="28"/>
      <c r="E121" s="2" t="str">
        <f aca="false">IF((F121&lt;&gt;0),"Enter Letter"," ")</f>
        <v> </v>
      </c>
      <c r="F121" s="30"/>
      <c r="G121" s="6" t="str">
        <f aca="false">IF(F121&lt;&gt;0,F121*G$2/(100+G$2)," ")</f>
        <v> </v>
      </c>
      <c r="H121" s="6" t="str">
        <f aca="false">IF((F121&lt;&gt;0),F121-G121," ")</f>
        <v> </v>
      </c>
      <c r="I121" s="5"/>
      <c r="L121" s="7" t="str">
        <f aca="false">IF(F121&lt;&gt;0,F121-K121," ")</f>
        <v> </v>
      </c>
      <c r="M121" s="8" t="str">
        <f aca="false">IF((F121-K121)&lt;&gt;0,M$1-A121," ")</f>
        <v> </v>
      </c>
      <c r="N121" s="5"/>
      <c r="O121" s="17" t="str">
        <f aca="false">IF((E121="s"),H121," ")</f>
        <v> </v>
      </c>
      <c r="P121" s="17" t="str">
        <f aca="false">IF((E121="c"),H121," ")</f>
        <v> </v>
      </c>
      <c r="Q121" s="17" t="str">
        <f aca="false">IF((E121="o"),H121," ")</f>
        <v> </v>
      </c>
      <c r="R121" s="17" t="str">
        <f aca="false">IF((E121="d"),H121," ")</f>
        <v> </v>
      </c>
      <c r="S121" s="17" t="str">
        <f aca="false">IF((E121="w"),H121," ")</f>
        <v> </v>
      </c>
      <c r="T121" s="17" t="str">
        <f aca="false">IF((E121="r"),H121," ")</f>
        <v> </v>
      </c>
      <c r="U121" s="17" t="str">
        <f aca="false">IF((E121="p"),H121," ")</f>
        <v> </v>
      </c>
      <c r="V121" s="17" t="str">
        <f aca="false">IF((E121="t"),H121," ")</f>
        <v> </v>
      </c>
      <c r="W121" s="17" t="str">
        <f aca="false">IF((E121="q"),H121," ")</f>
        <v> </v>
      </c>
      <c r="X121" s="17" t="str">
        <f aca="false">IF((E121="m"),H121," ")</f>
        <v> </v>
      </c>
      <c r="Y121" s="17" t="str">
        <f aca="false">IF((E121="u"),H121," ")</f>
        <v> </v>
      </c>
      <c r="Z121" s="17" t="str">
        <f aca="false">IF((E121="a"),H121," ")</f>
        <v> </v>
      </c>
      <c r="AA121" s="17" t="str">
        <f aca="false">IF((E121="g"),H121," ")</f>
        <v> </v>
      </c>
      <c r="AB121" s="17" t="str">
        <f aca="false">IF((E121="h"),H121," ")</f>
        <v> </v>
      </c>
      <c r="AC121" s="30" t="str">
        <f aca="false">IF((E121="v"),H121," ")</f>
        <v> </v>
      </c>
      <c r="AD121" s="30" t="str">
        <f aca="false">IF((E121="n"),H121," ")</f>
        <v> </v>
      </c>
      <c r="AE121" s="17" t="str">
        <f aca="false">IF((E121="f"),H121," ")</f>
        <v> </v>
      </c>
      <c r="AF121" s="17" t="str">
        <f aca="false">IF((E121="l"),H121," ")</f>
        <v> </v>
      </c>
      <c r="AG121" s="17" t="str">
        <f aca="false">IF((E121="y"),H121," ")</f>
        <v> </v>
      </c>
      <c r="AH121" s="17" t="str">
        <f aca="false">IF((E121="z"),H121," ")</f>
        <v> </v>
      </c>
      <c r="AI121" s="17" t="str">
        <f aca="false">IF((E121="fa"),H121," ")</f>
        <v> </v>
      </c>
      <c r="AJ121" s="17" t="str">
        <f aca="false">IF((E121="e"),H121," ")</f>
        <v> </v>
      </c>
    </row>
    <row r="122" customFormat="false" ht="12" hidden="false" customHeight="false" outlineLevel="0" collapsed="false">
      <c r="A122" s="28"/>
      <c r="E122" s="2" t="str">
        <f aca="false">IF((F122&lt;&gt;0),"Enter Letter"," ")</f>
        <v> </v>
      </c>
      <c r="F122" s="30"/>
      <c r="G122" s="6" t="str">
        <f aca="false">IF(F122&lt;&gt;0,F122*G$2/(100+G$2)," ")</f>
        <v> </v>
      </c>
      <c r="H122" s="6" t="str">
        <f aca="false">IF((F122&lt;&gt;0),F122-G122," ")</f>
        <v> </v>
      </c>
      <c r="I122" s="5"/>
      <c r="L122" s="7" t="str">
        <f aca="false">IF(F122&lt;&gt;0,F122-K122," ")</f>
        <v> </v>
      </c>
      <c r="M122" s="8" t="str">
        <f aca="false">IF((F122-K122)&lt;&gt;0,M$1-A122," ")</f>
        <v> </v>
      </c>
      <c r="N122" s="5"/>
      <c r="O122" s="17" t="str">
        <f aca="false">IF((E122="s"),H122," ")</f>
        <v> </v>
      </c>
      <c r="P122" s="17" t="str">
        <f aca="false">IF((E122="c"),H122," ")</f>
        <v> </v>
      </c>
      <c r="Q122" s="17" t="str">
        <f aca="false">IF((E122="o"),H122," ")</f>
        <v> </v>
      </c>
      <c r="R122" s="17" t="str">
        <f aca="false">IF((E122="d"),H122," ")</f>
        <v> </v>
      </c>
      <c r="S122" s="17" t="str">
        <f aca="false">IF((E122="w"),H122," ")</f>
        <v> </v>
      </c>
      <c r="T122" s="17" t="str">
        <f aca="false">IF((E122="r"),H122," ")</f>
        <v> </v>
      </c>
      <c r="U122" s="17" t="str">
        <f aca="false">IF((E122="p"),H122," ")</f>
        <v> </v>
      </c>
      <c r="V122" s="17" t="str">
        <f aca="false">IF((E122="t"),H122," ")</f>
        <v> </v>
      </c>
      <c r="W122" s="17" t="str">
        <f aca="false">IF((E122="q"),H122," ")</f>
        <v> </v>
      </c>
      <c r="X122" s="17" t="str">
        <f aca="false">IF((E122="m"),H122," ")</f>
        <v> </v>
      </c>
      <c r="Y122" s="17" t="str">
        <f aca="false">IF((E122="u"),H122," ")</f>
        <v> </v>
      </c>
      <c r="Z122" s="17" t="str">
        <f aca="false">IF((E122="a"),H122," ")</f>
        <v> </v>
      </c>
      <c r="AA122" s="17" t="str">
        <f aca="false">IF((E122="g"),H122," ")</f>
        <v> </v>
      </c>
      <c r="AB122" s="17" t="str">
        <f aca="false">IF((E122="h"),H122," ")</f>
        <v> </v>
      </c>
      <c r="AC122" s="30" t="str">
        <f aca="false">IF((E122="v"),H122," ")</f>
        <v> </v>
      </c>
      <c r="AD122" s="30" t="str">
        <f aca="false">IF((E122="n"),H122," ")</f>
        <v> </v>
      </c>
      <c r="AE122" s="17" t="str">
        <f aca="false">IF((E122="f"),H122," ")</f>
        <v> </v>
      </c>
      <c r="AF122" s="17" t="str">
        <f aca="false">IF((E122="l"),H122," ")</f>
        <v> </v>
      </c>
      <c r="AG122" s="17" t="str">
        <f aca="false">IF((E122="y"),H122," ")</f>
        <v> </v>
      </c>
      <c r="AH122" s="17" t="str">
        <f aca="false">IF((E122="z"),H122," ")</f>
        <v> </v>
      </c>
      <c r="AI122" s="17" t="str">
        <f aca="false">IF((E122="fa"),H122," ")</f>
        <v> </v>
      </c>
      <c r="AJ122" s="17" t="str">
        <f aca="false">IF((E122="e"),H122," ")</f>
        <v> </v>
      </c>
    </row>
    <row r="123" customFormat="false" ht="12" hidden="false" customHeight="false" outlineLevel="0" collapsed="false">
      <c r="A123" s="28"/>
      <c r="E123" s="2" t="str">
        <f aca="false">IF((F123&lt;&gt;0),"Enter Letter"," ")</f>
        <v> </v>
      </c>
      <c r="F123" s="30"/>
      <c r="G123" s="6" t="str">
        <f aca="false">IF(F123&lt;&gt;0,F123*G$2/(100+G$2)," ")</f>
        <v> </v>
      </c>
      <c r="H123" s="6" t="str">
        <f aca="false">IF((F123&lt;&gt;0),F123-G123," ")</f>
        <v> </v>
      </c>
      <c r="I123" s="5"/>
      <c r="L123" s="7" t="str">
        <f aca="false">IF(F123&lt;&gt;0,F123-K123," ")</f>
        <v> </v>
      </c>
      <c r="M123" s="8" t="str">
        <f aca="false">IF((F123-K123)&lt;&gt;0,M$1-A123," ")</f>
        <v> </v>
      </c>
      <c r="N123" s="5"/>
      <c r="O123" s="17" t="str">
        <f aca="false">IF((E123="s"),H123," ")</f>
        <v> </v>
      </c>
      <c r="P123" s="17" t="str">
        <f aca="false">IF((E123="c"),H123," ")</f>
        <v> </v>
      </c>
      <c r="Q123" s="17" t="str">
        <f aca="false">IF((E123="o"),H123," ")</f>
        <v> </v>
      </c>
      <c r="R123" s="17" t="str">
        <f aca="false">IF((E123="d"),H123," ")</f>
        <v> </v>
      </c>
      <c r="S123" s="17" t="str">
        <f aca="false">IF((E123="w"),H123," ")</f>
        <v> </v>
      </c>
      <c r="T123" s="17" t="str">
        <f aca="false">IF((E123="r"),H123," ")</f>
        <v> </v>
      </c>
      <c r="U123" s="17" t="str">
        <f aca="false">IF((E123="p"),H123," ")</f>
        <v> </v>
      </c>
      <c r="V123" s="17" t="str">
        <f aca="false">IF((E123="t"),H123," ")</f>
        <v> </v>
      </c>
      <c r="W123" s="17" t="str">
        <f aca="false">IF((E123="q"),H123," ")</f>
        <v> </v>
      </c>
      <c r="X123" s="17" t="str">
        <f aca="false">IF((E123="m"),H123," ")</f>
        <v> </v>
      </c>
      <c r="Y123" s="17" t="str">
        <f aca="false">IF((E123="u"),H123," ")</f>
        <v> </v>
      </c>
      <c r="Z123" s="17" t="str">
        <f aca="false">IF((E123="a"),H123," ")</f>
        <v> </v>
      </c>
      <c r="AA123" s="17" t="str">
        <f aca="false">IF((E123="g"),H123," ")</f>
        <v> </v>
      </c>
      <c r="AB123" s="17" t="str">
        <f aca="false">IF((E123="h"),H123," ")</f>
        <v> </v>
      </c>
      <c r="AC123" s="30" t="str">
        <f aca="false">IF((E123="v"),H123," ")</f>
        <v> </v>
      </c>
      <c r="AD123" s="30" t="str">
        <f aca="false">IF((E123="n"),H123," ")</f>
        <v> </v>
      </c>
      <c r="AE123" s="17" t="str">
        <f aca="false">IF((E123="f"),H123," ")</f>
        <v> </v>
      </c>
      <c r="AF123" s="17" t="str">
        <f aca="false">IF((E123="l"),H123," ")</f>
        <v> </v>
      </c>
      <c r="AG123" s="17" t="str">
        <f aca="false">IF((E123="y"),H123," ")</f>
        <v> </v>
      </c>
      <c r="AH123" s="17" t="str">
        <f aca="false">IF((E123="z"),H123," ")</f>
        <v> </v>
      </c>
      <c r="AI123" s="17" t="str">
        <f aca="false">IF((E123="fa"),H123," ")</f>
        <v> </v>
      </c>
      <c r="AJ123" s="17" t="str">
        <f aca="false">IF((E123="e"),H123," ")</f>
        <v> </v>
      </c>
    </row>
    <row r="124" customFormat="false" ht="12" hidden="false" customHeight="false" outlineLevel="0" collapsed="false">
      <c r="A124" s="28"/>
      <c r="E124" s="2" t="str">
        <f aca="false">IF((F124&lt;&gt;0),"Enter Letter"," ")</f>
        <v> </v>
      </c>
      <c r="F124" s="30"/>
      <c r="G124" s="6" t="str">
        <f aca="false">IF(F124&lt;&gt;0,F124*G$2/(100+G$2)," ")</f>
        <v> </v>
      </c>
      <c r="H124" s="6" t="str">
        <f aca="false">IF((F124&lt;&gt;0),F124-G124," ")</f>
        <v> </v>
      </c>
      <c r="I124" s="5"/>
      <c r="L124" s="7" t="str">
        <f aca="false">IF(F124&lt;&gt;0,F124-K124," ")</f>
        <v> </v>
      </c>
      <c r="M124" s="8" t="str">
        <f aca="false">IF((F124-K124)&lt;&gt;0,M$1-A124," ")</f>
        <v> </v>
      </c>
      <c r="N124" s="5"/>
      <c r="O124" s="17" t="str">
        <f aca="false">IF((E124="s"),H124," ")</f>
        <v> </v>
      </c>
      <c r="P124" s="17" t="str">
        <f aca="false">IF((E124="c"),H124," ")</f>
        <v> </v>
      </c>
      <c r="Q124" s="17" t="str">
        <f aca="false">IF((E124="o"),H124," ")</f>
        <v> </v>
      </c>
      <c r="R124" s="17" t="str">
        <f aca="false">IF((E124="d"),H124," ")</f>
        <v> </v>
      </c>
      <c r="S124" s="17" t="str">
        <f aca="false">IF((E124="w"),H124," ")</f>
        <v> </v>
      </c>
      <c r="T124" s="17" t="str">
        <f aca="false">IF((E124="r"),H124," ")</f>
        <v> </v>
      </c>
      <c r="U124" s="17" t="str">
        <f aca="false">IF((E124="p"),H124," ")</f>
        <v> </v>
      </c>
      <c r="V124" s="17" t="str">
        <f aca="false">IF((E124="t"),H124," ")</f>
        <v> </v>
      </c>
      <c r="W124" s="17" t="str">
        <f aca="false">IF((E124="q"),H124," ")</f>
        <v> </v>
      </c>
      <c r="X124" s="17" t="str">
        <f aca="false">IF((E124="m"),H124," ")</f>
        <v> </v>
      </c>
      <c r="Y124" s="17" t="str">
        <f aca="false">IF((E124="u"),H124," ")</f>
        <v> </v>
      </c>
      <c r="Z124" s="17" t="str">
        <f aca="false">IF((E124="a"),H124," ")</f>
        <v> </v>
      </c>
      <c r="AA124" s="17" t="str">
        <f aca="false">IF((E124="g"),H124," ")</f>
        <v> </v>
      </c>
      <c r="AB124" s="17" t="str">
        <f aca="false">IF((E124="h"),H124," ")</f>
        <v> </v>
      </c>
      <c r="AC124" s="30" t="str">
        <f aca="false">IF((E124="v"),H124," ")</f>
        <v> </v>
      </c>
      <c r="AD124" s="30" t="str">
        <f aca="false">IF((E124="n"),H124," ")</f>
        <v> </v>
      </c>
      <c r="AE124" s="17" t="str">
        <f aca="false">IF((E124="f"),H124," ")</f>
        <v> </v>
      </c>
      <c r="AF124" s="17" t="str">
        <f aca="false">IF((E124="l"),H124," ")</f>
        <v> </v>
      </c>
      <c r="AG124" s="17" t="str">
        <f aca="false">IF((E124="y"),H124," ")</f>
        <v> </v>
      </c>
      <c r="AH124" s="17" t="str">
        <f aca="false">IF((E124="z"),H124," ")</f>
        <v> </v>
      </c>
      <c r="AI124" s="17" t="str">
        <f aca="false">IF((E124="fa"),H124," ")</f>
        <v> </v>
      </c>
      <c r="AJ124" s="17" t="str">
        <f aca="false">IF((E124="e"),H124," ")</f>
        <v> </v>
      </c>
    </row>
    <row r="125" customFormat="false" ht="12" hidden="false" customHeight="false" outlineLevel="0" collapsed="false">
      <c r="A125" s="28"/>
      <c r="E125" s="2" t="str">
        <f aca="false">IF((F125&lt;&gt;0),"Enter Letter"," ")</f>
        <v> </v>
      </c>
      <c r="F125" s="30"/>
      <c r="G125" s="6" t="str">
        <f aca="false">IF(F125&lt;&gt;0,F125*G$2/(100+G$2)," ")</f>
        <v> </v>
      </c>
      <c r="H125" s="6" t="str">
        <f aca="false">IF((F125&lt;&gt;0),F125-G125," ")</f>
        <v> </v>
      </c>
      <c r="I125" s="5"/>
      <c r="L125" s="7" t="str">
        <f aca="false">IF(F125&lt;&gt;0,F125-K125," ")</f>
        <v> </v>
      </c>
      <c r="M125" s="8" t="str">
        <f aca="false">IF((F125-K125)&lt;&gt;0,M$1-A125," ")</f>
        <v> </v>
      </c>
      <c r="N125" s="5"/>
      <c r="O125" s="17" t="str">
        <f aca="false">IF((E125="s"),H125," ")</f>
        <v> </v>
      </c>
      <c r="P125" s="17" t="str">
        <f aca="false">IF((E125="c"),H125," ")</f>
        <v> </v>
      </c>
      <c r="Q125" s="17" t="str">
        <f aca="false">IF((E125="o"),H125," ")</f>
        <v> </v>
      </c>
      <c r="R125" s="17" t="str">
        <f aca="false">IF((E125="d"),H125," ")</f>
        <v> </v>
      </c>
      <c r="S125" s="17" t="str">
        <f aca="false">IF((E125="w"),H125," ")</f>
        <v> </v>
      </c>
      <c r="T125" s="17" t="str">
        <f aca="false">IF((E125="r"),H125," ")</f>
        <v> </v>
      </c>
      <c r="U125" s="17" t="str">
        <f aca="false">IF((E125="p"),H125," ")</f>
        <v> </v>
      </c>
      <c r="V125" s="17" t="str">
        <f aca="false">IF((E125="t"),H125," ")</f>
        <v> </v>
      </c>
      <c r="W125" s="17" t="str">
        <f aca="false">IF((E125="q"),H125," ")</f>
        <v> </v>
      </c>
      <c r="X125" s="17" t="str">
        <f aca="false">IF((E125="m"),H125," ")</f>
        <v> </v>
      </c>
      <c r="Y125" s="17" t="str">
        <f aca="false">IF((E125="u"),H125," ")</f>
        <v> </v>
      </c>
      <c r="Z125" s="17" t="str">
        <f aca="false">IF((E125="a"),H125," ")</f>
        <v> </v>
      </c>
      <c r="AA125" s="17" t="str">
        <f aca="false">IF((E125="g"),H125," ")</f>
        <v> </v>
      </c>
      <c r="AB125" s="17" t="str">
        <f aca="false">IF((E125="h"),H125," ")</f>
        <v> </v>
      </c>
      <c r="AC125" s="30" t="str">
        <f aca="false">IF((E125="v"),H125," ")</f>
        <v> </v>
      </c>
      <c r="AD125" s="30" t="str">
        <f aca="false">IF((E125="n"),H125," ")</f>
        <v> </v>
      </c>
      <c r="AE125" s="17" t="str">
        <f aca="false">IF((E125="f"),H125," ")</f>
        <v> </v>
      </c>
      <c r="AF125" s="17" t="str">
        <f aca="false">IF((E125="l"),H125," ")</f>
        <v> </v>
      </c>
      <c r="AG125" s="17" t="str">
        <f aca="false">IF((E125="y"),H125," ")</f>
        <v> </v>
      </c>
      <c r="AH125" s="17" t="str">
        <f aca="false">IF((E125="z"),H125," ")</f>
        <v> </v>
      </c>
      <c r="AI125" s="17" t="str">
        <f aca="false">IF((E125="fa"),H125," ")</f>
        <v> </v>
      </c>
      <c r="AJ125" s="17" t="str">
        <f aca="false">IF((E125="e"),H125," ")</f>
        <v> </v>
      </c>
    </row>
    <row r="126" customFormat="false" ht="12" hidden="false" customHeight="false" outlineLevel="0" collapsed="false">
      <c r="A126" s="28"/>
      <c r="E126" s="2" t="str">
        <f aca="false">IF((F126&lt;&gt;0),"Enter Letter"," ")</f>
        <v> </v>
      </c>
      <c r="F126" s="30"/>
      <c r="G126" s="6" t="str">
        <f aca="false">IF(F126&lt;&gt;0,F126*G$2/(100+G$2)," ")</f>
        <v> </v>
      </c>
      <c r="H126" s="6" t="str">
        <f aca="false">IF((F126&lt;&gt;0),F126-G126," ")</f>
        <v> </v>
      </c>
      <c r="I126" s="5"/>
      <c r="L126" s="7" t="str">
        <f aca="false">IF(F126&lt;&gt;0,F126-K126," ")</f>
        <v> </v>
      </c>
      <c r="M126" s="8" t="str">
        <f aca="false">IF((F126-K126)&lt;&gt;0,M$1-A126," ")</f>
        <v> </v>
      </c>
      <c r="N126" s="5"/>
      <c r="O126" s="17" t="str">
        <f aca="false">IF((E126="s"),H126," ")</f>
        <v> </v>
      </c>
      <c r="P126" s="17" t="str">
        <f aca="false">IF((E126="c"),H126," ")</f>
        <v> </v>
      </c>
      <c r="Q126" s="17" t="str">
        <f aca="false">IF((E126="o"),H126," ")</f>
        <v> </v>
      </c>
      <c r="R126" s="17" t="str">
        <f aca="false">IF((E126="d"),H126," ")</f>
        <v> </v>
      </c>
      <c r="S126" s="17" t="str">
        <f aca="false">IF((E126="w"),H126," ")</f>
        <v> </v>
      </c>
      <c r="T126" s="17" t="str">
        <f aca="false">IF((E126="r"),H126," ")</f>
        <v> </v>
      </c>
      <c r="U126" s="17" t="str">
        <f aca="false">IF((E126="p"),H126," ")</f>
        <v> </v>
      </c>
      <c r="V126" s="17" t="str">
        <f aca="false">IF((E126="t"),H126," ")</f>
        <v> </v>
      </c>
      <c r="W126" s="17" t="str">
        <f aca="false">IF((E126="q"),H126," ")</f>
        <v> </v>
      </c>
      <c r="X126" s="17" t="str">
        <f aca="false">IF((E126="m"),H126," ")</f>
        <v> </v>
      </c>
      <c r="Y126" s="17" t="str">
        <f aca="false">IF((E126="u"),H126," ")</f>
        <v> </v>
      </c>
      <c r="Z126" s="17" t="str">
        <f aca="false">IF((E126="a"),H126," ")</f>
        <v> </v>
      </c>
      <c r="AA126" s="17" t="str">
        <f aca="false">IF((E126="g"),H126," ")</f>
        <v> </v>
      </c>
      <c r="AB126" s="17" t="str">
        <f aca="false">IF((E126="h"),H126," ")</f>
        <v> </v>
      </c>
      <c r="AC126" s="30" t="str">
        <f aca="false">IF((E126="v"),H126," ")</f>
        <v> </v>
      </c>
      <c r="AD126" s="30" t="str">
        <f aca="false">IF((E126="n"),H126," ")</f>
        <v> </v>
      </c>
      <c r="AE126" s="17" t="str">
        <f aca="false">IF((E126="f"),H126," ")</f>
        <v> </v>
      </c>
      <c r="AF126" s="17" t="str">
        <f aca="false">IF((E126="l"),H126," ")</f>
        <v> </v>
      </c>
      <c r="AG126" s="17" t="str">
        <f aca="false">IF((E126="y"),H126," ")</f>
        <v> </v>
      </c>
      <c r="AH126" s="17" t="str">
        <f aca="false">IF((E126="z"),H126," ")</f>
        <v> </v>
      </c>
      <c r="AI126" s="17" t="str">
        <f aca="false">IF((E126="fa"),H126," ")</f>
        <v> </v>
      </c>
      <c r="AJ126" s="17" t="str">
        <f aca="false">IF((E126="e"),H126," ")</f>
        <v> </v>
      </c>
    </row>
    <row r="127" customFormat="false" ht="12" hidden="false" customHeight="false" outlineLevel="0" collapsed="false">
      <c r="A127" s="28"/>
      <c r="E127" s="2" t="str">
        <f aca="false">IF((F127&lt;&gt;0),"Enter Letter"," ")</f>
        <v> </v>
      </c>
      <c r="F127" s="30"/>
      <c r="G127" s="6" t="str">
        <f aca="false">IF(F127&lt;&gt;0,F127*G$2/(100+G$2)," ")</f>
        <v> </v>
      </c>
      <c r="H127" s="6" t="str">
        <f aca="false">IF((F127&lt;&gt;0),F127-G127," ")</f>
        <v> </v>
      </c>
      <c r="I127" s="5"/>
      <c r="L127" s="7" t="str">
        <f aca="false">IF(F127&lt;&gt;0,F127-K127," ")</f>
        <v> </v>
      </c>
      <c r="M127" s="8" t="str">
        <f aca="false">IF((F127-K127)&lt;&gt;0,M$1-A127," ")</f>
        <v> </v>
      </c>
      <c r="N127" s="5"/>
      <c r="O127" s="17" t="str">
        <f aca="false">IF((E127="s"),H127," ")</f>
        <v> </v>
      </c>
      <c r="P127" s="17" t="str">
        <f aca="false">IF((E127="c"),H127," ")</f>
        <v> </v>
      </c>
      <c r="Q127" s="17" t="str">
        <f aca="false">IF((E127="o"),H127," ")</f>
        <v> </v>
      </c>
      <c r="R127" s="17" t="str">
        <f aca="false">IF((E127="d"),H127," ")</f>
        <v> </v>
      </c>
      <c r="S127" s="17" t="str">
        <f aca="false">IF((E127="w"),H127," ")</f>
        <v> </v>
      </c>
      <c r="T127" s="17" t="str">
        <f aca="false">IF((E127="r"),H127," ")</f>
        <v> </v>
      </c>
      <c r="U127" s="17" t="str">
        <f aca="false">IF((E127="p"),H127," ")</f>
        <v> </v>
      </c>
      <c r="V127" s="17" t="str">
        <f aca="false">IF((E127="t"),H127," ")</f>
        <v> </v>
      </c>
      <c r="W127" s="17" t="str">
        <f aca="false">IF((E127="q"),H127," ")</f>
        <v> </v>
      </c>
      <c r="X127" s="17" t="str">
        <f aca="false">IF((E127="m"),H127," ")</f>
        <v> </v>
      </c>
      <c r="Y127" s="17" t="str">
        <f aca="false">IF((E127="u"),H127," ")</f>
        <v> </v>
      </c>
      <c r="Z127" s="17" t="str">
        <f aca="false">IF((E127="a"),H127," ")</f>
        <v> </v>
      </c>
      <c r="AA127" s="17" t="str">
        <f aca="false">IF((E127="g"),H127," ")</f>
        <v> </v>
      </c>
      <c r="AB127" s="17" t="str">
        <f aca="false">IF((E127="h"),H127," ")</f>
        <v> </v>
      </c>
      <c r="AC127" s="30" t="str">
        <f aca="false">IF((E127="v"),H127," ")</f>
        <v> </v>
      </c>
      <c r="AD127" s="30" t="str">
        <f aca="false">IF((E127="n"),H127," ")</f>
        <v> </v>
      </c>
      <c r="AE127" s="17" t="str">
        <f aca="false">IF((E127="f"),H127," ")</f>
        <v> </v>
      </c>
      <c r="AF127" s="17" t="str">
        <f aca="false">IF((E127="l"),H127," ")</f>
        <v> </v>
      </c>
      <c r="AG127" s="17" t="str">
        <f aca="false">IF((E127="y"),H127," ")</f>
        <v> </v>
      </c>
      <c r="AH127" s="17" t="str">
        <f aca="false">IF((E127="z"),H127," ")</f>
        <v> </v>
      </c>
      <c r="AI127" s="17" t="str">
        <f aca="false">IF((E127="fa"),H127," ")</f>
        <v> </v>
      </c>
      <c r="AJ127" s="17" t="str">
        <f aca="false">IF((E127="e"),H127," ")</f>
        <v> </v>
      </c>
    </row>
    <row r="128" customFormat="false" ht="12" hidden="false" customHeight="false" outlineLevel="0" collapsed="false">
      <c r="A128" s="28"/>
      <c r="E128" s="2" t="str">
        <f aca="false">IF((F128&lt;&gt;0),"Enter Letter"," ")</f>
        <v> </v>
      </c>
      <c r="F128" s="30"/>
      <c r="G128" s="6" t="str">
        <f aca="false">IF(F128&lt;&gt;0,F128*G$2/(100+G$2)," ")</f>
        <v> </v>
      </c>
      <c r="H128" s="6" t="str">
        <f aca="false">IF((F128&lt;&gt;0),F128-G128," ")</f>
        <v> </v>
      </c>
      <c r="I128" s="5"/>
      <c r="L128" s="7" t="str">
        <f aca="false">IF(F128&lt;&gt;0,F128-K128," ")</f>
        <v> </v>
      </c>
      <c r="M128" s="8" t="str">
        <f aca="false">IF((F128-K128)&lt;&gt;0,M$1-A128," ")</f>
        <v> </v>
      </c>
      <c r="N128" s="5"/>
      <c r="O128" s="17" t="str">
        <f aca="false">IF((E128="s"),H128," ")</f>
        <v> </v>
      </c>
      <c r="P128" s="17" t="str">
        <f aca="false">IF((E128="c"),H128," ")</f>
        <v> </v>
      </c>
      <c r="Q128" s="17" t="str">
        <f aca="false">IF((E128="o"),H128," ")</f>
        <v> </v>
      </c>
      <c r="R128" s="17" t="str">
        <f aca="false">IF((E128="d"),H128," ")</f>
        <v> </v>
      </c>
      <c r="S128" s="17" t="str">
        <f aca="false">IF((E128="w"),H128," ")</f>
        <v> </v>
      </c>
      <c r="T128" s="17" t="str">
        <f aca="false">IF((E128="r"),H128," ")</f>
        <v> </v>
      </c>
      <c r="U128" s="17" t="str">
        <f aca="false">IF((E128="p"),H128," ")</f>
        <v> </v>
      </c>
      <c r="V128" s="17" t="str">
        <f aca="false">IF((E128="t"),H128," ")</f>
        <v> </v>
      </c>
      <c r="W128" s="17" t="str">
        <f aca="false">IF((E128="q"),H128," ")</f>
        <v> </v>
      </c>
      <c r="X128" s="17" t="str">
        <f aca="false">IF((E128="m"),H128," ")</f>
        <v> </v>
      </c>
      <c r="Y128" s="17" t="str">
        <f aca="false">IF((E128="u"),H128," ")</f>
        <v> </v>
      </c>
      <c r="Z128" s="17" t="str">
        <f aca="false">IF((E128="a"),H128," ")</f>
        <v> </v>
      </c>
      <c r="AA128" s="17" t="str">
        <f aca="false">IF((E128="g"),H128," ")</f>
        <v> </v>
      </c>
      <c r="AB128" s="17" t="str">
        <f aca="false">IF((E128="h"),H128," ")</f>
        <v> </v>
      </c>
      <c r="AC128" s="30" t="str">
        <f aca="false">IF((E128="v"),H128," ")</f>
        <v> </v>
      </c>
      <c r="AD128" s="30" t="str">
        <f aca="false">IF((E128="n"),H128," ")</f>
        <v> </v>
      </c>
      <c r="AE128" s="17" t="str">
        <f aca="false">IF((E128="f"),H128," ")</f>
        <v> </v>
      </c>
      <c r="AF128" s="17" t="str">
        <f aca="false">IF((E128="l"),H128," ")</f>
        <v> </v>
      </c>
      <c r="AG128" s="17" t="str">
        <f aca="false">IF((E128="y"),H128," ")</f>
        <v> </v>
      </c>
      <c r="AH128" s="17" t="str">
        <f aca="false">IF((E128="z"),H128," ")</f>
        <v> </v>
      </c>
      <c r="AI128" s="17" t="str">
        <f aca="false">IF((E128="fa"),H128," ")</f>
        <v> </v>
      </c>
      <c r="AJ128" s="17" t="str">
        <f aca="false">IF((E128="e"),H128," ")</f>
        <v> </v>
      </c>
    </row>
    <row r="129" customFormat="false" ht="12" hidden="false" customHeight="false" outlineLevel="0" collapsed="false">
      <c r="A129" s="28"/>
      <c r="E129" s="2" t="str">
        <f aca="false">IF((F129&lt;&gt;0),"Enter Letter"," ")</f>
        <v> </v>
      </c>
      <c r="F129" s="30"/>
      <c r="G129" s="6" t="str">
        <f aca="false">IF(F129&lt;&gt;0,F129*G$2/(100+G$2)," ")</f>
        <v> </v>
      </c>
      <c r="H129" s="6" t="str">
        <f aca="false">IF((F129&lt;&gt;0),F129-G129," ")</f>
        <v> </v>
      </c>
      <c r="I129" s="5"/>
      <c r="L129" s="7" t="str">
        <f aca="false">IF(F129&lt;&gt;0,F129-K129," ")</f>
        <v> </v>
      </c>
      <c r="M129" s="8" t="str">
        <f aca="false">IF((F129-K129)&lt;&gt;0,M$1-A129," ")</f>
        <v> </v>
      </c>
      <c r="N129" s="5"/>
      <c r="O129" s="17" t="str">
        <f aca="false">IF((E129="s"),H129," ")</f>
        <v> </v>
      </c>
      <c r="P129" s="17" t="str">
        <f aca="false">IF((E129="c"),H129," ")</f>
        <v> </v>
      </c>
      <c r="Q129" s="17" t="str">
        <f aca="false">IF((E129="o"),H129," ")</f>
        <v> </v>
      </c>
      <c r="R129" s="17" t="str">
        <f aca="false">IF((E129="d"),H129," ")</f>
        <v> </v>
      </c>
      <c r="S129" s="17" t="str">
        <f aca="false">IF((E129="w"),H129," ")</f>
        <v> </v>
      </c>
      <c r="T129" s="17" t="str">
        <f aca="false">IF((E129="r"),H129," ")</f>
        <v> </v>
      </c>
      <c r="U129" s="17" t="str">
        <f aca="false">IF((E129="p"),H129," ")</f>
        <v> </v>
      </c>
      <c r="V129" s="17" t="str">
        <f aca="false">IF((E129="t"),H129," ")</f>
        <v> </v>
      </c>
      <c r="W129" s="17" t="str">
        <f aca="false">IF((E129="q"),H129," ")</f>
        <v> </v>
      </c>
      <c r="X129" s="17" t="str">
        <f aca="false">IF((E129="m"),H129," ")</f>
        <v> </v>
      </c>
      <c r="Y129" s="17" t="str">
        <f aca="false">IF((E129="u"),H129," ")</f>
        <v> </v>
      </c>
      <c r="Z129" s="17" t="str">
        <f aca="false">IF((E129="a"),H129," ")</f>
        <v> </v>
      </c>
      <c r="AA129" s="17" t="str">
        <f aca="false">IF((E129="g"),H129," ")</f>
        <v> </v>
      </c>
      <c r="AB129" s="17" t="str">
        <f aca="false">IF((E129="h"),H129," ")</f>
        <v> </v>
      </c>
      <c r="AC129" s="30" t="str">
        <f aca="false">IF((E129="v"),H129," ")</f>
        <v> </v>
      </c>
      <c r="AD129" s="30" t="str">
        <f aca="false">IF((E129="n"),H129," ")</f>
        <v> </v>
      </c>
      <c r="AE129" s="17" t="str">
        <f aca="false">IF((E129="f"),H129," ")</f>
        <v> </v>
      </c>
      <c r="AF129" s="17" t="str">
        <f aca="false">IF((E129="l"),H129," ")</f>
        <v> </v>
      </c>
      <c r="AG129" s="17" t="str">
        <f aca="false">IF((E129="y"),H129," ")</f>
        <v> </v>
      </c>
      <c r="AH129" s="17" t="str">
        <f aca="false">IF((E129="z"),H129," ")</f>
        <v> </v>
      </c>
      <c r="AI129" s="17" t="str">
        <f aca="false">IF((E129="fa"),H129," ")</f>
        <v> </v>
      </c>
      <c r="AJ129" s="17" t="str">
        <f aca="false">IF((E129="e"),H129," ")</f>
        <v> </v>
      </c>
    </row>
    <row r="130" customFormat="false" ht="12" hidden="false" customHeight="false" outlineLevel="0" collapsed="false">
      <c r="A130" s="28"/>
      <c r="E130" s="2" t="str">
        <f aca="false">IF((F130&lt;&gt;0),"Enter Letter"," ")</f>
        <v> </v>
      </c>
      <c r="F130" s="30"/>
      <c r="G130" s="6" t="str">
        <f aca="false">IF(F130&lt;&gt;0,F130*G$2/(100+G$2)," ")</f>
        <v> </v>
      </c>
      <c r="H130" s="6" t="str">
        <f aca="false">IF((F130&lt;&gt;0),F130-G130," ")</f>
        <v> </v>
      </c>
      <c r="I130" s="5"/>
      <c r="L130" s="7" t="str">
        <f aca="false">IF(F130&lt;&gt;0,F130-K130," ")</f>
        <v> </v>
      </c>
      <c r="M130" s="8" t="str">
        <f aca="false">IF((F130-K130)&lt;&gt;0,M$1-A130," ")</f>
        <v> </v>
      </c>
      <c r="N130" s="5"/>
      <c r="O130" s="17" t="str">
        <f aca="false">IF((E130="s"),H130," ")</f>
        <v> </v>
      </c>
      <c r="P130" s="17" t="str">
        <f aca="false">IF((E130="c"),H130," ")</f>
        <v> </v>
      </c>
      <c r="Q130" s="17" t="str">
        <f aca="false">IF((E130="o"),H130," ")</f>
        <v> </v>
      </c>
      <c r="R130" s="17" t="str">
        <f aca="false">IF((E130="d"),H130," ")</f>
        <v> </v>
      </c>
      <c r="S130" s="17" t="str">
        <f aca="false">IF((E130="w"),H130," ")</f>
        <v> </v>
      </c>
      <c r="T130" s="17" t="str">
        <f aca="false">IF((E130="r"),H130," ")</f>
        <v> </v>
      </c>
      <c r="U130" s="17" t="str">
        <f aca="false">IF((E130="p"),H130," ")</f>
        <v> </v>
      </c>
      <c r="V130" s="17" t="str">
        <f aca="false">IF((E130="t"),H130," ")</f>
        <v> </v>
      </c>
      <c r="W130" s="17" t="str">
        <f aca="false">IF((E130="q"),H130," ")</f>
        <v> </v>
      </c>
      <c r="X130" s="17" t="str">
        <f aca="false">IF((E130="m"),H130," ")</f>
        <v> </v>
      </c>
      <c r="Y130" s="17" t="str">
        <f aca="false">IF((E130="u"),H130," ")</f>
        <v> </v>
      </c>
      <c r="Z130" s="17" t="str">
        <f aca="false">IF((E130="a"),H130," ")</f>
        <v> </v>
      </c>
      <c r="AA130" s="17" t="str">
        <f aca="false">IF((E130="g"),H130," ")</f>
        <v> </v>
      </c>
      <c r="AB130" s="17" t="str">
        <f aca="false">IF((E130="h"),H130," ")</f>
        <v> </v>
      </c>
      <c r="AC130" s="30" t="str">
        <f aca="false">IF((E130="v"),H130," ")</f>
        <v> </v>
      </c>
      <c r="AD130" s="30" t="str">
        <f aca="false">IF((E130="n"),H130," ")</f>
        <v> </v>
      </c>
      <c r="AE130" s="17" t="str">
        <f aca="false">IF((E130="f"),H130," ")</f>
        <v> </v>
      </c>
      <c r="AF130" s="17" t="str">
        <f aca="false">IF((E130="l"),H130," ")</f>
        <v> </v>
      </c>
      <c r="AG130" s="17" t="str">
        <f aca="false">IF((E130="y"),H130," ")</f>
        <v> </v>
      </c>
      <c r="AH130" s="17" t="str">
        <f aca="false">IF((E130="z"),H130," ")</f>
        <v> </v>
      </c>
      <c r="AI130" s="17" t="str">
        <f aca="false">IF((E130="fa"),H130," ")</f>
        <v> </v>
      </c>
      <c r="AJ130" s="17" t="str">
        <f aca="false">IF((E130="e"),H130," ")</f>
        <v> </v>
      </c>
    </row>
    <row r="131" customFormat="false" ht="12" hidden="false" customHeight="false" outlineLevel="0" collapsed="false">
      <c r="A131" s="28"/>
      <c r="E131" s="2" t="str">
        <f aca="false">IF((F131&lt;&gt;0),"Enter Letter"," ")</f>
        <v> </v>
      </c>
      <c r="F131" s="30"/>
      <c r="G131" s="6" t="str">
        <f aca="false">IF(F131&lt;&gt;0,F131*G$2/(100+G$2)," ")</f>
        <v> </v>
      </c>
      <c r="H131" s="6" t="str">
        <f aca="false">IF((F131&lt;&gt;0),F131-G131," ")</f>
        <v> </v>
      </c>
      <c r="I131" s="5"/>
      <c r="L131" s="7" t="str">
        <f aca="false">IF(F131&lt;&gt;0,F131-K131," ")</f>
        <v> </v>
      </c>
      <c r="M131" s="8" t="str">
        <f aca="false">IF((F131-K131)&lt;&gt;0,M$1-A131," ")</f>
        <v> </v>
      </c>
      <c r="N131" s="5"/>
      <c r="O131" s="17" t="str">
        <f aca="false">IF((E131="s"),H131," ")</f>
        <v> </v>
      </c>
      <c r="P131" s="17" t="str">
        <f aca="false">IF((E131="c"),H131," ")</f>
        <v> </v>
      </c>
      <c r="Q131" s="17" t="str">
        <f aca="false">IF((E131="o"),H131," ")</f>
        <v> </v>
      </c>
      <c r="R131" s="17" t="str">
        <f aca="false">IF((E131="d"),H131," ")</f>
        <v> </v>
      </c>
      <c r="S131" s="17" t="str">
        <f aca="false">IF((E131="w"),H131," ")</f>
        <v> </v>
      </c>
      <c r="T131" s="17" t="str">
        <f aca="false">IF((E131="r"),H131," ")</f>
        <v> </v>
      </c>
      <c r="U131" s="17" t="str">
        <f aca="false">IF((E131="p"),H131," ")</f>
        <v> </v>
      </c>
      <c r="V131" s="17" t="str">
        <f aca="false">IF((E131="t"),H131," ")</f>
        <v> </v>
      </c>
      <c r="W131" s="17" t="str">
        <f aca="false">IF((E131="q"),H131," ")</f>
        <v> </v>
      </c>
      <c r="X131" s="17" t="str">
        <f aca="false">IF((E131="m"),H131," ")</f>
        <v> </v>
      </c>
      <c r="Y131" s="17" t="str">
        <f aca="false">IF((E131="u"),H131," ")</f>
        <v> </v>
      </c>
      <c r="Z131" s="17" t="str">
        <f aca="false">IF((E131="a"),H131," ")</f>
        <v> </v>
      </c>
      <c r="AA131" s="17" t="str">
        <f aca="false">IF((E131="g"),H131," ")</f>
        <v> </v>
      </c>
      <c r="AB131" s="17" t="str">
        <f aca="false">IF((E131="h"),H131," ")</f>
        <v> </v>
      </c>
      <c r="AC131" s="30" t="str">
        <f aca="false">IF((E131="v"),H131," ")</f>
        <v> </v>
      </c>
      <c r="AD131" s="30" t="str">
        <f aca="false">IF((E131="n"),H131," ")</f>
        <v> </v>
      </c>
      <c r="AE131" s="17" t="str">
        <f aca="false">IF((E131="f"),H131," ")</f>
        <v> </v>
      </c>
      <c r="AF131" s="17" t="str">
        <f aca="false">IF((E131="l"),H131," ")</f>
        <v> </v>
      </c>
      <c r="AG131" s="17" t="str">
        <f aca="false">IF((E131="y"),H131," ")</f>
        <v> </v>
      </c>
      <c r="AH131" s="17" t="str">
        <f aca="false">IF((E131="z"),H131," ")</f>
        <v> </v>
      </c>
      <c r="AI131" s="17" t="str">
        <f aca="false">IF((E131="fa"),H131," ")</f>
        <v> </v>
      </c>
      <c r="AJ131" s="17" t="str">
        <f aca="false">IF((E131="e"),H131," ")</f>
        <v> </v>
      </c>
    </row>
    <row r="132" customFormat="false" ht="12" hidden="false" customHeight="false" outlineLevel="0" collapsed="false">
      <c r="A132" s="28"/>
      <c r="E132" s="2" t="str">
        <f aca="false">IF((F132&lt;&gt;0),"Enter Letter"," ")</f>
        <v> </v>
      </c>
      <c r="F132" s="30"/>
      <c r="G132" s="6" t="str">
        <f aca="false">IF(F132&lt;&gt;0,F132*G$2/(100+G$2)," ")</f>
        <v> </v>
      </c>
      <c r="H132" s="6" t="str">
        <f aca="false">IF((F132&lt;&gt;0),F132-G132," ")</f>
        <v> </v>
      </c>
      <c r="I132" s="5"/>
      <c r="L132" s="7" t="str">
        <f aca="false">IF(F132&lt;&gt;0,F132-K132," ")</f>
        <v> </v>
      </c>
      <c r="M132" s="8" t="str">
        <f aca="false">IF((F132-K132)&lt;&gt;0,M$1-A132," ")</f>
        <v> </v>
      </c>
      <c r="N132" s="5"/>
      <c r="O132" s="17" t="str">
        <f aca="false">IF((E132="s"),H132," ")</f>
        <v> </v>
      </c>
      <c r="P132" s="17" t="str">
        <f aca="false">IF((E132="c"),H132," ")</f>
        <v> </v>
      </c>
      <c r="Q132" s="17" t="str">
        <f aca="false">IF((E132="o"),H132," ")</f>
        <v> </v>
      </c>
      <c r="R132" s="17" t="str">
        <f aca="false">IF((E132="d"),H132," ")</f>
        <v> </v>
      </c>
      <c r="S132" s="17" t="str">
        <f aca="false">IF((E132="w"),H132," ")</f>
        <v> </v>
      </c>
      <c r="T132" s="17" t="str">
        <f aca="false">IF((E132="r"),H132," ")</f>
        <v> </v>
      </c>
      <c r="U132" s="17" t="str">
        <f aca="false">IF((E132="p"),H132," ")</f>
        <v> </v>
      </c>
      <c r="V132" s="17" t="str">
        <f aca="false">IF((E132="t"),H132," ")</f>
        <v> </v>
      </c>
      <c r="W132" s="17" t="str">
        <f aca="false">IF((E132="q"),H132," ")</f>
        <v> </v>
      </c>
      <c r="X132" s="17" t="str">
        <f aca="false">IF((E132="m"),H132," ")</f>
        <v> </v>
      </c>
      <c r="Y132" s="17" t="str">
        <f aca="false">IF((E132="u"),H132," ")</f>
        <v> </v>
      </c>
      <c r="Z132" s="17" t="str">
        <f aca="false">IF((E132="a"),H132," ")</f>
        <v> </v>
      </c>
      <c r="AA132" s="17" t="str">
        <f aca="false">IF((E132="g"),H132," ")</f>
        <v> </v>
      </c>
      <c r="AB132" s="17" t="str">
        <f aca="false">IF((E132="h"),H132," ")</f>
        <v> </v>
      </c>
      <c r="AC132" s="30" t="str">
        <f aca="false">IF((E132="v"),H132," ")</f>
        <v> </v>
      </c>
      <c r="AD132" s="30" t="str">
        <f aca="false">IF((E132="n"),H132," ")</f>
        <v> </v>
      </c>
      <c r="AE132" s="17" t="str">
        <f aca="false">IF((E132="f"),H132," ")</f>
        <v> </v>
      </c>
      <c r="AF132" s="17" t="str">
        <f aca="false">IF((E132="l"),H132," ")</f>
        <v> </v>
      </c>
      <c r="AG132" s="17" t="str">
        <f aca="false">IF((E132="y"),H132," ")</f>
        <v> </v>
      </c>
      <c r="AH132" s="17" t="str">
        <f aca="false">IF((E132="z"),H132," ")</f>
        <v> </v>
      </c>
      <c r="AI132" s="17" t="str">
        <f aca="false">IF((E132="fa"),H132," ")</f>
        <v> </v>
      </c>
      <c r="AJ132" s="17" t="str">
        <f aca="false">IF((E132="e"),H132," ")</f>
        <v> </v>
      </c>
    </row>
    <row r="133" customFormat="false" ht="12" hidden="false" customHeight="false" outlineLevel="0" collapsed="false">
      <c r="A133" s="28"/>
      <c r="E133" s="2" t="str">
        <f aca="false">IF((F133&lt;&gt;0),"Enter Letter"," ")</f>
        <v> </v>
      </c>
      <c r="F133" s="30"/>
      <c r="G133" s="6" t="str">
        <f aca="false">IF(F133&lt;&gt;0,F133*G$2/(100+G$2)," ")</f>
        <v> </v>
      </c>
      <c r="H133" s="6" t="str">
        <f aca="false">IF((F133&lt;&gt;0),F133-G133," ")</f>
        <v> </v>
      </c>
      <c r="I133" s="5"/>
      <c r="L133" s="7" t="str">
        <f aca="false">IF(F133&lt;&gt;0,F133-K133," ")</f>
        <v> </v>
      </c>
      <c r="M133" s="8" t="str">
        <f aca="false">IF((F133-K133)&lt;&gt;0,M$1-A133," ")</f>
        <v> </v>
      </c>
      <c r="N133" s="5"/>
      <c r="O133" s="17" t="str">
        <f aca="false">IF((E133="s"),H133," ")</f>
        <v> </v>
      </c>
      <c r="P133" s="17" t="str">
        <f aca="false">IF((E133="c"),H133," ")</f>
        <v> </v>
      </c>
      <c r="Q133" s="17" t="str">
        <f aca="false">IF((E133="o"),H133," ")</f>
        <v> </v>
      </c>
      <c r="R133" s="17" t="str">
        <f aca="false">IF((E133="d"),H133," ")</f>
        <v> </v>
      </c>
      <c r="S133" s="17" t="str">
        <f aca="false">IF((E133="w"),H133," ")</f>
        <v> </v>
      </c>
      <c r="T133" s="17" t="str">
        <f aca="false">IF((E133="r"),H133," ")</f>
        <v> </v>
      </c>
      <c r="U133" s="17" t="str">
        <f aca="false">IF((E133="p"),H133," ")</f>
        <v> </v>
      </c>
      <c r="V133" s="17" t="str">
        <f aca="false">IF((E133="t"),H133," ")</f>
        <v> </v>
      </c>
      <c r="W133" s="17" t="str">
        <f aca="false">IF((E133="q"),H133," ")</f>
        <v> </v>
      </c>
      <c r="X133" s="17" t="str">
        <f aca="false">IF((E133="m"),H133," ")</f>
        <v> </v>
      </c>
      <c r="Y133" s="17" t="str">
        <f aca="false">IF((E133="u"),H133," ")</f>
        <v> </v>
      </c>
      <c r="Z133" s="17" t="str">
        <f aca="false">IF((E133="a"),H133," ")</f>
        <v> </v>
      </c>
      <c r="AA133" s="17" t="str">
        <f aca="false">IF((E133="g"),H133," ")</f>
        <v> </v>
      </c>
      <c r="AB133" s="17" t="str">
        <f aca="false">IF((E133="h"),H133," ")</f>
        <v> </v>
      </c>
      <c r="AC133" s="30" t="str">
        <f aca="false">IF((E133="v"),H133," ")</f>
        <v> </v>
      </c>
      <c r="AD133" s="30" t="str">
        <f aca="false">IF((E133="n"),H133," ")</f>
        <v> </v>
      </c>
      <c r="AE133" s="17" t="str">
        <f aca="false">IF((E133="f"),H133," ")</f>
        <v> </v>
      </c>
      <c r="AF133" s="17" t="str">
        <f aca="false">IF((E133="l"),H133," ")</f>
        <v> </v>
      </c>
      <c r="AG133" s="17" t="str">
        <f aca="false">IF((E133="y"),H133," ")</f>
        <v> </v>
      </c>
      <c r="AH133" s="17" t="str">
        <f aca="false">IF((E133="z"),H133," ")</f>
        <v> </v>
      </c>
      <c r="AI133" s="17" t="str">
        <f aca="false">IF((E133="fa"),H133," ")</f>
        <v> </v>
      </c>
      <c r="AJ133" s="17" t="str">
        <f aca="false">IF((E133="e"),H133," ")</f>
        <v> </v>
      </c>
    </row>
    <row r="134" customFormat="false" ht="12" hidden="false" customHeight="false" outlineLevel="0" collapsed="false">
      <c r="A134" s="28"/>
      <c r="E134" s="2" t="str">
        <f aca="false">IF((F134&lt;&gt;0),"Enter Letter"," ")</f>
        <v> </v>
      </c>
      <c r="F134" s="30"/>
      <c r="G134" s="6" t="str">
        <f aca="false">IF(F134&lt;&gt;0,F134*G$2/(100+G$2)," ")</f>
        <v> </v>
      </c>
      <c r="H134" s="6" t="str">
        <f aca="false">IF((F134&lt;&gt;0),F134-G134," ")</f>
        <v> </v>
      </c>
      <c r="I134" s="5"/>
      <c r="L134" s="7" t="str">
        <f aca="false">IF(F134&lt;&gt;0,F134-K134," ")</f>
        <v> </v>
      </c>
      <c r="M134" s="8" t="str">
        <f aca="false">IF((F134-K134)&lt;&gt;0,M$1-A134," ")</f>
        <v> </v>
      </c>
      <c r="N134" s="5"/>
      <c r="O134" s="17" t="str">
        <f aca="false">IF((E134="s"),H134," ")</f>
        <v> </v>
      </c>
      <c r="P134" s="17" t="str">
        <f aca="false">IF((E134="c"),H134," ")</f>
        <v> </v>
      </c>
      <c r="Q134" s="17" t="str">
        <f aca="false">IF((E134="o"),H134," ")</f>
        <v> </v>
      </c>
      <c r="R134" s="17" t="str">
        <f aca="false">IF((E134="d"),H134," ")</f>
        <v> </v>
      </c>
      <c r="S134" s="17" t="str">
        <f aca="false">IF((E134="w"),H134," ")</f>
        <v> </v>
      </c>
      <c r="T134" s="17" t="str">
        <f aca="false">IF((E134="r"),H134," ")</f>
        <v> </v>
      </c>
      <c r="U134" s="17" t="str">
        <f aca="false">IF((E134="p"),H134," ")</f>
        <v> </v>
      </c>
      <c r="V134" s="17" t="str">
        <f aca="false">IF((E134="t"),H134," ")</f>
        <v> </v>
      </c>
      <c r="W134" s="17" t="str">
        <f aca="false">IF((E134="q"),H134," ")</f>
        <v> </v>
      </c>
      <c r="X134" s="17" t="str">
        <f aca="false">IF((E134="m"),H134," ")</f>
        <v> </v>
      </c>
      <c r="Y134" s="17" t="str">
        <f aca="false">IF((E134="u"),H134," ")</f>
        <v> </v>
      </c>
      <c r="Z134" s="17" t="str">
        <f aca="false">IF((E134="a"),H134," ")</f>
        <v> </v>
      </c>
      <c r="AA134" s="17" t="str">
        <f aca="false">IF((E134="g"),H134," ")</f>
        <v> </v>
      </c>
      <c r="AB134" s="17" t="str">
        <f aca="false">IF((E134="h"),H134," ")</f>
        <v> </v>
      </c>
      <c r="AC134" s="30" t="str">
        <f aca="false">IF((E134="v"),H134," ")</f>
        <v> </v>
      </c>
      <c r="AD134" s="30" t="str">
        <f aca="false">IF((E134="n"),H134," ")</f>
        <v> </v>
      </c>
      <c r="AE134" s="17" t="str">
        <f aca="false">IF((E134="f"),H134," ")</f>
        <v> </v>
      </c>
      <c r="AF134" s="17" t="str">
        <f aca="false">IF((E134="l"),H134," ")</f>
        <v> </v>
      </c>
      <c r="AG134" s="17" t="str">
        <f aca="false">IF((E134="y"),H134," ")</f>
        <v> </v>
      </c>
      <c r="AH134" s="17" t="str">
        <f aca="false">IF((E134="z"),H134," ")</f>
        <v> </v>
      </c>
      <c r="AI134" s="17" t="str">
        <f aca="false">IF((E134="fa"),H134," ")</f>
        <v> </v>
      </c>
      <c r="AJ134" s="17" t="str">
        <f aca="false">IF((E134="e"),H134," ")</f>
        <v> </v>
      </c>
    </row>
    <row r="135" customFormat="false" ht="12" hidden="false" customHeight="false" outlineLevel="0" collapsed="false">
      <c r="A135" s="28"/>
      <c r="E135" s="2" t="str">
        <f aca="false">IF((F135&lt;&gt;0),"Enter Letter"," ")</f>
        <v> </v>
      </c>
      <c r="F135" s="30"/>
      <c r="G135" s="6" t="str">
        <f aca="false">IF(F135&lt;&gt;0,F135*G$2/(100+G$2)," ")</f>
        <v> </v>
      </c>
      <c r="H135" s="6" t="str">
        <f aca="false">IF((F135&lt;&gt;0),F135-G135," ")</f>
        <v> </v>
      </c>
      <c r="I135" s="5"/>
      <c r="L135" s="7" t="str">
        <f aca="false">IF(F135&lt;&gt;0,F135-K135," ")</f>
        <v> </v>
      </c>
      <c r="M135" s="8" t="str">
        <f aca="false">IF((F135-K135)&lt;&gt;0,M$1-A135," ")</f>
        <v> </v>
      </c>
      <c r="N135" s="5"/>
      <c r="O135" s="17" t="str">
        <f aca="false">IF((E135="s"),H135," ")</f>
        <v> </v>
      </c>
      <c r="P135" s="17" t="str">
        <f aca="false">IF((E135="c"),H135," ")</f>
        <v> </v>
      </c>
      <c r="Q135" s="17" t="str">
        <f aca="false">IF((E135="o"),H135," ")</f>
        <v> </v>
      </c>
      <c r="R135" s="17" t="str">
        <f aca="false">IF((E135="d"),H135," ")</f>
        <v> </v>
      </c>
      <c r="S135" s="17" t="str">
        <f aca="false">IF((E135="w"),H135," ")</f>
        <v> </v>
      </c>
      <c r="T135" s="17" t="str">
        <f aca="false">IF((E135="r"),H135," ")</f>
        <v> </v>
      </c>
      <c r="U135" s="17" t="str">
        <f aca="false">IF((E135="p"),H135," ")</f>
        <v> </v>
      </c>
      <c r="V135" s="17" t="str">
        <f aca="false">IF((E135="t"),H135," ")</f>
        <v> </v>
      </c>
      <c r="W135" s="17" t="str">
        <f aca="false">IF((E135="q"),H135," ")</f>
        <v> </v>
      </c>
      <c r="X135" s="17" t="str">
        <f aca="false">IF((E135="m"),H135," ")</f>
        <v> </v>
      </c>
      <c r="Y135" s="17" t="str">
        <f aca="false">IF((E135="u"),H135," ")</f>
        <v> </v>
      </c>
      <c r="Z135" s="17" t="str">
        <f aca="false">IF((E135="a"),H135," ")</f>
        <v> </v>
      </c>
      <c r="AA135" s="17" t="str">
        <f aca="false">IF((E135="g"),H135," ")</f>
        <v> </v>
      </c>
      <c r="AB135" s="17" t="str">
        <f aca="false">IF((E135="h"),H135," ")</f>
        <v> </v>
      </c>
      <c r="AC135" s="30" t="str">
        <f aca="false">IF((E135="v"),H135," ")</f>
        <v> </v>
      </c>
      <c r="AD135" s="30" t="str">
        <f aca="false">IF((E135="n"),H135," ")</f>
        <v> </v>
      </c>
      <c r="AE135" s="17" t="str">
        <f aca="false">IF((E135="f"),H135," ")</f>
        <v> </v>
      </c>
      <c r="AF135" s="17" t="str">
        <f aca="false">IF((E135="l"),H135," ")</f>
        <v> </v>
      </c>
      <c r="AG135" s="17" t="str">
        <f aca="false">IF((E135="y"),H135," ")</f>
        <v> </v>
      </c>
      <c r="AH135" s="17" t="str">
        <f aca="false">IF((E135="z"),H135," ")</f>
        <v> </v>
      </c>
      <c r="AI135" s="17" t="str">
        <f aca="false">IF((E135="fa"),H135," ")</f>
        <v> </v>
      </c>
      <c r="AJ135" s="17" t="str">
        <f aca="false">IF((E135="e"),H135," ")</f>
        <v> </v>
      </c>
    </row>
    <row r="136" customFormat="false" ht="12" hidden="false" customHeight="false" outlineLevel="0" collapsed="false">
      <c r="A136" s="28"/>
      <c r="E136" s="2" t="str">
        <f aca="false">IF((F136&lt;&gt;0),"Enter Letter"," ")</f>
        <v> </v>
      </c>
      <c r="F136" s="30"/>
      <c r="G136" s="6" t="str">
        <f aca="false">IF(F136&lt;&gt;0,F136*G$2/(100+G$2)," ")</f>
        <v> </v>
      </c>
      <c r="H136" s="6" t="str">
        <f aca="false">IF((F136&lt;&gt;0),F136-G136," ")</f>
        <v> </v>
      </c>
      <c r="I136" s="5"/>
      <c r="L136" s="7" t="str">
        <f aca="false">IF(F136&lt;&gt;0,F136-K136," ")</f>
        <v> </v>
      </c>
      <c r="M136" s="8" t="str">
        <f aca="false">IF((F136-K136)&lt;&gt;0,M$1-A136," ")</f>
        <v> </v>
      </c>
      <c r="N136" s="5"/>
      <c r="O136" s="17" t="str">
        <f aca="false">IF((E136="s"),H136," ")</f>
        <v> </v>
      </c>
      <c r="P136" s="17" t="str">
        <f aca="false">IF((E136="c"),H136," ")</f>
        <v> </v>
      </c>
      <c r="Q136" s="17" t="str">
        <f aca="false">IF((E136="o"),H136," ")</f>
        <v> </v>
      </c>
      <c r="R136" s="17" t="str">
        <f aca="false">IF((E136="d"),H136," ")</f>
        <v> </v>
      </c>
      <c r="S136" s="17" t="str">
        <f aca="false">IF((E136="w"),H136," ")</f>
        <v> </v>
      </c>
      <c r="T136" s="17" t="str">
        <f aca="false">IF((E136="r"),H136," ")</f>
        <v> </v>
      </c>
      <c r="U136" s="17" t="str">
        <f aca="false">IF((E136="p"),H136," ")</f>
        <v> </v>
      </c>
      <c r="V136" s="17" t="str">
        <f aca="false">IF((E136="t"),H136," ")</f>
        <v> </v>
      </c>
      <c r="W136" s="17" t="str">
        <f aca="false">IF((E136="q"),H136," ")</f>
        <v> </v>
      </c>
      <c r="X136" s="17" t="str">
        <f aca="false">IF((E136="m"),H136," ")</f>
        <v> </v>
      </c>
      <c r="Y136" s="17" t="str">
        <f aca="false">IF((E136="u"),H136," ")</f>
        <v> </v>
      </c>
      <c r="Z136" s="17" t="str">
        <f aca="false">IF((E136="a"),H136," ")</f>
        <v> </v>
      </c>
      <c r="AA136" s="17" t="str">
        <f aca="false">IF((E136="g"),H136," ")</f>
        <v> </v>
      </c>
      <c r="AB136" s="17" t="str">
        <f aca="false">IF((E136="h"),H136," ")</f>
        <v> </v>
      </c>
      <c r="AC136" s="30" t="str">
        <f aca="false">IF((E136="v"),H136," ")</f>
        <v> </v>
      </c>
      <c r="AD136" s="30" t="str">
        <f aca="false">IF((E136="n"),H136," ")</f>
        <v> </v>
      </c>
      <c r="AE136" s="17" t="str">
        <f aca="false">IF((E136="f"),H136," ")</f>
        <v> </v>
      </c>
      <c r="AF136" s="17" t="str">
        <f aca="false">IF((E136="l"),H136," ")</f>
        <v> </v>
      </c>
      <c r="AG136" s="17" t="str">
        <f aca="false">IF((E136="y"),H136," ")</f>
        <v> </v>
      </c>
      <c r="AH136" s="17" t="str">
        <f aca="false">IF((E136="z"),H136," ")</f>
        <v> </v>
      </c>
      <c r="AI136" s="17" t="str">
        <f aca="false">IF((E136="fa"),H136," ")</f>
        <v> </v>
      </c>
      <c r="AJ136" s="17" t="str">
        <f aca="false">IF((E136="e"),H136," ")</f>
        <v> </v>
      </c>
    </row>
    <row r="137" customFormat="false" ht="12" hidden="false" customHeight="false" outlineLevel="0" collapsed="false">
      <c r="A137" s="28"/>
      <c r="E137" s="2" t="str">
        <f aca="false">IF((F137&lt;&gt;0),"Enter Letter"," ")</f>
        <v> </v>
      </c>
      <c r="F137" s="30"/>
      <c r="G137" s="6" t="str">
        <f aca="false">IF(F137&lt;&gt;0,F137*G$2/(100+G$2)," ")</f>
        <v> </v>
      </c>
      <c r="H137" s="6" t="str">
        <f aca="false">IF((F137&lt;&gt;0),F137-G137," ")</f>
        <v> </v>
      </c>
      <c r="I137" s="5"/>
      <c r="L137" s="7" t="str">
        <f aca="false">IF(F137&lt;&gt;0,F137-K137," ")</f>
        <v> </v>
      </c>
      <c r="M137" s="8" t="str">
        <f aca="false">IF((F137-K137)&lt;&gt;0,M$1-A137," ")</f>
        <v> </v>
      </c>
      <c r="N137" s="5"/>
      <c r="O137" s="17" t="str">
        <f aca="false">IF((E137="s"),H137," ")</f>
        <v> </v>
      </c>
      <c r="P137" s="17" t="str">
        <f aca="false">IF((E137="c"),H137," ")</f>
        <v> </v>
      </c>
      <c r="Q137" s="17" t="str">
        <f aca="false">IF((E137="o"),H137," ")</f>
        <v> </v>
      </c>
      <c r="R137" s="17" t="str">
        <f aca="false">IF((E137="d"),H137," ")</f>
        <v> </v>
      </c>
      <c r="S137" s="17" t="str">
        <f aca="false">IF((E137="w"),H137," ")</f>
        <v> </v>
      </c>
      <c r="T137" s="17" t="str">
        <f aca="false">IF((E137="r"),H137," ")</f>
        <v> </v>
      </c>
      <c r="U137" s="17" t="str">
        <f aca="false">IF((E137="p"),H137," ")</f>
        <v> </v>
      </c>
      <c r="V137" s="17" t="str">
        <f aca="false">IF((E137="t"),H137," ")</f>
        <v> </v>
      </c>
      <c r="W137" s="17" t="str">
        <f aca="false">IF((E137="q"),H137," ")</f>
        <v> </v>
      </c>
      <c r="X137" s="17" t="str">
        <f aca="false">IF((E137="m"),H137," ")</f>
        <v> </v>
      </c>
      <c r="Y137" s="17" t="str">
        <f aca="false">IF((E137="u"),H137," ")</f>
        <v> </v>
      </c>
      <c r="Z137" s="17" t="str">
        <f aca="false">IF((E137="a"),H137," ")</f>
        <v> </v>
      </c>
      <c r="AA137" s="17" t="str">
        <f aca="false">IF((E137="g"),H137," ")</f>
        <v> </v>
      </c>
      <c r="AB137" s="17" t="str">
        <f aca="false">IF((E137="h"),H137," ")</f>
        <v> </v>
      </c>
      <c r="AC137" s="30" t="str">
        <f aca="false">IF((E137="v"),H137," ")</f>
        <v> </v>
      </c>
      <c r="AD137" s="30" t="str">
        <f aca="false">IF((E137="n"),H137," ")</f>
        <v> </v>
      </c>
      <c r="AE137" s="17" t="str">
        <f aca="false">IF((E137="f"),H137," ")</f>
        <v> </v>
      </c>
      <c r="AF137" s="17" t="str">
        <f aca="false">IF((E137="l"),H137," ")</f>
        <v> </v>
      </c>
      <c r="AG137" s="17" t="str">
        <f aca="false">IF((E137="y"),H137," ")</f>
        <v> </v>
      </c>
      <c r="AH137" s="17" t="str">
        <f aca="false">IF((E137="z"),H137," ")</f>
        <v> </v>
      </c>
      <c r="AI137" s="17" t="str">
        <f aca="false">IF((E137="fa"),H137," ")</f>
        <v> </v>
      </c>
      <c r="AJ137" s="17" t="str">
        <f aca="false">IF((E137="e"),H137," ")</f>
        <v> </v>
      </c>
    </row>
    <row r="138" customFormat="false" ht="12" hidden="false" customHeight="false" outlineLevel="0" collapsed="false">
      <c r="A138" s="28"/>
      <c r="E138" s="2" t="str">
        <f aca="false">IF((F138&lt;&gt;0),"Enter Letter"," ")</f>
        <v> </v>
      </c>
      <c r="F138" s="30"/>
      <c r="G138" s="6" t="str">
        <f aca="false">IF(F138&lt;&gt;0,F138*G$2/(100+G$2)," ")</f>
        <v> </v>
      </c>
      <c r="H138" s="6" t="str">
        <f aca="false">IF((F138&lt;&gt;0),F138-G138," ")</f>
        <v> </v>
      </c>
      <c r="I138" s="5"/>
      <c r="L138" s="7" t="str">
        <f aca="false">IF(F138&lt;&gt;0,F138-K138," ")</f>
        <v> </v>
      </c>
      <c r="M138" s="8" t="str">
        <f aca="false">IF((F138-K138)&lt;&gt;0,M$1-A138," ")</f>
        <v> </v>
      </c>
      <c r="N138" s="5"/>
      <c r="O138" s="17" t="str">
        <f aca="false">IF((E138="s"),H138," ")</f>
        <v> </v>
      </c>
      <c r="P138" s="17" t="str">
        <f aca="false">IF((E138="c"),H138," ")</f>
        <v> </v>
      </c>
      <c r="Q138" s="17" t="str">
        <f aca="false">IF((E138="o"),H138," ")</f>
        <v> </v>
      </c>
      <c r="R138" s="17" t="str">
        <f aca="false">IF((E138="d"),H138," ")</f>
        <v> </v>
      </c>
      <c r="S138" s="17" t="str">
        <f aca="false">IF((E138="w"),H138," ")</f>
        <v> </v>
      </c>
      <c r="T138" s="17" t="str">
        <f aca="false">IF((E138="r"),H138," ")</f>
        <v> </v>
      </c>
      <c r="U138" s="17" t="str">
        <f aca="false">IF((E138="p"),H138," ")</f>
        <v> </v>
      </c>
      <c r="V138" s="17" t="str">
        <f aca="false">IF((E138="t"),H138," ")</f>
        <v> </v>
      </c>
      <c r="W138" s="17" t="str">
        <f aca="false">IF((E138="q"),H138," ")</f>
        <v> </v>
      </c>
      <c r="X138" s="17" t="str">
        <f aca="false">IF((E138="m"),H138," ")</f>
        <v> </v>
      </c>
      <c r="Y138" s="17" t="str">
        <f aca="false">IF((E138="u"),H138," ")</f>
        <v> </v>
      </c>
      <c r="Z138" s="17" t="str">
        <f aca="false">IF((E138="a"),H138," ")</f>
        <v> </v>
      </c>
      <c r="AA138" s="17" t="str">
        <f aca="false">IF((E138="g"),H138," ")</f>
        <v> </v>
      </c>
      <c r="AB138" s="17" t="str">
        <f aca="false">IF((E138="h"),H138," ")</f>
        <v> </v>
      </c>
      <c r="AC138" s="30" t="str">
        <f aca="false">IF((E138="v"),H138," ")</f>
        <v> </v>
      </c>
      <c r="AD138" s="30" t="str">
        <f aca="false">IF((E138="n"),H138," ")</f>
        <v> </v>
      </c>
      <c r="AE138" s="17" t="str">
        <f aca="false">IF((E138="f"),H138," ")</f>
        <v> </v>
      </c>
      <c r="AF138" s="17" t="str">
        <f aca="false">IF((E138="l"),H138," ")</f>
        <v> </v>
      </c>
      <c r="AG138" s="17" t="str">
        <f aca="false">IF((E138="y"),H138," ")</f>
        <v> </v>
      </c>
      <c r="AH138" s="17" t="str">
        <f aca="false">IF((E138="z"),H138," ")</f>
        <v> </v>
      </c>
      <c r="AI138" s="17" t="str">
        <f aca="false">IF((E138="fa"),H138," ")</f>
        <v> </v>
      </c>
      <c r="AJ138" s="17" t="str">
        <f aca="false">IF((E138="e"),H138," ")</f>
        <v> </v>
      </c>
    </row>
    <row r="139" customFormat="false" ht="12" hidden="false" customHeight="false" outlineLevel="0" collapsed="false">
      <c r="A139" s="28"/>
      <c r="E139" s="2" t="str">
        <f aca="false">IF((F139&lt;&gt;0),"Enter Letter"," ")</f>
        <v> </v>
      </c>
      <c r="F139" s="30"/>
      <c r="G139" s="6" t="str">
        <f aca="false">IF(F139&lt;&gt;0,F139*G$2/(100+G$2)," ")</f>
        <v> </v>
      </c>
      <c r="H139" s="6" t="str">
        <f aca="false">IF((F139&lt;&gt;0),F139-G139," ")</f>
        <v> </v>
      </c>
      <c r="I139" s="5"/>
      <c r="L139" s="7" t="str">
        <f aca="false">IF(F139&lt;&gt;0,F139-K139," ")</f>
        <v> </v>
      </c>
      <c r="M139" s="8" t="str">
        <f aca="false">IF((F139-K139)&lt;&gt;0,M$1-A139," ")</f>
        <v> </v>
      </c>
      <c r="N139" s="5"/>
      <c r="O139" s="17" t="str">
        <f aca="false">IF((E139="s"),H139," ")</f>
        <v> </v>
      </c>
      <c r="P139" s="17" t="str">
        <f aca="false">IF((E139="c"),H139," ")</f>
        <v> </v>
      </c>
      <c r="Q139" s="17" t="str">
        <f aca="false">IF((E139="o"),H139," ")</f>
        <v> </v>
      </c>
      <c r="R139" s="17" t="str">
        <f aca="false">IF((E139="d"),H139," ")</f>
        <v> </v>
      </c>
      <c r="S139" s="17" t="str">
        <f aca="false">IF((E139="w"),H139," ")</f>
        <v> </v>
      </c>
      <c r="T139" s="17" t="str">
        <f aca="false">IF((E139="r"),H139," ")</f>
        <v> </v>
      </c>
      <c r="U139" s="17" t="str">
        <f aca="false">IF((E139="p"),H139," ")</f>
        <v> </v>
      </c>
      <c r="V139" s="17" t="str">
        <f aca="false">IF((E139="t"),H139," ")</f>
        <v> </v>
      </c>
      <c r="W139" s="17" t="str">
        <f aca="false">IF((E139="q"),H139," ")</f>
        <v> </v>
      </c>
      <c r="X139" s="17" t="str">
        <f aca="false">IF((E139="m"),H139," ")</f>
        <v> </v>
      </c>
      <c r="Y139" s="17" t="str">
        <f aca="false">IF((E139="u"),H139," ")</f>
        <v> </v>
      </c>
      <c r="Z139" s="17" t="str">
        <f aca="false">IF((E139="a"),H139," ")</f>
        <v> </v>
      </c>
      <c r="AA139" s="17" t="str">
        <f aca="false">IF((E139="g"),H139," ")</f>
        <v> </v>
      </c>
      <c r="AB139" s="17" t="str">
        <f aca="false">IF((E139="h"),H139," ")</f>
        <v> </v>
      </c>
      <c r="AC139" s="30" t="str">
        <f aca="false">IF((E139="v"),H139," ")</f>
        <v> </v>
      </c>
      <c r="AD139" s="30" t="str">
        <f aca="false">IF((E139="n"),H139," ")</f>
        <v> </v>
      </c>
      <c r="AE139" s="17" t="str">
        <f aca="false">IF((E139="f"),H139," ")</f>
        <v> </v>
      </c>
      <c r="AF139" s="17" t="str">
        <f aca="false">IF((E139="l"),H139," ")</f>
        <v> </v>
      </c>
      <c r="AG139" s="17" t="str">
        <f aca="false">IF((E139="y"),H139," ")</f>
        <v> </v>
      </c>
      <c r="AH139" s="17" t="str">
        <f aca="false">IF((E139="z"),H139," ")</f>
        <v> </v>
      </c>
      <c r="AI139" s="17" t="str">
        <f aca="false">IF((E139="fa"),H139," ")</f>
        <v> </v>
      </c>
      <c r="AJ139" s="17" t="str">
        <f aca="false">IF((E139="e"),H139," ")</f>
        <v> </v>
      </c>
    </row>
    <row r="140" customFormat="false" ht="12" hidden="false" customHeight="false" outlineLevel="0" collapsed="false">
      <c r="A140" s="28"/>
      <c r="E140" s="2" t="str">
        <f aca="false">IF((F140&lt;&gt;0),"Enter Letter"," ")</f>
        <v> </v>
      </c>
      <c r="F140" s="30"/>
      <c r="G140" s="6" t="str">
        <f aca="false">IF(F140&lt;&gt;0,F140*G$2/(100+G$2)," ")</f>
        <v> </v>
      </c>
      <c r="H140" s="6" t="str">
        <f aca="false">IF((F140&lt;&gt;0),F140-G140," ")</f>
        <v> </v>
      </c>
      <c r="I140" s="5"/>
      <c r="L140" s="7" t="str">
        <f aca="false">IF(F140&lt;&gt;0,F140-K140," ")</f>
        <v> </v>
      </c>
      <c r="M140" s="8" t="str">
        <f aca="false">IF((F140-K140)&lt;&gt;0,M$1-A140," ")</f>
        <v> </v>
      </c>
      <c r="N140" s="5"/>
      <c r="O140" s="17" t="str">
        <f aca="false">IF((E140="s"),H140," ")</f>
        <v> </v>
      </c>
      <c r="P140" s="17" t="str">
        <f aca="false">IF((E140="c"),H140," ")</f>
        <v> </v>
      </c>
      <c r="Q140" s="17" t="str">
        <f aca="false">IF((E140="o"),H140," ")</f>
        <v> </v>
      </c>
      <c r="R140" s="17" t="str">
        <f aca="false">IF((E140="d"),H140," ")</f>
        <v> </v>
      </c>
      <c r="S140" s="17" t="str">
        <f aca="false">IF((E140="w"),H140," ")</f>
        <v> </v>
      </c>
      <c r="T140" s="17" t="str">
        <f aca="false">IF((E140="r"),H140," ")</f>
        <v> </v>
      </c>
      <c r="U140" s="17" t="str">
        <f aca="false">IF((E140="p"),H140," ")</f>
        <v> </v>
      </c>
      <c r="V140" s="17" t="str">
        <f aca="false">IF((E140="t"),H140," ")</f>
        <v> </v>
      </c>
      <c r="W140" s="17" t="str">
        <f aca="false">IF((E140="q"),H140," ")</f>
        <v> </v>
      </c>
      <c r="X140" s="17" t="str">
        <f aca="false">IF((E140="m"),H140," ")</f>
        <v> </v>
      </c>
      <c r="Y140" s="17" t="str">
        <f aca="false">IF((E140="u"),H140," ")</f>
        <v> </v>
      </c>
      <c r="Z140" s="17" t="str">
        <f aca="false">IF((E140="a"),H140," ")</f>
        <v> </v>
      </c>
      <c r="AA140" s="17" t="str">
        <f aca="false">IF((E140="g"),H140," ")</f>
        <v> </v>
      </c>
      <c r="AB140" s="17" t="str">
        <f aca="false">IF((E140="h"),H140," ")</f>
        <v> </v>
      </c>
      <c r="AC140" s="30" t="str">
        <f aca="false">IF((E140="v"),H140," ")</f>
        <v> </v>
      </c>
      <c r="AD140" s="30" t="str">
        <f aca="false">IF((E140="n"),H140," ")</f>
        <v> </v>
      </c>
      <c r="AE140" s="17" t="str">
        <f aca="false">IF((E140="f"),H140," ")</f>
        <v> </v>
      </c>
      <c r="AF140" s="17" t="str">
        <f aca="false">IF((E140="l"),H140," ")</f>
        <v> </v>
      </c>
      <c r="AG140" s="17" t="str">
        <f aca="false">IF((E140="y"),H140," ")</f>
        <v> </v>
      </c>
      <c r="AH140" s="17" t="str">
        <f aca="false">IF((E140="z"),H140," ")</f>
        <v> </v>
      </c>
      <c r="AI140" s="17" t="str">
        <f aca="false">IF((E140="fa"),H140," ")</f>
        <v> </v>
      </c>
      <c r="AJ140" s="17" t="str">
        <f aca="false">IF((E140="e"),H140," ")</f>
        <v> </v>
      </c>
    </row>
    <row r="141" customFormat="false" ht="12" hidden="false" customHeight="false" outlineLevel="0" collapsed="false">
      <c r="A141" s="28"/>
      <c r="E141" s="2" t="str">
        <f aca="false">IF((F141&lt;&gt;0),"Enter Letter"," ")</f>
        <v> </v>
      </c>
      <c r="F141" s="30"/>
      <c r="G141" s="6" t="str">
        <f aca="false">IF(F141&lt;&gt;0,F141*G$2/(100+G$2)," ")</f>
        <v> </v>
      </c>
      <c r="H141" s="6" t="str">
        <f aca="false">IF((F141&lt;&gt;0),F141-G141," ")</f>
        <v> </v>
      </c>
      <c r="I141" s="5"/>
      <c r="L141" s="7" t="str">
        <f aca="false">IF(F141&lt;&gt;0,F141-K141," ")</f>
        <v> </v>
      </c>
      <c r="M141" s="8" t="str">
        <f aca="false">IF((F141-K141)&lt;&gt;0,M$1-A141," ")</f>
        <v> </v>
      </c>
      <c r="N141" s="5"/>
      <c r="O141" s="17" t="str">
        <f aca="false">IF((E141="s"),H141," ")</f>
        <v> </v>
      </c>
      <c r="P141" s="17" t="str">
        <f aca="false">IF((E141="c"),H141," ")</f>
        <v> </v>
      </c>
      <c r="Q141" s="17" t="str">
        <f aca="false">IF((E141="o"),H141," ")</f>
        <v> </v>
      </c>
      <c r="R141" s="17" t="str">
        <f aca="false">IF((E141="d"),H141," ")</f>
        <v> </v>
      </c>
      <c r="S141" s="17" t="str">
        <f aca="false">IF((E141="w"),H141," ")</f>
        <v> </v>
      </c>
      <c r="T141" s="17" t="str">
        <f aca="false">IF((E141="r"),H141," ")</f>
        <v> </v>
      </c>
      <c r="U141" s="17" t="str">
        <f aca="false">IF((E141="p"),H141," ")</f>
        <v> </v>
      </c>
      <c r="V141" s="17" t="str">
        <f aca="false">IF((E141="t"),H141," ")</f>
        <v> </v>
      </c>
      <c r="W141" s="17" t="str">
        <f aca="false">IF((E141="q"),H141," ")</f>
        <v> </v>
      </c>
      <c r="X141" s="17" t="str">
        <f aca="false">IF((E141="m"),H141," ")</f>
        <v> </v>
      </c>
      <c r="Y141" s="17" t="str">
        <f aca="false">IF((E141="u"),H141," ")</f>
        <v> </v>
      </c>
      <c r="Z141" s="17" t="str">
        <f aca="false">IF((E141="a"),H141," ")</f>
        <v> </v>
      </c>
      <c r="AA141" s="17" t="str">
        <f aca="false">IF((E141="g"),H141," ")</f>
        <v> </v>
      </c>
      <c r="AB141" s="17" t="str">
        <f aca="false">IF((E141="h"),H141," ")</f>
        <v> </v>
      </c>
      <c r="AC141" s="30" t="str">
        <f aca="false">IF((E141="v"),H141," ")</f>
        <v> </v>
      </c>
      <c r="AD141" s="30" t="str">
        <f aca="false">IF((E141="n"),H141," ")</f>
        <v> </v>
      </c>
      <c r="AE141" s="17" t="str">
        <f aca="false">IF((E141="f"),H141," ")</f>
        <v> </v>
      </c>
      <c r="AF141" s="17" t="str">
        <f aca="false">IF((E141="l"),H141," ")</f>
        <v> </v>
      </c>
      <c r="AG141" s="17" t="str">
        <f aca="false">IF((E141="y"),H141," ")</f>
        <v> </v>
      </c>
      <c r="AH141" s="17" t="str">
        <f aca="false">IF((E141="z"),H141," ")</f>
        <v> </v>
      </c>
      <c r="AI141" s="17" t="str">
        <f aca="false">IF((E141="fa"),H141," ")</f>
        <v> </v>
      </c>
      <c r="AJ141" s="17" t="str">
        <f aca="false">IF((E141="e"),H141," ")</f>
        <v> </v>
      </c>
    </row>
    <row r="142" customFormat="false" ht="12" hidden="false" customHeight="false" outlineLevel="0" collapsed="false">
      <c r="A142" s="28"/>
      <c r="E142" s="2" t="str">
        <f aca="false">IF((F142&lt;&gt;0),"Enter Letter"," ")</f>
        <v> </v>
      </c>
      <c r="F142" s="30"/>
      <c r="G142" s="6" t="str">
        <f aca="false">IF(F142&lt;&gt;0,F142*G$2/(100+G$2)," ")</f>
        <v> </v>
      </c>
      <c r="H142" s="6" t="str">
        <f aca="false">IF((F142&lt;&gt;0),F142-G142," ")</f>
        <v> </v>
      </c>
      <c r="I142" s="5"/>
      <c r="L142" s="7" t="str">
        <f aca="false">IF(F142&lt;&gt;0,F142-K142," ")</f>
        <v> </v>
      </c>
      <c r="M142" s="8" t="str">
        <f aca="false">IF((F142-K142)&lt;&gt;0,M$1-A142," ")</f>
        <v> </v>
      </c>
      <c r="N142" s="5"/>
      <c r="O142" s="17" t="str">
        <f aca="false">IF((E142="s"),H142," ")</f>
        <v> </v>
      </c>
      <c r="P142" s="17" t="str">
        <f aca="false">IF((E142="c"),H142," ")</f>
        <v> </v>
      </c>
      <c r="Q142" s="17" t="str">
        <f aca="false">IF((E142="o"),H142," ")</f>
        <v> </v>
      </c>
      <c r="R142" s="17" t="str">
        <f aca="false">IF((E142="d"),H142," ")</f>
        <v> </v>
      </c>
      <c r="S142" s="17" t="str">
        <f aca="false">IF((E142="w"),H142," ")</f>
        <v> </v>
      </c>
      <c r="T142" s="17" t="str">
        <f aca="false">IF((E142="r"),H142," ")</f>
        <v> </v>
      </c>
      <c r="U142" s="17" t="str">
        <f aca="false">IF((E142="p"),H142," ")</f>
        <v> </v>
      </c>
      <c r="V142" s="17" t="str">
        <f aca="false">IF((E142="t"),H142," ")</f>
        <v> </v>
      </c>
      <c r="W142" s="17" t="str">
        <f aca="false">IF((E142="q"),H142," ")</f>
        <v> </v>
      </c>
      <c r="X142" s="17" t="str">
        <f aca="false">IF((E142="m"),H142," ")</f>
        <v> </v>
      </c>
      <c r="Y142" s="17" t="str">
        <f aca="false">IF((E142="u"),H142," ")</f>
        <v> </v>
      </c>
      <c r="Z142" s="17" t="str">
        <f aca="false">IF((E142="a"),H142," ")</f>
        <v> </v>
      </c>
      <c r="AA142" s="17" t="str">
        <f aca="false">IF((E142="g"),H142," ")</f>
        <v> </v>
      </c>
      <c r="AB142" s="17" t="str">
        <f aca="false">IF((E142="h"),H142," ")</f>
        <v> </v>
      </c>
      <c r="AC142" s="30" t="str">
        <f aca="false">IF((E142="v"),H142," ")</f>
        <v> </v>
      </c>
      <c r="AD142" s="30" t="str">
        <f aca="false">IF((E142="n"),H142," ")</f>
        <v> </v>
      </c>
      <c r="AE142" s="17" t="str">
        <f aca="false">IF((E142="f"),H142," ")</f>
        <v> </v>
      </c>
      <c r="AF142" s="17" t="str">
        <f aca="false">IF((E142="l"),H142," ")</f>
        <v> </v>
      </c>
      <c r="AG142" s="17" t="str">
        <f aca="false">IF((E142="y"),H142," ")</f>
        <v> </v>
      </c>
      <c r="AH142" s="17" t="str">
        <f aca="false">IF((E142="z"),H142," ")</f>
        <v> </v>
      </c>
      <c r="AI142" s="17" t="str">
        <f aca="false">IF((E142="fa"),H142," ")</f>
        <v> </v>
      </c>
      <c r="AJ142" s="17" t="str">
        <f aca="false">IF((E142="e"),H142," ")</f>
        <v> </v>
      </c>
    </row>
    <row r="143" customFormat="false" ht="12" hidden="false" customHeight="false" outlineLevel="0" collapsed="false">
      <c r="A143" s="28"/>
      <c r="E143" s="2" t="str">
        <f aca="false">IF((F143&lt;&gt;0),"Enter Letter"," ")</f>
        <v> </v>
      </c>
      <c r="F143" s="30"/>
      <c r="G143" s="6" t="str">
        <f aca="false">IF(F143&lt;&gt;0,F143*G$2/(100+G$2)," ")</f>
        <v> </v>
      </c>
      <c r="H143" s="6" t="str">
        <f aca="false">IF((F143&lt;&gt;0),F143-G143," ")</f>
        <v> </v>
      </c>
      <c r="I143" s="5"/>
      <c r="L143" s="7" t="str">
        <f aca="false">IF(F143&lt;&gt;0,F143-K143," ")</f>
        <v> </v>
      </c>
      <c r="M143" s="8" t="str">
        <f aca="false">IF((F143-K143)&lt;&gt;0,M$1-A143," ")</f>
        <v> </v>
      </c>
      <c r="N143" s="5"/>
      <c r="O143" s="17" t="str">
        <f aca="false">IF((E143="s"),H143," ")</f>
        <v> </v>
      </c>
      <c r="P143" s="17" t="str">
        <f aca="false">IF((E143="c"),H143," ")</f>
        <v> </v>
      </c>
      <c r="Q143" s="17" t="str">
        <f aca="false">IF((E143="o"),H143," ")</f>
        <v> </v>
      </c>
      <c r="R143" s="17" t="str">
        <f aca="false">IF((E143="d"),H143," ")</f>
        <v> </v>
      </c>
      <c r="S143" s="17" t="str">
        <f aca="false">IF((E143="w"),H143," ")</f>
        <v> </v>
      </c>
      <c r="T143" s="17" t="str">
        <f aca="false">IF((E143="r"),H143," ")</f>
        <v> </v>
      </c>
      <c r="U143" s="17" t="str">
        <f aca="false">IF((E143="p"),H143," ")</f>
        <v> </v>
      </c>
      <c r="V143" s="17" t="str">
        <f aca="false">IF((E143="t"),H143," ")</f>
        <v> </v>
      </c>
      <c r="W143" s="17" t="str">
        <f aca="false">IF((E143="q"),H143," ")</f>
        <v> </v>
      </c>
      <c r="X143" s="17" t="str">
        <f aca="false">IF((E143="m"),H143," ")</f>
        <v> </v>
      </c>
      <c r="Y143" s="17" t="str">
        <f aca="false">IF((E143="u"),H143," ")</f>
        <v> </v>
      </c>
      <c r="Z143" s="17" t="str">
        <f aca="false">IF((E143="a"),H143," ")</f>
        <v> </v>
      </c>
      <c r="AA143" s="17" t="str">
        <f aca="false">IF((E143="g"),H143," ")</f>
        <v> </v>
      </c>
      <c r="AB143" s="17" t="str">
        <f aca="false">IF((E143="h"),H143," ")</f>
        <v> </v>
      </c>
      <c r="AC143" s="30" t="str">
        <f aca="false">IF((E143="v"),H143," ")</f>
        <v> </v>
      </c>
      <c r="AD143" s="30" t="str">
        <f aca="false">IF((E143="n"),H143," ")</f>
        <v> </v>
      </c>
      <c r="AE143" s="17" t="str">
        <f aca="false">IF((E143="f"),H143," ")</f>
        <v> </v>
      </c>
      <c r="AF143" s="17" t="str">
        <f aca="false">IF((E143="l"),H143," ")</f>
        <v> </v>
      </c>
      <c r="AG143" s="17" t="str">
        <f aca="false">IF((E143="y"),H143," ")</f>
        <v> </v>
      </c>
      <c r="AH143" s="17" t="str">
        <f aca="false">IF((E143="z"),H143," ")</f>
        <v> </v>
      </c>
      <c r="AI143" s="17" t="str">
        <f aca="false">IF((E143="fa"),H143," ")</f>
        <v> </v>
      </c>
      <c r="AJ143" s="17" t="str">
        <f aca="false">IF((E143="e"),H143," ")</f>
        <v> </v>
      </c>
    </row>
    <row r="144" customFormat="false" ht="12" hidden="false" customHeight="false" outlineLevel="0" collapsed="false">
      <c r="A144" s="28"/>
      <c r="E144" s="2" t="str">
        <f aca="false">IF((F144&lt;&gt;0),"Enter Letter"," ")</f>
        <v> </v>
      </c>
      <c r="F144" s="30"/>
      <c r="G144" s="6" t="str">
        <f aca="false">IF(F144&lt;&gt;0,F144*G$2/(100+G$2)," ")</f>
        <v> </v>
      </c>
      <c r="H144" s="6" t="str">
        <f aca="false">IF((F144&lt;&gt;0),F144-G144," ")</f>
        <v> </v>
      </c>
      <c r="I144" s="5"/>
      <c r="L144" s="7" t="str">
        <f aca="false">IF(F144&lt;&gt;0,F144-K144," ")</f>
        <v> </v>
      </c>
      <c r="M144" s="8" t="str">
        <f aca="false">IF((F144-K144)&lt;&gt;0,M$1-A144," ")</f>
        <v> </v>
      </c>
      <c r="N144" s="5"/>
      <c r="O144" s="17" t="str">
        <f aca="false">IF((E144="s"),H144," ")</f>
        <v> </v>
      </c>
      <c r="P144" s="17" t="str">
        <f aca="false">IF((E144="c"),H144," ")</f>
        <v> </v>
      </c>
      <c r="Q144" s="17" t="str">
        <f aca="false">IF((E144="o"),H144," ")</f>
        <v> </v>
      </c>
      <c r="R144" s="17" t="str">
        <f aca="false">IF((E144="d"),H144," ")</f>
        <v> </v>
      </c>
      <c r="S144" s="17" t="str">
        <f aca="false">IF((E144="w"),H144," ")</f>
        <v> </v>
      </c>
      <c r="T144" s="17" t="str">
        <f aca="false">IF((E144="r"),H144," ")</f>
        <v> </v>
      </c>
      <c r="U144" s="17" t="str">
        <f aca="false">IF((E144="p"),H144," ")</f>
        <v> </v>
      </c>
      <c r="V144" s="17" t="str">
        <f aca="false">IF((E144="t"),H144," ")</f>
        <v> </v>
      </c>
      <c r="W144" s="17" t="str">
        <f aca="false">IF((E144="q"),H144," ")</f>
        <v> </v>
      </c>
      <c r="X144" s="17" t="str">
        <f aca="false">IF((E144="m"),H144," ")</f>
        <v> </v>
      </c>
      <c r="Y144" s="17" t="str">
        <f aca="false">IF((E144="u"),H144," ")</f>
        <v> </v>
      </c>
      <c r="Z144" s="17" t="str">
        <f aca="false">IF((E144="a"),H144," ")</f>
        <v> </v>
      </c>
      <c r="AA144" s="17" t="str">
        <f aca="false">IF((E144="g"),H144," ")</f>
        <v> </v>
      </c>
      <c r="AB144" s="17" t="str">
        <f aca="false">IF((E144="h"),H144," ")</f>
        <v> </v>
      </c>
      <c r="AC144" s="30" t="str">
        <f aca="false">IF((E144="v"),H144," ")</f>
        <v> </v>
      </c>
      <c r="AD144" s="30" t="str">
        <f aca="false">IF((E144="n"),H144," ")</f>
        <v> </v>
      </c>
      <c r="AE144" s="17" t="str">
        <f aca="false">IF((E144="f"),H144," ")</f>
        <v> </v>
      </c>
      <c r="AF144" s="17" t="str">
        <f aca="false">IF((E144="l"),H144," ")</f>
        <v> </v>
      </c>
      <c r="AG144" s="17" t="str">
        <f aca="false">IF((E144="y"),H144," ")</f>
        <v> </v>
      </c>
      <c r="AH144" s="17" t="str">
        <f aca="false">IF((E144="z"),H144," ")</f>
        <v> </v>
      </c>
      <c r="AI144" s="17" t="str">
        <f aca="false">IF((E144="fa"),H144," ")</f>
        <v> </v>
      </c>
      <c r="AJ144" s="17" t="str">
        <f aca="false">IF((E144="e"),H144," ")</f>
        <v> </v>
      </c>
    </row>
    <row r="145" customFormat="false" ht="12" hidden="false" customHeight="false" outlineLevel="0" collapsed="false">
      <c r="A145" s="28"/>
      <c r="E145" s="2" t="str">
        <f aca="false">IF((F145&lt;&gt;0),"Enter Letter"," ")</f>
        <v> </v>
      </c>
      <c r="F145" s="30"/>
      <c r="G145" s="6" t="str">
        <f aca="false">IF(F145&lt;&gt;0,F145*G$2/(100+G$2)," ")</f>
        <v> </v>
      </c>
      <c r="H145" s="6" t="str">
        <f aca="false">IF((F145&lt;&gt;0),F145-G145," ")</f>
        <v> </v>
      </c>
      <c r="I145" s="5"/>
      <c r="L145" s="7" t="str">
        <f aca="false">IF(F145&lt;&gt;0,F145-K145," ")</f>
        <v> </v>
      </c>
      <c r="M145" s="8" t="str">
        <f aca="false">IF((F145-K145)&lt;&gt;0,M$1-A145," ")</f>
        <v> </v>
      </c>
      <c r="N145" s="5"/>
      <c r="O145" s="17" t="str">
        <f aca="false">IF((E145="s"),H145," ")</f>
        <v> </v>
      </c>
      <c r="P145" s="17" t="str">
        <f aca="false">IF((E145="c"),H145," ")</f>
        <v> </v>
      </c>
      <c r="Q145" s="17" t="str">
        <f aca="false">IF((E145="o"),H145," ")</f>
        <v> </v>
      </c>
      <c r="R145" s="17" t="str">
        <f aca="false">IF((E145="d"),H145," ")</f>
        <v> </v>
      </c>
      <c r="S145" s="17" t="str">
        <f aca="false">IF((E145="w"),H145," ")</f>
        <v> </v>
      </c>
      <c r="T145" s="17" t="str">
        <f aca="false">IF((E145="r"),H145," ")</f>
        <v> </v>
      </c>
      <c r="U145" s="17" t="str">
        <f aca="false">IF((E145="p"),H145," ")</f>
        <v> </v>
      </c>
      <c r="V145" s="17" t="str">
        <f aca="false">IF((E145="t"),H145," ")</f>
        <v> </v>
      </c>
      <c r="W145" s="17" t="str">
        <f aca="false">IF((E145="q"),H145," ")</f>
        <v> </v>
      </c>
      <c r="X145" s="17" t="str">
        <f aca="false">IF((E145="m"),H145," ")</f>
        <v> </v>
      </c>
      <c r="Y145" s="17" t="str">
        <f aca="false">IF((E145="u"),H145," ")</f>
        <v> </v>
      </c>
      <c r="Z145" s="17" t="str">
        <f aca="false">IF((E145="a"),H145," ")</f>
        <v> </v>
      </c>
      <c r="AA145" s="17" t="str">
        <f aca="false">IF((E145="g"),H145," ")</f>
        <v> </v>
      </c>
      <c r="AB145" s="17" t="str">
        <f aca="false">IF((E145="h"),H145," ")</f>
        <v> </v>
      </c>
      <c r="AC145" s="30" t="str">
        <f aca="false">IF((E145="v"),H145," ")</f>
        <v> </v>
      </c>
      <c r="AD145" s="30" t="str">
        <f aca="false">IF((E145="n"),H145," ")</f>
        <v> </v>
      </c>
      <c r="AE145" s="17" t="str">
        <f aca="false">IF((E145="f"),H145," ")</f>
        <v> </v>
      </c>
      <c r="AF145" s="17" t="str">
        <f aca="false">IF((E145="l"),H145," ")</f>
        <v> </v>
      </c>
      <c r="AG145" s="17" t="str">
        <f aca="false">IF((E145="y"),H145," ")</f>
        <v> </v>
      </c>
      <c r="AH145" s="17" t="str">
        <f aca="false">IF((E145="z"),H145," ")</f>
        <v> </v>
      </c>
      <c r="AI145" s="17" t="str">
        <f aca="false">IF((E145="fa"),H145," ")</f>
        <v> </v>
      </c>
      <c r="AJ145" s="17" t="str">
        <f aca="false">IF((E145="e"),H145," ")</f>
        <v> </v>
      </c>
    </row>
    <row r="146" customFormat="false" ht="12" hidden="false" customHeight="false" outlineLevel="0" collapsed="false">
      <c r="A146" s="28"/>
      <c r="E146" s="2" t="str">
        <f aca="false">IF((F146&lt;&gt;0),"Enter Letter"," ")</f>
        <v> </v>
      </c>
      <c r="F146" s="30"/>
      <c r="G146" s="6" t="str">
        <f aca="false">IF(F146&lt;&gt;0,F146*G$2/(100+G$2)," ")</f>
        <v> </v>
      </c>
      <c r="H146" s="6" t="str">
        <f aca="false">IF((F146&lt;&gt;0),F146-G146," ")</f>
        <v> </v>
      </c>
      <c r="I146" s="5"/>
      <c r="L146" s="7" t="str">
        <f aca="false">IF(F146&lt;&gt;0,F146-K146," ")</f>
        <v> </v>
      </c>
      <c r="M146" s="8" t="str">
        <f aca="false">IF((F146-K146)&lt;&gt;0,M$1-A146," ")</f>
        <v> </v>
      </c>
      <c r="N146" s="5"/>
      <c r="O146" s="17" t="str">
        <f aca="false">IF((E146="s"),H146," ")</f>
        <v> </v>
      </c>
      <c r="P146" s="17" t="str">
        <f aca="false">IF((E146="c"),H146," ")</f>
        <v> </v>
      </c>
      <c r="Q146" s="17" t="str">
        <f aca="false">IF((E146="o"),H146," ")</f>
        <v> </v>
      </c>
      <c r="R146" s="17" t="str">
        <f aca="false">IF((E146="d"),H146," ")</f>
        <v> </v>
      </c>
      <c r="S146" s="17" t="str">
        <f aca="false">IF((E146="w"),H146," ")</f>
        <v> </v>
      </c>
      <c r="T146" s="17" t="str">
        <f aca="false">IF((E146="r"),H146," ")</f>
        <v> </v>
      </c>
      <c r="U146" s="17" t="str">
        <f aca="false">IF((E146="p"),H146," ")</f>
        <v> </v>
      </c>
      <c r="V146" s="17" t="str">
        <f aca="false">IF((E146="t"),H146," ")</f>
        <v> </v>
      </c>
      <c r="W146" s="17" t="str">
        <f aca="false">IF((E146="q"),H146," ")</f>
        <v> </v>
      </c>
      <c r="X146" s="17" t="str">
        <f aca="false">IF((E146="m"),H146," ")</f>
        <v> </v>
      </c>
      <c r="Y146" s="17" t="str">
        <f aca="false">IF((E146="u"),H146," ")</f>
        <v> </v>
      </c>
      <c r="Z146" s="17" t="str">
        <f aca="false">IF((E146="a"),H146," ")</f>
        <v> </v>
      </c>
      <c r="AA146" s="17" t="str">
        <f aca="false">IF((E146="g"),H146," ")</f>
        <v> </v>
      </c>
      <c r="AB146" s="17" t="str">
        <f aca="false">IF((E146="h"),H146," ")</f>
        <v> </v>
      </c>
      <c r="AC146" s="30" t="str">
        <f aca="false">IF((E146="v"),H146," ")</f>
        <v> </v>
      </c>
      <c r="AD146" s="30" t="str">
        <f aca="false">IF((E146="n"),H146," ")</f>
        <v> </v>
      </c>
      <c r="AE146" s="17" t="str">
        <f aca="false">IF((E146="f"),H146," ")</f>
        <v> </v>
      </c>
      <c r="AF146" s="17" t="str">
        <f aca="false">IF((E146="l"),H146," ")</f>
        <v> </v>
      </c>
      <c r="AG146" s="17" t="str">
        <f aca="false">IF((E146="y"),H146," ")</f>
        <v> </v>
      </c>
      <c r="AH146" s="17" t="str">
        <f aca="false">IF((E146="z"),H146," ")</f>
        <v> </v>
      </c>
      <c r="AI146" s="17" t="str">
        <f aca="false">IF((E146="fa"),H146," ")</f>
        <v> </v>
      </c>
      <c r="AJ146" s="17" t="str">
        <f aca="false">IF((E146="e"),H146," ")</f>
        <v> </v>
      </c>
    </row>
    <row r="147" customFormat="false" ht="12" hidden="false" customHeight="false" outlineLevel="0" collapsed="false">
      <c r="A147" s="28"/>
      <c r="E147" s="2" t="str">
        <f aca="false">IF((F147&lt;&gt;0),"Enter Letter"," ")</f>
        <v> </v>
      </c>
      <c r="F147" s="30"/>
      <c r="G147" s="6" t="str">
        <f aca="false">IF(F147&lt;&gt;0,F147*G$2/(100+G$2)," ")</f>
        <v> </v>
      </c>
      <c r="H147" s="6" t="str">
        <f aca="false">IF((F147&lt;&gt;0),F147-G147," ")</f>
        <v> </v>
      </c>
      <c r="I147" s="5"/>
      <c r="L147" s="7" t="str">
        <f aca="false">IF(F147&lt;&gt;0,F147-K147," ")</f>
        <v> </v>
      </c>
      <c r="M147" s="8" t="str">
        <f aca="false">IF((F147-K147)&lt;&gt;0,M$1-A147," ")</f>
        <v> </v>
      </c>
      <c r="N147" s="5"/>
      <c r="O147" s="17" t="str">
        <f aca="false">IF((E147="s"),H147," ")</f>
        <v> </v>
      </c>
      <c r="P147" s="17" t="str">
        <f aca="false">IF((E147="c"),H147," ")</f>
        <v> </v>
      </c>
      <c r="Q147" s="17" t="str">
        <f aca="false">IF((E147="o"),H147," ")</f>
        <v> </v>
      </c>
      <c r="R147" s="17" t="str">
        <f aca="false">IF((E147="d"),H147," ")</f>
        <v> </v>
      </c>
      <c r="S147" s="17" t="str">
        <f aca="false">IF((E147="w"),H147," ")</f>
        <v> </v>
      </c>
      <c r="T147" s="17" t="str">
        <f aca="false">IF((E147="r"),H147," ")</f>
        <v> </v>
      </c>
      <c r="U147" s="17" t="str">
        <f aca="false">IF((E147="p"),H147," ")</f>
        <v> </v>
      </c>
      <c r="V147" s="17" t="str">
        <f aca="false">IF((E147="t"),H147," ")</f>
        <v> </v>
      </c>
      <c r="W147" s="17" t="str">
        <f aca="false">IF((E147="q"),H147," ")</f>
        <v> </v>
      </c>
      <c r="X147" s="17" t="str">
        <f aca="false">IF((E147="m"),H147," ")</f>
        <v> </v>
      </c>
      <c r="Y147" s="17" t="str">
        <f aca="false">IF((E147="u"),H147," ")</f>
        <v> </v>
      </c>
      <c r="Z147" s="17" t="str">
        <f aca="false">IF((E147="a"),H147," ")</f>
        <v> </v>
      </c>
      <c r="AA147" s="17" t="str">
        <f aca="false">IF((E147="g"),H147," ")</f>
        <v> </v>
      </c>
      <c r="AB147" s="17" t="str">
        <f aca="false">IF((E147="h"),H147," ")</f>
        <v> </v>
      </c>
      <c r="AC147" s="30" t="str">
        <f aca="false">IF((E147="v"),H147," ")</f>
        <v> </v>
      </c>
      <c r="AD147" s="30" t="str">
        <f aca="false">IF((E147="n"),H147," ")</f>
        <v> </v>
      </c>
      <c r="AE147" s="17" t="str">
        <f aca="false">IF((E147="f"),H147," ")</f>
        <v> </v>
      </c>
      <c r="AF147" s="17" t="str">
        <f aca="false">IF((E147="l"),H147," ")</f>
        <v> </v>
      </c>
      <c r="AG147" s="17" t="str">
        <f aca="false">IF((E147="y"),H147," ")</f>
        <v> </v>
      </c>
      <c r="AH147" s="17" t="str">
        <f aca="false">IF((E147="z"),H147," ")</f>
        <v> </v>
      </c>
      <c r="AI147" s="17" t="str">
        <f aca="false">IF((E147="fa"),H147," ")</f>
        <v> </v>
      </c>
      <c r="AJ147" s="17" t="str">
        <f aca="false">IF((E147="e"),H147," ")</f>
        <v> </v>
      </c>
    </row>
    <row r="148" customFormat="false" ht="12" hidden="false" customHeight="false" outlineLevel="0" collapsed="false">
      <c r="A148" s="28"/>
      <c r="E148" s="2" t="str">
        <f aca="false">IF((F148&lt;&gt;0),"Enter Letter"," ")</f>
        <v> </v>
      </c>
      <c r="F148" s="30"/>
      <c r="G148" s="6" t="str">
        <f aca="false">IF(F148&lt;&gt;0,F148*G$2/(100+G$2)," ")</f>
        <v> </v>
      </c>
      <c r="H148" s="6" t="str">
        <f aca="false">IF((F148&lt;&gt;0),F148-G148," ")</f>
        <v> </v>
      </c>
      <c r="I148" s="5"/>
      <c r="L148" s="7" t="str">
        <f aca="false">IF(F148&lt;&gt;0,F148-K148," ")</f>
        <v> </v>
      </c>
      <c r="M148" s="8" t="str">
        <f aca="false">IF((F148-K148)&lt;&gt;0,M$1-A148," ")</f>
        <v> </v>
      </c>
      <c r="N148" s="5"/>
      <c r="O148" s="17" t="str">
        <f aca="false">IF((E148="s"),H148," ")</f>
        <v> </v>
      </c>
      <c r="P148" s="17" t="str">
        <f aca="false">IF((E148="c"),H148," ")</f>
        <v> </v>
      </c>
      <c r="Q148" s="17" t="str">
        <f aca="false">IF((E148="o"),H148," ")</f>
        <v> </v>
      </c>
      <c r="R148" s="17" t="str">
        <f aca="false">IF((E148="d"),H148," ")</f>
        <v> </v>
      </c>
      <c r="S148" s="17" t="str">
        <f aca="false">IF((E148="w"),H148," ")</f>
        <v> </v>
      </c>
      <c r="T148" s="17" t="str">
        <f aca="false">IF((E148="r"),H148," ")</f>
        <v> </v>
      </c>
      <c r="U148" s="17" t="str">
        <f aca="false">IF((E148="p"),H148," ")</f>
        <v> </v>
      </c>
      <c r="V148" s="17" t="str">
        <f aca="false">IF((E148="t"),H148," ")</f>
        <v> </v>
      </c>
      <c r="W148" s="17" t="str">
        <f aca="false">IF((E148="q"),H148," ")</f>
        <v> </v>
      </c>
      <c r="X148" s="17" t="str">
        <f aca="false">IF((E148="m"),H148," ")</f>
        <v> </v>
      </c>
      <c r="Y148" s="17" t="str">
        <f aca="false">IF((E148="u"),H148," ")</f>
        <v> </v>
      </c>
      <c r="Z148" s="17" t="str">
        <f aca="false">IF((E148="a"),H148," ")</f>
        <v> </v>
      </c>
      <c r="AA148" s="17" t="str">
        <f aca="false">IF((E148="g"),H148," ")</f>
        <v> </v>
      </c>
      <c r="AB148" s="17" t="str">
        <f aca="false">IF((E148="h"),H148," ")</f>
        <v> </v>
      </c>
      <c r="AC148" s="30" t="str">
        <f aca="false">IF((E148="v"),H148," ")</f>
        <v> </v>
      </c>
      <c r="AD148" s="30" t="str">
        <f aca="false">IF((E148="n"),H148," ")</f>
        <v> </v>
      </c>
      <c r="AE148" s="17" t="str">
        <f aca="false">IF((E148="f"),H148," ")</f>
        <v> </v>
      </c>
      <c r="AF148" s="17" t="str">
        <f aca="false">IF((E148="l"),H148," ")</f>
        <v> </v>
      </c>
      <c r="AG148" s="17" t="str">
        <f aca="false">IF((E148="y"),H148," ")</f>
        <v> </v>
      </c>
      <c r="AH148" s="17" t="str">
        <f aca="false">IF((E148="z"),H148," ")</f>
        <v> </v>
      </c>
      <c r="AI148" s="17" t="str">
        <f aca="false">IF((E148="fa"),H148," ")</f>
        <v> </v>
      </c>
      <c r="AJ148" s="17" t="str">
        <f aca="false">IF((E148="e"),H148," ")</f>
        <v> </v>
      </c>
    </row>
    <row r="149" customFormat="false" ht="12" hidden="false" customHeight="false" outlineLevel="0" collapsed="false">
      <c r="A149" s="28"/>
      <c r="E149" s="2" t="str">
        <f aca="false">IF((F149&lt;&gt;0),"Enter Letter"," ")</f>
        <v> </v>
      </c>
      <c r="F149" s="30"/>
      <c r="G149" s="6" t="str">
        <f aca="false">IF(F149&lt;&gt;0,F149*G$2/(100+G$2)," ")</f>
        <v> </v>
      </c>
      <c r="H149" s="6" t="str">
        <f aca="false">IF((F149&lt;&gt;0),F149-G149," ")</f>
        <v> </v>
      </c>
      <c r="I149" s="5"/>
      <c r="L149" s="7" t="str">
        <f aca="false">IF(F149&lt;&gt;0,F149-K149," ")</f>
        <v> </v>
      </c>
      <c r="M149" s="8" t="str">
        <f aca="false">IF((F149-K149)&lt;&gt;0,M$1-A149," ")</f>
        <v> </v>
      </c>
      <c r="N149" s="5"/>
      <c r="O149" s="17" t="str">
        <f aca="false">IF((E149="s"),H149," ")</f>
        <v> </v>
      </c>
      <c r="P149" s="17" t="str">
        <f aca="false">IF((E149="c"),H149," ")</f>
        <v> </v>
      </c>
      <c r="Q149" s="17" t="str">
        <f aca="false">IF((E149="o"),H149," ")</f>
        <v> </v>
      </c>
      <c r="R149" s="17" t="str">
        <f aca="false">IF((E149="d"),H149," ")</f>
        <v> </v>
      </c>
      <c r="S149" s="17" t="str">
        <f aca="false">IF((E149="w"),H149," ")</f>
        <v> </v>
      </c>
      <c r="T149" s="17" t="str">
        <f aca="false">IF((E149="r"),H149," ")</f>
        <v> </v>
      </c>
      <c r="U149" s="17" t="str">
        <f aca="false">IF((E149="p"),H149," ")</f>
        <v> </v>
      </c>
      <c r="V149" s="17" t="str">
        <f aca="false">IF((E149="t"),H149," ")</f>
        <v> </v>
      </c>
      <c r="W149" s="17" t="str">
        <f aca="false">IF((E149="q"),H149," ")</f>
        <v> </v>
      </c>
      <c r="X149" s="17" t="str">
        <f aca="false">IF((E149="m"),H149," ")</f>
        <v> </v>
      </c>
      <c r="Y149" s="17" t="str">
        <f aca="false">IF((E149="u"),H149," ")</f>
        <v> </v>
      </c>
      <c r="Z149" s="17" t="str">
        <f aca="false">IF((E149="a"),H149," ")</f>
        <v> </v>
      </c>
      <c r="AA149" s="17" t="str">
        <f aca="false">IF((E149="g"),H149," ")</f>
        <v> </v>
      </c>
      <c r="AB149" s="17" t="str">
        <f aca="false">IF((E149="h"),H149," ")</f>
        <v> </v>
      </c>
      <c r="AC149" s="30" t="str">
        <f aca="false">IF((E149="v"),H149," ")</f>
        <v> </v>
      </c>
      <c r="AD149" s="30" t="str">
        <f aca="false">IF((E149="n"),H149," ")</f>
        <v> </v>
      </c>
      <c r="AE149" s="17" t="str">
        <f aca="false">IF((E149="f"),H149," ")</f>
        <v> </v>
      </c>
      <c r="AF149" s="17" t="str">
        <f aca="false">IF((E149="l"),H149," ")</f>
        <v> </v>
      </c>
      <c r="AG149" s="17" t="str">
        <f aca="false">IF((E149="y"),H149," ")</f>
        <v> </v>
      </c>
      <c r="AH149" s="17" t="str">
        <f aca="false">IF((E149="z"),H149," ")</f>
        <v> </v>
      </c>
      <c r="AI149" s="17" t="str">
        <f aca="false">IF((E149="fa"),H149," ")</f>
        <v> </v>
      </c>
      <c r="AJ149" s="17" t="str">
        <f aca="false">IF((E149="e"),H149," ")</f>
        <v> </v>
      </c>
    </row>
    <row r="150" customFormat="false" ht="12" hidden="false" customHeight="false" outlineLevel="0" collapsed="false">
      <c r="A150" s="28"/>
      <c r="E150" s="2" t="str">
        <f aca="false">IF((F150&lt;&gt;0),"Enter Letter"," ")</f>
        <v> </v>
      </c>
      <c r="F150" s="30"/>
      <c r="G150" s="6" t="str">
        <f aca="false">IF(F150&lt;&gt;0,F150*G$2/(100+G$2)," ")</f>
        <v> </v>
      </c>
      <c r="H150" s="6" t="str">
        <f aca="false">IF((F150&lt;&gt;0),F150-G150," ")</f>
        <v> </v>
      </c>
      <c r="I150" s="5"/>
      <c r="L150" s="7" t="str">
        <f aca="false">IF(F150&lt;&gt;0,F150-K150," ")</f>
        <v> </v>
      </c>
      <c r="M150" s="8" t="str">
        <f aca="false">IF((F150-K150)&lt;&gt;0,M$1-A150," ")</f>
        <v> </v>
      </c>
      <c r="N150" s="5"/>
      <c r="O150" s="17" t="str">
        <f aca="false">IF((E150="s"),H150," ")</f>
        <v> </v>
      </c>
      <c r="P150" s="17" t="str">
        <f aca="false">IF((E150="c"),H150," ")</f>
        <v> </v>
      </c>
      <c r="Q150" s="17" t="str">
        <f aca="false">IF((E150="o"),H150," ")</f>
        <v> </v>
      </c>
      <c r="R150" s="17" t="str">
        <f aca="false">IF((E150="d"),H150," ")</f>
        <v> </v>
      </c>
      <c r="S150" s="17" t="str">
        <f aca="false">IF((E150="w"),H150," ")</f>
        <v> </v>
      </c>
      <c r="T150" s="17" t="str">
        <f aca="false">IF((E150="r"),H150," ")</f>
        <v> </v>
      </c>
      <c r="U150" s="17" t="str">
        <f aca="false">IF((E150="p"),H150," ")</f>
        <v> </v>
      </c>
      <c r="V150" s="17" t="str">
        <f aca="false">IF((E150="t"),H150," ")</f>
        <v> </v>
      </c>
      <c r="W150" s="17" t="str">
        <f aca="false">IF((E150="q"),H150," ")</f>
        <v> </v>
      </c>
      <c r="X150" s="17" t="str">
        <f aca="false">IF((E150="m"),H150," ")</f>
        <v> </v>
      </c>
      <c r="Y150" s="17" t="str">
        <f aca="false">IF((E150="u"),H150," ")</f>
        <v> </v>
      </c>
      <c r="Z150" s="17" t="str">
        <f aca="false">IF((E150="a"),H150," ")</f>
        <v> </v>
      </c>
      <c r="AA150" s="17" t="str">
        <f aca="false">IF((E150="g"),H150," ")</f>
        <v> </v>
      </c>
      <c r="AB150" s="17" t="str">
        <f aca="false">IF((E150="h"),H150," ")</f>
        <v> </v>
      </c>
      <c r="AC150" s="30" t="str">
        <f aca="false">IF((E150="v"),H150," ")</f>
        <v> </v>
      </c>
      <c r="AD150" s="30" t="str">
        <f aca="false">IF((E150="n"),H150," ")</f>
        <v> </v>
      </c>
      <c r="AE150" s="17" t="str">
        <f aca="false">IF((E150="f"),H150," ")</f>
        <v> </v>
      </c>
      <c r="AF150" s="17" t="str">
        <f aca="false">IF((E150="l"),H150," ")</f>
        <v> </v>
      </c>
      <c r="AG150" s="17" t="str">
        <f aca="false">IF((E150="y"),H150," ")</f>
        <v> </v>
      </c>
      <c r="AH150" s="17" t="str">
        <f aca="false">IF((E150="z"),H150," ")</f>
        <v> </v>
      </c>
      <c r="AI150" s="17" t="str">
        <f aca="false">IF((E150="fa"),H150," ")</f>
        <v> </v>
      </c>
      <c r="AJ150" s="17" t="str">
        <f aca="false">IF((E150="e"),H150," ")</f>
        <v> </v>
      </c>
    </row>
    <row r="151" customFormat="false" ht="12" hidden="false" customHeight="false" outlineLevel="0" collapsed="false">
      <c r="A151" s="28"/>
      <c r="E151" s="2" t="str">
        <f aca="false">IF((F151&lt;&gt;0),"Enter Letter"," ")</f>
        <v> </v>
      </c>
      <c r="F151" s="30"/>
      <c r="G151" s="6" t="str">
        <f aca="false">IF(F151&lt;&gt;0,F151*G$2/(100+G$2)," ")</f>
        <v> </v>
      </c>
      <c r="H151" s="6" t="str">
        <f aca="false">IF((F151&lt;&gt;0),F151-G151," ")</f>
        <v> </v>
      </c>
      <c r="I151" s="5"/>
      <c r="L151" s="7" t="str">
        <f aca="false">IF(F151&lt;&gt;0,F151-K151," ")</f>
        <v> </v>
      </c>
      <c r="M151" s="8" t="str">
        <f aca="false">IF((F151-K151)&lt;&gt;0,M$1-A151," ")</f>
        <v> </v>
      </c>
      <c r="N151" s="5"/>
      <c r="O151" s="17" t="str">
        <f aca="false">IF((E151="s"),H151," ")</f>
        <v> </v>
      </c>
      <c r="P151" s="17" t="str">
        <f aca="false">IF((E151="c"),H151," ")</f>
        <v> </v>
      </c>
      <c r="Q151" s="17" t="str">
        <f aca="false">IF((E151="o"),H151," ")</f>
        <v> </v>
      </c>
      <c r="R151" s="17" t="str">
        <f aca="false">IF((E151="d"),H151," ")</f>
        <v> </v>
      </c>
      <c r="S151" s="17" t="str">
        <f aca="false">IF((E151="w"),H151," ")</f>
        <v> </v>
      </c>
      <c r="T151" s="17" t="str">
        <f aca="false">IF((E151="r"),H151," ")</f>
        <v> </v>
      </c>
      <c r="U151" s="17" t="str">
        <f aca="false">IF((E151="p"),H151," ")</f>
        <v> </v>
      </c>
      <c r="V151" s="17" t="str">
        <f aca="false">IF((E151="t"),H151," ")</f>
        <v> </v>
      </c>
      <c r="W151" s="17" t="str">
        <f aca="false">IF((E151="q"),H151," ")</f>
        <v> </v>
      </c>
      <c r="X151" s="17" t="str">
        <f aca="false">IF((E151="m"),H151," ")</f>
        <v> </v>
      </c>
      <c r="Y151" s="17" t="str">
        <f aca="false">IF((E151="u"),H151," ")</f>
        <v> </v>
      </c>
      <c r="Z151" s="17" t="str">
        <f aca="false">IF((E151="a"),H151," ")</f>
        <v> </v>
      </c>
      <c r="AA151" s="17" t="str">
        <f aca="false">IF((E151="g"),H151," ")</f>
        <v> </v>
      </c>
      <c r="AB151" s="17" t="str">
        <f aca="false">IF((E151="h"),H151," ")</f>
        <v> </v>
      </c>
      <c r="AC151" s="30" t="str">
        <f aca="false">IF((E151="v"),H151," ")</f>
        <v> </v>
      </c>
      <c r="AD151" s="30" t="str">
        <f aca="false">IF((E151="n"),H151," ")</f>
        <v> </v>
      </c>
      <c r="AE151" s="17" t="str">
        <f aca="false">IF((E151="f"),H151," ")</f>
        <v> </v>
      </c>
      <c r="AF151" s="17" t="str">
        <f aca="false">IF((E151="l"),H151," ")</f>
        <v> </v>
      </c>
      <c r="AG151" s="17" t="str">
        <f aca="false">IF((E151="y"),H151," ")</f>
        <v> </v>
      </c>
      <c r="AH151" s="17" t="str">
        <f aca="false">IF((E151="z"),H151," ")</f>
        <v> </v>
      </c>
      <c r="AI151" s="17" t="str">
        <f aca="false">IF((E151="fa"),H151," ")</f>
        <v> </v>
      </c>
      <c r="AJ151" s="17" t="str">
        <f aca="false">IF((E151="e"),H151," ")</f>
        <v> </v>
      </c>
    </row>
    <row r="152" customFormat="false" ht="12" hidden="false" customHeight="false" outlineLevel="0" collapsed="false">
      <c r="A152" s="28"/>
      <c r="E152" s="2" t="str">
        <f aca="false">IF((F152&lt;&gt;0),"Enter Letter"," ")</f>
        <v> </v>
      </c>
      <c r="F152" s="30"/>
      <c r="G152" s="6" t="str">
        <f aca="false">IF(F152&lt;&gt;0,F152*G$2/(100+G$2)," ")</f>
        <v> </v>
      </c>
      <c r="H152" s="6" t="str">
        <f aca="false">IF((F152&lt;&gt;0),F152-G152," ")</f>
        <v> </v>
      </c>
      <c r="I152" s="5"/>
      <c r="L152" s="7" t="str">
        <f aca="false">IF(F152&lt;&gt;0,F152-K152," ")</f>
        <v> </v>
      </c>
      <c r="M152" s="8" t="str">
        <f aca="false">IF((F152-K152)&lt;&gt;0,M$1-A152," ")</f>
        <v> </v>
      </c>
      <c r="N152" s="5"/>
      <c r="O152" s="17" t="str">
        <f aca="false">IF((E152="s"),H152," ")</f>
        <v> </v>
      </c>
      <c r="P152" s="17" t="str">
        <f aca="false">IF((E152="c"),H152," ")</f>
        <v> </v>
      </c>
      <c r="Q152" s="17" t="str">
        <f aca="false">IF((E152="o"),H152," ")</f>
        <v> </v>
      </c>
      <c r="R152" s="17" t="str">
        <f aca="false">IF((E152="d"),H152," ")</f>
        <v> </v>
      </c>
      <c r="S152" s="17" t="str">
        <f aca="false">IF((E152="w"),H152," ")</f>
        <v> </v>
      </c>
      <c r="T152" s="17" t="str">
        <f aca="false">IF((E152="r"),H152," ")</f>
        <v> </v>
      </c>
      <c r="U152" s="17" t="str">
        <f aca="false">IF((E152="p"),H152," ")</f>
        <v> </v>
      </c>
      <c r="V152" s="17" t="str">
        <f aca="false">IF((E152="t"),H152," ")</f>
        <v> </v>
      </c>
      <c r="W152" s="17" t="str">
        <f aca="false">IF((E152="q"),H152," ")</f>
        <v> </v>
      </c>
      <c r="X152" s="17" t="str">
        <f aca="false">IF((E152="m"),H152," ")</f>
        <v> </v>
      </c>
      <c r="Y152" s="17" t="str">
        <f aca="false">IF((E152="u"),H152," ")</f>
        <v> </v>
      </c>
      <c r="Z152" s="17" t="str">
        <f aca="false">IF((E152="a"),H152," ")</f>
        <v> </v>
      </c>
      <c r="AA152" s="17" t="str">
        <f aca="false">IF((E152="g"),H152," ")</f>
        <v> </v>
      </c>
      <c r="AB152" s="17" t="str">
        <f aca="false">IF((E152="h"),H152," ")</f>
        <v> </v>
      </c>
      <c r="AC152" s="30" t="str">
        <f aca="false">IF((E152="v"),H152," ")</f>
        <v> </v>
      </c>
      <c r="AD152" s="30" t="str">
        <f aca="false">IF((E152="n"),H152," ")</f>
        <v> </v>
      </c>
      <c r="AE152" s="17" t="str">
        <f aca="false">IF((E152="f"),H152," ")</f>
        <v> </v>
      </c>
      <c r="AF152" s="17" t="str">
        <f aca="false">IF((E152="l"),H152," ")</f>
        <v> </v>
      </c>
      <c r="AG152" s="17" t="str">
        <f aca="false">IF((E152="y"),H152," ")</f>
        <v> </v>
      </c>
      <c r="AH152" s="17" t="str">
        <f aca="false">IF((E152="z"),H152," ")</f>
        <v> </v>
      </c>
      <c r="AI152" s="17" t="str">
        <f aca="false">IF((E152="fa"),H152," ")</f>
        <v> </v>
      </c>
      <c r="AJ152" s="17" t="str">
        <f aca="false">IF((E152="e"),H152," ")</f>
        <v> </v>
      </c>
    </row>
    <row r="153" customFormat="false" ht="12" hidden="false" customHeight="false" outlineLevel="0" collapsed="false">
      <c r="A153" s="28"/>
      <c r="E153" s="2" t="str">
        <f aca="false">IF((F153&lt;&gt;0),"Enter Letter"," ")</f>
        <v> </v>
      </c>
      <c r="F153" s="30"/>
      <c r="G153" s="6" t="str">
        <f aca="false">IF(F153&lt;&gt;0,F153*G$2/(100+G$2)," ")</f>
        <v> </v>
      </c>
      <c r="H153" s="6" t="str">
        <f aca="false">IF((F153&lt;&gt;0),F153-G153," ")</f>
        <v> </v>
      </c>
      <c r="I153" s="5"/>
      <c r="L153" s="7" t="str">
        <f aca="false">IF(F153&lt;&gt;0,F153-K153," ")</f>
        <v> </v>
      </c>
      <c r="M153" s="8" t="str">
        <f aca="false">IF((F153-K153)&lt;&gt;0,M$1-A153," ")</f>
        <v> </v>
      </c>
      <c r="N153" s="5"/>
      <c r="O153" s="17" t="str">
        <f aca="false">IF((E153="s"),H153," ")</f>
        <v> </v>
      </c>
      <c r="P153" s="17" t="str">
        <f aca="false">IF((E153="c"),H153," ")</f>
        <v> </v>
      </c>
      <c r="Q153" s="17" t="str">
        <f aca="false">IF((E153="o"),H153," ")</f>
        <v> </v>
      </c>
      <c r="R153" s="17" t="str">
        <f aca="false">IF((E153="d"),H153," ")</f>
        <v> </v>
      </c>
      <c r="S153" s="17" t="str">
        <f aca="false">IF((E153="w"),H153," ")</f>
        <v> </v>
      </c>
      <c r="T153" s="17" t="str">
        <f aca="false">IF((E153="r"),H153," ")</f>
        <v> </v>
      </c>
      <c r="U153" s="17" t="str">
        <f aca="false">IF((E153="p"),H153," ")</f>
        <v> </v>
      </c>
      <c r="V153" s="17" t="str">
        <f aca="false">IF((E153="t"),H153," ")</f>
        <v> </v>
      </c>
      <c r="W153" s="17" t="str">
        <f aca="false">IF((E153="q"),H153," ")</f>
        <v> </v>
      </c>
      <c r="X153" s="17" t="str">
        <f aca="false">IF((E153="m"),H153," ")</f>
        <v> </v>
      </c>
      <c r="Y153" s="17" t="str">
        <f aca="false">IF((E153="u"),H153," ")</f>
        <v> </v>
      </c>
      <c r="Z153" s="17" t="str">
        <f aca="false">IF((E153="a"),H153," ")</f>
        <v> </v>
      </c>
      <c r="AA153" s="17" t="str">
        <f aca="false">IF((E153="g"),H153," ")</f>
        <v> </v>
      </c>
      <c r="AB153" s="17" t="str">
        <f aca="false">IF((E153="h"),H153," ")</f>
        <v> </v>
      </c>
      <c r="AC153" s="30" t="str">
        <f aca="false">IF((E153="v"),H153," ")</f>
        <v> </v>
      </c>
      <c r="AD153" s="30" t="str">
        <f aca="false">IF((E153="n"),H153," ")</f>
        <v> </v>
      </c>
      <c r="AE153" s="17" t="str">
        <f aca="false">IF((E153="f"),H153," ")</f>
        <v> </v>
      </c>
      <c r="AF153" s="17" t="str">
        <f aca="false">IF((E153="l"),H153," ")</f>
        <v> </v>
      </c>
      <c r="AG153" s="17" t="str">
        <f aca="false">IF((E153="y"),H153," ")</f>
        <v> </v>
      </c>
      <c r="AH153" s="17" t="str">
        <f aca="false">IF((E153="z"),H153," ")</f>
        <v> </v>
      </c>
      <c r="AI153" s="17" t="str">
        <f aca="false">IF((E153="fa"),H153," ")</f>
        <v> </v>
      </c>
      <c r="AJ153" s="17" t="str">
        <f aca="false">IF((E153="e"),H153," ")</f>
        <v> </v>
      </c>
    </row>
    <row r="154" customFormat="false" ht="12" hidden="false" customHeight="false" outlineLevel="0" collapsed="false">
      <c r="A154" s="28"/>
      <c r="E154" s="2" t="str">
        <f aca="false">IF((F154&lt;&gt;0),"Enter Letter"," ")</f>
        <v> </v>
      </c>
      <c r="F154" s="30"/>
      <c r="G154" s="6" t="str">
        <f aca="false">IF(F154&lt;&gt;0,F154*G$2/(100+G$2)," ")</f>
        <v> </v>
      </c>
      <c r="H154" s="6" t="str">
        <f aca="false">IF((F154&lt;&gt;0),F154-G154," ")</f>
        <v> </v>
      </c>
      <c r="I154" s="5"/>
      <c r="L154" s="7" t="str">
        <f aca="false">IF(F154&lt;&gt;0,F154-K154," ")</f>
        <v> </v>
      </c>
      <c r="M154" s="8" t="str">
        <f aca="false">IF((F154-K154)&lt;&gt;0,M$1-A154," ")</f>
        <v> </v>
      </c>
      <c r="N154" s="5"/>
      <c r="O154" s="17" t="str">
        <f aca="false">IF((E154="s"),H154," ")</f>
        <v> </v>
      </c>
      <c r="P154" s="17" t="str">
        <f aca="false">IF((E154="c"),H154," ")</f>
        <v> </v>
      </c>
      <c r="Q154" s="17" t="str">
        <f aca="false">IF((E154="o"),H154," ")</f>
        <v> </v>
      </c>
      <c r="R154" s="17" t="str">
        <f aca="false">IF((E154="d"),H154," ")</f>
        <v> </v>
      </c>
      <c r="S154" s="17" t="str">
        <f aca="false">IF((E154="w"),H154," ")</f>
        <v> </v>
      </c>
      <c r="T154" s="17" t="str">
        <f aca="false">IF((E154="r"),H154," ")</f>
        <v> </v>
      </c>
      <c r="U154" s="17" t="str">
        <f aca="false">IF((E154="p"),H154," ")</f>
        <v> </v>
      </c>
      <c r="V154" s="17" t="str">
        <f aca="false">IF((E154="t"),H154," ")</f>
        <v> </v>
      </c>
      <c r="W154" s="17" t="str">
        <f aca="false">IF((E154="q"),H154," ")</f>
        <v> </v>
      </c>
      <c r="X154" s="17" t="str">
        <f aca="false">IF((E154="m"),H154," ")</f>
        <v> </v>
      </c>
      <c r="Y154" s="17" t="str">
        <f aca="false">IF((E154="u"),H154," ")</f>
        <v> </v>
      </c>
      <c r="Z154" s="17" t="str">
        <f aca="false">IF((E154="a"),H154," ")</f>
        <v> </v>
      </c>
      <c r="AA154" s="17" t="str">
        <f aca="false">IF((E154="g"),H154," ")</f>
        <v> </v>
      </c>
      <c r="AB154" s="17" t="str">
        <f aca="false">IF((E154="h"),H154," ")</f>
        <v> </v>
      </c>
      <c r="AC154" s="30" t="str">
        <f aca="false">IF((E154="v"),H154," ")</f>
        <v> </v>
      </c>
      <c r="AD154" s="30" t="str">
        <f aca="false">IF((E154="n"),H154," ")</f>
        <v> </v>
      </c>
      <c r="AE154" s="17" t="str">
        <f aca="false">IF((E154="f"),H154," ")</f>
        <v> </v>
      </c>
      <c r="AF154" s="17" t="str">
        <f aca="false">IF((E154="l"),H154," ")</f>
        <v> </v>
      </c>
      <c r="AG154" s="17" t="str">
        <f aca="false">IF((E154="y"),H154," ")</f>
        <v> </v>
      </c>
      <c r="AH154" s="17" t="str">
        <f aca="false">IF((E154="z"),H154," ")</f>
        <v> </v>
      </c>
      <c r="AI154" s="17" t="str">
        <f aca="false">IF((E154="fa"),H154," ")</f>
        <v> </v>
      </c>
      <c r="AJ154" s="17" t="str">
        <f aca="false">IF((E154="e"),H154," ")</f>
        <v> </v>
      </c>
    </row>
    <row r="155" customFormat="false" ht="12" hidden="false" customHeight="false" outlineLevel="0" collapsed="false">
      <c r="A155" s="28"/>
      <c r="E155" s="2" t="str">
        <f aca="false">IF((F155&lt;&gt;0),"Enter Letter"," ")</f>
        <v> </v>
      </c>
      <c r="F155" s="30"/>
      <c r="G155" s="6" t="str">
        <f aca="false">IF(F155&lt;&gt;0,F155*G$2/(100+G$2)," ")</f>
        <v> </v>
      </c>
      <c r="H155" s="6" t="str">
        <f aca="false">IF((F155&lt;&gt;0),F155-G155," ")</f>
        <v> </v>
      </c>
      <c r="I155" s="5"/>
      <c r="L155" s="7" t="str">
        <f aca="false">IF(F155&lt;&gt;0,F155-K155," ")</f>
        <v> </v>
      </c>
      <c r="M155" s="8" t="str">
        <f aca="false">IF((F155-K155)&lt;&gt;0,M$1-A155," ")</f>
        <v> </v>
      </c>
      <c r="N155" s="5"/>
      <c r="O155" s="17" t="str">
        <f aca="false">IF((E155="s"),H155," ")</f>
        <v> </v>
      </c>
      <c r="P155" s="17" t="str">
        <f aca="false">IF((E155="c"),H155," ")</f>
        <v> </v>
      </c>
      <c r="Q155" s="17" t="str">
        <f aca="false">IF((E155="o"),H155," ")</f>
        <v> </v>
      </c>
      <c r="R155" s="17" t="str">
        <f aca="false">IF((E155="d"),H155," ")</f>
        <v> </v>
      </c>
      <c r="S155" s="17" t="str">
        <f aca="false">IF((E155="w"),H155," ")</f>
        <v> </v>
      </c>
      <c r="T155" s="17" t="str">
        <f aca="false">IF((E155="r"),H155," ")</f>
        <v> </v>
      </c>
      <c r="U155" s="17" t="str">
        <f aca="false">IF((E155="p"),H155," ")</f>
        <v> </v>
      </c>
      <c r="V155" s="17" t="str">
        <f aca="false">IF((E155="t"),H155," ")</f>
        <v> </v>
      </c>
      <c r="W155" s="17" t="str">
        <f aca="false">IF((E155="q"),H155," ")</f>
        <v> </v>
      </c>
      <c r="X155" s="17" t="str">
        <f aca="false">IF((E155="m"),H155," ")</f>
        <v> </v>
      </c>
      <c r="Y155" s="17" t="str">
        <f aca="false">IF((E155="u"),H155," ")</f>
        <v> </v>
      </c>
      <c r="Z155" s="17" t="str">
        <f aca="false">IF((E155="a"),H155," ")</f>
        <v> </v>
      </c>
      <c r="AA155" s="17" t="str">
        <f aca="false">IF((E155="g"),H155," ")</f>
        <v> </v>
      </c>
      <c r="AB155" s="17" t="str">
        <f aca="false">IF((E155="h"),H155," ")</f>
        <v> </v>
      </c>
      <c r="AC155" s="30" t="str">
        <f aca="false">IF((E155="v"),H155," ")</f>
        <v> </v>
      </c>
      <c r="AD155" s="30" t="str">
        <f aca="false">IF((E155="n"),H155," ")</f>
        <v> </v>
      </c>
      <c r="AE155" s="17" t="str">
        <f aca="false">IF((E155="f"),H155," ")</f>
        <v> </v>
      </c>
      <c r="AF155" s="17" t="str">
        <f aca="false">IF((E155="l"),H155," ")</f>
        <v> </v>
      </c>
      <c r="AG155" s="17" t="str">
        <f aca="false">IF((E155="y"),H155," ")</f>
        <v> </v>
      </c>
      <c r="AH155" s="17" t="str">
        <f aca="false">IF((E155="z"),H155," ")</f>
        <v> </v>
      </c>
      <c r="AI155" s="17" t="str">
        <f aca="false">IF((E155="fa"),H155," ")</f>
        <v> </v>
      </c>
      <c r="AJ155" s="17" t="str">
        <f aca="false">IF((E155="e"),H155," ")</f>
        <v> </v>
      </c>
    </row>
    <row r="156" customFormat="false" ht="12" hidden="false" customHeight="false" outlineLevel="0" collapsed="false">
      <c r="A156" s="28"/>
      <c r="E156" s="2" t="str">
        <f aca="false">IF((F156&lt;&gt;0),"Enter Letter"," ")</f>
        <v> </v>
      </c>
      <c r="F156" s="30"/>
      <c r="G156" s="6" t="str">
        <f aca="false">IF(F156&lt;&gt;0,F156*G$2/(100+G$2)," ")</f>
        <v> </v>
      </c>
      <c r="H156" s="6" t="str">
        <f aca="false">IF((F156&lt;&gt;0),F156-G156," ")</f>
        <v> </v>
      </c>
      <c r="I156" s="5"/>
      <c r="L156" s="7" t="str">
        <f aca="false">IF(F156&lt;&gt;0,F156-K156," ")</f>
        <v> </v>
      </c>
      <c r="M156" s="8" t="str">
        <f aca="false">IF((F156-K156)&lt;&gt;0,M$1-A156," ")</f>
        <v> </v>
      </c>
      <c r="N156" s="5"/>
      <c r="O156" s="17" t="str">
        <f aca="false">IF((E156="s"),H156," ")</f>
        <v> </v>
      </c>
      <c r="P156" s="17" t="str">
        <f aca="false">IF((E156="c"),H156," ")</f>
        <v> </v>
      </c>
      <c r="Q156" s="17" t="str">
        <f aca="false">IF((E156="o"),H156," ")</f>
        <v> </v>
      </c>
      <c r="R156" s="17" t="str">
        <f aca="false">IF((E156="d"),H156," ")</f>
        <v> </v>
      </c>
      <c r="S156" s="17" t="str">
        <f aca="false">IF((E156="w"),H156," ")</f>
        <v> </v>
      </c>
      <c r="T156" s="17" t="str">
        <f aca="false">IF((E156="r"),H156," ")</f>
        <v> </v>
      </c>
      <c r="U156" s="17" t="str">
        <f aca="false">IF((E156="p"),H156," ")</f>
        <v> </v>
      </c>
      <c r="V156" s="17" t="str">
        <f aca="false">IF((E156="t"),H156," ")</f>
        <v> </v>
      </c>
      <c r="W156" s="17" t="str">
        <f aca="false">IF((E156="q"),H156," ")</f>
        <v> </v>
      </c>
      <c r="X156" s="17" t="str">
        <f aca="false">IF((E156="m"),H156," ")</f>
        <v> </v>
      </c>
      <c r="Y156" s="17" t="str">
        <f aca="false">IF((E156="u"),H156," ")</f>
        <v> </v>
      </c>
      <c r="Z156" s="17" t="str">
        <f aca="false">IF((E156="a"),H156," ")</f>
        <v> </v>
      </c>
      <c r="AA156" s="17" t="str">
        <f aca="false">IF((E156="g"),H156," ")</f>
        <v> </v>
      </c>
      <c r="AB156" s="17" t="str">
        <f aca="false">IF((E156="h"),H156," ")</f>
        <v> </v>
      </c>
      <c r="AC156" s="30" t="str">
        <f aca="false">IF((E156="v"),H156," ")</f>
        <v> </v>
      </c>
      <c r="AD156" s="30" t="str">
        <f aca="false">IF((E156="n"),H156," ")</f>
        <v> </v>
      </c>
      <c r="AE156" s="17" t="str">
        <f aca="false">IF((E156="f"),H156," ")</f>
        <v> </v>
      </c>
      <c r="AF156" s="17" t="str">
        <f aca="false">IF((E156="l"),H156," ")</f>
        <v> </v>
      </c>
      <c r="AG156" s="17" t="str">
        <f aca="false">IF((E156="y"),H156," ")</f>
        <v> </v>
      </c>
      <c r="AH156" s="17" t="str">
        <f aca="false">IF((E156="z"),H156," ")</f>
        <v> </v>
      </c>
      <c r="AI156" s="17" t="str">
        <f aca="false">IF((E156="fa"),H156," ")</f>
        <v> </v>
      </c>
      <c r="AJ156" s="17" t="str">
        <f aca="false">IF((E156="e"),H156," ")</f>
        <v> </v>
      </c>
    </row>
    <row r="157" customFormat="false" ht="12" hidden="false" customHeight="false" outlineLevel="0" collapsed="false">
      <c r="A157" s="28"/>
      <c r="E157" s="2" t="str">
        <f aca="false">IF((F157&lt;&gt;0),"Enter Letter"," ")</f>
        <v> </v>
      </c>
      <c r="F157" s="30"/>
      <c r="G157" s="6" t="str">
        <f aca="false">IF(F157&lt;&gt;0,F157*G$2/(100+G$2)," ")</f>
        <v> </v>
      </c>
      <c r="H157" s="6" t="str">
        <f aca="false">IF((F157&lt;&gt;0),F157-G157," ")</f>
        <v> </v>
      </c>
      <c r="I157" s="5"/>
      <c r="L157" s="7" t="str">
        <f aca="false">IF(F157&lt;&gt;0,F157-K157," ")</f>
        <v> </v>
      </c>
      <c r="M157" s="8" t="str">
        <f aca="false">IF((F157-K157)&lt;&gt;0,M$1-A157," ")</f>
        <v> </v>
      </c>
      <c r="N157" s="5"/>
      <c r="O157" s="17" t="str">
        <f aca="false">IF((E157="s"),H157," ")</f>
        <v> </v>
      </c>
      <c r="P157" s="17" t="str">
        <f aca="false">IF((E157="c"),H157," ")</f>
        <v> </v>
      </c>
      <c r="Q157" s="17" t="str">
        <f aca="false">IF((E157="o"),H157," ")</f>
        <v> </v>
      </c>
      <c r="R157" s="17" t="str">
        <f aca="false">IF((E157="d"),H157," ")</f>
        <v> </v>
      </c>
      <c r="S157" s="17" t="str">
        <f aca="false">IF((E157="w"),H157," ")</f>
        <v> </v>
      </c>
      <c r="T157" s="17" t="str">
        <f aca="false">IF((E157="r"),H157," ")</f>
        <v> </v>
      </c>
      <c r="U157" s="17" t="str">
        <f aca="false">IF((E157="p"),H157," ")</f>
        <v> </v>
      </c>
      <c r="V157" s="17" t="str">
        <f aca="false">IF((E157="t"),H157," ")</f>
        <v> </v>
      </c>
      <c r="W157" s="17" t="str">
        <f aca="false">IF((E157="q"),H157," ")</f>
        <v> </v>
      </c>
      <c r="X157" s="17" t="str">
        <f aca="false">IF((E157="m"),H157," ")</f>
        <v> </v>
      </c>
      <c r="Y157" s="17" t="str">
        <f aca="false">IF((E157="u"),H157," ")</f>
        <v> </v>
      </c>
      <c r="Z157" s="17" t="str">
        <f aca="false">IF((E157="a"),H157," ")</f>
        <v> </v>
      </c>
      <c r="AA157" s="17" t="str">
        <f aca="false">IF((E157="g"),H157," ")</f>
        <v> </v>
      </c>
      <c r="AB157" s="17" t="str">
        <f aca="false">IF((E157="h"),H157," ")</f>
        <v> </v>
      </c>
      <c r="AC157" s="30" t="str">
        <f aca="false">IF((E157="v"),H157," ")</f>
        <v> </v>
      </c>
      <c r="AD157" s="30" t="str">
        <f aca="false">IF((E157="n"),H157," ")</f>
        <v> </v>
      </c>
      <c r="AE157" s="17" t="str">
        <f aca="false">IF((E157="f"),H157," ")</f>
        <v> </v>
      </c>
      <c r="AF157" s="17" t="str">
        <f aca="false">IF((E157="l"),H157," ")</f>
        <v> </v>
      </c>
      <c r="AG157" s="17" t="str">
        <f aca="false">IF((E157="y"),H157," ")</f>
        <v> </v>
      </c>
      <c r="AH157" s="17" t="str">
        <f aca="false">IF((E157="z"),H157," ")</f>
        <v> </v>
      </c>
      <c r="AI157" s="17" t="str">
        <f aca="false">IF((E157="fa"),H157," ")</f>
        <v> </v>
      </c>
      <c r="AJ157" s="17" t="str">
        <f aca="false">IF((E157="e"),H157," ")</f>
        <v> </v>
      </c>
    </row>
    <row r="158" customFormat="false" ht="12" hidden="false" customHeight="false" outlineLevel="0" collapsed="false">
      <c r="A158" s="28"/>
      <c r="E158" s="2" t="str">
        <f aca="false">IF((F158&lt;&gt;0),"Enter Letter"," ")</f>
        <v> </v>
      </c>
      <c r="F158" s="30"/>
      <c r="G158" s="6" t="str">
        <f aca="false">IF(F158&lt;&gt;0,F158*G$2/(100+G$2)," ")</f>
        <v> </v>
      </c>
      <c r="H158" s="6" t="str">
        <f aca="false">IF((F158&lt;&gt;0),F158-G158," ")</f>
        <v> </v>
      </c>
      <c r="I158" s="5"/>
      <c r="L158" s="7" t="str">
        <f aca="false">IF(F158&lt;&gt;0,F158-K158," ")</f>
        <v> </v>
      </c>
      <c r="M158" s="8" t="str">
        <f aca="false">IF((F158-K158)&lt;&gt;0,M$1-A158," ")</f>
        <v> </v>
      </c>
      <c r="N158" s="5"/>
      <c r="O158" s="17" t="str">
        <f aca="false">IF((E158="s"),H158," ")</f>
        <v> </v>
      </c>
      <c r="P158" s="17" t="str">
        <f aca="false">IF((E158="c"),H158," ")</f>
        <v> </v>
      </c>
      <c r="Q158" s="17" t="str">
        <f aca="false">IF((E158="o"),H158," ")</f>
        <v> </v>
      </c>
      <c r="R158" s="17" t="str">
        <f aca="false">IF((E158="d"),H158," ")</f>
        <v> </v>
      </c>
      <c r="S158" s="17" t="str">
        <f aca="false">IF((E158="w"),H158," ")</f>
        <v> </v>
      </c>
      <c r="T158" s="17" t="str">
        <f aca="false">IF((E158="r"),H158," ")</f>
        <v> </v>
      </c>
      <c r="U158" s="17" t="str">
        <f aca="false">IF((E158="p"),H158," ")</f>
        <v> </v>
      </c>
      <c r="V158" s="17" t="str">
        <f aca="false">IF((E158="t"),H158," ")</f>
        <v> </v>
      </c>
      <c r="W158" s="17" t="str">
        <f aca="false">IF((E158="q"),H158," ")</f>
        <v> </v>
      </c>
      <c r="X158" s="17" t="str">
        <f aca="false">IF((E158="m"),H158," ")</f>
        <v> </v>
      </c>
      <c r="Y158" s="17" t="str">
        <f aca="false">IF((E158="u"),H158," ")</f>
        <v> </v>
      </c>
      <c r="Z158" s="17" t="str">
        <f aca="false">IF((E158="a"),H158," ")</f>
        <v> </v>
      </c>
      <c r="AA158" s="17" t="str">
        <f aca="false">IF((E158="g"),H158," ")</f>
        <v> </v>
      </c>
      <c r="AB158" s="17" t="str">
        <f aca="false">IF((E158="h"),H158," ")</f>
        <v> </v>
      </c>
      <c r="AC158" s="30" t="str">
        <f aca="false">IF((E158="v"),H158," ")</f>
        <v> </v>
      </c>
      <c r="AD158" s="30" t="str">
        <f aca="false">IF((E158="n"),H158," ")</f>
        <v> </v>
      </c>
      <c r="AE158" s="17" t="str">
        <f aca="false">IF((E158="f"),H158," ")</f>
        <v> </v>
      </c>
      <c r="AF158" s="17" t="str">
        <f aca="false">IF((E158="l"),H158," ")</f>
        <v> </v>
      </c>
      <c r="AG158" s="17" t="str">
        <f aca="false">IF((E158="y"),H158," ")</f>
        <v> </v>
      </c>
      <c r="AH158" s="17" t="str">
        <f aca="false">IF((E158="z"),H158," ")</f>
        <v> </v>
      </c>
      <c r="AI158" s="17" t="str">
        <f aca="false">IF((E158="fa"),H158," ")</f>
        <v> </v>
      </c>
      <c r="AJ158" s="17" t="str">
        <f aca="false">IF((E158="e"),H158," ")</f>
        <v> </v>
      </c>
    </row>
    <row r="159" customFormat="false" ht="12" hidden="false" customHeight="false" outlineLevel="0" collapsed="false">
      <c r="A159" s="28"/>
      <c r="E159" s="2" t="str">
        <f aca="false">IF((F159&lt;&gt;0),"Enter Letter"," ")</f>
        <v> </v>
      </c>
      <c r="F159" s="30"/>
      <c r="G159" s="6" t="str">
        <f aca="false">IF(F159&lt;&gt;0,F159*G$2/(100+G$2)," ")</f>
        <v> </v>
      </c>
      <c r="H159" s="6" t="str">
        <f aca="false">IF((F159&lt;&gt;0),F159-G159," ")</f>
        <v> </v>
      </c>
      <c r="I159" s="5"/>
      <c r="L159" s="7" t="str">
        <f aca="false">IF(F159&lt;&gt;0,F159-K159," ")</f>
        <v> </v>
      </c>
      <c r="M159" s="8" t="str">
        <f aca="false">IF((F159-K159)&lt;&gt;0,M$1-A159," ")</f>
        <v> </v>
      </c>
      <c r="N159" s="5"/>
      <c r="O159" s="17" t="str">
        <f aca="false">IF((E159="s"),H159," ")</f>
        <v> </v>
      </c>
      <c r="P159" s="17" t="str">
        <f aca="false">IF((E159="c"),H159," ")</f>
        <v> </v>
      </c>
      <c r="Q159" s="17" t="str">
        <f aca="false">IF((E159="o"),H159," ")</f>
        <v> </v>
      </c>
      <c r="R159" s="17" t="str">
        <f aca="false">IF((E159="d"),H159," ")</f>
        <v> </v>
      </c>
      <c r="S159" s="17" t="str">
        <f aca="false">IF((E159="w"),H159," ")</f>
        <v> </v>
      </c>
      <c r="T159" s="17" t="str">
        <f aca="false">IF((E159="r"),H159," ")</f>
        <v> </v>
      </c>
      <c r="U159" s="17" t="str">
        <f aca="false">IF((E159="p"),H159," ")</f>
        <v> </v>
      </c>
      <c r="V159" s="17" t="str">
        <f aca="false">IF((E159="t"),H159," ")</f>
        <v> </v>
      </c>
      <c r="W159" s="17" t="str">
        <f aca="false">IF((E159="q"),H159," ")</f>
        <v> </v>
      </c>
      <c r="X159" s="17" t="str">
        <f aca="false">IF((E159="m"),H159," ")</f>
        <v> </v>
      </c>
      <c r="Y159" s="17" t="str">
        <f aca="false">IF((E159="u"),H159," ")</f>
        <v> </v>
      </c>
      <c r="Z159" s="17" t="str">
        <f aca="false">IF((E159="a"),H159," ")</f>
        <v> </v>
      </c>
      <c r="AA159" s="17" t="str">
        <f aca="false">IF((E159="g"),H159," ")</f>
        <v> </v>
      </c>
      <c r="AB159" s="17" t="str">
        <f aca="false">IF((E159="h"),H159," ")</f>
        <v> </v>
      </c>
      <c r="AC159" s="30" t="str">
        <f aca="false">IF((E159="v"),H159," ")</f>
        <v> </v>
      </c>
      <c r="AD159" s="30" t="str">
        <f aca="false">IF((E159="n"),H159," ")</f>
        <v> </v>
      </c>
      <c r="AE159" s="17" t="str">
        <f aca="false">IF((E159="f"),H159," ")</f>
        <v> </v>
      </c>
      <c r="AF159" s="17" t="str">
        <f aca="false">IF((E159="l"),H159," ")</f>
        <v> </v>
      </c>
      <c r="AG159" s="17" t="str">
        <f aca="false">IF((E159="y"),H159," ")</f>
        <v> </v>
      </c>
      <c r="AH159" s="17" t="str">
        <f aca="false">IF((E159="z"),H159," ")</f>
        <v> </v>
      </c>
      <c r="AI159" s="17" t="str">
        <f aca="false">IF((E159="fa"),H159," ")</f>
        <v> </v>
      </c>
      <c r="AJ159" s="17" t="str">
        <f aca="false">IF((E159="e"),H159," ")</f>
        <v> </v>
      </c>
    </row>
    <row r="160" customFormat="false" ht="12" hidden="false" customHeight="false" outlineLevel="0" collapsed="false">
      <c r="A160" s="28"/>
      <c r="E160" s="2" t="str">
        <f aca="false">IF((F160&lt;&gt;0),"Enter Letter"," ")</f>
        <v> </v>
      </c>
      <c r="F160" s="30"/>
      <c r="G160" s="6" t="str">
        <f aca="false">IF(F160&lt;&gt;0,F160*G$2/(100+G$2)," ")</f>
        <v> </v>
      </c>
      <c r="H160" s="6" t="str">
        <f aca="false">IF((F160&lt;&gt;0),F160-G160," ")</f>
        <v> </v>
      </c>
      <c r="I160" s="5"/>
      <c r="L160" s="7" t="str">
        <f aca="false">IF(F160&lt;&gt;0,F160-K160," ")</f>
        <v> </v>
      </c>
      <c r="M160" s="8" t="str">
        <f aca="false">IF((F160-K160)&lt;&gt;0,M$1-A160," ")</f>
        <v> </v>
      </c>
      <c r="N160" s="5"/>
      <c r="O160" s="17" t="str">
        <f aca="false">IF((E160="s"),H160," ")</f>
        <v> </v>
      </c>
      <c r="P160" s="17" t="str">
        <f aca="false">IF((E160="c"),H160," ")</f>
        <v> </v>
      </c>
      <c r="Q160" s="17" t="str">
        <f aca="false">IF((E160="o"),H160," ")</f>
        <v> </v>
      </c>
      <c r="R160" s="17" t="str">
        <f aca="false">IF((E160="d"),H160," ")</f>
        <v> </v>
      </c>
      <c r="S160" s="17" t="str">
        <f aca="false">IF((E160="w"),H160," ")</f>
        <v> </v>
      </c>
      <c r="T160" s="17" t="str">
        <f aca="false">IF((E160="r"),H160," ")</f>
        <v> </v>
      </c>
      <c r="U160" s="17" t="str">
        <f aca="false">IF((E160="p"),H160," ")</f>
        <v> </v>
      </c>
      <c r="V160" s="17" t="str">
        <f aca="false">IF((E160="t"),H160," ")</f>
        <v> </v>
      </c>
      <c r="W160" s="17" t="str">
        <f aca="false">IF((E160="q"),H160," ")</f>
        <v> </v>
      </c>
      <c r="X160" s="17" t="str">
        <f aca="false">IF((E160="m"),H160," ")</f>
        <v> </v>
      </c>
      <c r="Y160" s="17" t="str">
        <f aca="false">IF((E160="u"),H160," ")</f>
        <v> </v>
      </c>
      <c r="Z160" s="17" t="str">
        <f aca="false">IF((E160="a"),H160," ")</f>
        <v> </v>
      </c>
      <c r="AA160" s="17" t="str">
        <f aca="false">IF((E160="g"),H160," ")</f>
        <v> </v>
      </c>
      <c r="AB160" s="17" t="str">
        <f aca="false">IF((E160="h"),H160," ")</f>
        <v> </v>
      </c>
      <c r="AC160" s="30" t="str">
        <f aca="false">IF((E160="v"),H160," ")</f>
        <v> </v>
      </c>
      <c r="AD160" s="30" t="str">
        <f aca="false">IF((E160="n"),H160," ")</f>
        <v> </v>
      </c>
      <c r="AE160" s="17" t="str">
        <f aca="false">IF((E160="f"),H160," ")</f>
        <v> </v>
      </c>
      <c r="AF160" s="17" t="str">
        <f aca="false">IF((E160="l"),H160," ")</f>
        <v> </v>
      </c>
      <c r="AG160" s="17" t="str">
        <f aca="false">IF((E160="y"),H160," ")</f>
        <v> </v>
      </c>
      <c r="AH160" s="17" t="str">
        <f aca="false">IF((E160="z"),H160," ")</f>
        <v> </v>
      </c>
      <c r="AI160" s="17" t="str">
        <f aca="false">IF((E160="fa"),H160," ")</f>
        <v> </v>
      </c>
      <c r="AJ160" s="17" t="str">
        <f aca="false">IF((E160="e"),H160," ")</f>
        <v> </v>
      </c>
    </row>
    <row r="161" customFormat="false" ht="12" hidden="false" customHeight="false" outlineLevel="0" collapsed="false">
      <c r="A161" s="28"/>
      <c r="E161" s="2" t="str">
        <f aca="false">IF((F161&lt;&gt;0),"Enter Letter"," ")</f>
        <v> </v>
      </c>
      <c r="F161" s="30"/>
      <c r="G161" s="6" t="str">
        <f aca="false">IF(F161&lt;&gt;0,F161*G$2/(100+G$2)," ")</f>
        <v> </v>
      </c>
      <c r="H161" s="6" t="str">
        <f aca="false">IF((F161&lt;&gt;0),F161-G161," ")</f>
        <v> </v>
      </c>
      <c r="I161" s="5"/>
      <c r="L161" s="7" t="str">
        <f aca="false">IF(F161&lt;&gt;0,F161-K161," ")</f>
        <v> </v>
      </c>
      <c r="M161" s="8" t="str">
        <f aca="false">IF((F161-K161)&lt;&gt;0,M$1-A161," ")</f>
        <v> </v>
      </c>
      <c r="N161" s="5"/>
      <c r="O161" s="17" t="str">
        <f aca="false">IF((E161="s"),H161," ")</f>
        <v> </v>
      </c>
      <c r="P161" s="17" t="str">
        <f aca="false">IF((E161="c"),H161," ")</f>
        <v> </v>
      </c>
      <c r="Q161" s="17" t="str">
        <f aca="false">IF((E161="o"),H161," ")</f>
        <v> </v>
      </c>
      <c r="R161" s="17" t="str">
        <f aca="false">IF((E161="d"),H161," ")</f>
        <v> </v>
      </c>
      <c r="S161" s="17" t="str">
        <f aca="false">IF((E161="w"),H161," ")</f>
        <v> </v>
      </c>
      <c r="T161" s="17" t="str">
        <f aca="false">IF((E161="r"),H161," ")</f>
        <v> </v>
      </c>
      <c r="U161" s="17" t="str">
        <f aca="false">IF((E161="p"),H161," ")</f>
        <v> </v>
      </c>
      <c r="V161" s="17" t="str">
        <f aca="false">IF((E161="t"),H161," ")</f>
        <v> </v>
      </c>
      <c r="W161" s="17" t="str">
        <f aca="false">IF((E161="q"),H161," ")</f>
        <v> </v>
      </c>
      <c r="X161" s="17" t="str">
        <f aca="false">IF((E161="m"),H161," ")</f>
        <v> </v>
      </c>
      <c r="Y161" s="17" t="str">
        <f aca="false">IF((E161="u"),H161," ")</f>
        <v> </v>
      </c>
      <c r="Z161" s="17" t="str">
        <f aca="false">IF((E161="a"),H161," ")</f>
        <v> </v>
      </c>
      <c r="AA161" s="17" t="str">
        <f aca="false">IF((E161="g"),H161," ")</f>
        <v> </v>
      </c>
      <c r="AB161" s="17" t="str">
        <f aca="false">IF((E161="h"),H161," ")</f>
        <v> </v>
      </c>
      <c r="AC161" s="30" t="str">
        <f aca="false">IF((E161="v"),H161," ")</f>
        <v> </v>
      </c>
      <c r="AD161" s="30" t="str">
        <f aca="false">IF((E161="n"),H161," ")</f>
        <v> </v>
      </c>
      <c r="AE161" s="17" t="str">
        <f aca="false">IF((E161="f"),H161," ")</f>
        <v> </v>
      </c>
      <c r="AF161" s="17" t="str">
        <f aca="false">IF((E161="l"),H161," ")</f>
        <v> </v>
      </c>
      <c r="AG161" s="17" t="str">
        <f aca="false">IF((E161="y"),H161," ")</f>
        <v> </v>
      </c>
      <c r="AH161" s="17" t="str">
        <f aca="false">IF((E161="z"),H161," ")</f>
        <v> </v>
      </c>
      <c r="AI161" s="17" t="str">
        <f aca="false">IF((E161="fa"),H161," ")</f>
        <v> </v>
      </c>
      <c r="AJ161" s="17" t="str">
        <f aca="false">IF((E161="e"),H161," ")</f>
        <v> </v>
      </c>
    </row>
    <row r="162" customFormat="false" ht="12" hidden="false" customHeight="false" outlineLevel="0" collapsed="false">
      <c r="A162" s="28"/>
      <c r="E162" s="2" t="str">
        <f aca="false">IF((F162&lt;&gt;0),"Enter Letter"," ")</f>
        <v> </v>
      </c>
      <c r="F162" s="30"/>
      <c r="G162" s="6" t="str">
        <f aca="false">IF(F162&lt;&gt;0,F162*G$2/(100+G$2)," ")</f>
        <v> </v>
      </c>
      <c r="H162" s="6" t="str">
        <f aca="false">IF((F162&lt;&gt;0),F162-G162," ")</f>
        <v> </v>
      </c>
      <c r="I162" s="5"/>
      <c r="L162" s="7" t="str">
        <f aca="false">IF(F162&lt;&gt;0,F162-K162," ")</f>
        <v> </v>
      </c>
      <c r="M162" s="8" t="str">
        <f aca="false">IF((F162-K162)&lt;&gt;0,M$1-A162," ")</f>
        <v> </v>
      </c>
      <c r="N162" s="5"/>
      <c r="O162" s="17" t="str">
        <f aca="false">IF((E162="s"),H162," ")</f>
        <v> </v>
      </c>
      <c r="P162" s="17" t="str">
        <f aca="false">IF((E162="c"),H162," ")</f>
        <v> </v>
      </c>
      <c r="Q162" s="17" t="str">
        <f aca="false">IF((E162="o"),H162," ")</f>
        <v> </v>
      </c>
      <c r="R162" s="17" t="str">
        <f aca="false">IF((E162="d"),H162," ")</f>
        <v> </v>
      </c>
      <c r="S162" s="17" t="str">
        <f aca="false">IF((E162="w"),H162," ")</f>
        <v> </v>
      </c>
      <c r="T162" s="17" t="str">
        <f aca="false">IF((E162="r"),H162," ")</f>
        <v> </v>
      </c>
      <c r="U162" s="17" t="str">
        <f aca="false">IF((E162="p"),H162," ")</f>
        <v> </v>
      </c>
      <c r="V162" s="17" t="str">
        <f aca="false">IF((E162="t"),H162," ")</f>
        <v> </v>
      </c>
      <c r="W162" s="17" t="str">
        <f aca="false">IF((E162="q"),H162," ")</f>
        <v> </v>
      </c>
      <c r="X162" s="17" t="str">
        <f aca="false">IF((E162="m"),H162," ")</f>
        <v> </v>
      </c>
      <c r="Y162" s="17" t="str">
        <f aca="false">IF((E162="u"),H162," ")</f>
        <v> </v>
      </c>
      <c r="Z162" s="17" t="str">
        <f aca="false">IF((E162="a"),H162," ")</f>
        <v> </v>
      </c>
      <c r="AA162" s="17" t="str">
        <f aca="false">IF((E162="g"),H162," ")</f>
        <v> </v>
      </c>
      <c r="AB162" s="17" t="str">
        <f aca="false">IF((E162="h"),H162," ")</f>
        <v> </v>
      </c>
      <c r="AC162" s="30" t="str">
        <f aca="false">IF((E162="v"),H162," ")</f>
        <v> </v>
      </c>
      <c r="AD162" s="30" t="str">
        <f aca="false">IF((E162="n"),H162," ")</f>
        <v> </v>
      </c>
      <c r="AE162" s="17" t="str">
        <f aca="false">IF((E162="f"),H162," ")</f>
        <v> </v>
      </c>
      <c r="AF162" s="17" t="str">
        <f aca="false">IF((E162="l"),H162," ")</f>
        <v> </v>
      </c>
      <c r="AG162" s="17" t="str">
        <f aca="false">IF((E162="y"),H162," ")</f>
        <v> </v>
      </c>
      <c r="AH162" s="17" t="str">
        <f aca="false">IF((E162="z"),H162," ")</f>
        <v> </v>
      </c>
      <c r="AI162" s="17" t="str">
        <f aca="false">IF((E162="fa"),H162," ")</f>
        <v> </v>
      </c>
      <c r="AJ162" s="17" t="str">
        <f aca="false">IF((E162="e"),H162," ")</f>
        <v> </v>
      </c>
    </row>
    <row r="163" customFormat="false" ht="12" hidden="false" customHeight="false" outlineLevel="0" collapsed="false">
      <c r="A163" s="28"/>
      <c r="E163" s="2" t="str">
        <f aca="false">IF((F163&lt;&gt;0),"Enter Letter"," ")</f>
        <v> </v>
      </c>
      <c r="F163" s="30"/>
      <c r="G163" s="6" t="str">
        <f aca="false">IF(F163&lt;&gt;0,F163*G$2/(100+G$2)," ")</f>
        <v> </v>
      </c>
      <c r="H163" s="6" t="str">
        <f aca="false">IF((F163&lt;&gt;0),F163-G163," ")</f>
        <v> </v>
      </c>
      <c r="I163" s="5"/>
      <c r="L163" s="7" t="str">
        <f aca="false">IF(F163&lt;&gt;0,F163-K163," ")</f>
        <v> </v>
      </c>
      <c r="M163" s="8" t="str">
        <f aca="false">IF((F163-K163)&lt;&gt;0,M$1-A163," ")</f>
        <v> </v>
      </c>
      <c r="N163" s="5"/>
      <c r="O163" s="17" t="str">
        <f aca="false">IF((E163="s"),H163," ")</f>
        <v> </v>
      </c>
      <c r="P163" s="17" t="str">
        <f aca="false">IF((E163="c"),H163," ")</f>
        <v> </v>
      </c>
      <c r="Q163" s="17" t="str">
        <f aca="false">IF((E163="o"),H163," ")</f>
        <v> </v>
      </c>
      <c r="R163" s="17" t="str">
        <f aca="false">IF((E163="d"),H163," ")</f>
        <v> </v>
      </c>
      <c r="S163" s="17" t="str">
        <f aca="false">IF((E163="w"),H163," ")</f>
        <v> </v>
      </c>
      <c r="T163" s="17" t="str">
        <f aca="false">IF((E163="r"),H163," ")</f>
        <v> </v>
      </c>
      <c r="U163" s="17" t="str">
        <f aca="false">IF((E163="p"),H163," ")</f>
        <v> </v>
      </c>
      <c r="V163" s="17" t="str">
        <f aca="false">IF((E163="t"),H163," ")</f>
        <v> </v>
      </c>
      <c r="W163" s="17" t="str">
        <f aca="false">IF((E163="q"),H163," ")</f>
        <v> </v>
      </c>
      <c r="X163" s="17" t="str">
        <f aca="false">IF((E163="m"),H163," ")</f>
        <v> </v>
      </c>
      <c r="Y163" s="17" t="str">
        <f aca="false">IF((E163="u"),H163," ")</f>
        <v> </v>
      </c>
      <c r="Z163" s="17" t="str">
        <f aca="false">IF((E163="a"),H163," ")</f>
        <v> </v>
      </c>
      <c r="AA163" s="17" t="str">
        <f aca="false">IF((E163="g"),H163," ")</f>
        <v> </v>
      </c>
      <c r="AB163" s="17" t="str">
        <f aca="false">IF((E163="h"),H163," ")</f>
        <v> </v>
      </c>
      <c r="AC163" s="30" t="str">
        <f aca="false">IF((E163="v"),H163," ")</f>
        <v> </v>
      </c>
      <c r="AD163" s="30" t="str">
        <f aca="false">IF((E163="n"),H163," ")</f>
        <v> </v>
      </c>
      <c r="AE163" s="17" t="str">
        <f aca="false">IF((E163="f"),H163," ")</f>
        <v> </v>
      </c>
      <c r="AF163" s="17" t="str">
        <f aca="false">IF((E163="l"),H163," ")</f>
        <v> </v>
      </c>
      <c r="AG163" s="17" t="str">
        <f aca="false">IF((E163="y"),H163," ")</f>
        <v> </v>
      </c>
      <c r="AH163" s="17" t="str">
        <f aca="false">IF((E163="z"),H163," ")</f>
        <v> </v>
      </c>
      <c r="AI163" s="17" t="str">
        <f aca="false">IF((E163="fa"),H163," ")</f>
        <v> </v>
      </c>
      <c r="AJ163" s="17" t="str">
        <f aca="false">IF((E163="e"),H163," ")</f>
        <v> </v>
      </c>
    </row>
    <row r="164" customFormat="false" ht="12" hidden="false" customHeight="false" outlineLevel="0" collapsed="false">
      <c r="A164" s="28"/>
      <c r="E164" s="2" t="str">
        <f aca="false">IF((F164&lt;&gt;0),"Enter Letter"," ")</f>
        <v> </v>
      </c>
      <c r="F164" s="30"/>
      <c r="G164" s="6" t="str">
        <f aca="false">IF(F164&lt;&gt;0,F164*G$2/(100+G$2)," ")</f>
        <v> </v>
      </c>
      <c r="H164" s="6" t="str">
        <f aca="false">IF((F164&lt;&gt;0),F164-G164," ")</f>
        <v> </v>
      </c>
      <c r="I164" s="5"/>
      <c r="L164" s="7" t="str">
        <f aca="false">IF(F164&lt;&gt;0,F164-K164," ")</f>
        <v> </v>
      </c>
      <c r="M164" s="8" t="str">
        <f aca="false">IF((F164-K164)&lt;&gt;0,M$1-A164," ")</f>
        <v> </v>
      </c>
      <c r="N164" s="5"/>
      <c r="O164" s="17" t="str">
        <f aca="false">IF((E164="s"),H164," ")</f>
        <v> </v>
      </c>
      <c r="P164" s="17" t="str">
        <f aca="false">IF((E164="c"),H164," ")</f>
        <v> </v>
      </c>
      <c r="Q164" s="17" t="str">
        <f aca="false">IF((E164="o"),H164," ")</f>
        <v> </v>
      </c>
      <c r="R164" s="17" t="str">
        <f aca="false">IF((E164="d"),H164," ")</f>
        <v> </v>
      </c>
      <c r="S164" s="17" t="str">
        <f aca="false">IF((E164="w"),H164," ")</f>
        <v> </v>
      </c>
      <c r="T164" s="17" t="str">
        <f aca="false">IF((E164="r"),H164," ")</f>
        <v> </v>
      </c>
      <c r="U164" s="17" t="str">
        <f aca="false">IF((E164="p"),H164," ")</f>
        <v> </v>
      </c>
      <c r="V164" s="17" t="str">
        <f aca="false">IF((E164="t"),H164," ")</f>
        <v> </v>
      </c>
      <c r="W164" s="17" t="str">
        <f aca="false">IF((E164="q"),H164," ")</f>
        <v> </v>
      </c>
      <c r="X164" s="17" t="str">
        <f aca="false">IF((E164="m"),H164," ")</f>
        <v> </v>
      </c>
      <c r="Y164" s="17" t="str">
        <f aca="false">IF((E164="u"),H164," ")</f>
        <v> </v>
      </c>
      <c r="Z164" s="17" t="str">
        <f aca="false">IF((E164="a"),H164," ")</f>
        <v> </v>
      </c>
      <c r="AA164" s="17" t="str">
        <f aca="false">IF((E164="g"),H164," ")</f>
        <v> </v>
      </c>
      <c r="AB164" s="17" t="str">
        <f aca="false">IF((E164="h"),H164," ")</f>
        <v> </v>
      </c>
      <c r="AC164" s="30" t="str">
        <f aca="false">IF((E164="v"),H164," ")</f>
        <v> </v>
      </c>
      <c r="AD164" s="30" t="str">
        <f aca="false">IF((E164="n"),H164," ")</f>
        <v> </v>
      </c>
      <c r="AE164" s="17" t="str">
        <f aca="false">IF((E164="f"),H164," ")</f>
        <v> </v>
      </c>
      <c r="AF164" s="17" t="str">
        <f aca="false">IF((E164="l"),H164," ")</f>
        <v> </v>
      </c>
      <c r="AG164" s="17" t="str">
        <f aca="false">IF((E164="y"),H164," ")</f>
        <v> </v>
      </c>
      <c r="AH164" s="17" t="str">
        <f aca="false">IF((E164="z"),H164," ")</f>
        <v> </v>
      </c>
      <c r="AI164" s="17" t="str">
        <f aca="false">IF((E164="fa"),H164," ")</f>
        <v> </v>
      </c>
      <c r="AJ164" s="17" t="str">
        <f aca="false">IF((E164="e"),H164," ")</f>
        <v> </v>
      </c>
    </row>
    <row r="165" customFormat="false" ht="12" hidden="false" customHeight="false" outlineLevel="0" collapsed="false">
      <c r="A165" s="28"/>
      <c r="E165" s="2" t="str">
        <f aca="false">IF((F165&lt;&gt;0),"Enter Letter"," ")</f>
        <v> </v>
      </c>
      <c r="F165" s="30"/>
      <c r="G165" s="6" t="str">
        <f aca="false">IF(F165&lt;&gt;0,F165*G$2/(100+G$2)," ")</f>
        <v> </v>
      </c>
      <c r="H165" s="6" t="str">
        <f aca="false">IF((F165&lt;&gt;0),F165-G165," ")</f>
        <v> </v>
      </c>
      <c r="I165" s="5"/>
      <c r="L165" s="7" t="str">
        <f aca="false">IF(F165&lt;&gt;0,F165-K165," ")</f>
        <v> </v>
      </c>
      <c r="M165" s="8" t="str">
        <f aca="false">IF((F165-K165)&lt;&gt;0,M$1-A165," ")</f>
        <v> </v>
      </c>
      <c r="N165" s="5"/>
      <c r="O165" s="17" t="str">
        <f aca="false">IF((E165="s"),H165," ")</f>
        <v> </v>
      </c>
      <c r="P165" s="17" t="str">
        <f aca="false">IF((E165="c"),H165," ")</f>
        <v> </v>
      </c>
      <c r="Q165" s="17" t="str">
        <f aca="false">IF((E165="o"),H165," ")</f>
        <v> </v>
      </c>
      <c r="R165" s="17" t="str">
        <f aca="false">IF((E165="d"),H165," ")</f>
        <v> </v>
      </c>
      <c r="S165" s="17" t="str">
        <f aca="false">IF((E165="w"),H165," ")</f>
        <v> </v>
      </c>
      <c r="T165" s="17" t="str">
        <f aca="false">IF((E165="r"),H165," ")</f>
        <v> </v>
      </c>
      <c r="U165" s="17" t="str">
        <f aca="false">IF((E165="p"),H165," ")</f>
        <v> </v>
      </c>
      <c r="V165" s="17" t="str">
        <f aca="false">IF((E165="t"),H165," ")</f>
        <v> </v>
      </c>
      <c r="W165" s="17" t="str">
        <f aca="false">IF((E165="q"),H165," ")</f>
        <v> </v>
      </c>
      <c r="X165" s="17" t="str">
        <f aca="false">IF((E165="m"),H165," ")</f>
        <v> </v>
      </c>
      <c r="Y165" s="17" t="str">
        <f aca="false">IF((E165="u"),H165," ")</f>
        <v> </v>
      </c>
      <c r="Z165" s="17" t="str">
        <f aca="false">IF((E165="a"),H165," ")</f>
        <v> </v>
      </c>
      <c r="AA165" s="17" t="str">
        <f aca="false">IF((E165="g"),H165," ")</f>
        <v> </v>
      </c>
      <c r="AB165" s="17" t="str">
        <f aca="false">IF((E165="h"),H165," ")</f>
        <v> </v>
      </c>
      <c r="AC165" s="30" t="str">
        <f aca="false">IF((E165="v"),H165," ")</f>
        <v> </v>
      </c>
      <c r="AD165" s="30" t="str">
        <f aca="false">IF((E165="n"),H165," ")</f>
        <v> </v>
      </c>
      <c r="AE165" s="17" t="str">
        <f aca="false">IF((E165="f"),H165," ")</f>
        <v> </v>
      </c>
      <c r="AF165" s="17" t="str">
        <f aca="false">IF((E165="l"),H165," ")</f>
        <v> </v>
      </c>
      <c r="AG165" s="17" t="str">
        <f aca="false">IF((E165="y"),H165," ")</f>
        <v> </v>
      </c>
      <c r="AH165" s="17" t="str">
        <f aca="false">IF((E165="z"),H165," ")</f>
        <v> </v>
      </c>
      <c r="AI165" s="17" t="str">
        <f aca="false">IF((E165="fa"),H165," ")</f>
        <v> </v>
      </c>
      <c r="AJ165" s="17" t="str">
        <f aca="false">IF((E165="e"),H165," ")</f>
        <v> </v>
      </c>
    </row>
    <row r="166" customFormat="false" ht="12" hidden="false" customHeight="false" outlineLevel="0" collapsed="false">
      <c r="A166" s="28"/>
      <c r="E166" s="2" t="str">
        <f aca="false">IF((F166&lt;&gt;0),"Enter Letter"," ")</f>
        <v> </v>
      </c>
      <c r="F166" s="30"/>
      <c r="G166" s="6" t="str">
        <f aca="false">IF(F166&lt;&gt;0,F166*G$2/(100+G$2)," ")</f>
        <v> </v>
      </c>
      <c r="H166" s="6" t="str">
        <f aca="false">IF((F166&lt;&gt;0),F166-G166," ")</f>
        <v> </v>
      </c>
      <c r="I166" s="5"/>
      <c r="L166" s="7" t="str">
        <f aca="false">IF(F166&lt;&gt;0,F166-K166," ")</f>
        <v> </v>
      </c>
      <c r="M166" s="8" t="str">
        <f aca="false">IF((F166-K166)&lt;&gt;0,M$1-A166," ")</f>
        <v> </v>
      </c>
      <c r="N166" s="5"/>
      <c r="O166" s="17" t="str">
        <f aca="false">IF((E166="s"),H166," ")</f>
        <v> </v>
      </c>
      <c r="P166" s="17" t="str">
        <f aca="false">IF((E166="c"),H166," ")</f>
        <v> </v>
      </c>
      <c r="Q166" s="17" t="str">
        <f aca="false">IF((E166="o"),H166," ")</f>
        <v> </v>
      </c>
      <c r="R166" s="17" t="str">
        <f aca="false">IF((E166="d"),H166," ")</f>
        <v> </v>
      </c>
      <c r="S166" s="17" t="str">
        <f aca="false">IF((E166="w"),H166," ")</f>
        <v> </v>
      </c>
      <c r="T166" s="17" t="str">
        <f aca="false">IF((E166="r"),H166," ")</f>
        <v> </v>
      </c>
      <c r="U166" s="17" t="str">
        <f aca="false">IF((E166="p"),H166," ")</f>
        <v> </v>
      </c>
      <c r="V166" s="17" t="str">
        <f aca="false">IF((E166="t"),H166," ")</f>
        <v> </v>
      </c>
      <c r="W166" s="17" t="str">
        <f aca="false">IF((E166="q"),H166," ")</f>
        <v> </v>
      </c>
      <c r="X166" s="17" t="str">
        <f aca="false">IF((E166="m"),H166," ")</f>
        <v> </v>
      </c>
      <c r="Y166" s="17" t="str">
        <f aca="false">IF((E166="u"),H166," ")</f>
        <v> </v>
      </c>
      <c r="Z166" s="17" t="str">
        <f aca="false">IF((E166="a"),H166," ")</f>
        <v> </v>
      </c>
      <c r="AA166" s="17" t="str">
        <f aca="false">IF((E166="g"),H166," ")</f>
        <v> </v>
      </c>
      <c r="AB166" s="17" t="str">
        <f aca="false">IF((E166="h"),H166," ")</f>
        <v> </v>
      </c>
      <c r="AC166" s="30" t="str">
        <f aca="false">IF((E166="v"),H166," ")</f>
        <v> </v>
      </c>
      <c r="AD166" s="30" t="str">
        <f aca="false">IF((E166="n"),H166," ")</f>
        <v> </v>
      </c>
      <c r="AE166" s="17" t="str">
        <f aca="false">IF((E166="f"),H166," ")</f>
        <v> </v>
      </c>
      <c r="AF166" s="17" t="str">
        <f aca="false">IF((E166="l"),H166," ")</f>
        <v> </v>
      </c>
      <c r="AG166" s="17" t="str">
        <f aca="false">IF((E166="y"),H166," ")</f>
        <v> </v>
      </c>
      <c r="AH166" s="17" t="str">
        <f aca="false">IF((E166="z"),H166," ")</f>
        <v> </v>
      </c>
      <c r="AI166" s="17" t="str">
        <f aca="false">IF((E166="fa"),H166," ")</f>
        <v> </v>
      </c>
      <c r="AJ166" s="17" t="str">
        <f aca="false">IF((E166="e"),H166," ")</f>
        <v> </v>
      </c>
    </row>
    <row r="167" customFormat="false" ht="12" hidden="false" customHeight="false" outlineLevel="0" collapsed="false">
      <c r="A167" s="28"/>
      <c r="E167" s="2" t="str">
        <f aca="false">IF((F167&lt;&gt;0),"Enter Letter"," ")</f>
        <v> </v>
      </c>
      <c r="F167" s="30"/>
      <c r="G167" s="6" t="str">
        <f aca="false">IF(F167&lt;&gt;0,F167*G$2/(100+G$2)," ")</f>
        <v> </v>
      </c>
      <c r="H167" s="6" t="str">
        <f aca="false">IF((F167&lt;&gt;0),F167-G167," ")</f>
        <v> </v>
      </c>
      <c r="I167" s="5"/>
      <c r="L167" s="7" t="str">
        <f aca="false">IF(F167&lt;&gt;0,F167-K167," ")</f>
        <v> </v>
      </c>
      <c r="M167" s="8" t="str">
        <f aca="false">IF((F167-K167)&lt;&gt;0,M$1-A167," ")</f>
        <v> </v>
      </c>
      <c r="N167" s="5"/>
      <c r="O167" s="17" t="str">
        <f aca="false">IF((E167="s"),H167," ")</f>
        <v> </v>
      </c>
      <c r="P167" s="17" t="str">
        <f aca="false">IF((E167="c"),H167," ")</f>
        <v> </v>
      </c>
      <c r="Q167" s="17" t="str">
        <f aca="false">IF((E167="o"),H167," ")</f>
        <v> </v>
      </c>
      <c r="R167" s="17" t="str">
        <f aca="false">IF((E167="d"),H167," ")</f>
        <v> </v>
      </c>
      <c r="S167" s="17" t="str">
        <f aca="false">IF((E167="w"),H167," ")</f>
        <v> </v>
      </c>
      <c r="T167" s="17" t="str">
        <f aca="false">IF((E167="r"),H167," ")</f>
        <v> </v>
      </c>
      <c r="U167" s="17" t="str">
        <f aca="false">IF((E167="p"),H167," ")</f>
        <v> </v>
      </c>
      <c r="V167" s="17" t="str">
        <f aca="false">IF((E167="t"),H167," ")</f>
        <v> </v>
      </c>
      <c r="W167" s="17" t="str">
        <f aca="false">IF((E167="q"),H167," ")</f>
        <v> </v>
      </c>
      <c r="X167" s="17" t="str">
        <f aca="false">IF((E167="m"),H167," ")</f>
        <v> </v>
      </c>
      <c r="Y167" s="17" t="str">
        <f aca="false">IF((E167="u"),H167," ")</f>
        <v> </v>
      </c>
      <c r="Z167" s="17" t="str">
        <f aca="false">IF((E167="a"),H167," ")</f>
        <v> </v>
      </c>
      <c r="AA167" s="17" t="str">
        <f aca="false">IF((E167="g"),H167," ")</f>
        <v> </v>
      </c>
      <c r="AB167" s="17" t="str">
        <f aca="false">IF((E167="h"),H167," ")</f>
        <v> </v>
      </c>
      <c r="AC167" s="30" t="str">
        <f aca="false">IF((E167="v"),H167," ")</f>
        <v> </v>
      </c>
      <c r="AD167" s="30" t="str">
        <f aca="false">IF((E167="n"),H167," ")</f>
        <v> </v>
      </c>
      <c r="AE167" s="17" t="str">
        <f aca="false">IF((E167="f"),H167," ")</f>
        <v> </v>
      </c>
      <c r="AF167" s="17" t="str">
        <f aca="false">IF((E167="l"),H167," ")</f>
        <v> </v>
      </c>
      <c r="AG167" s="17" t="str">
        <f aca="false">IF((E167="y"),H167," ")</f>
        <v> </v>
      </c>
      <c r="AH167" s="17" t="str">
        <f aca="false">IF((E167="z"),H167," ")</f>
        <v> </v>
      </c>
      <c r="AI167" s="17" t="str">
        <f aca="false">IF((E167="fa"),H167," ")</f>
        <v> </v>
      </c>
      <c r="AJ167" s="17" t="str">
        <f aca="false">IF((E167="e"),H167," ")</f>
        <v> </v>
      </c>
    </row>
    <row r="168" customFormat="false" ht="12" hidden="false" customHeight="false" outlineLevel="0" collapsed="false">
      <c r="A168" s="28"/>
      <c r="E168" s="2" t="str">
        <f aca="false">IF((F168&lt;&gt;0),"Enter Letter"," ")</f>
        <v> </v>
      </c>
      <c r="F168" s="30"/>
      <c r="G168" s="6" t="str">
        <f aca="false">IF(F168&lt;&gt;0,F168*G$2/(100+G$2)," ")</f>
        <v> </v>
      </c>
      <c r="H168" s="6" t="str">
        <f aca="false">IF((F168&lt;&gt;0),F168-G168," ")</f>
        <v> </v>
      </c>
      <c r="I168" s="5"/>
      <c r="L168" s="7" t="str">
        <f aca="false">IF(F168&lt;&gt;0,F168-K168," ")</f>
        <v> </v>
      </c>
      <c r="M168" s="8" t="str">
        <f aca="false">IF((F168-K168)&lt;&gt;0,M$1-A168," ")</f>
        <v> </v>
      </c>
      <c r="N168" s="5"/>
      <c r="O168" s="17" t="str">
        <f aca="false">IF((E168="s"),H168," ")</f>
        <v> </v>
      </c>
      <c r="P168" s="17" t="str">
        <f aca="false">IF((E168="c"),H168," ")</f>
        <v> </v>
      </c>
      <c r="Q168" s="17" t="str">
        <f aca="false">IF((E168="o"),H168," ")</f>
        <v> </v>
      </c>
      <c r="R168" s="17" t="str">
        <f aca="false">IF((E168="d"),H168," ")</f>
        <v> </v>
      </c>
      <c r="S168" s="17" t="str">
        <f aca="false">IF((E168="w"),H168," ")</f>
        <v> </v>
      </c>
      <c r="T168" s="17" t="str">
        <f aca="false">IF((E168="r"),H168," ")</f>
        <v> </v>
      </c>
      <c r="U168" s="17" t="str">
        <f aca="false">IF((E168="p"),H168," ")</f>
        <v> </v>
      </c>
      <c r="V168" s="17" t="str">
        <f aca="false">IF((E168="t"),H168," ")</f>
        <v> </v>
      </c>
      <c r="W168" s="17" t="str">
        <f aca="false">IF((E168="q"),H168," ")</f>
        <v> </v>
      </c>
      <c r="X168" s="17" t="str">
        <f aca="false">IF((E168="m"),H168," ")</f>
        <v> </v>
      </c>
      <c r="Y168" s="17" t="str">
        <f aca="false">IF((E168="u"),H168," ")</f>
        <v> </v>
      </c>
      <c r="Z168" s="17" t="str">
        <f aca="false">IF((E168="a"),H168," ")</f>
        <v> </v>
      </c>
      <c r="AA168" s="17" t="str">
        <f aca="false">IF((E168="g"),H168," ")</f>
        <v> </v>
      </c>
      <c r="AB168" s="17" t="str">
        <f aca="false">IF((E168="h"),H168," ")</f>
        <v> </v>
      </c>
      <c r="AC168" s="30" t="str">
        <f aca="false">IF((E168="v"),H168," ")</f>
        <v> </v>
      </c>
      <c r="AD168" s="30" t="str">
        <f aca="false">IF((E168="n"),H168," ")</f>
        <v> </v>
      </c>
      <c r="AE168" s="17" t="str">
        <f aca="false">IF((E168="f"),H168," ")</f>
        <v> </v>
      </c>
      <c r="AF168" s="17" t="str">
        <f aca="false">IF((E168="l"),H168," ")</f>
        <v> </v>
      </c>
      <c r="AG168" s="17" t="str">
        <f aca="false">IF((E168="y"),H168," ")</f>
        <v> </v>
      </c>
      <c r="AH168" s="17" t="str">
        <f aca="false">IF((E168="z"),H168," ")</f>
        <v> </v>
      </c>
      <c r="AI168" s="17" t="str">
        <f aca="false">IF((E168="fa"),H168," ")</f>
        <v> </v>
      </c>
      <c r="AJ168" s="17" t="str">
        <f aca="false">IF((E168="e"),H168," ")</f>
        <v> </v>
      </c>
    </row>
    <row r="169" customFormat="false" ht="12" hidden="false" customHeight="false" outlineLevel="0" collapsed="false">
      <c r="A169" s="28"/>
      <c r="E169" s="2" t="str">
        <f aca="false">IF((F169&lt;&gt;0),"Enter Letter"," ")</f>
        <v> </v>
      </c>
      <c r="F169" s="30"/>
      <c r="G169" s="6" t="str">
        <f aca="false">IF(F169&lt;&gt;0,F169*G$2/(100+G$2)," ")</f>
        <v> </v>
      </c>
      <c r="H169" s="6" t="str">
        <f aca="false">IF((F169&lt;&gt;0),F169-G169," ")</f>
        <v> </v>
      </c>
      <c r="I169" s="5"/>
      <c r="L169" s="7" t="str">
        <f aca="false">IF(F169&lt;&gt;0,F169-K169," ")</f>
        <v> </v>
      </c>
      <c r="M169" s="8" t="str">
        <f aca="false">IF((F169-K169)&lt;&gt;0,M$1-A169," ")</f>
        <v> </v>
      </c>
      <c r="N169" s="5"/>
      <c r="O169" s="17" t="str">
        <f aca="false">IF((E169="s"),H169," ")</f>
        <v> </v>
      </c>
      <c r="P169" s="17" t="str">
        <f aca="false">IF((E169="c"),H169," ")</f>
        <v> </v>
      </c>
      <c r="Q169" s="17" t="str">
        <f aca="false">IF((E169="o"),H169," ")</f>
        <v> </v>
      </c>
      <c r="R169" s="17" t="str">
        <f aca="false">IF((E169="d"),H169," ")</f>
        <v> </v>
      </c>
      <c r="S169" s="17" t="str">
        <f aca="false">IF((E169="w"),H169," ")</f>
        <v> </v>
      </c>
      <c r="T169" s="17" t="str">
        <f aca="false">IF((E169="r"),H169," ")</f>
        <v> </v>
      </c>
      <c r="U169" s="17" t="str">
        <f aca="false">IF((E169="p"),H169," ")</f>
        <v> </v>
      </c>
      <c r="V169" s="17" t="str">
        <f aca="false">IF((E169="t"),H169," ")</f>
        <v> </v>
      </c>
      <c r="W169" s="17" t="str">
        <f aca="false">IF((E169="q"),H169," ")</f>
        <v> </v>
      </c>
      <c r="X169" s="17" t="str">
        <f aca="false">IF((E169="m"),H169," ")</f>
        <v> </v>
      </c>
      <c r="Y169" s="17" t="str">
        <f aca="false">IF((E169="u"),H169," ")</f>
        <v> </v>
      </c>
      <c r="Z169" s="17" t="str">
        <f aca="false">IF((E169="a"),H169," ")</f>
        <v> </v>
      </c>
      <c r="AA169" s="17" t="str">
        <f aca="false">IF((E169="g"),H169," ")</f>
        <v> </v>
      </c>
      <c r="AB169" s="17" t="str">
        <f aca="false">IF((E169="h"),H169," ")</f>
        <v> </v>
      </c>
      <c r="AC169" s="30" t="str">
        <f aca="false">IF((E169="v"),H169," ")</f>
        <v> </v>
      </c>
      <c r="AD169" s="30" t="str">
        <f aca="false">IF((E169="n"),H169," ")</f>
        <v> </v>
      </c>
      <c r="AE169" s="17" t="str">
        <f aca="false">IF((E169="f"),H169," ")</f>
        <v> </v>
      </c>
      <c r="AF169" s="17" t="str">
        <f aca="false">IF((E169="l"),H169," ")</f>
        <v> </v>
      </c>
      <c r="AG169" s="17" t="str">
        <f aca="false">IF((E169="y"),H169," ")</f>
        <v> </v>
      </c>
      <c r="AH169" s="17" t="str">
        <f aca="false">IF((E169="z"),H169," ")</f>
        <v> </v>
      </c>
      <c r="AI169" s="17" t="str">
        <f aca="false">IF((E169="fa"),H169," ")</f>
        <v> </v>
      </c>
      <c r="AJ169" s="17" t="str">
        <f aca="false">IF((E169="e"),H169," ")</f>
        <v> </v>
      </c>
    </row>
    <row r="170" customFormat="false" ht="12" hidden="false" customHeight="false" outlineLevel="0" collapsed="false">
      <c r="A170" s="28"/>
      <c r="E170" s="2" t="str">
        <f aca="false">IF((F170&lt;&gt;0),"Enter Letter"," ")</f>
        <v> </v>
      </c>
      <c r="F170" s="30"/>
      <c r="G170" s="6" t="str">
        <f aca="false">IF(F170&lt;&gt;0,F170*G$2/(100+G$2)," ")</f>
        <v> </v>
      </c>
      <c r="H170" s="6" t="str">
        <f aca="false">IF((F170&lt;&gt;0),F170-G170," ")</f>
        <v> </v>
      </c>
      <c r="I170" s="5"/>
      <c r="L170" s="7" t="str">
        <f aca="false">IF(F170&lt;&gt;0,F170-K170," ")</f>
        <v> </v>
      </c>
      <c r="M170" s="8" t="str">
        <f aca="false">IF((F170-K170)&lt;&gt;0,M$1-A170," ")</f>
        <v> </v>
      </c>
      <c r="N170" s="5"/>
      <c r="O170" s="17" t="str">
        <f aca="false">IF((E170="s"),H170," ")</f>
        <v> </v>
      </c>
      <c r="P170" s="17" t="str">
        <f aca="false">IF((E170="c"),H170," ")</f>
        <v> </v>
      </c>
      <c r="Q170" s="17" t="str">
        <f aca="false">IF((E170="o"),H170," ")</f>
        <v> </v>
      </c>
      <c r="R170" s="17" t="str">
        <f aca="false">IF((E170="d"),H170," ")</f>
        <v> </v>
      </c>
      <c r="S170" s="17" t="str">
        <f aca="false">IF((E170="w"),H170," ")</f>
        <v> </v>
      </c>
      <c r="T170" s="17" t="str">
        <f aca="false">IF((E170="r"),H170," ")</f>
        <v> </v>
      </c>
      <c r="U170" s="17" t="str">
        <f aca="false">IF((E170="p"),H170," ")</f>
        <v> </v>
      </c>
      <c r="V170" s="17" t="str">
        <f aca="false">IF((E170="t"),H170," ")</f>
        <v> </v>
      </c>
      <c r="W170" s="17" t="str">
        <f aca="false">IF((E170="q"),H170," ")</f>
        <v> </v>
      </c>
      <c r="X170" s="17" t="str">
        <f aca="false">IF((E170="m"),H170," ")</f>
        <v> </v>
      </c>
      <c r="Y170" s="17" t="str">
        <f aca="false">IF((E170="u"),H170," ")</f>
        <v> </v>
      </c>
      <c r="Z170" s="17" t="str">
        <f aca="false">IF((E170="a"),H170," ")</f>
        <v> </v>
      </c>
      <c r="AA170" s="17" t="str">
        <f aca="false">IF((E170="g"),H170," ")</f>
        <v> </v>
      </c>
      <c r="AB170" s="17" t="str">
        <f aca="false">IF((E170="h"),H170," ")</f>
        <v> </v>
      </c>
      <c r="AC170" s="30" t="str">
        <f aca="false">IF((E170="v"),H170," ")</f>
        <v> </v>
      </c>
      <c r="AD170" s="30" t="str">
        <f aca="false">IF((E170="n"),H170," ")</f>
        <v> </v>
      </c>
      <c r="AE170" s="17" t="str">
        <f aca="false">IF((E170="f"),H170," ")</f>
        <v> </v>
      </c>
      <c r="AF170" s="17" t="str">
        <f aca="false">IF((E170="l"),H170," ")</f>
        <v> </v>
      </c>
      <c r="AG170" s="17" t="str">
        <f aca="false">IF((E170="y"),H170," ")</f>
        <v> </v>
      </c>
      <c r="AH170" s="17" t="str">
        <f aca="false">IF((E170="z"),H170," ")</f>
        <v> </v>
      </c>
      <c r="AI170" s="17" t="str">
        <f aca="false">IF((E170="fa"),H170," ")</f>
        <v> </v>
      </c>
      <c r="AJ170" s="17" t="str">
        <f aca="false">IF((E170="e"),H170," ")</f>
        <v> </v>
      </c>
    </row>
    <row r="171" customFormat="false" ht="12" hidden="false" customHeight="false" outlineLevel="0" collapsed="false">
      <c r="A171" s="28"/>
      <c r="E171" s="2" t="str">
        <f aca="false">IF((F171&lt;&gt;0),"Enter Letter"," ")</f>
        <v> </v>
      </c>
      <c r="F171" s="30"/>
      <c r="G171" s="6" t="str">
        <f aca="false">IF(F171&lt;&gt;0,F171*G$2/(100+G$2)," ")</f>
        <v> </v>
      </c>
      <c r="H171" s="6" t="str">
        <f aca="false">IF((F171&lt;&gt;0),F171-G171," ")</f>
        <v> </v>
      </c>
      <c r="I171" s="5"/>
      <c r="L171" s="7" t="str">
        <f aca="false">IF(F171&lt;&gt;0,F171-K171," ")</f>
        <v> </v>
      </c>
      <c r="M171" s="8" t="str">
        <f aca="false">IF((F171-K171)&lt;&gt;0,M$1-A171," ")</f>
        <v> </v>
      </c>
      <c r="N171" s="5"/>
      <c r="O171" s="17" t="str">
        <f aca="false">IF((E171="s"),H171," ")</f>
        <v> </v>
      </c>
      <c r="P171" s="17" t="str">
        <f aca="false">IF((E171="c"),H171," ")</f>
        <v> </v>
      </c>
      <c r="Q171" s="17" t="str">
        <f aca="false">IF((E171="o"),H171," ")</f>
        <v> </v>
      </c>
      <c r="R171" s="17" t="str">
        <f aca="false">IF((E171="d"),H171," ")</f>
        <v> </v>
      </c>
      <c r="S171" s="17" t="str">
        <f aca="false">IF((E171="w"),H171," ")</f>
        <v> </v>
      </c>
      <c r="T171" s="17" t="str">
        <f aca="false">IF((E171="r"),H171," ")</f>
        <v> </v>
      </c>
      <c r="U171" s="17" t="str">
        <f aca="false">IF((E171="p"),H171," ")</f>
        <v> </v>
      </c>
      <c r="V171" s="17" t="str">
        <f aca="false">IF((E171="t"),H171," ")</f>
        <v> </v>
      </c>
      <c r="W171" s="17" t="str">
        <f aca="false">IF((E171="q"),H171," ")</f>
        <v> </v>
      </c>
      <c r="X171" s="17" t="str">
        <f aca="false">IF((E171="m"),H171," ")</f>
        <v> </v>
      </c>
      <c r="Y171" s="17" t="str">
        <f aca="false">IF((E171="u"),H171," ")</f>
        <v> </v>
      </c>
      <c r="Z171" s="17" t="str">
        <f aca="false">IF((E171="a"),H171," ")</f>
        <v> </v>
      </c>
      <c r="AA171" s="17" t="str">
        <f aca="false">IF((E171="g"),H171," ")</f>
        <v> </v>
      </c>
      <c r="AB171" s="17" t="str">
        <f aca="false">IF((E171="h"),H171," ")</f>
        <v> </v>
      </c>
      <c r="AC171" s="30" t="str">
        <f aca="false">IF((E171="v"),H171," ")</f>
        <v> </v>
      </c>
      <c r="AD171" s="30" t="str">
        <f aca="false">IF((E171="n"),H171," ")</f>
        <v> </v>
      </c>
      <c r="AE171" s="17" t="str">
        <f aca="false">IF((E171="f"),H171," ")</f>
        <v> </v>
      </c>
      <c r="AF171" s="17" t="str">
        <f aca="false">IF((E171="l"),H171," ")</f>
        <v> </v>
      </c>
      <c r="AG171" s="17" t="str">
        <f aca="false">IF((E171="y"),H171," ")</f>
        <v> </v>
      </c>
      <c r="AH171" s="17" t="str">
        <f aca="false">IF((E171="z"),H171," ")</f>
        <v> </v>
      </c>
      <c r="AI171" s="17" t="str">
        <f aca="false">IF((E171="fa"),H171," ")</f>
        <v> </v>
      </c>
      <c r="AJ171" s="17" t="str">
        <f aca="false">IF((E171="e"),H171," ")</f>
        <v> </v>
      </c>
    </row>
    <row r="172" customFormat="false" ht="12" hidden="false" customHeight="false" outlineLevel="0" collapsed="false">
      <c r="A172" s="28"/>
      <c r="E172" s="2" t="str">
        <f aca="false">IF((F172&lt;&gt;0),"Enter Letter"," ")</f>
        <v> </v>
      </c>
      <c r="F172" s="30"/>
      <c r="G172" s="6" t="str">
        <f aca="false">IF(F172&lt;&gt;0,F172*G$2/(100+G$2)," ")</f>
        <v> </v>
      </c>
      <c r="H172" s="6" t="str">
        <f aca="false">IF((F172&lt;&gt;0),F172-G172," ")</f>
        <v> </v>
      </c>
      <c r="I172" s="5"/>
      <c r="L172" s="7" t="str">
        <f aca="false">IF(F172&lt;&gt;0,F172-K172," ")</f>
        <v> </v>
      </c>
      <c r="M172" s="8" t="str">
        <f aca="false">IF((F172-K172)&lt;&gt;0,M$1-A172," ")</f>
        <v> </v>
      </c>
      <c r="N172" s="5"/>
      <c r="O172" s="17" t="str">
        <f aca="false">IF((E172="s"),H172," ")</f>
        <v> </v>
      </c>
      <c r="P172" s="17" t="str">
        <f aca="false">IF((E172="c"),H172," ")</f>
        <v> </v>
      </c>
      <c r="Q172" s="17" t="str">
        <f aca="false">IF((E172="o"),H172," ")</f>
        <v> </v>
      </c>
      <c r="R172" s="17" t="str">
        <f aca="false">IF((E172="d"),H172," ")</f>
        <v> </v>
      </c>
      <c r="S172" s="17" t="str">
        <f aca="false">IF((E172="w"),H172," ")</f>
        <v> </v>
      </c>
      <c r="T172" s="17" t="str">
        <f aca="false">IF((E172="r"),H172," ")</f>
        <v> </v>
      </c>
      <c r="U172" s="17" t="str">
        <f aca="false">IF((E172="p"),H172," ")</f>
        <v> </v>
      </c>
      <c r="V172" s="17" t="str">
        <f aca="false">IF((E172="t"),H172," ")</f>
        <v> </v>
      </c>
      <c r="W172" s="17" t="str">
        <f aca="false">IF((E172="q"),H172," ")</f>
        <v> </v>
      </c>
      <c r="X172" s="17" t="str">
        <f aca="false">IF((E172="m"),H172," ")</f>
        <v> </v>
      </c>
      <c r="Y172" s="17" t="str">
        <f aca="false">IF((E172="u"),H172," ")</f>
        <v> </v>
      </c>
      <c r="Z172" s="17" t="str">
        <f aca="false">IF((E172="a"),H172," ")</f>
        <v> </v>
      </c>
      <c r="AA172" s="17" t="str">
        <f aca="false">IF((E172="g"),H172," ")</f>
        <v> </v>
      </c>
      <c r="AB172" s="17" t="str">
        <f aca="false">IF((E172="h"),H172," ")</f>
        <v> </v>
      </c>
      <c r="AC172" s="30" t="str">
        <f aca="false">IF((E172="v"),H172," ")</f>
        <v> </v>
      </c>
      <c r="AD172" s="30" t="str">
        <f aca="false">IF((E172="n"),H172," ")</f>
        <v> </v>
      </c>
      <c r="AE172" s="17" t="str">
        <f aca="false">IF((E172="f"),H172," ")</f>
        <v> </v>
      </c>
      <c r="AF172" s="17" t="str">
        <f aca="false">IF((E172="l"),H172," ")</f>
        <v> </v>
      </c>
      <c r="AG172" s="17" t="str">
        <f aca="false">IF((E172="y"),H172," ")</f>
        <v> </v>
      </c>
      <c r="AH172" s="17" t="str">
        <f aca="false">IF((E172="z"),H172," ")</f>
        <v> </v>
      </c>
      <c r="AI172" s="17" t="str">
        <f aca="false">IF((E172="fa"),H172," ")</f>
        <v> </v>
      </c>
      <c r="AJ172" s="17" t="str">
        <f aca="false">IF((E172="e"),H172," ")</f>
        <v> </v>
      </c>
    </row>
    <row r="173" customFormat="false" ht="12" hidden="false" customHeight="false" outlineLevel="0" collapsed="false">
      <c r="A173" s="28"/>
      <c r="E173" s="2" t="str">
        <f aca="false">IF((F173&lt;&gt;0),"Enter Letter"," ")</f>
        <v> </v>
      </c>
      <c r="F173" s="30"/>
      <c r="G173" s="6" t="str">
        <f aca="false">IF(F173&lt;&gt;0,F173*G$2/(100+G$2)," ")</f>
        <v> </v>
      </c>
      <c r="H173" s="6" t="str">
        <f aca="false">IF((F173&lt;&gt;0),F173-G173," ")</f>
        <v> </v>
      </c>
      <c r="I173" s="5"/>
      <c r="L173" s="7" t="str">
        <f aca="false">IF(F173&lt;&gt;0,F173-K173," ")</f>
        <v> </v>
      </c>
      <c r="M173" s="8" t="str">
        <f aca="false">IF((F173-K173)&lt;&gt;0,M$1-A173," ")</f>
        <v> </v>
      </c>
      <c r="N173" s="5"/>
      <c r="O173" s="17" t="str">
        <f aca="false">IF((E173="s"),H173," ")</f>
        <v> </v>
      </c>
      <c r="P173" s="17" t="str">
        <f aca="false">IF((E173="c"),H173," ")</f>
        <v> </v>
      </c>
      <c r="Q173" s="17" t="str">
        <f aca="false">IF((E173="o"),H173," ")</f>
        <v> </v>
      </c>
      <c r="R173" s="17" t="str">
        <f aca="false">IF((E173="d"),H173," ")</f>
        <v> </v>
      </c>
      <c r="S173" s="17" t="str">
        <f aca="false">IF((E173="w"),H173," ")</f>
        <v> </v>
      </c>
      <c r="T173" s="17" t="str">
        <f aca="false">IF((E173="r"),H173," ")</f>
        <v> </v>
      </c>
      <c r="U173" s="17" t="str">
        <f aca="false">IF((E173="p"),H173," ")</f>
        <v> </v>
      </c>
      <c r="V173" s="17" t="str">
        <f aca="false">IF((E173="t"),H173," ")</f>
        <v> </v>
      </c>
      <c r="W173" s="17" t="str">
        <f aca="false">IF((E173="q"),H173," ")</f>
        <v> </v>
      </c>
      <c r="X173" s="17" t="str">
        <f aca="false">IF((E173="m"),H173," ")</f>
        <v> </v>
      </c>
      <c r="Y173" s="17" t="str">
        <f aca="false">IF((E173="u"),H173," ")</f>
        <v> </v>
      </c>
      <c r="Z173" s="17" t="str">
        <f aca="false">IF((E173="a"),H173," ")</f>
        <v> </v>
      </c>
      <c r="AA173" s="17" t="str">
        <f aca="false">IF((E173="g"),H173," ")</f>
        <v> </v>
      </c>
      <c r="AB173" s="17" t="str">
        <f aca="false">IF((E173="h"),H173," ")</f>
        <v> </v>
      </c>
      <c r="AC173" s="30" t="str">
        <f aca="false">IF((E173="v"),H173," ")</f>
        <v> </v>
      </c>
      <c r="AD173" s="30" t="str">
        <f aca="false">IF((E173="n"),H173," ")</f>
        <v> </v>
      </c>
      <c r="AE173" s="17" t="str">
        <f aca="false">IF((E173="f"),H173," ")</f>
        <v> </v>
      </c>
      <c r="AF173" s="17" t="str">
        <f aca="false">IF((E173="l"),H173," ")</f>
        <v> </v>
      </c>
      <c r="AG173" s="17" t="str">
        <f aca="false">IF((E173="y"),H173," ")</f>
        <v> </v>
      </c>
      <c r="AH173" s="17" t="str">
        <f aca="false">IF((E173="z"),H173," ")</f>
        <v> </v>
      </c>
      <c r="AI173" s="17" t="str">
        <f aca="false">IF((E173="fa"),H173," ")</f>
        <v> </v>
      </c>
      <c r="AJ173" s="17" t="str">
        <f aca="false">IF((E173="e"),H173," ")</f>
        <v> </v>
      </c>
    </row>
    <row r="174" customFormat="false" ht="12" hidden="false" customHeight="false" outlineLevel="0" collapsed="false">
      <c r="A174" s="28"/>
      <c r="E174" s="2" t="str">
        <f aca="false">IF((F174&lt;&gt;0),"Enter Letter"," ")</f>
        <v> </v>
      </c>
      <c r="F174" s="30"/>
      <c r="G174" s="6" t="str">
        <f aca="false">IF(F174&lt;&gt;0,F174*G$2/(100+G$2)," ")</f>
        <v> </v>
      </c>
      <c r="H174" s="6" t="str">
        <f aca="false">IF((F174&lt;&gt;0),F174-G174," ")</f>
        <v> </v>
      </c>
      <c r="I174" s="5"/>
      <c r="L174" s="7" t="str">
        <f aca="false">IF(F174&lt;&gt;0,F174-K174," ")</f>
        <v> </v>
      </c>
      <c r="M174" s="8" t="str">
        <f aca="false">IF((F174-K174)&lt;&gt;0,M$1-A174," ")</f>
        <v> </v>
      </c>
      <c r="N174" s="5"/>
      <c r="O174" s="17" t="str">
        <f aca="false">IF((E174="s"),H174," ")</f>
        <v> </v>
      </c>
      <c r="P174" s="17" t="str">
        <f aca="false">IF((E174="c"),H174," ")</f>
        <v> </v>
      </c>
      <c r="Q174" s="17" t="str">
        <f aca="false">IF((E174="o"),H174," ")</f>
        <v> </v>
      </c>
      <c r="R174" s="17" t="str">
        <f aca="false">IF((E174="d"),H174," ")</f>
        <v> </v>
      </c>
      <c r="S174" s="17" t="str">
        <f aca="false">IF((E174="w"),H174," ")</f>
        <v> </v>
      </c>
      <c r="T174" s="17" t="str">
        <f aca="false">IF((E174="r"),H174," ")</f>
        <v> </v>
      </c>
      <c r="U174" s="17" t="str">
        <f aca="false">IF((E174="p"),H174," ")</f>
        <v> </v>
      </c>
      <c r="V174" s="17" t="str">
        <f aca="false">IF((E174="t"),H174," ")</f>
        <v> </v>
      </c>
      <c r="W174" s="17" t="str">
        <f aca="false">IF((E174="q"),H174," ")</f>
        <v> </v>
      </c>
      <c r="X174" s="17" t="str">
        <f aca="false">IF((E174="m"),H174," ")</f>
        <v> </v>
      </c>
      <c r="Y174" s="17" t="str">
        <f aca="false">IF((E174="u"),H174," ")</f>
        <v> </v>
      </c>
      <c r="Z174" s="17" t="str">
        <f aca="false">IF((E174="a"),H174," ")</f>
        <v> </v>
      </c>
      <c r="AA174" s="17" t="str">
        <f aca="false">IF((E174="g"),H174," ")</f>
        <v> </v>
      </c>
      <c r="AB174" s="17" t="str">
        <f aca="false">IF((E174="h"),H174," ")</f>
        <v> </v>
      </c>
      <c r="AC174" s="30" t="str">
        <f aca="false">IF((E174="v"),H174," ")</f>
        <v> </v>
      </c>
      <c r="AD174" s="30" t="str">
        <f aca="false">IF((E174="n"),H174," ")</f>
        <v> </v>
      </c>
      <c r="AE174" s="17" t="str">
        <f aca="false">IF((E174="f"),H174," ")</f>
        <v> </v>
      </c>
      <c r="AF174" s="17" t="str">
        <f aca="false">IF((E174="l"),H174," ")</f>
        <v> </v>
      </c>
      <c r="AG174" s="17" t="str">
        <f aca="false">IF((E174="y"),H174," ")</f>
        <v> </v>
      </c>
      <c r="AH174" s="17" t="str">
        <f aca="false">IF((E174="z"),H174," ")</f>
        <v> </v>
      </c>
      <c r="AI174" s="17" t="str">
        <f aca="false">IF((E174="fa"),H174," ")</f>
        <v> </v>
      </c>
      <c r="AJ174" s="17" t="str">
        <f aca="false">IF((E174="e"),H174," ")</f>
        <v> </v>
      </c>
    </row>
    <row r="175" customFormat="false" ht="12" hidden="false" customHeight="false" outlineLevel="0" collapsed="false">
      <c r="A175" s="28"/>
      <c r="E175" s="2" t="str">
        <f aca="false">IF((F175&lt;&gt;0),"Enter Letter"," ")</f>
        <v> </v>
      </c>
      <c r="F175" s="30"/>
      <c r="G175" s="6" t="str">
        <f aca="false">IF(F175&lt;&gt;0,F175*G$2/(100+G$2)," ")</f>
        <v> </v>
      </c>
      <c r="H175" s="6" t="str">
        <f aca="false">IF((F175&lt;&gt;0),F175-G175," ")</f>
        <v> </v>
      </c>
      <c r="I175" s="5"/>
      <c r="L175" s="7" t="str">
        <f aca="false">IF(F175&lt;&gt;0,F175-K175," ")</f>
        <v> </v>
      </c>
      <c r="M175" s="8" t="str">
        <f aca="false">IF((F175-K175)&lt;&gt;0,M$1-A175," ")</f>
        <v> </v>
      </c>
      <c r="N175" s="5"/>
      <c r="O175" s="17" t="str">
        <f aca="false">IF((E175="s"),H175," ")</f>
        <v> </v>
      </c>
      <c r="P175" s="17" t="str">
        <f aca="false">IF((E175="c"),H175," ")</f>
        <v> </v>
      </c>
      <c r="Q175" s="17" t="str">
        <f aca="false">IF((E175="o"),H175," ")</f>
        <v> </v>
      </c>
      <c r="R175" s="17" t="str">
        <f aca="false">IF((E175="d"),H175," ")</f>
        <v> </v>
      </c>
      <c r="S175" s="17" t="str">
        <f aca="false">IF((E175="w"),H175," ")</f>
        <v> </v>
      </c>
      <c r="T175" s="17" t="str">
        <f aca="false">IF((E175="r"),H175," ")</f>
        <v> </v>
      </c>
      <c r="U175" s="17" t="str">
        <f aca="false">IF((E175="p"),H175," ")</f>
        <v> </v>
      </c>
      <c r="V175" s="17" t="str">
        <f aca="false">IF((E175="t"),H175," ")</f>
        <v> </v>
      </c>
      <c r="W175" s="17" t="str">
        <f aca="false">IF((E175="q"),H175," ")</f>
        <v> </v>
      </c>
      <c r="X175" s="17" t="str">
        <f aca="false">IF((E175="m"),H175," ")</f>
        <v> </v>
      </c>
      <c r="Y175" s="17" t="str">
        <f aca="false">IF((E175="u"),H175," ")</f>
        <v> </v>
      </c>
      <c r="Z175" s="17" t="str">
        <f aca="false">IF((E175="a"),H175," ")</f>
        <v> </v>
      </c>
      <c r="AA175" s="17" t="str">
        <f aca="false">IF((E175="g"),H175," ")</f>
        <v> </v>
      </c>
      <c r="AB175" s="17" t="str">
        <f aca="false">IF((E175="h"),H175," ")</f>
        <v> </v>
      </c>
      <c r="AC175" s="30" t="str">
        <f aca="false">IF((E175="v"),H175," ")</f>
        <v> </v>
      </c>
      <c r="AD175" s="30" t="str">
        <f aca="false">IF((E175="n"),H175," ")</f>
        <v> </v>
      </c>
      <c r="AE175" s="17" t="str">
        <f aca="false">IF((E175="f"),H175," ")</f>
        <v> </v>
      </c>
      <c r="AF175" s="17" t="str">
        <f aca="false">IF((E175="l"),H175," ")</f>
        <v> </v>
      </c>
      <c r="AG175" s="17" t="str">
        <f aca="false">IF((E175="y"),H175," ")</f>
        <v> </v>
      </c>
      <c r="AH175" s="17" t="str">
        <f aca="false">IF((E175="z"),H175," ")</f>
        <v> </v>
      </c>
      <c r="AI175" s="17" t="str">
        <f aca="false">IF((E175="fa"),H175," ")</f>
        <v> </v>
      </c>
      <c r="AJ175" s="17" t="str">
        <f aca="false">IF((E175="e"),H175," ")</f>
        <v> </v>
      </c>
    </row>
    <row r="176" customFormat="false" ht="12" hidden="false" customHeight="false" outlineLevel="0" collapsed="false">
      <c r="A176" s="28"/>
      <c r="E176" s="2" t="str">
        <f aca="false">IF((F176&lt;&gt;0),"Enter Letter"," ")</f>
        <v> </v>
      </c>
      <c r="F176" s="30"/>
      <c r="G176" s="6" t="str">
        <f aca="false">IF(F176&lt;&gt;0,F176*G$2/(100+G$2)," ")</f>
        <v> </v>
      </c>
      <c r="H176" s="6" t="str">
        <f aca="false">IF((F176&lt;&gt;0),F176-G176," ")</f>
        <v> </v>
      </c>
      <c r="I176" s="5"/>
      <c r="L176" s="7" t="str">
        <f aca="false">IF(F176&lt;&gt;0,F176-K176," ")</f>
        <v> </v>
      </c>
      <c r="M176" s="8" t="str">
        <f aca="false">IF((F176-K176)&lt;&gt;0,M$1-A176," ")</f>
        <v> </v>
      </c>
      <c r="N176" s="5"/>
      <c r="O176" s="17" t="str">
        <f aca="false">IF((E176="s"),H176," ")</f>
        <v> </v>
      </c>
      <c r="P176" s="17" t="str">
        <f aca="false">IF((E176="c"),H176," ")</f>
        <v> </v>
      </c>
      <c r="Q176" s="17" t="str">
        <f aca="false">IF((E176="o"),H176," ")</f>
        <v> </v>
      </c>
      <c r="R176" s="17" t="str">
        <f aca="false">IF((E176="d"),H176," ")</f>
        <v> </v>
      </c>
      <c r="S176" s="17" t="str">
        <f aca="false">IF((E176="w"),H176," ")</f>
        <v> </v>
      </c>
      <c r="T176" s="17" t="str">
        <f aca="false">IF((E176="r"),H176," ")</f>
        <v> </v>
      </c>
      <c r="U176" s="17" t="str">
        <f aca="false">IF((E176="p"),H176," ")</f>
        <v> </v>
      </c>
      <c r="V176" s="17" t="str">
        <f aca="false">IF((E176="t"),H176," ")</f>
        <v> </v>
      </c>
      <c r="W176" s="17" t="str">
        <f aca="false">IF((E176="q"),H176," ")</f>
        <v> </v>
      </c>
      <c r="X176" s="17" t="str">
        <f aca="false">IF((E176="m"),H176," ")</f>
        <v> </v>
      </c>
      <c r="Y176" s="17" t="str">
        <f aca="false">IF((E176="u"),H176," ")</f>
        <v> </v>
      </c>
      <c r="Z176" s="17" t="str">
        <f aca="false">IF((E176="a"),H176," ")</f>
        <v> </v>
      </c>
      <c r="AA176" s="17" t="str">
        <f aca="false">IF((E176="g"),H176," ")</f>
        <v> </v>
      </c>
      <c r="AB176" s="17" t="str">
        <f aca="false">IF((E176="h"),H176," ")</f>
        <v> </v>
      </c>
      <c r="AC176" s="30" t="str">
        <f aca="false">IF((E176="v"),H176," ")</f>
        <v> </v>
      </c>
      <c r="AD176" s="30" t="str">
        <f aca="false">IF((E176="n"),H176," ")</f>
        <v> </v>
      </c>
      <c r="AE176" s="17" t="str">
        <f aca="false">IF((E176="f"),H176," ")</f>
        <v> </v>
      </c>
      <c r="AF176" s="17" t="str">
        <f aca="false">IF((E176="l"),H176," ")</f>
        <v> </v>
      </c>
      <c r="AG176" s="17" t="str">
        <f aca="false">IF((E176="y"),H176," ")</f>
        <v> </v>
      </c>
      <c r="AH176" s="17" t="str">
        <f aca="false">IF((E176="z"),H176," ")</f>
        <v> </v>
      </c>
      <c r="AI176" s="17" t="str">
        <f aca="false">IF((E176="fa"),H176," ")</f>
        <v> </v>
      </c>
      <c r="AJ176" s="17" t="str">
        <f aca="false">IF((E176="e"),H176," ")</f>
        <v> </v>
      </c>
    </row>
    <row r="177" customFormat="false" ht="12" hidden="false" customHeight="false" outlineLevel="0" collapsed="false">
      <c r="A177" s="28"/>
      <c r="E177" s="2" t="str">
        <f aca="false">IF((F177&lt;&gt;0),"Enter Letter"," ")</f>
        <v> </v>
      </c>
      <c r="F177" s="30"/>
      <c r="G177" s="6" t="str">
        <f aca="false">IF(F177&lt;&gt;0,F177*G$2/(100+G$2)," ")</f>
        <v> </v>
      </c>
      <c r="H177" s="6" t="str">
        <f aca="false">IF((F177&lt;&gt;0),F177-G177," ")</f>
        <v> </v>
      </c>
      <c r="I177" s="5"/>
      <c r="L177" s="7" t="str">
        <f aca="false">IF(F177&lt;&gt;0,F177-K177," ")</f>
        <v> </v>
      </c>
      <c r="M177" s="8" t="str">
        <f aca="false">IF((F177-K177)&lt;&gt;0,M$1-A177," ")</f>
        <v> </v>
      </c>
      <c r="N177" s="5"/>
      <c r="O177" s="17" t="str">
        <f aca="false">IF((E177="s"),H177," ")</f>
        <v> </v>
      </c>
      <c r="P177" s="17" t="str">
        <f aca="false">IF((E177="c"),H177," ")</f>
        <v> </v>
      </c>
      <c r="Q177" s="17" t="str">
        <f aca="false">IF((E177="o"),H177," ")</f>
        <v> </v>
      </c>
      <c r="R177" s="17" t="str">
        <f aca="false">IF((E177="d"),H177," ")</f>
        <v> </v>
      </c>
      <c r="S177" s="17" t="str">
        <f aca="false">IF((E177="w"),H177," ")</f>
        <v> </v>
      </c>
      <c r="T177" s="17" t="str">
        <f aca="false">IF((E177="r"),H177," ")</f>
        <v> </v>
      </c>
      <c r="U177" s="17" t="str">
        <f aca="false">IF((E177="p"),H177," ")</f>
        <v> </v>
      </c>
      <c r="V177" s="17" t="str">
        <f aca="false">IF((E177="t"),H177," ")</f>
        <v> </v>
      </c>
      <c r="W177" s="17" t="str">
        <f aca="false">IF((E177="q"),H177," ")</f>
        <v> </v>
      </c>
      <c r="X177" s="17" t="str">
        <f aca="false">IF((E177="m"),H177," ")</f>
        <v> </v>
      </c>
      <c r="Y177" s="17" t="str">
        <f aca="false">IF((E177="u"),H177," ")</f>
        <v> </v>
      </c>
      <c r="Z177" s="17" t="str">
        <f aca="false">IF((E177="a"),H177," ")</f>
        <v> </v>
      </c>
      <c r="AA177" s="17" t="str">
        <f aca="false">IF((E177="g"),H177," ")</f>
        <v> </v>
      </c>
      <c r="AB177" s="17" t="str">
        <f aca="false">IF((E177="h"),H177," ")</f>
        <v> </v>
      </c>
      <c r="AC177" s="30" t="str">
        <f aca="false">IF((E177="v"),H177," ")</f>
        <v> </v>
      </c>
      <c r="AD177" s="30" t="str">
        <f aca="false">IF((E177="n"),H177," ")</f>
        <v> </v>
      </c>
      <c r="AE177" s="17" t="str">
        <f aca="false">IF((E177="f"),H177," ")</f>
        <v> </v>
      </c>
      <c r="AF177" s="17" t="str">
        <f aca="false">IF((E177="l"),H177," ")</f>
        <v> </v>
      </c>
      <c r="AG177" s="17" t="str">
        <f aca="false">IF((E177="y"),H177," ")</f>
        <v> </v>
      </c>
      <c r="AH177" s="17" t="str">
        <f aca="false">IF((E177="z"),H177," ")</f>
        <v> </v>
      </c>
      <c r="AI177" s="17" t="str">
        <f aca="false">IF((E177="fa"),H177," ")</f>
        <v> </v>
      </c>
      <c r="AJ177" s="17" t="str">
        <f aca="false">IF((E177="e"),H177," ")</f>
        <v> </v>
      </c>
    </row>
    <row r="178" customFormat="false" ht="12" hidden="false" customHeight="false" outlineLevel="0" collapsed="false">
      <c r="A178" s="28"/>
      <c r="E178" s="2" t="str">
        <f aca="false">IF((F178&lt;&gt;0),"Enter Letter"," ")</f>
        <v> </v>
      </c>
      <c r="F178" s="30"/>
      <c r="G178" s="6" t="str">
        <f aca="false">IF(F178&lt;&gt;0,F178*G$2/(100+G$2)," ")</f>
        <v> </v>
      </c>
      <c r="H178" s="6" t="str">
        <f aca="false">IF((F178&lt;&gt;0),F178-G178," ")</f>
        <v> </v>
      </c>
      <c r="I178" s="5"/>
      <c r="L178" s="7" t="str">
        <f aca="false">IF(F178&lt;&gt;0,F178-K178," ")</f>
        <v> </v>
      </c>
      <c r="M178" s="8" t="str">
        <f aca="false">IF((F178-K178)&lt;&gt;0,M$1-A178," ")</f>
        <v> </v>
      </c>
      <c r="N178" s="5"/>
      <c r="O178" s="17" t="str">
        <f aca="false">IF((E178="s"),H178," ")</f>
        <v> </v>
      </c>
      <c r="P178" s="17" t="str">
        <f aca="false">IF((E178="c"),H178," ")</f>
        <v> </v>
      </c>
      <c r="Q178" s="17" t="str">
        <f aca="false">IF((E178="o"),H178," ")</f>
        <v> </v>
      </c>
      <c r="R178" s="17" t="str">
        <f aca="false">IF((E178="d"),H178," ")</f>
        <v> </v>
      </c>
      <c r="S178" s="17" t="str">
        <f aca="false">IF((E178="w"),H178," ")</f>
        <v> </v>
      </c>
      <c r="T178" s="17" t="str">
        <f aca="false">IF((E178="r"),H178," ")</f>
        <v> </v>
      </c>
      <c r="U178" s="17" t="str">
        <f aca="false">IF((E178="p"),H178," ")</f>
        <v> </v>
      </c>
      <c r="V178" s="17" t="str">
        <f aca="false">IF((E178="t"),H178," ")</f>
        <v> </v>
      </c>
      <c r="W178" s="17" t="str">
        <f aca="false">IF((E178="q"),H178," ")</f>
        <v> </v>
      </c>
      <c r="X178" s="17" t="str">
        <f aca="false">IF((E178="m"),H178," ")</f>
        <v> </v>
      </c>
      <c r="Y178" s="17" t="str">
        <f aca="false">IF((E178="u"),H178," ")</f>
        <v> </v>
      </c>
      <c r="Z178" s="17" t="str">
        <f aca="false">IF((E178="a"),H178," ")</f>
        <v> </v>
      </c>
      <c r="AA178" s="17" t="str">
        <f aca="false">IF((E178="g"),H178," ")</f>
        <v> </v>
      </c>
      <c r="AB178" s="17" t="str">
        <f aca="false">IF((E178="h"),H178," ")</f>
        <v> </v>
      </c>
      <c r="AC178" s="30" t="str">
        <f aca="false">IF((E178="v"),H178," ")</f>
        <v> </v>
      </c>
      <c r="AD178" s="30" t="str">
        <f aca="false">IF((E178="n"),H178," ")</f>
        <v> </v>
      </c>
      <c r="AE178" s="17" t="str">
        <f aca="false">IF((E178="f"),H178," ")</f>
        <v> </v>
      </c>
      <c r="AF178" s="17" t="str">
        <f aca="false">IF((E178="l"),H178," ")</f>
        <v> </v>
      </c>
      <c r="AG178" s="17" t="str">
        <f aca="false">IF((E178="y"),H178," ")</f>
        <v> </v>
      </c>
      <c r="AH178" s="17" t="str">
        <f aca="false">IF((E178="z"),H178," ")</f>
        <v> </v>
      </c>
      <c r="AI178" s="17" t="str">
        <f aca="false">IF((E178="fa"),H178," ")</f>
        <v> </v>
      </c>
      <c r="AJ178" s="17" t="str">
        <f aca="false">IF((E178="e"),H178," ")</f>
        <v> </v>
      </c>
    </row>
    <row r="179" customFormat="false" ht="12" hidden="false" customHeight="false" outlineLevel="0" collapsed="false">
      <c r="A179" s="28"/>
      <c r="E179" s="2" t="str">
        <f aca="false">IF((F179&lt;&gt;0),"Enter Letter"," ")</f>
        <v> </v>
      </c>
      <c r="F179" s="30"/>
      <c r="G179" s="6" t="str">
        <f aca="false">IF(F179&lt;&gt;0,F179*G$2/(100+G$2)," ")</f>
        <v> </v>
      </c>
      <c r="H179" s="6" t="str">
        <f aca="false">IF((F179&lt;&gt;0),F179-G179," ")</f>
        <v> </v>
      </c>
      <c r="I179" s="5"/>
      <c r="L179" s="7" t="str">
        <f aca="false">IF(F179&lt;&gt;0,F179-K179," ")</f>
        <v> </v>
      </c>
      <c r="M179" s="8" t="str">
        <f aca="false">IF((F179-K179)&lt;&gt;0,M$1-A179," ")</f>
        <v> </v>
      </c>
      <c r="N179" s="5"/>
      <c r="O179" s="17" t="str">
        <f aca="false">IF((E179="s"),H179," ")</f>
        <v> </v>
      </c>
      <c r="P179" s="17" t="str">
        <f aca="false">IF((E179="c"),H179," ")</f>
        <v> </v>
      </c>
      <c r="Q179" s="17" t="str">
        <f aca="false">IF((E179="o"),H179," ")</f>
        <v> </v>
      </c>
      <c r="R179" s="17" t="str">
        <f aca="false">IF((E179="d"),H179," ")</f>
        <v> </v>
      </c>
      <c r="S179" s="17" t="str">
        <f aca="false">IF((E179="w"),H179," ")</f>
        <v> </v>
      </c>
      <c r="T179" s="17" t="str">
        <f aca="false">IF((E179="r"),H179," ")</f>
        <v> </v>
      </c>
      <c r="U179" s="17" t="str">
        <f aca="false">IF((E179="p"),H179," ")</f>
        <v> </v>
      </c>
      <c r="V179" s="17" t="str">
        <f aca="false">IF((E179="t"),H179," ")</f>
        <v> </v>
      </c>
      <c r="W179" s="17" t="str">
        <f aca="false">IF((E179="q"),H179," ")</f>
        <v> </v>
      </c>
      <c r="X179" s="17" t="str">
        <f aca="false">IF((E179="m"),H179," ")</f>
        <v> </v>
      </c>
      <c r="Y179" s="17" t="str">
        <f aca="false">IF((E179="u"),H179," ")</f>
        <v> </v>
      </c>
      <c r="Z179" s="17" t="str">
        <f aca="false">IF((E179="a"),H179," ")</f>
        <v> </v>
      </c>
      <c r="AA179" s="17" t="str">
        <f aca="false">IF((E179="g"),H179," ")</f>
        <v> </v>
      </c>
      <c r="AB179" s="17" t="str">
        <f aca="false">IF((E179="h"),H179," ")</f>
        <v> </v>
      </c>
      <c r="AC179" s="30" t="str">
        <f aca="false">IF((E179="v"),H179," ")</f>
        <v> </v>
      </c>
      <c r="AD179" s="30" t="str">
        <f aca="false">IF((E179="n"),H179," ")</f>
        <v> </v>
      </c>
      <c r="AE179" s="17" t="str">
        <f aca="false">IF((E179="f"),H179," ")</f>
        <v> </v>
      </c>
      <c r="AF179" s="17" t="str">
        <f aca="false">IF((E179="l"),H179," ")</f>
        <v> </v>
      </c>
      <c r="AG179" s="17" t="str">
        <f aca="false">IF((E179="y"),H179," ")</f>
        <v> </v>
      </c>
      <c r="AH179" s="17" t="str">
        <f aca="false">IF((E179="z"),H179," ")</f>
        <v> </v>
      </c>
      <c r="AI179" s="17" t="str">
        <f aca="false">IF((E179="fa"),H179," ")</f>
        <v> </v>
      </c>
      <c r="AJ179" s="17" t="str">
        <f aca="false">IF((E179="e"),H179," ")</f>
        <v> </v>
      </c>
    </row>
    <row r="180" customFormat="false" ht="12" hidden="false" customHeight="false" outlineLevel="0" collapsed="false">
      <c r="A180" s="28"/>
      <c r="E180" s="2" t="str">
        <f aca="false">IF((F180&lt;&gt;0),"Enter Letter"," ")</f>
        <v> </v>
      </c>
      <c r="F180" s="30"/>
      <c r="G180" s="6" t="str">
        <f aca="false">IF(F180&lt;&gt;0,F180*G$2/(100+G$2)," ")</f>
        <v> </v>
      </c>
      <c r="H180" s="6" t="str">
        <f aca="false">IF((F180&lt;&gt;0),F180-G180," ")</f>
        <v> </v>
      </c>
      <c r="I180" s="5"/>
      <c r="L180" s="7" t="str">
        <f aca="false">IF(F180&lt;&gt;0,F180-K180," ")</f>
        <v> </v>
      </c>
      <c r="M180" s="8" t="str">
        <f aca="false">IF((F180-K180)&lt;&gt;0,M$1-A180," ")</f>
        <v> </v>
      </c>
      <c r="N180" s="5"/>
      <c r="O180" s="17" t="str">
        <f aca="false">IF((E180="s"),H180," ")</f>
        <v> </v>
      </c>
      <c r="P180" s="17" t="str">
        <f aca="false">IF((E180="c"),H180," ")</f>
        <v> </v>
      </c>
      <c r="Q180" s="17" t="str">
        <f aca="false">IF((E180="o"),H180," ")</f>
        <v> </v>
      </c>
      <c r="R180" s="17" t="str">
        <f aca="false">IF((E180="d"),H180," ")</f>
        <v> </v>
      </c>
      <c r="S180" s="17" t="str">
        <f aca="false">IF((E180="w"),H180," ")</f>
        <v> </v>
      </c>
      <c r="T180" s="17" t="str">
        <f aca="false">IF((E180="r"),H180," ")</f>
        <v> </v>
      </c>
      <c r="U180" s="17" t="str">
        <f aca="false">IF((E180="p"),H180," ")</f>
        <v> </v>
      </c>
      <c r="V180" s="17" t="str">
        <f aca="false">IF((E180="t"),H180," ")</f>
        <v> </v>
      </c>
      <c r="W180" s="17" t="str">
        <f aca="false">IF((E180="q"),H180," ")</f>
        <v> </v>
      </c>
      <c r="X180" s="17" t="str">
        <f aca="false">IF((E180="m"),H180," ")</f>
        <v> </v>
      </c>
      <c r="Y180" s="17" t="str">
        <f aca="false">IF((E180="u"),H180," ")</f>
        <v> </v>
      </c>
      <c r="Z180" s="17" t="str">
        <f aca="false">IF((E180="a"),H180," ")</f>
        <v> </v>
      </c>
      <c r="AA180" s="17" t="str">
        <f aca="false">IF((E180="g"),H180," ")</f>
        <v> </v>
      </c>
      <c r="AB180" s="17" t="str">
        <f aca="false">IF((E180="h"),H180," ")</f>
        <v> </v>
      </c>
      <c r="AC180" s="30" t="str">
        <f aca="false">IF((E180="v"),H180," ")</f>
        <v> </v>
      </c>
      <c r="AD180" s="30" t="str">
        <f aca="false">IF((E180="n"),H180," ")</f>
        <v> </v>
      </c>
      <c r="AE180" s="17" t="str">
        <f aca="false">IF((E180="f"),H180," ")</f>
        <v> </v>
      </c>
      <c r="AF180" s="17" t="str">
        <f aca="false">IF((E180="l"),H180," ")</f>
        <v> </v>
      </c>
      <c r="AG180" s="17" t="str">
        <f aca="false">IF((E180="y"),H180," ")</f>
        <v> </v>
      </c>
      <c r="AH180" s="17" t="str">
        <f aca="false">IF((E180="z"),H180," ")</f>
        <v> </v>
      </c>
      <c r="AI180" s="17" t="str">
        <f aca="false">IF((E180="fa"),H180," ")</f>
        <v> </v>
      </c>
      <c r="AJ180" s="17" t="str">
        <f aca="false">IF((E180="e"),H180," ")</f>
        <v> </v>
      </c>
    </row>
    <row r="181" customFormat="false" ht="12" hidden="false" customHeight="false" outlineLevel="0" collapsed="false">
      <c r="A181" s="28"/>
      <c r="E181" s="2" t="str">
        <f aca="false">IF((F181&lt;&gt;0),"Enter Letter"," ")</f>
        <v> </v>
      </c>
      <c r="F181" s="30"/>
      <c r="G181" s="6" t="str">
        <f aca="false">IF(F181&lt;&gt;0,F181*G$2/(100+G$2)," ")</f>
        <v> </v>
      </c>
      <c r="H181" s="6" t="str">
        <f aca="false">IF((F181&lt;&gt;0),F181-G181," ")</f>
        <v> </v>
      </c>
      <c r="I181" s="5"/>
      <c r="L181" s="7" t="str">
        <f aca="false">IF(F181&lt;&gt;0,F181-K181," ")</f>
        <v> </v>
      </c>
      <c r="M181" s="8" t="str">
        <f aca="false">IF((F181-K181)&lt;&gt;0,M$1-A181," ")</f>
        <v> </v>
      </c>
      <c r="N181" s="5"/>
      <c r="O181" s="17" t="str">
        <f aca="false">IF((E181="s"),H181," ")</f>
        <v> </v>
      </c>
      <c r="P181" s="17" t="str">
        <f aca="false">IF((E181="c"),H181," ")</f>
        <v> </v>
      </c>
      <c r="Q181" s="17" t="str">
        <f aca="false">IF((E181="o"),H181," ")</f>
        <v> </v>
      </c>
      <c r="R181" s="17" t="str">
        <f aca="false">IF((E181="d"),H181," ")</f>
        <v> </v>
      </c>
      <c r="S181" s="17" t="str">
        <f aca="false">IF((E181="w"),H181," ")</f>
        <v> </v>
      </c>
      <c r="T181" s="17" t="str">
        <f aca="false">IF((E181="r"),H181," ")</f>
        <v> </v>
      </c>
      <c r="U181" s="17" t="str">
        <f aca="false">IF((E181="p"),H181," ")</f>
        <v> </v>
      </c>
      <c r="V181" s="17" t="str">
        <f aca="false">IF((E181="t"),H181," ")</f>
        <v> </v>
      </c>
      <c r="W181" s="17" t="str">
        <f aca="false">IF((E181="q"),H181," ")</f>
        <v> </v>
      </c>
      <c r="X181" s="17" t="str">
        <f aca="false">IF((E181="m"),H181," ")</f>
        <v> </v>
      </c>
      <c r="Y181" s="17" t="str">
        <f aca="false">IF((E181="u"),H181," ")</f>
        <v> </v>
      </c>
      <c r="Z181" s="17" t="str">
        <f aca="false">IF((E181="a"),H181," ")</f>
        <v> </v>
      </c>
      <c r="AA181" s="17" t="str">
        <f aca="false">IF((E181="g"),H181," ")</f>
        <v> </v>
      </c>
      <c r="AB181" s="17" t="str">
        <f aca="false">IF((E181="h"),H181," ")</f>
        <v> </v>
      </c>
      <c r="AC181" s="30" t="str">
        <f aca="false">IF((E181="v"),H181," ")</f>
        <v> </v>
      </c>
      <c r="AD181" s="30" t="str">
        <f aca="false">IF((E181="n"),H181," ")</f>
        <v> </v>
      </c>
      <c r="AE181" s="17" t="str">
        <f aca="false">IF((E181="f"),H181," ")</f>
        <v> </v>
      </c>
      <c r="AF181" s="17" t="str">
        <f aca="false">IF((E181="l"),H181," ")</f>
        <v> </v>
      </c>
      <c r="AG181" s="17" t="str">
        <f aca="false">IF((E181="y"),H181," ")</f>
        <v> </v>
      </c>
      <c r="AH181" s="17" t="str">
        <f aca="false">IF((E181="z"),H181," ")</f>
        <v> </v>
      </c>
      <c r="AI181" s="17" t="str">
        <f aca="false">IF((E181="fa"),H181," ")</f>
        <v> </v>
      </c>
      <c r="AJ181" s="17" t="str">
        <f aca="false">IF((E181="e"),H181," ")</f>
        <v> </v>
      </c>
    </row>
    <row r="182" customFormat="false" ht="12" hidden="false" customHeight="false" outlineLevel="0" collapsed="false">
      <c r="A182" s="28"/>
      <c r="E182" s="2" t="str">
        <f aca="false">IF((F182&lt;&gt;0),"Enter Letter"," ")</f>
        <v> </v>
      </c>
      <c r="F182" s="30"/>
      <c r="G182" s="6" t="str">
        <f aca="false">IF(F182&lt;&gt;0,F182*G$2/(100+G$2)," ")</f>
        <v> </v>
      </c>
      <c r="H182" s="6" t="str">
        <f aca="false">IF((F182&lt;&gt;0),F182-G182," ")</f>
        <v> </v>
      </c>
      <c r="I182" s="5"/>
      <c r="L182" s="7" t="str">
        <f aca="false">IF(F182&lt;&gt;0,F182-K182," ")</f>
        <v> </v>
      </c>
      <c r="M182" s="8" t="str">
        <f aca="false">IF((F182-K182)&lt;&gt;0,M$1-A182," ")</f>
        <v> </v>
      </c>
      <c r="N182" s="5"/>
      <c r="O182" s="17" t="str">
        <f aca="false">IF((E182="s"),H182," ")</f>
        <v> </v>
      </c>
      <c r="P182" s="17" t="str">
        <f aca="false">IF((E182="c"),H182," ")</f>
        <v> </v>
      </c>
      <c r="Q182" s="17" t="str">
        <f aca="false">IF((E182="o"),H182," ")</f>
        <v> </v>
      </c>
      <c r="R182" s="17" t="str">
        <f aca="false">IF((E182="d"),H182," ")</f>
        <v> </v>
      </c>
      <c r="S182" s="17" t="str">
        <f aca="false">IF((E182="w"),H182," ")</f>
        <v> </v>
      </c>
      <c r="T182" s="17" t="str">
        <f aca="false">IF((E182="r"),H182," ")</f>
        <v> </v>
      </c>
      <c r="U182" s="17" t="str">
        <f aca="false">IF((E182="p"),H182," ")</f>
        <v> </v>
      </c>
      <c r="V182" s="17" t="str">
        <f aca="false">IF((E182="t"),H182," ")</f>
        <v> </v>
      </c>
      <c r="W182" s="17" t="str">
        <f aca="false">IF((E182="q"),H182," ")</f>
        <v> </v>
      </c>
      <c r="X182" s="17" t="str">
        <f aca="false">IF((E182="m"),H182," ")</f>
        <v> </v>
      </c>
      <c r="Y182" s="17" t="str">
        <f aca="false">IF((E182="u"),H182," ")</f>
        <v> </v>
      </c>
      <c r="Z182" s="17" t="str">
        <f aca="false">IF((E182="a"),H182," ")</f>
        <v> </v>
      </c>
      <c r="AA182" s="17" t="str">
        <f aca="false">IF((E182="g"),H182," ")</f>
        <v> </v>
      </c>
      <c r="AB182" s="17" t="str">
        <f aca="false">IF((E182="h"),H182," ")</f>
        <v> </v>
      </c>
      <c r="AC182" s="30" t="str">
        <f aca="false">IF((E182="v"),H182," ")</f>
        <v> </v>
      </c>
      <c r="AD182" s="30" t="str">
        <f aca="false">IF((E182="n"),H182," ")</f>
        <v> </v>
      </c>
      <c r="AE182" s="17" t="str">
        <f aca="false">IF((E182="f"),H182," ")</f>
        <v> </v>
      </c>
      <c r="AF182" s="17" t="str">
        <f aca="false">IF((E182="l"),H182," ")</f>
        <v> </v>
      </c>
      <c r="AG182" s="17" t="str">
        <f aca="false">IF((E182="y"),H182," ")</f>
        <v> </v>
      </c>
      <c r="AH182" s="17" t="str">
        <f aca="false">IF((E182="z"),H182," ")</f>
        <v> </v>
      </c>
      <c r="AI182" s="17" t="str">
        <f aca="false">IF((E182="fa"),H182," ")</f>
        <v> </v>
      </c>
      <c r="AJ182" s="17" t="str">
        <f aca="false">IF((E182="e"),H182," ")</f>
        <v> </v>
      </c>
    </row>
    <row r="183" customFormat="false" ht="12" hidden="false" customHeight="false" outlineLevel="0" collapsed="false">
      <c r="A183" s="28"/>
      <c r="E183" s="2" t="str">
        <f aca="false">IF((F183&lt;&gt;0),"Enter Letter"," ")</f>
        <v> </v>
      </c>
      <c r="F183" s="30"/>
      <c r="G183" s="6" t="str">
        <f aca="false">IF(F183&lt;&gt;0,F183*G$2/(100+G$2)," ")</f>
        <v> </v>
      </c>
      <c r="H183" s="6" t="str">
        <f aca="false">IF((F183&lt;&gt;0),F183-G183," ")</f>
        <v> </v>
      </c>
      <c r="I183" s="5"/>
      <c r="L183" s="7" t="str">
        <f aca="false">IF(F183&lt;&gt;0,F183-K183," ")</f>
        <v> </v>
      </c>
      <c r="M183" s="8" t="str">
        <f aca="false">IF((F183-K183)&lt;&gt;0,M$1-A183," ")</f>
        <v> </v>
      </c>
      <c r="N183" s="5"/>
      <c r="O183" s="17" t="str">
        <f aca="false">IF((E183="s"),H183," ")</f>
        <v> </v>
      </c>
      <c r="P183" s="17" t="str">
        <f aca="false">IF((E183="c"),H183," ")</f>
        <v> </v>
      </c>
      <c r="Q183" s="17" t="str">
        <f aca="false">IF((E183="o"),H183," ")</f>
        <v> </v>
      </c>
      <c r="R183" s="17" t="str">
        <f aca="false">IF((E183="d"),H183," ")</f>
        <v> </v>
      </c>
      <c r="S183" s="17" t="str">
        <f aca="false">IF((E183="w"),H183," ")</f>
        <v> </v>
      </c>
      <c r="T183" s="17" t="str">
        <f aca="false">IF((E183="r"),H183," ")</f>
        <v> </v>
      </c>
      <c r="U183" s="17" t="str">
        <f aca="false">IF((E183="p"),H183," ")</f>
        <v> </v>
      </c>
      <c r="V183" s="17" t="str">
        <f aca="false">IF((E183="t"),H183," ")</f>
        <v> </v>
      </c>
      <c r="W183" s="17" t="str">
        <f aca="false">IF((E183="q"),H183," ")</f>
        <v> </v>
      </c>
      <c r="X183" s="17" t="str">
        <f aca="false">IF((E183="m"),H183," ")</f>
        <v> </v>
      </c>
      <c r="Y183" s="17" t="str">
        <f aca="false">IF((E183="u"),H183," ")</f>
        <v> </v>
      </c>
      <c r="Z183" s="17" t="str">
        <f aca="false">IF((E183="a"),H183," ")</f>
        <v> </v>
      </c>
      <c r="AA183" s="17" t="str">
        <f aca="false">IF((E183="g"),H183," ")</f>
        <v> </v>
      </c>
      <c r="AB183" s="17" t="str">
        <f aca="false">IF((E183="h"),H183," ")</f>
        <v> </v>
      </c>
      <c r="AC183" s="30" t="str">
        <f aca="false">IF((E183="v"),H183," ")</f>
        <v> </v>
      </c>
      <c r="AD183" s="30" t="str">
        <f aca="false">IF((E183="n"),H183," ")</f>
        <v> </v>
      </c>
      <c r="AE183" s="17" t="str">
        <f aca="false">IF((E183="f"),H183," ")</f>
        <v> </v>
      </c>
      <c r="AF183" s="17" t="str">
        <f aca="false">IF((E183="l"),H183," ")</f>
        <v> </v>
      </c>
      <c r="AG183" s="17" t="str">
        <f aca="false">IF((E183="y"),H183," ")</f>
        <v> </v>
      </c>
      <c r="AH183" s="17" t="str">
        <f aca="false">IF((E183="z"),H183," ")</f>
        <v> </v>
      </c>
      <c r="AI183" s="17" t="str">
        <f aca="false">IF((E183="fa"),H183," ")</f>
        <v> </v>
      </c>
      <c r="AJ183" s="17" t="str">
        <f aca="false">IF((E183="e"),H183," ")</f>
        <v> </v>
      </c>
    </row>
    <row r="184" customFormat="false" ht="12" hidden="false" customHeight="false" outlineLevel="0" collapsed="false">
      <c r="A184" s="28"/>
      <c r="E184" s="2" t="str">
        <f aca="false">IF((F184&lt;&gt;0),"Enter Letter"," ")</f>
        <v> </v>
      </c>
      <c r="F184" s="30"/>
      <c r="G184" s="6" t="str">
        <f aca="false">IF(F184&lt;&gt;0,F184*G$2/(100+G$2)," ")</f>
        <v> </v>
      </c>
      <c r="H184" s="6" t="str">
        <f aca="false">IF((F184&lt;&gt;0),F184-G184," ")</f>
        <v> </v>
      </c>
      <c r="I184" s="5"/>
      <c r="L184" s="7" t="str">
        <f aca="false">IF(F184&lt;&gt;0,F184-K184," ")</f>
        <v> </v>
      </c>
      <c r="M184" s="8" t="str">
        <f aca="false">IF((F184-K184)&lt;&gt;0,M$1-A184," ")</f>
        <v> </v>
      </c>
      <c r="N184" s="5"/>
      <c r="O184" s="17" t="str">
        <f aca="false">IF((E184="s"),H184," ")</f>
        <v> </v>
      </c>
      <c r="P184" s="17" t="str">
        <f aca="false">IF((E184="c"),H184," ")</f>
        <v> </v>
      </c>
      <c r="Q184" s="17" t="str">
        <f aca="false">IF((E184="o"),H184," ")</f>
        <v> </v>
      </c>
      <c r="R184" s="17" t="str">
        <f aca="false">IF((E184="d"),H184," ")</f>
        <v> </v>
      </c>
      <c r="S184" s="17" t="str">
        <f aca="false">IF((E184="w"),H184," ")</f>
        <v> </v>
      </c>
      <c r="T184" s="17" t="str">
        <f aca="false">IF((E184="r"),H184," ")</f>
        <v> </v>
      </c>
      <c r="U184" s="17" t="str">
        <f aca="false">IF((E184="p"),H184," ")</f>
        <v> </v>
      </c>
      <c r="V184" s="17" t="str">
        <f aca="false">IF((E184="t"),H184," ")</f>
        <v> </v>
      </c>
      <c r="W184" s="17" t="str">
        <f aca="false">IF((E184="q"),H184," ")</f>
        <v> </v>
      </c>
      <c r="X184" s="17" t="str">
        <f aca="false">IF((E184="m"),H184," ")</f>
        <v> </v>
      </c>
      <c r="Y184" s="17" t="str">
        <f aca="false">IF((E184="u"),H184," ")</f>
        <v> </v>
      </c>
      <c r="Z184" s="17" t="str">
        <f aca="false">IF((E184="a"),H184," ")</f>
        <v> </v>
      </c>
      <c r="AA184" s="17" t="str">
        <f aca="false">IF((E184="g"),H184," ")</f>
        <v> </v>
      </c>
      <c r="AB184" s="17" t="str">
        <f aca="false">IF((E184="h"),H184," ")</f>
        <v> </v>
      </c>
      <c r="AC184" s="30" t="str">
        <f aca="false">IF((E184="v"),H184," ")</f>
        <v> </v>
      </c>
      <c r="AD184" s="30" t="str">
        <f aca="false">IF((E184="n"),H184," ")</f>
        <v> </v>
      </c>
      <c r="AE184" s="17" t="str">
        <f aca="false">IF((E184="f"),H184," ")</f>
        <v> </v>
      </c>
      <c r="AF184" s="17" t="str">
        <f aca="false">IF((E184="l"),H184," ")</f>
        <v> </v>
      </c>
      <c r="AG184" s="17" t="str">
        <f aca="false">IF((E184="y"),H184," ")</f>
        <v> </v>
      </c>
      <c r="AH184" s="17" t="str">
        <f aca="false">IF((E184="z"),H184," ")</f>
        <v> </v>
      </c>
      <c r="AI184" s="17" t="str">
        <f aca="false">IF((E184="fa"),H184," ")</f>
        <v> </v>
      </c>
      <c r="AJ184" s="17" t="str">
        <f aca="false">IF((E184="e"),H184," ")</f>
        <v> </v>
      </c>
    </row>
    <row r="185" customFormat="false" ht="12" hidden="false" customHeight="false" outlineLevel="0" collapsed="false">
      <c r="A185" s="28"/>
      <c r="E185" s="2" t="str">
        <f aca="false">IF((F185&lt;&gt;0),"Enter Letter"," ")</f>
        <v> </v>
      </c>
      <c r="F185" s="30"/>
      <c r="G185" s="6" t="str">
        <f aca="false">IF(F185&lt;&gt;0,F185*G$2/(100+G$2)," ")</f>
        <v> </v>
      </c>
      <c r="H185" s="6" t="str">
        <f aca="false">IF((F185&lt;&gt;0),F185-G185," ")</f>
        <v> </v>
      </c>
      <c r="I185" s="5"/>
      <c r="L185" s="7" t="str">
        <f aca="false">IF(F185&lt;&gt;0,F185-K185," ")</f>
        <v> </v>
      </c>
      <c r="M185" s="8" t="str">
        <f aca="false">IF((F185-K185)&lt;&gt;0,M$1-A185," ")</f>
        <v> </v>
      </c>
      <c r="N185" s="5"/>
      <c r="O185" s="17" t="str">
        <f aca="false">IF((E185="s"),H185," ")</f>
        <v> </v>
      </c>
      <c r="P185" s="17" t="str">
        <f aca="false">IF((E185="c"),H185," ")</f>
        <v> </v>
      </c>
      <c r="Q185" s="17" t="str">
        <f aca="false">IF((E185="o"),H185," ")</f>
        <v> </v>
      </c>
      <c r="R185" s="17" t="str">
        <f aca="false">IF((E185="d"),H185," ")</f>
        <v> </v>
      </c>
      <c r="S185" s="17" t="str">
        <f aca="false">IF((E185="w"),H185," ")</f>
        <v> </v>
      </c>
      <c r="T185" s="17" t="str">
        <f aca="false">IF((E185="r"),H185," ")</f>
        <v> </v>
      </c>
      <c r="U185" s="17" t="str">
        <f aca="false">IF((E185="p"),H185," ")</f>
        <v> </v>
      </c>
      <c r="V185" s="17" t="str">
        <f aca="false">IF((E185="t"),H185," ")</f>
        <v> </v>
      </c>
      <c r="W185" s="17" t="str">
        <f aca="false">IF((E185="q"),H185," ")</f>
        <v> </v>
      </c>
      <c r="X185" s="17" t="str">
        <f aca="false">IF((E185="m"),H185," ")</f>
        <v> </v>
      </c>
      <c r="Y185" s="17" t="str">
        <f aca="false">IF((E185="u"),H185," ")</f>
        <v> </v>
      </c>
      <c r="Z185" s="17" t="str">
        <f aca="false">IF((E185="a"),H185," ")</f>
        <v> </v>
      </c>
      <c r="AA185" s="17" t="str">
        <f aca="false">IF((E185="g"),H185," ")</f>
        <v> </v>
      </c>
      <c r="AB185" s="17" t="str">
        <f aca="false">IF((E185="h"),H185," ")</f>
        <v> </v>
      </c>
      <c r="AC185" s="30" t="str">
        <f aca="false">IF((E185="v"),H185," ")</f>
        <v> </v>
      </c>
      <c r="AD185" s="30" t="str">
        <f aca="false">IF((E185="n"),H185," ")</f>
        <v> </v>
      </c>
      <c r="AE185" s="17" t="str">
        <f aca="false">IF((E185="f"),H185," ")</f>
        <v> </v>
      </c>
      <c r="AF185" s="17" t="str">
        <f aca="false">IF((E185="l"),H185," ")</f>
        <v> </v>
      </c>
      <c r="AG185" s="17" t="str">
        <f aca="false">IF((E185="y"),H185," ")</f>
        <v> </v>
      </c>
      <c r="AH185" s="17" t="str">
        <f aca="false">IF((E185="z"),H185," ")</f>
        <v> </v>
      </c>
      <c r="AI185" s="17" t="str">
        <f aca="false">IF((E185="fa"),H185," ")</f>
        <v> </v>
      </c>
      <c r="AJ185" s="17" t="str">
        <f aca="false">IF((E185="e"),H185," ")</f>
        <v> </v>
      </c>
    </row>
    <row r="186" customFormat="false" ht="12" hidden="false" customHeight="false" outlineLevel="0" collapsed="false">
      <c r="A186" s="28"/>
      <c r="E186" s="2" t="str">
        <f aca="false">IF((F186&lt;&gt;0),"Enter Letter"," ")</f>
        <v> </v>
      </c>
      <c r="F186" s="30"/>
      <c r="G186" s="6" t="str">
        <f aca="false">IF(F186&lt;&gt;0,F186*G$2/(100+G$2)," ")</f>
        <v> </v>
      </c>
      <c r="H186" s="6" t="str">
        <f aca="false">IF((F186&lt;&gt;0),F186-G186," ")</f>
        <v> </v>
      </c>
      <c r="I186" s="5"/>
      <c r="L186" s="7" t="str">
        <f aca="false">IF(F186&lt;&gt;0,F186-K186," ")</f>
        <v> </v>
      </c>
      <c r="M186" s="8" t="str">
        <f aca="false">IF((F186-K186)&lt;&gt;0,M$1-A186," ")</f>
        <v> </v>
      </c>
      <c r="N186" s="5"/>
      <c r="O186" s="17" t="str">
        <f aca="false">IF((E186="s"),H186," ")</f>
        <v> </v>
      </c>
      <c r="P186" s="17" t="str">
        <f aca="false">IF((E186="c"),H186," ")</f>
        <v> </v>
      </c>
      <c r="Q186" s="17" t="str">
        <f aca="false">IF((E186="o"),H186," ")</f>
        <v> </v>
      </c>
      <c r="R186" s="17" t="str">
        <f aca="false">IF((E186="d"),H186," ")</f>
        <v> </v>
      </c>
      <c r="S186" s="17" t="str">
        <f aca="false">IF((E186="w"),H186," ")</f>
        <v> </v>
      </c>
      <c r="T186" s="17" t="str">
        <f aca="false">IF((E186="r"),H186," ")</f>
        <v> </v>
      </c>
      <c r="U186" s="17" t="str">
        <f aca="false">IF((E186="p"),H186," ")</f>
        <v> </v>
      </c>
      <c r="V186" s="17" t="str">
        <f aca="false">IF((E186="t"),H186," ")</f>
        <v> </v>
      </c>
      <c r="W186" s="17" t="str">
        <f aca="false">IF((E186="q"),H186," ")</f>
        <v> </v>
      </c>
      <c r="X186" s="17" t="str">
        <f aca="false">IF((E186="m"),H186," ")</f>
        <v> </v>
      </c>
      <c r="Y186" s="17" t="str">
        <f aca="false">IF((E186="u"),H186," ")</f>
        <v> </v>
      </c>
      <c r="Z186" s="17" t="str">
        <f aca="false">IF((E186="a"),H186," ")</f>
        <v> </v>
      </c>
      <c r="AA186" s="17" t="str">
        <f aca="false">IF((E186="g"),H186," ")</f>
        <v> </v>
      </c>
      <c r="AB186" s="17" t="str">
        <f aca="false">IF((E186="h"),H186," ")</f>
        <v> </v>
      </c>
      <c r="AC186" s="30" t="str">
        <f aca="false">IF((E186="v"),H186," ")</f>
        <v> </v>
      </c>
      <c r="AD186" s="30" t="str">
        <f aca="false">IF((E186="n"),H186," ")</f>
        <v> </v>
      </c>
      <c r="AE186" s="17" t="str">
        <f aca="false">IF((E186="f"),H186," ")</f>
        <v> </v>
      </c>
      <c r="AF186" s="17" t="str">
        <f aca="false">IF((E186="l"),H186," ")</f>
        <v> </v>
      </c>
      <c r="AG186" s="17" t="str">
        <f aca="false">IF((E186="y"),H186," ")</f>
        <v> </v>
      </c>
      <c r="AH186" s="17" t="str">
        <f aca="false">IF((E186="z"),H186," ")</f>
        <v> </v>
      </c>
      <c r="AI186" s="17" t="str">
        <f aca="false">IF((E186="fa"),H186," ")</f>
        <v> </v>
      </c>
      <c r="AJ186" s="17" t="str">
        <f aca="false">IF((E186="e"),H186," ")</f>
        <v> </v>
      </c>
    </row>
    <row r="187" customFormat="false" ht="12" hidden="false" customHeight="false" outlineLevel="0" collapsed="false">
      <c r="A187" s="28"/>
      <c r="E187" s="2" t="str">
        <f aca="false">IF((F187&lt;&gt;0),"Enter Letter"," ")</f>
        <v> </v>
      </c>
      <c r="F187" s="30"/>
      <c r="G187" s="6" t="str">
        <f aca="false">IF(F187&lt;&gt;0,F187*G$2/(100+G$2)," ")</f>
        <v> </v>
      </c>
      <c r="H187" s="6" t="str">
        <f aca="false">IF((F187&lt;&gt;0),F187-G187," ")</f>
        <v> </v>
      </c>
      <c r="I187" s="5"/>
      <c r="L187" s="7" t="str">
        <f aca="false">IF(F187&lt;&gt;0,F187-K187," ")</f>
        <v> </v>
      </c>
      <c r="M187" s="8" t="str">
        <f aca="false">IF((F187-K187)&lt;&gt;0,M$1-A187," ")</f>
        <v> </v>
      </c>
      <c r="N187" s="5"/>
      <c r="O187" s="17" t="str">
        <f aca="false">IF((E187="s"),H187," ")</f>
        <v> </v>
      </c>
      <c r="P187" s="17" t="str">
        <f aca="false">IF((E187="c"),H187," ")</f>
        <v> </v>
      </c>
      <c r="Q187" s="17" t="str">
        <f aca="false">IF((E187="o"),H187," ")</f>
        <v> </v>
      </c>
      <c r="R187" s="17" t="str">
        <f aca="false">IF((E187="d"),H187," ")</f>
        <v> </v>
      </c>
      <c r="S187" s="17" t="str">
        <f aca="false">IF((E187="w"),H187," ")</f>
        <v> </v>
      </c>
      <c r="T187" s="17" t="str">
        <f aca="false">IF((E187="r"),H187," ")</f>
        <v> </v>
      </c>
      <c r="U187" s="17" t="str">
        <f aca="false">IF((E187="p"),H187," ")</f>
        <v> </v>
      </c>
      <c r="V187" s="17" t="str">
        <f aca="false">IF((E187="t"),H187," ")</f>
        <v> </v>
      </c>
      <c r="W187" s="17" t="str">
        <f aca="false">IF((E187="q"),H187," ")</f>
        <v> </v>
      </c>
      <c r="X187" s="17" t="str">
        <f aca="false">IF((E187="m"),H187," ")</f>
        <v> </v>
      </c>
      <c r="Y187" s="17" t="str">
        <f aca="false">IF((E187="u"),H187," ")</f>
        <v> </v>
      </c>
      <c r="Z187" s="17" t="str">
        <f aca="false">IF((E187="a"),H187," ")</f>
        <v> </v>
      </c>
      <c r="AA187" s="17" t="str">
        <f aca="false">IF((E187="g"),H187," ")</f>
        <v> </v>
      </c>
      <c r="AB187" s="17" t="str">
        <f aca="false">IF((E187="h"),H187," ")</f>
        <v> </v>
      </c>
      <c r="AC187" s="30" t="str">
        <f aca="false">IF((E187="v"),H187," ")</f>
        <v> </v>
      </c>
      <c r="AD187" s="30" t="str">
        <f aca="false">IF((E187="n"),H187," ")</f>
        <v> </v>
      </c>
      <c r="AE187" s="17" t="str">
        <f aca="false">IF((E187="f"),H187," ")</f>
        <v> </v>
      </c>
      <c r="AF187" s="17" t="str">
        <f aca="false">IF((E187="l"),H187," ")</f>
        <v> </v>
      </c>
      <c r="AG187" s="17" t="str">
        <f aca="false">IF((E187="y"),H187," ")</f>
        <v> </v>
      </c>
      <c r="AH187" s="17" t="str">
        <f aca="false">IF((E187="z"),H187," ")</f>
        <v> </v>
      </c>
      <c r="AI187" s="17" t="str">
        <f aca="false">IF((E187="fa"),H187," ")</f>
        <v> </v>
      </c>
      <c r="AJ187" s="17" t="str">
        <f aca="false">IF((E187="e"),H187," ")</f>
        <v> </v>
      </c>
    </row>
    <row r="188" customFormat="false" ht="12" hidden="false" customHeight="false" outlineLevel="0" collapsed="false">
      <c r="A188" s="28"/>
      <c r="E188" s="2" t="str">
        <f aca="false">IF((F188&lt;&gt;0),"Enter Letter"," ")</f>
        <v> </v>
      </c>
      <c r="F188" s="30"/>
      <c r="G188" s="6" t="str">
        <f aca="false">IF(F188&lt;&gt;0,F188*G$2/(100+G$2)," ")</f>
        <v> </v>
      </c>
      <c r="H188" s="6" t="str">
        <f aca="false">IF((F188&lt;&gt;0),F188-G188," ")</f>
        <v> </v>
      </c>
      <c r="I188" s="5"/>
      <c r="L188" s="7" t="str">
        <f aca="false">IF(F188&lt;&gt;0,F188-K188," ")</f>
        <v> </v>
      </c>
      <c r="M188" s="8" t="str">
        <f aca="false">IF((F188-K188)&lt;&gt;0,M$1-A188," ")</f>
        <v> </v>
      </c>
      <c r="N188" s="5"/>
      <c r="O188" s="17" t="str">
        <f aca="false">IF((E188="s"),H188," ")</f>
        <v> </v>
      </c>
      <c r="P188" s="17" t="str">
        <f aca="false">IF((E188="c"),H188," ")</f>
        <v> </v>
      </c>
      <c r="Q188" s="17" t="str">
        <f aca="false">IF((E188="o"),H188," ")</f>
        <v> </v>
      </c>
      <c r="R188" s="17" t="str">
        <f aca="false">IF((E188="d"),H188," ")</f>
        <v> </v>
      </c>
      <c r="S188" s="17" t="str">
        <f aca="false">IF((E188="w"),H188," ")</f>
        <v> </v>
      </c>
      <c r="T188" s="17" t="str">
        <f aca="false">IF((E188="r"),H188," ")</f>
        <v> </v>
      </c>
      <c r="U188" s="17" t="str">
        <f aca="false">IF((E188="p"),H188," ")</f>
        <v> </v>
      </c>
      <c r="V188" s="17" t="str">
        <f aca="false">IF((E188="t"),H188," ")</f>
        <v> </v>
      </c>
      <c r="W188" s="17" t="str">
        <f aca="false">IF((E188="q"),H188," ")</f>
        <v> </v>
      </c>
      <c r="X188" s="17" t="str">
        <f aca="false">IF((E188="m"),H188," ")</f>
        <v> </v>
      </c>
      <c r="Y188" s="17" t="str">
        <f aca="false">IF((E188="u"),H188," ")</f>
        <v> </v>
      </c>
      <c r="Z188" s="17" t="str">
        <f aca="false">IF((E188="a"),H188," ")</f>
        <v> </v>
      </c>
      <c r="AA188" s="17" t="str">
        <f aca="false">IF((E188="g"),H188," ")</f>
        <v> </v>
      </c>
      <c r="AB188" s="17" t="str">
        <f aca="false">IF((E188="h"),H188," ")</f>
        <v> </v>
      </c>
      <c r="AC188" s="30" t="str">
        <f aca="false">IF((E188="v"),H188," ")</f>
        <v> </v>
      </c>
      <c r="AD188" s="30" t="str">
        <f aca="false">IF((E188="n"),H188," ")</f>
        <v> </v>
      </c>
      <c r="AE188" s="17" t="str">
        <f aca="false">IF((E188="f"),H188," ")</f>
        <v> </v>
      </c>
      <c r="AF188" s="17" t="str">
        <f aca="false">IF((E188="l"),H188," ")</f>
        <v> </v>
      </c>
      <c r="AG188" s="17" t="str">
        <f aca="false">IF((E188="y"),H188," ")</f>
        <v> </v>
      </c>
      <c r="AH188" s="17" t="str">
        <f aca="false">IF((E188="z"),H188," ")</f>
        <v> </v>
      </c>
      <c r="AI188" s="17" t="str">
        <f aca="false">IF((E188="fa"),H188," ")</f>
        <v> </v>
      </c>
      <c r="AJ188" s="17" t="str">
        <f aca="false">IF((E188="e"),H188," ")</f>
        <v> </v>
      </c>
    </row>
    <row r="189" customFormat="false" ht="12" hidden="false" customHeight="false" outlineLevel="0" collapsed="false">
      <c r="A189" s="28"/>
      <c r="E189" s="2" t="str">
        <f aca="false">IF((F189&lt;&gt;0),"Enter Letter"," ")</f>
        <v> </v>
      </c>
      <c r="F189" s="30"/>
      <c r="G189" s="6" t="str">
        <f aca="false">IF(F189&lt;&gt;0,F189*G$2/(100+G$2)," ")</f>
        <v> </v>
      </c>
      <c r="H189" s="6" t="str">
        <f aca="false">IF((F189&lt;&gt;0),F189-G189," ")</f>
        <v> </v>
      </c>
      <c r="I189" s="5"/>
      <c r="L189" s="7" t="str">
        <f aca="false">IF(F189&lt;&gt;0,F189-K189," ")</f>
        <v> </v>
      </c>
      <c r="M189" s="8" t="str">
        <f aca="false">IF((F189-K189)&lt;&gt;0,M$1-A189," ")</f>
        <v> </v>
      </c>
      <c r="N189" s="5"/>
      <c r="O189" s="17" t="str">
        <f aca="false">IF((E189="s"),H189," ")</f>
        <v> </v>
      </c>
      <c r="P189" s="17" t="str">
        <f aca="false">IF((E189="c"),H189," ")</f>
        <v> </v>
      </c>
      <c r="Q189" s="17" t="str">
        <f aca="false">IF((E189="o"),H189," ")</f>
        <v> </v>
      </c>
      <c r="R189" s="17" t="str">
        <f aca="false">IF((E189="d"),H189," ")</f>
        <v> </v>
      </c>
      <c r="S189" s="17" t="str">
        <f aca="false">IF((E189="w"),H189," ")</f>
        <v> </v>
      </c>
      <c r="T189" s="17" t="str">
        <f aca="false">IF((E189="r"),H189," ")</f>
        <v> </v>
      </c>
      <c r="U189" s="17" t="str">
        <f aca="false">IF((E189="p"),H189," ")</f>
        <v> </v>
      </c>
      <c r="V189" s="17" t="str">
        <f aca="false">IF((E189="t"),H189," ")</f>
        <v> </v>
      </c>
      <c r="W189" s="17" t="str">
        <f aca="false">IF((E189="q"),H189," ")</f>
        <v> </v>
      </c>
      <c r="X189" s="17" t="str">
        <f aca="false">IF((E189="m"),H189," ")</f>
        <v> </v>
      </c>
      <c r="Y189" s="17" t="str">
        <f aca="false">IF((E189="u"),H189," ")</f>
        <v> </v>
      </c>
      <c r="Z189" s="17" t="str">
        <f aca="false">IF((E189="a"),H189," ")</f>
        <v> </v>
      </c>
      <c r="AA189" s="17" t="str">
        <f aca="false">IF((E189="g"),H189," ")</f>
        <v> </v>
      </c>
      <c r="AB189" s="17" t="str">
        <f aca="false">IF((E189="h"),H189," ")</f>
        <v> </v>
      </c>
      <c r="AC189" s="30" t="str">
        <f aca="false">IF((E189="v"),H189," ")</f>
        <v> </v>
      </c>
      <c r="AD189" s="30" t="str">
        <f aca="false">IF((E189="n"),H189," ")</f>
        <v> </v>
      </c>
      <c r="AE189" s="17" t="str">
        <f aca="false">IF((E189="f"),H189," ")</f>
        <v> </v>
      </c>
      <c r="AF189" s="17" t="str">
        <f aca="false">IF((E189="l"),H189," ")</f>
        <v> </v>
      </c>
      <c r="AG189" s="17" t="str">
        <f aca="false">IF((E189="y"),H189," ")</f>
        <v> </v>
      </c>
      <c r="AH189" s="17" t="str">
        <f aca="false">IF((E189="z"),H189," ")</f>
        <v> </v>
      </c>
      <c r="AI189" s="17" t="str">
        <f aca="false">IF((E189="fa"),H189," ")</f>
        <v> </v>
      </c>
      <c r="AJ189" s="17" t="str">
        <f aca="false">IF((E189="e"),H189," ")</f>
        <v> </v>
      </c>
    </row>
    <row r="190" customFormat="false" ht="12" hidden="false" customHeight="false" outlineLevel="0" collapsed="false">
      <c r="A190" s="28"/>
      <c r="E190" s="2" t="str">
        <f aca="false">IF((F190&lt;&gt;0),"Enter Letter"," ")</f>
        <v> </v>
      </c>
      <c r="F190" s="30"/>
      <c r="G190" s="6" t="str">
        <f aca="false">IF(F190&lt;&gt;0,F190*G$2/(100+G$2)," ")</f>
        <v> </v>
      </c>
      <c r="H190" s="6" t="str">
        <f aca="false">IF((F190&lt;&gt;0),F190-G190," ")</f>
        <v> </v>
      </c>
      <c r="I190" s="5"/>
      <c r="L190" s="7" t="str">
        <f aca="false">IF(F190&lt;&gt;0,F190-K190," ")</f>
        <v> </v>
      </c>
      <c r="M190" s="8" t="str">
        <f aca="false">IF((F190-K190)&lt;&gt;0,M$1-A190," ")</f>
        <v> </v>
      </c>
      <c r="N190" s="5"/>
      <c r="O190" s="17" t="str">
        <f aca="false">IF((E190="s"),H190," ")</f>
        <v> </v>
      </c>
      <c r="P190" s="17" t="str">
        <f aca="false">IF((E190="c"),H190," ")</f>
        <v> </v>
      </c>
      <c r="Q190" s="17" t="str">
        <f aca="false">IF((E190="o"),H190," ")</f>
        <v> </v>
      </c>
      <c r="R190" s="17" t="str">
        <f aca="false">IF((E190="d"),H190," ")</f>
        <v> </v>
      </c>
      <c r="S190" s="17" t="str">
        <f aca="false">IF((E190="w"),H190," ")</f>
        <v> </v>
      </c>
      <c r="T190" s="17" t="str">
        <f aca="false">IF((E190="r"),H190," ")</f>
        <v> </v>
      </c>
      <c r="U190" s="17" t="str">
        <f aca="false">IF((E190="p"),H190," ")</f>
        <v> </v>
      </c>
      <c r="V190" s="17" t="str">
        <f aca="false">IF((E190="t"),H190," ")</f>
        <v> </v>
      </c>
      <c r="W190" s="17" t="str">
        <f aca="false">IF((E190="q"),H190," ")</f>
        <v> </v>
      </c>
      <c r="X190" s="17" t="str">
        <f aca="false">IF((E190="m"),H190," ")</f>
        <v> </v>
      </c>
      <c r="Y190" s="17" t="str">
        <f aca="false">IF((E190="u"),H190," ")</f>
        <v> </v>
      </c>
      <c r="Z190" s="17" t="str">
        <f aca="false">IF((E190="a"),H190," ")</f>
        <v> </v>
      </c>
      <c r="AA190" s="17" t="str">
        <f aca="false">IF((E190="g"),H190," ")</f>
        <v> </v>
      </c>
      <c r="AB190" s="17" t="str">
        <f aca="false">IF((E190="h"),H190," ")</f>
        <v> </v>
      </c>
      <c r="AC190" s="30" t="str">
        <f aca="false">IF((E190="v"),H190," ")</f>
        <v> </v>
      </c>
      <c r="AD190" s="30" t="str">
        <f aca="false">IF((E190="n"),H190," ")</f>
        <v> </v>
      </c>
      <c r="AE190" s="17" t="str">
        <f aca="false">IF((E190="f"),H190," ")</f>
        <v> </v>
      </c>
      <c r="AF190" s="17" t="str">
        <f aca="false">IF((E190="l"),H190," ")</f>
        <v> </v>
      </c>
      <c r="AG190" s="17" t="str">
        <f aca="false">IF((E190="y"),H190," ")</f>
        <v> </v>
      </c>
      <c r="AH190" s="17" t="str">
        <f aca="false">IF((E190="z"),H190," ")</f>
        <v> </v>
      </c>
      <c r="AI190" s="17" t="str">
        <f aca="false">IF((E190="fa"),H190," ")</f>
        <v> </v>
      </c>
      <c r="AJ190" s="17" t="str">
        <f aca="false">IF((E190="e"),H190," ")</f>
        <v> </v>
      </c>
    </row>
    <row r="191" customFormat="false" ht="12" hidden="false" customHeight="false" outlineLevel="0" collapsed="false">
      <c r="A191" s="28"/>
      <c r="E191" s="2" t="str">
        <f aca="false">IF((F191&lt;&gt;0),"Enter Letter"," ")</f>
        <v> </v>
      </c>
      <c r="F191" s="30"/>
      <c r="G191" s="6" t="str">
        <f aca="false">IF(F191&lt;&gt;0,F191*G$2/(100+G$2)," ")</f>
        <v> </v>
      </c>
      <c r="H191" s="6" t="str">
        <f aca="false">IF((F191&lt;&gt;0),F191-G191," ")</f>
        <v> </v>
      </c>
      <c r="I191" s="5"/>
      <c r="L191" s="7" t="str">
        <f aca="false">IF(F191&lt;&gt;0,F191-K191," ")</f>
        <v> </v>
      </c>
      <c r="M191" s="8" t="str">
        <f aca="false">IF((F191-K191)&lt;&gt;0,M$1-A191," ")</f>
        <v> </v>
      </c>
      <c r="N191" s="5"/>
      <c r="O191" s="17" t="str">
        <f aca="false">IF((E191="s"),H191," ")</f>
        <v> </v>
      </c>
      <c r="P191" s="17" t="str">
        <f aca="false">IF((E191="c"),H191," ")</f>
        <v> </v>
      </c>
      <c r="Q191" s="17" t="str">
        <f aca="false">IF((E191="o"),H191," ")</f>
        <v> </v>
      </c>
      <c r="R191" s="17" t="str">
        <f aca="false">IF((E191="d"),H191," ")</f>
        <v> </v>
      </c>
      <c r="S191" s="17" t="str">
        <f aca="false">IF((E191="w"),H191," ")</f>
        <v> </v>
      </c>
      <c r="T191" s="17" t="str">
        <f aca="false">IF((E191="r"),H191," ")</f>
        <v> </v>
      </c>
      <c r="U191" s="17" t="str">
        <f aca="false">IF((E191="p"),H191," ")</f>
        <v> </v>
      </c>
      <c r="V191" s="17" t="str">
        <f aca="false">IF((E191="t"),H191," ")</f>
        <v> </v>
      </c>
      <c r="W191" s="17" t="str">
        <f aca="false">IF((E191="q"),H191," ")</f>
        <v> </v>
      </c>
      <c r="X191" s="17" t="str">
        <f aca="false">IF((E191="m"),H191," ")</f>
        <v> </v>
      </c>
      <c r="Y191" s="17" t="str">
        <f aca="false">IF((E191="u"),H191," ")</f>
        <v> </v>
      </c>
      <c r="Z191" s="17" t="str">
        <f aca="false">IF((E191="a"),H191," ")</f>
        <v> </v>
      </c>
      <c r="AA191" s="17" t="str">
        <f aca="false">IF((E191="g"),H191," ")</f>
        <v> </v>
      </c>
      <c r="AB191" s="17" t="str">
        <f aca="false">IF((E191="h"),H191," ")</f>
        <v> </v>
      </c>
      <c r="AC191" s="30" t="str">
        <f aca="false">IF((E191="v"),H191," ")</f>
        <v> </v>
      </c>
      <c r="AD191" s="30" t="str">
        <f aca="false">IF((E191="n"),H191," ")</f>
        <v> </v>
      </c>
      <c r="AE191" s="17" t="str">
        <f aca="false">IF((E191="f"),H191," ")</f>
        <v> </v>
      </c>
      <c r="AF191" s="17" t="str">
        <f aca="false">IF((E191="l"),H191," ")</f>
        <v> </v>
      </c>
      <c r="AG191" s="17" t="str">
        <f aca="false">IF((E191="y"),H191," ")</f>
        <v> </v>
      </c>
      <c r="AH191" s="17" t="str">
        <f aca="false">IF((E191="z"),H191," ")</f>
        <v> </v>
      </c>
      <c r="AI191" s="17" t="str">
        <f aca="false">IF((E191="fa"),H191," ")</f>
        <v> </v>
      </c>
      <c r="AJ191" s="17" t="str">
        <f aca="false">IF((E191="e"),H191," ")</f>
        <v> </v>
      </c>
    </row>
    <row r="192" customFormat="false" ht="12" hidden="false" customHeight="false" outlineLevel="0" collapsed="false">
      <c r="A192" s="28"/>
      <c r="E192" s="2" t="str">
        <f aca="false">IF((F192&lt;&gt;0),"Enter Letter"," ")</f>
        <v> </v>
      </c>
      <c r="F192" s="30"/>
      <c r="G192" s="6" t="str">
        <f aca="false">IF(F192&lt;&gt;0,F192*G$2/(100+G$2)," ")</f>
        <v> </v>
      </c>
      <c r="H192" s="6" t="str">
        <f aca="false">IF((F192&lt;&gt;0),F192-G192," ")</f>
        <v> </v>
      </c>
      <c r="I192" s="5"/>
      <c r="L192" s="7" t="str">
        <f aca="false">IF(F192&lt;&gt;0,F192-K192," ")</f>
        <v> </v>
      </c>
      <c r="M192" s="8" t="str">
        <f aca="false">IF((F192-K192)&lt;&gt;0,M$1-A192," ")</f>
        <v> </v>
      </c>
      <c r="N192" s="5"/>
      <c r="O192" s="17" t="str">
        <f aca="false">IF((E192="s"),H192," ")</f>
        <v> </v>
      </c>
      <c r="P192" s="17" t="str">
        <f aca="false">IF((E192="c"),H192," ")</f>
        <v> </v>
      </c>
      <c r="Q192" s="17" t="str">
        <f aca="false">IF((E192="o"),H192," ")</f>
        <v> </v>
      </c>
      <c r="R192" s="17" t="str">
        <f aca="false">IF((E192="d"),H192," ")</f>
        <v> </v>
      </c>
      <c r="S192" s="17" t="str">
        <f aca="false">IF((E192="w"),H192," ")</f>
        <v> </v>
      </c>
      <c r="T192" s="17" t="str">
        <f aca="false">IF((E192="r"),H192," ")</f>
        <v> </v>
      </c>
      <c r="U192" s="17" t="str">
        <f aca="false">IF((E192="p"),H192," ")</f>
        <v> </v>
      </c>
      <c r="V192" s="17" t="str">
        <f aca="false">IF((E192="t"),H192," ")</f>
        <v> </v>
      </c>
      <c r="W192" s="17" t="str">
        <f aca="false">IF((E192="q"),H192," ")</f>
        <v> </v>
      </c>
      <c r="X192" s="17" t="str">
        <f aca="false">IF((E192="m"),H192," ")</f>
        <v> </v>
      </c>
      <c r="Y192" s="17" t="str">
        <f aca="false">IF((E192="u"),H192," ")</f>
        <v> </v>
      </c>
      <c r="Z192" s="17" t="str">
        <f aca="false">IF((E192="a"),H192," ")</f>
        <v> </v>
      </c>
      <c r="AA192" s="17" t="str">
        <f aca="false">IF((E192="g"),H192," ")</f>
        <v> </v>
      </c>
      <c r="AB192" s="17" t="str">
        <f aca="false">IF((E192="h"),H192," ")</f>
        <v> </v>
      </c>
      <c r="AC192" s="30" t="str">
        <f aca="false">IF((E192="v"),H192," ")</f>
        <v> </v>
      </c>
      <c r="AD192" s="30" t="str">
        <f aca="false">IF((E192="n"),H192," ")</f>
        <v> </v>
      </c>
      <c r="AE192" s="17" t="str">
        <f aca="false">IF((E192="f"),H192," ")</f>
        <v> </v>
      </c>
      <c r="AF192" s="17" t="str">
        <f aca="false">IF((E192="l"),H192," ")</f>
        <v> </v>
      </c>
      <c r="AG192" s="17" t="str">
        <f aca="false">IF((E192="y"),H192," ")</f>
        <v> </v>
      </c>
      <c r="AH192" s="17" t="str">
        <f aca="false">IF((E192="z"),H192," ")</f>
        <v> </v>
      </c>
      <c r="AI192" s="17" t="str">
        <f aca="false">IF((E192="fa"),H192," ")</f>
        <v> </v>
      </c>
      <c r="AJ192" s="17" t="str">
        <f aca="false">IF((E192="e"),H192," ")</f>
        <v> </v>
      </c>
    </row>
    <row r="193" customFormat="false" ht="12" hidden="false" customHeight="false" outlineLevel="0" collapsed="false">
      <c r="A193" s="28"/>
      <c r="E193" s="2" t="str">
        <f aca="false">IF((F193&lt;&gt;0),"Enter Letter"," ")</f>
        <v> </v>
      </c>
      <c r="F193" s="30"/>
      <c r="G193" s="6" t="str">
        <f aca="false">IF(F193&lt;&gt;0,F193*G$2/(100+G$2)," ")</f>
        <v> </v>
      </c>
      <c r="H193" s="6" t="str">
        <f aca="false">IF((F193&lt;&gt;0),F193-G193," ")</f>
        <v> </v>
      </c>
      <c r="I193" s="5"/>
      <c r="L193" s="7" t="str">
        <f aca="false">IF(F193&lt;&gt;0,F193-K193," ")</f>
        <v> </v>
      </c>
      <c r="M193" s="8" t="str">
        <f aca="false">IF((F193-K193)&lt;&gt;0,M$1-A193," ")</f>
        <v> </v>
      </c>
      <c r="N193" s="5"/>
      <c r="O193" s="17" t="str">
        <f aca="false">IF((E193="s"),H193," ")</f>
        <v> </v>
      </c>
      <c r="P193" s="17" t="str">
        <f aca="false">IF((E193="c"),H193," ")</f>
        <v> </v>
      </c>
      <c r="Q193" s="17" t="str">
        <f aca="false">IF((E193="o"),H193," ")</f>
        <v> </v>
      </c>
      <c r="R193" s="17" t="str">
        <f aca="false">IF((E193="d"),H193," ")</f>
        <v> </v>
      </c>
      <c r="S193" s="17" t="str">
        <f aca="false">IF((E193="w"),H193," ")</f>
        <v> </v>
      </c>
      <c r="T193" s="17" t="str">
        <f aca="false">IF((E193="r"),H193," ")</f>
        <v> </v>
      </c>
      <c r="U193" s="17" t="str">
        <f aca="false">IF((E193="p"),H193," ")</f>
        <v> </v>
      </c>
      <c r="V193" s="17" t="str">
        <f aca="false">IF((E193="t"),H193," ")</f>
        <v> </v>
      </c>
      <c r="W193" s="17" t="str">
        <f aca="false">IF((E193="q"),H193," ")</f>
        <v> </v>
      </c>
      <c r="X193" s="17" t="str">
        <f aca="false">IF((E193="m"),H193," ")</f>
        <v> </v>
      </c>
      <c r="Y193" s="17" t="str">
        <f aca="false">IF((E193="u"),H193," ")</f>
        <v> </v>
      </c>
      <c r="Z193" s="17" t="str">
        <f aca="false">IF((E193="a"),H193," ")</f>
        <v> </v>
      </c>
      <c r="AA193" s="17" t="str">
        <f aca="false">IF((E193="g"),H193," ")</f>
        <v> </v>
      </c>
      <c r="AB193" s="17" t="str">
        <f aca="false">IF((E193="h"),H193," ")</f>
        <v> </v>
      </c>
      <c r="AC193" s="30" t="str">
        <f aca="false">IF((E193="v"),H193," ")</f>
        <v> </v>
      </c>
      <c r="AD193" s="30" t="str">
        <f aca="false">IF((E193="n"),H193," ")</f>
        <v> </v>
      </c>
      <c r="AE193" s="17" t="str">
        <f aca="false">IF((E193="f"),H193," ")</f>
        <v> </v>
      </c>
      <c r="AF193" s="17" t="str">
        <f aca="false">IF((E193="l"),H193," ")</f>
        <v> </v>
      </c>
      <c r="AG193" s="17" t="str">
        <f aca="false">IF((E193="y"),H193," ")</f>
        <v> </v>
      </c>
      <c r="AH193" s="17" t="str">
        <f aca="false">IF((E193="z"),H193," ")</f>
        <v> </v>
      </c>
      <c r="AI193" s="17" t="str">
        <f aca="false">IF((E193="fa"),H193," ")</f>
        <v> </v>
      </c>
      <c r="AJ193" s="17" t="str">
        <f aca="false">IF((E193="e"),H193," ")</f>
        <v> </v>
      </c>
    </row>
    <row r="194" customFormat="false" ht="12" hidden="false" customHeight="false" outlineLevel="0" collapsed="false">
      <c r="A194" s="28"/>
      <c r="E194" s="2" t="str">
        <f aca="false">IF((F194&lt;&gt;0),"Enter Letter"," ")</f>
        <v> </v>
      </c>
      <c r="F194" s="30"/>
      <c r="G194" s="6" t="str">
        <f aca="false">IF(F194&lt;&gt;0,F194*G$2/(100+G$2)," ")</f>
        <v> </v>
      </c>
      <c r="H194" s="6" t="str">
        <f aca="false">IF((F194&lt;&gt;0),F194-G194," ")</f>
        <v> </v>
      </c>
      <c r="I194" s="5"/>
      <c r="L194" s="7" t="str">
        <f aca="false">IF(F194&lt;&gt;0,F194-K194," ")</f>
        <v> </v>
      </c>
      <c r="M194" s="8" t="str">
        <f aca="false">IF((F194-K194)&lt;&gt;0,M$1-A194," ")</f>
        <v> </v>
      </c>
      <c r="N194" s="5"/>
      <c r="O194" s="17" t="str">
        <f aca="false">IF((E194="s"),H194," ")</f>
        <v> </v>
      </c>
      <c r="P194" s="17" t="str">
        <f aca="false">IF((E194="c"),H194," ")</f>
        <v> </v>
      </c>
      <c r="Q194" s="17" t="str">
        <f aca="false">IF((E194="o"),H194," ")</f>
        <v> </v>
      </c>
      <c r="R194" s="17" t="str">
        <f aca="false">IF((E194="d"),H194," ")</f>
        <v> </v>
      </c>
      <c r="S194" s="17" t="str">
        <f aca="false">IF((E194="w"),H194," ")</f>
        <v> </v>
      </c>
      <c r="T194" s="17" t="str">
        <f aca="false">IF((E194="r"),H194," ")</f>
        <v> </v>
      </c>
      <c r="U194" s="17" t="str">
        <f aca="false">IF((E194="p"),H194," ")</f>
        <v> </v>
      </c>
      <c r="V194" s="17" t="str">
        <f aca="false">IF((E194="t"),H194," ")</f>
        <v> </v>
      </c>
      <c r="W194" s="17" t="str">
        <f aca="false">IF((E194="q"),H194," ")</f>
        <v> </v>
      </c>
      <c r="X194" s="17" t="str">
        <f aca="false">IF((E194="m"),H194," ")</f>
        <v> </v>
      </c>
      <c r="Y194" s="17" t="str">
        <f aca="false">IF((E194="u"),H194," ")</f>
        <v> </v>
      </c>
      <c r="Z194" s="17" t="str">
        <f aca="false">IF((E194="a"),H194," ")</f>
        <v> </v>
      </c>
      <c r="AA194" s="17" t="str">
        <f aca="false">IF((E194="g"),H194," ")</f>
        <v> </v>
      </c>
      <c r="AB194" s="17" t="str">
        <f aca="false">IF((E194="h"),H194," ")</f>
        <v> </v>
      </c>
      <c r="AC194" s="30" t="str">
        <f aca="false">IF((E194="v"),H194," ")</f>
        <v> </v>
      </c>
      <c r="AD194" s="30" t="str">
        <f aca="false">IF((E194="n"),H194," ")</f>
        <v> </v>
      </c>
      <c r="AE194" s="17" t="str">
        <f aca="false">IF((E194="f"),H194," ")</f>
        <v> </v>
      </c>
      <c r="AF194" s="17" t="str">
        <f aca="false">IF((E194="l"),H194," ")</f>
        <v> </v>
      </c>
      <c r="AG194" s="17" t="str">
        <f aca="false">IF((E194="y"),H194," ")</f>
        <v> </v>
      </c>
      <c r="AH194" s="17" t="str">
        <f aca="false">IF((E194="z"),H194," ")</f>
        <v> </v>
      </c>
      <c r="AI194" s="17" t="str">
        <f aca="false">IF((E194="fa"),H194," ")</f>
        <v> </v>
      </c>
      <c r="AJ194" s="17" t="str">
        <f aca="false">IF((E194="e"),H194," ")</f>
        <v> </v>
      </c>
    </row>
    <row r="195" customFormat="false" ht="12" hidden="false" customHeight="false" outlineLevel="0" collapsed="false">
      <c r="A195" s="28"/>
      <c r="E195" s="2" t="str">
        <f aca="false">IF((F195&lt;&gt;0),"Enter Letter"," ")</f>
        <v> </v>
      </c>
      <c r="F195" s="30"/>
      <c r="G195" s="6" t="str">
        <f aca="false">IF(F195&lt;&gt;0,F195*G$2/(100+G$2)," ")</f>
        <v> </v>
      </c>
      <c r="H195" s="6" t="str">
        <f aca="false">IF((F195&lt;&gt;0),F195-G195," ")</f>
        <v> </v>
      </c>
      <c r="I195" s="5"/>
      <c r="L195" s="7" t="str">
        <f aca="false">IF(F195&lt;&gt;0,F195-K195," ")</f>
        <v> </v>
      </c>
      <c r="M195" s="8" t="str">
        <f aca="false">IF((F195-K195)&lt;&gt;0,M$1-A195," ")</f>
        <v> </v>
      </c>
      <c r="N195" s="5"/>
      <c r="O195" s="17" t="str">
        <f aca="false">IF((E195="s"),H195," ")</f>
        <v> </v>
      </c>
      <c r="P195" s="17" t="str">
        <f aca="false">IF((E195="c"),H195," ")</f>
        <v> </v>
      </c>
      <c r="Q195" s="17" t="str">
        <f aca="false">IF((E195="o"),H195," ")</f>
        <v> </v>
      </c>
      <c r="R195" s="17" t="str">
        <f aca="false">IF((E195="d"),H195," ")</f>
        <v> </v>
      </c>
      <c r="S195" s="17" t="str">
        <f aca="false">IF((E195="w"),H195," ")</f>
        <v> </v>
      </c>
      <c r="T195" s="17" t="str">
        <f aca="false">IF((E195="r"),H195," ")</f>
        <v> </v>
      </c>
      <c r="U195" s="17" t="str">
        <f aca="false">IF((E195="p"),H195," ")</f>
        <v> </v>
      </c>
      <c r="V195" s="17" t="str">
        <f aca="false">IF((E195="t"),H195," ")</f>
        <v> </v>
      </c>
      <c r="W195" s="17" t="str">
        <f aca="false">IF((E195="q"),H195," ")</f>
        <v> </v>
      </c>
      <c r="X195" s="17" t="str">
        <f aca="false">IF((E195="m"),H195," ")</f>
        <v> </v>
      </c>
      <c r="Y195" s="17" t="str">
        <f aca="false">IF((E195="u"),H195," ")</f>
        <v> </v>
      </c>
      <c r="Z195" s="17" t="str">
        <f aca="false">IF((E195="a"),H195," ")</f>
        <v> </v>
      </c>
      <c r="AA195" s="17" t="str">
        <f aca="false">IF((E195="g"),H195," ")</f>
        <v> </v>
      </c>
      <c r="AB195" s="17" t="str">
        <f aca="false">IF((E195="h"),H195," ")</f>
        <v> </v>
      </c>
      <c r="AC195" s="30" t="str">
        <f aca="false">IF((E195="v"),H195," ")</f>
        <v> </v>
      </c>
      <c r="AD195" s="30" t="str">
        <f aca="false">IF((E195="n"),H195," ")</f>
        <v> </v>
      </c>
      <c r="AE195" s="17" t="str">
        <f aca="false">IF((E195="f"),H195," ")</f>
        <v> </v>
      </c>
      <c r="AF195" s="17" t="str">
        <f aca="false">IF((E195="l"),H195," ")</f>
        <v> </v>
      </c>
      <c r="AG195" s="17" t="str">
        <f aca="false">IF((E195="y"),H195," ")</f>
        <v> </v>
      </c>
      <c r="AH195" s="17" t="str">
        <f aca="false">IF((E195="z"),H195," ")</f>
        <v> </v>
      </c>
      <c r="AI195" s="17" t="str">
        <f aca="false">IF((E195="fa"),H195," ")</f>
        <v> </v>
      </c>
      <c r="AJ195" s="17" t="str">
        <f aca="false">IF((E195="e"),H195," ")</f>
        <v> </v>
      </c>
    </row>
    <row r="196" customFormat="false" ht="12" hidden="false" customHeight="false" outlineLevel="0" collapsed="false">
      <c r="A196" s="28"/>
      <c r="E196" s="2" t="str">
        <f aca="false">IF((F196&lt;&gt;0),"Enter Letter"," ")</f>
        <v> </v>
      </c>
      <c r="F196" s="30"/>
      <c r="G196" s="6" t="str">
        <f aca="false">IF(F196&lt;&gt;0,F196*G$2/(100+G$2)," ")</f>
        <v> </v>
      </c>
      <c r="H196" s="6" t="str">
        <f aca="false">IF((F196&lt;&gt;0),F196-G196," ")</f>
        <v> </v>
      </c>
      <c r="I196" s="5"/>
      <c r="L196" s="7" t="str">
        <f aca="false">IF(F196&lt;&gt;0,F196-K196," ")</f>
        <v> </v>
      </c>
      <c r="M196" s="8" t="str">
        <f aca="false">IF((F196-K196)&lt;&gt;0,M$1-A196," ")</f>
        <v> </v>
      </c>
      <c r="N196" s="5"/>
      <c r="O196" s="17" t="str">
        <f aca="false">IF((E196="s"),H196," ")</f>
        <v> </v>
      </c>
      <c r="P196" s="17" t="str">
        <f aca="false">IF((E196="c"),H196," ")</f>
        <v> </v>
      </c>
      <c r="Q196" s="17" t="str">
        <f aca="false">IF((E196="o"),H196," ")</f>
        <v> </v>
      </c>
      <c r="R196" s="17" t="str">
        <f aca="false">IF((E196="d"),H196," ")</f>
        <v> </v>
      </c>
      <c r="S196" s="17" t="str">
        <f aca="false">IF((E196="w"),H196," ")</f>
        <v> </v>
      </c>
      <c r="T196" s="17" t="str">
        <f aca="false">IF((E196="r"),H196," ")</f>
        <v> </v>
      </c>
      <c r="U196" s="17" t="str">
        <f aca="false">IF((E196="p"),H196," ")</f>
        <v> </v>
      </c>
      <c r="V196" s="17" t="str">
        <f aca="false">IF((E196="t"),H196," ")</f>
        <v> </v>
      </c>
      <c r="W196" s="17" t="str">
        <f aca="false">IF((E196="q"),H196," ")</f>
        <v> </v>
      </c>
      <c r="X196" s="17" t="str">
        <f aca="false">IF((E196="m"),H196," ")</f>
        <v> </v>
      </c>
      <c r="Y196" s="17" t="str">
        <f aca="false">IF((E196="u"),H196," ")</f>
        <v> </v>
      </c>
      <c r="Z196" s="17" t="str">
        <f aca="false">IF((E196="a"),H196," ")</f>
        <v> </v>
      </c>
      <c r="AA196" s="17" t="str">
        <f aca="false">IF((E196="g"),H196," ")</f>
        <v> </v>
      </c>
      <c r="AB196" s="17" t="str">
        <f aca="false">IF((E196="h"),H196," ")</f>
        <v> </v>
      </c>
      <c r="AC196" s="30" t="str">
        <f aca="false">IF((E196="v"),H196," ")</f>
        <v> </v>
      </c>
      <c r="AD196" s="30" t="str">
        <f aca="false">IF((E196="n"),H196," ")</f>
        <v> </v>
      </c>
      <c r="AE196" s="17" t="str">
        <f aca="false">IF((E196="f"),H196," ")</f>
        <v> </v>
      </c>
      <c r="AF196" s="17" t="str">
        <f aca="false">IF((E196="l"),H196," ")</f>
        <v> </v>
      </c>
      <c r="AG196" s="17" t="str">
        <f aca="false">IF((E196="y"),H196," ")</f>
        <v> </v>
      </c>
      <c r="AH196" s="17" t="str">
        <f aca="false">IF((E196="z"),H196," ")</f>
        <v> </v>
      </c>
      <c r="AI196" s="17" t="str">
        <f aca="false">IF((E196="fa"),H196," ")</f>
        <v> </v>
      </c>
      <c r="AJ196" s="17" t="str">
        <f aca="false">IF((E196="e"),H196," ")</f>
        <v> </v>
      </c>
    </row>
    <row r="197" customFormat="false" ht="12" hidden="false" customHeight="false" outlineLevel="0" collapsed="false">
      <c r="A197" s="28"/>
      <c r="E197" s="2" t="str">
        <f aca="false">IF((F197&lt;&gt;0),"Enter Letter"," ")</f>
        <v> </v>
      </c>
      <c r="F197" s="30"/>
      <c r="G197" s="6" t="str">
        <f aca="false">IF(F197&lt;&gt;0,F197*G$2/(100+G$2)," ")</f>
        <v> </v>
      </c>
      <c r="H197" s="6" t="str">
        <f aca="false">IF((F197&lt;&gt;0),F197-G197," ")</f>
        <v> </v>
      </c>
      <c r="I197" s="5"/>
      <c r="L197" s="7" t="str">
        <f aca="false">IF(F197&lt;&gt;0,F197-K197," ")</f>
        <v> </v>
      </c>
      <c r="M197" s="8" t="str">
        <f aca="false">IF((F197-K197)&lt;&gt;0,M$1-A197," ")</f>
        <v> </v>
      </c>
      <c r="N197" s="5"/>
      <c r="O197" s="17" t="str">
        <f aca="false">IF((E197="s"),H197," ")</f>
        <v> </v>
      </c>
      <c r="P197" s="17" t="str">
        <f aca="false">IF((E197="c"),H197," ")</f>
        <v> </v>
      </c>
      <c r="Q197" s="17" t="str">
        <f aca="false">IF((E197="o"),H197," ")</f>
        <v> </v>
      </c>
      <c r="R197" s="17" t="str">
        <f aca="false">IF((E197="d"),H197," ")</f>
        <v> </v>
      </c>
      <c r="S197" s="17" t="str">
        <f aca="false">IF((E197="w"),H197," ")</f>
        <v> </v>
      </c>
      <c r="T197" s="17" t="str">
        <f aca="false">IF((E197="r"),H197," ")</f>
        <v> </v>
      </c>
      <c r="U197" s="17" t="str">
        <f aca="false">IF((E197="p"),H197," ")</f>
        <v> </v>
      </c>
      <c r="V197" s="17" t="str">
        <f aca="false">IF((E197="t"),H197," ")</f>
        <v> </v>
      </c>
      <c r="W197" s="17" t="str">
        <f aca="false">IF((E197="q"),H197," ")</f>
        <v> </v>
      </c>
      <c r="X197" s="17" t="str">
        <f aca="false">IF((E197="m"),H197," ")</f>
        <v> </v>
      </c>
      <c r="Y197" s="17" t="str">
        <f aca="false">IF((E197="u"),H197," ")</f>
        <v> </v>
      </c>
      <c r="Z197" s="17" t="str">
        <f aca="false">IF((E197="a"),H197," ")</f>
        <v> </v>
      </c>
      <c r="AA197" s="17" t="str">
        <f aca="false">IF((E197="g"),H197," ")</f>
        <v> </v>
      </c>
      <c r="AB197" s="17" t="str">
        <f aca="false">IF((E197="h"),H197," ")</f>
        <v> </v>
      </c>
      <c r="AC197" s="30" t="str">
        <f aca="false">IF((E197="v"),H197," ")</f>
        <v> </v>
      </c>
      <c r="AD197" s="30" t="str">
        <f aca="false">IF((E197="n"),H197," ")</f>
        <v> </v>
      </c>
      <c r="AE197" s="17" t="str">
        <f aca="false">IF((E197="f"),H197," ")</f>
        <v> </v>
      </c>
      <c r="AF197" s="17" t="str">
        <f aca="false">IF((E197="l"),H197," ")</f>
        <v> </v>
      </c>
      <c r="AG197" s="17" t="str">
        <f aca="false">IF((E197="y"),H197," ")</f>
        <v> </v>
      </c>
      <c r="AH197" s="17" t="str">
        <f aca="false">IF((E197="z"),H197," ")</f>
        <v> </v>
      </c>
      <c r="AI197" s="17" t="str">
        <f aca="false">IF((E197="fa"),H197," ")</f>
        <v> </v>
      </c>
      <c r="AJ197" s="17" t="str">
        <f aca="false">IF((E197="e"),H197," ")</f>
        <v> </v>
      </c>
    </row>
    <row r="198" customFormat="false" ht="12" hidden="false" customHeight="false" outlineLevel="0" collapsed="false">
      <c r="A198" s="28"/>
      <c r="E198" s="2" t="str">
        <f aca="false">IF((F198&lt;&gt;0),"Enter Letter"," ")</f>
        <v> </v>
      </c>
      <c r="F198" s="30"/>
      <c r="G198" s="6" t="str">
        <f aca="false">IF(F198&lt;&gt;0,F198*G$2/(100+G$2)," ")</f>
        <v> </v>
      </c>
      <c r="H198" s="6" t="str">
        <f aca="false">IF((F198&lt;&gt;0),F198-G198," ")</f>
        <v> </v>
      </c>
      <c r="I198" s="5"/>
      <c r="L198" s="7" t="str">
        <f aca="false">IF(F198&lt;&gt;0,F198-K198," ")</f>
        <v> </v>
      </c>
      <c r="M198" s="8" t="str">
        <f aca="false">IF((F198-K198)&lt;&gt;0,M$1-A198," ")</f>
        <v> </v>
      </c>
      <c r="N198" s="5"/>
      <c r="O198" s="17" t="str">
        <f aca="false">IF((E198="s"),H198," ")</f>
        <v> </v>
      </c>
      <c r="P198" s="17" t="str">
        <f aca="false">IF((E198="c"),H198," ")</f>
        <v> </v>
      </c>
      <c r="Q198" s="17" t="str">
        <f aca="false">IF((E198="o"),H198," ")</f>
        <v> </v>
      </c>
      <c r="R198" s="17" t="str">
        <f aca="false">IF((E198="d"),H198," ")</f>
        <v> </v>
      </c>
      <c r="S198" s="17" t="str">
        <f aca="false">IF((E198="w"),H198," ")</f>
        <v> </v>
      </c>
      <c r="T198" s="17" t="str">
        <f aca="false">IF((E198="r"),H198," ")</f>
        <v> </v>
      </c>
      <c r="U198" s="17" t="str">
        <f aca="false">IF((E198="p"),H198," ")</f>
        <v> </v>
      </c>
      <c r="V198" s="17" t="str">
        <f aca="false">IF((E198="t"),H198," ")</f>
        <v> </v>
      </c>
      <c r="W198" s="17" t="str">
        <f aca="false">IF((E198="q"),H198," ")</f>
        <v> </v>
      </c>
      <c r="X198" s="17" t="str">
        <f aca="false">IF((E198="m"),H198," ")</f>
        <v> </v>
      </c>
      <c r="Y198" s="17" t="str">
        <f aca="false">IF((E198="u"),H198," ")</f>
        <v> </v>
      </c>
      <c r="Z198" s="17" t="str">
        <f aca="false">IF((E198="a"),H198," ")</f>
        <v> </v>
      </c>
      <c r="AA198" s="17" t="str">
        <f aca="false">IF((E198="g"),H198," ")</f>
        <v> </v>
      </c>
      <c r="AB198" s="17" t="str">
        <f aca="false">IF((E198="h"),H198," ")</f>
        <v> </v>
      </c>
      <c r="AC198" s="30" t="str">
        <f aca="false">IF((E198="v"),H198," ")</f>
        <v> </v>
      </c>
      <c r="AD198" s="30" t="str">
        <f aca="false">IF((E198="n"),H198," ")</f>
        <v> </v>
      </c>
      <c r="AE198" s="17" t="str">
        <f aca="false">IF((E198="f"),H198," ")</f>
        <v> </v>
      </c>
      <c r="AF198" s="17" t="str">
        <f aca="false">IF((E198="l"),H198," ")</f>
        <v> </v>
      </c>
      <c r="AG198" s="17" t="str">
        <f aca="false">IF((E198="y"),H198," ")</f>
        <v> </v>
      </c>
      <c r="AH198" s="17" t="str">
        <f aca="false">IF((E198="z"),H198," ")</f>
        <v> </v>
      </c>
      <c r="AI198" s="17" t="str">
        <f aca="false">IF((E198="fa"),H198," ")</f>
        <v> </v>
      </c>
      <c r="AJ198" s="17" t="str">
        <f aca="false">IF((E198="e"),H198," ")</f>
        <v> </v>
      </c>
    </row>
    <row r="199" customFormat="false" ht="12" hidden="false" customHeight="false" outlineLevel="0" collapsed="false">
      <c r="A199" s="28"/>
      <c r="E199" s="2" t="str">
        <f aca="false">IF((F199&lt;&gt;0),"Enter Letter"," ")</f>
        <v> </v>
      </c>
      <c r="F199" s="30"/>
      <c r="G199" s="6" t="str">
        <f aca="false">IF(F199&lt;&gt;0,F199*G$2/(100+G$2)," ")</f>
        <v> </v>
      </c>
      <c r="H199" s="6" t="str">
        <f aca="false">IF((F199&lt;&gt;0),F199-G199," ")</f>
        <v> </v>
      </c>
      <c r="I199" s="5"/>
      <c r="L199" s="7" t="str">
        <f aca="false">IF(F199&lt;&gt;0,F199-K199," ")</f>
        <v> </v>
      </c>
      <c r="M199" s="8" t="str">
        <f aca="false">IF((F199-K199)&lt;&gt;0,M$1-A199," ")</f>
        <v> </v>
      </c>
      <c r="N199" s="5"/>
      <c r="O199" s="17" t="str">
        <f aca="false">IF((E199="s"),H199," ")</f>
        <v> </v>
      </c>
      <c r="P199" s="17" t="str">
        <f aca="false">IF((E199="c"),H199," ")</f>
        <v> </v>
      </c>
      <c r="Q199" s="17" t="str">
        <f aca="false">IF((E199="o"),H199," ")</f>
        <v> </v>
      </c>
      <c r="R199" s="17" t="str">
        <f aca="false">IF((E199="d"),H199," ")</f>
        <v> </v>
      </c>
      <c r="S199" s="17" t="str">
        <f aca="false">IF((E199="w"),H199," ")</f>
        <v> </v>
      </c>
      <c r="T199" s="17" t="str">
        <f aca="false">IF((E199="r"),H199," ")</f>
        <v> </v>
      </c>
      <c r="U199" s="17" t="str">
        <f aca="false">IF((E199="p"),H199," ")</f>
        <v> </v>
      </c>
      <c r="V199" s="17" t="str">
        <f aca="false">IF((E199="t"),H199," ")</f>
        <v> </v>
      </c>
      <c r="W199" s="17" t="str">
        <f aca="false">IF((E199="q"),H199," ")</f>
        <v> </v>
      </c>
      <c r="X199" s="17" t="str">
        <f aca="false">IF((E199="m"),H199," ")</f>
        <v> </v>
      </c>
      <c r="Y199" s="17" t="str">
        <f aca="false">IF((E199="u"),H199," ")</f>
        <v> </v>
      </c>
      <c r="Z199" s="17" t="str">
        <f aca="false">IF((E199="a"),H199," ")</f>
        <v> </v>
      </c>
      <c r="AA199" s="17" t="str">
        <f aca="false">IF((E199="g"),H199," ")</f>
        <v> </v>
      </c>
      <c r="AB199" s="17" t="str">
        <f aca="false">IF((E199="h"),H199," ")</f>
        <v> </v>
      </c>
      <c r="AC199" s="30" t="str">
        <f aca="false">IF((E199="v"),H199," ")</f>
        <v> </v>
      </c>
      <c r="AD199" s="30" t="str">
        <f aca="false">IF((E199="n"),H199," ")</f>
        <v> </v>
      </c>
      <c r="AE199" s="17" t="str">
        <f aca="false">IF((E199="f"),H199," ")</f>
        <v> </v>
      </c>
      <c r="AF199" s="17" t="str">
        <f aca="false">IF((E199="l"),H199," ")</f>
        <v> </v>
      </c>
      <c r="AG199" s="17" t="str">
        <f aca="false">IF((E199="y"),H199," ")</f>
        <v> </v>
      </c>
      <c r="AH199" s="17" t="str">
        <f aca="false">IF((E199="z"),H199," ")</f>
        <v> </v>
      </c>
      <c r="AI199" s="17" t="str">
        <f aca="false">IF((E199="fa"),H199," ")</f>
        <v> </v>
      </c>
      <c r="AJ199" s="17" t="str">
        <f aca="false">IF((E199="e"),H199," ")</f>
        <v> </v>
      </c>
    </row>
    <row r="200" customFormat="false" ht="12" hidden="false" customHeight="false" outlineLevel="0" collapsed="false">
      <c r="A200" s="28"/>
      <c r="E200" s="2" t="str">
        <f aca="false">IF((F200&lt;&gt;0),"Enter Letter"," ")</f>
        <v> </v>
      </c>
      <c r="F200" s="30"/>
      <c r="G200" s="6" t="str">
        <f aca="false">IF(F200&lt;&gt;0,F200*G$2/(100+G$2)," ")</f>
        <v> </v>
      </c>
      <c r="H200" s="6" t="str">
        <f aca="false">IF((F200&lt;&gt;0),F200-G200," ")</f>
        <v> </v>
      </c>
      <c r="I200" s="5"/>
      <c r="L200" s="7" t="str">
        <f aca="false">IF(F200&lt;&gt;0,F200-K200," ")</f>
        <v> </v>
      </c>
      <c r="M200" s="8" t="str">
        <f aca="false">IF((F200-K200)&lt;&gt;0,M$1-A200," ")</f>
        <v> </v>
      </c>
      <c r="N200" s="5"/>
      <c r="O200" s="17" t="str">
        <f aca="false">IF((E200="s"),H200," ")</f>
        <v> </v>
      </c>
      <c r="P200" s="17" t="str">
        <f aca="false">IF((E200="c"),H200," ")</f>
        <v> </v>
      </c>
      <c r="Q200" s="17" t="str">
        <f aca="false">IF((E200="o"),H200," ")</f>
        <v> </v>
      </c>
      <c r="R200" s="17" t="str">
        <f aca="false">IF((E200="d"),H200," ")</f>
        <v> </v>
      </c>
      <c r="S200" s="17" t="str">
        <f aca="false">IF((E200="w"),H200," ")</f>
        <v> </v>
      </c>
      <c r="T200" s="17" t="str">
        <f aca="false">IF((E200="r"),H200," ")</f>
        <v> </v>
      </c>
      <c r="U200" s="17" t="str">
        <f aca="false">IF((E200="p"),H200," ")</f>
        <v> </v>
      </c>
      <c r="V200" s="17" t="str">
        <f aca="false">IF((E200="t"),H200," ")</f>
        <v> </v>
      </c>
      <c r="W200" s="17" t="str">
        <f aca="false">IF((E200="q"),H200," ")</f>
        <v> </v>
      </c>
      <c r="X200" s="17" t="str">
        <f aca="false">IF((E200="m"),H200," ")</f>
        <v> </v>
      </c>
      <c r="Y200" s="17" t="str">
        <f aca="false">IF((E200="u"),H200," ")</f>
        <v> </v>
      </c>
      <c r="Z200" s="17" t="str">
        <f aca="false">IF((E200="a"),H200," ")</f>
        <v> </v>
      </c>
      <c r="AA200" s="17" t="str">
        <f aca="false">IF((E200="g"),H200," ")</f>
        <v> </v>
      </c>
      <c r="AB200" s="17" t="str">
        <f aca="false">IF((E200="h"),H200," ")</f>
        <v> </v>
      </c>
      <c r="AC200" s="30" t="str">
        <f aca="false">IF((E200="v"),H200," ")</f>
        <v> </v>
      </c>
      <c r="AD200" s="30" t="str">
        <f aca="false">IF((E200="n"),H200," ")</f>
        <v> </v>
      </c>
      <c r="AE200" s="17" t="str">
        <f aca="false">IF((E200="f"),H200," ")</f>
        <v> </v>
      </c>
      <c r="AF200" s="17" t="str">
        <f aca="false">IF((E200="l"),H200," ")</f>
        <v> </v>
      </c>
      <c r="AG200" s="17" t="str">
        <f aca="false">IF((E200="y"),H200," ")</f>
        <v> </v>
      </c>
      <c r="AH200" s="17" t="str">
        <f aca="false">IF((E200="z"),H200," ")</f>
        <v> </v>
      </c>
      <c r="AI200" s="17" t="str">
        <f aca="false">IF((E200="fa"),H200," ")</f>
        <v> </v>
      </c>
      <c r="AJ200" s="17" t="str">
        <f aca="false">IF((E200="e"),H200," ")</f>
        <v> </v>
      </c>
    </row>
    <row r="201" customFormat="false" ht="12" hidden="false" customHeight="false" outlineLevel="0" collapsed="false">
      <c r="A201" s="28"/>
      <c r="E201" s="2" t="str">
        <f aca="false">IF((F201&lt;&gt;0),"Enter Letter"," ")</f>
        <v> </v>
      </c>
      <c r="F201" s="30"/>
      <c r="G201" s="6" t="str">
        <f aca="false">IF(F201&lt;&gt;0,F201*G$2/(100+G$2)," ")</f>
        <v> </v>
      </c>
      <c r="H201" s="6" t="str">
        <f aca="false">IF((F201&lt;&gt;0),F201-G201," ")</f>
        <v> </v>
      </c>
      <c r="I201" s="5"/>
      <c r="L201" s="7" t="str">
        <f aca="false">IF(F201&lt;&gt;0,F201-K201," ")</f>
        <v> </v>
      </c>
      <c r="M201" s="8" t="str">
        <f aca="false">IF((F201-K201)&lt;&gt;0,M$1-A201," ")</f>
        <v> </v>
      </c>
      <c r="N201" s="5"/>
      <c r="O201" s="17" t="str">
        <f aca="false">IF((E201="s"),H201," ")</f>
        <v> </v>
      </c>
      <c r="P201" s="17" t="str">
        <f aca="false">IF((E201="c"),H201," ")</f>
        <v> </v>
      </c>
      <c r="Q201" s="17" t="str">
        <f aca="false">IF((E201="o"),H201," ")</f>
        <v> </v>
      </c>
      <c r="R201" s="17" t="str">
        <f aca="false">IF((E201="d"),H201," ")</f>
        <v> </v>
      </c>
      <c r="S201" s="17" t="str">
        <f aca="false">IF((E201="w"),H201," ")</f>
        <v> </v>
      </c>
      <c r="T201" s="17" t="str">
        <f aca="false">IF((E201="r"),H201," ")</f>
        <v> </v>
      </c>
      <c r="U201" s="17" t="str">
        <f aca="false">IF((E201="p"),H201," ")</f>
        <v> </v>
      </c>
      <c r="V201" s="17" t="str">
        <f aca="false">IF((E201="t"),H201," ")</f>
        <v> </v>
      </c>
      <c r="W201" s="17" t="str">
        <f aca="false">IF((E201="q"),H201," ")</f>
        <v> </v>
      </c>
      <c r="X201" s="17" t="str">
        <f aca="false">IF((E201="m"),H201," ")</f>
        <v> </v>
      </c>
      <c r="Y201" s="17" t="str">
        <f aca="false">IF((E201="u"),H201," ")</f>
        <v> </v>
      </c>
      <c r="Z201" s="17" t="str">
        <f aca="false">IF((E201="a"),H201," ")</f>
        <v> </v>
      </c>
      <c r="AA201" s="17" t="str">
        <f aca="false">IF((E201="g"),H201," ")</f>
        <v> </v>
      </c>
      <c r="AB201" s="17" t="str">
        <f aca="false">IF((E201="h"),H201," ")</f>
        <v> </v>
      </c>
      <c r="AC201" s="30" t="str">
        <f aca="false">IF((E201="v"),H201," ")</f>
        <v> </v>
      </c>
      <c r="AD201" s="30" t="str">
        <f aca="false">IF((E201="n"),H201," ")</f>
        <v> </v>
      </c>
      <c r="AE201" s="17" t="str">
        <f aca="false">IF((E201="f"),H201," ")</f>
        <v> </v>
      </c>
      <c r="AF201" s="17" t="str">
        <f aca="false">IF((E201="l"),H201," ")</f>
        <v> </v>
      </c>
      <c r="AG201" s="17" t="str">
        <f aca="false">IF((E201="y"),H201," ")</f>
        <v> </v>
      </c>
      <c r="AH201" s="17" t="str">
        <f aca="false">IF((E201="z"),H201," ")</f>
        <v> </v>
      </c>
      <c r="AI201" s="17" t="str">
        <f aca="false">IF((E201="fa"),H201," ")</f>
        <v> </v>
      </c>
      <c r="AJ201" s="17" t="str">
        <f aca="false">IF((E201="e"),H201," ")</f>
        <v> </v>
      </c>
    </row>
    <row r="202" customFormat="false" ht="12" hidden="false" customHeight="false" outlineLevel="0" collapsed="false">
      <c r="A202" s="28"/>
      <c r="E202" s="2" t="str">
        <f aca="false">IF((F202&lt;&gt;0),"Enter Letter"," ")</f>
        <v> </v>
      </c>
      <c r="F202" s="30"/>
      <c r="G202" s="6" t="str">
        <f aca="false">IF(F202&lt;&gt;0,F202*G$2/(100+G$2)," ")</f>
        <v> </v>
      </c>
      <c r="H202" s="6" t="str">
        <f aca="false">IF((F202&lt;&gt;0),F202-G202," ")</f>
        <v> </v>
      </c>
      <c r="I202" s="5"/>
      <c r="L202" s="7" t="str">
        <f aca="false">IF(F202&lt;&gt;0,F202-K202," ")</f>
        <v> </v>
      </c>
      <c r="M202" s="8" t="str">
        <f aca="false">IF((F202-K202)&lt;&gt;0,M$1-A202," ")</f>
        <v> </v>
      </c>
      <c r="N202" s="5"/>
      <c r="O202" s="17" t="str">
        <f aca="false">IF((E202="s"),H202," ")</f>
        <v> </v>
      </c>
      <c r="P202" s="17" t="str">
        <f aca="false">IF((E202="c"),H202," ")</f>
        <v> </v>
      </c>
      <c r="Q202" s="17" t="str">
        <f aca="false">IF((E202="o"),H202," ")</f>
        <v> </v>
      </c>
      <c r="R202" s="17" t="str">
        <f aca="false">IF((E202="d"),H202," ")</f>
        <v> </v>
      </c>
      <c r="S202" s="17" t="str">
        <f aca="false">IF((E202="w"),H202," ")</f>
        <v> </v>
      </c>
      <c r="T202" s="17" t="str">
        <f aca="false">IF((E202="r"),H202," ")</f>
        <v> </v>
      </c>
      <c r="U202" s="17" t="str">
        <f aca="false">IF((E202="p"),H202," ")</f>
        <v> </v>
      </c>
      <c r="V202" s="17" t="str">
        <f aca="false">IF((E202="t"),H202," ")</f>
        <v> </v>
      </c>
      <c r="W202" s="17" t="str">
        <f aca="false">IF((E202="q"),H202," ")</f>
        <v> </v>
      </c>
      <c r="X202" s="17" t="str">
        <f aca="false">IF((E202="m"),H202," ")</f>
        <v> </v>
      </c>
      <c r="Y202" s="17" t="str">
        <f aca="false">IF((E202="u"),H202," ")</f>
        <v> </v>
      </c>
      <c r="Z202" s="17" t="str">
        <f aca="false">IF((E202="a"),H202," ")</f>
        <v> </v>
      </c>
      <c r="AA202" s="17" t="str">
        <f aca="false">IF((E202="g"),H202," ")</f>
        <v> </v>
      </c>
      <c r="AB202" s="17" t="str">
        <f aca="false">IF((E202="h"),H202," ")</f>
        <v> </v>
      </c>
      <c r="AC202" s="30" t="str">
        <f aca="false">IF((E202="v"),H202," ")</f>
        <v> </v>
      </c>
      <c r="AD202" s="30" t="str">
        <f aca="false">IF((E202="n"),H202," ")</f>
        <v> </v>
      </c>
      <c r="AE202" s="17" t="str">
        <f aca="false">IF((E202="f"),H202," ")</f>
        <v> </v>
      </c>
      <c r="AF202" s="17" t="str">
        <f aca="false">IF((E202="l"),H202," ")</f>
        <v> </v>
      </c>
      <c r="AG202" s="17" t="str">
        <f aca="false">IF((E202="y"),H202," ")</f>
        <v> </v>
      </c>
      <c r="AH202" s="17" t="str">
        <f aca="false">IF((E202="z"),H202," ")</f>
        <v> </v>
      </c>
      <c r="AI202" s="17" t="str">
        <f aca="false">IF((E202="fa"),H202," ")</f>
        <v> </v>
      </c>
      <c r="AJ202" s="17" t="str">
        <f aca="false">IF((E202="e"),H202," ")</f>
        <v> </v>
      </c>
    </row>
    <row r="203" customFormat="false" ht="12" hidden="false" customHeight="false" outlineLevel="0" collapsed="false">
      <c r="A203" s="28"/>
      <c r="E203" s="2" t="str">
        <f aca="false">IF((F203&lt;&gt;0),"Enter Letter"," ")</f>
        <v> </v>
      </c>
      <c r="F203" s="30"/>
      <c r="G203" s="6" t="str">
        <f aca="false">IF(F203&lt;&gt;0,F203*G$2/(100+G$2)," ")</f>
        <v> </v>
      </c>
      <c r="H203" s="6" t="str">
        <f aca="false">IF((F203&lt;&gt;0),F203-G203," ")</f>
        <v> </v>
      </c>
      <c r="I203" s="5"/>
      <c r="L203" s="7" t="str">
        <f aca="false">IF(F203&lt;&gt;0,F203-K203," ")</f>
        <v> </v>
      </c>
      <c r="M203" s="8" t="str">
        <f aca="false">IF((F203-K203)&lt;&gt;0,M$1-A203," ")</f>
        <v> </v>
      </c>
      <c r="N203" s="5"/>
      <c r="O203" s="17" t="str">
        <f aca="false">IF((E203="s"),H203," ")</f>
        <v> </v>
      </c>
      <c r="P203" s="17" t="str">
        <f aca="false">IF((E203="c"),H203," ")</f>
        <v> </v>
      </c>
      <c r="Q203" s="17" t="str">
        <f aca="false">IF((E203="o"),H203," ")</f>
        <v> </v>
      </c>
      <c r="R203" s="17" t="str">
        <f aca="false">IF((E203="d"),H203," ")</f>
        <v> </v>
      </c>
      <c r="S203" s="17" t="str">
        <f aca="false">IF((E203="w"),H203," ")</f>
        <v> </v>
      </c>
      <c r="T203" s="17" t="str">
        <f aca="false">IF((E203="r"),H203," ")</f>
        <v> </v>
      </c>
      <c r="U203" s="17" t="str">
        <f aca="false">IF((E203="p"),H203," ")</f>
        <v> </v>
      </c>
      <c r="V203" s="17" t="str">
        <f aca="false">IF((E203="t"),H203," ")</f>
        <v> </v>
      </c>
      <c r="W203" s="17" t="str">
        <f aca="false">IF((E203="q"),H203," ")</f>
        <v> </v>
      </c>
      <c r="X203" s="17" t="str">
        <f aca="false">IF((E203="m"),H203," ")</f>
        <v> </v>
      </c>
      <c r="Y203" s="17" t="str">
        <f aca="false">IF((E203="u"),H203," ")</f>
        <v> </v>
      </c>
      <c r="Z203" s="17" t="str">
        <f aca="false">IF((E203="a"),H203," ")</f>
        <v> </v>
      </c>
      <c r="AA203" s="17" t="str">
        <f aca="false">IF((E203="g"),H203," ")</f>
        <v> </v>
      </c>
      <c r="AB203" s="17" t="str">
        <f aca="false">IF((E203="h"),H203," ")</f>
        <v> </v>
      </c>
      <c r="AC203" s="30" t="str">
        <f aca="false">IF((E203="v"),H203," ")</f>
        <v> </v>
      </c>
      <c r="AD203" s="30" t="str">
        <f aca="false">IF((E203="n"),H203," ")</f>
        <v> </v>
      </c>
      <c r="AE203" s="17" t="str">
        <f aca="false">IF((E203="f"),H203," ")</f>
        <v> </v>
      </c>
      <c r="AF203" s="17" t="str">
        <f aca="false">IF((E203="l"),H203," ")</f>
        <v> </v>
      </c>
      <c r="AG203" s="17" t="str">
        <f aca="false">IF((E203="y"),H203," ")</f>
        <v> </v>
      </c>
      <c r="AH203" s="17" t="str">
        <f aca="false">IF((E203="z"),H203," ")</f>
        <v> </v>
      </c>
      <c r="AI203" s="17" t="str">
        <f aca="false">IF((E203="fa"),H203," ")</f>
        <v> </v>
      </c>
      <c r="AJ203" s="17" t="str">
        <f aca="false">IF((E203="e"),H203," ")</f>
        <v> </v>
      </c>
    </row>
    <row r="204" customFormat="false" ht="12" hidden="false" customHeight="false" outlineLevel="0" collapsed="false">
      <c r="A204" s="28"/>
      <c r="E204" s="2" t="str">
        <f aca="false">IF((F204&lt;&gt;0),"Enter Letter"," ")</f>
        <v> </v>
      </c>
      <c r="F204" s="30"/>
      <c r="G204" s="6" t="str">
        <f aca="false">IF(F204&lt;&gt;0,F204*G$2/(100+G$2)," ")</f>
        <v> </v>
      </c>
      <c r="H204" s="6" t="str">
        <f aca="false">IF((F204&lt;&gt;0),F204-G204," ")</f>
        <v> </v>
      </c>
      <c r="I204" s="5"/>
      <c r="L204" s="7" t="str">
        <f aca="false">IF(F204&lt;&gt;0,F204-K204," ")</f>
        <v> </v>
      </c>
      <c r="M204" s="8" t="str">
        <f aca="false">IF((F204-K204)&lt;&gt;0,M$1-A204," ")</f>
        <v> </v>
      </c>
      <c r="N204" s="5"/>
      <c r="O204" s="17" t="str">
        <f aca="false">IF((E204="s"),H204," ")</f>
        <v> </v>
      </c>
      <c r="P204" s="17" t="str">
        <f aca="false">IF((E204="c"),H204," ")</f>
        <v> </v>
      </c>
      <c r="Q204" s="17" t="str">
        <f aca="false">IF((E204="o"),H204," ")</f>
        <v> </v>
      </c>
      <c r="R204" s="17" t="str">
        <f aca="false">IF((E204="d"),H204," ")</f>
        <v> </v>
      </c>
      <c r="S204" s="17" t="str">
        <f aca="false">IF((E204="w"),H204," ")</f>
        <v> </v>
      </c>
      <c r="T204" s="17" t="str">
        <f aca="false">IF((E204="r"),H204," ")</f>
        <v> </v>
      </c>
      <c r="U204" s="17" t="str">
        <f aca="false">IF((E204="p"),H204," ")</f>
        <v> </v>
      </c>
      <c r="V204" s="17" t="str">
        <f aca="false">IF((E204="t"),H204," ")</f>
        <v> </v>
      </c>
      <c r="W204" s="17" t="str">
        <f aca="false">IF((E204="q"),H204," ")</f>
        <v> </v>
      </c>
      <c r="X204" s="17" t="str">
        <f aca="false">IF((E204="m"),H204," ")</f>
        <v> </v>
      </c>
      <c r="Y204" s="17" t="str">
        <f aca="false">IF((E204="u"),H204," ")</f>
        <v> </v>
      </c>
      <c r="Z204" s="17" t="str">
        <f aca="false">IF((E204="a"),H204," ")</f>
        <v> </v>
      </c>
      <c r="AA204" s="17" t="str">
        <f aca="false">IF((E204="g"),H204," ")</f>
        <v> </v>
      </c>
      <c r="AB204" s="17" t="str">
        <f aca="false">IF((E204="h"),H204," ")</f>
        <v> </v>
      </c>
      <c r="AC204" s="30" t="str">
        <f aca="false">IF((E204="v"),H204," ")</f>
        <v> </v>
      </c>
      <c r="AD204" s="30" t="str">
        <f aca="false">IF((E204="n"),H204," ")</f>
        <v> </v>
      </c>
      <c r="AE204" s="17" t="str">
        <f aca="false">IF((E204="f"),H204," ")</f>
        <v> </v>
      </c>
      <c r="AF204" s="17" t="str">
        <f aca="false">IF((E204="l"),H204," ")</f>
        <v> </v>
      </c>
      <c r="AG204" s="17" t="str">
        <f aca="false">IF((E204="y"),H204," ")</f>
        <v> </v>
      </c>
      <c r="AH204" s="17" t="str">
        <f aca="false">IF((E204="z"),H204," ")</f>
        <v> </v>
      </c>
      <c r="AI204" s="17" t="str">
        <f aca="false">IF((E204="fa"),H204," ")</f>
        <v> </v>
      </c>
      <c r="AJ204" s="17" t="str">
        <f aca="false">IF((E204="e"),H204," ")</f>
        <v> </v>
      </c>
    </row>
    <row r="205" customFormat="false" ht="12" hidden="false" customHeight="false" outlineLevel="0" collapsed="false">
      <c r="A205" s="28"/>
      <c r="E205" s="2" t="str">
        <f aca="false">IF((F205&lt;&gt;0),"Enter Letter"," ")</f>
        <v> </v>
      </c>
      <c r="F205" s="30"/>
      <c r="G205" s="6" t="str">
        <f aca="false">IF(F205&lt;&gt;0,F205*G$2/(100+G$2)," ")</f>
        <v> </v>
      </c>
      <c r="H205" s="6" t="str">
        <f aca="false">IF((F205&lt;&gt;0),F205-G205," ")</f>
        <v> </v>
      </c>
      <c r="I205" s="5"/>
      <c r="L205" s="7" t="str">
        <f aca="false">IF(F205&lt;&gt;0,F205-K205," ")</f>
        <v> </v>
      </c>
      <c r="M205" s="8" t="str">
        <f aca="false">IF((F205-K205)&lt;&gt;0,M$1-A205," ")</f>
        <v> </v>
      </c>
      <c r="N205" s="5"/>
      <c r="O205" s="17" t="str">
        <f aca="false">IF((E205="s"),H205," ")</f>
        <v> </v>
      </c>
      <c r="P205" s="17" t="str">
        <f aca="false">IF((E205="c"),H205," ")</f>
        <v> </v>
      </c>
      <c r="Q205" s="17" t="str">
        <f aca="false">IF((E205="o"),H205," ")</f>
        <v> </v>
      </c>
      <c r="R205" s="17" t="str">
        <f aca="false">IF((E205="d"),H205," ")</f>
        <v> </v>
      </c>
      <c r="S205" s="17" t="str">
        <f aca="false">IF((E205="w"),H205," ")</f>
        <v> </v>
      </c>
      <c r="T205" s="17" t="str">
        <f aca="false">IF((E205="r"),H205," ")</f>
        <v> </v>
      </c>
      <c r="U205" s="17" t="str">
        <f aca="false">IF((E205="p"),H205," ")</f>
        <v> </v>
      </c>
      <c r="V205" s="17" t="str">
        <f aca="false">IF((E205="t"),H205," ")</f>
        <v> </v>
      </c>
      <c r="W205" s="17" t="str">
        <f aca="false">IF((E205="q"),H205," ")</f>
        <v> </v>
      </c>
      <c r="X205" s="17" t="str">
        <f aca="false">IF((E205="m"),H205," ")</f>
        <v> </v>
      </c>
      <c r="Y205" s="17" t="str">
        <f aca="false">IF((E205="u"),H205," ")</f>
        <v> </v>
      </c>
      <c r="Z205" s="17" t="str">
        <f aca="false">IF((E205="a"),H205," ")</f>
        <v> </v>
      </c>
      <c r="AA205" s="17" t="str">
        <f aca="false">IF((E205="g"),H205," ")</f>
        <v> </v>
      </c>
      <c r="AB205" s="17" t="str">
        <f aca="false">IF((E205="h"),H205," ")</f>
        <v> </v>
      </c>
      <c r="AC205" s="30" t="str">
        <f aca="false">IF((E205="v"),H205," ")</f>
        <v> </v>
      </c>
      <c r="AD205" s="30" t="str">
        <f aca="false">IF((E205="n"),H205," ")</f>
        <v> </v>
      </c>
      <c r="AE205" s="17" t="str">
        <f aca="false">IF((E205="f"),H205," ")</f>
        <v> </v>
      </c>
      <c r="AF205" s="17" t="str">
        <f aca="false">IF((E205="l"),H205," ")</f>
        <v> </v>
      </c>
      <c r="AG205" s="17" t="str">
        <f aca="false">IF((E205="y"),H205," ")</f>
        <v> </v>
      </c>
      <c r="AH205" s="17" t="str">
        <f aca="false">IF((E205="z"),H205," ")</f>
        <v> </v>
      </c>
      <c r="AI205" s="17" t="str">
        <f aca="false">IF((E205="fa"),H205," ")</f>
        <v> </v>
      </c>
      <c r="AJ205" s="17" t="str">
        <f aca="false">IF((E205="e"),H205," ")</f>
        <v> </v>
      </c>
    </row>
    <row r="206" customFormat="false" ht="12" hidden="false" customHeight="false" outlineLevel="0" collapsed="false">
      <c r="A206" s="28"/>
      <c r="E206" s="2" t="str">
        <f aca="false">IF((F206&lt;&gt;0),"Enter Letter"," ")</f>
        <v> </v>
      </c>
      <c r="F206" s="30"/>
      <c r="G206" s="6" t="str">
        <f aca="false">IF(F206&lt;&gt;0,F206*G$2/(100+G$2)," ")</f>
        <v> </v>
      </c>
      <c r="H206" s="6" t="str">
        <f aca="false">IF((F206&lt;&gt;0),F206-G206," ")</f>
        <v> </v>
      </c>
      <c r="I206" s="5"/>
      <c r="L206" s="7" t="str">
        <f aca="false">IF(F206&lt;&gt;0,F206-K206," ")</f>
        <v> </v>
      </c>
      <c r="M206" s="8" t="str">
        <f aca="false">IF((F206-K206)&lt;&gt;0,M$1-A206," ")</f>
        <v> </v>
      </c>
      <c r="N206" s="5"/>
      <c r="O206" s="17" t="str">
        <f aca="false">IF((E206="s"),H206," ")</f>
        <v> </v>
      </c>
      <c r="P206" s="17" t="str">
        <f aca="false">IF((E206="c"),H206," ")</f>
        <v> </v>
      </c>
      <c r="Q206" s="17" t="str">
        <f aca="false">IF((E206="o"),H206," ")</f>
        <v> </v>
      </c>
      <c r="R206" s="17" t="str">
        <f aca="false">IF((E206="d"),H206," ")</f>
        <v> </v>
      </c>
      <c r="S206" s="17" t="str">
        <f aca="false">IF((E206="w"),H206," ")</f>
        <v> </v>
      </c>
      <c r="T206" s="17" t="str">
        <f aca="false">IF((E206="r"),H206," ")</f>
        <v> </v>
      </c>
      <c r="U206" s="17" t="str">
        <f aca="false">IF((E206="p"),H206," ")</f>
        <v> </v>
      </c>
      <c r="V206" s="17" t="str">
        <f aca="false">IF((E206="t"),H206," ")</f>
        <v> </v>
      </c>
      <c r="W206" s="17" t="str">
        <f aca="false">IF((E206="q"),H206," ")</f>
        <v> </v>
      </c>
      <c r="X206" s="17" t="str">
        <f aca="false">IF((E206="m"),H206," ")</f>
        <v> </v>
      </c>
      <c r="Y206" s="17" t="str">
        <f aca="false">IF((E206="u"),H206," ")</f>
        <v> </v>
      </c>
      <c r="Z206" s="17" t="str">
        <f aca="false">IF((E206="a"),H206," ")</f>
        <v> </v>
      </c>
      <c r="AA206" s="17" t="str">
        <f aca="false">IF((E206="g"),H206," ")</f>
        <v> </v>
      </c>
      <c r="AB206" s="17" t="str">
        <f aca="false">IF((E206="h"),H206," ")</f>
        <v> </v>
      </c>
      <c r="AC206" s="30" t="str">
        <f aca="false">IF((E206="v"),H206," ")</f>
        <v> </v>
      </c>
      <c r="AD206" s="30" t="str">
        <f aca="false">IF((E206="n"),H206," ")</f>
        <v> </v>
      </c>
      <c r="AE206" s="17" t="str">
        <f aca="false">IF((E206="f"),H206," ")</f>
        <v> </v>
      </c>
      <c r="AF206" s="17" t="str">
        <f aca="false">IF((E206="l"),H206," ")</f>
        <v> </v>
      </c>
      <c r="AG206" s="17" t="str">
        <f aca="false">IF((E206="y"),H206," ")</f>
        <v> </v>
      </c>
      <c r="AH206" s="17" t="str">
        <f aca="false">IF((E206="z"),H206," ")</f>
        <v> </v>
      </c>
      <c r="AI206" s="17" t="str">
        <f aca="false">IF((E206="fa"),H206," ")</f>
        <v> </v>
      </c>
      <c r="AJ206" s="17" t="str">
        <f aca="false">IF((E206="e"),H206," ")</f>
        <v> </v>
      </c>
    </row>
    <row r="207" customFormat="false" ht="12" hidden="false" customHeight="false" outlineLevel="0" collapsed="false">
      <c r="A207" s="28"/>
      <c r="E207" s="2" t="str">
        <f aca="false">IF((F207&lt;&gt;0),"Enter Letter"," ")</f>
        <v> </v>
      </c>
      <c r="F207" s="30"/>
      <c r="G207" s="6" t="str">
        <f aca="false">IF(F207&lt;&gt;0,F207*G$2/(100+G$2)," ")</f>
        <v> </v>
      </c>
      <c r="H207" s="6" t="str">
        <f aca="false">IF((F207&lt;&gt;0),F207-G207," ")</f>
        <v> </v>
      </c>
      <c r="I207" s="5"/>
      <c r="L207" s="7" t="str">
        <f aca="false">IF(F207&lt;&gt;0,F207-K207," ")</f>
        <v> </v>
      </c>
      <c r="M207" s="8" t="str">
        <f aca="false">IF((F207-K207)&lt;&gt;0,M$1-A207," ")</f>
        <v> </v>
      </c>
      <c r="N207" s="5"/>
      <c r="O207" s="17" t="str">
        <f aca="false">IF((E207="s"),H207," ")</f>
        <v> </v>
      </c>
      <c r="P207" s="17" t="str">
        <f aca="false">IF((E207="c"),H207," ")</f>
        <v> </v>
      </c>
      <c r="Q207" s="17" t="str">
        <f aca="false">IF((E207="o"),H207," ")</f>
        <v> </v>
      </c>
      <c r="R207" s="17" t="str">
        <f aca="false">IF((E207="d"),H207," ")</f>
        <v> </v>
      </c>
      <c r="S207" s="17" t="str">
        <f aca="false">IF((E207="w"),H207," ")</f>
        <v> </v>
      </c>
      <c r="T207" s="17" t="str">
        <f aca="false">IF((E207="r"),H207," ")</f>
        <v> </v>
      </c>
      <c r="U207" s="17" t="str">
        <f aca="false">IF((E207="p"),H207," ")</f>
        <v> </v>
      </c>
      <c r="V207" s="17" t="str">
        <f aca="false">IF((E207="t"),H207," ")</f>
        <v> </v>
      </c>
      <c r="W207" s="17" t="str">
        <f aca="false">IF((E207="q"),H207," ")</f>
        <v> </v>
      </c>
      <c r="X207" s="17" t="str">
        <f aca="false">IF((E207="m"),H207," ")</f>
        <v> </v>
      </c>
      <c r="Y207" s="17" t="str">
        <f aca="false">IF((E207="u"),H207," ")</f>
        <v> </v>
      </c>
      <c r="Z207" s="17" t="str">
        <f aca="false">IF((E207="a"),H207," ")</f>
        <v> </v>
      </c>
      <c r="AA207" s="17" t="str">
        <f aca="false">IF((E207="g"),H207," ")</f>
        <v> </v>
      </c>
      <c r="AB207" s="17" t="str">
        <f aca="false">IF((E207="h"),H207," ")</f>
        <v> </v>
      </c>
      <c r="AC207" s="30" t="str">
        <f aca="false">IF((E207="v"),H207," ")</f>
        <v> </v>
      </c>
      <c r="AD207" s="30" t="str">
        <f aca="false">IF((E207="n"),H207," ")</f>
        <v> </v>
      </c>
      <c r="AE207" s="17" t="str">
        <f aca="false">IF((E207="f"),H207," ")</f>
        <v> </v>
      </c>
      <c r="AF207" s="17" t="str">
        <f aca="false">IF((E207="l"),H207," ")</f>
        <v> </v>
      </c>
      <c r="AG207" s="17" t="str">
        <f aca="false">IF((E207="y"),H207," ")</f>
        <v> </v>
      </c>
      <c r="AH207" s="17" t="str">
        <f aca="false">IF((E207="z"),H207," ")</f>
        <v> </v>
      </c>
      <c r="AI207" s="17" t="str">
        <f aca="false">IF((E207="fa"),H207," ")</f>
        <v> </v>
      </c>
      <c r="AJ207" s="17" t="str">
        <f aca="false">IF((E207="e"),H207," ")</f>
        <v> </v>
      </c>
    </row>
    <row r="208" customFormat="false" ht="12" hidden="false" customHeight="false" outlineLevel="0" collapsed="false">
      <c r="A208" s="28"/>
      <c r="E208" s="2" t="str">
        <f aca="false">IF((F208&lt;&gt;0),"Enter Letter"," ")</f>
        <v> </v>
      </c>
      <c r="F208" s="30"/>
      <c r="G208" s="6" t="str">
        <f aca="false">IF(F208&lt;&gt;0,F208*G$2/(100+G$2)," ")</f>
        <v> </v>
      </c>
      <c r="H208" s="6" t="str">
        <f aca="false">IF((F208&lt;&gt;0),F208-G208," ")</f>
        <v> </v>
      </c>
      <c r="I208" s="5"/>
      <c r="L208" s="7" t="str">
        <f aca="false">IF(F208&lt;&gt;0,F208-K208," ")</f>
        <v> </v>
      </c>
      <c r="M208" s="8" t="str">
        <f aca="false">IF((F208-K208)&lt;&gt;0,M$1-A208," ")</f>
        <v> </v>
      </c>
      <c r="N208" s="5"/>
      <c r="O208" s="17" t="str">
        <f aca="false">IF((E208="s"),H208," ")</f>
        <v> </v>
      </c>
      <c r="P208" s="17" t="str">
        <f aca="false">IF((E208="c"),H208," ")</f>
        <v> </v>
      </c>
      <c r="Q208" s="17" t="str">
        <f aca="false">IF((E208="o"),H208," ")</f>
        <v> </v>
      </c>
      <c r="R208" s="17" t="str">
        <f aca="false">IF((E208="d"),H208," ")</f>
        <v> </v>
      </c>
      <c r="S208" s="17" t="str">
        <f aca="false">IF((E208="w"),H208," ")</f>
        <v> </v>
      </c>
      <c r="T208" s="17" t="str">
        <f aca="false">IF((E208="r"),H208," ")</f>
        <v> </v>
      </c>
      <c r="U208" s="17" t="str">
        <f aca="false">IF((E208="p"),H208," ")</f>
        <v> </v>
      </c>
      <c r="V208" s="17" t="str">
        <f aca="false">IF((E208="t"),H208," ")</f>
        <v> </v>
      </c>
      <c r="W208" s="17" t="str">
        <f aca="false">IF((E208="q"),H208," ")</f>
        <v> </v>
      </c>
      <c r="X208" s="17" t="str">
        <f aca="false">IF((E208="m"),H208," ")</f>
        <v> </v>
      </c>
      <c r="Y208" s="17" t="str">
        <f aca="false">IF((E208="u"),H208," ")</f>
        <v> </v>
      </c>
      <c r="Z208" s="17" t="str">
        <f aca="false">IF((E208="a"),H208," ")</f>
        <v> </v>
      </c>
      <c r="AA208" s="17" t="str">
        <f aca="false">IF((E208="g"),H208," ")</f>
        <v> </v>
      </c>
      <c r="AB208" s="17" t="str">
        <f aca="false">IF((E208="h"),H208," ")</f>
        <v> </v>
      </c>
      <c r="AC208" s="30" t="str">
        <f aca="false">IF((E208="v"),H208," ")</f>
        <v> </v>
      </c>
      <c r="AD208" s="30" t="str">
        <f aca="false">IF((E208="n"),H208," ")</f>
        <v> </v>
      </c>
      <c r="AE208" s="17" t="str">
        <f aca="false">IF((E208="f"),H208," ")</f>
        <v> </v>
      </c>
      <c r="AF208" s="17" t="str">
        <f aca="false">IF((E208="l"),H208," ")</f>
        <v> </v>
      </c>
      <c r="AG208" s="17" t="str">
        <f aca="false">IF((E208="y"),H208," ")</f>
        <v> </v>
      </c>
      <c r="AH208" s="17" t="str">
        <f aca="false">IF((E208="z"),H208," ")</f>
        <v> </v>
      </c>
      <c r="AI208" s="17" t="str">
        <f aca="false">IF((E208="fa"),H208," ")</f>
        <v> </v>
      </c>
      <c r="AJ208" s="17" t="str">
        <f aca="false">IF((E208="e"),H208," ")</f>
        <v> </v>
      </c>
    </row>
    <row r="209" customFormat="false" ht="12" hidden="false" customHeight="false" outlineLevel="0" collapsed="false">
      <c r="A209" s="28"/>
      <c r="E209" s="2" t="str">
        <f aca="false">IF((F209&lt;&gt;0),"Enter Letter"," ")</f>
        <v> </v>
      </c>
      <c r="F209" s="30"/>
      <c r="G209" s="6" t="str">
        <f aca="false">IF(F209&lt;&gt;0,F209*G$2/(100+G$2)," ")</f>
        <v> </v>
      </c>
      <c r="H209" s="6" t="str">
        <f aca="false">IF((F209&lt;&gt;0),F209-G209," ")</f>
        <v> </v>
      </c>
      <c r="I209" s="5"/>
      <c r="L209" s="7" t="str">
        <f aca="false">IF(F209&lt;&gt;0,F209-K209," ")</f>
        <v> </v>
      </c>
      <c r="M209" s="8" t="str">
        <f aca="false">IF((F209-K209)&lt;&gt;0,M$1-A209," ")</f>
        <v> </v>
      </c>
      <c r="N209" s="5"/>
      <c r="O209" s="17" t="str">
        <f aca="false">IF((E209="s"),H209," ")</f>
        <v> </v>
      </c>
      <c r="P209" s="17" t="str">
        <f aca="false">IF((E209="c"),H209," ")</f>
        <v> </v>
      </c>
      <c r="Q209" s="17" t="str">
        <f aca="false">IF((E209="o"),H209," ")</f>
        <v> </v>
      </c>
      <c r="R209" s="17" t="str">
        <f aca="false">IF((E209="d"),H209," ")</f>
        <v> </v>
      </c>
      <c r="S209" s="17" t="str">
        <f aca="false">IF((E209="w"),H209," ")</f>
        <v> </v>
      </c>
      <c r="T209" s="17" t="str">
        <f aca="false">IF((E209="r"),H209," ")</f>
        <v> </v>
      </c>
      <c r="U209" s="17" t="str">
        <f aca="false">IF((E209="p"),H209," ")</f>
        <v> </v>
      </c>
      <c r="V209" s="17" t="str">
        <f aca="false">IF((E209="t"),H209," ")</f>
        <v> </v>
      </c>
      <c r="W209" s="17" t="str">
        <f aca="false">IF((E209="q"),H209," ")</f>
        <v> </v>
      </c>
      <c r="X209" s="17" t="str">
        <f aca="false">IF((E209="m"),H209," ")</f>
        <v> </v>
      </c>
      <c r="Y209" s="17" t="str">
        <f aca="false">IF((E209="u"),H209," ")</f>
        <v> </v>
      </c>
      <c r="Z209" s="17" t="str">
        <f aca="false">IF((E209="a"),H209," ")</f>
        <v> </v>
      </c>
      <c r="AA209" s="17" t="str">
        <f aca="false">IF((E209="g"),H209," ")</f>
        <v> </v>
      </c>
      <c r="AB209" s="17" t="str">
        <f aca="false">IF((E209="h"),H209," ")</f>
        <v> </v>
      </c>
      <c r="AC209" s="30" t="str">
        <f aca="false">IF((E209="v"),H209," ")</f>
        <v> </v>
      </c>
      <c r="AD209" s="30" t="str">
        <f aca="false">IF((E209="n"),H209," ")</f>
        <v> </v>
      </c>
      <c r="AE209" s="17" t="str">
        <f aca="false">IF((E209="f"),H209," ")</f>
        <v> </v>
      </c>
      <c r="AF209" s="17" t="str">
        <f aca="false">IF((E209="l"),H209," ")</f>
        <v> </v>
      </c>
      <c r="AG209" s="17" t="str">
        <f aca="false">IF((E209="y"),H209," ")</f>
        <v> </v>
      </c>
      <c r="AH209" s="17" t="str">
        <f aca="false">IF((E209="z"),H209," ")</f>
        <v> </v>
      </c>
      <c r="AI209" s="17" t="str">
        <f aca="false">IF((E209="fa"),H209," ")</f>
        <v> </v>
      </c>
      <c r="AJ209" s="17" t="str">
        <f aca="false">IF((E209="e"),H209," ")</f>
        <v> </v>
      </c>
    </row>
    <row r="210" customFormat="false" ht="12" hidden="false" customHeight="false" outlineLevel="0" collapsed="false">
      <c r="A210" s="28"/>
      <c r="E210" s="2" t="str">
        <f aca="false">IF((F210&lt;&gt;0),"Enter Letter"," ")</f>
        <v> </v>
      </c>
      <c r="F210" s="30"/>
      <c r="G210" s="6" t="str">
        <f aca="false">IF(F210&lt;&gt;0,F210*G$2/(100+G$2)," ")</f>
        <v> </v>
      </c>
      <c r="H210" s="6" t="str">
        <f aca="false">IF((F210&lt;&gt;0),F210-G210," ")</f>
        <v> </v>
      </c>
      <c r="I210" s="5"/>
      <c r="L210" s="7" t="str">
        <f aca="false">IF(F210&lt;&gt;0,F210-K210," ")</f>
        <v> </v>
      </c>
      <c r="M210" s="8" t="str">
        <f aca="false">IF((F210-K210)&lt;&gt;0,M$1-A210," ")</f>
        <v> </v>
      </c>
      <c r="N210" s="5"/>
      <c r="O210" s="17" t="str">
        <f aca="false">IF((E210="s"),H210," ")</f>
        <v> </v>
      </c>
      <c r="P210" s="17" t="str">
        <f aca="false">IF((E210="c"),H210," ")</f>
        <v> </v>
      </c>
      <c r="Q210" s="17" t="str">
        <f aca="false">IF((E210="o"),H210," ")</f>
        <v> </v>
      </c>
      <c r="R210" s="17" t="str">
        <f aca="false">IF((E210="d"),H210," ")</f>
        <v> </v>
      </c>
      <c r="S210" s="17" t="str">
        <f aca="false">IF((E210="w"),H210," ")</f>
        <v> </v>
      </c>
      <c r="T210" s="17" t="str">
        <f aca="false">IF((E210="r"),H210," ")</f>
        <v> </v>
      </c>
      <c r="U210" s="17" t="str">
        <f aca="false">IF((E210="p"),H210," ")</f>
        <v> </v>
      </c>
      <c r="V210" s="17" t="str">
        <f aca="false">IF((E210="t"),H210," ")</f>
        <v> </v>
      </c>
      <c r="W210" s="17" t="str">
        <f aca="false">IF((E210="q"),H210," ")</f>
        <v> </v>
      </c>
      <c r="X210" s="17" t="str">
        <f aca="false">IF((E210="m"),H210," ")</f>
        <v> </v>
      </c>
      <c r="Y210" s="17" t="str">
        <f aca="false">IF((E210="u"),H210," ")</f>
        <v> </v>
      </c>
      <c r="Z210" s="17" t="str">
        <f aca="false">IF((E210="a"),H210," ")</f>
        <v> </v>
      </c>
      <c r="AA210" s="17" t="str">
        <f aca="false">IF((E210="g"),H210," ")</f>
        <v> </v>
      </c>
      <c r="AB210" s="17" t="str">
        <f aca="false">IF((E210="h"),H210," ")</f>
        <v> </v>
      </c>
      <c r="AC210" s="30" t="str">
        <f aca="false">IF((E210="v"),H210," ")</f>
        <v> </v>
      </c>
      <c r="AD210" s="30" t="str">
        <f aca="false">IF((E210="n"),H210," ")</f>
        <v> </v>
      </c>
      <c r="AE210" s="17" t="str">
        <f aca="false">IF((E210="f"),H210," ")</f>
        <v> </v>
      </c>
      <c r="AF210" s="17" t="str">
        <f aca="false">IF((E210="l"),H210," ")</f>
        <v> </v>
      </c>
      <c r="AG210" s="17" t="str">
        <f aca="false">IF((E210="y"),H210," ")</f>
        <v> </v>
      </c>
      <c r="AH210" s="17" t="str">
        <f aca="false">IF((E210="z"),H210," ")</f>
        <v> </v>
      </c>
      <c r="AI210" s="17" t="str">
        <f aca="false">IF((E210="fa"),H210," ")</f>
        <v> </v>
      </c>
      <c r="AJ210" s="17" t="str">
        <f aca="false">IF((E210="e"),H210," ")</f>
        <v> </v>
      </c>
    </row>
    <row r="211" customFormat="false" ht="12" hidden="false" customHeight="false" outlineLevel="0" collapsed="false">
      <c r="A211" s="28"/>
      <c r="E211" s="2" t="str">
        <f aca="false">IF((F211&lt;&gt;0),"Enter Letter"," ")</f>
        <v> </v>
      </c>
      <c r="F211" s="30"/>
      <c r="G211" s="6" t="str">
        <f aca="false">IF(F211&lt;&gt;0,F211*G$2/(100+G$2)," ")</f>
        <v> </v>
      </c>
      <c r="H211" s="6" t="str">
        <f aca="false">IF((F211&lt;&gt;0),F211-G211," ")</f>
        <v> </v>
      </c>
      <c r="I211" s="5"/>
      <c r="L211" s="7" t="str">
        <f aca="false">IF(F211&lt;&gt;0,F211-K211," ")</f>
        <v> </v>
      </c>
      <c r="M211" s="8" t="str">
        <f aca="false">IF((F211-K211)&lt;&gt;0,M$1-A211," ")</f>
        <v> </v>
      </c>
      <c r="N211" s="5"/>
      <c r="O211" s="17" t="str">
        <f aca="false">IF((E211="s"),H211," ")</f>
        <v> </v>
      </c>
      <c r="P211" s="17" t="str">
        <f aca="false">IF((E211="c"),H211," ")</f>
        <v> </v>
      </c>
      <c r="Q211" s="17" t="str">
        <f aca="false">IF((E211="o"),H211," ")</f>
        <v> </v>
      </c>
      <c r="R211" s="17" t="str">
        <f aca="false">IF((E211="d"),H211," ")</f>
        <v> </v>
      </c>
      <c r="S211" s="17" t="str">
        <f aca="false">IF((E211="w"),H211," ")</f>
        <v> </v>
      </c>
      <c r="T211" s="17" t="str">
        <f aca="false">IF((E211="r"),H211," ")</f>
        <v> </v>
      </c>
      <c r="U211" s="17" t="str">
        <f aca="false">IF((E211="p"),H211," ")</f>
        <v> </v>
      </c>
      <c r="V211" s="17" t="str">
        <f aca="false">IF((E211="t"),H211," ")</f>
        <v> </v>
      </c>
      <c r="W211" s="17" t="str">
        <f aca="false">IF((E211="q"),H211," ")</f>
        <v> </v>
      </c>
      <c r="X211" s="17" t="str">
        <f aca="false">IF((E211="m"),H211," ")</f>
        <v> </v>
      </c>
      <c r="Y211" s="17" t="str">
        <f aca="false">IF((E211="u"),H211," ")</f>
        <v> </v>
      </c>
      <c r="Z211" s="17" t="str">
        <f aca="false">IF((E211="a"),H211," ")</f>
        <v> </v>
      </c>
      <c r="AA211" s="17" t="str">
        <f aca="false">IF((E211="g"),H211," ")</f>
        <v> </v>
      </c>
      <c r="AB211" s="17" t="str">
        <f aca="false">IF((E211="h"),H211," ")</f>
        <v> </v>
      </c>
      <c r="AC211" s="30" t="str">
        <f aca="false">IF((E211="v"),H211," ")</f>
        <v> </v>
      </c>
      <c r="AD211" s="30" t="str">
        <f aca="false">IF((E211="n"),H211," ")</f>
        <v> </v>
      </c>
      <c r="AE211" s="17" t="str">
        <f aca="false">IF((E211="f"),H211," ")</f>
        <v> </v>
      </c>
      <c r="AF211" s="17" t="str">
        <f aca="false">IF((E211="l"),H211," ")</f>
        <v> </v>
      </c>
      <c r="AG211" s="17" t="str">
        <f aca="false">IF((E211="y"),H211," ")</f>
        <v> </v>
      </c>
      <c r="AH211" s="17" t="str">
        <f aca="false">IF((E211="z"),H211," ")</f>
        <v> </v>
      </c>
      <c r="AI211" s="17" t="str">
        <f aca="false">IF((E211="fa"),H211," ")</f>
        <v> </v>
      </c>
      <c r="AJ211" s="17" t="str">
        <f aca="false">IF((E211="e"),H211," ")</f>
        <v> </v>
      </c>
    </row>
    <row r="212" customFormat="false" ht="12" hidden="false" customHeight="false" outlineLevel="0" collapsed="false">
      <c r="A212" s="28"/>
      <c r="E212" s="2" t="str">
        <f aca="false">IF((F212&lt;&gt;0),"Enter Letter"," ")</f>
        <v> </v>
      </c>
      <c r="F212" s="30"/>
      <c r="G212" s="6" t="str">
        <f aca="false">IF(F212&lt;&gt;0,F212*G$2/(100+G$2)," ")</f>
        <v> </v>
      </c>
      <c r="H212" s="6" t="str">
        <f aca="false">IF((F212&lt;&gt;0),F212-G212," ")</f>
        <v> </v>
      </c>
      <c r="I212" s="5"/>
      <c r="L212" s="7" t="str">
        <f aca="false">IF(F212&lt;&gt;0,F212-K212," ")</f>
        <v> </v>
      </c>
      <c r="M212" s="8" t="str">
        <f aca="false">IF((F212-K212)&lt;&gt;0,M$1-A212," ")</f>
        <v> </v>
      </c>
      <c r="N212" s="5"/>
      <c r="O212" s="17" t="str">
        <f aca="false">IF((E212="s"),H212," ")</f>
        <v> </v>
      </c>
      <c r="P212" s="17" t="str">
        <f aca="false">IF((E212="c"),H212," ")</f>
        <v> </v>
      </c>
      <c r="Q212" s="17" t="str">
        <f aca="false">IF((E212="o"),H212," ")</f>
        <v> </v>
      </c>
      <c r="R212" s="17" t="str">
        <f aca="false">IF((E212="d"),H212," ")</f>
        <v> </v>
      </c>
      <c r="S212" s="17" t="str">
        <f aca="false">IF((E212="w"),H212," ")</f>
        <v> </v>
      </c>
      <c r="T212" s="17" t="str">
        <f aca="false">IF((E212="r"),H212," ")</f>
        <v> </v>
      </c>
      <c r="U212" s="17" t="str">
        <f aca="false">IF((E212="p"),H212," ")</f>
        <v> </v>
      </c>
      <c r="V212" s="17" t="str">
        <f aca="false">IF((E212="t"),H212," ")</f>
        <v> </v>
      </c>
      <c r="W212" s="17" t="str">
        <f aca="false">IF((E212="q"),H212," ")</f>
        <v> </v>
      </c>
      <c r="X212" s="17" t="str">
        <f aca="false">IF((E212="m"),H212," ")</f>
        <v> </v>
      </c>
      <c r="Y212" s="17" t="str">
        <f aca="false">IF((E212="u"),H212," ")</f>
        <v> </v>
      </c>
      <c r="Z212" s="17" t="str">
        <f aca="false">IF((E212="a"),H212," ")</f>
        <v> </v>
      </c>
      <c r="AA212" s="17" t="str">
        <f aca="false">IF((E212="g"),H212," ")</f>
        <v> </v>
      </c>
      <c r="AB212" s="17" t="str">
        <f aca="false">IF((E212="h"),H212," ")</f>
        <v> </v>
      </c>
      <c r="AC212" s="30" t="str">
        <f aca="false">IF((E212="v"),H212," ")</f>
        <v> </v>
      </c>
      <c r="AD212" s="30" t="str">
        <f aca="false">IF((E212="n"),H212," ")</f>
        <v> </v>
      </c>
      <c r="AE212" s="17" t="str">
        <f aca="false">IF((E212="f"),H212," ")</f>
        <v> </v>
      </c>
      <c r="AF212" s="17" t="str">
        <f aca="false">IF((E212="l"),H212," ")</f>
        <v> </v>
      </c>
      <c r="AG212" s="17" t="str">
        <f aca="false">IF((E212="y"),H212," ")</f>
        <v> </v>
      </c>
      <c r="AH212" s="17" t="str">
        <f aca="false">IF((E212="z"),H212," ")</f>
        <v> </v>
      </c>
      <c r="AI212" s="17" t="str">
        <f aca="false">IF((E212="fa"),H212," ")</f>
        <v> </v>
      </c>
      <c r="AJ212" s="17" t="str">
        <f aca="false">IF((E212="e"),H212," ")</f>
        <v> </v>
      </c>
    </row>
    <row r="213" customFormat="false" ht="12" hidden="false" customHeight="false" outlineLevel="0" collapsed="false">
      <c r="A213" s="28"/>
      <c r="E213" s="2" t="str">
        <f aca="false">IF((F213&lt;&gt;0),"Enter Letter"," ")</f>
        <v> </v>
      </c>
      <c r="F213" s="30"/>
      <c r="G213" s="6" t="str">
        <f aca="false">IF(F213&lt;&gt;0,F213*G$2/(100+G$2)," ")</f>
        <v> </v>
      </c>
      <c r="H213" s="6" t="str">
        <f aca="false">IF((F213&lt;&gt;0),F213-G213," ")</f>
        <v> </v>
      </c>
      <c r="I213" s="5"/>
      <c r="L213" s="7" t="str">
        <f aca="false">IF(F213&lt;&gt;0,F213-K213," ")</f>
        <v> </v>
      </c>
      <c r="M213" s="8" t="str">
        <f aca="false">IF((F213-K213)&lt;&gt;0,M$1-A213," ")</f>
        <v> </v>
      </c>
      <c r="N213" s="5"/>
      <c r="O213" s="17" t="str">
        <f aca="false">IF((E213="s"),H213," ")</f>
        <v> </v>
      </c>
      <c r="P213" s="17" t="str">
        <f aca="false">IF((E213="c"),H213," ")</f>
        <v> </v>
      </c>
      <c r="Q213" s="17" t="str">
        <f aca="false">IF((E213="o"),H213," ")</f>
        <v> </v>
      </c>
      <c r="R213" s="17" t="str">
        <f aca="false">IF((E213="d"),H213," ")</f>
        <v> </v>
      </c>
      <c r="S213" s="17" t="str">
        <f aca="false">IF((E213="w"),H213," ")</f>
        <v> </v>
      </c>
      <c r="T213" s="17" t="str">
        <f aca="false">IF((E213="r"),H213," ")</f>
        <v> </v>
      </c>
      <c r="U213" s="17" t="str">
        <f aca="false">IF((E213="p"),H213," ")</f>
        <v> </v>
      </c>
      <c r="V213" s="17" t="str">
        <f aca="false">IF((E213="t"),H213," ")</f>
        <v> </v>
      </c>
      <c r="W213" s="17" t="str">
        <f aca="false">IF((E213="q"),H213," ")</f>
        <v> </v>
      </c>
      <c r="X213" s="17" t="str">
        <f aca="false">IF((E213="m"),H213," ")</f>
        <v> </v>
      </c>
      <c r="Y213" s="17" t="str">
        <f aca="false">IF((E213="u"),H213," ")</f>
        <v> </v>
      </c>
      <c r="Z213" s="17" t="str">
        <f aca="false">IF((E213="a"),H213," ")</f>
        <v> </v>
      </c>
      <c r="AA213" s="17" t="str">
        <f aca="false">IF((E213="g"),H213," ")</f>
        <v> </v>
      </c>
      <c r="AB213" s="17" t="str">
        <f aca="false">IF((E213="h"),H213," ")</f>
        <v> </v>
      </c>
      <c r="AC213" s="30" t="str">
        <f aca="false">IF((E213="v"),H213," ")</f>
        <v> </v>
      </c>
      <c r="AD213" s="30" t="str">
        <f aca="false">IF((E213="n"),H213," ")</f>
        <v> </v>
      </c>
      <c r="AE213" s="17" t="str">
        <f aca="false">IF((E213="f"),H213," ")</f>
        <v> </v>
      </c>
      <c r="AF213" s="17" t="str">
        <f aca="false">IF((E213="l"),H213," ")</f>
        <v> </v>
      </c>
      <c r="AG213" s="17" t="str">
        <f aca="false">IF((E213="y"),H213," ")</f>
        <v> </v>
      </c>
      <c r="AH213" s="17" t="str">
        <f aca="false">IF((E213="z"),H213," ")</f>
        <v> </v>
      </c>
      <c r="AI213" s="17" t="str">
        <f aca="false">IF((E213="fa"),H213," ")</f>
        <v> </v>
      </c>
      <c r="AJ213" s="17" t="str">
        <f aca="false">IF((E213="e"),H213," ")</f>
        <v> </v>
      </c>
    </row>
    <row r="214" customFormat="false" ht="12" hidden="false" customHeight="false" outlineLevel="0" collapsed="false">
      <c r="A214" s="28"/>
      <c r="E214" s="2" t="str">
        <f aca="false">IF((F214&lt;&gt;0),"Enter Letter"," ")</f>
        <v> </v>
      </c>
      <c r="F214" s="30"/>
      <c r="G214" s="6" t="str">
        <f aca="false">IF(F214&lt;&gt;0,F214*G$2/(100+G$2)," ")</f>
        <v> </v>
      </c>
      <c r="H214" s="6" t="str">
        <f aca="false">IF((F214&lt;&gt;0),F214-G214," ")</f>
        <v> </v>
      </c>
      <c r="I214" s="5"/>
      <c r="L214" s="7" t="str">
        <f aca="false">IF(F214&lt;&gt;0,F214-K214," ")</f>
        <v> </v>
      </c>
      <c r="M214" s="8" t="str">
        <f aca="false">IF((F214-K214)&lt;&gt;0,M$1-A214," ")</f>
        <v> </v>
      </c>
      <c r="N214" s="5"/>
      <c r="O214" s="17" t="str">
        <f aca="false">IF((E214="s"),H214," ")</f>
        <v> </v>
      </c>
      <c r="P214" s="17" t="str">
        <f aca="false">IF((E214="c"),H214," ")</f>
        <v> </v>
      </c>
      <c r="Q214" s="17" t="str">
        <f aca="false">IF((E214="o"),H214," ")</f>
        <v> </v>
      </c>
      <c r="R214" s="17" t="str">
        <f aca="false">IF((E214="d"),H214," ")</f>
        <v> </v>
      </c>
      <c r="S214" s="17" t="str">
        <f aca="false">IF((E214="w"),H214," ")</f>
        <v> </v>
      </c>
      <c r="T214" s="17" t="str">
        <f aca="false">IF((E214="r"),H214," ")</f>
        <v> </v>
      </c>
      <c r="U214" s="17" t="str">
        <f aca="false">IF((E214="p"),H214," ")</f>
        <v> </v>
      </c>
      <c r="V214" s="17" t="str">
        <f aca="false">IF((E214="t"),H214," ")</f>
        <v> </v>
      </c>
      <c r="W214" s="17" t="str">
        <f aca="false">IF((E214="q"),H214," ")</f>
        <v> </v>
      </c>
      <c r="X214" s="17" t="str">
        <f aca="false">IF((E214="m"),H214," ")</f>
        <v> </v>
      </c>
      <c r="Y214" s="17" t="str">
        <f aca="false">IF((E214="u"),H214," ")</f>
        <v> </v>
      </c>
      <c r="Z214" s="17" t="str">
        <f aca="false">IF((E214="a"),H214," ")</f>
        <v> </v>
      </c>
      <c r="AA214" s="17" t="str">
        <f aca="false">IF((E214="g"),H214," ")</f>
        <v> </v>
      </c>
      <c r="AB214" s="17" t="str">
        <f aca="false">IF((E214="h"),H214," ")</f>
        <v> </v>
      </c>
      <c r="AC214" s="30" t="str">
        <f aca="false">IF((E214="v"),H214," ")</f>
        <v> </v>
      </c>
      <c r="AD214" s="30" t="str">
        <f aca="false">IF((E214="n"),H214," ")</f>
        <v> </v>
      </c>
      <c r="AE214" s="17" t="str">
        <f aca="false">IF((E214="f"),H214," ")</f>
        <v> </v>
      </c>
      <c r="AF214" s="17" t="str">
        <f aca="false">IF((E214="l"),H214," ")</f>
        <v> </v>
      </c>
      <c r="AG214" s="17" t="str">
        <f aca="false">IF((E214="y"),H214," ")</f>
        <v> </v>
      </c>
      <c r="AH214" s="17" t="str">
        <f aca="false">IF((E214="z"),H214," ")</f>
        <v> </v>
      </c>
      <c r="AI214" s="17" t="str">
        <f aca="false">IF((E214="fa"),H214," ")</f>
        <v> </v>
      </c>
      <c r="AJ214" s="17" t="str">
        <f aca="false">IF((E214="e"),H214," ")</f>
        <v> </v>
      </c>
    </row>
    <row r="215" customFormat="false" ht="12" hidden="false" customHeight="false" outlineLevel="0" collapsed="false">
      <c r="A215" s="28"/>
      <c r="E215" s="2" t="str">
        <f aca="false">IF((F215&lt;&gt;0),"Enter Letter"," ")</f>
        <v> </v>
      </c>
      <c r="F215" s="30"/>
      <c r="G215" s="6" t="str">
        <f aca="false">IF(F215&lt;&gt;0,F215*G$2/(100+G$2)," ")</f>
        <v> </v>
      </c>
      <c r="H215" s="6" t="str">
        <f aca="false">IF((F215&lt;&gt;0),F215-G215," ")</f>
        <v> </v>
      </c>
      <c r="I215" s="5"/>
      <c r="L215" s="7" t="str">
        <f aca="false">IF(F215&lt;&gt;0,F215-K215," ")</f>
        <v> </v>
      </c>
      <c r="M215" s="8" t="str">
        <f aca="false">IF((F215-K215)&lt;&gt;0,M$1-A215," ")</f>
        <v> </v>
      </c>
      <c r="N215" s="5"/>
      <c r="O215" s="17" t="str">
        <f aca="false">IF((E215="s"),H215," ")</f>
        <v> </v>
      </c>
      <c r="P215" s="17" t="str">
        <f aca="false">IF((E215="c"),H215," ")</f>
        <v> </v>
      </c>
      <c r="Q215" s="17" t="str">
        <f aca="false">IF((E215="o"),H215," ")</f>
        <v> </v>
      </c>
      <c r="R215" s="17" t="str">
        <f aca="false">IF((E215="d"),H215," ")</f>
        <v> </v>
      </c>
      <c r="S215" s="17" t="str">
        <f aca="false">IF((E215="w"),H215," ")</f>
        <v> </v>
      </c>
      <c r="T215" s="17" t="str">
        <f aca="false">IF((E215="r"),H215," ")</f>
        <v> </v>
      </c>
      <c r="U215" s="17" t="str">
        <f aca="false">IF((E215="p"),H215," ")</f>
        <v> </v>
      </c>
      <c r="V215" s="17" t="str">
        <f aca="false">IF((E215="t"),H215," ")</f>
        <v> </v>
      </c>
      <c r="W215" s="17" t="str">
        <f aca="false">IF((E215="q"),H215," ")</f>
        <v> </v>
      </c>
      <c r="X215" s="17" t="str">
        <f aca="false">IF((E215="m"),H215," ")</f>
        <v> </v>
      </c>
      <c r="Y215" s="17" t="str">
        <f aca="false">IF((E215="u"),H215," ")</f>
        <v> </v>
      </c>
      <c r="Z215" s="17" t="str">
        <f aca="false">IF((E215="a"),H215," ")</f>
        <v> </v>
      </c>
      <c r="AA215" s="17" t="str">
        <f aca="false">IF((E215="g"),H215," ")</f>
        <v> </v>
      </c>
      <c r="AB215" s="17" t="str">
        <f aca="false">IF((E215="h"),H215," ")</f>
        <v> </v>
      </c>
      <c r="AC215" s="30" t="str">
        <f aca="false">IF((E215="v"),H215," ")</f>
        <v> </v>
      </c>
      <c r="AD215" s="30" t="str">
        <f aca="false">IF((E215="n"),H215," ")</f>
        <v> </v>
      </c>
      <c r="AE215" s="17" t="str">
        <f aca="false">IF((E215="f"),H215," ")</f>
        <v> </v>
      </c>
      <c r="AF215" s="17" t="str">
        <f aca="false">IF((E215="l"),H215," ")</f>
        <v> </v>
      </c>
      <c r="AG215" s="17" t="str">
        <f aca="false">IF((E215="y"),H215," ")</f>
        <v> </v>
      </c>
      <c r="AH215" s="17" t="str">
        <f aca="false">IF((E215="z"),H215," ")</f>
        <v> </v>
      </c>
      <c r="AI215" s="17" t="str">
        <f aca="false">IF((E215="fa"),H215," ")</f>
        <v> </v>
      </c>
      <c r="AJ215" s="17" t="str">
        <f aca="false">IF((E215="e"),H215," ")</f>
        <v> </v>
      </c>
    </row>
    <row r="216" customFormat="false" ht="12" hidden="false" customHeight="false" outlineLevel="0" collapsed="false">
      <c r="A216" s="28"/>
      <c r="E216" s="2" t="str">
        <f aca="false">IF((F216&lt;&gt;0),"Enter Letter"," ")</f>
        <v> </v>
      </c>
      <c r="F216" s="30"/>
      <c r="G216" s="6" t="str">
        <f aca="false">IF(F216&lt;&gt;0,F216*G$2/(100+G$2)," ")</f>
        <v> </v>
      </c>
      <c r="H216" s="6" t="str">
        <f aca="false">IF((F216&lt;&gt;0),F216-G216," ")</f>
        <v> </v>
      </c>
      <c r="I216" s="5"/>
      <c r="L216" s="7" t="str">
        <f aca="false">IF(F216&lt;&gt;0,F216-K216," ")</f>
        <v> </v>
      </c>
      <c r="M216" s="8" t="str">
        <f aca="false">IF((F216-K216)&lt;&gt;0,M$1-A216," ")</f>
        <v> </v>
      </c>
      <c r="N216" s="5"/>
      <c r="O216" s="17" t="str">
        <f aca="false">IF((E216="s"),H216," ")</f>
        <v> </v>
      </c>
      <c r="P216" s="17" t="str">
        <f aca="false">IF((E216="c"),H216," ")</f>
        <v> </v>
      </c>
      <c r="Q216" s="17" t="str">
        <f aca="false">IF((E216="o"),H216," ")</f>
        <v> </v>
      </c>
      <c r="R216" s="17" t="str">
        <f aca="false">IF((E216="d"),H216," ")</f>
        <v> </v>
      </c>
      <c r="S216" s="17" t="str">
        <f aca="false">IF((E216="w"),H216," ")</f>
        <v> </v>
      </c>
      <c r="T216" s="17" t="str">
        <f aca="false">IF((E216="r"),H216," ")</f>
        <v> </v>
      </c>
      <c r="U216" s="17" t="str">
        <f aca="false">IF((E216="p"),H216," ")</f>
        <v> </v>
      </c>
      <c r="V216" s="17" t="str">
        <f aca="false">IF((E216="t"),H216," ")</f>
        <v> </v>
      </c>
      <c r="W216" s="17" t="str">
        <f aca="false">IF((E216="q"),H216," ")</f>
        <v> </v>
      </c>
      <c r="X216" s="17" t="str">
        <f aca="false">IF((E216="m"),H216," ")</f>
        <v> </v>
      </c>
      <c r="Y216" s="17" t="str">
        <f aca="false">IF((E216="u"),H216," ")</f>
        <v> </v>
      </c>
      <c r="Z216" s="17" t="str">
        <f aca="false">IF((E216="a"),H216," ")</f>
        <v> </v>
      </c>
      <c r="AA216" s="17" t="str">
        <f aca="false">IF((E216="g"),H216," ")</f>
        <v> </v>
      </c>
      <c r="AB216" s="17" t="str">
        <f aca="false">IF((E216="h"),H216," ")</f>
        <v> </v>
      </c>
      <c r="AC216" s="30" t="str">
        <f aca="false">IF((E216="v"),H216," ")</f>
        <v> </v>
      </c>
      <c r="AD216" s="30" t="str">
        <f aca="false">IF((E216="n"),H216," ")</f>
        <v> </v>
      </c>
      <c r="AE216" s="17" t="str">
        <f aca="false">IF((E216="f"),H216," ")</f>
        <v> </v>
      </c>
      <c r="AF216" s="17" t="str">
        <f aca="false">IF((E216="l"),H216," ")</f>
        <v> </v>
      </c>
      <c r="AG216" s="17" t="str">
        <f aca="false">IF((E216="y"),H216," ")</f>
        <v> </v>
      </c>
      <c r="AH216" s="17" t="str">
        <f aca="false">IF((E216="z"),H216," ")</f>
        <v> </v>
      </c>
      <c r="AI216" s="17" t="str">
        <f aca="false">IF((E216="fa"),H216," ")</f>
        <v> </v>
      </c>
      <c r="AJ216" s="17" t="str">
        <f aca="false">IF((E216="e"),H216," ")</f>
        <v> </v>
      </c>
    </row>
    <row r="217" customFormat="false" ht="12" hidden="false" customHeight="false" outlineLevel="0" collapsed="false">
      <c r="A217" s="28"/>
      <c r="E217" s="2" t="str">
        <f aca="false">IF((F217&lt;&gt;0),"Enter Letter"," ")</f>
        <v> </v>
      </c>
      <c r="F217" s="30"/>
      <c r="G217" s="6" t="str">
        <f aca="false">IF(F217&lt;&gt;0,F217*G$2/(100+G$2)," ")</f>
        <v> </v>
      </c>
      <c r="H217" s="6" t="str">
        <f aca="false">IF((F217&lt;&gt;0),F217-G217," ")</f>
        <v> </v>
      </c>
      <c r="I217" s="5"/>
      <c r="L217" s="7" t="str">
        <f aca="false">IF(F217&lt;&gt;0,F217-K217," ")</f>
        <v> </v>
      </c>
      <c r="M217" s="8" t="str">
        <f aca="false">IF((F217-K217)&lt;&gt;0,M$1-A217," ")</f>
        <v> </v>
      </c>
      <c r="N217" s="5"/>
      <c r="O217" s="17" t="str">
        <f aca="false">IF((E217="s"),H217," ")</f>
        <v> </v>
      </c>
      <c r="P217" s="17" t="str">
        <f aca="false">IF((E217="c"),H217," ")</f>
        <v> </v>
      </c>
      <c r="Q217" s="17" t="str">
        <f aca="false">IF((E217="o"),H217," ")</f>
        <v> </v>
      </c>
      <c r="R217" s="17" t="str">
        <f aca="false">IF((E217="d"),H217," ")</f>
        <v> </v>
      </c>
      <c r="S217" s="17" t="str">
        <f aca="false">IF((E217="w"),H217," ")</f>
        <v> </v>
      </c>
      <c r="T217" s="17" t="str">
        <f aca="false">IF((E217="r"),H217," ")</f>
        <v> </v>
      </c>
      <c r="U217" s="17" t="str">
        <f aca="false">IF((E217="p"),H217," ")</f>
        <v> </v>
      </c>
      <c r="V217" s="17" t="str">
        <f aca="false">IF((E217="t"),H217," ")</f>
        <v> </v>
      </c>
      <c r="W217" s="17" t="str">
        <f aca="false">IF((E217="q"),H217," ")</f>
        <v> </v>
      </c>
      <c r="X217" s="17" t="str">
        <f aca="false">IF((E217="m"),H217," ")</f>
        <v> </v>
      </c>
      <c r="Y217" s="17" t="str">
        <f aca="false">IF((E217="u"),H217," ")</f>
        <v> </v>
      </c>
      <c r="Z217" s="17" t="str">
        <f aca="false">IF((E217="a"),H217," ")</f>
        <v> </v>
      </c>
      <c r="AA217" s="17" t="str">
        <f aca="false">IF((E217="g"),H217," ")</f>
        <v> </v>
      </c>
      <c r="AB217" s="17" t="str">
        <f aca="false">IF((E217="h"),H217," ")</f>
        <v> </v>
      </c>
      <c r="AC217" s="30" t="str">
        <f aca="false">IF((E217="v"),H217," ")</f>
        <v> </v>
      </c>
      <c r="AD217" s="30" t="str">
        <f aca="false">IF((E217="n"),H217," ")</f>
        <v> </v>
      </c>
      <c r="AE217" s="17" t="str">
        <f aca="false">IF((E217="f"),H217," ")</f>
        <v> </v>
      </c>
      <c r="AF217" s="17" t="str">
        <f aca="false">IF((E217="l"),H217," ")</f>
        <v> </v>
      </c>
      <c r="AG217" s="17" t="str">
        <f aca="false">IF((E217="y"),H217," ")</f>
        <v> </v>
      </c>
      <c r="AH217" s="17" t="str">
        <f aca="false">IF((E217="z"),H217," ")</f>
        <v> </v>
      </c>
      <c r="AI217" s="17" t="str">
        <f aca="false">IF((E217="fa"),H217," ")</f>
        <v> </v>
      </c>
      <c r="AJ217" s="17" t="str">
        <f aca="false">IF((E217="e"),H217," ")</f>
        <v> </v>
      </c>
    </row>
    <row r="218" customFormat="false" ht="12" hidden="false" customHeight="false" outlineLevel="0" collapsed="false">
      <c r="A218" s="28"/>
      <c r="E218" s="2" t="str">
        <f aca="false">IF((F218&lt;&gt;0),"Enter Letter"," ")</f>
        <v> </v>
      </c>
      <c r="F218" s="30"/>
      <c r="G218" s="6" t="str">
        <f aca="false">IF(F218&lt;&gt;0,F218*G$2/(100+G$2)," ")</f>
        <v> </v>
      </c>
      <c r="H218" s="6" t="str">
        <f aca="false">IF((F218&lt;&gt;0),F218-G218," ")</f>
        <v> </v>
      </c>
      <c r="I218" s="5"/>
      <c r="L218" s="7" t="str">
        <f aca="false">IF(F218&lt;&gt;0,F218-K218," ")</f>
        <v> </v>
      </c>
      <c r="M218" s="8" t="str">
        <f aca="false">IF((F218-K218)&lt;&gt;0,M$1-A218," ")</f>
        <v> </v>
      </c>
      <c r="N218" s="5"/>
      <c r="O218" s="17" t="str">
        <f aca="false">IF((E218="s"),H218," ")</f>
        <v> </v>
      </c>
      <c r="P218" s="17" t="str">
        <f aca="false">IF((E218="c"),H218," ")</f>
        <v> </v>
      </c>
      <c r="Q218" s="17" t="str">
        <f aca="false">IF((E218="o"),H218," ")</f>
        <v> </v>
      </c>
      <c r="R218" s="17" t="str">
        <f aca="false">IF((E218="d"),H218," ")</f>
        <v> </v>
      </c>
      <c r="S218" s="17" t="str">
        <f aca="false">IF((E218="w"),H218," ")</f>
        <v> </v>
      </c>
      <c r="T218" s="17" t="str">
        <f aca="false">IF((E218="r"),H218," ")</f>
        <v> </v>
      </c>
      <c r="U218" s="17" t="str">
        <f aca="false">IF((E218="p"),H218," ")</f>
        <v> </v>
      </c>
      <c r="V218" s="17" t="str">
        <f aca="false">IF((E218="t"),H218," ")</f>
        <v> </v>
      </c>
      <c r="W218" s="17" t="str">
        <f aca="false">IF((E218="q"),H218," ")</f>
        <v> </v>
      </c>
      <c r="X218" s="17" t="str">
        <f aca="false">IF((E218="m"),H218," ")</f>
        <v> </v>
      </c>
      <c r="Y218" s="17" t="str">
        <f aca="false">IF((E218="u"),H218," ")</f>
        <v> </v>
      </c>
      <c r="Z218" s="17" t="str">
        <f aca="false">IF((E218="a"),H218," ")</f>
        <v> </v>
      </c>
      <c r="AA218" s="17" t="str">
        <f aca="false">IF((E218="g"),H218," ")</f>
        <v> </v>
      </c>
      <c r="AB218" s="17" t="str">
        <f aca="false">IF((E218="h"),H218," ")</f>
        <v> </v>
      </c>
      <c r="AC218" s="30" t="str">
        <f aca="false">IF((E218="v"),H218," ")</f>
        <v> </v>
      </c>
      <c r="AD218" s="30" t="str">
        <f aca="false">IF((E218="n"),H218," ")</f>
        <v> </v>
      </c>
      <c r="AE218" s="17" t="str">
        <f aca="false">IF((E218="f"),H218," ")</f>
        <v> </v>
      </c>
      <c r="AF218" s="17" t="str">
        <f aca="false">IF((E218="l"),H218," ")</f>
        <v> </v>
      </c>
      <c r="AG218" s="17" t="str">
        <f aca="false">IF((E218="y"),H218," ")</f>
        <v> </v>
      </c>
      <c r="AH218" s="17" t="str">
        <f aca="false">IF((E218="z"),H218," ")</f>
        <v> </v>
      </c>
      <c r="AI218" s="17" t="str">
        <f aca="false">IF((E218="fa"),H218," ")</f>
        <v> </v>
      </c>
      <c r="AJ218" s="17" t="str">
        <f aca="false">IF((E218="e"),H218," ")</f>
        <v> </v>
      </c>
    </row>
    <row r="219" customFormat="false" ht="12" hidden="false" customHeight="false" outlineLevel="0" collapsed="false">
      <c r="A219" s="28"/>
      <c r="E219" s="2" t="str">
        <f aca="false">IF((F219&lt;&gt;0),"Enter Letter"," ")</f>
        <v> </v>
      </c>
      <c r="F219" s="30"/>
      <c r="G219" s="6" t="str">
        <f aca="false">IF(F219&lt;&gt;0,F219*G$2/(100+G$2)," ")</f>
        <v> </v>
      </c>
      <c r="H219" s="6" t="str">
        <f aca="false">IF((F219&lt;&gt;0),F219-G219," ")</f>
        <v> </v>
      </c>
      <c r="I219" s="5"/>
      <c r="L219" s="7" t="str">
        <f aca="false">IF(F219&lt;&gt;0,F219-K219," ")</f>
        <v> </v>
      </c>
      <c r="M219" s="8" t="str">
        <f aca="false">IF((F219-K219)&lt;&gt;0,M$1-A219," ")</f>
        <v> </v>
      </c>
      <c r="N219" s="5"/>
      <c r="O219" s="17" t="str">
        <f aca="false">IF((E219="s"),H219," ")</f>
        <v> </v>
      </c>
      <c r="P219" s="17" t="str">
        <f aca="false">IF((E219="c"),H219," ")</f>
        <v> </v>
      </c>
      <c r="Q219" s="17" t="str">
        <f aca="false">IF((E219="o"),H219," ")</f>
        <v> </v>
      </c>
      <c r="R219" s="17" t="str">
        <f aca="false">IF((E219="d"),H219," ")</f>
        <v> </v>
      </c>
      <c r="S219" s="17" t="str">
        <f aca="false">IF((E219="w"),H219," ")</f>
        <v> </v>
      </c>
      <c r="T219" s="17" t="str">
        <f aca="false">IF((E219="r"),H219," ")</f>
        <v> </v>
      </c>
      <c r="U219" s="17" t="str">
        <f aca="false">IF((E219="p"),H219," ")</f>
        <v> </v>
      </c>
      <c r="V219" s="17" t="str">
        <f aca="false">IF((E219="t"),H219," ")</f>
        <v> </v>
      </c>
      <c r="W219" s="17" t="str">
        <f aca="false">IF((E219="q"),H219," ")</f>
        <v> </v>
      </c>
      <c r="X219" s="17" t="str">
        <f aca="false">IF((E219="m"),H219," ")</f>
        <v> </v>
      </c>
      <c r="Y219" s="17" t="str">
        <f aca="false">IF((E219="u"),H219," ")</f>
        <v> </v>
      </c>
      <c r="Z219" s="17" t="str">
        <f aca="false">IF((E219="a"),H219," ")</f>
        <v> </v>
      </c>
      <c r="AA219" s="17" t="str">
        <f aca="false">IF((E219="g"),H219," ")</f>
        <v> </v>
      </c>
      <c r="AB219" s="17" t="str">
        <f aca="false">IF((E219="h"),H219," ")</f>
        <v> </v>
      </c>
      <c r="AC219" s="30" t="str">
        <f aca="false">IF((E219="v"),H219," ")</f>
        <v> </v>
      </c>
      <c r="AD219" s="30" t="str">
        <f aca="false">IF((E219="n"),H219," ")</f>
        <v> </v>
      </c>
      <c r="AE219" s="17" t="str">
        <f aca="false">IF((E219="f"),H219," ")</f>
        <v> </v>
      </c>
      <c r="AF219" s="17" t="str">
        <f aca="false">IF((E219="l"),H219," ")</f>
        <v> </v>
      </c>
      <c r="AG219" s="17" t="str">
        <f aca="false">IF((E219="y"),H219," ")</f>
        <v> </v>
      </c>
      <c r="AH219" s="17" t="str">
        <f aca="false">IF((E219="z"),H219," ")</f>
        <v> </v>
      </c>
      <c r="AI219" s="17" t="str">
        <f aca="false">IF((E219="fa"),H219," ")</f>
        <v> </v>
      </c>
      <c r="AJ219" s="17" t="str">
        <f aca="false">IF((E219="e"),H219," ")</f>
        <v> </v>
      </c>
    </row>
    <row r="220" customFormat="false" ht="12" hidden="false" customHeight="false" outlineLevel="0" collapsed="false">
      <c r="A220" s="28"/>
      <c r="E220" s="2" t="str">
        <f aca="false">IF((F220&lt;&gt;0),"Enter Letter"," ")</f>
        <v> </v>
      </c>
      <c r="F220" s="30"/>
      <c r="G220" s="6" t="str">
        <f aca="false">IF(F220&lt;&gt;0,F220*G$2/(100+G$2)," ")</f>
        <v> </v>
      </c>
      <c r="H220" s="6" t="str">
        <f aca="false">IF((F220&lt;&gt;0),F220-G220," ")</f>
        <v> </v>
      </c>
      <c r="I220" s="5"/>
      <c r="L220" s="7" t="str">
        <f aca="false">IF(F220&lt;&gt;0,F220-K220," ")</f>
        <v> </v>
      </c>
      <c r="M220" s="8" t="str">
        <f aca="false">IF((F220-K220)&lt;&gt;0,M$1-A220," ")</f>
        <v> </v>
      </c>
      <c r="N220" s="5"/>
      <c r="O220" s="17" t="str">
        <f aca="false">IF((E220="s"),H220," ")</f>
        <v> </v>
      </c>
      <c r="P220" s="17" t="str">
        <f aca="false">IF((E220="c"),H220," ")</f>
        <v> </v>
      </c>
      <c r="Q220" s="17" t="str">
        <f aca="false">IF((E220="o"),H220," ")</f>
        <v> </v>
      </c>
      <c r="R220" s="17" t="str">
        <f aca="false">IF((E220="d"),H220," ")</f>
        <v> </v>
      </c>
      <c r="S220" s="17" t="str">
        <f aca="false">IF((E220="w"),H220," ")</f>
        <v> </v>
      </c>
      <c r="T220" s="17" t="str">
        <f aca="false">IF((E220="r"),H220," ")</f>
        <v> </v>
      </c>
      <c r="U220" s="17" t="str">
        <f aca="false">IF((E220="p"),H220," ")</f>
        <v> </v>
      </c>
      <c r="V220" s="17" t="str">
        <f aca="false">IF((E220="t"),H220," ")</f>
        <v> </v>
      </c>
      <c r="W220" s="17" t="str">
        <f aca="false">IF((E220="q"),H220," ")</f>
        <v> </v>
      </c>
      <c r="X220" s="17" t="str">
        <f aca="false">IF((E220="m"),H220," ")</f>
        <v> </v>
      </c>
      <c r="Y220" s="17" t="str">
        <f aca="false">IF((E220="u"),H220," ")</f>
        <v> </v>
      </c>
      <c r="Z220" s="17" t="str">
        <f aca="false">IF((E220="a"),H220," ")</f>
        <v> </v>
      </c>
      <c r="AA220" s="17" t="str">
        <f aca="false">IF((E220="g"),H220," ")</f>
        <v> </v>
      </c>
      <c r="AB220" s="17" t="str">
        <f aca="false">IF((E220="h"),H220," ")</f>
        <v> </v>
      </c>
      <c r="AC220" s="30" t="str">
        <f aca="false">IF((E220="v"),H220," ")</f>
        <v> </v>
      </c>
      <c r="AD220" s="30" t="str">
        <f aca="false">IF((E220="n"),H220," ")</f>
        <v> </v>
      </c>
      <c r="AE220" s="17" t="str">
        <f aca="false">IF((E220="f"),H220," ")</f>
        <v> </v>
      </c>
      <c r="AF220" s="17" t="str">
        <f aca="false">IF((E220="l"),H220," ")</f>
        <v> </v>
      </c>
      <c r="AG220" s="17" t="str">
        <f aca="false">IF((E220="y"),H220," ")</f>
        <v> </v>
      </c>
      <c r="AH220" s="17" t="str">
        <f aca="false">IF((E220="z"),H220," ")</f>
        <v> </v>
      </c>
      <c r="AI220" s="17" t="str">
        <f aca="false">IF((E220="fa"),H220," ")</f>
        <v> </v>
      </c>
      <c r="AJ220" s="17" t="str">
        <f aca="false">IF((E220="e"),H220," ")</f>
        <v> </v>
      </c>
    </row>
    <row r="221" customFormat="false" ht="12" hidden="false" customHeight="false" outlineLevel="0" collapsed="false">
      <c r="A221" s="28"/>
      <c r="E221" s="2" t="str">
        <f aca="false">IF((F221&lt;&gt;0),"Enter Letter"," ")</f>
        <v> </v>
      </c>
      <c r="F221" s="30"/>
      <c r="G221" s="6" t="str">
        <f aca="false">IF(F221&lt;&gt;0,F221*G$2/(100+G$2)," ")</f>
        <v> </v>
      </c>
      <c r="H221" s="6" t="str">
        <f aca="false">IF((F221&lt;&gt;0),F221-G221," ")</f>
        <v> </v>
      </c>
      <c r="I221" s="5"/>
      <c r="L221" s="7" t="str">
        <f aca="false">IF(F221&lt;&gt;0,F221-K221," ")</f>
        <v> </v>
      </c>
      <c r="M221" s="8" t="str">
        <f aca="false">IF((F221-K221)&lt;&gt;0,M$1-A221," ")</f>
        <v> </v>
      </c>
      <c r="N221" s="5"/>
      <c r="O221" s="17" t="str">
        <f aca="false">IF((E221="s"),H221," ")</f>
        <v> </v>
      </c>
      <c r="P221" s="17" t="str">
        <f aca="false">IF((E221="c"),H221," ")</f>
        <v> </v>
      </c>
      <c r="Q221" s="17" t="str">
        <f aca="false">IF((E221="o"),H221," ")</f>
        <v> </v>
      </c>
      <c r="R221" s="17" t="str">
        <f aca="false">IF((E221="d"),H221," ")</f>
        <v> </v>
      </c>
      <c r="S221" s="17" t="str">
        <f aca="false">IF((E221="w"),H221," ")</f>
        <v> </v>
      </c>
      <c r="T221" s="17" t="str">
        <f aca="false">IF((E221="r"),H221," ")</f>
        <v> </v>
      </c>
      <c r="U221" s="17" t="str">
        <f aca="false">IF((E221="p"),H221," ")</f>
        <v> </v>
      </c>
      <c r="V221" s="17" t="str">
        <f aca="false">IF((E221="t"),H221," ")</f>
        <v> </v>
      </c>
      <c r="W221" s="17" t="str">
        <f aca="false">IF((E221="q"),H221," ")</f>
        <v> </v>
      </c>
      <c r="X221" s="17" t="str">
        <f aca="false">IF((E221="m"),H221," ")</f>
        <v> </v>
      </c>
      <c r="Y221" s="17" t="str">
        <f aca="false">IF((E221="u"),H221," ")</f>
        <v> </v>
      </c>
      <c r="Z221" s="17" t="str">
        <f aca="false">IF((E221="a"),H221," ")</f>
        <v> </v>
      </c>
      <c r="AA221" s="17" t="str">
        <f aca="false">IF((E221="g"),H221," ")</f>
        <v> </v>
      </c>
      <c r="AB221" s="17" t="str">
        <f aca="false">IF((E221="h"),H221," ")</f>
        <v> </v>
      </c>
      <c r="AC221" s="30" t="str">
        <f aca="false">IF((E221="v"),H221," ")</f>
        <v> </v>
      </c>
      <c r="AD221" s="30" t="str">
        <f aca="false">IF((E221="n"),H221," ")</f>
        <v> </v>
      </c>
      <c r="AE221" s="17" t="str">
        <f aca="false">IF((E221="f"),H221," ")</f>
        <v> </v>
      </c>
      <c r="AF221" s="17" t="str">
        <f aca="false">IF((E221="l"),H221," ")</f>
        <v> </v>
      </c>
      <c r="AG221" s="17" t="str">
        <f aca="false">IF((E221="y"),H221," ")</f>
        <v> </v>
      </c>
      <c r="AH221" s="17" t="str">
        <f aca="false">IF((E221="z"),H221," ")</f>
        <v> </v>
      </c>
      <c r="AI221" s="17" t="str">
        <f aca="false">IF((E221="fa"),H221," ")</f>
        <v> </v>
      </c>
      <c r="AJ221" s="17" t="str">
        <f aca="false">IF((E221="e"),H221," ")</f>
        <v> </v>
      </c>
    </row>
    <row r="222" customFormat="false" ht="12" hidden="false" customHeight="false" outlineLevel="0" collapsed="false">
      <c r="A222" s="28"/>
      <c r="E222" s="2" t="str">
        <f aca="false">IF((F222&lt;&gt;0),"Enter Letter"," ")</f>
        <v> </v>
      </c>
      <c r="F222" s="30"/>
      <c r="G222" s="6" t="str">
        <f aca="false">IF(F222&lt;&gt;0,F222*G$2/(100+G$2)," ")</f>
        <v> </v>
      </c>
      <c r="H222" s="6" t="str">
        <f aca="false">IF((F222&lt;&gt;0),F222-G222," ")</f>
        <v> </v>
      </c>
      <c r="I222" s="5"/>
      <c r="L222" s="7" t="str">
        <f aca="false">IF(F222&lt;&gt;0,F222-K222," ")</f>
        <v> </v>
      </c>
      <c r="M222" s="8" t="str">
        <f aca="false">IF((F222-K222)&lt;&gt;0,M$1-A222," ")</f>
        <v> </v>
      </c>
      <c r="N222" s="5"/>
      <c r="O222" s="17" t="str">
        <f aca="false">IF((E222="s"),H222," ")</f>
        <v> </v>
      </c>
      <c r="P222" s="17" t="str">
        <f aca="false">IF((E222="c"),H222," ")</f>
        <v> </v>
      </c>
      <c r="Q222" s="17" t="str">
        <f aca="false">IF((E222="o"),H222," ")</f>
        <v> </v>
      </c>
      <c r="R222" s="17" t="str">
        <f aca="false">IF((E222="d"),H222," ")</f>
        <v> </v>
      </c>
      <c r="S222" s="17" t="str">
        <f aca="false">IF((E222="w"),H222," ")</f>
        <v> </v>
      </c>
      <c r="T222" s="17" t="str">
        <f aca="false">IF((E222="r"),H222," ")</f>
        <v> </v>
      </c>
      <c r="U222" s="17" t="str">
        <f aca="false">IF((E222="p"),H222," ")</f>
        <v> </v>
      </c>
      <c r="V222" s="17" t="str">
        <f aca="false">IF((E222="t"),H222," ")</f>
        <v> </v>
      </c>
      <c r="W222" s="17" t="str">
        <f aca="false">IF((E222="q"),H222," ")</f>
        <v> </v>
      </c>
      <c r="X222" s="17" t="str">
        <f aca="false">IF((E222="m"),H222," ")</f>
        <v> </v>
      </c>
      <c r="Y222" s="17" t="str">
        <f aca="false">IF((E222="u"),H222," ")</f>
        <v> </v>
      </c>
      <c r="Z222" s="17" t="str">
        <f aca="false">IF((E222="a"),H222," ")</f>
        <v> </v>
      </c>
      <c r="AA222" s="17" t="str">
        <f aca="false">IF((E222="g"),H222," ")</f>
        <v> </v>
      </c>
      <c r="AB222" s="17" t="str">
        <f aca="false">IF((E222="h"),H222," ")</f>
        <v> </v>
      </c>
      <c r="AC222" s="30" t="str">
        <f aca="false">IF((E222="v"),H222," ")</f>
        <v> </v>
      </c>
      <c r="AD222" s="30" t="str">
        <f aca="false">IF((E222="n"),H222," ")</f>
        <v> </v>
      </c>
      <c r="AE222" s="17" t="str">
        <f aca="false">IF((E222="f"),H222," ")</f>
        <v> </v>
      </c>
      <c r="AF222" s="17" t="str">
        <f aca="false">IF((E222="l"),H222," ")</f>
        <v> </v>
      </c>
      <c r="AG222" s="17" t="str">
        <f aca="false">IF((E222="y"),H222," ")</f>
        <v> </v>
      </c>
      <c r="AH222" s="17" t="str">
        <f aca="false">IF((E222="z"),H222," ")</f>
        <v> </v>
      </c>
      <c r="AI222" s="17" t="str">
        <f aca="false">IF((E222="fa"),H222," ")</f>
        <v> </v>
      </c>
      <c r="AJ222" s="17" t="str">
        <f aca="false">IF((E222="e"),H222," ")</f>
        <v> </v>
      </c>
    </row>
    <row r="223" customFormat="false" ht="12" hidden="false" customHeight="false" outlineLevel="0" collapsed="false">
      <c r="A223" s="28"/>
      <c r="E223" s="2" t="str">
        <f aca="false">IF((F223&lt;&gt;0),"Enter Letter"," ")</f>
        <v> </v>
      </c>
      <c r="F223" s="30"/>
      <c r="G223" s="6" t="str">
        <f aca="false">IF(F223&lt;&gt;0,F223*G$2/(100+G$2)," ")</f>
        <v> </v>
      </c>
      <c r="H223" s="6" t="str">
        <f aca="false">IF((F223&lt;&gt;0),F223-G223," ")</f>
        <v> </v>
      </c>
      <c r="I223" s="5"/>
      <c r="L223" s="7" t="str">
        <f aca="false">IF(F223&lt;&gt;0,F223-K223," ")</f>
        <v> </v>
      </c>
      <c r="M223" s="8" t="str">
        <f aca="false">IF((F223-K223)&lt;&gt;0,M$1-A223," ")</f>
        <v> </v>
      </c>
      <c r="N223" s="5"/>
      <c r="O223" s="17" t="str">
        <f aca="false">IF((E223="s"),H223," ")</f>
        <v> </v>
      </c>
      <c r="P223" s="17" t="str">
        <f aca="false">IF((E223="c"),H223," ")</f>
        <v> </v>
      </c>
      <c r="Q223" s="17" t="str">
        <f aca="false">IF((E223="o"),H223," ")</f>
        <v> </v>
      </c>
      <c r="R223" s="17" t="str">
        <f aca="false">IF((E223="d"),H223," ")</f>
        <v> </v>
      </c>
      <c r="S223" s="17" t="str">
        <f aca="false">IF((E223="w"),H223," ")</f>
        <v> </v>
      </c>
      <c r="T223" s="17" t="str">
        <f aca="false">IF((E223="r"),H223," ")</f>
        <v> </v>
      </c>
      <c r="U223" s="17" t="str">
        <f aca="false">IF((E223="p"),H223," ")</f>
        <v> </v>
      </c>
      <c r="V223" s="17" t="str">
        <f aca="false">IF((E223="t"),H223," ")</f>
        <v> </v>
      </c>
      <c r="W223" s="17" t="str">
        <f aca="false">IF((E223="q"),H223," ")</f>
        <v> </v>
      </c>
      <c r="X223" s="17" t="str">
        <f aca="false">IF((E223="m"),H223," ")</f>
        <v> </v>
      </c>
      <c r="Y223" s="17" t="str">
        <f aca="false">IF((E223="u"),H223," ")</f>
        <v> </v>
      </c>
      <c r="Z223" s="17" t="str">
        <f aca="false">IF((E223="a"),H223," ")</f>
        <v> </v>
      </c>
      <c r="AA223" s="17" t="str">
        <f aca="false">IF((E223="g"),H223," ")</f>
        <v> </v>
      </c>
      <c r="AB223" s="17" t="str">
        <f aca="false">IF((E223="h"),H223," ")</f>
        <v> </v>
      </c>
      <c r="AC223" s="30" t="str">
        <f aca="false">IF((E223="v"),H223," ")</f>
        <v> </v>
      </c>
      <c r="AD223" s="30" t="str">
        <f aca="false">IF((E223="n"),H223," ")</f>
        <v> </v>
      </c>
      <c r="AE223" s="17" t="str">
        <f aca="false">IF((E223="f"),H223," ")</f>
        <v> </v>
      </c>
      <c r="AF223" s="17" t="str">
        <f aca="false">IF((E223="l"),H223," ")</f>
        <v> </v>
      </c>
      <c r="AG223" s="17" t="str">
        <f aca="false">IF((E223="y"),H223," ")</f>
        <v> </v>
      </c>
      <c r="AH223" s="17" t="str">
        <f aca="false">IF((E223="z"),H223," ")</f>
        <v> </v>
      </c>
      <c r="AI223" s="17" t="str">
        <f aca="false">IF((E223="fa"),H223," ")</f>
        <v> </v>
      </c>
      <c r="AJ223" s="17" t="str">
        <f aca="false">IF((E223="e"),H223," ")</f>
        <v> </v>
      </c>
    </row>
    <row r="224" customFormat="false" ht="12" hidden="false" customHeight="false" outlineLevel="0" collapsed="false">
      <c r="A224" s="28"/>
      <c r="E224" s="2" t="str">
        <f aca="false">IF((F224&lt;&gt;0),"Enter Letter"," ")</f>
        <v> </v>
      </c>
      <c r="F224" s="30"/>
      <c r="G224" s="6" t="str">
        <f aca="false">IF(F224&lt;&gt;0,F224*G$2/(100+G$2)," ")</f>
        <v> </v>
      </c>
      <c r="H224" s="6" t="str">
        <f aca="false">IF((F224&lt;&gt;0),F224-G224," ")</f>
        <v> </v>
      </c>
      <c r="I224" s="5"/>
      <c r="L224" s="7" t="str">
        <f aca="false">IF(F224&lt;&gt;0,F224-K224," ")</f>
        <v> </v>
      </c>
      <c r="M224" s="8" t="str">
        <f aca="false">IF((F224-K224)&lt;&gt;0,M$1-A224," ")</f>
        <v> </v>
      </c>
      <c r="N224" s="5"/>
      <c r="O224" s="17" t="str">
        <f aca="false">IF((E224="s"),H224," ")</f>
        <v> </v>
      </c>
      <c r="P224" s="17" t="str">
        <f aca="false">IF((E224="c"),H224," ")</f>
        <v> </v>
      </c>
      <c r="Q224" s="17" t="str">
        <f aca="false">IF((E224="o"),H224," ")</f>
        <v> </v>
      </c>
      <c r="R224" s="17" t="str">
        <f aca="false">IF((E224="d"),H224," ")</f>
        <v> </v>
      </c>
      <c r="S224" s="17" t="str">
        <f aca="false">IF((E224="w"),H224," ")</f>
        <v> </v>
      </c>
      <c r="T224" s="17" t="str">
        <f aca="false">IF((E224="r"),H224," ")</f>
        <v> </v>
      </c>
      <c r="U224" s="17" t="str">
        <f aca="false">IF((E224="p"),H224," ")</f>
        <v> </v>
      </c>
      <c r="V224" s="17" t="str">
        <f aca="false">IF((E224="t"),H224," ")</f>
        <v> </v>
      </c>
      <c r="W224" s="17" t="str">
        <f aca="false">IF((E224="q"),H224," ")</f>
        <v> </v>
      </c>
      <c r="X224" s="17" t="str">
        <f aca="false">IF((E224="m"),H224," ")</f>
        <v> </v>
      </c>
      <c r="Y224" s="17" t="str">
        <f aca="false">IF((E224="u"),H224," ")</f>
        <v> </v>
      </c>
      <c r="Z224" s="17" t="str">
        <f aca="false">IF((E224="a"),H224," ")</f>
        <v> </v>
      </c>
      <c r="AA224" s="17" t="str">
        <f aca="false">IF((E224="g"),H224," ")</f>
        <v> </v>
      </c>
      <c r="AB224" s="17" t="str">
        <f aca="false">IF((E224="h"),H224," ")</f>
        <v> </v>
      </c>
      <c r="AC224" s="30" t="str">
        <f aca="false">IF((E224="v"),H224," ")</f>
        <v> </v>
      </c>
      <c r="AD224" s="30" t="str">
        <f aca="false">IF((E224="n"),H224," ")</f>
        <v> </v>
      </c>
      <c r="AE224" s="17" t="str">
        <f aca="false">IF((E224="f"),H224," ")</f>
        <v> </v>
      </c>
      <c r="AF224" s="17" t="str">
        <f aca="false">IF((E224="l"),H224," ")</f>
        <v> </v>
      </c>
      <c r="AG224" s="17" t="str">
        <f aca="false">IF((E224="y"),H224," ")</f>
        <v> </v>
      </c>
      <c r="AH224" s="17" t="str">
        <f aca="false">IF((E224="z"),H224," ")</f>
        <v> </v>
      </c>
      <c r="AI224" s="17" t="str">
        <f aca="false">IF((E224="fa"),H224," ")</f>
        <v> </v>
      </c>
      <c r="AJ224" s="17" t="str">
        <f aca="false">IF((E224="e"),H224," ")</f>
        <v> </v>
      </c>
    </row>
    <row r="225" customFormat="false" ht="12" hidden="false" customHeight="false" outlineLevel="0" collapsed="false">
      <c r="A225" s="28"/>
      <c r="E225" s="2" t="str">
        <f aca="false">IF((F225&lt;&gt;0),"Enter Letter"," ")</f>
        <v> </v>
      </c>
      <c r="F225" s="30"/>
      <c r="G225" s="6" t="str">
        <f aca="false">IF(F225&lt;&gt;0,F225*G$2/(100+G$2)," ")</f>
        <v> </v>
      </c>
      <c r="H225" s="6" t="str">
        <f aca="false">IF((F225&lt;&gt;0),F225-G225," ")</f>
        <v> </v>
      </c>
      <c r="I225" s="5"/>
      <c r="L225" s="7" t="str">
        <f aca="false">IF(F225&lt;&gt;0,F225-K225," ")</f>
        <v> </v>
      </c>
      <c r="M225" s="8" t="str">
        <f aca="false">IF((F225-K225)&lt;&gt;0,M$1-A225," ")</f>
        <v> </v>
      </c>
      <c r="N225" s="5"/>
      <c r="O225" s="17" t="str">
        <f aca="false">IF((E225="s"),H225," ")</f>
        <v> </v>
      </c>
      <c r="P225" s="17" t="str">
        <f aca="false">IF((E225="c"),H225," ")</f>
        <v> </v>
      </c>
      <c r="Q225" s="17" t="str">
        <f aca="false">IF((E225="o"),H225," ")</f>
        <v> </v>
      </c>
      <c r="R225" s="17" t="str">
        <f aca="false">IF((E225="d"),H225," ")</f>
        <v> </v>
      </c>
      <c r="S225" s="17" t="str">
        <f aca="false">IF((E225="w"),H225," ")</f>
        <v> </v>
      </c>
      <c r="T225" s="17" t="str">
        <f aca="false">IF((E225="r"),H225," ")</f>
        <v> </v>
      </c>
      <c r="U225" s="17" t="str">
        <f aca="false">IF((E225="p"),H225," ")</f>
        <v> </v>
      </c>
      <c r="V225" s="17" t="str">
        <f aca="false">IF((E225="t"),H225," ")</f>
        <v> </v>
      </c>
      <c r="W225" s="17" t="str">
        <f aca="false">IF((E225="q"),H225," ")</f>
        <v> </v>
      </c>
      <c r="X225" s="17" t="str">
        <f aca="false">IF((E225="m"),H225," ")</f>
        <v> </v>
      </c>
      <c r="Y225" s="17" t="str">
        <f aca="false">IF((E225="u"),H225," ")</f>
        <v> </v>
      </c>
      <c r="Z225" s="17" t="str">
        <f aca="false">IF((E225="a"),H225," ")</f>
        <v> </v>
      </c>
      <c r="AA225" s="17" t="str">
        <f aca="false">IF((E225="g"),H225," ")</f>
        <v> </v>
      </c>
      <c r="AB225" s="17" t="str">
        <f aca="false">IF((E225="h"),H225," ")</f>
        <v> </v>
      </c>
      <c r="AC225" s="30" t="str">
        <f aca="false">IF((E225="v"),H225," ")</f>
        <v> </v>
      </c>
      <c r="AD225" s="30" t="str">
        <f aca="false">IF((E225="n"),H225," ")</f>
        <v> </v>
      </c>
      <c r="AE225" s="17" t="str">
        <f aca="false">IF((E225="f"),H225," ")</f>
        <v> </v>
      </c>
      <c r="AF225" s="17" t="str">
        <f aca="false">IF((E225="l"),H225," ")</f>
        <v> </v>
      </c>
      <c r="AG225" s="17" t="str">
        <f aca="false">IF((E225="y"),H225," ")</f>
        <v> </v>
      </c>
      <c r="AH225" s="17" t="str">
        <f aca="false">IF((E225="z"),H225," ")</f>
        <v> </v>
      </c>
      <c r="AI225" s="17" t="str">
        <f aca="false">IF((E225="fa"),H225," ")</f>
        <v> </v>
      </c>
      <c r="AJ225" s="17" t="str">
        <f aca="false">IF((E225="e"),H225," ")</f>
        <v> </v>
      </c>
    </row>
    <row r="226" customFormat="false" ht="12" hidden="false" customHeight="false" outlineLevel="0" collapsed="false">
      <c r="A226" s="28"/>
      <c r="E226" s="2" t="str">
        <f aca="false">IF((F226&lt;&gt;0),"Enter Letter"," ")</f>
        <v> </v>
      </c>
      <c r="F226" s="30"/>
      <c r="G226" s="6" t="str">
        <f aca="false">IF(F226&lt;&gt;0,F226*G$2/(100+G$2)," ")</f>
        <v> </v>
      </c>
      <c r="H226" s="6" t="str">
        <f aca="false">IF((F226&lt;&gt;0),F226-G226," ")</f>
        <v> </v>
      </c>
      <c r="I226" s="5"/>
      <c r="L226" s="7" t="str">
        <f aca="false">IF(F226&lt;&gt;0,F226-K226," ")</f>
        <v> </v>
      </c>
      <c r="M226" s="8" t="str">
        <f aca="false">IF((F226-K226)&lt;&gt;0,M$1-A226," ")</f>
        <v> </v>
      </c>
      <c r="N226" s="5"/>
      <c r="O226" s="17" t="str">
        <f aca="false">IF((E226="s"),H226," ")</f>
        <v> </v>
      </c>
      <c r="P226" s="17" t="str">
        <f aca="false">IF((E226="c"),H226," ")</f>
        <v> </v>
      </c>
      <c r="Q226" s="17" t="str">
        <f aca="false">IF((E226="o"),H226," ")</f>
        <v> </v>
      </c>
      <c r="R226" s="17" t="str">
        <f aca="false">IF((E226="d"),H226," ")</f>
        <v> </v>
      </c>
      <c r="S226" s="17" t="str">
        <f aca="false">IF((E226="w"),H226," ")</f>
        <v> </v>
      </c>
      <c r="T226" s="17" t="str">
        <f aca="false">IF((E226="r"),H226," ")</f>
        <v> </v>
      </c>
      <c r="U226" s="17" t="str">
        <f aca="false">IF((E226="p"),H226," ")</f>
        <v> </v>
      </c>
      <c r="V226" s="17" t="str">
        <f aca="false">IF((E226="t"),H226," ")</f>
        <v> </v>
      </c>
      <c r="W226" s="17" t="str">
        <f aca="false">IF((E226="q"),H226," ")</f>
        <v> </v>
      </c>
      <c r="X226" s="17" t="str">
        <f aca="false">IF((E226="m"),H226," ")</f>
        <v> </v>
      </c>
      <c r="Y226" s="17" t="str">
        <f aca="false">IF((E226="u"),H226," ")</f>
        <v> </v>
      </c>
      <c r="Z226" s="17" t="str">
        <f aca="false">IF((E226="a"),H226," ")</f>
        <v> </v>
      </c>
      <c r="AA226" s="17" t="str">
        <f aca="false">IF((E226="g"),H226," ")</f>
        <v> </v>
      </c>
      <c r="AB226" s="17" t="str">
        <f aca="false">IF((E226="h"),H226," ")</f>
        <v> </v>
      </c>
      <c r="AC226" s="30" t="str">
        <f aca="false">IF((E226="v"),H226," ")</f>
        <v> </v>
      </c>
      <c r="AD226" s="30" t="str">
        <f aca="false">IF((E226="n"),H226," ")</f>
        <v> </v>
      </c>
      <c r="AE226" s="17" t="str">
        <f aca="false">IF((E226="f"),H226," ")</f>
        <v> </v>
      </c>
      <c r="AF226" s="17" t="str">
        <f aca="false">IF((E226="l"),H226," ")</f>
        <v> </v>
      </c>
      <c r="AG226" s="17" t="str">
        <f aca="false">IF((E226="y"),H226," ")</f>
        <v> </v>
      </c>
      <c r="AH226" s="17" t="str">
        <f aca="false">IF((E226="z"),H226," ")</f>
        <v> </v>
      </c>
      <c r="AI226" s="17" t="str">
        <f aca="false">IF((E226="fa"),H226," ")</f>
        <v> </v>
      </c>
      <c r="AJ226" s="17" t="str">
        <f aca="false">IF((E226="e"),H226," ")</f>
        <v> </v>
      </c>
    </row>
    <row r="227" customFormat="false" ht="12" hidden="false" customHeight="false" outlineLevel="0" collapsed="false">
      <c r="A227" s="28"/>
      <c r="E227" s="2" t="str">
        <f aca="false">IF((F227&lt;&gt;0),"Enter Letter"," ")</f>
        <v> </v>
      </c>
      <c r="F227" s="30"/>
      <c r="G227" s="6" t="str">
        <f aca="false">IF(F227&lt;&gt;0,F227*G$2/(100+G$2)," ")</f>
        <v> </v>
      </c>
      <c r="H227" s="6" t="str">
        <f aca="false">IF((F227&lt;&gt;0),F227-G227," ")</f>
        <v> </v>
      </c>
      <c r="I227" s="5"/>
      <c r="L227" s="7" t="str">
        <f aca="false">IF(F227&lt;&gt;0,F227-K227," ")</f>
        <v> </v>
      </c>
      <c r="M227" s="8" t="str">
        <f aca="false">IF((F227-K227)&lt;&gt;0,M$1-A227," ")</f>
        <v> </v>
      </c>
      <c r="N227" s="5"/>
      <c r="O227" s="17" t="str">
        <f aca="false">IF((E227="s"),H227," ")</f>
        <v> </v>
      </c>
      <c r="P227" s="17" t="str">
        <f aca="false">IF((E227="c"),H227," ")</f>
        <v> </v>
      </c>
      <c r="Q227" s="17" t="str">
        <f aca="false">IF((E227="o"),H227," ")</f>
        <v> </v>
      </c>
      <c r="R227" s="17" t="str">
        <f aca="false">IF((E227="d"),H227," ")</f>
        <v> </v>
      </c>
      <c r="S227" s="17" t="str">
        <f aca="false">IF((E227="w"),H227," ")</f>
        <v> </v>
      </c>
      <c r="T227" s="17" t="str">
        <f aca="false">IF((E227="r"),H227," ")</f>
        <v> </v>
      </c>
      <c r="U227" s="17" t="str">
        <f aca="false">IF((E227="p"),H227," ")</f>
        <v> </v>
      </c>
      <c r="V227" s="17" t="str">
        <f aca="false">IF((E227="t"),H227," ")</f>
        <v> </v>
      </c>
      <c r="W227" s="17" t="str">
        <f aca="false">IF((E227="q"),H227," ")</f>
        <v> </v>
      </c>
      <c r="X227" s="17" t="str">
        <f aca="false">IF((E227="m"),H227," ")</f>
        <v> </v>
      </c>
      <c r="Y227" s="17" t="str">
        <f aca="false">IF((E227="u"),H227," ")</f>
        <v> </v>
      </c>
      <c r="Z227" s="17" t="str">
        <f aca="false">IF((E227="a"),H227," ")</f>
        <v> </v>
      </c>
      <c r="AA227" s="17" t="str">
        <f aca="false">IF((E227="g"),H227," ")</f>
        <v> </v>
      </c>
      <c r="AB227" s="17" t="str">
        <f aca="false">IF((E227="h"),H227," ")</f>
        <v> </v>
      </c>
      <c r="AC227" s="30" t="str">
        <f aca="false">IF((E227="v"),H227," ")</f>
        <v> </v>
      </c>
      <c r="AD227" s="30" t="str">
        <f aca="false">IF((E227="n"),H227," ")</f>
        <v> </v>
      </c>
      <c r="AE227" s="17" t="str">
        <f aca="false">IF((E227="f"),H227," ")</f>
        <v> </v>
      </c>
      <c r="AF227" s="17" t="str">
        <f aca="false">IF((E227="l"),H227," ")</f>
        <v> </v>
      </c>
      <c r="AG227" s="17" t="str">
        <f aca="false">IF((E227="y"),H227," ")</f>
        <v> </v>
      </c>
      <c r="AH227" s="17" t="str">
        <f aca="false">IF((E227="z"),H227," ")</f>
        <v> </v>
      </c>
      <c r="AI227" s="17" t="str">
        <f aca="false">IF((E227="fa"),H227," ")</f>
        <v> </v>
      </c>
      <c r="AJ227" s="17" t="str">
        <f aca="false">IF((E227="e"),H227," ")</f>
        <v> </v>
      </c>
    </row>
    <row r="228" customFormat="false" ht="12" hidden="false" customHeight="false" outlineLevel="0" collapsed="false">
      <c r="A228" s="28"/>
      <c r="E228" s="2" t="str">
        <f aca="false">IF((F228&lt;&gt;0),"Enter Letter"," ")</f>
        <v> </v>
      </c>
      <c r="F228" s="30"/>
      <c r="G228" s="6" t="str">
        <f aca="false">IF(F228&lt;&gt;0,F228*G$2/(100+G$2)," ")</f>
        <v> </v>
      </c>
      <c r="H228" s="6" t="str">
        <f aca="false">IF((F228&lt;&gt;0),F228-G228," ")</f>
        <v> </v>
      </c>
      <c r="I228" s="5"/>
      <c r="L228" s="7" t="str">
        <f aca="false">IF(F228&lt;&gt;0,F228-K228," ")</f>
        <v> </v>
      </c>
      <c r="M228" s="8" t="str">
        <f aca="false">IF((F228-K228)&lt;&gt;0,M$1-A228," ")</f>
        <v> </v>
      </c>
      <c r="N228" s="5"/>
      <c r="O228" s="17" t="str">
        <f aca="false">IF((E228="s"),H228," ")</f>
        <v> </v>
      </c>
      <c r="P228" s="17" t="str">
        <f aca="false">IF((E228="c"),H228," ")</f>
        <v> </v>
      </c>
      <c r="Q228" s="17" t="str">
        <f aca="false">IF((E228="o"),H228," ")</f>
        <v> </v>
      </c>
      <c r="R228" s="17" t="str">
        <f aca="false">IF((E228="d"),H228," ")</f>
        <v> </v>
      </c>
      <c r="S228" s="17" t="str">
        <f aca="false">IF((E228="w"),H228," ")</f>
        <v> </v>
      </c>
      <c r="T228" s="17" t="str">
        <f aca="false">IF((E228="r"),H228," ")</f>
        <v> </v>
      </c>
      <c r="U228" s="17" t="str">
        <f aca="false">IF((E228="p"),H228," ")</f>
        <v> </v>
      </c>
      <c r="V228" s="17" t="str">
        <f aca="false">IF((E228="t"),H228," ")</f>
        <v> </v>
      </c>
      <c r="W228" s="17" t="str">
        <f aca="false">IF((E228="q"),H228," ")</f>
        <v> </v>
      </c>
      <c r="X228" s="17" t="str">
        <f aca="false">IF((E228="m"),H228," ")</f>
        <v> </v>
      </c>
      <c r="Y228" s="17" t="str">
        <f aca="false">IF((E228="u"),H228," ")</f>
        <v> </v>
      </c>
      <c r="Z228" s="17" t="str">
        <f aca="false">IF((E228="a"),H228," ")</f>
        <v> </v>
      </c>
      <c r="AA228" s="17" t="str">
        <f aca="false">IF((E228="g"),H228," ")</f>
        <v> </v>
      </c>
      <c r="AB228" s="17" t="str">
        <f aca="false">IF((E228="h"),H228," ")</f>
        <v> </v>
      </c>
      <c r="AC228" s="30" t="str">
        <f aca="false">IF((E228="v"),H228," ")</f>
        <v> </v>
      </c>
      <c r="AD228" s="30" t="str">
        <f aca="false">IF((E228="n"),H228," ")</f>
        <v> </v>
      </c>
      <c r="AE228" s="17" t="str">
        <f aca="false">IF((E228="f"),H228," ")</f>
        <v> </v>
      </c>
      <c r="AF228" s="17" t="str">
        <f aca="false">IF((E228="l"),H228," ")</f>
        <v> </v>
      </c>
      <c r="AG228" s="17" t="str">
        <f aca="false">IF((E228="y"),H228," ")</f>
        <v> </v>
      </c>
      <c r="AH228" s="17" t="str">
        <f aca="false">IF((E228="z"),H228," ")</f>
        <v> </v>
      </c>
      <c r="AI228" s="17" t="str">
        <f aca="false">IF((E228="fa"),H228," ")</f>
        <v> </v>
      </c>
      <c r="AJ228" s="17" t="str">
        <f aca="false">IF((E228="e"),H228," ")</f>
        <v> </v>
      </c>
    </row>
    <row r="229" customFormat="false" ht="12" hidden="false" customHeight="false" outlineLevel="0" collapsed="false">
      <c r="A229" s="28"/>
      <c r="E229" s="2" t="str">
        <f aca="false">IF((F229&lt;&gt;0),"Enter Letter"," ")</f>
        <v> </v>
      </c>
      <c r="F229" s="30"/>
      <c r="G229" s="6" t="str">
        <f aca="false">IF(F229&lt;&gt;0,F229*G$2/(100+G$2)," ")</f>
        <v> </v>
      </c>
      <c r="H229" s="6" t="str">
        <f aca="false">IF((F229&lt;&gt;0),F229-G229," ")</f>
        <v> </v>
      </c>
      <c r="I229" s="5"/>
      <c r="L229" s="7" t="str">
        <f aca="false">IF(F229&lt;&gt;0,F229-K229," ")</f>
        <v> </v>
      </c>
      <c r="M229" s="8" t="str">
        <f aca="false">IF((F229-K229)&lt;&gt;0,M$1-A229," ")</f>
        <v> </v>
      </c>
      <c r="N229" s="5"/>
      <c r="O229" s="17" t="str">
        <f aca="false">IF((E229="s"),H229," ")</f>
        <v> </v>
      </c>
      <c r="P229" s="17" t="str">
        <f aca="false">IF((E229="c"),H229," ")</f>
        <v> </v>
      </c>
      <c r="Q229" s="17" t="str">
        <f aca="false">IF((E229="o"),H229," ")</f>
        <v> </v>
      </c>
      <c r="R229" s="17" t="str">
        <f aca="false">IF((E229="d"),H229," ")</f>
        <v> </v>
      </c>
      <c r="S229" s="17" t="str">
        <f aca="false">IF((E229="w"),H229," ")</f>
        <v> </v>
      </c>
      <c r="T229" s="17" t="str">
        <f aca="false">IF((E229="r"),H229," ")</f>
        <v> </v>
      </c>
      <c r="U229" s="17" t="str">
        <f aca="false">IF((E229="p"),H229," ")</f>
        <v> </v>
      </c>
      <c r="V229" s="17" t="str">
        <f aca="false">IF((E229="t"),H229," ")</f>
        <v> </v>
      </c>
      <c r="W229" s="17" t="str">
        <f aca="false">IF((E229="q"),H229," ")</f>
        <v> </v>
      </c>
      <c r="X229" s="17" t="str">
        <f aca="false">IF((E229="m"),H229," ")</f>
        <v> </v>
      </c>
      <c r="Y229" s="17" t="str">
        <f aca="false">IF((E229="u"),H229," ")</f>
        <v> </v>
      </c>
      <c r="Z229" s="17" t="str">
        <f aca="false">IF((E229="a"),H229," ")</f>
        <v> </v>
      </c>
      <c r="AA229" s="17" t="str">
        <f aca="false">IF((E229="g"),H229," ")</f>
        <v> </v>
      </c>
      <c r="AB229" s="17" t="str">
        <f aca="false">IF((E229="h"),H229," ")</f>
        <v> </v>
      </c>
      <c r="AC229" s="30" t="str">
        <f aca="false">IF((E229="v"),H229," ")</f>
        <v> </v>
      </c>
      <c r="AD229" s="30" t="str">
        <f aca="false">IF((E229="n"),H229," ")</f>
        <v> </v>
      </c>
      <c r="AE229" s="17" t="str">
        <f aca="false">IF((E229="f"),H229," ")</f>
        <v> </v>
      </c>
      <c r="AF229" s="17" t="str">
        <f aca="false">IF((E229="l"),H229," ")</f>
        <v> </v>
      </c>
      <c r="AG229" s="17" t="str">
        <f aca="false">IF((E229="y"),H229," ")</f>
        <v> </v>
      </c>
      <c r="AH229" s="17" t="str">
        <f aca="false">IF((E229="z"),H229," ")</f>
        <v> </v>
      </c>
      <c r="AI229" s="17" t="str">
        <f aca="false">IF((E229="fa"),H229," ")</f>
        <v> </v>
      </c>
      <c r="AJ229" s="17" t="str">
        <f aca="false">IF((E229="e"),H229," ")</f>
        <v> </v>
      </c>
    </row>
    <row r="230" customFormat="false" ht="12" hidden="false" customHeight="false" outlineLevel="0" collapsed="false">
      <c r="A230" s="28"/>
      <c r="E230" s="2" t="str">
        <f aca="false">IF((F230&lt;&gt;0),"Enter Letter"," ")</f>
        <v> </v>
      </c>
      <c r="F230" s="30"/>
      <c r="G230" s="6" t="str">
        <f aca="false">IF(F230&lt;&gt;0,F230*G$2/(100+G$2)," ")</f>
        <v> </v>
      </c>
      <c r="H230" s="6" t="str">
        <f aca="false">IF((F230&lt;&gt;0),F230-G230," ")</f>
        <v> </v>
      </c>
      <c r="I230" s="5"/>
      <c r="L230" s="7" t="str">
        <f aca="false">IF(F230&lt;&gt;0,F230-K230," ")</f>
        <v> </v>
      </c>
      <c r="M230" s="8" t="str">
        <f aca="false">IF((F230-K230)&lt;&gt;0,M$1-A230," ")</f>
        <v> </v>
      </c>
      <c r="N230" s="5"/>
      <c r="O230" s="17" t="str">
        <f aca="false">IF((E230="s"),H230," ")</f>
        <v> </v>
      </c>
      <c r="P230" s="17" t="str">
        <f aca="false">IF((E230="c"),H230," ")</f>
        <v> </v>
      </c>
      <c r="Q230" s="17" t="str">
        <f aca="false">IF((E230="o"),H230," ")</f>
        <v> </v>
      </c>
      <c r="R230" s="17" t="str">
        <f aca="false">IF((E230="d"),H230," ")</f>
        <v> </v>
      </c>
      <c r="S230" s="17" t="str">
        <f aca="false">IF((E230="w"),H230," ")</f>
        <v> </v>
      </c>
      <c r="T230" s="17" t="str">
        <f aca="false">IF((E230="r"),H230," ")</f>
        <v> </v>
      </c>
      <c r="U230" s="17" t="str">
        <f aca="false">IF((E230="p"),H230," ")</f>
        <v> </v>
      </c>
      <c r="V230" s="17" t="str">
        <f aca="false">IF((E230="t"),H230," ")</f>
        <v> </v>
      </c>
      <c r="W230" s="17" t="str">
        <f aca="false">IF((E230="q"),H230," ")</f>
        <v> </v>
      </c>
      <c r="X230" s="17" t="str">
        <f aca="false">IF((E230="m"),H230," ")</f>
        <v> </v>
      </c>
      <c r="Y230" s="17" t="str">
        <f aca="false">IF((E230="u"),H230," ")</f>
        <v> </v>
      </c>
      <c r="Z230" s="17" t="str">
        <f aca="false">IF((E230="a"),H230," ")</f>
        <v> </v>
      </c>
      <c r="AA230" s="17" t="str">
        <f aca="false">IF((E230="g"),H230," ")</f>
        <v> </v>
      </c>
      <c r="AB230" s="17" t="str">
        <f aca="false">IF((E230="h"),H230," ")</f>
        <v> </v>
      </c>
      <c r="AC230" s="30" t="str">
        <f aca="false">IF((E230="v"),H230," ")</f>
        <v> </v>
      </c>
      <c r="AD230" s="30" t="str">
        <f aca="false">IF((E230="n"),H230," ")</f>
        <v> </v>
      </c>
      <c r="AE230" s="17" t="str">
        <f aca="false">IF((E230="f"),H230," ")</f>
        <v> </v>
      </c>
      <c r="AF230" s="17" t="str">
        <f aca="false">IF((E230="l"),H230," ")</f>
        <v> </v>
      </c>
      <c r="AG230" s="17" t="str">
        <f aca="false">IF((E230="y"),H230," ")</f>
        <v> </v>
      </c>
      <c r="AH230" s="17" t="str">
        <f aca="false">IF((E230="z"),H230," ")</f>
        <v> </v>
      </c>
      <c r="AI230" s="17" t="str">
        <f aca="false">IF((E230="fa"),H230," ")</f>
        <v> </v>
      </c>
      <c r="AJ230" s="17" t="str">
        <f aca="false">IF((E230="e"),H230," ")</f>
        <v> </v>
      </c>
    </row>
    <row r="231" customFormat="false" ht="12" hidden="false" customHeight="false" outlineLevel="0" collapsed="false">
      <c r="A231" s="28"/>
      <c r="E231" s="2" t="str">
        <f aca="false">IF((F231&lt;&gt;0),"Enter Letter"," ")</f>
        <v> </v>
      </c>
      <c r="F231" s="30"/>
      <c r="G231" s="6" t="str">
        <f aca="false">IF(F231&lt;&gt;0,F231*G$2/(100+G$2)," ")</f>
        <v> </v>
      </c>
      <c r="H231" s="6" t="str">
        <f aca="false">IF((F231&lt;&gt;0),F231-G231," ")</f>
        <v> </v>
      </c>
      <c r="I231" s="5"/>
      <c r="L231" s="7" t="str">
        <f aca="false">IF(F231&lt;&gt;0,F231-K231," ")</f>
        <v> </v>
      </c>
      <c r="M231" s="8" t="str">
        <f aca="false">IF((F231-K231)&lt;&gt;0,M$1-A231," ")</f>
        <v> </v>
      </c>
      <c r="N231" s="5"/>
      <c r="O231" s="17" t="str">
        <f aca="false">IF((E231="s"),H231," ")</f>
        <v> </v>
      </c>
      <c r="P231" s="17" t="str">
        <f aca="false">IF((E231="c"),H231," ")</f>
        <v> </v>
      </c>
      <c r="Q231" s="17" t="str">
        <f aca="false">IF((E231="o"),H231," ")</f>
        <v> </v>
      </c>
      <c r="R231" s="17" t="str">
        <f aca="false">IF((E231="d"),H231," ")</f>
        <v> </v>
      </c>
      <c r="S231" s="17" t="str">
        <f aca="false">IF((E231="w"),H231," ")</f>
        <v> </v>
      </c>
      <c r="T231" s="17" t="str">
        <f aca="false">IF((E231="r"),H231," ")</f>
        <v> </v>
      </c>
      <c r="U231" s="17" t="str">
        <f aca="false">IF((E231="p"),H231," ")</f>
        <v> </v>
      </c>
      <c r="V231" s="17" t="str">
        <f aca="false">IF((E231="t"),H231," ")</f>
        <v> </v>
      </c>
      <c r="W231" s="17" t="str">
        <f aca="false">IF((E231="q"),H231," ")</f>
        <v> </v>
      </c>
      <c r="X231" s="17" t="str">
        <f aca="false">IF((E231="m"),H231," ")</f>
        <v> </v>
      </c>
      <c r="Y231" s="17" t="str">
        <f aca="false">IF((E231="u"),H231," ")</f>
        <v> </v>
      </c>
      <c r="Z231" s="17" t="str">
        <f aca="false">IF((E231="a"),H231," ")</f>
        <v> </v>
      </c>
      <c r="AA231" s="17" t="str">
        <f aca="false">IF((E231="g"),H231," ")</f>
        <v> </v>
      </c>
      <c r="AB231" s="17" t="str">
        <f aca="false">IF((E231="h"),H231," ")</f>
        <v> </v>
      </c>
      <c r="AC231" s="30" t="str">
        <f aca="false">IF((E231="v"),H231," ")</f>
        <v> </v>
      </c>
      <c r="AD231" s="30" t="str">
        <f aca="false">IF((E231="n"),H231," ")</f>
        <v> </v>
      </c>
      <c r="AE231" s="17" t="str">
        <f aca="false">IF((E231="f"),H231," ")</f>
        <v> </v>
      </c>
      <c r="AF231" s="17" t="str">
        <f aca="false">IF((E231="l"),H231," ")</f>
        <v> </v>
      </c>
      <c r="AG231" s="17" t="str">
        <f aca="false">IF((E231="y"),H231," ")</f>
        <v> </v>
      </c>
      <c r="AH231" s="17" t="str">
        <f aca="false">IF((E231="z"),H231," ")</f>
        <v> </v>
      </c>
      <c r="AI231" s="17" t="str">
        <f aca="false">IF((E231="fa"),H231," ")</f>
        <v> </v>
      </c>
      <c r="AJ231" s="17" t="str">
        <f aca="false">IF((E231="e"),H231," ")</f>
        <v> </v>
      </c>
    </row>
    <row r="232" customFormat="false" ht="12" hidden="false" customHeight="false" outlineLevel="0" collapsed="false">
      <c r="A232" s="28"/>
      <c r="E232" s="2" t="str">
        <f aca="false">IF((F232&lt;&gt;0),"Enter Letter"," ")</f>
        <v> </v>
      </c>
      <c r="F232" s="30"/>
      <c r="G232" s="6" t="str">
        <f aca="false">IF(F232&lt;&gt;0,F232*G$2/(100+G$2)," ")</f>
        <v> </v>
      </c>
      <c r="H232" s="6" t="str">
        <f aca="false">IF((F232&lt;&gt;0),F232-G232," ")</f>
        <v> </v>
      </c>
      <c r="I232" s="5"/>
      <c r="L232" s="7" t="str">
        <f aca="false">IF(F232&lt;&gt;0,F232-K232," ")</f>
        <v> </v>
      </c>
      <c r="M232" s="8" t="str">
        <f aca="false">IF((F232-K232)&lt;&gt;0,M$1-A232," ")</f>
        <v> </v>
      </c>
      <c r="N232" s="5"/>
      <c r="O232" s="17" t="str">
        <f aca="false">IF((E232="s"),H232," ")</f>
        <v> </v>
      </c>
      <c r="P232" s="17" t="str">
        <f aca="false">IF((E232="c"),H232," ")</f>
        <v> </v>
      </c>
      <c r="Q232" s="17" t="str">
        <f aca="false">IF((E232="o"),H232," ")</f>
        <v> </v>
      </c>
      <c r="R232" s="17" t="str">
        <f aca="false">IF((E232="d"),H232," ")</f>
        <v> </v>
      </c>
      <c r="S232" s="17" t="str">
        <f aca="false">IF((E232="w"),H232," ")</f>
        <v> </v>
      </c>
      <c r="T232" s="17" t="str">
        <f aca="false">IF((E232="r"),H232," ")</f>
        <v> </v>
      </c>
      <c r="U232" s="17" t="str">
        <f aca="false">IF((E232="p"),H232," ")</f>
        <v> </v>
      </c>
      <c r="V232" s="17" t="str">
        <f aca="false">IF((E232="t"),H232," ")</f>
        <v> </v>
      </c>
      <c r="W232" s="17" t="str">
        <f aca="false">IF((E232="q"),H232," ")</f>
        <v> </v>
      </c>
      <c r="X232" s="17" t="str">
        <f aca="false">IF((E232="m"),H232," ")</f>
        <v> </v>
      </c>
      <c r="Y232" s="17" t="str">
        <f aca="false">IF((E232="u"),H232," ")</f>
        <v> </v>
      </c>
      <c r="Z232" s="17" t="str">
        <f aca="false">IF((E232="a"),H232," ")</f>
        <v> </v>
      </c>
      <c r="AA232" s="17" t="str">
        <f aca="false">IF((E232="g"),H232," ")</f>
        <v> </v>
      </c>
      <c r="AB232" s="17" t="str">
        <f aca="false">IF((E232="h"),H232," ")</f>
        <v> </v>
      </c>
      <c r="AC232" s="30" t="str">
        <f aca="false">IF((E232="v"),H232," ")</f>
        <v> </v>
      </c>
      <c r="AD232" s="30" t="str">
        <f aca="false">IF((E232="n"),H232," ")</f>
        <v> </v>
      </c>
      <c r="AE232" s="17" t="str">
        <f aca="false">IF((E232="f"),H232," ")</f>
        <v> </v>
      </c>
      <c r="AF232" s="17" t="str">
        <f aca="false">IF((E232="l"),H232," ")</f>
        <v> </v>
      </c>
      <c r="AG232" s="17" t="str">
        <f aca="false">IF((E232="y"),H232," ")</f>
        <v> </v>
      </c>
      <c r="AH232" s="17" t="str">
        <f aca="false">IF((E232="z"),H232," ")</f>
        <v> </v>
      </c>
      <c r="AI232" s="17" t="str">
        <f aca="false">IF((E232="fa"),H232," ")</f>
        <v> </v>
      </c>
      <c r="AJ232" s="17" t="str">
        <f aca="false">IF((E232="e"),H232," ")</f>
        <v> </v>
      </c>
    </row>
    <row r="233" customFormat="false" ht="12" hidden="false" customHeight="false" outlineLevel="0" collapsed="false">
      <c r="A233" s="28"/>
      <c r="E233" s="2" t="str">
        <f aca="false">IF((F233&lt;&gt;0),"Enter Letter"," ")</f>
        <v> </v>
      </c>
      <c r="F233" s="30"/>
      <c r="G233" s="6" t="str">
        <f aca="false">IF(F233&lt;&gt;0,F233*G$2/(100+G$2)," ")</f>
        <v> </v>
      </c>
      <c r="H233" s="6" t="str">
        <f aca="false">IF((F233&lt;&gt;0),F233-G233," ")</f>
        <v> </v>
      </c>
      <c r="I233" s="5"/>
      <c r="L233" s="7" t="str">
        <f aca="false">IF(F233&lt;&gt;0,F233-K233," ")</f>
        <v> </v>
      </c>
      <c r="M233" s="8" t="str">
        <f aca="false">IF((F233-K233)&lt;&gt;0,M$1-A233," ")</f>
        <v> </v>
      </c>
      <c r="N233" s="5"/>
      <c r="O233" s="17" t="str">
        <f aca="false">IF((E233="s"),H233," ")</f>
        <v> </v>
      </c>
      <c r="P233" s="17" t="str">
        <f aca="false">IF((E233="c"),H233," ")</f>
        <v> </v>
      </c>
      <c r="Q233" s="17" t="str">
        <f aca="false">IF((E233="o"),H233," ")</f>
        <v> </v>
      </c>
      <c r="R233" s="17" t="str">
        <f aca="false">IF((E233="d"),H233," ")</f>
        <v> </v>
      </c>
      <c r="S233" s="17" t="str">
        <f aca="false">IF((E233="w"),H233," ")</f>
        <v> </v>
      </c>
      <c r="T233" s="17" t="str">
        <f aca="false">IF((E233="r"),H233," ")</f>
        <v> </v>
      </c>
      <c r="U233" s="17" t="str">
        <f aca="false">IF((E233="p"),H233," ")</f>
        <v> </v>
      </c>
      <c r="V233" s="17" t="str">
        <f aca="false">IF((E233="t"),H233," ")</f>
        <v> </v>
      </c>
      <c r="W233" s="17" t="str">
        <f aca="false">IF((E233="q"),H233," ")</f>
        <v> </v>
      </c>
      <c r="X233" s="17" t="str">
        <f aca="false">IF((E233="m"),H233," ")</f>
        <v> </v>
      </c>
      <c r="Y233" s="17" t="str">
        <f aca="false">IF((E233="u"),H233," ")</f>
        <v> </v>
      </c>
      <c r="Z233" s="17" t="str">
        <f aca="false">IF((E233="a"),H233," ")</f>
        <v> </v>
      </c>
      <c r="AA233" s="17" t="str">
        <f aca="false">IF((E233="g"),H233," ")</f>
        <v> </v>
      </c>
      <c r="AB233" s="17" t="str">
        <f aca="false">IF((E233="h"),H233," ")</f>
        <v> </v>
      </c>
      <c r="AC233" s="30" t="str">
        <f aca="false">IF((E233="v"),H233," ")</f>
        <v> </v>
      </c>
      <c r="AD233" s="30" t="str">
        <f aca="false">IF((E233="n"),H233," ")</f>
        <v> </v>
      </c>
      <c r="AE233" s="17" t="str">
        <f aca="false">IF((E233="f"),H233," ")</f>
        <v> </v>
      </c>
      <c r="AF233" s="17" t="str">
        <f aca="false">IF((E233="l"),H233," ")</f>
        <v> </v>
      </c>
      <c r="AG233" s="17" t="str">
        <f aca="false">IF((E233="y"),H233," ")</f>
        <v> </v>
      </c>
      <c r="AH233" s="17" t="str">
        <f aca="false">IF((E233="z"),H233," ")</f>
        <v> </v>
      </c>
      <c r="AI233" s="17" t="str">
        <f aca="false">IF((E233="fa"),H233," ")</f>
        <v> </v>
      </c>
      <c r="AJ233" s="17" t="str">
        <f aca="false">IF((E233="e"),H233," ")</f>
        <v> </v>
      </c>
    </row>
    <row r="234" customFormat="false" ht="12" hidden="false" customHeight="false" outlineLevel="0" collapsed="false">
      <c r="A234" s="28"/>
      <c r="E234" s="2" t="str">
        <f aca="false">IF((F234&lt;&gt;0),"Enter Letter"," ")</f>
        <v> </v>
      </c>
      <c r="F234" s="30"/>
      <c r="G234" s="6" t="str">
        <f aca="false">IF(F234&lt;&gt;0,F234*G$2/(100+G$2)," ")</f>
        <v> </v>
      </c>
      <c r="H234" s="6" t="str">
        <f aca="false">IF((F234&lt;&gt;0),F234-G234," ")</f>
        <v> </v>
      </c>
      <c r="I234" s="5"/>
      <c r="L234" s="7" t="str">
        <f aca="false">IF(F234&lt;&gt;0,F234-K234," ")</f>
        <v> </v>
      </c>
      <c r="M234" s="8" t="str">
        <f aca="false">IF((F234-K234)&lt;&gt;0,M$1-A234," ")</f>
        <v> </v>
      </c>
      <c r="N234" s="5"/>
      <c r="O234" s="17" t="str">
        <f aca="false">IF((E234="s"),H234," ")</f>
        <v> </v>
      </c>
      <c r="P234" s="17" t="str">
        <f aca="false">IF((E234="c"),H234," ")</f>
        <v> </v>
      </c>
      <c r="Q234" s="17" t="str">
        <f aca="false">IF((E234="o"),H234," ")</f>
        <v> </v>
      </c>
      <c r="R234" s="17" t="str">
        <f aca="false">IF((E234="d"),H234," ")</f>
        <v> </v>
      </c>
      <c r="S234" s="17" t="str">
        <f aca="false">IF((E234="w"),H234," ")</f>
        <v> </v>
      </c>
      <c r="T234" s="17" t="str">
        <f aca="false">IF((E234="r"),H234," ")</f>
        <v> </v>
      </c>
      <c r="U234" s="17" t="str">
        <f aca="false">IF((E234="p"),H234," ")</f>
        <v> </v>
      </c>
      <c r="V234" s="17" t="str">
        <f aca="false">IF((E234="t"),H234," ")</f>
        <v> </v>
      </c>
      <c r="W234" s="17" t="str">
        <f aca="false">IF((E234="q"),H234," ")</f>
        <v> </v>
      </c>
      <c r="X234" s="17" t="str">
        <f aca="false">IF((E234="m"),H234," ")</f>
        <v> </v>
      </c>
      <c r="Y234" s="17" t="str">
        <f aca="false">IF((E234="u"),H234," ")</f>
        <v> </v>
      </c>
      <c r="Z234" s="17" t="str">
        <f aca="false">IF((E234="a"),H234," ")</f>
        <v> </v>
      </c>
      <c r="AA234" s="17" t="str">
        <f aca="false">IF((E234="g"),H234," ")</f>
        <v> </v>
      </c>
      <c r="AB234" s="17" t="str">
        <f aca="false">IF((E234="h"),H234," ")</f>
        <v> </v>
      </c>
      <c r="AC234" s="30" t="str">
        <f aca="false">IF((E234="v"),H234," ")</f>
        <v> </v>
      </c>
      <c r="AD234" s="30" t="str">
        <f aca="false">IF((E234="n"),H234," ")</f>
        <v> </v>
      </c>
      <c r="AE234" s="17" t="str">
        <f aca="false">IF((E234="f"),H234," ")</f>
        <v> </v>
      </c>
      <c r="AF234" s="17" t="str">
        <f aca="false">IF((E234="l"),H234," ")</f>
        <v> </v>
      </c>
      <c r="AG234" s="17" t="str">
        <f aca="false">IF((E234="y"),H234," ")</f>
        <v> </v>
      </c>
      <c r="AH234" s="17" t="str">
        <f aca="false">IF((E234="z"),H234," ")</f>
        <v> </v>
      </c>
      <c r="AI234" s="17" t="str">
        <f aca="false">IF((E234="fa"),H234," ")</f>
        <v> </v>
      </c>
      <c r="AJ234" s="17" t="str">
        <f aca="false">IF((E234="e"),H234," ")</f>
        <v> </v>
      </c>
    </row>
    <row r="235" customFormat="false" ht="12" hidden="false" customHeight="false" outlineLevel="0" collapsed="false">
      <c r="A235" s="28"/>
      <c r="E235" s="2" t="str">
        <f aca="false">IF((F235&lt;&gt;0),"Enter Letter"," ")</f>
        <v> </v>
      </c>
      <c r="F235" s="30"/>
      <c r="G235" s="6" t="str">
        <f aca="false">IF(F235&lt;&gt;0,F235*G$2/(100+G$2)," ")</f>
        <v> </v>
      </c>
      <c r="H235" s="6" t="str">
        <f aca="false">IF((F235&lt;&gt;0),F235-G235," ")</f>
        <v> </v>
      </c>
      <c r="I235" s="5"/>
      <c r="L235" s="7" t="str">
        <f aca="false">IF(F235&lt;&gt;0,F235-K235," ")</f>
        <v> </v>
      </c>
      <c r="M235" s="8" t="str">
        <f aca="false">IF((F235-K235)&lt;&gt;0,M$1-A235," ")</f>
        <v> </v>
      </c>
      <c r="N235" s="5"/>
      <c r="O235" s="17" t="str">
        <f aca="false">IF((E235="s"),H235," ")</f>
        <v> </v>
      </c>
      <c r="P235" s="17" t="str">
        <f aca="false">IF((E235="c"),H235," ")</f>
        <v> </v>
      </c>
      <c r="Q235" s="17" t="str">
        <f aca="false">IF((E235="o"),H235," ")</f>
        <v> </v>
      </c>
      <c r="R235" s="17" t="str">
        <f aca="false">IF((E235="d"),H235," ")</f>
        <v> </v>
      </c>
      <c r="S235" s="17" t="str">
        <f aca="false">IF((E235="w"),H235," ")</f>
        <v> </v>
      </c>
      <c r="T235" s="17" t="str">
        <f aca="false">IF((E235="r"),H235," ")</f>
        <v> </v>
      </c>
      <c r="U235" s="17" t="str">
        <f aca="false">IF((E235="p"),H235," ")</f>
        <v> </v>
      </c>
      <c r="V235" s="17" t="str">
        <f aca="false">IF((E235="t"),H235," ")</f>
        <v> </v>
      </c>
      <c r="W235" s="17" t="str">
        <f aca="false">IF((E235="q"),H235," ")</f>
        <v> </v>
      </c>
      <c r="X235" s="17" t="str">
        <f aca="false">IF((E235="m"),H235," ")</f>
        <v> </v>
      </c>
      <c r="Y235" s="17" t="str">
        <f aca="false">IF((E235="u"),H235," ")</f>
        <v> </v>
      </c>
      <c r="Z235" s="17" t="str">
        <f aca="false">IF((E235="a"),H235," ")</f>
        <v> </v>
      </c>
      <c r="AA235" s="17" t="str">
        <f aca="false">IF((E235="g"),H235," ")</f>
        <v> </v>
      </c>
      <c r="AB235" s="17" t="str">
        <f aca="false">IF((E235="h"),H235," ")</f>
        <v> </v>
      </c>
      <c r="AC235" s="30" t="str">
        <f aca="false">IF((E235="v"),H235," ")</f>
        <v> </v>
      </c>
      <c r="AD235" s="30" t="str">
        <f aca="false">IF((E235="n"),H235," ")</f>
        <v> </v>
      </c>
      <c r="AE235" s="17" t="str">
        <f aca="false">IF((E235="f"),H235," ")</f>
        <v> </v>
      </c>
      <c r="AF235" s="17" t="str">
        <f aca="false">IF((E235="l"),H235," ")</f>
        <v> </v>
      </c>
      <c r="AG235" s="17" t="str">
        <f aca="false">IF((E235="y"),H235," ")</f>
        <v> </v>
      </c>
      <c r="AH235" s="17" t="str">
        <f aca="false">IF((E235="z"),H235," ")</f>
        <v> </v>
      </c>
      <c r="AI235" s="17" t="str">
        <f aca="false">IF((E235="fa"),H235," ")</f>
        <v> </v>
      </c>
      <c r="AJ235" s="17" t="str">
        <f aca="false">IF((E235="e"),H235," ")</f>
        <v> </v>
      </c>
    </row>
    <row r="236" customFormat="false" ht="12" hidden="false" customHeight="false" outlineLevel="0" collapsed="false">
      <c r="A236" s="28"/>
      <c r="E236" s="2" t="str">
        <f aca="false">IF((F236&lt;&gt;0),"Enter Letter"," ")</f>
        <v> </v>
      </c>
      <c r="F236" s="30"/>
      <c r="G236" s="6" t="str">
        <f aca="false">IF(F236&lt;&gt;0,F236*G$2/(100+G$2)," ")</f>
        <v> </v>
      </c>
      <c r="H236" s="6" t="str">
        <f aca="false">IF((F236&lt;&gt;0),F236-G236," ")</f>
        <v> </v>
      </c>
      <c r="I236" s="5"/>
      <c r="L236" s="7" t="str">
        <f aca="false">IF(F236&lt;&gt;0,F236-K236," ")</f>
        <v> </v>
      </c>
      <c r="M236" s="8" t="str">
        <f aca="false">IF((F236-K236)&lt;&gt;0,M$1-A236," ")</f>
        <v> </v>
      </c>
      <c r="N236" s="5"/>
      <c r="O236" s="17" t="str">
        <f aca="false">IF((E236="s"),H236," ")</f>
        <v> </v>
      </c>
      <c r="P236" s="17" t="str">
        <f aca="false">IF((E236="c"),H236," ")</f>
        <v> </v>
      </c>
      <c r="Q236" s="17" t="str">
        <f aca="false">IF((E236="o"),H236," ")</f>
        <v> </v>
      </c>
      <c r="R236" s="17" t="str">
        <f aca="false">IF((E236="d"),H236," ")</f>
        <v> </v>
      </c>
      <c r="S236" s="17" t="str">
        <f aca="false">IF((E236="w"),H236," ")</f>
        <v> </v>
      </c>
      <c r="T236" s="17" t="str">
        <f aca="false">IF((E236="r"),H236," ")</f>
        <v> </v>
      </c>
      <c r="U236" s="17" t="str">
        <f aca="false">IF((E236="p"),H236," ")</f>
        <v> </v>
      </c>
      <c r="V236" s="17" t="str">
        <f aca="false">IF((E236="t"),H236," ")</f>
        <v> </v>
      </c>
      <c r="W236" s="17" t="str">
        <f aca="false">IF((E236="q"),H236," ")</f>
        <v> </v>
      </c>
      <c r="X236" s="17" t="str">
        <f aca="false">IF((E236="m"),H236," ")</f>
        <v> </v>
      </c>
      <c r="Y236" s="17" t="str">
        <f aca="false">IF((E236="u"),H236," ")</f>
        <v> </v>
      </c>
      <c r="Z236" s="17" t="str">
        <f aca="false">IF((E236="a"),H236," ")</f>
        <v> </v>
      </c>
      <c r="AA236" s="17" t="str">
        <f aca="false">IF((E236="g"),H236," ")</f>
        <v> </v>
      </c>
      <c r="AB236" s="17" t="str">
        <f aca="false">IF((E236="h"),H236," ")</f>
        <v> </v>
      </c>
      <c r="AC236" s="30" t="str">
        <f aca="false">IF((E236="v"),H236," ")</f>
        <v> </v>
      </c>
      <c r="AD236" s="30" t="str">
        <f aca="false">IF((E236="n"),H236," ")</f>
        <v> </v>
      </c>
      <c r="AE236" s="17" t="str">
        <f aca="false">IF((E236="f"),H236," ")</f>
        <v> </v>
      </c>
      <c r="AF236" s="17" t="str">
        <f aca="false">IF((E236="l"),H236," ")</f>
        <v> </v>
      </c>
      <c r="AG236" s="17" t="str">
        <f aca="false">IF((E236="y"),H236," ")</f>
        <v> </v>
      </c>
      <c r="AH236" s="17" t="str">
        <f aca="false">IF((E236="z"),H236," ")</f>
        <v> </v>
      </c>
      <c r="AI236" s="17" t="str">
        <f aca="false">IF((E236="fa"),H236," ")</f>
        <v> </v>
      </c>
      <c r="AJ236" s="17" t="str">
        <f aca="false">IF((E236="e"),H236," ")</f>
        <v> </v>
      </c>
    </row>
    <row r="237" customFormat="false" ht="12" hidden="false" customHeight="false" outlineLevel="0" collapsed="false">
      <c r="A237" s="28"/>
      <c r="E237" s="2" t="str">
        <f aca="false">IF((F237&lt;&gt;0),"Enter Letter"," ")</f>
        <v> </v>
      </c>
      <c r="F237" s="30"/>
      <c r="G237" s="6" t="str">
        <f aca="false">IF(F237&lt;&gt;0,F237*G$2/(100+G$2)," ")</f>
        <v> </v>
      </c>
      <c r="H237" s="6" t="str">
        <f aca="false">IF((F237&lt;&gt;0),F237-G237," ")</f>
        <v> </v>
      </c>
      <c r="I237" s="5"/>
      <c r="L237" s="7" t="str">
        <f aca="false">IF(F237&lt;&gt;0,F237-K237," ")</f>
        <v> </v>
      </c>
      <c r="M237" s="8" t="str">
        <f aca="false">IF((F237-K237)&lt;&gt;0,M$1-A237," ")</f>
        <v> </v>
      </c>
      <c r="N237" s="5"/>
      <c r="O237" s="17" t="str">
        <f aca="false">IF((E237="s"),H237," ")</f>
        <v> </v>
      </c>
      <c r="P237" s="17" t="str">
        <f aca="false">IF((E237="c"),H237," ")</f>
        <v> </v>
      </c>
      <c r="Q237" s="17" t="str">
        <f aca="false">IF((E237="o"),H237," ")</f>
        <v> </v>
      </c>
      <c r="R237" s="17" t="str">
        <f aca="false">IF((E237="d"),H237," ")</f>
        <v> </v>
      </c>
      <c r="S237" s="17" t="str">
        <f aca="false">IF((E237="w"),H237," ")</f>
        <v> </v>
      </c>
      <c r="T237" s="17" t="str">
        <f aca="false">IF((E237="r"),H237," ")</f>
        <v> </v>
      </c>
      <c r="U237" s="17" t="str">
        <f aca="false">IF((E237="p"),H237," ")</f>
        <v> </v>
      </c>
      <c r="V237" s="17" t="str">
        <f aca="false">IF((E237="t"),H237," ")</f>
        <v> </v>
      </c>
      <c r="W237" s="17" t="str">
        <f aca="false">IF((E237="q"),H237," ")</f>
        <v> </v>
      </c>
      <c r="X237" s="17" t="str">
        <f aca="false">IF((E237="m"),H237," ")</f>
        <v> </v>
      </c>
      <c r="Y237" s="17" t="str">
        <f aca="false">IF((E237="u"),H237," ")</f>
        <v> </v>
      </c>
      <c r="Z237" s="17" t="str">
        <f aca="false">IF((E237="a"),H237," ")</f>
        <v> </v>
      </c>
      <c r="AA237" s="17" t="str">
        <f aca="false">IF((E237="g"),H237," ")</f>
        <v> </v>
      </c>
      <c r="AB237" s="17" t="str">
        <f aca="false">IF((E237="h"),H237," ")</f>
        <v> </v>
      </c>
      <c r="AC237" s="30" t="str">
        <f aca="false">IF((E237="v"),H237," ")</f>
        <v> </v>
      </c>
      <c r="AD237" s="30" t="str">
        <f aca="false">IF((E237="n"),H237," ")</f>
        <v> </v>
      </c>
      <c r="AE237" s="17" t="str">
        <f aca="false">IF((E237="f"),H237," ")</f>
        <v> </v>
      </c>
      <c r="AF237" s="17" t="str">
        <f aca="false">IF((E237="l"),H237," ")</f>
        <v> </v>
      </c>
      <c r="AG237" s="17" t="str">
        <f aca="false">IF((E237="y"),H237," ")</f>
        <v> </v>
      </c>
      <c r="AH237" s="17" t="str">
        <f aca="false">IF((E237="z"),H237," ")</f>
        <v> </v>
      </c>
      <c r="AI237" s="17" t="str">
        <f aca="false">IF((E237="fa"),H237," ")</f>
        <v> </v>
      </c>
      <c r="AJ237" s="17" t="str">
        <f aca="false">IF((E237="e"),H237," ")</f>
        <v> </v>
      </c>
    </row>
    <row r="238" customFormat="false" ht="12" hidden="false" customHeight="false" outlineLevel="0" collapsed="false">
      <c r="A238" s="28"/>
      <c r="E238" s="2" t="str">
        <f aca="false">IF((F238&lt;&gt;0),"Enter Letter"," ")</f>
        <v> </v>
      </c>
      <c r="F238" s="30"/>
      <c r="G238" s="6" t="str">
        <f aca="false">IF(F238&lt;&gt;0,F238*G$2/(100+G$2)," ")</f>
        <v> </v>
      </c>
      <c r="H238" s="6" t="str">
        <f aca="false">IF((F238&lt;&gt;0),F238-G238," ")</f>
        <v> </v>
      </c>
      <c r="I238" s="5"/>
      <c r="L238" s="7" t="str">
        <f aca="false">IF(F238&lt;&gt;0,F238-K238," ")</f>
        <v> </v>
      </c>
      <c r="M238" s="8" t="str">
        <f aca="false">IF((F238-K238)&lt;&gt;0,M$1-A238," ")</f>
        <v> </v>
      </c>
      <c r="N238" s="5"/>
      <c r="O238" s="17" t="str">
        <f aca="false">IF((E238="s"),H238," ")</f>
        <v> </v>
      </c>
      <c r="P238" s="17" t="str">
        <f aca="false">IF((E238="c"),H238," ")</f>
        <v> </v>
      </c>
      <c r="Q238" s="17" t="str">
        <f aca="false">IF((E238="o"),H238," ")</f>
        <v> </v>
      </c>
      <c r="R238" s="17" t="str">
        <f aca="false">IF((E238="d"),H238," ")</f>
        <v> </v>
      </c>
      <c r="S238" s="17" t="str">
        <f aca="false">IF((E238="w"),H238," ")</f>
        <v> </v>
      </c>
      <c r="T238" s="17" t="str">
        <f aca="false">IF((E238="r"),H238," ")</f>
        <v> </v>
      </c>
      <c r="U238" s="17" t="str">
        <f aca="false">IF((E238="p"),H238," ")</f>
        <v> </v>
      </c>
      <c r="V238" s="17" t="str">
        <f aca="false">IF((E238="t"),H238," ")</f>
        <v> </v>
      </c>
      <c r="W238" s="17" t="str">
        <f aca="false">IF((E238="q"),H238," ")</f>
        <v> </v>
      </c>
      <c r="X238" s="17" t="str">
        <f aca="false">IF((E238="m"),H238," ")</f>
        <v> </v>
      </c>
      <c r="Y238" s="17" t="str">
        <f aca="false">IF((E238="u"),H238," ")</f>
        <v> </v>
      </c>
      <c r="Z238" s="17" t="str">
        <f aca="false">IF((E238="a"),H238," ")</f>
        <v> </v>
      </c>
      <c r="AA238" s="17" t="str">
        <f aca="false">IF((E238="g"),H238," ")</f>
        <v> </v>
      </c>
      <c r="AB238" s="17" t="str">
        <f aca="false">IF((E238="h"),H238," ")</f>
        <v> </v>
      </c>
      <c r="AC238" s="30" t="str">
        <f aca="false">IF((E238="v"),H238," ")</f>
        <v> </v>
      </c>
      <c r="AD238" s="30" t="str">
        <f aca="false">IF((E238="n"),H238," ")</f>
        <v> </v>
      </c>
      <c r="AE238" s="17" t="str">
        <f aca="false">IF((E238="f"),H238," ")</f>
        <v> </v>
      </c>
      <c r="AF238" s="17" t="str">
        <f aca="false">IF((E238="l"),H238," ")</f>
        <v> </v>
      </c>
      <c r="AG238" s="17" t="str">
        <f aca="false">IF((E238="y"),H238," ")</f>
        <v> </v>
      </c>
      <c r="AH238" s="17" t="str">
        <f aca="false">IF((E238="z"),H238," ")</f>
        <v> </v>
      </c>
      <c r="AI238" s="17" t="str">
        <f aca="false">IF((E238="fa"),H238," ")</f>
        <v> </v>
      </c>
      <c r="AJ238" s="17" t="str">
        <f aca="false">IF((E238="e"),H238," ")</f>
        <v> </v>
      </c>
    </row>
    <row r="239" customFormat="false" ht="12" hidden="false" customHeight="false" outlineLevel="0" collapsed="false">
      <c r="A239" s="28"/>
      <c r="E239" s="2" t="str">
        <f aca="false">IF((F239&lt;&gt;0),"Enter Letter"," ")</f>
        <v> </v>
      </c>
      <c r="F239" s="30"/>
      <c r="G239" s="6" t="str">
        <f aca="false">IF(F239&lt;&gt;0,F239*G$2/(100+G$2)," ")</f>
        <v> </v>
      </c>
      <c r="H239" s="6" t="str">
        <f aca="false">IF((F239&lt;&gt;0),F239-G239," ")</f>
        <v> </v>
      </c>
      <c r="I239" s="5"/>
      <c r="L239" s="7" t="str">
        <f aca="false">IF(F239&lt;&gt;0,F239-K239," ")</f>
        <v> </v>
      </c>
      <c r="M239" s="8" t="str">
        <f aca="false">IF((F239-K239)&lt;&gt;0,M$1-A239," ")</f>
        <v> </v>
      </c>
      <c r="N239" s="5"/>
      <c r="O239" s="17" t="str">
        <f aca="false">IF((E239="s"),H239," ")</f>
        <v> </v>
      </c>
      <c r="P239" s="17" t="str">
        <f aca="false">IF((E239="c"),H239," ")</f>
        <v> </v>
      </c>
      <c r="Q239" s="17" t="str">
        <f aca="false">IF((E239="o"),H239," ")</f>
        <v> </v>
      </c>
      <c r="R239" s="17" t="str">
        <f aca="false">IF((E239="d"),H239," ")</f>
        <v> </v>
      </c>
      <c r="S239" s="17" t="str">
        <f aca="false">IF((E239="w"),H239," ")</f>
        <v> </v>
      </c>
      <c r="T239" s="17" t="str">
        <f aca="false">IF((E239="r"),H239," ")</f>
        <v> </v>
      </c>
      <c r="U239" s="17" t="str">
        <f aca="false">IF((E239="p"),H239," ")</f>
        <v> </v>
      </c>
      <c r="V239" s="17" t="str">
        <f aca="false">IF((E239="t"),H239," ")</f>
        <v> </v>
      </c>
      <c r="W239" s="17" t="str">
        <f aca="false">IF((E239="q"),H239," ")</f>
        <v> </v>
      </c>
      <c r="X239" s="17" t="str">
        <f aca="false">IF((E239="m"),H239," ")</f>
        <v> </v>
      </c>
      <c r="Y239" s="17" t="str">
        <f aca="false">IF((E239="u"),H239," ")</f>
        <v> </v>
      </c>
      <c r="Z239" s="17" t="str">
        <f aca="false">IF((E239="a"),H239," ")</f>
        <v> </v>
      </c>
      <c r="AA239" s="17" t="str">
        <f aca="false">IF((E239="g"),H239," ")</f>
        <v> </v>
      </c>
      <c r="AB239" s="17" t="str">
        <f aca="false">IF((E239="h"),H239," ")</f>
        <v> </v>
      </c>
      <c r="AC239" s="30" t="str">
        <f aca="false">IF((E239="v"),H239," ")</f>
        <v> </v>
      </c>
      <c r="AD239" s="30" t="str">
        <f aca="false">IF((E239="n"),H239," ")</f>
        <v> </v>
      </c>
      <c r="AE239" s="17" t="str">
        <f aca="false">IF((E239="f"),H239," ")</f>
        <v> </v>
      </c>
      <c r="AF239" s="17" t="str">
        <f aca="false">IF((E239="l"),H239," ")</f>
        <v> </v>
      </c>
      <c r="AG239" s="17" t="str">
        <f aca="false">IF((E239="y"),H239," ")</f>
        <v> </v>
      </c>
      <c r="AH239" s="17" t="str">
        <f aca="false">IF((E239="z"),H239," ")</f>
        <v> </v>
      </c>
      <c r="AI239" s="17" t="str">
        <f aca="false">IF((E239="fa"),H239," ")</f>
        <v> </v>
      </c>
      <c r="AJ239" s="17" t="str">
        <f aca="false">IF((E239="e"),H239," ")</f>
        <v> </v>
      </c>
    </row>
    <row r="240" customFormat="false" ht="12" hidden="false" customHeight="false" outlineLevel="0" collapsed="false">
      <c r="A240" s="28"/>
      <c r="E240" s="2" t="str">
        <f aca="false">IF((F240&lt;&gt;0),"Enter Letter"," ")</f>
        <v> </v>
      </c>
      <c r="F240" s="30"/>
      <c r="G240" s="6" t="str">
        <f aca="false">IF(F240&lt;&gt;0,F240*G$2/(100+G$2)," ")</f>
        <v> </v>
      </c>
      <c r="H240" s="6" t="str">
        <f aca="false">IF((F240&lt;&gt;0),F240-G240," ")</f>
        <v> </v>
      </c>
      <c r="I240" s="5"/>
      <c r="L240" s="7" t="str">
        <f aca="false">IF(F240&lt;&gt;0,F240-K240," ")</f>
        <v> </v>
      </c>
      <c r="M240" s="8" t="str">
        <f aca="false">IF((F240-K240)&lt;&gt;0,M$1-A240," ")</f>
        <v> </v>
      </c>
      <c r="N240" s="5"/>
      <c r="O240" s="17" t="str">
        <f aca="false">IF((E240="s"),H240," ")</f>
        <v> </v>
      </c>
      <c r="P240" s="17" t="str">
        <f aca="false">IF((E240="c"),H240," ")</f>
        <v> </v>
      </c>
      <c r="Q240" s="17" t="str">
        <f aca="false">IF((E240="o"),H240," ")</f>
        <v> </v>
      </c>
      <c r="R240" s="17" t="str">
        <f aca="false">IF((E240="d"),H240," ")</f>
        <v> </v>
      </c>
      <c r="S240" s="17" t="str">
        <f aca="false">IF((E240="w"),H240," ")</f>
        <v> </v>
      </c>
      <c r="T240" s="17" t="str">
        <f aca="false">IF((E240="r"),H240," ")</f>
        <v> </v>
      </c>
      <c r="U240" s="17" t="str">
        <f aca="false">IF((E240="p"),H240," ")</f>
        <v> </v>
      </c>
      <c r="V240" s="17" t="str">
        <f aca="false">IF((E240="t"),H240," ")</f>
        <v> </v>
      </c>
      <c r="W240" s="17" t="str">
        <f aca="false">IF((E240="q"),H240," ")</f>
        <v> </v>
      </c>
      <c r="X240" s="17" t="str">
        <f aca="false">IF((E240="m"),H240," ")</f>
        <v> </v>
      </c>
      <c r="Y240" s="17" t="str">
        <f aca="false">IF((E240="u"),H240," ")</f>
        <v> </v>
      </c>
      <c r="Z240" s="17" t="str">
        <f aca="false">IF((E240="a"),H240," ")</f>
        <v> </v>
      </c>
      <c r="AA240" s="17" t="str">
        <f aca="false">IF((E240="g"),H240," ")</f>
        <v> </v>
      </c>
      <c r="AB240" s="17" t="str">
        <f aca="false">IF((E240="h"),H240," ")</f>
        <v> </v>
      </c>
      <c r="AC240" s="30" t="str">
        <f aca="false">IF((E240="v"),H240," ")</f>
        <v> </v>
      </c>
      <c r="AD240" s="30" t="str">
        <f aca="false">IF((E240="n"),H240," ")</f>
        <v> </v>
      </c>
      <c r="AE240" s="17" t="str">
        <f aca="false">IF((E240="f"),H240," ")</f>
        <v> </v>
      </c>
      <c r="AF240" s="17" t="str">
        <f aca="false">IF((E240="l"),H240," ")</f>
        <v> </v>
      </c>
      <c r="AG240" s="17" t="str">
        <f aca="false">IF((E240="y"),H240," ")</f>
        <v> </v>
      </c>
      <c r="AH240" s="17" t="str">
        <f aca="false">IF((E240="z"),H240," ")</f>
        <v> </v>
      </c>
      <c r="AI240" s="17" t="str">
        <f aca="false">IF((E240="fa"),H240," ")</f>
        <v> </v>
      </c>
      <c r="AJ240" s="17" t="str">
        <f aca="false">IF((E240="e"),H240," ")</f>
        <v> </v>
      </c>
    </row>
    <row r="241" customFormat="false" ht="12" hidden="false" customHeight="false" outlineLevel="0" collapsed="false">
      <c r="A241" s="28"/>
      <c r="E241" s="2" t="str">
        <f aca="false">IF((F241&lt;&gt;0),"Enter Letter"," ")</f>
        <v> </v>
      </c>
      <c r="F241" s="30"/>
      <c r="G241" s="6" t="str">
        <f aca="false">IF(F241&lt;&gt;0,F241*G$2/(100+G$2)," ")</f>
        <v> </v>
      </c>
      <c r="H241" s="6" t="str">
        <f aca="false">IF((F241&lt;&gt;0),F241-G241," ")</f>
        <v> </v>
      </c>
      <c r="I241" s="5"/>
      <c r="L241" s="7" t="str">
        <f aca="false">IF(F241&lt;&gt;0,F241-K241," ")</f>
        <v> </v>
      </c>
      <c r="M241" s="8" t="str">
        <f aca="false">IF((F241-K241)&lt;&gt;0,M$1-A241," ")</f>
        <v> </v>
      </c>
      <c r="N241" s="5"/>
      <c r="O241" s="17" t="str">
        <f aca="false">IF((E241="s"),H241," ")</f>
        <v> </v>
      </c>
      <c r="P241" s="17" t="str">
        <f aca="false">IF((E241="c"),H241," ")</f>
        <v> </v>
      </c>
      <c r="Q241" s="17" t="str">
        <f aca="false">IF((E241="o"),H241," ")</f>
        <v> </v>
      </c>
      <c r="R241" s="17" t="str">
        <f aca="false">IF((E241="d"),H241," ")</f>
        <v> </v>
      </c>
      <c r="S241" s="17" t="str">
        <f aca="false">IF((E241="w"),H241," ")</f>
        <v> </v>
      </c>
      <c r="T241" s="17" t="str">
        <f aca="false">IF((E241="r"),H241," ")</f>
        <v> </v>
      </c>
      <c r="U241" s="17" t="str">
        <f aca="false">IF((E241="p"),H241," ")</f>
        <v> </v>
      </c>
      <c r="V241" s="17" t="str">
        <f aca="false">IF((E241="t"),H241," ")</f>
        <v> </v>
      </c>
      <c r="W241" s="17" t="str">
        <f aca="false">IF((E241="q"),H241," ")</f>
        <v> </v>
      </c>
      <c r="X241" s="17" t="str">
        <f aca="false">IF((E241="m"),H241," ")</f>
        <v> </v>
      </c>
      <c r="Y241" s="17" t="str">
        <f aca="false">IF((E241="u"),H241," ")</f>
        <v> </v>
      </c>
      <c r="Z241" s="17" t="str">
        <f aca="false">IF((E241="a"),H241," ")</f>
        <v> </v>
      </c>
      <c r="AA241" s="17" t="str">
        <f aca="false">IF((E241="g"),H241," ")</f>
        <v> </v>
      </c>
      <c r="AB241" s="17" t="str">
        <f aca="false">IF((E241="h"),H241," ")</f>
        <v> </v>
      </c>
      <c r="AC241" s="30" t="str">
        <f aca="false">IF((E241="v"),H241," ")</f>
        <v> </v>
      </c>
      <c r="AD241" s="30" t="str">
        <f aca="false">IF((E241="n"),H241," ")</f>
        <v> </v>
      </c>
      <c r="AE241" s="17" t="str">
        <f aca="false">IF((E241="f"),H241," ")</f>
        <v> </v>
      </c>
      <c r="AF241" s="17" t="str">
        <f aca="false">IF((E241="l"),H241," ")</f>
        <v> </v>
      </c>
      <c r="AG241" s="17" t="str">
        <f aca="false">IF((E241="y"),H241," ")</f>
        <v> </v>
      </c>
      <c r="AH241" s="17" t="str">
        <f aca="false">IF((E241="z"),H241," ")</f>
        <v> </v>
      </c>
      <c r="AI241" s="17" t="str">
        <f aca="false">IF((E241="fa"),H241," ")</f>
        <v> </v>
      </c>
      <c r="AJ241" s="17" t="str">
        <f aca="false">IF((E241="e"),H241," ")</f>
        <v> </v>
      </c>
    </row>
    <row r="242" customFormat="false" ht="12" hidden="false" customHeight="false" outlineLevel="0" collapsed="false">
      <c r="A242" s="28"/>
      <c r="E242" s="2" t="str">
        <f aca="false">IF((F242&lt;&gt;0),"Enter Letter"," ")</f>
        <v> </v>
      </c>
      <c r="F242" s="30"/>
      <c r="G242" s="6" t="str">
        <f aca="false">IF(F242&lt;&gt;0,F242*G$2/(100+G$2)," ")</f>
        <v> </v>
      </c>
      <c r="H242" s="6" t="str">
        <f aca="false">IF((F242&lt;&gt;0),F242-G242," ")</f>
        <v> </v>
      </c>
      <c r="I242" s="5"/>
      <c r="L242" s="7" t="str">
        <f aca="false">IF(F242&lt;&gt;0,F242-K242," ")</f>
        <v> </v>
      </c>
      <c r="M242" s="8" t="str">
        <f aca="false">IF((F242-K242)&lt;&gt;0,M$1-A242," ")</f>
        <v> </v>
      </c>
      <c r="N242" s="5"/>
      <c r="O242" s="17" t="str">
        <f aca="false">IF((E242="s"),H242," ")</f>
        <v> </v>
      </c>
      <c r="P242" s="17" t="str">
        <f aca="false">IF((E242="c"),H242," ")</f>
        <v> </v>
      </c>
      <c r="Q242" s="17" t="str">
        <f aca="false">IF((E242="o"),H242," ")</f>
        <v> </v>
      </c>
      <c r="R242" s="17" t="str">
        <f aca="false">IF((E242="d"),H242," ")</f>
        <v> </v>
      </c>
      <c r="S242" s="17" t="str">
        <f aca="false">IF((E242="w"),H242," ")</f>
        <v> </v>
      </c>
      <c r="T242" s="17" t="str">
        <f aca="false">IF((E242="r"),H242," ")</f>
        <v> </v>
      </c>
      <c r="U242" s="17" t="str">
        <f aca="false">IF((E242="p"),H242," ")</f>
        <v> </v>
      </c>
      <c r="V242" s="17" t="str">
        <f aca="false">IF((E242="t"),H242," ")</f>
        <v> </v>
      </c>
      <c r="W242" s="17" t="str">
        <f aca="false">IF((E242="q"),H242," ")</f>
        <v> </v>
      </c>
      <c r="X242" s="17" t="str">
        <f aca="false">IF((E242="m"),H242," ")</f>
        <v> </v>
      </c>
      <c r="Y242" s="17" t="str">
        <f aca="false">IF((E242="u"),H242," ")</f>
        <v> </v>
      </c>
      <c r="Z242" s="17" t="str">
        <f aca="false">IF((E242="a"),H242," ")</f>
        <v> </v>
      </c>
      <c r="AA242" s="17" t="str">
        <f aca="false">IF((E242="g"),H242," ")</f>
        <v> </v>
      </c>
      <c r="AB242" s="17" t="str">
        <f aca="false">IF((E242="h"),H242," ")</f>
        <v> </v>
      </c>
      <c r="AC242" s="30" t="str">
        <f aca="false">IF((E242="v"),H242," ")</f>
        <v> </v>
      </c>
      <c r="AD242" s="30" t="str">
        <f aca="false">IF((E242="n"),H242," ")</f>
        <v> </v>
      </c>
      <c r="AE242" s="17" t="str">
        <f aca="false">IF((E242="f"),H242," ")</f>
        <v> </v>
      </c>
      <c r="AF242" s="17" t="str">
        <f aca="false">IF((E242="l"),H242," ")</f>
        <v> </v>
      </c>
      <c r="AG242" s="17" t="str">
        <f aca="false">IF((E242="y"),H242," ")</f>
        <v> </v>
      </c>
      <c r="AH242" s="17" t="str">
        <f aca="false">IF((E242="z"),H242," ")</f>
        <v> </v>
      </c>
      <c r="AI242" s="17" t="str">
        <f aca="false">IF((E242="fa"),H242," ")</f>
        <v> </v>
      </c>
      <c r="AJ242" s="17" t="str">
        <f aca="false">IF((E242="e"),H242," ")</f>
        <v> </v>
      </c>
    </row>
    <row r="243" customFormat="false" ht="12" hidden="false" customHeight="false" outlineLevel="0" collapsed="false">
      <c r="A243" s="28"/>
      <c r="E243" s="2" t="str">
        <f aca="false">IF((F243&lt;&gt;0),"Enter Letter"," ")</f>
        <v> </v>
      </c>
      <c r="F243" s="30"/>
      <c r="G243" s="6" t="str">
        <f aca="false">IF(F243&lt;&gt;0,F243*G$2/(100+G$2)," ")</f>
        <v> </v>
      </c>
      <c r="H243" s="6" t="str">
        <f aca="false">IF((F243&lt;&gt;0),F243-G243," ")</f>
        <v> </v>
      </c>
      <c r="I243" s="5"/>
      <c r="L243" s="7" t="str">
        <f aca="false">IF(F243&lt;&gt;0,F243-K243," ")</f>
        <v> </v>
      </c>
      <c r="M243" s="8" t="str">
        <f aca="false">IF((F243-K243)&lt;&gt;0,M$1-A243," ")</f>
        <v> </v>
      </c>
      <c r="N243" s="5"/>
      <c r="O243" s="17" t="str">
        <f aca="false">IF((E243="s"),H243," ")</f>
        <v> </v>
      </c>
      <c r="P243" s="17" t="str">
        <f aca="false">IF((E243="c"),H243," ")</f>
        <v> </v>
      </c>
      <c r="Q243" s="17" t="str">
        <f aca="false">IF((E243="o"),H243," ")</f>
        <v> </v>
      </c>
      <c r="R243" s="17" t="str">
        <f aca="false">IF((E243="d"),H243," ")</f>
        <v> </v>
      </c>
      <c r="S243" s="17" t="str">
        <f aca="false">IF((E243="w"),H243," ")</f>
        <v> </v>
      </c>
      <c r="T243" s="17" t="str">
        <f aca="false">IF((E243="r"),H243," ")</f>
        <v> </v>
      </c>
      <c r="U243" s="17" t="str">
        <f aca="false">IF((E243="p"),H243," ")</f>
        <v> </v>
      </c>
      <c r="V243" s="17" t="str">
        <f aca="false">IF((E243="t"),H243," ")</f>
        <v> </v>
      </c>
      <c r="W243" s="17" t="str">
        <f aca="false">IF((E243="q"),H243," ")</f>
        <v> </v>
      </c>
      <c r="X243" s="17" t="str">
        <f aca="false">IF((E243="m"),H243," ")</f>
        <v> </v>
      </c>
      <c r="Y243" s="17" t="str">
        <f aca="false">IF((E243="u"),H243," ")</f>
        <v> </v>
      </c>
      <c r="Z243" s="17" t="str">
        <f aca="false">IF((E243="a"),H243," ")</f>
        <v> </v>
      </c>
      <c r="AA243" s="17" t="str">
        <f aca="false">IF((E243="g"),H243," ")</f>
        <v> </v>
      </c>
      <c r="AB243" s="17" t="str">
        <f aca="false">IF((E243="h"),H243," ")</f>
        <v> </v>
      </c>
      <c r="AC243" s="30" t="str">
        <f aca="false">IF((E243="v"),H243," ")</f>
        <v> </v>
      </c>
      <c r="AD243" s="30" t="str">
        <f aca="false">IF((E243="n"),H243," ")</f>
        <v> </v>
      </c>
      <c r="AE243" s="17" t="str">
        <f aca="false">IF((E243="f"),H243," ")</f>
        <v> </v>
      </c>
      <c r="AF243" s="17" t="str">
        <f aca="false">IF((E243="l"),H243," ")</f>
        <v> </v>
      </c>
      <c r="AG243" s="17" t="str">
        <f aca="false">IF((E243="y"),H243," ")</f>
        <v> </v>
      </c>
      <c r="AH243" s="17" t="str">
        <f aca="false">IF((E243="z"),H243," ")</f>
        <v> </v>
      </c>
      <c r="AI243" s="17" t="str">
        <f aca="false">IF((E243="fa"),H243," ")</f>
        <v> </v>
      </c>
      <c r="AJ243" s="17" t="str">
        <f aca="false">IF((E243="e"),H243," ")</f>
        <v> </v>
      </c>
    </row>
    <row r="244" customFormat="false" ht="12" hidden="false" customHeight="false" outlineLevel="0" collapsed="false">
      <c r="A244" s="28"/>
      <c r="E244" s="2" t="str">
        <f aca="false">IF((F244&lt;&gt;0),"Enter Letter"," ")</f>
        <v> </v>
      </c>
      <c r="F244" s="30"/>
      <c r="G244" s="6" t="str">
        <f aca="false">IF(F244&lt;&gt;0,F244*G$2/(100+G$2)," ")</f>
        <v> </v>
      </c>
      <c r="H244" s="6" t="str">
        <f aca="false">IF((F244&lt;&gt;0),F244-G244," ")</f>
        <v> </v>
      </c>
      <c r="I244" s="5"/>
      <c r="L244" s="7" t="str">
        <f aca="false">IF(F244&lt;&gt;0,F244-K244," ")</f>
        <v> </v>
      </c>
      <c r="M244" s="8" t="str">
        <f aca="false">IF((F244-K244)&lt;&gt;0,M$1-A244," ")</f>
        <v> </v>
      </c>
      <c r="N244" s="5"/>
      <c r="O244" s="17" t="str">
        <f aca="false">IF((E244="s"),H244," ")</f>
        <v> </v>
      </c>
      <c r="P244" s="17" t="str">
        <f aca="false">IF((E244="c"),H244," ")</f>
        <v> </v>
      </c>
      <c r="Q244" s="17" t="str">
        <f aca="false">IF((E244="o"),H244," ")</f>
        <v> </v>
      </c>
      <c r="R244" s="17" t="str">
        <f aca="false">IF((E244="d"),H244," ")</f>
        <v> </v>
      </c>
      <c r="S244" s="17" t="str">
        <f aca="false">IF((E244="w"),H244," ")</f>
        <v> </v>
      </c>
      <c r="T244" s="17" t="str">
        <f aca="false">IF((E244="r"),H244," ")</f>
        <v> </v>
      </c>
      <c r="U244" s="17" t="str">
        <f aca="false">IF((E244="p"),H244," ")</f>
        <v> </v>
      </c>
      <c r="V244" s="17" t="str">
        <f aca="false">IF((E244="t"),H244," ")</f>
        <v> </v>
      </c>
      <c r="W244" s="17" t="str">
        <f aca="false">IF((E244="q"),H244," ")</f>
        <v> </v>
      </c>
      <c r="X244" s="17" t="str">
        <f aca="false">IF((E244="m"),H244," ")</f>
        <v> </v>
      </c>
      <c r="Y244" s="17" t="str">
        <f aca="false">IF((E244="u"),H244," ")</f>
        <v> </v>
      </c>
      <c r="Z244" s="17" t="str">
        <f aca="false">IF((E244="a"),H244," ")</f>
        <v> </v>
      </c>
      <c r="AA244" s="17" t="str">
        <f aca="false">IF((E244="g"),H244," ")</f>
        <v> </v>
      </c>
      <c r="AB244" s="17" t="str">
        <f aca="false">IF((E244="h"),H244," ")</f>
        <v> </v>
      </c>
      <c r="AC244" s="30" t="str">
        <f aca="false">IF((E244="v"),H244," ")</f>
        <v> </v>
      </c>
      <c r="AD244" s="30" t="str">
        <f aca="false">IF((E244="n"),H244," ")</f>
        <v> </v>
      </c>
      <c r="AE244" s="17" t="str">
        <f aca="false">IF((E244="f"),H244," ")</f>
        <v> </v>
      </c>
      <c r="AF244" s="17" t="str">
        <f aca="false">IF((E244="l"),H244," ")</f>
        <v> </v>
      </c>
      <c r="AG244" s="17" t="str">
        <f aca="false">IF((E244="y"),H244," ")</f>
        <v> </v>
      </c>
      <c r="AH244" s="17" t="str">
        <f aca="false">IF((E244="z"),H244," ")</f>
        <v> </v>
      </c>
      <c r="AI244" s="17" t="str">
        <f aca="false">IF((E244="fa"),H244," ")</f>
        <v> </v>
      </c>
      <c r="AJ244" s="17" t="str">
        <f aca="false">IF((E244="e"),H244," ")</f>
        <v> </v>
      </c>
    </row>
    <row r="245" customFormat="false" ht="12" hidden="false" customHeight="false" outlineLevel="0" collapsed="false">
      <c r="A245" s="28"/>
      <c r="E245" s="2" t="str">
        <f aca="false">IF((F245&lt;&gt;0),"Enter Letter"," ")</f>
        <v> </v>
      </c>
      <c r="F245" s="30"/>
      <c r="G245" s="6" t="str">
        <f aca="false">IF(F245&lt;&gt;0,F245*G$2/(100+G$2)," ")</f>
        <v> </v>
      </c>
      <c r="H245" s="6" t="str">
        <f aca="false">IF((F245&lt;&gt;0),F245-G245," ")</f>
        <v> </v>
      </c>
      <c r="I245" s="5"/>
      <c r="L245" s="7" t="str">
        <f aca="false">IF(F245&lt;&gt;0,F245-K245," ")</f>
        <v> </v>
      </c>
      <c r="M245" s="8" t="str">
        <f aca="false">IF((F245-K245)&lt;&gt;0,M$1-A245," ")</f>
        <v> </v>
      </c>
      <c r="N245" s="5"/>
      <c r="O245" s="17" t="str">
        <f aca="false">IF((E245="s"),H245," ")</f>
        <v> </v>
      </c>
      <c r="P245" s="17" t="str">
        <f aca="false">IF((E245="c"),H245," ")</f>
        <v> </v>
      </c>
      <c r="Q245" s="17" t="str">
        <f aca="false">IF((E245="o"),H245," ")</f>
        <v> </v>
      </c>
      <c r="R245" s="17" t="str">
        <f aca="false">IF((E245="d"),H245," ")</f>
        <v> </v>
      </c>
      <c r="S245" s="17" t="str">
        <f aca="false">IF((E245="w"),H245," ")</f>
        <v> </v>
      </c>
      <c r="T245" s="17" t="str">
        <f aca="false">IF((E245="r"),H245," ")</f>
        <v> </v>
      </c>
      <c r="U245" s="17" t="str">
        <f aca="false">IF((E245="p"),H245," ")</f>
        <v> </v>
      </c>
      <c r="V245" s="17" t="str">
        <f aca="false">IF((E245="t"),H245," ")</f>
        <v> </v>
      </c>
      <c r="W245" s="17" t="str">
        <f aca="false">IF((E245="q"),H245," ")</f>
        <v> </v>
      </c>
      <c r="X245" s="17" t="str">
        <f aca="false">IF((E245="m"),H245," ")</f>
        <v> </v>
      </c>
      <c r="Y245" s="17" t="str">
        <f aca="false">IF((E245="u"),H245," ")</f>
        <v> </v>
      </c>
      <c r="Z245" s="17" t="str">
        <f aca="false">IF((E245="a"),H245," ")</f>
        <v> </v>
      </c>
      <c r="AA245" s="17" t="str">
        <f aca="false">IF((E245="g"),H245," ")</f>
        <v> </v>
      </c>
      <c r="AB245" s="17" t="str">
        <f aca="false">IF((E245="h"),H245," ")</f>
        <v> </v>
      </c>
      <c r="AC245" s="30" t="str">
        <f aca="false">IF((E245="v"),H245," ")</f>
        <v> </v>
      </c>
      <c r="AD245" s="30" t="str">
        <f aca="false">IF((E245="n"),H245," ")</f>
        <v> </v>
      </c>
      <c r="AE245" s="17" t="str">
        <f aca="false">IF((E245="f"),H245," ")</f>
        <v> </v>
      </c>
      <c r="AF245" s="17" t="str">
        <f aca="false">IF((E245="l"),H245," ")</f>
        <v> </v>
      </c>
      <c r="AG245" s="17" t="str">
        <f aca="false">IF((E245="y"),H245," ")</f>
        <v> </v>
      </c>
      <c r="AH245" s="17" t="str">
        <f aca="false">IF((E245="z"),H245," ")</f>
        <v> </v>
      </c>
      <c r="AI245" s="17" t="str">
        <f aca="false">IF((E245="fa"),H245," ")</f>
        <v> </v>
      </c>
      <c r="AJ245" s="17" t="str">
        <f aca="false">IF((E245="e"),H245," ")</f>
        <v> </v>
      </c>
    </row>
    <row r="246" customFormat="false" ht="12" hidden="false" customHeight="false" outlineLevel="0" collapsed="false">
      <c r="A246" s="28"/>
      <c r="E246" s="2" t="str">
        <f aca="false">IF((F246&lt;&gt;0),"Enter Letter"," ")</f>
        <v> </v>
      </c>
      <c r="F246" s="30"/>
      <c r="G246" s="6" t="str">
        <f aca="false">IF(F246&lt;&gt;0,F246*G$2/(100+G$2)," ")</f>
        <v> </v>
      </c>
      <c r="H246" s="6" t="str">
        <f aca="false">IF((F246&lt;&gt;0),F246-G246," ")</f>
        <v> </v>
      </c>
      <c r="I246" s="5"/>
      <c r="L246" s="7" t="str">
        <f aca="false">IF(F246&lt;&gt;0,F246-K246," ")</f>
        <v> </v>
      </c>
      <c r="M246" s="8" t="str">
        <f aca="false">IF((F246-K246)&lt;&gt;0,M$1-A246," ")</f>
        <v> </v>
      </c>
      <c r="N246" s="5"/>
      <c r="O246" s="17" t="str">
        <f aca="false">IF((E246="s"),H246," ")</f>
        <v> </v>
      </c>
      <c r="P246" s="17" t="str">
        <f aca="false">IF((E246="c"),H246," ")</f>
        <v> </v>
      </c>
      <c r="Q246" s="17" t="str">
        <f aca="false">IF((E246="o"),H246," ")</f>
        <v> </v>
      </c>
      <c r="R246" s="17" t="str">
        <f aca="false">IF((E246="d"),H246," ")</f>
        <v> </v>
      </c>
      <c r="S246" s="17" t="str">
        <f aca="false">IF((E246="w"),H246," ")</f>
        <v> </v>
      </c>
      <c r="T246" s="17" t="str">
        <f aca="false">IF((E246="r"),H246," ")</f>
        <v> </v>
      </c>
      <c r="U246" s="17" t="str">
        <f aca="false">IF((E246="p"),H246," ")</f>
        <v> </v>
      </c>
      <c r="V246" s="17" t="str">
        <f aca="false">IF((E246="t"),H246," ")</f>
        <v> </v>
      </c>
      <c r="W246" s="17" t="str">
        <f aca="false">IF((E246="q"),H246," ")</f>
        <v> </v>
      </c>
      <c r="X246" s="17" t="str">
        <f aca="false">IF((E246="m"),H246," ")</f>
        <v> </v>
      </c>
      <c r="Y246" s="17" t="str">
        <f aca="false">IF((E246="u"),H246," ")</f>
        <v> </v>
      </c>
      <c r="Z246" s="17" t="str">
        <f aca="false">IF((E246="a"),H246," ")</f>
        <v> </v>
      </c>
      <c r="AA246" s="17" t="str">
        <f aca="false">IF((E246="g"),H246," ")</f>
        <v> </v>
      </c>
      <c r="AB246" s="17" t="str">
        <f aca="false">IF((E246="h"),H246," ")</f>
        <v> </v>
      </c>
      <c r="AC246" s="30" t="str">
        <f aca="false">IF((E246="v"),H246," ")</f>
        <v> </v>
      </c>
      <c r="AD246" s="30" t="str">
        <f aca="false">IF((E246="n"),H246," ")</f>
        <v> </v>
      </c>
      <c r="AE246" s="17" t="str">
        <f aca="false">IF((E246="f"),H246," ")</f>
        <v> </v>
      </c>
      <c r="AF246" s="17" t="str">
        <f aca="false">IF((E246="l"),H246," ")</f>
        <v> </v>
      </c>
      <c r="AG246" s="17" t="str">
        <f aca="false">IF((E246="y"),H246," ")</f>
        <v> </v>
      </c>
      <c r="AH246" s="17" t="str">
        <f aca="false">IF((E246="z"),H246," ")</f>
        <v> </v>
      </c>
      <c r="AI246" s="17" t="str">
        <f aca="false">IF((E246="fa"),H246," ")</f>
        <v> </v>
      </c>
      <c r="AJ246" s="17" t="str">
        <f aca="false">IF((E246="e"),H246," ")</f>
        <v> </v>
      </c>
    </row>
    <row r="247" customFormat="false" ht="12" hidden="false" customHeight="false" outlineLevel="0" collapsed="false">
      <c r="A247" s="28"/>
      <c r="E247" s="2" t="str">
        <f aca="false">IF((F247&lt;&gt;0),"Enter Letter"," ")</f>
        <v> </v>
      </c>
      <c r="F247" s="30"/>
      <c r="G247" s="6" t="str">
        <f aca="false">IF(F247&lt;&gt;0,F247*G$2/(100+G$2)," ")</f>
        <v> </v>
      </c>
      <c r="H247" s="6" t="str">
        <f aca="false">IF((F247&lt;&gt;0),F247-G247," ")</f>
        <v> </v>
      </c>
      <c r="I247" s="5"/>
      <c r="L247" s="7" t="str">
        <f aca="false">IF(F247&lt;&gt;0,F247-K247," ")</f>
        <v> </v>
      </c>
      <c r="M247" s="8" t="str">
        <f aca="false">IF((F247-K247)&lt;&gt;0,M$1-A247," ")</f>
        <v> </v>
      </c>
      <c r="N247" s="5"/>
      <c r="O247" s="17" t="str">
        <f aca="false">IF((E247="s"),H247," ")</f>
        <v> </v>
      </c>
      <c r="P247" s="17" t="str">
        <f aca="false">IF((E247="c"),H247," ")</f>
        <v> </v>
      </c>
      <c r="Q247" s="17" t="str">
        <f aca="false">IF((E247="o"),H247," ")</f>
        <v> </v>
      </c>
      <c r="R247" s="17" t="str">
        <f aca="false">IF((E247="d"),H247," ")</f>
        <v> </v>
      </c>
      <c r="S247" s="17" t="str">
        <f aca="false">IF((E247="w"),H247," ")</f>
        <v> </v>
      </c>
      <c r="T247" s="17" t="str">
        <f aca="false">IF((E247="r"),H247," ")</f>
        <v> </v>
      </c>
      <c r="U247" s="17" t="str">
        <f aca="false">IF((E247="p"),H247," ")</f>
        <v> </v>
      </c>
      <c r="V247" s="17" t="str">
        <f aca="false">IF((E247="t"),H247," ")</f>
        <v> </v>
      </c>
      <c r="W247" s="17" t="str">
        <f aca="false">IF((E247="q"),H247," ")</f>
        <v> </v>
      </c>
      <c r="X247" s="17" t="str">
        <f aca="false">IF((E247="m"),H247," ")</f>
        <v> </v>
      </c>
      <c r="Y247" s="17" t="str">
        <f aca="false">IF((E247="u"),H247," ")</f>
        <v> </v>
      </c>
      <c r="Z247" s="17" t="str">
        <f aca="false">IF((E247="a"),H247," ")</f>
        <v> </v>
      </c>
      <c r="AA247" s="17" t="str">
        <f aca="false">IF((E247="g"),H247," ")</f>
        <v> </v>
      </c>
      <c r="AB247" s="17" t="str">
        <f aca="false">IF((E247="h"),H247," ")</f>
        <v> </v>
      </c>
      <c r="AC247" s="30" t="str">
        <f aca="false">IF((E247="v"),H247," ")</f>
        <v> </v>
      </c>
      <c r="AD247" s="30" t="str">
        <f aca="false">IF((E247="n"),H247," ")</f>
        <v> </v>
      </c>
      <c r="AE247" s="17" t="str">
        <f aca="false">IF((E247="f"),H247," ")</f>
        <v> </v>
      </c>
      <c r="AF247" s="17" t="str">
        <f aca="false">IF((E247="l"),H247," ")</f>
        <v> </v>
      </c>
      <c r="AG247" s="17" t="str">
        <f aca="false">IF((E247="y"),H247," ")</f>
        <v> </v>
      </c>
      <c r="AH247" s="17" t="str">
        <f aca="false">IF((E247="z"),H247," ")</f>
        <v> </v>
      </c>
      <c r="AI247" s="17" t="str">
        <f aca="false">IF((E247="fa"),H247," ")</f>
        <v> </v>
      </c>
      <c r="AJ247" s="17" t="str">
        <f aca="false">IF((E247="e"),H247," ")</f>
        <v> </v>
      </c>
    </row>
    <row r="248" customFormat="false" ht="12" hidden="false" customHeight="false" outlineLevel="0" collapsed="false">
      <c r="A248" s="28"/>
      <c r="E248" s="2" t="str">
        <f aca="false">IF((F248&lt;&gt;0),"Enter Letter"," ")</f>
        <v> </v>
      </c>
      <c r="F248" s="30"/>
      <c r="G248" s="6" t="str">
        <f aca="false">IF(F248&lt;&gt;0,F248*G$2/(100+G$2)," ")</f>
        <v> </v>
      </c>
      <c r="H248" s="6" t="str">
        <f aca="false">IF((F248&lt;&gt;0),F248-G248," ")</f>
        <v> </v>
      </c>
      <c r="I248" s="5"/>
      <c r="L248" s="7" t="str">
        <f aca="false">IF(F248&lt;&gt;0,F248-K248," ")</f>
        <v> </v>
      </c>
      <c r="M248" s="8" t="str">
        <f aca="false">IF((F248-K248)&lt;&gt;0,M$1-A248," ")</f>
        <v> </v>
      </c>
      <c r="N248" s="5"/>
      <c r="O248" s="17" t="str">
        <f aca="false">IF((E248="s"),H248," ")</f>
        <v> </v>
      </c>
      <c r="P248" s="17" t="str">
        <f aca="false">IF((E248="c"),H248," ")</f>
        <v> </v>
      </c>
      <c r="Q248" s="17" t="str">
        <f aca="false">IF((E248="o"),H248," ")</f>
        <v> </v>
      </c>
      <c r="R248" s="17" t="str">
        <f aca="false">IF((E248="d"),H248," ")</f>
        <v> </v>
      </c>
      <c r="S248" s="17" t="str">
        <f aca="false">IF((E248="w"),H248," ")</f>
        <v> </v>
      </c>
      <c r="T248" s="17" t="str">
        <f aca="false">IF((E248="r"),H248," ")</f>
        <v> </v>
      </c>
      <c r="U248" s="17" t="str">
        <f aca="false">IF((E248="p"),H248," ")</f>
        <v> </v>
      </c>
      <c r="V248" s="17" t="str">
        <f aca="false">IF((E248="t"),H248," ")</f>
        <v> </v>
      </c>
      <c r="W248" s="17" t="str">
        <f aca="false">IF((E248="q"),H248," ")</f>
        <v> </v>
      </c>
      <c r="X248" s="17" t="str">
        <f aca="false">IF((E248="m"),H248," ")</f>
        <v> </v>
      </c>
      <c r="Y248" s="17" t="str">
        <f aca="false">IF((E248="u"),H248," ")</f>
        <v> </v>
      </c>
      <c r="Z248" s="17" t="str">
        <f aca="false">IF((E248="a"),H248," ")</f>
        <v> </v>
      </c>
      <c r="AA248" s="17" t="str">
        <f aca="false">IF((E248="g"),H248," ")</f>
        <v> </v>
      </c>
      <c r="AB248" s="17" t="str">
        <f aca="false">IF((E248="h"),H248," ")</f>
        <v> </v>
      </c>
      <c r="AC248" s="30" t="str">
        <f aca="false">IF((E248="v"),H248," ")</f>
        <v> </v>
      </c>
      <c r="AD248" s="30" t="str">
        <f aca="false">IF((E248="n"),H248," ")</f>
        <v> </v>
      </c>
      <c r="AE248" s="17" t="str">
        <f aca="false">IF((E248="f"),H248," ")</f>
        <v> </v>
      </c>
      <c r="AF248" s="17" t="str">
        <f aca="false">IF((E248="l"),H248," ")</f>
        <v> </v>
      </c>
      <c r="AG248" s="17" t="str">
        <f aca="false">IF((E248="y"),H248," ")</f>
        <v> </v>
      </c>
      <c r="AH248" s="17" t="str">
        <f aca="false">IF((E248="z"),H248," ")</f>
        <v> </v>
      </c>
      <c r="AI248" s="17" t="str">
        <f aca="false">IF((E248="fa"),H248," ")</f>
        <v> </v>
      </c>
      <c r="AJ248" s="17" t="str">
        <f aca="false">IF((E248="e"),H248," ")</f>
        <v> </v>
      </c>
    </row>
    <row r="249" customFormat="false" ht="12" hidden="false" customHeight="false" outlineLevel="0" collapsed="false">
      <c r="A249" s="28"/>
      <c r="E249" s="2" t="str">
        <f aca="false">IF((F249&lt;&gt;0),"Enter Letter"," ")</f>
        <v> </v>
      </c>
      <c r="F249" s="30"/>
      <c r="G249" s="6" t="str">
        <f aca="false">IF(F249&lt;&gt;0,F249*G$2/(100+G$2)," ")</f>
        <v> </v>
      </c>
      <c r="H249" s="6" t="str">
        <f aca="false">IF((F249&lt;&gt;0),F249-G249," ")</f>
        <v> </v>
      </c>
      <c r="I249" s="5"/>
      <c r="L249" s="7" t="str">
        <f aca="false">IF(F249&lt;&gt;0,F249-K249," ")</f>
        <v> </v>
      </c>
      <c r="M249" s="8" t="str">
        <f aca="false">IF((F249-K249)&lt;&gt;0,M$1-A249," ")</f>
        <v> </v>
      </c>
      <c r="N249" s="5"/>
      <c r="O249" s="17" t="str">
        <f aca="false">IF((E249="s"),H249," ")</f>
        <v> </v>
      </c>
      <c r="P249" s="17" t="str">
        <f aca="false">IF((E249="c"),H249," ")</f>
        <v> </v>
      </c>
      <c r="Q249" s="17" t="str">
        <f aca="false">IF((E249="o"),H249," ")</f>
        <v> </v>
      </c>
      <c r="R249" s="17" t="str">
        <f aca="false">IF((E249="d"),H249," ")</f>
        <v> </v>
      </c>
      <c r="S249" s="17" t="str">
        <f aca="false">IF((E249="w"),H249," ")</f>
        <v> </v>
      </c>
      <c r="T249" s="17" t="str">
        <f aca="false">IF((E249="r"),H249," ")</f>
        <v> </v>
      </c>
      <c r="U249" s="17" t="str">
        <f aca="false">IF((E249="p"),H249," ")</f>
        <v> </v>
      </c>
      <c r="V249" s="17" t="str">
        <f aca="false">IF((E249="t"),H249," ")</f>
        <v> </v>
      </c>
      <c r="W249" s="17" t="str">
        <f aca="false">IF((E249="q"),H249," ")</f>
        <v> </v>
      </c>
      <c r="X249" s="17" t="str">
        <f aca="false">IF((E249="m"),H249," ")</f>
        <v> </v>
      </c>
      <c r="Y249" s="17" t="str">
        <f aca="false">IF((E249="u"),H249," ")</f>
        <v> </v>
      </c>
      <c r="Z249" s="17" t="str">
        <f aca="false">IF((E249="a"),H249," ")</f>
        <v> </v>
      </c>
      <c r="AA249" s="17" t="str">
        <f aca="false">IF((E249="g"),H249," ")</f>
        <v> </v>
      </c>
      <c r="AB249" s="17" t="str">
        <f aca="false">IF((E249="h"),H249," ")</f>
        <v> </v>
      </c>
      <c r="AC249" s="30" t="str">
        <f aca="false">IF((E249="v"),H249," ")</f>
        <v> </v>
      </c>
      <c r="AD249" s="30" t="str">
        <f aca="false">IF((E249="n"),H249," ")</f>
        <v> </v>
      </c>
      <c r="AE249" s="17" t="str">
        <f aca="false">IF((E249="f"),H249," ")</f>
        <v> </v>
      </c>
      <c r="AF249" s="17" t="str">
        <f aca="false">IF((E249="l"),H249," ")</f>
        <v> </v>
      </c>
      <c r="AG249" s="17" t="str">
        <f aca="false">IF((E249="y"),H249," ")</f>
        <v> </v>
      </c>
      <c r="AH249" s="17" t="str">
        <f aca="false">IF((E249="z"),H249," ")</f>
        <v> </v>
      </c>
      <c r="AI249" s="17" t="str">
        <f aca="false">IF((E249="fa"),H249," ")</f>
        <v> </v>
      </c>
      <c r="AJ249" s="17" t="str">
        <f aca="false">IF((E249="e"),H249," ")</f>
        <v> </v>
      </c>
    </row>
    <row r="250" customFormat="false" ht="12" hidden="false" customHeight="false" outlineLevel="0" collapsed="false">
      <c r="A250" s="28"/>
      <c r="E250" s="2" t="str">
        <f aca="false">IF((F250&lt;&gt;0),"Enter Letter"," ")</f>
        <v> </v>
      </c>
      <c r="F250" s="30"/>
      <c r="G250" s="6" t="str">
        <f aca="false">IF(F250&lt;&gt;0,F250*G$2/(100+G$2)," ")</f>
        <v> </v>
      </c>
      <c r="H250" s="6" t="str">
        <f aca="false">IF((F250&lt;&gt;0),F250-G250," ")</f>
        <v> </v>
      </c>
      <c r="I250" s="5"/>
      <c r="L250" s="7" t="str">
        <f aca="false">IF(F250&lt;&gt;0,F250-K250," ")</f>
        <v> </v>
      </c>
      <c r="M250" s="8" t="str">
        <f aca="false">IF((F250-K250)&lt;&gt;0,M$1-A250," ")</f>
        <v> </v>
      </c>
      <c r="N250" s="5"/>
      <c r="O250" s="17" t="str">
        <f aca="false">IF((E250="s"),H250," ")</f>
        <v> </v>
      </c>
      <c r="P250" s="17" t="str">
        <f aca="false">IF((E250="c"),H250," ")</f>
        <v> </v>
      </c>
      <c r="Q250" s="17" t="str">
        <f aca="false">IF((E250="o"),H250," ")</f>
        <v> </v>
      </c>
      <c r="R250" s="17" t="str">
        <f aca="false">IF((E250="d"),H250," ")</f>
        <v> </v>
      </c>
      <c r="S250" s="17" t="str">
        <f aca="false">IF((E250="w"),H250," ")</f>
        <v> </v>
      </c>
      <c r="T250" s="17" t="str">
        <f aca="false">IF((E250="r"),H250," ")</f>
        <v> </v>
      </c>
      <c r="U250" s="17" t="str">
        <f aca="false">IF((E250="p"),H250," ")</f>
        <v> </v>
      </c>
      <c r="V250" s="17" t="str">
        <f aca="false">IF((E250="t"),H250," ")</f>
        <v> </v>
      </c>
      <c r="W250" s="17" t="str">
        <f aca="false">IF((E250="q"),H250," ")</f>
        <v> </v>
      </c>
      <c r="X250" s="17" t="str">
        <f aca="false">IF((E250="m"),H250," ")</f>
        <v> </v>
      </c>
      <c r="Y250" s="17" t="str">
        <f aca="false">IF((E250="u"),H250," ")</f>
        <v> </v>
      </c>
      <c r="Z250" s="17" t="str">
        <f aca="false">IF((E250="a"),H250," ")</f>
        <v> </v>
      </c>
      <c r="AA250" s="17" t="str">
        <f aca="false">IF((E250="g"),H250," ")</f>
        <v> </v>
      </c>
      <c r="AB250" s="17" t="str">
        <f aca="false">IF((E250="h"),H250," ")</f>
        <v> </v>
      </c>
      <c r="AC250" s="30" t="str">
        <f aca="false">IF((E250="v"),H250," ")</f>
        <v> </v>
      </c>
      <c r="AD250" s="30" t="str">
        <f aca="false">IF((E250="n"),H250," ")</f>
        <v> </v>
      </c>
      <c r="AE250" s="17" t="str">
        <f aca="false">IF((E250="f"),H250," ")</f>
        <v> </v>
      </c>
      <c r="AF250" s="17" t="str">
        <f aca="false">IF((E250="l"),H250," ")</f>
        <v> </v>
      </c>
      <c r="AG250" s="17" t="str">
        <f aca="false">IF((E250="y"),H250," ")</f>
        <v> </v>
      </c>
      <c r="AH250" s="17" t="str">
        <f aca="false">IF((E250="z"),H250," ")</f>
        <v> </v>
      </c>
      <c r="AI250" s="17" t="str">
        <f aca="false">IF((E250="fa"),H250," ")</f>
        <v> </v>
      </c>
      <c r="AJ250" s="17" t="str">
        <f aca="false">IF((E250="e"),H250," ")</f>
        <v> </v>
      </c>
    </row>
    <row r="251" customFormat="false" ht="12" hidden="false" customHeight="false" outlineLevel="0" collapsed="false">
      <c r="A251" s="28"/>
      <c r="E251" s="2" t="str">
        <f aca="false">IF((F251&lt;&gt;0),"Enter Letter"," ")</f>
        <v> </v>
      </c>
      <c r="F251" s="30"/>
      <c r="G251" s="6" t="str">
        <f aca="false">IF(F251&lt;&gt;0,F251*G$2/(100+G$2)," ")</f>
        <v> </v>
      </c>
      <c r="H251" s="6" t="str">
        <f aca="false">IF((F251&lt;&gt;0),F251-G251," ")</f>
        <v> </v>
      </c>
      <c r="I251" s="5"/>
      <c r="L251" s="7" t="str">
        <f aca="false">IF(F251&lt;&gt;0,F251-K251," ")</f>
        <v> </v>
      </c>
      <c r="M251" s="8" t="str">
        <f aca="false">IF((F251-K251)&lt;&gt;0,M$1-A251," ")</f>
        <v> </v>
      </c>
      <c r="N251" s="5"/>
      <c r="O251" s="17" t="str">
        <f aca="false">IF((E251="s"),H251," ")</f>
        <v> </v>
      </c>
      <c r="P251" s="17" t="str">
        <f aca="false">IF((E251="c"),H251," ")</f>
        <v> </v>
      </c>
      <c r="Q251" s="17" t="str">
        <f aca="false">IF((E251="o"),H251," ")</f>
        <v> </v>
      </c>
      <c r="R251" s="17" t="str">
        <f aca="false">IF((E251="d"),H251," ")</f>
        <v> </v>
      </c>
      <c r="S251" s="17" t="str">
        <f aca="false">IF((E251="w"),H251," ")</f>
        <v> </v>
      </c>
      <c r="T251" s="17" t="str">
        <f aca="false">IF((E251="r"),H251," ")</f>
        <v> </v>
      </c>
      <c r="U251" s="17" t="str">
        <f aca="false">IF((E251="p"),H251," ")</f>
        <v> </v>
      </c>
      <c r="V251" s="17" t="str">
        <f aca="false">IF((E251="t"),H251," ")</f>
        <v> </v>
      </c>
      <c r="W251" s="17" t="str">
        <f aca="false">IF((E251="q"),H251," ")</f>
        <v> </v>
      </c>
      <c r="X251" s="17" t="str">
        <f aca="false">IF((E251="m"),H251," ")</f>
        <v> </v>
      </c>
      <c r="Y251" s="17" t="str">
        <f aca="false">IF((E251="u"),H251," ")</f>
        <v> </v>
      </c>
      <c r="Z251" s="17" t="str">
        <f aca="false">IF((E251="a"),H251," ")</f>
        <v> </v>
      </c>
      <c r="AA251" s="17" t="str">
        <f aca="false">IF((E251="g"),H251," ")</f>
        <v> </v>
      </c>
      <c r="AB251" s="17" t="str">
        <f aca="false">IF((E251="h"),H251," ")</f>
        <v> </v>
      </c>
      <c r="AC251" s="30" t="str">
        <f aca="false">IF((E251="v"),H251," ")</f>
        <v> </v>
      </c>
      <c r="AD251" s="30" t="str">
        <f aca="false">IF((E251="n"),H251," ")</f>
        <v> </v>
      </c>
      <c r="AE251" s="17" t="str">
        <f aca="false">IF((E251="f"),H251," ")</f>
        <v> </v>
      </c>
      <c r="AF251" s="17" t="str">
        <f aca="false">IF((E251="l"),H251," ")</f>
        <v> </v>
      </c>
      <c r="AG251" s="17" t="str">
        <f aca="false">IF((E251="y"),H251," ")</f>
        <v> </v>
      </c>
      <c r="AH251" s="17" t="str">
        <f aca="false">IF((E251="z"),H251," ")</f>
        <v> </v>
      </c>
      <c r="AI251" s="17" t="str">
        <f aca="false">IF((E251="fa"),H251," ")</f>
        <v> </v>
      </c>
      <c r="AJ251" s="17" t="str">
        <f aca="false">IF((E251="e"),H251," ")</f>
        <v> </v>
      </c>
    </row>
    <row r="252" customFormat="false" ht="12" hidden="false" customHeight="false" outlineLevel="0" collapsed="false">
      <c r="A252" s="28"/>
      <c r="E252" s="2" t="str">
        <f aca="false">IF((F252&lt;&gt;0),"Enter Letter"," ")</f>
        <v> </v>
      </c>
      <c r="F252" s="30"/>
      <c r="G252" s="6" t="str">
        <f aca="false">IF(F252&lt;&gt;0,F252*G$2/(100+G$2)," ")</f>
        <v> </v>
      </c>
      <c r="H252" s="6" t="str">
        <f aca="false">IF((F252&lt;&gt;0),F252-G252," ")</f>
        <v> </v>
      </c>
      <c r="I252" s="5"/>
      <c r="L252" s="7" t="str">
        <f aca="false">IF(F252&lt;&gt;0,F252-K252," ")</f>
        <v> </v>
      </c>
      <c r="M252" s="8" t="str">
        <f aca="false">IF((F252-K252)&lt;&gt;0,M$1-A252," ")</f>
        <v> </v>
      </c>
      <c r="N252" s="5"/>
      <c r="O252" s="17" t="str">
        <f aca="false">IF((E252="s"),H252," ")</f>
        <v> </v>
      </c>
      <c r="P252" s="17" t="str">
        <f aca="false">IF((E252="c"),H252," ")</f>
        <v> </v>
      </c>
      <c r="Q252" s="17" t="str">
        <f aca="false">IF((E252="o"),H252," ")</f>
        <v> </v>
      </c>
      <c r="R252" s="17" t="str">
        <f aca="false">IF((E252="d"),H252," ")</f>
        <v> </v>
      </c>
      <c r="S252" s="17" t="str">
        <f aca="false">IF((E252="w"),H252," ")</f>
        <v> </v>
      </c>
      <c r="T252" s="17" t="str">
        <f aca="false">IF((E252="r"),H252," ")</f>
        <v> </v>
      </c>
      <c r="U252" s="17" t="str">
        <f aca="false">IF((E252="p"),H252," ")</f>
        <v> </v>
      </c>
      <c r="V252" s="17" t="str">
        <f aca="false">IF((E252="t"),H252," ")</f>
        <v> </v>
      </c>
      <c r="W252" s="17" t="str">
        <f aca="false">IF((E252="q"),H252," ")</f>
        <v> </v>
      </c>
      <c r="X252" s="17" t="str">
        <f aca="false">IF((E252="m"),H252," ")</f>
        <v> </v>
      </c>
      <c r="Y252" s="17" t="str">
        <f aca="false">IF((E252="u"),H252," ")</f>
        <v> </v>
      </c>
      <c r="Z252" s="17" t="str">
        <f aca="false">IF((E252="a"),H252," ")</f>
        <v> </v>
      </c>
      <c r="AA252" s="17" t="str">
        <f aca="false">IF((E252="g"),H252," ")</f>
        <v> </v>
      </c>
      <c r="AB252" s="17" t="str">
        <f aca="false">IF((E252="h"),H252," ")</f>
        <v> </v>
      </c>
      <c r="AC252" s="30" t="str">
        <f aca="false">IF((E252="v"),H252," ")</f>
        <v> </v>
      </c>
      <c r="AD252" s="30" t="str">
        <f aca="false">IF((E252="n"),H252," ")</f>
        <v> </v>
      </c>
      <c r="AE252" s="17" t="str">
        <f aca="false">IF((E252="f"),H252," ")</f>
        <v> </v>
      </c>
      <c r="AF252" s="17" t="str">
        <f aca="false">IF((E252="l"),H252," ")</f>
        <v> </v>
      </c>
      <c r="AG252" s="17" t="str">
        <f aca="false">IF((E252="y"),H252," ")</f>
        <v> </v>
      </c>
      <c r="AH252" s="17" t="str">
        <f aca="false">IF((E252="z"),H252," ")</f>
        <v> </v>
      </c>
      <c r="AI252" s="17" t="str">
        <f aca="false">IF((E252="fa"),H252," ")</f>
        <v> </v>
      </c>
      <c r="AJ252" s="17" t="str">
        <f aca="false">IF((E252="e"),H252," ")</f>
        <v> </v>
      </c>
    </row>
    <row r="253" customFormat="false" ht="12" hidden="false" customHeight="false" outlineLevel="0" collapsed="false">
      <c r="A253" s="28"/>
      <c r="E253" s="2" t="str">
        <f aca="false">IF((F253&lt;&gt;0),"Enter Letter"," ")</f>
        <v> </v>
      </c>
      <c r="F253" s="30"/>
      <c r="G253" s="6" t="str">
        <f aca="false">IF(F253&lt;&gt;0,F253*G$2/(100+G$2)," ")</f>
        <v> </v>
      </c>
      <c r="H253" s="6" t="str">
        <f aca="false">IF((F253&lt;&gt;0),F253-G253," ")</f>
        <v> </v>
      </c>
      <c r="I253" s="5"/>
      <c r="L253" s="7" t="str">
        <f aca="false">IF(F253&lt;&gt;0,F253-K253," ")</f>
        <v> </v>
      </c>
      <c r="M253" s="8" t="str">
        <f aca="false">IF((F253-K253)&lt;&gt;0,M$1-A253," ")</f>
        <v> </v>
      </c>
      <c r="N253" s="5"/>
      <c r="O253" s="17" t="str">
        <f aca="false">IF((E253="s"),H253," ")</f>
        <v> </v>
      </c>
      <c r="P253" s="17" t="str">
        <f aca="false">IF((E253="c"),H253," ")</f>
        <v> </v>
      </c>
      <c r="Q253" s="17" t="str">
        <f aca="false">IF((E253="o"),H253," ")</f>
        <v> </v>
      </c>
      <c r="R253" s="17" t="str">
        <f aca="false">IF((E253="d"),H253," ")</f>
        <v> </v>
      </c>
      <c r="S253" s="17" t="str">
        <f aca="false">IF((E253="w"),H253," ")</f>
        <v> </v>
      </c>
      <c r="T253" s="17" t="str">
        <f aca="false">IF((E253="r"),H253," ")</f>
        <v> </v>
      </c>
      <c r="U253" s="17" t="str">
        <f aca="false">IF((E253="p"),H253," ")</f>
        <v> </v>
      </c>
      <c r="V253" s="17" t="str">
        <f aca="false">IF((E253="t"),H253," ")</f>
        <v> </v>
      </c>
      <c r="W253" s="17" t="str">
        <f aca="false">IF((E253="q"),H253," ")</f>
        <v> </v>
      </c>
      <c r="X253" s="17" t="str">
        <f aca="false">IF((E253="m"),H253," ")</f>
        <v> </v>
      </c>
      <c r="Y253" s="17" t="str">
        <f aca="false">IF((E253="u"),H253," ")</f>
        <v> </v>
      </c>
      <c r="Z253" s="17" t="str">
        <f aca="false">IF((E253="a"),H253," ")</f>
        <v> </v>
      </c>
      <c r="AA253" s="17" t="str">
        <f aca="false">IF((E253="g"),H253," ")</f>
        <v> </v>
      </c>
      <c r="AB253" s="17" t="str">
        <f aca="false">IF((E253="h"),H253," ")</f>
        <v> </v>
      </c>
      <c r="AC253" s="30" t="str">
        <f aca="false">IF((E253="v"),H253," ")</f>
        <v> </v>
      </c>
      <c r="AD253" s="30" t="str">
        <f aca="false">IF((E253="n"),H253," ")</f>
        <v> </v>
      </c>
      <c r="AE253" s="17" t="str">
        <f aca="false">IF((E253="f"),H253," ")</f>
        <v> </v>
      </c>
      <c r="AF253" s="17" t="str">
        <f aca="false">IF((E253="l"),H253," ")</f>
        <v> </v>
      </c>
      <c r="AG253" s="17" t="str">
        <f aca="false">IF((E253="y"),H253," ")</f>
        <v> </v>
      </c>
      <c r="AH253" s="17" t="str">
        <f aca="false">IF((E253="z"),H253," ")</f>
        <v> </v>
      </c>
      <c r="AI253" s="17" t="str">
        <f aca="false">IF((E253="fa"),H253," ")</f>
        <v> </v>
      </c>
      <c r="AJ253" s="17" t="str">
        <f aca="false">IF((E253="e"),H253," ")</f>
        <v> </v>
      </c>
    </row>
    <row r="254" customFormat="false" ht="12" hidden="false" customHeight="false" outlineLevel="0" collapsed="false">
      <c r="A254" s="28"/>
      <c r="E254" s="2" t="str">
        <f aca="false">IF((F254&lt;&gt;0),"Enter Letter"," ")</f>
        <v> </v>
      </c>
      <c r="F254" s="30"/>
      <c r="G254" s="6" t="str">
        <f aca="false">IF(F254&lt;&gt;0,F254*G$2/(100+G$2)," ")</f>
        <v> </v>
      </c>
      <c r="H254" s="6" t="str">
        <f aca="false">IF((F254&lt;&gt;0),F254-G254," ")</f>
        <v> </v>
      </c>
      <c r="I254" s="5"/>
      <c r="L254" s="7" t="str">
        <f aca="false">IF(F254&lt;&gt;0,F254-K254," ")</f>
        <v> </v>
      </c>
      <c r="M254" s="8" t="str">
        <f aca="false">IF((F254-K254)&lt;&gt;0,M$1-A254," ")</f>
        <v> </v>
      </c>
      <c r="N254" s="5"/>
      <c r="O254" s="17" t="str">
        <f aca="false">IF((E254="s"),H254," ")</f>
        <v> </v>
      </c>
      <c r="P254" s="17" t="str">
        <f aca="false">IF((E254="c"),H254," ")</f>
        <v> </v>
      </c>
      <c r="Q254" s="17" t="str">
        <f aca="false">IF((E254="o"),H254," ")</f>
        <v> </v>
      </c>
      <c r="R254" s="17" t="str">
        <f aca="false">IF((E254="d"),H254," ")</f>
        <v> </v>
      </c>
      <c r="S254" s="17" t="str">
        <f aca="false">IF((E254="w"),H254," ")</f>
        <v> </v>
      </c>
      <c r="T254" s="17" t="str">
        <f aca="false">IF((E254="r"),H254," ")</f>
        <v> </v>
      </c>
      <c r="U254" s="17" t="str">
        <f aca="false">IF((E254="p"),H254," ")</f>
        <v> </v>
      </c>
      <c r="V254" s="17" t="str">
        <f aca="false">IF((E254="t"),H254," ")</f>
        <v> </v>
      </c>
      <c r="W254" s="17" t="str">
        <f aca="false">IF((E254="q"),H254," ")</f>
        <v> </v>
      </c>
      <c r="X254" s="17" t="str">
        <f aca="false">IF((E254="m"),H254," ")</f>
        <v> </v>
      </c>
      <c r="Y254" s="17" t="str">
        <f aca="false">IF((E254="u"),H254," ")</f>
        <v> </v>
      </c>
      <c r="Z254" s="17" t="str">
        <f aca="false">IF((E254="a"),H254," ")</f>
        <v> </v>
      </c>
      <c r="AA254" s="17" t="str">
        <f aca="false">IF((E254="g"),H254," ")</f>
        <v> </v>
      </c>
      <c r="AB254" s="17" t="str">
        <f aca="false">IF((E254="h"),H254," ")</f>
        <v> </v>
      </c>
      <c r="AC254" s="30" t="str">
        <f aca="false">IF((E254="v"),H254," ")</f>
        <v> </v>
      </c>
      <c r="AD254" s="30" t="str">
        <f aca="false">IF((E254="n"),H254," ")</f>
        <v> </v>
      </c>
      <c r="AE254" s="17" t="str">
        <f aca="false">IF((E254="f"),H254," ")</f>
        <v> </v>
      </c>
      <c r="AF254" s="17" t="str">
        <f aca="false">IF((E254="l"),H254," ")</f>
        <v> </v>
      </c>
      <c r="AG254" s="17" t="str">
        <f aca="false">IF((E254="y"),H254," ")</f>
        <v> </v>
      </c>
      <c r="AH254" s="17" t="str">
        <f aca="false">IF((E254="z"),H254," ")</f>
        <v> </v>
      </c>
      <c r="AI254" s="17" t="str">
        <f aca="false">IF((E254="fa"),H254," ")</f>
        <v> </v>
      </c>
      <c r="AJ254" s="17" t="str">
        <f aca="false">IF((E254="e"),H254," ")</f>
        <v> </v>
      </c>
    </row>
    <row r="255" customFormat="false" ht="12" hidden="false" customHeight="false" outlineLevel="0" collapsed="false">
      <c r="A255" s="28"/>
      <c r="E255" s="2" t="str">
        <f aca="false">IF((F255&lt;&gt;0),"Enter Letter"," ")</f>
        <v> </v>
      </c>
      <c r="F255" s="30"/>
      <c r="G255" s="6" t="str">
        <f aca="false">IF(F255&lt;&gt;0,F255*G$2/(100+G$2)," ")</f>
        <v> </v>
      </c>
      <c r="H255" s="6" t="str">
        <f aca="false">IF((F255&lt;&gt;0),F255-G255," ")</f>
        <v> </v>
      </c>
      <c r="I255" s="5"/>
      <c r="L255" s="7" t="str">
        <f aca="false">IF(F255&lt;&gt;0,F255-K255," ")</f>
        <v> </v>
      </c>
      <c r="M255" s="8" t="str">
        <f aca="false">IF((F255-K255)&lt;&gt;0,M$1-A255," ")</f>
        <v> </v>
      </c>
      <c r="N255" s="5"/>
      <c r="O255" s="17" t="str">
        <f aca="false">IF((E255="s"),H255," ")</f>
        <v> </v>
      </c>
      <c r="P255" s="17" t="str">
        <f aca="false">IF((E255="c"),H255," ")</f>
        <v> </v>
      </c>
      <c r="Q255" s="17" t="str">
        <f aca="false">IF((E255="o"),H255," ")</f>
        <v> </v>
      </c>
      <c r="R255" s="17" t="str">
        <f aca="false">IF((E255="d"),H255," ")</f>
        <v> </v>
      </c>
      <c r="S255" s="17" t="str">
        <f aca="false">IF((E255="w"),H255," ")</f>
        <v> </v>
      </c>
      <c r="T255" s="17" t="str">
        <f aca="false">IF((E255="r"),H255," ")</f>
        <v> </v>
      </c>
      <c r="U255" s="17" t="str">
        <f aca="false">IF((E255="p"),H255," ")</f>
        <v> </v>
      </c>
      <c r="V255" s="17" t="str">
        <f aca="false">IF((E255="t"),H255," ")</f>
        <v> </v>
      </c>
      <c r="W255" s="17" t="str">
        <f aca="false">IF((E255="q"),H255," ")</f>
        <v> </v>
      </c>
      <c r="X255" s="17" t="str">
        <f aca="false">IF((E255="m"),H255," ")</f>
        <v> </v>
      </c>
      <c r="Y255" s="17" t="str">
        <f aca="false">IF((E255="u"),H255," ")</f>
        <v> </v>
      </c>
      <c r="Z255" s="17" t="str">
        <f aca="false">IF((E255="a"),H255," ")</f>
        <v> </v>
      </c>
      <c r="AA255" s="17" t="str">
        <f aca="false">IF((E255="g"),H255," ")</f>
        <v> </v>
      </c>
      <c r="AB255" s="17" t="str">
        <f aca="false">IF((E255="h"),H255," ")</f>
        <v> </v>
      </c>
      <c r="AC255" s="30" t="str">
        <f aca="false">IF((E255="v"),H255," ")</f>
        <v> </v>
      </c>
      <c r="AD255" s="30" t="str">
        <f aca="false">IF((E255="n"),H255," ")</f>
        <v> </v>
      </c>
      <c r="AE255" s="17" t="str">
        <f aca="false">IF((E255="f"),H255," ")</f>
        <v> </v>
      </c>
      <c r="AF255" s="17" t="str">
        <f aca="false">IF((E255="l"),H255," ")</f>
        <v> </v>
      </c>
      <c r="AG255" s="17" t="str">
        <f aca="false">IF((E255="y"),H255," ")</f>
        <v> </v>
      </c>
      <c r="AH255" s="17" t="str">
        <f aca="false">IF((E255="z"),H255," ")</f>
        <v> </v>
      </c>
      <c r="AI255" s="17" t="str">
        <f aca="false">IF((E255="fa"),H255," ")</f>
        <v> </v>
      </c>
      <c r="AJ255" s="17" t="str">
        <f aca="false">IF((E255="e"),H255," ")</f>
        <v> </v>
      </c>
    </row>
    <row r="256" customFormat="false" ht="12" hidden="false" customHeight="false" outlineLevel="0" collapsed="false">
      <c r="A256" s="28"/>
      <c r="E256" s="2" t="str">
        <f aca="false">IF((F256&lt;&gt;0),"Enter Letter"," ")</f>
        <v> </v>
      </c>
      <c r="F256" s="30"/>
      <c r="G256" s="6" t="str">
        <f aca="false">IF(F256&lt;&gt;0,F256*G$2/(100+G$2)," ")</f>
        <v> </v>
      </c>
      <c r="H256" s="6" t="str">
        <f aca="false">IF((F256&lt;&gt;0),F256-G256," ")</f>
        <v> </v>
      </c>
      <c r="I256" s="5"/>
      <c r="L256" s="7" t="str">
        <f aca="false">IF(F256&lt;&gt;0,F256-K256," ")</f>
        <v> </v>
      </c>
      <c r="M256" s="8" t="str">
        <f aca="false">IF((F256-K256)&lt;&gt;0,M$1-A256," ")</f>
        <v> </v>
      </c>
      <c r="N256" s="5"/>
      <c r="O256" s="17" t="str">
        <f aca="false">IF((E256="s"),H256," ")</f>
        <v> </v>
      </c>
      <c r="P256" s="17" t="str">
        <f aca="false">IF((E256="c"),H256," ")</f>
        <v> </v>
      </c>
      <c r="Q256" s="17" t="str">
        <f aca="false">IF((E256="o"),H256," ")</f>
        <v> </v>
      </c>
      <c r="R256" s="17" t="str">
        <f aca="false">IF((E256="d"),H256," ")</f>
        <v> </v>
      </c>
      <c r="S256" s="17" t="str">
        <f aca="false">IF((E256="w"),H256," ")</f>
        <v> </v>
      </c>
      <c r="T256" s="17" t="str">
        <f aca="false">IF((E256="r"),H256," ")</f>
        <v> </v>
      </c>
      <c r="U256" s="17" t="str">
        <f aca="false">IF((E256="p"),H256," ")</f>
        <v> </v>
      </c>
      <c r="V256" s="17" t="str">
        <f aca="false">IF((E256="t"),H256," ")</f>
        <v> </v>
      </c>
      <c r="W256" s="17" t="str">
        <f aca="false">IF((E256="q"),H256," ")</f>
        <v> </v>
      </c>
      <c r="X256" s="17" t="str">
        <f aca="false">IF((E256="m"),H256," ")</f>
        <v> </v>
      </c>
      <c r="Y256" s="17" t="str">
        <f aca="false">IF((E256="u"),H256," ")</f>
        <v> </v>
      </c>
      <c r="Z256" s="17" t="str">
        <f aca="false">IF((E256="a"),H256," ")</f>
        <v> </v>
      </c>
      <c r="AA256" s="17" t="str">
        <f aca="false">IF((E256="g"),H256," ")</f>
        <v> </v>
      </c>
      <c r="AB256" s="17" t="str">
        <f aca="false">IF((E256="h"),H256," ")</f>
        <v> </v>
      </c>
      <c r="AC256" s="30" t="str">
        <f aca="false">IF((E256="v"),H256," ")</f>
        <v> </v>
      </c>
      <c r="AD256" s="30" t="str">
        <f aca="false">IF((E256="n"),H256," ")</f>
        <v> </v>
      </c>
      <c r="AE256" s="17" t="str">
        <f aca="false">IF((E256="f"),H256," ")</f>
        <v> </v>
      </c>
      <c r="AF256" s="17" t="str">
        <f aca="false">IF((E256="l"),H256," ")</f>
        <v> </v>
      </c>
      <c r="AG256" s="17" t="str">
        <f aca="false">IF((E256="y"),H256," ")</f>
        <v> </v>
      </c>
      <c r="AH256" s="17" t="str">
        <f aca="false">IF((E256="z"),H256," ")</f>
        <v> </v>
      </c>
      <c r="AI256" s="17" t="str">
        <f aca="false">IF((E256="fa"),H256," ")</f>
        <v> </v>
      </c>
      <c r="AJ256" s="17" t="str">
        <f aca="false">IF((E256="e"),H256," ")</f>
        <v> </v>
      </c>
    </row>
    <row r="257" customFormat="false" ht="12" hidden="false" customHeight="false" outlineLevel="0" collapsed="false">
      <c r="A257" s="28"/>
      <c r="E257" s="2" t="str">
        <f aca="false">IF((F257&lt;&gt;0),"Enter Letter"," ")</f>
        <v> </v>
      </c>
      <c r="F257" s="30"/>
      <c r="G257" s="6" t="str">
        <f aca="false">IF(F257&lt;&gt;0,F257*G$2/(100+G$2)," ")</f>
        <v> </v>
      </c>
      <c r="H257" s="6" t="str">
        <f aca="false">IF((F257&lt;&gt;0),F257-G257," ")</f>
        <v> </v>
      </c>
      <c r="I257" s="5"/>
      <c r="L257" s="7" t="str">
        <f aca="false">IF(F257&lt;&gt;0,F257-K257," ")</f>
        <v> </v>
      </c>
      <c r="M257" s="8" t="str">
        <f aca="false">IF((F257-K257)&lt;&gt;0,M$1-A257," ")</f>
        <v> </v>
      </c>
      <c r="N257" s="5"/>
      <c r="O257" s="17" t="str">
        <f aca="false">IF((E257="s"),H257," ")</f>
        <v> </v>
      </c>
      <c r="P257" s="17" t="str">
        <f aca="false">IF((E257="c"),H257," ")</f>
        <v> </v>
      </c>
      <c r="Q257" s="17" t="str">
        <f aca="false">IF((E257="o"),H257," ")</f>
        <v> </v>
      </c>
      <c r="R257" s="17" t="str">
        <f aca="false">IF((E257="d"),H257," ")</f>
        <v> </v>
      </c>
      <c r="S257" s="17" t="str">
        <f aca="false">IF((E257="w"),H257," ")</f>
        <v> </v>
      </c>
      <c r="T257" s="17" t="str">
        <f aca="false">IF((E257="r"),H257," ")</f>
        <v> </v>
      </c>
      <c r="U257" s="17" t="str">
        <f aca="false">IF((E257="p"),H257," ")</f>
        <v> </v>
      </c>
      <c r="V257" s="17" t="str">
        <f aca="false">IF((E257="t"),H257," ")</f>
        <v> </v>
      </c>
      <c r="W257" s="17" t="str">
        <f aca="false">IF((E257="q"),H257," ")</f>
        <v> </v>
      </c>
      <c r="X257" s="17" t="str">
        <f aca="false">IF((E257="m"),H257," ")</f>
        <v> </v>
      </c>
      <c r="Y257" s="17" t="str">
        <f aca="false">IF((E257="u"),H257," ")</f>
        <v> </v>
      </c>
      <c r="Z257" s="17" t="str">
        <f aca="false">IF((E257="a"),H257," ")</f>
        <v> </v>
      </c>
      <c r="AA257" s="17" t="str">
        <f aca="false">IF((E257="g"),H257," ")</f>
        <v> </v>
      </c>
      <c r="AB257" s="17" t="str">
        <f aca="false">IF((E257="h"),H257," ")</f>
        <v> </v>
      </c>
      <c r="AC257" s="30" t="str">
        <f aca="false">IF((E257="v"),H257," ")</f>
        <v> </v>
      </c>
      <c r="AD257" s="30" t="str">
        <f aca="false">IF((E257="n"),H257," ")</f>
        <v> </v>
      </c>
      <c r="AE257" s="17" t="str">
        <f aca="false">IF((E257="f"),H257," ")</f>
        <v> </v>
      </c>
      <c r="AF257" s="17" t="str">
        <f aca="false">IF((E257="l"),H257," ")</f>
        <v> </v>
      </c>
      <c r="AG257" s="17" t="str">
        <f aca="false">IF((E257="y"),H257," ")</f>
        <v> </v>
      </c>
      <c r="AH257" s="17" t="str">
        <f aca="false">IF((E257="z"),H257," ")</f>
        <v> </v>
      </c>
      <c r="AI257" s="17" t="str">
        <f aca="false">IF((E257="fa"),H257," ")</f>
        <v> </v>
      </c>
      <c r="AJ257" s="17" t="str">
        <f aca="false">IF((E257="e"),H257," ")</f>
        <v> </v>
      </c>
    </row>
    <row r="258" customFormat="false" ht="12" hidden="false" customHeight="false" outlineLevel="0" collapsed="false">
      <c r="A258" s="28"/>
      <c r="E258" s="2" t="str">
        <f aca="false">IF((F258&lt;&gt;0),"Enter Letter"," ")</f>
        <v> </v>
      </c>
      <c r="F258" s="30"/>
      <c r="G258" s="6" t="str">
        <f aca="false">IF(F258&lt;&gt;0,F258*G$2/(100+G$2)," ")</f>
        <v> </v>
      </c>
      <c r="H258" s="6" t="str">
        <f aca="false">IF((F258&lt;&gt;0),F258-G258," ")</f>
        <v> </v>
      </c>
      <c r="I258" s="5"/>
      <c r="L258" s="7" t="str">
        <f aca="false">IF(F258&lt;&gt;0,F258-K258," ")</f>
        <v> </v>
      </c>
      <c r="M258" s="8" t="str">
        <f aca="false">IF((F258-K258)&lt;&gt;0,M$1-A258," ")</f>
        <v> </v>
      </c>
      <c r="N258" s="5"/>
      <c r="O258" s="17" t="str">
        <f aca="false">IF((E258="s"),H258," ")</f>
        <v> </v>
      </c>
      <c r="P258" s="17" t="str">
        <f aca="false">IF((E258="c"),H258," ")</f>
        <v> </v>
      </c>
      <c r="Q258" s="17" t="str">
        <f aca="false">IF((E258="o"),H258," ")</f>
        <v> </v>
      </c>
      <c r="R258" s="17" t="str">
        <f aca="false">IF((E258="d"),H258," ")</f>
        <v> </v>
      </c>
      <c r="S258" s="17" t="str">
        <f aca="false">IF((E258="w"),H258," ")</f>
        <v> </v>
      </c>
      <c r="T258" s="17" t="str">
        <f aca="false">IF((E258="r"),H258," ")</f>
        <v> </v>
      </c>
      <c r="U258" s="17" t="str">
        <f aca="false">IF((E258="p"),H258," ")</f>
        <v> </v>
      </c>
      <c r="V258" s="17" t="str">
        <f aca="false">IF((E258="t"),H258," ")</f>
        <v> </v>
      </c>
      <c r="W258" s="17" t="str">
        <f aca="false">IF((E258="q"),H258," ")</f>
        <v> </v>
      </c>
      <c r="X258" s="17" t="str">
        <f aca="false">IF((E258="m"),H258," ")</f>
        <v> </v>
      </c>
      <c r="Y258" s="17" t="str">
        <f aca="false">IF((E258="u"),H258," ")</f>
        <v> </v>
      </c>
      <c r="Z258" s="17" t="str">
        <f aca="false">IF((E258="a"),H258," ")</f>
        <v> </v>
      </c>
      <c r="AA258" s="17" t="str">
        <f aca="false">IF((E258="g"),H258," ")</f>
        <v> </v>
      </c>
      <c r="AB258" s="17" t="str">
        <f aca="false">IF((E258="h"),H258," ")</f>
        <v> </v>
      </c>
      <c r="AC258" s="30" t="str">
        <f aca="false">IF((E258="v"),H258," ")</f>
        <v> </v>
      </c>
      <c r="AD258" s="30" t="str">
        <f aca="false">IF((E258="n"),H258," ")</f>
        <v> </v>
      </c>
      <c r="AE258" s="17" t="str">
        <f aca="false">IF((E258="f"),H258," ")</f>
        <v> </v>
      </c>
      <c r="AF258" s="17" t="str">
        <f aca="false">IF((E258="l"),H258," ")</f>
        <v> </v>
      </c>
      <c r="AG258" s="17" t="str">
        <f aca="false">IF((E258="y"),H258," ")</f>
        <v> </v>
      </c>
      <c r="AH258" s="17" t="str">
        <f aca="false">IF((E258="z"),H258," ")</f>
        <v> </v>
      </c>
      <c r="AI258" s="17" t="str">
        <f aca="false">IF((E258="fa"),H258," ")</f>
        <v> </v>
      </c>
      <c r="AJ258" s="17" t="str">
        <f aca="false">IF((E258="e"),H258," ")</f>
        <v> </v>
      </c>
    </row>
    <row r="259" customFormat="false" ht="12" hidden="false" customHeight="false" outlineLevel="0" collapsed="false">
      <c r="A259" s="28"/>
      <c r="E259" s="2" t="str">
        <f aca="false">IF((F259&lt;&gt;0),"Enter Letter"," ")</f>
        <v> </v>
      </c>
      <c r="F259" s="30"/>
      <c r="G259" s="6" t="str">
        <f aca="false">IF(F259&lt;&gt;0,F259*G$2/(100+G$2)," ")</f>
        <v> </v>
      </c>
      <c r="H259" s="6" t="str">
        <f aca="false">IF((F259&lt;&gt;0),F259-G259," ")</f>
        <v> </v>
      </c>
      <c r="I259" s="5"/>
      <c r="L259" s="7" t="str">
        <f aca="false">IF(F259&lt;&gt;0,F259-K259," ")</f>
        <v> </v>
      </c>
      <c r="M259" s="8" t="str">
        <f aca="false">IF((F259-K259)&lt;&gt;0,M$1-A259," ")</f>
        <v> </v>
      </c>
      <c r="N259" s="5"/>
      <c r="O259" s="17" t="str">
        <f aca="false">IF((E259="s"),H259," ")</f>
        <v> </v>
      </c>
      <c r="P259" s="17" t="str">
        <f aca="false">IF((E259="c"),H259," ")</f>
        <v> </v>
      </c>
      <c r="Q259" s="17" t="str">
        <f aca="false">IF((E259="o"),H259," ")</f>
        <v> </v>
      </c>
      <c r="R259" s="17" t="str">
        <f aca="false">IF((E259="d"),H259," ")</f>
        <v> </v>
      </c>
      <c r="S259" s="17" t="str">
        <f aca="false">IF((E259="w"),H259," ")</f>
        <v> </v>
      </c>
      <c r="T259" s="17" t="str">
        <f aca="false">IF((E259="r"),H259," ")</f>
        <v> </v>
      </c>
      <c r="U259" s="17" t="str">
        <f aca="false">IF((E259="p"),H259," ")</f>
        <v> </v>
      </c>
      <c r="V259" s="17" t="str">
        <f aca="false">IF((E259="t"),H259," ")</f>
        <v> </v>
      </c>
      <c r="W259" s="17" t="str">
        <f aca="false">IF((E259="q"),H259," ")</f>
        <v> </v>
      </c>
      <c r="X259" s="17" t="str">
        <f aca="false">IF((E259="m"),H259," ")</f>
        <v> </v>
      </c>
      <c r="Y259" s="17" t="str">
        <f aca="false">IF((E259="u"),H259," ")</f>
        <v> </v>
      </c>
      <c r="Z259" s="17" t="str">
        <f aca="false">IF((E259="a"),H259," ")</f>
        <v> </v>
      </c>
      <c r="AA259" s="17" t="str">
        <f aca="false">IF((E259="g"),H259," ")</f>
        <v> </v>
      </c>
      <c r="AB259" s="17" t="str">
        <f aca="false">IF((E259="h"),H259," ")</f>
        <v> </v>
      </c>
      <c r="AC259" s="30" t="str">
        <f aca="false">IF((E259="v"),H259," ")</f>
        <v> </v>
      </c>
      <c r="AD259" s="30" t="str">
        <f aca="false">IF((E259="n"),H259," ")</f>
        <v> </v>
      </c>
      <c r="AE259" s="17" t="str">
        <f aca="false">IF((E259="f"),H259," ")</f>
        <v> </v>
      </c>
      <c r="AF259" s="17" t="str">
        <f aca="false">IF((E259="l"),H259," ")</f>
        <v> </v>
      </c>
      <c r="AG259" s="17" t="str">
        <f aca="false">IF((E259="y"),H259," ")</f>
        <v> </v>
      </c>
      <c r="AH259" s="17" t="str">
        <f aca="false">IF((E259="z"),H259," ")</f>
        <v> </v>
      </c>
      <c r="AI259" s="17" t="str">
        <f aca="false">IF((E259="fa"),H259," ")</f>
        <v> </v>
      </c>
      <c r="AJ259" s="17" t="str">
        <f aca="false">IF((E259="e"),H259," ")</f>
        <v> </v>
      </c>
    </row>
    <row r="260" customFormat="false" ht="12" hidden="false" customHeight="false" outlineLevel="0" collapsed="false">
      <c r="A260" s="28"/>
      <c r="E260" s="2" t="str">
        <f aca="false">IF((F260&lt;&gt;0),"Enter Letter"," ")</f>
        <v> </v>
      </c>
      <c r="F260" s="30"/>
      <c r="G260" s="6" t="str">
        <f aca="false">IF(F260&lt;&gt;0,F260*G$2/(100+G$2)," ")</f>
        <v> </v>
      </c>
      <c r="H260" s="6" t="str">
        <f aca="false">IF((F260&lt;&gt;0),F260-G260," ")</f>
        <v> </v>
      </c>
      <c r="I260" s="5"/>
      <c r="L260" s="7" t="str">
        <f aca="false">IF(F260&lt;&gt;0,F260-K260," ")</f>
        <v> </v>
      </c>
      <c r="M260" s="8" t="str">
        <f aca="false">IF((F260-K260)&lt;&gt;0,M$1-A260," ")</f>
        <v> </v>
      </c>
      <c r="N260" s="5"/>
      <c r="O260" s="17" t="str">
        <f aca="false">IF((E260="s"),H260," ")</f>
        <v> </v>
      </c>
      <c r="P260" s="17" t="str">
        <f aca="false">IF((E260="c"),H260," ")</f>
        <v> </v>
      </c>
      <c r="Q260" s="17" t="str">
        <f aca="false">IF((E260="o"),H260," ")</f>
        <v> </v>
      </c>
      <c r="R260" s="17" t="str">
        <f aca="false">IF((E260="d"),H260," ")</f>
        <v> </v>
      </c>
      <c r="S260" s="17" t="str">
        <f aca="false">IF((E260="w"),H260," ")</f>
        <v> </v>
      </c>
      <c r="T260" s="17" t="str">
        <f aca="false">IF((E260="r"),H260," ")</f>
        <v> </v>
      </c>
      <c r="U260" s="17" t="str">
        <f aca="false">IF((E260="p"),H260," ")</f>
        <v> </v>
      </c>
      <c r="V260" s="17" t="str">
        <f aca="false">IF((E260="t"),H260," ")</f>
        <v> </v>
      </c>
      <c r="W260" s="17" t="str">
        <f aca="false">IF((E260="q"),H260," ")</f>
        <v> </v>
      </c>
      <c r="X260" s="17" t="str">
        <f aca="false">IF((E260="m"),H260," ")</f>
        <v> </v>
      </c>
      <c r="Y260" s="17" t="str">
        <f aca="false">IF((E260="u"),H260," ")</f>
        <v> </v>
      </c>
      <c r="Z260" s="17" t="str">
        <f aca="false">IF((E260="a"),H260," ")</f>
        <v> </v>
      </c>
      <c r="AA260" s="17" t="str">
        <f aca="false">IF((E260="g"),H260," ")</f>
        <v> </v>
      </c>
      <c r="AB260" s="17" t="str">
        <f aca="false">IF((E260="h"),H260," ")</f>
        <v> </v>
      </c>
      <c r="AC260" s="30" t="str">
        <f aca="false">IF((E260="v"),H260," ")</f>
        <v> </v>
      </c>
      <c r="AD260" s="30" t="str">
        <f aca="false">IF((E260="n"),H260," ")</f>
        <v> </v>
      </c>
      <c r="AE260" s="17" t="str">
        <f aca="false">IF((E260="f"),H260," ")</f>
        <v> </v>
      </c>
      <c r="AF260" s="17" t="str">
        <f aca="false">IF((E260="l"),H260," ")</f>
        <v> </v>
      </c>
      <c r="AG260" s="17" t="str">
        <f aca="false">IF((E260="y"),H260," ")</f>
        <v> </v>
      </c>
      <c r="AH260" s="17" t="str">
        <f aca="false">IF((E260="z"),H260," ")</f>
        <v> </v>
      </c>
      <c r="AI260" s="17" t="str">
        <f aca="false">IF((E260="fa"),H260," ")</f>
        <v> </v>
      </c>
      <c r="AJ260" s="17" t="str">
        <f aca="false">IF((E260="e"),H260," ")</f>
        <v> </v>
      </c>
    </row>
    <row r="261" customFormat="false" ht="12" hidden="false" customHeight="false" outlineLevel="0" collapsed="false">
      <c r="A261" s="28"/>
      <c r="E261" s="2" t="str">
        <f aca="false">IF((F261&lt;&gt;0),"Enter Letter"," ")</f>
        <v> </v>
      </c>
      <c r="F261" s="30"/>
      <c r="G261" s="6" t="str">
        <f aca="false">IF(F261&lt;&gt;0,F261*G$2/(100+G$2)," ")</f>
        <v> </v>
      </c>
      <c r="H261" s="6" t="str">
        <f aca="false">IF((F261&lt;&gt;0),F261-G261," ")</f>
        <v> </v>
      </c>
      <c r="I261" s="5"/>
      <c r="L261" s="7" t="str">
        <f aca="false">IF(F261&lt;&gt;0,F261-K261," ")</f>
        <v> </v>
      </c>
      <c r="M261" s="8" t="str">
        <f aca="false">IF((F261-K261)&lt;&gt;0,M$1-A261," ")</f>
        <v> </v>
      </c>
      <c r="N261" s="5"/>
      <c r="O261" s="17" t="str">
        <f aca="false">IF((E261="s"),H261," ")</f>
        <v> </v>
      </c>
      <c r="P261" s="17" t="str">
        <f aca="false">IF((E261="c"),H261," ")</f>
        <v> </v>
      </c>
      <c r="Q261" s="17" t="str">
        <f aca="false">IF((E261="o"),H261," ")</f>
        <v> </v>
      </c>
      <c r="R261" s="17" t="str">
        <f aca="false">IF((E261="d"),H261," ")</f>
        <v> </v>
      </c>
      <c r="S261" s="17" t="str">
        <f aca="false">IF((E261="w"),H261," ")</f>
        <v> </v>
      </c>
      <c r="T261" s="17" t="str">
        <f aca="false">IF((E261="r"),H261," ")</f>
        <v> </v>
      </c>
      <c r="U261" s="17" t="str">
        <f aca="false">IF((E261="p"),H261," ")</f>
        <v> </v>
      </c>
      <c r="V261" s="17" t="str">
        <f aca="false">IF((E261="t"),H261," ")</f>
        <v> </v>
      </c>
      <c r="W261" s="17" t="str">
        <f aca="false">IF((E261="q"),H261," ")</f>
        <v> </v>
      </c>
      <c r="X261" s="17" t="str">
        <f aca="false">IF((E261="m"),H261," ")</f>
        <v> </v>
      </c>
      <c r="Y261" s="17" t="str">
        <f aca="false">IF((E261="u"),H261," ")</f>
        <v> </v>
      </c>
      <c r="Z261" s="17" t="str">
        <f aca="false">IF((E261="a"),H261," ")</f>
        <v> </v>
      </c>
      <c r="AA261" s="17" t="str">
        <f aca="false">IF((E261="g"),H261," ")</f>
        <v> </v>
      </c>
      <c r="AB261" s="17" t="str">
        <f aca="false">IF((E261="h"),H261," ")</f>
        <v> </v>
      </c>
      <c r="AC261" s="30" t="str">
        <f aca="false">IF((E261="v"),H261," ")</f>
        <v> </v>
      </c>
      <c r="AD261" s="30" t="str">
        <f aca="false">IF((E261="n"),H261," ")</f>
        <v> </v>
      </c>
      <c r="AE261" s="17" t="str">
        <f aca="false">IF((E261="f"),H261," ")</f>
        <v> </v>
      </c>
      <c r="AF261" s="17" t="str">
        <f aca="false">IF((E261="l"),H261," ")</f>
        <v> </v>
      </c>
      <c r="AG261" s="17" t="str">
        <f aca="false">IF((E261="y"),H261," ")</f>
        <v> </v>
      </c>
      <c r="AH261" s="17" t="str">
        <f aca="false">IF((E261="z"),H261," ")</f>
        <v> </v>
      </c>
      <c r="AI261" s="17" t="str">
        <f aca="false">IF((E261="fa"),H261," ")</f>
        <v> </v>
      </c>
      <c r="AJ261" s="17" t="str">
        <f aca="false">IF((E261="e"),H261," ")</f>
        <v> </v>
      </c>
    </row>
    <row r="262" customFormat="false" ht="12" hidden="false" customHeight="false" outlineLevel="0" collapsed="false">
      <c r="A262" s="28"/>
      <c r="E262" s="2" t="str">
        <f aca="false">IF((F262&lt;&gt;0),"Enter Letter"," ")</f>
        <v> </v>
      </c>
      <c r="F262" s="30"/>
      <c r="G262" s="6" t="str">
        <f aca="false">IF(F262&lt;&gt;0,F262*G$2/(100+G$2)," ")</f>
        <v> </v>
      </c>
      <c r="H262" s="6" t="str">
        <f aca="false">IF((F262&lt;&gt;0),F262-G262," ")</f>
        <v> </v>
      </c>
      <c r="I262" s="5"/>
      <c r="L262" s="7" t="str">
        <f aca="false">IF(F262&lt;&gt;0,F262-K262," ")</f>
        <v> </v>
      </c>
      <c r="M262" s="8" t="str">
        <f aca="false">IF((F262-K262)&lt;&gt;0,M$1-A262," ")</f>
        <v> </v>
      </c>
      <c r="N262" s="5"/>
      <c r="O262" s="17" t="str">
        <f aca="false">IF((E262="s"),H262," ")</f>
        <v> </v>
      </c>
      <c r="P262" s="17" t="str">
        <f aca="false">IF((E262="c"),H262," ")</f>
        <v> </v>
      </c>
      <c r="Q262" s="17" t="str">
        <f aca="false">IF((E262="o"),H262," ")</f>
        <v> </v>
      </c>
      <c r="R262" s="17" t="str">
        <f aca="false">IF((E262="d"),H262," ")</f>
        <v> </v>
      </c>
      <c r="S262" s="17" t="str">
        <f aca="false">IF((E262="w"),H262," ")</f>
        <v> </v>
      </c>
      <c r="T262" s="17" t="str">
        <f aca="false">IF((E262="r"),H262," ")</f>
        <v> </v>
      </c>
      <c r="U262" s="17" t="str">
        <f aca="false">IF((E262="p"),H262," ")</f>
        <v> </v>
      </c>
      <c r="V262" s="17" t="str">
        <f aca="false">IF((E262="t"),H262," ")</f>
        <v> </v>
      </c>
      <c r="W262" s="17" t="str">
        <f aca="false">IF((E262="q"),H262," ")</f>
        <v> </v>
      </c>
      <c r="X262" s="17" t="str">
        <f aca="false">IF((E262="m"),H262," ")</f>
        <v> </v>
      </c>
      <c r="Y262" s="17" t="str">
        <f aca="false">IF((E262="u"),H262," ")</f>
        <v> </v>
      </c>
      <c r="Z262" s="17" t="str">
        <f aca="false">IF((E262="a"),H262," ")</f>
        <v> </v>
      </c>
      <c r="AA262" s="17" t="str">
        <f aca="false">IF((E262="g"),H262," ")</f>
        <v> </v>
      </c>
      <c r="AB262" s="17" t="str">
        <f aca="false">IF((E262="h"),H262," ")</f>
        <v> </v>
      </c>
      <c r="AC262" s="30" t="str">
        <f aca="false">IF((E262="v"),H262," ")</f>
        <v> </v>
      </c>
      <c r="AD262" s="30" t="str">
        <f aca="false">IF((E262="n"),H262," ")</f>
        <v> </v>
      </c>
      <c r="AE262" s="17" t="str">
        <f aca="false">IF((E262="f"),H262," ")</f>
        <v> </v>
      </c>
      <c r="AF262" s="17" t="str">
        <f aca="false">IF((E262="l"),H262," ")</f>
        <v> </v>
      </c>
      <c r="AG262" s="17" t="str">
        <f aca="false">IF((E262="y"),H262," ")</f>
        <v> </v>
      </c>
      <c r="AH262" s="17" t="str">
        <f aca="false">IF((E262="z"),H262," ")</f>
        <v> </v>
      </c>
      <c r="AI262" s="17" t="str">
        <f aca="false">IF((E262="fa"),H262," ")</f>
        <v> </v>
      </c>
      <c r="AJ262" s="17" t="str">
        <f aca="false">IF((E262="e"),H262," ")</f>
        <v> </v>
      </c>
    </row>
    <row r="263" customFormat="false" ht="12" hidden="false" customHeight="false" outlineLevel="0" collapsed="false">
      <c r="A263" s="28"/>
      <c r="E263" s="2" t="str">
        <f aca="false">IF((F263&lt;&gt;0),"Enter Letter"," ")</f>
        <v> </v>
      </c>
      <c r="F263" s="30"/>
      <c r="G263" s="6" t="str">
        <f aca="false">IF(F263&lt;&gt;0,F263*G$2/(100+G$2)," ")</f>
        <v> </v>
      </c>
      <c r="H263" s="6" t="str">
        <f aca="false">IF((F263&lt;&gt;0),F263-G263," ")</f>
        <v> </v>
      </c>
      <c r="I263" s="5"/>
      <c r="L263" s="7" t="str">
        <f aca="false">IF(F263&lt;&gt;0,F263-K263," ")</f>
        <v> </v>
      </c>
      <c r="M263" s="8" t="str">
        <f aca="false">IF((F263-K263)&lt;&gt;0,M$1-A263," ")</f>
        <v> </v>
      </c>
      <c r="N263" s="5"/>
      <c r="O263" s="17" t="str">
        <f aca="false">IF((E263="s"),H263," ")</f>
        <v> </v>
      </c>
      <c r="P263" s="17" t="str">
        <f aca="false">IF((E263="c"),H263," ")</f>
        <v> </v>
      </c>
      <c r="Q263" s="17" t="str">
        <f aca="false">IF((E263="o"),H263," ")</f>
        <v> </v>
      </c>
      <c r="R263" s="17" t="str">
        <f aca="false">IF((E263="d"),H263," ")</f>
        <v> </v>
      </c>
      <c r="S263" s="17" t="str">
        <f aca="false">IF((E263="w"),H263," ")</f>
        <v> </v>
      </c>
      <c r="T263" s="17" t="str">
        <f aca="false">IF((E263="r"),H263," ")</f>
        <v> </v>
      </c>
      <c r="U263" s="17" t="str">
        <f aca="false">IF((E263="p"),H263," ")</f>
        <v> </v>
      </c>
      <c r="V263" s="17" t="str">
        <f aca="false">IF((E263="t"),H263," ")</f>
        <v> </v>
      </c>
      <c r="W263" s="17" t="str">
        <f aca="false">IF((E263="q"),H263," ")</f>
        <v> </v>
      </c>
      <c r="X263" s="17" t="str">
        <f aca="false">IF((E263="m"),H263," ")</f>
        <v> </v>
      </c>
      <c r="Y263" s="17" t="str">
        <f aca="false">IF((E263="u"),H263," ")</f>
        <v> </v>
      </c>
      <c r="Z263" s="17" t="str">
        <f aca="false">IF((E263="a"),H263," ")</f>
        <v> </v>
      </c>
      <c r="AA263" s="17" t="str">
        <f aca="false">IF((E263="g"),H263," ")</f>
        <v> </v>
      </c>
      <c r="AB263" s="17" t="str">
        <f aca="false">IF((E263="h"),H263," ")</f>
        <v> </v>
      </c>
      <c r="AC263" s="30" t="str">
        <f aca="false">IF((E263="v"),H263," ")</f>
        <v> </v>
      </c>
      <c r="AD263" s="30" t="str">
        <f aca="false">IF((E263="n"),H263," ")</f>
        <v> </v>
      </c>
      <c r="AE263" s="17" t="str">
        <f aca="false">IF((E263="f"),H263," ")</f>
        <v> </v>
      </c>
      <c r="AF263" s="17" t="str">
        <f aca="false">IF((E263="l"),H263," ")</f>
        <v> </v>
      </c>
      <c r="AG263" s="17" t="str">
        <f aca="false">IF((E263="y"),H263," ")</f>
        <v> </v>
      </c>
      <c r="AH263" s="17" t="str">
        <f aca="false">IF((E263="z"),H263," ")</f>
        <v> </v>
      </c>
      <c r="AI263" s="17" t="str">
        <f aca="false">IF((E263="fa"),H263," ")</f>
        <v> </v>
      </c>
      <c r="AJ263" s="17" t="str">
        <f aca="false">IF((E263="e"),H263," ")</f>
        <v> </v>
      </c>
    </row>
    <row r="264" customFormat="false" ht="12" hidden="false" customHeight="false" outlineLevel="0" collapsed="false">
      <c r="A264" s="28"/>
      <c r="E264" s="2" t="str">
        <f aca="false">IF((F264&lt;&gt;0),"Enter Letter"," ")</f>
        <v> </v>
      </c>
      <c r="F264" s="30"/>
      <c r="G264" s="6" t="str">
        <f aca="false">IF(F264&lt;&gt;0,F264*G$2/(100+G$2)," ")</f>
        <v> </v>
      </c>
      <c r="H264" s="6" t="str">
        <f aca="false">IF((F264&lt;&gt;0),F264-G264," ")</f>
        <v> </v>
      </c>
      <c r="I264" s="5"/>
      <c r="L264" s="7" t="str">
        <f aca="false">IF(F264&lt;&gt;0,F264-K264," ")</f>
        <v> </v>
      </c>
      <c r="M264" s="8" t="str">
        <f aca="false">IF((F264-K264)&lt;&gt;0,M$1-A264," ")</f>
        <v> </v>
      </c>
      <c r="N264" s="5"/>
      <c r="O264" s="17" t="str">
        <f aca="false">IF((E264="s"),H264," ")</f>
        <v> </v>
      </c>
      <c r="P264" s="17" t="str">
        <f aca="false">IF((E264="c"),H264," ")</f>
        <v> </v>
      </c>
      <c r="Q264" s="17" t="str">
        <f aca="false">IF((E264="o"),H264," ")</f>
        <v> </v>
      </c>
      <c r="R264" s="17" t="str">
        <f aca="false">IF((E264="d"),H264," ")</f>
        <v> </v>
      </c>
      <c r="S264" s="17" t="str">
        <f aca="false">IF((E264="w"),H264," ")</f>
        <v> </v>
      </c>
      <c r="T264" s="17" t="str">
        <f aca="false">IF((E264="r"),H264," ")</f>
        <v> </v>
      </c>
      <c r="U264" s="17" t="str">
        <f aca="false">IF((E264="p"),H264," ")</f>
        <v> </v>
      </c>
      <c r="V264" s="17" t="str">
        <f aca="false">IF((E264="t"),H264," ")</f>
        <v> </v>
      </c>
      <c r="W264" s="17" t="str">
        <f aca="false">IF((E264="q"),H264," ")</f>
        <v> </v>
      </c>
      <c r="X264" s="17" t="str">
        <f aca="false">IF((E264="m"),H264," ")</f>
        <v> </v>
      </c>
      <c r="Y264" s="17" t="str">
        <f aca="false">IF((E264="u"),H264," ")</f>
        <v> </v>
      </c>
      <c r="Z264" s="17" t="str">
        <f aca="false">IF((E264="a"),H264," ")</f>
        <v> </v>
      </c>
      <c r="AA264" s="17" t="str">
        <f aca="false">IF((E264="g"),H264," ")</f>
        <v> </v>
      </c>
      <c r="AB264" s="17" t="str">
        <f aca="false">IF((E264="h"),H264," ")</f>
        <v> </v>
      </c>
      <c r="AC264" s="30" t="str">
        <f aca="false">IF((E264="v"),H264," ")</f>
        <v> </v>
      </c>
      <c r="AD264" s="30" t="str">
        <f aca="false">IF((E264="n"),H264," ")</f>
        <v> </v>
      </c>
      <c r="AE264" s="17" t="str">
        <f aca="false">IF((E264="f"),H264," ")</f>
        <v> </v>
      </c>
      <c r="AF264" s="17" t="str">
        <f aca="false">IF((E264="l"),H264," ")</f>
        <v> </v>
      </c>
      <c r="AG264" s="17" t="str">
        <f aca="false">IF((E264="y"),H264," ")</f>
        <v> </v>
      </c>
      <c r="AH264" s="17" t="str">
        <f aca="false">IF((E264="z"),H264," ")</f>
        <v> </v>
      </c>
      <c r="AI264" s="17" t="str">
        <f aca="false">IF((E264="fa"),H264," ")</f>
        <v> </v>
      </c>
      <c r="AJ264" s="17" t="str">
        <f aca="false">IF((E264="e"),H264," ")</f>
        <v> </v>
      </c>
    </row>
    <row r="265" customFormat="false" ht="12" hidden="false" customHeight="false" outlineLevel="0" collapsed="false">
      <c r="A265" s="28"/>
      <c r="E265" s="2" t="str">
        <f aca="false">IF((F265&lt;&gt;0),"Enter Letter"," ")</f>
        <v> </v>
      </c>
      <c r="F265" s="30"/>
      <c r="G265" s="6" t="str">
        <f aca="false">IF(F265&lt;&gt;0,F265*G$2/(100+G$2)," ")</f>
        <v> </v>
      </c>
      <c r="H265" s="6" t="str">
        <f aca="false">IF((F265&lt;&gt;0),F265-G265," ")</f>
        <v> </v>
      </c>
      <c r="I265" s="5"/>
      <c r="L265" s="7" t="str">
        <f aca="false">IF(F265&lt;&gt;0,F265-K265," ")</f>
        <v> </v>
      </c>
      <c r="M265" s="8" t="str">
        <f aca="false">IF((F265-K265)&lt;&gt;0,M$1-A265," ")</f>
        <v> </v>
      </c>
      <c r="N265" s="5"/>
      <c r="O265" s="17" t="str">
        <f aca="false">IF((E265="s"),H265," ")</f>
        <v> </v>
      </c>
      <c r="P265" s="17" t="str">
        <f aca="false">IF((E265="c"),H265," ")</f>
        <v> </v>
      </c>
      <c r="Q265" s="17" t="str">
        <f aca="false">IF((E265="o"),H265," ")</f>
        <v> </v>
      </c>
      <c r="R265" s="17" t="str">
        <f aca="false">IF((E265="d"),H265," ")</f>
        <v> </v>
      </c>
      <c r="S265" s="17" t="str">
        <f aca="false">IF((E265="w"),H265," ")</f>
        <v> </v>
      </c>
      <c r="T265" s="17" t="str">
        <f aca="false">IF((E265="r"),H265," ")</f>
        <v> </v>
      </c>
      <c r="U265" s="17" t="str">
        <f aca="false">IF((E265="p"),H265," ")</f>
        <v> </v>
      </c>
      <c r="V265" s="17" t="str">
        <f aca="false">IF((E265="t"),H265," ")</f>
        <v> </v>
      </c>
      <c r="W265" s="17" t="str">
        <f aca="false">IF((E265="q"),H265," ")</f>
        <v> </v>
      </c>
      <c r="X265" s="17" t="str">
        <f aca="false">IF((E265="m"),H265," ")</f>
        <v> </v>
      </c>
      <c r="Y265" s="17" t="str">
        <f aca="false">IF((E265="u"),H265," ")</f>
        <v> </v>
      </c>
      <c r="Z265" s="17" t="str">
        <f aca="false">IF((E265="a"),H265," ")</f>
        <v> </v>
      </c>
      <c r="AA265" s="17" t="str">
        <f aca="false">IF((E265="g"),H265," ")</f>
        <v> </v>
      </c>
      <c r="AB265" s="17" t="str">
        <f aca="false">IF((E265="h"),H265," ")</f>
        <v> </v>
      </c>
      <c r="AC265" s="30" t="str">
        <f aca="false">IF((E265="v"),H265," ")</f>
        <v> </v>
      </c>
      <c r="AD265" s="30" t="str">
        <f aca="false">IF((E265="n"),H265," ")</f>
        <v> </v>
      </c>
      <c r="AE265" s="17" t="str">
        <f aca="false">IF((E265="f"),H265," ")</f>
        <v> </v>
      </c>
      <c r="AF265" s="17" t="str">
        <f aca="false">IF((E265="l"),H265," ")</f>
        <v> </v>
      </c>
      <c r="AG265" s="17" t="str">
        <f aca="false">IF((E265="y"),H265," ")</f>
        <v> </v>
      </c>
      <c r="AH265" s="17" t="str">
        <f aca="false">IF((E265="z"),H265," ")</f>
        <v> </v>
      </c>
      <c r="AI265" s="17" t="str">
        <f aca="false">IF((E265="fa"),H265," ")</f>
        <v> </v>
      </c>
      <c r="AJ265" s="17" t="str">
        <f aca="false">IF((E265="e"),H265," ")</f>
        <v> </v>
      </c>
    </row>
    <row r="266" customFormat="false" ht="12" hidden="false" customHeight="false" outlineLevel="0" collapsed="false">
      <c r="A266" s="28"/>
      <c r="E266" s="2" t="str">
        <f aca="false">IF((F266&lt;&gt;0),"Enter Letter"," ")</f>
        <v> </v>
      </c>
      <c r="F266" s="30"/>
      <c r="G266" s="6" t="str">
        <f aca="false">IF(F266&lt;&gt;0,F266*G$2/(100+G$2)," ")</f>
        <v> </v>
      </c>
      <c r="H266" s="6" t="str">
        <f aca="false">IF((F266&lt;&gt;0),F266-G266," ")</f>
        <v> </v>
      </c>
      <c r="I266" s="5"/>
      <c r="L266" s="7" t="str">
        <f aca="false">IF(F266&lt;&gt;0,F266-K266," ")</f>
        <v> </v>
      </c>
      <c r="M266" s="8" t="str">
        <f aca="false">IF((F266-K266)&lt;&gt;0,M$1-A266," ")</f>
        <v> </v>
      </c>
      <c r="N266" s="5"/>
      <c r="O266" s="17" t="str">
        <f aca="false">IF((E266="s"),H266," ")</f>
        <v> </v>
      </c>
      <c r="P266" s="17" t="str">
        <f aca="false">IF((E266="c"),H266," ")</f>
        <v> </v>
      </c>
      <c r="Q266" s="17" t="str">
        <f aca="false">IF((E266="o"),H266," ")</f>
        <v> </v>
      </c>
      <c r="R266" s="17" t="str">
        <f aca="false">IF((E266="d"),H266," ")</f>
        <v> </v>
      </c>
      <c r="S266" s="17" t="str">
        <f aca="false">IF((E266="w"),H266," ")</f>
        <v> </v>
      </c>
      <c r="T266" s="17" t="str">
        <f aca="false">IF((E266="r"),H266," ")</f>
        <v> </v>
      </c>
      <c r="U266" s="17" t="str">
        <f aca="false">IF((E266="p"),H266," ")</f>
        <v> </v>
      </c>
      <c r="V266" s="17" t="str">
        <f aca="false">IF((E266="t"),H266," ")</f>
        <v> </v>
      </c>
      <c r="W266" s="17" t="str">
        <f aca="false">IF((E266="q"),H266," ")</f>
        <v> </v>
      </c>
      <c r="X266" s="17" t="str">
        <f aca="false">IF((E266="m"),H266," ")</f>
        <v> </v>
      </c>
      <c r="Y266" s="17" t="str">
        <f aca="false">IF((E266="u"),H266," ")</f>
        <v> </v>
      </c>
      <c r="Z266" s="17" t="str">
        <f aca="false">IF((E266="a"),H266," ")</f>
        <v> </v>
      </c>
      <c r="AA266" s="17" t="str">
        <f aca="false">IF((E266="g"),H266," ")</f>
        <v> </v>
      </c>
      <c r="AB266" s="17" t="str">
        <f aca="false">IF((E266="h"),H266," ")</f>
        <v> </v>
      </c>
      <c r="AC266" s="30" t="str">
        <f aca="false">IF((E266="v"),H266," ")</f>
        <v> </v>
      </c>
      <c r="AD266" s="30" t="str">
        <f aca="false">IF((E266="n"),H266," ")</f>
        <v> </v>
      </c>
      <c r="AE266" s="17" t="str">
        <f aca="false">IF((E266="f"),H266," ")</f>
        <v> </v>
      </c>
      <c r="AF266" s="17" t="str">
        <f aca="false">IF((E266="l"),H266," ")</f>
        <v> </v>
      </c>
      <c r="AG266" s="17" t="str">
        <f aca="false">IF((E266="y"),H266," ")</f>
        <v> </v>
      </c>
      <c r="AH266" s="17" t="str">
        <f aca="false">IF((E266="z"),H266," ")</f>
        <v> </v>
      </c>
      <c r="AI266" s="17" t="str">
        <f aca="false">IF((E266="fa"),H266," ")</f>
        <v> </v>
      </c>
      <c r="AJ266" s="17" t="str">
        <f aca="false">IF((E266="e"),H266," ")</f>
        <v> </v>
      </c>
    </row>
    <row r="267" customFormat="false" ht="12" hidden="false" customHeight="false" outlineLevel="0" collapsed="false">
      <c r="A267" s="28"/>
      <c r="E267" s="2" t="str">
        <f aca="false">IF((F267&lt;&gt;0),"Enter Letter"," ")</f>
        <v> </v>
      </c>
      <c r="F267" s="30"/>
      <c r="G267" s="6" t="str">
        <f aca="false">IF(F267&lt;&gt;0,F267*G$2/(100+G$2)," ")</f>
        <v> </v>
      </c>
      <c r="H267" s="6" t="str">
        <f aca="false">IF((F267&lt;&gt;0),F267-G267," ")</f>
        <v> </v>
      </c>
      <c r="I267" s="5"/>
      <c r="L267" s="7" t="str">
        <f aca="false">IF(F267&lt;&gt;0,F267-K267," ")</f>
        <v> </v>
      </c>
      <c r="M267" s="8" t="str">
        <f aca="false">IF((F267-K267)&lt;&gt;0,M$1-A267," ")</f>
        <v> </v>
      </c>
      <c r="N267" s="5"/>
      <c r="O267" s="17" t="str">
        <f aca="false">IF((E267="s"),H267," ")</f>
        <v> </v>
      </c>
      <c r="P267" s="17" t="str">
        <f aca="false">IF((E267="c"),H267," ")</f>
        <v> </v>
      </c>
      <c r="Q267" s="17" t="str">
        <f aca="false">IF((E267="o"),H267," ")</f>
        <v> </v>
      </c>
      <c r="R267" s="17" t="str">
        <f aca="false">IF((E267="d"),H267," ")</f>
        <v> </v>
      </c>
      <c r="S267" s="17" t="str">
        <f aca="false">IF((E267="w"),H267," ")</f>
        <v> </v>
      </c>
      <c r="T267" s="17" t="str">
        <f aca="false">IF((E267="r"),H267," ")</f>
        <v> </v>
      </c>
      <c r="U267" s="17" t="str">
        <f aca="false">IF((E267="p"),H267," ")</f>
        <v> </v>
      </c>
      <c r="V267" s="17" t="str">
        <f aca="false">IF((E267="t"),H267," ")</f>
        <v> </v>
      </c>
      <c r="W267" s="17" t="str">
        <f aca="false">IF((E267="q"),H267," ")</f>
        <v> </v>
      </c>
      <c r="X267" s="17" t="str">
        <f aca="false">IF((E267="m"),H267," ")</f>
        <v> </v>
      </c>
      <c r="Y267" s="17" t="str">
        <f aca="false">IF((E267="u"),H267," ")</f>
        <v> </v>
      </c>
      <c r="Z267" s="17" t="str">
        <f aca="false">IF((E267="a"),H267," ")</f>
        <v> </v>
      </c>
      <c r="AA267" s="17" t="str">
        <f aca="false">IF((E267="g"),H267," ")</f>
        <v> </v>
      </c>
      <c r="AB267" s="17" t="str">
        <f aca="false">IF((E267="h"),H267," ")</f>
        <v> </v>
      </c>
      <c r="AC267" s="30" t="str">
        <f aca="false">IF((E267="v"),H267," ")</f>
        <v> </v>
      </c>
      <c r="AD267" s="30" t="str">
        <f aca="false">IF((E267="n"),H267," ")</f>
        <v> </v>
      </c>
      <c r="AE267" s="17" t="str">
        <f aca="false">IF((E267="f"),H267," ")</f>
        <v> </v>
      </c>
      <c r="AF267" s="17" t="str">
        <f aca="false">IF((E267="l"),H267," ")</f>
        <v> </v>
      </c>
      <c r="AG267" s="17" t="str">
        <f aca="false">IF((E267="y"),H267," ")</f>
        <v> </v>
      </c>
      <c r="AH267" s="17" t="str">
        <f aca="false">IF((E267="z"),H267," ")</f>
        <v> </v>
      </c>
      <c r="AI267" s="17" t="str">
        <f aca="false">IF((E267="fa"),H267," ")</f>
        <v> </v>
      </c>
      <c r="AJ267" s="17" t="str">
        <f aca="false">IF((E267="e"),H267," ")</f>
        <v> </v>
      </c>
    </row>
    <row r="268" customFormat="false" ht="12" hidden="false" customHeight="false" outlineLevel="0" collapsed="false">
      <c r="A268" s="28"/>
      <c r="E268" s="2" t="str">
        <f aca="false">IF((F268&lt;&gt;0),"Enter Letter"," ")</f>
        <v> </v>
      </c>
      <c r="F268" s="30"/>
      <c r="G268" s="6" t="str">
        <f aca="false">IF(F268&lt;&gt;0,F268*G$2/(100+G$2)," ")</f>
        <v> </v>
      </c>
      <c r="H268" s="6" t="str">
        <f aca="false">IF((F268&lt;&gt;0),F268-G268," ")</f>
        <v> </v>
      </c>
      <c r="I268" s="5"/>
      <c r="L268" s="7" t="str">
        <f aca="false">IF(F268&lt;&gt;0,F268-K268," ")</f>
        <v> </v>
      </c>
      <c r="M268" s="8" t="str">
        <f aca="false">IF((F268-K268)&lt;&gt;0,M$1-A268," ")</f>
        <v> </v>
      </c>
      <c r="N268" s="5"/>
      <c r="O268" s="17" t="str">
        <f aca="false">IF((E268="s"),H268," ")</f>
        <v> </v>
      </c>
      <c r="P268" s="17" t="str">
        <f aca="false">IF((E268="c"),H268," ")</f>
        <v> </v>
      </c>
      <c r="Q268" s="17" t="str">
        <f aca="false">IF((E268="o"),H268," ")</f>
        <v> </v>
      </c>
      <c r="R268" s="17" t="str">
        <f aca="false">IF((E268="d"),H268," ")</f>
        <v> </v>
      </c>
      <c r="S268" s="17" t="str">
        <f aca="false">IF((E268="w"),H268," ")</f>
        <v> </v>
      </c>
      <c r="T268" s="17" t="str">
        <f aca="false">IF((E268="r"),H268," ")</f>
        <v> </v>
      </c>
      <c r="U268" s="17" t="str">
        <f aca="false">IF((E268="p"),H268," ")</f>
        <v> </v>
      </c>
      <c r="V268" s="17" t="str">
        <f aca="false">IF((E268="t"),H268," ")</f>
        <v> </v>
      </c>
      <c r="W268" s="17" t="str">
        <f aca="false">IF((E268="q"),H268," ")</f>
        <v> </v>
      </c>
      <c r="X268" s="17" t="str">
        <f aca="false">IF((E268="m"),H268," ")</f>
        <v> </v>
      </c>
      <c r="Y268" s="17" t="str">
        <f aca="false">IF((E268="u"),H268," ")</f>
        <v> </v>
      </c>
      <c r="Z268" s="17" t="str">
        <f aca="false">IF((E268="a"),H268," ")</f>
        <v> </v>
      </c>
      <c r="AA268" s="17" t="str">
        <f aca="false">IF((E268="g"),H268," ")</f>
        <v> </v>
      </c>
      <c r="AB268" s="17" t="str">
        <f aca="false">IF((E268="h"),H268," ")</f>
        <v> </v>
      </c>
      <c r="AC268" s="30" t="str">
        <f aca="false">IF((E268="v"),H268," ")</f>
        <v> </v>
      </c>
      <c r="AD268" s="30" t="str">
        <f aca="false">IF((E268="n"),H268," ")</f>
        <v> </v>
      </c>
      <c r="AE268" s="17" t="str">
        <f aca="false">IF((E268="f"),H268," ")</f>
        <v> </v>
      </c>
      <c r="AF268" s="17" t="str">
        <f aca="false">IF((E268="l"),H268," ")</f>
        <v> </v>
      </c>
      <c r="AG268" s="17" t="str">
        <f aca="false">IF((E268="y"),H268," ")</f>
        <v> </v>
      </c>
      <c r="AH268" s="17" t="str">
        <f aca="false">IF((E268="z"),H268," ")</f>
        <v> </v>
      </c>
      <c r="AI268" s="17" t="str">
        <f aca="false">IF((E268="fa"),H268," ")</f>
        <v> </v>
      </c>
      <c r="AJ268" s="17" t="str">
        <f aca="false">IF((E268="e"),H268," ")</f>
        <v> </v>
      </c>
    </row>
    <row r="269" customFormat="false" ht="12" hidden="false" customHeight="false" outlineLevel="0" collapsed="false">
      <c r="A269" s="28"/>
      <c r="E269" s="2" t="str">
        <f aca="false">IF((F269&lt;&gt;0),"Enter Letter"," ")</f>
        <v> </v>
      </c>
      <c r="F269" s="30"/>
      <c r="G269" s="6" t="str">
        <f aca="false">IF(F269&lt;&gt;0,F269*G$2/(100+G$2)," ")</f>
        <v> </v>
      </c>
      <c r="H269" s="6" t="str">
        <f aca="false">IF((F269&lt;&gt;0),F269-G269," ")</f>
        <v> </v>
      </c>
      <c r="I269" s="5"/>
      <c r="L269" s="7" t="str">
        <f aca="false">IF(F269&lt;&gt;0,F269-K269," ")</f>
        <v> </v>
      </c>
      <c r="M269" s="8" t="str">
        <f aca="false">IF((F269-K269)&lt;&gt;0,M$1-A269," ")</f>
        <v> </v>
      </c>
      <c r="N269" s="5"/>
      <c r="O269" s="17" t="str">
        <f aca="false">IF((E269="s"),H269," ")</f>
        <v> </v>
      </c>
      <c r="P269" s="17" t="str">
        <f aca="false">IF((E269="c"),H269," ")</f>
        <v> </v>
      </c>
      <c r="Q269" s="17" t="str">
        <f aca="false">IF((E269="o"),H269," ")</f>
        <v> </v>
      </c>
      <c r="R269" s="17" t="str">
        <f aca="false">IF((E269="d"),H269," ")</f>
        <v> </v>
      </c>
      <c r="S269" s="17" t="str">
        <f aca="false">IF((E269="w"),H269," ")</f>
        <v> </v>
      </c>
      <c r="T269" s="17" t="str">
        <f aca="false">IF((E269="r"),H269," ")</f>
        <v> </v>
      </c>
      <c r="U269" s="17" t="str">
        <f aca="false">IF((E269="p"),H269," ")</f>
        <v> </v>
      </c>
      <c r="V269" s="17" t="str">
        <f aca="false">IF((E269="t"),H269," ")</f>
        <v> </v>
      </c>
      <c r="W269" s="17" t="str">
        <f aca="false">IF((E269="q"),H269," ")</f>
        <v> </v>
      </c>
      <c r="X269" s="17" t="str">
        <f aca="false">IF((E269="m"),H269," ")</f>
        <v> </v>
      </c>
      <c r="Y269" s="17" t="str">
        <f aca="false">IF((E269="u"),H269," ")</f>
        <v> </v>
      </c>
      <c r="Z269" s="17" t="str">
        <f aca="false">IF((E269="a"),H269," ")</f>
        <v> </v>
      </c>
      <c r="AA269" s="17" t="str">
        <f aca="false">IF((E269="g"),H269," ")</f>
        <v> </v>
      </c>
      <c r="AB269" s="17" t="str">
        <f aca="false">IF((E269="h"),H269," ")</f>
        <v> </v>
      </c>
      <c r="AC269" s="30" t="str">
        <f aca="false">IF((E269="v"),H269," ")</f>
        <v> </v>
      </c>
      <c r="AD269" s="30" t="str">
        <f aca="false">IF((E269="n"),H269," ")</f>
        <v> </v>
      </c>
      <c r="AE269" s="17" t="str">
        <f aca="false">IF((E269="f"),H269," ")</f>
        <v> </v>
      </c>
      <c r="AF269" s="17" t="str">
        <f aca="false">IF((E269="l"),H269," ")</f>
        <v> </v>
      </c>
      <c r="AG269" s="17" t="str">
        <f aca="false">IF((E269="y"),H269," ")</f>
        <v> </v>
      </c>
      <c r="AH269" s="17" t="str">
        <f aca="false">IF((E269="z"),H269," ")</f>
        <v> </v>
      </c>
      <c r="AI269" s="17" t="str">
        <f aca="false">IF((E269="fa"),H269," ")</f>
        <v> </v>
      </c>
      <c r="AJ269" s="17" t="str">
        <f aca="false">IF((E269="e"),H269," ")</f>
        <v> </v>
      </c>
    </row>
    <row r="270" customFormat="false" ht="12" hidden="false" customHeight="false" outlineLevel="0" collapsed="false">
      <c r="A270" s="28"/>
      <c r="E270" s="2" t="str">
        <f aca="false">IF((F270&lt;&gt;0),"Enter Letter"," ")</f>
        <v> </v>
      </c>
      <c r="F270" s="30"/>
      <c r="G270" s="6" t="str">
        <f aca="false">IF(F270&lt;&gt;0,F270*G$2/(100+G$2)," ")</f>
        <v> </v>
      </c>
      <c r="H270" s="6" t="str">
        <f aca="false">IF((F270&lt;&gt;0),F270-G270," ")</f>
        <v> </v>
      </c>
      <c r="I270" s="5"/>
      <c r="L270" s="7" t="str">
        <f aca="false">IF(F270&lt;&gt;0,F270-K270," ")</f>
        <v> </v>
      </c>
      <c r="M270" s="8" t="str">
        <f aca="false">IF((F270-K270)&lt;&gt;0,M$1-A270," ")</f>
        <v> </v>
      </c>
      <c r="N270" s="5"/>
      <c r="O270" s="17" t="str">
        <f aca="false">IF((E270="s"),H270," ")</f>
        <v> </v>
      </c>
      <c r="P270" s="17" t="str">
        <f aca="false">IF((E270="c"),H270," ")</f>
        <v> </v>
      </c>
      <c r="Q270" s="17" t="str">
        <f aca="false">IF((E270="o"),H270," ")</f>
        <v> </v>
      </c>
      <c r="R270" s="17" t="str">
        <f aca="false">IF((E270="d"),H270," ")</f>
        <v> </v>
      </c>
      <c r="S270" s="17" t="str">
        <f aca="false">IF((E270="w"),H270," ")</f>
        <v> </v>
      </c>
      <c r="T270" s="17" t="str">
        <f aca="false">IF((E270="r"),H270," ")</f>
        <v> </v>
      </c>
      <c r="U270" s="17" t="str">
        <f aca="false">IF((E270="p"),H270," ")</f>
        <v> </v>
      </c>
      <c r="V270" s="17" t="str">
        <f aca="false">IF((E270="t"),H270," ")</f>
        <v> </v>
      </c>
      <c r="W270" s="17" t="str">
        <f aca="false">IF((E270="q"),H270," ")</f>
        <v> </v>
      </c>
      <c r="X270" s="17" t="str">
        <f aca="false">IF((E270="m"),H270," ")</f>
        <v> </v>
      </c>
      <c r="Y270" s="17" t="str">
        <f aca="false">IF((E270="u"),H270," ")</f>
        <v> </v>
      </c>
      <c r="Z270" s="17" t="str">
        <f aca="false">IF((E270="a"),H270," ")</f>
        <v> </v>
      </c>
      <c r="AA270" s="17" t="str">
        <f aca="false">IF((E270="g"),H270," ")</f>
        <v> </v>
      </c>
      <c r="AB270" s="17" t="str">
        <f aca="false">IF((E270="h"),H270," ")</f>
        <v> </v>
      </c>
      <c r="AC270" s="30" t="str">
        <f aca="false">IF((E270="v"),H270," ")</f>
        <v> </v>
      </c>
      <c r="AD270" s="30" t="str">
        <f aca="false">IF((E270="n"),H270," ")</f>
        <v> </v>
      </c>
      <c r="AE270" s="17" t="str">
        <f aca="false">IF((E270="f"),H270," ")</f>
        <v> </v>
      </c>
      <c r="AF270" s="17" t="str">
        <f aca="false">IF((E270="l"),H270," ")</f>
        <v> </v>
      </c>
      <c r="AG270" s="17" t="str">
        <f aca="false">IF((E270="y"),H270," ")</f>
        <v> </v>
      </c>
      <c r="AH270" s="17" t="str">
        <f aca="false">IF((E270="z"),H270," ")</f>
        <v> </v>
      </c>
      <c r="AI270" s="17" t="str">
        <f aca="false">IF((E270="fa"),H270," ")</f>
        <v> </v>
      </c>
      <c r="AJ270" s="17" t="str">
        <f aca="false">IF((E270="e"),H270," ")</f>
        <v> </v>
      </c>
    </row>
    <row r="271" customFormat="false" ht="12" hidden="false" customHeight="false" outlineLevel="0" collapsed="false">
      <c r="A271" s="28"/>
      <c r="E271" s="2" t="str">
        <f aca="false">IF((F271&lt;&gt;0),"Enter Letter"," ")</f>
        <v> </v>
      </c>
      <c r="F271" s="30"/>
      <c r="G271" s="6" t="str">
        <f aca="false">IF(F271&lt;&gt;0,F271*G$2/(100+G$2)," ")</f>
        <v> </v>
      </c>
      <c r="H271" s="6" t="str">
        <f aca="false">IF((F271&lt;&gt;0),F271-G271," ")</f>
        <v> </v>
      </c>
      <c r="I271" s="5"/>
      <c r="L271" s="7" t="str">
        <f aca="false">IF(F271&lt;&gt;0,F271-K271," ")</f>
        <v> </v>
      </c>
      <c r="M271" s="8" t="str">
        <f aca="false">IF((F271-K271)&lt;&gt;0,M$1-A271," ")</f>
        <v> </v>
      </c>
      <c r="N271" s="5"/>
      <c r="O271" s="17" t="str">
        <f aca="false">IF((E271="s"),H271," ")</f>
        <v> </v>
      </c>
      <c r="P271" s="17" t="str">
        <f aca="false">IF((E271="c"),H271," ")</f>
        <v> </v>
      </c>
      <c r="Q271" s="17" t="str">
        <f aca="false">IF((E271="o"),H271," ")</f>
        <v> </v>
      </c>
      <c r="R271" s="17" t="str">
        <f aca="false">IF((E271="d"),H271," ")</f>
        <v> </v>
      </c>
      <c r="S271" s="17" t="str">
        <f aca="false">IF((E271="w"),H271," ")</f>
        <v> </v>
      </c>
      <c r="T271" s="17" t="str">
        <f aca="false">IF((E271="r"),H271," ")</f>
        <v> </v>
      </c>
      <c r="U271" s="17" t="str">
        <f aca="false">IF((E271="p"),H271," ")</f>
        <v> </v>
      </c>
      <c r="V271" s="17" t="str">
        <f aca="false">IF((E271="t"),H271," ")</f>
        <v> </v>
      </c>
      <c r="W271" s="17" t="str">
        <f aca="false">IF((E271="q"),H271," ")</f>
        <v> </v>
      </c>
      <c r="X271" s="17" t="str">
        <f aca="false">IF((E271="m"),H271," ")</f>
        <v> </v>
      </c>
      <c r="Y271" s="17" t="str">
        <f aca="false">IF((E271="u"),H271," ")</f>
        <v> </v>
      </c>
      <c r="Z271" s="17" t="str">
        <f aca="false">IF((E271="a"),H271," ")</f>
        <v> </v>
      </c>
      <c r="AA271" s="17" t="str">
        <f aca="false">IF((E271="g"),H271," ")</f>
        <v> </v>
      </c>
      <c r="AB271" s="17" t="str">
        <f aca="false">IF((E271="h"),H271," ")</f>
        <v> </v>
      </c>
      <c r="AC271" s="30" t="str">
        <f aca="false">IF((E271="v"),H271," ")</f>
        <v> </v>
      </c>
      <c r="AD271" s="30" t="str">
        <f aca="false">IF((E271="n"),H271," ")</f>
        <v> </v>
      </c>
      <c r="AE271" s="17" t="str">
        <f aca="false">IF((E271="f"),H271," ")</f>
        <v> </v>
      </c>
      <c r="AF271" s="17" t="str">
        <f aca="false">IF((E271="l"),H271," ")</f>
        <v> </v>
      </c>
      <c r="AG271" s="17" t="str">
        <f aca="false">IF((E271="y"),H271," ")</f>
        <v> </v>
      </c>
      <c r="AH271" s="17" t="str">
        <f aca="false">IF((E271="z"),H271," ")</f>
        <v> </v>
      </c>
      <c r="AI271" s="17" t="str">
        <f aca="false">IF((E271="fa"),H271," ")</f>
        <v> </v>
      </c>
      <c r="AJ271" s="17" t="str">
        <f aca="false">IF((E271="e"),H271," ")</f>
        <v> </v>
      </c>
    </row>
    <row r="272" customFormat="false" ht="12" hidden="false" customHeight="false" outlineLevel="0" collapsed="false">
      <c r="A272" s="28"/>
      <c r="E272" s="2" t="str">
        <f aca="false">IF((F272&lt;&gt;0),"Enter Letter"," ")</f>
        <v> </v>
      </c>
      <c r="F272" s="30"/>
      <c r="G272" s="6" t="str">
        <f aca="false">IF(F272&lt;&gt;0,F272*G$2/(100+G$2)," ")</f>
        <v> </v>
      </c>
      <c r="H272" s="6" t="str">
        <f aca="false">IF((F272&lt;&gt;0),F272-G272," ")</f>
        <v> </v>
      </c>
      <c r="I272" s="5"/>
      <c r="L272" s="7" t="str">
        <f aca="false">IF(F272&lt;&gt;0,F272-K272," ")</f>
        <v> </v>
      </c>
      <c r="M272" s="8" t="str">
        <f aca="false">IF((F272-K272)&lt;&gt;0,M$1-A272," ")</f>
        <v> </v>
      </c>
      <c r="N272" s="5"/>
      <c r="O272" s="17" t="str">
        <f aca="false">IF((E272="s"),H272," ")</f>
        <v> </v>
      </c>
      <c r="P272" s="17" t="str">
        <f aca="false">IF((E272="c"),H272," ")</f>
        <v> </v>
      </c>
      <c r="Q272" s="17" t="str">
        <f aca="false">IF((E272="o"),H272," ")</f>
        <v> </v>
      </c>
      <c r="R272" s="17" t="str">
        <f aca="false">IF((E272="d"),H272," ")</f>
        <v> </v>
      </c>
      <c r="S272" s="17" t="str">
        <f aca="false">IF((E272="w"),H272," ")</f>
        <v> </v>
      </c>
      <c r="T272" s="17" t="str">
        <f aca="false">IF((E272="r"),H272," ")</f>
        <v> </v>
      </c>
      <c r="U272" s="17" t="str">
        <f aca="false">IF((E272="p"),H272," ")</f>
        <v> </v>
      </c>
      <c r="V272" s="17" t="str">
        <f aca="false">IF((E272="t"),H272," ")</f>
        <v> </v>
      </c>
      <c r="W272" s="17" t="str">
        <f aca="false">IF((E272="q"),H272," ")</f>
        <v> </v>
      </c>
      <c r="X272" s="17" t="str">
        <f aca="false">IF((E272="m"),H272," ")</f>
        <v> </v>
      </c>
      <c r="Y272" s="17" t="str">
        <f aca="false">IF((E272="u"),H272," ")</f>
        <v> </v>
      </c>
      <c r="Z272" s="17" t="str">
        <f aca="false">IF((E272="a"),H272," ")</f>
        <v> </v>
      </c>
      <c r="AA272" s="17" t="str">
        <f aca="false">IF((E272="g"),H272," ")</f>
        <v> </v>
      </c>
      <c r="AB272" s="17" t="str">
        <f aca="false">IF((E272="h"),H272," ")</f>
        <v> </v>
      </c>
      <c r="AC272" s="30" t="str">
        <f aca="false">IF((E272="v"),H272," ")</f>
        <v> </v>
      </c>
      <c r="AD272" s="30" t="str">
        <f aca="false">IF((E272="n"),H272," ")</f>
        <v> </v>
      </c>
      <c r="AE272" s="17" t="str">
        <f aca="false">IF((E272="f"),H272," ")</f>
        <v> </v>
      </c>
      <c r="AF272" s="17" t="str">
        <f aca="false">IF((E272="l"),H272," ")</f>
        <v> </v>
      </c>
      <c r="AG272" s="17" t="str">
        <f aca="false">IF((E272="y"),H272," ")</f>
        <v> </v>
      </c>
      <c r="AH272" s="17" t="str">
        <f aca="false">IF((E272="z"),H272," ")</f>
        <v> </v>
      </c>
      <c r="AI272" s="17" t="str">
        <f aca="false">IF((E272="fa"),H272," ")</f>
        <v> </v>
      </c>
      <c r="AJ272" s="17" t="str">
        <f aca="false">IF((E272="e"),H272," ")</f>
        <v> </v>
      </c>
    </row>
    <row r="273" customFormat="false" ht="12" hidden="false" customHeight="false" outlineLevel="0" collapsed="false">
      <c r="A273" s="28"/>
      <c r="E273" s="2" t="str">
        <f aca="false">IF((F273&lt;&gt;0),"Enter Letter"," ")</f>
        <v> </v>
      </c>
      <c r="F273" s="30"/>
      <c r="G273" s="6" t="str">
        <f aca="false">IF(F273&lt;&gt;0,F273*G$2/(100+G$2)," ")</f>
        <v> </v>
      </c>
      <c r="H273" s="6" t="str">
        <f aca="false">IF((F273&lt;&gt;0),F273-G273," ")</f>
        <v> </v>
      </c>
      <c r="I273" s="5"/>
      <c r="L273" s="7" t="str">
        <f aca="false">IF(F273&lt;&gt;0,F273-K273," ")</f>
        <v> </v>
      </c>
      <c r="M273" s="8" t="str">
        <f aca="false">IF((F273-K273)&lt;&gt;0,M$1-A273," ")</f>
        <v> </v>
      </c>
      <c r="N273" s="5"/>
      <c r="O273" s="17" t="str">
        <f aca="false">IF((E273="s"),H273," ")</f>
        <v> </v>
      </c>
      <c r="P273" s="17" t="str">
        <f aca="false">IF((E273="c"),H273," ")</f>
        <v> </v>
      </c>
      <c r="Q273" s="17" t="str">
        <f aca="false">IF((E273="o"),H273," ")</f>
        <v> </v>
      </c>
      <c r="R273" s="17" t="str">
        <f aca="false">IF((E273="d"),H273," ")</f>
        <v> </v>
      </c>
      <c r="S273" s="17" t="str">
        <f aca="false">IF((E273="w"),H273," ")</f>
        <v> </v>
      </c>
      <c r="T273" s="17" t="str">
        <f aca="false">IF((E273="r"),H273," ")</f>
        <v> </v>
      </c>
      <c r="U273" s="17" t="str">
        <f aca="false">IF((E273="p"),H273," ")</f>
        <v> </v>
      </c>
      <c r="V273" s="17" t="str">
        <f aca="false">IF((E273="t"),H273," ")</f>
        <v> </v>
      </c>
      <c r="W273" s="17" t="str">
        <f aca="false">IF((E273="q"),H273," ")</f>
        <v> </v>
      </c>
      <c r="X273" s="17" t="str">
        <f aca="false">IF((E273="m"),H273," ")</f>
        <v> </v>
      </c>
      <c r="Y273" s="17" t="str">
        <f aca="false">IF((E273="u"),H273," ")</f>
        <v> </v>
      </c>
      <c r="Z273" s="17" t="str">
        <f aca="false">IF((E273="a"),H273," ")</f>
        <v> </v>
      </c>
      <c r="AA273" s="17" t="str">
        <f aca="false">IF((E273="g"),H273," ")</f>
        <v> </v>
      </c>
      <c r="AB273" s="17" t="str">
        <f aca="false">IF((E273="h"),H273," ")</f>
        <v> </v>
      </c>
      <c r="AC273" s="30" t="str">
        <f aca="false">IF((E273="v"),H273," ")</f>
        <v> </v>
      </c>
      <c r="AD273" s="30" t="str">
        <f aca="false">IF((E273="n"),H273," ")</f>
        <v> </v>
      </c>
      <c r="AE273" s="17" t="str">
        <f aca="false">IF((E273="f"),H273," ")</f>
        <v> </v>
      </c>
      <c r="AF273" s="17" t="str">
        <f aca="false">IF((E273="l"),H273," ")</f>
        <v> </v>
      </c>
      <c r="AG273" s="17" t="str">
        <f aca="false">IF((E273="y"),H273," ")</f>
        <v> </v>
      </c>
      <c r="AH273" s="17" t="str">
        <f aca="false">IF((E273="z"),H273," ")</f>
        <v> </v>
      </c>
      <c r="AI273" s="17" t="str">
        <f aca="false">IF((E273="fa"),H273," ")</f>
        <v> </v>
      </c>
      <c r="AJ273" s="17" t="str">
        <f aca="false">IF((E273="e"),H273," ")</f>
        <v> </v>
      </c>
    </row>
    <row r="274" customFormat="false" ht="12" hidden="false" customHeight="false" outlineLevel="0" collapsed="false">
      <c r="A274" s="28"/>
      <c r="E274" s="2" t="str">
        <f aca="false">IF((F274&lt;&gt;0),"Enter Letter"," ")</f>
        <v> </v>
      </c>
      <c r="F274" s="30"/>
      <c r="G274" s="6" t="str">
        <f aca="false">IF(F274&lt;&gt;0,F274*G$2/(100+G$2)," ")</f>
        <v> </v>
      </c>
      <c r="H274" s="6" t="str">
        <f aca="false">IF((F274&lt;&gt;0),F274-G274," ")</f>
        <v> </v>
      </c>
      <c r="I274" s="5"/>
      <c r="L274" s="7" t="str">
        <f aca="false">IF(F274&lt;&gt;0,F274-K274," ")</f>
        <v> </v>
      </c>
      <c r="M274" s="8" t="str">
        <f aca="false">IF((F274-K274)&lt;&gt;0,M$1-A274," ")</f>
        <v> </v>
      </c>
      <c r="N274" s="5"/>
      <c r="O274" s="17" t="str">
        <f aca="false">IF((E274="s"),H274," ")</f>
        <v> </v>
      </c>
      <c r="P274" s="17" t="str">
        <f aca="false">IF((E274="c"),H274," ")</f>
        <v> </v>
      </c>
      <c r="Q274" s="17" t="str">
        <f aca="false">IF((E274="o"),H274," ")</f>
        <v> </v>
      </c>
      <c r="R274" s="17" t="str">
        <f aca="false">IF((E274="d"),H274," ")</f>
        <v> </v>
      </c>
      <c r="S274" s="17" t="str">
        <f aca="false">IF((E274="w"),H274," ")</f>
        <v> </v>
      </c>
      <c r="T274" s="17" t="str">
        <f aca="false">IF((E274="r"),H274," ")</f>
        <v> </v>
      </c>
      <c r="U274" s="17" t="str">
        <f aca="false">IF((E274="p"),H274," ")</f>
        <v> </v>
      </c>
      <c r="V274" s="17" t="str">
        <f aca="false">IF((E274="t"),H274," ")</f>
        <v> </v>
      </c>
      <c r="W274" s="17" t="str">
        <f aca="false">IF((E274="q"),H274," ")</f>
        <v> </v>
      </c>
      <c r="X274" s="17" t="str">
        <f aca="false">IF((E274="m"),H274," ")</f>
        <v> </v>
      </c>
      <c r="Y274" s="17" t="str">
        <f aca="false">IF((E274="u"),H274," ")</f>
        <v> </v>
      </c>
      <c r="Z274" s="17" t="str">
        <f aca="false">IF((E274="a"),H274," ")</f>
        <v> </v>
      </c>
      <c r="AA274" s="17" t="str">
        <f aca="false">IF((E274="g"),H274," ")</f>
        <v> </v>
      </c>
      <c r="AB274" s="17" t="str">
        <f aca="false">IF((E274="h"),H274," ")</f>
        <v> </v>
      </c>
      <c r="AC274" s="30" t="str">
        <f aca="false">IF((E274="v"),H274," ")</f>
        <v> </v>
      </c>
      <c r="AD274" s="30" t="str">
        <f aca="false">IF((E274="n"),H274," ")</f>
        <v> </v>
      </c>
      <c r="AE274" s="17" t="str">
        <f aca="false">IF((E274="f"),H274," ")</f>
        <v> </v>
      </c>
      <c r="AF274" s="17" t="str">
        <f aca="false">IF((E274="l"),H274," ")</f>
        <v> </v>
      </c>
      <c r="AG274" s="17" t="str">
        <f aca="false">IF((E274="y"),H274," ")</f>
        <v> </v>
      </c>
      <c r="AH274" s="17" t="str">
        <f aca="false">IF((E274="z"),H274," ")</f>
        <v> </v>
      </c>
      <c r="AI274" s="17" t="str">
        <f aca="false">IF((E274="fa"),H274," ")</f>
        <v> </v>
      </c>
      <c r="AJ274" s="17" t="str">
        <f aca="false">IF((E274="e"),H274," ")</f>
        <v> </v>
      </c>
    </row>
    <row r="275" customFormat="false" ht="12" hidden="false" customHeight="false" outlineLevel="0" collapsed="false">
      <c r="A275" s="28"/>
      <c r="E275" s="2" t="str">
        <f aca="false">IF((F275&lt;&gt;0),"Enter Letter"," ")</f>
        <v> </v>
      </c>
      <c r="F275" s="30"/>
      <c r="G275" s="6" t="str">
        <f aca="false">IF(F275&lt;&gt;0,F275*G$2/(100+G$2)," ")</f>
        <v> </v>
      </c>
      <c r="H275" s="6" t="str">
        <f aca="false">IF((F275&lt;&gt;0),F275-G275," ")</f>
        <v> </v>
      </c>
      <c r="I275" s="5"/>
      <c r="L275" s="7" t="str">
        <f aca="false">IF(F275&lt;&gt;0,F275-K275," ")</f>
        <v> </v>
      </c>
      <c r="M275" s="8" t="str">
        <f aca="false">IF((F275-K275)&lt;&gt;0,M$1-A275," ")</f>
        <v> </v>
      </c>
      <c r="N275" s="5"/>
      <c r="O275" s="17" t="str">
        <f aca="false">IF((E275="s"),H275," ")</f>
        <v> </v>
      </c>
      <c r="P275" s="17" t="str">
        <f aca="false">IF((E275="c"),H275," ")</f>
        <v> </v>
      </c>
      <c r="Q275" s="17" t="str">
        <f aca="false">IF((E275="o"),H275," ")</f>
        <v> </v>
      </c>
      <c r="R275" s="17" t="str">
        <f aca="false">IF((E275="d"),H275," ")</f>
        <v> </v>
      </c>
      <c r="S275" s="17" t="str">
        <f aca="false">IF((E275="w"),H275," ")</f>
        <v> </v>
      </c>
      <c r="T275" s="17" t="str">
        <f aca="false">IF((E275="r"),H275," ")</f>
        <v> </v>
      </c>
      <c r="U275" s="17" t="str">
        <f aca="false">IF((E275="p"),H275," ")</f>
        <v> </v>
      </c>
      <c r="V275" s="17" t="str">
        <f aca="false">IF((E275="t"),H275," ")</f>
        <v> </v>
      </c>
      <c r="W275" s="17" t="str">
        <f aca="false">IF((E275="q"),H275," ")</f>
        <v> </v>
      </c>
      <c r="X275" s="17" t="str">
        <f aca="false">IF((E275="m"),H275," ")</f>
        <v> </v>
      </c>
      <c r="Y275" s="17" t="str">
        <f aca="false">IF((E275="u"),H275," ")</f>
        <v> </v>
      </c>
      <c r="Z275" s="17" t="str">
        <f aca="false">IF((E275="a"),H275," ")</f>
        <v> </v>
      </c>
      <c r="AA275" s="17" t="str">
        <f aca="false">IF((E275="g"),H275," ")</f>
        <v> </v>
      </c>
      <c r="AB275" s="17" t="str">
        <f aca="false">IF((E275="h"),H275," ")</f>
        <v> </v>
      </c>
      <c r="AC275" s="30" t="str">
        <f aca="false">IF((E275="v"),H275," ")</f>
        <v> </v>
      </c>
      <c r="AD275" s="30" t="str">
        <f aca="false">IF((E275="n"),H275," ")</f>
        <v> </v>
      </c>
      <c r="AE275" s="17" t="str">
        <f aca="false">IF((E275="f"),H275," ")</f>
        <v> </v>
      </c>
      <c r="AF275" s="17" t="str">
        <f aca="false">IF((E275="l"),H275," ")</f>
        <v> </v>
      </c>
      <c r="AG275" s="17" t="str">
        <f aca="false">IF((E275="y"),H275," ")</f>
        <v> </v>
      </c>
      <c r="AH275" s="17" t="str">
        <f aca="false">IF((E275="z"),H275," ")</f>
        <v> </v>
      </c>
      <c r="AI275" s="17" t="str">
        <f aca="false">IF((E275="fa"),H275," ")</f>
        <v> </v>
      </c>
      <c r="AJ275" s="17" t="str">
        <f aca="false">IF((E275="e"),H275," ")</f>
        <v> </v>
      </c>
    </row>
    <row r="276" customFormat="false" ht="12" hidden="false" customHeight="false" outlineLevel="0" collapsed="false">
      <c r="A276" s="28"/>
      <c r="E276" s="2" t="str">
        <f aca="false">IF((F276&lt;&gt;0),"Enter Letter"," ")</f>
        <v> </v>
      </c>
      <c r="F276" s="30"/>
      <c r="G276" s="6" t="str">
        <f aca="false">IF(F276&lt;&gt;0,F276*G$2/(100+G$2)," ")</f>
        <v> </v>
      </c>
      <c r="H276" s="6" t="str">
        <f aca="false">IF((F276&lt;&gt;0),F276-G276," ")</f>
        <v> </v>
      </c>
      <c r="I276" s="5"/>
      <c r="L276" s="7" t="str">
        <f aca="false">IF(F276&lt;&gt;0,F276-K276," ")</f>
        <v> </v>
      </c>
      <c r="M276" s="8" t="str">
        <f aca="false">IF((F276-K276)&lt;&gt;0,M$1-A276," ")</f>
        <v> </v>
      </c>
      <c r="N276" s="5"/>
      <c r="O276" s="17" t="str">
        <f aca="false">IF((E276="s"),H276," ")</f>
        <v> </v>
      </c>
      <c r="P276" s="17" t="str">
        <f aca="false">IF((E276="c"),H276," ")</f>
        <v> </v>
      </c>
      <c r="Q276" s="17" t="str">
        <f aca="false">IF((E276="o"),H276," ")</f>
        <v> </v>
      </c>
      <c r="R276" s="17" t="str">
        <f aca="false">IF((E276="d"),H276," ")</f>
        <v> </v>
      </c>
      <c r="S276" s="17" t="str">
        <f aca="false">IF((E276="w"),H276," ")</f>
        <v> </v>
      </c>
      <c r="T276" s="17" t="str">
        <f aca="false">IF((E276="r"),H276," ")</f>
        <v> </v>
      </c>
      <c r="U276" s="17" t="str">
        <f aca="false">IF((E276="p"),H276," ")</f>
        <v> </v>
      </c>
      <c r="V276" s="17" t="str">
        <f aca="false">IF((E276="t"),H276," ")</f>
        <v> </v>
      </c>
      <c r="W276" s="17" t="str">
        <f aca="false">IF((E276="q"),H276," ")</f>
        <v> </v>
      </c>
      <c r="X276" s="17" t="str">
        <f aca="false">IF((E276="m"),H276," ")</f>
        <v> </v>
      </c>
      <c r="Y276" s="17" t="str">
        <f aca="false">IF((E276="u"),H276," ")</f>
        <v> </v>
      </c>
      <c r="Z276" s="17" t="str">
        <f aca="false">IF((E276="a"),H276," ")</f>
        <v> </v>
      </c>
      <c r="AA276" s="17" t="str">
        <f aca="false">IF((E276="g"),H276," ")</f>
        <v> </v>
      </c>
      <c r="AB276" s="17" t="str">
        <f aca="false">IF((E276="h"),H276," ")</f>
        <v> </v>
      </c>
      <c r="AC276" s="30" t="str">
        <f aca="false">IF((E276="v"),H276," ")</f>
        <v> </v>
      </c>
      <c r="AD276" s="30" t="str">
        <f aca="false">IF((E276="n"),H276," ")</f>
        <v> </v>
      </c>
      <c r="AE276" s="17" t="str">
        <f aca="false">IF((E276="f"),H276," ")</f>
        <v> </v>
      </c>
      <c r="AF276" s="17" t="str">
        <f aca="false">IF((E276="l"),H276," ")</f>
        <v> </v>
      </c>
      <c r="AG276" s="17" t="str">
        <f aca="false">IF((E276="y"),H276," ")</f>
        <v> </v>
      </c>
      <c r="AH276" s="17" t="str">
        <f aca="false">IF((E276="z"),H276," ")</f>
        <v> </v>
      </c>
      <c r="AI276" s="17" t="str">
        <f aca="false">IF((E276="fa"),H276," ")</f>
        <v> </v>
      </c>
      <c r="AJ276" s="17" t="str">
        <f aca="false">IF((E276="e"),H276," ")</f>
        <v> </v>
      </c>
    </row>
    <row r="277" customFormat="false" ht="12" hidden="false" customHeight="false" outlineLevel="0" collapsed="false">
      <c r="A277" s="28"/>
      <c r="E277" s="2" t="str">
        <f aca="false">IF((F277&lt;&gt;0),"Enter Letter"," ")</f>
        <v> </v>
      </c>
      <c r="F277" s="30"/>
      <c r="G277" s="6" t="str">
        <f aca="false">IF(F277&lt;&gt;0,F277*G$2/(100+G$2)," ")</f>
        <v> </v>
      </c>
      <c r="H277" s="6" t="str">
        <f aca="false">IF((F277&lt;&gt;0),F277-G277," ")</f>
        <v> </v>
      </c>
      <c r="I277" s="5"/>
      <c r="L277" s="7" t="str">
        <f aca="false">IF(F277&lt;&gt;0,F277-K277," ")</f>
        <v> </v>
      </c>
      <c r="M277" s="8" t="str">
        <f aca="false">IF((F277-K277)&lt;&gt;0,M$1-A277," ")</f>
        <v> </v>
      </c>
      <c r="N277" s="5"/>
      <c r="O277" s="17" t="str">
        <f aca="false">IF((E277="s"),H277," ")</f>
        <v> </v>
      </c>
      <c r="P277" s="17" t="str">
        <f aca="false">IF((E277="c"),H277," ")</f>
        <v> </v>
      </c>
      <c r="Q277" s="17" t="str">
        <f aca="false">IF((E277="o"),H277," ")</f>
        <v> </v>
      </c>
      <c r="R277" s="17" t="str">
        <f aca="false">IF((E277="d"),H277," ")</f>
        <v> </v>
      </c>
      <c r="S277" s="17" t="str">
        <f aca="false">IF((E277="w"),H277," ")</f>
        <v> </v>
      </c>
      <c r="T277" s="17" t="str">
        <f aca="false">IF((E277="r"),H277," ")</f>
        <v> </v>
      </c>
      <c r="U277" s="17" t="str">
        <f aca="false">IF((E277="p"),H277," ")</f>
        <v> </v>
      </c>
      <c r="V277" s="17" t="str">
        <f aca="false">IF((E277="t"),H277," ")</f>
        <v> </v>
      </c>
      <c r="W277" s="17" t="str">
        <f aca="false">IF((E277="q"),H277," ")</f>
        <v> </v>
      </c>
      <c r="X277" s="17" t="str">
        <f aca="false">IF((E277="m"),H277," ")</f>
        <v> </v>
      </c>
      <c r="Y277" s="17" t="str">
        <f aca="false">IF((E277="u"),H277," ")</f>
        <v> </v>
      </c>
      <c r="Z277" s="17" t="str">
        <f aca="false">IF((E277="a"),H277," ")</f>
        <v> </v>
      </c>
      <c r="AA277" s="17" t="str">
        <f aca="false">IF((E277="g"),H277," ")</f>
        <v> </v>
      </c>
      <c r="AB277" s="17" t="str">
        <f aca="false">IF((E277="h"),H277," ")</f>
        <v> </v>
      </c>
      <c r="AC277" s="30" t="str">
        <f aca="false">IF((E277="v"),H277," ")</f>
        <v> </v>
      </c>
      <c r="AD277" s="30" t="str">
        <f aca="false">IF((E277="n"),H277," ")</f>
        <v> </v>
      </c>
      <c r="AE277" s="17" t="str">
        <f aca="false">IF((E277="f"),H277," ")</f>
        <v> </v>
      </c>
      <c r="AF277" s="17" t="str">
        <f aca="false">IF((E277="l"),H277," ")</f>
        <v> </v>
      </c>
      <c r="AG277" s="17" t="str">
        <f aca="false">IF((E277="y"),H277," ")</f>
        <v> </v>
      </c>
      <c r="AH277" s="17" t="str">
        <f aca="false">IF((E277="z"),H277," ")</f>
        <v> </v>
      </c>
      <c r="AI277" s="17" t="str">
        <f aca="false">IF((E277="fa"),H277," ")</f>
        <v> </v>
      </c>
      <c r="AJ277" s="17" t="str">
        <f aca="false">IF((E277="e"),H277," ")</f>
        <v> </v>
      </c>
    </row>
    <row r="278" customFormat="false" ht="12" hidden="false" customHeight="false" outlineLevel="0" collapsed="false">
      <c r="A278" s="28"/>
      <c r="E278" s="2" t="str">
        <f aca="false">IF((F278&lt;&gt;0),"Enter Letter"," ")</f>
        <v> </v>
      </c>
      <c r="F278" s="30"/>
      <c r="G278" s="6" t="str">
        <f aca="false">IF(F278&lt;&gt;0,F278*G$2/(100+G$2)," ")</f>
        <v> </v>
      </c>
      <c r="H278" s="6" t="str">
        <f aca="false">IF((F278&lt;&gt;0),F278-G278," ")</f>
        <v> </v>
      </c>
      <c r="I278" s="5"/>
      <c r="L278" s="7" t="str">
        <f aca="false">IF(F278&lt;&gt;0,F278-K278," ")</f>
        <v> </v>
      </c>
      <c r="M278" s="8" t="str">
        <f aca="false">IF((F278-K278)&lt;&gt;0,M$1-A278," ")</f>
        <v> </v>
      </c>
      <c r="N278" s="5"/>
      <c r="O278" s="17" t="str">
        <f aca="false">IF((E278="s"),H278," ")</f>
        <v> </v>
      </c>
      <c r="P278" s="17" t="str">
        <f aca="false">IF((E278="c"),H278," ")</f>
        <v> </v>
      </c>
      <c r="Q278" s="17" t="str">
        <f aca="false">IF((E278="o"),H278," ")</f>
        <v> </v>
      </c>
      <c r="R278" s="17" t="str">
        <f aca="false">IF((E278="d"),H278," ")</f>
        <v> </v>
      </c>
      <c r="S278" s="17" t="str">
        <f aca="false">IF((E278="w"),H278," ")</f>
        <v> </v>
      </c>
      <c r="T278" s="17" t="str">
        <f aca="false">IF((E278="r"),H278," ")</f>
        <v> </v>
      </c>
      <c r="U278" s="17" t="str">
        <f aca="false">IF((E278="p"),H278," ")</f>
        <v> </v>
      </c>
      <c r="V278" s="17" t="str">
        <f aca="false">IF((E278="t"),H278," ")</f>
        <v> </v>
      </c>
      <c r="W278" s="17" t="str">
        <f aca="false">IF((E278="q"),H278," ")</f>
        <v> </v>
      </c>
      <c r="X278" s="17" t="str">
        <f aca="false">IF((E278="m"),H278," ")</f>
        <v> </v>
      </c>
      <c r="Y278" s="17" t="str">
        <f aca="false">IF((E278="u"),H278," ")</f>
        <v> </v>
      </c>
      <c r="Z278" s="17" t="str">
        <f aca="false">IF((E278="a"),H278," ")</f>
        <v> </v>
      </c>
      <c r="AA278" s="17" t="str">
        <f aca="false">IF((E278="g"),H278," ")</f>
        <v> </v>
      </c>
      <c r="AB278" s="17" t="str">
        <f aca="false">IF((E278="h"),H278," ")</f>
        <v> </v>
      </c>
      <c r="AC278" s="30" t="str">
        <f aca="false">IF((E278="v"),H278," ")</f>
        <v> </v>
      </c>
      <c r="AD278" s="30" t="str">
        <f aca="false">IF((E278="n"),H278," ")</f>
        <v> </v>
      </c>
      <c r="AE278" s="17" t="str">
        <f aca="false">IF((E278="f"),H278," ")</f>
        <v> </v>
      </c>
      <c r="AF278" s="17" t="str">
        <f aca="false">IF((E278="l"),H278," ")</f>
        <v> </v>
      </c>
      <c r="AG278" s="17" t="str">
        <f aca="false">IF((E278="y"),H278," ")</f>
        <v> </v>
      </c>
      <c r="AH278" s="17" t="str">
        <f aca="false">IF((E278="z"),H278," ")</f>
        <v> </v>
      </c>
      <c r="AI278" s="17" t="str">
        <f aca="false">IF((E278="fa"),H278," ")</f>
        <v> </v>
      </c>
      <c r="AJ278" s="17" t="str">
        <f aca="false">IF((E278="e"),H278," ")</f>
        <v> </v>
      </c>
    </row>
    <row r="279" customFormat="false" ht="12" hidden="false" customHeight="false" outlineLevel="0" collapsed="false">
      <c r="A279" s="28"/>
      <c r="E279" s="2" t="str">
        <f aca="false">IF((F279&lt;&gt;0),"Enter Letter"," ")</f>
        <v> </v>
      </c>
      <c r="F279" s="30"/>
      <c r="G279" s="6" t="str">
        <f aca="false">IF(F279&lt;&gt;0,F279*G$2/(100+G$2)," ")</f>
        <v> </v>
      </c>
      <c r="H279" s="6" t="str">
        <f aca="false">IF((F279&lt;&gt;0),F279-G279," ")</f>
        <v> </v>
      </c>
      <c r="I279" s="5"/>
      <c r="L279" s="7" t="str">
        <f aca="false">IF(F279&lt;&gt;0,F279-K279," ")</f>
        <v> </v>
      </c>
      <c r="M279" s="8" t="str">
        <f aca="false">IF((F279-K279)&lt;&gt;0,M$1-A279," ")</f>
        <v> </v>
      </c>
      <c r="N279" s="5"/>
      <c r="O279" s="17" t="str">
        <f aca="false">IF((E279="s"),H279," ")</f>
        <v> </v>
      </c>
      <c r="P279" s="17" t="str">
        <f aca="false">IF((E279="c"),H279," ")</f>
        <v> </v>
      </c>
      <c r="Q279" s="17" t="str">
        <f aca="false">IF((E279="o"),H279," ")</f>
        <v> </v>
      </c>
      <c r="R279" s="17" t="str">
        <f aca="false">IF((E279="d"),H279," ")</f>
        <v> </v>
      </c>
      <c r="S279" s="17" t="str">
        <f aca="false">IF((E279="w"),H279," ")</f>
        <v> </v>
      </c>
      <c r="T279" s="17" t="str">
        <f aca="false">IF((E279="r"),H279," ")</f>
        <v> </v>
      </c>
      <c r="U279" s="17" t="str">
        <f aca="false">IF((E279="p"),H279," ")</f>
        <v> </v>
      </c>
      <c r="V279" s="17" t="str">
        <f aca="false">IF((E279="t"),H279," ")</f>
        <v> </v>
      </c>
      <c r="W279" s="17" t="str">
        <f aca="false">IF((E279="q"),H279," ")</f>
        <v> </v>
      </c>
      <c r="X279" s="17" t="str">
        <f aca="false">IF((E279="m"),H279," ")</f>
        <v> </v>
      </c>
      <c r="Y279" s="17" t="str">
        <f aca="false">IF((E279="u"),H279," ")</f>
        <v> </v>
      </c>
      <c r="Z279" s="17" t="str">
        <f aca="false">IF((E279="a"),H279," ")</f>
        <v> </v>
      </c>
      <c r="AA279" s="17" t="str">
        <f aca="false">IF((E279="g"),H279," ")</f>
        <v> </v>
      </c>
      <c r="AB279" s="17" t="str">
        <f aca="false">IF((E279="h"),H279," ")</f>
        <v> </v>
      </c>
      <c r="AC279" s="30" t="str">
        <f aca="false">IF((E279="v"),H279," ")</f>
        <v> </v>
      </c>
      <c r="AD279" s="30" t="str">
        <f aca="false">IF((E279="n"),H279," ")</f>
        <v> </v>
      </c>
      <c r="AE279" s="17" t="str">
        <f aca="false">IF((E279="f"),H279," ")</f>
        <v> </v>
      </c>
      <c r="AF279" s="17" t="str">
        <f aca="false">IF((E279="l"),H279," ")</f>
        <v> </v>
      </c>
      <c r="AG279" s="17" t="str">
        <f aca="false">IF((E279="y"),H279," ")</f>
        <v> </v>
      </c>
      <c r="AH279" s="17" t="str">
        <f aca="false">IF((E279="z"),H279," ")</f>
        <v> </v>
      </c>
      <c r="AI279" s="17" t="str">
        <f aca="false">IF((E279="fa"),H279," ")</f>
        <v> </v>
      </c>
      <c r="AJ279" s="17" t="str">
        <f aca="false">IF((E279="e"),H279," ")</f>
        <v> </v>
      </c>
    </row>
    <row r="280" customFormat="false" ht="12" hidden="false" customHeight="false" outlineLevel="0" collapsed="false">
      <c r="A280" s="28"/>
      <c r="E280" s="2" t="str">
        <f aca="false">IF((F280&lt;&gt;0),"Enter Letter"," ")</f>
        <v> </v>
      </c>
      <c r="F280" s="30"/>
      <c r="G280" s="6" t="str">
        <f aca="false">IF(F280&lt;&gt;0,F280*G$2/(100+G$2)," ")</f>
        <v> </v>
      </c>
      <c r="H280" s="6" t="str">
        <f aca="false">IF((F280&lt;&gt;0),F280-G280," ")</f>
        <v> </v>
      </c>
      <c r="I280" s="5"/>
      <c r="L280" s="7" t="str">
        <f aca="false">IF(F280&lt;&gt;0,F280-K280," ")</f>
        <v> </v>
      </c>
      <c r="M280" s="8" t="str">
        <f aca="false">IF((F280-K280)&lt;&gt;0,M$1-A280," ")</f>
        <v> </v>
      </c>
      <c r="N280" s="5"/>
      <c r="O280" s="17" t="str">
        <f aca="false">IF((E280="s"),H280," ")</f>
        <v> </v>
      </c>
      <c r="P280" s="17" t="str">
        <f aca="false">IF((E280="c"),H280," ")</f>
        <v> </v>
      </c>
      <c r="Q280" s="17" t="str">
        <f aca="false">IF((E280="o"),H280," ")</f>
        <v> </v>
      </c>
      <c r="R280" s="17" t="str">
        <f aca="false">IF((E280="d"),H280," ")</f>
        <v> </v>
      </c>
      <c r="S280" s="17" t="str">
        <f aca="false">IF((E280="w"),H280," ")</f>
        <v> </v>
      </c>
      <c r="T280" s="17" t="str">
        <f aca="false">IF((E280="r"),H280," ")</f>
        <v> </v>
      </c>
      <c r="U280" s="17" t="str">
        <f aca="false">IF((E280="p"),H280," ")</f>
        <v> </v>
      </c>
      <c r="V280" s="17" t="str">
        <f aca="false">IF((E280="t"),H280," ")</f>
        <v> </v>
      </c>
      <c r="W280" s="17" t="str">
        <f aca="false">IF((E280="q"),H280," ")</f>
        <v> </v>
      </c>
      <c r="X280" s="17" t="str">
        <f aca="false">IF((E280="m"),H280," ")</f>
        <v> </v>
      </c>
      <c r="Y280" s="17" t="str">
        <f aca="false">IF((E280="u"),H280," ")</f>
        <v> </v>
      </c>
      <c r="Z280" s="17" t="str">
        <f aca="false">IF((E280="a"),H280," ")</f>
        <v> </v>
      </c>
      <c r="AA280" s="17" t="str">
        <f aca="false">IF((E280="g"),H280," ")</f>
        <v> </v>
      </c>
      <c r="AB280" s="17" t="str">
        <f aca="false">IF((E280="h"),H280," ")</f>
        <v> </v>
      </c>
      <c r="AC280" s="30" t="str">
        <f aca="false">IF((E280="v"),H280," ")</f>
        <v> </v>
      </c>
      <c r="AD280" s="30" t="str">
        <f aca="false">IF((E280="n"),H280," ")</f>
        <v> </v>
      </c>
      <c r="AE280" s="17" t="str">
        <f aca="false">IF((E280="f"),H280," ")</f>
        <v> </v>
      </c>
      <c r="AF280" s="17" t="str">
        <f aca="false">IF((E280="l"),H280," ")</f>
        <v> </v>
      </c>
      <c r="AG280" s="17" t="str">
        <f aca="false">IF((E280="y"),H280," ")</f>
        <v> </v>
      </c>
      <c r="AH280" s="17" t="str">
        <f aca="false">IF((E280="z"),H280," ")</f>
        <v> </v>
      </c>
      <c r="AI280" s="17" t="str">
        <f aca="false">IF((E280="fa"),H280," ")</f>
        <v> </v>
      </c>
      <c r="AJ280" s="17" t="str">
        <f aca="false">IF((E280="e"),H280," ")</f>
        <v> </v>
      </c>
    </row>
    <row r="281" customFormat="false" ht="12" hidden="false" customHeight="false" outlineLevel="0" collapsed="false">
      <c r="A281" s="28"/>
      <c r="E281" s="2" t="str">
        <f aca="false">IF((F281&lt;&gt;0),"Enter Letter"," ")</f>
        <v> </v>
      </c>
      <c r="F281" s="30"/>
      <c r="G281" s="6" t="str">
        <f aca="false">IF(F281&lt;&gt;0,F281*G$2/(100+G$2)," ")</f>
        <v> </v>
      </c>
      <c r="H281" s="6" t="str">
        <f aca="false">IF((F281&lt;&gt;0),F281-G281," ")</f>
        <v> </v>
      </c>
      <c r="I281" s="5"/>
      <c r="L281" s="7" t="str">
        <f aca="false">IF(F281&lt;&gt;0,F281-K281," ")</f>
        <v> </v>
      </c>
      <c r="M281" s="8" t="str">
        <f aca="false">IF((F281-K281)&lt;&gt;0,M$1-A281," ")</f>
        <v> </v>
      </c>
      <c r="N281" s="5"/>
      <c r="O281" s="17" t="str">
        <f aca="false">IF((E281="s"),H281," ")</f>
        <v> </v>
      </c>
      <c r="P281" s="17" t="str">
        <f aca="false">IF((E281="c"),H281," ")</f>
        <v> </v>
      </c>
      <c r="Q281" s="17" t="str">
        <f aca="false">IF((E281="o"),H281," ")</f>
        <v> </v>
      </c>
      <c r="R281" s="17" t="str">
        <f aca="false">IF((E281="d"),H281," ")</f>
        <v> </v>
      </c>
      <c r="S281" s="17" t="str">
        <f aca="false">IF((E281="w"),H281," ")</f>
        <v> </v>
      </c>
      <c r="T281" s="17" t="str">
        <f aca="false">IF((E281="r"),H281," ")</f>
        <v> </v>
      </c>
      <c r="U281" s="17" t="str">
        <f aca="false">IF((E281="p"),H281," ")</f>
        <v> </v>
      </c>
      <c r="V281" s="17" t="str">
        <f aca="false">IF((E281="t"),H281," ")</f>
        <v> </v>
      </c>
      <c r="W281" s="17" t="str">
        <f aca="false">IF((E281="q"),H281," ")</f>
        <v> </v>
      </c>
      <c r="X281" s="17" t="str">
        <f aca="false">IF((E281="m"),H281," ")</f>
        <v> </v>
      </c>
      <c r="Y281" s="17" t="str">
        <f aca="false">IF((E281="u"),H281," ")</f>
        <v> </v>
      </c>
      <c r="Z281" s="17" t="str">
        <f aca="false">IF((E281="a"),H281," ")</f>
        <v> </v>
      </c>
      <c r="AA281" s="17" t="str">
        <f aca="false">IF((E281="g"),H281," ")</f>
        <v> </v>
      </c>
      <c r="AB281" s="17" t="str">
        <f aca="false">IF((E281="h"),H281," ")</f>
        <v> </v>
      </c>
      <c r="AC281" s="30" t="str">
        <f aca="false">IF((E281="v"),H281," ")</f>
        <v> </v>
      </c>
      <c r="AD281" s="30" t="str">
        <f aca="false">IF((E281="n"),H281," ")</f>
        <v> </v>
      </c>
      <c r="AE281" s="17" t="str">
        <f aca="false">IF((E281="f"),H281," ")</f>
        <v> </v>
      </c>
      <c r="AF281" s="17" t="str">
        <f aca="false">IF((E281="l"),H281," ")</f>
        <v> </v>
      </c>
      <c r="AG281" s="17" t="str">
        <f aca="false">IF((E281="y"),H281," ")</f>
        <v> </v>
      </c>
      <c r="AH281" s="17" t="str">
        <f aca="false">IF((E281="z"),H281," ")</f>
        <v> </v>
      </c>
      <c r="AI281" s="17" t="str">
        <f aca="false">IF((E281="fa"),H281," ")</f>
        <v> </v>
      </c>
      <c r="AJ281" s="17" t="str">
        <f aca="false">IF((E281="e"),H281," ")</f>
        <v> </v>
      </c>
    </row>
    <row r="282" customFormat="false" ht="12" hidden="false" customHeight="false" outlineLevel="0" collapsed="false">
      <c r="A282" s="28"/>
      <c r="E282" s="2" t="str">
        <f aca="false">IF((F282&lt;&gt;0),"Enter Letter"," ")</f>
        <v> </v>
      </c>
      <c r="F282" s="30"/>
      <c r="G282" s="6" t="str">
        <f aca="false">IF(F282&lt;&gt;0,F282*G$2/(100+G$2)," ")</f>
        <v> </v>
      </c>
      <c r="H282" s="6" t="str">
        <f aca="false">IF((F282&lt;&gt;0),F282-G282," ")</f>
        <v> </v>
      </c>
      <c r="I282" s="5"/>
      <c r="L282" s="7" t="str">
        <f aca="false">IF(F282&lt;&gt;0,F282-K282," ")</f>
        <v> </v>
      </c>
      <c r="M282" s="8" t="str">
        <f aca="false">IF((F282-K282)&lt;&gt;0,M$1-A282," ")</f>
        <v> </v>
      </c>
      <c r="N282" s="5"/>
      <c r="O282" s="17" t="str">
        <f aca="false">IF((E282="s"),H282," ")</f>
        <v> </v>
      </c>
      <c r="P282" s="17" t="str">
        <f aca="false">IF((E282="c"),H282," ")</f>
        <v> </v>
      </c>
      <c r="Q282" s="17" t="str">
        <f aca="false">IF((E282="o"),H282," ")</f>
        <v> </v>
      </c>
      <c r="R282" s="17" t="str">
        <f aca="false">IF((E282="d"),H282," ")</f>
        <v> </v>
      </c>
      <c r="S282" s="17" t="str">
        <f aca="false">IF((E282="w"),H282," ")</f>
        <v> </v>
      </c>
      <c r="T282" s="17" t="str">
        <f aca="false">IF((E282="r"),H282," ")</f>
        <v> </v>
      </c>
      <c r="U282" s="17" t="str">
        <f aca="false">IF((E282="p"),H282," ")</f>
        <v> </v>
      </c>
      <c r="V282" s="17" t="str">
        <f aca="false">IF((E282="t"),H282," ")</f>
        <v> </v>
      </c>
      <c r="W282" s="17" t="str">
        <f aca="false">IF((E282="q"),H282," ")</f>
        <v> </v>
      </c>
      <c r="X282" s="17" t="str">
        <f aca="false">IF((E282="m"),H282," ")</f>
        <v> </v>
      </c>
      <c r="Y282" s="17" t="str">
        <f aca="false">IF((E282="u"),H282," ")</f>
        <v> </v>
      </c>
      <c r="Z282" s="17" t="str">
        <f aca="false">IF((E282="a"),H282," ")</f>
        <v> </v>
      </c>
      <c r="AA282" s="17" t="str">
        <f aca="false">IF((E282="g"),H282," ")</f>
        <v> </v>
      </c>
      <c r="AB282" s="17" t="str">
        <f aca="false">IF((E282="h"),H282," ")</f>
        <v> </v>
      </c>
      <c r="AC282" s="30" t="str">
        <f aca="false">IF((E282="v"),H282," ")</f>
        <v> </v>
      </c>
      <c r="AD282" s="30" t="str">
        <f aca="false">IF((E282="n"),H282," ")</f>
        <v> </v>
      </c>
      <c r="AE282" s="17" t="str">
        <f aca="false">IF((E282="f"),H282," ")</f>
        <v> </v>
      </c>
      <c r="AF282" s="17" t="str">
        <f aca="false">IF((E282="l"),H282," ")</f>
        <v> </v>
      </c>
      <c r="AG282" s="17" t="str">
        <f aca="false">IF((E282="y"),H282," ")</f>
        <v> </v>
      </c>
      <c r="AH282" s="17" t="str">
        <f aca="false">IF((E282="z"),H282," ")</f>
        <v> </v>
      </c>
      <c r="AI282" s="17" t="str">
        <f aca="false">IF((E282="fa"),H282," ")</f>
        <v> </v>
      </c>
      <c r="AJ282" s="17" t="str">
        <f aca="false">IF((E282="e"),H282," ")</f>
        <v> </v>
      </c>
    </row>
    <row r="283" customFormat="false" ht="12" hidden="false" customHeight="false" outlineLevel="0" collapsed="false">
      <c r="A283" s="28"/>
      <c r="E283" s="2" t="str">
        <f aca="false">IF((F283&lt;&gt;0),"Enter Letter"," ")</f>
        <v> </v>
      </c>
      <c r="F283" s="30"/>
      <c r="G283" s="6" t="str">
        <f aca="false">IF(F283&lt;&gt;0,F283*G$2/(100+G$2)," ")</f>
        <v> </v>
      </c>
      <c r="H283" s="6" t="str">
        <f aca="false">IF((F283&lt;&gt;0),F283-G283," ")</f>
        <v> </v>
      </c>
      <c r="I283" s="5"/>
      <c r="L283" s="7" t="str">
        <f aca="false">IF(F283&lt;&gt;0,F283-K283," ")</f>
        <v> </v>
      </c>
      <c r="M283" s="8" t="str">
        <f aca="false">IF((F283-K283)&lt;&gt;0,M$1-A283," ")</f>
        <v> </v>
      </c>
      <c r="N283" s="5"/>
      <c r="O283" s="17" t="str">
        <f aca="false">IF((E283="s"),H283," ")</f>
        <v> </v>
      </c>
      <c r="P283" s="17" t="str">
        <f aca="false">IF((E283="c"),H283," ")</f>
        <v> </v>
      </c>
      <c r="Q283" s="17" t="str">
        <f aca="false">IF((E283="o"),H283," ")</f>
        <v> </v>
      </c>
      <c r="R283" s="17" t="str">
        <f aca="false">IF((E283="d"),H283," ")</f>
        <v> </v>
      </c>
      <c r="S283" s="17" t="str">
        <f aca="false">IF((E283="w"),H283," ")</f>
        <v> </v>
      </c>
      <c r="T283" s="17" t="str">
        <f aca="false">IF((E283="r"),H283," ")</f>
        <v> </v>
      </c>
      <c r="U283" s="17" t="str">
        <f aca="false">IF((E283="p"),H283," ")</f>
        <v> </v>
      </c>
      <c r="V283" s="17" t="str">
        <f aca="false">IF((E283="t"),H283," ")</f>
        <v> </v>
      </c>
      <c r="W283" s="17" t="str">
        <f aca="false">IF((E283="q"),H283," ")</f>
        <v> </v>
      </c>
      <c r="X283" s="17" t="str">
        <f aca="false">IF((E283="m"),H283," ")</f>
        <v> </v>
      </c>
      <c r="Y283" s="17" t="str">
        <f aca="false">IF((E283="u"),H283," ")</f>
        <v> </v>
      </c>
      <c r="Z283" s="17" t="str">
        <f aca="false">IF((E283="a"),H283," ")</f>
        <v> </v>
      </c>
      <c r="AA283" s="17" t="str">
        <f aca="false">IF((E283="g"),H283," ")</f>
        <v> </v>
      </c>
      <c r="AB283" s="17" t="str">
        <f aca="false">IF((E283="h"),H283," ")</f>
        <v> </v>
      </c>
      <c r="AC283" s="30" t="str">
        <f aca="false">IF((E283="v"),H283," ")</f>
        <v> </v>
      </c>
      <c r="AD283" s="30" t="str">
        <f aca="false">IF((E283="n"),H283," ")</f>
        <v> </v>
      </c>
      <c r="AE283" s="17" t="str">
        <f aca="false">IF((E283="f"),H283," ")</f>
        <v> </v>
      </c>
      <c r="AF283" s="17" t="str">
        <f aca="false">IF((E283="l"),H283," ")</f>
        <v> </v>
      </c>
      <c r="AG283" s="17" t="str">
        <f aca="false">IF((E283="y"),H283," ")</f>
        <v> </v>
      </c>
      <c r="AH283" s="17" t="str">
        <f aca="false">IF((E283="z"),H283," ")</f>
        <v> </v>
      </c>
      <c r="AI283" s="17" t="str">
        <f aca="false">IF((E283="fa"),H283," ")</f>
        <v> </v>
      </c>
      <c r="AJ283" s="17" t="str">
        <f aca="false">IF((E283="e"),H283," ")</f>
        <v> </v>
      </c>
    </row>
    <row r="284" customFormat="false" ht="12" hidden="false" customHeight="false" outlineLevel="0" collapsed="false">
      <c r="A284" s="28"/>
      <c r="E284" s="2" t="str">
        <f aca="false">IF((F284&lt;&gt;0),"Enter Letter"," ")</f>
        <v> </v>
      </c>
      <c r="F284" s="30"/>
      <c r="G284" s="6" t="str">
        <f aca="false">IF(F284&lt;&gt;0,F284*G$2/(100+G$2)," ")</f>
        <v> </v>
      </c>
      <c r="H284" s="6" t="str">
        <f aca="false">IF((F284&lt;&gt;0),F284-G284," ")</f>
        <v> </v>
      </c>
      <c r="I284" s="5"/>
      <c r="L284" s="7" t="str">
        <f aca="false">IF(F284&lt;&gt;0,F284-K284," ")</f>
        <v> </v>
      </c>
      <c r="M284" s="8" t="str">
        <f aca="false">IF((F284-K284)&lt;&gt;0,M$1-A284," ")</f>
        <v> </v>
      </c>
      <c r="N284" s="5"/>
      <c r="O284" s="17" t="str">
        <f aca="false">IF((E284="s"),H284," ")</f>
        <v> </v>
      </c>
      <c r="P284" s="17" t="str">
        <f aca="false">IF((E284="c"),H284," ")</f>
        <v> </v>
      </c>
      <c r="Q284" s="17" t="str">
        <f aca="false">IF((E284="o"),H284," ")</f>
        <v> </v>
      </c>
      <c r="R284" s="17" t="str">
        <f aca="false">IF((E284="d"),H284," ")</f>
        <v> </v>
      </c>
      <c r="S284" s="17" t="str">
        <f aca="false">IF((E284="w"),H284," ")</f>
        <v> </v>
      </c>
      <c r="T284" s="17" t="str">
        <f aca="false">IF((E284="r"),H284," ")</f>
        <v> </v>
      </c>
      <c r="U284" s="17" t="str">
        <f aca="false">IF((E284="p"),H284," ")</f>
        <v> </v>
      </c>
      <c r="V284" s="17" t="str">
        <f aca="false">IF((E284="t"),H284," ")</f>
        <v> </v>
      </c>
      <c r="W284" s="17" t="str">
        <f aca="false">IF((E284="q"),H284," ")</f>
        <v> </v>
      </c>
      <c r="X284" s="17" t="str">
        <f aca="false">IF((E284="m"),H284," ")</f>
        <v> </v>
      </c>
      <c r="Y284" s="17" t="str">
        <f aca="false">IF((E284="u"),H284," ")</f>
        <v> </v>
      </c>
      <c r="Z284" s="17" t="str">
        <f aca="false">IF((E284="a"),H284," ")</f>
        <v> </v>
      </c>
      <c r="AA284" s="17" t="str">
        <f aca="false">IF((E284="g"),H284," ")</f>
        <v> </v>
      </c>
      <c r="AB284" s="17" t="str">
        <f aca="false">IF((E284="h"),H284," ")</f>
        <v> </v>
      </c>
      <c r="AC284" s="30" t="str">
        <f aca="false">IF((E284="v"),H284," ")</f>
        <v> </v>
      </c>
      <c r="AD284" s="30" t="str">
        <f aca="false">IF((E284="n"),H284," ")</f>
        <v> </v>
      </c>
      <c r="AE284" s="17" t="str">
        <f aca="false">IF((E284="f"),H284," ")</f>
        <v> </v>
      </c>
      <c r="AF284" s="17" t="str">
        <f aca="false">IF((E284="l"),H284," ")</f>
        <v> </v>
      </c>
      <c r="AG284" s="17" t="str">
        <f aca="false">IF((E284="y"),H284," ")</f>
        <v> </v>
      </c>
      <c r="AH284" s="17" t="str">
        <f aca="false">IF((E284="z"),H284," ")</f>
        <v> </v>
      </c>
      <c r="AI284" s="17" t="str">
        <f aca="false">IF((E284="fa"),H284," ")</f>
        <v> </v>
      </c>
      <c r="AJ284" s="17" t="str">
        <f aca="false">IF((E284="e"),H284," ")</f>
        <v> </v>
      </c>
    </row>
    <row r="285" customFormat="false" ht="12" hidden="false" customHeight="false" outlineLevel="0" collapsed="false">
      <c r="A285" s="28"/>
      <c r="E285" s="2" t="str">
        <f aca="false">IF((F285&lt;&gt;0),"Enter Letter"," ")</f>
        <v> </v>
      </c>
      <c r="F285" s="30"/>
      <c r="G285" s="6" t="str">
        <f aca="false">IF(F285&lt;&gt;0,F285*G$2/(100+G$2)," ")</f>
        <v> </v>
      </c>
      <c r="H285" s="6" t="str">
        <f aca="false">IF((F285&lt;&gt;0),F285-G285," ")</f>
        <v> </v>
      </c>
      <c r="I285" s="5"/>
      <c r="L285" s="7" t="str">
        <f aca="false">IF(F285&lt;&gt;0,F285-K285," ")</f>
        <v> </v>
      </c>
      <c r="M285" s="8" t="str">
        <f aca="false">IF((F285-K285)&lt;&gt;0,M$1-A285," ")</f>
        <v> </v>
      </c>
      <c r="N285" s="5"/>
      <c r="O285" s="17" t="str">
        <f aca="false">IF((E285="s"),H285," ")</f>
        <v> </v>
      </c>
      <c r="P285" s="17" t="str">
        <f aca="false">IF((E285="c"),H285," ")</f>
        <v> </v>
      </c>
      <c r="Q285" s="17" t="str">
        <f aca="false">IF((E285="o"),H285," ")</f>
        <v> </v>
      </c>
      <c r="R285" s="17" t="str">
        <f aca="false">IF((E285="d"),H285," ")</f>
        <v> </v>
      </c>
      <c r="S285" s="17" t="str">
        <f aca="false">IF((E285="w"),H285," ")</f>
        <v> </v>
      </c>
      <c r="T285" s="17" t="str">
        <f aca="false">IF((E285="r"),H285," ")</f>
        <v> </v>
      </c>
      <c r="U285" s="17" t="str">
        <f aca="false">IF((E285="p"),H285," ")</f>
        <v> </v>
      </c>
      <c r="V285" s="17" t="str">
        <f aca="false">IF((E285="t"),H285," ")</f>
        <v> </v>
      </c>
      <c r="W285" s="17" t="str">
        <f aca="false">IF((E285="q"),H285," ")</f>
        <v> </v>
      </c>
      <c r="X285" s="17" t="str">
        <f aca="false">IF((E285="m"),H285," ")</f>
        <v> </v>
      </c>
      <c r="Y285" s="17" t="str">
        <f aca="false">IF((E285="u"),H285," ")</f>
        <v> </v>
      </c>
      <c r="Z285" s="17" t="str">
        <f aca="false">IF((E285="a"),H285," ")</f>
        <v> </v>
      </c>
      <c r="AA285" s="17" t="str">
        <f aca="false">IF((E285="g"),H285," ")</f>
        <v> </v>
      </c>
      <c r="AB285" s="17" t="str">
        <f aca="false">IF((E285="h"),H285," ")</f>
        <v> </v>
      </c>
      <c r="AC285" s="30" t="str">
        <f aca="false">IF((E285="v"),H285," ")</f>
        <v> </v>
      </c>
      <c r="AD285" s="30" t="str">
        <f aca="false">IF((E285="n"),H285," ")</f>
        <v> </v>
      </c>
      <c r="AE285" s="17" t="str">
        <f aca="false">IF((E285="f"),H285," ")</f>
        <v> </v>
      </c>
      <c r="AF285" s="17" t="str">
        <f aca="false">IF((E285="l"),H285," ")</f>
        <v> </v>
      </c>
      <c r="AG285" s="17" t="str">
        <f aca="false">IF((E285="y"),H285," ")</f>
        <v> </v>
      </c>
      <c r="AH285" s="17" t="str">
        <f aca="false">IF((E285="z"),H285," ")</f>
        <v> </v>
      </c>
      <c r="AI285" s="17" t="str">
        <f aca="false">IF((E285="fa"),H285," ")</f>
        <v> </v>
      </c>
      <c r="AJ285" s="17" t="str">
        <f aca="false">IF((E285="e"),H285," ")</f>
        <v> </v>
      </c>
    </row>
    <row r="286" customFormat="false" ht="12" hidden="false" customHeight="false" outlineLevel="0" collapsed="false">
      <c r="A286" s="28"/>
      <c r="E286" s="2" t="str">
        <f aca="false">IF((F286&lt;&gt;0),"Enter Letter"," ")</f>
        <v> </v>
      </c>
      <c r="F286" s="30"/>
      <c r="G286" s="6" t="str">
        <f aca="false">IF(F286&lt;&gt;0,F286*G$2/(100+G$2)," ")</f>
        <v> </v>
      </c>
      <c r="H286" s="6" t="str">
        <f aca="false">IF((F286&lt;&gt;0),F286-G286," ")</f>
        <v> </v>
      </c>
      <c r="I286" s="5"/>
      <c r="L286" s="7" t="str">
        <f aca="false">IF(F286&lt;&gt;0,F286-K286," ")</f>
        <v> </v>
      </c>
      <c r="M286" s="8" t="str">
        <f aca="false">IF((F286-K286)&lt;&gt;0,M$1-A286," ")</f>
        <v> </v>
      </c>
      <c r="N286" s="5"/>
      <c r="O286" s="17" t="str">
        <f aca="false">IF((E286="s"),H286," ")</f>
        <v> </v>
      </c>
      <c r="P286" s="17" t="str">
        <f aca="false">IF((E286="c"),H286," ")</f>
        <v> </v>
      </c>
      <c r="Q286" s="17" t="str">
        <f aca="false">IF((E286="o"),H286," ")</f>
        <v> </v>
      </c>
      <c r="R286" s="17" t="str">
        <f aca="false">IF((E286="d"),H286," ")</f>
        <v> </v>
      </c>
      <c r="S286" s="17" t="str">
        <f aca="false">IF((E286="w"),H286," ")</f>
        <v> </v>
      </c>
      <c r="T286" s="17" t="str">
        <f aca="false">IF((E286="r"),H286," ")</f>
        <v> </v>
      </c>
      <c r="U286" s="17" t="str">
        <f aca="false">IF((E286="p"),H286," ")</f>
        <v> </v>
      </c>
      <c r="V286" s="17" t="str">
        <f aca="false">IF((E286="t"),H286," ")</f>
        <v> </v>
      </c>
      <c r="W286" s="17" t="str">
        <f aca="false">IF((E286="q"),H286," ")</f>
        <v> </v>
      </c>
      <c r="X286" s="17" t="str">
        <f aca="false">IF((E286="m"),H286," ")</f>
        <v> </v>
      </c>
      <c r="Y286" s="17" t="str">
        <f aca="false">IF((E286="u"),H286," ")</f>
        <v> </v>
      </c>
      <c r="Z286" s="17" t="str">
        <f aca="false">IF((E286="a"),H286," ")</f>
        <v> </v>
      </c>
      <c r="AA286" s="17" t="str">
        <f aca="false">IF((E286="g"),H286," ")</f>
        <v> </v>
      </c>
      <c r="AB286" s="17" t="str">
        <f aca="false">IF((E286="h"),H286," ")</f>
        <v> </v>
      </c>
      <c r="AC286" s="30" t="str">
        <f aca="false">IF((E286="v"),H286," ")</f>
        <v> </v>
      </c>
      <c r="AD286" s="30" t="str">
        <f aca="false">IF((E286="n"),H286," ")</f>
        <v> </v>
      </c>
      <c r="AE286" s="17" t="str">
        <f aca="false">IF((E286="f"),H286," ")</f>
        <v> </v>
      </c>
      <c r="AF286" s="17" t="str">
        <f aca="false">IF((E286="l"),H286," ")</f>
        <v> </v>
      </c>
      <c r="AG286" s="17" t="str">
        <f aca="false">IF((E286="y"),H286," ")</f>
        <v> </v>
      </c>
      <c r="AH286" s="17" t="str">
        <f aca="false">IF((E286="z"),H286," ")</f>
        <v> </v>
      </c>
      <c r="AI286" s="17" t="str">
        <f aca="false">IF((E286="fa"),H286," ")</f>
        <v> </v>
      </c>
      <c r="AJ286" s="17" t="str">
        <f aca="false">IF((E286="e"),H286," ")</f>
        <v> </v>
      </c>
    </row>
    <row r="287" customFormat="false" ht="12" hidden="false" customHeight="false" outlineLevel="0" collapsed="false">
      <c r="A287" s="28"/>
      <c r="E287" s="2" t="str">
        <f aca="false">IF((F287&lt;&gt;0),"Enter Letter"," ")</f>
        <v> </v>
      </c>
      <c r="F287" s="30"/>
      <c r="G287" s="6" t="str">
        <f aca="false">IF(F287&lt;&gt;0,F287*G$2/(100+G$2)," ")</f>
        <v> </v>
      </c>
      <c r="H287" s="6" t="str">
        <f aca="false">IF((F287&lt;&gt;0),F287-G287," ")</f>
        <v> </v>
      </c>
      <c r="I287" s="5"/>
      <c r="L287" s="7" t="str">
        <f aca="false">IF(F287&lt;&gt;0,F287-K287," ")</f>
        <v> </v>
      </c>
      <c r="M287" s="8" t="str">
        <f aca="false">IF((F287-K287)&lt;&gt;0,M$1-A287," ")</f>
        <v> </v>
      </c>
      <c r="N287" s="5"/>
      <c r="O287" s="17" t="str">
        <f aca="false">IF((E287="s"),H287," ")</f>
        <v> </v>
      </c>
      <c r="P287" s="17" t="str">
        <f aca="false">IF((E287="c"),H287," ")</f>
        <v> </v>
      </c>
      <c r="Q287" s="17" t="str">
        <f aca="false">IF((E287="o"),H287," ")</f>
        <v> </v>
      </c>
      <c r="R287" s="17" t="str">
        <f aca="false">IF((E287="d"),H287," ")</f>
        <v> </v>
      </c>
      <c r="S287" s="17" t="str">
        <f aca="false">IF((E287="w"),H287," ")</f>
        <v> </v>
      </c>
      <c r="T287" s="17" t="str">
        <f aca="false">IF((E287="r"),H287," ")</f>
        <v> </v>
      </c>
      <c r="U287" s="17" t="str">
        <f aca="false">IF((E287="p"),H287," ")</f>
        <v> </v>
      </c>
      <c r="V287" s="17" t="str">
        <f aca="false">IF((E287="t"),H287," ")</f>
        <v> </v>
      </c>
      <c r="W287" s="17" t="str">
        <f aca="false">IF((E287="q"),H287," ")</f>
        <v> </v>
      </c>
      <c r="X287" s="17" t="str">
        <f aca="false">IF((E287="m"),H287," ")</f>
        <v> </v>
      </c>
      <c r="Y287" s="17" t="str">
        <f aca="false">IF((E287="u"),H287," ")</f>
        <v> </v>
      </c>
      <c r="Z287" s="17" t="str">
        <f aca="false">IF((E287="a"),H287," ")</f>
        <v> </v>
      </c>
      <c r="AA287" s="17" t="str">
        <f aca="false">IF((E287="g"),H287," ")</f>
        <v> </v>
      </c>
      <c r="AB287" s="17" t="str">
        <f aca="false">IF((E287="h"),H287," ")</f>
        <v> </v>
      </c>
      <c r="AC287" s="30" t="str">
        <f aca="false">IF((E287="v"),H287," ")</f>
        <v> </v>
      </c>
      <c r="AD287" s="30" t="str">
        <f aca="false">IF((E287="n"),H287," ")</f>
        <v> </v>
      </c>
      <c r="AE287" s="17" t="str">
        <f aca="false">IF((E287="f"),H287," ")</f>
        <v> </v>
      </c>
      <c r="AF287" s="17" t="str">
        <f aca="false">IF((E287="l"),H287," ")</f>
        <v> </v>
      </c>
      <c r="AG287" s="17" t="str">
        <f aca="false">IF((E287="y"),H287," ")</f>
        <v> </v>
      </c>
      <c r="AH287" s="17" t="str">
        <f aca="false">IF((E287="z"),H287," ")</f>
        <v> </v>
      </c>
      <c r="AI287" s="17" t="str">
        <f aca="false">IF((E287="fa"),H287," ")</f>
        <v> </v>
      </c>
      <c r="AJ287" s="17" t="str">
        <f aca="false">IF((E287="e"),H287," ")</f>
        <v> </v>
      </c>
    </row>
    <row r="288" customFormat="false" ht="12" hidden="false" customHeight="false" outlineLevel="0" collapsed="false">
      <c r="A288" s="28"/>
      <c r="E288" s="2" t="str">
        <f aca="false">IF((F288&lt;&gt;0),"Enter Letter"," ")</f>
        <v> </v>
      </c>
      <c r="F288" s="30"/>
      <c r="G288" s="6" t="str">
        <f aca="false">IF(F288&lt;&gt;0,F288*G$2/(100+G$2)," ")</f>
        <v> </v>
      </c>
      <c r="H288" s="6" t="str">
        <f aca="false">IF((F288&lt;&gt;0),F288-G288," ")</f>
        <v> </v>
      </c>
      <c r="I288" s="5"/>
      <c r="L288" s="7" t="str">
        <f aca="false">IF(F288&lt;&gt;0,F288-K288," ")</f>
        <v> </v>
      </c>
      <c r="M288" s="8" t="str">
        <f aca="false">IF((F288-K288)&lt;&gt;0,M$1-A288," ")</f>
        <v> </v>
      </c>
      <c r="N288" s="5"/>
      <c r="O288" s="17" t="str">
        <f aca="false">IF((E288="s"),H288," ")</f>
        <v> </v>
      </c>
      <c r="P288" s="17" t="str">
        <f aca="false">IF((E288="c"),H288," ")</f>
        <v> </v>
      </c>
      <c r="Q288" s="17" t="str">
        <f aca="false">IF((E288="o"),H288," ")</f>
        <v> </v>
      </c>
      <c r="R288" s="17" t="str">
        <f aca="false">IF((E288="d"),H288," ")</f>
        <v> </v>
      </c>
      <c r="S288" s="17" t="str">
        <f aca="false">IF((E288="w"),H288," ")</f>
        <v> </v>
      </c>
      <c r="T288" s="17" t="str">
        <f aca="false">IF((E288="r"),H288," ")</f>
        <v> </v>
      </c>
      <c r="U288" s="17" t="str">
        <f aca="false">IF((E288="p"),H288," ")</f>
        <v> </v>
      </c>
      <c r="V288" s="17" t="str">
        <f aca="false">IF((E288="t"),H288," ")</f>
        <v> </v>
      </c>
      <c r="W288" s="17" t="str">
        <f aca="false">IF((E288="q"),H288," ")</f>
        <v> </v>
      </c>
      <c r="X288" s="17" t="str">
        <f aca="false">IF((E288="m"),H288," ")</f>
        <v> </v>
      </c>
      <c r="Y288" s="17" t="str">
        <f aca="false">IF((E288="u"),H288," ")</f>
        <v> </v>
      </c>
      <c r="Z288" s="17" t="str">
        <f aca="false">IF((E288="a"),H288," ")</f>
        <v> </v>
      </c>
      <c r="AA288" s="17" t="str">
        <f aca="false">IF((E288="g"),H288," ")</f>
        <v> </v>
      </c>
      <c r="AB288" s="17" t="str">
        <f aca="false">IF((E288="h"),H288," ")</f>
        <v> </v>
      </c>
      <c r="AC288" s="30" t="str">
        <f aca="false">IF((E288="v"),H288," ")</f>
        <v> </v>
      </c>
      <c r="AD288" s="30" t="str">
        <f aca="false">IF((E288="n"),H288," ")</f>
        <v> </v>
      </c>
      <c r="AE288" s="17" t="str">
        <f aca="false">IF((E288="f"),H288," ")</f>
        <v> </v>
      </c>
      <c r="AF288" s="17" t="str">
        <f aca="false">IF((E288="l"),H288," ")</f>
        <v> </v>
      </c>
      <c r="AG288" s="17" t="str">
        <f aca="false">IF((E288="y"),H288," ")</f>
        <v> </v>
      </c>
      <c r="AH288" s="17" t="str">
        <f aca="false">IF((E288="z"),H288," ")</f>
        <v> </v>
      </c>
      <c r="AI288" s="17" t="str">
        <f aca="false">IF((E288="fa"),H288," ")</f>
        <v> </v>
      </c>
      <c r="AJ288" s="17" t="str">
        <f aca="false">IF((E288="e"),H288," ")</f>
        <v> </v>
      </c>
    </row>
    <row r="289" customFormat="false" ht="12" hidden="false" customHeight="false" outlineLevel="0" collapsed="false">
      <c r="A289" s="28"/>
      <c r="E289" s="2" t="str">
        <f aca="false">IF((F289&lt;&gt;0),"Enter Letter"," ")</f>
        <v> </v>
      </c>
      <c r="F289" s="30"/>
      <c r="G289" s="6" t="str">
        <f aca="false">IF(F289&lt;&gt;0,F289*G$2/(100+G$2)," ")</f>
        <v> </v>
      </c>
      <c r="H289" s="6" t="str">
        <f aca="false">IF((F289&lt;&gt;0),F289-G289," ")</f>
        <v> </v>
      </c>
      <c r="I289" s="5"/>
      <c r="L289" s="7" t="str">
        <f aca="false">IF(F289&lt;&gt;0,F289-K289," ")</f>
        <v> </v>
      </c>
      <c r="M289" s="8" t="str">
        <f aca="false">IF((F289-K289)&lt;&gt;0,M$1-A289," ")</f>
        <v> </v>
      </c>
      <c r="N289" s="5"/>
      <c r="O289" s="17" t="str">
        <f aca="false">IF((E289="s"),H289," ")</f>
        <v> </v>
      </c>
      <c r="P289" s="17" t="str">
        <f aca="false">IF((E289="c"),H289," ")</f>
        <v> </v>
      </c>
      <c r="Q289" s="17" t="str">
        <f aca="false">IF((E289="o"),H289," ")</f>
        <v> </v>
      </c>
      <c r="R289" s="17" t="str">
        <f aca="false">IF((E289="d"),H289," ")</f>
        <v> </v>
      </c>
      <c r="S289" s="17" t="str">
        <f aca="false">IF((E289="w"),H289," ")</f>
        <v> </v>
      </c>
      <c r="T289" s="17" t="str">
        <f aca="false">IF((E289="r"),H289," ")</f>
        <v> </v>
      </c>
      <c r="U289" s="17" t="str">
        <f aca="false">IF((E289="p"),H289," ")</f>
        <v> </v>
      </c>
      <c r="V289" s="17" t="str">
        <f aca="false">IF((E289="t"),H289," ")</f>
        <v> </v>
      </c>
      <c r="W289" s="17" t="str">
        <f aca="false">IF((E289="q"),H289," ")</f>
        <v> </v>
      </c>
      <c r="X289" s="17" t="str">
        <f aca="false">IF((E289="m"),H289," ")</f>
        <v> </v>
      </c>
      <c r="Y289" s="17" t="str">
        <f aca="false">IF((E289="u"),H289," ")</f>
        <v> </v>
      </c>
      <c r="Z289" s="17" t="str">
        <f aca="false">IF((E289="a"),H289," ")</f>
        <v> </v>
      </c>
      <c r="AA289" s="17" t="str">
        <f aca="false">IF((E289="g"),H289," ")</f>
        <v> </v>
      </c>
      <c r="AB289" s="17" t="str">
        <f aca="false">IF((E289="h"),H289," ")</f>
        <v> </v>
      </c>
      <c r="AC289" s="30" t="str">
        <f aca="false">IF((E289="v"),H289," ")</f>
        <v> </v>
      </c>
      <c r="AD289" s="30" t="str">
        <f aca="false">IF((E289="n"),H289," ")</f>
        <v> </v>
      </c>
      <c r="AE289" s="17" t="str">
        <f aca="false">IF((E289="f"),H289," ")</f>
        <v> </v>
      </c>
      <c r="AF289" s="17" t="str">
        <f aca="false">IF((E289="l"),H289," ")</f>
        <v> </v>
      </c>
      <c r="AG289" s="17" t="str">
        <f aca="false">IF((E289="y"),H289," ")</f>
        <v> </v>
      </c>
      <c r="AH289" s="17" t="str">
        <f aca="false">IF((E289="z"),H289," ")</f>
        <v> </v>
      </c>
      <c r="AI289" s="17" t="str">
        <f aca="false">IF((E289="fa"),H289," ")</f>
        <v> </v>
      </c>
      <c r="AJ289" s="17" t="str">
        <f aca="false">IF((E289="e"),H289," ")</f>
        <v> </v>
      </c>
    </row>
    <row r="290" customFormat="false" ht="12" hidden="false" customHeight="false" outlineLevel="0" collapsed="false">
      <c r="A290" s="28"/>
      <c r="E290" s="2" t="str">
        <f aca="false">IF((F290&lt;&gt;0),"Enter Letter"," ")</f>
        <v> </v>
      </c>
      <c r="F290" s="30"/>
      <c r="G290" s="6" t="str">
        <f aca="false">IF(F290&lt;&gt;0,F290*G$2/(100+G$2)," ")</f>
        <v> </v>
      </c>
      <c r="H290" s="6" t="str">
        <f aca="false">IF((F290&lt;&gt;0),F290-G290," ")</f>
        <v> </v>
      </c>
      <c r="I290" s="5"/>
      <c r="L290" s="7" t="str">
        <f aca="false">IF(F290&lt;&gt;0,F290-K290," ")</f>
        <v> </v>
      </c>
      <c r="M290" s="8" t="str">
        <f aca="false">IF((F290-K290)&lt;&gt;0,M$1-A290," ")</f>
        <v> </v>
      </c>
      <c r="N290" s="5"/>
      <c r="O290" s="17" t="str">
        <f aca="false">IF((E290="s"),H290," ")</f>
        <v> </v>
      </c>
      <c r="P290" s="17" t="str">
        <f aca="false">IF((E290="c"),H290," ")</f>
        <v> </v>
      </c>
      <c r="Q290" s="17" t="str">
        <f aca="false">IF((E290="o"),H290," ")</f>
        <v> </v>
      </c>
      <c r="R290" s="17" t="str">
        <f aca="false">IF((E290="d"),H290," ")</f>
        <v> </v>
      </c>
      <c r="S290" s="17" t="str">
        <f aca="false">IF((E290="w"),H290," ")</f>
        <v> </v>
      </c>
      <c r="T290" s="17" t="str">
        <f aca="false">IF((E290="r"),H290," ")</f>
        <v> </v>
      </c>
      <c r="U290" s="17" t="str">
        <f aca="false">IF((E290="p"),H290," ")</f>
        <v> </v>
      </c>
      <c r="V290" s="17" t="str">
        <f aca="false">IF((E290="t"),H290," ")</f>
        <v> </v>
      </c>
      <c r="W290" s="17" t="str">
        <f aca="false">IF((E290="q"),H290," ")</f>
        <v> </v>
      </c>
      <c r="X290" s="17" t="str">
        <f aca="false">IF((E290="m"),H290," ")</f>
        <v> </v>
      </c>
      <c r="Y290" s="17" t="str">
        <f aca="false">IF((E290="u"),H290," ")</f>
        <v> </v>
      </c>
      <c r="Z290" s="17" t="str">
        <f aca="false">IF((E290="a"),H290," ")</f>
        <v> </v>
      </c>
      <c r="AA290" s="17" t="str">
        <f aca="false">IF((E290="g"),H290," ")</f>
        <v> </v>
      </c>
      <c r="AB290" s="17" t="str">
        <f aca="false">IF((E290="h"),H290," ")</f>
        <v> </v>
      </c>
      <c r="AC290" s="30" t="str">
        <f aca="false">IF((E290="v"),H290," ")</f>
        <v> </v>
      </c>
      <c r="AD290" s="30" t="str">
        <f aca="false">IF((E290="n"),H290," ")</f>
        <v> </v>
      </c>
      <c r="AE290" s="17" t="str">
        <f aca="false">IF((E290="f"),H290," ")</f>
        <v> </v>
      </c>
      <c r="AF290" s="17" t="str">
        <f aca="false">IF((E290="l"),H290," ")</f>
        <v> </v>
      </c>
      <c r="AG290" s="17" t="str">
        <f aca="false">IF((E290="y"),H290," ")</f>
        <v> </v>
      </c>
      <c r="AH290" s="17" t="str">
        <f aca="false">IF((E290="z"),H290," ")</f>
        <v> </v>
      </c>
      <c r="AI290" s="17" t="str">
        <f aca="false">IF((E290="fa"),H290," ")</f>
        <v> </v>
      </c>
      <c r="AJ290" s="17" t="str">
        <f aca="false">IF((E290="e"),H290," ")</f>
        <v> </v>
      </c>
    </row>
    <row r="291" customFormat="false" ht="12" hidden="false" customHeight="false" outlineLevel="0" collapsed="false">
      <c r="A291" s="28"/>
      <c r="E291" s="2" t="str">
        <f aca="false">IF((F291&lt;&gt;0),"Enter Letter"," ")</f>
        <v> </v>
      </c>
      <c r="F291" s="30"/>
      <c r="G291" s="6" t="str">
        <f aca="false">IF(F291&lt;&gt;0,F291*G$2/(100+G$2)," ")</f>
        <v> </v>
      </c>
      <c r="H291" s="6" t="str">
        <f aca="false">IF((F291&lt;&gt;0),F291-G291," ")</f>
        <v> </v>
      </c>
      <c r="I291" s="5"/>
      <c r="L291" s="7" t="str">
        <f aca="false">IF(F291&lt;&gt;0,F291-K291," ")</f>
        <v> </v>
      </c>
      <c r="M291" s="8" t="str">
        <f aca="false">IF((F291-K291)&lt;&gt;0,M$1-A291," ")</f>
        <v> </v>
      </c>
      <c r="N291" s="5"/>
      <c r="O291" s="17" t="str">
        <f aca="false">IF((E291="s"),H291," ")</f>
        <v> </v>
      </c>
      <c r="P291" s="17" t="str">
        <f aca="false">IF((E291="c"),H291," ")</f>
        <v> </v>
      </c>
      <c r="Q291" s="17" t="str">
        <f aca="false">IF((E291="o"),H291," ")</f>
        <v> </v>
      </c>
      <c r="R291" s="17" t="str">
        <f aca="false">IF((E291="d"),H291," ")</f>
        <v> </v>
      </c>
      <c r="S291" s="17" t="str">
        <f aca="false">IF((E291="w"),H291," ")</f>
        <v> </v>
      </c>
      <c r="T291" s="17" t="str">
        <f aca="false">IF((E291="r"),H291," ")</f>
        <v> </v>
      </c>
      <c r="U291" s="17" t="str">
        <f aca="false">IF((E291="p"),H291," ")</f>
        <v> </v>
      </c>
      <c r="V291" s="17" t="str">
        <f aca="false">IF((E291="t"),H291," ")</f>
        <v> </v>
      </c>
      <c r="W291" s="17" t="str">
        <f aca="false">IF((E291="q"),H291," ")</f>
        <v> </v>
      </c>
      <c r="X291" s="17" t="str">
        <f aca="false">IF((E291="m"),H291," ")</f>
        <v> </v>
      </c>
      <c r="Y291" s="17" t="str">
        <f aca="false">IF((E291="u"),H291," ")</f>
        <v> </v>
      </c>
      <c r="Z291" s="17" t="str">
        <f aca="false">IF((E291="a"),H291," ")</f>
        <v> </v>
      </c>
      <c r="AA291" s="17" t="str">
        <f aca="false">IF((E291="g"),H291," ")</f>
        <v> </v>
      </c>
      <c r="AB291" s="17" t="str">
        <f aca="false">IF((E291="h"),H291," ")</f>
        <v> </v>
      </c>
      <c r="AC291" s="30" t="str">
        <f aca="false">IF((E291="v"),H291," ")</f>
        <v> </v>
      </c>
      <c r="AD291" s="30" t="str">
        <f aca="false">IF((E291="n"),H291," ")</f>
        <v> </v>
      </c>
      <c r="AE291" s="17" t="str">
        <f aca="false">IF((E291="f"),H291," ")</f>
        <v> </v>
      </c>
      <c r="AF291" s="17" t="str">
        <f aca="false">IF((E291="l"),H291," ")</f>
        <v> </v>
      </c>
      <c r="AG291" s="17" t="str">
        <f aca="false">IF((E291="y"),H291," ")</f>
        <v> </v>
      </c>
      <c r="AH291" s="17" t="str">
        <f aca="false">IF((E291="z"),H291," ")</f>
        <v> </v>
      </c>
      <c r="AI291" s="17" t="str">
        <f aca="false">IF((E291="fa"),H291," ")</f>
        <v> </v>
      </c>
      <c r="AJ291" s="17" t="str">
        <f aca="false">IF((E291="e"),H291," ")</f>
        <v> </v>
      </c>
    </row>
    <row r="292" customFormat="false" ht="12" hidden="false" customHeight="false" outlineLevel="0" collapsed="false">
      <c r="A292" s="28"/>
      <c r="E292" s="2" t="str">
        <f aca="false">IF((F292&lt;&gt;0),"Enter Letter"," ")</f>
        <v> </v>
      </c>
      <c r="F292" s="30"/>
      <c r="G292" s="6" t="str">
        <f aca="false">IF(F292&lt;&gt;0,F292*G$2/(100+G$2)," ")</f>
        <v> </v>
      </c>
      <c r="H292" s="6" t="str">
        <f aca="false">IF((F292&lt;&gt;0),F292-G292," ")</f>
        <v> </v>
      </c>
      <c r="I292" s="5"/>
      <c r="L292" s="7" t="str">
        <f aca="false">IF(F292&lt;&gt;0,F292-K292," ")</f>
        <v> </v>
      </c>
      <c r="M292" s="8" t="str">
        <f aca="false">IF((F292-K292)&lt;&gt;0,M$1-A292," ")</f>
        <v> </v>
      </c>
      <c r="N292" s="5"/>
      <c r="O292" s="17" t="str">
        <f aca="false">IF((E292="s"),H292," ")</f>
        <v> </v>
      </c>
      <c r="P292" s="17" t="str">
        <f aca="false">IF((E292="c"),H292," ")</f>
        <v> </v>
      </c>
      <c r="Q292" s="17" t="str">
        <f aca="false">IF((E292="o"),H292," ")</f>
        <v> </v>
      </c>
      <c r="R292" s="17" t="str">
        <f aca="false">IF((E292="d"),H292," ")</f>
        <v> </v>
      </c>
      <c r="S292" s="17" t="str">
        <f aca="false">IF((E292="w"),H292," ")</f>
        <v> </v>
      </c>
      <c r="T292" s="17" t="str">
        <f aca="false">IF((E292="r"),H292," ")</f>
        <v> </v>
      </c>
      <c r="U292" s="17" t="str">
        <f aca="false">IF((E292="p"),H292," ")</f>
        <v> </v>
      </c>
      <c r="V292" s="17" t="str">
        <f aca="false">IF((E292="t"),H292," ")</f>
        <v> </v>
      </c>
      <c r="W292" s="17" t="str">
        <f aca="false">IF((E292="q"),H292," ")</f>
        <v> </v>
      </c>
      <c r="X292" s="17" t="str">
        <f aca="false">IF((E292="m"),H292," ")</f>
        <v> </v>
      </c>
      <c r="Y292" s="17" t="str">
        <f aca="false">IF((E292="u"),H292," ")</f>
        <v> </v>
      </c>
      <c r="Z292" s="17" t="str">
        <f aca="false">IF((E292="a"),H292," ")</f>
        <v> </v>
      </c>
      <c r="AA292" s="17" t="str">
        <f aca="false">IF((E292="g"),H292," ")</f>
        <v> </v>
      </c>
      <c r="AB292" s="17" t="str">
        <f aca="false">IF((E292="h"),H292," ")</f>
        <v> </v>
      </c>
      <c r="AC292" s="30" t="str">
        <f aca="false">IF((E292="v"),H292," ")</f>
        <v> </v>
      </c>
      <c r="AD292" s="30" t="str">
        <f aca="false">IF((E292="n"),H292," ")</f>
        <v> </v>
      </c>
      <c r="AE292" s="17" t="str">
        <f aca="false">IF((E292="f"),H292," ")</f>
        <v> </v>
      </c>
      <c r="AF292" s="17" t="str">
        <f aca="false">IF((E292="l"),H292," ")</f>
        <v> </v>
      </c>
      <c r="AG292" s="17" t="str">
        <f aca="false">IF((E292="y"),H292," ")</f>
        <v> </v>
      </c>
      <c r="AH292" s="17" t="str">
        <f aca="false">IF((E292="z"),H292," ")</f>
        <v> </v>
      </c>
      <c r="AI292" s="17" t="str">
        <f aca="false">IF((E292="fa"),H292," ")</f>
        <v> </v>
      </c>
      <c r="AJ292" s="17" t="str">
        <f aca="false">IF((E292="e"),H292," ")</f>
        <v> </v>
      </c>
    </row>
    <row r="293" customFormat="false" ht="12" hidden="false" customHeight="false" outlineLevel="0" collapsed="false">
      <c r="A293" s="28"/>
      <c r="E293" s="2" t="str">
        <f aca="false">IF((F293&lt;&gt;0),"Enter Letter"," ")</f>
        <v> </v>
      </c>
      <c r="F293" s="30"/>
      <c r="G293" s="6" t="str">
        <f aca="false">IF(F293&lt;&gt;0,F293*G$2/(100+G$2)," ")</f>
        <v> </v>
      </c>
      <c r="H293" s="6" t="str">
        <f aca="false">IF((F293&lt;&gt;0),F293-G293," ")</f>
        <v> </v>
      </c>
      <c r="I293" s="5"/>
      <c r="L293" s="7" t="str">
        <f aca="false">IF(F293&lt;&gt;0,F293-K293," ")</f>
        <v> </v>
      </c>
      <c r="M293" s="8" t="str">
        <f aca="false">IF((F293-K293)&lt;&gt;0,M$1-A293," ")</f>
        <v> </v>
      </c>
      <c r="N293" s="5"/>
      <c r="O293" s="17" t="str">
        <f aca="false">IF((E293="s"),H293," ")</f>
        <v> </v>
      </c>
      <c r="P293" s="17" t="str">
        <f aca="false">IF((E293="c"),H293," ")</f>
        <v> </v>
      </c>
      <c r="Q293" s="17" t="str">
        <f aca="false">IF((E293="o"),H293," ")</f>
        <v> </v>
      </c>
      <c r="R293" s="17" t="str">
        <f aca="false">IF((E293="d"),H293," ")</f>
        <v> </v>
      </c>
      <c r="S293" s="17" t="str">
        <f aca="false">IF((E293="w"),H293," ")</f>
        <v> </v>
      </c>
      <c r="T293" s="17" t="str">
        <f aca="false">IF((E293="r"),H293," ")</f>
        <v> </v>
      </c>
      <c r="U293" s="17" t="str">
        <f aca="false">IF((E293="p"),H293," ")</f>
        <v> </v>
      </c>
      <c r="V293" s="17" t="str">
        <f aca="false">IF((E293="t"),H293," ")</f>
        <v> </v>
      </c>
      <c r="W293" s="17" t="str">
        <f aca="false">IF((E293="q"),H293," ")</f>
        <v> </v>
      </c>
      <c r="X293" s="17" t="str">
        <f aca="false">IF((E293="m"),H293," ")</f>
        <v> </v>
      </c>
      <c r="Y293" s="17" t="str">
        <f aca="false">IF((E293="u"),H293," ")</f>
        <v> </v>
      </c>
      <c r="Z293" s="17" t="str">
        <f aca="false">IF((E293="a"),H293," ")</f>
        <v> </v>
      </c>
      <c r="AA293" s="17" t="str">
        <f aca="false">IF((E293="g"),H293," ")</f>
        <v> </v>
      </c>
      <c r="AB293" s="17" t="str">
        <f aca="false">IF((E293="h"),H293," ")</f>
        <v> </v>
      </c>
      <c r="AC293" s="30" t="str">
        <f aca="false">IF((E293="v"),H293," ")</f>
        <v> </v>
      </c>
      <c r="AD293" s="30" t="str">
        <f aca="false">IF((E293="n"),H293," ")</f>
        <v> </v>
      </c>
      <c r="AE293" s="17" t="str">
        <f aca="false">IF((E293="f"),H293," ")</f>
        <v> </v>
      </c>
      <c r="AF293" s="17" t="str">
        <f aca="false">IF((E293="l"),H293," ")</f>
        <v> </v>
      </c>
      <c r="AG293" s="17" t="str">
        <f aca="false">IF((E293="y"),H293," ")</f>
        <v> </v>
      </c>
      <c r="AH293" s="17" t="str">
        <f aca="false">IF((E293="z"),H293," ")</f>
        <v> </v>
      </c>
      <c r="AI293" s="17" t="str">
        <f aca="false">IF((E293="fa"),H293," ")</f>
        <v> </v>
      </c>
      <c r="AJ293" s="17" t="str">
        <f aca="false">IF((E293="e"),H293," ")</f>
        <v> </v>
      </c>
    </row>
    <row r="294" customFormat="false" ht="12" hidden="false" customHeight="false" outlineLevel="0" collapsed="false">
      <c r="A294" s="28"/>
      <c r="E294" s="2" t="str">
        <f aca="false">IF((F294&lt;&gt;0),"Enter Letter"," ")</f>
        <v> </v>
      </c>
      <c r="F294" s="30"/>
      <c r="G294" s="6" t="str">
        <f aca="false">IF(F294&lt;&gt;0,F294*G$2/(100+G$2)," ")</f>
        <v> </v>
      </c>
      <c r="H294" s="6" t="str">
        <f aca="false">IF((F294&lt;&gt;0),F294-G294," ")</f>
        <v> </v>
      </c>
      <c r="I294" s="5"/>
      <c r="L294" s="7" t="str">
        <f aca="false">IF(F294&lt;&gt;0,F294-K294," ")</f>
        <v> </v>
      </c>
      <c r="M294" s="8" t="str">
        <f aca="false">IF((F294-K294)&lt;&gt;0,M$1-A294," ")</f>
        <v> </v>
      </c>
      <c r="N294" s="5"/>
      <c r="O294" s="17" t="str">
        <f aca="false">IF((E294="s"),H294," ")</f>
        <v> </v>
      </c>
      <c r="P294" s="17" t="str">
        <f aca="false">IF((E294="c"),H294," ")</f>
        <v> </v>
      </c>
      <c r="Q294" s="17" t="str">
        <f aca="false">IF((E294="o"),H294," ")</f>
        <v> </v>
      </c>
      <c r="R294" s="17" t="str">
        <f aca="false">IF((E294="d"),H294," ")</f>
        <v> </v>
      </c>
      <c r="S294" s="17" t="str">
        <f aca="false">IF((E294="w"),H294," ")</f>
        <v> </v>
      </c>
      <c r="T294" s="17" t="str">
        <f aca="false">IF((E294="r"),H294," ")</f>
        <v> </v>
      </c>
      <c r="U294" s="17" t="str">
        <f aca="false">IF((E294="p"),H294," ")</f>
        <v> </v>
      </c>
      <c r="V294" s="17" t="str">
        <f aca="false">IF((E294="t"),H294," ")</f>
        <v> </v>
      </c>
      <c r="W294" s="17" t="str">
        <f aca="false">IF((E294="q"),H294," ")</f>
        <v> </v>
      </c>
      <c r="X294" s="17" t="str">
        <f aca="false">IF((E294="m"),H294," ")</f>
        <v> </v>
      </c>
      <c r="Y294" s="17" t="str">
        <f aca="false">IF((E294="u"),H294," ")</f>
        <v> </v>
      </c>
      <c r="Z294" s="17" t="str">
        <f aca="false">IF((E294="a"),H294," ")</f>
        <v> </v>
      </c>
      <c r="AA294" s="17" t="str">
        <f aca="false">IF((E294="g"),H294," ")</f>
        <v> </v>
      </c>
      <c r="AB294" s="17" t="str">
        <f aca="false">IF((E294="h"),H294," ")</f>
        <v> </v>
      </c>
      <c r="AC294" s="30" t="str">
        <f aca="false">IF((E294="v"),H294," ")</f>
        <v> </v>
      </c>
      <c r="AD294" s="30" t="str">
        <f aca="false">IF((E294="n"),H294," ")</f>
        <v> </v>
      </c>
      <c r="AE294" s="17" t="str">
        <f aca="false">IF((E294="f"),H294," ")</f>
        <v> </v>
      </c>
      <c r="AF294" s="17" t="str">
        <f aca="false">IF((E294="l"),H294," ")</f>
        <v> </v>
      </c>
      <c r="AG294" s="17" t="str">
        <f aca="false">IF((E294="y"),H294," ")</f>
        <v> </v>
      </c>
      <c r="AH294" s="17" t="str">
        <f aca="false">IF((E294="z"),H294," ")</f>
        <v> </v>
      </c>
      <c r="AI294" s="17" t="str">
        <f aca="false">IF((E294="fa"),H294," ")</f>
        <v> </v>
      </c>
      <c r="AJ294" s="17" t="str">
        <f aca="false">IF((E294="e"),H294," ")</f>
        <v> </v>
      </c>
    </row>
    <row r="295" customFormat="false" ht="12" hidden="false" customHeight="false" outlineLevel="0" collapsed="false">
      <c r="A295" s="28"/>
      <c r="E295" s="2" t="str">
        <f aca="false">IF((F295&lt;&gt;0),"Enter Letter"," ")</f>
        <v> </v>
      </c>
      <c r="F295" s="30"/>
      <c r="G295" s="6" t="str">
        <f aca="false">IF(F295&lt;&gt;0,F295*G$2/(100+G$2)," ")</f>
        <v> </v>
      </c>
      <c r="H295" s="6" t="str">
        <f aca="false">IF((F295&lt;&gt;0),F295-G295," ")</f>
        <v> </v>
      </c>
      <c r="I295" s="5"/>
      <c r="L295" s="7" t="str">
        <f aca="false">IF(F295&lt;&gt;0,F295-K295," ")</f>
        <v> </v>
      </c>
      <c r="M295" s="8" t="str">
        <f aca="false">IF((F295-K295)&lt;&gt;0,M$1-A295," ")</f>
        <v> </v>
      </c>
      <c r="N295" s="5"/>
      <c r="O295" s="17" t="str">
        <f aca="false">IF((E295="s"),H295," ")</f>
        <v> </v>
      </c>
      <c r="P295" s="17" t="str">
        <f aca="false">IF((E295="c"),H295," ")</f>
        <v> </v>
      </c>
      <c r="Q295" s="17" t="str">
        <f aca="false">IF((E295="o"),H295," ")</f>
        <v> </v>
      </c>
      <c r="R295" s="17" t="str">
        <f aca="false">IF((E295="d"),H295," ")</f>
        <v> </v>
      </c>
      <c r="S295" s="17" t="str">
        <f aca="false">IF((E295="w"),H295," ")</f>
        <v> </v>
      </c>
      <c r="T295" s="17" t="str">
        <f aca="false">IF((E295="r"),H295," ")</f>
        <v> </v>
      </c>
      <c r="U295" s="17" t="str">
        <f aca="false">IF((E295="p"),H295," ")</f>
        <v> </v>
      </c>
      <c r="V295" s="17" t="str">
        <f aca="false">IF((E295="t"),H295," ")</f>
        <v> </v>
      </c>
      <c r="W295" s="17" t="str">
        <f aca="false">IF((E295="q"),H295," ")</f>
        <v> </v>
      </c>
      <c r="X295" s="17" t="str">
        <f aca="false">IF((E295="m"),H295," ")</f>
        <v> </v>
      </c>
      <c r="Y295" s="17" t="str">
        <f aca="false">IF((E295="u"),H295," ")</f>
        <v> </v>
      </c>
      <c r="Z295" s="17" t="str">
        <f aca="false">IF((E295="a"),H295," ")</f>
        <v> </v>
      </c>
      <c r="AA295" s="17" t="str">
        <f aca="false">IF((E295="g"),H295," ")</f>
        <v> </v>
      </c>
      <c r="AB295" s="17" t="str">
        <f aca="false">IF((E295="h"),H295," ")</f>
        <v> </v>
      </c>
      <c r="AC295" s="30" t="str">
        <f aca="false">IF((E295="v"),H295," ")</f>
        <v> </v>
      </c>
      <c r="AD295" s="30" t="str">
        <f aca="false">IF((E295="n"),H295," ")</f>
        <v> </v>
      </c>
      <c r="AE295" s="17" t="str">
        <f aca="false">IF((E295="f"),H295," ")</f>
        <v> </v>
      </c>
      <c r="AF295" s="17" t="str">
        <f aca="false">IF((E295="l"),H295," ")</f>
        <v> </v>
      </c>
      <c r="AG295" s="17" t="str">
        <f aca="false">IF((E295="y"),H295," ")</f>
        <v> </v>
      </c>
      <c r="AH295" s="17" t="str">
        <f aca="false">IF((E295="z"),H295," ")</f>
        <v> </v>
      </c>
      <c r="AI295" s="17" t="str">
        <f aca="false">IF((E295="fa"),H295," ")</f>
        <v> </v>
      </c>
      <c r="AJ295" s="17" t="str">
        <f aca="false">IF((E295="e"),H295," ")</f>
        <v> </v>
      </c>
    </row>
    <row r="296" customFormat="false" ht="12" hidden="false" customHeight="false" outlineLevel="0" collapsed="false">
      <c r="A296" s="28"/>
      <c r="E296" s="2" t="str">
        <f aca="false">IF((F296&lt;&gt;0),"Enter Letter"," ")</f>
        <v> </v>
      </c>
      <c r="F296" s="30"/>
      <c r="G296" s="6" t="str">
        <f aca="false">IF(F296&lt;&gt;0,F296*G$2/(100+G$2)," ")</f>
        <v> </v>
      </c>
      <c r="H296" s="6" t="str">
        <f aca="false">IF((F296&lt;&gt;0),F296-G296," ")</f>
        <v> </v>
      </c>
      <c r="I296" s="5"/>
      <c r="L296" s="7" t="str">
        <f aca="false">IF(F296&lt;&gt;0,F296-K296," ")</f>
        <v> </v>
      </c>
      <c r="M296" s="8" t="str">
        <f aca="false">IF((F296-K296)&lt;&gt;0,M$1-A296," ")</f>
        <v> </v>
      </c>
      <c r="N296" s="5"/>
      <c r="O296" s="17" t="str">
        <f aca="false">IF((E296="s"),H296," ")</f>
        <v> </v>
      </c>
      <c r="P296" s="17" t="str">
        <f aca="false">IF((E296="c"),H296," ")</f>
        <v> </v>
      </c>
      <c r="Q296" s="17" t="str">
        <f aca="false">IF((E296="o"),H296," ")</f>
        <v> </v>
      </c>
      <c r="R296" s="17" t="str">
        <f aca="false">IF((E296="d"),H296," ")</f>
        <v> </v>
      </c>
      <c r="S296" s="17" t="str">
        <f aca="false">IF((E296="w"),H296," ")</f>
        <v> </v>
      </c>
      <c r="T296" s="17" t="str">
        <f aca="false">IF((E296="r"),H296," ")</f>
        <v> </v>
      </c>
      <c r="U296" s="17" t="str">
        <f aca="false">IF((E296="p"),H296," ")</f>
        <v> </v>
      </c>
      <c r="V296" s="17" t="str">
        <f aca="false">IF((E296="t"),H296," ")</f>
        <v> </v>
      </c>
      <c r="W296" s="17" t="str">
        <f aca="false">IF((E296="q"),H296," ")</f>
        <v> </v>
      </c>
      <c r="X296" s="17" t="str">
        <f aca="false">IF((E296="m"),H296," ")</f>
        <v> </v>
      </c>
      <c r="Y296" s="17" t="str">
        <f aca="false">IF((E296="u"),H296," ")</f>
        <v> </v>
      </c>
      <c r="Z296" s="17" t="str">
        <f aca="false">IF((E296="a"),H296," ")</f>
        <v> </v>
      </c>
      <c r="AA296" s="17" t="str">
        <f aca="false">IF((E296="g"),H296," ")</f>
        <v> </v>
      </c>
      <c r="AB296" s="17" t="str">
        <f aca="false">IF((E296="h"),H296," ")</f>
        <v> </v>
      </c>
      <c r="AC296" s="30" t="str">
        <f aca="false">IF((E296="v"),H296," ")</f>
        <v> </v>
      </c>
      <c r="AD296" s="30" t="str">
        <f aca="false">IF((E296="n"),H296," ")</f>
        <v> </v>
      </c>
      <c r="AE296" s="17" t="str">
        <f aca="false">IF((E296="f"),H296," ")</f>
        <v> </v>
      </c>
      <c r="AF296" s="17" t="str">
        <f aca="false">IF((E296="l"),H296," ")</f>
        <v> </v>
      </c>
      <c r="AG296" s="17" t="str">
        <f aca="false">IF((E296="y"),H296," ")</f>
        <v> </v>
      </c>
      <c r="AH296" s="17" t="str">
        <f aca="false">IF((E296="z"),H296," ")</f>
        <v> </v>
      </c>
      <c r="AI296" s="17" t="str">
        <f aca="false">IF((E296="fa"),H296," ")</f>
        <v> </v>
      </c>
      <c r="AJ296" s="17" t="str">
        <f aca="false">IF((E296="e"),H296," ")</f>
        <v> </v>
      </c>
    </row>
    <row r="297" customFormat="false" ht="12" hidden="false" customHeight="false" outlineLevel="0" collapsed="false">
      <c r="A297" s="28"/>
      <c r="E297" s="2" t="str">
        <f aca="false">IF((F297&lt;&gt;0),"Enter Letter"," ")</f>
        <v> </v>
      </c>
      <c r="F297" s="30"/>
      <c r="G297" s="6" t="str">
        <f aca="false">IF(F297&lt;&gt;0,F297*G$2/(100+G$2)," ")</f>
        <v> </v>
      </c>
      <c r="H297" s="6" t="str">
        <f aca="false">IF((F297&lt;&gt;0),F297-G297," ")</f>
        <v> </v>
      </c>
      <c r="I297" s="5"/>
      <c r="L297" s="7" t="str">
        <f aca="false">IF(F297&lt;&gt;0,F297-K297," ")</f>
        <v> </v>
      </c>
      <c r="M297" s="8" t="str">
        <f aca="false">IF((F297-K297)&lt;&gt;0,M$1-A297," ")</f>
        <v> </v>
      </c>
      <c r="N297" s="5"/>
      <c r="O297" s="17" t="str">
        <f aca="false">IF((E297="s"),H297," ")</f>
        <v> </v>
      </c>
      <c r="P297" s="17" t="str">
        <f aca="false">IF((E297="c"),H297," ")</f>
        <v> </v>
      </c>
      <c r="Q297" s="17" t="str">
        <f aca="false">IF((E297="o"),H297," ")</f>
        <v> </v>
      </c>
      <c r="R297" s="17" t="str">
        <f aca="false">IF((E297="d"),H297," ")</f>
        <v> </v>
      </c>
      <c r="S297" s="17" t="str">
        <f aca="false">IF((E297="w"),H297," ")</f>
        <v> </v>
      </c>
      <c r="T297" s="17" t="str">
        <f aca="false">IF((E297="r"),H297," ")</f>
        <v> </v>
      </c>
      <c r="U297" s="17" t="str">
        <f aca="false">IF((E297="p"),H297," ")</f>
        <v> </v>
      </c>
      <c r="V297" s="17" t="str">
        <f aca="false">IF((E297="t"),H297," ")</f>
        <v> </v>
      </c>
      <c r="W297" s="17" t="str">
        <f aca="false">IF((E297="q"),H297," ")</f>
        <v> </v>
      </c>
      <c r="X297" s="17" t="str">
        <f aca="false">IF((E297="m"),H297," ")</f>
        <v> </v>
      </c>
      <c r="Y297" s="17" t="str">
        <f aca="false">IF((E297="u"),H297," ")</f>
        <v> </v>
      </c>
      <c r="Z297" s="17" t="str">
        <f aca="false">IF((E297="a"),H297," ")</f>
        <v> </v>
      </c>
      <c r="AA297" s="17" t="str">
        <f aca="false">IF((E297="g"),H297," ")</f>
        <v> </v>
      </c>
      <c r="AB297" s="17" t="str">
        <f aca="false">IF((E297="h"),H297," ")</f>
        <v> </v>
      </c>
      <c r="AC297" s="30" t="str">
        <f aca="false">IF((E297="v"),H297," ")</f>
        <v> </v>
      </c>
      <c r="AD297" s="30" t="str">
        <f aca="false">IF((E297="n"),H297," ")</f>
        <v> </v>
      </c>
      <c r="AE297" s="17" t="str">
        <f aca="false">IF((E297="f"),H297," ")</f>
        <v> </v>
      </c>
      <c r="AF297" s="17" t="str">
        <f aca="false">IF((E297="l"),H297," ")</f>
        <v> </v>
      </c>
      <c r="AG297" s="17" t="str">
        <f aca="false">IF((E297="y"),H297," ")</f>
        <v> </v>
      </c>
      <c r="AH297" s="17" t="str">
        <f aca="false">IF((E297="z"),H297," ")</f>
        <v> </v>
      </c>
      <c r="AI297" s="17" t="str">
        <f aca="false">IF((E297="fa"),H297," ")</f>
        <v> </v>
      </c>
      <c r="AJ297" s="17" t="str">
        <f aca="false">IF((E297="e"),H297," ")</f>
        <v> </v>
      </c>
    </row>
    <row r="298" customFormat="false" ht="12" hidden="false" customHeight="false" outlineLevel="0" collapsed="false">
      <c r="A298" s="28"/>
      <c r="E298" s="2" t="str">
        <f aca="false">IF((F298&lt;&gt;0),"Enter Letter"," ")</f>
        <v> </v>
      </c>
      <c r="F298" s="30"/>
      <c r="G298" s="6" t="str">
        <f aca="false">IF(F298&lt;&gt;0,F298*G$2/(100+G$2)," ")</f>
        <v> </v>
      </c>
      <c r="H298" s="6" t="str">
        <f aca="false">IF((F298&lt;&gt;0),F298-G298," ")</f>
        <v> </v>
      </c>
      <c r="I298" s="5"/>
      <c r="L298" s="7" t="str">
        <f aca="false">IF(F298&lt;&gt;0,F298-K298," ")</f>
        <v> </v>
      </c>
      <c r="M298" s="8" t="str">
        <f aca="false">IF((F298-K298)&lt;&gt;0,M$1-A298," ")</f>
        <v> </v>
      </c>
      <c r="N298" s="5"/>
      <c r="O298" s="17" t="str">
        <f aca="false">IF((E298="s"),H298," ")</f>
        <v> </v>
      </c>
      <c r="P298" s="17" t="str">
        <f aca="false">IF((E298="c"),H298," ")</f>
        <v> </v>
      </c>
      <c r="Q298" s="17" t="str">
        <f aca="false">IF((E298="o"),H298," ")</f>
        <v> </v>
      </c>
      <c r="R298" s="17" t="str">
        <f aca="false">IF((E298="d"),H298," ")</f>
        <v> </v>
      </c>
      <c r="S298" s="17" t="str">
        <f aca="false">IF((E298="w"),H298," ")</f>
        <v> </v>
      </c>
      <c r="T298" s="17" t="str">
        <f aca="false">IF((E298="r"),H298," ")</f>
        <v> </v>
      </c>
      <c r="U298" s="17" t="str">
        <f aca="false">IF((E298="p"),H298," ")</f>
        <v> </v>
      </c>
      <c r="V298" s="17" t="str">
        <f aca="false">IF((E298="t"),H298," ")</f>
        <v> </v>
      </c>
      <c r="W298" s="17" t="str">
        <f aca="false">IF((E298="q"),H298," ")</f>
        <v> </v>
      </c>
      <c r="X298" s="17" t="str">
        <f aca="false">IF((E298="m"),H298," ")</f>
        <v> </v>
      </c>
      <c r="Y298" s="17" t="str">
        <f aca="false">IF((E298="u"),H298," ")</f>
        <v> </v>
      </c>
      <c r="Z298" s="17" t="str">
        <f aca="false">IF((E298="a"),H298," ")</f>
        <v> </v>
      </c>
      <c r="AA298" s="17" t="str">
        <f aca="false">IF((E298="g"),H298," ")</f>
        <v> </v>
      </c>
      <c r="AB298" s="17" t="str">
        <f aca="false">IF((E298="h"),H298," ")</f>
        <v> </v>
      </c>
      <c r="AC298" s="30" t="str">
        <f aca="false">IF((E298="v"),H298," ")</f>
        <v> </v>
      </c>
      <c r="AD298" s="30" t="str">
        <f aca="false">IF((E298="n"),H298," ")</f>
        <v> </v>
      </c>
      <c r="AE298" s="17" t="str">
        <f aca="false">IF((E298="f"),H298," ")</f>
        <v> </v>
      </c>
      <c r="AF298" s="17" t="str">
        <f aca="false">IF((E298="l"),H298," ")</f>
        <v> </v>
      </c>
      <c r="AG298" s="17" t="str">
        <f aca="false">IF((E298="y"),H298," ")</f>
        <v> </v>
      </c>
      <c r="AH298" s="17" t="str">
        <f aca="false">IF((E298="z"),H298," ")</f>
        <v> </v>
      </c>
      <c r="AI298" s="17" t="str">
        <f aca="false">IF((E298="fa"),H298," ")</f>
        <v> </v>
      </c>
      <c r="AJ298" s="17" t="str">
        <f aca="false">IF((E298="e"),H298," ")</f>
        <v> </v>
      </c>
    </row>
    <row r="299" customFormat="false" ht="12" hidden="false" customHeight="false" outlineLevel="0" collapsed="false">
      <c r="A299" s="28"/>
      <c r="E299" s="2" t="str">
        <f aca="false">IF((F299&lt;&gt;0),"Enter Letter"," ")</f>
        <v> </v>
      </c>
      <c r="F299" s="30"/>
      <c r="G299" s="6" t="str">
        <f aca="false">IF(F299&lt;&gt;0,F299*G$2/(100+G$2)," ")</f>
        <v> </v>
      </c>
      <c r="H299" s="6" t="str">
        <f aca="false">IF((F299&lt;&gt;0),F299-G299," ")</f>
        <v> </v>
      </c>
      <c r="I299" s="5"/>
      <c r="L299" s="7" t="str">
        <f aca="false">IF(F299&lt;&gt;0,F299-K299," ")</f>
        <v> </v>
      </c>
      <c r="M299" s="8" t="str">
        <f aca="false">IF((F299-K299)&lt;&gt;0,M$1-A299," ")</f>
        <v> </v>
      </c>
      <c r="N299" s="5"/>
      <c r="O299" s="17" t="str">
        <f aca="false">IF((E299="s"),H299," ")</f>
        <v> </v>
      </c>
      <c r="P299" s="17" t="str">
        <f aca="false">IF((E299="c"),H299," ")</f>
        <v> </v>
      </c>
      <c r="Q299" s="17" t="str">
        <f aca="false">IF((E299="o"),H299," ")</f>
        <v> </v>
      </c>
      <c r="R299" s="17" t="str">
        <f aca="false">IF((E299="d"),H299," ")</f>
        <v> </v>
      </c>
      <c r="S299" s="17" t="str">
        <f aca="false">IF((E299="w"),H299," ")</f>
        <v> </v>
      </c>
      <c r="T299" s="17" t="str">
        <f aca="false">IF((E299="r"),H299," ")</f>
        <v> </v>
      </c>
      <c r="U299" s="17" t="str">
        <f aca="false">IF((E299="p"),H299," ")</f>
        <v> </v>
      </c>
      <c r="V299" s="17" t="str">
        <f aca="false">IF((E299="t"),H299," ")</f>
        <v> </v>
      </c>
      <c r="W299" s="17" t="str">
        <f aca="false">IF((E299="q"),H299," ")</f>
        <v> </v>
      </c>
      <c r="X299" s="17" t="str">
        <f aca="false">IF((E299="m"),H299," ")</f>
        <v> </v>
      </c>
      <c r="Y299" s="17" t="str">
        <f aca="false">IF((E299="u"),H299," ")</f>
        <v> </v>
      </c>
      <c r="Z299" s="17" t="str">
        <f aca="false">IF((E299="a"),H299," ")</f>
        <v> </v>
      </c>
      <c r="AA299" s="17" t="str">
        <f aca="false">IF((E299="g"),H299," ")</f>
        <v> </v>
      </c>
      <c r="AB299" s="17" t="str">
        <f aca="false">IF((E299="h"),H299," ")</f>
        <v> </v>
      </c>
      <c r="AC299" s="30" t="str">
        <f aca="false">IF((E299="v"),H299," ")</f>
        <v> </v>
      </c>
      <c r="AD299" s="30" t="str">
        <f aca="false">IF((E299="n"),H299," ")</f>
        <v> </v>
      </c>
      <c r="AE299" s="17" t="str">
        <f aca="false">IF((E299="f"),H299," ")</f>
        <v> </v>
      </c>
      <c r="AF299" s="17" t="str">
        <f aca="false">IF((E299="l"),H299," ")</f>
        <v> </v>
      </c>
      <c r="AG299" s="17" t="str">
        <f aca="false">IF((E299="y"),H299," ")</f>
        <v> </v>
      </c>
      <c r="AH299" s="17" t="str">
        <f aca="false">IF((E299="z"),H299," ")</f>
        <v> </v>
      </c>
      <c r="AI299" s="17" t="str">
        <f aca="false">IF((E299="fa"),H299," ")</f>
        <v> </v>
      </c>
      <c r="AJ299" s="17" t="str">
        <f aca="false">IF((E299="e"),H299," ")</f>
        <v> </v>
      </c>
    </row>
    <row r="300" customFormat="false" ht="12" hidden="false" customHeight="false" outlineLevel="0" collapsed="false">
      <c r="A300" s="32"/>
      <c r="B300" s="33"/>
      <c r="C300" s="34"/>
      <c r="D300" s="33"/>
      <c r="E300" s="46" t="str">
        <f aca="false">IF((F300&lt;&gt;0),"Enter Letter"," ")</f>
        <v> </v>
      </c>
      <c r="F300" s="47"/>
      <c r="G300" s="36" t="str">
        <f aca="false">IF(F300&lt;&gt;0,F300*G$2/(100+G$2)," ")</f>
        <v> </v>
      </c>
      <c r="H300" s="36" t="str">
        <f aca="false">IF((F300&lt;&gt;0),F300-G300," ")</f>
        <v> </v>
      </c>
      <c r="I300" s="48"/>
      <c r="J300" s="36"/>
      <c r="K300" s="36"/>
      <c r="L300" s="37" t="str">
        <f aca="false">IF(F300&lt;&gt;0,F300-K300," ")</f>
        <v> </v>
      </c>
      <c r="M300" s="38" t="str">
        <f aca="false">IF((F300-K300)&lt;&gt;0,M$1-A300," ")</f>
        <v> </v>
      </c>
      <c r="N300" s="48"/>
      <c r="O300" s="49" t="str">
        <f aca="false">IF((E300="s"),H300," ")</f>
        <v> </v>
      </c>
      <c r="P300" s="49" t="str">
        <f aca="false">IF((E300="c"),H300," ")</f>
        <v> </v>
      </c>
      <c r="Q300" s="49" t="str">
        <f aca="false">IF((E300="o"),H300," ")</f>
        <v> </v>
      </c>
      <c r="R300" s="49" t="str">
        <f aca="false">IF((E300="d"),H300," ")</f>
        <v> </v>
      </c>
      <c r="S300" s="49" t="str">
        <f aca="false">IF((E300="w"),H300," ")</f>
        <v> </v>
      </c>
      <c r="T300" s="49" t="str">
        <f aca="false">IF((E300="r"),H300," ")</f>
        <v> </v>
      </c>
      <c r="U300" s="49" t="str">
        <f aca="false">IF((E300="p"),H300," ")</f>
        <v> </v>
      </c>
      <c r="V300" s="49" t="str">
        <f aca="false">IF((E300="t"),H300," ")</f>
        <v> </v>
      </c>
      <c r="W300" s="49" t="str">
        <f aca="false">IF((E300="q"),H300," ")</f>
        <v> </v>
      </c>
      <c r="X300" s="49" t="str">
        <f aca="false">IF((E300="m"),H300," ")</f>
        <v> </v>
      </c>
      <c r="Y300" s="49" t="str">
        <f aca="false">IF((E300="u"),H300," ")</f>
        <v> </v>
      </c>
      <c r="Z300" s="49" t="str">
        <f aca="false">IF((E300="a"),H300," ")</f>
        <v> </v>
      </c>
      <c r="AA300" s="49" t="str">
        <f aca="false">IF((E300="g"),H300," ")</f>
        <v> </v>
      </c>
      <c r="AB300" s="49" t="str">
        <f aca="false">IF((E300="h"),H300," ")</f>
        <v> </v>
      </c>
      <c r="AC300" s="47" t="str">
        <f aca="false">IF((E300="v"),H300," ")</f>
        <v> </v>
      </c>
      <c r="AD300" s="47" t="str">
        <f aca="false">IF((E300="n"),H300," ")</f>
        <v> </v>
      </c>
      <c r="AE300" s="49" t="str">
        <f aca="false">IF((E300="f"),H300," ")</f>
        <v> </v>
      </c>
      <c r="AF300" s="49" t="str">
        <f aca="false">IF((E300="l"),H300," ")</f>
        <v> </v>
      </c>
      <c r="AG300" s="49" t="str">
        <f aca="false">IF((E300="y"),H300," ")</f>
        <v> </v>
      </c>
      <c r="AH300" s="49" t="str">
        <f aca="false">IF((E300="z"),H300," ")</f>
        <v> </v>
      </c>
      <c r="AI300" s="49" t="str">
        <f aca="false">IF((E300="fa"),H300," ")</f>
        <v> </v>
      </c>
      <c r="AJ300" s="49" t="str">
        <f aca="false">IF((E300="e"),H300," ")</f>
        <v> </v>
      </c>
      <c r="AK300" s="49"/>
      <c r="AL300" s="49"/>
    </row>
    <row r="301" customFormat="false" ht="12" hidden="false" customHeight="false" outlineLevel="0" collapsed="false">
      <c r="A301" s="28"/>
    </row>
  </sheetData>
  <mergeCells count="37">
    <mergeCell ref="C1:C4"/>
    <mergeCell ref="D1:E1"/>
    <mergeCell ref="I1:I4"/>
    <mergeCell ref="J1:J4"/>
    <mergeCell ref="N1:N4"/>
    <mergeCell ref="AJ1:AJ4"/>
    <mergeCell ref="A2:A4"/>
    <mergeCell ref="B2:B4"/>
    <mergeCell ref="D2:D4"/>
    <mergeCell ref="E2:E4"/>
    <mergeCell ref="F2:F4"/>
    <mergeCell ref="H2:H4"/>
    <mergeCell ref="K2:M2"/>
    <mergeCell ref="O2:Q2"/>
    <mergeCell ref="R2:R3"/>
    <mergeCell ref="S2:S3"/>
    <mergeCell ref="T2:U2"/>
    <mergeCell ref="V2:V3"/>
    <mergeCell ref="W2:W3"/>
    <mergeCell ref="X2:X3"/>
    <mergeCell ref="Y2:Y3"/>
    <mergeCell ref="Z2:Z3"/>
    <mergeCell ref="AA2:AA3"/>
    <mergeCell ref="AB2:AB3"/>
    <mergeCell ref="AC2:AC3"/>
    <mergeCell ref="AD2:AD3"/>
    <mergeCell ref="AE2:AE3"/>
    <mergeCell ref="AF2:AF3"/>
    <mergeCell ref="AG2:AG3"/>
    <mergeCell ref="AH2:AH3"/>
    <mergeCell ref="AI2:AI3"/>
    <mergeCell ref="AK2:AL2"/>
    <mergeCell ref="G3:G4"/>
    <mergeCell ref="K3:K4"/>
    <mergeCell ref="L3:L4"/>
    <mergeCell ref="M3:M4"/>
    <mergeCell ref="AK3:AL3"/>
  </mergeCells>
  <dataValidations count="4">
    <dataValidation allowBlank="true" error="While dates outside the financial year can be accepted for valid transactions the date may not have been entered in the correct format.&#10;&#10;CORRECT DATE FORMAT IS DD/MM/YY&#10;&#10;Example 25/12/08 then appears as 25-Dec-08&#10;" errorStyle="stop" errorTitle="DATE ERROR" operator="between" showDropDown="false" showErrorMessage="true" showInputMessage="false" sqref="A5:A300" type="date">
      <formula1>38353</formula1>
      <formula2>53327</formula2>
    </dataValidation>
    <dataValidation allowBlank="true" errorStyle="stop" operator="between" prompt="Entries below the line are not included in column totals or analysed.&#10;&#10;To accomodate additional entries the formulae in column totals need changing and sales analysis columns formulae added " promptTitle="PLEASE NOTE" showDropDown="false" showErrorMessage="true" showInputMessage="true" sqref="A301" type="none">
      <formula1>0</formula1>
      <formula2>0</formula2>
    </dataValidation>
    <dataValidation allowBlank="true" errorStyle="stop" operator="between" prompt="An amount in this cell is an indication column H does not equal column F minus G or the analysis in columns O to AI does not add up to total in column H&#10;&#10;CHECK ENTRY CODE LETTERS or ANY MANUAL ENTRIES IN COL G to H and COL O to AI&#10;" promptTitle="ERROR ALERT" showDropDown="false" showErrorMessage="true" showInputMessage="true" sqref="A1" type="none">
      <formula1>0</formula1>
      <formula2>0</formula2>
    </dataValidation>
    <dataValidation allowBlank="true" errorStyle="stop" operator="between" showDropDown="false" showErrorMessage="true" showInputMessage="false" sqref="E5:E300" type="list">
      <formula1>$O$4:$AI$4</formula1>
      <formula2>0</formula2>
    </dataValidation>
  </dataValidations>
  <printOptions headings="false" gridLines="true" gridLinesSet="true" horizontalCentered="false" verticalCentered="false"/>
  <pageMargins left="0.118055555555556" right="0.0784722222222222" top="0.590277777777778" bottom="0.590277777777778" header="0.196527777777778" footer="0.196527777777778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&amp;C&amp;"Arial,Bold"&amp;11Costs and Expenses</oddHeader>
    <oddFooter>&amp;L&amp;D  &amp;T&amp;C&amp;P  of  &amp;N&amp;R&amp;F  &amp;A</oddFooter>
  </headerFooter>
  <colBreaks count="1" manualBreakCount="1">
    <brk id="24" man="true" max="65535" min="0"/>
  </colBreaks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Z3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625" defaultRowHeight="12" zeroHeight="false" outlineLevelRow="0" outlineLevelCol="0"/>
  <cols>
    <col collapsed="false" customWidth="true" hidden="false" outlineLevel="0" max="1" min="1" style="1" width="8.82"/>
    <col collapsed="false" customWidth="true" hidden="false" outlineLevel="0" max="2" min="2" style="2" width="18.66"/>
    <col collapsed="false" customWidth="true" hidden="false" outlineLevel="0" max="3" min="3" style="3" width="12.66"/>
    <col collapsed="false" customWidth="true" hidden="false" outlineLevel="0" max="4" min="4" style="2" width="14.66"/>
    <col collapsed="false" customWidth="true" hidden="false" outlineLevel="0" max="5" min="5" style="5" width="9.66"/>
    <col collapsed="false" customWidth="true" hidden="false" outlineLevel="0" max="6" min="6" style="6" width="10.5"/>
    <col collapsed="false" customWidth="true" hidden="false" outlineLevel="0" max="7" min="7" style="6" width="9.66"/>
    <col collapsed="false" customWidth="true" hidden="false" outlineLevel="0" max="8" min="8" style="6" width="10.99"/>
    <col collapsed="false" customWidth="true" hidden="false" outlineLevel="0" max="9" min="9" style="6" width="0.82"/>
    <col collapsed="false" customWidth="true" hidden="false" outlineLevel="0" max="10" min="10" style="6" width="9.99"/>
    <col collapsed="false" customWidth="true" hidden="false" outlineLevel="0" max="11" min="11" style="6" width="9.66"/>
    <col collapsed="false" customWidth="true" hidden="false" outlineLevel="0" max="12" min="12" style="7" width="9.66"/>
    <col collapsed="false" customWidth="true" hidden="false" outlineLevel="0" max="13" min="13" style="8" width="9.49"/>
    <col collapsed="false" customWidth="true" hidden="false" outlineLevel="0" max="14" min="14" style="6" width="0.82"/>
    <col collapsed="false" customWidth="true" hidden="false" outlineLevel="0" max="23" min="15" style="17" width="9.66"/>
    <col collapsed="false" customWidth="true" hidden="false" outlineLevel="0" max="28" min="24" style="17" width="10.5"/>
    <col collapsed="false" customWidth="true" hidden="false" outlineLevel="0" max="30" min="29" style="39" width="10.5"/>
    <col collapsed="false" customWidth="true" hidden="false" outlineLevel="0" max="36" min="31" style="17" width="10.5"/>
    <col collapsed="false" customWidth="false" hidden="false" outlineLevel="0" max="37" min="37" style="17" width="9.15"/>
    <col collapsed="false" customWidth="true" hidden="false" outlineLevel="0" max="38" min="38" style="17" width="12.66"/>
    <col collapsed="false" customWidth="false" hidden="false" outlineLevel="0" max="257" min="39" style="2" width="9.15"/>
  </cols>
  <sheetData>
    <row r="1" s="17" customFormat="true" ht="12.75" hidden="false" customHeight="true" outlineLevel="0" collapsed="false">
      <c r="A1" s="40" t="n">
        <f aca="false">F1-G1-SUM(O1:AJ1)</f>
        <v>0</v>
      </c>
      <c r="B1" s="41" t="s">
        <v>22</v>
      </c>
      <c r="C1" s="20" t="s">
        <v>5</v>
      </c>
      <c r="D1" s="42" t="s">
        <v>23</v>
      </c>
      <c r="E1" s="42"/>
      <c r="F1" s="12" t="n">
        <f aca="false">SUM(F5:F300)</f>
        <v>4511.25</v>
      </c>
      <c r="G1" s="12" t="n">
        <f aca="false">SUM(G5:G300)</f>
        <v>751.875</v>
      </c>
      <c r="H1" s="12" t="n">
        <f aca="false">SUM(H5:H300)</f>
        <v>3759.375</v>
      </c>
      <c r="I1" s="13"/>
      <c r="J1" s="14" t="s">
        <v>2</v>
      </c>
      <c r="K1" s="15" t="n">
        <f aca="false">SUM(K5:K300)</f>
        <v>0</v>
      </c>
      <c r="L1" s="15" t="n">
        <f aca="false">SUM(L5:L300)</f>
        <v>4511.25</v>
      </c>
      <c r="M1" s="16" t="n">
        <f aca="true">TODAY()</f>
        <v>46278</v>
      </c>
      <c r="N1" s="13"/>
      <c r="O1" s="12" t="n">
        <f aca="false">SUM(O5:O300)</f>
        <v>500</v>
      </c>
      <c r="P1" s="12" t="n">
        <f aca="false">SUM(P5:P300)</f>
        <v>0</v>
      </c>
      <c r="Q1" s="12" t="n">
        <f aca="false">SUM(Q5:Q300)</f>
        <v>207.5</v>
      </c>
      <c r="R1" s="12" t="n">
        <f aca="false">SUM(R5:R300)</f>
        <v>0</v>
      </c>
      <c r="S1" s="12" t="n">
        <f aca="false">SUM(S5:S300)</f>
        <v>0</v>
      </c>
      <c r="T1" s="12" t="n">
        <f aca="false">SUM(T5:T300)</f>
        <v>1000</v>
      </c>
      <c r="U1" s="12" t="n">
        <f aca="false">SUM(U5:U300)</f>
        <v>0</v>
      </c>
      <c r="V1" s="12" t="n">
        <f aca="false">SUM(V5:V300)</f>
        <v>150</v>
      </c>
      <c r="W1" s="12" t="n">
        <f aca="false">SUM(W5:W300)</f>
        <v>150</v>
      </c>
      <c r="X1" s="12" t="n">
        <f aca="false">SUM(X5:X300)</f>
        <v>120</v>
      </c>
      <c r="Y1" s="12" t="n">
        <f aca="false">SUM(Y5:Y300)</f>
        <v>95.8333333333333</v>
      </c>
      <c r="Z1" s="12" t="n">
        <f aca="false">SUM(Z5:Z300)</f>
        <v>400</v>
      </c>
      <c r="AA1" s="12" t="n">
        <f aca="false">SUM(AA5:AA300)</f>
        <v>127.5</v>
      </c>
      <c r="AB1" s="12" t="n">
        <f aca="false">SUM(AB5:AB300)</f>
        <v>76.6666666666667</v>
      </c>
      <c r="AC1" s="12" t="n">
        <f aca="false">SUM(AC5:AC300)</f>
        <v>531.875</v>
      </c>
      <c r="AD1" s="12" t="n">
        <f aca="false">SUM(AD5:AD300)</f>
        <v>0</v>
      </c>
      <c r="AE1" s="12" t="n">
        <f aca="false">SUM(AE5:AE300)</f>
        <v>150</v>
      </c>
      <c r="AF1" s="12" t="n">
        <f aca="false">SUM(AF5:AF300)</f>
        <v>250</v>
      </c>
      <c r="AG1" s="12" t="n">
        <f aca="false">SUM(AG5:AG300)</f>
        <v>0</v>
      </c>
      <c r="AH1" s="12" t="n">
        <f aca="false">SUM(AH5:AH300)</f>
        <v>0</v>
      </c>
      <c r="AI1" s="12" t="n">
        <f aca="false">SUM(AI5:AI300)</f>
        <v>0</v>
      </c>
      <c r="AJ1" s="12" t="n">
        <f aca="false">SUM(AJ5:AJ300)</f>
        <v>0</v>
      </c>
      <c r="AK1" s="12" t="n">
        <f aca="false">SUM(AK5:AK300)</f>
        <v>0</v>
      </c>
      <c r="AL1" s="43"/>
    </row>
    <row r="2" s="17" customFormat="true" ht="13.5" hidden="false" customHeight="true" outlineLevel="0" collapsed="false">
      <c r="A2" s="18" t="s">
        <v>3</v>
      </c>
      <c r="B2" s="19" t="s">
        <v>4</v>
      </c>
      <c r="C2" s="20"/>
      <c r="D2" s="21" t="s">
        <v>6</v>
      </c>
      <c r="E2" s="21" t="s">
        <v>24</v>
      </c>
      <c r="F2" s="19" t="s">
        <v>7</v>
      </c>
      <c r="G2" s="22" t="n">
        <f aca="false">IF([2]Aug!$G$4&gt;0,0,[2]Aug!$G$2)</f>
        <v>20</v>
      </c>
      <c r="H2" s="19" t="s">
        <v>8</v>
      </c>
      <c r="I2" s="13"/>
      <c r="J2" s="14"/>
      <c r="K2" s="23" t="s">
        <v>9</v>
      </c>
      <c r="L2" s="23"/>
      <c r="M2" s="23"/>
      <c r="N2" s="13"/>
      <c r="O2" s="19" t="s">
        <v>25</v>
      </c>
      <c r="P2" s="19"/>
      <c r="Q2" s="19"/>
      <c r="R2" s="19" t="s">
        <v>26</v>
      </c>
      <c r="S2" s="19" t="s">
        <v>27</v>
      </c>
      <c r="T2" s="19" t="s">
        <v>28</v>
      </c>
      <c r="U2" s="19"/>
      <c r="V2" s="19" t="s">
        <v>29</v>
      </c>
      <c r="W2" s="19" t="s">
        <v>30</v>
      </c>
      <c r="X2" s="19" t="s">
        <v>31</v>
      </c>
      <c r="Y2" s="19" t="s">
        <v>32</v>
      </c>
      <c r="Z2" s="19" t="s">
        <v>33</v>
      </c>
      <c r="AA2" s="19" t="s">
        <v>34</v>
      </c>
      <c r="AB2" s="19" t="s">
        <v>35</v>
      </c>
      <c r="AC2" s="19" t="s">
        <v>36</v>
      </c>
      <c r="AD2" s="19" t="s">
        <v>37</v>
      </c>
      <c r="AE2" s="19" t="s">
        <v>38</v>
      </c>
      <c r="AF2" s="19" t="s">
        <v>39</v>
      </c>
      <c r="AG2" s="19" t="s">
        <v>40</v>
      </c>
      <c r="AH2" s="19" t="s">
        <v>41</v>
      </c>
      <c r="AI2" s="19" t="s">
        <v>42</v>
      </c>
      <c r="AJ2" s="12" t="s">
        <v>43</v>
      </c>
      <c r="AK2" s="19" t="s">
        <v>44</v>
      </c>
      <c r="AL2" s="19"/>
    </row>
    <row r="3" s="26" customFormat="true" ht="34.5" hidden="false" customHeight="true" outlineLevel="0" collapsed="false">
      <c r="A3" s="18"/>
      <c r="B3" s="19"/>
      <c r="C3" s="20"/>
      <c r="D3" s="21"/>
      <c r="E3" s="21"/>
      <c r="F3" s="19"/>
      <c r="G3" s="19" t="s">
        <v>10</v>
      </c>
      <c r="H3" s="19"/>
      <c r="I3" s="13"/>
      <c r="J3" s="14"/>
      <c r="K3" s="24" t="s">
        <v>11</v>
      </c>
      <c r="L3" s="24" t="s">
        <v>12</v>
      </c>
      <c r="M3" s="25" t="s">
        <v>13</v>
      </c>
      <c r="N3" s="13"/>
      <c r="O3" s="21" t="s">
        <v>45</v>
      </c>
      <c r="P3" s="21" t="s">
        <v>46</v>
      </c>
      <c r="Q3" s="21" t="s">
        <v>47</v>
      </c>
      <c r="R3" s="19"/>
      <c r="S3" s="19"/>
      <c r="T3" s="21" t="s">
        <v>48</v>
      </c>
      <c r="U3" s="21" t="s">
        <v>49</v>
      </c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2"/>
      <c r="AK3" s="19" t="s">
        <v>50</v>
      </c>
      <c r="AL3" s="19"/>
    </row>
    <row r="4" s="27" customFormat="true" ht="12.75" hidden="false" customHeight="true" outlineLevel="0" collapsed="false">
      <c r="A4" s="18"/>
      <c r="B4" s="19"/>
      <c r="C4" s="20"/>
      <c r="D4" s="21"/>
      <c r="E4" s="21"/>
      <c r="F4" s="19"/>
      <c r="G4" s="19"/>
      <c r="H4" s="19"/>
      <c r="I4" s="13"/>
      <c r="J4" s="14"/>
      <c r="K4" s="24"/>
      <c r="L4" s="24"/>
      <c r="M4" s="24"/>
      <c r="N4" s="13"/>
      <c r="O4" s="44" t="s">
        <v>51</v>
      </c>
      <c r="P4" s="44" t="s">
        <v>52</v>
      </c>
      <c r="Q4" s="44" t="s">
        <v>53</v>
      </c>
      <c r="R4" s="44" t="s">
        <v>54</v>
      </c>
      <c r="S4" s="44" t="s">
        <v>55</v>
      </c>
      <c r="T4" s="44" t="s">
        <v>56</v>
      </c>
      <c r="U4" s="44" t="s">
        <v>57</v>
      </c>
      <c r="V4" s="44" t="s">
        <v>58</v>
      </c>
      <c r="W4" s="44" t="s">
        <v>59</v>
      </c>
      <c r="X4" s="44" t="s">
        <v>60</v>
      </c>
      <c r="Y4" s="44" t="s">
        <v>61</v>
      </c>
      <c r="Z4" s="44" t="s">
        <v>62</v>
      </c>
      <c r="AA4" s="44" t="s">
        <v>63</v>
      </c>
      <c r="AB4" s="44" t="s">
        <v>64</v>
      </c>
      <c r="AC4" s="45" t="s">
        <v>65</v>
      </c>
      <c r="AD4" s="45" t="s">
        <v>66</v>
      </c>
      <c r="AE4" s="44" t="s">
        <v>67</v>
      </c>
      <c r="AF4" s="44" t="s">
        <v>68</v>
      </c>
      <c r="AG4" s="44" t="s">
        <v>69</v>
      </c>
      <c r="AH4" s="44" t="s">
        <v>70</v>
      </c>
      <c r="AI4" s="44" t="s">
        <v>71</v>
      </c>
      <c r="AJ4" s="12" t="s">
        <v>72</v>
      </c>
      <c r="AK4" s="19" t="s">
        <v>73</v>
      </c>
      <c r="AL4" s="19" t="s">
        <v>74</v>
      </c>
    </row>
    <row r="5" s="5" customFormat="true" ht="12" hidden="false" customHeight="false" outlineLevel="0" collapsed="false">
      <c r="A5" s="28" t="n">
        <v>46600</v>
      </c>
      <c r="B5" s="2" t="s">
        <v>14</v>
      </c>
      <c r="C5" s="3"/>
      <c r="D5" s="2" t="s">
        <v>75</v>
      </c>
      <c r="E5" s="2" t="s">
        <v>76</v>
      </c>
      <c r="F5" s="30" t="n">
        <v>1200</v>
      </c>
      <c r="G5" s="6" t="n">
        <f aca="false">IF(F5&lt;&gt;0,F5*G$2/(100+G$2)," ")</f>
        <v>200</v>
      </c>
      <c r="H5" s="6" t="n">
        <f aca="false">IF((F5&lt;&gt;0),F5-G5," ")</f>
        <v>1000</v>
      </c>
      <c r="J5" s="6"/>
      <c r="K5" s="6"/>
      <c r="L5" s="7" t="n">
        <f aca="false">IF(F5&lt;&gt;0,F5-K5," ")</f>
        <v>1200</v>
      </c>
      <c r="M5" s="8" t="n">
        <f aca="false">IF((F5-K5)&lt;&gt;0,M$1-A5," ")</f>
        <v>-322</v>
      </c>
      <c r="O5" s="17" t="str">
        <f aca="false">IF((E5="s"),H5," ")</f>
        <v> </v>
      </c>
      <c r="P5" s="17" t="str">
        <f aca="false">IF((E5="c"),H5," ")</f>
        <v> </v>
      </c>
      <c r="Q5" s="17" t="str">
        <f aca="false">IF((E5="o"),H5," ")</f>
        <v> </v>
      </c>
      <c r="R5" s="17" t="str">
        <f aca="false">IF((E5="d"),H5," ")</f>
        <v> </v>
      </c>
      <c r="S5" s="17" t="str">
        <f aca="false">IF((E5="w"),H5," ")</f>
        <v> </v>
      </c>
      <c r="T5" s="17" t="n">
        <f aca="false">IF((E5="r"),H5," ")</f>
        <v>1000</v>
      </c>
      <c r="U5" s="17" t="str">
        <f aca="false">IF((E5="p"),H5," ")</f>
        <v> </v>
      </c>
      <c r="V5" s="17" t="str">
        <f aca="false">IF((E5="t"),H5," ")</f>
        <v> </v>
      </c>
      <c r="W5" s="17" t="str">
        <f aca="false">IF((E5="q"),H5," ")</f>
        <v> </v>
      </c>
      <c r="X5" s="17" t="str">
        <f aca="false">IF((E5="m"),H5," ")</f>
        <v> </v>
      </c>
      <c r="Y5" s="17" t="str">
        <f aca="false">IF((E5="u"),H5," ")</f>
        <v> </v>
      </c>
      <c r="Z5" s="17" t="str">
        <f aca="false">IF((E5="a"),H5," ")</f>
        <v> </v>
      </c>
      <c r="AA5" s="17" t="str">
        <f aca="false">IF((E5="g"),H5," ")</f>
        <v> </v>
      </c>
      <c r="AB5" s="17" t="str">
        <f aca="false">IF((E5="h"),H5," ")</f>
        <v> </v>
      </c>
      <c r="AC5" s="30" t="str">
        <f aca="false">IF((E5="v"),H5," ")</f>
        <v> </v>
      </c>
      <c r="AD5" s="30" t="str">
        <f aca="false">IF((E5="n"),H5," ")</f>
        <v> </v>
      </c>
      <c r="AE5" s="17" t="str">
        <f aca="false">IF((E5="f"),H5," ")</f>
        <v> </v>
      </c>
      <c r="AF5" s="17" t="str">
        <f aca="false">IF((E5="l"),H5," ")</f>
        <v> </v>
      </c>
      <c r="AG5" s="17" t="str">
        <f aca="false">IF((E5="y"),H5," ")</f>
        <v> </v>
      </c>
      <c r="AH5" s="17" t="str">
        <f aca="false">IF((E5="z"),H5," ")</f>
        <v> </v>
      </c>
      <c r="AI5" s="17" t="str">
        <f aca="false">IF((E5="fa"),H5," ")</f>
        <v> </v>
      </c>
      <c r="AJ5" s="17" t="str">
        <f aca="false">IF((E5="e"),H5," ")</f>
        <v> </v>
      </c>
      <c r="AK5" s="17"/>
      <c r="AL5" s="17"/>
      <c r="BZ5" s="5" t="s">
        <v>77</v>
      </c>
    </row>
    <row r="6" customFormat="false" ht="12" hidden="false" customHeight="false" outlineLevel="0" collapsed="false">
      <c r="A6" s="28" t="n">
        <v>46600</v>
      </c>
      <c r="B6" s="2" t="s">
        <v>78</v>
      </c>
      <c r="D6" s="2" t="s">
        <v>79</v>
      </c>
      <c r="E6" s="2" t="s">
        <v>80</v>
      </c>
      <c r="F6" s="30" t="n">
        <v>30</v>
      </c>
      <c r="G6" s="6" t="n">
        <f aca="false">IF(F6&lt;&gt;0,F6*G$2/(100+G$2)," ")</f>
        <v>5</v>
      </c>
      <c r="H6" s="6" t="n">
        <f aca="false">IF((F6&lt;&gt;0),F6-G6," ")</f>
        <v>25</v>
      </c>
      <c r="I6" s="5"/>
      <c r="L6" s="7" t="n">
        <f aca="false">IF(F6&lt;&gt;0,F6-K6," ")</f>
        <v>30</v>
      </c>
      <c r="M6" s="8" t="n">
        <f aca="false">IF((F6-K6)&lt;&gt;0,M$1-A6," ")</f>
        <v>-322</v>
      </c>
      <c r="N6" s="5"/>
      <c r="O6" s="17" t="str">
        <f aca="false">IF((E6="s"),H6," ")</f>
        <v> </v>
      </c>
      <c r="P6" s="17" t="str">
        <f aca="false">IF((E6="c"),H6," ")</f>
        <v> </v>
      </c>
      <c r="Q6" s="17" t="str">
        <f aca="false">IF((E6="o"),H6," ")</f>
        <v> </v>
      </c>
      <c r="R6" s="17" t="str">
        <f aca="false">IF((E6="d"),H6," ")</f>
        <v> </v>
      </c>
      <c r="S6" s="17" t="str">
        <f aca="false">IF((E6="w"),H6," ")</f>
        <v> </v>
      </c>
      <c r="T6" s="17" t="str">
        <f aca="false">IF((E6="r"),H6," ")</f>
        <v> </v>
      </c>
      <c r="U6" s="17" t="str">
        <f aca="false">IF((E6="p"),H6," ")</f>
        <v> </v>
      </c>
      <c r="V6" s="17" t="str">
        <f aca="false">IF((E6="t"),H6," ")</f>
        <v> </v>
      </c>
      <c r="W6" s="17" t="str">
        <f aca="false">IF((E6="q"),H6," ")</f>
        <v> </v>
      </c>
      <c r="X6" s="17" t="str">
        <f aca="false">IF((E6="m"),H6," ")</f>
        <v> </v>
      </c>
      <c r="Y6" s="17" t="str">
        <f aca="false">IF((E6="u"),H6," ")</f>
        <v> </v>
      </c>
      <c r="Z6" s="17" t="str">
        <f aca="false">IF((E6="a"),H6," ")</f>
        <v> </v>
      </c>
      <c r="AA6" s="17" t="n">
        <f aca="false">IF((E6="g"),H6," ")</f>
        <v>25</v>
      </c>
      <c r="AB6" s="17" t="str">
        <f aca="false">IF((E6="h"),H6," ")</f>
        <v> </v>
      </c>
      <c r="AC6" s="30" t="str">
        <f aca="false">IF((E6="v"),H6," ")</f>
        <v> </v>
      </c>
      <c r="AD6" s="30" t="str">
        <f aca="false">IF((E6="n"),H6," ")</f>
        <v> </v>
      </c>
      <c r="AE6" s="17" t="str">
        <f aca="false">IF((E6="f"),H6," ")</f>
        <v> </v>
      </c>
      <c r="AF6" s="17" t="str">
        <f aca="false">IF((E6="l"),H6," ")</f>
        <v> </v>
      </c>
      <c r="AG6" s="17" t="str">
        <f aca="false">IF((E6="y"),H6," ")</f>
        <v> </v>
      </c>
      <c r="AH6" s="17" t="str">
        <f aca="false">IF((E6="z"),H6," ")</f>
        <v> </v>
      </c>
      <c r="AI6" s="17" t="str">
        <f aca="false">IF((E6="fa"),H6," ")</f>
        <v> </v>
      </c>
      <c r="AJ6" s="17" t="str">
        <f aca="false">IF((E6="e"),H6," ")</f>
        <v> </v>
      </c>
      <c r="BZ6" s="2" t="s">
        <v>81</v>
      </c>
    </row>
    <row r="7" customFormat="false" ht="12" hidden="false" customHeight="false" outlineLevel="0" collapsed="false">
      <c r="A7" s="28" t="n">
        <v>46600</v>
      </c>
      <c r="B7" s="2" t="s">
        <v>82</v>
      </c>
      <c r="D7" s="2" t="s">
        <v>83</v>
      </c>
      <c r="E7" s="2" t="s">
        <v>80</v>
      </c>
      <c r="F7" s="30" t="n">
        <v>15</v>
      </c>
      <c r="G7" s="6" t="n">
        <f aca="false">IF(F7&lt;&gt;0,F7*G$2/(100+G$2)," ")</f>
        <v>2.5</v>
      </c>
      <c r="H7" s="6" t="n">
        <f aca="false">IF((F7&lt;&gt;0),F7-G7," ")</f>
        <v>12.5</v>
      </c>
      <c r="I7" s="5"/>
      <c r="L7" s="7" t="n">
        <f aca="false">IF(F7&lt;&gt;0,F7-K7," ")</f>
        <v>15</v>
      </c>
      <c r="M7" s="8" t="n">
        <f aca="false">IF((F7-K7)&lt;&gt;0,M$1-A7," ")</f>
        <v>-322</v>
      </c>
      <c r="N7" s="5"/>
      <c r="O7" s="17" t="str">
        <f aca="false">IF((E7="s"),H7," ")</f>
        <v> </v>
      </c>
      <c r="P7" s="17" t="str">
        <f aca="false">IF((E7="c"),H7," ")</f>
        <v> </v>
      </c>
      <c r="Q7" s="17" t="str">
        <f aca="false">IF((E7="o"),H7," ")</f>
        <v> </v>
      </c>
      <c r="R7" s="17" t="str">
        <f aca="false">IF((E7="d"),H7," ")</f>
        <v> </v>
      </c>
      <c r="S7" s="17" t="str">
        <f aca="false">IF((E7="w"),H7," ")</f>
        <v> </v>
      </c>
      <c r="T7" s="17" t="str">
        <f aca="false">IF((E7="r"),H7," ")</f>
        <v> </v>
      </c>
      <c r="U7" s="17" t="str">
        <f aca="false">IF((E7="p"),H7," ")</f>
        <v> </v>
      </c>
      <c r="V7" s="17" t="str">
        <f aca="false">IF((E7="t"),H7," ")</f>
        <v> </v>
      </c>
      <c r="W7" s="17" t="str">
        <f aca="false">IF((E7="q"),H7," ")</f>
        <v> </v>
      </c>
      <c r="X7" s="17" t="str">
        <f aca="false">IF((E7="m"),H7," ")</f>
        <v> </v>
      </c>
      <c r="Y7" s="17" t="str">
        <f aca="false">IF((E7="u"),H7," ")</f>
        <v> </v>
      </c>
      <c r="Z7" s="17" t="str">
        <f aca="false">IF((E7="a"),H7," ")</f>
        <v> </v>
      </c>
      <c r="AA7" s="17" t="n">
        <f aca="false">IF((E7="g"),H7," ")</f>
        <v>12.5</v>
      </c>
      <c r="AB7" s="17" t="str">
        <f aca="false">IF((E7="h"),H7," ")</f>
        <v> </v>
      </c>
      <c r="AC7" s="30" t="str">
        <f aca="false">IF((E7="v"),H7," ")</f>
        <v> </v>
      </c>
      <c r="AD7" s="30" t="str">
        <f aca="false">IF((E7="n"),H7," ")</f>
        <v> </v>
      </c>
      <c r="AE7" s="17" t="str">
        <f aca="false">IF((E7="f"),H7," ")</f>
        <v> </v>
      </c>
      <c r="AF7" s="17" t="str">
        <f aca="false">IF((E7="l"),H7," ")</f>
        <v> </v>
      </c>
      <c r="AG7" s="17" t="str">
        <f aca="false">IF((E7="y"),H7," ")</f>
        <v> </v>
      </c>
      <c r="AH7" s="17" t="str">
        <f aca="false">IF((E7="z"),H7," ")</f>
        <v> </v>
      </c>
      <c r="AI7" s="17" t="str">
        <f aca="false">IF((E7="fa"),H7," ")</f>
        <v> </v>
      </c>
      <c r="AJ7" s="17" t="str">
        <f aca="false">IF((E7="e"),H7," ")</f>
        <v> </v>
      </c>
      <c r="BZ7" s="2" t="s">
        <v>81</v>
      </c>
    </row>
    <row r="8" customFormat="false" ht="12" hidden="false" customHeight="false" outlineLevel="0" collapsed="false">
      <c r="A8" s="28" t="n">
        <v>46600</v>
      </c>
      <c r="B8" s="2" t="s">
        <v>84</v>
      </c>
      <c r="D8" s="2" t="s">
        <v>85</v>
      </c>
      <c r="E8" s="2" t="s">
        <v>86</v>
      </c>
      <c r="F8" s="30" t="n">
        <v>45</v>
      </c>
      <c r="G8" s="6" t="n">
        <f aca="false">IF(F8&lt;&gt;0,F8*G$2/(100+G$2)," ")</f>
        <v>7.5</v>
      </c>
      <c r="H8" s="6" t="n">
        <f aca="false">IF((F8&lt;&gt;0),F8-G8," ")</f>
        <v>37.5</v>
      </c>
      <c r="I8" s="5"/>
      <c r="L8" s="7" t="n">
        <f aca="false">IF(F8&lt;&gt;0,F8-K8," ")</f>
        <v>45</v>
      </c>
      <c r="M8" s="8" t="n">
        <f aca="false">IF((F8-K8)&lt;&gt;0,M$1-A8," ")</f>
        <v>-322</v>
      </c>
      <c r="N8" s="5"/>
      <c r="O8" s="17" t="str">
        <f aca="false">IF((E8="s"),H8," ")</f>
        <v> </v>
      </c>
      <c r="P8" s="17" t="str">
        <f aca="false">IF((E8="c"),H8," ")</f>
        <v> </v>
      </c>
      <c r="Q8" s="17" t="n">
        <f aca="false">IF((E8="o"),H8," ")</f>
        <v>37.5</v>
      </c>
      <c r="R8" s="17" t="str">
        <f aca="false">IF((E8="d"),H8," ")</f>
        <v> </v>
      </c>
      <c r="S8" s="17" t="str">
        <f aca="false">IF((E8="w"),H8," ")</f>
        <v> </v>
      </c>
      <c r="T8" s="17" t="str">
        <f aca="false">IF((E8="r"),H8," ")</f>
        <v> </v>
      </c>
      <c r="U8" s="17" t="str">
        <f aca="false">IF((E8="p"),H8," ")</f>
        <v> </v>
      </c>
      <c r="V8" s="17" t="str">
        <f aca="false">IF((E8="t"),H8," ")</f>
        <v> </v>
      </c>
      <c r="W8" s="17" t="str">
        <f aca="false">IF((E8="q"),H8," ")</f>
        <v> </v>
      </c>
      <c r="X8" s="17" t="str">
        <f aca="false">IF((E8="m"),H8," ")</f>
        <v> </v>
      </c>
      <c r="Y8" s="17" t="str">
        <f aca="false">IF((E8="u"),H8," ")</f>
        <v> </v>
      </c>
      <c r="Z8" s="17" t="str">
        <f aca="false">IF((E8="a"),H8," ")</f>
        <v> </v>
      </c>
      <c r="AA8" s="17" t="str">
        <f aca="false">IF((E8="g"),H8," ")</f>
        <v> </v>
      </c>
      <c r="AB8" s="17" t="str">
        <f aca="false">IF((E8="h"),H8," ")</f>
        <v> </v>
      </c>
      <c r="AC8" s="30" t="str">
        <f aca="false">IF((E8="v"),H8," ")</f>
        <v> </v>
      </c>
      <c r="AD8" s="30" t="str">
        <f aca="false">IF((E8="n"),H8," ")</f>
        <v> </v>
      </c>
      <c r="AE8" s="17" t="str">
        <f aca="false">IF((E8="f"),H8," ")</f>
        <v> </v>
      </c>
      <c r="AF8" s="17" t="str">
        <f aca="false">IF((E8="l"),H8," ")</f>
        <v> </v>
      </c>
      <c r="AG8" s="17" t="str">
        <f aca="false">IF((E8="y"),H8," ")</f>
        <v> </v>
      </c>
      <c r="AH8" s="17" t="str">
        <f aca="false">IF((E8="z"),H8," ")</f>
        <v> </v>
      </c>
      <c r="AI8" s="17" t="str">
        <f aca="false">IF((E8="fa"),H8," ")</f>
        <v> </v>
      </c>
      <c r="AJ8" s="17" t="str">
        <f aca="false">IF((E8="e"),H8," ")</f>
        <v> </v>
      </c>
      <c r="BZ8" s="2" t="s">
        <v>87</v>
      </c>
    </row>
    <row r="9" customFormat="false" ht="12" hidden="false" customHeight="false" outlineLevel="0" collapsed="false">
      <c r="A9" s="28" t="n">
        <v>46600</v>
      </c>
      <c r="B9" s="2" t="s">
        <v>92</v>
      </c>
      <c r="D9" s="2" t="s">
        <v>93</v>
      </c>
      <c r="E9" s="2" t="s">
        <v>86</v>
      </c>
      <c r="F9" s="30" t="n">
        <v>24</v>
      </c>
      <c r="G9" s="6" t="n">
        <f aca="false">IF(F9&lt;&gt;0,F9*G$2/(100+G$2)," ")</f>
        <v>4</v>
      </c>
      <c r="H9" s="6" t="n">
        <f aca="false">IF((F9&lt;&gt;0),F9-G9," ")</f>
        <v>20</v>
      </c>
      <c r="I9" s="5"/>
      <c r="L9" s="7" t="n">
        <f aca="false">IF(F9&lt;&gt;0,F9-K9," ")</f>
        <v>24</v>
      </c>
      <c r="M9" s="8" t="n">
        <f aca="false">IF((F9-K9)&lt;&gt;0,M$1-A9," ")</f>
        <v>-322</v>
      </c>
      <c r="N9" s="5"/>
      <c r="O9" s="17" t="str">
        <f aca="false">IF((E9="s"),H9," ")</f>
        <v> </v>
      </c>
      <c r="P9" s="17" t="str">
        <f aca="false">IF((E9="c"),H9," ")</f>
        <v> </v>
      </c>
      <c r="Q9" s="17" t="n">
        <f aca="false">IF((E9="o"),H9," ")</f>
        <v>20</v>
      </c>
      <c r="R9" s="17" t="str">
        <f aca="false">IF((E9="d"),H9," ")</f>
        <v> </v>
      </c>
      <c r="S9" s="17" t="str">
        <f aca="false">IF((E9="w"),H9," ")</f>
        <v> </v>
      </c>
      <c r="T9" s="17" t="str">
        <f aca="false">IF((E9="r"),H9," ")</f>
        <v> </v>
      </c>
      <c r="U9" s="17" t="str">
        <f aca="false">IF((E9="p"),H9," ")</f>
        <v> </v>
      </c>
      <c r="V9" s="17" t="str">
        <f aca="false">IF((E9="t"),H9," ")</f>
        <v> </v>
      </c>
      <c r="W9" s="17" t="str">
        <f aca="false">IF((E9="q"),H9," ")</f>
        <v> </v>
      </c>
      <c r="X9" s="17" t="str">
        <f aca="false">IF((E9="m"),H9," ")</f>
        <v> </v>
      </c>
      <c r="Y9" s="17" t="str">
        <f aca="false">IF((E9="u"),H9," ")</f>
        <v> </v>
      </c>
      <c r="Z9" s="17" t="str">
        <f aca="false">IF((E9="a"),H9," ")</f>
        <v> </v>
      </c>
      <c r="AA9" s="17" t="str">
        <f aca="false">IF((E9="g"),H9," ")</f>
        <v> </v>
      </c>
      <c r="AB9" s="17" t="str">
        <f aca="false">IF((E9="h"),H9," ")</f>
        <v> </v>
      </c>
      <c r="AC9" s="30" t="str">
        <f aca="false">IF((E9="v"),H9," ")</f>
        <v> </v>
      </c>
      <c r="AD9" s="30" t="str">
        <f aca="false">IF((E9="n"),H9," ")</f>
        <v> </v>
      </c>
      <c r="AE9" s="17" t="str">
        <f aca="false">IF((E9="f"),H9," ")</f>
        <v> </v>
      </c>
      <c r="AF9" s="17" t="str">
        <f aca="false">IF((E9="l"),H9," ")</f>
        <v> </v>
      </c>
      <c r="AG9" s="17" t="str">
        <f aca="false">IF((E9="y"),H9," ")</f>
        <v> </v>
      </c>
      <c r="AH9" s="17" t="str">
        <f aca="false">IF((E9="z"),H9," ")</f>
        <v> </v>
      </c>
      <c r="AI9" s="17" t="str">
        <f aca="false">IF((E9="fa"),H9," ")</f>
        <v> </v>
      </c>
      <c r="AJ9" s="17" t="str">
        <f aca="false">IF((E9="e"),H9," ")</f>
        <v> </v>
      </c>
      <c r="BZ9" s="2" t="s">
        <v>87</v>
      </c>
    </row>
    <row r="10" customFormat="false" ht="12" hidden="false" customHeight="false" outlineLevel="0" collapsed="false">
      <c r="A10" s="28" t="n">
        <v>46600</v>
      </c>
      <c r="B10" s="2" t="s">
        <v>94</v>
      </c>
      <c r="D10" s="2" t="s">
        <v>95</v>
      </c>
      <c r="E10" s="2" t="s">
        <v>80</v>
      </c>
      <c r="F10" s="30" t="n">
        <v>18</v>
      </c>
      <c r="G10" s="6" t="n">
        <f aca="false">IF(F10&lt;&gt;0,F10*G$2/(100+G$2)," ")</f>
        <v>3</v>
      </c>
      <c r="H10" s="6" t="n">
        <f aca="false">IF((F10&lt;&gt;0),F10-G10," ")</f>
        <v>15</v>
      </c>
      <c r="I10" s="5"/>
      <c r="L10" s="7" t="n">
        <f aca="false">IF(F10&lt;&gt;0,F10-K10," ")</f>
        <v>18</v>
      </c>
      <c r="M10" s="8" t="n">
        <f aca="false">IF((F10-K10)&lt;&gt;0,M$1-A10," ")</f>
        <v>-322</v>
      </c>
      <c r="N10" s="5"/>
      <c r="O10" s="17" t="str">
        <f aca="false">IF((E10="s"),H10," ")</f>
        <v> </v>
      </c>
      <c r="P10" s="17" t="str">
        <f aca="false">IF((E10="c"),H10," ")</f>
        <v> </v>
      </c>
      <c r="Q10" s="17" t="str">
        <f aca="false">IF((E10="o"),H10," ")</f>
        <v> </v>
      </c>
      <c r="R10" s="17" t="str">
        <f aca="false">IF((E10="d"),H10," ")</f>
        <v> </v>
      </c>
      <c r="S10" s="17" t="str">
        <f aca="false">IF((E10="w"),H10," ")</f>
        <v> </v>
      </c>
      <c r="T10" s="17" t="str">
        <f aca="false">IF((E10="r"),H10," ")</f>
        <v> </v>
      </c>
      <c r="U10" s="17" t="str">
        <f aca="false">IF((E10="p"),H10," ")</f>
        <v> </v>
      </c>
      <c r="V10" s="17" t="str">
        <f aca="false">IF((E10="t"),H10," ")</f>
        <v> </v>
      </c>
      <c r="W10" s="17" t="str">
        <f aca="false">IF((E10="q"),H10," ")</f>
        <v> </v>
      </c>
      <c r="X10" s="17" t="str">
        <f aca="false">IF((E10="m"),H10," ")</f>
        <v> </v>
      </c>
      <c r="Y10" s="17" t="str">
        <f aca="false">IF((E10="u"),H10," ")</f>
        <v> </v>
      </c>
      <c r="Z10" s="17" t="str">
        <f aca="false">IF((E10="a"),H10," ")</f>
        <v> </v>
      </c>
      <c r="AA10" s="17" t="n">
        <f aca="false">IF((E10="g"),H10," ")</f>
        <v>15</v>
      </c>
      <c r="AB10" s="17" t="str">
        <f aca="false">IF((E10="h"),H10," ")</f>
        <v> </v>
      </c>
      <c r="AC10" s="30" t="str">
        <f aca="false">IF((E10="v"),H10," ")</f>
        <v> </v>
      </c>
      <c r="AD10" s="30" t="str">
        <f aca="false">IF((E10="n"),H10," ")</f>
        <v> </v>
      </c>
      <c r="AE10" s="17" t="str">
        <f aca="false">IF((E10="f"),H10," ")</f>
        <v> </v>
      </c>
      <c r="AF10" s="17" t="str">
        <f aca="false">IF((E10="l"),H10," ")</f>
        <v> </v>
      </c>
      <c r="AG10" s="17" t="str">
        <f aca="false">IF((E10="y"),H10," ")</f>
        <v> </v>
      </c>
      <c r="AH10" s="17" t="str">
        <f aca="false">IF((E10="z"),H10," ")</f>
        <v> </v>
      </c>
      <c r="AI10" s="17" t="str">
        <f aca="false">IF((E10="fa"),H10," ")</f>
        <v> </v>
      </c>
      <c r="AJ10" s="17" t="str">
        <f aca="false">IF((E10="e"),H10," ")</f>
        <v> </v>
      </c>
      <c r="BZ10" s="2" t="s">
        <v>81</v>
      </c>
    </row>
    <row r="11" customFormat="false" ht="12" hidden="false" customHeight="false" outlineLevel="0" collapsed="false">
      <c r="A11" s="28" t="n">
        <v>46602</v>
      </c>
      <c r="B11" s="2" t="s">
        <v>96</v>
      </c>
      <c r="D11" s="2" t="s">
        <v>97</v>
      </c>
      <c r="E11" s="2" t="s">
        <v>86</v>
      </c>
      <c r="F11" s="30" t="n">
        <v>180</v>
      </c>
      <c r="G11" s="6" t="n">
        <f aca="false">IF(F11&lt;&gt;0,F11*G$2/(100+G$2)," ")</f>
        <v>30</v>
      </c>
      <c r="H11" s="6" t="n">
        <f aca="false">IF((F11&lt;&gt;0),F11-G11," ")</f>
        <v>150</v>
      </c>
      <c r="I11" s="5"/>
      <c r="L11" s="7" t="n">
        <f aca="false">IF(F11&lt;&gt;0,F11-K11," ")</f>
        <v>180</v>
      </c>
      <c r="M11" s="8" t="n">
        <f aca="false">IF((F11-K11)&lt;&gt;0,M$1-A11," ")</f>
        <v>-324</v>
      </c>
      <c r="N11" s="5"/>
      <c r="O11" s="17" t="str">
        <f aca="false">IF((E11="s"),H11," ")</f>
        <v> </v>
      </c>
      <c r="P11" s="17" t="str">
        <f aca="false">IF((E11="c"),H11," ")</f>
        <v> </v>
      </c>
      <c r="Q11" s="17" t="n">
        <f aca="false">IF((E11="o"),H11," ")</f>
        <v>150</v>
      </c>
      <c r="R11" s="17" t="str">
        <f aca="false">IF((E11="d"),H11," ")</f>
        <v> </v>
      </c>
      <c r="S11" s="17" t="str">
        <f aca="false">IF((E11="w"),H11," ")</f>
        <v> </v>
      </c>
      <c r="T11" s="17" t="str">
        <f aca="false">IF((E11="r"),H11," ")</f>
        <v> </v>
      </c>
      <c r="U11" s="17" t="str">
        <f aca="false">IF((E11="p"),H11," ")</f>
        <v> </v>
      </c>
      <c r="V11" s="17" t="str">
        <f aca="false">IF((E11="t"),H11," ")</f>
        <v> </v>
      </c>
      <c r="W11" s="17" t="str">
        <f aca="false">IF((E11="q"),H11," ")</f>
        <v> </v>
      </c>
      <c r="X11" s="17" t="str">
        <f aca="false">IF((E11="m"),H11," ")</f>
        <v> </v>
      </c>
      <c r="Y11" s="17" t="str">
        <f aca="false">IF((E11="u"),H11," ")</f>
        <v> </v>
      </c>
      <c r="Z11" s="17" t="str">
        <f aca="false">IF((E11="a"),H11," ")</f>
        <v> </v>
      </c>
      <c r="AA11" s="17" t="str">
        <f aca="false">IF((E11="g"),H11," ")</f>
        <v> </v>
      </c>
      <c r="AB11" s="17" t="str">
        <f aca="false">IF((E11="h"),H11," ")</f>
        <v> </v>
      </c>
      <c r="AC11" s="30" t="str">
        <f aca="false">IF((E11="v"),H11," ")</f>
        <v> </v>
      </c>
      <c r="AD11" s="30" t="str">
        <f aca="false">IF((E11="n"),H11," ")</f>
        <v> </v>
      </c>
      <c r="AE11" s="17" t="str">
        <f aca="false">IF((E11="f"),H11," ")</f>
        <v> </v>
      </c>
      <c r="AF11" s="17" t="str">
        <f aca="false">IF((E11="l"),H11," ")</f>
        <v> </v>
      </c>
      <c r="AG11" s="17" t="str">
        <f aca="false">IF((E11="y"),H11," ")</f>
        <v> </v>
      </c>
      <c r="AH11" s="17" t="str">
        <f aca="false">IF((E11="z"),H11," ")</f>
        <v> </v>
      </c>
      <c r="AI11" s="17" t="str">
        <f aca="false">IF((E11="fa"),H11," ")</f>
        <v> </v>
      </c>
      <c r="AJ11" s="17" t="str">
        <f aca="false">IF((E11="e"),H11," ")</f>
        <v> </v>
      </c>
      <c r="BZ11" s="2" t="s">
        <v>87</v>
      </c>
    </row>
    <row r="12" customFormat="false" ht="12" hidden="false" customHeight="false" outlineLevel="0" collapsed="false">
      <c r="A12" s="28" t="n">
        <v>46602</v>
      </c>
      <c r="B12" s="2" t="s">
        <v>98</v>
      </c>
      <c r="D12" s="2" t="s">
        <v>99</v>
      </c>
      <c r="E12" s="2" t="s">
        <v>100</v>
      </c>
      <c r="F12" s="30" t="n">
        <v>22</v>
      </c>
      <c r="G12" s="6" t="n">
        <f aca="false">IF(F12&lt;&gt;0,F12*G$2/(100+G$2)," ")</f>
        <v>3.66666666666667</v>
      </c>
      <c r="H12" s="6" t="n">
        <f aca="false">IF((F12&lt;&gt;0),F12-G12," ")</f>
        <v>18.3333333333333</v>
      </c>
      <c r="I12" s="5"/>
      <c r="L12" s="7" t="n">
        <f aca="false">IF(F12&lt;&gt;0,F12-K12," ")</f>
        <v>22</v>
      </c>
      <c r="M12" s="8" t="n">
        <f aca="false">IF((F12-K12)&lt;&gt;0,M$1-A12," ")</f>
        <v>-324</v>
      </c>
      <c r="N12" s="5"/>
      <c r="O12" s="17" t="str">
        <f aca="false">IF((E12="s"),H12," ")</f>
        <v> </v>
      </c>
      <c r="P12" s="17" t="str">
        <f aca="false">IF((E12="c"),H12," ")</f>
        <v> </v>
      </c>
      <c r="Q12" s="17" t="str">
        <f aca="false">IF((E12="o"),H12," ")</f>
        <v> </v>
      </c>
      <c r="R12" s="17" t="str">
        <f aca="false">IF((E12="d"),H12," ")</f>
        <v> </v>
      </c>
      <c r="S12" s="17" t="str">
        <f aca="false">IF((E12="w"),H12," ")</f>
        <v> </v>
      </c>
      <c r="T12" s="17" t="str">
        <f aca="false">IF((E12="r"),H12," ")</f>
        <v> </v>
      </c>
      <c r="U12" s="17" t="str">
        <f aca="false">IF((E12="p"),H12," ")</f>
        <v> </v>
      </c>
      <c r="V12" s="17" t="str">
        <f aca="false">IF((E12="t"),H12," ")</f>
        <v> </v>
      </c>
      <c r="W12" s="17" t="str">
        <f aca="false">IF((E12="q"),H12," ")</f>
        <v> </v>
      </c>
      <c r="X12" s="17" t="str">
        <f aca="false">IF((E12="m"),H12," ")</f>
        <v> </v>
      </c>
      <c r="Y12" s="17" t="n">
        <f aca="false">IF((E12="u"),H12," ")</f>
        <v>18.3333333333333</v>
      </c>
      <c r="Z12" s="17" t="str">
        <f aca="false">IF((E12="a"),H12," ")</f>
        <v> </v>
      </c>
      <c r="AA12" s="17" t="str">
        <f aca="false">IF((E12="g"),H12," ")</f>
        <v> </v>
      </c>
      <c r="AB12" s="17" t="str">
        <f aca="false">IF((E12="h"),H12," ")</f>
        <v> </v>
      </c>
      <c r="AC12" s="30" t="str">
        <f aca="false">IF((E12="v"),H12," ")</f>
        <v> </v>
      </c>
      <c r="AD12" s="30" t="str">
        <f aca="false">IF((E12="n"),H12," ")</f>
        <v> </v>
      </c>
      <c r="AE12" s="17" t="str">
        <f aca="false">IF((E12="f"),H12," ")</f>
        <v> </v>
      </c>
      <c r="AF12" s="17" t="str">
        <f aca="false">IF((E12="l"),H12," ")</f>
        <v> </v>
      </c>
      <c r="AG12" s="17" t="str">
        <f aca="false">IF((E12="y"),H12," ")</f>
        <v> </v>
      </c>
      <c r="AH12" s="17" t="str">
        <f aca="false">IF((E12="z"),H12," ")</f>
        <v> </v>
      </c>
      <c r="AI12" s="17" t="str">
        <f aca="false">IF((E12="fa"),H12," ")</f>
        <v> </v>
      </c>
      <c r="AJ12" s="17" t="str">
        <f aca="false">IF((E12="e"),H12," ")</f>
        <v> </v>
      </c>
      <c r="BZ12" s="2" t="s">
        <v>101</v>
      </c>
    </row>
    <row r="13" customFormat="false" ht="12" hidden="false" customHeight="false" outlineLevel="0" collapsed="false">
      <c r="A13" s="28" t="n">
        <v>46604</v>
      </c>
      <c r="B13" s="2" t="s">
        <v>102</v>
      </c>
      <c r="D13" s="2" t="s">
        <v>103</v>
      </c>
      <c r="E13" s="2" t="s">
        <v>100</v>
      </c>
      <c r="F13" s="30" t="n">
        <v>24</v>
      </c>
      <c r="G13" s="6" t="n">
        <f aca="false">IF(F13&lt;&gt;0,F13*G$2/(100+G$2)," ")</f>
        <v>4</v>
      </c>
      <c r="H13" s="6" t="n">
        <f aca="false">IF((F13&lt;&gt;0),F13-G13," ")</f>
        <v>20</v>
      </c>
      <c r="I13" s="5"/>
      <c r="L13" s="7" t="n">
        <f aca="false">IF(F13&lt;&gt;0,F13-K13," ")</f>
        <v>24</v>
      </c>
      <c r="M13" s="8" t="n">
        <f aca="false">IF((F13-K13)&lt;&gt;0,M$1-A13," ")</f>
        <v>-326</v>
      </c>
      <c r="N13" s="5"/>
      <c r="O13" s="17" t="str">
        <f aca="false">IF((E13="s"),H13," ")</f>
        <v> </v>
      </c>
      <c r="P13" s="17" t="str">
        <f aca="false">IF((E13="c"),H13," ")</f>
        <v> </v>
      </c>
      <c r="Q13" s="17" t="str">
        <f aca="false">IF((E13="o"),H13," ")</f>
        <v> </v>
      </c>
      <c r="R13" s="17" t="str">
        <f aca="false">IF((E13="d"),H13," ")</f>
        <v> </v>
      </c>
      <c r="S13" s="17" t="str">
        <f aca="false">IF((E13="w"),H13," ")</f>
        <v> </v>
      </c>
      <c r="T13" s="17" t="str">
        <f aca="false">IF((E13="r"),H13," ")</f>
        <v> </v>
      </c>
      <c r="U13" s="17" t="str">
        <f aca="false">IF((E13="p"),H13," ")</f>
        <v> </v>
      </c>
      <c r="V13" s="17" t="str">
        <f aca="false">IF((E13="t"),H13," ")</f>
        <v> </v>
      </c>
      <c r="W13" s="17" t="str">
        <f aca="false">IF((E13="q"),H13," ")</f>
        <v> </v>
      </c>
      <c r="X13" s="17" t="str">
        <f aca="false">IF((E13="m"),H13," ")</f>
        <v> </v>
      </c>
      <c r="Y13" s="17" t="n">
        <f aca="false">IF((E13="u"),H13," ")</f>
        <v>20</v>
      </c>
      <c r="Z13" s="17" t="str">
        <f aca="false">IF((E13="a"),H13," ")</f>
        <v> </v>
      </c>
      <c r="AA13" s="17" t="str">
        <f aca="false">IF((E13="g"),H13," ")</f>
        <v> </v>
      </c>
      <c r="AB13" s="17" t="str">
        <f aca="false">IF((E13="h"),H13," ")</f>
        <v> </v>
      </c>
      <c r="AC13" s="30" t="str">
        <f aca="false">IF((E13="v"),H13," ")</f>
        <v> </v>
      </c>
      <c r="AD13" s="30" t="str">
        <f aca="false">IF((E13="n"),H13," ")</f>
        <v> </v>
      </c>
      <c r="AE13" s="17" t="str">
        <f aca="false">IF((E13="f"),H13," ")</f>
        <v> </v>
      </c>
      <c r="AF13" s="17" t="str">
        <f aca="false">IF((E13="l"),H13," ")</f>
        <v> </v>
      </c>
      <c r="AG13" s="17" t="str">
        <f aca="false">IF((E13="y"),H13," ")</f>
        <v> </v>
      </c>
      <c r="AH13" s="17" t="str">
        <f aca="false">IF((E13="z"),H13," ")</f>
        <v> </v>
      </c>
      <c r="AI13" s="17" t="str">
        <f aca="false">IF((E13="fa"),H13," ")</f>
        <v> </v>
      </c>
      <c r="AJ13" s="17" t="str">
        <f aca="false">IF((E13="e"),H13," ")</f>
        <v> </v>
      </c>
      <c r="BZ13" s="2" t="s">
        <v>101</v>
      </c>
    </row>
    <row r="14" customFormat="false" ht="12" hidden="false" customHeight="false" outlineLevel="0" collapsed="false">
      <c r="A14" s="28" t="n">
        <v>46604</v>
      </c>
      <c r="B14" s="2" t="s">
        <v>208</v>
      </c>
      <c r="D14" s="2" t="s">
        <v>209</v>
      </c>
      <c r="E14" s="2" t="s">
        <v>161</v>
      </c>
      <c r="F14" s="30" t="n">
        <v>480</v>
      </c>
      <c r="G14" s="6" t="n">
        <f aca="false">IF(F14&lt;&gt;0,F14*G$2/(100+G$2)," ")</f>
        <v>80</v>
      </c>
      <c r="H14" s="6" t="n">
        <f aca="false">IF((F14&lt;&gt;0),F14-G14," ")</f>
        <v>400</v>
      </c>
      <c r="I14" s="5"/>
      <c r="L14" s="7" t="n">
        <f aca="false">IF(F14&lt;&gt;0,F14-K14," ")</f>
        <v>480</v>
      </c>
      <c r="M14" s="8" t="n">
        <f aca="false">IF((F14-K14)&lt;&gt;0,M$1-A14," ")</f>
        <v>-326</v>
      </c>
      <c r="N14" s="5"/>
      <c r="O14" s="17" t="str">
        <f aca="false">IF((E14="s"),H14," ")</f>
        <v> </v>
      </c>
      <c r="P14" s="17" t="str">
        <f aca="false">IF((E14="c"),H14," ")</f>
        <v> </v>
      </c>
      <c r="Q14" s="17" t="str">
        <f aca="false">IF((E14="o"),H14," ")</f>
        <v> </v>
      </c>
      <c r="R14" s="17" t="str">
        <f aca="false">IF((E14="d"),H14," ")</f>
        <v> </v>
      </c>
      <c r="S14" s="17" t="str">
        <f aca="false">IF((E14="w"),H14," ")</f>
        <v> </v>
      </c>
      <c r="T14" s="17" t="str">
        <f aca="false">IF((E14="r"),H14," ")</f>
        <v> </v>
      </c>
      <c r="U14" s="17" t="str">
        <f aca="false">IF((E14="p"),H14," ")</f>
        <v> </v>
      </c>
      <c r="V14" s="17" t="str">
        <f aca="false">IF((E14="t"),H14," ")</f>
        <v> </v>
      </c>
      <c r="W14" s="17" t="str">
        <f aca="false">IF((E14="q"),H14," ")</f>
        <v> </v>
      </c>
      <c r="X14" s="17" t="str">
        <f aca="false">IF((E14="m"),H14," ")</f>
        <v> </v>
      </c>
      <c r="Y14" s="17" t="str">
        <f aca="false">IF((E14="u"),H14," ")</f>
        <v> </v>
      </c>
      <c r="Z14" s="17" t="n">
        <f aca="false">IF((E14="a"),H14," ")</f>
        <v>400</v>
      </c>
      <c r="AA14" s="17" t="str">
        <f aca="false">IF((E14="g"),H14," ")</f>
        <v> </v>
      </c>
      <c r="AB14" s="17" t="str">
        <f aca="false">IF((E14="h"),H14," ")</f>
        <v> </v>
      </c>
      <c r="AC14" s="30" t="str">
        <f aca="false">IF((E14="v"),H14," ")</f>
        <v> </v>
      </c>
      <c r="AD14" s="30" t="str">
        <f aca="false">IF((E14="n"),H14," ")</f>
        <v> </v>
      </c>
      <c r="AE14" s="17" t="str">
        <f aca="false">IF((E14="f"),H14," ")</f>
        <v> </v>
      </c>
      <c r="AF14" s="17" t="str">
        <f aca="false">IF((E14="l"),H14," ")</f>
        <v> </v>
      </c>
      <c r="AG14" s="17" t="str">
        <f aca="false">IF((E14="y"),H14," ")</f>
        <v> </v>
      </c>
      <c r="AH14" s="17" t="str">
        <f aca="false">IF((E14="z"),H14," ")</f>
        <v> </v>
      </c>
      <c r="AI14" s="17" t="str">
        <f aca="false">IF((E14="fa"),H14," ")</f>
        <v> </v>
      </c>
      <c r="AJ14" s="17" t="str">
        <f aca="false">IF((E14="e"),H14," ")</f>
        <v> </v>
      </c>
      <c r="BZ14" s="2" t="s">
        <v>162</v>
      </c>
    </row>
    <row r="15" customFormat="false" ht="12" hidden="false" customHeight="false" outlineLevel="0" collapsed="false">
      <c r="A15" s="28" t="n">
        <v>46604</v>
      </c>
      <c r="B15" s="2" t="s">
        <v>104</v>
      </c>
      <c r="D15" s="2" t="s">
        <v>105</v>
      </c>
      <c r="E15" s="2" t="s">
        <v>106</v>
      </c>
      <c r="F15" s="30" t="n">
        <v>180</v>
      </c>
      <c r="G15" s="6" t="n">
        <f aca="false">IF(F15&lt;&gt;0,F15*G$2/(100+G$2)," ")</f>
        <v>30</v>
      </c>
      <c r="H15" s="6" t="n">
        <f aca="false">IF((F15&lt;&gt;0),F15-G15," ")</f>
        <v>150</v>
      </c>
      <c r="I15" s="5"/>
      <c r="L15" s="7" t="n">
        <f aca="false">IF(F15&lt;&gt;0,F15-K15," ")</f>
        <v>180</v>
      </c>
      <c r="M15" s="8" t="n">
        <f aca="false">IF((F15-K15)&lt;&gt;0,M$1-A15," ")</f>
        <v>-326</v>
      </c>
      <c r="N15" s="5"/>
      <c r="O15" s="17" t="str">
        <f aca="false">IF((E15="s"),H15," ")</f>
        <v> </v>
      </c>
      <c r="P15" s="17" t="str">
        <f aca="false">IF((E15="c"),H15," ")</f>
        <v> </v>
      </c>
      <c r="Q15" s="17" t="str">
        <f aca="false">IF((E15="o"),H15," ")</f>
        <v> </v>
      </c>
      <c r="R15" s="17" t="str">
        <f aca="false">IF((E15="d"),H15," ")</f>
        <v> </v>
      </c>
      <c r="S15" s="17" t="str">
        <f aca="false">IF((E15="w"),H15," ")</f>
        <v> </v>
      </c>
      <c r="T15" s="17" t="str">
        <f aca="false">IF((E15="r"),H15," ")</f>
        <v> </v>
      </c>
      <c r="U15" s="17" t="str">
        <f aca="false">IF((E15="p"),H15," ")</f>
        <v> </v>
      </c>
      <c r="V15" s="17" t="str">
        <f aca="false">IF((E15="t"),H15," ")</f>
        <v> </v>
      </c>
      <c r="W15" s="17" t="str">
        <f aca="false">IF((E15="q"),H15," ")</f>
        <v> </v>
      </c>
      <c r="X15" s="17" t="str">
        <f aca="false">IF((E15="m"),H15," ")</f>
        <v> </v>
      </c>
      <c r="Y15" s="17" t="str">
        <f aca="false">IF((E15="u"),H15," ")</f>
        <v> </v>
      </c>
      <c r="Z15" s="17" t="str">
        <f aca="false">IF((E15="a"),H15," ")</f>
        <v> </v>
      </c>
      <c r="AA15" s="17" t="str">
        <f aca="false">IF((E15="g"),H15," ")</f>
        <v> </v>
      </c>
      <c r="AB15" s="17" t="str">
        <f aca="false">IF((E15="h"),H15," ")</f>
        <v> </v>
      </c>
      <c r="AC15" s="30" t="n">
        <f aca="false">IF((E15="v"),H15," ")</f>
        <v>150</v>
      </c>
      <c r="AD15" s="30" t="str">
        <f aca="false">IF((E15="n"),H15," ")</f>
        <v> </v>
      </c>
      <c r="AE15" s="17" t="str">
        <f aca="false">IF((E15="f"),H15," ")</f>
        <v> </v>
      </c>
      <c r="AF15" s="17" t="str">
        <f aca="false">IF((E15="l"),H15," ")</f>
        <v> </v>
      </c>
      <c r="AG15" s="17" t="str">
        <f aca="false">IF((E15="y"),H15," ")</f>
        <v> </v>
      </c>
      <c r="AH15" s="17" t="str">
        <f aca="false">IF((E15="z"),H15," ")</f>
        <v> </v>
      </c>
      <c r="AI15" s="17" t="str">
        <f aca="false">IF((E15="fa"),H15," ")</f>
        <v> </v>
      </c>
      <c r="AJ15" s="17" t="str">
        <f aca="false">IF((E15="e"),H15," ")</f>
        <v> </v>
      </c>
      <c r="BZ15" s="2" t="s">
        <v>107</v>
      </c>
    </row>
    <row r="16" customFormat="false" ht="12" hidden="false" customHeight="false" outlineLevel="0" collapsed="false">
      <c r="A16" s="28" t="n">
        <v>46607</v>
      </c>
      <c r="B16" s="2" t="s">
        <v>110</v>
      </c>
      <c r="D16" s="2" t="s">
        <v>111</v>
      </c>
      <c r="E16" s="2" t="s">
        <v>112</v>
      </c>
      <c r="F16" s="30" t="n">
        <v>48</v>
      </c>
      <c r="G16" s="6" t="n">
        <f aca="false">IF(F16&lt;&gt;0,F16*G$2/(100+G$2)," ")</f>
        <v>8</v>
      </c>
      <c r="H16" s="6" t="n">
        <f aca="false">IF((F16&lt;&gt;0),F16-G16," ")</f>
        <v>40</v>
      </c>
      <c r="I16" s="5"/>
      <c r="L16" s="7" t="n">
        <f aca="false">IF(F16&lt;&gt;0,F16-K16," ")</f>
        <v>48</v>
      </c>
      <c r="M16" s="8" t="n">
        <f aca="false">IF((F16-K16)&lt;&gt;0,M$1-A16," ")</f>
        <v>-329</v>
      </c>
      <c r="N16" s="5"/>
      <c r="O16" s="17" t="str">
        <f aca="false">IF((E16="s"),H16," ")</f>
        <v> </v>
      </c>
      <c r="P16" s="17" t="str">
        <f aca="false">IF((E16="c"),H16," ")</f>
        <v> </v>
      </c>
      <c r="Q16" s="17" t="str">
        <f aca="false">IF((E16="o"),H16," ")</f>
        <v> </v>
      </c>
      <c r="R16" s="17" t="str">
        <f aca="false">IF((E16="d"),H16," ")</f>
        <v> </v>
      </c>
      <c r="S16" s="17" t="str">
        <f aca="false">IF((E16="w"),H16," ")</f>
        <v> </v>
      </c>
      <c r="T16" s="17" t="str">
        <f aca="false">IF((E16="r"),H16," ")</f>
        <v> </v>
      </c>
      <c r="U16" s="17" t="str">
        <f aca="false">IF((E16="p"),H16," ")</f>
        <v> </v>
      </c>
      <c r="V16" s="17" t="str">
        <f aca="false">IF((E16="t"),H16," ")</f>
        <v> </v>
      </c>
      <c r="W16" s="17" t="str">
        <f aca="false">IF((E16="q"),H16," ")</f>
        <v> </v>
      </c>
      <c r="X16" s="17" t="str">
        <f aca="false">IF((E16="m"),H16," ")</f>
        <v> </v>
      </c>
      <c r="Y16" s="17" t="str">
        <f aca="false">IF((E16="u"),H16," ")</f>
        <v> </v>
      </c>
      <c r="Z16" s="17" t="str">
        <f aca="false">IF((E16="a"),H16," ")</f>
        <v> </v>
      </c>
      <c r="AA16" s="17" t="str">
        <f aca="false">IF((E16="g"),H16," ")</f>
        <v> </v>
      </c>
      <c r="AB16" s="17" t="n">
        <f aca="false">IF((E16="h"),H16," ")</f>
        <v>40</v>
      </c>
      <c r="AC16" s="30" t="str">
        <f aca="false">IF((E16="v"),H16," ")</f>
        <v> </v>
      </c>
      <c r="AD16" s="30" t="str">
        <f aca="false">IF((E16="n"),H16," ")</f>
        <v> </v>
      </c>
      <c r="AE16" s="17" t="str">
        <f aca="false">IF((E16="f"),H16," ")</f>
        <v> </v>
      </c>
      <c r="AF16" s="17" t="str">
        <f aca="false">IF((E16="l"),H16," ")</f>
        <v> </v>
      </c>
      <c r="AG16" s="17" t="str">
        <f aca="false">IF((E16="y"),H16," ")</f>
        <v> </v>
      </c>
      <c r="AH16" s="17" t="str">
        <f aca="false">IF((E16="z"),H16," ")</f>
        <v> </v>
      </c>
      <c r="AI16" s="17" t="str">
        <f aca="false">IF((E16="fa"),H16," ")</f>
        <v> </v>
      </c>
      <c r="AJ16" s="17" t="str">
        <f aca="false">IF((E16="e"),H16," ")</f>
        <v> </v>
      </c>
      <c r="BZ16" s="2" t="s">
        <v>113</v>
      </c>
    </row>
    <row r="17" customFormat="false" ht="12" hidden="false" customHeight="false" outlineLevel="0" collapsed="false">
      <c r="A17" s="28" t="n">
        <v>46607</v>
      </c>
      <c r="B17" s="2" t="s">
        <v>155</v>
      </c>
      <c r="D17" s="2" t="s">
        <v>156</v>
      </c>
      <c r="E17" s="2" t="s">
        <v>157</v>
      </c>
      <c r="F17" s="30" t="n">
        <v>180</v>
      </c>
      <c r="G17" s="6" t="n">
        <f aca="false">IF(F17&lt;&gt;0,F17*G$2/(100+G$2)," ")</f>
        <v>30</v>
      </c>
      <c r="H17" s="6" t="n">
        <f aca="false">IF((F17&lt;&gt;0),F17-G17," ")</f>
        <v>150</v>
      </c>
      <c r="I17" s="5"/>
      <c r="L17" s="7" t="n">
        <f aca="false">IF(F17&lt;&gt;0,F17-K17," ")</f>
        <v>180</v>
      </c>
      <c r="M17" s="8" t="n">
        <f aca="false">IF((F17-K17)&lt;&gt;0,M$1-A17," ")</f>
        <v>-329</v>
      </c>
      <c r="N17" s="5"/>
      <c r="O17" s="17" t="str">
        <f aca="false">IF((E17="s"),H17," ")</f>
        <v> </v>
      </c>
      <c r="P17" s="17" t="str">
        <f aca="false">IF((E17="c"),H17," ")</f>
        <v> </v>
      </c>
      <c r="Q17" s="17" t="str">
        <f aca="false">IF((E17="o"),H17," ")</f>
        <v> </v>
      </c>
      <c r="R17" s="17" t="str">
        <f aca="false">IF((E17="d"),H17," ")</f>
        <v> </v>
      </c>
      <c r="S17" s="17" t="str">
        <f aca="false">IF((E17="w"),H17," ")</f>
        <v> </v>
      </c>
      <c r="T17" s="17" t="str">
        <f aca="false">IF((E17="r"),H17," ")</f>
        <v> </v>
      </c>
      <c r="U17" s="17" t="str">
        <f aca="false">IF((E17="p"),H17," ")</f>
        <v> </v>
      </c>
      <c r="V17" s="17" t="str">
        <f aca="false">IF((E17="t"),H17," ")</f>
        <v> </v>
      </c>
      <c r="W17" s="17" t="n">
        <f aca="false">IF((E17="q"),H17," ")</f>
        <v>150</v>
      </c>
      <c r="X17" s="17" t="str">
        <f aca="false">IF((E17="m"),H17," ")</f>
        <v> </v>
      </c>
      <c r="Y17" s="17" t="str">
        <f aca="false">IF((E17="u"),H17," ")</f>
        <v> </v>
      </c>
      <c r="Z17" s="17" t="str">
        <f aca="false">IF((E17="a"),H17," ")</f>
        <v> </v>
      </c>
      <c r="AA17" s="17" t="str">
        <f aca="false">IF((E17="g"),H17," ")</f>
        <v> </v>
      </c>
      <c r="AB17" s="17" t="str">
        <f aca="false">IF((E17="h"),H17," ")</f>
        <v> </v>
      </c>
      <c r="AC17" s="30" t="str">
        <f aca="false">IF((E17="v"),H17," ")</f>
        <v> </v>
      </c>
      <c r="AD17" s="30" t="str">
        <f aca="false">IF((E17="n"),H17," ")</f>
        <v> </v>
      </c>
      <c r="AE17" s="17" t="str">
        <f aca="false">IF((E17="f"),H17," ")</f>
        <v> </v>
      </c>
      <c r="AF17" s="17" t="str">
        <f aca="false">IF((E17="l"),H17," ")</f>
        <v> </v>
      </c>
      <c r="AG17" s="17" t="str">
        <f aca="false">IF((E17="y"),H17," ")</f>
        <v> </v>
      </c>
      <c r="AH17" s="17" t="str">
        <f aca="false">IF((E17="z"),H17," ")</f>
        <v> </v>
      </c>
      <c r="AI17" s="17" t="str">
        <f aca="false">IF((E17="fa"),H17," ")</f>
        <v> </v>
      </c>
      <c r="AJ17" s="17" t="str">
        <f aca="false">IF((E17="e"),H17," ")</f>
        <v> </v>
      </c>
      <c r="BZ17" s="2" t="s">
        <v>158</v>
      </c>
    </row>
    <row r="18" customFormat="false" ht="12" hidden="false" customHeight="false" outlineLevel="0" collapsed="false">
      <c r="A18" s="28" t="n">
        <v>46609</v>
      </c>
      <c r="B18" s="2" t="s">
        <v>114</v>
      </c>
      <c r="D18" s="2" t="s">
        <v>115</v>
      </c>
      <c r="E18" s="2" t="s">
        <v>100</v>
      </c>
      <c r="F18" s="30" t="n">
        <v>36</v>
      </c>
      <c r="G18" s="6" t="n">
        <f aca="false">IF(F18&lt;&gt;0,F18*G$2/(100+G$2)," ")</f>
        <v>6</v>
      </c>
      <c r="H18" s="6" t="n">
        <f aca="false">IF((F18&lt;&gt;0),F18-G18," ")</f>
        <v>30</v>
      </c>
      <c r="I18" s="5"/>
      <c r="L18" s="7" t="n">
        <f aca="false">IF(F18&lt;&gt;0,F18-K18," ")</f>
        <v>36</v>
      </c>
      <c r="M18" s="8" t="n">
        <f aca="false">IF((F18-K18)&lt;&gt;0,M$1-A18," ")</f>
        <v>-331</v>
      </c>
      <c r="N18" s="5"/>
      <c r="O18" s="17" t="str">
        <f aca="false">IF((E18="s"),H18," ")</f>
        <v> </v>
      </c>
      <c r="P18" s="17" t="str">
        <f aca="false">IF((E18="c"),H18," ")</f>
        <v> </v>
      </c>
      <c r="Q18" s="17" t="str">
        <f aca="false">IF((E18="o"),H18," ")</f>
        <v> </v>
      </c>
      <c r="R18" s="17" t="str">
        <f aca="false">IF((E18="d"),H18," ")</f>
        <v> </v>
      </c>
      <c r="S18" s="17" t="str">
        <f aca="false">IF((E18="w"),H18," ")</f>
        <v> </v>
      </c>
      <c r="T18" s="17" t="str">
        <f aca="false">IF((E18="r"),H18," ")</f>
        <v> </v>
      </c>
      <c r="U18" s="17" t="str">
        <f aca="false">IF((E18="p"),H18," ")</f>
        <v> </v>
      </c>
      <c r="V18" s="17" t="str">
        <f aca="false">IF((E18="t"),H18," ")</f>
        <v> </v>
      </c>
      <c r="W18" s="17" t="str">
        <f aca="false">IF((E18="q"),H18," ")</f>
        <v> </v>
      </c>
      <c r="X18" s="17" t="str">
        <f aca="false">IF((E18="m"),H18," ")</f>
        <v> </v>
      </c>
      <c r="Y18" s="17" t="n">
        <f aca="false">IF((E18="u"),H18," ")</f>
        <v>30</v>
      </c>
      <c r="Z18" s="17" t="str">
        <f aca="false">IF((E18="a"),H18," ")</f>
        <v> </v>
      </c>
      <c r="AA18" s="17" t="str">
        <f aca="false">IF((E18="g"),H18," ")</f>
        <v> </v>
      </c>
      <c r="AB18" s="17" t="str">
        <f aca="false">IF((E18="h"),H18," ")</f>
        <v> </v>
      </c>
      <c r="AC18" s="30" t="str">
        <f aca="false">IF((E18="v"),H18," ")</f>
        <v> </v>
      </c>
      <c r="AD18" s="30" t="str">
        <f aca="false">IF((E18="n"),H18," ")</f>
        <v> </v>
      </c>
      <c r="AE18" s="17" t="str">
        <f aca="false">IF((E18="f"),H18," ")</f>
        <v> </v>
      </c>
      <c r="AF18" s="17" t="str">
        <f aca="false">IF((E18="l"),H18," ")</f>
        <v> </v>
      </c>
      <c r="AG18" s="17" t="str">
        <f aca="false">IF((E18="y"),H18," ")</f>
        <v> </v>
      </c>
      <c r="AH18" s="17" t="str">
        <f aca="false">IF((E18="z"),H18," ")</f>
        <v> </v>
      </c>
      <c r="AI18" s="17" t="str">
        <f aca="false">IF((E18="fa"),H18," ")</f>
        <v> </v>
      </c>
      <c r="AJ18" s="17" t="str">
        <f aca="false">IF((E18="e"),H18," ")</f>
        <v> </v>
      </c>
      <c r="BZ18" s="2" t="s">
        <v>101</v>
      </c>
    </row>
    <row r="19" customFormat="false" ht="12" hidden="false" customHeight="false" outlineLevel="0" collapsed="false">
      <c r="A19" s="28" t="n">
        <v>46609</v>
      </c>
      <c r="B19" s="2" t="s">
        <v>116</v>
      </c>
      <c r="D19" s="2" t="s">
        <v>117</v>
      </c>
      <c r="E19" s="2" t="s">
        <v>118</v>
      </c>
      <c r="F19" s="30" t="n">
        <v>180</v>
      </c>
      <c r="G19" s="6" t="n">
        <f aca="false">IF(F19&lt;&gt;0,F19*G$2/(100+G$2)," ")</f>
        <v>30</v>
      </c>
      <c r="H19" s="6" t="n">
        <f aca="false">IF((F19&lt;&gt;0),F19-G19," ")</f>
        <v>150</v>
      </c>
      <c r="I19" s="5"/>
      <c r="L19" s="7" t="n">
        <f aca="false">IF(F19&lt;&gt;0,F19-K19," ")</f>
        <v>180</v>
      </c>
      <c r="M19" s="8" t="n">
        <f aca="false">IF((F19-K19)&lt;&gt;0,M$1-A19," ")</f>
        <v>-331</v>
      </c>
      <c r="N19" s="5"/>
      <c r="O19" s="17" t="str">
        <f aca="false">IF((E19="s"),H19," ")</f>
        <v> </v>
      </c>
      <c r="P19" s="17" t="str">
        <f aca="false">IF((E19="c"),H19," ")</f>
        <v> </v>
      </c>
      <c r="Q19" s="17" t="str">
        <f aca="false">IF((E19="o"),H19," ")</f>
        <v> </v>
      </c>
      <c r="R19" s="17" t="str">
        <f aca="false">IF((E19="d"),H19," ")</f>
        <v> </v>
      </c>
      <c r="S19" s="17" t="str">
        <f aca="false">IF((E19="w"),H19," ")</f>
        <v> </v>
      </c>
      <c r="T19" s="17" t="str">
        <f aca="false">IF((E19="r"),H19," ")</f>
        <v> </v>
      </c>
      <c r="U19" s="17" t="str">
        <f aca="false">IF((E19="p"),H19," ")</f>
        <v> </v>
      </c>
      <c r="V19" s="17" t="str">
        <f aca="false">IF((E19="t"),H19," ")</f>
        <v> </v>
      </c>
      <c r="W19" s="17" t="str">
        <f aca="false">IF((E19="q"),H19," ")</f>
        <v> </v>
      </c>
      <c r="X19" s="17" t="str">
        <f aca="false">IF((E19="m"),H19," ")</f>
        <v> </v>
      </c>
      <c r="Y19" s="17" t="str">
        <f aca="false">IF((E19="u"),H19," ")</f>
        <v> </v>
      </c>
      <c r="Z19" s="17" t="str">
        <f aca="false">IF((E19="a"),H19," ")</f>
        <v> </v>
      </c>
      <c r="AA19" s="17" t="str">
        <f aca="false">IF((E19="g"),H19," ")</f>
        <v> </v>
      </c>
      <c r="AB19" s="17" t="str">
        <f aca="false">IF((E19="h"),H19," ")</f>
        <v> </v>
      </c>
      <c r="AC19" s="30" t="str">
        <f aca="false">IF((E19="v"),H19," ")</f>
        <v> </v>
      </c>
      <c r="AD19" s="30" t="str">
        <f aca="false">IF((E19="n"),H19," ")</f>
        <v> </v>
      </c>
      <c r="AE19" s="17" t="n">
        <f aca="false">IF((E19="f"),H19," ")</f>
        <v>150</v>
      </c>
      <c r="AF19" s="17" t="str">
        <f aca="false">IF((E19="l"),H19," ")</f>
        <v> </v>
      </c>
      <c r="AG19" s="17" t="str">
        <f aca="false">IF((E19="y"),H19," ")</f>
        <v> </v>
      </c>
      <c r="AH19" s="17" t="str">
        <f aca="false">IF((E19="z"),H19," ")</f>
        <v> </v>
      </c>
      <c r="AI19" s="17" t="str">
        <f aca="false">IF((E19="fa"),H19," ")</f>
        <v> </v>
      </c>
      <c r="AJ19" s="17" t="str">
        <f aca="false">IF((E19="e"),H19," ")</f>
        <v> </v>
      </c>
      <c r="BZ19" s="2" t="s">
        <v>119</v>
      </c>
    </row>
    <row r="20" customFormat="false" ht="12" hidden="false" customHeight="false" outlineLevel="0" collapsed="false">
      <c r="A20" s="28" t="n">
        <v>46609</v>
      </c>
      <c r="B20" s="2" t="s">
        <v>120</v>
      </c>
      <c r="D20" s="2" t="s">
        <v>121</v>
      </c>
      <c r="E20" s="2" t="s">
        <v>122</v>
      </c>
      <c r="F20" s="30" t="n">
        <v>600</v>
      </c>
      <c r="G20" s="6" t="n">
        <f aca="false">IF(F20&lt;&gt;0,F20*G$2/(100+G$2)," ")</f>
        <v>100</v>
      </c>
      <c r="H20" s="6" t="n">
        <f aca="false">IF((F20&lt;&gt;0),F20-G20," ")</f>
        <v>500</v>
      </c>
      <c r="I20" s="5"/>
      <c r="L20" s="7" t="n">
        <f aca="false">IF(F20&lt;&gt;0,F20-K20," ")</f>
        <v>600</v>
      </c>
      <c r="M20" s="8" t="n">
        <f aca="false">IF((F20-K20)&lt;&gt;0,M$1-A20," ")</f>
        <v>-331</v>
      </c>
      <c r="N20" s="5"/>
      <c r="O20" s="17" t="n">
        <f aca="false">IF((E20="s"),H20," ")</f>
        <v>500</v>
      </c>
      <c r="P20" s="17" t="str">
        <f aca="false">IF((E20="c"),H20," ")</f>
        <v> </v>
      </c>
      <c r="Q20" s="17" t="str">
        <f aca="false">IF((E20="o"),H20," ")</f>
        <v> </v>
      </c>
      <c r="R20" s="17" t="str">
        <f aca="false">IF((E20="d"),H20," ")</f>
        <v> </v>
      </c>
      <c r="S20" s="17" t="str">
        <f aca="false">IF((E20="w"),H20," ")</f>
        <v> </v>
      </c>
      <c r="T20" s="17" t="str">
        <f aca="false">IF((E20="r"),H20," ")</f>
        <v> </v>
      </c>
      <c r="U20" s="17" t="str">
        <f aca="false">IF((E20="p"),H20," ")</f>
        <v> </v>
      </c>
      <c r="V20" s="17" t="str">
        <f aca="false">IF((E20="t"),H20," ")</f>
        <v> </v>
      </c>
      <c r="W20" s="17" t="str">
        <f aca="false">IF((E20="q"),H20," ")</f>
        <v> </v>
      </c>
      <c r="X20" s="17" t="str">
        <f aca="false">IF((E20="m"),H20," ")</f>
        <v> </v>
      </c>
      <c r="Y20" s="17" t="str">
        <f aca="false">IF((E20="u"),H20," ")</f>
        <v> </v>
      </c>
      <c r="Z20" s="17" t="str">
        <f aca="false">IF((E20="a"),H20," ")</f>
        <v> </v>
      </c>
      <c r="AA20" s="17" t="str">
        <f aca="false">IF((E20="g"),H20," ")</f>
        <v> </v>
      </c>
      <c r="AB20" s="17" t="str">
        <f aca="false">IF((E20="h"),H20," ")</f>
        <v> </v>
      </c>
      <c r="AC20" s="30" t="str">
        <f aca="false">IF((E20="v"),H20," ")</f>
        <v> </v>
      </c>
      <c r="AD20" s="30" t="str">
        <f aca="false">IF((E20="n"),H20," ")</f>
        <v> </v>
      </c>
      <c r="AE20" s="17" t="str">
        <f aca="false">IF((E20="f"),H20," ")</f>
        <v> </v>
      </c>
      <c r="AF20" s="17" t="str">
        <f aca="false">IF((E20="l"),H20," ")</f>
        <v> </v>
      </c>
      <c r="AG20" s="17" t="str">
        <f aca="false">IF((E20="y"),H20," ")</f>
        <v> </v>
      </c>
      <c r="AH20" s="17" t="str">
        <f aca="false">IF((E20="z"),H20," ")</f>
        <v> </v>
      </c>
      <c r="AI20" s="17" t="str">
        <f aca="false">IF((E20="fa"),H20," ")</f>
        <v> </v>
      </c>
      <c r="AJ20" s="17" t="str">
        <f aca="false">IF((E20="e"),H20," ")</f>
        <v> </v>
      </c>
      <c r="BZ20" s="2" t="s">
        <v>123</v>
      </c>
    </row>
    <row r="21" customFormat="false" ht="12" hidden="false" customHeight="false" outlineLevel="0" collapsed="false">
      <c r="A21" s="28" t="n">
        <v>46611</v>
      </c>
      <c r="B21" s="2" t="s">
        <v>124</v>
      </c>
      <c r="D21" s="2" t="s">
        <v>125</v>
      </c>
      <c r="E21" s="2" t="s">
        <v>106</v>
      </c>
      <c r="F21" s="30" t="n">
        <v>18</v>
      </c>
      <c r="G21" s="6" t="n">
        <f aca="false">IF(F21&lt;&gt;0,F21*G$2/(100+G$2)," ")</f>
        <v>3</v>
      </c>
      <c r="H21" s="6" t="n">
        <f aca="false">IF((F21&lt;&gt;0),F21-G21," ")</f>
        <v>15</v>
      </c>
      <c r="I21" s="5"/>
      <c r="L21" s="7" t="n">
        <f aca="false">IF(F21&lt;&gt;0,F21-K21," ")</f>
        <v>18</v>
      </c>
      <c r="M21" s="8" t="n">
        <f aca="false">IF((F21-K21)&lt;&gt;0,M$1-A21," ")</f>
        <v>-333</v>
      </c>
      <c r="N21" s="5"/>
      <c r="O21" s="17" t="str">
        <f aca="false">IF((E21="s"),H21," ")</f>
        <v> </v>
      </c>
      <c r="P21" s="17" t="str">
        <f aca="false">IF((E21="c"),H21," ")</f>
        <v> </v>
      </c>
      <c r="Q21" s="17" t="str">
        <f aca="false">IF((E21="o"),H21," ")</f>
        <v> </v>
      </c>
      <c r="R21" s="17" t="str">
        <f aca="false">IF((E21="d"),H21," ")</f>
        <v> </v>
      </c>
      <c r="S21" s="17" t="str">
        <f aca="false">IF((E21="w"),H21," ")</f>
        <v> </v>
      </c>
      <c r="T21" s="17" t="str">
        <f aca="false">IF((E21="r"),H21," ")</f>
        <v> </v>
      </c>
      <c r="U21" s="17" t="str">
        <f aca="false">IF((E21="p"),H21," ")</f>
        <v> </v>
      </c>
      <c r="V21" s="17" t="str">
        <f aca="false">IF((E21="t"),H21," ")</f>
        <v> </v>
      </c>
      <c r="W21" s="17" t="str">
        <f aca="false">IF((E21="q"),H21," ")</f>
        <v> </v>
      </c>
      <c r="X21" s="17" t="str">
        <f aca="false">IF((E21="m"),H21," ")</f>
        <v> </v>
      </c>
      <c r="Y21" s="17" t="str">
        <f aca="false">IF((E21="u"),H21," ")</f>
        <v> </v>
      </c>
      <c r="Z21" s="17" t="str">
        <f aca="false">IF((E21="a"),H21," ")</f>
        <v> </v>
      </c>
      <c r="AA21" s="17" t="str">
        <f aca="false">IF((E21="g"),H21," ")</f>
        <v> </v>
      </c>
      <c r="AB21" s="17" t="str">
        <f aca="false">IF((E21="h"),H21," ")</f>
        <v> </v>
      </c>
      <c r="AC21" s="30" t="n">
        <f aca="false">IF((E21="v"),H21," ")</f>
        <v>15</v>
      </c>
      <c r="AD21" s="30" t="str">
        <f aca="false">IF((E21="n"),H21," ")</f>
        <v> </v>
      </c>
      <c r="AE21" s="17" t="str">
        <f aca="false">IF((E21="f"),H21," ")</f>
        <v> </v>
      </c>
      <c r="AF21" s="17" t="str">
        <f aca="false">IF((E21="l"),H21," ")</f>
        <v> </v>
      </c>
      <c r="AG21" s="17" t="str">
        <f aca="false">IF((E21="y"),H21," ")</f>
        <v> </v>
      </c>
      <c r="AH21" s="17" t="str">
        <f aca="false">IF((E21="z"),H21," ")</f>
        <v> </v>
      </c>
      <c r="AI21" s="17" t="str">
        <f aca="false">IF((E21="fa"),H21," ")</f>
        <v> </v>
      </c>
      <c r="AJ21" s="17" t="str">
        <f aca="false">IF((E21="e"),H21," ")</f>
        <v> </v>
      </c>
      <c r="BZ21" s="2" t="s">
        <v>107</v>
      </c>
    </row>
    <row r="22" customFormat="false" ht="12" hidden="false" customHeight="false" outlineLevel="0" collapsed="false">
      <c r="A22" s="28" t="n">
        <v>46613</v>
      </c>
      <c r="B22" s="2" t="s">
        <v>128</v>
      </c>
      <c r="D22" s="2" t="s">
        <v>129</v>
      </c>
      <c r="E22" s="2" t="s">
        <v>112</v>
      </c>
      <c r="F22" s="30" t="n">
        <v>24</v>
      </c>
      <c r="G22" s="6" t="n">
        <f aca="false">IF(F22&lt;&gt;0,F22*G$2/(100+G$2)," ")</f>
        <v>4</v>
      </c>
      <c r="H22" s="6" t="n">
        <f aca="false">IF((F22&lt;&gt;0),F22-G22," ")</f>
        <v>20</v>
      </c>
      <c r="I22" s="5"/>
      <c r="L22" s="7" t="n">
        <f aca="false">IF(F22&lt;&gt;0,F22-K22," ")</f>
        <v>24</v>
      </c>
      <c r="M22" s="8" t="n">
        <f aca="false">IF((F22-K22)&lt;&gt;0,M$1-A22," ")</f>
        <v>-335</v>
      </c>
      <c r="N22" s="5"/>
      <c r="O22" s="17" t="str">
        <f aca="false">IF((E22="s"),H22," ")</f>
        <v> </v>
      </c>
      <c r="P22" s="17" t="str">
        <f aca="false">IF((E22="c"),H22," ")</f>
        <v> </v>
      </c>
      <c r="Q22" s="17" t="str">
        <f aca="false">IF((E22="o"),H22," ")</f>
        <v> </v>
      </c>
      <c r="R22" s="17" t="str">
        <f aca="false">IF((E22="d"),H22," ")</f>
        <v> </v>
      </c>
      <c r="S22" s="17" t="str">
        <f aca="false">IF((E22="w"),H22," ")</f>
        <v> </v>
      </c>
      <c r="T22" s="17" t="str">
        <f aca="false">IF((E22="r"),H22," ")</f>
        <v> </v>
      </c>
      <c r="U22" s="17" t="str">
        <f aca="false">IF((E22="p"),H22," ")</f>
        <v> </v>
      </c>
      <c r="V22" s="17" t="str">
        <f aca="false">IF((E22="t"),H22," ")</f>
        <v> </v>
      </c>
      <c r="W22" s="17" t="str">
        <f aca="false">IF((E22="q"),H22," ")</f>
        <v> </v>
      </c>
      <c r="X22" s="17" t="str">
        <f aca="false">IF((E22="m"),H22," ")</f>
        <v> </v>
      </c>
      <c r="Y22" s="17" t="str">
        <f aca="false">IF((E22="u"),H22," ")</f>
        <v> </v>
      </c>
      <c r="Z22" s="17" t="str">
        <f aca="false">IF((E22="a"),H22," ")</f>
        <v> </v>
      </c>
      <c r="AA22" s="17" t="str">
        <f aca="false">IF((E22="g"),H22," ")</f>
        <v> </v>
      </c>
      <c r="AB22" s="17" t="n">
        <f aca="false">IF((E22="h"),H22," ")</f>
        <v>20</v>
      </c>
      <c r="AC22" s="30" t="str">
        <f aca="false">IF((E22="v"),H22," ")</f>
        <v> </v>
      </c>
      <c r="AD22" s="30" t="str">
        <f aca="false">IF((E22="n"),H22," ")</f>
        <v> </v>
      </c>
      <c r="AE22" s="17" t="str">
        <f aca="false">IF((E22="f"),H22," ")</f>
        <v> </v>
      </c>
      <c r="AF22" s="17" t="str">
        <f aca="false">IF((E22="l"),H22," ")</f>
        <v> </v>
      </c>
      <c r="AG22" s="17" t="str">
        <f aca="false">IF((E22="y"),H22," ")</f>
        <v> </v>
      </c>
      <c r="AH22" s="17" t="str">
        <f aca="false">IF((E22="z"),H22," ")</f>
        <v> </v>
      </c>
      <c r="AI22" s="17" t="str">
        <f aca="false">IF((E22="fa"),H22," ")</f>
        <v> </v>
      </c>
      <c r="AJ22" s="17" t="str">
        <f aca="false">IF((E22="e"),H22," ")</f>
        <v> </v>
      </c>
      <c r="BZ22" s="2" t="s">
        <v>113</v>
      </c>
    </row>
    <row r="23" customFormat="false" ht="12" hidden="false" customHeight="false" outlineLevel="0" collapsed="false">
      <c r="A23" s="28" t="n">
        <v>46613</v>
      </c>
      <c r="B23" s="2" t="s">
        <v>130</v>
      </c>
      <c r="D23" s="2" t="s">
        <v>131</v>
      </c>
      <c r="E23" s="2" t="s">
        <v>112</v>
      </c>
      <c r="F23" s="30" t="n">
        <v>12</v>
      </c>
      <c r="G23" s="6" t="n">
        <f aca="false">IF(F23&lt;&gt;0,F23*G$2/(100+G$2)," ")</f>
        <v>2</v>
      </c>
      <c r="H23" s="6" t="n">
        <f aca="false">IF((F23&lt;&gt;0),F23-G23," ")</f>
        <v>10</v>
      </c>
      <c r="I23" s="5"/>
      <c r="L23" s="7" t="n">
        <f aca="false">IF(F23&lt;&gt;0,F23-K23," ")</f>
        <v>12</v>
      </c>
      <c r="M23" s="8" t="n">
        <f aca="false">IF((F23-K23)&lt;&gt;0,M$1-A23," ")</f>
        <v>-335</v>
      </c>
      <c r="N23" s="5"/>
      <c r="O23" s="17" t="str">
        <f aca="false">IF((E23="s"),H23," ")</f>
        <v> </v>
      </c>
      <c r="P23" s="17" t="str">
        <f aca="false">IF((E23="c"),H23," ")</f>
        <v> </v>
      </c>
      <c r="Q23" s="17" t="str">
        <f aca="false">IF((E23="o"),H23," ")</f>
        <v> </v>
      </c>
      <c r="R23" s="17" t="str">
        <f aca="false">IF((E23="d"),H23," ")</f>
        <v> </v>
      </c>
      <c r="S23" s="17" t="str">
        <f aca="false">IF((E23="w"),H23," ")</f>
        <v> </v>
      </c>
      <c r="T23" s="17" t="str">
        <f aca="false">IF((E23="r"),H23," ")</f>
        <v> </v>
      </c>
      <c r="U23" s="17" t="str">
        <f aca="false">IF((E23="p"),H23," ")</f>
        <v> </v>
      </c>
      <c r="V23" s="17" t="str">
        <f aca="false">IF((E23="t"),H23," ")</f>
        <v> </v>
      </c>
      <c r="W23" s="17" t="str">
        <f aca="false">IF((E23="q"),H23," ")</f>
        <v> </v>
      </c>
      <c r="X23" s="17" t="str">
        <f aca="false">IF((E23="m"),H23," ")</f>
        <v> </v>
      </c>
      <c r="Y23" s="17" t="str">
        <f aca="false">IF((E23="u"),H23," ")</f>
        <v> </v>
      </c>
      <c r="Z23" s="17" t="str">
        <f aca="false">IF((E23="a"),H23," ")</f>
        <v> </v>
      </c>
      <c r="AA23" s="17" t="str">
        <f aca="false">IF((E23="g"),H23," ")</f>
        <v> </v>
      </c>
      <c r="AB23" s="17" t="n">
        <f aca="false">IF((E23="h"),H23," ")</f>
        <v>10</v>
      </c>
      <c r="AC23" s="30" t="str">
        <f aca="false">IF((E23="v"),H23," ")</f>
        <v> </v>
      </c>
      <c r="AD23" s="30" t="str">
        <f aca="false">IF((E23="n"),H23," ")</f>
        <v> </v>
      </c>
      <c r="AE23" s="17" t="str">
        <f aca="false">IF((E23="f"),H23," ")</f>
        <v> </v>
      </c>
      <c r="AF23" s="17" t="str">
        <f aca="false">IF((E23="l"),H23," ")</f>
        <v> </v>
      </c>
      <c r="AG23" s="17" t="str">
        <f aca="false">IF((E23="y"),H23," ")</f>
        <v> </v>
      </c>
      <c r="AH23" s="17" t="str">
        <f aca="false">IF((E23="z"),H23," ")</f>
        <v> </v>
      </c>
      <c r="AI23" s="17" t="str">
        <f aca="false">IF((E23="fa"),H23," ")</f>
        <v> </v>
      </c>
      <c r="AJ23" s="17" t="str">
        <f aca="false">IF((E23="e"),H23," ")</f>
        <v> </v>
      </c>
      <c r="BZ23" s="2" t="s">
        <v>113</v>
      </c>
    </row>
    <row r="24" customFormat="false" ht="12" hidden="false" customHeight="false" outlineLevel="0" collapsed="false">
      <c r="A24" s="28" t="n">
        <v>46614</v>
      </c>
      <c r="B24" s="2" t="s">
        <v>20</v>
      </c>
      <c r="D24" s="2" t="s">
        <v>105</v>
      </c>
      <c r="E24" s="2" t="s">
        <v>106</v>
      </c>
      <c r="F24" s="30" t="n">
        <v>150</v>
      </c>
      <c r="G24" s="6" t="n">
        <f aca="false">IF(F24&lt;&gt;0,F24*G$2/(100+G$2)," ")</f>
        <v>25</v>
      </c>
      <c r="H24" s="6" t="n">
        <f aca="false">IF((F24&lt;&gt;0),F24-G24," ")</f>
        <v>125</v>
      </c>
      <c r="I24" s="5"/>
      <c r="L24" s="7" t="n">
        <f aca="false">IF(F24&lt;&gt;0,F24-K24," ")</f>
        <v>150</v>
      </c>
      <c r="M24" s="8" t="n">
        <f aca="false">IF((F24-K24)&lt;&gt;0,M$1-A24," ")</f>
        <v>-336</v>
      </c>
      <c r="N24" s="5"/>
      <c r="O24" s="17" t="str">
        <f aca="false">IF((E24="s"),H24," ")</f>
        <v> </v>
      </c>
      <c r="P24" s="17" t="str">
        <f aca="false">IF((E24="c"),H24," ")</f>
        <v> </v>
      </c>
      <c r="Q24" s="17" t="str">
        <f aca="false">IF((E24="o"),H24," ")</f>
        <v> </v>
      </c>
      <c r="R24" s="17" t="str">
        <f aca="false">IF((E24="d"),H24," ")</f>
        <v> </v>
      </c>
      <c r="S24" s="17" t="str">
        <f aca="false">IF((E24="w"),H24," ")</f>
        <v> </v>
      </c>
      <c r="T24" s="17" t="str">
        <f aca="false">IF((E24="r"),H24," ")</f>
        <v> </v>
      </c>
      <c r="U24" s="17" t="str">
        <f aca="false">IF((E24="p"),H24," ")</f>
        <v> </v>
      </c>
      <c r="V24" s="17" t="str">
        <f aca="false">IF((E24="t"),H24," ")</f>
        <v> </v>
      </c>
      <c r="W24" s="17" t="str">
        <f aca="false">IF((E24="q"),H24," ")</f>
        <v> </v>
      </c>
      <c r="X24" s="17" t="str">
        <f aca="false">IF((E24="m"),H24," ")</f>
        <v> </v>
      </c>
      <c r="Y24" s="17" t="str">
        <f aca="false">IF((E24="u"),H24," ")</f>
        <v> </v>
      </c>
      <c r="Z24" s="17" t="str">
        <f aca="false">IF((E24="a"),H24," ")</f>
        <v> </v>
      </c>
      <c r="AA24" s="17" t="str">
        <f aca="false">IF((E24="g"),H24," ")</f>
        <v> </v>
      </c>
      <c r="AB24" s="17" t="str">
        <f aca="false">IF((E24="h"),H24," ")</f>
        <v> </v>
      </c>
      <c r="AC24" s="30" t="n">
        <f aca="false">IF((E24="v"),H24," ")</f>
        <v>125</v>
      </c>
      <c r="AD24" s="30" t="str">
        <f aca="false">IF((E24="n"),H24," ")</f>
        <v> </v>
      </c>
      <c r="AE24" s="17" t="str">
        <f aca="false">IF((E24="f"),H24," ")</f>
        <v> </v>
      </c>
      <c r="AF24" s="17" t="str">
        <f aca="false">IF((E24="l"),H24," ")</f>
        <v> </v>
      </c>
      <c r="AG24" s="17" t="str">
        <f aca="false">IF((E24="y"),H24," ")</f>
        <v> </v>
      </c>
      <c r="AH24" s="17" t="str">
        <f aca="false">IF((E24="z"),H24," ")</f>
        <v> </v>
      </c>
      <c r="AI24" s="17" t="str">
        <f aca="false">IF((E24="fa"),H24," ")</f>
        <v> </v>
      </c>
      <c r="AJ24" s="17" t="str">
        <f aca="false">IF((E24="e"),H24," ")</f>
        <v> </v>
      </c>
      <c r="BZ24" s="2" t="s">
        <v>107</v>
      </c>
    </row>
    <row r="25" customFormat="false" ht="12" hidden="false" customHeight="false" outlineLevel="0" collapsed="false">
      <c r="A25" s="28" t="n">
        <v>46614</v>
      </c>
      <c r="B25" s="2" t="s">
        <v>132</v>
      </c>
      <c r="D25" s="2" t="s">
        <v>133</v>
      </c>
      <c r="E25" s="2" t="s">
        <v>80</v>
      </c>
      <c r="F25" s="30" t="n">
        <v>12</v>
      </c>
      <c r="G25" s="6" t="n">
        <f aca="false">IF(F25&lt;&gt;0,F25*G$2/(100+G$2)," ")</f>
        <v>2</v>
      </c>
      <c r="H25" s="6" t="n">
        <f aca="false">IF((F25&lt;&gt;0),F25-G25," ")</f>
        <v>10</v>
      </c>
      <c r="I25" s="5"/>
      <c r="L25" s="7" t="n">
        <f aca="false">IF(F25&lt;&gt;0,F25-K25," ")</f>
        <v>12</v>
      </c>
      <c r="M25" s="8" t="n">
        <f aca="false">IF((F25-K25)&lt;&gt;0,M$1-A25," ")</f>
        <v>-336</v>
      </c>
      <c r="N25" s="5"/>
      <c r="O25" s="17" t="str">
        <f aca="false">IF((E25="s"),H25," ")</f>
        <v> </v>
      </c>
      <c r="P25" s="17" t="str">
        <f aca="false">IF((E25="c"),H25," ")</f>
        <v> </v>
      </c>
      <c r="Q25" s="17" t="str">
        <f aca="false">IF((E25="o"),H25," ")</f>
        <v> </v>
      </c>
      <c r="R25" s="17" t="str">
        <f aca="false">IF((E25="d"),H25," ")</f>
        <v> </v>
      </c>
      <c r="S25" s="17" t="str">
        <f aca="false">IF((E25="w"),H25," ")</f>
        <v> </v>
      </c>
      <c r="T25" s="17" t="str">
        <f aca="false">IF((E25="r"),H25," ")</f>
        <v> </v>
      </c>
      <c r="U25" s="17" t="str">
        <f aca="false">IF((E25="p"),H25," ")</f>
        <v> </v>
      </c>
      <c r="V25" s="17" t="str">
        <f aca="false">IF((E25="t"),H25," ")</f>
        <v> </v>
      </c>
      <c r="W25" s="17" t="str">
        <f aca="false">IF((E25="q"),H25," ")</f>
        <v> </v>
      </c>
      <c r="X25" s="17" t="str">
        <f aca="false">IF((E25="m"),H25," ")</f>
        <v> </v>
      </c>
      <c r="Y25" s="17" t="str">
        <f aca="false">IF((E25="u"),H25," ")</f>
        <v> </v>
      </c>
      <c r="Z25" s="17" t="str">
        <f aca="false">IF((E25="a"),H25," ")</f>
        <v> </v>
      </c>
      <c r="AA25" s="17" t="n">
        <f aca="false">IF((E25="g"),H25," ")</f>
        <v>10</v>
      </c>
      <c r="AB25" s="17" t="str">
        <f aca="false">IF((E25="h"),H25," ")</f>
        <v> </v>
      </c>
      <c r="AC25" s="30" t="str">
        <f aca="false">IF((E25="v"),H25," ")</f>
        <v> </v>
      </c>
      <c r="AD25" s="30" t="str">
        <f aca="false">IF((E25="n"),H25," ")</f>
        <v> </v>
      </c>
      <c r="AE25" s="17" t="str">
        <f aca="false">IF((E25="f"),H25," ")</f>
        <v> </v>
      </c>
      <c r="AF25" s="17" t="str">
        <f aca="false">IF((E25="l"),H25," ")</f>
        <v> </v>
      </c>
      <c r="AG25" s="17" t="str">
        <f aca="false">IF((E25="y"),H25," ")</f>
        <v> </v>
      </c>
      <c r="AH25" s="17" t="str">
        <f aca="false">IF((E25="z"),H25," ")</f>
        <v> </v>
      </c>
      <c r="AI25" s="17" t="str">
        <f aca="false">IF((E25="fa"),H25," ")</f>
        <v> </v>
      </c>
      <c r="AJ25" s="17" t="str">
        <f aca="false">IF((E25="e"),H25," ")</f>
        <v> </v>
      </c>
      <c r="BZ25" s="2" t="s">
        <v>81</v>
      </c>
    </row>
    <row r="26" customFormat="false" ht="12" hidden="false" customHeight="false" outlineLevel="0" collapsed="false">
      <c r="A26" s="28" t="n">
        <v>46615</v>
      </c>
      <c r="B26" s="2" t="s">
        <v>170</v>
      </c>
      <c r="D26" s="2" t="s">
        <v>171</v>
      </c>
      <c r="E26" s="2" t="s">
        <v>80</v>
      </c>
      <c r="F26" s="30" t="n">
        <v>18</v>
      </c>
      <c r="G26" s="6" t="n">
        <f aca="false">IF(F26&lt;&gt;0,F26*G$2/(100+G$2)," ")</f>
        <v>3</v>
      </c>
      <c r="H26" s="6" t="n">
        <f aca="false">IF((F26&lt;&gt;0),F26-G26," ")</f>
        <v>15</v>
      </c>
      <c r="I26" s="5"/>
      <c r="L26" s="7" t="n">
        <f aca="false">IF(F26&lt;&gt;0,F26-K26," ")</f>
        <v>18</v>
      </c>
      <c r="M26" s="8" t="n">
        <f aca="false">IF((F26-K26)&lt;&gt;0,M$1-A26," ")</f>
        <v>-337</v>
      </c>
      <c r="N26" s="5"/>
      <c r="O26" s="17" t="str">
        <f aca="false">IF((E26="s"),H26," ")</f>
        <v> </v>
      </c>
      <c r="P26" s="17" t="str">
        <f aca="false">IF((E26="c"),H26," ")</f>
        <v> </v>
      </c>
      <c r="Q26" s="17" t="str">
        <f aca="false">IF((E26="o"),H26," ")</f>
        <v> </v>
      </c>
      <c r="R26" s="17" t="str">
        <f aca="false">IF((E26="d"),H26," ")</f>
        <v> </v>
      </c>
      <c r="S26" s="17" t="str">
        <f aca="false">IF((E26="w"),H26," ")</f>
        <v> </v>
      </c>
      <c r="T26" s="17" t="str">
        <f aca="false">IF((E26="r"),H26," ")</f>
        <v> </v>
      </c>
      <c r="U26" s="17" t="str">
        <f aca="false">IF((E26="p"),H26," ")</f>
        <v> </v>
      </c>
      <c r="V26" s="17" t="str">
        <f aca="false">IF((E26="t"),H26," ")</f>
        <v> </v>
      </c>
      <c r="W26" s="17" t="str">
        <f aca="false">IF((E26="q"),H26," ")</f>
        <v> </v>
      </c>
      <c r="X26" s="17" t="str">
        <f aca="false">IF((E26="m"),H26," ")</f>
        <v> </v>
      </c>
      <c r="Y26" s="17" t="str">
        <f aca="false">IF((E26="u"),H26," ")</f>
        <v> </v>
      </c>
      <c r="Z26" s="17" t="str">
        <f aca="false">IF((E26="a"),H26," ")</f>
        <v> </v>
      </c>
      <c r="AA26" s="17" t="n">
        <f aca="false">IF((E26="g"),H26," ")</f>
        <v>15</v>
      </c>
      <c r="AB26" s="17" t="str">
        <f aca="false">IF((E26="h"),H26," ")</f>
        <v> </v>
      </c>
      <c r="AC26" s="30" t="str">
        <f aca="false">IF((E26="v"),H26," ")</f>
        <v> </v>
      </c>
      <c r="AD26" s="30" t="str">
        <f aca="false">IF((E26="n"),H26," ")</f>
        <v> </v>
      </c>
      <c r="AE26" s="17" t="str">
        <f aca="false">IF((E26="f"),H26," ")</f>
        <v> </v>
      </c>
      <c r="AF26" s="17" t="str">
        <f aca="false">IF((E26="l"),H26," ")</f>
        <v> </v>
      </c>
      <c r="AG26" s="17" t="str">
        <f aca="false">IF((E26="y"),H26," ")</f>
        <v> </v>
      </c>
      <c r="AH26" s="17" t="str">
        <f aca="false">IF((E26="z"),H26," ")</f>
        <v> </v>
      </c>
      <c r="AI26" s="17" t="str">
        <f aca="false">IF((E26="fa"),H26," ")</f>
        <v> </v>
      </c>
      <c r="AJ26" s="17" t="str">
        <f aca="false">IF((E26="e"),H26," ")</f>
        <v> </v>
      </c>
      <c r="BZ26" s="2" t="s">
        <v>81</v>
      </c>
    </row>
    <row r="27" customFormat="false" ht="12" hidden="false" customHeight="false" outlineLevel="0" collapsed="false">
      <c r="A27" s="28" t="n">
        <v>46617</v>
      </c>
      <c r="B27" s="2" t="s">
        <v>134</v>
      </c>
      <c r="D27" s="2" t="s">
        <v>105</v>
      </c>
      <c r="E27" s="2" t="s">
        <v>106</v>
      </c>
      <c r="F27" s="30" t="n">
        <v>96</v>
      </c>
      <c r="G27" s="6" t="n">
        <f aca="false">IF(F27&lt;&gt;0,F27*G$2/(100+G$2)," ")</f>
        <v>16</v>
      </c>
      <c r="H27" s="6" t="n">
        <f aca="false">IF((F27&lt;&gt;0),F27-G27," ")</f>
        <v>80</v>
      </c>
      <c r="I27" s="5"/>
      <c r="L27" s="7" t="n">
        <f aca="false">IF(F27&lt;&gt;0,F27-K27," ")</f>
        <v>96</v>
      </c>
      <c r="M27" s="8" t="n">
        <f aca="false">IF((F27-K27)&lt;&gt;0,M$1-A27," ")</f>
        <v>-339</v>
      </c>
      <c r="N27" s="5"/>
      <c r="O27" s="17" t="str">
        <f aca="false">IF((E27="s"),H27," ")</f>
        <v> </v>
      </c>
      <c r="P27" s="17" t="str">
        <f aca="false">IF((E27="c"),H27," ")</f>
        <v> </v>
      </c>
      <c r="Q27" s="17" t="str">
        <f aca="false">IF((E27="o"),H27," ")</f>
        <v> </v>
      </c>
      <c r="R27" s="17" t="str">
        <f aca="false">IF((E27="d"),H27," ")</f>
        <v> </v>
      </c>
      <c r="S27" s="17" t="str">
        <f aca="false">IF((E27="w"),H27," ")</f>
        <v> </v>
      </c>
      <c r="T27" s="17" t="str">
        <f aca="false">IF((E27="r"),H27," ")</f>
        <v> </v>
      </c>
      <c r="U27" s="17" t="str">
        <f aca="false">IF((E27="p"),H27," ")</f>
        <v> </v>
      </c>
      <c r="V27" s="17" t="str">
        <f aca="false">IF((E27="t"),H27," ")</f>
        <v> </v>
      </c>
      <c r="W27" s="17" t="str">
        <f aca="false">IF((E27="q"),H27," ")</f>
        <v> </v>
      </c>
      <c r="X27" s="17" t="str">
        <f aca="false">IF((E27="m"),H27," ")</f>
        <v> </v>
      </c>
      <c r="Y27" s="17" t="str">
        <f aca="false">IF((E27="u"),H27," ")</f>
        <v> </v>
      </c>
      <c r="Z27" s="17" t="str">
        <f aca="false">IF((E27="a"),H27," ")</f>
        <v> </v>
      </c>
      <c r="AA27" s="17" t="str">
        <f aca="false">IF((E27="g"),H27," ")</f>
        <v> </v>
      </c>
      <c r="AB27" s="17" t="str">
        <f aca="false">IF((E27="h"),H27," ")</f>
        <v> </v>
      </c>
      <c r="AC27" s="30" t="n">
        <f aca="false">IF((E27="v"),H27," ")</f>
        <v>80</v>
      </c>
      <c r="AD27" s="30" t="str">
        <f aca="false">IF((E27="n"),H27," ")</f>
        <v> </v>
      </c>
      <c r="AE27" s="17" t="str">
        <f aca="false">IF((E27="f"),H27," ")</f>
        <v> </v>
      </c>
      <c r="AF27" s="17" t="str">
        <f aca="false">IF((E27="l"),H27," ")</f>
        <v> </v>
      </c>
      <c r="AG27" s="17" t="str">
        <f aca="false">IF((E27="y"),H27," ")</f>
        <v> </v>
      </c>
      <c r="AH27" s="17" t="str">
        <f aca="false">IF((E27="z"),H27," ")</f>
        <v> </v>
      </c>
      <c r="AI27" s="17" t="str">
        <f aca="false">IF((E27="fa"),H27," ")</f>
        <v> </v>
      </c>
      <c r="AJ27" s="17" t="str">
        <f aca="false">IF((E27="e"),H27," ")</f>
        <v> </v>
      </c>
      <c r="BZ27" s="2" t="s">
        <v>107</v>
      </c>
    </row>
    <row r="28" customFormat="false" ht="12" hidden="false" customHeight="false" outlineLevel="0" collapsed="false">
      <c r="A28" s="28" t="n">
        <v>46619</v>
      </c>
      <c r="B28" s="2" t="s">
        <v>135</v>
      </c>
      <c r="D28" s="2" t="s">
        <v>136</v>
      </c>
      <c r="E28" s="2" t="s">
        <v>80</v>
      </c>
      <c r="F28" s="30" t="n">
        <v>60</v>
      </c>
      <c r="G28" s="6" t="n">
        <f aca="false">IF(F28&lt;&gt;0,F28*G$2/(100+G$2)," ")</f>
        <v>10</v>
      </c>
      <c r="H28" s="6" t="n">
        <f aca="false">IF((F28&lt;&gt;0),F28-G28," ")</f>
        <v>50</v>
      </c>
      <c r="I28" s="5"/>
      <c r="L28" s="7" t="n">
        <f aca="false">IF(F28&lt;&gt;0,F28-K28," ")</f>
        <v>60</v>
      </c>
      <c r="M28" s="8" t="n">
        <f aca="false">IF((F28-K28)&lt;&gt;0,M$1-A28," ")</f>
        <v>-341</v>
      </c>
      <c r="N28" s="5"/>
      <c r="O28" s="17" t="str">
        <f aca="false">IF((E28="s"),H28," ")</f>
        <v> </v>
      </c>
      <c r="P28" s="17" t="str">
        <f aca="false">IF((E28="c"),H28," ")</f>
        <v> </v>
      </c>
      <c r="Q28" s="17" t="str">
        <f aca="false">IF((E28="o"),H28," ")</f>
        <v> </v>
      </c>
      <c r="R28" s="17" t="str">
        <f aca="false">IF((E28="d"),H28," ")</f>
        <v> </v>
      </c>
      <c r="S28" s="17" t="str">
        <f aca="false">IF((E28="w"),H28," ")</f>
        <v> </v>
      </c>
      <c r="T28" s="17" t="str">
        <f aca="false">IF((E28="r"),H28," ")</f>
        <v> </v>
      </c>
      <c r="U28" s="17" t="str">
        <f aca="false">IF((E28="p"),H28," ")</f>
        <v> </v>
      </c>
      <c r="V28" s="17" t="str">
        <f aca="false">IF((E28="t"),H28," ")</f>
        <v> </v>
      </c>
      <c r="W28" s="17" t="str">
        <f aca="false">IF((E28="q"),H28," ")</f>
        <v> </v>
      </c>
      <c r="X28" s="17" t="str">
        <f aca="false">IF((E28="m"),H28," ")</f>
        <v> </v>
      </c>
      <c r="Y28" s="17" t="str">
        <f aca="false">IF((E28="u"),H28," ")</f>
        <v> </v>
      </c>
      <c r="Z28" s="17" t="str">
        <f aca="false">IF((E28="a"),H28," ")</f>
        <v> </v>
      </c>
      <c r="AA28" s="17" t="n">
        <f aca="false">IF((E28="g"),H28," ")</f>
        <v>50</v>
      </c>
      <c r="AB28" s="17" t="str">
        <f aca="false">IF((E28="h"),H28," ")</f>
        <v> </v>
      </c>
      <c r="AC28" s="30" t="str">
        <f aca="false">IF((E28="v"),H28," ")</f>
        <v> </v>
      </c>
      <c r="AD28" s="30" t="str">
        <f aca="false">IF((E28="n"),H28," ")</f>
        <v> </v>
      </c>
      <c r="AE28" s="17" t="str">
        <f aca="false">IF((E28="f"),H28," ")</f>
        <v> </v>
      </c>
      <c r="AF28" s="17" t="str">
        <f aca="false">IF((E28="l"),H28," ")</f>
        <v> </v>
      </c>
      <c r="AG28" s="17" t="str">
        <f aca="false">IF((E28="y"),H28," ")</f>
        <v> </v>
      </c>
      <c r="AH28" s="17" t="str">
        <f aca="false">IF((E28="z"),H28," ")</f>
        <v> </v>
      </c>
      <c r="AI28" s="17" t="str">
        <f aca="false">IF((E28="fa"),H28," ")</f>
        <v> </v>
      </c>
      <c r="AJ28" s="17" t="str">
        <f aca="false">IF((E28="e"),H28," ")</f>
        <v> </v>
      </c>
      <c r="BZ28" s="2" t="s">
        <v>81</v>
      </c>
    </row>
    <row r="29" customFormat="false" ht="12" hidden="false" customHeight="false" outlineLevel="0" collapsed="false">
      <c r="A29" s="28" t="n">
        <v>46619</v>
      </c>
      <c r="B29" s="2" t="s">
        <v>215</v>
      </c>
      <c r="D29" s="2" t="s">
        <v>216</v>
      </c>
      <c r="E29" s="2" t="s">
        <v>174</v>
      </c>
      <c r="F29" s="30" t="n">
        <v>180</v>
      </c>
      <c r="G29" s="6" t="n">
        <f aca="false">IF(F29&lt;&gt;0,F29*G$2/(100+G$2)," ")</f>
        <v>30</v>
      </c>
      <c r="H29" s="6" t="n">
        <f aca="false">IF((F29&lt;&gt;0),F29-G29," ")</f>
        <v>150</v>
      </c>
      <c r="I29" s="5"/>
      <c r="L29" s="7" t="n">
        <f aca="false">IF(F29&lt;&gt;0,F29-K29," ")</f>
        <v>180</v>
      </c>
      <c r="M29" s="8" t="n">
        <f aca="false">IF((F29-K29)&lt;&gt;0,M$1-A29," ")</f>
        <v>-341</v>
      </c>
      <c r="N29" s="5"/>
      <c r="O29" s="17" t="str">
        <f aca="false">IF((E29="s"),H29," ")</f>
        <v> </v>
      </c>
      <c r="P29" s="17" t="str">
        <f aca="false">IF((E29="c"),H29," ")</f>
        <v> </v>
      </c>
      <c r="Q29" s="17" t="str">
        <f aca="false">IF((E29="o"),H29," ")</f>
        <v> </v>
      </c>
      <c r="R29" s="17" t="str">
        <f aca="false">IF((E29="d"),H29," ")</f>
        <v> </v>
      </c>
      <c r="S29" s="17" t="str">
        <f aca="false">IF((E29="w"),H29," ")</f>
        <v> </v>
      </c>
      <c r="T29" s="17" t="str">
        <f aca="false">IF((E29="r"),H29," ")</f>
        <v> </v>
      </c>
      <c r="U29" s="17" t="str">
        <f aca="false">IF((E29="p"),H29," ")</f>
        <v> </v>
      </c>
      <c r="V29" s="17" t="n">
        <f aca="false">IF((E29="t"),H29," ")</f>
        <v>150</v>
      </c>
      <c r="W29" s="17" t="str">
        <f aca="false">IF((E29="q"),H29," ")</f>
        <v> </v>
      </c>
      <c r="X29" s="17" t="str">
        <f aca="false">IF((E29="m"),H29," ")</f>
        <v> </v>
      </c>
      <c r="Y29" s="17" t="str">
        <f aca="false">IF((E29="u"),H29," ")</f>
        <v> </v>
      </c>
      <c r="Z29" s="17" t="str">
        <f aca="false">IF((E29="a"),H29," ")</f>
        <v> </v>
      </c>
      <c r="AA29" s="17" t="str">
        <f aca="false">IF((E29="g"),H29," ")</f>
        <v> </v>
      </c>
      <c r="AB29" s="17" t="str">
        <f aca="false">IF((E29="h"),H29," ")</f>
        <v> </v>
      </c>
      <c r="AC29" s="30" t="str">
        <f aca="false">IF((E29="v"),H29," ")</f>
        <v> </v>
      </c>
      <c r="AD29" s="30" t="str">
        <f aca="false">IF((E29="n"),H29," ")</f>
        <v> </v>
      </c>
      <c r="AE29" s="17" t="str">
        <f aca="false">IF((E29="f"),H29," ")</f>
        <v> </v>
      </c>
      <c r="AF29" s="17" t="str">
        <f aca="false">IF((E29="l"),H29," ")</f>
        <v> </v>
      </c>
      <c r="AG29" s="17" t="str">
        <f aca="false">IF((E29="y"),H29," ")</f>
        <v> </v>
      </c>
      <c r="AH29" s="17" t="str">
        <f aca="false">IF((E29="z"),H29," ")</f>
        <v> </v>
      </c>
      <c r="AI29" s="17" t="str">
        <f aca="false">IF((E29="fa"),H29," ")</f>
        <v> </v>
      </c>
      <c r="AJ29" s="17" t="str">
        <f aca="false">IF((E29="e"),H29," ")</f>
        <v> </v>
      </c>
      <c r="BZ29" s="2" t="s">
        <v>175</v>
      </c>
    </row>
    <row r="30" customFormat="false" ht="12" hidden="false" customHeight="false" outlineLevel="0" collapsed="false">
      <c r="A30" s="28" t="n">
        <v>46619</v>
      </c>
      <c r="B30" s="2" t="s">
        <v>137</v>
      </c>
      <c r="D30" s="2" t="s">
        <v>138</v>
      </c>
      <c r="E30" s="2" t="s">
        <v>139</v>
      </c>
      <c r="F30" s="30" t="n">
        <v>144</v>
      </c>
      <c r="G30" s="6" t="n">
        <f aca="false">IF(F30&lt;&gt;0,F30*G$2/(100+G$2)," ")</f>
        <v>24</v>
      </c>
      <c r="H30" s="6" t="n">
        <f aca="false">IF((F30&lt;&gt;0),F30-G30," ")</f>
        <v>120</v>
      </c>
      <c r="I30" s="5"/>
      <c r="L30" s="7" t="n">
        <f aca="false">IF(F30&lt;&gt;0,F30-K30," ")</f>
        <v>144</v>
      </c>
      <c r="M30" s="8" t="n">
        <f aca="false">IF((F30-K30)&lt;&gt;0,M$1-A30," ")</f>
        <v>-341</v>
      </c>
      <c r="N30" s="5"/>
      <c r="O30" s="17" t="str">
        <f aca="false">IF((E30="s"),H30," ")</f>
        <v> </v>
      </c>
      <c r="P30" s="17" t="str">
        <f aca="false">IF((E30="c"),H30," ")</f>
        <v> </v>
      </c>
      <c r="Q30" s="17" t="str">
        <f aca="false">IF((E30="o"),H30," ")</f>
        <v> </v>
      </c>
      <c r="R30" s="17" t="str">
        <f aca="false">IF((E30="d"),H30," ")</f>
        <v> </v>
      </c>
      <c r="S30" s="17" t="str">
        <f aca="false">IF((E30="w"),H30," ")</f>
        <v> </v>
      </c>
      <c r="T30" s="17" t="str">
        <f aca="false">IF((E30="r"),H30," ")</f>
        <v> </v>
      </c>
      <c r="U30" s="17" t="str">
        <f aca="false">IF((E30="p"),H30," ")</f>
        <v> </v>
      </c>
      <c r="V30" s="17" t="str">
        <f aca="false">IF((E30="t"),H30," ")</f>
        <v> </v>
      </c>
      <c r="W30" s="17" t="str">
        <f aca="false">IF((E30="q"),H30," ")</f>
        <v> </v>
      </c>
      <c r="X30" s="17" t="n">
        <f aca="false">IF((E30="m"),H30," ")</f>
        <v>120</v>
      </c>
      <c r="Y30" s="17" t="str">
        <f aca="false">IF((E30="u"),H30," ")</f>
        <v> </v>
      </c>
      <c r="Z30" s="17" t="str">
        <f aca="false">IF((E30="a"),H30," ")</f>
        <v> </v>
      </c>
      <c r="AA30" s="17" t="str">
        <f aca="false">IF((E30="g"),H30," ")</f>
        <v> </v>
      </c>
      <c r="AB30" s="17" t="str">
        <f aca="false">IF((E30="h"),H30," ")</f>
        <v> </v>
      </c>
      <c r="AC30" s="30" t="str">
        <f aca="false">IF((E30="v"),H30," ")</f>
        <v> </v>
      </c>
      <c r="AD30" s="30" t="str">
        <f aca="false">IF((E30="n"),H30," ")</f>
        <v> </v>
      </c>
      <c r="AE30" s="17" t="str">
        <f aca="false">IF((E30="f"),H30," ")</f>
        <v> </v>
      </c>
      <c r="AF30" s="17" t="str">
        <f aca="false">IF((E30="l"),H30," ")</f>
        <v> </v>
      </c>
      <c r="AG30" s="17" t="str">
        <f aca="false">IF((E30="y"),H30," ")</f>
        <v> </v>
      </c>
      <c r="AH30" s="17" t="str">
        <f aca="false">IF((E30="z"),H30," ")</f>
        <v> </v>
      </c>
      <c r="AI30" s="17" t="str">
        <f aca="false">IF((E30="fa"),H30," ")</f>
        <v> </v>
      </c>
      <c r="AJ30" s="17" t="str">
        <f aca="false">IF((E30="e"),H30," ")</f>
        <v> </v>
      </c>
      <c r="BZ30" s="2" t="s">
        <v>140</v>
      </c>
    </row>
    <row r="31" customFormat="false" ht="12" hidden="false" customHeight="false" outlineLevel="0" collapsed="false">
      <c r="A31" s="28" t="n">
        <v>46620</v>
      </c>
      <c r="B31" s="2" t="s">
        <v>141</v>
      </c>
      <c r="D31" s="2" t="s">
        <v>142</v>
      </c>
      <c r="E31" s="2" t="s">
        <v>112</v>
      </c>
      <c r="F31" s="30" t="n">
        <v>8</v>
      </c>
      <c r="G31" s="6" t="n">
        <f aca="false">IF(F31&lt;&gt;0,F31*G$2/(100+G$2)," ")</f>
        <v>1.33333333333333</v>
      </c>
      <c r="H31" s="6" t="n">
        <f aca="false">IF((F31&lt;&gt;0),F31-G31," ")</f>
        <v>6.66666666666667</v>
      </c>
      <c r="I31" s="5"/>
      <c r="L31" s="7" t="n">
        <f aca="false">IF(F31&lt;&gt;0,F31-K31," ")</f>
        <v>8</v>
      </c>
      <c r="M31" s="8" t="n">
        <f aca="false">IF((F31-K31)&lt;&gt;0,M$1-A31," ")</f>
        <v>-342</v>
      </c>
      <c r="N31" s="5"/>
      <c r="O31" s="17" t="str">
        <f aca="false">IF((E31="s"),H31," ")</f>
        <v> </v>
      </c>
      <c r="P31" s="17" t="str">
        <f aca="false">IF((E31="c"),H31," ")</f>
        <v> </v>
      </c>
      <c r="Q31" s="17" t="str">
        <f aca="false">IF((E31="o"),H31," ")</f>
        <v> </v>
      </c>
      <c r="R31" s="17" t="str">
        <f aca="false">IF((E31="d"),H31," ")</f>
        <v> </v>
      </c>
      <c r="S31" s="17" t="str">
        <f aca="false">IF((E31="w"),H31," ")</f>
        <v> </v>
      </c>
      <c r="T31" s="17" t="str">
        <f aca="false">IF((E31="r"),H31," ")</f>
        <v> </v>
      </c>
      <c r="U31" s="17" t="str">
        <f aca="false">IF((E31="p"),H31," ")</f>
        <v> </v>
      </c>
      <c r="V31" s="17" t="str">
        <f aca="false">IF((E31="t"),H31," ")</f>
        <v> </v>
      </c>
      <c r="W31" s="17" t="str">
        <f aca="false">IF((E31="q"),H31," ")</f>
        <v> </v>
      </c>
      <c r="X31" s="17" t="str">
        <f aca="false">IF((E31="m"),H31," ")</f>
        <v> </v>
      </c>
      <c r="Y31" s="17" t="str">
        <f aca="false">IF((E31="u"),H31," ")</f>
        <v> </v>
      </c>
      <c r="Z31" s="17" t="str">
        <f aca="false">IF((E31="a"),H31," ")</f>
        <v> </v>
      </c>
      <c r="AA31" s="17" t="str">
        <f aca="false">IF((E31="g"),H31," ")</f>
        <v> </v>
      </c>
      <c r="AB31" s="17" t="n">
        <f aca="false">IF((E31="h"),H31," ")</f>
        <v>6.66666666666667</v>
      </c>
      <c r="AC31" s="30" t="str">
        <f aca="false">IF((E31="v"),H31," ")</f>
        <v> </v>
      </c>
      <c r="AD31" s="30" t="str">
        <f aca="false">IF((E31="n"),H31," ")</f>
        <v> </v>
      </c>
      <c r="AE31" s="17" t="str">
        <f aca="false">IF((E31="f"),H31," ")</f>
        <v> </v>
      </c>
      <c r="AF31" s="17" t="str">
        <f aca="false">IF((E31="l"),H31," ")</f>
        <v> </v>
      </c>
      <c r="AG31" s="17" t="str">
        <f aca="false">IF((E31="y"),H31," ")</f>
        <v> </v>
      </c>
      <c r="AH31" s="17" t="str">
        <f aca="false">IF((E31="z"),H31," ")</f>
        <v> </v>
      </c>
      <c r="AI31" s="17" t="str">
        <f aca="false">IF((E31="fa"),H31," ")</f>
        <v> </v>
      </c>
      <c r="AJ31" s="17" t="str">
        <f aca="false">IF((E31="e"),H31," ")</f>
        <v> </v>
      </c>
      <c r="BZ31" s="2" t="s">
        <v>113</v>
      </c>
    </row>
    <row r="32" customFormat="false" ht="12" hidden="false" customHeight="false" outlineLevel="0" collapsed="false">
      <c r="A32" s="28" t="n">
        <v>46621</v>
      </c>
      <c r="B32" s="2" t="s">
        <v>143</v>
      </c>
      <c r="D32" s="2" t="s">
        <v>144</v>
      </c>
      <c r="E32" s="2" t="s">
        <v>100</v>
      </c>
      <c r="F32" s="30" t="n">
        <v>18</v>
      </c>
      <c r="G32" s="6" t="n">
        <f aca="false">IF(F32&lt;&gt;0,F32*G$2/(100+G$2)," ")</f>
        <v>3</v>
      </c>
      <c r="H32" s="6" t="n">
        <f aca="false">IF((F32&lt;&gt;0),F32-G32," ")</f>
        <v>15</v>
      </c>
      <c r="I32" s="5"/>
      <c r="L32" s="7" t="n">
        <f aca="false">IF(F32&lt;&gt;0,F32-K32," ")</f>
        <v>18</v>
      </c>
      <c r="M32" s="8" t="n">
        <f aca="false">IF((F32-K32)&lt;&gt;0,M$1-A32," ")</f>
        <v>-343</v>
      </c>
      <c r="N32" s="5"/>
      <c r="O32" s="17" t="str">
        <f aca="false">IF((E32="s"),H32," ")</f>
        <v> </v>
      </c>
      <c r="P32" s="17" t="str">
        <f aca="false">IF((E32="c"),H32," ")</f>
        <v> </v>
      </c>
      <c r="Q32" s="17" t="str">
        <f aca="false">IF((E32="o"),H32," ")</f>
        <v> </v>
      </c>
      <c r="R32" s="17" t="str">
        <f aca="false">IF((E32="d"),H32," ")</f>
        <v> </v>
      </c>
      <c r="S32" s="17" t="str">
        <f aca="false">IF((E32="w"),H32," ")</f>
        <v> </v>
      </c>
      <c r="T32" s="17" t="str">
        <f aca="false">IF((E32="r"),H32," ")</f>
        <v> </v>
      </c>
      <c r="U32" s="17" t="str">
        <f aca="false">IF((E32="p"),H32," ")</f>
        <v> </v>
      </c>
      <c r="V32" s="17" t="str">
        <f aca="false">IF((E32="t"),H32," ")</f>
        <v> </v>
      </c>
      <c r="W32" s="17" t="str">
        <f aca="false">IF((E32="q"),H32," ")</f>
        <v> </v>
      </c>
      <c r="X32" s="17" t="str">
        <f aca="false">IF((E32="m"),H32," ")</f>
        <v> </v>
      </c>
      <c r="Y32" s="17" t="n">
        <f aca="false">IF((E32="u"),H32," ")</f>
        <v>15</v>
      </c>
      <c r="Z32" s="17" t="str">
        <f aca="false">IF((E32="a"),H32," ")</f>
        <v> </v>
      </c>
      <c r="AA32" s="17" t="str">
        <f aca="false">IF((E32="g"),H32," ")</f>
        <v> </v>
      </c>
      <c r="AB32" s="17" t="str">
        <f aca="false">IF((E32="h"),H32," ")</f>
        <v> </v>
      </c>
      <c r="AC32" s="30" t="str">
        <f aca="false">IF((E32="v"),H32," ")</f>
        <v> </v>
      </c>
      <c r="AD32" s="30" t="str">
        <f aca="false">IF((E32="n"),H32," ")</f>
        <v> </v>
      </c>
      <c r="AE32" s="17" t="str">
        <f aca="false">IF((E32="f"),H32," ")</f>
        <v> </v>
      </c>
      <c r="AF32" s="17" t="str">
        <f aca="false">IF((E32="l"),H32," ")</f>
        <v> </v>
      </c>
      <c r="AG32" s="17" t="str">
        <f aca="false">IF((E32="y"),H32," ")</f>
        <v> </v>
      </c>
      <c r="AH32" s="17" t="str">
        <f aca="false">IF((E32="z"),H32," ")</f>
        <v> </v>
      </c>
      <c r="AI32" s="17" t="str">
        <f aca="false">IF((E32="fa"),H32," ")</f>
        <v> </v>
      </c>
      <c r="AJ32" s="17" t="str">
        <f aca="false">IF((E32="e"),H32," ")</f>
        <v> </v>
      </c>
      <c r="BZ32" s="2" t="s">
        <v>101</v>
      </c>
    </row>
    <row r="33" customFormat="false" ht="12" hidden="false" customHeight="false" outlineLevel="0" collapsed="false">
      <c r="A33" s="28" t="n">
        <v>46621</v>
      </c>
      <c r="B33" s="2" t="s">
        <v>178</v>
      </c>
      <c r="D33" s="2" t="s">
        <v>179</v>
      </c>
      <c r="E33" s="2" t="s">
        <v>106</v>
      </c>
      <c r="F33" s="30" t="n">
        <v>36</v>
      </c>
      <c r="G33" s="6" t="n">
        <f aca="false">IF(F33&lt;&gt;0,F33*G$2/(100+G$2)," ")</f>
        <v>6</v>
      </c>
      <c r="H33" s="6" t="n">
        <f aca="false">IF((F33&lt;&gt;0),F33-G33," ")</f>
        <v>30</v>
      </c>
      <c r="I33" s="5"/>
      <c r="L33" s="7" t="n">
        <f aca="false">IF(F33&lt;&gt;0,F33-K33," ")</f>
        <v>36</v>
      </c>
      <c r="M33" s="8" t="n">
        <f aca="false">IF((F33-K33)&lt;&gt;0,M$1-A33," ")</f>
        <v>-343</v>
      </c>
      <c r="N33" s="5"/>
      <c r="O33" s="17" t="str">
        <f aca="false">IF((E33="s"),H33," ")</f>
        <v> </v>
      </c>
      <c r="P33" s="17" t="str">
        <f aca="false">IF((E33="c"),H33," ")</f>
        <v> </v>
      </c>
      <c r="Q33" s="17" t="str">
        <f aca="false">IF((E33="o"),H33," ")</f>
        <v> </v>
      </c>
      <c r="R33" s="17" t="str">
        <f aca="false">IF((E33="d"),H33," ")</f>
        <v> </v>
      </c>
      <c r="S33" s="17" t="str">
        <f aca="false">IF((E33="w"),H33," ")</f>
        <v> </v>
      </c>
      <c r="T33" s="17" t="str">
        <f aca="false">IF((E33="r"),H33," ")</f>
        <v> </v>
      </c>
      <c r="U33" s="17" t="str">
        <f aca="false">IF((E33="p"),H33," ")</f>
        <v> </v>
      </c>
      <c r="V33" s="17" t="str">
        <f aca="false">IF((E33="t"),H33," ")</f>
        <v> </v>
      </c>
      <c r="W33" s="17" t="str">
        <f aca="false">IF((E33="q"),H33," ")</f>
        <v> </v>
      </c>
      <c r="X33" s="17" t="str">
        <f aca="false">IF((E33="m"),H33," ")</f>
        <v> </v>
      </c>
      <c r="Y33" s="17" t="str">
        <f aca="false">IF((E33="u"),H33," ")</f>
        <v> </v>
      </c>
      <c r="Z33" s="17" t="str">
        <f aca="false">IF((E33="a"),H33," ")</f>
        <v> </v>
      </c>
      <c r="AA33" s="17" t="str">
        <f aca="false">IF((E33="g"),H33," ")</f>
        <v> </v>
      </c>
      <c r="AB33" s="17" t="str">
        <f aca="false">IF((E33="h"),H33," ")</f>
        <v> </v>
      </c>
      <c r="AC33" s="30" t="n">
        <f aca="false">IF((E33="v"),H33," ")</f>
        <v>30</v>
      </c>
      <c r="AD33" s="30" t="str">
        <f aca="false">IF((E33="n"),H33," ")</f>
        <v> </v>
      </c>
      <c r="AE33" s="17" t="str">
        <f aca="false">IF((E33="f"),H33," ")</f>
        <v> </v>
      </c>
      <c r="AF33" s="17" t="str">
        <f aca="false">IF((E33="l"),H33," ")</f>
        <v> </v>
      </c>
      <c r="AG33" s="17" t="str">
        <f aca="false">IF((E33="y"),H33," ")</f>
        <v> </v>
      </c>
      <c r="AH33" s="17" t="str">
        <f aca="false">IF((E33="z"),H33," ")</f>
        <v> </v>
      </c>
      <c r="AI33" s="17" t="str">
        <f aca="false">IF((E33="fa"),H33," ")</f>
        <v> </v>
      </c>
      <c r="AJ33" s="17" t="str">
        <f aca="false">IF((E33="e"),H33," ")</f>
        <v> </v>
      </c>
      <c r="BZ33" s="2" t="s">
        <v>107</v>
      </c>
    </row>
    <row r="34" customFormat="false" ht="12" hidden="false" customHeight="false" outlineLevel="0" collapsed="false">
      <c r="A34" s="28" t="n">
        <v>46624</v>
      </c>
      <c r="B34" s="2" t="s">
        <v>145</v>
      </c>
      <c r="D34" s="2" t="s">
        <v>146</v>
      </c>
      <c r="E34" s="2" t="s">
        <v>100</v>
      </c>
      <c r="F34" s="30" t="n">
        <v>15</v>
      </c>
      <c r="G34" s="6" t="n">
        <f aca="false">IF(F34&lt;&gt;0,F34*G$2/(100+G$2)," ")</f>
        <v>2.5</v>
      </c>
      <c r="H34" s="6" t="n">
        <f aca="false">IF((F34&lt;&gt;0),F34-G34," ")</f>
        <v>12.5</v>
      </c>
      <c r="I34" s="5"/>
      <c r="L34" s="7" t="n">
        <f aca="false">IF(F34&lt;&gt;0,F34-K34," ")</f>
        <v>15</v>
      </c>
      <c r="M34" s="8" t="n">
        <f aca="false">IF((F34-K34)&lt;&gt;0,M$1-A34," ")</f>
        <v>-346</v>
      </c>
      <c r="N34" s="5"/>
      <c r="O34" s="17" t="str">
        <f aca="false">IF((E34="s"),H34," ")</f>
        <v> </v>
      </c>
      <c r="P34" s="17" t="str">
        <f aca="false">IF((E34="c"),H34," ")</f>
        <v> </v>
      </c>
      <c r="Q34" s="17" t="str">
        <f aca="false">IF((E34="o"),H34," ")</f>
        <v> </v>
      </c>
      <c r="R34" s="17" t="str">
        <f aca="false">IF((E34="d"),H34," ")</f>
        <v> </v>
      </c>
      <c r="S34" s="17" t="str">
        <f aca="false">IF((E34="w"),H34," ")</f>
        <v> </v>
      </c>
      <c r="T34" s="17" t="str">
        <f aca="false">IF((E34="r"),H34," ")</f>
        <v> </v>
      </c>
      <c r="U34" s="17" t="str">
        <f aca="false">IF((E34="p"),H34," ")</f>
        <v> </v>
      </c>
      <c r="V34" s="17" t="str">
        <f aca="false">IF((E34="t"),H34," ")</f>
        <v> </v>
      </c>
      <c r="W34" s="17" t="str">
        <f aca="false">IF((E34="q"),H34," ")</f>
        <v> </v>
      </c>
      <c r="X34" s="17" t="str">
        <f aca="false">IF((E34="m"),H34," ")</f>
        <v> </v>
      </c>
      <c r="Y34" s="17" t="n">
        <f aca="false">IF((E34="u"),H34," ")</f>
        <v>12.5</v>
      </c>
      <c r="Z34" s="17" t="str">
        <f aca="false">IF((E34="a"),H34," ")</f>
        <v> </v>
      </c>
      <c r="AA34" s="17" t="str">
        <f aca="false">IF((E34="g"),H34," ")</f>
        <v> </v>
      </c>
      <c r="AB34" s="17" t="str">
        <f aca="false">IF((E34="h"),H34," ")</f>
        <v> </v>
      </c>
      <c r="AC34" s="30" t="str">
        <f aca="false">IF((E34="v"),H34," ")</f>
        <v> </v>
      </c>
      <c r="AD34" s="30" t="str">
        <f aca="false">IF((E34="n"),H34," ")</f>
        <v> </v>
      </c>
      <c r="AE34" s="17" t="str">
        <f aca="false">IF((E34="f"),H34," ")</f>
        <v> </v>
      </c>
      <c r="AF34" s="17" t="str">
        <f aca="false">IF((E34="l"),H34," ")</f>
        <v> </v>
      </c>
      <c r="AG34" s="17" t="str">
        <f aca="false">IF((E34="y"),H34," ")</f>
        <v> </v>
      </c>
      <c r="AH34" s="17" t="str">
        <f aca="false">IF((E34="z"),H34," ")</f>
        <v> </v>
      </c>
      <c r="AI34" s="17" t="str">
        <f aca="false">IF((E34="fa"),H34," ")</f>
        <v> </v>
      </c>
      <c r="AJ34" s="17" t="str">
        <f aca="false">IF((E34="e"),H34," ")</f>
        <v> </v>
      </c>
      <c r="BZ34" s="2" t="s">
        <v>101</v>
      </c>
    </row>
    <row r="35" customFormat="false" ht="12" hidden="false" customHeight="false" outlineLevel="0" collapsed="false">
      <c r="A35" s="28" t="n">
        <v>46624</v>
      </c>
      <c r="B35" s="2" t="s">
        <v>147</v>
      </c>
      <c r="D35" s="2" t="s">
        <v>148</v>
      </c>
      <c r="E35" s="2" t="s">
        <v>106</v>
      </c>
      <c r="F35" s="30" t="n">
        <v>38.25</v>
      </c>
      <c r="G35" s="6" t="n">
        <f aca="false">IF(F35&lt;&gt;0,F35*G$2/(100+G$2)," ")</f>
        <v>6.375</v>
      </c>
      <c r="H35" s="6" t="n">
        <f aca="false">IF((F35&lt;&gt;0),F35-G35," ")</f>
        <v>31.875</v>
      </c>
      <c r="I35" s="5"/>
      <c r="L35" s="7" t="n">
        <f aca="false">IF(F35&lt;&gt;0,F35-K35," ")</f>
        <v>38.25</v>
      </c>
      <c r="M35" s="8" t="n">
        <f aca="false">IF((F35-K35)&lt;&gt;0,M$1-A35," ")</f>
        <v>-346</v>
      </c>
      <c r="N35" s="5"/>
      <c r="O35" s="17" t="str">
        <f aca="false">IF((E35="s"),H35," ")</f>
        <v> </v>
      </c>
      <c r="P35" s="17" t="str">
        <f aca="false">IF((E35="c"),H35," ")</f>
        <v> </v>
      </c>
      <c r="Q35" s="17" t="str">
        <f aca="false">IF((E35="o"),H35," ")</f>
        <v> </v>
      </c>
      <c r="R35" s="17" t="str">
        <f aca="false">IF((E35="d"),H35," ")</f>
        <v> </v>
      </c>
      <c r="S35" s="17" t="str">
        <f aca="false">IF((E35="w"),H35," ")</f>
        <v> </v>
      </c>
      <c r="T35" s="17" t="str">
        <f aca="false">IF((E35="r"),H35," ")</f>
        <v> </v>
      </c>
      <c r="U35" s="17" t="str">
        <f aca="false">IF((E35="p"),H35," ")</f>
        <v> </v>
      </c>
      <c r="V35" s="17" t="str">
        <f aca="false">IF((E35="t"),H35," ")</f>
        <v> </v>
      </c>
      <c r="W35" s="17" t="str">
        <f aca="false">IF((E35="q"),H35," ")</f>
        <v> </v>
      </c>
      <c r="X35" s="17" t="str">
        <f aca="false">IF((E35="m"),H35," ")</f>
        <v> </v>
      </c>
      <c r="Y35" s="17" t="str">
        <f aca="false">IF((E35="u"),H35," ")</f>
        <v> </v>
      </c>
      <c r="Z35" s="17" t="str">
        <f aca="false">IF((E35="a"),H35," ")</f>
        <v> </v>
      </c>
      <c r="AA35" s="17" t="str">
        <f aca="false">IF((E35="g"),H35," ")</f>
        <v> </v>
      </c>
      <c r="AB35" s="17" t="str">
        <f aca="false">IF((E35="h"),H35," ")</f>
        <v> </v>
      </c>
      <c r="AC35" s="30" t="n">
        <f aca="false">IF((E35="v"),H35," ")</f>
        <v>31.875</v>
      </c>
      <c r="AD35" s="30" t="str">
        <f aca="false">IF((E35="n"),H35," ")</f>
        <v> </v>
      </c>
      <c r="AE35" s="17" t="str">
        <f aca="false">IF((E35="f"),H35," ")</f>
        <v> </v>
      </c>
      <c r="AF35" s="17" t="str">
        <f aca="false">IF((E35="l"),H35," ")</f>
        <v> </v>
      </c>
      <c r="AG35" s="17" t="str">
        <f aca="false">IF((E35="y"),H35," ")</f>
        <v> </v>
      </c>
      <c r="AH35" s="17" t="str">
        <f aca="false">IF((E35="z"),H35," ")</f>
        <v> </v>
      </c>
      <c r="AI35" s="17" t="str">
        <f aca="false">IF((E35="fa"),H35," ")</f>
        <v> </v>
      </c>
      <c r="AJ35" s="17" t="str">
        <f aca="false">IF((E35="e"),H35," ")</f>
        <v> </v>
      </c>
      <c r="BZ35" s="2" t="s">
        <v>107</v>
      </c>
    </row>
    <row r="36" customFormat="false" ht="12" hidden="false" customHeight="false" outlineLevel="0" collapsed="false">
      <c r="A36" s="28" t="n">
        <v>46627</v>
      </c>
      <c r="B36" s="2" t="s">
        <v>20</v>
      </c>
      <c r="D36" s="2" t="s">
        <v>149</v>
      </c>
      <c r="E36" s="2" t="s">
        <v>106</v>
      </c>
      <c r="F36" s="30" t="n">
        <v>120</v>
      </c>
      <c r="G36" s="6" t="n">
        <f aca="false">IF(F36&lt;&gt;0,F36*G$2/(100+G$2)," ")</f>
        <v>20</v>
      </c>
      <c r="H36" s="6" t="n">
        <f aca="false">IF((F36&lt;&gt;0),F36-G36," ")</f>
        <v>100</v>
      </c>
      <c r="I36" s="5"/>
      <c r="L36" s="7" t="n">
        <f aca="false">IF(F36&lt;&gt;0,F36-K36," ")</f>
        <v>120</v>
      </c>
      <c r="M36" s="8" t="n">
        <f aca="false">IF((F36-K36)&lt;&gt;0,M$1-A36," ")</f>
        <v>-349</v>
      </c>
      <c r="N36" s="5"/>
      <c r="O36" s="17" t="str">
        <f aca="false">IF((E36="s"),H36," ")</f>
        <v> </v>
      </c>
      <c r="P36" s="17" t="str">
        <f aca="false">IF((E36="c"),H36," ")</f>
        <v> </v>
      </c>
      <c r="Q36" s="17" t="str">
        <f aca="false">IF((E36="o"),H36," ")</f>
        <v> </v>
      </c>
      <c r="R36" s="17" t="str">
        <f aca="false">IF((E36="d"),H36," ")</f>
        <v> </v>
      </c>
      <c r="S36" s="17" t="str">
        <f aca="false">IF((E36="w"),H36," ")</f>
        <v> </v>
      </c>
      <c r="T36" s="17" t="str">
        <f aca="false">IF((E36="r"),H36," ")</f>
        <v> </v>
      </c>
      <c r="U36" s="17" t="str">
        <f aca="false">IF((E36="p"),H36," ")</f>
        <v> </v>
      </c>
      <c r="V36" s="17" t="str">
        <f aca="false">IF((E36="t"),H36," ")</f>
        <v> </v>
      </c>
      <c r="W36" s="17" t="str">
        <f aca="false">IF((E36="q"),H36," ")</f>
        <v> </v>
      </c>
      <c r="X36" s="17" t="str">
        <f aca="false">IF((E36="m"),H36," ")</f>
        <v> </v>
      </c>
      <c r="Y36" s="17" t="str">
        <f aca="false">IF((E36="u"),H36," ")</f>
        <v> </v>
      </c>
      <c r="Z36" s="17" t="str">
        <f aca="false">IF((E36="a"),H36," ")</f>
        <v> </v>
      </c>
      <c r="AA36" s="17" t="str">
        <f aca="false">IF((E36="g"),H36," ")</f>
        <v> </v>
      </c>
      <c r="AB36" s="17" t="str">
        <f aca="false">IF((E36="h"),H36," ")</f>
        <v> </v>
      </c>
      <c r="AC36" s="30" t="n">
        <f aca="false">IF((E36="v"),H36," ")</f>
        <v>100</v>
      </c>
      <c r="AD36" s="30" t="str">
        <f aca="false">IF((E36="n"),H36," ")</f>
        <v> </v>
      </c>
      <c r="AE36" s="17" t="str">
        <f aca="false">IF((E36="f"),H36," ")</f>
        <v> </v>
      </c>
      <c r="AF36" s="17" t="str">
        <f aca="false">IF((E36="l"),H36," ")</f>
        <v> </v>
      </c>
      <c r="AG36" s="17" t="str">
        <f aca="false">IF((E36="y"),H36," ")</f>
        <v> </v>
      </c>
      <c r="AH36" s="17" t="str">
        <f aca="false">IF((E36="z"),H36," ")</f>
        <v> </v>
      </c>
      <c r="AI36" s="17" t="str">
        <f aca="false">IF((E36="fa"),H36," ")</f>
        <v> </v>
      </c>
      <c r="AJ36" s="17" t="str">
        <f aca="false">IF((E36="e"),H36," ")</f>
        <v> </v>
      </c>
      <c r="BZ36" s="2" t="s">
        <v>107</v>
      </c>
    </row>
    <row r="37" customFormat="false" ht="12" hidden="false" customHeight="false" outlineLevel="0" collapsed="false">
      <c r="A37" s="28" t="n">
        <v>46630</v>
      </c>
      <c r="B37" s="2" t="s">
        <v>16</v>
      </c>
      <c r="D37" s="2" t="s">
        <v>150</v>
      </c>
      <c r="E37" s="2" t="s">
        <v>151</v>
      </c>
      <c r="F37" s="30" t="n">
        <v>300</v>
      </c>
      <c r="G37" s="6" t="n">
        <f aca="false">IF(F37&lt;&gt;0,F37*G$2/(100+G$2)," ")</f>
        <v>50</v>
      </c>
      <c r="H37" s="6" t="n">
        <f aca="false">IF((F37&lt;&gt;0),F37-G37," ")</f>
        <v>250</v>
      </c>
      <c r="I37" s="5"/>
      <c r="L37" s="7" t="n">
        <f aca="false">IF(F37&lt;&gt;0,F37-K37," ")</f>
        <v>300</v>
      </c>
      <c r="M37" s="8" t="n">
        <f aca="false">IF((F37-K37)&lt;&gt;0,M$1-A37," ")</f>
        <v>-352</v>
      </c>
      <c r="N37" s="5"/>
      <c r="O37" s="17" t="str">
        <f aca="false">IF((E37="s"),H37," ")</f>
        <v> </v>
      </c>
      <c r="P37" s="17" t="str">
        <f aca="false">IF((E37="c"),H37," ")</f>
        <v> </v>
      </c>
      <c r="Q37" s="17" t="str">
        <f aca="false">IF((E37="o"),H37," ")</f>
        <v> </v>
      </c>
      <c r="R37" s="17" t="str">
        <f aca="false">IF((E37="d"),H37," ")</f>
        <v> </v>
      </c>
      <c r="S37" s="17" t="str">
        <f aca="false">IF((E37="w"),H37," ")</f>
        <v> </v>
      </c>
      <c r="T37" s="17" t="str">
        <f aca="false">IF((E37="r"),H37," ")</f>
        <v> </v>
      </c>
      <c r="U37" s="17" t="str">
        <f aca="false">IF((E37="p"),H37," ")</f>
        <v> </v>
      </c>
      <c r="V37" s="17" t="str">
        <f aca="false">IF((E37="t"),H37," ")</f>
        <v> </v>
      </c>
      <c r="W37" s="17" t="str">
        <f aca="false">IF((E37="q"),H37," ")</f>
        <v> </v>
      </c>
      <c r="X37" s="17" t="str">
        <f aca="false">IF((E37="m"),H37," ")</f>
        <v> </v>
      </c>
      <c r="Y37" s="17" t="str">
        <f aca="false">IF((E37="u"),H37," ")</f>
        <v> </v>
      </c>
      <c r="Z37" s="17" t="str">
        <f aca="false">IF((E37="a"),H37," ")</f>
        <v> </v>
      </c>
      <c r="AA37" s="17" t="str">
        <f aca="false">IF((E37="g"),H37," ")</f>
        <v> </v>
      </c>
      <c r="AB37" s="17" t="str">
        <f aca="false">IF((E37="h"),H37," ")</f>
        <v> </v>
      </c>
      <c r="AC37" s="30" t="str">
        <f aca="false">IF((E37="v"),H37," ")</f>
        <v> </v>
      </c>
      <c r="AD37" s="30" t="str">
        <f aca="false">IF((E37="n"),H37," ")</f>
        <v> </v>
      </c>
      <c r="AE37" s="17" t="str">
        <f aca="false">IF((E37="f"),H37," ")</f>
        <v> </v>
      </c>
      <c r="AF37" s="17" t="n">
        <f aca="false">IF((E37="l"),H37," ")</f>
        <v>250</v>
      </c>
      <c r="AG37" s="17" t="str">
        <f aca="false">IF((E37="y"),H37," ")</f>
        <v> </v>
      </c>
      <c r="AH37" s="17" t="str">
        <f aca="false">IF((E37="z"),H37," ")</f>
        <v> </v>
      </c>
      <c r="AI37" s="17" t="str">
        <f aca="false">IF((E37="fa"),H37," ")</f>
        <v> </v>
      </c>
      <c r="AJ37" s="17" t="str">
        <f aca="false">IF((E37="e"),H37," ")</f>
        <v> </v>
      </c>
      <c r="BZ37" s="2" t="s">
        <v>152</v>
      </c>
    </row>
    <row r="38" customFormat="false" ht="12" hidden="false" customHeight="false" outlineLevel="0" collapsed="false">
      <c r="A38" s="28"/>
      <c r="E38" s="2"/>
      <c r="F38" s="30"/>
      <c r="G38" s="6" t="str">
        <f aca="false">IF(F38&lt;&gt;0,F38*G$2/(100+G$2)," ")</f>
        <v> </v>
      </c>
      <c r="H38" s="6" t="str">
        <f aca="false">IF((F38&lt;&gt;0),F38-G38," ")</f>
        <v> </v>
      </c>
      <c r="I38" s="5"/>
      <c r="L38" s="7" t="str">
        <f aca="false">IF(F38&lt;&gt;0,F38-K38," ")</f>
        <v> </v>
      </c>
      <c r="M38" s="8" t="str">
        <f aca="false">IF((F38-K38)&lt;&gt;0,M$1-A38," ")</f>
        <v> </v>
      </c>
      <c r="N38" s="5"/>
      <c r="O38" s="17" t="str">
        <f aca="false">IF((E38="s"),H38," ")</f>
        <v> </v>
      </c>
      <c r="P38" s="17" t="str">
        <f aca="false">IF((E38="c"),H38," ")</f>
        <v> </v>
      </c>
      <c r="Q38" s="17" t="str">
        <f aca="false">IF((E38="o"),H38," ")</f>
        <v> </v>
      </c>
      <c r="R38" s="17" t="str">
        <f aca="false">IF((E38="d"),H38," ")</f>
        <v> </v>
      </c>
      <c r="S38" s="17" t="str">
        <f aca="false">IF((E38="w"),H38," ")</f>
        <v> </v>
      </c>
      <c r="T38" s="17" t="str">
        <f aca="false">IF((E38="r"),H38," ")</f>
        <v> </v>
      </c>
      <c r="U38" s="17" t="str">
        <f aca="false">IF((E38="p"),H38," ")</f>
        <v> </v>
      </c>
      <c r="V38" s="17" t="str">
        <f aca="false">IF((E38="t"),H38," ")</f>
        <v> </v>
      </c>
      <c r="W38" s="17" t="str">
        <f aca="false">IF((E38="q"),H38," ")</f>
        <v> </v>
      </c>
      <c r="X38" s="17" t="str">
        <f aca="false">IF((E38="m"),H38," ")</f>
        <v> </v>
      </c>
      <c r="Y38" s="17" t="str">
        <f aca="false">IF((E38="u"),H38," ")</f>
        <v> </v>
      </c>
      <c r="Z38" s="17" t="str">
        <f aca="false">IF((E38="a"),H38," ")</f>
        <v> </v>
      </c>
      <c r="AA38" s="17" t="str">
        <f aca="false">IF((E38="g"),H38," ")</f>
        <v> </v>
      </c>
      <c r="AB38" s="17" t="str">
        <f aca="false">IF((E38="h"),H38," ")</f>
        <v> </v>
      </c>
      <c r="AC38" s="30" t="str">
        <f aca="false">IF((E38="v"),H38," ")</f>
        <v> </v>
      </c>
      <c r="AD38" s="30" t="str">
        <f aca="false">IF((E38="n"),H38," ")</f>
        <v> </v>
      </c>
      <c r="AE38" s="17" t="str">
        <f aca="false">IF((E38="f"),H38," ")</f>
        <v> </v>
      </c>
      <c r="AF38" s="17" t="str">
        <f aca="false">IF((E38="l"),H38," ")</f>
        <v> </v>
      </c>
      <c r="AG38" s="17" t="str">
        <f aca="false">IF((E38="y"),H38," ")</f>
        <v> </v>
      </c>
      <c r="AH38" s="17" t="str">
        <f aca="false">IF((E38="z"),H38," ")</f>
        <v> </v>
      </c>
      <c r="AI38" s="17" t="str">
        <f aca="false">IF((E38="fa"),H38," ")</f>
        <v> </v>
      </c>
      <c r="AJ38" s="17" t="str">
        <f aca="false">IF((E38="e"),H38," ")</f>
        <v> </v>
      </c>
    </row>
    <row r="39" customFormat="false" ht="12" hidden="false" customHeight="false" outlineLevel="0" collapsed="false">
      <c r="A39" s="28"/>
      <c r="E39" s="2"/>
      <c r="F39" s="30"/>
      <c r="G39" s="6" t="str">
        <f aca="false">IF(F39&lt;&gt;0,F39*G$2/(100+G$2)," ")</f>
        <v> </v>
      </c>
      <c r="H39" s="6" t="str">
        <f aca="false">IF((F39&lt;&gt;0),F39-G39," ")</f>
        <v> </v>
      </c>
      <c r="I39" s="5"/>
      <c r="L39" s="7" t="str">
        <f aca="false">IF(F39&lt;&gt;0,F39-K39," ")</f>
        <v> </v>
      </c>
      <c r="M39" s="8" t="str">
        <f aca="false">IF((F39-K39)&lt;&gt;0,M$1-A39," ")</f>
        <v> </v>
      </c>
      <c r="N39" s="5"/>
      <c r="O39" s="17" t="str">
        <f aca="false">IF((E39="s"),H39," ")</f>
        <v> </v>
      </c>
      <c r="P39" s="17" t="str">
        <f aca="false">IF((E39="c"),H39," ")</f>
        <v> </v>
      </c>
      <c r="Q39" s="17" t="str">
        <f aca="false">IF((E39="o"),H39," ")</f>
        <v> </v>
      </c>
      <c r="R39" s="17" t="str">
        <f aca="false">IF((E39="d"),H39," ")</f>
        <v> </v>
      </c>
      <c r="S39" s="17" t="str">
        <f aca="false">IF((E39="w"),H39," ")</f>
        <v> </v>
      </c>
      <c r="T39" s="17" t="str">
        <f aca="false">IF((E39="r"),H39," ")</f>
        <v> </v>
      </c>
      <c r="U39" s="17" t="str">
        <f aca="false">IF((E39="p"),H39," ")</f>
        <v> </v>
      </c>
      <c r="V39" s="17" t="str">
        <f aca="false">IF((E39="t"),H39," ")</f>
        <v> </v>
      </c>
      <c r="W39" s="17" t="str">
        <f aca="false">IF((E39="q"),H39," ")</f>
        <v> </v>
      </c>
      <c r="X39" s="17" t="str">
        <f aca="false">IF((E39="m"),H39," ")</f>
        <v> </v>
      </c>
      <c r="Y39" s="17" t="str">
        <f aca="false">IF((E39="u"),H39," ")</f>
        <v> </v>
      </c>
      <c r="Z39" s="17" t="str">
        <f aca="false">IF((E39="a"),H39," ")</f>
        <v> </v>
      </c>
      <c r="AA39" s="17" t="str">
        <f aca="false">IF((E39="g"),H39," ")</f>
        <v> </v>
      </c>
      <c r="AB39" s="17" t="str">
        <f aca="false">IF((E39="h"),H39," ")</f>
        <v> </v>
      </c>
      <c r="AC39" s="30" t="str">
        <f aca="false">IF((E39="v"),H39," ")</f>
        <v> </v>
      </c>
      <c r="AD39" s="30" t="str">
        <f aca="false">IF((E39="n"),H39," ")</f>
        <v> </v>
      </c>
      <c r="AE39" s="17" t="str">
        <f aca="false">IF((E39="f"),H39," ")</f>
        <v> </v>
      </c>
      <c r="AF39" s="17" t="str">
        <f aca="false">IF((E39="l"),H39," ")</f>
        <v> </v>
      </c>
      <c r="AG39" s="17" t="str">
        <f aca="false">IF((E39="y"),H39," ")</f>
        <v> </v>
      </c>
      <c r="AH39" s="17" t="str">
        <f aca="false">IF((E39="z"),H39," ")</f>
        <v> </v>
      </c>
      <c r="AI39" s="17" t="str">
        <f aca="false">IF((E39="fa"),H39," ")</f>
        <v> </v>
      </c>
      <c r="AJ39" s="17" t="str">
        <f aca="false">IF((E39="e"),H39," ")</f>
        <v> </v>
      </c>
    </row>
    <row r="40" customFormat="false" ht="12" hidden="false" customHeight="false" outlineLevel="0" collapsed="false">
      <c r="A40" s="28"/>
      <c r="E40" s="2"/>
      <c r="F40" s="30"/>
      <c r="G40" s="6" t="str">
        <f aca="false">IF(F40&lt;&gt;0,F40*G$2/(100+G$2)," ")</f>
        <v> </v>
      </c>
      <c r="H40" s="6" t="str">
        <f aca="false">IF((F40&lt;&gt;0),F40-G40," ")</f>
        <v> </v>
      </c>
      <c r="I40" s="5"/>
      <c r="L40" s="7" t="str">
        <f aca="false">IF(F40&lt;&gt;0,F40-K40," ")</f>
        <v> </v>
      </c>
      <c r="M40" s="8" t="str">
        <f aca="false">IF((F40-K40)&lt;&gt;0,M$1-A40," ")</f>
        <v> </v>
      </c>
      <c r="N40" s="5"/>
      <c r="O40" s="17" t="str">
        <f aca="false">IF((E40="s"),H40," ")</f>
        <v> </v>
      </c>
      <c r="P40" s="17" t="str">
        <f aca="false">IF((E40="c"),H40," ")</f>
        <v> </v>
      </c>
      <c r="Q40" s="17" t="str">
        <f aca="false">IF((E40="o"),H40," ")</f>
        <v> </v>
      </c>
      <c r="R40" s="17" t="str">
        <f aca="false">IF((E40="d"),H40," ")</f>
        <v> </v>
      </c>
      <c r="S40" s="17" t="str">
        <f aca="false">IF((E40="w"),H40," ")</f>
        <v> </v>
      </c>
      <c r="T40" s="17" t="str">
        <f aca="false">IF((E40="r"),H40," ")</f>
        <v> </v>
      </c>
      <c r="U40" s="17" t="str">
        <f aca="false">IF((E40="p"),H40," ")</f>
        <v> </v>
      </c>
      <c r="V40" s="17" t="str">
        <f aca="false">IF((E40="t"),H40," ")</f>
        <v> </v>
      </c>
      <c r="W40" s="17" t="str">
        <f aca="false">IF((E40="q"),H40," ")</f>
        <v> </v>
      </c>
      <c r="X40" s="17" t="str">
        <f aca="false">IF((E40="m"),H40," ")</f>
        <v> </v>
      </c>
      <c r="Y40" s="17" t="str">
        <f aca="false">IF((E40="u"),H40," ")</f>
        <v> </v>
      </c>
      <c r="Z40" s="17" t="str">
        <f aca="false">IF((E40="a"),H40," ")</f>
        <v> </v>
      </c>
      <c r="AA40" s="17" t="str">
        <f aca="false">IF((E40="g"),H40," ")</f>
        <v> </v>
      </c>
      <c r="AB40" s="17" t="str">
        <f aca="false">IF((E40="h"),H40," ")</f>
        <v> </v>
      </c>
      <c r="AC40" s="30" t="str">
        <f aca="false">IF((E40="v"),H40," ")</f>
        <v> </v>
      </c>
      <c r="AD40" s="30" t="str">
        <f aca="false">IF((E40="n"),H40," ")</f>
        <v> </v>
      </c>
      <c r="AE40" s="17" t="str">
        <f aca="false">IF((E40="f"),H40," ")</f>
        <v> </v>
      </c>
      <c r="AF40" s="17" t="str">
        <f aca="false">IF((E40="l"),H40," ")</f>
        <v> </v>
      </c>
      <c r="AG40" s="17" t="str">
        <f aca="false">IF((E40="y"),H40," ")</f>
        <v> </v>
      </c>
      <c r="AH40" s="17" t="str">
        <f aca="false">IF((E40="z"),H40," ")</f>
        <v> </v>
      </c>
      <c r="AI40" s="17" t="str">
        <f aca="false">IF((E40="fa"),H40," ")</f>
        <v> </v>
      </c>
      <c r="AJ40" s="17" t="str">
        <f aca="false">IF((E40="e"),H40," ")</f>
        <v> </v>
      </c>
    </row>
    <row r="41" customFormat="false" ht="12" hidden="false" customHeight="false" outlineLevel="0" collapsed="false">
      <c r="A41" s="28"/>
      <c r="E41" s="2"/>
      <c r="F41" s="30"/>
      <c r="G41" s="6" t="str">
        <f aca="false">IF(F41&lt;&gt;0,F41*G$2/(100+G$2)," ")</f>
        <v> </v>
      </c>
      <c r="H41" s="6" t="str">
        <f aca="false">IF((F41&lt;&gt;0),F41-G41," ")</f>
        <v> </v>
      </c>
      <c r="I41" s="5"/>
      <c r="L41" s="7" t="str">
        <f aca="false">IF(F41&lt;&gt;0,F41-K41," ")</f>
        <v> </v>
      </c>
      <c r="M41" s="8" t="str">
        <f aca="false">IF((F41-K41)&lt;&gt;0,M$1-A41," ")</f>
        <v> </v>
      </c>
      <c r="N41" s="5"/>
      <c r="O41" s="17" t="str">
        <f aca="false">IF((E41="s"),H41," ")</f>
        <v> </v>
      </c>
      <c r="P41" s="17" t="str">
        <f aca="false">IF((E41="c"),H41," ")</f>
        <v> </v>
      </c>
      <c r="Q41" s="17" t="str">
        <f aca="false">IF((E41="o"),H41," ")</f>
        <v> </v>
      </c>
      <c r="R41" s="17" t="str">
        <f aca="false">IF((E41="d"),H41," ")</f>
        <v> </v>
      </c>
      <c r="S41" s="17" t="str">
        <f aca="false">IF((E41="w"),H41," ")</f>
        <v> </v>
      </c>
      <c r="T41" s="17" t="str">
        <f aca="false">IF((E41="r"),H41," ")</f>
        <v> </v>
      </c>
      <c r="U41" s="17" t="str">
        <f aca="false">IF((E41="p"),H41," ")</f>
        <v> </v>
      </c>
      <c r="V41" s="17" t="str">
        <f aca="false">IF((E41="t"),H41," ")</f>
        <v> </v>
      </c>
      <c r="W41" s="17" t="str">
        <f aca="false">IF((E41="q"),H41," ")</f>
        <v> </v>
      </c>
      <c r="X41" s="17" t="str">
        <f aca="false">IF((E41="m"),H41," ")</f>
        <v> </v>
      </c>
      <c r="Y41" s="17" t="str">
        <f aca="false">IF((E41="u"),H41," ")</f>
        <v> </v>
      </c>
      <c r="Z41" s="17" t="str">
        <f aca="false">IF((E41="a"),H41," ")</f>
        <v> </v>
      </c>
      <c r="AA41" s="17" t="str">
        <f aca="false">IF((E41="g"),H41," ")</f>
        <v> </v>
      </c>
      <c r="AB41" s="17" t="str">
        <f aca="false">IF((E41="h"),H41," ")</f>
        <v> </v>
      </c>
      <c r="AC41" s="30" t="str">
        <f aca="false">IF((E41="v"),H41," ")</f>
        <v> </v>
      </c>
      <c r="AD41" s="30" t="str">
        <f aca="false">IF((E41="n"),H41," ")</f>
        <v> </v>
      </c>
      <c r="AE41" s="17" t="str">
        <f aca="false">IF((E41="f"),H41," ")</f>
        <v> </v>
      </c>
      <c r="AF41" s="17" t="str">
        <f aca="false">IF((E41="l"),H41," ")</f>
        <v> </v>
      </c>
      <c r="AG41" s="17" t="str">
        <f aca="false">IF((E41="y"),H41," ")</f>
        <v> </v>
      </c>
      <c r="AH41" s="17" t="str">
        <f aca="false">IF((E41="z"),H41," ")</f>
        <v> </v>
      </c>
      <c r="AI41" s="17" t="str">
        <f aca="false">IF((E41="fa"),H41," ")</f>
        <v> </v>
      </c>
      <c r="AJ41" s="17" t="str">
        <f aca="false">IF((E41="e"),H41," ")</f>
        <v> </v>
      </c>
    </row>
    <row r="42" customFormat="false" ht="12" hidden="false" customHeight="false" outlineLevel="0" collapsed="false">
      <c r="A42" s="28"/>
      <c r="E42" s="2"/>
      <c r="F42" s="30"/>
      <c r="G42" s="6" t="str">
        <f aca="false">IF(F42&lt;&gt;0,F42*G$2/(100+G$2)," ")</f>
        <v> </v>
      </c>
      <c r="H42" s="6" t="str">
        <f aca="false">IF((F42&lt;&gt;0),F42-G42," ")</f>
        <v> </v>
      </c>
      <c r="I42" s="5"/>
      <c r="L42" s="7" t="str">
        <f aca="false">IF(F42&lt;&gt;0,F42-K42," ")</f>
        <v> </v>
      </c>
      <c r="M42" s="8" t="str">
        <f aca="false">IF((F42-K42)&lt;&gt;0,M$1-A42," ")</f>
        <v> </v>
      </c>
      <c r="N42" s="5"/>
      <c r="O42" s="17" t="str">
        <f aca="false">IF((E42="s"),H42," ")</f>
        <v> </v>
      </c>
      <c r="P42" s="17" t="str">
        <f aca="false">IF((E42="c"),H42," ")</f>
        <v> </v>
      </c>
      <c r="Q42" s="17" t="str">
        <f aca="false">IF((E42="o"),H42," ")</f>
        <v> </v>
      </c>
      <c r="R42" s="17" t="str">
        <f aca="false">IF((E42="d"),H42," ")</f>
        <v> </v>
      </c>
      <c r="S42" s="17" t="str">
        <f aca="false">IF((E42="w"),H42," ")</f>
        <v> </v>
      </c>
      <c r="T42" s="17" t="str">
        <f aca="false">IF((E42="r"),H42," ")</f>
        <v> </v>
      </c>
      <c r="U42" s="17" t="str">
        <f aca="false">IF((E42="p"),H42," ")</f>
        <v> </v>
      </c>
      <c r="V42" s="17" t="str">
        <f aca="false">IF((E42="t"),H42," ")</f>
        <v> </v>
      </c>
      <c r="W42" s="17" t="str">
        <f aca="false">IF((E42="q"),H42," ")</f>
        <v> </v>
      </c>
      <c r="X42" s="17" t="str">
        <f aca="false">IF((E42="m"),H42," ")</f>
        <v> </v>
      </c>
      <c r="Y42" s="17" t="str">
        <f aca="false">IF((E42="u"),H42," ")</f>
        <v> </v>
      </c>
      <c r="Z42" s="17" t="str">
        <f aca="false">IF((E42="a"),H42," ")</f>
        <v> </v>
      </c>
      <c r="AA42" s="17" t="str">
        <f aca="false">IF((E42="g"),H42," ")</f>
        <v> </v>
      </c>
      <c r="AB42" s="17" t="str">
        <f aca="false">IF((E42="h"),H42," ")</f>
        <v> </v>
      </c>
      <c r="AC42" s="30" t="str">
        <f aca="false">IF((E42="v"),H42," ")</f>
        <v> </v>
      </c>
      <c r="AD42" s="30" t="str">
        <f aca="false">IF((E42="n"),H42," ")</f>
        <v> </v>
      </c>
      <c r="AE42" s="17" t="str">
        <f aca="false">IF((E42="f"),H42," ")</f>
        <v> </v>
      </c>
      <c r="AF42" s="17" t="str">
        <f aca="false">IF((E42="l"),H42," ")</f>
        <v> </v>
      </c>
      <c r="AG42" s="17" t="str">
        <f aca="false">IF((E42="y"),H42," ")</f>
        <v> </v>
      </c>
      <c r="AH42" s="17" t="str">
        <f aca="false">IF((E42="z"),H42," ")</f>
        <v> </v>
      </c>
      <c r="AI42" s="17" t="str">
        <f aca="false">IF((E42="fa"),H42," ")</f>
        <v> </v>
      </c>
      <c r="AJ42" s="17" t="str">
        <f aca="false">IF((E42="e"),H42," ")</f>
        <v> </v>
      </c>
    </row>
    <row r="43" customFormat="false" ht="12" hidden="false" customHeight="false" outlineLevel="0" collapsed="false">
      <c r="A43" s="28"/>
      <c r="E43" s="2"/>
      <c r="F43" s="30"/>
      <c r="G43" s="6" t="str">
        <f aca="false">IF(F43&lt;&gt;0,F43*G$2/(100+G$2)," ")</f>
        <v> </v>
      </c>
      <c r="H43" s="6" t="str">
        <f aca="false">IF((F43&lt;&gt;0),F43-G43," ")</f>
        <v> </v>
      </c>
      <c r="I43" s="5"/>
      <c r="L43" s="7" t="str">
        <f aca="false">IF(F43&lt;&gt;0,F43-K43," ")</f>
        <v> </v>
      </c>
      <c r="M43" s="8" t="str">
        <f aca="false">IF((F43-K43)&lt;&gt;0,M$1-A43," ")</f>
        <v> </v>
      </c>
      <c r="N43" s="5"/>
      <c r="O43" s="17" t="str">
        <f aca="false">IF((E43="s"),H43," ")</f>
        <v> </v>
      </c>
      <c r="P43" s="17" t="str">
        <f aca="false">IF((E43="c"),H43," ")</f>
        <v> </v>
      </c>
      <c r="Q43" s="17" t="str">
        <f aca="false">IF((E43="o"),H43," ")</f>
        <v> </v>
      </c>
      <c r="R43" s="17" t="str">
        <f aca="false">IF((E43="d"),H43," ")</f>
        <v> </v>
      </c>
      <c r="S43" s="17" t="str">
        <f aca="false">IF((E43="w"),H43," ")</f>
        <v> </v>
      </c>
      <c r="T43" s="17" t="str">
        <f aca="false">IF((E43="r"),H43," ")</f>
        <v> </v>
      </c>
      <c r="U43" s="17" t="str">
        <f aca="false">IF((E43="p"),H43," ")</f>
        <v> </v>
      </c>
      <c r="V43" s="17" t="str">
        <f aca="false">IF((E43="t"),H43," ")</f>
        <v> </v>
      </c>
      <c r="W43" s="17" t="str">
        <f aca="false">IF((E43="q"),H43," ")</f>
        <v> </v>
      </c>
      <c r="X43" s="17" t="str">
        <f aca="false">IF((E43="m"),H43," ")</f>
        <v> </v>
      </c>
      <c r="Y43" s="17" t="str">
        <f aca="false">IF((E43="u"),H43," ")</f>
        <v> </v>
      </c>
      <c r="Z43" s="17" t="str">
        <f aca="false">IF((E43="a"),H43," ")</f>
        <v> </v>
      </c>
      <c r="AA43" s="17" t="str">
        <f aca="false">IF((E43="g"),H43," ")</f>
        <v> </v>
      </c>
      <c r="AB43" s="17" t="str">
        <f aca="false">IF((E43="h"),H43," ")</f>
        <v> </v>
      </c>
      <c r="AC43" s="30" t="str">
        <f aca="false">IF((E43="v"),H43," ")</f>
        <v> </v>
      </c>
      <c r="AD43" s="30" t="str">
        <f aca="false">IF((E43="n"),H43," ")</f>
        <v> </v>
      </c>
      <c r="AE43" s="17" t="str">
        <f aca="false">IF((E43="f"),H43," ")</f>
        <v> </v>
      </c>
      <c r="AF43" s="17" t="str">
        <f aca="false">IF((E43="l"),H43," ")</f>
        <v> </v>
      </c>
      <c r="AG43" s="17" t="str">
        <f aca="false">IF((E43="y"),H43," ")</f>
        <v> </v>
      </c>
      <c r="AH43" s="17" t="str">
        <f aca="false">IF((E43="z"),H43," ")</f>
        <v> </v>
      </c>
      <c r="AI43" s="17" t="str">
        <f aca="false">IF((E43="fa"),H43," ")</f>
        <v> </v>
      </c>
      <c r="AJ43" s="17" t="str">
        <f aca="false">IF((E43="e"),H43," ")</f>
        <v> </v>
      </c>
    </row>
    <row r="44" customFormat="false" ht="12" hidden="false" customHeight="false" outlineLevel="0" collapsed="false">
      <c r="A44" s="28"/>
      <c r="E44" s="2"/>
      <c r="F44" s="30"/>
      <c r="G44" s="6" t="str">
        <f aca="false">IF(F44&lt;&gt;0,F44*G$2/(100+G$2)," ")</f>
        <v> </v>
      </c>
      <c r="H44" s="6" t="str">
        <f aca="false">IF((F44&lt;&gt;0),F44-G44," ")</f>
        <v> </v>
      </c>
      <c r="I44" s="5"/>
      <c r="L44" s="7" t="str">
        <f aca="false">IF(F44&lt;&gt;0,F44-K44," ")</f>
        <v> </v>
      </c>
      <c r="M44" s="8" t="str">
        <f aca="false">IF((F44-K44)&lt;&gt;0,M$1-A44," ")</f>
        <v> </v>
      </c>
      <c r="N44" s="5"/>
      <c r="O44" s="17" t="str">
        <f aca="false">IF((E44="s"),H44," ")</f>
        <v> </v>
      </c>
      <c r="P44" s="17" t="str">
        <f aca="false">IF((E44="c"),H44," ")</f>
        <v> </v>
      </c>
      <c r="Q44" s="17" t="str">
        <f aca="false">IF((E44="o"),H44," ")</f>
        <v> </v>
      </c>
      <c r="R44" s="17" t="str">
        <f aca="false">IF((E44="d"),H44," ")</f>
        <v> </v>
      </c>
      <c r="S44" s="17" t="str">
        <f aca="false">IF((E44="w"),H44," ")</f>
        <v> </v>
      </c>
      <c r="T44" s="17" t="str">
        <f aca="false">IF((E44="r"),H44," ")</f>
        <v> </v>
      </c>
      <c r="U44" s="17" t="str">
        <f aca="false">IF((E44="p"),H44," ")</f>
        <v> </v>
      </c>
      <c r="V44" s="17" t="str">
        <f aca="false">IF((E44="t"),H44," ")</f>
        <v> </v>
      </c>
      <c r="W44" s="17" t="str">
        <f aca="false">IF((E44="q"),H44," ")</f>
        <v> </v>
      </c>
      <c r="X44" s="17" t="str">
        <f aca="false">IF((E44="m"),H44," ")</f>
        <v> </v>
      </c>
      <c r="Y44" s="17" t="str">
        <f aca="false">IF((E44="u"),H44," ")</f>
        <v> </v>
      </c>
      <c r="Z44" s="17" t="str">
        <f aca="false">IF((E44="a"),H44," ")</f>
        <v> </v>
      </c>
      <c r="AA44" s="17" t="str">
        <f aca="false">IF((E44="g"),H44," ")</f>
        <v> </v>
      </c>
      <c r="AB44" s="17" t="str">
        <f aca="false">IF((E44="h"),H44," ")</f>
        <v> </v>
      </c>
      <c r="AC44" s="30" t="str">
        <f aca="false">IF((E44="v"),H44," ")</f>
        <v> </v>
      </c>
      <c r="AD44" s="30" t="str">
        <f aca="false">IF((E44="n"),H44," ")</f>
        <v> </v>
      </c>
      <c r="AE44" s="17" t="str">
        <f aca="false">IF((E44="f"),H44," ")</f>
        <v> </v>
      </c>
      <c r="AF44" s="17" t="str">
        <f aca="false">IF((E44="l"),H44," ")</f>
        <v> </v>
      </c>
      <c r="AG44" s="17" t="str">
        <f aca="false">IF((E44="y"),H44," ")</f>
        <v> </v>
      </c>
      <c r="AH44" s="17" t="str">
        <f aca="false">IF((E44="z"),H44," ")</f>
        <v> </v>
      </c>
      <c r="AI44" s="17" t="str">
        <f aca="false">IF((E44="fa"),H44," ")</f>
        <v> </v>
      </c>
      <c r="AJ44" s="17" t="str">
        <f aca="false">IF((E44="e"),H44," ")</f>
        <v> </v>
      </c>
    </row>
    <row r="45" customFormat="false" ht="12" hidden="false" customHeight="false" outlineLevel="0" collapsed="false">
      <c r="A45" s="28"/>
      <c r="E45" s="2"/>
      <c r="F45" s="30"/>
      <c r="G45" s="6" t="str">
        <f aca="false">IF(F45&lt;&gt;0,F45*G$2/(100+G$2)," ")</f>
        <v> </v>
      </c>
      <c r="H45" s="6" t="str">
        <f aca="false">IF((F45&lt;&gt;0),F45-G45," ")</f>
        <v> </v>
      </c>
      <c r="I45" s="5"/>
      <c r="L45" s="7" t="str">
        <f aca="false">IF(F45&lt;&gt;0,F45-K45," ")</f>
        <v> </v>
      </c>
      <c r="M45" s="8" t="str">
        <f aca="false">IF((F45-K45)&lt;&gt;0,M$1-A45," ")</f>
        <v> </v>
      </c>
      <c r="N45" s="5"/>
      <c r="O45" s="17" t="str">
        <f aca="false">IF((E45="s"),H45," ")</f>
        <v> </v>
      </c>
      <c r="P45" s="17" t="str">
        <f aca="false">IF((E45="c"),H45," ")</f>
        <v> </v>
      </c>
      <c r="Q45" s="17" t="str">
        <f aca="false">IF((E45="o"),H45," ")</f>
        <v> </v>
      </c>
      <c r="R45" s="17" t="str">
        <f aca="false">IF((E45="d"),H45," ")</f>
        <v> </v>
      </c>
      <c r="S45" s="17" t="str">
        <f aca="false">IF((E45="w"),H45," ")</f>
        <v> </v>
      </c>
      <c r="T45" s="17" t="str">
        <f aca="false">IF((E45="r"),H45," ")</f>
        <v> </v>
      </c>
      <c r="U45" s="17" t="str">
        <f aca="false">IF((E45="p"),H45," ")</f>
        <v> </v>
      </c>
      <c r="V45" s="17" t="str">
        <f aca="false">IF((E45="t"),H45," ")</f>
        <v> </v>
      </c>
      <c r="W45" s="17" t="str">
        <f aca="false">IF((E45="q"),H45," ")</f>
        <v> </v>
      </c>
      <c r="X45" s="17" t="str">
        <f aca="false">IF((E45="m"),H45," ")</f>
        <v> </v>
      </c>
      <c r="Y45" s="17" t="str">
        <f aca="false">IF((E45="u"),H45," ")</f>
        <v> </v>
      </c>
      <c r="Z45" s="17" t="str">
        <f aca="false">IF((E45="a"),H45," ")</f>
        <v> </v>
      </c>
      <c r="AA45" s="17" t="str">
        <f aca="false">IF((E45="g"),H45," ")</f>
        <v> </v>
      </c>
      <c r="AB45" s="17" t="str">
        <f aca="false">IF((E45="h"),H45," ")</f>
        <v> </v>
      </c>
      <c r="AC45" s="30" t="str">
        <f aca="false">IF((E45="v"),H45," ")</f>
        <v> </v>
      </c>
      <c r="AD45" s="30" t="str">
        <f aca="false">IF((E45="n"),H45," ")</f>
        <v> </v>
      </c>
      <c r="AE45" s="17" t="str">
        <f aca="false">IF((E45="f"),H45," ")</f>
        <v> </v>
      </c>
      <c r="AF45" s="17" t="str">
        <f aca="false">IF((E45="l"),H45," ")</f>
        <v> </v>
      </c>
      <c r="AG45" s="17" t="str">
        <f aca="false">IF((E45="y"),H45," ")</f>
        <v> </v>
      </c>
      <c r="AH45" s="17" t="str">
        <f aca="false">IF((E45="z"),H45," ")</f>
        <v> </v>
      </c>
      <c r="AI45" s="17" t="str">
        <f aca="false">IF((E45="fa"),H45," ")</f>
        <v> </v>
      </c>
      <c r="AJ45" s="17" t="str">
        <f aca="false">IF((E45="e"),H45," ")</f>
        <v> </v>
      </c>
    </row>
    <row r="46" customFormat="false" ht="12" hidden="false" customHeight="false" outlineLevel="0" collapsed="false">
      <c r="A46" s="28"/>
      <c r="E46" s="2"/>
      <c r="F46" s="30"/>
      <c r="G46" s="6" t="str">
        <f aca="false">IF(F46&lt;&gt;0,F46*G$2/(100+G$2)," ")</f>
        <v> </v>
      </c>
      <c r="H46" s="6" t="str">
        <f aca="false">IF((F46&lt;&gt;0),F46-G46," ")</f>
        <v> </v>
      </c>
      <c r="I46" s="5"/>
      <c r="L46" s="7" t="str">
        <f aca="false">IF(F46&lt;&gt;0,F46-K46," ")</f>
        <v> </v>
      </c>
      <c r="M46" s="8" t="str">
        <f aca="false">IF((F46-K46)&lt;&gt;0,M$1-A46," ")</f>
        <v> </v>
      </c>
      <c r="N46" s="5"/>
      <c r="O46" s="17" t="str">
        <f aca="false">IF((E46="s"),H46," ")</f>
        <v> </v>
      </c>
      <c r="P46" s="17" t="str">
        <f aca="false">IF((E46="c"),H46," ")</f>
        <v> </v>
      </c>
      <c r="Q46" s="17" t="str">
        <f aca="false">IF((E46="o"),H46," ")</f>
        <v> </v>
      </c>
      <c r="R46" s="17" t="str">
        <f aca="false">IF((E46="d"),H46," ")</f>
        <v> </v>
      </c>
      <c r="S46" s="17" t="str">
        <f aca="false">IF((E46="w"),H46," ")</f>
        <v> </v>
      </c>
      <c r="T46" s="17" t="str">
        <f aca="false">IF((E46="r"),H46," ")</f>
        <v> </v>
      </c>
      <c r="U46" s="17" t="str">
        <f aca="false">IF((E46="p"),H46," ")</f>
        <v> </v>
      </c>
      <c r="V46" s="17" t="str">
        <f aca="false">IF((E46="t"),H46," ")</f>
        <v> </v>
      </c>
      <c r="W46" s="17" t="str">
        <f aca="false">IF((E46="q"),H46," ")</f>
        <v> </v>
      </c>
      <c r="X46" s="17" t="str">
        <f aca="false">IF((E46="m"),H46," ")</f>
        <v> </v>
      </c>
      <c r="Y46" s="17" t="str">
        <f aca="false">IF((E46="u"),H46," ")</f>
        <v> </v>
      </c>
      <c r="Z46" s="17" t="str">
        <f aca="false">IF((E46="a"),H46," ")</f>
        <v> </v>
      </c>
      <c r="AA46" s="17" t="str">
        <f aca="false">IF((E46="g"),H46," ")</f>
        <v> </v>
      </c>
      <c r="AB46" s="17" t="str">
        <f aca="false">IF((E46="h"),H46," ")</f>
        <v> </v>
      </c>
      <c r="AC46" s="30" t="str">
        <f aca="false">IF((E46="v"),H46," ")</f>
        <v> </v>
      </c>
      <c r="AD46" s="30" t="str">
        <f aca="false">IF((E46="n"),H46," ")</f>
        <v> </v>
      </c>
      <c r="AE46" s="17" t="str">
        <f aca="false">IF((E46="f"),H46," ")</f>
        <v> </v>
      </c>
      <c r="AF46" s="17" t="str">
        <f aca="false">IF((E46="l"),H46," ")</f>
        <v> </v>
      </c>
      <c r="AG46" s="17" t="str">
        <f aca="false">IF((E46="y"),H46," ")</f>
        <v> </v>
      </c>
      <c r="AH46" s="17" t="str">
        <f aca="false">IF((E46="z"),H46," ")</f>
        <v> </v>
      </c>
      <c r="AI46" s="17" t="str">
        <f aca="false">IF((E46="fa"),H46," ")</f>
        <v> </v>
      </c>
      <c r="AJ46" s="17" t="str">
        <f aca="false">IF((E46="e"),H46," ")</f>
        <v> </v>
      </c>
    </row>
    <row r="47" customFormat="false" ht="12" hidden="false" customHeight="false" outlineLevel="0" collapsed="false">
      <c r="A47" s="28"/>
      <c r="E47" s="2"/>
      <c r="F47" s="30"/>
      <c r="G47" s="6" t="str">
        <f aca="false">IF(F47&lt;&gt;0,F47*G$2/(100+G$2)," ")</f>
        <v> </v>
      </c>
      <c r="H47" s="6" t="str">
        <f aca="false">IF((F47&lt;&gt;0),F47-G47," ")</f>
        <v> </v>
      </c>
      <c r="I47" s="5"/>
      <c r="L47" s="7" t="str">
        <f aca="false">IF(F47&lt;&gt;0,F47-K47," ")</f>
        <v> </v>
      </c>
      <c r="M47" s="8" t="str">
        <f aca="false">IF((F47-K47)&lt;&gt;0,M$1-A47," ")</f>
        <v> </v>
      </c>
      <c r="N47" s="5"/>
      <c r="O47" s="17" t="str">
        <f aca="false">IF((E47="s"),H47," ")</f>
        <v> </v>
      </c>
      <c r="P47" s="17" t="str">
        <f aca="false">IF((E47="c"),H47," ")</f>
        <v> </v>
      </c>
      <c r="Q47" s="17" t="str">
        <f aca="false">IF((E47="o"),H47," ")</f>
        <v> </v>
      </c>
      <c r="R47" s="17" t="str">
        <f aca="false">IF((E47="d"),H47," ")</f>
        <v> </v>
      </c>
      <c r="S47" s="17" t="str">
        <f aca="false">IF((E47="w"),H47," ")</f>
        <v> </v>
      </c>
      <c r="T47" s="17" t="str">
        <f aca="false">IF((E47="r"),H47," ")</f>
        <v> </v>
      </c>
      <c r="U47" s="17" t="str">
        <f aca="false">IF((E47="p"),H47," ")</f>
        <v> </v>
      </c>
      <c r="V47" s="17" t="str">
        <f aca="false">IF((E47="t"),H47," ")</f>
        <v> </v>
      </c>
      <c r="W47" s="17" t="str">
        <f aca="false">IF((E47="q"),H47," ")</f>
        <v> </v>
      </c>
      <c r="X47" s="17" t="str">
        <f aca="false">IF((E47="m"),H47," ")</f>
        <v> </v>
      </c>
      <c r="Y47" s="17" t="str">
        <f aca="false">IF((E47="u"),H47," ")</f>
        <v> </v>
      </c>
      <c r="Z47" s="17" t="str">
        <f aca="false">IF((E47="a"),H47," ")</f>
        <v> </v>
      </c>
      <c r="AA47" s="17" t="str">
        <f aca="false">IF((E47="g"),H47," ")</f>
        <v> </v>
      </c>
      <c r="AB47" s="17" t="str">
        <f aca="false">IF((E47="h"),H47," ")</f>
        <v> </v>
      </c>
      <c r="AC47" s="30" t="str">
        <f aca="false">IF((E47="v"),H47," ")</f>
        <v> </v>
      </c>
      <c r="AD47" s="30" t="str">
        <f aca="false">IF((E47="n"),H47," ")</f>
        <v> </v>
      </c>
      <c r="AE47" s="17" t="str">
        <f aca="false">IF((E47="f"),H47," ")</f>
        <v> </v>
      </c>
      <c r="AF47" s="17" t="str">
        <f aca="false">IF((E47="l"),H47," ")</f>
        <v> </v>
      </c>
      <c r="AG47" s="17" t="str">
        <f aca="false">IF((E47="y"),H47," ")</f>
        <v> </v>
      </c>
      <c r="AH47" s="17" t="str">
        <f aca="false">IF((E47="z"),H47," ")</f>
        <v> </v>
      </c>
      <c r="AI47" s="17" t="str">
        <f aca="false">IF((E47="fa"),H47," ")</f>
        <v> </v>
      </c>
      <c r="AJ47" s="17" t="str">
        <f aca="false">IF((E47="e"),H47," ")</f>
        <v> </v>
      </c>
    </row>
    <row r="48" customFormat="false" ht="12" hidden="false" customHeight="false" outlineLevel="0" collapsed="false">
      <c r="A48" s="28"/>
      <c r="E48" s="2"/>
      <c r="F48" s="30"/>
      <c r="G48" s="6" t="str">
        <f aca="false">IF(F48&lt;&gt;0,F48*G$2/(100+G$2)," ")</f>
        <v> </v>
      </c>
      <c r="H48" s="6" t="str">
        <f aca="false">IF((F48&lt;&gt;0),F48-G48," ")</f>
        <v> </v>
      </c>
      <c r="I48" s="5"/>
      <c r="L48" s="7" t="str">
        <f aca="false">IF(F48&lt;&gt;0,F48-K48," ")</f>
        <v> </v>
      </c>
      <c r="M48" s="8" t="str">
        <f aca="false">IF((F48-K48)&lt;&gt;0,M$1-A48," ")</f>
        <v> </v>
      </c>
      <c r="N48" s="5"/>
      <c r="O48" s="17" t="str">
        <f aca="false">IF((E48="s"),H48," ")</f>
        <v> </v>
      </c>
      <c r="P48" s="17" t="str">
        <f aca="false">IF((E48="c"),H48," ")</f>
        <v> </v>
      </c>
      <c r="Q48" s="17" t="str">
        <f aca="false">IF((E48="o"),H48," ")</f>
        <v> </v>
      </c>
      <c r="R48" s="17" t="str">
        <f aca="false">IF((E48="d"),H48," ")</f>
        <v> </v>
      </c>
      <c r="S48" s="17" t="str">
        <f aca="false">IF((E48="w"),H48," ")</f>
        <v> </v>
      </c>
      <c r="T48" s="17" t="str">
        <f aca="false">IF((E48="r"),H48," ")</f>
        <v> </v>
      </c>
      <c r="U48" s="17" t="str">
        <f aca="false">IF((E48="p"),H48," ")</f>
        <v> </v>
      </c>
      <c r="V48" s="17" t="str">
        <f aca="false">IF((E48="t"),H48," ")</f>
        <v> </v>
      </c>
      <c r="W48" s="17" t="str">
        <f aca="false">IF((E48="q"),H48," ")</f>
        <v> </v>
      </c>
      <c r="X48" s="17" t="str">
        <f aca="false">IF((E48="m"),H48," ")</f>
        <v> </v>
      </c>
      <c r="Y48" s="17" t="str">
        <f aca="false">IF((E48="u"),H48," ")</f>
        <v> </v>
      </c>
      <c r="Z48" s="17" t="str">
        <f aca="false">IF((E48="a"),H48," ")</f>
        <v> </v>
      </c>
      <c r="AA48" s="17" t="str">
        <f aca="false">IF((E48="g"),H48," ")</f>
        <v> </v>
      </c>
      <c r="AB48" s="17" t="str">
        <f aca="false">IF((E48="h"),H48," ")</f>
        <v> </v>
      </c>
      <c r="AC48" s="30" t="str">
        <f aca="false">IF((E48="v"),H48," ")</f>
        <v> </v>
      </c>
      <c r="AD48" s="30" t="str">
        <f aca="false">IF((E48="n"),H48," ")</f>
        <v> </v>
      </c>
      <c r="AE48" s="17" t="str">
        <f aca="false">IF((E48="f"),H48," ")</f>
        <v> </v>
      </c>
      <c r="AF48" s="17" t="str">
        <f aca="false">IF((E48="l"),H48," ")</f>
        <v> </v>
      </c>
      <c r="AG48" s="17" t="str">
        <f aca="false">IF((E48="y"),H48," ")</f>
        <v> </v>
      </c>
      <c r="AH48" s="17" t="str">
        <f aca="false">IF((E48="z"),H48," ")</f>
        <v> </v>
      </c>
      <c r="AI48" s="17" t="str">
        <f aca="false">IF((E48="fa"),H48," ")</f>
        <v> </v>
      </c>
      <c r="AJ48" s="17" t="str">
        <f aca="false">IF((E48="e"),H48," ")</f>
        <v> </v>
      </c>
    </row>
    <row r="49" customFormat="false" ht="12" hidden="false" customHeight="false" outlineLevel="0" collapsed="false">
      <c r="A49" s="28"/>
      <c r="E49" s="2"/>
      <c r="F49" s="30"/>
      <c r="G49" s="6" t="str">
        <f aca="false">IF(F49&lt;&gt;0,F49*G$2/(100+G$2)," ")</f>
        <v> </v>
      </c>
      <c r="H49" s="6" t="str">
        <f aca="false">IF((F49&lt;&gt;0),F49-G49," ")</f>
        <v> </v>
      </c>
      <c r="I49" s="5"/>
      <c r="L49" s="7" t="str">
        <f aca="false">IF(F49&lt;&gt;0,F49-K49," ")</f>
        <v> </v>
      </c>
      <c r="M49" s="8" t="str">
        <f aca="false">IF((F49-K49)&lt;&gt;0,M$1-A49," ")</f>
        <v> </v>
      </c>
      <c r="N49" s="5"/>
      <c r="O49" s="17" t="str">
        <f aca="false">IF((E49="s"),H49," ")</f>
        <v> </v>
      </c>
      <c r="P49" s="17" t="str">
        <f aca="false">IF((E49="c"),H49," ")</f>
        <v> </v>
      </c>
      <c r="Q49" s="17" t="str">
        <f aca="false">IF((E49="o"),H49," ")</f>
        <v> </v>
      </c>
      <c r="R49" s="17" t="str">
        <f aca="false">IF((E49="d"),H49," ")</f>
        <v> </v>
      </c>
      <c r="S49" s="17" t="str">
        <f aca="false">IF((E49="w"),H49," ")</f>
        <v> </v>
      </c>
      <c r="T49" s="17" t="str">
        <f aca="false">IF((E49="r"),H49," ")</f>
        <v> </v>
      </c>
      <c r="U49" s="17" t="str">
        <f aca="false">IF((E49="p"),H49," ")</f>
        <v> </v>
      </c>
      <c r="V49" s="17" t="str">
        <f aca="false">IF((E49="t"),H49," ")</f>
        <v> </v>
      </c>
      <c r="W49" s="17" t="str">
        <f aca="false">IF((E49="q"),H49," ")</f>
        <v> </v>
      </c>
      <c r="X49" s="17" t="str">
        <f aca="false">IF((E49="m"),H49," ")</f>
        <v> </v>
      </c>
      <c r="Y49" s="17" t="str">
        <f aca="false">IF((E49="u"),H49," ")</f>
        <v> </v>
      </c>
      <c r="Z49" s="17" t="str">
        <f aca="false">IF((E49="a"),H49," ")</f>
        <v> </v>
      </c>
      <c r="AA49" s="17" t="str">
        <f aca="false">IF((E49="g"),H49," ")</f>
        <v> </v>
      </c>
      <c r="AB49" s="17" t="str">
        <f aca="false">IF((E49="h"),H49," ")</f>
        <v> </v>
      </c>
      <c r="AC49" s="30" t="str">
        <f aca="false">IF((E49="v"),H49," ")</f>
        <v> </v>
      </c>
      <c r="AD49" s="30" t="str">
        <f aca="false">IF((E49="n"),H49," ")</f>
        <v> </v>
      </c>
      <c r="AE49" s="17" t="str">
        <f aca="false">IF((E49="f"),H49," ")</f>
        <v> </v>
      </c>
      <c r="AF49" s="17" t="str">
        <f aca="false">IF((E49="l"),H49," ")</f>
        <v> </v>
      </c>
      <c r="AG49" s="17" t="str">
        <f aca="false">IF((E49="y"),H49," ")</f>
        <v> </v>
      </c>
      <c r="AH49" s="17" t="str">
        <f aca="false">IF((E49="z"),H49," ")</f>
        <v> </v>
      </c>
      <c r="AI49" s="17" t="str">
        <f aca="false">IF((E49="fa"),H49," ")</f>
        <v> </v>
      </c>
      <c r="AJ49" s="17" t="str">
        <f aca="false">IF((E49="e"),H49," ")</f>
        <v> </v>
      </c>
    </row>
    <row r="50" customFormat="false" ht="12" hidden="false" customHeight="false" outlineLevel="0" collapsed="false">
      <c r="A50" s="28"/>
      <c r="E50" s="2"/>
      <c r="F50" s="30"/>
      <c r="G50" s="6" t="str">
        <f aca="false">IF(F50&lt;&gt;0,F50*G$2/(100+G$2)," ")</f>
        <v> </v>
      </c>
      <c r="H50" s="6" t="str">
        <f aca="false">IF((F50&lt;&gt;0),F50-G50," ")</f>
        <v> </v>
      </c>
      <c r="I50" s="5"/>
      <c r="L50" s="7" t="str">
        <f aca="false">IF(F50&lt;&gt;0,F50-K50," ")</f>
        <v> </v>
      </c>
      <c r="M50" s="8" t="str">
        <f aca="false">IF((F50-K50)&lt;&gt;0,M$1-A50," ")</f>
        <v> </v>
      </c>
      <c r="N50" s="5"/>
      <c r="O50" s="17" t="str">
        <f aca="false">IF((E50="s"),H50," ")</f>
        <v> </v>
      </c>
      <c r="P50" s="17" t="str">
        <f aca="false">IF((E50="c"),H50," ")</f>
        <v> </v>
      </c>
      <c r="Q50" s="17" t="str">
        <f aca="false">IF((E50="o"),H50," ")</f>
        <v> </v>
      </c>
      <c r="R50" s="17" t="str">
        <f aca="false">IF((E50="d"),H50," ")</f>
        <v> </v>
      </c>
      <c r="S50" s="17" t="str">
        <f aca="false">IF((E50="w"),H50," ")</f>
        <v> </v>
      </c>
      <c r="T50" s="17" t="str">
        <f aca="false">IF((E50="r"),H50," ")</f>
        <v> </v>
      </c>
      <c r="U50" s="17" t="str">
        <f aca="false">IF((E50="p"),H50," ")</f>
        <v> </v>
      </c>
      <c r="V50" s="17" t="str">
        <f aca="false">IF((E50="t"),H50," ")</f>
        <v> </v>
      </c>
      <c r="W50" s="17" t="str">
        <f aca="false">IF((E50="q"),H50," ")</f>
        <v> </v>
      </c>
      <c r="X50" s="17" t="str">
        <f aca="false">IF((E50="m"),H50," ")</f>
        <v> </v>
      </c>
      <c r="Y50" s="17" t="str">
        <f aca="false">IF((E50="u"),H50," ")</f>
        <v> </v>
      </c>
      <c r="Z50" s="17" t="str">
        <f aca="false">IF((E50="a"),H50," ")</f>
        <v> </v>
      </c>
      <c r="AA50" s="17" t="str">
        <f aca="false">IF((E50="g"),H50," ")</f>
        <v> </v>
      </c>
      <c r="AB50" s="17" t="str">
        <f aca="false">IF((E50="h"),H50," ")</f>
        <v> </v>
      </c>
      <c r="AC50" s="30" t="str">
        <f aca="false">IF((E50="v"),H50," ")</f>
        <v> </v>
      </c>
      <c r="AD50" s="30" t="str">
        <f aca="false">IF((E50="n"),H50," ")</f>
        <v> </v>
      </c>
      <c r="AE50" s="17" t="str">
        <f aca="false">IF((E50="f"),H50," ")</f>
        <v> </v>
      </c>
      <c r="AF50" s="17" t="str">
        <f aca="false">IF((E50="l"),H50," ")</f>
        <v> </v>
      </c>
      <c r="AG50" s="17" t="str">
        <f aca="false">IF((E50="y"),H50," ")</f>
        <v> </v>
      </c>
      <c r="AH50" s="17" t="str">
        <f aca="false">IF((E50="z"),H50," ")</f>
        <v> </v>
      </c>
      <c r="AI50" s="17" t="str">
        <f aca="false">IF((E50="fa"),H50," ")</f>
        <v> </v>
      </c>
      <c r="AJ50" s="17" t="str">
        <f aca="false">IF((E50="e"),H50," ")</f>
        <v> </v>
      </c>
    </row>
    <row r="51" customFormat="false" ht="12" hidden="false" customHeight="false" outlineLevel="0" collapsed="false">
      <c r="A51" s="28"/>
      <c r="E51" s="2"/>
      <c r="F51" s="30"/>
      <c r="G51" s="6" t="str">
        <f aca="false">IF(F51&lt;&gt;0,F51*G$2/(100+G$2)," ")</f>
        <v> </v>
      </c>
      <c r="H51" s="6" t="str">
        <f aca="false">IF((F51&lt;&gt;0),F51-G51," ")</f>
        <v> </v>
      </c>
      <c r="I51" s="5"/>
      <c r="L51" s="7" t="str">
        <f aca="false">IF(F51&lt;&gt;0,F51-K51," ")</f>
        <v> </v>
      </c>
      <c r="M51" s="8" t="str">
        <f aca="false">IF((F51-K51)&lt;&gt;0,M$1-A51," ")</f>
        <v> </v>
      </c>
      <c r="N51" s="5"/>
      <c r="O51" s="17" t="str">
        <f aca="false">IF((E51="s"),H51," ")</f>
        <v> </v>
      </c>
      <c r="P51" s="17" t="str">
        <f aca="false">IF((E51="c"),H51," ")</f>
        <v> </v>
      </c>
      <c r="Q51" s="17" t="str">
        <f aca="false">IF((E51="o"),H51," ")</f>
        <v> </v>
      </c>
      <c r="R51" s="17" t="str">
        <f aca="false">IF((E51="d"),H51," ")</f>
        <v> </v>
      </c>
      <c r="S51" s="17" t="str">
        <f aca="false">IF((E51="w"),H51," ")</f>
        <v> </v>
      </c>
      <c r="T51" s="17" t="str">
        <f aca="false">IF((E51="r"),H51," ")</f>
        <v> </v>
      </c>
      <c r="U51" s="17" t="str">
        <f aca="false">IF((E51="p"),H51," ")</f>
        <v> </v>
      </c>
      <c r="V51" s="17" t="str">
        <f aca="false">IF((E51="t"),H51," ")</f>
        <v> </v>
      </c>
      <c r="W51" s="17" t="str">
        <f aca="false">IF((E51="q"),H51," ")</f>
        <v> </v>
      </c>
      <c r="X51" s="17" t="str">
        <f aca="false">IF((E51="m"),H51," ")</f>
        <v> </v>
      </c>
      <c r="Y51" s="17" t="str">
        <f aca="false">IF((E51="u"),H51," ")</f>
        <v> </v>
      </c>
      <c r="Z51" s="17" t="str">
        <f aca="false">IF((E51="a"),H51," ")</f>
        <v> </v>
      </c>
      <c r="AA51" s="17" t="str">
        <f aca="false">IF((E51="g"),H51," ")</f>
        <v> </v>
      </c>
      <c r="AB51" s="17" t="str">
        <f aca="false">IF((E51="h"),H51," ")</f>
        <v> </v>
      </c>
      <c r="AC51" s="30" t="str">
        <f aca="false">IF((E51="v"),H51," ")</f>
        <v> </v>
      </c>
      <c r="AD51" s="30" t="str">
        <f aca="false">IF((E51="n"),H51," ")</f>
        <v> </v>
      </c>
      <c r="AE51" s="17" t="str">
        <f aca="false">IF((E51="f"),H51," ")</f>
        <v> </v>
      </c>
      <c r="AF51" s="17" t="str">
        <f aca="false">IF((E51="l"),H51," ")</f>
        <v> </v>
      </c>
      <c r="AG51" s="17" t="str">
        <f aca="false">IF((E51="y"),H51," ")</f>
        <v> </v>
      </c>
      <c r="AH51" s="17" t="str">
        <f aca="false">IF((E51="z"),H51," ")</f>
        <v> </v>
      </c>
      <c r="AI51" s="17" t="str">
        <f aca="false">IF((E51="fa"),H51," ")</f>
        <v> </v>
      </c>
      <c r="AJ51" s="17" t="str">
        <f aca="false">IF((E51="e"),H51," ")</f>
        <v> </v>
      </c>
    </row>
    <row r="52" customFormat="false" ht="12" hidden="false" customHeight="false" outlineLevel="0" collapsed="false">
      <c r="A52" s="28"/>
      <c r="E52" s="2"/>
      <c r="F52" s="30"/>
      <c r="G52" s="6" t="str">
        <f aca="false">IF(F52&lt;&gt;0,F52*G$2/(100+G$2)," ")</f>
        <v> </v>
      </c>
      <c r="H52" s="6" t="str">
        <f aca="false">IF((F52&lt;&gt;0),F52-G52," ")</f>
        <v> </v>
      </c>
      <c r="I52" s="5"/>
      <c r="L52" s="7" t="str">
        <f aca="false">IF(F52&lt;&gt;0,F52-K52," ")</f>
        <v> </v>
      </c>
      <c r="M52" s="8" t="str">
        <f aca="false">IF((F52-K52)&lt;&gt;0,M$1-A52," ")</f>
        <v> </v>
      </c>
      <c r="N52" s="5"/>
      <c r="O52" s="17" t="str">
        <f aca="false">IF((E52="s"),H52," ")</f>
        <v> </v>
      </c>
      <c r="P52" s="17" t="str">
        <f aca="false">IF((E52="c"),H52," ")</f>
        <v> </v>
      </c>
      <c r="Q52" s="17" t="str">
        <f aca="false">IF((E52="o"),H52," ")</f>
        <v> </v>
      </c>
      <c r="R52" s="17" t="str">
        <f aca="false">IF((E52="d"),H52," ")</f>
        <v> </v>
      </c>
      <c r="S52" s="17" t="str">
        <f aca="false">IF((E52="w"),H52," ")</f>
        <v> </v>
      </c>
      <c r="T52" s="17" t="str">
        <f aca="false">IF((E52="r"),H52," ")</f>
        <v> </v>
      </c>
      <c r="U52" s="17" t="str">
        <f aca="false">IF((E52="p"),H52," ")</f>
        <v> </v>
      </c>
      <c r="V52" s="17" t="str">
        <f aca="false">IF((E52="t"),H52," ")</f>
        <v> </v>
      </c>
      <c r="W52" s="17" t="str">
        <f aca="false">IF((E52="q"),H52," ")</f>
        <v> </v>
      </c>
      <c r="X52" s="17" t="str">
        <f aca="false">IF((E52="m"),H52," ")</f>
        <v> </v>
      </c>
      <c r="Y52" s="17" t="str">
        <f aca="false">IF((E52="u"),H52," ")</f>
        <v> </v>
      </c>
      <c r="Z52" s="17" t="str">
        <f aca="false">IF((E52="a"),H52," ")</f>
        <v> </v>
      </c>
      <c r="AA52" s="17" t="str">
        <f aca="false">IF((E52="g"),H52," ")</f>
        <v> </v>
      </c>
      <c r="AB52" s="17" t="str">
        <f aca="false">IF((E52="h"),H52," ")</f>
        <v> </v>
      </c>
      <c r="AC52" s="30" t="str">
        <f aca="false">IF((E52="v"),H52," ")</f>
        <v> </v>
      </c>
      <c r="AD52" s="30" t="str">
        <f aca="false">IF((E52="n"),H52," ")</f>
        <v> </v>
      </c>
      <c r="AE52" s="17" t="str">
        <f aca="false">IF((E52="f"),H52," ")</f>
        <v> </v>
      </c>
      <c r="AF52" s="17" t="str">
        <f aca="false">IF((E52="l"),H52," ")</f>
        <v> </v>
      </c>
      <c r="AG52" s="17" t="str">
        <f aca="false">IF((E52="y"),H52," ")</f>
        <v> </v>
      </c>
      <c r="AH52" s="17" t="str">
        <f aca="false">IF((E52="z"),H52," ")</f>
        <v> </v>
      </c>
      <c r="AI52" s="17" t="str">
        <f aca="false">IF((E52="fa"),H52," ")</f>
        <v> </v>
      </c>
      <c r="AJ52" s="17" t="str">
        <f aca="false">IF((E52="e"),H52," ")</f>
        <v> </v>
      </c>
    </row>
    <row r="53" customFormat="false" ht="12" hidden="false" customHeight="false" outlineLevel="0" collapsed="false">
      <c r="A53" s="28"/>
      <c r="E53" s="2"/>
      <c r="F53" s="30"/>
      <c r="G53" s="6" t="str">
        <f aca="false">IF(F53&lt;&gt;0,F53*G$2/(100+G$2)," ")</f>
        <v> </v>
      </c>
      <c r="H53" s="6" t="str">
        <f aca="false">IF((F53&lt;&gt;0),F53-G53," ")</f>
        <v> </v>
      </c>
      <c r="I53" s="5"/>
      <c r="L53" s="7" t="str">
        <f aca="false">IF(F53&lt;&gt;0,F53-K53," ")</f>
        <v> </v>
      </c>
      <c r="M53" s="8" t="str">
        <f aca="false">IF((F53-K53)&lt;&gt;0,M$1-A53," ")</f>
        <v> </v>
      </c>
      <c r="N53" s="5"/>
      <c r="O53" s="17" t="str">
        <f aca="false">IF((E53="s"),H53," ")</f>
        <v> </v>
      </c>
      <c r="P53" s="17" t="str">
        <f aca="false">IF((E53="c"),H53," ")</f>
        <v> </v>
      </c>
      <c r="Q53" s="17" t="str">
        <f aca="false">IF((E53="o"),H53," ")</f>
        <v> </v>
      </c>
      <c r="R53" s="17" t="str">
        <f aca="false">IF((E53="d"),H53," ")</f>
        <v> </v>
      </c>
      <c r="S53" s="17" t="str">
        <f aca="false">IF((E53="w"),H53," ")</f>
        <v> </v>
      </c>
      <c r="T53" s="17" t="str">
        <f aca="false">IF((E53="r"),H53," ")</f>
        <v> </v>
      </c>
      <c r="U53" s="17" t="str">
        <f aca="false">IF((E53="p"),H53," ")</f>
        <v> </v>
      </c>
      <c r="V53" s="17" t="str">
        <f aca="false">IF((E53="t"),H53," ")</f>
        <v> </v>
      </c>
      <c r="W53" s="17" t="str">
        <f aca="false">IF((E53="q"),H53," ")</f>
        <v> </v>
      </c>
      <c r="X53" s="17" t="str">
        <f aca="false">IF((E53="m"),H53," ")</f>
        <v> </v>
      </c>
      <c r="Y53" s="17" t="str">
        <f aca="false">IF((E53="u"),H53," ")</f>
        <v> </v>
      </c>
      <c r="Z53" s="17" t="str">
        <f aca="false">IF((E53="a"),H53," ")</f>
        <v> </v>
      </c>
      <c r="AA53" s="17" t="str">
        <f aca="false">IF((E53="g"),H53," ")</f>
        <v> </v>
      </c>
      <c r="AB53" s="17" t="str">
        <f aca="false">IF((E53="h"),H53," ")</f>
        <v> </v>
      </c>
      <c r="AC53" s="30" t="str">
        <f aca="false">IF((E53="v"),H53," ")</f>
        <v> </v>
      </c>
      <c r="AD53" s="30" t="str">
        <f aca="false">IF((E53="n"),H53," ")</f>
        <v> </v>
      </c>
      <c r="AE53" s="17" t="str">
        <f aca="false">IF((E53="f"),H53," ")</f>
        <v> </v>
      </c>
      <c r="AF53" s="17" t="str">
        <f aca="false">IF((E53="l"),H53," ")</f>
        <v> </v>
      </c>
      <c r="AG53" s="17" t="str">
        <f aca="false">IF((E53="y"),H53," ")</f>
        <v> </v>
      </c>
      <c r="AH53" s="17" t="str">
        <f aca="false">IF((E53="z"),H53," ")</f>
        <v> </v>
      </c>
      <c r="AI53" s="17" t="str">
        <f aca="false">IF((E53="fa"),H53," ")</f>
        <v> </v>
      </c>
      <c r="AJ53" s="17" t="str">
        <f aca="false">IF((E53="e"),H53," ")</f>
        <v> </v>
      </c>
    </row>
    <row r="54" customFormat="false" ht="12" hidden="false" customHeight="false" outlineLevel="0" collapsed="false">
      <c r="A54" s="28"/>
      <c r="E54" s="2"/>
      <c r="F54" s="30"/>
      <c r="G54" s="6" t="str">
        <f aca="false">IF(F54&lt;&gt;0,F54*G$2/(100+G$2)," ")</f>
        <v> </v>
      </c>
      <c r="H54" s="6" t="str">
        <f aca="false">IF((F54&lt;&gt;0),F54-G54," ")</f>
        <v> </v>
      </c>
      <c r="I54" s="5"/>
      <c r="L54" s="7" t="str">
        <f aca="false">IF(F54&lt;&gt;0,F54-K54," ")</f>
        <v> </v>
      </c>
      <c r="M54" s="8" t="str">
        <f aca="false">IF((F54-K54)&lt;&gt;0,M$1-A54," ")</f>
        <v> </v>
      </c>
      <c r="N54" s="5"/>
      <c r="O54" s="17" t="str">
        <f aca="false">IF((E54="s"),H54," ")</f>
        <v> </v>
      </c>
      <c r="P54" s="17" t="str">
        <f aca="false">IF((E54="c"),H54," ")</f>
        <v> </v>
      </c>
      <c r="Q54" s="17" t="str">
        <f aca="false">IF((E54="o"),H54," ")</f>
        <v> </v>
      </c>
      <c r="R54" s="17" t="str">
        <f aca="false">IF((E54="d"),H54," ")</f>
        <v> </v>
      </c>
      <c r="S54" s="17" t="str">
        <f aca="false">IF((E54="w"),H54," ")</f>
        <v> </v>
      </c>
      <c r="T54" s="17" t="str">
        <f aca="false">IF((E54="r"),H54," ")</f>
        <v> </v>
      </c>
      <c r="U54" s="17" t="str">
        <f aca="false">IF((E54="p"),H54," ")</f>
        <v> </v>
      </c>
      <c r="V54" s="17" t="str">
        <f aca="false">IF((E54="t"),H54," ")</f>
        <v> </v>
      </c>
      <c r="W54" s="17" t="str">
        <f aca="false">IF((E54="q"),H54," ")</f>
        <v> </v>
      </c>
      <c r="X54" s="17" t="str">
        <f aca="false">IF((E54="m"),H54," ")</f>
        <v> </v>
      </c>
      <c r="Y54" s="17" t="str">
        <f aca="false">IF((E54="u"),H54," ")</f>
        <v> </v>
      </c>
      <c r="Z54" s="17" t="str">
        <f aca="false">IF((E54="a"),H54," ")</f>
        <v> </v>
      </c>
      <c r="AA54" s="17" t="str">
        <f aca="false">IF((E54="g"),H54," ")</f>
        <v> </v>
      </c>
      <c r="AB54" s="17" t="str">
        <f aca="false">IF((E54="h"),H54," ")</f>
        <v> </v>
      </c>
      <c r="AC54" s="30" t="str">
        <f aca="false">IF((E54="v"),H54," ")</f>
        <v> </v>
      </c>
      <c r="AD54" s="30" t="str">
        <f aca="false">IF((E54="n"),H54," ")</f>
        <v> </v>
      </c>
      <c r="AE54" s="17" t="str">
        <f aca="false">IF((E54="f"),H54," ")</f>
        <v> </v>
      </c>
      <c r="AF54" s="17" t="str">
        <f aca="false">IF((E54="l"),H54," ")</f>
        <v> </v>
      </c>
      <c r="AG54" s="17" t="str">
        <f aca="false">IF((E54="y"),H54," ")</f>
        <v> </v>
      </c>
      <c r="AH54" s="17" t="str">
        <f aca="false">IF((E54="z"),H54," ")</f>
        <v> </v>
      </c>
      <c r="AI54" s="17" t="str">
        <f aca="false">IF((E54="fa"),H54," ")</f>
        <v> </v>
      </c>
      <c r="AJ54" s="17" t="str">
        <f aca="false">IF((E54="e"),H54," ")</f>
        <v> </v>
      </c>
    </row>
    <row r="55" customFormat="false" ht="12" hidden="false" customHeight="false" outlineLevel="0" collapsed="false">
      <c r="A55" s="28"/>
      <c r="E55" s="2"/>
      <c r="F55" s="30"/>
      <c r="G55" s="6" t="str">
        <f aca="false">IF(F55&lt;&gt;0,F55*G$2/(100+G$2)," ")</f>
        <v> </v>
      </c>
      <c r="H55" s="6" t="str">
        <f aca="false">IF((F55&lt;&gt;0),F55-G55," ")</f>
        <v> </v>
      </c>
      <c r="I55" s="5"/>
      <c r="L55" s="7" t="str">
        <f aca="false">IF(F55&lt;&gt;0,F55-K55," ")</f>
        <v> </v>
      </c>
      <c r="M55" s="8" t="str">
        <f aca="false">IF((F55-K55)&lt;&gt;0,M$1-A55," ")</f>
        <v> </v>
      </c>
      <c r="N55" s="5"/>
      <c r="O55" s="17" t="str">
        <f aca="false">IF((E55="s"),H55," ")</f>
        <v> </v>
      </c>
      <c r="P55" s="17" t="str">
        <f aca="false">IF((E55="c"),H55," ")</f>
        <v> </v>
      </c>
      <c r="Q55" s="17" t="str">
        <f aca="false">IF((E55="o"),H55," ")</f>
        <v> </v>
      </c>
      <c r="R55" s="17" t="str">
        <f aca="false">IF((E55="d"),H55," ")</f>
        <v> </v>
      </c>
      <c r="S55" s="17" t="str">
        <f aca="false">IF((E55="w"),H55," ")</f>
        <v> </v>
      </c>
      <c r="T55" s="17" t="str">
        <f aca="false">IF((E55="r"),H55," ")</f>
        <v> </v>
      </c>
      <c r="U55" s="17" t="str">
        <f aca="false">IF((E55="p"),H55," ")</f>
        <v> </v>
      </c>
      <c r="V55" s="17" t="str">
        <f aca="false">IF((E55="t"),H55," ")</f>
        <v> </v>
      </c>
      <c r="W55" s="17" t="str">
        <f aca="false">IF((E55="q"),H55," ")</f>
        <v> </v>
      </c>
      <c r="X55" s="17" t="str">
        <f aca="false">IF((E55="m"),H55," ")</f>
        <v> </v>
      </c>
      <c r="Y55" s="17" t="str">
        <f aca="false">IF((E55="u"),H55," ")</f>
        <v> </v>
      </c>
      <c r="Z55" s="17" t="str">
        <f aca="false">IF((E55="a"),H55," ")</f>
        <v> </v>
      </c>
      <c r="AA55" s="17" t="str">
        <f aca="false">IF((E55="g"),H55," ")</f>
        <v> </v>
      </c>
      <c r="AB55" s="17" t="str">
        <f aca="false">IF((E55="h"),H55," ")</f>
        <v> </v>
      </c>
      <c r="AC55" s="30" t="str">
        <f aca="false">IF((E55="v"),H55," ")</f>
        <v> </v>
      </c>
      <c r="AD55" s="30" t="str">
        <f aca="false">IF((E55="n"),H55," ")</f>
        <v> </v>
      </c>
      <c r="AE55" s="17" t="str">
        <f aca="false">IF((E55="f"),H55," ")</f>
        <v> </v>
      </c>
      <c r="AF55" s="17" t="str">
        <f aca="false">IF((E55="l"),H55," ")</f>
        <v> </v>
      </c>
      <c r="AG55" s="17" t="str">
        <f aca="false">IF((E55="y"),H55," ")</f>
        <v> </v>
      </c>
      <c r="AH55" s="17" t="str">
        <f aca="false">IF((E55="z"),H55," ")</f>
        <v> </v>
      </c>
      <c r="AI55" s="17" t="str">
        <f aca="false">IF((E55="fa"),H55," ")</f>
        <v> </v>
      </c>
      <c r="AJ55" s="17" t="str">
        <f aca="false">IF((E55="e"),H55," ")</f>
        <v> </v>
      </c>
    </row>
    <row r="56" customFormat="false" ht="12" hidden="false" customHeight="false" outlineLevel="0" collapsed="false">
      <c r="A56" s="28"/>
      <c r="E56" s="2"/>
      <c r="F56" s="30"/>
      <c r="G56" s="6" t="str">
        <f aca="false">IF(F56&lt;&gt;0,F56*G$2/(100+G$2)," ")</f>
        <v> </v>
      </c>
      <c r="H56" s="6" t="str">
        <f aca="false">IF((F56&lt;&gt;0),F56-G56," ")</f>
        <v> </v>
      </c>
      <c r="I56" s="5"/>
      <c r="L56" s="7" t="str">
        <f aca="false">IF(F56&lt;&gt;0,F56-K56," ")</f>
        <v> </v>
      </c>
      <c r="M56" s="8" t="str">
        <f aca="false">IF((F56-K56)&lt;&gt;0,M$1-A56," ")</f>
        <v> </v>
      </c>
      <c r="N56" s="5"/>
      <c r="O56" s="17" t="str">
        <f aca="false">IF((E56="s"),H56," ")</f>
        <v> </v>
      </c>
      <c r="P56" s="17" t="str">
        <f aca="false">IF((E56="c"),H56," ")</f>
        <v> </v>
      </c>
      <c r="Q56" s="17" t="str">
        <f aca="false">IF((E56="o"),H56," ")</f>
        <v> </v>
      </c>
      <c r="R56" s="17" t="str">
        <f aca="false">IF((E56="d"),H56," ")</f>
        <v> </v>
      </c>
      <c r="S56" s="17" t="str">
        <f aca="false">IF((E56="w"),H56," ")</f>
        <v> </v>
      </c>
      <c r="T56" s="17" t="str">
        <f aca="false">IF((E56="r"),H56," ")</f>
        <v> </v>
      </c>
      <c r="U56" s="17" t="str">
        <f aca="false">IF((E56="p"),H56," ")</f>
        <v> </v>
      </c>
      <c r="V56" s="17" t="str">
        <f aca="false">IF((E56="t"),H56," ")</f>
        <v> </v>
      </c>
      <c r="W56" s="17" t="str">
        <f aca="false">IF((E56="q"),H56," ")</f>
        <v> </v>
      </c>
      <c r="X56" s="17" t="str">
        <f aca="false">IF((E56="m"),H56," ")</f>
        <v> </v>
      </c>
      <c r="Y56" s="17" t="str">
        <f aca="false">IF((E56="u"),H56," ")</f>
        <v> </v>
      </c>
      <c r="Z56" s="17" t="str">
        <f aca="false">IF((E56="a"),H56," ")</f>
        <v> </v>
      </c>
      <c r="AA56" s="17" t="str">
        <f aca="false">IF((E56="g"),H56," ")</f>
        <v> </v>
      </c>
      <c r="AB56" s="17" t="str">
        <f aca="false">IF((E56="h"),H56," ")</f>
        <v> </v>
      </c>
      <c r="AC56" s="30" t="str">
        <f aca="false">IF((E56="v"),H56," ")</f>
        <v> </v>
      </c>
      <c r="AD56" s="30" t="str">
        <f aca="false">IF((E56="n"),H56," ")</f>
        <v> </v>
      </c>
      <c r="AE56" s="17" t="str">
        <f aca="false">IF((E56="f"),H56," ")</f>
        <v> </v>
      </c>
      <c r="AF56" s="17" t="str">
        <f aca="false">IF((E56="l"),H56," ")</f>
        <v> </v>
      </c>
      <c r="AG56" s="17" t="str">
        <f aca="false">IF((E56="y"),H56," ")</f>
        <v> </v>
      </c>
      <c r="AH56" s="17" t="str">
        <f aca="false">IF((E56="z"),H56," ")</f>
        <v> </v>
      </c>
      <c r="AI56" s="17" t="str">
        <f aca="false">IF((E56="fa"),H56," ")</f>
        <v> </v>
      </c>
      <c r="AJ56" s="17" t="str">
        <f aca="false">IF((E56="e"),H56," ")</f>
        <v> </v>
      </c>
    </row>
    <row r="57" customFormat="false" ht="12" hidden="false" customHeight="false" outlineLevel="0" collapsed="false">
      <c r="A57" s="28"/>
      <c r="E57" s="2"/>
      <c r="F57" s="30"/>
      <c r="G57" s="6" t="str">
        <f aca="false">IF(F57&lt;&gt;0,F57*G$2/(100+G$2)," ")</f>
        <v> </v>
      </c>
      <c r="H57" s="6" t="str">
        <f aca="false">IF((F57&lt;&gt;0),F57-G57," ")</f>
        <v> </v>
      </c>
      <c r="I57" s="5"/>
      <c r="L57" s="7" t="str">
        <f aca="false">IF(F57&lt;&gt;0,F57-K57," ")</f>
        <v> </v>
      </c>
      <c r="M57" s="8" t="str">
        <f aca="false">IF((F57-K57)&lt;&gt;0,M$1-A57," ")</f>
        <v> </v>
      </c>
      <c r="N57" s="5"/>
      <c r="O57" s="17" t="str">
        <f aca="false">IF((E57="s"),H57," ")</f>
        <v> </v>
      </c>
      <c r="P57" s="17" t="str">
        <f aca="false">IF((E57="c"),H57," ")</f>
        <v> </v>
      </c>
      <c r="Q57" s="17" t="str">
        <f aca="false">IF((E57="o"),H57," ")</f>
        <v> </v>
      </c>
      <c r="R57" s="17" t="str">
        <f aca="false">IF((E57="d"),H57," ")</f>
        <v> </v>
      </c>
      <c r="S57" s="17" t="str">
        <f aca="false">IF((E57="w"),H57," ")</f>
        <v> </v>
      </c>
      <c r="T57" s="17" t="str">
        <f aca="false">IF((E57="r"),H57," ")</f>
        <v> </v>
      </c>
      <c r="U57" s="17" t="str">
        <f aca="false">IF((E57="p"),H57," ")</f>
        <v> </v>
      </c>
      <c r="V57" s="17" t="str">
        <f aca="false">IF((E57="t"),H57," ")</f>
        <v> </v>
      </c>
      <c r="W57" s="17" t="str">
        <f aca="false">IF((E57="q"),H57," ")</f>
        <v> </v>
      </c>
      <c r="X57" s="17" t="str">
        <f aca="false">IF((E57="m"),H57," ")</f>
        <v> </v>
      </c>
      <c r="Y57" s="17" t="str">
        <f aca="false">IF((E57="u"),H57," ")</f>
        <v> </v>
      </c>
      <c r="Z57" s="17" t="str">
        <f aca="false">IF((E57="a"),H57," ")</f>
        <v> </v>
      </c>
      <c r="AA57" s="17" t="str">
        <f aca="false">IF((E57="g"),H57," ")</f>
        <v> </v>
      </c>
      <c r="AB57" s="17" t="str">
        <f aca="false">IF((E57="h"),H57," ")</f>
        <v> </v>
      </c>
      <c r="AC57" s="30" t="str">
        <f aca="false">IF((E57="v"),H57," ")</f>
        <v> </v>
      </c>
      <c r="AD57" s="30" t="str">
        <f aca="false">IF((E57="n"),H57," ")</f>
        <v> </v>
      </c>
      <c r="AE57" s="17" t="str">
        <f aca="false">IF((E57="f"),H57," ")</f>
        <v> </v>
      </c>
      <c r="AF57" s="17" t="str">
        <f aca="false">IF((E57="l"),H57," ")</f>
        <v> </v>
      </c>
      <c r="AG57" s="17" t="str">
        <f aca="false">IF((E57="y"),H57," ")</f>
        <v> </v>
      </c>
      <c r="AH57" s="17" t="str">
        <f aca="false">IF((E57="z"),H57," ")</f>
        <v> </v>
      </c>
      <c r="AI57" s="17" t="str">
        <f aca="false">IF((E57="fa"),H57," ")</f>
        <v> </v>
      </c>
      <c r="AJ57" s="17" t="str">
        <f aca="false">IF((E57="e"),H57," ")</f>
        <v> </v>
      </c>
    </row>
    <row r="58" customFormat="false" ht="12" hidden="false" customHeight="false" outlineLevel="0" collapsed="false">
      <c r="A58" s="28"/>
      <c r="E58" s="2"/>
      <c r="F58" s="30"/>
      <c r="G58" s="6" t="str">
        <f aca="false">IF(F58&lt;&gt;0,F58*G$2/(100+G$2)," ")</f>
        <v> </v>
      </c>
      <c r="H58" s="6" t="str">
        <f aca="false">IF((F58&lt;&gt;0),F58-G58," ")</f>
        <v> </v>
      </c>
      <c r="I58" s="5"/>
      <c r="L58" s="7" t="str">
        <f aca="false">IF(F58&lt;&gt;0,F58-K58," ")</f>
        <v> </v>
      </c>
      <c r="M58" s="8" t="str">
        <f aca="false">IF((F58-K58)&lt;&gt;0,M$1-A58," ")</f>
        <v> </v>
      </c>
      <c r="N58" s="5"/>
      <c r="O58" s="17" t="str">
        <f aca="false">IF((E58="s"),H58," ")</f>
        <v> </v>
      </c>
      <c r="P58" s="17" t="str">
        <f aca="false">IF((E58="c"),H58," ")</f>
        <v> </v>
      </c>
      <c r="Q58" s="17" t="str">
        <f aca="false">IF((E58="o"),H58," ")</f>
        <v> </v>
      </c>
      <c r="R58" s="17" t="str">
        <f aca="false">IF((E58="d"),H58," ")</f>
        <v> </v>
      </c>
      <c r="S58" s="17" t="str">
        <f aca="false">IF((E58="w"),H58," ")</f>
        <v> </v>
      </c>
      <c r="T58" s="17" t="str">
        <f aca="false">IF((E58="r"),H58," ")</f>
        <v> </v>
      </c>
      <c r="U58" s="17" t="str">
        <f aca="false">IF((E58="p"),H58," ")</f>
        <v> </v>
      </c>
      <c r="V58" s="17" t="str">
        <f aca="false">IF((E58="t"),H58," ")</f>
        <v> </v>
      </c>
      <c r="W58" s="17" t="str">
        <f aca="false">IF((E58="q"),H58," ")</f>
        <v> </v>
      </c>
      <c r="X58" s="17" t="str">
        <f aca="false">IF((E58="m"),H58," ")</f>
        <v> </v>
      </c>
      <c r="Y58" s="17" t="str">
        <f aca="false">IF((E58="u"),H58," ")</f>
        <v> </v>
      </c>
      <c r="Z58" s="17" t="str">
        <f aca="false">IF((E58="a"),H58," ")</f>
        <v> </v>
      </c>
      <c r="AA58" s="17" t="str">
        <f aca="false">IF((E58="g"),H58," ")</f>
        <v> </v>
      </c>
      <c r="AB58" s="17" t="str">
        <f aca="false">IF((E58="h"),H58," ")</f>
        <v> </v>
      </c>
      <c r="AC58" s="30" t="str">
        <f aca="false">IF((E58="v"),H58," ")</f>
        <v> </v>
      </c>
      <c r="AD58" s="30" t="str">
        <f aca="false">IF((E58="n"),H58," ")</f>
        <v> </v>
      </c>
      <c r="AE58" s="17" t="str">
        <f aca="false">IF((E58="f"),H58," ")</f>
        <v> </v>
      </c>
      <c r="AF58" s="17" t="str">
        <f aca="false">IF((E58="l"),H58," ")</f>
        <v> </v>
      </c>
      <c r="AG58" s="17" t="str">
        <f aca="false">IF((E58="y"),H58," ")</f>
        <v> </v>
      </c>
      <c r="AH58" s="17" t="str">
        <f aca="false">IF((E58="z"),H58," ")</f>
        <v> </v>
      </c>
      <c r="AI58" s="17" t="str">
        <f aca="false">IF((E58="fa"),H58," ")</f>
        <v> </v>
      </c>
      <c r="AJ58" s="17" t="str">
        <f aca="false">IF((E58="e"),H58," ")</f>
        <v> </v>
      </c>
    </row>
    <row r="59" customFormat="false" ht="12" hidden="false" customHeight="false" outlineLevel="0" collapsed="false">
      <c r="A59" s="28"/>
      <c r="E59" s="2"/>
      <c r="F59" s="30"/>
      <c r="G59" s="6" t="str">
        <f aca="false">IF(F59&lt;&gt;0,F59*G$2/(100+G$2)," ")</f>
        <v> </v>
      </c>
      <c r="H59" s="6" t="str">
        <f aca="false">IF((F59&lt;&gt;0),F59-G59," ")</f>
        <v> </v>
      </c>
      <c r="I59" s="5"/>
      <c r="L59" s="7" t="str">
        <f aca="false">IF(F59&lt;&gt;0,F59-K59," ")</f>
        <v> </v>
      </c>
      <c r="M59" s="8" t="str">
        <f aca="false">IF((F59-K59)&lt;&gt;0,M$1-A59," ")</f>
        <v> </v>
      </c>
      <c r="N59" s="5"/>
      <c r="O59" s="17" t="str">
        <f aca="false">IF((E59="s"),H59," ")</f>
        <v> </v>
      </c>
      <c r="P59" s="17" t="str">
        <f aca="false">IF((E59="c"),H59," ")</f>
        <v> </v>
      </c>
      <c r="Q59" s="17" t="str">
        <f aca="false">IF((E59="o"),H59," ")</f>
        <v> </v>
      </c>
      <c r="R59" s="17" t="str">
        <f aca="false">IF((E59="d"),H59," ")</f>
        <v> </v>
      </c>
      <c r="S59" s="17" t="str">
        <f aca="false">IF((E59="w"),H59," ")</f>
        <v> </v>
      </c>
      <c r="T59" s="17" t="str">
        <f aca="false">IF((E59="r"),H59," ")</f>
        <v> </v>
      </c>
      <c r="U59" s="17" t="str">
        <f aca="false">IF((E59="p"),H59," ")</f>
        <v> </v>
      </c>
      <c r="V59" s="17" t="str">
        <f aca="false">IF((E59="t"),H59," ")</f>
        <v> </v>
      </c>
      <c r="W59" s="17" t="str">
        <f aca="false">IF((E59="q"),H59," ")</f>
        <v> </v>
      </c>
      <c r="X59" s="17" t="str">
        <f aca="false">IF((E59="m"),H59," ")</f>
        <v> </v>
      </c>
      <c r="Y59" s="17" t="str">
        <f aca="false">IF((E59="u"),H59," ")</f>
        <v> </v>
      </c>
      <c r="Z59" s="17" t="str">
        <f aca="false">IF((E59="a"),H59," ")</f>
        <v> </v>
      </c>
      <c r="AA59" s="17" t="str">
        <f aca="false">IF((E59="g"),H59," ")</f>
        <v> </v>
      </c>
      <c r="AB59" s="17" t="str">
        <f aca="false">IF((E59="h"),H59," ")</f>
        <v> </v>
      </c>
      <c r="AC59" s="30" t="str">
        <f aca="false">IF((E59="v"),H59," ")</f>
        <v> </v>
      </c>
      <c r="AD59" s="30" t="str">
        <f aca="false">IF((E59="n"),H59," ")</f>
        <v> </v>
      </c>
      <c r="AE59" s="17" t="str">
        <f aca="false">IF((E59="f"),H59," ")</f>
        <v> </v>
      </c>
      <c r="AF59" s="17" t="str">
        <f aca="false">IF((E59="l"),H59," ")</f>
        <v> </v>
      </c>
      <c r="AG59" s="17" t="str">
        <f aca="false">IF((E59="y"),H59," ")</f>
        <v> </v>
      </c>
      <c r="AH59" s="17" t="str">
        <f aca="false">IF((E59="z"),H59," ")</f>
        <v> </v>
      </c>
      <c r="AI59" s="17" t="str">
        <f aca="false">IF((E59="fa"),H59," ")</f>
        <v> </v>
      </c>
      <c r="AJ59" s="17" t="str">
        <f aca="false">IF((E59="e"),H59," ")</f>
        <v> </v>
      </c>
    </row>
    <row r="60" customFormat="false" ht="12" hidden="false" customHeight="false" outlineLevel="0" collapsed="false">
      <c r="A60" s="28"/>
      <c r="E60" s="2"/>
      <c r="F60" s="30"/>
      <c r="G60" s="6" t="str">
        <f aca="false">IF(F60&lt;&gt;0,F60*G$2/(100+G$2)," ")</f>
        <v> </v>
      </c>
      <c r="H60" s="6" t="str">
        <f aca="false">IF((F60&lt;&gt;0),F60-G60," ")</f>
        <v> </v>
      </c>
      <c r="I60" s="5"/>
      <c r="L60" s="7" t="str">
        <f aca="false">IF(F60&lt;&gt;0,F60-K60," ")</f>
        <v> </v>
      </c>
      <c r="M60" s="8" t="str">
        <f aca="false">IF((F60-K60)&lt;&gt;0,M$1-A60," ")</f>
        <v> </v>
      </c>
      <c r="N60" s="5"/>
      <c r="O60" s="17" t="str">
        <f aca="false">IF((E60="s"),H60," ")</f>
        <v> </v>
      </c>
      <c r="P60" s="17" t="str">
        <f aca="false">IF((E60="c"),H60," ")</f>
        <v> </v>
      </c>
      <c r="Q60" s="17" t="str">
        <f aca="false">IF((E60="o"),H60," ")</f>
        <v> </v>
      </c>
      <c r="R60" s="17" t="str">
        <f aca="false">IF((E60="d"),H60," ")</f>
        <v> </v>
      </c>
      <c r="S60" s="17" t="str">
        <f aca="false">IF((E60="w"),H60," ")</f>
        <v> </v>
      </c>
      <c r="T60" s="17" t="str">
        <f aca="false">IF((E60="r"),H60," ")</f>
        <v> </v>
      </c>
      <c r="U60" s="17" t="str">
        <f aca="false">IF((E60="p"),H60," ")</f>
        <v> </v>
      </c>
      <c r="V60" s="17" t="str">
        <f aca="false">IF((E60="t"),H60," ")</f>
        <v> </v>
      </c>
      <c r="W60" s="17" t="str">
        <f aca="false">IF((E60="q"),H60," ")</f>
        <v> </v>
      </c>
      <c r="X60" s="17" t="str">
        <f aca="false">IF((E60="m"),H60," ")</f>
        <v> </v>
      </c>
      <c r="Y60" s="17" t="str">
        <f aca="false">IF((E60="u"),H60," ")</f>
        <v> </v>
      </c>
      <c r="Z60" s="17" t="str">
        <f aca="false">IF((E60="a"),H60," ")</f>
        <v> </v>
      </c>
      <c r="AA60" s="17" t="str">
        <f aca="false">IF((E60="g"),H60," ")</f>
        <v> </v>
      </c>
      <c r="AB60" s="17" t="str">
        <f aca="false">IF((E60="h"),H60," ")</f>
        <v> </v>
      </c>
      <c r="AC60" s="30" t="str">
        <f aca="false">IF((E60="v"),H60," ")</f>
        <v> </v>
      </c>
      <c r="AD60" s="30" t="str">
        <f aca="false">IF((E60="n"),H60," ")</f>
        <v> </v>
      </c>
      <c r="AE60" s="17" t="str">
        <f aca="false">IF((E60="f"),H60," ")</f>
        <v> </v>
      </c>
      <c r="AF60" s="17" t="str">
        <f aca="false">IF((E60="l"),H60," ")</f>
        <v> </v>
      </c>
      <c r="AG60" s="17" t="str">
        <f aca="false">IF((E60="y"),H60," ")</f>
        <v> </v>
      </c>
      <c r="AH60" s="17" t="str">
        <f aca="false">IF((E60="z"),H60," ")</f>
        <v> </v>
      </c>
      <c r="AI60" s="17" t="str">
        <f aca="false">IF((E60="fa"),H60," ")</f>
        <v> </v>
      </c>
      <c r="AJ60" s="17" t="str">
        <f aca="false">IF((E60="e"),H60," ")</f>
        <v> </v>
      </c>
    </row>
    <row r="61" customFormat="false" ht="12" hidden="false" customHeight="false" outlineLevel="0" collapsed="false">
      <c r="A61" s="28"/>
      <c r="E61" s="2"/>
      <c r="F61" s="30"/>
      <c r="G61" s="6" t="str">
        <f aca="false">IF(F61&lt;&gt;0,F61*G$2/(100+G$2)," ")</f>
        <v> </v>
      </c>
      <c r="H61" s="6" t="str">
        <f aca="false">IF((F61&lt;&gt;0),F61-G61," ")</f>
        <v> </v>
      </c>
      <c r="I61" s="5"/>
      <c r="L61" s="7" t="str">
        <f aca="false">IF(F61&lt;&gt;0,F61-K61," ")</f>
        <v> </v>
      </c>
      <c r="M61" s="8" t="str">
        <f aca="false">IF((F61-K61)&lt;&gt;0,M$1-A61," ")</f>
        <v> </v>
      </c>
      <c r="N61" s="5"/>
      <c r="O61" s="17" t="str">
        <f aca="false">IF((E61="s"),H61," ")</f>
        <v> </v>
      </c>
      <c r="P61" s="17" t="str">
        <f aca="false">IF((E61="c"),H61," ")</f>
        <v> </v>
      </c>
      <c r="Q61" s="17" t="str">
        <f aca="false">IF((E61="o"),H61," ")</f>
        <v> </v>
      </c>
      <c r="R61" s="17" t="str">
        <f aca="false">IF((E61="d"),H61," ")</f>
        <v> </v>
      </c>
      <c r="S61" s="17" t="str">
        <f aca="false">IF((E61="w"),H61," ")</f>
        <v> </v>
      </c>
      <c r="T61" s="17" t="str">
        <f aca="false">IF((E61="r"),H61," ")</f>
        <v> </v>
      </c>
      <c r="U61" s="17" t="str">
        <f aca="false">IF((E61="p"),H61," ")</f>
        <v> </v>
      </c>
      <c r="V61" s="17" t="str">
        <f aca="false">IF((E61="t"),H61," ")</f>
        <v> </v>
      </c>
      <c r="W61" s="17" t="str">
        <f aca="false">IF((E61="q"),H61," ")</f>
        <v> </v>
      </c>
      <c r="X61" s="17" t="str">
        <f aca="false">IF((E61="m"),H61," ")</f>
        <v> </v>
      </c>
      <c r="Y61" s="17" t="str">
        <f aca="false">IF((E61="u"),H61," ")</f>
        <v> </v>
      </c>
      <c r="Z61" s="17" t="str">
        <f aca="false">IF((E61="a"),H61," ")</f>
        <v> </v>
      </c>
      <c r="AA61" s="17" t="str">
        <f aca="false">IF((E61="g"),H61," ")</f>
        <v> </v>
      </c>
      <c r="AB61" s="17" t="str">
        <f aca="false">IF((E61="h"),H61," ")</f>
        <v> </v>
      </c>
      <c r="AC61" s="30" t="str">
        <f aca="false">IF((E61="v"),H61," ")</f>
        <v> </v>
      </c>
      <c r="AD61" s="30" t="str">
        <f aca="false">IF((E61="n"),H61," ")</f>
        <v> </v>
      </c>
      <c r="AE61" s="17" t="str">
        <f aca="false">IF((E61="f"),H61," ")</f>
        <v> </v>
      </c>
      <c r="AF61" s="17" t="str">
        <f aca="false">IF((E61="l"),H61," ")</f>
        <v> </v>
      </c>
      <c r="AG61" s="17" t="str">
        <f aca="false">IF((E61="y"),H61," ")</f>
        <v> </v>
      </c>
      <c r="AH61" s="17" t="str">
        <f aca="false">IF((E61="z"),H61," ")</f>
        <v> </v>
      </c>
      <c r="AI61" s="17" t="str">
        <f aca="false">IF((E61="fa"),H61," ")</f>
        <v> </v>
      </c>
      <c r="AJ61" s="17" t="str">
        <f aca="false">IF((E61="e"),H61," ")</f>
        <v> </v>
      </c>
    </row>
    <row r="62" customFormat="false" ht="12" hidden="false" customHeight="false" outlineLevel="0" collapsed="false">
      <c r="A62" s="28"/>
      <c r="E62" s="2"/>
      <c r="F62" s="30"/>
      <c r="G62" s="6" t="str">
        <f aca="false">IF(F62&lt;&gt;0,F62*G$2/(100+G$2)," ")</f>
        <v> </v>
      </c>
      <c r="H62" s="6" t="str">
        <f aca="false">IF((F62&lt;&gt;0),F62-G62," ")</f>
        <v> </v>
      </c>
      <c r="I62" s="5"/>
      <c r="L62" s="7" t="str">
        <f aca="false">IF(F62&lt;&gt;0,F62-K62," ")</f>
        <v> </v>
      </c>
      <c r="M62" s="8" t="str">
        <f aca="false">IF((F62-K62)&lt;&gt;0,M$1-A62," ")</f>
        <v> </v>
      </c>
      <c r="N62" s="5"/>
      <c r="O62" s="17" t="str">
        <f aca="false">IF((E62="s"),H62," ")</f>
        <v> </v>
      </c>
      <c r="P62" s="17" t="str">
        <f aca="false">IF((E62="c"),H62," ")</f>
        <v> </v>
      </c>
      <c r="Q62" s="17" t="str">
        <f aca="false">IF((E62="o"),H62," ")</f>
        <v> </v>
      </c>
      <c r="R62" s="17" t="str">
        <f aca="false">IF((E62="d"),H62," ")</f>
        <v> </v>
      </c>
      <c r="S62" s="17" t="str">
        <f aca="false">IF((E62="w"),H62," ")</f>
        <v> </v>
      </c>
      <c r="T62" s="17" t="str">
        <f aca="false">IF((E62="r"),H62," ")</f>
        <v> </v>
      </c>
      <c r="U62" s="17" t="str">
        <f aca="false">IF((E62="p"),H62," ")</f>
        <v> </v>
      </c>
      <c r="V62" s="17" t="str">
        <f aca="false">IF((E62="t"),H62," ")</f>
        <v> </v>
      </c>
      <c r="W62" s="17" t="str">
        <f aca="false">IF((E62="q"),H62," ")</f>
        <v> </v>
      </c>
      <c r="X62" s="17" t="str">
        <f aca="false">IF((E62="m"),H62," ")</f>
        <v> </v>
      </c>
      <c r="Y62" s="17" t="str">
        <f aca="false">IF((E62="u"),H62," ")</f>
        <v> </v>
      </c>
      <c r="Z62" s="17" t="str">
        <f aca="false">IF((E62="a"),H62," ")</f>
        <v> </v>
      </c>
      <c r="AA62" s="17" t="str">
        <f aca="false">IF((E62="g"),H62," ")</f>
        <v> </v>
      </c>
      <c r="AB62" s="17" t="str">
        <f aca="false">IF((E62="h"),H62," ")</f>
        <v> </v>
      </c>
      <c r="AC62" s="30" t="str">
        <f aca="false">IF((E62="v"),H62," ")</f>
        <v> </v>
      </c>
      <c r="AD62" s="30" t="str">
        <f aca="false">IF((E62="n"),H62," ")</f>
        <v> </v>
      </c>
      <c r="AE62" s="17" t="str">
        <f aca="false">IF((E62="f"),H62," ")</f>
        <v> </v>
      </c>
      <c r="AF62" s="17" t="str">
        <f aca="false">IF((E62="l"),H62," ")</f>
        <v> </v>
      </c>
      <c r="AG62" s="17" t="str">
        <f aca="false">IF((E62="y"),H62," ")</f>
        <v> </v>
      </c>
      <c r="AH62" s="17" t="str">
        <f aca="false">IF((E62="z"),H62," ")</f>
        <v> </v>
      </c>
      <c r="AI62" s="17" t="str">
        <f aca="false">IF((E62="fa"),H62," ")</f>
        <v> </v>
      </c>
      <c r="AJ62" s="17" t="str">
        <f aca="false">IF((E62="e"),H62," ")</f>
        <v> </v>
      </c>
    </row>
    <row r="63" customFormat="false" ht="12" hidden="false" customHeight="false" outlineLevel="0" collapsed="false">
      <c r="A63" s="28"/>
      <c r="E63" s="2"/>
      <c r="F63" s="30"/>
      <c r="G63" s="6" t="str">
        <f aca="false">IF(F63&lt;&gt;0,F63*G$2/(100+G$2)," ")</f>
        <v> </v>
      </c>
      <c r="H63" s="6" t="str">
        <f aca="false">IF((F63&lt;&gt;0),F63-G63," ")</f>
        <v> </v>
      </c>
      <c r="I63" s="5"/>
      <c r="L63" s="7" t="str">
        <f aca="false">IF(F63&lt;&gt;0,F63-K63," ")</f>
        <v> </v>
      </c>
      <c r="M63" s="8" t="str">
        <f aca="false">IF((F63-K63)&lt;&gt;0,M$1-A63," ")</f>
        <v> </v>
      </c>
      <c r="N63" s="5"/>
      <c r="O63" s="17" t="str">
        <f aca="false">IF((E63="s"),H63," ")</f>
        <v> </v>
      </c>
      <c r="P63" s="17" t="str">
        <f aca="false">IF((E63="c"),H63," ")</f>
        <v> </v>
      </c>
      <c r="Q63" s="17" t="str">
        <f aca="false">IF((E63="o"),H63," ")</f>
        <v> </v>
      </c>
      <c r="R63" s="17" t="str">
        <f aca="false">IF((E63="d"),H63," ")</f>
        <v> </v>
      </c>
      <c r="S63" s="17" t="str">
        <f aca="false">IF((E63="w"),H63," ")</f>
        <v> </v>
      </c>
      <c r="T63" s="17" t="str">
        <f aca="false">IF((E63="r"),H63," ")</f>
        <v> </v>
      </c>
      <c r="U63" s="17" t="str">
        <f aca="false">IF((E63="p"),H63," ")</f>
        <v> </v>
      </c>
      <c r="V63" s="17" t="str">
        <f aca="false">IF((E63="t"),H63," ")</f>
        <v> </v>
      </c>
      <c r="W63" s="17" t="str">
        <f aca="false">IF((E63="q"),H63," ")</f>
        <v> </v>
      </c>
      <c r="X63" s="17" t="str">
        <f aca="false">IF((E63="m"),H63," ")</f>
        <v> </v>
      </c>
      <c r="Y63" s="17" t="str">
        <f aca="false">IF((E63="u"),H63," ")</f>
        <v> </v>
      </c>
      <c r="Z63" s="17" t="str">
        <f aca="false">IF((E63="a"),H63," ")</f>
        <v> </v>
      </c>
      <c r="AA63" s="17" t="str">
        <f aca="false">IF((E63="g"),H63," ")</f>
        <v> </v>
      </c>
      <c r="AB63" s="17" t="str">
        <f aca="false">IF((E63="h"),H63," ")</f>
        <v> </v>
      </c>
      <c r="AC63" s="30" t="str">
        <f aca="false">IF((E63="v"),H63," ")</f>
        <v> </v>
      </c>
      <c r="AD63" s="30" t="str">
        <f aca="false">IF((E63="n"),H63," ")</f>
        <v> </v>
      </c>
      <c r="AE63" s="17" t="str">
        <f aca="false">IF((E63="f"),H63," ")</f>
        <v> </v>
      </c>
      <c r="AF63" s="17" t="str">
        <f aca="false">IF((E63="l"),H63," ")</f>
        <v> </v>
      </c>
      <c r="AG63" s="17" t="str">
        <f aca="false">IF((E63="y"),H63," ")</f>
        <v> </v>
      </c>
      <c r="AH63" s="17" t="str">
        <f aca="false">IF((E63="z"),H63," ")</f>
        <v> </v>
      </c>
      <c r="AI63" s="17" t="str">
        <f aca="false">IF((E63="fa"),H63," ")</f>
        <v> </v>
      </c>
      <c r="AJ63" s="17" t="str">
        <f aca="false">IF((E63="e"),H63," ")</f>
        <v> </v>
      </c>
    </row>
    <row r="64" customFormat="false" ht="12" hidden="false" customHeight="false" outlineLevel="0" collapsed="false">
      <c r="A64" s="28"/>
      <c r="E64" s="2"/>
      <c r="F64" s="30"/>
      <c r="G64" s="6" t="str">
        <f aca="false">IF(F64&lt;&gt;0,F64*G$2/(100+G$2)," ")</f>
        <v> </v>
      </c>
      <c r="H64" s="6" t="str">
        <f aca="false">IF((F64&lt;&gt;0),F64-G64," ")</f>
        <v> </v>
      </c>
      <c r="I64" s="5"/>
      <c r="L64" s="7" t="str">
        <f aca="false">IF(F64&lt;&gt;0,F64-K64," ")</f>
        <v> </v>
      </c>
      <c r="M64" s="8" t="str">
        <f aca="false">IF((F64-K64)&lt;&gt;0,M$1-A64," ")</f>
        <v> </v>
      </c>
      <c r="N64" s="5"/>
      <c r="O64" s="17" t="str">
        <f aca="false">IF((E64="s"),H64," ")</f>
        <v> </v>
      </c>
      <c r="P64" s="17" t="str">
        <f aca="false">IF((E64="c"),H64," ")</f>
        <v> </v>
      </c>
      <c r="Q64" s="17" t="str">
        <f aca="false">IF((E64="o"),H64," ")</f>
        <v> </v>
      </c>
      <c r="R64" s="17" t="str">
        <f aca="false">IF((E64="d"),H64," ")</f>
        <v> </v>
      </c>
      <c r="S64" s="17" t="str">
        <f aca="false">IF((E64="w"),H64," ")</f>
        <v> </v>
      </c>
      <c r="T64" s="17" t="str">
        <f aca="false">IF((E64="r"),H64," ")</f>
        <v> </v>
      </c>
      <c r="U64" s="17" t="str">
        <f aca="false">IF((E64="p"),H64," ")</f>
        <v> </v>
      </c>
      <c r="V64" s="17" t="str">
        <f aca="false">IF((E64="t"),H64," ")</f>
        <v> </v>
      </c>
      <c r="W64" s="17" t="str">
        <f aca="false">IF((E64="q"),H64," ")</f>
        <v> </v>
      </c>
      <c r="X64" s="17" t="str">
        <f aca="false">IF((E64="m"),H64," ")</f>
        <v> </v>
      </c>
      <c r="Y64" s="17" t="str">
        <f aca="false">IF((E64="u"),H64," ")</f>
        <v> </v>
      </c>
      <c r="Z64" s="17" t="str">
        <f aca="false">IF((E64="a"),H64," ")</f>
        <v> </v>
      </c>
      <c r="AA64" s="17" t="str">
        <f aca="false">IF((E64="g"),H64," ")</f>
        <v> </v>
      </c>
      <c r="AB64" s="17" t="str">
        <f aca="false">IF((E64="h"),H64," ")</f>
        <v> </v>
      </c>
      <c r="AC64" s="30" t="str">
        <f aca="false">IF((E64="v"),H64," ")</f>
        <v> </v>
      </c>
      <c r="AD64" s="30" t="str">
        <f aca="false">IF((E64="n"),H64," ")</f>
        <v> </v>
      </c>
      <c r="AE64" s="17" t="str">
        <f aca="false">IF((E64="f"),H64," ")</f>
        <v> </v>
      </c>
      <c r="AF64" s="17" t="str">
        <f aca="false">IF((E64="l"),H64," ")</f>
        <v> </v>
      </c>
      <c r="AG64" s="17" t="str">
        <f aca="false">IF((E64="y"),H64," ")</f>
        <v> </v>
      </c>
      <c r="AH64" s="17" t="str">
        <f aca="false">IF((E64="z"),H64," ")</f>
        <v> </v>
      </c>
      <c r="AI64" s="17" t="str">
        <f aca="false">IF((E64="fa"),H64," ")</f>
        <v> </v>
      </c>
      <c r="AJ64" s="17" t="str">
        <f aca="false">IF((E64="e"),H64," ")</f>
        <v> </v>
      </c>
    </row>
    <row r="65" customFormat="false" ht="12" hidden="false" customHeight="false" outlineLevel="0" collapsed="false">
      <c r="A65" s="28"/>
      <c r="E65" s="2"/>
      <c r="F65" s="30"/>
      <c r="G65" s="6" t="str">
        <f aca="false">IF(F65&lt;&gt;0,F65*G$2/(100+G$2)," ")</f>
        <v> </v>
      </c>
      <c r="H65" s="6" t="str">
        <f aca="false">IF((F65&lt;&gt;0),F65-G65," ")</f>
        <v> </v>
      </c>
      <c r="I65" s="5"/>
      <c r="L65" s="7" t="str">
        <f aca="false">IF(F65&lt;&gt;0,F65-K65," ")</f>
        <v> </v>
      </c>
      <c r="M65" s="8" t="str">
        <f aca="false">IF((F65-K65)&lt;&gt;0,M$1-A65," ")</f>
        <v> </v>
      </c>
      <c r="N65" s="5"/>
      <c r="O65" s="17" t="str">
        <f aca="false">IF((E65="s"),H65," ")</f>
        <v> </v>
      </c>
      <c r="P65" s="17" t="str">
        <f aca="false">IF((E65="c"),H65," ")</f>
        <v> </v>
      </c>
      <c r="Q65" s="17" t="str">
        <f aca="false">IF((E65="o"),H65," ")</f>
        <v> </v>
      </c>
      <c r="R65" s="17" t="str">
        <f aca="false">IF((E65="d"),H65," ")</f>
        <v> </v>
      </c>
      <c r="S65" s="17" t="str">
        <f aca="false">IF((E65="w"),H65," ")</f>
        <v> </v>
      </c>
      <c r="T65" s="17" t="str">
        <f aca="false">IF((E65="r"),H65," ")</f>
        <v> </v>
      </c>
      <c r="U65" s="17" t="str">
        <f aca="false">IF((E65="p"),H65," ")</f>
        <v> </v>
      </c>
      <c r="V65" s="17" t="str">
        <f aca="false">IF((E65="t"),H65," ")</f>
        <v> </v>
      </c>
      <c r="W65" s="17" t="str">
        <f aca="false">IF((E65="q"),H65," ")</f>
        <v> </v>
      </c>
      <c r="X65" s="17" t="str">
        <f aca="false">IF((E65="m"),H65," ")</f>
        <v> </v>
      </c>
      <c r="Y65" s="17" t="str">
        <f aca="false">IF((E65="u"),H65," ")</f>
        <v> </v>
      </c>
      <c r="Z65" s="17" t="str">
        <f aca="false">IF((E65="a"),H65," ")</f>
        <v> </v>
      </c>
      <c r="AA65" s="17" t="str">
        <f aca="false">IF((E65="g"),H65," ")</f>
        <v> </v>
      </c>
      <c r="AB65" s="17" t="str">
        <f aca="false">IF((E65="h"),H65," ")</f>
        <v> </v>
      </c>
      <c r="AC65" s="30" t="str">
        <f aca="false">IF((E65="v"),H65," ")</f>
        <v> </v>
      </c>
      <c r="AD65" s="30" t="str">
        <f aca="false">IF((E65="n"),H65," ")</f>
        <v> </v>
      </c>
      <c r="AE65" s="17" t="str">
        <f aca="false">IF((E65="f"),H65," ")</f>
        <v> </v>
      </c>
      <c r="AF65" s="17" t="str">
        <f aca="false">IF((E65="l"),H65," ")</f>
        <v> </v>
      </c>
      <c r="AG65" s="17" t="str">
        <f aca="false">IF((E65="y"),H65," ")</f>
        <v> </v>
      </c>
      <c r="AH65" s="17" t="str">
        <f aca="false">IF((E65="z"),H65," ")</f>
        <v> </v>
      </c>
      <c r="AI65" s="17" t="str">
        <f aca="false">IF((E65="fa"),H65," ")</f>
        <v> </v>
      </c>
      <c r="AJ65" s="17" t="str">
        <f aca="false">IF((E65="e"),H65," ")</f>
        <v> </v>
      </c>
    </row>
    <row r="66" customFormat="false" ht="12" hidden="false" customHeight="false" outlineLevel="0" collapsed="false">
      <c r="A66" s="28"/>
      <c r="E66" s="2"/>
      <c r="F66" s="30"/>
      <c r="G66" s="6" t="str">
        <f aca="false">IF(F66&lt;&gt;0,F66*G$2/(100+G$2)," ")</f>
        <v> </v>
      </c>
      <c r="H66" s="6" t="str">
        <f aca="false">IF((F66&lt;&gt;0),F66-G66," ")</f>
        <v> </v>
      </c>
      <c r="I66" s="5"/>
      <c r="L66" s="7" t="str">
        <f aca="false">IF(F66&lt;&gt;0,F66-K66," ")</f>
        <v> </v>
      </c>
      <c r="M66" s="8" t="str">
        <f aca="false">IF((F66-K66)&lt;&gt;0,M$1-A66," ")</f>
        <v> </v>
      </c>
      <c r="N66" s="5"/>
      <c r="O66" s="17" t="str">
        <f aca="false">IF((E66="s"),H66," ")</f>
        <v> </v>
      </c>
      <c r="P66" s="17" t="str">
        <f aca="false">IF((E66="c"),H66," ")</f>
        <v> </v>
      </c>
      <c r="Q66" s="17" t="str">
        <f aca="false">IF((E66="o"),H66," ")</f>
        <v> </v>
      </c>
      <c r="R66" s="17" t="str">
        <f aca="false">IF((E66="d"),H66," ")</f>
        <v> </v>
      </c>
      <c r="S66" s="17" t="str">
        <f aca="false">IF((E66="w"),H66," ")</f>
        <v> </v>
      </c>
      <c r="T66" s="17" t="str">
        <f aca="false">IF((E66="r"),H66," ")</f>
        <v> </v>
      </c>
      <c r="U66" s="17" t="str">
        <f aca="false">IF((E66="p"),H66," ")</f>
        <v> </v>
      </c>
      <c r="V66" s="17" t="str">
        <f aca="false">IF((E66="t"),H66," ")</f>
        <v> </v>
      </c>
      <c r="W66" s="17" t="str">
        <f aca="false">IF((E66="q"),H66," ")</f>
        <v> </v>
      </c>
      <c r="X66" s="17" t="str">
        <f aca="false">IF((E66="m"),H66," ")</f>
        <v> </v>
      </c>
      <c r="Y66" s="17" t="str">
        <f aca="false">IF((E66="u"),H66," ")</f>
        <v> </v>
      </c>
      <c r="Z66" s="17" t="str">
        <f aca="false">IF((E66="a"),H66," ")</f>
        <v> </v>
      </c>
      <c r="AA66" s="17" t="str">
        <f aca="false">IF((E66="g"),H66," ")</f>
        <v> </v>
      </c>
      <c r="AB66" s="17" t="str">
        <f aca="false">IF((E66="h"),H66," ")</f>
        <v> </v>
      </c>
      <c r="AC66" s="30" t="str">
        <f aca="false">IF((E66="v"),H66," ")</f>
        <v> </v>
      </c>
      <c r="AD66" s="30" t="str">
        <f aca="false">IF((E66="n"),H66," ")</f>
        <v> </v>
      </c>
      <c r="AE66" s="17" t="str">
        <f aca="false">IF((E66="f"),H66," ")</f>
        <v> </v>
      </c>
      <c r="AF66" s="17" t="str">
        <f aca="false">IF((E66="l"),H66," ")</f>
        <v> </v>
      </c>
      <c r="AG66" s="17" t="str">
        <f aca="false">IF((E66="y"),H66," ")</f>
        <v> </v>
      </c>
      <c r="AH66" s="17" t="str">
        <f aca="false">IF((E66="z"),H66," ")</f>
        <v> </v>
      </c>
      <c r="AI66" s="17" t="str">
        <f aca="false">IF((E66="fa"),H66," ")</f>
        <v> </v>
      </c>
      <c r="AJ66" s="17" t="str">
        <f aca="false">IF((E66="e"),H66," ")</f>
        <v> </v>
      </c>
    </row>
    <row r="67" customFormat="false" ht="12" hidden="false" customHeight="false" outlineLevel="0" collapsed="false">
      <c r="A67" s="28"/>
      <c r="E67" s="2"/>
      <c r="F67" s="30"/>
      <c r="G67" s="6" t="str">
        <f aca="false">IF(F67&lt;&gt;0,F67*G$2/(100+G$2)," ")</f>
        <v> </v>
      </c>
      <c r="H67" s="6" t="str">
        <f aca="false">IF((F67&lt;&gt;0),F67-G67," ")</f>
        <v> </v>
      </c>
      <c r="I67" s="5"/>
      <c r="L67" s="7" t="str">
        <f aca="false">IF(F67&lt;&gt;0,F67-K67," ")</f>
        <v> </v>
      </c>
      <c r="M67" s="8" t="str">
        <f aca="false">IF((F67-K67)&lt;&gt;0,M$1-A67," ")</f>
        <v> </v>
      </c>
      <c r="N67" s="5"/>
      <c r="O67" s="17" t="str">
        <f aca="false">IF((E67="s"),H67," ")</f>
        <v> </v>
      </c>
      <c r="P67" s="17" t="str">
        <f aca="false">IF((E67="c"),H67," ")</f>
        <v> </v>
      </c>
      <c r="Q67" s="17" t="str">
        <f aca="false">IF((E67="o"),H67," ")</f>
        <v> </v>
      </c>
      <c r="R67" s="17" t="str">
        <f aca="false">IF((E67="d"),H67," ")</f>
        <v> </v>
      </c>
      <c r="S67" s="17" t="str">
        <f aca="false">IF((E67="w"),H67," ")</f>
        <v> </v>
      </c>
      <c r="T67" s="17" t="str">
        <f aca="false">IF((E67="r"),H67," ")</f>
        <v> </v>
      </c>
      <c r="U67" s="17" t="str">
        <f aca="false">IF((E67="p"),H67," ")</f>
        <v> </v>
      </c>
      <c r="V67" s="17" t="str">
        <f aca="false">IF((E67="t"),H67," ")</f>
        <v> </v>
      </c>
      <c r="W67" s="17" t="str">
        <f aca="false">IF((E67="q"),H67," ")</f>
        <v> </v>
      </c>
      <c r="X67" s="17" t="str">
        <f aca="false">IF((E67="m"),H67," ")</f>
        <v> </v>
      </c>
      <c r="Y67" s="17" t="str">
        <f aca="false">IF((E67="u"),H67," ")</f>
        <v> </v>
      </c>
      <c r="Z67" s="17" t="str">
        <f aca="false">IF((E67="a"),H67," ")</f>
        <v> </v>
      </c>
      <c r="AA67" s="17" t="str">
        <f aca="false">IF((E67="g"),H67," ")</f>
        <v> </v>
      </c>
      <c r="AB67" s="17" t="str">
        <f aca="false">IF((E67="h"),H67," ")</f>
        <v> </v>
      </c>
      <c r="AC67" s="30" t="str">
        <f aca="false">IF((E67="v"),H67," ")</f>
        <v> </v>
      </c>
      <c r="AD67" s="30" t="str">
        <f aca="false">IF((E67="n"),H67," ")</f>
        <v> </v>
      </c>
      <c r="AE67" s="17" t="str">
        <f aca="false">IF((E67="f"),H67," ")</f>
        <v> </v>
      </c>
      <c r="AF67" s="17" t="str">
        <f aca="false">IF((E67="l"),H67," ")</f>
        <v> </v>
      </c>
      <c r="AG67" s="17" t="str">
        <f aca="false">IF((E67="y"),H67," ")</f>
        <v> </v>
      </c>
      <c r="AH67" s="17" t="str">
        <f aca="false">IF((E67="z"),H67," ")</f>
        <v> </v>
      </c>
      <c r="AI67" s="17" t="str">
        <f aca="false">IF((E67="fa"),H67," ")</f>
        <v> </v>
      </c>
      <c r="AJ67" s="17" t="str">
        <f aca="false">IF((E67="e"),H67," ")</f>
        <v> </v>
      </c>
    </row>
    <row r="68" customFormat="false" ht="12" hidden="false" customHeight="false" outlineLevel="0" collapsed="false">
      <c r="A68" s="28"/>
      <c r="E68" s="2"/>
      <c r="F68" s="30"/>
      <c r="G68" s="6" t="str">
        <f aca="false">IF(F68&lt;&gt;0,F68*G$2/(100+G$2)," ")</f>
        <v> </v>
      </c>
      <c r="H68" s="6" t="str">
        <f aca="false">IF((F68&lt;&gt;0),F68-G68," ")</f>
        <v> </v>
      </c>
      <c r="I68" s="5"/>
      <c r="L68" s="7" t="str">
        <f aca="false">IF(F68&lt;&gt;0,F68-K68," ")</f>
        <v> </v>
      </c>
      <c r="M68" s="8" t="str">
        <f aca="false">IF((F68-K68)&lt;&gt;0,M$1-A68," ")</f>
        <v> </v>
      </c>
      <c r="N68" s="5"/>
      <c r="O68" s="17" t="str">
        <f aca="false">IF((E68="s"),H68," ")</f>
        <v> </v>
      </c>
      <c r="P68" s="17" t="str">
        <f aca="false">IF((E68="c"),H68," ")</f>
        <v> </v>
      </c>
      <c r="Q68" s="17" t="str">
        <f aca="false">IF((E68="o"),H68," ")</f>
        <v> </v>
      </c>
      <c r="R68" s="17" t="str">
        <f aca="false">IF((E68="d"),H68," ")</f>
        <v> </v>
      </c>
      <c r="S68" s="17" t="str">
        <f aca="false">IF((E68="w"),H68," ")</f>
        <v> </v>
      </c>
      <c r="T68" s="17" t="str">
        <f aca="false">IF((E68="r"),H68," ")</f>
        <v> </v>
      </c>
      <c r="U68" s="17" t="str">
        <f aca="false">IF((E68="p"),H68," ")</f>
        <v> </v>
      </c>
      <c r="V68" s="17" t="str">
        <f aca="false">IF((E68="t"),H68," ")</f>
        <v> </v>
      </c>
      <c r="W68" s="17" t="str">
        <f aca="false">IF((E68="q"),H68," ")</f>
        <v> </v>
      </c>
      <c r="X68" s="17" t="str">
        <f aca="false">IF((E68="m"),H68," ")</f>
        <v> </v>
      </c>
      <c r="Y68" s="17" t="str">
        <f aca="false">IF((E68="u"),H68," ")</f>
        <v> </v>
      </c>
      <c r="Z68" s="17" t="str">
        <f aca="false">IF((E68="a"),H68," ")</f>
        <v> </v>
      </c>
      <c r="AA68" s="17" t="str">
        <f aca="false">IF((E68="g"),H68," ")</f>
        <v> </v>
      </c>
      <c r="AB68" s="17" t="str">
        <f aca="false">IF((E68="h"),H68," ")</f>
        <v> </v>
      </c>
      <c r="AC68" s="30" t="str">
        <f aca="false">IF((E68="v"),H68," ")</f>
        <v> </v>
      </c>
      <c r="AD68" s="30" t="str">
        <f aca="false">IF((E68="n"),H68," ")</f>
        <v> </v>
      </c>
      <c r="AE68" s="17" t="str">
        <f aca="false">IF((E68="f"),H68," ")</f>
        <v> </v>
      </c>
      <c r="AF68" s="17" t="str">
        <f aca="false">IF((E68="l"),H68," ")</f>
        <v> </v>
      </c>
      <c r="AG68" s="17" t="str">
        <f aca="false">IF((E68="y"),H68," ")</f>
        <v> </v>
      </c>
      <c r="AH68" s="17" t="str">
        <f aca="false">IF((E68="z"),H68," ")</f>
        <v> </v>
      </c>
      <c r="AI68" s="17" t="str">
        <f aca="false">IF((E68="fa"),H68," ")</f>
        <v> </v>
      </c>
      <c r="AJ68" s="17" t="str">
        <f aca="false">IF((E68="e"),H68," ")</f>
        <v> </v>
      </c>
    </row>
    <row r="69" customFormat="false" ht="12" hidden="false" customHeight="false" outlineLevel="0" collapsed="false">
      <c r="A69" s="28"/>
      <c r="E69" s="2"/>
      <c r="F69" s="30"/>
      <c r="G69" s="6" t="str">
        <f aca="false">IF(F69&lt;&gt;0,F69*G$2/(100+G$2)," ")</f>
        <v> </v>
      </c>
      <c r="H69" s="6" t="str">
        <f aca="false">IF((F69&lt;&gt;0),F69-G69," ")</f>
        <v> </v>
      </c>
      <c r="I69" s="5"/>
      <c r="L69" s="7" t="str">
        <f aca="false">IF(F69&lt;&gt;0,F69-K69," ")</f>
        <v> </v>
      </c>
      <c r="M69" s="8" t="str">
        <f aca="false">IF((F69-K69)&lt;&gt;0,M$1-A69," ")</f>
        <v> </v>
      </c>
      <c r="N69" s="5"/>
      <c r="O69" s="17" t="str">
        <f aca="false">IF((E69="s"),H69," ")</f>
        <v> </v>
      </c>
      <c r="P69" s="17" t="str">
        <f aca="false">IF((E69="c"),H69," ")</f>
        <v> </v>
      </c>
      <c r="Q69" s="17" t="str">
        <f aca="false">IF((E69="o"),H69," ")</f>
        <v> </v>
      </c>
      <c r="R69" s="17" t="str">
        <f aca="false">IF((E69="d"),H69," ")</f>
        <v> </v>
      </c>
      <c r="S69" s="17" t="str">
        <f aca="false">IF((E69="w"),H69," ")</f>
        <v> </v>
      </c>
      <c r="T69" s="17" t="str">
        <f aca="false">IF((E69="r"),H69," ")</f>
        <v> </v>
      </c>
      <c r="U69" s="17" t="str">
        <f aca="false">IF((E69="p"),H69," ")</f>
        <v> </v>
      </c>
      <c r="V69" s="17" t="str">
        <f aca="false">IF((E69="t"),H69," ")</f>
        <v> </v>
      </c>
      <c r="W69" s="17" t="str">
        <f aca="false">IF((E69="q"),H69," ")</f>
        <v> </v>
      </c>
      <c r="X69" s="17" t="str">
        <f aca="false">IF((E69="m"),H69," ")</f>
        <v> </v>
      </c>
      <c r="Y69" s="17" t="str">
        <f aca="false">IF((E69="u"),H69," ")</f>
        <v> </v>
      </c>
      <c r="Z69" s="17" t="str">
        <f aca="false">IF((E69="a"),H69," ")</f>
        <v> </v>
      </c>
      <c r="AA69" s="17" t="str">
        <f aca="false">IF((E69="g"),H69," ")</f>
        <v> </v>
      </c>
      <c r="AB69" s="17" t="str">
        <f aca="false">IF((E69="h"),H69," ")</f>
        <v> </v>
      </c>
      <c r="AC69" s="30" t="str">
        <f aca="false">IF((E69="v"),H69," ")</f>
        <v> </v>
      </c>
      <c r="AD69" s="30" t="str">
        <f aca="false">IF((E69="n"),H69," ")</f>
        <v> </v>
      </c>
      <c r="AE69" s="17" t="str">
        <f aca="false">IF((E69="f"),H69," ")</f>
        <v> </v>
      </c>
      <c r="AF69" s="17" t="str">
        <f aca="false">IF((E69="l"),H69," ")</f>
        <v> </v>
      </c>
      <c r="AG69" s="17" t="str">
        <f aca="false">IF((E69="y"),H69," ")</f>
        <v> </v>
      </c>
      <c r="AH69" s="17" t="str">
        <f aca="false">IF((E69="z"),H69," ")</f>
        <v> </v>
      </c>
      <c r="AI69" s="17" t="str">
        <f aca="false">IF((E69="fa"),H69," ")</f>
        <v> </v>
      </c>
      <c r="AJ69" s="17" t="str">
        <f aca="false">IF((E69="e"),H69," ")</f>
        <v> </v>
      </c>
    </row>
    <row r="70" customFormat="false" ht="12" hidden="false" customHeight="false" outlineLevel="0" collapsed="false">
      <c r="A70" s="28"/>
      <c r="E70" s="2" t="str">
        <f aca="false">IF((F70&lt;&gt;0),"Enter Letter"," ")</f>
        <v> </v>
      </c>
      <c r="F70" s="30"/>
      <c r="G70" s="6" t="str">
        <f aca="false">IF(F70&lt;&gt;0,F70*G$2/(100+G$2)," ")</f>
        <v> </v>
      </c>
      <c r="H70" s="6" t="str">
        <f aca="false">IF((F70&lt;&gt;0),F70-G70," ")</f>
        <v> </v>
      </c>
      <c r="I70" s="5"/>
      <c r="L70" s="7" t="str">
        <f aca="false">IF(F70&lt;&gt;0,F70-K70," ")</f>
        <v> </v>
      </c>
      <c r="M70" s="8" t="str">
        <f aca="false">IF((F70-K70)&lt;&gt;0,M$1-A70," ")</f>
        <v> </v>
      </c>
      <c r="N70" s="5"/>
      <c r="O70" s="17" t="str">
        <f aca="false">IF((E70="s"),H70," ")</f>
        <v> </v>
      </c>
      <c r="P70" s="17" t="str">
        <f aca="false">IF((E70="c"),H70," ")</f>
        <v> </v>
      </c>
      <c r="Q70" s="17" t="str">
        <f aca="false">IF((E70="o"),H70," ")</f>
        <v> </v>
      </c>
      <c r="R70" s="17" t="str">
        <f aca="false">IF((E70="d"),H70," ")</f>
        <v> </v>
      </c>
      <c r="S70" s="17" t="str">
        <f aca="false">IF((E70="w"),H70," ")</f>
        <v> </v>
      </c>
      <c r="T70" s="17" t="str">
        <f aca="false">IF((E70="r"),H70," ")</f>
        <v> </v>
      </c>
      <c r="U70" s="17" t="str">
        <f aca="false">IF((E70="p"),H70," ")</f>
        <v> </v>
      </c>
      <c r="V70" s="17" t="str">
        <f aca="false">IF((E70="t"),H70," ")</f>
        <v> </v>
      </c>
      <c r="W70" s="17" t="str">
        <f aca="false">IF((E70="q"),H70," ")</f>
        <v> </v>
      </c>
      <c r="X70" s="17" t="str">
        <f aca="false">IF((E70="m"),H70," ")</f>
        <v> </v>
      </c>
      <c r="Y70" s="17" t="str">
        <f aca="false">IF((E70="u"),H70," ")</f>
        <v> </v>
      </c>
      <c r="Z70" s="17" t="str">
        <f aca="false">IF((E70="a"),H70," ")</f>
        <v> </v>
      </c>
      <c r="AA70" s="17" t="str">
        <f aca="false">IF((E70="g"),H70," ")</f>
        <v> </v>
      </c>
      <c r="AB70" s="17" t="str">
        <f aca="false">IF((E70="h"),H70," ")</f>
        <v> </v>
      </c>
      <c r="AC70" s="30" t="str">
        <f aca="false">IF((E70="v"),H70," ")</f>
        <v> </v>
      </c>
      <c r="AD70" s="30" t="str">
        <f aca="false">IF((E70="n"),H70," ")</f>
        <v> </v>
      </c>
      <c r="AE70" s="17" t="str">
        <f aca="false">IF((E70="f"),H70," ")</f>
        <v> </v>
      </c>
      <c r="AF70" s="17" t="str">
        <f aca="false">IF((E70="l"),H70," ")</f>
        <v> </v>
      </c>
      <c r="AG70" s="17" t="str">
        <f aca="false">IF((E70="y"),H70," ")</f>
        <v> </v>
      </c>
      <c r="AH70" s="17" t="str">
        <f aca="false">IF((E70="z"),H70," ")</f>
        <v> </v>
      </c>
      <c r="AI70" s="17" t="str">
        <f aca="false">IF((E70="fa"),H70," ")</f>
        <v> </v>
      </c>
      <c r="AJ70" s="17" t="str">
        <f aca="false">IF((E70="e"),H70," ")</f>
        <v> </v>
      </c>
    </row>
    <row r="71" customFormat="false" ht="12" hidden="false" customHeight="false" outlineLevel="0" collapsed="false">
      <c r="A71" s="28"/>
      <c r="E71" s="2" t="str">
        <f aca="false">IF((F71&lt;&gt;0),"Enter Letter"," ")</f>
        <v> </v>
      </c>
      <c r="F71" s="30"/>
      <c r="G71" s="6" t="str">
        <f aca="false">IF(F71&lt;&gt;0,F71*G$2/(100+G$2)," ")</f>
        <v> </v>
      </c>
      <c r="H71" s="6" t="str">
        <f aca="false">IF((F71&lt;&gt;0),F71-G71," ")</f>
        <v> </v>
      </c>
      <c r="I71" s="5"/>
      <c r="L71" s="7" t="str">
        <f aca="false">IF(F71&lt;&gt;0,F71-K71," ")</f>
        <v> </v>
      </c>
      <c r="M71" s="8" t="str">
        <f aca="false">IF((F71-K71)&lt;&gt;0,M$1-A71," ")</f>
        <v> </v>
      </c>
      <c r="N71" s="5"/>
      <c r="O71" s="17" t="str">
        <f aca="false">IF((E71="s"),H71," ")</f>
        <v> </v>
      </c>
      <c r="P71" s="17" t="str">
        <f aca="false">IF((E71="c"),H71," ")</f>
        <v> </v>
      </c>
      <c r="Q71" s="17" t="str">
        <f aca="false">IF((E71="o"),H71," ")</f>
        <v> </v>
      </c>
      <c r="R71" s="17" t="str">
        <f aca="false">IF((E71="d"),H71," ")</f>
        <v> </v>
      </c>
      <c r="S71" s="17" t="str">
        <f aca="false">IF((E71="w"),H71," ")</f>
        <v> </v>
      </c>
      <c r="T71" s="17" t="str">
        <f aca="false">IF((E71="r"),H71," ")</f>
        <v> </v>
      </c>
      <c r="U71" s="17" t="str">
        <f aca="false">IF((E71="p"),H71," ")</f>
        <v> </v>
      </c>
      <c r="V71" s="17" t="str">
        <f aca="false">IF((E71="t"),H71," ")</f>
        <v> </v>
      </c>
      <c r="W71" s="17" t="str">
        <f aca="false">IF((E71="q"),H71," ")</f>
        <v> </v>
      </c>
      <c r="X71" s="17" t="str">
        <f aca="false">IF((E71="m"),H71," ")</f>
        <v> </v>
      </c>
      <c r="Y71" s="17" t="str">
        <f aca="false">IF((E71="u"),H71," ")</f>
        <v> </v>
      </c>
      <c r="Z71" s="17" t="str">
        <f aca="false">IF((E71="a"),H71," ")</f>
        <v> </v>
      </c>
      <c r="AA71" s="17" t="str">
        <f aca="false">IF((E71="g"),H71," ")</f>
        <v> </v>
      </c>
      <c r="AB71" s="17" t="str">
        <f aca="false">IF((E71="h"),H71," ")</f>
        <v> </v>
      </c>
      <c r="AC71" s="30" t="str">
        <f aca="false">IF((E71="v"),H71," ")</f>
        <v> </v>
      </c>
      <c r="AD71" s="30" t="str">
        <f aca="false">IF((E71="n"),H71," ")</f>
        <v> </v>
      </c>
      <c r="AE71" s="17" t="str">
        <f aca="false">IF((E71="f"),H71," ")</f>
        <v> </v>
      </c>
      <c r="AF71" s="17" t="str">
        <f aca="false">IF((E71="l"),H71," ")</f>
        <v> </v>
      </c>
      <c r="AG71" s="17" t="str">
        <f aca="false">IF((E71="y"),H71," ")</f>
        <v> </v>
      </c>
      <c r="AH71" s="17" t="str">
        <f aca="false">IF((E71="z"),H71," ")</f>
        <v> </v>
      </c>
      <c r="AI71" s="17" t="str">
        <f aca="false">IF((E71="fa"),H71," ")</f>
        <v> </v>
      </c>
      <c r="AJ71" s="17" t="str">
        <f aca="false">IF((E71="e"),H71," ")</f>
        <v> </v>
      </c>
    </row>
    <row r="72" customFormat="false" ht="12" hidden="false" customHeight="false" outlineLevel="0" collapsed="false">
      <c r="A72" s="28"/>
      <c r="E72" s="2" t="str">
        <f aca="false">IF((F72&lt;&gt;0),"Enter Letter"," ")</f>
        <v> </v>
      </c>
      <c r="F72" s="30"/>
      <c r="G72" s="6" t="str">
        <f aca="false">IF(F72&lt;&gt;0,F72*G$2/(100+G$2)," ")</f>
        <v> </v>
      </c>
      <c r="H72" s="6" t="str">
        <f aca="false">IF((F72&lt;&gt;0),F72-G72," ")</f>
        <v> </v>
      </c>
      <c r="I72" s="5"/>
      <c r="L72" s="7" t="str">
        <f aca="false">IF(F72&lt;&gt;0,F72-K72," ")</f>
        <v> </v>
      </c>
      <c r="M72" s="8" t="str">
        <f aca="false">IF((F72-K72)&lt;&gt;0,M$1-A72," ")</f>
        <v> </v>
      </c>
      <c r="N72" s="5"/>
      <c r="O72" s="17" t="str">
        <f aca="false">IF((E72="s"),H72," ")</f>
        <v> </v>
      </c>
      <c r="P72" s="17" t="str">
        <f aca="false">IF((E72="c"),H72," ")</f>
        <v> </v>
      </c>
      <c r="Q72" s="17" t="str">
        <f aca="false">IF((E72="o"),H72," ")</f>
        <v> </v>
      </c>
      <c r="R72" s="17" t="str">
        <f aca="false">IF((E72="d"),H72," ")</f>
        <v> </v>
      </c>
      <c r="S72" s="17" t="str">
        <f aca="false">IF((E72="w"),H72," ")</f>
        <v> </v>
      </c>
      <c r="T72" s="17" t="str">
        <f aca="false">IF((E72="r"),H72," ")</f>
        <v> </v>
      </c>
      <c r="U72" s="17" t="str">
        <f aca="false">IF((E72="p"),H72," ")</f>
        <v> </v>
      </c>
      <c r="V72" s="17" t="str">
        <f aca="false">IF((E72="t"),H72," ")</f>
        <v> </v>
      </c>
      <c r="W72" s="17" t="str">
        <f aca="false">IF((E72="q"),H72," ")</f>
        <v> </v>
      </c>
      <c r="X72" s="17" t="str">
        <f aca="false">IF((E72="m"),H72," ")</f>
        <v> </v>
      </c>
      <c r="Y72" s="17" t="str">
        <f aca="false">IF((E72="u"),H72," ")</f>
        <v> </v>
      </c>
      <c r="Z72" s="17" t="str">
        <f aca="false">IF((E72="a"),H72," ")</f>
        <v> </v>
      </c>
      <c r="AA72" s="17" t="str">
        <f aca="false">IF((E72="g"),H72," ")</f>
        <v> </v>
      </c>
      <c r="AB72" s="17" t="str">
        <f aca="false">IF((E72="h"),H72," ")</f>
        <v> </v>
      </c>
      <c r="AC72" s="30" t="str">
        <f aca="false">IF((E72="v"),H72," ")</f>
        <v> </v>
      </c>
      <c r="AD72" s="30" t="str">
        <f aca="false">IF((E72="n"),H72," ")</f>
        <v> </v>
      </c>
      <c r="AE72" s="17" t="str">
        <f aca="false">IF((E72="f"),H72," ")</f>
        <v> </v>
      </c>
      <c r="AF72" s="17" t="str">
        <f aca="false">IF((E72="l"),H72," ")</f>
        <v> </v>
      </c>
      <c r="AG72" s="17" t="str">
        <f aca="false">IF((E72="y"),H72," ")</f>
        <v> </v>
      </c>
      <c r="AH72" s="17" t="str">
        <f aca="false">IF((E72="z"),H72," ")</f>
        <v> </v>
      </c>
      <c r="AI72" s="17" t="str">
        <f aca="false">IF((E72="fa"),H72," ")</f>
        <v> </v>
      </c>
      <c r="AJ72" s="17" t="str">
        <f aca="false">IF((E72="e"),H72," ")</f>
        <v> </v>
      </c>
    </row>
    <row r="73" customFormat="false" ht="12" hidden="false" customHeight="false" outlineLevel="0" collapsed="false">
      <c r="A73" s="28"/>
      <c r="E73" s="2" t="str">
        <f aca="false">IF((F73&lt;&gt;0),"Enter Letter"," ")</f>
        <v> </v>
      </c>
      <c r="F73" s="30"/>
      <c r="G73" s="6" t="str">
        <f aca="false">IF(F73&lt;&gt;0,F73*G$2/(100+G$2)," ")</f>
        <v> </v>
      </c>
      <c r="H73" s="6" t="str">
        <f aca="false">IF((F73&lt;&gt;0),F73-G73," ")</f>
        <v> </v>
      </c>
      <c r="I73" s="5"/>
      <c r="L73" s="7" t="str">
        <f aca="false">IF(F73&lt;&gt;0,F73-K73," ")</f>
        <v> </v>
      </c>
      <c r="M73" s="8" t="str">
        <f aca="false">IF((F73-K73)&lt;&gt;0,M$1-A73," ")</f>
        <v> </v>
      </c>
      <c r="N73" s="5"/>
      <c r="O73" s="17" t="str">
        <f aca="false">IF((E73="s"),H73," ")</f>
        <v> </v>
      </c>
      <c r="P73" s="17" t="str">
        <f aca="false">IF((E73="c"),H73," ")</f>
        <v> </v>
      </c>
      <c r="Q73" s="17" t="str">
        <f aca="false">IF((E73="o"),H73," ")</f>
        <v> </v>
      </c>
      <c r="R73" s="17" t="str">
        <f aca="false">IF((E73="d"),H73," ")</f>
        <v> </v>
      </c>
      <c r="S73" s="17" t="str">
        <f aca="false">IF((E73="w"),H73," ")</f>
        <v> </v>
      </c>
      <c r="T73" s="17" t="str">
        <f aca="false">IF((E73="r"),H73," ")</f>
        <v> </v>
      </c>
      <c r="U73" s="17" t="str">
        <f aca="false">IF((E73="p"),H73," ")</f>
        <v> </v>
      </c>
      <c r="V73" s="17" t="str">
        <f aca="false">IF((E73="t"),H73," ")</f>
        <v> </v>
      </c>
      <c r="W73" s="17" t="str">
        <f aca="false">IF((E73="q"),H73," ")</f>
        <v> </v>
      </c>
      <c r="X73" s="17" t="str">
        <f aca="false">IF((E73="m"),H73," ")</f>
        <v> </v>
      </c>
      <c r="Y73" s="17" t="str">
        <f aca="false">IF((E73="u"),H73," ")</f>
        <v> </v>
      </c>
      <c r="Z73" s="17" t="str">
        <f aca="false">IF((E73="a"),H73," ")</f>
        <v> </v>
      </c>
      <c r="AA73" s="17" t="str">
        <f aca="false">IF((E73="g"),H73," ")</f>
        <v> </v>
      </c>
      <c r="AB73" s="17" t="str">
        <f aca="false">IF((E73="h"),H73," ")</f>
        <v> </v>
      </c>
      <c r="AC73" s="30" t="str">
        <f aca="false">IF((E73="v"),H73," ")</f>
        <v> </v>
      </c>
      <c r="AD73" s="30" t="str">
        <f aca="false">IF((E73="n"),H73," ")</f>
        <v> </v>
      </c>
      <c r="AE73" s="17" t="str">
        <f aca="false">IF((E73="f"),H73," ")</f>
        <v> </v>
      </c>
      <c r="AF73" s="17" t="str">
        <f aca="false">IF((E73="l"),H73," ")</f>
        <v> </v>
      </c>
      <c r="AG73" s="17" t="str">
        <f aca="false">IF((E73="y"),H73," ")</f>
        <v> </v>
      </c>
      <c r="AH73" s="17" t="str">
        <f aca="false">IF((E73="z"),H73," ")</f>
        <v> </v>
      </c>
      <c r="AI73" s="17" t="str">
        <f aca="false">IF((E73="fa"),H73," ")</f>
        <v> </v>
      </c>
      <c r="AJ73" s="17" t="str">
        <f aca="false">IF((E73="e"),H73," ")</f>
        <v> </v>
      </c>
    </row>
    <row r="74" customFormat="false" ht="12" hidden="false" customHeight="false" outlineLevel="0" collapsed="false">
      <c r="A74" s="28"/>
      <c r="E74" s="2" t="str">
        <f aca="false">IF((F74&lt;&gt;0),"Enter Letter"," ")</f>
        <v> </v>
      </c>
      <c r="F74" s="30"/>
      <c r="G74" s="6" t="str">
        <f aca="false">IF(F74&lt;&gt;0,F74*G$2/(100+G$2)," ")</f>
        <v> </v>
      </c>
      <c r="H74" s="6" t="str">
        <f aca="false">IF((F74&lt;&gt;0),F74-G74," ")</f>
        <v> </v>
      </c>
      <c r="I74" s="5"/>
      <c r="L74" s="7" t="str">
        <f aca="false">IF(F74&lt;&gt;0,F74-K74," ")</f>
        <v> </v>
      </c>
      <c r="M74" s="8" t="str">
        <f aca="false">IF((F74-K74)&lt;&gt;0,M$1-A74," ")</f>
        <v> </v>
      </c>
      <c r="N74" s="5"/>
      <c r="O74" s="17" t="str">
        <f aca="false">IF((E74="s"),H74," ")</f>
        <v> </v>
      </c>
      <c r="P74" s="17" t="str">
        <f aca="false">IF((E74="c"),H74," ")</f>
        <v> </v>
      </c>
      <c r="Q74" s="17" t="str">
        <f aca="false">IF((E74="o"),H74," ")</f>
        <v> </v>
      </c>
      <c r="R74" s="17" t="str">
        <f aca="false">IF((E74="d"),H74," ")</f>
        <v> </v>
      </c>
      <c r="S74" s="17" t="str">
        <f aca="false">IF((E74="w"),H74," ")</f>
        <v> </v>
      </c>
      <c r="T74" s="17" t="str">
        <f aca="false">IF((E74="r"),H74," ")</f>
        <v> </v>
      </c>
      <c r="U74" s="17" t="str">
        <f aca="false">IF((E74="p"),H74," ")</f>
        <v> </v>
      </c>
      <c r="V74" s="17" t="str">
        <f aca="false">IF((E74="t"),H74," ")</f>
        <v> </v>
      </c>
      <c r="W74" s="17" t="str">
        <f aca="false">IF((E74="q"),H74," ")</f>
        <v> </v>
      </c>
      <c r="X74" s="17" t="str">
        <f aca="false">IF((E74="m"),H74," ")</f>
        <v> </v>
      </c>
      <c r="Y74" s="17" t="str">
        <f aca="false">IF((E74="u"),H74," ")</f>
        <v> </v>
      </c>
      <c r="Z74" s="17" t="str">
        <f aca="false">IF((E74="a"),H74," ")</f>
        <v> </v>
      </c>
      <c r="AA74" s="17" t="str">
        <f aca="false">IF((E74="g"),H74," ")</f>
        <v> </v>
      </c>
      <c r="AB74" s="17" t="str">
        <f aca="false">IF((E74="h"),H74," ")</f>
        <v> </v>
      </c>
      <c r="AC74" s="30" t="str">
        <f aca="false">IF((E74="v"),H74," ")</f>
        <v> </v>
      </c>
      <c r="AD74" s="30" t="str">
        <f aca="false">IF((E74="n"),H74," ")</f>
        <v> </v>
      </c>
      <c r="AE74" s="17" t="str">
        <f aca="false">IF((E74="f"),H74," ")</f>
        <v> </v>
      </c>
      <c r="AF74" s="17" t="str">
        <f aca="false">IF((E74="l"),H74," ")</f>
        <v> </v>
      </c>
      <c r="AG74" s="17" t="str">
        <f aca="false">IF((E74="y"),H74," ")</f>
        <v> </v>
      </c>
      <c r="AH74" s="17" t="str">
        <f aca="false">IF((E74="z"),H74," ")</f>
        <v> </v>
      </c>
      <c r="AI74" s="17" t="str">
        <f aca="false">IF((E74="fa"),H74," ")</f>
        <v> </v>
      </c>
      <c r="AJ74" s="17" t="str">
        <f aca="false">IF((E74="e"),H74," ")</f>
        <v> </v>
      </c>
    </row>
    <row r="75" customFormat="false" ht="12" hidden="false" customHeight="false" outlineLevel="0" collapsed="false">
      <c r="A75" s="28"/>
      <c r="E75" s="2" t="str">
        <f aca="false">IF((F75&lt;&gt;0),"Enter Letter"," ")</f>
        <v> </v>
      </c>
      <c r="F75" s="30"/>
      <c r="G75" s="6" t="str">
        <f aca="false">IF(F75&lt;&gt;0,F75*G$2/(100+G$2)," ")</f>
        <v> </v>
      </c>
      <c r="H75" s="6" t="str">
        <f aca="false">IF((F75&lt;&gt;0),F75-G75," ")</f>
        <v> </v>
      </c>
      <c r="I75" s="5"/>
      <c r="L75" s="7" t="str">
        <f aca="false">IF(F75&lt;&gt;0,F75-K75," ")</f>
        <v> </v>
      </c>
      <c r="M75" s="8" t="str">
        <f aca="false">IF((F75-K75)&lt;&gt;0,M$1-A75," ")</f>
        <v> </v>
      </c>
      <c r="N75" s="5"/>
      <c r="O75" s="17" t="str">
        <f aca="false">IF((E75="s"),H75," ")</f>
        <v> </v>
      </c>
      <c r="P75" s="17" t="str">
        <f aca="false">IF((E75="c"),H75," ")</f>
        <v> </v>
      </c>
      <c r="Q75" s="17" t="str">
        <f aca="false">IF((E75="o"),H75," ")</f>
        <v> </v>
      </c>
      <c r="R75" s="17" t="str">
        <f aca="false">IF((E75="d"),H75," ")</f>
        <v> </v>
      </c>
      <c r="S75" s="17" t="str">
        <f aca="false">IF((E75="w"),H75," ")</f>
        <v> </v>
      </c>
      <c r="T75" s="17" t="str">
        <f aca="false">IF((E75="r"),H75," ")</f>
        <v> </v>
      </c>
      <c r="U75" s="17" t="str">
        <f aca="false">IF((E75="p"),H75," ")</f>
        <v> </v>
      </c>
      <c r="V75" s="17" t="str">
        <f aca="false">IF((E75="t"),H75," ")</f>
        <v> </v>
      </c>
      <c r="W75" s="17" t="str">
        <f aca="false">IF((E75="q"),H75," ")</f>
        <v> </v>
      </c>
      <c r="X75" s="17" t="str">
        <f aca="false">IF((E75="m"),H75," ")</f>
        <v> </v>
      </c>
      <c r="Y75" s="17" t="str">
        <f aca="false">IF((E75="u"),H75," ")</f>
        <v> </v>
      </c>
      <c r="Z75" s="17" t="str">
        <f aca="false">IF((E75="a"),H75," ")</f>
        <v> </v>
      </c>
      <c r="AA75" s="17" t="str">
        <f aca="false">IF((E75="g"),H75," ")</f>
        <v> </v>
      </c>
      <c r="AB75" s="17" t="str">
        <f aca="false">IF((E75="h"),H75," ")</f>
        <v> </v>
      </c>
      <c r="AC75" s="30" t="str">
        <f aca="false">IF((E75="v"),H75," ")</f>
        <v> </v>
      </c>
      <c r="AD75" s="30" t="str">
        <f aca="false">IF((E75="n"),H75," ")</f>
        <v> </v>
      </c>
      <c r="AE75" s="17" t="str">
        <f aca="false">IF((E75="f"),H75," ")</f>
        <v> </v>
      </c>
      <c r="AF75" s="17" t="str">
        <f aca="false">IF((E75="l"),H75," ")</f>
        <v> </v>
      </c>
      <c r="AG75" s="17" t="str">
        <f aca="false">IF((E75="y"),H75," ")</f>
        <v> </v>
      </c>
      <c r="AH75" s="17" t="str">
        <f aca="false">IF((E75="z"),H75," ")</f>
        <v> </v>
      </c>
      <c r="AI75" s="17" t="str">
        <f aca="false">IF((E75="fa"),H75," ")</f>
        <v> </v>
      </c>
      <c r="AJ75" s="17" t="str">
        <f aca="false">IF((E75="e"),H75," ")</f>
        <v> </v>
      </c>
    </row>
    <row r="76" customFormat="false" ht="12" hidden="false" customHeight="false" outlineLevel="0" collapsed="false">
      <c r="A76" s="28"/>
      <c r="E76" s="2" t="str">
        <f aca="false">IF((F76&lt;&gt;0),"Enter Letter"," ")</f>
        <v> </v>
      </c>
      <c r="F76" s="30"/>
      <c r="G76" s="6" t="str">
        <f aca="false">IF(F76&lt;&gt;0,F76*G$2/(100+G$2)," ")</f>
        <v> </v>
      </c>
      <c r="H76" s="6" t="str">
        <f aca="false">IF((F76&lt;&gt;0),F76-G76," ")</f>
        <v> </v>
      </c>
      <c r="I76" s="5"/>
      <c r="L76" s="7" t="str">
        <f aca="false">IF(F76&lt;&gt;0,F76-K76," ")</f>
        <v> </v>
      </c>
      <c r="M76" s="8" t="str">
        <f aca="false">IF((F76-K76)&lt;&gt;0,M$1-A76," ")</f>
        <v> </v>
      </c>
      <c r="N76" s="5"/>
      <c r="O76" s="17" t="str">
        <f aca="false">IF((E76="s"),H76," ")</f>
        <v> </v>
      </c>
      <c r="P76" s="17" t="str">
        <f aca="false">IF((E76="c"),H76," ")</f>
        <v> </v>
      </c>
      <c r="Q76" s="17" t="str">
        <f aca="false">IF((E76="o"),H76," ")</f>
        <v> </v>
      </c>
      <c r="R76" s="17" t="str">
        <f aca="false">IF((E76="d"),H76," ")</f>
        <v> </v>
      </c>
      <c r="S76" s="17" t="str">
        <f aca="false">IF((E76="w"),H76," ")</f>
        <v> </v>
      </c>
      <c r="T76" s="17" t="str">
        <f aca="false">IF((E76="r"),H76," ")</f>
        <v> </v>
      </c>
      <c r="U76" s="17" t="str">
        <f aca="false">IF((E76="p"),H76," ")</f>
        <v> </v>
      </c>
      <c r="V76" s="17" t="str">
        <f aca="false">IF((E76="t"),H76," ")</f>
        <v> </v>
      </c>
      <c r="W76" s="17" t="str">
        <f aca="false">IF((E76="q"),H76," ")</f>
        <v> </v>
      </c>
      <c r="X76" s="17" t="str">
        <f aca="false">IF((E76="m"),H76," ")</f>
        <v> </v>
      </c>
      <c r="Y76" s="17" t="str">
        <f aca="false">IF((E76="u"),H76," ")</f>
        <v> </v>
      </c>
      <c r="Z76" s="17" t="str">
        <f aca="false">IF((E76="a"),H76," ")</f>
        <v> </v>
      </c>
      <c r="AA76" s="17" t="str">
        <f aca="false">IF((E76="g"),H76," ")</f>
        <v> </v>
      </c>
      <c r="AB76" s="17" t="str">
        <f aca="false">IF((E76="h"),H76," ")</f>
        <v> </v>
      </c>
      <c r="AC76" s="30" t="str">
        <f aca="false">IF((E76="v"),H76," ")</f>
        <v> </v>
      </c>
      <c r="AD76" s="30" t="str">
        <f aca="false">IF((E76="n"),H76," ")</f>
        <v> </v>
      </c>
      <c r="AE76" s="17" t="str">
        <f aca="false">IF((E76="f"),H76," ")</f>
        <v> </v>
      </c>
      <c r="AF76" s="17" t="str">
        <f aca="false">IF((E76="l"),H76," ")</f>
        <v> </v>
      </c>
      <c r="AG76" s="17" t="str">
        <f aca="false">IF((E76="y"),H76," ")</f>
        <v> </v>
      </c>
      <c r="AH76" s="17" t="str">
        <f aca="false">IF((E76="z"),H76," ")</f>
        <v> </v>
      </c>
      <c r="AI76" s="17" t="str">
        <f aca="false">IF((E76="fa"),H76," ")</f>
        <v> </v>
      </c>
      <c r="AJ76" s="17" t="str">
        <f aca="false">IF((E76="e"),H76," ")</f>
        <v> </v>
      </c>
    </row>
    <row r="77" customFormat="false" ht="12" hidden="false" customHeight="false" outlineLevel="0" collapsed="false">
      <c r="A77" s="28"/>
      <c r="E77" s="2" t="str">
        <f aca="false">IF((F77&lt;&gt;0),"Enter Letter"," ")</f>
        <v> </v>
      </c>
      <c r="F77" s="30"/>
      <c r="G77" s="6" t="str">
        <f aca="false">IF(F77&lt;&gt;0,F77*G$2/(100+G$2)," ")</f>
        <v> </v>
      </c>
      <c r="H77" s="6" t="str">
        <f aca="false">IF((F77&lt;&gt;0),F77-G77," ")</f>
        <v> </v>
      </c>
      <c r="I77" s="5"/>
      <c r="L77" s="7" t="str">
        <f aca="false">IF(F77&lt;&gt;0,F77-K77," ")</f>
        <v> </v>
      </c>
      <c r="M77" s="8" t="str">
        <f aca="false">IF((F77-K77)&lt;&gt;0,M$1-A77," ")</f>
        <v> </v>
      </c>
      <c r="N77" s="5"/>
      <c r="O77" s="17" t="str">
        <f aca="false">IF((E77="s"),H77," ")</f>
        <v> </v>
      </c>
      <c r="P77" s="17" t="str">
        <f aca="false">IF((E77="c"),H77," ")</f>
        <v> </v>
      </c>
      <c r="Q77" s="17" t="str">
        <f aca="false">IF((E77="o"),H77," ")</f>
        <v> </v>
      </c>
      <c r="R77" s="17" t="str">
        <f aca="false">IF((E77="d"),H77," ")</f>
        <v> </v>
      </c>
      <c r="S77" s="17" t="str">
        <f aca="false">IF((E77="w"),H77," ")</f>
        <v> </v>
      </c>
      <c r="T77" s="17" t="str">
        <f aca="false">IF((E77="r"),H77," ")</f>
        <v> </v>
      </c>
      <c r="U77" s="17" t="str">
        <f aca="false">IF((E77="p"),H77," ")</f>
        <v> </v>
      </c>
      <c r="V77" s="17" t="str">
        <f aca="false">IF((E77="t"),H77," ")</f>
        <v> </v>
      </c>
      <c r="W77" s="17" t="str">
        <f aca="false">IF((E77="q"),H77," ")</f>
        <v> </v>
      </c>
      <c r="X77" s="17" t="str">
        <f aca="false">IF((E77="m"),H77," ")</f>
        <v> </v>
      </c>
      <c r="Y77" s="17" t="str">
        <f aca="false">IF((E77="u"),H77," ")</f>
        <v> </v>
      </c>
      <c r="Z77" s="17" t="str">
        <f aca="false">IF((E77="a"),H77," ")</f>
        <v> </v>
      </c>
      <c r="AA77" s="17" t="str">
        <f aca="false">IF((E77="g"),H77," ")</f>
        <v> </v>
      </c>
      <c r="AB77" s="17" t="str">
        <f aca="false">IF((E77="h"),H77," ")</f>
        <v> </v>
      </c>
      <c r="AC77" s="30" t="str">
        <f aca="false">IF((E77="v"),H77," ")</f>
        <v> </v>
      </c>
      <c r="AD77" s="30" t="str">
        <f aca="false">IF((E77="n"),H77," ")</f>
        <v> </v>
      </c>
      <c r="AE77" s="17" t="str">
        <f aca="false">IF((E77="f"),H77," ")</f>
        <v> </v>
      </c>
      <c r="AF77" s="17" t="str">
        <f aca="false">IF((E77="l"),H77," ")</f>
        <v> </v>
      </c>
      <c r="AG77" s="17" t="str">
        <f aca="false">IF((E77="y"),H77," ")</f>
        <v> </v>
      </c>
      <c r="AH77" s="17" t="str">
        <f aca="false">IF((E77="z"),H77," ")</f>
        <v> </v>
      </c>
      <c r="AI77" s="17" t="str">
        <f aca="false">IF((E77="fa"),H77," ")</f>
        <v> </v>
      </c>
      <c r="AJ77" s="17" t="str">
        <f aca="false">IF((E77="e"),H77," ")</f>
        <v> </v>
      </c>
    </row>
    <row r="78" customFormat="false" ht="12" hidden="false" customHeight="false" outlineLevel="0" collapsed="false">
      <c r="A78" s="28"/>
      <c r="E78" s="2" t="str">
        <f aca="false">IF((F78&lt;&gt;0),"Enter Letter"," ")</f>
        <v> </v>
      </c>
      <c r="F78" s="30"/>
      <c r="G78" s="6" t="str">
        <f aca="false">IF(F78&lt;&gt;0,F78*G$2/(100+G$2)," ")</f>
        <v> </v>
      </c>
      <c r="H78" s="6" t="str">
        <f aca="false">IF((F78&lt;&gt;0),F78-G78," ")</f>
        <v> </v>
      </c>
      <c r="I78" s="5"/>
      <c r="L78" s="7" t="str">
        <f aca="false">IF(F78&lt;&gt;0,F78-K78," ")</f>
        <v> </v>
      </c>
      <c r="M78" s="8" t="str">
        <f aca="false">IF((F78-K78)&lt;&gt;0,M$1-A78," ")</f>
        <v> </v>
      </c>
      <c r="N78" s="5"/>
      <c r="O78" s="17" t="str">
        <f aca="false">IF((E78="s"),H78," ")</f>
        <v> </v>
      </c>
      <c r="P78" s="17" t="str">
        <f aca="false">IF((E78="c"),H78," ")</f>
        <v> </v>
      </c>
      <c r="Q78" s="17" t="str">
        <f aca="false">IF((E78="o"),H78," ")</f>
        <v> </v>
      </c>
      <c r="R78" s="17" t="str">
        <f aca="false">IF((E78="d"),H78," ")</f>
        <v> </v>
      </c>
      <c r="S78" s="17" t="str">
        <f aca="false">IF((E78="w"),H78," ")</f>
        <v> </v>
      </c>
      <c r="T78" s="17" t="str">
        <f aca="false">IF((E78="r"),H78," ")</f>
        <v> </v>
      </c>
      <c r="U78" s="17" t="str">
        <f aca="false">IF((E78="p"),H78," ")</f>
        <v> </v>
      </c>
      <c r="V78" s="17" t="str">
        <f aca="false">IF((E78="t"),H78," ")</f>
        <v> </v>
      </c>
      <c r="W78" s="17" t="str">
        <f aca="false">IF((E78="q"),H78," ")</f>
        <v> </v>
      </c>
      <c r="X78" s="17" t="str">
        <f aca="false">IF((E78="m"),H78," ")</f>
        <v> </v>
      </c>
      <c r="Y78" s="17" t="str">
        <f aca="false">IF((E78="u"),H78," ")</f>
        <v> </v>
      </c>
      <c r="Z78" s="17" t="str">
        <f aca="false">IF((E78="a"),H78," ")</f>
        <v> </v>
      </c>
      <c r="AA78" s="17" t="str">
        <f aca="false">IF((E78="g"),H78," ")</f>
        <v> </v>
      </c>
      <c r="AB78" s="17" t="str">
        <f aca="false">IF((E78="h"),H78," ")</f>
        <v> </v>
      </c>
      <c r="AC78" s="30" t="str">
        <f aca="false">IF((E78="v"),H78," ")</f>
        <v> </v>
      </c>
      <c r="AD78" s="30" t="str">
        <f aca="false">IF((E78="n"),H78," ")</f>
        <v> </v>
      </c>
      <c r="AE78" s="17" t="str">
        <f aca="false">IF((E78="f"),H78," ")</f>
        <v> </v>
      </c>
      <c r="AF78" s="17" t="str">
        <f aca="false">IF((E78="l"),H78," ")</f>
        <v> </v>
      </c>
      <c r="AG78" s="17" t="str">
        <f aca="false">IF((E78="y"),H78," ")</f>
        <v> </v>
      </c>
      <c r="AH78" s="17" t="str">
        <f aca="false">IF((E78="z"),H78," ")</f>
        <v> </v>
      </c>
      <c r="AI78" s="17" t="str">
        <f aca="false">IF((E78="fa"),H78," ")</f>
        <v> </v>
      </c>
      <c r="AJ78" s="17" t="str">
        <f aca="false">IF((E78="e"),H78," ")</f>
        <v> </v>
      </c>
    </row>
    <row r="79" customFormat="false" ht="12" hidden="false" customHeight="false" outlineLevel="0" collapsed="false">
      <c r="A79" s="28"/>
      <c r="E79" s="2" t="str">
        <f aca="false">IF((F79&lt;&gt;0),"Enter Letter"," ")</f>
        <v> </v>
      </c>
      <c r="F79" s="30"/>
      <c r="G79" s="6" t="str">
        <f aca="false">IF(F79&lt;&gt;0,F79*G$2/(100+G$2)," ")</f>
        <v> </v>
      </c>
      <c r="H79" s="6" t="str">
        <f aca="false">IF((F79&lt;&gt;0),F79-G79," ")</f>
        <v> </v>
      </c>
      <c r="I79" s="5"/>
      <c r="L79" s="7" t="str">
        <f aca="false">IF(F79&lt;&gt;0,F79-K79," ")</f>
        <v> </v>
      </c>
      <c r="M79" s="8" t="str">
        <f aca="false">IF((F79-K79)&lt;&gt;0,M$1-A79," ")</f>
        <v> </v>
      </c>
      <c r="N79" s="5"/>
      <c r="O79" s="17" t="str">
        <f aca="false">IF((E79="s"),H79," ")</f>
        <v> </v>
      </c>
      <c r="P79" s="17" t="str">
        <f aca="false">IF((E79="c"),H79," ")</f>
        <v> </v>
      </c>
      <c r="Q79" s="17" t="str">
        <f aca="false">IF((E79="o"),H79," ")</f>
        <v> </v>
      </c>
      <c r="R79" s="17" t="str">
        <f aca="false">IF((E79="d"),H79," ")</f>
        <v> </v>
      </c>
      <c r="S79" s="17" t="str">
        <f aca="false">IF((E79="w"),H79," ")</f>
        <v> </v>
      </c>
      <c r="T79" s="17" t="str">
        <f aca="false">IF((E79="r"),H79," ")</f>
        <v> </v>
      </c>
      <c r="U79" s="17" t="str">
        <f aca="false">IF((E79="p"),H79," ")</f>
        <v> </v>
      </c>
      <c r="V79" s="17" t="str">
        <f aca="false">IF((E79="t"),H79," ")</f>
        <v> </v>
      </c>
      <c r="W79" s="17" t="str">
        <f aca="false">IF((E79="q"),H79," ")</f>
        <v> </v>
      </c>
      <c r="X79" s="17" t="str">
        <f aca="false">IF((E79="m"),H79," ")</f>
        <v> </v>
      </c>
      <c r="Y79" s="17" t="str">
        <f aca="false">IF((E79="u"),H79," ")</f>
        <v> </v>
      </c>
      <c r="Z79" s="17" t="str">
        <f aca="false">IF((E79="a"),H79," ")</f>
        <v> </v>
      </c>
      <c r="AA79" s="17" t="str">
        <f aca="false">IF((E79="g"),H79," ")</f>
        <v> </v>
      </c>
      <c r="AB79" s="17" t="str">
        <f aca="false">IF((E79="h"),H79," ")</f>
        <v> </v>
      </c>
      <c r="AC79" s="30" t="str">
        <f aca="false">IF((E79="v"),H79," ")</f>
        <v> </v>
      </c>
      <c r="AD79" s="30" t="str">
        <f aca="false">IF((E79="n"),H79," ")</f>
        <v> </v>
      </c>
      <c r="AE79" s="17" t="str">
        <f aca="false">IF((E79="f"),H79," ")</f>
        <v> </v>
      </c>
      <c r="AF79" s="17" t="str">
        <f aca="false">IF((E79="l"),H79," ")</f>
        <v> </v>
      </c>
      <c r="AG79" s="17" t="str">
        <f aca="false">IF((E79="y"),H79," ")</f>
        <v> </v>
      </c>
      <c r="AH79" s="17" t="str">
        <f aca="false">IF((E79="z"),H79," ")</f>
        <v> </v>
      </c>
      <c r="AI79" s="17" t="str">
        <f aca="false">IF((E79="fa"),H79," ")</f>
        <v> </v>
      </c>
      <c r="AJ79" s="17" t="str">
        <f aca="false">IF((E79="e"),H79," ")</f>
        <v> </v>
      </c>
    </row>
    <row r="80" customFormat="false" ht="12" hidden="false" customHeight="false" outlineLevel="0" collapsed="false">
      <c r="A80" s="28"/>
      <c r="E80" s="2" t="str">
        <f aca="false">IF((F80&lt;&gt;0),"Enter Letter"," ")</f>
        <v> </v>
      </c>
      <c r="F80" s="30"/>
      <c r="G80" s="6" t="str">
        <f aca="false">IF(F80&lt;&gt;0,F80*G$2/(100+G$2)," ")</f>
        <v> </v>
      </c>
      <c r="H80" s="6" t="str">
        <f aca="false">IF((F80&lt;&gt;0),F80-G80," ")</f>
        <v> </v>
      </c>
      <c r="I80" s="5"/>
      <c r="L80" s="7" t="str">
        <f aca="false">IF(F80&lt;&gt;0,F80-K80," ")</f>
        <v> </v>
      </c>
      <c r="M80" s="8" t="str">
        <f aca="false">IF((F80-K80)&lt;&gt;0,M$1-A80," ")</f>
        <v> </v>
      </c>
      <c r="N80" s="5"/>
      <c r="O80" s="17" t="str">
        <f aca="false">IF((E80="s"),H80," ")</f>
        <v> </v>
      </c>
      <c r="P80" s="17" t="str">
        <f aca="false">IF((E80="c"),H80," ")</f>
        <v> </v>
      </c>
      <c r="Q80" s="17" t="str">
        <f aca="false">IF((E80="o"),H80," ")</f>
        <v> </v>
      </c>
      <c r="R80" s="17" t="str">
        <f aca="false">IF((E80="d"),H80," ")</f>
        <v> </v>
      </c>
      <c r="S80" s="17" t="str">
        <f aca="false">IF((E80="w"),H80," ")</f>
        <v> </v>
      </c>
      <c r="T80" s="17" t="str">
        <f aca="false">IF((E80="r"),H80," ")</f>
        <v> </v>
      </c>
      <c r="U80" s="17" t="str">
        <f aca="false">IF((E80="p"),H80," ")</f>
        <v> </v>
      </c>
      <c r="V80" s="17" t="str">
        <f aca="false">IF((E80="t"),H80," ")</f>
        <v> </v>
      </c>
      <c r="W80" s="17" t="str">
        <f aca="false">IF((E80="q"),H80," ")</f>
        <v> </v>
      </c>
      <c r="X80" s="17" t="str">
        <f aca="false">IF((E80="m"),H80," ")</f>
        <v> </v>
      </c>
      <c r="Y80" s="17" t="str">
        <f aca="false">IF((E80="u"),H80," ")</f>
        <v> </v>
      </c>
      <c r="Z80" s="17" t="str">
        <f aca="false">IF((E80="a"),H80," ")</f>
        <v> </v>
      </c>
      <c r="AA80" s="17" t="str">
        <f aca="false">IF((E80="g"),H80," ")</f>
        <v> </v>
      </c>
      <c r="AB80" s="17" t="str">
        <f aca="false">IF((E80="h"),H80," ")</f>
        <v> </v>
      </c>
      <c r="AC80" s="30" t="str">
        <f aca="false">IF((E80="v"),H80," ")</f>
        <v> </v>
      </c>
      <c r="AD80" s="30" t="str">
        <f aca="false">IF((E80="n"),H80," ")</f>
        <v> </v>
      </c>
      <c r="AE80" s="17" t="str">
        <f aca="false">IF((E80="f"),H80," ")</f>
        <v> </v>
      </c>
      <c r="AF80" s="17" t="str">
        <f aca="false">IF((E80="l"),H80," ")</f>
        <v> </v>
      </c>
      <c r="AG80" s="17" t="str">
        <f aca="false">IF((E80="y"),H80," ")</f>
        <v> </v>
      </c>
      <c r="AH80" s="17" t="str">
        <f aca="false">IF((E80="z"),H80," ")</f>
        <v> </v>
      </c>
      <c r="AI80" s="17" t="str">
        <f aca="false">IF((E80="fa"),H80," ")</f>
        <v> </v>
      </c>
      <c r="AJ80" s="17" t="str">
        <f aca="false">IF((E80="e"),H80," ")</f>
        <v> </v>
      </c>
    </row>
    <row r="81" customFormat="false" ht="12" hidden="false" customHeight="false" outlineLevel="0" collapsed="false">
      <c r="A81" s="28"/>
      <c r="E81" s="2" t="str">
        <f aca="false">IF((F81&lt;&gt;0),"Enter Letter"," ")</f>
        <v> </v>
      </c>
      <c r="F81" s="30"/>
      <c r="G81" s="6" t="str">
        <f aca="false">IF(F81&lt;&gt;0,F81*G$2/(100+G$2)," ")</f>
        <v> </v>
      </c>
      <c r="H81" s="6" t="str">
        <f aca="false">IF((F81&lt;&gt;0),F81-G81," ")</f>
        <v> </v>
      </c>
      <c r="I81" s="5"/>
      <c r="L81" s="7" t="str">
        <f aca="false">IF(F81&lt;&gt;0,F81-K81," ")</f>
        <v> </v>
      </c>
      <c r="M81" s="8" t="str">
        <f aca="false">IF((F81-K81)&lt;&gt;0,M$1-A81," ")</f>
        <v> </v>
      </c>
      <c r="N81" s="5"/>
      <c r="O81" s="17" t="str">
        <f aca="false">IF((E81="s"),H81," ")</f>
        <v> </v>
      </c>
      <c r="P81" s="17" t="str">
        <f aca="false">IF((E81="c"),H81," ")</f>
        <v> </v>
      </c>
      <c r="Q81" s="17" t="str">
        <f aca="false">IF((E81="o"),H81," ")</f>
        <v> </v>
      </c>
      <c r="R81" s="17" t="str">
        <f aca="false">IF((E81="d"),H81," ")</f>
        <v> </v>
      </c>
      <c r="S81" s="17" t="str">
        <f aca="false">IF((E81="w"),H81," ")</f>
        <v> </v>
      </c>
      <c r="T81" s="17" t="str">
        <f aca="false">IF((E81="r"),H81," ")</f>
        <v> </v>
      </c>
      <c r="U81" s="17" t="str">
        <f aca="false">IF((E81="p"),H81," ")</f>
        <v> </v>
      </c>
      <c r="V81" s="17" t="str">
        <f aca="false">IF((E81="t"),H81," ")</f>
        <v> </v>
      </c>
      <c r="W81" s="17" t="str">
        <f aca="false">IF((E81="q"),H81," ")</f>
        <v> </v>
      </c>
      <c r="X81" s="17" t="str">
        <f aca="false">IF((E81="m"),H81," ")</f>
        <v> </v>
      </c>
      <c r="Y81" s="17" t="str">
        <f aca="false">IF((E81="u"),H81," ")</f>
        <v> </v>
      </c>
      <c r="Z81" s="17" t="str">
        <f aca="false">IF((E81="a"),H81," ")</f>
        <v> </v>
      </c>
      <c r="AA81" s="17" t="str">
        <f aca="false">IF((E81="g"),H81," ")</f>
        <v> </v>
      </c>
      <c r="AB81" s="17" t="str">
        <f aca="false">IF((E81="h"),H81," ")</f>
        <v> </v>
      </c>
      <c r="AC81" s="30" t="str">
        <f aca="false">IF((E81="v"),H81," ")</f>
        <v> </v>
      </c>
      <c r="AD81" s="30" t="str">
        <f aca="false">IF((E81="n"),H81," ")</f>
        <v> </v>
      </c>
      <c r="AE81" s="17" t="str">
        <f aca="false">IF((E81="f"),H81," ")</f>
        <v> </v>
      </c>
      <c r="AF81" s="17" t="str">
        <f aca="false">IF((E81="l"),H81," ")</f>
        <v> </v>
      </c>
      <c r="AG81" s="17" t="str">
        <f aca="false">IF((E81="y"),H81," ")</f>
        <v> </v>
      </c>
      <c r="AH81" s="17" t="str">
        <f aca="false">IF((E81="z"),H81," ")</f>
        <v> </v>
      </c>
      <c r="AI81" s="17" t="str">
        <f aca="false">IF((E81="fa"),H81," ")</f>
        <v> </v>
      </c>
      <c r="AJ81" s="17" t="str">
        <f aca="false">IF((E81="e"),H81," ")</f>
        <v> </v>
      </c>
    </row>
    <row r="82" customFormat="false" ht="12" hidden="false" customHeight="false" outlineLevel="0" collapsed="false">
      <c r="A82" s="28"/>
      <c r="E82" s="2" t="str">
        <f aca="false">IF((F82&lt;&gt;0),"Enter Letter"," ")</f>
        <v> </v>
      </c>
      <c r="F82" s="30"/>
      <c r="G82" s="6" t="str">
        <f aca="false">IF(F82&lt;&gt;0,F82*G$2/(100+G$2)," ")</f>
        <v> </v>
      </c>
      <c r="H82" s="6" t="str">
        <f aca="false">IF((F82&lt;&gt;0),F82-G82," ")</f>
        <v> </v>
      </c>
      <c r="I82" s="5"/>
      <c r="L82" s="7" t="str">
        <f aca="false">IF(F82&lt;&gt;0,F82-K82," ")</f>
        <v> </v>
      </c>
      <c r="M82" s="8" t="str">
        <f aca="false">IF((F82-K82)&lt;&gt;0,M$1-A82," ")</f>
        <v> </v>
      </c>
      <c r="N82" s="5"/>
      <c r="O82" s="17" t="str">
        <f aca="false">IF((E82="s"),H82," ")</f>
        <v> </v>
      </c>
      <c r="P82" s="17" t="str">
        <f aca="false">IF((E82="c"),H82," ")</f>
        <v> </v>
      </c>
      <c r="Q82" s="17" t="str">
        <f aca="false">IF((E82="o"),H82," ")</f>
        <v> </v>
      </c>
      <c r="R82" s="17" t="str">
        <f aca="false">IF((E82="d"),H82," ")</f>
        <v> </v>
      </c>
      <c r="S82" s="17" t="str">
        <f aca="false">IF((E82="w"),H82," ")</f>
        <v> </v>
      </c>
      <c r="T82" s="17" t="str">
        <f aca="false">IF((E82="r"),H82," ")</f>
        <v> </v>
      </c>
      <c r="U82" s="17" t="str">
        <f aca="false">IF((E82="p"),H82," ")</f>
        <v> </v>
      </c>
      <c r="V82" s="17" t="str">
        <f aca="false">IF((E82="t"),H82," ")</f>
        <v> </v>
      </c>
      <c r="W82" s="17" t="str">
        <f aca="false">IF((E82="q"),H82," ")</f>
        <v> </v>
      </c>
      <c r="X82" s="17" t="str">
        <f aca="false">IF((E82="m"),H82," ")</f>
        <v> </v>
      </c>
      <c r="Y82" s="17" t="str">
        <f aca="false">IF((E82="u"),H82," ")</f>
        <v> </v>
      </c>
      <c r="Z82" s="17" t="str">
        <f aca="false">IF((E82="a"),H82," ")</f>
        <v> </v>
      </c>
      <c r="AA82" s="17" t="str">
        <f aca="false">IF((E82="g"),H82," ")</f>
        <v> </v>
      </c>
      <c r="AB82" s="17" t="str">
        <f aca="false">IF((E82="h"),H82," ")</f>
        <v> </v>
      </c>
      <c r="AC82" s="30" t="str">
        <f aca="false">IF((E82="v"),H82," ")</f>
        <v> </v>
      </c>
      <c r="AD82" s="30" t="str">
        <f aca="false">IF((E82="n"),H82," ")</f>
        <v> </v>
      </c>
      <c r="AE82" s="17" t="str">
        <f aca="false">IF((E82="f"),H82," ")</f>
        <v> </v>
      </c>
      <c r="AF82" s="17" t="str">
        <f aca="false">IF((E82="l"),H82," ")</f>
        <v> </v>
      </c>
      <c r="AG82" s="17" t="str">
        <f aca="false">IF((E82="y"),H82," ")</f>
        <v> </v>
      </c>
      <c r="AH82" s="17" t="str">
        <f aca="false">IF((E82="z"),H82," ")</f>
        <v> </v>
      </c>
      <c r="AI82" s="17" t="str">
        <f aca="false">IF((E82="fa"),H82," ")</f>
        <v> </v>
      </c>
      <c r="AJ82" s="17" t="str">
        <f aca="false">IF((E82="e"),H82," ")</f>
        <v> </v>
      </c>
    </row>
    <row r="83" customFormat="false" ht="12" hidden="false" customHeight="false" outlineLevel="0" collapsed="false">
      <c r="A83" s="28"/>
      <c r="E83" s="2" t="str">
        <f aca="false">IF((F83&lt;&gt;0),"Enter Letter"," ")</f>
        <v> </v>
      </c>
      <c r="F83" s="30"/>
      <c r="G83" s="6" t="str">
        <f aca="false">IF(F83&lt;&gt;0,F83*G$2/(100+G$2)," ")</f>
        <v> </v>
      </c>
      <c r="H83" s="6" t="str">
        <f aca="false">IF((F83&lt;&gt;0),F83-G83," ")</f>
        <v> </v>
      </c>
      <c r="I83" s="5"/>
      <c r="L83" s="7" t="str">
        <f aca="false">IF(F83&lt;&gt;0,F83-K83," ")</f>
        <v> </v>
      </c>
      <c r="M83" s="8" t="str">
        <f aca="false">IF((F83-K83)&lt;&gt;0,M$1-A83," ")</f>
        <v> </v>
      </c>
      <c r="N83" s="5"/>
      <c r="O83" s="17" t="str">
        <f aca="false">IF((E83="s"),H83," ")</f>
        <v> </v>
      </c>
      <c r="P83" s="17" t="str">
        <f aca="false">IF((E83="c"),H83," ")</f>
        <v> </v>
      </c>
      <c r="Q83" s="17" t="str">
        <f aca="false">IF((E83="o"),H83," ")</f>
        <v> </v>
      </c>
      <c r="R83" s="17" t="str">
        <f aca="false">IF((E83="d"),H83," ")</f>
        <v> </v>
      </c>
      <c r="S83" s="17" t="str">
        <f aca="false">IF((E83="w"),H83," ")</f>
        <v> </v>
      </c>
      <c r="T83" s="17" t="str">
        <f aca="false">IF((E83="r"),H83," ")</f>
        <v> </v>
      </c>
      <c r="U83" s="17" t="str">
        <f aca="false">IF((E83="p"),H83," ")</f>
        <v> </v>
      </c>
      <c r="V83" s="17" t="str">
        <f aca="false">IF((E83="t"),H83," ")</f>
        <v> </v>
      </c>
      <c r="W83" s="17" t="str">
        <f aca="false">IF((E83="q"),H83," ")</f>
        <v> </v>
      </c>
      <c r="X83" s="17" t="str">
        <f aca="false">IF((E83="m"),H83," ")</f>
        <v> </v>
      </c>
      <c r="Y83" s="17" t="str">
        <f aca="false">IF((E83="u"),H83," ")</f>
        <v> </v>
      </c>
      <c r="Z83" s="17" t="str">
        <f aca="false">IF((E83="a"),H83," ")</f>
        <v> </v>
      </c>
      <c r="AA83" s="17" t="str">
        <f aca="false">IF((E83="g"),H83," ")</f>
        <v> </v>
      </c>
      <c r="AB83" s="17" t="str">
        <f aca="false">IF((E83="h"),H83," ")</f>
        <v> </v>
      </c>
      <c r="AC83" s="30" t="str">
        <f aca="false">IF((E83="v"),H83," ")</f>
        <v> </v>
      </c>
      <c r="AD83" s="30" t="str">
        <f aca="false">IF((E83="n"),H83," ")</f>
        <v> </v>
      </c>
      <c r="AE83" s="17" t="str">
        <f aca="false">IF((E83="f"),H83," ")</f>
        <v> </v>
      </c>
      <c r="AF83" s="17" t="str">
        <f aca="false">IF((E83="l"),H83," ")</f>
        <v> </v>
      </c>
      <c r="AG83" s="17" t="str">
        <f aca="false">IF((E83="y"),H83," ")</f>
        <v> </v>
      </c>
      <c r="AH83" s="17" t="str">
        <f aca="false">IF((E83="z"),H83," ")</f>
        <v> </v>
      </c>
      <c r="AI83" s="17" t="str">
        <f aca="false">IF((E83="fa"),H83," ")</f>
        <v> </v>
      </c>
      <c r="AJ83" s="17" t="str">
        <f aca="false">IF((E83="e"),H83," ")</f>
        <v> </v>
      </c>
    </row>
    <row r="84" customFormat="false" ht="12" hidden="false" customHeight="false" outlineLevel="0" collapsed="false">
      <c r="A84" s="28"/>
      <c r="E84" s="2" t="str">
        <f aca="false">IF((F84&lt;&gt;0),"Enter Letter"," ")</f>
        <v> </v>
      </c>
      <c r="F84" s="30"/>
      <c r="G84" s="6" t="str">
        <f aca="false">IF(F84&lt;&gt;0,F84*G$2/(100+G$2)," ")</f>
        <v> </v>
      </c>
      <c r="H84" s="6" t="str">
        <f aca="false">IF((F84&lt;&gt;0),F84-G84," ")</f>
        <v> </v>
      </c>
      <c r="I84" s="5"/>
      <c r="L84" s="7" t="str">
        <f aca="false">IF(F84&lt;&gt;0,F84-K84," ")</f>
        <v> </v>
      </c>
      <c r="M84" s="8" t="str">
        <f aca="false">IF((F84-K84)&lt;&gt;0,M$1-A84," ")</f>
        <v> </v>
      </c>
      <c r="N84" s="5"/>
      <c r="O84" s="17" t="str">
        <f aca="false">IF((E84="s"),H84," ")</f>
        <v> </v>
      </c>
      <c r="P84" s="17" t="str">
        <f aca="false">IF((E84="c"),H84," ")</f>
        <v> </v>
      </c>
      <c r="Q84" s="17" t="str">
        <f aca="false">IF((E84="o"),H84," ")</f>
        <v> </v>
      </c>
      <c r="R84" s="17" t="str">
        <f aca="false">IF((E84="d"),H84," ")</f>
        <v> </v>
      </c>
      <c r="S84" s="17" t="str">
        <f aca="false">IF((E84="w"),H84," ")</f>
        <v> </v>
      </c>
      <c r="T84" s="17" t="str">
        <f aca="false">IF((E84="r"),H84," ")</f>
        <v> </v>
      </c>
      <c r="U84" s="17" t="str">
        <f aca="false">IF((E84="p"),H84," ")</f>
        <v> </v>
      </c>
      <c r="V84" s="17" t="str">
        <f aca="false">IF((E84="t"),H84," ")</f>
        <v> </v>
      </c>
      <c r="W84" s="17" t="str">
        <f aca="false">IF((E84="q"),H84," ")</f>
        <v> </v>
      </c>
      <c r="X84" s="17" t="str">
        <f aca="false">IF((E84="m"),H84," ")</f>
        <v> </v>
      </c>
      <c r="Y84" s="17" t="str">
        <f aca="false">IF((E84="u"),H84," ")</f>
        <v> </v>
      </c>
      <c r="Z84" s="17" t="str">
        <f aca="false">IF((E84="a"),H84," ")</f>
        <v> </v>
      </c>
      <c r="AA84" s="17" t="str">
        <f aca="false">IF((E84="g"),H84," ")</f>
        <v> </v>
      </c>
      <c r="AB84" s="17" t="str">
        <f aca="false">IF((E84="h"),H84," ")</f>
        <v> </v>
      </c>
      <c r="AC84" s="30" t="str">
        <f aca="false">IF((E84="v"),H84," ")</f>
        <v> </v>
      </c>
      <c r="AD84" s="30" t="str">
        <f aca="false">IF((E84="n"),H84," ")</f>
        <v> </v>
      </c>
      <c r="AE84" s="17" t="str">
        <f aca="false">IF((E84="f"),H84," ")</f>
        <v> </v>
      </c>
      <c r="AF84" s="17" t="str">
        <f aca="false">IF((E84="l"),H84," ")</f>
        <v> </v>
      </c>
      <c r="AG84" s="17" t="str">
        <f aca="false">IF((E84="y"),H84," ")</f>
        <v> </v>
      </c>
      <c r="AH84" s="17" t="str">
        <f aca="false">IF((E84="z"),H84," ")</f>
        <v> </v>
      </c>
      <c r="AI84" s="17" t="str">
        <f aca="false">IF((E84="fa"),H84," ")</f>
        <v> </v>
      </c>
      <c r="AJ84" s="17" t="str">
        <f aca="false">IF((E84="e"),H84," ")</f>
        <v> </v>
      </c>
    </row>
    <row r="85" customFormat="false" ht="12" hidden="false" customHeight="false" outlineLevel="0" collapsed="false">
      <c r="A85" s="28"/>
      <c r="E85" s="2" t="str">
        <f aca="false">IF((F85&lt;&gt;0),"Enter Letter"," ")</f>
        <v> </v>
      </c>
      <c r="F85" s="30"/>
      <c r="G85" s="6" t="str">
        <f aca="false">IF(F85&lt;&gt;0,F85*G$2/(100+G$2)," ")</f>
        <v> </v>
      </c>
      <c r="H85" s="6" t="str">
        <f aca="false">IF((F85&lt;&gt;0),F85-G85," ")</f>
        <v> </v>
      </c>
      <c r="I85" s="5"/>
      <c r="L85" s="7" t="str">
        <f aca="false">IF(F85&lt;&gt;0,F85-K85," ")</f>
        <v> </v>
      </c>
      <c r="M85" s="8" t="str">
        <f aca="false">IF((F85-K85)&lt;&gt;0,M$1-A85," ")</f>
        <v> </v>
      </c>
      <c r="N85" s="5"/>
      <c r="O85" s="17" t="str">
        <f aca="false">IF((E85="s"),H85," ")</f>
        <v> </v>
      </c>
      <c r="P85" s="17" t="str">
        <f aca="false">IF((E85="c"),H85," ")</f>
        <v> </v>
      </c>
      <c r="Q85" s="17" t="str">
        <f aca="false">IF((E85="o"),H85," ")</f>
        <v> </v>
      </c>
      <c r="R85" s="17" t="str">
        <f aca="false">IF((E85="d"),H85," ")</f>
        <v> </v>
      </c>
      <c r="S85" s="17" t="str">
        <f aca="false">IF((E85="w"),H85," ")</f>
        <v> </v>
      </c>
      <c r="T85" s="17" t="str">
        <f aca="false">IF((E85="r"),H85," ")</f>
        <v> </v>
      </c>
      <c r="U85" s="17" t="str">
        <f aca="false">IF((E85="p"),H85," ")</f>
        <v> </v>
      </c>
      <c r="V85" s="17" t="str">
        <f aca="false">IF((E85="t"),H85," ")</f>
        <v> </v>
      </c>
      <c r="W85" s="17" t="str">
        <f aca="false">IF((E85="q"),H85," ")</f>
        <v> </v>
      </c>
      <c r="X85" s="17" t="str">
        <f aca="false">IF((E85="m"),H85," ")</f>
        <v> </v>
      </c>
      <c r="Y85" s="17" t="str">
        <f aca="false">IF((E85="u"),H85," ")</f>
        <v> </v>
      </c>
      <c r="Z85" s="17" t="str">
        <f aca="false">IF((E85="a"),H85," ")</f>
        <v> </v>
      </c>
      <c r="AA85" s="17" t="str">
        <f aca="false">IF((E85="g"),H85," ")</f>
        <v> </v>
      </c>
      <c r="AB85" s="17" t="str">
        <f aca="false">IF((E85="h"),H85," ")</f>
        <v> </v>
      </c>
      <c r="AC85" s="30" t="str">
        <f aca="false">IF((E85="v"),H85," ")</f>
        <v> </v>
      </c>
      <c r="AD85" s="30" t="str">
        <f aca="false">IF((E85="n"),H85," ")</f>
        <v> </v>
      </c>
      <c r="AE85" s="17" t="str">
        <f aca="false">IF((E85="f"),H85," ")</f>
        <v> </v>
      </c>
      <c r="AF85" s="17" t="str">
        <f aca="false">IF((E85="l"),H85," ")</f>
        <v> </v>
      </c>
      <c r="AG85" s="17" t="str">
        <f aca="false">IF((E85="y"),H85," ")</f>
        <v> </v>
      </c>
      <c r="AH85" s="17" t="str">
        <f aca="false">IF((E85="z"),H85," ")</f>
        <v> </v>
      </c>
      <c r="AI85" s="17" t="str">
        <f aca="false">IF((E85="fa"),H85," ")</f>
        <v> </v>
      </c>
      <c r="AJ85" s="17" t="str">
        <f aca="false">IF((E85="e"),H85," ")</f>
        <v> </v>
      </c>
    </row>
    <row r="86" customFormat="false" ht="12" hidden="false" customHeight="false" outlineLevel="0" collapsed="false">
      <c r="A86" s="28"/>
      <c r="E86" s="2" t="str">
        <f aca="false">IF((F86&lt;&gt;0),"Enter Letter"," ")</f>
        <v> </v>
      </c>
      <c r="F86" s="30"/>
      <c r="G86" s="6" t="str">
        <f aca="false">IF(F86&lt;&gt;0,F86*G$2/(100+G$2)," ")</f>
        <v> </v>
      </c>
      <c r="H86" s="6" t="str">
        <f aca="false">IF((F86&lt;&gt;0),F86-G86," ")</f>
        <v> </v>
      </c>
      <c r="I86" s="5"/>
      <c r="L86" s="7" t="str">
        <f aca="false">IF(F86&lt;&gt;0,F86-K86," ")</f>
        <v> </v>
      </c>
      <c r="M86" s="8" t="str">
        <f aca="false">IF((F86-K86)&lt;&gt;0,M$1-A86," ")</f>
        <v> </v>
      </c>
      <c r="N86" s="5"/>
      <c r="O86" s="17" t="str">
        <f aca="false">IF((E86="s"),H86," ")</f>
        <v> </v>
      </c>
      <c r="P86" s="17" t="str">
        <f aca="false">IF((E86="c"),H86," ")</f>
        <v> </v>
      </c>
      <c r="Q86" s="17" t="str">
        <f aca="false">IF((E86="o"),H86," ")</f>
        <v> </v>
      </c>
      <c r="R86" s="17" t="str">
        <f aca="false">IF((E86="d"),H86," ")</f>
        <v> </v>
      </c>
      <c r="S86" s="17" t="str">
        <f aca="false">IF((E86="w"),H86," ")</f>
        <v> </v>
      </c>
      <c r="T86" s="17" t="str">
        <f aca="false">IF((E86="r"),H86," ")</f>
        <v> </v>
      </c>
      <c r="U86" s="17" t="str">
        <f aca="false">IF((E86="p"),H86," ")</f>
        <v> </v>
      </c>
      <c r="V86" s="17" t="str">
        <f aca="false">IF((E86="t"),H86," ")</f>
        <v> </v>
      </c>
      <c r="W86" s="17" t="str">
        <f aca="false">IF((E86="q"),H86," ")</f>
        <v> </v>
      </c>
      <c r="X86" s="17" t="str">
        <f aca="false">IF((E86="m"),H86," ")</f>
        <v> </v>
      </c>
      <c r="Y86" s="17" t="str">
        <f aca="false">IF((E86="u"),H86," ")</f>
        <v> </v>
      </c>
      <c r="Z86" s="17" t="str">
        <f aca="false">IF((E86="a"),H86," ")</f>
        <v> </v>
      </c>
      <c r="AA86" s="17" t="str">
        <f aca="false">IF((E86="g"),H86," ")</f>
        <v> </v>
      </c>
      <c r="AB86" s="17" t="str">
        <f aca="false">IF((E86="h"),H86," ")</f>
        <v> </v>
      </c>
      <c r="AC86" s="30" t="str">
        <f aca="false">IF((E86="v"),H86," ")</f>
        <v> </v>
      </c>
      <c r="AD86" s="30" t="str">
        <f aca="false">IF((E86="n"),H86," ")</f>
        <v> </v>
      </c>
      <c r="AE86" s="17" t="str">
        <f aca="false">IF((E86="f"),H86," ")</f>
        <v> </v>
      </c>
      <c r="AF86" s="17" t="str">
        <f aca="false">IF((E86="l"),H86," ")</f>
        <v> </v>
      </c>
      <c r="AG86" s="17" t="str">
        <f aca="false">IF((E86="y"),H86," ")</f>
        <v> </v>
      </c>
      <c r="AH86" s="17" t="str">
        <f aca="false">IF((E86="z"),H86," ")</f>
        <v> </v>
      </c>
      <c r="AI86" s="17" t="str">
        <f aca="false">IF((E86="fa"),H86," ")</f>
        <v> </v>
      </c>
      <c r="AJ86" s="17" t="str">
        <f aca="false">IF((E86="e"),H86," ")</f>
        <v> </v>
      </c>
    </row>
    <row r="87" customFormat="false" ht="12" hidden="false" customHeight="false" outlineLevel="0" collapsed="false">
      <c r="A87" s="28"/>
      <c r="E87" s="2" t="str">
        <f aca="false">IF((F87&lt;&gt;0),"Enter Letter"," ")</f>
        <v> </v>
      </c>
      <c r="F87" s="30"/>
      <c r="G87" s="6" t="str">
        <f aca="false">IF(F87&lt;&gt;0,F87*G$2/(100+G$2)," ")</f>
        <v> </v>
      </c>
      <c r="H87" s="6" t="str">
        <f aca="false">IF((F87&lt;&gt;0),F87-G87," ")</f>
        <v> </v>
      </c>
      <c r="I87" s="5"/>
      <c r="L87" s="7" t="str">
        <f aca="false">IF(F87&lt;&gt;0,F87-K87," ")</f>
        <v> </v>
      </c>
      <c r="M87" s="8" t="str">
        <f aca="false">IF((F87-K87)&lt;&gt;0,M$1-A87," ")</f>
        <v> </v>
      </c>
      <c r="N87" s="5"/>
      <c r="O87" s="17" t="str">
        <f aca="false">IF((E87="s"),H87," ")</f>
        <v> </v>
      </c>
      <c r="P87" s="17" t="str">
        <f aca="false">IF((E87="c"),H87," ")</f>
        <v> </v>
      </c>
      <c r="Q87" s="17" t="str">
        <f aca="false">IF((E87="o"),H87," ")</f>
        <v> </v>
      </c>
      <c r="R87" s="17" t="str">
        <f aca="false">IF((E87="d"),H87," ")</f>
        <v> </v>
      </c>
      <c r="S87" s="17" t="str">
        <f aca="false">IF((E87="w"),H87," ")</f>
        <v> </v>
      </c>
      <c r="T87" s="17" t="str">
        <f aca="false">IF((E87="r"),H87," ")</f>
        <v> </v>
      </c>
      <c r="U87" s="17" t="str">
        <f aca="false">IF((E87="p"),H87," ")</f>
        <v> </v>
      </c>
      <c r="V87" s="17" t="str">
        <f aca="false">IF((E87="t"),H87," ")</f>
        <v> </v>
      </c>
      <c r="W87" s="17" t="str">
        <f aca="false">IF((E87="q"),H87," ")</f>
        <v> </v>
      </c>
      <c r="X87" s="17" t="str">
        <f aca="false">IF((E87="m"),H87," ")</f>
        <v> </v>
      </c>
      <c r="Y87" s="17" t="str">
        <f aca="false">IF((E87="u"),H87," ")</f>
        <v> </v>
      </c>
      <c r="Z87" s="17" t="str">
        <f aca="false">IF((E87="a"),H87," ")</f>
        <v> </v>
      </c>
      <c r="AA87" s="17" t="str">
        <f aca="false">IF((E87="g"),H87," ")</f>
        <v> </v>
      </c>
      <c r="AB87" s="17" t="str">
        <f aca="false">IF((E87="h"),H87," ")</f>
        <v> </v>
      </c>
      <c r="AC87" s="30" t="str">
        <f aca="false">IF((E87="v"),H87," ")</f>
        <v> </v>
      </c>
      <c r="AD87" s="30" t="str">
        <f aca="false">IF((E87="n"),H87," ")</f>
        <v> </v>
      </c>
      <c r="AE87" s="17" t="str">
        <f aca="false">IF((E87="f"),H87," ")</f>
        <v> </v>
      </c>
      <c r="AF87" s="17" t="str">
        <f aca="false">IF((E87="l"),H87," ")</f>
        <v> </v>
      </c>
      <c r="AG87" s="17" t="str">
        <f aca="false">IF((E87="y"),H87," ")</f>
        <v> </v>
      </c>
      <c r="AH87" s="17" t="str">
        <f aca="false">IF((E87="z"),H87," ")</f>
        <v> </v>
      </c>
      <c r="AI87" s="17" t="str">
        <f aca="false">IF((E87="fa"),H87," ")</f>
        <v> </v>
      </c>
      <c r="AJ87" s="17" t="str">
        <f aca="false">IF((E87="e"),H87," ")</f>
        <v> </v>
      </c>
    </row>
    <row r="88" customFormat="false" ht="12" hidden="false" customHeight="false" outlineLevel="0" collapsed="false">
      <c r="A88" s="28"/>
      <c r="E88" s="2" t="str">
        <f aca="false">IF((F88&lt;&gt;0),"Enter Letter"," ")</f>
        <v> </v>
      </c>
      <c r="F88" s="30"/>
      <c r="G88" s="6" t="str">
        <f aca="false">IF(F88&lt;&gt;0,F88*G$2/(100+G$2)," ")</f>
        <v> </v>
      </c>
      <c r="H88" s="6" t="str">
        <f aca="false">IF((F88&lt;&gt;0),F88-G88," ")</f>
        <v> </v>
      </c>
      <c r="I88" s="5"/>
      <c r="L88" s="7" t="str">
        <f aca="false">IF(F88&lt;&gt;0,F88-K88," ")</f>
        <v> </v>
      </c>
      <c r="M88" s="8" t="str">
        <f aca="false">IF((F88-K88)&lt;&gt;0,M$1-A88," ")</f>
        <v> </v>
      </c>
      <c r="N88" s="5"/>
      <c r="O88" s="17" t="str">
        <f aca="false">IF((E88="s"),H88," ")</f>
        <v> </v>
      </c>
      <c r="P88" s="17" t="str">
        <f aca="false">IF((E88="c"),H88," ")</f>
        <v> </v>
      </c>
      <c r="Q88" s="17" t="str">
        <f aca="false">IF((E88="o"),H88," ")</f>
        <v> </v>
      </c>
      <c r="R88" s="17" t="str">
        <f aca="false">IF((E88="d"),H88," ")</f>
        <v> </v>
      </c>
      <c r="S88" s="17" t="str">
        <f aca="false">IF((E88="w"),H88," ")</f>
        <v> </v>
      </c>
      <c r="T88" s="17" t="str">
        <f aca="false">IF((E88="r"),H88," ")</f>
        <v> </v>
      </c>
      <c r="U88" s="17" t="str">
        <f aca="false">IF((E88="p"),H88," ")</f>
        <v> </v>
      </c>
      <c r="V88" s="17" t="str">
        <f aca="false">IF((E88="t"),H88," ")</f>
        <v> </v>
      </c>
      <c r="W88" s="17" t="str">
        <f aca="false">IF((E88="q"),H88," ")</f>
        <v> </v>
      </c>
      <c r="X88" s="17" t="str">
        <f aca="false">IF((E88="m"),H88," ")</f>
        <v> </v>
      </c>
      <c r="Y88" s="17" t="str">
        <f aca="false">IF((E88="u"),H88," ")</f>
        <v> </v>
      </c>
      <c r="Z88" s="17" t="str">
        <f aca="false">IF((E88="a"),H88," ")</f>
        <v> </v>
      </c>
      <c r="AA88" s="17" t="str">
        <f aca="false">IF((E88="g"),H88," ")</f>
        <v> </v>
      </c>
      <c r="AB88" s="17" t="str">
        <f aca="false">IF((E88="h"),H88," ")</f>
        <v> </v>
      </c>
      <c r="AC88" s="30" t="str">
        <f aca="false">IF((E88="v"),H88," ")</f>
        <v> </v>
      </c>
      <c r="AD88" s="30" t="str">
        <f aca="false">IF((E88="n"),H88," ")</f>
        <v> </v>
      </c>
      <c r="AE88" s="17" t="str">
        <f aca="false">IF((E88="f"),H88," ")</f>
        <v> </v>
      </c>
      <c r="AF88" s="17" t="str">
        <f aca="false">IF((E88="l"),H88," ")</f>
        <v> </v>
      </c>
      <c r="AG88" s="17" t="str">
        <f aca="false">IF((E88="y"),H88," ")</f>
        <v> </v>
      </c>
      <c r="AH88" s="17" t="str">
        <f aca="false">IF((E88="z"),H88," ")</f>
        <v> </v>
      </c>
      <c r="AI88" s="17" t="str">
        <f aca="false">IF((E88="fa"),H88," ")</f>
        <v> </v>
      </c>
      <c r="AJ88" s="17" t="str">
        <f aca="false">IF((E88="e"),H88," ")</f>
        <v> </v>
      </c>
    </row>
    <row r="89" customFormat="false" ht="12" hidden="false" customHeight="false" outlineLevel="0" collapsed="false">
      <c r="A89" s="28"/>
      <c r="E89" s="2" t="str">
        <f aca="false">IF((F89&lt;&gt;0),"Enter Letter"," ")</f>
        <v> </v>
      </c>
      <c r="F89" s="30"/>
      <c r="G89" s="6" t="str">
        <f aca="false">IF(F89&lt;&gt;0,F89*G$2/(100+G$2)," ")</f>
        <v> </v>
      </c>
      <c r="H89" s="6" t="str">
        <f aca="false">IF((F89&lt;&gt;0),F89-G89," ")</f>
        <v> </v>
      </c>
      <c r="I89" s="5"/>
      <c r="L89" s="7" t="str">
        <f aca="false">IF(F89&lt;&gt;0,F89-K89," ")</f>
        <v> </v>
      </c>
      <c r="M89" s="8" t="str">
        <f aca="false">IF((F89-K89)&lt;&gt;0,M$1-A89," ")</f>
        <v> </v>
      </c>
      <c r="N89" s="5"/>
      <c r="O89" s="17" t="str">
        <f aca="false">IF((E89="s"),H89," ")</f>
        <v> </v>
      </c>
      <c r="P89" s="17" t="str">
        <f aca="false">IF((E89="c"),H89," ")</f>
        <v> </v>
      </c>
      <c r="Q89" s="17" t="str">
        <f aca="false">IF((E89="o"),H89," ")</f>
        <v> </v>
      </c>
      <c r="R89" s="17" t="str">
        <f aca="false">IF((E89="d"),H89," ")</f>
        <v> </v>
      </c>
      <c r="S89" s="17" t="str">
        <f aca="false">IF((E89="w"),H89," ")</f>
        <v> </v>
      </c>
      <c r="T89" s="17" t="str">
        <f aca="false">IF((E89="r"),H89," ")</f>
        <v> </v>
      </c>
      <c r="U89" s="17" t="str">
        <f aca="false">IF((E89="p"),H89," ")</f>
        <v> </v>
      </c>
      <c r="V89" s="17" t="str">
        <f aca="false">IF((E89="t"),H89," ")</f>
        <v> </v>
      </c>
      <c r="W89" s="17" t="str">
        <f aca="false">IF((E89="q"),H89," ")</f>
        <v> </v>
      </c>
      <c r="X89" s="17" t="str">
        <f aca="false">IF((E89="m"),H89," ")</f>
        <v> </v>
      </c>
      <c r="Y89" s="17" t="str">
        <f aca="false">IF((E89="u"),H89," ")</f>
        <v> </v>
      </c>
      <c r="Z89" s="17" t="str">
        <f aca="false">IF((E89="a"),H89," ")</f>
        <v> </v>
      </c>
      <c r="AA89" s="17" t="str">
        <f aca="false">IF((E89="g"),H89," ")</f>
        <v> </v>
      </c>
      <c r="AB89" s="17" t="str">
        <f aca="false">IF((E89="h"),H89," ")</f>
        <v> </v>
      </c>
      <c r="AC89" s="30" t="str">
        <f aca="false">IF((E89="v"),H89," ")</f>
        <v> </v>
      </c>
      <c r="AD89" s="30" t="str">
        <f aca="false">IF((E89="n"),H89," ")</f>
        <v> </v>
      </c>
      <c r="AE89" s="17" t="str">
        <f aca="false">IF((E89="f"),H89," ")</f>
        <v> </v>
      </c>
      <c r="AF89" s="17" t="str">
        <f aca="false">IF((E89="l"),H89," ")</f>
        <v> </v>
      </c>
      <c r="AG89" s="17" t="str">
        <f aca="false">IF((E89="y"),H89," ")</f>
        <v> </v>
      </c>
      <c r="AH89" s="17" t="str">
        <f aca="false">IF((E89="z"),H89," ")</f>
        <v> </v>
      </c>
      <c r="AI89" s="17" t="str">
        <f aca="false">IF((E89="fa"),H89," ")</f>
        <v> </v>
      </c>
      <c r="AJ89" s="17" t="str">
        <f aca="false">IF((E89="e"),H89," ")</f>
        <v> </v>
      </c>
    </row>
    <row r="90" customFormat="false" ht="12" hidden="false" customHeight="false" outlineLevel="0" collapsed="false">
      <c r="A90" s="28"/>
      <c r="E90" s="2" t="str">
        <f aca="false">IF((F90&lt;&gt;0),"Enter Letter"," ")</f>
        <v> </v>
      </c>
      <c r="F90" s="30"/>
      <c r="G90" s="6" t="str">
        <f aca="false">IF(F90&lt;&gt;0,F90*G$2/(100+G$2)," ")</f>
        <v> </v>
      </c>
      <c r="H90" s="6" t="str">
        <f aca="false">IF((F90&lt;&gt;0),F90-G90," ")</f>
        <v> </v>
      </c>
      <c r="I90" s="5"/>
      <c r="L90" s="7" t="str">
        <f aca="false">IF(F90&lt;&gt;0,F90-K90," ")</f>
        <v> </v>
      </c>
      <c r="M90" s="8" t="str">
        <f aca="false">IF((F90-K90)&lt;&gt;0,M$1-A90," ")</f>
        <v> </v>
      </c>
      <c r="N90" s="5"/>
      <c r="O90" s="17" t="str">
        <f aca="false">IF((E90="s"),H90," ")</f>
        <v> </v>
      </c>
      <c r="P90" s="17" t="str">
        <f aca="false">IF((E90="c"),H90," ")</f>
        <v> </v>
      </c>
      <c r="Q90" s="17" t="str">
        <f aca="false">IF((E90="o"),H90," ")</f>
        <v> </v>
      </c>
      <c r="R90" s="17" t="str">
        <f aca="false">IF((E90="d"),H90," ")</f>
        <v> </v>
      </c>
      <c r="S90" s="17" t="str">
        <f aca="false">IF((E90="w"),H90," ")</f>
        <v> </v>
      </c>
      <c r="T90" s="17" t="str">
        <f aca="false">IF((E90="r"),H90," ")</f>
        <v> </v>
      </c>
      <c r="U90" s="17" t="str">
        <f aca="false">IF((E90="p"),H90," ")</f>
        <v> </v>
      </c>
      <c r="V90" s="17" t="str">
        <f aca="false">IF((E90="t"),H90," ")</f>
        <v> </v>
      </c>
      <c r="W90" s="17" t="str">
        <f aca="false">IF((E90="q"),H90," ")</f>
        <v> </v>
      </c>
      <c r="X90" s="17" t="str">
        <f aca="false">IF((E90="m"),H90," ")</f>
        <v> </v>
      </c>
      <c r="Y90" s="17" t="str">
        <f aca="false">IF((E90="u"),H90," ")</f>
        <v> </v>
      </c>
      <c r="Z90" s="17" t="str">
        <f aca="false">IF((E90="a"),H90," ")</f>
        <v> </v>
      </c>
      <c r="AA90" s="17" t="str">
        <f aca="false">IF((E90="g"),H90," ")</f>
        <v> </v>
      </c>
      <c r="AB90" s="17" t="str">
        <f aca="false">IF((E90="h"),H90," ")</f>
        <v> </v>
      </c>
      <c r="AC90" s="30" t="str">
        <f aca="false">IF((E90="v"),H90," ")</f>
        <v> </v>
      </c>
      <c r="AD90" s="30" t="str">
        <f aca="false">IF((E90="n"),H90," ")</f>
        <v> </v>
      </c>
      <c r="AE90" s="17" t="str">
        <f aca="false">IF((E90="f"),H90," ")</f>
        <v> </v>
      </c>
      <c r="AF90" s="17" t="str">
        <f aca="false">IF((E90="l"),H90," ")</f>
        <v> </v>
      </c>
      <c r="AG90" s="17" t="str">
        <f aca="false">IF((E90="y"),H90," ")</f>
        <v> </v>
      </c>
      <c r="AH90" s="17" t="str">
        <f aca="false">IF((E90="z"),H90," ")</f>
        <v> </v>
      </c>
      <c r="AI90" s="17" t="str">
        <f aca="false">IF((E90="fa"),H90," ")</f>
        <v> </v>
      </c>
      <c r="AJ90" s="17" t="str">
        <f aca="false">IF((E90="e"),H90," ")</f>
        <v> </v>
      </c>
    </row>
    <row r="91" customFormat="false" ht="12" hidden="false" customHeight="false" outlineLevel="0" collapsed="false">
      <c r="A91" s="28"/>
      <c r="E91" s="2" t="str">
        <f aca="false">IF((F91&lt;&gt;0),"Enter Letter"," ")</f>
        <v> </v>
      </c>
      <c r="F91" s="30"/>
      <c r="G91" s="6" t="str">
        <f aca="false">IF(F91&lt;&gt;0,F91*G$2/(100+G$2)," ")</f>
        <v> </v>
      </c>
      <c r="H91" s="6" t="str">
        <f aca="false">IF((F91&lt;&gt;0),F91-G91," ")</f>
        <v> </v>
      </c>
      <c r="I91" s="5"/>
      <c r="L91" s="7" t="str">
        <f aca="false">IF(F91&lt;&gt;0,F91-K91," ")</f>
        <v> </v>
      </c>
      <c r="M91" s="8" t="str">
        <f aca="false">IF((F91-K91)&lt;&gt;0,M$1-A91," ")</f>
        <v> </v>
      </c>
      <c r="N91" s="5"/>
      <c r="O91" s="17" t="str">
        <f aca="false">IF((E91="s"),H91," ")</f>
        <v> </v>
      </c>
      <c r="P91" s="17" t="str">
        <f aca="false">IF((E91="c"),H91," ")</f>
        <v> </v>
      </c>
      <c r="Q91" s="17" t="str">
        <f aca="false">IF((E91="o"),H91," ")</f>
        <v> </v>
      </c>
      <c r="R91" s="17" t="str">
        <f aca="false">IF((E91="d"),H91," ")</f>
        <v> </v>
      </c>
      <c r="S91" s="17" t="str">
        <f aca="false">IF((E91="w"),H91," ")</f>
        <v> </v>
      </c>
      <c r="T91" s="17" t="str">
        <f aca="false">IF((E91="r"),H91," ")</f>
        <v> </v>
      </c>
      <c r="U91" s="17" t="str">
        <f aca="false">IF((E91="p"),H91," ")</f>
        <v> </v>
      </c>
      <c r="V91" s="17" t="str">
        <f aca="false">IF((E91="t"),H91," ")</f>
        <v> </v>
      </c>
      <c r="W91" s="17" t="str">
        <f aca="false">IF((E91="q"),H91," ")</f>
        <v> </v>
      </c>
      <c r="X91" s="17" t="str">
        <f aca="false">IF((E91="m"),H91," ")</f>
        <v> </v>
      </c>
      <c r="Y91" s="17" t="str">
        <f aca="false">IF((E91="u"),H91," ")</f>
        <v> </v>
      </c>
      <c r="Z91" s="17" t="str">
        <f aca="false">IF((E91="a"),H91," ")</f>
        <v> </v>
      </c>
      <c r="AA91" s="17" t="str">
        <f aca="false">IF((E91="g"),H91," ")</f>
        <v> </v>
      </c>
      <c r="AB91" s="17" t="str">
        <f aca="false">IF((E91="h"),H91," ")</f>
        <v> </v>
      </c>
      <c r="AC91" s="30" t="str">
        <f aca="false">IF((E91="v"),H91," ")</f>
        <v> </v>
      </c>
      <c r="AD91" s="30" t="str">
        <f aca="false">IF((E91="n"),H91," ")</f>
        <v> </v>
      </c>
      <c r="AE91" s="17" t="str">
        <f aca="false">IF((E91="f"),H91," ")</f>
        <v> </v>
      </c>
      <c r="AF91" s="17" t="str">
        <f aca="false">IF((E91="l"),H91," ")</f>
        <v> </v>
      </c>
      <c r="AG91" s="17" t="str">
        <f aca="false">IF((E91="y"),H91," ")</f>
        <v> </v>
      </c>
      <c r="AH91" s="17" t="str">
        <f aca="false">IF((E91="z"),H91," ")</f>
        <v> </v>
      </c>
      <c r="AI91" s="17" t="str">
        <f aca="false">IF((E91="fa"),H91," ")</f>
        <v> </v>
      </c>
      <c r="AJ91" s="17" t="str">
        <f aca="false">IF((E91="e"),H91," ")</f>
        <v> </v>
      </c>
    </row>
    <row r="92" customFormat="false" ht="12" hidden="false" customHeight="false" outlineLevel="0" collapsed="false">
      <c r="A92" s="28"/>
      <c r="E92" s="2" t="str">
        <f aca="false">IF((F92&lt;&gt;0),"Enter Letter"," ")</f>
        <v> </v>
      </c>
      <c r="F92" s="30"/>
      <c r="G92" s="6" t="str">
        <f aca="false">IF(F92&lt;&gt;0,F92*G$2/(100+G$2)," ")</f>
        <v> </v>
      </c>
      <c r="H92" s="6" t="str">
        <f aca="false">IF((F92&lt;&gt;0),F92-G92," ")</f>
        <v> </v>
      </c>
      <c r="I92" s="5"/>
      <c r="L92" s="7" t="str">
        <f aca="false">IF(F92&lt;&gt;0,F92-K92," ")</f>
        <v> </v>
      </c>
      <c r="M92" s="8" t="str">
        <f aca="false">IF((F92-K92)&lt;&gt;0,M$1-A92," ")</f>
        <v> </v>
      </c>
      <c r="N92" s="5"/>
      <c r="O92" s="17" t="str">
        <f aca="false">IF((E92="s"),H92," ")</f>
        <v> </v>
      </c>
      <c r="P92" s="17" t="str">
        <f aca="false">IF((E92="c"),H92," ")</f>
        <v> </v>
      </c>
      <c r="Q92" s="17" t="str">
        <f aca="false">IF((E92="o"),H92," ")</f>
        <v> </v>
      </c>
      <c r="R92" s="17" t="str">
        <f aca="false">IF((E92="d"),H92," ")</f>
        <v> </v>
      </c>
      <c r="S92" s="17" t="str">
        <f aca="false">IF((E92="w"),H92," ")</f>
        <v> </v>
      </c>
      <c r="T92" s="17" t="str">
        <f aca="false">IF((E92="r"),H92," ")</f>
        <v> </v>
      </c>
      <c r="U92" s="17" t="str">
        <f aca="false">IF((E92="p"),H92," ")</f>
        <v> </v>
      </c>
      <c r="V92" s="17" t="str">
        <f aca="false">IF((E92="t"),H92," ")</f>
        <v> </v>
      </c>
      <c r="W92" s="17" t="str">
        <f aca="false">IF((E92="q"),H92," ")</f>
        <v> </v>
      </c>
      <c r="X92" s="17" t="str">
        <f aca="false">IF((E92="m"),H92," ")</f>
        <v> </v>
      </c>
      <c r="Y92" s="17" t="str">
        <f aca="false">IF((E92="u"),H92," ")</f>
        <v> </v>
      </c>
      <c r="Z92" s="17" t="str">
        <f aca="false">IF((E92="a"),H92," ")</f>
        <v> </v>
      </c>
      <c r="AA92" s="17" t="str">
        <f aca="false">IF((E92="g"),H92," ")</f>
        <v> </v>
      </c>
      <c r="AB92" s="17" t="str">
        <f aca="false">IF((E92="h"),H92," ")</f>
        <v> </v>
      </c>
      <c r="AC92" s="30" t="str">
        <f aca="false">IF((E92="v"),H92," ")</f>
        <v> </v>
      </c>
      <c r="AD92" s="30" t="str">
        <f aca="false">IF((E92="n"),H92," ")</f>
        <v> </v>
      </c>
      <c r="AE92" s="17" t="str">
        <f aca="false">IF((E92="f"),H92," ")</f>
        <v> </v>
      </c>
      <c r="AF92" s="17" t="str">
        <f aca="false">IF((E92="l"),H92," ")</f>
        <v> </v>
      </c>
      <c r="AG92" s="17" t="str">
        <f aca="false">IF((E92="y"),H92," ")</f>
        <v> </v>
      </c>
      <c r="AH92" s="17" t="str">
        <f aca="false">IF((E92="z"),H92," ")</f>
        <v> </v>
      </c>
      <c r="AI92" s="17" t="str">
        <f aca="false">IF((E92="fa"),H92," ")</f>
        <v> </v>
      </c>
      <c r="AJ92" s="17" t="str">
        <f aca="false">IF((E92="e"),H92," ")</f>
        <v> </v>
      </c>
    </row>
    <row r="93" customFormat="false" ht="12" hidden="false" customHeight="false" outlineLevel="0" collapsed="false">
      <c r="A93" s="28"/>
      <c r="E93" s="2" t="str">
        <f aca="false">IF((F93&lt;&gt;0),"Enter Letter"," ")</f>
        <v> </v>
      </c>
      <c r="F93" s="30"/>
      <c r="G93" s="6" t="str">
        <f aca="false">IF(F93&lt;&gt;0,F93*G$2/(100+G$2)," ")</f>
        <v> </v>
      </c>
      <c r="H93" s="6" t="str">
        <f aca="false">IF((F93&lt;&gt;0),F93-G93," ")</f>
        <v> </v>
      </c>
      <c r="I93" s="5"/>
      <c r="L93" s="7" t="str">
        <f aca="false">IF(F93&lt;&gt;0,F93-K93," ")</f>
        <v> </v>
      </c>
      <c r="M93" s="8" t="str">
        <f aca="false">IF((F93-K93)&lt;&gt;0,M$1-A93," ")</f>
        <v> </v>
      </c>
      <c r="N93" s="5"/>
      <c r="O93" s="17" t="str">
        <f aca="false">IF((E93="s"),H93," ")</f>
        <v> </v>
      </c>
      <c r="P93" s="17" t="str">
        <f aca="false">IF((E93="c"),H93," ")</f>
        <v> </v>
      </c>
      <c r="Q93" s="17" t="str">
        <f aca="false">IF((E93="o"),H93," ")</f>
        <v> </v>
      </c>
      <c r="R93" s="17" t="str">
        <f aca="false">IF((E93="d"),H93," ")</f>
        <v> </v>
      </c>
      <c r="S93" s="17" t="str">
        <f aca="false">IF((E93="w"),H93," ")</f>
        <v> </v>
      </c>
      <c r="T93" s="17" t="str">
        <f aca="false">IF((E93="r"),H93," ")</f>
        <v> </v>
      </c>
      <c r="U93" s="17" t="str">
        <f aca="false">IF((E93="p"),H93," ")</f>
        <v> </v>
      </c>
      <c r="V93" s="17" t="str">
        <f aca="false">IF((E93="t"),H93," ")</f>
        <v> </v>
      </c>
      <c r="W93" s="17" t="str">
        <f aca="false">IF((E93="q"),H93," ")</f>
        <v> </v>
      </c>
      <c r="X93" s="17" t="str">
        <f aca="false">IF((E93="m"),H93," ")</f>
        <v> </v>
      </c>
      <c r="Y93" s="17" t="str">
        <f aca="false">IF((E93="u"),H93," ")</f>
        <v> </v>
      </c>
      <c r="Z93" s="17" t="str">
        <f aca="false">IF((E93="a"),H93," ")</f>
        <v> </v>
      </c>
      <c r="AA93" s="17" t="str">
        <f aca="false">IF((E93="g"),H93," ")</f>
        <v> </v>
      </c>
      <c r="AB93" s="17" t="str">
        <f aca="false">IF((E93="h"),H93," ")</f>
        <v> </v>
      </c>
      <c r="AC93" s="30" t="str">
        <f aca="false">IF((E93="v"),H93," ")</f>
        <v> </v>
      </c>
      <c r="AD93" s="30" t="str">
        <f aca="false">IF((E93="n"),H93," ")</f>
        <v> </v>
      </c>
      <c r="AE93" s="17" t="str">
        <f aca="false">IF((E93="f"),H93," ")</f>
        <v> </v>
      </c>
      <c r="AF93" s="17" t="str">
        <f aca="false">IF((E93="l"),H93," ")</f>
        <v> </v>
      </c>
      <c r="AG93" s="17" t="str">
        <f aca="false">IF((E93="y"),H93," ")</f>
        <v> </v>
      </c>
      <c r="AH93" s="17" t="str">
        <f aca="false">IF((E93="z"),H93," ")</f>
        <v> </v>
      </c>
      <c r="AI93" s="17" t="str">
        <f aca="false">IF((E93="fa"),H93," ")</f>
        <v> </v>
      </c>
      <c r="AJ93" s="17" t="str">
        <f aca="false">IF((E93="e"),H93," ")</f>
        <v> </v>
      </c>
    </row>
    <row r="94" customFormat="false" ht="12" hidden="false" customHeight="false" outlineLevel="0" collapsed="false">
      <c r="A94" s="28"/>
      <c r="E94" s="2" t="str">
        <f aca="false">IF((F94&lt;&gt;0),"Enter Letter"," ")</f>
        <v> </v>
      </c>
      <c r="F94" s="30"/>
      <c r="G94" s="6" t="str">
        <f aca="false">IF(F94&lt;&gt;0,F94*G$2/(100+G$2)," ")</f>
        <v> </v>
      </c>
      <c r="H94" s="6" t="str">
        <f aca="false">IF((F94&lt;&gt;0),F94-G94," ")</f>
        <v> </v>
      </c>
      <c r="I94" s="5"/>
      <c r="L94" s="7" t="str">
        <f aca="false">IF(F94&lt;&gt;0,F94-K94," ")</f>
        <v> </v>
      </c>
      <c r="M94" s="8" t="str">
        <f aca="false">IF((F94-K94)&lt;&gt;0,M$1-A94," ")</f>
        <v> </v>
      </c>
      <c r="N94" s="5"/>
      <c r="O94" s="17" t="str">
        <f aca="false">IF((E94="s"),H94," ")</f>
        <v> </v>
      </c>
      <c r="P94" s="17" t="str">
        <f aca="false">IF((E94="c"),H94," ")</f>
        <v> </v>
      </c>
      <c r="Q94" s="17" t="str">
        <f aca="false">IF((E94="o"),H94," ")</f>
        <v> </v>
      </c>
      <c r="R94" s="17" t="str">
        <f aca="false">IF((E94="d"),H94," ")</f>
        <v> </v>
      </c>
      <c r="S94" s="17" t="str">
        <f aca="false">IF((E94="w"),H94," ")</f>
        <v> </v>
      </c>
      <c r="T94" s="17" t="str">
        <f aca="false">IF((E94="r"),H94," ")</f>
        <v> </v>
      </c>
      <c r="U94" s="17" t="str">
        <f aca="false">IF((E94="p"),H94," ")</f>
        <v> </v>
      </c>
      <c r="V94" s="17" t="str">
        <f aca="false">IF((E94="t"),H94," ")</f>
        <v> </v>
      </c>
      <c r="W94" s="17" t="str">
        <f aca="false">IF((E94="q"),H94," ")</f>
        <v> </v>
      </c>
      <c r="X94" s="17" t="str">
        <f aca="false">IF((E94="m"),H94," ")</f>
        <v> </v>
      </c>
      <c r="Y94" s="17" t="str">
        <f aca="false">IF((E94="u"),H94," ")</f>
        <v> </v>
      </c>
      <c r="Z94" s="17" t="str">
        <f aca="false">IF((E94="a"),H94," ")</f>
        <v> </v>
      </c>
      <c r="AA94" s="17" t="str">
        <f aca="false">IF((E94="g"),H94," ")</f>
        <v> </v>
      </c>
      <c r="AB94" s="17" t="str">
        <f aca="false">IF((E94="h"),H94," ")</f>
        <v> </v>
      </c>
      <c r="AC94" s="30" t="str">
        <f aca="false">IF((E94="v"),H94," ")</f>
        <v> </v>
      </c>
      <c r="AD94" s="30" t="str">
        <f aca="false">IF((E94="n"),H94," ")</f>
        <v> </v>
      </c>
      <c r="AE94" s="17" t="str">
        <f aca="false">IF((E94="f"),H94," ")</f>
        <v> </v>
      </c>
      <c r="AF94" s="17" t="str">
        <f aca="false">IF((E94="l"),H94," ")</f>
        <v> </v>
      </c>
      <c r="AG94" s="17" t="str">
        <f aca="false">IF((E94="y"),H94," ")</f>
        <v> </v>
      </c>
      <c r="AH94" s="17" t="str">
        <f aca="false">IF((E94="z"),H94," ")</f>
        <v> </v>
      </c>
      <c r="AI94" s="17" t="str">
        <f aca="false">IF((E94="fa"),H94," ")</f>
        <v> </v>
      </c>
      <c r="AJ94" s="17" t="str">
        <f aca="false">IF((E94="e"),H94," ")</f>
        <v> </v>
      </c>
    </row>
    <row r="95" customFormat="false" ht="12" hidden="false" customHeight="false" outlineLevel="0" collapsed="false">
      <c r="A95" s="28"/>
      <c r="E95" s="2" t="str">
        <f aca="false">IF((F95&lt;&gt;0),"Enter Letter"," ")</f>
        <v> </v>
      </c>
      <c r="F95" s="30"/>
      <c r="G95" s="6" t="str">
        <f aca="false">IF(F95&lt;&gt;0,F95*G$2/(100+G$2)," ")</f>
        <v> </v>
      </c>
      <c r="H95" s="6" t="str">
        <f aca="false">IF((F95&lt;&gt;0),F95-G95," ")</f>
        <v> </v>
      </c>
      <c r="I95" s="5"/>
      <c r="L95" s="7" t="str">
        <f aca="false">IF(F95&lt;&gt;0,F95-K95," ")</f>
        <v> </v>
      </c>
      <c r="M95" s="8" t="str">
        <f aca="false">IF((F95-K95)&lt;&gt;0,M$1-A95," ")</f>
        <v> </v>
      </c>
      <c r="N95" s="5"/>
      <c r="O95" s="17" t="str">
        <f aca="false">IF((E95="s"),H95," ")</f>
        <v> </v>
      </c>
      <c r="P95" s="17" t="str">
        <f aca="false">IF((E95="c"),H95," ")</f>
        <v> </v>
      </c>
      <c r="Q95" s="17" t="str">
        <f aca="false">IF((E95="o"),H95," ")</f>
        <v> </v>
      </c>
      <c r="R95" s="17" t="str">
        <f aca="false">IF((E95="d"),H95," ")</f>
        <v> </v>
      </c>
      <c r="S95" s="17" t="str">
        <f aca="false">IF((E95="w"),H95," ")</f>
        <v> </v>
      </c>
      <c r="T95" s="17" t="str">
        <f aca="false">IF((E95="r"),H95," ")</f>
        <v> </v>
      </c>
      <c r="U95" s="17" t="str">
        <f aca="false">IF((E95="p"),H95," ")</f>
        <v> </v>
      </c>
      <c r="V95" s="17" t="str">
        <f aca="false">IF((E95="t"),H95," ")</f>
        <v> </v>
      </c>
      <c r="W95" s="17" t="str">
        <f aca="false">IF((E95="q"),H95," ")</f>
        <v> </v>
      </c>
      <c r="X95" s="17" t="str">
        <f aca="false">IF((E95="m"),H95," ")</f>
        <v> </v>
      </c>
      <c r="Y95" s="17" t="str">
        <f aca="false">IF((E95="u"),H95," ")</f>
        <v> </v>
      </c>
      <c r="Z95" s="17" t="str">
        <f aca="false">IF((E95="a"),H95," ")</f>
        <v> </v>
      </c>
      <c r="AA95" s="17" t="str">
        <f aca="false">IF((E95="g"),H95," ")</f>
        <v> </v>
      </c>
      <c r="AB95" s="17" t="str">
        <f aca="false">IF((E95="h"),H95," ")</f>
        <v> </v>
      </c>
      <c r="AC95" s="30" t="str">
        <f aca="false">IF((E95="v"),H95," ")</f>
        <v> </v>
      </c>
      <c r="AD95" s="30" t="str">
        <f aca="false">IF((E95="n"),H95," ")</f>
        <v> </v>
      </c>
      <c r="AE95" s="17" t="str">
        <f aca="false">IF((E95="f"),H95," ")</f>
        <v> </v>
      </c>
      <c r="AF95" s="17" t="str">
        <f aca="false">IF((E95="l"),H95," ")</f>
        <v> </v>
      </c>
      <c r="AG95" s="17" t="str">
        <f aca="false">IF((E95="y"),H95," ")</f>
        <v> </v>
      </c>
      <c r="AH95" s="17" t="str">
        <f aca="false">IF((E95="z"),H95," ")</f>
        <v> </v>
      </c>
      <c r="AI95" s="17" t="str">
        <f aca="false">IF((E95="fa"),H95," ")</f>
        <v> </v>
      </c>
      <c r="AJ95" s="17" t="str">
        <f aca="false">IF((E95="e"),H95," ")</f>
        <v> </v>
      </c>
    </row>
    <row r="96" customFormat="false" ht="12" hidden="false" customHeight="false" outlineLevel="0" collapsed="false">
      <c r="A96" s="28"/>
      <c r="E96" s="2" t="str">
        <f aca="false">IF((F96&lt;&gt;0),"Enter Letter"," ")</f>
        <v> </v>
      </c>
      <c r="F96" s="30"/>
      <c r="G96" s="6" t="str">
        <f aca="false">IF(F96&lt;&gt;0,F96*G$2/(100+G$2)," ")</f>
        <v> </v>
      </c>
      <c r="H96" s="6" t="str">
        <f aca="false">IF((F96&lt;&gt;0),F96-G96," ")</f>
        <v> </v>
      </c>
      <c r="I96" s="5"/>
      <c r="L96" s="7" t="str">
        <f aca="false">IF(F96&lt;&gt;0,F96-K96," ")</f>
        <v> </v>
      </c>
      <c r="M96" s="8" t="str">
        <f aca="false">IF((F96-K96)&lt;&gt;0,M$1-A96," ")</f>
        <v> </v>
      </c>
      <c r="N96" s="5"/>
      <c r="O96" s="17" t="str">
        <f aca="false">IF((E96="s"),H96," ")</f>
        <v> </v>
      </c>
      <c r="P96" s="17" t="str">
        <f aca="false">IF((E96="c"),H96," ")</f>
        <v> </v>
      </c>
      <c r="Q96" s="17" t="str">
        <f aca="false">IF((E96="o"),H96," ")</f>
        <v> </v>
      </c>
      <c r="R96" s="17" t="str">
        <f aca="false">IF((E96="d"),H96," ")</f>
        <v> </v>
      </c>
      <c r="S96" s="17" t="str">
        <f aca="false">IF((E96="w"),H96," ")</f>
        <v> </v>
      </c>
      <c r="T96" s="17" t="str">
        <f aca="false">IF((E96="r"),H96," ")</f>
        <v> </v>
      </c>
      <c r="U96" s="17" t="str">
        <f aca="false">IF((E96="p"),H96," ")</f>
        <v> </v>
      </c>
      <c r="V96" s="17" t="str">
        <f aca="false">IF((E96="t"),H96," ")</f>
        <v> </v>
      </c>
      <c r="W96" s="17" t="str">
        <f aca="false">IF((E96="q"),H96," ")</f>
        <v> </v>
      </c>
      <c r="X96" s="17" t="str">
        <f aca="false">IF((E96="m"),H96," ")</f>
        <v> </v>
      </c>
      <c r="Y96" s="17" t="str">
        <f aca="false">IF((E96="u"),H96," ")</f>
        <v> </v>
      </c>
      <c r="Z96" s="17" t="str">
        <f aca="false">IF((E96="a"),H96," ")</f>
        <v> </v>
      </c>
      <c r="AA96" s="17" t="str">
        <f aca="false">IF((E96="g"),H96," ")</f>
        <v> </v>
      </c>
      <c r="AB96" s="17" t="str">
        <f aca="false">IF((E96="h"),H96," ")</f>
        <v> </v>
      </c>
      <c r="AC96" s="30" t="str">
        <f aca="false">IF((E96="v"),H96," ")</f>
        <v> </v>
      </c>
      <c r="AD96" s="30" t="str">
        <f aca="false">IF((E96="n"),H96," ")</f>
        <v> </v>
      </c>
      <c r="AE96" s="17" t="str">
        <f aca="false">IF((E96="f"),H96," ")</f>
        <v> </v>
      </c>
      <c r="AF96" s="17" t="str">
        <f aca="false">IF((E96="l"),H96," ")</f>
        <v> </v>
      </c>
      <c r="AG96" s="17" t="str">
        <f aca="false">IF((E96="y"),H96," ")</f>
        <v> </v>
      </c>
      <c r="AH96" s="17" t="str">
        <f aca="false">IF((E96="z"),H96," ")</f>
        <v> </v>
      </c>
      <c r="AI96" s="17" t="str">
        <f aca="false">IF((E96="fa"),H96," ")</f>
        <v> </v>
      </c>
      <c r="AJ96" s="17" t="str">
        <f aca="false">IF((E96="e"),H96," ")</f>
        <v> </v>
      </c>
    </row>
    <row r="97" customFormat="false" ht="12" hidden="false" customHeight="false" outlineLevel="0" collapsed="false">
      <c r="A97" s="28"/>
      <c r="E97" s="2" t="str">
        <f aca="false">IF((F97&lt;&gt;0),"Enter Letter"," ")</f>
        <v> </v>
      </c>
      <c r="F97" s="30"/>
      <c r="G97" s="6" t="str">
        <f aca="false">IF(F97&lt;&gt;0,F97*G$2/(100+G$2)," ")</f>
        <v> </v>
      </c>
      <c r="H97" s="6" t="str">
        <f aca="false">IF((F97&lt;&gt;0),F97-G97," ")</f>
        <v> </v>
      </c>
      <c r="I97" s="5"/>
      <c r="L97" s="7" t="str">
        <f aca="false">IF(F97&lt;&gt;0,F97-K97," ")</f>
        <v> </v>
      </c>
      <c r="M97" s="8" t="str">
        <f aca="false">IF((F97-K97)&lt;&gt;0,M$1-A97," ")</f>
        <v> </v>
      </c>
      <c r="N97" s="5"/>
      <c r="O97" s="17" t="str">
        <f aca="false">IF((E97="s"),H97," ")</f>
        <v> </v>
      </c>
      <c r="P97" s="17" t="str">
        <f aca="false">IF((E97="c"),H97," ")</f>
        <v> </v>
      </c>
      <c r="Q97" s="17" t="str">
        <f aca="false">IF((E97="o"),H97," ")</f>
        <v> </v>
      </c>
      <c r="R97" s="17" t="str">
        <f aca="false">IF((E97="d"),H97," ")</f>
        <v> </v>
      </c>
      <c r="S97" s="17" t="str">
        <f aca="false">IF((E97="w"),H97," ")</f>
        <v> </v>
      </c>
      <c r="T97" s="17" t="str">
        <f aca="false">IF((E97="r"),H97," ")</f>
        <v> </v>
      </c>
      <c r="U97" s="17" t="str">
        <f aca="false">IF((E97="p"),H97," ")</f>
        <v> </v>
      </c>
      <c r="V97" s="17" t="str">
        <f aca="false">IF((E97="t"),H97," ")</f>
        <v> </v>
      </c>
      <c r="W97" s="17" t="str">
        <f aca="false">IF((E97="q"),H97," ")</f>
        <v> </v>
      </c>
      <c r="X97" s="17" t="str">
        <f aca="false">IF((E97="m"),H97," ")</f>
        <v> </v>
      </c>
      <c r="Y97" s="17" t="str">
        <f aca="false">IF((E97="u"),H97," ")</f>
        <v> </v>
      </c>
      <c r="Z97" s="17" t="str">
        <f aca="false">IF((E97="a"),H97," ")</f>
        <v> </v>
      </c>
      <c r="AA97" s="17" t="str">
        <f aca="false">IF((E97="g"),H97," ")</f>
        <v> </v>
      </c>
      <c r="AB97" s="17" t="str">
        <f aca="false">IF((E97="h"),H97," ")</f>
        <v> </v>
      </c>
      <c r="AC97" s="30" t="str">
        <f aca="false">IF((E97="v"),H97," ")</f>
        <v> </v>
      </c>
      <c r="AD97" s="30" t="str">
        <f aca="false">IF((E97="n"),H97," ")</f>
        <v> </v>
      </c>
      <c r="AE97" s="17" t="str">
        <f aca="false">IF((E97="f"),H97," ")</f>
        <v> </v>
      </c>
      <c r="AF97" s="17" t="str">
        <f aca="false">IF((E97="l"),H97," ")</f>
        <v> </v>
      </c>
      <c r="AG97" s="17" t="str">
        <f aca="false">IF((E97="y"),H97," ")</f>
        <v> </v>
      </c>
      <c r="AH97" s="17" t="str">
        <f aca="false">IF((E97="z"),H97," ")</f>
        <v> </v>
      </c>
      <c r="AI97" s="17" t="str">
        <f aca="false">IF((E97="fa"),H97," ")</f>
        <v> </v>
      </c>
      <c r="AJ97" s="17" t="str">
        <f aca="false">IF((E97="e"),H97," ")</f>
        <v> </v>
      </c>
    </row>
    <row r="98" customFormat="false" ht="12" hidden="false" customHeight="false" outlineLevel="0" collapsed="false">
      <c r="A98" s="28"/>
      <c r="E98" s="2" t="str">
        <f aca="false">IF((F98&lt;&gt;0),"Enter Letter"," ")</f>
        <v> </v>
      </c>
      <c r="F98" s="30"/>
      <c r="G98" s="6" t="str">
        <f aca="false">IF(F98&lt;&gt;0,F98*G$2/(100+G$2)," ")</f>
        <v> </v>
      </c>
      <c r="H98" s="6" t="str">
        <f aca="false">IF((F98&lt;&gt;0),F98-G98," ")</f>
        <v> </v>
      </c>
      <c r="I98" s="5"/>
      <c r="L98" s="7" t="str">
        <f aca="false">IF(F98&lt;&gt;0,F98-K98," ")</f>
        <v> </v>
      </c>
      <c r="M98" s="8" t="str">
        <f aca="false">IF((F98-K98)&lt;&gt;0,M$1-A98," ")</f>
        <v> </v>
      </c>
      <c r="N98" s="5"/>
      <c r="O98" s="17" t="str">
        <f aca="false">IF((E98="s"),H98," ")</f>
        <v> </v>
      </c>
      <c r="P98" s="17" t="str">
        <f aca="false">IF((E98="c"),H98," ")</f>
        <v> </v>
      </c>
      <c r="Q98" s="17" t="str">
        <f aca="false">IF((E98="o"),H98," ")</f>
        <v> </v>
      </c>
      <c r="R98" s="17" t="str">
        <f aca="false">IF((E98="d"),H98," ")</f>
        <v> </v>
      </c>
      <c r="S98" s="17" t="str">
        <f aca="false">IF((E98="w"),H98," ")</f>
        <v> </v>
      </c>
      <c r="T98" s="17" t="str">
        <f aca="false">IF((E98="r"),H98," ")</f>
        <v> </v>
      </c>
      <c r="U98" s="17" t="str">
        <f aca="false">IF((E98="p"),H98," ")</f>
        <v> </v>
      </c>
      <c r="V98" s="17" t="str">
        <f aca="false">IF((E98="t"),H98," ")</f>
        <v> </v>
      </c>
      <c r="W98" s="17" t="str">
        <f aca="false">IF((E98="q"),H98," ")</f>
        <v> </v>
      </c>
      <c r="X98" s="17" t="str">
        <f aca="false">IF((E98="m"),H98," ")</f>
        <v> </v>
      </c>
      <c r="Y98" s="17" t="str">
        <f aca="false">IF((E98="u"),H98," ")</f>
        <v> </v>
      </c>
      <c r="Z98" s="17" t="str">
        <f aca="false">IF((E98="a"),H98," ")</f>
        <v> </v>
      </c>
      <c r="AA98" s="17" t="str">
        <f aca="false">IF((E98="g"),H98," ")</f>
        <v> </v>
      </c>
      <c r="AB98" s="17" t="str">
        <f aca="false">IF((E98="h"),H98," ")</f>
        <v> </v>
      </c>
      <c r="AC98" s="30" t="str">
        <f aca="false">IF((E98="v"),H98," ")</f>
        <v> </v>
      </c>
      <c r="AD98" s="30" t="str">
        <f aca="false">IF((E98="n"),H98," ")</f>
        <v> </v>
      </c>
      <c r="AE98" s="17" t="str">
        <f aca="false">IF((E98="f"),H98," ")</f>
        <v> </v>
      </c>
      <c r="AF98" s="17" t="str">
        <f aca="false">IF((E98="l"),H98," ")</f>
        <v> </v>
      </c>
      <c r="AG98" s="17" t="str">
        <f aca="false">IF((E98="y"),H98," ")</f>
        <v> </v>
      </c>
      <c r="AH98" s="17" t="str">
        <f aca="false">IF((E98="z"),H98," ")</f>
        <v> </v>
      </c>
      <c r="AI98" s="17" t="str">
        <f aca="false">IF((E98="fa"),H98," ")</f>
        <v> </v>
      </c>
      <c r="AJ98" s="17" t="str">
        <f aca="false">IF((E98="e"),H98," ")</f>
        <v> </v>
      </c>
    </row>
    <row r="99" customFormat="false" ht="12" hidden="false" customHeight="false" outlineLevel="0" collapsed="false">
      <c r="A99" s="28"/>
      <c r="E99" s="2" t="str">
        <f aca="false">IF((F99&lt;&gt;0),"Enter Letter"," ")</f>
        <v> </v>
      </c>
      <c r="F99" s="30"/>
      <c r="G99" s="6" t="str">
        <f aca="false">IF(F99&lt;&gt;0,F99*G$2/(100+G$2)," ")</f>
        <v> </v>
      </c>
      <c r="H99" s="6" t="str">
        <f aca="false">IF((F99&lt;&gt;0),F99-G99," ")</f>
        <v> </v>
      </c>
      <c r="I99" s="5"/>
      <c r="L99" s="7" t="str">
        <f aca="false">IF(F99&lt;&gt;0,F99-K99," ")</f>
        <v> </v>
      </c>
      <c r="M99" s="8" t="str">
        <f aca="false">IF((F99-K99)&lt;&gt;0,M$1-A99," ")</f>
        <v> </v>
      </c>
      <c r="N99" s="5"/>
      <c r="O99" s="17" t="str">
        <f aca="false">IF((E99="s"),H99," ")</f>
        <v> </v>
      </c>
      <c r="P99" s="17" t="str">
        <f aca="false">IF((E99="c"),H99," ")</f>
        <v> </v>
      </c>
      <c r="Q99" s="17" t="str">
        <f aca="false">IF((E99="o"),H99," ")</f>
        <v> </v>
      </c>
      <c r="R99" s="17" t="str">
        <f aca="false">IF((E99="d"),H99," ")</f>
        <v> </v>
      </c>
      <c r="S99" s="17" t="str">
        <f aca="false">IF((E99="w"),H99," ")</f>
        <v> </v>
      </c>
      <c r="T99" s="17" t="str">
        <f aca="false">IF((E99="r"),H99," ")</f>
        <v> </v>
      </c>
      <c r="U99" s="17" t="str">
        <f aca="false">IF((E99="p"),H99," ")</f>
        <v> </v>
      </c>
      <c r="V99" s="17" t="str">
        <f aca="false">IF((E99="t"),H99," ")</f>
        <v> </v>
      </c>
      <c r="W99" s="17" t="str">
        <f aca="false">IF((E99="q"),H99," ")</f>
        <v> </v>
      </c>
      <c r="X99" s="17" t="str">
        <f aca="false">IF((E99="m"),H99," ")</f>
        <v> </v>
      </c>
      <c r="Y99" s="17" t="str">
        <f aca="false">IF((E99="u"),H99," ")</f>
        <v> </v>
      </c>
      <c r="Z99" s="17" t="str">
        <f aca="false">IF((E99="a"),H99," ")</f>
        <v> </v>
      </c>
      <c r="AA99" s="17" t="str">
        <f aca="false">IF((E99="g"),H99," ")</f>
        <v> </v>
      </c>
      <c r="AB99" s="17" t="str">
        <f aca="false">IF((E99="h"),H99," ")</f>
        <v> </v>
      </c>
      <c r="AC99" s="30" t="str">
        <f aca="false">IF((E99="v"),H99," ")</f>
        <v> </v>
      </c>
      <c r="AD99" s="30" t="str">
        <f aca="false">IF((E99="n"),H99," ")</f>
        <v> </v>
      </c>
      <c r="AE99" s="17" t="str">
        <f aca="false">IF((E99="f"),H99," ")</f>
        <v> </v>
      </c>
      <c r="AF99" s="17" t="str">
        <f aca="false">IF((E99="l"),H99," ")</f>
        <v> </v>
      </c>
      <c r="AG99" s="17" t="str">
        <f aca="false">IF((E99="y"),H99," ")</f>
        <v> </v>
      </c>
      <c r="AH99" s="17" t="str">
        <f aca="false">IF((E99="z"),H99," ")</f>
        <v> </v>
      </c>
      <c r="AI99" s="17" t="str">
        <f aca="false">IF((E99="fa"),H99," ")</f>
        <v> </v>
      </c>
      <c r="AJ99" s="17" t="str">
        <f aca="false">IF((E99="e"),H99," ")</f>
        <v> </v>
      </c>
    </row>
    <row r="100" customFormat="false" ht="12" hidden="false" customHeight="false" outlineLevel="0" collapsed="false">
      <c r="A100" s="28"/>
      <c r="E100" s="2" t="str">
        <f aca="false">IF((F100&lt;&gt;0),"Enter Letter"," ")</f>
        <v> </v>
      </c>
      <c r="F100" s="30"/>
      <c r="G100" s="6" t="str">
        <f aca="false">IF(F100&lt;&gt;0,F100*G$2/(100+G$2)," ")</f>
        <v> </v>
      </c>
      <c r="H100" s="6" t="str">
        <f aca="false">IF((F100&lt;&gt;0),F100-G100," ")</f>
        <v> </v>
      </c>
      <c r="I100" s="5"/>
      <c r="L100" s="7" t="str">
        <f aca="false">IF(F100&lt;&gt;0,F100-K100," ")</f>
        <v> </v>
      </c>
      <c r="M100" s="8" t="str">
        <f aca="false">IF((F100-K100)&lt;&gt;0,M$1-A100," ")</f>
        <v> </v>
      </c>
      <c r="N100" s="5"/>
      <c r="O100" s="17" t="str">
        <f aca="false">IF((E100="s"),H100," ")</f>
        <v> </v>
      </c>
      <c r="P100" s="17" t="str">
        <f aca="false">IF((E100="c"),H100," ")</f>
        <v> </v>
      </c>
      <c r="Q100" s="17" t="str">
        <f aca="false">IF((E100="o"),H100," ")</f>
        <v> </v>
      </c>
      <c r="R100" s="17" t="str">
        <f aca="false">IF((E100="d"),H100," ")</f>
        <v> </v>
      </c>
      <c r="S100" s="17" t="str">
        <f aca="false">IF((E100="w"),H100," ")</f>
        <v> </v>
      </c>
      <c r="T100" s="17" t="str">
        <f aca="false">IF((E100="r"),H100," ")</f>
        <v> </v>
      </c>
      <c r="U100" s="17" t="str">
        <f aca="false">IF((E100="p"),H100," ")</f>
        <v> </v>
      </c>
      <c r="V100" s="17" t="str">
        <f aca="false">IF((E100="t"),H100," ")</f>
        <v> </v>
      </c>
      <c r="W100" s="17" t="str">
        <f aca="false">IF((E100="q"),H100," ")</f>
        <v> </v>
      </c>
      <c r="X100" s="17" t="str">
        <f aca="false">IF((E100="m"),H100," ")</f>
        <v> </v>
      </c>
      <c r="Y100" s="17" t="str">
        <f aca="false">IF((E100="u"),H100," ")</f>
        <v> </v>
      </c>
      <c r="Z100" s="17" t="str">
        <f aca="false">IF((E100="a"),H100," ")</f>
        <v> </v>
      </c>
      <c r="AA100" s="17" t="str">
        <f aca="false">IF((E100="g"),H100," ")</f>
        <v> </v>
      </c>
      <c r="AB100" s="17" t="str">
        <f aca="false">IF((E100="h"),H100," ")</f>
        <v> </v>
      </c>
      <c r="AC100" s="30" t="str">
        <f aca="false">IF((E100="v"),H100," ")</f>
        <v> </v>
      </c>
      <c r="AD100" s="30" t="str">
        <f aca="false">IF((E100="n"),H100," ")</f>
        <v> </v>
      </c>
      <c r="AE100" s="17" t="str">
        <f aca="false">IF((E100="f"),H100," ")</f>
        <v> </v>
      </c>
      <c r="AF100" s="17" t="str">
        <f aca="false">IF((E100="l"),H100," ")</f>
        <v> </v>
      </c>
      <c r="AG100" s="17" t="str">
        <f aca="false">IF((E100="y"),H100," ")</f>
        <v> </v>
      </c>
      <c r="AH100" s="17" t="str">
        <f aca="false">IF((E100="z"),H100," ")</f>
        <v> </v>
      </c>
      <c r="AI100" s="17" t="str">
        <f aca="false">IF((E100="fa"),H100," ")</f>
        <v> </v>
      </c>
      <c r="AJ100" s="17" t="str">
        <f aca="false">IF((E100="e"),H100," ")</f>
        <v> </v>
      </c>
    </row>
    <row r="101" customFormat="false" ht="12" hidden="false" customHeight="false" outlineLevel="0" collapsed="false">
      <c r="A101" s="28"/>
      <c r="E101" s="2" t="str">
        <f aca="false">IF((F101&lt;&gt;0),"Enter Letter"," ")</f>
        <v> </v>
      </c>
      <c r="F101" s="30"/>
      <c r="G101" s="6" t="str">
        <f aca="false">IF(F101&lt;&gt;0,F101*G$2/(100+G$2)," ")</f>
        <v> </v>
      </c>
      <c r="H101" s="6" t="str">
        <f aca="false">IF((F101&lt;&gt;0),F101-G101," ")</f>
        <v> </v>
      </c>
      <c r="I101" s="5"/>
      <c r="L101" s="7" t="str">
        <f aca="false">IF(F101&lt;&gt;0,F101-K101," ")</f>
        <v> </v>
      </c>
      <c r="M101" s="8" t="str">
        <f aca="false">IF((F101-K101)&lt;&gt;0,M$1-A101," ")</f>
        <v> </v>
      </c>
      <c r="N101" s="5"/>
      <c r="O101" s="17" t="str">
        <f aca="false">IF((E101="s"),H101," ")</f>
        <v> </v>
      </c>
      <c r="P101" s="17" t="str">
        <f aca="false">IF((E101="c"),H101," ")</f>
        <v> </v>
      </c>
      <c r="Q101" s="17" t="str">
        <f aca="false">IF((E101="o"),H101," ")</f>
        <v> </v>
      </c>
      <c r="R101" s="17" t="str">
        <f aca="false">IF((E101="d"),H101," ")</f>
        <v> </v>
      </c>
      <c r="S101" s="17" t="str">
        <f aca="false">IF((E101="w"),H101," ")</f>
        <v> </v>
      </c>
      <c r="T101" s="17" t="str">
        <f aca="false">IF((E101="r"),H101," ")</f>
        <v> </v>
      </c>
      <c r="U101" s="17" t="str">
        <f aca="false">IF((E101="p"),H101," ")</f>
        <v> </v>
      </c>
      <c r="V101" s="17" t="str">
        <f aca="false">IF((E101="t"),H101," ")</f>
        <v> </v>
      </c>
      <c r="W101" s="17" t="str">
        <f aca="false">IF((E101="q"),H101," ")</f>
        <v> </v>
      </c>
      <c r="X101" s="17" t="str">
        <f aca="false">IF((E101="m"),H101," ")</f>
        <v> </v>
      </c>
      <c r="Y101" s="17" t="str">
        <f aca="false">IF((E101="u"),H101," ")</f>
        <v> </v>
      </c>
      <c r="Z101" s="17" t="str">
        <f aca="false">IF((E101="a"),H101," ")</f>
        <v> </v>
      </c>
      <c r="AA101" s="17" t="str">
        <f aca="false">IF((E101="g"),H101," ")</f>
        <v> </v>
      </c>
      <c r="AB101" s="17" t="str">
        <f aca="false">IF((E101="h"),H101," ")</f>
        <v> </v>
      </c>
      <c r="AC101" s="30" t="str">
        <f aca="false">IF((E101="v"),H101," ")</f>
        <v> </v>
      </c>
      <c r="AD101" s="30" t="str">
        <f aca="false">IF((E101="n"),H101," ")</f>
        <v> </v>
      </c>
      <c r="AE101" s="17" t="str">
        <f aca="false">IF((E101="f"),H101," ")</f>
        <v> </v>
      </c>
      <c r="AF101" s="17" t="str">
        <f aca="false">IF((E101="l"),H101," ")</f>
        <v> </v>
      </c>
      <c r="AG101" s="17" t="str">
        <f aca="false">IF((E101="y"),H101," ")</f>
        <v> </v>
      </c>
      <c r="AH101" s="17" t="str">
        <f aca="false">IF((E101="z"),H101," ")</f>
        <v> </v>
      </c>
      <c r="AI101" s="17" t="str">
        <f aca="false">IF((E101="fa"),H101," ")</f>
        <v> </v>
      </c>
      <c r="AJ101" s="17" t="str">
        <f aca="false">IF((E101="e"),H101," ")</f>
        <v> </v>
      </c>
    </row>
    <row r="102" customFormat="false" ht="12" hidden="false" customHeight="false" outlineLevel="0" collapsed="false">
      <c r="A102" s="28"/>
      <c r="E102" s="2" t="str">
        <f aca="false">IF((F102&lt;&gt;0),"Enter Letter"," ")</f>
        <v> </v>
      </c>
      <c r="F102" s="30"/>
      <c r="G102" s="6" t="str">
        <f aca="false">IF(F102&lt;&gt;0,F102*G$2/(100+G$2)," ")</f>
        <v> </v>
      </c>
      <c r="H102" s="6" t="str">
        <f aca="false">IF((F102&lt;&gt;0),F102-G102," ")</f>
        <v> </v>
      </c>
      <c r="I102" s="5"/>
      <c r="L102" s="7" t="str">
        <f aca="false">IF(F102&lt;&gt;0,F102-K102," ")</f>
        <v> </v>
      </c>
      <c r="M102" s="8" t="str">
        <f aca="false">IF((F102-K102)&lt;&gt;0,M$1-A102," ")</f>
        <v> </v>
      </c>
      <c r="N102" s="5"/>
      <c r="O102" s="17" t="str">
        <f aca="false">IF((E102="s"),H102," ")</f>
        <v> </v>
      </c>
      <c r="P102" s="17" t="str">
        <f aca="false">IF((E102="c"),H102," ")</f>
        <v> </v>
      </c>
      <c r="Q102" s="17" t="str">
        <f aca="false">IF((E102="o"),H102," ")</f>
        <v> </v>
      </c>
      <c r="R102" s="17" t="str">
        <f aca="false">IF((E102="d"),H102," ")</f>
        <v> </v>
      </c>
      <c r="S102" s="17" t="str">
        <f aca="false">IF((E102="w"),H102," ")</f>
        <v> </v>
      </c>
      <c r="T102" s="17" t="str">
        <f aca="false">IF((E102="r"),H102," ")</f>
        <v> </v>
      </c>
      <c r="U102" s="17" t="str">
        <f aca="false">IF((E102="p"),H102," ")</f>
        <v> </v>
      </c>
      <c r="V102" s="17" t="str">
        <f aca="false">IF((E102="t"),H102," ")</f>
        <v> </v>
      </c>
      <c r="W102" s="17" t="str">
        <f aca="false">IF((E102="q"),H102," ")</f>
        <v> </v>
      </c>
      <c r="X102" s="17" t="str">
        <f aca="false">IF((E102="m"),H102," ")</f>
        <v> </v>
      </c>
      <c r="Y102" s="17" t="str">
        <f aca="false">IF((E102="u"),H102," ")</f>
        <v> </v>
      </c>
      <c r="Z102" s="17" t="str">
        <f aca="false">IF((E102="a"),H102," ")</f>
        <v> </v>
      </c>
      <c r="AA102" s="17" t="str">
        <f aca="false">IF((E102="g"),H102," ")</f>
        <v> </v>
      </c>
      <c r="AB102" s="17" t="str">
        <f aca="false">IF((E102="h"),H102," ")</f>
        <v> </v>
      </c>
      <c r="AC102" s="30" t="str">
        <f aca="false">IF((E102="v"),H102," ")</f>
        <v> </v>
      </c>
      <c r="AD102" s="30" t="str">
        <f aca="false">IF((E102="n"),H102," ")</f>
        <v> </v>
      </c>
      <c r="AE102" s="17" t="str">
        <f aca="false">IF((E102="f"),H102," ")</f>
        <v> </v>
      </c>
      <c r="AF102" s="17" t="str">
        <f aca="false">IF((E102="l"),H102," ")</f>
        <v> </v>
      </c>
      <c r="AG102" s="17" t="str">
        <f aca="false">IF((E102="y"),H102," ")</f>
        <v> </v>
      </c>
      <c r="AH102" s="17" t="str">
        <f aca="false">IF((E102="z"),H102," ")</f>
        <v> </v>
      </c>
      <c r="AI102" s="17" t="str">
        <f aca="false">IF((E102="fa"),H102," ")</f>
        <v> </v>
      </c>
      <c r="AJ102" s="17" t="str">
        <f aca="false">IF((E102="e"),H102," ")</f>
        <v> </v>
      </c>
    </row>
    <row r="103" customFormat="false" ht="12" hidden="false" customHeight="false" outlineLevel="0" collapsed="false">
      <c r="A103" s="28"/>
      <c r="E103" s="2" t="str">
        <f aca="false">IF((F103&lt;&gt;0),"Enter Letter"," ")</f>
        <v> </v>
      </c>
      <c r="F103" s="30"/>
      <c r="G103" s="6" t="str">
        <f aca="false">IF(F103&lt;&gt;0,F103*G$2/(100+G$2)," ")</f>
        <v> </v>
      </c>
      <c r="H103" s="6" t="str">
        <f aca="false">IF((F103&lt;&gt;0),F103-G103," ")</f>
        <v> </v>
      </c>
      <c r="I103" s="5"/>
      <c r="L103" s="7" t="str">
        <f aca="false">IF(F103&lt;&gt;0,F103-K103," ")</f>
        <v> </v>
      </c>
      <c r="M103" s="8" t="str">
        <f aca="false">IF((F103-K103)&lt;&gt;0,M$1-A103," ")</f>
        <v> </v>
      </c>
      <c r="N103" s="5"/>
      <c r="O103" s="17" t="str">
        <f aca="false">IF((E103="s"),H103," ")</f>
        <v> </v>
      </c>
      <c r="P103" s="17" t="str">
        <f aca="false">IF((E103="c"),H103," ")</f>
        <v> </v>
      </c>
      <c r="Q103" s="17" t="str">
        <f aca="false">IF((E103="o"),H103," ")</f>
        <v> </v>
      </c>
      <c r="R103" s="17" t="str">
        <f aca="false">IF((E103="d"),H103," ")</f>
        <v> </v>
      </c>
      <c r="S103" s="17" t="str">
        <f aca="false">IF((E103="w"),H103," ")</f>
        <v> </v>
      </c>
      <c r="T103" s="17" t="str">
        <f aca="false">IF((E103="r"),H103," ")</f>
        <v> </v>
      </c>
      <c r="U103" s="17" t="str">
        <f aca="false">IF((E103="p"),H103," ")</f>
        <v> </v>
      </c>
      <c r="V103" s="17" t="str">
        <f aca="false">IF((E103="t"),H103," ")</f>
        <v> </v>
      </c>
      <c r="W103" s="17" t="str">
        <f aca="false">IF((E103="q"),H103," ")</f>
        <v> </v>
      </c>
      <c r="X103" s="17" t="str">
        <f aca="false">IF((E103="m"),H103," ")</f>
        <v> </v>
      </c>
      <c r="Y103" s="17" t="str">
        <f aca="false">IF((E103="u"),H103," ")</f>
        <v> </v>
      </c>
      <c r="Z103" s="17" t="str">
        <f aca="false">IF((E103="a"),H103," ")</f>
        <v> </v>
      </c>
      <c r="AA103" s="17" t="str">
        <f aca="false">IF((E103="g"),H103," ")</f>
        <v> </v>
      </c>
      <c r="AB103" s="17" t="str">
        <f aca="false">IF((E103="h"),H103," ")</f>
        <v> </v>
      </c>
      <c r="AC103" s="30" t="str">
        <f aca="false">IF((E103="v"),H103," ")</f>
        <v> </v>
      </c>
      <c r="AD103" s="30" t="str">
        <f aca="false">IF((E103="n"),H103," ")</f>
        <v> </v>
      </c>
      <c r="AE103" s="17" t="str">
        <f aca="false">IF((E103="f"),H103," ")</f>
        <v> </v>
      </c>
      <c r="AF103" s="17" t="str">
        <f aca="false">IF((E103="l"),H103," ")</f>
        <v> </v>
      </c>
      <c r="AG103" s="17" t="str">
        <f aca="false">IF((E103="y"),H103," ")</f>
        <v> </v>
      </c>
      <c r="AH103" s="17" t="str">
        <f aca="false">IF((E103="z"),H103," ")</f>
        <v> </v>
      </c>
      <c r="AI103" s="17" t="str">
        <f aca="false">IF((E103="fa"),H103," ")</f>
        <v> </v>
      </c>
      <c r="AJ103" s="17" t="str">
        <f aca="false">IF((E103="e"),H103," ")</f>
        <v> </v>
      </c>
    </row>
    <row r="104" customFormat="false" ht="12" hidden="false" customHeight="false" outlineLevel="0" collapsed="false">
      <c r="A104" s="28"/>
      <c r="E104" s="2" t="str">
        <f aca="false">IF((F104&lt;&gt;0),"Enter Letter"," ")</f>
        <v> </v>
      </c>
      <c r="F104" s="30"/>
      <c r="G104" s="6" t="str">
        <f aca="false">IF(F104&lt;&gt;0,F104*G$2/(100+G$2)," ")</f>
        <v> </v>
      </c>
      <c r="H104" s="6" t="str">
        <f aca="false">IF((F104&lt;&gt;0),F104-G104," ")</f>
        <v> </v>
      </c>
      <c r="I104" s="5"/>
      <c r="L104" s="7" t="str">
        <f aca="false">IF(F104&lt;&gt;0,F104-K104," ")</f>
        <v> </v>
      </c>
      <c r="M104" s="8" t="str">
        <f aca="false">IF((F104-K104)&lt;&gt;0,M$1-A104," ")</f>
        <v> </v>
      </c>
      <c r="N104" s="5"/>
      <c r="O104" s="17" t="str">
        <f aca="false">IF((E104="s"),H104," ")</f>
        <v> </v>
      </c>
      <c r="P104" s="17" t="str">
        <f aca="false">IF((E104="c"),H104," ")</f>
        <v> </v>
      </c>
      <c r="Q104" s="17" t="str">
        <f aca="false">IF((E104="o"),H104," ")</f>
        <v> </v>
      </c>
      <c r="R104" s="17" t="str">
        <f aca="false">IF((E104="d"),H104," ")</f>
        <v> </v>
      </c>
      <c r="S104" s="17" t="str">
        <f aca="false">IF((E104="w"),H104," ")</f>
        <v> </v>
      </c>
      <c r="T104" s="17" t="str">
        <f aca="false">IF((E104="r"),H104," ")</f>
        <v> </v>
      </c>
      <c r="U104" s="17" t="str">
        <f aca="false">IF((E104="p"),H104," ")</f>
        <v> </v>
      </c>
      <c r="V104" s="17" t="str">
        <f aca="false">IF((E104="t"),H104," ")</f>
        <v> </v>
      </c>
      <c r="W104" s="17" t="str">
        <f aca="false">IF((E104="q"),H104," ")</f>
        <v> </v>
      </c>
      <c r="X104" s="17" t="str">
        <f aca="false">IF((E104="m"),H104," ")</f>
        <v> </v>
      </c>
      <c r="Y104" s="17" t="str">
        <f aca="false">IF((E104="u"),H104," ")</f>
        <v> </v>
      </c>
      <c r="Z104" s="17" t="str">
        <f aca="false">IF((E104="a"),H104," ")</f>
        <v> </v>
      </c>
      <c r="AA104" s="17" t="str">
        <f aca="false">IF((E104="g"),H104," ")</f>
        <v> </v>
      </c>
      <c r="AB104" s="17" t="str">
        <f aca="false">IF((E104="h"),H104," ")</f>
        <v> </v>
      </c>
      <c r="AC104" s="30" t="str">
        <f aca="false">IF((E104="v"),H104," ")</f>
        <v> </v>
      </c>
      <c r="AD104" s="30" t="str">
        <f aca="false">IF((E104="n"),H104," ")</f>
        <v> </v>
      </c>
      <c r="AE104" s="17" t="str">
        <f aca="false">IF((E104="f"),H104," ")</f>
        <v> </v>
      </c>
      <c r="AF104" s="17" t="str">
        <f aca="false">IF((E104="l"),H104," ")</f>
        <v> </v>
      </c>
      <c r="AG104" s="17" t="str">
        <f aca="false">IF((E104="y"),H104," ")</f>
        <v> </v>
      </c>
      <c r="AH104" s="17" t="str">
        <f aca="false">IF((E104="z"),H104," ")</f>
        <v> </v>
      </c>
      <c r="AI104" s="17" t="str">
        <f aca="false">IF((E104="fa"),H104," ")</f>
        <v> </v>
      </c>
      <c r="AJ104" s="17" t="str">
        <f aca="false">IF((E104="e"),H104," ")</f>
        <v> </v>
      </c>
    </row>
    <row r="105" customFormat="false" ht="12" hidden="false" customHeight="false" outlineLevel="0" collapsed="false">
      <c r="A105" s="28"/>
      <c r="E105" s="2" t="str">
        <f aca="false">IF((F105&lt;&gt;0),"Enter Letter"," ")</f>
        <v> </v>
      </c>
      <c r="F105" s="30"/>
      <c r="G105" s="6" t="str">
        <f aca="false">IF(F105&lt;&gt;0,F105*G$2/(100+G$2)," ")</f>
        <v> </v>
      </c>
      <c r="H105" s="6" t="str">
        <f aca="false">IF((F105&lt;&gt;0),F105-G105," ")</f>
        <v> </v>
      </c>
      <c r="I105" s="5"/>
      <c r="L105" s="7" t="str">
        <f aca="false">IF(F105&lt;&gt;0,F105-K105," ")</f>
        <v> </v>
      </c>
      <c r="M105" s="8" t="str">
        <f aca="false">IF((F105-K105)&lt;&gt;0,M$1-A105," ")</f>
        <v> </v>
      </c>
      <c r="N105" s="5"/>
      <c r="O105" s="17" t="str">
        <f aca="false">IF((E105="s"),H105," ")</f>
        <v> </v>
      </c>
      <c r="P105" s="17" t="str">
        <f aca="false">IF((E105="c"),H105," ")</f>
        <v> </v>
      </c>
      <c r="Q105" s="17" t="str">
        <f aca="false">IF((E105="o"),H105," ")</f>
        <v> </v>
      </c>
      <c r="R105" s="17" t="str">
        <f aca="false">IF((E105="d"),H105," ")</f>
        <v> </v>
      </c>
      <c r="S105" s="17" t="str">
        <f aca="false">IF((E105="w"),H105," ")</f>
        <v> </v>
      </c>
      <c r="T105" s="17" t="str">
        <f aca="false">IF((E105="r"),H105," ")</f>
        <v> </v>
      </c>
      <c r="U105" s="17" t="str">
        <f aca="false">IF((E105="p"),H105," ")</f>
        <v> </v>
      </c>
      <c r="V105" s="17" t="str">
        <f aca="false">IF((E105="t"),H105," ")</f>
        <v> </v>
      </c>
      <c r="W105" s="17" t="str">
        <f aca="false">IF((E105="q"),H105," ")</f>
        <v> </v>
      </c>
      <c r="X105" s="17" t="str">
        <f aca="false">IF((E105="m"),H105," ")</f>
        <v> </v>
      </c>
      <c r="Y105" s="17" t="str">
        <f aca="false">IF((E105="u"),H105," ")</f>
        <v> </v>
      </c>
      <c r="Z105" s="17" t="str">
        <f aca="false">IF((E105="a"),H105," ")</f>
        <v> </v>
      </c>
      <c r="AA105" s="17" t="str">
        <f aca="false">IF((E105="g"),H105," ")</f>
        <v> </v>
      </c>
      <c r="AB105" s="17" t="str">
        <f aca="false">IF((E105="h"),H105," ")</f>
        <v> </v>
      </c>
      <c r="AC105" s="30" t="str">
        <f aca="false">IF((E105="v"),H105," ")</f>
        <v> </v>
      </c>
      <c r="AD105" s="30" t="str">
        <f aca="false">IF((E105="n"),H105," ")</f>
        <v> </v>
      </c>
      <c r="AE105" s="17" t="str">
        <f aca="false">IF((E105="f"),H105," ")</f>
        <v> </v>
      </c>
      <c r="AF105" s="17" t="str">
        <f aca="false">IF((E105="l"),H105," ")</f>
        <v> </v>
      </c>
      <c r="AG105" s="17" t="str">
        <f aca="false">IF((E105="y"),H105," ")</f>
        <v> </v>
      </c>
      <c r="AH105" s="17" t="str">
        <f aca="false">IF((E105="z"),H105," ")</f>
        <v> </v>
      </c>
      <c r="AI105" s="17" t="str">
        <f aca="false">IF((E105="fa"),H105," ")</f>
        <v> </v>
      </c>
      <c r="AJ105" s="17" t="str">
        <f aca="false">IF((E105="e"),H105," ")</f>
        <v> </v>
      </c>
    </row>
    <row r="106" customFormat="false" ht="12" hidden="false" customHeight="false" outlineLevel="0" collapsed="false">
      <c r="A106" s="28"/>
      <c r="E106" s="2" t="str">
        <f aca="false">IF((F106&lt;&gt;0),"Enter Letter"," ")</f>
        <v> </v>
      </c>
      <c r="F106" s="30"/>
      <c r="G106" s="6" t="str">
        <f aca="false">IF(F106&lt;&gt;0,F106*G$2/(100+G$2)," ")</f>
        <v> </v>
      </c>
      <c r="H106" s="6" t="str">
        <f aca="false">IF((F106&lt;&gt;0),F106-G106," ")</f>
        <v> </v>
      </c>
      <c r="I106" s="5"/>
      <c r="L106" s="7" t="str">
        <f aca="false">IF(F106&lt;&gt;0,F106-K106," ")</f>
        <v> </v>
      </c>
      <c r="M106" s="8" t="str">
        <f aca="false">IF((F106-K106)&lt;&gt;0,M$1-A106," ")</f>
        <v> </v>
      </c>
      <c r="N106" s="5"/>
      <c r="O106" s="17" t="str">
        <f aca="false">IF((E106="s"),H106," ")</f>
        <v> </v>
      </c>
      <c r="P106" s="17" t="str">
        <f aca="false">IF((E106="c"),H106," ")</f>
        <v> </v>
      </c>
      <c r="Q106" s="17" t="str">
        <f aca="false">IF((E106="o"),H106," ")</f>
        <v> </v>
      </c>
      <c r="R106" s="17" t="str">
        <f aca="false">IF((E106="d"),H106," ")</f>
        <v> </v>
      </c>
      <c r="S106" s="17" t="str">
        <f aca="false">IF((E106="w"),H106," ")</f>
        <v> </v>
      </c>
      <c r="T106" s="17" t="str">
        <f aca="false">IF((E106="r"),H106," ")</f>
        <v> </v>
      </c>
      <c r="U106" s="17" t="str">
        <f aca="false">IF((E106="p"),H106," ")</f>
        <v> </v>
      </c>
      <c r="V106" s="17" t="str">
        <f aca="false">IF((E106="t"),H106," ")</f>
        <v> </v>
      </c>
      <c r="W106" s="17" t="str">
        <f aca="false">IF((E106="q"),H106," ")</f>
        <v> </v>
      </c>
      <c r="X106" s="17" t="str">
        <f aca="false">IF((E106="m"),H106," ")</f>
        <v> </v>
      </c>
      <c r="Y106" s="17" t="str">
        <f aca="false">IF((E106="u"),H106," ")</f>
        <v> </v>
      </c>
      <c r="Z106" s="17" t="str">
        <f aca="false">IF((E106="a"),H106," ")</f>
        <v> </v>
      </c>
      <c r="AA106" s="17" t="str">
        <f aca="false">IF((E106="g"),H106," ")</f>
        <v> </v>
      </c>
      <c r="AB106" s="17" t="str">
        <f aca="false">IF((E106="h"),H106," ")</f>
        <v> </v>
      </c>
      <c r="AC106" s="30" t="str">
        <f aca="false">IF((E106="v"),H106," ")</f>
        <v> </v>
      </c>
      <c r="AD106" s="30" t="str">
        <f aca="false">IF((E106="n"),H106," ")</f>
        <v> </v>
      </c>
      <c r="AE106" s="17" t="str">
        <f aca="false">IF((E106="f"),H106," ")</f>
        <v> </v>
      </c>
      <c r="AF106" s="17" t="str">
        <f aca="false">IF((E106="l"),H106," ")</f>
        <v> </v>
      </c>
      <c r="AG106" s="17" t="str">
        <f aca="false">IF((E106="y"),H106," ")</f>
        <v> </v>
      </c>
      <c r="AH106" s="17" t="str">
        <f aca="false">IF((E106="z"),H106," ")</f>
        <v> </v>
      </c>
      <c r="AI106" s="17" t="str">
        <f aca="false">IF((E106="fa"),H106," ")</f>
        <v> </v>
      </c>
      <c r="AJ106" s="17" t="str">
        <f aca="false">IF((E106="e"),H106," ")</f>
        <v> </v>
      </c>
    </row>
    <row r="107" customFormat="false" ht="12" hidden="false" customHeight="false" outlineLevel="0" collapsed="false">
      <c r="A107" s="28"/>
      <c r="E107" s="2" t="str">
        <f aca="false">IF((F107&lt;&gt;0),"Enter Letter"," ")</f>
        <v> </v>
      </c>
      <c r="F107" s="30"/>
      <c r="G107" s="6" t="str">
        <f aca="false">IF(F107&lt;&gt;0,F107*G$2/(100+G$2)," ")</f>
        <v> </v>
      </c>
      <c r="H107" s="6" t="str">
        <f aca="false">IF((F107&lt;&gt;0),F107-G107," ")</f>
        <v> </v>
      </c>
      <c r="I107" s="5"/>
      <c r="L107" s="7" t="str">
        <f aca="false">IF(F107&lt;&gt;0,F107-K107," ")</f>
        <v> </v>
      </c>
      <c r="M107" s="8" t="str">
        <f aca="false">IF((F107-K107)&lt;&gt;0,M$1-A107," ")</f>
        <v> </v>
      </c>
      <c r="N107" s="5"/>
      <c r="O107" s="17" t="str">
        <f aca="false">IF((E107="s"),H107," ")</f>
        <v> </v>
      </c>
      <c r="P107" s="17" t="str">
        <f aca="false">IF((E107="c"),H107," ")</f>
        <v> </v>
      </c>
      <c r="Q107" s="17" t="str">
        <f aca="false">IF((E107="o"),H107," ")</f>
        <v> </v>
      </c>
      <c r="R107" s="17" t="str">
        <f aca="false">IF((E107="d"),H107," ")</f>
        <v> </v>
      </c>
      <c r="S107" s="17" t="str">
        <f aca="false">IF((E107="w"),H107," ")</f>
        <v> </v>
      </c>
      <c r="T107" s="17" t="str">
        <f aca="false">IF((E107="r"),H107," ")</f>
        <v> </v>
      </c>
      <c r="U107" s="17" t="str">
        <f aca="false">IF((E107="p"),H107," ")</f>
        <v> </v>
      </c>
      <c r="V107" s="17" t="str">
        <f aca="false">IF((E107="t"),H107," ")</f>
        <v> </v>
      </c>
      <c r="W107" s="17" t="str">
        <f aca="false">IF((E107="q"),H107," ")</f>
        <v> </v>
      </c>
      <c r="X107" s="17" t="str">
        <f aca="false">IF((E107="m"),H107," ")</f>
        <v> </v>
      </c>
      <c r="Y107" s="17" t="str">
        <f aca="false">IF((E107="u"),H107," ")</f>
        <v> </v>
      </c>
      <c r="Z107" s="17" t="str">
        <f aca="false">IF((E107="a"),H107," ")</f>
        <v> </v>
      </c>
      <c r="AA107" s="17" t="str">
        <f aca="false">IF((E107="g"),H107," ")</f>
        <v> </v>
      </c>
      <c r="AB107" s="17" t="str">
        <f aca="false">IF((E107="h"),H107," ")</f>
        <v> </v>
      </c>
      <c r="AC107" s="30" t="str">
        <f aca="false">IF((E107="v"),H107," ")</f>
        <v> </v>
      </c>
      <c r="AD107" s="30" t="str">
        <f aca="false">IF((E107="n"),H107," ")</f>
        <v> </v>
      </c>
      <c r="AE107" s="17" t="str">
        <f aca="false">IF((E107="f"),H107," ")</f>
        <v> </v>
      </c>
      <c r="AF107" s="17" t="str">
        <f aca="false">IF((E107="l"),H107," ")</f>
        <v> </v>
      </c>
      <c r="AG107" s="17" t="str">
        <f aca="false">IF((E107="y"),H107," ")</f>
        <v> </v>
      </c>
      <c r="AH107" s="17" t="str">
        <f aca="false">IF((E107="z"),H107," ")</f>
        <v> </v>
      </c>
      <c r="AI107" s="17" t="str">
        <f aca="false">IF((E107="fa"),H107," ")</f>
        <v> </v>
      </c>
      <c r="AJ107" s="17" t="str">
        <f aca="false">IF((E107="e"),H107," ")</f>
        <v> </v>
      </c>
    </row>
    <row r="108" customFormat="false" ht="12" hidden="false" customHeight="false" outlineLevel="0" collapsed="false">
      <c r="A108" s="28"/>
      <c r="E108" s="2" t="str">
        <f aca="false">IF((F108&lt;&gt;0),"Enter Letter"," ")</f>
        <v> </v>
      </c>
      <c r="F108" s="30"/>
      <c r="G108" s="6" t="str">
        <f aca="false">IF(F108&lt;&gt;0,F108*G$2/(100+G$2)," ")</f>
        <v> </v>
      </c>
      <c r="H108" s="6" t="str">
        <f aca="false">IF((F108&lt;&gt;0),F108-G108," ")</f>
        <v> </v>
      </c>
      <c r="I108" s="5"/>
      <c r="L108" s="7" t="str">
        <f aca="false">IF(F108&lt;&gt;0,F108-K108," ")</f>
        <v> </v>
      </c>
      <c r="M108" s="8" t="str">
        <f aca="false">IF((F108-K108)&lt;&gt;0,M$1-A108," ")</f>
        <v> </v>
      </c>
      <c r="N108" s="5"/>
      <c r="O108" s="17" t="str">
        <f aca="false">IF((E108="s"),H108," ")</f>
        <v> </v>
      </c>
      <c r="P108" s="17" t="str">
        <f aca="false">IF((E108="c"),H108," ")</f>
        <v> </v>
      </c>
      <c r="Q108" s="17" t="str">
        <f aca="false">IF((E108="o"),H108," ")</f>
        <v> </v>
      </c>
      <c r="R108" s="17" t="str">
        <f aca="false">IF((E108="d"),H108," ")</f>
        <v> </v>
      </c>
      <c r="S108" s="17" t="str">
        <f aca="false">IF((E108="w"),H108," ")</f>
        <v> </v>
      </c>
      <c r="T108" s="17" t="str">
        <f aca="false">IF((E108="r"),H108," ")</f>
        <v> </v>
      </c>
      <c r="U108" s="17" t="str">
        <f aca="false">IF((E108="p"),H108," ")</f>
        <v> </v>
      </c>
      <c r="V108" s="17" t="str">
        <f aca="false">IF((E108="t"),H108," ")</f>
        <v> </v>
      </c>
      <c r="W108" s="17" t="str">
        <f aca="false">IF((E108="q"),H108," ")</f>
        <v> </v>
      </c>
      <c r="X108" s="17" t="str">
        <f aca="false">IF((E108="m"),H108," ")</f>
        <v> </v>
      </c>
      <c r="Y108" s="17" t="str">
        <f aca="false">IF((E108="u"),H108," ")</f>
        <v> </v>
      </c>
      <c r="Z108" s="17" t="str">
        <f aca="false">IF((E108="a"),H108," ")</f>
        <v> </v>
      </c>
      <c r="AA108" s="17" t="str">
        <f aca="false">IF((E108="g"),H108," ")</f>
        <v> </v>
      </c>
      <c r="AB108" s="17" t="str">
        <f aca="false">IF((E108="h"),H108," ")</f>
        <v> </v>
      </c>
      <c r="AC108" s="30" t="str">
        <f aca="false">IF((E108="v"),H108," ")</f>
        <v> </v>
      </c>
      <c r="AD108" s="30" t="str">
        <f aca="false">IF((E108="n"),H108," ")</f>
        <v> </v>
      </c>
      <c r="AE108" s="17" t="str">
        <f aca="false">IF((E108="f"),H108," ")</f>
        <v> </v>
      </c>
      <c r="AF108" s="17" t="str">
        <f aca="false">IF((E108="l"),H108," ")</f>
        <v> </v>
      </c>
      <c r="AG108" s="17" t="str">
        <f aca="false">IF((E108="y"),H108," ")</f>
        <v> </v>
      </c>
      <c r="AH108" s="17" t="str">
        <f aca="false">IF((E108="z"),H108," ")</f>
        <v> </v>
      </c>
      <c r="AI108" s="17" t="str">
        <f aca="false">IF((E108="fa"),H108," ")</f>
        <v> </v>
      </c>
      <c r="AJ108" s="17" t="str">
        <f aca="false">IF((E108="e"),H108," ")</f>
        <v> </v>
      </c>
    </row>
    <row r="109" customFormat="false" ht="12" hidden="false" customHeight="false" outlineLevel="0" collapsed="false">
      <c r="A109" s="28"/>
      <c r="E109" s="2" t="str">
        <f aca="false">IF((F109&lt;&gt;0),"Enter Letter"," ")</f>
        <v> </v>
      </c>
      <c r="F109" s="30"/>
      <c r="G109" s="6" t="str">
        <f aca="false">IF(F109&lt;&gt;0,F109*G$2/(100+G$2)," ")</f>
        <v> </v>
      </c>
      <c r="H109" s="6" t="str">
        <f aca="false">IF((F109&lt;&gt;0),F109-G109," ")</f>
        <v> </v>
      </c>
      <c r="I109" s="5"/>
      <c r="L109" s="7" t="str">
        <f aca="false">IF(F109&lt;&gt;0,F109-K109," ")</f>
        <v> </v>
      </c>
      <c r="M109" s="8" t="str">
        <f aca="false">IF((F109-K109)&lt;&gt;0,M$1-A109," ")</f>
        <v> </v>
      </c>
      <c r="N109" s="5"/>
      <c r="O109" s="17" t="str">
        <f aca="false">IF((E109="s"),H109," ")</f>
        <v> </v>
      </c>
      <c r="P109" s="17" t="str">
        <f aca="false">IF((E109="c"),H109," ")</f>
        <v> </v>
      </c>
      <c r="Q109" s="17" t="str">
        <f aca="false">IF((E109="o"),H109," ")</f>
        <v> </v>
      </c>
      <c r="R109" s="17" t="str">
        <f aca="false">IF((E109="d"),H109," ")</f>
        <v> </v>
      </c>
      <c r="S109" s="17" t="str">
        <f aca="false">IF((E109="w"),H109," ")</f>
        <v> </v>
      </c>
      <c r="T109" s="17" t="str">
        <f aca="false">IF((E109="r"),H109," ")</f>
        <v> </v>
      </c>
      <c r="U109" s="17" t="str">
        <f aca="false">IF((E109="p"),H109," ")</f>
        <v> </v>
      </c>
      <c r="V109" s="17" t="str">
        <f aca="false">IF((E109="t"),H109," ")</f>
        <v> </v>
      </c>
      <c r="W109" s="17" t="str">
        <f aca="false">IF((E109="q"),H109," ")</f>
        <v> </v>
      </c>
      <c r="X109" s="17" t="str">
        <f aca="false">IF((E109="m"),H109," ")</f>
        <v> </v>
      </c>
      <c r="Y109" s="17" t="str">
        <f aca="false">IF((E109="u"),H109," ")</f>
        <v> </v>
      </c>
      <c r="Z109" s="17" t="str">
        <f aca="false">IF((E109="a"),H109," ")</f>
        <v> </v>
      </c>
      <c r="AA109" s="17" t="str">
        <f aca="false">IF((E109="g"),H109," ")</f>
        <v> </v>
      </c>
      <c r="AB109" s="17" t="str">
        <f aca="false">IF((E109="h"),H109," ")</f>
        <v> </v>
      </c>
      <c r="AC109" s="30" t="str">
        <f aca="false">IF((E109="v"),H109," ")</f>
        <v> </v>
      </c>
      <c r="AD109" s="30" t="str">
        <f aca="false">IF((E109="n"),H109," ")</f>
        <v> </v>
      </c>
      <c r="AE109" s="17" t="str">
        <f aca="false">IF((E109="f"),H109," ")</f>
        <v> </v>
      </c>
      <c r="AF109" s="17" t="str">
        <f aca="false">IF((E109="l"),H109," ")</f>
        <v> </v>
      </c>
      <c r="AG109" s="17" t="str">
        <f aca="false">IF((E109="y"),H109," ")</f>
        <v> </v>
      </c>
      <c r="AH109" s="17" t="str">
        <f aca="false">IF((E109="z"),H109," ")</f>
        <v> </v>
      </c>
      <c r="AI109" s="17" t="str">
        <f aca="false">IF((E109="fa"),H109," ")</f>
        <v> </v>
      </c>
      <c r="AJ109" s="17" t="str">
        <f aca="false">IF((E109="e"),H109," ")</f>
        <v> </v>
      </c>
    </row>
    <row r="110" customFormat="false" ht="12" hidden="false" customHeight="false" outlineLevel="0" collapsed="false">
      <c r="A110" s="28"/>
      <c r="E110" s="2" t="str">
        <f aca="false">IF((F110&lt;&gt;0),"Enter Letter"," ")</f>
        <v> </v>
      </c>
      <c r="F110" s="30"/>
      <c r="G110" s="6" t="str">
        <f aca="false">IF(F110&lt;&gt;0,F110*G$2/(100+G$2)," ")</f>
        <v> </v>
      </c>
      <c r="H110" s="6" t="str">
        <f aca="false">IF((F110&lt;&gt;0),F110-G110," ")</f>
        <v> </v>
      </c>
      <c r="I110" s="5"/>
      <c r="L110" s="7" t="str">
        <f aca="false">IF(F110&lt;&gt;0,F110-K110," ")</f>
        <v> </v>
      </c>
      <c r="M110" s="8" t="str">
        <f aca="false">IF((F110-K110)&lt;&gt;0,M$1-A110," ")</f>
        <v> </v>
      </c>
      <c r="N110" s="5"/>
      <c r="O110" s="17" t="str">
        <f aca="false">IF((E110="s"),H110," ")</f>
        <v> </v>
      </c>
      <c r="P110" s="17" t="str">
        <f aca="false">IF((E110="c"),H110," ")</f>
        <v> </v>
      </c>
      <c r="Q110" s="17" t="str">
        <f aca="false">IF((E110="o"),H110," ")</f>
        <v> </v>
      </c>
      <c r="R110" s="17" t="str">
        <f aca="false">IF((E110="d"),H110," ")</f>
        <v> </v>
      </c>
      <c r="S110" s="17" t="str">
        <f aca="false">IF((E110="w"),H110," ")</f>
        <v> </v>
      </c>
      <c r="T110" s="17" t="str">
        <f aca="false">IF((E110="r"),H110," ")</f>
        <v> </v>
      </c>
      <c r="U110" s="17" t="str">
        <f aca="false">IF((E110="p"),H110," ")</f>
        <v> </v>
      </c>
      <c r="V110" s="17" t="str">
        <f aca="false">IF((E110="t"),H110," ")</f>
        <v> </v>
      </c>
      <c r="W110" s="17" t="str">
        <f aca="false">IF((E110="q"),H110," ")</f>
        <v> </v>
      </c>
      <c r="X110" s="17" t="str">
        <f aca="false">IF((E110="m"),H110," ")</f>
        <v> </v>
      </c>
      <c r="Y110" s="17" t="str">
        <f aca="false">IF((E110="u"),H110," ")</f>
        <v> </v>
      </c>
      <c r="Z110" s="17" t="str">
        <f aca="false">IF((E110="a"),H110," ")</f>
        <v> </v>
      </c>
      <c r="AA110" s="17" t="str">
        <f aca="false">IF((E110="g"),H110," ")</f>
        <v> </v>
      </c>
      <c r="AB110" s="17" t="str">
        <f aca="false">IF((E110="h"),H110," ")</f>
        <v> </v>
      </c>
      <c r="AC110" s="30" t="str">
        <f aca="false">IF((E110="v"),H110," ")</f>
        <v> </v>
      </c>
      <c r="AD110" s="30" t="str">
        <f aca="false">IF((E110="n"),H110," ")</f>
        <v> </v>
      </c>
      <c r="AE110" s="17" t="str">
        <f aca="false">IF((E110="f"),H110," ")</f>
        <v> </v>
      </c>
      <c r="AF110" s="17" t="str">
        <f aca="false">IF((E110="l"),H110," ")</f>
        <v> </v>
      </c>
      <c r="AG110" s="17" t="str">
        <f aca="false">IF((E110="y"),H110," ")</f>
        <v> </v>
      </c>
      <c r="AH110" s="17" t="str">
        <f aca="false">IF((E110="z"),H110," ")</f>
        <v> </v>
      </c>
      <c r="AI110" s="17" t="str">
        <f aca="false">IF((E110="fa"),H110," ")</f>
        <v> </v>
      </c>
      <c r="AJ110" s="17" t="str">
        <f aca="false">IF((E110="e"),H110," ")</f>
        <v> </v>
      </c>
    </row>
    <row r="111" customFormat="false" ht="12" hidden="false" customHeight="false" outlineLevel="0" collapsed="false">
      <c r="A111" s="28"/>
      <c r="E111" s="2" t="str">
        <f aca="false">IF((F111&lt;&gt;0),"Enter Letter"," ")</f>
        <v> </v>
      </c>
      <c r="F111" s="30"/>
      <c r="G111" s="6" t="str">
        <f aca="false">IF(F111&lt;&gt;0,F111*G$2/(100+G$2)," ")</f>
        <v> </v>
      </c>
      <c r="H111" s="6" t="str">
        <f aca="false">IF((F111&lt;&gt;0),F111-G111," ")</f>
        <v> </v>
      </c>
      <c r="I111" s="5"/>
      <c r="L111" s="7" t="str">
        <f aca="false">IF(F111&lt;&gt;0,F111-K111," ")</f>
        <v> </v>
      </c>
      <c r="M111" s="8" t="str">
        <f aca="false">IF((F111-K111)&lt;&gt;0,M$1-A111," ")</f>
        <v> </v>
      </c>
      <c r="N111" s="5"/>
      <c r="O111" s="17" t="str">
        <f aca="false">IF((E111="s"),H111," ")</f>
        <v> </v>
      </c>
      <c r="P111" s="17" t="str">
        <f aca="false">IF((E111="c"),H111," ")</f>
        <v> </v>
      </c>
      <c r="Q111" s="17" t="str">
        <f aca="false">IF((E111="o"),H111," ")</f>
        <v> </v>
      </c>
      <c r="R111" s="17" t="str">
        <f aca="false">IF((E111="d"),H111," ")</f>
        <v> </v>
      </c>
      <c r="S111" s="17" t="str">
        <f aca="false">IF((E111="w"),H111," ")</f>
        <v> </v>
      </c>
      <c r="T111" s="17" t="str">
        <f aca="false">IF((E111="r"),H111," ")</f>
        <v> </v>
      </c>
      <c r="U111" s="17" t="str">
        <f aca="false">IF((E111="p"),H111," ")</f>
        <v> </v>
      </c>
      <c r="V111" s="17" t="str">
        <f aca="false">IF((E111="t"),H111," ")</f>
        <v> </v>
      </c>
      <c r="W111" s="17" t="str">
        <f aca="false">IF((E111="q"),H111," ")</f>
        <v> </v>
      </c>
      <c r="X111" s="17" t="str">
        <f aca="false">IF((E111="m"),H111," ")</f>
        <v> </v>
      </c>
      <c r="Y111" s="17" t="str">
        <f aca="false">IF((E111="u"),H111," ")</f>
        <v> </v>
      </c>
      <c r="Z111" s="17" t="str">
        <f aca="false">IF((E111="a"),H111," ")</f>
        <v> </v>
      </c>
      <c r="AA111" s="17" t="str">
        <f aca="false">IF((E111="g"),H111," ")</f>
        <v> </v>
      </c>
      <c r="AB111" s="17" t="str">
        <f aca="false">IF((E111="h"),H111," ")</f>
        <v> </v>
      </c>
      <c r="AC111" s="30" t="str">
        <f aca="false">IF((E111="v"),H111," ")</f>
        <v> </v>
      </c>
      <c r="AD111" s="30" t="str">
        <f aca="false">IF((E111="n"),H111," ")</f>
        <v> </v>
      </c>
      <c r="AE111" s="17" t="str">
        <f aca="false">IF((E111="f"),H111," ")</f>
        <v> </v>
      </c>
      <c r="AF111" s="17" t="str">
        <f aca="false">IF((E111="l"),H111," ")</f>
        <v> </v>
      </c>
      <c r="AG111" s="17" t="str">
        <f aca="false">IF((E111="y"),H111," ")</f>
        <v> </v>
      </c>
      <c r="AH111" s="17" t="str">
        <f aca="false">IF((E111="z"),H111," ")</f>
        <v> </v>
      </c>
      <c r="AI111" s="17" t="str">
        <f aca="false">IF((E111="fa"),H111," ")</f>
        <v> </v>
      </c>
      <c r="AJ111" s="17" t="str">
        <f aca="false">IF((E111="e"),H111," ")</f>
        <v> </v>
      </c>
    </row>
    <row r="112" customFormat="false" ht="12" hidden="false" customHeight="false" outlineLevel="0" collapsed="false">
      <c r="A112" s="28"/>
      <c r="E112" s="2" t="str">
        <f aca="false">IF((F112&lt;&gt;0),"Enter Letter"," ")</f>
        <v> </v>
      </c>
      <c r="F112" s="30"/>
      <c r="G112" s="6" t="str">
        <f aca="false">IF(F112&lt;&gt;0,F112*G$2/(100+G$2)," ")</f>
        <v> </v>
      </c>
      <c r="H112" s="6" t="str">
        <f aca="false">IF((F112&lt;&gt;0),F112-G112," ")</f>
        <v> </v>
      </c>
      <c r="I112" s="5"/>
      <c r="L112" s="7" t="str">
        <f aca="false">IF(F112&lt;&gt;0,F112-K112," ")</f>
        <v> </v>
      </c>
      <c r="M112" s="8" t="str">
        <f aca="false">IF((F112-K112)&lt;&gt;0,M$1-A112," ")</f>
        <v> </v>
      </c>
      <c r="N112" s="5"/>
      <c r="O112" s="17" t="str">
        <f aca="false">IF((E112="s"),H112," ")</f>
        <v> </v>
      </c>
      <c r="P112" s="17" t="str">
        <f aca="false">IF((E112="c"),H112," ")</f>
        <v> </v>
      </c>
      <c r="Q112" s="17" t="str">
        <f aca="false">IF((E112="o"),H112," ")</f>
        <v> </v>
      </c>
      <c r="R112" s="17" t="str">
        <f aca="false">IF((E112="d"),H112," ")</f>
        <v> </v>
      </c>
      <c r="S112" s="17" t="str">
        <f aca="false">IF((E112="w"),H112," ")</f>
        <v> </v>
      </c>
      <c r="T112" s="17" t="str">
        <f aca="false">IF((E112="r"),H112," ")</f>
        <v> </v>
      </c>
      <c r="U112" s="17" t="str">
        <f aca="false">IF((E112="p"),H112," ")</f>
        <v> </v>
      </c>
      <c r="V112" s="17" t="str">
        <f aca="false">IF((E112="t"),H112," ")</f>
        <v> </v>
      </c>
      <c r="W112" s="17" t="str">
        <f aca="false">IF((E112="q"),H112," ")</f>
        <v> </v>
      </c>
      <c r="X112" s="17" t="str">
        <f aca="false">IF((E112="m"),H112," ")</f>
        <v> </v>
      </c>
      <c r="Y112" s="17" t="str">
        <f aca="false">IF((E112="u"),H112," ")</f>
        <v> </v>
      </c>
      <c r="Z112" s="17" t="str">
        <f aca="false">IF((E112="a"),H112," ")</f>
        <v> </v>
      </c>
      <c r="AA112" s="17" t="str">
        <f aca="false">IF((E112="g"),H112," ")</f>
        <v> </v>
      </c>
      <c r="AB112" s="17" t="str">
        <f aca="false">IF((E112="h"),H112," ")</f>
        <v> </v>
      </c>
      <c r="AC112" s="30" t="str">
        <f aca="false">IF((E112="v"),H112," ")</f>
        <v> </v>
      </c>
      <c r="AD112" s="30" t="str">
        <f aca="false">IF((E112="n"),H112," ")</f>
        <v> </v>
      </c>
      <c r="AE112" s="17" t="str">
        <f aca="false">IF((E112="f"),H112," ")</f>
        <v> </v>
      </c>
      <c r="AF112" s="17" t="str">
        <f aca="false">IF((E112="l"),H112," ")</f>
        <v> </v>
      </c>
      <c r="AG112" s="17" t="str">
        <f aca="false">IF((E112="y"),H112," ")</f>
        <v> </v>
      </c>
      <c r="AH112" s="17" t="str">
        <f aca="false">IF((E112="z"),H112," ")</f>
        <v> </v>
      </c>
      <c r="AI112" s="17" t="str">
        <f aca="false">IF((E112="fa"),H112," ")</f>
        <v> </v>
      </c>
      <c r="AJ112" s="17" t="str">
        <f aca="false">IF((E112="e"),H112," ")</f>
        <v> </v>
      </c>
    </row>
    <row r="113" customFormat="false" ht="12" hidden="false" customHeight="false" outlineLevel="0" collapsed="false">
      <c r="A113" s="28"/>
      <c r="E113" s="2" t="str">
        <f aca="false">IF((F113&lt;&gt;0),"Enter Letter"," ")</f>
        <v> </v>
      </c>
      <c r="F113" s="30"/>
      <c r="G113" s="6" t="str">
        <f aca="false">IF(F113&lt;&gt;0,F113*G$2/(100+G$2)," ")</f>
        <v> </v>
      </c>
      <c r="H113" s="6" t="str">
        <f aca="false">IF((F113&lt;&gt;0),F113-G113," ")</f>
        <v> </v>
      </c>
      <c r="I113" s="5"/>
      <c r="L113" s="7" t="str">
        <f aca="false">IF(F113&lt;&gt;0,F113-K113," ")</f>
        <v> </v>
      </c>
      <c r="M113" s="8" t="str">
        <f aca="false">IF((F113-K113)&lt;&gt;0,M$1-A113," ")</f>
        <v> </v>
      </c>
      <c r="N113" s="5"/>
      <c r="O113" s="17" t="str">
        <f aca="false">IF((E113="s"),H113," ")</f>
        <v> </v>
      </c>
      <c r="P113" s="17" t="str">
        <f aca="false">IF((E113="c"),H113," ")</f>
        <v> </v>
      </c>
      <c r="Q113" s="17" t="str">
        <f aca="false">IF((E113="o"),H113," ")</f>
        <v> </v>
      </c>
      <c r="R113" s="17" t="str">
        <f aca="false">IF((E113="d"),H113," ")</f>
        <v> </v>
      </c>
      <c r="S113" s="17" t="str">
        <f aca="false">IF((E113="w"),H113," ")</f>
        <v> </v>
      </c>
      <c r="T113" s="17" t="str">
        <f aca="false">IF((E113="r"),H113," ")</f>
        <v> </v>
      </c>
      <c r="U113" s="17" t="str">
        <f aca="false">IF((E113="p"),H113," ")</f>
        <v> </v>
      </c>
      <c r="V113" s="17" t="str">
        <f aca="false">IF((E113="t"),H113," ")</f>
        <v> </v>
      </c>
      <c r="W113" s="17" t="str">
        <f aca="false">IF((E113="q"),H113," ")</f>
        <v> </v>
      </c>
      <c r="X113" s="17" t="str">
        <f aca="false">IF((E113="m"),H113," ")</f>
        <v> </v>
      </c>
      <c r="Y113" s="17" t="str">
        <f aca="false">IF((E113="u"),H113," ")</f>
        <v> </v>
      </c>
      <c r="Z113" s="17" t="str">
        <f aca="false">IF((E113="a"),H113," ")</f>
        <v> </v>
      </c>
      <c r="AA113" s="17" t="str">
        <f aca="false">IF((E113="g"),H113," ")</f>
        <v> </v>
      </c>
      <c r="AB113" s="17" t="str">
        <f aca="false">IF((E113="h"),H113," ")</f>
        <v> </v>
      </c>
      <c r="AC113" s="30" t="str">
        <f aca="false">IF((E113="v"),H113," ")</f>
        <v> </v>
      </c>
      <c r="AD113" s="30" t="str">
        <f aca="false">IF((E113="n"),H113," ")</f>
        <v> </v>
      </c>
      <c r="AE113" s="17" t="str">
        <f aca="false">IF((E113="f"),H113," ")</f>
        <v> </v>
      </c>
      <c r="AF113" s="17" t="str">
        <f aca="false">IF((E113="l"),H113," ")</f>
        <v> </v>
      </c>
      <c r="AG113" s="17" t="str">
        <f aca="false">IF((E113="y"),H113," ")</f>
        <v> </v>
      </c>
      <c r="AH113" s="17" t="str">
        <f aca="false">IF((E113="z"),H113," ")</f>
        <v> </v>
      </c>
      <c r="AI113" s="17" t="str">
        <f aca="false">IF((E113="fa"),H113," ")</f>
        <v> </v>
      </c>
      <c r="AJ113" s="17" t="str">
        <f aca="false">IF((E113="e"),H113," ")</f>
        <v> </v>
      </c>
    </row>
    <row r="114" customFormat="false" ht="12" hidden="false" customHeight="false" outlineLevel="0" collapsed="false">
      <c r="A114" s="28"/>
      <c r="E114" s="2" t="str">
        <f aca="false">IF((F114&lt;&gt;0),"Enter Letter"," ")</f>
        <v> </v>
      </c>
      <c r="F114" s="30"/>
      <c r="G114" s="6" t="str">
        <f aca="false">IF(F114&lt;&gt;0,F114*G$2/(100+G$2)," ")</f>
        <v> </v>
      </c>
      <c r="H114" s="6" t="str">
        <f aca="false">IF((F114&lt;&gt;0),F114-G114," ")</f>
        <v> </v>
      </c>
      <c r="I114" s="5"/>
      <c r="L114" s="7" t="str">
        <f aca="false">IF(F114&lt;&gt;0,F114-K114," ")</f>
        <v> </v>
      </c>
      <c r="M114" s="8" t="str">
        <f aca="false">IF((F114-K114)&lt;&gt;0,M$1-A114," ")</f>
        <v> </v>
      </c>
      <c r="N114" s="5"/>
      <c r="O114" s="17" t="str">
        <f aca="false">IF((E114="s"),H114," ")</f>
        <v> </v>
      </c>
      <c r="P114" s="17" t="str">
        <f aca="false">IF((E114="c"),H114," ")</f>
        <v> </v>
      </c>
      <c r="Q114" s="17" t="str">
        <f aca="false">IF((E114="o"),H114," ")</f>
        <v> </v>
      </c>
      <c r="R114" s="17" t="str">
        <f aca="false">IF((E114="d"),H114," ")</f>
        <v> </v>
      </c>
      <c r="S114" s="17" t="str">
        <f aca="false">IF((E114="w"),H114," ")</f>
        <v> </v>
      </c>
      <c r="T114" s="17" t="str">
        <f aca="false">IF((E114="r"),H114," ")</f>
        <v> </v>
      </c>
      <c r="U114" s="17" t="str">
        <f aca="false">IF((E114="p"),H114," ")</f>
        <v> </v>
      </c>
      <c r="V114" s="17" t="str">
        <f aca="false">IF((E114="t"),H114," ")</f>
        <v> </v>
      </c>
      <c r="W114" s="17" t="str">
        <f aca="false">IF((E114="q"),H114," ")</f>
        <v> </v>
      </c>
      <c r="X114" s="17" t="str">
        <f aca="false">IF((E114="m"),H114," ")</f>
        <v> </v>
      </c>
      <c r="Y114" s="17" t="str">
        <f aca="false">IF((E114="u"),H114," ")</f>
        <v> </v>
      </c>
      <c r="Z114" s="17" t="str">
        <f aca="false">IF((E114="a"),H114," ")</f>
        <v> </v>
      </c>
      <c r="AA114" s="17" t="str">
        <f aca="false">IF((E114="g"),H114," ")</f>
        <v> </v>
      </c>
      <c r="AB114" s="17" t="str">
        <f aca="false">IF((E114="h"),H114," ")</f>
        <v> </v>
      </c>
      <c r="AC114" s="30" t="str">
        <f aca="false">IF((E114="v"),H114," ")</f>
        <v> </v>
      </c>
      <c r="AD114" s="30" t="str">
        <f aca="false">IF((E114="n"),H114," ")</f>
        <v> </v>
      </c>
      <c r="AE114" s="17" t="str">
        <f aca="false">IF((E114="f"),H114," ")</f>
        <v> </v>
      </c>
      <c r="AF114" s="17" t="str">
        <f aca="false">IF((E114="l"),H114," ")</f>
        <v> </v>
      </c>
      <c r="AG114" s="17" t="str">
        <f aca="false">IF((E114="y"),H114," ")</f>
        <v> </v>
      </c>
      <c r="AH114" s="17" t="str">
        <f aca="false">IF((E114="z"),H114," ")</f>
        <v> </v>
      </c>
      <c r="AI114" s="17" t="str">
        <f aca="false">IF((E114="fa"),H114," ")</f>
        <v> </v>
      </c>
      <c r="AJ114" s="17" t="str">
        <f aca="false">IF((E114="e"),H114," ")</f>
        <v> </v>
      </c>
    </row>
    <row r="115" customFormat="false" ht="12" hidden="false" customHeight="false" outlineLevel="0" collapsed="false">
      <c r="A115" s="28"/>
      <c r="E115" s="2" t="str">
        <f aca="false">IF((F115&lt;&gt;0),"Enter Letter"," ")</f>
        <v> </v>
      </c>
      <c r="F115" s="30"/>
      <c r="G115" s="6" t="str">
        <f aca="false">IF(F115&lt;&gt;0,F115*G$2/(100+G$2)," ")</f>
        <v> </v>
      </c>
      <c r="H115" s="6" t="str">
        <f aca="false">IF((F115&lt;&gt;0),F115-G115," ")</f>
        <v> </v>
      </c>
      <c r="I115" s="5"/>
      <c r="L115" s="7" t="str">
        <f aca="false">IF(F115&lt;&gt;0,F115-K115," ")</f>
        <v> </v>
      </c>
      <c r="M115" s="8" t="str">
        <f aca="false">IF((F115-K115)&lt;&gt;0,M$1-A115," ")</f>
        <v> </v>
      </c>
      <c r="N115" s="5"/>
      <c r="O115" s="17" t="str">
        <f aca="false">IF((E115="s"),H115," ")</f>
        <v> </v>
      </c>
      <c r="P115" s="17" t="str">
        <f aca="false">IF((E115="c"),H115," ")</f>
        <v> </v>
      </c>
      <c r="Q115" s="17" t="str">
        <f aca="false">IF((E115="o"),H115," ")</f>
        <v> </v>
      </c>
      <c r="R115" s="17" t="str">
        <f aca="false">IF((E115="d"),H115," ")</f>
        <v> </v>
      </c>
      <c r="S115" s="17" t="str">
        <f aca="false">IF((E115="w"),H115," ")</f>
        <v> </v>
      </c>
      <c r="T115" s="17" t="str">
        <f aca="false">IF((E115="r"),H115," ")</f>
        <v> </v>
      </c>
      <c r="U115" s="17" t="str">
        <f aca="false">IF((E115="p"),H115," ")</f>
        <v> </v>
      </c>
      <c r="V115" s="17" t="str">
        <f aca="false">IF((E115="t"),H115," ")</f>
        <v> </v>
      </c>
      <c r="W115" s="17" t="str">
        <f aca="false">IF((E115="q"),H115," ")</f>
        <v> </v>
      </c>
      <c r="X115" s="17" t="str">
        <f aca="false">IF((E115="m"),H115," ")</f>
        <v> </v>
      </c>
      <c r="Y115" s="17" t="str">
        <f aca="false">IF((E115="u"),H115," ")</f>
        <v> </v>
      </c>
      <c r="Z115" s="17" t="str">
        <f aca="false">IF((E115="a"),H115," ")</f>
        <v> </v>
      </c>
      <c r="AA115" s="17" t="str">
        <f aca="false">IF((E115="g"),H115," ")</f>
        <v> </v>
      </c>
      <c r="AB115" s="17" t="str">
        <f aca="false">IF((E115="h"),H115," ")</f>
        <v> </v>
      </c>
      <c r="AC115" s="30" t="str">
        <f aca="false">IF((E115="v"),H115," ")</f>
        <v> </v>
      </c>
      <c r="AD115" s="30" t="str">
        <f aca="false">IF((E115="n"),H115," ")</f>
        <v> </v>
      </c>
      <c r="AE115" s="17" t="str">
        <f aca="false">IF((E115="f"),H115," ")</f>
        <v> </v>
      </c>
      <c r="AF115" s="17" t="str">
        <f aca="false">IF((E115="l"),H115," ")</f>
        <v> </v>
      </c>
      <c r="AG115" s="17" t="str">
        <f aca="false">IF((E115="y"),H115," ")</f>
        <v> </v>
      </c>
      <c r="AH115" s="17" t="str">
        <f aca="false">IF((E115="z"),H115," ")</f>
        <v> </v>
      </c>
      <c r="AI115" s="17" t="str">
        <f aca="false">IF((E115="fa"),H115," ")</f>
        <v> </v>
      </c>
      <c r="AJ115" s="17" t="str">
        <f aca="false">IF((E115="e"),H115," ")</f>
        <v> </v>
      </c>
    </row>
    <row r="116" customFormat="false" ht="12" hidden="false" customHeight="false" outlineLevel="0" collapsed="false">
      <c r="A116" s="28"/>
      <c r="E116" s="2" t="str">
        <f aca="false">IF((F116&lt;&gt;0),"Enter Letter"," ")</f>
        <v> </v>
      </c>
      <c r="F116" s="30"/>
      <c r="G116" s="6" t="str">
        <f aca="false">IF(F116&lt;&gt;0,F116*G$2/(100+G$2)," ")</f>
        <v> </v>
      </c>
      <c r="H116" s="6" t="str">
        <f aca="false">IF((F116&lt;&gt;0),F116-G116," ")</f>
        <v> </v>
      </c>
      <c r="I116" s="5"/>
      <c r="L116" s="7" t="str">
        <f aca="false">IF(F116&lt;&gt;0,F116-K116," ")</f>
        <v> </v>
      </c>
      <c r="M116" s="8" t="str">
        <f aca="false">IF((F116-K116)&lt;&gt;0,M$1-A116," ")</f>
        <v> </v>
      </c>
      <c r="N116" s="5"/>
      <c r="O116" s="17" t="str">
        <f aca="false">IF((E116="s"),H116," ")</f>
        <v> </v>
      </c>
      <c r="P116" s="17" t="str">
        <f aca="false">IF((E116="c"),H116," ")</f>
        <v> </v>
      </c>
      <c r="Q116" s="17" t="str">
        <f aca="false">IF((E116="o"),H116," ")</f>
        <v> </v>
      </c>
      <c r="R116" s="17" t="str">
        <f aca="false">IF((E116="d"),H116," ")</f>
        <v> </v>
      </c>
      <c r="S116" s="17" t="str">
        <f aca="false">IF((E116="w"),H116," ")</f>
        <v> </v>
      </c>
      <c r="T116" s="17" t="str">
        <f aca="false">IF((E116="r"),H116," ")</f>
        <v> </v>
      </c>
      <c r="U116" s="17" t="str">
        <f aca="false">IF((E116="p"),H116," ")</f>
        <v> </v>
      </c>
      <c r="V116" s="17" t="str">
        <f aca="false">IF((E116="t"),H116," ")</f>
        <v> </v>
      </c>
      <c r="W116" s="17" t="str">
        <f aca="false">IF((E116="q"),H116," ")</f>
        <v> </v>
      </c>
      <c r="X116" s="17" t="str">
        <f aca="false">IF((E116="m"),H116," ")</f>
        <v> </v>
      </c>
      <c r="Y116" s="17" t="str">
        <f aca="false">IF((E116="u"),H116," ")</f>
        <v> </v>
      </c>
      <c r="Z116" s="17" t="str">
        <f aca="false">IF((E116="a"),H116," ")</f>
        <v> </v>
      </c>
      <c r="AA116" s="17" t="str">
        <f aca="false">IF((E116="g"),H116," ")</f>
        <v> </v>
      </c>
      <c r="AB116" s="17" t="str">
        <f aca="false">IF((E116="h"),H116," ")</f>
        <v> </v>
      </c>
      <c r="AC116" s="30" t="str">
        <f aca="false">IF((E116="v"),H116," ")</f>
        <v> </v>
      </c>
      <c r="AD116" s="30" t="str">
        <f aca="false">IF((E116="n"),H116," ")</f>
        <v> </v>
      </c>
      <c r="AE116" s="17" t="str">
        <f aca="false">IF((E116="f"),H116," ")</f>
        <v> </v>
      </c>
      <c r="AF116" s="17" t="str">
        <f aca="false">IF((E116="l"),H116," ")</f>
        <v> </v>
      </c>
      <c r="AG116" s="17" t="str">
        <f aca="false">IF((E116="y"),H116," ")</f>
        <v> </v>
      </c>
      <c r="AH116" s="17" t="str">
        <f aca="false">IF((E116="z"),H116," ")</f>
        <v> </v>
      </c>
      <c r="AI116" s="17" t="str">
        <f aca="false">IF((E116="fa"),H116," ")</f>
        <v> </v>
      </c>
      <c r="AJ116" s="17" t="str">
        <f aca="false">IF((E116="e"),H116," ")</f>
        <v> </v>
      </c>
    </row>
    <row r="117" customFormat="false" ht="12" hidden="false" customHeight="false" outlineLevel="0" collapsed="false">
      <c r="A117" s="28"/>
      <c r="E117" s="2" t="str">
        <f aca="false">IF((F117&lt;&gt;0),"Enter Letter"," ")</f>
        <v> </v>
      </c>
      <c r="F117" s="30"/>
      <c r="G117" s="6" t="str">
        <f aca="false">IF(F117&lt;&gt;0,F117*G$2/(100+G$2)," ")</f>
        <v> </v>
      </c>
      <c r="H117" s="6" t="str">
        <f aca="false">IF((F117&lt;&gt;0),F117-G117," ")</f>
        <v> </v>
      </c>
      <c r="I117" s="5"/>
      <c r="L117" s="7" t="str">
        <f aca="false">IF(F117&lt;&gt;0,F117-K117," ")</f>
        <v> </v>
      </c>
      <c r="M117" s="8" t="str">
        <f aca="false">IF((F117-K117)&lt;&gt;0,M$1-A117," ")</f>
        <v> </v>
      </c>
      <c r="N117" s="5"/>
      <c r="O117" s="17" t="str">
        <f aca="false">IF((E117="s"),H117," ")</f>
        <v> </v>
      </c>
      <c r="P117" s="17" t="str">
        <f aca="false">IF((E117="c"),H117," ")</f>
        <v> </v>
      </c>
      <c r="Q117" s="17" t="str">
        <f aca="false">IF((E117="o"),H117," ")</f>
        <v> </v>
      </c>
      <c r="R117" s="17" t="str">
        <f aca="false">IF((E117="d"),H117," ")</f>
        <v> </v>
      </c>
      <c r="S117" s="17" t="str">
        <f aca="false">IF((E117="w"),H117," ")</f>
        <v> </v>
      </c>
      <c r="T117" s="17" t="str">
        <f aca="false">IF((E117="r"),H117," ")</f>
        <v> </v>
      </c>
      <c r="U117" s="17" t="str">
        <f aca="false">IF((E117="p"),H117," ")</f>
        <v> </v>
      </c>
      <c r="V117" s="17" t="str">
        <f aca="false">IF((E117="t"),H117," ")</f>
        <v> </v>
      </c>
      <c r="W117" s="17" t="str">
        <f aca="false">IF((E117="q"),H117," ")</f>
        <v> </v>
      </c>
      <c r="X117" s="17" t="str">
        <f aca="false">IF((E117="m"),H117," ")</f>
        <v> </v>
      </c>
      <c r="Y117" s="17" t="str">
        <f aca="false">IF((E117="u"),H117," ")</f>
        <v> </v>
      </c>
      <c r="Z117" s="17" t="str">
        <f aca="false">IF((E117="a"),H117," ")</f>
        <v> </v>
      </c>
      <c r="AA117" s="17" t="str">
        <f aca="false">IF((E117="g"),H117," ")</f>
        <v> </v>
      </c>
      <c r="AB117" s="17" t="str">
        <f aca="false">IF((E117="h"),H117," ")</f>
        <v> </v>
      </c>
      <c r="AC117" s="30" t="str">
        <f aca="false">IF((E117="v"),H117," ")</f>
        <v> </v>
      </c>
      <c r="AD117" s="30" t="str">
        <f aca="false">IF((E117="n"),H117," ")</f>
        <v> </v>
      </c>
      <c r="AE117" s="17" t="str">
        <f aca="false">IF((E117="f"),H117," ")</f>
        <v> </v>
      </c>
      <c r="AF117" s="17" t="str">
        <f aca="false">IF((E117="l"),H117," ")</f>
        <v> </v>
      </c>
      <c r="AG117" s="17" t="str">
        <f aca="false">IF((E117="y"),H117," ")</f>
        <v> </v>
      </c>
      <c r="AH117" s="17" t="str">
        <f aca="false">IF((E117="z"),H117," ")</f>
        <v> </v>
      </c>
      <c r="AI117" s="17" t="str">
        <f aca="false">IF((E117="fa"),H117," ")</f>
        <v> </v>
      </c>
      <c r="AJ117" s="17" t="str">
        <f aca="false">IF((E117="e"),H117," ")</f>
        <v> </v>
      </c>
    </row>
    <row r="118" customFormat="false" ht="12" hidden="false" customHeight="false" outlineLevel="0" collapsed="false">
      <c r="A118" s="28"/>
      <c r="E118" s="2" t="str">
        <f aca="false">IF((F118&lt;&gt;0),"Enter Letter"," ")</f>
        <v> </v>
      </c>
      <c r="F118" s="30"/>
      <c r="G118" s="6" t="str">
        <f aca="false">IF(F118&lt;&gt;0,F118*G$2/(100+G$2)," ")</f>
        <v> </v>
      </c>
      <c r="H118" s="6" t="str">
        <f aca="false">IF((F118&lt;&gt;0),F118-G118," ")</f>
        <v> </v>
      </c>
      <c r="I118" s="5"/>
      <c r="L118" s="7" t="str">
        <f aca="false">IF(F118&lt;&gt;0,F118-K118," ")</f>
        <v> </v>
      </c>
      <c r="M118" s="8" t="str">
        <f aca="false">IF((F118-K118)&lt;&gt;0,M$1-A118," ")</f>
        <v> </v>
      </c>
      <c r="N118" s="5"/>
      <c r="O118" s="17" t="str">
        <f aca="false">IF((E118="s"),H118," ")</f>
        <v> </v>
      </c>
      <c r="P118" s="17" t="str">
        <f aca="false">IF((E118="c"),H118," ")</f>
        <v> </v>
      </c>
      <c r="Q118" s="17" t="str">
        <f aca="false">IF((E118="o"),H118," ")</f>
        <v> </v>
      </c>
      <c r="R118" s="17" t="str">
        <f aca="false">IF((E118="d"),H118," ")</f>
        <v> </v>
      </c>
      <c r="S118" s="17" t="str">
        <f aca="false">IF((E118="w"),H118," ")</f>
        <v> </v>
      </c>
      <c r="T118" s="17" t="str">
        <f aca="false">IF((E118="r"),H118," ")</f>
        <v> </v>
      </c>
      <c r="U118" s="17" t="str">
        <f aca="false">IF((E118="p"),H118," ")</f>
        <v> </v>
      </c>
      <c r="V118" s="17" t="str">
        <f aca="false">IF((E118="t"),H118," ")</f>
        <v> </v>
      </c>
      <c r="W118" s="17" t="str">
        <f aca="false">IF((E118="q"),H118," ")</f>
        <v> </v>
      </c>
      <c r="X118" s="17" t="str">
        <f aca="false">IF((E118="m"),H118," ")</f>
        <v> </v>
      </c>
      <c r="Y118" s="17" t="str">
        <f aca="false">IF((E118="u"),H118," ")</f>
        <v> </v>
      </c>
      <c r="Z118" s="17" t="str">
        <f aca="false">IF((E118="a"),H118," ")</f>
        <v> </v>
      </c>
      <c r="AA118" s="17" t="str">
        <f aca="false">IF((E118="g"),H118," ")</f>
        <v> </v>
      </c>
      <c r="AB118" s="17" t="str">
        <f aca="false">IF((E118="h"),H118," ")</f>
        <v> </v>
      </c>
      <c r="AC118" s="30" t="str">
        <f aca="false">IF((E118="v"),H118," ")</f>
        <v> </v>
      </c>
      <c r="AD118" s="30" t="str">
        <f aca="false">IF((E118="n"),H118," ")</f>
        <v> </v>
      </c>
      <c r="AE118" s="17" t="str">
        <f aca="false">IF((E118="f"),H118," ")</f>
        <v> </v>
      </c>
      <c r="AF118" s="17" t="str">
        <f aca="false">IF((E118="l"),H118," ")</f>
        <v> </v>
      </c>
      <c r="AG118" s="17" t="str">
        <f aca="false">IF((E118="y"),H118," ")</f>
        <v> </v>
      </c>
      <c r="AH118" s="17" t="str">
        <f aca="false">IF((E118="z"),H118," ")</f>
        <v> </v>
      </c>
      <c r="AI118" s="17" t="str">
        <f aca="false">IF((E118="fa"),H118," ")</f>
        <v> </v>
      </c>
      <c r="AJ118" s="17" t="str">
        <f aca="false">IF((E118="e"),H118," ")</f>
        <v> </v>
      </c>
    </row>
    <row r="119" customFormat="false" ht="12" hidden="false" customHeight="false" outlineLevel="0" collapsed="false">
      <c r="A119" s="28"/>
      <c r="E119" s="2" t="str">
        <f aca="false">IF((F119&lt;&gt;0),"Enter Letter"," ")</f>
        <v> </v>
      </c>
      <c r="F119" s="30"/>
      <c r="G119" s="6" t="str">
        <f aca="false">IF(F119&lt;&gt;0,F119*G$2/(100+G$2)," ")</f>
        <v> </v>
      </c>
      <c r="H119" s="6" t="str">
        <f aca="false">IF((F119&lt;&gt;0),F119-G119," ")</f>
        <v> </v>
      </c>
      <c r="I119" s="5"/>
      <c r="L119" s="7" t="str">
        <f aca="false">IF(F119&lt;&gt;0,F119-K119," ")</f>
        <v> </v>
      </c>
      <c r="M119" s="8" t="str">
        <f aca="false">IF((F119-K119)&lt;&gt;0,M$1-A119," ")</f>
        <v> </v>
      </c>
      <c r="N119" s="5"/>
      <c r="O119" s="17" t="str">
        <f aca="false">IF((E119="s"),H119," ")</f>
        <v> </v>
      </c>
      <c r="P119" s="17" t="str">
        <f aca="false">IF((E119="c"),H119," ")</f>
        <v> </v>
      </c>
      <c r="Q119" s="17" t="str">
        <f aca="false">IF((E119="o"),H119," ")</f>
        <v> </v>
      </c>
      <c r="R119" s="17" t="str">
        <f aca="false">IF((E119="d"),H119," ")</f>
        <v> </v>
      </c>
      <c r="S119" s="17" t="str">
        <f aca="false">IF((E119="w"),H119," ")</f>
        <v> </v>
      </c>
      <c r="T119" s="17" t="str">
        <f aca="false">IF((E119="r"),H119," ")</f>
        <v> </v>
      </c>
      <c r="U119" s="17" t="str">
        <f aca="false">IF((E119="p"),H119," ")</f>
        <v> </v>
      </c>
      <c r="V119" s="17" t="str">
        <f aca="false">IF((E119="t"),H119," ")</f>
        <v> </v>
      </c>
      <c r="W119" s="17" t="str">
        <f aca="false">IF((E119="q"),H119," ")</f>
        <v> </v>
      </c>
      <c r="X119" s="17" t="str">
        <f aca="false">IF((E119="m"),H119," ")</f>
        <v> </v>
      </c>
      <c r="Y119" s="17" t="str">
        <f aca="false">IF((E119="u"),H119," ")</f>
        <v> </v>
      </c>
      <c r="Z119" s="17" t="str">
        <f aca="false">IF((E119="a"),H119," ")</f>
        <v> </v>
      </c>
      <c r="AA119" s="17" t="str">
        <f aca="false">IF((E119="g"),H119," ")</f>
        <v> </v>
      </c>
      <c r="AB119" s="17" t="str">
        <f aca="false">IF((E119="h"),H119," ")</f>
        <v> </v>
      </c>
      <c r="AC119" s="30" t="str">
        <f aca="false">IF((E119="v"),H119," ")</f>
        <v> </v>
      </c>
      <c r="AD119" s="30" t="str">
        <f aca="false">IF((E119="n"),H119," ")</f>
        <v> </v>
      </c>
      <c r="AE119" s="17" t="str">
        <f aca="false">IF((E119="f"),H119," ")</f>
        <v> </v>
      </c>
      <c r="AF119" s="17" t="str">
        <f aca="false">IF((E119="l"),H119," ")</f>
        <v> </v>
      </c>
      <c r="AG119" s="17" t="str">
        <f aca="false">IF((E119="y"),H119," ")</f>
        <v> </v>
      </c>
      <c r="AH119" s="17" t="str">
        <f aca="false">IF((E119="z"),H119," ")</f>
        <v> </v>
      </c>
      <c r="AI119" s="17" t="str">
        <f aca="false">IF((E119="fa"),H119," ")</f>
        <v> </v>
      </c>
      <c r="AJ119" s="17" t="str">
        <f aca="false">IF((E119="e"),H119," ")</f>
        <v> </v>
      </c>
    </row>
    <row r="120" customFormat="false" ht="12" hidden="false" customHeight="false" outlineLevel="0" collapsed="false">
      <c r="A120" s="28"/>
      <c r="E120" s="2" t="str">
        <f aca="false">IF((F120&lt;&gt;0),"Enter Letter"," ")</f>
        <v> </v>
      </c>
      <c r="F120" s="30"/>
      <c r="G120" s="6" t="str">
        <f aca="false">IF(F120&lt;&gt;0,F120*G$2/(100+G$2)," ")</f>
        <v> </v>
      </c>
      <c r="H120" s="6" t="str">
        <f aca="false">IF((F120&lt;&gt;0),F120-G120," ")</f>
        <v> </v>
      </c>
      <c r="I120" s="5"/>
      <c r="L120" s="7" t="str">
        <f aca="false">IF(F120&lt;&gt;0,F120-K120," ")</f>
        <v> </v>
      </c>
      <c r="M120" s="8" t="str">
        <f aca="false">IF((F120-K120)&lt;&gt;0,M$1-A120," ")</f>
        <v> </v>
      </c>
      <c r="N120" s="5"/>
      <c r="O120" s="17" t="str">
        <f aca="false">IF((E120="s"),H120," ")</f>
        <v> </v>
      </c>
      <c r="P120" s="17" t="str">
        <f aca="false">IF((E120="c"),H120," ")</f>
        <v> </v>
      </c>
      <c r="Q120" s="17" t="str">
        <f aca="false">IF((E120="o"),H120," ")</f>
        <v> </v>
      </c>
      <c r="R120" s="17" t="str">
        <f aca="false">IF((E120="d"),H120," ")</f>
        <v> </v>
      </c>
      <c r="S120" s="17" t="str">
        <f aca="false">IF((E120="w"),H120," ")</f>
        <v> </v>
      </c>
      <c r="T120" s="17" t="str">
        <f aca="false">IF((E120="r"),H120," ")</f>
        <v> </v>
      </c>
      <c r="U120" s="17" t="str">
        <f aca="false">IF((E120="p"),H120," ")</f>
        <v> </v>
      </c>
      <c r="V120" s="17" t="str">
        <f aca="false">IF((E120="t"),H120," ")</f>
        <v> </v>
      </c>
      <c r="W120" s="17" t="str">
        <f aca="false">IF((E120="q"),H120," ")</f>
        <v> </v>
      </c>
      <c r="X120" s="17" t="str">
        <f aca="false">IF((E120="m"),H120," ")</f>
        <v> </v>
      </c>
      <c r="Y120" s="17" t="str">
        <f aca="false">IF((E120="u"),H120," ")</f>
        <v> </v>
      </c>
      <c r="Z120" s="17" t="str">
        <f aca="false">IF((E120="a"),H120," ")</f>
        <v> </v>
      </c>
      <c r="AA120" s="17" t="str">
        <f aca="false">IF((E120="g"),H120," ")</f>
        <v> </v>
      </c>
      <c r="AB120" s="17" t="str">
        <f aca="false">IF((E120="h"),H120," ")</f>
        <v> </v>
      </c>
      <c r="AC120" s="30" t="str">
        <f aca="false">IF((E120="v"),H120," ")</f>
        <v> </v>
      </c>
      <c r="AD120" s="30" t="str">
        <f aca="false">IF((E120="n"),H120," ")</f>
        <v> </v>
      </c>
      <c r="AE120" s="17" t="str">
        <f aca="false">IF((E120="f"),H120," ")</f>
        <v> </v>
      </c>
      <c r="AF120" s="17" t="str">
        <f aca="false">IF((E120="l"),H120," ")</f>
        <v> </v>
      </c>
      <c r="AG120" s="17" t="str">
        <f aca="false">IF((E120="y"),H120," ")</f>
        <v> </v>
      </c>
      <c r="AH120" s="17" t="str">
        <f aca="false">IF((E120="z"),H120," ")</f>
        <v> </v>
      </c>
      <c r="AI120" s="17" t="str">
        <f aca="false">IF((E120="fa"),H120," ")</f>
        <v> </v>
      </c>
      <c r="AJ120" s="17" t="str">
        <f aca="false">IF((E120="e"),H120," ")</f>
        <v> </v>
      </c>
    </row>
    <row r="121" customFormat="false" ht="12" hidden="false" customHeight="false" outlineLevel="0" collapsed="false">
      <c r="A121" s="28"/>
      <c r="E121" s="2" t="str">
        <f aca="false">IF((F121&lt;&gt;0),"Enter Letter"," ")</f>
        <v> </v>
      </c>
      <c r="F121" s="30"/>
      <c r="G121" s="6" t="str">
        <f aca="false">IF(F121&lt;&gt;0,F121*G$2/(100+G$2)," ")</f>
        <v> </v>
      </c>
      <c r="H121" s="6" t="str">
        <f aca="false">IF((F121&lt;&gt;0),F121-G121," ")</f>
        <v> </v>
      </c>
      <c r="I121" s="5"/>
      <c r="L121" s="7" t="str">
        <f aca="false">IF(F121&lt;&gt;0,F121-K121," ")</f>
        <v> </v>
      </c>
      <c r="M121" s="8" t="str">
        <f aca="false">IF((F121-K121)&lt;&gt;0,M$1-A121," ")</f>
        <v> </v>
      </c>
      <c r="N121" s="5"/>
      <c r="O121" s="17" t="str">
        <f aca="false">IF((E121="s"),H121," ")</f>
        <v> </v>
      </c>
      <c r="P121" s="17" t="str">
        <f aca="false">IF((E121="c"),H121," ")</f>
        <v> </v>
      </c>
      <c r="Q121" s="17" t="str">
        <f aca="false">IF((E121="o"),H121," ")</f>
        <v> </v>
      </c>
      <c r="R121" s="17" t="str">
        <f aca="false">IF((E121="d"),H121," ")</f>
        <v> </v>
      </c>
      <c r="S121" s="17" t="str">
        <f aca="false">IF((E121="w"),H121," ")</f>
        <v> </v>
      </c>
      <c r="T121" s="17" t="str">
        <f aca="false">IF((E121="r"),H121," ")</f>
        <v> </v>
      </c>
      <c r="U121" s="17" t="str">
        <f aca="false">IF((E121="p"),H121," ")</f>
        <v> </v>
      </c>
      <c r="V121" s="17" t="str">
        <f aca="false">IF((E121="t"),H121," ")</f>
        <v> </v>
      </c>
      <c r="W121" s="17" t="str">
        <f aca="false">IF((E121="q"),H121," ")</f>
        <v> </v>
      </c>
      <c r="X121" s="17" t="str">
        <f aca="false">IF((E121="m"),H121," ")</f>
        <v> </v>
      </c>
      <c r="Y121" s="17" t="str">
        <f aca="false">IF((E121="u"),H121," ")</f>
        <v> </v>
      </c>
      <c r="Z121" s="17" t="str">
        <f aca="false">IF((E121="a"),H121," ")</f>
        <v> </v>
      </c>
      <c r="AA121" s="17" t="str">
        <f aca="false">IF((E121="g"),H121," ")</f>
        <v> </v>
      </c>
      <c r="AB121" s="17" t="str">
        <f aca="false">IF((E121="h"),H121," ")</f>
        <v> </v>
      </c>
      <c r="AC121" s="30" t="str">
        <f aca="false">IF((E121="v"),H121," ")</f>
        <v> </v>
      </c>
      <c r="AD121" s="30" t="str">
        <f aca="false">IF((E121="n"),H121," ")</f>
        <v> </v>
      </c>
      <c r="AE121" s="17" t="str">
        <f aca="false">IF((E121="f"),H121," ")</f>
        <v> </v>
      </c>
      <c r="AF121" s="17" t="str">
        <f aca="false">IF((E121="l"),H121," ")</f>
        <v> </v>
      </c>
      <c r="AG121" s="17" t="str">
        <f aca="false">IF((E121="y"),H121," ")</f>
        <v> </v>
      </c>
      <c r="AH121" s="17" t="str">
        <f aca="false">IF((E121="z"),H121," ")</f>
        <v> </v>
      </c>
      <c r="AI121" s="17" t="str">
        <f aca="false">IF((E121="fa"),H121," ")</f>
        <v> </v>
      </c>
      <c r="AJ121" s="17" t="str">
        <f aca="false">IF((E121="e"),H121," ")</f>
        <v> </v>
      </c>
    </row>
    <row r="122" customFormat="false" ht="12" hidden="false" customHeight="false" outlineLevel="0" collapsed="false">
      <c r="A122" s="28"/>
      <c r="E122" s="2" t="str">
        <f aca="false">IF((F122&lt;&gt;0),"Enter Letter"," ")</f>
        <v> </v>
      </c>
      <c r="F122" s="30"/>
      <c r="G122" s="6" t="str">
        <f aca="false">IF(F122&lt;&gt;0,F122*G$2/(100+G$2)," ")</f>
        <v> </v>
      </c>
      <c r="H122" s="6" t="str">
        <f aca="false">IF((F122&lt;&gt;0),F122-G122," ")</f>
        <v> </v>
      </c>
      <c r="I122" s="5"/>
      <c r="L122" s="7" t="str">
        <f aca="false">IF(F122&lt;&gt;0,F122-K122," ")</f>
        <v> </v>
      </c>
      <c r="M122" s="8" t="str">
        <f aca="false">IF((F122-K122)&lt;&gt;0,M$1-A122," ")</f>
        <v> </v>
      </c>
      <c r="N122" s="5"/>
      <c r="O122" s="17" t="str">
        <f aca="false">IF((E122="s"),H122," ")</f>
        <v> </v>
      </c>
      <c r="P122" s="17" t="str">
        <f aca="false">IF((E122="c"),H122," ")</f>
        <v> </v>
      </c>
      <c r="Q122" s="17" t="str">
        <f aca="false">IF((E122="o"),H122," ")</f>
        <v> </v>
      </c>
      <c r="R122" s="17" t="str">
        <f aca="false">IF((E122="d"),H122," ")</f>
        <v> </v>
      </c>
      <c r="S122" s="17" t="str">
        <f aca="false">IF((E122="w"),H122," ")</f>
        <v> </v>
      </c>
      <c r="T122" s="17" t="str">
        <f aca="false">IF((E122="r"),H122," ")</f>
        <v> </v>
      </c>
      <c r="U122" s="17" t="str">
        <f aca="false">IF((E122="p"),H122," ")</f>
        <v> </v>
      </c>
      <c r="V122" s="17" t="str">
        <f aca="false">IF((E122="t"),H122," ")</f>
        <v> </v>
      </c>
      <c r="W122" s="17" t="str">
        <f aca="false">IF((E122="q"),H122," ")</f>
        <v> </v>
      </c>
      <c r="X122" s="17" t="str">
        <f aca="false">IF((E122="m"),H122," ")</f>
        <v> </v>
      </c>
      <c r="Y122" s="17" t="str">
        <f aca="false">IF((E122="u"),H122," ")</f>
        <v> </v>
      </c>
      <c r="Z122" s="17" t="str">
        <f aca="false">IF((E122="a"),H122," ")</f>
        <v> </v>
      </c>
      <c r="AA122" s="17" t="str">
        <f aca="false">IF((E122="g"),H122," ")</f>
        <v> </v>
      </c>
      <c r="AB122" s="17" t="str">
        <f aca="false">IF((E122="h"),H122," ")</f>
        <v> </v>
      </c>
      <c r="AC122" s="30" t="str">
        <f aca="false">IF((E122="v"),H122," ")</f>
        <v> </v>
      </c>
      <c r="AD122" s="30" t="str">
        <f aca="false">IF((E122="n"),H122," ")</f>
        <v> </v>
      </c>
      <c r="AE122" s="17" t="str">
        <f aca="false">IF((E122="f"),H122," ")</f>
        <v> </v>
      </c>
      <c r="AF122" s="17" t="str">
        <f aca="false">IF((E122="l"),H122," ")</f>
        <v> </v>
      </c>
      <c r="AG122" s="17" t="str">
        <f aca="false">IF((E122="y"),H122," ")</f>
        <v> </v>
      </c>
      <c r="AH122" s="17" t="str">
        <f aca="false">IF((E122="z"),H122," ")</f>
        <v> </v>
      </c>
      <c r="AI122" s="17" t="str">
        <f aca="false">IF((E122="fa"),H122," ")</f>
        <v> </v>
      </c>
      <c r="AJ122" s="17" t="str">
        <f aca="false">IF((E122="e"),H122," ")</f>
        <v> </v>
      </c>
    </row>
    <row r="123" customFormat="false" ht="12" hidden="false" customHeight="false" outlineLevel="0" collapsed="false">
      <c r="A123" s="28"/>
      <c r="E123" s="2" t="str">
        <f aca="false">IF((F123&lt;&gt;0),"Enter Letter"," ")</f>
        <v> </v>
      </c>
      <c r="F123" s="30"/>
      <c r="G123" s="6" t="str">
        <f aca="false">IF(F123&lt;&gt;0,F123*G$2/(100+G$2)," ")</f>
        <v> </v>
      </c>
      <c r="H123" s="6" t="str">
        <f aca="false">IF((F123&lt;&gt;0),F123-G123," ")</f>
        <v> </v>
      </c>
      <c r="I123" s="5"/>
      <c r="L123" s="7" t="str">
        <f aca="false">IF(F123&lt;&gt;0,F123-K123," ")</f>
        <v> </v>
      </c>
      <c r="M123" s="8" t="str">
        <f aca="false">IF((F123-K123)&lt;&gt;0,M$1-A123," ")</f>
        <v> </v>
      </c>
      <c r="N123" s="5"/>
      <c r="O123" s="17" t="str">
        <f aca="false">IF((E123="s"),H123," ")</f>
        <v> </v>
      </c>
      <c r="P123" s="17" t="str">
        <f aca="false">IF((E123="c"),H123," ")</f>
        <v> </v>
      </c>
      <c r="Q123" s="17" t="str">
        <f aca="false">IF((E123="o"),H123," ")</f>
        <v> </v>
      </c>
      <c r="R123" s="17" t="str">
        <f aca="false">IF((E123="d"),H123," ")</f>
        <v> </v>
      </c>
      <c r="S123" s="17" t="str">
        <f aca="false">IF((E123="w"),H123," ")</f>
        <v> </v>
      </c>
      <c r="T123" s="17" t="str">
        <f aca="false">IF((E123="r"),H123," ")</f>
        <v> </v>
      </c>
      <c r="U123" s="17" t="str">
        <f aca="false">IF((E123="p"),H123," ")</f>
        <v> </v>
      </c>
      <c r="V123" s="17" t="str">
        <f aca="false">IF((E123="t"),H123," ")</f>
        <v> </v>
      </c>
      <c r="W123" s="17" t="str">
        <f aca="false">IF((E123="q"),H123," ")</f>
        <v> </v>
      </c>
      <c r="X123" s="17" t="str">
        <f aca="false">IF((E123="m"),H123," ")</f>
        <v> </v>
      </c>
      <c r="Y123" s="17" t="str">
        <f aca="false">IF((E123="u"),H123," ")</f>
        <v> </v>
      </c>
      <c r="Z123" s="17" t="str">
        <f aca="false">IF((E123="a"),H123," ")</f>
        <v> </v>
      </c>
      <c r="AA123" s="17" t="str">
        <f aca="false">IF((E123="g"),H123," ")</f>
        <v> </v>
      </c>
      <c r="AB123" s="17" t="str">
        <f aca="false">IF((E123="h"),H123," ")</f>
        <v> </v>
      </c>
      <c r="AC123" s="30" t="str">
        <f aca="false">IF((E123="v"),H123," ")</f>
        <v> </v>
      </c>
      <c r="AD123" s="30" t="str">
        <f aca="false">IF((E123="n"),H123," ")</f>
        <v> </v>
      </c>
      <c r="AE123" s="17" t="str">
        <f aca="false">IF((E123="f"),H123," ")</f>
        <v> </v>
      </c>
      <c r="AF123" s="17" t="str">
        <f aca="false">IF((E123="l"),H123," ")</f>
        <v> </v>
      </c>
      <c r="AG123" s="17" t="str">
        <f aca="false">IF((E123="y"),H123," ")</f>
        <v> </v>
      </c>
      <c r="AH123" s="17" t="str">
        <f aca="false">IF((E123="z"),H123," ")</f>
        <v> </v>
      </c>
      <c r="AI123" s="17" t="str">
        <f aca="false">IF((E123="fa"),H123," ")</f>
        <v> </v>
      </c>
      <c r="AJ123" s="17" t="str">
        <f aca="false">IF((E123="e"),H123," ")</f>
        <v> </v>
      </c>
    </row>
    <row r="124" customFormat="false" ht="12" hidden="false" customHeight="false" outlineLevel="0" collapsed="false">
      <c r="A124" s="28"/>
      <c r="E124" s="2" t="str">
        <f aca="false">IF((F124&lt;&gt;0),"Enter Letter"," ")</f>
        <v> </v>
      </c>
      <c r="F124" s="30"/>
      <c r="G124" s="6" t="str">
        <f aca="false">IF(F124&lt;&gt;0,F124*G$2/(100+G$2)," ")</f>
        <v> </v>
      </c>
      <c r="H124" s="6" t="str">
        <f aca="false">IF((F124&lt;&gt;0),F124-G124," ")</f>
        <v> </v>
      </c>
      <c r="I124" s="5"/>
      <c r="L124" s="7" t="str">
        <f aca="false">IF(F124&lt;&gt;0,F124-K124," ")</f>
        <v> </v>
      </c>
      <c r="M124" s="8" t="str">
        <f aca="false">IF((F124-K124)&lt;&gt;0,M$1-A124," ")</f>
        <v> </v>
      </c>
      <c r="N124" s="5"/>
      <c r="O124" s="17" t="str">
        <f aca="false">IF((E124="s"),H124," ")</f>
        <v> </v>
      </c>
      <c r="P124" s="17" t="str">
        <f aca="false">IF((E124="c"),H124," ")</f>
        <v> </v>
      </c>
      <c r="Q124" s="17" t="str">
        <f aca="false">IF((E124="o"),H124," ")</f>
        <v> </v>
      </c>
      <c r="R124" s="17" t="str">
        <f aca="false">IF((E124="d"),H124," ")</f>
        <v> </v>
      </c>
      <c r="S124" s="17" t="str">
        <f aca="false">IF((E124="w"),H124," ")</f>
        <v> </v>
      </c>
      <c r="T124" s="17" t="str">
        <f aca="false">IF((E124="r"),H124," ")</f>
        <v> </v>
      </c>
      <c r="U124" s="17" t="str">
        <f aca="false">IF((E124="p"),H124," ")</f>
        <v> </v>
      </c>
      <c r="V124" s="17" t="str">
        <f aca="false">IF((E124="t"),H124," ")</f>
        <v> </v>
      </c>
      <c r="W124" s="17" t="str">
        <f aca="false">IF((E124="q"),H124," ")</f>
        <v> </v>
      </c>
      <c r="X124" s="17" t="str">
        <f aca="false">IF((E124="m"),H124," ")</f>
        <v> </v>
      </c>
      <c r="Y124" s="17" t="str">
        <f aca="false">IF((E124="u"),H124," ")</f>
        <v> </v>
      </c>
      <c r="Z124" s="17" t="str">
        <f aca="false">IF((E124="a"),H124," ")</f>
        <v> </v>
      </c>
      <c r="AA124" s="17" t="str">
        <f aca="false">IF((E124="g"),H124," ")</f>
        <v> </v>
      </c>
      <c r="AB124" s="17" t="str">
        <f aca="false">IF((E124="h"),H124," ")</f>
        <v> </v>
      </c>
      <c r="AC124" s="30" t="str">
        <f aca="false">IF((E124="v"),H124," ")</f>
        <v> </v>
      </c>
      <c r="AD124" s="30" t="str">
        <f aca="false">IF((E124="n"),H124," ")</f>
        <v> </v>
      </c>
      <c r="AE124" s="17" t="str">
        <f aca="false">IF((E124="f"),H124," ")</f>
        <v> </v>
      </c>
      <c r="AF124" s="17" t="str">
        <f aca="false">IF((E124="l"),H124," ")</f>
        <v> </v>
      </c>
      <c r="AG124" s="17" t="str">
        <f aca="false">IF((E124="y"),H124," ")</f>
        <v> </v>
      </c>
      <c r="AH124" s="17" t="str">
        <f aca="false">IF((E124="z"),H124," ")</f>
        <v> </v>
      </c>
      <c r="AI124" s="17" t="str">
        <f aca="false">IF((E124="fa"),H124," ")</f>
        <v> </v>
      </c>
      <c r="AJ124" s="17" t="str">
        <f aca="false">IF((E124="e"),H124," ")</f>
        <v> </v>
      </c>
    </row>
    <row r="125" customFormat="false" ht="12" hidden="false" customHeight="false" outlineLevel="0" collapsed="false">
      <c r="A125" s="28"/>
      <c r="E125" s="2" t="str">
        <f aca="false">IF((F125&lt;&gt;0),"Enter Letter"," ")</f>
        <v> </v>
      </c>
      <c r="F125" s="30"/>
      <c r="G125" s="6" t="str">
        <f aca="false">IF(F125&lt;&gt;0,F125*G$2/(100+G$2)," ")</f>
        <v> </v>
      </c>
      <c r="H125" s="6" t="str">
        <f aca="false">IF((F125&lt;&gt;0),F125-G125," ")</f>
        <v> </v>
      </c>
      <c r="I125" s="5"/>
      <c r="L125" s="7" t="str">
        <f aca="false">IF(F125&lt;&gt;0,F125-K125," ")</f>
        <v> </v>
      </c>
      <c r="M125" s="8" t="str">
        <f aca="false">IF((F125-K125)&lt;&gt;0,M$1-A125," ")</f>
        <v> </v>
      </c>
      <c r="N125" s="5"/>
      <c r="O125" s="17" t="str">
        <f aca="false">IF((E125="s"),H125," ")</f>
        <v> </v>
      </c>
      <c r="P125" s="17" t="str">
        <f aca="false">IF((E125="c"),H125," ")</f>
        <v> </v>
      </c>
      <c r="Q125" s="17" t="str">
        <f aca="false">IF((E125="o"),H125," ")</f>
        <v> </v>
      </c>
      <c r="R125" s="17" t="str">
        <f aca="false">IF((E125="d"),H125," ")</f>
        <v> </v>
      </c>
      <c r="S125" s="17" t="str">
        <f aca="false">IF((E125="w"),H125," ")</f>
        <v> </v>
      </c>
      <c r="T125" s="17" t="str">
        <f aca="false">IF((E125="r"),H125," ")</f>
        <v> </v>
      </c>
      <c r="U125" s="17" t="str">
        <f aca="false">IF((E125="p"),H125," ")</f>
        <v> </v>
      </c>
      <c r="V125" s="17" t="str">
        <f aca="false">IF((E125="t"),H125," ")</f>
        <v> </v>
      </c>
      <c r="W125" s="17" t="str">
        <f aca="false">IF((E125="q"),H125," ")</f>
        <v> </v>
      </c>
      <c r="X125" s="17" t="str">
        <f aca="false">IF((E125="m"),H125," ")</f>
        <v> </v>
      </c>
      <c r="Y125" s="17" t="str">
        <f aca="false">IF((E125="u"),H125," ")</f>
        <v> </v>
      </c>
      <c r="Z125" s="17" t="str">
        <f aca="false">IF((E125="a"),H125," ")</f>
        <v> </v>
      </c>
      <c r="AA125" s="17" t="str">
        <f aca="false">IF((E125="g"),H125," ")</f>
        <v> </v>
      </c>
      <c r="AB125" s="17" t="str">
        <f aca="false">IF((E125="h"),H125," ")</f>
        <v> </v>
      </c>
      <c r="AC125" s="30" t="str">
        <f aca="false">IF((E125="v"),H125," ")</f>
        <v> </v>
      </c>
      <c r="AD125" s="30" t="str">
        <f aca="false">IF((E125="n"),H125," ")</f>
        <v> </v>
      </c>
      <c r="AE125" s="17" t="str">
        <f aca="false">IF((E125="f"),H125," ")</f>
        <v> </v>
      </c>
      <c r="AF125" s="17" t="str">
        <f aca="false">IF((E125="l"),H125," ")</f>
        <v> </v>
      </c>
      <c r="AG125" s="17" t="str">
        <f aca="false">IF((E125="y"),H125," ")</f>
        <v> </v>
      </c>
      <c r="AH125" s="17" t="str">
        <f aca="false">IF((E125="z"),H125," ")</f>
        <v> </v>
      </c>
      <c r="AI125" s="17" t="str">
        <f aca="false">IF((E125="fa"),H125," ")</f>
        <v> </v>
      </c>
      <c r="AJ125" s="17" t="str">
        <f aca="false">IF((E125="e"),H125," ")</f>
        <v> </v>
      </c>
    </row>
    <row r="126" customFormat="false" ht="12" hidden="false" customHeight="false" outlineLevel="0" collapsed="false">
      <c r="A126" s="28"/>
      <c r="E126" s="2" t="str">
        <f aca="false">IF((F126&lt;&gt;0),"Enter Letter"," ")</f>
        <v> </v>
      </c>
      <c r="F126" s="30"/>
      <c r="G126" s="6" t="str">
        <f aca="false">IF(F126&lt;&gt;0,F126*G$2/(100+G$2)," ")</f>
        <v> </v>
      </c>
      <c r="H126" s="6" t="str">
        <f aca="false">IF((F126&lt;&gt;0),F126-G126," ")</f>
        <v> </v>
      </c>
      <c r="I126" s="5"/>
      <c r="L126" s="7" t="str">
        <f aca="false">IF(F126&lt;&gt;0,F126-K126," ")</f>
        <v> </v>
      </c>
      <c r="M126" s="8" t="str">
        <f aca="false">IF((F126-K126)&lt;&gt;0,M$1-A126," ")</f>
        <v> </v>
      </c>
      <c r="N126" s="5"/>
      <c r="O126" s="17" t="str">
        <f aca="false">IF((E126="s"),H126," ")</f>
        <v> </v>
      </c>
      <c r="P126" s="17" t="str">
        <f aca="false">IF((E126="c"),H126," ")</f>
        <v> </v>
      </c>
      <c r="Q126" s="17" t="str">
        <f aca="false">IF((E126="o"),H126," ")</f>
        <v> </v>
      </c>
      <c r="R126" s="17" t="str">
        <f aca="false">IF((E126="d"),H126," ")</f>
        <v> </v>
      </c>
      <c r="S126" s="17" t="str">
        <f aca="false">IF((E126="w"),H126," ")</f>
        <v> </v>
      </c>
      <c r="T126" s="17" t="str">
        <f aca="false">IF((E126="r"),H126," ")</f>
        <v> </v>
      </c>
      <c r="U126" s="17" t="str">
        <f aca="false">IF((E126="p"),H126," ")</f>
        <v> </v>
      </c>
      <c r="V126" s="17" t="str">
        <f aca="false">IF((E126="t"),H126," ")</f>
        <v> </v>
      </c>
      <c r="W126" s="17" t="str">
        <f aca="false">IF((E126="q"),H126," ")</f>
        <v> </v>
      </c>
      <c r="X126" s="17" t="str">
        <f aca="false">IF((E126="m"),H126," ")</f>
        <v> </v>
      </c>
      <c r="Y126" s="17" t="str">
        <f aca="false">IF((E126="u"),H126," ")</f>
        <v> </v>
      </c>
      <c r="Z126" s="17" t="str">
        <f aca="false">IF((E126="a"),H126," ")</f>
        <v> </v>
      </c>
      <c r="AA126" s="17" t="str">
        <f aca="false">IF((E126="g"),H126," ")</f>
        <v> </v>
      </c>
      <c r="AB126" s="17" t="str">
        <f aca="false">IF((E126="h"),H126," ")</f>
        <v> </v>
      </c>
      <c r="AC126" s="30" t="str">
        <f aca="false">IF((E126="v"),H126," ")</f>
        <v> </v>
      </c>
      <c r="AD126" s="30" t="str">
        <f aca="false">IF((E126="n"),H126," ")</f>
        <v> </v>
      </c>
      <c r="AE126" s="17" t="str">
        <f aca="false">IF((E126="f"),H126," ")</f>
        <v> </v>
      </c>
      <c r="AF126" s="17" t="str">
        <f aca="false">IF((E126="l"),H126," ")</f>
        <v> </v>
      </c>
      <c r="AG126" s="17" t="str">
        <f aca="false">IF((E126="y"),H126," ")</f>
        <v> </v>
      </c>
      <c r="AH126" s="17" t="str">
        <f aca="false">IF((E126="z"),H126," ")</f>
        <v> </v>
      </c>
      <c r="AI126" s="17" t="str">
        <f aca="false">IF((E126="fa"),H126," ")</f>
        <v> </v>
      </c>
      <c r="AJ126" s="17" t="str">
        <f aca="false">IF((E126="e"),H126," ")</f>
        <v> </v>
      </c>
    </row>
    <row r="127" customFormat="false" ht="12" hidden="false" customHeight="false" outlineLevel="0" collapsed="false">
      <c r="A127" s="28"/>
      <c r="E127" s="2" t="str">
        <f aca="false">IF((F127&lt;&gt;0),"Enter Letter"," ")</f>
        <v> </v>
      </c>
      <c r="F127" s="30"/>
      <c r="G127" s="6" t="str">
        <f aca="false">IF(F127&lt;&gt;0,F127*G$2/(100+G$2)," ")</f>
        <v> </v>
      </c>
      <c r="H127" s="6" t="str">
        <f aca="false">IF((F127&lt;&gt;0),F127-G127," ")</f>
        <v> </v>
      </c>
      <c r="I127" s="5"/>
      <c r="L127" s="7" t="str">
        <f aca="false">IF(F127&lt;&gt;0,F127-K127," ")</f>
        <v> </v>
      </c>
      <c r="M127" s="8" t="str">
        <f aca="false">IF((F127-K127)&lt;&gt;0,M$1-A127," ")</f>
        <v> </v>
      </c>
      <c r="N127" s="5"/>
      <c r="O127" s="17" t="str">
        <f aca="false">IF((E127="s"),H127," ")</f>
        <v> </v>
      </c>
      <c r="P127" s="17" t="str">
        <f aca="false">IF((E127="c"),H127," ")</f>
        <v> </v>
      </c>
      <c r="Q127" s="17" t="str">
        <f aca="false">IF((E127="o"),H127," ")</f>
        <v> </v>
      </c>
      <c r="R127" s="17" t="str">
        <f aca="false">IF((E127="d"),H127," ")</f>
        <v> </v>
      </c>
      <c r="S127" s="17" t="str">
        <f aca="false">IF((E127="w"),H127," ")</f>
        <v> </v>
      </c>
      <c r="T127" s="17" t="str">
        <f aca="false">IF((E127="r"),H127," ")</f>
        <v> </v>
      </c>
      <c r="U127" s="17" t="str">
        <f aca="false">IF((E127="p"),H127," ")</f>
        <v> </v>
      </c>
      <c r="V127" s="17" t="str">
        <f aca="false">IF((E127="t"),H127," ")</f>
        <v> </v>
      </c>
      <c r="W127" s="17" t="str">
        <f aca="false">IF((E127="q"),H127," ")</f>
        <v> </v>
      </c>
      <c r="X127" s="17" t="str">
        <f aca="false">IF((E127="m"),H127," ")</f>
        <v> </v>
      </c>
      <c r="Y127" s="17" t="str">
        <f aca="false">IF((E127="u"),H127," ")</f>
        <v> </v>
      </c>
      <c r="Z127" s="17" t="str">
        <f aca="false">IF((E127="a"),H127," ")</f>
        <v> </v>
      </c>
      <c r="AA127" s="17" t="str">
        <f aca="false">IF((E127="g"),H127," ")</f>
        <v> </v>
      </c>
      <c r="AB127" s="17" t="str">
        <f aca="false">IF((E127="h"),H127," ")</f>
        <v> </v>
      </c>
      <c r="AC127" s="30" t="str">
        <f aca="false">IF((E127="v"),H127," ")</f>
        <v> </v>
      </c>
      <c r="AD127" s="30" t="str">
        <f aca="false">IF((E127="n"),H127," ")</f>
        <v> </v>
      </c>
      <c r="AE127" s="17" t="str">
        <f aca="false">IF((E127="f"),H127," ")</f>
        <v> </v>
      </c>
      <c r="AF127" s="17" t="str">
        <f aca="false">IF((E127="l"),H127," ")</f>
        <v> </v>
      </c>
      <c r="AG127" s="17" t="str">
        <f aca="false">IF((E127="y"),H127," ")</f>
        <v> </v>
      </c>
      <c r="AH127" s="17" t="str">
        <f aca="false">IF((E127="z"),H127," ")</f>
        <v> </v>
      </c>
      <c r="AI127" s="17" t="str">
        <f aca="false">IF((E127="fa"),H127," ")</f>
        <v> </v>
      </c>
      <c r="AJ127" s="17" t="str">
        <f aca="false">IF((E127="e"),H127," ")</f>
        <v> </v>
      </c>
    </row>
    <row r="128" customFormat="false" ht="12" hidden="false" customHeight="false" outlineLevel="0" collapsed="false">
      <c r="A128" s="28"/>
      <c r="E128" s="2" t="str">
        <f aca="false">IF((F128&lt;&gt;0),"Enter Letter"," ")</f>
        <v> </v>
      </c>
      <c r="F128" s="30"/>
      <c r="G128" s="6" t="str">
        <f aca="false">IF(F128&lt;&gt;0,F128*G$2/(100+G$2)," ")</f>
        <v> </v>
      </c>
      <c r="H128" s="6" t="str">
        <f aca="false">IF((F128&lt;&gt;0),F128-G128," ")</f>
        <v> </v>
      </c>
      <c r="I128" s="5"/>
      <c r="L128" s="7" t="str">
        <f aca="false">IF(F128&lt;&gt;0,F128-K128," ")</f>
        <v> </v>
      </c>
      <c r="M128" s="8" t="str">
        <f aca="false">IF((F128-K128)&lt;&gt;0,M$1-A128," ")</f>
        <v> </v>
      </c>
      <c r="N128" s="5"/>
      <c r="O128" s="17" t="str">
        <f aca="false">IF((E128="s"),H128," ")</f>
        <v> </v>
      </c>
      <c r="P128" s="17" t="str">
        <f aca="false">IF((E128="c"),H128," ")</f>
        <v> </v>
      </c>
      <c r="Q128" s="17" t="str">
        <f aca="false">IF((E128="o"),H128," ")</f>
        <v> </v>
      </c>
      <c r="R128" s="17" t="str">
        <f aca="false">IF((E128="d"),H128," ")</f>
        <v> </v>
      </c>
      <c r="S128" s="17" t="str">
        <f aca="false">IF((E128="w"),H128," ")</f>
        <v> </v>
      </c>
      <c r="T128" s="17" t="str">
        <f aca="false">IF((E128="r"),H128," ")</f>
        <v> </v>
      </c>
      <c r="U128" s="17" t="str">
        <f aca="false">IF((E128="p"),H128," ")</f>
        <v> </v>
      </c>
      <c r="V128" s="17" t="str">
        <f aca="false">IF((E128="t"),H128," ")</f>
        <v> </v>
      </c>
      <c r="W128" s="17" t="str">
        <f aca="false">IF((E128="q"),H128," ")</f>
        <v> </v>
      </c>
      <c r="X128" s="17" t="str">
        <f aca="false">IF((E128="m"),H128," ")</f>
        <v> </v>
      </c>
      <c r="Y128" s="17" t="str">
        <f aca="false">IF((E128="u"),H128," ")</f>
        <v> </v>
      </c>
      <c r="Z128" s="17" t="str">
        <f aca="false">IF((E128="a"),H128," ")</f>
        <v> </v>
      </c>
      <c r="AA128" s="17" t="str">
        <f aca="false">IF((E128="g"),H128," ")</f>
        <v> </v>
      </c>
      <c r="AB128" s="17" t="str">
        <f aca="false">IF((E128="h"),H128," ")</f>
        <v> </v>
      </c>
      <c r="AC128" s="30" t="str">
        <f aca="false">IF((E128="v"),H128," ")</f>
        <v> </v>
      </c>
      <c r="AD128" s="30" t="str">
        <f aca="false">IF((E128="n"),H128," ")</f>
        <v> </v>
      </c>
      <c r="AE128" s="17" t="str">
        <f aca="false">IF((E128="f"),H128," ")</f>
        <v> </v>
      </c>
      <c r="AF128" s="17" t="str">
        <f aca="false">IF((E128="l"),H128," ")</f>
        <v> </v>
      </c>
      <c r="AG128" s="17" t="str">
        <f aca="false">IF((E128="y"),H128," ")</f>
        <v> </v>
      </c>
      <c r="AH128" s="17" t="str">
        <f aca="false">IF((E128="z"),H128," ")</f>
        <v> </v>
      </c>
      <c r="AI128" s="17" t="str">
        <f aca="false">IF((E128="fa"),H128," ")</f>
        <v> </v>
      </c>
      <c r="AJ128" s="17" t="str">
        <f aca="false">IF((E128="e"),H128," ")</f>
        <v> </v>
      </c>
    </row>
    <row r="129" customFormat="false" ht="12" hidden="false" customHeight="false" outlineLevel="0" collapsed="false">
      <c r="A129" s="28"/>
      <c r="E129" s="2" t="str">
        <f aca="false">IF((F129&lt;&gt;0),"Enter Letter"," ")</f>
        <v> </v>
      </c>
      <c r="F129" s="30"/>
      <c r="G129" s="6" t="str">
        <f aca="false">IF(F129&lt;&gt;0,F129*G$2/(100+G$2)," ")</f>
        <v> </v>
      </c>
      <c r="H129" s="6" t="str">
        <f aca="false">IF((F129&lt;&gt;0),F129-G129," ")</f>
        <v> </v>
      </c>
      <c r="I129" s="5"/>
      <c r="L129" s="7" t="str">
        <f aca="false">IF(F129&lt;&gt;0,F129-K129," ")</f>
        <v> </v>
      </c>
      <c r="M129" s="8" t="str">
        <f aca="false">IF((F129-K129)&lt;&gt;0,M$1-A129," ")</f>
        <v> </v>
      </c>
      <c r="N129" s="5"/>
      <c r="O129" s="17" t="str">
        <f aca="false">IF((E129="s"),H129," ")</f>
        <v> </v>
      </c>
      <c r="P129" s="17" t="str">
        <f aca="false">IF((E129="c"),H129," ")</f>
        <v> </v>
      </c>
      <c r="Q129" s="17" t="str">
        <f aca="false">IF((E129="o"),H129," ")</f>
        <v> </v>
      </c>
      <c r="R129" s="17" t="str">
        <f aca="false">IF((E129="d"),H129," ")</f>
        <v> </v>
      </c>
      <c r="S129" s="17" t="str">
        <f aca="false">IF((E129="w"),H129," ")</f>
        <v> </v>
      </c>
      <c r="T129" s="17" t="str">
        <f aca="false">IF((E129="r"),H129," ")</f>
        <v> </v>
      </c>
      <c r="U129" s="17" t="str">
        <f aca="false">IF((E129="p"),H129," ")</f>
        <v> </v>
      </c>
      <c r="V129" s="17" t="str">
        <f aca="false">IF((E129="t"),H129," ")</f>
        <v> </v>
      </c>
      <c r="W129" s="17" t="str">
        <f aca="false">IF((E129="q"),H129," ")</f>
        <v> </v>
      </c>
      <c r="X129" s="17" t="str">
        <f aca="false">IF((E129="m"),H129," ")</f>
        <v> </v>
      </c>
      <c r="Y129" s="17" t="str">
        <f aca="false">IF((E129="u"),H129," ")</f>
        <v> </v>
      </c>
      <c r="Z129" s="17" t="str">
        <f aca="false">IF((E129="a"),H129," ")</f>
        <v> </v>
      </c>
      <c r="AA129" s="17" t="str">
        <f aca="false">IF((E129="g"),H129," ")</f>
        <v> </v>
      </c>
      <c r="AB129" s="17" t="str">
        <f aca="false">IF((E129="h"),H129," ")</f>
        <v> </v>
      </c>
      <c r="AC129" s="30" t="str">
        <f aca="false">IF((E129="v"),H129," ")</f>
        <v> </v>
      </c>
      <c r="AD129" s="30" t="str">
        <f aca="false">IF((E129="n"),H129," ")</f>
        <v> </v>
      </c>
      <c r="AE129" s="17" t="str">
        <f aca="false">IF((E129="f"),H129," ")</f>
        <v> </v>
      </c>
      <c r="AF129" s="17" t="str">
        <f aca="false">IF((E129="l"),H129," ")</f>
        <v> </v>
      </c>
      <c r="AG129" s="17" t="str">
        <f aca="false">IF((E129="y"),H129," ")</f>
        <v> </v>
      </c>
      <c r="AH129" s="17" t="str">
        <f aca="false">IF((E129="z"),H129," ")</f>
        <v> </v>
      </c>
      <c r="AI129" s="17" t="str">
        <f aca="false">IF((E129="fa"),H129," ")</f>
        <v> </v>
      </c>
      <c r="AJ129" s="17" t="str">
        <f aca="false">IF((E129="e"),H129," ")</f>
        <v> </v>
      </c>
    </row>
    <row r="130" customFormat="false" ht="12" hidden="false" customHeight="false" outlineLevel="0" collapsed="false">
      <c r="A130" s="28"/>
      <c r="E130" s="2" t="str">
        <f aca="false">IF((F130&lt;&gt;0),"Enter Letter"," ")</f>
        <v> </v>
      </c>
      <c r="F130" s="30"/>
      <c r="G130" s="6" t="str">
        <f aca="false">IF(F130&lt;&gt;0,F130*G$2/(100+G$2)," ")</f>
        <v> </v>
      </c>
      <c r="H130" s="6" t="str">
        <f aca="false">IF((F130&lt;&gt;0),F130-G130," ")</f>
        <v> </v>
      </c>
      <c r="I130" s="5"/>
      <c r="L130" s="7" t="str">
        <f aca="false">IF(F130&lt;&gt;0,F130-K130," ")</f>
        <v> </v>
      </c>
      <c r="M130" s="8" t="str">
        <f aca="false">IF((F130-K130)&lt;&gt;0,M$1-A130," ")</f>
        <v> </v>
      </c>
      <c r="N130" s="5"/>
      <c r="O130" s="17" t="str">
        <f aca="false">IF((E130="s"),H130," ")</f>
        <v> </v>
      </c>
      <c r="P130" s="17" t="str">
        <f aca="false">IF((E130="c"),H130," ")</f>
        <v> </v>
      </c>
      <c r="Q130" s="17" t="str">
        <f aca="false">IF((E130="o"),H130," ")</f>
        <v> </v>
      </c>
      <c r="R130" s="17" t="str">
        <f aca="false">IF((E130="d"),H130," ")</f>
        <v> </v>
      </c>
      <c r="S130" s="17" t="str">
        <f aca="false">IF((E130="w"),H130," ")</f>
        <v> </v>
      </c>
      <c r="T130" s="17" t="str">
        <f aca="false">IF((E130="r"),H130," ")</f>
        <v> </v>
      </c>
      <c r="U130" s="17" t="str">
        <f aca="false">IF((E130="p"),H130," ")</f>
        <v> </v>
      </c>
      <c r="V130" s="17" t="str">
        <f aca="false">IF((E130="t"),H130," ")</f>
        <v> </v>
      </c>
      <c r="W130" s="17" t="str">
        <f aca="false">IF((E130="q"),H130," ")</f>
        <v> </v>
      </c>
      <c r="X130" s="17" t="str">
        <f aca="false">IF((E130="m"),H130," ")</f>
        <v> </v>
      </c>
      <c r="Y130" s="17" t="str">
        <f aca="false">IF((E130="u"),H130," ")</f>
        <v> </v>
      </c>
      <c r="Z130" s="17" t="str">
        <f aca="false">IF((E130="a"),H130," ")</f>
        <v> </v>
      </c>
      <c r="AA130" s="17" t="str">
        <f aca="false">IF((E130="g"),H130," ")</f>
        <v> </v>
      </c>
      <c r="AB130" s="17" t="str">
        <f aca="false">IF((E130="h"),H130," ")</f>
        <v> </v>
      </c>
      <c r="AC130" s="30" t="str">
        <f aca="false">IF((E130="v"),H130," ")</f>
        <v> </v>
      </c>
      <c r="AD130" s="30" t="str">
        <f aca="false">IF((E130="n"),H130," ")</f>
        <v> </v>
      </c>
      <c r="AE130" s="17" t="str">
        <f aca="false">IF((E130="f"),H130," ")</f>
        <v> </v>
      </c>
      <c r="AF130" s="17" t="str">
        <f aca="false">IF((E130="l"),H130," ")</f>
        <v> </v>
      </c>
      <c r="AG130" s="17" t="str">
        <f aca="false">IF((E130="y"),H130," ")</f>
        <v> </v>
      </c>
      <c r="AH130" s="17" t="str">
        <f aca="false">IF((E130="z"),H130," ")</f>
        <v> </v>
      </c>
      <c r="AI130" s="17" t="str">
        <f aca="false">IF((E130="fa"),H130," ")</f>
        <v> </v>
      </c>
      <c r="AJ130" s="17" t="str">
        <f aca="false">IF((E130="e"),H130," ")</f>
        <v> </v>
      </c>
    </row>
    <row r="131" customFormat="false" ht="12" hidden="false" customHeight="false" outlineLevel="0" collapsed="false">
      <c r="A131" s="28"/>
      <c r="E131" s="2" t="str">
        <f aca="false">IF((F131&lt;&gt;0),"Enter Letter"," ")</f>
        <v> </v>
      </c>
      <c r="F131" s="30"/>
      <c r="G131" s="6" t="str">
        <f aca="false">IF(F131&lt;&gt;0,F131*G$2/(100+G$2)," ")</f>
        <v> </v>
      </c>
      <c r="H131" s="6" t="str">
        <f aca="false">IF((F131&lt;&gt;0),F131-G131," ")</f>
        <v> </v>
      </c>
      <c r="I131" s="5"/>
      <c r="L131" s="7" t="str">
        <f aca="false">IF(F131&lt;&gt;0,F131-K131," ")</f>
        <v> </v>
      </c>
      <c r="M131" s="8" t="str">
        <f aca="false">IF((F131-K131)&lt;&gt;0,M$1-A131," ")</f>
        <v> </v>
      </c>
      <c r="N131" s="5"/>
      <c r="O131" s="17" t="str">
        <f aca="false">IF((E131="s"),H131," ")</f>
        <v> </v>
      </c>
      <c r="P131" s="17" t="str">
        <f aca="false">IF((E131="c"),H131," ")</f>
        <v> </v>
      </c>
      <c r="Q131" s="17" t="str">
        <f aca="false">IF((E131="o"),H131," ")</f>
        <v> </v>
      </c>
      <c r="R131" s="17" t="str">
        <f aca="false">IF((E131="d"),H131," ")</f>
        <v> </v>
      </c>
      <c r="S131" s="17" t="str">
        <f aca="false">IF((E131="w"),H131," ")</f>
        <v> </v>
      </c>
      <c r="T131" s="17" t="str">
        <f aca="false">IF((E131="r"),H131," ")</f>
        <v> </v>
      </c>
      <c r="U131" s="17" t="str">
        <f aca="false">IF((E131="p"),H131," ")</f>
        <v> </v>
      </c>
      <c r="V131" s="17" t="str">
        <f aca="false">IF((E131="t"),H131," ")</f>
        <v> </v>
      </c>
      <c r="W131" s="17" t="str">
        <f aca="false">IF((E131="q"),H131," ")</f>
        <v> </v>
      </c>
      <c r="X131" s="17" t="str">
        <f aca="false">IF((E131="m"),H131," ")</f>
        <v> </v>
      </c>
      <c r="Y131" s="17" t="str">
        <f aca="false">IF((E131="u"),H131," ")</f>
        <v> </v>
      </c>
      <c r="Z131" s="17" t="str">
        <f aca="false">IF((E131="a"),H131," ")</f>
        <v> </v>
      </c>
      <c r="AA131" s="17" t="str">
        <f aca="false">IF((E131="g"),H131," ")</f>
        <v> </v>
      </c>
      <c r="AB131" s="17" t="str">
        <f aca="false">IF((E131="h"),H131," ")</f>
        <v> </v>
      </c>
      <c r="AC131" s="30" t="str">
        <f aca="false">IF((E131="v"),H131," ")</f>
        <v> </v>
      </c>
      <c r="AD131" s="30" t="str">
        <f aca="false">IF((E131="n"),H131," ")</f>
        <v> </v>
      </c>
      <c r="AE131" s="17" t="str">
        <f aca="false">IF((E131="f"),H131," ")</f>
        <v> </v>
      </c>
      <c r="AF131" s="17" t="str">
        <f aca="false">IF((E131="l"),H131," ")</f>
        <v> </v>
      </c>
      <c r="AG131" s="17" t="str">
        <f aca="false">IF((E131="y"),H131," ")</f>
        <v> </v>
      </c>
      <c r="AH131" s="17" t="str">
        <f aca="false">IF((E131="z"),H131," ")</f>
        <v> </v>
      </c>
      <c r="AI131" s="17" t="str">
        <f aca="false">IF((E131="fa"),H131," ")</f>
        <v> </v>
      </c>
      <c r="AJ131" s="17" t="str">
        <f aca="false">IF((E131="e"),H131," ")</f>
        <v> </v>
      </c>
    </row>
    <row r="132" customFormat="false" ht="12" hidden="false" customHeight="false" outlineLevel="0" collapsed="false">
      <c r="A132" s="28"/>
      <c r="E132" s="2" t="str">
        <f aca="false">IF((F132&lt;&gt;0),"Enter Letter"," ")</f>
        <v> </v>
      </c>
      <c r="F132" s="30"/>
      <c r="G132" s="6" t="str">
        <f aca="false">IF(F132&lt;&gt;0,F132*G$2/(100+G$2)," ")</f>
        <v> </v>
      </c>
      <c r="H132" s="6" t="str">
        <f aca="false">IF((F132&lt;&gt;0),F132-G132," ")</f>
        <v> </v>
      </c>
      <c r="I132" s="5"/>
      <c r="L132" s="7" t="str">
        <f aca="false">IF(F132&lt;&gt;0,F132-K132," ")</f>
        <v> </v>
      </c>
      <c r="M132" s="8" t="str">
        <f aca="false">IF((F132-K132)&lt;&gt;0,M$1-A132," ")</f>
        <v> </v>
      </c>
      <c r="N132" s="5"/>
      <c r="O132" s="17" t="str">
        <f aca="false">IF((E132="s"),H132," ")</f>
        <v> </v>
      </c>
      <c r="P132" s="17" t="str">
        <f aca="false">IF((E132="c"),H132," ")</f>
        <v> </v>
      </c>
      <c r="Q132" s="17" t="str">
        <f aca="false">IF((E132="o"),H132," ")</f>
        <v> </v>
      </c>
      <c r="R132" s="17" t="str">
        <f aca="false">IF((E132="d"),H132," ")</f>
        <v> </v>
      </c>
      <c r="S132" s="17" t="str">
        <f aca="false">IF((E132="w"),H132," ")</f>
        <v> </v>
      </c>
      <c r="T132" s="17" t="str">
        <f aca="false">IF((E132="r"),H132," ")</f>
        <v> </v>
      </c>
      <c r="U132" s="17" t="str">
        <f aca="false">IF((E132="p"),H132," ")</f>
        <v> </v>
      </c>
      <c r="V132" s="17" t="str">
        <f aca="false">IF((E132="t"),H132," ")</f>
        <v> </v>
      </c>
      <c r="W132" s="17" t="str">
        <f aca="false">IF((E132="q"),H132," ")</f>
        <v> </v>
      </c>
      <c r="X132" s="17" t="str">
        <f aca="false">IF((E132="m"),H132," ")</f>
        <v> </v>
      </c>
      <c r="Y132" s="17" t="str">
        <f aca="false">IF((E132="u"),H132," ")</f>
        <v> </v>
      </c>
      <c r="Z132" s="17" t="str">
        <f aca="false">IF((E132="a"),H132," ")</f>
        <v> </v>
      </c>
      <c r="AA132" s="17" t="str">
        <f aca="false">IF((E132="g"),H132," ")</f>
        <v> </v>
      </c>
      <c r="AB132" s="17" t="str">
        <f aca="false">IF((E132="h"),H132," ")</f>
        <v> </v>
      </c>
      <c r="AC132" s="30" t="str">
        <f aca="false">IF((E132="v"),H132," ")</f>
        <v> </v>
      </c>
      <c r="AD132" s="30" t="str">
        <f aca="false">IF((E132="n"),H132," ")</f>
        <v> </v>
      </c>
      <c r="AE132" s="17" t="str">
        <f aca="false">IF((E132="f"),H132," ")</f>
        <v> </v>
      </c>
      <c r="AF132" s="17" t="str">
        <f aca="false">IF((E132="l"),H132," ")</f>
        <v> </v>
      </c>
      <c r="AG132" s="17" t="str">
        <f aca="false">IF((E132="y"),H132," ")</f>
        <v> </v>
      </c>
      <c r="AH132" s="17" t="str">
        <f aca="false">IF((E132="z"),H132," ")</f>
        <v> </v>
      </c>
      <c r="AI132" s="17" t="str">
        <f aca="false">IF((E132="fa"),H132," ")</f>
        <v> </v>
      </c>
      <c r="AJ132" s="17" t="str">
        <f aca="false">IF((E132="e"),H132," ")</f>
        <v> </v>
      </c>
    </row>
    <row r="133" customFormat="false" ht="12" hidden="false" customHeight="false" outlineLevel="0" collapsed="false">
      <c r="A133" s="28"/>
      <c r="E133" s="2" t="str">
        <f aca="false">IF((F133&lt;&gt;0),"Enter Letter"," ")</f>
        <v> </v>
      </c>
      <c r="F133" s="30"/>
      <c r="G133" s="6" t="str">
        <f aca="false">IF(F133&lt;&gt;0,F133*G$2/(100+G$2)," ")</f>
        <v> </v>
      </c>
      <c r="H133" s="6" t="str">
        <f aca="false">IF((F133&lt;&gt;0),F133-G133," ")</f>
        <v> </v>
      </c>
      <c r="I133" s="5"/>
      <c r="L133" s="7" t="str">
        <f aca="false">IF(F133&lt;&gt;0,F133-K133," ")</f>
        <v> </v>
      </c>
      <c r="M133" s="8" t="str">
        <f aca="false">IF((F133-K133)&lt;&gt;0,M$1-A133," ")</f>
        <v> </v>
      </c>
      <c r="N133" s="5"/>
      <c r="O133" s="17" t="str">
        <f aca="false">IF((E133="s"),H133," ")</f>
        <v> </v>
      </c>
      <c r="P133" s="17" t="str">
        <f aca="false">IF((E133="c"),H133," ")</f>
        <v> </v>
      </c>
      <c r="Q133" s="17" t="str">
        <f aca="false">IF((E133="o"),H133," ")</f>
        <v> </v>
      </c>
      <c r="R133" s="17" t="str">
        <f aca="false">IF((E133="d"),H133," ")</f>
        <v> </v>
      </c>
      <c r="S133" s="17" t="str">
        <f aca="false">IF((E133="w"),H133," ")</f>
        <v> </v>
      </c>
      <c r="T133" s="17" t="str">
        <f aca="false">IF((E133="r"),H133," ")</f>
        <v> </v>
      </c>
      <c r="U133" s="17" t="str">
        <f aca="false">IF((E133="p"),H133," ")</f>
        <v> </v>
      </c>
      <c r="V133" s="17" t="str">
        <f aca="false">IF((E133="t"),H133," ")</f>
        <v> </v>
      </c>
      <c r="W133" s="17" t="str">
        <f aca="false">IF((E133="q"),H133," ")</f>
        <v> </v>
      </c>
      <c r="X133" s="17" t="str">
        <f aca="false">IF((E133="m"),H133," ")</f>
        <v> </v>
      </c>
      <c r="Y133" s="17" t="str">
        <f aca="false">IF((E133="u"),H133," ")</f>
        <v> </v>
      </c>
      <c r="Z133" s="17" t="str">
        <f aca="false">IF((E133="a"),H133," ")</f>
        <v> </v>
      </c>
      <c r="AA133" s="17" t="str">
        <f aca="false">IF((E133="g"),H133," ")</f>
        <v> </v>
      </c>
      <c r="AB133" s="17" t="str">
        <f aca="false">IF((E133="h"),H133," ")</f>
        <v> </v>
      </c>
      <c r="AC133" s="30" t="str">
        <f aca="false">IF((E133="v"),H133," ")</f>
        <v> </v>
      </c>
      <c r="AD133" s="30" t="str">
        <f aca="false">IF((E133="n"),H133," ")</f>
        <v> </v>
      </c>
      <c r="AE133" s="17" t="str">
        <f aca="false">IF((E133="f"),H133," ")</f>
        <v> </v>
      </c>
      <c r="AF133" s="17" t="str">
        <f aca="false">IF((E133="l"),H133," ")</f>
        <v> </v>
      </c>
      <c r="AG133" s="17" t="str">
        <f aca="false">IF((E133="y"),H133," ")</f>
        <v> </v>
      </c>
      <c r="AH133" s="17" t="str">
        <f aca="false">IF((E133="z"),H133," ")</f>
        <v> </v>
      </c>
      <c r="AI133" s="17" t="str">
        <f aca="false">IF((E133="fa"),H133," ")</f>
        <v> </v>
      </c>
      <c r="AJ133" s="17" t="str">
        <f aca="false">IF((E133="e"),H133," ")</f>
        <v> </v>
      </c>
    </row>
    <row r="134" customFormat="false" ht="12" hidden="false" customHeight="false" outlineLevel="0" collapsed="false">
      <c r="A134" s="28"/>
      <c r="E134" s="2" t="str">
        <f aca="false">IF((F134&lt;&gt;0),"Enter Letter"," ")</f>
        <v> </v>
      </c>
      <c r="F134" s="30"/>
      <c r="G134" s="6" t="str">
        <f aca="false">IF(F134&lt;&gt;0,F134*G$2/(100+G$2)," ")</f>
        <v> </v>
      </c>
      <c r="H134" s="6" t="str">
        <f aca="false">IF((F134&lt;&gt;0),F134-G134," ")</f>
        <v> </v>
      </c>
      <c r="I134" s="5"/>
      <c r="L134" s="7" t="str">
        <f aca="false">IF(F134&lt;&gt;0,F134-K134," ")</f>
        <v> </v>
      </c>
      <c r="M134" s="8" t="str">
        <f aca="false">IF((F134-K134)&lt;&gt;0,M$1-A134," ")</f>
        <v> </v>
      </c>
      <c r="N134" s="5"/>
      <c r="O134" s="17" t="str">
        <f aca="false">IF((E134="s"),H134," ")</f>
        <v> </v>
      </c>
      <c r="P134" s="17" t="str">
        <f aca="false">IF((E134="c"),H134," ")</f>
        <v> </v>
      </c>
      <c r="Q134" s="17" t="str">
        <f aca="false">IF((E134="o"),H134," ")</f>
        <v> </v>
      </c>
      <c r="R134" s="17" t="str">
        <f aca="false">IF((E134="d"),H134," ")</f>
        <v> </v>
      </c>
      <c r="S134" s="17" t="str">
        <f aca="false">IF((E134="w"),H134," ")</f>
        <v> </v>
      </c>
      <c r="T134" s="17" t="str">
        <f aca="false">IF((E134="r"),H134," ")</f>
        <v> </v>
      </c>
      <c r="U134" s="17" t="str">
        <f aca="false">IF((E134="p"),H134," ")</f>
        <v> </v>
      </c>
      <c r="V134" s="17" t="str">
        <f aca="false">IF((E134="t"),H134," ")</f>
        <v> </v>
      </c>
      <c r="W134" s="17" t="str">
        <f aca="false">IF((E134="q"),H134," ")</f>
        <v> </v>
      </c>
      <c r="X134" s="17" t="str">
        <f aca="false">IF((E134="m"),H134," ")</f>
        <v> </v>
      </c>
      <c r="Y134" s="17" t="str">
        <f aca="false">IF((E134="u"),H134," ")</f>
        <v> </v>
      </c>
      <c r="Z134" s="17" t="str">
        <f aca="false">IF((E134="a"),H134," ")</f>
        <v> </v>
      </c>
      <c r="AA134" s="17" t="str">
        <f aca="false">IF((E134="g"),H134," ")</f>
        <v> </v>
      </c>
      <c r="AB134" s="17" t="str">
        <f aca="false">IF((E134="h"),H134," ")</f>
        <v> </v>
      </c>
      <c r="AC134" s="30" t="str">
        <f aca="false">IF((E134="v"),H134," ")</f>
        <v> </v>
      </c>
      <c r="AD134" s="30" t="str">
        <f aca="false">IF((E134="n"),H134," ")</f>
        <v> </v>
      </c>
      <c r="AE134" s="17" t="str">
        <f aca="false">IF((E134="f"),H134," ")</f>
        <v> </v>
      </c>
      <c r="AF134" s="17" t="str">
        <f aca="false">IF((E134="l"),H134," ")</f>
        <v> </v>
      </c>
      <c r="AG134" s="17" t="str">
        <f aca="false">IF((E134="y"),H134," ")</f>
        <v> </v>
      </c>
      <c r="AH134" s="17" t="str">
        <f aca="false">IF((E134="z"),H134," ")</f>
        <v> </v>
      </c>
      <c r="AI134" s="17" t="str">
        <f aca="false">IF((E134="fa"),H134," ")</f>
        <v> </v>
      </c>
      <c r="AJ134" s="17" t="str">
        <f aca="false">IF((E134="e"),H134," ")</f>
        <v> </v>
      </c>
    </row>
    <row r="135" customFormat="false" ht="12" hidden="false" customHeight="false" outlineLevel="0" collapsed="false">
      <c r="A135" s="28"/>
      <c r="E135" s="2" t="str">
        <f aca="false">IF((F135&lt;&gt;0),"Enter Letter"," ")</f>
        <v> </v>
      </c>
      <c r="F135" s="30"/>
      <c r="G135" s="6" t="str">
        <f aca="false">IF(F135&lt;&gt;0,F135*G$2/(100+G$2)," ")</f>
        <v> </v>
      </c>
      <c r="H135" s="6" t="str">
        <f aca="false">IF((F135&lt;&gt;0),F135-G135," ")</f>
        <v> </v>
      </c>
      <c r="I135" s="5"/>
      <c r="L135" s="7" t="str">
        <f aca="false">IF(F135&lt;&gt;0,F135-K135," ")</f>
        <v> </v>
      </c>
      <c r="M135" s="8" t="str">
        <f aca="false">IF((F135-K135)&lt;&gt;0,M$1-A135," ")</f>
        <v> </v>
      </c>
      <c r="N135" s="5"/>
      <c r="O135" s="17" t="str">
        <f aca="false">IF((E135="s"),H135," ")</f>
        <v> </v>
      </c>
      <c r="P135" s="17" t="str">
        <f aca="false">IF((E135="c"),H135," ")</f>
        <v> </v>
      </c>
      <c r="Q135" s="17" t="str">
        <f aca="false">IF((E135="o"),H135," ")</f>
        <v> </v>
      </c>
      <c r="R135" s="17" t="str">
        <f aca="false">IF((E135="d"),H135," ")</f>
        <v> </v>
      </c>
      <c r="S135" s="17" t="str">
        <f aca="false">IF((E135="w"),H135," ")</f>
        <v> </v>
      </c>
      <c r="T135" s="17" t="str">
        <f aca="false">IF((E135="r"),H135," ")</f>
        <v> </v>
      </c>
      <c r="U135" s="17" t="str">
        <f aca="false">IF((E135="p"),H135," ")</f>
        <v> </v>
      </c>
      <c r="V135" s="17" t="str">
        <f aca="false">IF((E135="t"),H135," ")</f>
        <v> </v>
      </c>
      <c r="W135" s="17" t="str">
        <f aca="false">IF((E135="q"),H135," ")</f>
        <v> </v>
      </c>
      <c r="X135" s="17" t="str">
        <f aca="false">IF((E135="m"),H135," ")</f>
        <v> </v>
      </c>
      <c r="Y135" s="17" t="str">
        <f aca="false">IF((E135="u"),H135," ")</f>
        <v> </v>
      </c>
      <c r="Z135" s="17" t="str">
        <f aca="false">IF((E135="a"),H135," ")</f>
        <v> </v>
      </c>
      <c r="AA135" s="17" t="str">
        <f aca="false">IF((E135="g"),H135," ")</f>
        <v> </v>
      </c>
      <c r="AB135" s="17" t="str">
        <f aca="false">IF((E135="h"),H135," ")</f>
        <v> </v>
      </c>
      <c r="AC135" s="30" t="str">
        <f aca="false">IF((E135="v"),H135," ")</f>
        <v> </v>
      </c>
      <c r="AD135" s="30" t="str">
        <f aca="false">IF((E135="n"),H135," ")</f>
        <v> </v>
      </c>
      <c r="AE135" s="17" t="str">
        <f aca="false">IF((E135="f"),H135," ")</f>
        <v> </v>
      </c>
      <c r="AF135" s="17" t="str">
        <f aca="false">IF((E135="l"),H135," ")</f>
        <v> </v>
      </c>
      <c r="AG135" s="17" t="str">
        <f aca="false">IF((E135="y"),H135," ")</f>
        <v> </v>
      </c>
      <c r="AH135" s="17" t="str">
        <f aca="false">IF((E135="z"),H135," ")</f>
        <v> </v>
      </c>
      <c r="AI135" s="17" t="str">
        <f aca="false">IF((E135="fa"),H135," ")</f>
        <v> </v>
      </c>
      <c r="AJ135" s="17" t="str">
        <f aca="false">IF((E135="e"),H135," ")</f>
        <v> </v>
      </c>
    </row>
    <row r="136" customFormat="false" ht="12" hidden="false" customHeight="false" outlineLevel="0" collapsed="false">
      <c r="A136" s="28"/>
      <c r="E136" s="2" t="str">
        <f aca="false">IF((F136&lt;&gt;0),"Enter Letter"," ")</f>
        <v> </v>
      </c>
      <c r="F136" s="30"/>
      <c r="G136" s="6" t="str">
        <f aca="false">IF(F136&lt;&gt;0,F136*G$2/(100+G$2)," ")</f>
        <v> </v>
      </c>
      <c r="H136" s="6" t="str">
        <f aca="false">IF((F136&lt;&gt;0),F136-G136," ")</f>
        <v> </v>
      </c>
      <c r="I136" s="5"/>
      <c r="L136" s="7" t="str">
        <f aca="false">IF(F136&lt;&gt;0,F136-K136," ")</f>
        <v> </v>
      </c>
      <c r="M136" s="8" t="str">
        <f aca="false">IF((F136-K136)&lt;&gt;0,M$1-A136," ")</f>
        <v> </v>
      </c>
      <c r="N136" s="5"/>
      <c r="O136" s="17" t="str">
        <f aca="false">IF((E136="s"),H136," ")</f>
        <v> </v>
      </c>
      <c r="P136" s="17" t="str">
        <f aca="false">IF((E136="c"),H136," ")</f>
        <v> </v>
      </c>
      <c r="Q136" s="17" t="str">
        <f aca="false">IF((E136="o"),H136," ")</f>
        <v> </v>
      </c>
      <c r="R136" s="17" t="str">
        <f aca="false">IF((E136="d"),H136," ")</f>
        <v> </v>
      </c>
      <c r="S136" s="17" t="str">
        <f aca="false">IF((E136="w"),H136," ")</f>
        <v> </v>
      </c>
      <c r="T136" s="17" t="str">
        <f aca="false">IF((E136="r"),H136," ")</f>
        <v> </v>
      </c>
      <c r="U136" s="17" t="str">
        <f aca="false">IF((E136="p"),H136," ")</f>
        <v> </v>
      </c>
      <c r="V136" s="17" t="str">
        <f aca="false">IF((E136="t"),H136," ")</f>
        <v> </v>
      </c>
      <c r="W136" s="17" t="str">
        <f aca="false">IF((E136="q"),H136," ")</f>
        <v> </v>
      </c>
      <c r="X136" s="17" t="str">
        <f aca="false">IF((E136="m"),H136," ")</f>
        <v> </v>
      </c>
      <c r="Y136" s="17" t="str">
        <f aca="false">IF((E136="u"),H136," ")</f>
        <v> </v>
      </c>
      <c r="Z136" s="17" t="str">
        <f aca="false">IF((E136="a"),H136," ")</f>
        <v> </v>
      </c>
      <c r="AA136" s="17" t="str">
        <f aca="false">IF((E136="g"),H136," ")</f>
        <v> </v>
      </c>
      <c r="AB136" s="17" t="str">
        <f aca="false">IF((E136="h"),H136," ")</f>
        <v> </v>
      </c>
      <c r="AC136" s="30" t="str">
        <f aca="false">IF((E136="v"),H136," ")</f>
        <v> </v>
      </c>
      <c r="AD136" s="30" t="str">
        <f aca="false">IF((E136="n"),H136," ")</f>
        <v> </v>
      </c>
      <c r="AE136" s="17" t="str">
        <f aca="false">IF((E136="f"),H136," ")</f>
        <v> </v>
      </c>
      <c r="AF136" s="17" t="str">
        <f aca="false">IF((E136="l"),H136," ")</f>
        <v> </v>
      </c>
      <c r="AG136" s="17" t="str">
        <f aca="false">IF((E136="y"),H136," ")</f>
        <v> </v>
      </c>
      <c r="AH136" s="17" t="str">
        <f aca="false">IF((E136="z"),H136," ")</f>
        <v> </v>
      </c>
      <c r="AI136" s="17" t="str">
        <f aca="false">IF((E136="fa"),H136," ")</f>
        <v> </v>
      </c>
      <c r="AJ136" s="17" t="str">
        <f aca="false">IF((E136="e"),H136," ")</f>
        <v> </v>
      </c>
    </row>
    <row r="137" customFormat="false" ht="12" hidden="false" customHeight="false" outlineLevel="0" collapsed="false">
      <c r="A137" s="28"/>
      <c r="E137" s="2" t="str">
        <f aca="false">IF((F137&lt;&gt;0),"Enter Letter"," ")</f>
        <v> </v>
      </c>
      <c r="F137" s="30"/>
      <c r="G137" s="6" t="str">
        <f aca="false">IF(F137&lt;&gt;0,F137*G$2/(100+G$2)," ")</f>
        <v> </v>
      </c>
      <c r="H137" s="6" t="str">
        <f aca="false">IF((F137&lt;&gt;0),F137-G137," ")</f>
        <v> </v>
      </c>
      <c r="I137" s="5"/>
      <c r="L137" s="7" t="str">
        <f aca="false">IF(F137&lt;&gt;0,F137-K137," ")</f>
        <v> </v>
      </c>
      <c r="M137" s="8" t="str">
        <f aca="false">IF((F137-K137)&lt;&gt;0,M$1-A137," ")</f>
        <v> </v>
      </c>
      <c r="N137" s="5"/>
      <c r="O137" s="17" t="str">
        <f aca="false">IF((E137="s"),H137," ")</f>
        <v> </v>
      </c>
      <c r="P137" s="17" t="str">
        <f aca="false">IF((E137="c"),H137," ")</f>
        <v> </v>
      </c>
      <c r="Q137" s="17" t="str">
        <f aca="false">IF((E137="o"),H137," ")</f>
        <v> </v>
      </c>
      <c r="R137" s="17" t="str">
        <f aca="false">IF((E137="d"),H137," ")</f>
        <v> </v>
      </c>
      <c r="S137" s="17" t="str">
        <f aca="false">IF((E137="w"),H137," ")</f>
        <v> </v>
      </c>
      <c r="T137" s="17" t="str">
        <f aca="false">IF((E137="r"),H137," ")</f>
        <v> </v>
      </c>
      <c r="U137" s="17" t="str">
        <f aca="false">IF((E137="p"),H137," ")</f>
        <v> </v>
      </c>
      <c r="V137" s="17" t="str">
        <f aca="false">IF((E137="t"),H137," ")</f>
        <v> </v>
      </c>
      <c r="W137" s="17" t="str">
        <f aca="false">IF((E137="q"),H137," ")</f>
        <v> </v>
      </c>
      <c r="X137" s="17" t="str">
        <f aca="false">IF((E137="m"),H137," ")</f>
        <v> </v>
      </c>
      <c r="Y137" s="17" t="str">
        <f aca="false">IF((E137="u"),H137," ")</f>
        <v> </v>
      </c>
      <c r="Z137" s="17" t="str">
        <f aca="false">IF((E137="a"),H137," ")</f>
        <v> </v>
      </c>
      <c r="AA137" s="17" t="str">
        <f aca="false">IF((E137="g"),H137," ")</f>
        <v> </v>
      </c>
      <c r="AB137" s="17" t="str">
        <f aca="false">IF((E137="h"),H137," ")</f>
        <v> </v>
      </c>
      <c r="AC137" s="30" t="str">
        <f aca="false">IF((E137="v"),H137," ")</f>
        <v> </v>
      </c>
      <c r="AD137" s="30" t="str">
        <f aca="false">IF((E137="n"),H137," ")</f>
        <v> </v>
      </c>
      <c r="AE137" s="17" t="str">
        <f aca="false">IF((E137="f"),H137," ")</f>
        <v> </v>
      </c>
      <c r="AF137" s="17" t="str">
        <f aca="false">IF((E137="l"),H137," ")</f>
        <v> </v>
      </c>
      <c r="AG137" s="17" t="str">
        <f aca="false">IF((E137="y"),H137," ")</f>
        <v> </v>
      </c>
      <c r="AH137" s="17" t="str">
        <f aca="false">IF((E137="z"),H137," ")</f>
        <v> </v>
      </c>
      <c r="AI137" s="17" t="str">
        <f aca="false">IF((E137="fa"),H137," ")</f>
        <v> </v>
      </c>
      <c r="AJ137" s="17" t="str">
        <f aca="false">IF((E137="e"),H137," ")</f>
        <v> </v>
      </c>
    </row>
    <row r="138" customFormat="false" ht="12" hidden="false" customHeight="false" outlineLevel="0" collapsed="false">
      <c r="A138" s="28"/>
      <c r="E138" s="2" t="str">
        <f aca="false">IF((F138&lt;&gt;0),"Enter Letter"," ")</f>
        <v> </v>
      </c>
      <c r="F138" s="30"/>
      <c r="G138" s="6" t="str">
        <f aca="false">IF(F138&lt;&gt;0,F138*G$2/(100+G$2)," ")</f>
        <v> </v>
      </c>
      <c r="H138" s="6" t="str">
        <f aca="false">IF((F138&lt;&gt;0),F138-G138," ")</f>
        <v> </v>
      </c>
      <c r="I138" s="5"/>
      <c r="L138" s="7" t="str">
        <f aca="false">IF(F138&lt;&gt;0,F138-K138," ")</f>
        <v> </v>
      </c>
      <c r="M138" s="8" t="str">
        <f aca="false">IF((F138-K138)&lt;&gt;0,M$1-A138," ")</f>
        <v> </v>
      </c>
      <c r="N138" s="5"/>
      <c r="O138" s="17" t="str">
        <f aca="false">IF((E138="s"),H138," ")</f>
        <v> </v>
      </c>
      <c r="P138" s="17" t="str">
        <f aca="false">IF((E138="c"),H138," ")</f>
        <v> </v>
      </c>
      <c r="Q138" s="17" t="str">
        <f aca="false">IF((E138="o"),H138," ")</f>
        <v> </v>
      </c>
      <c r="R138" s="17" t="str">
        <f aca="false">IF((E138="d"),H138," ")</f>
        <v> </v>
      </c>
      <c r="S138" s="17" t="str">
        <f aca="false">IF((E138="w"),H138," ")</f>
        <v> </v>
      </c>
      <c r="T138" s="17" t="str">
        <f aca="false">IF((E138="r"),H138," ")</f>
        <v> </v>
      </c>
      <c r="U138" s="17" t="str">
        <f aca="false">IF((E138="p"),H138," ")</f>
        <v> </v>
      </c>
      <c r="V138" s="17" t="str">
        <f aca="false">IF((E138="t"),H138," ")</f>
        <v> </v>
      </c>
      <c r="W138" s="17" t="str">
        <f aca="false">IF((E138="q"),H138," ")</f>
        <v> </v>
      </c>
      <c r="X138" s="17" t="str">
        <f aca="false">IF((E138="m"),H138," ")</f>
        <v> </v>
      </c>
      <c r="Y138" s="17" t="str">
        <f aca="false">IF((E138="u"),H138," ")</f>
        <v> </v>
      </c>
      <c r="Z138" s="17" t="str">
        <f aca="false">IF((E138="a"),H138," ")</f>
        <v> </v>
      </c>
      <c r="AA138" s="17" t="str">
        <f aca="false">IF((E138="g"),H138," ")</f>
        <v> </v>
      </c>
      <c r="AB138" s="17" t="str">
        <f aca="false">IF((E138="h"),H138," ")</f>
        <v> </v>
      </c>
      <c r="AC138" s="30" t="str">
        <f aca="false">IF((E138="v"),H138," ")</f>
        <v> </v>
      </c>
      <c r="AD138" s="30" t="str">
        <f aca="false">IF((E138="n"),H138," ")</f>
        <v> </v>
      </c>
      <c r="AE138" s="17" t="str">
        <f aca="false">IF((E138="f"),H138," ")</f>
        <v> </v>
      </c>
      <c r="AF138" s="17" t="str">
        <f aca="false">IF((E138="l"),H138," ")</f>
        <v> </v>
      </c>
      <c r="AG138" s="17" t="str">
        <f aca="false">IF((E138="y"),H138," ")</f>
        <v> </v>
      </c>
      <c r="AH138" s="17" t="str">
        <f aca="false">IF((E138="z"),H138," ")</f>
        <v> </v>
      </c>
      <c r="AI138" s="17" t="str">
        <f aca="false">IF((E138="fa"),H138," ")</f>
        <v> </v>
      </c>
      <c r="AJ138" s="17" t="str">
        <f aca="false">IF((E138="e"),H138," ")</f>
        <v> </v>
      </c>
    </row>
    <row r="139" customFormat="false" ht="12" hidden="false" customHeight="false" outlineLevel="0" collapsed="false">
      <c r="A139" s="28"/>
      <c r="E139" s="2" t="str">
        <f aca="false">IF((F139&lt;&gt;0),"Enter Letter"," ")</f>
        <v> </v>
      </c>
      <c r="F139" s="30"/>
      <c r="G139" s="6" t="str">
        <f aca="false">IF(F139&lt;&gt;0,F139*G$2/(100+G$2)," ")</f>
        <v> </v>
      </c>
      <c r="H139" s="6" t="str">
        <f aca="false">IF((F139&lt;&gt;0),F139-G139," ")</f>
        <v> </v>
      </c>
      <c r="I139" s="5"/>
      <c r="L139" s="7" t="str">
        <f aca="false">IF(F139&lt;&gt;0,F139-K139," ")</f>
        <v> </v>
      </c>
      <c r="M139" s="8" t="str">
        <f aca="false">IF((F139-K139)&lt;&gt;0,M$1-A139," ")</f>
        <v> </v>
      </c>
      <c r="N139" s="5"/>
      <c r="O139" s="17" t="str">
        <f aca="false">IF((E139="s"),H139," ")</f>
        <v> </v>
      </c>
      <c r="P139" s="17" t="str">
        <f aca="false">IF((E139="c"),H139," ")</f>
        <v> </v>
      </c>
      <c r="Q139" s="17" t="str">
        <f aca="false">IF((E139="o"),H139," ")</f>
        <v> </v>
      </c>
      <c r="R139" s="17" t="str">
        <f aca="false">IF((E139="d"),H139," ")</f>
        <v> </v>
      </c>
      <c r="S139" s="17" t="str">
        <f aca="false">IF((E139="w"),H139," ")</f>
        <v> </v>
      </c>
      <c r="T139" s="17" t="str">
        <f aca="false">IF((E139="r"),H139," ")</f>
        <v> </v>
      </c>
      <c r="U139" s="17" t="str">
        <f aca="false">IF((E139="p"),H139," ")</f>
        <v> </v>
      </c>
      <c r="V139" s="17" t="str">
        <f aca="false">IF((E139="t"),H139," ")</f>
        <v> </v>
      </c>
      <c r="W139" s="17" t="str">
        <f aca="false">IF((E139="q"),H139," ")</f>
        <v> </v>
      </c>
      <c r="X139" s="17" t="str">
        <f aca="false">IF((E139="m"),H139," ")</f>
        <v> </v>
      </c>
      <c r="Y139" s="17" t="str">
        <f aca="false">IF((E139="u"),H139," ")</f>
        <v> </v>
      </c>
      <c r="Z139" s="17" t="str">
        <f aca="false">IF((E139="a"),H139," ")</f>
        <v> </v>
      </c>
      <c r="AA139" s="17" t="str">
        <f aca="false">IF((E139="g"),H139," ")</f>
        <v> </v>
      </c>
      <c r="AB139" s="17" t="str">
        <f aca="false">IF((E139="h"),H139," ")</f>
        <v> </v>
      </c>
      <c r="AC139" s="30" t="str">
        <f aca="false">IF((E139="v"),H139," ")</f>
        <v> </v>
      </c>
      <c r="AD139" s="30" t="str">
        <f aca="false">IF((E139="n"),H139," ")</f>
        <v> </v>
      </c>
      <c r="AE139" s="17" t="str">
        <f aca="false">IF((E139="f"),H139," ")</f>
        <v> </v>
      </c>
      <c r="AF139" s="17" t="str">
        <f aca="false">IF((E139="l"),H139," ")</f>
        <v> </v>
      </c>
      <c r="AG139" s="17" t="str">
        <f aca="false">IF((E139="y"),H139," ")</f>
        <v> </v>
      </c>
      <c r="AH139" s="17" t="str">
        <f aca="false">IF((E139="z"),H139," ")</f>
        <v> </v>
      </c>
      <c r="AI139" s="17" t="str">
        <f aca="false">IF((E139="fa"),H139," ")</f>
        <v> </v>
      </c>
      <c r="AJ139" s="17" t="str">
        <f aca="false">IF((E139="e"),H139," ")</f>
        <v> </v>
      </c>
    </row>
    <row r="140" customFormat="false" ht="12" hidden="false" customHeight="false" outlineLevel="0" collapsed="false">
      <c r="A140" s="28"/>
      <c r="E140" s="2" t="str">
        <f aca="false">IF((F140&lt;&gt;0),"Enter Letter"," ")</f>
        <v> </v>
      </c>
      <c r="F140" s="30"/>
      <c r="G140" s="6" t="str">
        <f aca="false">IF(F140&lt;&gt;0,F140*G$2/(100+G$2)," ")</f>
        <v> </v>
      </c>
      <c r="H140" s="6" t="str">
        <f aca="false">IF((F140&lt;&gt;0),F140-G140," ")</f>
        <v> </v>
      </c>
      <c r="I140" s="5"/>
      <c r="L140" s="7" t="str">
        <f aca="false">IF(F140&lt;&gt;0,F140-K140," ")</f>
        <v> </v>
      </c>
      <c r="M140" s="8" t="str">
        <f aca="false">IF((F140-K140)&lt;&gt;0,M$1-A140," ")</f>
        <v> </v>
      </c>
      <c r="N140" s="5"/>
      <c r="O140" s="17" t="str">
        <f aca="false">IF((E140="s"),H140," ")</f>
        <v> </v>
      </c>
      <c r="P140" s="17" t="str">
        <f aca="false">IF((E140="c"),H140," ")</f>
        <v> </v>
      </c>
      <c r="Q140" s="17" t="str">
        <f aca="false">IF((E140="o"),H140," ")</f>
        <v> </v>
      </c>
      <c r="R140" s="17" t="str">
        <f aca="false">IF((E140="d"),H140," ")</f>
        <v> </v>
      </c>
      <c r="S140" s="17" t="str">
        <f aca="false">IF((E140="w"),H140," ")</f>
        <v> </v>
      </c>
      <c r="T140" s="17" t="str">
        <f aca="false">IF((E140="r"),H140," ")</f>
        <v> </v>
      </c>
      <c r="U140" s="17" t="str">
        <f aca="false">IF((E140="p"),H140," ")</f>
        <v> </v>
      </c>
      <c r="V140" s="17" t="str">
        <f aca="false">IF((E140="t"),H140," ")</f>
        <v> </v>
      </c>
      <c r="W140" s="17" t="str">
        <f aca="false">IF((E140="q"),H140," ")</f>
        <v> </v>
      </c>
      <c r="X140" s="17" t="str">
        <f aca="false">IF((E140="m"),H140," ")</f>
        <v> </v>
      </c>
      <c r="Y140" s="17" t="str">
        <f aca="false">IF((E140="u"),H140," ")</f>
        <v> </v>
      </c>
      <c r="Z140" s="17" t="str">
        <f aca="false">IF((E140="a"),H140," ")</f>
        <v> </v>
      </c>
      <c r="AA140" s="17" t="str">
        <f aca="false">IF((E140="g"),H140," ")</f>
        <v> </v>
      </c>
      <c r="AB140" s="17" t="str">
        <f aca="false">IF((E140="h"),H140," ")</f>
        <v> </v>
      </c>
      <c r="AC140" s="30" t="str">
        <f aca="false">IF((E140="v"),H140," ")</f>
        <v> </v>
      </c>
      <c r="AD140" s="30" t="str">
        <f aca="false">IF((E140="n"),H140," ")</f>
        <v> </v>
      </c>
      <c r="AE140" s="17" t="str">
        <f aca="false">IF((E140="f"),H140," ")</f>
        <v> </v>
      </c>
      <c r="AF140" s="17" t="str">
        <f aca="false">IF((E140="l"),H140," ")</f>
        <v> </v>
      </c>
      <c r="AG140" s="17" t="str">
        <f aca="false">IF((E140="y"),H140," ")</f>
        <v> </v>
      </c>
      <c r="AH140" s="17" t="str">
        <f aca="false">IF((E140="z"),H140," ")</f>
        <v> </v>
      </c>
      <c r="AI140" s="17" t="str">
        <f aca="false">IF((E140="fa"),H140," ")</f>
        <v> </v>
      </c>
      <c r="AJ140" s="17" t="str">
        <f aca="false">IF((E140="e"),H140," ")</f>
        <v> </v>
      </c>
    </row>
    <row r="141" customFormat="false" ht="12" hidden="false" customHeight="false" outlineLevel="0" collapsed="false">
      <c r="A141" s="28"/>
      <c r="E141" s="2" t="str">
        <f aca="false">IF((F141&lt;&gt;0),"Enter Letter"," ")</f>
        <v> </v>
      </c>
      <c r="F141" s="30"/>
      <c r="G141" s="6" t="str">
        <f aca="false">IF(F141&lt;&gt;0,F141*G$2/(100+G$2)," ")</f>
        <v> </v>
      </c>
      <c r="H141" s="6" t="str">
        <f aca="false">IF((F141&lt;&gt;0),F141-G141," ")</f>
        <v> </v>
      </c>
      <c r="I141" s="5"/>
      <c r="L141" s="7" t="str">
        <f aca="false">IF(F141&lt;&gt;0,F141-K141," ")</f>
        <v> </v>
      </c>
      <c r="M141" s="8" t="str">
        <f aca="false">IF((F141-K141)&lt;&gt;0,M$1-A141," ")</f>
        <v> </v>
      </c>
      <c r="N141" s="5"/>
      <c r="O141" s="17" t="str">
        <f aca="false">IF((E141="s"),H141," ")</f>
        <v> </v>
      </c>
      <c r="P141" s="17" t="str">
        <f aca="false">IF((E141="c"),H141," ")</f>
        <v> </v>
      </c>
      <c r="Q141" s="17" t="str">
        <f aca="false">IF((E141="o"),H141," ")</f>
        <v> </v>
      </c>
      <c r="R141" s="17" t="str">
        <f aca="false">IF((E141="d"),H141," ")</f>
        <v> </v>
      </c>
      <c r="S141" s="17" t="str">
        <f aca="false">IF((E141="w"),H141," ")</f>
        <v> </v>
      </c>
      <c r="T141" s="17" t="str">
        <f aca="false">IF((E141="r"),H141," ")</f>
        <v> </v>
      </c>
      <c r="U141" s="17" t="str">
        <f aca="false">IF((E141="p"),H141," ")</f>
        <v> </v>
      </c>
      <c r="V141" s="17" t="str">
        <f aca="false">IF((E141="t"),H141," ")</f>
        <v> </v>
      </c>
      <c r="W141" s="17" t="str">
        <f aca="false">IF((E141="q"),H141," ")</f>
        <v> </v>
      </c>
      <c r="X141" s="17" t="str">
        <f aca="false">IF((E141="m"),H141," ")</f>
        <v> </v>
      </c>
      <c r="Y141" s="17" t="str">
        <f aca="false">IF((E141="u"),H141," ")</f>
        <v> </v>
      </c>
      <c r="Z141" s="17" t="str">
        <f aca="false">IF((E141="a"),H141," ")</f>
        <v> </v>
      </c>
      <c r="AA141" s="17" t="str">
        <f aca="false">IF((E141="g"),H141," ")</f>
        <v> </v>
      </c>
      <c r="AB141" s="17" t="str">
        <f aca="false">IF((E141="h"),H141," ")</f>
        <v> </v>
      </c>
      <c r="AC141" s="30" t="str">
        <f aca="false">IF((E141="v"),H141," ")</f>
        <v> </v>
      </c>
      <c r="AD141" s="30" t="str">
        <f aca="false">IF((E141="n"),H141," ")</f>
        <v> </v>
      </c>
      <c r="AE141" s="17" t="str">
        <f aca="false">IF((E141="f"),H141," ")</f>
        <v> </v>
      </c>
      <c r="AF141" s="17" t="str">
        <f aca="false">IF((E141="l"),H141," ")</f>
        <v> </v>
      </c>
      <c r="AG141" s="17" t="str">
        <f aca="false">IF((E141="y"),H141," ")</f>
        <v> </v>
      </c>
      <c r="AH141" s="17" t="str">
        <f aca="false">IF((E141="z"),H141," ")</f>
        <v> </v>
      </c>
      <c r="AI141" s="17" t="str">
        <f aca="false">IF((E141="fa"),H141," ")</f>
        <v> </v>
      </c>
      <c r="AJ141" s="17" t="str">
        <f aca="false">IF((E141="e"),H141," ")</f>
        <v> </v>
      </c>
    </row>
    <row r="142" customFormat="false" ht="12" hidden="false" customHeight="false" outlineLevel="0" collapsed="false">
      <c r="A142" s="28"/>
      <c r="E142" s="2" t="str">
        <f aca="false">IF((F142&lt;&gt;0),"Enter Letter"," ")</f>
        <v> </v>
      </c>
      <c r="F142" s="30"/>
      <c r="G142" s="6" t="str">
        <f aca="false">IF(F142&lt;&gt;0,F142*G$2/(100+G$2)," ")</f>
        <v> </v>
      </c>
      <c r="H142" s="6" t="str">
        <f aca="false">IF((F142&lt;&gt;0),F142-G142," ")</f>
        <v> </v>
      </c>
      <c r="I142" s="5"/>
      <c r="L142" s="7" t="str">
        <f aca="false">IF(F142&lt;&gt;0,F142-K142," ")</f>
        <v> </v>
      </c>
      <c r="M142" s="8" t="str">
        <f aca="false">IF((F142-K142)&lt;&gt;0,M$1-A142," ")</f>
        <v> </v>
      </c>
      <c r="N142" s="5"/>
      <c r="O142" s="17" t="str">
        <f aca="false">IF((E142="s"),H142," ")</f>
        <v> </v>
      </c>
      <c r="P142" s="17" t="str">
        <f aca="false">IF((E142="c"),H142," ")</f>
        <v> </v>
      </c>
      <c r="Q142" s="17" t="str">
        <f aca="false">IF((E142="o"),H142," ")</f>
        <v> </v>
      </c>
      <c r="R142" s="17" t="str">
        <f aca="false">IF((E142="d"),H142," ")</f>
        <v> </v>
      </c>
      <c r="S142" s="17" t="str">
        <f aca="false">IF((E142="w"),H142," ")</f>
        <v> </v>
      </c>
      <c r="T142" s="17" t="str">
        <f aca="false">IF((E142="r"),H142," ")</f>
        <v> </v>
      </c>
      <c r="U142" s="17" t="str">
        <f aca="false">IF((E142="p"),H142," ")</f>
        <v> </v>
      </c>
      <c r="V142" s="17" t="str">
        <f aca="false">IF((E142="t"),H142," ")</f>
        <v> </v>
      </c>
      <c r="W142" s="17" t="str">
        <f aca="false">IF((E142="q"),H142," ")</f>
        <v> </v>
      </c>
      <c r="X142" s="17" t="str">
        <f aca="false">IF((E142="m"),H142," ")</f>
        <v> </v>
      </c>
      <c r="Y142" s="17" t="str">
        <f aca="false">IF((E142="u"),H142," ")</f>
        <v> </v>
      </c>
      <c r="Z142" s="17" t="str">
        <f aca="false">IF((E142="a"),H142," ")</f>
        <v> </v>
      </c>
      <c r="AA142" s="17" t="str">
        <f aca="false">IF((E142="g"),H142," ")</f>
        <v> </v>
      </c>
      <c r="AB142" s="17" t="str">
        <f aca="false">IF((E142="h"),H142," ")</f>
        <v> </v>
      </c>
      <c r="AC142" s="30" t="str">
        <f aca="false">IF((E142="v"),H142," ")</f>
        <v> </v>
      </c>
      <c r="AD142" s="30" t="str">
        <f aca="false">IF((E142="n"),H142," ")</f>
        <v> </v>
      </c>
      <c r="AE142" s="17" t="str">
        <f aca="false">IF((E142="f"),H142," ")</f>
        <v> </v>
      </c>
      <c r="AF142" s="17" t="str">
        <f aca="false">IF((E142="l"),H142," ")</f>
        <v> </v>
      </c>
      <c r="AG142" s="17" t="str">
        <f aca="false">IF((E142="y"),H142," ")</f>
        <v> </v>
      </c>
      <c r="AH142" s="17" t="str">
        <f aca="false">IF((E142="z"),H142," ")</f>
        <v> </v>
      </c>
      <c r="AI142" s="17" t="str">
        <f aca="false">IF((E142="fa"),H142," ")</f>
        <v> </v>
      </c>
      <c r="AJ142" s="17" t="str">
        <f aca="false">IF((E142="e"),H142," ")</f>
        <v> </v>
      </c>
    </row>
    <row r="143" customFormat="false" ht="12" hidden="false" customHeight="false" outlineLevel="0" collapsed="false">
      <c r="A143" s="28"/>
      <c r="E143" s="2" t="str">
        <f aca="false">IF((F143&lt;&gt;0),"Enter Letter"," ")</f>
        <v> </v>
      </c>
      <c r="F143" s="30"/>
      <c r="G143" s="6" t="str">
        <f aca="false">IF(F143&lt;&gt;0,F143*G$2/(100+G$2)," ")</f>
        <v> </v>
      </c>
      <c r="H143" s="6" t="str">
        <f aca="false">IF((F143&lt;&gt;0),F143-G143," ")</f>
        <v> </v>
      </c>
      <c r="I143" s="5"/>
      <c r="L143" s="7" t="str">
        <f aca="false">IF(F143&lt;&gt;0,F143-K143," ")</f>
        <v> </v>
      </c>
      <c r="M143" s="8" t="str">
        <f aca="false">IF((F143-K143)&lt;&gt;0,M$1-A143," ")</f>
        <v> </v>
      </c>
      <c r="N143" s="5"/>
      <c r="O143" s="17" t="str">
        <f aca="false">IF((E143="s"),H143," ")</f>
        <v> </v>
      </c>
      <c r="P143" s="17" t="str">
        <f aca="false">IF((E143="c"),H143," ")</f>
        <v> </v>
      </c>
      <c r="Q143" s="17" t="str">
        <f aca="false">IF((E143="o"),H143," ")</f>
        <v> </v>
      </c>
      <c r="R143" s="17" t="str">
        <f aca="false">IF((E143="d"),H143," ")</f>
        <v> </v>
      </c>
      <c r="S143" s="17" t="str">
        <f aca="false">IF((E143="w"),H143," ")</f>
        <v> </v>
      </c>
      <c r="T143" s="17" t="str">
        <f aca="false">IF((E143="r"),H143," ")</f>
        <v> </v>
      </c>
      <c r="U143" s="17" t="str">
        <f aca="false">IF((E143="p"),H143," ")</f>
        <v> </v>
      </c>
      <c r="V143" s="17" t="str">
        <f aca="false">IF((E143="t"),H143," ")</f>
        <v> </v>
      </c>
      <c r="W143" s="17" t="str">
        <f aca="false">IF((E143="q"),H143," ")</f>
        <v> </v>
      </c>
      <c r="X143" s="17" t="str">
        <f aca="false">IF((E143="m"),H143," ")</f>
        <v> </v>
      </c>
      <c r="Y143" s="17" t="str">
        <f aca="false">IF((E143="u"),H143," ")</f>
        <v> </v>
      </c>
      <c r="Z143" s="17" t="str">
        <f aca="false">IF((E143="a"),H143," ")</f>
        <v> </v>
      </c>
      <c r="AA143" s="17" t="str">
        <f aca="false">IF((E143="g"),H143," ")</f>
        <v> </v>
      </c>
      <c r="AB143" s="17" t="str">
        <f aca="false">IF((E143="h"),H143," ")</f>
        <v> </v>
      </c>
      <c r="AC143" s="30" t="str">
        <f aca="false">IF((E143="v"),H143," ")</f>
        <v> </v>
      </c>
      <c r="AD143" s="30" t="str">
        <f aca="false">IF((E143="n"),H143," ")</f>
        <v> </v>
      </c>
      <c r="AE143" s="17" t="str">
        <f aca="false">IF((E143="f"),H143," ")</f>
        <v> </v>
      </c>
      <c r="AF143" s="17" t="str">
        <f aca="false">IF((E143="l"),H143," ")</f>
        <v> </v>
      </c>
      <c r="AG143" s="17" t="str">
        <f aca="false">IF((E143="y"),H143," ")</f>
        <v> </v>
      </c>
      <c r="AH143" s="17" t="str">
        <f aca="false">IF((E143="z"),H143," ")</f>
        <v> </v>
      </c>
      <c r="AI143" s="17" t="str">
        <f aca="false">IF((E143="fa"),H143," ")</f>
        <v> </v>
      </c>
      <c r="AJ143" s="17" t="str">
        <f aca="false">IF((E143="e"),H143," ")</f>
        <v> </v>
      </c>
    </row>
    <row r="144" customFormat="false" ht="12" hidden="false" customHeight="false" outlineLevel="0" collapsed="false">
      <c r="A144" s="28"/>
      <c r="E144" s="2" t="str">
        <f aca="false">IF((F144&lt;&gt;0),"Enter Letter"," ")</f>
        <v> </v>
      </c>
      <c r="F144" s="30"/>
      <c r="G144" s="6" t="str">
        <f aca="false">IF(F144&lt;&gt;0,F144*G$2/(100+G$2)," ")</f>
        <v> </v>
      </c>
      <c r="H144" s="6" t="str">
        <f aca="false">IF((F144&lt;&gt;0),F144-G144," ")</f>
        <v> </v>
      </c>
      <c r="I144" s="5"/>
      <c r="L144" s="7" t="str">
        <f aca="false">IF(F144&lt;&gt;0,F144-K144," ")</f>
        <v> </v>
      </c>
      <c r="M144" s="8" t="str">
        <f aca="false">IF((F144-K144)&lt;&gt;0,M$1-A144," ")</f>
        <v> </v>
      </c>
      <c r="N144" s="5"/>
      <c r="O144" s="17" t="str">
        <f aca="false">IF((E144="s"),H144," ")</f>
        <v> </v>
      </c>
      <c r="P144" s="17" t="str">
        <f aca="false">IF((E144="c"),H144," ")</f>
        <v> </v>
      </c>
      <c r="Q144" s="17" t="str">
        <f aca="false">IF((E144="o"),H144," ")</f>
        <v> </v>
      </c>
      <c r="R144" s="17" t="str">
        <f aca="false">IF((E144="d"),H144," ")</f>
        <v> </v>
      </c>
      <c r="S144" s="17" t="str">
        <f aca="false">IF((E144="w"),H144," ")</f>
        <v> </v>
      </c>
      <c r="T144" s="17" t="str">
        <f aca="false">IF((E144="r"),H144," ")</f>
        <v> </v>
      </c>
      <c r="U144" s="17" t="str">
        <f aca="false">IF((E144="p"),H144," ")</f>
        <v> </v>
      </c>
      <c r="V144" s="17" t="str">
        <f aca="false">IF((E144="t"),H144," ")</f>
        <v> </v>
      </c>
      <c r="W144" s="17" t="str">
        <f aca="false">IF((E144="q"),H144," ")</f>
        <v> </v>
      </c>
      <c r="X144" s="17" t="str">
        <f aca="false">IF((E144="m"),H144," ")</f>
        <v> </v>
      </c>
      <c r="Y144" s="17" t="str">
        <f aca="false">IF((E144="u"),H144," ")</f>
        <v> </v>
      </c>
      <c r="Z144" s="17" t="str">
        <f aca="false">IF((E144="a"),H144," ")</f>
        <v> </v>
      </c>
      <c r="AA144" s="17" t="str">
        <f aca="false">IF((E144="g"),H144," ")</f>
        <v> </v>
      </c>
      <c r="AB144" s="17" t="str">
        <f aca="false">IF((E144="h"),H144," ")</f>
        <v> </v>
      </c>
      <c r="AC144" s="30" t="str">
        <f aca="false">IF((E144="v"),H144," ")</f>
        <v> </v>
      </c>
      <c r="AD144" s="30" t="str">
        <f aca="false">IF((E144="n"),H144," ")</f>
        <v> </v>
      </c>
      <c r="AE144" s="17" t="str">
        <f aca="false">IF((E144="f"),H144," ")</f>
        <v> </v>
      </c>
      <c r="AF144" s="17" t="str">
        <f aca="false">IF((E144="l"),H144," ")</f>
        <v> </v>
      </c>
      <c r="AG144" s="17" t="str">
        <f aca="false">IF((E144="y"),H144," ")</f>
        <v> </v>
      </c>
      <c r="AH144" s="17" t="str">
        <f aca="false">IF((E144="z"),H144," ")</f>
        <v> </v>
      </c>
      <c r="AI144" s="17" t="str">
        <f aca="false">IF((E144="fa"),H144," ")</f>
        <v> </v>
      </c>
      <c r="AJ144" s="17" t="str">
        <f aca="false">IF((E144="e"),H144," ")</f>
        <v> </v>
      </c>
    </row>
    <row r="145" customFormat="false" ht="12" hidden="false" customHeight="false" outlineLevel="0" collapsed="false">
      <c r="A145" s="28"/>
      <c r="E145" s="2" t="str">
        <f aca="false">IF((F145&lt;&gt;0),"Enter Letter"," ")</f>
        <v> </v>
      </c>
      <c r="F145" s="30"/>
      <c r="G145" s="6" t="str">
        <f aca="false">IF(F145&lt;&gt;0,F145*G$2/(100+G$2)," ")</f>
        <v> </v>
      </c>
      <c r="H145" s="6" t="str">
        <f aca="false">IF((F145&lt;&gt;0),F145-G145," ")</f>
        <v> </v>
      </c>
      <c r="I145" s="5"/>
      <c r="L145" s="7" t="str">
        <f aca="false">IF(F145&lt;&gt;0,F145-K145," ")</f>
        <v> </v>
      </c>
      <c r="M145" s="8" t="str">
        <f aca="false">IF((F145-K145)&lt;&gt;0,M$1-A145," ")</f>
        <v> </v>
      </c>
      <c r="N145" s="5"/>
      <c r="O145" s="17" t="str">
        <f aca="false">IF((E145="s"),H145," ")</f>
        <v> </v>
      </c>
      <c r="P145" s="17" t="str">
        <f aca="false">IF((E145="c"),H145," ")</f>
        <v> </v>
      </c>
      <c r="Q145" s="17" t="str">
        <f aca="false">IF((E145="o"),H145," ")</f>
        <v> </v>
      </c>
      <c r="R145" s="17" t="str">
        <f aca="false">IF((E145="d"),H145," ")</f>
        <v> </v>
      </c>
      <c r="S145" s="17" t="str">
        <f aca="false">IF((E145="w"),H145," ")</f>
        <v> </v>
      </c>
      <c r="T145" s="17" t="str">
        <f aca="false">IF((E145="r"),H145," ")</f>
        <v> </v>
      </c>
      <c r="U145" s="17" t="str">
        <f aca="false">IF((E145="p"),H145," ")</f>
        <v> </v>
      </c>
      <c r="V145" s="17" t="str">
        <f aca="false">IF((E145="t"),H145," ")</f>
        <v> </v>
      </c>
      <c r="W145" s="17" t="str">
        <f aca="false">IF((E145="q"),H145," ")</f>
        <v> </v>
      </c>
      <c r="X145" s="17" t="str">
        <f aca="false">IF((E145="m"),H145," ")</f>
        <v> </v>
      </c>
      <c r="Y145" s="17" t="str">
        <f aca="false">IF((E145="u"),H145," ")</f>
        <v> </v>
      </c>
      <c r="Z145" s="17" t="str">
        <f aca="false">IF((E145="a"),H145," ")</f>
        <v> </v>
      </c>
      <c r="AA145" s="17" t="str">
        <f aca="false">IF((E145="g"),H145," ")</f>
        <v> </v>
      </c>
      <c r="AB145" s="17" t="str">
        <f aca="false">IF((E145="h"),H145," ")</f>
        <v> </v>
      </c>
      <c r="AC145" s="30" t="str">
        <f aca="false">IF((E145="v"),H145," ")</f>
        <v> </v>
      </c>
      <c r="AD145" s="30" t="str">
        <f aca="false">IF((E145="n"),H145," ")</f>
        <v> </v>
      </c>
      <c r="AE145" s="17" t="str">
        <f aca="false">IF((E145="f"),H145," ")</f>
        <v> </v>
      </c>
      <c r="AF145" s="17" t="str">
        <f aca="false">IF((E145="l"),H145," ")</f>
        <v> </v>
      </c>
      <c r="AG145" s="17" t="str">
        <f aca="false">IF((E145="y"),H145," ")</f>
        <v> </v>
      </c>
      <c r="AH145" s="17" t="str">
        <f aca="false">IF((E145="z"),H145," ")</f>
        <v> </v>
      </c>
      <c r="AI145" s="17" t="str">
        <f aca="false">IF((E145="fa"),H145," ")</f>
        <v> </v>
      </c>
      <c r="AJ145" s="17" t="str">
        <f aca="false">IF((E145="e"),H145," ")</f>
        <v> </v>
      </c>
    </row>
    <row r="146" customFormat="false" ht="12" hidden="false" customHeight="false" outlineLevel="0" collapsed="false">
      <c r="A146" s="28"/>
      <c r="E146" s="2" t="str">
        <f aca="false">IF((F146&lt;&gt;0),"Enter Letter"," ")</f>
        <v> </v>
      </c>
      <c r="F146" s="30"/>
      <c r="G146" s="6" t="str">
        <f aca="false">IF(F146&lt;&gt;0,F146*G$2/(100+G$2)," ")</f>
        <v> </v>
      </c>
      <c r="H146" s="6" t="str">
        <f aca="false">IF((F146&lt;&gt;0),F146-G146," ")</f>
        <v> </v>
      </c>
      <c r="I146" s="5"/>
      <c r="L146" s="7" t="str">
        <f aca="false">IF(F146&lt;&gt;0,F146-K146," ")</f>
        <v> </v>
      </c>
      <c r="M146" s="8" t="str">
        <f aca="false">IF((F146-K146)&lt;&gt;0,M$1-A146," ")</f>
        <v> </v>
      </c>
      <c r="N146" s="5"/>
      <c r="O146" s="17" t="str">
        <f aca="false">IF((E146="s"),H146," ")</f>
        <v> </v>
      </c>
      <c r="P146" s="17" t="str">
        <f aca="false">IF((E146="c"),H146," ")</f>
        <v> </v>
      </c>
      <c r="Q146" s="17" t="str">
        <f aca="false">IF((E146="o"),H146," ")</f>
        <v> </v>
      </c>
      <c r="R146" s="17" t="str">
        <f aca="false">IF((E146="d"),H146," ")</f>
        <v> </v>
      </c>
      <c r="S146" s="17" t="str">
        <f aca="false">IF((E146="w"),H146," ")</f>
        <v> </v>
      </c>
      <c r="T146" s="17" t="str">
        <f aca="false">IF((E146="r"),H146," ")</f>
        <v> </v>
      </c>
      <c r="U146" s="17" t="str">
        <f aca="false">IF((E146="p"),H146," ")</f>
        <v> </v>
      </c>
      <c r="V146" s="17" t="str">
        <f aca="false">IF((E146="t"),H146," ")</f>
        <v> </v>
      </c>
      <c r="W146" s="17" t="str">
        <f aca="false">IF((E146="q"),H146," ")</f>
        <v> </v>
      </c>
      <c r="X146" s="17" t="str">
        <f aca="false">IF((E146="m"),H146," ")</f>
        <v> </v>
      </c>
      <c r="Y146" s="17" t="str">
        <f aca="false">IF((E146="u"),H146," ")</f>
        <v> </v>
      </c>
      <c r="Z146" s="17" t="str">
        <f aca="false">IF((E146="a"),H146," ")</f>
        <v> </v>
      </c>
      <c r="AA146" s="17" t="str">
        <f aca="false">IF((E146="g"),H146," ")</f>
        <v> </v>
      </c>
      <c r="AB146" s="17" t="str">
        <f aca="false">IF((E146="h"),H146," ")</f>
        <v> </v>
      </c>
      <c r="AC146" s="30" t="str">
        <f aca="false">IF((E146="v"),H146," ")</f>
        <v> </v>
      </c>
      <c r="AD146" s="30" t="str">
        <f aca="false">IF((E146="n"),H146," ")</f>
        <v> </v>
      </c>
      <c r="AE146" s="17" t="str">
        <f aca="false">IF((E146="f"),H146," ")</f>
        <v> </v>
      </c>
      <c r="AF146" s="17" t="str">
        <f aca="false">IF((E146="l"),H146," ")</f>
        <v> </v>
      </c>
      <c r="AG146" s="17" t="str">
        <f aca="false">IF((E146="y"),H146," ")</f>
        <v> </v>
      </c>
      <c r="AH146" s="17" t="str">
        <f aca="false">IF((E146="z"),H146," ")</f>
        <v> </v>
      </c>
      <c r="AI146" s="17" t="str">
        <f aca="false">IF((E146="fa"),H146," ")</f>
        <v> </v>
      </c>
      <c r="AJ146" s="17" t="str">
        <f aca="false">IF((E146="e"),H146," ")</f>
        <v> </v>
      </c>
    </row>
    <row r="147" customFormat="false" ht="12" hidden="false" customHeight="false" outlineLevel="0" collapsed="false">
      <c r="A147" s="28"/>
      <c r="E147" s="2" t="str">
        <f aca="false">IF((F147&lt;&gt;0),"Enter Letter"," ")</f>
        <v> </v>
      </c>
      <c r="F147" s="30"/>
      <c r="G147" s="6" t="str">
        <f aca="false">IF(F147&lt;&gt;0,F147*G$2/(100+G$2)," ")</f>
        <v> </v>
      </c>
      <c r="H147" s="6" t="str">
        <f aca="false">IF((F147&lt;&gt;0),F147-G147," ")</f>
        <v> </v>
      </c>
      <c r="I147" s="5"/>
      <c r="L147" s="7" t="str">
        <f aca="false">IF(F147&lt;&gt;0,F147-K147," ")</f>
        <v> </v>
      </c>
      <c r="M147" s="8" t="str">
        <f aca="false">IF((F147-K147)&lt;&gt;0,M$1-A147," ")</f>
        <v> </v>
      </c>
      <c r="N147" s="5"/>
      <c r="O147" s="17" t="str">
        <f aca="false">IF((E147="s"),H147," ")</f>
        <v> </v>
      </c>
      <c r="P147" s="17" t="str">
        <f aca="false">IF((E147="c"),H147," ")</f>
        <v> </v>
      </c>
      <c r="Q147" s="17" t="str">
        <f aca="false">IF((E147="o"),H147," ")</f>
        <v> </v>
      </c>
      <c r="R147" s="17" t="str">
        <f aca="false">IF((E147="d"),H147," ")</f>
        <v> </v>
      </c>
      <c r="S147" s="17" t="str">
        <f aca="false">IF((E147="w"),H147," ")</f>
        <v> </v>
      </c>
      <c r="T147" s="17" t="str">
        <f aca="false">IF((E147="r"),H147," ")</f>
        <v> </v>
      </c>
      <c r="U147" s="17" t="str">
        <f aca="false">IF((E147="p"),H147," ")</f>
        <v> </v>
      </c>
      <c r="V147" s="17" t="str">
        <f aca="false">IF((E147="t"),H147," ")</f>
        <v> </v>
      </c>
      <c r="W147" s="17" t="str">
        <f aca="false">IF((E147="q"),H147," ")</f>
        <v> </v>
      </c>
      <c r="X147" s="17" t="str">
        <f aca="false">IF((E147="m"),H147," ")</f>
        <v> </v>
      </c>
      <c r="Y147" s="17" t="str">
        <f aca="false">IF((E147="u"),H147," ")</f>
        <v> </v>
      </c>
      <c r="Z147" s="17" t="str">
        <f aca="false">IF((E147="a"),H147," ")</f>
        <v> </v>
      </c>
      <c r="AA147" s="17" t="str">
        <f aca="false">IF((E147="g"),H147," ")</f>
        <v> </v>
      </c>
      <c r="AB147" s="17" t="str">
        <f aca="false">IF((E147="h"),H147," ")</f>
        <v> </v>
      </c>
      <c r="AC147" s="30" t="str">
        <f aca="false">IF((E147="v"),H147," ")</f>
        <v> </v>
      </c>
      <c r="AD147" s="30" t="str">
        <f aca="false">IF((E147="n"),H147," ")</f>
        <v> </v>
      </c>
      <c r="AE147" s="17" t="str">
        <f aca="false">IF((E147="f"),H147," ")</f>
        <v> </v>
      </c>
      <c r="AF147" s="17" t="str">
        <f aca="false">IF((E147="l"),H147," ")</f>
        <v> </v>
      </c>
      <c r="AG147" s="17" t="str">
        <f aca="false">IF((E147="y"),H147," ")</f>
        <v> </v>
      </c>
      <c r="AH147" s="17" t="str">
        <f aca="false">IF((E147="z"),H147," ")</f>
        <v> </v>
      </c>
      <c r="AI147" s="17" t="str">
        <f aca="false">IF((E147="fa"),H147," ")</f>
        <v> </v>
      </c>
      <c r="AJ147" s="17" t="str">
        <f aca="false">IF((E147="e"),H147," ")</f>
        <v> </v>
      </c>
    </row>
    <row r="148" customFormat="false" ht="12" hidden="false" customHeight="false" outlineLevel="0" collapsed="false">
      <c r="A148" s="28"/>
      <c r="E148" s="2" t="str">
        <f aca="false">IF((F148&lt;&gt;0),"Enter Letter"," ")</f>
        <v> </v>
      </c>
      <c r="F148" s="30"/>
      <c r="G148" s="6" t="str">
        <f aca="false">IF(F148&lt;&gt;0,F148*G$2/(100+G$2)," ")</f>
        <v> </v>
      </c>
      <c r="H148" s="6" t="str">
        <f aca="false">IF((F148&lt;&gt;0),F148-G148," ")</f>
        <v> </v>
      </c>
      <c r="I148" s="5"/>
      <c r="L148" s="7" t="str">
        <f aca="false">IF(F148&lt;&gt;0,F148-K148," ")</f>
        <v> </v>
      </c>
      <c r="M148" s="8" t="str">
        <f aca="false">IF((F148-K148)&lt;&gt;0,M$1-A148," ")</f>
        <v> </v>
      </c>
      <c r="N148" s="5"/>
      <c r="O148" s="17" t="str">
        <f aca="false">IF((E148="s"),H148," ")</f>
        <v> </v>
      </c>
      <c r="P148" s="17" t="str">
        <f aca="false">IF((E148="c"),H148," ")</f>
        <v> </v>
      </c>
      <c r="Q148" s="17" t="str">
        <f aca="false">IF((E148="o"),H148," ")</f>
        <v> </v>
      </c>
      <c r="R148" s="17" t="str">
        <f aca="false">IF((E148="d"),H148," ")</f>
        <v> </v>
      </c>
      <c r="S148" s="17" t="str">
        <f aca="false">IF((E148="w"),H148," ")</f>
        <v> </v>
      </c>
      <c r="T148" s="17" t="str">
        <f aca="false">IF((E148="r"),H148," ")</f>
        <v> </v>
      </c>
      <c r="U148" s="17" t="str">
        <f aca="false">IF((E148="p"),H148," ")</f>
        <v> </v>
      </c>
      <c r="V148" s="17" t="str">
        <f aca="false">IF((E148="t"),H148," ")</f>
        <v> </v>
      </c>
      <c r="W148" s="17" t="str">
        <f aca="false">IF((E148="q"),H148," ")</f>
        <v> </v>
      </c>
      <c r="X148" s="17" t="str">
        <f aca="false">IF((E148="m"),H148," ")</f>
        <v> </v>
      </c>
      <c r="Y148" s="17" t="str">
        <f aca="false">IF((E148="u"),H148," ")</f>
        <v> </v>
      </c>
      <c r="Z148" s="17" t="str">
        <f aca="false">IF((E148="a"),H148," ")</f>
        <v> </v>
      </c>
      <c r="AA148" s="17" t="str">
        <f aca="false">IF((E148="g"),H148," ")</f>
        <v> </v>
      </c>
      <c r="AB148" s="17" t="str">
        <f aca="false">IF((E148="h"),H148," ")</f>
        <v> </v>
      </c>
      <c r="AC148" s="30" t="str">
        <f aca="false">IF((E148="v"),H148," ")</f>
        <v> </v>
      </c>
      <c r="AD148" s="30" t="str">
        <f aca="false">IF((E148="n"),H148," ")</f>
        <v> </v>
      </c>
      <c r="AE148" s="17" t="str">
        <f aca="false">IF((E148="f"),H148," ")</f>
        <v> </v>
      </c>
      <c r="AF148" s="17" t="str">
        <f aca="false">IF((E148="l"),H148," ")</f>
        <v> </v>
      </c>
      <c r="AG148" s="17" t="str">
        <f aca="false">IF((E148="y"),H148," ")</f>
        <v> </v>
      </c>
      <c r="AH148" s="17" t="str">
        <f aca="false">IF((E148="z"),H148," ")</f>
        <v> </v>
      </c>
      <c r="AI148" s="17" t="str">
        <f aca="false">IF((E148="fa"),H148," ")</f>
        <v> </v>
      </c>
      <c r="AJ148" s="17" t="str">
        <f aca="false">IF((E148="e"),H148," ")</f>
        <v> </v>
      </c>
    </row>
    <row r="149" customFormat="false" ht="12" hidden="false" customHeight="false" outlineLevel="0" collapsed="false">
      <c r="A149" s="28"/>
      <c r="E149" s="2" t="str">
        <f aca="false">IF((F149&lt;&gt;0),"Enter Letter"," ")</f>
        <v> </v>
      </c>
      <c r="F149" s="30"/>
      <c r="G149" s="6" t="str">
        <f aca="false">IF(F149&lt;&gt;0,F149*G$2/(100+G$2)," ")</f>
        <v> </v>
      </c>
      <c r="H149" s="6" t="str">
        <f aca="false">IF((F149&lt;&gt;0),F149-G149," ")</f>
        <v> </v>
      </c>
      <c r="I149" s="5"/>
      <c r="L149" s="7" t="str">
        <f aca="false">IF(F149&lt;&gt;0,F149-K149," ")</f>
        <v> </v>
      </c>
      <c r="M149" s="8" t="str">
        <f aca="false">IF((F149-K149)&lt;&gt;0,M$1-A149," ")</f>
        <v> </v>
      </c>
      <c r="N149" s="5"/>
      <c r="O149" s="17" t="str">
        <f aca="false">IF((E149="s"),H149," ")</f>
        <v> </v>
      </c>
      <c r="P149" s="17" t="str">
        <f aca="false">IF((E149="c"),H149," ")</f>
        <v> </v>
      </c>
      <c r="Q149" s="17" t="str">
        <f aca="false">IF((E149="o"),H149," ")</f>
        <v> </v>
      </c>
      <c r="R149" s="17" t="str">
        <f aca="false">IF((E149="d"),H149," ")</f>
        <v> </v>
      </c>
      <c r="S149" s="17" t="str">
        <f aca="false">IF((E149="w"),H149," ")</f>
        <v> </v>
      </c>
      <c r="T149" s="17" t="str">
        <f aca="false">IF((E149="r"),H149," ")</f>
        <v> </v>
      </c>
      <c r="U149" s="17" t="str">
        <f aca="false">IF((E149="p"),H149," ")</f>
        <v> </v>
      </c>
      <c r="V149" s="17" t="str">
        <f aca="false">IF((E149="t"),H149," ")</f>
        <v> </v>
      </c>
      <c r="W149" s="17" t="str">
        <f aca="false">IF((E149="q"),H149," ")</f>
        <v> </v>
      </c>
      <c r="X149" s="17" t="str">
        <f aca="false">IF((E149="m"),H149," ")</f>
        <v> </v>
      </c>
      <c r="Y149" s="17" t="str">
        <f aca="false">IF((E149="u"),H149," ")</f>
        <v> </v>
      </c>
      <c r="Z149" s="17" t="str">
        <f aca="false">IF((E149="a"),H149," ")</f>
        <v> </v>
      </c>
      <c r="AA149" s="17" t="str">
        <f aca="false">IF((E149="g"),H149," ")</f>
        <v> </v>
      </c>
      <c r="AB149" s="17" t="str">
        <f aca="false">IF((E149="h"),H149," ")</f>
        <v> </v>
      </c>
      <c r="AC149" s="30" t="str">
        <f aca="false">IF((E149="v"),H149," ")</f>
        <v> </v>
      </c>
      <c r="AD149" s="30" t="str">
        <f aca="false">IF((E149="n"),H149," ")</f>
        <v> </v>
      </c>
      <c r="AE149" s="17" t="str">
        <f aca="false">IF((E149="f"),H149," ")</f>
        <v> </v>
      </c>
      <c r="AF149" s="17" t="str">
        <f aca="false">IF((E149="l"),H149," ")</f>
        <v> </v>
      </c>
      <c r="AG149" s="17" t="str">
        <f aca="false">IF((E149="y"),H149," ")</f>
        <v> </v>
      </c>
      <c r="AH149" s="17" t="str">
        <f aca="false">IF((E149="z"),H149," ")</f>
        <v> </v>
      </c>
      <c r="AI149" s="17" t="str">
        <f aca="false">IF((E149="fa"),H149," ")</f>
        <v> </v>
      </c>
      <c r="AJ149" s="17" t="str">
        <f aca="false">IF((E149="e"),H149," ")</f>
        <v> </v>
      </c>
    </row>
    <row r="150" customFormat="false" ht="12" hidden="false" customHeight="false" outlineLevel="0" collapsed="false">
      <c r="A150" s="28"/>
      <c r="E150" s="2" t="str">
        <f aca="false">IF((F150&lt;&gt;0),"Enter Letter"," ")</f>
        <v> </v>
      </c>
      <c r="F150" s="30"/>
      <c r="G150" s="6" t="str">
        <f aca="false">IF(F150&lt;&gt;0,F150*G$2/(100+G$2)," ")</f>
        <v> </v>
      </c>
      <c r="H150" s="6" t="str">
        <f aca="false">IF((F150&lt;&gt;0),F150-G150," ")</f>
        <v> </v>
      </c>
      <c r="I150" s="5"/>
      <c r="L150" s="7" t="str">
        <f aca="false">IF(F150&lt;&gt;0,F150-K150," ")</f>
        <v> </v>
      </c>
      <c r="M150" s="8" t="str">
        <f aca="false">IF((F150-K150)&lt;&gt;0,M$1-A150," ")</f>
        <v> </v>
      </c>
      <c r="N150" s="5"/>
      <c r="O150" s="17" t="str">
        <f aca="false">IF((E150="s"),H150," ")</f>
        <v> </v>
      </c>
      <c r="P150" s="17" t="str">
        <f aca="false">IF((E150="c"),H150," ")</f>
        <v> </v>
      </c>
      <c r="Q150" s="17" t="str">
        <f aca="false">IF((E150="o"),H150," ")</f>
        <v> </v>
      </c>
      <c r="R150" s="17" t="str">
        <f aca="false">IF((E150="d"),H150," ")</f>
        <v> </v>
      </c>
      <c r="S150" s="17" t="str">
        <f aca="false">IF((E150="w"),H150," ")</f>
        <v> </v>
      </c>
      <c r="T150" s="17" t="str">
        <f aca="false">IF((E150="r"),H150," ")</f>
        <v> </v>
      </c>
      <c r="U150" s="17" t="str">
        <f aca="false">IF((E150="p"),H150," ")</f>
        <v> </v>
      </c>
      <c r="V150" s="17" t="str">
        <f aca="false">IF((E150="t"),H150," ")</f>
        <v> </v>
      </c>
      <c r="W150" s="17" t="str">
        <f aca="false">IF((E150="q"),H150," ")</f>
        <v> </v>
      </c>
      <c r="X150" s="17" t="str">
        <f aca="false">IF((E150="m"),H150," ")</f>
        <v> </v>
      </c>
      <c r="Y150" s="17" t="str">
        <f aca="false">IF((E150="u"),H150," ")</f>
        <v> </v>
      </c>
      <c r="Z150" s="17" t="str">
        <f aca="false">IF((E150="a"),H150," ")</f>
        <v> </v>
      </c>
      <c r="AA150" s="17" t="str">
        <f aca="false">IF((E150="g"),H150," ")</f>
        <v> </v>
      </c>
      <c r="AB150" s="17" t="str">
        <f aca="false">IF((E150="h"),H150," ")</f>
        <v> </v>
      </c>
      <c r="AC150" s="30" t="str">
        <f aca="false">IF((E150="v"),H150," ")</f>
        <v> </v>
      </c>
      <c r="AD150" s="30" t="str">
        <f aca="false">IF((E150="n"),H150," ")</f>
        <v> </v>
      </c>
      <c r="AE150" s="17" t="str">
        <f aca="false">IF((E150="f"),H150," ")</f>
        <v> </v>
      </c>
      <c r="AF150" s="17" t="str">
        <f aca="false">IF((E150="l"),H150," ")</f>
        <v> </v>
      </c>
      <c r="AG150" s="17" t="str">
        <f aca="false">IF((E150="y"),H150," ")</f>
        <v> </v>
      </c>
      <c r="AH150" s="17" t="str">
        <f aca="false">IF((E150="z"),H150," ")</f>
        <v> </v>
      </c>
      <c r="AI150" s="17" t="str">
        <f aca="false">IF((E150="fa"),H150," ")</f>
        <v> </v>
      </c>
      <c r="AJ150" s="17" t="str">
        <f aca="false">IF((E150="e"),H150," ")</f>
        <v> </v>
      </c>
    </row>
    <row r="151" customFormat="false" ht="12" hidden="false" customHeight="false" outlineLevel="0" collapsed="false">
      <c r="A151" s="28"/>
      <c r="E151" s="2" t="str">
        <f aca="false">IF((F151&lt;&gt;0),"Enter Letter"," ")</f>
        <v> </v>
      </c>
      <c r="F151" s="30"/>
      <c r="G151" s="6" t="str">
        <f aca="false">IF(F151&lt;&gt;0,F151*G$2/(100+G$2)," ")</f>
        <v> </v>
      </c>
      <c r="H151" s="6" t="str">
        <f aca="false">IF((F151&lt;&gt;0),F151-G151," ")</f>
        <v> </v>
      </c>
      <c r="I151" s="5"/>
      <c r="L151" s="7" t="str">
        <f aca="false">IF(F151&lt;&gt;0,F151-K151," ")</f>
        <v> </v>
      </c>
      <c r="M151" s="8" t="str">
        <f aca="false">IF((F151-K151)&lt;&gt;0,M$1-A151," ")</f>
        <v> </v>
      </c>
      <c r="N151" s="5"/>
      <c r="O151" s="17" t="str">
        <f aca="false">IF((E151="s"),H151," ")</f>
        <v> </v>
      </c>
      <c r="P151" s="17" t="str">
        <f aca="false">IF((E151="c"),H151," ")</f>
        <v> </v>
      </c>
      <c r="Q151" s="17" t="str">
        <f aca="false">IF((E151="o"),H151," ")</f>
        <v> </v>
      </c>
      <c r="R151" s="17" t="str">
        <f aca="false">IF((E151="d"),H151," ")</f>
        <v> </v>
      </c>
      <c r="S151" s="17" t="str">
        <f aca="false">IF((E151="w"),H151," ")</f>
        <v> </v>
      </c>
      <c r="T151" s="17" t="str">
        <f aca="false">IF((E151="r"),H151," ")</f>
        <v> </v>
      </c>
      <c r="U151" s="17" t="str">
        <f aca="false">IF((E151="p"),H151," ")</f>
        <v> </v>
      </c>
      <c r="V151" s="17" t="str">
        <f aca="false">IF((E151="t"),H151," ")</f>
        <v> </v>
      </c>
      <c r="W151" s="17" t="str">
        <f aca="false">IF((E151="q"),H151," ")</f>
        <v> </v>
      </c>
      <c r="X151" s="17" t="str">
        <f aca="false">IF((E151="m"),H151," ")</f>
        <v> </v>
      </c>
      <c r="Y151" s="17" t="str">
        <f aca="false">IF((E151="u"),H151," ")</f>
        <v> </v>
      </c>
      <c r="Z151" s="17" t="str">
        <f aca="false">IF((E151="a"),H151," ")</f>
        <v> </v>
      </c>
      <c r="AA151" s="17" t="str">
        <f aca="false">IF((E151="g"),H151," ")</f>
        <v> </v>
      </c>
      <c r="AB151" s="17" t="str">
        <f aca="false">IF((E151="h"),H151," ")</f>
        <v> </v>
      </c>
      <c r="AC151" s="30" t="str">
        <f aca="false">IF((E151="v"),H151," ")</f>
        <v> </v>
      </c>
      <c r="AD151" s="30" t="str">
        <f aca="false">IF((E151="n"),H151," ")</f>
        <v> </v>
      </c>
      <c r="AE151" s="17" t="str">
        <f aca="false">IF((E151="f"),H151," ")</f>
        <v> </v>
      </c>
      <c r="AF151" s="17" t="str">
        <f aca="false">IF((E151="l"),H151," ")</f>
        <v> </v>
      </c>
      <c r="AG151" s="17" t="str">
        <f aca="false">IF((E151="y"),H151," ")</f>
        <v> </v>
      </c>
      <c r="AH151" s="17" t="str">
        <f aca="false">IF((E151="z"),H151," ")</f>
        <v> </v>
      </c>
      <c r="AI151" s="17" t="str">
        <f aca="false">IF((E151="fa"),H151," ")</f>
        <v> </v>
      </c>
      <c r="AJ151" s="17" t="str">
        <f aca="false">IF((E151="e"),H151," ")</f>
        <v> </v>
      </c>
    </row>
    <row r="152" customFormat="false" ht="12" hidden="false" customHeight="false" outlineLevel="0" collapsed="false">
      <c r="A152" s="28"/>
      <c r="E152" s="2" t="str">
        <f aca="false">IF((F152&lt;&gt;0),"Enter Letter"," ")</f>
        <v> </v>
      </c>
      <c r="F152" s="30"/>
      <c r="G152" s="6" t="str">
        <f aca="false">IF(F152&lt;&gt;0,F152*G$2/(100+G$2)," ")</f>
        <v> </v>
      </c>
      <c r="H152" s="6" t="str">
        <f aca="false">IF((F152&lt;&gt;0),F152-G152," ")</f>
        <v> </v>
      </c>
      <c r="I152" s="5"/>
      <c r="L152" s="7" t="str">
        <f aca="false">IF(F152&lt;&gt;0,F152-K152," ")</f>
        <v> </v>
      </c>
      <c r="M152" s="8" t="str">
        <f aca="false">IF((F152-K152)&lt;&gt;0,M$1-A152," ")</f>
        <v> </v>
      </c>
      <c r="N152" s="5"/>
      <c r="O152" s="17" t="str">
        <f aca="false">IF((E152="s"),H152," ")</f>
        <v> </v>
      </c>
      <c r="P152" s="17" t="str">
        <f aca="false">IF((E152="c"),H152," ")</f>
        <v> </v>
      </c>
      <c r="Q152" s="17" t="str">
        <f aca="false">IF((E152="o"),H152," ")</f>
        <v> </v>
      </c>
      <c r="R152" s="17" t="str">
        <f aca="false">IF((E152="d"),H152," ")</f>
        <v> </v>
      </c>
      <c r="S152" s="17" t="str">
        <f aca="false">IF((E152="w"),H152," ")</f>
        <v> </v>
      </c>
      <c r="T152" s="17" t="str">
        <f aca="false">IF((E152="r"),H152," ")</f>
        <v> </v>
      </c>
      <c r="U152" s="17" t="str">
        <f aca="false">IF((E152="p"),H152," ")</f>
        <v> </v>
      </c>
      <c r="V152" s="17" t="str">
        <f aca="false">IF((E152="t"),H152," ")</f>
        <v> </v>
      </c>
      <c r="W152" s="17" t="str">
        <f aca="false">IF((E152="q"),H152," ")</f>
        <v> </v>
      </c>
      <c r="X152" s="17" t="str">
        <f aca="false">IF((E152="m"),H152," ")</f>
        <v> </v>
      </c>
      <c r="Y152" s="17" t="str">
        <f aca="false">IF((E152="u"),H152," ")</f>
        <v> </v>
      </c>
      <c r="Z152" s="17" t="str">
        <f aca="false">IF((E152="a"),H152," ")</f>
        <v> </v>
      </c>
      <c r="AA152" s="17" t="str">
        <f aca="false">IF((E152="g"),H152," ")</f>
        <v> </v>
      </c>
      <c r="AB152" s="17" t="str">
        <f aca="false">IF((E152="h"),H152," ")</f>
        <v> </v>
      </c>
      <c r="AC152" s="30" t="str">
        <f aca="false">IF((E152="v"),H152," ")</f>
        <v> </v>
      </c>
      <c r="AD152" s="30" t="str">
        <f aca="false">IF((E152="n"),H152," ")</f>
        <v> </v>
      </c>
      <c r="AE152" s="17" t="str">
        <f aca="false">IF((E152="f"),H152," ")</f>
        <v> </v>
      </c>
      <c r="AF152" s="17" t="str">
        <f aca="false">IF((E152="l"),H152," ")</f>
        <v> </v>
      </c>
      <c r="AG152" s="17" t="str">
        <f aca="false">IF((E152="y"),H152," ")</f>
        <v> </v>
      </c>
      <c r="AH152" s="17" t="str">
        <f aca="false">IF((E152="z"),H152," ")</f>
        <v> </v>
      </c>
      <c r="AI152" s="17" t="str">
        <f aca="false">IF((E152="fa"),H152," ")</f>
        <v> </v>
      </c>
      <c r="AJ152" s="17" t="str">
        <f aca="false">IF((E152="e"),H152," ")</f>
        <v> </v>
      </c>
    </row>
    <row r="153" customFormat="false" ht="12" hidden="false" customHeight="false" outlineLevel="0" collapsed="false">
      <c r="A153" s="28"/>
      <c r="E153" s="2" t="str">
        <f aca="false">IF((F153&lt;&gt;0),"Enter Letter"," ")</f>
        <v> </v>
      </c>
      <c r="F153" s="30"/>
      <c r="G153" s="6" t="str">
        <f aca="false">IF(F153&lt;&gt;0,F153*G$2/(100+G$2)," ")</f>
        <v> </v>
      </c>
      <c r="H153" s="6" t="str">
        <f aca="false">IF((F153&lt;&gt;0),F153-G153," ")</f>
        <v> </v>
      </c>
      <c r="I153" s="5"/>
      <c r="L153" s="7" t="str">
        <f aca="false">IF(F153&lt;&gt;0,F153-K153," ")</f>
        <v> </v>
      </c>
      <c r="M153" s="8" t="str">
        <f aca="false">IF((F153-K153)&lt;&gt;0,M$1-A153," ")</f>
        <v> </v>
      </c>
      <c r="N153" s="5"/>
      <c r="O153" s="17" t="str">
        <f aca="false">IF((E153="s"),H153," ")</f>
        <v> </v>
      </c>
      <c r="P153" s="17" t="str">
        <f aca="false">IF((E153="c"),H153," ")</f>
        <v> </v>
      </c>
      <c r="Q153" s="17" t="str">
        <f aca="false">IF((E153="o"),H153," ")</f>
        <v> </v>
      </c>
      <c r="R153" s="17" t="str">
        <f aca="false">IF((E153="d"),H153," ")</f>
        <v> </v>
      </c>
      <c r="S153" s="17" t="str">
        <f aca="false">IF((E153="w"),H153," ")</f>
        <v> </v>
      </c>
      <c r="T153" s="17" t="str">
        <f aca="false">IF((E153="r"),H153," ")</f>
        <v> </v>
      </c>
      <c r="U153" s="17" t="str">
        <f aca="false">IF((E153="p"),H153," ")</f>
        <v> </v>
      </c>
      <c r="V153" s="17" t="str">
        <f aca="false">IF((E153="t"),H153," ")</f>
        <v> </v>
      </c>
      <c r="W153" s="17" t="str">
        <f aca="false">IF((E153="q"),H153," ")</f>
        <v> </v>
      </c>
      <c r="X153" s="17" t="str">
        <f aca="false">IF((E153="m"),H153," ")</f>
        <v> </v>
      </c>
      <c r="Y153" s="17" t="str">
        <f aca="false">IF((E153="u"),H153," ")</f>
        <v> </v>
      </c>
      <c r="Z153" s="17" t="str">
        <f aca="false">IF((E153="a"),H153," ")</f>
        <v> </v>
      </c>
      <c r="AA153" s="17" t="str">
        <f aca="false">IF((E153="g"),H153," ")</f>
        <v> </v>
      </c>
      <c r="AB153" s="17" t="str">
        <f aca="false">IF((E153="h"),H153," ")</f>
        <v> </v>
      </c>
      <c r="AC153" s="30" t="str">
        <f aca="false">IF((E153="v"),H153," ")</f>
        <v> </v>
      </c>
      <c r="AD153" s="30" t="str">
        <f aca="false">IF((E153="n"),H153," ")</f>
        <v> </v>
      </c>
      <c r="AE153" s="17" t="str">
        <f aca="false">IF((E153="f"),H153," ")</f>
        <v> </v>
      </c>
      <c r="AF153" s="17" t="str">
        <f aca="false">IF((E153="l"),H153," ")</f>
        <v> </v>
      </c>
      <c r="AG153" s="17" t="str">
        <f aca="false">IF((E153="y"),H153," ")</f>
        <v> </v>
      </c>
      <c r="AH153" s="17" t="str">
        <f aca="false">IF((E153="z"),H153," ")</f>
        <v> </v>
      </c>
      <c r="AI153" s="17" t="str">
        <f aca="false">IF((E153="fa"),H153," ")</f>
        <v> </v>
      </c>
      <c r="AJ153" s="17" t="str">
        <f aca="false">IF((E153="e"),H153," ")</f>
        <v> </v>
      </c>
    </row>
    <row r="154" customFormat="false" ht="12" hidden="false" customHeight="false" outlineLevel="0" collapsed="false">
      <c r="A154" s="28"/>
      <c r="E154" s="2" t="str">
        <f aca="false">IF((F154&lt;&gt;0),"Enter Letter"," ")</f>
        <v> </v>
      </c>
      <c r="F154" s="30"/>
      <c r="G154" s="6" t="str">
        <f aca="false">IF(F154&lt;&gt;0,F154*G$2/(100+G$2)," ")</f>
        <v> </v>
      </c>
      <c r="H154" s="6" t="str">
        <f aca="false">IF((F154&lt;&gt;0),F154-G154," ")</f>
        <v> </v>
      </c>
      <c r="I154" s="5"/>
      <c r="L154" s="7" t="str">
        <f aca="false">IF(F154&lt;&gt;0,F154-K154," ")</f>
        <v> </v>
      </c>
      <c r="M154" s="8" t="str">
        <f aca="false">IF((F154-K154)&lt;&gt;0,M$1-A154," ")</f>
        <v> </v>
      </c>
      <c r="N154" s="5"/>
      <c r="O154" s="17" t="str">
        <f aca="false">IF((E154="s"),H154," ")</f>
        <v> </v>
      </c>
      <c r="P154" s="17" t="str">
        <f aca="false">IF((E154="c"),H154," ")</f>
        <v> </v>
      </c>
      <c r="Q154" s="17" t="str">
        <f aca="false">IF((E154="o"),H154," ")</f>
        <v> </v>
      </c>
      <c r="R154" s="17" t="str">
        <f aca="false">IF((E154="d"),H154," ")</f>
        <v> </v>
      </c>
      <c r="S154" s="17" t="str">
        <f aca="false">IF((E154="w"),H154," ")</f>
        <v> </v>
      </c>
      <c r="T154" s="17" t="str">
        <f aca="false">IF((E154="r"),H154," ")</f>
        <v> </v>
      </c>
      <c r="U154" s="17" t="str">
        <f aca="false">IF((E154="p"),H154," ")</f>
        <v> </v>
      </c>
      <c r="V154" s="17" t="str">
        <f aca="false">IF((E154="t"),H154," ")</f>
        <v> </v>
      </c>
      <c r="W154" s="17" t="str">
        <f aca="false">IF((E154="q"),H154," ")</f>
        <v> </v>
      </c>
      <c r="X154" s="17" t="str">
        <f aca="false">IF((E154="m"),H154," ")</f>
        <v> </v>
      </c>
      <c r="Y154" s="17" t="str">
        <f aca="false">IF((E154="u"),H154," ")</f>
        <v> </v>
      </c>
      <c r="Z154" s="17" t="str">
        <f aca="false">IF((E154="a"),H154," ")</f>
        <v> </v>
      </c>
      <c r="AA154" s="17" t="str">
        <f aca="false">IF((E154="g"),H154," ")</f>
        <v> </v>
      </c>
      <c r="AB154" s="17" t="str">
        <f aca="false">IF((E154="h"),H154," ")</f>
        <v> </v>
      </c>
      <c r="AC154" s="30" t="str">
        <f aca="false">IF((E154="v"),H154," ")</f>
        <v> </v>
      </c>
      <c r="AD154" s="30" t="str">
        <f aca="false">IF((E154="n"),H154," ")</f>
        <v> </v>
      </c>
      <c r="AE154" s="17" t="str">
        <f aca="false">IF((E154="f"),H154," ")</f>
        <v> </v>
      </c>
      <c r="AF154" s="17" t="str">
        <f aca="false">IF((E154="l"),H154," ")</f>
        <v> </v>
      </c>
      <c r="AG154" s="17" t="str">
        <f aca="false">IF((E154="y"),H154," ")</f>
        <v> </v>
      </c>
      <c r="AH154" s="17" t="str">
        <f aca="false">IF((E154="z"),H154," ")</f>
        <v> </v>
      </c>
      <c r="AI154" s="17" t="str">
        <f aca="false">IF((E154="fa"),H154," ")</f>
        <v> </v>
      </c>
      <c r="AJ154" s="17" t="str">
        <f aca="false">IF((E154="e"),H154," ")</f>
        <v> </v>
      </c>
    </row>
    <row r="155" customFormat="false" ht="12" hidden="false" customHeight="false" outlineLevel="0" collapsed="false">
      <c r="A155" s="28"/>
      <c r="E155" s="2" t="str">
        <f aca="false">IF((F155&lt;&gt;0),"Enter Letter"," ")</f>
        <v> </v>
      </c>
      <c r="F155" s="30"/>
      <c r="G155" s="6" t="str">
        <f aca="false">IF(F155&lt;&gt;0,F155*G$2/(100+G$2)," ")</f>
        <v> </v>
      </c>
      <c r="H155" s="6" t="str">
        <f aca="false">IF((F155&lt;&gt;0),F155-G155," ")</f>
        <v> </v>
      </c>
      <c r="I155" s="5"/>
      <c r="L155" s="7" t="str">
        <f aca="false">IF(F155&lt;&gt;0,F155-K155," ")</f>
        <v> </v>
      </c>
      <c r="M155" s="8" t="str">
        <f aca="false">IF((F155-K155)&lt;&gt;0,M$1-A155," ")</f>
        <v> </v>
      </c>
      <c r="N155" s="5"/>
      <c r="O155" s="17" t="str">
        <f aca="false">IF((E155="s"),H155," ")</f>
        <v> </v>
      </c>
      <c r="P155" s="17" t="str">
        <f aca="false">IF((E155="c"),H155," ")</f>
        <v> </v>
      </c>
      <c r="Q155" s="17" t="str">
        <f aca="false">IF((E155="o"),H155," ")</f>
        <v> </v>
      </c>
      <c r="R155" s="17" t="str">
        <f aca="false">IF((E155="d"),H155," ")</f>
        <v> </v>
      </c>
      <c r="S155" s="17" t="str">
        <f aca="false">IF((E155="w"),H155," ")</f>
        <v> </v>
      </c>
      <c r="T155" s="17" t="str">
        <f aca="false">IF((E155="r"),H155," ")</f>
        <v> </v>
      </c>
      <c r="U155" s="17" t="str">
        <f aca="false">IF((E155="p"),H155," ")</f>
        <v> </v>
      </c>
      <c r="V155" s="17" t="str">
        <f aca="false">IF((E155="t"),H155," ")</f>
        <v> </v>
      </c>
      <c r="W155" s="17" t="str">
        <f aca="false">IF((E155="q"),H155," ")</f>
        <v> </v>
      </c>
      <c r="X155" s="17" t="str">
        <f aca="false">IF((E155="m"),H155," ")</f>
        <v> </v>
      </c>
      <c r="Y155" s="17" t="str">
        <f aca="false">IF((E155="u"),H155," ")</f>
        <v> </v>
      </c>
      <c r="Z155" s="17" t="str">
        <f aca="false">IF((E155="a"),H155," ")</f>
        <v> </v>
      </c>
      <c r="AA155" s="17" t="str">
        <f aca="false">IF((E155="g"),H155," ")</f>
        <v> </v>
      </c>
      <c r="AB155" s="17" t="str">
        <f aca="false">IF((E155="h"),H155," ")</f>
        <v> </v>
      </c>
      <c r="AC155" s="30" t="str">
        <f aca="false">IF((E155="v"),H155," ")</f>
        <v> </v>
      </c>
      <c r="AD155" s="30" t="str">
        <f aca="false">IF((E155="n"),H155," ")</f>
        <v> </v>
      </c>
      <c r="AE155" s="17" t="str">
        <f aca="false">IF((E155="f"),H155," ")</f>
        <v> </v>
      </c>
      <c r="AF155" s="17" t="str">
        <f aca="false">IF((E155="l"),H155," ")</f>
        <v> </v>
      </c>
      <c r="AG155" s="17" t="str">
        <f aca="false">IF((E155="y"),H155," ")</f>
        <v> </v>
      </c>
      <c r="AH155" s="17" t="str">
        <f aca="false">IF((E155="z"),H155," ")</f>
        <v> </v>
      </c>
      <c r="AI155" s="17" t="str">
        <f aca="false">IF((E155="fa"),H155," ")</f>
        <v> </v>
      </c>
      <c r="AJ155" s="17" t="str">
        <f aca="false">IF((E155="e"),H155," ")</f>
        <v> </v>
      </c>
    </row>
    <row r="156" customFormat="false" ht="12" hidden="false" customHeight="false" outlineLevel="0" collapsed="false">
      <c r="A156" s="28"/>
      <c r="E156" s="2" t="str">
        <f aca="false">IF((F156&lt;&gt;0),"Enter Letter"," ")</f>
        <v> </v>
      </c>
      <c r="F156" s="30"/>
      <c r="G156" s="6" t="str">
        <f aca="false">IF(F156&lt;&gt;0,F156*G$2/(100+G$2)," ")</f>
        <v> </v>
      </c>
      <c r="H156" s="6" t="str">
        <f aca="false">IF((F156&lt;&gt;0),F156-G156," ")</f>
        <v> </v>
      </c>
      <c r="I156" s="5"/>
      <c r="L156" s="7" t="str">
        <f aca="false">IF(F156&lt;&gt;0,F156-K156," ")</f>
        <v> </v>
      </c>
      <c r="M156" s="8" t="str">
        <f aca="false">IF((F156-K156)&lt;&gt;0,M$1-A156," ")</f>
        <v> </v>
      </c>
      <c r="N156" s="5"/>
      <c r="O156" s="17" t="str">
        <f aca="false">IF((E156="s"),H156," ")</f>
        <v> </v>
      </c>
      <c r="P156" s="17" t="str">
        <f aca="false">IF((E156="c"),H156," ")</f>
        <v> </v>
      </c>
      <c r="Q156" s="17" t="str">
        <f aca="false">IF((E156="o"),H156," ")</f>
        <v> </v>
      </c>
      <c r="R156" s="17" t="str">
        <f aca="false">IF((E156="d"),H156," ")</f>
        <v> </v>
      </c>
      <c r="S156" s="17" t="str">
        <f aca="false">IF((E156="w"),H156," ")</f>
        <v> </v>
      </c>
      <c r="T156" s="17" t="str">
        <f aca="false">IF((E156="r"),H156," ")</f>
        <v> </v>
      </c>
      <c r="U156" s="17" t="str">
        <f aca="false">IF((E156="p"),H156," ")</f>
        <v> </v>
      </c>
      <c r="V156" s="17" t="str">
        <f aca="false">IF((E156="t"),H156," ")</f>
        <v> </v>
      </c>
      <c r="W156" s="17" t="str">
        <f aca="false">IF((E156="q"),H156," ")</f>
        <v> </v>
      </c>
      <c r="X156" s="17" t="str">
        <f aca="false">IF((E156="m"),H156," ")</f>
        <v> </v>
      </c>
      <c r="Y156" s="17" t="str">
        <f aca="false">IF((E156="u"),H156," ")</f>
        <v> </v>
      </c>
      <c r="Z156" s="17" t="str">
        <f aca="false">IF((E156="a"),H156," ")</f>
        <v> </v>
      </c>
      <c r="AA156" s="17" t="str">
        <f aca="false">IF((E156="g"),H156," ")</f>
        <v> </v>
      </c>
      <c r="AB156" s="17" t="str">
        <f aca="false">IF((E156="h"),H156," ")</f>
        <v> </v>
      </c>
      <c r="AC156" s="30" t="str">
        <f aca="false">IF((E156="v"),H156," ")</f>
        <v> </v>
      </c>
      <c r="AD156" s="30" t="str">
        <f aca="false">IF((E156="n"),H156," ")</f>
        <v> </v>
      </c>
      <c r="AE156" s="17" t="str">
        <f aca="false">IF((E156="f"),H156," ")</f>
        <v> </v>
      </c>
      <c r="AF156" s="17" t="str">
        <f aca="false">IF((E156="l"),H156," ")</f>
        <v> </v>
      </c>
      <c r="AG156" s="17" t="str">
        <f aca="false">IF((E156="y"),H156," ")</f>
        <v> </v>
      </c>
      <c r="AH156" s="17" t="str">
        <f aca="false">IF((E156="z"),H156," ")</f>
        <v> </v>
      </c>
      <c r="AI156" s="17" t="str">
        <f aca="false">IF((E156="fa"),H156," ")</f>
        <v> </v>
      </c>
      <c r="AJ156" s="17" t="str">
        <f aca="false">IF((E156="e"),H156," ")</f>
        <v> </v>
      </c>
    </row>
    <row r="157" customFormat="false" ht="12" hidden="false" customHeight="false" outlineLevel="0" collapsed="false">
      <c r="A157" s="28"/>
      <c r="E157" s="2" t="str">
        <f aca="false">IF((F157&lt;&gt;0),"Enter Letter"," ")</f>
        <v> </v>
      </c>
      <c r="F157" s="30"/>
      <c r="G157" s="6" t="str">
        <f aca="false">IF(F157&lt;&gt;0,F157*G$2/(100+G$2)," ")</f>
        <v> </v>
      </c>
      <c r="H157" s="6" t="str">
        <f aca="false">IF((F157&lt;&gt;0),F157-G157," ")</f>
        <v> </v>
      </c>
      <c r="I157" s="5"/>
      <c r="L157" s="7" t="str">
        <f aca="false">IF(F157&lt;&gt;0,F157-K157," ")</f>
        <v> </v>
      </c>
      <c r="M157" s="8" t="str">
        <f aca="false">IF((F157-K157)&lt;&gt;0,M$1-A157," ")</f>
        <v> </v>
      </c>
      <c r="N157" s="5"/>
      <c r="O157" s="17" t="str">
        <f aca="false">IF((E157="s"),H157," ")</f>
        <v> </v>
      </c>
      <c r="P157" s="17" t="str">
        <f aca="false">IF((E157="c"),H157," ")</f>
        <v> </v>
      </c>
      <c r="Q157" s="17" t="str">
        <f aca="false">IF((E157="o"),H157," ")</f>
        <v> </v>
      </c>
      <c r="R157" s="17" t="str">
        <f aca="false">IF((E157="d"),H157," ")</f>
        <v> </v>
      </c>
      <c r="S157" s="17" t="str">
        <f aca="false">IF((E157="w"),H157," ")</f>
        <v> </v>
      </c>
      <c r="T157" s="17" t="str">
        <f aca="false">IF((E157="r"),H157," ")</f>
        <v> </v>
      </c>
      <c r="U157" s="17" t="str">
        <f aca="false">IF((E157="p"),H157," ")</f>
        <v> </v>
      </c>
      <c r="V157" s="17" t="str">
        <f aca="false">IF((E157="t"),H157," ")</f>
        <v> </v>
      </c>
      <c r="W157" s="17" t="str">
        <f aca="false">IF((E157="q"),H157," ")</f>
        <v> </v>
      </c>
      <c r="X157" s="17" t="str">
        <f aca="false">IF((E157="m"),H157," ")</f>
        <v> </v>
      </c>
      <c r="Y157" s="17" t="str">
        <f aca="false">IF((E157="u"),H157," ")</f>
        <v> </v>
      </c>
      <c r="Z157" s="17" t="str">
        <f aca="false">IF((E157="a"),H157," ")</f>
        <v> </v>
      </c>
      <c r="AA157" s="17" t="str">
        <f aca="false">IF((E157="g"),H157," ")</f>
        <v> </v>
      </c>
      <c r="AB157" s="17" t="str">
        <f aca="false">IF((E157="h"),H157," ")</f>
        <v> </v>
      </c>
      <c r="AC157" s="30" t="str">
        <f aca="false">IF((E157="v"),H157," ")</f>
        <v> </v>
      </c>
      <c r="AD157" s="30" t="str">
        <f aca="false">IF((E157="n"),H157," ")</f>
        <v> </v>
      </c>
      <c r="AE157" s="17" t="str">
        <f aca="false">IF((E157="f"),H157," ")</f>
        <v> </v>
      </c>
      <c r="AF157" s="17" t="str">
        <f aca="false">IF((E157="l"),H157," ")</f>
        <v> </v>
      </c>
      <c r="AG157" s="17" t="str">
        <f aca="false">IF((E157="y"),H157," ")</f>
        <v> </v>
      </c>
      <c r="AH157" s="17" t="str">
        <f aca="false">IF((E157="z"),H157," ")</f>
        <v> </v>
      </c>
      <c r="AI157" s="17" t="str">
        <f aca="false">IF((E157="fa"),H157," ")</f>
        <v> </v>
      </c>
      <c r="AJ157" s="17" t="str">
        <f aca="false">IF((E157="e"),H157," ")</f>
        <v> </v>
      </c>
    </row>
    <row r="158" customFormat="false" ht="12" hidden="false" customHeight="false" outlineLevel="0" collapsed="false">
      <c r="A158" s="28"/>
      <c r="E158" s="2" t="str">
        <f aca="false">IF((F158&lt;&gt;0),"Enter Letter"," ")</f>
        <v> </v>
      </c>
      <c r="F158" s="30"/>
      <c r="G158" s="6" t="str">
        <f aca="false">IF(F158&lt;&gt;0,F158*G$2/(100+G$2)," ")</f>
        <v> </v>
      </c>
      <c r="H158" s="6" t="str">
        <f aca="false">IF((F158&lt;&gt;0),F158-G158," ")</f>
        <v> </v>
      </c>
      <c r="I158" s="5"/>
      <c r="L158" s="7" t="str">
        <f aca="false">IF(F158&lt;&gt;0,F158-K158," ")</f>
        <v> </v>
      </c>
      <c r="M158" s="8" t="str">
        <f aca="false">IF((F158-K158)&lt;&gt;0,M$1-A158," ")</f>
        <v> </v>
      </c>
      <c r="N158" s="5"/>
      <c r="O158" s="17" t="str">
        <f aca="false">IF((E158="s"),H158," ")</f>
        <v> </v>
      </c>
      <c r="P158" s="17" t="str">
        <f aca="false">IF((E158="c"),H158," ")</f>
        <v> </v>
      </c>
      <c r="Q158" s="17" t="str">
        <f aca="false">IF((E158="o"),H158," ")</f>
        <v> </v>
      </c>
      <c r="R158" s="17" t="str">
        <f aca="false">IF((E158="d"),H158," ")</f>
        <v> </v>
      </c>
      <c r="S158" s="17" t="str">
        <f aca="false">IF((E158="w"),H158," ")</f>
        <v> </v>
      </c>
      <c r="T158" s="17" t="str">
        <f aca="false">IF((E158="r"),H158," ")</f>
        <v> </v>
      </c>
      <c r="U158" s="17" t="str">
        <f aca="false">IF((E158="p"),H158," ")</f>
        <v> </v>
      </c>
      <c r="V158" s="17" t="str">
        <f aca="false">IF((E158="t"),H158," ")</f>
        <v> </v>
      </c>
      <c r="W158" s="17" t="str">
        <f aca="false">IF((E158="q"),H158," ")</f>
        <v> </v>
      </c>
      <c r="X158" s="17" t="str">
        <f aca="false">IF((E158="m"),H158," ")</f>
        <v> </v>
      </c>
      <c r="Y158" s="17" t="str">
        <f aca="false">IF((E158="u"),H158," ")</f>
        <v> </v>
      </c>
      <c r="Z158" s="17" t="str">
        <f aca="false">IF((E158="a"),H158," ")</f>
        <v> </v>
      </c>
      <c r="AA158" s="17" t="str">
        <f aca="false">IF((E158="g"),H158," ")</f>
        <v> </v>
      </c>
      <c r="AB158" s="17" t="str">
        <f aca="false">IF((E158="h"),H158," ")</f>
        <v> </v>
      </c>
      <c r="AC158" s="30" t="str">
        <f aca="false">IF((E158="v"),H158," ")</f>
        <v> </v>
      </c>
      <c r="AD158" s="30" t="str">
        <f aca="false">IF((E158="n"),H158," ")</f>
        <v> </v>
      </c>
      <c r="AE158" s="17" t="str">
        <f aca="false">IF((E158="f"),H158," ")</f>
        <v> </v>
      </c>
      <c r="AF158" s="17" t="str">
        <f aca="false">IF((E158="l"),H158," ")</f>
        <v> </v>
      </c>
      <c r="AG158" s="17" t="str">
        <f aca="false">IF((E158="y"),H158," ")</f>
        <v> </v>
      </c>
      <c r="AH158" s="17" t="str">
        <f aca="false">IF((E158="z"),H158," ")</f>
        <v> </v>
      </c>
      <c r="AI158" s="17" t="str">
        <f aca="false">IF((E158="fa"),H158," ")</f>
        <v> </v>
      </c>
      <c r="AJ158" s="17" t="str">
        <f aca="false">IF((E158="e"),H158," ")</f>
        <v> </v>
      </c>
    </row>
    <row r="159" customFormat="false" ht="12" hidden="false" customHeight="false" outlineLevel="0" collapsed="false">
      <c r="A159" s="28"/>
      <c r="E159" s="2" t="str">
        <f aca="false">IF((F159&lt;&gt;0),"Enter Letter"," ")</f>
        <v> </v>
      </c>
      <c r="F159" s="30"/>
      <c r="G159" s="6" t="str">
        <f aca="false">IF(F159&lt;&gt;0,F159*G$2/(100+G$2)," ")</f>
        <v> </v>
      </c>
      <c r="H159" s="6" t="str">
        <f aca="false">IF((F159&lt;&gt;0),F159-G159," ")</f>
        <v> </v>
      </c>
      <c r="I159" s="5"/>
      <c r="L159" s="7" t="str">
        <f aca="false">IF(F159&lt;&gt;0,F159-K159," ")</f>
        <v> </v>
      </c>
      <c r="M159" s="8" t="str">
        <f aca="false">IF((F159-K159)&lt;&gt;0,M$1-A159," ")</f>
        <v> </v>
      </c>
      <c r="N159" s="5"/>
      <c r="O159" s="17" t="str">
        <f aca="false">IF((E159="s"),H159," ")</f>
        <v> </v>
      </c>
      <c r="P159" s="17" t="str">
        <f aca="false">IF((E159="c"),H159," ")</f>
        <v> </v>
      </c>
      <c r="Q159" s="17" t="str">
        <f aca="false">IF((E159="o"),H159," ")</f>
        <v> </v>
      </c>
      <c r="R159" s="17" t="str">
        <f aca="false">IF((E159="d"),H159," ")</f>
        <v> </v>
      </c>
      <c r="S159" s="17" t="str">
        <f aca="false">IF((E159="w"),H159," ")</f>
        <v> </v>
      </c>
      <c r="T159" s="17" t="str">
        <f aca="false">IF((E159="r"),H159," ")</f>
        <v> </v>
      </c>
      <c r="U159" s="17" t="str">
        <f aca="false">IF((E159="p"),H159," ")</f>
        <v> </v>
      </c>
      <c r="V159" s="17" t="str">
        <f aca="false">IF((E159="t"),H159," ")</f>
        <v> </v>
      </c>
      <c r="W159" s="17" t="str">
        <f aca="false">IF((E159="q"),H159," ")</f>
        <v> </v>
      </c>
      <c r="X159" s="17" t="str">
        <f aca="false">IF((E159="m"),H159," ")</f>
        <v> </v>
      </c>
      <c r="Y159" s="17" t="str">
        <f aca="false">IF((E159="u"),H159," ")</f>
        <v> </v>
      </c>
      <c r="Z159" s="17" t="str">
        <f aca="false">IF((E159="a"),H159," ")</f>
        <v> </v>
      </c>
      <c r="AA159" s="17" t="str">
        <f aca="false">IF((E159="g"),H159," ")</f>
        <v> </v>
      </c>
      <c r="AB159" s="17" t="str">
        <f aca="false">IF((E159="h"),H159," ")</f>
        <v> </v>
      </c>
      <c r="AC159" s="30" t="str">
        <f aca="false">IF((E159="v"),H159," ")</f>
        <v> </v>
      </c>
      <c r="AD159" s="30" t="str">
        <f aca="false">IF((E159="n"),H159," ")</f>
        <v> </v>
      </c>
      <c r="AE159" s="17" t="str">
        <f aca="false">IF((E159="f"),H159," ")</f>
        <v> </v>
      </c>
      <c r="AF159" s="17" t="str">
        <f aca="false">IF((E159="l"),H159," ")</f>
        <v> </v>
      </c>
      <c r="AG159" s="17" t="str">
        <f aca="false">IF((E159="y"),H159," ")</f>
        <v> </v>
      </c>
      <c r="AH159" s="17" t="str">
        <f aca="false">IF((E159="z"),H159," ")</f>
        <v> </v>
      </c>
      <c r="AI159" s="17" t="str">
        <f aca="false">IF((E159="fa"),H159," ")</f>
        <v> </v>
      </c>
      <c r="AJ159" s="17" t="str">
        <f aca="false">IF((E159="e"),H159," ")</f>
        <v> </v>
      </c>
    </row>
    <row r="160" customFormat="false" ht="12" hidden="false" customHeight="false" outlineLevel="0" collapsed="false">
      <c r="A160" s="28"/>
      <c r="E160" s="2" t="str">
        <f aca="false">IF((F160&lt;&gt;0),"Enter Letter"," ")</f>
        <v> </v>
      </c>
      <c r="F160" s="30"/>
      <c r="G160" s="6" t="str">
        <f aca="false">IF(F160&lt;&gt;0,F160*G$2/(100+G$2)," ")</f>
        <v> </v>
      </c>
      <c r="H160" s="6" t="str">
        <f aca="false">IF((F160&lt;&gt;0),F160-G160," ")</f>
        <v> </v>
      </c>
      <c r="I160" s="5"/>
      <c r="L160" s="7" t="str">
        <f aca="false">IF(F160&lt;&gt;0,F160-K160," ")</f>
        <v> </v>
      </c>
      <c r="M160" s="8" t="str">
        <f aca="false">IF((F160-K160)&lt;&gt;0,M$1-A160," ")</f>
        <v> </v>
      </c>
      <c r="N160" s="5"/>
      <c r="O160" s="17" t="str">
        <f aca="false">IF((E160="s"),H160," ")</f>
        <v> </v>
      </c>
      <c r="P160" s="17" t="str">
        <f aca="false">IF((E160="c"),H160," ")</f>
        <v> </v>
      </c>
      <c r="Q160" s="17" t="str">
        <f aca="false">IF((E160="o"),H160," ")</f>
        <v> </v>
      </c>
      <c r="R160" s="17" t="str">
        <f aca="false">IF((E160="d"),H160," ")</f>
        <v> </v>
      </c>
      <c r="S160" s="17" t="str">
        <f aca="false">IF((E160="w"),H160," ")</f>
        <v> </v>
      </c>
      <c r="T160" s="17" t="str">
        <f aca="false">IF((E160="r"),H160," ")</f>
        <v> </v>
      </c>
      <c r="U160" s="17" t="str">
        <f aca="false">IF((E160="p"),H160," ")</f>
        <v> </v>
      </c>
      <c r="V160" s="17" t="str">
        <f aca="false">IF((E160="t"),H160," ")</f>
        <v> </v>
      </c>
      <c r="W160" s="17" t="str">
        <f aca="false">IF((E160="q"),H160," ")</f>
        <v> </v>
      </c>
      <c r="X160" s="17" t="str">
        <f aca="false">IF((E160="m"),H160," ")</f>
        <v> </v>
      </c>
      <c r="Y160" s="17" t="str">
        <f aca="false">IF((E160="u"),H160," ")</f>
        <v> </v>
      </c>
      <c r="Z160" s="17" t="str">
        <f aca="false">IF((E160="a"),H160," ")</f>
        <v> </v>
      </c>
      <c r="AA160" s="17" t="str">
        <f aca="false">IF((E160="g"),H160," ")</f>
        <v> </v>
      </c>
      <c r="AB160" s="17" t="str">
        <f aca="false">IF((E160="h"),H160," ")</f>
        <v> </v>
      </c>
      <c r="AC160" s="30" t="str">
        <f aca="false">IF((E160="v"),H160," ")</f>
        <v> </v>
      </c>
      <c r="AD160" s="30" t="str">
        <f aca="false">IF((E160="n"),H160," ")</f>
        <v> </v>
      </c>
      <c r="AE160" s="17" t="str">
        <f aca="false">IF((E160="f"),H160," ")</f>
        <v> </v>
      </c>
      <c r="AF160" s="17" t="str">
        <f aca="false">IF((E160="l"),H160," ")</f>
        <v> </v>
      </c>
      <c r="AG160" s="17" t="str">
        <f aca="false">IF((E160="y"),H160," ")</f>
        <v> </v>
      </c>
      <c r="AH160" s="17" t="str">
        <f aca="false">IF((E160="z"),H160," ")</f>
        <v> </v>
      </c>
      <c r="AI160" s="17" t="str">
        <f aca="false">IF((E160="fa"),H160," ")</f>
        <v> </v>
      </c>
      <c r="AJ160" s="17" t="str">
        <f aca="false">IF((E160="e"),H160," ")</f>
        <v> </v>
      </c>
    </row>
    <row r="161" customFormat="false" ht="12" hidden="false" customHeight="false" outlineLevel="0" collapsed="false">
      <c r="A161" s="28"/>
      <c r="E161" s="2" t="str">
        <f aca="false">IF((F161&lt;&gt;0),"Enter Letter"," ")</f>
        <v> </v>
      </c>
      <c r="F161" s="30"/>
      <c r="G161" s="6" t="str">
        <f aca="false">IF(F161&lt;&gt;0,F161*G$2/(100+G$2)," ")</f>
        <v> </v>
      </c>
      <c r="H161" s="6" t="str">
        <f aca="false">IF((F161&lt;&gt;0),F161-G161," ")</f>
        <v> </v>
      </c>
      <c r="I161" s="5"/>
      <c r="L161" s="7" t="str">
        <f aca="false">IF(F161&lt;&gt;0,F161-K161," ")</f>
        <v> </v>
      </c>
      <c r="M161" s="8" t="str">
        <f aca="false">IF((F161-K161)&lt;&gt;0,M$1-A161," ")</f>
        <v> </v>
      </c>
      <c r="N161" s="5"/>
      <c r="O161" s="17" t="str">
        <f aca="false">IF((E161="s"),H161," ")</f>
        <v> </v>
      </c>
      <c r="P161" s="17" t="str">
        <f aca="false">IF((E161="c"),H161," ")</f>
        <v> </v>
      </c>
      <c r="Q161" s="17" t="str">
        <f aca="false">IF((E161="o"),H161," ")</f>
        <v> </v>
      </c>
      <c r="R161" s="17" t="str">
        <f aca="false">IF((E161="d"),H161," ")</f>
        <v> </v>
      </c>
      <c r="S161" s="17" t="str">
        <f aca="false">IF((E161="w"),H161," ")</f>
        <v> </v>
      </c>
      <c r="T161" s="17" t="str">
        <f aca="false">IF((E161="r"),H161," ")</f>
        <v> </v>
      </c>
      <c r="U161" s="17" t="str">
        <f aca="false">IF((E161="p"),H161," ")</f>
        <v> </v>
      </c>
      <c r="V161" s="17" t="str">
        <f aca="false">IF((E161="t"),H161," ")</f>
        <v> </v>
      </c>
      <c r="W161" s="17" t="str">
        <f aca="false">IF((E161="q"),H161," ")</f>
        <v> </v>
      </c>
      <c r="X161" s="17" t="str">
        <f aca="false">IF((E161="m"),H161," ")</f>
        <v> </v>
      </c>
      <c r="Y161" s="17" t="str">
        <f aca="false">IF((E161="u"),H161," ")</f>
        <v> </v>
      </c>
      <c r="Z161" s="17" t="str">
        <f aca="false">IF((E161="a"),H161," ")</f>
        <v> </v>
      </c>
      <c r="AA161" s="17" t="str">
        <f aca="false">IF((E161="g"),H161," ")</f>
        <v> </v>
      </c>
      <c r="AB161" s="17" t="str">
        <f aca="false">IF((E161="h"),H161," ")</f>
        <v> </v>
      </c>
      <c r="AC161" s="30" t="str">
        <f aca="false">IF((E161="v"),H161," ")</f>
        <v> </v>
      </c>
      <c r="AD161" s="30" t="str">
        <f aca="false">IF((E161="n"),H161," ")</f>
        <v> </v>
      </c>
      <c r="AE161" s="17" t="str">
        <f aca="false">IF((E161="f"),H161," ")</f>
        <v> </v>
      </c>
      <c r="AF161" s="17" t="str">
        <f aca="false">IF((E161="l"),H161," ")</f>
        <v> </v>
      </c>
      <c r="AG161" s="17" t="str">
        <f aca="false">IF((E161="y"),H161," ")</f>
        <v> </v>
      </c>
      <c r="AH161" s="17" t="str">
        <f aca="false">IF((E161="z"),H161," ")</f>
        <v> </v>
      </c>
      <c r="AI161" s="17" t="str">
        <f aca="false">IF((E161="fa"),H161," ")</f>
        <v> </v>
      </c>
      <c r="AJ161" s="17" t="str">
        <f aca="false">IF((E161="e"),H161," ")</f>
        <v> </v>
      </c>
    </row>
    <row r="162" customFormat="false" ht="12" hidden="false" customHeight="false" outlineLevel="0" collapsed="false">
      <c r="A162" s="28"/>
      <c r="E162" s="2" t="str">
        <f aca="false">IF((F162&lt;&gt;0),"Enter Letter"," ")</f>
        <v> </v>
      </c>
      <c r="F162" s="30"/>
      <c r="G162" s="6" t="str">
        <f aca="false">IF(F162&lt;&gt;0,F162*G$2/(100+G$2)," ")</f>
        <v> </v>
      </c>
      <c r="H162" s="6" t="str">
        <f aca="false">IF((F162&lt;&gt;0),F162-G162," ")</f>
        <v> </v>
      </c>
      <c r="I162" s="5"/>
      <c r="L162" s="7" t="str">
        <f aca="false">IF(F162&lt;&gt;0,F162-K162," ")</f>
        <v> </v>
      </c>
      <c r="M162" s="8" t="str">
        <f aca="false">IF((F162-K162)&lt;&gt;0,M$1-A162," ")</f>
        <v> </v>
      </c>
      <c r="N162" s="5"/>
      <c r="O162" s="17" t="str">
        <f aca="false">IF((E162="s"),H162," ")</f>
        <v> </v>
      </c>
      <c r="P162" s="17" t="str">
        <f aca="false">IF((E162="c"),H162," ")</f>
        <v> </v>
      </c>
      <c r="Q162" s="17" t="str">
        <f aca="false">IF((E162="o"),H162," ")</f>
        <v> </v>
      </c>
      <c r="R162" s="17" t="str">
        <f aca="false">IF((E162="d"),H162," ")</f>
        <v> </v>
      </c>
      <c r="S162" s="17" t="str">
        <f aca="false">IF((E162="w"),H162," ")</f>
        <v> </v>
      </c>
      <c r="T162" s="17" t="str">
        <f aca="false">IF((E162="r"),H162," ")</f>
        <v> </v>
      </c>
      <c r="U162" s="17" t="str">
        <f aca="false">IF((E162="p"),H162," ")</f>
        <v> </v>
      </c>
      <c r="V162" s="17" t="str">
        <f aca="false">IF((E162="t"),H162," ")</f>
        <v> </v>
      </c>
      <c r="W162" s="17" t="str">
        <f aca="false">IF((E162="q"),H162," ")</f>
        <v> </v>
      </c>
      <c r="X162" s="17" t="str">
        <f aca="false">IF((E162="m"),H162," ")</f>
        <v> </v>
      </c>
      <c r="Y162" s="17" t="str">
        <f aca="false">IF((E162="u"),H162," ")</f>
        <v> </v>
      </c>
      <c r="Z162" s="17" t="str">
        <f aca="false">IF((E162="a"),H162," ")</f>
        <v> </v>
      </c>
      <c r="AA162" s="17" t="str">
        <f aca="false">IF((E162="g"),H162," ")</f>
        <v> </v>
      </c>
      <c r="AB162" s="17" t="str">
        <f aca="false">IF((E162="h"),H162," ")</f>
        <v> </v>
      </c>
      <c r="AC162" s="30" t="str">
        <f aca="false">IF((E162="v"),H162," ")</f>
        <v> </v>
      </c>
      <c r="AD162" s="30" t="str">
        <f aca="false">IF((E162="n"),H162," ")</f>
        <v> </v>
      </c>
      <c r="AE162" s="17" t="str">
        <f aca="false">IF((E162="f"),H162," ")</f>
        <v> </v>
      </c>
      <c r="AF162" s="17" t="str">
        <f aca="false">IF((E162="l"),H162," ")</f>
        <v> </v>
      </c>
      <c r="AG162" s="17" t="str">
        <f aca="false">IF((E162="y"),H162," ")</f>
        <v> </v>
      </c>
      <c r="AH162" s="17" t="str">
        <f aca="false">IF((E162="z"),H162," ")</f>
        <v> </v>
      </c>
      <c r="AI162" s="17" t="str">
        <f aca="false">IF((E162="fa"),H162," ")</f>
        <v> </v>
      </c>
      <c r="AJ162" s="17" t="str">
        <f aca="false">IF((E162="e"),H162," ")</f>
        <v> </v>
      </c>
    </row>
    <row r="163" customFormat="false" ht="12" hidden="false" customHeight="false" outlineLevel="0" collapsed="false">
      <c r="A163" s="28"/>
      <c r="E163" s="2" t="str">
        <f aca="false">IF((F163&lt;&gt;0),"Enter Letter"," ")</f>
        <v> </v>
      </c>
      <c r="F163" s="30"/>
      <c r="G163" s="6" t="str">
        <f aca="false">IF(F163&lt;&gt;0,F163*G$2/(100+G$2)," ")</f>
        <v> </v>
      </c>
      <c r="H163" s="6" t="str">
        <f aca="false">IF((F163&lt;&gt;0),F163-G163," ")</f>
        <v> </v>
      </c>
      <c r="I163" s="5"/>
      <c r="L163" s="7" t="str">
        <f aca="false">IF(F163&lt;&gt;0,F163-K163," ")</f>
        <v> </v>
      </c>
      <c r="M163" s="8" t="str">
        <f aca="false">IF((F163-K163)&lt;&gt;0,M$1-A163," ")</f>
        <v> </v>
      </c>
      <c r="N163" s="5"/>
      <c r="O163" s="17" t="str">
        <f aca="false">IF((E163="s"),H163," ")</f>
        <v> </v>
      </c>
      <c r="P163" s="17" t="str">
        <f aca="false">IF((E163="c"),H163," ")</f>
        <v> </v>
      </c>
      <c r="Q163" s="17" t="str">
        <f aca="false">IF((E163="o"),H163," ")</f>
        <v> </v>
      </c>
      <c r="R163" s="17" t="str">
        <f aca="false">IF((E163="d"),H163," ")</f>
        <v> </v>
      </c>
      <c r="S163" s="17" t="str">
        <f aca="false">IF((E163="w"),H163," ")</f>
        <v> </v>
      </c>
      <c r="T163" s="17" t="str">
        <f aca="false">IF((E163="r"),H163," ")</f>
        <v> </v>
      </c>
      <c r="U163" s="17" t="str">
        <f aca="false">IF((E163="p"),H163," ")</f>
        <v> </v>
      </c>
      <c r="V163" s="17" t="str">
        <f aca="false">IF((E163="t"),H163," ")</f>
        <v> </v>
      </c>
      <c r="W163" s="17" t="str">
        <f aca="false">IF((E163="q"),H163," ")</f>
        <v> </v>
      </c>
      <c r="X163" s="17" t="str">
        <f aca="false">IF((E163="m"),H163," ")</f>
        <v> </v>
      </c>
      <c r="Y163" s="17" t="str">
        <f aca="false">IF((E163="u"),H163," ")</f>
        <v> </v>
      </c>
      <c r="Z163" s="17" t="str">
        <f aca="false">IF((E163="a"),H163," ")</f>
        <v> </v>
      </c>
      <c r="AA163" s="17" t="str">
        <f aca="false">IF((E163="g"),H163," ")</f>
        <v> </v>
      </c>
      <c r="AB163" s="17" t="str">
        <f aca="false">IF((E163="h"),H163," ")</f>
        <v> </v>
      </c>
      <c r="AC163" s="30" t="str">
        <f aca="false">IF((E163="v"),H163," ")</f>
        <v> </v>
      </c>
      <c r="AD163" s="30" t="str">
        <f aca="false">IF((E163="n"),H163," ")</f>
        <v> </v>
      </c>
      <c r="AE163" s="17" t="str">
        <f aca="false">IF((E163="f"),H163," ")</f>
        <v> </v>
      </c>
      <c r="AF163" s="17" t="str">
        <f aca="false">IF((E163="l"),H163," ")</f>
        <v> </v>
      </c>
      <c r="AG163" s="17" t="str">
        <f aca="false">IF((E163="y"),H163," ")</f>
        <v> </v>
      </c>
      <c r="AH163" s="17" t="str">
        <f aca="false">IF((E163="z"),H163," ")</f>
        <v> </v>
      </c>
      <c r="AI163" s="17" t="str">
        <f aca="false">IF((E163="fa"),H163," ")</f>
        <v> </v>
      </c>
      <c r="AJ163" s="17" t="str">
        <f aca="false">IF((E163="e"),H163," ")</f>
        <v> </v>
      </c>
    </row>
    <row r="164" customFormat="false" ht="12" hidden="false" customHeight="false" outlineLevel="0" collapsed="false">
      <c r="A164" s="28"/>
      <c r="E164" s="2" t="str">
        <f aca="false">IF((F164&lt;&gt;0),"Enter Letter"," ")</f>
        <v> </v>
      </c>
      <c r="F164" s="30"/>
      <c r="G164" s="6" t="str">
        <f aca="false">IF(F164&lt;&gt;0,F164*G$2/(100+G$2)," ")</f>
        <v> </v>
      </c>
      <c r="H164" s="6" t="str">
        <f aca="false">IF((F164&lt;&gt;0),F164-G164," ")</f>
        <v> </v>
      </c>
      <c r="I164" s="5"/>
      <c r="L164" s="7" t="str">
        <f aca="false">IF(F164&lt;&gt;0,F164-K164," ")</f>
        <v> </v>
      </c>
      <c r="M164" s="8" t="str">
        <f aca="false">IF((F164-K164)&lt;&gt;0,M$1-A164," ")</f>
        <v> </v>
      </c>
      <c r="N164" s="5"/>
      <c r="O164" s="17" t="str">
        <f aca="false">IF((E164="s"),H164," ")</f>
        <v> </v>
      </c>
      <c r="P164" s="17" t="str">
        <f aca="false">IF((E164="c"),H164," ")</f>
        <v> </v>
      </c>
      <c r="Q164" s="17" t="str">
        <f aca="false">IF((E164="o"),H164," ")</f>
        <v> </v>
      </c>
      <c r="R164" s="17" t="str">
        <f aca="false">IF((E164="d"),H164," ")</f>
        <v> </v>
      </c>
      <c r="S164" s="17" t="str">
        <f aca="false">IF((E164="w"),H164," ")</f>
        <v> </v>
      </c>
      <c r="T164" s="17" t="str">
        <f aca="false">IF((E164="r"),H164," ")</f>
        <v> </v>
      </c>
      <c r="U164" s="17" t="str">
        <f aca="false">IF((E164="p"),H164," ")</f>
        <v> </v>
      </c>
      <c r="V164" s="17" t="str">
        <f aca="false">IF((E164="t"),H164," ")</f>
        <v> </v>
      </c>
      <c r="W164" s="17" t="str">
        <f aca="false">IF((E164="q"),H164," ")</f>
        <v> </v>
      </c>
      <c r="X164" s="17" t="str">
        <f aca="false">IF((E164="m"),H164," ")</f>
        <v> </v>
      </c>
      <c r="Y164" s="17" t="str">
        <f aca="false">IF((E164="u"),H164," ")</f>
        <v> </v>
      </c>
      <c r="Z164" s="17" t="str">
        <f aca="false">IF((E164="a"),H164," ")</f>
        <v> </v>
      </c>
      <c r="AA164" s="17" t="str">
        <f aca="false">IF((E164="g"),H164," ")</f>
        <v> </v>
      </c>
      <c r="AB164" s="17" t="str">
        <f aca="false">IF((E164="h"),H164," ")</f>
        <v> </v>
      </c>
      <c r="AC164" s="30" t="str">
        <f aca="false">IF((E164="v"),H164," ")</f>
        <v> </v>
      </c>
      <c r="AD164" s="30" t="str">
        <f aca="false">IF((E164="n"),H164," ")</f>
        <v> </v>
      </c>
      <c r="AE164" s="17" t="str">
        <f aca="false">IF((E164="f"),H164," ")</f>
        <v> </v>
      </c>
      <c r="AF164" s="17" t="str">
        <f aca="false">IF((E164="l"),H164," ")</f>
        <v> </v>
      </c>
      <c r="AG164" s="17" t="str">
        <f aca="false">IF((E164="y"),H164," ")</f>
        <v> </v>
      </c>
      <c r="AH164" s="17" t="str">
        <f aca="false">IF((E164="z"),H164," ")</f>
        <v> </v>
      </c>
      <c r="AI164" s="17" t="str">
        <f aca="false">IF((E164="fa"),H164," ")</f>
        <v> </v>
      </c>
      <c r="AJ164" s="17" t="str">
        <f aca="false">IF((E164="e"),H164," ")</f>
        <v> </v>
      </c>
    </row>
    <row r="165" customFormat="false" ht="12" hidden="false" customHeight="false" outlineLevel="0" collapsed="false">
      <c r="A165" s="28"/>
      <c r="E165" s="2" t="str">
        <f aca="false">IF((F165&lt;&gt;0),"Enter Letter"," ")</f>
        <v> </v>
      </c>
      <c r="F165" s="30"/>
      <c r="G165" s="6" t="str">
        <f aca="false">IF(F165&lt;&gt;0,F165*G$2/(100+G$2)," ")</f>
        <v> </v>
      </c>
      <c r="H165" s="6" t="str">
        <f aca="false">IF((F165&lt;&gt;0),F165-G165," ")</f>
        <v> </v>
      </c>
      <c r="I165" s="5"/>
      <c r="L165" s="7" t="str">
        <f aca="false">IF(F165&lt;&gt;0,F165-K165," ")</f>
        <v> </v>
      </c>
      <c r="M165" s="8" t="str">
        <f aca="false">IF((F165-K165)&lt;&gt;0,M$1-A165," ")</f>
        <v> </v>
      </c>
      <c r="N165" s="5"/>
      <c r="O165" s="17" t="str">
        <f aca="false">IF((E165="s"),H165," ")</f>
        <v> </v>
      </c>
      <c r="P165" s="17" t="str">
        <f aca="false">IF((E165="c"),H165," ")</f>
        <v> </v>
      </c>
      <c r="Q165" s="17" t="str">
        <f aca="false">IF((E165="o"),H165," ")</f>
        <v> </v>
      </c>
      <c r="R165" s="17" t="str">
        <f aca="false">IF((E165="d"),H165," ")</f>
        <v> </v>
      </c>
      <c r="S165" s="17" t="str">
        <f aca="false">IF((E165="w"),H165," ")</f>
        <v> </v>
      </c>
      <c r="T165" s="17" t="str">
        <f aca="false">IF((E165="r"),H165," ")</f>
        <v> </v>
      </c>
      <c r="U165" s="17" t="str">
        <f aca="false">IF((E165="p"),H165," ")</f>
        <v> </v>
      </c>
      <c r="V165" s="17" t="str">
        <f aca="false">IF((E165="t"),H165," ")</f>
        <v> </v>
      </c>
      <c r="W165" s="17" t="str">
        <f aca="false">IF((E165="q"),H165," ")</f>
        <v> </v>
      </c>
      <c r="X165" s="17" t="str">
        <f aca="false">IF((E165="m"),H165," ")</f>
        <v> </v>
      </c>
      <c r="Y165" s="17" t="str">
        <f aca="false">IF((E165="u"),H165," ")</f>
        <v> </v>
      </c>
      <c r="Z165" s="17" t="str">
        <f aca="false">IF((E165="a"),H165," ")</f>
        <v> </v>
      </c>
      <c r="AA165" s="17" t="str">
        <f aca="false">IF((E165="g"),H165," ")</f>
        <v> </v>
      </c>
      <c r="AB165" s="17" t="str">
        <f aca="false">IF((E165="h"),H165," ")</f>
        <v> </v>
      </c>
      <c r="AC165" s="30" t="str">
        <f aca="false">IF((E165="v"),H165," ")</f>
        <v> </v>
      </c>
      <c r="AD165" s="30" t="str">
        <f aca="false">IF((E165="n"),H165," ")</f>
        <v> </v>
      </c>
      <c r="AE165" s="17" t="str">
        <f aca="false">IF((E165="f"),H165," ")</f>
        <v> </v>
      </c>
      <c r="AF165" s="17" t="str">
        <f aca="false">IF((E165="l"),H165," ")</f>
        <v> </v>
      </c>
      <c r="AG165" s="17" t="str">
        <f aca="false">IF((E165="y"),H165," ")</f>
        <v> </v>
      </c>
      <c r="AH165" s="17" t="str">
        <f aca="false">IF((E165="z"),H165," ")</f>
        <v> </v>
      </c>
      <c r="AI165" s="17" t="str">
        <f aca="false">IF((E165="fa"),H165," ")</f>
        <v> </v>
      </c>
      <c r="AJ165" s="17" t="str">
        <f aca="false">IF((E165="e"),H165," ")</f>
        <v> </v>
      </c>
    </row>
    <row r="166" customFormat="false" ht="12" hidden="false" customHeight="false" outlineLevel="0" collapsed="false">
      <c r="A166" s="28"/>
      <c r="E166" s="2" t="str">
        <f aca="false">IF((F166&lt;&gt;0),"Enter Letter"," ")</f>
        <v> </v>
      </c>
      <c r="F166" s="30"/>
      <c r="G166" s="6" t="str">
        <f aca="false">IF(F166&lt;&gt;0,F166*G$2/(100+G$2)," ")</f>
        <v> </v>
      </c>
      <c r="H166" s="6" t="str">
        <f aca="false">IF((F166&lt;&gt;0),F166-G166," ")</f>
        <v> </v>
      </c>
      <c r="I166" s="5"/>
      <c r="L166" s="7" t="str">
        <f aca="false">IF(F166&lt;&gt;0,F166-K166," ")</f>
        <v> </v>
      </c>
      <c r="M166" s="8" t="str">
        <f aca="false">IF((F166-K166)&lt;&gt;0,M$1-A166," ")</f>
        <v> </v>
      </c>
      <c r="N166" s="5"/>
      <c r="O166" s="17" t="str">
        <f aca="false">IF((E166="s"),H166," ")</f>
        <v> </v>
      </c>
      <c r="P166" s="17" t="str">
        <f aca="false">IF((E166="c"),H166," ")</f>
        <v> </v>
      </c>
      <c r="Q166" s="17" t="str">
        <f aca="false">IF((E166="o"),H166," ")</f>
        <v> </v>
      </c>
      <c r="R166" s="17" t="str">
        <f aca="false">IF((E166="d"),H166," ")</f>
        <v> </v>
      </c>
      <c r="S166" s="17" t="str">
        <f aca="false">IF((E166="w"),H166," ")</f>
        <v> </v>
      </c>
      <c r="T166" s="17" t="str">
        <f aca="false">IF((E166="r"),H166," ")</f>
        <v> </v>
      </c>
      <c r="U166" s="17" t="str">
        <f aca="false">IF((E166="p"),H166," ")</f>
        <v> </v>
      </c>
      <c r="V166" s="17" t="str">
        <f aca="false">IF((E166="t"),H166," ")</f>
        <v> </v>
      </c>
      <c r="W166" s="17" t="str">
        <f aca="false">IF((E166="q"),H166," ")</f>
        <v> </v>
      </c>
      <c r="X166" s="17" t="str">
        <f aca="false">IF((E166="m"),H166," ")</f>
        <v> </v>
      </c>
      <c r="Y166" s="17" t="str">
        <f aca="false">IF((E166="u"),H166," ")</f>
        <v> </v>
      </c>
      <c r="Z166" s="17" t="str">
        <f aca="false">IF((E166="a"),H166," ")</f>
        <v> </v>
      </c>
      <c r="AA166" s="17" t="str">
        <f aca="false">IF((E166="g"),H166," ")</f>
        <v> </v>
      </c>
      <c r="AB166" s="17" t="str">
        <f aca="false">IF((E166="h"),H166," ")</f>
        <v> </v>
      </c>
      <c r="AC166" s="30" t="str">
        <f aca="false">IF((E166="v"),H166," ")</f>
        <v> </v>
      </c>
      <c r="AD166" s="30" t="str">
        <f aca="false">IF((E166="n"),H166," ")</f>
        <v> </v>
      </c>
      <c r="AE166" s="17" t="str">
        <f aca="false">IF((E166="f"),H166," ")</f>
        <v> </v>
      </c>
      <c r="AF166" s="17" t="str">
        <f aca="false">IF((E166="l"),H166," ")</f>
        <v> </v>
      </c>
      <c r="AG166" s="17" t="str">
        <f aca="false">IF((E166="y"),H166," ")</f>
        <v> </v>
      </c>
      <c r="AH166" s="17" t="str">
        <f aca="false">IF((E166="z"),H166," ")</f>
        <v> </v>
      </c>
      <c r="AI166" s="17" t="str">
        <f aca="false">IF((E166="fa"),H166," ")</f>
        <v> </v>
      </c>
      <c r="AJ166" s="17" t="str">
        <f aca="false">IF((E166="e"),H166," ")</f>
        <v> </v>
      </c>
    </row>
    <row r="167" customFormat="false" ht="12" hidden="false" customHeight="false" outlineLevel="0" collapsed="false">
      <c r="A167" s="28"/>
      <c r="E167" s="2" t="str">
        <f aca="false">IF((F167&lt;&gt;0),"Enter Letter"," ")</f>
        <v> </v>
      </c>
      <c r="F167" s="30"/>
      <c r="G167" s="6" t="str">
        <f aca="false">IF(F167&lt;&gt;0,F167*G$2/(100+G$2)," ")</f>
        <v> </v>
      </c>
      <c r="H167" s="6" t="str">
        <f aca="false">IF((F167&lt;&gt;0),F167-G167," ")</f>
        <v> </v>
      </c>
      <c r="I167" s="5"/>
      <c r="L167" s="7" t="str">
        <f aca="false">IF(F167&lt;&gt;0,F167-K167," ")</f>
        <v> </v>
      </c>
      <c r="M167" s="8" t="str">
        <f aca="false">IF((F167-K167)&lt;&gt;0,M$1-A167," ")</f>
        <v> </v>
      </c>
      <c r="N167" s="5"/>
      <c r="O167" s="17" t="str">
        <f aca="false">IF((E167="s"),H167," ")</f>
        <v> </v>
      </c>
      <c r="P167" s="17" t="str">
        <f aca="false">IF((E167="c"),H167," ")</f>
        <v> </v>
      </c>
      <c r="Q167" s="17" t="str">
        <f aca="false">IF((E167="o"),H167," ")</f>
        <v> </v>
      </c>
      <c r="R167" s="17" t="str">
        <f aca="false">IF((E167="d"),H167," ")</f>
        <v> </v>
      </c>
      <c r="S167" s="17" t="str">
        <f aca="false">IF((E167="w"),H167," ")</f>
        <v> </v>
      </c>
      <c r="T167" s="17" t="str">
        <f aca="false">IF((E167="r"),H167," ")</f>
        <v> </v>
      </c>
      <c r="U167" s="17" t="str">
        <f aca="false">IF((E167="p"),H167," ")</f>
        <v> </v>
      </c>
      <c r="V167" s="17" t="str">
        <f aca="false">IF((E167="t"),H167," ")</f>
        <v> </v>
      </c>
      <c r="W167" s="17" t="str">
        <f aca="false">IF((E167="q"),H167," ")</f>
        <v> </v>
      </c>
      <c r="X167" s="17" t="str">
        <f aca="false">IF((E167="m"),H167," ")</f>
        <v> </v>
      </c>
      <c r="Y167" s="17" t="str">
        <f aca="false">IF((E167="u"),H167," ")</f>
        <v> </v>
      </c>
      <c r="Z167" s="17" t="str">
        <f aca="false">IF((E167="a"),H167," ")</f>
        <v> </v>
      </c>
      <c r="AA167" s="17" t="str">
        <f aca="false">IF((E167="g"),H167," ")</f>
        <v> </v>
      </c>
      <c r="AB167" s="17" t="str">
        <f aca="false">IF((E167="h"),H167," ")</f>
        <v> </v>
      </c>
      <c r="AC167" s="30" t="str">
        <f aca="false">IF((E167="v"),H167," ")</f>
        <v> </v>
      </c>
      <c r="AD167" s="30" t="str">
        <f aca="false">IF((E167="n"),H167," ")</f>
        <v> </v>
      </c>
      <c r="AE167" s="17" t="str">
        <f aca="false">IF((E167="f"),H167," ")</f>
        <v> </v>
      </c>
      <c r="AF167" s="17" t="str">
        <f aca="false">IF((E167="l"),H167," ")</f>
        <v> </v>
      </c>
      <c r="AG167" s="17" t="str">
        <f aca="false">IF((E167="y"),H167," ")</f>
        <v> </v>
      </c>
      <c r="AH167" s="17" t="str">
        <f aca="false">IF((E167="z"),H167," ")</f>
        <v> </v>
      </c>
      <c r="AI167" s="17" t="str">
        <f aca="false">IF((E167="fa"),H167," ")</f>
        <v> </v>
      </c>
      <c r="AJ167" s="17" t="str">
        <f aca="false">IF((E167="e"),H167," ")</f>
        <v> </v>
      </c>
    </row>
    <row r="168" customFormat="false" ht="12" hidden="false" customHeight="false" outlineLevel="0" collapsed="false">
      <c r="A168" s="28"/>
      <c r="E168" s="2" t="str">
        <f aca="false">IF((F168&lt;&gt;0),"Enter Letter"," ")</f>
        <v> </v>
      </c>
      <c r="F168" s="30"/>
      <c r="G168" s="6" t="str">
        <f aca="false">IF(F168&lt;&gt;0,F168*G$2/(100+G$2)," ")</f>
        <v> </v>
      </c>
      <c r="H168" s="6" t="str">
        <f aca="false">IF((F168&lt;&gt;0),F168-G168," ")</f>
        <v> </v>
      </c>
      <c r="I168" s="5"/>
      <c r="L168" s="7" t="str">
        <f aca="false">IF(F168&lt;&gt;0,F168-K168," ")</f>
        <v> </v>
      </c>
      <c r="M168" s="8" t="str">
        <f aca="false">IF((F168-K168)&lt;&gt;0,M$1-A168," ")</f>
        <v> </v>
      </c>
      <c r="N168" s="5"/>
      <c r="O168" s="17" t="str">
        <f aca="false">IF((E168="s"),H168," ")</f>
        <v> </v>
      </c>
      <c r="P168" s="17" t="str">
        <f aca="false">IF((E168="c"),H168," ")</f>
        <v> </v>
      </c>
      <c r="Q168" s="17" t="str">
        <f aca="false">IF((E168="o"),H168," ")</f>
        <v> </v>
      </c>
      <c r="R168" s="17" t="str">
        <f aca="false">IF((E168="d"),H168," ")</f>
        <v> </v>
      </c>
      <c r="S168" s="17" t="str">
        <f aca="false">IF((E168="w"),H168," ")</f>
        <v> </v>
      </c>
      <c r="T168" s="17" t="str">
        <f aca="false">IF((E168="r"),H168," ")</f>
        <v> </v>
      </c>
      <c r="U168" s="17" t="str">
        <f aca="false">IF((E168="p"),H168," ")</f>
        <v> </v>
      </c>
      <c r="V168" s="17" t="str">
        <f aca="false">IF((E168="t"),H168," ")</f>
        <v> </v>
      </c>
      <c r="W168" s="17" t="str">
        <f aca="false">IF((E168="q"),H168," ")</f>
        <v> </v>
      </c>
      <c r="X168" s="17" t="str">
        <f aca="false">IF((E168="m"),H168," ")</f>
        <v> </v>
      </c>
      <c r="Y168" s="17" t="str">
        <f aca="false">IF((E168="u"),H168," ")</f>
        <v> </v>
      </c>
      <c r="Z168" s="17" t="str">
        <f aca="false">IF((E168="a"),H168," ")</f>
        <v> </v>
      </c>
      <c r="AA168" s="17" t="str">
        <f aca="false">IF((E168="g"),H168," ")</f>
        <v> </v>
      </c>
      <c r="AB168" s="17" t="str">
        <f aca="false">IF((E168="h"),H168," ")</f>
        <v> </v>
      </c>
      <c r="AC168" s="30" t="str">
        <f aca="false">IF((E168="v"),H168," ")</f>
        <v> </v>
      </c>
      <c r="AD168" s="30" t="str">
        <f aca="false">IF((E168="n"),H168," ")</f>
        <v> </v>
      </c>
      <c r="AE168" s="17" t="str">
        <f aca="false">IF((E168="f"),H168," ")</f>
        <v> </v>
      </c>
      <c r="AF168" s="17" t="str">
        <f aca="false">IF((E168="l"),H168," ")</f>
        <v> </v>
      </c>
      <c r="AG168" s="17" t="str">
        <f aca="false">IF((E168="y"),H168," ")</f>
        <v> </v>
      </c>
      <c r="AH168" s="17" t="str">
        <f aca="false">IF((E168="z"),H168," ")</f>
        <v> </v>
      </c>
      <c r="AI168" s="17" t="str">
        <f aca="false">IF((E168="fa"),H168," ")</f>
        <v> </v>
      </c>
      <c r="AJ168" s="17" t="str">
        <f aca="false">IF((E168="e"),H168," ")</f>
        <v> </v>
      </c>
    </row>
    <row r="169" customFormat="false" ht="12" hidden="false" customHeight="false" outlineLevel="0" collapsed="false">
      <c r="A169" s="28"/>
      <c r="E169" s="2" t="str">
        <f aca="false">IF((F169&lt;&gt;0),"Enter Letter"," ")</f>
        <v> </v>
      </c>
      <c r="F169" s="30"/>
      <c r="G169" s="6" t="str">
        <f aca="false">IF(F169&lt;&gt;0,F169*G$2/(100+G$2)," ")</f>
        <v> </v>
      </c>
      <c r="H169" s="6" t="str">
        <f aca="false">IF((F169&lt;&gt;0),F169-G169," ")</f>
        <v> </v>
      </c>
      <c r="I169" s="5"/>
      <c r="L169" s="7" t="str">
        <f aca="false">IF(F169&lt;&gt;0,F169-K169," ")</f>
        <v> </v>
      </c>
      <c r="M169" s="8" t="str">
        <f aca="false">IF((F169-K169)&lt;&gt;0,M$1-A169," ")</f>
        <v> </v>
      </c>
      <c r="N169" s="5"/>
      <c r="O169" s="17" t="str">
        <f aca="false">IF((E169="s"),H169," ")</f>
        <v> </v>
      </c>
      <c r="P169" s="17" t="str">
        <f aca="false">IF((E169="c"),H169," ")</f>
        <v> </v>
      </c>
      <c r="Q169" s="17" t="str">
        <f aca="false">IF((E169="o"),H169," ")</f>
        <v> </v>
      </c>
      <c r="R169" s="17" t="str">
        <f aca="false">IF((E169="d"),H169," ")</f>
        <v> </v>
      </c>
      <c r="S169" s="17" t="str">
        <f aca="false">IF((E169="w"),H169," ")</f>
        <v> </v>
      </c>
      <c r="T169" s="17" t="str">
        <f aca="false">IF((E169="r"),H169," ")</f>
        <v> </v>
      </c>
      <c r="U169" s="17" t="str">
        <f aca="false">IF((E169="p"),H169," ")</f>
        <v> </v>
      </c>
      <c r="V169" s="17" t="str">
        <f aca="false">IF((E169="t"),H169," ")</f>
        <v> </v>
      </c>
      <c r="W169" s="17" t="str">
        <f aca="false">IF((E169="q"),H169," ")</f>
        <v> </v>
      </c>
      <c r="X169" s="17" t="str">
        <f aca="false">IF((E169="m"),H169," ")</f>
        <v> </v>
      </c>
      <c r="Y169" s="17" t="str">
        <f aca="false">IF((E169="u"),H169," ")</f>
        <v> </v>
      </c>
      <c r="Z169" s="17" t="str">
        <f aca="false">IF((E169="a"),H169," ")</f>
        <v> </v>
      </c>
      <c r="AA169" s="17" t="str">
        <f aca="false">IF((E169="g"),H169," ")</f>
        <v> </v>
      </c>
      <c r="AB169" s="17" t="str">
        <f aca="false">IF((E169="h"),H169," ")</f>
        <v> </v>
      </c>
      <c r="AC169" s="30" t="str">
        <f aca="false">IF((E169="v"),H169," ")</f>
        <v> </v>
      </c>
      <c r="AD169" s="30" t="str">
        <f aca="false">IF((E169="n"),H169," ")</f>
        <v> </v>
      </c>
      <c r="AE169" s="17" t="str">
        <f aca="false">IF((E169="f"),H169," ")</f>
        <v> </v>
      </c>
      <c r="AF169" s="17" t="str">
        <f aca="false">IF((E169="l"),H169," ")</f>
        <v> </v>
      </c>
      <c r="AG169" s="17" t="str">
        <f aca="false">IF((E169="y"),H169," ")</f>
        <v> </v>
      </c>
      <c r="AH169" s="17" t="str">
        <f aca="false">IF((E169="z"),H169," ")</f>
        <v> </v>
      </c>
      <c r="AI169" s="17" t="str">
        <f aca="false">IF((E169="fa"),H169," ")</f>
        <v> </v>
      </c>
      <c r="AJ169" s="17" t="str">
        <f aca="false">IF((E169="e"),H169," ")</f>
        <v> </v>
      </c>
    </row>
    <row r="170" customFormat="false" ht="12" hidden="false" customHeight="false" outlineLevel="0" collapsed="false">
      <c r="A170" s="28"/>
      <c r="E170" s="2" t="str">
        <f aca="false">IF((F170&lt;&gt;0),"Enter Letter"," ")</f>
        <v> </v>
      </c>
      <c r="F170" s="30"/>
      <c r="G170" s="6" t="str">
        <f aca="false">IF(F170&lt;&gt;0,F170*G$2/(100+G$2)," ")</f>
        <v> </v>
      </c>
      <c r="H170" s="6" t="str">
        <f aca="false">IF((F170&lt;&gt;0),F170-G170," ")</f>
        <v> </v>
      </c>
      <c r="I170" s="5"/>
      <c r="L170" s="7" t="str">
        <f aca="false">IF(F170&lt;&gt;0,F170-K170," ")</f>
        <v> </v>
      </c>
      <c r="M170" s="8" t="str">
        <f aca="false">IF((F170-K170)&lt;&gt;0,M$1-A170," ")</f>
        <v> </v>
      </c>
      <c r="N170" s="5"/>
      <c r="O170" s="17" t="str">
        <f aca="false">IF((E170="s"),H170," ")</f>
        <v> </v>
      </c>
      <c r="P170" s="17" t="str">
        <f aca="false">IF((E170="c"),H170," ")</f>
        <v> </v>
      </c>
      <c r="Q170" s="17" t="str">
        <f aca="false">IF((E170="o"),H170," ")</f>
        <v> </v>
      </c>
      <c r="R170" s="17" t="str">
        <f aca="false">IF((E170="d"),H170," ")</f>
        <v> </v>
      </c>
      <c r="S170" s="17" t="str">
        <f aca="false">IF((E170="w"),H170," ")</f>
        <v> </v>
      </c>
      <c r="T170" s="17" t="str">
        <f aca="false">IF((E170="r"),H170," ")</f>
        <v> </v>
      </c>
      <c r="U170" s="17" t="str">
        <f aca="false">IF((E170="p"),H170," ")</f>
        <v> </v>
      </c>
      <c r="V170" s="17" t="str">
        <f aca="false">IF((E170="t"),H170," ")</f>
        <v> </v>
      </c>
      <c r="W170" s="17" t="str">
        <f aca="false">IF((E170="q"),H170," ")</f>
        <v> </v>
      </c>
      <c r="X170" s="17" t="str">
        <f aca="false">IF((E170="m"),H170," ")</f>
        <v> </v>
      </c>
      <c r="Y170" s="17" t="str">
        <f aca="false">IF((E170="u"),H170," ")</f>
        <v> </v>
      </c>
      <c r="Z170" s="17" t="str">
        <f aca="false">IF((E170="a"),H170," ")</f>
        <v> </v>
      </c>
      <c r="AA170" s="17" t="str">
        <f aca="false">IF((E170="g"),H170," ")</f>
        <v> </v>
      </c>
      <c r="AB170" s="17" t="str">
        <f aca="false">IF((E170="h"),H170," ")</f>
        <v> </v>
      </c>
      <c r="AC170" s="30" t="str">
        <f aca="false">IF((E170="v"),H170," ")</f>
        <v> </v>
      </c>
      <c r="AD170" s="30" t="str">
        <f aca="false">IF((E170="n"),H170," ")</f>
        <v> </v>
      </c>
      <c r="AE170" s="17" t="str">
        <f aca="false">IF((E170="f"),H170," ")</f>
        <v> </v>
      </c>
      <c r="AF170" s="17" t="str">
        <f aca="false">IF((E170="l"),H170," ")</f>
        <v> </v>
      </c>
      <c r="AG170" s="17" t="str">
        <f aca="false">IF((E170="y"),H170," ")</f>
        <v> </v>
      </c>
      <c r="AH170" s="17" t="str">
        <f aca="false">IF((E170="z"),H170," ")</f>
        <v> </v>
      </c>
      <c r="AI170" s="17" t="str">
        <f aca="false">IF((E170="fa"),H170," ")</f>
        <v> </v>
      </c>
      <c r="AJ170" s="17" t="str">
        <f aca="false">IF((E170="e"),H170," ")</f>
        <v> </v>
      </c>
    </row>
    <row r="171" customFormat="false" ht="12" hidden="false" customHeight="false" outlineLevel="0" collapsed="false">
      <c r="A171" s="28"/>
      <c r="E171" s="2" t="str">
        <f aca="false">IF((F171&lt;&gt;0),"Enter Letter"," ")</f>
        <v> </v>
      </c>
      <c r="F171" s="30"/>
      <c r="G171" s="6" t="str">
        <f aca="false">IF(F171&lt;&gt;0,F171*G$2/(100+G$2)," ")</f>
        <v> </v>
      </c>
      <c r="H171" s="6" t="str">
        <f aca="false">IF((F171&lt;&gt;0),F171-G171," ")</f>
        <v> </v>
      </c>
      <c r="I171" s="5"/>
      <c r="L171" s="7" t="str">
        <f aca="false">IF(F171&lt;&gt;0,F171-K171," ")</f>
        <v> </v>
      </c>
      <c r="M171" s="8" t="str">
        <f aca="false">IF((F171-K171)&lt;&gt;0,M$1-A171," ")</f>
        <v> </v>
      </c>
      <c r="N171" s="5"/>
      <c r="O171" s="17" t="str">
        <f aca="false">IF((E171="s"),H171," ")</f>
        <v> </v>
      </c>
      <c r="P171" s="17" t="str">
        <f aca="false">IF((E171="c"),H171," ")</f>
        <v> </v>
      </c>
      <c r="Q171" s="17" t="str">
        <f aca="false">IF((E171="o"),H171," ")</f>
        <v> </v>
      </c>
      <c r="R171" s="17" t="str">
        <f aca="false">IF((E171="d"),H171," ")</f>
        <v> </v>
      </c>
      <c r="S171" s="17" t="str">
        <f aca="false">IF((E171="w"),H171," ")</f>
        <v> </v>
      </c>
      <c r="T171" s="17" t="str">
        <f aca="false">IF((E171="r"),H171," ")</f>
        <v> </v>
      </c>
      <c r="U171" s="17" t="str">
        <f aca="false">IF((E171="p"),H171," ")</f>
        <v> </v>
      </c>
      <c r="V171" s="17" t="str">
        <f aca="false">IF((E171="t"),H171," ")</f>
        <v> </v>
      </c>
      <c r="W171" s="17" t="str">
        <f aca="false">IF((E171="q"),H171," ")</f>
        <v> </v>
      </c>
      <c r="X171" s="17" t="str">
        <f aca="false">IF((E171="m"),H171," ")</f>
        <v> </v>
      </c>
      <c r="Y171" s="17" t="str">
        <f aca="false">IF((E171="u"),H171," ")</f>
        <v> </v>
      </c>
      <c r="Z171" s="17" t="str">
        <f aca="false">IF((E171="a"),H171," ")</f>
        <v> </v>
      </c>
      <c r="AA171" s="17" t="str">
        <f aca="false">IF((E171="g"),H171," ")</f>
        <v> </v>
      </c>
      <c r="AB171" s="17" t="str">
        <f aca="false">IF((E171="h"),H171," ")</f>
        <v> </v>
      </c>
      <c r="AC171" s="30" t="str">
        <f aca="false">IF((E171="v"),H171," ")</f>
        <v> </v>
      </c>
      <c r="AD171" s="30" t="str">
        <f aca="false">IF((E171="n"),H171," ")</f>
        <v> </v>
      </c>
      <c r="AE171" s="17" t="str">
        <f aca="false">IF((E171="f"),H171," ")</f>
        <v> </v>
      </c>
      <c r="AF171" s="17" t="str">
        <f aca="false">IF((E171="l"),H171," ")</f>
        <v> </v>
      </c>
      <c r="AG171" s="17" t="str">
        <f aca="false">IF((E171="y"),H171," ")</f>
        <v> </v>
      </c>
      <c r="AH171" s="17" t="str">
        <f aca="false">IF((E171="z"),H171," ")</f>
        <v> </v>
      </c>
      <c r="AI171" s="17" t="str">
        <f aca="false">IF((E171="fa"),H171," ")</f>
        <v> </v>
      </c>
      <c r="AJ171" s="17" t="str">
        <f aca="false">IF((E171="e"),H171," ")</f>
        <v> </v>
      </c>
    </row>
    <row r="172" customFormat="false" ht="12" hidden="false" customHeight="false" outlineLevel="0" collapsed="false">
      <c r="A172" s="28"/>
      <c r="E172" s="2" t="str">
        <f aca="false">IF((F172&lt;&gt;0),"Enter Letter"," ")</f>
        <v> </v>
      </c>
      <c r="F172" s="30"/>
      <c r="G172" s="6" t="str">
        <f aca="false">IF(F172&lt;&gt;0,F172*G$2/(100+G$2)," ")</f>
        <v> </v>
      </c>
      <c r="H172" s="6" t="str">
        <f aca="false">IF((F172&lt;&gt;0),F172-G172," ")</f>
        <v> </v>
      </c>
      <c r="I172" s="5"/>
      <c r="L172" s="7" t="str">
        <f aca="false">IF(F172&lt;&gt;0,F172-K172," ")</f>
        <v> </v>
      </c>
      <c r="M172" s="8" t="str">
        <f aca="false">IF((F172-K172)&lt;&gt;0,M$1-A172," ")</f>
        <v> </v>
      </c>
      <c r="N172" s="5"/>
      <c r="O172" s="17" t="str">
        <f aca="false">IF((E172="s"),H172," ")</f>
        <v> </v>
      </c>
      <c r="P172" s="17" t="str">
        <f aca="false">IF((E172="c"),H172," ")</f>
        <v> </v>
      </c>
      <c r="Q172" s="17" t="str">
        <f aca="false">IF((E172="o"),H172," ")</f>
        <v> </v>
      </c>
      <c r="R172" s="17" t="str">
        <f aca="false">IF((E172="d"),H172," ")</f>
        <v> </v>
      </c>
      <c r="S172" s="17" t="str">
        <f aca="false">IF((E172="w"),H172," ")</f>
        <v> </v>
      </c>
      <c r="T172" s="17" t="str">
        <f aca="false">IF((E172="r"),H172," ")</f>
        <v> </v>
      </c>
      <c r="U172" s="17" t="str">
        <f aca="false">IF((E172="p"),H172," ")</f>
        <v> </v>
      </c>
      <c r="V172" s="17" t="str">
        <f aca="false">IF((E172="t"),H172," ")</f>
        <v> </v>
      </c>
      <c r="W172" s="17" t="str">
        <f aca="false">IF((E172="q"),H172," ")</f>
        <v> </v>
      </c>
      <c r="X172" s="17" t="str">
        <f aca="false">IF((E172="m"),H172," ")</f>
        <v> </v>
      </c>
      <c r="Y172" s="17" t="str">
        <f aca="false">IF((E172="u"),H172," ")</f>
        <v> </v>
      </c>
      <c r="Z172" s="17" t="str">
        <f aca="false">IF((E172="a"),H172," ")</f>
        <v> </v>
      </c>
      <c r="AA172" s="17" t="str">
        <f aca="false">IF((E172="g"),H172," ")</f>
        <v> </v>
      </c>
      <c r="AB172" s="17" t="str">
        <f aca="false">IF((E172="h"),H172," ")</f>
        <v> </v>
      </c>
      <c r="AC172" s="30" t="str">
        <f aca="false">IF((E172="v"),H172," ")</f>
        <v> </v>
      </c>
      <c r="AD172" s="30" t="str">
        <f aca="false">IF((E172="n"),H172," ")</f>
        <v> </v>
      </c>
      <c r="AE172" s="17" t="str">
        <f aca="false">IF((E172="f"),H172," ")</f>
        <v> </v>
      </c>
      <c r="AF172" s="17" t="str">
        <f aca="false">IF((E172="l"),H172," ")</f>
        <v> </v>
      </c>
      <c r="AG172" s="17" t="str">
        <f aca="false">IF((E172="y"),H172," ")</f>
        <v> </v>
      </c>
      <c r="AH172" s="17" t="str">
        <f aca="false">IF((E172="z"),H172," ")</f>
        <v> </v>
      </c>
      <c r="AI172" s="17" t="str">
        <f aca="false">IF((E172="fa"),H172," ")</f>
        <v> </v>
      </c>
      <c r="AJ172" s="17" t="str">
        <f aca="false">IF((E172="e"),H172," ")</f>
        <v> </v>
      </c>
    </row>
    <row r="173" customFormat="false" ht="12" hidden="false" customHeight="false" outlineLevel="0" collapsed="false">
      <c r="A173" s="28"/>
      <c r="E173" s="2" t="str">
        <f aca="false">IF((F173&lt;&gt;0),"Enter Letter"," ")</f>
        <v> </v>
      </c>
      <c r="F173" s="30"/>
      <c r="G173" s="6" t="str">
        <f aca="false">IF(F173&lt;&gt;0,F173*G$2/(100+G$2)," ")</f>
        <v> </v>
      </c>
      <c r="H173" s="6" t="str">
        <f aca="false">IF((F173&lt;&gt;0),F173-G173," ")</f>
        <v> </v>
      </c>
      <c r="I173" s="5"/>
      <c r="L173" s="7" t="str">
        <f aca="false">IF(F173&lt;&gt;0,F173-K173," ")</f>
        <v> </v>
      </c>
      <c r="M173" s="8" t="str">
        <f aca="false">IF((F173-K173)&lt;&gt;0,M$1-A173," ")</f>
        <v> </v>
      </c>
      <c r="N173" s="5"/>
      <c r="O173" s="17" t="str">
        <f aca="false">IF((E173="s"),H173," ")</f>
        <v> </v>
      </c>
      <c r="P173" s="17" t="str">
        <f aca="false">IF((E173="c"),H173," ")</f>
        <v> </v>
      </c>
      <c r="Q173" s="17" t="str">
        <f aca="false">IF((E173="o"),H173," ")</f>
        <v> </v>
      </c>
      <c r="R173" s="17" t="str">
        <f aca="false">IF((E173="d"),H173," ")</f>
        <v> </v>
      </c>
      <c r="S173" s="17" t="str">
        <f aca="false">IF((E173="w"),H173," ")</f>
        <v> </v>
      </c>
      <c r="T173" s="17" t="str">
        <f aca="false">IF((E173="r"),H173," ")</f>
        <v> </v>
      </c>
      <c r="U173" s="17" t="str">
        <f aca="false">IF((E173="p"),H173," ")</f>
        <v> </v>
      </c>
      <c r="V173" s="17" t="str">
        <f aca="false">IF((E173="t"),H173," ")</f>
        <v> </v>
      </c>
      <c r="W173" s="17" t="str">
        <f aca="false">IF((E173="q"),H173," ")</f>
        <v> </v>
      </c>
      <c r="X173" s="17" t="str">
        <f aca="false">IF((E173="m"),H173," ")</f>
        <v> </v>
      </c>
      <c r="Y173" s="17" t="str">
        <f aca="false">IF((E173="u"),H173," ")</f>
        <v> </v>
      </c>
      <c r="Z173" s="17" t="str">
        <f aca="false">IF((E173="a"),H173," ")</f>
        <v> </v>
      </c>
      <c r="AA173" s="17" t="str">
        <f aca="false">IF((E173="g"),H173," ")</f>
        <v> </v>
      </c>
      <c r="AB173" s="17" t="str">
        <f aca="false">IF((E173="h"),H173," ")</f>
        <v> </v>
      </c>
      <c r="AC173" s="30" t="str">
        <f aca="false">IF((E173="v"),H173," ")</f>
        <v> </v>
      </c>
      <c r="AD173" s="30" t="str">
        <f aca="false">IF((E173="n"),H173," ")</f>
        <v> </v>
      </c>
      <c r="AE173" s="17" t="str">
        <f aca="false">IF((E173="f"),H173," ")</f>
        <v> </v>
      </c>
      <c r="AF173" s="17" t="str">
        <f aca="false">IF((E173="l"),H173," ")</f>
        <v> </v>
      </c>
      <c r="AG173" s="17" t="str">
        <f aca="false">IF((E173="y"),H173," ")</f>
        <v> </v>
      </c>
      <c r="AH173" s="17" t="str">
        <f aca="false">IF((E173="z"),H173," ")</f>
        <v> </v>
      </c>
      <c r="AI173" s="17" t="str">
        <f aca="false">IF((E173="fa"),H173," ")</f>
        <v> </v>
      </c>
      <c r="AJ173" s="17" t="str">
        <f aca="false">IF((E173="e"),H173," ")</f>
        <v> </v>
      </c>
    </row>
    <row r="174" customFormat="false" ht="12" hidden="false" customHeight="false" outlineLevel="0" collapsed="false">
      <c r="A174" s="28"/>
      <c r="E174" s="2" t="str">
        <f aca="false">IF((F174&lt;&gt;0),"Enter Letter"," ")</f>
        <v> </v>
      </c>
      <c r="F174" s="30"/>
      <c r="G174" s="6" t="str">
        <f aca="false">IF(F174&lt;&gt;0,F174*G$2/(100+G$2)," ")</f>
        <v> </v>
      </c>
      <c r="H174" s="6" t="str">
        <f aca="false">IF((F174&lt;&gt;0),F174-G174," ")</f>
        <v> </v>
      </c>
      <c r="I174" s="5"/>
      <c r="L174" s="7" t="str">
        <f aca="false">IF(F174&lt;&gt;0,F174-K174," ")</f>
        <v> </v>
      </c>
      <c r="M174" s="8" t="str">
        <f aca="false">IF((F174-K174)&lt;&gt;0,M$1-A174," ")</f>
        <v> </v>
      </c>
      <c r="N174" s="5"/>
      <c r="O174" s="17" t="str">
        <f aca="false">IF((E174="s"),H174," ")</f>
        <v> </v>
      </c>
      <c r="P174" s="17" t="str">
        <f aca="false">IF((E174="c"),H174," ")</f>
        <v> </v>
      </c>
      <c r="Q174" s="17" t="str">
        <f aca="false">IF((E174="o"),H174," ")</f>
        <v> </v>
      </c>
      <c r="R174" s="17" t="str">
        <f aca="false">IF((E174="d"),H174," ")</f>
        <v> </v>
      </c>
      <c r="S174" s="17" t="str">
        <f aca="false">IF((E174="w"),H174," ")</f>
        <v> </v>
      </c>
      <c r="T174" s="17" t="str">
        <f aca="false">IF((E174="r"),H174," ")</f>
        <v> </v>
      </c>
      <c r="U174" s="17" t="str">
        <f aca="false">IF((E174="p"),H174," ")</f>
        <v> </v>
      </c>
      <c r="V174" s="17" t="str">
        <f aca="false">IF((E174="t"),H174," ")</f>
        <v> </v>
      </c>
      <c r="W174" s="17" t="str">
        <f aca="false">IF((E174="q"),H174," ")</f>
        <v> </v>
      </c>
      <c r="X174" s="17" t="str">
        <f aca="false">IF((E174="m"),H174," ")</f>
        <v> </v>
      </c>
      <c r="Y174" s="17" t="str">
        <f aca="false">IF((E174="u"),H174," ")</f>
        <v> </v>
      </c>
      <c r="Z174" s="17" t="str">
        <f aca="false">IF((E174="a"),H174," ")</f>
        <v> </v>
      </c>
      <c r="AA174" s="17" t="str">
        <f aca="false">IF((E174="g"),H174," ")</f>
        <v> </v>
      </c>
      <c r="AB174" s="17" t="str">
        <f aca="false">IF((E174="h"),H174," ")</f>
        <v> </v>
      </c>
      <c r="AC174" s="30" t="str">
        <f aca="false">IF((E174="v"),H174," ")</f>
        <v> </v>
      </c>
      <c r="AD174" s="30" t="str">
        <f aca="false">IF((E174="n"),H174," ")</f>
        <v> </v>
      </c>
      <c r="AE174" s="17" t="str">
        <f aca="false">IF((E174="f"),H174," ")</f>
        <v> </v>
      </c>
      <c r="AF174" s="17" t="str">
        <f aca="false">IF((E174="l"),H174," ")</f>
        <v> </v>
      </c>
      <c r="AG174" s="17" t="str">
        <f aca="false">IF((E174="y"),H174," ")</f>
        <v> </v>
      </c>
      <c r="AH174" s="17" t="str">
        <f aca="false">IF((E174="z"),H174," ")</f>
        <v> </v>
      </c>
      <c r="AI174" s="17" t="str">
        <f aca="false">IF((E174="fa"),H174," ")</f>
        <v> </v>
      </c>
      <c r="AJ174" s="17" t="str">
        <f aca="false">IF((E174="e"),H174," ")</f>
        <v> </v>
      </c>
    </row>
    <row r="175" customFormat="false" ht="12" hidden="false" customHeight="false" outlineLevel="0" collapsed="false">
      <c r="A175" s="28"/>
      <c r="E175" s="2" t="str">
        <f aca="false">IF((F175&lt;&gt;0),"Enter Letter"," ")</f>
        <v> </v>
      </c>
      <c r="F175" s="30"/>
      <c r="G175" s="6" t="str">
        <f aca="false">IF(F175&lt;&gt;0,F175*G$2/(100+G$2)," ")</f>
        <v> </v>
      </c>
      <c r="H175" s="6" t="str">
        <f aca="false">IF((F175&lt;&gt;0),F175-G175," ")</f>
        <v> </v>
      </c>
      <c r="I175" s="5"/>
      <c r="L175" s="7" t="str">
        <f aca="false">IF(F175&lt;&gt;0,F175-K175," ")</f>
        <v> </v>
      </c>
      <c r="M175" s="8" t="str">
        <f aca="false">IF((F175-K175)&lt;&gt;0,M$1-A175," ")</f>
        <v> </v>
      </c>
      <c r="N175" s="5"/>
      <c r="O175" s="17" t="str">
        <f aca="false">IF((E175="s"),H175," ")</f>
        <v> </v>
      </c>
      <c r="P175" s="17" t="str">
        <f aca="false">IF((E175="c"),H175," ")</f>
        <v> </v>
      </c>
      <c r="Q175" s="17" t="str">
        <f aca="false">IF((E175="o"),H175," ")</f>
        <v> </v>
      </c>
      <c r="R175" s="17" t="str">
        <f aca="false">IF((E175="d"),H175," ")</f>
        <v> </v>
      </c>
      <c r="S175" s="17" t="str">
        <f aca="false">IF((E175="w"),H175," ")</f>
        <v> </v>
      </c>
      <c r="T175" s="17" t="str">
        <f aca="false">IF((E175="r"),H175," ")</f>
        <v> </v>
      </c>
      <c r="U175" s="17" t="str">
        <f aca="false">IF((E175="p"),H175," ")</f>
        <v> </v>
      </c>
      <c r="V175" s="17" t="str">
        <f aca="false">IF((E175="t"),H175," ")</f>
        <v> </v>
      </c>
      <c r="W175" s="17" t="str">
        <f aca="false">IF((E175="q"),H175," ")</f>
        <v> </v>
      </c>
      <c r="X175" s="17" t="str">
        <f aca="false">IF((E175="m"),H175," ")</f>
        <v> </v>
      </c>
      <c r="Y175" s="17" t="str">
        <f aca="false">IF((E175="u"),H175," ")</f>
        <v> </v>
      </c>
      <c r="Z175" s="17" t="str">
        <f aca="false">IF((E175="a"),H175," ")</f>
        <v> </v>
      </c>
      <c r="AA175" s="17" t="str">
        <f aca="false">IF((E175="g"),H175," ")</f>
        <v> </v>
      </c>
      <c r="AB175" s="17" t="str">
        <f aca="false">IF((E175="h"),H175," ")</f>
        <v> </v>
      </c>
      <c r="AC175" s="30" t="str">
        <f aca="false">IF((E175="v"),H175," ")</f>
        <v> </v>
      </c>
      <c r="AD175" s="30" t="str">
        <f aca="false">IF((E175="n"),H175," ")</f>
        <v> </v>
      </c>
      <c r="AE175" s="17" t="str">
        <f aca="false">IF((E175="f"),H175," ")</f>
        <v> </v>
      </c>
      <c r="AF175" s="17" t="str">
        <f aca="false">IF((E175="l"),H175," ")</f>
        <v> </v>
      </c>
      <c r="AG175" s="17" t="str">
        <f aca="false">IF((E175="y"),H175," ")</f>
        <v> </v>
      </c>
      <c r="AH175" s="17" t="str">
        <f aca="false">IF((E175="z"),H175," ")</f>
        <v> </v>
      </c>
      <c r="AI175" s="17" t="str">
        <f aca="false">IF((E175="fa"),H175," ")</f>
        <v> </v>
      </c>
      <c r="AJ175" s="17" t="str">
        <f aca="false">IF((E175="e"),H175," ")</f>
        <v> </v>
      </c>
    </row>
    <row r="176" customFormat="false" ht="12" hidden="false" customHeight="false" outlineLevel="0" collapsed="false">
      <c r="A176" s="28"/>
      <c r="E176" s="2" t="str">
        <f aca="false">IF((F176&lt;&gt;0),"Enter Letter"," ")</f>
        <v> </v>
      </c>
      <c r="F176" s="30"/>
      <c r="G176" s="6" t="str">
        <f aca="false">IF(F176&lt;&gt;0,F176*G$2/(100+G$2)," ")</f>
        <v> </v>
      </c>
      <c r="H176" s="6" t="str">
        <f aca="false">IF((F176&lt;&gt;0),F176-G176," ")</f>
        <v> </v>
      </c>
      <c r="I176" s="5"/>
      <c r="L176" s="7" t="str">
        <f aca="false">IF(F176&lt;&gt;0,F176-K176," ")</f>
        <v> </v>
      </c>
      <c r="M176" s="8" t="str">
        <f aca="false">IF((F176-K176)&lt;&gt;0,M$1-A176," ")</f>
        <v> </v>
      </c>
      <c r="N176" s="5"/>
      <c r="O176" s="17" t="str">
        <f aca="false">IF((E176="s"),H176," ")</f>
        <v> </v>
      </c>
      <c r="P176" s="17" t="str">
        <f aca="false">IF((E176="c"),H176," ")</f>
        <v> </v>
      </c>
      <c r="Q176" s="17" t="str">
        <f aca="false">IF((E176="o"),H176," ")</f>
        <v> </v>
      </c>
      <c r="R176" s="17" t="str">
        <f aca="false">IF((E176="d"),H176," ")</f>
        <v> </v>
      </c>
      <c r="S176" s="17" t="str">
        <f aca="false">IF((E176="w"),H176," ")</f>
        <v> </v>
      </c>
      <c r="T176" s="17" t="str">
        <f aca="false">IF((E176="r"),H176," ")</f>
        <v> </v>
      </c>
      <c r="U176" s="17" t="str">
        <f aca="false">IF((E176="p"),H176," ")</f>
        <v> </v>
      </c>
      <c r="V176" s="17" t="str">
        <f aca="false">IF((E176="t"),H176," ")</f>
        <v> </v>
      </c>
      <c r="W176" s="17" t="str">
        <f aca="false">IF((E176="q"),H176," ")</f>
        <v> </v>
      </c>
      <c r="X176" s="17" t="str">
        <f aca="false">IF((E176="m"),H176," ")</f>
        <v> </v>
      </c>
      <c r="Y176" s="17" t="str">
        <f aca="false">IF((E176="u"),H176," ")</f>
        <v> </v>
      </c>
      <c r="Z176" s="17" t="str">
        <f aca="false">IF((E176="a"),H176," ")</f>
        <v> </v>
      </c>
      <c r="AA176" s="17" t="str">
        <f aca="false">IF((E176="g"),H176," ")</f>
        <v> </v>
      </c>
      <c r="AB176" s="17" t="str">
        <f aca="false">IF((E176="h"),H176," ")</f>
        <v> </v>
      </c>
      <c r="AC176" s="30" t="str">
        <f aca="false">IF((E176="v"),H176," ")</f>
        <v> </v>
      </c>
      <c r="AD176" s="30" t="str">
        <f aca="false">IF((E176="n"),H176," ")</f>
        <v> </v>
      </c>
      <c r="AE176" s="17" t="str">
        <f aca="false">IF((E176="f"),H176," ")</f>
        <v> </v>
      </c>
      <c r="AF176" s="17" t="str">
        <f aca="false">IF((E176="l"),H176," ")</f>
        <v> </v>
      </c>
      <c r="AG176" s="17" t="str">
        <f aca="false">IF((E176="y"),H176," ")</f>
        <v> </v>
      </c>
      <c r="AH176" s="17" t="str">
        <f aca="false">IF((E176="z"),H176," ")</f>
        <v> </v>
      </c>
      <c r="AI176" s="17" t="str">
        <f aca="false">IF((E176="fa"),H176," ")</f>
        <v> </v>
      </c>
      <c r="AJ176" s="17" t="str">
        <f aca="false">IF((E176="e"),H176," ")</f>
        <v> </v>
      </c>
    </row>
    <row r="177" customFormat="false" ht="12" hidden="false" customHeight="false" outlineLevel="0" collapsed="false">
      <c r="A177" s="28"/>
      <c r="E177" s="2" t="str">
        <f aca="false">IF((F177&lt;&gt;0),"Enter Letter"," ")</f>
        <v> </v>
      </c>
      <c r="F177" s="30"/>
      <c r="G177" s="6" t="str">
        <f aca="false">IF(F177&lt;&gt;0,F177*G$2/(100+G$2)," ")</f>
        <v> </v>
      </c>
      <c r="H177" s="6" t="str">
        <f aca="false">IF((F177&lt;&gt;0),F177-G177," ")</f>
        <v> </v>
      </c>
      <c r="I177" s="5"/>
      <c r="L177" s="7" t="str">
        <f aca="false">IF(F177&lt;&gt;0,F177-K177," ")</f>
        <v> </v>
      </c>
      <c r="M177" s="8" t="str">
        <f aca="false">IF((F177-K177)&lt;&gt;0,M$1-A177," ")</f>
        <v> </v>
      </c>
      <c r="N177" s="5"/>
      <c r="O177" s="17" t="str">
        <f aca="false">IF((E177="s"),H177," ")</f>
        <v> </v>
      </c>
      <c r="P177" s="17" t="str">
        <f aca="false">IF((E177="c"),H177," ")</f>
        <v> </v>
      </c>
      <c r="Q177" s="17" t="str">
        <f aca="false">IF((E177="o"),H177," ")</f>
        <v> </v>
      </c>
      <c r="R177" s="17" t="str">
        <f aca="false">IF((E177="d"),H177," ")</f>
        <v> </v>
      </c>
      <c r="S177" s="17" t="str">
        <f aca="false">IF((E177="w"),H177," ")</f>
        <v> </v>
      </c>
      <c r="T177" s="17" t="str">
        <f aca="false">IF((E177="r"),H177," ")</f>
        <v> </v>
      </c>
      <c r="U177" s="17" t="str">
        <f aca="false">IF((E177="p"),H177," ")</f>
        <v> </v>
      </c>
      <c r="V177" s="17" t="str">
        <f aca="false">IF((E177="t"),H177," ")</f>
        <v> </v>
      </c>
      <c r="W177" s="17" t="str">
        <f aca="false">IF((E177="q"),H177," ")</f>
        <v> </v>
      </c>
      <c r="X177" s="17" t="str">
        <f aca="false">IF((E177="m"),H177," ")</f>
        <v> </v>
      </c>
      <c r="Y177" s="17" t="str">
        <f aca="false">IF((E177="u"),H177," ")</f>
        <v> </v>
      </c>
      <c r="Z177" s="17" t="str">
        <f aca="false">IF((E177="a"),H177," ")</f>
        <v> </v>
      </c>
      <c r="AA177" s="17" t="str">
        <f aca="false">IF((E177="g"),H177," ")</f>
        <v> </v>
      </c>
      <c r="AB177" s="17" t="str">
        <f aca="false">IF((E177="h"),H177," ")</f>
        <v> </v>
      </c>
      <c r="AC177" s="30" t="str">
        <f aca="false">IF((E177="v"),H177," ")</f>
        <v> </v>
      </c>
      <c r="AD177" s="30" t="str">
        <f aca="false">IF((E177="n"),H177," ")</f>
        <v> </v>
      </c>
      <c r="AE177" s="17" t="str">
        <f aca="false">IF((E177="f"),H177," ")</f>
        <v> </v>
      </c>
      <c r="AF177" s="17" t="str">
        <f aca="false">IF((E177="l"),H177," ")</f>
        <v> </v>
      </c>
      <c r="AG177" s="17" t="str">
        <f aca="false">IF((E177="y"),H177," ")</f>
        <v> </v>
      </c>
      <c r="AH177" s="17" t="str">
        <f aca="false">IF((E177="z"),H177," ")</f>
        <v> </v>
      </c>
      <c r="AI177" s="17" t="str">
        <f aca="false">IF((E177="fa"),H177," ")</f>
        <v> </v>
      </c>
      <c r="AJ177" s="17" t="str">
        <f aca="false">IF((E177="e"),H177," ")</f>
        <v> </v>
      </c>
    </row>
    <row r="178" customFormat="false" ht="12" hidden="false" customHeight="false" outlineLevel="0" collapsed="false">
      <c r="A178" s="28"/>
      <c r="E178" s="2" t="str">
        <f aca="false">IF((F178&lt;&gt;0),"Enter Letter"," ")</f>
        <v> </v>
      </c>
      <c r="F178" s="30"/>
      <c r="G178" s="6" t="str">
        <f aca="false">IF(F178&lt;&gt;0,F178*G$2/(100+G$2)," ")</f>
        <v> </v>
      </c>
      <c r="H178" s="6" t="str">
        <f aca="false">IF((F178&lt;&gt;0),F178-G178," ")</f>
        <v> </v>
      </c>
      <c r="I178" s="5"/>
      <c r="L178" s="7" t="str">
        <f aca="false">IF(F178&lt;&gt;0,F178-K178," ")</f>
        <v> </v>
      </c>
      <c r="M178" s="8" t="str">
        <f aca="false">IF((F178-K178)&lt;&gt;0,M$1-A178," ")</f>
        <v> </v>
      </c>
      <c r="N178" s="5"/>
      <c r="O178" s="17" t="str">
        <f aca="false">IF((E178="s"),H178," ")</f>
        <v> </v>
      </c>
      <c r="P178" s="17" t="str">
        <f aca="false">IF((E178="c"),H178," ")</f>
        <v> </v>
      </c>
      <c r="Q178" s="17" t="str">
        <f aca="false">IF((E178="o"),H178," ")</f>
        <v> </v>
      </c>
      <c r="R178" s="17" t="str">
        <f aca="false">IF((E178="d"),H178," ")</f>
        <v> </v>
      </c>
      <c r="S178" s="17" t="str">
        <f aca="false">IF((E178="w"),H178," ")</f>
        <v> </v>
      </c>
      <c r="T178" s="17" t="str">
        <f aca="false">IF((E178="r"),H178," ")</f>
        <v> </v>
      </c>
      <c r="U178" s="17" t="str">
        <f aca="false">IF((E178="p"),H178," ")</f>
        <v> </v>
      </c>
      <c r="V178" s="17" t="str">
        <f aca="false">IF((E178="t"),H178," ")</f>
        <v> </v>
      </c>
      <c r="W178" s="17" t="str">
        <f aca="false">IF((E178="q"),H178," ")</f>
        <v> </v>
      </c>
      <c r="X178" s="17" t="str">
        <f aca="false">IF((E178="m"),H178," ")</f>
        <v> </v>
      </c>
      <c r="Y178" s="17" t="str">
        <f aca="false">IF((E178="u"),H178," ")</f>
        <v> </v>
      </c>
      <c r="Z178" s="17" t="str">
        <f aca="false">IF((E178="a"),H178," ")</f>
        <v> </v>
      </c>
      <c r="AA178" s="17" t="str">
        <f aca="false">IF((E178="g"),H178," ")</f>
        <v> </v>
      </c>
      <c r="AB178" s="17" t="str">
        <f aca="false">IF((E178="h"),H178," ")</f>
        <v> </v>
      </c>
      <c r="AC178" s="30" t="str">
        <f aca="false">IF((E178="v"),H178," ")</f>
        <v> </v>
      </c>
      <c r="AD178" s="30" t="str">
        <f aca="false">IF((E178="n"),H178," ")</f>
        <v> </v>
      </c>
      <c r="AE178" s="17" t="str">
        <f aca="false">IF((E178="f"),H178," ")</f>
        <v> </v>
      </c>
      <c r="AF178" s="17" t="str">
        <f aca="false">IF((E178="l"),H178," ")</f>
        <v> </v>
      </c>
      <c r="AG178" s="17" t="str">
        <f aca="false">IF((E178="y"),H178," ")</f>
        <v> </v>
      </c>
      <c r="AH178" s="17" t="str">
        <f aca="false">IF((E178="z"),H178," ")</f>
        <v> </v>
      </c>
      <c r="AI178" s="17" t="str">
        <f aca="false">IF((E178="fa"),H178," ")</f>
        <v> </v>
      </c>
      <c r="AJ178" s="17" t="str">
        <f aca="false">IF((E178="e"),H178," ")</f>
        <v> </v>
      </c>
    </row>
    <row r="179" customFormat="false" ht="12" hidden="false" customHeight="false" outlineLevel="0" collapsed="false">
      <c r="A179" s="28"/>
      <c r="E179" s="2" t="str">
        <f aca="false">IF((F179&lt;&gt;0),"Enter Letter"," ")</f>
        <v> </v>
      </c>
      <c r="F179" s="30"/>
      <c r="G179" s="6" t="str">
        <f aca="false">IF(F179&lt;&gt;0,F179*G$2/(100+G$2)," ")</f>
        <v> </v>
      </c>
      <c r="H179" s="6" t="str">
        <f aca="false">IF((F179&lt;&gt;0),F179-G179," ")</f>
        <v> </v>
      </c>
      <c r="I179" s="5"/>
      <c r="L179" s="7" t="str">
        <f aca="false">IF(F179&lt;&gt;0,F179-K179," ")</f>
        <v> </v>
      </c>
      <c r="M179" s="8" t="str">
        <f aca="false">IF((F179-K179)&lt;&gt;0,M$1-A179," ")</f>
        <v> </v>
      </c>
      <c r="N179" s="5"/>
      <c r="O179" s="17" t="str">
        <f aca="false">IF((E179="s"),H179," ")</f>
        <v> </v>
      </c>
      <c r="P179" s="17" t="str">
        <f aca="false">IF((E179="c"),H179," ")</f>
        <v> </v>
      </c>
      <c r="Q179" s="17" t="str">
        <f aca="false">IF((E179="o"),H179," ")</f>
        <v> </v>
      </c>
      <c r="R179" s="17" t="str">
        <f aca="false">IF((E179="d"),H179," ")</f>
        <v> </v>
      </c>
      <c r="S179" s="17" t="str">
        <f aca="false">IF((E179="w"),H179," ")</f>
        <v> </v>
      </c>
      <c r="T179" s="17" t="str">
        <f aca="false">IF((E179="r"),H179," ")</f>
        <v> </v>
      </c>
      <c r="U179" s="17" t="str">
        <f aca="false">IF((E179="p"),H179," ")</f>
        <v> </v>
      </c>
      <c r="V179" s="17" t="str">
        <f aca="false">IF((E179="t"),H179," ")</f>
        <v> </v>
      </c>
      <c r="W179" s="17" t="str">
        <f aca="false">IF((E179="q"),H179," ")</f>
        <v> </v>
      </c>
      <c r="X179" s="17" t="str">
        <f aca="false">IF((E179="m"),H179," ")</f>
        <v> </v>
      </c>
      <c r="Y179" s="17" t="str">
        <f aca="false">IF((E179="u"),H179," ")</f>
        <v> </v>
      </c>
      <c r="Z179" s="17" t="str">
        <f aca="false">IF((E179="a"),H179," ")</f>
        <v> </v>
      </c>
      <c r="AA179" s="17" t="str">
        <f aca="false">IF((E179="g"),H179," ")</f>
        <v> </v>
      </c>
      <c r="AB179" s="17" t="str">
        <f aca="false">IF((E179="h"),H179," ")</f>
        <v> </v>
      </c>
      <c r="AC179" s="30" t="str">
        <f aca="false">IF((E179="v"),H179," ")</f>
        <v> </v>
      </c>
      <c r="AD179" s="30" t="str">
        <f aca="false">IF((E179="n"),H179," ")</f>
        <v> </v>
      </c>
      <c r="AE179" s="17" t="str">
        <f aca="false">IF((E179="f"),H179," ")</f>
        <v> </v>
      </c>
      <c r="AF179" s="17" t="str">
        <f aca="false">IF((E179="l"),H179," ")</f>
        <v> </v>
      </c>
      <c r="AG179" s="17" t="str">
        <f aca="false">IF((E179="y"),H179," ")</f>
        <v> </v>
      </c>
      <c r="AH179" s="17" t="str">
        <f aca="false">IF((E179="z"),H179," ")</f>
        <v> </v>
      </c>
      <c r="AI179" s="17" t="str">
        <f aca="false">IF((E179="fa"),H179," ")</f>
        <v> </v>
      </c>
      <c r="AJ179" s="17" t="str">
        <f aca="false">IF((E179="e"),H179," ")</f>
        <v> </v>
      </c>
    </row>
    <row r="180" customFormat="false" ht="12" hidden="false" customHeight="false" outlineLevel="0" collapsed="false">
      <c r="A180" s="28"/>
      <c r="E180" s="2" t="str">
        <f aca="false">IF((F180&lt;&gt;0),"Enter Letter"," ")</f>
        <v> </v>
      </c>
      <c r="F180" s="30"/>
      <c r="G180" s="6" t="str">
        <f aca="false">IF(F180&lt;&gt;0,F180*G$2/(100+G$2)," ")</f>
        <v> </v>
      </c>
      <c r="H180" s="6" t="str">
        <f aca="false">IF((F180&lt;&gt;0),F180-G180," ")</f>
        <v> </v>
      </c>
      <c r="I180" s="5"/>
      <c r="L180" s="7" t="str">
        <f aca="false">IF(F180&lt;&gt;0,F180-K180," ")</f>
        <v> </v>
      </c>
      <c r="M180" s="8" t="str">
        <f aca="false">IF((F180-K180)&lt;&gt;0,M$1-A180," ")</f>
        <v> </v>
      </c>
      <c r="N180" s="5"/>
      <c r="O180" s="17" t="str">
        <f aca="false">IF((E180="s"),H180," ")</f>
        <v> </v>
      </c>
      <c r="P180" s="17" t="str">
        <f aca="false">IF((E180="c"),H180," ")</f>
        <v> </v>
      </c>
      <c r="Q180" s="17" t="str">
        <f aca="false">IF((E180="o"),H180," ")</f>
        <v> </v>
      </c>
      <c r="R180" s="17" t="str">
        <f aca="false">IF((E180="d"),H180," ")</f>
        <v> </v>
      </c>
      <c r="S180" s="17" t="str">
        <f aca="false">IF((E180="w"),H180," ")</f>
        <v> </v>
      </c>
      <c r="T180" s="17" t="str">
        <f aca="false">IF((E180="r"),H180," ")</f>
        <v> </v>
      </c>
      <c r="U180" s="17" t="str">
        <f aca="false">IF((E180="p"),H180," ")</f>
        <v> </v>
      </c>
      <c r="V180" s="17" t="str">
        <f aca="false">IF((E180="t"),H180," ")</f>
        <v> </v>
      </c>
      <c r="W180" s="17" t="str">
        <f aca="false">IF((E180="q"),H180," ")</f>
        <v> </v>
      </c>
      <c r="X180" s="17" t="str">
        <f aca="false">IF((E180="m"),H180," ")</f>
        <v> </v>
      </c>
      <c r="Y180" s="17" t="str">
        <f aca="false">IF((E180="u"),H180," ")</f>
        <v> </v>
      </c>
      <c r="Z180" s="17" t="str">
        <f aca="false">IF((E180="a"),H180," ")</f>
        <v> </v>
      </c>
      <c r="AA180" s="17" t="str">
        <f aca="false">IF((E180="g"),H180," ")</f>
        <v> </v>
      </c>
      <c r="AB180" s="17" t="str">
        <f aca="false">IF((E180="h"),H180," ")</f>
        <v> </v>
      </c>
      <c r="AC180" s="30" t="str">
        <f aca="false">IF((E180="v"),H180," ")</f>
        <v> </v>
      </c>
      <c r="AD180" s="30" t="str">
        <f aca="false">IF((E180="n"),H180," ")</f>
        <v> </v>
      </c>
      <c r="AE180" s="17" t="str">
        <f aca="false">IF((E180="f"),H180," ")</f>
        <v> </v>
      </c>
      <c r="AF180" s="17" t="str">
        <f aca="false">IF((E180="l"),H180," ")</f>
        <v> </v>
      </c>
      <c r="AG180" s="17" t="str">
        <f aca="false">IF((E180="y"),H180," ")</f>
        <v> </v>
      </c>
      <c r="AH180" s="17" t="str">
        <f aca="false">IF((E180="z"),H180," ")</f>
        <v> </v>
      </c>
      <c r="AI180" s="17" t="str">
        <f aca="false">IF((E180="fa"),H180," ")</f>
        <v> </v>
      </c>
      <c r="AJ180" s="17" t="str">
        <f aca="false">IF((E180="e"),H180," ")</f>
        <v> </v>
      </c>
    </row>
    <row r="181" customFormat="false" ht="12" hidden="false" customHeight="false" outlineLevel="0" collapsed="false">
      <c r="A181" s="28"/>
      <c r="E181" s="2" t="str">
        <f aca="false">IF((F181&lt;&gt;0),"Enter Letter"," ")</f>
        <v> </v>
      </c>
      <c r="F181" s="30"/>
      <c r="G181" s="6" t="str">
        <f aca="false">IF(F181&lt;&gt;0,F181*G$2/(100+G$2)," ")</f>
        <v> </v>
      </c>
      <c r="H181" s="6" t="str">
        <f aca="false">IF((F181&lt;&gt;0),F181-G181," ")</f>
        <v> </v>
      </c>
      <c r="I181" s="5"/>
      <c r="L181" s="7" t="str">
        <f aca="false">IF(F181&lt;&gt;0,F181-K181," ")</f>
        <v> </v>
      </c>
      <c r="M181" s="8" t="str">
        <f aca="false">IF((F181-K181)&lt;&gt;0,M$1-A181," ")</f>
        <v> </v>
      </c>
      <c r="N181" s="5"/>
      <c r="O181" s="17" t="str">
        <f aca="false">IF((E181="s"),H181," ")</f>
        <v> </v>
      </c>
      <c r="P181" s="17" t="str">
        <f aca="false">IF((E181="c"),H181," ")</f>
        <v> </v>
      </c>
      <c r="Q181" s="17" t="str">
        <f aca="false">IF((E181="o"),H181," ")</f>
        <v> </v>
      </c>
      <c r="R181" s="17" t="str">
        <f aca="false">IF((E181="d"),H181," ")</f>
        <v> </v>
      </c>
      <c r="S181" s="17" t="str">
        <f aca="false">IF((E181="w"),H181," ")</f>
        <v> </v>
      </c>
      <c r="T181" s="17" t="str">
        <f aca="false">IF((E181="r"),H181," ")</f>
        <v> </v>
      </c>
      <c r="U181" s="17" t="str">
        <f aca="false">IF((E181="p"),H181," ")</f>
        <v> </v>
      </c>
      <c r="V181" s="17" t="str">
        <f aca="false">IF((E181="t"),H181," ")</f>
        <v> </v>
      </c>
      <c r="W181" s="17" t="str">
        <f aca="false">IF((E181="q"),H181," ")</f>
        <v> </v>
      </c>
      <c r="X181" s="17" t="str">
        <f aca="false">IF((E181="m"),H181," ")</f>
        <v> </v>
      </c>
      <c r="Y181" s="17" t="str">
        <f aca="false">IF((E181="u"),H181," ")</f>
        <v> </v>
      </c>
      <c r="Z181" s="17" t="str">
        <f aca="false">IF((E181="a"),H181," ")</f>
        <v> </v>
      </c>
      <c r="AA181" s="17" t="str">
        <f aca="false">IF((E181="g"),H181," ")</f>
        <v> </v>
      </c>
      <c r="AB181" s="17" t="str">
        <f aca="false">IF((E181="h"),H181," ")</f>
        <v> </v>
      </c>
      <c r="AC181" s="30" t="str">
        <f aca="false">IF((E181="v"),H181," ")</f>
        <v> </v>
      </c>
      <c r="AD181" s="30" t="str">
        <f aca="false">IF((E181="n"),H181," ")</f>
        <v> </v>
      </c>
      <c r="AE181" s="17" t="str">
        <f aca="false">IF((E181="f"),H181," ")</f>
        <v> </v>
      </c>
      <c r="AF181" s="17" t="str">
        <f aca="false">IF((E181="l"),H181," ")</f>
        <v> </v>
      </c>
      <c r="AG181" s="17" t="str">
        <f aca="false">IF((E181="y"),H181," ")</f>
        <v> </v>
      </c>
      <c r="AH181" s="17" t="str">
        <f aca="false">IF((E181="z"),H181," ")</f>
        <v> </v>
      </c>
      <c r="AI181" s="17" t="str">
        <f aca="false">IF((E181="fa"),H181," ")</f>
        <v> </v>
      </c>
      <c r="AJ181" s="17" t="str">
        <f aca="false">IF((E181="e"),H181," ")</f>
        <v> </v>
      </c>
    </row>
    <row r="182" customFormat="false" ht="12" hidden="false" customHeight="false" outlineLevel="0" collapsed="false">
      <c r="A182" s="28"/>
      <c r="E182" s="2" t="str">
        <f aca="false">IF((F182&lt;&gt;0),"Enter Letter"," ")</f>
        <v> </v>
      </c>
      <c r="F182" s="30"/>
      <c r="G182" s="6" t="str">
        <f aca="false">IF(F182&lt;&gt;0,F182*G$2/(100+G$2)," ")</f>
        <v> </v>
      </c>
      <c r="H182" s="6" t="str">
        <f aca="false">IF((F182&lt;&gt;0),F182-G182," ")</f>
        <v> </v>
      </c>
      <c r="I182" s="5"/>
      <c r="L182" s="7" t="str">
        <f aca="false">IF(F182&lt;&gt;0,F182-K182," ")</f>
        <v> </v>
      </c>
      <c r="M182" s="8" t="str">
        <f aca="false">IF((F182-K182)&lt;&gt;0,M$1-A182," ")</f>
        <v> </v>
      </c>
      <c r="N182" s="5"/>
      <c r="O182" s="17" t="str">
        <f aca="false">IF((E182="s"),H182," ")</f>
        <v> </v>
      </c>
      <c r="P182" s="17" t="str">
        <f aca="false">IF((E182="c"),H182," ")</f>
        <v> </v>
      </c>
      <c r="Q182" s="17" t="str">
        <f aca="false">IF((E182="o"),H182," ")</f>
        <v> </v>
      </c>
      <c r="R182" s="17" t="str">
        <f aca="false">IF((E182="d"),H182," ")</f>
        <v> </v>
      </c>
      <c r="S182" s="17" t="str">
        <f aca="false">IF((E182="w"),H182," ")</f>
        <v> </v>
      </c>
      <c r="T182" s="17" t="str">
        <f aca="false">IF((E182="r"),H182," ")</f>
        <v> </v>
      </c>
      <c r="U182" s="17" t="str">
        <f aca="false">IF((E182="p"),H182," ")</f>
        <v> </v>
      </c>
      <c r="V182" s="17" t="str">
        <f aca="false">IF((E182="t"),H182," ")</f>
        <v> </v>
      </c>
      <c r="W182" s="17" t="str">
        <f aca="false">IF((E182="q"),H182," ")</f>
        <v> </v>
      </c>
      <c r="X182" s="17" t="str">
        <f aca="false">IF((E182="m"),H182," ")</f>
        <v> </v>
      </c>
      <c r="Y182" s="17" t="str">
        <f aca="false">IF((E182="u"),H182," ")</f>
        <v> </v>
      </c>
      <c r="Z182" s="17" t="str">
        <f aca="false">IF((E182="a"),H182," ")</f>
        <v> </v>
      </c>
      <c r="AA182" s="17" t="str">
        <f aca="false">IF((E182="g"),H182," ")</f>
        <v> </v>
      </c>
      <c r="AB182" s="17" t="str">
        <f aca="false">IF((E182="h"),H182," ")</f>
        <v> </v>
      </c>
      <c r="AC182" s="30" t="str">
        <f aca="false">IF((E182="v"),H182," ")</f>
        <v> </v>
      </c>
      <c r="AD182" s="30" t="str">
        <f aca="false">IF((E182="n"),H182," ")</f>
        <v> </v>
      </c>
      <c r="AE182" s="17" t="str">
        <f aca="false">IF((E182="f"),H182," ")</f>
        <v> </v>
      </c>
      <c r="AF182" s="17" t="str">
        <f aca="false">IF((E182="l"),H182," ")</f>
        <v> </v>
      </c>
      <c r="AG182" s="17" t="str">
        <f aca="false">IF((E182="y"),H182," ")</f>
        <v> </v>
      </c>
      <c r="AH182" s="17" t="str">
        <f aca="false">IF((E182="z"),H182," ")</f>
        <v> </v>
      </c>
      <c r="AI182" s="17" t="str">
        <f aca="false">IF((E182="fa"),H182," ")</f>
        <v> </v>
      </c>
      <c r="AJ182" s="17" t="str">
        <f aca="false">IF((E182="e"),H182," ")</f>
        <v> </v>
      </c>
    </row>
    <row r="183" customFormat="false" ht="12" hidden="false" customHeight="false" outlineLevel="0" collapsed="false">
      <c r="A183" s="28"/>
      <c r="E183" s="2" t="str">
        <f aca="false">IF((F183&lt;&gt;0),"Enter Letter"," ")</f>
        <v> </v>
      </c>
      <c r="F183" s="30"/>
      <c r="G183" s="6" t="str">
        <f aca="false">IF(F183&lt;&gt;0,F183*G$2/(100+G$2)," ")</f>
        <v> </v>
      </c>
      <c r="H183" s="6" t="str">
        <f aca="false">IF((F183&lt;&gt;0),F183-G183," ")</f>
        <v> </v>
      </c>
      <c r="I183" s="5"/>
      <c r="L183" s="7" t="str">
        <f aca="false">IF(F183&lt;&gt;0,F183-K183," ")</f>
        <v> </v>
      </c>
      <c r="M183" s="8" t="str">
        <f aca="false">IF((F183-K183)&lt;&gt;0,M$1-A183," ")</f>
        <v> </v>
      </c>
      <c r="N183" s="5"/>
      <c r="O183" s="17" t="str">
        <f aca="false">IF((E183="s"),H183," ")</f>
        <v> </v>
      </c>
      <c r="P183" s="17" t="str">
        <f aca="false">IF((E183="c"),H183," ")</f>
        <v> </v>
      </c>
      <c r="Q183" s="17" t="str">
        <f aca="false">IF((E183="o"),H183," ")</f>
        <v> </v>
      </c>
      <c r="R183" s="17" t="str">
        <f aca="false">IF((E183="d"),H183," ")</f>
        <v> </v>
      </c>
      <c r="S183" s="17" t="str">
        <f aca="false">IF((E183="w"),H183," ")</f>
        <v> </v>
      </c>
      <c r="T183" s="17" t="str">
        <f aca="false">IF((E183="r"),H183," ")</f>
        <v> </v>
      </c>
      <c r="U183" s="17" t="str">
        <f aca="false">IF((E183="p"),H183," ")</f>
        <v> </v>
      </c>
      <c r="V183" s="17" t="str">
        <f aca="false">IF((E183="t"),H183," ")</f>
        <v> </v>
      </c>
      <c r="W183" s="17" t="str">
        <f aca="false">IF((E183="q"),H183," ")</f>
        <v> </v>
      </c>
      <c r="X183" s="17" t="str">
        <f aca="false">IF((E183="m"),H183," ")</f>
        <v> </v>
      </c>
      <c r="Y183" s="17" t="str">
        <f aca="false">IF((E183="u"),H183," ")</f>
        <v> </v>
      </c>
      <c r="Z183" s="17" t="str">
        <f aca="false">IF((E183="a"),H183," ")</f>
        <v> </v>
      </c>
      <c r="AA183" s="17" t="str">
        <f aca="false">IF((E183="g"),H183," ")</f>
        <v> </v>
      </c>
      <c r="AB183" s="17" t="str">
        <f aca="false">IF((E183="h"),H183," ")</f>
        <v> </v>
      </c>
      <c r="AC183" s="30" t="str">
        <f aca="false">IF((E183="v"),H183," ")</f>
        <v> </v>
      </c>
      <c r="AD183" s="30" t="str">
        <f aca="false">IF((E183="n"),H183," ")</f>
        <v> </v>
      </c>
      <c r="AE183" s="17" t="str">
        <f aca="false">IF((E183="f"),H183," ")</f>
        <v> </v>
      </c>
      <c r="AF183" s="17" t="str">
        <f aca="false">IF((E183="l"),H183," ")</f>
        <v> </v>
      </c>
      <c r="AG183" s="17" t="str">
        <f aca="false">IF((E183="y"),H183," ")</f>
        <v> </v>
      </c>
      <c r="AH183" s="17" t="str">
        <f aca="false">IF((E183="z"),H183," ")</f>
        <v> </v>
      </c>
      <c r="AI183" s="17" t="str">
        <f aca="false">IF((E183="fa"),H183," ")</f>
        <v> </v>
      </c>
      <c r="AJ183" s="17" t="str">
        <f aca="false">IF((E183="e"),H183," ")</f>
        <v> </v>
      </c>
    </row>
    <row r="184" customFormat="false" ht="12" hidden="false" customHeight="false" outlineLevel="0" collapsed="false">
      <c r="A184" s="28"/>
      <c r="E184" s="2" t="str">
        <f aca="false">IF((F184&lt;&gt;0),"Enter Letter"," ")</f>
        <v> </v>
      </c>
      <c r="F184" s="30"/>
      <c r="G184" s="6" t="str">
        <f aca="false">IF(F184&lt;&gt;0,F184*G$2/(100+G$2)," ")</f>
        <v> </v>
      </c>
      <c r="H184" s="6" t="str">
        <f aca="false">IF((F184&lt;&gt;0),F184-G184," ")</f>
        <v> </v>
      </c>
      <c r="I184" s="5"/>
      <c r="L184" s="7" t="str">
        <f aca="false">IF(F184&lt;&gt;0,F184-K184," ")</f>
        <v> </v>
      </c>
      <c r="M184" s="8" t="str">
        <f aca="false">IF((F184-K184)&lt;&gt;0,M$1-A184," ")</f>
        <v> </v>
      </c>
      <c r="N184" s="5"/>
      <c r="O184" s="17" t="str">
        <f aca="false">IF((E184="s"),H184," ")</f>
        <v> </v>
      </c>
      <c r="P184" s="17" t="str">
        <f aca="false">IF((E184="c"),H184," ")</f>
        <v> </v>
      </c>
      <c r="Q184" s="17" t="str">
        <f aca="false">IF((E184="o"),H184," ")</f>
        <v> </v>
      </c>
      <c r="R184" s="17" t="str">
        <f aca="false">IF((E184="d"),H184," ")</f>
        <v> </v>
      </c>
      <c r="S184" s="17" t="str">
        <f aca="false">IF((E184="w"),H184," ")</f>
        <v> </v>
      </c>
      <c r="T184" s="17" t="str">
        <f aca="false">IF((E184="r"),H184," ")</f>
        <v> </v>
      </c>
      <c r="U184" s="17" t="str">
        <f aca="false">IF((E184="p"),H184," ")</f>
        <v> </v>
      </c>
      <c r="V184" s="17" t="str">
        <f aca="false">IF((E184="t"),H184," ")</f>
        <v> </v>
      </c>
      <c r="W184" s="17" t="str">
        <f aca="false">IF((E184="q"),H184," ")</f>
        <v> </v>
      </c>
      <c r="X184" s="17" t="str">
        <f aca="false">IF((E184="m"),H184," ")</f>
        <v> </v>
      </c>
      <c r="Y184" s="17" t="str">
        <f aca="false">IF((E184="u"),H184," ")</f>
        <v> </v>
      </c>
      <c r="Z184" s="17" t="str">
        <f aca="false">IF((E184="a"),H184," ")</f>
        <v> </v>
      </c>
      <c r="AA184" s="17" t="str">
        <f aca="false">IF((E184="g"),H184," ")</f>
        <v> </v>
      </c>
      <c r="AB184" s="17" t="str">
        <f aca="false">IF((E184="h"),H184," ")</f>
        <v> </v>
      </c>
      <c r="AC184" s="30" t="str">
        <f aca="false">IF((E184="v"),H184," ")</f>
        <v> </v>
      </c>
      <c r="AD184" s="30" t="str">
        <f aca="false">IF((E184="n"),H184," ")</f>
        <v> </v>
      </c>
      <c r="AE184" s="17" t="str">
        <f aca="false">IF((E184="f"),H184," ")</f>
        <v> </v>
      </c>
      <c r="AF184" s="17" t="str">
        <f aca="false">IF((E184="l"),H184," ")</f>
        <v> </v>
      </c>
      <c r="AG184" s="17" t="str">
        <f aca="false">IF((E184="y"),H184," ")</f>
        <v> </v>
      </c>
      <c r="AH184" s="17" t="str">
        <f aca="false">IF((E184="z"),H184," ")</f>
        <v> </v>
      </c>
      <c r="AI184" s="17" t="str">
        <f aca="false">IF((E184="fa"),H184," ")</f>
        <v> </v>
      </c>
      <c r="AJ184" s="17" t="str">
        <f aca="false">IF((E184="e"),H184," ")</f>
        <v> </v>
      </c>
    </row>
    <row r="185" customFormat="false" ht="12" hidden="false" customHeight="false" outlineLevel="0" collapsed="false">
      <c r="A185" s="28"/>
      <c r="E185" s="2" t="str">
        <f aca="false">IF((F185&lt;&gt;0),"Enter Letter"," ")</f>
        <v> </v>
      </c>
      <c r="F185" s="30"/>
      <c r="G185" s="6" t="str">
        <f aca="false">IF(F185&lt;&gt;0,F185*G$2/(100+G$2)," ")</f>
        <v> </v>
      </c>
      <c r="H185" s="6" t="str">
        <f aca="false">IF((F185&lt;&gt;0),F185-G185," ")</f>
        <v> </v>
      </c>
      <c r="I185" s="5"/>
      <c r="L185" s="7" t="str">
        <f aca="false">IF(F185&lt;&gt;0,F185-K185," ")</f>
        <v> </v>
      </c>
      <c r="M185" s="8" t="str">
        <f aca="false">IF((F185-K185)&lt;&gt;0,M$1-A185," ")</f>
        <v> </v>
      </c>
      <c r="N185" s="5"/>
      <c r="O185" s="17" t="str">
        <f aca="false">IF((E185="s"),H185," ")</f>
        <v> </v>
      </c>
      <c r="P185" s="17" t="str">
        <f aca="false">IF((E185="c"),H185," ")</f>
        <v> </v>
      </c>
      <c r="Q185" s="17" t="str">
        <f aca="false">IF((E185="o"),H185," ")</f>
        <v> </v>
      </c>
      <c r="R185" s="17" t="str">
        <f aca="false">IF((E185="d"),H185," ")</f>
        <v> </v>
      </c>
      <c r="S185" s="17" t="str">
        <f aca="false">IF((E185="w"),H185," ")</f>
        <v> </v>
      </c>
      <c r="T185" s="17" t="str">
        <f aca="false">IF((E185="r"),H185," ")</f>
        <v> </v>
      </c>
      <c r="U185" s="17" t="str">
        <f aca="false">IF((E185="p"),H185," ")</f>
        <v> </v>
      </c>
      <c r="V185" s="17" t="str">
        <f aca="false">IF((E185="t"),H185," ")</f>
        <v> </v>
      </c>
      <c r="W185" s="17" t="str">
        <f aca="false">IF((E185="q"),H185," ")</f>
        <v> </v>
      </c>
      <c r="X185" s="17" t="str">
        <f aca="false">IF((E185="m"),H185," ")</f>
        <v> </v>
      </c>
      <c r="Y185" s="17" t="str">
        <f aca="false">IF((E185="u"),H185," ")</f>
        <v> </v>
      </c>
      <c r="Z185" s="17" t="str">
        <f aca="false">IF((E185="a"),H185," ")</f>
        <v> </v>
      </c>
      <c r="AA185" s="17" t="str">
        <f aca="false">IF((E185="g"),H185," ")</f>
        <v> </v>
      </c>
      <c r="AB185" s="17" t="str">
        <f aca="false">IF((E185="h"),H185," ")</f>
        <v> </v>
      </c>
      <c r="AC185" s="30" t="str">
        <f aca="false">IF((E185="v"),H185," ")</f>
        <v> </v>
      </c>
      <c r="AD185" s="30" t="str">
        <f aca="false">IF((E185="n"),H185," ")</f>
        <v> </v>
      </c>
      <c r="AE185" s="17" t="str">
        <f aca="false">IF((E185="f"),H185," ")</f>
        <v> </v>
      </c>
      <c r="AF185" s="17" t="str">
        <f aca="false">IF((E185="l"),H185," ")</f>
        <v> </v>
      </c>
      <c r="AG185" s="17" t="str">
        <f aca="false">IF((E185="y"),H185," ")</f>
        <v> </v>
      </c>
      <c r="AH185" s="17" t="str">
        <f aca="false">IF((E185="z"),H185," ")</f>
        <v> </v>
      </c>
      <c r="AI185" s="17" t="str">
        <f aca="false">IF((E185="fa"),H185," ")</f>
        <v> </v>
      </c>
      <c r="AJ185" s="17" t="str">
        <f aca="false">IF((E185="e"),H185," ")</f>
        <v> </v>
      </c>
    </row>
    <row r="186" customFormat="false" ht="12" hidden="false" customHeight="false" outlineLevel="0" collapsed="false">
      <c r="A186" s="28"/>
      <c r="E186" s="2" t="str">
        <f aca="false">IF((F186&lt;&gt;0),"Enter Letter"," ")</f>
        <v> </v>
      </c>
      <c r="F186" s="30"/>
      <c r="G186" s="6" t="str">
        <f aca="false">IF(F186&lt;&gt;0,F186*G$2/(100+G$2)," ")</f>
        <v> </v>
      </c>
      <c r="H186" s="6" t="str">
        <f aca="false">IF((F186&lt;&gt;0),F186-G186," ")</f>
        <v> </v>
      </c>
      <c r="I186" s="5"/>
      <c r="L186" s="7" t="str">
        <f aca="false">IF(F186&lt;&gt;0,F186-K186," ")</f>
        <v> </v>
      </c>
      <c r="M186" s="8" t="str">
        <f aca="false">IF((F186-K186)&lt;&gt;0,M$1-A186," ")</f>
        <v> </v>
      </c>
      <c r="N186" s="5"/>
      <c r="O186" s="17" t="str">
        <f aca="false">IF((E186="s"),H186," ")</f>
        <v> </v>
      </c>
      <c r="P186" s="17" t="str">
        <f aca="false">IF((E186="c"),H186," ")</f>
        <v> </v>
      </c>
      <c r="Q186" s="17" t="str">
        <f aca="false">IF((E186="o"),H186," ")</f>
        <v> </v>
      </c>
      <c r="R186" s="17" t="str">
        <f aca="false">IF((E186="d"),H186," ")</f>
        <v> </v>
      </c>
      <c r="S186" s="17" t="str">
        <f aca="false">IF((E186="w"),H186," ")</f>
        <v> </v>
      </c>
      <c r="T186" s="17" t="str">
        <f aca="false">IF((E186="r"),H186," ")</f>
        <v> </v>
      </c>
      <c r="U186" s="17" t="str">
        <f aca="false">IF((E186="p"),H186," ")</f>
        <v> </v>
      </c>
      <c r="V186" s="17" t="str">
        <f aca="false">IF((E186="t"),H186," ")</f>
        <v> </v>
      </c>
      <c r="W186" s="17" t="str">
        <f aca="false">IF((E186="q"),H186," ")</f>
        <v> </v>
      </c>
      <c r="X186" s="17" t="str">
        <f aca="false">IF((E186="m"),H186," ")</f>
        <v> </v>
      </c>
      <c r="Y186" s="17" t="str">
        <f aca="false">IF((E186="u"),H186," ")</f>
        <v> </v>
      </c>
      <c r="Z186" s="17" t="str">
        <f aca="false">IF((E186="a"),H186," ")</f>
        <v> </v>
      </c>
      <c r="AA186" s="17" t="str">
        <f aca="false">IF((E186="g"),H186," ")</f>
        <v> </v>
      </c>
      <c r="AB186" s="17" t="str">
        <f aca="false">IF((E186="h"),H186," ")</f>
        <v> </v>
      </c>
      <c r="AC186" s="30" t="str">
        <f aca="false">IF((E186="v"),H186," ")</f>
        <v> </v>
      </c>
      <c r="AD186" s="30" t="str">
        <f aca="false">IF((E186="n"),H186," ")</f>
        <v> </v>
      </c>
      <c r="AE186" s="17" t="str">
        <f aca="false">IF((E186="f"),H186," ")</f>
        <v> </v>
      </c>
      <c r="AF186" s="17" t="str">
        <f aca="false">IF((E186="l"),H186," ")</f>
        <v> </v>
      </c>
      <c r="AG186" s="17" t="str">
        <f aca="false">IF((E186="y"),H186," ")</f>
        <v> </v>
      </c>
      <c r="AH186" s="17" t="str">
        <f aca="false">IF((E186="z"),H186," ")</f>
        <v> </v>
      </c>
      <c r="AI186" s="17" t="str">
        <f aca="false">IF((E186="fa"),H186," ")</f>
        <v> </v>
      </c>
      <c r="AJ186" s="17" t="str">
        <f aca="false">IF((E186="e"),H186," ")</f>
        <v> </v>
      </c>
    </row>
    <row r="187" customFormat="false" ht="12" hidden="false" customHeight="false" outlineLevel="0" collapsed="false">
      <c r="A187" s="28"/>
      <c r="E187" s="2" t="str">
        <f aca="false">IF((F187&lt;&gt;0),"Enter Letter"," ")</f>
        <v> </v>
      </c>
      <c r="F187" s="30"/>
      <c r="G187" s="6" t="str">
        <f aca="false">IF(F187&lt;&gt;0,F187*G$2/(100+G$2)," ")</f>
        <v> </v>
      </c>
      <c r="H187" s="6" t="str">
        <f aca="false">IF((F187&lt;&gt;0),F187-G187," ")</f>
        <v> </v>
      </c>
      <c r="I187" s="5"/>
      <c r="L187" s="7" t="str">
        <f aca="false">IF(F187&lt;&gt;0,F187-K187," ")</f>
        <v> </v>
      </c>
      <c r="M187" s="8" t="str">
        <f aca="false">IF((F187-K187)&lt;&gt;0,M$1-A187," ")</f>
        <v> </v>
      </c>
      <c r="N187" s="5"/>
      <c r="O187" s="17" t="str">
        <f aca="false">IF((E187="s"),H187," ")</f>
        <v> </v>
      </c>
      <c r="P187" s="17" t="str">
        <f aca="false">IF((E187="c"),H187," ")</f>
        <v> </v>
      </c>
      <c r="Q187" s="17" t="str">
        <f aca="false">IF((E187="o"),H187," ")</f>
        <v> </v>
      </c>
      <c r="R187" s="17" t="str">
        <f aca="false">IF((E187="d"),H187," ")</f>
        <v> </v>
      </c>
      <c r="S187" s="17" t="str">
        <f aca="false">IF((E187="w"),H187," ")</f>
        <v> </v>
      </c>
      <c r="T187" s="17" t="str">
        <f aca="false">IF((E187="r"),H187," ")</f>
        <v> </v>
      </c>
      <c r="U187" s="17" t="str">
        <f aca="false">IF((E187="p"),H187," ")</f>
        <v> </v>
      </c>
      <c r="V187" s="17" t="str">
        <f aca="false">IF((E187="t"),H187," ")</f>
        <v> </v>
      </c>
      <c r="W187" s="17" t="str">
        <f aca="false">IF((E187="q"),H187," ")</f>
        <v> </v>
      </c>
      <c r="X187" s="17" t="str">
        <f aca="false">IF((E187="m"),H187," ")</f>
        <v> </v>
      </c>
      <c r="Y187" s="17" t="str">
        <f aca="false">IF((E187="u"),H187," ")</f>
        <v> </v>
      </c>
      <c r="Z187" s="17" t="str">
        <f aca="false">IF((E187="a"),H187," ")</f>
        <v> </v>
      </c>
      <c r="AA187" s="17" t="str">
        <f aca="false">IF((E187="g"),H187," ")</f>
        <v> </v>
      </c>
      <c r="AB187" s="17" t="str">
        <f aca="false">IF((E187="h"),H187," ")</f>
        <v> </v>
      </c>
      <c r="AC187" s="30" t="str">
        <f aca="false">IF((E187="v"),H187," ")</f>
        <v> </v>
      </c>
      <c r="AD187" s="30" t="str">
        <f aca="false">IF((E187="n"),H187," ")</f>
        <v> </v>
      </c>
      <c r="AE187" s="17" t="str">
        <f aca="false">IF((E187="f"),H187," ")</f>
        <v> </v>
      </c>
      <c r="AF187" s="17" t="str">
        <f aca="false">IF((E187="l"),H187," ")</f>
        <v> </v>
      </c>
      <c r="AG187" s="17" t="str">
        <f aca="false">IF((E187="y"),H187," ")</f>
        <v> </v>
      </c>
      <c r="AH187" s="17" t="str">
        <f aca="false">IF((E187="z"),H187," ")</f>
        <v> </v>
      </c>
      <c r="AI187" s="17" t="str">
        <f aca="false">IF((E187="fa"),H187," ")</f>
        <v> </v>
      </c>
      <c r="AJ187" s="17" t="str">
        <f aca="false">IF((E187="e"),H187," ")</f>
        <v> </v>
      </c>
    </row>
    <row r="188" customFormat="false" ht="12" hidden="false" customHeight="false" outlineLevel="0" collapsed="false">
      <c r="A188" s="28"/>
      <c r="E188" s="2" t="str">
        <f aca="false">IF((F188&lt;&gt;0),"Enter Letter"," ")</f>
        <v> </v>
      </c>
      <c r="F188" s="30"/>
      <c r="G188" s="6" t="str">
        <f aca="false">IF(F188&lt;&gt;0,F188*G$2/(100+G$2)," ")</f>
        <v> </v>
      </c>
      <c r="H188" s="6" t="str">
        <f aca="false">IF((F188&lt;&gt;0),F188-G188," ")</f>
        <v> </v>
      </c>
      <c r="I188" s="5"/>
      <c r="L188" s="7" t="str">
        <f aca="false">IF(F188&lt;&gt;0,F188-K188," ")</f>
        <v> </v>
      </c>
      <c r="M188" s="8" t="str">
        <f aca="false">IF((F188-K188)&lt;&gt;0,M$1-A188," ")</f>
        <v> </v>
      </c>
      <c r="N188" s="5"/>
      <c r="O188" s="17" t="str">
        <f aca="false">IF((E188="s"),H188," ")</f>
        <v> </v>
      </c>
      <c r="P188" s="17" t="str">
        <f aca="false">IF((E188="c"),H188," ")</f>
        <v> </v>
      </c>
      <c r="Q188" s="17" t="str">
        <f aca="false">IF((E188="o"),H188," ")</f>
        <v> </v>
      </c>
      <c r="R188" s="17" t="str">
        <f aca="false">IF((E188="d"),H188," ")</f>
        <v> </v>
      </c>
      <c r="S188" s="17" t="str">
        <f aca="false">IF((E188="w"),H188," ")</f>
        <v> </v>
      </c>
      <c r="T188" s="17" t="str">
        <f aca="false">IF((E188="r"),H188," ")</f>
        <v> </v>
      </c>
      <c r="U188" s="17" t="str">
        <f aca="false">IF((E188="p"),H188," ")</f>
        <v> </v>
      </c>
      <c r="V188" s="17" t="str">
        <f aca="false">IF((E188="t"),H188," ")</f>
        <v> </v>
      </c>
      <c r="W188" s="17" t="str">
        <f aca="false">IF((E188="q"),H188," ")</f>
        <v> </v>
      </c>
      <c r="X188" s="17" t="str">
        <f aca="false">IF((E188="m"),H188," ")</f>
        <v> </v>
      </c>
      <c r="Y188" s="17" t="str">
        <f aca="false">IF((E188="u"),H188," ")</f>
        <v> </v>
      </c>
      <c r="Z188" s="17" t="str">
        <f aca="false">IF((E188="a"),H188," ")</f>
        <v> </v>
      </c>
      <c r="AA188" s="17" t="str">
        <f aca="false">IF((E188="g"),H188," ")</f>
        <v> </v>
      </c>
      <c r="AB188" s="17" t="str">
        <f aca="false">IF((E188="h"),H188," ")</f>
        <v> </v>
      </c>
      <c r="AC188" s="30" t="str">
        <f aca="false">IF((E188="v"),H188," ")</f>
        <v> </v>
      </c>
      <c r="AD188" s="30" t="str">
        <f aca="false">IF((E188="n"),H188," ")</f>
        <v> </v>
      </c>
      <c r="AE188" s="17" t="str">
        <f aca="false">IF((E188="f"),H188," ")</f>
        <v> </v>
      </c>
      <c r="AF188" s="17" t="str">
        <f aca="false">IF((E188="l"),H188," ")</f>
        <v> </v>
      </c>
      <c r="AG188" s="17" t="str">
        <f aca="false">IF((E188="y"),H188," ")</f>
        <v> </v>
      </c>
      <c r="AH188" s="17" t="str">
        <f aca="false">IF((E188="z"),H188," ")</f>
        <v> </v>
      </c>
      <c r="AI188" s="17" t="str">
        <f aca="false">IF((E188="fa"),H188," ")</f>
        <v> </v>
      </c>
      <c r="AJ188" s="17" t="str">
        <f aca="false">IF((E188="e"),H188," ")</f>
        <v> </v>
      </c>
    </row>
    <row r="189" customFormat="false" ht="12" hidden="false" customHeight="false" outlineLevel="0" collapsed="false">
      <c r="A189" s="28"/>
      <c r="E189" s="2" t="str">
        <f aca="false">IF((F189&lt;&gt;0),"Enter Letter"," ")</f>
        <v> </v>
      </c>
      <c r="F189" s="30"/>
      <c r="G189" s="6" t="str">
        <f aca="false">IF(F189&lt;&gt;0,F189*G$2/(100+G$2)," ")</f>
        <v> </v>
      </c>
      <c r="H189" s="6" t="str">
        <f aca="false">IF((F189&lt;&gt;0),F189-G189," ")</f>
        <v> </v>
      </c>
      <c r="I189" s="5"/>
      <c r="L189" s="7" t="str">
        <f aca="false">IF(F189&lt;&gt;0,F189-K189," ")</f>
        <v> </v>
      </c>
      <c r="M189" s="8" t="str">
        <f aca="false">IF((F189-K189)&lt;&gt;0,M$1-A189," ")</f>
        <v> </v>
      </c>
      <c r="N189" s="5"/>
      <c r="O189" s="17" t="str">
        <f aca="false">IF((E189="s"),H189," ")</f>
        <v> </v>
      </c>
      <c r="P189" s="17" t="str">
        <f aca="false">IF((E189="c"),H189," ")</f>
        <v> </v>
      </c>
      <c r="Q189" s="17" t="str">
        <f aca="false">IF((E189="o"),H189," ")</f>
        <v> </v>
      </c>
      <c r="R189" s="17" t="str">
        <f aca="false">IF((E189="d"),H189," ")</f>
        <v> </v>
      </c>
      <c r="S189" s="17" t="str">
        <f aca="false">IF((E189="w"),H189," ")</f>
        <v> </v>
      </c>
      <c r="T189" s="17" t="str">
        <f aca="false">IF((E189="r"),H189," ")</f>
        <v> </v>
      </c>
      <c r="U189" s="17" t="str">
        <f aca="false">IF((E189="p"),H189," ")</f>
        <v> </v>
      </c>
      <c r="V189" s="17" t="str">
        <f aca="false">IF((E189="t"),H189," ")</f>
        <v> </v>
      </c>
      <c r="W189" s="17" t="str">
        <f aca="false">IF((E189="q"),H189," ")</f>
        <v> </v>
      </c>
      <c r="X189" s="17" t="str">
        <f aca="false">IF((E189="m"),H189," ")</f>
        <v> </v>
      </c>
      <c r="Y189" s="17" t="str">
        <f aca="false">IF((E189="u"),H189," ")</f>
        <v> </v>
      </c>
      <c r="Z189" s="17" t="str">
        <f aca="false">IF((E189="a"),H189," ")</f>
        <v> </v>
      </c>
      <c r="AA189" s="17" t="str">
        <f aca="false">IF((E189="g"),H189," ")</f>
        <v> </v>
      </c>
      <c r="AB189" s="17" t="str">
        <f aca="false">IF((E189="h"),H189," ")</f>
        <v> </v>
      </c>
      <c r="AC189" s="30" t="str">
        <f aca="false">IF((E189="v"),H189," ")</f>
        <v> </v>
      </c>
      <c r="AD189" s="30" t="str">
        <f aca="false">IF((E189="n"),H189," ")</f>
        <v> </v>
      </c>
      <c r="AE189" s="17" t="str">
        <f aca="false">IF((E189="f"),H189," ")</f>
        <v> </v>
      </c>
      <c r="AF189" s="17" t="str">
        <f aca="false">IF((E189="l"),H189," ")</f>
        <v> </v>
      </c>
      <c r="AG189" s="17" t="str">
        <f aca="false">IF((E189="y"),H189," ")</f>
        <v> </v>
      </c>
      <c r="AH189" s="17" t="str">
        <f aca="false">IF((E189="z"),H189," ")</f>
        <v> </v>
      </c>
      <c r="AI189" s="17" t="str">
        <f aca="false">IF((E189="fa"),H189," ")</f>
        <v> </v>
      </c>
      <c r="AJ189" s="17" t="str">
        <f aca="false">IF((E189="e"),H189," ")</f>
        <v> </v>
      </c>
    </row>
    <row r="190" customFormat="false" ht="12" hidden="false" customHeight="false" outlineLevel="0" collapsed="false">
      <c r="A190" s="28"/>
      <c r="E190" s="2" t="str">
        <f aca="false">IF((F190&lt;&gt;0),"Enter Letter"," ")</f>
        <v> </v>
      </c>
      <c r="F190" s="30"/>
      <c r="G190" s="6" t="str">
        <f aca="false">IF(F190&lt;&gt;0,F190*G$2/(100+G$2)," ")</f>
        <v> </v>
      </c>
      <c r="H190" s="6" t="str">
        <f aca="false">IF((F190&lt;&gt;0),F190-G190," ")</f>
        <v> </v>
      </c>
      <c r="I190" s="5"/>
      <c r="L190" s="7" t="str">
        <f aca="false">IF(F190&lt;&gt;0,F190-K190," ")</f>
        <v> </v>
      </c>
      <c r="M190" s="8" t="str">
        <f aca="false">IF((F190-K190)&lt;&gt;0,M$1-A190," ")</f>
        <v> </v>
      </c>
      <c r="N190" s="5"/>
      <c r="O190" s="17" t="str">
        <f aca="false">IF((E190="s"),H190," ")</f>
        <v> </v>
      </c>
      <c r="P190" s="17" t="str">
        <f aca="false">IF((E190="c"),H190," ")</f>
        <v> </v>
      </c>
      <c r="Q190" s="17" t="str">
        <f aca="false">IF((E190="o"),H190," ")</f>
        <v> </v>
      </c>
      <c r="R190" s="17" t="str">
        <f aca="false">IF((E190="d"),H190," ")</f>
        <v> </v>
      </c>
      <c r="S190" s="17" t="str">
        <f aca="false">IF((E190="w"),H190," ")</f>
        <v> </v>
      </c>
      <c r="T190" s="17" t="str">
        <f aca="false">IF((E190="r"),H190," ")</f>
        <v> </v>
      </c>
      <c r="U190" s="17" t="str">
        <f aca="false">IF((E190="p"),H190," ")</f>
        <v> </v>
      </c>
      <c r="V190" s="17" t="str">
        <f aca="false">IF((E190="t"),H190," ")</f>
        <v> </v>
      </c>
      <c r="W190" s="17" t="str">
        <f aca="false">IF((E190="q"),H190," ")</f>
        <v> </v>
      </c>
      <c r="X190" s="17" t="str">
        <f aca="false">IF((E190="m"),H190," ")</f>
        <v> </v>
      </c>
      <c r="Y190" s="17" t="str">
        <f aca="false">IF((E190="u"),H190," ")</f>
        <v> </v>
      </c>
      <c r="Z190" s="17" t="str">
        <f aca="false">IF((E190="a"),H190," ")</f>
        <v> </v>
      </c>
      <c r="AA190" s="17" t="str">
        <f aca="false">IF((E190="g"),H190," ")</f>
        <v> </v>
      </c>
      <c r="AB190" s="17" t="str">
        <f aca="false">IF((E190="h"),H190," ")</f>
        <v> </v>
      </c>
      <c r="AC190" s="30" t="str">
        <f aca="false">IF((E190="v"),H190," ")</f>
        <v> </v>
      </c>
      <c r="AD190" s="30" t="str">
        <f aca="false">IF((E190="n"),H190," ")</f>
        <v> </v>
      </c>
      <c r="AE190" s="17" t="str">
        <f aca="false">IF((E190="f"),H190," ")</f>
        <v> </v>
      </c>
      <c r="AF190" s="17" t="str">
        <f aca="false">IF((E190="l"),H190," ")</f>
        <v> </v>
      </c>
      <c r="AG190" s="17" t="str">
        <f aca="false">IF((E190="y"),H190," ")</f>
        <v> </v>
      </c>
      <c r="AH190" s="17" t="str">
        <f aca="false">IF((E190="z"),H190," ")</f>
        <v> </v>
      </c>
      <c r="AI190" s="17" t="str">
        <f aca="false">IF((E190="fa"),H190," ")</f>
        <v> </v>
      </c>
      <c r="AJ190" s="17" t="str">
        <f aca="false">IF((E190="e"),H190," ")</f>
        <v> </v>
      </c>
    </row>
    <row r="191" customFormat="false" ht="12" hidden="false" customHeight="false" outlineLevel="0" collapsed="false">
      <c r="A191" s="28"/>
      <c r="E191" s="2" t="str">
        <f aca="false">IF((F191&lt;&gt;0),"Enter Letter"," ")</f>
        <v> </v>
      </c>
      <c r="F191" s="30"/>
      <c r="G191" s="6" t="str">
        <f aca="false">IF(F191&lt;&gt;0,F191*G$2/(100+G$2)," ")</f>
        <v> </v>
      </c>
      <c r="H191" s="6" t="str">
        <f aca="false">IF((F191&lt;&gt;0),F191-G191," ")</f>
        <v> </v>
      </c>
      <c r="I191" s="5"/>
      <c r="L191" s="7" t="str">
        <f aca="false">IF(F191&lt;&gt;0,F191-K191," ")</f>
        <v> </v>
      </c>
      <c r="M191" s="8" t="str">
        <f aca="false">IF((F191-K191)&lt;&gt;0,M$1-A191," ")</f>
        <v> </v>
      </c>
      <c r="N191" s="5"/>
      <c r="O191" s="17" t="str">
        <f aca="false">IF((E191="s"),H191," ")</f>
        <v> </v>
      </c>
      <c r="P191" s="17" t="str">
        <f aca="false">IF((E191="c"),H191," ")</f>
        <v> </v>
      </c>
      <c r="Q191" s="17" t="str">
        <f aca="false">IF((E191="o"),H191," ")</f>
        <v> </v>
      </c>
      <c r="R191" s="17" t="str">
        <f aca="false">IF((E191="d"),H191," ")</f>
        <v> </v>
      </c>
      <c r="S191" s="17" t="str">
        <f aca="false">IF((E191="w"),H191," ")</f>
        <v> </v>
      </c>
      <c r="T191" s="17" t="str">
        <f aca="false">IF((E191="r"),H191," ")</f>
        <v> </v>
      </c>
      <c r="U191" s="17" t="str">
        <f aca="false">IF((E191="p"),H191," ")</f>
        <v> </v>
      </c>
      <c r="V191" s="17" t="str">
        <f aca="false">IF((E191="t"),H191," ")</f>
        <v> </v>
      </c>
      <c r="W191" s="17" t="str">
        <f aca="false">IF((E191="q"),H191," ")</f>
        <v> </v>
      </c>
      <c r="X191" s="17" t="str">
        <f aca="false">IF((E191="m"),H191," ")</f>
        <v> </v>
      </c>
      <c r="Y191" s="17" t="str">
        <f aca="false">IF((E191="u"),H191," ")</f>
        <v> </v>
      </c>
      <c r="Z191" s="17" t="str">
        <f aca="false">IF((E191="a"),H191," ")</f>
        <v> </v>
      </c>
      <c r="AA191" s="17" t="str">
        <f aca="false">IF((E191="g"),H191," ")</f>
        <v> </v>
      </c>
      <c r="AB191" s="17" t="str">
        <f aca="false">IF((E191="h"),H191," ")</f>
        <v> </v>
      </c>
      <c r="AC191" s="30" t="str">
        <f aca="false">IF((E191="v"),H191," ")</f>
        <v> </v>
      </c>
      <c r="AD191" s="30" t="str">
        <f aca="false">IF((E191="n"),H191," ")</f>
        <v> </v>
      </c>
      <c r="AE191" s="17" t="str">
        <f aca="false">IF((E191="f"),H191," ")</f>
        <v> </v>
      </c>
      <c r="AF191" s="17" t="str">
        <f aca="false">IF((E191="l"),H191," ")</f>
        <v> </v>
      </c>
      <c r="AG191" s="17" t="str">
        <f aca="false">IF((E191="y"),H191," ")</f>
        <v> </v>
      </c>
      <c r="AH191" s="17" t="str">
        <f aca="false">IF((E191="z"),H191," ")</f>
        <v> </v>
      </c>
      <c r="AI191" s="17" t="str">
        <f aca="false">IF((E191="fa"),H191," ")</f>
        <v> </v>
      </c>
      <c r="AJ191" s="17" t="str">
        <f aca="false">IF((E191="e"),H191," ")</f>
        <v> </v>
      </c>
    </row>
    <row r="192" customFormat="false" ht="12" hidden="false" customHeight="false" outlineLevel="0" collapsed="false">
      <c r="A192" s="28"/>
      <c r="E192" s="2" t="str">
        <f aca="false">IF((F192&lt;&gt;0),"Enter Letter"," ")</f>
        <v> </v>
      </c>
      <c r="F192" s="30"/>
      <c r="G192" s="6" t="str">
        <f aca="false">IF(F192&lt;&gt;0,F192*G$2/(100+G$2)," ")</f>
        <v> </v>
      </c>
      <c r="H192" s="6" t="str">
        <f aca="false">IF((F192&lt;&gt;0),F192-G192," ")</f>
        <v> </v>
      </c>
      <c r="I192" s="5"/>
      <c r="L192" s="7" t="str">
        <f aca="false">IF(F192&lt;&gt;0,F192-K192," ")</f>
        <v> </v>
      </c>
      <c r="M192" s="8" t="str">
        <f aca="false">IF((F192-K192)&lt;&gt;0,M$1-A192," ")</f>
        <v> </v>
      </c>
      <c r="N192" s="5"/>
      <c r="O192" s="17" t="str">
        <f aca="false">IF((E192="s"),H192," ")</f>
        <v> </v>
      </c>
      <c r="P192" s="17" t="str">
        <f aca="false">IF((E192="c"),H192," ")</f>
        <v> </v>
      </c>
      <c r="Q192" s="17" t="str">
        <f aca="false">IF((E192="o"),H192," ")</f>
        <v> </v>
      </c>
      <c r="R192" s="17" t="str">
        <f aca="false">IF((E192="d"),H192," ")</f>
        <v> </v>
      </c>
      <c r="S192" s="17" t="str">
        <f aca="false">IF((E192="w"),H192," ")</f>
        <v> </v>
      </c>
      <c r="T192" s="17" t="str">
        <f aca="false">IF((E192="r"),H192," ")</f>
        <v> </v>
      </c>
      <c r="U192" s="17" t="str">
        <f aca="false">IF((E192="p"),H192," ")</f>
        <v> </v>
      </c>
      <c r="V192" s="17" t="str">
        <f aca="false">IF((E192="t"),H192," ")</f>
        <v> </v>
      </c>
      <c r="W192" s="17" t="str">
        <f aca="false">IF((E192="q"),H192," ")</f>
        <v> </v>
      </c>
      <c r="X192" s="17" t="str">
        <f aca="false">IF((E192="m"),H192," ")</f>
        <v> </v>
      </c>
      <c r="Y192" s="17" t="str">
        <f aca="false">IF((E192="u"),H192," ")</f>
        <v> </v>
      </c>
      <c r="Z192" s="17" t="str">
        <f aca="false">IF((E192="a"),H192," ")</f>
        <v> </v>
      </c>
      <c r="AA192" s="17" t="str">
        <f aca="false">IF((E192="g"),H192," ")</f>
        <v> </v>
      </c>
      <c r="AB192" s="17" t="str">
        <f aca="false">IF((E192="h"),H192," ")</f>
        <v> </v>
      </c>
      <c r="AC192" s="30" t="str">
        <f aca="false">IF((E192="v"),H192," ")</f>
        <v> </v>
      </c>
      <c r="AD192" s="30" t="str">
        <f aca="false">IF((E192="n"),H192," ")</f>
        <v> </v>
      </c>
      <c r="AE192" s="17" t="str">
        <f aca="false">IF((E192="f"),H192," ")</f>
        <v> </v>
      </c>
      <c r="AF192" s="17" t="str">
        <f aca="false">IF((E192="l"),H192," ")</f>
        <v> </v>
      </c>
      <c r="AG192" s="17" t="str">
        <f aca="false">IF((E192="y"),H192," ")</f>
        <v> </v>
      </c>
      <c r="AH192" s="17" t="str">
        <f aca="false">IF((E192="z"),H192," ")</f>
        <v> </v>
      </c>
      <c r="AI192" s="17" t="str">
        <f aca="false">IF((E192="fa"),H192," ")</f>
        <v> </v>
      </c>
      <c r="AJ192" s="17" t="str">
        <f aca="false">IF((E192="e"),H192," ")</f>
        <v> </v>
      </c>
    </row>
    <row r="193" customFormat="false" ht="12" hidden="false" customHeight="false" outlineLevel="0" collapsed="false">
      <c r="A193" s="28"/>
      <c r="E193" s="2" t="str">
        <f aca="false">IF((F193&lt;&gt;0),"Enter Letter"," ")</f>
        <v> </v>
      </c>
      <c r="F193" s="30"/>
      <c r="G193" s="6" t="str">
        <f aca="false">IF(F193&lt;&gt;0,F193*G$2/(100+G$2)," ")</f>
        <v> </v>
      </c>
      <c r="H193" s="6" t="str">
        <f aca="false">IF((F193&lt;&gt;0),F193-G193," ")</f>
        <v> </v>
      </c>
      <c r="I193" s="5"/>
      <c r="L193" s="7" t="str">
        <f aca="false">IF(F193&lt;&gt;0,F193-K193," ")</f>
        <v> </v>
      </c>
      <c r="M193" s="8" t="str">
        <f aca="false">IF((F193-K193)&lt;&gt;0,M$1-A193," ")</f>
        <v> </v>
      </c>
      <c r="N193" s="5"/>
      <c r="O193" s="17" t="str">
        <f aca="false">IF((E193="s"),H193," ")</f>
        <v> </v>
      </c>
      <c r="P193" s="17" t="str">
        <f aca="false">IF((E193="c"),H193," ")</f>
        <v> </v>
      </c>
      <c r="Q193" s="17" t="str">
        <f aca="false">IF((E193="o"),H193," ")</f>
        <v> </v>
      </c>
      <c r="R193" s="17" t="str">
        <f aca="false">IF((E193="d"),H193," ")</f>
        <v> </v>
      </c>
      <c r="S193" s="17" t="str">
        <f aca="false">IF((E193="w"),H193," ")</f>
        <v> </v>
      </c>
      <c r="T193" s="17" t="str">
        <f aca="false">IF((E193="r"),H193," ")</f>
        <v> </v>
      </c>
      <c r="U193" s="17" t="str">
        <f aca="false">IF((E193="p"),H193," ")</f>
        <v> </v>
      </c>
      <c r="V193" s="17" t="str">
        <f aca="false">IF((E193="t"),H193," ")</f>
        <v> </v>
      </c>
      <c r="W193" s="17" t="str">
        <f aca="false">IF((E193="q"),H193," ")</f>
        <v> </v>
      </c>
      <c r="X193" s="17" t="str">
        <f aca="false">IF((E193="m"),H193," ")</f>
        <v> </v>
      </c>
      <c r="Y193" s="17" t="str">
        <f aca="false">IF((E193="u"),H193," ")</f>
        <v> </v>
      </c>
      <c r="Z193" s="17" t="str">
        <f aca="false">IF((E193="a"),H193," ")</f>
        <v> </v>
      </c>
      <c r="AA193" s="17" t="str">
        <f aca="false">IF((E193="g"),H193," ")</f>
        <v> </v>
      </c>
      <c r="AB193" s="17" t="str">
        <f aca="false">IF((E193="h"),H193," ")</f>
        <v> </v>
      </c>
      <c r="AC193" s="30" t="str">
        <f aca="false">IF((E193="v"),H193," ")</f>
        <v> </v>
      </c>
      <c r="AD193" s="30" t="str">
        <f aca="false">IF((E193="n"),H193," ")</f>
        <v> </v>
      </c>
      <c r="AE193" s="17" t="str">
        <f aca="false">IF((E193="f"),H193," ")</f>
        <v> </v>
      </c>
      <c r="AF193" s="17" t="str">
        <f aca="false">IF((E193="l"),H193," ")</f>
        <v> </v>
      </c>
      <c r="AG193" s="17" t="str">
        <f aca="false">IF((E193="y"),H193," ")</f>
        <v> </v>
      </c>
      <c r="AH193" s="17" t="str">
        <f aca="false">IF((E193="z"),H193," ")</f>
        <v> </v>
      </c>
      <c r="AI193" s="17" t="str">
        <f aca="false">IF((E193="fa"),H193," ")</f>
        <v> </v>
      </c>
      <c r="AJ193" s="17" t="str">
        <f aca="false">IF((E193="e"),H193," ")</f>
        <v> </v>
      </c>
    </row>
    <row r="194" customFormat="false" ht="12" hidden="false" customHeight="false" outlineLevel="0" collapsed="false">
      <c r="A194" s="28"/>
      <c r="E194" s="2" t="str">
        <f aca="false">IF((F194&lt;&gt;0),"Enter Letter"," ")</f>
        <v> </v>
      </c>
      <c r="F194" s="30"/>
      <c r="G194" s="6" t="str">
        <f aca="false">IF(F194&lt;&gt;0,F194*G$2/(100+G$2)," ")</f>
        <v> </v>
      </c>
      <c r="H194" s="6" t="str">
        <f aca="false">IF((F194&lt;&gt;0),F194-G194," ")</f>
        <v> </v>
      </c>
      <c r="I194" s="5"/>
      <c r="L194" s="7" t="str">
        <f aca="false">IF(F194&lt;&gt;0,F194-K194," ")</f>
        <v> </v>
      </c>
      <c r="M194" s="8" t="str">
        <f aca="false">IF((F194-K194)&lt;&gt;0,M$1-A194," ")</f>
        <v> </v>
      </c>
      <c r="N194" s="5"/>
      <c r="O194" s="17" t="str">
        <f aca="false">IF((E194="s"),H194," ")</f>
        <v> </v>
      </c>
      <c r="P194" s="17" t="str">
        <f aca="false">IF((E194="c"),H194," ")</f>
        <v> </v>
      </c>
      <c r="Q194" s="17" t="str">
        <f aca="false">IF((E194="o"),H194," ")</f>
        <v> </v>
      </c>
      <c r="R194" s="17" t="str">
        <f aca="false">IF((E194="d"),H194," ")</f>
        <v> </v>
      </c>
      <c r="S194" s="17" t="str">
        <f aca="false">IF((E194="w"),H194," ")</f>
        <v> </v>
      </c>
      <c r="T194" s="17" t="str">
        <f aca="false">IF((E194="r"),H194," ")</f>
        <v> </v>
      </c>
      <c r="U194" s="17" t="str">
        <f aca="false">IF((E194="p"),H194," ")</f>
        <v> </v>
      </c>
      <c r="V194" s="17" t="str">
        <f aca="false">IF((E194="t"),H194," ")</f>
        <v> </v>
      </c>
      <c r="W194" s="17" t="str">
        <f aca="false">IF((E194="q"),H194," ")</f>
        <v> </v>
      </c>
      <c r="X194" s="17" t="str">
        <f aca="false">IF((E194="m"),H194," ")</f>
        <v> </v>
      </c>
      <c r="Y194" s="17" t="str">
        <f aca="false">IF((E194="u"),H194," ")</f>
        <v> </v>
      </c>
      <c r="Z194" s="17" t="str">
        <f aca="false">IF((E194="a"),H194," ")</f>
        <v> </v>
      </c>
      <c r="AA194" s="17" t="str">
        <f aca="false">IF((E194="g"),H194," ")</f>
        <v> </v>
      </c>
      <c r="AB194" s="17" t="str">
        <f aca="false">IF((E194="h"),H194," ")</f>
        <v> </v>
      </c>
      <c r="AC194" s="30" t="str">
        <f aca="false">IF((E194="v"),H194," ")</f>
        <v> </v>
      </c>
      <c r="AD194" s="30" t="str">
        <f aca="false">IF((E194="n"),H194," ")</f>
        <v> </v>
      </c>
      <c r="AE194" s="17" t="str">
        <f aca="false">IF((E194="f"),H194," ")</f>
        <v> </v>
      </c>
      <c r="AF194" s="17" t="str">
        <f aca="false">IF((E194="l"),H194," ")</f>
        <v> </v>
      </c>
      <c r="AG194" s="17" t="str">
        <f aca="false">IF((E194="y"),H194," ")</f>
        <v> </v>
      </c>
      <c r="AH194" s="17" t="str">
        <f aca="false">IF((E194="z"),H194," ")</f>
        <v> </v>
      </c>
      <c r="AI194" s="17" t="str">
        <f aca="false">IF((E194="fa"),H194," ")</f>
        <v> </v>
      </c>
      <c r="AJ194" s="17" t="str">
        <f aca="false">IF((E194="e"),H194," ")</f>
        <v> </v>
      </c>
    </row>
    <row r="195" customFormat="false" ht="12" hidden="false" customHeight="false" outlineLevel="0" collapsed="false">
      <c r="A195" s="28"/>
      <c r="E195" s="2" t="str">
        <f aca="false">IF((F195&lt;&gt;0),"Enter Letter"," ")</f>
        <v> </v>
      </c>
      <c r="F195" s="30"/>
      <c r="G195" s="6" t="str">
        <f aca="false">IF(F195&lt;&gt;0,F195*G$2/(100+G$2)," ")</f>
        <v> </v>
      </c>
      <c r="H195" s="6" t="str">
        <f aca="false">IF((F195&lt;&gt;0),F195-G195," ")</f>
        <v> </v>
      </c>
      <c r="I195" s="5"/>
      <c r="L195" s="7" t="str">
        <f aca="false">IF(F195&lt;&gt;0,F195-K195," ")</f>
        <v> </v>
      </c>
      <c r="M195" s="8" t="str">
        <f aca="false">IF((F195-K195)&lt;&gt;0,M$1-A195," ")</f>
        <v> </v>
      </c>
      <c r="N195" s="5"/>
      <c r="O195" s="17" t="str">
        <f aca="false">IF((E195="s"),H195," ")</f>
        <v> </v>
      </c>
      <c r="P195" s="17" t="str">
        <f aca="false">IF((E195="c"),H195," ")</f>
        <v> </v>
      </c>
      <c r="Q195" s="17" t="str">
        <f aca="false">IF((E195="o"),H195," ")</f>
        <v> </v>
      </c>
      <c r="R195" s="17" t="str">
        <f aca="false">IF((E195="d"),H195," ")</f>
        <v> </v>
      </c>
      <c r="S195" s="17" t="str">
        <f aca="false">IF((E195="w"),H195," ")</f>
        <v> </v>
      </c>
      <c r="T195" s="17" t="str">
        <f aca="false">IF((E195="r"),H195," ")</f>
        <v> </v>
      </c>
      <c r="U195" s="17" t="str">
        <f aca="false">IF((E195="p"),H195," ")</f>
        <v> </v>
      </c>
      <c r="V195" s="17" t="str">
        <f aca="false">IF((E195="t"),H195," ")</f>
        <v> </v>
      </c>
      <c r="W195" s="17" t="str">
        <f aca="false">IF((E195="q"),H195," ")</f>
        <v> </v>
      </c>
      <c r="X195" s="17" t="str">
        <f aca="false">IF((E195="m"),H195," ")</f>
        <v> </v>
      </c>
      <c r="Y195" s="17" t="str">
        <f aca="false">IF((E195="u"),H195," ")</f>
        <v> </v>
      </c>
      <c r="Z195" s="17" t="str">
        <f aca="false">IF((E195="a"),H195," ")</f>
        <v> </v>
      </c>
      <c r="AA195" s="17" t="str">
        <f aca="false">IF((E195="g"),H195," ")</f>
        <v> </v>
      </c>
      <c r="AB195" s="17" t="str">
        <f aca="false">IF((E195="h"),H195," ")</f>
        <v> </v>
      </c>
      <c r="AC195" s="30" t="str">
        <f aca="false">IF((E195="v"),H195," ")</f>
        <v> </v>
      </c>
      <c r="AD195" s="30" t="str">
        <f aca="false">IF((E195="n"),H195," ")</f>
        <v> </v>
      </c>
      <c r="AE195" s="17" t="str">
        <f aca="false">IF((E195="f"),H195," ")</f>
        <v> </v>
      </c>
      <c r="AF195" s="17" t="str">
        <f aca="false">IF((E195="l"),H195," ")</f>
        <v> </v>
      </c>
      <c r="AG195" s="17" t="str">
        <f aca="false">IF((E195="y"),H195," ")</f>
        <v> </v>
      </c>
      <c r="AH195" s="17" t="str">
        <f aca="false">IF((E195="z"),H195," ")</f>
        <v> </v>
      </c>
      <c r="AI195" s="17" t="str">
        <f aca="false">IF((E195="fa"),H195," ")</f>
        <v> </v>
      </c>
      <c r="AJ195" s="17" t="str">
        <f aca="false">IF((E195="e"),H195," ")</f>
        <v> </v>
      </c>
    </row>
    <row r="196" customFormat="false" ht="12" hidden="false" customHeight="false" outlineLevel="0" collapsed="false">
      <c r="A196" s="28"/>
      <c r="E196" s="2" t="str">
        <f aca="false">IF((F196&lt;&gt;0),"Enter Letter"," ")</f>
        <v> </v>
      </c>
      <c r="F196" s="30"/>
      <c r="G196" s="6" t="str">
        <f aca="false">IF(F196&lt;&gt;0,F196*G$2/(100+G$2)," ")</f>
        <v> </v>
      </c>
      <c r="H196" s="6" t="str">
        <f aca="false">IF((F196&lt;&gt;0),F196-G196," ")</f>
        <v> </v>
      </c>
      <c r="I196" s="5"/>
      <c r="L196" s="7" t="str">
        <f aca="false">IF(F196&lt;&gt;0,F196-K196," ")</f>
        <v> </v>
      </c>
      <c r="M196" s="8" t="str">
        <f aca="false">IF((F196-K196)&lt;&gt;0,M$1-A196," ")</f>
        <v> </v>
      </c>
      <c r="N196" s="5"/>
      <c r="O196" s="17" t="str">
        <f aca="false">IF((E196="s"),H196," ")</f>
        <v> </v>
      </c>
      <c r="P196" s="17" t="str">
        <f aca="false">IF((E196="c"),H196," ")</f>
        <v> </v>
      </c>
      <c r="Q196" s="17" t="str">
        <f aca="false">IF((E196="o"),H196," ")</f>
        <v> </v>
      </c>
      <c r="R196" s="17" t="str">
        <f aca="false">IF((E196="d"),H196," ")</f>
        <v> </v>
      </c>
      <c r="S196" s="17" t="str">
        <f aca="false">IF((E196="w"),H196," ")</f>
        <v> </v>
      </c>
      <c r="T196" s="17" t="str">
        <f aca="false">IF((E196="r"),H196," ")</f>
        <v> </v>
      </c>
      <c r="U196" s="17" t="str">
        <f aca="false">IF((E196="p"),H196," ")</f>
        <v> </v>
      </c>
      <c r="V196" s="17" t="str">
        <f aca="false">IF((E196="t"),H196," ")</f>
        <v> </v>
      </c>
      <c r="W196" s="17" t="str">
        <f aca="false">IF((E196="q"),H196," ")</f>
        <v> </v>
      </c>
      <c r="X196" s="17" t="str">
        <f aca="false">IF((E196="m"),H196," ")</f>
        <v> </v>
      </c>
      <c r="Y196" s="17" t="str">
        <f aca="false">IF((E196="u"),H196," ")</f>
        <v> </v>
      </c>
      <c r="Z196" s="17" t="str">
        <f aca="false">IF((E196="a"),H196," ")</f>
        <v> </v>
      </c>
      <c r="AA196" s="17" t="str">
        <f aca="false">IF((E196="g"),H196," ")</f>
        <v> </v>
      </c>
      <c r="AB196" s="17" t="str">
        <f aca="false">IF((E196="h"),H196," ")</f>
        <v> </v>
      </c>
      <c r="AC196" s="30" t="str">
        <f aca="false">IF((E196="v"),H196," ")</f>
        <v> </v>
      </c>
      <c r="AD196" s="30" t="str">
        <f aca="false">IF((E196="n"),H196," ")</f>
        <v> </v>
      </c>
      <c r="AE196" s="17" t="str">
        <f aca="false">IF((E196="f"),H196," ")</f>
        <v> </v>
      </c>
      <c r="AF196" s="17" t="str">
        <f aca="false">IF((E196="l"),H196," ")</f>
        <v> </v>
      </c>
      <c r="AG196" s="17" t="str">
        <f aca="false">IF((E196="y"),H196," ")</f>
        <v> </v>
      </c>
      <c r="AH196" s="17" t="str">
        <f aca="false">IF((E196="z"),H196," ")</f>
        <v> </v>
      </c>
      <c r="AI196" s="17" t="str">
        <f aca="false">IF((E196="fa"),H196," ")</f>
        <v> </v>
      </c>
      <c r="AJ196" s="17" t="str">
        <f aca="false">IF((E196="e"),H196," ")</f>
        <v> </v>
      </c>
    </row>
    <row r="197" customFormat="false" ht="12" hidden="false" customHeight="false" outlineLevel="0" collapsed="false">
      <c r="A197" s="28"/>
      <c r="E197" s="2" t="str">
        <f aca="false">IF((F197&lt;&gt;0),"Enter Letter"," ")</f>
        <v> </v>
      </c>
      <c r="F197" s="30"/>
      <c r="G197" s="6" t="str">
        <f aca="false">IF(F197&lt;&gt;0,F197*G$2/(100+G$2)," ")</f>
        <v> </v>
      </c>
      <c r="H197" s="6" t="str">
        <f aca="false">IF((F197&lt;&gt;0),F197-G197," ")</f>
        <v> </v>
      </c>
      <c r="I197" s="5"/>
      <c r="L197" s="7" t="str">
        <f aca="false">IF(F197&lt;&gt;0,F197-K197," ")</f>
        <v> </v>
      </c>
      <c r="M197" s="8" t="str">
        <f aca="false">IF((F197-K197)&lt;&gt;0,M$1-A197," ")</f>
        <v> </v>
      </c>
      <c r="N197" s="5"/>
      <c r="O197" s="17" t="str">
        <f aca="false">IF((E197="s"),H197," ")</f>
        <v> </v>
      </c>
      <c r="P197" s="17" t="str">
        <f aca="false">IF((E197="c"),H197," ")</f>
        <v> </v>
      </c>
      <c r="Q197" s="17" t="str">
        <f aca="false">IF((E197="o"),H197," ")</f>
        <v> </v>
      </c>
      <c r="R197" s="17" t="str">
        <f aca="false">IF((E197="d"),H197," ")</f>
        <v> </v>
      </c>
      <c r="S197" s="17" t="str">
        <f aca="false">IF((E197="w"),H197," ")</f>
        <v> </v>
      </c>
      <c r="T197" s="17" t="str">
        <f aca="false">IF((E197="r"),H197," ")</f>
        <v> </v>
      </c>
      <c r="U197" s="17" t="str">
        <f aca="false">IF((E197="p"),H197," ")</f>
        <v> </v>
      </c>
      <c r="V197" s="17" t="str">
        <f aca="false">IF((E197="t"),H197," ")</f>
        <v> </v>
      </c>
      <c r="W197" s="17" t="str">
        <f aca="false">IF((E197="q"),H197," ")</f>
        <v> </v>
      </c>
      <c r="X197" s="17" t="str">
        <f aca="false">IF((E197="m"),H197," ")</f>
        <v> </v>
      </c>
      <c r="Y197" s="17" t="str">
        <f aca="false">IF((E197="u"),H197," ")</f>
        <v> </v>
      </c>
      <c r="Z197" s="17" t="str">
        <f aca="false">IF((E197="a"),H197," ")</f>
        <v> </v>
      </c>
      <c r="AA197" s="17" t="str">
        <f aca="false">IF((E197="g"),H197," ")</f>
        <v> </v>
      </c>
      <c r="AB197" s="17" t="str">
        <f aca="false">IF((E197="h"),H197," ")</f>
        <v> </v>
      </c>
      <c r="AC197" s="30" t="str">
        <f aca="false">IF((E197="v"),H197," ")</f>
        <v> </v>
      </c>
      <c r="AD197" s="30" t="str">
        <f aca="false">IF((E197="n"),H197," ")</f>
        <v> </v>
      </c>
      <c r="AE197" s="17" t="str">
        <f aca="false">IF((E197="f"),H197," ")</f>
        <v> </v>
      </c>
      <c r="AF197" s="17" t="str">
        <f aca="false">IF((E197="l"),H197," ")</f>
        <v> </v>
      </c>
      <c r="AG197" s="17" t="str">
        <f aca="false">IF((E197="y"),H197," ")</f>
        <v> </v>
      </c>
      <c r="AH197" s="17" t="str">
        <f aca="false">IF((E197="z"),H197," ")</f>
        <v> </v>
      </c>
      <c r="AI197" s="17" t="str">
        <f aca="false">IF((E197="fa"),H197," ")</f>
        <v> </v>
      </c>
      <c r="AJ197" s="17" t="str">
        <f aca="false">IF((E197="e"),H197," ")</f>
        <v> </v>
      </c>
    </row>
    <row r="198" customFormat="false" ht="12" hidden="false" customHeight="false" outlineLevel="0" collapsed="false">
      <c r="A198" s="28"/>
      <c r="E198" s="2" t="str">
        <f aca="false">IF((F198&lt;&gt;0),"Enter Letter"," ")</f>
        <v> </v>
      </c>
      <c r="F198" s="30"/>
      <c r="G198" s="6" t="str">
        <f aca="false">IF(F198&lt;&gt;0,F198*G$2/(100+G$2)," ")</f>
        <v> </v>
      </c>
      <c r="H198" s="6" t="str">
        <f aca="false">IF((F198&lt;&gt;0),F198-G198," ")</f>
        <v> </v>
      </c>
      <c r="I198" s="5"/>
      <c r="L198" s="7" t="str">
        <f aca="false">IF(F198&lt;&gt;0,F198-K198," ")</f>
        <v> </v>
      </c>
      <c r="M198" s="8" t="str">
        <f aca="false">IF((F198-K198)&lt;&gt;0,M$1-A198," ")</f>
        <v> </v>
      </c>
      <c r="N198" s="5"/>
      <c r="O198" s="17" t="str">
        <f aca="false">IF((E198="s"),H198," ")</f>
        <v> </v>
      </c>
      <c r="P198" s="17" t="str">
        <f aca="false">IF((E198="c"),H198," ")</f>
        <v> </v>
      </c>
      <c r="Q198" s="17" t="str">
        <f aca="false">IF((E198="o"),H198," ")</f>
        <v> </v>
      </c>
      <c r="R198" s="17" t="str">
        <f aca="false">IF((E198="d"),H198," ")</f>
        <v> </v>
      </c>
      <c r="S198" s="17" t="str">
        <f aca="false">IF((E198="w"),H198," ")</f>
        <v> </v>
      </c>
      <c r="T198" s="17" t="str">
        <f aca="false">IF((E198="r"),H198," ")</f>
        <v> </v>
      </c>
      <c r="U198" s="17" t="str">
        <f aca="false">IF((E198="p"),H198," ")</f>
        <v> </v>
      </c>
      <c r="V198" s="17" t="str">
        <f aca="false">IF((E198="t"),H198," ")</f>
        <v> </v>
      </c>
      <c r="W198" s="17" t="str">
        <f aca="false">IF((E198="q"),H198," ")</f>
        <v> </v>
      </c>
      <c r="X198" s="17" t="str">
        <f aca="false">IF((E198="m"),H198," ")</f>
        <v> </v>
      </c>
      <c r="Y198" s="17" t="str">
        <f aca="false">IF((E198="u"),H198," ")</f>
        <v> </v>
      </c>
      <c r="Z198" s="17" t="str">
        <f aca="false">IF((E198="a"),H198," ")</f>
        <v> </v>
      </c>
      <c r="AA198" s="17" t="str">
        <f aca="false">IF((E198="g"),H198," ")</f>
        <v> </v>
      </c>
      <c r="AB198" s="17" t="str">
        <f aca="false">IF((E198="h"),H198," ")</f>
        <v> </v>
      </c>
      <c r="AC198" s="30" t="str">
        <f aca="false">IF((E198="v"),H198," ")</f>
        <v> </v>
      </c>
      <c r="AD198" s="30" t="str">
        <f aca="false">IF((E198="n"),H198," ")</f>
        <v> </v>
      </c>
      <c r="AE198" s="17" t="str">
        <f aca="false">IF((E198="f"),H198," ")</f>
        <v> </v>
      </c>
      <c r="AF198" s="17" t="str">
        <f aca="false">IF((E198="l"),H198," ")</f>
        <v> </v>
      </c>
      <c r="AG198" s="17" t="str">
        <f aca="false">IF((E198="y"),H198," ")</f>
        <v> </v>
      </c>
      <c r="AH198" s="17" t="str">
        <f aca="false">IF((E198="z"),H198," ")</f>
        <v> </v>
      </c>
      <c r="AI198" s="17" t="str">
        <f aca="false">IF((E198="fa"),H198," ")</f>
        <v> </v>
      </c>
      <c r="AJ198" s="17" t="str">
        <f aca="false">IF((E198="e"),H198," ")</f>
        <v> </v>
      </c>
    </row>
    <row r="199" customFormat="false" ht="12" hidden="false" customHeight="false" outlineLevel="0" collapsed="false">
      <c r="A199" s="28"/>
      <c r="E199" s="2" t="str">
        <f aca="false">IF((F199&lt;&gt;0),"Enter Letter"," ")</f>
        <v> </v>
      </c>
      <c r="F199" s="30"/>
      <c r="G199" s="6" t="str">
        <f aca="false">IF(F199&lt;&gt;0,F199*G$2/(100+G$2)," ")</f>
        <v> </v>
      </c>
      <c r="H199" s="6" t="str">
        <f aca="false">IF((F199&lt;&gt;0),F199-G199," ")</f>
        <v> </v>
      </c>
      <c r="I199" s="5"/>
      <c r="L199" s="7" t="str">
        <f aca="false">IF(F199&lt;&gt;0,F199-K199," ")</f>
        <v> </v>
      </c>
      <c r="M199" s="8" t="str">
        <f aca="false">IF((F199-K199)&lt;&gt;0,M$1-A199," ")</f>
        <v> </v>
      </c>
      <c r="N199" s="5"/>
      <c r="O199" s="17" t="str">
        <f aca="false">IF((E199="s"),H199," ")</f>
        <v> </v>
      </c>
      <c r="P199" s="17" t="str">
        <f aca="false">IF((E199="c"),H199," ")</f>
        <v> </v>
      </c>
      <c r="Q199" s="17" t="str">
        <f aca="false">IF((E199="o"),H199," ")</f>
        <v> </v>
      </c>
      <c r="R199" s="17" t="str">
        <f aca="false">IF((E199="d"),H199," ")</f>
        <v> </v>
      </c>
      <c r="S199" s="17" t="str">
        <f aca="false">IF((E199="w"),H199," ")</f>
        <v> </v>
      </c>
      <c r="T199" s="17" t="str">
        <f aca="false">IF((E199="r"),H199," ")</f>
        <v> </v>
      </c>
      <c r="U199" s="17" t="str">
        <f aca="false">IF((E199="p"),H199," ")</f>
        <v> </v>
      </c>
      <c r="V199" s="17" t="str">
        <f aca="false">IF((E199="t"),H199," ")</f>
        <v> </v>
      </c>
      <c r="W199" s="17" t="str">
        <f aca="false">IF((E199="q"),H199," ")</f>
        <v> </v>
      </c>
      <c r="X199" s="17" t="str">
        <f aca="false">IF((E199="m"),H199," ")</f>
        <v> </v>
      </c>
      <c r="Y199" s="17" t="str">
        <f aca="false">IF((E199="u"),H199," ")</f>
        <v> </v>
      </c>
      <c r="Z199" s="17" t="str">
        <f aca="false">IF((E199="a"),H199," ")</f>
        <v> </v>
      </c>
      <c r="AA199" s="17" t="str">
        <f aca="false">IF((E199="g"),H199," ")</f>
        <v> </v>
      </c>
      <c r="AB199" s="17" t="str">
        <f aca="false">IF((E199="h"),H199," ")</f>
        <v> </v>
      </c>
      <c r="AC199" s="30" t="str">
        <f aca="false">IF((E199="v"),H199," ")</f>
        <v> </v>
      </c>
      <c r="AD199" s="30" t="str">
        <f aca="false">IF((E199="n"),H199," ")</f>
        <v> </v>
      </c>
      <c r="AE199" s="17" t="str">
        <f aca="false">IF((E199="f"),H199," ")</f>
        <v> </v>
      </c>
      <c r="AF199" s="17" t="str">
        <f aca="false">IF((E199="l"),H199," ")</f>
        <v> </v>
      </c>
      <c r="AG199" s="17" t="str">
        <f aca="false">IF((E199="y"),H199," ")</f>
        <v> </v>
      </c>
      <c r="AH199" s="17" t="str">
        <f aca="false">IF((E199="z"),H199," ")</f>
        <v> </v>
      </c>
      <c r="AI199" s="17" t="str">
        <f aca="false">IF((E199="fa"),H199," ")</f>
        <v> </v>
      </c>
      <c r="AJ199" s="17" t="str">
        <f aca="false">IF((E199="e"),H199," ")</f>
        <v> </v>
      </c>
    </row>
    <row r="200" customFormat="false" ht="12" hidden="false" customHeight="false" outlineLevel="0" collapsed="false">
      <c r="A200" s="28"/>
      <c r="E200" s="2" t="str">
        <f aca="false">IF((F200&lt;&gt;0),"Enter Letter"," ")</f>
        <v> </v>
      </c>
      <c r="F200" s="30"/>
      <c r="G200" s="6" t="str">
        <f aca="false">IF(F200&lt;&gt;0,F200*G$2/(100+G$2)," ")</f>
        <v> </v>
      </c>
      <c r="H200" s="6" t="str">
        <f aca="false">IF((F200&lt;&gt;0),F200-G200," ")</f>
        <v> </v>
      </c>
      <c r="I200" s="5"/>
      <c r="L200" s="7" t="str">
        <f aca="false">IF(F200&lt;&gt;0,F200-K200," ")</f>
        <v> </v>
      </c>
      <c r="M200" s="8" t="str">
        <f aca="false">IF((F200-K200)&lt;&gt;0,M$1-A200," ")</f>
        <v> </v>
      </c>
      <c r="N200" s="5"/>
      <c r="O200" s="17" t="str">
        <f aca="false">IF((E200="s"),H200," ")</f>
        <v> </v>
      </c>
      <c r="P200" s="17" t="str">
        <f aca="false">IF((E200="c"),H200," ")</f>
        <v> </v>
      </c>
      <c r="Q200" s="17" t="str">
        <f aca="false">IF((E200="o"),H200," ")</f>
        <v> </v>
      </c>
      <c r="R200" s="17" t="str">
        <f aca="false">IF((E200="d"),H200," ")</f>
        <v> </v>
      </c>
      <c r="S200" s="17" t="str">
        <f aca="false">IF((E200="w"),H200," ")</f>
        <v> </v>
      </c>
      <c r="T200" s="17" t="str">
        <f aca="false">IF((E200="r"),H200," ")</f>
        <v> </v>
      </c>
      <c r="U200" s="17" t="str">
        <f aca="false">IF((E200="p"),H200," ")</f>
        <v> </v>
      </c>
      <c r="V200" s="17" t="str">
        <f aca="false">IF((E200="t"),H200," ")</f>
        <v> </v>
      </c>
      <c r="W200" s="17" t="str">
        <f aca="false">IF((E200="q"),H200," ")</f>
        <v> </v>
      </c>
      <c r="X200" s="17" t="str">
        <f aca="false">IF((E200="m"),H200," ")</f>
        <v> </v>
      </c>
      <c r="Y200" s="17" t="str">
        <f aca="false">IF((E200="u"),H200," ")</f>
        <v> </v>
      </c>
      <c r="Z200" s="17" t="str">
        <f aca="false">IF((E200="a"),H200," ")</f>
        <v> </v>
      </c>
      <c r="AA200" s="17" t="str">
        <f aca="false">IF((E200="g"),H200," ")</f>
        <v> </v>
      </c>
      <c r="AB200" s="17" t="str">
        <f aca="false">IF((E200="h"),H200," ")</f>
        <v> </v>
      </c>
      <c r="AC200" s="30" t="str">
        <f aca="false">IF((E200="v"),H200," ")</f>
        <v> </v>
      </c>
      <c r="AD200" s="30" t="str">
        <f aca="false">IF((E200="n"),H200," ")</f>
        <v> </v>
      </c>
      <c r="AE200" s="17" t="str">
        <f aca="false">IF((E200="f"),H200," ")</f>
        <v> </v>
      </c>
      <c r="AF200" s="17" t="str">
        <f aca="false">IF((E200="l"),H200," ")</f>
        <v> </v>
      </c>
      <c r="AG200" s="17" t="str">
        <f aca="false">IF((E200="y"),H200," ")</f>
        <v> </v>
      </c>
      <c r="AH200" s="17" t="str">
        <f aca="false">IF((E200="z"),H200," ")</f>
        <v> </v>
      </c>
      <c r="AI200" s="17" t="str">
        <f aca="false">IF((E200="fa"),H200," ")</f>
        <v> </v>
      </c>
      <c r="AJ200" s="17" t="str">
        <f aca="false">IF((E200="e"),H200," ")</f>
        <v> </v>
      </c>
    </row>
    <row r="201" customFormat="false" ht="12" hidden="false" customHeight="false" outlineLevel="0" collapsed="false">
      <c r="A201" s="28"/>
      <c r="E201" s="2" t="str">
        <f aca="false">IF((F201&lt;&gt;0),"Enter Letter"," ")</f>
        <v> </v>
      </c>
      <c r="F201" s="30"/>
      <c r="G201" s="6" t="str">
        <f aca="false">IF(F201&lt;&gt;0,F201*G$2/(100+G$2)," ")</f>
        <v> </v>
      </c>
      <c r="H201" s="6" t="str">
        <f aca="false">IF((F201&lt;&gt;0),F201-G201," ")</f>
        <v> </v>
      </c>
      <c r="I201" s="5"/>
      <c r="L201" s="7" t="str">
        <f aca="false">IF(F201&lt;&gt;0,F201-K201," ")</f>
        <v> </v>
      </c>
      <c r="M201" s="8" t="str">
        <f aca="false">IF((F201-K201)&lt;&gt;0,M$1-A201," ")</f>
        <v> </v>
      </c>
      <c r="N201" s="5"/>
      <c r="O201" s="17" t="str">
        <f aca="false">IF((E201="s"),H201," ")</f>
        <v> </v>
      </c>
      <c r="P201" s="17" t="str">
        <f aca="false">IF((E201="c"),H201," ")</f>
        <v> </v>
      </c>
      <c r="Q201" s="17" t="str">
        <f aca="false">IF((E201="o"),H201," ")</f>
        <v> </v>
      </c>
      <c r="R201" s="17" t="str">
        <f aca="false">IF((E201="d"),H201," ")</f>
        <v> </v>
      </c>
      <c r="S201" s="17" t="str">
        <f aca="false">IF((E201="w"),H201," ")</f>
        <v> </v>
      </c>
      <c r="T201" s="17" t="str">
        <f aca="false">IF((E201="r"),H201," ")</f>
        <v> </v>
      </c>
      <c r="U201" s="17" t="str">
        <f aca="false">IF((E201="p"),H201," ")</f>
        <v> </v>
      </c>
      <c r="V201" s="17" t="str">
        <f aca="false">IF((E201="t"),H201," ")</f>
        <v> </v>
      </c>
      <c r="W201" s="17" t="str">
        <f aca="false">IF((E201="q"),H201," ")</f>
        <v> </v>
      </c>
      <c r="X201" s="17" t="str">
        <f aca="false">IF((E201="m"),H201," ")</f>
        <v> </v>
      </c>
      <c r="Y201" s="17" t="str">
        <f aca="false">IF((E201="u"),H201," ")</f>
        <v> </v>
      </c>
      <c r="Z201" s="17" t="str">
        <f aca="false">IF((E201="a"),H201," ")</f>
        <v> </v>
      </c>
      <c r="AA201" s="17" t="str">
        <f aca="false">IF((E201="g"),H201," ")</f>
        <v> </v>
      </c>
      <c r="AB201" s="17" t="str">
        <f aca="false">IF((E201="h"),H201," ")</f>
        <v> </v>
      </c>
      <c r="AC201" s="30" t="str">
        <f aca="false">IF((E201="v"),H201," ")</f>
        <v> </v>
      </c>
      <c r="AD201" s="30" t="str">
        <f aca="false">IF((E201="n"),H201," ")</f>
        <v> </v>
      </c>
      <c r="AE201" s="17" t="str">
        <f aca="false">IF((E201="f"),H201," ")</f>
        <v> </v>
      </c>
      <c r="AF201" s="17" t="str">
        <f aca="false">IF((E201="l"),H201," ")</f>
        <v> </v>
      </c>
      <c r="AG201" s="17" t="str">
        <f aca="false">IF((E201="y"),H201," ")</f>
        <v> </v>
      </c>
      <c r="AH201" s="17" t="str">
        <f aca="false">IF((E201="z"),H201," ")</f>
        <v> </v>
      </c>
      <c r="AI201" s="17" t="str">
        <f aca="false">IF((E201="fa"),H201," ")</f>
        <v> </v>
      </c>
      <c r="AJ201" s="17" t="str">
        <f aca="false">IF((E201="e"),H201," ")</f>
        <v> </v>
      </c>
    </row>
    <row r="202" customFormat="false" ht="12" hidden="false" customHeight="false" outlineLevel="0" collapsed="false">
      <c r="A202" s="28"/>
      <c r="E202" s="2" t="str">
        <f aca="false">IF((F202&lt;&gt;0),"Enter Letter"," ")</f>
        <v> </v>
      </c>
      <c r="F202" s="30"/>
      <c r="G202" s="6" t="str">
        <f aca="false">IF(F202&lt;&gt;0,F202*G$2/(100+G$2)," ")</f>
        <v> </v>
      </c>
      <c r="H202" s="6" t="str">
        <f aca="false">IF((F202&lt;&gt;0),F202-G202," ")</f>
        <v> </v>
      </c>
      <c r="I202" s="5"/>
      <c r="L202" s="7" t="str">
        <f aca="false">IF(F202&lt;&gt;0,F202-K202," ")</f>
        <v> </v>
      </c>
      <c r="M202" s="8" t="str">
        <f aca="false">IF((F202-K202)&lt;&gt;0,M$1-A202," ")</f>
        <v> </v>
      </c>
      <c r="N202" s="5"/>
      <c r="O202" s="17" t="str">
        <f aca="false">IF((E202="s"),H202," ")</f>
        <v> </v>
      </c>
      <c r="P202" s="17" t="str">
        <f aca="false">IF((E202="c"),H202," ")</f>
        <v> </v>
      </c>
      <c r="Q202" s="17" t="str">
        <f aca="false">IF((E202="o"),H202," ")</f>
        <v> </v>
      </c>
      <c r="R202" s="17" t="str">
        <f aca="false">IF((E202="d"),H202," ")</f>
        <v> </v>
      </c>
      <c r="S202" s="17" t="str">
        <f aca="false">IF((E202="w"),H202," ")</f>
        <v> </v>
      </c>
      <c r="T202" s="17" t="str">
        <f aca="false">IF((E202="r"),H202," ")</f>
        <v> </v>
      </c>
      <c r="U202" s="17" t="str">
        <f aca="false">IF((E202="p"),H202," ")</f>
        <v> </v>
      </c>
      <c r="V202" s="17" t="str">
        <f aca="false">IF((E202="t"),H202," ")</f>
        <v> </v>
      </c>
      <c r="W202" s="17" t="str">
        <f aca="false">IF((E202="q"),H202," ")</f>
        <v> </v>
      </c>
      <c r="X202" s="17" t="str">
        <f aca="false">IF((E202="m"),H202," ")</f>
        <v> </v>
      </c>
      <c r="Y202" s="17" t="str">
        <f aca="false">IF((E202="u"),H202," ")</f>
        <v> </v>
      </c>
      <c r="Z202" s="17" t="str">
        <f aca="false">IF((E202="a"),H202," ")</f>
        <v> </v>
      </c>
      <c r="AA202" s="17" t="str">
        <f aca="false">IF((E202="g"),H202," ")</f>
        <v> </v>
      </c>
      <c r="AB202" s="17" t="str">
        <f aca="false">IF((E202="h"),H202," ")</f>
        <v> </v>
      </c>
      <c r="AC202" s="30" t="str">
        <f aca="false">IF((E202="v"),H202," ")</f>
        <v> </v>
      </c>
      <c r="AD202" s="30" t="str">
        <f aca="false">IF((E202="n"),H202," ")</f>
        <v> </v>
      </c>
      <c r="AE202" s="17" t="str">
        <f aca="false">IF((E202="f"),H202," ")</f>
        <v> </v>
      </c>
      <c r="AF202" s="17" t="str">
        <f aca="false">IF((E202="l"),H202," ")</f>
        <v> </v>
      </c>
      <c r="AG202" s="17" t="str">
        <f aca="false">IF((E202="y"),H202," ")</f>
        <v> </v>
      </c>
      <c r="AH202" s="17" t="str">
        <f aca="false">IF((E202="z"),H202," ")</f>
        <v> </v>
      </c>
      <c r="AI202" s="17" t="str">
        <f aca="false">IF((E202="fa"),H202," ")</f>
        <v> </v>
      </c>
      <c r="AJ202" s="17" t="str">
        <f aca="false">IF((E202="e"),H202," ")</f>
        <v> </v>
      </c>
    </row>
    <row r="203" customFormat="false" ht="12" hidden="false" customHeight="false" outlineLevel="0" collapsed="false">
      <c r="A203" s="28"/>
      <c r="E203" s="2" t="str">
        <f aca="false">IF((F203&lt;&gt;0),"Enter Letter"," ")</f>
        <v> </v>
      </c>
      <c r="F203" s="30"/>
      <c r="G203" s="6" t="str">
        <f aca="false">IF(F203&lt;&gt;0,F203*G$2/(100+G$2)," ")</f>
        <v> </v>
      </c>
      <c r="H203" s="6" t="str">
        <f aca="false">IF((F203&lt;&gt;0),F203-G203," ")</f>
        <v> </v>
      </c>
      <c r="I203" s="5"/>
      <c r="L203" s="7" t="str">
        <f aca="false">IF(F203&lt;&gt;0,F203-K203," ")</f>
        <v> </v>
      </c>
      <c r="M203" s="8" t="str">
        <f aca="false">IF((F203-K203)&lt;&gt;0,M$1-A203," ")</f>
        <v> </v>
      </c>
      <c r="N203" s="5"/>
      <c r="O203" s="17" t="str">
        <f aca="false">IF((E203="s"),H203," ")</f>
        <v> </v>
      </c>
      <c r="P203" s="17" t="str">
        <f aca="false">IF((E203="c"),H203," ")</f>
        <v> </v>
      </c>
      <c r="Q203" s="17" t="str">
        <f aca="false">IF((E203="o"),H203," ")</f>
        <v> </v>
      </c>
      <c r="R203" s="17" t="str">
        <f aca="false">IF((E203="d"),H203," ")</f>
        <v> </v>
      </c>
      <c r="S203" s="17" t="str">
        <f aca="false">IF((E203="w"),H203," ")</f>
        <v> </v>
      </c>
      <c r="T203" s="17" t="str">
        <f aca="false">IF((E203="r"),H203," ")</f>
        <v> </v>
      </c>
      <c r="U203" s="17" t="str">
        <f aca="false">IF((E203="p"),H203," ")</f>
        <v> </v>
      </c>
      <c r="V203" s="17" t="str">
        <f aca="false">IF((E203="t"),H203," ")</f>
        <v> </v>
      </c>
      <c r="W203" s="17" t="str">
        <f aca="false">IF((E203="q"),H203," ")</f>
        <v> </v>
      </c>
      <c r="X203" s="17" t="str">
        <f aca="false">IF((E203="m"),H203," ")</f>
        <v> </v>
      </c>
      <c r="Y203" s="17" t="str">
        <f aca="false">IF((E203="u"),H203," ")</f>
        <v> </v>
      </c>
      <c r="Z203" s="17" t="str">
        <f aca="false">IF((E203="a"),H203," ")</f>
        <v> </v>
      </c>
      <c r="AA203" s="17" t="str">
        <f aca="false">IF((E203="g"),H203," ")</f>
        <v> </v>
      </c>
      <c r="AB203" s="17" t="str">
        <f aca="false">IF((E203="h"),H203," ")</f>
        <v> </v>
      </c>
      <c r="AC203" s="30" t="str">
        <f aca="false">IF((E203="v"),H203," ")</f>
        <v> </v>
      </c>
      <c r="AD203" s="30" t="str">
        <f aca="false">IF((E203="n"),H203," ")</f>
        <v> </v>
      </c>
      <c r="AE203" s="17" t="str">
        <f aca="false">IF((E203="f"),H203," ")</f>
        <v> </v>
      </c>
      <c r="AF203" s="17" t="str">
        <f aca="false">IF((E203="l"),H203," ")</f>
        <v> </v>
      </c>
      <c r="AG203" s="17" t="str">
        <f aca="false">IF((E203="y"),H203," ")</f>
        <v> </v>
      </c>
      <c r="AH203" s="17" t="str">
        <f aca="false">IF((E203="z"),H203," ")</f>
        <v> </v>
      </c>
      <c r="AI203" s="17" t="str">
        <f aca="false">IF((E203="fa"),H203," ")</f>
        <v> </v>
      </c>
      <c r="AJ203" s="17" t="str">
        <f aca="false">IF((E203="e"),H203," ")</f>
        <v> </v>
      </c>
    </row>
    <row r="204" customFormat="false" ht="12" hidden="false" customHeight="false" outlineLevel="0" collapsed="false">
      <c r="A204" s="28"/>
      <c r="E204" s="2" t="str">
        <f aca="false">IF((F204&lt;&gt;0),"Enter Letter"," ")</f>
        <v> </v>
      </c>
      <c r="F204" s="30"/>
      <c r="G204" s="6" t="str">
        <f aca="false">IF(F204&lt;&gt;0,F204*G$2/(100+G$2)," ")</f>
        <v> </v>
      </c>
      <c r="H204" s="6" t="str">
        <f aca="false">IF((F204&lt;&gt;0),F204-G204," ")</f>
        <v> </v>
      </c>
      <c r="I204" s="5"/>
      <c r="L204" s="7" t="str">
        <f aca="false">IF(F204&lt;&gt;0,F204-K204," ")</f>
        <v> </v>
      </c>
      <c r="M204" s="8" t="str">
        <f aca="false">IF((F204-K204)&lt;&gt;0,M$1-A204," ")</f>
        <v> </v>
      </c>
      <c r="N204" s="5"/>
      <c r="O204" s="17" t="str">
        <f aca="false">IF((E204="s"),H204," ")</f>
        <v> </v>
      </c>
      <c r="P204" s="17" t="str">
        <f aca="false">IF((E204="c"),H204," ")</f>
        <v> </v>
      </c>
      <c r="Q204" s="17" t="str">
        <f aca="false">IF((E204="o"),H204," ")</f>
        <v> </v>
      </c>
      <c r="R204" s="17" t="str">
        <f aca="false">IF((E204="d"),H204," ")</f>
        <v> </v>
      </c>
      <c r="S204" s="17" t="str">
        <f aca="false">IF((E204="w"),H204," ")</f>
        <v> </v>
      </c>
      <c r="T204" s="17" t="str">
        <f aca="false">IF((E204="r"),H204," ")</f>
        <v> </v>
      </c>
      <c r="U204" s="17" t="str">
        <f aca="false">IF((E204="p"),H204," ")</f>
        <v> </v>
      </c>
      <c r="V204" s="17" t="str">
        <f aca="false">IF((E204="t"),H204," ")</f>
        <v> </v>
      </c>
      <c r="W204" s="17" t="str">
        <f aca="false">IF((E204="q"),H204," ")</f>
        <v> </v>
      </c>
      <c r="X204" s="17" t="str">
        <f aca="false">IF((E204="m"),H204," ")</f>
        <v> </v>
      </c>
      <c r="Y204" s="17" t="str">
        <f aca="false">IF((E204="u"),H204," ")</f>
        <v> </v>
      </c>
      <c r="Z204" s="17" t="str">
        <f aca="false">IF((E204="a"),H204," ")</f>
        <v> </v>
      </c>
      <c r="AA204" s="17" t="str">
        <f aca="false">IF((E204="g"),H204," ")</f>
        <v> </v>
      </c>
      <c r="AB204" s="17" t="str">
        <f aca="false">IF((E204="h"),H204," ")</f>
        <v> </v>
      </c>
      <c r="AC204" s="30" t="str">
        <f aca="false">IF((E204="v"),H204," ")</f>
        <v> </v>
      </c>
      <c r="AD204" s="30" t="str">
        <f aca="false">IF((E204="n"),H204," ")</f>
        <v> </v>
      </c>
      <c r="AE204" s="17" t="str">
        <f aca="false">IF((E204="f"),H204," ")</f>
        <v> </v>
      </c>
      <c r="AF204" s="17" t="str">
        <f aca="false">IF((E204="l"),H204," ")</f>
        <v> </v>
      </c>
      <c r="AG204" s="17" t="str">
        <f aca="false">IF((E204="y"),H204," ")</f>
        <v> </v>
      </c>
      <c r="AH204" s="17" t="str">
        <f aca="false">IF((E204="z"),H204," ")</f>
        <v> </v>
      </c>
      <c r="AI204" s="17" t="str">
        <f aca="false">IF((E204="fa"),H204," ")</f>
        <v> </v>
      </c>
      <c r="AJ204" s="17" t="str">
        <f aca="false">IF((E204="e"),H204," ")</f>
        <v> </v>
      </c>
    </row>
    <row r="205" customFormat="false" ht="12" hidden="false" customHeight="false" outlineLevel="0" collapsed="false">
      <c r="A205" s="28"/>
      <c r="E205" s="2" t="str">
        <f aca="false">IF((F205&lt;&gt;0),"Enter Letter"," ")</f>
        <v> </v>
      </c>
      <c r="F205" s="30"/>
      <c r="G205" s="6" t="str">
        <f aca="false">IF(F205&lt;&gt;0,F205*G$2/(100+G$2)," ")</f>
        <v> </v>
      </c>
      <c r="H205" s="6" t="str">
        <f aca="false">IF((F205&lt;&gt;0),F205-G205," ")</f>
        <v> </v>
      </c>
      <c r="I205" s="5"/>
      <c r="L205" s="7" t="str">
        <f aca="false">IF(F205&lt;&gt;0,F205-K205," ")</f>
        <v> </v>
      </c>
      <c r="M205" s="8" t="str">
        <f aca="false">IF((F205-K205)&lt;&gt;0,M$1-A205," ")</f>
        <v> </v>
      </c>
      <c r="N205" s="5"/>
      <c r="O205" s="17" t="str">
        <f aca="false">IF((E205="s"),H205," ")</f>
        <v> </v>
      </c>
      <c r="P205" s="17" t="str">
        <f aca="false">IF((E205="c"),H205," ")</f>
        <v> </v>
      </c>
      <c r="Q205" s="17" t="str">
        <f aca="false">IF((E205="o"),H205," ")</f>
        <v> </v>
      </c>
      <c r="R205" s="17" t="str">
        <f aca="false">IF((E205="d"),H205," ")</f>
        <v> </v>
      </c>
      <c r="S205" s="17" t="str">
        <f aca="false">IF((E205="w"),H205," ")</f>
        <v> </v>
      </c>
      <c r="T205" s="17" t="str">
        <f aca="false">IF((E205="r"),H205," ")</f>
        <v> </v>
      </c>
      <c r="U205" s="17" t="str">
        <f aca="false">IF((E205="p"),H205," ")</f>
        <v> </v>
      </c>
      <c r="V205" s="17" t="str">
        <f aca="false">IF((E205="t"),H205," ")</f>
        <v> </v>
      </c>
      <c r="W205" s="17" t="str">
        <f aca="false">IF((E205="q"),H205," ")</f>
        <v> </v>
      </c>
      <c r="X205" s="17" t="str">
        <f aca="false">IF((E205="m"),H205," ")</f>
        <v> </v>
      </c>
      <c r="Y205" s="17" t="str">
        <f aca="false">IF((E205="u"),H205," ")</f>
        <v> </v>
      </c>
      <c r="Z205" s="17" t="str">
        <f aca="false">IF((E205="a"),H205," ")</f>
        <v> </v>
      </c>
      <c r="AA205" s="17" t="str">
        <f aca="false">IF((E205="g"),H205," ")</f>
        <v> </v>
      </c>
      <c r="AB205" s="17" t="str">
        <f aca="false">IF((E205="h"),H205," ")</f>
        <v> </v>
      </c>
      <c r="AC205" s="30" t="str">
        <f aca="false">IF((E205="v"),H205," ")</f>
        <v> </v>
      </c>
      <c r="AD205" s="30" t="str">
        <f aca="false">IF((E205="n"),H205," ")</f>
        <v> </v>
      </c>
      <c r="AE205" s="17" t="str">
        <f aca="false">IF((E205="f"),H205," ")</f>
        <v> </v>
      </c>
      <c r="AF205" s="17" t="str">
        <f aca="false">IF((E205="l"),H205," ")</f>
        <v> </v>
      </c>
      <c r="AG205" s="17" t="str">
        <f aca="false">IF((E205="y"),H205," ")</f>
        <v> </v>
      </c>
      <c r="AH205" s="17" t="str">
        <f aca="false">IF((E205="z"),H205," ")</f>
        <v> </v>
      </c>
      <c r="AI205" s="17" t="str">
        <f aca="false">IF((E205="fa"),H205," ")</f>
        <v> </v>
      </c>
      <c r="AJ205" s="17" t="str">
        <f aca="false">IF((E205="e"),H205," ")</f>
        <v> </v>
      </c>
    </row>
    <row r="206" customFormat="false" ht="12" hidden="false" customHeight="false" outlineLevel="0" collapsed="false">
      <c r="A206" s="28"/>
      <c r="E206" s="2" t="str">
        <f aca="false">IF((F206&lt;&gt;0),"Enter Letter"," ")</f>
        <v> </v>
      </c>
      <c r="F206" s="30"/>
      <c r="G206" s="6" t="str">
        <f aca="false">IF(F206&lt;&gt;0,F206*G$2/(100+G$2)," ")</f>
        <v> </v>
      </c>
      <c r="H206" s="6" t="str">
        <f aca="false">IF((F206&lt;&gt;0),F206-G206," ")</f>
        <v> </v>
      </c>
      <c r="I206" s="5"/>
      <c r="L206" s="7" t="str">
        <f aca="false">IF(F206&lt;&gt;0,F206-K206," ")</f>
        <v> </v>
      </c>
      <c r="M206" s="8" t="str">
        <f aca="false">IF((F206-K206)&lt;&gt;0,M$1-A206," ")</f>
        <v> </v>
      </c>
      <c r="N206" s="5"/>
      <c r="O206" s="17" t="str">
        <f aca="false">IF((E206="s"),H206," ")</f>
        <v> </v>
      </c>
      <c r="P206" s="17" t="str">
        <f aca="false">IF((E206="c"),H206," ")</f>
        <v> </v>
      </c>
      <c r="Q206" s="17" t="str">
        <f aca="false">IF((E206="o"),H206," ")</f>
        <v> </v>
      </c>
      <c r="R206" s="17" t="str">
        <f aca="false">IF((E206="d"),H206," ")</f>
        <v> </v>
      </c>
      <c r="S206" s="17" t="str">
        <f aca="false">IF((E206="w"),H206," ")</f>
        <v> </v>
      </c>
      <c r="T206" s="17" t="str">
        <f aca="false">IF((E206="r"),H206," ")</f>
        <v> </v>
      </c>
      <c r="U206" s="17" t="str">
        <f aca="false">IF((E206="p"),H206," ")</f>
        <v> </v>
      </c>
      <c r="V206" s="17" t="str">
        <f aca="false">IF((E206="t"),H206," ")</f>
        <v> </v>
      </c>
      <c r="W206" s="17" t="str">
        <f aca="false">IF((E206="q"),H206," ")</f>
        <v> </v>
      </c>
      <c r="X206" s="17" t="str">
        <f aca="false">IF((E206="m"),H206," ")</f>
        <v> </v>
      </c>
      <c r="Y206" s="17" t="str">
        <f aca="false">IF((E206="u"),H206," ")</f>
        <v> </v>
      </c>
      <c r="Z206" s="17" t="str">
        <f aca="false">IF((E206="a"),H206," ")</f>
        <v> </v>
      </c>
      <c r="AA206" s="17" t="str">
        <f aca="false">IF((E206="g"),H206," ")</f>
        <v> </v>
      </c>
      <c r="AB206" s="17" t="str">
        <f aca="false">IF((E206="h"),H206," ")</f>
        <v> </v>
      </c>
      <c r="AC206" s="30" t="str">
        <f aca="false">IF((E206="v"),H206," ")</f>
        <v> </v>
      </c>
      <c r="AD206" s="30" t="str">
        <f aca="false">IF((E206="n"),H206," ")</f>
        <v> </v>
      </c>
      <c r="AE206" s="17" t="str">
        <f aca="false">IF((E206="f"),H206," ")</f>
        <v> </v>
      </c>
      <c r="AF206" s="17" t="str">
        <f aca="false">IF((E206="l"),H206," ")</f>
        <v> </v>
      </c>
      <c r="AG206" s="17" t="str">
        <f aca="false">IF((E206="y"),H206," ")</f>
        <v> </v>
      </c>
      <c r="AH206" s="17" t="str">
        <f aca="false">IF((E206="z"),H206," ")</f>
        <v> </v>
      </c>
      <c r="AI206" s="17" t="str">
        <f aca="false">IF((E206="fa"),H206," ")</f>
        <v> </v>
      </c>
      <c r="AJ206" s="17" t="str">
        <f aca="false">IF((E206="e"),H206," ")</f>
        <v> </v>
      </c>
    </row>
    <row r="207" customFormat="false" ht="12" hidden="false" customHeight="false" outlineLevel="0" collapsed="false">
      <c r="A207" s="28"/>
      <c r="E207" s="2" t="str">
        <f aca="false">IF((F207&lt;&gt;0),"Enter Letter"," ")</f>
        <v> </v>
      </c>
      <c r="F207" s="30"/>
      <c r="G207" s="6" t="str">
        <f aca="false">IF(F207&lt;&gt;0,F207*G$2/(100+G$2)," ")</f>
        <v> </v>
      </c>
      <c r="H207" s="6" t="str">
        <f aca="false">IF((F207&lt;&gt;0),F207-G207," ")</f>
        <v> </v>
      </c>
      <c r="I207" s="5"/>
      <c r="L207" s="7" t="str">
        <f aca="false">IF(F207&lt;&gt;0,F207-K207," ")</f>
        <v> </v>
      </c>
      <c r="M207" s="8" t="str">
        <f aca="false">IF((F207-K207)&lt;&gt;0,M$1-A207," ")</f>
        <v> </v>
      </c>
      <c r="N207" s="5"/>
      <c r="O207" s="17" t="str">
        <f aca="false">IF((E207="s"),H207," ")</f>
        <v> </v>
      </c>
      <c r="P207" s="17" t="str">
        <f aca="false">IF((E207="c"),H207," ")</f>
        <v> </v>
      </c>
      <c r="Q207" s="17" t="str">
        <f aca="false">IF((E207="o"),H207," ")</f>
        <v> </v>
      </c>
      <c r="R207" s="17" t="str">
        <f aca="false">IF((E207="d"),H207," ")</f>
        <v> </v>
      </c>
      <c r="S207" s="17" t="str">
        <f aca="false">IF((E207="w"),H207," ")</f>
        <v> </v>
      </c>
      <c r="T207" s="17" t="str">
        <f aca="false">IF((E207="r"),H207," ")</f>
        <v> </v>
      </c>
      <c r="U207" s="17" t="str">
        <f aca="false">IF((E207="p"),H207," ")</f>
        <v> </v>
      </c>
      <c r="V207" s="17" t="str">
        <f aca="false">IF((E207="t"),H207," ")</f>
        <v> </v>
      </c>
      <c r="W207" s="17" t="str">
        <f aca="false">IF((E207="q"),H207," ")</f>
        <v> </v>
      </c>
      <c r="X207" s="17" t="str">
        <f aca="false">IF((E207="m"),H207," ")</f>
        <v> </v>
      </c>
      <c r="Y207" s="17" t="str">
        <f aca="false">IF((E207="u"),H207," ")</f>
        <v> </v>
      </c>
      <c r="Z207" s="17" t="str">
        <f aca="false">IF((E207="a"),H207," ")</f>
        <v> </v>
      </c>
      <c r="AA207" s="17" t="str">
        <f aca="false">IF((E207="g"),H207," ")</f>
        <v> </v>
      </c>
      <c r="AB207" s="17" t="str">
        <f aca="false">IF((E207="h"),H207," ")</f>
        <v> </v>
      </c>
      <c r="AC207" s="30" t="str">
        <f aca="false">IF((E207="v"),H207," ")</f>
        <v> </v>
      </c>
      <c r="AD207" s="30" t="str">
        <f aca="false">IF((E207="n"),H207," ")</f>
        <v> </v>
      </c>
      <c r="AE207" s="17" t="str">
        <f aca="false">IF((E207="f"),H207," ")</f>
        <v> </v>
      </c>
      <c r="AF207" s="17" t="str">
        <f aca="false">IF((E207="l"),H207," ")</f>
        <v> </v>
      </c>
      <c r="AG207" s="17" t="str">
        <f aca="false">IF((E207="y"),H207," ")</f>
        <v> </v>
      </c>
      <c r="AH207" s="17" t="str">
        <f aca="false">IF((E207="z"),H207," ")</f>
        <v> </v>
      </c>
      <c r="AI207" s="17" t="str">
        <f aca="false">IF((E207="fa"),H207," ")</f>
        <v> </v>
      </c>
      <c r="AJ207" s="17" t="str">
        <f aca="false">IF((E207="e"),H207," ")</f>
        <v> </v>
      </c>
    </row>
    <row r="208" customFormat="false" ht="12" hidden="false" customHeight="false" outlineLevel="0" collapsed="false">
      <c r="A208" s="28"/>
      <c r="E208" s="2" t="str">
        <f aca="false">IF((F208&lt;&gt;0),"Enter Letter"," ")</f>
        <v> </v>
      </c>
      <c r="F208" s="30"/>
      <c r="G208" s="6" t="str">
        <f aca="false">IF(F208&lt;&gt;0,F208*G$2/(100+G$2)," ")</f>
        <v> </v>
      </c>
      <c r="H208" s="6" t="str">
        <f aca="false">IF((F208&lt;&gt;0),F208-G208," ")</f>
        <v> </v>
      </c>
      <c r="I208" s="5"/>
      <c r="L208" s="7" t="str">
        <f aca="false">IF(F208&lt;&gt;0,F208-K208," ")</f>
        <v> </v>
      </c>
      <c r="M208" s="8" t="str">
        <f aca="false">IF((F208-K208)&lt;&gt;0,M$1-A208," ")</f>
        <v> </v>
      </c>
      <c r="N208" s="5"/>
      <c r="O208" s="17" t="str">
        <f aca="false">IF((E208="s"),H208," ")</f>
        <v> </v>
      </c>
      <c r="P208" s="17" t="str">
        <f aca="false">IF((E208="c"),H208," ")</f>
        <v> </v>
      </c>
      <c r="Q208" s="17" t="str">
        <f aca="false">IF((E208="o"),H208," ")</f>
        <v> </v>
      </c>
      <c r="R208" s="17" t="str">
        <f aca="false">IF((E208="d"),H208," ")</f>
        <v> </v>
      </c>
      <c r="S208" s="17" t="str">
        <f aca="false">IF((E208="w"),H208," ")</f>
        <v> </v>
      </c>
      <c r="T208" s="17" t="str">
        <f aca="false">IF((E208="r"),H208," ")</f>
        <v> </v>
      </c>
      <c r="U208" s="17" t="str">
        <f aca="false">IF((E208="p"),H208," ")</f>
        <v> </v>
      </c>
      <c r="V208" s="17" t="str">
        <f aca="false">IF((E208="t"),H208," ")</f>
        <v> </v>
      </c>
      <c r="W208" s="17" t="str">
        <f aca="false">IF((E208="q"),H208," ")</f>
        <v> </v>
      </c>
      <c r="X208" s="17" t="str">
        <f aca="false">IF((E208="m"),H208," ")</f>
        <v> </v>
      </c>
      <c r="Y208" s="17" t="str">
        <f aca="false">IF((E208="u"),H208," ")</f>
        <v> </v>
      </c>
      <c r="Z208" s="17" t="str">
        <f aca="false">IF((E208="a"),H208," ")</f>
        <v> </v>
      </c>
      <c r="AA208" s="17" t="str">
        <f aca="false">IF((E208="g"),H208," ")</f>
        <v> </v>
      </c>
      <c r="AB208" s="17" t="str">
        <f aca="false">IF((E208="h"),H208," ")</f>
        <v> </v>
      </c>
      <c r="AC208" s="30" t="str">
        <f aca="false">IF((E208="v"),H208," ")</f>
        <v> </v>
      </c>
      <c r="AD208" s="30" t="str">
        <f aca="false">IF((E208="n"),H208," ")</f>
        <v> </v>
      </c>
      <c r="AE208" s="17" t="str">
        <f aca="false">IF((E208="f"),H208," ")</f>
        <v> </v>
      </c>
      <c r="AF208" s="17" t="str">
        <f aca="false">IF((E208="l"),H208," ")</f>
        <v> </v>
      </c>
      <c r="AG208" s="17" t="str">
        <f aca="false">IF((E208="y"),H208," ")</f>
        <v> </v>
      </c>
      <c r="AH208" s="17" t="str">
        <f aca="false">IF((E208="z"),H208," ")</f>
        <v> </v>
      </c>
      <c r="AI208" s="17" t="str">
        <f aca="false">IF((E208="fa"),H208," ")</f>
        <v> </v>
      </c>
      <c r="AJ208" s="17" t="str">
        <f aca="false">IF((E208="e"),H208," ")</f>
        <v> </v>
      </c>
    </row>
    <row r="209" customFormat="false" ht="12" hidden="false" customHeight="false" outlineLevel="0" collapsed="false">
      <c r="A209" s="28"/>
      <c r="E209" s="2" t="str">
        <f aca="false">IF((F209&lt;&gt;0),"Enter Letter"," ")</f>
        <v> </v>
      </c>
      <c r="F209" s="30"/>
      <c r="G209" s="6" t="str">
        <f aca="false">IF(F209&lt;&gt;0,F209*G$2/(100+G$2)," ")</f>
        <v> </v>
      </c>
      <c r="H209" s="6" t="str">
        <f aca="false">IF((F209&lt;&gt;0),F209-G209," ")</f>
        <v> </v>
      </c>
      <c r="I209" s="5"/>
      <c r="L209" s="7" t="str">
        <f aca="false">IF(F209&lt;&gt;0,F209-K209," ")</f>
        <v> </v>
      </c>
      <c r="M209" s="8" t="str">
        <f aca="false">IF((F209-K209)&lt;&gt;0,M$1-A209," ")</f>
        <v> </v>
      </c>
      <c r="N209" s="5"/>
      <c r="O209" s="17" t="str">
        <f aca="false">IF((E209="s"),H209," ")</f>
        <v> </v>
      </c>
      <c r="P209" s="17" t="str">
        <f aca="false">IF((E209="c"),H209," ")</f>
        <v> </v>
      </c>
      <c r="Q209" s="17" t="str">
        <f aca="false">IF((E209="o"),H209," ")</f>
        <v> </v>
      </c>
      <c r="R209" s="17" t="str">
        <f aca="false">IF((E209="d"),H209," ")</f>
        <v> </v>
      </c>
      <c r="S209" s="17" t="str">
        <f aca="false">IF((E209="w"),H209," ")</f>
        <v> </v>
      </c>
      <c r="T209" s="17" t="str">
        <f aca="false">IF((E209="r"),H209," ")</f>
        <v> </v>
      </c>
      <c r="U209" s="17" t="str">
        <f aca="false">IF((E209="p"),H209," ")</f>
        <v> </v>
      </c>
      <c r="V209" s="17" t="str">
        <f aca="false">IF((E209="t"),H209," ")</f>
        <v> </v>
      </c>
      <c r="W209" s="17" t="str">
        <f aca="false">IF((E209="q"),H209," ")</f>
        <v> </v>
      </c>
      <c r="X209" s="17" t="str">
        <f aca="false">IF((E209="m"),H209," ")</f>
        <v> </v>
      </c>
      <c r="Y209" s="17" t="str">
        <f aca="false">IF((E209="u"),H209," ")</f>
        <v> </v>
      </c>
      <c r="Z209" s="17" t="str">
        <f aca="false">IF((E209="a"),H209," ")</f>
        <v> </v>
      </c>
      <c r="AA209" s="17" t="str">
        <f aca="false">IF((E209="g"),H209," ")</f>
        <v> </v>
      </c>
      <c r="AB209" s="17" t="str">
        <f aca="false">IF((E209="h"),H209," ")</f>
        <v> </v>
      </c>
      <c r="AC209" s="30" t="str">
        <f aca="false">IF((E209="v"),H209," ")</f>
        <v> </v>
      </c>
      <c r="AD209" s="30" t="str">
        <f aca="false">IF((E209="n"),H209," ")</f>
        <v> </v>
      </c>
      <c r="AE209" s="17" t="str">
        <f aca="false">IF((E209="f"),H209," ")</f>
        <v> </v>
      </c>
      <c r="AF209" s="17" t="str">
        <f aca="false">IF((E209="l"),H209," ")</f>
        <v> </v>
      </c>
      <c r="AG209" s="17" t="str">
        <f aca="false">IF((E209="y"),H209," ")</f>
        <v> </v>
      </c>
      <c r="AH209" s="17" t="str">
        <f aca="false">IF((E209="z"),H209," ")</f>
        <v> </v>
      </c>
      <c r="AI209" s="17" t="str">
        <f aca="false">IF((E209="fa"),H209," ")</f>
        <v> </v>
      </c>
      <c r="AJ209" s="17" t="str">
        <f aca="false">IF((E209="e"),H209," ")</f>
        <v> </v>
      </c>
    </row>
    <row r="210" customFormat="false" ht="12" hidden="false" customHeight="false" outlineLevel="0" collapsed="false">
      <c r="A210" s="28"/>
      <c r="E210" s="2" t="str">
        <f aca="false">IF((F210&lt;&gt;0),"Enter Letter"," ")</f>
        <v> </v>
      </c>
      <c r="F210" s="30"/>
      <c r="G210" s="6" t="str">
        <f aca="false">IF(F210&lt;&gt;0,F210*G$2/(100+G$2)," ")</f>
        <v> </v>
      </c>
      <c r="H210" s="6" t="str">
        <f aca="false">IF((F210&lt;&gt;0),F210-G210," ")</f>
        <v> </v>
      </c>
      <c r="I210" s="5"/>
      <c r="L210" s="7" t="str">
        <f aca="false">IF(F210&lt;&gt;0,F210-K210," ")</f>
        <v> </v>
      </c>
      <c r="M210" s="8" t="str">
        <f aca="false">IF((F210-K210)&lt;&gt;0,M$1-A210," ")</f>
        <v> </v>
      </c>
      <c r="N210" s="5"/>
      <c r="O210" s="17" t="str">
        <f aca="false">IF((E210="s"),H210," ")</f>
        <v> </v>
      </c>
      <c r="P210" s="17" t="str">
        <f aca="false">IF((E210="c"),H210," ")</f>
        <v> </v>
      </c>
      <c r="Q210" s="17" t="str">
        <f aca="false">IF((E210="o"),H210," ")</f>
        <v> </v>
      </c>
      <c r="R210" s="17" t="str">
        <f aca="false">IF((E210="d"),H210," ")</f>
        <v> </v>
      </c>
      <c r="S210" s="17" t="str">
        <f aca="false">IF((E210="w"),H210," ")</f>
        <v> </v>
      </c>
      <c r="T210" s="17" t="str">
        <f aca="false">IF((E210="r"),H210," ")</f>
        <v> </v>
      </c>
      <c r="U210" s="17" t="str">
        <f aca="false">IF((E210="p"),H210," ")</f>
        <v> </v>
      </c>
      <c r="V210" s="17" t="str">
        <f aca="false">IF((E210="t"),H210," ")</f>
        <v> </v>
      </c>
      <c r="W210" s="17" t="str">
        <f aca="false">IF((E210="q"),H210," ")</f>
        <v> </v>
      </c>
      <c r="X210" s="17" t="str">
        <f aca="false">IF((E210="m"),H210," ")</f>
        <v> </v>
      </c>
      <c r="Y210" s="17" t="str">
        <f aca="false">IF((E210="u"),H210," ")</f>
        <v> </v>
      </c>
      <c r="Z210" s="17" t="str">
        <f aca="false">IF((E210="a"),H210," ")</f>
        <v> </v>
      </c>
      <c r="AA210" s="17" t="str">
        <f aca="false">IF((E210="g"),H210," ")</f>
        <v> </v>
      </c>
      <c r="AB210" s="17" t="str">
        <f aca="false">IF((E210="h"),H210," ")</f>
        <v> </v>
      </c>
      <c r="AC210" s="30" t="str">
        <f aca="false">IF((E210="v"),H210," ")</f>
        <v> </v>
      </c>
      <c r="AD210" s="30" t="str">
        <f aca="false">IF((E210="n"),H210," ")</f>
        <v> </v>
      </c>
      <c r="AE210" s="17" t="str">
        <f aca="false">IF((E210="f"),H210," ")</f>
        <v> </v>
      </c>
      <c r="AF210" s="17" t="str">
        <f aca="false">IF((E210="l"),H210," ")</f>
        <v> </v>
      </c>
      <c r="AG210" s="17" t="str">
        <f aca="false">IF((E210="y"),H210," ")</f>
        <v> </v>
      </c>
      <c r="AH210" s="17" t="str">
        <f aca="false">IF((E210="z"),H210," ")</f>
        <v> </v>
      </c>
      <c r="AI210" s="17" t="str">
        <f aca="false">IF((E210="fa"),H210," ")</f>
        <v> </v>
      </c>
      <c r="AJ210" s="17" t="str">
        <f aca="false">IF((E210="e"),H210," ")</f>
        <v> </v>
      </c>
    </row>
    <row r="211" customFormat="false" ht="12" hidden="false" customHeight="false" outlineLevel="0" collapsed="false">
      <c r="A211" s="28"/>
      <c r="E211" s="2" t="str">
        <f aca="false">IF((F211&lt;&gt;0),"Enter Letter"," ")</f>
        <v> </v>
      </c>
      <c r="F211" s="30"/>
      <c r="G211" s="6" t="str">
        <f aca="false">IF(F211&lt;&gt;0,F211*G$2/(100+G$2)," ")</f>
        <v> </v>
      </c>
      <c r="H211" s="6" t="str">
        <f aca="false">IF((F211&lt;&gt;0),F211-G211," ")</f>
        <v> </v>
      </c>
      <c r="I211" s="5"/>
      <c r="L211" s="7" t="str">
        <f aca="false">IF(F211&lt;&gt;0,F211-K211," ")</f>
        <v> </v>
      </c>
      <c r="M211" s="8" t="str">
        <f aca="false">IF((F211-K211)&lt;&gt;0,M$1-A211," ")</f>
        <v> </v>
      </c>
      <c r="N211" s="5"/>
      <c r="O211" s="17" t="str">
        <f aca="false">IF((E211="s"),H211," ")</f>
        <v> </v>
      </c>
      <c r="P211" s="17" t="str">
        <f aca="false">IF((E211="c"),H211," ")</f>
        <v> </v>
      </c>
      <c r="Q211" s="17" t="str">
        <f aca="false">IF((E211="o"),H211," ")</f>
        <v> </v>
      </c>
      <c r="R211" s="17" t="str">
        <f aca="false">IF((E211="d"),H211," ")</f>
        <v> </v>
      </c>
      <c r="S211" s="17" t="str">
        <f aca="false">IF((E211="w"),H211," ")</f>
        <v> </v>
      </c>
      <c r="T211" s="17" t="str">
        <f aca="false">IF((E211="r"),H211," ")</f>
        <v> </v>
      </c>
      <c r="U211" s="17" t="str">
        <f aca="false">IF((E211="p"),H211," ")</f>
        <v> </v>
      </c>
      <c r="V211" s="17" t="str">
        <f aca="false">IF((E211="t"),H211," ")</f>
        <v> </v>
      </c>
      <c r="W211" s="17" t="str">
        <f aca="false">IF((E211="q"),H211," ")</f>
        <v> </v>
      </c>
      <c r="X211" s="17" t="str">
        <f aca="false">IF((E211="m"),H211," ")</f>
        <v> </v>
      </c>
      <c r="Y211" s="17" t="str">
        <f aca="false">IF((E211="u"),H211," ")</f>
        <v> </v>
      </c>
      <c r="Z211" s="17" t="str">
        <f aca="false">IF((E211="a"),H211," ")</f>
        <v> </v>
      </c>
      <c r="AA211" s="17" t="str">
        <f aca="false">IF((E211="g"),H211," ")</f>
        <v> </v>
      </c>
      <c r="AB211" s="17" t="str">
        <f aca="false">IF((E211="h"),H211," ")</f>
        <v> </v>
      </c>
      <c r="AC211" s="30" t="str">
        <f aca="false">IF((E211="v"),H211," ")</f>
        <v> </v>
      </c>
      <c r="AD211" s="30" t="str">
        <f aca="false">IF((E211="n"),H211," ")</f>
        <v> </v>
      </c>
      <c r="AE211" s="17" t="str">
        <f aca="false">IF((E211="f"),H211," ")</f>
        <v> </v>
      </c>
      <c r="AF211" s="17" t="str">
        <f aca="false">IF((E211="l"),H211," ")</f>
        <v> </v>
      </c>
      <c r="AG211" s="17" t="str">
        <f aca="false">IF((E211="y"),H211," ")</f>
        <v> </v>
      </c>
      <c r="AH211" s="17" t="str">
        <f aca="false">IF((E211="z"),H211," ")</f>
        <v> </v>
      </c>
      <c r="AI211" s="17" t="str">
        <f aca="false">IF((E211="fa"),H211," ")</f>
        <v> </v>
      </c>
      <c r="AJ211" s="17" t="str">
        <f aca="false">IF((E211="e"),H211," ")</f>
        <v> </v>
      </c>
    </row>
    <row r="212" customFormat="false" ht="12" hidden="false" customHeight="false" outlineLevel="0" collapsed="false">
      <c r="A212" s="28"/>
      <c r="E212" s="2" t="str">
        <f aca="false">IF((F212&lt;&gt;0),"Enter Letter"," ")</f>
        <v> </v>
      </c>
      <c r="F212" s="30"/>
      <c r="G212" s="6" t="str">
        <f aca="false">IF(F212&lt;&gt;0,F212*G$2/(100+G$2)," ")</f>
        <v> </v>
      </c>
      <c r="H212" s="6" t="str">
        <f aca="false">IF((F212&lt;&gt;0),F212-G212," ")</f>
        <v> </v>
      </c>
      <c r="I212" s="5"/>
      <c r="L212" s="7" t="str">
        <f aca="false">IF(F212&lt;&gt;0,F212-K212," ")</f>
        <v> </v>
      </c>
      <c r="M212" s="8" t="str">
        <f aca="false">IF((F212-K212)&lt;&gt;0,M$1-A212," ")</f>
        <v> </v>
      </c>
      <c r="N212" s="5"/>
      <c r="O212" s="17" t="str">
        <f aca="false">IF((E212="s"),H212," ")</f>
        <v> </v>
      </c>
      <c r="P212" s="17" t="str">
        <f aca="false">IF((E212="c"),H212," ")</f>
        <v> </v>
      </c>
      <c r="Q212" s="17" t="str">
        <f aca="false">IF((E212="o"),H212," ")</f>
        <v> </v>
      </c>
      <c r="R212" s="17" t="str">
        <f aca="false">IF((E212="d"),H212," ")</f>
        <v> </v>
      </c>
      <c r="S212" s="17" t="str">
        <f aca="false">IF((E212="w"),H212," ")</f>
        <v> </v>
      </c>
      <c r="T212" s="17" t="str">
        <f aca="false">IF((E212="r"),H212," ")</f>
        <v> </v>
      </c>
      <c r="U212" s="17" t="str">
        <f aca="false">IF((E212="p"),H212," ")</f>
        <v> </v>
      </c>
      <c r="V212" s="17" t="str">
        <f aca="false">IF((E212="t"),H212," ")</f>
        <v> </v>
      </c>
      <c r="W212" s="17" t="str">
        <f aca="false">IF((E212="q"),H212," ")</f>
        <v> </v>
      </c>
      <c r="X212" s="17" t="str">
        <f aca="false">IF((E212="m"),H212," ")</f>
        <v> </v>
      </c>
      <c r="Y212" s="17" t="str">
        <f aca="false">IF((E212="u"),H212," ")</f>
        <v> </v>
      </c>
      <c r="Z212" s="17" t="str">
        <f aca="false">IF((E212="a"),H212," ")</f>
        <v> </v>
      </c>
      <c r="AA212" s="17" t="str">
        <f aca="false">IF((E212="g"),H212," ")</f>
        <v> </v>
      </c>
      <c r="AB212" s="17" t="str">
        <f aca="false">IF((E212="h"),H212," ")</f>
        <v> </v>
      </c>
      <c r="AC212" s="30" t="str">
        <f aca="false">IF((E212="v"),H212," ")</f>
        <v> </v>
      </c>
      <c r="AD212" s="30" t="str">
        <f aca="false">IF((E212="n"),H212," ")</f>
        <v> </v>
      </c>
      <c r="AE212" s="17" t="str">
        <f aca="false">IF((E212="f"),H212," ")</f>
        <v> </v>
      </c>
      <c r="AF212" s="17" t="str">
        <f aca="false">IF((E212="l"),H212," ")</f>
        <v> </v>
      </c>
      <c r="AG212" s="17" t="str">
        <f aca="false">IF((E212="y"),H212," ")</f>
        <v> </v>
      </c>
      <c r="AH212" s="17" t="str">
        <f aca="false">IF((E212="z"),H212," ")</f>
        <v> </v>
      </c>
      <c r="AI212" s="17" t="str">
        <f aca="false">IF((E212="fa"),H212," ")</f>
        <v> </v>
      </c>
      <c r="AJ212" s="17" t="str">
        <f aca="false">IF((E212="e"),H212," ")</f>
        <v> </v>
      </c>
    </row>
    <row r="213" customFormat="false" ht="12" hidden="false" customHeight="false" outlineLevel="0" collapsed="false">
      <c r="A213" s="28"/>
      <c r="E213" s="2" t="str">
        <f aca="false">IF((F213&lt;&gt;0),"Enter Letter"," ")</f>
        <v> </v>
      </c>
      <c r="F213" s="30"/>
      <c r="G213" s="6" t="str">
        <f aca="false">IF(F213&lt;&gt;0,F213*G$2/(100+G$2)," ")</f>
        <v> </v>
      </c>
      <c r="H213" s="6" t="str">
        <f aca="false">IF((F213&lt;&gt;0),F213-G213," ")</f>
        <v> </v>
      </c>
      <c r="I213" s="5"/>
      <c r="L213" s="7" t="str">
        <f aca="false">IF(F213&lt;&gt;0,F213-K213," ")</f>
        <v> </v>
      </c>
      <c r="M213" s="8" t="str">
        <f aca="false">IF((F213-K213)&lt;&gt;0,M$1-A213," ")</f>
        <v> </v>
      </c>
      <c r="N213" s="5"/>
      <c r="O213" s="17" t="str">
        <f aca="false">IF((E213="s"),H213," ")</f>
        <v> </v>
      </c>
      <c r="P213" s="17" t="str">
        <f aca="false">IF((E213="c"),H213," ")</f>
        <v> </v>
      </c>
      <c r="Q213" s="17" t="str">
        <f aca="false">IF((E213="o"),H213," ")</f>
        <v> </v>
      </c>
      <c r="R213" s="17" t="str">
        <f aca="false">IF((E213="d"),H213," ")</f>
        <v> </v>
      </c>
      <c r="S213" s="17" t="str">
        <f aca="false">IF((E213="w"),H213," ")</f>
        <v> </v>
      </c>
      <c r="T213" s="17" t="str">
        <f aca="false">IF((E213="r"),H213," ")</f>
        <v> </v>
      </c>
      <c r="U213" s="17" t="str">
        <f aca="false">IF((E213="p"),H213," ")</f>
        <v> </v>
      </c>
      <c r="V213" s="17" t="str">
        <f aca="false">IF((E213="t"),H213," ")</f>
        <v> </v>
      </c>
      <c r="W213" s="17" t="str">
        <f aca="false">IF((E213="q"),H213," ")</f>
        <v> </v>
      </c>
      <c r="X213" s="17" t="str">
        <f aca="false">IF((E213="m"),H213," ")</f>
        <v> </v>
      </c>
      <c r="Y213" s="17" t="str">
        <f aca="false">IF((E213="u"),H213," ")</f>
        <v> </v>
      </c>
      <c r="Z213" s="17" t="str">
        <f aca="false">IF((E213="a"),H213," ")</f>
        <v> </v>
      </c>
      <c r="AA213" s="17" t="str">
        <f aca="false">IF((E213="g"),H213," ")</f>
        <v> </v>
      </c>
      <c r="AB213" s="17" t="str">
        <f aca="false">IF((E213="h"),H213," ")</f>
        <v> </v>
      </c>
      <c r="AC213" s="30" t="str">
        <f aca="false">IF((E213="v"),H213," ")</f>
        <v> </v>
      </c>
      <c r="AD213" s="30" t="str">
        <f aca="false">IF((E213="n"),H213," ")</f>
        <v> </v>
      </c>
      <c r="AE213" s="17" t="str">
        <f aca="false">IF((E213="f"),H213," ")</f>
        <v> </v>
      </c>
      <c r="AF213" s="17" t="str">
        <f aca="false">IF((E213="l"),H213," ")</f>
        <v> </v>
      </c>
      <c r="AG213" s="17" t="str">
        <f aca="false">IF((E213="y"),H213," ")</f>
        <v> </v>
      </c>
      <c r="AH213" s="17" t="str">
        <f aca="false">IF((E213="z"),H213," ")</f>
        <v> </v>
      </c>
      <c r="AI213" s="17" t="str">
        <f aca="false">IF((E213="fa"),H213," ")</f>
        <v> </v>
      </c>
      <c r="AJ213" s="17" t="str">
        <f aca="false">IF((E213="e"),H213," ")</f>
        <v> </v>
      </c>
    </row>
    <row r="214" customFormat="false" ht="12" hidden="false" customHeight="false" outlineLevel="0" collapsed="false">
      <c r="A214" s="28"/>
      <c r="E214" s="2" t="str">
        <f aca="false">IF((F214&lt;&gt;0),"Enter Letter"," ")</f>
        <v> </v>
      </c>
      <c r="F214" s="30"/>
      <c r="G214" s="6" t="str">
        <f aca="false">IF(F214&lt;&gt;0,F214*G$2/(100+G$2)," ")</f>
        <v> </v>
      </c>
      <c r="H214" s="6" t="str">
        <f aca="false">IF((F214&lt;&gt;0),F214-G214," ")</f>
        <v> </v>
      </c>
      <c r="I214" s="5"/>
      <c r="L214" s="7" t="str">
        <f aca="false">IF(F214&lt;&gt;0,F214-K214," ")</f>
        <v> </v>
      </c>
      <c r="M214" s="8" t="str">
        <f aca="false">IF((F214-K214)&lt;&gt;0,M$1-A214," ")</f>
        <v> </v>
      </c>
      <c r="N214" s="5"/>
      <c r="O214" s="17" t="str">
        <f aca="false">IF((E214="s"),H214," ")</f>
        <v> </v>
      </c>
      <c r="P214" s="17" t="str">
        <f aca="false">IF((E214="c"),H214," ")</f>
        <v> </v>
      </c>
      <c r="Q214" s="17" t="str">
        <f aca="false">IF((E214="o"),H214," ")</f>
        <v> </v>
      </c>
      <c r="R214" s="17" t="str">
        <f aca="false">IF((E214="d"),H214," ")</f>
        <v> </v>
      </c>
      <c r="S214" s="17" t="str">
        <f aca="false">IF((E214="w"),H214," ")</f>
        <v> </v>
      </c>
      <c r="T214" s="17" t="str">
        <f aca="false">IF((E214="r"),H214," ")</f>
        <v> </v>
      </c>
      <c r="U214" s="17" t="str">
        <f aca="false">IF((E214="p"),H214," ")</f>
        <v> </v>
      </c>
      <c r="V214" s="17" t="str">
        <f aca="false">IF((E214="t"),H214," ")</f>
        <v> </v>
      </c>
      <c r="W214" s="17" t="str">
        <f aca="false">IF((E214="q"),H214," ")</f>
        <v> </v>
      </c>
      <c r="X214" s="17" t="str">
        <f aca="false">IF((E214="m"),H214," ")</f>
        <v> </v>
      </c>
      <c r="Y214" s="17" t="str">
        <f aca="false">IF((E214="u"),H214," ")</f>
        <v> </v>
      </c>
      <c r="Z214" s="17" t="str">
        <f aca="false">IF((E214="a"),H214," ")</f>
        <v> </v>
      </c>
      <c r="AA214" s="17" t="str">
        <f aca="false">IF((E214="g"),H214," ")</f>
        <v> </v>
      </c>
      <c r="AB214" s="17" t="str">
        <f aca="false">IF((E214="h"),H214," ")</f>
        <v> </v>
      </c>
      <c r="AC214" s="30" t="str">
        <f aca="false">IF((E214="v"),H214," ")</f>
        <v> </v>
      </c>
      <c r="AD214" s="30" t="str">
        <f aca="false">IF((E214="n"),H214," ")</f>
        <v> </v>
      </c>
      <c r="AE214" s="17" t="str">
        <f aca="false">IF((E214="f"),H214," ")</f>
        <v> </v>
      </c>
      <c r="AF214" s="17" t="str">
        <f aca="false">IF((E214="l"),H214," ")</f>
        <v> </v>
      </c>
      <c r="AG214" s="17" t="str">
        <f aca="false">IF((E214="y"),H214," ")</f>
        <v> </v>
      </c>
      <c r="AH214" s="17" t="str">
        <f aca="false">IF((E214="z"),H214," ")</f>
        <v> </v>
      </c>
      <c r="AI214" s="17" t="str">
        <f aca="false">IF((E214="fa"),H214," ")</f>
        <v> </v>
      </c>
      <c r="AJ214" s="17" t="str">
        <f aca="false">IF((E214="e"),H214," ")</f>
        <v> </v>
      </c>
    </row>
    <row r="215" customFormat="false" ht="12" hidden="false" customHeight="false" outlineLevel="0" collapsed="false">
      <c r="A215" s="28"/>
      <c r="E215" s="2" t="str">
        <f aca="false">IF((F215&lt;&gt;0),"Enter Letter"," ")</f>
        <v> </v>
      </c>
      <c r="F215" s="30"/>
      <c r="G215" s="6" t="str">
        <f aca="false">IF(F215&lt;&gt;0,F215*G$2/(100+G$2)," ")</f>
        <v> </v>
      </c>
      <c r="H215" s="6" t="str">
        <f aca="false">IF((F215&lt;&gt;0),F215-G215," ")</f>
        <v> </v>
      </c>
      <c r="I215" s="5"/>
      <c r="L215" s="7" t="str">
        <f aca="false">IF(F215&lt;&gt;0,F215-K215," ")</f>
        <v> </v>
      </c>
      <c r="M215" s="8" t="str">
        <f aca="false">IF((F215-K215)&lt;&gt;0,M$1-A215," ")</f>
        <v> </v>
      </c>
      <c r="N215" s="5"/>
      <c r="O215" s="17" t="str">
        <f aca="false">IF((E215="s"),H215," ")</f>
        <v> </v>
      </c>
      <c r="P215" s="17" t="str">
        <f aca="false">IF((E215="c"),H215," ")</f>
        <v> </v>
      </c>
      <c r="Q215" s="17" t="str">
        <f aca="false">IF((E215="o"),H215," ")</f>
        <v> </v>
      </c>
      <c r="R215" s="17" t="str">
        <f aca="false">IF((E215="d"),H215," ")</f>
        <v> </v>
      </c>
      <c r="S215" s="17" t="str">
        <f aca="false">IF((E215="w"),H215," ")</f>
        <v> </v>
      </c>
      <c r="T215" s="17" t="str">
        <f aca="false">IF((E215="r"),H215," ")</f>
        <v> </v>
      </c>
      <c r="U215" s="17" t="str">
        <f aca="false">IF((E215="p"),H215," ")</f>
        <v> </v>
      </c>
      <c r="V215" s="17" t="str">
        <f aca="false">IF((E215="t"),H215," ")</f>
        <v> </v>
      </c>
      <c r="W215" s="17" t="str">
        <f aca="false">IF((E215="q"),H215," ")</f>
        <v> </v>
      </c>
      <c r="X215" s="17" t="str">
        <f aca="false">IF((E215="m"),H215," ")</f>
        <v> </v>
      </c>
      <c r="Y215" s="17" t="str">
        <f aca="false">IF((E215="u"),H215," ")</f>
        <v> </v>
      </c>
      <c r="Z215" s="17" t="str">
        <f aca="false">IF((E215="a"),H215," ")</f>
        <v> </v>
      </c>
      <c r="AA215" s="17" t="str">
        <f aca="false">IF((E215="g"),H215," ")</f>
        <v> </v>
      </c>
      <c r="AB215" s="17" t="str">
        <f aca="false">IF((E215="h"),H215," ")</f>
        <v> </v>
      </c>
      <c r="AC215" s="30" t="str">
        <f aca="false">IF((E215="v"),H215," ")</f>
        <v> </v>
      </c>
      <c r="AD215" s="30" t="str">
        <f aca="false">IF((E215="n"),H215," ")</f>
        <v> </v>
      </c>
      <c r="AE215" s="17" t="str">
        <f aca="false">IF((E215="f"),H215," ")</f>
        <v> </v>
      </c>
      <c r="AF215" s="17" t="str">
        <f aca="false">IF((E215="l"),H215," ")</f>
        <v> </v>
      </c>
      <c r="AG215" s="17" t="str">
        <f aca="false">IF((E215="y"),H215," ")</f>
        <v> </v>
      </c>
      <c r="AH215" s="17" t="str">
        <f aca="false">IF((E215="z"),H215," ")</f>
        <v> </v>
      </c>
      <c r="AI215" s="17" t="str">
        <f aca="false">IF((E215="fa"),H215," ")</f>
        <v> </v>
      </c>
      <c r="AJ215" s="17" t="str">
        <f aca="false">IF((E215="e"),H215," ")</f>
        <v> </v>
      </c>
    </row>
    <row r="216" customFormat="false" ht="12" hidden="false" customHeight="false" outlineLevel="0" collapsed="false">
      <c r="A216" s="28"/>
      <c r="E216" s="2" t="str">
        <f aca="false">IF((F216&lt;&gt;0),"Enter Letter"," ")</f>
        <v> </v>
      </c>
      <c r="F216" s="30"/>
      <c r="G216" s="6" t="str">
        <f aca="false">IF(F216&lt;&gt;0,F216*G$2/(100+G$2)," ")</f>
        <v> </v>
      </c>
      <c r="H216" s="6" t="str">
        <f aca="false">IF((F216&lt;&gt;0),F216-G216," ")</f>
        <v> </v>
      </c>
      <c r="I216" s="5"/>
      <c r="L216" s="7" t="str">
        <f aca="false">IF(F216&lt;&gt;0,F216-K216," ")</f>
        <v> </v>
      </c>
      <c r="M216" s="8" t="str">
        <f aca="false">IF((F216-K216)&lt;&gt;0,M$1-A216," ")</f>
        <v> </v>
      </c>
      <c r="N216" s="5"/>
      <c r="O216" s="17" t="str">
        <f aca="false">IF((E216="s"),H216," ")</f>
        <v> </v>
      </c>
      <c r="P216" s="17" t="str">
        <f aca="false">IF((E216="c"),H216," ")</f>
        <v> </v>
      </c>
      <c r="Q216" s="17" t="str">
        <f aca="false">IF((E216="o"),H216," ")</f>
        <v> </v>
      </c>
      <c r="R216" s="17" t="str">
        <f aca="false">IF((E216="d"),H216," ")</f>
        <v> </v>
      </c>
      <c r="S216" s="17" t="str">
        <f aca="false">IF((E216="w"),H216," ")</f>
        <v> </v>
      </c>
      <c r="T216" s="17" t="str">
        <f aca="false">IF((E216="r"),H216," ")</f>
        <v> </v>
      </c>
      <c r="U216" s="17" t="str">
        <f aca="false">IF((E216="p"),H216," ")</f>
        <v> </v>
      </c>
      <c r="V216" s="17" t="str">
        <f aca="false">IF((E216="t"),H216," ")</f>
        <v> </v>
      </c>
      <c r="W216" s="17" t="str">
        <f aca="false">IF((E216="q"),H216," ")</f>
        <v> </v>
      </c>
      <c r="X216" s="17" t="str">
        <f aca="false">IF((E216="m"),H216," ")</f>
        <v> </v>
      </c>
      <c r="Y216" s="17" t="str">
        <f aca="false">IF((E216="u"),H216," ")</f>
        <v> </v>
      </c>
      <c r="Z216" s="17" t="str">
        <f aca="false">IF((E216="a"),H216," ")</f>
        <v> </v>
      </c>
      <c r="AA216" s="17" t="str">
        <f aca="false">IF((E216="g"),H216," ")</f>
        <v> </v>
      </c>
      <c r="AB216" s="17" t="str">
        <f aca="false">IF((E216="h"),H216," ")</f>
        <v> </v>
      </c>
      <c r="AC216" s="30" t="str">
        <f aca="false">IF((E216="v"),H216," ")</f>
        <v> </v>
      </c>
      <c r="AD216" s="30" t="str">
        <f aca="false">IF((E216="n"),H216," ")</f>
        <v> </v>
      </c>
      <c r="AE216" s="17" t="str">
        <f aca="false">IF((E216="f"),H216," ")</f>
        <v> </v>
      </c>
      <c r="AF216" s="17" t="str">
        <f aca="false">IF((E216="l"),H216," ")</f>
        <v> </v>
      </c>
      <c r="AG216" s="17" t="str">
        <f aca="false">IF((E216="y"),H216," ")</f>
        <v> </v>
      </c>
      <c r="AH216" s="17" t="str">
        <f aca="false">IF((E216="z"),H216," ")</f>
        <v> </v>
      </c>
      <c r="AI216" s="17" t="str">
        <f aca="false">IF((E216="fa"),H216," ")</f>
        <v> </v>
      </c>
      <c r="AJ216" s="17" t="str">
        <f aca="false">IF((E216="e"),H216," ")</f>
        <v> </v>
      </c>
    </row>
    <row r="217" customFormat="false" ht="12" hidden="false" customHeight="false" outlineLevel="0" collapsed="false">
      <c r="A217" s="28"/>
      <c r="E217" s="2" t="str">
        <f aca="false">IF((F217&lt;&gt;0),"Enter Letter"," ")</f>
        <v> </v>
      </c>
      <c r="F217" s="30"/>
      <c r="G217" s="6" t="str">
        <f aca="false">IF(F217&lt;&gt;0,F217*G$2/(100+G$2)," ")</f>
        <v> </v>
      </c>
      <c r="H217" s="6" t="str">
        <f aca="false">IF((F217&lt;&gt;0),F217-G217," ")</f>
        <v> </v>
      </c>
      <c r="I217" s="5"/>
      <c r="L217" s="7" t="str">
        <f aca="false">IF(F217&lt;&gt;0,F217-K217," ")</f>
        <v> </v>
      </c>
      <c r="M217" s="8" t="str">
        <f aca="false">IF((F217-K217)&lt;&gt;0,M$1-A217," ")</f>
        <v> </v>
      </c>
      <c r="N217" s="5"/>
      <c r="O217" s="17" t="str">
        <f aca="false">IF((E217="s"),H217," ")</f>
        <v> </v>
      </c>
      <c r="P217" s="17" t="str">
        <f aca="false">IF((E217="c"),H217," ")</f>
        <v> </v>
      </c>
      <c r="Q217" s="17" t="str">
        <f aca="false">IF((E217="o"),H217," ")</f>
        <v> </v>
      </c>
      <c r="R217" s="17" t="str">
        <f aca="false">IF((E217="d"),H217," ")</f>
        <v> </v>
      </c>
      <c r="S217" s="17" t="str">
        <f aca="false">IF((E217="w"),H217," ")</f>
        <v> </v>
      </c>
      <c r="T217" s="17" t="str">
        <f aca="false">IF((E217="r"),H217," ")</f>
        <v> </v>
      </c>
      <c r="U217" s="17" t="str">
        <f aca="false">IF((E217="p"),H217," ")</f>
        <v> </v>
      </c>
      <c r="V217" s="17" t="str">
        <f aca="false">IF((E217="t"),H217," ")</f>
        <v> </v>
      </c>
      <c r="W217" s="17" t="str">
        <f aca="false">IF((E217="q"),H217," ")</f>
        <v> </v>
      </c>
      <c r="X217" s="17" t="str">
        <f aca="false">IF((E217="m"),H217," ")</f>
        <v> </v>
      </c>
      <c r="Y217" s="17" t="str">
        <f aca="false">IF((E217="u"),H217," ")</f>
        <v> </v>
      </c>
      <c r="Z217" s="17" t="str">
        <f aca="false">IF((E217="a"),H217," ")</f>
        <v> </v>
      </c>
      <c r="AA217" s="17" t="str">
        <f aca="false">IF((E217="g"),H217," ")</f>
        <v> </v>
      </c>
      <c r="AB217" s="17" t="str">
        <f aca="false">IF((E217="h"),H217," ")</f>
        <v> </v>
      </c>
      <c r="AC217" s="30" t="str">
        <f aca="false">IF((E217="v"),H217," ")</f>
        <v> </v>
      </c>
      <c r="AD217" s="30" t="str">
        <f aca="false">IF((E217="n"),H217," ")</f>
        <v> </v>
      </c>
      <c r="AE217" s="17" t="str">
        <f aca="false">IF((E217="f"),H217," ")</f>
        <v> </v>
      </c>
      <c r="AF217" s="17" t="str">
        <f aca="false">IF((E217="l"),H217," ")</f>
        <v> </v>
      </c>
      <c r="AG217" s="17" t="str">
        <f aca="false">IF((E217="y"),H217," ")</f>
        <v> </v>
      </c>
      <c r="AH217" s="17" t="str">
        <f aca="false">IF((E217="z"),H217," ")</f>
        <v> </v>
      </c>
      <c r="AI217" s="17" t="str">
        <f aca="false">IF((E217="fa"),H217," ")</f>
        <v> </v>
      </c>
      <c r="AJ217" s="17" t="str">
        <f aca="false">IF((E217="e"),H217," ")</f>
        <v> </v>
      </c>
    </row>
    <row r="218" customFormat="false" ht="12" hidden="false" customHeight="false" outlineLevel="0" collapsed="false">
      <c r="A218" s="28"/>
      <c r="E218" s="2" t="str">
        <f aca="false">IF((F218&lt;&gt;0),"Enter Letter"," ")</f>
        <v> </v>
      </c>
      <c r="F218" s="30"/>
      <c r="G218" s="6" t="str">
        <f aca="false">IF(F218&lt;&gt;0,F218*G$2/(100+G$2)," ")</f>
        <v> </v>
      </c>
      <c r="H218" s="6" t="str">
        <f aca="false">IF((F218&lt;&gt;0),F218-G218," ")</f>
        <v> </v>
      </c>
      <c r="I218" s="5"/>
      <c r="L218" s="7" t="str">
        <f aca="false">IF(F218&lt;&gt;0,F218-K218," ")</f>
        <v> </v>
      </c>
      <c r="M218" s="8" t="str">
        <f aca="false">IF((F218-K218)&lt;&gt;0,M$1-A218," ")</f>
        <v> </v>
      </c>
      <c r="N218" s="5"/>
      <c r="O218" s="17" t="str">
        <f aca="false">IF((E218="s"),H218," ")</f>
        <v> </v>
      </c>
      <c r="P218" s="17" t="str">
        <f aca="false">IF((E218="c"),H218," ")</f>
        <v> </v>
      </c>
      <c r="Q218" s="17" t="str">
        <f aca="false">IF((E218="o"),H218," ")</f>
        <v> </v>
      </c>
      <c r="R218" s="17" t="str">
        <f aca="false">IF((E218="d"),H218," ")</f>
        <v> </v>
      </c>
      <c r="S218" s="17" t="str">
        <f aca="false">IF((E218="w"),H218," ")</f>
        <v> </v>
      </c>
      <c r="T218" s="17" t="str">
        <f aca="false">IF((E218="r"),H218," ")</f>
        <v> </v>
      </c>
      <c r="U218" s="17" t="str">
        <f aca="false">IF((E218="p"),H218," ")</f>
        <v> </v>
      </c>
      <c r="V218" s="17" t="str">
        <f aca="false">IF((E218="t"),H218," ")</f>
        <v> </v>
      </c>
      <c r="W218" s="17" t="str">
        <f aca="false">IF((E218="q"),H218," ")</f>
        <v> </v>
      </c>
      <c r="X218" s="17" t="str">
        <f aca="false">IF((E218="m"),H218," ")</f>
        <v> </v>
      </c>
      <c r="Y218" s="17" t="str">
        <f aca="false">IF((E218="u"),H218," ")</f>
        <v> </v>
      </c>
      <c r="Z218" s="17" t="str">
        <f aca="false">IF((E218="a"),H218," ")</f>
        <v> </v>
      </c>
      <c r="AA218" s="17" t="str">
        <f aca="false">IF((E218="g"),H218," ")</f>
        <v> </v>
      </c>
      <c r="AB218" s="17" t="str">
        <f aca="false">IF((E218="h"),H218," ")</f>
        <v> </v>
      </c>
      <c r="AC218" s="30" t="str">
        <f aca="false">IF((E218="v"),H218," ")</f>
        <v> </v>
      </c>
      <c r="AD218" s="30" t="str">
        <f aca="false">IF((E218="n"),H218," ")</f>
        <v> </v>
      </c>
      <c r="AE218" s="17" t="str">
        <f aca="false">IF((E218="f"),H218," ")</f>
        <v> </v>
      </c>
      <c r="AF218" s="17" t="str">
        <f aca="false">IF((E218="l"),H218," ")</f>
        <v> </v>
      </c>
      <c r="AG218" s="17" t="str">
        <f aca="false">IF((E218="y"),H218," ")</f>
        <v> </v>
      </c>
      <c r="AH218" s="17" t="str">
        <f aca="false">IF((E218="z"),H218," ")</f>
        <v> </v>
      </c>
      <c r="AI218" s="17" t="str">
        <f aca="false">IF((E218="fa"),H218," ")</f>
        <v> </v>
      </c>
      <c r="AJ218" s="17" t="str">
        <f aca="false">IF((E218="e"),H218," ")</f>
        <v> </v>
      </c>
    </row>
    <row r="219" customFormat="false" ht="12" hidden="false" customHeight="false" outlineLevel="0" collapsed="false">
      <c r="A219" s="28"/>
      <c r="E219" s="2" t="str">
        <f aca="false">IF((F219&lt;&gt;0),"Enter Letter"," ")</f>
        <v> </v>
      </c>
      <c r="F219" s="30"/>
      <c r="G219" s="6" t="str">
        <f aca="false">IF(F219&lt;&gt;0,F219*G$2/(100+G$2)," ")</f>
        <v> </v>
      </c>
      <c r="H219" s="6" t="str">
        <f aca="false">IF((F219&lt;&gt;0),F219-G219," ")</f>
        <v> </v>
      </c>
      <c r="I219" s="5"/>
      <c r="L219" s="7" t="str">
        <f aca="false">IF(F219&lt;&gt;0,F219-K219," ")</f>
        <v> </v>
      </c>
      <c r="M219" s="8" t="str">
        <f aca="false">IF((F219-K219)&lt;&gt;0,M$1-A219," ")</f>
        <v> </v>
      </c>
      <c r="N219" s="5"/>
      <c r="O219" s="17" t="str">
        <f aca="false">IF((E219="s"),H219," ")</f>
        <v> </v>
      </c>
      <c r="P219" s="17" t="str">
        <f aca="false">IF((E219="c"),H219," ")</f>
        <v> </v>
      </c>
      <c r="Q219" s="17" t="str">
        <f aca="false">IF((E219="o"),H219," ")</f>
        <v> </v>
      </c>
      <c r="R219" s="17" t="str">
        <f aca="false">IF((E219="d"),H219," ")</f>
        <v> </v>
      </c>
      <c r="S219" s="17" t="str">
        <f aca="false">IF((E219="w"),H219," ")</f>
        <v> </v>
      </c>
      <c r="T219" s="17" t="str">
        <f aca="false">IF((E219="r"),H219," ")</f>
        <v> </v>
      </c>
      <c r="U219" s="17" t="str">
        <f aca="false">IF((E219="p"),H219," ")</f>
        <v> </v>
      </c>
      <c r="V219" s="17" t="str">
        <f aca="false">IF((E219="t"),H219," ")</f>
        <v> </v>
      </c>
      <c r="W219" s="17" t="str">
        <f aca="false">IF((E219="q"),H219," ")</f>
        <v> </v>
      </c>
      <c r="X219" s="17" t="str">
        <f aca="false">IF((E219="m"),H219," ")</f>
        <v> </v>
      </c>
      <c r="Y219" s="17" t="str">
        <f aca="false">IF((E219="u"),H219," ")</f>
        <v> </v>
      </c>
      <c r="Z219" s="17" t="str">
        <f aca="false">IF((E219="a"),H219," ")</f>
        <v> </v>
      </c>
      <c r="AA219" s="17" t="str">
        <f aca="false">IF((E219="g"),H219," ")</f>
        <v> </v>
      </c>
      <c r="AB219" s="17" t="str">
        <f aca="false">IF((E219="h"),H219," ")</f>
        <v> </v>
      </c>
      <c r="AC219" s="30" t="str">
        <f aca="false">IF((E219="v"),H219," ")</f>
        <v> </v>
      </c>
      <c r="AD219" s="30" t="str">
        <f aca="false">IF((E219="n"),H219," ")</f>
        <v> </v>
      </c>
      <c r="AE219" s="17" t="str">
        <f aca="false">IF((E219="f"),H219," ")</f>
        <v> </v>
      </c>
      <c r="AF219" s="17" t="str">
        <f aca="false">IF((E219="l"),H219," ")</f>
        <v> </v>
      </c>
      <c r="AG219" s="17" t="str">
        <f aca="false">IF((E219="y"),H219," ")</f>
        <v> </v>
      </c>
      <c r="AH219" s="17" t="str">
        <f aca="false">IF((E219="z"),H219," ")</f>
        <v> </v>
      </c>
      <c r="AI219" s="17" t="str">
        <f aca="false">IF((E219="fa"),H219," ")</f>
        <v> </v>
      </c>
      <c r="AJ219" s="17" t="str">
        <f aca="false">IF((E219="e"),H219," ")</f>
        <v> </v>
      </c>
    </row>
    <row r="220" customFormat="false" ht="12" hidden="false" customHeight="false" outlineLevel="0" collapsed="false">
      <c r="A220" s="28"/>
      <c r="E220" s="2" t="str">
        <f aca="false">IF((F220&lt;&gt;0),"Enter Letter"," ")</f>
        <v> </v>
      </c>
      <c r="F220" s="30"/>
      <c r="G220" s="6" t="str">
        <f aca="false">IF(F220&lt;&gt;0,F220*G$2/(100+G$2)," ")</f>
        <v> </v>
      </c>
      <c r="H220" s="6" t="str">
        <f aca="false">IF((F220&lt;&gt;0),F220-G220," ")</f>
        <v> </v>
      </c>
      <c r="I220" s="5"/>
      <c r="L220" s="7" t="str">
        <f aca="false">IF(F220&lt;&gt;0,F220-K220," ")</f>
        <v> </v>
      </c>
      <c r="M220" s="8" t="str">
        <f aca="false">IF((F220-K220)&lt;&gt;0,M$1-A220," ")</f>
        <v> </v>
      </c>
      <c r="N220" s="5"/>
      <c r="O220" s="17" t="str">
        <f aca="false">IF((E220="s"),H220," ")</f>
        <v> </v>
      </c>
      <c r="P220" s="17" t="str">
        <f aca="false">IF((E220="c"),H220," ")</f>
        <v> </v>
      </c>
      <c r="Q220" s="17" t="str">
        <f aca="false">IF((E220="o"),H220," ")</f>
        <v> </v>
      </c>
      <c r="R220" s="17" t="str">
        <f aca="false">IF((E220="d"),H220," ")</f>
        <v> </v>
      </c>
      <c r="S220" s="17" t="str">
        <f aca="false">IF((E220="w"),H220," ")</f>
        <v> </v>
      </c>
      <c r="T220" s="17" t="str">
        <f aca="false">IF((E220="r"),H220," ")</f>
        <v> </v>
      </c>
      <c r="U220" s="17" t="str">
        <f aca="false">IF((E220="p"),H220," ")</f>
        <v> </v>
      </c>
      <c r="V220" s="17" t="str">
        <f aca="false">IF((E220="t"),H220," ")</f>
        <v> </v>
      </c>
      <c r="W220" s="17" t="str">
        <f aca="false">IF((E220="q"),H220," ")</f>
        <v> </v>
      </c>
      <c r="X220" s="17" t="str">
        <f aca="false">IF((E220="m"),H220," ")</f>
        <v> </v>
      </c>
      <c r="Y220" s="17" t="str">
        <f aca="false">IF((E220="u"),H220," ")</f>
        <v> </v>
      </c>
      <c r="Z220" s="17" t="str">
        <f aca="false">IF((E220="a"),H220," ")</f>
        <v> </v>
      </c>
      <c r="AA220" s="17" t="str">
        <f aca="false">IF((E220="g"),H220," ")</f>
        <v> </v>
      </c>
      <c r="AB220" s="17" t="str">
        <f aca="false">IF((E220="h"),H220," ")</f>
        <v> </v>
      </c>
      <c r="AC220" s="30" t="str">
        <f aca="false">IF((E220="v"),H220," ")</f>
        <v> </v>
      </c>
      <c r="AD220" s="30" t="str">
        <f aca="false">IF((E220="n"),H220," ")</f>
        <v> </v>
      </c>
      <c r="AE220" s="17" t="str">
        <f aca="false">IF((E220="f"),H220," ")</f>
        <v> </v>
      </c>
      <c r="AF220" s="17" t="str">
        <f aca="false">IF((E220="l"),H220," ")</f>
        <v> </v>
      </c>
      <c r="AG220" s="17" t="str">
        <f aca="false">IF((E220="y"),H220," ")</f>
        <v> </v>
      </c>
      <c r="AH220" s="17" t="str">
        <f aca="false">IF((E220="z"),H220," ")</f>
        <v> </v>
      </c>
      <c r="AI220" s="17" t="str">
        <f aca="false">IF((E220="fa"),H220," ")</f>
        <v> </v>
      </c>
      <c r="AJ220" s="17" t="str">
        <f aca="false">IF((E220="e"),H220," ")</f>
        <v> </v>
      </c>
    </row>
    <row r="221" customFormat="false" ht="12" hidden="false" customHeight="false" outlineLevel="0" collapsed="false">
      <c r="A221" s="28"/>
      <c r="E221" s="2" t="str">
        <f aca="false">IF((F221&lt;&gt;0),"Enter Letter"," ")</f>
        <v> </v>
      </c>
      <c r="F221" s="30"/>
      <c r="G221" s="6" t="str">
        <f aca="false">IF(F221&lt;&gt;0,F221*G$2/(100+G$2)," ")</f>
        <v> </v>
      </c>
      <c r="H221" s="6" t="str">
        <f aca="false">IF((F221&lt;&gt;0),F221-G221," ")</f>
        <v> </v>
      </c>
      <c r="I221" s="5"/>
      <c r="L221" s="7" t="str">
        <f aca="false">IF(F221&lt;&gt;0,F221-K221," ")</f>
        <v> </v>
      </c>
      <c r="M221" s="8" t="str">
        <f aca="false">IF((F221-K221)&lt;&gt;0,M$1-A221," ")</f>
        <v> </v>
      </c>
      <c r="N221" s="5"/>
      <c r="O221" s="17" t="str">
        <f aca="false">IF((E221="s"),H221," ")</f>
        <v> </v>
      </c>
      <c r="P221" s="17" t="str">
        <f aca="false">IF((E221="c"),H221," ")</f>
        <v> </v>
      </c>
      <c r="Q221" s="17" t="str">
        <f aca="false">IF((E221="o"),H221," ")</f>
        <v> </v>
      </c>
      <c r="R221" s="17" t="str">
        <f aca="false">IF((E221="d"),H221," ")</f>
        <v> </v>
      </c>
      <c r="S221" s="17" t="str">
        <f aca="false">IF((E221="w"),H221," ")</f>
        <v> </v>
      </c>
      <c r="T221" s="17" t="str">
        <f aca="false">IF((E221="r"),H221," ")</f>
        <v> </v>
      </c>
      <c r="U221" s="17" t="str">
        <f aca="false">IF((E221="p"),H221," ")</f>
        <v> </v>
      </c>
      <c r="V221" s="17" t="str">
        <f aca="false">IF((E221="t"),H221," ")</f>
        <v> </v>
      </c>
      <c r="W221" s="17" t="str">
        <f aca="false">IF((E221="q"),H221," ")</f>
        <v> </v>
      </c>
      <c r="X221" s="17" t="str">
        <f aca="false">IF((E221="m"),H221," ")</f>
        <v> </v>
      </c>
      <c r="Y221" s="17" t="str">
        <f aca="false">IF((E221="u"),H221," ")</f>
        <v> </v>
      </c>
      <c r="Z221" s="17" t="str">
        <f aca="false">IF((E221="a"),H221," ")</f>
        <v> </v>
      </c>
      <c r="AA221" s="17" t="str">
        <f aca="false">IF((E221="g"),H221," ")</f>
        <v> </v>
      </c>
      <c r="AB221" s="17" t="str">
        <f aca="false">IF((E221="h"),H221," ")</f>
        <v> </v>
      </c>
      <c r="AC221" s="30" t="str">
        <f aca="false">IF((E221="v"),H221," ")</f>
        <v> </v>
      </c>
      <c r="AD221" s="30" t="str">
        <f aca="false">IF((E221="n"),H221," ")</f>
        <v> </v>
      </c>
      <c r="AE221" s="17" t="str">
        <f aca="false">IF((E221="f"),H221," ")</f>
        <v> </v>
      </c>
      <c r="AF221" s="17" t="str">
        <f aca="false">IF((E221="l"),H221," ")</f>
        <v> </v>
      </c>
      <c r="AG221" s="17" t="str">
        <f aca="false">IF((E221="y"),H221," ")</f>
        <v> </v>
      </c>
      <c r="AH221" s="17" t="str">
        <f aca="false">IF((E221="z"),H221," ")</f>
        <v> </v>
      </c>
      <c r="AI221" s="17" t="str">
        <f aca="false">IF((E221="fa"),H221," ")</f>
        <v> </v>
      </c>
      <c r="AJ221" s="17" t="str">
        <f aca="false">IF((E221="e"),H221," ")</f>
        <v> </v>
      </c>
    </row>
    <row r="222" customFormat="false" ht="12" hidden="false" customHeight="false" outlineLevel="0" collapsed="false">
      <c r="A222" s="28"/>
      <c r="E222" s="2" t="str">
        <f aca="false">IF((F222&lt;&gt;0),"Enter Letter"," ")</f>
        <v> </v>
      </c>
      <c r="F222" s="30"/>
      <c r="G222" s="6" t="str">
        <f aca="false">IF(F222&lt;&gt;0,F222*G$2/(100+G$2)," ")</f>
        <v> </v>
      </c>
      <c r="H222" s="6" t="str">
        <f aca="false">IF((F222&lt;&gt;0),F222-G222," ")</f>
        <v> </v>
      </c>
      <c r="I222" s="5"/>
      <c r="L222" s="7" t="str">
        <f aca="false">IF(F222&lt;&gt;0,F222-K222," ")</f>
        <v> </v>
      </c>
      <c r="M222" s="8" t="str">
        <f aca="false">IF((F222-K222)&lt;&gt;0,M$1-A222," ")</f>
        <v> </v>
      </c>
      <c r="N222" s="5"/>
      <c r="O222" s="17" t="str">
        <f aca="false">IF((E222="s"),H222," ")</f>
        <v> </v>
      </c>
      <c r="P222" s="17" t="str">
        <f aca="false">IF((E222="c"),H222," ")</f>
        <v> </v>
      </c>
      <c r="Q222" s="17" t="str">
        <f aca="false">IF((E222="o"),H222," ")</f>
        <v> </v>
      </c>
      <c r="R222" s="17" t="str">
        <f aca="false">IF((E222="d"),H222," ")</f>
        <v> </v>
      </c>
      <c r="S222" s="17" t="str">
        <f aca="false">IF((E222="w"),H222," ")</f>
        <v> </v>
      </c>
      <c r="T222" s="17" t="str">
        <f aca="false">IF((E222="r"),H222," ")</f>
        <v> </v>
      </c>
      <c r="U222" s="17" t="str">
        <f aca="false">IF((E222="p"),H222," ")</f>
        <v> </v>
      </c>
      <c r="V222" s="17" t="str">
        <f aca="false">IF((E222="t"),H222," ")</f>
        <v> </v>
      </c>
      <c r="W222" s="17" t="str">
        <f aca="false">IF((E222="q"),H222," ")</f>
        <v> </v>
      </c>
      <c r="X222" s="17" t="str">
        <f aca="false">IF((E222="m"),H222," ")</f>
        <v> </v>
      </c>
      <c r="Y222" s="17" t="str">
        <f aca="false">IF((E222="u"),H222," ")</f>
        <v> </v>
      </c>
      <c r="Z222" s="17" t="str">
        <f aca="false">IF((E222="a"),H222," ")</f>
        <v> </v>
      </c>
      <c r="AA222" s="17" t="str">
        <f aca="false">IF((E222="g"),H222," ")</f>
        <v> </v>
      </c>
      <c r="AB222" s="17" t="str">
        <f aca="false">IF((E222="h"),H222," ")</f>
        <v> </v>
      </c>
      <c r="AC222" s="30" t="str">
        <f aca="false">IF((E222="v"),H222," ")</f>
        <v> </v>
      </c>
      <c r="AD222" s="30" t="str">
        <f aca="false">IF((E222="n"),H222," ")</f>
        <v> </v>
      </c>
      <c r="AE222" s="17" t="str">
        <f aca="false">IF((E222="f"),H222," ")</f>
        <v> </v>
      </c>
      <c r="AF222" s="17" t="str">
        <f aca="false">IF((E222="l"),H222," ")</f>
        <v> </v>
      </c>
      <c r="AG222" s="17" t="str">
        <f aca="false">IF((E222="y"),H222," ")</f>
        <v> </v>
      </c>
      <c r="AH222" s="17" t="str">
        <f aca="false">IF((E222="z"),H222," ")</f>
        <v> </v>
      </c>
      <c r="AI222" s="17" t="str">
        <f aca="false">IF((E222="fa"),H222," ")</f>
        <v> </v>
      </c>
      <c r="AJ222" s="17" t="str">
        <f aca="false">IF((E222="e"),H222," ")</f>
        <v> </v>
      </c>
    </row>
    <row r="223" customFormat="false" ht="12" hidden="false" customHeight="false" outlineLevel="0" collapsed="false">
      <c r="A223" s="28"/>
      <c r="E223" s="2" t="str">
        <f aca="false">IF((F223&lt;&gt;0),"Enter Letter"," ")</f>
        <v> </v>
      </c>
      <c r="F223" s="30"/>
      <c r="G223" s="6" t="str">
        <f aca="false">IF(F223&lt;&gt;0,F223*G$2/(100+G$2)," ")</f>
        <v> </v>
      </c>
      <c r="H223" s="6" t="str">
        <f aca="false">IF((F223&lt;&gt;0),F223-G223," ")</f>
        <v> </v>
      </c>
      <c r="I223" s="5"/>
      <c r="L223" s="7" t="str">
        <f aca="false">IF(F223&lt;&gt;0,F223-K223," ")</f>
        <v> </v>
      </c>
      <c r="M223" s="8" t="str">
        <f aca="false">IF((F223-K223)&lt;&gt;0,M$1-A223," ")</f>
        <v> </v>
      </c>
      <c r="N223" s="5"/>
      <c r="O223" s="17" t="str">
        <f aca="false">IF((E223="s"),H223," ")</f>
        <v> </v>
      </c>
      <c r="P223" s="17" t="str">
        <f aca="false">IF((E223="c"),H223," ")</f>
        <v> </v>
      </c>
      <c r="Q223" s="17" t="str">
        <f aca="false">IF((E223="o"),H223," ")</f>
        <v> </v>
      </c>
      <c r="R223" s="17" t="str">
        <f aca="false">IF((E223="d"),H223," ")</f>
        <v> </v>
      </c>
      <c r="S223" s="17" t="str">
        <f aca="false">IF((E223="w"),H223," ")</f>
        <v> </v>
      </c>
      <c r="T223" s="17" t="str">
        <f aca="false">IF((E223="r"),H223," ")</f>
        <v> </v>
      </c>
      <c r="U223" s="17" t="str">
        <f aca="false">IF((E223="p"),H223," ")</f>
        <v> </v>
      </c>
      <c r="V223" s="17" t="str">
        <f aca="false">IF((E223="t"),H223," ")</f>
        <v> </v>
      </c>
      <c r="W223" s="17" t="str">
        <f aca="false">IF((E223="q"),H223," ")</f>
        <v> </v>
      </c>
      <c r="X223" s="17" t="str">
        <f aca="false">IF((E223="m"),H223," ")</f>
        <v> </v>
      </c>
      <c r="Y223" s="17" t="str">
        <f aca="false">IF((E223="u"),H223," ")</f>
        <v> </v>
      </c>
      <c r="Z223" s="17" t="str">
        <f aca="false">IF((E223="a"),H223," ")</f>
        <v> </v>
      </c>
      <c r="AA223" s="17" t="str">
        <f aca="false">IF((E223="g"),H223," ")</f>
        <v> </v>
      </c>
      <c r="AB223" s="17" t="str">
        <f aca="false">IF((E223="h"),H223," ")</f>
        <v> </v>
      </c>
      <c r="AC223" s="30" t="str">
        <f aca="false">IF((E223="v"),H223," ")</f>
        <v> </v>
      </c>
      <c r="AD223" s="30" t="str">
        <f aca="false">IF((E223="n"),H223," ")</f>
        <v> </v>
      </c>
      <c r="AE223" s="17" t="str">
        <f aca="false">IF((E223="f"),H223," ")</f>
        <v> </v>
      </c>
      <c r="AF223" s="17" t="str">
        <f aca="false">IF((E223="l"),H223," ")</f>
        <v> </v>
      </c>
      <c r="AG223" s="17" t="str">
        <f aca="false">IF((E223="y"),H223," ")</f>
        <v> </v>
      </c>
      <c r="AH223" s="17" t="str">
        <f aca="false">IF((E223="z"),H223," ")</f>
        <v> </v>
      </c>
      <c r="AI223" s="17" t="str">
        <f aca="false">IF((E223="fa"),H223," ")</f>
        <v> </v>
      </c>
      <c r="AJ223" s="17" t="str">
        <f aca="false">IF((E223="e"),H223," ")</f>
        <v> </v>
      </c>
    </row>
    <row r="224" customFormat="false" ht="12" hidden="false" customHeight="false" outlineLevel="0" collapsed="false">
      <c r="A224" s="28"/>
      <c r="E224" s="2" t="str">
        <f aca="false">IF((F224&lt;&gt;0),"Enter Letter"," ")</f>
        <v> </v>
      </c>
      <c r="F224" s="30"/>
      <c r="G224" s="6" t="str">
        <f aca="false">IF(F224&lt;&gt;0,F224*G$2/(100+G$2)," ")</f>
        <v> </v>
      </c>
      <c r="H224" s="6" t="str">
        <f aca="false">IF((F224&lt;&gt;0),F224-G224," ")</f>
        <v> </v>
      </c>
      <c r="I224" s="5"/>
      <c r="L224" s="7" t="str">
        <f aca="false">IF(F224&lt;&gt;0,F224-K224," ")</f>
        <v> </v>
      </c>
      <c r="M224" s="8" t="str">
        <f aca="false">IF((F224-K224)&lt;&gt;0,M$1-A224," ")</f>
        <v> </v>
      </c>
      <c r="N224" s="5"/>
      <c r="O224" s="17" t="str">
        <f aca="false">IF((E224="s"),H224," ")</f>
        <v> </v>
      </c>
      <c r="P224" s="17" t="str">
        <f aca="false">IF((E224="c"),H224," ")</f>
        <v> </v>
      </c>
      <c r="Q224" s="17" t="str">
        <f aca="false">IF((E224="o"),H224," ")</f>
        <v> </v>
      </c>
      <c r="R224" s="17" t="str">
        <f aca="false">IF((E224="d"),H224," ")</f>
        <v> </v>
      </c>
      <c r="S224" s="17" t="str">
        <f aca="false">IF((E224="w"),H224," ")</f>
        <v> </v>
      </c>
      <c r="T224" s="17" t="str">
        <f aca="false">IF((E224="r"),H224," ")</f>
        <v> </v>
      </c>
      <c r="U224" s="17" t="str">
        <f aca="false">IF((E224="p"),H224," ")</f>
        <v> </v>
      </c>
      <c r="V224" s="17" t="str">
        <f aca="false">IF((E224="t"),H224," ")</f>
        <v> </v>
      </c>
      <c r="W224" s="17" t="str">
        <f aca="false">IF((E224="q"),H224," ")</f>
        <v> </v>
      </c>
      <c r="X224" s="17" t="str">
        <f aca="false">IF((E224="m"),H224," ")</f>
        <v> </v>
      </c>
      <c r="Y224" s="17" t="str">
        <f aca="false">IF((E224="u"),H224," ")</f>
        <v> </v>
      </c>
      <c r="Z224" s="17" t="str">
        <f aca="false">IF((E224="a"),H224," ")</f>
        <v> </v>
      </c>
      <c r="AA224" s="17" t="str">
        <f aca="false">IF((E224="g"),H224," ")</f>
        <v> </v>
      </c>
      <c r="AB224" s="17" t="str">
        <f aca="false">IF((E224="h"),H224," ")</f>
        <v> </v>
      </c>
      <c r="AC224" s="30" t="str">
        <f aca="false">IF((E224="v"),H224," ")</f>
        <v> </v>
      </c>
      <c r="AD224" s="30" t="str">
        <f aca="false">IF((E224="n"),H224," ")</f>
        <v> </v>
      </c>
      <c r="AE224" s="17" t="str">
        <f aca="false">IF((E224="f"),H224," ")</f>
        <v> </v>
      </c>
      <c r="AF224" s="17" t="str">
        <f aca="false">IF((E224="l"),H224," ")</f>
        <v> </v>
      </c>
      <c r="AG224" s="17" t="str">
        <f aca="false">IF((E224="y"),H224," ")</f>
        <v> </v>
      </c>
      <c r="AH224" s="17" t="str">
        <f aca="false">IF((E224="z"),H224," ")</f>
        <v> </v>
      </c>
      <c r="AI224" s="17" t="str">
        <f aca="false">IF((E224="fa"),H224," ")</f>
        <v> </v>
      </c>
      <c r="AJ224" s="17" t="str">
        <f aca="false">IF((E224="e"),H224," ")</f>
        <v> </v>
      </c>
    </row>
    <row r="225" customFormat="false" ht="12" hidden="false" customHeight="false" outlineLevel="0" collapsed="false">
      <c r="A225" s="28"/>
      <c r="E225" s="2" t="str">
        <f aca="false">IF((F225&lt;&gt;0),"Enter Letter"," ")</f>
        <v> </v>
      </c>
      <c r="F225" s="30"/>
      <c r="G225" s="6" t="str">
        <f aca="false">IF(F225&lt;&gt;0,F225*G$2/(100+G$2)," ")</f>
        <v> </v>
      </c>
      <c r="H225" s="6" t="str">
        <f aca="false">IF((F225&lt;&gt;0),F225-G225," ")</f>
        <v> </v>
      </c>
      <c r="I225" s="5"/>
      <c r="L225" s="7" t="str">
        <f aca="false">IF(F225&lt;&gt;0,F225-K225," ")</f>
        <v> </v>
      </c>
      <c r="M225" s="8" t="str">
        <f aca="false">IF((F225-K225)&lt;&gt;0,M$1-A225," ")</f>
        <v> </v>
      </c>
      <c r="N225" s="5"/>
      <c r="O225" s="17" t="str">
        <f aca="false">IF((E225="s"),H225," ")</f>
        <v> </v>
      </c>
      <c r="P225" s="17" t="str">
        <f aca="false">IF((E225="c"),H225," ")</f>
        <v> </v>
      </c>
      <c r="Q225" s="17" t="str">
        <f aca="false">IF((E225="o"),H225," ")</f>
        <v> </v>
      </c>
      <c r="R225" s="17" t="str">
        <f aca="false">IF((E225="d"),H225," ")</f>
        <v> </v>
      </c>
      <c r="S225" s="17" t="str">
        <f aca="false">IF((E225="w"),H225," ")</f>
        <v> </v>
      </c>
      <c r="T225" s="17" t="str">
        <f aca="false">IF((E225="r"),H225," ")</f>
        <v> </v>
      </c>
      <c r="U225" s="17" t="str">
        <f aca="false">IF((E225="p"),H225," ")</f>
        <v> </v>
      </c>
      <c r="V225" s="17" t="str">
        <f aca="false">IF((E225="t"),H225," ")</f>
        <v> </v>
      </c>
      <c r="W225" s="17" t="str">
        <f aca="false">IF((E225="q"),H225," ")</f>
        <v> </v>
      </c>
      <c r="X225" s="17" t="str">
        <f aca="false">IF((E225="m"),H225," ")</f>
        <v> </v>
      </c>
      <c r="Y225" s="17" t="str">
        <f aca="false">IF((E225="u"),H225," ")</f>
        <v> </v>
      </c>
      <c r="Z225" s="17" t="str">
        <f aca="false">IF((E225="a"),H225," ")</f>
        <v> </v>
      </c>
      <c r="AA225" s="17" t="str">
        <f aca="false">IF((E225="g"),H225," ")</f>
        <v> </v>
      </c>
      <c r="AB225" s="17" t="str">
        <f aca="false">IF((E225="h"),H225," ")</f>
        <v> </v>
      </c>
      <c r="AC225" s="30" t="str">
        <f aca="false">IF((E225="v"),H225," ")</f>
        <v> </v>
      </c>
      <c r="AD225" s="30" t="str">
        <f aca="false">IF((E225="n"),H225," ")</f>
        <v> </v>
      </c>
      <c r="AE225" s="17" t="str">
        <f aca="false">IF((E225="f"),H225," ")</f>
        <v> </v>
      </c>
      <c r="AF225" s="17" t="str">
        <f aca="false">IF((E225="l"),H225," ")</f>
        <v> </v>
      </c>
      <c r="AG225" s="17" t="str">
        <f aca="false">IF((E225="y"),H225," ")</f>
        <v> </v>
      </c>
      <c r="AH225" s="17" t="str">
        <f aca="false">IF((E225="z"),H225," ")</f>
        <v> </v>
      </c>
      <c r="AI225" s="17" t="str">
        <f aca="false">IF((E225="fa"),H225," ")</f>
        <v> </v>
      </c>
      <c r="AJ225" s="17" t="str">
        <f aca="false">IF((E225="e"),H225," ")</f>
        <v> </v>
      </c>
    </row>
    <row r="226" customFormat="false" ht="12" hidden="false" customHeight="false" outlineLevel="0" collapsed="false">
      <c r="A226" s="28"/>
      <c r="E226" s="2" t="str">
        <f aca="false">IF((F226&lt;&gt;0),"Enter Letter"," ")</f>
        <v> </v>
      </c>
      <c r="F226" s="30"/>
      <c r="G226" s="6" t="str">
        <f aca="false">IF(F226&lt;&gt;0,F226*G$2/(100+G$2)," ")</f>
        <v> </v>
      </c>
      <c r="H226" s="6" t="str">
        <f aca="false">IF((F226&lt;&gt;0),F226-G226," ")</f>
        <v> </v>
      </c>
      <c r="I226" s="5"/>
      <c r="L226" s="7" t="str">
        <f aca="false">IF(F226&lt;&gt;0,F226-K226," ")</f>
        <v> </v>
      </c>
      <c r="M226" s="8" t="str">
        <f aca="false">IF((F226-K226)&lt;&gt;0,M$1-A226," ")</f>
        <v> </v>
      </c>
      <c r="N226" s="5"/>
      <c r="O226" s="17" t="str">
        <f aca="false">IF((E226="s"),H226," ")</f>
        <v> </v>
      </c>
      <c r="P226" s="17" t="str">
        <f aca="false">IF((E226="c"),H226," ")</f>
        <v> </v>
      </c>
      <c r="Q226" s="17" t="str">
        <f aca="false">IF((E226="o"),H226," ")</f>
        <v> </v>
      </c>
      <c r="R226" s="17" t="str">
        <f aca="false">IF((E226="d"),H226," ")</f>
        <v> </v>
      </c>
      <c r="S226" s="17" t="str">
        <f aca="false">IF((E226="w"),H226," ")</f>
        <v> </v>
      </c>
      <c r="T226" s="17" t="str">
        <f aca="false">IF((E226="r"),H226," ")</f>
        <v> </v>
      </c>
      <c r="U226" s="17" t="str">
        <f aca="false">IF((E226="p"),H226," ")</f>
        <v> </v>
      </c>
      <c r="V226" s="17" t="str">
        <f aca="false">IF((E226="t"),H226," ")</f>
        <v> </v>
      </c>
      <c r="W226" s="17" t="str">
        <f aca="false">IF((E226="q"),H226," ")</f>
        <v> </v>
      </c>
      <c r="X226" s="17" t="str">
        <f aca="false">IF((E226="m"),H226," ")</f>
        <v> </v>
      </c>
      <c r="Y226" s="17" t="str">
        <f aca="false">IF((E226="u"),H226," ")</f>
        <v> </v>
      </c>
      <c r="Z226" s="17" t="str">
        <f aca="false">IF((E226="a"),H226," ")</f>
        <v> </v>
      </c>
      <c r="AA226" s="17" t="str">
        <f aca="false">IF((E226="g"),H226," ")</f>
        <v> </v>
      </c>
      <c r="AB226" s="17" t="str">
        <f aca="false">IF((E226="h"),H226," ")</f>
        <v> </v>
      </c>
      <c r="AC226" s="30" t="str">
        <f aca="false">IF((E226="v"),H226," ")</f>
        <v> </v>
      </c>
      <c r="AD226" s="30" t="str">
        <f aca="false">IF((E226="n"),H226," ")</f>
        <v> </v>
      </c>
      <c r="AE226" s="17" t="str">
        <f aca="false">IF((E226="f"),H226," ")</f>
        <v> </v>
      </c>
      <c r="AF226" s="17" t="str">
        <f aca="false">IF((E226="l"),H226," ")</f>
        <v> </v>
      </c>
      <c r="AG226" s="17" t="str">
        <f aca="false">IF((E226="y"),H226," ")</f>
        <v> </v>
      </c>
      <c r="AH226" s="17" t="str">
        <f aca="false">IF((E226="z"),H226," ")</f>
        <v> </v>
      </c>
      <c r="AI226" s="17" t="str">
        <f aca="false">IF((E226="fa"),H226," ")</f>
        <v> </v>
      </c>
      <c r="AJ226" s="17" t="str">
        <f aca="false">IF((E226="e"),H226," ")</f>
        <v> </v>
      </c>
    </row>
    <row r="227" customFormat="false" ht="12" hidden="false" customHeight="false" outlineLevel="0" collapsed="false">
      <c r="A227" s="28"/>
      <c r="E227" s="2" t="str">
        <f aca="false">IF((F227&lt;&gt;0),"Enter Letter"," ")</f>
        <v> </v>
      </c>
      <c r="F227" s="30"/>
      <c r="G227" s="6" t="str">
        <f aca="false">IF(F227&lt;&gt;0,F227*G$2/(100+G$2)," ")</f>
        <v> </v>
      </c>
      <c r="H227" s="6" t="str">
        <f aca="false">IF((F227&lt;&gt;0),F227-G227," ")</f>
        <v> </v>
      </c>
      <c r="I227" s="5"/>
      <c r="L227" s="7" t="str">
        <f aca="false">IF(F227&lt;&gt;0,F227-K227," ")</f>
        <v> </v>
      </c>
      <c r="M227" s="8" t="str">
        <f aca="false">IF((F227-K227)&lt;&gt;0,M$1-A227," ")</f>
        <v> </v>
      </c>
      <c r="N227" s="5"/>
      <c r="O227" s="17" t="str">
        <f aca="false">IF((E227="s"),H227," ")</f>
        <v> </v>
      </c>
      <c r="P227" s="17" t="str">
        <f aca="false">IF((E227="c"),H227," ")</f>
        <v> </v>
      </c>
      <c r="Q227" s="17" t="str">
        <f aca="false">IF((E227="o"),H227," ")</f>
        <v> </v>
      </c>
      <c r="R227" s="17" t="str">
        <f aca="false">IF((E227="d"),H227," ")</f>
        <v> </v>
      </c>
      <c r="S227" s="17" t="str">
        <f aca="false">IF((E227="w"),H227," ")</f>
        <v> </v>
      </c>
      <c r="T227" s="17" t="str">
        <f aca="false">IF((E227="r"),H227," ")</f>
        <v> </v>
      </c>
      <c r="U227" s="17" t="str">
        <f aca="false">IF((E227="p"),H227," ")</f>
        <v> </v>
      </c>
      <c r="V227" s="17" t="str">
        <f aca="false">IF((E227="t"),H227," ")</f>
        <v> </v>
      </c>
      <c r="W227" s="17" t="str">
        <f aca="false">IF((E227="q"),H227," ")</f>
        <v> </v>
      </c>
      <c r="X227" s="17" t="str">
        <f aca="false">IF((E227="m"),H227," ")</f>
        <v> </v>
      </c>
      <c r="Y227" s="17" t="str">
        <f aca="false">IF((E227="u"),H227," ")</f>
        <v> </v>
      </c>
      <c r="Z227" s="17" t="str">
        <f aca="false">IF((E227="a"),H227," ")</f>
        <v> </v>
      </c>
      <c r="AA227" s="17" t="str">
        <f aca="false">IF((E227="g"),H227," ")</f>
        <v> </v>
      </c>
      <c r="AB227" s="17" t="str">
        <f aca="false">IF((E227="h"),H227," ")</f>
        <v> </v>
      </c>
      <c r="AC227" s="30" t="str">
        <f aca="false">IF((E227="v"),H227," ")</f>
        <v> </v>
      </c>
      <c r="AD227" s="30" t="str">
        <f aca="false">IF((E227="n"),H227," ")</f>
        <v> </v>
      </c>
      <c r="AE227" s="17" t="str">
        <f aca="false">IF((E227="f"),H227," ")</f>
        <v> </v>
      </c>
      <c r="AF227" s="17" t="str">
        <f aca="false">IF((E227="l"),H227," ")</f>
        <v> </v>
      </c>
      <c r="AG227" s="17" t="str">
        <f aca="false">IF((E227="y"),H227," ")</f>
        <v> </v>
      </c>
      <c r="AH227" s="17" t="str">
        <f aca="false">IF((E227="z"),H227," ")</f>
        <v> </v>
      </c>
      <c r="AI227" s="17" t="str">
        <f aca="false">IF((E227="fa"),H227," ")</f>
        <v> </v>
      </c>
      <c r="AJ227" s="17" t="str">
        <f aca="false">IF((E227="e"),H227," ")</f>
        <v> </v>
      </c>
    </row>
    <row r="228" customFormat="false" ht="12" hidden="false" customHeight="false" outlineLevel="0" collapsed="false">
      <c r="A228" s="28"/>
      <c r="E228" s="2" t="str">
        <f aca="false">IF((F228&lt;&gt;0),"Enter Letter"," ")</f>
        <v> </v>
      </c>
      <c r="F228" s="30"/>
      <c r="G228" s="6" t="str">
        <f aca="false">IF(F228&lt;&gt;0,F228*G$2/(100+G$2)," ")</f>
        <v> </v>
      </c>
      <c r="H228" s="6" t="str">
        <f aca="false">IF((F228&lt;&gt;0),F228-G228," ")</f>
        <v> </v>
      </c>
      <c r="I228" s="5"/>
      <c r="L228" s="7" t="str">
        <f aca="false">IF(F228&lt;&gt;0,F228-K228," ")</f>
        <v> </v>
      </c>
      <c r="M228" s="8" t="str">
        <f aca="false">IF((F228-K228)&lt;&gt;0,M$1-A228," ")</f>
        <v> </v>
      </c>
      <c r="N228" s="5"/>
      <c r="O228" s="17" t="str">
        <f aca="false">IF((E228="s"),H228," ")</f>
        <v> </v>
      </c>
      <c r="P228" s="17" t="str">
        <f aca="false">IF((E228="c"),H228," ")</f>
        <v> </v>
      </c>
      <c r="Q228" s="17" t="str">
        <f aca="false">IF((E228="o"),H228," ")</f>
        <v> </v>
      </c>
      <c r="R228" s="17" t="str">
        <f aca="false">IF((E228="d"),H228," ")</f>
        <v> </v>
      </c>
      <c r="S228" s="17" t="str">
        <f aca="false">IF((E228="w"),H228," ")</f>
        <v> </v>
      </c>
      <c r="T228" s="17" t="str">
        <f aca="false">IF((E228="r"),H228," ")</f>
        <v> </v>
      </c>
      <c r="U228" s="17" t="str">
        <f aca="false">IF((E228="p"),H228," ")</f>
        <v> </v>
      </c>
      <c r="V228" s="17" t="str">
        <f aca="false">IF((E228="t"),H228," ")</f>
        <v> </v>
      </c>
      <c r="W228" s="17" t="str">
        <f aca="false">IF((E228="q"),H228," ")</f>
        <v> </v>
      </c>
      <c r="X228" s="17" t="str">
        <f aca="false">IF((E228="m"),H228," ")</f>
        <v> </v>
      </c>
      <c r="Y228" s="17" t="str">
        <f aca="false">IF((E228="u"),H228," ")</f>
        <v> </v>
      </c>
      <c r="Z228" s="17" t="str">
        <f aca="false">IF((E228="a"),H228," ")</f>
        <v> </v>
      </c>
      <c r="AA228" s="17" t="str">
        <f aca="false">IF((E228="g"),H228," ")</f>
        <v> </v>
      </c>
      <c r="AB228" s="17" t="str">
        <f aca="false">IF((E228="h"),H228," ")</f>
        <v> </v>
      </c>
      <c r="AC228" s="30" t="str">
        <f aca="false">IF((E228="v"),H228," ")</f>
        <v> </v>
      </c>
      <c r="AD228" s="30" t="str">
        <f aca="false">IF((E228="n"),H228," ")</f>
        <v> </v>
      </c>
      <c r="AE228" s="17" t="str">
        <f aca="false">IF((E228="f"),H228," ")</f>
        <v> </v>
      </c>
      <c r="AF228" s="17" t="str">
        <f aca="false">IF((E228="l"),H228," ")</f>
        <v> </v>
      </c>
      <c r="AG228" s="17" t="str">
        <f aca="false">IF((E228="y"),H228," ")</f>
        <v> </v>
      </c>
      <c r="AH228" s="17" t="str">
        <f aca="false">IF((E228="z"),H228," ")</f>
        <v> </v>
      </c>
      <c r="AI228" s="17" t="str">
        <f aca="false">IF((E228="fa"),H228," ")</f>
        <v> </v>
      </c>
      <c r="AJ228" s="17" t="str">
        <f aca="false">IF((E228="e"),H228," ")</f>
        <v> </v>
      </c>
    </row>
    <row r="229" customFormat="false" ht="12" hidden="false" customHeight="false" outlineLevel="0" collapsed="false">
      <c r="A229" s="28"/>
      <c r="E229" s="2" t="str">
        <f aca="false">IF((F229&lt;&gt;0),"Enter Letter"," ")</f>
        <v> </v>
      </c>
      <c r="F229" s="30"/>
      <c r="G229" s="6" t="str">
        <f aca="false">IF(F229&lt;&gt;0,F229*G$2/(100+G$2)," ")</f>
        <v> </v>
      </c>
      <c r="H229" s="6" t="str">
        <f aca="false">IF((F229&lt;&gt;0),F229-G229," ")</f>
        <v> </v>
      </c>
      <c r="I229" s="5"/>
      <c r="L229" s="7" t="str">
        <f aca="false">IF(F229&lt;&gt;0,F229-K229," ")</f>
        <v> </v>
      </c>
      <c r="M229" s="8" t="str">
        <f aca="false">IF((F229-K229)&lt;&gt;0,M$1-A229," ")</f>
        <v> </v>
      </c>
      <c r="N229" s="5"/>
      <c r="O229" s="17" t="str">
        <f aca="false">IF((E229="s"),H229," ")</f>
        <v> </v>
      </c>
      <c r="P229" s="17" t="str">
        <f aca="false">IF((E229="c"),H229," ")</f>
        <v> </v>
      </c>
      <c r="Q229" s="17" t="str">
        <f aca="false">IF((E229="o"),H229," ")</f>
        <v> </v>
      </c>
      <c r="R229" s="17" t="str">
        <f aca="false">IF((E229="d"),H229," ")</f>
        <v> </v>
      </c>
      <c r="S229" s="17" t="str">
        <f aca="false">IF((E229="w"),H229," ")</f>
        <v> </v>
      </c>
      <c r="T229" s="17" t="str">
        <f aca="false">IF((E229="r"),H229," ")</f>
        <v> </v>
      </c>
      <c r="U229" s="17" t="str">
        <f aca="false">IF((E229="p"),H229," ")</f>
        <v> </v>
      </c>
      <c r="V229" s="17" t="str">
        <f aca="false">IF((E229="t"),H229," ")</f>
        <v> </v>
      </c>
      <c r="W229" s="17" t="str">
        <f aca="false">IF((E229="q"),H229," ")</f>
        <v> </v>
      </c>
      <c r="X229" s="17" t="str">
        <f aca="false">IF((E229="m"),H229," ")</f>
        <v> </v>
      </c>
      <c r="Y229" s="17" t="str">
        <f aca="false">IF((E229="u"),H229," ")</f>
        <v> </v>
      </c>
      <c r="Z229" s="17" t="str">
        <f aca="false">IF((E229="a"),H229," ")</f>
        <v> </v>
      </c>
      <c r="AA229" s="17" t="str">
        <f aca="false">IF((E229="g"),H229," ")</f>
        <v> </v>
      </c>
      <c r="AB229" s="17" t="str">
        <f aca="false">IF((E229="h"),H229," ")</f>
        <v> </v>
      </c>
      <c r="AC229" s="30" t="str">
        <f aca="false">IF((E229="v"),H229," ")</f>
        <v> </v>
      </c>
      <c r="AD229" s="30" t="str">
        <f aca="false">IF((E229="n"),H229," ")</f>
        <v> </v>
      </c>
      <c r="AE229" s="17" t="str">
        <f aca="false">IF((E229="f"),H229," ")</f>
        <v> </v>
      </c>
      <c r="AF229" s="17" t="str">
        <f aca="false">IF((E229="l"),H229," ")</f>
        <v> </v>
      </c>
      <c r="AG229" s="17" t="str">
        <f aca="false">IF((E229="y"),H229," ")</f>
        <v> </v>
      </c>
      <c r="AH229" s="17" t="str">
        <f aca="false">IF((E229="z"),H229," ")</f>
        <v> </v>
      </c>
      <c r="AI229" s="17" t="str">
        <f aca="false">IF((E229="fa"),H229," ")</f>
        <v> </v>
      </c>
      <c r="AJ229" s="17" t="str">
        <f aca="false">IF((E229="e"),H229," ")</f>
        <v> </v>
      </c>
    </row>
    <row r="230" customFormat="false" ht="12" hidden="false" customHeight="false" outlineLevel="0" collapsed="false">
      <c r="A230" s="28"/>
      <c r="E230" s="2" t="str">
        <f aca="false">IF((F230&lt;&gt;0),"Enter Letter"," ")</f>
        <v> </v>
      </c>
      <c r="F230" s="30"/>
      <c r="G230" s="6" t="str">
        <f aca="false">IF(F230&lt;&gt;0,F230*G$2/(100+G$2)," ")</f>
        <v> </v>
      </c>
      <c r="H230" s="6" t="str">
        <f aca="false">IF((F230&lt;&gt;0),F230-G230," ")</f>
        <v> </v>
      </c>
      <c r="I230" s="5"/>
      <c r="L230" s="7" t="str">
        <f aca="false">IF(F230&lt;&gt;0,F230-K230," ")</f>
        <v> </v>
      </c>
      <c r="M230" s="8" t="str">
        <f aca="false">IF((F230-K230)&lt;&gt;0,M$1-A230," ")</f>
        <v> </v>
      </c>
      <c r="N230" s="5"/>
      <c r="O230" s="17" t="str">
        <f aca="false">IF((E230="s"),H230," ")</f>
        <v> </v>
      </c>
      <c r="P230" s="17" t="str">
        <f aca="false">IF((E230="c"),H230," ")</f>
        <v> </v>
      </c>
      <c r="Q230" s="17" t="str">
        <f aca="false">IF((E230="o"),H230," ")</f>
        <v> </v>
      </c>
      <c r="R230" s="17" t="str">
        <f aca="false">IF((E230="d"),H230," ")</f>
        <v> </v>
      </c>
      <c r="S230" s="17" t="str">
        <f aca="false">IF((E230="w"),H230," ")</f>
        <v> </v>
      </c>
      <c r="T230" s="17" t="str">
        <f aca="false">IF((E230="r"),H230," ")</f>
        <v> </v>
      </c>
      <c r="U230" s="17" t="str">
        <f aca="false">IF((E230="p"),H230," ")</f>
        <v> </v>
      </c>
      <c r="V230" s="17" t="str">
        <f aca="false">IF((E230="t"),H230," ")</f>
        <v> </v>
      </c>
      <c r="W230" s="17" t="str">
        <f aca="false">IF((E230="q"),H230," ")</f>
        <v> </v>
      </c>
      <c r="X230" s="17" t="str">
        <f aca="false">IF((E230="m"),H230," ")</f>
        <v> </v>
      </c>
      <c r="Y230" s="17" t="str">
        <f aca="false">IF((E230="u"),H230," ")</f>
        <v> </v>
      </c>
      <c r="Z230" s="17" t="str">
        <f aca="false">IF((E230="a"),H230," ")</f>
        <v> </v>
      </c>
      <c r="AA230" s="17" t="str">
        <f aca="false">IF((E230="g"),H230," ")</f>
        <v> </v>
      </c>
      <c r="AB230" s="17" t="str">
        <f aca="false">IF((E230="h"),H230," ")</f>
        <v> </v>
      </c>
      <c r="AC230" s="30" t="str">
        <f aca="false">IF((E230="v"),H230," ")</f>
        <v> </v>
      </c>
      <c r="AD230" s="30" t="str">
        <f aca="false">IF((E230="n"),H230," ")</f>
        <v> </v>
      </c>
      <c r="AE230" s="17" t="str">
        <f aca="false">IF((E230="f"),H230," ")</f>
        <v> </v>
      </c>
      <c r="AF230" s="17" t="str">
        <f aca="false">IF((E230="l"),H230," ")</f>
        <v> </v>
      </c>
      <c r="AG230" s="17" t="str">
        <f aca="false">IF((E230="y"),H230," ")</f>
        <v> </v>
      </c>
      <c r="AH230" s="17" t="str">
        <f aca="false">IF((E230="z"),H230," ")</f>
        <v> </v>
      </c>
      <c r="AI230" s="17" t="str">
        <f aca="false">IF((E230="fa"),H230," ")</f>
        <v> </v>
      </c>
      <c r="AJ230" s="17" t="str">
        <f aca="false">IF((E230="e"),H230," ")</f>
        <v> </v>
      </c>
    </row>
    <row r="231" customFormat="false" ht="12" hidden="false" customHeight="false" outlineLevel="0" collapsed="false">
      <c r="A231" s="28"/>
      <c r="E231" s="2" t="str">
        <f aca="false">IF((F231&lt;&gt;0),"Enter Letter"," ")</f>
        <v> </v>
      </c>
      <c r="F231" s="30"/>
      <c r="G231" s="6" t="str">
        <f aca="false">IF(F231&lt;&gt;0,F231*G$2/(100+G$2)," ")</f>
        <v> </v>
      </c>
      <c r="H231" s="6" t="str">
        <f aca="false">IF((F231&lt;&gt;0),F231-G231," ")</f>
        <v> </v>
      </c>
      <c r="I231" s="5"/>
      <c r="L231" s="7" t="str">
        <f aca="false">IF(F231&lt;&gt;0,F231-K231," ")</f>
        <v> </v>
      </c>
      <c r="M231" s="8" t="str">
        <f aca="false">IF((F231-K231)&lt;&gt;0,M$1-A231," ")</f>
        <v> </v>
      </c>
      <c r="N231" s="5"/>
      <c r="O231" s="17" t="str">
        <f aca="false">IF((E231="s"),H231," ")</f>
        <v> </v>
      </c>
      <c r="P231" s="17" t="str">
        <f aca="false">IF((E231="c"),H231," ")</f>
        <v> </v>
      </c>
      <c r="Q231" s="17" t="str">
        <f aca="false">IF((E231="o"),H231," ")</f>
        <v> </v>
      </c>
      <c r="R231" s="17" t="str">
        <f aca="false">IF((E231="d"),H231," ")</f>
        <v> </v>
      </c>
      <c r="S231" s="17" t="str">
        <f aca="false">IF((E231="w"),H231," ")</f>
        <v> </v>
      </c>
      <c r="T231" s="17" t="str">
        <f aca="false">IF((E231="r"),H231," ")</f>
        <v> </v>
      </c>
      <c r="U231" s="17" t="str">
        <f aca="false">IF((E231="p"),H231," ")</f>
        <v> </v>
      </c>
      <c r="V231" s="17" t="str">
        <f aca="false">IF((E231="t"),H231," ")</f>
        <v> </v>
      </c>
      <c r="W231" s="17" t="str">
        <f aca="false">IF((E231="q"),H231," ")</f>
        <v> </v>
      </c>
      <c r="X231" s="17" t="str">
        <f aca="false">IF((E231="m"),H231," ")</f>
        <v> </v>
      </c>
      <c r="Y231" s="17" t="str">
        <f aca="false">IF((E231="u"),H231," ")</f>
        <v> </v>
      </c>
      <c r="Z231" s="17" t="str">
        <f aca="false">IF((E231="a"),H231," ")</f>
        <v> </v>
      </c>
      <c r="AA231" s="17" t="str">
        <f aca="false">IF((E231="g"),H231," ")</f>
        <v> </v>
      </c>
      <c r="AB231" s="17" t="str">
        <f aca="false">IF((E231="h"),H231," ")</f>
        <v> </v>
      </c>
      <c r="AC231" s="30" t="str">
        <f aca="false">IF((E231="v"),H231," ")</f>
        <v> </v>
      </c>
      <c r="AD231" s="30" t="str">
        <f aca="false">IF((E231="n"),H231," ")</f>
        <v> </v>
      </c>
      <c r="AE231" s="17" t="str">
        <f aca="false">IF((E231="f"),H231," ")</f>
        <v> </v>
      </c>
      <c r="AF231" s="17" t="str">
        <f aca="false">IF((E231="l"),H231," ")</f>
        <v> </v>
      </c>
      <c r="AG231" s="17" t="str">
        <f aca="false">IF((E231="y"),H231," ")</f>
        <v> </v>
      </c>
      <c r="AH231" s="17" t="str">
        <f aca="false">IF((E231="z"),H231," ")</f>
        <v> </v>
      </c>
      <c r="AI231" s="17" t="str">
        <f aca="false">IF((E231="fa"),H231," ")</f>
        <v> </v>
      </c>
      <c r="AJ231" s="17" t="str">
        <f aca="false">IF((E231="e"),H231," ")</f>
        <v> </v>
      </c>
    </row>
    <row r="232" customFormat="false" ht="12" hidden="false" customHeight="false" outlineLevel="0" collapsed="false">
      <c r="A232" s="28"/>
      <c r="E232" s="2" t="str">
        <f aca="false">IF((F232&lt;&gt;0),"Enter Letter"," ")</f>
        <v> </v>
      </c>
      <c r="F232" s="30"/>
      <c r="G232" s="6" t="str">
        <f aca="false">IF(F232&lt;&gt;0,F232*G$2/(100+G$2)," ")</f>
        <v> </v>
      </c>
      <c r="H232" s="6" t="str">
        <f aca="false">IF((F232&lt;&gt;0),F232-G232," ")</f>
        <v> </v>
      </c>
      <c r="I232" s="5"/>
      <c r="L232" s="7" t="str">
        <f aca="false">IF(F232&lt;&gt;0,F232-K232," ")</f>
        <v> </v>
      </c>
      <c r="M232" s="8" t="str">
        <f aca="false">IF((F232-K232)&lt;&gt;0,M$1-A232," ")</f>
        <v> </v>
      </c>
      <c r="N232" s="5"/>
      <c r="O232" s="17" t="str">
        <f aca="false">IF((E232="s"),H232," ")</f>
        <v> </v>
      </c>
      <c r="P232" s="17" t="str">
        <f aca="false">IF((E232="c"),H232," ")</f>
        <v> </v>
      </c>
      <c r="Q232" s="17" t="str">
        <f aca="false">IF((E232="o"),H232," ")</f>
        <v> </v>
      </c>
      <c r="R232" s="17" t="str">
        <f aca="false">IF((E232="d"),H232," ")</f>
        <v> </v>
      </c>
      <c r="S232" s="17" t="str">
        <f aca="false">IF((E232="w"),H232," ")</f>
        <v> </v>
      </c>
      <c r="T232" s="17" t="str">
        <f aca="false">IF((E232="r"),H232," ")</f>
        <v> </v>
      </c>
      <c r="U232" s="17" t="str">
        <f aca="false">IF((E232="p"),H232," ")</f>
        <v> </v>
      </c>
      <c r="V232" s="17" t="str">
        <f aca="false">IF((E232="t"),H232," ")</f>
        <v> </v>
      </c>
      <c r="W232" s="17" t="str">
        <f aca="false">IF((E232="q"),H232," ")</f>
        <v> </v>
      </c>
      <c r="X232" s="17" t="str">
        <f aca="false">IF((E232="m"),H232," ")</f>
        <v> </v>
      </c>
      <c r="Y232" s="17" t="str">
        <f aca="false">IF((E232="u"),H232," ")</f>
        <v> </v>
      </c>
      <c r="Z232" s="17" t="str">
        <f aca="false">IF((E232="a"),H232," ")</f>
        <v> </v>
      </c>
      <c r="AA232" s="17" t="str">
        <f aca="false">IF((E232="g"),H232," ")</f>
        <v> </v>
      </c>
      <c r="AB232" s="17" t="str">
        <f aca="false">IF((E232="h"),H232," ")</f>
        <v> </v>
      </c>
      <c r="AC232" s="30" t="str">
        <f aca="false">IF((E232="v"),H232," ")</f>
        <v> </v>
      </c>
      <c r="AD232" s="30" t="str">
        <f aca="false">IF((E232="n"),H232," ")</f>
        <v> </v>
      </c>
      <c r="AE232" s="17" t="str">
        <f aca="false">IF((E232="f"),H232," ")</f>
        <v> </v>
      </c>
      <c r="AF232" s="17" t="str">
        <f aca="false">IF((E232="l"),H232," ")</f>
        <v> </v>
      </c>
      <c r="AG232" s="17" t="str">
        <f aca="false">IF((E232="y"),H232," ")</f>
        <v> </v>
      </c>
      <c r="AH232" s="17" t="str">
        <f aca="false">IF((E232="z"),H232," ")</f>
        <v> </v>
      </c>
      <c r="AI232" s="17" t="str">
        <f aca="false">IF((E232="fa"),H232," ")</f>
        <v> </v>
      </c>
      <c r="AJ232" s="17" t="str">
        <f aca="false">IF((E232="e"),H232," ")</f>
        <v> </v>
      </c>
    </row>
    <row r="233" customFormat="false" ht="12" hidden="false" customHeight="false" outlineLevel="0" collapsed="false">
      <c r="A233" s="28"/>
      <c r="E233" s="2" t="str">
        <f aca="false">IF((F233&lt;&gt;0),"Enter Letter"," ")</f>
        <v> </v>
      </c>
      <c r="F233" s="30"/>
      <c r="G233" s="6" t="str">
        <f aca="false">IF(F233&lt;&gt;0,F233*G$2/(100+G$2)," ")</f>
        <v> </v>
      </c>
      <c r="H233" s="6" t="str">
        <f aca="false">IF((F233&lt;&gt;0),F233-G233," ")</f>
        <v> </v>
      </c>
      <c r="I233" s="5"/>
      <c r="L233" s="7" t="str">
        <f aca="false">IF(F233&lt;&gt;0,F233-K233," ")</f>
        <v> </v>
      </c>
      <c r="M233" s="8" t="str">
        <f aca="false">IF((F233-K233)&lt;&gt;0,M$1-A233," ")</f>
        <v> </v>
      </c>
      <c r="N233" s="5"/>
      <c r="O233" s="17" t="str">
        <f aca="false">IF((E233="s"),H233," ")</f>
        <v> </v>
      </c>
      <c r="P233" s="17" t="str">
        <f aca="false">IF((E233="c"),H233," ")</f>
        <v> </v>
      </c>
      <c r="Q233" s="17" t="str">
        <f aca="false">IF((E233="o"),H233," ")</f>
        <v> </v>
      </c>
      <c r="R233" s="17" t="str">
        <f aca="false">IF((E233="d"),H233," ")</f>
        <v> </v>
      </c>
      <c r="S233" s="17" t="str">
        <f aca="false">IF((E233="w"),H233," ")</f>
        <v> </v>
      </c>
      <c r="T233" s="17" t="str">
        <f aca="false">IF((E233="r"),H233," ")</f>
        <v> </v>
      </c>
      <c r="U233" s="17" t="str">
        <f aca="false">IF((E233="p"),H233," ")</f>
        <v> </v>
      </c>
      <c r="V233" s="17" t="str">
        <f aca="false">IF((E233="t"),H233," ")</f>
        <v> </v>
      </c>
      <c r="W233" s="17" t="str">
        <f aca="false">IF((E233="q"),H233," ")</f>
        <v> </v>
      </c>
      <c r="X233" s="17" t="str">
        <f aca="false">IF((E233="m"),H233," ")</f>
        <v> </v>
      </c>
      <c r="Y233" s="17" t="str">
        <f aca="false">IF((E233="u"),H233," ")</f>
        <v> </v>
      </c>
      <c r="Z233" s="17" t="str">
        <f aca="false">IF((E233="a"),H233," ")</f>
        <v> </v>
      </c>
      <c r="AA233" s="17" t="str">
        <f aca="false">IF((E233="g"),H233," ")</f>
        <v> </v>
      </c>
      <c r="AB233" s="17" t="str">
        <f aca="false">IF((E233="h"),H233," ")</f>
        <v> </v>
      </c>
      <c r="AC233" s="30" t="str">
        <f aca="false">IF((E233="v"),H233," ")</f>
        <v> </v>
      </c>
      <c r="AD233" s="30" t="str">
        <f aca="false">IF((E233="n"),H233," ")</f>
        <v> </v>
      </c>
      <c r="AE233" s="17" t="str">
        <f aca="false">IF((E233="f"),H233," ")</f>
        <v> </v>
      </c>
      <c r="AF233" s="17" t="str">
        <f aca="false">IF((E233="l"),H233," ")</f>
        <v> </v>
      </c>
      <c r="AG233" s="17" t="str">
        <f aca="false">IF((E233="y"),H233," ")</f>
        <v> </v>
      </c>
      <c r="AH233" s="17" t="str">
        <f aca="false">IF((E233="z"),H233," ")</f>
        <v> </v>
      </c>
      <c r="AI233" s="17" t="str">
        <f aca="false">IF((E233="fa"),H233," ")</f>
        <v> </v>
      </c>
      <c r="AJ233" s="17" t="str">
        <f aca="false">IF((E233="e"),H233," ")</f>
        <v> </v>
      </c>
    </row>
    <row r="234" customFormat="false" ht="12" hidden="false" customHeight="false" outlineLevel="0" collapsed="false">
      <c r="A234" s="28"/>
      <c r="E234" s="2" t="str">
        <f aca="false">IF((F234&lt;&gt;0),"Enter Letter"," ")</f>
        <v> </v>
      </c>
      <c r="F234" s="30"/>
      <c r="G234" s="6" t="str">
        <f aca="false">IF(F234&lt;&gt;0,F234*G$2/(100+G$2)," ")</f>
        <v> </v>
      </c>
      <c r="H234" s="6" t="str">
        <f aca="false">IF((F234&lt;&gt;0),F234-G234," ")</f>
        <v> </v>
      </c>
      <c r="I234" s="5"/>
      <c r="L234" s="7" t="str">
        <f aca="false">IF(F234&lt;&gt;0,F234-K234," ")</f>
        <v> </v>
      </c>
      <c r="M234" s="8" t="str">
        <f aca="false">IF((F234-K234)&lt;&gt;0,M$1-A234," ")</f>
        <v> </v>
      </c>
      <c r="N234" s="5"/>
      <c r="O234" s="17" t="str">
        <f aca="false">IF((E234="s"),H234," ")</f>
        <v> </v>
      </c>
      <c r="P234" s="17" t="str">
        <f aca="false">IF((E234="c"),H234," ")</f>
        <v> </v>
      </c>
      <c r="Q234" s="17" t="str">
        <f aca="false">IF((E234="o"),H234," ")</f>
        <v> </v>
      </c>
      <c r="R234" s="17" t="str">
        <f aca="false">IF((E234="d"),H234," ")</f>
        <v> </v>
      </c>
      <c r="S234" s="17" t="str">
        <f aca="false">IF((E234="w"),H234," ")</f>
        <v> </v>
      </c>
      <c r="T234" s="17" t="str">
        <f aca="false">IF((E234="r"),H234," ")</f>
        <v> </v>
      </c>
      <c r="U234" s="17" t="str">
        <f aca="false">IF((E234="p"),H234," ")</f>
        <v> </v>
      </c>
      <c r="V234" s="17" t="str">
        <f aca="false">IF((E234="t"),H234," ")</f>
        <v> </v>
      </c>
      <c r="W234" s="17" t="str">
        <f aca="false">IF((E234="q"),H234," ")</f>
        <v> </v>
      </c>
      <c r="X234" s="17" t="str">
        <f aca="false">IF((E234="m"),H234," ")</f>
        <v> </v>
      </c>
      <c r="Y234" s="17" t="str">
        <f aca="false">IF((E234="u"),H234," ")</f>
        <v> </v>
      </c>
      <c r="Z234" s="17" t="str">
        <f aca="false">IF((E234="a"),H234," ")</f>
        <v> </v>
      </c>
      <c r="AA234" s="17" t="str">
        <f aca="false">IF((E234="g"),H234," ")</f>
        <v> </v>
      </c>
      <c r="AB234" s="17" t="str">
        <f aca="false">IF((E234="h"),H234," ")</f>
        <v> </v>
      </c>
      <c r="AC234" s="30" t="str">
        <f aca="false">IF((E234="v"),H234," ")</f>
        <v> </v>
      </c>
      <c r="AD234" s="30" t="str">
        <f aca="false">IF((E234="n"),H234," ")</f>
        <v> </v>
      </c>
      <c r="AE234" s="17" t="str">
        <f aca="false">IF((E234="f"),H234," ")</f>
        <v> </v>
      </c>
      <c r="AF234" s="17" t="str">
        <f aca="false">IF((E234="l"),H234," ")</f>
        <v> </v>
      </c>
      <c r="AG234" s="17" t="str">
        <f aca="false">IF((E234="y"),H234," ")</f>
        <v> </v>
      </c>
      <c r="AH234" s="17" t="str">
        <f aca="false">IF((E234="z"),H234," ")</f>
        <v> </v>
      </c>
      <c r="AI234" s="17" t="str">
        <f aca="false">IF((E234="fa"),H234," ")</f>
        <v> </v>
      </c>
      <c r="AJ234" s="17" t="str">
        <f aca="false">IF((E234="e"),H234," ")</f>
        <v> </v>
      </c>
    </row>
    <row r="235" customFormat="false" ht="12" hidden="false" customHeight="false" outlineLevel="0" collapsed="false">
      <c r="A235" s="28"/>
      <c r="E235" s="2" t="str">
        <f aca="false">IF((F235&lt;&gt;0),"Enter Letter"," ")</f>
        <v> </v>
      </c>
      <c r="F235" s="30"/>
      <c r="G235" s="6" t="str">
        <f aca="false">IF(F235&lt;&gt;0,F235*G$2/(100+G$2)," ")</f>
        <v> </v>
      </c>
      <c r="H235" s="6" t="str">
        <f aca="false">IF((F235&lt;&gt;0),F235-G235," ")</f>
        <v> </v>
      </c>
      <c r="I235" s="5"/>
      <c r="L235" s="7" t="str">
        <f aca="false">IF(F235&lt;&gt;0,F235-K235," ")</f>
        <v> </v>
      </c>
      <c r="M235" s="8" t="str">
        <f aca="false">IF((F235-K235)&lt;&gt;0,M$1-A235," ")</f>
        <v> </v>
      </c>
      <c r="N235" s="5"/>
      <c r="O235" s="17" t="str">
        <f aca="false">IF((E235="s"),H235," ")</f>
        <v> </v>
      </c>
      <c r="P235" s="17" t="str">
        <f aca="false">IF((E235="c"),H235," ")</f>
        <v> </v>
      </c>
      <c r="Q235" s="17" t="str">
        <f aca="false">IF((E235="o"),H235," ")</f>
        <v> </v>
      </c>
      <c r="R235" s="17" t="str">
        <f aca="false">IF((E235="d"),H235," ")</f>
        <v> </v>
      </c>
      <c r="S235" s="17" t="str">
        <f aca="false">IF((E235="w"),H235," ")</f>
        <v> </v>
      </c>
      <c r="T235" s="17" t="str">
        <f aca="false">IF((E235="r"),H235," ")</f>
        <v> </v>
      </c>
      <c r="U235" s="17" t="str">
        <f aca="false">IF((E235="p"),H235," ")</f>
        <v> </v>
      </c>
      <c r="V235" s="17" t="str">
        <f aca="false">IF((E235="t"),H235," ")</f>
        <v> </v>
      </c>
      <c r="W235" s="17" t="str">
        <f aca="false">IF((E235="q"),H235," ")</f>
        <v> </v>
      </c>
      <c r="X235" s="17" t="str">
        <f aca="false">IF((E235="m"),H235," ")</f>
        <v> </v>
      </c>
      <c r="Y235" s="17" t="str">
        <f aca="false">IF((E235="u"),H235," ")</f>
        <v> </v>
      </c>
      <c r="Z235" s="17" t="str">
        <f aca="false">IF((E235="a"),H235," ")</f>
        <v> </v>
      </c>
      <c r="AA235" s="17" t="str">
        <f aca="false">IF((E235="g"),H235," ")</f>
        <v> </v>
      </c>
      <c r="AB235" s="17" t="str">
        <f aca="false">IF((E235="h"),H235," ")</f>
        <v> </v>
      </c>
      <c r="AC235" s="30" t="str">
        <f aca="false">IF((E235="v"),H235," ")</f>
        <v> </v>
      </c>
      <c r="AD235" s="30" t="str">
        <f aca="false">IF((E235="n"),H235," ")</f>
        <v> </v>
      </c>
      <c r="AE235" s="17" t="str">
        <f aca="false">IF((E235="f"),H235," ")</f>
        <v> </v>
      </c>
      <c r="AF235" s="17" t="str">
        <f aca="false">IF((E235="l"),H235," ")</f>
        <v> </v>
      </c>
      <c r="AG235" s="17" t="str">
        <f aca="false">IF((E235="y"),H235," ")</f>
        <v> </v>
      </c>
      <c r="AH235" s="17" t="str">
        <f aca="false">IF((E235="z"),H235," ")</f>
        <v> </v>
      </c>
      <c r="AI235" s="17" t="str">
        <f aca="false">IF((E235="fa"),H235," ")</f>
        <v> </v>
      </c>
      <c r="AJ235" s="17" t="str">
        <f aca="false">IF((E235="e"),H235," ")</f>
        <v> </v>
      </c>
    </row>
    <row r="236" customFormat="false" ht="12" hidden="false" customHeight="false" outlineLevel="0" collapsed="false">
      <c r="A236" s="28"/>
      <c r="E236" s="2" t="str">
        <f aca="false">IF((F236&lt;&gt;0),"Enter Letter"," ")</f>
        <v> </v>
      </c>
      <c r="F236" s="30"/>
      <c r="G236" s="6" t="str">
        <f aca="false">IF(F236&lt;&gt;0,F236*G$2/(100+G$2)," ")</f>
        <v> </v>
      </c>
      <c r="H236" s="6" t="str">
        <f aca="false">IF((F236&lt;&gt;0),F236-G236," ")</f>
        <v> </v>
      </c>
      <c r="I236" s="5"/>
      <c r="L236" s="7" t="str">
        <f aca="false">IF(F236&lt;&gt;0,F236-K236," ")</f>
        <v> </v>
      </c>
      <c r="M236" s="8" t="str">
        <f aca="false">IF((F236-K236)&lt;&gt;0,M$1-A236," ")</f>
        <v> </v>
      </c>
      <c r="N236" s="5"/>
      <c r="O236" s="17" t="str">
        <f aca="false">IF((E236="s"),H236," ")</f>
        <v> </v>
      </c>
      <c r="P236" s="17" t="str">
        <f aca="false">IF((E236="c"),H236," ")</f>
        <v> </v>
      </c>
      <c r="Q236" s="17" t="str">
        <f aca="false">IF((E236="o"),H236," ")</f>
        <v> </v>
      </c>
      <c r="R236" s="17" t="str">
        <f aca="false">IF((E236="d"),H236," ")</f>
        <v> </v>
      </c>
      <c r="S236" s="17" t="str">
        <f aca="false">IF((E236="w"),H236," ")</f>
        <v> </v>
      </c>
      <c r="T236" s="17" t="str">
        <f aca="false">IF((E236="r"),H236," ")</f>
        <v> </v>
      </c>
      <c r="U236" s="17" t="str">
        <f aca="false">IF((E236="p"),H236," ")</f>
        <v> </v>
      </c>
      <c r="V236" s="17" t="str">
        <f aca="false">IF((E236="t"),H236," ")</f>
        <v> </v>
      </c>
      <c r="W236" s="17" t="str">
        <f aca="false">IF((E236="q"),H236," ")</f>
        <v> </v>
      </c>
      <c r="X236" s="17" t="str">
        <f aca="false">IF((E236="m"),H236," ")</f>
        <v> </v>
      </c>
      <c r="Y236" s="17" t="str">
        <f aca="false">IF((E236="u"),H236," ")</f>
        <v> </v>
      </c>
      <c r="Z236" s="17" t="str">
        <f aca="false">IF((E236="a"),H236," ")</f>
        <v> </v>
      </c>
      <c r="AA236" s="17" t="str">
        <f aca="false">IF((E236="g"),H236," ")</f>
        <v> </v>
      </c>
      <c r="AB236" s="17" t="str">
        <f aca="false">IF((E236="h"),H236," ")</f>
        <v> </v>
      </c>
      <c r="AC236" s="30" t="str">
        <f aca="false">IF((E236="v"),H236," ")</f>
        <v> </v>
      </c>
      <c r="AD236" s="30" t="str">
        <f aca="false">IF((E236="n"),H236," ")</f>
        <v> </v>
      </c>
      <c r="AE236" s="17" t="str">
        <f aca="false">IF((E236="f"),H236," ")</f>
        <v> </v>
      </c>
      <c r="AF236" s="17" t="str">
        <f aca="false">IF((E236="l"),H236," ")</f>
        <v> </v>
      </c>
      <c r="AG236" s="17" t="str">
        <f aca="false">IF((E236="y"),H236," ")</f>
        <v> </v>
      </c>
      <c r="AH236" s="17" t="str">
        <f aca="false">IF((E236="z"),H236," ")</f>
        <v> </v>
      </c>
      <c r="AI236" s="17" t="str">
        <f aca="false">IF((E236="fa"),H236," ")</f>
        <v> </v>
      </c>
      <c r="AJ236" s="17" t="str">
        <f aca="false">IF((E236="e"),H236," ")</f>
        <v> </v>
      </c>
    </row>
    <row r="237" customFormat="false" ht="12" hidden="false" customHeight="false" outlineLevel="0" collapsed="false">
      <c r="A237" s="28"/>
      <c r="E237" s="2" t="str">
        <f aca="false">IF((F237&lt;&gt;0),"Enter Letter"," ")</f>
        <v> </v>
      </c>
      <c r="F237" s="30"/>
      <c r="G237" s="6" t="str">
        <f aca="false">IF(F237&lt;&gt;0,F237*G$2/(100+G$2)," ")</f>
        <v> </v>
      </c>
      <c r="H237" s="6" t="str">
        <f aca="false">IF((F237&lt;&gt;0),F237-G237," ")</f>
        <v> </v>
      </c>
      <c r="I237" s="5"/>
      <c r="L237" s="7" t="str">
        <f aca="false">IF(F237&lt;&gt;0,F237-K237," ")</f>
        <v> </v>
      </c>
      <c r="M237" s="8" t="str">
        <f aca="false">IF((F237-K237)&lt;&gt;0,M$1-A237," ")</f>
        <v> </v>
      </c>
      <c r="N237" s="5"/>
      <c r="O237" s="17" t="str">
        <f aca="false">IF((E237="s"),H237," ")</f>
        <v> </v>
      </c>
      <c r="P237" s="17" t="str">
        <f aca="false">IF((E237="c"),H237," ")</f>
        <v> </v>
      </c>
      <c r="Q237" s="17" t="str">
        <f aca="false">IF((E237="o"),H237," ")</f>
        <v> </v>
      </c>
      <c r="R237" s="17" t="str">
        <f aca="false">IF((E237="d"),H237," ")</f>
        <v> </v>
      </c>
      <c r="S237" s="17" t="str">
        <f aca="false">IF((E237="w"),H237," ")</f>
        <v> </v>
      </c>
      <c r="T237" s="17" t="str">
        <f aca="false">IF((E237="r"),H237," ")</f>
        <v> </v>
      </c>
      <c r="U237" s="17" t="str">
        <f aca="false">IF((E237="p"),H237," ")</f>
        <v> </v>
      </c>
      <c r="V237" s="17" t="str">
        <f aca="false">IF((E237="t"),H237," ")</f>
        <v> </v>
      </c>
      <c r="W237" s="17" t="str">
        <f aca="false">IF((E237="q"),H237," ")</f>
        <v> </v>
      </c>
      <c r="X237" s="17" t="str">
        <f aca="false">IF((E237="m"),H237," ")</f>
        <v> </v>
      </c>
      <c r="Y237" s="17" t="str">
        <f aca="false">IF((E237="u"),H237," ")</f>
        <v> </v>
      </c>
      <c r="Z237" s="17" t="str">
        <f aca="false">IF((E237="a"),H237," ")</f>
        <v> </v>
      </c>
      <c r="AA237" s="17" t="str">
        <f aca="false">IF((E237="g"),H237," ")</f>
        <v> </v>
      </c>
      <c r="AB237" s="17" t="str">
        <f aca="false">IF((E237="h"),H237," ")</f>
        <v> </v>
      </c>
      <c r="AC237" s="30" t="str">
        <f aca="false">IF((E237="v"),H237," ")</f>
        <v> </v>
      </c>
      <c r="AD237" s="30" t="str">
        <f aca="false">IF((E237="n"),H237," ")</f>
        <v> </v>
      </c>
      <c r="AE237" s="17" t="str">
        <f aca="false">IF((E237="f"),H237," ")</f>
        <v> </v>
      </c>
      <c r="AF237" s="17" t="str">
        <f aca="false">IF((E237="l"),H237," ")</f>
        <v> </v>
      </c>
      <c r="AG237" s="17" t="str">
        <f aca="false">IF((E237="y"),H237," ")</f>
        <v> </v>
      </c>
      <c r="AH237" s="17" t="str">
        <f aca="false">IF((E237="z"),H237," ")</f>
        <v> </v>
      </c>
      <c r="AI237" s="17" t="str">
        <f aca="false">IF((E237="fa"),H237," ")</f>
        <v> </v>
      </c>
      <c r="AJ237" s="17" t="str">
        <f aca="false">IF((E237="e"),H237," ")</f>
        <v> </v>
      </c>
    </row>
    <row r="238" customFormat="false" ht="12" hidden="false" customHeight="false" outlineLevel="0" collapsed="false">
      <c r="A238" s="28"/>
      <c r="E238" s="2" t="str">
        <f aca="false">IF((F238&lt;&gt;0),"Enter Letter"," ")</f>
        <v> </v>
      </c>
      <c r="F238" s="30"/>
      <c r="G238" s="6" t="str">
        <f aca="false">IF(F238&lt;&gt;0,F238*G$2/(100+G$2)," ")</f>
        <v> </v>
      </c>
      <c r="H238" s="6" t="str">
        <f aca="false">IF((F238&lt;&gt;0),F238-G238," ")</f>
        <v> </v>
      </c>
      <c r="I238" s="5"/>
      <c r="L238" s="7" t="str">
        <f aca="false">IF(F238&lt;&gt;0,F238-K238," ")</f>
        <v> </v>
      </c>
      <c r="M238" s="8" t="str">
        <f aca="false">IF((F238-K238)&lt;&gt;0,M$1-A238," ")</f>
        <v> </v>
      </c>
      <c r="N238" s="5"/>
      <c r="O238" s="17" t="str">
        <f aca="false">IF((E238="s"),H238," ")</f>
        <v> </v>
      </c>
      <c r="P238" s="17" t="str">
        <f aca="false">IF((E238="c"),H238," ")</f>
        <v> </v>
      </c>
      <c r="Q238" s="17" t="str">
        <f aca="false">IF((E238="o"),H238," ")</f>
        <v> </v>
      </c>
      <c r="R238" s="17" t="str">
        <f aca="false">IF((E238="d"),H238," ")</f>
        <v> </v>
      </c>
      <c r="S238" s="17" t="str">
        <f aca="false">IF((E238="w"),H238," ")</f>
        <v> </v>
      </c>
      <c r="T238" s="17" t="str">
        <f aca="false">IF((E238="r"),H238," ")</f>
        <v> </v>
      </c>
      <c r="U238" s="17" t="str">
        <f aca="false">IF((E238="p"),H238," ")</f>
        <v> </v>
      </c>
      <c r="V238" s="17" t="str">
        <f aca="false">IF((E238="t"),H238," ")</f>
        <v> </v>
      </c>
      <c r="W238" s="17" t="str">
        <f aca="false">IF((E238="q"),H238," ")</f>
        <v> </v>
      </c>
      <c r="X238" s="17" t="str">
        <f aca="false">IF((E238="m"),H238," ")</f>
        <v> </v>
      </c>
      <c r="Y238" s="17" t="str">
        <f aca="false">IF((E238="u"),H238," ")</f>
        <v> </v>
      </c>
      <c r="Z238" s="17" t="str">
        <f aca="false">IF((E238="a"),H238," ")</f>
        <v> </v>
      </c>
      <c r="AA238" s="17" t="str">
        <f aca="false">IF((E238="g"),H238," ")</f>
        <v> </v>
      </c>
      <c r="AB238" s="17" t="str">
        <f aca="false">IF((E238="h"),H238," ")</f>
        <v> </v>
      </c>
      <c r="AC238" s="30" t="str">
        <f aca="false">IF((E238="v"),H238," ")</f>
        <v> </v>
      </c>
      <c r="AD238" s="30" t="str">
        <f aca="false">IF((E238="n"),H238," ")</f>
        <v> </v>
      </c>
      <c r="AE238" s="17" t="str">
        <f aca="false">IF((E238="f"),H238," ")</f>
        <v> </v>
      </c>
      <c r="AF238" s="17" t="str">
        <f aca="false">IF((E238="l"),H238," ")</f>
        <v> </v>
      </c>
      <c r="AG238" s="17" t="str">
        <f aca="false">IF((E238="y"),H238," ")</f>
        <v> </v>
      </c>
      <c r="AH238" s="17" t="str">
        <f aca="false">IF((E238="z"),H238," ")</f>
        <v> </v>
      </c>
      <c r="AI238" s="17" t="str">
        <f aca="false">IF((E238="fa"),H238," ")</f>
        <v> </v>
      </c>
      <c r="AJ238" s="17" t="str">
        <f aca="false">IF((E238="e"),H238," ")</f>
        <v> </v>
      </c>
    </row>
    <row r="239" customFormat="false" ht="12" hidden="false" customHeight="false" outlineLevel="0" collapsed="false">
      <c r="A239" s="28"/>
      <c r="E239" s="2" t="str">
        <f aca="false">IF((F239&lt;&gt;0),"Enter Letter"," ")</f>
        <v> </v>
      </c>
      <c r="F239" s="30"/>
      <c r="G239" s="6" t="str">
        <f aca="false">IF(F239&lt;&gt;0,F239*G$2/(100+G$2)," ")</f>
        <v> </v>
      </c>
      <c r="H239" s="6" t="str">
        <f aca="false">IF((F239&lt;&gt;0),F239-G239," ")</f>
        <v> </v>
      </c>
      <c r="I239" s="5"/>
      <c r="L239" s="7" t="str">
        <f aca="false">IF(F239&lt;&gt;0,F239-K239," ")</f>
        <v> </v>
      </c>
      <c r="M239" s="8" t="str">
        <f aca="false">IF((F239-K239)&lt;&gt;0,M$1-A239," ")</f>
        <v> </v>
      </c>
      <c r="N239" s="5"/>
      <c r="O239" s="17" t="str">
        <f aca="false">IF((E239="s"),H239," ")</f>
        <v> </v>
      </c>
      <c r="P239" s="17" t="str">
        <f aca="false">IF((E239="c"),H239," ")</f>
        <v> </v>
      </c>
      <c r="Q239" s="17" t="str">
        <f aca="false">IF((E239="o"),H239," ")</f>
        <v> </v>
      </c>
      <c r="R239" s="17" t="str">
        <f aca="false">IF((E239="d"),H239," ")</f>
        <v> </v>
      </c>
      <c r="S239" s="17" t="str">
        <f aca="false">IF((E239="w"),H239," ")</f>
        <v> </v>
      </c>
      <c r="T239" s="17" t="str">
        <f aca="false">IF((E239="r"),H239," ")</f>
        <v> </v>
      </c>
      <c r="U239" s="17" t="str">
        <f aca="false">IF((E239="p"),H239," ")</f>
        <v> </v>
      </c>
      <c r="V239" s="17" t="str">
        <f aca="false">IF((E239="t"),H239," ")</f>
        <v> </v>
      </c>
      <c r="W239" s="17" t="str">
        <f aca="false">IF((E239="q"),H239," ")</f>
        <v> </v>
      </c>
      <c r="X239" s="17" t="str">
        <f aca="false">IF((E239="m"),H239," ")</f>
        <v> </v>
      </c>
      <c r="Y239" s="17" t="str">
        <f aca="false">IF((E239="u"),H239," ")</f>
        <v> </v>
      </c>
      <c r="Z239" s="17" t="str">
        <f aca="false">IF((E239="a"),H239," ")</f>
        <v> </v>
      </c>
      <c r="AA239" s="17" t="str">
        <f aca="false">IF((E239="g"),H239," ")</f>
        <v> </v>
      </c>
      <c r="AB239" s="17" t="str">
        <f aca="false">IF((E239="h"),H239," ")</f>
        <v> </v>
      </c>
      <c r="AC239" s="30" t="str">
        <f aca="false">IF((E239="v"),H239," ")</f>
        <v> </v>
      </c>
      <c r="AD239" s="30" t="str">
        <f aca="false">IF((E239="n"),H239," ")</f>
        <v> </v>
      </c>
      <c r="AE239" s="17" t="str">
        <f aca="false">IF((E239="f"),H239," ")</f>
        <v> </v>
      </c>
      <c r="AF239" s="17" t="str">
        <f aca="false">IF((E239="l"),H239," ")</f>
        <v> </v>
      </c>
      <c r="AG239" s="17" t="str">
        <f aca="false">IF((E239="y"),H239," ")</f>
        <v> </v>
      </c>
      <c r="AH239" s="17" t="str">
        <f aca="false">IF((E239="z"),H239," ")</f>
        <v> </v>
      </c>
      <c r="AI239" s="17" t="str">
        <f aca="false">IF((E239="fa"),H239," ")</f>
        <v> </v>
      </c>
      <c r="AJ239" s="17" t="str">
        <f aca="false">IF((E239="e"),H239," ")</f>
        <v> </v>
      </c>
    </row>
    <row r="240" customFormat="false" ht="12" hidden="false" customHeight="false" outlineLevel="0" collapsed="false">
      <c r="A240" s="28"/>
      <c r="E240" s="2" t="str">
        <f aca="false">IF((F240&lt;&gt;0),"Enter Letter"," ")</f>
        <v> </v>
      </c>
      <c r="F240" s="30"/>
      <c r="G240" s="6" t="str">
        <f aca="false">IF(F240&lt;&gt;0,F240*G$2/(100+G$2)," ")</f>
        <v> </v>
      </c>
      <c r="H240" s="6" t="str">
        <f aca="false">IF((F240&lt;&gt;0),F240-G240," ")</f>
        <v> </v>
      </c>
      <c r="I240" s="5"/>
      <c r="L240" s="7" t="str">
        <f aca="false">IF(F240&lt;&gt;0,F240-K240," ")</f>
        <v> </v>
      </c>
      <c r="M240" s="8" t="str">
        <f aca="false">IF((F240-K240)&lt;&gt;0,M$1-A240," ")</f>
        <v> </v>
      </c>
      <c r="N240" s="5"/>
      <c r="O240" s="17" t="str">
        <f aca="false">IF((E240="s"),H240," ")</f>
        <v> </v>
      </c>
      <c r="P240" s="17" t="str">
        <f aca="false">IF((E240="c"),H240," ")</f>
        <v> </v>
      </c>
      <c r="Q240" s="17" t="str">
        <f aca="false">IF((E240="o"),H240," ")</f>
        <v> </v>
      </c>
      <c r="R240" s="17" t="str">
        <f aca="false">IF((E240="d"),H240," ")</f>
        <v> </v>
      </c>
      <c r="S240" s="17" t="str">
        <f aca="false">IF((E240="w"),H240," ")</f>
        <v> </v>
      </c>
      <c r="T240" s="17" t="str">
        <f aca="false">IF((E240="r"),H240," ")</f>
        <v> </v>
      </c>
      <c r="U240" s="17" t="str">
        <f aca="false">IF((E240="p"),H240," ")</f>
        <v> </v>
      </c>
      <c r="V240" s="17" t="str">
        <f aca="false">IF((E240="t"),H240," ")</f>
        <v> </v>
      </c>
      <c r="W240" s="17" t="str">
        <f aca="false">IF((E240="q"),H240," ")</f>
        <v> </v>
      </c>
      <c r="X240" s="17" t="str">
        <f aca="false">IF((E240="m"),H240," ")</f>
        <v> </v>
      </c>
      <c r="Y240" s="17" t="str">
        <f aca="false">IF((E240="u"),H240," ")</f>
        <v> </v>
      </c>
      <c r="Z240" s="17" t="str">
        <f aca="false">IF((E240="a"),H240," ")</f>
        <v> </v>
      </c>
      <c r="AA240" s="17" t="str">
        <f aca="false">IF((E240="g"),H240," ")</f>
        <v> </v>
      </c>
      <c r="AB240" s="17" t="str">
        <f aca="false">IF((E240="h"),H240," ")</f>
        <v> </v>
      </c>
      <c r="AC240" s="30" t="str">
        <f aca="false">IF((E240="v"),H240," ")</f>
        <v> </v>
      </c>
      <c r="AD240" s="30" t="str">
        <f aca="false">IF((E240="n"),H240," ")</f>
        <v> </v>
      </c>
      <c r="AE240" s="17" t="str">
        <f aca="false">IF((E240="f"),H240," ")</f>
        <v> </v>
      </c>
      <c r="AF240" s="17" t="str">
        <f aca="false">IF((E240="l"),H240," ")</f>
        <v> </v>
      </c>
      <c r="AG240" s="17" t="str">
        <f aca="false">IF((E240="y"),H240," ")</f>
        <v> </v>
      </c>
      <c r="AH240" s="17" t="str">
        <f aca="false">IF((E240="z"),H240," ")</f>
        <v> </v>
      </c>
      <c r="AI240" s="17" t="str">
        <f aca="false">IF((E240="fa"),H240," ")</f>
        <v> </v>
      </c>
      <c r="AJ240" s="17" t="str">
        <f aca="false">IF((E240="e"),H240," ")</f>
        <v> </v>
      </c>
    </row>
    <row r="241" customFormat="false" ht="12" hidden="false" customHeight="false" outlineLevel="0" collapsed="false">
      <c r="A241" s="28"/>
      <c r="E241" s="2" t="str">
        <f aca="false">IF((F241&lt;&gt;0),"Enter Letter"," ")</f>
        <v> </v>
      </c>
      <c r="F241" s="30"/>
      <c r="G241" s="6" t="str">
        <f aca="false">IF(F241&lt;&gt;0,F241*G$2/(100+G$2)," ")</f>
        <v> </v>
      </c>
      <c r="H241" s="6" t="str">
        <f aca="false">IF((F241&lt;&gt;0),F241-G241," ")</f>
        <v> </v>
      </c>
      <c r="I241" s="5"/>
      <c r="L241" s="7" t="str">
        <f aca="false">IF(F241&lt;&gt;0,F241-K241," ")</f>
        <v> </v>
      </c>
      <c r="M241" s="8" t="str">
        <f aca="false">IF((F241-K241)&lt;&gt;0,M$1-A241," ")</f>
        <v> </v>
      </c>
      <c r="N241" s="5"/>
      <c r="O241" s="17" t="str">
        <f aca="false">IF((E241="s"),H241," ")</f>
        <v> </v>
      </c>
      <c r="P241" s="17" t="str">
        <f aca="false">IF((E241="c"),H241," ")</f>
        <v> </v>
      </c>
      <c r="Q241" s="17" t="str">
        <f aca="false">IF((E241="o"),H241," ")</f>
        <v> </v>
      </c>
      <c r="R241" s="17" t="str">
        <f aca="false">IF((E241="d"),H241," ")</f>
        <v> </v>
      </c>
      <c r="S241" s="17" t="str">
        <f aca="false">IF((E241="w"),H241," ")</f>
        <v> </v>
      </c>
      <c r="T241" s="17" t="str">
        <f aca="false">IF((E241="r"),H241," ")</f>
        <v> </v>
      </c>
      <c r="U241" s="17" t="str">
        <f aca="false">IF((E241="p"),H241," ")</f>
        <v> </v>
      </c>
      <c r="V241" s="17" t="str">
        <f aca="false">IF((E241="t"),H241," ")</f>
        <v> </v>
      </c>
      <c r="W241" s="17" t="str">
        <f aca="false">IF((E241="q"),H241," ")</f>
        <v> </v>
      </c>
      <c r="X241" s="17" t="str">
        <f aca="false">IF((E241="m"),H241," ")</f>
        <v> </v>
      </c>
      <c r="Y241" s="17" t="str">
        <f aca="false">IF((E241="u"),H241," ")</f>
        <v> </v>
      </c>
      <c r="Z241" s="17" t="str">
        <f aca="false">IF((E241="a"),H241," ")</f>
        <v> </v>
      </c>
      <c r="AA241" s="17" t="str">
        <f aca="false">IF((E241="g"),H241," ")</f>
        <v> </v>
      </c>
      <c r="AB241" s="17" t="str">
        <f aca="false">IF((E241="h"),H241," ")</f>
        <v> </v>
      </c>
      <c r="AC241" s="30" t="str">
        <f aca="false">IF((E241="v"),H241," ")</f>
        <v> </v>
      </c>
      <c r="AD241" s="30" t="str">
        <f aca="false">IF((E241="n"),H241," ")</f>
        <v> </v>
      </c>
      <c r="AE241" s="17" t="str">
        <f aca="false">IF((E241="f"),H241," ")</f>
        <v> </v>
      </c>
      <c r="AF241" s="17" t="str">
        <f aca="false">IF((E241="l"),H241," ")</f>
        <v> </v>
      </c>
      <c r="AG241" s="17" t="str">
        <f aca="false">IF((E241="y"),H241," ")</f>
        <v> </v>
      </c>
      <c r="AH241" s="17" t="str">
        <f aca="false">IF((E241="z"),H241," ")</f>
        <v> </v>
      </c>
      <c r="AI241" s="17" t="str">
        <f aca="false">IF((E241="fa"),H241," ")</f>
        <v> </v>
      </c>
      <c r="AJ241" s="17" t="str">
        <f aca="false">IF((E241="e"),H241," ")</f>
        <v> </v>
      </c>
    </row>
    <row r="242" customFormat="false" ht="12" hidden="false" customHeight="false" outlineLevel="0" collapsed="false">
      <c r="A242" s="28"/>
      <c r="E242" s="2" t="str">
        <f aca="false">IF((F242&lt;&gt;0),"Enter Letter"," ")</f>
        <v> </v>
      </c>
      <c r="F242" s="30"/>
      <c r="G242" s="6" t="str">
        <f aca="false">IF(F242&lt;&gt;0,F242*G$2/(100+G$2)," ")</f>
        <v> </v>
      </c>
      <c r="H242" s="6" t="str">
        <f aca="false">IF((F242&lt;&gt;0),F242-G242," ")</f>
        <v> </v>
      </c>
      <c r="I242" s="5"/>
      <c r="L242" s="7" t="str">
        <f aca="false">IF(F242&lt;&gt;0,F242-K242," ")</f>
        <v> </v>
      </c>
      <c r="M242" s="8" t="str">
        <f aca="false">IF((F242-K242)&lt;&gt;0,M$1-A242," ")</f>
        <v> </v>
      </c>
      <c r="N242" s="5"/>
      <c r="O242" s="17" t="str">
        <f aca="false">IF((E242="s"),H242," ")</f>
        <v> </v>
      </c>
      <c r="P242" s="17" t="str">
        <f aca="false">IF((E242="c"),H242," ")</f>
        <v> </v>
      </c>
      <c r="Q242" s="17" t="str">
        <f aca="false">IF((E242="o"),H242," ")</f>
        <v> </v>
      </c>
      <c r="R242" s="17" t="str">
        <f aca="false">IF((E242="d"),H242," ")</f>
        <v> </v>
      </c>
      <c r="S242" s="17" t="str">
        <f aca="false">IF((E242="w"),H242," ")</f>
        <v> </v>
      </c>
      <c r="T242" s="17" t="str">
        <f aca="false">IF((E242="r"),H242," ")</f>
        <v> </v>
      </c>
      <c r="U242" s="17" t="str">
        <f aca="false">IF((E242="p"),H242," ")</f>
        <v> </v>
      </c>
      <c r="V242" s="17" t="str">
        <f aca="false">IF((E242="t"),H242," ")</f>
        <v> </v>
      </c>
      <c r="W242" s="17" t="str">
        <f aca="false">IF((E242="q"),H242," ")</f>
        <v> </v>
      </c>
      <c r="X242" s="17" t="str">
        <f aca="false">IF((E242="m"),H242," ")</f>
        <v> </v>
      </c>
      <c r="Y242" s="17" t="str">
        <f aca="false">IF((E242="u"),H242," ")</f>
        <v> </v>
      </c>
      <c r="Z242" s="17" t="str">
        <f aca="false">IF((E242="a"),H242," ")</f>
        <v> </v>
      </c>
      <c r="AA242" s="17" t="str">
        <f aca="false">IF((E242="g"),H242," ")</f>
        <v> </v>
      </c>
      <c r="AB242" s="17" t="str">
        <f aca="false">IF((E242="h"),H242," ")</f>
        <v> </v>
      </c>
      <c r="AC242" s="30" t="str">
        <f aca="false">IF((E242="v"),H242," ")</f>
        <v> </v>
      </c>
      <c r="AD242" s="30" t="str">
        <f aca="false">IF((E242="n"),H242," ")</f>
        <v> </v>
      </c>
      <c r="AE242" s="17" t="str">
        <f aca="false">IF((E242="f"),H242," ")</f>
        <v> </v>
      </c>
      <c r="AF242" s="17" t="str">
        <f aca="false">IF((E242="l"),H242," ")</f>
        <v> </v>
      </c>
      <c r="AG242" s="17" t="str">
        <f aca="false">IF((E242="y"),H242," ")</f>
        <v> </v>
      </c>
      <c r="AH242" s="17" t="str">
        <f aca="false">IF((E242="z"),H242," ")</f>
        <v> </v>
      </c>
      <c r="AI242" s="17" t="str">
        <f aca="false">IF((E242="fa"),H242," ")</f>
        <v> </v>
      </c>
      <c r="AJ242" s="17" t="str">
        <f aca="false">IF((E242="e"),H242," ")</f>
        <v> </v>
      </c>
    </row>
    <row r="243" customFormat="false" ht="12" hidden="false" customHeight="false" outlineLevel="0" collapsed="false">
      <c r="A243" s="28"/>
      <c r="E243" s="2" t="str">
        <f aca="false">IF((F243&lt;&gt;0),"Enter Letter"," ")</f>
        <v> </v>
      </c>
      <c r="F243" s="30"/>
      <c r="G243" s="6" t="str">
        <f aca="false">IF(F243&lt;&gt;0,F243*G$2/(100+G$2)," ")</f>
        <v> </v>
      </c>
      <c r="H243" s="6" t="str">
        <f aca="false">IF((F243&lt;&gt;0),F243-G243," ")</f>
        <v> </v>
      </c>
      <c r="I243" s="5"/>
      <c r="L243" s="7" t="str">
        <f aca="false">IF(F243&lt;&gt;0,F243-K243," ")</f>
        <v> </v>
      </c>
      <c r="M243" s="8" t="str">
        <f aca="false">IF((F243-K243)&lt;&gt;0,M$1-A243," ")</f>
        <v> </v>
      </c>
      <c r="N243" s="5"/>
      <c r="O243" s="17" t="str">
        <f aca="false">IF((E243="s"),H243," ")</f>
        <v> </v>
      </c>
      <c r="P243" s="17" t="str">
        <f aca="false">IF((E243="c"),H243," ")</f>
        <v> </v>
      </c>
      <c r="Q243" s="17" t="str">
        <f aca="false">IF((E243="o"),H243," ")</f>
        <v> </v>
      </c>
      <c r="R243" s="17" t="str">
        <f aca="false">IF((E243="d"),H243," ")</f>
        <v> </v>
      </c>
      <c r="S243" s="17" t="str">
        <f aca="false">IF((E243="w"),H243," ")</f>
        <v> </v>
      </c>
      <c r="T243" s="17" t="str">
        <f aca="false">IF((E243="r"),H243," ")</f>
        <v> </v>
      </c>
      <c r="U243" s="17" t="str">
        <f aca="false">IF((E243="p"),H243," ")</f>
        <v> </v>
      </c>
      <c r="V243" s="17" t="str">
        <f aca="false">IF((E243="t"),H243," ")</f>
        <v> </v>
      </c>
      <c r="W243" s="17" t="str">
        <f aca="false">IF((E243="q"),H243," ")</f>
        <v> </v>
      </c>
      <c r="X243" s="17" t="str">
        <f aca="false">IF((E243="m"),H243," ")</f>
        <v> </v>
      </c>
      <c r="Y243" s="17" t="str">
        <f aca="false">IF((E243="u"),H243," ")</f>
        <v> </v>
      </c>
      <c r="Z243" s="17" t="str">
        <f aca="false">IF((E243="a"),H243," ")</f>
        <v> </v>
      </c>
      <c r="AA243" s="17" t="str">
        <f aca="false">IF((E243="g"),H243," ")</f>
        <v> </v>
      </c>
      <c r="AB243" s="17" t="str">
        <f aca="false">IF((E243="h"),H243," ")</f>
        <v> </v>
      </c>
      <c r="AC243" s="30" t="str">
        <f aca="false">IF((E243="v"),H243," ")</f>
        <v> </v>
      </c>
      <c r="AD243" s="30" t="str">
        <f aca="false">IF((E243="n"),H243," ")</f>
        <v> </v>
      </c>
      <c r="AE243" s="17" t="str">
        <f aca="false">IF((E243="f"),H243," ")</f>
        <v> </v>
      </c>
      <c r="AF243" s="17" t="str">
        <f aca="false">IF((E243="l"),H243," ")</f>
        <v> </v>
      </c>
      <c r="AG243" s="17" t="str">
        <f aca="false">IF((E243="y"),H243," ")</f>
        <v> </v>
      </c>
      <c r="AH243" s="17" t="str">
        <f aca="false">IF((E243="z"),H243," ")</f>
        <v> </v>
      </c>
      <c r="AI243" s="17" t="str">
        <f aca="false">IF((E243="fa"),H243," ")</f>
        <v> </v>
      </c>
      <c r="AJ243" s="17" t="str">
        <f aca="false">IF((E243="e"),H243," ")</f>
        <v> </v>
      </c>
    </row>
    <row r="244" customFormat="false" ht="12" hidden="false" customHeight="false" outlineLevel="0" collapsed="false">
      <c r="A244" s="28"/>
      <c r="E244" s="2" t="str">
        <f aca="false">IF((F244&lt;&gt;0),"Enter Letter"," ")</f>
        <v> </v>
      </c>
      <c r="F244" s="30"/>
      <c r="G244" s="6" t="str">
        <f aca="false">IF(F244&lt;&gt;0,F244*G$2/(100+G$2)," ")</f>
        <v> </v>
      </c>
      <c r="H244" s="6" t="str">
        <f aca="false">IF((F244&lt;&gt;0),F244-G244," ")</f>
        <v> </v>
      </c>
      <c r="I244" s="5"/>
      <c r="L244" s="7" t="str">
        <f aca="false">IF(F244&lt;&gt;0,F244-K244," ")</f>
        <v> </v>
      </c>
      <c r="M244" s="8" t="str">
        <f aca="false">IF((F244-K244)&lt;&gt;0,M$1-A244," ")</f>
        <v> </v>
      </c>
      <c r="N244" s="5"/>
      <c r="O244" s="17" t="str">
        <f aca="false">IF((E244="s"),H244," ")</f>
        <v> </v>
      </c>
      <c r="P244" s="17" t="str">
        <f aca="false">IF((E244="c"),H244," ")</f>
        <v> </v>
      </c>
      <c r="Q244" s="17" t="str">
        <f aca="false">IF((E244="o"),H244," ")</f>
        <v> </v>
      </c>
      <c r="R244" s="17" t="str">
        <f aca="false">IF((E244="d"),H244," ")</f>
        <v> </v>
      </c>
      <c r="S244" s="17" t="str">
        <f aca="false">IF((E244="w"),H244," ")</f>
        <v> </v>
      </c>
      <c r="T244" s="17" t="str">
        <f aca="false">IF((E244="r"),H244," ")</f>
        <v> </v>
      </c>
      <c r="U244" s="17" t="str">
        <f aca="false">IF((E244="p"),H244," ")</f>
        <v> </v>
      </c>
      <c r="V244" s="17" t="str">
        <f aca="false">IF((E244="t"),H244," ")</f>
        <v> </v>
      </c>
      <c r="W244" s="17" t="str">
        <f aca="false">IF((E244="q"),H244," ")</f>
        <v> </v>
      </c>
      <c r="X244" s="17" t="str">
        <f aca="false">IF((E244="m"),H244," ")</f>
        <v> </v>
      </c>
      <c r="Y244" s="17" t="str">
        <f aca="false">IF((E244="u"),H244," ")</f>
        <v> </v>
      </c>
      <c r="Z244" s="17" t="str">
        <f aca="false">IF((E244="a"),H244," ")</f>
        <v> </v>
      </c>
      <c r="AA244" s="17" t="str">
        <f aca="false">IF((E244="g"),H244," ")</f>
        <v> </v>
      </c>
      <c r="AB244" s="17" t="str">
        <f aca="false">IF((E244="h"),H244," ")</f>
        <v> </v>
      </c>
      <c r="AC244" s="30" t="str">
        <f aca="false">IF((E244="v"),H244," ")</f>
        <v> </v>
      </c>
      <c r="AD244" s="30" t="str">
        <f aca="false">IF((E244="n"),H244," ")</f>
        <v> </v>
      </c>
      <c r="AE244" s="17" t="str">
        <f aca="false">IF((E244="f"),H244," ")</f>
        <v> </v>
      </c>
      <c r="AF244" s="17" t="str">
        <f aca="false">IF((E244="l"),H244," ")</f>
        <v> </v>
      </c>
      <c r="AG244" s="17" t="str">
        <f aca="false">IF((E244="y"),H244," ")</f>
        <v> </v>
      </c>
      <c r="AH244" s="17" t="str">
        <f aca="false">IF((E244="z"),H244," ")</f>
        <v> </v>
      </c>
      <c r="AI244" s="17" t="str">
        <f aca="false">IF((E244="fa"),H244," ")</f>
        <v> </v>
      </c>
      <c r="AJ244" s="17" t="str">
        <f aca="false">IF((E244="e"),H244," ")</f>
        <v> </v>
      </c>
    </row>
    <row r="245" customFormat="false" ht="12" hidden="false" customHeight="false" outlineLevel="0" collapsed="false">
      <c r="A245" s="28"/>
      <c r="E245" s="2" t="str">
        <f aca="false">IF((F245&lt;&gt;0),"Enter Letter"," ")</f>
        <v> </v>
      </c>
      <c r="F245" s="30"/>
      <c r="G245" s="6" t="str">
        <f aca="false">IF(F245&lt;&gt;0,F245*G$2/(100+G$2)," ")</f>
        <v> </v>
      </c>
      <c r="H245" s="6" t="str">
        <f aca="false">IF((F245&lt;&gt;0),F245-G245," ")</f>
        <v> </v>
      </c>
      <c r="I245" s="5"/>
      <c r="L245" s="7" t="str">
        <f aca="false">IF(F245&lt;&gt;0,F245-K245," ")</f>
        <v> </v>
      </c>
      <c r="M245" s="8" t="str">
        <f aca="false">IF((F245-K245)&lt;&gt;0,M$1-A245," ")</f>
        <v> </v>
      </c>
      <c r="N245" s="5"/>
      <c r="O245" s="17" t="str">
        <f aca="false">IF((E245="s"),H245," ")</f>
        <v> </v>
      </c>
      <c r="P245" s="17" t="str">
        <f aca="false">IF((E245="c"),H245," ")</f>
        <v> </v>
      </c>
      <c r="Q245" s="17" t="str">
        <f aca="false">IF((E245="o"),H245," ")</f>
        <v> </v>
      </c>
      <c r="R245" s="17" t="str">
        <f aca="false">IF((E245="d"),H245," ")</f>
        <v> </v>
      </c>
      <c r="S245" s="17" t="str">
        <f aca="false">IF((E245="w"),H245," ")</f>
        <v> </v>
      </c>
      <c r="T245" s="17" t="str">
        <f aca="false">IF((E245="r"),H245," ")</f>
        <v> </v>
      </c>
      <c r="U245" s="17" t="str">
        <f aca="false">IF((E245="p"),H245," ")</f>
        <v> </v>
      </c>
      <c r="V245" s="17" t="str">
        <f aca="false">IF((E245="t"),H245," ")</f>
        <v> </v>
      </c>
      <c r="W245" s="17" t="str">
        <f aca="false">IF((E245="q"),H245," ")</f>
        <v> </v>
      </c>
      <c r="X245" s="17" t="str">
        <f aca="false">IF((E245="m"),H245," ")</f>
        <v> </v>
      </c>
      <c r="Y245" s="17" t="str">
        <f aca="false">IF((E245="u"),H245," ")</f>
        <v> </v>
      </c>
      <c r="Z245" s="17" t="str">
        <f aca="false">IF((E245="a"),H245," ")</f>
        <v> </v>
      </c>
      <c r="AA245" s="17" t="str">
        <f aca="false">IF((E245="g"),H245," ")</f>
        <v> </v>
      </c>
      <c r="AB245" s="17" t="str">
        <f aca="false">IF((E245="h"),H245," ")</f>
        <v> </v>
      </c>
      <c r="AC245" s="30" t="str">
        <f aca="false">IF((E245="v"),H245," ")</f>
        <v> </v>
      </c>
      <c r="AD245" s="30" t="str">
        <f aca="false">IF((E245="n"),H245," ")</f>
        <v> </v>
      </c>
      <c r="AE245" s="17" t="str">
        <f aca="false">IF((E245="f"),H245," ")</f>
        <v> </v>
      </c>
      <c r="AF245" s="17" t="str">
        <f aca="false">IF((E245="l"),H245," ")</f>
        <v> </v>
      </c>
      <c r="AG245" s="17" t="str">
        <f aca="false">IF((E245="y"),H245," ")</f>
        <v> </v>
      </c>
      <c r="AH245" s="17" t="str">
        <f aca="false">IF((E245="z"),H245," ")</f>
        <v> </v>
      </c>
      <c r="AI245" s="17" t="str">
        <f aca="false">IF((E245="fa"),H245," ")</f>
        <v> </v>
      </c>
      <c r="AJ245" s="17" t="str">
        <f aca="false">IF((E245="e"),H245," ")</f>
        <v> </v>
      </c>
    </row>
    <row r="246" customFormat="false" ht="12" hidden="false" customHeight="false" outlineLevel="0" collapsed="false">
      <c r="A246" s="28"/>
      <c r="E246" s="2" t="str">
        <f aca="false">IF((F246&lt;&gt;0),"Enter Letter"," ")</f>
        <v> </v>
      </c>
      <c r="F246" s="30"/>
      <c r="G246" s="6" t="str">
        <f aca="false">IF(F246&lt;&gt;0,F246*G$2/(100+G$2)," ")</f>
        <v> </v>
      </c>
      <c r="H246" s="6" t="str">
        <f aca="false">IF((F246&lt;&gt;0),F246-G246," ")</f>
        <v> </v>
      </c>
      <c r="I246" s="5"/>
      <c r="L246" s="7" t="str">
        <f aca="false">IF(F246&lt;&gt;0,F246-K246," ")</f>
        <v> </v>
      </c>
      <c r="M246" s="8" t="str">
        <f aca="false">IF((F246-K246)&lt;&gt;0,M$1-A246," ")</f>
        <v> </v>
      </c>
      <c r="N246" s="5"/>
      <c r="O246" s="17" t="str">
        <f aca="false">IF((E246="s"),H246," ")</f>
        <v> </v>
      </c>
      <c r="P246" s="17" t="str">
        <f aca="false">IF((E246="c"),H246," ")</f>
        <v> </v>
      </c>
      <c r="Q246" s="17" t="str">
        <f aca="false">IF((E246="o"),H246," ")</f>
        <v> </v>
      </c>
      <c r="R246" s="17" t="str">
        <f aca="false">IF((E246="d"),H246," ")</f>
        <v> </v>
      </c>
      <c r="S246" s="17" t="str">
        <f aca="false">IF((E246="w"),H246," ")</f>
        <v> </v>
      </c>
      <c r="T246" s="17" t="str">
        <f aca="false">IF((E246="r"),H246," ")</f>
        <v> </v>
      </c>
      <c r="U246" s="17" t="str">
        <f aca="false">IF((E246="p"),H246," ")</f>
        <v> </v>
      </c>
      <c r="V246" s="17" t="str">
        <f aca="false">IF((E246="t"),H246," ")</f>
        <v> </v>
      </c>
      <c r="W246" s="17" t="str">
        <f aca="false">IF((E246="q"),H246," ")</f>
        <v> </v>
      </c>
      <c r="X246" s="17" t="str">
        <f aca="false">IF((E246="m"),H246," ")</f>
        <v> </v>
      </c>
      <c r="Y246" s="17" t="str">
        <f aca="false">IF((E246="u"),H246," ")</f>
        <v> </v>
      </c>
      <c r="Z246" s="17" t="str">
        <f aca="false">IF((E246="a"),H246," ")</f>
        <v> </v>
      </c>
      <c r="AA246" s="17" t="str">
        <f aca="false">IF((E246="g"),H246," ")</f>
        <v> </v>
      </c>
      <c r="AB246" s="17" t="str">
        <f aca="false">IF((E246="h"),H246," ")</f>
        <v> </v>
      </c>
      <c r="AC246" s="30" t="str">
        <f aca="false">IF((E246="v"),H246," ")</f>
        <v> </v>
      </c>
      <c r="AD246" s="30" t="str">
        <f aca="false">IF((E246="n"),H246," ")</f>
        <v> </v>
      </c>
      <c r="AE246" s="17" t="str">
        <f aca="false">IF((E246="f"),H246," ")</f>
        <v> </v>
      </c>
      <c r="AF246" s="17" t="str">
        <f aca="false">IF((E246="l"),H246," ")</f>
        <v> </v>
      </c>
      <c r="AG246" s="17" t="str">
        <f aca="false">IF((E246="y"),H246," ")</f>
        <v> </v>
      </c>
      <c r="AH246" s="17" t="str">
        <f aca="false">IF((E246="z"),H246," ")</f>
        <v> </v>
      </c>
      <c r="AI246" s="17" t="str">
        <f aca="false">IF((E246="fa"),H246," ")</f>
        <v> </v>
      </c>
      <c r="AJ246" s="17" t="str">
        <f aca="false">IF((E246="e"),H246," ")</f>
        <v> </v>
      </c>
    </row>
    <row r="247" customFormat="false" ht="12" hidden="false" customHeight="false" outlineLevel="0" collapsed="false">
      <c r="A247" s="28"/>
      <c r="E247" s="2" t="str">
        <f aca="false">IF((F247&lt;&gt;0),"Enter Letter"," ")</f>
        <v> </v>
      </c>
      <c r="F247" s="30"/>
      <c r="G247" s="6" t="str">
        <f aca="false">IF(F247&lt;&gt;0,F247*G$2/(100+G$2)," ")</f>
        <v> </v>
      </c>
      <c r="H247" s="6" t="str">
        <f aca="false">IF((F247&lt;&gt;0),F247-G247," ")</f>
        <v> </v>
      </c>
      <c r="I247" s="5"/>
      <c r="L247" s="7" t="str">
        <f aca="false">IF(F247&lt;&gt;0,F247-K247," ")</f>
        <v> </v>
      </c>
      <c r="M247" s="8" t="str">
        <f aca="false">IF((F247-K247)&lt;&gt;0,M$1-A247," ")</f>
        <v> </v>
      </c>
      <c r="N247" s="5"/>
      <c r="O247" s="17" t="str">
        <f aca="false">IF((E247="s"),H247," ")</f>
        <v> </v>
      </c>
      <c r="P247" s="17" t="str">
        <f aca="false">IF((E247="c"),H247," ")</f>
        <v> </v>
      </c>
      <c r="Q247" s="17" t="str">
        <f aca="false">IF((E247="o"),H247," ")</f>
        <v> </v>
      </c>
      <c r="R247" s="17" t="str">
        <f aca="false">IF((E247="d"),H247," ")</f>
        <v> </v>
      </c>
      <c r="S247" s="17" t="str">
        <f aca="false">IF((E247="w"),H247," ")</f>
        <v> </v>
      </c>
      <c r="T247" s="17" t="str">
        <f aca="false">IF((E247="r"),H247," ")</f>
        <v> </v>
      </c>
      <c r="U247" s="17" t="str">
        <f aca="false">IF((E247="p"),H247," ")</f>
        <v> </v>
      </c>
      <c r="V247" s="17" t="str">
        <f aca="false">IF((E247="t"),H247," ")</f>
        <v> </v>
      </c>
      <c r="W247" s="17" t="str">
        <f aca="false">IF((E247="q"),H247," ")</f>
        <v> </v>
      </c>
      <c r="X247" s="17" t="str">
        <f aca="false">IF((E247="m"),H247," ")</f>
        <v> </v>
      </c>
      <c r="Y247" s="17" t="str">
        <f aca="false">IF((E247="u"),H247," ")</f>
        <v> </v>
      </c>
      <c r="Z247" s="17" t="str">
        <f aca="false">IF((E247="a"),H247," ")</f>
        <v> </v>
      </c>
      <c r="AA247" s="17" t="str">
        <f aca="false">IF((E247="g"),H247," ")</f>
        <v> </v>
      </c>
      <c r="AB247" s="17" t="str">
        <f aca="false">IF((E247="h"),H247," ")</f>
        <v> </v>
      </c>
      <c r="AC247" s="30" t="str">
        <f aca="false">IF((E247="v"),H247," ")</f>
        <v> </v>
      </c>
      <c r="AD247" s="30" t="str">
        <f aca="false">IF((E247="n"),H247," ")</f>
        <v> </v>
      </c>
      <c r="AE247" s="17" t="str">
        <f aca="false">IF((E247="f"),H247," ")</f>
        <v> </v>
      </c>
      <c r="AF247" s="17" t="str">
        <f aca="false">IF((E247="l"),H247," ")</f>
        <v> </v>
      </c>
      <c r="AG247" s="17" t="str">
        <f aca="false">IF((E247="y"),H247," ")</f>
        <v> </v>
      </c>
      <c r="AH247" s="17" t="str">
        <f aca="false">IF((E247="z"),H247," ")</f>
        <v> </v>
      </c>
      <c r="AI247" s="17" t="str">
        <f aca="false">IF((E247="fa"),H247," ")</f>
        <v> </v>
      </c>
      <c r="AJ247" s="17" t="str">
        <f aca="false">IF((E247="e"),H247," ")</f>
        <v> </v>
      </c>
    </row>
    <row r="248" customFormat="false" ht="12" hidden="false" customHeight="false" outlineLevel="0" collapsed="false">
      <c r="A248" s="28"/>
      <c r="E248" s="2" t="str">
        <f aca="false">IF((F248&lt;&gt;0),"Enter Letter"," ")</f>
        <v> </v>
      </c>
      <c r="F248" s="30"/>
      <c r="G248" s="6" t="str">
        <f aca="false">IF(F248&lt;&gt;0,F248*G$2/(100+G$2)," ")</f>
        <v> </v>
      </c>
      <c r="H248" s="6" t="str">
        <f aca="false">IF((F248&lt;&gt;0),F248-G248," ")</f>
        <v> </v>
      </c>
      <c r="I248" s="5"/>
      <c r="L248" s="7" t="str">
        <f aca="false">IF(F248&lt;&gt;0,F248-K248," ")</f>
        <v> </v>
      </c>
      <c r="M248" s="8" t="str">
        <f aca="false">IF((F248-K248)&lt;&gt;0,M$1-A248," ")</f>
        <v> </v>
      </c>
      <c r="N248" s="5"/>
      <c r="O248" s="17" t="str">
        <f aca="false">IF((E248="s"),H248," ")</f>
        <v> </v>
      </c>
      <c r="P248" s="17" t="str">
        <f aca="false">IF((E248="c"),H248," ")</f>
        <v> </v>
      </c>
      <c r="Q248" s="17" t="str">
        <f aca="false">IF((E248="o"),H248," ")</f>
        <v> </v>
      </c>
      <c r="R248" s="17" t="str">
        <f aca="false">IF((E248="d"),H248," ")</f>
        <v> </v>
      </c>
      <c r="S248" s="17" t="str">
        <f aca="false">IF((E248="w"),H248," ")</f>
        <v> </v>
      </c>
      <c r="T248" s="17" t="str">
        <f aca="false">IF((E248="r"),H248," ")</f>
        <v> </v>
      </c>
      <c r="U248" s="17" t="str">
        <f aca="false">IF((E248="p"),H248," ")</f>
        <v> </v>
      </c>
      <c r="V248" s="17" t="str">
        <f aca="false">IF((E248="t"),H248," ")</f>
        <v> </v>
      </c>
      <c r="W248" s="17" t="str">
        <f aca="false">IF((E248="q"),H248," ")</f>
        <v> </v>
      </c>
      <c r="X248" s="17" t="str">
        <f aca="false">IF((E248="m"),H248," ")</f>
        <v> </v>
      </c>
      <c r="Y248" s="17" t="str">
        <f aca="false">IF((E248="u"),H248," ")</f>
        <v> </v>
      </c>
      <c r="Z248" s="17" t="str">
        <f aca="false">IF((E248="a"),H248," ")</f>
        <v> </v>
      </c>
      <c r="AA248" s="17" t="str">
        <f aca="false">IF((E248="g"),H248," ")</f>
        <v> </v>
      </c>
      <c r="AB248" s="17" t="str">
        <f aca="false">IF((E248="h"),H248," ")</f>
        <v> </v>
      </c>
      <c r="AC248" s="30" t="str">
        <f aca="false">IF((E248="v"),H248," ")</f>
        <v> </v>
      </c>
      <c r="AD248" s="30" t="str">
        <f aca="false">IF((E248="n"),H248," ")</f>
        <v> </v>
      </c>
      <c r="AE248" s="17" t="str">
        <f aca="false">IF((E248="f"),H248," ")</f>
        <v> </v>
      </c>
      <c r="AF248" s="17" t="str">
        <f aca="false">IF((E248="l"),H248," ")</f>
        <v> </v>
      </c>
      <c r="AG248" s="17" t="str">
        <f aca="false">IF((E248="y"),H248," ")</f>
        <v> </v>
      </c>
      <c r="AH248" s="17" t="str">
        <f aca="false">IF((E248="z"),H248," ")</f>
        <v> </v>
      </c>
      <c r="AI248" s="17" t="str">
        <f aca="false">IF((E248="fa"),H248," ")</f>
        <v> </v>
      </c>
      <c r="AJ248" s="17" t="str">
        <f aca="false">IF((E248="e"),H248," ")</f>
        <v> </v>
      </c>
    </row>
    <row r="249" customFormat="false" ht="12" hidden="false" customHeight="false" outlineLevel="0" collapsed="false">
      <c r="A249" s="28"/>
      <c r="E249" s="2" t="str">
        <f aca="false">IF((F249&lt;&gt;0),"Enter Letter"," ")</f>
        <v> </v>
      </c>
      <c r="F249" s="30"/>
      <c r="G249" s="6" t="str">
        <f aca="false">IF(F249&lt;&gt;0,F249*G$2/(100+G$2)," ")</f>
        <v> </v>
      </c>
      <c r="H249" s="6" t="str">
        <f aca="false">IF((F249&lt;&gt;0),F249-G249," ")</f>
        <v> </v>
      </c>
      <c r="I249" s="5"/>
      <c r="L249" s="7" t="str">
        <f aca="false">IF(F249&lt;&gt;0,F249-K249," ")</f>
        <v> </v>
      </c>
      <c r="M249" s="8" t="str">
        <f aca="false">IF((F249-K249)&lt;&gt;0,M$1-A249," ")</f>
        <v> </v>
      </c>
      <c r="N249" s="5"/>
      <c r="O249" s="17" t="str">
        <f aca="false">IF((E249="s"),H249," ")</f>
        <v> </v>
      </c>
      <c r="P249" s="17" t="str">
        <f aca="false">IF((E249="c"),H249," ")</f>
        <v> </v>
      </c>
      <c r="Q249" s="17" t="str">
        <f aca="false">IF((E249="o"),H249," ")</f>
        <v> </v>
      </c>
      <c r="R249" s="17" t="str">
        <f aca="false">IF((E249="d"),H249," ")</f>
        <v> </v>
      </c>
      <c r="S249" s="17" t="str">
        <f aca="false">IF((E249="w"),H249," ")</f>
        <v> </v>
      </c>
      <c r="T249" s="17" t="str">
        <f aca="false">IF((E249="r"),H249," ")</f>
        <v> </v>
      </c>
      <c r="U249" s="17" t="str">
        <f aca="false">IF((E249="p"),H249," ")</f>
        <v> </v>
      </c>
      <c r="V249" s="17" t="str">
        <f aca="false">IF((E249="t"),H249," ")</f>
        <v> </v>
      </c>
      <c r="W249" s="17" t="str">
        <f aca="false">IF((E249="q"),H249," ")</f>
        <v> </v>
      </c>
      <c r="X249" s="17" t="str">
        <f aca="false">IF((E249="m"),H249," ")</f>
        <v> </v>
      </c>
      <c r="Y249" s="17" t="str">
        <f aca="false">IF((E249="u"),H249," ")</f>
        <v> </v>
      </c>
      <c r="Z249" s="17" t="str">
        <f aca="false">IF((E249="a"),H249," ")</f>
        <v> </v>
      </c>
      <c r="AA249" s="17" t="str">
        <f aca="false">IF((E249="g"),H249," ")</f>
        <v> </v>
      </c>
      <c r="AB249" s="17" t="str">
        <f aca="false">IF((E249="h"),H249," ")</f>
        <v> </v>
      </c>
      <c r="AC249" s="30" t="str">
        <f aca="false">IF((E249="v"),H249," ")</f>
        <v> </v>
      </c>
      <c r="AD249" s="30" t="str">
        <f aca="false">IF((E249="n"),H249," ")</f>
        <v> </v>
      </c>
      <c r="AE249" s="17" t="str">
        <f aca="false">IF((E249="f"),H249," ")</f>
        <v> </v>
      </c>
      <c r="AF249" s="17" t="str">
        <f aca="false">IF((E249="l"),H249," ")</f>
        <v> </v>
      </c>
      <c r="AG249" s="17" t="str">
        <f aca="false">IF((E249="y"),H249," ")</f>
        <v> </v>
      </c>
      <c r="AH249" s="17" t="str">
        <f aca="false">IF((E249="z"),H249," ")</f>
        <v> </v>
      </c>
      <c r="AI249" s="17" t="str">
        <f aca="false">IF((E249="fa"),H249," ")</f>
        <v> </v>
      </c>
      <c r="AJ249" s="17" t="str">
        <f aca="false">IF((E249="e"),H249," ")</f>
        <v> </v>
      </c>
    </row>
    <row r="250" customFormat="false" ht="12" hidden="false" customHeight="false" outlineLevel="0" collapsed="false">
      <c r="A250" s="28"/>
      <c r="E250" s="2" t="str">
        <f aca="false">IF((F250&lt;&gt;0),"Enter Letter"," ")</f>
        <v> </v>
      </c>
      <c r="F250" s="30"/>
      <c r="G250" s="6" t="str">
        <f aca="false">IF(F250&lt;&gt;0,F250*G$2/(100+G$2)," ")</f>
        <v> </v>
      </c>
      <c r="H250" s="6" t="str">
        <f aca="false">IF((F250&lt;&gt;0),F250-G250," ")</f>
        <v> </v>
      </c>
      <c r="I250" s="5"/>
      <c r="L250" s="7" t="str">
        <f aca="false">IF(F250&lt;&gt;0,F250-K250," ")</f>
        <v> </v>
      </c>
      <c r="M250" s="8" t="str">
        <f aca="false">IF((F250-K250)&lt;&gt;0,M$1-A250," ")</f>
        <v> </v>
      </c>
      <c r="N250" s="5"/>
      <c r="O250" s="17" t="str">
        <f aca="false">IF((E250="s"),H250," ")</f>
        <v> </v>
      </c>
      <c r="P250" s="17" t="str">
        <f aca="false">IF((E250="c"),H250," ")</f>
        <v> </v>
      </c>
      <c r="Q250" s="17" t="str">
        <f aca="false">IF((E250="o"),H250," ")</f>
        <v> </v>
      </c>
      <c r="R250" s="17" t="str">
        <f aca="false">IF((E250="d"),H250," ")</f>
        <v> </v>
      </c>
      <c r="S250" s="17" t="str">
        <f aca="false">IF((E250="w"),H250," ")</f>
        <v> </v>
      </c>
      <c r="T250" s="17" t="str">
        <f aca="false">IF((E250="r"),H250," ")</f>
        <v> </v>
      </c>
      <c r="U250" s="17" t="str">
        <f aca="false">IF((E250="p"),H250," ")</f>
        <v> </v>
      </c>
      <c r="V250" s="17" t="str">
        <f aca="false">IF((E250="t"),H250," ")</f>
        <v> </v>
      </c>
      <c r="W250" s="17" t="str">
        <f aca="false">IF((E250="q"),H250," ")</f>
        <v> </v>
      </c>
      <c r="X250" s="17" t="str">
        <f aca="false">IF((E250="m"),H250," ")</f>
        <v> </v>
      </c>
      <c r="Y250" s="17" t="str">
        <f aca="false">IF((E250="u"),H250," ")</f>
        <v> </v>
      </c>
      <c r="Z250" s="17" t="str">
        <f aca="false">IF((E250="a"),H250," ")</f>
        <v> </v>
      </c>
      <c r="AA250" s="17" t="str">
        <f aca="false">IF((E250="g"),H250," ")</f>
        <v> </v>
      </c>
      <c r="AB250" s="17" t="str">
        <f aca="false">IF((E250="h"),H250," ")</f>
        <v> </v>
      </c>
      <c r="AC250" s="30" t="str">
        <f aca="false">IF((E250="v"),H250," ")</f>
        <v> </v>
      </c>
      <c r="AD250" s="30" t="str">
        <f aca="false">IF((E250="n"),H250," ")</f>
        <v> </v>
      </c>
      <c r="AE250" s="17" t="str">
        <f aca="false">IF((E250="f"),H250," ")</f>
        <v> </v>
      </c>
      <c r="AF250" s="17" t="str">
        <f aca="false">IF((E250="l"),H250," ")</f>
        <v> </v>
      </c>
      <c r="AG250" s="17" t="str">
        <f aca="false">IF((E250="y"),H250," ")</f>
        <v> </v>
      </c>
      <c r="AH250" s="17" t="str">
        <f aca="false">IF((E250="z"),H250," ")</f>
        <v> </v>
      </c>
      <c r="AI250" s="17" t="str">
        <f aca="false">IF((E250="fa"),H250," ")</f>
        <v> </v>
      </c>
      <c r="AJ250" s="17" t="str">
        <f aca="false">IF((E250="e"),H250," ")</f>
        <v> </v>
      </c>
    </row>
    <row r="251" customFormat="false" ht="12" hidden="false" customHeight="false" outlineLevel="0" collapsed="false">
      <c r="A251" s="28"/>
      <c r="E251" s="2" t="str">
        <f aca="false">IF((F251&lt;&gt;0),"Enter Letter"," ")</f>
        <v> </v>
      </c>
      <c r="F251" s="30"/>
      <c r="G251" s="6" t="str">
        <f aca="false">IF(F251&lt;&gt;0,F251*G$2/(100+G$2)," ")</f>
        <v> </v>
      </c>
      <c r="H251" s="6" t="str">
        <f aca="false">IF((F251&lt;&gt;0),F251-G251," ")</f>
        <v> </v>
      </c>
      <c r="I251" s="5"/>
      <c r="L251" s="7" t="str">
        <f aca="false">IF(F251&lt;&gt;0,F251-K251," ")</f>
        <v> </v>
      </c>
      <c r="M251" s="8" t="str">
        <f aca="false">IF((F251-K251)&lt;&gt;0,M$1-A251," ")</f>
        <v> </v>
      </c>
      <c r="N251" s="5"/>
      <c r="O251" s="17" t="str">
        <f aca="false">IF((E251="s"),H251," ")</f>
        <v> </v>
      </c>
      <c r="P251" s="17" t="str">
        <f aca="false">IF((E251="c"),H251," ")</f>
        <v> </v>
      </c>
      <c r="Q251" s="17" t="str">
        <f aca="false">IF((E251="o"),H251," ")</f>
        <v> </v>
      </c>
      <c r="R251" s="17" t="str">
        <f aca="false">IF((E251="d"),H251," ")</f>
        <v> </v>
      </c>
      <c r="S251" s="17" t="str">
        <f aca="false">IF((E251="w"),H251," ")</f>
        <v> </v>
      </c>
      <c r="T251" s="17" t="str">
        <f aca="false">IF((E251="r"),H251," ")</f>
        <v> </v>
      </c>
      <c r="U251" s="17" t="str">
        <f aca="false">IF((E251="p"),H251," ")</f>
        <v> </v>
      </c>
      <c r="V251" s="17" t="str">
        <f aca="false">IF((E251="t"),H251," ")</f>
        <v> </v>
      </c>
      <c r="W251" s="17" t="str">
        <f aca="false">IF((E251="q"),H251," ")</f>
        <v> </v>
      </c>
      <c r="X251" s="17" t="str">
        <f aca="false">IF((E251="m"),H251," ")</f>
        <v> </v>
      </c>
      <c r="Y251" s="17" t="str">
        <f aca="false">IF((E251="u"),H251," ")</f>
        <v> </v>
      </c>
      <c r="Z251" s="17" t="str">
        <f aca="false">IF((E251="a"),H251," ")</f>
        <v> </v>
      </c>
      <c r="AA251" s="17" t="str">
        <f aca="false">IF((E251="g"),H251," ")</f>
        <v> </v>
      </c>
      <c r="AB251" s="17" t="str">
        <f aca="false">IF((E251="h"),H251," ")</f>
        <v> </v>
      </c>
      <c r="AC251" s="30" t="str">
        <f aca="false">IF((E251="v"),H251," ")</f>
        <v> </v>
      </c>
      <c r="AD251" s="30" t="str">
        <f aca="false">IF((E251="n"),H251," ")</f>
        <v> </v>
      </c>
      <c r="AE251" s="17" t="str">
        <f aca="false">IF((E251="f"),H251," ")</f>
        <v> </v>
      </c>
      <c r="AF251" s="17" t="str">
        <f aca="false">IF((E251="l"),H251," ")</f>
        <v> </v>
      </c>
      <c r="AG251" s="17" t="str">
        <f aca="false">IF((E251="y"),H251," ")</f>
        <v> </v>
      </c>
      <c r="AH251" s="17" t="str">
        <f aca="false">IF((E251="z"),H251," ")</f>
        <v> </v>
      </c>
      <c r="AI251" s="17" t="str">
        <f aca="false">IF((E251="fa"),H251," ")</f>
        <v> </v>
      </c>
      <c r="AJ251" s="17" t="str">
        <f aca="false">IF((E251="e"),H251," ")</f>
        <v> </v>
      </c>
    </row>
    <row r="252" customFormat="false" ht="12" hidden="false" customHeight="false" outlineLevel="0" collapsed="false">
      <c r="A252" s="28"/>
      <c r="E252" s="2" t="str">
        <f aca="false">IF((F252&lt;&gt;0),"Enter Letter"," ")</f>
        <v> </v>
      </c>
      <c r="F252" s="30"/>
      <c r="G252" s="6" t="str">
        <f aca="false">IF(F252&lt;&gt;0,F252*G$2/(100+G$2)," ")</f>
        <v> </v>
      </c>
      <c r="H252" s="6" t="str">
        <f aca="false">IF((F252&lt;&gt;0),F252-G252," ")</f>
        <v> </v>
      </c>
      <c r="I252" s="5"/>
      <c r="L252" s="7" t="str">
        <f aca="false">IF(F252&lt;&gt;0,F252-K252," ")</f>
        <v> </v>
      </c>
      <c r="M252" s="8" t="str">
        <f aca="false">IF((F252-K252)&lt;&gt;0,M$1-A252," ")</f>
        <v> </v>
      </c>
      <c r="N252" s="5"/>
      <c r="O252" s="17" t="str">
        <f aca="false">IF((E252="s"),H252," ")</f>
        <v> </v>
      </c>
      <c r="P252" s="17" t="str">
        <f aca="false">IF((E252="c"),H252," ")</f>
        <v> </v>
      </c>
      <c r="Q252" s="17" t="str">
        <f aca="false">IF((E252="o"),H252," ")</f>
        <v> </v>
      </c>
      <c r="R252" s="17" t="str">
        <f aca="false">IF((E252="d"),H252," ")</f>
        <v> </v>
      </c>
      <c r="S252" s="17" t="str">
        <f aca="false">IF((E252="w"),H252," ")</f>
        <v> </v>
      </c>
      <c r="T252" s="17" t="str">
        <f aca="false">IF((E252="r"),H252," ")</f>
        <v> </v>
      </c>
      <c r="U252" s="17" t="str">
        <f aca="false">IF((E252="p"),H252," ")</f>
        <v> </v>
      </c>
      <c r="V252" s="17" t="str">
        <f aca="false">IF((E252="t"),H252," ")</f>
        <v> </v>
      </c>
      <c r="W252" s="17" t="str">
        <f aca="false">IF((E252="q"),H252," ")</f>
        <v> </v>
      </c>
      <c r="X252" s="17" t="str">
        <f aca="false">IF((E252="m"),H252," ")</f>
        <v> </v>
      </c>
      <c r="Y252" s="17" t="str">
        <f aca="false">IF((E252="u"),H252," ")</f>
        <v> </v>
      </c>
      <c r="Z252" s="17" t="str">
        <f aca="false">IF((E252="a"),H252," ")</f>
        <v> </v>
      </c>
      <c r="AA252" s="17" t="str">
        <f aca="false">IF((E252="g"),H252," ")</f>
        <v> </v>
      </c>
      <c r="AB252" s="17" t="str">
        <f aca="false">IF((E252="h"),H252," ")</f>
        <v> </v>
      </c>
      <c r="AC252" s="30" t="str">
        <f aca="false">IF((E252="v"),H252," ")</f>
        <v> </v>
      </c>
      <c r="AD252" s="30" t="str">
        <f aca="false">IF((E252="n"),H252," ")</f>
        <v> </v>
      </c>
      <c r="AE252" s="17" t="str">
        <f aca="false">IF((E252="f"),H252," ")</f>
        <v> </v>
      </c>
      <c r="AF252" s="17" t="str">
        <f aca="false">IF((E252="l"),H252," ")</f>
        <v> </v>
      </c>
      <c r="AG252" s="17" t="str">
        <f aca="false">IF((E252="y"),H252," ")</f>
        <v> </v>
      </c>
      <c r="AH252" s="17" t="str">
        <f aca="false">IF((E252="z"),H252," ")</f>
        <v> </v>
      </c>
      <c r="AI252" s="17" t="str">
        <f aca="false">IF((E252="fa"),H252," ")</f>
        <v> </v>
      </c>
      <c r="AJ252" s="17" t="str">
        <f aca="false">IF((E252="e"),H252," ")</f>
        <v> </v>
      </c>
    </row>
    <row r="253" customFormat="false" ht="12" hidden="false" customHeight="false" outlineLevel="0" collapsed="false">
      <c r="A253" s="28"/>
      <c r="E253" s="2" t="str">
        <f aca="false">IF((F253&lt;&gt;0),"Enter Letter"," ")</f>
        <v> </v>
      </c>
      <c r="F253" s="30"/>
      <c r="G253" s="6" t="str">
        <f aca="false">IF(F253&lt;&gt;0,F253*G$2/(100+G$2)," ")</f>
        <v> </v>
      </c>
      <c r="H253" s="6" t="str">
        <f aca="false">IF((F253&lt;&gt;0),F253-G253," ")</f>
        <v> </v>
      </c>
      <c r="I253" s="5"/>
      <c r="L253" s="7" t="str">
        <f aca="false">IF(F253&lt;&gt;0,F253-K253," ")</f>
        <v> </v>
      </c>
      <c r="M253" s="8" t="str">
        <f aca="false">IF((F253-K253)&lt;&gt;0,M$1-A253," ")</f>
        <v> </v>
      </c>
      <c r="N253" s="5"/>
      <c r="O253" s="17" t="str">
        <f aca="false">IF((E253="s"),H253," ")</f>
        <v> </v>
      </c>
      <c r="P253" s="17" t="str">
        <f aca="false">IF((E253="c"),H253," ")</f>
        <v> </v>
      </c>
      <c r="Q253" s="17" t="str">
        <f aca="false">IF((E253="o"),H253," ")</f>
        <v> </v>
      </c>
      <c r="R253" s="17" t="str">
        <f aca="false">IF((E253="d"),H253," ")</f>
        <v> </v>
      </c>
      <c r="S253" s="17" t="str">
        <f aca="false">IF((E253="w"),H253," ")</f>
        <v> </v>
      </c>
      <c r="T253" s="17" t="str">
        <f aca="false">IF((E253="r"),H253," ")</f>
        <v> </v>
      </c>
      <c r="U253" s="17" t="str">
        <f aca="false">IF((E253="p"),H253," ")</f>
        <v> </v>
      </c>
      <c r="V253" s="17" t="str">
        <f aca="false">IF((E253="t"),H253," ")</f>
        <v> </v>
      </c>
      <c r="W253" s="17" t="str">
        <f aca="false">IF((E253="q"),H253," ")</f>
        <v> </v>
      </c>
      <c r="X253" s="17" t="str">
        <f aca="false">IF((E253="m"),H253," ")</f>
        <v> </v>
      </c>
      <c r="Y253" s="17" t="str">
        <f aca="false">IF((E253="u"),H253," ")</f>
        <v> </v>
      </c>
      <c r="Z253" s="17" t="str">
        <f aca="false">IF((E253="a"),H253," ")</f>
        <v> </v>
      </c>
      <c r="AA253" s="17" t="str">
        <f aca="false">IF((E253="g"),H253," ")</f>
        <v> </v>
      </c>
      <c r="AB253" s="17" t="str">
        <f aca="false">IF((E253="h"),H253," ")</f>
        <v> </v>
      </c>
      <c r="AC253" s="30" t="str">
        <f aca="false">IF((E253="v"),H253," ")</f>
        <v> </v>
      </c>
      <c r="AD253" s="30" t="str">
        <f aca="false">IF((E253="n"),H253," ")</f>
        <v> </v>
      </c>
      <c r="AE253" s="17" t="str">
        <f aca="false">IF((E253="f"),H253," ")</f>
        <v> </v>
      </c>
      <c r="AF253" s="17" t="str">
        <f aca="false">IF((E253="l"),H253," ")</f>
        <v> </v>
      </c>
      <c r="AG253" s="17" t="str">
        <f aca="false">IF((E253="y"),H253," ")</f>
        <v> </v>
      </c>
      <c r="AH253" s="17" t="str">
        <f aca="false">IF((E253="z"),H253," ")</f>
        <v> </v>
      </c>
      <c r="AI253" s="17" t="str">
        <f aca="false">IF((E253="fa"),H253," ")</f>
        <v> </v>
      </c>
      <c r="AJ253" s="17" t="str">
        <f aca="false">IF((E253="e"),H253," ")</f>
        <v> </v>
      </c>
    </row>
    <row r="254" customFormat="false" ht="12" hidden="false" customHeight="false" outlineLevel="0" collapsed="false">
      <c r="A254" s="28"/>
      <c r="E254" s="2" t="str">
        <f aca="false">IF((F254&lt;&gt;0),"Enter Letter"," ")</f>
        <v> </v>
      </c>
      <c r="F254" s="30"/>
      <c r="G254" s="6" t="str">
        <f aca="false">IF(F254&lt;&gt;0,F254*G$2/(100+G$2)," ")</f>
        <v> </v>
      </c>
      <c r="H254" s="6" t="str">
        <f aca="false">IF((F254&lt;&gt;0),F254-G254," ")</f>
        <v> </v>
      </c>
      <c r="I254" s="5"/>
      <c r="L254" s="7" t="str">
        <f aca="false">IF(F254&lt;&gt;0,F254-K254," ")</f>
        <v> </v>
      </c>
      <c r="M254" s="8" t="str">
        <f aca="false">IF((F254-K254)&lt;&gt;0,M$1-A254," ")</f>
        <v> </v>
      </c>
      <c r="N254" s="5"/>
      <c r="O254" s="17" t="str">
        <f aca="false">IF((E254="s"),H254," ")</f>
        <v> </v>
      </c>
      <c r="P254" s="17" t="str">
        <f aca="false">IF((E254="c"),H254," ")</f>
        <v> </v>
      </c>
      <c r="Q254" s="17" t="str">
        <f aca="false">IF((E254="o"),H254," ")</f>
        <v> </v>
      </c>
      <c r="R254" s="17" t="str">
        <f aca="false">IF((E254="d"),H254," ")</f>
        <v> </v>
      </c>
      <c r="S254" s="17" t="str">
        <f aca="false">IF((E254="w"),H254," ")</f>
        <v> </v>
      </c>
      <c r="T254" s="17" t="str">
        <f aca="false">IF((E254="r"),H254," ")</f>
        <v> </v>
      </c>
      <c r="U254" s="17" t="str">
        <f aca="false">IF((E254="p"),H254," ")</f>
        <v> </v>
      </c>
      <c r="V254" s="17" t="str">
        <f aca="false">IF((E254="t"),H254," ")</f>
        <v> </v>
      </c>
      <c r="W254" s="17" t="str">
        <f aca="false">IF((E254="q"),H254," ")</f>
        <v> </v>
      </c>
      <c r="X254" s="17" t="str">
        <f aca="false">IF((E254="m"),H254," ")</f>
        <v> </v>
      </c>
      <c r="Y254" s="17" t="str">
        <f aca="false">IF((E254="u"),H254," ")</f>
        <v> </v>
      </c>
      <c r="Z254" s="17" t="str">
        <f aca="false">IF((E254="a"),H254," ")</f>
        <v> </v>
      </c>
      <c r="AA254" s="17" t="str">
        <f aca="false">IF((E254="g"),H254," ")</f>
        <v> </v>
      </c>
      <c r="AB254" s="17" t="str">
        <f aca="false">IF((E254="h"),H254," ")</f>
        <v> </v>
      </c>
      <c r="AC254" s="30" t="str">
        <f aca="false">IF((E254="v"),H254," ")</f>
        <v> </v>
      </c>
      <c r="AD254" s="30" t="str">
        <f aca="false">IF((E254="n"),H254," ")</f>
        <v> </v>
      </c>
      <c r="AE254" s="17" t="str">
        <f aca="false">IF((E254="f"),H254," ")</f>
        <v> </v>
      </c>
      <c r="AF254" s="17" t="str">
        <f aca="false">IF((E254="l"),H254," ")</f>
        <v> </v>
      </c>
      <c r="AG254" s="17" t="str">
        <f aca="false">IF((E254="y"),H254," ")</f>
        <v> </v>
      </c>
      <c r="AH254" s="17" t="str">
        <f aca="false">IF((E254="z"),H254," ")</f>
        <v> </v>
      </c>
      <c r="AI254" s="17" t="str">
        <f aca="false">IF((E254="fa"),H254," ")</f>
        <v> </v>
      </c>
      <c r="AJ254" s="17" t="str">
        <f aca="false">IF((E254="e"),H254," ")</f>
        <v> </v>
      </c>
    </row>
    <row r="255" customFormat="false" ht="12" hidden="false" customHeight="false" outlineLevel="0" collapsed="false">
      <c r="A255" s="28"/>
      <c r="E255" s="2" t="str">
        <f aca="false">IF((F255&lt;&gt;0),"Enter Letter"," ")</f>
        <v> </v>
      </c>
      <c r="F255" s="30"/>
      <c r="G255" s="6" t="str">
        <f aca="false">IF(F255&lt;&gt;0,F255*G$2/(100+G$2)," ")</f>
        <v> </v>
      </c>
      <c r="H255" s="6" t="str">
        <f aca="false">IF((F255&lt;&gt;0),F255-G255," ")</f>
        <v> </v>
      </c>
      <c r="I255" s="5"/>
      <c r="L255" s="7" t="str">
        <f aca="false">IF(F255&lt;&gt;0,F255-K255," ")</f>
        <v> </v>
      </c>
      <c r="M255" s="8" t="str">
        <f aca="false">IF((F255-K255)&lt;&gt;0,M$1-A255," ")</f>
        <v> </v>
      </c>
      <c r="N255" s="5"/>
      <c r="O255" s="17" t="str">
        <f aca="false">IF((E255="s"),H255," ")</f>
        <v> </v>
      </c>
      <c r="P255" s="17" t="str">
        <f aca="false">IF((E255="c"),H255," ")</f>
        <v> </v>
      </c>
      <c r="Q255" s="17" t="str">
        <f aca="false">IF((E255="o"),H255," ")</f>
        <v> </v>
      </c>
      <c r="R255" s="17" t="str">
        <f aca="false">IF((E255="d"),H255," ")</f>
        <v> </v>
      </c>
      <c r="S255" s="17" t="str">
        <f aca="false">IF((E255="w"),H255," ")</f>
        <v> </v>
      </c>
      <c r="T255" s="17" t="str">
        <f aca="false">IF((E255="r"),H255," ")</f>
        <v> </v>
      </c>
      <c r="U255" s="17" t="str">
        <f aca="false">IF((E255="p"),H255," ")</f>
        <v> </v>
      </c>
      <c r="V255" s="17" t="str">
        <f aca="false">IF((E255="t"),H255," ")</f>
        <v> </v>
      </c>
      <c r="W255" s="17" t="str">
        <f aca="false">IF((E255="q"),H255," ")</f>
        <v> </v>
      </c>
      <c r="X255" s="17" t="str">
        <f aca="false">IF((E255="m"),H255," ")</f>
        <v> </v>
      </c>
      <c r="Y255" s="17" t="str">
        <f aca="false">IF((E255="u"),H255," ")</f>
        <v> </v>
      </c>
      <c r="Z255" s="17" t="str">
        <f aca="false">IF((E255="a"),H255," ")</f>
        <v> </v>
      </c>
      <c r="AA255" s="17" t="str">
        <f aca="false">IF((E255="g"),H255," ")</f>
        <v> </v>
      </c>
      <c r="AB255" s="17" t="str">
        <f aca="false">IF((E255="h"),H255," ")</f>
        <v> </v>
      </c>
      <c r="AC255" s="30" t="str">
        <f aca="false">IF((E255="v"),H255," ")</f>
        <v> </v>
      </c>
      <c r="AD255" s="30" t="str">
        <f aca="false">IF((E255="n"),H255," ")</f>
        <v> </v>
      </c>
      <c r="AE255" s="17" t="str">
        <f aca="false">IF((E255="f"),H255," ")</f>
        <v> </v>
      </c>
      <c r="AF255" s="17" t="str">
        <f aca="false">IF((E255="l"),H255," ")</f>
        <v> </v>
      </c>
      <c r="AG255" s="17" t="str">
        <f aca="false">IF((E255="y"),H255," ")</f>
        <v> </v>
      </c>
      <c r="AH255" s="17" t="str">
        <f aca="false">IF((E255="z"),H255," ")</f>
        <v> </v>
      </c>
      <c r="AI255" s="17" t="str">
        <f aca="false">IF((E255="fa"),H255," ")</f>
        <v> </v>
      </c>
      <c r="AJ255" s="17" t="str">
        <f aca="false">IF((E255="e"),H255," ")</f>
        <v> </v>
      </c>
    </row>
    <row r="256" customFormat="false" ht="12" hidden="false" customHeight="false" outlineLevel="0" collapsed="false">
      <c r="A256" s="28"/>
      <c r="E256" s="2" t="str">
        <f aca="false">IF((F256&lt;&gt;0),"Enter Letter"," ")</f>
        <v> </v>
      </c>
      <c r="F256" s="30"/>
      <c r="G256" s="6" t="str">
        <f aca="false">IF(F256&lt;&gt;0,F256*G$2/(100+G$2)," ")</f>
        <v> </v>
      </c>
      <c r="H256" s="6" t="str">
        <f aca="false">IF((F256&lt;&gt;0),F256-G256," ")</f>
        <v> </v>
      </c>
      <c r="I256" s="5"/>
      <c r="L256" s="7" t="str">
        <f aca="false">IF(F256&lt;&gt;0,F256-K256," ")</f>
        <v> </v>
      </c>
      <c r="M256" s="8" t="str">
        <f aca="false">IF((F256-K256)&lt;&gt;0,M$1-A256," ")</f>
        <v> </v>
      </c>
      <c r="N256" s="5"/>
      <c r="O256" s="17" t="str">
        <f aca="false">IF((E256="s"),H256," ")</f>
        <v> </v>
      </c>
      <c r="P256" s="17" t="str">
        <f aca="false">IF((E256="c"),H256," ")</f>
        <v> </v>
      </c>
      <c r="Q256" s="17" t="str">
        <f aca="false">IF((E256="o"),H256," ")</f>
        <v> </v>
      </c>
      <c r="R256" s="17" t="str">
        <f aca="false">IF((E256="d"),H256," ")</f>
        <v> </v>
      </c>
      <c r="S256" s="17" t="str">
        <f aca="false">IF((E256="w"),H256," ")</f>
        <v> </v>
      </c>
      <c r="T256" s="17" t="str">
        <f aca="false">IF((E256="r"),H256," ")</f>
        <v> </v>
      </c>
      <c r="U256" s="17" t="str">
        <f aca="false">IF((E256="p"),H256," ")</f>
        <v> </v>
      </c>
      <c r="V256" s="17" t="str">
        <f aca="false">IF((E256="t"),H256," ")</f>
        <v> </v>
      </c>
      <c r="W256" s="17" t="str">
        <f aca="false">IF((E256="q"),H256," ")</f>
        <v> </v>
      </c>
      <c r="X256" s="17" t="str">
        <f aca="false">IF((E256="m"),H256," ")</f>
        <v> </v>
      </c>
      <c r="Y256" s="17" t="str">
        <f aca="false">IF((E256="u"),H256," ")</f>
        <v> </v>
      </c>
      <c r="Z256" s="17" t="str">
        <f aca="false">IF((E256="a"),H256," ")</f>
        <v> </v>
      </c>
      <c r="AA256" s="17" t="str">
        <f aca="false">IF((E256="g"),H256," ")</f>
        <v> </v>
      </c>
      <c r="AB256" s="17" t="str">
        <f aca="false">IF((E256="h"),H256," ")</f>
        <v> </v>
      </c>
      <c r="AC256" s="30" t="str">
        <f aca="false">IF((E256="v"),H256," ")</f>
        <v> </v>
      </c>
      <c r="AD256" s="30" t="str">
        <f aca="false">IF((E256="n"),H256," ")</f>
        <v> </v>
      </c>
      <c r="AE256" s="17" t="str">
        <f aca="false">IF((E256="f"),H256," ")</f>
        <v> </v>
      </c>
      <c r="AF256" s="17" t="str">
        <f aca="false">IF((E256="l"),H256," ")</f>
        <v> </v>
      </c>
      <c r="AG256" s="17" t="str">
        <f aca="false">IF((E256="y"),H256," ")</f>
        <v> </v>
      </c>
      <c r="AH256" s="17" t="str">
        <f aca="false">IF((E256="z"),H256," ")</f>
        <v> </v>
      </c>
      <c r="AI256" s="17" t="str">
        <f aca="false">IF((E256="fa"),H256," ")</f>
        <v> </v>
      </c>
      <c r="AJ256" s="17" t="str">
        <f aca="false">IF((E256="e"),H256," ")</f>
        <v> </v>
      </c>
    </row>
    <row r="257" customFormat="false" ht="12" hidden="false" customHeight="false" outlineLevel="0" collapsed="false">
      <c r="A257" s="28"/>
      <c r="E257" s="2" t="str">
        <f aca="false">IF((F257&lt;&gt;0),"Enter Letter"," ")</f>
        <v> </v>
      </c>
      <c r="F257" s="30"/>
      <c r="G257" s="6" t="str">
        <f aca="false">IF(F257&lt;&gt;0,F257*G$2/(100+G$2)," ")</f>
        <v> </v>
      </c>
      <c r="H257" s="6" t="str">
        <f aca="false">IF((F257&lt;&gt;0),F257-G257," ")</f>
        <v> </v>
      </c>
      <c r="I257" s="5"/>
      <c r="L257" s="7" t="str">
        <f aca="false">IF(F257&lt;&gt;0,F257-K257," ")</f>
        <v> </v>
      </c>
      <c r="M257" s="8" t="str">
        <f aca="false">IF((F257-K257)&lt;&gt;0,M$1-A257," ")</f>
        <v> </v>
      </c>
      <c r="N257" s="5"/>
      <c r="O257" s="17" t="str">
        <f aca="false">IF((E257="s"),H257," ")</f>
        <v> </v>
      </c>
      <c r="P257" s="17" t="str">
        <f aca="false">IF((E257="c"),H257," ")</f>
        <v> </v>
      </c>
      <c r="Q257" s="17" t="str">
        <f aca="false">IF((E257="o"),H257," ")</f>
        <v> </v>
      </c>
      <c r="R257" s="17" t="str">
        <f aca="false">IF((E257="d"),H257," ")</f>
        <v> </v>
      </c>
      <c r="S257" s="17" t="str">
        <f aca="false">IF((E257="w"),H257," ")</f>
        <v> </v>
      </c>
      <c r="T257" s="17" t="str">
        <f aca="false">IF((E257="r"),H257," ")</f>
        <v> </v>
      </c>
      <c r="U257" s="17" t="str">
        <f aca="false">IF((E257="p"),H257," ")</f>
        <v> </v>
      </c>
      <c r="V257" s="17" t="str">
        <f aca="false">IF((E257="t"),H257," ")</f>
        <v> </v>
      </c>
      <c r="W257" s="17" t="str">
        <f aca="false">IF((E257="q"),H257," ")</f>
        <v> </v>
      </c>
      <c r="X257" s="17" t="str">
        <f aca="false">IF((E257="m"),H257," ")</f>
        <v> </v>
      </c>
      <c r="Y257" s="17" t="str">
        <f aca="false">IF((E257="u"),H257," ")</f>
        <v> </v>
      </c>
      <c r="Z257" s="17" t="str">
        <f aca="false">IF((E257="a"),H257," ")</f>
        <v> </v>
      </c>
      <c r="AA257" s="17" t="str">
        <f aca="false">IF((E257="g"),H257," ")</f>
        <v> </v>
      </c>
      <c r="AB257" s="17" t="str">
        <f aca="false">IF((E257="h"),H257," ")</f>
        <v> </v>
      </c>
      <c r="AC257" s="30" t="str">
        <f aca="false">IF((E257="v"),H257," ")</f>
        <v> </v>
      </c>
      <c r="AD257" s="30" t="str">
        <f aca="false">IF((E257="n"),H257," ")</f>
        <v> </v>
      </c>
      <c r="AE257" s="17" t="str">
        <f aca="false">IF((E257="f"),H257," ")</f>
        <v> </v>
      </c>
      <c r="AF257" s="17" t="str">
        <f aca="false">IF((E257="l"),H257," ")</f>
        <v> </v>
      </c>
      <c r="AG257" s="17" t="str">
        <f aca="false">IF((E257="y"),H257," ")</f>
        <v> </v>
      </c>
      <c r="AH257" s="17" t="str">
        <f aca="false">IF((E257="z"),H257," ")</f>
        <v> </v>
      </c>
      <c r="AI257" s="17" t="str">
        <f aca="false">IF((E257="fa"),H257," ")</f>
        <v> </v>
      </c>
      <c r="AJ257" s="17" t="str">
        <f aca="false">IF((E257="e"),H257," ")</f>
        <v> </v>
      </c>
    </row>
    <row r="258" customFormat="false" ht="12" hidden="false" customHeight="false" outlineLevel="0" collapsed="false">
      <c r="A258" s="28"/>
      <c r="E258" s="2" t="str">
        <f aca="false">IF((F258&lt;&gt;0),"Enter Letter"," ")</f>
        <v> </v>
      </c>
      <c r="F258" s="30"/>
      <c r="G258" s="6" t="str">
        <f aca="false">IF(F258&lt;&gt;0,F258*G$2/(100+G$2)," ")</f>
        <v> </v>
      </c>
      <c r="H258" s="6" t="str">
        <f aca="false">IF((F258&lt;&gt;0),F258-G258," ")</f>
        <v> </v>
      </c>
      <c r="I258" s="5"/>
      <c r="L258" s="7" t="str">
        <f aca="false">IF(F258&lt;&gt;0,F258-K258," ")</f>
        <v> </v>
      </c>
      <c r="M258" s="8" t="str">
        <f aca="false">IF((F258-K258)&lt;&gt;0,M$1-A258," ")</f>
        <v> </v>
      </c>
      <c r="N258" s="5"/>
      <c r="O258" s="17" t="str">
        <f aca="false">IF((E258="s"),H258," ")</f>
        <v> </v>
      </c>
      <c r="P258" s="17" t="str">
        <f aca="false">IF((E258="c"),H258," ")</f>
        <v> </v>
      </c>
      <c r="Q258" s="17" t="str">
        <f aca="false">IF((E258="o"),H258," ")</f>
        <v> </v>
      </c>
      <c r="R258" s="17" t="str">
        <f aca="false">IF((E258="d"),H258," ")</f>
        <v> </v>
      </c>
      <c r="S258" s="17" t="str">
        <f aca="false">IF((E258="w"),H258," ")</f>
        <v> </v>
      </c>
      <c r="T258" s="17" t="str">
        <f aca="false">IF((E258="r"),H258," ")</f>
        <v> </v>
      </c>
      <c r="U258" s="17" t="str">
        <f aca="false">IF((E258="p"),H258," ")</f>
        <v> </v>
      </c>
      <c r="V258" s="17" t="str">
        <f aca="false">IF((E258="t"),H258," ")</f>
        <v> </v>
      </c>
      <c r="W258" s="17" t="str">
        <f aca="false">IF((E258="q"),H258," ")</f>
        <v> </v>
      </c>
      <c r="X258" s="17" t="str">
        <f aca="false">IF((E258="m"),H258," ")</f>
        <v> </v>
      </c>
      <c r="Y258" s="17" t="str">
        <f aca="false">IF((E258="u"),H258," ")</f>
        <v> </v>
      </c>
      <c r="Z258" s="17" t="str">
        <f aca="false">IF((E258="a"),H258," ")</f>
        <v> </v>
      </c>
      <c r="AA258" s="17" t="str">
        <f aca="false">IF((E258="g"),H258," ")</f>
        <v> </v>
      </c>
      <c r="AB258" s="17" t="str">
        <f aca="false">IF((E258="h"),H258," ")</f>
        <v> </v>
      </c>
      <c r="AC258" s="30" t="str">
        <f aca="false">IF((E258="v"),H258," ")</f>
        <v> </v>
      </c>
      <c r="AD258" s="30" t="str">
        <f aca="false">IF((E258="n"),H258," ")</f>
        <v> </v>
      </c>
      <c r="AE258" s="17" t="str">
        <f aca="false">IF((E258="f"),H258," ")</f>
        <v> </v>
      </c>
      <c r="AF258" s="17" t="str">
        <f aca="false">IF((E258="l"),H258," ")</f>
        <v> </v>
      </c>
      <c r="AG258" s="17" t="str">
        <f aca="false">IF((E258="y"),H258," ")</f>
        <v> </v>
      </c>
      <c r="AH258" s="17" t="str">
        <f aca="false">IF((E258="z"),H258," ")</f>
        <v> </v>
      </c>
      <c r="AI258" s="17" t="str">
        <f aca="false">IF((E258="fa"),H258," ")</f>
        <v> </v>
      </c>
      <c r="AJ258" s="17" t="str">
        <f aca="false">IF((E258="e"),H258," ")</f>
        <v> </v>
      </c>
    </row>
    <row r="259" customFormat="false" ht="12" hidden="false" customHeight="false" outlineLevel="0" collapsed="false">
      <c r="A259" s="28"/>
      <c r="E259" s="2" t="str">
        <f aca="false">IF((F259&lt;&gt;0),"Enter Letter"," ")</f>
        <v> </v>
      </c>
      <c r="F259" s="30"/>
      <c r="G259" s="6" t="str">
        <f aca="false">IF(F259&lt;&gt;0,F259*G$2/(100+G$2)," ")</f>
        <v> </v>
      </c>
      <c r="H259" s="6" t="str">
        <f aca="false">IF((F259&lt;&gt;0),F259-G259," ")</f>
        <v> </v>
      </c>
      <c r="I259" s="5"/>
      <c r="L259" s="7" t="str">
        <f aca="false">IF(F259&lt;&gt;0,F259-K259," ")</f>
        <v> </v>
      </c>
      <c r="M259" s="8" t="str">
        <f aca="false">IF((F259-K259)&lt;&gt;0,M$1-A259," ")</f>
        <v> </v>
      </c>
      <c r="N259" s="5"/>
      <c r="O259" s="17" t="str">
        <f aca="false">IF((E259="s"),H259," ")</f>
        <v> </v>
      </c>
      <c r="P259" s="17" t="str">
        <f aca="false">IF((E259="c"),H259," ")</f>
        <v> </v>
      </c>
      <c r="Q259" s="17" t="str">
        <f aca="false">IF((E259="o"),H259," ")</f>
        <v> </v>
      </c>
      <c r="R259" s="17" t="str">
        <f aca="false">IF((E259="d"),H259," ")</f>
        <v> </v>
      </c>
      <c r="S259" s="17" t="str">
        <f aca="false">IF((E259="w"),H259," ")</f>
        <v> </v>
      </c>
      <c r="T259" s="17" t="str">
        <f aca="false">IF((E259="r"),H259," ")</f>
        <v> </v>
      </c>
      <c r="U259" s="17" t="str">
        <f aca="false">IF((E259="p"),H259," ")</f>
        <v> </v>
      </c>
      <c r="V259" s="17" t="str">
        <f aca="false">IF((E259="t"),H259," ")</f>
        <v> </v>
      </c>
      <c r="W259" s="17" t="str">
        <f aca="false">IF((E259="q"),H259," ")</f>
        <v> </v>
      </c>
      <c r="X259" s="17" t="str">
        <f aca="false">IF((E259="m"),H259," ")</f>
        <v> </v>
      </c>
      <c r="Y259" s="17" t="str">
        <f aca="false">IF((E259="u"),H259," ")</f>
        <v> </v>
      </c>
      <c r="Z259" s="17" t="str">
        <f aca="false">IF((E259="a"),H259," ")</f>
        <v> </v>
      </c>
      <c r="AA259" s="17" t="str">
        <f aca="false">IF((E259="g"),H259," ")</f>
        <v> </v>
      </c>
      <c r="AB259" s="17" t="str">
        <f aca="false">IF((E259="h"),H259," ")</f>
        <v> </v>
      </c>
      <c r="AC259" s="30" t="str">
        <f aca="false">IF((E259="v"),H259," ")</f>
        <v> </v>
      </c>
      <c r="AD259" s="30" t="str">
        <f aca="false">IF((E259="n"),H259," ")</f>
        <v> </v>
      </c>
      <c r="AE259" s="17" t="str">
        <f aca="false">IF((E259="f"),H259," ")</f>
        <v> </v>
      </c>
      <c r="AF259" s="17" t="str">
        <f aca="false">IF((E259="l"),H259," ")</f>
        <v> </v>
      </c>
      <c r="AG259" s="17" t="str">
        <f aca="false">IF((E259="y"),H259," ")</f>
        <v> </v>
      </c>
      <c r="AH259" s="17" t="str">
        <f aca="false">IF((E259="z"),H259," ")</f>
        <v> </v>
      </c>
      <c r="AI259" s="17" t="str">
        <f aca="false">IF((E259="fa"),H259," ")</f>
        <v> </v>
      </c>
      <c r="AJ259" s="17" t="str">
        <f aca="false">IF((E259="e"),H259," ")</f>
        <v> </v>
      </c>
    </row>
    <row r="260" customFormat="false" ht="12" hidden="false" customHeight="false" outlineLevel="0" collapsed="false">
      <c r="A260" s="28"/>
      <c r="E260" s="2" t="str">
        <f aca="false">IF((F260&lt;&gt;0),"Enter Letter"," ")</f>
        <v> </v>
      </c>
      <c r="F260" s="30"/>
      <c r="G260" s="6" t="str">
        <f aca="false">IF(F260&lt;&gt;0,F260*G$2/(100+G$2)," ")</f>
        <v> </v>
      </c>
      <c r="H260" s="6" t="str">
        <f aca="false">IF((F260&lt;&gt;0),F260-G260," ")</f>
        <v> </v>
      </c>
      <c r="I260" s="5"/>
      <c r="L260" s="7" t="str">
        <f aca="false">IF(F260&lt;&gt;0,F260-K260," ")</f>
        <v> </v>
      </c>
      <c r="M260" s="8" t="str">
        <f aca="false">IF((F260-K260)&lt;&gt;0,M$1-A260," ")</f>
        <v> </v>
      </c>
      <c r="N260" s="5"/>
      <c r="O260" s="17" t="str">
        <f aca="false">IF((E260="s"),H260," ")</f>
        <v> </v>
      </c>
      <c r="P260" s="17" t="str">
        <f aca="false">IF((E260="c"),H260," ")</f>
        <v> </v>
      </c>
      <c r="Q260" s="17" t="str">
        <f aca="false">IF((E260="o"),H260," ")</f>
        <v> </v>
      </c>
      <c r="R260" s="17" t="str">
        <f aca="false">IF((E260="d"),H260," ")</f>
        <v> </v>
      </c>
      <c r="S260" s="17" t="str">
        <f aca="false">IF((E260="w"),H260," ")</f>
        <v> </v>
      </c>
      <c r="T260" s="17" t="str">
        <f aca="false">IF((E260="r"),H260," ")</f>
        <v> </v>
      </c>
      <c r="U260" s="17" t="str">
        <f aca="false">IF((E260="p"),H260," ")</f>
        <v> </v>
      </c>
      <c r="V260" s="17" t="str">
        <f aca="false">IF((E260="t"),H260," ")</f>
        <v> </v>
      </c>
      <c r="W260" s="17" t="str">
        <f aca="false">IF((E260="q"),H260," ")</f>
        <v> </v>
      </c>
      <c r="X260" s="17" t="str">
        <f aca="false">IF((E260="m"),H260," ")</f>
        <v> </v>
      </c>
      <c r="Y260" s="17" t="str">
        <f aca="false">IF((E260="u"),H260," ")</f>
        <v> </v>
      </c>
      <c r="Z260" s="17" t="str">
        <f aca="false">IF((E260="a"),H260," ")</f>
        <v> </v>
      </c>
      <c r="AA260" s="17" t="str">
        <f aca="false">IF((E260="g"),H260," ")</f>
        <v> </v>
      </c>
      <c r="AB260" s="17" t="str">
        <f aca="false">IF((E260="h"),H260," ")</f>
        <v> </v>
      </c>
      <c r="AC260" s="30" t="str">
        <f aca="false">IF((E260="v"),H260," ")</f>
        <v> </v>
      </c>
      <c r="AD260" s="30" t="str">
        <f aca="false">IF((E260="n"),H260," ")</f>
        <v> </v>
      </c>
      <c r="AE260" s="17" t="str">
        <f aca="false">IF((E260="f"),H260," ")</f>
        <v> </v>
      </c>
      <c r="AF260" s="17" t="str">
        <f aca="false">IF((E260="l"),H260," ")</f>
        <v> </v>
      </c>
      <c r="AG260" s="17" t="str">
        <f aca="false">IF((E260="y"),H260," ")</f>
        <v> </v>
      </c>
      <c r="AH260" s="17" t="str">
        <f aca="false">IF((E260="z"),H260," ")</f>
        <v> </v>
      </c>
      <c r="AI260" s="17" t="str">
        <f aca="false">IF((E260="fa"),H260," ")</f>
        <v> </v>
      </c>
      <c r="AJ260" s="17" t="str">
        <f aca="false">IF((E260="e"),H260," ")</f>
        <v> </v>
      </c>
    </row>
    <row r="261" customFormat="false" ht="12" hidden="false" customHeight="false" outlineLevel="0" collapsed="false">
      <c r="A261" s="28"/>
      <c r="E261" s="2" t="str">
        <f aca="false">IF((F261&lt;&gt;0),"Enter Letter"," ")</f>
        <v> </v>
      </c>
      <c r="F261" s="30"/>
      <c r="G261" s="6" t="str">
        <f aca="false">IF(F261&lt;&gt;0,F261*G$2/(100+G$2)," ")</f>
        <v> </v>
      </c>
      <c r="H261" s="6" t="str">
        <f aca="false">IF((F261&lt;&gt;0),F261-G261," ")</f>
        <v> </v>
      </c>
      <c r="I261" s="5"/>
      <c r="L261" s="7" t="str">
        <f aca="false">IF(F261&lt;&gt;0,F261-K261," ")</f>
        <v> </v>
      </c>
      <c r="M261" s="8" t="str">
        <f aca="false">IF((F261-K261)&lt;&gt;0,M$1-A261," ")</f>
        <v> </v>
      </c>
      <c r="N261" s="5"/>
      <c r="O261" s="17" t="str">
        <f aca="false">IF((E261="s"),H261," ")</f>
        <v> </v>
      </c>
      <c r="P261" s="17" t="str">
        <f aca="false">IF((E261="c"),H261," ")</f>
        <v> </v>
      </c>
      <c r="Q261" s="17" t="str">
        <f aca="false">IF((E261="o"),H261," ")</f>
        <v> </v>
      </c>
      <c r="R261" s="17" t="str">
        <f aca="false">IF((E261="d"),H261," ")</f>
        <v> </v>
      </c>
      <c r="S261" s="17" t="str">
        <f aca="false">IF((E261="w"),H261," ")</f>
        <v> </v>
      </c>
      <c r="T261" s="17" t="str">
        <f aca="false">IF((E261="r"),H261," ")</f>
        <v> </v>
      </c>
      <c r="U261" s="17" t="str">
        <f aca="false">IF((E261="p"),H261," ")</f>
        <v> </v>
      </c>
      <c r="V261" s="17" t="str">
        <f aca="false">IF((E261="t"),H261," ")</f>
        <v> </v>
      </c>
      <c r="W261" s="17" t="str">
        <f aca="false">IF((E261="q"),H261," ")</f>
        <v> </v>
      </c>
      <c r="X261" s="17" t="str">
        <f aca="false">IF((E261="m"),H261," ")</f>
        <v> </v>
      </c>
      <c r="Y261" s="17" t="str">
        <f aca="false">IF((E261="u"),H261," ")</f>
        <v> </v>
      </c>
      <c r="Z261" s="17" t="str">
        <f aca="false">IF((E261="a"),H261," ")</f>
        <v> </v>
      </c>
      <c r="AA261" s="17" t="str">
        <f aca="false">IF((E261="g"),H261," ")</f>
        <v> </v>
      </c>
      <c r="AB261" s="17" t="str">
        <f aca="false">IF((E261="h"),H261," ")</f>
        <v> </v>
      </c>
      <c r="AC261" s="30" t="str">
        <f aca="false">IF((E261="v"),H261," ")</f>
        <v> </v>
      </c>
      <c r="AD261" s="30" t="str">
        <f aca="false">IF((E261="n"),H261," ")</f>
        <v> </v>
      </c>
      <c r="AE261" s="17" t="str">
        <f aca="false">IF((E261="f"),H261," ")</f>
        <v> </v>
      </c>
      <c r="AF261" s="17" t="str">
        <f aca="false">IF((E261="l"),H261," ")</f>
        <v> </v>
      </c>
      <c r="AG261" s="17" t="str">
        <f aca="false">IF((E261="y"),H261," ")</f>
        <v> </v>
      </c>
      <c r="AH261" s="17" t="str">
        <f aca="false">IF((E261="z"),H261," ")</f>
        <v> </v>
      </c>
      <c r="AI261" s="17" t="str">
        <f aca="false">IF((E261="fa"),H261," ")</f>
        <v> </v>
      </c>
      <c r="AJ261" s="17" t="str">
        <f aca="false">IF((E261="e"),H261," ")</f>
        <v> </v>
      </c>
    </row>
    <row r="262" customFormat="false" ht="12" hidden="false" customHeight="false" outlineLevel="0" collapsed="false">
      <c r="A262" s="28"/>
      <c r="E262" s="2" t="str">
        <f aca="false">IF((F262&lt;&gt;0),"Enter Letter"," ")</f>
        <v> </v>
      </c>
      <c r="F262" s="30"/>
      <c r="G262" s="6" t="str">
        <f aca="false">IF(F262&lt;&gt;0,F262*G$2/(100+G$2)," ")</f>
        <v> </v>
      </c>
      <c r="H262" s="6" t="str">
        <f aca="false">IF((F262&lt;&gt;0),F262-G262," ")</f>
        <v> </v>
      </c>
      <c r="I262" s="5"/>
      <c r="L262" s="7" t="str">
        <f aca="false">IF(F262&lt;&gt;0,F262-K262," ")</f>
        <v> </v>
      </c>
      <c r="M262" s="8" t="str">
        <f aca="false">IF((F262-K262)&lt;&gt;0,M$1-A262," ")</f>
        <v> </v>
      </c>
      <c r="N262" s="5"/>
      <c r="O262" s="17" t="str">
        <f aca="false">IF((E262="s"),H262," ")</f>
        <v> </v>
      </c>
      <c r="P262" s="17" t="str">
        <f aca="false">IF((E262="c"),H262," ")</f>
        <v> </v>
      </c>
      <c r="Q262" s="17" t="str">
        <f aca="false">IF((E262="o"),H262," ")</f>
        <v> </v>
      </c>
      <c r="R262" s="17" t="str">
        <f aca="false">IF((E262="d"),H262," ")</f>
        <v> </v>
      </c>
      <c r="S262" s="17" t="str">
        <f aca="false">IF((E262="w"),H262," ")</f>
        <v> </v>
      </c>
      <c r="T262" s="17" t="str">
        <f aca="false">IF((E262="r"),H262," ")</f>
        <v> </v>
      </c>
      <c r="U262" s="17" t="str">
        <f aca="false">IF((E262="p"),H262," ")</f>
        <v> </v>
      </c>
      <c r="V262" s="17" t="str">
        <f aca="false">IF((E262="t"),H262," ")</f>
        <v> </v>
      </c>
      <c r="W262" s="17" t="str">
        <f aca="false">IF((E262="q"),H262," ")</f>
        <v> </v>
      </c>
      <c r="X262" s="17" t="str">
        <f aca="false">IF((E262="m"),H262," ")</f>
        <v> </v>
      </c>
      <c r="Y262" s="17" t="str">
        <f aca="false">IF((E262="u"),H262," ")</f>
        <v> </v>
      </c>
      <c r="Z262" s="17" t="str">
        <f aca="false">IF((E262="a"),H262," ")</f>
        <v> </v>
      </c>
      <c r="AA262" s="17" t="str">
        <f aca="false">IF((E262="g"),H262," ")</f>
        <v> </v>
      </c>
      <c r="AB262" s="17" t="str">
        <f aca="false">IF((E262="h"),H262," ")</f>
        <v> </v>
      </c>
      <c r="AC262" s="30" t="str">
        <f aca="false">IF((E262="v"),H262," ")</f>
        <v> </v>
      </c>
      <c r="AD262" s="30" t="str">
        <f aca="false">IF((E262="n"),H262," ")</f>
        <v> </v>
      </c>
      <c r="AE262" s="17" t="str">
        <f aca="false">IF((E262="f"),H262," ")</f>
        <v> </v>
      </c>
      <c r="AF262" s="17" t="str">
        <f aca="false">IF((E262="l"),H262," ")</f>
        <v> </v>
      </c>
      <c r="AG262" s="17" t="str">
        <f aca="false">IF((E262="y"),H262," ")</f>
        <v> </v>
      </c>
      <c r="AH262" s="17" t="str">
        <f aca="false">IF((E262="z"),H262," ")</f>
        <v> </v>
      </c>
      <c r="AI262" s="17" t="str">
        <f aca="false">IF((E262="fa"),H262," ")</f>
        <v> </v>
      </c>
      <c r="AJ262" s="17" t="str">
        <f aca="false">IF((E262="e"),H262," ")</f>
        <v> </v>
      </c>
    </row>
    <row r="263" customFormat="false" ht="12" hidden="false" customHeight="false" outlineLevel="0" collapsed="false">
      <c r="A263" s="28"/>
      <c r="E263" s="2" t="str">
        <f aca="false">IF((F263&lt;&gt;0),"Enter Letter"," ")</f>
        <v> </v>
      </c>
      <c r="F263" s="30"/>
      <c r="G263" s="6" t="str">
        <f aca="false">IF(F263&lt;&gt;0,F263*G$2/(100+G$2)," ")</f>
        <v> </v>
      </c>
      <c r="H263" s="6" t="str">
        <f aca="false">IF((F263&lt;&gt;0),F263-G263," ")</f>
        <v> </v>
      </c>
      <c r="I263" s="5"/>
      <c r="L263" s="7" t="str">
        <f aca="false">IF(F263&lt;&gt;0,F263-K263," ")</f>
        <v> </v>
      </c>
      <c r="M263" s="8" t="str">
        <f aca="false">IF((F263-K263)&lt;&gt;0,M$1-A263," ")</f>
        <v> </v>
      </c>
      <c r="N263" s="5"/>
      <c r="O263" s="17" t="str">
        <f aca="false">IF((E263="s"),H263," ")</f>
        <v> </v>
      </c>
      <c r="P263" s="17" t="str">
        <f aca="false">IF((E263="c"),H263," ")</f>
        <v> </v>
      </c>
      <c r="Q263" s="17" t="str">
        <f aca="false">IF((E263="o"),H263," ")</f>
        <v> </v>
      </c>
      <c r="R263" s="17" t="str">
        <f aca="false">IF((E263="d"),H263," ")</f>
        <v> </v>
      </c>
      <c r="S263" s="17" t="str">
        <f aca="false">IF((E263="w"),H263," ")</f>
        <v> </v>
      </c>
      <c r="T263" s="17" t="str">
        <f aca="false">IF((E263="r"),H263," ")</f>
        <v> </v>
      </c>
      <c r="U263" s="17" t="str">
        <f aca="false">IF((E263="p"),H263," ")</f>
        <v> </v>
      </c>
      <c r="V263" s="17" t="str">
        <f aca="false">IF((E263="t"),H263," ")</f>
        <v> </v>
      </c>
      <c r="W263" s="17" t="str">
        <f aca="false">IF((E263="q"),H263," ")</f>
        <v> </v>
      </c>
      <c r="X263" s="17" t="str">
        <f aca="false">IF((E263="m"),H263," ")</f>
        <v> </v>
      </c>
      <c r="Y263" s="17" t="str">
        <f aca="false">IF((E263="u"),H263," ")</f>
        <v> </v>
      </c>
      <c r="Z263" s="17" t="str">
        <f aca="false">IF((E263="a"),H263," ")</f>
        <v> </v>
      </c>
      <c r="AA263" s="17" t="str">
        <f aca="false">IF((E263="g"),H263," ")</f>
        <v> </v>
      </c>
      <c r="AB263" s="17" t="str">
        <f aca="false">IF((E263="h"),H263," ")</f>
        <v> </v>
      </c>
      <c r="AC263" s="30" t="str">
        <f aca="false">IF((E263="v"),H263," ")</f>
        <v> </v>
      </c>
      <c r="AD263" s="30" t="str">
        <f aca="false">IF((E263="n"),H263," ")</f>
        <v> </v>
      </c>
      <c r="AE263" s="17" t="str">
        <f aca="false">IF((E263="f"),H263," ")</f>
        <v> </v>
      </c>
      <c r="AF263" s="17" t="str">
        <f aca="false">IF((E263="l"),H263," ")</f>
        <v> </v>
      </c>
      <c r="AG263" s="17" t="str">
        <f aca="false">IF((E263="y"),H263," ")</f>
        <v> </v>
      </c>
      <c r="AH263" s="17" t="str">
        <f aca="false">IF((E263="z"),H263," ")</f>
        <v> </v>
      </c>
      <c r="AI263" s="17" t="str">
        <f aca="false">IF((E263="fa"),H263," ")</f>
        <v> </v>
      </c>
      <c r="AJ263" s="17" t="str">
        <f aca="false">IF((E263="e"),H263," ")</f>
        <v> </v>
      </c>
    </row>
    <row r="264" customFormat="false" ht="12" hidden="false" customHeight="false" outlineLevel="0" collapsed="false">
      <c r="A264" s="28"/>
      <c r="E264" s="2" t="str">
        <f aca="false">IF((F264&lt;&gt;0),"Enter Letter"," ")</f>
        <v> </v>
      </c>
      <c r="F264" s="30"/>
      <c r="G264" s="6" t="str">
        <f aca="false">IF(F264&lt;&gt;0,F264*G$2/(100+G$2)," ")</f>
        <v> </v>
      </c>
      <c r="H264" s="6" t="str">
        <f aca="false">IF((F264&lt;&gt;0),F264-G264," ")</f>
        <v> </v>
      </c>
      <c r="I264" s="5"/>
      <c r="L264" s="7" t="str">
        <f aca="false">IF(F264&lt;&gt;0,F264-K264," ")</f>
        <v> </v>
      </c>
      <c r="M264" s="8" t="str">
        <f aca="false">IF((F264-K264)&lt;&gt;0,M$1-A264," ")</f>
        <v> </v>
      </c>
      <c r="N264" s="5"/>
      <c r="O264" s="17" t="str">
        <f aca="false">IF((E264="s"),H264," ")</f>
        <v> </v>
      </c>
      <c r="P264" s="17" t="str">
        <f aca="false">IF((E264="c"),H264," ")</f>
        <v> </v>
      </c>
      <c r="Q264" s="17" t="str">
        <f aca="false">IF((E264="o"),H264," ")</f>
        <v> </v>
      </c>
      <c r="R264" s="17" t="str">
        <f aca="false">IF((E264="d"),H264," ")</f>
        <v> </v>
      </c>
      <c r="S264" s="17" t="str">
        <f aca="false">IF((E264="w"),H264," ")</f>
        <v> </v>
      </c>
      <c r="T264" s="17" t="str">
        <f aca="false">IF((E264="r"),H264," ")</f>
        <v> </v>
      </c>
      <c r="U264" s="17" t="str">
        <f aca="false">IF((E264="p"),H264," ")</f>
        <v> </v>
      </c>
      <c r="V264" s="17" t="str">
        <f aca="false">IF((E264="t"),H264," ")</f>
        <v> </v>
      </c>
      <c r="W264" s="17" t="str">
        <f aca="false">IF((E264="q"),H264," ")</f>
        <v> </v>
      </c>
      <c r="X264" s="17" t="str">
        <f aca="false">IF((E264="m"),H264," ")</f>
        <v> </v>
      </c>
      <c r="Y264" s="17" t="str">
        <f aca="false">IF((E264="u"),H264," ")</f>
        <v> </v>
      </c>
      <c r="Z264" s="17" t="str">
        <f aca="false">IF((E264="a"),H264," ")</f>
        <v> </v>
      </c>
      <c r="AA264" s="17" t="str">
        <f aca="false">IF((E264="g"),H264," ")</f>
        <v> </v>
      </c>
      <c r="AB264" s="17" t="str">
        <f aca="false">IF((E264="h"),H264," ")</f>
        <v> </v>
      </c>
      <c r="AC264" s="30" t="str">
        <f aca="false">IF((E264="v"),H264," ")</f>
        <v> </v>
      </c>
      <c r="AD264" s="30" t="str">
        <f aca="false">IF((E264="n"),H264," ")</f>
        <v> </v>
      </c>
      <c r="AE264" s="17" t="str">
        <f aca="false">IF((E264="f"),H264," ")</f>
        <v> </v>
      </c>
      <c r="AF264" s="17" t="str">
        <f aca="false">IF((E264="l"),H264," ")</f>
        <v> </v>
      </c>
      <c r="AG264" s="17" t="str">
        <f aca="false">IF((E264="y"),H264," ")</f>
        <v> </v>
      </c>
      <c r="AH264" s="17" t="str">
        <f aca="false">IF((E264="z"),H264," ")</f>
        <v> </v>
      </c>
      <c r="AI264" s="17" t="str">
        <f aca="false">IF((E264="fa"),H264," ")</f>
        <v> </v>
      </c>
      <c r="AJ264" s="17" t="str">
        <f aca="false">IF((E264="e"),H264," ")</f>
        <v> </v>
      </c>
    </row>
    <row r="265" customFormat="false" ht="12" hidden="false" customHeight="false" outlineLevel="0" collapsed="false">
      <c r="A265" s="28"/>
      <c r="E265" s="2" t="str">
        <f aca="false">IF((F265&lt;&gt;0),"Enter Letter"," ")</f>
        <v> </v>
      </c>
      <c r="F265" s="30"/>
      <c r="G265" s="6" t="str">
        <f aca="false">IF(F265&lt;&gt;0,F265*G$2/(100+G$2)," ")</f>
        <v> </v>
      </c>
      <c r="H265" s="6" t="str">
        <f aca="false">IF((F265&lt;&gt;0),F265-G265," ")</f>
        <v> </v>
      </c>
      <c r="I265" s="5"/>
      <c r="L265" s="7" t="str">
        <f aca="false">IF(F265&lt;&gt;0,F265-K265," ")</f>
        <v> </v>
      </c>
      <c r="M265" s="8" t="str">
        <f aca="false">IF((F265-K265)&lt;&gt;0,M$1-A265," ")</f>
        <v> </v>
      </c>
      <c r="N265" s="5"/>
      <c r="O265" s="17" t="str">
        <f aca="false">IF((E265="s"),H265," ")</f>
        <v> </v>
      </c>
      <c r="P265" s="17" t="str">
        <f aca="false">IF((E265="c"),H265," ")</f>
        <v> </v>
      </c>
      <c r="Q265" s="17" t="str">
        <f aca="false">IF((E265="o"),H265," ")</f>
        <v> </v>
      </c>
      <c r="R265" s="17" t="str">
        <f aca="false">IF((E265="d"),H265," ")</f>
        <v> </v>
      </c>
      <c r="S265" s="17" t="str">
        <f aca="false">IF((E265="w"),H265," ")</f>
        <v> </v>
      </c>
      <c r="T265" s="17" t="str">
        <f aca="false">IF((E265="r"),H265," ")</f>
        <v> </v>
      </c>
      <c r="U265" s="17" t="str">
        <f aca="false">IF((E265="p"),H265," ")</f>
        <v> </v>
      </c>
      <c r="V265" s="17" t="str">
        <f aca="false">IF((E265="t"),H265," ")</f>
        <v> </v>
      </c>
      <c r="W265" s="17" t="str">
        <f aca="false">IF((E265="q"),H265," ")</f>
        <v> </v>
      </c>
      <c r="X265" s="17" t="str">
        <f aca="false">IF((E265="m"),H265," ")</f>
        <v> </v>
      </c>
      <c r="Y265" s="17" t="str">
        <f aca="false">IF((E265="u"),H265," ")</f>
        <v> </v>
      </c>
      <c r="Z265" s="17" t="str">
        <f aca="false">IF((E265="a"),H265," ")</f>
        <v> </v>
      </c>
      <c r="AA265" s="17" t="str">
        <f aca="false">IF((E265="g"),H265," ")</f>
        <v> </v>
      </c>
      <c r="AB265" s="17" t="str">
        <f aca="false">IF((E265="h"),H265," ")</f>
        <v> </v>
      </c>
      <c r="AC265" s="30" t="str">
        <f aca="false">IF((E265="v"),H265," ")</f>
        <v> </v>
      </c>
      <c r="AD265" s="30" t="str">
        <f aca="false">IF((E265="n"),H265," ")</f>
        <v> </v>
      </c>
      <c r="AE265" s="17" t="str">
        <f aca="false">IF((E265="f"),H265," ")</f>
        <v> </v>
      </c>
      <c r="AF265" s="17" t="str">
        <f aca="false">IF((E265="l"),H265," ")</f>
        <v> </v>
      </c>
      <c r="AG265" s="17" t="str">
        <f aca="false">IF((E265="y"),H265," ")</f>
        <v> </v>
      </c>
      <c r="AH265" s="17" t="str">
        <f aca="false">IF((E265="z"),H265," ")</f>
        <v> </v>
      </c>
      <c r="AI265" s="17" t="str">
        <f aca="false">IF((E265="fa"),H265," ")</f>
        <v> </v>
      </c>
      <c r="AJ265" s="17" t="str">
        <f aca="false">IF((E265="e"),H265," ")</f>
        <v> </v>
      </c>
    </row>
    <row r="266" customFormat="false" ht="12" hidden="false" customHeight="false" outlineLevel="0" collapsed="false">
      <c r="A266" s="28"/>
      <c r="E266" s="2" t="str">
        <f aca="false">IF((F266&lt;&gt;0),"Enter Letter"," ")</f>
        <v> </v>
      </c>
      <c r="F266" s="30"/>
      <c r="G266" s="6" t="str">
        <f aca="false">IF(F266&lt;&gt;0,F266*G$2/(100+G$2)," ")</f>
        <v> </v>
      </c>
      <c r="H266" s="6" t="str">
        <f aca="false">IF((F266&lt;&gt;0),F266-G266," ")</f>
        <v> </v>
      </c>
      <c r="I266" s="5"/>
      <c r="L266" s="7" t="str">
        <f aca="false">IF(F266&lt;&gt;0,F266-K266," ")</f>
        <v> </v>
      </c>
      <c r="M266" s="8" t="str">
        <f aca="false">IF((F266-K266)&lt;&gt;0,M$1-A266," ")</f>
        <v> </v>
      </c>
      <c r="N266" s="5"/>
      <c r="O266" s="17" t="str">
        <f aca="false">IF((E266="s"),H266," ")</f>
        <v> </v>
      </c>
      <c r="P266" s="17" t="str">
        <f aca="false">IF((E266="c"),H266," ")</f>
        <v> </v>
      </c>
      <c r="Q266" s="17" t="str">
        <f aca="false">IF((E266="o"),H266," ")</f>
        <v> </v>
      </c>
      <c r="R266" s="17" t="str">
        <f aca="false">IF((E266="d"),H266," ")</f>
        <v> </v>
      </c>
      <c r="S266" s="17" t="str">
        <f aca="false">IF((E266="w"),H266," ")</f>
        <v> </v>
      </c>
      <c r="T266" s="17" t="str">
        <f aca="false">IF((E266="r"),H266," ")</f>
        <v> </v>
      </c>
      <c r="U266" s="17" t="str">
        <f aca="false">IF((E266="p"),H266," ")</f>
        <v> </v>
      </c>
      <c r="V266" s="17" t="str">
        <f aca="false">IF((E266="t"),H266," ")</f>
        <v> </v>
      </c>
      <c r="W266" s="17" t="str">
        <f aca="false">IF((E266="q"),H266," ")</f>
        <v> </v>
      </c>
      <c r="X266" s="17" t="str">
        <f aca="false">IF((E266="m"),H266," ")</f>
        <v> </v>
      </c>
      <c r="Y266" s="17" t="str">
        <f aca="false">IF((E266="u"),H266," ")</f>
        <v> </v>
      </c>
      <c r="Z266" s="17" t="str">
        <f aca="false">IF((E266="a"),H266," ")</f>
        <v> </v>
      </c>
      <c r="AA266" s="17" t="str">
        <f aca="false">IF((E266="g"),H266," ")</f>
        <v> </v>
      </c>
      <c r="AB266" s="17" t="str">
        <f aca="false">IF((E266="h"),H266," ")</f>
        <v> </v>
      </c>
      <c r="AC266" s="30" t="str">
        <f aca="false">IF((E266="v"),H266," ")</f>
        <v> </v>
      </c>
      <c r="AD266" s="30" t="str">
        <f aca="false">IF((E266="n"),H266," ")</f>
        <v> </v>
      </c>
      <c r="AE266" s="17" t="str">
        <f aca="false">IF((E266="f"),H266," ")</f>
        <v> </v>
      </c>
      <c r="AF266" s="17" t="str">
        <f aca="false">IF((E266="l"),H266," ")</f>
        <v> </v>
      </c>
      <c r="AG266" s="17" t="str">
        <f aca="false">IF((E266="y"),H266," ")</f>
        <v> </v>
      </c>
      <c r="AH266" s="17" t="str">
        <f aca="false">IF((E266="z"),H266," ")</f>
        <v> </v>
      </c>
      <c r="AI266" s="17" t="str">
        <f aca="false">IF((E266="fa"),H266," ")</f>
        <v> </v>
      </c>
      <c r="AJ266" s="17" t="str">
        <f aca="false">IF((E266="e"),H266," ")</f>
        <v> </v>
      </c>
    </row>
    <row r="267" customFormat="false" ht="12" hidden="false" customHeight="false" outlineLevel="0" collapsed="false">
      <c r="A267" s="28"/>
      <c r="E267" s="2" t="str">
        <f aca="false">IF((F267&lt;&gt;0),"Enter Letter"," ")</f>
        <v> </v>
      </c>
      <c r="F267" s="30"/>
      <c r="G267" s="6" t="str">
        <f aca="false">IF(F267&lt;&gt;0,F267*G$2/(100+G$2)," ")</f>
        <v> </v>
      </c>
      <c r="H267" s="6" t="str">
        <f aca="false">IF((F267&lt;&gt;0),F267-G267," ")</f>
        <v> </v>
      </c>
      <c r="I267" s="5"/>
      <c r="L267" s="7" t="str">
        <f aca="false">IF(F267&lt;&gt;0,F267-K267," ")</f>
        <v> </v>
      </c>
      <c r="M267" s="8" t="str">
        <f aca="false">IF((F267-K267)&lt;&gt;0,M$1-A267," ")</f>
        <v> </v>
      </c>
      <c r="N267" s="5"/>
      <c r="O267" s="17" t="str">
        <f aca="false">IF((E267="s"),H267," ")</f>
        <v> </v>
      </c>
      <c r="P267" s="17" t="str">
        <f aca="false">IF((E267="c"),H267," ")</f>
        <v> </v>
      </c>
      <c r="Q267" s="17" t="str">
        <f aca="false">IF((E267="o"),H267," ")</f>
        <v> </v>
      </c>
      <c r="R267" s="17" t="str">
        <f aca="false">IF((E267="d"),H267," ")</f>
        <v> </v>
      </c>
      <c r="S267" s="17" t="str">
        <f aca="false">IF((E267="w"),H267," ")</f>
        <v> </v>
      </c>
      <c r="T267" s="17" t="str">
        <f aca="false">IF((E267="r"),H267," ")</f>
        <v> </v>
      </c>
      <c r="U267" s="17" t="str">
        <f aca="false">IF((E267="p"),H267," ")</f>
        <v> </v>
      </c>
      <c r="V267" s="17" t="str">
        <f aca="false">IF((E267="t"),H267," ")</f>
        <v> </v>
      </c>
      <c r="W267" s="17" t="str">
        <f aca="false">IF((E267="q"),H267," ")</f>
        <v> </v>
      </c>
      <c r="X267" s="17" t="str">
        <f aca="false">IF((E267="m"),H267," ")</f>
        <v> </v>
      </c>
      <c r="Y267" s="17" t="str">
        <f aca="false">IF((E267="u"),H267," ")</f>
        <v> </v>
      </c>
      <c r="Z267" s="17" t="str">
        <f aca="false">IF((E267="a"),H267," ")</f>
        <v> </v>
      </c>
      <c r="AA267" s="17" t="str">
        <f aca="false">IF((E267="g"),H267," ")</f>
        <v> </v>
      </c>
      <c r="AB267" s="17" t="str">
        <f aca="false">IF((E267="h"),H267," ")</f>
        <v> </v>
      </c>
      <c r="AC267" s="30" t="str">
        <f aca="false">IF((E267="v"),H267," ")</f>
        <v> </v>
      </c>
      <c r="AD267" s="30" t="str">
        <f aca="false">IF((E267="n"),H267," ")</f>
        <v> </v>
      </c>
      <c r="AE267" s="17" t="str">
        <f aca="false">IF((E267="f"),H267," ")</f>
        <v> </v>
      </c>
      <c r="AF267" s="17" t="str">
        <f aca="false">IF((E267="l"),H267," ")</f>
        <v> </v>
      </c>
      <c r="AG267" s="17" t="str">
        <f aca="false">IF((E267="y"),H267," ")</f>
        <v> </v>
      </c>
      <c r="AH267" s="17" t="str">
        <f aca="false">IF((E267="z"),H267," ")</f>
        <v> </v>
      </c>
      <c r="AI267" s="17" t="str">
        <f aca="false">IF((E267="fa"),H267," ")</f>
        <v> </v>
      </c>
      <c r="AJ267" s="17" t="str">
        <f aca="false">IF((E267="e"),H267," ")</f>
        <v> </v>
      </c>
    </row>
    <row r="268" customFormat="false" ht="12" hidden="false" customHeight="false" outlineLevel="0" collapsed="false">
      <c r="A268" s="28"/>
      <c r="E268" s="2" t="str">
        <f aca="false">IF((F268&lt;&gt;0),"Enter Letter"," ")</f>
        <v> </v>
      </c>
      <c r="F268" s="30"/>
      <c r="G268" s="6" t="str">
        <f aca="false">IF(F268&lt;&gt;0,F268*G$2/(100+G$2)," ")</f>
        <v> </v>
      </c>
      <c r="H268" s="6" t="str">
        <f aca="false">IF((F268&lt;&gt;0),F268-G268," ")</f>
        <v> </v>
      </c>
      <c r="I268" s="5"/>
      <c r="L268" s="7" t="str">
        <f aca="false">IF(F268&lt;&gt;0,F268-K268," ")</f>
        <v> </v>
      </c>
      <c r="M268" s="8" t="str">
        <f aca="false">IF((F268-K268)&lt;&gt;0,M$1-A268," ")</f>
        <v> </v>
      </c>
      <c r="N268" s="5"/>
      <c r="O268" s="17" t="str">
        <f aca="false">IF((E268="s"),H268," ")</f>
        <v> </v>
      </c>
      <c r="P268" s="17" t="str">
        <f aca="false">IF((E268="c"),H268," ")</f>
        <v> </v>
      </c>
      <c r="Q268" s="17" t="str">
        <f aca="false">IF((E268="o"),H268," ")</f>
        <v> </v>
      </c>
      <c r="R268" s="17" t="str">
        <f aca="false">IF((E268="d"),H268," ")</f>
        <v> </v>
      </c>
      <c r="S268" s="17" t="str">
        <f aca="false">IF((E268="w"),H268," ")</f>
        <v> </v>
      </c>
      <c r="T268" s="17" t="str">
        <f aca="false">IF((E268="r"),H268," ")</f>
        <v> </v>
      </c>
      <c r="U268" s="17" t="str">
        <f aca="false">IF((E268="p"),H268," ")</f>
        <v> </v>
      </c>
      <c r="V268" s="17" t="str">
        <f aca="false">IF((E268="t"),H268," ")</f>
        <v> </v>
      </c>
      <c r="W268" s="17" t="str">
        <f aca="false">IF((E268="q"),H268," ")</f>
        <v> </v>
      </c>
      <c r="X268" s="17" t="str">
        <f aca="false">IF((E268="m"),H268," ")</f>
        <v> </v>
      </c>
      <c r="Y268" s="17" t="str">
        <f aca="false">IF((E268="u"),H268," ")</f>
        <v> </v>
      </c>
      <c r="Z268" s="17" t="str">
        <f aca="false">IF((E268="a"),H268," ")</f>
        <v> </v>
      </c>
      <c r="AA268" s="17" t="str">
        <f aca="false">IF((E268="g"),H268," ")</f>
        <v> </v>
      </c>
      <c r="AB268" s="17" t="str">
        <f aca="false">IF((E268="h"),H268," ")</f>
        <v> </v>
      </c>
      <c r="AC268" s="30" t="str">
        <f aca="false">IF((E268="v"),H268," ")</f>
        <v> </v>
      </c>
      <c r="AD268" s="30" t="str">
        <f aca="false">IF((E268="n"),H268," ")</f>
        <v> </v>
      </c>
      <c r="AE268" s="17" t="str">
        <f aca="false">IF((E268="f"),H268," ")</f>
        <v> </v>
      </c>
      <c r="AF268" s="17" t="str">
        <f aca="false">IF((E268="l"),H268," ")</f>
        <v> </v>
      </c>
      <c r="AG268" s="17" t="str">
        <f aca="false">IF((E268="y"),H268," ")</f>
        <v> </v>
      </c>
      <c r="AH268" s="17" t="str">
        <f aca="false">IF((E268="z"),H268," ")</f>
        <v> </v>
      </c>
      <c r="AI268" s="17" t="str">
        <f aca="false">IF((E268="fa"),H268," ")</f>
        <v> </v>
      </c>
      <c r="AJ268" s="17" t="str">
        <f aca="false">IF((E268="e"),H268," ")</f>
        <v> </v>
      </c>
    </row>
    <row r="269" customFormat="false" ht="12" hidden="false" customHeight="false" outlineLevel="0" collapsed="false">
      <c r="A269" s="28"/>
      <c r="E269" s="2" t="str">
        <f aca="false">IF((F269&lt;&gt;0),"Enter Letter"," ")</f>
        <v> </v>
      </c>
      <c r="F269" s="30"/>
      <c r="G269" s="6" t="str">
        <f aca="false">IF(F269&lt;&gt;0,F269*G$2/(100+G$2)," ")</f>
        <v> </v>
      </c>
      <c r="H269" s="6" t="str">
        <f aca="false">IF((F269&lt;&gt;0),F269-G269," ")</f>
        <v> </v>
      </c>
      <c r="I269" s="5"/>
      <c r="L269" s="7" t="str">
        <f aca="false">IF(F269&lt;&gt;0,F269-K269," ")</f>
        <v> </v>
      </c>
      <c r="M269" s="8" t="str">
        <f aca="false">IF((F269-K269)&lt;&gt;0,M$1-A269," ")</f>
        <v> </v>
      </c>
      <c r="N269" s="5"/>
      <c r="O269" s="17" t="str">
        <f aca="false">IF((E269="s"),H269," ")</f>
        <v> </v>
      </c>
      <c r="P269" s="17" t="str">
        <f aca="false">IF((E269="c"),H269," ")</f>
        <v> </v>
      </c>
      <c r="Q269" s="17" t="str">
        <f aca="false">IF((E269="o"),H269," ")</f>
        <v> </v>
      </c>
      <c r="R269" s="17" t="str">
        <f aca="false">IF((E269="d"),H269," ")</f>
        <v> </v>
      </c>
      <c r="S269" s="17" t="str">
        <f aca="false">IF((E269="w"),H269," ")</f>
        <v> </v>
      </c>
      <c r="T269" s="17" t="str">
        <f aca="false">IF((E269="r"),H269," ")</f>
        <v> </v>
      </c>
      <c r="U269" s="17" t="str">
        <f aca="false">IF((E269="p"),H269," ")</f>
        <v> </v>
      </c>
      <c r="V269" s="17" t="str">
        <f aca="false">IF((E269="t"),H269," ")</f>
        <v> </v>
      </c>
      <c r="W269" s="17" t="str">
        <f aca="false">IF((E269="q"),H269," ")</f>
        <v> </v>
      </c>
      <c r="X269" s="17" t="str">
        <f aca="false">IF((E269="m"),H269," ")</f>
        <v> </v>
      </c>
      <c r="Y269" s="17" t="str">
        <f aca="false">IF((E269="u"),H269," ")</f>
        <v> </v>
      </c>
      <c r="Z269" s="17" t="str">
        <f aca="false">IF((E269="a"),H269," ")</f>
        <v> </v>
      </c>
      <c r="AA269" s="17" t="str">
        <f aca="false">IF((E269="g"),H269," ")</f>
        <v> </v>
      </c>
      <c r="AB269" s="17" t="str">
        <f aca="false">IF((E269="h"),H269," ")</f>
        <v> </v>
      </c>
      <c r="AC269" s="30" t="str">
        <f aca="false">IF((E269="v"),H269," ")</f>
        <v> </v>
      </c>
      <c r="AD269" s="30" t="str">
        <f aca="false">IF((E269="n"),H269," ")</f>
        <v> </v>
      </c>
      <c r="AE269" s="17" t="str">
        <f aca="false">IF((E269="f"),H269," ")</f>
        <v> </v>
      </c>
      <c r="AF269" s="17" t="str">
        <f aca="false">IF((E269="l"),H269," ")</f>
        <v> </v>
      </c>
      <c r="AG269" s="17" t="str">
        <f aca="false">IF((E269="y"),H269," ")</f>
        <v> </v>
      </c>
      <c r="AH269" s="17" t="str">
        <f aca="false">IF((E269="z"),H269," ")</f>
        <v> </v>
      </c>
      <c r="AI269" s="17" t="str">
        <f aca="false">IF((E269="fa"),H269," ")</f>
        <v> </v>
      </c>
      <c r="AJ269" s="17" t="str">
        <f aca="false">IF((E269="e"),H269," ")</f>
        <v> </v>
      </c>
    </row>
    <row r="270" customFormat="false" ht="12" hidden="false" customHeight="false" outlineLevel="0" collapsed="false">
      <c r="A270" s="28"/>
      <c r="E270" s="2" t="str">
        <f aca="false">IF((F270&lt;&gt;0),"Enter Letter"," ")</f>
        <v> </v>
      </c>
      <c r="F270" s="30"/>
      <c r="G270" s="6" t="str">
        <f aca="false">IF(F270&lt;&gt;0,F270*G$2/(100+G$2)," ")</f>
        <v> </v>
      </c>
      <c r="H270" s="6" t="str">
        <f aca="false">IF((F270&lt;&gt;0),F270-G270," ")</f>
        <v> </v>
      </c>
      <c r="I270" s="5"/>
      <c r="L270" s="7" t="str">
        <f aca="false">IF(F270&lt;&gt;0,F270-K270," ")</f>
        <v> </v>
      </c>
      <c r="M270" s="8" t="str">
        <f aca="false">IF((F270-K270)&lt;&gt;0,M$1-A270," ")</f>
        <v> </v>
      </c>
      <c r="N270" s="5"/>
      <c r="O270" s="17" t="str">
        <f aca="false">IF((E270="s"),H270," ")</f>
        <v> </v>
      </c>
      <c r="P270" s="17" t="str">
        <f aca="false">IF((E270="c"),H270," ")</f>
        <v> </v>
      </c>
      <c r="Q270" s="17" t="str">
        <f aca="false">IF((E270="o"),H270," ")</f>
        <v> </v>
      </c>
      <c r="R270" s="17" t="str">
        <f aca="false">IF((E270="d"),H270," ")</f>
        <v> </v>
      </c>
      <c r="S270" s="17" t="str">
        <f aca="false">IF((E270="w"),H270," ")</f>
        <v> </v>
      </c>
      <c r="T270" s="17" t="str">
        <f aca="false">IF((E270="r"),H270," ")</f>
        <v> </v>
      </c>
      <c r="U270" s="17" t="str">
        <f aca="false">IF((E270="p"),H270," ")</f>
        <v> </v>
      </c>
      <c r="V270" s="17" t="str">
        <f aca="false">IF((E270="t"),H270," ")</f>
        <v> </v>
      </c>
      <c r="W270" s="17" t="str">
        <f aca="false">IF((E270="q"),H270," ")</f>
        <v> </v>
      </c>
      <c r="X270" s="17" t="str">
        <f aca="false">IF((E270="m"),H270," ")</f>
        <v> </v>
      </c>
      <c r="Y270" s="17" t="str">
        <f aca="false">IF((E270="u"),H270," ")</f>
        <v> </v>
      </c>
      <c r="Z270" s="17" t="str">
        <f aca="false">IF((E270="a"),H270," ")</f>
        <v> </v>
      </c>
      <c r="AA270" s="17" t="str">
        <f aca="false">IF((E270="g"),H270," ")</f>
        <v> </v>
      </c>
      <c r="AB270" s="17" t="str">
        <f aca="false">IF((E270="h"),H270," ")</f>
        <v> </v>
      </c>
      <c r="AC270" s="30" t="str">
        <f aca="false">IF((E270="v"),H270," ")</f>
        <v> </v>
      </c>
      <c r="AD270" s="30" t="str">
        <f aca="false">IF((E270="n"),H270," ")</f>
        <v> </v>
      </c>
      <c r="AE270" s="17" t="str">
        <f aca="false">IF((E270="f"),H270," ")</f>
        <v> </v>
      </c>
      <c r="AF270" s="17" t="str">
        <f aca="false">IF((E270="l"),H270," ")</f>
        <v> </v>
      </c>
      <c r="AG270" s="17" t="str">
        <f aca="false">IF((E270="y"),H270," ")</f>
        <v> </v>
      </c>
      <c r="AH270" s="17" t="str">
        <f aca="false">IF((E270="z"),H270," ")</f>
        <v> </v>
      </c>
      <c r="AI270" s="17" t="str">
        <f aca="false">IF((E270="fa"),H270," ")</f>
        <v> </v>
      </c>
      <c r="AJ270" s="17" t="str">
        <f aca="false">IF((E270="e"),H270," ")</f>
        <v> </v>
      </c>
    </row>
    <row r="271" customFormat="false" ht="12" hidden="false" customHeight="false" outlineLevel="0" collapsed="false">
      <c r="A271" s="28"/>
      <c r="E271" s="2" t="str">
        <f aca="false">IF((F271&lt;&gt;0),"Enter Letter"," ")</f>
        <v> </v>
      </c>
      <c r="F271" s="30"/>
      <c r="G271" s="6" t="str">
        <f aca="false">IF(F271&lt;&gt;0,F271*G$2/(100+G$2)," ")</f>
        <v> </v>
      </c>
      <c r="H271" s="6" t="str">
        <f aca="false">IF((F271&lt;&gt;0),F271-G271," ")</f>
        <v> </v>
      </c>
      <c r="I271" s="5"/>
      <c r="L271" s="7" t="str">
        <f aca="false">IF(F271&lt;&gt;0,F271-K271," ")</f>
        <v> </v>
      </c>
      <c r="M271" s="8" t="str">
        <f aca="false">IF((F271-K271)&lt;&gt;0,M$1-A271," ")</f>
        <v> </v>
      </c>
      <c r="N271" s="5"/>
      <c r="O271" s="17" t="str">
        <f aca="false">IF((E271="s"),H271," ")</f>
        <v> </v>
      </c>
      <c r="P271" s="17" t="str">
        <f aca="false">IF((E271="c"),H271," ")</f>
        <v> </v>
      </c>
      <c r="Q271" s="17" t="str">
        <f aca="false">IF((E271="o"),H271," ")</f>
        <v> </v>
      </c>
      <c r="R271" s="17" t="str">
        <f aca="false">IF((E271="d"),H271," ")</f>
        <v> </v>
      </c>
      <c r="S271" s="17" t="str">
        <f aca="false">IF((E271="w"),H271," ")</f>
        <v> </v>
      </c>
      <c r="T271" s="17" t="str">
        <f aca="false">IF((E271="r"),H271," ")</f>
        <v> </v>
      </c>
      <c r="U271" s="17" t="str">
        <f aca="false">IF((E271="p"),H271," ")</f>
        <v> </v>
      </c>
      <c r="V271" s="17" t="str">
        <f aca="false">IF((E271="t"),H271," ")</f>
        <v> </v>
      </c>
      <c r="W271" s="17" t="str">
        <f aca="false">IF((E271="q"),H271," ")</f>
        <v> </v>
      </c>
      <c r="X271" s="17" t="str">
        <f aca="false">IF((E271="m"),H271," ")</f>
        <v> </v>
      </c>
      <c r="Y271" s="17" t="str">
        <f aca="false">IF((E271="u"),H271," ")</f>
        <v> </v>
      </c>
      <c r="Z271" s="17" t="str">
        <f aca="false">IF((E271="a"),H271," ")</f>
        <v> </v>
      </c>
      <c r="AA271" s="17" t="str">
        <f aca="false">IF((E271="g"),H271," ")</f>
        <v> </v>
      </c>
      <c r="AB271" s="17" t="str">
        <f aca="false">IF((E271="h"),H271," ")</f>
        <v> </v>
      </c>
      <c r="AC271" s="30" t="str">
        <f aca="false">IF((E271="v"),H271," ")</f>
        <v> </v>
      </c>
      <c r="AD271" s="30" t="str">
        <f aca="false">IF((E271="n"),H271," ")</f>
        <v> </v>
      </c>
      <c r="AE271" s="17" t="str">
        <f aca="false">IF((E271="f"),H271," ")</f>
        <v> </v>
      </c>
      <c r="AF271" s="17" t="str">
        <f aca="false">IF((E271="l"),H271," ")</f>
        <v> </v>
      </c>
      <c r="AG271" s="17" t="str">
        <f aca="false">IF((E271="y"),H271," ")</f>
        <v> </v>
      </c>
      <c r="AH271" s="17" t="str">
        <f aca="false">IF((E271="z"),H271," ")</f>
        <v> </v>
      </c>
      <c r="AI271" s="17" t="str">
        <f aca="false">IF((E271="fa"),H271," ")</f>
        <v> </v>
      </c>
      <c r="AJ271" s="17" t="str">
        <f aca="false">IF((E271="e"),H271," ")</f>
        <v> </v>
      </c>
    </row>
    <row r="272" customFormat="false" ht="12" hidden="false" customHeight="false" outlineLevel="0" collapsed="false">
      <c r="A272" s="28"/>
      <c r="E272" s="2" t="str">
        <f aca="false">IF((F272&lt;&gt;0),"Enter Letter"," ")</f>
        <v> </v>
      </c>
      <c r="F272" s="30"/>
      <c r="G272" s="6" t="str">
        <f aca="false">IF(F272&lt;&gt;0,F272*G$2/(100+G$2)," ")</f>
        <v> </v>
      </c>
      <c r="H272" s="6" t="str">
        <f aca="false">IF((F272&lt;&gt;0),F272-G272," ")</f>
        <v> </v>
      </c>
      <c r="I272" s="5"/>
      <c r="L272" s="7" t="str">
        <f aca="false">IF(F272&lt;&gt;0,F272-K272," ")</f>
        <v> </v>
      </c>
      <c r="M272" s="8" t="str">
        <f aca="false">IF((F272-K272)&lt;&gt;0,M$1-A272," ")</f>
        <v> </v>
      </c>
      <c r="N272" s="5"/>
      <c r="O272" s="17" t="str">
        <f aca="false">IF((E272="s"),H272," ")</f>
        <v> </v>
      </c>
      <c r="P272" s="17" t="str">
        <f aca="false">IF((E272="c"),H272," ")</f>
        <v> </v>
      </c>
      <c r="Q272" s="17" t="str">
        <f aca="false">IF((E272="o"),H272," ")</f>
        <v> </v>
      </c>
      <c r="R272" s="17" t="str">
        <f aca="false">IF((E272="d"),H272," ")</f>
        <v> </v>
      </c>
      <c r="S272" s="17" t="str">
        <f aca="false">IF((E272="w"),H272," ")</f>
        <v> </v>
      </c>
      <c r="T272" s="17" t="str">
        <f aca="false">IF((E272="r"),H272," ")</f>
        <v> </v>
      </c>
      <c r="U272" s="17" t="str">
        <f aca="false">IF((E272="p"),H272," ")</f>
        <v> </v>
      </c>
      <c r="V272" s="17" t="str">
        <f aca="false">IF((E272="t"),H272," ")</f>
        <v> </v>
      </c>
      <c r="W272" s="17" t="str">
        <f aca="false">IF((E272="q"),H272," ")</f>
        <v> </v>
      </c>
      <c r="X272" s="17" t="str">
        <f aca="false">IF((E272="m"),H272," ")</f>
        <v> </v>
      </c>
      <c r="Y272" s="17" t="str">
        <f aca="false">IF((E272="u"),H272," ")</f>
        <v> </v>
      </c>
      <c r="Z272" s="17" t="str">
        <f aca="false">IF((E272="a"),H272," ")</f>
        <v> </v>
      </c>
      <c r="AA272" s="17" t="str">
        <f aca="false">IF((E272="g"),H272," ")</f>
        <v> </v>
      </c>
      <c r="AB272" s="17" t="str">
        <f aca="false">IF((E272="h"),H272," ")</f>
        <v> </v>
      </c>
      <c r="AC272" s="30" t="str">
        <f aca="false">IF((E272="v"),H272," ")</f>
        <v> </v>
      </c>
      <c r="AD272" s="30" t="str">
        <f aca="false">IF((E272="n"),H272," ")</f>
        <v> </v>
      </c>
      <c r="AE272" s="17" t="str">
        <f aca="false">IF((E272="f"),H272," ")</f>
        <v> </v>
      </c>
      <c r="AF272" s="17" t="str">
        <f aca="false">IF((E272="l"),H272," ")</f>
        <v> </v>
      </c>
      <c r="AG272" s="17" t="str">
        <f aca="false">IF((E272="y"),H272," ")</f>
        <v> </v>
      </c>
      <c r="AH272" s="17" t="str">
        <f aca="false">IF((E272="z"),H272," ")</f>
        <v> </v>
      </c>
      <c r="AI272" s="17" t="str">
        <f aca="false">IF((E272="fa"),H272," ")</f>
        <v> </v>
      </c>
      <c r="AJ272" s="17" t="str">
        <f aca="false">IF((E272="e"),H272," ")</f>
        <v> </v>
      </c>
    </row>
    <row r="273" customFormat="false" ht="12" hidden="false" customHeight="false" outlineLevel="0" collapsed="false">
      <c r="A273" s="28"/>
      <c r="E273" s="2" t="str">
        <f aca="false">IF((F273&lt;&gt;0),"Enter Letter"," ")</f>
        <v> </v>
      </c>
      <c r="F273" s="30"/>
      <c r="G273" s="6" t="str">
        <f aca="false">IF(F273&lt;&gt;0,F273*G$2/(100+G$2)," ")</f>
        <v> </v>
      </c>
      <c r="H273" s="6" t="str">
        <f aca="false">IF((F273&lt;&gt;0),F273-G273," ")</f>
        <v> </v>
      </c>
      <c r="I273" s="5"/>
      <c r="L273" s="7" t="str">
        <f aca="false">IF(F273&lt;&gt;0,F273-K273," ")</f>
        <v> </v>
      </c>
      <c r="M273" s="8" t="str">
        <f aca="false">IF((F273-K273)&lt;&gt;0,M$1-A273," ")</f>
        <v> </v>
      </c>
      <c r="N273" s="5"/>
      <c r="O273" s="17" t="str">
        <f aca="false">IF((E273="s"),H273," ")</f>
        <v> </v>
      </c>
      <c r="P273" s="17" t="str">
        <f aca="false">IF((E273="c"),H273," ")</f>
        <v> </v>
      </c>
      <c r="Q273" s="17" t="str">
        <f aca="false">IF((E273="o"),H273," ")</f>
        <v> </v>
      </c>
      <c r="R273" s="17" t="str">
        <f aca="false">IF((E273="d"),H273," ")</f>
        <v> </v>
      </c>
      <c r="S273" s="17" t="str">
        <f aca="false">IF((E273="w"),H273," ")</f>
        <v> </v>
      </c>
      <c r="T273" s="17" t="str">
        <f aca="false">IF((E273="r"),H273," ")</f>
        <v> </v>
      </c>
      <c r="U273" s="17" t="str">
        <f aca="false">IF((E273="p"),H273," ")</f>
        <v> </v>
      </c>
      <c r="V273" s="17" t="str">
        <f aca="false">IF((E273="t"),H273," ")</f>
        <v> </v>
      </c>
      <c r="W273" s="17" t="str">
        <f aca="false">IF((E273="q"),H273," ")</f>
        <v> </v>
      </c>
      <c r="X273" s="17" t="str">
        <f aca="false">IF((E273="m"),H273," ")</f>
        <v> </v>
      </c>
      <c r="Y273" s="17" t="str">
        <f aca="false">IF((E273="u"),H273," ")</f>
        <v> </v>
      </c>
      <c r="Z273" s="17" t="str">
        <f aca="false">IF((E273="a"),H273," ")</f>
        <v> </v>
      </c>
      <c r="AA273" s="17" t="str">
        <f aca="false">IF((E273="g"),H273," ")</f>
        <v> </v>
      </c>
      <c r="AB273" s="17" t="str">
        <f aca="false">IF((E273="h"),H273," ")</f>
        <v> </v>
      </c>
      <c r="AC273" s="30" t="str">
        <f aca="false">IF((E273="v"),H273," ")</f>
        <v> </v>
      </c>
      <c r="AD273" s="30" t="str">
        <f aca="false">IF((E273="n"),H273," ")</f>
        <v> </v>
      </c>
      <c r="AE273" s="17" t="str">
        <f aca="false">IF((E273="f"),H273," ")</f>
        <v> </v>
      </c>
      <c r="AF273" s="17" t="str">
        <f aca="false">IF((E273="l"),H273," ")</f>
        <v> </v>
      </c>
      <c r="AG273" s="17" t="str">
        <f aca="false">IF((E273="y"),H273," ")</f>
        <v> </v>
      </c>
      <c r="AH273" s="17" t="str">
        <f aca="false">IF((E273="z"),H273," ")</f>
        <v> </v>
      </c>
      <c r="AI273" s="17" t="str">
        <f aca="false">IF((E273="fa"),H273," ")</f>
        <v> </v>
      </c>
      <c r="AJ273" s="17" t="str">
        <f aca="false">IF((E273="e"),H273," ")</f>
        <v> </v>
      </c>
    </row>
    <row r="274" customFormat="false" ht="12" hidden="false" customHeight="false" outlineLevel="0" collapsed="false">
      <c r="A274" s="28"/>
      <c r="E274" s="2" t="str">
        <f aca="false">IF((F274&lt;&gt;0),"Enter Letter"," ")</f>
        <v> </v>
      </c>
      <c r="F274" s="30"/>
      <c r="G274" s="6" t="str">
        <f aca="false">IF(F274&lt;&gt;0,F274*G$2/(100+G$2)," ")</f>
        <v> </v>
      </c>
      <c r="H274" s="6" t="str">
        <f aca="false">IF((F274&lt;&gt;0),F274-G274," ")</f>
        <v> </v>
      </c>
      <c r="I274" s="5"/>
      <c r="L274" s="7" t="str">
        <f aca="false">IF(F274&lt;&gt;0,F274-K274," ")</f>
        <v> </v>
      </c>
      <c r="M274" s="8" t="str">
        <f aca="false">IF((F274-K274)&lt;&gt;0,M$1-A274," ")</f>
        <v> </v>
      </c>
      <c r="N274" s="5"/>
      <c r="O274" s="17" t="str">
        <f aca="false">IF((E274="s"),H274," ")</f>
        <v> </v>
      </c>
      <c r="P274" s="17" t="str">
        <f aca="false">IF((E274="c"),H274," ")</f>
        <v> </v>
      </c>
      <c r="Q274" s="17" t="str">
        <f aca="false">IF((E274="o"),H274," ")</f>
        <v> </v>
      </c>
      <c r="R274" s="17" t="str">
        <f aca="false">IF((E274="d"),H274," ")</f>
        <v> </v>
      </c>
      <c r="S274" s="17" t="str">
        <f aca="false">IF((E274="w"),H274," ")</f>
        <v> </v>
      </c>
      <c r="T274" s="17" t="str">
        <f aca="false">IF((E274="r"),H274," ")</f>
        <v> </v>
      </c>
      <c r="U274" s="17" t="str">
        <f aca="false">IF((E274="p"),H274," ")</f>
        <v> </v>
      </c>
      <c r="V274" s="17" t="str">
        <f aca="false">IF((E274="t"),H274," ")</f>
        <v> </v>
      </c>
      <c r="W274" s="17" t="str">
        <f aca="false">IF((E274="q"),H274," ")</f>
        <v> </v>
      </c>
      <c r="X274" s="17" t="str">
        <f aca="false">IF((E274="m"),H274," ")</f>
        <v> </v>
      </c>
      <c r="Y274" s="17" t="str">
        <f aca="false">IF((E274="u"),H274," ")</f>
        <v> </v>
      </c>
      <c r="Z274" s="17" t="str">
        <f aca="false">IF((E274="a"),H274," ")</f>
        <v> </v>
      </c>
      <c r="AA274" s="17" t="str">
        <f aca="false">IF((E274="g"),H274," ")</f>
        <v> </v>
      </c>
      <c r="AB274" s="17" t="str">
        <f aca="false">IF((E274="h"),H274," ")</f>
        <v> </v>
      </c>
      <c r="AC274" s="30" t="str">
        <f aca="false">IF((E274="v"),H274," ")</f>
        <v> </v>
      </c>
      <c r="AD274" s="30" t="str">
        <f aca="false">IF((E274="n"),H274," ")</f>
        <v> </v>
      </c>
      <c r="AE274" s="17" t="str">
        <f aca="false">IF((E274="f"),H274," ")</f>
        <v> </v>
      </c>
      <c r="AF274" s="17" t="str">
        <f aca="false">IF((E274="l"),H274," ")</f>
        <v> </v>
      </c>
      <c r="AG274" s="17" t="str">
        <f aca="false">IF((E274="y"),H274," ")</f>
        <v> </v>
      </c>
      <c r="AH274" s="17" t="str">
        <f aca="false">IF((E274="z"),H274," ")</f>
        <v> </v>
      </c>
      <c r="AI274" s="17" t="str">
        <f aca="false">IF((E274="fa"),H274," ")</f>
        <v> </v>
      </c>
      <c r="AJ274" s="17" t="str">
        <f aca="false">IF((E274="e"),H274," ")</f>
        <v> </v>
      </c>
    </row>
    <row r="275" customFormat="false" ht="12" hidden="false" customHeight="false" outlineLevel="0" collapsed="false">
      <c r="A275" s="28"/>
      <c r="E275" s="2" t="str">
        <f aca="false">IF((F275&lt;&gt;0),"Enter Letter"," ")</f>
        <v> </v>
      </c>
      <c r="F275" s="30"/>
      <c r="G275" s="6" t="str">
        <f aca="false">IF(F275&lt;&gt;0,F275*G$2/(100+G$2)," ")</f>
        <v> </v>
      </c>
      <c r="H275" s="6" t="str">
        <f aca="false">IF((F275&lt;&gt;0),F275-G275," ")</f>
        <v> </v>
      </c>
      <c r="I275" s="5"/>
      <c r="L275" s="7" t="str">
        <f aca="false">IF(F275&lt;&gt;0,F275-K275," ")</f>
        <v> </v>
      </c>
      <c r="M275" s="8" t="str">
        <f aca="false">IF((F275-K275)&lt;&gt;0,M$1-A275," ")</f>
        <v> </v>
      </c>
      <c r="N275" s="5"/>
      <c r="O275" s="17" t="str">
        <f aca="false">IF((E275="s"),H275," ")</f>
        <v> </v>
      </c>
      <c r="P275" s="17" t="str">
        <f aca="false">IF((E275="c"),H275," ")</f>
        <v> </v>
      </c>
      <c r="Q275" s="17" t="str">
        <f aca="false">IF((E275="o"),H275," ")</f>
        <v> </v>
      </c>
      <c r="R275" s="17" t="str">
        <f aca="false">IF((E275="d"),H275," ")</f>
        <v> </v>
      </c>
      <c r="S275" s="17" t="str">
        <f aca="false">IF((E275="w"),H275," ")</f>
        <v> </v>
      </c>
      <c r="T275" s="17" t="str">
        <f aca="false">IF((E275="r"),H275," ")</f>
        <v> </v>
      </c>
      <c r="U275" s="17" t="str">
        <f aca="false">IF((E275="p"),H275," ")</f>
        <v> </v>
      </c>
      <c r="V275" s="17" t="str">
        <f aca="false">IF((E275="t"),H275," ")</f>
        <v> </v>
      </c>
      <c r="W275" s="17" t="str">
        <f aca="false">IF((E275="q"),H275," ")</f>
        <v> </v>
      </c>
      <c r="X275" s="17" t="str">
        <f aca="false">IF((E275="m"),H275," ")</f>
        <v> </v>
      </c>
      <c r="Y275" s="17" t="str">
        <f aca="false">IF((E275="u"),H275," ")</f>
        <v> </v>
      </c>
      <c r="Z275" s="17" t="str">
        <f aca="false">IF((E275="a"),H275," ")</f>
        <v> </v>
      </c>
      <c r="AA275" s="17" t="str">
        <f aca="false">IF((E275="g"),H275," ")</f>
        <v> </v>
      </c>
      <c r="AB275" s="17" t="str">
        <f aca="false">IF((E275="h"),H275," ")</f>
        <v> </v>
      </c>
      <c r="AC275" s="30" t="str">
        <f aca="false">IF((E275="v"),H275," ")</f>
        <v> </v>
      </c>
      <c r="AD275" s="30" t="str">
        <f aca="false">IF((E275="n"),H275," ")</f>
        <v> </v>
      </c>
      <c r="AE275" s="17" t="str">
        <f aca="false">IF((E275="f"),H275," ")</f>
        <v> </v>
      </c>
      <c r="AF275" s="17" t="str">
        <f aca="false">IF((E275="l"),H275," ")</f>
        <v> </v>
      </c>
      <c r="AG275" s="17" t="str">
        <f aca="false">IF((E275="y"),H275," ")</f>
        <v> </v>
      </c>
      <c r="AH275" s="17" t="str">
        <f aca="false">IF((E275="z"),H275," ")</f>
        <v> </v>
      </c>
      <c r="AI275" s="17" t="str">
        <f aca="false">IF((E275="fa"),H275," ")</f>
        <v> </v>
      </c>
      <c r="AJ275" s="17" t="str">
        <f aca="false">IF((E275="e"),H275," ")</f>
        <v> </v>
      </c>
    </row>
    <row r="276" customFormat="false" ht="12" hidden="false" customHeight="false" outlineLevel="0" collapsed="false">
      <c r="A276" s="28"/>
      <c r="E276" s="2" t="str">
        <f aca="false">IF((F276&lt;&gt;0),"Enter Letter"," ")</f>
        <v> </v>
      </c>
      <c r="F276" s="30"/>
      <c r="G276" s="6" t="str">
        <f aca="false">IF(F276&lt;&gt;0,F276*G$2/(100+G$2)," ")</f>
        <v> </v>
      </c>
      <c r="H276" s="6" t="str">
        <f aca="false">IF((F276&lt;&gt;0),F276-G276," ")</f>
        <v> </v>
      </c>
      <c r="I276" s="5"/>
      <c r="L276" s="7" t="str">
        <f aca="false">IF(F276&lt;&gt;0,F276-K276," ")</f>
        <v> </v>
      </c>
      <c r="M276" s="8" t="str">
        <f aca="false">IF((F276-K276)&lt;&gt;0,M$1-A276," ")</f>
        <v> </v>
      </c>
      <c r="N276" s="5"/>
      <c r="O276" s="17" t="str">
        <f aca="false">IF((E276="s"),H276," ")</f>
        <v> </v>
      </c>
      <c r="P276" s="17" t="str">
        <f aca="false">IF((E276="c"),H276," ")</f>
        <v> </v>
      </c>
      <c r="Q276" s="17" t="str">
        <f aca="false">IF((E276="o"),H276," ")</f>
        <v> </v>
      </c>
      <c r="R276" s="17" t="str">
        <f aca="false">IF((E276="d"),H276," ")</f>
        <v> </v>
      </c>
      <c r="S276" s="17" t="str">
        <f aca="false">IF((E276="w"),H276," ")</f>
        <v> </v>
      </c>
      <c r="T276" s="17" t="str">
        <f aca="false">IF((E276="r"),H276," ")</f>
        <v> </v>
      </c>
      <c r="U276" s="17" t="str">
        <f aca="false">IF((E276="p"),H276," ")</f>
        <v> </v>
      </c>
      <c r="V276" s="17" t="str">
        <f aca="false">IF((E276="t"),H276," ")</f>
        <v> </v>
      </c>
      <c r="W276" s="17" t="str">
        <f aca="false">IF((E276="q"),H276," ")</f>
        <v> </v>
      </c>
      <c r="X276" s="17" t="str">
        <f aca="false">IF((E276="m"),H276," ")</f>
        <v> </v>
      </c>
      <c r="Y276" s="17" t="str">
        <f aca="false">IF((E276="u"),H276," ")</f>
        <v> </v>
      </c>
      <c r="Z276" s="17" t="str">
        <f aca="false">IF((E276="a"),H276," ")</f>
        <v> </v>
      </c>
      <c r="AA276" s="17" t="str">
        <f aca="false">IF((E276="g"),H276," ")</f>
        <v> </v>
      </c>
      <c r="AB276" s="17" t="str">
        <f aca="false">IF((E276="h"),H276," ")</f>
        <v> </v>
      </c>
      <c r="AC276" s="30" t="str">
        <f aca="false">IF((E276="v"),H276," ")</f>
        <v> </v>
      </c>
      <c r="AD276" s="30" t="str">
        <f aca="false">IF((E276="n"),H276," ")</f>
        <v> </v>
      </c>
      <c r="AE276" s="17" t="str">
        <f aca="false">IF((E276="f"),H276," ")</f>
        <v> </v>
      </c>
      <c r="AF276" s="17" t="str">
        <f aca="false">IF((E276="l"),H276," ")</f>
        <v> </v>
      </c>
      <c r="AG276" s="17" t="str">
        <f aca="false">IF((E276="y"),H276," ")</f>
        <v> </v>
      </c>
      <c r="AH276" s="17" t="str">
        <f aca="false">IF((E276="z"),H276," ")</f>
        <v> </v>
      </c>
      <c r="AI276" s="17" t="str">
        <f aca="false">IF((E276="fa"),H276," ")</f>
        <v> </v>
      </c>
      <c r="AJ276" s="17" t="str">
        <f aca="false">IF((E276="e"),H276," ")</f>
        <v> </v>
      </c>
    </row>
    <row r="277" customFormat="false" ht="12" hidden="false" customHeight="false" outlineLevel="0" collapsed="false">
      <c r="A277" s="28"/>
      <c r="E277" s="2" t="str">
        <f aca="false">IF((F277&lt;&gt;0),"Enter Letter"," ")</f>
        <v> </v>
      </c>
      <c r="F277" s="30"/>
      <c r="G277" s="6" t="str">
        <f aca="false">IF(F277&lt;&gt;0,F277*G$2/(100+G$2)," ")</f>
        <v> </v>
      </c>
      <c r="H277" s="6" t="str">
        <f aca="false">IF((F277&lt;&gt;0),F277-G277," ")</f>
        <v> </v>
      </c>
      <c r="I277" s="5"/>
      <c r="L277" s="7" t="str">
        <f aca="false">IF(F277&lt;&gt;0,F277-K277," ")</f>
        <v> </v>
      </c>
      <c r="M277" s="8" t="str">
        <f aca="false">IF((F277-K277)&lt;&gt;0,M$1-A277," ")</f>
        <v> </v>
      </c>
      <c r="N277" s="5"/>
      <c r="O277" s="17" t="str">
        <f aca="false">IF((E277="s"),H277," ")</f>
        <v> </v>
      </c>
      <c r="P277" s="17" t="str">
        <f aca="false">IF((E277="c"),H277," ")</f>
        <v> </v>
      </c>
      <c r="Q277" s="17" t="str">
        <f aca="false">IF((E277="o"),H277," ")</f>
        <v> </v>
      </c>
      <c r="R277" s="17" t="str">
        <f aca="false">IF((E277="d"),H277," ")</f>
        <v> </v>
      </c>
      <c r="S277" s="17" t="str">
        <f aca="false">IF((E277="w"),H277," ")</f>
        <v> </v>
      </c>
      <c r="T277" s="17" t="str">
        <f aca="false">IF((E277="r"),H277," ")</f>
        <v> </v>
      </c>
      <c r="U277" s="17" t="str">
        <f aca="false">IF((E277="p"),H277," ")</f>
        <v> </v>
      </c>
      <c r="V277" s="17" t="str">
        <f aca="false">IF((E277="t"),H277," ")</f>
        <v> </v>
      </c>
      <c r="W277" s="17" t="str">
        <f aca="false">IF((E277="q"),H277," ")</f>
        <v> </v>
      </c>
      <c r="X277" s="17" t="str">
        <f aca="false">IF((E277="m"),H277," ")</f>
        <v> </v>
      </c>
      <c r="Y277" s="17" t="str">
        <f aca="false">IF((E277="u"),H277," ")</f>
        <v> </v>
      </c>
      <c r="Z277" s="17" t="str">
        <f aca="false">IF((E277="a"),H277," ")</f>
        <v> </v>
      </c>
      <c r="AA277" s="17" t="str">
        <f aca="false">IF((E277="g"),H277," ")</f>
        <v> </v>
      </c>
      <c r="AB277" s="17" t="str">
        <f aca="false">IF((E277="h"),H277," ")</f>
        <v> </v>
      </c>
      <c r="AC277" s="30" t="str">
        <f aca="false">IF((E277="v"),H277," ")</f>
        <v> </v>
      </c>
      <c r="AD277" s="30" t="str">
        <f aca="false">IF((E277="n"),H277," ")</f>
        <v> </v>
      </c>
      <c r="AE277" s="17" t="str">
        <f aca="false">IF((E277="f"),H277," ")</f>
        <v> </v>
      </c>
      <c r="AF277" s="17" t="str">
        <f aca="false">IF((E277="l"),H277," ")</f>
        <v> </v>
      </c>
      <c r="AG277" s="17" t="str">
        <f aca="false">IF((E277="y"),H277," ")</f>
        <v> </v>
      </c>
      <c r="AH277" s="17" t="str">
        <f aca="false">IF((E277="z"),H277," ")</f>
        <v> </v>
      </c>
      <c r="AI277" s="17" t="str">
        <f aca="false">IF((E277="fa"),H277," ")</f>
        <v> </v>
      </c>
      <c r="AJ277" s="17" t="str">
        <f aca="false">IF((E277="e"),H277," ")</f>
        <v> </v>
      </c>
    </row>
    <row r="278" customFormat="false" ht="12" hidden="false" customHeight="false" outlineLevel="0" collapsed="false">
      <c r="A278" s="28"/>
      <c r="E278" s="2" t="str">
        <f aca="false">IF((F278&lt;&gt;0),"Enter Letter"," ")</f>
        <v> </v>
      </c>
      <c r="F278" s="30"/>
      <c r="G278" s="6" t="str">
        <f aca="false">IF(F278&lt;&gt;0,F278*G$2/(100+G$2)," ")</f>
        <v> </v>
      </c>
      <c r="H278" s="6" t="str">
        <f aca="false">IF((F278&lt;&gt;0),F278-G278," ")</f>
        <v> </v>
      </c>
      <c r="I278" s="5"/>
      <c r="L278" s="7" t="str">
        <f aca="false">IF(F278&lt;&gt;0,F278-K278," ")</f>
        <v> </v>
      </c>
      <c r="M278" s="8" t="str">
        <f aca="false">IF((F278-K278)&lt;&gt;0,M$1-A278," ")</f>
        <v> </v>
      </c>
      <c r="N278" s="5"/>
      <c r="O278" s="17" t="str">
        <f aca="false">IF((E278="s"),H278," ")</f>
        <v> </v>
      </c>
      <c r="P278" s="17" t="str">
        <f aca="false">IF((E278="c"),H278," ")</f>
        <v> </v>
      </c>
      <c r="Q278" s="17" t="str">
        <f aca="false">IF((E278="o"),H278," ")</f>
        <v> </v>
      </c>
      <c r="R278" s="17" t="str">
        <f aca="false">IF((E278="d"),H278," ")</f>
        <v> </v>
      </c>
      <c r="S278" s="17" t="str">
        <f aca="false">IF((E278="w"),H278," ")</f>
        <v> </v>
      </c>
      <c r="T278" s="17" t="str">
        <f aca="false">IF((E278="r"),H278," ")</f>
        <v> </v>
      </c>
      <c r="U278" s="17" t="str">
        <f aca="false">IF((E278="p"),H278," ")</f>
        <v> </v>
      </c>
      <c r="V278" s="17" t="str">
        <f aca="false">IF((E278="t"),H278," ")</f>
        <v> </v>
      </c>
      <c r="W278" s="17" t="str">
        <f aca="false">IF((E278="q"),H278," ")</f>
        <v> </v>
      </c>
      <c r="X278" s="17" t="str">
        <f aca="false">IF((E278="m"),H278," ")</f>
        <v> </v>
      </c>
      <c r="Y278" s="17" t="str">
        <f aca="false">IF((E278="u"),H278," ")</f>
        <v> </v>
      </c>
      <c r="Z278" s="17" t="str">
        <f aca="false">IF((E278="a"),H278," ")</f>
        <v> </v>
      </c>
      <c r="AA278" s="17" t="str">
        <f aca="false">IF((E278="g"),H278," ")</f>
        <v> </v>
      </c>
      <c r="AB278" s="17" t="str">
        <f aca="false">IF((E278="h"),H278," ")</f>
        <v> </v>
      </c>
      <c r="AC278" s="30" t="str">
        <f aca="false">IF((E278="v"),H278," ")</f>
        <v> </v>
      </c>
      <c r="AD278" s="30" t="str">
        <f aca="false">IF((E278="n"),H278," ")</f>
        <v> </v>
      </c>
      <c r="AE278" s="17" t="str">
        <f aca="false">IF((E278="f"),H278," ")</f>
        <v> </v>
      </c>
      <c r="AF278" s="17" t="str">
        <f aca="false">IF((E278="l"),H278," ")</f>
        <v> </v>
      </c>
      <c r="AG278" s="17" t="str">
        <f aca="false">IF((E278="y"),H278," ")</f>
        <v> </v>
      </c>
      <c r="AH278" s="17" t="str">
        <f aca="false">IF((E278="z"),H278," ")</f>
        <v> </v>
      </c>
      <c r="AI278" s="17" t="str">
        <f aca="false">IF((E278="fa"),H278," ")</f>
        <v> </v>
      </c>
      <c r="AJ278" s="17" t="str">
        <f aca="false">IF((E278="e"),H278," ")</f>
        <v> </v>
      </c>
    </row>
    <row r="279" customFormat="false" ht="12" hidden="false" customHeight="false" outlineLevel="0" collapsed="false">
      <c r="A279" s="28"/>
      <c r="E279" s="2" t="str">
        <f aca="false">IF((F279&lt;&gt;0),"Enter Letter"," ")</f>
        <v> </v>
      </c>
      <c r="F279" s="30"/>
      <c r="G279" s="6" t="str">
        <f aca="false">IF(F279&lt;&gt;0,F279*G$2/(100+G$2)," ")</f>
        <v> </v>
      </c>
      <c r="H279" s="6" t="str">
        <f aca="false">IF((F279&lt;&gt;0),F279-G279," ")</f>
        <v> </v>
      </c>
      <c r="I279" s="5"/>
      <c r="L279" s="7" t="str">
        <f aca="false">IF(F279&lt;&gt;0,F279-K279," ")</f>
        <v> </v>
      </c>
      <c r="M279" s="8" t="str">
        <f aca="false">IF((F279-K279)&lt;&gt;0,M$1-A279," ")</f>
        <v> </v>
      </c>
      <c r="N279" s="5"/>
      <c r="O279" s="17" t="str">
        <f aca="false">IF((E279="s"),H279," ")</f>
        <v> </v>
      </c>
      <c r="P279" s="17" t="str">
        <f aca="false">IF((E279="c"),H279," ")</f>
        <v> </v>
      </c>
      <c r="Q279" s="17" t="str">
        <f aca="false">IF((E279="o"),H279," ")</f>
        <v> </v>
      </c>
      <c r="R279" s="17" t="str">
        <f aca="false">IF((E279="d"),H279," ")</f>
        <v> </v>
      </c>
      <c r="S279" s="17" t="str">
        <f aca="false">IF((E279="w"),H279," ")</f>
        <v> </v>
      </c>
      <c r="T279" s="17" t="str">
        <f aca="false">IF((E279="r"),H279," ")</f>
        <v> </v>
      </c>
      <c r="U279" s="17" t="str">
        <f aca="false">IF((E279="p"),H279," ")</f>
        <v> </v>
      </c>
      <c r="V279" s="17" t="str">
        <f aca="false">IF((E279="t"),H279," ")</f>
        <v> </v>
      </c>
      <c r="W279" s="17" t="str">
        <f aca="false">IF((E279="q"),H279," ")</f>
        <v> </v>
      </c>
      <c r="X279" s="17" t="str">
        <f aca="false">IF((E279="m"),H279," ")</f>
        <v> </v>
      </c>
      <c r="Y279" s="17" t="str">
        <f aca="false">IF((E279="u"),H279," ")</f>
        <v> </v>
      </c>
      <c r="Z279" s="17" t="str">
        <f aca="false">IF((E279="a"),H279," ")</f>
        <v> </v>
      </c>
      <c r="AA279" s="17" t="str">
        <f aca="false">IF((E279="g"),H279," ")</f>
        <v> </v>
      </c>
      <c r="AB279" s="17" t="str">
        <f aca="false">IF((E279="h"),H279," ")</f>
        <v> </v>
      </c>
      <c r="AC279" s="30" t="str">
        <f aca="false">IF((E279="v"),H279," ")</f>
        <v> </v>
      </c>
      <c r="AD279" s="30" t="str">
        <f aca="false">IF((E279="n"),H279," ")</f>
        <v> </v>
      </c>
      <c r="AE279" s="17" t="str">
        <f aca="false">IF((E279="f"),H279," ")</f>
        <v> </v>
      </c>
      <c r="AF279" s="17" t="str">
        <f aca="false">IF((E279="l"),H279," ")</f>
        <v> </v>
      </c>
      <c r="AG279" s="17" t="str">
        <f aca="false">IF((E279="y"),H279," ")</f>
        <v> </v>
      </c>
      <c r="AH279" s="17" t="str">
        <f aca="false">IF((E279="z"),H279," ")</f>
        <v> </v>
      </c>
      <c r="AI279" s="17" t="str">
        <f aca="false">IF((E279="fa"),H279," ")</f>
        <v> </v>
      </c>
      <c r="AJ279" s="17" t="str">
        <f aca="false">IF((E279="e"),H279," ")</f>
        <v> </v>
      </c>
    </row>
    <row r="280" customFormat="false" ht="12" hidden="false" customHeight="false" outlineLevel="0" collapsed="false">
      <c r="A280" s="28"/>
      <c r="E280" s="2" t="str">
        <f aca="false">IF((F280&lt;&gt;0),"Enter Letter"," ")</f>
        <v> </v>
      </c>
      <c r="F280" s="30"/>
      <c r="G280" s="6" t="str">
        <f aca="false">IF(F280&lt;&gt;0,F280*G$2/(100+G$2)," ")</f>
        <v> </v>
      </c>
      <c r="H280" s="6" t="str">
        <f aca="false">IF((F280&lt;&gt;0),F280-G280," ")</f>
        <v> </v>
      </c>
      <c r="I280" s="5"/>
      <c r="L280" s="7" t="str">
        <f aca="false">IF(F280&lt;&gt;0,F280-K280," ")</f>
        <v> </v>
      </c>
      <c r="M280" s="8" t="str">
        <f aca="false">IF((F280-K280)&lt;&gt;0,M$1-A280," ")</f>
        <v> </v>
      </c>
      <c r="N280" s="5"/>
      <c r="O280" s="17" t="str">
        <f aca="false">IF((E280="s"),H280," ")</f>
        <v> </v>
      </c>
      <c r="P280" s="17" t="str">
        <f aca="false">IF((E280="c"),H280," ")</f>
        <v> </v>
      </c>
      <c r="Q280" s="17" t="str">
        <f aca="false">IF((E280="o"),H280," ")</f>
        <v> </v>
      </c>
      <c r="R280" s="17" t="str">
        <f aca="false">IF((E280="d"),H280," ")</f>
        <v> </v>
      </c>
      <c r="S280" s="17" t="str">
        <f aca="false">IF((E280="w"),H280," ")</f>
        <v> </v>
      </c>
      <c r="T280" s="17" t="str">
        <f aca="false">IF((E280="r"),H280," ")</f>
        <v> </v>
      </c>
      <c r="U280" s="17" t="str">
        <f aca="false">IF((E280="p"),H280," ")</f>
        <v> </v>
      </c>
      <c r="V280" s="17" t="str">
        <f aca="false">IF((E280="t"),H280," ")</f>
        <v> </v>
      </c>
      <c r="W280" s="17" t="str">
        <f aca="false">IF((E280="q"),H280," ")</f>
        <v> </v>
      </c>
      <c r="X280" s="17" t="str">
        <f aca="false">IF((E280="m"),H280," ")</f>
        <v> </v>
      </c>
      <c r="Y280" s="17" t="str">
        <f aca="false">IF((E280="u"),H280," ")</f>
        <v> </v>
      </c>
      <c r="Z280" s="17" t="str">
        <f aca="false">IF((E280="a"),H280," ")</f>
        <v> </v>
      </c>
      <c r="AA280" s="17" t="str">
        <f aca="false">IF((E280="g"),H280," ")</f>
        <v> </v>
      </c>
      <c r="AB280" s="17" t="str">
        <f aca="false">IF((E280="h"),H280," ")</f>
        <v> </v>
      </c>
      <c r="AC280" s="30" t="str">
        <f aca="false">IF((E280="v"),H280," ")</f>
        <v> </v>
      </c>
      <c r="AD280" s="30" t="str">
        <f aca="false">IF((E280="n"),H280," ")</f>
        <v> </v>
      </c>
      <c r="AE280" s="17" t="str">
        <f aca="false">IF((E280="f"),H280," ")</f>
        <v> </v>
      </c>
      <c r="AF280" s="17" t="str">
        <f aca="false">IF((E280="l"),H280," ")</f>
        <v> </v>
      </c>
      <c r="AG280" s="17" t="str">
        <f aca="false">IF((E280="y"),H280," ")</f>
        <v> </v>
      </c>
      <c r="AH280" s="17" t="str">
        <f aca="false">IF((E280="z"),H280," ")</f>
        <v> </v>
      </c>
      <c r="AI280" s="17" t="str">
        <f aca="false">IF((E280="fa"),H280," ")</f>
        <v> </v>
      </c>
      <c r="AJ280" s="17" t="str">
        <f aca="false">IF((E280="e"),H280," ")</f>
        <v> </v>
      </c>
    </row>
    <row r="281" customFormat="false" ht="12" hidden="false" customHeight="false" outlineLevel="0" collapsed="false">
      <c r="A281" s="28"/>
      <c r="E281" s="2" t="str">
        <f aca="false">IF((F281&lt;&gt;0),"Enter Letter"," ")</f>
        <v> </v>
      </c>
      <c r="F281" s="30"/>
      <c r="G281" s="6" t="str">
        <f aca="false">IF(F281&lt;&gt;0,F281*G$2/(100+G$2)," ")</f>
        <v> </v>
      </c>
      <c r="H281" s="6" t="str">
        <f aca="false">IF((F281&lt;&gt;0),F281-G281," ")</f>
        <v> </v>
      </c>
      <c r="I281" s="5"/>
      <c r="L281" s="7" t="str">
        <f aca="false">IF(F281&lt;&gt;0,F281-K281," ")</f>
        <v> </v>
      </c>
      <c r="M281" s="8" t="str">
        <f aca="false">IF((F281-K281)&lt;&gt;0,M$1-A281," ")</f>
        <v> </v>
      </c>
      <c r="N281" s="5"/>
      <c r="O281" s="17" t="str">
        <f aca="false">IF((E281="s"),H281," ")</f>
        <v> </v>
      </c>
      <c r="P281" s="17" t="str">
        <f aca="false">IF((E281="c"),H281," ")</f>
        <v> </v>
      </c>
      <c r="Q281" s="17" t="str">
        <f aca="false">IF((E281="o"),H281," ")</f>
        <v> </v>
      </c>
      <c r="R281" s="17" t="str">
        <f aca="false">IF((E281="d"),H281," ")</f>
        <v> </v>
      </c>
      <c r="S281" s="17" t="str">
        <f aca="false">IF((E281="w"),H281," ")</f>
        <v> </v>
      </c>
      <c r="T281" s="17" t="str">
        <f aca="false">IF((E281="r"),H281," ")</f>
        <v> </v>
      </c>
      <c r="U281" s="17" t="str">
        <f aca="false">IF((E281="p"),H281," ")</f>
        <v> </v>
      </c>
      <c r="V281" s="17" t="str">
        <f aca="false">IF((E281="t"),H281," ")</f>
        <v> </v>
      </c>
      <c r="W281" s="17" t="str">
        <f aca="false">IF((E281="q"),H281," ")</f>
        <v> </v>
      </c>
      <c r="X281" s="17" t="str">
        <f aca="false">IF((E281="m"),H281," ")</f>
        <v> </v>
      </c>
      <c r="Y281" s="17" t="str">
        <f aca="false">IF((E281="u"),H281," ")</f>
        <v> </v>
      </c>
      <c r="Z281" s="17" t="str">
        <f aca="false">IF((E281="a"),H281," ")</f>
        <v> </v>
      </c>
      <c r="AA281" s="17" t="str">
        <f aca="false">IF((E281="g"),H281," ")</f>
        <v> </v>
      </c>
      <c r="AB281" s="17" t="str">
        <f aca="false">IF((E281="h"),H281," ")</f>
        <v> </v>
      </c>
      <c r="AC281" s="30" t="str">
        <f aca="false">IF((E281="v"),H281," ")</f>
        <v> </v>
      </c>
      <c r="AD281" s="30" t="str">
        <f aca="false">IF((E281="n"),H281," ")</f>
        <v> </v>
      </c>
      <c r="AE281" s="17" t="str">
        <f aca="false">IF((E281="f"),H281," ")</f>
        <v> </v>
      </c>
      <c r="AF281" s="17" t="str">
        <f aca="false">IF((E281="l"),H281," ")</f>
        <v> </v>
      </c>
      <c r="AG281" s="17" t="str">
        <f aca="false">IF((E281="y"),H281," ")</f>
        <v> </v>
      </c>
      <c r="AH281" s="17" t="str">
        <f aca="false">IF((E281="z"),H281," ")</f>
        <v> </v>
      </c>
      <c r="AI281" s="17" t="str">
        <f aca="false">IF((E281="fa"),H281," ")</f>
        <v> </v>
      </c>
      <c r="AJ281" s="17" t="str">
        <f aca="false">IF((E281="e"),H281," ")</f>
        <v> </v>
      </c>
    </row>
    <row r="282" customFormat="false" ht="12" hidden="false" customHeight="false" outlineLevel="0" collapsed="false">
      <c r="A282" s="28"/>
      <c r="E282" s="2" t="str">
        <f aca="false">IF((F282&lt;&gt;0),"Enter Letter"," ")</f>
        <v> </v>
      </c>
      <c r="F282" s="30"/>
      <c r="G282" s="6" t="str">
        <f aca="false">IF(F282&lt;&gt;0,F282*G$2/(100+G$2)," ")</f>
        <v> </v>
      </c>
      <c r="H282" s="6" t="str">
        <f aca="false">IF((F282&lt;&gt;0),F282-G282," ")</f>
        <v> </v>
      </c>
      <c r="I282" s="5"/>
      <c r="L282" s="7" t="str">
        <f aca="false">IF(F282&lt;&gt;0,F282-K282," ")</f>
        <v> </v>
      </c>
      <c r="M282" s="8" t="str">
        <f aca="false">IF((F282-K282)&lt;&gt;0,M$1-A282," ")</f>
        <v> </v>
      </c>
      <c r="N282" s="5"/>
      <c r="O282" s="17" t="str">
        <f aca="false">IF((E282="s"),H282," ")</f>
        <v> </v>
      </c>
      <c r="P282" s="17" t="str">
        <f aca="false">IF((E282="c"),H282," ")</f>
        <v> </v>
      </c>
      <c r="Q282" s="17" t="str">
        <f aca="false">IF((E282="o"),H282," ")</f>
        <v> </v>
      </c>
      <c r="R282" s="17" t="str">
        <f aca="false">IF((E282="d"),H282," ")</f>
        <v> </v>
      </c>
      <c r="S282" s="17" t="str">
        <f aca="false">IF((E282="w"),H282," ")</f>
        <v> </v>
      </c>
      <c r="T282" s="17" t="str">
        <f aca="false">IF((E282="r"),H282," ")</f>
        <v> </v>
      </c>
      <c r="U282" s="17" t="str">
        <f aca="false">IF((E282="p"),H282," ")</f>
        <v> </v>
      </c>
      <c r="V282" s="17" t="str">
        <f aca="false">IF((E282="t"),H282," ")</f>
        <v> </v>
      </c>
      <c r="W282" s="17" t="str">
        <f aca="false">IF((E282="q"),H282," ")</f>
        <v> </v>
      </c>
      <c r="X282" s="17" t="str">
        <f aca="false">IF((E282="m"),H282," ")</f>
        <v> </v>
      </c>
      <c r="Y282" s="17" t="str">
        <f aca="false">IF((E282="u"),H282," ")</f>
        <v> </v>
      </c>
      <c r="Z282" s="17" t="str">
        <f aca="false">IF((E282="a"),H282," ")</f>
        <v> </v>
      </c>
      <c r="AA282" s="17" t="str">
        <f aca="false">IF((E282="g"),H282," ")</f>
        <v> </v>
      </c>
      <c r="AB282" s="17" t="str">
        <f aca="false">IF((E282="h"),H282," ")</f>
        <v> </v>
      </c>
      <c r="AC282" s="30" t="str">
        <f aca="false">IF((E282="v"),H282," ")</f>
        <v> </v>
      </c>
      <c r="AD282" s="30" t="str">
        <f aca="false">IF((E282="n"),H282," ")</f>
        <v> </v>
      </c>
      <c r="AE282" s="17" t="str">
        <f aca="false">IF((E282="f"),H282," ")</f>
        <v> </v>
      </c>
      <c r="AF282" s="17" t="str">
        <f aca="false">IF((E282="l"),H282," ")</f>
        <v> </v>
      </c>
      <c r="AG282" s="17" t="str">
        <f aca="false">IF((E282="y"),H282," ")</f>
        <v> </v>
      </c>
      <c r="AH282" s="17" t="str">
        <f aca="false">IF((E282="z"),H282," ")</f>
        <v> </v>
      </c>
      <c r="AI282" s="17" t="str">
        <f aca="false">IF((E282="fa"),H282," ")</f>
        <v> </v>
      </c>
      <c r="AJ282" s="17" t="str">
        <f aca="false">IF((E282="e"),H282," ")</f>
        <v> </v>
      </c>
    </row>
    <row r="283" customFormat="false" ht="12" hidden="false" customHeight="false" outlineLevel="0" collapsed="false">
      <c r="A283" s="28"/>
      <c r="E283" s="2" t="str">
        <f aca="false">IF((F283&lt;&gt;0),"Enter Letter"," ")</f>
        <v> </v>
      </c>
      <c r="F283" s="30"/>
      <c r="G283" s="6" t="str">
        <f aca="false">IF(F283&lt;&gt;0,F283*G$2/(100+G$2)," ")</f>
        <v> </v>
      </c>
      <c r="H283" s="6" t="str">
        <f aca="false">IF((F283&lt;&gt;0),F283-G283," ")</f>
        <v> </v>
      </c>
      <c r="I283" s="5"/>
      <c r="L283" s="7" t="str">
        <f aca="false">IF(F283&lt;&gt;0,F283-K283," ")</f>
        <v> </v>
      </c>
      <c r="M283" s="8" t="str">
        <f aca="false">IF((F283-K283)&lt;&gt;0,M$1-A283," ")</f>
        <v> </v>
      </c>
      <c r="N283" s="5"/>
      <c r="O283" s="17" t="str">
        <f aca="false">IF((E283="s"),H283," ")</f>
        <v> </v>
      </c>
      <c r="P283" s="17" t="str">
        <f aca="false">IF((E283="c"),H283," ")</f>
        <v> </v>
      </c>
      <c r="Q283" s="17" t="str">
        <f aca="false">IF((E283="o"),H283," ")</f>
        <v> </v>
      </c>
      <c r="R283" s="17" t="str">
        <f aca="false">IF((E283="d"),H283," ")</f>
        <v> </v>
      </c>
      <c r="S283" s="17" t="str">
        <f aca="false">IF((E283="w"),H283," ")</f>
        <v> </v>
      </c>
      <c r="T283" s="17" t="str">
        <f aca="false">IF((E283="r"),H283," ")</f>
        <v> </v>
      </c>
      <c r="U283" s="17" t="str">
        <f aca="false">IF((E283="p"),H283," ")</f>
        <v> </v>
      </c>
      <c r="V283" s="17" t="str">
        <f aca="false">IF((E283="t"),H283," ")</f>
        <v> </v>
      </c>
      <c r="W283" s="17" t="str">
        <f aca="false">IF((E283="q"),H283," ")</f>
        <v> </v>
      </c>
      <c r="X283" s="17" t="str">
        <f aca="false">IF((E283="m"),H283," ")</f>
        <v> </v>
      </c>
      <c r="Y283" s="17" t="str">
        <f aca="false">IF((E283="u"),H283," ")</f>
        <v> </v>
      </c>
      <c r="Z283" s="17" t="str">
        <f aca="false">IF((E283="a"),H283," ")</f>
        <v> </v>
      </c>
      <c r="AA283" s="17" t="str">
        <f aca="false">IF((E283="g"),H283," ")</f>
        <v> </v>
      </c>
      <c r="AB283" s="17" t="str">
        <f aca="false">IF((E283="h"),H283," ")</f>
        <v> </v>
      </c>
      <c r="AC283" s="30" t="str">
        <f aca="false">IF((E283="v"),H283," ")</f>
        <v> </v>
      </c>
      <c r="AD283" s="30" t="str">
        <f aca="false">IF((E283="n"),H283," ")</f>
        <v> </v>
      </c>
      <c r="AE283" s="17" t="str">
        <f aca="false">IF((E283="f"),H283," ")</f>
        <v> </v>
      </c>
      <c r="AF283" s="17" t="str">
        <f aca="false">IF((E283="l"),H283," ")</f>
        <v> </v>
      </c>
      <c r="AG283" s="17" t="str">
        <f aca="false">IF((E283="y"),H283," ")</f>
        <v> </v>
      </c>
      <c r="AH283" s="17" t="str">
        <f aca="false">IF((E283="z"),H283," ")</f>
        <v> </v>
      </c>
      <c r="AI283" s="17" t="str">
        <f aca="false">IF((E283="fa"),H283," ")</f>
        <v> </v>
      </c>
      <c r="AJ283" s="17" t="str">
        <f aca="false">IF((E283="e"),H283," ")</f>
        <v> </v>
      </c>
    </row>
    <row r="284" customFormat="false" ht="12" hidden="false" customHeight="false" outlineLevel="0" collapsed="false">
      <c r="A284" s="28"/>
      <c r="E284" s="2" t="str">
        <f aca="false">IF((F284&lt;&gt;0),"Enter Letter"," ")</f>
        <v> </v>
      </c>
      <c r="F284" s="30"/>
      <c r="G284" s="6" t="str">
        <f aca="false">IF(F284&lt;&gt;0,F284*G$2/(100+G$2)," ")</f>
        <v> </v>
      </c>
      <c r="H284" s="6" t="str">
        <f aca="false">IF((F284&lt;&gt;0),F284-G284," ")</f>
        <v> </v>
      </c>
      <c r="I284" s="5"/>
      <c r="L284" s="7" t="str">
        <f aca="false">IF(F284&lt;&gt;0,F284-K284," ")</f>
        <v> </v>
      </c>
      <c r="M284" s="8" t="str">
        <f aca="false">IF((F284-K284)&lt;&gt;0,M$1-A284," ")</f>
        <v> </v>
      </c>
      <c r="N284" s="5"/>
      <c r="O284" s="17" t="str">
        <f aca="false">IF((E284="s"),H284," ")</f>
        <v> </v>
      </c>
      <c r="P284" s="17" t="str">
        <f aca="false">IF((E284="c"),H284," ")</f>
        <v> </v>
      </c>
      <c r="Q284" s="17" t="str">
        <f aca="false">IF((E284="o"),H284," ")</f>
        <v> </v>
      </c>
      <c r="R284" s="17" t="str">
        <f aca="false">IF((E284="d"),H284," ")</f>
        <v> </v>
      </c>
      <c r="S284" s="17" t="str">
        <f aca="false">IF((E284="w"),H284," ")</f>
        <v> </v>
      </c>
      <c r="T284" s="17" t="str">
        <f aca="false">IF((E284="r"),H284," ")</f>
        <v> </v>
      </c>
      <c r="U284" s="17" t="str">
        <f aca="false">IF((E284="p"),H284," ")</f>
        <v> </v>
      </c>
      <c r="V284" s="17" t="str">
        <f aca="false">IF((E284="t"),H284," ")</f>
        <v> </v>
      </c>
      <c r="W284" s="17" t="str">
        <f aca="false">IF((E284="q"),H284," ")</f>
        <v> </v>
      </c>
      <c r="X284" s="17" t="str">
        <f aca="false">IF((E284="m"),H284," ")</f>
        <v> </v>
      </c>
      <c r="Y284" s="17" t="str">
        <f aca="false">IF((E284="u"),H284," ")</f>
        <v> </v>
      </c>
      <c r="Z284" s="17" t="str">
        <f aca="false">IF((E284="a"),H284," ")</f>
        <v> </v>
      </c>
      <c r="AA284" s="17" t="str">
        <f aca="false">IF((E284="g"),H284," ")</f>
        <v> </v>
      </c>
      <c r="AB284" s="17" t="str">
        <f aca="false">IF((E284="h"),H284," ")</f>
        <v> </v>
      </c>
      <c r="AC284" s="30" t="str">
        <f aca="false">IF((E284="v"),H284," ")</f>
        <v> </v>
      </c>
      <c r="AD284" s="30" t="str">
        <f aca="false">IF((E284="n"),H284," ")</f>
        <v> </v>
      </c>
      <c r="AE284" s="17" t="str">
        <f aca="false">IF((E284="f"),H284," ")</f>
        <v> </v>
      </c>
      <c r="AF284" s="17" t="str">
        <f aca="false">IF((E284="l"),H284," ")</f>
        <v> </v>
      </c>
      <c r="AG284" s="17" t="str">
        <f aca="false">IF((E284="y"),H284," ")</f>
        <v> </v>
      </c>
      <c r="AH284" s="17" t="str">
        <f aca="false">IF((E284="z"),H284," ")</f>
        <v> </v>
      </c>
      <c r="AI284" s="17" t="str">
        <f aca="false">IF((E284="fa"),H284," ")</f>
        <v> </v>
      </c>
      <c r="AJ284" s="17" t="str">
        <f aca="false">IF((E284="e"),H284," ")</f>
        <v> </v>
      </c>
    </row>
    <row r="285" customFormat="false" ht="12" hidden="false" customHeight="false" outlineLevel="0" collapsed="false">
      <c r="A285" s="28"/>
      <c r="E285" s="2" t="str">
        <f aca="false">IF((F285&lt;&gt;0),"Enter Letter"," ")</f>
        <v> </v>
      </c>
      <c r="F285" s="30"/>
      <c r="G285" s="6" t="str">
        <f aca="false">IF(F285&lt;&gt;0,F285*G$2/(100+G$2)," ")</f>
        <v> </v>
      </c>
      <c r="H285" s="6" t="str">
        <f aca="false">IF((F285&lt;&gt;0),F285-G285," ")</f>
        <v> </v>
      </c>
      <c r="I285" s="5"/>
      <c r="L285" s="7" t="str">
        <f aca="false">IF(F285&lt;&gt;0,F285-K285," ")</f>
        <v> </v>
      </c>
      <c r="M285" s="8" t="str">
        <f aca="false">IF((F285-K285)&lt;&gt;0,M$1-A285," ")</f>
        <v> </v>
      </c>
      <c r="N285" s="5"/>
      <c r="O285" s="17" t="str">
        <f aca="false">IF((E285="s"),H285," ")</f>
        <v> </v>
      </c>
      <c r="P285" s="17" t="str">
        <f aca="false">IF((E285="c"),H285," ")</f>
        <v> </v>
      </c>
      <c r="Q285" s="17" t="str">
        <f aca="false">IF((E285="o"),H285," ")</f>
        <v> </v>
      </c>
      <c r="R285" s="17" t="str">
        <f aca="false">IF((E285="d"),H285," ")</f>
        <v> </v>
      </c>
      <c r="S285" s="17" t="str">
        <f aca="false">IF((E285="w"),H285," ")</f>
        <v> </v>
      </c>
      <c r="T285" s="17" t="str">
        <f aca="false">IF((E285="r"),H285," ")</f>
        <v> </v>
      </c>
      <c r="U285" s="17" t="str">
        <f aca="false">IF((E285="p"),H285," ")</f>
        <v> </v>
      </c>
      <c r="V285" s="17" t="str">
        <f aca="false">IF((E285="t"),H285," ")</f>
        <v> </v>
      </c>
      <c r="W285" s="17" t="str">
        <f aca="false">IF((E285="q"),H285," ")</f>
        <v> </v>
      </c>
      <c r="X285" s="17" t="str">
        <f aca="false">IF((E285="m"),H285," ")</f>
        <v> </v>
      </c>
      <c r="Y285" s="17" t="str">
        <f aca="false">IF((E285="u"),H285," ")</f>
        <v> </v>
      </c>
      <c r="Z285" s="17" t="str">
        <f aca="false">IF((E285="a"),H285," ")</f>
        <v> </v>
      </c>
      <c r="AA285" s="17" t="str">
        <f aca="false">IF((E285="g"),H285," ")</f>
        <v> </v>
      </c>
      <c r="AB285" s="17" t="str">
        <f aca="false">IF((E285="h"),H285," ")</f>
        <v> </v>
      </c>
      <c r="AC285" s="30" t="str">
        <f aca="false">IF((E285="v"),H285," ")</f>
        <v> </v>
      </c>
      <c r="AD285" s="30" t="str">
        <f aca="false">IF((E285="n"),H285," ")</f>
        <v> </v>
      </c>
      <c r="AE285" s="17" t="str">
        <f aca="false">IF((E285="f"),H285," ")</f>
        <v> </v>
      </c>
      <c r="AF285" s="17" t="str">
        <f aca="false">IF((E285="l"),H285," ")</f>
        <v> </v>
      </c>
      <c r="AG285" s="17" t="str">
        <f aca="false">IF((E285="y"),H285," ")</f>
        <v> </v>
      </c>
      <c r="AH285" s="17" t="str">
        <f aca="false">IF((E285="z"),H285," ")</f>
        <v> </v>
      </c>
      <c r="AI285" s="17" t="str">
        <f aca="false">IF((E285="fa"),H285," ")</f>
        <v> </v>
      </c>
      <c r="AJ285" s="17" t="str">
        <f aca="false">IF((E285="e"),H285," ")</f>
        <v> </v>
      </c>
    </row>
    <row r="286" customFormat="false" ht="12" hidden="false" customHeight="false" outlineLevel="0" collapsed="false">
      <c r="A286" s="28"/>
      <c r="E286" s="2" t="str">
        <f aca="false">IF((F286&lt;&gt;0),"Enter Letter"," ")</f>
        <v> </v>
      </c>
      <c r="F286" s="30"/>
      <c r="G286" s="6" t="str">
        <f aca="false">IF(F286&lt;&gt;0,F286*G$2/(100+G$2)," ")</f>
        <v> </v>
      </c>
      <c r="H286" s="6" t="str">
        <f aca="false">IF((F286&lt;&gt;0),F286-G286," ")</f>
        <v> </v>
      </c>
      <c r="I286" s="5"/>
      <c r="L286" s="7" t="str">
        <f aca="false">IF(F286&lt;&gt;0,F286-K286," ")</f>
        <v> </v>
      </c>
      <c r="M286" s="8" t="str">
        <f aca="false">IF((F286-K286)&lt;&gt;0,M$1-A286," ")</f>
        <v> </v>
      </c>
      <c r="N286" s="5"/>
      <c r="O286" s="17" t="str">
        <f aca="false">IF((E286="s"),H286," ")</f>
        <v> </v>
      </c>
      <c r="P286" s="17" t="str">
        <f aca="false">IF((E286="c"),H286," ")</f>
        <v> </v>
      </c>
      <c r="Q286" s="17" t="str">
        <f aca="false">IF((E286="o"),H286," ")</f>
        <v> </v>
      </c>
      <c r="R286" s="17" t="str">
        <f aca="false">IF((E286="d"),H286," ")</f>
        <v> </v>
      </c>
      <c r="S286" s="17" t="str">
        <f aca="false">IF((E286="w"),H286," ")</f>
        <v> </v>
      </c>
      <c r="T286" s="17" t="str">
        <f aca="false">IF((E286="r"),H286," ")</f>
        <v> </v>
      </c>
      <c r="U286" s="17" t="str">
        <f aca="false">IF((E286="p"),H286," ")</f>
        <v> </v>
      </c>
      <c r="V286" s="17" t="str">
        <f aca="false">IF((E286="t"),H286," ")</f>
        <v> </v>
      </c>
      <c r="W286" s="17" t="str">
        <f aca="false">IF((E286="q"),H286," ")</f>
        <v> </v>
      </c>
      <c r="X286" s="17" t="str">
        <f aca="false">IF((E286="m"),H286," ")</f>
        <v> </v>
      </c>
      <c r="Y286" s="17" t="str">
        <f aca="false">IF((E286="u"),H286," ")</f>
        <v> </v>
      </c>
      <c r="Z286" s="17" t="str">
        <f aca="false">IF((E286="a"),H286," ")</f>
        <v> </v>
      </c>
      <c r="AA286" s="17" t="str">
        <f aca="false">IF((E286="g"),H286," ")</f>
        <v> </v>
      </c>
      <c r="AB286" s="17" t="str">
        <f aca="false">IF((E286="h"),H286," ")</f>
        <v> </v>
      </c>
      <c r="AC286" s="30" t="str">
        <f aca="false">IF((E286="v"),H286," ")</f>
        <v> </v>
      </c>
      <c r="AD286" s="30" t="str">
        <f aca="false">IF((E286="n"),H286," ")</f>
        <v> </v>
      </c>
      <c r="AE286" s="17" t="str">
        <f aca="false">IF((E286="f"),H286," ")</f>
        <v> </v>
      </c>
      <c r="AF286" s="17" t="str">
        <f aca="false">IF((E286="l"),H286," ")</f>
        <v> </v>
      </c>
      <c r="AG286" s="17" t="str">
        <f aca="false">IF((E286="y"),H286," ")</f>
        <v> </v>
      </c>
      <c r="AH286" s="17" t="str">
        <f aca="false">IF((E286="z"),H286," ")</f>
        <v> </v>
      </c>
      <c r="AI286" s="17" t="str">
        <f aca="false">IF((E286="fa"),H286," ")</f>
        <v> </v>
      </c>
      <c r="AJ286" s="17" t="str">
        <f aca="false">IF((E286="e"),H286," ")</f>
        <v> </v>
      </c>
    </row>
    <row r="287" customFormat="false" ht="12" hidden="false" customHeight="false" outlineLevel="0" collapsed="false">
      <c r="A287" s="28"/>
      <c r="E287" s="2" t="str">
        <f aca="false">IF((F287&lt;&gt;0),"Enter Letter"," ")</f>
        <v> </v>
      </c>
      <c r="F287" s="30"/>
      <c r="G287" s="6" t="str">
        <f aca="false">IF(F287&lt;&gt;0,F287*G$2/(100+G$2)," ")</f>
        <v> </v>
      </c>
      <c r="H287" s="6" t="str">
        <f aca="false">IF((F287&lt;&gt;0),F287-G287," ")</f>
        <v> </v>
      </c>
      <c r="I287" s="5"/>
      <c r="L287" s="7" t="str">
        <f aca="false">IF(F287&lt;&gt;0,F287-K287," ")</f>
        <v> </v>
      </c>
      <c r="M287" s="8" t="str">
        <f aca="false">IF((F287-K287)&lt;&gt;0,M$1-A287," ")</f>
        <v> </v>
      </c>
      <c r="N287" s="5"/>
      <c r="O287" s="17" t="str">
        <f aca="false">IF((E287="s"),H287," ")</f>
        <v> </v>
      </c>
      <c r="P287" s="17" t="str">
        <f aca="false">IF((E287="c"),H287," ")</f>
        <v> </v>
      </c>
      <c r="Q287" s="17" t="str">
        <f aca="false">IF((E287="o"),H287," ")</f>
        <v> </v>
      </c>
      <c r="R287" s="17" t="str">
        <f aca="false">IF((E287="d"),H287," ")</f>
        <v> </v>
      </c>
      <c r="S287" s="17" t="str">
        <f aca="false">IF((E287="w"),H287," ")</f>
        <v> </v>
      </c>
      <c r="T287" s="17" t="str">
        <f aca="false">IF((E287="r"),H287," ")</f>
        <v> </v>
      </c>
      <c r="U287" s="17" t="str">
        <f aca="false">IF((E287="p"),H287," ")</f>
        <v> </v>
      </c>
      <c r="V287" s="17" t="str">
        <f aca="false">IF((E287="t"),H287," ")</f>
        <v> </v>
      </c>
      <c r="W287" s="17" t="str">
        <f aca="false">IF((E287="q"),H287," ")</f>
        <v> </v>
      </c>
      <c r="X287" s="17" t="str">
        <f aca="false">IF((E287="m"),H287," ")</f>
        <v> </v>
      </c>
      <c r="Y287" s="17" t="str">
        <f aca="false">IF((E287="u"),H287," ")</f>
        <v> </v>
      </c>
      <c r="Z287" s="17" t="str">
        <f aca="false">IF((E287="a"),H287," ")</f>
        <v> </v>
      </c>
      <c r="AA287" s="17" t="str">
        <f aca="false">IF((E287="g"),H287," ")</f>
        <v> </v>
      </c>
      <c r="AB287" s="17" t="str">
        <f aca="false">IF((E287="h"),H287," ")</f>
        <v> </v>
      </c>
      <c r="AC287" s="30" t="str">
        <f aca="false">IF((E287="v"),H287," ")</f>
        <v> </v>
      </c>
      <c r="AD287" s="30" t="str">
        <f aca="false">IF((E287="n"),H287," ")</f>
        <v> </v>
      </c>
      <c r="AE287" s="17" t="str">
        <f aca="false">IF((E287="f"),H287," ")</f>
        <v> </v>
      </c>
      <c r="AF287" s="17" t="str">
        <f aca="false">IF((E287="l"),H287," ")</f>
        <v> </v>
      </c>
      <c r="AG287" s="17" t="str">
        <f aca="false">IF((E287="y"),H287," ")</f>
        <v> </v>
      </c>
      <c r="AH287" s="17" t="str">
        <f aca="false">IF((E287="z"),H287," ")</f>
        <v> </v>
      </c>
      <c r="AI287" s="17" t="str">
        <f aca="false">IF((E287="fa"),H287," ")</f>
        <v> </v>
      </c>
      <c r="AJ287" s="17" t="str">
        <f aca="false">IF((E287="e"),H287," ")</f>
        <v> </v>
      </c>
    </row>
    <row r="288" customFormat="false" ht="12" hidden="false" customHeight="false" outlineLevel="0" collapsed="false">
      <c r="A288" s="28"/>
      <c r="E288" s="2" t="str">
        <f aca="false">IF((F288&lt;&gt;0),"Enter Letter"," ")</f>
        <v> </v>
      </c>
      <c r="F288" s="30"/>
      <c r="G288" s="6" t="str">
        <f aca="false">IF(F288&lt;&gt;0,F288*G$2/(100+G$2)," ")</f>
        <v> </v>
      </c>
      <c r="H288" s="6" t="str">
        <f aca="false">IF((F288&lt;&gt;0),F288-G288," ")</f>
        <v> </v>
      </c>
      <c r="I288" s="5"/>
      <c r="L288" s="7" t="str">
        <f aca="false">IF(F288&lt;&gt;0,F288-K288," ")</f>
        <v> </v>
      </c>
      <c r="M288" s="8" t="str">
        <f aca="false">IF((F288-K288)&lt;&gt;0,M$1-A288," ")</f>
        <v> </v>
      </c>
      <c r="N288" s="5"/>
      <c r="O288" s="17" t="str">
        <f aca="false">IF((E288="s"),H288," ")</f>
        <v> </v>
      </c>
      <c r="P288" s="17" t="str">
        <f aca="false">IF((E288="c"),H288," ")</f>
        <v> </v>
      </c>
      <c r="Q288" s="17" t="str">
        <f aca="false">IF((E288="o"),H288," ")</f>
        <v> </v>
      </c>
      <c r="R288" s="17" t="str">
        <f aca="false">IF((E288="d"),H288," ")</f>
        <v> </v>
      </c>
      <c r="S288" s="17" t="str">
        <f aca="false">IF((E288="w"),H288," ")</f>
        <v> </v>
      </c>
      <c r="T288" s="17" t="str">
        <f aca="false">IF((E288="r"),H288," ")</f>
        <v> </v>
      </c>
      <c r="U288" s="17" t="str">
        <f aca="false">IF((E288="p"),H288," ")</f>
        <v> </v>
      </c>
      <c r="V288" s="17" t="str">
        <f aca="false">IF((E288="t"),H288," ")</f>
        <v> </v>
      </c>
      <c r="W288" s="17" t="str">
        <f aca="false">IF((E288="q"),H288," ")</f>
        <v> </v>
      </c>
      <c r="X288" s="17" t="str">
        <f aca="false">IF((E288="m"),H288," ")</f>
        <v> </v>
      </c>
      <c r="Y288" s="17" t="str">
        <f aca="false">IF((E288="u"),H288," ")</f>
        <v> </v>
      </c>
      <c r="Z288" s="17" t="str">
        <f aca="false">IF((E288="a"),H288," ")</f>
        <v> </v>
      </c>
      <c r="AA288" s="17" t="str">
        <f aca="false">IF((E288="g"),H288," ")</f>
        <v> </v>
      </c>
      <c r="AB288" s="17" t="str">
        <f aca="false">IF((E288="h"),H288," ")</f>
        <v> </v>
      </c>
      <c r="AC288" s="30" t="str">
        <f aca="false">IF((E288="v"),H288," ")</f>
        <v> </v>
      </c>
      <c r="AD288" s="30" t="str">
        <f aca="false">IF((E288="n"),H288," ")</f>
        <v> </v>
      </c>
      <c r="AE288" s="17" t="str">
        <f aca="false">IF((E288="f"),H288," ")</f>
        <v> </v>
      </c>
      <c r="AF288" s="17" t="str">
        <f aca="false">IF((E288="l"),H288," ")</f>
        <v> </v>
      </c>
      <c r="AG288" s="17" t="str">
        <f aca="false">IF((E288="y"),H288," ")</f>
        <v> </v>
      </c>
      <c r="AH288" s="17" t="str">
        <f aca="false">IF((E288="z"),H288," ")</f>
        <v> </v>
      </c>
      <c r="AI288" s="17" t="str">
        <f aca="false">IF((E288="fa"),H288," ")</f>
        <v> </v>
      </c>
      <c r="AJ288" s="17" t="str">
        <f aca="false">IF((E288="e"),H288," ")</f>
        <v> </v>
      </c>
    </row>
    <row r="289" customFormat="false" ht="12" hidden="false" customHeight="false" outlineLevel="0" collapsed="false">
      <c r="A289" s="28"/>
      <c r="E289" s="2" t="str">
        <f aca="false">IF((F289&lt;&gt;0),"Enter Letter"," ")</f>
        <v> </v>
      </c>
      <c r="F289" s="30"/>
      <c r="G289" s="6" t="str">
        <f aca="false">IF(F289&lt;&gt;0,F289*G$2/(100+G$2)," ")</f>
        <v> </v>
      </c>
      <c r="H289" s="6" t="str">
        <f aca="false">IF((F289&lt;&gt;0),F289-G289," ")</f>
        <v> </v>
      </c>
      <c r="I289" s="5"/>
      <c r="L289" s="7" t="str">
        <f aca="false">IF(F289&lt;&gt;0,F289-K289," ")</f>
        <v> </v>
      </c>
      <c r="M289" s="8" t="str">
        <f aca="false">IF((F289-K289)&lt;&gt;0,M$1-A289," ")</f>
        <v> </v>
      </c>
      <c r="N289" s="5"/>
      <c r="O289" s="17" t="str">
        <f aca="false">IF((E289="s"),H289," ")</f>
        <v> </v>
      </c>
      <c r="P289" s="17" t="str">
        <f aca="false">IF((E289="c"),H289," ")</f>
        <v> </v>
      </c>
      <c r="Q289" s="17" t="str">
        <f aca="false">IF((E289="o"),H289," ")</f>
        <v> </v>
      </c>
      <c r="R289" s="17" t="str">
        <f aca="false">IF((E289="d"),H289," ")</f>
        <v> </v>
      </c>
      <c r="S289" s="17" t="str">
        <f aca="false">IF((E289="w"),H289," ")</f>
        <v> </v>
      </c>
      <c r="T289" s="17" t="str">
        <f aca="false">IF((E289="r"),H289," ")</f>
        <v> </v>
      </c>
      <c r="U289" s="17" t="str">
        <f aca="false">IF((E289="p"),H289," ")</f>
        <v> </v>
      </c>
      <c r="V289" s="17" t="str">
        <f aca="false">IF((E289="t"),H289," ")</f>
        <v> </v>
      </c>
      <c r="W289" s="17" t="str">
        <f aca="false">IF((E289="q"),H289," ")</f>
        <v> </v>
      </c>
      <c r="X289" s="17" t="str">
        <f aca="false">IF((E289="m"),H289," ")</f>
        <v> </v>
      </c>
      <c r="Y289" s="17" t="str">
        <f aca="false">IF((E289="u"),H289," ")</f>
        <v> </v>
      </c>
      <c r="Z289" s="17" t="str">
        <f aca="false">IF((E289="a"),H289," ")</f>
        <v> </v>
      </c>
      <c r="AA289" s="17" t="str">
        <f aca="false">IF((E289="g"),H289," ")</f>
        <v> </v>
      </c>
      <c r="AB289" s="17" t="str">
        <f aca="false">IF((E289="h"),H289," ")</f>
        <v> </v>
      </c>
      <c r="AC289" s="30" t="str">
        <f aca="false">IF((E289="v"),H289," ")</f>
        <v> </v>
      </c>
      <c r="AD289" s="30" t="str">
        <f aca="false">IF((E289="n"),H289," ")</f>
        <v> </v>
      </c>
      <c r="AE289" s="17" t="str">
        <f aca="false">IF((E289="f"),H289," ")</f>
        <v> </v>
      </c>
      <c r="AF289" s="17" t="str">
        <f aca="false">IF((E289="l"),H289," ")</f>
        <v> </v>
      </c>
      <c r="AG289" s="17" t="str">
        <f aca="false">IF((E289="y"),H289," ")</f>
        <v> </v>
      </c>
      <c r="AH289" s="17" t="str">
        <f aca="false">IF((E289="z"),H289," ")</f>
        <v> </v>
      </c>
      <c r="AI289" s="17" t="str">
        <f aca="false">IF((E289="fa"),H289," ")</f>
        <v> </v>
      </c>
      <c r="AJ289" s="17" t="str">
        <f aca="false">IF((E289="e"),H289," ")</f>
        <v> </v>
      </c>
    </row>
    <row r="290" customFormat="false" ht="12" hidden="false" customHeight="false" outlineLevel="0" collapsed="false">
      <c r="A290" s="28"/>
      <c r="E290" s="2" t="str">
        <f aca="false">IF((F290&lt;&gt;0),"Enter Letter"," ")</f>
        <v> </v>
      </c>
      <c r="F290" s="30"/>
      <c r="G290" s="6" t="str">
        <f aca="false">IF(F290&lt;&gt;0,F290*G$2/(100+G$2)," ")</f>
        <v> </v>
      </c>
      <c r="H290" s="6" t="str">
        <f aca="false">IF((F290&lt;&gt;0),F290-G290," ")</f>
        <v> </v>
      </c>
      <c r="I290" s="5"/>
      <c r="L290" s="7" t="str">
        <f aca="false">IF(F290&lt;&gt;0,F290-K290," ")</f>
        <v> </v>
      </c>
      <c r="M290" s="8" t="str">
        <f aca="false">IF((F290-K290)&lt;&gt;0,M$1-A290," ")</f>
        <v> </v>
      </c>
      <c r="N290" s="5"/>
      <c r="O290" s="17" t="str">
        <f aca="false">IF((E290="s"),H290," ")</f>
        <v> </v>
      </c>
      <c r="P290" s="17" t="str">
        <f aca="false">IF((E290="c"),H290," ")</f>
        <v> </v>
      </c>
      <c r="Q290" s="17" t="str">
        <f aca="false">IF((E290="o"),H290," ")</f>
        <v> </v>
      </c>
      <c r="R290" s="17" t="str">
        <f aca="false">IF((E290="d"),H290," ")</f>
        <v> </v>
      </c>
      <c r="S290" s="17" t="str">
        <f aca="false">IF((E290="w"),H290," ")</f>
        <v> </v>
      </c>
      <c r="T290" s="17" t="str">
        <f aca="false">IF((E290="r"),H290," ")</f>
        <v> </v>
      </c>
      <c r="U290" s="17" t="str">
        <f aca="false">IF((E290="p"),H290," ")</f>
        <v> </v>
      </c>
      <c r="V290" s="17" t="str">
        <f aca="false">IF((E290="t"),H290," ")</f>
        <v> </v>
      </c>
      <c r="W290" s="17" t="str">
        <f aca="false">IF((E290="q"),H290," ")</f>
        <v> </v>
      </c>
      <c r="X290" s="17" t="str">
        <f aca="false">IF((E290="m"),H290," ")</f>
        <v> </v>
      </c>
      <c r="Y290" s="17" t="str">
        <f aca="false">IF((E290="u"),H290," ")</f>
        <v> </v>
      </c>
      <c r="Z290" s="17" t="str">
        <f aca="false">IF((E290="a"),H290," ")</f>
        <v> </v>
      </c>
      <c r="AA290" s="17" t="str">
        <f aca="false">IF((E290="g"),H290," ")</f>
        <v> </v>
      </c>
      <c r="AB290" s="17" t="str">
        <f aca="false">IF((E290="h"),H290," ")</f>
        <v> </v>
      </c>
      <c r="AC290" s="30" t="str">
        <f aca="false">IF((E290="v"),H290," ")</f>
        <v> </v>
      </c>
      <c r="AD290" s="30" t="str">
        <f aca="false">IF((E290="n"),H290," ")</f>
        <v> </v>
      </c>
      <c r="AE290" s="17" t="str">
        <f aca="false">IF((E290="f"),H290," ")</f>
        <v> </v>
      </c>
      <c r="AF290" s="17" t="str">
        <f aca="false">IF((E290="l"),H290," ")</f>
        <v> </v>
      </c>
      <c r="AG290" s="17" t="str">
        <f aca="false">IF((E290="y"),H290," ")</f>
        <v> </v>
      </c>
      <c r="AH290" s="17" t="str">
        <f aca="false">IF((E290="z"),H290," ")</f>
        <v> </v>
      </c>
      <c r="AI290" s="17" t="str">
        <f aca="false">IF((E290="fa"),H290," ")</f>
        <v> </v>
      </c>
      <c r="AJ290" s="17" t="str">
        <f aca="false">IF((E290="e"),H290," ")</f>
        <v> </v>
      </c>
    </row>
    <row r="291" customFormat="false" ht="12" hidden="false" customHeight="false" outlineLevel="0" collapsed="false">
      <c r="A291" s="28"/>
      <c r="E291" s="2" t="str">
        <f aca="false">IF((F291&lt;&gt;0),"Enter Letter"," ")</f>
        <v> </v>
      </c>
      <c r="F291" s="30"/>
      <c r="G291" s="6" t="str">
        <f aca="false">IF(F291&lt;&gt;0,F291*G$2/(100+G$2)," ")</f>
        <v> </v>
      </c>
      <c r="H291" s="6" t="str">
        <f aca="false">IF((F291&lt;&gt;0),F291-G291," ")</f>
        <v> </v>
      </c>
      <c r="I291" s="5"/>
      <c r="L291" s="7" t="str">
        <f aca="false">IF(F291&lt;&gt;0,F291-K291," ")</f>
        <v> </v>
      </c>
      <c r="M291" s="8" t="str">
        <f aca="false">IF((F291-K291)&lt;&gt;0,M$1-A291," ")</f>
        <v> </v>
      </c>
      <c r="N291" s="5"/>
      <c r="O291" s="17" t="str">
        <f aca="false">IF((E291="s"),H291," ")</f>
        <v> </v>
      </c>
      <c r="P291" s="17" t="str">
        <f aca="false">IF((E291="c"),H291," ")</f>
        <v> </v>
      </c>
      <c r="Q291" s="17" t="str">
        <f aca="false">IF((E291="o"),H291," ")</f>
        <v> </v>
      </c>
      <c r="R291" s="17" t="str">
        <f aca="false">IF((E291="d"),H291," ")</f>
        <v> </v>
      </c>
      <c r="S291" s="17" t="str">
        <f aca="false">IF((E291="w"),H291," ")</f>
        <v> </v>
      </c>
      <c r="T291" s="17" t="str">
        <f aca="false">IF((E291="r"),H291," ")</f>
        <v> </v>
      </c>
      <c r="U291" s="17" t="str">
        <f aca="false">IF((E291="p"),H291," ")</f>
        <v> </v>
      </c>
      <c r="V291" s="17" t="str">
        <f aca="false">IF((E291="t"),H291," ")</f>
        <v> </v>
      </c>
      <c r="W291" s="17" t="str">
        <f aca="false">IF((E291="q"),H291," ")</f>
        <v> </v>
      </c>
      <c r="X291" s="17" t="str">
        <f aca="false">IF((E291="m"),H291," ")</f>
        <v> </v>
      </c>
      <c r="Y291" s="17" t="str">
        <f aca="false">IF((E291="u"),H291," ")</f>
        <v> </v>
      </c>
      <c r="Z291" s="17" t="str">
        <f aca="false">IF((E291="a"),H291," ")</f>
        <v> </v>
      </c>
      <c r="AA291" s="17" t="str">
        <f aca="false">IF((E291="g"),H291," ")</f>
        <v> </v>
      </c>
      <c r="AB291" s="17" t="str">
        <f aca="false">IF((E291="h"),H291," ")</f>
        <v> </v>
      </c>
      <c r="AC291" s="30" t="str">
        <f aca="false">IF((E291="v"),H291," ")</f>
        <v> </v>
      </c>
      <c r="AD291" s="30" t="str">
        <f aca="false">IF((E291="n"),H291," ")</f>
        <v> </v>
      </c>
      <c r="AE291" s="17" t="str">
        <f aca="false">IF((E291="f"),H291," ")</f>
        <v> </v>
      </c>
      <c r="AF291" s="17" t="str">
        <f aca="false">IF((E291="l"),H291," ")</f>
        <v> </v>
      </c>
      <c r="AG291" s="17" t="str">
        <f aca="false">IF((E291="y"),H291," ")</f>
        <v> </v>
      </c>
      <c r="AH291" s="17" t="str">
        <f aca="false">IF((E291="z"),H291," ")</f>
        <v> </v>
      </c>
      <c r="AI291" s="17" t="str">
        <f aca="false">IF((E291="fa"),H291," ")</f>
        <v> </v>
      </c>
      <c r="AJ291" s="17" t="str">
        <f aca="false">IF((E291="e"),H291," ")</f>
        <v> </v>
      </c>
    </row>
    <row r="292" customFormat="false" ht="12" hidden="false" customHeight="false" outlineLevel="0" collapsed="false">
      <c r="A292" s="28"/>
      <c r="E292" s="2" t="str">
        <f aca="false">IF((F292&lt;&gt;0),"Enter Letter"," ")</f>
        <v> </v>
      </c>
      <c r="F292" s="30"/>
      <c r="G292" s="6" t="str">
        <f aca="false">IF(F292&lt;&gt;0,F292*G$2/(100+G$2)," ")</f>
        <v> </v>
      </c>
      <c r="H292" s="6" t="str">
        <f aca="false">IF((F292&lt;&gt;0),F292-G292," ")</f>
        <v> </v>
      </c>
      <c r="I292" s="5"/>
      <c r="L292" s="7" t="str">
        <f aca="false">IF(F292&lt;&gt;0,F292-K292," ")</f>
        <v> </v>
      </c>
      <c r="M292" s="8" t="str">
        <f aca="false">IF((F292-K292)&lt;&gt;0,M$1-A292," ")</f>
        <v> </v>
      </c>
      <c r="N292" s="5"/>
      <c r="O292" s="17" t="str">
        <f aca="false">IF((E292="s"),H292," ")</f>
        <v> </v>
      </c>
      <c r="P292" s="17" t="str">
        <f aca="false">IF((E292="c"),H292," ")</f>
        <v> </v>
      </c>
      <c r="Q292" s="17" t="str">
        <f aca="false">IF((E292="o"),H292," ")</f>
        <v> </v>
      </c>
      <c r="R292" s="17" t="str">
        <f aca="false">IF((E292="d"),H292," ")</f>
        <v> </v>
      </c>
      <c r="S292" s="17" t="str">
        <f aca="false">IF((E292="w"),H292," ")</f>
        <v> </v>
      </c>
      <c r="T292" s="17" t="str">
        <f aca="false">IF((E292="r"),H292," ")</f>
        <v> </v>
      </c>
      <c r="U292" s="17" t="str">
        <f aca="false">IF((E292="p"),H292," ")</f>
        <v> </v>
      </c>
      <c r="V292" s="17" t="str">
        <f aca="false">IF((E292="t"),H292," ")</f>
        <v> </v>
      </c>
      <c r="W292" s="17" t="str">
        <f aca="false">IF((E292="q"),H292," ")</f>
        <v> </v>
      </c>
      <c r="X292" s="17" t="str">
        <f aca="false">IF((E292="m"),H292," ")</f>
        <v> </v>
      </c>
      <c r="Y292" s="17" t="str">
        <f aca="false">IF((E292="u"),H292," ")</f>
        <v> </v>
      </c>
      <c r="Z292" s="17" t="str">
        <f aca="false">IF((E292="a"),H292," ")</f>
        <v> </v>
      </c>
      <c r="AA292" s="17" t="str">
        <f aca="false">IF((E292="g"),H292," ")</f>
        <v> </v>
      </c>
      <c r="AB292" s="17" t="str">
        <f aca="false">IF((E292="h"),H292," ")</f>
        <v> </v>
      </c>
      <c r="AC292" s="30" t="str">
        <f aca="false">IF((E292="v"),H292," ")</f>
        <v> </v>
      </c>
      <c r="AD292" s="30" t="str">
        <f aca="false">IF((E292="n"),H292," ")</f>
        <v> </v>
      </c>
      <c r="AE292" s="17" t="str">
        <f aca="false">IF((E292="f"),H292," ")</f>
        <v> </v>
      </c>
      <c r="AF292" s="17" t="str">
        <f aca="false">IF((E292="l"),H292," ")</f>
        <v> </v>
      </c>
      <c r="AG292" s="17" t="str">
        <f aca="false">IF((E292="y"),H292," ")</f>
        <v> </v>
      </c>
      <c r="AH292" s="17" t="str">
        <f aca="false">IF((E292="z"),H292," ")</f>
        <v> </v>
      </c>
      <c r="AI292" s="17" t="str">
        <f aca="false">IF((E292="fa"),H292," ")</f>
        <v> </v>
      </c>
      <c r="AJ292" s="17" t="str">
        <f aca="false">IF((E292="e"),H292," ")</f>
        <v> </v>
      </c>
    </row>
    <row r="293" customFormat="false" ht="12" hidden="false" customHeight="false" outlineLevel="0" collapsed="false">
      <c r="A293" s="28"/>
      <c r="E293" s="2" t="str">
        <f aca="false">IF((F293&lt;&gt;0),"Enter Letter"," ")</f>
        <v> </v>
      </c>
      <c r="F293" s="30"/>
      <c r="G293" s="6" t="str">
        <f aca="false">IF(F293&lt;&gt;0,F293*G$2/(100+G$2)," ")</f>
        <v> </v>
      </c>
      <c r="H293" s="6" t="str">
        <f aca="false">IF((F293&lt;&gt;0),F293-G293," ")</f>
        <v> </v>
      </c>
      <c r="I293" s="5"/>
      <c r="L293" s="7" t="str">
        <f aca="false">IF(F293&lt;&gt;0,F293-K293," ")</f>
        <v> </v>
      </c>
      <c r="M293" s="8" t="str">
        <f aca="false">IF((F293-K293)&lt;&gt;0,M$1-A293," ")</f>
        <v> </v>
      </c>
      <c r="N293" s="5"/>
      <c r="O293" s="17" t="str">
        <f aca="false">IF((E293="s"),H293," ")</f>
        <v> </v>
      </c>
      <c r="P293" s="17" t="str">
        <f aca="false">IF((E293="c"),H293," ")</f>
        <v> </v>
      </c>
      <c r="Q293" s="17" t="str">
        <f aca="false">IF((E293="o"),H293," ")</f>
        <v> </v>
      </c>
      <c r="R293" s="17" t="str">
        <f aca="false">IF((E293="d"),H293," ")</f>
        <v> </v>
      </c>
      <c r="S293" s="17" t="str">
        <f aca="false">IF((E293="w"),H293," ")</f>
        <v> </v>
      </c>
      <c r="T293" s="17" t="str">
        <f aca="false">IF((E293="r"),H293," ")</f>
        <v> </v>
      </c>
      <c r="U293" s="17" t="str">
        <f aca="false">IF((E293="p"),H293," ")</f>
        <v> </v>
      </c>
      <c r="V293" s="17" t="str">
        <f aca="false">IF((E293="t"),H293," ")</f>
        <v> </v>
      </c>
      <c r="W293" s="17" t="str">
        <f aca="false">IF((E293="q"),H293," ")</f>
        <v> </v>
      </c>
      <c r="X293" s="17" t="str">
        <f aca="false">IF((E293="m"),H293," ")</f>
        <v> </v>
      </c>
      <c r="Y293" s="17" t="str">
        <f aca="false">IF((E293="u"),H293," ")</f>
        <v> </v>
      </c>
      <c r="Z293" s="17" t="str">
        <f aca="false">IF((E293="a"),H293," ")</f>
        <v> </v>
      </c>
      <c r="AA293" s="17" t="str">
        <f aca="false">IF((E293="g"),H293," ")</f>
        <v> </v>
      </c>
      <c r="AB293" s="17" t="str">
        <f aca="false">IF((E293="h"),H293," ")</f>
        <v> </v>
      </c>
      <c r="AC293" s="30" t="str">
        <f aca="false">IF((E293="v"),H293," ")</f>
        <v> </v>
      </c>
      <c r="AD293" s="30" t="str">
        <f aca="false">IF((E293="n"),H293," ")</f>
        <v> </v>
      </c>
      <c r="AE293" s="17" t="str">
        <f aca="false">IF((E293="f"),H293," ")</f>
        <v> </v>
      </c>
      <c r="AF293" s="17" t="str">
        <f aca="false">IF((E293="l"),H293," ")</f>
        <v> </v>
      </c>
      <c r="AG293" s="17" t="str">
        <f aca="false">IF((E293="y"),H293," ")</f>
        <v> </v>
      </c>
      <c r="AH293" s="17" t="str">
        <f aca="false">IF((E293="z"),H293," ")</f>
        <v> </v>
      </c>
      <c r="AI293" s="17" t="str">
        <f aca="false">IF((E293="fa"),H293," ")</f>
        <v> </v>
      </c>
      <c r="AJ293" s="17" t="str">
        <f aca="false">IF((E293="e"),H293," ")</f>
        <v> </v>
      </c>
    </row>
    <row r="294" customFormat="false" ht="12" hidden="false" customHeight="false" outlineLevel="0" collapsed="false">
      <c r="A294" s="28"/>
      <c r="E294" s="2" t="str">
        <f aca="false">IF((F294&lt;&gt;0),"Enter Letter"," ")</f>
        <v> </v>
      </c>
      <c r="F294" s="30"/>
      <c r="G294" s="6" t="str">
        <f aca="false">IF(F294&lt;&gt;0,F294*G$2/(100+G$2)," ")</f>
        <v> </v>
      </c>
      <c r="H294" s="6" t="str">
        <f aca="false">IF((F294&lt;&gt;0),F294-G294," ")</f>
        <v> </v>
      </c>
      <c r="I294" s="5"/>
      <c r="L294" s="7" t="str">
        <f aca="false">IF(F294&lt;&gt;0,F294-K294," ")</f>
        <v> </v>
      </c>
      <c r="M294" s="8" t="str">
        <f aca="false">IF((F294-K294)&lt;&gt;0,M$1-A294," ")</f>
        <v> </v>
      </c>
      <c r="N294" s="5"/>
      <c r="O294" s="17" t="str">
        <f aca="false">IF((E294="s"),H294," ")</f>
        <v> </v>
      </c>
      <c r="P294" s="17" t="str">
        <f aca="false">IF((E294="c"),H294," ")</f>
        <v> </v>
      </c>
      <c r="Q294" s="17" t="str">
        <f aca="false">IF((E294="o"),H294," ")</f>
        <v> </v>
      </c>
      <c r="R294" s="17" t="str">
        <f aca="false">IF((E294="d"),H294," ")</f>
        <v> </v>
      </c>
      <c r="S294" s="17" t="str">
        <f aca="false">IF((E294="w"),H294," ")</f>
        <v> </v>
      </c>
      <c r="T294" s="17" t="str">
        <f aca="false">IF((E294="r"),H294," ")</f>
        <v> </v>
      </c>
      <c r="U294" s="17" t="str">
        <f aca="false">IF((E294="p"),H294," ")</f>
        <v> </v>
      </c>
      <c r="V294" s="17" t="str">
        <f aca="false">IF((E294="t"),H294," ")</f>
        <v> </v>
      </c>
      <c r="W294" s="17" t="str">
        <f aca="false">IF((E294="q"),H294," ")</f>
        <v> </v>
      </c>
      <c r="X294" s="17" t="str">
        <f aca="false">IF((E294="m"),H294," ")</f>
        <v> </v>
      </c>
      <c r="Y294" s="17" t="str">
        <f aca="false">IF((E294="u"),H294," ")</f>
        <v> </v>
      </c>
      <c r="Z294" s="17" t="str">
        <f aca="false">IF((E294="a"),H294," ")</f>
        <v> </v>
      </c>
      <c r="AA294" s="17" t="str">
        <f aca="false">IF((E294="g"),H294," ")</f>
        <v> </v>
      </c>
      <c r="AB294" s="17" t="str">
        <f aca="false">IF((E294="h"),H294," ")</f>
        <v> </v>
      </c>
      <c r="AC294" s="30" t="str">
        <f aca="false">IF((E294="v"),H294," ")</f>
        <v> </v>
      </c>
      <c r="AD294" s="30" t="str">
        <f aca="false">IF((E294="n"),H294," ")</f>
        <v> </v>
      </c>
      <c r="AE294" s="17" t="str">
        <f aca="false">IF((E294="f"),H294," ")</f>
        <v> </v>
      </c>
      <c r="AF294" s="17" t="str">
        <f aca="false">IF((E294="l"),H294," ")</f>
        <v> </v>
      </c>
      <c r="AG294" s="17" t="str">
        <f aca="false">IF((E294="y"),H294," ")</f>
        <v> </v>
      </c>
      <c r="AH294" s="17" t="str">
        <f aca="false">IF((E294="z"),H294," ")</f>
        <v> </v>
      </c>
      <c r="AI294" s="17" t="str">
        <f aca="false">IF((E294="fa"),H294," ")</f>
        <v> </v>
      </c>
      <c r="AJ294" s="17" t="str">
        <f aca="false">IF((E294="e"),H294," ")</f>
        <v> </v>
      </c>
    </row>
    <row r="295" customFormat="false" ht="12" hidden="false" customHeight="false" outlineLevel="0" collapsed="false">
      <c r="A295" s="28"/>
      <c r="E295" s="2" t="str">
        <f aca="false">IF((F295&lt;&gt;0),"Enter Letter"," ")</f>
        <v> </v>
      </c>
      <c r="F295" s="30"/>
      <c r="G295" s="6" t="str">
        <f aca="false">IF(F295&lt;&gt;0,F295*G$2/(100+G$2)," ")</f>
        <v> </v>
      </c>
      <c r="H295" s="6" t="str">
        <f aca="false">IF((F295&lt;&gt;0),F295-G295," ")</f>
        <v> </v>
      </c>
      <c r="I295" s="5"/>
      <c r="L295" s="7" t="str">
        <f aca="false">IF(F295&lt;&gt;0,F295-K295," ")</f>
        <v> </v>
      </c>
      <c r="M295" s="8" t="str">
        <f aca="false">IF((F295-K295)&lt;&gt;0,M$1-A295," ")</f>
        <v> </v>
      </c>
      <c r="N295" s="5"/>
      <c r="O295" s="17" t="str">
        <f aca="false">IF((E295="s"),H295," ")</f>
        <v> </v>
      </c>
      <c r="P295" s="17" t="str">
        <f aca="false">IF((E295="c"),H295," ")</f>
        <v> </v>
      </c>
      <c r="Q295" s="17" t="str">
        <f aca="false">IF((E295="o"),H295," ")</f>
        <v> </v>
      </c>
      <c r="R295" s="17" t="str">
        <f aca="false">IF((E295="d"),H295," ")</f>
        <v> </v>
      </c>
      <c r="S295" s="17" t="str">
        <f aca="false">IF((E295="w"),H295," ")</f>
        <v> </v>
      </c>
      <c r="T295" s="17" t="str">
        <f aca="false">IF((E295="r"),H295," ")</f>
        <v> </v>
      </c>
      <c r="U295" s="17" t="str">
        <f aca="false">IF((E295="p"),H295," ")</f>
        <v> </v>
      </c>
      <c r="V295" s="17" t="str">
        <f aca="false">IF((E295="t"),H295," ")</f>
        <v> </v>
      </c>
      <c r="W295" s="17" t="str">
        <f aca="false">IF((E295="q"),H295," ")</f>
        <v> </v>
      </c>
      <c r="X295" s="17" t="str">
        <f aca="false">IF((E295="m"),H295," ")</f>
        <v> </v>
      </c>
      <c r="Y295" s="17" t="str">
        <f aca="false">IF((E295="u"),H295," ")</f>
        <v> </v>
      </c>
      <c r="Z295" s="17" t="str">
        <f aca="false">IF((E295="a"),H295," ")</f>
        <v> </v>
      </c>
      <c r="AA295" s="17" t="str">
        <f aca="false">IF((E295="g"),H295," ")</f>
        <v> </v>
      </c>
      <c r="AB295" s="17" t="str">
        <f aca="false">IF((E295="h"),H295," ")</f>
        <v> </v>
      </c>
      <c r="AC295" s="30" t="str">
        <f aca="false">IF((E295="v"),H295," ")</f>
        <v> </v>
      </c>
      <c r="AD295" s="30" t="str">
        <f aca="false">IF((E295="n"),H295," ")</f>
        <v> </v>
      </c>
      <c r="AE295" s="17" t="str">
        <f aca="false">IF((E295="f"),H295," ")</f>
        <v> </v>
      </c>
      <c r="AF295" s="17" t="str">
        <f aca="false">IF((E295="l"),H295," ")</f>
        <v> </v>
      </c>
      <c r="AG295" s="17" t="str">
        <f aca="false">IF((E295="y"),H295," ")</f>
        <v> </v>
      </c>
      <c r="AH295" s="17" t="str">
        <f aca="false">IF((E295="z"),H295," ")</f>
        <v> </v>
      </c>
      <c r="AI295" s="17" t="str">
        <f aca="false">IF((E295="fa"),H295," ")</f>
        <v> </v>
      </c>
      <c r="AJ295" s="17" t="str">
        <f aca="false">IF((E295="e"),H295," ")</f>
        <v> </v>
      </c>
    </row>
    <row r="296" customFormat="false" ht="12" hidden="false" customHeight="false" outlineLevel="0" collapsed="false">
      <c r="A296" s="28"/>
      <c r="E296" s="2" t="str">
        <f aca="false">IF((F296&lt;&gt;0),"Enter Letter"," ")</f>
        <v> </v>
      </c>
      <c r="F296" s="30"/>
      <c r="G296" s="6" t="str">
        <f aca="false">IF(F296&lt;&gt;0,F296*G$2/(100+G$2)," ")</f>
        <v> </v>
      </c>
      <c r="H296" s="6" t="str">
        <f aca="false">IF((F296&lt;&gt;0),F296-G296," ")</f>
        <v> </v>
      </c>
      <c r="I296" s="5"/>
      <c r="L296" s="7" t="str">
        <f aca="false">IF(F296&lt;&gt;0,F296-K296," ")</f>
        <v> </v>
      </c>
      <c r="M296" s="8" t="str">
        <f aca="false">IF((F296-K296)&lt;&gt;0,M$1-A296," ")</f>
        <v> </v>
      </c>
      <c r="N296" s="5"/>
      <c r="O296" s="17" t="str">
        <f aca="false">IF((E296="s"),H296," ")</f>
        <v> </v>
      </c>
      <c r="P296" s="17" t="str">
        <f aca="false">IF((E296="c"),H296," ")</f>
        <v> </v>
      </c>
      <c r="Q296" s="17" t="str">
        <f aca="false">IF((E296="o"),H296," ")</f>
        <v> </v>
      </c>
      <c r="R296" s="17" t="str">
        <f aca="false">IF((E296="d"),H296," ")</f>
        <v> </v>
      </c>
      <c r="S296" s="17" t="str">
        <f aca="false">IF((E296="w"),H296," ")</f>
        <v> </v>
      </c>
      <c r="T296" s="17" t="str">
        <f aca="false">IF((E296="r"),H296," ")</f>
        <v> </v>
      </c>
      <c r="U296" s="17" t="str">
        <f aca="false">IF((E296="p"),H296," ")</f>
        <v> </v>
      </c>
      <c r="V296" s="17" t="str">
        <f aca="false">IF((E296="t"),H296," ")</f>
        <v> </v>
      </c>
      <c r="W296" s="17" t="str">
        <f aca="false">IF((E296="q"),H296," ")</f>
        <v> </v>
      </c>
      <c r="X296" s="17" t="str">
        <f aca="false">IF((E296="m"),H296," ")</f>
        <v> </v>
      </c>
      <c r="Y296" s="17" t="str">
        <f aca="false">IF((E296="u"),H296," ")</f>
        <v> </v>
      </c>
      <c r="Z296" s="17" t="str">
        <f aca="false">IF((E296="a"),H296," ")</f>
        <v> </v>
      </c>
      <c r="AA296" s="17" t="str">
        <f aca="false">IF((E296="g"),H296," ")</f>
        <v> </v>
      </c>
      <c r="AB296" s="17" t="str">
        <f aca="false">IF((E296="h"),H296," ")</f>
        <v> </v>
      </c>
      <c r="AC296" s="30" t="str">
        <f aca="false">IF((E296="v"),H296," ")</f>
        <v> </v>
      </c>
      <c r="AD296" s="30" t="str">
        <f aca="false">IF((E296="n"),H296," ")</f>
        <v> </v>
      </c>
      <c r="AE296" s="17" t="str">
        <f aca="false">IF((E296="f"),H296," ")</f>
        <v> </v>
      </c>
      <c r="AF296" s="17" t="str">
        <f aca="false">IF((E296="l"),H296," ")</f>
        <v> </v>
      </c>
      <c r="AG296" s="17" t="str">
        <f aca="false">IF((E296="y"),H296," ")</f>
        <v> </v>
      </c>
      <c r="AH296" s="17" t="str">
        <f aca="false">IF((E296="z"),H296," ")</f>
        <v> </v>
      </c>
      <c r="AI296" s="17" t="str">
        <f aca="false">IF((E296="fa"),H296," ")</f>
        <v> </v>
      </c>
      <c r="AJ296" s="17" t="str">
        <f aca="false">IF((E296="e"),H296," ")</f>
        <v> </v>
      </c>
    </row>
    <row r="297" customFormat="false" ht="12" hidden="false" customHeight="false" outlineLevel="0" collapsed="false">
      <c r="A297" s="28"/>
      <c r="E297" s="2" t="str">
        <f aca="false">IF((F297&lt;&gt;0),"Enter Letter"," ")</f>
        <v> </v>
      </c>
      <c r="F297" s="30"/>
      <c r="G297" s="6" t="str">
        <f aca="false">IF(F297&lt;&gt;0,F297*G$2/(100+G$2)," ")</f>
        <v> </v>
      </c>
      <c r="H297" s="6" t="str">
        <f aca="false">IF((F297&lt;&gt;0),F297-G297," ")</f>
        <v> </v>
      </c>
      <c r="I297" s="5"/>
      <c r="L297" s="7" t="str">
        <f aca="false">IF(F297&lt;&gt;0,F297-K297," ")</f>
        <v> </v>
      </c>
      <c r="M297" s="8" t="str">
        <f aca="false">IF((F297-K297)&lt;&gt;0,M$1-A297," ")</f>
        <v> </v>
      </c>
      <c r="N297" s="5"/>
      <c r="O297" s="17" t="str">
        <f aca="false">IF((E297="s"),H297," ")</f>
        <v> </v>
      </c>
      <c r="P297" s="17" t="str">
        <f aca="false">IF((E297="c"),H297," ")</f>
        <v> </v>
      </c>
      <c r="Q297" s="17" t="str">
        <f aca="false">IF((E297="o"),H297," ")</f>
        <v> </v>
      </c>
      <c r="R297" s="17" t="str">
        <f aca="false">IF((E297="d"),H297," ")</f>
        <v> </v>
      </c>
      <c r="S297" s="17" t="str">
        <f aca="false">IF((E297="w"),H297," ")</f>
        <v> </v>
      </c>
      <c r="T297" s="17" t="str">
        <f aca="false">IF((E297="r"),H297," ")</f>
        <v> </v>
      </c>
      <c r="U297" s="17" t="str">
        <f aca="false">IF((E297="p"),H297," ")</f>
        <v> </v>
      </c>
      <c r="V297" s="17" t="str">
        <f aca="false">IF((E297="t"),H297," ")</f>
        <v> </v>
      </c>
      <c r="W297" s="17" t="str">
        <f aca="false">IF((E297="q"),H297," ")</f>
        <v> </v>
      </c>
      <c r="X297" s="17" t="str">
        <f aca="false">IF((E297="m"),H297," ")</f>
        <v> </v>
      </c>
      <c r="Y297" s="17" t="str">
        <f aca="false">IF((E297="u"),H297," ")</f>
        <v> </v>
      </c>
      <c r="Z297" s="17" t="str">
        <f aca="false">IF((E297="a"),H297," ")</f>
        <v> </v>
      </c>
      <c r="AA297" s="17" t="str">
        <f aca="false">IF((E297="g"),H297," ")</f>
        <v> </v>
      </c>
      <c r="AB297" s="17" t="str">
        <f aca="false">IF((E297="h"),H297," ")</f>
        <v> </v>
      </c>
      <c r="AC297" s="30" t="str">
        <f aca="false">IF((E297="v"),H297," ")</f>
        <v> </v>
      </c>
      <c r="AD297" s="30" t="str">
        <f aca="false">IF((E297="n"),H297," ")</f>
        <v> </v>
      </c>
      <c r="AE297" s="17" t="str">
        <f aca="false">IF((E297="f"),H297," ")</f>
        <v> </v>
      </c>
      <c r="AF297" s="17" t="str">
        <f aca="false">IF((E297="l"),H297," ")</f>
        <v> </v>
      </c>
      <c r="AG297" s="17" t="str">
        <f aca="false">IF((E297="y"),H297," ")</f>
        <v> </v>
      </c>
      <c r="AH297" s="17" t="str">
        <f aca="false">IF((E297="z"),H297," ")</f>
        <v> </v>
      </c>
      <c r="AI297" s="17" t="str">
        <f aca="false">IF((E297="fa"),H297," ")</f>
        <v> </v>
      </c>
      <c r="AJ297" s="17" t="str">
        <f aca="false">IF((E297="e"),H297," ")</f>
        <v> </v>
      </c>
    </row>
    <row r="298" customFormat="false" ht="12" hidden="false" customHeight="false" outlineLevel="0" collapsed="false">
      <c r="A298" s="28"/>
      <c r="E298" s="2" t="str">
        <f aca="false">IF((F298&lt;&gt;0),"Enter Letter"," ")</f>
        <v> </v>
      </c>
      <c r="F298" s="30"/>
      <c r="G298" s="6" t="str">
        <f aca="false">IF(F298&lt;&gt;0,F298*G$2/(100+G$2)," ")</f>
        <v> </v>
      </c>
      <c r="H298" s="6" t="str">
        <f aca="false">IF((F298&lt;&gt;0),F298-G298," ")</f>
        <v> </v>
      </c>
      <c r="I298" s="5"/>
      <c r="L298" s="7" t="str">
        <f aca="false">IF(F298&lt;&gt;0,F298-K298," ")</f>
        <v> </v>
      </c>
      <c r="M298" s="8" t="str">
        <f aca="false">IF((F298-K298)&lt;&gt;0,M$1-A298," ")</f>
        <v> </v>
      </c>
      <c r="N298" s="5"/>
      <c r="O298" s="17" t="str">
        <f aca="false">IF((E298="s"),H298," ")</f>
        <v> </v>
      </c>
      <c r="P298" s="17" t="str">
        <f aca="false">IF((E298="c"),H298," ")</f>
        <v> </v>
      </c>
      <c r="Q298" s="17" t="str">
        <f aca="false">IF((E298="o"),H298," ")</f>
        <v> </v>
      </c>
      <c r="R298" s="17" t="str">
        <f aca="false">IF((E298="d"),H298," ")</f>
        <v> </v>
      </c>
      <c r="S298" s="17" t="str">
        <f aca="false">IF((E298="w"),H298," ")</f>
        <v> </v>
      </c>
      <c r="T298" s="17" t="str">
        <f aca="false">IF((E298="r"),H298," ")</f>
        <v> </v>
      </c>
      <c r="U298" s="17" t="str">
        <f aca="false">IF((E298="p"),H298," ")</f>
        <v> </v>
      </c>
      <c r="V298" s="17" t="str">
        <f aca="false">IF((E298="t"),H298," ")</f>
        <v> </v>
      </c>
      <c r="W298" s="17" t="str">
        <f aca="false">IF((E298="q"),H298," ")</f>
        <v> </v>
      </c>
      <c r="X298" s="17" t="str">
        <f aca="false">IF((E298="m"),H298," ")</f>
        <v> </v>
      </c>
      <c r="Y298" s="17" t="str">
        <f aca="false">IF((E298="u"),H298," ")</f>
        <v> </v>
      </c>
      <c r="Z298" s="17" t="str">
        <f aca="false">IF((E298="a"),H298," ")</f>
        <v> </v>
      </c>
      <c r="AA298" s="17" t="str">
        <f aca="false">IF((E298="g"),H298," ")</f>
        <v> </v>
      </c>
      <c r="AB298" s="17" t="str">
        <f aca="false">IF((E298="h"),H298," ")</f>
        <v> </v>
      </c>
      <c r="AC298" s="30" t="str">
        <f aca="false">IF((E298="v"),H298," ")</f>
        <v> </v>
      </c>
      <c r="AD298" s="30" t="str">
        <f aca="false">IF((E298="n"),H298," ")</f>
        <v> </v>
      </c>
      <c r="AE298" s="17" t="str">
        <f aca="false">IF((E298="f"),H298," ")</f>
        <v> </v>
      </c>
      <c r="AF298" s="17" t="str">
        <f aca="false">IF((E298="l"),H298," ")</f>
        <v> </v>
      </c>
      <c r="AG298" s="17" t="str">
        <f aca="false">IF((E298="y"),H298," ")</f>
        <v> </v>
      </c>
      <c r="AH298" s="17" t="str">
        <f aca="false">IF((E298="z"),H298," ")</f>
        <v> </v>
      </c>
      <c r="AI298" s="17" t="str">
        <f aca="false">IF((E298="fa"),H298," ")</f>
        <v> </v>
      </c>
      <c r="AJ298" s="17" t="str">
        <f aca="false">IF((E298="e"),H298," ")</f>
        <v> </v>
      </c>
    </row>
    <row r="299" customFormat="false" ht="12" hidden="false" customHeight="false" outlineLevel="0" collapsed="false">
      <c r="A299" s="28"/>
      <c r="E299" s="2" t="str">
        <f aca="false">IF((F299&lt;&gt;0),"Enter Letter"," ")</f>
        <v> </v>
      </c>
      <c r="F299" s="30"/>
      <c r="G299" s="6" t="str">
        <f aca="false">IF(F299&lt;&gt;0,F299*G$2/(100+G$2)," ")</f>
        <v> </v>
      </c>
      <c r="H299" s="6" t="str">
        <f aca="false">IF((F299&lt;&gt;0),F299-G299," ")</f>
        <v> </v>
      </c>
      <c r="I299" s="5"/>
      <c r="L299" s="7" t="str">
        <f aca="false">IF(F299&lt;&gt;0,F299-K299," ")</f>
        <v> </v>
      </c>
      <c r="M299" s="8" t="str">
        <f aca="false">IF((F299-K299)&lt;&gt;0,M$1-A299," ")</f>
        <v> </v>
      </c>
      <c r="N299" s="5"/>
      <c r="O299" s="17" t="str">
        <f aca="false">IF((E299="s"),H299," ")</f>
        <v> </v>
      </c>
      <c r="P299" s="17" t="str">
        <f aca="false">IF((E299="c"),H299," ")</f>
        <v> </v>
      </c>
      <c r="Q299" s="17" t="str">
        <f aca="false">IF((E299="o"),H299," ")</f>
        <v> </v>
      </c>
      <c r="R299" s="17" t="str">
        <f aca="false">IF((E299="d"),H299," ")</f>
        <v> </v>
      </c>
      <c r="S299" s="17" t="str">
        <f aca="false">IF((E299="w"),H299," ")</f>
        <v> </v>
      </c>
      <c r="T299" s="17" t="str">
        <f aca="false">IF((E299="r"),H299," ")</f>
        <v> </v>
      </c>
      <c r="U299" s="17" t="str">
        <f aca="false">IF((E299="p"),H299," ")</f>
        <v> </v>
      </c>
      <c r="V299" s="17" t="str">
        <f aca="false">IF((E299="t"),H299," ")</f>
        <v> </v>
      </c>
      <c r="W299" s="17" t="str">
        <f aca="false">IF((E299="q"),H299," ")</f>
        <v> </v>
      </c>
      <c r="X299" s="17" t="str">
        <f aca="false">IF((E299="m"),H299," ")</f>
        <v> </v>
      </c>
      <c r="Y299" s="17" t="str">
        <f aca="false">IF((E299="u"),H299," ")</f>
        <v> </v>
      </c>
      <c r="Z299" s="17" t="str">
        <f aca="false">IF((E299="a"),H299," ")</f>
        <v> </v>
      </c>
      <c r="AA299" s="17" t="str">
        <f aca="false">IF((E299="g"),H299," ")</f>
        <v> </v>
      </c>
      <c r="AB299" s="17" t="str">
        <f aca="false">IF((E299="h"),H299," ")</f>
        <v> </v>
      </c>
      <c r="AC299" s="30" t="str">
        <f aca="false">IF((E299="v"),H299," ")</f>
        <v> </v>
      </c>
      <c r="AD299" s="30" t="str">
        <f aca="false">IF((E299="n"),H299," ")</f>
        <v> </v>
      </c>
      <c r="AE299" s="17" t="str">
        <f aca="false">IF((E299="f"),H299," ")</f>
        <v> </v>
      </c>
      <c r="AF299" s="17" t="str">
        <f aca="false">IF((E299="l"),H299," ")</f>
        <v> </v>
      </c>
      <c r="AG299" s="17" t="str">
        <f aca="false">IF((E299="y"),H299," ")</f>
        <v> </v>
      </c>
      <c r="AH299" s="17" t="str">
        <f aca="false">IF((E299="z"),H299," ")</f>
        <v> </v>
      </c>
      <c r="AI299" s="17" t="str">
        <f aca="false">IF((E299="fa"),H299," ")</f>
        <v> </v>
      </c>
      <c r="AJ299" s="17" t="str">
        <f aca="false">IF((E299="e"),H299," ")</f>
        <v> </v>
      </c>
    </row>
    <row r="300" customFormat="false" ht="12" hidden="false" customHeight="false" outlineLevel="0" collapsed="false">
      <c r="A300" s="32"/>
      <c r="B300" s="33"/>
      <c r="C300" s="34"/>
      <c r="D300" s="33"/>
      <c r="E300" s="46" t="str">
        <f aca="false">IF((F300&lt;&gt;0),"Enter Letter"," ")</f>
        <v> </v>
      </c>
      <c r="F300" s="47"/>
      <c r="G300" s="36" t="str">
        <f aca="false">IF(F300&lt;&gt;0,F300*G$2/(100+G$2)," ")</f>
        <v> </v>
      </c>
      <c r="H300" s="36" t="str">
        <f aca="false">IF((F300&lt;&gt;0),F300-G300," ")</f>
        <v> </v>
      </c>
      <c r="I300" s="48"/>
      <c r="J300" s="36"/>
      <c r="K300" s="36"/>
      <c r="L300" s="37" t="str">
        <f aca="false">IF(F300&lt;&gt;0,F300-K300," ")</f>
        <v> </v>
      </c>
      <c r="M300" s="38" t="str">
        <f aca="false">IF((F300-K300)&lt;&gt;0,M$1-A300," ")</f>
        <v> </v>
      </c>
      <c r="N300" s="48"/>
      <c r="O300" s="49" t="str">
        <f aca="false">IF((E300="s"),H300," ")</f>
        <v> </v>
      </c>
      <c r="P300" s="49" t="str">
        <f aca="false">IF((E300="c"),H300," ")</f>
        <v> </v>
      </c>
      <c r="Q300" s="49" t="str">
        <f aca="false">IF((E300="o"),H300," ")</f>
        <v> </v>
      </c>
      <c r="R300" s="49" t="str">
        <f aca="false">IF((E300="d"),H300," ")</f>
        <v> </v>
      </c>
      <c r="S300" s="49" t="str">
        <f aca="false">IF((E300="w"),H300," ")</f>
        <v> </v>
      </c>
      <c r="T300" s="49" t="str">
        <f aca="false">IF((E300="r"),H300," ")</f>
        <v> </v>
      </c>
      <c r="U300" s="49" t="str">
        <f aca="false">IF((E300="p"),H300," ")</f>
        <v> </v>
      </c>
      <c r="V300" s="49" t="str">
        <f aca="false">IF((E300="t"),H300," ")</f>
        <v> </v>
      </c>
      <c r="W300" s="49" t="str">
        <f aca="false">IF((E300="q"),H300," ")</f>
        <v> </v>
      </c>
      <c r="X300" s="49" t="str">
        <f aca="false">IF((E300="m"),H300," ")</f>
        <v> </v>
      </c>
      <c r="Y300" s="49" t="str">
        <f aca="false">IF((E300="u"),H300," ")</f>
        <v> </v>
      </c>
      <c r="Z300" s="49" t="str">
        <f aca="false">IF((E300="a"),H300," ")</f>
        <v> </v>
      </c>
      <c r="AA300" s="49" t="str">
        <f aca="false">IF((E300="g"),H300," ")</f>
        <v> </v>
      </c>
      <c r="AB300" s="49" t="str">
        <f aca="false">IF((E300="h"),H300," ")</f>
        <v> </v>
      </c>
      <c r="AC300" s="47" t="str">
        <f aca="false">IF((E300="v"),H300," ")</f>
        <v> </v>
      </c>
      <c r="AD300" s="47" t="str">
        <f aca="false">IF((E300="n"),H300," ")</f>
        <v> </v>
      </c>
      <c r="AE300" s="49" t="str">
        <f aca="false">IF((E300="f"),H300," ")</f>
        <v> </v>
      </c>
      <c r="AF300" s="49" t="str">
        <f aca="false">IF((E300="l"),H300," ")</f>
        <v> </v>
      </c>
      <c r="AG300" s="49" t="str">
        <f aca="false">IF((E300="y"),H300," ")</f>
        <v> </v>
      </c>
      <c r="AH300" s="49" t="str">
        <f aca="false">IF((E300="z"),H300," ")</f>
        <v> </v>
      </c>
      <c r="AI300" s="49" t="str">
        <f aca="false">IF((E300="fa"),H300," ")</f>
        <v> </v>
      </c>
      <c r="AJ300" s="49" t="str">
        <f aca="false">IF((E300="e"),H300," ")</f>
        <v> </v>
      </c>
      <c r="AK300" s="49"/>
      <c r="AL300" s="49"/>
    </row>
    <row r="301" customFormat="false" ht="12" hidden="false" customHeight="false" outlineLevel="0" collapsed="false">
      <c r="A301" s="28"/>
    </row>
  </sheetData>
  <mergeCells count="37">
    <mergeCell ref="C1:C4"/>
    <mergeCell ref="D1:E1"/>
    <mergeCell ref="I1:I4"/>
    <mergeCell ref="J1:J4"/>
    <mergeCell ref="N1:N4"/>
    <mergeCell ref="AJ1:AJ4"/>
    <mergeCell ref="A2:A4"/>
    <mergeCell ref="B2:B4"/>
    <mergeCell ref="D2:D4"/>
    <mergeCell ref="E2:E4"/>
    <mergeCell ref="F2:F4"/>
    <mergeCell ref="H2:H4"/>
    <mergeCell ref="K2:M2"/>
    <mergeCell ref="O2:Q2"/>
    <mergeCell ref="R2:R3"/>
    <mergeCell ref="S2:S3"/>
    <mergeCell ref="T2:U2"/>
    <mergeCell ref="V2:V3"/>
    <mergeCell ref="W2:W3"/>
    <mergeCell ref="X2:X3"/>
    <mergeCell ref="Y2:Y3"/>
    <mergeCell ref="Z2:Z3"/>
    <mergeCell ref="AA2:AA3"/>
    <mergeCell ref="AB2:AB3"/>
    <mergeCell ref="AC2:AC3"/>
    <mergeCell ref="AD2:AD3"/>
    <mergeCell ref="AE2:AE3"/>
    <mergeCell ref="AF2:AF3"/>
    <mergeCell ref="AG2:AG3"/>
    <mergeCell ref="AH2:AH3"/>
    <mergeCell ref="AI2:AI3"/>
    <mergeCell ref="AK2:AL2"/>
    <mergeCell ref="G3:G4"/>
    <mergeCell ref="K3:K4"/>
    <mergeCell ref="L3:L4"/>
    <mergeCell ref="M3:M4"/>
    <mergeCell ref="AK3:AL3"/>
  </mergeCells>
  <dataValidations count="4">
    <dataValidation allowBlank="true" error="While dates outside the financial year can be accepted for valid transactions the date may not have been entered in the correct format.&#10;&#10;CORRECT DATE FORMAT IS DD/MM/YY&#10;&#10;Example 25/12/08 then appears as 25-Dec-08&#10;" errorStyle="stop" errorTitle="DATE ERROR" operator="between" showDropDown="false" showErrorMessage="true" showInputMessage="false" sqref="A5:A300" type="date">
      <formula1>38353</formula1>
      <formula2>53327</formula2>
    </dataValidation>
    <dataValidation allowBlank="true" errorStyle="stop" operator="between" prompt="Entries below the line are not included in column totals or analysed.&#10;&#10;To accomodate additional entries the formulae in column totals need changing and sales analysis columns formulae added " promptTitle="PLEASE NOTE" showDropDown="false" showErrorMessage="true" showInputMessage="true" sqref="A301" type="none">
      <formula1>0</formula1>
      <formula2>0</formula2>
    </dataValidation>
    <dataValidation allowBlank="true" errorStyle="stop" operator="between" prompt="An amount in this cell is an indication column H does not equal column F minus G or the analysis in columns O to AI does not add up to total in column H&#10;&#10;CHECK ENTRY CODE LETTERS or ANY MANUAL ENTRIES IN COL G to H and COL O to AI&#10;" promptTitle="ERROR ALERT" showDropDown="false" showErrorMessage="true" showInputMessage="true" sqref="A1" type="none">
      <formula1>0</formula1>
      <formula2>0</formula2>
    </dataValidation>
    <dataValidation allowBlank="true" errorStyle="stop" operator="between" showDropDown="false" showErrorMessage="true" showInputMessage="false" sqref="E5:E300" type="list">
      <formula1>$O$4:$AI$4</formula1>
      <formula2>0</formula2>
    </dataValidation>
  </dataValidations>
  <printOptions headings="false" gridLines="true" gridLinesSet="true" horizontalCentered="false" verticalCentered="false"/>
  <pageMargins left="0.118055555555556" right="0.0784722222222222" top="0.590277777777778" bottom="0.590277777777778" header="0.196527777777778" footer="0.196527777777778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&amp;C&amp;"Arial,Bold"&amp;11Costs and Expenses</oddHeader>
    <oddFooter>&amp;L&amp;D  &amp;T&amp;C&amp;P  of  &amp;N&amp;R&amp;F  &amp;A</oddFooter>
  </headerFooter>
  <colBreaks count="1" manualBreakCount="1">
    <brk id="24" man="true" max="65535" min="0"/>
  </colBreaks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Z3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625" defaultRowHeight="12" zeroHeight="false" outlineLevelRow="0" outlineLevelCol="0"/>
  <cols>
    <col collapsed="false" customWidth="true" hidden="false" outlineLevel="0" max="1" min="1" style="1" width="8.82"/>
    <col collapsed="false" customWidth="true" hidden="false" outlineLevel="0" max="2" min="2" style="2" width="18.66"/>
    <col collapsed="false" customWidth="true" hidden="false" outlineLevel="0" max="3" min="3" style="3" width="12.66"/>
    <col collapsed="false" customWidth="true" hidden="false" outlineLevel="0" max="4" min="4" style="2" width="14.66"/>
    <col collapsed="false" customWidth="true" hidden="false" outlineLevel="0" max="5" min="5" style="5" width="9.66"/>
    <col collapsed="false" customWidth="true" hidden="false" outlineLevel="0" max="6" min="6" style="6" width="10.5"/>
    <col collapsed="false" customWidth="true" hidden="false" outlineLevel="0" max="7" min="7" style="6" width="9.66"/>
    <col collapsed="false" customWidth="true" hidden="false" outlineLevel="0" max="8" min="8" style="6" width="10.66"/>
    <col collapsed="false" customWidth="true" hidden="false" outlineLevel="0" max="9" min="9" style="6" width="0.82"/>
    <col collapsed="false" customWidth="true" hidden="false" outlineLevel="0" max="10" min="10" style="6" width="9.99"/>
    <col collapsed="false" customWidth="true" hidden="false" outlineLevel="0" max="11" min="11" style="6" width="9.66"/>
    <col collapsed="false" customWidth="true" hidden="false" outlineLevel="0" max="12" min="12" style="7" width="9.66"/>
    <col collapsed="false" customWidth="true" hidden="false" outlineLevel="0" max="13" min="13" style="8" width="9.49"/>
    <col collapsed="false" customWidth="true" hidden="false" outlineLevel="0" max="14" min="14" style="6" width="0.82"/>
    <col collapsed="false" customWidth="true" hidden="false" outlineLevel="0" max="23" min="15" style="17" width="9.66"/>
    <col collapsed="false" customWidth="true" hidden="false" outlineLevel="0" max="28" min="24" style="17" width="10.5"/>
    <col collapsed="false" customWidth="true" hidden="false" outlineLevel="0" max="30" min="29" style="39" width="10.5"/>
    <col collapsed="false" customWidth="true" hidden="false" outlineLevel="0" max="36" min="31" style="17" width="10.5"/>
    <col collapsed="false" customWidth="false" hidden="false" outlineLevel="0" max="37" min="37" style="17" width="9.15"/>
    <col collapsed="false" customWidth="true" hidden="false" outlineLevel="0" max="38" min="38" style="17" width="12.66"/>
    <col collapsed="false" customWidth="false" hidden="false" outlineLevel="0" max="257" min="39" style="2" width="9.15"/>
  </cols>
  <sheetData>
    <row r="1" s="17" customFormat="true" ht="12.75" hidden="false" customHeight="true" outlineLevel="0" collapsed="false">
      <c r="A1" s="40" t="n">
        <f aca="false">F1-G1-SUM(O1:AJ1)</f>
        <v>0</v>
      </c>
      <c r="B1" s="41" t="s">
        <v>22</v>
      </c>
      <c r="C1" s="20" t="s">
        <v>5</v>
      </c>
      <c r="D1" s="42" t="s">
        <v>23</v>
      </c>
      <c r="E1" s="42"/>
      <c r="F1" s="12" t="n">
        <f aca="false">SUM(F5:F300)</f>
        <v>4396.5</v>
      </c>
      <c r="G1" s="12" t="n">
        <f aca="false">SUM(G5:G300)</f>
        <v>732.75</v>
      </c>
      <c r="H1" s="12" t="n">
        <f aca="false">SUM(H5:H300)</f>
        <v>3663.75</v>
      </c>
      <c r="I1" s="13"/>
      <c r="J1" s="14" t="s">
        <v>2</v>
      </c>
      <c r="K1" s="15" t="n">
        <f aca="false">SUM(K5:K300)</f>
        <v>0</v>
      </c>
      <c r="L1" s="15" t="n">
        <f aca="false">SUM(L5:L300)</f>
        <v>4396.5</v>
      </c>
      <c r="M1" s="16" t="n">
        <f aca="true">TODAY()</f>
        <v>46278</v>
      </c>
      <c r="N1" s="13"/>
      <c r="O1" s="12" t="n">
        <f aca="false">SUM(O5:O300)</f>
        <v>550</v>
      </c>
      <c r="P1" s="12" t="n">
        <f aca="false">SUM(P5:P300)</f>
        <v>0</v>
      </c>
      <c r="Q1" s="12" t="n">
        <f aca="false">SUM(Q5:Q300)</f>
        <v>237.5</v>
      </c>
      <c r="R1" s="12" t="n">
        <f aca="false">SUM(R5:R300)</f>
        <v>0</v>
      </c>
      <c r="S1" s="12" t="n">
        <f aca="false">SUM(S5:S300)</f>
        <v>0</v>
      </c>
      <c r="T1" s="12" t="n">
        <f aca="false">SUM(T5:T300)</f>
        <v>1000</v>
      </c>
      <c r="U1" s="12" t="n">
        <f aca="false">SUM(U5:U300)</f>
        <v>0</v>
      </c>
      <c r="V1" s="12" t="n">
        <f aca="false">SUM(V5:V300)</f>
        <v>0</v>
      </c>
      <c r="W1" s="12" t="n">
        <f aca="false">SUM(W5:W300)</f>
        <v>300</v>
      </c>
      <c r="X1" s="12" t="n">
        <f aca="false">SUM(X5:X300)</f>
        <v>300</v>
      </c>
      <c r="Y1" s="12" t="n">
        <f aca="false">SUM(Y5:Y300)</f>
        <v>110.833333333333</v>
      </c>
      <c r="Z1" s="12" t="n">
        <f aca="false">SUM(Z5:Z300)</f>
        <v>0</v>
      </c>
      <c r="AA1" s="12" t="n">
        <f aca="false">SUM(AA5:AA300)</f>
        <v>112.5</v>
      </c>
      <c r="AB1" s="12" t="n">
        <f aca="false">SUM(AB5:AB300)</f>
        <v>306.666666666667</v>
      </c>
      <c r="AC1" s="12" t="n">
        <f aca="false">SUM(AC5:AC300)</f>
        <v>496.25</v>
      </c>
      <c r="AD1" s="12" t="n">
        <f aca="false">SUM(AD5:AD300)</f>
        <v>0</v>
      </c>
      <c r="AE1" s="12" t="n">
        <f aca="false">SUM(AE5:AE300)</f>
        <v>0</v>
      </c>
      <c r="AF1" s="12" t="n">
        <f aca="false">SUM(AF5:AF300)</f>
        <v>250</v>
      </c>
      <c r="AG1" s="12" t="n">
        <f aca="false">SUM(AG5:AG300)</f>
        <v>0</v>
      </c>
      <c r="AH1" s="12" t="n">
        <f aca="false">SUM(AH5:AH300)</f>
        <v>0</v>
      </c>
      <c r="AI1" s="12" t="n">
        <f aca="false">SUM(AI5:AI300)</f>
        <v>0</v>
      </c>
      <c r="AJ1" s="12" t="n">
        <f aca="false">SUM(AJ5:AJ300)</f>
        <v>0</v>
      </c>
      <c r="AK1" s="12" t="n">
        <f aca="false">SUM(AK5:AK300)</f>
        <v>0</v>
      </c>
      <c r="AL1" s="43"/>
    </row>
    <row r="2" s="17" customFormat="true" ht="13.5" hidden="false" customHeight="true" outlineLevel="0" collapsed="false">
      <c r="A2" s="18" t="s">
        <v>3</v>
      </c>
      <c r="B2" s="19" t="s">
        <v>4</v>
      </c>
      <c r="C2" s="20"/>
      <c r="D2" s="21" t="s">
        <v>6</v>
      </c>
      <c r="E2" s="21" t="s">
        <v>24</v>
      </c>
      <c r="F2" s="19" t="s">
        <v>7</v>
      </c>
      <c r="G2" s="22" t="n">
        <f aca="false">IF([2]Sep!$G$4&gt;0,0,[2]Sep!$G$2)</f>
        <v>20</v>
      </c>
      <c r="H2" s="19" t="s">
        <v>8</v>
      </c>
      <c r="I2" s="13"/>
      <c r="J2" s="14"/>
      <c r="K2" s="23" t="s">
        <v>9</v>
      </c>
      <c r="L2" s="23"/>
      <c r="M2" s="23"/>
      <c r="N2" s="13"/>
      <c r="O2" s="19" t="s">
        <v>25</v>
      </c>
      <c r="P2" s="19"/>
      <c r="Q2" s="19"/>
      <c r="R2" s="19" t="s">
        <v>26</v>
      </c>
      <c r="S2" s="19" t="s">
        <v>27</v>
      </c>
      <c r="T2" s="19" t="s">
        <v>28</v>
      </c>
      <c r="U2" s="19"/>
      <c r="V2" s="19" t="s">
        <v>29</v>
      </c>
      <c r="W2" s="19" t="s">
        <v>30</v>
      </c>
      <c r="X2" s="19" t="s">
        <v>31</v>
      </c>
      <c r="Y2" s="19" t="s">
        <v>32</v>
      </c>
      <c r="Z2" s="19" t="s">
        <v>33</v>
      </c>
      <c r="AA2" s="19" t="s">
        <v>34</v>
      </c>
      <c r="AB2" s="19" t="s">
        <v>35</v>
      </c>
      <c r="AC2" s="19" t="s">
        <v>36</v>
      </c>
      <c r="AD2" s="19" t="s">
        <v>37</v>
      </c>
      <c r="AE2" s="19" t="s">
        <v>38</v>
      </c>
      <c r="AF2" s="19" t="s">
        <v>39</v>
      </c>
      <c r="AG2" s="19" t="s">
        <v>40</v>
      </c>
      <c r="AH2" s="19" t="s">
        <v>41</v>
      </c>
      <c r="AI2" s="19" t="s">
        <v>42</v>
      </c>
      <c r="AJ2" s="12" t="s">
        <v>43</v>
      </c>
      <c r="AK2" s="19" t="s">
        <v>44</v>
      </c>
      <c r="AL2" s="19"/>
    </row>
    <row r="3" s="26" customFormat="true" ht="34.5" hidden="false" customHeight="true" outlineLevel="0" collapsed="false">
      <c r="A3" s="18"/>
      <c r="B3" s="19"/>
      <c r="C3" s="20"/>
      <c r="D3" s="21"/>
      <c r="E3" s="21"/>
      <c r="F3" s="19"/>
      <c r="G3" s="19" t="s">
        <v>10</v>
      </c>
      <c r="H3" s="19"/>
      <c r="I3" s="13"/>
      <c r="J3" s="14"/>
      <c r="K3" s="24" t="s">
        <v>11</v>
      </c>
      <c r="L3" s="24" t="s">
        <v>12</v>
      </c>
      <c r="M3" s="25" t="s">
        <v>13</v>
      </c>
      <c r="N3" s="13"/>
      <c r="O3" s="21" t="s">
        <v>45</v>
      </c>
      <c r="P3" s="21" t="s">
        <v>46</v>
      </c>
      <c r="Q3" s="21" t="s">
        <v>47</v>
      </c>
      <c r="R3" s="19"/>
      <c r="S3" s="19"/>
      <c r="T3" s="21" t="s">
        <v>48</v>
      </c>
      <c r="U3" s="21" t="s">
        <v>49</v>
      </c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2"/>
      <c r="AK3" s="19" t="s">
        <v>50</v>
      </c>
      <c r="AL3" s="19"/>
    </row>
    <row r="4" s="27" customFormat="true" ht="12.75" hidden="false" customHeight="true" outlineLevel="0" collapsed="false">
      <c r="A4" s="18"/>
      <c r="B4" s="19"/>
      <c r="C4" s="20"/>
      <c r="D4" s="21"/>
      <c r="E4" s="21"/>
      <c r="F4" s="19"/>
      <c r="G4" s="19"/>
      <c r="H4" s="19"/>
      <c r="I4" s="13"/>
      <c r="J4" s="14"/>
      <c r="K4" s="24"/>
      <c r="L4" s="24"/>
      <c r="M4" s="24"/>
      <c r="N4" s="13"/>
      <c r="O4" s="44" t="s">
        <v>51</v>
      </c>
      <c r="P4" s="44" t="s">
        <v>52</v>
      </c>
      <c r="Q4" s="44" t="s">
        <v>53</v>
      </c>
      <c r="R4" s="44" t="s">
        <v>54</v>
      </c>
      <c r="S4" s="44" t="s">
        <v>55</v>
      </c>
      <c r="T4" s="44" t="s">
        <v>56</v>
      </c>
      <c r="U4" s="44" t="s">
        <v>57</v>
      </c>
      <c r="V4" s="44" t="s">
        <v>58</v>
      </c>
      <c r="W4" s="44" t="s">
        <v>59</v>
      </c>
      <c r="X4" s="44" t="s">
        <v>60</v>
      </c>
      <c r="Y4" s="44" t="s">
        <v>61</v>
      </c>
      <c r="Z4" s="44" t="s">
        <v>62</v>
      </c>
      <c r="AA4" s="44" t="s">
        <v>63</v>
      </c>
      <c r="AB4" s="44" t="s">
        <v>64</v>
      </c>
      <c r="AC4" s="45" t="s">
        <v>65</v>
      </c>
      <c r="AD4" s="45" t="s">
        <v>66</v>
      </c>
      <c r="AE4" s="44" t="s">
        <v>67</v>
      </c>
      <c r="AF4" s="44" t="s">
        <v>68</v>
      </c>
      <c r="AG4" s="44" t="s">
        <v>69</v>
      </c>
      <c r="AH4" s="44" t="s">
        <v>70</v>
      </c>
      <c r="AI4" s="44" t="s">
        <v>71</v>
      </c>
      <c r="AJ4" s="12" t="s">
        <v>72</v>
      </c>
      <c r="AK4" s="19" t="s">
        <v>73</v>
      </c>
      <c r="AL4" s="19" t="s">
        <v>74</v>
      </c>
    </row>
    <row r="5" s="5" customFormat="true" ht="12" hidden="false" customHeight="false" outlineLevel="0" collapsed="false">
      <c r="A5" s="28" t="n">
        <v>46631</v>
      </c>
      <c r="B5" s="2" t="s">
        <v>14</v>
      </c>
      <c r="C5" s="3"/>
      <c r="D5" s="2" t="s">
        <v>75</v>
      </c>
      <c r="E5" s="2" t="s">
        <v>76</v>
      </c>
      <c r="F5" s="30" t="n">
        <v>1200</v>
      </c>
      <c r="G5" s="6" t="n">
        <f aca="false">IF(F5&lt;&gt;0,F5*G$2/(100+G$2)," ")</f>
        <v>200</v>
      </c>
      <c r="H5" s="6" t="n">
        <f aca="false">IF((F5&lt;&gt;0),F5-G5," ")</f>
        <v>1000</v>
      </c>
      <c r="J5" s="6"/>
      <c r="K5" s="6"/>
      <c r="L5" s="7" t="n">
        <f aca="false">IF(F5&lt;&gt;0,F5-K5," ")</f>
        <v>1200</v>
      </c>
      <c r="M5" s="8" t="n">
        <f aca="false">IF((F5-K5)&lt;&gt;0,M$1-A5," ")</f>
        <v>-353</v>
      </c>
      <c r="O5" s="17" t="str">
        <f aca="false">IF((E5="s"),H5," ")</f>
        <v> </v>
      </c>
      <c r="P5" s="17" t="str">
        <f aca="false">IF((E5="c"),H5," ")</f>
        <v> </v>
      </c>
      <c r="Q5" s="17" t="str">
        <f aca="false">IF((E5="o"),H5," ")</f>
        <v> </v>
      </c>
      <c r="R5" s="17" t="str">
        <f aca="false">IF((E5="d"),H5," ")</f>
        <v> </v>
      </c>
      <c r="S5" s="17" t="str">
        <f aca="false">IF((E5="w"),H5," ")</f>
        <v> </v>
      </c>
      <c r="T5" s="17" t="n">
        <f aca="false">IF((E5="r"),H5," ")</f>
        <v>1000</v>
      </c>
      <c r="U5" s="17" t="str">
        <f aca="false">IF((E5="p"),H5," ")</f>
        <v> </v>
      </c>
      <c r="V5" s="17" t="str">
        <f aca="false">IF((E5="t"),H5," ")</f>
        <v> </v>
      </c>
      <c r="W5" s="17" t="str">
        <f aca="false">IF((E5="q"),H5," ")</f>
        <v> </v>
      </c>
      <c r="X5" s="17" t="str">
        <f aca="false">IF((E5="m"),H5," ")</f>
        <v> </v>
      </c>
      <c r="Y5" s="17" t="str">
        <f aca="false">IF((E5="u"),H5," ")</f>
        <v> </v>
      </c>
      <c r="Z5" s="17" t="str">
        <f aca="false">IF((E5="a"),H5," ")</f>
        <v> </v>
      </c>
      <c r="AA5" s="17" t="str">
        <f aca="false">IF((E5="g"),H5," ")</f>
        <v> </v>
      </c>
      <c r="AB5" s="17" t="str">
        <f aca="false">IF((E5="h"),H5," ")</f>
        <v> </v>
      </c>
      <c r="AC5" s="30" t="str">
        <f aca="false">IF((E5="v"),H5," ")</f>
        <v> </v>
      </c>
      <c r="AD5" s="30" t="str">
        <f aca="false">IF((E5="n"),H5," ")</f>
        <v> </v>
      </c>
      <c r="AE5" s="17" t="str">
        <f aca="false">IF((E5="f"),H5," ")</f>
        <v> </v>
      </c>
      <c r="AF5" s="17" t="str">
        <f aca="false">IF((E5="l"),H5," ")</f>
        <v> </v>
      </c>
      <c r="AG5" s="17" t="str">
        <f aca="false">IF((E5="y"),H5," ")</f>
        <v> </v>
      </c>
      <c r="AH5" s="17" t="str">
        <f aca="false">IF((E5="z"),H5," ")</f>
        <v> </v>
      </c>
      <c r="AI5" s="17" t="str">
        <f aca="false">IF((E5="fa"),H5," ")</f>
        <v> </v>
      </c>
      <c r="AJ5" s="17" t="str">
        <f aca="false">IF((E5="e"),H5," ")</f>
        <v> </v>
      </c>
      <c r="AK5" s="17"/>
      <c r="AL5" s="17"/>
      <c r="BZ5" s="5" t="s">
        <v>77</v>
      </c>
    </row>
    <row r="6" customFormat="false" ht="12" hidden="false" customHeight="false" outlineLevel="0" collapsed="false">
      <c r="A6" s="28" t="n">
        <v>46631</v>
      </c>
      <c r="B6" s="2" t="s">
        <v>78</v>
      </c>
      <c r="D6" s="2" t="s">
        <v>79</v>
      </c>
      <c r="E6" s="2" t="s">
        <v>80</v>
      </c>
      <c r="F6" s="30" t="n">
        <v>30</v>
      </c>
      <c r="G6" s="6" t="n">
        <f aca="false">IF(F6&lt;&gt;0,F6*G$2/(100+G$2)," ")</f>
        <v>5</v>
      </c>
      <c r="H6" s="6" t="n">
        <f aca="false">IF((F6&lt;&gt;0),F6-G6," ")</f>
        <v>25</v>
      </c>
      <c r="I6" s="5"/>
      <c r="L6" s="7" t="n">
        <f aca="false">IF(F6&lt;&gt;0,F6-K6," ")</f>
        <v>30</v>
      </c>
      <c r="M6" s="8" t="n">
        <f aca="false">IF((F6-K6)&lt;&gt;0,M$1-A6," ")</f>
        <v>-353</v>
      </c>
      <c r="N6" s="5"/>
      <c r="O6" s="17" t="str">
        <f aca="false">IF((E6="s"),H6," ")</f>
        <v> </v>
      </c>
      <c r="P6" s="17" t="str">
        <f aca="false">IF((E6="c"),H6," ")</f>
        <v> </v>
      </c>
      <c r="Q6" s="17" t="str">
        <f aca="false">IF((E6="o"),H6," ")</f>
        <v> </v>
      </c>
      <c r="R6" s="17" t="str">
        <f aca="false">IF((E6="d"),H6," ")</f>
        <v> </v>
      </c>
      <c r="S6" s="17" t="str">
        <f aca="false">IF((E6="w"),H6," ")</f>
        <v> </v>
      </c>
      <c r="T6" s="17" t="str">
        <f aca="false">IF((E6="r"),H6," ")</f>
        <v> </v>
      </c>
      <c r="U6" s="17" t="str">
        <f aca="false">IF((E6="p"),H6," ")</f>
        <v> </v>
      </c>
      <c r="V6" s="17" t="str">
        <f aca="false">IF((E6="t"),H6," ")</f>
        <v> </v>
      </c>
      <c r="W6" s="17" t="str">
        <f aca="false">IF((E6="q"),H6," ")</f>
        <v> </v>
      </c>
      <c r="X6" s="17" t="str">
        <f aca="false">IF((E6="m"),H6," ")</f>
        <v> </v>
      </c>
      <c r="Y6" s="17" t="str">
        <f aca="false">IF((E6="u"),H6," ")</f>
        <v> </v>
      </c>
      <c r="Z6" s="17" t="str">
        <f aca="false">IF((E6="a"),H6," ")</f>
        <v> </v>
      </c>
      <c r="AA6" s="17" t="n">
        <f aca="false">IF((E6="g"),H6," ")</f>
        <v>25</v>
      </c>
      <c r="AB6" s="17" t="str">
        <f aca="false">IF((E6="h"),H6," ")</f>
        <v> </v>
      </c>
      <c r="AC6" s="30" t="str">
        <f aca="false">IF((E6="v"),H6," ")</f>
        <v> </v>
      </c>
      <c r="AD6" s="30" t="str">
        <f aca="false">IF((E6="n"),H6," ")</f>
        <v> </v>
      </c>
      <c r="AE6" s="17" t="str">
        <f aca="false">IF((E6="f"),H6," ")</f>
        <v> </v>
      </c>
      <c r="AF6" s="17" t="str">
        <f aca="false">IF((E6="l"),H6," ")</f>
        <v> </v>
      </c>
      <c r="AG6" s="17" t="str">
        <f aca="false">IF((E6="y"),H6," ")</f>
        <v> </v>
      </c>
      <c r="AH6" s="17" t="str">
        <f aca="false">IF((E6="z"),H6," ")</f>
        <v> </v>
      </c>
      <c r="AI6" s="17" t="str">
        <f aca="false">IF((E6="fa"),H6," ")</f>
        <v> </v>
      </c>
      <c r="AJ6" s="17" t="str">
        <f aca="false">IF((E6="e"),H6," ")</f>
        <v> </v>
      </c>
      <c r="BZ6" s="2" t="s">
        <v>81</v>
      </c>
    </row>
    <row r="7" customFormat="false" ht="12" hidden="false" customHeight="false" outlineLevel="0" collapsed="false">
      <c r="A7" s="28" t="n">
        <v>46631</v>
      </c>
      <c r="B7" s="2" t="s">
        <v>82</v>
      </c>
      <c r="D7" s="2" t="s">
        <v>83</v>
      </c>
      <c r="E7" s="2" t="s">
        <v>80</v>
      </c>
      <c r="F7" s="30" t="n">
        <v>15</v>
      </c>
      <c r="G7" s="6" t="n">
        <f aca="false">IF(F7&lt;&gt;0,F7*G$2/(100+G$2)," ")</f>
        <v>2.5</v>
      </c>
      <c r="H7" s="6" t="n">
        <f aca="false">IF((F7&lt;&gt;0),F7-G7," ")</f>
        <v>12.5</v>
      </c>
      <c r="I7" s="5"/>
      <c r="L7" s="7" t="n">
        <f aca="false">IF(F7&lt;&gt;0,F7-K7," ")</f>
        <v>15</v>
      </c>
      <c r="M7" s="8" t="n">
        <f aca="false">IF((F7-K7)&lt;&gt;0,M$1-A7," ")</f>
        <v>-353</v>
      </c>
      <c r="N7" s="5"/>
      <c r="O7" s="17" t="str">
        <f aca="false">IF((E7="s"),H7," ")</f>
        <v> </v>
      </c>
      <c r="P7" s="17" t="str">
        <f aca="false">IF((E7="c"),H7," ")</f>
        <v> </v>
      </c>
      <c r="Q7" s="17" t="str">
        <f aca="false">IF((E7="o"),H7," ")</f>
        <v> </v>
      </c>
      <c r="R7" s="17" t="str">
        <f aca="false">IF((E7="d"),H7," ")</f>
        <v> </v>
      </c>
      <c r="S7" s="17" t="str">
        <f aca="false">IF((E7="w"),H7," ")</f>
        <v> </v>
      </c>
      <c r="T7" s="17" t="str">
        <f aca="false">IF((E7="r"),H7," ")</f>
        <v> </v>
      </c>
      <c r="U7" s="17" t="str">
        <f aca="false">IF((E7="p"),H7," ")</f>
        <v> </v>
      </c>
      <c r="V7" s="17" t="str">
        <f aca="false">IF((E7="t"),H7," ")</f>
        <v> </v>
      </c>
      <c r="W7" s="17" t="str">
        <f aca="false">IF((E7="q"),H7," ")</f>
        <v> </v>
      </c>
      <c r="X7" s="17" t="str">
        <f aca="false">IF((E7="m"),H7," ")</f>
        <v> </v>
      </c>
      <c r="Y7" s="17" t="str">
        <f aca="false">IF((E7="u"),H7," ")</f>
        <v> </v>
      </c>
      <c r="Z7" s="17" t="str">
        <f aca="false">IF((E7="a"),H7," ")</f>
        <v> </v>
      </c>
      <c r="AA7" s="17" t="n">
        <f aca="false">IF((E7="g"),H7," ")</f>
        <v>12.5</v>
      </c>
      <c r="AB7" s="17" t="str">
        <f aca="false">IF((E7="h"),H7," ")</f>
        <v> </v>
      </c>
      <c r="AC7" s="30" t="str">
        <f aca="false">IF((E7="v"),H7," ")</f>
        <v> </v>
      </c>
      <c r="AD7" s="30" t="str">
        <f aca="false">IF((E7="n"),H7," ")</f>
        <v> </v>
      </c>
      <c r="AE7" s="17" t="str">
        <f aca="false">IF((E7="f"),H7," ")</f>
        <v> </v>
      </c>
      <c r="AF7" s="17" t="str">
        <f aca="false">IF((E7="l"),H7," ")</f>
        <v> </v>
      </c>
      <c r="AG7" s="17" t="str">
        <f aca="false">IF((E7="y"),H7," ")</f>
        <v> </v>
      </c>
      <c r="AH7" s="17" t="str">
        <f aca="false">IF((E7="z"),H7," ")</f>
        <v> </v>
      </c>
      <c r="AI7" s="17" t="str">
        <f aca="false">IF((E7="fa"),H7," ")</f>
        <v> </v>
      </c>
      <c r="AJ7" s="17" t="str">
        <f aca="false">IF((E7="e"),H7," ")</f>
        <v> </v>
      </c>
      <c r="BZ7" s="2" t="s">
        <v>81</v>
      </c>
    </row>
    <row r="8" customFormat="false" ht="12" hidden="false" customHeight="false" outlineLevel="0" collapsed="false">
      <c r="A8" s="28" t="n">
        <v>46631</v>
      </c>
      <c r="B8" s="2" t="s">
        <v>84</v>
      </c>
      <c r="D8" s="2" t="s">
        <v>85</v>
      </c>
      <c r="E8" s="2" t="s">
        <v>86</v>
      </c>
      <c r="F8" s="30" t="n">
        <v>45</v>
      </c>
      <c r="G8" s="6" t="n">
        <f aca="false">IF(F8&lt;&gt;0,F8*G$2/(100+G$2)," ")</f>
        <v>7.5</v>
      </c>
      <c r="H8" s="6" t="n">
        <f aca="false">IF((F8&lt;&gt;0),F8-G8," ")</f>
        <v>37.5</v>
      </c>
      <c r="I8" s="5"/>
      <c r="L8" s="7" t="n">
        <f aca="false">IF(F8&lt;&gt;0,F8-K8," ")</f>
        <v>45</v>
      </c>
      <c r="M8" s="8" t="n">
        <f aca="false">IF((F8-K8)&lt;&gt;0,M$1-A8," ")</f>
        <v>-353</v>
      </c>
      <c r="N8" s="5"/>
      <c r="O8" s="17" t="str">
        <f aca="false">IF((E8="s"),H8," ")</f>
        <v> </v>
      </c>
      <c r="P8" s="17" t="str">
        <f aca="false">IF((E8="c"),H8," ")</f>
        <v> </v>
      </c>
      <c r="Q8" s="17" t="n">
        <f aca="false">IF((E8="o"),H8," ")</f>
        <v>37.5</v>
      </c>
      <c r="R8" s="17" t="str">
        <f aca="false">IF((E8="d"),H8," ")</f>
        <v> </v>
      </c>
      <c r="S8" s="17" t="str">
        <f aca="false">IF((E8="w"),H8," ")</f>
        <v> </v>
      </c>
      <c r="T8" s="17" t="str">
        <f aca="false">IF((E8="r"),H8," ")</f>
        <v> </v>
      </c>
      <c r="U8" s="17" t="str">
        <f aca="false">IF((E8="p"),H8," ")</f>
        <v> </v>
      </c>
      <c r="V8" s="17" t="str">
        <f aca="false">IF((E8="t"),H8," ")</f>
        <v> </v>
      </c>
      <c r="W8" s="17" t="str">
        <f aca="false">IF((E8="q"),H8," ")</f>
        <v> </v>
      </c>
      <c r="X8" s="17" t="str">
        <f aca="false">IF((E8="m"),H8," ")</f>
        <v> </v>
      </c>
      <c r="Y8" s="17" t="str">
        <f aca="false">IF((E8="u"),H8," ")</f>
        <v> </v>
      </c>
      <c r="Z8" s="17" t="str">
        <f aca="false">IF((E8="a"),H8," ")</f>
        <v> </v>
      </c>
      <c r="AA8" s="17" t="str">
        <f aca="false">IF((E8="g"),H8," ")</f>
        <v> </v>
      </c>
      <c r="AB8" s="17" t="str">
        <f aca="false">IF((E8="h"),H8," ")</f>
        <v> </v>
      </c>
      <c r="AC8" s="30" t="str">
        <f aca="false">IF((E8="v"),H8," ")</f>
        <v> </v>
      </c>
      <c r="AD8" s="30" t="str">
        <f aca="false">IF((E8="n"),H8," ")</f>
        <v> </v>
      </c>
      <c r="AE8" s="17" t="str">
        <f aca="false">IF((E8="f"),H8," ")</f>
        <v> </v>
      </c>
      <c r="AF8" s="17" t="str">
        <f aca="false">IF((E8="l"),H8," ")</f>
        <v> </v>
      </c>
      <c r="AG8" s="17" t="str">
        <f aca="false">IF((E8="y"),H8," ")</f>
        <v> </v>
      </c>
      <c r="AH8" s="17" t="str">
        <f aca="false">IF((E8="z"),H8," ")</f>
        <v> </v>
      </c>
      <c r="AI8" s="17" t="str">
        <f aca="false">IF((E8="fa"),H8," ")</f>
        <v> </v>
      </c>
      <c r="AJ8" s="17" t="str">
        <f aca="false">IF((E8="e"),H8," ")</f>
        <v> </v>
      </c>
      <c r="BZ8" s="2" t="s">
        <v>87</v>
      </c>
    </row>
    <row r="9" customFormat="false" ht="12" hidden="false" customHeight="false" outlineLevel="0" collapsed="false">
      <c r="A9" s="28" t="n">
        <v>46631</v>
      </c>
      <c r="B9" s="2" t="s">
        <v>92</v>
      </c>
      <c r="D9" s="2" t="s">
        <v>93</v>
      </c>
      <c r="E9" s="2" t="s">
        <v>86</v>
      </c>
      <c r="F9" s="30" t="n">
        <v>24</v>
      </c>
      <c r="G9" s="6" t="n">
        <f aca="false">IF(F9&lt;&gt;0,F9*G$2/(100+G$2)," ")</f>
        <v>4</v>
      </c>
      <c r="H9" s="6" t="n">
        <f aca="false">IF((F9&lt;&gt;0),F9-G9," ")</f>
        <v>20</v>
      </c>
      <c r="I9" s="5"/>
      <c r="L9" s="7" t="n">
        <f aca="false">IF(F9&lt;&gt;0,F9-K9," ")</f>
        <v>24</v>
      </c>
      <c r="M9" s="8" t="n">
        <f aca="false">IF((F9-K9)&lt;&gt;0,M$1-A9," ")</f>
        <v>-353</v>
      </c>
      <c r="N9" s="5"/>
      <c r="O9" s="17" t="str">
        <f aca="false">IF((E9="s"),H9," ")</f>
        <v> </v>
      </c>
      <c r="P9" s="17" t="str">
        <f aca="false">IF((E9="c"),H9," ")</f>
        <v> </v>
      </c>
      <c r="Q9" s="17" t="n">
        <f aca="false">IF((E9="o"),H9," ")</f>
        <v>20</v>
      </c>
      <c r="R9" s="17" t="str">
        <f aca="false">IF((E9="d"),H9," ")</f>
        <v> </v>
      </c>
      <c r="S9" s="17" t="str">
        <f aca="false">IF((E9="w"),H9," ")</f>
        <v> </v>
      </c>
      <c r="T9" s="17" t="str">
        <f aca="false">IF((E9="r"),H9," ")</f>
        <v> </v>
      </c>
      <c r="U9" s="17" t="str">
        <f aca="false">IF((E9="p"),H9," ")</f>
        <v> </v>
      </c>
      <c r="V9" s="17" t="str">
        <f aca="false">IF((E9="t"),H9," ")</f>
        <v> </v>
      </c>
      <c r="W9" s="17" t="str">
        <f aca="false">IF((E9="q"),H9," ")</f>
        <v> </v>
      </c>
      <c r="X9" s="17" t="str">
        <f aca="false">IF((E9="m"),H9," ")</f>
        <v> </v>
      </c>
      <c r="Y9" s="17" t="str">
        <f aca="false">IF((E9="u"),H9," ")</f>
        <v> </v>
      </c>
      <c r="Z9" s="17" t="str">
        <f aca="false">IF((E9="a"),H9," ")</f>
        <v> </v>
      </c>
      <c r="AA9" s="17" t="str">
        <f aca="false">IF((E9="g"),H9," ")</f>
        <v> </v>
      </c>
      <c r="AB9" s="17" t="str">
        <f aca="false">IF((E9="h"),H9," ")</f>
        <v> </v>
      </c>
      <c r="AC9" s="30" t="str">
        <f aca="false">IF((E9="v"),H9," ")</f>
        <v> </v>
      </c>
      <c r="AD9" s="30" t="str">
        <f aca="false">IF((E9="n"),H9," ")</f>
        <v> </v>
      </c>
      <c r="AE9" s="17" t="str">
        <f aca="false">IF((E9="f"),H9," ")</f>
        <v> </v>
      </c>
      <c r="AF9" s="17" t="str">
        <f aca="false">IF((E9="l"),H9," ")</f>
        <v> </v>
      </c>
      <c r="AG9" s="17" t="str">
        <f aca="false">IF((E9="y"),H9," ")</f>
        <v> </v>
      </c>
      <c r="AH9" s="17" t="str">
        <f aca="false">IF((E9="z"),H9," ")</f>
        <v> </v>
      </c>
      <c r="AI9" s="17" t="str">
        <f aca="false">IF((E9="fa"),H9," ")</f>
        <v> </v>
      </c>
      <c r="AJ9" s="17" t="str">
        <f aca="false">IF((E9="e"),H9," ")</f>
        <v> </v>
      </c>
      <c r="BZ9" s="2" t="s">
        <v>87</v>
      </c>
    </row>
    <row r="10" customFormat="false" ht="12" hidden="false" customHeight="false" outlineLevel="0" collapsed="false">
      <c r="A10" s="28" t="n">
        <v>46631</v>
      </c>
      <c r="B10" s="2" t="s">
        <v>94</v>
      </c>
      <c r="D10" s="2" t="s">
        <v>95</v>
      </c>
      <c r="E10" s="2" t="s">
        <v>80</v>
      </c>
      <c r="F10" s="30" t="n">
        <v>18</v>
      </c>
      <c r="G10" s="6" t="n">
        <f aca="false">IF(F10&lt;&gt;0,F10*G$2/(100+G$2)," ")</f>
        <v>3</v>
      </c>
      <c r="H10" s="6" t="n">
        <f aca="false">IF((F10&lt;&gt;0),F10-G10," ")</f>
        <v>15</v>
      </c>
      <c r="I10" s="5"/>
      <c r="L10" s="7" t="n">
        <f aca="false">IF(F10&lt;&gt;0,F10-K10," ")</f>
        <v>18</v>
      </c>
      <c r="M10" s="8" t="n">
        <f aca="false">IF((F10-K10)&lt;&gt;0,M$1-A10," ")</f>
        <v>-353</v>
      </c>
      <c r="N10" s="5"/>
      <c r="O10" s="17" t="str">
        <f aca="false">IF((E10="s"),H10," ")</f>
        <v> </v>
      </c>
      <c r="P10" s="17" t="str">
        <f aca="false">IF((E10="c"),H10," ")</f>
        <v> </v>
      </c>
      <c r="Q10" s="17" t="str">
        <f aca="false">IF((E10="o"),H10," ")</f>
        <v> </v>
      </c>
      <c r="R10" s="17" t="str">
        <f aca="false">IF((E10="d"),H10," ")</f>
        <v> </v>
      </c>
      <c r="S10" s="17" t="str">
        <f aca="false">IF((E10="w"),H10," ")</f>
        <v> </v>
      </c>
      <c r="T10" s="17" t="str">
        <f aca="false">IF((E10="r"),H10," ")</f>
        <v> </v>
      </c>
      <c r="U10" s="17" t="str">
        <f aca="false">IF((E10="p"),H10," ")</f>
        <v> </v>
      </c>
      <c r="V10" s="17" t="str">
        <f aca="false">IF((E10="t"),H10," ")</f>
        <v> </v>
      </c>
      <c r="W10" s="17" t="str">
        <f aca="false">IF((E10="q"),H10," ")</f>
        <v> </v>
      </c>
      <c r="X10" s="17" t="str">
        <f aca="false">IF((E10="m"),H10," ")</f>
        <v> </v>
      </c>
      <c r="Y10" s="17" t="str">
        <f aca="false">IF((E10="u"),H10," ")</f>
        <v> </v>
      </c>
      <c r="Z10" s="17" t="str">
        <f aca="false">IF((E10="a"),H10," ")</f>
        <v> </v>
      </c>
      <c r="AA10" s="17" t="n">
        <f aca="false">IF((E10="g"),H10," ")</f>
        <v>15</v>
      </c>
      <c r="AB10" s="17" t="str">
        <f aca="false">IF((E10="h"),H10," ")</f>
        <v> </v>
      </c>
      <c r="AC10" s="30" t="str">
        <f aca="false">IF((E10="v"),H10," ")</f>
        <v> </v>
      </c>
      <c r="AD10" s="30" t="str">
        <f aca="false">IF((E10="n"),H10," ")</f>
        <v> </v>
      </c>
      <c r="AE10" s="17" t="str">
        <f aca="false">IF((E10="f"),H10," ")</f>
        <v> </v>
      </c>
      <c r="AF10" s="17" t="str">
        <f aca="false">IF((E10="l"),H10," ")</f>
        <v> </v>
      </c>
      <c r="AG10" s="17" t="str">
        <f aca="false">IF((E10="y"),H10," ")</f>
        <v> </v>
      </c>
      <c r="AH10" s="17" t="str">
        <f aca="false">IF((E10="z"),H10," ")</f>
        <v> </v>
      </c>
      <c r="AI10" s="17" t="str">
        <f aca="false">IF((E10="fa"),H10," ")</f>
        <v> </v>
      </c>
      <c r="AJ10" s="17" t="str">
        <f aca="false">IF((E10="e"),H10," ")</f>
        <v> </v>
      </c>
      <c r="BZ10" s="2" t="s">
        <v>81</v>
      </c>
    </row>
    <row r="11" customFormat="false" ht="12" hidden="false" customHeight="false" outlineLevel="0" collapsed="false">
      <c r="A11" s="28" t="n">
        <v>46633</v>
      </c>
      <c r="B11" s="2" t="s">
        <v>96</v>
      </c>
      <c r="D11" s="2" t="s">
        <v>97</v>
      </c>
      <c r="E11" s="2" t="s">
        <v>86</v>
      </c>
      <c r="F11" s="30" t="n">
        <v>180</v>
      </c>
      <c r="G11" s="6" t="n">
        <f aca="false">IF(F11&lt;&gt;0,F11*G$2/(100+G$2)," ")</f>
        <v>30</v>
      </c>
      <c r="H11" s="6" t="n">
        <f aca="false">IF((F11&lt;&gt;0),F11-G11," ")</f>
        <v>150</v>
      </c>
      <c r="I11" s="5"/>
      <c r="L11" s="7" t="n">
        <f aca="false">IF(F11&lt;&gt;0,F11-K11," ")</f>
        <v>180</v>
      </c>
      <c r="M11" s="8" t="n">
        <f aca="false">IF((F11-K11)&lt;&gt;0,M$1-A11," ")</f>
        <v>-355</v>
      </c>
      <c r="N11" s="5"/>
      <c r="O11" s="17" t="str">
        <f aca="false">IF((E11="s"),H11," ")</f>
        <v> </v>
      </c>
      <c r="P11" s="17" t="str">
        <f aca="false">IF((E11="c"),H11," ")</f>
        <v> </v>
      </c>
      <c r="Q11" s="17" t="n">
        <f aca="false">IF((E11="o"),H11," ")</f>
        <v>150</v>
      </c>
      <c r="R11" s="17" t="str">
        <f aca="false">IF((E11="d"),H11," ")</f>
        <v> </v>
      </c>
      <c r="S11" s="17" t="str">
        <f aca="false">IF((E11="w"),H11," ")</f>
        <v> </v>
      </c>
      <c r="T11" s="17" t="str">
        <f aca="false">IF((E11="r"),H11," ")</f>
        <v> </v>
      </c>
      <c r="U11" s="17" t="str">
        <f aca="false">IF((E11="p"),H11," ")</f>
        <v> </v>
      </c>
      <c r="V11" s="17" t="str">
        <f aca="false">IF((E11="t"),H11," ")</f>
        <v> </v>
      </c>
      <c r="W11" s="17" t="str">
        <f aca="false">IF((E11="q"),H11," ")</f>
        <v> </v>
      </c>
      <c r="X11" s="17" t="str">
        <f aca="false">IF((E11="m"),H11," ")</f>
        <v> </v>
      </c>
      <c r="Y11" s="17" t="str">
        <f aca="false">IF((E11="u"),H11," ")</f>
        <v> </v>
      </c>
      <c r="Z11" s="17" t="str">
        <f aca="false">IF((E11="a"),H11," ")</f>
        <v> </v>
      </c>
      <c r="AA11" s="17" t="str">
        <f aca="false">IF((E11="g"),H11," ")</f>
        <v> </v>
      </c>
      <c r="AB11" s="17" t="str">
        <f aca="false">IF((E11="h"),H11," ")</f>
        <v> </v>
      </c>
      <c r="AC11" s="30" t="str">
        <f aca="false">IF((E11="v"),H11," ")</f>
        <v> </v>
      </c>
      <c r="AD11" s="30" t="str">
        <f aca="false">IF((E11="n"),H11," ")</f>
        <v> </v>
      </c>
      <c r="AE11" s="17" t="str">
        <f aca="false">IF((E11="f"),H11," ")</f>
        <v> </v>
      </c>
      <c r="AF11" s="17" t="str">
        <f aca="false">IF((E11="l"),H11," ")</f>
        <v> </v>
      </c>
      <c r="AG11" s="17" t="str">
        <f aca="false">IF((E11="y"),H11," ")</f>
        <v> </v>
      </c>
      <c r="AH11" s="17" t="str">
        <f aca="false">IF((E11="z"),H11," ")</f>
        <v> </v>
      </c>
      <c r="AI11" s="17" t="str">
        <f aca="false">IF((E11="fa"),H11," ")</f>
        <v> </v>
      </c>
      <c r="AJ11" s="17" t="str">
        <f aca="false">IF((E11="e"),H11," ")</f>
        <v> </v>
      </c>
      <c r="BZ11" s="2" t="s">
        <v>87</v>
      </c>
    </row>
    <row r="12" customFormat="false" ht="12" hidden="false" customHeight="false" outlineLevel="0" collapsed="false">
      <c r="A12" s="28" t="n">
        <v>46633</v>
      </c>
      <c r="B12" s="2" t="s">
        <v>98</v>
      </c>
      <c r="D12" s="2" t="s">
        <v>99</v>
      </c>
      <c r="E12" s="2" t="s">
        <v>100</v>
      </c>
      <c r="F12" s="30" t="n">
        <v>22</v>
      </c>
      <c r="G12" s="6" t="n">
        <f aca="false">IF(F12&lt;&gt;0,F12*G$2/(100+G$2)," ")</f>
        <v>3.66666666666667</v>
      </c>
      <c r="H12" s="6" t="n">
        <f aca="false">IF((F12&lt;&gt;0),F12-G12," ")</f>
        <v>18.3333333333333</v>
      </c>
      <c r="I12" s="5"/>
      <c r="L12" s="7" t="n">
        <f aca="false">IF(F12&lt;&gt;0,F12-K12," ")</f>
        <v>22</v>
      </c>
      <c r="M12" s="8" t="n">
        <f aca="false">IF((F12-K12)&lt;&gt;0,M$1-A12," ")</f>
        <v>-355</v>
      </c>
      <c r="N12" s="5"/>
      <c r="O12" s="17" t="str">
        <f aca="false">IF((E12="s"),H12," ")</f>
        <v> </v>
      </c>
      <c r="P12" s="17" t="str">
        <f aca="false">IF((E12="c"),H12," ")</f>
        <v> </v>
      </c>
      <c r="Q12" s="17" t="str">
        <f aca="false">IF((E12="o"),H12," ")</f>
        <v> </v>
      </c>
      <c r="R12" s="17" t="str">
        <f aca="false">IF((E12="d"),H12," ")</f>
        <v> </v>
      </c>
      <c r="S12" s="17" t="str">
        <f aca="false">IF((E12="w"),H12," ")</f>
        <v> </v>
      </c>
      <c r="T12" s="17" t="str">
        <f aca="false">IF((E12="r"),H12," ")</f>
        <v> </v>
      </c>
      <c r="U12" s="17" t="str">
        <f aca="false">IF((E12="p"),H12," ")</f>
        <v> </v>
      </c>
      <c r="V12" s="17" t="str">
        <f aca="false">IF((E12="t"),H12," ")</f>
        <v> </v>
      </c>
      <c r="W12" s="17" t="str">
        <f aca="false">IF((E12="q"),H12," ")</f>
        <v> </v>
      </c>
      <c r="X12" s="17" t="str">
        <f aca="false">IF((E12="m"),H12," ")</f>
        <v> </v>
      </c>
      <c r="Y12" s="17" t="n">
        <f aca="false">IF((E12="u"),H12," ")</f>
        <v>18.3333333333333</v>
      </c>
      <c r="Z12" s="17" t="str">
        <f aca="false">IF((E12="a"),H12," ")</f>
        <v> </v>
      </c>
      <c r="AA12" s="17" t="str">
        <f aca="false">IF((E12="g"),H12," ")</f>
        <v> </v>
      </c>
      <c r="AB12" s="17" t="str">
        <f aca="false">IF((E12="h"),H12," ")</f>
        <v> </v>
      </c>
      <c r="AC12" s="30" t="str">
        <f aca="false">IF((E12="v"),H12," ")</f>
        <v> </v>
      </c>
      <c r="AD12" s="30" t="str">
        <f aca="false">IF((E12="n"),H12," ")</f>
        <v> </v>
      </c>
      <c r="AE12" s="17" t="str">
        <f aca="false">IF((E12="f"),H12," ")</f>
        <v> </v>
      </c>
      <c r="AF12" s="17" t="str">
        <f aca="false">IF((E12="l"),H12," ")</f>
        <v> </v>
      </c>
      <c r="AG12" s="17" t="str">
        <f aca="false">IF((E12="y"),H12," ")</f>
        <v> </v>
      </c>
      <c r="AH12" s="17" t="str">
        <f aca="false">IF((E12="z"),H12," ")</f>
        <v> </v>
      </c>
      <c r="AI12" s="17" t="str">
        <f aca="false">IF((E12="fa"),H12," ")</f>
        <v> </v>
      </c>
      <c r="AJ12" s="17" t="str">
        <f aca="false">IF((E12="e"),H12," ")</f>
        <v> </v>
      </c>
      <c r="BZ12" s="2" t="s">
        <v>101</v>
      </c>
    </row>
    <row r="13" customFormat="false" ht="12" hidden="false" customHeight="false" outlineLevel="0" collapsed="false">
      <c r="A13" s="28" t="n">
        <v>46635</v>
      </c>
      <c r="B13" s="2" t="s">
        <v>102</v>
      </c>
      <c r="D13" s="2" t="s">
        <v>103</v>
      </c>
      <c r="E13" s="2" t="s">
        <v>100</v>
      </c>
      <c r="F13" s="30" t="n">
        <v>24</v>
      </c>
      <c r="G13" s="6" t="n">
        <f aca="false">IF(F13&lt;&gt;0,F13*G$2/(100+G$2)," ")</f>
        <v>4</v>
      </c>
      <c r="H13" s="6" t="n">
        <f aca="false">IF((F13&lt;&gt;0),F13-G13," ")</f>
        <v>20</v>
      </c>
      <c r="I13" s="5"/>
      <c r="L13" s="7" t="n">
        <f aca="false">IF(F13&lt;&gt;0,F13-K13," ")</f>
        <v>24</v>
      </c>
      <c r="M13" s="8" t="n">
        <f aca="false">IF((F13-K13)&lt;&gt;0,M$1-A13," ")</f>
        <v>-357</v>
      </c>
      <c r="N13" s="5"/>
      <c r="O13" s="17" t="str">
        <f aca="false">IF((E13="s"),H13," ")</f>
        <v> </v>
      </c>
      <c r="P13" s="17" t="str">
        <f aca="false">IF((E13="c"),H13," ")</f>
        <v> </v>
      </c>
      <c r="Q13" s="17" t="str">
        <f aca="false">IF((E13="o"),H13," ")</f>
        <v> </v>
      </c>
      <c r="R13" s="17" t="str">
        <f aca="false">IF((E13="d"),H13," ")</f>
        <v> </v>
      </c>
      <c r="S13" s="17" t="str">
        <f aca="false">IF((E13="w"),H13," ")</f>
        <v> </v>
      </c>
      <c r="T13" s="17" t="str">
        <f aca="false">IF((E13="r"),H13," ")</f>
        <v> </v>
      </c>
      <c r="U13" s="17" t="str">
        <f aca="false">IF((E13="p"),H13," ")</f>
        <v> </v>
      </c>
      <c r="V13" s="17" t="str">
        <f aca="false">IF((E13="t"),H13," ")</f>
        <v> </v>
      </c>
      <c r="W13" s="17" t="str">
        <f aca="false">IF((E13="q"),H13," ")</f>
        <v> </v>
      </c>
      <c r="X13" s="17" t="str">
        <f aca="false">IF((E13="m"),H13," ")</f>
        <v> </v>
      </c>
      <c r="Y13" s="17" t="n">
        <f aca="false">IF((E13="u"),H13," ")</f>
        <v>20</v>
      </c>
      <c r="Z13" s="17" t="str">
        <f aca="false">IF((E13="a"),H13," ")</f>
        <v> </v>
      </c>
      <c r="AA13" s="17" t="str">
        <f aca="false">IF((E13="g"),H13," ")</f>
        <v> </v>
      </c>
      <c r="AB13" s="17" t="str">
        <f aca="false">IF((E13="h"),H13," ")</f>
        <v> </v>
      </c>
      <c r="AC13" s="30" t="str">
        <f aca="false">IF((E13="v"),H13," ")</f>
        <v> </v>
      </c>
      <c r="AD13" s="30" t="str">
        <f aca="false">IF((E13="n"),H13," ")</f>
        <v> </v>
      </c>
      <c r="AE13" s="17" t="str">
        <f aca="false">IF((E13="f"),H13," ")</f>
        <v> </v>
      </c>
      <c r="AF13" s="17" t="str">
        <f aca="false">IF((E13="l"),H13," ")</f>
        <v> </v>
      </c>
      <c r="AG13" s="17" t="str">
        <f aca="false">IF((E13="y"),H13," ")</f>
        <v> </v>
      </c>
      <c r="AH13" s="17" t="str">
        <f aca="false">IF((E13="z"),H13," ")</f>
        <v> </v>
      </c>
      <c r="AI13" s="17" t="str">
        <f aca="false">IF((E13="fa"),H13," ")</f>
        <v> </v>
      </c>
      <c r="AJ13" s="17" t="str">
        <f aca="false">IF((E13="e"),H13," ")</f>
        <v> </v>
      </c>
      <c r="BZ13" s="2" t="s">
        <v>101</v>
      </c>
    </row>
    <row r="14" customFormat="false" ht="12" hidden="false" customHeight="false" outlineLevel="0" collapsed="false">
      <c r="A14" s="28" t="n">
        <v>46635</v>
      </c>
      <c r="B14" s="2" t="s">
        <v>104</v>
      </c>
      <c r="D14" s="2" t="s">
        <v>105</v>
      </c>
      <c r="E14" s="2" t="s">
        <v>106</v>
      </c>
      <c r="F14" s="30" t="n">
        <v>180</v>
      </c>
      <c r="G14" s="6" t="n">
        <f aca="false">IF(F14&lt;&gt;0,F14*G$2/(100+G$2)," ")</f>
        <v>30</v>
      </c>
      <c r="H14" s="6" t="n">
        <f aca="false">IF((F14&lt;&gt;0),F14-G14," ")</f>
        <v>150</v>
      </c>
      <c r="I14" s="5"/>
      <c r="L14" s="7" t="n">
        <f aca="false">IF(F14&lt;&gt;0,F14-K14," ")</f>
        <v>180</v>
      </c>
      <c r="M14" s="8" t="n">
        <f aca="false">IF((F14-K14)&lt;&gt;0,M$1-A14," ")</f>
        <v>-357</v>
      </c>
      <c r="N14" s="5"/>
      <c r="O14" s="17" t="str">
        <f aca="false">IF((E14="s"),H14," ")</f>
        <v> </v>
      </c>
      <c r="P14" s="17" t="str">
        <f aca="false">IF((E14="c"),H14," ")</f>
        <v> </v>
      </c>
      <c r="Q14" s="17" t="str">
        <f aca="false">IF((E14="o"),H14," ")</f>
        <v> </v>
      </c>
      <c r="R14" s="17" t="str">
        <f aca="false">IF((E14="d"),H14," ")</f>
        <v> </v>
      </c>
      <c r="S14" s="17" t="str">
        <f aca="false">IF((E14="w"),H14," ")</f>
        <v> </v>
      </c>
      <c r="T14" s="17" t="str">
        <f aca="false">IF((E14="r"),H14," ")</f>
        <v> </v>
      </c>
      <c r="U14" s="17" t="str">
        <f aca="false">IF((E14="p"),H14," ")</f>
        <v> </v>
      </c>
      <c r="V14" s="17" t="str">
        <f aca="false">IF((E14="t"),H14," ")</f>
        <v> </v>
      </c>
      <c r="W14" s="17" t="str">
        <f aca="false">IF((E14="q"),H14," ")</f>
        <v> </v>
      </c>
      <c r="X14" s="17" t="str">
        <f aca="false">IF((E14="m"),H14," ")</f>
        <v> </v>
      </c>
      <c r="Y14" s="17" t="str">
        <f aca="false">IF((E14="u"),H14," ")</f>
        <v> </v>
      </c>
      <c r="Z14" s="17" t="str">
        <f aca="false">IF((E14="a"),H14," ")</f>
        <v> </v>
      </c>
      <c r="AA14" s="17" t="str">
        <f aca="false">IF((E14="g"),H14," ")</f>
        <v> </v>
      </c>
      <c r="AB14" s="17" t="str">
        <f aca="false">IF((E14="h"),H14," ")</f>
        <v> </v>
      </c>
      <c r="AC14" s="30" t="n">
        <f aca="false">IF((E14="v"),H14," ")</f>
        <v>150</v>
      </c>
      <c r="AD14" s="30" t="str">
        <f aca="false">IF((E14="n"),H14," ")</f>
        <v> </v>
      </c>
      <c r="AE14" s="17" t="str">
        <f aca="false">IF((E14="f"),H14," ")</f>
        <v> </v>
      </c>
      <c r="AF14" s="17" t="str">
        <f aca="false">IF((E14="l"),H14," ")</f>
        <v> </v>
      </c>
      <c r="AG14" s="17" t="str">
        <f aca="false">IF((E14="y"),H14," ")</f>
        <v> </v>
      </c>
      <c r="AH14" s="17" t="str">
        <f aca="false">IF((E14="z"),H14," ")</f>
        <v> </v>
      </c>
      <c r="AI14" s="17" t="str">
        <f aca="false">IF((E14="fa"),H14," ")</f>
        <v> </v>
      </c>
      <c r="AJ14" s="17" t="str">
        <f aca="false">IF((E14="e"),H14," ")</f>
        <v> </v>
      </c>
      <c r="BZ14" s="2" t="s">
        <v>107</v>
      </c>
    </row>
    <row r="15" customFormat="false" ht="12" hidden="false" customHeight="false" outlineLevel="0" collapsed="false">
      <c r="A15" s="28" t="n">
        <v>46635</v>
      </c>
      <c r="B15" s="2" t="s">
        <v>108</v>
      </c>
      <c r="D15" s="2" t="s">
        <v>109</v>
      </c>
      <c r="E15" s="2" t="s">
        <v>86</v>
      </c>
      <c r="F15" s="30" t="n">
        <v>36</v>
      </c>
      <c r="G15" s="6" t="n">
        <f aca="false">IF(F15&lt;&gt;0,F15*G$2/(100+G$2)," ")</f>
        <v>6</v>
      </c>
      <c r="H15" s="6" t="n">
        <f aca="false">IF((F15&lt;&gt;0),F15-G15," ")</f>
        <v>30</v>
      </c>
      <c r="I15" s="5"/>
      <c r="L15" s="7" t="n">
        <f aca="false">IF(F15&lt;&gt;0,F15-K15," ")</f>
        <v>36</v>
      </c>
      <c r="M15" s="8" t="n">
        <f aca="false">IF((F15-K15)&lt;&gt;0,M$1-A15," ")</f>
        <v>-357</v>
      </c>
      <c r="N15" s="5"/>
      <c r="O15" s="17" t="str">
        <f aca="false">IF((E15="s"),H15," ")</f>
        <v> </v>
      </c>
      <c r="P15" s="17" t="str">
        <f aca="false">IF((E15="c"),H15," ")</f>
        <v> </v>
      </c>
      <c r="Q15" s="17" t="n">
        <f aca="false">IF((E15="o"),H15," ")</f>
        <v>30</v>
      </c>
      <c r="R15" s="17" t="str">
        <f aca="false">IF((E15="d"),H15," ")</f>
        <v> </v>
      </c>
      <c r="S15" s="17" t="str">
        <f aca="false">IF((E15="w"),H15," ")</f>
        <v> </v>
      </c>
      <c r="T15" s="17" t="str">
        <f aca="false">IF((E15="r"),H15," ")</f>
        <v> </v>
      </c>
      <c r="U15" s="17" t="str">
        <f aca="false">IF((E15="p"),H15," ")</f>
        <v> </v>
      </c>
      <c r="V15" s="17" t="str">
        <f aca="false">IF((E15="t"),H15," ")</f>
        <v> </v>
      </c>
      <c r="W15" s="17" t="str">
        <f aca="false">IF((E15="q"),H15," ")</f>
        <v> </v>
      </c>
      <c r="X15" s="17" t="str">
        <f aca="false">IF((E15="m"),H15," ")</f>
        <v> </v>
      </c>
      <c r="Y15" s="17" t="str">
        <f aca="false">IF((E15="u"),H15," ")</f>
        <v> </v>
      </c>
      <c r="Z15" s="17" t="str">
        <f aca="false">IF((E15="a"),H15," ")</f>
        <v> </v>
      </c>
      <c r="AA15" s="17" t="str">
        <f aca="false">IF((E15="g"),H15," ")</f>
        <v> </v>
      </c>
      <c r="AB15" s="17" t="str">
        <f aca="false">IF((E15="h"),H15," ")</f>
        <v> </v>
      </c>
      <c r="AC15" s="30" t="str">
        <f aca="false">IF((E15="v"),H15," ")</f>
        <v> </v>
      </c>
      <c r="AD15" s="30" t="str">
        <f aca="false">IF((E15="n"),H15," ")</f>
        <v> </v>
      </c>
      <c r="AE15" s="17" t="str">
        <f aca="false">IF((E15="f"),H15," ")</f>
        <v> </v>
      </c>
      <c r="AF15" s="17" t="str">
        <f aca="false">IF((E15="l"),H15," ")</f>
        <v> </v>
      </c>
      <c r="AG15" s="17" t="str">
        <f aca="false">IF((E15="y"),H15," ")</f>
        <v> </v>
      </c>
      <c r="AH15" s="17" t="str">
        <f aca="false">IF((E15="z"),H15," ")</f>
        <v> </v>
      </c>
      <c r="AI15" s="17" t="str">
        <f aca="false">IF((E15="fa"),H15," ")</f>
        <v> </v>
      </c>
      <c r="AJ15" s="17" t="str">
        <f aca="false">IF((E15="e"),H15," ")</f>
        <v> </v>
      </c>
      <c r="BZ15" s="2" t="s">
        <v>87</v>
      </c>
    </row>
    <row r="16" customFormat="false" ht="12" hidden="false" customHeight="false" outlineLevel="0" collapsed="false">
      <c r="A16" s="28" t="n">
        <v>46636</v>
      </c>
      <c r="B16" s="2" t="s">
        <v>153</v>
      </c>
      <c r="D16" s="2" t="s">
        <v>154</v>
      </c>
      <c r="E16" s="2" t="s">
        <v>112</v>
      </c>
      <c r="F16" s="30" t="n">
        <v>36</v>
      </c>
      <c r="G16" s="6" t="n">
        <f aca="false">IF(F16&lt;&gt;0,F16*G$2/(100+G$2)," ")</f>
        <v>6</v>
      </c>
      <c r="H16" s="6" t="n">
        <f aca="false">IF((F16&lt;&gt;0),F16-G16," ")</f>
        <v>30</v>
      </c>
      <c r="I16" s="5"/>
      <c r="L16" s="7" t="n">
        <f aca="false">IF(F16&lt;&gt;0,F16-K16," ")</f>
        <v>36</v>
      </c>
      <c r="M16" s="8" t="n">
        <f aca="false">IF((F16-K16)&lt;&gt;0,M$1-A16," ")</f>
        <v>-358</v>
      </c>
      <c r="N16" s="5"/>
      <c r="O16" s="17" t="str">
        <f aca="false">IF((E16="s"),H16," ")</f>
        <v> </v>
      </c>
      <c r="P16" s="17" t="str">
        <f aca="false">IF((E16="c"),H16," ")</f>
        <v> </v>
      </c>
      <c r="Q16" s="17" t="str">
        <f aca="false">IF((E16="o"),H16," ")</f>
        <v> </v>
      </c>
      <c r="R16" s="17" t="str">
        <f aca="false">IF((E16="d"),H16," ")</f>
        <v> </v>
      </c>
      <c r="S16" s="17" t="str">
        <f aca="false">IF((E16="w"),H16," ")</f>
        <v> </v>
      </c>
      <c r="T16" s="17" t="str">
        <f aca="false">IF((E16="r"),H16," ")</f>
        <v> </v>
      </c>
      <c r="U16" s="17" t="str">
        <f aca="false">IF((E16="p"),H16," ")</f>
        <v> </v>
      </c>
      <c r="V16" s="17" t="str">
        <f aca="false">IF((E16="t"),H16," ")</f>
        <v> </v>
      </c>
      <c r="W16" s="17" t="str">
        <f aca="false">IF((E16="q"),H16," ")</f>
        <v> </v>
      </c>
      <c r="X16" s="17" t="str">
        <f aca="false">IF((E16="m"),H16," ")</f>
        <v> </v>
      </c>
      <c r="Y16" s="17" t="str">
        <f aca="false">IF((E16="u"),H16," ")</f>
        <v> </v>
      </c>
      <c r="Z16" s="17" t="str">
        <f aca="false">IF((E16="a"),H16," ")</f>
        <v> </v>
      </c>
      <c r="AA16" s="17" t="str">
        <f aca="false">IF((E16="g"),H16," ")</f>
        <v> </v>
      </c>
      <c r="AB16" s="17" t="n">
        <f aca="false">IF((E16="h"),H16," ")</f>
        <v>30</v>
      </c>
      <c r="AC16" s="30" t="str">
        <f aca="false">IF((E16="v"),H16," ")</f>
        <v> </v>
      </c>
      <c r="AD16" s="30" t="str">
        <f aca="false">IF((E16="n"),H16," ")</f>
        <v> </v>
      </c>
      <c r="AE16" s="17" t="str">
        <f aca="false">IF((E16="f"),H16," ")</f>
        <v> </v>
      </c>
      <c r="AF16" s="17" t="str">
        <f aca="false">IF((E16="l"),H16," ")</f>
        <v> </v>
      </c>
      <c r="AG16" s="17" t="str">
        <f aca="false">IF((E16="y"),H16," ")</f>
        <v> </v>
      </c>
      <c r="AH16" s="17" t="str">
        <f aca="false">IF((E16="z"),H16," ")</f>
        <v> </v>
      </c>
      <c r="AI16" s="17" t="str">
        <f aca="false">IF((E16="fa"),H16," ")</f>
        <v> </v>
      </c>
      <c r="AJ16" s="17" t="str">
        <f aca="false">IF((E16="e"),H16," ")</f>
        <v> </v>
      </c>
      <c r="BZ16" s="2" t="s">
        <v>113</v>
      </c>
    </row>
    <row r="17" customFormat="false" ht="12" hidden="false" customHeight="false" outlineLevel="0" collapsed="false">
      <c r="A17" s="28" t="n">
        <v>46638</v>
      </c>
      <c r="B17" s="2" t="s">
        <v>110</v>
      </c>
      <c r="D17" s="2" t="s">
        <v>111</v>
      </c>
      <c r="E17" s="2" t="s">
        <v>112</v>
      </c>
      <c r="F17" s="30" t="n">
        <v>48</v>
      </c>
      <c r="G17" s="6" t="n">
        <f aca="false">IF(F17&lt;&gt;0,F17*G$2/(100+G$2)," ")</f>
        <v>8</v>
      </c>
      <c r="H17" s="6" t="n">
        <f aca="false">IF((F17&lt;&gt;0),F17-G17," ")</f>
        <v>40</v>
      </c>
      <c r="I17" s="5"/>
      <c r="L17" s="7" t="n">
        <f aca="false">IF(F17&lt;&gt;0,F17-K17," ")</f>
        <v>48</v>
      </c>
      <c r="M17" s="8" t="n">
        <f aca="false">IF((F17-K17)&lt;&gt;0,M$1-A17," ")</f>
        <v>-360</v>
      </c>
      <c r="N17" s="5"/>
      <c r="O17" s="17" t="str">
        <f aca="false">IF((E17="s"),H17," ")</f>
        <v> </v>
      </c>
      <c r="P17" s="17" t="str">
        <f aca="false">IF((E17="c"),H17," ")</f>
        <v> </v>
      </c>
      <c r="Q17" s="17" t="str">
        <f aca="false">IF((E17="o"),H17," ")</f>
        <v> </v>
      </c>
      <c r="R17" s="17" t="str">
        <f aca="false">IF((E17="d"),H17," ")</f>
        <v> </v>
      </c>
      <c r="S17" s="17" t="str">
        <f aca="false">IF((E17="w"),H17," ")</f>
        <v> </v>
      </c>
      <c r="T17" s="17" t="str">
        <f aca="false">IF((E17="r"),H17," ")</f>
        <v> </v>
      </c>
      <c r="U17" s="17" t="str">
        <f aca="false">IF((E17="p"),H17," ")</f>
        <v> </v>
      </c>
      <c r="V17" s="17" t="str">
        <f aca="false">IF((E17="t"),H17," ")</f>
        <v> </v>
      </c>
      <c r="W17" s="17" t="str">
        <f aca="false">IF((E17="q"),H17," ")</f>
        <v> </v>
      </c>
      <c r="X17" s="17" t="str">
        <f aca="false">IF((E17="m"),H17," ")</f>
        <v> </v>
      </c>
      <c r="Y17" s="17" t="str">
        <f aca="false">IF((E17="u"),H17," ")</f>
        <v> </v>
      </c>
      <c r="Z17" s="17" t="str">
        <f aca="false">IF((E17="a"),H17," ")</f>
        <v> </v>
      </c>
      <c r="AA17" s="17" t="str">
        <f aca="false">IF((E17="g"),H17," ")</f>
        <v> </v>
      </c>
      <c r="AB17" s="17" t="n">
        <f aca="false">IF((E17="h"),H17," ")</f>
        <v>40</v>
      </c>
      <c r="AC17" s="30" t="str">
        <f aca="false">IF((E17="v"),H17," ")</f>
        <v> </v>
      </c>
      <c r="AD17" s="30" t="str">
        <f aca="false">IF((E17="n"),H17," ")</f>
        <v> </v>
      </c>
      <c r="AE17" s="17" t="str">
        <f aca="false">IF((E17="f"),H17," ")</f>
        <v> </v>
      </c>
      <c r="AF17" s="17" t="str">
        <f aca="false">IF((E17="l"),H17," ")</f>
        <v> </v>
      </c>
      <c r="AG17" s="17" t="str">
        <f aca="false">IF((E17="y"),H17," ")</f>
        <v> </v>
      </c>
      <c r="AH17" s="17" t="str">
        <f aca="false">IF((E17="z"),H17," ")</f>
        <v> </v>
      </c>
      <c r="AI17" s="17" t="str">
        <f aca="false">IF((E17="fa"),H17," ")</f>
        <v> </v>
      </c>
      <c r="AJ17" s="17" t="str">
        <f aca="false">IF((E17="e"),H17," ")</f>
        <v> </v>
      </c>
      <c r="BZ17" s="2" t="s">
        <v>113</v>
      </c>
    </row>
    <row r="18" customFormat="false" ht="12" hidden="false" customHeight="false" outlineLevel="0" collapsed="false">
      <c r="A18" s="28" t="n">
        <v>46640</v>
      </c>
      <c r="B18" s="2" t="s">
        <v>114</v>
      </c>
      <c r="D18" s="2" t="s">
        <v>115</v>
      </c>
      <c r="E18" s="2" t="s">
        <v>100</v>
      </c>
      <c r="F18" s="30" t="n">
        <v>36</v>
      </c>
      <c r="G18" s="6" t="n">
        <f aca="false">IF(F18&lt;&gt;0,F18*G$2/(100+G$2)," ")</f>
        <v>6</v>
      </c>
      <c r="H18" s="6" t="n">
        <f aca="false">IF((F18&lt;&gt;0),F18-G18," ")</f>
        <v>30</v>
      </c>
      <c r="I18" s="5"/>
      <c r="L18" s="7" t="n">
        <f aca="false">IF(F18&lt;&gt;0,F18-K18," ")</f>
        <v>36</v>
      </c>
      <c r="M18" s="8" t="n">
        <f aca="false">IF((F18-K18)&lt;&gt;0,M$1-A18," ")</f>
        <v>-362</v>
      </c>
      <c r="N18" s="5"/>
      <c r="O18" s="17" t="str">
        <f aca="false">IF((E18="s"),H18," ")</f>
        <v> </v>
      </c>
      <c r="P18" s="17" t="str">
        <f aca="false">IF((E18="c"),H18," ")</f>
        <v> </v>
      </c>
      <c r="Q18" s="17" t="str">
        <f aca="false">IF((E18="o"),H18," ")</f>
        <v> </v>
      </c>
      <c r="R18" s="17" t="str">
        <f aca="false">IF((E18="d"),H18," ")</f>
        <v> </v>
      </c>
      <c r="S18" s="17" t="str">
        <f aca="false">IF((E18="w"),H18," ")</f>
        <v> </v>
      </c>
      <c r="T18" s="17" t="str">
        <f aca="false">IF((E18="r"),H18," ")</f>
        <v> </v>
      </c>
      <c r="U18" s="17" t="str">
        <f aca="false">IF((E18="p"),H18," ")</f>
        <v> </v>
      </c>
      <c r="V18" s="17" t="str">
        <f aca="false">IF((E18="t"),H18," ")</f>
        <v> </v>
      </c>
      <c r="W18" s="17" t="str">
        <f aca="false">IF((E18="q"),H18," ")</f>
        <v> </v>
      </c>
      <c r="X18" s="17" t="str">
        <f aca="false">IF((E18="m"),H18," ")</f>
        <v> </v>
      </c>
      <c r="Y18" s="17" t="n">
        <f aca="false">IF((E18="u"),H18," ")</f>
        <v>30</v>
      </c>
      <c r="Z18" s="17" t="str">
        <f aca="false">IF((E18="a"),H18," ")</f>
        <v> </v>
      </c>
      <c r="AA18" s="17" t="str">
        <f aca="false">IF((E18="g"),H18," ")</f>
        <v> </v>
      </c>
      <c r="AB18" s="17" t="str">
        <f aca="false">IF((E18="h"),H18," ")</f>
        <v> </v>
      </c>
      <c r="AC18" s="30" t="str">
        <f aca="false">IF((E18="v"),H18," ")</f>
        <v> </v>
      </c>
      <c r="AD18" s="30" t="str">
        <f aca="false">IF((E18="n"),H18," ")</f>
        <v> </v>
      </c>
      <c r="AE18" s="17" t="str">
        <f aca="false">IF((E18="f"),H18," ")</f>
        <v> </v>
      </c>
      <c r="AF18" s="17" t="str">
        <f aca="false">IF((E18="l"),H18," ")</f>
        <v> </v>
      </c>
      <c r="AG18" s="17" t="str">
        <f aca="false">IF((E18="y"),H18," ")</f>
        <v> </v>
      </c>
      <c r="AH18" s="17" t="str">
        <f aca="false">IF((E18="z"),H18," ")</f>
        <v> </v>
      </c>
      <c r="AI18" s="17" t="str">
        <f aca="false">IF((E18="fa"),H18," ")</f>
        <v> </v>
      </c>
      <c r="AJ18" s="17" t="str">
        <f aca="false">IF((E18="e"),H18," ")</f>
        <v> </v>
      </c>
      <c r="BZ18" s="2" t="s">
        <v>101</v>
      </c>
    </row>
    <row r="19" customFormat="false" ht="12" hidden="false" customHeight="false" outlineLevel="0" collapsed="false">
      <c r="A19" s="28" t="n">
        <v>46642</v>
      </c>
      <c r="B19" s="2" t="s">
        <v>124</v>
      </c>
      <c r="D19" s="2" t="s">
        <v>125</v>
      </c>
      <c r="E19" s="2" t="s">
        <v>106</v>
      </c>
      <c r="F19" s="30" t="n">
        <v>18</v>
      </c>
      <c r="G19" s="6" t="n">
        <f aca="false">IF(F19&lt;&gt;0,F19*G$2/(100+G$2)," ")</f>
        <v>3</v>
      </c>
      <c r="H19" s="6" t="n">
        <f aca="false">IF((F19&lt;&gt;0),F19-G19," ")</f>
        <v>15</v>
      </c>
      <c r="I19" s="5"/>
      <c r="L19" s="7" t="n">
        <f aca="false">IF(F19&lt;&gt;0,F19-K19," ")</f>
        <v>18</v>
      </c>
      <c r="M19" s="8" t="n">
        <f aca="false">IF((F19-K19)&lt;&gt;0,M$1-A19," ")</f>
        <v>-364</v>
      </c>
      <c r="N19" s="5"/>
      <c r="O19" s="17" t="str">
        <f aca="false">IF((E19="s"),H19," ")</f>
        <v> </v>
      </c>
      <c r="P19" s="17" t="str">
        <f aca="false">IF((E19="c"),H19," ")</f>
        <v> </v>
      </c>
      <c r="Q19" s="17" t="str">
        <f aca="false">IF((E19="o"),H19," ")</f>
        <v> </v>
      </c>
      <c r="R19" s="17" t="str">
        <f aca="false">IF((E19="d"),H19," ")</f>
        <v> </v>
      </c>
      <c r="S19" s="17" t="str">
        <f aca="false">IF((E19="w"),H19," ")</f>
        <v> </v>
      </c>
      <c r="T19" s="17" t="str">
        <f aca="false">IF((E19="r"),H19," ")</f>
        <v> </v>
      </c>
      <c r="U19" s="17" t="str">
        <f aca="false">IF((E19="p"),H19," ")</f>
        <v> </v>
      </c>
      <c r="V19" s="17" t="str">
        <f aca="false">IF((E19="t"),H19," ")</f>
        <v> </v>
      </c>
      <c r="W19" s="17" t="str">
        <f aca="false">IF((E19="q"),H19," ")</f>
        <v> </v>
      </c>
      <c r="X19" s="17" t="str">
        <f aca="false">IF((E19="m"),H19," ")</f>
        <v> </v>
      </c>
      <c r="Y19" s="17" t="str">
        <f aca="false">IF((E19="u"),H19," ")</f>
        <v> </v>
      </c>
      <c r="Z19" s="17" t="str">
        <f aca="false">IF((E19="a"),H19," ")</f>
        <v> </v>
      </c>
      <c r="AA19" s="17" t="str">
        <f aca="false">IF((E19="g"),H19," ")</f>
        <v> </v>
      </c>
      <c r="AB19" s="17" t="str">
        <f aca="false">IF((E19="h"),H19," ")</f>
        <v> </v>
      </c>
      <c r="AC19" s="30" t="n">
        <f aca="false">IF((E19="v"),H19," ")</f>
        <v>15</v>
      </c>
      <c r="AD19" s="30" t="str">
        <f aca="false">IF((E19="n"),H19," ")</f>
        <v> </v>
      </c>
      <c r="AE19" s="17" t="str">
        <f aca="false">IF((E19="f"),H19," ")</f>
        <v> </v>
      </c>
      <c r="AF19" s="17" t="str">
        <f aca="false">IF((E19="l"),H19," ")</f>
        <v> </v>
      </c>
      <c r="AG19" s="17" t="str">
        <f aca="false">IF((E19="y"),H19," ")</f>
        <v> </v>
      </c>
      <c r="AH19" s="17" t="str">
        <f aca="false">IF((E19="z"),H19," ")</f>
        <v> </v>
      </c>
      <c r="AI19" s="17" t="str">
        <f aca="false">IF((E19="fa"),H19," ")</f>
        <v> </v>
      </c>
      <c r="AJ19" s="17" t="str">
        <f aca="false">IF((E19="e"),H19," ")</f>
        <v> </v>
      </c>
      <c r="BZ19" s="2" t="s">
        <v>107</v>
      </c>
    </row>
    <row r="20" customFormat="false" ht="12" hidden="false" customHeight="false" outlineLevel="0" collapsed="false">
      <c r="A20" s="28" t="n">
        <v>46642</v>
      </c>
      <c r="B20" s="2" t="s">
        <v>210</v>
      </c>
      <c r="D20" s="2" t="s">
        <v>211</v>
      </c>
      <c r="E20" s="2" t="s">
        <v>157</v>
      </c>
      <c r="F20" s="30" t="n">
        <v>360</v>
      </c>
      <c r="G20" s="6" t="n">
        <f aca="false">IF(F20&lt;&gt;0,F20*G$2/(100+G$2)," ")</f>
        <v>60</v>
      </c>
      <c r="H20" s="6" t="n">
        <f aca="false">IF((F20&lt;&gt;0),F20-G20," ")</f>
        <v>300</v>
      </c>
      <c r="I20" s="5"/>
      <c r="L20" s="7" t="n">
        <f aca="false">IF(F20&lt;&gt;0,F20-K20," ")</f>
        <v>360</v>
      </c>
      <c r="M20" s="8" t="n">
        <f aca="false">IF((F20-K20)&lt;&gt;0,M$1-A20," ")</f>
        <v>-364</v>
      </c>
      <c r="N20" s="5"/>
      <c r="O20" s="17" t="str">
        <f aca="false">IF((E20="s"),H20," ")</f>
        <v> </v>
      </c>
      <c r="P20" s="17" t="str">
        <f aca="false">IF((E20="c"),H20," ")</f>
        <v> </v>
      </c>
      <c r="Q20" s="17" t="str">
        <f aca="false">IF((E20="o"),H20," ")</f>
        <v> </v>
      </c>
      <c r="R20" s="17" t="str">
        <f aca="false">IF((E20="d"),H20," ")</f>
        <v> </v>
      </c>
      <c r="S20" s="17" t="str">
        <f aca="false">IF((E20="w"),H20," ")</f>
        <v> </v>
      </c>
      <c r="T20" s="17" t="str">
        <f aca="false">IF((E20="r"),H20," ")</f>
        <v> </v>
      </c>
      <c r="U20" s="17" t="str">
        <f aca="false">IF((E20="p"),H20," ")</f>
        <v> </v>
      </c>
      <c r="V20" s="17" t="str">
        <f aca="false">IF((E20="t"),H20," ")</f>
        <v> </v>
      </c>
      <c r="W20" s="17" t="n">
        <f aca="false">IF((E20="q"),H20," ")</f>
        <v>300</v>
      </c>
      <c r="X20" s="17" t="str">
        <f aca="false">IF((E20="m"),H20," ")</f>
        <v> </v>
      </c>
      <c r="Y20" s="17" t="str">
        <f aca="false">IF((E20="u"),H20," ")</f>
        <v> </v>
      </c>
      <c r="Z20" s="17" t="str">
        <f aca="false">IF((E20="a"),H20," ")</f>
        <v> </v>
      </c>
      <c r="AA20" s="17" t="str">
        <f aca="false">IF((E20="g"),H20," ")</f>
        <v> </v>
      </c>
      <c r="AB20" s="17" t="str">
        <f aca="false">IF((E20="h"),H20," ")</f>
        <v> </v>
      </c>
      <c r="AC20" s="30" t="str">
        <f aca="false">IF((E20="v"),H20," ")</f>
        <v> </v>
      </c>
      <c r="AD20" s="30" t="str">
        <f aca="false">IF((E20="n"),H20," ")</f>
        <v> </v>
      </c>
      <c r="AE20" s="17" t="str">
        <f aca="false">IF((E20="f"),H20," ")</f>
        <v> </v>
      </c>
      <c r="AF20" s="17" t="str">
        <f aca="false">IF((E20="l"),H20," ")</f>
        <v> </v>
      </c>
      <c r="AG20" s="17" t="str">
        <f aca="false">IF((E20="y"),H20," ")</f>
        <v> </v>
      </c>
      <c r="AH20" s="17" t="str">
        <f aca="false">IF((E20="z"),H20," ")</f>
        <v> </v>
      </c>
      <c r="AI20" s="17" t="str">
        <f aca="false">IF((E20="fa"),H20," ")</f>
        <v> </v>
      </c>
      <c r="AJ20" s="17" t="str">
        <f aca="false">IF((E20="e"),H20," ")</f>
        <v> </v>
      </c>
      <c r="BZ20" s="2" t="s">
        <v>158</v>
      </c>
    </row>
    <row r="21" customFormat="false" ht="12" hidden="false" customHeight="false" outlineLevel="0" collapsed="false">
      <c r="A21" s="28" t="n">
        <v>46644</v>
      </c>
      <c r="B21" s="2" t="s">
        <v>126</v>
      </c>
      <c r="D21" s="2" t="s">
        <v>127</v>
      </c>
      <c r="E21" s="2" t="s">
        <v>100</v>
      </c>
      <c r="F21" s="30" t="n">
        <v>18</v>
      </c>
      <c r="G21" s="6" t="n">
        <f aca="false">IF(F21&lt;&gt;0,F21*G$2/(100+G$2)," ")</f>
        <v>3</v>
      </c>
      <c r="H21" s="6" t="n">
        <f aca="false">IF((F21&lt;&gt;0),F21-G21," ")</f>
        <v>15</v>
      </c>
      <c r="I21" s="5"/>
      <c r="L21" s="7" t="n">
        <f aca="false">IF(F21&lt;&gt;0,F21-K21," ")</f>
        <v>18</v>
      </c>
      <c r="M21" s="8" t="n">
        <f aca="false">IF((F21-K21)&lt;&gt;0,M$1-A21," ")</f>
        <v>-366</v>
      </c>
      <c r="N21" s="5"/>
      <c r="O21" s="17" t="str">
        <f aca="false">IF((E21="s"),H21," ")</f>
        <v> </v>
      </c>
      <c r="P21" s="17" t="str">
        <f aca="false">IF((E21="c"),H21," ")</f>
        <v> </v>
      </c>
      <c r="Q21" s="17" t="str">
        <f aca="false">IF((E21="o"),H21," ")</f>
        <v> </v>
      </c>
      <c r="R21" s="17" t="str">
        <f aca="false">IF((E21="d"),H21," ")</f>
        <v> </v>
      </c>
      <c r="S21" s="17" t="str">
        <f aca="false">IF((E21="w"),H21," ")</f>
        <v> </v>
      </c>
      <c r="T21" s="17" t="str">
        <f aca="false">IF((E21="r"),H21," ")</f>
        <v> </v>
      </c>
      <c r="U21" s="17" t="str">
        <f aca="false">IF((E21="p"),H21," ")</f>
        <v> </v>
      </c>
      <c r="V21" s="17" t="str">
        <f aca="false">IF((E21="t"),H21," ")</f>
        <v> </v>
      </c>
      <c r="W21" s="17" t="str">
        <f aca="false">IF((E21="q"),H21," ")</f>
        <v> </v>
      </c>
      <c r="X21" s="17" t="str">
        <f aca="false">IF((E21="m"),H21," ")</f>
        <v> </v>
      </c>
      <c r="Y21" s="17" t="n">
        <f aca="false">IF((E21="u"),H21," ")</f>
        <v>15</v>
      </c>
      <c r="Z21" s="17" t="str">
        <f aca="false">IF((E21="a"),H21," ")</f>
        <v> </v>
      </c>
      <c r="AA21" s="17" t="str">
        <f aca="false">IF((E21="g"),H21," ")</f>
        <v> </v>
      </c>
      <c r="AB21" s="17" t="str">
        <f aca="false">IF((E21="h"),H21," ")</f>
        <v> </v>
      </c>
      <c r="AC21" s="30" t="str">
        <f aca="false">IF((E21="v"),H21," ")</f>
        <v> </v>
      </c>
      <c r="AD21" s="30" t="str">
        <f aca="false">IF((E21="n"),H21," ")</f>
        <v> </v>
      </c>
      <c r="AE21" s="17" t="str">
        <f aca="false">IF((E21="f"),H21," ")</f>
        <v> </v>
      </c>
      <c r="AF21" s="17" t="str">
        <f aca="false">IF((E21="l"),H21," ")</f>
        <v> </v>
      </c>
      <c r="AG21" s="17" t="str">
        <f aca="false">IF((E21="y"),H21," ")</f>
        <v> </v>
      </c>
      <c r="AH21" s="17" t="str">
        <f aca="false">IF((E21="z"),H21," ")</f>
        <v> </v>
      </c>
      <c r="AI21" s="17" t="str">
        <f aca="false">IF((E21="fa"),H21," ")</f>
        <v> </v>
      </c>
      <c r="AJ21" s="17" t="str">
        <f aca="false">IF((E21="e"),H21," ")</f>
        <v> </v>
      </c>
      <c r="BZ21" s="2" t="s">
        <v>101</v>
      </c>
    </row>
    <row r="22" customFormat="false" ht="12" hidden="false" customHeight="false" outlineLevel="0" collapsed="false">
      <c r="A22" s="28" t="n">
        <v>46644</v>
      </c>
      <c r="B22" s="2" t="s">
        <v>128</v>
      </c>
      <c r="D22" s="2" t="s">
        <v>129</v>
      </c>
      <c r="E22" s="2" t="s">
        <v>112</v>
      </c>
      <c r="F22" s="30" t="n">
        <v>24</v>
      </c>
      <c r="G22" s="6" t="n">
        <f aca="false">IF(F22&lt;&gt;0,F22*G$2/(100+G$2)," ")</f>
        <v>4</v>
      </c>
      <c r="H22" s="6" t="n">
        <f aca="false">IF((F22&lt;&gt;0),F22-G22," ")</f>
        <v>20</v>
      </c>
      <c r="I22" s="5"/>
      <c r="L22" s="7" t="n">
        <f aca="false">IF(F22&lt;&gt;0,F22-K22," ")</f>
        <v>24</v>
      </c>
      <c r="M22" s="8" t="n">
        <f aca="false">IF((F22-K22)&lt;&gt;0,M$1-A22," ")</f>
        <v>-366</v>
      </c>
      <c r="N22" s="5"/>
      <c r="O22" s="17" t="str">
        <f aca="false">IF((E22="s"),H22," ")</f>
        <v> </v>
      </c>
      <c r="P22" s="17" t="str">
        <f aca="false">IF((E22="c"),H22," ")</f>
        <v> </v>
      </c>
      <c r="Q22" s="17" t="str">
        <f aca="false">IF((E22="o"),H22," ")</f>
        <v> </v>
      </c>
      <c r="R22" s="17" t="str">
        <f aca="false">IF((E22="d"),H22," ")</f>
        <v> </v>
      </c>
      <c r="S22" s="17" t="str">
        <f aca="false">IF((E22="w"),H22," ")</f>
        <v> </v>
      </c>
      <c r="T22" s="17" t="str">
        <f aca="false">IF((E22="r"),H22," ")</f>
        <v> </v>
      </c>
      <c r="U22" s="17" t="str">
        <f aca="false">IF((E22="p"),H22," ")</f>
        <v> </v>
      </c>
      <c r="V22" s="17" t="str">
        <f aca="false">IF((E22="t"),H22," ")</f>
        <v> </v>
      </c>
      <c r="W22" s="17" t="str">
        <f aca="false">IF((E22="q"),H22," ")</f>
        <v> </v>
      </c>
      <c r="X22" s="17" t="str">
        <f aca="false">IF((E22="m"),H22," ")</f>
        <v> </v>
      </c>
      <c r="Y22" s="17" t="str">
        <f aca="false">IF((E22="u"),H22," ")</f>
        <v> </v>
      </c>
      <c r="Z22" s="17" t="str">
        <f aca="false">IF((E22="a"),H22," ")</f>
        <v> </v>
      </c>
      <c r="AA22" s="17" t="str">
        <f aca="false">IF((E22="g"),H22," ")</f>
        <v> </v>
      </c>
      <c r="AB22" s="17" t="n">
        <f aca="false">IF((E22="h"),H22," ")</f>
        <v>20</v>
      </c>
      <c r="AC22" s="30" t="str">
        <f aca="false">IF((E22="v"),H22," ")</f>
        <v> </v>
      </c>
      <c r="AD22" s="30" t="str">
        <f aca="false">IF((E22="n"),H22," ")</f>
        <v> </v>
      </c>
      <c r="AE22" s="17" t="str">
        <f aca="false">IF((E22="f"),H22," ")</f>
        <v> </v>
      </c>
      <c r="AF22" s="17" t="str">
        <f aca="false">IF((E22="l"),H22," ")</f>
        <v> </v>
      </c>
      <c r="AG22" s="17" t="str">
        <f aca="false">IF((E22="y"),H22," ")</f>
        <v> </v>
      </c>
      <c r="AH22" s="17" t="str">
        <f aca="false">IF((E22="z"),H22," ")</f>
        <v> </v>
      </c>
      <c r="AI22" s="17" t="str">
        <f aca="false">IF((E22="fa"),H22," ")</f>
        <v> </v>
      </c>
      <c r="AJ22" s="17" t="str">
        <f aca="false">IF((E22="e"),H22," ")</f>
        <v> </v>
      </c>
      <c r="BZ22" s="2" t="s">
        <v>113</v>
      </c>
    </row>
    <row r="23" customFormat="false" ht="12" hidden="false" customHeight="false" outlineLevel="0" collapsed="false">
      <c r="A23" s="28" t="n">
        <v>46644</v>
      </c>
      <c r="B23" s="2" t="s">
        <v>130</v>
      </c>
      <c r="D23" s="2" t="s">
        <v>131</v>
      </c>
      <c r="E23" s="2" t="s">
        <v>112</v>
      </c>
      <c r="F23" s="30" t="n">
        <v>12</v>
      </c>
      <c r="G23" s="6" t="n">
        <f aca="false">IF(F23&lt;&gt;0,F23*G$2/(100+G$2)," ")</f>
        <v>2</v>
      </c>
      <c r="H23" s="6" t="n">
        <f aca="false">IF((F23&lt;&gt;0),F23-G23," ")</f>
        <v>10</v>
      </c>
      <c r="I23" s="5"/>
      <c r="L23" s="7" t="n">
        <f aca="false">IF(F23&lt;&gt;0,F23-K23," ")</f>
        <v>12</v>
      </c>
      <c r="M23" s="8" t="n">
        <f aca="false">IF((F23-K23)&lt;&gt;0,M$1-A23," ")</f>
        <v>-366</v>
      </c>
      <c r="N23" s="5"/>
      <c r="O23" s="17" t="str">
        <f aca="false">IF((E23="s"),H23," ")</f>
        <v> </v>
      </c>
      <c r="P23" s="17" t="str">
        <f aca="false">IF((E23="c"),H23," ")</f>
        <v> </v>
      </c>
      <c r="Q23" s="17" t="str">
        <f aca="false">IF((E23="o"),H23," ")</f>
        <v> </v>
      </c>
      <c r="R23" s="17" t="str">
        <f aca="false">IF((E23="d"),H23," ")</f>
        <v> </v>
      </c>
      <c r="S23" s="17" t="str">
        <f aca="false">IF((E23="w"),H23," ")</f>
        <v> </v>
      </c>
      <c r="T23" s="17" t="str">
        <f aca="false">IF((E23="r"),H23," ")</f>
        <v> </v>
      </c>
      <c r="U23" s="17" t="str">
        <f aca="false">IF((E23="p"),H23," ")</f>
        <v> </v>
      </c>
      <c r="V23" s="17" t="str">
        <f aca="false">IF((E23="t"),H23," ")</f>
        <v> </v>
      </c>
      <c r="W23" s="17" t="str">
        <f aca="false">IF((E23="q"),H23," ")</f>
        <v> </v>
      </c>
      <c r="X23" s="17" t="str">
        <f aca="false">IF((E23="m"),H23," ")</f>
        <v> </v>
      </c>
      <c r="Y23" s="17" t="str">
        <f aca="false">IF((E23="u"),H23," ")</f>
        <v> </v>
      </c>
      <c r="Z23" s="17" t="str">
        <f aca="false">IF((E23="a"),H23," ")</f>
        <v> </v>
      </c>
      <c r="AA23" s="17" t="str">
        <f aca="false">IF((E23="g"),H23," ")</f>
        <v> </v>
      </c>
      <c r="AB23" s="17" t="n">
        <f aca="false">IF((E23="h"),H23," ")</f>
        <v>10</v>
      </c>
      <c r="AC23" s="30" t="str">
        <f aca="false">IF((E23="v"),H23," ")</f>
        <v> </v>
      </c>
      <c r="AD23" s="30" t="str">
        <f aca="false">IF((E23="n"),H23," ")</f>
        <v> </v>
      </c>
      <c r="AE23" s="17" t="str">
        <f aca="false">IF((E23="f"),H23," ")</f>
        <v> </v>
      </c>
      <c r="AF23" s="17" t="str">
        <f aca="false">IF((E23="l"),H23," ")</f>
        <v> </v>
      </c>
      <c r="AG23" s="17" t="str">
        <f aca="false">IF((E23="y"),H23," ")</f>
        <v> </v>
      </c>
      <c r="AH23" s="17" t="str">
        <f aca="false">IF((E23="z"),H23," ")</f>
        <v> </v>
      </c>
      <c r="AI23" s="17" t="str">
        <f aca="false">IF((E23="fa"),H23," ")</f>
        <v> </v>
      </c>
      <c r="AJ23" s="17" t="str">
        <f aca="false">IF((E23="e"),H23," ")</f>
        <v> </v>
      </c>
      <c r="BZ23" s="2" t="s">
        <v>113</v>
      </c>
    </row>
    <row r="24" customFormat="false" ht="12" hidden="false" customHeight="false" outlineLevel="0" collapsed="false">
      <c r="A24" s="28" t="n">
        <v>46645</v>
      </c>
      <c r="B24" s="2" t="s">
        <v>20</v>
      </c>
      <c r="D24" s="2" t="s">
        <v>105</v>
      </c>
      <c r="E24" s="2" t="s">
        <v>106</v>
      </c>
      <c r="F24" s="30" t="n">
        <v>150</v>
      </c>
      <c r="G24" s="6" t="n">
        <f aca="false">IF(F24&lt;&gt;0,F24*G$2/(100+G$2)," ")</f>
        <v>25</v>
      </c>
      <c r="H24" s="6" t="n">
        <f aca="false">IF((F24&lt;&gt;0),F24-G24," ")</f>
        <v>125</v>
      </c>
      <c r="I24" s="5"/>
      <c r="L24" s="7" t="n">
        <f aca="false">IF(F24&lt;&gt;0,F24-K24," ")</f>
        <v>150</v>
      </c>
      <c r="M24" s="8" t="n">
        <f aca="false">IF((F24-K24)&lt;&gt;0,M$1-A24," ")</f>
        <v>-367</v>
      </c>
      <c r="N24" s="5"/>
      <c r="O24" s="17" t="str">
        <f aca="false">IF((E24="s"),H24," ")</f>
        <v> </v>
      </c>
      <c r="P24" s="17" t="str">
        <f aca="false">IF((E24="c"),H24," ")</f>
        <v> </v>
      </c>
      <c r="Q24" s="17" t="str">
        <f aca="false">IF((E24="o"),H24," ")</f>
        <v> </v>
      </c>
      <c r="R24" s="17" t="str">
        <f aca="false">IF((E24="d"),H24," ")</f>
        <v> </v>
      </c>
      <c r="S24" s="17" t="str">
        <f aca="false">IF((E24="w"),H24," ")</f>
        <v> </v>
      </c>
      <c r="T24" s="17" t="str">
        <f aca="false">IF((E24="r"),H24," ")</f>
        <v> </v>
      </c>
      <c r="U24" s="17" t="str">
        <f aca="false">IF((E24="p"),H24," ")</f>
        <v> </v>
      </c>
      <c r="V24" s="17" t="str">
        <f aca="false">IF((E24="t"),H24," ")</f>
        <v> </v>
      </c>
      <c r="W24" s="17" t="str">
        <f aca="false">IF((E24="q"),H24," ")</f>
        <v> </v>
      </c>
      <c r="X24" s="17" t="str">
        <f aca="false">IF((E24="m"),H24," ")</f>
        <v> </v>
      </c>
      <c r="Y24" s="17" t="str">
        <f aca="false">IF((E24="u"),H24," ")</f>
        <v> </v>
      </c>
      <c r="Z24" s="17" t="str">
        <f aca="false">IF((E24="a"),H24," ")</f>
        <v> </v>
      </c>
      <c r="AA24" s="17" t="str">
        <f aca="false">IF((E24="g"),H24," ")</f>
        <v> </v>
      </c>
      <c r="AB24" s="17" t="str">
        <f aca="false">IF((E24="h"),H24," ")</f>
        <v> </v>
      </c>
      <c r="AC24" s="30" t="n">
        <f aca="false">IF((E24="v"),H24," ")</f>
        <v>125</v>
      </c>
      <c r="AD24" s="30" t="str">
        <f aca="false">IF((E24="n"),H24," ")</f>
        <v> </v>
      </c>
      <c r="AE24" s="17" t="str">
        <f aca="false">IF((E24="f"),H24," ")</f>
        <v> </v>
      </c>
      <c r="AF24" s="17" t="str">
        <f aca="false">IF((E24="l"),H24," ")</f>
        <v> </v>
      </c>
      <c r="AG24" s="17" t="str">
        <f aca="false">IF((E24="y"),H24," ")</f>
        <v> </v>
      </c>
      <c r="AH24" s="17" t="str">
        <f aca="false">IF((E24="z"),H24," ")</f>
        <v> </v>
      </c>
      <c r="AI24" s="17" t="str">
        <f aca="false">IF((E24="fa"),H24," ")</f>
        <v> </v>
      </c>
      <c r="AJ24" s="17" t="str">
        <f aca="false">IF((E24="e"),H24," ")</f>
        <v> </v>
      </c>
      <c r="BZ24" s="2" t="s">
        <v>107</v>
      </c>
    </row>
    <row r="25" customFormat="false" ht="12" hidden="false" customHeight="false" outlineLevel="0" collapsed="false">
      <c r="A25" s="28" t="n">
        <v>46645</v>
      </c>
      <c r="B25" s="2" t="s">
        <v>132</v>
      </c>
      <c r="D25" s="2" t="s">
        <v>133</v>
      </c>
      <c r="E25" s="2" t="s">
        <v>80</v>
      </c>
      <c r="F25" s="30" t="n">
        <v>12</v>
      </c>
      <c r="G25" s="6" t="n">
        <f aca="false">IF(F25&lt;&gt;0,F25*G$2/(100+G$2)," ")</f>
        <v>2</v>
      </c>
      <c r="H25" s="6" t="n">
        <f aca="false">IF((F25&lt;&gt;0),F25-G25," ")</f>
        <v>10</v>
      </c>
      <c r="I25" s="5"/>
      <c r="L25" s="7" t="n">
        <f aca="false">IF(F25&lt;&gt;0,F25-K25," ")</f>
        <v>12</v>
      </c>
      <c r="M25" s="8" t="n">
        <f aca="false">IF((F25-K25)&lt;&gt;0,M$1-A25," ")</f>
        <v>-367</v>
      </c>
      <c r="N25" s="5"/>
      <c r="O25" s="17" t="str">
        <f aca="false">IF((E25="s"),H25," ")</f>
        <v> </v>
      </c>
      <c r="P25" s="17" t="str">
        <f aca="false">IF((E25="c"),H25," ")</f>
        <v> </v>
      </c>
      <c r="Q25" s="17" t="str">
        <f aca="false">IF((E25="o"),H25," ")</f>
        <v> </v>
      </c>
      <c r="R25" s="17" t="str">
        <f aca="false">IF((E25="d"),H25," ")</f>
        <v> </v>
      </c>
      <c r="S25" s="17" t="str">
        <f aca="false">IF((E25="w"),H25," ")</f>
        <v> </v>
      </c>
      <c r="T25" s="17" t="str">
        <f aca="false">IF((E25="r"),H25," ")</f>
        <v> </v>
      </c>
      <c r="U25" s="17" t="str">
        <f aca="false">IF((E25="p"),H25," ")</f>
        <v> </v>
      </c>
      <c r="V25" s="17" t="str">
        <f aca="false">IF((E25="t"),H25," ")</f>
        <v> </v>
      </c>
      <c r="W25" s="17" t="str">
        <f aca="false">IF((E25="q"),H25," ")</f>
        <v> </v>
      </c>
      <c r="X25" s="17" t="str">
        <f aca="false">IF((E25="m"),H25," ")</f>
        <v> </v>
      </c>
      <c r="Y25" s="17" t="str">
        <f aca="false">IF((E25="u"),H25," ")</f>
        <v> </v>
      </c>
      <c r="Z25" s="17" t="str">
        <f aca="false">IF((E25="a"),H25," ")</f>
        <v> </v>
      </c>
      <c r="AA25" s="17" t="n">
        <f aca="false">IF((E25="g"),H25," ")</f>
        <v>10</v>
      </c>
      <c r="AB25" s="17" t="str">
        <f aca="false">IF((E25="h"),H25," ")</f>
        <v> </v>
      </c>
      <c r="AC25" s="30" t="str">
        <f aca="false">IF((E25="v"),H25," ")</f>
        <v> </v>
      </c>
      <c r="AD25" s="30" t="str">
        <f aca="false">IF((E25="n"),H25," ")</f>
        <v> </v>
      </c>
      <c r="AE25" s="17" t="str">
        <f aca="false">IF((E25="f"),H25," ")</f>
        <v> </v>
      </c>
      <c r="AF25" s="17" t="str">
        <f aca="false">IF((E25="l"),H25," ")</f>
        <v> </v>
      </c>
      <c r="AG25" s="17" t="str">
        <f aca="false">IF((E25="y"),H25," ")</f>
        <v> </v>
      </c>
      <c r="AH25" s="17" t="str">
        <f aca="false">IF((E25="z"),H25," ")</f>
        <v> </v>
      </c>
      <c r="AI25" s="17" t="str">
        <f aca="false">IF((E25="fa"),H25," ")</f>
        <v> </v>
      </c>
      <c r="AJ25" s="17" t="str">
        <f aca="false">IF((E25="e"),H25," ")</f>
        <v> </v>
      </c>
      <c r="BZ25" s="2" t="s">
        <v>81</v>
      </c>
    </row>
    <row r="26" customFormat="false" ht="12" hidden="false" customHeight="false" outlineLevel="0" collapsed="false">
      <c r="A26" s="28" t="n">
        <v>46645</v>
      </c>
      <c r="B26" s="2" t="s">
        <v>163</v>
      </c>
      <c r="D26" s="2" t="s">
        <v>164</v>
      </c>
      <c r="E26" s="2" t="s">
        <v>122</v>
      </c>
      <c r="F26" s="30" t="n">
        <v>420</v>
      </c>
      <c r="G26" s="6" t="n">
        <f aca="false">IF(F26&lt;&gt;0,F26*G$2/(100+G$2)," ")</f>
        <v>70</v>
      </c>
      <c r="H26" s="6" t="n">
        <f aca="false">IF((F26&lt;&gt;0),F26-G26," ")</f>
        <v>350</v>
      </c>
      <c r="I26" s="5"/>
      <c r="L26" s="7" t="n">
        <f aca="false">IF(F26&lt;&gt;0,F26-K26," ")</f>
        <v>420</v>
      </c>
      <c r="M26" s="8" t="n">
        <f aca="false">IF((F26-K26)&lt;&gt;0,M$1-A26," ")</f>
        <v>-367</v>
      </c>
      <c r="N26" s="5"/>
      <c r="O26" s="17" t="n">
        <f aca="false">IF((E26="s"),H26," ")</f>
        <v>350</v>
      </c>
      <c r="P26" s="17" t="str">
        <f aca="false">IF((E26="c"),H26," ")</f>
        <v> </v>
      </c>
      <c r="Q26" s="17" t="str">
        <f aca="false">IF((E26="o"),H26," ")</f>
        <v> </v>
      </c>
      <c r="R26" s="17" t="str">
        <f aca="false">IF((E26="d"),H26," ")</f>
        <v> </v>
      </c>
      <c r="S26" s="17" t="str">
        <f aca="false">IF((E26="w"),H26," ")</f>
        <v> </v>
      </c>
      <c r="T26" s="17" t="str">
        <f aca="false">IF((E26="r"),H26," ")</f>
        <v> </v>
      </c>
      <c r="U26" s="17" t="str">
        <f aca="false">IF((E26="p"),H26," ")</f>
        <v> </v>
      </c>
      <c r="V26" s="17" t="str">
        <f aca="false">IF((E26="t"),H26," ")</f>
        <v> </v>
      </c>
      <c r="W26" s="17" t="str">
        <f aca="false">IF((E26="q"),H26," ")</f>
        <v> </v>
      </c>
      <c r="X26" s="17" t="str">
        <f aca="false">IF((E26="m"),H26," ")</f>
        <v> </v>
      </c>
      <c r="Y26" s="17" t="str">
        <f aca="false">IF((E26="u"),H26," ")</f>
        <v> </v>
      </c>
      <c r="Z26" s="17" t="str">
        <f aca="false">IF((E26="a"),H26," ")</f>
        <v> </v>
      </c>
      <c r="AA26" s="17" t="str">
        <f aca="false">IF((E26="g"),H26," ")</f>
        <v> </v>
      </c>
      <c r="AB26" s="17" t="str">
        <f aca="false">IF((E26="h"),H26," ")</f>
        <v> </v>
      </c>
      <c r="AC26" s="30" t="str">
        <f aca="false">IF((E26="v"),H26," ")</f>
        <v> </v>
      </c>
      <c r="AD26" s="30" t="str">
        <f aca="false">IF((E26="n"),H26," ")</f>
        <v> </v>
      </c>
      <c r="AE26" s="17" t="str">
        <f aca="false">IF((E26="f"),H26," ")</f>
        <v> </v>
      </c>
      <c r="AF26" s="17" t="str">
        <f aca="false">IF((E26="l"),H26," ")</f>
        <v> </v>
      </c>
      <c r="AG26" s="17" t="str">
        <f aca="false">IF((E26="y"),H26," ")</f>
        <v> </v>
      </c>
      <c r="AH26" s="17" t="str">
        <f aca="false">IF((E26="z"),H26," ")</f>
        <v> </v>
      </c>
      <c r="AI26" s="17" t="str">
        <f aca="false">IF((E26="fa"),H26," ")</f>
        <v> </v>
      </c>
      <c r="AJ26" s="17" t="str">
        <f aca="false">IF((E26="e"),H26," ")</f>
        <v> </v>
      </c>
      <c r="BZ26" s="2" t="s">
        <v>123</v>
      </c>
    </row>
    <row r="27" customFormat="false" ht="12" hidden="false" customHeight="false" outlineLevel="0" collapsed="false">
      <c r="A27" s="28" t="n">
        <v>46648</v>
      </c>
      <c r="B27" s="2" t="s">
        <v>218</v>
      </c>
      <c r="D27" s="2" t="s">
        <v>257</v>
      </c>
      <c r="E27" s="2" t="s">
        <v>139</v>
      </c>
      <c r="F27" s="30" t="n">
        <v>360</v>
      </c>
      <c r="G27" s="6" t="n">
        <f aca="false">IF(F27&lt;&gt;0,F27*G$2/(100+G$2)," ")</f>
        <v>60</v>
      </c>
      <c r="H27" s="6" t="n">
        <f aca="false">IF((F27&lt;&gt;0),F27-G27," ")</f>
        <v>300</v>
      </c>
      <c r="I27" s="5"/>
      <c r="L27" s="7" t="n">
        <f aca="false">IF(F27&lt;&gt;0,F27-K27," ")</f>
        <v>360</v>
      </c>
      <c r="M27" s="8" t="n">
        <f aca="false">IF((F27-K27)&lt;&gt;0,M$1-A27," ")</f>
        <v>-370</v>
      </c>
      <c r="N27" s="5"/>
      <c r="O27" s="17" t="str">
        <f aca="false">IF((E27="s"),H27," ")</f>
        <v> </v>
      </c>
      <c r="P27" s="17" t="str">
        <f aca="false">IF((E27="c"),H27," ")</f>
        <v> </v>
      </c>
      <c r="Q27" s="17" t="str">
        <f aca="false">IF((E27="o"),H27," ")</f>
        <v> </v>
      </c>
      <c r="R27" s="17" t="str">
        <f aca="false">IF((E27="d"),H27," ")</f>
        <v> </v>
      </c>
      <c r="S27" s="17" t="str">
        <f aca="false">IF((E27="w"),H27," ")</f>
        <v> </v>
      </c>
      <c r="T27" s="17" t="str">
        <f aca="false">IF((E27="r"),H27," ")</f>
        <v> </v>
      </c>
      <c r="U27" s="17" t="str">
        <f aca="false">IF((E27="p"),H27," ")</f>
        <v> </v>
      </c>
      <c r="V27" s="17" t="str">
        <f aca="false">IF((E27="t"),H27," ")</f>
        <v> </v>
      </c>
      <c r="W27" s="17" t="str">
        <f aca="false">IF((E27="q"),H27," ")</f>
        <v> </v>
      </c>
      <c r="X27" s="17" t="n">
        <f aca="false">IF((E27="m"),H27," ")</f>
        <v>300</v>
      </c>
      <c r="Y27" s="17" t="str">
        <f aca="false">IF((E27="u"),H27," ")</f>
        <v> </v>
      </c>
      <c r="Z27" s="17" t="str">
        <f aca="false">IF((E27="a"),H27," ")</f>
        <v> </v>
      </c>
      <c r="AA27" s="17" t="str">
        <f aca="false">IF((E27="g"),H27," ")</f>
        <v> </v>
      </c>
      <c r="AB27" s="17" t="str">
        <f aca="false">IF((E27="h"),H27," ")</f>
        <v> </v>
      </c>
      <c r="AC27" s="30" t="str">
        <f aca="false">IF((E27="v"),H27," ")</f>
        <v> </v>
      </c>
      <c r="AD27" s="30" t="str">
        <f aca="false">IF((E27="n"),H27," ")</f>
        <v> </v>
      </c>
      <c r="AE27" s="17" t="str">
        <f aca="false">IF((E27="f"),H27," ")</f>
        <v> </v>
      </c>
      <c r="AF27" s="17" t="str">
        <f aca="false">IF((E27="l"),H27," ")</f>
        <v> </v>
      </c>
      <c r="AG27" s="17" t="str">
        <f aca="false">IF((E27="y"),H27," ")</f>
        <v> </v>
      </c>
      <c r="AH27" s="17" t="str">
        <f aca="false">IF((E27="z"),H27," ")</f>
        <v> </v>
      </c>
      <c r="AI27" s="17" t="str">
        <f aca="false">IF((E27="fa"),H27," ")</f>
        <v> </v>
      </c>
      <c r="AJ27" s="17" t="str">
        <f aca="false">IF((E27="e"),H27," ")</f>
        <v> </v>
      </c>
      <c r="BZ27" s="2" t="s">
        <v>140</v>
      </c>
    </row>
    <row r="28" customFormat="false" ht="12" hidden="false" customHeight="false" outlineLevel="0" collapsed="false">
      <c r="A28" s="28" t="n">
        <v>46648</v>
      </c>
      <c r="B28" s="2" t="s">
        <v>188</v>
      </c>
      <c r="D28" s="2" t="s">
        <v>258</v>
      </c>
      <c r="E28" s="2" t="s">
        <v>112</v>
      </c>
      <c r="F28" s="30" t="n">
        <v>240</v>
      </c>
      <c r="G28" s="6" t="n">
        <f aca="false">IF(F28&lt;&gt;0,F28*G$2/(100+G$2)," ")</f>
        <v>40</v>
      </c>
      <c r="H28" s="6" t="n">
        <f aca="false">IF((F28&lt;&gt;0),F28-G28," ")</f>
        <v>200</v>
      </c>
      <c r="I28" s="5"/>
      <c r="L28" s="7" t="n">
        <f aca="false">IF(F28&lt;&gt;0,F28-K28," ")</f>
        <v>240</v>
      </c>
      <c r="M28" s="8" t="n">
        <f aca="false">IF((F28-K28)&lt;&gt;0,M$1-A28," ")</f>
        <v>-370</v>
      </c>
      <c r="N28" s="5"/>
      <c r="O28" s="17" t="str">
        <f aca="false">IF((E28="s"),H28," ")</f>
        <v> </v>
      </c>
      <c r="P28" s="17" t="str">
        <f aca="false">IF((E28="c"),H28," ")</f>
        <v> </v>
      </c>
      <c r="Q28" s="17" t="str">
        <f aca="false">IF((E28="o"),H28," ")</f>
        <v> </v>
      </c>
      <c r="R28" s="17" t="str">
        <f aca="false">IF((E28="d"),H28," ")</f>
        <v> </v>
      </c>
      <c r="S28" s="17" t="str">
        <f aca="false">IF((E28="w"),H28," ")</f>
        <v> </v>
      </c>
      <c r="T28" s="17" t="str">
        <f aca="false">IF((E28="r"),H28," ")</f>
        <v> </v>
      </c>
      <c r="U28" s="17" t="str">
        <f aca="false">IF((E28="p"),H28," ")</f>
        <v> </v>
      </c>
      <c r="V28" s="17" t="str">
        <f aca="false">IF((E28="t"),H28," ")</f>
        <v> </v>
      </c>
      <c r="W28" s="17" t="str">
        <f aca="false">IF((E28="q"),H28," ")</f>
        <v> </v>
      </c>
      <c r="X28" s="17" t="str">
        <f aca="false">IF((E28="m"),H28," ")</f>
        <v> </v>
      </c>
      <c r="Y28" s="17" t="str">
        <f aca="false">IF((E28="u"),H28," ")</f>
        <v> </v>
      </c>
      <c r="Z28" s="17" t="str">
        <f aca="false">IF((E28="a"),H28," ")</f>
        <v> </v>
      </c>
      <c r="AA28" s="17" t="str">
        <f aca="false">IF((E28="g"),H28," ")</f>
        <v> </v>
      </c>
      <c r="AB28" s="17" t="n">
        <f aca="false">IF((E28="h"),H28," ")</f>
        <v>200</v>
      </c>
      <c r="AC28" s="30" t="str">
        <f aca="false">IF((E28="v"),H28," ")</f>
        <v> </v>
      </c>
      <c r="AD28" s="30" t="str">
        <f aca="false">IF((E28="n"),H28," ")</f>
        <v> </v>
      </c>
      <c r="AE28" s="17" t="str">
        <f aca="false">IF((E28="f"),H28," ")</f>
        <v> </v>
      </c>
      <c r="AF28" s="17" t="str">
        <f aca="false">IF((E28="l"),H28," ")</f>
        <v> </v>
      </c>
      <c r="AG28" s="17" t="str">
        <f aca="false">IF((E28="y"),H28," ")</f>
        <v> </v>
      </c>
      <c r="AH28" s="17" t="str">
        <f aca="false">IF((E28="z"),H28," ")</f>
        <v> </v>
      </c>
      <c r="AI28" s="17" t="str">
        <f aca="false">IF((E28="fa"),H28," ")</f>
        <v> </v>
      </c>
      <c r="AJ28" s="17" t="str">
        <f aca="false">IF((E28="e"),H28," ")</f>
        <v> </v>
      </c>
      <c r="BZ28" s="2" t="s">
        <v>113</v>
      </c>
    </row>
    <row r="29" customFormat="false" ht="12" hidden="false" customHeight="false" outlineLevel="0" collapsed="false">
      <c r="A29" s="28" t="n">
        <v>46648</v>
      </c>
      <c r="B29" s="2" t="s">
        <v>134</v>
      </c>
      <c r="D29" s="2" t="s">
        <v>105</v>
      </c>
      <c r="E29" s="2" t="s">
        <v>106</v>
      </c>
      <c r="F29" s="30" t="n">
        <v>96</v>
      </c>
      <c r="G29" s="6" t="n">
        <f aca="false">IF(F29&lt;&gt;0,F29*G$2/(100+G$2)," ")</f>
        <v>16</v>
      </c>
      <c r="H29" s="6" t="n">
        <f aca="false">IF((F29&lt;&gt;0),F29-G29," ")</f>
        <v>80</v>
      </c>
      <c r="I29" s="5"/>
      <c r="L29" s="7" t="n">
        <f aca="false">IF(F29&lt;&gt;0,F29-K29," ")</f>
        <v>96</v>
      </c>
      <c r="M29" s="8" t="n">
        <f aca="false">IF((F29-K29)&lt;&gt;0,M$1-A29," ")</f>
        <v>-370</v>
      </c>
      <c r="N29" s="5"/>
      <c r="O29" s="17" t="str">
        <f aca="false">IF((E29="s"),H29," ")</f>
        <v> </v>
      </c>
      <c r="P29" s="17" t="str">
        <f aca="false">IF((E29="c"),H29," ")</f>
        <v> </v>
      </c>
      <c r="Q29" s="17" t="str">
        <f aca="false">IF((E29="o"),H29," ")</f>
        <v> </v>
      </c>
      <c r="R29" s="17" t="str">
        <f aca="false">IF((E29="d"),H29," ")</f>
        <v> </v>
      </c>
      <c r="S29" s="17" t="str">
        <f aca="false">IF((E29="w"),H29," ")</f>
        <v> </v>
      </c>
      <c r="T29" s="17" t="str">
        <f aca="false">IF((E29="r"),H29," ")</f>
        <v> </v>
      </c>
      <c r="U29" s="17" t="str">
        <f aca="false">IF((E29="p"),H29," ")</f>
        <v> </v>
      </c>
      <c r="V29" s="17" t="str">
        <f aca="false">IF((E29="t"),H29," ")</f>
        <v> </v>
      </c>
      <c r="W29" s="17" t="str">
        <f aca="false">IF((E29="q"),H29," ")</f>
        <v> </v>
      </c>
      <c r="X29" s="17" t="str">
        <f aca="false">IF((E29="m"),H29," ")</f>
        <v> </v>
      </c>
      <c r="Y29" s="17" t="str">
        <f aca="false">IF((E29="u"),H29," ")</f>
        <v> </v>
      </c>
      <c r="Z29" s="17" t="str">
        <f aca="false">IF((E29="a"),H29," ")</f>
        <v> </v>
      </c>
      <c r="AA29" s="17" t="str">
        <f aca="false">IF((E29="g"),H29," ")</f>
        <v> </v>
      </c>
      <c r="AB29" s="17" t="str">
        <f aca="false">IF((E29="h"),H29," ")</f>
        <v> </v>
      </c>
      <c r="AC29" s="30" t="n">
        <f aca="false">IF((E29="v"),H29," ")</f>
        <v>80</v>
      </c>
      <c r="AD29" s="30" t="str">
        <f aca="false">IF((E29="n"),H29," ")</f>
        <v> </v>
      </c>
      <c r="AE29" s="17" t="str">
        <f aca="false">IF((E29="f"),H29," ")</f>
        <v> </v>
      </c>
      <c r="AF29" s="17" t="str">
        <f aca="false">IF((E29="l"),H29," ")</f>
        <v> </v>
      </c>
      <c r="AG29" s="17" t="str">
        <f aca="false">IF((E29="y"),H29," ")</f>
        <v> </v>
      </c>
      <c r="AH29" s="17" t="str">
        <f aca="false">IF((E29="z"),H29," ")</f>
        <v> </v>
      </c>
      <c r="AI29" s="17" t="str">
        <f aca="false">IF((E29="fa"),H29," ")</f>
        <v> </v>
      </c>
      <c r="AJ29" s="17" t="str">
        <f aca="false">IF((E29="e"),H29," ")</f>
        <v> </v>
      </c>
      <c r="BZ29" s="2" t="s">
        <v>107</v>
      </c>
    </row>
    <row r="30" customFormat="false" ht="12" hidden="false" customHeight="false" outlineLevel="0" collapsed="false">
      <c r="A30" s="28" t="n">
        <v>46650</v>
      </c>
      <c r="B30" s="2" t="s">
        <v>135</v>
      </c>
      <c r="D30" s="2" t="s">
        <v>136</v>
      </c>
      <c r="E30" s="2" t="s">
        <v>80</v>
      </c>
      <c r="F30" s="30" t="n">
        <v>60</v>
      </c>
      <c r="G30" s="6" t="n">
        <f aca="false">IF(F30&lt;&gt;0,F30*G$2/(100+G$2)," ")</f>
        <v>10</v>
      </c>
      <c r="H30" s="6" t="n">
        <f aca="false">IF((F30&lt;&gt;0),F30-G30," ")</f>
        <v>50</v>
      </c>
      <c r="I30" s="5"/>
      <c r="L30" s="7" t="n">
        <f aca="false">IF(F30&lt;&gt;0,F30-K30," ")</f>
        <v>60</v>
      </c>
      <c r="M30" s="8" t="n">
        <f aca="false">IF((F30-K30)&lt;&gt;0,M$1-A30," ")</f>
        <v>-372</v>
      </c>
      <c r="N30" s="5"/>
      <c r="O30" s="17" t="str">
        <f aca="false">IF((E30="s"),H30," ")</f>
        <v> </v>
      </c>
      <c r="P30" s="17" t="str">
        <f aca="false">IF((E30="c"),H30," ")</f>
        <v> </v>
      </c>
      <c r="Q30" s="17" t="str">
        <f aca="false">IF((E30="o"),H30," ")</f>
        <v> </v>
      </c>
      <c r="R30" s="17" t="str">
        <f aca="false">IF((E30="d"),H30," ")</f>
        <v> </v>
      </c>
      <c r="S30" s="17" t="str">
        <f aca="false">IF((E30="w"),H30," ")</f>
        <v> </v>
      </c>
      <c r="T30" s="17" t="str">
        <f aca="false">IF((E30="r"),H30," ")</f>
        <v> </v>
      </c>
      <c r="U30" s="17" t="str">
        <f aca="false">IF((E30="p"),H30," ")</f>
        <v> </v>
      </c>
      <c r="V30" s="17" t="str">
        <f aca="false">IF((E30="t"),H30," ")</f>
        <v> </v>
      </c>
      <c r="W30" s="17" t="str">
        <f aca="false">IF((E30="q"),H30," ")</f>
        <v> </v>
      </c>
      <c r="X30" s="17" t="str">
        <f aca="false">IF((E30="m"),H30," ")</f>
        <v> </v>
      </c>
      <c r="Y30" s="17" t="str">
        <f aca="false">IF((E30="u"),H30," ")</f>
        <v> </v>
      </c>
      <c r="Z30" s="17" t="str">
        <f aca="false">IF((E30="a"),H30," ")</f>
        <v> </v>
      </c>
      <c r="AA30" s="17" t="n">
        <f aca="false">IF((E30="g"),H30," ")</f>
        <v>50</v>
      </c>
      <c r="AB30" s="17" t="str">
        <f aca="false">IF((E30="h"),H30," ")</f>
        <v> </v>
      </c>
      <c r="AC30" s="30" t="str">
        <f aca="false">IF((E30="v"),H30," ")</f>
        <v> </v>
      </c>
      <c r="AD30" s="30" t="str">
        <f aca="false">IF((E30="n"),H30," ")</f>
        <v> </v>
      </c>
      <c r="AE30" s="17" t="str">
        <f aca="false">IF((E30="f"),H30," ")</f>
        <v> </v>
      </c>
      <c r="AF30" s="17" t="str">
        <f aca="false">IF((E30="l"),H30," ")</f>
        <v> </v>
      </c>
      <c r="AG30" s="17" t="str">
        <f aca="false">IF((E30="y"),H30," ")</f>
        <v> </v>
      </c>
      <c r="AH30" s="17" t="str">
        <f aca="false">IF((E30="z"),H30," ")</f>
        <v> </v>
      </c>
      <c r="AI30" s="17" t="str">
        <f aca="false">IF((E30="fa"),H30," ")</f>
        <v> </v>
      </c>
      <c r="AJ30" s="17" t="str">
        <f aca="false">IF((E30="e"),H30," ")</f>
        <v> </v>
      </c>
      <c r="BZ30" s="2" t="s">
        <v>81</v>
      </c>
    </row>
    <row r="31" customFormat="false" ht="12" hidden="false" customHeight="false" outlineLevel="0" collapsed="false">
      <c r="A31" s="28" t="n">
        <v>46650</v>
      </c>
      <c r="B31" s="2" t="s">
        <v>176</v>
      </c>
      <c r="D31" s="2" t="s">
        <v>177</v>
      </c>
      <c r="E31" s="2" t="s">
        <v>122</v>
      </c>
      <c r="F31" s="30" t="n">
        <v>240</v>
      </c>
      <c r="G31" s="6" t="n">
        <f aca="false">IF(F31&lt;&gt;0,F31*G$2/(100+G$2)," ")</f>
        <v>40</v>
      </c>
      <c r="H31" s="6" t="n">
        <f aca="false">IF((F31&lt;&gt;0),F31-G31," ")</f>
        <v>200</v>
      </c>
      <c r="I31" s="5"/>
      <c r="L31" s="7" t="n">
        <f aca="false">IF(F31&lt;&gt;0,F31-K31," ")</f>
        <v>240</v>
      </c>
      <c r="M31" s="8" t="n">
        <f aca="false">IF((F31-K31)&lt;&gt;0,M$1-A31," ")</f>
        <v>-372</v>
      </c>
      <c r="N31" s="5"/>
      <c r="O31" s="17" t="n">
        <f aca="false">IF((E31="s"),H31," ")</f>
        <v>200</v>
      </c>
      <c r="P31" s="17" t="str">
        <f aca="false">IF((E31="c"),H31," ")</f>
        <v> </v>
      </c>
      <c r="Q31" s="17" t="str">
        <f aca="false">IF((E31="o"),H31," ")</f>
        <v> </v>
      </c>
      <c r="R31" s="17" t="str">
        <f aca="false">IF((E31="d"),H31," ")</f>
        <v> </v>
      </c>
      <c r="S31" s="17" t="str">
        <f aca="false">IF((E31="w"),H31," ")</f>
        <v> </v>
      </c>
      <c r="T31" s="17" t="str">
        <f aca="false">IF((E31="r"),H31," ")</f>
        <v> </v>
      </c>
      <c r="U31" s="17" t="str">
        <f aca="false">IF((E31="p"),H31," ")</f>
        <v> </v>
      </c>
      <c r="V31" s="17" t="str">
        <f aca="false">IF((E31="t"),H31," ")</f>
        <v> </v>
      </c>
      <c r="W31" s="17" t="str">
        <f aca="false">IF((E31="q"),H31," ")</f>
        <v> </v>
      </c>
      <c r="X31" s="17" t="str">
        <f aca="false">IF((E31="m"),H31," ")</f>
        <v> </v>
      </c>
      <c r="Y31" s="17" t="str">
        <f aca="false">IF((E31="u"),H31," ")</f>
        <v> </v>
      </c>
      <c r="Z31" s="17" t="str">
        <f aca="false">IF((E31="a"),H31," ")</f>
        <v> </v>
      </c>
      <c r="AA31" s="17" t="str">
        <f aca="false">IF((E31="g"),H31," ")</f>
        <v> </v>
      </c>
      <c r="AB31" s="17" t="str">
        <f aca="false">IF((E31="h"),H31," ")</f>
        <v> </v>
      </c>
      <c r="AC31" s="30" t="str">
        <f aca="false">IF((E31="v"),H31," ")</f>
        <v> </v>
      </c>
      <c r="AD31" s="30" t="str">
        <f aca="false">IF((E31="n"),H31," ")</f>
        <v> </v>
      </c>
      <c r="AE31" s="17" t="str">
        <f aca="false">IF((E31="f"),H31," ")</f>
        <v> </v>
      </c>
      <c r="AF31" s="17" t="str">
        <f aca="false">IF((E31="l"),H31," ")</f>
        <v> </v>
      </c>
      <c r="AG31" s="17" t="str">
        <f aca="false">IF((E31="y"),H31," ")</f>
        <v> </v>
      </c>
      <c r="AH31" s="17" t="str">
        <f aca="false">IF((E31="z"),H31," ")</f>
        <v> </v>
      </c>
      <c r="AI31" s="17" t="str">
        <f aca="false">IF((E31="fa"),H31," ")</f>
        <v> </v>
      </c>
      <c r="AJ31" s="17" t="str">
        <f aca="false">IF((E31="e"),H31," ")</f>
        <v> </v>
      </c>
      <c r="BZ31" s="2" t="s">
        <v>123</v>
      </c>
    </row>
    <row r="32" customFormat="false" ht="12" hidden="false" customHeight="false" outlineLevel="0" collapsed="false">
      <c r="A32" s="28" t="n">
        <v>46651</v>
      </c>
      <c r="B32" s="2" t="s">
        <v>141</v>
      </c>
      <c r="D32" s="2" t="s">
        <v>142</v>
      </c>
      <c r="E32" s="2" t="s">
        <v>112</v>
      </c>
      <c r="F32" s="30" t="n">
        <v>8</v>
      </c>
      <c r="G32" s="6" t="n">
        <f aca="false">IF(F32&lt;&gt;0,F32*G$2/(100+G$2)," ")</f>
        <v>1.33333333333333</v>
      </c>
      <c r="H32" s="6" t="n">
        <f aca="false">IF((F32&lt;&gt;0),F32-G32," ")</f>
        <v>6.66666666666667</v>
      </c>
      <c r="I32" s="5"/>
      <c r="L32" s="7" t="n">
        <f aca="false">IF(F32&lt;&gt;0,F32-K32," ")</f>
        <v>8</v>
      </c>
      <c r="M32" s="8" t="n">
        <f aca="false">IF((F32-K32)&lt;&gt;0,M$1-A32," ")</f>
        <v>-373</v>
      </c>
      <c r="N32" s="5"/>
      <c r="O32" s="17" t="str">
        <f aca="false">IF((E32="s"),H32," ")</f>
        <v> </v>
      </c>
      <c r="P32" s="17" t="str">
        <f aca="false">IF((E32="c"),H32," ")</f>
        <v> </v>
      </c>
      <c r="Q32" s="17" t="str">
        <f aca="false">IF((E32="o"),H32," ")</f>
        <v> </v>
      </c>
      <c r="R32" s="17" t="str">
        <f aca="false">IF((E32="d"),H32," ")</f>
        <v> </v>
      </c>
      <c r="S32" s="17" t="str">
        <f aca="false">IF((E32="w"),H32," ")</f>
        <v> </v>
      </c>
      <c r="T32" s="17" t="str">
        <f aca="false">IF((E32="r"),H32," ")</f>
        <v> </v>
      </c>
      <c r="U32" s="17" t="str">
        <f aca="false">IF((E32="p"),H32," ")</f>
        <v> </v>
      </c>
      <c r="V32" s="17" t="str">
        <f aca="false">IF((E32="t"),H32," ")</f>
        <v> </v>
      </c>
      <c r="W32" s="17" t="str">
        <f aca="false">IF((E32="q"),H32," ")</f>
        <v> </v>
      </c>
      <c r="X32" s="17" t="str">
        <f aca="false">IF((E32="m"),H32," ")</f>
        <v> </v>
      </c>
      <c r="Y32" s="17" t="str">
        <f aca="false">IF((E32="u"),H32," ")</f>
        <v> </v>
      </c>
      <c r="Z32" s="17" t="str">
        <f aca="false">IF((E32="a"),H32," ")</f>
        <v> </v>
      </c>
      <c r="AA32" s="17" t="str">
        <f aca="false">IF((E32="g"),H32," ")</f>
        <v> </v>
      </c>
      <c r="AB32" s="17" t="n">
        <f aca="false">IF((E32="h"),H32," ")</f>
        <v>6.66666666666667</v>
      </c>
      <c r="AC32" s="30" t="str">
        <f aca="false">IF((E32="v"),H32," ")</f>
        <v> </v>
      </c>
      <c r="AD32" s="30" t="str">
        <f aca="false">IF((E32="n"),H32," ")</f>
        <v> </v>
      </c>
      <c r="AE32" s="17" t="str">
        <f aca="false">IF((E32="f"),H32," ")</f>
        <v> </v>
      </c>
      <c r="AF32" s="17" t="str">
        <f aca="false">IF((E32="l"),H32," ")</f>
        <v> </v>
      </c>
      <c r="AG32" s="17" t="str">
        <f aca="false">IF((E32="y"),H32," ")</f>
        <v> </v>
      </c>
      <c r="AH32" s="17" t="str">
        <f aca="false">IF((E32="z"),H32," ")</f>
        <v> </v>
      </c>
      <c r="AI32" s="17" t="str">
        <f aca="false">IF((E32="fa"),H32," ")</f>
        <v> </v>
      </c>
      <c r="AJ32" s="17" t="str">
        <f aca="false">IF((E32="e"),H32," ")</f>
        <v> </v>
      </c>
      <c r="BZ32" s="2" t="s">
        <v>113</v>
      </c>
    </row>
    <row r="33" customFormat="false" ht="12" hidden="false" customHeight="false" outlineLevel="0" collapsed="false">
      <c r="A33" s="28" t="n">
        <v>46652</v>
      </c>
      <c r="B33" s="2" t="s">
        <v>143</v>
      </c>
      <c r="D33" s="2" t="s">
        <v>144</v>
      </c>
      <c r="E33" s="2" t="s">
        <v>100</v>
      </c>
      <c r="F33" s="30" t="n">
        <v>18</v>
      </c>
      <c r="G33" s="6" t="n">
        <f aca="false">IF(F33&lt;&gt;0,F33*G$2/(100+G$2)," ")</f>
        <v>3</v>
      </c>
      <c r="H33" s="6" t="n">
        <f aca="false">IF((F33&lt;&gt;0),F33-G33," ")</f>
        <v>15</v>
      </c>
      <c r="I33" s="5"/>
      <c r="L33" s="7" t="n">
        <f aca="false">IF(F33&lt;&gt;0,F33-K33," ")</f>
        <v>18</v>
      </c>
      <c r="M33" s="8" t="n">
        <f aca="false">IF((F33-K33)&lt;&gt;0,M$1-A33," ")</f>
        <v>-374</v>
      </c>
      <c r="N33" s="5"/>
      <c r="O33" s="17" t="str">
        <f aca="false">IF((E33="s"),H33," ")</f>
        <v> </v>
      </c>
      <c r="P33" s="17" t="str">
        <f aca="false">IF((E33="c"),H33," ")</f>
        <v> </v>
      </c>
      <c r="Q33" s="17" t="str">
        <f aca="false">IF((E33="o"),H33," ")</f>
        <v> </v>
      </c>
      <c r="R33" s="17" t="str">
        <f aca="false">IF((E33="d"),H33," ")</f>
        <v> </v>
      </c>
      <c r="S33" s="17" t="str">
        <f aca="false">IF((E33="w"),H33," ")</f>
        <v> </v>
      </c>
      <c r="T33" s="17" t="str">
        <f aca="false">IF((E33="r"),H33," ")</f>
        <v> </v>
      </c>
      <c r="U33" s="17" t="str">
        <f aca="false">IF((E33="p"),H33," ")</f>
        <v> </v>
      </c>
      <c r="V33" s="17" t="str">
        <f aca="false">IF((E33="t"),H33," ")</f>
        <v> </v>
      </c>
      <c r="W33" s="17" t="str">
        <f aca="false">IF((E33="q"),H33," ")</f>
        <v> </v>
      </c>
      <c r="X33" s="17" t="str">
        <f aca="false">IF((E33="m"),H33," ")</f>
        <v> </v>
      </c>
      <c r="Y33" s="17" t="n">
        <f aca="false">IF((E33="u"),H33," ")</f>
        <v>15</v>
      </c>
      <c r="Z33" s="17" t="str">
        <f aca="false">IF((E33="a"),H33," ")</f>
        <v> </v>
      </c>
      <c r="AA33" s="17" t="str">
        <f aca="false">IF((E33="g"),H33," ")</f>
        <v> </v>
      </c>
      <c r="AB33" s="17" t="str">
        <f aca="false">IF((E33="h"),H33," ")</f>
        <v> </v>
      </c>
      <c r="AC33" s="30" t="str">
        <f aca="false">IF((E33="v"),H33," ")</f>
        <v> </v>
      </c>
      <c r="AD33" s="30" t="str">
        <f aca="false">IF((E33="n"),H33," ")</f>
        <v> </v>
      </c>
      <c r="AE33" s="17" t="str">
        <f aca="false">IF((E33="f"),H33," ")</f>
        <v> </v>
      </c>
      <c r="AF33" s="17" t="str">
        <f aca="false">IF((E33="l"),H33," ")</f>
        <v> </v>
      </c>
      <c r="AG33" s="17" t="str">
        <f aca="false">IF((E33="y"),H33," ")</f>
        <v> </v>
      </c>
      <c r="AH33" s="17" t="str">
        <f aca="false">IF((E33="z"),H33," ")</f>
        <v> </v>
      </c>
      <c r="AI33" s="17" t="str">
        <f aca="false">IF((E33="fa"),H33," ")</f>
        <v> </v>
      </c>
      <c r="AJ33" s="17" t="str">
        <f aca="false">IF((E33="e"),H33," ")</f>
        <v> </v>
      </c>
      <c r="BZ33" s="2" t="s">
        <v>101</v>
      </c>
    </row>
    <row r="34" customFormat="false" ht="12" hidden="false" customHeight="false" outlineLevel="0" collapsed="false">
      <c r="A34" s="28" t="n">
        <v>46655</v>
      </c>
      <c r="B34" s="2" t="s">
        <v>145</v>
      </c>
      <c r="D34" s="2" t="s">
        <v>146</v>
      </c>
      <c r="E34" s="2" t="s">
        <v>100</v>
      </c>
      <c r="F34" s="30" t="n">
        <v>15</v>
      </c>
      <c r="G34" s="6" t="n">
        <f aca="false">IF(F34&lt;&gt;0,F34*G$2/(100+G$2)," ")</f>
        <v>2.5</v>
      </c>
      <c r="H34" s="6" t="n">
        <f aca="false">IF((F34&lt;&gt;0),F34-G34," ")</f>
        <v>12.5</v>
      </c>
      <c r="I34" s="5"/>
      <c r="L34" s="7" t="n">
        <f aca="false">IF(F34&lt;&gt;0,F34-K34," ")</f>
        <v>15</v>
      </c>
      <c r="M34" s="8" t="n">
        <f aca="false">IF((F34-K34)&lt;&gt;0,M$1-A34," ")</f>
        <v>-377</v>
      </c>
      <c r="N34" s="5"/>
      <c r="O34" s="17" t="str">
        <f aca="false">IF((E34="s"),H34," ")</f>
        <v> </v>
      </c>
      <c r="P34" s="17" t="str">
        <f aca="false">IF((E34="c"),H34," ")</f>
        <v> </v>
      </c>
      <c r="Q34" s="17" t="str">
        <f aca="false">IF((E34="o"),H34," ")</f>
        <v> </v>
      </c>
      <c r="R34" s="17" t="str">
        <f aca="false">IF((E34="d"),H34," ")</f>
        <v> </v>
      </c>
      <c r="S34" s="17" t="str">
        <f aca="false">IF((E34="w"),H34," ")</f>
        <v> </v>
      </c>
      <c r="T34" s="17" t="str">
        <f aca="false">IF((E34="r"),H34," ")</f>
        <v> </v>
      </c>
      <c r="U34" s="17" t="str">
        <f aca="false">IF((E34="p"),H34," ")</f>
        <v> </v>
      </c>
      <c r="V34" s="17" t="str">
        <f aca="false">IF((E34="t"),H34," ")</f>
        <v> </v>
      </c>
      <c r="W34" s="17" t="str">
        <f aca="false">IF((E34="q"),H34," ")</f>
        <v> </v>
      </c>
      <c r="X34" s="17" t="str">
        <f aca="false">IF((E34="m"),H34," ")</f>
        <v> </v>
      </c>
      <c r="Y34" s="17" t="n">
        <f aca="false">IF((E34="u"),H34," ")</f>
        <v>12.5</v>
      </c>
      <c r="Z34" s="17" t="str">
        <f aca="false">IF((E34="a"),H34," ")</f>
        <v> </v>
      </c>
      <c r="AA34" s="17" t="str">
        <f aca="false">IF((E34="g"),H34," ")</f>
        <v> </v>
      </c>
      <c r="AB34" s="17" t="str">
        <f aca="false">IF((E34="h"),H34," ")</f>
        <v> </v>
      </c>
      <c r="AC34" s="30" t="str">
        <f aca="false">IF((E34="v"),H34," ")</f>
        <v> </v>
      </c>
      <c r="AD34" s="30" t="str">
        <f aca="false">IF((E34="n"),H34," ")</f>
        <v> </v>
      </c>
      <c r="AE34" s="17" t="str">
        <f aca="false">IF((E34="f"),H34," ")</f>
        <v> </v>
      </c>
      <c r="AF34" s="17" t="str">
        <f aca="false">IF((E34="l"),H34," ")</f>
        <v> </v>
      </c>
      <c r="AG34" s="17" t="str">
        <f aca="false">IF((E34="y"),H34," ")</f>
        <v> </v>
      </c>
      <c r="AH34" s="17" t="str">
        <f aca="false">IF((E34="z"),H34," ")</f>
        <v> </v>
      </c>
      <c r="AI34" s="17" t="str">
        <f aca="false">IF((E34="fa"),H34," ")</f>
        <v> </v>
      </c>
      <c r="AJ34" s="17" t="str">
        <f aca="false">IF((E34="e"),H34," ")</f>
        <v> </v>
      </c>
      <c r="BZ34" s="2" t="s">
        <v>101</v>
      </c>
    </row>
    <row r="35" customFormat="false" ht="12" hidden="false" customHeight="false" outlineLevel="0" collapsed="false">
      <c r="A35" s="28" t="n">
        <v>46655</v>
      </c>
      <c r="B35" s="2" t="s">
        <v>147</v>
      </c>
      <c r="D35" s="2" t="s">
        <v>259</v>
      </c>
      <c r="E35" s="2" t="s">
        <v>106</v>
      </c>
      <c r="F35" s="30" t="n">
        <v>31.5</v>
      </c>
      <c r="G35" s="6" t="n">
        <f aca="false">IF(F35&lt;&gt;0,F35*G$2/(100+G$2)," ")</f>
        <v>5.25</v>
      </c>
      <c r="H35" s="6" t="n">
        <f aca="false">IF((F35&lt;&gt;0),F35-G35," ")</f>
        <v>26.25</v>
      </c>
      <c r="I35" s="5"/>
      <c r="L35" s="7" t="n">
        <f aca="false">IF(F35&lt;&gt;0,F35-K35," ")</f>
        <v>31.5</v>
      </c>
      <c r="M35" s="8" t="n">
        <f aca="false">IF((F35-K35)&lt;&gt;0,M$1-A35," ")</f>
        <v>-377</v>
      </c>
      <c r="N35" s="5"/>
      <c r="O35" s="17" t="str">
        <f aca="false">IF((E35="s"),H35," ")</f>
        <v> </v>
      </c>
      <c r="P35" s="17" t="str">
        <f aca="false">IF((E35="c"),H35," ")</f>
        <v> </v>
      </c>
      <c r="Q35" s="17" t="str">
        <f aca="false">IF((E35="o"),H35," ")</f>
        <v> </v>
      </c>
      <c r="R35" s="17" t="str">
        <f aca="false">IF((E35="d"),H35," ")</f>
        <v> </v>
      </c>
      <c r="S35" s="17" t="str">
        <f aca="false">IF((E35="w"),H35," ")</f>
        <v> </v>
      </c>
      <c r="T35" s="17" t="str">
        <f aca="false">IF((E35="r"),H35," ")</f>
        <v> </v>
      </c>
      <c r="U35" s="17" t="str">
        <f aca="false">IF((E35="p"),H35," ")</f>
        <v> </v>
      </c>
      <c r="V35" s="17" t="str">
        <f aca="false">IF((E35="t"),H35," ")</f>
        <v> </v>
      </c>
      <c r="W35" s="17" t="str">
        <f aca="false">IF((E35="q"),H35," ")</f>
        <v> </v>
      </c>
      <c r="X35" s="17" t="str">
        <f aca="false">IF((E35="m"),H35," ")</f>
        <v> </v>
      </c>
      <c r="Y35" s="17" t="str">
        <f aca="false">IF((E35="u"),H35," ")</f>
        <v> </v>
      </c>
      <c r="Z35" s="17" t="str">
        <f aca="false">IF((E35="a"),H35," ")</f>
        <v> </v>
      </c>
      <c r="AA35" s="17" t="str">
        <f aca="false">IF((E35="g"),H35," ")</f>
        <v> </v>
      </c>
      <c r="AB35" s="17" t="str">
        <f aca="false">IF((E35="h"),H35," ")</f>
        <v> </v>
      </c>
      <c r="AC35" s="30" t="n">
        <f aca="false">IF((E35="v"),H35," ")</f>
        <v>26.25</v>
      </c>
      <c r="AD35" s="30" t="str">
        <f aca="false">IF((E35="n"),H35," ")</f>
        <v> </v>
      </c>
      <c r="AE35" s="17" t="str">
        <f aca="false">IF((E35="f"),H35," ")</f>
        <v> </v>
      </c>
      <c r="AF35" s="17" t="str">
        <f aca="false">IF((E35="l"),H35," ")</f>
        <v> </v>
      </c>
      <c r="AG35" s="17" t="str">
        <f aca="false">IF((E35="y"),H35," ")</f>
        <v> </v>
      </c>
      <c r="AH35" s="17" t="str">
        <f aca="false">IF((E35="z"),H35," ")</f>
        <v> </v>
      </c>
      <c r="AI35" s="17" t="str">
        <f aca="false">IF((E35="fa"),H35," ")</f>
        <v> </v>
      </c>
      <c r="AJ35" s="17" t="str">
        <f aca="false">IF((E35="e"),H35," ")</f>
        <v> </v>
      </c>
      <c r="BZ35" s="2" t="s">
        <v>107</v>
      </c>
    </row>
    <row r="36" customFormat="false" ht="12" hidden="false" customHeight="false" outlineLevel="0" collapsed="false">
      <c r="A36" s="28" t="n">
        <v>46658</v>
      </c>
      <c r="B36" s="2" t="s">
        <v>16</v>
      </c>
      <c r="D36" s="2" t="s">
        <v>150</v>
      </c>
      <c r="E36" s="2" t="s">
        <v>151</v>
      </c>
      <c r="F36" s="30" t="n">
        <v>300</v>
      </c>
      <c r="G36" s="6" t="n">
        <f aca="false">IF(F36&lt;&gt;0,F36*G$2/(100+G$2)," ")</f>
        <v>50</v>
      </c>
      <c r="H36" s="6" t="n">
        <f aca="false">IF((F36&lt;&gt;0),F36-G36," ")</f>
        <v>250</v>
      </c>
      <c r="I36" s="5"/>
      <c r="L36" s="7" t="n">
        <f aca="false">IF(F36&lt;&gt;0,F36-K36," ")</f>
        <v>300</v>
      </c>
      <c r="M36" s="8" t="n">
        <f aca="false">IF((F36-K36)&lt;&gt;0,M$1-A36," ")</f>
        <v>-380</v>
      </c>
      <c r="N36" s="5"/>
      <c r="O36" s="17" t="str">
        <f aca="false">IF((E36="s"),H36," ")</f>
        <v> </v>
      </c>
      <c r="P36" s="17" t="str">
        <f aca="false">IF((E36="c"),H36," ")</f>
        <v> </v>
      </c>
      <c r="Q36" s="17" t="str">
        <f aca="false">IF((E36="o"),H36," ")</f>
        <v> </v>
      </c>
      <c r="R36" s="17" t="str">
        <f aca="false">IF((E36="d"),H36," ")</f>
        <v> </v>
      </c>
      <c r="S36" s="17" t="str">
        <f aca="false">IF((E36="w"),H36," ")</f>
        <v> </v>
      </c>
      <c r="T36" s="17" t="str">
        <f aca="false">IF((E36="r"),H36," ")</f>
        <v> </v>
      </c>
      <c r="U36" s="17" t="str">
        <f aca="false">IF((E36="p"),H36," ")</f>
        <v> </v>
      </c>
      <c r="V36" s="17" t="str">
        <f aca="false">IF((E36="t"),H36," ")</f>
        <v> </v>
      </c>
      <c r="W36" s="17" t="str">
        <f aca="false">IF((E36="q"),H36," ")</f>
        <v> </v>
      </c>
      <c r="X36" s="17" t="str">
        <f aca="false">IF((E36="m"),H36," ")</f>
        <v> </v>
      </c>
      <c r="Y36" s="17" t="str">
        <f aca="false">IF((E36="u"),H36," ")</f>
        <v> </v>
      </c>
      <c r="Z36" s="17" t="str">
        <f aca="false">IF((E36="a"),H36," ")</f>
        <v> </v>
      </c>
      <c r="AA36" s="17" t="str">
        <f aca="false">IF((E36="g"),H36," ")</f>
        <v> </v>
      </c>
      <c r="AB36" s="17" t="str">
        <f aca="false">IF((E36="h"),H36," ")</f>
        <v> </v>
      </c>
      <c r="AC36" s="30" t="str">
        <f aca="false">IF((E36="v"),H36," ")</f>
        <v> </v>
      </c>
      <c r="AD36" s="30" t="str">
        <f aca="false">IF((E36="n"),H36," ")</f>
        <v> </v>
      </c>
      <c r="AE36" s="17" t="str">
        <f aca="false">IF((E36="f"),H36," ")</f>
        <v> </v>
      </c>
      <c r="AF36" s="17" t="n">
        <f aca="false">IF((E36="l"),H36," ")</f>
        <v>250</v>
      </c>
      <c r="AG36" s="17" t="str">
        <f aca="false">IF((E36="y"),H36," ")</f>
        <v> </v>
      </c>
      <c r="AH36" s="17" t="str">
        <f aca="false">IF((E36="z"),H36," ")</f>
        <v> </v>
      </c>
      <c r="AI36" s="17" t="str">
        <f aca="false">IF((E36="fa"),H36," ")</f>
        <v> </v>
      </c>
      <c r="AJ36" s="17" t="str">
        <f aca="false">IF((E36="e"),H36," ")</f>
        <v> </v>
      </c>
      <c r="BZ36" s="2" t="s">
        <v>152</v>
      </c>
    </row>
    <row r="37" customFormat="false" ht="12" hidden="false" customHeight="false" outlineLevel="0" collapsed="false">
      <c r="A37" s="28" t="n">
        <v>46658</v>
      </c>
      <c r="B37" s="2" t="s">
        <v>20</v>
      </c>
      <c r="D37" s="2" t="s">
        <v>149</v>
      </c>
      <c r="E37" s="2" t="s">
        <v>106</v>
      </c>
      <c r="F37" s="30" t="n">
        <v>120</v>
      </c>
      <c r="G37" s="6" t="n">
        <f aca="false">IF(F37&lt;&gt;0,F37*G$2/(100+G$2)," ")</f>
        <v>20</v>
      </c>
      <c r="H37" s="6" t="n">
        <f aca="false">IF((F37&lt;&gt;0),F37-G37," ")</f>
        <v>100</v>
      </c>
      <c r="I37" s="5"/>
      <c r="L37" s="7" t="n">
        <f aca="false">IF(F37&lt;&gt;0,F37-K37," ")</f>
        <v>120</v>
      </c>
      <c r="M37" s="8" t="n">
        <f aca="false">IF((F37-K37)&lt;&gt;0,M$1-A37," ")</f>
        <v>-380</v>
      </c>
      <c r="N37" s="5"/>
      <c r="O37" s="17" t="str">
        <f aca="false">IF((E37="s"),H37," ")</f>
        <v> </v>
      </c>
      <c r="P37" s="17" t="str">
        <f aca="false">IF((E37="c"),H37," ")</f>
        <v> </v>
      </c>
      <c r="Q37" s="17" t="str">
        <f aca="false">IF((E37="o"),H37," ")</f>
        <v> </v>
      </c>
      <c r="R37" s="17" t="str">
        <f aca="false">IF((E37="d"),H37," ")</f>
        <v> </v>
      </c>
      <c r="S37" s="17" t="str">
        <f aca="false">IF((E37="w"),H37," ")</f>
        <v> </v>
      </c>
      <c r="T37" s="17" t="str">
        <f aca="false">IF((E37="r"),H37," ")</f>
        <v> </v>
      </c>
      <c r="U37" s="17" t="str">
        <f aca="false">IF((E37="p"),H37," ")</f>
        <v> </v>
      </c>
      <c r="V37" s="17" t="str">
        <f aca="false">IF((E37="t"),H37," ")</f>
        <v> </v>
      </c>
      <c r="W37" s="17" t="str">
        <f aca="false">IF((E37="q"),H37," ")</f>
        <v> </v>
      </c>
      <c r="X37" s="17" t="str">
        <f aca="false">IF((E37="m"),H37," ")</f>
        <v> </v>
      </c>
      <c r="Y37" s="17" t="str">
        <f aca="false">IF((E37="u"),H37," ")</f>
        <v> </v>
      </c>
      <c r="Z37" s="17" t="str">
        <f aca="false">IF((E37="a"),H37," ")</f>
        <v> </v>
      </c>
      <c r="AA37" s="17" t="str">
        <f aca="false">IF((E37="g"),H37," ")</f>
        <v> </v>
      </c>
      <c r="AB37" s="17" t="str">
        <f aca="false">IF((E37="h"),H37," ")</f>
        <v> </v>
      </c>
      <c r="AC37" s="30" t="n">
        <f aca="false">IF((E37="v"),H37," ")</f>
        <v>100</v>
      </c>
      <c r="AD37" s="30" t="str">
        <f aca="false">IF((E37="n"),H37," ")</f>
        <v> </v>
      </c>
      <c r="AE37" s="17" t="str">
        <f aca="false">IF((E37="f"),H37," ")</f>
        <v> </v>
      </c>
      <c r="AF37" s="17" t="str">
        <f aca="false">IF((E37="l"),H37," ")</f>
        <v> </v>
      </c>
      <c r="AG37" s="17" t="str">
        <f aca="false">IF((E37="y"),H37," ")</f>
        <v> </v>
      </c>
      <c r="AH37" s="17" t="str">
        <f aca="false">IF((E37="z"),H37," ")</f>
        <v> </v>
      </c>
      <c r="AI37" s="17" t="str">
        <f aca="false">IF((E37="fa"),H37," ")</f>
        <v> </v>
      </c>
      <c r="AJ37" s="17" t="str">
        <f aca="false">IF((E37="e"),H37," ")</f>
        <v> </v>
      </c>
      <c r="BZ37" s="2" t="s">
        <v>107</v>
      </c>
    </row>
    <row r="38" customFormat="false" ht="12" hidden="false" customHeight="false" outlineLevel="0" collapsed="false">
      <c r="A38" s="28"/>
      <c r="E38" s="2"/>
      <c r="F38" s="30"/>
      <c r="G38" s="6" t="str">
        <f aca="false">IF(F38&lt;&gt;0,F38*G$2/(100+G$2)," ")</f>
        <v> </v>
      </c>
      <c r="H38" s="6" t="str">
        <f aca="false">IF((F38&lt;&gt;0),F38-G38," ")</f>
        <v> </v>
      </c>
      <c r="I38" s="5"/>
      <c r="L38" s="7" t="str">
        <f aca="false">IF(F38&lt;&gt;0,F38-K38," ")</f>
        <v> </v>
      </c>
      <c r="M38" s="8" t="str">
        <f aca="false">IF((F38-K38)&lt;&gt;0,M$1-A38," ")</f>
        <v> </v>
      </c>
      <c r="N38" s="5"/>
      <c r="O38" s="17" t="str">
        <f aca="false">IF((E38="s"),H38," ")</f>
        <v> </v>
      </c>
      <c r="P38" s="17" t="str">
        <f aca="false">IF((E38="c"),H38," ")</f>
        <v> </v>
      </c>
      <c r="Q38" s="17" t="str">
        <f aca="false">IF((E38="o"),H38," ")</f>
        <v> </v>
      </c>
      <c r="R38" s="17" t="str">
        <f aca="false">IF((E38="d"),H38," ")</f>
        <v> </v>
      </c>
      <c r="S38" s="17" t="str">
        <f aca="false">IF((E38="w"),H38," ")</f>
        <v> </v>
      </c>
      <c r="T38" s="17" t="str">
        <f aca="false">IF((E38="r"),H38," ")</f>
        <v> </v>
      </c>
      <c r="U38" s="17" t="str">
        <f aca="false">IF((E38="p"),H38," ")</f>
        <v> </v>
      </c>
      <c r="V38" s="17" t="str">
        <f aca="false">IF((E38="t"),H38," ")</f>
        <v> </v>
      </c>
      <c r="W38" s="17" t="str">
        <f aca="false">IF((E38="q"),H38," ")</f>
        <v> </v>
      </c>
      <c r="X38" s="17" t="str">
        <f aca="false">IF((E38="m"),H38," ")</f>
        <v> </v>
      </c>
      <c r="Y38" s="17" t="str">
        <f aca="false">IF((E38="u"),H38," ")</f>
        <v> </v>
      </c>
      <c r="Z38" s="17" t="str">
        <f aca="false">IF((E38="a"),H38," ")</f>
        <v> </v>
      </c>
      <c r="AA38" s="17" t="str">
        <f aca="false">IF((E38="g"),H38," ")</f>
        <v> </v>
      </c>
      <c r="AB38" s="17" t="str">
        <f aca="false">IF((E38="h"),H38," ")</f>
        <v> </v>
      </c>
      <c r="AC38" s="30" t="str">
        <f aca="false">IF((E38="v"),H38," ")</f>
        <v> </v>
      </c>
      <c r="AD38" s="30" t="str">
        <f aca="false">IF((E38="n"),H38," ")</f>
        <v> </v>
      </c>
      <c r="AE38" s="17" t="str">
        <f aca="false">IF((E38="f"),H38," ")</f>
        <v> </v>
      </c>
      <c r="AF38" s="17" t="str">
        <f aca="false">IF((E38="l"),H38," ")</f>
        <v> </v>
      </c>
      <c r="AG38" s="17" t="str">
        <f aca="false">IF((E38="y"),H38," ")</f>
        <v> </v>
      </c>
      <c r="AH38" s="17" t="str">
        <f aca="false">IF((E38="z"),H38," ")</f>
        <v> </v>
      </c>
      <c r="AI38" s="17" t="str">
        <f aca="false">IF((E38="fa"),H38," ")</f>
        <v> </v>
      </c>
      <c r="AJ38" s="17" t="str">
        <f aca="false">IF((E38="e"),H38," ")</f>
        <v> </v>
      </c>
    </row>
    <row r="39" customFormat="false" ht="12" hidden="false" customHeight="false" outlineLevel="0" collapsed="false">
      <c r="A39" s="28"/>
      <c r="E39" s="2"/>
      <c r="F39" s="30"/>
      <c r="G39" s="6" t="str">
        <f aca="false">IF(F39&lt;&gt;0,F39*G$2/(100+G$2)," ")</f>
        <v> </v>
      </c>
      <c r="H39" s="6" t="str">
        <f aca="false">IF((F39&lt;&gt;0),F39-G39," ")</f>
        <v> </v>
      </c>
      <c r="I39" s="5"/>
      <c r="L39" s="7" t="str">
        <f aca="false">IF(F39&lt;&gt;0,F39-K39," ")</f>
        <v> </v>
      </c>
      <c r="M39" s="8" t="str">
        <f aca="false">IF((F39-K39)&lt;&gt;0,M$1-A39," ")</f>
        <v> </v>
      </c>
      <c r="N39" s="5"/>
      <c r="O39" s="17" t="str">
        <f aca="false">IF((E39="s"),H39," ")</f>
        <v> </v>
      </c>
      <c r="P39" s="17" t="str">
        <f aca="false">IF((E39="c"),H39," ")</f>
        <v> </v>
      </c>
      <c r="Q39" s="17" t="str">
        <f aca="false">IF((E39="o"),H39," ")</f>
        <v> </v>
      </c>
      <c r="R39" s="17" t="str">
        <f aca="false">IF((E39="d"),H39," ")</f>
        <v> </v>
      </c>
      <c r="S39" s="17" t="str">
        <f aca="false">IF((E39="w"),H39," ")</f>
        <v> </v>
      </c>
      <c r="T39" s="17" t="str">
        <f aca="false">IF((E39="r"),H39," ")</f>
        <v> </v>
      </c>
      <c r="U39" s="17" t="str">
        <f aca="false">IF((E39="p"),H39," ")</f>
        <v> </v>
      </c>
      <c r="V39" s="17" t="str">
        <f aca="false">IF((E39="t"),H39," ")</f>
        <v> </v>
      </c>
      <c r="W39" s="17" t="str">
        <f aca="false">IF((E39="q"),H39," ")</f>
        <v> </v>
      </c>
      <c r="X39" s="17" t="str">
        <f aca="false">IF((E39="m"),H39," ")</f>
        <v> </v>
      </c>
      <c r="Y39" s="17" t="str">
        <f aca="false">IF((E39="u"),H39," ")</f>
        <v> </v>
      </c>
      <c r="Z39" s="17" t="str">
        <f aca="false">IF((E39="a"),H39," ")</f>
        <v> </v>
      </c>
      <c r="AA39" s="17" t="str">
        <f aca="false">IF((E39="g"),H39," ")</f>
        <v> </v>
      </c>
      <c r="AB39" s="17" t="str">
        <f aca="false">IF((E39="h"),H39," ")</f>
        <v> </v>
      </c>
      <c r="AC39" s="30" t="str">
        <f aca="false">IF((E39="v"),H39," ")</f>
        <v> </v>
      </c>
      <c r="AD39" s="30" t="str">
        <f aca="false">IF((E39="n"),H39," ")</f>
        <v> </v>
      </c>
      <c r="AE39" s="17" t="str">
        <f aca="false">IF((E39="f"),H39," ")</f>
        <v> </v>
      </c>
      <c r="AF39" s="17" t="str">
        <f aca="false">IF((E39="l"),H39," ")</f>
        <v> </v>
      </c>
      <c r="AG39" s="17" t="str">
        <f aca="false">IF((E39="y"),H39," ")</f>
        <v> </v>
      </c>
      <c r="AH39" s="17" t="str">
        <f aca="false">IF((E39="z"),H39," ")</f>
        <v> </v>
      </c>
      <c r="AI39" s="17" t="str">
        <f aca="false">IF((E39="fa"),H39," ")</f>
        <v> </v>
      </c>
      <c r="AJ39" s="17" t="str">
        <f aca="false">IF((E39="e"),H39," ")</f>
        <v> </v>
      </c>
    </row>
    <row r="40" customFormat="false" ht="12" hidden="false" customHeight="false" outlineLevel="0" collapsed="false">
      <c r="A40" s="28"/>
      <c r="E40" s="2"/>
      <c r="F40" s="30"/>
      <c r="G40" s="6" t="str">
        <f aca="false">IF(F40&lt;&gt;0,F40*G$2/(100+G$2)," ")</f>
        <v> </v>
      </c>
      <c r="H40" s="6" t="str">
        <f aca="false">IF((F40&lt;&gt;0),F40-G40," ")</f>
        <v> </v>
      </c>
      <c r="I40" s="5"/>
      <c r="L40" s="7" t="str">
        <f aca="false">IF(F40&lt;&gt;0,F40-K40," ")</f>
        <v> </v>
      </c>
      <c r="M40" s="8" t="str">
        <f aca="false">IF((F40-K40)&lt;&gt;0,M$1-A40," ")</f>
        <v> </v>
      </c>
      <c r="N40" s="5"/>
      <c r="O40" s="17" t="str">
        <f aca="false">IF((E40="s"),H40," ")</f>
        <v> </v>
      </c>
      <c r="P40" s="17" t="str">
        <f aca="false">IF((E40="c"),H40," ")</f>
        <v> </v>
      </c>
      <c r="Q40" s="17" t="str">
        <f aca="false">IF((E40="o"),H40," ")</f>
        <v> </v>
      </c>
      <c r="R40" s="17" t="str">
        <f aca="false">IF((E40="d"),H40," ")</f>
        <v> </v>
      </c>
      <c r="S40" s="17" t="str">
        <f aca="false">IF((E40="w"),H40," ")</f>
        <v> </v>
      </c>
      <c r="T40" s="17" t="str">
        <f aca="false">IF((E40="r"),H40," ")</f>
        <v> </v>
      </c>
      <c r="U40" s="17" t="str">
        <f aca="false">IF((E40="p"),H40," ")</f>
        <v> </v>
      </c>
      <c r="V40" s="17" t="str">
        <f aca="false">IF((E40="t"),H40," ")</f>
        <v> </v>
      </c>
      <c r="W40" s="17" t="str">
        <f aca="false">IF((E40="q"),H40," ")</f>
        <v> </v>
      </c>
      <c r="X40" s="17" t="str">
        <f aca="false">IF((E40="m"),H40," ")</f>
        <v> </v>
      </c>
      <c r="Y40" s="17" t="str">
        <f aca="false">IF((E40="u"),H40," ")</f>
        <v> </v>
      </c>
      <c r="Z40" s="17" t="str">
        <f aca="false">IF((E40="a"),H40," ")</f>
        <v> </v>
      </c>
      <c r="AA40" s="17" t="str">
        <f aca="false">IF((E40="g"),H40," ")</f>
        <v> </v>
      </c>
      <c r="AB40" s="17" t="str">
        <f aca="false">IF((E40="h"),H40," ")</f>
        <v> </v>
      </c>
      <c r="AC40" s="30" t="str">
        <f aca="false">IF((E40="v"),H40," ")</f>
        <v> </v>
      </c>
      <c r="AD40" s="30" t="str">
        <f aca="false">IF((E40="n"),H40," ")</f>
        <v> </v>
      </c>
      <c r="AE40" s="17" t="str">
        <f aca="false">IF((E40="f"),H40," ")</f>
        <v> </v>
      </c>
      <c r="AF40" s="17" t="str">
        <f aca="false">IF((E40="l"),H40," ")</f>
        <v> </v>
      </c>
      <c r="AG40" s="17" t="str">
        <f aca="false">IF((E40="y"),H40," ")</f>
        <v> </v>
      </c>
      <c r="AH40" s="17" t="str">
        <f aca="false">IF((E40="z"),H40," ")</f>
        <v> </v>
      </c>
      <c r="AI40" s="17" t="str">
        <f aca="false">IF((E40="fa"),H40," ")</f>
        <v> </v>
      </c>
      <c r="AJ40" s="17" t="str">
        <f aca="false">IF((E40="e"),H40," ")</f>
        <v> </v>
      </c>
    </row>
    <row r="41" customFormat="false" ht="12" hidden="false" customHeight="false" outlineLevel="0" collapsed="false">
      <c r="A41" s="28"/>
      <c r="E41" s="2"/>
      <c r="F41" s="30"/>
      <c r="G41" s="6" t="str">
        <f aca="false">IF(F41&lt;&gt;0,F41*G$2/(100+G$2)," ")</f>
        <v> </v>
      </c>
      <c r="H41" s="6" t="str">
        <f aca="false">IF((F41&lt;&gt;0),F41-G41," ")</f>
        <v> </v>
      </c>
      <c r="I41" s="5"/>
      <c r="L41" s="7" t="str">
        <f aca="false">IF(F41&lt;&gt;0,F41-K41," ")</f>
        <v> </v>
      </c>
      <c r="M41" s="8" t="str">
        <f aca="false">IF((F41-K41)&lt;&gt;0,M$1-A41," ")</f>
        <v> </v>
      </c>
      <c r="N41" s="5"/>
      <c r="O41" s="17" t="str">
        <f aca="false">IF((E41="s"),H41," ")</f>
        <v> </v>
      </c>
      <c r="P41" s="17" t="str">
        <f aca="false">IF((E41="c"),H41," ")</f>
        <v> </v>
      </c>
      <c r="Q41" s="17" t="str">
        <f aca="false">IF((E41="o"),H41," ")</f>
        <v> </v>
      </c>
      <c r="R41" s="17" t="str">
        <f aca="false">IF((E41="d"),H41," ")</f>
        <v> </v>
      </c>
      <c r="S41" s="17" t="str">
        <f aca="false">IF((E41="w"),H41," ")</f>
        <v> </v>
      </c>
      <c r="T41" s="17" t="str">
        <f aca="false">IF((E41="r"),H41," ")</f>
        <v> </v>
      </c>
      <c r="U41" s="17" t="str">
        <f aca="false">IF((E41="p"),H41," ")</f>
        <v> </v>
      </c>
      <c r="V41" s="17" t="str">
        <f aca="false">IF((E41="t"),H41," ")</f>
        <v> </v>
      </c>
      <c r="W41" s="17" t="str">
        <f aca="false">IF((E41="q"),H41," ")</f>
        <v> </v>
      </c>
      <c r="X41" s="17" t="str">
        <f aca="false">IF((E41="m"),H41," ")</f>
        <v> </v>
      </c>
      <c r="Y41" s="17" t="str">
        <f aca="false">IF((E41="u"),H41," ")</f>
        <v> </v>
      </c>
      <c r="Z41" s="17" t="str">
        <f aca="false">IF((E41="a"),H41," ")</f>
        <v> </v>
      </c>
      <c r="AA41" s="17" t="str">
        <f aca="false">IF((E41="g"),H41," ")</f>
        <v> </v>
      </c>
      <c r="AB41" s="17" t="str">
        <f aca="false">IF((E41="h"),H41," ")</f>
        <v> </v>
      </c>
      <c r="AC41" s="30" t="str">
        <f aca="false">IF((E41="v"),H41," ")</f>
        <v> </v>
      </c>
      <c r="AD41" s="30" t="str">
        <f aca="false">IF((E41="n"),H41," ")</f>
        <v> </v>
      </c>
      <c r="AE41" s="17" t="str">
        <f aca="false">IF((E41="f"),H41," ")</f>
        <v> </v>
      </c>
      <c r="AF41" s="17" t="str">
        <f aca="false">IF((E41="l"),H41," ")</f>
        <v> </v>
      </c>
      <c r="AG41" s="17" t="str">
        <f aca="false">IF((E41="y"),H41," ")</f>
        <v> </v>
      </c>
      <c r="AH41" s="17" t="str">
        <f aca="false">IF((E41="z"),H41," ")</f>
        <v> </v>
      </c>
      <c r="AI41" s="17" t="str">
        <f aca="false">IF((E41="fa"),H41," ")</f>
        <v> </v>
      </c>
      <c r="AJ41" s="17" t="str">
        <f aca="false">IF((E41="e"),H41," ")</f>
        <v> </v>
      </c>
    </row>
    <row r="42" customFormat="false" ht="12" hidden="false" customHeight="false" outlineLevel="0" collapsed="false">
      <c r="A42" s="28"/>
      <c r="E42" s="2"/>
      <c r="F42" s="30"/>
      <c r="G42" s="6" t="str">
        <f aca="false">IF(F42&lt;&gt;0,F42*G$2/(100+G$2)," ")</f>
        <v> </v>
      </c>
      <c r="H42" s="6" t="str">
        <f aca="false">IF((F42&lt;&gt;0),F42-G42," ")</f>
        <v> </v>
      </c>
      <c r="I42" s="5"/>
      <c r="L42" s="7" t="str">
        <f aca="false">IF(F42&lt;&gt;0,F42-K42," ")</f>
        <v> </v>
      </c>
      <c r="M42" s="8" t="str">
        <f aca="false">IF((F42-K42)&lt;&gt;0,M$1-A42," ")</f>
        <v> </v>
      </c>
      <c r="N42" s="5"/>
      <c r="O42" s="17" t="str">
        <f aca="false">IF((E42="s"),H42," ")</f>
        <v> </v>
      </c>
      <c r="P42" s="17" t="str">
        <f aca="false">IF((E42="c"),H42," ")</f>
        <v> </v>
      </c>
      <c r="Q42" s="17" t="str">
        <f aca="false">IF((E42="o"),H42," ")</f>
        <v> </v>
      </c>
      <c r="R42" s="17" t="str">
        <f aca="false">IF((E42="d"),H42," ")</f>
        <v> </v>
      </c>
      <c r="S42" s="17" t="str">
        <f aca="false">IF((E42="w"),H42," ")</f>
        <v> </v>
      </c>
      <c r="T42" s="17" t="str">
        <f aca="false">IF((E42="r"),H42," ")</f>
        <v> </v>
      </c>
      <c r="U42" s="17" t="str">
        <f aca="false">IF((E42="p"),H42," ")</f>
        <v> </v>
      </c>
      <c r="V42" s="17" t="str">
        <f aca="false">IF((E42="t"),H42," ")</f>
        <v> </v>
      </c>
      <c r="W42" s="17" t="str">
        <f aca="false">IF((E42="q"),H42," ")</f>
        <v> </v>
      </c>
      <c r="X42" s="17" t="str">
        <f aca="false">IF((E42="m"),H42," ")</f>
        <v> </v>
      </c>
      <c r="Y42" s="17" t="str">
        <f aca="false">IF((E42="u"),H42," ")</f>
        <v> </v>
      </c>
      <c r="Z42" s="17" t="str">
        <f aca="false">IF((E42="a"),H42," ")</f>
        <v> </v>
      </c>
      <c r="AA42" s="17" t="str">
        <f aca="false">IF((E42="g"),H42," ")</f>
        <v> </v>
      </c>
      <c r="AB42" s="17" t="str">
        <f aca="false">IF((E42="h"),H42," ")</f>
        <v> </v>
      </c>
      <c r="AC42" s="30" t="str">
        <f aca="false">IF((E42="v"),H42," ")</f>
        <v> </v>
      </c>
      <c r="AD42" s="30" t="str">
        <f aca="false">IF((E42="n"),H42," ")</f>
        <v> </v>
      </c>
      <c r="AE42" s="17" t="str">
        <f aca="false">IF((E42="f"),H42," ")</f>
        <v> </v>
      </c>
      <c r="AF42" s="17" t="str">
        <f aca="false">IF((E42="l"),H42," ")</f>
        <v> </v>
      </c>
      <c r="AG42" s="17" t="str">
        <f aca="false">IF((E42="y"),H42," ")</f>
        <v> </v>
      </c>
      <c r="AH42" s="17" t="str">
        <f aca="false">IF((E42="z"),H42," ")</f>
        <v> </v>
      </c>
      <c r="AI42" s="17" t="str">
        <f aca="false">IF((E42="fa"),H42," ")</f>
        <v> </v>
      </c>
      <c r="AJ42" s="17" t="str">
        <f aca="false">IF((E42="e"),H42," ")</f>
        <v> </v>
      </c>
    </row>
    <row r="43" customFormat="false" ht="12" hidden="false" customHeight="false" outlineLevel="0" collapsed="false">
      <c r="A43" s="28"/>
      <c r="E43" s="2"/>
      <c r="F43" s="30"/>
      <c r="G43" s="6" t="str">
        <f aca="false">IF(F43&lt;&gt;0,F43*G$2/(100+G$2)," ")</f>
        <v> </v>
      </c>
      <c r="H43" s="6" t="str">
        <f aca="false">IF((F43&lt;&gt;0),F43-G43," ")</f>
        <v> </v>
      </c>
      <c r="I43" s="5"/>
      <c r="L43" s="7" t="str">
        <f aca="false">IF(F43&lt;&gt;0,F43-K43," ")</f>
        <v> </v>
      </c>
      <c r="M43" s="8" t="str">
        <f aca="false">IF((F43-K43)&lt;&gt;0,M$1-A43," ")</f>
        <v> </v>
      </c>
      <c r="N43" s="5"/>
      <c r="O43" s="17" t="str">
        <f aca="false">IF((E43="s"),H43," ")</f>
        <v> </v>
      </c>
      <c r="P43" s="17" t="str">
        <f aca="false">IF((E43="c"),H43," ")</f>
        <v> </v>
      </c>
      <c r="Q43" s="17" t="str">
        <f aca="false">IF((E43="o"),H43," ")</f>
        <v> </v>
      </c>
      <c r="R43" s="17" t="str">
        <f aca="false">IF((E43="d"),H43," ")</f>
        <v> </v>
      </c>
      <c r="S43" s="17" t="str">
        <f aca="false">IF((E43="w"),H43," ")</f>
        <v> </v>
      </c>
      <c r="T43" s="17" t="str">
        <f aca="false">IF((E43="r"),H43," ")</f>
        <v> </v>
      </c>
      <c r="U43" s="17" t="str">
        <f aca="false">IF((E43="p"),H43," ")</f>
        <v> </v>
      </c>
      <c r="V43" s="17" t="str">
        <f aca="false">IF((E43="t"),H43," ")</f>
        <v> </v>
      </c>
      <c r="W43" s="17" t="str">
        <f aca="false">IF((E43="q"),H43," ")</f>
        <v> </v>
      </c>
      <c r="X43" s="17" t="str">
        <f aca="false">IF((E43="m"),H43," ")</f>
        <v> </v>
      </c>
      <c r="Y43" s="17" t="str">
        <f aca="false">IF((E43="u"),H43," ")</f>
        <v> </v>
      </c>
      <c r="Z43" s="17" t="str">
        <f aca="false">IF((E43="a"),H43," ")</f>
        <v> </v>
      </c>
      <c r="AA43" s="17" t="str">
        <f aca="false">IF((E43="g"),H43," ")</f>
        <v> </v>
      </c>
      <c r="AB43" s="17" t="str">
        <f aca="false">IF((E43="h"),H43," ")</f>
        <v> </v>
      </c>
      <c r="AC43" s="30" t="str">
        <f aca="false">IF((E43="v"),H43," ")</f>
        <v> </v>
      </c>
      <c r="AD43" s="30" t="str">
        <f aca="false">IF((E43="n"),H43," ")</f>
        <v> </v>
      </c>
      <c r="AE43" s="17" t="str">
        <f aca="false">IF((E43="f"),H43," ")</f>
        <v> </v>
      </c>
      <c r="AF43" s="17" t="str">
        <f aca="false">IF((E43="l"),H43," ")</f>
        <v> </v>
      </c>
      <c r="AG43" s="17" t="str">
        <f aca="false">IF((E43="y"),H43," ")</f>
        <v> </v>
      </c>
      <c r="AH43" s="17" t="str">
        <f aca="false">IF((E43="z"),H43," ")</f>
        <v> </v>
      </c>
      <c r="AI43" s="17" t="str">
        <f aca="false">IF((E43="fa"),H43," ")</f>
        <v> </v>
      </c>
      <c r="AJ43" s="17" t="str">
        <f aca="false">IF((E43="e"),H43," ")</f>
        <v> </v>
      </c>
    </row>
    <row r="44" customFormat="false" ht="12" hidden="false" customHeight="false" outlineLevel="0" collapsed="false">
      <c r="A44" s="28"/>
      <c r="E44" s="2"/>
      <c r="F44" s="30"/>
      <c r="G44" s="6" t="str">
        <f aca="false">IF(F44&lt;&gt;0,F44*G$2/(100+G$2)," ")</f>
        <v> </v>
      </c>
      <c r="H44" s="6" t="str">
        <f aca="false">IF((F44&lt;&gt;0),F44-G44," ")</f>
        <v> </v>
      </c>
      <c r="I44" s="5"/>
      <c r="L44" s="7" t="str">
        <f aca="false">IF(F44&lt;&gt;0,F44-K44," ")</f>
        <v> </v>
      </c>
      <c r="M44" s="8" t="str">
        <f aca="false">IF((F44-K44)&lt;&gt;0,M$1-A44," ")</f>
        <v> </v>
      </c>
      <c r="N44" s="5"/>
      <c r="O44" s="17" t="str">
        <f aca="false">IF((E44="s"),H44," ")</f>
        <v> </v>
      </c>
      <c r="P44" s="17" t="str">
        <f aca="false">IF((E44="c"),H44," ")</f>
        <v> </v>
      </c>
      <c r="Q44" s="17" t="str">
        <f aca="false">IF((E44="o"),H44," ")</f>
        <v> </v>
      </c>
      <c r="R44" s="17" t="str">
        <f aca="false">IF((E44="d"),H44," ")</f>
        <v> </v>
      </c>
      <c r="S44" s="17" t="str">
        <f aca="false">IF((E44="w"),H44," ")</f>
        <v> </v>
      </c>
      <c r="T44" s="17" t="str">
        <f aca="false">IF((E44="r"),H44," ")</f>
        <v> </v>
      </c>
      <c r="U44" s="17" t="str">
        <f aca="false">IF((E44="p"),H44," ")</f>
        <v> </v>
      </c>
      <c r="V44" s="17" t="str">
        <f aca="false">IF((E44="t"),H44," ")</f>
        <v> </v>
      </c>
      <c r="W44" s="17" t="str">
        <f aca="false">IF((E44="q"),H44," ")</f>
        <v> </v>
      </c>
      <c r="X44" s="17" t="str">
        <f aca="false">IF((E44="m"),H44," ")</f>
        <v> </v>
      </c>
      <c r="Y44" s="17" t="str">
        <f aca="false">IF((E44="u"),H44," ")</f>
        <v> </v>
      </c>
      <c r="Z44" s="17" t="str">
        <f aca="false">IF((E44="a"),H44," ")</f>
        <v> </v>
      </c>
      <c r="AA44" s="17" t="str">
        <f aca="false">IF((E44="g"),H44," ")</f>
        <v> </v>
      </c>
      <c r="AB44" s="17" t="str">
        <f aca="false">IF((E44="h"),H44," ")</f>
        <v> </v>
      </c>
      <c r="AC44" s="30" t="str">
        <f aca="false">IF((E44="v"),H44," ")</f>
        <v> </v>
      </c>
      <c r="AD44" s="30" t="str">
        <f aca="false">IF((E44="n"),H44," ")</f>
        <v> </v>
      </c>
      <c r="AE44" s="17" t="str">
        <f aca="false">IF((E44="f"),H44," ")</f>
        <v> </v>
      </c>
      <c r="AF44" s="17" t="str">
        <f aca="false">IF((E44="l"),H44," ")</f>
        <v> </v>
      </c>
      <c r="AG44" s="17" t="str">
        <f aca="false">IF((E44="y"),H44," ")</f>
        <v> </v>
      </c>
      <c r="AH44" s="17" t="str">
        <f aca="false">IF((E44="z"),H44," ")</f>
        <v> </v>
      </c>
      <c r="AI44" s="17" t="str">
        <f aca="false">IF((E44="fa"),H44," ")</f>
        <v> </v>
      </c>
      <c r="AJ44" s="17" t="str">
        <f aca="false">IF((E44="e"),H44," ")</f>
        <v> </v>
      </c>
    </row>
    <row r="45" customFormat="false" ht="12" hidden="false" customHeight="false" outlineLevel="0" collapsed="false">
      <c r="A45" s="28"/>
      <c r="E45" s="2"/>
      <c r="F45" s="30"/>
      <c r="G45" s="6" t="str">
        <f aca="false">IF(F45&lt;&gt;0,F45*G$2/(100+G$2)," ")</f>
        <v> </v>
      </c>
      <c r="H45" s="6" t="str">
        <f aca="false">IF((F45&lt;&gt;0),F45-G45," ")</f>
        <v> </v>
      </c>
      <c r="I45" s="5"/>
      <c r="L45" s="7" t="str">
        <f aca="false">IF(F45&lt;&gt;0,F45-K45," ")</f>
        <v> </v>
      </c>
      <c r="M45" s="8" t="str">
        <f aca="false">IF((F45-K45)&lt;&gt;0,M$1-A45," ")</f>
        <v> </v>
      </c>
      <c r="N45" s="5"/>
      <c r="O45" s="17" t="str">
        <f aca="false">IF((E45="s"),H45," ")</f>
        <v> </v>
      </c>
      <c r="P45" s="17" t="str">
        <f aca="false">IF((E45="c"),H45," ")</f>
        <v> </v>
      </c>
      <c r="Q45" s="17" t="str">
        <f aca="false">IF((E45="o"),H45," ")</f>
        <v> </v>
      </c>
      <c r="R45" s="17" t="str">
        <f aca="false">IF((E45="d"),H45," ")</f>
        <v> </v>
      </c>
      <c r="S45" s="17" t="str">
        <f aca="false">IF((E45="w"),H45," ")</f>
        <v> </v>
      </c>
      <c r="T45" s="17" t="str">
        <f aca="false">IF((E45="r"),H45," ")</f>
        <v> </v>
      </c>
      <c r="U45" s="17" t="str">
        <f aca="false">IF((E45="p"),H45," ")</f>
        <v> </v>
      </c>
      <c r="V45" s="17" t="str">
        <f aca="false">IF((E45="t"),H45," ")</f>
        <v> </v>
      </c>
      <c r="W45" s="17" t="str">
        <f aca="false">IF((E45="q"),H45," ")</f>
        <v> </v>
      </c>
      <c r="X45" s="17" t="str">
        <f aca="false">IF((E45="m"),H45," ")</f>
        <v> </v>
      </c>
      <c r="Y45" s="17" t="str">
        <f aca="false">IF((E45="u"),H45," ")</f>
        <v> </v>
      </c>
      <c r="Z45" s="17" t="str">
        <f aca="false">IF((E45="a"),H45," ")</f>
        <v> </v>
      </c>
      <c r="AA45" s="17" t="str">
        <f aca="false">IF((E45="g"),H45," ")</f>
        <v> </v>
      </c>
      <c r="AB45" s="17" t="str">
        <f aca="false">IF((E45="h"),H45," ")</f>
        <v> </v>
      </c>
      <c r="AC45" s="30" t="str">
        <f aca="false">IF((E45="v"),H45," ")</f>
        <v> </v>
      </c>
      <c r="AD45" s="30" t="str">
        <f aca="false">IF((E45="n"),H45," ")</f>
        <v> </v>
      </c>
      <c r="AE45" s="17" t="str">
        <f aca="false">IF((E45="f"),H45," ")</f>
        <v> </v>
      </c>
      <c r="AF45" s="17" t="str">
        <f aca="false">IF((E45="l"),H45," ")</f>
        <v> </v>
      </c>
      <c r="AG45" s="17" t="str">
        <f aca="false">IF((E45="y"),H45," ")</f>
        <v> </v>
      </c>
      <c r="AH45" s="17" t="str">
        <f aca="false">IF((E45="z"),H45," ")</f>
        <v> </v>
      </c>
      <c r="AI45" s="17" t="str">
        <f aca="false">IF((E45="fa"),H45," ")</f>
        <v> </v>
      </c>
      <c r="AJ45" s="17" t="str">
        <f aca="false">IF((E45="e"),H45," ")</f>
        <v> </v>
      </c>
    </row>
    <row r="46" customFormat="false" ht="12" hidden="false" customHeight="false" outlineLevel="0" collapsed="false">
      <c r="A46" s="28"/>
      <c r="E46" s="2"/>
      <c r="F46" s="30"/>
      <c r="G46" s="6" t="str">
        <f aca="false">IF(F46&lt;&gt;0,F46*G$2/(100+G$2)," ")</f>
        <v> </v>
      </c>
      <c r="H46" s="6" t="str">
        <f aca="false">IF((F46&lt;&gt;0),F46-G46," ")</f>
        <v> </v>
      </c>
      <c r="I46" s="5"/>
      <c r="L46" s="7" t="str">
        <f aca="false">IF(F46&lt;&gt;0,F46-K46," ")</f>
        <v> </v>
      </c>
      <c r="M46" s="8" t="str">
        <f aca="false">IF((F46-K46)&lt;&gt;0,M$1-A46," ")</f>
        <v> </v>
      </c>
      <c r="N46" s="5"/>
      <c r="O46" s="17" t="str">
        <f aca="false">IF((E46="s"),H46," ")</f>
        <v> </v>
      </c>
      <c r="P46" s="17" t="str">
        <f aca="false">IF((E46="c"),H46," ")</f>
        <v> </v>
      </c>
      <c r="Q46" s="17" t="str">
        <f aca="false">IF((E46="o"),H46," ")</f>
        <v> </v>
      </c>
      <c r="R46" s="17" t="str">
        <f aca="false">IF((E46="d"),H46," ")</f>
        <v> </v>
      </c>
      <c r="S46" s="17" t="str">
        <f aca="false">IF((E46="w"),H46," ")</f>
        <v> </v>
      </c>
      <c r="T46" s="17" t="str">
        <f aca="false">IF((E46="r"),H46," ")</f>
        <v> </v>
      </c>
      <c r="U46" s="17" t="str">
        <f aca="false">IF((E46="p"),H46," ")</f>
        <v> </v>
      </c>
      <c r="V46" s="17" t="str">
        <f aca="false">IF((E46="t"),H46," ")</f>
        <v> </v>
      </c>
      <c r="W46" s="17" t="str">
        <f aca="false">IF((E46="q"),H46," ")</f>
        <v> </v>
      </c>
      <c r="X46" s="17" t="str">
        <f aca="false">IF((E46="m"),H46," ")</f>
        <v> </v>
      </c>
      <c r="Y46" s="17" t="str">
        <f aca="false">IF((E46="u"),H46," ")</f>
        <v> </v>
      </c>
      <c r="Z46" s="17" t="str">
        <f aca="false">IF((E46="a"),H46," ")</f>
        <v> </v>
      </c>
      <c r="AA46" s="17" t="str">
        <f aca="false">IF((E46="g"),H46," ")</f>
        <v> </v>
      </c>
      <c r="AB46" s="17" t="str">
        <f aca="false">IF((E46="h"),H46," ")</f>
        <v> </v>
      </c>
      <c r="AC46" s="30" t="str">
        <f aca="false">IF((E46="v"),H46," ")</f>
        <v> </v>
      </c>
      <c r="AD46" s="30" t="str">
        <f aca="false">IF((E46="n"),H46," ")</f>
        <v> </v>
      </c>
      <c r="AE46" s="17" t="str">
        <f aca="false">IF((E46="f"),H46," ")</f>
        <v> </v>
      </c>
      <c r="AF46" s="17" t="str">
        <f aca="false">IF((E46="l"),H46," ")</f>
        <v> </v>
      </c>
      <c r="AG46" s="17" t="str">
        <f aca="false">IF((E46="y"),H46," ")</f>
        <v> </v>
      </c>
      <c r="AH46" s="17" t="str">
        <f aca="false">IF((E46="z"),H46," ")</f>
        <v> </v>
      </c>
      <c r="AI46" s="17" t="str">
        <f aca="false">IF((E46="fa"),H46," ")</f>
        <v> </v>
      </c>
      <c r="AJ46" s="17" t="str">
        <f aca="false">IF((E46="e"),H46," ")</f>
        <v> </v>
      </c>
    </row>
    <row r="47" customFormat="false" ht="12" hidden="false" customHeight="false" outlineLevel="0" collapsed="false">
      <c r="A47" s="28"/>
      <c r="E47" s="2"/>
      <c r="F47" s="30"/>
      <c r="G47" s="6" t="str">
        <f aca="false">IF(F47&lt;&gt;0,F47*G$2/(100+G$2)," ")</f>
        <v> </v>
      </c>
      <c r="H47" s="6" t="str">
        <f aca="false">IF((F47&lt;&gt;0),F47-G47," ")</f>
        <v> </v>
      </c>
      <c r="I47" s="5"/>
      <c r="L47" s="7" t="str">
        <f aca="false">IF(F47&lt;&gt;0,F47-K47," ")</f>
        <v> </v>
      </c>
      <c r="M47" s="8" t="str">
        <f aca="false">IF((F47-K47)&lt;&gt;0,M$1-A47," ")</f>
        <v> </v>
      </c>
      <c r="N47" s="5"/>
      <c r="O47" s="17" t="str">
        <f aca="false">IF((E47="s"),H47," ")</f>
        <v> </v>
      </c>
      <c r="P47" s="17" t="str">
        <f aca="false">IF((E47="c"),H47," ")</f>
        <v> </v>
      </c>
      <c r="Q47" s="17" t="str">
        <f aca="false">IF((E47="o"),H47," ")</f>
        <v> </v>
      </c>
      <c r="R47" s="17" t="str">
        <f aca="false">IF((E47="d"),H47," ")</f>
        <v> </v>
      </c>
      <c r="S47" s="17" t="str">
        <f aca="false">IF((E47="w"),H47," ")</f>
        <v> </v>
      </c>
      <c r="T47" s="17" t="str">
        <f aca="false">IF((E47="r"),H47," ")</f>
        <v> </v>
      </c>
      <c r="U47" s="17" t="str">
        <f aca="false">IF((E47="p"),H47," ")</f>
        <v> </v>
      </c>
      <c r="V47" s="17" t="str">
        <f aca="false">IF((E47="t"),H47," ")</f>
        <v> </v>
      </c>
      <c r="W47" s="17" t="str">
        <f aca="false">IF((E47="q"),H47," ")</f>
        <v> </v>
      </c>
      <c r="X47" s="17" t="str">
        <f aca="false">IF((E47="m"),H47," ")</f>
        <v> </v>
      </c>
      <c r="Y47" s="17" t="str">
        <f aca="false">IF((E47="u"),H47," ")</f>
        <v> </v>
      </c>
      <c r="Z47" s="17" t="str">
        <f aca="false">IF((E47="a"),H47," ")</f>
        <v> </v>
      </c>
      <c r="AA47" s="17" t="str">
        <f aca="false">IF((E47="g"),H47," ")</f>
        <v> </v>
      </c>
      <c r="AB47" s="17" t="str">
        <f aca="false">IF((E47="h"),H47," ")</f>
        <v> </v>
      </c>
      <c r="AC47" s="30" t="str">
        <f aca="false">IF((E47="v"),H47," ")</f>
        <v> </v>
      </c>
      <c r="AD47" s="30" t="str">
        <f aca="false">IF((E47="n"),H47," ")</f>
        <v> </v>
      </c>
      <c r="AE47" s="17" t="str">
        <f aca="false">IF((E47="f"),H47," ")</f>
        <v> </v>
      </c>
      <c r="AF47" s="17" t="str">
        <f aca="false">IF((E47="l"),H47," ")</f>
        <v> </v>
      </c>
      <c r="AG47" s="17" t="str">
        <f aca="false">IF((E47="y"),H47," ")</f>
        <v> </v>
      </c>
      <c r="AH47" s="17" t="str">
        <f aca="false">IF((E47="z"),H47," ")</f>
        <v> </v>
      </c>
      <c r="AI47" s="17" t="str">
        <f aca="false">IF((E47="fa"),H47," ")</f>
        <v> </v>
      </c>
      <c r="AJ47" s="17" t="str">
        <f aca="false">IF((E47="e"),H47," ")</f>
        <v> </v>
      </c>
    </row>
    <row r="48" customFormat="false" ht="12" hidden="false" customHeight="false" outlineLevel="0" collapsed="false">
      <c r="A48" s="28"/>
      <c r="E48" s="2"/>
      <c r="F48" s="30"/>
      <c r="G48" s="6" t="str">
        <f aca="false">IF(F48&lt;&gt;0,F48*G$2/(100+G$2)," ")</f>
        <v> </v>
      </c>
      <c r="H48" s="6" t="str">
        <f aca="false">IF((F48&lt;&gt;0),F48-G48," ")</f>
        <v> </v>
      </c>
      <c r="I48" s="5"/>
      <c r="L48" s="7" t="str">
        <f aca="false">IF(F48&lt;&gt;0,F48-K48," ")</f>
        <v> </v>
      </c>
      <c r="M48" s="8" t="str">
        <f aca="false">IF((F48-K48)&lt;&gt;0,M$1-A48," ")</f>
        <v> </v>
      </c>
      <c r="N48" s="5"/>
      <c r="O48" s="17" t="str">
        <f aca="false">IF((E48="s"),H48," ")</f>
        <v> </v>
      </c>
      <c r="P48" s="17" t="str">
        <f aca="false">IF((E48="c"),H48," ")</f>
        <v> </v>
      </c>
      <c r="Q48" s="17" t="str">
        <f aca="false">IF((E48="o"),H48," ")</f>
        <v> </v>
      </c>
      <c r="R48" s="17" t="str">
        <f aca="false">IF((E48="d"),H48," ")</f>
        <v> </v>
      </c>
      <c r="S48" s="17" t="str">
        <f aca="false">IF((E48="w"),H48," ")</f>
        <v> </v>
      </c>
      <c r="T48" s="17" t="str">
        <f aca="false">IF((E48="r"),H48," ")</f>
        <v> </v>
      </c>
      <c r="U48" s="17" t="str">
        <f aca="false">IF((E48="p"),H48," ")</f>
        <v> </v>
      </c>
      <c r="V48" s="17" t="str">
        <f aca="false">IF((E48="t"),H48," ")</f>
        <v> </v>
      </c>
      <c r="W48" s="17" t="str">
        <f aca="false">IF((E48="q"),H48," ")</f>
        <v> </v>
      </c>
      <c r="X48" s="17" t="str">
        <f aca="false">IF((E48="m"),H48," ")</f>
        <v> </v>
      </c>
      <c r="Y48" s="17" t="str">
        <f aca="false">IF((E48="u"),H48," ")</f>
        <v> </v>
      </c>
      <c r="Z48" s="17" t="str">
        <f aca="false">IF((E48="a"),H48," ")</f>
        <v> </v>
      </c>
      <c r="AA48" s="17" t="str">
        <f aca="false">IF((E48="g"),H48," ")</f>
        <v> </v>
      </c>
      <c r="AB48" s="17" t="str">
        <f aca="false">IF((E48="h"),H48," ")</f>
        <v> </v>
      </c>
      <c r="AC48" s="30" t="str">
        <f aca="false">IF((E48="v"),H48," ")</f>
        <v> </v>
      </c>
      <c r="AD48" s="30" t="str">
        <f aca="false">IF((E48="n"),H48," ")</f>
        <v> </v>
      </c>
      <c r="AE48" s="17" t="str">
        <f aca="false">IF((E48="f"),H48," ")</f>
        <v> </v>
      </c>
      <c r="AF48" s="17" t="str">
        <f aca="false">IF((E48="l"),H48," ")</f>
        <v> </v>
      </c>
      <c r="AG48" s="17" t="str">
        <f aca="false">IF((E48="y"),H48," ")</f>
        <v> </v>
      </c>
      <c r="AH48" s="17" t="str">
        <f aca="false">IF((E48="z"),H48," ")</f>
        <v> </v>
      </c>
      <c r="AI48" s="17" t="str">
        <f aca="false">IF((E48="fa"),H48," ")</f>
        <v> </v>
      </c>
      <c r="AJ48" s="17" t="str">
        <f aca="false">IF((E48="e"),H48," ")</f>
        <v> </v>
      </c>
    </row>
    <row r="49" customFormat="false" ht="12" hidden="false" customHeight="false" outlineLevel="0" collapsed="false">
      <c r="A49" s="28"/>
      <c r="E49" s="2"/>
      <c r="F49" s="30"/>
      <c r="G49" s="6" t="str">
        <f aca="false">IF(F49&lt;&gt;0,F49*G$2/(100+G$2)," ")</f>
        <v> </v>
      </c>
      <c r="H49" s="6" t="str">
        <f aca="false">IF((F49&lt;&gt;0),F49-G49," ")</f>
        <v> </v>
      </c>
      <c r="I49" s="5"/>
      <c r="L49" s="7" t="str">
        <f aca="false">IF(F49&lt;&gt;0,F49-K49," ")</f>
        <v> </v>
      </c>
      <c r="M49" s="8" t="str">
        <f aca="false">IF((F49-K49)&lt;&gt;0,M$1-A49," ")</f>
        <v> </v>
      </c>
      <c r="N49" s="5"/>
      <c r="O49" s="17" t="str">
        <f aca="false">IF((E49="s"),H49," ")</f>
        <v> </v>
      </c>
      <c r="P49" s="17" t="str">
        <f aca="false">IF((E49="c"),H49," ")</f>
        <v> </v>
      </c>
      <c r="Q49" s="17" t="str">
        <f aca="false">IF((E49="o"),H49," ")</f>
        <v> </v>
      </c>
      <c r="R49" s="17" t="str">
        <f aca="false">IF((E49="d"),H49," ")</f>
        <v> </v>
      </c>
      <c r="S49" s="17" t="str">
        <f aca="false">IF((E49="w"),H49," ")</f>
        <v> </v>
      </c>
      <c r="T49" s="17" t="str">
        <f aca="false">IF((E49="r"),H49," ")</f>
        <v> </v>
      </c>
      <c r="U49" s="17" t="str">
        <f aca="false">IF((E49="p"),H49," ")</f>
        <v> </v>
      </c>
      <c r="V49" s="17" t="str">
        <f aca="false">IF((E49="t"),H49," ")</f>
        <v> </v>
      </c>
      <c r="W49" s="17" t="str">
        <f aca="false">IF((E49="q"),H49," ")</f>
        <v> </v>
      </c>
      <c r="X49" s="17" t="str">
        <f aca="false">IF((E49="m"),H49," ")</f>
        <v> </v>
      </c>
      <c r="Y49" s="17" t="str">
        <f aca="false">IF((E49="u"),H49," ")</f>
        <v> </v>
      </c>
      <c r="Z49" s="17" t="str">
        <f aca="false">IF((E49="a"),H49," ")</f>
        <v> </v>
      </c>
      <c r="AA49" s="17" t="str">
        <f aca="false">IF((E49="g"),H49," ")</f>
        <v> </v>
      </c>
      <c r="AB49" s="17" t="str">
        <f aca="false">IF((E49="h"),H49," ")</f>
        <v> </v>
      </c>
      <c r="AC49" s="30" t="str">
        <f aca="false">IF((E49="v"),H49," ")</f>
        <v> </v>
      </c>
      <c r="AD49" s="30" t="str">
        <f aca="false">IF((E49="n"),H49," ")</f>
        <v> </v>
      </c>
      <c r="AE49" s="17" t="str">
        <f aca="false">IF((E49="f"),H49," ")</f>
        <v> </v>
      </c>
      <c r="AF49" s="17" t="str">
        <f aca="false">IF((E49="l"),H49," ")</f>
        <v> </v>
      </c>
      <c r="AG49" s="17" t="str">
        <f aca="false">IF((E49="y"),H49," ")</f>
        <v> </v>
      </c>
      <c r="AH49" s="17" t="str">
        <f aca="false">IF((E49="z"),H49," ")</f>
        <v> </v>
      </c>
      <c r="AI49" s="17" t="str">
        <f aca="false">IF((E49="fa"),H49," ")</f>
        <v> </v>
      </c>
      <c r="AJ49" s="17" t="str">
        <f aca="false">IF((E49="e"),H49," ")</f>
        <v> </v>
      </c>
    </row>
    <row r="50" customFormat="false" ht="12" hidden="false" customHeight="false" outlineLevel="0" collapsed="false">
      <c r="A50" s="28"/>
      <c r="E50" s="2"/>
      <c r="F50" s="30"/>
      <c r="G50" s="6" t="str">
        <f aca="false">IF(F50&lt;&gt;0,F50*G$2/(100+G$2)," ")</f>
        <v> </v>
      </c>
      <c r="H50" s="6" t="str">
        <f aca="false">IF((F50&lt;&gt;0),F50-G50," ")</f>
        <v> </v>
      </c>
      <c r="I50" s="5"/>
      <c r="L50" s="7" t="str">
        <f aca="false">IF(F50&lt;&gt;0,F50-K50," ")</f>
        <v> </v>
      </c>
      <c r="M50" s="8" t="str">
        <f aca="false">IF((F50-K50)&lt;&gt;0,M$1-A50," ")</f>
        <v> </v>
      </c>
      <c r="N50" s="5"/>
      <c r="O50" s="17" t="str">
        <f aca="false">IF((E50="s"),H50," ")</f>
        <v> </v>
      </c>
      <c r="P50" s="17" t="str">
        <f aca="false">IF((E50="c"),H50," ")</f>
        <v> </v>
      </c>
      <c r="Q50" s="17" t="str">
        <f aca="false">IF((E50="o"),H50," ")</f>
        <v> </v>
      </c>
      <c r="R50" s="17" t="str">
        <f aca="false">IF((E50="d"),H50," ")</f>
        <v> </v>
      </c>
      <c r="S50" s="17" t="str">
        <f aca="false">IF((E50="w"),H50," ")</f>
        <v> </v>
      </c>
      <c r="T50" s="17" t="str">
        <f aca="false">IF((E50="r"),H50," ")</f>
        <v> </v>
      </c>
      <c r="U50" s="17" t="str">
        <f aca="false">IF((E50="p"),H50," ")</f>
        <v> </v>
      </c>
      <c r="V50" s="17" t="str">
        <f aca="false">IF((E50="t"),H50," ")</f>
        <v> </v>
      </c>
      <c r="W50" s="17" t="str">
        <f aca="false">IF((E50="q"),H50," ")</f>
        <v> </v>
      </c>
      <c r="X50" s="17" t="str">
        <f aca="false">IF((E50="m"),H50," ")</f>
        <v> </v>
      </c>
      <c r="Y50" s="17" t="str">
        <f aca="false">IF((E50="u"),H50," ")</f>
        <v> </v>
      </c>
      <c r="Z50" s="17" t="str">
        <f aca="false">IF((E50="a"),H50," ")</f>
        <v> </v>
      </c>
      <c r="AA50" s="17" t="str">
        <f aca="false">IF((E50="g"),H50," ")</f>
        <v> </v>
      </c>
      <c r="AB50" s="17" t="str">
        <f aca="false">IF((E50="h"),H50," ")</f>
        <v> </v>
      </c>
      <c r="AC50" s="30" t="str">
        <f aca="false">IF((E50="v"),H50," ")</f>
        <v> </v>
      </c>
      <c r="AD50" s="30" t="str">
        <f aca="false">IF((E50="n"),H50," ")</f>
        <v> </v>
      </c>
      <c r="AE50" s="17" t="str">
        <f aca="false">IF((E50="f"),H50," ")</f>
        <v> </v>
      </c>
      <c r="AF50" s="17" t="str">
        <f aca="false">IF((E50="l"),H50," ")</f>
        <v> </v>
      </c>
      <c r="AG50" s="17" t="str">
        <f aca="false">IF((E50="y"),H50," ")</f>
        <v> </v>
      </c>
      <c r="AH50" s="17" t="str">
        <f aca="false">IF((E50="z"),H50," ")</f>
        <v> </v>
      </c>
      <c r="AI50" s="17" t="str">
        <f aca="false">IF((E50="fa"),H50," ")</f>
        <v> </v>
      </c>
      <c r="AJ50" s="17" t="str">
        <f aca="false">IF((E50="e"),H50," ")</f>
        <v> </v>
      </c>
    </row>
    <row r="51" customFormat="false" ht="12" hidden="false" customHeight="false" outlineLevel="0" collapsed="false">
      <c r="A51" s="28"/>
      <c r="E51" s="2"/>
      <c r="F51" s="30"/>
      <c r="G51" s="6" t="str">
        <f aca="false">IF(F51&lt;&gt;0,F51*G$2/(100+G$2)," ")</f>
        <v> </v>
      </c>
      <c r="H51" s="6" t="str">
        <f aca="false">IF((F51&lt;&gt;0),F51-G51," ")</f>
        <v> </v>
      </c>
      <c r="I51" s="5"/>
      <c r="L51" s="7" t="str">
        <f aca="false">IF(F51&lt;&gt;0,F51-K51," ")</f>
        <v> </v>
      </c>
      <c r="M51" s="8" t="str">
        <f aca="false">IF((F51-K51)&lt;&gt;0,M$1-A51," ")</f>
        <v> </v>
      </c>
      <c r="N51" s="5"/>
      <c r="O51" s="17" t="str">
        <f aca="false">IF((E51="s"),H51," ")</f>
        <v> </v>
      </c>
      <c r="P51" s="17" t="str">
        <f aca="false">IF((E51="c"),H51," ")</f>
        <v> </v>
      </c>
      <c r="Q51" s="17" t="str">
        <f aca="false">IF((E51="o"),H51," ")</f>
        <v> </v>
      </c>
      <c r="R51" s="17" t="str">
        <f aca="false">IF((E51="d"),H51," ")</f>
        <v> </v>
      </c>
      <c r="S51" s="17" t="str">
        <f aca="false">IF((E51="w"),H51," ")</f>
        <v> </v>
      </c>
      <c r="T51" s="17" t="str">
        <f aca="false">IF((E51="r"),H51," ")</f>
        <v> </v>
      </c>
      <c r="U51" s="17" t="str">
        <f aca="false">IF((E51="p"),H51," ")</f>
        <v> </v>
      </c>
      <c r="V51" s="17" t="str">
        <f aca="false">IF((E51="t"),H51," ")</f>
        <v> </v>
      </c>
      <c r="W51" s="17" t="str">
        <f aca="false">IF((E51="q"),H51," ")</f>
        <v> </v>
      </c>
      <c r="X51" s="17" t="str">
        <f aca="false">IF((E51="m"),H51," ")</f>
        <v> </v>
      </c>
      <c r="Y51" s="17" t="str">
        <f aca="false">IF((E51="u"),H51," ")</f>
        <v> </v>
      </c>
      <c r="Z51" s="17" t="str">
        <f aca="false">IF((E51="a"),H51," ")</f>
        <v> </v>
      </c>
      <c r="AA51" s="17" t="str">
        <f aca="false">IF((E51="g"),H51," ")</f>
        <v> </v>
      </c>
      <c r="AB51" s="17" t="str">
        <f aca="false">IF((E51="h"),H51," ")</f>
        <v> </v>
      </c>
      <c r="AC51" s="30" t="str">
        <f aca="false">IF((E51="v"),H51," ")</f>
        <v> </v>
      </c>
      <c r="AD51" s="30" t="str">
        <f aca="false">IF((E51="n"),H51," ")</f>
        <v> </v>
      </c>
      <c r="AE51" s="17" t="str">
        <f aca="false">IF((E51="f"),H51," ")</f>
        <v> </v>
      </c>
      <c r="AF51" s="17" t="str">
        <f aca="false">IF((E51="l"),H51," ")</f>
        <v> </v>
      </c>
      <c r="AG51" s="17" t="str">
        <f aca="false">IF((E51="y"),H51," ")</f>
        <v> </v>
      </c>
      <c r="AH51" s="17" t="str">
        <f aca="false">IF((E51="z"),H51," ")</f>
        <v> </v>
      </c>
      <c r="AI51" s="17" t="str">
        <f aca="false">IF((E51="fa"),H51," ")</f>
        <v> </v>
      </c>
      <c r="AJ51" s="17" t="str">
        <f aca="false">IF((E51="e"),H51," ")</f>
        <v> </v>
      </c>
    </row>
    <row r="52" customFormat="false" ht="12" hidden="false" customHeight="false" outlineLevel="0" collapsed="false">
      <c r="A52" s="28"/>
      <c r="E52" s="2"/>
      <c r="F52" s="30"/>
      <c r="G52" s="6" t="str">
        <f aca="false">IF(F52&lt;&gt;0,F52*G$2/(100+G$2)," ")</f>
        <v> </v>
      </c>
      <c r="H52" s="6" t="str">
        <f aca="false">IF((F52&lt;&gt;0),F52-G52," ")</f>
        <v> </v>
      </c>
      <c r="I52" s="5"/>
      <c r="L52" s="7" t="str">
        <f aca="false">IF(F52&lt;&gt;0,F52-K52," ")</f>
        <v> </v>
      </c>
      <c r="M52" s="8" t="str">
        <f aca="false">IF((F52-K52)&lt;&gt;0,M$1-A52," ")</f>
        <v> </v>
      </c>
      <c r="N52" s="5"/>
      <c r="O52" s="17" t="str">
        <f aca="false">IF((E52="s"),H52," ")</f>
        <v> </v>
      </c>
      <c r="P52" s="17" t="str">
        <f aca="false">IF((E52="c"),H52," ")</f>
        <v> </v>
      </c>
      <c r="Q52" s="17" t="str">
        <f aca="false">IF((E52="o"),H52," ")</f>
        <v> </v>
      </c>
      <c r="R52" s="17" t="str">
        <f aca="false">IF((E52="d"),H52," ")</f>
        <v> </v>
      </c>
      <c r="S52" s="17" t="str">
        <f aca="false">IF((E52="w"),H52," ")</f>
        <v> </v>
      </c>
      <c r="T52" s="17" t="str">
        <f aca="false">IF((E52="r"),H52," ")</f>
        <v> </v>
      </c>
      <c r="U52" s="17" t="str">
        <f aca="false">IF((E52="p"),H52," ")</f>
        <v> </v>
      </c>
      <c r="V52" s="17" t="str">
        <f aca="false">IF((E52="t"),H52," ")</f>
        <v> </v>
      </c>
      <c r="W52" s="17" t="str">
        <f aca="false">IF((E52="q"),H52," ")</f>
        <v> </v>
      </c>
      <c r="X52" s="17" t="str">
        <f aca="false">IF((E52="m"),H52," ")</f>
        <v> </v>
      </c>
      <c r="Y52" s="17" t="str">
        <f aca="false">IF((E52="u"),H52," ")</f>
        <v> </v>
      </c>
      <c r="Z52" s="17" t="str">
        <f aca="false">IF((E52="a"),H52," ")</f>
        <v> </v>
      </c>
      <c r="AA52" s="17" t="str">
        <f aca="false">IF((E52="g"),H52," ")</f>
        <v> </v>
      </c>
      <c r="AB52" s="17" t="str">
        <f aca="false">IF((E52="h"),H52," ")</f>
        <v> </v>
      </c>
      <c r="AC52" s="30" t="str">
        <f aca="false">IF((E52="v"),H52," ")</f>
        <v> </v>
      </c>
      <c r="AD52" s="30" t="str">
        <f aca="false">IF((E52="n"),H52," ")</f>
        <v> </v>
      </c>
      <c r="AE52" s="17" t="str">
        <f aca="false">IF((E52="f"),H52," ")</f>
        <v> </v>
      </c>
      <c r="AF52" s="17" t="str">
        <f aca="false">IF((E52="l"),H52," ")</f>
        <v> </v>
      </c>
      <c r="AG52" s="17" t="str">
        <f aca="false">IF((E52="y"),H52," ")</f>
        <v> </v>
      </c>
      <c r="AH52" s="17" t="str">
        <f aca="false">IF((E52="z"),H52," ")</f>
        <v> </v>
      </c>
      <c r="AI52" s="17" t="str">
        <f aca="false">IF((E52="fa"),H52," ")</f>
        <v> </v>
      </c>
      <c r="AJ52" s="17" t="str">
        <f aca="false">IF((E52="e"),H52," ")</f>
        <v> </v>
      </c>
    </row>
    <row r="53" customFormat="false" ht="12" hidden="false" customHeight="false" outlineLevel="0" collapsed="false">
      <c r="A53" s="28"/>
      <c r="E53" s="2"/>
      <c r="F53" s="30"/>
      <c r="G53" s="6" t="str">
        <f aca="false">IF(F53&lt;&gt;0,F53*G$2/(100+G$2)," ")</f>
        <v> </v>
      </c>
      <c r="H53" s="6" t="str">
        <f aca="false">IF((F53&lt;&gt;0),F53-G53," ")</f>
        <v> </v>
      </c>
      <c r="I53" s="5"/>
      <c r="L53" s="7" t="str">
        <f aca="false">IF(F53&lt;&gt;0,F53-K53," ")</f>
        <v> </v>
      </c>
      <c r="M53" s="8" t="str">
        <f aca="false">IF((F53-K53)&lt;&gt;0,M$1-A53," ")</f>
        <v> </v>
      </c>
      <c r="N53" s="5"/>
      <c r="O53" s="17" t="str">
        <f aca="false">IF((E53="s"),H53," ")</f>
        <v> </v>
      </c>
      <c r="P53" s="17" t="str">
        <f aca="false">IF((E53="c"),H53," ")</f>
        <v> </v>
      </c>
      <c r="Q53" s="17" t="str">
        <f aca="false">IF((E53="o"),H53," ")</f>
        <v> </v>
      </c>
      <c r="R53" s="17" t="str">
        <f aca="false">IF((E53="d"),H53," ")</f>
        <v> </v>
      </c>
      <c r="S53" s="17" t="str">
        <f aca="false">IF((E53="w"),H53," ")</f>
        <v> </v>
      </c>
      <c r="T53" s="17" t="str">
        <f aca="false">IF((E53="r"),H53," ")</f>
        <v> </v>
      </c>
      <c r="U53" s="17" t="str">
        <f aca="false">IF((E53="p"),H53," ")</f>
        <v> </v>
      </c>
      <c r="V53" s="17" t="str">
        <f aca="false">IF((E53="t"),H53," ")</f>
        <v> </v>
      </c>
      <c r="W53" s="17" t="str">
        <f aca="false">IF((E53="q"),H53," ")</f>
        <v> </v>
      </c>
      <c r="X53" s="17" t="str">
        <f aca="false">IF((E53="m"),H53," ")</f>
        <v> </v>
      </c>
      <c r="Y53" s="17" t="str">
        <f aca="false">IF((E53="u"),H53," ")</f>
        <v> </v>
      </c>
      <c r="Z53" s="17" t="str">
        <f aca="false">IF((E53="a"),H53," ")</f>
        <v> </v>
      </c>
      <c r="AA53" s="17" t="str">
        <f aca="false">IF((E53="g"),H53," ")</f>
        <v> </v>
      </c>
      <c r="AB53" s="17" t="str">
        <f aca="false">IF((E53="h"),H53," ")</f>
        <v> </v>
      </c>
      <c r="AC53" s="30" t="str">
        <f aca="false">IF((E53="v"),H53," ")</f>
        <v> </v>
      </c>
      <c r="AD53" s="30" t="str">
        <f aca="false">IF((E53="n"),H53," ")</f>
        <v> </v>
      </c>
      <c r="AE53" s="17" t="str">
        <f aca="false">IF((E53="f"),H53," ")</f>
        <v> </v>
      </c>
      <c r="AF53" s="17" t="str">
        <f aca="false">IF((E53="l"),H53," ")</f>
        <v> </v>
      </c>
      <c r="AG53" s="17" t="str">
        <f aca="false">IF((E53="y"),H53," ")</f>
        <v> </v>
      </c>
      <c r="AH53" s="17" t="str">
        <f aca="false">IF((E53="z"),H53," ")</f>
        <v> </v>
      </c>
      <c r="AI53" s="17" t="str">
        <f aca="false">IF((E53="fa"),H53," ")</f>
        <v> </v>
      </c>
      <c r="AJ53" s="17" t="str">
        <f aca="false">IF((E53="e"),H53," ")</f>
        <v> </v>
      </c>
    </row>
    <row r="54" customFormat="false" ht="12" hidden="false" customHeight="false" outlineLevel="0" collapsed="false">
      <c r="A54" s="28"/>
      <c r="E54" s="2"/>
      <c r="F54" s="30"/>
      <c r="G54" s="6" t="str">
        <f aca="false">IF(F54&lt;&gt;0,F54*G$2/(100+G$2)," ")</f>
        <v> </v>
      </c>
      <c r="H54" s="6" t="str">
        <f aca="false">IF((F54&lt;&gt;0),F54-G54," ")</f>
        <v> </v>
      </c>
      <c r="I54" s="5"/>
      <c r="L54" s="7" t="str">
        <f aca="false">IF(F54&lt;&gt;0,F54-K54," ")</f>
        <v> </v>
      </c>
      <c r="M54" s="8" t="str">
        <f aca="false">IF((F54-K54)&lt;&gt;0,M$1-A54," ")</f>
        <v> </v>
      </c>
      <c r="N54" s="5"/>
      <c r="O54" s="17" t="str">
        <f aca="false">IF((E54="s"),H54," ")</f>
        <v> </v>
      </c>
      <c r="P54" s="17" t="str">
        <f aca="false">IF((E54="c"),H54," ")</f>
        <v> </v>
      </c>
      <c r="Q54" s="17" t="str">
        <f aca="false">IF((E54="o"),H54," ")</f>
        <v> </v>
      </c>
      <c r="R54" s="17" t="str">
        <f aca="false">IF((E54="d"),H54," ")</f>
        <v> </v>
      </c>
      <c r="S54" s="17" t="str">
        <f aca="false">IF((E54="w"),H54," ")</f>
        <v> </v>
      </c>
      <c r="T54" s="17" t="str">
        <f aca="false">IF((E54="r"),H54," ")</f>
        <v> </v>
      </c>
      <c r="U54" s="17" t="str">
        <f aca="false">IF((E54="p"),H54," ")</f>
        <v> </v>
      </c>
      <c r="V54" s="17" t="str">
        <f aca="false">IF((E54="t"),H54," ")</f>
        <v> </v>
      </c>
      <c r="W54" s="17" t="str">
        <f aca="false">IF((E54="q"),H54," ")</f>
        <v> </v>
      </c>
      <c r="X54" s="17" t="str">
        <f aca="false">IF((E54="m"),H54," ")</f>
        <v> </v>
      </c>
      <c r="Y54" s="17" t="str">
        <f aca="false">IF((E54="u"),H54," ")</f>
        <v> </v>
      </c>
      <c r="Z54" s="17" t="str">
        <f aca="false">IF((E54="a"),H54," ")</f>
        <v> </v>
      </c>
      <c r="AA54" s="17" t="str">
        <f aca="false">IF((E54="g"),H54," ")</f>
        <v> </v>
      </c>
      <c r="AB54" s="17" t="str">
        <f aca="false">IF((E54="h"),H54," ")</f>
        <v> </v>
      </c>
      <c r="AC54" s="30" t="str">
        <f aca="false">IF((E54="v"),H54," ")</f>
        <v> </v>
      </c>
      <c r="AD54" s="30" t="str">
        <f aca="false">IF((E54="n"),H54," ")</f>
        <v> </v>
      </c>
      <c r="AE54" s="17" t="str">
        <f aca="false">IF((E54="f"),H54," ")</f>
        <v> </v>
      </c>
      <c r="AF54" s="17" t="str">
        <f aca="false">IF((E54="l"),H54," ")</f>
        <v> </v>
      </c>
      <c r="AG54" s="17" t="str">
        <f aca="false">IF((E54="y"),H54," ")</f>
        <v> </v>
      </c>
      <c r="AH54" s="17" t="str">
        <f aca="false">IF((E54="z"),H54," ")</f>
        <v> </v>
      </c>
      <c r="AI54" s="17" t="str">
        <f aca="false">IF((E54="fa"),H54," ")</f>
        <v> </v>
      </c>
      <c r="AJ54" s="17" t="str">
        <f aca="false">IF((E54="e"),H54," ")</f>
        <v> </v>
      </c>
    </row>
    <row r="55" customFormat="false" ht="12" hidden="false" customHeight="false" outlineLevel="0" collapsed="false">
      <c r="A55" s="28"/>
      <c r="E55" s="2"/>
      <c r="F55" s="30"/>
      <c r="G55" s="6" t="str">
        <f aca="false">IF(F55&lt;&gt;0,F55*G$2/(100+G$2)," ")</f>
        <v> </v>
      </c>
      <c r="H55" s="6" t="str">
        <f aca="false">IF((F55&lt;&gt;0),F55-G55," ")</f>
        <v> </v>
      </c>
      <c r="I55" s="5"/>
      <c r="L55" s="7" t="str">
        <f aca="false">IF(F55&lt;&gt;0,F55-K55," ")</f>
        <v> </v>
      </c>
      <c r="M55" s="8" t="str">
        <f aca="false">IF((F55-K55)&lt;&gt;0,M$1-A55," ")</f>
        <v> </v>
      </c>
      <c r="N55" s="5"/>
      <c r="O55" s="17" t="str">
        <f aca="false">IF((E55="s"),H55," ")</f>
        <v> </v>
      </c>
      <c r="P55" s="17" t="str">
        <f aca="false">IF((E55="c"),H55," ")</f>
        <v> </v>
      </c>
      <c r="Q55" s="17" t="str">
        <f aca="false">IF((E55="o"),H55," ")</f>
        <v> </v>
      </c>
      <c r="R55" s="17" t="str">
        <f aca="false">IF((E55="d"),H55," ")</f>
        <v> </v>
      </c>
      <c r="S55" s="17" t="str">
        <f aca="false">IF((E55="w"),H55," ")</f>
        <v> </v>
      </c>
      <c r="T55" s="17" t="str">
        <f aca="false">IF((E55="r"),H55," ")</f>
        <v> </v>
      </c>
      <c r="U55" s="17" t="str">
        <f aca="false">IF((E55="p"),H55," ")</f>
        <v> </v>
      </c>
      <c r="V55" s="17" t="str">
        <f aca="false">IF((E55="t"),H55," ")</f>
        <v> </v>
      </c>
      <c r="W55" s="17" t="str">
        <f aca="false">IF((E55="q"),H55," ")</f>
        <v> </v>
      </c>
      <c r="X55" s="17" t="str">
        <f aca="false">IF((E55="m"),H55," ")</f>
        <v> </v>
      </c>
      <c r="Y55" s="17" t="str">
        <f aca="false">IF((E55="u"),H55," ")</f>
        <v> </v>
      </c>
      <c r="Z55" s="17" t="str">
        <f aca="false">IF((E55="a"),H55," ")</f>
        <v> </v>
      </c>
      <c r="AA55" s="17" t="str">
        <f aca="false">IF((E55="g"),H55," ")</f>
        <v> </v>
      </c>
      <c r="AB55" s="17" t="str">
        <f aca="false">IF((E55="h"),H55," ")</f>
        <v> </v>
      </c>
      <c r="AC55" s="30" t="str">
        <f aca="false">IF((E55="v"),H55," ")</f>
        <v> </v>
      </c>
      <c r="AD55" s="30" t="str">
        <f aca="false">IF((E55="n"),H55," ")</f>
        <v> </v>
      </c>
      <c r="AE55" s="17" t="str">
        <f aca="false">IF((E55="f"),H55," ")</f>
        <v> </v>
      </c>
      <c r="AF55" s="17" t="str">
        <f aca="false">IF((E55="l"),H55," ")</f>
        <v> </v>
      </c>
      <c r="AG55" s="17" t="str">
        <f aca="false">IF((E55="y"),H55," ")</f>
        <v> </v>
      </c>
      <c r="AH55" s="17" t="str">
        <f aca="false">IF((E55="z"),H55," ")</f>
        <v> </v>
      </c>
      <c r="AI55" s="17" t="str">
        <f aca="false">IF((E55="fa"),H55," ")</f>
        <v> </v>
      </c>
      <c r="AJ55" s="17" t="str">
        <f aca="false">IF((E55="e"),H55," ")</f>
        <v> </v>
      </c>
    </row>
    <row r="56" customFormat="false" ht="12" hidden="false" customHeight="false" outlineLevel="0" collapsed="false">
      <c r="A56" s="28"/>
      <c r="E56" s="2"/>
      <c r="F56" s="30"/>
      <c r="G56" s="6" t="str">
        <f aca="false">IF(F56&lt;&gt;0,F56*G$2/(100+G$2)," ")</f>
        <v> </v>
      </c>
      <c r="H56" s="6" t="str">
        <f aca="false">IF((F56&lt;&gt;0),F56-G56," ")</f>
        <v> </v>
      </c>
      <c r="I56" s="5"/>
      <c r="L56" s="7" t="str">
        <f aca="false">IF(F56&lt;&gt;0,F56-K56," ")</f>
        <v> </v>
      </c>
      <c r="M56" s="8" t="str">
        <f aca="false">IF((F56-K56)&lt;&gt;0,M$1-A56," ")</f>
        <v> </v>
      </c>
      <c r="N56" s="5"/>
      <c r="O56" s="17" t="str">
        <f aca="false">IF((E56="s"),H56," ")</f>
        <v> </v>
      </c>
      <c r="P56" s="17" t="str">
        <f aca="false">IF((E56="c"),H56," ")</f>
        <v> </v>
      </c>
      <c r="Q56" s="17" t="str">
        <f aca="false">IF((E56="o"),H56," ")</f>
        <v> </v>
      </c>
      <c r="R56" s="17" t="str">
        <f aca="false">IF((E56="d"),H56," ")</f>
        <v> </v>
      </c>
      <c r="S56" s="17" t="str">
        <f aca="false">IF((E56="w"),H56," ")</f>
        <v> </v>
      </c>
      <c r="T56" s="17" t="str">
        <f aca="false">IF((E56="r"),H56," ")</f>
        <v> </v>
      </c>
      <c r="U56" s="17" t="str">
        <f aca="false">IF((E56="p"),H56," ")</f>
        <v> </v>
      </c>
      <c r="V56" s="17" t="str">
        <f aca="false">IF((E56="t"),H56," ")</f>
        <v> </v>
      </c>
      <c r="W56" s="17" t="str">
        <f aca="false">IF((E56="q"),H56," ")</f>
        <v> </v>
      </c>
      <c r="X56" s="17" t="str">
        <f aca="false">IF((E56="m"),H56," ")</f>
        <v> </v>
      </c>
      <c r="Y56" s="17" t="str">
        <f aca="false">IF((E56="u"),H56," ")</f>
        <v> </v>
      </c>
      <c r="Z56" s="17" t="str">
        <f aca="false">IF((E56="a"),H56," ")</f>
        <v> </v>
      </c>
      <c r="AA56" s="17" t="str">
        <f aca="false">IF((E56="g"),H56," ")</f>
        <v> </v>
      </c>
      <c r="AB56" s="17" t="str">
        <f aca="false">IF((E56="h"),H56," ")</f>
        <v> </v>
      </c>
      <c r="AC56" s="30" t="str">
        <f aca="false">IF((E56="v"),H56," ")</f>
        <v> </v>
      </c>
      <c r="AD56" s="30" t="str">
        <f aca="false">IF((E56="n"),H56," ")</f>
        <v> </v>
      </c>
      <c r="AE56" s="17" t="str">
        <f aca="false">IF((E56="f"),H56," ")</f>
        <v> </v>
      </c>
      <c r="AF56" s="17" t="str">
        <f aca="false">IF((E56="l"),H56," ")</f>
        <v> </v>
      </c>
      <c r="AG56" s="17" t="str">
        <f aca="false">IF((E56="y"),H56," ")</f>
        <v> </v>
      </c>
      <c r="AH56" s="17" t="str">
        <f aca="false">IF((E56="z"),H56," ")</f>
        <v> </v>
      </c>
      <c r="AI56" s="17" t="str">
        <f aca="false">IF((E56="fa"),H56," ")</f>
        <v> </v>
      </c>
      <c r="AJ56" s="17" t="str">
        <f aca="false">IF((E56="e"),H56," ")</f>
        <v> </v>
      </c>
    </row>
    <row r="57" customFormat="false" ht="12" hidden="false" customHeight="false" outlineLevel="0" collapsed="false">
      <c r="A57" s="28"/>
      <c r="E57" s="2"/>
      <c r="F57" s="30"/>
      <c r="G57" s="6" t="str">
        <f aca="false">IF(F57&lt;&gt;0,F57*G$2/(100+G$2)," ")</f>
        <v> </v>
      </c>
      <c r="H57" s="6" t="str">
        <f aca="false">IF((F57&lt;&gt;0),F57-G57," ")</f>
        <v> </v>
      </c>
      <c r="I57" s="5"/>
      <c r="L57" s="7" t="str">
        <f aca="false">IF(F57&lt;&gt;0,F57-K57," ")</f>
        <v> </v>
      </c>
      <c r="M57" s="8" t="str">
        <f aca="false">IF((F57-K57)&lt;&gt;0,M$1-A57," ")</f>
        <v> </v>
      </c>
      <c r="N57" s="5"/>
      <c r="O57" s="17" t="str">
        <f aca="false">IF((E57="s"),H57," ")</f>
        <v> </v>
      </c>
      <c r="P57" s="17" t="str">
        <f aca="false">IF((E57="c"),H57," ")</f>
        <v> </v>
      </c>
      <c r="Q57" s="17" t="str">
        <f aca="false">IF((E57="o"),H57," ")</f>
        <v> </v>
      </c>
      <c r="R57" s="17" t="str">
        <f aca="false">IF((E57="d"),H57," ")</f>
        <v> </v>
      </c>
      <c r="S57" s="17" t="str">
        <f aca="false">IF((E57="w"),H57," ")</f>
        <v> </v>
      </c>
      <c r="T57" s="17" t="str">
        <f aca="false">IF((E57="r"),H57," ")</f>
        <v> </v>
      </c>
      <c r="U57" s="17" t="str">
        <f aca="false">IF((E57="p"),H57," ")</f>
        <v> </v>
      </c>
      <c r="V57" s="17" t="str">
        <f aca="false">IF((E57="t"),H57," ")</f>
        <v> </v>
      </c>
      <c r="W57" s="17" t="str">
        <f aca="false">IF((E57="q"),H57," ")</f>
        <v> </v>
      </c>
      <c r="X57" s="17" t="str">
        <f aca="false">IF((E57="m"),H57," ")</f>
        <v> </v>
      </c>
      <c r="Y57" s="17" t="str">
        <f aca="false">IF((E57="u"),H57," ")</f>
        <v> </v>
      </c>
      <c r="Z57" s="17" t="str">
        <f aca="false">IF((E57="a"),H57," ")</f>
        <v> </v>
      </c>
      <c r="AA57" s="17" t="str">
        <f aca="false">IF((E57="g"),H57," ")</f>
        <v> </v>
      </c>
      <c r="AB57" s="17" t="str">
        <f aca="false">IF((E57="h"),H57," ")</f>
        <v> </v>
      </c>
      <c r="AC57" s="30" t="str">
        <f aca="false">IF((E57="v"),H57," ")</f>
        <v> </v>
      </c>
      <c r="AD57" s="30" t="str">
        <f aca="false">IF((E57="n"),H57," ")</f>
        <v> </v>
      </c>
      <c r="AE57" s="17" t="str">
        <f aca="false">IF((E57="f"),H57," ")</f>
        <v> </v>
      </c>
      <c r="AF57" s="17" t="str">
        <f aca="false">IF((E57="l"),H57," ")</f>
        <v> </v>
      </c>
      <c r="AG57" s="17" t="str">
        <f aca="false">IF((E57="y"),H57," ")</f>
        <v> </v>
      </c>
      <c r="AH57" s="17" t="str">
        <f aca="false">IF((E57="z"),H57," ")</f>
        <v> </v>
      </c>
      <c r="AI57" s="17" t="str">
        <f aca="false">IF((E57="fa"),H57," ")</f>
        <v> </v>
      </c>
      <c r="AJ57" s="17" t="str">
        <f aca="false">IF((E57="e"),H57," ")</f>
        <v> </v>
      </c>
    </row>
    <row r="58" customFormat="false" ht="12" hidden="false" customHeight="false" outlineLevel="0" collapsed="false">
      <c r="A58" s="28"/>
      <c r="E58" s="2"/>
      <c r="F58" s="30"/>
      <c r="G58" s="6" t="str">
        <f aca="false">IF(F58&lt;&gt;0,F58*G$2/(100+G$2)," ")</f>
        <v> </v>
      </c>
      <c r="H58" s="6" t="str">
        <f aca="false">IF((F58&lt;&gt;0),F58-G58," ")</f>
        <v> </v>
      </c>
      <c r="I58" s="5"/>
      <c r="L58" s="7" t="str">
        <f aca="false">IF(F58&lt;&gt;0,F58-K58," ")</f>
        <v> </v>
      </c>
      <c r="M58" s="8" t="str">
        <f aca="false">IF((F58-K58)&lt;&gt;0,M$1-A58," ")</f>
        <v> </v>
      </c>
      <c r="N58" s="5"/>
      <c r="O58" s="17" t="str">
        <f aca="false">IF((E58="s"),H58," ")</f>
        <v> </v>
      </c>
      <c r="P58" s="17" t="str">
        <f aca="false">IF((E58="c"),H58," ")</f>
        <v> </v>
      </c>
      <c r="Q58" s="17" t="str">
        <f aca="false">IF((E58="o"),H58," ")</f>
        <v> </v>
      </c>
      <c r="R58" s="17" t="str">
        <f aca="false">IF((E58="d"),H58," ")</f>
        <v> </v>
      </c>
      <c r="S58" s="17" t="str">
        <f aca="false">IF((E58="w"),H58," ")</f>
        <v> </v>
      </c>
      <c r="T58" s="17" t="str">
        <f aca="false">IF((E58="r"),H58," ")</f>
        <v> </v>
      </c>
      <c r="U58" s="17" t="str">
        <f aca="false">IF((E58="p"),H58," ")</f>
        <v> </v>
      </c>
      <c r="V58" s="17" t="str">
        <f aca="false">IF((E58="t"),H58," ")</f>
        <v> </v>
      </c>
      <c r="W58" s="17" t="str">
        <f aca="false">IF((E58="q"),H58," ")</f>
        <v> </v>
      </c>
      <c r="X58" s="17" t="str">
        <f aca="false">IF((E58="m"),H58," ")</f>
        <v> </v>
      </c>
      <c r="Y58" s="17" t="str">
        <f aca="false">IF((E58="u"),H58," ")</f>
        <v> </v>
      </c>
      <c r="Z58" s="17" t="str">
        <f aca="false">IF((E58="a"),H58," ")</f>
        <v> </v>
      </c>
      <c r="AA58" s="17" t="str">
        <f aca="false">IF((E58="g"),H58," ")</f>
        <v> </v>
      </c>
      <c r="AB58" s="17" t="str">
        <f aca="false">IF((E58="h"),H58," ")</f>
        <v> </v>
      </c>
      <c r="AC58" s="30" t="str">
        <f aca="false">IF((E58="v"),H58," ")</f>
        <v> </v>
      </c>
      <c r="AD58" s="30" t="str">
        <f aca="false">IF((E58="n"),H58," ")</f>
        <v> </v>
      </c>
      <c r="AE58" s="17" t="str">
        <f aca="false">IF((E58="f"),H58," ")</f>
        <v> </v>
      </c>
      <c r="AF58" s="17" t="str">
        <f aca="false">IF((E58="l"),H58," ")</f>
        <v> </v>
      </c>
      <c r="AG58" s="17" t="str">
        <f aca="false">IF((E58="y"),H58," ")</f>
        <v> </v>
      </c>
      <c r="AH58" s="17" t="str">
        <f aca="false">IF((E58="z"),H58," ")</f>
        <v> </v>
      </c>
      <c r="AI58" s="17" t="str">
        <f aca="false">IF((E58="fa"),H58," ")</f>
        <v> </v>
      </c>
      <c r="AJ58" s="17" t="str">
        <f aca="false">IF((E58="e"),H58," ")</f>
        <v> </v>
      </c>
    </row>
    <row r="59" customFormat="false" ht="12" hidden="false" customHeight="false" outlineLevel="0" collapsed="false">
      <c r="A59" s="28"/>
      <c r="E59" s="2"/>
      <c r="F59" s="30"/>
      <c r="G59" s="6" t="str">
        <f aca="false">IF(F59&lt;&gt;0,F59*G$2/(100+G$2)," ")</f>
        <v> </v>
      </c>
      <c r="H59" s="6" t="str">
        <f aca="false">IF((F59&lt;&gt;0),F59-G59," ")</f>
        <v> </v>
      </c>
      <c r="I59" s="5"/>
      <c r="L59" s="7" t="str">
        <f aca="false">IF(F59&lt;&gt;0,F59-K59," ")</f>
        <v> </v>
      </c>
      <c r="M59" s="8" t="str">
        <f aca="false">IF((F59-K59)&lt;&gt;0,M$1-A59," ")</f>
        <v> </v>
      </c>
      <c r="N59" s="5"/>
      <c r="O59" s="17" t="str">
        <f aca="false">IF((E59="s"),H59," ")</f>
        <v> </v>
      </c>
      <c r="P59" s="17" t="str">
        <f aca="false">IF((E59="c"),H59," ")</f>
        <v> </v>
      </c>
      <c r="Q59" s="17" t="str">
        <f aca="false">IF((E59="o"),H59," ")</f>
        <v> </v>
      </c>
      <c r="R59" s="17" t="str">
        <f aca="false">IF((E59="d"),H59," ")</f>
        <v> </v>
      </c>
      <c r="S59" s="17" t="str">
        <f aca="false">IF((E59="w"),H59," ")</f>
        <v> </v>
      </c>
      <c r="T59" s="17" t="str">
        <f aca="false">IF((E59="r"),H59," ")</f>
        <v> </v>
      </c>
      <c r="U59" s="17" t="str">
        <f aca="false">IF((E59="p"),H59," ")</f>
        <v> </v>
      </c>
      <c r="V59" s="17" t="str">
        <f aca="false">IF((E59="t"),H59," ")</f>
        <v> </v>
      </c>
      <c r="W59" s="17" t="str">
        <f aca="false">IF((E59="q"),H59," ")</f>
        <v> </v>
      </c>
      <c r="X59" s="17" t="str">
        <f aca="false">IF((E59="m"),H59," ")</f>
        <v> </v>
      </c>
      <c r="Y59" s="17" t="str">
        <f aca="false">IF((E59="u"),H59," ")</f>
        <v> </v>
      </c>
      <c r="Z59" s="17" t="str">
        <f aca="false">IF((E59="a"),H59," ")</f>
        <v> </v>
      </c>
      <c r="AA59" s="17" t="str">
        <f aca="false">IF((E59="g"),H59," ")</f>
        <v> </v>
      </c>
      <c r="AB59" s="17" t="str">
        <f aca="false">IF((E59="h"),H59," ")</f>
        <v> </v>
      </c>
      <c r="AC59" s="30" t="str">
        <f aca="false">IF((E59="v"),H59," ")</f>
        <v> </v>
      </c>
      <c r="AD59" s="30" t="str">
        <f aca="false">IF((E59="n"),H59," ")</f>
        <v> </v>
      </c>
      <c r="AE59" s="17" t="str">
        <f aca="false">IF((E59="f"),H59," ")</f>
        <v> </v>
      </c>
      <c r="AF59" s="17" t="str">
        <f aca="false">IF((E59="l"),H59," ")</f>
        <v> </v>
      </c>
      <c r="AG59" s="17" t="str">
        <f aca="false">IF((E59="y"),H59," ")</f>
        <v> </v>
      </c>
      <c r="AH59" s="17" t="str">
        <f aca="false">IF((E59="z"),H59," ")</f>
        <v> </v>
      </c>
      <c r="AI59" s="17" t="str">
        <f aca="false">IF((E59="fa"),H59," ")</f>
        <v> </v>
      </c>
      <c r="AJ59" s="17" t="str">
        <f aca="false">IF((E59="e"),H59," ")</f>
        <v> </v>
      </c>
    </row>
    <row r="60" customFormat="false" ht="12" hidden="false" customHeight="false" outlineLevel="0" collapsed="false">
      <c r="A60" s="28"/>
      <c r="E60" s="2"/>
      <c r="F60" s="30"/>
      <c r="G60" s="6" t="str">
        <f aca="false">IF(F60&lt;&gt;0,F60*G$2/(100+G$2)," ")</f>
        <v> </v>
      </c>
      <c r="H60" s="6" t="str">
        <f aca="false">IF((F60&lt;&gt;0),F60-G60," ")</f>
        <v> </v>
      </c>
      <c r="I60" s="5"/>
      <c r="L60" s="7" t="str">
        <f aca="false">IF(F60&lt;&gt;0,F60-K60," ")</f>
        <v> </v>
      </c>
      <c r="M60" s="8" t="str">
        <f aca="false">IF((F60-K60)&lt;&gt;0,M$1-A60," ")</f>
        <v> </v>
      </c>
      <c r="N60" s="5"/>
      <c r="O60" s="17" t="str">
        <f aca="false">IF((E60="s"),H60," ")</f>
        <v> </v>
      </c>
      <c r="P60" s="17" t="str">
        <f aca="false">IF((E60="c"),H60," ")</f>
        <v> </v>
      </c>
      <c r="Q60" s="17" t="str">
        <f aca="false">IF((E60="o"),H60," ")</f>
        <v> </v>
      </c>
      <c r="R60" s="17" t="str">
        <f aca="false">IF((E60="d"),H60," ")</f>
        <v> </v>
      </c>
      <c r="S60" s="17" t="str">
        <f aca="false">IF((E60="w"),H60," ")</f>
        <v> </v>
      </c>
      <c r="T60" s="17" t="str">
        <f aca="false">IF((E60="r"),H60," ")</f>
        <v> </v>
      </c>
      <c r="U60" s="17" t="str">
        <f aca="false">IF((E60="p"),H60," ")</f>
        <v> </v>
      </c>
      <c r="V60" s="17" t="str">
        <f aca="false">IF((E60="t"),H60," ")</f>
        <v> </v>
      </c>
      <c r="W60" s="17" t="str">
        <f aca="false">IF((E60="q"),H60," ")</f>
        <v> </v>
      </c>
      <c r="X60" s="17" t="str">
        <f aca="false">IF((E60="m"),H60," ")</f>
        <v> </v>
      </c>
      <c r="Y60" s="17" t="str">
        <f aca="false">IF((E60="u"),H60," ")</f>
        <v> </v>
      </c>
      <c r="Z60" s="17" t="str">
        <f aca="false">IF((E60="a"),H60," ")</f>
        <v> </v>
      </c>
      <c r="AA60" s="17" t="str">
        <f aca="false">IF((E60="g"),H60," ")</f>
        <v> </v>
      </c>
      <c r="AB60" s="17" t="str">
        <f aca="false">IF((E60="h"),H60," ")</f>
        <v> </v>
      </c>
      <c r="AC60" s="30" t="str">
        <f aca="false">IF((E60="v"),H60," ")</f>
        <v> </v>
      </c>
      <c r="AD60" s="30" t="str">
        <f aca="false">IF((E60="n"),H60," ")</f>
        <v> </v>
      </c>
      <c r="AE60" s="17" t="str">
        <f aca="false">IF((E60="f"),H60," ")</f>
        <v> </v>
      </c>
      <c r="AF60" s="17" t="str">
        <f aca="false">IF((E60="l"),H60," ")</f>
        <v> </v>
      </c>
      <c r="AG60" s="17" t="str">
        <f aca="false">IF((E60="y"),H60," ")</f>
        <v> </v>
      </c>
      <c r="AH60" s="17" t="str">
        <f aca="false">IF((E60="z"),H60," ")</f>
        <v> </v>
      </c>
      <c r="AI60" s="17" t="str">
        <f aca="false">IF((E60="fa"),H60," ")</f>
        <v> </v>
      </c>
      <c r="AJ60" s="17" t="str">
        <f aca="false">IF((E60="e"),H60," ")</f>
        <v> </v>
      </c>
    </row>
    <row r="61" customFormat="false" ht="12" hidden="false" customHeight="false" outlineLevel="0" collapsed="false">
      <c r="A61" s="28"/>
      <c r="E61" s="2"/>
      <c r="F61" s="30"/>
      <c r="G61" s="6" t="str">
        <f aca="false">IF(F61&lt;&gt;0,F61*G$2/(100+G$2)," ")</f>
        <v> </v>
      </c>
      <c r="H61" s="6" t="str">
        <f aca="false">IF((F61&lt;&gt;0),F61-G61," ")</f>
        <v> </v>
      </c>
      <c r="I61" s="5"/>
      <c r="L61" s="7" t="str">
        <f aca="false">IF(F61&lt;&gt;0,F61-K61," ")</f>
        <v> </v>
      </c>
      <c r="M61" s="8" t="str">
        <f aca="false">IF((F61-K61)&lt;&gt;0,M$1-A61," ")</f>
        <v> </v>
      </c>
      <c r="N61" s="5"/>
      <c r="O61" s="17" t="str">
        <f aca="false">IF((E61="s"),H61," ")</f>
        <v> </v>
      </c>
      <c r="P61" s="17" t="str">
        <f aca="false">IF((E61="c"),H61," ")</f>
        <v> </v>
      </c>
      <c r="Q61" s="17" t="str">
        <f aca="false">IF((E61="o"),H61," ")</f>
        <v> </v>
      </c>
      <c r="R61" s="17" t="str">
        <f aca="false">IF((E61="d"),H61," ")</f>
        <v> </v>
      </c>
      <c r="S61" s="17" t="str">
        <f aca="false">IF((E61="w"),H61," ")</f>
        <v> </v>
      </c>
      <c r="T61" s="17" t="str">
        <f aca="false">IF((E61="r"),H61," ")</f>
        <v> </v>
      </c>
      <c r="U61" s="17" t="str">
        <f aca="false">IF((E61="p"),H61," ")</f>
        <v> </v>
      </c>
      <c r="V61" s="17" t="str">
        <f aca="false">IF((E61="t"),H61," ")</f>
        <v> </v>
      </c>
      <c r="W61" s="17" t="str">
        <f aca="false">IF((E61="q"),H61," ")</f>
        <v> </v>
      </c>
      <c r="X61" s="17" t="str">
        <f aca="false">IF((E61="m"),H61," ")</f>
        <v> </v>
      </c>
      <c r="Y61" s="17" t="str">
        <f aca="false">IF((E61="u"),H61," ")</f>
        <v> </v>
      </c>
      <c r="Z61" s="17" t="str">
        <f aca="false">IF((E61="a"),H61," ")</f>
        <v> </v>
      </c>
      <c r="AA61" s="17" t="str">
        <f aca="false">IF((E61="g"),H61," ")</f>
        <v> </v>
      </c>
      <c r="AB61" s="17" t="str">
        <f aca="false">IF((E61="h"),H61," ")</f>
        <v> </v>
      </c>
      <c r="AC61" s="30" t="str">
        <f aca="false">IF((E61="v"),H61," ")</f>
        <v> </v>
      </c>
      <c r="AD61" s="30" t="str">
        <f aca="false">IF((E61="n"),H61," ")</f>
        <v> </v>
      </c>
      <c r="AE61" s="17" t="str">
        <f aca="false">IF((E61="f"),H61," ")</f>
        <v> </v>
      </c>
      <c r="AF61" s="17" t="str">
        <f aca="false">IF((E61="l"),H61," ")</f>
        <v> </v>
      </c>
      <c r="AG61" s="17" t="str">
        <f aca="false">IF((E61="y"),H61," ")</f>
        <v> </v>
      </c>
      <c r="AH61" s="17" t="str">
        <f aca="false">IF((E61="z"),H61," ")</f>
        <v> </v>
      </c>
      <c r="AI61" s="17" t="str">
        <f aca="false">IF((E61="fa"),H61," ")</f>
        <v> </v>
      </c>
      <c r="AJ61" s="17" t="str">
        <f aca="false">IF((E61="e"),H61," ")</f>
        <v> </v>
      </c>
    </row>
    <row r="62" customFormat="false" ht="12" hidden="false" customHeight="false" outlineLevel="0" collapsed="false">
      <c r="A62" s="28"/>
      <c r="E62" s="2"/>
      <c r="F62" s="30"/>
      <c r="G62" s="6" t="str">
        <f aca="false">IF(F62&lt;&gt;0,F62*G$2/(100+G$2)," ")</f>
        <v> </v>
      </c>
      <c r="H62" s="6" t="str">
        <f aca="false">IF((F62&lt;&gt;0),F62-G62," ")</f>
        <v> </v>
      </c>
      <c r="I62" s="5"/>
      <c r="L62" s="7" t="str">
        <f aca="false">IF(F62&lt;&gt;0,F62-K62," ")</f>
        <v> </v>
      </c>
      <c r="M62" s="8" t="str">
        <f aca="false">IF((F62-K62)&lt;&gt;0,M$1-A62," ")</f>
        <v> </v>
      </c>
      <c r="N62" s="5"/>
      <c r="O62" s="17" t="str">
        <f aca="false">IF((E62="s"),H62," ")</f>
        <v> </v>
      </c>
      <c r="P62" s="17" t="str">
        <f aca="false">IF((E62="c"),H62," ")</f>
        <v> </v>
      </c>
      <c r="Q62" s="17" t="str">
        <f aca="false">IF((E62="o"),H62," ")</f>
        <v> </v>
      </c>
      <c r="R62" s="17" t="str">
        <f aca="false">IF((E62="d"),H62," ")</f>
        <v> </v>
      </c>
      <c r="S62" s="17" t="str">
        <f aca="false">IF((E62="w"),H62," ")</f>
        <v> </v>
      </c>
      <c r="T62" s="17" t="str">
        <f aca="false">IF((E62="r"),H62," ")</f>
        <v> </v>
      </c>
      <c r="U62" s="17" t="str">
        <f aca="false">IF((E62="p"),H62," ")</f>
        <v> </v>
      </c>
      <c r="V62" s="17" t="str">
        <f aca="false">IF((E62="t"),H62," ")</f>
        <v> </v>
      </c>
      <c r="W62" s="17" t="str">
        <f aca="false">IF((E62="q"),H62," ")</f>
        <v> </v>
      </c>
      <c r="X62" s="17" t="str">
        <f aca="false">IF((E62="m"),H62," ")</f>
        <v> </v>
      </c>
      <c r="Y62" s="17" t="str">
        <f aca="false">IF((E62="u"),H62," ")</f>
        <v> </v>
      </c>
      <c r="Z62" s="17" t="str">
        <f aca="false">IF((E62="a"),H62," ")</f>
        <v> </v>
      </c>
      <c r="AA62" s="17" t="str">
        <f aca="false">IF((E62="g"),H62," ")</f>
        <v> </v>
      </c>
      <c r="AB62" s="17" t="str">
        <f aca="false">IF((E62="h"),H62," ")</f>
        <v> </v>
      </c>
      <c r="AC62" s="30" t="str">
        <f aca="false">IF((E62="v"),H62," ")</f>
        <v> </v>
      </c>
      <c r="AD62" s="30" t="str">
        <f aca="false">IF((E62="n"),H62," ")</f>
        <v> </v>
      </c>
      <c r="AE62" s="17" t="str">
        <f aca="false">IF((E62="f"),H62," ")</f>
        <v> </v>
      </c>
      <c r="AF62" s="17" t="str">
        <f aca="false">IF((E62="l"),H62," ")</f>
        <v> </v>
      </c>
      <c r="AG62" s="17" t="str">
        <f aca="false">IF((E62="y"),H62," ")</f>
        <v> </v>
      </c>
      <c r="AH62" s="17" t="str">
        <f aca="false">IF((E62="z"),H62," ")</f>
        <v> </v>
      </c>
      <c r="AI62" s="17" t="str">
        <f aca="false">IF((E62="fa"),H62," ")</f>
        <v> </v>
      </c>
      <c r="AJ62" s="17" t="str">
        <f aca="false">IF((E62="e"),H62," ")</f>
        <v> </v>
      </c>
    </row>
    <row r="63" customFormat="false" ht="12" hidden="false" customHeight="false" outlineLevel="0" collapsed="false">
      <c r="A63" s="28"/>
      <c r="E63" s="2"/>
      <c r="F63" s="30"/>
      <c r="G63" s="6" t="str">
        <f aca="false">IF(F63&lt;&gt;0,F63*G$2/(100+G$2)," ")</f>
        <v> </v>
      </c>
      <c r="H63" s="6" t="str">
        <f aca="false">IF((F63&lt;&gt;0),F63-G63," ")</f>
        <v> </v>
      </c>
      <c r="I63" s="5"/>
      <c r="L63" s="7" t="str">
        <f aca="false">IF(F63&lt;&gt;0,F63-K63," ")</f>
        <v> </v>
      </c>
      <c r="M63" s="8" t="str">
        <f aca="false">IF((F63-K63)&lt;&gt;0,M$1-A63," ")</f>
        <v> </v>
      </c>
      <c r="N63" s="5"/>
      <c r="O63" s="17" t="str">
        <f aca="false">IF((E63="s"),H63," ")</f>
        <v> </v>
      </c>
      <c r="P63" s="17" t="str">
        <f aca="false">IF((E63="c"),H63," ")</f>
        <v> </v>
      </c>
      <c r="Q63" s="17" t="str">
        <f aca="false">IF((E63="o"),H63," ")</f>
        <v> </v>
      </c>
      <c r="R63" s="17" t="str">
        <f aca="false">IF((E63="d"),H63," ")</f>
        <v> </v>
      </c>
      <c r="S63" s="17" t="str">
        <f aca="false">IF((E63="w"),H63," ")</f>
        <v> </v>
      </c>
      <c r="T63" s="17" t="str">
        <f aca="false">IF((E63="r"),H63," ")</f>
        <v> </v>
      </c>
      <c r="U63" s="17" t="str">
        <f aca="false">IF((E63="p"),H63," ")</f>
        <v> </v>
      </c>
      <c r="V63" s="17" t="str">
        <f aca="false">IF((E63="t"),H63," ")</f>
        <v> </v>
      </c>
      <c r="W63" s="17" t="str">
        <f aca="false">IF((E63="q"),H63," ")</f>
        <v> </v>
      </c>
      <c r="X63" s="17" t="str">
        <f aca="false">IF((E63="m"),H63," ")</f>
        <v> </v>
      </c>
      <c r="Y63" s="17" t="str">
        <f aca="false">IF((E63="u"),H63," ")</f>
        <v> </v>
      </c>
      <c r="Z63" s="17" t="str">
        <f aca="false">IF((E63="a"),H63," ")</f>
        <v> </v>
      </c>
      <c r="AA63" s="17" t="str">
        <f aca="false">IF((E63="g"),H63," ")</f>
        <v> </v>
      </c>
      <c r="AB63" s="17" t="str">
        <f aca="false">IF((E63="h"),H63," ")</f>
        <v> </v>
      </c>
      <c r="AC63" s="30" t="str">
        <f aca="false">IF((E63="v"),H63," ")</f>
        <v> </v>
      </c>
      <c r="AD63" s="30" t="str">
        <f aca="false">IF((E63="n"),H63," ")</f>
        <v> </v>
      </c>
      <c r="AE63" s="17" t="str">
        <f aca="false">IF((E63="f"),H63," ")</f>
        <v> </v>
      </c>
      <c r="AF63" s="17" t="str">
        <f aca="false">IF((E63="l"),H63," ")</f>
        <v> </v>
      </c>
      <c r="AG63" s="17" t="str">
        <f aca="false">IF((E63="y"),H63," ")</f>
        <v> </v>
      </c>
      <c r="AH63" s="17" t="str">
        <f aca="false">IF((E63="z"),H63," ")</f>
        <v> </v>
      </c>
      <c r="AI63" s="17" t="str">
        <f aca="false">IF((E63="fa"),H63," ")</f>
        <v> </v>
      </c>
      <c r="AJ63" s="17" t="str">
        <f aca="false">IF((E63="e"),H63," ")</f>
        <v> </v>
      </c>
    </row>
    <row r="64" customFormat="false" ht="12" hidden="false" customHeight="false" outlineLevel="0" collapsed="false">
      <c r="A64" s="28"/>
      <c r="E64" s="2"/>
      <c r="F64" s="30"/>
      <c r="G64" s="6" t="str">
        <f aca="false">IF(F64&lt;&gt;0,F64*G$2/(100+G$2)," ")</f>
        <v> </v>
      </c>
      <c r="H64" s="6" t="str">
        <f aca="false">IF((F64&lt;&gt;0),F64-G64," ")</f>
        <v> </v>
      </c>
      <c r="I64" s="5"/>
      <c r="L64" s="7" t="str">
        <f aca="false">IF(F64&lt;&gt;0,F64-K64," ")</f>
        <v> </v>
      </c>
      <c r="M64" s="8" t="str">
        <f aca="false">IF((F64-K64)&lt;&gt;0,M$1-A64," ")</f>
        <v> </v>
      </c>
      <c r="N64" s="5"/>
      <c r="O64" s="17" t="str">
        <f aca="false">IF((E64="s"),H64," ")</f>
        <v> </v>
      </c>
      <c r="P64" s="17" t="str">
        <f aca="false">IF((E64="c"),H64," ")</f>
        <v> </v>
      </c>
      <c r="Q64" s="17" t="str">
        <f aca="false">IF((E64="o"),H64," ")</f>
        <v> </v>
      </c>
      <c r="R64" s="17" t="str">
        <f aca="false">IF((E64="d"),H64," ")</f>
        <v> </v>
      </c>
      <c r="S64" s="17" t="str">
        <f aca="false">IF((E64="w"),H64," ")</f>
        <v> </v>
      </c>
      <c r="T64" s="17" t="str">
        <f aca="false">IF((E64="r"),H64," ")</f>
        <v> </v>
      </c>
      <c r="U64" s="17" t="str">
        <f aca="false">IF((E64="p"),H64," ")</f>
        <v> </v>
      </c>
      <c r="V64" s="17" t="str">
        <f aca="false">IF((E64="t"),H64," ")</f>
        <v> </v>
      </c>
      <c r="W64" s="17" t="str">
        <f aca="false">IF((E64="q"),H64," ")</f>
        <v> </v>
      </c>
      <c r="X64" s="17" t="str">
        <f aca="false">IF((E64="m"),H64," ")</f>
        <v> </v>
      </c>
      <c r="Y64" s="17" t="str">
        <f aca="false">IF((E64="u"),H64," ")</f>
        <v> </v>
      </c>
      <c r="Z64" s="17" t="str">
        <f aca="false">IF((E64="a"),H64," ")</f>
        <v> </v>
      </c>
      <c r="AA64" s="17" t="str">
        <f aca="false">IF((E64="g"),H64," ")</f>
        <v> </v>
      </c>
      <c r="AB64" s="17" t="str">
        <f aca="false">IF((E64="h"),H64," ")</f>
        <v> </v>
      </c>
      <c r="AC64" s="30" t="str">
        <f aca="false">IF((E64="v"),H64," ")</f>
        <v> </v>
      </c>
      <c r="AD64" s="30" t="str">
        <f aca="false">IF((E64="n"),H64," ")</f>
        <v> </v>
      </c>
      <c r="AE64" s="17" t="str">
        <f aca="false">IF((E64="f"),H64," ")</f>
        <v> </v>
      </c>
      <c r="AF64" s="17" t="str">
        <f aca="false">IF((E64="l"),H64," ")</f>
        <v> </v>
      </c>
      <c r="AG64" s="17" t="str">
        <f aca="false">IF((E64="y"),H64," ")</f>
        <v> </v>
      </c>
      <c r="AH64" s="17" t="str">
        <f aca="false">IF((E64="z"),H64," ")</f>
        <v> </v>
      </c>
      <c r="AI64" s="17" t="str">
        <f aca="false">IF((E64="fa"),H64," ")</f>
        <v> </v>
      </c>
      <c r="AJ64" s="17" t="str">
        <f aca="false">IF((E64="e"),H64," ")</f>
        <v> </v>
      </c>
    </row>
    <row r="65" customFormat="false" ht="12" hidden="false" customHeight="false" outlineLevel="0" collapsed="false">
      <c r="A65" s="28"/>
      <c r="E65" s="2"/>
      <c r="F65" s="30"/>
      <c r="G65" s="6" t="str">
        <f aca="false">IF(F65&lt;&gt;0,F65*G$2/(100+G$2)," ")</f>
        <v> </v>
      </c>
      <c r="H65" s="6" t="str">
        <f aca="false">IF((F65&lt;&gt;0),F65-G65," ")</f>
        <v> </v>
      </c>
      <c r="I65" s="5"/>
      <c r="L65" s="7" t="str">
        <f aca="false">IF(F65&lt;&gt;0,F65-K65," ")</f>
        <v> </v>
      </c>
      <c r="M65" s="8" t="str">
        <f aca="false">IF((F65-K65)&lt;&gt;0,M$1-A65," ")</f>
        <v> </v>
      </c>
      <c r="N65" s="5"/>
      <c r="O65" s="17" t="str">
        <f aca="false">IF((E65="s"),H65," ")</f>
        <v> </v>
      </c>
      <c r="P65" s="17" t="str">
        <f aca="false">IF((E65="c"),H65," ")</f>
        <v> </v>
      </c>
      <c r="Q65" s="17" t="str">
        <f aca="false">IF((E65="o"),H65," ")</f>
        <v> </v>
      </c>
      <c r="R65" s="17" t="str">
        <f aca="false">IF((E65="d"),H65," ")</f>
        <v> </v>
      </c>
      <c r="S65" s="17" t="str">
        <f aca="false">IF((E65="w"),H65," ")</f>
        <v> </v>
      </c>
      <c r="T65" s="17" t="str">
        <f aca="false">IF((E65="r"),H65," ")</f>
        <v> </v>
      </c>
      <c r="U65" s="17" t="str">
        <f aca="false">IF((E65="p"),H65," ")</f>
        <v> </v>
      </c>
      <c r="V65" s="17" t="str">
        <f aca="false">IF((E65="t"),H65," ")</f>
        <v> </v>
      </c>
      <c r="W65" s="17" t="str">
        <f aca="false">IF((E65="q"),H65," ")</f>
        <v> </v>
      </c>
      <c r="X65" s="17" t="str">
        <f aca="false">IF((E65="m"),H65," ")</f>
        <v> </v>
      </c>
      <c r="Y65" s="17" t="str">
        <f aca="false">IF((E65="u"),H65," ")</f>
        <v> </v>
      </c>
      <c r="Z65" s="17" t="str">
        <f aca="false">IF((E65="a"),H65," ")</f>
        <v> </v>
      </c>
      <c r="AA65" s="17" t="str">
        <f aca="false">IF((E65="g"),H65," ")</f>
        <v> </v>
      </c>
      <c r="AB65" s="17" t="str">
        <f aca="false">IF((E65="h"),H65," ")</f>
        <v> </v>
      </c>
      <c r="AC65" s="30" t="str">
        <f aca="false">IF((E65="v"),H65," ")</f>
        <v> </v>
      </c>
      <c r="AD65" s="30" t="str">
        <f aca="false">IF((E65="n"),H65," ")</f>
        <v> </v>
      </c>
      <c r="AE65" s="17" t="str">
        <f aca="false">IF((E65="f"),H65," ")</f>
        <v> </v>
      </c>
      <c r="AF65" s="17" t="str">
        <f aca="false">IF((E65="l"),H65," ")</f>
        <v> </v>
      </c>
      <c r="AG65" s="17" t="str">
        <f aca="false">IF((E65="y"),H65," ")</f>
        <v> </v>
      </c>
      <c r="AH65" s="17" t="str">
        <f aca="false">IF((E65="z"),H65," ")</f>
        <v> </v>
      </c>
      <c r="AI65" s="17" t="str">
        <f aca="false">IF((E65="fa"),H65," ")</f>
        <v> </v>
      </c>
      <c r="AJ65" s="17" t="str">
        <f aca="false">IF((E65="e"),H65," ")</f>
        <v> </v>
      </c>
    </row>
    <row r="66" customFormat="false" ht="12" hidden="false" customHeight="false" outlineLevel="0" collapsed="false">
      <c r="A66" s="28"/>
      <c r="E66" s="2"/>
      <c r="F66" s="30"/>
      <c r="G66" s="6" t="str">
        <f aca="false">IF(F66&lt;&gt;0,F66*G$2/(100+G$2)," ")</f>
        <v> </v>
      </c>
      <c r="H66" s="6" t="str">
        <f aca="false">IF((F66&lt;&gt;0),F66-G66," ")</f>
        <v> </v>
      </c>
      <c r="I66" s="5"/>
      <c r="L66" s="7" t="str">
        <f aca="false">IF(F66&lt;&gt;0,F66-K66," ")</f>
        <v> </v>
      </c>
      <c r="M66" s="8" t="str">
        <f aca="false">IF((F66-K66)&lt;&gt;0,M$1-A66," ")</f>
        <v> </v>
      </c>
      <c r="N66" s="5"/>
      <c r="O66" s="17" t="str">
        <f aca="false">IF((E66="s"),H66," ")</f>
        <v> </v>
      </c>
      <c r="P66" s="17" t="str">
        <f aca="false">IF((E66="c"),H66," ")</f>
        <v> </v>
      </c>
      <c r="Q66" s="17" t="str">
        <f aca="false">IF((E66="o"),H66," ")</f>
        <v> </v>
      </c>
      <c r="R66" s="17" t="str">
        <f aca="false">IF((E66="d"),H66," ")</f>
        <v> </v>
      </c>
      <c r="S66" s="17" t="str">
        <f aca="false">IF((E66="w"),H66," ")</f>
        <v> </v>
      </c>
      <c r="T66" s="17" t="str">
        <f aca="false">IF((E66="r"),H66," ")</f>
        <v> </v>
      </c>
      <c r="U66" s="17" t="str">
        <f aca="false">IF((E66="p"),H66," ")</f>
        <v> </v>
      </c>
      <c r="V66" s="17" t="str">
        <f aca="false">IF((E66="t"),H66," ")</f>
        <v> </v>
      </c>
      <c r="W66" s="17" t="str">
        <f aca="false">IF((E66="q"),H66," ")</f>
        <v> </v>
      </c>
      <c r="X66" s="17" t="str">
        <f aca="false">IF((E66="m"),H66," ")</f>
        <v> </v>
      </c>
      <c r="Y66" s="17" t="str">
        <f aca="false">IF((E66="u"),H66," ")</f>
        <v> </v>
      </c>
      <c r="Z66" s="17" t="str">
        <f aca="false">IF((E66="a"),H66," ")</f>
        <v> </v>
      </c>
      <c r="AA66" s="17" t="str">
        <f aca="false">IF((E66="g"),H66," ")</f>
        <v> </v>
      </c>
      <c r="AB66" s="17" t="str">
        <f aca="false">IF((E66="h"),H66," ")</f>
        <v> </v>
      </c>
      <c r="AC66" s="30" t="str">
        <f aca="false">IF((E66="v"),H66," ")</f>
        <v> </v>
      </c>
      <c r="AD66" s="30" t="str">
        <f aca="false">IF((E66="n"),H66," ")</f>
        <v> </v>
      </c>
      <c r="AE66" s="17" t="str">
        <f aca="false">IF((E66="f"),H66," ")</f>
        <v> </v>
      </c>
      <c r="AF66" s="17" t="str">
        <f aca="false">IF((E66="l"),H66," ")</f>
        <v> </v>
      </c>
      <c r="AG66" s="17" t="str">
        <f aca="false">IF((E66="y"),H66," ")</f>
        <v> </v>
      </c>
      <c r="AH66" s="17" t="str">
        <f aca="false">IF((E66="z"),H66," ")</f>
        <v> </v>
      </c>
      <c r="AI66" s="17" t="str">
        <f aca="false">IF((E66="fa"),H66," ")</f>
        <v> </v>
      </c>
      <c r="AJ66" s="17" t="str">
        <f aca="false">IF((E66="e"),H66," ")</f>
        <v> </v>
      </c>
    </row>
    <row r="67" customFormat="false" ht="12" hidden="false" customHeight="false" outlineLevel="0" collapsed="false">
      <c r="A67" s="28"/>
      <c r="E67" s="2"/>
      <c r="F67" s="30"/>
      <c r="G67" s="6" t="str">
        <f aca="false">IF(F67&lt;&gt;0,F67*G$2/(100+G$2)," ")</f>
        <v> </v>
      </c>
      <c r="H67" s="6" t="str">
        <f aca="false">IF((F67&lt;&gt;0),F67-G67," ")</f>
        <v> </v>
      </c>
      <c r="I67" s="5"/>
      <c r="L67" s="7" t="str">
        <f aca="false">IF(F67&lt;&gt;0,F67-K67," ")</f>
        <v> </v>
      </c>
      <c r="M67" s="8" t="str">
        <f aca="false">IF((F67-K67)&lt;&gt;0,M$1-A67," ")</f>
        <v> </v>
      </c>
      <c r="N67" s="5"/>
      <c r="O67" s="17" t="str">
        <f aca="false">IF((E67="s"),H67," ")</f>
        <v> </v>
      </c>
      <c r="P67" s="17" t="str">
        <f aca="false">IF((E67="c"),H67," ")</f>
        <v> </v>
      </c>
      <c r="Q67" s="17" t="str">
        <f aca="false">IF((E67="o"),H67," ")</f>
        <v> </v>
      </c>
      <c r="R67" s="17" t="str">
        <f aca="false">IF((E67="d"),H67," ")</f>
        <v> </v>
      </c>
      <c r="S67" s="17" t="str">
        <f aca="false">IF((E67="w"),H67," ")</f>
        <v> </v>
      </c>
      <c r="T67" s="17" t="str">
        <f aca="false">IF((E67="r"),H67," ")</f>
        <v> </v>
      </c>
      <c r="U67" s="17" t="str">
        <f aca="false">IF((E67="p"),H67," ")</f>
        <v> </v>
      </c>
      <c r="V67" s="17" t="str">
        <f aca="false">IF((E67="t"),H67," ")</f>
        <v> </v>
      </c>
      <c r="W67" s="17" t="str">
        <f aca="false">IF((E67="q"),H67," ")</f>
        <v> </v>
      </c>
      <c r="X67" s="17" t="str">
        <f aca="false">IF((E67="m"),H67," ")</f>
        <v> </v>
      </c>
      <c r="Y67" s="17" t="str">
        <f aca="false">IF((E67="u"),H67," ")</f>
        <v> </v>
      </c>
      <c r="Z67" s="17" t="str">
        <f aca="false">IF((E67="a"),H67," ")</f>
        <v> </v>
      </c>
      <c r="AA67" s="17" t="str">
        <f aca="false">IF((E67="g"),H67," ")</f>
        <v> </v>
      </c>
      <c r="AB67" s="17" t="str">
        <f aca="false">IF((E67="h"),H67," ")</f>
        <v> </v>
      </c>
      <c r="AC67" s="30" t="str">
        <f aca="false">IF((E67="v"),H67," ")</f>
        <v> </v>
      </c>
      <c r="AD67" s="30" t="str">
        <f aca="false">IF((E67="n"),H67," ")</f>
        <v> </v>
      </c>
      <c r="AE67" s="17" t="str">
        <f aca="false">IF((E67="f"),H67," ")</f>
        <v> </v>
      </c>
      <c r="AF67" s="17" t="str">
        <f aca="false">IF((E67="l"),H67," ")</f>
        <v> </v>
      </c>
      <c r="AG67" s="17" t="str">
        <f aca="false">IF((E67="y"),H67," ")</f>
        <v> </v>
      </c>
      <c r="AH67" s="17" t="str">
        <f aca="false">IF((E67="z"),H67," ")</f>
        <v> </v>
      </c>
      <c r="AI67" s="17" t="str">
        <f aca="false">IF((E67="fa"),H67," ")</f>
        <v> </v>
      </c>
      <c r="AJ67" s="17" t="str">
        <f aca="false">IF((E67="e"),H67," ")</f>
        <v> </v>
      </c>
    </row>
    <row r="68" customFormat="false" ht="12" hidden="false" customHeight="false" outlineLevel="0" collapsed="false">
      <c r="A68" s="28"/>
      <c r="E68" s="2"/>
      <c r="F68" s="30"/>
      <c r="G68" s="6" t="str">
        <f aca="false">IF(F68&lt;&gt;0,F68*G$2/(100+G$2)," ")</f>
        <v> </v>
      </c>
      <c r="H68" s="6" t="str">
        <f aca="false">IF((F68&lt;&gt;0),F68-G68," ")</f>
        <v> </v>
      </c>
      <c r="I68" s="5"/>
      <c r="L68" s="7" t="str">
        <f aca="false">IF(F68&lt;&gt;0,F68-K68," ")</f>
        <v> </v>
      </c>
      <c r="M68" s="8" t="str">
        <f aca="false">IF((F68-K68)&lt;&gt;0,M$1-A68," ")</f>
        <v> </v>
      </c>
      <c r="N68" s="5"/>
      <c r="O68" s="17" t="str">
        <f aca="false">IF((E68="s"),H68," ")</f>
        <v> </v>
      </c>
      <c r="P68" s="17" t="str">
        <f aca="false">IF((E68="c"),H68," ")</f>
        <v> </v>
      </c>
      <c r="Q68" s="17" t="str">
        <f aca="false">IF((E68="o"),H68," ")</f>
        <v> </v>
      </c>
      <c r="R68" s="17" t="str">
        <f aca="false">IF((E68="d"),H68," ")</f>
        <v> </v>
      </c>
      <c r="S68" s="17" t="str">
        <f aca="false">IF((E68="w"),H68," ")</f>
        <v> </v>
      </c>
      <c r="T68" s="17" t="str">
        <f aca="false">IF((E68="r"),H68," ")</f>
        <v> </v>
      </c>
      <c r="U68" s="17" t="str">
        <f aca="false">IF((E68="p"),H68," ")</f>
        <v> </v>
      </c>
      <c r="V68" s="17" t="str">
        <f aca="false">IF((E68="t"),H68," ")</f>
        <v> </v>
      </c>
      <c r="W68" s="17" t="str">
        <f aca="false">IF((E68="q"),H68," ")</f>
        <v> </v>
      </c>
      <c r="X68" s="17" t="str">
        <f aca="false">IF((E68="m"),H68," ")</f>
        <v> </v>
      </c>
      <c r="Y68" s="17" t="str">
        <f aca="false">IF((E68="u"),H68," ")</f>
        <v> </v>
      </c>
      <c r="Z68" s="17" t="str">
        <f aca="false">IF((E68="a"),H68," ")</f>
        <v> </v>
      </c>
      <c r="AA68" s="17" t="str">
        <f aca="false">IF((E68="g"),H68," ")</f>
        <v> </v>
      </c>
      <c r="AB68" s="17" t="str">
        <f aca="false">IF((E68="h"),H68," ")</f>
        <v> </v>
      </c>
      <c r="AC68" s="30" t="str">
        <f aca="false">IF((E68="v"),H68," ")</f>
        <v> </v>
      </c>
      <c r="AD68" s="30" t="str">
        <f aca="false">IF((E68="n"),H68," ")</f>
        <v> </v>
      </c>
      <c r="AE68" s="17" t="str">
        <f aca="false">IF((E68="f"),H68," ")</f>
        <v> </v>
      </c>
      <c r="AF68" s="17" t="str">
        <f aca="false">IF((E68="l"),H68," ")</f>
        <v> </v>
      </c>
      <c r="AG68" s="17" t="str">
        <f aca="false">IF((E68="y"),H68," ")</f>
        <v> </v>
      </c>
      <c r="AH68" s="17" t="str">
        <f aca="false">IF((E68="z"),H68," ")</f>
        <v> </v>
      </c>
      <c r="AI68" s="17" t="str">
        <f aca="false">IF((E68="fa"),H68," ")</f>
        <v> </v>
      </c>
      <c r="AJ68" s="17" t="str">
        <f aca="false">IF((E68="e"),H68," ")</f>
        <v> </v>
      </c>
    </row>
    <row r="69" customFormat="false" ht="12" hidden="false" customHeight="false" outlineLevel="0" collapsed="false">
      <c r="A69" s="28"/>
      <c r="E69" s="2"/>
      <c r="F69" s="30"/>
      <c r="G69" s="6" t="str">
        <f aca="false">IF(F69&lt;&gt;0,F69*G$2/(100+G$2)," ")</f>
        <v> </v>
      </c>
      <c r="H69" s="6" t="str">
        <f aca="false">IF((F69&lt;&gt;0),F69-G69," ")</f>
        <v> </v>
      </c>
      <c r="I69" s="5"/>
      <c r="L69" s="7" t="str">
        <f aca="false">IF(F69&lt;&gt;0,F69-K69," ")</f>
        <v> </v>
      </c>
      <c r="M69" s="8" t="str">
        <f aca="false">IF((F69-K69)&lt;&gt;0,M$1-A69," ")</f>
        <v> </v>
      </c>
      <c r="N69" s="5"/>
      <c r="O69" s="17" t="str">
        <f aca="false">IF((E69="s"),H69," ")</f>
        <v> </v>
      </c>
      <c r="P69" s="17" t="str">
        <f aca="false">IF((E69="c"),H69," ")</f>
        <v> </v>
      </c>
      <c r="Q69" s="17" t="str">
        <f aca="false">IF((E69="o"),H69," ")</f>
        <v> </v>
      </c>
      <c r="R69" s="17" t="str">
        <f aca="false">IF((E69="d"),H69," ")</f>
        <v> </v>
      </c>
      <c r="S69" s="17" t="str">
        <f aca="false">IF((E69="w"),H69," ")</f>
        <v> </v>
      </c>
      <c r="T69" s="17" t="str">
        <f aca="false">IF((E69="r"),H69," ")</f>
        <v> </v>
      </c>
      <c r="U69" s="17" t="str">
        <f aca="false">IF((E69="p"),H69," ")</f>
        <v> </v>
      </c>
      <c r="V69" s="17" t="str">
        <f aca="false">IF((E69="t"),H69," ")</f>
        <v> </v>
      </c>
      <c r="W69" s="17" t="str">
        <f aca="false">IF((E69="q"),H69," ")</f>
        <v> </v>
      </c>
      <c r="X69" s="17" t="str">
        <f aca="false">IF((E69="m"),H69," ")</f>
        <v> </v>
      </c>
      <c r="Y69" s="17" t="str">
        <f aca="false">IF((E69="u"),H69," ")</f>
        <v> </v>
      </c>
      <c r="Z69" s="17" t="str">
        <f aca="false">IF((E69="a"),H69," ")</f>
        <v> </v>
      </c>
      <c r="AA69" s="17" t="str">
        <f aca="false">IF((E69="g"),H69," ")</f>
        <v> </v>
      </c>
      <c r="AB69" s="17" t="str">
        <f aca="false">IF((E69="h"),H69," ")</f>
        <v> </v>
      </c>
      <c r="AC69" s="30" t="str">
        <f aca="false">IF((E69="v"),H69," ")</f>
        <v> </v>
      </c>
      <c r="AD69" s="30" t="str">
        <f aca="false">IF((E69="n"),H69," ")</f>
        <v> </v>
      </c>
      <c r="AE69" s="17" t="str">
        <f aca="false">IF((E69="f"),H69," ")</f>
        <v> </v>
      </c>
      <c r="AF69" s="17" t="str">
        <f aca="false">IF((E69="l"),H69," ")</f>
        <v> </v>
      </c>
      <c r="AG69" s="17" t="str">
        <f aca="false">IF((E69="y"),H69," ")</f>
        <v> </v>
      </c>
      <c r="AH69" s="17" t="str">
        <f aca="false">IF((E69="z"),H69," ")</f>
        <v> </v>
      </c>
      <c r="AI69" s="17" t="str">
        <f aca="false">IF((E69="fa"),H69," ")</f>
        <v> </v>
      </c>
      <c r="AJ69" s="17" t="str">
        <f aca="false">IF((E69="e"),H69," ")</f>
        <v> </v>
      </c>
    </row>
    <row r="70" customFormat="false" ht="12" hidden="false" customHeight="false" outlineLevel="0" collapsed="false">
      <c r="A70" s="28"/>
      <c r="E70" s="2" t="str">
        <f aca="false">IF((F70&lt;&gt;0),"Enter Letter"," ")</f>
        <v> </v>
      </c>
      <c r="F70" s="30"/>
      <c r="G70" s="6" t="str">
        <f aca="false">IF(F70&lt;&gt;0,F70*G$2/(100+G$2)," ")</f>
        <v> </v>
      </c>
      <c r="H70" s="6" t="str">
        <f aca="false">IF((F70&lt;&gt;0),F70-G70," ")</f>
        <v> </v>
      </c>
      <c r="I70" s="5"/>
      <c r="L70" s="7" t="str">
        <f aca="false">IF(F70&lt;&gt;0,F70-K70," ")</f>
        <v> </v>
      </c>
      <c r="M70" s="8" t="str">
        <f aca="false">IF((F70-K70)&lt;&gt;0,M$1-A70," ")</f>
        <v> </v>
      </c>
      <c r="N70" s="5"/>
      <c r="O70" s="17" t="str">
        <f aca="false">IF((E70="s"),H70," ")</f>
        <v> </v>
      </c>
      <c r="P70" s="17" t="str">
        <f aca="false">IF((E70="c"),H70," ")</f>
        <v> </v>
      </c>
      <c r="Q70" s="17" t="str">
        <f aca="false">IF((E70="o"),H70," ")</f>
        <v> </v>
      </c>
      <c r="R70" s="17" t="str">
        <f aca="false">IF((E70="d"),H70," ")</f>
        <v> </v>
      </c>
      <c r="S70" s="17" t="str">
        <f aca="false">IF((E70="w"),H70," ")</f>
        <v> </v>
      </c>
      <c r="T70" s="17" t="str">
        <f aca="false">IF((E70="r"),H70," ")</f>
        <v> </v>
      </c>
      <c r="U70" s="17" t="str">
        <f aca="false">IF((E70="p"),H70," ")</f>
        <v> </v>
      </c>
      <c r="V70" s="17" t="str">
        <f aca="false">IF((E70="t"),H70," ")</f>
        <v> </v>
      </c>
      <c r="W70" s="17" t="str">
        <f aca="false">IF((E70="q"),H70," ")</f>
        <v> </v>
      </c>
      <c r="X70" s="17" t="str">
        <f aca="false">IF((E70="m"),H70," ")</f>
        <v> </v>
      </c>
      <c r="Y70" s="17" t="str">
        <f aca="false">IF((E70="u"),H70," ")</f>
        <v> </v>
      </c>
      <c r="Z70" s="17" t="str">
        <f aca="false">IF((E70="a"),H70," ")</f>
        <v> </v>
      </c>
      <c r="AA70" s="17" t="str">
        <f aca="false">IF((E70="g"),H70," ")</f>
        <v> </v>
      </c>
      <c r="AB70" s="17" t="str">
        <f aca="false">IF((E70="h"),H70," ")</f>
        <v> </v>
      </c>
      <c r="AC70" s="30" t="str">
        <f aca="false">IF((E70="v"),H70," ")</f>
        <v> </v>
      </c>
      <c r="AD70" s="30" t="str">
        <f aca="false">IF((E70="n"),H70," ")</f>
        <v> </v>
      </c>
      <c r="AE70" s="17" t="str">
        <f aca="false">IF((E70="f"),H70," ")</f>
        <v> </v>
      </c>
      <c r="AF70" s="17" t="str">
        <f aca="false">IF((E70="l"),H70," ")</f>
        <v> </v>
      </c>
      <c r="AG70" s="17" t="str">
        <f aca="false">IF((E70="y"),H70," ")</f>
        <v> </v>
      </c>
      <c r="AH70" s="17" t="str">
        <f aca="false">IF((E70="z"),H70," ")</f>
        <v> </v>
      </c>
      <c r="AI70" s="17" t="str">
        <f aca="false">IF((E70="fa"),H70," ")</f>
        <v> </v>
      </c>
      <c r="AJ70" s="17" t="str">
        <f aca="false">IF((E70="e"),H70," ")</f>
        <v> </v>
      </c>
    </row>
    <row r="71" customFormat="false" ht="12" hidden="false" customHeight="false" outlineLevel="0" collapsed="false">
      <c r="A71" s="28"/>
      <c r="E71" s="2" t="str">
        <f aca="false">IF((F71&lt;&gt;0),"Enter Letter"," ")</f>
        <v> </v>
      </c>
      <c r="F71" s="30"/>
      <c r="G71" s="6" t="str">
        <f aca="false">IF(F71&lt;&gt;0,F71*G$2/(100+G$2)," ")</f>
        <v> </v>
      </c>
      <c r="H71" s="6" t="str">
        <f aca="false">IF((F71&lt;&gt;0),F71-G71," ")</f>
        <v> </v>
      </c>
      <c r="I71" s="5"/>
      <c r="L71" s="7" t="str">
        <f aca="false">IF(F71&lt;&gt;0,F71-K71," ")</f>
        <v> </v>
      </c>
      <c r="M71" s="8" t="str">
        <f aca="false">IF((F71-K71)&lt;&gt;0,M$1-A71," ")</f>
        <v> </v>
      </c>
      <c r="N71" s="5"/>
      <c r="O71" s="17" t="str">
        <f aca="false">IF((E71="s"),H71," ")</f>
        <v> </v>
      </c>
      <c r="P71" s="17" t="str">
        <f aca="false">IF((E71="c"),H71," ")</f>
        <v> </v>
      </c>
      <c r="Q71" s="17" t="str">
        <f aca="false">IF((E71="o"),H71," ")</f>
        <v> </v>
      </c>
      <c r="R71" s="17" t="str">
        <f aca="false">IF((E71="d"),H71," ")</f>
        <v> </v>
      </c>
      <c r="S71" s="17" t="str">
        <f aca="false">IF((E71="w"),H71," ")</f>
        <v> </v>
      </c>
      <c r="T71" s="17" t="str">
        <f aca="false">IF((E71="r"),H71," ")</f>
        <v> </v>
      </c>
      <c r="U71" s="17" t="str">
        <f aca="false">IF((E71="p"),H71," ")</f>
        <v> </v>
      </c>
      <c r="V71" s="17" t="str">
        <f aca="false">IF((E71="t"),H71," ")</f>
        <v> </v>
      </c>
      <c r="W71" s="17" t="str">
        <f aca="false">IF((E71="q"),H71," ")</f>
        <v> </v>
      </c>
      <c r="X71" s="17" t="str">
        <f aca="false">IF((E71="m"),H71," ")</f>
        <v> </v>
      </c>
      <c r="Y71" s="17" t="str">
        <f aca="false">IF((E71="u"),H71," ")</f>
        <v> </v>
      </c>
      <c r="Z71" s="17" t="str">
        <f aca="false">IF((E71="a"),H71," ")</f>
        <v> </v>
      </c>
      <c r="AA71" s="17" t="str">
        <f aca="false">IF((E71="g"),H71," ")</f>
        <v> </v>
      </c>
      <c r="AB71" s="17" t="str">
        <f aca="false">IF((E71="h"),H71," ")</f>
        <v> </v>
      </c>
      <c r="AC71" s="30" t="str">
        <f aca="false">IF((E71="v"),H71," ")</f>
        <v> </v>
      </c>
      <c r="AD71" s="30" t="str">
        <f aca="false">IF((E71="n"),H71," ")</f>
        <v> </v>
      </c>
      <c r="AE71" s="17" t="str">
        <f aca="false">IF((E71="f"),H71," ")</f>
        <v> </v>
      </c>
      <c r="AF71" s="17" t="str">
        <f aca="false">IF((E71="l"),H71," ")</f>
        <v> </v>
      </c>
      <c r="AG71" s="17" t="str">
        <f aca="false">IF((E71="y"),H71," ")</f>
        <v> </v>
      </c>
      <c r="AH71" s="17" t="str">
        <f aca="false">IF((E71="z"),H71," ")</f>
        <v> </v>
      </c>
      <c r="AI71" s="17" t="str">
        <f aca="false">IF((E71="fa"),H71," ")</f>
        <v> </v>
      </c>
      <c r="AJ71" s="17" t="str">
        <f aca="false">IF((E71="e"),H71," ")</f>
        <v> </v>
      </c>
    </row>
    <row r="72" customFormat="false" ht="12" hidden="false" customHeight="false" outlineLevel="0" collapsed="false">
      <c r="A72" s="28"/>
      <c r="E72" s="2" t="str">
        <f aca="false">IF((F72&lt;&gt;0),"Enter Letter"," ")</f>
        <v> </v>
      </c>
      <c r="F72" s="30"/>
      <c r="G72" s="6" t="str">
        <f aca="false">IF(F72&lt;&gt;0,F72*G$2/(100+G$2)," ")</f>
        <v> </v>
      </c>
      <c r="H72" s="6" t="str">
        <f aca="false">IF((F72&lt;&gt;0),F72-G72," ")</f>
        <v> </v>
      </c>
      <c r="I72" s="5"/>
      <c r="L72" s="7" t="str">
        <f aca="false">IF(F72&lt;&gt;0,F72-K72," ")</f>
        <v> </v>
      </c>
      <c r="M72" s="8" t="str">
        <f aca="false">IF((F72-K72)&lt;&gt;0,M$1-A72," ")</f>
        <v> </v>
      </c>
      <c r="N72" s="5"/>
      <c r="O72" s="17" t="str">
        <f aca="false">IF((E72="s"),H72," ")</f>
        <v> </v>
      </c>
      <c r="P72" s="17" t="str">
        <f aca="false">IF((E72="c"),H72," ")</f>
        <v> </v>
      </c>
      <c r="Q72" s="17" t="str">
        <f aca="false">IF((E72="o"),H72," ")</f>
        <v> </v>
      </c>
      <c r="R72" s="17" t="str">
        <f aca="false">IF((E72="d"),H72," ")</f>
        <v> </v>
      </c>
      <c r="S72" s="17" t="str">
        <f aca="false">IF((E72="w"),H72," ")</f>
        <v> </v>
      </c>
      <c r="T72" s="17" t="str">
        <f aca="false">IF((E72="r"),H72," ")</f>
        <v> </v>
      </c>
      <c r="U72" s="17" t="str">
        <f aca="false">IF((E72="p"),H72," ")</f>
        <v> </v>
      </c>
      <c r="V72" s="17" t="str">
        <f aca="false">IF((E72="t"),H72," ")</f>
        <v> </v>
      </c>
      <c r="W72" s="17" t="str">
        <f aca="false">IF((E72="q"),H72," ")</f>
        <v> </v>
      </c>
      <c r="X72" s="17" t="str">
        <f aca="false">IF((E72="m"),H72," ")</f>
        <v> </v>
      </c>
      <c r="Y72" s="17" t="str">
        <f aca="false">IF((E72="u"),H72," ")</f>
        <v> </v>
      </c>
      <c r="Z72" s="17" t="str">
        <f aca="false">IF((E72="a"),H72," ")</f>
        <v> </v>
      </c>
      <c r="AA72" s="17" t="str">
        <f aca="false">IF((E72="g"),H72," ")</f>
        <v> </v>
      </c>
      <c r="AB72" s="17" t="str">
        <f aca="false">IF((E72="h"),H72," ")</f>
        <v> </v>
      </c>
      <c r="AC72" s="30" t="str">
        <f aca="false">IF((E72="v"),H72," ")</f>
        <v> </v>
      </c>
      <c r="AD72" s="30" t="str">
        <f aca="false">IF((E72="n"),H72," ")</f>
        <v> </v>
      </c>
      <c r="AE72" s="17" t="str">
        <f aca="false">IF((E72="f"),H72," ")</f>
        <v> </v>
      </c>
      <c r="AF72" s="17" t="str">
        <f aca="false">IF((E72="l"),H72," ")</f>
        <v> </v>
      </c>
      <c r="AG72" s="17" t="str">
        <f aca="false">IF((E72="y"),H72," ")</f>
        <v> </v>
      </c>
      <c r="AH72" s="17" t="str">
        <f aca="false">IF((E72="z"),H72," ")</f>
        <v> </v>
      </c>
      <c r="AI72" s="17" t="str">
        <f aca="false">IF((E72="fa"),H72," ")</f>
        <v> </v>
      </c>
      <c r="AJ72" s="17" t="str">
        <f aca="false">IF((E72="e"),H72," ")</f>
        <v> </v>
      </c>
    </row>
    <row r="73" customFormat="false" ht="12" hidden="false" customHeight="false" outlineLevel="0" collapsed="false">
      <c r="A73" s="28"/>
      <c r="E73" s="2" t="str">
        <f aca="false">IF((F73&lt;&gt;0),"Enter Letter"," ")</f>
        <v> </v>
      </c>
      <c r="F73" s="30"/>
      <c r="G73" s="6" t="str">
        <f aca="false">IF(F73&lt;&gt;0,F73*G$2/(100+G$2)," ")</f>
        <v> </v>
      </c>
      <c r="H73" s="6" t="str">
        <f aca="false">IF((F73&lt;&gt;0),F73-G73," ")</f>
        <v> </v>
      </c>
      <c r="I73" s="5"/>
      <c r="L73" s="7" t="str">
        <f aca="false">IF(F73&lt;&gt;0,F73-K73," ")</f>
        <v> </v>
      </c>
      <c r="M73" s="8" t="str">
        <f aca="false">IF((F73-K73)&lt;&gt;0,M$1-A73," ")</f>
        <v> </v>
      </c>
      <c r="N73" s="5"/>
      <c r="O73" s="17" t="str">
        <f aca="false">IF((E73="s"),H73," ")</f>
        <v> </v>
      </c>
      <c r="P73" s="17" t="str">
        <f aca="false">IF((E73="c"),H73," ")</f>
        <v> </v>
      </c>
      <c r="Q73" s="17" t="str">
        <f aca="false">IF((E73="o"),H73," ")</f>
        <v> </v>
      </c>
      <c r="R73" s="17" t="str">
        <f aca="false">IF((E73="d"),H73," ")</f>
        <v> </v>
      </c>
      <c r="S73" s="17" t="str">
        <f aca="false">IF((E73="w"),H73," ")</f>
        <v> </v>
      </c>
      <c r="T73" s="17" t="str">
        <f aca="false">IF((E73="r"),H73," ")</f>
        <v> </v>
      </c>
      <c r="U73" s="17" t="str">
        <f aca="false">IF((E73="p"),H73," ")</f>
        <v> </v>
      </c>
      <c r="V73" s="17" t="str">
        <f aca="false">IF((E73="t"),H73," ")</f>
        <v> </v>
      </c>
      <c r="W73" s="17" t="str">
        <f aca="false">IF((E73="q"),H73," ")</f>
        <v> </v>
      </c>
      <c r="X73" s="17" t="str">
        <f aca="false">IF((E73="m"),H73," ")</f>
        <v> </v>
      </c>
      <c r="Y73" s="17" t="str">
        <f aca="false">IF((E73="u"),H73," ")</f>
        <v> </v>
      </c>
      <c r="Z73" s="17" t="str">
        <f aca="false">IF((E73="a"),H73," ")</f>
        <v> </v>
      </c>
      <c r="AA73" s="17" t="str">
        <f aca="false">IF((E73="g"),H73," ")</f>
        <v> </v>
      </c>
      <c r="AB73" s="17" t="str">
        <f aca="false">IF((E73="h"),H73," ")</f>
        <v> </v>
      </c>
      <c r="AC73" s="30" t="str">
        <f aca="false">IF((E73="v"),H73," ")</f>
        <v> </v>
      </c>
      <c r="AD73" s="30" t="str">
        <f aca="false">IF((E73="n"),H73," ")</f>
        <v> </v>
      </c>
      <c r="AE73" s="17" t="str">
        <f aca="false">IF((E73="f"),H73," ")</f>
        <v> </v>
      </c>
      <c r="AF73" s="17" t="str">
        <f aca="false">IF((E73="l"),H73," ")</f>
        <v> </v>
      </c>
      <c r="AG73" s="17" t="str">
        <f aca="false">IF((E73="y"),H73," ")</f>
        <v> </v>
      </c>
      <c r="AH73" s="17" t="str">
        <f aca="false">IF((E73="z"),H73," ")</f>
        <v> </v>
      </c>
      <c r="AI73" s="17" t="str">
        <f aca="false">IF((E73="fa"),H73," ")</f>
        <v> </v>
      </c>
      <c r="AJ73" s="17" t="str">
        <f aca="false">IF((E73="e"),H73," ")</f>
        <v> </v>
      </c>
    </row>
    <row r="74" customFormat="false" ht="12" hidden="false" customHeight="false" outlineLevel="0" collapsed="false">
      <c r="A74" s="28"/>
      <c r="E74" s="2" t="str">
        <f aca="false">IF((F74&lt;&gt;0),"Enter Letter"," ")</f>
        <v> </v>
      </c>
      <c r="F74" s="30"/>
      <c r="G74" s="6" t="str">
        <f aca="false">IF(F74&lt;&gt;0,F74*G$2/(100+G$2)," ")</f>
        <v> </v>
      </c>
      <c r="H74" s="6" t="str">
        <f aca="false">IF((F74&lt;&gt;0),F74-G74," ")</f>
        <v> </v>
      </c>
      <c r="I74" s="5"/>
      <c r="L74" s="7" t="str">
        <f aca="false">IF(F74&lt;&gt;0,F74-K74," ")</f>
        <v> </v>
      </c>
      <c r="M74" s="8" t="str">
        <f aca="false">IF((F74-K74)&lt;&gt;0,M$1-A74," ")</f>
        <v> </v>
      </c>
      <c r="N74" s="5"/>
      <c r="O74" s="17" t="str">
        <f aca="false">IF((E74="s"),H74," ")</f>
        <v> </v>
      </c>
      <c r="P74" s="17" t="str">
        <f aca="false">IF((E74="c"),H74," ")</f>
        <v> </v>
      </c>
      <c r="Q74" s="17" t="str">
        <f aca="false">IF((E74="o"),H74," ")</f>
        <v> </v>
      </c>
      <c r="R74" s="17" t="str">
        <f aca="false">IF((E74="d"),H74," ")</f>
        <v> </v>
      </c>
      <c r="S74" s="17" t="str">
        <f aca="false">IF((E74="w"),H74," ")</f>
        <v> </v>
      </c>
      <c r="T74" s="17" t="str">
        <f aca="false">IF((E74="r"),H74," ")</f>
        <v> </v>
      </c>
      <c r="U74" s="17" t="str">
        <f aca="false">IF((E74="p"),H74," ")</f>
        <v> </v>
      </c>
      <c r="V74" s="17" t="str">
        <f aca="false">IF((E74="t"),H74," ")</f>
        <v> </v>
      </c>
      <c r="W74" s="17" t="str">
        <f aca="false">IF((E74="q"),H74," ")</f>
        <v> </v>
      </c>
      <c r="X74" s="17" t="str">
        <f aca="false">IF((E74="m"),H74," ")</f>
        <v> </v>
      </c>
      <c r="Y74" s="17" t="str">
        <f aca="false">IF((E74="u"),H74," ")</f>
        <v> </v>
      </c>
      <c r="Z74" s="17" t="str">
        <f aca="false">IF((E74="a"),H74," ")</f>
        <v> </v>
      </c>
      <c r="AA74" s="17" t="str">
        <f aca="false">IF((E74="g"),H74," ")</f>
        <v> </v>
      </c>
      <c r="AB74" s="17" t="str">
        <f aca="false">IF((E74="h"),H74," ")</f>
        <v> </v>
      </c>
      <c r="AC74" s="30" t="str">
        <f aca="false">IF((E74="v"),H74," ")</f>
        <v> </v>
      </c>
      <c r="AD74" s="30" t="str">
        <f aca="false">IF((E74="n"),H74," ")</f>
        <v> </v>
      </c>
      <c r="AE74" s="17" t="str">
        <f aca="false">IF((E74="f"),H74," ")</f>
        <v> </v>
      </c>
      <c r="AF74" s="17" t="str">
        <f aca="false">IF((E74="l"),H74," ")</f>
        <v> </v>
      </c>
      <c r="AG74" s="17" t="str">
        <f aca="false">IF((E74="y"),H74," ")</f>
        <v> </v>
      </c>
      <c r="AH74" s="17" t="str">
        <f aca="false">IF((E74="z"),H74," ")</f>
        <v> </v>
      </c>
      <c r="AI74" s="17" t="str">
        <f aca="false">IF((E74="fa"),H74," ")</f>
        <v> </v>
      </c>
      <c r="AJ74" s="17" t="str">
        <f aca="false">IF((E74="e"),H74," ")</f>
        <v> </v>
      </c>
    </row>
    <row r="75" customFormat="false" ht="12" hidden="false" customHeight="false" outlineLevel="0" collapsed="false">
      <c r="A75" s="28"/>
      <c r="E75" s="2" t="str">
        <f aca="false">IF((F75&lt;&gt;0),"Enter Letter"," ")</f>
        <v> </v>
      </c>
      <c r="F75" s="30"/>
      <c r="G75" s="6" t="str">
        <f aca="false">IF(F75&lt;&gt;0,F75*G$2/(100+G$2)," ")</f>
        <v> </v>
      </c>
      <c r="H75" s="6" t="str">
        <f aca="false">IF((F75&lt;&gt;0),F75-G75," ")</f>
        <v> </v>
      </c>
      <c r="I75" s="5"/>
      <c r="L75" s="7" t="str">
        <f aca="false">IF(F75&lt;&gt;0,F75-K75," ")</f>
        <v> </v>
      </c>
      <c r="M75" s="8" t="str">
        <f aca="false">IF((F75-K75)&lt;&gt;0,M$1-A75," ")</f>
        <v> </v>
      </c>
      <c r="N75" s="5"/>
      <c r="O75" s="17" t="str">
        <f aca="false">IF((E75="s"),H75," ")</f>
        <v> </v>
      </c>
      <c r="P75" s="17" t="str">
        <f aca="false">IF((E75="c"),H75," ")</f>
        <v> </v>
      </c>
      <c r="Q75" s="17" t="str">
        <f aca="false">IF((E75="o"),H75," ")</f>
        <v> </v>
      </c>
      <c r="R75" s="17" t="str">
        <f aca="false">IF((E75="d"),H75," ")</f>
        <v> </v>
      </c>
      <c r="S75" s="17" t="str">
        <f aca="false">IF((E75="w"),H75," ")</f>
        <v> </v>
      </c>
      <c r="T75" s="17" t="str">
        <f aca="false">IF((E75="r"),H75," ")</f>
        <v> </v>
      </c>
      <c r="U75" s="17" t="str">
        <f aca="false">IF((E75="p"),H75," ")</f>
        <v> </v>
      </c>
      <c r="V75" s="17" t="str">
        <f aca="false">IF((E75="t"),H75," ")</f>
        <v> </v>
      </c>
      <c r="W75" s="17" t="str">
        <f aca="false">IF((E75="q"),H75," ")</f>
        <v> </v>
      </c>
      <c r="X75" s="17" t="str">
        <f aca="false">IF((E75="m"),H75," ")</f>
        <v> </v>
      </c>
      <c r="Y75" s="17" t="str">
        <f aca="false">IF((E75="u"),H75," ")</f>
        <v> </v>
      </c>
      <c r="Z75" s="17" t="str">
        <f aca="false">IF((E75="a"),H75," ")</f>
        <v> </v>
      </c>
      <c r="AA75" s="17" t="str">
        <f aca="false">IF((E75="g"),H75," ")</f>
        <v> </v>
      </c>
      <c r="AB75" s="17" t="str">
        <f aca="false">IF((E75="h"),H75," ")</f>
        <v> </v>
      </c>
      <c r="AC75" s="30" t="str">
        <f aca="false">IF((E75="v"),H75," ")</f>
        <v> </v>
      </c>
      <c r="AD75" s="30" t="str">
        <f aca="false">IF((E75="n"),H75," ")</f>
        <v> </v>
      </c>
      <c r="AE75" s="17" t="str">
        <f aca="false">IF((E75="f"),H75," ")</f>
        <v> </v>
      </c>
      <c r="AF75" s="17" t="str">
        <f aca="false">IF((E75="l"),H75," ")</f>
        <v> </v>
      </c>
      <c r="AG75" s="17" t="str">
        <f aca="false">IF((E75="y"),H75," ")</f>
        <v> </v>
      </c>
      <c r="AH75" s="17" t="str">
        <f aca="false">IF((E75="z"),H75," ")</f>
        <v> </v>
      </c>
      <c r="AI75" s="17" t="str">
        <f aca="false">IF((E75="fa"),H75," ")</f>
        <v> </v>
      </c>
      <c r="AJ75" s="17" t="str">
        <f aca="false">IF((E75="e"),H75," ")</f>
        <v> </v>
      </c>
    </row>
    <row r="76" customFormat="false" ht="12" hidden="false" customHeight="false" outlineLevel="0" collapsed="false">
      <c r="A76" s="28"/>
      <c r="E76" s="2" t="str">
        <f aca="false">IF((F76&lt;&gt;0),"Enter Letter"," ")</f>
        <v> </v>
      </c>
      <c r="F76" s="30"/>
      <c r="G76" s="6" t="str">
        <f aca="false">IF(F76&lt;&gt;0,F76*G$2/(100+G$2)," ")</f>
        <v> </v>
      </c>
      <c r="H76" s="6" t="str">
        <f aca="false">IF((F76&lt;&gt;0),F76-G76," ")</f>
        <v> </v>
      </c>
      <c r="I76" s="5"/>
      <c r="L76" s="7" t="str">
        <f aca="false">IF(F76&lt;&gt;0,F76-K76," ")</f>
        <v> </v>
      </c>
      <c r="M76" s="8" t="str">
        <f aca="false">IF((F76-K76)&lt;&gt;0,M$1-A76," ")</f>
        <v> </v>
      </c>
      <c r="N76" s="5"/>
      <c r="O76" s="17" t="str">
        <f aca="false">IF((E76="s"),H76," ")</f>
        <v> </v>
      </c>
      <c r="P76" s="17" t="str">
        <f aca="false">IF((E76="c"),H76," ")</f>
        <v> </v>
      </c>
      <c r="Q76" s="17" t="str">
        <f aca="false">IF((E76="o"),H76," ")</f>
        <v> </v>
      </c>
      <c r="R76" s="17" t="str">
        <f aca="false">IF((E76="d"),H76," ")</f>
        <v> </v>
      </c>
      <c r="S76" s="17" t="str">
        <f aca="false">IF((E76="w"),H76," ")</f>
        <v> </v>
      </c>
      <c r="T76" s="17" t="str">
        <f aca="false">IF((E76="r"),H76," ")</f>
        <v> </v>
      </c>
      <c r="U76" s="17" t="str">
        <f aca="false">IF((E76="p"),H76," ")</f>
        <v> </v>
      </c>
      <c r="V76" s="17" t="str">
        <f aca="false">IF((E76="t"),H76," ")</f>
        <v> </v>
      </c>
      <c r="W76" s="17" t="str">
        <f aca="false">IF((E76="q"),H76," ")</f>
        <v> </v>
      </c>
      <c r="X76" s="17" t="str">
        <f aca="false">IF((E76="m"),H76," ")</f>
        <v> </v>
      </c>
      <c r="Y76" s="17" t="str">
        <f aca="false">IF((E76="u"),H76," ")</f>
        <v> </v>
      </c>
      <c r="Z76" s="17" t="str">
        <f aca="false">IF((E76="a"),H76," ")</f>
        <v> </v>
      </c>
      <c r="AA76" s="17" t="str">
        <f aca="false">IF((E76="g"),H76," ")</f>
        <v> </v>
      </c>
      <c r="AB76" s="17" t="str">
        <f aca="false">IF((E76="h"),H76," ")</f>
        <v> </v>
      </c>
      <c r="AC76" s="30" t="str">
        <f aca="false">IF((E76="v"),H76," ")</f>
        <v> </v>
      </c>
      <c r="AD76" s="30" t="str">
        <f aca="false">IF((E76="n"),H76," ")</f>
        <v> </v>
      </c>
      <c r="AE76" s="17" t="str">
        <f aca="false">IF((E76="f"),H76," ")</f>
        <v> </v>
      </c>
      <c r="AF76" s="17" t="str">
        <f aca="false">IF((E76="l"),H76," ")</f>
        <v> </v>
      </c>
      <c r="AG76" s="17" t="str">
        <f aca="false">IF((E76="y"),H76," ")</f>
        <v> </v>
      </c>
      <c r="AH76" s="17" t="str">
        <f aca="false">IF((E76="z"),H76," ")</f>
        <v> </v>
      </c>
      <c r="AI76" s="17" t="str">
        <f aca="false">IF((E76="fa"),H76," ")</f>
        <v> </v>
      </c>
      <c r="AJ76" s="17" t="str">
        <f aca="false">IF((E76="e"),H76," ")</f>
        <v> </v>
      </c>
    </row>
    <row r="77" customFormat="false" ht="12" hidden="false" customHeight="false" outlineLevel="0" collapsed="false">
      <c r="A77" s="28"/>
      <c r="E77" s="2" t="str">
        <f aca="false">IF((F77&lt;&gt;0),"Enter Letter"," ")</f>
        <v> </v>
      </c>
      <c r="F77" s="30"/>
      <c r="G77" s="6" t="str">
        <f aca="false">IF(F77&lt;&gt;0,F77*G$2/(100+G$2)," ")</f>
        <v> </v>
      </c>
      <c r="H77" s="6" t="str">
        <f aca="false">IF((F77&lt;&gt;0),F77-G77," ")</f>
        <v> </v>
      </c>
      <c r="I77" s="5"/>
      <c r="L77" s="7" t="str">
        <f aca="false">IF(F77&lt;&gt;0,F77-K77," ")</f>
        <v> </v>
      </c>
      <c r="M77" s="8" t="str">
        <f aca="false">IF((F77-K77)&lt;&gt;0,M$1-A77," ")</f>
        <v> </v>
      </c>
      <c r="N77" s="5"/>
      <c r="O77" s="17" t="str">
        <f aca="false">IF((E77="s"),H77," ")</f>
        <v> </v>
      </c>
      <c r="P77" s="17" t="str">
        <f aca="false">IF((E77="c"),H77," ")</f>
        <v> </v>
      </c>
      <c r="Q77" s="17" t="str">
        <f aca="false">IF((E77="o"),H77," ")</f>
        <v> </v>
      </c>
      <c r="R77" s="17" t="str">
        <f aca="false">IF((E77="d"),H77," ")</f>
        <v> </v>
      </c>
      <c r="S77" s="17" t="str">
        <f aca="false">IF((E77="w"),H77," ")</f>
        <v> </v>
      </c>
      <c r="T77" s="17" t="str">
        <f aca="false">IF((E77="r"),H77," ")</f>
        <v> </v>
      </c>
      <c r="U77" s="17" t="str">
        <f aca="false">IF((E77="p"),H77," ")</f>
        <v> </v>
      </c>
      <c r="V77" s="17" t="str">
        <f aca="false">IF((E77="t"),H77," ")</f>
        <v> </v>
      </c>
      <c r="W77" s="17" t="str">
        <f aca="false">IF((E77="q"),H77," ")</f>
        <v> </v>
      </c>
      <c r="X77" s="17" t="str">
        <f aca="false">IF((E77="m"),H77," ")</f>
        <v> </v>
      </c>
      <c r="Y77" s="17" t="str">
        <f aca="false">IF((E77="u"),H77," ")</f>
        <v> </v>
      </c>
      <c r="Z77" s="17" t="str">
        <f aca="false">IF((E77="a"),H77," ")</f>
        <v> </v>
      </c>
      <c r="AA77" s="17" t="str">
        <f aca="false">IF((E77="g"),H77," ")</f>
        <v> </v>
      </c>
      <c r="AB77" s="17" t="str">
        <f aca="false">IF((E77="h"),H77," ")</f>
        <v> </v>
      </c>
      <c r="AC77" s="30" t="str">
        <f aca="false">IF((E77="v"),H77," ")</f>
        <v> </v>
      </c>
      <c r="AD77" s="30" t="str">
        <f aca="false">IF((E77="n"),H77," ")</f>
        <v> </v>
      </c>
      <c r="AE77" s="17" t="str">
        <f aca="false">IF((E77="f"),H77," ")</f>
        <v> </v>
      </c>
      <c r="AF77" s="17" t="str">
        <f aca="false">IF((E77="l"),H77," ")</f>
        <v> </v>
      </c>
      <c r="AG77" s="17" t="str">
        <f aca="false">IF((E77="y"),H77," ")</f>
        <v> </v>
      </c>
      <c r="AH77" s="17" t="str">
        <f aca="false">IF((E77="z"),H77," ")</f>
        <v> </v>
      </c>
      <c r="AI77" s="17" t="str">
        <f aca="false">IF((E77="fa"),H77," ")</f>
        <v> </v>
      </c>
      <c r="AJ77" s="17" t="str">
        <f aca="false">IF((E77="e"),H77," ")</f>
        <v> </v>
      </c>
    </row>
    <row r="78" customFormat="false" ht="12" hidden="false" customHeight="false" outlineLevel="0" collapsed="false">
      <c r="A78" s="28"/>
      <c r="E78" s="2" t="str">
        <f aca="false">IF((F78&lt;&gt;0),"Enter Letter"," ")</f>
        <v> </v>
      </c>
      <c r="F78" s="30"/>
      <c r="G78" s="6" t="str">
        <f aca="false">IF(F78&lt;&gt;0,F78*G$2/(100+G$2)," ")</f>
        <v> </v>
      </c>
      <c r="H78" s="6" t="str">
        <f aca="false">IF((F78&lt;&gt;0),F78-G78," ")</f>
        <v> </v>
      </c>
      <c r="I78" s="5"/>
      <c r="L78" s="7" t="str">
        <f aca="false">IF(F78&lt;&gt;0,F78-K78," ")</f>
        <v> </v>
      </c>
      <c r="M78" s="8" t="str">
        <f aca="false">IF((F78-K78)&lt;&gt;0,M$1-A78," ")</f>
        <v> </v>
      </c>
      <c r="N78" s="5"/>
      <c r="O78" s="17" t="str">
        <f aca="false">IF((E78="s"),H78," ")</f>
        <v> </v>
      </c>
      <c r="P78" s="17" t="str">
        <f aca="false">IF((E78="c"),H78," ")</f>
        <v> </v>
      </c>
      <c r="Q78" s="17" t="str">
        <f aca="false">IF((E78="o"),H78," ")</f>
        <v> </v>
      </c>
      <c r="R78" s="17" t="str">
        <f aca="false">IF((E78="d"),H78," ")</f>
        <v> </v>
      </c>
      <c r="S78" s="17" t="str">
        <f aca="false">IF((E78="w"),H78," ")</f>
        <v> </v>
      </c>
      <c r="T78" s="17" t="str">
        <f aca="false">IF((E78="r"),H78," ")</f>
        <v> </v>
      </c>
      <c r="U78" s="17" t="str">
        <f aca="false">IF((E78="p"),H78," ")</f>
        <v> </v>
      </c>
      <c r="V78" s="17" t="str">
        <f aca="false">IF((E78="t"),H78," ")</f>
        <v> </v>
      </c>
      <c r="W78" s="17" t="str">
        <f aca="false">IF((E78="q"),H78," ")</f>
        <v> </v>
      </c>
      <c r="X78" s="17" t="str">
        <f aca="false">IF((E78="m"),H78," ")</f>
        <v> </v>
      </c>
      <c r="Y78" s="17" t="str">
        <f aca="false">IF((E78="u"),H78," ")</f>
        <v> </v>
      </c>
      <c r="Z78" s="17" t="str">
        <f aca="false">IF((E78="a"),H78," ")</f>
        <v> </v>
      </c>
      <c r="AA78" s="17" t="str">
        <f aca="false">IF((E78="g"),H78," ")</f>
        <v> </v>
      </c>
      <c r="AB78" s="17" t="str">
        <f aca="false">IF((E78="h"),H78," ")</f>
        <v> </v>
      </c>
      <c r="AC78" s="30" t="str">
        <f aca="false">IF((E78="v"),H78," ")</f>
        <v> </v>
      </c>
      <c r="AD78" s="30" t="str">
        <f aca="false">IF((E78="n"),H78," ")</f>
        <v> </v>
      </c>
      <c r="AE78" s="17" t="str">
        <f aca="false">IF((E78="f"),H78," ")</f>
        <v> </v>
      </c>
      <c r="AF78" s="17" t="str">
        <f aca="false">IF((E78="l"),H78," ")</f>
        <v> </v>
      </c>
      <c r="AG78" s="17" t="str">
        <f aca="false">IF((E78="y"),H78," ")</f>
        <v> </v>
      </c>
      <c r="AH78" s="17" t="str">
        <f aca="false">IF((E78="z"),H78," ")</f>
        <v> </v>
      </c>
      <c r="AI78" s="17" t="str">
        <f aca="false">IF((E78="fa"),H78," ")</f>
        <v> </v>
      </c>
      <c r="AJ78" s="17" t="str">
        <f aca="false">IF((E78="e"),H78," ")</f>
        <v> </v>
      </c>
    </row>
    <row r="79" customFormat="false" ht="12" hidden="false" customHeight="false" outlineLevel="0" collapsed="false">
      <c r="A79" s="28"/>
      <c r="E79" s="2" t="str">
        <f aca="false">IF((F79&lt;&gt;0),"Enter Letter"," ")</f>
        <v> </v>
      </c>
      <c r="F79" s="30"/>
      <c r="G79" s="6" t="str">
        <f aca="false">IF(F79&lt;&gt;0,F79*G$2/(100+G$2)," ")</f>
        <v> </v>
      </c>
      <c r="H79" s="6" t="str">
        <f aca="false">IF((F79&lt;&gt;0),F79-G79," ")</f>
        <v> </v>
      </c>
      <c r="I79" s="5"/>
      <c r="L79" s="7" t="str">
        <f aca="false">IF(F79&lt;&gt;0,F79-K79," ")</f>
        <v> </v>
      </c>
      <c r="M79" s="8" t="str">
        <f aca="false">IF((F79-K79)&lt;&gt;0,M$1-A79," ")</f>
        <v> </v>
      </c>
      <c r="N79" s="5"/>
      <c r="O79" s="17" t="str">
        <f aca="false">IF((E79="s"),H79," ")</f>
        <v> </v>
      </c>
      <c r="P79" s="17" t="str">
        <f aca="false">IF((E79="c"),H79," ")</f>
        <v> </v>
      </c>
      <c r="Q79" s="17" t="str">
        <f aca="false">IF((E79="o"),H79," ")</f>
        <v> </v>
      </c>
      <c r="R79" s="17" t="str">
        <f aca="false">IF((E79="d"),H79," ")</f>
        <v> </v>
      </c>
      <c r="S79" s="17" t="str">
        <f aca="false">IF((E79="w"),H79," ")</f>
        <v> </v>
      </c>
      <c r="T79" s="17" t="str">
        <f aca="false">IF((E79="r"),H79," ")</f>
        <v> </v>
      </c>
      <c r="U79" s="17" t="str">
        <f aca="false">IF((E79="p"),H79," ")</f>
        <v> </v>
      </c>
      <c r="V79" s="17" t="str">
        <f aca="false">IF((E79="t"),H79," ")</f>
        <v> </v>
      </c>
      <c r="W79" s="17" t="str">
        <f aca="false">IF((E79="q"),H79," ")</f>
        <v> </v>
      </c>
      <c r="X79" s="17" t="str">
        <f aca="false">IF((E79="m"),H79," ")</f>
        <v> </v>
      </c>
      <c r="Y79" s="17" t="str">
        <f aca="false">IF((E79="u"),H79," ")</f>
        <v> </v>
      </c>
      <c r="Z79" s="17" t="str">
        <f aca="false">IF((E79="a"),H79," ")</f>
        <v> </v>
      </c>
      <c r="AA79" s="17" t="str">
        <f aca="false">IF((E79="g"),H79," ")</f>
        <v> </v>
      </c>
      <c r="AB79" s="17" t="str">
        <f aca="false">IF((E79="h"),H79," ")</f>
        <v> </v>
      </c>
      <c r="AC79" s="30" t="str">
        <f aca="false">IF((E79="v"),H79," ")</f>
        <v> </v>
      </c>
      <c r="AD79" s="30" t="str">
        <f aca="false">IF((E79="n"),H79," ")</f>
        <v> </v>
      </c>
      <c r="AE79" s="17" t="str">
        <f aca="false">IF((E79="f"),H79," ")</f>
        <v> </v>
      </c>
      <c r="AF79" s="17" t="str">
        <f aca="false">IF((E79="l"),H79," ")</f>
        <v> </v>
      </c>
      <c r="AG79" s="17" t="str">
        <f aca="false">IF((E79="y"),H79," ")</f>
        <v> </v>
      </c>
      <c r="AH79" s="17" t="str">
        <f aca="false">IF((E79="z"),H79," ")</f>
        <v> </v>
      </c>
      <c r="AI79" s="17" t="str">
        <f aca="false">IF((E79="fa"),H79," ")</f>
        <v> </v>
      </c>
      <c r="AJ79" s="17" t="str">
        <f aca="false">IF((E79="e"),H79," ")</f>
        <v> </v>
      </c>
    </row>
    <row r="80" customFormat="false" ht="12" hidden="false" customHeight="false" outlineLevel="0" collapsed="false">
      <c r="A80" s="28"/>
      <c r="E80" s="2" t="str">
        <f aca="false">IF((F80&lt;&gt;0),"Enter Letter"," ")</f>
        <v> </v>
      </c>
      <c r="F80" s="30"/>
      <c r="G80" s="6" t="str">
        <f aca="false">IF(F80&lt;&gt;0,F80*G$2/(100+G$2)," ")</f>
        <v> </v>
      </c>
      <c r="H80" s="6" t="str">
        <f aca="false">IF((F80&lt;&gt;0),F80-G80," ")</f>
        <v> </v>
      </c>
      <c r="I80" s="5"/>
      <c r="L80" s="7" t="str">
        <f aca="false">IF(F80&lt;&gt;0,F80-K80," ")</f>
        <v> </v>
      </c>
      <c r="M80" s="8" t="str">
        <f aca="false">IF((F80-K80)&lt;&gt;0,M$1-A80," ")</f>
        <v> </v>
      </c>
      <c r="N80" s="5"/>
      <c r="O80" s="17" t="str">
        <f aca="false">IF((E80="s"),H80," ")</f>
        <v> </v>
      </c>
      <c r="P80" s="17" t="str">
        <f aca="false">IF((E80="c"),H80," ")</f>
        <v> </v>
      </c>
      <c r="Q80" s="17" t="str">
        <f aca="false">IF((E80="o"),H80," ")</f>
        <v> </v>
      </c>
      <c r="R80" s="17" t="str">
        <f aca="false">IF((E80="d"),H80," ")</f>
        <v> </v>
      </c>
      <c r="S80" s="17" t="str">
        <f aca="false">IF((E80="w"),H80," ")</f>
        <v> </v>
      </c>
      <c r="T80" s="17" t="str">
        <f aca="false">IF((E80="r"),H80," ")</f>
        <v> </v>
      </c>
      <c r="U80" s="17" t="str">
        <f aca="false">IF((E80="p"),H80," ")</f>
        <v> </v>
      </c>
      <c r="V80" s="17" t="str">
        <f aca="false">IF((E80="t"),H80," ")</f>
        <v> </v>
      </c>
      <c r="W80" s="17" t="str">
        <f aca="false">IF((E80="q"),H80," ")</f>
        <v> </v>
      </c>
      <c r="X80" s="17" t="str">
        <f aca="false">IF((E80="m"),H80," ")</f>
        <v> </v>
      </c>
      <c r="Y80" s="17" t="str">
        <f aca="false">IF((E80="u"),H80," ")</f>
        <v> </v>
      </c>
      <c r="Z80" s="17" t="str">
        <f aca="false">IF((E80="a"),H80," ")</f>
        <v> </v>
      </c>
      <c r="AA80" s="17" t="str">
        <f aca="false">IF((E80="g"),H80," ")</f>
        <v> </v>
      </c>
      <c r="AB80" s="17" t="str">
        <f aca="false">IF((E80="h"),H80," ")</f>
        <v> </v>
      </c>
      <c r="AC80" s="30" t="str">
        <f aca="false">IF((E80="v"),H80," ")</f>
        <v> </v>
      </c>
      <c r="AD80" s="30" t="str">
        <f aca="false">IF((E80="n"),H80," ")</f>
        <v> </v>
      </c>
      <c r="AE80" s="17" t="str">
        <f aca="false">IF((E80="f"),H80," ")</f>
        <v> </v>
      </c>
      <c r="AF80" s="17" t="str">
        <f aca="false">IF((E80="l"),H80," ")</f>
        <v> </v>
      </c>
      <c r="AG80" s="17" t="str">
        <f aca="false">IF((E80="y"),H80," ")</f>
        <v> </v>
      </c>
      <c r="AH80" s="17" t="str">
        <f aca="false">IF((E80="z"),H80," ")</f>
        <v> </v>
      </c>
      <c r="AI80" s="17" t="str">
        <f aca="false">IF((E80="fa"),H80," ")</f>
        <v> </v>
      </c>
      <c r="AJ80" s="17" t="str">
        <f aca="false">IF((E80="e"),H80," ")</f>
        <v> </v>
      </c>
    </row>
    <row r="81" customFormat="false" ht="12" hidden="false" customHeight="false" outlineLevel="0" collapsed="false">
      <c r="A81" s="28"/>
      <c r="E81" s="2" t="str">
        <f aca="false">IF((F81&lt;&gt;0),"Enter Letter"," ")</f>
        <v> </v>
      </c>
      <c r="F81" s="30"/>
      <c r="G81" s="6" t="str">
        <f aca="false">IF(F81&lt;&gt;0,F81*G$2/(100+G$2)," ")</f>
        <v> </v>
      </c>
      <c r="H81" s="6" t="str">
        <f aca="false">IF((F81&lt;&gt;0),F81-G81," ")</f>
        <v> </v>
      </c>
      <c r="I81" s="5"/>
      <c r="L81" s="7" t="str">
        <f aca="false">IF(F81&lt;&gt;0,F81-K81," ")</f>
        <v> </v>
      </c>
      <c r="M81" s="8" t="str">
        <f aca="false">IF((F81-K81)&lt;&gt;0,M$1-A81," ")</f>
        <v> </v>
      </c>
      <c r="N81" s="5"/>
      <c r="O81" s="17" t="str">
        <f aca="false">IF((E81="s"),H81," ")</f>
        <v> </v>
      </c>
      <c r="P81" s="17" t="str">
        <f aca="false">IF((E81="c"),H81," ")</f>
        <v> </v>
      </c>
      <c r="Q81" s="17" t="str">
        <f aca="false">IF((E81="o"),H81," ")</f>
        <v> </v>
      </c>
      <c r="R81" s="17" t="str">
        <f aca="false">IF((E81="d"),H81," ")</f>
        <v> </v>
      </c>
      <c r="S81" s="17" t="str">
        <f aca="false">IF((E81="w"),H81," ")</f>
        <v> </v>
      </c>
      <c r="T81" s="17" t="str">
        <f aca="false">IF((E81="r"),H81," ")</f>
        <v> </v>
      </c>
      <c r="U81" s="17" t="str">
        <f aca="false">IF((E81="p"),H81," ")</f>
        <v> </v>
      </c>
      <c r="V81" s="17" t="str">
        <f aca="false">IF((E81="t"),H81," ")</f>
        <v> </v>
      </c>
      <c r="W81" s="17" t="str">
        <f aca="false">IF((E81="q"),H81," ")</f>
        <v> </v>
      </c>
      <c r="X81" s="17" t="str">
        <f aca="false">IF((E81="m"),H81," ")</f>
        <v> </v>
      </c>
      <c r="Y81" s="17" t="str">
        <f aca="false">IF((E81="u"),H81," ")</f>
        <v> </v>
      </c>
      <c r="Z81" s="17" t="str">
        <f aca="false">IF((E81="a"),H81," ")</f>
        <v> </v>
      </c>
      <c r="AA81" s="17" t="str">
        <f aca="false">IF((E81="g"),H81," ")</f>
        <v> </v>
      </c>
      <c r="AB81" s="17" t="str">
        <f aca="false">IF((E81="h"),H81," ")</f>
        <v> </v>
      </c>
      <c r="AC81" s="30" t="str">
        <f aca="false">IF((E81="v"),H81," ")</f>
        <v> </v>
      </c>
      <c r="AD81" s="30" t="str">
        <f aca="false">IF((E81="n"),H81," ")</f>
        <v> </v>
      </c>
      <c r="AE81" s="17" t="str">
        <f aca="false">IF((E81="f"),H81," ")</f>
        <v> </v>
      </c>
      <c r="AF81" s="17" t="str">
        <f aca="false">IF((E81="l"),H81," ")</f>
        <v> </v>
      </c>
      <c r="AG81" s="17" t="str">
        <f aca="false">IF((E81="y"),H81," ")</f>
        <v> </v>
      </c>
      <c r="AH81" s="17" t="str">
        <f aca="false">IF((E81="z"),H81," ")</f>
        <v> </v>
      </c>
      <c r="AI81" s="17" t="str">
        <f aca="false">IF((E81="fa"),H81," ")</f>
        <v> </v>
      </c>
      <c r="AJ81" s="17" t="str">
        <f aca="false">IF((E81="e"),H81," ")</f>
        <v> </v>
      </c>
    </row>
    <row r="82" customFormat="false" ht="12" hidden="false" customHeight="false" outlineLevel="0" collapsed="false">
      <c r="A82" s="28"/>
      <c r="E82" s="2" t="str">
        <f aca="false">IF((F82&lt;&gt;0),"Enter Letter"," ")</f>
        <v> </v>
      </c>
      <c r="F82" s="30"/>
      <c r="G82" s="6" t="str">
        <f aca="false">IF(F82&lt;&gt;0,F82*G$2/(100+G$2)," ")</f>
        <v> </v>
      </c>
      <c r="H82" s="6" t="str">
        <f aca="false">IF((F82&lt;&gt;0),F82-G82," ")</f>
        <v> </v>
      </c>
      <c r="I82" s="5"/>
      <c r="L82" s="7" t="str">
        <f aca="false">IF(F82&lt;&gt;0,F82-K82," ")</f>
        <v> </v>
      </c>
      <c r="M82" s="8" t="str">
        <f aca="false">IF((F82-K82)&lt;&gt;0,M$1-A82," ")</f>
        <v> </v>
      </c>
      <c r="N82" s="5"/>
      <c r="O82" s="17" t="str">
        <f aca="false">IF((E82="s"),H82," ")</f>
        <v> </v>
      </c>
      <c r="P82" s="17" t="str">
        <f aca="false">IF((E82="c"),H82," ")</f>
        <v> </v>
      </c>
      <c r="Q82" s="17" t="str">
        <f aca="false">IF((E82="o"),H82," ")</f>
        <v> </v>
      </c>
      <c r="R82" s="17" t="str">
        <f aca="false">IF((E82="d"),H82," ")</f>
        <v> </v>
      </c>
      <c r="S82" s="17" t="str">
        <f aca="false">IF((E82="w"),H82," ")</f>
        <v> </v>
      </c>
      <c r="T82" s="17" t="str">
        <f aca="false">IF((E82="r"),H82," ")</f>
        <v> </v>
      </c>
      <c r="U82" s="17" t="str">
        <f aca="false">IF((E82="p"),H82," ")</f>
        <v> </v>
      </c>
      <c r="V82" s="17" t="str">
        <f aca="false">IF((E82="t"),H82," ")</f>
        <v> </v>
      </c>
      <c r="W82" s="17" t="str">
        <f aca="false">IF((E82="q"),H82," ")</f>
        <v> </v>
      </c>
      <c r="X82" s="17" t="str">
        <f aca="false">IF((E82="m"),H82," ")</f>
        <v> </v>
      </c>
      <c r="Y82" s="17" t="str">
        <f aca="false">IF((E82="u"),H82," ")</f>
        <v> </v>
      </c>
      <c r="Z82" s="17" t="str">
        <f aca="false">IF((E82="a"),H82," ")</f>
        <v> </v>
      </c>
      <c r="AA82" s="17" t="str">
        <f aca="false">IF((E82="g"),H82," ")</f>
        <v> </v>
      </c>
      <c r="AB82" s="17" t="str">
        <f aca="false">IF((E82="h"),H82," ")</f>
        <v> </v>
      </c>
      <c r="AC82" s="30" t="str">
        <f aca="false">IF((E82="v"),H82," ")</f>
        <v> </v>
      </c>
      <c r="AD82" s="30" t="str">
        <f aca="false">IF((E82="n"),H82," ")</f>
        <v> </v>
      </c>
      <c r="AE82" s="17" t="str">
        <f aca="false">IF((E82="f"),H82," ")</f>
        <v> </v>
      </c>
      <c r="AF82" s="17" t="str">
        <f aca="false">IF((E82="l"),H82," ")</f>
        <v> </v>
      </c>
      <c r="AG82" s="17" t="str">
        <f aca="false">IF((E82="y"),H82," ")</f>
        <v> </v>
      </c>
      <c r="AH82" s="17" t="str">
        <f aca="false">IF((E82="z"),H82," ")</f>
        <v> </v>
      </c>
      <c r="AI82" s="17" t="str">
        <f aca="false">IF((E82="fa"),H82," ")</f>
        <v> </v>
      </c>
      <c r="AJ82" s="17" t="str">
        <f aca="false">IF((E82="e"),H82," ")</f>
        <v> </v>
      </c>
    </row>
    <row r="83" customFormat="false" ht="12" hidden="false" customHeight="false" outlineLevel="0" collapsed="false">
      <c r="A83" s="28"/>
      <c r="E83" s="2" t="str">
        <f aca="false">IF((F83&lt;&gt;0),"Enter Letter"," ")</f>
        <v> </v>
      </c>
      <c r="F83" s="30"/>
      <c r="G83" s="6" t="str">
        <f aca="false">IF(F83&lt;&gt;0,F83*G$2/(100+G$2)," ")</f>
        <v> </v>
      </c>
      <c r="H83" s="6" t="str">
        <f aca="false">IF((F83&lt;&gt;0),F83-G83," ")</f>
        <v> </v>
      </c>
      <c r="I83" s="5"/>
      <c r="L83" s="7" t="str">
        <f aca="false">IF(F83&lt;&gt;0,F83-K83," ")</f>
        <v> </v>
      </c>
      <c r="M83" s="8" t="str">
        <f aca="false">IF((F83-K83)&lt;&gt;0,M$1-A83," ")</f>
        <v> </v>
      </c>
      <c r="N83" s="5"/>
      <c r="O83" s="17" t="str">
        <f aca="false">IF((E83="s"),H83," ")</f>
        <v> </v>
      </c>
      <c r="P83" s="17" t="str">
        <f aca="false">IF((E83="c"),H83," ")</f>
        <v> </v>
      </c>
      <c r="Q83" s="17" t="str">
        <f aca="false">IF((E83="o"),H83," ")</f>
        <v> </v>
      </c>
      <c r="R83" s="17" t="str">
        <f aca="false">IF((E83="d"),H83," ")</f>
        <v> </v>
      </c>
      <c r="S83" s="17" t="str">
        <f aca="false">IF((E83="w"),H83," ")</f>
        <v> </v>
      </c>
      <c r="T83" s="17" t="str">
        <f aca="false">IF((E83="r"),H83," ")</f>
        <v> </v>
      </c>
      <c r="U83" s="17" t="str">
        <f aca="false">IF((E83="p"),H83," ")</f>
        <v> </v>
      </c>
      <c r="V83" s="17" t="str">
        <f aca="false">IF((E83="t"),H83," ")</f>
        <v> </v>
      </c>
      <c r="W83" s="17" t="str">
        <f aca="false">IF((E83="q"),H83," ")</f>
        <v> </v>
      </c>
      <c r="X83" s="17" t="str">
        <f aca="false">IF((E83="m"),H83," ")</f>
        <v> </v>
      </c>
      <c r="Y83" s="17" t="str">
        <f aca="false">IF((E83="u"),H83," ")</f>
        <v> </v>
      </c>
      <c r="Z83" s="17" t="str">
        <f aca="false">IF((E83="a"),H83," ")</f>
        <v> </v>
      </c>
      <c r="AA83" s="17" t="str">
        <f aca="false">IF((E83="g"),H83," ")</f>
        <v> </v>
      </c>
      <c r="AB83" s="17" t="str">
        <f aca="false">IF((E83="h"),H83," ")</f>
        <v> </v>
      </c>
      <c r="AC83" s="30" t="str">
        <f aca="false">IF((E83="v"),H83," ")</f>
        <v> </v>
      </c>
      <c r="AD83" s="30" t="str">
        <f aca="false">IF((E83="n"),H83," ")</f>
        <v> </v>
      </c>
      <c r="AE83" s="17" t="str">
        <f aca="false">IF((E83="f"),H83," ")</f>
        <v> </v>
      </c>
      <c r="AF83" s="17" t="str">
        <f aca="false">IF((E83="l"),H83," ")</f>
        <v> </v>
      </c>
      <c r="AG83" s="17" t="str">
        <f aca="false">IF((E83="y"),H83," ")</f>
        <v> </v>
      </c>
      <c r="AH83" s="17" t="str">
        <f aca="false">IF((E83="z"),H83," ")</f>
        <v> </v>
      </c>
      <c r="AI83" s="17" t="str">
        <f aca="false">IF((E83="fa"),H83," ")</f>
        <v> </v>
      </c>
      <c r="AJ83" s="17" t="str">
        <f aca="false">IF((E83="e"),H83," ")</f>
        <v> </v>
      </c>
    </row>
    <row r="84" customFormat="false" ht="12" hidden="false" customHeight="false" outlineLevel="0" collapsed="false">
      <c r="A84" s="28"/>
      <c r="E84" s="2" t="str">
        <f aca="false">IF((F84&lt;&gt;0),"Enter Letter"," ")</f>
        <v> </v>
      </c>
      <c r="F84" s="30"/>
      <c r="G84" s="6" t="str">
        <f aca="false">IF(F84&lt;&gt;0,F84*G$2/(100+G$2)," ")</f>
        <v> </v>
      </c>
      <c r="H84" s="6" t="str">
        <f aca="false">IF((F84&lt;&gt;0),F84-G84," ")</f>
        <v> </v>
      </c>
      <c r="I84" s="5"/>
      <c r="L84" s="7" t="str">
        <f aca="false">IF(F84&lt;&gt;0,F84-K84," ")</f>
        <v> </v>
      </c>
      <c r="M84" s="8" t="str">
        <f aca="false">IF((F84-K84)&lt;&gt;0,M$1-A84," ")</f>
        <v> </v>
      </c>
      <c r="N84" s="5"/>
      <c r="O84" s="17" t="str">
        <f aca="false">IF((E84="s"),H84," ")</f>
        <v> </v>
      </c>
      <c r="P84" s="17" t="str">
        <f aca="false">IF((E84="c"),H84," ")</f>
        <v> </v>
      </c>
      <c r="Q84" s="17" t="str">
        <f aca="false">IF((E84="o"),H84," ")</f>
        <v> </v>
      </c>
      <c r="R84" s="17" t="str">
        <f aca="false">IF((E84="d"),H84," ")</f>
        <v> </v>
      </c>
      <c r="S84" s="17" t="str">
        <f aca="false">IF((E84="w"),H84," ")</f>
        <v> </v>
      </c>
      <c r="T84" s="17" t="str">
        <f aca="false">IF((E84="r"),H84," ")</f>
        <v> </v>
      </c>
      <c r="U84" s="17" t="str">
        <f aca="false">IF((E84="p"),H84," ")</f>
        <v> </v>
      </c>
      <c r="V84" s="17" t="str">
        <f aca="false">IF((E84="t"),H84," ")</f>
        <v> </v>
      </c>
      <c r="W84" s="17" t="str">
        <f aca="false">IF((E84="q"),H84," ")</f>
        <v> </v>
      </c>
      <c r="X84" s="17" t="str">
        <f aca="false">IF((E84="m"),H84," ")</f>
        <v> </v>
      </c>
      <c r="Y84" s="17" t="str">
        <f aca="false">IF((E84="u"),H84," ")</f>
        <v> </v>
      </c>
      <c r="Z84" s="17" t="str">
        <f aca="false">IF((E84="a"),H84," ")</f>
        <v> </v>
      </c>
      <c r="AA84" s="17" t="str">
        <f aca="false">IF((E84="g"),H84," ")</f>
        <v> </v>
      </c>
      <c r="AB84" s="17" t="str">
        <f aca="false">IF((E84="h"),H84," ")</f>
        <v> </v>
      </c>
      <c r="AC84" s="30" t="str">
        <f aca="false">IF((E84="v"),H84," ")</f>
        <v> </v>
      </c>
      <c r="AD84" s="30" t="str">
        <f aca="false">IF((E84="n"),H84," ")</f>
        <v> </v>
      </c>
      <c r="AE84" s="17" t="str">
        <f aca="false">IF((E84="f"),H84," ")</f>
        <v> </v>
      </c>
      <c r="AF84" s="17" t="str">
        <f aca="false">IF((E84="l"),H84," ")</f>
        <v> </v>
      </c>
      <c r="AG84" s="17" t="str">
        <f aca="false">IF((E84="y"),H84," ")</f>
        <v> </v>
      </c>
      <c r="AH84" s="17" t="str">
        <f aca="false">IF((E84="z"),H84," ")</f>
        <v> </v>
      </c>
      <c r="AI84" s="17" t="str">
        <f aca="false">IF((E84="fa"),H84," ")</f>
        <v> </v>
      </c>
      <c r="AJ84" s="17" t="str">
        <f aca="false">IF((E84="e"),H84," ")</f>
        <v> </v>
      </c>
    </row>
    <row r="85" customFormat="false" ht="12" hidden="false" customHeight="false" outlineLevel="0" collapsed="false">
      <c r="A85" s="28"/>
      <c r="E85" s="2" t="str">
        <f aca="false">IF((F85&lt;&gt;0),"Enter Letter"," ")</f>
        <v> </v>
      </c>
      <c r="F85" s="30"/>
      <c r="G85" s="6" t="str">
        <f aca="false">IF(F85&lt;&gt;0,F85*G$2/(100+G$2)," ")</f>
        <v> </v>
      </c>
      <c r="H85" s="6" t="str">
        <f aca="false">IF((F85&lt;&gt;0),F85-G85," ")</f>
        <v> </v>
      </c>
      <c r="I85" s="5"/>
      <c r="L85" s="7" t="str">
        <f aca="false">IF(F85&lt;&gt;0,F85-K85," ")</f>
        <v> </v>
      </c>
      <c r="M85" s="8" t="str">
        <f aca="false">IF((F85-K85)&lt;&gt;0,M$1-A85," ")</f>
        <v> </v>
      </c>
      <c r="N85" s="5"/>
      <c r="O85" s="17" t="str">
        <f aca="false">IF((E85="s"),H85," ")</f>
        <v> </v>
      </c>
      <c r="P85" s="17" t="str">
        <f aca="false">IF((E85="c"),H85," ")</f>
        <v> </v>
      </c>
      <c r="Q85" s="17" t="str">
        <f aca="false">IF((E85="o"),H85," ")</f>
        <v> </v>
      </c>
      <c r="R85" s="17" t="str">
        <f aca="false">IF((E85="d"),H85," ")</f>
        <v> </v>
      </c>
      <c r="S85" s="17" t="str">
        <f aca="false">IF((E85="w"),H85," ")</f>
        <v> </v>
      </c>
      <c r="T85" s="17" t="str">
        <f aca="false">IF((E85="r"),H85," ")</f>
        <v> </v>
      </c>
      <c r="U85" s="17" t="str">
        <f aca="false">IF((E85="p"),H85," ")</f>
        <v> </v>
      </c>
      <c r="V85" s="17" t="str">
        <f aca="false">IF((E85="t"),H85," ")</f>
        <v> </v>
      </c>
      <c r="W85" s="17" t="str">
        <f aca="false">IF((E85="q"),H85," ")</f>
        <v> </v>
      </c>
      <c r="X85" s="17" t="str">
        <f aca="false">IF((E85="m"),H85," ")</f>
        <v> </v>
      </c>
      <c r="Y85" s="17" t="str">
        <f aca="false">IF((E85="u"),H85," ")</f>
        <v> </v>
      </c>
      <c r="Z85" s="17" t="str">
        <f aca="false">IF((E85="a"),H85," ")</f>
        <v> </v>
      </c>
      <c r="AA85" s="17" t="str">
        <f aca="false">IF((E85="g"),H85," ")</f>
        <v> </v>
      </c>
      <c r="AB85" s="17" t="str">
        <f aca="false">IF((E85="h"),H85," ")</f>
        <v> </v>
      </c>
      <c r="AC85" s="30" t="str">
        <f aca="false">IF((E85="v"),H85," ")</f>
        <v> </v>
      </c>
      <c r="AD85" s="30" t="str">
        <f aca="false">IF((E85="n"),H85," ")</f>
        <v> </v>
      </c>
      <c r="AE85" s="17" t="str">
        <f aca="false">IF((E85="f"),H85," ")</f>
        <v> </v>
      </c>
      <c r="AF85" s="17" t="str">
        <f aca="false">IF((E85="l"),H85," ")</f>
        <v> </v>
      </c>
      <c r="AG85" s="17" t="str">
        <f aca="false">IF((E85="y"),H85," ")</f>
        <v> </v>
      </c>
      <c r="AH85" s="17" t="str">
        <f aca="false">IF((E85="z"),H85," ")</f>
        <v> </v>
      </c>
      <c r="AI85" s="17" t="str">
        <f aca="false">IF((E85="fa"),H85," ")</f>
        <v> </v>
      </c>
      <c r="AJ85" s="17" t="str">
        <f aca="false">IF((E85="e"),H85," ")</f>
        <v> </v>
      </c>
    </row>
    <row r="86" customFormat="false" ht="12" hidden="false" customHeight="false" outlineLevel="0" collapsed="false">
      <c r="A86" s="28"/>
      <c r="E86" s="2" t="str">
        <f aca="false">IF((F86&lt;&gt;0),"Enter Letter"," ")</f>
        <v> </v>
      </c>
      <c r="F86" s="30"/>
      <c r="G86" s="6" t="str">
        <f aca="false">IF(F86&lt;&gt;0,F86*G$2/(100+G$2)," ")</f>
        <v> </v>
      </c>
      <c r="H86" s="6" t="str">
        <f aca="false">IF((F86&lt;&gt;0),F86-G86," ")</f>
        <v> </v>
      </c>
      <c r="I86" s="5"/>
      <c r="L86" s="7" t="str">
        <f aca="false">IF(F86&lt;&gt;0,F86-K86," ")</f>
        <v> </v>
      </c>
      <c r="M86" s="8" t="str">
        <f aca="false">IF((F86-K86)&lt;&gt;0,M$1-A86," ")</f>
        <v> </v>
      </c>
      <c r="N86" s="5"/>
      <c r="O86" s="17" t="str">
        <f aca="false">IF((E86="s"),H86," ")</f>
        <v> </v>
      </c>
      <c r="P86" s="17" t="str">
        <f aca="false">IF((E86="c"),H86," ")</f>
        <v> </v>
      </c>
      <c r="Q86" s="17" t="str">
        <f aca="false">IF((E86="o"),H86," ")</f>
        <v> </v>
      </c>
      <c r="R86" s="17" t="str">
        <f aca="false">IF((E86="d"),H86," ")</f>
        <v> </v>
      </c>
      <c r="S86" s="17" t="str">
        <f aca="false">IF((E86="w"),H86," ")</f>
        <v> </v>
      </c>
      <c r="T86" s="17" t="str">
        <f aca="false">IF((E86="r"),H86," ")</f>
        <v> </v>
      </c>
      <c r="U86" s="17" t="str">
        <f aca="false">IF((E86="p"),H86," ")</f>
        <v> </v>
      </c>
      <c r="V86" s="17" t="str">
        <f aca="false">IF((E86="t"),H86," ")</f>
        <v> </v>
      </c>
      <c r="W86" s="17" t="str">
        <f aca="false">IF((E86="q"),H86," ")</f>
        <v> </v>
      </c>
      <c r="X86" s="17" t="str">
        <f aca="false">IF((E86="m"),H86," ")</f>
        <v> </v>
      </c>
      <c r="Y86" s="17" t="str">
        <f aca="false">IF((E86="u"),H86," ")</f>
        <v> </v>
      </c>
      <c r="Z86" s="17" t="str">
        <f aca="false">IF((E86="a"),H86," ")</f>
        <v> </v>
      </c>
      <c r="AA86" s="17" t="str">
        <f aca="false">IF((E86="g"),H86," ")</f>
        <v> </v>
      </c>
      <c r="AB86" s="17" t="str">
        <f aca="false">IF((E86="h"),H86," ")</f>
        <v> </v>
      </c>
      <c r="AC86" s="30" t="str">
        <f aca="false">IF((E86="v"),H86," ")</f>
        <v> </v>
      </c>
      <c r="AD86" s="30" t="str">
        <f aca="false">IF((E86="n"),H86," ")</f>
        <v> </v>
      </c>
      <c r="AE86" s="17" t="str">
        <f aca="false">IF((E86="f"),H86," ")</f>
        <v> </v>
      </c>
      <c r="AF86" s="17" t="str">
        <f aca="false">IF((E86="l"),H86," ")</f>
        <v> </v>
      </c>
      <c r="AG86" s="17" t="str">
        <f aca="false">IF((E86="y"),H86," ")</f>
        <v> </v>
      </c>
      <c r="AH86" s="17" t="str">
        <f aca="false">IF((E86="z"),H86," ")</f>
        <v> </v>
      </c>
      <c r="AI86" s="17" t="str">
        <f aca="false">IF((E86="fa"),H86," ")</f>
        <v> </v>
      </c>
      <c r="AJ86" s="17" t="str">
        <f aca="false">IF((E86="e"),H86," ")</f>
        <v> </v>
      </c>
    </row>
    <row r="87" customFormat="false" ht="12" hidden="false" customHeight="false" outlineLevel="0" collapsed="false">
      <c r="A87" s="28"/>
      <c r="E87" s="2" t="str">
        <f aca="false">IF((F87&lt;&gt;0),"Enter Letter"," ")</f>
        <v> </v>
      </c>
      <c r="F87" s="30"/>
      <c r="G87" s="6" t="str">
        <f aca="false">IF(F87&lt;&gt;0,F87*G$2/(100+G$2)," ")</f>
        <v> </v>
      </c>
      <c r="H87" s="6" t="str">
        <f aca="false">IF((F87&lt;&gt;0),F87-G87," ")</f>
        <v> </v>
      </c>
      <c r="I87" s="5"/>
      <c r="L87" s="7" t="str">
        <f aca="false">IF(F87&lt;&gt;0,F87-K87," ")</f>
        <v> </v>
      </c>
      <c r="M87" s="8" t="str">
        <f aca="false">IF((F87-K87)&lt;&gt;0,M$1-A87," ")</f>
        <v> </v>
      </c>
      <c r="N87" s="5"/>
      <c r="O87" s="17" t="str">
        <f aca="false">IF((E87="s"),H87," ")</f>
        <v> </v>
      </c>
      <c r="P87" s="17" t="str">
        <f aca="false">IF((E87="c"),H87," ")</f>
        <v> </v>
      </c>
      <c r="Q87" s="17" t="str">
        <f aca="false">IF((E87="o"),H87," ")</f>
        <v> </v>
      </c>
      <c r="R87" s="17" t="str">
        <f aca="false">IF((E87="d"),H87," ")</f>
        <v> </v>
      </c>
      <c r="S87" s="17" t="str">
        <f aca="false">IF((E87="w"),H87," ")</f>
        <v> </v>
      </c>
      <c r="T87" s="17" t="str">
        <f aca="false">IF((E87="r"),H87," ")</f>
        <v> </v>
      </c>
      <c r="U87" s="17" t="str">
        <f aca="false">IF((E87="p"),H87," ")</f>
        <v> </v>
      </c>
      <c r="V87" s="17" t="str">
        <f aca="false">IF((E87="t"),H87," ")</f>
        <v> </v>
      </c>
      <c r="W87" s="17" t="str">
        <f aca="false">IF((E87="q"),H87," ")</f>
        <v> </v>
      </c>
      <c r="X87" s="17" t="str">
        <f aca="false">IF((E87="m"),H87," ")</f>
        <v> </v>
      </c>
      <c r="Y87" s="17" t="str">
        <f aca="false">IF((E87="u"),H87," ")</f>
        <v> </v>
      </c>
      <c r="Z87" s="17" t="str">
        <f aca="false">IF((E87="a"),H87," ")</f>
        <v> </v>
      </c>
      <c r="AA87" s="17" t="str">
        <f aca="false">IF((E87="g"),H87," ")</f>
        <v> </v>
      </c>
      <c r="AB87" s="17" t="str">
        <f aca="false">IF((E87="h"),H87," ")</f>
        <v> </v>
      </c>
      <c r="AC87" s="30" t="str">
        <f aca="false">IF((E87="v"),H87," ")</f>
        <v> </v>
      </c>
      <c r="AD87" s="30" t="str">
        <f aca="false">IF((E87="n"),H87," ")</f>
        <v> </v>
      </c>
      <c r="AE87" s="17" t="str">
        <f aca="false">IF((E87="f"),H87," ")</f>
        <v> </v>
      </c>
      <c r="AF87" s="17" t="str">
        <f aca="false">IF((E87="l"),H87," ")</f>
        <v> </v>
      </c>
      <c r="AG87" s="17" t="str">
        <f aca="false">IF((E87="y"),H87," ")</f>
        <v> </v>
      </c>
      <c r="AH87" s="17" t="str">
        <f aca="false">IF((E87="z"),H87," ")</f>
        <v> </v>
      </c>
      <c r="AI87" s="17" t="str">
        <f aca="false">IF((E87="fa"),H87," ")</f>
        <v> </v>
      </c>
      <c r="AJ87" s="17" t="str">
        <f aca="false">IF((E87="e"),H87," ")</f>
        <v> </v>
      </c>
    </row>
    <row r="88" customFormat="false" ht="12" hidden="false" customHeight="false" outlineLevel="0" collapsed="false">
      <c r="A88" s="28"/>
      <c r="E88" s="2" t="str">
        <f aca="false">IF((F88&lt;&gt;0),"Enter Letter"," ")</f>
        <v> </v>
      </c>
      <c r="F88" s="30"/>
      <c r="G88" s="6" t="str">
        <f aca="false">IF(F88&lt;&gt;0,F88*G$2/(100+G$2)," ")</f>
        <v> </v>
      </c>
      <c r="H88" s="6" t="str">
        <f aca="false">IF((F88&lt;&gt;0),F88-G88," ")</f>
        <v> </v>
      </c>
      <c r="I88" s="5"/>
      <c r="L88" s="7" t="str">
        <f aca="false">IF(F88&lt;&gt;0,F88-K88," ")</f>
        <v> </v>
      </c>
      <c r="M88" s="8" t="str">
        <f aca="false">IF((F88-K88)&lt;&gt;0,M$1-A88," ")</f>
        <v> </v>
      </c>
      <c r="N88" s="5"/>
      <c r="O88" s="17" t="str">
        <f aca="false">IF((E88="s"),H88," ")</f>
        <v> </v>
      </c>
      <c r="P88" s="17" t="str">
        <f aca="false">IF((E88="c"),H88," ")</f>
        <v> </v>
      </c>
      <c r="Q88" s="17" t="str">
        <f aca="false">IF((E88="o"),H88," ")</f>
        <v> </v>
      </c>
      <c r="R88" s="17" t="str">
        <f aca="false">IF((E88="d"),H88," ")</f>
        <v> </v>
      </c>
      <c r="S88" s="17" t="str">
        <f aca="false">IF((E88="w"),H88," ")</f>
        <v> </v>
      </c>
      <c r="T88" s="17" t="str">
        <f aca="false">IF((E88="r"),H88," ")</f>
        <v> </v>
      </c>
      <c r="U88" s="17" t="str">
        <f aca="false">IF((E88="p"),H88," ")</f>
        <v> </v>
      </c>
      <c r="V88" s="17" t="str">
        <f aca="false">IF((E88="t"),H88," ")</f>
        <v> </v>
      </c>
      <c r="W88" s="17" t="str">
        <f aca="false">IF((E88="q"),H88," ")</f>
        <v> </v>
      </c>
      <c r="X88" s="17" t="str">
        <f aca="false">IF((E88="m"),H88," ")</f>
        <v> </v>
      </c>
      <c r="Y88" s="17" t="str">
        <f aca="false">IF((E88="u"),H88," ")</f>
        <v> </v>
      </c>
      <c r="Z88" s="17" t="str">
        <f aca="false">IF((E88="a"),H88," ")</f>
        <v> </v>
      </c>
      <c r="AA88" s="17" t="str">
        <f aca="false">IF((E88="g"),H88," ")</f>
        <v> </v>
      </c>
      <c r="AB88" s="17" t="str">
        <f aca="false">IF((E88="h"),H88," ")</f>
        <v> </v>
      </c>
      <c r="AC88" s="30" t="str">
        <f aca="false">IF((E88="v"),H88," ")</f>
        <v> </v>
      </c>
      <c r="AD88" s="30" t="str">
        <f aca="false">IF((E88="n"),H88," ")</f>
        <v> </v>
      </c>
      <c r="AE88" s="17" t="str">
        <f aca="false">IF((E88="f"),H88," ")</f>
        <v> </v>
      </c>
      <c r="AF88" s="17" t="str">
        <f aca="false">IF((E88="l"),H88," ")</f>
        <v> </v>
      </c>
      <c r="AG88" s="17" t="str">
        <f aca="false">IF((E88="y"),H88," ")</f>
        <v> </v>
      </c>
      <c r="AH88" s="17" t="str">
        <f aca="false">IF((E88="z"),H88," ")</f>
        <v> </v>
      </c>
      <c r="AI88" s="17" t="str">
        <f aca="false">IF((E88="fa"),H88," ")</f>
        <v> </v>
      </c>
      <c r="AJ88" s="17" t="str">
        <f aca="false">IF((E88="e"),H88," ")</f>
        <v> </v>
      </c>
    </row>
    <row r="89" customFormat="false" ht="12" hidden="false" customHeight="false" outlineLevel="0" collapsed="false">
      <c r="A89" s="28"/>
      <c r="E89" s="2" t="str">
        <f aca="false">IF((F89&lt;&gt;0),"Enter Letter"," ")</f>
        <v> </v>
      </c>
      <c r="F89" s="30"/>
      <c r="G89" s="6" t="str">
        <f aca="false">IF(F89&lt;&gt;0,F89*G$2/(100+G$2)," ")</f>
        <v> </v>
      </c>
      <c r="H89" s="6" t="str">
        <f aca="false">IF((F89&lt;&gt;0),F89-G89," ")</f>
        <v> </v>
      </c>
      <c r="I89" s="5"/>
      <c r="L89" s="7" t="str">
        <f aca="false">IF(F89&lt;&gt;0,F89-K89," ")</f>
        <v> </v>
      </c>
      <c r="M89" s="8" t="str">
        <f aca="false">IF((F89-K89)&lt;&gt;0,M$1-A89," ")</f>
        <v> </v>
      </c>
      <c r="N89" s="5"/>
      <c r="O89" s="17" t="str">
        <f aca="false">IF((E89="s"),H89," ")</f>
        <v> </v>
      </c>
      <c r="P89" s="17" t="str">
        <f aca="false">IF((E89="c"),H89," ")</f>
        <v> </v>
      </c>
      <c r="Q89" s="17" t="str">
        <f aca="false">IF((E89="o"),H89," ")</f>
        <v> </v>
      </c>
      <c r="R89" s="17" t="str">
        <f aca="false">IF((E89="d"),H89," ")</f>
        <v> </v>
      </c>
      <c r="S89" s="17" t="str">
        <f aca="false">IF((E89="w"),H89," ")</f>
        <v> </v>
      </c>
      <c r="T89" s="17" t="str">
        <f aca="false">IF((E89="r"),H89," ")</f>
        <v> </v>
      </c>
      <c r="U89" s="17" t="str">
        <f aca="false">IF((E89="p"),H89," ")</f>
        <v> </v>
      </c>
      <c r="V89" s="17" t="str">
        <f aca="false">IF((E89="t"),H89," ")</f>
        <v> </v>
      </c>
      <c r="W89" s="17" t="str">
        <f aca="false">IF((E89="q"),H89," ")</f>
        <v> </v>
      </c>
      <c r="X89" s="17" t="str">
        <f aca="false">IF((E89="m"),H89," ")</f>
        <v> </v>
      </c>
      <c r="Y89" s="17" t="str">
        <f aca="false">IF((E89="u"),H89," ")</f>
        <v> </v>
      </c>
      <c r="Z89" s="17" t="str">
        <f aca="false">IF((E89="a"),H89," ")</f>
        <v> </v>
      </c>
      <c r="AA89" s="17" t="str">
        <f aca="false">IF((E89="g"),H89," ")</f>
        <v> </v>
      </c>
      <c r="AB89" s="17" t="str">
        <f aca="false">IF((E89="h"),H89," ")</f>
        <v> </v>
      </c>
      <c r="AC89" s="30" t="str">
        <f aca="false">IF((E89="v"),H89," ")</f>
        <v> </v>
      </c>
      <c r="AD89" s="30" t="str">
        <f aca="false">IF((E89="n"),H89," ")</f>
        <v> </v>
      </c>
      <c r="AE89" s="17" t="str">
        <f aca="false">IF((E89="f"),H89," ")</f>
        <v> </v>
      </c>
      <c r="AF89" s="17" t="str">
        <f aca="false">IF((E89="l"),H89," ")</f>
        <v> </v>
      </c>
      <c r="AG89" s="17" t="str">
        <f aca="false">IF((E89="y"),H89," ")</f>
        <v> </v>
      </c>
      <c r="AH89" s="17" t="str">
        <f aca="false">IF((E89="z"),H89," ")</f>
        <v> </v>
      </c>
      <c r="AI89" s="17" t="str">
        <f aca="false">IF((E89="fa"),H89," ")</f>
        <v> </v>
      </c>
      <c r="AJ89" s="17" t="str">
        <f aca="false">IF((E89="e"),H89," ")</f>
        <v> </v>
      </c>
    </row>
    <row r="90" customFormat="false" ht="12" hidden="false" customHeight="false" outlineLevel="0" collapsed="false">
      <c r="A90" s="28"/>
      <c r="E90" s="2" t="str">
        <f aca="false">IF((F90&lt;&gt;0),"Enter Letter"," ")</f>
        <v> </v>
      </c>
      <c r="F90" s="30"/>
      <c r="G90" s="6" t="str">
        <f aca="false">IF(F90&lt;&gt;0,F90*G$2/(100+G$2)," ")</f>
        <v> </v>
      </c>
      <c r="H90" s="6" t="str">
        <f aca="false">IF((F90&lt;&gt;0),F90-G90," ")</f>
        <v> </v>
      </c>
      <c r="I90" s="5"/>
      <c r="L90" s="7" t="str">
        <f aca="false">IF(F90&lt;&gt;0,F90-K90," ")</f>
        <v> </v>
      </c>
      <c r="M90" s="8" t="str">
        <f aca="false">IF((F90-K90)&lt;&gt;0,M$1-A90," ")</f>
        <v> </v>
      </c>
      <c r="N90" s="5"/>
      <c r="O90" s="17" t="str">
        <f aca="false">IF((E90="s"),H90," ")</f>
        <v> </v>
      </c>
      <c r="P90" s="17" t="str">
        <f aca="false">IF((E90="c"),H90," ")</f>
        <v> </v>
      </c>
      <c r="Q90" s="17" t="str">
        <f aca="false">IF((E90="o"),H90," ")</f>
        <v> </v>
      </c>
      <c r="R90" s="17" t="str">
        <f aca="false">IF((E90="d"),H90," ")</f>
        <v> </v>
      </c>
      <c r="S90" s="17" t="str">
        <f aca="false">IF((E90="w"),H90," ")</f>
        <v> </v>
      </c>
      <c r="T90" s="17" t="str">
        <f aca="false">IF((E90="r"),H90," ")</f>
        <v> </v>
      </c>
      <c r="U90" s="17" t="str">
        <f aca="false">IF((E90="p"),H90," ")</f>
        <v> </v>
      </c>
      <c r="V90" s="17" t="str">
        <f aca="false">IF((E90="t"),H90," ")</f>
        <v> </v>
      </c>
      <c r="W90" s="17" t="str">
        <f aca="false">IF((E90="q"),H90," ")</f>
        <v> </v>
      </c>
      <c r="X90" s="17" t="str">
        <f aca="false">IF((E90="m"),H90," ")</f>
        <v> </v>
      </c>
      <c r="Y90" s="17" t="str">
        <f aca="false">IF((E90="u"),H90," ")</f>
        <v> </v>
      </c>
      <c r="Z90" s="17" t="str">
        <f aca="false">IF((E90="a"),H90," ")</f>
        <v> </v>
      </c>
      <c r="AA90" s="17" t="str">
        <f aca="false">IF((E90="g"),H90," ")</f>
        <v> </v>
      </c>
      <c r="AB90" s="17" t="str">
        <f aca="false">IF((E90="h"),H90," ")</f>
        <v> </v>
      </c>
      <c r="AC90" s="30" t="str">
        <f aca="false">IF((E90="v"),H90," ")</f>
        <v> </v>
      </c>
      <c r="AD90" s="30" t="str">
        <f aca="false">IF((E90="n"),H90," ")</f>
        <v> </v>
      </c>
      <c r="AE90" s="17" t="str">
        <f aca="false">IF((E90="f"),H90," ")</f>
        <v> </v>
      </c>
      <c r="AF90" s="17" t="str">
        <f aca="false">IF((E90="l"),H90," ")</f>
        <v> </v>
      </c>
      <c r="AG90" s="17" t="str">
        <f aca="false">IF((E90="y"),H90," ")</f>
        <v> </v>
      </c>
      <c r="AH90" s="17" t="str">
        <f aca="false">IF((E90="z"),H90," ")</f>
        <v> </v>
      </c>
      <c r="AI90" s="17" t="str">
        <f aca="false">IF((E90="fa"),H90," ")</f>
        <v> </v>
      </c>
      <c r="AJ90" s="17" t="str">
        <f aca="false">IF((E90="e"),H90," ")</f>
        <v> </v>
      </c>
    </row>
    <row r="91" customFormat="false" ht="12" hidden="false" customHeight="false" outlineLevel="0" collapsed="false">
      <c r="A91" s="28"/>
      <c r="E91" s="2" t="str">
        <f aca="false">IF((F91&lt;&gt;0),"Enter Letter"," ")</f>
        <v> </v>
      </c>
      <c r="F91" s="30"/>
      <c r="G91" s="6" t="str">
        <f aca="false">IF(F91&lt;&gt;0,F91*G$2/(100+G$2)," ")</f>
        <v> </v>
      </c>
      <c r="H91" s="6" t="str">
        <f aca="false">IF((F91&lt;&gt;0),F91-G91," ")</f>
        <v> </v>
      </c>
      <c r="I91" s="5"/>
      <c r="L91" s="7" t="str">
        <f aca="false">IF(F91&lt;&gt;0,F91-K91," ")</f>
        <v> </v>
      </c>
      <c r="M91" s="8" t="str">
        <f aca="false">IF((F91-K91)&lt;&gt;0,M$1-A91," ")</f>
        <v> </v>
      </c>
      <c r="N91" s="5"/>
      <c r="O91" s="17" t="str">
        <f aca="false">IF((E91="s"),H91," ")</f>
        <v> </v>
      </c>
      <c r="P91" s="17" t="str">
        <f aca="false">IF((E91="c"),H91," ")</f>
        <v> </v>
      </c>
      <c r="Q91" s="17" t="str">
        <f aca="false">IF((E91="o"),H91," ")</f>
        <v> </v>
      </c>
      <c r="R91" s="17" t="str">
        <f aca="false">IF((E91="d"),H91," ")</f>
        <v> </v>
      </c>
      <c r="S91" s="17" t="str">
        <f aca="false">IF((E91="w"),H91," ")</f>
        <v> </v>
      </c>
      <c r="T91" s="17" t="str">
        <f aca="false">IF((E91="r"),H91," ")</f>
        <v> </v>
      </c>
      <c r="U91" s="17" t="str">
        <f aca="false">IF((E91="p"),H91," ")</f>
        <v> </v>
      </c>
      <c r="V91" s="17" t="str">
        <f aca="false">IF((E91="t"),H91," ")</f>
        <v> </v>
      </c>
      <c r="W91" s="17" t="str">
        <f aca="false">IF((E91="q"),H91," ")</f>
        <v> </v>
      </c>
      <c r="X91" s="17" t="str">
        <f aca="false">IF((E91="m"),H91," ")</f>
        <v> </v>
      </c>
      <c r="Y91" s="17" t="str">
        <f aca="false">IF((E91="u"),H91," ")</f>
        <v> </v>
      </c>
      <c r="Z91" s="17" t="str">
        <f aca="false">IF((E91="a"),H91," ")</f>
        <v> </v>
      </c>
      <c r="AA91" s="17" t="str">
        <f aca="false">IF((E91="g"),H91," ")</f>
        <v> </v>
      </c>
      <c r="AB91" s="17" t="str">
        <f aca="false">IF((E91="h"),H91," ")</f>
        <v> </v>
      </c>
      <c r="AC91" s="30" t="str">
        <f aca="false">IF((E91="v"),H91," ")</f>
        <v> </v>
      </c>
      <c r="AD91" s="30" t="str">
        <f aca="false">IF((E91="n"),H91," ")</f>
        <v> </v>
      </c>
      <c r="AE91" s="17" t="str">
        <f aca="false">IF((E91="f"),H91," ")</f>
        <v> </v>
      </c>
      <c r="AF91" s="17" t="str">
        <f aca="false">IF((E91="l"),H91," ")</f>
        <v> </v>
      </c>
      <c r="AG91" s="17" t="str">
        <f aca="false">IF((E91="y"),H91," ")</f>
        <v> </v>
      </c>
      <c r="AH91" s="17" t="str">
        <f aca="false">IF((E91="z"),H91," ")</f>
        <v> </v>
      </c>
      <c r="AI91" s="17" t="str">
        <f aca="false">IF((E91="fa"),H91," ")</f>
        <v> </v>
      </c>
      <c r="AJ91" s="17" t="str">
        <f aca="false">IF((E91="e"),H91," ")</f>
        <v> </v>
      </c>
    </row>
    <row r="92" customFormat="false" ht="12" hidden="false" customHeight="false" outlineLevel="0" collapsed="false">
      <c r="A92" s="28"/>
      <c r="E92" s="2" t="str">
        <f aca="false">IF((F92&lt;&gt;0),"Enter Letter"," ")</f>
        <v> </v>
      </c>
      <c r="F92" s="30"/>
      <c r="G92" s="6" t="str">
        <f aca="false">IF(F92&lt;&gt;0,F92*G$2/(100+G$2)," ")</f>
        <v> </v>
      </c>
      <c r="H92" s="6" t="str">
        <f aca="false">IF((F92&lt;&gt;0),F92-G92," ")</f>
        <v> </v>
      </c>
      <c r="I92" s="5"/>
      <c r="L92" s="7" t="str">
        <f aca="false">IF(F92&lt;&gt;0,F92-K92," ")</f>
        <v> </v>
      </c>
      <c r="M92" s="8" t="str">
        <f aca="false">IF((F92-K92)&lt;&gt;0,M$1-A92," ")</f>
        <v> </v>
      </c>
      <c r="N92" s="5"/>
      <c r="O92" s="17" t="str">
        <f aca="false">IF((E92="s"),H92," ")</f>
        <v> </v>
      </c>
      <c r="P92" s="17" t="str">
        <f aca="false">IF((E92="c"),H92," ")</f>
        <v> </v>
      </c>
      <c r="Q92" s="17" t="str">
        <f aca="false">IF((E92="o"),H92," ")</f>
        <v> </v>
      </c>
      <c r="R92" s="17" t="str">
        <f aca="false">IF((E92="d"),H92," ")</f>
        <v> </v>
      </c>
      <c r="S92" s="17" t="str">
        <f aca="false">IF((E92="w"),H92," ")</f>
        <v> </v>
      </c>
      <c r="T92" s="17" t="str">
        <f aca="false">IF((E92="r"),H92," ")</f>
        <v> </v>
      </c>
      <c r="U92" s="17" t="str">
        <f aca="false">IF((E92="p"),H92," ")</f>
        <v> </v>
      </c>
      <c r="V92" s="17" t="str">
        <f aca="false">IF((E92="t"),H92," ")</f>
        <v> </v>
      </c>
      <c r="W92" s="17" t="str">
        <f aca="false">IF((E92="q"),H92," ")</f>
        <v> </v>
      </c>
      <c r="X92" s="17" t="str">
        <f aca="false">IF((E92="m"),H92," ")</f>
        <v> </v>
      </c>
      <c r="Y92" s="17" t="str">
        <f aca="false">IF((E92="u"),H92," ")</f>
        <v> </v>
      </c>
      <c r="Z92" s="17" t="str">
        <f aca="false">IF((E92="a"),H92," ")</f>
        <v> </v>
      </c>
      <c r="AA92" s="17" t="str">
        <f aca="false">IF((E92="g"),H92," ")</f>
        <v> </v>
      </c>
      <c r="AB92" s="17" t="str">
        <f aca="false">IF((E92="h"),H92," ")</f>
        <v> </v>
      </c>
      <c r="AC92" s="30" t="str">
        <f aca="false">IF((E92="v"),H92," ")</f>
        <v> </v>
      </c>
      <c r="AD92" s="30" t="str">
        <f aca="false">IF((E92="n"),H92," ")</f>
        <v> </v>
      </c>
      <c r="AE92" s="17" t="str">
        <f aca="false">IF((E92="f"),H92," ")</f>
        <v> </v>
      </c>
      <c r="AF92" s="17" t="str">
        <f aca="false">IF((E92="l"),H92," ")</f>
        <v> </v>
      </c>
      <c r="AG92" s="17" t="str">
        <f aca="false">IF((E92="y"),H92," ")</f>
        <v> </v>
      </c>
      <c r="AH92" s="17" t="str">
        <f aca="false">IF((E92="z"),H92," ")</f>
        <v> </v>
      </c>
      <c r="AI92" s="17" t="str">
        <f aca="false">IF((E92="fa"),H92," ")</f>
        <v> </v>
      </c>
      <c r="AJ92" s="17" t="str">
        <f aca="false">IF((E92="e"),H92," ")</f>
        <v> </v>
      </c>
    </row>
    <row r="93" customFormat="false" ht="12" hidden="false" customHeight="false" outlineLevel="0" collapsed="false">
      <c r="A93" s="28"/>
      <c r="E93" s="2" t="str">
        <f aca="false">IF((F93&lt;&gt;0),"Enter Letter"," ")</f>
        <v> </v>
      </c>
      <c r="F93" s="30"/>
      <c r="G93" s="6" t="str">
        <f aca="false">IF(F93&lt;&gt;0,F93*G$2/(100+G$2)," ")</f>
        <v> </v>
      </c>
      <c r="H93" s="6" t="str">
        <f aca="false">IF((F93&lt;&gt;0),F93-G93," ")</f>
        <v> </v>
      </c>
      <c r="I93" s="5"/>
      <c r="L93" s="7" t="str">
        <f aca="false">IF(F93&lt;&gt;0,F93-K93," ")</f>
        <v> </v>
      </c>
      <c r="M93" s="8" t="str">
        <f aca="false">IF((F93-K93)&lt;&gt;0,M$1-A93," ")</f>
        <v> </v>
      </c>
      <c r="N93" s="5"/>
      <c r="O93" s="17" t="str">
        <f aca="false">IF((E93="s"),H93," ")</f>
        <v> </v>
      </c>
      <c r="P93" s="17" t="str">
        <f aca="false">IF((E93="c"),H93," ")</f>
        <v> </v>
      </c>
      <c r="Q93" s="17" t="str">
        <f aca="false">IF((E93="o"),H93," ")</f>
        <v> </v>
      </c>
      <c r="R93" s="17" t="str">
        <f aca="false">IF((E93="d"),H93," ")</f>
        <v> </v>
      </c>
      <c r="S93" s="17" t="str">
        <f aca="false">IF((E93="w"),H93," ")</f>
        <v> </v>
      </c>
      <c r="T93" s="17" t="str">
        <f aca="false">IF((E93="r"),H93," ")</f>
        <v> </v>
      </c>
      <c r="U93" s="17" t="str">
        <f aca="false">IF((E93="p"),H93," ")</f>
        <v> </v>
      </c>
      <c r="V93" s="17" t="str">
        <f aca="false">IF((E93="t"),H93," ")</f>
        <v> </v>
      </c>
      <c r="W93" s="17" t="str">
        <f aca="false">IF((E93="q"),H93," ")</f>
        <v> </v>
      </c>
      <c r="X93" s="17" t="str">
        <f aca="false">IF((E93="m"),H93," ")</f>
        <v> </v>
      </c>
      <c r="Y93" s="17" t="str">
        <f aca="false">IF((E93="u"),H93," ")</f>
        <v> </v>
      </c>
      <c r="Z93" s="17" t="str">
        <f aca="false">IF((E93="a"),H93," ")</f>
        <v> </v>
      </c>
      <c r="AA93" s="17" t="str">
        <f aca="false">IF((E93="g"),H93," ")</f>
        <v> </v>
      </c>
      <c r="AB93" s="17" t="str">
        <f aca="false">IF((E93="h"),H93," ")</f>
        <v> </v>
      </c>
      <c r="AC93" s="30" t="str">
        <f aca="false">IF((E93="v"),H93," ")</f>
        <v> </v>
      </c>
      <c r="AD93" s="30" t="str">
        <f aca="false">IF((E93="n"),H93," ")</f>
        <v> </v>
      </c>
      <c r="AE93" s="17" t="str">
        <f aca="false">IF((E93="f"),H93," ")</f>
        <v> </v>
      </c>
      <c r="AF93" s="17" t="str">
        <f aca="false">IF((E93="l"),H93," ")</f>
        <v> </v>
      </c>
      <c r="AG93" s="17" t="str">
        <f aca="false">IF((E93="y"),H93," ")</f>
        <v> </v>
      </c>
      <c r="AH93" s="17" t="str">
        <f aca="false">IF((E93="z"),H93," ")</f>
        <v> </v>
      </c>
      <c r="AI93" s="17" t="str">
        <f aca="false">IF((E93="fa"),H93," ")</f>
        <v> </v>
      </c>
      <c r="AJ93" s="17" t="str">
        <f aca="false">IF((E93="e"),H93," ")</f>
        <v> </v>
      </c>
    </row>
    <row r="94" customFormat="false" ht="12" hidden="false" customHeight="false" outlineLevel="0" collapsed="false">
      <c r="A94" s="28"/>
      <c r="E94" s="2" t="str">
        <f aca="false">IF((F94&lt;&gt;0),"Enter Letter"," ")</f>
        <v> </v>
      </c>
      <c r="F94" s="30"/>
      <c r="G94" s="6" t="str">
        <f aca="false">IF(F94&lt;&gt;0,F94*G$2/(100+G$2)," ")</f>
        <v> </v>
      </c>
      <c r="H94" s="6" t="str">
        <f aca="false">IF((F94&lt;&gt;0),F94-G94," ")</f>
        <v> </v>
      </c>
      <c r="I94" s="5"/>
      <c r="L94" s="7" t="str">
        <f aca="false">IF(F94&lt;&gt;0,F94-K94," ")</f>
        <v> </v>
      </c>
      <c r="M94" s="8" t="str">
        <f aca="false">IF((F94-K94)&lt;&gt;0,M$1-A94," ")</f>
        <v> </v>
      </c>
      <c r="N94" s="5"/>
      <c r="O94" s="17" t="str">
        <f aca="false">IF((E94="s"),H94," ")</f>
        <v> </v>
      </c>
      <c r="P94" s="17" t="str">
        <f aca="false">IF((E94="c"),H94," ")</f>
        <v> </v>
      </c>
      <c r="Q94" s="17" t="str">
        <f aca="false">IF((E94="o"),H94," ")</f>
        <v> </v>
      </c>
      <c r="R94" s="17" t="str">
        <f aca="false">IF((E94="d"),H94," ")</f>
        <v> </v>
      </c>
      <c r="S94" s="17" t="str">
        <f aca="false">IF((E94="w"),H94," ")</f>
        <v> </v>
      </c>
      <c r="T94" s="17" t="str">
        <f aca="false">IF((E94="r"),H94," ")</f>
        <v> </v>
      </c>
      <c r="U94" s="17" t="str">
        <f aca="false">IF((E94="p"),H94," ")</f>
        <v> </v>
      </c>
      <c r="V94" s="17" t="str">
        <f aca="false">IF((E94="t"),H94," ")</f>
        <v> </v>
      </c>
      <c r="W94" s="17" t="str">
        <f aca="false">IF((E94="q"),H94," ")</f>
        <v> </v>
      </c>
      <c r="X94" s="17" t="str">
        <f aca="false">IF((E94="m"),H94," ")</f>
        <v> </v>
      </c>
      <c r="Y94" s="17" t="str">
        <f aca="false">IF((E94="u"),H94," ")</f>
        <v> </v>
      </c>
      <c r="Z94" s="17" t="str">
        <f aca="false">IF((E94="a"),H94," ")</f>
        <v> </v>
      </c>
      <c r="AA94" s="17" t="str">
        <f aca="false">IF((E94="g"),H94," ")</f>
        <v> </v>
      </c>
      <c r="AB94" s="17" t="str">
        <f aca="false">IF((E94="h"),H94," ")</f>
        <v> </v>
      </c>
      <c r="AC94" s="30" t="str">
        <f aca="false">IF((E94="v"),H94," ")</f>
        <v> </v>
      </c>
      <c r="AD94" s="30" t="str">
        <f aca="false">IF((E94="n"),H94," ")</f>
        <v> </v>
      </c>
      <c r="AE94" s="17" t="str">
        <f aca="false">IF((E94="f"),H94," ")</f>
        <v> </v>
      </c>
      <c r="AF94" s="17" t="str">
        <f aca="false">IF((E94="l"),H94," ")</f>
        <v> </v>
      </c>
      <c r="AG94" s="17" t="str">
        <f aca="false">IF((E94="y"),H94," ")</f>
        <v> </v>
      </c>
      <c r="AH94" s="17" t="str">
        <f aca="false">IF((E94="z"),H94," ")</f>
        <v> </v>
      </c>
      <c r="AI94" s="17" t="str">
        <f aca="false">IF((E94="fa"),H94," ")</f>
        <v> </v>
      </c>
      <c r="AJ94" s="17" t="str">
        <f aca="false">IF((E94="e"),H94," ")</f>
        <v> </v>
      </c>
    </row>
    <row r="95" customFormat="false" ht="12" hidden="false" customHeight="false" outlineLevel="0" collapsed="false">
      <c r="A95" s="28"/>
      <c r="E95" s="2" t="str">
        <f aca="false">IF((F95&lt;&gt;0),"Enter Letter"," ")</f>
        <v> </v>
      </c>
      <c r="F95" s="30"/>
      <c r="G95" s="6" t="str">
        <f aca="false">IF(F95&lt;&gt;0,F95*G$2/(100+G$2)," ")</f>
        <v> </v>
      </c>
      <c r="H95" s="6" t="str">
        <f aca="false">IF((F95&lt;&gt;0),F95-G95," ")</f>
        <v> </v>
      </c>
      <c r="I95" s="5"/>
      <c r="L95" s="7" t="str">
        <f aca="false">IF(F95&lt;&gt;0,F95-K95," ")</f>
        <v> </v>
      </c>
      <c r="M95" s="8" t="str">
        <f aca="false">IF((F95-K95)&lt;&gt;0,M$1-A95," ")</f>
        <v> </v>
      </c>
      <c r="N95" s="5"/>
      <c r="O95" s="17" t="str">
        <f aca="false">IF((E95="s"),H95," ")</f>
        <v> </v>
      </c>
      <c r="P95" s="17" t="str">
        <f aca="false">IF((E95="c"),H95," ")</f>
        <v> </v>
      </c>
      <c r="Q95" s="17" t="str">
        <f aca="false">IF((E95="o"),H95," ")</f>
        <v> </v>
      </c>
      <c r="R95" s="17" t="str">
        <f aca="false">IF((E95="d"),H95," ")</f>
        <v> </v>
      </c>
      <c r="S95" s="17" t="str">
        <f aca="false">IF((E95="w"),H95," ")</f>
        <v> </v>
      </c>
      <c r="T95" s="17" t="str">
        <f aca="false">IF((E95="r"),H95," ")</f>
        <v> </v>
      </c>
      <c r="U95" s="17" t="str">
        <f aca="false">IF((E95="p"),H95," ")</f>
        <v> </v>
      </c>
      <c r="V95" s="17" t="str">
        <f aca="false">IF((E95="t"),H95," ")</f>
        <v> </v>
      </c>
      <c r="W95" s="17" t="str">
        <f aca="false">IF((E95="q"),H95," ")</f>
        <v> </v>
      </c>
      <c r="X95" s="17" t="str">
        <f aca="false">IF((E95="m"),H95," ")</f>
        <v> </v>
      </c>
      <c r="Y95" s="17" t="str">
        <f aca="false">IF((E95="u"),H95," ")</f>
        <v> </v>
      </c>
      <c r="Z95" s="17" t="str">
        <f aca="false">IF((E95="a"),H95," ")</f>
        <v> </v>
      </c>
      <c r="AA95" s="17" t="str">
        <f aca="false">IF((E95="g"),H95," ")</f>
        <v> </v>
      </c>
      <c r="AB95" s="17" t="str">
        <f aca="false">IF((E95="h"),H95," ")</f>
        <v> </v>
      </c>
      <c r="AC95" s="30" t="str">
        <f aca="false">IF((E95="v"),H95," ")</f>
        <v> </v>
      </c>
      <c r="AD95" s="30" t="str">
        <f aca="false">IF((E95="n"),H95," ")</f>
        <v> </v>
      </c>
      <c r="AE95" s="17" t="str">
        <f aca="false">IF((E95="f"),H95," ")</f>
        <v> </v>
      </c>
      <c r="AF95" s="17" t="str">
        <f aca="false">IF((E95="l"),H95," ")</f>
        <v> </v>
      </c>
      <c r="AG95" s="17" t="str">
        <f aca="false">IF((E95="y"),H95," ")</f>
        <v> </v>
      </c>
      <c r="AH95" s="17" t="str">
        <f aca="false">IF((E95="z"),H95," ")</f>
        <v> </v>
      </c>
      <c r="AI95" s="17" t="str">
        <f aca="false">IF((E95="fa"),H95," ")</f>
        <v> </v>
      </c>
      <c r="AJ95" s="17" t="str">
        <f aca="false">IF((E95="e"),H95," ")</f>
        <v> </v>
      </c>
    </row>
    <row r="96" customFormat="false" ht="12" hidden="false" customHeight="false" outlineLevel="0" collapsed="false">
      <c r="A96" s="28"/>
      <c r="E96" s="2" t="str">
        <f aca="false">IF((F96&lt;&gt;0),"Enter Letter"," ")</f>
        <v> </v>
      </c>
      <c r="F96" s="30"/>
      <c r="G96" s="6" t="str">
        <f aca="false">IF(F96&lt;&gt;0,F96*G$2/(100+G$2)," ")</f>
        <v> </v>
      </c>
      <c r="H96" s="6" t="str">
        <f aca="false">IF((F96&lt;&gt;0),F96-G96," ")</f>
        <v> </v>
      </c>
      <c r="I96" s="5"/>
      <c r="L96" s="7" t="str">
        <f aca="false">IF(F96&lt;&gt;0,F96-K96," ")</f>
        <v> </v>
      </c>
      <c r="M96" s="8" t="str">
        <f aca="false">IF((F96-K96)&lt;&gt;0,M$1-A96," ")</f>
        <v> </v>
      </c>
      <c r="N96" s="5"/>
      <c r="O96" s="17" t="str">
        <f aca="false">IF((E96="s"),H96," ")</f>
        <v> </v>
      </c>
      <c r="P96" s="17" t="str">
        <f aca="false">IF((E96="c"),H96," ")</f>
        <v> </v>
      </c>
      <c r="Q96" s="17" t="str">
        <f aca="false">IF((E96="o"),H96," ")</f>
        <v> </v>
      </c>
      <c r="R96" s="17" t="str">
        <f aca="false">IF((E96="d"),H96," ")</f>
        <v> </v>
      </c>
      <c r="S96" s="17" t="str">
        <f aca="false">IF((E96="w"),H96," ")</f>
        <v> </v>
      </c>
      <c r="T96" s="17" t="str">
        <f aca="false">IF((E96="r"),H96," ")</f>
        <v> </v>
      </c>
      <c r="U96" s="17" t="str">
        <f aca="false">IF((E96="p"),H96," ")</f>
        <v> </v>
      </c>
      <c r="V96" s="17" t="str">
        <f aca="false">IF((E96="t"),H96," ")</f>
        <v> </v>
      </c>
      <c r="W96" s="17" t="str">
        <f aca="false">IF((E96="q"),H96," ")</f>
        <v> </v>
      </c>
      <c r="X96" s="17" t="str">
        <f aca="false">IF((E96="m"),H96," ")</f>
        <v> </v>
      </c>
      <c r="Y96" s="17" t="str">
        <f aca="false">IF((E96="u"),H96," ")</f>
        <v> </v>
      </c>
      <c r="Z96" s="17" t="str">
        <f aca="false">IF((E96="a"),H96," ")</f>
        <v> </v>
      </c>
      <c r="AA96" s="17" t="str">
        <f aca="false">IF((E96="g"),H96," ")</f>
        <v> </v>
      </c>
      <c r="AB96" s="17" t="str">
        <f aca="false">IF((E96="h"),H96," ")</f>
        <v> </v>
      </c>
      <c r="AC96" s="30" t="str">
        <f aca="false">IF((E96="v"),H96," ")</f>
        <v> </v>
      </c>
      <c r="AD96" s="30" t="str">
        <f aca="false">IF((E96="n"),H96," ")</f>
        <v> </v>
      </c>
      <c r="AE96" s="17" t="str">
        <f aca="false">IF((E96="f"),H96," ")</f>
        <v> </v>
      </c>
      <c r="AF96" s="17" t="str">
        <f aca="false">IF((E96="l"),H96," ")</f>
        <v> </v>
      </c>
      <c r="AG96" s="17" t="str">
        <f aca="false">IF((E96="y"),H96," ")</f>
        <v> </v>
      </c>
      <c r="AH96" s="17" t="str">
        <f aca="false">IF((E96="z"),H96," ")</f>
        <v> </v>
      </c>
      <c r="AI96" s="17" t="str">
        <f aca="false">IF((E96="fa"),H96," ")</f>
        <v> </v>
      </c>
      <c r="AJ96" s="17" t="str">
        <f aca="false">IF((E96="e"),H96," ")</f>
        <v> </v>
      </c>
    </row>
    <row r="97" customFormat="false" ht="12" hidden="false" customHeight="false" outlineLevel="0" collapsed="false">
      <c r="A97" s="28"/>
      <c r="E97" s="2" t="str">
        <f aca="false">IF((F97&lt;&gt;0),"Enter Letter"," ")</f>
        <v> </v>
      </c>
      <c r="F97" s="30"/>
      <c r="G97" s="6" t="str">
        <f aca="false">IF(F97&lt;&gt;0,F97*G$2/(100+G$2)," ")</f>
        <v> </v>
      </c>
      <c r="H97" s="6" t="str">
        <f aca="false">IF((F97&lt;&gt;0),F97-G97," ")</f>
        <v> </v>
      </c>
      <c r="I97" s="5"/>
      <c r="L97" s="7" t="str">
        <f aca="false">IF(F97&lt;&gt;0,F97-K97," ")</f>
        <v> </v>
      </c>
      <c r="M97" s="8" t="str">
        <f aca="false">IF((F97-K97)&lt;&gt;0,M$1-A97," ")</f>
        <v> </v>
      </c>
      <c r="N97" s="5"/>
      <c r="O97" s="17" t="str">
        <f aca="false">IF((E97="s"),H97," ")</f>
        <v> </v>
      </c>
      <c r="P97" s="17" t="str">
        <f aca="false">IF((E97="c"),H97," ")</f>
        <v> </v>
      </c>
      <c r="Q97" s="17" t="str">
        <f aca="false">IF((E97="o"),H97," ")</f>
        <v> </v>
      </c>
      <c r="R97" s="17" t="str">
        <f aca="false">IF((E97="d"),H97," ")</f>
        <v> </v>
      </c>
      <c r="S97" s="17" t="str">
        <f aca="false">IF((E97="w"),H97," ")</f>
        <v> </v>
      </c>
      <c r="T97" s="17" t="str">
        <f aca="false">IF((E97="r"),H97," ")</f>
        <v> </v>
      </c>
      <c r="U97" s="17" t="str">
        <f aca="false">IF((E97="p"),H97," ")</f>
        <v> </v>
      </c>
      <c r="V97" s="17" t="str">
        <f aca="false">IF((E97="t"),H97," ")</f>
        <v> </v>
      </c>
      <c r="W97" s="17" t="str">
        <f aca="false">IF((E97="q"),H97," ")</f>
        <v> </v>
      </c>
      <c r="X97" s="17" t="str">
        <f aca="false">IF((E97="m"),H97," ")</f>
        <v> </v>
      </c>
      <c r="Y97" s="17" t="str">
        <f aca="false">IF((E97="u"),H97," ")</f>
        <v> </v>
      </c>
      <c r="Z97" s="17" t="str">
        <f aca="false">IF((E97="a"),H97," ")</f>
        <v> </v>
      </c>
      <c r="AA97" s="17" t="str">
        <f aca="false">IF((E97="g"),H97," ")</f>
        <v> </v>
      </c>
      <c r="AB97" s="17" t="str">
        <f aca="false">IF((E97="h"),H97," ")</f>
        <v> </v>
      </c>
      <c r="AC97" s="30" t="str">
        <f aca="false">IF((E97="v"),H97," ")</f>
        <v> </v>
      </c>
      <c r="AD97" s="30" t="str">
        <f aca="false">IF((E97="n"),H97," ")</f>
        <v> </v>
      </c>
      <c r="AE97" s="17" t="str">
        <f aca="false">IF((E97="f"),H97," ")</f>
        <v> </v>
      </c>
      <c r="AF97" s="17" t="str">
        <f aca="false">IF((E97="l"),H97," ")</f>
        <v> </v>
      </c>
      <c r="AG97" s="17" t="str">
        <f aca="false">IF((E97="y"),H97," ")</f>
        <v> </v>
      </c>
      <c r="AH97" s="17" t="str">
        <f aca="false">IF((E97="z"),H97," ")</f>
        <v> </v>
      </c>
      <c r="AI97" s="17" t="str">
        <f aca="false">IF((E97="fa"),H97," ")</f>
        <v> </v>
      </c>
      <c r="AJ97" s="17" t="str">
        <f aca="false">IF((E97="e"),H97," ")</f>
        <v> </v>
      </c>
    </row>
    <row r="98" customFormat="false" ht="12" hidden="false" customHeight="false" outlineLevel="0" collapsed="false">
      <c r="A98" s="28"/>
      <c r="E98" s="2" t="str">
        <f aca="false">IF((F98&lt;&gt;0),"Enter Letter"," ")</f>
        <v> </v>
      </c>
      <c r="F98" s="30"/>
      <c r="G98" s="6" t="str">
        <f aca="false">IF(F98&lt;&gt;0,F98*G$2/(100+G$2)," ")</f>
        <v> </v>
      </c>
      <c r="H98" s="6" t="str">
        <f aca="false">IF((F98&lt;&gt;0),F98-G98," ")</f>
        <v> </v>
      </c>
      <c r="I98" s="5"/>
      <c r="L98" s="7" t="str">
        <f aca="false">IF(F98&lt;&gt;0,F98-K98," ")</f>
        <v> </v>
      </c>
      <c r="M98" s="8" t="str">
        <f aca="false">IF((F98-K98)&lt;&gt;0,M$1-A98," ")</f>
        <v> </v>
      </c>
      <c r="N98" s="5"/>
      <c r="O98" s="17" t="str">
        <f aca="false">IF((E98="s"),H98," ")</f>
        <v> </v>
      </c>
      <c r="P98" s="17" t="str">
        <f aca="false">IF((E98="c"),H98," ")</f>
        <v> </v>
      </c>
      <c r="Q98" s="17" t="str">
        <f aca="false">IF((E98="o"),H98," ")</f>
        <v> </v>
      </c>
      <c r="R98" s="17" t="str">
        <f aca="false">IF((E98="d"),H98," ")</f>
        <v> </v>
      </c>
      <c r="S98" s="17" t="str">
        <f aca="false">IF((E98="w"),H98," ")</f>
        <v> </v>
      </c>
      <c r="T98" s="17" t="str">
        <f aca="false">IF((E98="r"),H98," ")</f>
        <v> </v>
      </c>
      <c r="U98" s="17" t="str">
        <f aca="false">IF((E98="p"),H98," ")</f>
        <v> </v>
      </c>
      <c r="V98" s="17" t="str">
        <f aca="false">IF((E98="t"),H98," ")</f>
        <v> </v>
      </c>
      <c r="W98" s="17" t="str">
        <f aca="false">IF((E98="q"),H98," ")</f>
        <v> </v>
      </c>
      <c r="X98" s="17" t="str">
        <f aca="false">IF((E98="m"),H98," ")</f>
        <v> </v>
      </c>
      <c r="Y98" s="17" t="str">
        <f aca="false">IF((E98="u"),H98," ")</f>
        <v> </v>
      </c>
      <c r="Z98" s="17" t="str">
        <f aca="false">IF((E98="a"),H98," ")</f>
        <v> </v>
      </c>
      <c r="AA98" s="17" t="str">
        <f aca="false">IF((E98="g"),H98," ")</f>
        <v> </v>
      </c>
      <c r="AB98" s="17" t="str">
        <f aca="false">IF((E98="h"),H98," ")</f>
        <v> </v>
      </c>
      <c r="AC98" s="30" t="str">
        <f aca="false">IF((E98="v"),H98," ")</f>
        <v> </v>
      </c>
      <c r="AD98" s="30" t="str">
        <f aca="false">IF((E98="n"),H98," ")</f>
        <v> </v>
      </c>
      <c r="AE98" s="17" t="str">
        <f aca="false">IF((E98="f"),H98," ")</f>
        <v> </v>
      </c>
      <c r="AF98" s="17" t="str">
        <f aca="false">IF((E98="l"),H98," ")</f>
        <v> </v>
      </c>
      <c r="AG98" s="17" t="str">
        <f aca="false">IF((E98="y"),H98," ")</f>
        <v> </v>
      </c>
      <c r="AH98" s="17" t="str">
        <f aca="false">IF((E98="z"),H98," ")</f>
        <v> </v>
      </c>
      <c r="AI98" s="17" t="str">
        <f aca="false">IF((E98="fa"),H98," ")</f>
        <v> </v>
      </c>
      <c r="AJ98" s="17" t="str">
        <f aca="false">IF((E98="e"),H98," ")</f>
        <v> </v>
      </c>
    </row>
    <row r="99" customFormat="false" ht="12" hidden="false" customHeight="false" outlineLevel="0" collapsed="false">
      <c r="A99" s="28"/>
      <c r="E99" s="2" t="str">
        <f aca="false">IF((F99&lt;&gt;0),"Enter Letter"," ")</f>
        <v> </v>
      </c>
      <c r="F99" s="30"/>
      <c r="G99" s="6" t="str">
        <f aca="false">IF(F99&lt;&gt;0,F99*G$2/(100+G$2)," ")</f>
        <v> </v>
      </c>
      <c r="H99" s="6" t="str">
        <f aca="false">IF((F99&lt;&gt;0),F99-G99," ")</f>
        <v> </v>
      </c>
      <c r="I99" s="5"/>
      <c r="L99" s="7" t="str">
        <f aca="false">IF(F99&lt;&gt;0,F99-K99," ")</f>
        <v> </v>
      </c>
      <c r="M99" s="8" t="str">
        <f aca="false">IF((F99-K99)&lt;&gt;0,M$1-A99," ")</f>
        <v> </v>
      </c>
      <c r="N99" s="5"/>
      <c r="O99" s="17" t="str">
        <f aca="false">IF((E99="s"),H99," ")</f>
        <v> </v>
      </c>
      <c r="P99" s="17" t="str">
        <f aca="false">IF((E99="c"),H99," ")</f>
        <v> </v>
      </c>
      <c r="Q99" s="17" t="str">
        <f aca="false">IF((E99="o"),H99," ")</f>
        <v> </v>
      </c>
      <c r="R99" s="17" t="str">
        <f aca="false">IF((E99="d"),H99," ")</f>
        <v> </v>
      </c>
      <c r="S99" s="17" t="str">
        <f aca="false">IF((E99="w"),H99," ")</f>
        <v> </v>
      </c>
      <c r="T99" s="17" t="str">
        <f aca="false">IF((E99="r"),H99," ")</f>
        <v> </v>
      </c>
      <c r="U99" s="17" t="str">
        <f aca="false">IF((E99="p"),H99," ")</f>
        <v> </v>
      </c>
      <c r="V99" s="17" t="str">
        <f aca="false">IF((E99="t"),H99," ")</f>
        <v> </v>
      </c>
      <c r="W99" s="17" t="str">
        <f aca="false">IF((E99="q"),H99," ")</f>
        <v> </v>
      </c>
      <c r="X99" s="17" t="str">
        <f aca="false">IF((E99="m"),H99," ")</f>
        <v> </v>
      </c>
      <c r="Y99" s="17" t="str">
        <f aca="false">IF((E99="u"),H99," ")</f>
        <v> </v>
      </c>
      <c r="Z99" s="17" t="str">
        <f aca="false">IF((E99="a"),H99," ")</f>
        <v> </v>
      </c>
      <c r="AA99" s="17" t="str">
        <f aca="false">IF((E99="g"),H99," ")</f>
        <v> </v>
      </c>
      <c r="AB99" s="17" t="str">
        <f aca="false">IF((E99="h"),H99," ")</f>
        <v> </v>
      </c>
      <c r="AC99" s="30" t="str">
        <f aca="false">IF((E99="v"),H99," ")</f>
        <v> </v>
      </c>
      <c r="AD99" s="30" t="str">
        <f aca="false">IF((E99="n"),H99," ")</f>
        <v> </v>
      </c>
      <c r="AE99" s="17" t="str">
        <f aca="false">IF((E99="f"),H99," ")</f>
        <v> </v>
      </c>
      <c r="AF99" s="17" t="str">
        <f aca="false">IF((E99="l"),H99," ")</f>
        <v> </v>
      </c>
      <c r="AG99" s="17" t="str">
        <f aca="false">IF((E99="y"),H99," ")</f>
        <v> </v>
      </c>
      <c r="AH99" s="17" t="str">
        <f aca="false">IF((E99="z"),H99," ")</f>
        <v> </v>
      </c>
      <c r="AI99" s="17" t="str">
        <f aca="false">IF((E99="fa"),H99," ")</f>
        <v> </v>
      </c>
      <c r="AJ99" s="17" t="str">
        <f aca="false">IF((E99="e"),H99," ")</f>
        <v> </v>
      </c>
    </row>
    <row r="100" customFormat="false" ht="12" hidden="false" customHeight="false" outlineLevel="0" collapsed="false">
      <c r="A100" s="28"/>
      <c r="E100" s="2" t="str">
        <f aca="false">IF((F100&lt;&gt;0),"Enter Letter"," ")</f>
        <v> </v>
      </c>
      <c r="F100" s="30"/>
      <c r="G100" s="6" t="str">
        <f aca="false">IF(F100&lt;&gt;0,F100*G$2/(100+G$2)," ")</f>
        <v> </v>
      </c>
      <c r="H100" s="6" t="str">
        <f aca="false">IF((F100&lt;&gt;0),F100-G100," ")</f>
        <v> </v>
      </c>
      <c r="I100" s="5"/>
      <c r="L100" s="7" t="str">
        <f aca="false">IF(F100&lt;&gt;0,F100-K100," ")</f>
        <v> </v>
      </c>
      <c r="M100" s="8" t="str">
        <f aca="false">IF((F100-K100)&lt;&gt;0,M$1-A100," ")</f>
        <v> </v>
      </c>
      <c r="N100" s="5"/>
      <c r="O100" s="17" t="str">
        <f aca="false">IF((E100="s"),H100," ")</f>
        <v> </v>
      </c>
      <c r="P100" s="17" t="str">
        <f aca="false">IF((E100="c"),H100," ")</f>
        <v> </v>
      </c>
      <c r="Q100" s="17" t="str">
        <f aca="false">IF((E100="o"),H100," ")</f>
        <v> </v>
      </c>
      <c r="R100" s="17" t="str">
        <f aca="false">IF((E100="d"),H100," ")</f>
        <v> </v>
      </c>
      <c r="S100" s="17" t="str">
        <f aca="false">IF((E100="w"),H100," ")</f>
        <v> </v>
      </c>
      <c r="T100" s="17" t="str">
        <f aca="false">IF((E100="r"),H100," ")</f>
        <v> </v>
      </c>
      <c r="U100" s="17" t="str">
        <f aca="false">IF((E100="p"),H100," ")</f>
        <v> </v>
      </c>
      <c r="V100" s="17" t="str">
        <f aca="false">IF((E100="t"),H100," ")</f>
        <v> </v>
      </c>
      <c r="W100" s="17" t="str">
        <f aca="false">IF((E100="q"),H100," ")</f>
        <v> </v>
      </c>
      <c r="X100" s="17" t="str">
        <f aca="false">IF((E100="m"),H100," ")</f>
        <v> </v>
      </c>
      <c r="Y100" s="17" t="str">
        <f aca="false">IF((E100="u"),H100," ")</f>
        <v> </v>
      </c>
      <c r="Z100" s="17" t="str">
        <f aca="false">IF((E100="a"),H100," ")</f>
        <v> </v>
      </c>
      <c r="AA100" s="17" t="str">
        <f aca="false">IF((E100="g"),H100," ")</f>
        <v> </v>
      </c>
      <c r="AB100" s="17" t="str">
        <f aca="false">IF((E100="h"),H100," ")</f>
        <v> </v>
      </c>
      <c r="AC100" s="30" t="str">
        <f aca="false">IF((E100="v"),H100," ")</f>
        <v> </v>
      </c>
      <c r="AD100" s="30" t="str">
        <f aca="false">IF((E100="n"),H100," ")</f>
        <v> </v>
      </c>
      <c r="AE100" s="17" t="str">
        <f aca="false">IF((E100="f"),H100," ")</f>
        <v> </v>
      </c>
      <c r="AF100" s="17" t="str">
        <f aca="false">IF((E100="l"),H100," ")</f>
        <v> </v>
      </c>
      <c r="AG100" s="17" t="str">
        <f aca="false">IF((E100="y"),H100," ")</f>
        <v> </v>
      </c>
      <c r="AH100" s="17" t="str">
        <f aca="false">IF((E100="z"),H100," ")</f>
        <v> </v>
      </c>
      <c r="AI100" s="17" t="str">
        <f aca="false">IF((E100="fa"),H100," ")</f>
        <v> </v>
      </c>
      <c r="AJ100" s="17" t="str">
        <f aca="false">IF((E100="e"),H100," ")</f>
        <v> </v>
      </c>
    </row>
    <row r="101" customFormat="false" ht="12" hidden="false" customHeight="false" outlineLevel="0" collapsed="false">
      <c r="A101" s="28"/>
      <c r="E101" s="2" t="str">
        <f aca="false">IF((F101&lt;&gt;0),"Enter Letter"," ")</f>
        <v> </v>
      </c>
      <c r="F101" s="30"/>
      <c r="G101" s="6" t="str">
        <f aca="false">IF(F101&lt;&gt;0,F101*G$2/(100+G$2)," ")</f>
        <v> </v>
      </c>
      <c r="H101" s="6" t="str">
        <f aca="false">IF((F101&lt;&gt;0),F101-G101," ")</f>
        <v> </v>
      </c>
      <c r="I101" s="5"/>
      <c r="L101" s="7" t="str">
        <f aca="false">IF(F101&lt;&gt;0,F101-K101," ")</f>
        <v> </v>
      </c>
      <c r="M101" s="8" t="str">
        <f aca="false">IF((F101-K101)&lt;&gt;0,M$1-A101," ")</f>
        <v> </v>
      </c>
      <c r="N101" s="5"/>
      <c r="O101" s="17" t="str">
        <f aca="false">IF((E101="s"),H101," ")</f>
        <v> </v>
      </c>
      <c r="P101" s="17" t="str">
        <f aca="false">IF((E101="c"),H101," ")</f>
        <v> </v>
      </c>
      <c r="Q101" s="17" t="str">
        <f aca="false">IF((E101="o"),H101," ")</f>
        <v> </v>
      </c>
      <c r="R101" s="17" t="str">
        <f aca="false">IF((E101="d"),H101," ")</f>
        <v> </v>
      </c>
      <c r="S101" s="17" t="str">
        <f aca="false">IF((E101="w"),H101," ")</f>
        <v> </v>
      </c>
      <c r="T101" s="17" t="str">
        <f aca="false">IF((E101="r"),H101," ")</f>
        <v> </v>
      </c>
      <c r="U101" s="17" t="str">
        <f aca="false">IF((E101="p"),H101," ")</f>
        <v> </v>
      </c>
      <c r="V101" s="17" t="str">
        <f aca="false">IF((E101="t"),H101," ")</f>
        <v> </v>
      </c>
      <c r="W101" s="17" t="str">
        <f aca="false">IF((E101="q"),H101," ")</f>
        <v> </v>
      </c>
      <c r="X101" s="17" t="str">
        <f aca="false">IF((E101="m"),H101," ")</f>
        <v> </v>
      </c>
      <c r="Y101" s="17" t="str">
        <f aca="false">IF((E101="u"),H101," ")</f>
        <v> </v>
      </c>
      <c r="Z101" s="17" t="str">
        <f aca="false">IF((E101="a"),H101," ")</f>
        <v> </v>
      </c>
      <c r="AA101" s="17" t="str">
        <f aca="false">IF((E101="g"),H101," ")</f>
        <v> </v>
      </c>
      <c r="AB101" s="17" t="str">
        <f aca="false">IF((E101="h"),H101," ")</f>
        <v> </v>
      </c>
      <c r="AC101" s="30" t="str">
        <f aca="false">IF((E101="v"),H101," ")</f>
        <v> </v>
      </c>
      <c r="AD101" s="30" t="str">
        <f aca="false">IF((E101="n"),H101," ")</f>
        <v> </v>
      </c>
      <c r="AE101" s="17" t="str">
        <f aca="false">IF((E101="f"),H101," ")</f>
        <v> </v>
      </c>
      <c r="AF101" s="17" t="str">
        <f aca="false">IF((E101="l"),H101," ")</f>
        <v> </v>
      </c>
      <c r="AG101" s="17" t="str">
        <f aca="false">IF((E101="y"),H101," ")</f>
        <v> </v>
      </c>
      <c r="AH101" s="17" t="str">
        <f aca="false">IF((E101="z"),H101," ")</f>
        <v> </v>
      </c>
      <c r="AI101" s="17" t="str">
        <f aca="false">IF((E101="fa"),H101," ")</f>
        <v> </v>
      </c>
      <c r="AJ101" s="17" t="str">
        <f aca="false">IF((E101="e"),H101," ")</f>
        <v> </v>
      </c>
    </row>
    <row r="102" customFormat="false" ht="12" hidden="false" customHeight="false" outlineLevel="0" collapsed="false">
      <c r="A102" s="28"/>
      <c r="E102" s="2" t="str">
        <f aca="false">IF((F102&lt;&gt;0),"Enter Letter"," ")</f>
        <v> </v>
      </c>
      <c r="F102" s="30"/>
      <c r="G102" s="6" t="str">
        <f aca="false">IF(F102&lt;&gt;0,F102*G$2/(100+G$2)," ")</f>
        <v> </v>
      </c>
      <c r="H102" s="6" t="str">
        <f aca="false">IF((F102&lt;&gt;0),F102-G102," ")</f>
        <v> </v>
      </c>
      <c r="I102" s="5"/>
      <c r="L102" s="7" t="str">
        <f aca="false">IF(F102&lt;&gt;0,F102-K102," ")</f>
        <v> </v>
      </c>
      <c r="M102" s="8" t="str">
        <f aca="false">IF((F102-K102)&lt;&gt;0,M$1-A102," ")</f>
        <v> </v>
      </c>
      <c r="N102" s="5"/>
      <c r="O102" s="17" t="str">
        <f aca="false">IF((E102="s"),H102," ")</f>
        <v> </v>
      </c>
      <c r="P102" s="17" t="str">
        <f aca="false">IF((E102="c"),H102," ")</f>
        <v> </v>
      </c>
      <c r="Q102" s="17" t="str">
        <f aca="false">IF((E102="o"),H102," ")</f>
        <v> </v>
      </c>
      <c r="R102" s="17" t="str">
        <f aca="false">IF((E102="d"),H102," ")</f>
        <v> </v>
      </c>
      <c r="S102" s="17" t="str">
        <f aca="false">IF((E102="w"),H102," ")</f>
        <v> </v>
      </c>
      <c r="T102" s="17" t="str">
        <f aca="false">IF((E102="r"),H102," ")</f>
        <v> </v>
      </c>
      <c r="U102" s="17" t="str">
        <f aca="false">IF((E102="p"),H102," ")</f>
        <v> </v>
      </c>
      <c r="V102" s="17" t="str">
        <f aca="false">IF((E102="t"),H102," ")</f>
        <v> </v>
      </c>
      <c r="W102" s="17" t="str">
        <f aca="false">IF((E102="q"),H102," ")</f>
        <v> </v>
      </c>
      <c r="X102" s="17" t="str">
        <f aca="false">IF((E102="m"),H102," ")</f>
        <v> </v>
      </c>
      <c r="Y102" s="17" t="str">
        <f aca="false">IF((E102="u"),H102," ")</f>
        <v> </v>
      </c>
      <c r="Z102" s="17" t="str">
        <f aca="false">IF((E102="a"),H102," ")</f>
        <v> </v>
      </c>
      <c r="AA102" s="17" t="str">
        <f aca="false">IF((E102="g"),H102," ")</f>
        <v> </v>
      </c>
      <c r="AB102" s="17" t="str">
        <f aca="false">IF((E102="h"),H102," ")</f>
        <v> </v>
      </c>
      <c r="AC102" s="30" t="str">
        <f aca="false">IF((E102="v"),H102," ")</f>
        <v> </v>
      </c>
      <c r="AD102" s="30" t="str">
        <f aca="false">IF((E102="n"),H102," ")</f>
        <v> </v>
      </c>
      <c r="AE102" s="17" t="str">
        <f aca="false">IF((E102="f"),H102," ")</f>
        <v> </v>
      </c>
      <c r="AF102" s="17" t="str">
        <f aca="false">IF((E102="l"),H102," ")</f>
        <v> </v>
      </c>
      <c r="AG102" s="17" t="str">
        <f aca="false">IF((E102="y"),H102," ")</f>
        <v> </v>
      </c>
      <c r="AH102" s="17" t="str">
        <f aca="false">IF((E102="z"),H102," ")</f>
        <v> </v>
      </c>
      <c r="AI102" s="17" t="str">
        <f aca="false">IF((E102="fa"),H102," ")</f>
        <v> </v>
      </c>
      <c r="AJ102" s="17" t="str">
        <f aca="false">IF((E102="e"),H102," ")</f>
        <v> </v>
      </c>
    </row>
    <row r="103" customFormat="false" ht="12" hidden="false" customHeight="false" outlineLevel="0" collapsed="false">
      <c r="A103" s="28"/>
      <c r="E103" s="2" t="str">
        <f aca="false">IF((F103&lt;&gt;0),"Enter Letter"," ")</f>
        <v> </v>
      </c>
      <c r="F103" s="30"/>
      <c r="G103" s="6" t="str">
        <f aca="false">IF(F103&lt;&gt;0,F103*G$2/(100+G$2)," ")</f>
        <v> </v>
      </c>
      <c r="H103" s="6" t="str">
        <f aca="false">IF((F103&lt;&gt;0),F103-G103," ")</f>
        <v> </v>
      </c>
      <c r="I103" s="5"/>
      <c r="L103" s="7" t="str">
        <f aca="false">IF(F103&lt;&gt;0,F103-K103," ")</f>
        <v> </v>
      </c>
      <c r="M103" s="8" t="str">
        <f aca="false">IF((F103-K103)&lt;&gt;0,M$1-A103," ")</f>
        <v> </v>
      </c>
      <c r="N103" s="5"/>
      <c r="O103" s="17" t="str">
        <f aca="false">IF((E103="s"),H103," ")</f>
        <v> </v>
      </c>
      <c r="P103" s="17" t="str">
        <f aca="false">IF((E103="c"),H103," ")</f>
        <v> </v>
      </c>
      <c r="Q103" s="17" t="str">
        <f aca="false">IF((E103="o"),H103," ")</f>
        <v> </v>
      </c>
      <c r="R103" s="17" t="str">
        <f aca="false">IF((E103="d"),H103," ")</f>
        <v> </v>
      </c>
      <c r="S103" s="17" t="str">
        <f aca="false">IF((E103="w"),H103," ")</f>
        <v> </v>
      </c>
      <c r="T103" s="17" t="str">
        <f aca="false">IF((E103="r"),H103," ")</f>
        <v> </v>
      </c>
      <c r="U103" s="17" t="str">
        <f aca="false">IF((E103="p"),H103," ")</f>
        <v> </v>
      </c>
      <c r="V103" s="17" t="str">
        <f aca="false">IF((E103="t"),H103," ")</f>
        <v> </v>
      </c>
      <c r="W103" s="17" t="str">
        <f aca="false">IF((E103="q"),H103," ")</f>
        <v> </v>
      </c>
      <c r="X103" s="17" t="str">
        <f aca="false">IF((E103="m"),H103," ")</f>
        <v> </v>
      </c>
      <c r="Y103" s="17" t="str">
        <f aca="false">IF((E103="u"),H103," ")</f>
        <v> </v>
      </c>
      <c r="Z103" s="17" t="str">
        <f aca="false">IF((E103="a"),H103," ")</f>
        <v> </v>
      </c>
      <c r="AA103" s="17" t="str">
        <f aca="false">IF((E103="g"),H103," ")</f>
        <v> </v>
      </c>
      <c r="AB103" s="17" t="str">
        <f aca="false">IF((E103="h"),H103," ")</f>
        <v> </v>
      </c>
      <c r="AC103" s="30" t="str">
        <f aca="false">IF((E103="v"),H103," ")</f>
        <v> </v>
      </c>
      <c r="AD103" s="30" t="str">
        <f aca="false">IF((E103="n"),H103," ")</f>
        <v> </v>
      </c>
      <c r="AE103" s="17" t="str">
        <f aca="false">IF((E103="f"),H103," ")</f>
        <v> </v>
      </c>
      <c r="AF103" s="17" t="str">
        <f aca="false">IF((E103="l"),H103," ")</f>
        <v> </v>
      </c>
      <c r="AG103" s="17" t="str">
        <f aca="false">IF((E103="y"),H103," ")</f>
        <v> </v>
      </c>
      <c r="AH103" s="17" t="str">
        <f aca="false">IF((E103="z"),H103," ")</f>
        <v> </v>
      </c>
      <c r="AI103" s="17" t="str">
        <f aca="false">IF((E103="fa"),H103," ")</f>
        <v> </v>
      </c>
      <c r="AJ103" s="17" t="str">
        <f aca="false">IF((E103="e"),H103," ")</f>
        <v> </v>
      </c>
    </row>
    <row r="104" customFormat="false" ht="12" hidden="false" customHeight="false" outlineLevel="0" collapsed="false">
      <c r="A104" s="28"/>
      <c r="E104" s="2" t="str">
        <f aca="false">IF((F104&lt;&gt;0),"Enter Letter"," ")</f>
        <v> </v>
      </c>
      <c r="F104" s="30"/>
      <c r="G104" s="6" t="str">
        <f aca="false">IF(F104&lt;&gt;0,F104*G$2/(100+G$2)," ")</f>
        <v> </v>
      </c>
      <c r="H104" s="6" t="str">
        <f aca="false">IF((F104&lt;&gt;0),F104-G104," ")</f>
        <v> </v>
      </c>
      <c r="I104" s="5"/>
      <c r="L104" s="7" t="str">
        <f aca="false">IF(F104&lt;&gt;0,F104-K104," ")</f>
        <v> </v>
      </c>
      <c r="M104" s="8" t="str">
        <f aca="false">IF((F104-K104)&lt;&gt;0,M$1-A104," ")</f>
        <v> </v>
      </c>
      <c r="N104" s="5"/>
      <c r="O104" s="17" t="str">
        <f aca="false">IF((E104="s"),H104," ")</f>
        <v> </v>
      </c>
      <c r="P104" s="17" t="str">
        <f aca="false">IF((E104="c"),H104," ")</f>
        <v> </v>
      </c>
      <c r="Q104" s="17" t="str">
        <f aca="false">IF((E104="o"),H104," ")</f>
        <v> </v>
      </c>
      <c r="R104" s="17" t="str">
        <f aca="false">IF((E104="d"),H104," ")</f>
        <v> </v>
      </c>
      <c r="S104" s="17" t="str">
        <f aca="false">IF((E104="w"),H104," ")</f>
        <v> </v>
      </c>
      <c r="T104" s="17" t="str">
        <f aca="false">IF((E104="r"),H104," ")</f>
        <v> </v>
      </c>
      <c r="U104" s="17" t="str">
        <f aca="false">IF((E104="p"),H104," ")</f>
        <v> </v>
      </c>
      <c r="V104" s="17" t="str">
        <f aca="false">IF((E104="t"),H104," ")</f>
        <v> </v>
      </c>
      <c r="W104" s="17" t="str">
        <f aca="false">IF((E104="q"),H104," ")</f>
        <v> </v>
      </c>
      <c r="X104" s="17" t="str">
        <f aca="false">IF((E104="m"),H104," ")</f>
        <v> </v>
      </c>
      <c r="Y104" s="17" t="str">
        <f aca="false">IF((E104="u"),H104," ")</f>
        <v> </v>
      </c>
      <c r="Z104" s="17" t="str">
        <f aca="false">IF((E104="a"),H104," ")</f>
        <v> </v>
      </c>
      <c r="AA104" s="17" t="str">
        <f aca="false">IF((E104="g"),H104," ")</f>
        <v> </v>
      </c>
      <c r="AB104" s="17" t="str">
        <f aca="false">IF((E104="h"),H104," ")</f>
        <v> </v>
      </c>
      <c r="AC104" s="30" t="str">
        <f aca="false">IF((E104="v"),H104," ")</f>
        <v> </v>
      </c>
      <c r="AD104" s="30" t="str">
        <f aca="false">IF((E104="n"),H104," ")</f>
        <v> </v>
      </c>
      <c r="AE104" s="17" t="str">
        <f aca="false">IF((E104="f"),H104," ")</f>
        <v> </v>
      </c>
      <c r="AF104" s="17" t="str">
        <f aca="false">IF((E104="l"),H104," ")</f>
        <v> </v>
      </c>
      <c r="AG104" s="17" t="str">
        <f aca="false">IF((E104="y"),H104," ")</f>
        <v> </v>
      </c>
      <c r="AH104" s="17" t="str">
        <f aca="false">IF((E104="z"),H104," ")</f>
        <v> </v>
      </c>
      <c r="AI104" s="17" t="str">
        <f aca="false">IF((E104="fa"),H104," ")</f>
        <v> </v>
      </c>
      <c r="AJ104" s="17" t="str">
        <f aca="false">IF((E104="e"),H104," ")</f>
        <v> </v>
      </c>
    </row>
    <row r="105" customFormat="false" ht="12" hidden="false" customHeight="false" outlineLevel="0" collapsed="false">
      <c r="A105" s="28"/>
      <c r="E105" s="2" t="str">
        <f aca="false">IF((F105&lt;&gt;0),"Enter Letter"," ")</f>
        <v> </v>
      </c>
      <c r="F105" s="30"/>
      <c r="G105" s="6" t="str">
        <f aca="false">IF(F105&lt;&gt;0,F105*G$2/(100+G$2)," ")</f>
        <v> </v>
      </c>
      <c r="H105" s="6" t="str">
        <f aca="false">IF((F105&lt;&gt;0),F105-G105," ")</f>
        <v> </v>
      </c>
      <c r="I105" s="5"/>
      <c r="L105" s="7" t="str">
        <f aca="false">IF(F105&lt;&gt;0,F105-K105," ")</f>
        <v> </v>
      </c>
      <c r="M105" s="8" t="str">
        <f aca="false">IF((F105-K105)&lt;&gt;0,M$1-A105," ")</f>
        <v> </v>
      </c>
      <c r="N105" s="5"/>
      <c r="O105" s="17" t="str">
        <f aca="false">IF((E105="s"),H105," ")</f>
        <v> </v>
      </c>
      <c r="P105" s="17" t="str">
        <f aca="false">IF((E105="c"),H105," ")</f>
        <v> </v>
      </c>
      <c r="Q105" s="17" t="str">
        <f aca="false">IF((E105="o"),H105," ")</f>
        <v> </v>
      </c>
      <c r="R105" s="17" t="str">
        <f aca="false">IF((E105="d"),H105," ")</f>
        <v> </v>
      </c>
      <c r="S105" s="17" t="str">
        <f aca="false">IF((E105="w"),H105," ")</f>
        <v> </v>
      </c>
      <c r="T105" s="17" t="str">
        <f aca="false">IF((E105="r"),H105," ")</f>
        <v> </v>
      </c>
      <c r="U105" s="17" t="str">
        <f aca="false">IF((E105="p"),H105," ")</f>
        <v> </v>
      </c>
      <c r="V105" s="17" t="str">
        <f aca="false">IF((E105="t"),H105," ")</f>
        <v> </v>
      </c>
      <c r="W105" s="17" t="str">
        <f aca="false">IF((E105="q"),H105," ")</f>
        <v> </v>
      </c>
      <c r="X105" s="17" t="str">
        <f aca="false">IF((E105="m"),H105," ")</f>
        <v> </v>
      </c>
      <c r="Y105" s="17" t="str">
        <f aca="false">IF((E105="u"),H105," ")</f>
        <v> </v>
      </c>
      <c r="Z105" s="17" t="str">
        <f aca="false">IF((E105="a"),H105," ")</f>
        <v> </v>
      </c>
      <c r="AA105" s="17" t="str">
        <f aca="false">IF((E105="g"),H105," ")</f>
        <v> </v>
      </c>
      <c r="AB105" s="17" t="str">
        <f aca="false">IF((E105="h"),H105," ")</f>
        <v> </v>
      </c>
      <c r="AC105" s="30" t="str">
        <f aca="false">IF((E105="v"),H105," ")</f>
        <v> </v>
      </c>
      <c r="AD105" s="30" t="str">
        <f aca="false">IF((E105="n"),H105," ")</f>
        <v> </v>
      </c>
      <c r="AE105" s="17" t="str">
        <f aca="false">IF((E105="f"),H105," ")</f>
        <v> </v>
      </c>
      <c r="AF105" s="17" t="str">
        <f aca="false">IF((E105="l"),H105," ")</f>
        <v> </v>
      </c>
      <c r="AG105" s="17" t="str">
        <f aca="false">IF((E105="y"),H105," ")</f>
        <v> </v>
      </c>
      <c r="AH105" s="17" t="str">
        <f aca="false">IF((E105="z"),H105," ")</f>
        <v> </v>
      </c>
      <c r="AI105" s="17" t="str">
        <f aca="false">IF((E105="fa"),H105," ")</f>
        <v> </v>
      </c>
      <c r="AJ105" s="17" t="str">
        <f aca="false">IF((E105="e"),H105," ")</f>
        <v> </v>
      </c>
    </row>
    <row r="106" customFormat="false" ht="12" hidden="false" customHeight="false" outlineLevel="0" collapsed="false">
      <c r="A106" s="28"/>
      <c r="E106" s="2" t="str">
        <f aca="false">IF((F106&lt;&gt;0),"Enter Letter"," ")</f>
        <v> </v>
      </c>
      <c r="F106" s="30"/>
      <c r="G106" s="6" t="str">
        <f aca="false">IF(F106&lt;&gt;0,F106*G$2/(100+G$2)," ")</f>
        <v> </v>
      </c>
      <c r="H106" s="6" t="str">
        <f aca="false">IF((F106&lt;&gt;0),F106-G106," ")</f>
        <v> </v>
      </c>
      <c r="I106" s="5"/>
      <c r="L106" s="7" t="str">
        <f aca="false">IF(F106&lt;&gt;0,F106-K106," ")</f>
        <v> </v>
      </c>
      <c r="M106" s="8" t="str">
        <f aca="false">IF((F106-K106)&lt;&gt;0,M$1-A106," ")</f>
        <v> </v>
      </c>
      <c r="N106" s="5"/>
      <c r="O106" s="17" t="str">
        <f aca="false">IF((E106="s"),H106," ")</f>
        <v> </v>
      </c>
      <c r="P106" s="17" t="str">
        <f aca="false">IF((E106="c"),H106," ")</f>
        <v> </v>
      </c>
      <c r="Q106" s="17" t="str">
        <f aca="false">IF((E106="o"),H106," ")</f>
        <v> </v>
      </c>
      <c r="R106" s="17" t="str">
        <f aca="false">IF((E106="d"),H106," ")</f>
        <v> </v>
      </c>
      <c r="S106" s="17" t="str">
        <f aca="false">IF((E106="w"),H106," ")</f>
        <v> </v>
      </c>
      <c r="T106" s="17" t="str">
        <f aca="false">IF((E106="r"),H106," ")</f>
        <v> </v>
      </c>
      <c r="U106" s="17" t="str">
        <f aca="false">IF((E106="p"),H106," ")</f>
        <v> </v>
      </c>
      <c r="V106" s="17" t="str">
        <f aca="false">IF((E106="t"),H106," ")</f>
        <v> </v>
      </c>
      <c r="W106" s="17" t="str">
        <f aca="false">IF((E106="q"),H106," ")</f>
        <v> </v>
      </c>
      <c r="X106" s="17" t="str">
        <f aca="false">IF((E106="m"),H106," ")</f>
        <v> </v>
      </c>
      <c r="Y106" s="17" t="str">
        <f aca="false">IF((E106="u"),H106," ")</f>
        <v> </v>
      </c>
      <c r="Z106" s="17" t="str">
        <f aca="false">IF((E106="a"),H106," ")</f>
        <v> </v>
      </c>
      <c r="AA106" s="17" t="str">
        <f aca="false">IF((E106="g"),H106," ")</f>
        <v> </v>
      </c>
      <c r="AB106" s="17" t="str">
        <f aca="false">IF((E106="h"),H106," ")</f>
        <v> </v>
      </c>
      <c r="AC106" s="30" t="str">
        <f aca="false">IF((E106="v"),H106," ")</f>
        <v> </v>
      </c>
      <c r="AD106" s="30" t="str">
        <f aca="false">IF((E106="n"),H106," ")</f>
        <v> </v>
      </c>
      <c r="AE106" s="17" t="str">
        <f aca="false">IF((E106="f"),H106," ")</f>
        <v> </v>
      </c>
      <c r="AF106" s="17" t="str">
        <f aca="false">IF((E106="l"),H106," ")</f>
        <v> </v>
      </c>
      <c r="AG106" s="17" t="str">
        <f aca="false">IF((E106="y"),H106," ")</f>
        <v> </v>
      </c>
      <c r="AH106" s="17" t="str">
        <f aca="false">IF((E106="z"),H106," ")</f>
        <v> </v>
      </c>
      <c r="AI106" s="17" t="str">
        <f aca="false">IF((E106="fa"),H106," ")</f>
        <v> </v>
      </c>
      <c r="AJ106" s="17" t="str">
        <f aca="false">IF((E106="e"),H106," ")</f>
        <v> </v>
      </c>
    </row>
    <row r="107" customFormat="false" ht="12" hidden="false" customHeight="false" outlineLevel="0" collapsed="false">
      <c r="A107" s="28"/>
      <c r="E107" s="2" t="str">
        <f aca="false">IF((F107&lt;&gt;0),"Enter Letter"," ")</f>
        <v> </v>
      </c>
      <c r="F107" s="30"/>
      <c r="G107" s="6" t="str">
        <f aca="false">IF(F107&lt;&gt;0,F107*G$2/(100+G$2)," ")</f>
        <v> </v>
      </c>
      <c r="H107" s="6" t="str">
        <f aca="false">IF((F107&lt;&gt;0),F107-G107," ")</f>
        <v> </v>
      </c>
      <c r="I107" s="5"/>
      <c r="L107" s="7" t="str">
        <f aca="false">IF(F107&lt;&gt;0,F107-K107," ")</f>
        <v> </v>
      </c>
      <c r="M107" s="8" t="str">
        <f aca="false">IF((F107-K107)&lt;&gt;0,M$1-A107," ")</f>
        <v> </v>
      </c>
      <c r="N107" s="5"/>
      <c r="O107" s="17" t="str">
        <f aca="false">IF((E107="s"),H107," ")</f>
        <v> </v>
      </c>
      <c r="P107" s="17" t="str">
        <f aca="false">IF((E107="c"),H107," ")</f>
        <v> </v>
      </c>
      <c r="Q107" s="17" t="str">
        <f aca="false">IF((E107="o"),H107," ")</f>
        <v> </v>
      </c>
      <c r="R107" s="17" t="str">
        <f aca="false">IF((E107="d"),H107," ")</f>
        <v> </v>
      </c>
      <c r="S107" s="17" t="str">
        <f aca="false">IF((E107="w"),H107," ")</f>
        <v> </v>
      </c>
      <c r="T107" s="17" t="str">
        <f aca="false">IF((E107="r"),H107," ")</f>
        <v> </v>
      </c>
      <c r="U107" s="17" t="str">
        <f aca="false">IF((E107="p"),H107," ")</f>
        <v> </v>
      </c>
      <c r="V107" s="17" t="str">
        <f aca="false">IF((E107="t"),H107," ")</f>
        <v> </v>
      </c>
      <c r="W107" s="17" t="str">
        <f aca="false">IF((E107="q"),H107," ")</f>
        <v> </v>
      </c>
      <c r="X107" s="17" t="str">
        <f aca="false">IF((E107="m"),H107," ")</f>
        <v> </v>
      </c>
      <c r="Y107" s="17" t="str">
        <f aca="false">IF((E107="u"),H107," ")</f>
        <v> </v>
      </c>
      <c r="Z107" s="17" t="str">
        <f aca="false">IF((E107="a"),H107," ")</f>
        <v> </v>
      </c>
      <c r="AA107" s="17" t="str">
        <f aca="false">IF((E107="g"),H107," ")</f>
        <v> </v>
      </c>
      <c r="AB107" s="17" t="str">
        <f aca="false">IF((E107="h"),H107," ")</f>
        <v> </v>
      </c>
      <c r="AC107" s="30" t="str">
        <f aca="false">IF((E107="v"),H107," ")</f>
        <v> </v>
      </c>
      <c r="AD107" s="30" t="str">
        <f aca="false">IF((E107="n"),H107," ")</f>
        <v> </v>
      </c>
      <c r="AE107" s="17" t="str">
        <f aca="false">IF((E107="f"),H107," ")</f>
        <v> </v>
      </c>
      <c r="AF107" s="17" t="str">
        <f aca="false">IF((E107="l"),H107," ")</f>
        <v> </v>
      </c>
      <c r="AG107" s="17" t="str">
        <f aca="false">IF((E107="y"),H107," ")</f>
        <v> </v>
      </c>
      <c r="AH107" s="17" t="str">
        <f aca="false">IF((E107="z"),H107," ")</f>
        <v> </v>
      </c>
      <c r="AI107" s="17" t="str">
        <f aca="false">IF((E107="fa"),H107," ")</f>
        <v> </v>
      </c>
      <c r="AJ107" s="17" t="str">
        <f aca="false">IF((E107="e"),H107," ")</f>
        <v> </v>
      </c>
    </row>
    <row r="108" customFormat="false" ht="12" hidden="false" customHeight="false" outlineLevel="0" collapsed="false">
      <c r="A108" s="28"/>
      <c r="E108" s="2" t="str">
        <f aca="false">IF((F108&lt;&gt;0),"Enter Letter"," ")</f>
        <v> </v>
      </c>
      <c r="F108" s="30"/>
      <c r="G108" s="6" t="str">
        <f aca="false">IF(F108&lt;&gt;0,F108*G$2/(100+G$2)," ")</f>
        <v> </v>
      </c>
      <c r="H108" s="6" t="str">
        <f aca="false">IF((F108&lt;&gt;0),F108-G108," ")</f>
        <v> </v>
      </c>
      <c r="I108" s="5"/>
      <c r="L108" s="7" t="str">
        <f aca="false">IF(F108&lt;&gt;0,F108-K108," ")</f>
        <v> </v>
      </c>
      <c r="M108" s="8" t="str">
        <f aca="false">IF((F108-K108)&lt;&gt;0,M$1-A108," ")</f>
        <v> </v>
      </c>
      <c r="N108" s="5"/>
      <c r="O108" s="17" t="str">
        <f aca="false">IF((E108="s"),H108," ")</f>
        <v> </v>
      </c>
      <c r="P108" s="17" t="str">
        <f aca="false">IF((E108="c"),H108," ")</f>
        <v> </v>
      </c>
      <c r="Q108" s="17" t="str">
        <f aca="false">IF((E108="o"),H108," ")</f>
        <v> </v>
      </c>
      <c r="R108" s="17" t="str">
        <f aca="false">IF((E108="d"),H108," ")</f>
        <v> </v>
      </c>
      <c r="S108" s="17" t="str">
        <f aca="false">IF((E108="w"),H108," ")</f>
        <v> </v>
      </c>
      <c r="T108" s="17" t="str">
        <f aca="false">IF((E108="r"),H108," ")</f>
        <v> </v>
      </c>
      <c r="U108" s="17" t="str">
        <f aca="false">IF((E108="p"),H108," ")</f>
        <v> </v>
      </c>
      <c r="V108" s="17" t="str">
        <f aca="false">IF((E108="t"),H108," ")</f>
        <v> </v>
      </c>
      <c r="W108" s="17" t="str">
        <f aca="false">IF((E108="q"),H108," ")</f>
        <v> </v>
      </c>
      <c r="X108" s="17" t="str">
        <f aca="false">IF((E108="m"),H108," ")</f>
        <v> </v>
      </c>
      <c r="Y108" s="17" t="str">
        <f aca="false">IF((E108="u"),H108," ")</f>
        <v> </v>
      </c>
      <c r="Z108" s="17" t="str">
        <f aca="false">IF((E108="a"),H108," ")</f>
        <v> </v>
      </c>
      <c r="AA108" s="17" t="str">
        <f aca="false">IF((E108="g"),H108," ")</f>
        <v> </v>
      </c>
      <c r="AB108" s="17" t="str">
        <f aca="false">IF((E108="h"),H108," ")</f>
        <v> </v>
      </c>
      <c r="AC108" s="30" t="str">
        <f aca="false">IF((E108="v"),H108," ")</f>
        <v> </v>
      </c>
      <c r="AD108" s="30" t="str">
        <f aca="false">IF((E108="n"),H108," ")</f>
        <v> </v>
      </c>
      <c r="AE108" s="17" t="str">
        <f aca="false">IF((E108="f"),H108," ")</f>
        <v> </v>
      </c>
      <c r="AF108" s="17" t="str">
        <f aca="false">IF((E108="l"),H108," ")</f>
        <v> </v>
      </c>
      <c r="AG108" s="17" t="str">
        <f aca="false">IF((E108="y"),H108," ")</f>
        <v> </v>
      </c>
      <c r="AH108" s="17" t="str">
        <f aca="false">IF((E108="z"),H108," ")</f>
        <v> </v>
      </c>
      <c r="AI108" s="17" t="str">
        <f aca="false">IF((E108="fa"),H108," ")</f>
        <v> </v>
      </c>
      <c r="AJ108" s="17" t="str">
        <f aca="false">IF((E108="e"),H108," ")</f>
        <v> </v>
      </c>
    </row>
    <row r="109" customFormat="false" ht="12" hidden="false" customHeight="false" outlineLevel="0" collapsed="false">
      <c r="A109" s="28"/>
      <c r="E109" s="2" t="str">
        <f aca="false">IF((F109&lt;&gt;0),"Enter Letter"," ")</f>
        <v> </v>
      </c>
      <c r="F109" s="30"/>
      <c r="G109" s="6" t="str">
        <f aca="false">IF(F109&lt;&gt;0,F109*G$2/(100+G$2)," ")</f>
        <v> </v>
      </c>
      <c r="H109" s="6" t="str">
        <f aca="false">IF((F109&lt;&gt;0),F109-G109," ")</f>
        <v> </v>
      </c>
      <c r="I109" s="5"/>
      <c r="L109" s="7" t="str">
        <f aca="false">IF(F109&lt;&gt;0,F109-K109," ")</f>
        <v> </v>
      </c>
      <c r="M109" s="8" t="str">
        <f aca="false">IF((F109-K109)&lt;&gt;0,M$1-A109," ")</f>
        <v> </v>
      </c>
      <c r="N109" s="5"/>
      <c r="O109" s="17" t="str">
        <f aca="false">IF((E109="s"),H109," ")</f>
        <v> </v>
      </c>
      <c r="P109" s="17" t="str">
        <f aca="false">IF((E109="c"),H109," ")</f>
        <v> </v>
      </c>
      <c r="Q109" s="17" t="str">
        <f aca="false">IF((E109="o"),H109," ")</f>
        <v> </v>
      </c>
      <c r="R109" s="17" t="str">
        <f aca="false">IF((E109="d"),H109," ")</f>
        <v> </v>
      </c>
      <c r="S109" s="17" t="str">
        <f aca="false">IF((E109="w"),H109," ")</f>
        <v> </v>
      </c>
      <c r="T109" s="17" t="str">
        <f aca="false">IF((E109="r"),H109," ")</f>
        <v> </v>
      </c>
      <c r="U109" s="17" t="str">
        <f aca="false">IF((E109="p"),H109," ")</f>
        <v> </v>
      </c>
      <c r="V109" s="17" t="str">
        <f aca="false">IF((E109="t"),H109," ")</f>
        <v> </v>
      </c>
      <c r="W109" s="17" t="str">
        <f aca="false">IF((E109="q"),H109," ")</f>
        <v> </v>
      </c>
      <c r="X109" s="17" t="str">
        <f aca="false">IF((E109="m"),H109," ")</f>
        <v> </v>
      </c>
      <c r="Y109" s="17" t="str">
        <f aca="false">IF((E109="u"),H109," ")</f>
        <v> </v>
      </c>
      <c r="Z109" s="17" t="str">
        <f aca="false">IF((E109="a"),H109," ")</f>
        <v> </v>
      </c>
      <c r="AA109" s="17" t="str">
        <f aca="false">IF((E109="g"),H109," ")</f>
        <v> </v>
      </c>
      <c r="AB109" s="17" t="str">
        <f aca="false">IF((E109="h"),H109," ")</f>
        <v> </v>
      </c>
      <c r="AC109" s="30" t="str">
        <f aca="false">IF((E109="v"),H109," ")</f>
        <v> </v>
      </c>
      <c r="AD109" s="30" t="str">
        <f aca="false">IF((E109="n"),H109," ")</f>
        <v> </v>
      </c>
      <c r="AE109" s="17" t="str">
        <f aca="false">IF((E109="f"),H109," ")</f>
        <v> </v>
      </c>
      <c r="AF109" s="17" t="str">
        <f aca="false">IF((E109="l"),H109," ")</f>
        <v> </v>
      </c>
      <c r="AG109" s="17" t="str">
        <f aca="false">IF((E109="y"),H109," ")</f>
        <v> </v>
      </c>
      <c r="AH109" s="17" t="str">
        <f aca="false">IF((E109="z"),H109," ")</f>
        <v> </v>
      </c>
      <c r="AI109" s="17" t="str">
        <f aca="false">IF((E109="fa"),H109," ")</f>
        <v> </v>
      </c>
      <c r="AJ109" s="17" t="str">
        <f aca="false">IF((E109="e"),H109," ")</f>
        <v> </v>
      </c>
    </row>
    <row r="110" customFormat="false" ht="12" hidden="false" customHeight="false" outlineLevel="0" collapsed="false">
      <c r="A110" s="28"/>
      <c r="E110" s="2" t="str">
        <f aca="false">IF((F110&lt;&gt;0),"Enter Letter"," ")</f>
        <v> </v>
      </c>
      <c r="F110" s="30"/>
      <c r="G110" s="6" t="str">
        <f aca="false">IF(F110&lt;&gt;0,F110*G$2/(100+G$2)," ")</f>
        <v> </v>
      </c>
      <c r="H110" s="6" t="str">
        <f aca="false">IF((F110&lt;&gt;0),F110-G110," ")</f>
        <v> </v>
      </c>
      <c r="I110" s="5"/>
      <c r="L110" s="7" t="str">
        <f aca="false">IF(F110&lt;&gt;0,F110-K110," ")</f>
        <v> </v>
      </c>
      <c r="M110" s="8" t="str">
        <f aca="false">IF((F110-K110)&lt;&gt;0,M$1-A110," ")</f>
        <v> </v>
      </c>
      <c r="N110" s="5"/>
      <c r="O110" s="17" t="str">
        <f aca="false">IF((E110="s"),H110," ")</f>
        <v> </v>
      </c>
      <c r="P110" s="17" t="str">
        <f aca="false">IF((E110="c"),H110," ")</f>
        <v> </v>
      </c>
      <c r="Q110" s="17" t="str">
        <f aca="false">IF((E110="o"),H110," ")</f>
        <v> </v>
      </c>
      <c r="R110" s="17" t="str">
        <f aca="false">IF((E110="d"),H110," ")</f>
        <v> </v>
      </c>
      <c r="S110" s="17" t="str">
        <f aca="false">IF((E110="w"),H110," ")</f>
        <v> </v>
      </c>
      <c r="T110" s="17" t="str">
        <f aca="false">IF((E110="r"),H110," ")</f>
        <v> </v>
      </c>
      <c r="U110" s="17" t="str">
        <f aca="false">IF((E110="p"),H110," ")</f>
        <v> </v>
      </c>
      <c r="V110" s="17" t="str">
        <f aca="false">IF((E110="t"),H110," ")</f>
        <v> </v>
      </c>
      <c r="W110" s="17" t="str">
        <f aca="false">IF((E110="q"),H110," ")</f>
        <v> </v>
      </c>
      <c r="X110" s="17" t="str">
        <f aca="false">IF((E110="m"),H110," ")</f>
        <v> </v>
      </c>
      <c r="Y110" s="17" t="str">
        <f aca="false">IF((E110="u"),H110," ")</f>
        <v> </v>
      </c>
      <c r="Z110" s="17" t="str">
        <f aca="false">IF((E110="a"),H110," ")</f>
        <v> </v>
      </c>
      <c r="AA110" s="17" t="str">
        <f aca="false">IF((E110="g"),H110," ")</f>
        <v> </v>
      </c>
      <c r="AB110" s="17" t="str">
        <f aca="false">IF((E110="h"),H110," ")</f>
        <v> </v>
      </c>
      <c r="AC110" s="30" t="str">
        <f aca="false">IF((E110="v"),H110," ")</f>
        <v> </v>
      </c>
      <c r="AD110" s="30" t="str">
        <f aca="false">IF((E110="n"),H110," ")</f>
        <v> </v>
      </c>
      <c r="AE110" s="17" t="str">
        <f aca="false">IF((E110="f"),H110," ")</f>
        <v> </v>
      </c>
      <c r="AF110" s="17" t="str">
        <f aca="false">IF((E110="l"),H110," ")</f>
        <v> </v>
      </c>
      <c r="AG110" s="17" t="str">
        <f aca="false">IF((E110="y"),H110," ")</f>
        <v> </v>
      </c>
      <c r="AH110" s="17" t="str">
        <f aca="false">IF((E110="z"),H110," ")</f>
        <v> </v>
      </c>
      <c r="AI110" s="17" t="str">
        <f aca="false">IF((E110="fa"),H110," ")</f>
        <v> </v>
      </c>
      <c r="AJ110" s="17" t="str">
        <f aca="false">IF((E110="e"),H110," ")</f>
        <v> </v>
      </c>
    </row>
    <row r="111" customFormat="false" ht="12" hidden="false" customHeight="false" outlineLevel="0" collapsed="false">
      <c r="A111" s="28"/>
      <c r="E111" s="2" t="str">
        <f aca="false">IF((F111&lt;&gt;0),"Enter Letter"," ")</f>
        <v> </v>
      </c>
      <c r="F111" s="30"/>
      <c r="G111" s="6" t="str">
        <f aca="false">IF(F111&lt;&gt;0,F111*G$2/(100+G$2)," ")</f>
        <v> </v>
      </c>
      <c r="H111" s="6" t="str">
        <f aca="false">IF((F111&lt;&gt;0),F111-G111," ")</f>
        <v> </v>
      </c>
      <c r="I111" s="5"/>
      <c r="L111" s="7" t="str">
        <f aca="false">IF(F111&lt;&gt;0,F111-K111," ")</f>
        <v> </v>
      </c>
      <c r="M111" s="8" t="str">
        <f aca="false">IF((F111-K111)&lt;&gt;0,M$1-A111," ")</f>
        <v> </v>
      </c>
      <c r="N111" s="5"/>
      <c r="O111" s="17" t="str">
        <f aca="false">IF((E111="s"),H111," ")</f>
        <v> </v>
      </c>
      <c r="P111" s="17" t="str">
        <f aca="false">IF((E111="c"),H111," ")</f>
        <v> </v>
      </c>
      <c r="Q111" s="17" t="str">
        <f aca="false">IF((E111="o"),H111," ")</f>
        <v> </v>
      </c>
      <c r="R111" s="17" t="str">
        <f aca="false">IF((E111="d"),H111," ")</f>
        <v> </v>
      </c>
      <c r="S111" s="17" t="str">
        <f aca="false">IF((E111="w"),H111," ")</f>
        <v> </v>
      </c>
      <c r="T111" s="17" t="str">
        <f aca="false">IF((E111="r"),H111," ")</f>
        <v> </v>
      </c>
      <c r="U111" s="17" t="str">
        <f aca="false">IF((E111="p"),H111," ")</f>
        <v> </v>
      </c>
      <c r="V111" s="17" t="str">
        <f aca="false">IF((E111="t"),H111," ")</f>
        <v> </v>
      </c>
      <c r="W111" s="17" t="str">
        <f aca="false">IF((E111="q"),H111," ")</f>
        <v> </v>
      </c>
      <c r="X111" s="17" t="str">
        <f aca="false">IF((E111="m"),H111," ")</f>
        <v> </v>
      </c>
      <c r="Y111" s="17" t="str">
        <f aca="false">IF((E111="u"),H111," ")</f>
        <v> </v>
      </c>
      <c r="Z111" s="17" t="str">
        <f aca="false">IF((E111="a"),H111," ")</f>
        <v> </v>
      </c>
      <c r="AA111" s="17" t="str">
        <f aca="false">IF((E111="g"),H111," ")</f>
        <v> </v>
      </c>
      <c r="AB111" s="17" t="str">
        <f aca="false">IF((E111="h"),H111," ")</f>
        <v> </v>
      </c>
      <c r="AC111" s="30" t="str">
        <f aca="false">IF((E111="v"),H111," ")</f>
        <v> </v>
      </c>
      <c r="AD111" s="30" t="str">
        <f aca="false">IF((E111="n"),H111," ")</f>
        <v> </v>
      </c>
      <c r="AE111" s="17" t="str">
        <f aca="false">IF((E111="f"),H111," ")</f>
        <v> </v>
      </c>
      <c r="AF111" s="17" t="str">
        <f aca="false">IF((E111="l"),H111," ")</f>
        <v> </v>
      </c>
      <c r="AG111" s="17" t="str">
        <f aca="false">IF((E111="y"),H111," ")</f>
        <v> </v>
      </c>
      <c r="AH111" s="17" t="str">
        <f aca="false">IF((E111="z"),H111," ")</f>
        <v> </v>
      </c>
      <c r="AI111" s="17" t="str">
        <f aca="false">IF((E111="fa"),H111," ")</f>
        <v> </v>
      </c>
      <c r="AJ111" s="17" t="str">
        <f aca="false">IF((E111="e"),H111," ")</f>
        <v> </v>
      </c>
    </row>
    <row r="112" customFormat="false" ht="12" hidden="false" customHeight="false" outlineLevel="0" collapsed="false">
      <c r="A112" s="28"/>
      <c r="E112" s="2" t="str">
        <f aca="false">IF((F112&lt;&gt;0),"Enter Letter"," ")</f>
        <v> </v>
      </c>
      <c r="F112" s="30"/>
      <c r="G112" s="6" t="str">
        <f aca="false">IF(F112&lt;&gt;0,F112*G$2/(100+G$2)," ")</f>
        <v> </v>
      </c>
      <c r="H112" s="6" t="str">
        <f aca="false">IF((F112&lt;&gt;0),F112-G112," ")</f>
        <v> </v>
      </c>
      <c r="I112" s="5"/>
      <c r="L112" s="7" t="str">
        <f aca="false">IF(F112&lt;&gt;0,F112-K112," ")</f>
        <v> </v>
      </c>
      <c r="M112" s="8" t="str">
        <f aca="false">IF((F112-K112)&lt;&gt;0,M$1-A112," ")</f>
        <v> </v>
      </c>
      <c r="N112" s="5"/>
      <c r="O112" s="17" t="str">
        <f aca="false">IF((E112="s"),H112," ")</f>
        <v> </v>
      </c>
      <c r="P112" s="17" t="str">
        <f aca="false">IF((E112="c"),H112," ")</f>
        <v> </v>
      </c>
      <c r="Q112" s="17" t="str">
        <f aca="false">IF((E112="o"),H112," ")</f>
        <v> </v>
      </c>
      <c r="R112" s="17" t="str">
        <f aca="false">IF((E112="d"),H112," ")</f>
        <v> </v>
      </c>
      <c r="S112" s="17" t="str">
        <f aca="false">IF((E112="w"),H112," ")</f>
        <v> </v>
      </c>
      <c r="T112" s="17" t="str">
        <f aca="false">IF((E112="r"),H112," ")</f>
        <v> </v>
      </c>
      <c r="U112" s="17" t="str">
        <f aca="false">IF((E112="p"),H112," ")</f>
        <v> </v>
      </c>
      <c r="V112" s="17" t="str">
        <f aca="false">IF((E112="t"),H112," ")</f>
        <v> </v>
      </c>
      <c r="W112" s="17" t="str">
        <f aca="false">IF((E112="q"),H112," ")</f>
        <v> </v>
      </c>
      <c r="X112" s="17" t="str">
        <f aca="false">IF((E112="m"),H112," ")</f>
        <v> </v>
      </c>
      <c r="Y112" s="17" t="str">
        <f aca="false">IF((E112="u"),H112," ")</f>
        <v> </v>
      </c>
      <c r="Z112" s="17" t="str">
        <f aca="false">IF((E112="a"),H112," ")</f>
        <v> </v>
      </c>
      <c r="AA112" s="17" t="str">
        <f aca="false">IF((E112="g"),H112," ")</f>
        <v> </v>
      </c>
      <c r="AB112" s="17" t="str">
        <f aca="false">IF((E112="h"),H112," ")</f>
        <v> </v>
      </c>
      <c r="AC112" s="30" t="str">
        <f aca="false">IF((E112="v"),H112," ")</f>
        <v> </v>
      </c>
      <c r="AD112" s="30" t="str">
        <f aca="false">IF((E112="n"),H112," ")</f>
        <v> </v>
      </c>
      <c r="AE112" s="17" t="str">
        <f aca="false">IF((E112="f"),H112," ")</f>
        <v> </v>
      </c>
      <c r="AF112" s="17" t="str">
        <f aca="false">IF((E112="l"),H112," ")</f>
        <v> </v>
      </c>
      <c r="AG112" s="17" t="str">
        <f aca="false">IF((E112="y"),H112," ")</f>
        <v> </v>
      </c>
      <c r="AH112" s="17" t="str">
        <f aca="false">IF((E112="z"),H112," ")</f>
        <v> </v>
      </c>
      <c r="AI112" s="17" t="str">
        <f aca="false">IF((E112="fa"),H112," ")</f>
        <v> </v>
      </c>
      <c r="AJ112" s="17" t="str">
        <f aca="false">IF((E112="e"),H112," ")</f>
        <v> </v>
      </c>
    </row>
    <row r="113" customFormat="false" ht="12" hidden="false" customHeight="false" outlineLevel="0" collapsed="false">
      <c r="A113" s="28"/>
      <c r="E113" s="2" t="str">
        <f aca="false">IF((F113&lt;&gt;0),"Enter Letter"," ")</f>
        <v> </v>
      </c>
      <c r="F113" s="30"/>
      <c r="G113" s="6" t="str">
        <f aca="false">IF(F113&lt;&gt;0,F113*G$2/(100+G$2)," ")</f>
        <v> </v>
      </c>
      <c r="H113" s="6" t="str">
        <f aca="false">IF((F113&lt;&gt;0),F113-G113," ")</f>
        <v> </v>
      </c>
      <c r="I113" s="5"/>
      <c r="L113" s="7" t="str">
        <f aca="false">IF(F113&lt;&gt;0,F113-K113," ")</f>
        <v> </v>
      </c>
      <c r="M113" s="8" t="str">
        <f aca="false">IF((F113-K113)&lt;&gt;0,M$1-A113," ")</f>
        <v> </v>
      </c>
      <c r="N113" s="5"/>
      <c r="O113" s="17" t="str">
        <f aca="false">IF((E113="s"),H113," ")</f>
        <v> </v>
      </c>
      <c r="P113" s="17" t="str">
        <f aca="false">IF((E113="c"),H113," ")</f>
        <v> </v>
      </c>
      <c r="Q113" s="17" t="str">
        <f aca="false">IF((E113="o"),H113," ")</f>
        <v> </v>
      </c>
      <c r="R113" s="17" t="str">
        <f aca="false">IF((E113="d"),H113," ")</f>
        <v> </v>
      </c>
      <c r="S113" s="17" t="str">
        <f aca="false">IF((E113="w"),H113," ")</f>
        <v> </v>
      </c>
      <c r="T113" s="17" t="str">
        <f aca="false">IF((E113="r"),H113," ")</f>
        <v> </v>
      </c>
      <c r="U113" s="17" t="str">
        <f aca="false">IF((E113="p"),H113," ")</f>
        <v> </v>
      </c>
      <c r="V113" s="17" t="str">
        <f aca="false">IF((E113="t"),H113," ")</f>
        <v> </v>
      </c>
      <c r="W113" s="17" t="str">
        <f aca="false">IF((E113="q"),H113," ")</f>
        <v> </v>
      </c>
      <c r="X113" s="17" t="str">
        <f aca="false">IF((E113="m"),H113," ")</f>
        <v> </v>
      </c>
      <c r="Y113" s="17" t="str">
        <f aca="false">IF((E113="u"),H113," ")</f>
        <v> </v>
      </c>
      <c r="Z113" s="17" t="str">
        <f aca="false">IF((E113="a"),H113," ")</f>
        <v> </v>
      </c>
      <c r="AA113" s="17" t="str">
        <f aca="false">IF((E113="g"),H113," ")</f>
        <v> </v>
      </c>
      <c r="AB113" s="17" t="str">
        <f aca="false">IF((E113="h"),H113," ")</f>
        <v> </v>
      </c>
      <c r="AC113" s="30" t="str">
        <f aca="false">IF((E113="v"),H113," ")</f>
        <v> </v>
      </c>
      <c r="AD113" s="30" t="str">
        <f aca="false">IF((E113="n"),H113," ")</f>
        <v> </v>
      </c>
      <c r="AE113" s="17" t="str">
        <f aca="false">IF((E113="f"),H113," ")</f>
        <v> </v>
      </c>
      <c r="AF113" s="17" t="str">
        <f aca="false">IF((E113="l"),H113," ")</f>
        <v> </v>
      </c>
      <c r="AG113" s="17" t="str">
        <f aca="false">IF((E113="y"),H113," ")</f>
        <v> </v>
      </c>
      <c r="AH113" s="17" t="str">
        <f aca="false">IF((E113="z"),H113," ")</f>
        <v> </v>
      </c>
      <c r="AI113" s="17" t="str">
        <f aca="false">IF((E113="fa"),H113," ")</f>
        <v> </v>
      </c>
      <c r="AJ113" s="17" t="str">
        <f aca="false">IF((E113="e"),H113," ")</f>
        <v> </v>
      </c>
    </row>
    <row r="114" customFormat="false" ht="12" hidden="false" customHeight="false" outlineLevel="0" collapsed="false">
      <c r="A114" s="28"/>
      <c r="E114" s="2" t="str">
        <f aca="false">IF((F114&lt;&gt;0),"Enter Letter"," ")</f>
        <v> </v>
      </c>
      <c r="F114" s="30"/>
      <c r="G114" s="6" t="str">
        <f aca="false">IF(F114&lt;&gt;0,F114*G$2/(100+G$2)," ")</f>
        <v> </v>
      </c>
      <c r="H114" s="6" t="str">
        <f aca="false">IF((F114&lt;&gt;0),F114-G114," ")</f>
        <v> </v>
      </c>
      <c r="I114" s="5"/>
      <c r="L114" s="7" t="str">
        <f aca="false">IF(F114&lt;&gt;0,F114-K114," ")</f>
        <v> </v>
      </c>
      <c r="M114" s="8" t="str">
        <f aca="false">IF((F114-K114)&lt;&gt;0,M$1-A114," ")</f>
        <v> </v>
      </c>
      <c r="N114" s="5"/>
      <c r="O114" s="17" t="str">
        <f aca="false">IF((E114="s"),H114," ")</f>
        <v> </v>
      </c>
      <c r="P114" s="17" t="str">
        <f aca="false">IF((E114="c"),H114," ")</f>
        <v> </v>
      </c>
      <c r="Q114" s="17" t="str">
        <f aca="false">IF((E114="o"),H114," ")</f>
        <v> </v>
      </c>
      <c r="R114" s="17" t="str">
        <f aca="false">IF((E114="d"),H114," ")</f>
        <v> </v>
      </c>
      <c r="S114" s="17" t="str">
        <f aca="false">IF((E114="w"),H114," ")</f>
        <v> </v>
      </c>
      <c r="T114" s="17" t="str">
        <f aca="false">IF((E114="r"),H114," ")</f>
        <v> </v>
      </c>
      <c r="U114" s="17" t="str">
        <f aca="false">IF((E114="p"),H114," ")</f>
        <v> </v>
      </c>
      <c r="V114" s="17" t="str">
        <f aca="false">IF((E114="t"),H114," ")</f>
        <v> </v>
      </c>
      <c r="W114" s="17" t="str">
        <f aca="false">IF((E114="q"),H114," ")</f>
        <v> </v>
      </c>
      <c r="X114" s="17" t="str">
        <f aca="false">IF((E114="m"),H114," ")</f>
        <v> </v>
      </c>
      <c r="Y114" s="17" t="str">
        <f aca="false">IF((E114="u"),H114," ")</f>
        <v> </v>
      </c>
      <c r="Z114" s="17" t="str">
        <f aca="false">IF((E114="a"),H114," ")</f>
        <v> </v>
      </c>
      <c r="AA114" s="17" t="str">
        <f aca="false">IF((E114="g"),H114," ")</f>
        <v> </v>
      </c>
      <c r="AB114" s="17" t="str">
        <f aca="false">IF((E114="h"),H114," ")</f>
        <v> </v>
      </c>
      <c r="AC114" s="30" t="str">
        <f aca="false">IF((E114="v"),H114," ")</f>
        <v> </v>
      </c>
      <c r="AD114" s="30" t="str">
        <f aca="false">IF((E114="n"),H114," ")</f>
        <v> </v>
      </c>
      <c r="AE114" s="17" t="str">
        <f aca="false">IF((E114="f"),H114," ")</f>
        <v> </v>
      </c>
      <c r="AF114" s="17" t="str">
        <f aca="false">IF((E114="l"),H114," ")</f>
        <v> </v>
      </c>
      <c r="AG114" s="17" t="str">
        <f aca="false">IF((E114="y"),H114," ")</f>
        <v> </v>
      </c>
      <c r="AH114" s="17" t="str">
        <f aca="false">IF((E114="z"),H114," ")</f>
        <v> </v>
      </c>
      <c r="AI114" s="17" t="str">
        <f aca="false">IF((E114="fa"),H114," ")</f>
        <v> </v>
      </c>
      <c r="AJ114" s="17" t="str">
        <f aca="false">IF((E114="e"),H114," ")</f>
        <v> </v>
      </c>
    </row>
    <row r="115" customFormat="false" ht="12" hidden="false" customHeight="false" outlineLevel="0" collapsed="false">
      <c r="A115" s="28"/>
      <c r="E115" s="2" t="str">
        <f aca="false">IF((F115&lt;&gt;0),"Enter Letter"," ")</f>
        <v> </v>
      </c>
      <c r="F115" s="30"/>
      <c r="G115" s="6" t="str">
        <f aca="false">IF(F115&lt;&gt;0,F115*G$2/(100+G$2)," ")</f>
        <v> </v>
      </c>
      <c r="H115" s="6" t="str">
        <f aca="false">IF((F115&lt;&gt;0),F115-G115," ")</f>
        <v> </v>
      </c>
      <c r="I115" s="5"/>
      <c r="L115" s="7" t="str">
        <f aca="false">IF(F115&lt;&gt;0,F115-K115," ")</f>
        <v> </v>
      </c>
      <c r="M115" s="8" t="str">
        <f aca="false">IF((F115-K115)&lt;&gt;0,M$1-A115," ")</f>
        <v> </v>
      </c>
      <c r="N115" s="5"/>
      <c r="O115" s="17" t="str">
        <f aca="false">IF((E115="s"),H115," ")</f>
        <v> </v>
      </c>
      <c r="P115" s="17" t="str">
        <f aca="false">IF((E115="c"),H115," ")</f>
        <v> </v>
      </c>
      <c r="Q115" s="17" t="str">
        <f aca="false">IF((E115="o"),H115," ")</f>
        <v> </v>
      </c>
      <c r="R115" s="17" t="str">
        <f aca="false">IF((E115="d"),H115," ")</f>
        <v> </v>
      </c>
      <c r="S115" s="17" t="str">
        <f aca="false">IF((E115="w"),H115," ")</f>
        <v> </v>
      </c>
      <c r="T115" s="17" t="str">
        <f aca="false">IF((E115="r"),H115," ")</f>
        <v> </v>
      </c>
      <c r="U115" s="17" t="str">
        <f aca="false">IF((E115="p"),H115," ")</f>
        <v> </v>
      </c>
      <c r="V115" s="17" t="str">
        <f aca="false">IF((E115="t"),H115," ")</f>
        <v> </v>
      </c>
      <c r="W115" s="17" t="str">
        <f aca="false">IF((E115="q"),H115," ")</f>
        <v> </v>
      </c>
      <c r="X115" s="17" t="str">
        <f aca="false">IF((E115="m"),H115," ")</f>
        <v> </v>
      </c>
      <c r="Y115" s="17" t="str">
        <f aca="false">IF((E115="u"),H115," ")</f>
        <v> </v>
      </c>
      <c r="Z115" s="17" t="str">
        <f aca="false">IF((E115="a"),H115," ")</f>
        <v> </v>
      </c>
      <c r="AA115" s="17" t="str">
        <f aca="false">IF((E115="g"),H115," ")</f>
        <v> </v>
      </c>
      <c r="AB115" s="17" t="str">
        <f aca="false">IF((E115="h"),H115," ")</f>
        <v> </v>
      </c>
      <c r="AC115" s="30" t="str">
        <f aca="false">IF((E115="v"),H115," ")</f>
        <v> </v>
      </c>
      <c r="AD115" s="30" t="str">
        <f aca="false">IF((E115="n"),H115," ")</f>
        <v> </v>
      </c>
      <c r="AE115" s="17" t="str">
        <f aca="false">IF((E115="f"),H115," ")</f>
        <v> </v>
      </c>
      <c r="AF115" s="17" t="str">
        <f aca="false">IF((E115="l"),H115," ")</f>
        <v> </v>
      </c>
      <c r="AG115" s="17" t="str">
        <f aca="false">IF((E115="y"),H115," ")</f>
        <v> </v>
      </c>
      <c r="AH115" s="17" t="str">
        <f aca="false">IF((E115="z"),H115," ")</f>
        <v> </v>
      </c>
      <c r="AI115" s="17" t="str">
        <f aca="false">IF((E115="fa"),H115," ")</f>
        <v> </v>
      </c>
      <c r="AJ115" s="17" t="str">
        <f aca="false">IF((E115="e"),H115," ")</f>
        <v> </v>
      </c>
    </row>
    <row r="116" customFormat="false" ht="12" hidden="false" customHeight="false" outlineLevel="0" collapsed="false">
      <c r="A116" s="28"/>
      <c r="E116" s="2" t="str">
        <f aca="false">IF((F116&lt;&gt;0),"Enter Letter"," ")</f>
        <v> </v>
      </c>
      <c r="F116" s="30"/>
      <c r="G116" s="6" t="str">
        <f aca="false">IF(F116&lt;&gt;0,F116*G$2/(100+G$2)," ")</f>
        <v> </v>
      </c>
      <c r="H116" s="6" t="str">
        <f aca="false">IF((F116&lt;&gt;0),F116-G116," ")</f>
        <v> </v>
      </c>
      <c r="I116" s="5"/>
      <c r="L116" s="7" t="str">
        <f aca="false">IF(F116&lt;&gt;0,F116-K116," ")</f>
        <v> </v>
      </c>
      <c r="M116" s="8" t="str">
        <f aca="false">IF((F116-K116)&lt;&gt;0,M$1-A116," ")</f>
        <v> </v>
      </c>
      <c r="N116" s="5"/>
      <c r="O116" s="17" t="str">
        <f aca="false">IF((E116="s"),H116," ")</f>
        <v> </v>
      </c>
      <c r="P116" s="17" t="str">
        <f aca="false">IF((E116="c"),H116," ")</f>
        <v> </v>
      </c>
      <c r="Q116" s="17" t="str">
        <f aca="false">IF((E116="o"),H116," ")</f>
        <v> </v>
      </c>
      <c r="R116" s="17" t="str">
        <f aca="false">IF((E116="d"),H116," ")</f>
        <v> </v>
      </c>
      <c r="S116" s="17" t="str">
        <f aca="false">IF((E116="w"),H116," ")</f>
        <v> </v>
      </c>
      <c r="T116" s="17" t="str">
        <f aca="false">IF((E116="r"),H116," ")</f>
        <v> </v>
      </c>
      <c r="U116" s="17" t="str">
        <f aca="false">IF((E116="p"),H116," ")</f>
        <v> </v>
      </c>
      <c r="V116" s="17" t="str">
        <f aca="false">IF((E116="t"),H116," ")</f>
        <v> </v>
      </c>
      <c r="W116" s="17" t="str">
        <f aca="false">IF((E116="q"),H116," ")</f>
        <v> </v>
      </c>
      <c r="X116" s="17" t="str">
        <f aca="false">IF((E116="m"),H116," ")</f>
        <v> </v>
      </c>
      <c r="Y116" s="17" t="str">
        <f aca="false">IF((E116="u"),H116," ")</f>
        <v> </v>
      </c>
      <c r="Z116" s="17" t="str">
        <f aca="false">IF((E116="a"),H116," ")</f>
        <v> </v>
      </c>
      <c r="AA116" s="17" t="str">
        <f aca="false">IF((E116="g"),H116," ")</f>
        <v> </v>
      </c>
      <c r="AB116" s="17" t="str">
        <f aca="false">IF((E116="h"),H116," ")</f>
        <v> </v>
      </c>
      <c r="AC116" s="30" t="str">
        <f aca="false">IF((E116="v"),H116," ")</f>
        <v> </v>
      </c>
      <c r="AD116" s="30" t="str">
        <f aca="false">IF((E116="n"),H116," ")</f>
        <v> </v>
      </c>
      <c r="AE116" s="17" t="str">
        <f aca="false">IF((E116="f"),H116," ")</f>
        <v> </v>
      </c>
      <c r="AF116" s="17" t="str">
        <f aca="false">IF((E116="l"),H116," ")</f>
        <v> </v>
      </c>
      <c r="AG116" s="17" t="str">
        <f aca="false">IF((E116="y"),H116," ")</f>
        <v> </v>
      </c>
      <c r="AH116" s="17" t="str">
        <f aca="false">IF((E116="z"),H116," ")</f>
        <v> </v>
      </c>
      <c r="AI116" s="17" t="str">
        <f aca="false">IF((E116="fa"),H116," ")</f>
        <v> </v>
      </c>
      <c r="AJ116" s="17" t="str">
        <f aca="false">IF((E116="e"),H116," ")</f>
        <v> </v>
      </c>
    </row>
    <row r="117" customFormat="false" ht="12" hidden="false" customHeight="false" outlineLevel="0" collapsed="false">
      <c r="A117" s="28"/>
      <c r="E117" s="2" t="str">
        <f aca="false">IF((F117&lt;&gt;0),"Enter Letter"," ")</f>
        <v> </v>
      </c>
      <c r="F117" s="30"/>
      <c r="G117" s="6" t="str">
        <f aca="false">IF(F117&lt;&gt;0,F117*G$2/(100+G$2)," ")</f>
        <v> </v>
      </c>
      <c r="H117" s="6" t="str">
        <f aca="false">IF((F117&lt;&gt;0),F117-G117," ")</f>
        <v> </v>
      </c>
      <c r="I117" s="5"/>
      <c r="L117" s="7" t="str">
        <f aca="false">IF(F117&lt;&gt;0,F117-K117," ")</f>
        <v> </v>
      </c>
      <c r="M117" s="8" t="str">
        <f aca="false">IF((F117-K117)&lt;&gt;0,M$1-A117," ")</f>
        <v> </v>
      </c>
      <c r="N117" s="5"/>
      <c r="O117" s="17" t="str">
        <f aca="false">IF((E117="s"),H117," ")</f>
        <v> </v>
      </c>
      <c r="P117" s="17" t="str">
        <f aca="false">IF((E117="c"),H117," ")</f>
        <v> </v>
      </c>
      <c r="Q117" s="17" t="str">
        <f aca="false">IF((E117="o"),H117," ")</f>
        <v> </v>
      </c>
      <c r="R117" s="17" t="str">
        <f aca="false">IF((E117="d"),H117," ")</f>
        <v> </v>
      </c>
      <c r="S117" s="17" t="str">
        <f aca="false">IF((E117="w"),H117," ")</f>
        <v> </v>
      </c>
      <c r="T117" s="17" t="str">
        <f aca="false">IF((E117="r"),H117," ")</f>
        <v> </v>
      </c>
      <c r="U117" s="17" t="str">
        <f aca="false">IF((E117="p"),H117," ")</f>
        <v> </v>
      </c>
      <c r="V117" s="17" t="str">
        <f aca="false">IF((E117="t"),H117," ")</f>
        <v> </v>
      </c>
      <c r="W117" s="17" t="str">
        <f aca="false">IF((E117="q"),H117," ")</f>
        <v> </v>
      </c>
      <c r="X117" s="17" t="str">
        <f aca="false">IF((E117="m"),H117," ")</f>
        <v> </v>
      </c>
      <c r="Y117" s="17" t="str">
        <f aca="false">IF((E117="u"),H117," ")</f>
        <v> </v>
      </c>
      <c r="Z117" s="17" t="str">
        <f aca="false">IF((E117="a"),H117," ")</f>
        <v> </v>
      </c>
      <c r="AA117" s="17" t="str">
        <f aca="false">IF((E117="g"),H117," ")</f>
        <v> </v>
      </c>
      <c r="AB117" s="17" t="str">
        <f aca="false">IF((E117="h"),H117," ")</f>
        <v> </v>
      </c>
      <c r="AC117" s="30" t="str">
        <f aca="false">IF((E117="v"),H117," ")</f>
        <v> </v>
      </c>
      <c r="AD117" s="30" t="str">
        <f aca="false">IF((E117="n"),H117," ")</f>
        <v> </v>
      </c>
      <c r="AE117" s="17" t="str">
        <f aca="false">IF((E117="f"),H117," ")</f>
        <v> </v>
      </c>
      <c r="AF117" s="17" t="str">
        <f aca="false">IF((E117="l"),H117," ")</f>
        <v> </v>
      </c>
      <c r="AG117" s="17" t="str">
        <f aca="false">IF((E117="y"),H117," ")</f>
        <v> </v>
      </c>
      <c r="AH117" s="17" t="str">
        <f aca="false">IF((E117="z"),H117," ")</f>
        <v> </v>
      </c>
      <c r="AI117" s="17" t="str">
        <f aca="false">IF((E117="fa"),H117," ")</f>
        <v> </v>
      </c>
      <c r="AJ117" s="17" t="str">
        <f aca="false">IF((E117="e"),H117," ")</f>
        <v> </v>
      </c>
    </row>
    <row r="118" customFormat="false" ht="12" hidden="false" customHeight="false" outlineLevel="0" collapsed="false">
      <c r="A118" s="28"/>
      <c r="E118" s="2" t="str">
        <f aca="false">IF((F118&lt;&gt;0),"Enter Letter"," ")</f>
        <v> </v>
      </c>
      <c r="F118" s="30"/>
      <c r="G118" s="6" t="str">
        <f aca="false">IF(F118&lt;&gt;0,F118*G$2/(100+G$2)," ")</f>
        <v> </v>
      </c>
      <c r="H118" s="6" t="str">
        <f aca="false">IF((F118&lt;&gt;0),F118-G118," ")</f>
        <v> </v>
      </c>
      <c r="I118" s="5"/>
      <c r="L118" s="7" t="str">
        <f aca="false">IF(F118&lt;&gt;0,F118-K118," ")</f>
        <v> </v>
      </c>
      <c r="M118" s="8" t="str">
        <f aca="false">IF((F118-K118)&lt;&gt;0,M$1-A118," ")</f>
        <v> </v>
      </c>
      <c r="N118" s="5"/>
      <c r="O118" s="17" t="str">
        <f aca="false">IF((E118="s"),H118," ")</f>
        <v> </v>
      </c>
      <c r="P118" s="17" t="str">
        <f aca="false">IF((E118="c"),H118," ")</f>
        <v> </v>
      </c>
      <c r="Q118" s="17" t="str">
        <f aca="false">IF((E118="o"),H118," ")</f>
        <v> </v>
      </c>
      <c r="R118" s="17" t="str">
        <f aca="false">IF((E118="d"),H118," ")</f>
        <v> </v>
      </c>
      <c r="S118" s="17" t="str">
        <f aca="false">IF((E118="w"),H118," ")</f>
        <v> </v>
      </c>
      <c r="T118" s="17" t="str">
        <f aca="false">IF((E118="r"),H118," ")</f>
        <v> </v>
      </c>
      <c r="U118" s="17" t="str">
        <f aca="false">IF((E118="p"),H118," ")</f>
        <v> </v>
      </c>
      <c r="V118" s="17" t="str">
        <f aca="false">IF((E118="t"),H118," ")</f>
        <v> </v>
      </c>
      <c r="W118" s="17" t="str">
        <f aca="false">IF((E118="q"),H118," ")</f>
        <v> </v>
      </c>
      <c r="X118" s="17" t="str">
        <f aca="false">IF((E118="m"),H118," ")</f>
        <v> </v>
      </c>
      <c r="Y118" s="17" t="str">
        <f aca="false">IF((E118="u"),H118," ")</f>
        <v> </v>
      </c>
      <c r="Z118" s="17" t="str">
        <f aca="false">IF((E118="a"),H118," ")</f>
        <v> </v>
      </c>
      <c r="AA118" s="17" t="str">
        <f aca="false">IF((E118="g"),H118," ")</f>
        <v> </v>
      </c>
      <c r="AB118" s="17" t="str">
        <f aca="false">IF((E118="h"),H118," ")</f>
        <v> </v>
      </c>
      <c r="AC118" s="30" t="str">
        <f aca="false">IF((E118="v"),H118," ")</f>
        <v> </v>
      </c>
      <c r="AD118" s="30" t="str">
        <f aca="false">IF((E118="n"),H118," ")</f>
        <v> </v>
      </c>
      <c r="AE118" s="17" t="str">
        <f aca="false">IF((E118="f"),H118," ")</f>
        <v> </v>
      </c>
      <c r="AF118" s="17" t="str">
        <f aca="false">IF((E118="l"),H118," ")</f>
        <v> </v>
      </c>
      <c r="AG118" s="17" t="str">
        <f aca="false">IF((E118="y"),H118," ")</f>
        <v> </v>
      </c>
      <c r="AH118" s="17" t="str">
        <f aca="false">IF((E118="z"),H118," ")</f>
        <v> </v>
      </c>
      <c r="AI118" s="17" t="str">
        <f aca="false">IF((E118="fa"),H118," ")</f>
        <v> </v>
      </c>
      <c r="AJ118" s="17" t="str">
        <f aca="false">IF((E118="e"),H118," ")</f>
        <v> </v>
      </c>
    </row>
    <row r="119" customFormat="false" ht="12" hidden="false" customHeight="false" outlineLevel="0" collapsed="false">
      <c r="A119" s="28"/>
      <c r="E119" s="2" t="str">
        <f aca="false">IF((F119&lt;&gt;0),"Enter Letter"," ")</f>
        <v> </v>
      </c>
      <c r="F119" s="30"/>
      <c r="G119" s="6" t="str">
        <f aca="false">IF(F119&lt;&gt;0,F119*G$2/(100+G$2)," ")</f>
        <v> </v>
      </c>
      <c r="H119" s="6" t="str">
        <f aca="false">IF((F119&lt;&gt;0),F119-G119," ")</f>
        <v> </v>
      </c>
      <c r="I119" s="5"/>
      <c r="L119" s="7" t="str">
        <f aca="false">IF(F119&lt;&gt;0,F119-K119," ")</f>
        <v> </v>
      </c>
      <c r="M119" s="8" t="str">
        <f aca="false">IF((F119-K119)&lt;&gt;0,M$1-A119," ")</f>
        <v> </v>
      </c>
      <c r="N119" s="5"/>
      <c r="O119" s="17" t="str">
        <f aca="false">IF((E119="s"),H119," ")</f>
        <v> </v>
      </c>
      <c r="P119" s="17" t="str">
        <f aca="false">IF((E119="c"),H119," ")</f>
        <v> </v>
      </c>
      <c r="Q119" s="17" t="str">
        <f aca="false">IF((E119="o"),H119," ")</f>
        <v> </v>
      </c>
      <c r="R119" s="17" t="str">
        <f aca="false">IF((E119="d"),H119," ")</f>
        <v> </v>
      </c>
      <c r="S119" s="17" t="str">
        <f aca="false">IF((E119="w"),H119," ")</f>
        <v> </v>
      </c>
      <c r="T119" s="17" t="str">
        <f aca="false">IF((E119="r"),H119," ")</f>
        <v> </v>
      </c>
      <c r="U119" s="17" t="str">
        <f aca="false">IF((E119="p"),H119," ")</f>
        <v> </v>
      </c>
      <c r="V119" s="17" t="str">
        <f aca="false">IF((E119="t"),H119," ")</f>
        <v> </v>
      </c>
      <c r="W119" s="17" t="str">
        <f aca="false">IF((E119="q"),H119," ")</f>
        <v> </v>
      </c>
      <c r="X119" s="17" t="str">
        <f aca="false">IF((E119="m"),H119," ")</f>
        <v> </v>
      </c>
      <c r="Y119" s="17" t="str">
        <f aca="false">IF((E119="u"),H119," ")</f>
        <v> </v>
      </c>
      <c r="Z119" s="17" t="str">
        <f aca="false">IF((E119="a"),H119," ")</f>
        <v> </v>
      </c>
      <c r="AA119" s="17" t="str">
        <f aca="false">IF((E119="g"),H119," ")</f>
        <v> </v>
      </c>
      <c r="AB119" s="17" t="str">
        <f aca="false">IF((E119="h"),H119," ")</f>
        <v> </v>
      </c>
      <c r="AC119" s="30" t="str">
        <f aca="false">IF((E119="v"),H119," ")</f>
        <v> </v>
      </c>
      <c r="AD119" s="30" t="str">
        <f aca="false">IF((E119="n"),H119," ")</f>
        <v> </v>
      </c>
      <c r="AE119" s="17" t="str">
        <f aca="false">IF((E119="f"),H119," ")</f>
        <v> </v>
      </c>
      <c r="AF119" s="17" t="str">
        <f aca="false">IF((E119="l"),H119," ")</f>
        <v> </v>
      </c>
      <c r="AG119" s="17" t="str">
        <f aca="false">IF((E119="y"),H119," ")</f>
        <v> </v>
      </c>
      <c r="AH119" s="17" t="str">
        <f aca="false">IF((E119="z"),H119," ")</f>
        <v> </v>
      </c>
      <c r="AI119" s="17" t="str">
        <f aca="false">IF((E119="fa"),H119," ")</f>
        <v> </v>
      </c>
      <c r="AJ119" s="17" t="str">
        <f aca="false">IF((E119="e"),H119," ")</f>
        <v> </v>
      </c>
    </row>
    <row r="120" customFormat="false" ht="12" hidden="false" customHeight="false" outlineLevel="0" collapsed="false">
      <c r="A120" s="28"/>
      <c r="E120" s="2" t="str">
        <f aca="false">IF((F120&lt;&gt;0),"Enter Letter"," ")</f>
        <v> </v>
      </c>
      <c r="F120" s="30"/>
      <c r="G120" s="6" t="str">
        <f aca="false">IF(F120&lt;&gt;0,F120*G$2/(100+G$2)," ")</f>
        <v> </v>
      </c>
      <c r="H120" s="6" t="str">
        <f aca="false">IF((F120&lt;&gt;0),F120-G120," ")</f>
        <v> </v>
      </c>
      <c r="I120" s="5"/>
      <c r="L120" s="7" t="str">
        <f aca="false">IF(F120&lt;&gt;0,F120-K120," ")</f>
        <v> </v>
      </c>
      <c r="M120" s="8" t="str">
        <f aca="false">IF((F120-K120)&lt;&gt;0,M$1-A120," ")</f>
        <v> </v>
      </c>
      <c r="N120" s="5"/>
      <c r="O120" s="17" t="str">
        <f aca="false">IF((E120="s"),H120," ")</f>
        <v> </v>
      </c>
      <c r="P120" s="17" t="str">
        <f aca="false">IF((E120="c"),H120," ")</f>
        <v> </v>
      </c>
      <c r="Q120" s="17" t="str">
        <f aca="false">IF((E120="o"),H120," ")</f>
        <v> </v>
      </c>
      <c r="R120" s="17" t="str">
        <f aca="false">IF((E120="d"),H120," ")</f>
        <v> </v>
      </c>
      <c r="S120" s="17" t="str">
        <f aca="false">IF((E120="w"),H120," ")</f>
        <v> </v>
      </c>
      <c r="T120" s="17" t="str">
        <f aca="false">IF((E120="r"),H120," ")</f>
        <v> </v>
      </c>
      <c r="U120" s="17" t="str">
        <f aca="false">IF((E120="p"),H120," ")</f>
        <v> </v>
      </c>
      <c r="V120" s="17" t="str">
        <f aca="false">IF((E120="t"),H120," ")</f>
        <v> </v>
      </c>
      <c r="W120" s="17" t="str">
        <f aca="false">IF((E120="q"),H120," ")</f>
        <v> </v>
      </c>
      <c r="X120" s="17" t="str">
        <f aca="false">IF((E120="m"),H120," ")</f>
        <v> </v>
      </c>
      <c r="Y120" s="17" t="str">
        <f aca="false">IF((E120="u"),H120," ")</f>
        <v> </v>
      </c>
      <c r="Z120" s="17" t="str">
        <f aca="false">IF((E120="a"),H120," ")</f>
        <v> </v>
      </c>
      <c r="AA120" s="17" t="str">
        <f aca="false">IF((E120="g"),H120," ")</f>
        <v> </v>
      </c>
      <c r="AB120" s="17" t="str">
        <f aca="false">IF((E120="h"),H120," ")</f>
        <v> </v>
      </c>
      <c r="AC120" s="30" t="str">
        <f aca="false">IF((E120="v"),H120," ")</f>
        <v> </v>
      </c>
      <c r="AD120" s="30" t="str">
        <f aca="false">IF((E120="n"),H120," ")</f>
        <v> </v>
      </c>
      <c r="AE120" s="17" t="str">
        <f aca="false">IF((E120="f"),H120," ")</f>
        <v> </v>
      </c>
      <c r="AF120" s="17" t="str">
        <f aca="false">IF((E120="l"),H120," ")</f>
        <v> </v>
      </c>
      <c r="AG120" s="17" t="str">
        <f aca="false">IF((E120="y"),H120," ")</f>
        <v> </v>
      </c>
      <c r="AH120" s="17" t="str">
        <f aca="false">IF((E120="z"),H120," ")</f>
        <v> </v>
      </c>
      <c r="AI120" s="17" t="str">
        <f aca="false">IF((E120="fa"),H120," ")</f>
        <v> </v>
      </c>
      <c r="AJ120" s="17" t="str">
        <f aca="false">IF((E120="e"),H120," ")</f>
        <v> </v>
      </c>
    </row>
    <row r="121" customFormat="false" ht="12" hidden="false" customHeight="false" outlineLevel="0" collapsed="false">
      <c r="A121" s="28"/>
      <c r="E121" s="2" t="str">
        <f aca="false">IF((F121&lt;&gt;0),"Enter Letter"," ")</f>
        <v> </v>
      </c>
      <c r="F121" s="30"/>
      <c r="G121" s="6" t="str">
        <f aca="false">IF(F121&lt;&gt;0,F121*G$2/(100+G$2)," ")</f>
        <v> </v>
      </c>
      <c r="H121" s="6" t="str">
        <f aca="false">IF((F121&lt;&gt;0),F121-G121," ")</f>
        <v> </v>
      </c>
      <c r="I121" s="5"/>
      <c r="L121" s="7" t="str">
        <f aca="false">IF(F121&lt;&gt;0,F121-K121," ")</f>
        <v> </v>
      </c>
      <c r="M121" s="8" t="str">
        <f aca="false">IF((F121-K121)&lt;&gt;0,M$1-A121," ")</f>
        <v> </v>
      </c>
      <c r="N121" s="5"/>
      <c r="O121" s="17" t="str">
        <f aca="false">IF((E121="s"),H121," ")</f>
        <v> </v>
      </c>
      <c r="P121" s="17" t="str">
        <f aca="false">IF((E121="c"),H121," ")</f>
        <v> </v>
      </c>
      <c r="Q121" s="17" t="str">
        <f aca="false">IF((E121="o"),H121," ")</f>
        <v> </v>
      </c>
      <c r="R121" s="17" t="str">
        <f aca="false">IF((E121="d"),H121," ")</f>
        <v> </v>
      </c>
      <c r="S121" s="17" t="str">
        <f aca="false">IF((E121="w"),H121," ")</f>
        <v> </v>
      </c>
      <c r="T121" s="17" t="str">
        <f aca="false">IF((E121="r"),H121," ")</f>
        <v> </v>
      </c>
      <c r="U121" s="17" t="str">
        <f aca="false">IF((E121="p"),H121," ")</f>
        <v> </v>
      </c>
      <c r="V121" s="17" t="str">
        <f aca="false">IF((E121="t"),H121," ")</f>
        <v> </v>
      </c>
      <c r="W121" s="17" t="str">
        <f aca="false">IF((E121="q"),H121," ")</f>
        <v> </v>
      </c>
      <c r="X121" s="17" t="str">
        <f aca="false">IF((E121="m"),H121," ")</f>
        <v> </v>
      </c>
      <c r="Y121" s="17" t="str">
        <f aca="false">IF((E121="u"),H121," ")</f>
        <v> </v>
      </c>
      <c r="Z121" s="17" t="str">
        <f aca="false">IF((E121="a"),H121," ")</f>
        <v> </v>
      </c>
      <c r="AA121" s="17" t="str">
        <f aca="false">IF((E121="g"),H121," ")</f>
        <v> </v>
      </c>
      <c r="AB121" s="17" t="str">
        <f aca="false">IF((E121="h"),H121," ")</f>
        <v> </v>
      </c>
      <c r="AC121" s="30" t="str">
        <f aca="false">IF((E121="v"),H121," ")</f>
        <v> </v>
      </c>
      <c r="AD121" s="30" t="str">
        <f aca="false">IF((E121="n"),H121," ")</f>
        <v> </v>
      </c>
      <c r="AE121" s="17" t="str">
        <f aca="false">IF((E121="f"),H121," ")</f>
        <v> </v>
      </c>
      <c r="AF121" s="17" t="str">
        <f aca="false">IF((E121="l"),H121," ")</f>
        <v> </v>
      </c>
      <c r="AG121" s="17" t="str">
        <f aca="false">IF((E121="y"),H121," ")</f>
        <v> </v>
      </c>
      <c r="AH121" s="17" t="str">
        <f aca="false">IF((E121="z"),H121," ")</f>
        <v> </v>
      </c>
      <c r="AI121" s="17" t="str">
        <f aca="false">IF((E121="fa"),H121," ")</f>
        <v> </v>
      </c>
      <c r="AJ121" s="17" t="str">
        <f aca="false">IF((E121="e"),H121," ")</f>
        <v> </v>
      </c>
    </row>
    <row r="122" customFormat="false" ht="12" hidden="false" customHeight="false" outlineLevel="0" collapsed="false">
      <c r="A122" s="28"/>
      <c r="E122" s="2" t="str">
        <f aca="false">IF((F122&lt;&gt;0),"Enter Letter"," ")</f>
        <v> </v>
      </c>
      <c r="F122" s="30"/>
      <c r="G122" s="6" t="str">
        <f aca="false">IF(F122&lt;&gt;0,F122*G$2/(100+G$2)," ")</f>
        <v> </v>
      </c>
      <c r="H122" s="6" t="str">
        <f aca="false">IF((F122&lt;&gt;0),F122-G122," ")</f>
        <v> </v>
      </c>
      <c r="I122" s="5"/>
      <c r="L122" s="7" t="str">
        <f aca="false">IF(F122&lt;&gt;0,F122-K122," ")</f>
        <v> </v>
      </c>
      <c r="M122" s="8" t="str">
        <f aca="false">IF((F122-K122)&lt;&gt;0,M$1-A122," ")</f>
        <v> </v>
      </c>
      <c r="N122" s="5"/>
      <c r="O122" s="17" t="str">
        <f aca="false">IF((E122="s"),H122," ")</f>
        <v> </v>
      </c>
      <c r="P122" s="17" t="str">
        <f aca="false">IF((E122="c"),H122," ")</f>
        <v> </v>
      </c>
      <c r="Q122" s="17" t="str">
        <f aca="false">IF((E122="o"),H122," ")</f>
        <v> </v>
      </c>
      <c r="R122" s="17" t="str">
        <f aca="false">IF((E122="d"),H122," ")</f>
        <v> </v>
      </c>
      <c r="S122" s="17" t="str">
        <f aca="false">IF((E122="w"),H122," ")</f>
        <v> </v>
      </c>
      <c r="T122" s="17" t="str">
        <f aca="false">IF((E122="r"),H122," ")</f>
        <v> </v>
      </c>
      <c r="U122" s="17" t="str">
        <f aca="false">IF((E122="p"),H122," ")</f>
        <v> </v>
      </c>
      <c r="V122" s="17" t="str">
        <f aca="false">IF((E122="t"),H122," ")</f>
        <v> </v>
      </c>
      <c r="W122" s="17" t="str">
        <f aca="false">IF((E122="q"),H122," ")</f>
        <v> </v>
      </c>
      <c r="X122" s="17" t="str">
        <f aca="false">IF((E122="m"),H122," ")</f>
        <v> </v>
      </c>
      <c r="Y122" s="17" t="str">
        <f aca="false">IF((E122="u"),H122," ")</f>
        <v> </v>
      </c>
      <c r="Z122" s="17" t="str">
        <f aca="false">IF((E122="a"),H122," ")</f>
        <v> </v>
      </c>
      <c r="AA122" s="17" t="str">
        <f aca="false">IF((E122="g"),H122," ")</f>
        <v> </v>
      </c>
      <c r="AB122" s="17" t="str">
        <f aca="false">IF((E122="h"),H122," ")</f>
        <v> </v>
      </c>
      <c r="AC122" s="30" t="str">
        <f aca="false">IF((E122="v"),H122," ")</f>
        <v> </v>
      </c>
      <c r="AD122" s="30" t="str">
        <f aca="false">IF((E122="n"),H122," ")</f>
        <v> </v>
      </c>
      <c r="AE122" s="17" t="str">
        <f aca="false">IF((E122="f"),H122," ")</f>
        <v> </v>
      </c>
      <c r="AF122" s="17" t="str">
        <f aca="false">IF((E122="l"),H122," ")</f>
        <v> </v>
      </c>
      <c r="AG122" s="17" t="str">
        <f aca="false">IF((E122="y"),H122," ")</f>
        <v> </v>
      </c>
      <c r="AH122" s="17" t="str">
        <f aca="false">IF((E122="z"),H122," ")</f>
        <v> </v>
      </c>
      <c r="AI122" s="17" t="str">
        <f aca="false">IF((E122="fa"),H122," ")</f>
        <v> </v>
      </c>
      <c r="AJ122" s="17" t="str">
        <f aca="false">IF((E122="e"),H122," ")</f>
        <v> </v>
      </c>
    </row>
    <row r="123" customFormat="false" ht="12" hidden="false" customHeight="false" outlineLevel="0" collapsed="false">
      <c r="A123" s="28"/>
      <c r="E123" s="2" t="str">
        <f aca="false">IF((F123&lt;&gt;0),"Enter Letter"," ")</f>
        <v> </v>
      </c>
      <c r="F123" s="30"/>
      <c r="G123" s="6" t="str">
        <f aca="false">IF(F123&lt;&gt;0,F123*G$2/(100+G$2)," ")</f>
        <v> </v>
      </c>
      <c r="H123" s="6" t="str">
        <f aca="false">IF((F123&lt;&gt;0),F123-G123," ")</f>
        <v> </v>
      </c>
      <c r="I123" s="5"/>
      <c r="L123" s="7" t="str">
        <f aca="false">IF(F123&lt;&gt;0,F123-K123," ")</f>
        <v> </v>
      </c>
      <c r="M123" s="8" t="str">
        <f aca="false">IF((F123-K123)&lt;&gt;0,M$1-A123," ")</f>
        <v> </v>
      </c>
      <c r="N123" s="5"/>
      <c r="O123" s="17" t="str">
        <f aca="false">IF((E123="s"),H123," ")</f>
        <v> </v>
      </c>
      <c r="P123" s="17" t="str">
        <f aca="false">IF((E123="c"),H123," ")</f>
        <v> </v>
      </c>
      <c r="Q123" s="17" t="str">
        <f aca="false">IF((E123="o"),H123," ")</f>
        <v> </v>
      </c>
      <c r="R123" s="17" t="str">
        <f aca="false">IF((E123="d"),H123," ")</f>
        <v> </v>
      </c>
      <c r="S123" s="17" t="str">
        <f aca="false">IF((E123="w"),H123," ")</f>
        <v> </v>
      </c>
      <c r="T123" s="17" t="str">
        <f aca="false">IF((E123="r"),H123," ")</f>
        <v> </v>
      </c>
      <c r="U123" s="17" t="str">
        <f aca="false">IF((E123="p"),H123," ")</f>
        <v> </v>
      </c>
      <c r="V123" s="17" t="str">
        <f aca="false">IF((E123="t"),H123," ")</f>
        <v> </v>
      </c>
      <c r="W123" s="17" t="str">
        <f aca="false">IF((E123="q"),H123," ")</f>
        <v> </v>
      </c>
      <c r="X123" s="17" t="str">
        <f aca="false">IF((E123="m"),H123," ")</f>
        <v> </v>
      </c>
      <c r="Y123" s="17" t="str">
        <f aca="false">IF((E123="u"),H123," ")</f>
        <v> </v>
      </c>
      <c r="Z123" s="17" t="str">
        <f aca="false">IF((E123="a"),H123," ")</f>
        <v> </v>
      </c>
      <c r="AA123" s="17" t="str">
        <f aca="false">IF((E123="g"),H123," ")</f>
        <v> </v>
      </c>
      <c r="AB123" s="17" t="str">
        <f aca="false">IF((E123="h"),H123," ")</f>
        <v> </v>
      </c>
      <c r="AC123" s="30" t="str">
        <f aca="false">IF((E123="v"),H123," ")</f>
        <v> </v>
      </c>
      <c r="AD123" s="30" t="str">
        <f aca="false">IF((E123="n"),H123," ")</f>
        <v> </v>
      </c>
      <c r="AE123" s="17" t="str">
        <f aca="false">IF((E123="f"),H123," ")</f>
        <v> </v>
      </c>
      <c r="AF123" s="17" t="str">
        <f aca="false">IF((E123="l"),H123," ")</f>
        <v> </v>
      </c>
      <c r="AG123" s="17" t="str">
        <f aca="false">IF((E123="y"),H123," ")</f>
        <v> </v>
      </c>
      <c r="AH123" s="17" t="str">
        <f aca="false">IF((E123="z"),H123," ")</f>
        <v> </v>
      </c>
      <c r="AI123" s="17" t="str">
        <f aca="false">IF((E123="fa"),H123," ")</f>
        <v> </v>
      </c>
      <c r="AJ123" s="17" t="str">
        <f aca="false">IF((E123="e"),H123," ")</f>
        <v> </v>
      </c>
    </row>
    <row r="124" customFormat="false" ht="12" hidden="false" customHeight="false" outlineLevel="0" collapsed="false">
      <c r="A124" s="28"/>
      <c r="E124" s="2" t="str">
        <f aca="false">IF((F124&lt;&gt;0),"Enter Letter"," ")</f>
        <v> </v>
      </c>
      <c r="F124" s="30"/>
      <c r="G124" s="6" t="str">
        <f aca="false">IF(F124&lt;&gt;0,F124*G$2/(100+G$2)," ")</f>
        <v> </v>
      </c>
      <c r="H124" s="6" t="str">
        <f aca="false">IF((F124&lt;&gt;0),F124-G124," ")</f>
        <v> </v>
      </c>
      <c r="I124" s="5"/>
      <c r="L124" s="7" t="str">
        <f aca="false">IF(F124&lt;&gt;0,F124-K124," ")</f>
        <v> </v>
      </c>
      <c r="M124" s="8" t="str">
        <f aca="false">IF((F124-K124)&lt;&gt;0,M$1-A124," ")</f>
        <v> </v>
      </c>
      <c r="N124" s="5"/>
      <c r="O124" s="17" t="str">
        <f aca="false">IF((E124="s"),H124," ")</f>
        <v> </v>
      </c>
      <c r="P124" s="17" t="str">
        <f aca="false">IF((E124="c"),H124," ")</f>
        <v> </v>
      </c>
      <c r="Q124" s="17" t="str">
        <f aca="false">IF((E124="o"),H124," ")</f>
        <v> </v>
      </c>
      <c r="R124" s="17" t="str">
        <f aca="false">IF((E124="d"),H124," ")</f>
        <v> </v>
      </c>
      <c r="S124" s="17" t="str">
        <f aca="false">IF((E124="w"),H124," ")</f>
        <v> </v>
      </c>
      <c r="T124" s="17" t="str">
        <f aca="false">IF((E124="r"),H124," ")</f>
        <v> </v>
      </c>
      <c r="U124" s="17" t="str">
        <f aca="false">IF((E124="p"),H124," ")</f>
        <v> </v>
      </c>
      <c r="V124" s="17" t="str">
        <f aca="false">IF((E124="t"),H124," ")</f>
        <v> </v>
      </c>
      <c r="W124" s="17" t="str">
        <f aca="false">IF((E124="q"),H124," ")</f>
        <v> </v>
      </c>
      <c r="X124" s="17" t="str">
        <f aca="false">IF((E124="m"),H124," ")</f>
        <v> </v>
      </c>
      <c r="Y124" s="17" t="str">
        <f aca="false">IF((E124="u"),H124," ")</f>
        <v> </v>
      </c>
      <c r="Z124" s="17" t="str">
        <f aca="false">IF((E124="a"),H124," ")</f>
        <v> </v>
      </c>
      <c r="AA124" s="17" t="str">
        <f aca="false">IF((E124="g"),H124," ")</f>
        <v> </v>
      </c>
      <c r="AB124" s="17" t="str">
        <f aca="false">IF((E124="h"),H124," ")</f>
        <v> </v>
      </c>
      <c r="AC124" s="30" t="str">
        <f aca="false">IF((E124="v"),H124," ")</f>
        <v> </v>
      </c>
      <c r="AD124" s="30" t="str">
        <f aca="false">IF((E124="n"),H124," ")</f>
        <v> </v>
      </c>
      <c r="AE124" s="17" t="str">
        <f aca="false">IF((E124="f"),H124," ")</f>
        <v> </v>
      </c>
      <c r="AF124" s="17" t="str">
        <f aca="false">IF((E124="l"),H124," ")</f>
        <v> </v>
      </c>
      <c r="AG124" s="17" t="str">
        <f aca="false">IF((E124="y"),H124," ")</f>
        <v> </v>
      </c>
      <c r="AH124" s="17" t="str">
        <f aca="false">IF((E124="z"),H124," ")</f>
        <v> </v>
      </c>
      <c r="AI124" s="17" t="str">
        <f aca="false">IF((E124="fa"),H124," ")</f>
        <v> </v>
      </c>
      <c r="AJ124" s="17" t="str">
        <f aca="false">IF((E124="e"),H124," ")</f>
        <v> </v>
      </c>
    </row>
    <row r="125" customFormat="false" ht="12" hidden="false" customHeight="false" outlineLevel="0" collapsed="false">
      <c r="A125" s="28"/>
      <c r="E125" s="2" t="str">
        <f aca="false">IF((F125&lt;&gt;0),"Enter Letter"," ")</f>
        <v> </v>
      </c>
      <c r="F125" s="30"/>
      <c r="G125" s="6" t="str">
        <f aca="false">IF(F125&lt;&gt;0,F125*G$2/(100+G$2)," ")</f>
        <v> </v>
      </c>
      <c r="H125" s="6" t="str">
        <f aca="false">IF((F125&lt;&gt;0),F125-G125," ")</f>
        <v> </v>
      </c>
      <c r="I125" s="5"/>
      <c r="L125" s="7" t="str">
        <f aca="false">IF(F125&lt;&gt;0,F125-K125," ")</f>
        <v> </v>
      </c>
      <c r="M125" s="8" t="str">
        <f aca="false">IF((F125-K125)&lt;&gt;0,M$1-A125," ")</f>
        <v> </v>
      </c>
      <c r="N125" s="5"/>
      <c r="O125" s="17" t="str">
        <f aca="false">IF((E125="s"),H125," ")</f>
        <v> </v>
      </c>
      <c r="P125" s="17" t="str">
        <f aca="false">IF((E125="c"),H125," ")</f>
        <v> </v>
      </c>
      <c r="Q125" s="17" t="str">
        <f aca="false">IF((E125="o"),H125," ")</f>
        <v> </v>
      </c>
      <c r="R125" s="17" t="str">
        <f aca="false">IF((E125="d"),H125," ")</f>
        <v> </v>
      </c>
      <c r="S125" s="17" t="str">
        <f aca="false">IF((E125="w"),H125," ")</f>
        <v> </v>
      </c>
      <c r="T125" s="17" t="str">
        <f aca="false">IF((E125="r"),H125," ")</f>
        <v> </v>
      </c>
      <c r="U125" s="17" t="str">
        <f aca="false">IF((E125="p"),H125," ")</f>
        <v> </v>
      </c>
      <c r="V125" s="17" t="str">
        <f aca="false">IF((E125="t"),H125," ")</f>
        <v> </v>
      </c>
      <c r="W125" s="17" t="str">
        <f aca="false">IF((E125="q"),H125," ")</f>
        <v> </v>
      </c>
      <c r="X125" s="17" t="str">
        <f aca="false">IF((E125="m"),H125," ")</f>
        <v> </v>
      </c>
      <c r="Y125" s="17" t="str">
        <f aca="false">IF((E125="u"),H125," ")</f>
        <v> </v>
      </c>
      <c r="Z125" s="17" t="str">
        <f aca="false">IF((E125="a"),H125," ")</f>
        <v> </v>
      </c>
      <c r="AA125" s="17" t="str">
        <f aca="false">IF((E125="g"),H125," ")</f>
        <v> </v>
      </c>
      <c r="AB125" s="17" t="str">
        <f aca="false">IF((E125="h"),H125," ")</f>
        <v> </v>
      </c>
      <c r="AC125" s="30" t="str">
        <f aca="false">IF((E125="v"),H125," ")</f>
        <v> </v>
      </c>
      <c r="AD125" s="30" t="str">
        <f aca="false">IF((E125="n"),H125," ")</f>
        <v> </v>
      </c>
      <c r="AE125" s="17" t="str">
        <f aca="false">IF((E125="f"),H125," ")</f>
        <v> </v>
      </c>
      <c r="AF125" s="17" t="str">
        <f aca="false">IF((E125="l"),H125," ")</f>
        <v> </v>
      </c>
      <c r="AG125" s="17" t="str">
        <f aca="false">IF((E125="y"),H125," ")</f>
        <v> </v>
      </c>
      <c r="AH125" s="17" t="str">
        <f aca="false">IF((E125="z"),H125," ")</f>
        <v> </v>
      </c>
      <c r="AI125" s="17" t="str">
        <f aca="false">IF((E125="fa"),H125," ")</f>
        <v> </v>
      </c>
      <c r="AJ125" s="17" t="str">
        <f aca="false">IF((E125="e"),H125," ")</f>
        <v> </v>
      </c>
    </row>
    <row r="126" customFormat="false" ht="12" hidden="false" customHeight="false" outlineLevel="0" collapsed="false">
      <c r="A126" s="28"/>
      <c r="E126" s="2" t="str">
        <f aca="false">IF((F126&lt;&gt;0),"Enter Letter"," ")</f>
        <v> </v>
      </c>
      <c r="F126" s="30"/>
      <c r="G126" s="6" t="str">
        <f aca="false">IF(F126&lt;&gt;0,F126*G$2/(100+G$2)," ")</f>
        <v> </v>
      </c>
      <c r="H126" s="6" t="str">
        <f aca="false">IF((F126&lt;&gt;0),F126-G126," ")</f>
        <v> </v>
      </c>
      <c r="I126" s="5"/>
      <c r="L126" s="7" t="str">
        <f aca="false">IF(F126&lt;&gt;0,F126-K126," ")</f>
        <v> </v>
      </c>
      <c r="M126" s="8" t="str">
        <f aca="false">IF((F126-K126)&lt;&gt;0,M$1-A126," ")</f>
        <v> </v>
      </c>
      <c r="N126" s="5"/>
      <c r="O126" s="17" t="str">
        <f aca="false">IF((E126="s"),H126," ")</f>
        <v> </v>
      </c>
      <c r="P126" s="17" t="str">
        <f aca="false">IF((E126="c"),H126," ")</f>
        <v> </v>
      </c>
      <c r="Q126" s="17" t="str">
        <f aca="false">IF((E126="o"),H126," ")</f>
        <v> </v>
      </c>
      <c r="R126" s="17" t="str">
        <f aca="false">IF((E126="d"),H126," ")</f>
        <v> </v>
      </c>
      <c r="S126" s="17" t="str">
        <f aca="false">IF((E126="w"),H126," ")</f>
        <v> </v>
      </c>
      <c r="T126" s="17" t="str">
        <f aca="false">IF((E126="r"),H126," ")</f>
        <v> </v>
      </c>
      <c r="U126" s="17" t="str">
        <f aca="false">IF((E126="p"),H126," ")</f>
        <v> </v>
      </c>
      <c r="V126" s="17" t="str">
        <f aca="false">IF((E126="t"),H126," ")</f>
        <v> </v>
      </c>
      <c r="W126" s="17" t="str">
        <f aca="false">IF((E126="q"),H126," ")</f>
        <v> </v>
      </c>
      <c r="X126" s="17" t="str">
        <f aca="false">IF((E126="m"),H126," ")</f>
        <v> </v>
      </c>
      <c r="Y126" s="17" t="str">
        <f aca="false">IF((E126="u"),H126," ")</f>
        <v> </v>
      </c>
      <c r="Z126" s="17" t="str">
        <f aca="false">IF((E126="a"),H126," ")</f>
        <v> </v>
      </c>
      <c r="AA126" s="17" t="str">
        <f aca="false">IF((E126="g"),H126," ")</f>
        <v> </v>
      </c>
      <c r="AB126" s="17" t="str">
        <f aca="false">IF((E126="h"),H126," ")</f>
        <v> </v>
      </c>
      <c r="AC126" s="30" t="str">
        <f aca="false">IF((E126="v"),H126," ")</f>
        <v> </v>
      </c>
      <c r="AD126" s="30" t="str">
        <f aca="false">IF((E126="n"),H126," ")</f>
        <v> </v>
      </c>
      <c r="AE126" s="17" t="str">
        <f aca="false">IF((E126="f"),H126," ")</f>
        <v> </v>
      </c>
      <c r="AF126" s="17" t="str">
        <f aca="false">IF((E126="l"),H126," ")</f>
        <v> </v>
      </c>
      <c r="AG126" s="17" t="str">
        <f aca="false">IF((E126="y"),H126," ")</f>
        <v> </v>
      </c>
      <c r="AH126" s="17" t="str">
        <f aca="false">IF((E126="z"),H126," ")</f>
        <v> </v>
      </c>
      <c r="AI126" s="17" t="str">
        <f aca="false">IF((E126="fa"),H126," ")</f>
        <v> </v>
      </c>
      <c r="AJ126" s="17" t="str">
        <f aca="false">IF((E126="e"),H126," ")</f>
        <v> </v>
      </c>
    </row>
    <row r="127" customFormat="false" ht="12" hidden="false" customHeight="false" outlineLevel="0" collapsed="false">
      <c r="A127" s="28"/>
      <c r="E127" s="2" t="str">
        <f aca="false">IF((F127&lt;&gt;0),"Enter Letter"," ")</f>
        <v> </v>
      </c>
      <c r="F127" s="30"/>
      <c r="G127" s="6" t="str">
        <f aca="false">IF(F127&lt;&gt;0,F127*G$2/(100+G$2)," ")</f>
        <v> </v>
      </c>
      <c r="H127" s="6" t="str">
        <f aca="false">IF((F127&lt;&gt;0),F127-G127," ")</f>
        <v> </v>
      </c>
      <c r="I127" s="5"/>
      <c r="L127" s="7" t="str">
        <f aca="false">IF(F127&lt;&gt;0,F127-K127," ")</f>
        <v> </v>
      </c>
      <c r="M127" s="8" t="str">
        <f aca="false">IF((F127-K127)&lt;&gt;0,M$1-A127," ")</f>
        <v> </v>
      </c>
      <c r="N127" s="5"/>
      <c r="O127" s="17" t="str">
        <f aca="false">IF((E127="s"),H127," ")</f>
        <v> </v>
      </c>
      <c r="P127" s="17" t="str">
        <f aca="false">IF((E127="c"),H127," ")</f>
        <v> </v>
      </c>
      <c r="Q127" s="17" t="str">
        <f aca="false">IF((E127="o"),H127," ")</f>
        <v> </v>
      </c>
      <c r="R127" s="17" t="str">
        <f aca="false">IF((E127="d"),H127," ")</f>
        <v> </v>
      </c>
      <c r="S127" s="17" t="str">
        <f aca="false">IF((E127="w"),H127," ")</f>
        <v> </v>
      </c>
      <c r="T127" s="17" t="str">
        <f aca="false">IF((E127="r"),H127," ")</f>
        <v> </v>
      </c>
      <c r="U127" s="17" t="str">
        <f aca="false">IF((E127="p"),H127," ")</f>
        <v> </v>
      </c>
      <c r="V127" s="17" t="str">
        <f aca="false">IF((E127="t"),H127," ")</f>
        <v> </v>
      </c>
      <c r="W127" s="17" t="str">
        <f aca="false">IF((E127="q"),H127," ")</f>
        <v> </v>
      </c>
      <c r="X127" s="17" t="str">
        <f aca="false">IF((E127="m"),H127," ")</f>
        <v> </v>
      </c>
      <c r="Y127" s="17" t="str">
        <f aca="false">IF((E127="u"),H127," ")</f>
        <v> </v>
      </c>
      <c r="Z127" s="17" t="str">
        <f aca="false">IF((E127="a"),H127," ")</f>
        <v> </v>
      </c>
      <c r="AA127" s="17" t="str">
        <f aca="false">IF((E127="g"),H127," ")</f>
        <v> </v>
      </c>
      <c r="AB127" s="17" t="str">
        <f aca="false">IF((E127="h"),H127," ")</f>
        <v> </v>
      </c>
      <c r="AC127" s="30" t="str">
        <f aca="false">IF((E127="v"),H127," ")</f>
        <v> </v>
      </c>
      <c r="AD127" s="30" t="str">
        <f aca="false">IF((E127="n"),H127," ")</f>
        <v> </v>
      </c>
      <c r="AE127" s="17" t="str">
        <f aca="false">IF((E127="f"),H127," ")</f>
        <v> </v>
      </c>
      <c r="AF127" s="17" t="str">
        <f aca="false">IF((E127="l"),H127," ")</f>
        <v> </v>
      </c>
      <c r="AG127" s="17" t="str">
        <f aca="false">IF((E127="y"),H127," ")</f>
        <v> </v>
      </c>
      <c r="AH127" s="17" t="str">
        <f aca="false">IF((E127="z"),H127," ")</f>
        <v> </v>
      </c>
      <c r="AI127" s="17" t="str">
        <f aca="false">IF((E127="fa"),H127," ")</f>
        <v> </v>
      </c>
      <c r="AJ127" s="17" t="str">
        <f aca="false">IF((E127="e"),H127," ")</f>
        <v> </v>
      </c>
    </row>
    <row r="128" customFormat="false" ht="12" hidden="false" customHeight="false" outlineLevel="0" collapsed="false">
      <c r="A128" s="28"/>
      <c r="E128" s="2" t="str">
        <f aca="false">IF((F128&lt;&gt;0),"Enter Letter"," ")</f>
        <v> </v>
      </c>
      <c r="F128" s="30"/>
      <c r="G128" s="6" t="str">
        <f aca="false">IF(F128&lt;&gt;0,F128*G$2/(100+G$2)," ")</f>
        <v> </v>
      </c>
      <c r="H128" s="6" t="str">
        <f aca="false">IF((F128&lt;&gt;0),F128-G128," ")</f>
        <v> </v>
      </c>
      <c r="I128" s="5"/>
      <c r="L128" s="7" t="str">
        <f aca="false">IF(F128&lt;&gt;0,F128-K128," ")</f>
        <v> </v>
      </c>
      <c r="M128" s="8" t="str">
        <f aca="false">IF((F128-K128)&lt;&gt;0,M$1-A128," ")</f>
        <v> </v>
      </c>
      <c r="N128" s="5"/>
      <c r="O128" s="17" t="str">
        <f aca="false">IF((E128="s"),H128," ")</f>
        <v> </v>
      </c>
      <c r="P128" s="17" t="str">
        <f aca="false">IF((E128="c"),H128," ")</f>
        <v> </v>
      </c>
      <c r="Q128" s="17" t="str">
        <f aca="false">IF((E128="o"),H128," ")</f>
        <v> </v>
      </c>
      <c r="R128" s="17" t="str">
        <f aca="false">IF((E128="d"),H128," ")</f>
        <v> </v>
      </c>
      <c r="S128" s="17" t="str">
        <f aca="false">IF((E128="w"),H128," ")</f>
        <v> </v>
      </c>
      <c r="T128" s="17" t="str">
        <f aca="false">IF((E128="r"),H128," ")</f>
        <v> </v>
      </c>
      <c r="U128" s="17" t="str">
        <f aca="false">IF((E128="p"),H128," ")</f>
        <v> </v>
      </c>
      <c r="V128" s="17" t="str">
        <f aca="false">IF((E128="t"),H128," ")</f>
        <v> </v>
      </c>
      <c r="W128" s="17" t="str">
        <f aca="false">IF((E128="q"),H128," ")</f>
        <v> </v>
      </c>
      <c r="X128" s="17" t="str">
        <f aca="false">IF((E128="m"),H128," ")</f>
        <v> </v>
      </c>
      <c r="Y128" s="17" t="str">
        <f aca="false">IF((E128="u"),H128," ")</f>
        <v> </v>
      </c>
      <c r="Z128" s="17" t="str">
        <f aca="false">IF((E128="a"),H128," ")</f>
        <v> </v>
      </c>
      <c r="AA128" s="17" t="str">
        <f aca="false">IF((E128="g"),H128," ")</f>
        <v> </v>
      </c>
      <c r="AB128" s="17" t="str">
        <f aca="false">IF((E128="h"),H128," ")</f>
        <v> </v>
      </c>
      <c r="AC128" s="30" t="str">
        <f aca="false">IF((E128="v"),H128," ")</f>
        <v> </v>
      </c>
      <c r="AD128" s="30" t="str">
        <f aca="false">IF((E128="n"),H128," ")</f>
        <v> </v>
      </c>
      <c r="AE128" s="17" t="str">
        <f aca="false">IF((E128="f"),H128," ")</f>
        <v> </v>
      </c>
      <c r="AF128" s="17" t="str">
        <f aca="false">IF((E128="l"),H128," ")</f>
        <v> </v>
      </c>
      <c r="AG128" s="17" t="str">
        <f aca="false">IF((E128="y"),H128," ")</f>
        <v> </v>
      </c>
      <c r="AH128" s="17" t="str">
        <f aca="false">IF((E128="z"),H128," ")</f>
        <v> </v>
      </c>
      <c r="AI128" s="17" t="str">
        <f aca="false">IF((E128="fa"),H128," ")</f>
        <v> </v>
      </c>
      <c r="AJ128" s="17" t="str">
        <f aca="false">IF((E128="e"),H128," ")</f>
        <v> </v>
      </c>
    </row>
    <row r="129" customFormat="false" ht="12" hidden="false" customHeight="false" outlineLevel="0" collapsed="false">
      <c r="A129" s="28"/>
      <c r="E129" s="2" t="str">
        <f aca="false">IF((F129&lt;&gt;0),"Enter Letter"," ")</f>
        <v> </v>
      </c>
      <c r="F129" s="30"/>
      <c r="G129" s="6" t="str">
        <f aca="false">IF(F129&lt;&gt;0,F129*G$2/(100+G$2)," ")</f>
        <v> </v>
      </c>
      <c r="H129" s="6" t="str">
        <f aca="false">IF((F129&lt;&gt;0),F129-G129," ")</f>
        <v> </v>
      </c>
      <c r="I129" s="5"/>
      <c r="L129" s="7" t="str">
        <f aca="false">IF(F129&lt;&gt;0,F129-K129," ")</f>
        <v> </v>
      </c>
      <c r="M129" s="8" t="str">
        <f aca="false">IF((F129-K129)&lt;&gt;0,M$1-A129," ")</f>
        <v> </v>
      </c>
      <c r="N129" s="5"/>
      <c r="O129" s="17" t="str">
        <f aca="false">IF((E129="s"),H129," ")</f>
        <v> </v>
      </c>
      <c r="P129" s="17" t="str">
        <f aca="false">IF((E129="c"),H129," ")</f>
        <v> </v>
      </c>
      <c r="Q129" s="17" t="str">
        <f aca="false">IF((E129="o"),H129," ")</f>
        <v> </v>
      </c>
      <c r="R129" s="17" t="str">
        <f aca="false">IF((E129="d"),H129," ")</f>
        <v> </v>
      </c>
      <c r="S129" s="17" t="str">
        <f aca="false">IF((E129="w"),H129," ")</f>
        <v> </v>
      </c>
      <c r="T129" s="17" t="str">
        <f aca="false">IF((E129="r"),H129," ")</f>
        <v> </v>
      </c>
      <c r="U129" s="17" t="str">
        <f aca="false">IF((E129="p"),H129," ")</f>
        <v> </v>
      </c>
      <c r="V129" s="17" t="str">
        <f aca="false">IF((E129="t"),H129," ")</f>
        <v> </v>
      </c>
      <c r="W129" s="17" t="str">
        <f aca="false">IF((E129="q"),H129," ")</f>
        <v> </v>
      </c>
      <c r="X129" s="17" t="str">
        <f aca="false">IF((E129="m"),H129," ")</f>
        <v> </v>
      </c>
      <c r="Y129" s="17" t="str">
        <f aca="false">IF((E129="u"),H129," ")</f>
        <v> </v>
      </c>
      <c r="Z129" s="17" t="str">
        <f aca="false">IF((E129="a"),H129," ")</f>
        <v> </v>
      </c>
      <c r="AA129" s="17" t="str">
        <f aca="false">IF((E129="g"),H129," ")</f>
        <v> </v>
      </c>
      <c r="AB129" s="17" t="str">
        <f aca="false">IF((E129="h"),H129," ")</f>
        <v> </v>
      </c>
      <c r="AC129" s="30" t="str">
        <f aca="false">IF((E129="v"),H129," ")</f>
        <v> </v>
      </c>
      <c r="AD129" s="30" t="str">
        <f aca="false">IF((E129="n"),H129," ")</f>
        <v> </v>
      </c>
      <c r="AE129" s="17" t="str">
        <f aca="false">IF((E129="f"),H129," ")</f>
        <v> </v>
      </c>
      <c r="AF129" s="17" t="str">
        <f aca="false">IF((E129="l"),H129," ")</f>
        <v> </v>
      </c>
      <c r="AG129" s="17" t="str">
        <f aca="false">IF((E129="y"),H129," ")</f>
        <v> </v>
      </c>
      <c r="AH129" s="17" t="str">
        <f aca="false">IF((E129="z"),H129," ")</f>
        <v> </v>
      </c>
      <c r="AI129" s="17" t="str">
        <f aca="false">IF((E129="fa"),H129," ")</f>
        <v> </v>
      </c>
      <c r="AJ129" s="17" t="str">
        <f aca="false">IF((E129="e"),H129," ")</f>
        <v> </v>
      </c>
    </row>
    <row r="130" customFormat="false" ht="12" hidden="false" customHeight="false" outlineLevel="0" collapsed="false">
      <c r="A130" s="28"/>
      <c r="E130" s="2" t="str">
        <f aca="false">IF((F130&lt;&gt;0),"Enter Letter"," ")</f>
        <v> </v>
      </c>
      <c r="F130" s="30"/>
      <c r="G130" s="6" t="str">
        <f aca="false">IF(F130&lt;&gt;0,F130*G$2/(100+G$2)," ")</f>
        <v> </v>
      </c>
      <c r="H130" s="6" t="str">
        <f aca="false">IF((F130&lt;&gt;0),F130-G130," ")</f>
        <v> </v>
      </c>
      <c r="I130" s="5"/>
      <c r="L130" s="7" t="str">
        <f aca="false">IF(F130&lt;&gt;0,F130-K130," ")</f>
        <v> </v>
      </c>
      <c r="M130" s="8" t="str">
        <f aca="false">IF((F130-K130)&lt;&gt;0,M$1-A130," ")</f>
        <v> </v>
      </c>
      <c r="N130" s="5"/>
      <c r="O130" s="17" t="str">
        <f aca="false">IF((E130="s"),H130," ")</f>
        <v> </v>
      </c>
      <c r="P130" s="17" t="str">
        <f aca="false">IF((E130="c"),H130," ")</f>
        <v> </v>
      </c>
      <c r="Q130" s="17" t="str">
        <f aca="false">IF((E130="o"),H130," ")</f>
        <v> </v>
      </c>
      <c r="R130" s="17" t="str">
        <f aca="false">IF((E130="d"),H130," ")</f>
        <v> </v>
      </c>
      <c r="S130" s="17" t="str">
        <f aca="false">IF((E130="w"),H130," ")</f>
        <v> </v>
      </c>
      <c r="T130" s="17" t="str">
        <f aca="false">IF((E130="r"),H130," ")</f>
        <v> </v>
      </c>
      <c r="U130" s="17" t="str">
        <f aca="false">IF((E130="p"),H130," ")</f>
        <v> </v>
      </c>
      <c r="V130" s="17" t="str">
        <f aca="false">IF((E130="t"),H130," ")</f>
        <v> </v>
      </c>
      <c r="W130" s="17" t="str">
        <f aca="false">IF((E130="q"),H130," ")</f>
        <v> </v>
      </c>
      <c r="X130" s="17" t="str">
        <f aca="false">IF((E130="m"),H130," ")</f>
        <v> </v>
      </c>
      <c r="Y130" s="17" t="str">
        <f aca="false">IF((E130="u"),H130," ")</f>
        <v> </v>
      </c>
      <c r="Z130" s="17" t="str">
        <f aca="false">IF((E130="a"),H130," ")</f>
        <v> </v>
      </c>
      <c r="AA130" s="17" t="str">
        <f aca="false">IF((E130="g"),H130," ")</f>
        <v> </v>
      </c>
      <c r="AB130" s="17" t="str">
        <f aca="false">IF((E130="h"),H130," ")</f>
        <v> </v>
      </c>
      <c r="AC130" s="30" t="str">
        <f aca="false">IF((E130="v"),H130," ")</f>
        <v> </v>
      </c>
      <c r="AD130" s="30" t="str">
        <f aca="false">IF((E130="n"),H130," ")</f>
        <v> </v>
      </c>
      <c r="AE130" s="17" t="str">
        <f aca="false">IF((E130="f"),H130," ")</f>
        <v> </v>
      </c>
      <c r="AF130" s="17" t="str">
        <f aca="false">IF((E130="l"),H130," ")</f>
        <v> </v>
      </c>
      <c r="AG130" s="17" t="str">
        <f aca="false">IF((E130="y"),H130," ")</f>
        <v> </v>
      </c>
      <c r="AH130" s="17" t="str">
        <f aca="false">IF((E130="z"),H130," ")</f>
        <v> </v>
      </c>
      <c r="AI130" s="17" t="str">
        <f aca="false">IF((E130="fa"),H130," ")</f>
        <v> </v>
      </c>
      <c r="AJ130" s="17" t="str">
        <f aca="false">IF((E130="e"),H130," ")</f>
        <v> </v>
      </c>
    </row>
    <row r="131" customFormat="false" ht="12" hidden="false" customHeight="false" outlineLevel="0" collapsed="false">
      <c r="A131" s="28"/>
      <c r="E131" s="2" t="str">
        <f aca="false">IF((F131&lt;&gt;0),"Enter Letter"," ")</f>
        <v> </v>
      </c>
      <c r="F131" s="30"/>
      <c r="G131" s="6" t="str">
        <f aca="false">IF(F131&lt;&gt;0,F131*G$2/(100+G$2)," ")</f>
        <v> </v>
      </c>
      <c r="H131" s="6" t="str">
        <f aca="false">IF((F131&lt;&gt;0),F131-G131," ")</f>
        <v> </v>
      </c>
      <c r="I131" s="5"/>
      <c r="L131" s="7" t="str">
        <f aca="false">IF(F131&lt;&gt;0,F131-K131," ")</f>
        <v> </v>
      </c>
      <c r="M131" s="8" t="str">
        <f aca="false">IF((F131-K131)&lt;&gt;0,M$1-A131," ")</f>
        <v> </v>
      </c>
      <c r="N131" s="5"/>
      <c r="O131" s="17" t="str">
        <f aca="false">IF((E131="s"),H131," ")</f>
        <v> </v>
      </c>
      <c r="P131" s="17" t="str">
        <f aca="false">IF((E131="c"),H131," ")</f>
        <v> </v>
      </c>
      <c r="Q131" s="17" t="str">
        <f aca="false">IF((E131="o"),H131," ")</f>
        <v> </v>
      </c>
      <c r="R131" s="17" t="str">
        <f aca="false">IF((E131="d"),H131," ")</f>
        <v> </v>
      </c>
      <c r="S131" s="17" t="str">
        <f aca="false">IF((E131="w"),H131," ")</f>
        <v> </v>
      </c>
      <c r="T131" s="17" t="str">
        <f aca="false">IF((E131="r"),H131," ")</f>
        <v> </v>
      </c>
      <c r="U131" s="17" t="str">
        <f aca="false">IF((E131="p"),H131," ")</f>
        <v> </v>
      </c>
      <c r="V131" s="17" t="str">
        <f aca="false">IF((E131="t"),H131," ")</f>
        <v> </v>
      </c>
      <c r="W131" s="17" t="str">
        <f aca="false">IF((E131="q"),H131," ")</f>
        <v> </v>
      </c>
      <c r="X131" s="17" t="str">
        <f aca="false">IF((E131="m"),H131," ")</f>
        <v> </v>
      </c>
      <c r="Y131" s="17" t="str">
        <f aca="false">IF((E131="u"),H131," ")</f>
        <v> </v>
      </c>
      <c r="Z131" s="17" t="str">
        <f aca="false">IF((E131="a"),H131," ")</f>
        <v> </v>
      </c>
      <c r="AA131" s="17" t="str">
        <f aca="false">IF((E131="g"),H131," ")</f>
        <v> </v>
      </c>
      <c r="AB131" s="17" t="str">
        <f aca="false">IF((E131="h"),H131," ")</f>
        <v> </v>
      </c>
      <c r="AC131" s="30" t="str">
        <f aca="false">IF((E131="v"),H131," ")</f>
        <v> </v>
      </c>
      <c r="AD131" s="30" t="str">
        <f aca="false">IF((E131="n"),H131," ")</f>
        <v> </v>
      </c>
      <c r="AE131" s="17" t="str">
        <f aca="false">IF((E131="f"),H131," ")</f>
        <v> </v>
      </c>
      <c r="AF131" s="17" t="str">
        <f aca="false">IF((E131="l"),H131," ")</f>
        <v> </v>
      </c>
      <c r="AG131" s="17" t="str">
        <f aca="false">IF((E131="y"),H131," ")</f>
        <v> </v>
      </c>
      <c r="AH131" s="17" t="str">
        <f aca="false">IF((E131="z"),H131," ")</f>
        <v> </v>
      </c>
      <c r="AI131" s="17" t="str">
        <f aca="false">IF((E131="fa"),H131," ")</f>
        <v> </v>
      </c>
      <c r="AJ131" s="17" t="str">
        <f aca="false">IF((E131="e"),H131," ")</f>
        <v> </v>
      </c>
    </row>
    <row r="132" customFormat="false" ht="12" hidden="false" customHeight="false" outlineLevel="0" collapsed="false">
      <c r="A132" s="28"/>
      <c r="E132" s="2" t="str">
        <f aca="false">IF((F132&lt;&gt;0),"Enter Letter"," ")</f>
        <v> </v>
      </c>
      <c r="F132" s="30"/>
      <c r="G132" s="6" t="str">
        <f aca="false">IF(F132&lt;&gt;0,F132*G$2/(100+G$2)," ")</f>
        <v> </v>
      </c>
      <c r="H132" s="6" t="str">
        <f aca="false">IF((F132&lt;&gt;0),F132-G132," ")</f>
        <v> </v>
      </c>
      <c r="I132" s="5"/>
      <c r="L132" s="7" t="str">
        <f aca="false">IF(F132&lt;&gt;0,F132-K132," ")</f>
        <v> </v>
      </c>
      <c r="M132" s="8" t="str">
        <f aca="false">IF((F132-K132)&lt;&gt;0,M$1-A132," ")</f>
        <v> </v>
      </c>
      <c r="N132" s="5"/>
      <c r="O132" s="17" t="str">
        <f aca="false">IF((E132="s"),H132," ")</f>
        <v> </v>
      </c>
      <c r="P132" s="17" t="str">
        <f aca="false">IF((E132="c"),H132," ")</f>
        <v> </v>
      </c>
      <c r="Q132" s="17" t="str">
        <f aca="false">IF((E132="o"),H132," ")</f>
        <v> </v>
      </c>
      <c r="R132" s="17" t="str">
        <f aca="false">IF((E132="d"),H132," ")</f>
        <v> </v>
      </c>
      <c r="S132" s="17" t="str">
        <f aca="false">IF((E132="w"),H132," ")</f>
        <v> </v>
      </c>
      <c r="T132" s="17" t="str">
        <f aca="false">IF((E132="r"),H132," ")</f>
        <v> </v>
      </c>
      <c r="U132" s="17" t="str">
        <f aca="false">IF((E132="p"),H132," ")</f>
        <v> </v>
      </c>
      <c r="V132" s="17" t="str">
        <f aca="false">IF((E132="t"),H132," ")</f>
        <v> </v>
      </c>
      <c r="W132" s="17" t="str">
        <f aca="false">IF((E132="q"),H132," ")</f>
        <v> </v>
      </c>
      <c r="X132" s="17" t="str">
        <f aca="false">IF((E132="m"),H132," ")</f>
        <v> </v>
      </c>
      <c r="Y132" s="17" t="str">
        <f aca="false">IF((E132="u"),H132," ")</f>
        <v> </v>
      </c>
      <c r="Z132" s="17" t="str">
        <f aca="false">IF((E132="a"),H132," ")</f>
        <v> </v>
      </c>
      <c r="AA132" s="17" t="str">
        <f aca="false">IF((E132="g"),H132," ")</f>
        <v> </v>
      </c>
      <c r="AB132" s="17" t="str">
        <f aca="false">IF((E132="h"),H132," ")</f>
        <v> </v>
      </c>
      <c r="AC132" s="30" t="str">
        <f aca="false">IF((E132="v"),H132," ")</f>
        <v> </v>
      </c>
      <c r="AD132" s="30" t="str">
        <f aca="false">IF((E132="n"),H132," ")</f>
        <v> </v>
      </c>
      <c r="AE132" s="17" t="str">
        <f aca="false">IF((E132="f"),H132," ")</f>
        <v> </v>
      </c>
      <c r="AF132" s="17" t="str">
        <f aca="false">IF((E132="l"),H132," ")</f>
        <v> </v>
      </c>
      <c r="AG132" s="17" t="str">
        <f aca="false">IF((E132="y"),H132," ")</f>
        <v> </v>
      </c>
      <c r="AH132" s="17" t="str">
        <f aca="false">IF((E132="z"),H132," ")</f>
        <v> </v>
      </c>
      <c r="AI132" s="17" t="str">
        <f aca="false">IF((E132="fa"),H132," ")</f>
        <v> </v>
      </c>
      <c r="AJ132" s="17" t="str">
        <f aca="false">IF((E132="e"),H132," ")</f>
        <v> </v>
      </c>
    </row>
    <row r="133" customFormat="false" ht="12" hidden="false" customHeight="false" outlineLevel="0" collapsed="false">
      <c r="A133" s="28"/>
      <c r="E133" s="2" t="str">
        <f aca="false">IF((F133&lt;&gt;0),"Enter Letter"," ")</f>
        <v> </v>
      </c>
      <c r="F133" s="30"/>
      <c r="G133" s="6" t="str">
        <f aca="false">IF(F133&lt;&gt;0,F133*G$2/(100+G$2)," ")</f>
        <v> </v>
      </c>
      <c r="H133" s="6" t="str">
        <f aca="false">IF((F133&lt;&gt;0),F133-G133," ")</f>
        <v> </v>
      </c>
      <c r="I133" s="5"/>
      <c r="L133" s="7" t="str">
        <f aca="false">IF(F133&lt;&gt;0,F133-K133," ")</f>
        <v> </v>
      </c>
      <c r="M133" s="8" t="str">
        <f aca="false">IF((F133-K133)&lt;&gt;0,M$1-A133," ")</f>
        <v> </v>
      </c>
      <c r="N133" s="5"/>
      <c r="O133" s="17" t="str">
        <f aca="false">IF((E133="s"),H133," ")</f>
        <v> </v>
      </c>
      <c r="P133" s="17" t="str">
        <f aca="false">IF((E133="c"),H133," ")</f>
        <v> </v>
      </c>
      <c r="Q133" s="17" t="str">
        <f aca="false">IF((E133="o"),H133," ")</f>
        <v> </v>
      </c>
      <c r="R133" s="17" t="str">
        <f aca="false">IF((E133="d"),H133," ")</f>
        <v> </v>
      </c>
      <c r="S133" s="17" t="str">
        <f aca="false">IF((E133="w"),H133," ")</f>
        <v> </v>
      </c>
      <c r="T133" s="17" t="str">
        <f aca="false">IF((E133="r"),H133," ")</f>
        <v> </v>
      </c>
      <c r="U133" s="17" t="str">
        <f aca="false">IF((E133="p"),H133," ")</f>
        <v> </v>
      </c>
      <c r="V133" s="17" t="str">
        <f aca="false">IF((E133="t"),H133," ")</f>
        <v> </v>
      </c>
      <c r="W133" s="17" t="str">
        <f aca="false">IF((E133="q"),H133," ")</f>
        <v> </v>
      </c>
      <c r="X133" s="17" t="str">
        <f aca="false">IF((E133="m"),H133," ")</f>
        <v> </v>
      </c>
      <c r="Y133" s="17" t="str">
        <f aca="false">IF((E133="u"),H133," ")</f>
        <v> </v>
      </c>
      <c r="Z133" s="17" t="str">
        <f aca="false">IF((E133="a"),H133," ")</f>
        <v> </v>
      </c>
      <c r="AA133" s="17" t="str">
        <f aca="false">IF((E133="g"),H133," ")</f>
        <v> </v>
      </c>
      <c r="AB133" s="17" t="str">
        <f aca="false">IF((E133="h"),H133," ")</f>
        <v> </v>
      </c>
      <c r="AC133" s="30" t="str">
        <f aca="false">IF((E133="v"),H133," ")</f>
        <v> </v>
      </c>
      <c r="AD133" s="30" t="str">
        <f aca="false">IF((E133="n"),H133," ")</f>
        <v> </v>
      </c>
      <c r="AE133" s="17" t="str">
        <f aca="false">IF((E133="f"),H133," ")</f>
        <v> </v>
      </c>
      <c r="AF133" s="17" t="str">
        <f aca="false">IF((E133="l"),H133," ")</f>
        <v> </v>
      </c>
      <c r="AG133" s="17" t="str">
        <f aca="false">IF((E133="y"),H133," ")</f>
        <v> </v>
      </c>
      <c r="AH133" s="17" t="str">
        <f aca="false">IF((E133="z"),H133," ")</f>
        <v> </v>
      </c>
      <c r="AI133" s="17" t="str">
        <f aca="false">IF((E133="fa"),H133," ")</f>
        <v> </v>
      </c>
      <c r="AJ133" s="17" t="str">
        <f aca="false">IF((E133="e"),H133," ")</f>
        <v> </v>
      </c>
    </row>
    <row r="134" customFormat="false" ht="12" hidden="false" customHeight="false" outlineLevel="0" collapsed="false">
      <c r="A134" s="28"/>
      <c r="E134" s="2" t="str">
        <f aca="false">IF((F134&lt;&gt;0),"Enter Letter"," ")</f>
        <v> </v>
      </c>
      <c r="F134" s="30"/>
      <c r="G134" s="6" t="str">
        <f aca="false">IF(F134&lt;&gt;0,F134*G$2/(100+G$2)," ")</f>
        <v> </v>
      </c>
      <c r="H134" s="6" t="str">
        <f aca="false">IF((F134&lt;&gt;0),F134-G134," ")</f>
        <v> </v>
      </c>
      <c r="I134" s="5"/>
      <c r="L134" s="7" t="str">
        <f aca="false">IF(F134&lt;&gt;0,F134-K134," ")</f>
        <v> </v>
      </c>
      <c r="M134" s="8" t="str">
        <f aca="false">IF((F134-K134)&lt;&gt;0,M$1-A134," ")</f>
        <v> </v>
      </c>
      <c r="N134" s="5"/>
      <c r="O134" s="17" t="str">
        <f aca="false">IF((E134="s"),H134," ")</f>
        <v> </v>
      </c>
      <c r="P134" s="17" t="str">
        <f aca="false">IF((E134="c"),H134," ")</f>
        <v> </v>
      </c>
      <c r="Q134" s="17" t="str">
        <f aca="false">IF((E134="o"),H134," ")</f>
        <v> </v>
      </c>
      <c r="R134" s="17" t="str">
        <f aca="false">IF((E134="d"),H134," ")</f>
        <v> </v>
      </c>
      <c r="S134" s="17" t="str">
        <f aca="false">IF((E134="w"),H134," ")</f>
        <v> </v>
      </c>
      <c r="T134" s="17" t="str">
        <f aca="false">IF((E134="r"),H134," ")</f>
        <v> </v>
      </c>
      <c r="U134" s="17" t="str">
        <f aca="false">IF((E134="p"),H134," ")</f>
        <v> </v>
      </c>
      <c r="V134" s="17" t="str">
        <f aca="false">IF((E134="t"),H134," ")</f>
        <v> </v>
      </c>
      <c r="W134" s="17" t="str">
        <f aca="false">IF((E134="q"),H134," ")</f>
        <v> </v>
      </c>
      <c r="X134" s="17" t="str">
        <f aca="false">IF((E134="m"),H134," ")</f>
        <v> </v>
      </c>
      <c r="Y134" s="17" t="str">
        <f aca="false">IF((E134="u"),H134," ")</f>
        <v> </v>
      </c>
      <c r="Z134" s="17" t="str">
        <f aca="false">IF((E134="a"),H134," ")</f>
        <v> </v>
      </c>
      <c r="AA134" s="17" t="str">
        <f aca="false">IF((E134="g"),H134," ")</f>
        <v> </v>
      </c>
      <c r="AB134" s="17" t="str">
        <f aca="false">IF((E134="h"),H134," ")</f>
        <v> </v>
      </c>
      <c r="AC134" s="30" t="str">
        <f aca="false">IF((E134="v"),H134," ")</f>
        <v> </v>
      </c>
      <c r="AD134" s="30" t="str">
        <f aca="false">IF((E134="n"),H134," ")</f>
        <v> </v>
      </c>
      <c r="AE134" s="17" t="str">
        <f aca="false">IF((E134="f"),H134," ")</f>
        <v> </v>
      </c>
      <c r="AF134" s="17" t="str">
        <f aca="false">IF((E134="l"),H134," ")</f>
        <v> </v>
      </c>
      <c r="AG134" s="17" t="str">
        <f aca="false">IF((E134="y"),H134," ")</f>
        <v> </v>
      </c>
      <c r="AH134" s="17" t="str">
        <f aca="false">IF((E134="z"),H134," ")</f>
        <v> </v>
      </c>
      <c r="AI134" s="17" t="str">
        <f aca="false">IF((E134="fa"),H134," ")</f>
        <v> </v>
      </c>
      <c r="AJ134" s="17" t="str">
        <f aca="false">IF((E134="e"),H134," ")</f>
        <v> </v>
      </c>
    </row>
    <row r="135" customFormat="false" ht="12" hidden="false" customHeight="false" outlineLevel="0" collapsed="false">
      <c r="A135" s="28"/>
      <c r="E135" s="2" t="str">
        <f aca="false">IF((F135&lt;&gt;0),"Enter Letter"," ")</f>
        <v> </v>
      </c>
      <c r="F135" s="30"/>
      <c r="G135" s="6" t="str">
        <f aca="false">IF(F135&lt;&gt;0,F135*G$2/(100+G$2)," ")</f>
        <v> </v>
      </c>
      <c r="H135" s="6" t="str">
        <f aca="false">IF((F135&lt;&gt;0),F135-G135," ")</f>
        <v> </v>
      </c>
      <c r="I135" s="5"/>
      <c r="L135" s="7" t="str">
        <f aca="false">IF(F135&lt;&gt;0,F135-K135," ")</f>
        <v> </v>
      </c>
      <c r="M135" s="8" t="str">
        <f aca="false">IF((F135-K135)&lt;&gt;0,M$1-A135," ")</f>
        <v> </v>
      </c>
      <c r="N135" s="5"/>
      <c r="O135" s="17" t="str">
        <f aca="false">IF((E135="s"),H135," ")</f>
        <v> </v>
      </c>
      <c r="P135" s="17" t="str">
        <f aca="false">IF((E135="c"),H135," ")</f>
        <v> </v>
      </c>
      <c r="Q135" s="17" t="str">
        <f aca="false">IF((E135="o"),H135," ")</f>
        <v> </v>
      </c>
      <c r="R135" s="17" t="str">
        <f aca="false">IF((E135="d"),H135," ")</f>
        <v> </v>
      </c>
      <c r="S135" s="17" t="str">
        <f aca="false">IF((E135="w"),H135," ")</f>
        <v> </v>
      </c>
      <c r="T135" s="17" t="str">
        <f aca="false">IF((E135="r"),H135," ")</f>
        <v> </v>
      </c>
      <c r="U135" s="17" t="str">
        <f aca="false">IF((E135="p"),H135," ")</f>
        <v> </v>
      </c>
      <c r="V135" s="17" t="str">
        <f aca="false">IF((E135="t"),H135," ")</f>
        <v> </v>
      </c>
      <c r="W135" s="17" t="str">
        <f aca="false">IF((E135="q"),H135," ")</f>
        <v> </v>
      </c>
      <c r="X135" s="17" t="str">
        <f aca="false">IF((E135="m"),H135," ")</f>
        <v> </v>
      </c>
      <c r="Y135" s="17" t="str">
        <f aca="false">IF((E135="u"),H135," ")</f>
        <v> </v>
      </c>
      <c r="Z135" s="17" t="str">
        <f aca="false">IF((E135="a"),H135," ")</f>
        <v> </v>
      </c>
      <c r="AA135" s="17" t="str">
        <f aca="false">IF((E135="g"),H135," ")</f>
        <v> </v>
      </c>
      <c r="AB135" s="17" t="str">
        <f aca="false">IF((E135="h"),H135," ")</f>
        <v> </v>
      </c>
      <c r="AC135" s="30" t="str">
        <f aca="false">IF((E135="v"),H135," ")</f>
        <v> </v>
      </c>
      <c r="AD135" s="30" t="str">
        <f aca="false">IF((E135="n"),H135," ")</f>
        <v> </v>
      </c>
      <c r="AE135" s="17" t="str">
        <f aca="false">IF((E135="f"),H135," ")</f>
        <v> </v>
      </c>
      <c r="AF135" s="17" t="str">
        <f aca="false">IF((E135="l"),H135," ")</f>
        <v> </v>
      </c>
      <c r="AG135" s="17" t="str">
        <f aca="false">IF((E135="y"),H135," ")</f>
        <v> </v>
      </c>
      <c r="AH135" s="17" t="str">
        <f aca="false">IF((E135="z"),H135," ")</f>
        <v> </v>
      </c>
      <c r="AI135" s="17" t="str">
        <f aca="false">IF((E135="fa"),H135," ")</f>
        <v> </v>
      </c>
      <c r="AJ135" s="17" t="str">
        <f aca="false">IF((E135="e"),H135," ")</f>
        <v> </v>
      </c>
    </row>
    <row r="136" customFormat="false" ht="12" hidden="false" customHeight="false" outlineLevel="0" collapsed="false">
      <c r="A136" s="28"/>
      <c r="E136" s="2" t="str">
        <f aca="false">IF((F136&lt;&gt;0),"Enter Letter"," ")</f>
        <v> </v>
      </c>
      <c r="F136" s="30"/>
      <c r="G136" s="6" t="str">
        <f aca="false">IF(F136&lt;&gt;0,F136*G$2/(100+G$2)," ")</f>
        <v> </v>
      </c>
      <c r="H136" s="6" t="str">
        <f aca="false">IF((F136&lt;&gt;0),F136-G136," ")</f>
        <v> </v>
      </c>
      <c r="I136" s="5"/>
      <c r="L136" s="7" t="str">
        <f aca="false">IF(F136&lt;&gt;0,F136-K136," ")</f>
        <v> </v>
      </c>
      <c r="M136" s="8" t="str">
        <f aca="false">IF((F136-K136)&lt;&gt;0,M$1-A136," ")</f>
        <v> </v>
      </c>
      <c r="N136" s="5"/>
      <c r="O136" s="17" t="str">
        <f aca="false">IF((E136="s"),H136," ")</f>
        <v> </v>
      </c>
      <c r="P136" s="17" t="str">
        <f aca="false">IF((E136="c"),H136," ")</f>
        <v> </v>
      </c>
      <c r="Q136" s="17" t="str">
        <f aca="false">IF((E136="o"),H136," ")</f>
        <v> </v>
      </c>
      <c r="R136" s="17" t="str">
        <f aca="false">IF((E136="d"),H136," ")</f>
        <v> </v>
      </c>
      <c r="S136" s="17" t="str">
        <f aca="false">IF((E136="w"),H136," ")</f>
        <v> </v>
      </c>
      <c r="T136" s="17" t="str">
        <f aca="false">IF((E136="r"),H136," ")</f>
        <v> </v>
      </c>
      <c r="U136" s="17" t="str">
        <f aca="false">IF((E136="p"),H136," ")</f>
        <v> </v>
      </c>
      <c r="V136" s="17" t="str">
        <f aca="false">IF((E136="t"),H136," ")</f>
        <v> </v>
      </c>
      <c r="W136" s="17" t="str">
        <f aca="false">IF((E136="q"),H136," ")</f>
        <v> </v>
      </c>
      <c r="X136" s="17" t="str">
        <f aca="false">IF((E136="m"),H136," ")</f>
        <v> </v>
      </c>
      <c r="Y136" s="17" t="str">
        <f aca="false">IF((E136="u"),H136," ")</f>
        <v> </v>
      </c>
      <c r="Z136" s="17" t="str">
        <f aca="false">IF((E136="a"),H136," ")</f>
        <v> </v>
      </c>
      <c r="AA136" s="17" t="str">
        <f aca="false">IF((E136="g"),H136," ")</f>
        <v> </v>
      </c>
      <c r="AB136" s="17" t="str">
        <f aca="false">IF((E136="h"),H136," ")</f>
        <v> </v>
      </c>
      <c r="AC136" s="30" t="str">
        <f aca="false">IF((E136="v"),H136," ")</f>
        <v> </v>
      </c>
      <c r="AD136" s="30" t="str">
        <f aca="false">IF((E136="n"),H136," ")</f>
        <v> </v>
      </c>
      <c r="AE136" s="17" t="str">
        <f aca="false">IF((E136="f"),H136," ")</f>
        <v> </v>
      </c>
      <c r="AF136" s="17" t="str">
        <f aca="false">IF((E136="l"),H136," ")</f>
        <v> </v>
      </c>
      <c r="AG136" s="17" t="str">
        <f aca="false">IF((E136="y"),H136," ")</f>
        <v> </v>
      </c>
      <c r="AH136" s="17" t="str">
        <f aca="false">IF((E136="z"),H136," ")</f>
        <v> </v>
      </c>
      <c r="AI136" s="17" t="str">
        <f aca="false">IF((E136="fa"),H136," ")</f>
        <v> </v>
      </c>
      <c r="AJ136" s="17" t="str">
        <f aca="false">IF((E136="e"),H136," ")</f>
        <v> </v>
      </c>
    </row>
    <row r="137" customFormat="false" ht="12" hidden="false" customHeight="false" outlineLevel="0" collapsed="false">
      <c r="A137" s="28"/>
      <c r="E137" s="2" t="str">
        <f aca="false">IF((F137&lt;&gt;0),"Enter Letter"," ")</f>
        <v> </v>
      </c>
      <c r="F137" s="30"/>
      <c r="G137" s="6" t="str">
        <f aca="false">IF(F137&lt;&gt;0,F137*G$2/(100+G$2)," ")</f>
        <v> </v>
      </c>
      <c r="H137" s="6" t="str">
        <f aca="false">IF((F137&lt;&gt;0),F137-G137," ")</f>
        <v> </v>
      </c>
      <c r="I137" s="5"/>
      <c r="L137" s="7" t="str">
        <f aca="false">IF(F137&lt;&gt;0,F137-K137," ")</f>
        <v> </v>
      </c>
      <c r="M137" s="8" t="str">
        <f aca="false">IF((F137-K137)&lt;&gt;0,M$1-A137," ")</f>
        <v> </v>
      </c>
      <c r="N137" s="5"/>
      <c r="O137" s="17" t="str">
        <f aca="false">IF((E137="s"),H137," ")</f>
        <v> </v>
      </c>
      <c r="P137" s="17" t="str">
        <f aca="false">IF((E137="c"),H137," ")</f>
        <v> </v>
      </c>
      <c r="Q137" s="17" t="str">
        <f aca="false">IF((E137="o"),H137," ")</f>
        <v> </v>
      </c>
      <c r="R137" s="17" t="str">
        <f aca="false">IF((E137="d"),H137," ")</f>
        <v> </v>
      </c>
      <c r="S137" s="17" t="str">
        <f aca="false">IF((E137="w"),H137," ")</f>
        <v> </v>
      </c>
      <c r="T137" s="17" t="str">
        <f aca="false">IF((E137="r"),H137," ")</f>
        <v> </v>
      </c>
      <c r="U137" s="17" t="str">
        <f aca="false">IF((E137="p"),H137," ")</f>
        <v> </v>
      </c>
      <c r="V137" s="17" t="str">
        <f aca="false">IF((E137="t"),H137," ")</f>
        <v> </v>
      </c>
      <c r="W137" s="17" t="str">
        <f aca="false">IF((E137="q"),H137," ")</f>
        <v> </v>
      </c>
      <c r="X137" s="17" t="str">
        <f aca="false">IF((E137="m"),H137," ")</f>
        <v> </v>
      </c>
      <c r="Y137" s="17" t="str">
        <f aca="false">IF((E137="u"),H137," ")</f>
        <v> </v>
      </c>
      <c r="Z137" s="17" t="str">
        <f aca="false">IF((E137="a"),H137," ")</f>
        <v> </v>
      </c>
      <c r="AA137" s="17" t="str">
        <f aca="false">IF((E137="g"),H137," ")</f>
        <v> </v>
      </c>
      <c r="AB137" s="17" t="str">
        <f aca="false">IF((E137="h"),H137," ")</f>
        <v> </v>
      </c>
      <c r="AC137" s="30" t="str">
        <f aca="false">IF((E137="v"),H137," ")</f>
        <v> </v>
      </c>
      <c r="AD137" s="30" t="str">
        <f aca="false">IF((E137="n"),H137," ")</f>
        <v> </v>
      </c>
      <c r="AE137" s="17" t="str">
        <f aca="false">IF((E137="f"),H137," ")</f>
        <v> </v>
      </c>
      <c r="AF137" s="17" t="str">
        <f aca="false">IF((E137="l"),H137," ")</f>
        <v> </v>
      </c>
      <c r="AG137" s="17" t="str">
        <f aca="false">IF((E137="y"),H137," ")</f>
        <v> </v>
      </c>
      <c r="AH137" s="17" t="str">
        <f aca="false">IF((E137="z"),H137," ")</f>
        <v> </v>
      </c>
      <c r="AI137" s="17" t="str">
        <f aca="false">IF((E137="fa"),H137," ")</f>
        <v> </v>
      </c>
      <c r="AJ137" s="17" t="str">
        <f aca="false">IF((E137="e"),H137," ")</f>
        <v> </v>
      </c>
    </row>
    <row r="138" customFormat="false" ht="12" hidden="false" customHeight="false" outlineLevel="0" collapsed="false">
      <c r="A138" s="28"/>
      <c r="E138" s="2" t="str">
        <f aca="false">IF((F138&lt;&gt;0),"Enter Letter"," ")</f>
        <v> </v>
      </c>
      <c r="F138" s="30"/>
      <c r="G138" s="6" t="str">
        <f aca="false">IF(F138&lt;&gt;0,F138*G$2/(100+G$2)," ")</f>
        <v> </v>
      </c>
      <c r="H138" s="6" t="str">
        <f aca="false">IF((F138&lt;&gt;0),F138-G138," ")</f>
        <v> </v>
      </c>
      <c r="I138" s="5"/>
      <c r="L138" s="7" t="str">
        <f aca="false">IF(F138&lt;&gt;0,F138-K138," ")</f>
        <v> </v>
      </c>
      <c r="M138" s="8" t="str">
        <f aca="false">IF((F138-K138)&lt;&gt;0,M$1-A138," ")</f>
        <v> </v>
      </c>
      <c r="N138" s="5"/>
      <c r="O138" s="17" t="str">
        <f aca="false">IF((E138="s"),H138," ")</f>
        <v> </v>
      </c>
      <c r="P138" s="17" t="str">
        <f aca="false">IF((E138="c"),H138," ")</f>
        <v> </v>
      </c>
      <c r="Q138" s="17" t="str">
        <f aca="false">IF((E138="o"),H138," ")</f>
        <v> </v>
      </c>
      <c r="R138" s="17" t="str">
        <f aca="false">IF((E138="d"),H138," ")</f>
        <v> </v>
      </c>
      <c r="S138" s="17" t="str">
        <f aca="false">IF((E138="w"),H138," ")</f>
        <v> </v>
      </c>
      <c r="T138" s="17" t="str">
        <f aca="false">IF((E138="r"),H138," ")</f>
        <v> </v>
      </c>
      <c r="U138" s="17" t="str">
        <f aca="false">IF((E138="p"),H138," ")</f>
        <v> </v>
      </c>
      <c r="V138" s="17" t="str">
        <f aca="false">IF((E138="t"),H138," ")</f>
        <v> </v>
      </c>
      <c r="W138" s="17" t="str">
        <f aca="false">IF((E138="q"),H138," ")</f>
        <v> </v>
      </c>
      <c r="X138" s="17" t="str">
        <f aca="false">IF((E138="m"),H138," ")</f>
        <v> </v>
      </c>
      <c r="Y138" s="17" t="str">
        <f aca="false">IF((E138="u"),H138," ")</f>
        <v> </v>
      </c>
      <c r="Z138" s="17" t="str">
        <f aca="false">IF((E138="a"),H138," ")</f>
        <v> </v>
      </c>
      <c r="AA138" s="17" t="str">
        <f aca="false">IF((E138="g"),H138," ")</f>
        <v> </v>
      </c>
      <c r="AB138" s="17" t="str">
        <f aca="false">IF((E138="h"),H138," ")</f>
        <v> </v>
      </c>
      <c r="AC138" s="30" t="str">
        <f aca="false">IF((E138="v"),H138," ")</f>
        <v> </v>
      </c>
      <c r="AD138" s="30" t="str">
        <f aca="false">IF((E138="n"),H138," ")</f>
        <v> </v>
      </c>
      <c r="AE138" s="17" t="str">
        <f aca="false">IF((E138="f"),H138," ")</f>
        <v> </v>
      </c>
      <c r="AF138" s="17" t="str">
        <f aca="false">IF((E138="l"),H138," ")</f>
        <v> </v>
      </c>
      <c r="AG138" s="17" t="str">
        <f aca="false">IF((E138="y"),H138," ")</f>
        <v> </v>
      </c>
      <c r="AH138" s="17" t="str">
        <f aca="false">IF((E138="z"),H138," ")</f>
        <v> </v>
      </c>
      <c r="AI138" s="17" t="str">
        <f aca="false">IF((E138="fa"),H138," ")</f>
        <v> </v>
      </c>
      <c r="AJ138" s="17" t="str">
        <f aca="false">IF((E138="e"),H138," ")</f>
        <v> </v>
      </c>
    </row>
    <row r="139" customFormat="false" ht="12" hidden="false" customHeight="false" outlineLevel="0" collapsed="false">
      <c r="A139" s="28"/>
      <c r="E139" s="2" t="str">
        <f aca="false">IF((F139&lt;&gt;0),"Enter Letter"," ")</f>
        <v> </v>
      </c>
      <c r="F139" s="30"/>
      <c r="G139" s="6" t="str">
        <f aca="false">IF(F139&lt;&gt;0,F139*G$2/(100+G$2)," ")</f>
        <v> </v>
      </c>
      <c r="H139" s="6" t="str">
        <f aca="false">IF((F139&lt;&gt;0),F139-G139," ")</f>
        <v> </v>
      </c>
      <c r="I139" s="5"/>
      <c r="L139" s="7" t="str">
        <f aca="false">IF(F139&lt;&gt;0,F139-K139," ")</f>
        <v> </v>
      </c>
      <c r="M139" s="8" t="str">
        <f aca="false">IF((F139-K139)&lt;&gt;0,M$1-A139," ")</f>
        <v> </v>
      </c>
      <c r="N139" s="5"/>
      <c r="O139" s="17" t="str">
        <f aca="false">IF((E139="s"),H139," ")</f>
        <v> </v>
      </c>
      <c r="P139" s="17" t="str">
        <f aca="false">IF((E139="c"),H139," ")</f>
        <v> </v>
      </c>
      <c r="Q139" s="17" t="str">
        <f aca="false">IF((E139="o"),H139," ")</f>
        <v> </v>
      </c>
      <c r="R139" s="17" t="str">
        <f aca="false">IF((E139="d"),H139," ")</f>
        <v> </v>
      </c>
      <c r="S139" s="17" t="str">
        <f aca="false">IF((E139="w"),H139," ")</f>
        <v> </v>
      </c>
      <c r="T139" s="17" t="str">
        <f aca="false">IF((E139="r"),H139," ")</f>
        <v> </v>
      </c>
      <c r="U139" s="17" t="str">
        <f aca="false">IF((E139="p"),H139," ")</f>
        <v> </v>
      </c>
      <c r="V139" s="17" t="str">
        <f aca="false">IF((E139="t"),H139," ")</f>
        <v> </v>
      </c>
      <c r="W139" s="17" t="str">
        <f aca="false">IF((E139="q"),H139," ")</f>
        <v> </v>
      </c>
      <c r="X139" s="17" t="str">
        <f aca="false">IF((E139="m"),H139," ")</f>
        <v> </v>
      </c>
      <c r="Y139" s="17" t="str">
        <f aca="false">IF((E139="u"),H139," ")</f>
        <v> </v>
      </c>
      <c r="Z139" s="17" t="str">
        <f aca="false">IF((E139="a"),H139," ")</f>
        <v> </v>
      </c>
      <c r="AA139" s="17" t="str">
        <f aca="false">IF((E139="g"),H139," ")</f>
        <v> </v>
      </c>
      <c r="AB139" s="17" t="str">
        <f aca="false">IF((E139="h"),H139," ")</f>
        <v> </v>
      </c>
      <c r="AC139" s="30" t="str">
        <f aca="false">IF((E139="v"),H139," ")</f>
        <v> </v>
      </c>
      <c r="AD139" s="30" t="str">
        <f aca="false">IF((E139="n"),H139," ")</f>
        <v> </v>
      </c>
      <c r="AE139" s="17" t="str">
        <f aca="false">IF((E139="f"),H139," ")</f>
        <v> </v>
      </c>
      <c r="AF139" s="17" t="str">
        <f aca="false">IF((E139="l"),H139," ")</f>
        <v> </v>
      </c>
      <c r="AG139" s="17" t="str">
        <f aca="false">IF((E139="y"),H139," ")</f>
        <v> </v>
      </c>
      <c r="AH139" s="17" t="str">
        <f aca="false">IF((E139="z"),H139," ")</f>
        <v> </v>
      </c>
      <c r="AI139" s="17" t="str">
        <f aca="false">IF((E139="fa"),H139," ")</f>
        <v> </v>
      </c>
      <c r="AJ139" s="17" t="str">
        <f aca="false">IF((E139="e"),H139," ")</f>
        <v> </v>
      </c>
    </row>
    <row r="140" customFormat="false" ht="12" hidden="false" customHeight="false" outlineLevel="0" collapsed="false">
      <c r="A140" s="28"/>
      <c r="E140" s="2" t="str">
        <f aca="false">IF((F140&lt;&gt;0),"Enter Letter"," ")</f>
        <v> </v>
      </c>
      <c r="F140" s="30"/>
      <c r="G140" s="6" t="str">
        <f aca="false">IF(F140&lt;&gt;0,F140*G$2/(100+G$2)," ")</f>
        <v> </v>
      </c>
      <c r="H140" s="6" t="str">
        <f aca="false">IF((F140&lt;&gt;0),F140-G140," ")</f>
        <v> </v>
      </c>
      <c r="I140" s="5"/>
      <c r="L140" s="7" t="str">
        <f aca="false">IF(F140&lt;&gt;0,F140-K140," ")</f>
        <v> </v>
      </c>
      <c r="M140" s="8" t="str">
        <f aca="false">IF((F140-K140)&lt;&gt;0,M$1-A140," ")</f>
        <v> </v>
      </c>
      <c r="N140" s="5"/>
      <c r="O140" s="17" t="str">
        <f aca="false">IF((E140="s"),H140," ")</f>
        <v> </v>
      </c>
      <c r="P140" s="17" t="str">
        <f aca="false">IF((E140="c"),H140," ")</f>
        <v> </v>
      </c>
      <c r="Q140" s="17" t="str">
        <f aca="false">IF((E140="o"),H140," ")</f>
        <v> </v>
      </c>
      <c r="R140" s="17" t="str">
        <f aca="false">IF((E140="d"),H140," ")</f>
        <v> </v>
      </c>
      <c r="S140" s="17" t="str">
        <f aca="false">IF((E140="w"),H140," ")</f>
        <v> </v>
      </c>
      <c r="T140" s="17" t="str">
        <f aca="false">IF((E140="r"),H140," ")</f>
        <v> </v>
      </c>
      <c r="U140" s="17" t="str">
        <f aca="false">IF((E140="p"),H140," ")</f>
        <v> </v>
      </c>
      <c r="V140" s="17" t="str">
        <f aca="false">IF((E140="t"),H140," ")</f>
        <v> </v>
      </c>
      <c r="W140" s="17" t="str">
        <f aca="false">IF((E140="q"),H140," ")</f>
        <v> </v>
      </c>
      <c r="X140" s="17" t="str">
        <f aca="false">IF((E140="m"),H140," ")</f>
        <v> </v>
      </c>
      <c r="Y140" s="17" t="str">
        <f aca="false">IF((E140="u"),H140," ")</f>
        <v> </v>
      </c>
      <c r="Z140" s="17" t="str">
        <f aca="false">IF((E140="a"),H140," ")</f>
        <v> </v>
      </c>
      <c r="AA140" s="17" t="str">
        <f aca="false">IF((E140="g"),H140," ")</f>
        <v> </v>
      </c>
      <c r="AB140" s="17" t="str">
        <f aca="false">IF((E140="h"),H140," ")</f>
        <v> </v>
      </c>
      <c r="AC140" s="30" t="str">
        <f aca="false">IF((E140="v"),H140," ")</f>
        <v> </v>
      </c>
      <c r="AD140" s="30" t="str">
        <f aca="false">IF((E140="n"),H140," ")</f>
        <v> </v>
      </c>
      <c r="AE140" s="17" t="str">
        <f aca="false">IF((E140="f"),H140," ")</f>
        <v> </v>
      </c>
      <c r="AF140" s="17" t="str">
        <f aca="false">IF((E140="l"),H140," ")</f>
        <v> </v>
      </c>
      <c r="AG140" s="17" t="str">
        <f aca="false">IF((E140="y"),H140," ")</f>
        <v> </v>
      </c>
      <c r="AH140" s="17" t="str">
        <f aca="false">IF((E140="z"),H140," ")</f>
        <v> </v>
      </c>
      <c r="AI140" s="17" t="str">
        <f aca="false">IF((E140="fa"),H140," ")</f>
        <v> </v>
      </c>
      <c r="AJ140" s="17" t="str">
        <f aca="false">IF((E140="e"),H140," ")</f>
        <v> </v>
      </c>
    </row>
    <row r="141" customFormat="false" ht="12" hidden="false" customHeight="false" outlineLevel="0" collapsed="false">
      <c r="A141" s="28"/>
      <c r="E141" s="2" t="str">
        <f aca="false">IF((F141&lt;&gt;0),"Enter Letter"," ")</f>
        <v> </v>
      </c>
      <c r="F141" s="30"/>
      <c r="G141" s="6" t="str">
        <f aca="false">IF(F141&lt;&gt;0,F141*G$2/(100+G$2)," ")</f>
        <v> </v>
      </c>
      <c r="H141" s="6" t="str">
        <f aca="false">IF((F141&lt;&gt;0),F141-G141," ")</f>
        <v> </v>
      </c>
      <c r="I141" s="5"/>
      <c r="L141" s="7" t="str">
        <f aca="false">IF(F141&lt;&gt;0,F141-K141," ")</f>
        <v> </v>
      </c>
      <c r="M141" s="8" t="str">
        <f aca="false">IF((F141-K141)&lt;&gt;0,M$1-A141," ")</f>
        <v> </v>
      </c>
      <c r="N141" s="5"/>
      <c r="O141" s="17" t="str">
        <f aca="false">IF((E141="s"),H141," ")</f>
        <v> </v>
      </c>
      <c r="P141" s="17" t="str">
        <f aca="false">IF((E141="c"),H141," ")</f>
        <v> </v>
      </c>
      <c r="Q141" s="17" t="str">
        <f aca="false">IF((E141="o"),H141," ")</f>
        <v> </v>
      </c>
      <c r="R141" s="17" t="str">
        <f aca="false">IF((E141="d"),H141," ")</f>
        <v> </v>
      </c>
      <c r="S141" s="17" t="str">
        <f aca="false">IF((E141="w"),H141," ")</f>
        <v> </v>
      </c>
      <c r="T141" s="17" t="str">
        <f aca="false">IF((E141="r"),H141," ")</f>
        <v> </v>
      </c>
      <c r="U141" s="17" t="str">
        <f aca="false">IF((E141="p"),H141," ")</f>
        <v> </v>
      </c>
      <c r="V141" s="17" t="str">
        <f aca="false">IF((E141="t"),H141," ")</f>
        <v> </v>
      </c>
      <c r="W141" s="17" t="str">
        <f aca="false">IF((E141="q"),H141," ")</f>
        <v> </v>
      </c>
      <c r="X141" s="17" t="str">
        <f aca="false">IF((E141="m"),H141," ")</f>
        <v> </v>
      </c>
      <c r="Y141" s="17" t="str">
        <f aca="false">IF((E141="u"),H141," ")</f>
        <v> </v>
      </c>
      <c r="Z141" s="17" t="str">
        <f aca="false">IF((E141="a"),H141," ")</f>
        <v> </v>
      </c>
      <c r="AA141" s="17" t="str">
        <f aca="false">IF((E141="g"),H141," ")</f>
        <v> </v>
      </c>
      <c r="AB141" s="17" t="str">
        <f aca="false">IF((E141="h"),H141," ")</f>
        <v> </v>
      </c>
      <c r="AC141" s="30" t="str">
        <f aca="false">IF((E141="v"),H141," ")</f>
        <v> </v>
      </c>
      <c r="AD141" s="30" t="str">
        <f aca="false">IF((E141="n"),H141," ")</f>
        <v> </v>
      </c>
      <c r="AE141" s="17" t="str">
        <f aca="false">IF((E141="f"),H141," ")</f>
        <v> </v>
      </c>
      <c r="AF141" s="17" t="str">
        <f aca="false">IF((E141="l"),H141," ")</f>
        <v> </v>
      </c>
      <c r="AG141" s="17" t="str">
        <f aca="false">IF((E141="y"),H141," ")</f>
        <v> </v>
      </c>
      <c r="AH141" s="17" t="str">
        <f aca="false">IF((E141="z"),H141," ")</f>
        <v> </v>
      </c>
      <c r="AI141" s="17" t="str">
        <f aca="false">IF((E141="fa"),H141," ")</f>
        <v> </v>
      </c>
      <c r="AJ141" s="17" t="str">
        <f aca="false">IF((E141="e"),H141," ")</f>
        <v> </v>
      </c>
    </row>
    <row r="142" customFormat="false" ht="12" hidden="false" customHeight="false" outlineLevel="0" collapsed="false">
      <c r="A142" s="28"/>
      <c r="E142" s="2" t="str">
        <f aca="false">IF((F142&lt;&gt;0),"Enter Letter"," ")</f>
        <v> </v>
      </c>
      <c r="F142" s="30"/>
      <c r="G142" s="6" t="str">
        <f aca="false">IF(F142&lt;&gt;0,F142*G$2/(100+G$2)," ")</f>
        <v> </v>
      </c>
      <c r="H142" s="6" t="str">
        <f aca="false">IF((F142&lt;&gt;0),F142-G142," ")</f>
        <v> </v>
      </c>
      <c r="I142" s="5"/>
      <c r="L142" s="7" t="str">
        <f aca="false">IF(F142&lt;&gt;0,F142-K142," ")</f>
        <v> </v>
      </c>
      <c r="M142" s="8" t="str">
        <f aca="false">IF((F142-K142)&lt;&gt;0,M$1-A142," ")</f>
        <v> </v>
      </c>
      <c r="N142" s="5"/>
      <c r="O142" s="17" t="str">
        <f aca="false">IF((E142="s"),H142," ")</f>
        <v> </v>
      </c>
      <c r="P142" s="17" t="str">
        <f aca="false">IF((E142="c"),H142," ")</f>
        <v> </v>
      </c>
      <c r="Q142" s="17" t="str">
        <f aca="false">IF((E142="o"),H142," ")</f>
        <v> </v>
      </c>
      <c r="R142" s="17" t="str">
        <f aca="false">IF((E142="d"),H142," ")</f>
        <v> </v>
      </c>
      <c r="S142" s="17" t="str">
        <f aca="false">IF((E142="w"),H142," ")</f>
        <v> </v>
      </c>
      <c r="T142" s="17" t="str">
        <f aca="false">IF((E142="r"),H142," ")</f>
        <v> </v>
      </c>
      <c r="U142" s="17" t="str">
        <f aca="false">IF((E142="p"),H142," ")</f>
        <v> </v>
      </c>
      <c r="V142" s="17" t="str">
        <f aca="false">IF((E142="t"),H142," ")</f>
        <v> </v>
      </c>
      <c r="W142" s="17" t="str">
        <f aca="false">IF((E142="q"),H142," ")</f>
        <v> </v>
      </c>
      <c r="X142" s="17" t="str">
        <f aca="false">IF((E142="m"),H142," ")</f>
        <v> </v>
      </c>
      <c r="Y142" s="17" t="str">
        <f aca="false">IF((E142="u"),H142," ")</f>
        <v> </v>
      </c>
      <c r="Z142" s="17" t="str">
        <f aca="false">IF((E142="a"),H142," ")</f>
        <v> </v>
      </c>
      <c r="AA142" s="17" t="str">
        <f aca="false">IF((E142="g"),H142," ")</f>
        <v> </v>
      </c>
      <c r="AB142" s="17" t="str">
        <f aca="false">IF((E142="h"),H142," ")</f>
        <v> </v>
      </c>
      <c r="AC142" s="30" t="str">
        <f aca="false">IF((E142="v"),H142," ")</f>
        <v> </v>
      </c>
      <c r="AD142" s="30" t="str">
        <f aca="false">IF((E142="n"),H142," ")</f>
        <v> </v>
      </c>
      <c r="AE142" s="17" t="str">
        <f aca="false">IF((E142="f"),H142," ")</f>
        <v> </v>
      </c>
      <c r="AF142" s="17" t="str">
        <f aca="false">IF((E142="l"),H142," ")</f>
        <v> </v>
      </c>
      <c r="AG142" s="17" t="str">
        <f aca="false">IF((E142="y"),H142," ")</f>
        <v> </v>
      </c>
      <c r="AH142" s="17" t="str">
        <f aca="false">IF((E142="z"),H142," ")</f>
        <v> </v>
      </c>
      <c r="AI142" s="17" t="str">
        <f aca="false">IF((E142="fa"),H142," ")</f>
        <v> </v>
      </c>
      <c r="AJ142" s="17" t="str">
        <f aca="false">IF((E142="e"),H142," ")</f>
        <v> </v>
      </c>
    </row>
    <row r="143" customFormat="false" ht="12" hidden="false" customHeight="false" outlineLevel="0" collapsed="false">
      <c r="A143" s="28"/>
      <c r="E143" s="2" t="str">
        <f aca="false">IF((F143&lt;&gt;0),"Enter Letter"," ")</f>
        <v> </v>
      </c>
      <c r="F143" s="30"/>
      <c r="G143" s="6" t="str">
        <f aca="false">IF(F143&lt;&gt;0,F143*G$2/(100+G$2)," ")</f>
        <v> </v>
      </c>
      <c r="H143" s="6" t="str">
        <f aca="false">IF((F143&lt;&gt;0),F143-G143," ")</f>
        <v> </v>
      </c>
      <c r="I143" s="5"/>
      <c r="L143" s="7" t="str">
        <f aca="false">IF(F143&lt;&gt;0,F143-K143," ")</f>
        <v> </v>
      </c>
      <c r="M143" s="8" t="str">
        <f aca="false">IF((F143-K143)&lt;&gt;0,M$1-A143," ")</f>
        <v> </v>
      </c>
      <c r="N143" s="5"/>
      <c r="O143" s="17" t="str">
        <f aca="false">IF((E143="s"),H143," ")</f>
        <v> </v>
      </c>
      <c r="P143" s="17" t="str">
        <f aca="false">IF((E143="c"),H143," ")</f>
        <v> </v>
      </c>
      <c r="Q143" s="17" t="str">
        <f aca="false">IF((E143="o"),H143," ")</f>
        <v> </v>
      </c>
      <c r="R143" s="17" t="str">
        <f aca="false">IF((E143="d"),H143," ")</f>
        <v> </v>
      </c>
      <c r="S143" s="17" t="str">
        <f aca="false">IF((E143="w"),H143," ")</f>
        <v> </v>
      </c>
      <c r="T143" s="17" t="str">
        <f aca="false">IF((E143="r"),H143," ")</f>
        <v> </v>
      </c>
      <c r="U143" s="17" t="str">
        <f aca="false">IF((E143="p"),H143," ")</f>
        <v> </v>
      </c>
      <c r="V143" s="17" t="str">
        <f aca="false">IF((E143="t"),H143," ")</f>
        <v> </v>
      </c>
      <c r="W143" s="17" t="str">
        <f aca="false">IF((E143="q"),H143," ")</f>
        <v> </v>
      </c>
      <c r="X143" s="17" t="str">
        <f aca="false">IF((E143="m"),H143," ")</f>
        <v> </v>
      </c>
      <c r="Y143" s="17" t="str">
        <f aca="false">IF((E143="u"),H143," ")</f>
        <v> </v>
      </c>
      <c r="Z143" s="17" t="str">
        <f aca="false">IF((E143="a"),H143," ")</f>
        <v> </v>
      </c>
      <c r="AA143" s="17" t="str">
        <f aca="false">IF((E143="g"),H143," ")</f>
        <v> </v>
      </c>
      <c r="AB143" s="17" t="str">
        <f aca="false">IF((E143="h"),H143," ")</f>
        <v> </v>
      </c>
      <c r="AC143" s="30" t="str">
        <f aca="false">IF((E143="v"),H143," ")</f>
        <v> </v>
      </c>
      <c r="AD143" s="30" t="str">
        <f aca="false">IF((E143="n"),H143," ")</f>
        <v> </v>
      </c>
      <c r="AE143" s="17" t="str">
        <f aca="false">IF((E143="f"),H143," ")</f>
        <v> </v>
      </c>
      <c r="AF143" s="17" t="str">
        <f aca="false">IF((E143="l"),H143," ")</f>
        <v> </v>
      </c>
      <c r="AG143" s="17" t="str">
        <f aca="false">IF((E143="y"),H143," ")</f>
        <v> </v>
      </c>
      <c r="AH143" s="17" t="str">
        <f aca="false">IF((E143="z"),H143," ")</f>
        <v> </v>
      </c>
      <c r="AI143" s="17" t="str">
        <f aca="false">IF((E143="fa"),H143," ")</f>
        <v> </v>
      </c>
      <c r="AJ143" s="17" t="str">
        <f aca="false">IF((E143="e"),H143," ")</f>
        <v> </v>
      </c>
    </row>
    <row r="144" customFormat="false" ht="12" hidden="false" customHeight="false" outlineLevel="0" collapsed="false">
      <c r="A144" s="28"/>
      <c r="E144" s="2" t="str">
        <f aca="false">IF((F144&lt;&gt;0),"Enter Letter"," ")</f>
        <v> </v>
      </c>
      <c r="F144" s="30"/>
      <c r="G144" s="6" t="str">
        <f aca="false">IF(F144&lt;&gt;0,F144*G$2/(100+G$2)," ")</f>
        <v> </v>
      </c>
      <c r="H144" s="6" t="str">
        <f aca="false">IF((F144&lt;&gt;0),F144-G144," ")</f>
        <v> </v>
      </c>
      <c r="I144" s="5"/>
      <c r="L144" s="7" t="str">
        <f aca="false">IF(F144&lt;&gt;0,F144-K144," ")</f>
        <v> </v>
      </c>
      <c r="M144" s="8" t="str">
        <f aca="false">IF((F144-K144)&lt;&gt;0,M$1-A144," ")</f>
        <v> </v>
      </c>
      <c r="N144" s="5"/>
      <c r="O144" s="17" t="str">
        <f aca="false">IF((E144="s"),H144," ")</f>
        <v> </v>
      </c>
      <c r="P144" s="17" t="str">
        <f aca="false">IF((E144="c"),H144," ")</f>
        <v> </v>
      </c>
      <c r="Q144" s="17" t="str">
        <f aca="false">IF((E144="o"),H144," ")</f>
        <v> </v>
      </c>
      <c r="R144" s="17" t="str">
        <f aca="false">IF((E144="d"),H144," ")</f>
        <v> </v>
      </c>
      <c r="S144" s="17" t="str">
        <f aca="false">IF((E144="w"),H144," ")</f>
        <v> </v>
      </c>
      <c r="T144" s="17" t="str">
        <f aca="false">IF((E144="r"),H144," ")</f>
        <v> </v>
      </c>
      <c r="U144" s="17" t="str">
        <f aca="false">IF((E144="p"),H144," ")</f>
        <v> </v>
      </c>
      <c r="V144" s="17" t="str">
        <f aca="false">IF((E144="t"),H144," ")</f>
        <v> </v>
      </c>
      <c r="W144" s="17" t="str">
        <f aca="false">IF((E144="q"),H144," ")</f>
        <v> </v>
      </c>
      <c r="X144" s="17" t="str">
        <f aca="false">IF((E144="m"),H144," ")</f>
        <v> </v>
      </c>
      <c r="Y144" s="17" t="str">
        <f aca="false">IF((E144="u"),H144," ")</f>
        <v> </v>
      </c>
      <c r="Z144" s="17" t="str">
        <f aca="false">IF((E144="a"),H144," ")</f>
        <v> </v>
      </c>
      <c r="AA144" s="17" t="str">
        <f aca="false">IF((E144="g"),H144," ")</f>
        <v> </v>
      </c>
      <c r="AB144" s="17" t="str">
        <f aca="false">IF((E144="h"),H144," ")</f>
        <v> </v>
      </c>
      <c r="AC144" s="30" t="str">
        <f aca="false">IF((E144="v"),H144," ")</f>
        <v> </v>
      </c>
      <c r="AD144" s="30" t="str">
        <f aca="false">IF((E144="n"),H144," ")</f>
        <v> </v>
      </c>
      <c r="AE144" s="17" t="str">
        <f aca="false">IF((E144="f"),H144," ")</f>
        <v> </v>
      </c>
      <c r="AF144" s="17" t="str">
        <f aca="false">IF((E144="l"),H144," ")</f>
        <v> </v>
      </c>
      <c r="AG144" s="17" t="str">
        <f aca="false">IF((E144="y"),H144," ")</f>
        <v> </v>
      </c>
      <c r="AH144" s="17" t="str">
        <f aca="false">IF((E144="z"),H144," ")</f>
        <v> </v>
      </c>
      <c r="AI144" s="17" t="str">
        <f aca="false">IF((E144="fa"),H144," ")</f>
        <v> </v>
      </c>
      <c r="AJ144" s="17" t="str">
        <f aca="false">IF((E144="e"),H144," ")</f>
        <v> </v>
      </c>
    </row>
    <row r="145" customFormat="false" ht="12" hidden="false" customHeight="false" outlineLevel="0" collapsed="false">
      <c r="A145" s="28"/>
      <c r="E145" s="2" t="str">
        <f aca="false">IF((F145&lt;&gt;0),"Enter Letter"," ")</f>
        <v> </v>
      </c>
      <c r="F145" s="30"/>
      <c r="G145" s="6" t="str">
        <f aca="false">IF(F145&lt;&gt;0,F145*G$2/(100+G$2)," ")</f>
        <v> </v>
      </c>
      <c r="H145" s="6" t="str">
        <f aca="false">IF((F145&lt;&gt;0),F145-G145," ")</f>
        <v> </v>
      </c>
      <c r="I145" s="5"/>
      <c r="L145" s="7" t="str">
        <f aca="false">IF(F145&lt;&gt;0,F145-K145," ")</f>
        <v> </v>
      </c>
      <c r="M145" s="8" t="str">
        <f aca="false">IF((F145-K145)&lt;&gt;0,M$1-A145," ")</f>
        <v> </v>
      </c>
      <c r="N145" s="5"/>
      <c r="O145" s="17" t="str">
        <f aca="false">IF((E145="s"),H145," ")</f>
        <v> </v>
      </c>
      <c r="P145" s="17" t="str">
        <f aca="false">IF((E145="c"),H145," ")</f>
        <v> </v>
      </c>
      <c r="Q145" s="17" t="str">
        <f aca="false">IF((E145="o"),H145," ")</f>
        <v> </v>
      </c>
      <c r="R145" s="17" t="str">
        <f aca="false">IF((E145="d"),H145," ")</f>
        <v> </v>
      </c>
      <c r="S145" s="17" t="str">
        <f aca="false">IF((E145="w"),H145," ")</f>
        <v> </v>
      </c>
      <c r="T145" s="17" t="str">
        <f aca="false">IF((E145="r"),H145," ")</f>
        <v> </v>
      </c>
      <c r="U145" s="17" t="str">
        <f aca="false">IF((E145="p"),H145," ")</f>
        <v> </v>
      </c>
      <c r="V145" s="17" t="str">
        <f aca="false">IF((E145="t"),H145," ")</f>
        <v> </v>
      </c>
      <c r="W145" s="17" t="str">
        <f aca="false">IF((E145="q"),H145," ")</f>
        <v> </v>
      </c>
      <c r="X145" s="17" t="str">
        <f aca="false">IF((E145="m"),H145," ")</f>
        <v> </v>
      </c>
      <c r="Y145" s="17" t="str">
        <f aca="false">IF((E145="u"),H145," ")</f>
        <v> </v>
      </c>
      <c r="Z145" s="17" t="str">
        <f aca="false">IF((E145="a"),H145," ")</f>
        <v> </v>
      </c>
      <c r="AA145" s="17" t="str">
        <f aca="false">IF((E145="g"),H145," ")</f>
        <v> </v>
      </c>
      <c r="AB145" s="17" t="str">
        <f aca="false">IF((E145="h"),H145," ")</f>
        <v> </v>
      </c>
      <c r="AC145" s="30" t="str">
        <f aca="false">IF((E145="v"),H145," ")</f>
        <v> </v>
      </c>
      <c r="AD145" s="30" t="str">
        <f aca="false">IF((E145="n"),H145," ")</f>
        <v> </v>
      </c>
      <c r="AE145" s="17" t="str">
        <f aca="false">IF((E145="f"),H145," ")</f>
        <v> </v>
      </c>
      <c r="AF145" s="17" t="str">
        <f aca="false">IF((E145="l"),H145," ")</f>
        <v> </v>
      </c>
      <c r="AG145" s="17" t="str">
        <f aca="false">IF((E145="y"),H145," ")</f>
        <v> </v>
      </c>
      <c r="AH145" s="17" t="str">
        <f aca="false">IF((E145="z"),H145," ")</f>
        <v> </v>
      </c>
      <c r="AI145" s="17" t="str">
        <f aca="false">IF((E145="fa"),H145," ")</f>
        <v> </v>
      </c>
      <c r="AJ145" s="17" t="str">
        <f aca="false">IF((E145="e"),H145," ")</f>
        <v> </v>
      </c>
    </row>
    <row r="146" customFormat="false" ht="12" hidden="false" customHeight="false" outlineLevel="0" collapsed="false">
      <c r="A146" s="28"/>
      <c r="E146" s="2" t="str">
        <f aca="false">IF((F146&lt;&gt;0),"Enter Letter"," ")</f>
        <v> </v>
      </c>
      <c r="F146" s="30"/>
      <c r="G146" s="6" t="str">
        <f aca="false">IF(F146&lt;&gt;0,F146*G$2/(100+G$2)," ")</f>
        <v> </v>
      </c>
      <c r="H146" s="6" t="str">
        <f aca="false">IF((F146&lt;&gt;0),F146-G146," ")</f>
        <v> </v>
      </c>
      <c r="I146" s="5"/>
      <c r="L146" s="7" t="str">
        <f aca="false">IF(F146&lt;&gt;0,F146-K146," ")</f>
        <v> </v>
      </c>
      <c r="M146" s="8" t="str">
        <f aca="false">IF((F146-K146)&lt;&gt;0,M$1-A146," ")</f>
        <v> </v>
      </c>
      <c r="N146" s="5"/>
      <c r="O146" s="17" t="str">
        <f aca="false">IF((E146="s"),H146," ")</f>
        <v> </v>
      </c>
      <c r="P146" s="17" t="str">
        <f aca="false">IF((E146="c"),H146," ")</f>
        <v> </v>
      </c>
      <c r="Q146" s="17" t="str">
        <f aca="false">IF((E146="o"),H146," ")</f>
        <v> </v>
      </c>
      <c r="R146" s="17" t="str">
        <f aca="false">IF((E146="d"),H146," ")</f>
        <v> </v>
      </c>
      <c r="S146" s="17" t="str">
        <f aca="false">IF((E146="w"),H146," ")</f>
        <v> </v>
      </c>
      <c r="T146" s="17" t="str">
        <f aca="false">IF((E146="r"),H146," ")</f>
        <v> </v>
      </c>
      <c r="U146" s="17" t="str">
        <f aca="false">IF((E146="p"),H146," ")</f>
        <v> </v>
      </c>
      <c r="V146" s="17" t="str">
        <f aca="false">IF((E146="t"),H146," ")</f>
        <v> </v>
      </c>
      <c r="W146" s="17" t="str">
        <f aca="false">IF((E146="q"),H146," ")</f>
        <v> </v>
      </c>
      <c r="X146" s="17" t="str">
        <f aca="false">IF((E146="m"),H146," ")</f>
        <v> </v>
      </c>
      <c r="Y146" s="17" t="str">
        <f aca="false">IF((E146="u"),H146," ")</f>
        <v> </v>
      </c>
      <c r="Z146" s="17" t="str">
        <f aca="false">IF((E146="a"),H146," ")</f>
        <v> </v>
      </c>
      <c r="AA146" s="17" t="str">
        <f aca="false">IF((E146="g"),H146," ")</f>
        <v> </v>
      </c>
      <c r="AB146" s="17" t="str">
        <f aca="false">IF((E146="h"),H146," ")</f>
        <v> </v>
      </c>
      <c r="AC146" s="30" t="str">
        <f aca="false">IF((E146="v"),H146," ")</f>
        <v> </v>
      </c>
      <c r="AD146" s="30" t="str">
        <f aca="false">IF((E146="n"),H146," ")</f>
        <v> </v>
      </c>
      <c r="AE146" s="17" t="str">
        <f aca="false">IF((E146="f"),H146," ")</f>
        <v> </v>
      </c>
      <c r="AF146" s="17" t="str">
        <f aca="false">IF((E146="l"),H146," ")</f>
        <v> </v>
      </c>
      <c r="AG146" s="17" t="str">
        <f aca="false">IF((E146="y"),H146," ")</f>
        <v> </v>
      </c>
      <c r="AH146" s="17" t="str">
        <f aca="false">IF((E146="z"),H146," ")</f>
        <v> </v>
      </c>
      <c r="AI146" s="17" t="str">
        <f aca="false">IF((E146="fa"),H146," ")</f>
        <v> </v>
      </c>
      <c r="AJ146" s="17" t="str">
        <f aca="false">IF((E146="e"),H146," ")</f>
        <v> </v>
      </c>
    </row>
    <row r="147" customFormat="false" ht="12" hidden="false" customHeight="false" outlineLevel="0" collapsed="false">
      <c r="A147" s="28"/>
      <c r="E147" s="2" t="str">
        <f aca="false">IF((F147&lt;&gt;0),"Enter Letter"," ")</f>
        <v> </v>
      </c>
      <c r="F147" s="30"/>
      <c r="G147" s="6" t="str">
        <f aca="false">IF(F147&lt;&gt;0,F147*G$2/(100+G$2)," ")</f>
        <v> </v>
      </c>
      <c r="H147" s="6" t="str">
        <f aca="false">IF((F147&lt;&gt;0),F147-G147," ")</f>
        <v> </v>
      </c>
      <c r="I147" s="5"/>
      <c r="L147" s="7" t="str">
        <f aca="false">IF(F147&lt;&gt;0,F147-K147," ")</f>
        <v> </v>
      </c>
      <c r="M147" s="8" t="str">
        <f aca="false">IF((F147-K147)&lt;&gt;0,M$1-A147," ")</f>
        <v> </v>
      </c>
      <c r="N147" s="5"/>
      <c r="O147" s="17" t="str">
        <f aca="false">IF((E147="s"),H147," ")</f>
        <v> </v>
      </c>
      <c r="P147" s="17" t="str">
        <f aca="false">IF((E147="c"),H147," ")</f>
        <v> </v>
      </c>
      <c r="Q147" s="17" t="str">
        <f aca="false">IF((E147="o"),H147," ")</f>
        <v> </v>
      </c>
      <c r="R147" s="17" t="str">
        <f aca="false">IF((E147="d"),H147," ")</f>
        <v> </v>
      </c>
      <c r="S147" s="17" t="str">
        <f aca="false">IF((E147="w"),H147," ")</f>
        <v> </v>
      </c>
      <c r="T147" s="17" t="str">
        <f aca="false">IF((E147="r"),H147," ")</f>
        <v> </v>
      </c>
      <c r="U147" s="17" t="str">
        <f aca="false">IF((E147="p"),H147," ")</f>
        <v> </v>
      </c>
      <c r="V147" s="17" t="str">
        <f aca="false">IF((E147="t"),H147," ")</f>
        <v> </v>
      </c>
      <c r="W147" s="17" t="str">
        <f aca="false">IF((E147="q"),H147," ")</f>
        <v> </v>
      </c>
      <c r="X147" s="17" t="str">
        <f aca="false">IF((E147="m"),H147," ")</f>
        <v> </v>
      </c>
      <c r="Y147" s="17" t="str">
        <f aca="false">IF((E147="u"),H147," ")</f>
        <v> </v>
      </c>
      <c r="Z147" s="17" t="str">
        <f aca="false">IF((E147="a"),H147," ")</f>
        <v> </v>
      </c>
      <c r="AA147" s="17" t="str">
        <f aca="false">IF((E147="g"),H147," ")</f>
        <v> </v>
      </c>
      <c r="AB147" s="17" t="str">
        <f aca="false">IF((E147="h"),H147," ")</f>
        <v> </v>
      </c>
      <c r="AC147" s="30" t="str">
        <f aca="false">IF((E147="v"),H147," ")</f>
        <v> </v>
      </c>
      <c r="AD147" s="30" t="str">
        <f aca="false">IF((E147="n"),H147," ")</f>
        <v> </v>
      </c>
      <c r="AE147" s="17" t="str">
        <f aca="false">IF((E147="f"),H147," ")</f>
        <v> </v>
      </c>
      <c r="AF147" s="17" t="str">
        <f aca="false">IF((E147="l"),H147," ")</f>
        <v> </v>
      </c>
      <c r="AG147" s="17" t="str">
        <f aca="false">IF((E147="y"),H147," ")</f>
        <v> </v>
      </c>
      <c r="AH147" s="17" t="str">
        <f aca="false">IF((E147="z"),H147," ")</f>
        <v> </v>
      </c>
      <c r="AI147" s="17" t="str">
        <f aca="false">IF((E147="fa"),H147," ")</f>
        <v> </v>
      </c>
      <c r="AJ147" s="17" t="str">
        <f aca="false">IF((E147="e"),H147," ")</f>
        <v> </v>
      </c>
    </row>
    <row r="148" customFormat="false" ht="12" hidden="false" customHeight="false" outlineLevel="0" collapsed="false">
      <c r="A148" s="28"/>
      <c r="E148" s="2" t="str">
        <f aca="false">IF((F148&lt;&gt;0),"Enter Letter"," ")</f>
        <v> </v>
      </c>
      <c r="F148" s="30"/>
      <c r="G148" s="6" t="str">
        <f aca="false">IF(F148&lt;&gt;0,F148*G$2/(100+G$2)," ")</f>
        <v> </v>
      </c>
      <c r="H148" s="6" t="str">
        <f aca="false">IF((F148&lt;&gt;0),F148-G148," ")</f>
        <v> </v>
      </c>
      <c r="I148" s="5"/>
      <c r="L148" s="7" t="str">
        <f aca="false">IF(F148&lt;&gt;0,F148-K148," ")</f>
        <v> </v>
      </c>
      <c r="M148" s="8" t="str">
        <f aca="false">IF((F148-K148)&lt;&gt;0,M$1-A148," ")</f>
        <v> </v>
      </c>
      <c r="N148" s="5"/>
      <c r="O148" s="17" t="str">
        <f aca="false">IF((E148="s"),H148," ")</f>
        <v> </v>
      </c>
      <c r="P148" s="17" t="str">
        <f aca="false">IF((E148="c"),H148," ")</f>
        <v> </v>
      </c>
      <c r="Q148" s="17" t="str">
        <f aca="false">IF((E148="o"),H148," ")</f>
        <v> </v>
      </c>
      <c r="R148" s="17" t="str">
        <f aca="false">IF((E148="d"),H148," ")</f>
        <v> </v>
      </c>
      <c r="S148" s="17" t="str">
        <f aca="false">IF((E148="w"),H148," ")</f>
        <v> </v>
      </c>
      <c r="T148" s="17" t="str">
        <f aca="false">IF((E148="r"),H148," ")</f>
        <v> </v>
      </c>
      <c r="U148" s="17" t="str">
        <f aca="false">IF((E148="p"),H148," ")</f>
        <v> </v>
      </c>
      <c r="V148" s="17" t="str">
        <f aca="false">IF((E148="t"),H148," ")</f>
        <v> </v>
      </c>
      <c r="W148" s="17" t="str">
        <f aca="false">IF((E148="q"),H148," ")</f>
        <v> </v>
      </c>
      <c r="X148" s="17" t="str">
        <f aca="false">IF((E148="m"),H148," ")</f>
        <v> </v>
      </c>
      <c r="Y148" s="17" t="str">
        <f aca="false">IF((E148="u"),H148," ")</f>
        <v> </v>
      </c>
      <c r="Z148" s="17" t="str">
        <f aca="false">IF((E148="a"),H148," ")</f>
        <v> </v>
      </c>
      <c r="AA148" s="17" t="str">
        <f aca="false">IF((E148="g"),H148," ")</f>
        <v> </v>
      </c>
      <c r="AB148" s="17" t="str">
        <f aca="false">IF((E148="h"),H148," ")</f>
        <v> </v>
      </c>
      <c r="AC148" s="30" t="str">
        <f aca="false">IF((E148="v"),H148," ")</f>
        <v> </v>
      </c>
      <c r="AD148" s="30" t="str">
        <f aca="false">IF((E148="n"),H148," ")</f>
        <v> </v>
      </c>
      <c r="AE148" s="17" t="str">
        <f aca="false">IF((E148="f"),H148," ")</f>
        <v> </v>
      </c>
      <c r="AF148" s="17" t="str">
        <f aca="false">IF((E148="l"),H148," ")</f>
        <v> </v>
      </c>
      <c r="AG148" s="17" t="str">
        <f aca="false">IF((E148="y"),H148," ")</f>
        <v> </v>
      </c>
      <c r="AH148" s="17" t="str">
        <f aca="false">IF((E148="z"),H148," ")</f>
        <v> </v>
      </c>
      <c r="AI148" s="17" t="str">
        <f aca="false">IF((E148="fa"),H148," ")</f>
        <v> </v>
      </c>
      <c r="AJ148" s="17" t="str">
        <f aca="false">IF((E148="e"),H148," ")</f>
        <v> </v>
      </c>
    </row>
    <row r="149" customFormat="false" ht="12" hidden="false" customHeight="false" outlineLevel="0" collapsed="false">
      <c r="A149" s="28"/>
      <c r="E149" s="2" t="str">
        <f aca="false">IF((F149&lt;&gt;0),"Enter Letter"," ")</f>
        <v> </v>
      </c>
      <c r="F149" s="30"/>
      <c r="G149" s="6" t="str">
        <f aca="false">IF(F149&lt;&gt;0,F149*G$2/(100+G$2)," ")</f>
        <v> </v>
      </c>
      <c r="H149" s="6" t="str">
        <f aca="false">IF((F149&lt;&gt;0),F149-G149," ")</f>
        <v> </v>
      </c>
      <c r="I149" s="5"/>
      <c r="L149" s="7" t="str">
        <f aca="false">IF(F149&lt;&gt;0,F149-K149," ")</f>
        <v> </v>
      </c>
      <c r="M149" s="8" t="str">
        <f aca="false">IF((F149-K149)&lt;&gt;0,M$1-A149," ")</f>
        <v> </v>
      </c>
      <c r="N149" s="5"/>
      <c r="O149" s="17" t="str">
        <f aca="false">IF((E149="s"),H149," ")</f>
        <v> </v>
      </c>
      <c r="P149" s="17" t="str">
        <f aca="false">IF((E149="c"),H149," ")</f>
        <v> </v>
      </c>
      <c r="Q149" s="17" t="str">
        <f aca="false">IF((E149="o"),H149," ")</f>
        <v> </v>
      </c>
      <c r="R149" s="17" t="str">
        <f aca="false">IF((E149="d"),H149," ")</f>
        <v> </v>
      </c>
      <c r="S149" s="17" t="str">
        <f aca="false">IF((E149="w"),H149," ")</f>
        <v> </v>
      </c>
      <c r="T149" s="17" t="str">
        <f aca="false">IF((E149="r"),H149," ")</f>
        <v> </v>
      </c>
      <c r="U149" s="17" t="str">
        <f aca="false">IF((E149="p"),H149," ")</f>
        <v> </v>
      </c>
      <c r="V149" s="17" t="str">
        <f aca="false">IF((E149="t"),H149," ")</f>
        <v> </v>
      </c>
      <c r="W149" s="17" t="str">
        <f aca="false">IF((E149="q"),H149," ")</f>
        <v> </v>
      </c>
      <c r="X149" s="17" t="str">
        <f aca="false">IF((E149="m"),H149," ")</f>
        <v> </v>
      </c>
      <c r="Y149" s="17" t="str">
        <f aca="false">IF((E149="u"),H149," ")</f>
        <v> </v>
      </c>
      <c r="Z149" s="17" t="str">
        <f aca="false">IF((E149="a"),H149," ")</f>
        <v> </v>
      </c>
      <c r="AA149" s="17" t="str">
        <f aca="false">IF((E149="g"),H149," ")</f>
        <v> </v>
      </c>
      <c r="AB149" s="17" t="str">
        <f aca="false">IF((E149="h"),H149," ")</f>
        <v> </v>
      </c>
      <c r="AC149" s="30" t="str">
        <f aca="false">IF((E149="v"),H149," ")</f>
        <v> </v>
      </c>
      <c r="AD149" s="30" t="str">
        <f aca="false">IF((E149="n"),H149," ")</f>
        <v> </v>
      </c>
      <c r="AE149" s="17" t="str">
        <f aca="false">IF((E149="f"),H149," ")</f>
        <v> </v>
      </c>
      <c r="AF149" s="17" t="str">
        <f aca="false">IF((E149="l"),H149," ")</f>
        <v> </v>
      </c>
      <c r="AG149" s="17" t="str">
        <f aca="false">IF((E149="y"),H149," ")</f>
        <v> </v>
      </c>
      <c r="AH149" s="17" t="str">
        <f aca="false">IF((E149="z"),H149," ")</f>
        <v> </v>
      </c>
      <c r="AI149" s="17" t="str">
        <f aca="false">IF((E149="fa"),H149," ")</f>
        <v> </v>
      </c>
      <c r="AJ149" s="17" t="str">
        <f aca="false">IF((E149="e"),H149," ")</f>
        <v> </v>
      </c>
    </row>
    <row r="150" customFormat="false" ht="12" hidden="false" customHeight="false" outlineLevel="0" collapsed="false">
      <c r="A150" s="28"/>
      <c r="E150" s="2" t="str">
        <f aca="false">IF((F150&lt;&gt;0),"Enter Letter"," ")</f>
        <v> </v>
      </c>
      <c r="F150" s="30"/>
      <c r="G150" s="6" t="str">
        <f aca="false">IF(F150&lt;&gt;0,F150*G$2/(100+G$2)," ")</f>
        <v> </v>
      </c>
      <c r="H150" s="6" t="str">
        <f aca="false">IF((F150&lt;&gt;0),F150-G150," ")</f>
        <v> </v>
      </c>
      <c r="I150" s="5"/>
      <c r="L150" s="7" t="str">
        <f aca="false">IF(F150&lt;&gt;0,F150-K150," ")</f>
        <v> </v>
      </c>
      <c r="M150" s="8" t="str">
        <f aca="false">IF((F150-K150)&lt;&gt;0,M$1-A150," ")</f>
        <v> </v>
      </c>
      <c r="N150" s="5"/>
      <c r="O150" s="17" t="str">
        <f aca="false">IF((E150="s"),H150," ")</f>
        <v> </v>
      </c>
      <c r="P150" s="17" t="str">
        <f aca="false">IF((E150="c"),H150," ")</f>
        <v> </v>
      </c>
      <c r="Q150" s="17" t="str">
        <f aca="false">IF((E150="o"),H150," ")</f>
        <v> </v>
      </c>
      <c r="R150" s="17" t="str">
        <f aca="false">IF((E150="d"),H150," ")</f>
        <v> </v>
      </c>
      <c r="S150" s="17" t="str">
        <f aca="false">IF((E150="w"),H150," ")</f>
        <v> </v>
      </c>
      <c r="T150" s="17" t="str">
        <f aca="false">IF((E150="r"),H150," ")</f>
        <v> </v>
      </c>
      <c r="U150" s="17" t="str">
        <f aca="false">IF((E150="p"),H150," ")</f>
        <v> </v>
      </c>
      <c r="V150" s="17" t="str">
        <f aca="false">IF((E150="t"),H150," ")</f>
        <v> </v>
      </c>
      <c r="W150" s="17" t="str">
        <f aca="false">IF((E150="q"),H150," ")</f>
        <v> </v>
      </c>
      <c r="X150" s="17" t="str">
        <f aca="false">IF((E150="m"),H150," ")</f>
        <v> </v>
      </c>
      <c r="Y150" s="17" t="str">
        <f aca="false">IF((E150="u"),H150," ")</f>
        <v> </v>
      </c>
      <c r="Z150" s="17" t="str">
        <f aca="false">IF((E150="a"),H150," ")</f>
        <v> </v>
      </c>
      <c r="AA150" s="17" t="str">
        <f aca="false">IF((E150="g"),H150," ")</f>
        <v> </v>
      </c>
      <c r="AB150" s="17" t="str">
        <f aca="false">IF((E150="h"),H150," ")</f>
        <v> </v>
      </c>
      <c r="AC150" s="30" t="str">
        <f aca="false">IF((E150="v"),H150," ")</f>
        <v> </v>
      </c>
      <c r="AD150" s="30" t="str">
        <f aca="false">IF((E150="n"),H150," ")</f>
        <v> </v>
      </c>
      <c r="AE150" s="17" t="str">
        <f aca="false">IF((E150="f"),H150," ")</f>
        <v> </v>
      </c>
      <c r="AF150" s="17" t="str">
        <f aca="false">IF((E150="l"),H150," ")</f>
        <v> </v>
      </c>
      <c r="AG150" s="17" t="str">
        <f aca="false">IF((E150="y"),H150," ")</f>
        <v> </v>
      </c>
      <c r="AH150" s="17" t="str">
        <f aca="false">IF((E150="z"),H150," ")</f>
        <v> </v>
      </c>
      <c r="AI150" s="17" t="str">
        <f aca="false">IF((E150="fa"),H150," ")</f>
        <v> </v>
      </c>
      <c r="AJ150" s="17" t="str">
        <f aca="false">IF((E150="e"),H150," ")</f>
        <v> </v>
      </c>
    </row>
    <row r="151" customFormat="false" ht="12" hidden="false" customHeight="false" outlineLevel="0" collapsed="false">
      <c r="A151" s="28"/>
      <c r="E151" s="2" t="str">
        <f aca="false">IF((F151&lt;&gt;0),"Enter Letter"," ")</f>
        <v> </v>
      </c>
      <c r="F151" s="30"/>
      <c r="G151" s="6" t="str">
        <f aca="false">IF(F151&lt;&gt;0,F151*G$2/(100+G$2)," ")</f>
        <v> </v>
      </c>
      <c r="H151" s="6" t="str">
        <f aca="false">IF((F151&lt;&gt;0),F151-G151," ")</f>
        <v> </v>
      </c>
      <c r="I151" s="5"/>
      <c r="L151" s="7" t="str">
        <f aca="false">IF(F151&lt;&gt;0,F151-K151," ")</f>
        <v> </v>
      </c>
      <c r="M151" s="8" t="str">
        <f aca="false">IF((F151-K151)&lt;&gt;0,M$1-A151," ")</f>
        <v> </v>
      </c>
      <c r="N151" s="5"/>
      <c r="O151" s="17" t="str">
        <f aca="false">IF((E151="s"),H151," ")</f>
        <v> </v>
      </c>
      <c r="P151" s="17" t="str">
        <f aca="false">IF((E151="c"),H151," ")</f>
        <v> </v>
      </c>
      <c r="Q151" s="17" t="str">
        <f aca="false">IF((E151="o"),H151," ")</f>
        <v> </v>
      </c>
      <c r="R151" s="17" t="str">
        <f aca="false">IF((E151="d"),H151," ")</f>
        <v> </v>
      </c>
      <c r="S151" s="17" t="str">
        <f aca="false">IF((E151="w"),H151," ")</f>
        <v> </v>
      </c>
      <c r="T151" s="17" t="str">
        <f aca="false">IF((E151="r"),H151," ")</f>
        <v> </v>
      </c>
      <c r="U151" s="17" t="str">
        <f aca="false">IF((E151="p"),H151," ")</f>
        <v> </v>
      </c>
      <c r="V151" s="17" t="str">
        <f aca="false">IF((E151="t"),H151," ")</f>
        <v> </v>
      </c>
      <c r="W151" s="17" t="str">
        <f aca="false">IF((E151="q"),H151," ")</f>
        <v> </v>
      </c>
      <c r="X151" s="17" t="str">
        <f aca="false">IF((E151="m"),H151," ")</f>
        <v> </v>
      </c>
      <c r="Y151" s="17" t="str">
        <f aca="false">IF((E151="u"),H151," ")</f>
        <v> </v>
      </c>
      <c r="Z151" s="17" t="str">
        <f aca="false">IF((E151="a"),H151," ")</f>
        <v> </v>
      </c>
      <c r="AA151" s="17" t="str">
        <f aca="false">IF((E151="g"),H151," ")</f>
        <v> </v>
      </c>
      <c r="AB151" s="17" t="str">
        <f aca="false">IF((E151="h"),H151," ")</f>
        <v> </v>
      </c>
      <c r="AC151" s="30" t="str">
        <f aca="false">IF((E151="v"),H151," ")</f>
        <v> </v>
      </c>
      <c r="AD151" s="30" t="str">
        <f aca="false">IF((E151="n"),H151," ")</f>
        <v> </v>
      </c>
      <c r="AE151" s="17" t="str">
        <f aca="false">IF((E151="f"),H151," ")</f>
        <v> </v>
      </c>
      <c r="AF151" s="17" t="str">
        <f aca="false">IF((E151="l"),H151," ")</f>
        <v> </v>
      </c>
      <c r="AG151" s="17" t="str">
        <f aca="false">IF((E151="y"),H151," ")</f>
        <v> </v>
      </c>
      <c r="AH151" s="17" t="str">
        <f aca="false">IF((E151="z"),H151," ")</f>
        <v> </v>
      </c>
      <c r="AI151" s="17" t="str">
        <f aca="false">IF((E151="fa"),H151," ")</f>
        <v> </v>
      </c>
      <c r="AJ151" s="17" t="str">
        <f aca="false">IF((E151="e"),H151," ")</f>
        <v> </v>
      </c>
    </row>
    <row r="152" customFormat="false" ht="12" hidden="false" customHeight="false" outlineLevel="0" collapsed="false">
      <c r="A152" s="28"/>
      <c r="E152" s="2" t="str">
        <f aca="false">IF((F152&lt;&gt;0),"Enter Letter"," ")</f>
        <v> </v>
      </c>
      <c r="F152" s="30"/>
      <c r="G152" s="6" t="str">
        <f aca="false">IF(F152&lt;&gt;0,F152*G$2/(100+G$2)," ")</f>
        <v> </v>
      </c>
      <c r="H152" s="6" t="str">
        <f aca="false">IF((F152&lt;&gt;0),F152-G152," ")</f>
        <v> </v>
      </c>
      <c r="I152" s="5"/>
      <c r="L152" s="7" t="str">
        <f aca="false">IF(F152&lt;&gt;0,F152-K152," ")</f>
        <v> </v>
      </c>
      <c r="M152" s="8" t="str">
        <f aca="false">IF((F152-K152)&lt;&gt;0,M$1-A152," ")</f>
        <v> </v>
      </c>
      <c r="N152" s="5"/>
      <c r="O152" s="17" t="str">
        <f aca="false">IF((E152="s"),H152," ")</f>
        <v> </v>
      </c>
      <c r="P152" s="17" t="str">
        <f aca="false">IF((E152="c"),H152," ")</f>
        <v> </v>
      </c>
      <c r="Q152" s="17" t="str">
        <f aca="false">IF((E152="o"),H152," ")</f>
        <v> </v>
      </c>
      <c r="R152" s="17" t="str">
        <f aca="false">IF((E152="d"),H152," ")</f>
        <v> </v>
      </c>
      <c r="S152" s="17" t="str">
        <f aca="false">IF((E152="w"),H152," ")</f>
        <v> </v>
      </c>
      <c r="T152" s="17" t="str">
        <f aca="false">IF((E152="r"),H152," ")</f>
        <v> </v>
      </c>
      <c r="U152" s="17" t="str">
        <f aca="false">IF((E152="p"),H152," ")</f>
        <v> </v>
      </c>
      <c r="V152" s="17" t="str">
        <f aca="false">IF((E152="t"),H152," ")</f>
        <v> </v>
      </c>
      <c r="W152" s="17" t="str">
        <f aca="false">IF((E152="q"),H152," ")</f>
        <v> </v>
      </c>
      <c r="X152" s="17" t="str">
        <f aca="false">IF((E152="m"),H152," ")</f>
        <v> </v>
      </c>
      <c r="Y152" s="17" t="str">
        <f aca="false">IF((E152="u"),H152," ")</f>
        <v> </v>
      </c>
      <c r="Z152" s="17" t="str">
        <f aca="false">IF((E152="a"),H152," ")</f>
        <v> </v>
      </c>
      <c r="AA152" s="17" t="str">
        <f aca="false">IF((E152="g"),H152," ")</f>
        <v> </v>
      </c>
      <c r="AB152" s="17" t="str">
        <f aca="false">IF((E152="h"),H152," ")</f>
        <v> </v>
      </c>
      <c r="AC152" s="30" t="str">
        <f aca="false">IF((E152="v"),H152," ")</f>
        <v> </v>
      </c>
      <c r="AD152" s="30" t="str">
        <f aca="false">IF((E152="n"),H152," ")</f>
        <v> </v>
      </c>
      <c r="AE152" s="17" t="str">
        <f aca="false">IF((E152="f"),H152," ")</f>
        <v> </v>
      </c>
      <c r="AF152" s="17" t="str">
        <f aca="false">IF((E152="l"),H152," ")</f>
        <v> </v>
      </c>
      <c r="AG152" s="17" t="str">
        <f aca="false">IF((E152="y"),H152," ")</f>
        <v> </v>
      </c>
      <c r="AH152" s="17" t="str">
        <f aca="false">IF((E152="z"),H152," ")</f>
        <v> </v>
      </c>
      <c r="AI152" s="17" t="str">
        <f aca="false">IF((E152="fa"),H152," ")</f>
        <v> </v>
      </c>
      <c r="AJ152" s="17" t="str">
        <f aca="false">IF((E152="e"),H152," ")</f>
        <v> </v>
      </c>
    </row>
    <row r="153" customFormat="false" ht="12" hidden="false" customHeight="false" outlineLevel="0" collapsed="false">
      <c r="A153" s="28"/>
      <c r="E153" s="2" t="str">
        <f aca="false">IF((F153&lt;&gt;0),"Enter Letter"," ")</f>
        <v> </v>
      </c>
      <c r="F153" s="30"/>
      <c r="G153" s="6" t="str">
        <f aca="false">IF(F153&lt;&gt;0,F153*G$2/(100+G$2)," ")</f>
        <v> </v>
      </c>
      <c r="H153" s="6" t="str">
        <f aca="false">IF((F153&lt;&gt;0),F153-G153," ")</f>
        <v> </v>
      </c>
      <c r="I153" s="5"/>
      <c r="L153" s="7" t="str">
        <f aca="false">IF(F153&lt;&gt;0,F153-K153," ")</f>
        <v> </v>
      </c>
      <c r="M153" s="8" t="str">
        <f aca="false">IF((F153-K153)&lt;&gt;0,M$1-A153," ")</f>
        <v> </v>
      </c>
      <c r="N153" s="5"/>
      <c r="O153" s="17" t="str">
        <f aca="false">IF((E153="s"),H153," ")</f>
        <v> </v>
      </c>
      <c r="P153" s="17" t="str">
        <f aca="false">IF((E153="c"),H153," ")</f>
        <v> </v>
      </c>
      <c r="Q153" s="17" t="str">
        <f aca="false">IF((E153="o"),H153," ")</f>
        <v> </v>
      </c>
      <c r="R153" s="17" t="str">
        <f aca="false">IF((E153="d"),H153," ")</f>
        <v> </v>
      </c>
      <c r="S153" s="17" t="str">
        <f aca="false">IF((E153="w"),H153," ")</f>
        <v> </v>
      </c>
      <c r="T153" s="17" t="str">
        <f aca="false">IF((E153="r"),H153," ")</f>
        <v> </v>
      </c>
      <c r="U153" s="17" t="str">
        <f aca="false">IF((E153="p"),H153," ")</f>
        <v> </v>
      </c>
      <c r="V153" s="17" t="str">
        <f aca="false">IF((E153="t"),H153," ")</f>
        <v> </v>
      </c>
      <c r="W153" s="17" t="str">
        <f aca="false">IF((E153="q"),H153," ")</f>
        <v> </v>
      </c>
      <c r="X153" s="17" t="str">
        <f aca="false">IF((E153="m"),H153," ")</f>
        <v> </v>
      </c>
      <c r="Y153" s="17" t="str">
        <f aca="false">IF((E153="u"),H153," ")</f>
        <v> </v>
      </c>
      <c r="Z153" s="17" t="str">
        <f aca="false">IF((E153="a"),H153," ")</f>
        <v> </v>
      </c>
      <c r="AA153" s="17" t="str">
        <f aca="false">IF((E153="g"),H153," ")</f>
        <v> </v>
      </c>
      <c r="AB153" s="17" t="str">
        <f aca="false">IF((E153="h"),H153," ")</f>
        <v> </v>
      </c>
      <c r="AC153" s="30" t="str">
        <f aca="false">IF((E153="v"),H153," ")</f>
        <v> </v>
      </c>
      <c r="AD153" s="30" t="str">
        <f aca="false">IF((E153="n"),H153," ")</f>
        <v> </v>
      </c>
      <c r="AE153" s="17" t="str">
        <f aca="false">IF((E153="f"),H153," ")</f>
        <v> </v>
      </c>
      <c r="AF153" s="17" t="str">
        <f aca="false">IF((E153="l"),H153," ")</f>
        <v> </v>
      </c>
      <c r="AG153" s="17" t="str">
        <f aca="false">IF((E153="y"),H153," ")</f>
        <v> </v>
      </c>
      <c r="AH153" s="17" t="str">
        <f aca="false">IF((E153="z"),H153," ")</f>
        <v> </v>
      </c>
      <c r="AI153" s="17" t="str">
        <f aca="false">IF((E153="fa"),H153," ")</f>
        <v> </v>
      </c>
      <c r="AJ153" s="17" t="str">
        <f aca="false">IF((E153="e"),H153," ")</f>
        <v> </v>
      </c>
    </row>
    <row r="154" customFormat="false" ht="12" hidden="false" customHeight="false" outlineLevel="0" collapsed="false">
      <c r="A154" s="28"/>
      <c r="E154" s="2" t="str">
        <f aca="false">IF((F154&lt;&gt;0),"Enter Letter"," ")</f>
        <v> </v>
      </c>
      <c r="F154" s="30"/>
      <c r="G154" s="6" t="str">
        <f aca="false">IF(F154&lt;&gt;0,F154*G$2/(100+G$2)," ")</f>
        <v> </v>
      </c>
      <c r="H154" s="6" t="str">
        <f aca="false">IF((F154&lt;&gt;0),F154-G154," ")</f>
        <v> </v>
      </c>
      <c r="I154" s="5"/>
      <c r="L154" s="7" t="str">
        <f aca="false">IF(F154&lt;&gt;0,F154-K154," ")</f>
        <v> </v>
      </c>
      <c r="M154" s="8" t="str">
        <f aca="false">IF((F154-K154)&lt;&gt;0,M$1-A154," ")</f>
        <v> </v>
      </c>
      <c r="N154" s="5"/>
      <c r="O154" s="17" t="str">
        <f aca="false">IF((E154="s"),H154," ")</f>
        <v> </v>
      </c>
      <c r="P154" s="17" t="str">
        <f aca="false">IF((E154="c"),H154," ")</f>
        <v> </v>
      </c>
      <c r="Q154" s="17" t="str">
        <f aca="false">IF((E154="o"),H154," ")</f>
        <v> </v>
      </c>
      <c r="R154" s="17" t="str">
        <f aca="false">IF((E154="d"),H154," ")</f>
        <v> </v>
      </c>
      <c r="S154" s="17" t="str">
        <f aca="false">IF((E154="w"),H154," ")</f>
        <v> </v>
      </c>
      <c r="T154" s="17" t="str">
        <f aca="false">IF((E154="r"),H154," ")</f>
        <v> </v>
      </c>
      <c r="U154" s="17" t="str">
        <f aca="false">IF((E154="p"),H154," ")</f>
        <v> </v>
      </c>
      <c r="V154" s="17" t="str">
        <f aca="false">IF((E154="t"),H154," ")</f>
        <v> </v>
      </c>
      <c r="W154" s="17" t="str">
        <f aca="false">IF((E154="q"),H154," ")</f>
        <v> </v>
      </c>
      <c r="X154" s="17" t="str">
        <f aca="false">IF((E154="m"),H154," ")</f>
        <v> </v>
      </c>
      <c r="Y154" s="17" t="str">
        <f aca="false">IF((E154="u"),H154," ")</f>
        <v> </v>
      </c>
      <c r="Z154" s="17" t="str">
        <f aca="false">IF((E154="a"),H154," ")</f>
        <v> </v>
      </c>
      <c r="AA154" s="17" t="str">
        <f aca="false">IF((E154="g"),H154," ")</f>
        <v> </v>
      </c>
      <c r="AB154" s="17" t="str">
        <f aca="false">IF((E154="h"),H154," ")</f>
        <v> </v>
      </c>
      <c r="AC154" s="30" t="str">
        <f aca="false">IF((E154="v"),H154," ")</f>
        <v> </v>
      </c>
      <c r="AD154" s="30" t="str">
        <f aca="false">IF((E154="n"),H154," ")</f>
        <v> </v>
      </c>
      <c r="AE154" s="17" t="str">
        <f aca="false">IF((E154="f"),H154," ")</f>
        <v> </v>
      </c>
      <c r="AF154" s="17" t="str">
        <f aca="false">IF((E154="l"),H154," ")</f>
        <v> </v>
      </c>
      <c r="AG154" s="17" t="str">
        <f aca="false">IF((E154="y"),H154," ")</f>
        <v> </v>
      </c>
      <c r="AH154" s="17" t="str">
        <f aca="false">IF((E154="z"),H154," ")</f>
        <v> </v>
      </c>
      <c r="AI154" s="17" t="str">
        <f aca="false">IF((E154="fa"),H154," ")</f>
        <v> </v>
      </c>
      <c r="AJ154" s="17" t="str">
        <f aca="false">IF((E154="e"),H154," ")</f>
        <v> </v>
      </c>
    </row>
    <row r="155" customFormat="false" ht="12" hidden="false" customHeight="false" outlineLevel="0" collapsed="false">
      <c r="A155" s="28"/>
      <c r="E155" s="2" t="str">
        <f aca="false">IF((F155&lt;&gt;0),"Enter Letter"," ")</f>
        <v> </v>
      </c>
      <c r="F155" s="30"/>
      <c r="G155" s="6" t="str">
        <f aca="false">IF(F155&lt;&gt;0,F155*G$2/(100+G$2)," ")</f>
        <v> </v>
      </c>
      <c r="H155" s="6" t="str">
        <f aca="false">IF((F155&lt;&gt;0),F155-G155," ")</f>
        <v> </v>
      </c>
      <c r="I155" s="5"/>
      <c r="L155" s="7" t="str">
        <f aca="false">IF(F155&lt;&gt;0,F155-K155," ")</f>
        <v> </v>
      </c>
      <c r="M155" s="8" t="str">
        <f aca="false">IF((F155-K155)&lt;&gt;0,M$1-A155," ")</f>
        <v> </v>
      </c>
      <c r="N155" s="5"/>
      <c r="O155" s="17" t="str">
        <f aca="false">IF((E155="s"),H155," ")</f>
        <v> </v>
      </c>
      <c r="P155" s="17" t="str">
        <f aca="false">IF((E155="c"),H155," ")</f>
        <v> </v>
      </c>
      <c r="Q155" s="17" t="str">
        <f aca="false">IF((E155="o"),H155," ")</f>
        <v> </v>
      </c>
      <c r="R155" s="17" t="str">
        <f aca="false">IF((E155="d"),H155," ")</f>
        <v> </v>
      </c>
      <c r="S155" s="17" t="str">
        <f aca="false">IF((E155="w"),H155," ")</f>
        <v> </v>
      </c>
      <c r="T155" s="17" t="str">
        <f aca="false">IF((E155="r"),H155," ")</f>
        <v> </v>
      </c>
      <c r="U155" s="17" t="str">
        <f aca="false">IF((E155="p"),H155," ")</f>
        <v> </v>
      </c>
      <c r="V155" s="17" t="str">
        <f aca="false">IF((E155="t"),H155," ")</f>
        <v> </v>
      </c>
      <c r="W155" s="17" t="str">
        <f aca="false">IF((E155="q"),H155," ")</f>
        <v> </v>
      </c>
      <c r="X155" s="17" t="str">
        <f aca="false">IF((E155="m"),H155," ")</f>
        <v> </v>
      </c>
      <c r="Y155" s="17" t="str">
        <f aca="false">IF((E155="u"),H155," ")</f>
        <v> </v>
      </c>
      <c r="Z155" s="17" t="str">
        <f aca="false">IF((E155="a"),H155," ")</f>
        <v> </v>
      </c>
      <c r="AA155" s="17" t="str">
        <f aca="false">IF((E155="g"),H155," ")</f>
        <v> </v>
      </c>
      <c r="AB155" s="17" t="str">
        <f aca="false">IF((E155="h"),H155," ")</f>
        <v> </v>
      </c>
      <c r="AC155" s="30" t="str">
        <f aca="false">IF((E155="v"),H155," ")</f>
        <v> </v>
      </c>
      <c r="AD155" s="30" t="str">
        <f aca="false">IF((E155="n"),H155," ")</f>
        <v> </v>
      </c>
      <c r="AE155" s="17" t="str">
        <f aca="false">IF((E155="f"),H155," ")</f>
        <v> </v>
      </c>
      <c r="AF155" s="17" t="str">
        <f aca="false">IF((E155="l"),H155," ")</f>
        <v> </v>
      </c>
      <c r="AG155" s="17" t="str">
        <f aca="false">IF((E155="y"),H155," ")</f>
        <v> </v>
      </c>
      <c r="AH155" s="17" t="str">
        <f aca="false">IF((E155="z"),H155," ")</f>
        <v> </v>
      </c>
      <c r="AI155" s="17" t="str">
        <f aca="false">IF((E155="fa"),H155," ")</f>
        <v> </v>
      </c>
      <c r="AJ155" s="17" t="str">
        <f aca="false">IF((E155="e"),H155," ")</f>
        <v> </v>
      </c>
    </row>
    <row r="156" customFormat="false" ht="12" hidden="false" customHeight="false" outlineLevel="0" collapsed="false">
      <c r="A156" s="28"/>
      <c r="E156" s="2" t="str">
        <f aca="false">IF((F156&lt;&gt;0),"Enter Letter"," ")</f>
        <v> </v>
      </c>
      <c r="F156" s="30"/>
      <c r="G156" s="6" t="str">
        <f aca="false">IF(F156&lt;&gt;0,F156*G$2/(100+G$2)," ")</f>
        <v> </v>
      </c>
      <c r="H156" s="6" t="str">
        <f aca="false">IF((F156&lt;&gt;0),F156-G156," ")</f>
        <v> </v>
      </c>
      <c r="I156" s="5"/>
      <c r="L156" s="7" t="str">
        <f aca="false">IF(F156&lt;&gt;0,F156-K156," ")</f>
        <v> </v>
      </c>
      <c r="M156" s="8" t="str">
        <f aca="false">IF((F156-K156)&lt;&gt;0,M$1-A156," ")</f>
        <v> </v>
      </c>
      <c r="N156" s="5"/>
      <c r="O156" s="17" t="str">
        <f aca="false">IF((E156="s"),H156," ")</f>
        <v> </v>
      </c>
      <c r="P156" s="17" t="str">
        <f aca="false">IF((E156="c"),H156," ")</f>
        <v> </v>
      </c>
      <c r="Q156" s="17" t="str">
        <f aca="false">IF((E156="o"),H156," ")</f>
        <v> </v>
      </c>
      <c r="R156" s="17" t="str">
        <f aca="false">IF((E156="d"),H156," ")</f>
        <v> </v>
      </c>
      <c r="S156" s="17" t="str">
        <f aca="false">IF((E156="w"),H156," ")</f>
        <v> </v>
      </c>
      <c r="T156" s="17" t="str">
        <f aca="false">IF((E156="r"),H156," ")</f>
        <v> </v>
      </c>
      <c r="U156" s="17" t="str">
        <f aca="false">IF((E156="p"),H156," ")</f>
        <v> </v>
      </c>
      <c r="V156" s="17" t="str">
        <f aca="false">IF((E156="t"),H156," ")</f>
        <v> </v>
      </c>
      <c r="W156" s="17" t="str">
        <f aca="false">IF((E156="q"),H156," ")</f>
        <v> </v>
      </c>
      <c r="X156" s="17" t="str">
        <f aca="false">IF((E156="m"),H156," ")</f>
        <v> </v>
      </c>
      <c r="Y156" s="17" t="str">
        <f aca="false">IF((E156="u"),H156," ")</f>
        <v> </v>
      </c>
      <c r="Z156" s="17" t="str">
        <f aca="false">IF((E156="a"),H156," ")</f>
        <v> </v>
      </c>
      <c r="AA156" s="17" t="str">
        <f aca="false">IF((E156="g"),H156," ")</f>
        <v> </v>
      </c>
      <c r="AB156" s="17" t="str">
        <f aca="false">IF((E156="h"),H156," ")</f>
        <v> </v>
      </c>
      <c r="AC156" s="30" t="str">
        <f aca="false">IF((E156="v"),H156," ")</f>
        <v> </v>
      </c>
      <c r="AD156" s="30" t="str">
        <f aca="false">IF((E156="n"),H156," ")</f>
        <v> </v>
      </c>
      <c r="AE156" s="17" t="str">
        <f aca="false">IF((E156="f"),H156," ")</f>
        <v> </v>
      </c>
      <c r="AF156" s="17" t="str">
        <f aca="false">IF((E156="l"),H156," ")</f>
        <v> </v>
      </c>
      <c r="AG156" s="17" t="str">
        <f aca="false">IF((E156="y"),H156," ")</f>
        <v> </v>
      </c>
      <c r="AH156" s="17" t="str">
        <f aca="false">IF((E156="z"),H156," ")</f>
        <v> </v>
      </c>
      <c r="AI156" s="17" t="str">
        <f aca="false">IF((E156="fa"),H156," ")</f>
        <v> </v>
      </c>
      <c r="AJ156" s="17" t="str">
        <f aca="false">IF((E156="e"),H156," ")</f>
        <v> </v>
      </c>
    </row>
    <row r="157" customFormat="false" ht="12" hidden="false" customHeight="false" outlineLevel="0" collapsed="false">
      <c r="A157" s="28"/>
      <c r="E157" s="2" t="str">
        <f aca="false">IF((F157&lt;&gt;0),"Enter Letter"," ")</f>
        <v> </v>
      </c>
      <c r="F157" s="30"/>
      <c r="G157" s="6" t="str">
        <f aca="false">IF(F157&lt;&gt;0,F157*G$2/(100+G$2)," ")</f>
        <v> </v>
      </c>
      <c r="H157" s="6" t="str">
        <f aca="false">IF((F157&lt;&gt;0),F157-G157," ")</f>
        <v> </v>
      </c>
      <c r="I157" s="5"/>
      <c r="L157" s="7" t="str">
        <f aca="false">IF(F157&lt;&gt;0,F157-K157," ")</f>
        <v> </v>
      </c>
      <c r="M157" s="8" t="str">
        <f aca="false">IF((F157-K157)&lt;&gt;0,M$1-A157," ")</f>
        <v> </v>
      </c>
      <c r="N157" s="5"/>
      <c r="O157" s="17" t="str">
        <f aca="false">IF((E157="s"),H157," ")</f>
        <v> </v>
      </c>
      <c r="P157" s="17" t="str">
        <f aca="false">IF((E157="c"),H157," ")</f>
        <v> </v>
      </c>
      <c r="Q157" s="17" t="str">
        <f aca="false">IF((E157="o"),H157," ")</f>
        <v> </v>
      </c>
      <c r="R157" s="17" t="str">
        <f aca="false">IF((E157="d"),H157," ")</f>
        <v> </v>
      </c>
      <c r="S157" s="17" t="str">
        <f aca="false">IF((E157="w"),H157," ")</f>
        <v> </v>
      </c>
      <c r="T157" s="17" t="str">
        <f aca="false">IF((E157="r"),H157," ")</f>
        <v> </v>
      </c>
      <c r="U157" s="17" t="str">
        <f aca="false">IF((E157="p"),H157," ")</f>
        <v> </v>
      </c>
      <c r="V157" s="17" t="str">
        <f aca="false">IF((E157="t"),H157," ")</f>
        <v> </v>
      </c>
      <c r="W157" s="17" t="str">
        <f aca="false">IF((E157="q"),H157," ")</f>
        <v> </v>
      </c>
      <c r="X157" s="17" t="str">
        <f aca="false">IF((E157="m"),H157," ")</f>
        <v> </v>
      </c>
      <c r="Y157" s="17" t="str">
        <f aca="false">IF((E157="u"),H157," ")</f>
        <v> </v>
      </c>
      <c r="Z157" s="17" t="str">
        <f aca="false">IF((E157="a"),H157," ")</f>
        <v> </v>
      </c>
      <c r="AA157" s="17" t="str">
        <f aca="false">IF((E157="g"),H157," ")</f>
        <v> </v>
      </c>
      <c r="AB157" s="17" t="str">
        <f aca="false">IF((E157="h"),H157," ")</f>
        <v> </v>
      </c>
      <c r="AC157" s="30" t="str">
        <f aca="false">IF((E157="v"),H157," ")</f>
        <v> </v>
      </c>
      <c r="AD157" s="30" t="str">
        <f aca="false">IF((E157="n"),H157," ")</f>
        <v> </v>
      </c>
      <c r="AE157" s="17" t="str">
        <f aca="false">IF((E157="f"),H157," ")</f>
        <v> </v>
      </c>
      <c r="AF157" s="17" t="str">
        <f aca="false">IF((E157="l"),H157," ")</f>
        <v> </v>
      </c>
      <c r="AG157" s="17" t="str">
        <f aca="false">IF((E157="y"),H157," ")</f>
        <v> </v>
      </c>
      <c r="AH157" s="17" t="str">
        <f aca="false">IF((E157="z"),H157," ")</f>
        <v> </v>
      </c>
      <c r="AI157" s="17" t="str">
        <f aca="false">IF((E157="fa"),H157," ")</f>
        <v> </v>
      </c>
      <c r="AJ157" s="17" t="str">
        <f aca="false">IF((E157="e"),H157," ")</f>
        <v> </v>
      </c>
    </row>
    <row r="158" customFormat="false" ht="12" hidden="false" customHeight="false" outlineLevel="0" collapsed="false">
      <c r="A158" s="28"/>
      <c r="E158" s="2" t="str">
        <f aca="false">IF((F158&lt;&gt;0),"Enter Letter"," ")</f>
        <v> </v>
      </c>
      <c r="F158" s="30"/>
      <c r="G158" s="6" t="str">
        <f aca="false">IF(F158&lt;&gt;0,F158*G$2/(100+G$2)," ")</f>
        <v> </v>
      </c>
      <c r="H158" s="6" t="str">
        <f aca="false">IF((F158&lt;&gt;0),F158-G158," ")</f>
        <v> </v>
      </c>
      <c r="I158" s="5"/>
      <c r="L158" s="7" t="str">
        <f aca="false">IF(F158&lt;&gt;0,F158-K158," ")</f>
        <v> </v>
      </c>
      <c r="M158" s="8" t="str">
        <f aca="false">IF((F158-K158)&lt;&gt;0,M$1-A158," ")</f>
        <v> </v>
      </c>
      <c r="N158" s="5"/>
      <c r="O158" s="17" t="str">
        <f aca="false">IF((E158="s"),H158," ")</f>
        <v> </v>
      </c>
      <c r="P158" s="17" t="str">
        <f aca="false">IF((E158="c"),H158," ")</f>
        <v> </v>
      </c>
      <c r="Q158" s="17" t="str">
        <f aca="false">IF((E158="o"),H158," ")</f>
        <v> </v>
      </c>
      <c r="R158" s="17" t="str">
        <f aca="false">IF((E158="d"),H158," ")</f>
        <v> </v>
      </c>
      <c r="S158" s="17" t="str">
        <f aca="false">IF((E158="w"),H158," ")</f>
        <v> </v>
      </c>
      <c r="T158" s="17" t="str">
        <f aca="false">IF((E158="r"),H158," ")</f>
        <v> </v>
      </c>
      <c r="U158" s="17" t="str">
        <f aca="false">IF((E158="p"),H158," ")</f>
        <v> </v>
      </c>
      <c r="V158" s="17" t="str">
        <f aca="false">IF((E158="t"),H158," ")</f>
        <v> </v>
      </c>
      <c r="W158" s="17" t="str">
        <f aca="false">IF((E158="q"),H158," ")</f>
        <v> </v>
      </c>
      <c r="X158" s="17" t="str">
        <f aca="false">IF((E158="m"),H158," ")</f>
        <v> </v>
      </c>
      <c r="Y158" s="17" t="str">
        <f aca="false">IF((E158="u"),H158," ")</f>
        <v> </v>
      </c>
      <c r="Z158" s="17" t="str">
        <f aca="false">IF((E158="a"),H158," ")</f>
        <v> </v>
      </c>
      <c r="AA158" s="17" t="str">
        <f aca="false">IF((E158="g"),H158," ")</f>
        <v> </v>
      </c>
      <c r="AB158" s="17" t="str">
        <f aca="false">IF((E158="h"),H158," ")</f>
        <v> </v>
      </c>
      <c r="AC158" s="30" t="str">
        <f aca="false">IF((E158="v"),H158," ")</f>
        <v> </v>
      </c>
      <c r="AD158" s="30" t="str">
        <f aca="false">IF((E158="n"),H158," ")</f>
        <v> </v>
      </c>
      <c r="AE158" s="17" t="str">
        <f aca="false">IF((E158="f"),H158," ")</f>
        <v> </v>
      </c>
      <c r="AF158" s="17" t="str">
        <f aca="false">IF((E158="l"),H158," ")</f>
        <v> </v>
      </c>
      <c r="AG158" s="17" t="str">
        <f aca="false">IF((E158="y"),H158," ")</f>
        <v> </v>
      </c>
      <c r="AH158" s="17" t="str">
        <f aca="false">IF((E158="z"),H158," ")</f>
        <v> </v>
      </c>
      <c r="AI158" s="17" t="str">
        <f aca="false">IF((E158="fa"),H158," ")</f>
        <v> </v>
      </c>
      <c r="AJ158" s="17" t="str">
        <f aca="false">IF((E158="e"),H158," ")</f>
        <v> </v>
      </c>
    </row>
    <row r="159" customFormat="false" ht="12" hidden="false" customHeight="false" outlineLevel="0" collapsed="false">
      <c r="A159" s="28"/>
      <c r="E159" s="2" t="str">
        <f aca="false">IF((F159&lt;&gt;0),"Enter Letter"," ")</f>
        <v> </v>
      </c>
      <c r="F159" s="30"/>
      <c r="G159" s="6" t="str">
        <f aca="false">IF(F159&lt;&gt;0,F159*G$2/(100+G$2)," ")</f>
        <v> </v>
      </c>
      <c r="H159" s="6" t="str">
        <f aca="false">IF((F159&lt;&gt;0),F159-G159," ")</f>
        <v> </v>
      </c>
      <c r="I159" s="5"/>
      <c r="L159" s="7" t="str">
        <f aca="false">IF(F159&lt;&gt;0,F159-K159," ")</f>
        <v> </v>
      </c>
      <c r="M159" s="8" t="str">
        <f aca="false">IF((F159-K159)&lt;&gt;0,M$1-A159," ")</f>
        <v> </v>
      </c>
      <c r="N159" s="5"/>
      <c r="O159" s="17" t="str">
        <f aca="false">IF((E159="s"),H159," ")</f>
        <v> </v>
      </c>
      <c r="P159" s="17" t="str">
        <f aca="false">IF((E159="c"),H159," ")</f>
        <v> </v>
      </c>
      <c r="Q159" s="17" t="str">
        <f aca="false">IF((E159="o"),H159," ")</f>
        <v> </v>
      </c>
      <c r="R159" s="17" t="str">
        <f aca="false">IF((E159="d"),H159," ")</f>
        <v> </v>
      </c>
      <c r="S159" s="17" t="str">
        <f aca="false">IF((E159="w"),H159," ")</f>
        <v> </v>
      </c>
      <c r="T159" s="17" t="str">
        <f aca="false">IF((E159="r"),H159," ")</f>
        <v> </v>
      </c>
      <c r="U159" s="17" t="str">
        <f aca="false">IF((E159="p"),H159," ")</f>
        <v> </v>
      </c>
      <c r="V159" s="17" t="str">
        <f aca="false">IF((E159="t"),H159," ")</f>
        <v> </v>
      </c>
      <c r="W159" s="17" t="str">
        <f aca="false">IF((E159="q"),H159," ")</f>
        <v> </v>
      </c>
      <c r="X159" s="17" t="str">
        <f aca="false">IF((E159="m"),H159," ")</f>
        <v> </v>
      </c>
      <c r="Y159" s="17" t="str">
        <f aca="false">IF((E159="u"),H159," ")</f>
        <v> </v>
      </c>
      <c r="Z159" s="17" t="str">
        <f aca="false">IF((E159="a"),H159," ")</f>
        <v> </v>
      </c>
      <c r="AA159" s="17" t="str">
        <f aca="false">IF((E159="g"),H159," ")</f>
        <v> </v>
      </c>
      <c r="AB159" s="17" t="str">
        <f aca="false">IF((E159="h"),H159," ")</f>
        <v> </v>
      </c>
      <c r="AC159" s="30" t="str">
        <f aca="false">IF((E159="v"),H159," ")</f>
        <v> </v>
      </c>
      <c r="AD159" s="30" t="str">
        <f aca="false">IF((E159="n"),H159," ")</f>
        <v> </v>
      </c>
      <c r="AE159" s="17" t="str">
        <f aca="false">IF((E159="f"),H159," ")</f>
        <v> </v>
      </c>
      <c r="AF159" s="17" t="str">
        <f aca="false">IF((E159="l"),H159," ")</f>
        <v> </v>
      </c>
      <c r="AG159" s="17" t="str">
        <f aca="false">IF((E159="y"),H159," ")</f>
        <v> </v>
      </c>
      <c r="AH159" s="17" t="str">
        <f aca="false">IF((E159="z"),H159," ")</f>
        <v> </v>
      </c>
      <c r="AI159" s="17" t="str">
        <f aca="false">IF((E159="fa"),H159," ")</f>
        <v> </v>
      </c>
      <c r="AJ159" s="17" t="str">
        <f aca="false">IF((E159="e"),H159," ")</f>
        <v> </v>
      </c>
    </row>
    <row r="160" customFormat="false" ht="12" hidden="false" customHeight="false" outlineLevel="0" collapsed="false">
      <c r="A160" s="28"/>
      <c r="E160" s="2" t="str">
        <f aca="false">IF((F160&lt;&gt;0),"Enter Letter"," ")</f>
        <v> </v>
      </c>
      <c r="F160" s="30"/>
      <c r="G160" s="6" t="str">
        <f aca="false">IF(F160&lt;&gt;0,F160*G$2/(100+G$2)," ")</f>
        <v> </v>
      </c>
      <c r="H160" s="6" t="str">
        <f aca="false">IF((F160&lt;&gt;0),F160-G160," ")</f>
        <v> </v>
      </c>
      <c r="I160" s="5"/>
      <c r="L160" s="7" t="str">
        <f aca="false">IF(F160&lt;&gt;0,F160-K160," ")</f>
        <v> </v>
      </c>
      <c r="M160" s="8" t="str">
        <f aca="false">IF((F160-K160)&lt;&gt;0,M$1-A160," ")</f>
        <v> </v>
      </c>
      <c r="N160" s="5"/>
      <c r="O160" s="17" t="str">
        <f aca="false">IF((E160="s"),H160," ")</f>
        <v> </v>
      </c>
      <c r="P160" s="17" t="str">
        <f aca="false">IF((E160="c"),H160," ")</f>
        <v> </v>
      </c>
      <c r="Q160" s="17" t="str">
        <f aca="false">IF((E160="o"),H160," ")</f>
        <v> </v>
      </c>
      <c r="R160" s="17" t="str">
        <f aca="false">IF((E160="d"),H160," ")</f>
        <v> </v>
      </c>
      <c r="S160" s="17" t="str">
        <f aca="false">IF((E160="w"),H160," ")</f>
        <v> </v>
      </c>
      <c r="T160" s="17" t="str">
        <f aca="false">IF((E160="r"),H160," ")</f>
        <v> </v>
      </c>
      <c r="U160" s="17" t="str">
        <f aca="false">IF((E160="p"),H160," ")</f>
        <v> </v>
      </c>
      <c r="V160" s="17" t="str">
        <f aca="false">IF((E160="t"),H160," ")</f>
        <v> </v>
      </c>
      <c r="W160" s="17" t="str">
        <f aca="false">IF((E160="q"),H160," ")</f>
        <v> </v>
      </c>
      <c r="X160" s="17" t="str">
        <f aca="false">IF((E160="m"),H160," ")</f>
        <v> </v>
      </c>
      <c r="Y160" s="17" t="str">
        <f aca="false">IF((E160="u"),H160," ")</f>
        <v> </v>
      </c>
      <c r="Z160" s="17" t="str">
        <f aca="false">IF((E160="a"),H160," ")</f>
        <v> </v>
      </c>
      <c r="AA160" s="17" t="str">
        <f aca="false">IF((E160="g"),H160," ")</f>
        <v> </v>
      </c>
      <c r="AB160" s="17" t="str">
        <f aca="false">IF((E160="h"),H160," ")</f>
        <v> </v>
      </c>
      <c r="AC160" s="30" t="str">
        <f aca="false">IF((E160="v"),H160," ")</f>
        <v> </v>
      </c>
      <c r="AD160" s="30" t="str">
        <f aca="false">IF((E160="n"),H160," ")</f>
        <v> </v>
      </c>
      <c r="AE160" s="17" t="str">
        <f aca="false">IF((E160="f"),H160," ")</f>
        <v> </v>
      </c>
      <c r="AF160" s="17" t="str">
        <f aca="false">IF((E160="l"),H160," ")</f>
        <v> </v>
      </c>
      <c r="AG160" s="17" t="str">
        <f aca="false">IF((E160="y"),H160," ")</f>
        <v> </v>
      </c>
      <c r="AH160" s="17" t="str">
        <f aca="false">IF((E160="z"),H160," ")</f>
        <v> </v>
      </c>
      <c r="AI160" s="17" t="str">
        <f aca="false">IF((E160="fa"),H160," ")</f>
        <v> </v>
      </c>
      <c r="AJ160" s="17" t="str">
        <f aca="false">IF((E160="e"),H160," ")</f>
        <v> </v>
      </c>
    </row>
    <row r="161" customFormat="false" ht="12" hidden="false" customHeight="false" outlineLevel="0" collapsed="false">
      <c r="A161" s="28"/>
      <c r="E161" s="2" t="str">
        <f aca="false">IF((F161&lt;&gt;0),"Enter Letter"," ")</f>
        <v> </v>
      </c>
      <c r="F161" s="30"/>
      <c r="G161" s="6" t="str">
        <f aca="false">IF(F161&lt;&gt;0,F161*G$2/(100+G$2)," ")</f>
        <v> </v>
      </c>
      <c r="H161" s="6" t="str">
        <f aca="false">IF((F161&lt;&gt;0),F161-G161," ")</f>
        <v> </v>
      </c>
      <c r="I161" s="5"/>
      <c r="L161" s="7" t="str">
        <f aca="false">IF(F161&lt;&gt;0,F161-K161," ")</f>
        <v> </v>
      </c>
      <c r="M161" s="8" t="str">
        <f aca="false">IF((F161-K161)&lt;&gt;0,M$1-A161," ")</f>
        <v> </v>
      </c>
      <c r="N161" s="5"/>
      <c r="O161" s="17" t="str">
        <f aca="false">IF((E161="s"),H161," ")</f>
        <v> </v>
      </c>
      <c r="P161" s="17" t="str">
        <f aca="false">IF((E161="c"),H161," ")</f>
        <v> </v>
      </c>
      <c r="Q161" s="17" t="str">
        <f aca="false">IF((E161="o"),H161," ")</f>
        <v> </v>
      </c>
      <c r="R161" s="17" t="str">
        <f aca="false">IF((E161="d"),H161," ")</f>
        <v> </v>
      </c>
      <c r="S161" s="17" t="str">
        <f aca="false">IF((E161="w"),H161," ")</f>
        <v> </v>
      </c>
      <c r="T161" s="17" t="str">
        <f aca="false">IF((E161="r"),H161," ")</f>
        <v> </v>
      </c>
      <c r="U161" s="17" t="str">
        <f aca="false">IF((E161="p"),H161," ")</f>
        <v> </v>
      </c>
      <c r="V161" s="17" t="str">
        <f aca="false">IF((E161="t"),H161," ")</f>
        <v> </v>
      </c>
      <c r="W161" s="17" t="str">
        <f aca="false">IF((E161="q"),H161," ")</f>
        <v> </v>
      </c>
      <c r="X161" s="17" t="str">
        <f aca="false">IF((E161="m"),H161," ")</f>
        <v> </v>
      </c>
      <c r="Y161" s="17" t="str">
        <f aca="false">IF((E161="u"),H161," ")</f>
        <v> </v>
      </c>
      <c r="Z161" s="17" t="str">
        <f aca="false">IF((E161="a"),H161," ")</f>
        <v> </v>
      </c>
      <c r="AA161" s="17" t="str">
        <f aca="false">IF((E161="g"),H161," ")</f>
        <v> </v>
      </c>
      <c r="AB161" s="17" t="str">
        <f aca="false">IF((E161="h"),H161," ")</f>
        <v> </v>
      </c>
      <c r="AC161" s="30" t="str">
        <f aca="false">IF((E161="v"),H161," ")</f>
        <v> </v>
      </c>
      <c r="AD161" s="30" t="str">
        <f aca="false">IF((E161="n"),H161," ")</f>
        <v> </v>
      </c>
      <c r="AE161" s="17" t="str">
        <f aca="false">IF((E161="f"),H161," ")</f>
        <v> </v>
      </c>
      <c r="AF161" s="17" t="str">
        <f aca="false">IF((E161="l"),H161," ")</f>
        <v> </v>
      </c>
      <c r="AG161" s="17" t="str">
        <f aca="false">IF((E161="y"),H161," ")</f>
        <v> </v>
      </c>
      <c r="AH161" s="17" t="str">
        <f aca="false">IF((E161="z"),H161," ")</f>
        <v> </v>
      </c>
      <c r="AI161" s="17" t="str">
        <f aca="false">IF((E161="fa"),H161," ")</f>
        <v> </v>
      </c>
      <c r="AJ161" s="17" t="str">
        <f aca="false">IF((E161="e"),H161," ")</f>
        <v> </v>
      </c>
    </row>
    <row r="162" customFormat="false" ht="12" hidden="false" customHeight="false" outlineLevel="0" collapsed="false">
      <c r="A162" s="28"/>
      <c r="E162" s="2" t="str">
        <f aca="false">IF((F162&lt;&gt;0),"Enter Letter"," ")</f>
        <v> </v>
      </c>
      <c r="F162" s="30"/>
      <c r="G162" s="6" t="str">
        <f aca="false">IF(F162&lt;&gt;0,F162*G$2/(100+G$2)," ")</f>
        <v> </v>
      </c>
      <c r="H162" s="6" t="str">
        <f aca="false">IF((F162&lt;&gt;0),F162-G162," ")</f>
        <v> </v>
      </c>
      <c r="I162" s="5"/>
      <c r="L162" s="7" t="str">
        <f aca="false">IF(F162&lt;&gt;0,F162-K162," ")</f>
        <v> </v>
      </c>
      <c r="M162" s="8" t="str">
        <f aca="false">IF((F162-K162)&lt;&gt;0,M$1-A162," ")</f>
        <v> </v>
      </c>
      <c r="N162" s="5"/>
      <c r="O162" s="17" t="str">
        <f aca="false">IF((E162="s"),H162," ")</f>
        <v> </v>
      </c>
      <c r="P162" s="17" t="str">
        <f aca="false">IF((E162="c"),H162," ")</f>
        <v> </v>
      </c>
      <c r="Q162" s="17" t="str">
        <f aca="false">IF((E162="o"),H162," ")</f>
        <v> </v>
      </c>
      <c r="R162" s="17" t="str">
        <f aca="false">IF((E162="d"),H162," ")</f>
        <v> </v>
      </c>
      <c r="S162" s="17" t="str">
        <f aca="false">IF((E162="w"),H162," ")</f>
        <v> </v>
      </c>
      <c r="T162" s="17" t="str">
        <f aca="false">IF((E162="r"),H162," ")</f>
        <v> </v>
      </c>
      <c r="U162" s="17" t="str">
        <f aca="false">IF((E162="p"),H162," ")</f>
        <v> </v>
      </c>
      <c r="V162" s="17" t="str">
        <f aca="false">IF((E162="t"),H162," ")</f>
        <v> </v>
      </c>
      <c r="W162" s="17" t="str">
        <f aca="false">IF((E162="q"),H162," ")</f>
        <v> </v>
      </c>
      <c r="X162" s="17" t="str">
        <f aca="false">IF((E162="m"),H162," ")</f>
        <v> </v>
      </c>
      <c r="Y162" s="17" t="str">
        <f aca="false">IF((E162="u"),H162," ")</f>
        <v> </v>
      </c>
      <c r="Z162" s="17" t="str">
        <f aca="false">IF((E162="a"),H162," ")</f>
        <v> </v>
      </c>
      <c r="AA162" s="17" t="str">
        <f aca="false">IF((E162="g"),H162," ")</f>
        <v> </v>
      </c>
      <c r="AB162" s="17" t="str">
        <f aca="false">IF((E162="h"),H162," ")</f>
        <v> </v>
      </c>
      <c r="AC162" s="30" t="str">
        <f aca="false">IF((E162="v"),H162," ")</f>
        <v> </v>
      </c>
      <c r="AD162" s="30" t="str">
        <f aca="false">IF((E162="n"),H162," ")</f>
        <v> </v>
      </c>
      <c r="AE162" s="17" t="str">
        <f aca="false">IF((E162="f"),H162," ")</f>
        <v> </v>
      </c>
      <c r="AF162" s="17" t="str">
        <f aca="false">IF((E162="l"),H162," ")</f>
        <v> </v>
      </c>
      <c r="AG162" s="17" t="str">
        <f aca="false">IF((E162="y"),H162," ")</f>
        <v> </v>
      </c>
      <c r="AH162" s="17" t="str">
        <f aca="false">IF((E162="z"),H162," ")</f>
        <v> </v>
      </c>
      <c r="AI162" s="17" t="str">
        <f aca="false">IF((E162="fa"),H162," ")</f>
        <v> </v>
      </c>
      <c r="AJ162" s="17" t="str">
        <f aca="false">IF((E162="e"),H162," ")</f>
        <v> </v>
      </c>
    </row>
    <row r="163" customFormat="false" ht="12" hidden="false" customHeight="false" outlineLevel="0" collapsed="false">
      <c r="A163" s="28"/>
      <c r="E163" s="2" t="str">
        <f aca="false">IF((F163&lt;&gt;0),"Enter Letter"," ")</f>
        <v> </v>
      </c>
      <c r="F163" s="30"/>
      <c r="G163" s="6" t="str">
        <f aca="false">IF(F163&lt;&gt;0,F163*G$2/(100+G$2)," ")</f>
        <v> </v>
      </c>
      <c r="H163" s="6" t="str">
        <f aca="false">IF((F163&lt;&gt;0),F163-G163," ")</f>
        <v> </v>
      </c>
      <c r="I163" s="5"/>
      <c r="L163" s="7" t="str">
        <f aca="false">IF(F163&lt;&gt;0,F163-K163," ")</f>
        <v> </v>
      </c>
      <c r="M163" s="8" t="str">
        <f aca="false">IF((F163-K163)&lt;&gt;0,M$1-A163," ")</f>
        <v> </v>
      </c>
      <c r="N163" s="5"/>
      <c r="O163" s="17" t="str">
        <f aca="false">IF((E163="s"),H163," ")</f>
        <v> </v>
      </c>
      <c r="P163" s="17" t="str">
        <f aca="false">IF((E163="c"),H163," ")</f>
        <v> </v>
      </c>
      <c r="Q163" s="17" t="str">
        <f aca="false">IF((E163="o"),H163," ")</f>
        <v> </v>
      </c>
      <c r="R163" s="17" t="str">
        <f aca="false">IF((E163="d"),H163," ")</f>
        <v> </v>
      </c>
      <c r="S163" s="17" t="str">
        <f aca="false">IF((E163="w"),H163," ")</f>
        <v> </v>
      </c>
      <c r="T163" s="17" t="str">
        <f aca="false">IF((E163="r"),H163," ")</f>
        <v> </v>
      </c>
      <c r="U163" s="17" t="str">
        <f aca="false">IF((E163="p"),H163," ")</f>
        <v> </v>
      </c>
      <c r="V163" s="17" t="str">
        <f aca="false">IF((E163="t"),H163," ")</f>
        <v> </v>
      </c>
      <c r="W163" s="17" t="str">
        <f aca="false">IF((E163="q"),H163," ")</f>
        <v> </v>
      </c>
      <c r="X163" s="17" t="str">
        <f aca="false">IF((E163="m"),H163," ")</f>
        <v> </v>
      </c>
      <c r="Y163" s="17" t="str">
        <f aca="false">IF((E163="u"),H163," ")</f>
        <v> </v>
      </c>
      <c r="Z163" s="17" t="str">
        <f aca="false">IF((E163="a"),H163," ")</f>
        <v> </v>
      </c>
      <c r="AA163" s="17" t="str">
        <f aca="false">IF((E163="g"),H163," ")</f>
        <v> </v>
      </c>
      <c r="AB163" s="17" t="str">
        <f aca="false">IF((E163="h"),H163," ")</f>
        <v> </v>
      </c>
      <c r="AC163" s="30" t="str">
        <f aca="false">IF((E163="v"),H163," ")</f>
        <v> </v>
      </c>
      <c r="AD163" s="30" t="str">
        <f aca="false">IF((E163="n"),H163," ")</f>
        <v> </v>
      </c>
      <c r="AE163" s="17" t="str">
        <f aca="false">IF((E163="f"),H163," ")</f>
        <v> </v>
      </c>
      <c r="AF163" s="17" t="str">
        <f aca="false">IF((E163="l"),H163," ")</f>
        <v> </v>
      </c>
      <c r="AG163" s="17" t="str">
        <f aca="false">IF((E163="y"),H163," ")</f>
        <v> </v>
      </c>
      <c r="AH163" s="17" t="str">
        <f aca="false">IF((E163="z"),H163," ")</f>
        <v> </v>
      </c>
      <c r="AI163" s="17" t="str">
        <f aca="false">IF((E163="fa"),H163," ")</f>
        <v> </v>
      </c>
      <c r="AJ163" s="17" t="str">
        <f aca="false">IF((E163="e"),H163," ")</f>
        <v> </v>
      </c>
    </row>
    <row r="164" customFormat="false" ht="12" hidden="false" customHeight="false" outlineLevel="0" collapsed="false">
      <c r="A164" s="28"/>
      <c r="E164" s="2" t="str">
        <f aca="false">IF((F164&lt;&gt;0),"Enter Letter"," ")</f>
        <v> </v>
      </c>
      <c r="F164" s="30"/>
      <c r="G164" s="6" t="str">
        <f aca="false">IF(F164&lt;&gt;0,F164*G$2/(100+G$2)," ")</f>
        <v> </v>
      </c>
      <c r="H164" s="6" t="str">
        <f aca="false">IF((F164&lt;&gt;0),F164-G164," ")</f>
        <v> </v>
      </c>
      <c r="I164" s="5"/>
      <c r="L164" s="7" t="str">
        <f aca="false">IF(F164&lt;&gt;0,F164-K164," ")</f>
        <v> </v>
      </c>
      <c r="M164" s="8" t="str">
        <f aca="false">IF((F164-K164)&lt;&gt;0,M$1-A164," ")</f>
        <v> </v>
      </c>
      <c r="N164" s="5"/>
      <c r="O164" s="17" t="str">
        <f aca="false">IF((E164="s"),H164," ")</f>
        <v> </v>
      </c>
      <c r="P164" s="17" t="str">
        <f aca="false">IF((E164="c"),H164," ")</f>
        <v> </v>
      </c>
      <c r="Q164" s="17" t="str">
        <f aca="false">IF((E164="o"),H164," ")</f>
        <v> </v>
      </c>
      <c r="R164" s="17" t="str">
        <f aca="false">IF((E164="d"),H164," ")</f>
        <v> </v>
      </c>
      <c r="S164" s="17" t="str">
        <f aca="false">IF((E164="w"),H164," ")</f>
        <v> </v>
      </c>
      <c r="T164" s="17" t="str">
        <f aca="false">IF((E164="r"),H164," ")</f>
        <v> </v>
      </c>
      <c r="U164" s="17" t="str">
        <f aca="false">IF((E164="p"),H164," ")</f>
        <v> </v>
      </c>
      <c r="V164" s="17" t="str">
        <f aca="false">IF((E164="t"),H164," ")</f>
        <v> </v>
      </c>
      <c r="W164" s="17" t="str">
        <f aca="false">IF((E164="q"),H164," ")</f>
        <v> </v>
      </c>
      <c r="X164" s="17" t="str">
        <f aca="false">IF((E164="m"),H164," ")</f>
        <v> </v>
      </c>
      <c r="Y164" s="17" t="str">
        <f aca="false">IF((E164="u"),H164," ")</f>
        <v> </v>
      </c>
      <c r="Z164" s="17" t="str">
        <f aca="false">IF((E164="a"),H164," ")</f>
        <v> </v>
      </c>
      <c r="AA164" s="17" t="str">
        <f aca="false">IF((E164="g"),H164," ")</f>
        <v> </v>
      </c>
      <c r="AB164" s="17" t="str">
        <f aca="false">IF((E164="h"),H164," ")</f>
        <v> </v>
      </c>
      <c r="AC164" s="30" t="str">
        <f aca="false">IF((E164="v"),H164," ")</f>
        <v> </v>
      </c>
      <c r="AD164" s="30" t="str">
        <f aca="false">IF((E164="n"),H164," ")</f>
        <v> </v>
      </c>
      <c r="AE164" s="17" t="str">
        <f aca="false">IF((E164="f"),H164," ")</f>
        <v> </v>
      </c>
      <c r="AF164" s="17" t="str">
        <f aca="false">IF((E164="l"),H164," ")</f>
        <v> </v>
      </c>
      <c r="AG164" s="17" t="str">
        <f aca="false">IF((E164="y"),H164," ")</f>
        <v> </v>
      </c>
      <c r="AH164" s="17" t="str">
        <f aca="false">IF((E164="z"),H164," ")</f>
        <v> </v>
      </c>
      <c r="AI164" s="17" t="str">
        <f aca="false">IF((E164="fa"),H164," ")</f>
        <v> </v>
      </c>
      <c r="AJ164" s="17" t="str">
        <f aca="false">IF((E164="e"),H164," ")</f>
        <v> </v>
      </c>
    </row>
    <row r="165" customFormat="false" ht="12" hidden="false" customHeight="false" outlineLevel="0" collapsed="false">
      <c r="A165" s="28"/>
      <c r="E165" s="2" t="str">
        <f aca="false">IF((F165&lt;&gt;0),"Enter Letter"," ")</f>
        <v> </v>
      </c>
      <c r="F165" s="30"/>
      <c r="G165" s="6" t="str">
        <f aca="false">IF(F165&lt;&gt;0,F165*G$2/(100+G$2)," ")</f>
        <v> </v>
      </c>
      <c r="H165" s="6" t="str">
        <f aca="false">IF((F165&lt;&gt;0),F165-G165," ")</f>
        <v> </v>
      </c>
      <c r="I165" s="5"/>
      <c r="L165" s="7" t="str">
        <f aca="false">IF(F165&lt;&gt;0,F165-K165," ")</f>
        <v> </v>
      </c>
      <c r="M165" s="8" t="str">
        <f aca="false">IF((F165-K165)&lt;&gt;0,M$1-A165," ")</f>
        <v> </v>
      </c>
      <c r="N165" s="5"/>
      <c r="O165" s="17" t="str">
        <f aca="false">IF((E165="s"),H165," ")</f>
        <v> </v>
      </c>
      <c r="P165" s="17" t="str">
        <f aca="false">IF((E165="c"),H165," ")</f>
        <v> </v>
      </c>
      <c r="Q165" s="17" t="str">
        <f aca="false">IF((E165="o"),H165," ")</f>
        <v> </v>
      </c>
      <c r="R165" s="17" t="str">
        <f aca="false">IF((E165="d"),H165," ")</f>
        <v> </v>
      </c>
      <c r="S165" s="17" t="str">
        <f aca="false">IF((E165="w"),H165," ")</f>
        <v> </v>
      </c>
      <c r="T165" s="17" t="str">
        <f aca="false">IF((E165="r"),H165," ")</f>
        <v> </v>
      </c>
      <c r="U165" s="17" t="str">
        <f aca="false">IF((E165="p"),H165," ")</f>
        <v> </v>
      </c>
      <c r="V165" s="17" t="str">
        <f aca="false">IF((E165="t"),H165," ")</f>
        <v> </v>
      </c>
      <c r="W165" s="17" t="str">
        <f aca="false">IF((E165="q"),H165," ")</f>
        <v> </v>
      </c>
      <c r="X165" s="17" t="str">
        <f aca="false">IF((E165="m"),H165," ")</f>
        <v> </v>
      </c>
      <c r="Y165" s="17" t="str">
        <f aca="false">IF((E165="u"),H165," ")</f>
        <v> </v>
      </c>
      <c r="Z165" s="17" t="str">
        <f aca="false">IF((E165="a"),H165," ")</f>
        <v> </v>
      </c>
      <c r="AA165" s="17" t="str">
        <f aca="false">IF((E165="g"),H165," ")</f>
        <v> </v>
      </c>
      <c r="AB165" s="17" t="str">
        <f aca="false">IF((E165="h"),H165," ")</f>
        <v> </v>
      </c>
      <c r="AC165" s="30" t="str">
        <f aca="false">IF((E165="v"),H165," ")</f>
        <v> </v>
      </c>
      <c r="AD165" s="30" t="str">
        <f aca="false">IF((E165="n"),H165," ")</f>
        <v> </v>
      </c>
      <c r="AE165" s="17" t="str">
        <f aca="false">IF((E165="f"),H165," ")</f>
        <v> </v>
      </c>
      <c r="AF165" s="17" t="str">
        <f aca="false">IF((E165="l"),H165," ")</f>
        <v> </v>
      </c>
      <c r="AG165" s="17" t="str">
        <f aca="false">IF((E165="y"),H165," ")</f>
        <v> </v>
      </c>
      <c r="AH165" s="17" t="str">
        <f aca="false">IF((E165="z"),H165," ")</f>
        <v> </v>
      </c>
      <c r="AI165" s="17" t="str">
        <f aca="false">IF((E165="fa"),H165," ")</f>
        <v> </v>
      </c>
      <c r="AJ165" s="17" t="str">
        <f aca="false">IF((E165="e"),H165," ")</f>
        <v> </v>
      </c>
    </row>
    <row r="166" customFormat="false" ht="12" hidden="false" customHeight="false" outlineLevel="0" collapsed="false">
      <c r="A166" s="28"/>
      <c r="E166" s="2" t="str">
        <f aca="false">IF((F166&lt;&gt;0),"Enter Letter"," ")</f>
        <v> </v>
      </c>
      <c r="F166" s="30"/>
      <c r="G166" s="6" t="str">
        <f aca="false">IF(F166&lt;&gt;0,F166*G$2/(100+G$2)," ")</f>
        <v> </v>
      </c>
      <c r="H166" s="6" t="str">
        <f aca="false">IF((F166&lt;&gt;0),F166-G166," ")</f>
        <v> </v>
      </c>
      <c r="I166" s="5"/>
      <c r="L166" s="7" t="str">
        <f aca="false">IF(F166&lt;&gt;0,F166-K166," ")</f>
        <v> </v>
      </c>
      <c r="M166" s="8" t="str">
        <f aca="false">IF((F166-K166)&lt;&gt;0,M$1-A166," ")</f>
        <v> </v>
      </c>
      <c r="N166" s="5"/>
      <c r="O166" s="17" t="str">
        <f aca="false">IF((E166="s"),H166," ")</f>
        <v> </v>
      </c>
      <c r="P166" s="17" t="str">
        <f aca="false">IF((E166="c"),H166," ")</f>
        <v> </v>
      </c>
      <c r="Q166" s="17" t="str">
        <f aca="false">IF((E166="o"),H166," ")</f>
        <v> </v>
      </c>
      <c r="R166" s="17" t="str">
        <f aca="false">IF((E166="d"),H166," ")</f>
        <v> </v>
      </c>
      <c r="S166" s="17" t="str">
        <f aca="false">IF((E166="w"),H166," ")</f>
        <v> </v>
      </c>
      <c r="T166" s="17" t="str">
        <f aca="false">IF((E166="r"),H166," ")</f>
        <v> </v>
      </c>
      <c r="U166" s="17" t="str">
        <f aca="false">IF((E166="p"),H166," ")</f>
        <v> </v>
      </c>
      <c r="V166" s="17" t="str">
        <f aca="false">IF((E166="t"),H166," ")</f>
        <v> </v>
      </c>
      <c r="W166" s="17" t="str">
        <f aca="false">IF((E166="q"),H166," ")</f>
        <v> </v>
      </c>
      <c r="X166" s="17" t="str">
        <f aca="false">IF((E166="m"),H166," ")</f>
        <v> </v>
      </c>
      <c r="Y166" s="17" t="str">
        <f aca="false">IF((E166="u"),H166," ")</f>
        <v> </v>
      </c>
      <c r="Z166" s="17" t="str">
        <f aca="false">IF((E166="a"),H166," ")</f>
        <v> </v>
      </c>
      <c r="AA166" s="17" t="str">
        <f aca="false">IF((E166="g"),H166," ")</f>
        <v> </v>
      </c>
      <c r="AB166" s="17" t="str">
        <f aca="false">IF((E166="h"),H166," ")</f>
        <v> </v>
      </c>
      <c r="AC166" s="30" t="str">
        <f aca="false">IF((E166="v"),H166," ")</f>
        <v> </v>
      </c>
      <c r="AD166" s="30" t="str">
        <f aca="false">IF((E166="n"),H166," ")</f>
        <v> </v>
      </c>
      <c r="AE166" s="17" t="str">
        <f aca="false">IF((E166="f"),H166," ")</f>
        <v> </v>
      </c>
      <c r="AF166" s="17" t="str">
        <f aca="false">IF((E166="l"),H166," ")</f>
        <v> </v>
      </c>
      <c r="AG166" s="17" t="str">
        <f aca="false">IF((E166="y"),H166," ")</f>
        <v> </v>
      </c>
      <c r="AH166" s="17" t="str">
        <f aca="false">IF((E166="z"),H166," ")</f>
        <v> </v>
      </c>
      <c r="AI166" s="17" t="str">
        <f aca="false">IF((E166="fa"),H166," ")</f>
        <v> </v>
      </c>
      <c r="AJ166" s="17" t="str">
        <f aca="false">IF((E166="e"),H166," ")</f>
        <v> </v>
      </c>
    </row>
    <row r="167" customFormat="false" ht="12" hidden="false" customHeight="false" outlineLevel="0" collapsed="false">
      <c r="A167" s="28"/>
      <c r="E167" s="2" t="str">
        <f aca="false">IF((F167&lt;&gt;0),"Enter Letter"," ")</f>
        <v> </v>
      </c>
      <c r="F167" s="30"/>
      <c r="G167" s="6" t="str">
        <f aca="false">IF(F167&lt;&gt;0,F167*G$2/(100+G$2)," ")</f>
        <v> </v>
      </c>
      <c r="H167" s="6" t="str">
        <f aca="false">IF((F167&lt;&gt;0),F167-G167," ")</f>
        <v> </v>
      </c>
      <c r="I167" s="5"/>
      <c r="L167" s="7" t="str">
        <f aca="false">IF(F167&lt;&gt;0,F167-K167," ")</f>
        <v> </v>
      </c>
      <c r="M167" s="8" t="str">
        <f aca="false">IF((F167-K167)&lt;&gt;0,M$1-A167," ")</f>
        <v> </v>
      </c>
      <c r="N167" s="5"/>
      <c r="O167" s="17" t="str">
        <f aca="false">IF((E167="s"),H167," ")</f>
        <v> </v>
      </c>
      <c r="P167" s="17" t="str">
        <f aca="false">IF((E167="c"),H167," ")</f>
        <v> </v>
      </c>
      <c r="Q167" s="17" t="str">
        <f aca="false">IF((E167="o"),H167," ")</f>
        <v> </v>
      </c>
      <c r="R167" s="17" t="str">
        <f aca="false">IF((E167="d"),H167," ")</f>
        <v> </v>
      </c>
      <c r="S167" s="17" t="str">
        <f aca="false">IF((E167="w"),H167," ")</f>
        <v> </v>
      </c>
      <c r="T167" s="17" t="str">
        <f aca="false">IF((E167="r"),H167," ")</f>
        <v> </v>
      </c>
      <c r="U167" s="17" t="str">
        <f aca="false">IF((E167="p"),H167," ")</f>
        <v> </v>
      </c>
      <c r="V167" s="17" t="str">
        <f aca="false">IF((E167="t"),H167," ")</f>
        <v> </v>
      </c>
      <c r="W167" s="17" t="str">
        <f aca="false">IF((E167="q"),H167," ")</f>
        <v> </v>
      </c>
      <c r="X167" s="17" t="str">
        <f aca="false">IF((E167="m"),H167," ")</f>
        <v> </v>
      </c>
      <c r="Y167" s="17" t="str">
        <f aca="false">IF((E167="u"),H167," ")</f>
        <v> </v>
      </c>
      <c r="Z167" s="17" t="str">
        <f aca="false">IF((E167="a"),H167," ")</f>
        <v> </v>
      </c>
      <c r="AA167" s="17" t="str">
        <f aca="false">IF((E167="g"),H167," ")</f>
        <v> </v>
      </c>
      <c r="AB167" s="17" t="str">
        <f aca="false">IF((E167="h"),H167," ")</f>
        <v> </v>
      </c>
      <c r="AC167" s="30" t="str">
        <f aca="false">IF((E167="v"),H167," ")</f>
        <v> </v>
      </c>
      <c r="AD167" s="30" t="str">
        <f aca="false">IF((E167="n"),H167," ")</f>
        <v> </v>
      </c>
      <c r="AE167" s="17" t="str">
        <f aca="false">IF((E167="f"),H167," ")</f>
        <v> </v>
      </c>
      <c r="AF167" s="17" t="str">
        <f aca="false">IF((E167="l"),H167," ")</f>
        <v> </v>
      </c>
      <c r="AG167" s="17" t="str">
        <f aca="false">IF((E167="y"),H167," ")</f>
        <v> </v>
      </c>
      <c r="AH167" s="17" t="str">
        <f aca="false">IF((E167="z"),H167," ")</f>
        <v> </v>
      </c>
      <c r="AI167" s="17" t="str">
        <f aca="false">IF((E167="fa"),H167," ")</f>
        <v> </v>
      </c>
      <c r="AJ167" s="17" t="str">
        <f aca="false">IF((E167="e"),H167," ")</f>
        <v> </v>
      </c>
    </row>
    <row r="168" customFormat="false" ht="12" hidden="false" customHeight="false" outlineLevel="0" collapsed="false">
      <c r="A168" s="28"/>
      <c r="E168" s="2" t="str">
        <f aca="false">IF((F168&lt;&gt;0),"Enter Letter"," ")</f>
        <v> </v>
      </c>
      <c r="F168" s="30"/>
      <c r="G168" s="6" t="str">
        <f aca="false">IF(F168&lt;&gt;0,F168*G$2/(100+G$2)," ")</f>
        <v> </v>
      </c>
      <c r="H168" s="6" t="str">
        <f aca="false">IF((F168&lt;&gt;0),F168-G168," ")</f>
        <v> </v>
      </c>
      <c r="I168" s="5"/>
      <c r="L168" s="7" t="str">
        <f aca="false">IF(F168&lt;&gt;0,F168-K168," ")</f>
        <v> </v>
      </c>
      <c r="M168" s="8" t="str">
        <f aca="false">IF((F168-K168)&lt;&gt;0,M$1-A168," ")</f>
        <v> </v>
      </c>
      <c r="N168" s="5"/>
      <c r="O168" s="17" t="str">
        <f aca="false">IF((E168="s"),H168," ")</f>
        <v> </v>
      </c>
      <c r="P168" s="17" t="str">
        <f aca="false">IF((E168="c"),H168," ")</f>
        <v> </v>
      </c>
      <c r="Q168" s="17" t="str">
        <f aca="false">IF((E168="o"),H168," ")</f>
        <v> </v>
      </c>
      <c r="R168" s="17" t="str">
        <f aca="false">IF((E168="d"),H168," ")</f>
        <v> </v>
      </c>
      <c r="S168" s="17" t="str">
        <f aca="false">IF((E168="w"),H168," ")</f>
        <v> </v>
      </c>
      <c r="T168" s="17" t="str">
        <f aca="false">IF((E168="r"),H168," ")</f>
        <v> </v>
      </c>
      <c r="U168" s="17" t="str">
        <f aca="false">IF((E168="p"),H168," ")</f>
        <v> </v>
      </c>
      <c r="V168" s="17" t="str">
        <f aca="false">IF((E168="t"),H168," ")</f>
        <v> </v>
      </c>
      <c r="W168" s="17" t="str">
        <f aca="false">IF((E168="q"),H168," ")</f>
        <v> </v>
      </c>
      <c r="X168" s="17" t="str">
        <f aca="false">IF((E168="m"),H168," ")</f>
        <v> </v>
      </c>
      <c r="Y168" s="17" t="str">
        <f aca="false">IF((E168="u"),H168," ")</f>
        <v> </v>
      </c>
      <c r="Z168" s="17" t="str">
        <f aca="false">IF((E168="a"),H168," ")</f>
        <v> </v>
      </c>
      <c r="AA168" s="17" t="str">
        <f aca="false">IF((E168="g"),H168," ")</f>
        <v> </v>
      </c>
      <c r="AB168" s="17" t="str">
        <f aca="false">IF((E168="h"),H168," ")</f>
        <v> </v>
      </c>
      <c r="AC168" s="30" t="str">
        <f aca="false">IF((E168="v"),H168," ")</f>
        <v> </v>
      </c>
      <c r="AD168" s="30" t="str">
        <f aca="false">IF((E168="n"),H168," ")</f>
        <v> </v>
      </c>
      <c r="AE168" s="17" t="str">
        <f aca="false">IF((E168="f"),H168," ")</f>
        <v> </v>
      </c>
      <c r="AF168" s="17" t="str">
        <f aca="false">IF((E168="l"),H168," ")</f>
        <v> </v>
      </c>
      <c r="AG168" s="17" t="str">
        <f aca="false">IF((E168="y"),H168," ")</f>
        <v> </v>
      </c>
      <c r="AH168" s="17" t="str">
        <f aca="false">IF((E168="z"),H168," ")</f>
        <v> </v>
      </c>
      <c r="AI168" s="17" t="str">
        <f aca="false">IF((E168="fa"),H168," ")</f>
        <v> </v>
      </c>
      <c r="AJ168" s="17" t="str">
        <f aca="false">IF((E168="e"),H168," ")</f>
        <v> </v>
      </c>
    </row>
    <row r="169" customFormat="false" ht="12" hidden="false" customHeight="false" outlineLevel="0" collapsed="false">
      <c r="A169" s="28"/>
      <c r="E169" s="2" t="str">
        <f aca="false">IF((F169&lt;&gt;0),"Enter Letter"," ")</f>
        <v> </v>
      </c>
      <c r="F169" s="30"/>
      <c r="G169" s="6" t="str">
        <f aca="false">IF(F169&lt;&gt;0,F169*G$2/(100+G$2)," ")</f>
        <v> </v>
      </c>
      <c r="H169" s="6" t="str">
        <f aca="false">IF((F169&lt;&gt;0),F169-G169," ")</f>
        <v> </v>
      </c>
      <c r="I169" s="5"/>
      <c r="L169" s="7" t="str">
        <f aca="false">IF(F169&lt;&gt;0,F169-K169," ")</f>
        <v> </v>
      </c>
      <c r="M169" s="8" t="str">
        <f aca="false">IF((F169-K169)&lt;&gt;0,M$1-A169," ")</f>
        <v> </v>
      </c>
      <c r="N169" s="5"/>
      <c r="O169" s="17" t="str">
        <f aca="false">IF((E169="s"),H169," ")</f>
        <v> </v>
      </c>
      <c r="P169" s="17" t="str">
        <f aca="false">IF((E169="c"),H169," ")</f>
        <v> </v>
      </c>
      <c r="Q169" s="17" t="str">
        <f aca="false">IF((E169="o"),H169," ")</f>
        <v> </v>
      </c>
      <c r="R169" s="17" t="str">
        <f aca="false">IF((E169="d"),H169," ")</f>
        <v> </v>
      </c>
      <c r="S169" s="17" t="str">
        <f aca="false">IF((E169="w"),H169," ")</f>
        <v> </v>
      </c>
      <c r="T169" s="17" t="str">
        <f aca="false">IF((E169="r"),H169," ")</f>
        <v> </v>
      </c>
      <c r="U169" s="17" t="str">
        <f aca="false">IF((E169="p"),H169," ")</f>
        <v> </v>
      </c>
      <c r="V169" s="17" t="str">
        <f aca="false">IF((E169="t"),H169," ")</f>
        <v> </v>
      </c>
      <c r="W169" s="17" t="str">
        <f aca="false">IF((E169="q"),H169," ")</f>
        <v> </v>
      </c>
      <c r="X169" s="17" t="str">
        <f aca="false">IF((E169="m"),H169," ")</f>
        <v> </v>
      </c>
      <c r="Y169" s="17" t="str">
        <f aca="false">IF((E169="u"),H169," ")</f>
        <v> </v>
      </c>
      <c r="Z169" s="17" t="str">
        <f aca="false">IF((E169="a"),H169," ")</f>
        <v> </v>
      </c>
      <c r="AA169" s="17" t="str">
        <f aca="false">IF((E169="g"),H169," ")</f>
        <v> </v>
      </c>
      <c r="AB169" s="17" t="str">
        <f aca="false">IF((E169="h"),H169," ")</f>
        <v> </v>
      </c>
      <c r="AC169" s="30" t="str">
        <f aca="false">IF((E169="v"),H169," ")</f>
        <v> </v>
      </c>
      <c r="AD169" s="30" t="str">
        <f aca="false">IF((E169="n"),H169," ")</f>
        <v> </v>
      </c>
      <c r="AE169" s="17" t="str">
        <f aca="false">IF((E169="f"),H169," ")</f>
        <v> </v>
      </c>
      <c r="AF169" s="17" t="str">
        <f aca="false">IF((E169="l"),H169," ")</f>
        <v> </v>
      </c>
      <c r="AG169" s="17" t="str">
        <f aca="false">IF((E169="y"),H169," ")</f>
        <v> </v>
      </c>
      <c r="AH169" s="17" t="str">
        <f aca="false">IF((E169="z"),H169," ")</f>
        <v> </v>
      </c>
      <c r="AI169" s="17" t="str">
        <f aca="false">IF((E169="fa"),H169," ")</f>
        <v> </v>
      </c>
      <c r="AJ169" s="17" t="str">
        <f aca="false">IF((E169="e"),H169," ")</f>
        <v> </v>
      </c>
    </row>
    <row r="170" customFormat="false" ht="12" hidden="false" customHeight="false" outlineLevel="0" collapsed="false">
      <c r="A170" s="28"/>
      <c r="E170" s="2" t="str">
        <f aca="false">IF((F170&lt;&gt;0),"Enter Letter"," ")</f>
        <v> </v>
      </c>
      <c r="F170" s="30"/>
      <c r="G170" s="6" t="str">
        <f aca="false">IF(F170&lt;&gt;0,F170*G$2/(100+G$2)," ")</f>
        <v> </v>
      </c>
      <c r="H170" s="6" t="str">
        <f aca="false">IF((F170&lt;&gt;0),F170-G170," ")</f>
        <v> </v>
      </c>
      <c r="I170" s="5"/>
      <c r="L170" s="7" t="str">
        <f aca="false">IF(F170&lt;&gt;0,F170-K170," ")</f>
        <v> </v>
      </c>
      <c r="M170" s="8" t="str">
        <f aca="false">IF((F170-K170)&lt;&gt;0,M$1-A170," ")</f>
        <v> </v>
      </c>
      <c r="N170" s="5"/>
      <c r="O170" s="17" t="str">
        <f aca="false">IF((E170="s"),H170," ")</f>
        <v> </v>
      </c>
      <c r="P170" s="17" t="str">
        <f aca="false">IF((E170="c"),H170," ")</f>
        <v> </v>
      </c>
      <c r="Q170" s="17" t="str">
        <f aca="false">IF((E170="o"),H170," ")</f>
        <v> </v>
      </c>
      <c r="R170" s="17" t="str">
        <f aca="false">IF((E170="d"),H170," ")</f>
        <v> </v>
      </c>
      <c r="S170" s="17" t="str">
        <f aca="false">IF((E170="w"),H170," ")</f>
        <v> </v>
      </c>
      <c r="T170" s="17" t="str">
        <f aca="false">IF((E170="r"),H170," ")</f>
        <v> </v>
      </c>
      <c r="U170" s="17" t="str">
        <f aca="false">IF((E170="p"),H170," ")</f>
        <v> </v>
      </c>
      <c r="V170" s="17" t="str">
        <f aca="false">IF((E170="t"),H170," ")</f>
        <v> </v>
      </c>
      <c r="W170" s="17" t="str">
        <f aca="false">IF((E170="q"),H170," ")</f>
        <v> </v>
      </c>
      <c r="X170" s="17" t="str">
        <f aca="false">IF((E170="m"),H170," ")</f>
        <v> </v>
      </c>
      <c r="Y170" s="17" t="str">
        <f aca="false">IF((E170="u"),H170," ")</f>
        <v> </v>
      </c>
      <c r="Z170" s="17" t="str">
        <f aca="false">IF((E170="a"),H170," ")</f>
        <v> </v>
      </c>
      <c r="AA170" s="17" t="str">
        <f aca="false">IF((E170="g"),H170," ")</f>
        <v> </v>
      </c>
      <c r="AB170" s="17" t="str">
        <f aca="false">IF((E170="h"),H170," ")</f>
        <v> </v>
      </c>
      <c r="AC170" s="30" t="str">
        <f aca="false">IF((E170="v"),H170," ")</f>
        <v> </v>
      </c>
      <c r="AD170" s="30" t="str">
        <f aca="false">IF((E170="n"),H170," ")</f>
        <v> </v>
      </c>
      <c r="AE170" s="17" t="str">
        <f aca="false">IF((E170="f"),H170," ")</f>
        <v> </v>
      </c>
      <c r="AF170" s="17" t="str">
        <f aca="false">IF((E170="l"),H170," ")</f>
        <v> </v>
      </c>
      <c r="AG170" s="17" t="str">
        <f aca="false">IF((E170="y"),H170," ")</f>
        <v> </v>
      </c>
      <c r="AH170" s="17" t="str">
        <f aca="false">IF((E170="z"),H170," ")</f>
        <v> </v>
      </c>
      <c r="AI170" s="17" t="str">
        <f aca="false">IF((E170="fa"),H170," ")</f>
        <v> </v>
      </c>
      <c r="AJ170" s="17" t="str">
        <f aca="false">IF((E170="e"),H170," ")</f>
        <v> </v>
      </c>
    </row>
    <row r="171" customFormat="false" ht="12" hidden="false" customHeight="false" outlineLevel="0" collapsed="false">
      <c r="A171" s="28"/>
      <c r="E171" s="2" t="str">
        <f aca="false">IF((F171&lt;&gt;0),"Enter Letter"," ")</f>
        <v> </v>
      </c>
      <c r="F171" s="30"/>
      <c r="G171" s="6" t="str">
        <f aca="false">IF(F171&lt;&gt;0,F171*G$2/(100+G$2)," ")</f>
        <v> </v>
      </c>
      <c r="H171" s="6" t="str">
        <f aca="false">IF((F171&lt;&gt;0),F171-G171," ")</f>
        <v> </v>
      </c>
      <c r="I171" s="5"/>
      <c r="L171" s="7" t="str">
        <f aca="false">IF(F171&lt;&gt;0,F171-K171," ")</f>
        <v> </v>
      </c>
      <c r="M171" s="8" t="str">
        <f aca="false">IF((F171-K171)&lt;&gt;0,M$1-A171," ")</f>
        <v> </v>
      </c>
      <c r="N171" s="5"/>
      <c r="O171" s="17" t="str">
        <f aca="false">IF((E171="s"),H171," ")</f>
        <v> </v>
      </c>
      <c r="P171" s="17" t="str">
        <f aca="false">IF((E171="c"),H171," ")</f>
        <v> </v>
      </c>
      <c r="Q171" s="17" t="str">
        <f aca="false">IF((E171="o"),H171," ")</f>
        <v> </v>
      </c>
      <c r="R171" s="17" t="str">
        <f aca="false">IF((E171="d"),H171," ")</f>
        <v> </v>
      </c>
      <c r="S171" s="17" t="str">
        <f aca="false">IF((E171="w"),H171," ")</f>
        <v> </v>
      </c>
      <c r="T171" s="17" t="str">
        <f aca="false">IF((E171="r"),H171," ")</f>
        <v> </v>
      </c>
      <c r="U171" s="17" t="str">
        <f aca="false">IF((E171="p"),H171," ")</f>
        <v> </v>
      </c>
      <c r="V171" s="17" t="str">
        <f aca="false">IF((E171="t"),H171," ")</f>
        <v> </v>
      </c>
      <c r="W171" s="17" t="str">
        <f aca="false">IF((E171="q"),H171," ")</f>
        <v> </v>
      </c>
      <c r="X171" s="17" t="str">
        <f aca="false">IF((E171="m"),H171," ")</f>
        <v> </v>
      </c>
      <c r="Y171" s="17" t="str">
        <f aca="false">IF((E171="u"),H171," ")</f>
        <v> </v>
      </c>
      <c r="Z171" s="17" t="str">
        <f aca="false">IF((E171="a"),H171," ")</f>
        <v> </v>
      </c>
      <c r="AA171" s="17" t="str">
        <f aca="false">IF((E171="g"),H171," ")</f>
        <v> </v>
      </c>
      <c r="AB171" s="17" t="str">
        <f aca="false">IF((E171="h"),H171," ")</f>
        <v> </v>
      </c>
      <c r="AC171" s="30" t="str">
        <f aca="false">IF((E171="v"),H171," ")</f>
        <v> </v>
      </c>
      <c r="AD171" s="30" t="str">
        <f aca="false">IF((E171="n"),H171," ")</f>
        <v> </v>
      </c>
      <c r="AE171" s="17" t="str">
        <f aca="false">IF((E171="f"),H171," ")</f>
        <v> </v>
      </c>
      <c r="AF171" s="17" t="str">
        <f aca="false">IF((E171="l"),H171," ")</f>
        <v> </v>
      </c>
      <c r="AG171" s="17" t="str">
        <f aca="false">IF((E171="y"),H171," ")</f>
        <v> </v>
      </c>
      <c r="AH171" s="17" t="str">
        <f aca="false">IF((E171="z"),H171," ")</f>
        <v> </v>
      </c>
      <c r="AI171" s="17" t="str">
        <f aca="false">IF((E171="fa"),H171," ")</f>
        <v> </v>
      </c>
      <c r="AJ171" s="17" t="str">
        <f aca="false">IF((E171="e"),H171," ")</f>
        <v> </v>
      </c>
    </row>
    <row r="172" customFormat="false" ht="12" hidden="false" customHeight="false" outlineLevel="0" collapsed="false">
      <c r="A172" s="28"/>
      <c r="E172" s="2" t="str">
        <f aca="false">IF((F172&lt;&gt;0),"Enter Letter"," ")</f>
        <v> </v>
      </c>
      <c r="F172" s="30"/>
      <c r="G172" s="6" t="str">
        <f aca="false">IF(F172&lt;&gt;0,F172*G$2/(100+G$2)," ")</f>
        <v> </v>
      </c>
      <c r="H172" s="6" t="str">
        <f aca="false">IF((F172&lt;&gt;0),F172-G172," ")</f>
        <v> </v>
      </c>
      <c r="I172" s="5"/>
      <c r="L172" s="7" t="str">
        <f aca="false">IF(F172&lt;&gt;0,F172-K172," ")</f>
        <v> </v>
      </c>
      <c r="M172" s="8" t="str">
        <f aca="false">IF((F172-K172)&lt;&gt;0,M$1-A172," ")</f>
        <v> </v>
      </c>
      <c r="N172" s="5"/>
      <c r="O172" s="17" t="str">
        <f aca="false">IF((E172="s"),H172," ")</f>
        <v> </v>
      </c>
      <c r="P172" s="17" t="str">
        <f aca="false">IF((E172="c"),H172," ")</f>
        <v> </v>
      </c>
      <c r="Q172" s="17" t="str">
        <f aca="false">IF((E172="o"),H172," ")</f>
        <v> </v>
      </c>
      <c r="R172" s="17" t="str">
        <f aca="false">IF((E172="d"),H172," ")</f>
        <v> </v>
      </c>
      <c r="S172" s="17" t="str">
        <f aca="false">IF((E172="w"),H172," ")</f>
        <v> </v>
      </c>
      <c r="T172" s="17" t="str">
        <f aca="false">IF((E172="r"),H172," ")</f>
        <v> </v>
      </c>
      <c r="U172" s="17" t="str">
        <f aca="false">IF((E172="p"),H172," ")</f>
        <v> </v>
      </c>
      <c r="V172" s="17" t="str">
        <f aca="false">IF((E172="t"),H172," ")</f>
        <v> </v>
      </c>
      <c r="W172" s="17" t="str">
        <f aca="false">IF((E172="q"),H172," ")</f>
        <v> </v>
      </c>
      <c r="X172" s="17" t="str">
        <f aca="false">IF((E172="m"),H172," ")</f>
        <v> </v>
      </c>
      <c r="Y172" s="17" t="str">
        <f aca="false">IF((E172="u"),H172," ")</f>
        <v> </v>
      </c>
      <c r="Z172" s="17" t="str">
        <f aca="false">IF((E172="a"),H172," ")</f>
        <v> </v>
      </c>
      <c r="AA172" s="17" t="str">
        <f aca="false">IF((E172="g"),H172," ")</f>
        <v> </v>
      </c>
      <c r="AB172" s="17" t="str">
        <f aca="false">IF((E172="h"),H172," ")</f>
        <v> </v>
      </c>
      <c r="AC172" s="30" t="str">
        <f aca="false">IF((E172="v"),H172," ")</f>
        <v> </v>
      </c>
      <c r="AD172" s="30" t="str">
        <f aca="false">IF((E172="n"),H172," ")</f>
        <v> </v>
      </c>
      <c r="AE172" s="17" t="str">
        <f aca="false">IF((E172="f"),H172," ")</f>
        <v> </v>
      </c>
      <c r="AF172" s="17" t="str">
        <f aca="false">IF((E172="l"),H172," ")</f>
        <v> </v>
      </c>
      <c r="AG172" s="17" t="str">
        <f aca="false">IF((E172="y"),H172," ")</f>
        <v> </v>
      </c>
      <c r="AH172" s="17" t="str">
        <f aca="false">IF((E172="z"),H172," ")</f>
        <v> </v>
      </c>
      <c r="AI172" s="17" t="str">
        <f aca="false">IF((E172="fa"),H172," ")</f>
        <v> </v>
      </c>
      <c r="AJ172" s="17" t="str">
        <f aca="false">IF((E172="e"),H172," ")</f>
        <v> </v>
      </c>
    </row>
    <row r="173" customFormat="false" ht="12" hidden="false" customHeight="false" outlineLevel="0" collapsed="false">
      <c r="A173" s="28"/>
      <c r="E173" s="2" t="str">
        <f aca="false">IF((F173&lt;&gt;0),"Enter Letter"," ")</f>
        <v> </v>
      </c>
      <c r="F173" s="30"/>
      <c r="G173" s="6" t="str">
        <f aca="false">IF(F173&lt;&gt;0,F173*G$2/(100+G$2)," ")</f>
        <v> </v>
      </c>
      <c r="H173" s="6" t="str">
        <f aca="false">IF((F173&lt;&gt;0),F173-G173," ")</f>
        <v> </v>
      </c>
      <c r="I173" s="5"/>
      <c r="L173" s="7" t="str">
        <f aca="false">IF(F173&lt;&gt;0,F173-K173," ")</f>
        <v> </v>
      </c>
      <c r="M173" s="8" t="str">
        <f aca="false">IF((F173-K173)&lt;&gt;0,M$1-A173," ")</f>
        <v> </v>
      </c>
      <c r="N173" s="5"/>
      <c r="O173" s="17" t="str">
        <f aca="false">IF((E173="s"),H173," ")</f>
        <v> </v>
      </c>
      <c r="P173" s="17" t="str">
        <f aca="false">IF((E173="c"),H173," ")</f>
        <v> </v>
      </c>
      <c r="Q173" s="17" t="str">
        <f aca="false">IF((E173="o"),H173," ")</f>
        <v> </v>
      </c>
      <c r="R173" s="17" t="str">
        <f aca="false">IF((E173="d"),H173," ")</f>
        <v> </v>
      </c>
      <c r="S173" s="17" t="str">
        <f aca="false">IF((E173="w"),H173," ")</f>
        <v> </v>
      </c>
      <c r="T173" s="17" t="str">
        <f aca="false">IF((E173="r"),H173," ")</f>
        <v> </v>
      </c>
      <c r="U173" s="17" t="str">
        <f aca="false">IF((E173="p"),H173," ")</f>
        <v> </v>
      </c>
      <c r="V173" s="17" t="str">
        <f aca="false">IF((E173="t"),H173," ")</f>
        <v> </v>
      </c>
      <c r="W173" s="17" t="str">
        <f aca="false">IF((E173="q"),H173," ")</f>
        <v> </v>
      </c>
      <c r="X173" s="17" t="str">
        <f aca="false">IF((E173="m"),H173," ")</f>
        <v> </v>
      </c>
      <c r="Y173" s="17" t="str">
        <f aca="false">IF((E173="u"),H173," ")</f>
        <v> </v>
      </c>
      <c r="Z173" s="17" t="str">
        <f aca="false">IF((E173="a"),H173," ")</f>
        <v> </v>
      </c>
      <c r="AA173" s="17" t="str">
        <f aca="false">IF((E173="g"),H173," ")</f>
        <v> </v>
      </c>
      <c r="AB173" s="17" t="str">
        <f aca="false">IF((E173="h"),H173," ")</f>
        <v> </v>
      </c>
      <c r="AC173" s="30" t="str">
        <f aca="false">IF((E173="v"),H173," ")</f>
        <v> </v>
      </c>
      <c r="AD173" s="30" t="str">
        <f aca="false">IF((E173="n"),H173," ")</f>
        <v> </v>
      </c>
      <c r="AE173" s="17" t="str">
        <f aca="false">IF((E173="f"),H173," ")</f>
        <v> </v>
      </c>
      <c r="AF173" s="17" t="str">
        <f aca="false">IF((E173="l"),H173," ")</f>
        <v> </v>
      </c>
      <c r="AG173" s="17" t="str">
        <f aca="false">IF((E173="y"),H173," ")</f>
        <v> </v>
      </c>
      <c r="AH173" s="17" t="str">
        <f aca="false">IF((E173="z"),H173," ")</f>
        <v> </v>
      </c>
      <c r="AI173" s="17" t="str">
        <f aca="false">IF((E173="fa"),H173," ")</f>
        <v> </v>
      </c>
      <c r="AJ173" s="17" t="str">
        <f aca="false">IF((E173="e"),H173," ")</f>
        <v> </v>
      </c>
    </row>
    <row r="174" customFormat="false" ht="12" hidden="false" customHeight="false" outlineLevel="0" collapsed="false">
      <c r="A174" s="28"/>
      <c r="E174" s="2" t="str">
        <f aca="false">IF((F174&lt;&gt;0),"Enter Letter"," ")</f>
        <v> </v>
      </c>
      <c r="F174" s="30"/>
      <c r="G174" s="6" t="str">
        <f aca="false">IF(F174&lt;&gt;0,F174*G$2/(100+G$2)," ")</f>
        <v> </v>
      </c>
      <c r="H174" s="6" t="str">
        <f aca="false">IF((F174&lt;&gt;0),F174-G174," ")</f>
        <v> </v>
      </c>
      <c r="I174" s="5"/>
      <c r="L174" s="7" t="str">
        <f aca="false">IF(F174&lt;&gt;0,F174-K174," ")</f>
        <v> </v>
      </c>
      <c r="M174" s="8" t="str">
        <f aca="false">IF((F174-K174)&lt;&gt;0,M$1-A174," ")</f>
        <v> </v>
      </c>
      <c r="N174" s="5"/>
      <c r="O174" s="17" t="str">
        <f aca="false">IF((E174="s"),H174," ")</f>
        <v> </v>
      </c>
      <c r="P174" s="17" t="str">
        <f aca="false">IF((E174="c"),H174," ")</f>
        <v> </v>
      </c>
      <c r="Q174" s="17" t="str">
        <f aca="false">IF((E174="o"),H174," ")</f>
        <v> </v>
      </c>
      <c r="R174" s="17" t="str">
        <f aca="false">IF((E174="d"),H174," ")</f>
        <v> </v>
      </c>
      <c r="S174" s="17" t="str">
        <f aca="false">IF((E174="w"),H174," ")</f>
        <v> </v>
      </c>
      <c r="T174" s="17" t="str">
        <f aca="false">IF((E174="r"),H174," ")</f>
        <v> </v>
      </c>
      <c r="U174" s="17" t="str">
        <f aca="false">IF((E174="p"),H174," ")</f>
        <v> </v>
      </c>
      <c r="V174" s="17" t="str">
        <f aca="false">IF((E174="t"),H174," ")</f>
        <v> </v>
      </c>
      <c r="W174" s="17" t="str">
        <f aca="false">IF((E174="q"),H174," ")</f>
        <v> </v>
      </c>
      <c r="X174" s="17" t="str">
        <f aca="false">IF((E174="m"),H174," ")</f>
        <v> </v>
      </c>
      <c r="Y174" s="17" t="str">
        <f aca="false">IF((E174="u"),H174," ")</f>
        <v> </v>
      </c>
      <c r="Z174" s="17" t="str">
        <f aca="false">IF((E174="a"),H174," ")</f>
        <v> </v>
      </c>
      <c r="AA174" s="17" t="str">
        <f aca="false">IF((E174="g"),H174," ")</f>
        <v> </v>
      </c>
      <c r="AB174" s="17" t="str">
        <f aca="false">IF((E174="h"),H174," ")</f>
        <v> </v>
      </c>
      <c r="AC174" s="30" t="str">
        <f aca="false">IF((E174="v"),H174," ")</f>
        <v> </v>
      </c>
      <c r="AD174" s="30" t="str">
        <f aca="false">IF((E174="n"),H174," ")</f>
        <v> </v>
      </c>
      <c r="AE174" s="17" t="str">
        <f aca="false">IF((E174="f"),H174," ")</f>
        <v> </v>
      </c>
      <c r="AF174" s="17" t="str">
        <f aca="false">IF((E174="l"),H174," ")</f>
        <v> </v>
      </c>
      <c r="AG174" s="17" t="str">
        <f aca="false">IF((E174="y"),H174," ")</f>
        <v> </v>
      </c>
      <c r="AH174" s="17" t="str">
        <f aca="false">IF((E174="z"),H174," ")</f>
        <v> </v>
      </c>
      <c r="AI174" s="17" t="str">
        <f aca="false">IF((E174="fa"),H174," ")</f>
        <v> </v>
      </c>
      <c r="AJ174" s="17" t="str">
        <f aca="false">IF((E174="e"),H174," ")</f>
        <v> </v>
      </c>
    </row>
    <row r="175" customFormat="false" ht="12" hidden="false" customHeight="false" outlineLevel="0" collapsed="false">
      <c r="A175" s="28"/>
      <c r="E175" s="2" t="str">
        <f aca="false">IF((F175&lt;&gt;0),"Enter Letter"," ")</f>
        <v> </v>
      </c>
      <c r="F175" s="30"/>
      <c r="G175" s="6" t="str">
        <f aca="false">IF(F175&lt;&gt;0,F175*G$2/(100+G$2)," ")</f>
        <v> </v>
      </c>
      <c r="H175" s="6" t="str">
        <f aca="false">IF((F175&lt;&gt;0),F175-G175," ")</f>
        <v> </v>
      </c>
      <c r="I175" s="5"/>
      <c r="L175" s="7" t="str">
        <f aca="false">IF(F175&lt;&gt;0,F175-K175," ")</f>
        <v> </v>
      </c>
      <c r="M175" s="8" t="str">
        <f aca="false">IF((F175-K175)&lt;&gt;0,M$1-A175," ")</f>
        <v> </v>
      </c>
      <c r="N175" s="5"/>
      <c r="O175" s="17" t="str">
        <f aca="false">IF((E175="s"),H175," ")</f>
        <v> </v>
      </c>
      <c r="P175" s="17" t="str">
        <f aca="false">IF((E175="c"),H175," ")</f>
        <v> </v>
      </c>
      <c r="Q175" s="17" t="str">
        <f aca="false">IF((E175="o"),H175," ")</f>
        <v> </v>
      </c>
      <c r="R175" s="17" t="str">
        <f aca="false">IF((E175="d"),H175," ")</f>
        <v> </v>
      </c>
      <c r="S175" s="17" t="str">
        <f aca="false">IF((E175="w"),H175," ")</f>
        <v> </v>
      </c>
      <c r="T175" s="17" t="str">
        <f aca="false">IF((E175="r"),H175," ")</f>
        <v> </v>
      </c>
      <c r="U175" s="17" t="str">
        <f aca="false">IF((E175="p"),H175," ")</f>
        <v> </v>
      </c>
      <c r="V175" s="17" t="str">
        <f aca="false">IF((E175="t"),H175," ")</f>
        <v> </v>
      </c>
      <c r="W175" s="17" t="str">
        <f aca="false">IF((E175="q"),H175," ")</f>
        <v> </v>
      </c>
      <c r="X175" s="17" t="str">
        <f aca="false">IF((E175="m"),H175," ")</f>
        <v> </v>
      </c>
      <c r="Y175" s="17" t="str">
        <f aca="false">IF((E175="u"),H175," ")</f>
        <v> </v>
      </c>
      <c r="Z175" s="17" t="str">
        <f aca="false">IF((E175="a"),H175," ")</f>
        <v> </v>
      </c>
      <c r="AA175" s="17" t="str">
        <f aca="false">IF((E175="g"),H175," ")</f>
        <v> </v>
      </c>
      <c r="AB175" s="17" t="str">
        <f aca="false">IF((E175="h"),H175," ")</f>
        <v> </v>
      </c>
      <c r="AC175" s="30" t="str">
        <f aca="false">IF((E175="v"),H175," ")</f>
        <v> </v>
      </c>
      <c r="AD175" s="30" t="str">
        <f aca="false">IF((E175="n"),H175," ")</f>
        <v> </v>
      </c>
      <c r="AE175" s="17" t="str">
        <f aca="false">IF((E175="f"),H175," ")</f>
        <v> </v>
      </c>
      <c r="AF175" s="17" t="str">
        <f aca="false">IF((E175="l"),H175," ")</f>
        <v> </v>
      </c>
      <c r="AG175" s="17" t="str">
        <f aca="false">IF((E175="y"),H175," ")</f>
        <v> </v>
      </c>
      <c r="AH175" s="17" t="str">
        <f aca="false">IF((E175="z"),H175," ")</f>
        <v> </v>
      </c>
      <c r="AI175" s="17" t="str">
        <f aca="false">IF((E175="fa"),H175," ")</f>
        <v> </v>
      </c>
      <c r="AJ175" s="17" t="str">
        <f aca="false">IF((E175="e"),H175," ")</f>
        <v> </v>
      </c>
    </row>
    <row r="176" customFormat="false" ht="12" hidden="false" customHeight="false" outlineLevel="0" collapsed="false">
      <c r="A176" s="28"/>
      <c r="E176" s="2" t="str">
        <f aca="false">IF((F176&lt;&gt;0),"Enter Letter"," ")</f>
        <v> </v>
      </c>
      <c r="F176" s="30"/>
      <c r="G176" s="6" t="str">
        <f aca="false">IF(F176&lt;&gt;0,F176*G$2/(100+G$2)," ")</f>
        <v> </v>
      </c>
      <c r="H176" s="6" t="str">
        <f aca="false">IF((F176&lt;&gt;0),F176-G176," ")</f>
        <v> </v>
      </c>
      <c r="I176" s="5"/>
      <c r="L176" s="7" t="str">
        <f aca="false">IF(F176&lt;&gt;0,F176-K176," ")</f>
        <v> </v>
      </c>
      <c r="M176" s="8" t="str">
        <f aca="false">IF((F176-K176)&lt;&gt;0,M$1-A176," ")</f>
        <v> </v>
      </c>
      <c r="N176" s="5"/>
      <c r="O176" s="17" t="str">
        <f aca="false">IF((E176="s"),H176," ")</f>
        <v> </v>
      </c>
      <c r="P176" s="17" t="str">
        <f aca="false">IF((E176="c"),H176," ")</f>
        <v> </v>
      </c>
      <c r="Q176" s="17" t="str">
        <f aca="false">IF((E176="o"),H176," ")</f>
        <v> </v>
      </c>
      <c r="R176" s="17" t="str">
        <f aca="false">IF((E176="d"),H176," ")</f>
        <v> </v>
      </c>
      <c r="S176" s="17" t="str">
        <f aca="false">IF((E176="w"),H176," ")</f>
        <v> </v>
      </c>
      <c r="T176" s="17" t="str">
        <f aca="false">IF((E176="r"),H176," ")</f>
        <v> </v>
      </c>
      <c r="U176" s="17" t="str">
        <f aca="false">IF((E176="p"),H176," ")</f>
        <v> </v>
      </c>
      <c r="V176" s="17" t="str">
        <f aca="false">IF((E176="t"),H176," ")</f>
        <v> </v>
      </c>
      <c r="W176" s="17" t="str">
        <f aca="false">IF((E176="q"),H176," ")</f>
        <v> </v>
      </c>
      <c r="X176" s="17" t="str">
        <f aca="false">IF((E176="m"),H176," ")</f>
        <v> </v>
      </c>
      <c r="Y176" s="17" t="str">
        <f aca="false">IF((E176="u"),H176," ")</f>
        <v> </v>
      </c>
      <c r="Z176" s="17" t="str">
        <f aca="false">IF((E176="a"),H176," ")</f>
        <v> </v>
      </c>
      <c r="AA176" s="17" t="str">
        <f aca="false">IF((E176="g"),H176," ")</f>
        <v> </v>
      </c>
      <c r="AB176" s="17" t="str">
        <f aca="false">IF((E176="h"),H176," ")</f>
        <v> </v>
      </c>
      <c r="AC176" s="30" t="str">
        <f aca="false">IF((E176="v"),H176," ")</f>
        <v> </v>
      </c>
      <c r="AD176" s="30" t="str">
        <f aca="false">IF((E176="n"),H176," ")</f>
        <v> </v>
      </c>
      <c r="AE176" s="17" t="str">
        <f aca="false">IF((E176="f"),H176," ")</f>
        <v> </v>
      </c>
      <c r="AF176" s="17" t="str">
        <f aca="false">IF((E176="l"),H176," ")</f>
        <v> </v>
      </c>
      <c r="AG176" s="17" t="str">
        <f aca="false">IF((E176="y"),H176," ")</f>
        <v> </v>
      </c>
      <c r="AH176" s="17" t="str">
        <f aca="false">IF((E176="z"),H176," ")</f>
        <v> </v>
      </c>
      <c r="AI176" s="17" t="str">
        <f aca="false">IF((E176="fa"),H176," ")</f>
        <v> </v>
      </c>
      <c r="AJ176" s="17" t="str">
        <f aca="false">IF((E176="e"),H176," ")</f>
        <v> </v>
      </c>
    </row>
    <row r="177" customFormat="false" ht="12" hidden="false" customHeight="false" outlineLevel="0" collapsed="false">
      <c r="A177" s="28"/>
      <c r="E177" s="2" t="str">
        <f aca="false">IF((F177&lt;&gt;0),"Enter Letter"," ")</f>
        <v> </v>
      </c>
      <c r="F177" s="30"/>
      <c r="G177" s="6" t="str">
        <f aca="false">IF(F177&lt;&gt;0,F177*G$2/(100+G$2)," ")</f>
        <v> </v>
      </c>
      <c r="H177" s="6" t="str">
        <f aca="false">IF((F177&lt;&gt;0),F177-G177," ")</f>
        <v> </v>
      </c>
      <c r="I177" s="5"/>
      <c r="L177" s="7" t="str">
        <f aca="false">IF(F177&lt;&gt;0,F177-K177," ")</f>
        <v> </v>
      </c>
      <c r="M177" s="8" t="str">
        <f aca="false">IF((F177-K177)&lt;&gt;0,M$1-A177," ")</f>
        <v> </v>
      </c>
      <c r="N177" s="5"/>
      <c r="O177" s="17" t="str">
        <f aca="false">IF((E177="s"),H177," ")</f>
        <v> </v>
      </c>
      <c r="P177" s="17" t="str">
        <f aca="false">IF((E177="c"),H177," ")</f>
        <v> </v>
      </c>
      <c r="Q177" s="17" t="str">
        <f aca="false">IF((E177="o"),H177," ")</f>
        <v> </v>
      </c>
      <c r="R177" s="17" t="str">
        <f aca="false">IF((E177="d"),H177," ")</f>
        <v> </v>
      </c>
      <c r="S177" s="17" t="str">
        <f aca="false">IF((E177="w"),H177," ")</f>
        <v> </v>
      </c>
      <c r="T177" s="17" t="str">
        <f aca="false">IF((E177="r"),H177," ")</f>
        <v> </v>
      </c>
      <c r="U177" s="17" t="str">
        <f aca="false">IF((E177="p"),H177," ")</f>
        <v> </v>
      </c>
      <c r="V177" s="17" t="str">
        <f aca="false">IF((E177="t"),H177," ")</f>
        <v> </v>
      </c>
      <c r="W177" s="17" t="str">
        <f aca="false">IF((E177="q"),H177," ")</f>
        <v> </v>
      </c>
      <c r="X177" s="17" t="str">
        <f aca="false">IF((E177="m"),H177," ")</f>
        <v> </v>
      </c>
      <c r="Y177" s="17" t="str">
        <f aca="false">IF((E177="u"),H177," ")</f>
        <v> </v>
      </c>
      <c r="Z177" s="17" t="str">
        <f aca="false">IF((E177="a"),H177," ")</f>
        <v> </v>
      </c>
      <c r="AA177" s="17" t="str">
        <f aca="false">IF((E177="g"),H177," ")</f>
        <v> </v>
      </c>
      <c r="AB177" s="17" t="str">
        <f aca="false">IF((E177="h"),H177," ")</f>
        <v> </v>
      </c>
      <c r="AC177" s="30" t="str">
        <f aca="false">IF((E177="v"),H177," ")</f>
        <v> </v>
      </c>
      <c r="AD177" s="30" t="str">
        <f aca="false">IF((E177="n"),H177," ")</f>
        <v> </v>
      </c>
      <c r="AE177" s="17" t="str">
        <f aca="false">IF((E177="f"),H177," ")</f>
        <v> </v>
      </c>
      <c r="AF177" s="17" t="str">
        <f aca="false">IF((E177="l"),H177," ")</f>
        <v> </v>
      </c>
      <c r="AG177" s="17" t="str">
        <f aca="false">IF((E177="y"),H177," ")</f>
        <v> </v>
      </c>
      <c r="AH177" s="17" t="str">
        <f aca="false">IF((E177="z"),H177," ")</f>
        <v> </v>
      </c>
      <c r="AI177" s="17" t="str">
        <f aca="false">IF((E177="fa"),H177," ")</f>
        <v> </v>
      </c>
      <c r="AJ177" s="17" t="str">
        <f aca="false">IF((E177="e"),H177," ")</f>
        <v> </v>
      </c>
    </row>
    <row r="178" customFormat="false" ht="12" hidden="false" customHeight="false" outlineLevel="0" collapsed="false">
      <c r="A178" s="28"/>
      <c r="E178" s="2" t="str">
        <f aca="false">IF((F178&lt;&gt;0),"Enter Letter"," ")</f>
        <v> </v>
      </c>
      <c r="F178" s="30"/>
      <c r="G178" s="6" t="str">
        <f aca="false">IF(F178&lt;&gt;0,F178*G$2/(100+G$2)," ")</f>
        <v> </v>
      </c>
      <c r="H178" s="6" t="str">
        <f aca="false">IF((F178&lt;&gt;0),F178-G178," ")</f>
        <v> </v>
      </c>
      <c r="I178" s="5"/>
      <c r="L178" s="7" t="str">
        <f aca="false">IF(F178&lt;&gt;0,F178-K178," ")</f>
        <v> </v>
      </c>
      <c r="M178" s="8" t="str">
        <f aca="false">IF((F178-K178)&lt;&gt;0,M$1-A178," ")</f>
        <v> </v>
      </c>
      <c r="N178" s="5"/>
      <c r="O178" s="17" t="str">
        <f aca="false">IF((E178="s"),H178," ")</f>
        <v> </v>
      </c>
      <c r="P178" s="17" t="str">
        <f aca="false">IF((E178="c"),H178," ")</f>
        <v> </v>
      </c>
      <c r="Q178" s="17" t="str">
        <f aca="false">IF((E178="o"),H178," ")</f>
        <v> </v>
      </c>
      <c r="R178" s="17" t="str">
        <f aca="false">IF((E178="d"),H178," ")</f>
        <v> </v>
      </c>
      <c r="S178" s="17" t="str">
        <f aca="false">IF((E178="w"),H178," ")</f>
        <v> </v>
      </c>
      <c r="T178" s="17" t="str">
        <f aca="false">IF((E178="r"),H178," ")</f>
        <v> </v>
      </c>
      <c r="U178" s="17" t="str">
        <f aca="false">IF((E178="p"),H178," ")</f>
        <v> </v>
      </c>
      <c r="V178" s="17" t="str">
        <f aca="false">IF((E178="t"),H178," ")</f>
        <v> </v>
      </c>
      <c r="W178" s="17" t="str">
        <f aca="false">IF((E178="q"),H178," ")</f>
        <v> </v>
      </c>
      <c r="X178" s="17" t="str">
        <f aca="false">IF((E178="m"),H178," ")</f>
        <v> </v>
      </c>
      <c r="Y178" s="17" t="str">
        <f aca="false">IF((E178="u"),H178," ")</f>
        <v> </v>
      </c>
      <c r="Z178" s="17" t="str">
        <f aca="false">IF((E178="a"),H178," ")</f>
        <v> </v>
      </c>
      <c r="AA178" s="17" t="str">
        <f aca="false">IF((E178="g"),H178," ")</f>
        <v> </v>
      </c>
      <c r="AB178" s="17" t="str">
        <f aca="false">IF((E178="h"),H178," ")</f>
        <v> </v>
      </c>
      <c r="AC178" s="30" t="str">
        <f aca="false">IF((E178="v"),H178," ")</f>
        <v> </v>
      </c>
      <c r="AD178" s="30" t="str">
        <f aca="false">IF((E178="n"),H178," ")</f>
        <v> </v>
      </c>
      <c r="AE178" s="17" t="str">
        <f aca="false">IF((E178="f"),H178," ")</f>
        <v> </v>
      </c>
      <c r="AF178" s="17" t="str">
        <f aca="false">IF((E178="l"),H178," ")</f>
        <v> </v>
      </c>
      <c r="AG178" s="17" t="str">
        <f aca="false">IF((E178="y"),H178," ")</f>
        <v> </v>
      </c>
      <c r="AH178" s="17" t="str">
        <f aca="false">IF((E178="z"),H178," ")</f>
        <v> </v>
      </c>
      <c r="AI178" s="17" t="str">
        <f aca="false">IF((E178="fa"),H178," ")</f>
        <v> </v>
      </c>
      <c r="AJ178" s="17" t="str">
        <f aca="false">IF((E178="e"),H178," ")</f>
        <v> </v>
      </c>
    </row>
    <row r="179" customFormat="false" ht="12" hidden="false" customHeight="false" outlineLevel="0" collapsed="false">
      <c r="A179" s="28"/>
      <c r="E179" s="2" t="str">
        <f aca="false">IF((F179&lt;&gt;0),"Enter Letter"," ")</f>
        <v> </v>
      </c>
      <c r="F179" s="30"/>
      <c r="G179" s="6" t="str">
        <f aca="false">IF(F179&lt;&gt;0,F179*G$2/(100+G$2)," ")</f>
        <v> </v>
      </c>
      <c r="H179" s="6" t="str">
        <f aca="false">IF((F179&lt;&gt;0),F179-G179," ")</f>
        <v> </v>
      </c>
      <c r="I179" s="5"/>
      <c r="L179" s="7" t="str">
        <f aca="false">IF(F179&lt;&gt;0,F179-K179," ")</f>
        <v> </v>
      </c>
      <c r="M179" s="8" t="str">
        <f aca="false">IF((F179-K179)&lt;&gt;0,M$1-A179," ")</f>
        <v> </v>
      </c>
      <c r="N179" s="5"/>
      <c r="O179" s="17" t="str">
        <f aca="false">IF((E179="s"),H179," ")</f>
        <v> </v>
      </c>
      <c r="P179" s="17" t="str">
        <f aca="false">IF((E179="c"),H179," ")</f>
        <v> </v>
      </c>
      <c r="Q179" s="17" t="str">
        <f aca="false">IF((E179="o"),H179," ")</f>
        <v> </v>
      </c>
      <c r="R179" s="17" t="str">
        <f aca="false">IF((E179="d"),H179," ")</f>
        <v> </v>
      </c>
      <c r="S179" s="17" t="str">
        <f aca="false">IF((E179="w"),H179," ")</f>
        <v> </v>
      </c>
      <c r="T179" s="17" t="str">
        <f aca="false">IF((E179="r"),H179," ")</f>
        <v> </v>
      </c>
      <c r="U179" s="17" t="str">
        <f aca="false">IF((E179="p"),H179," ")</f>
        <v> </v>
      </c>
      <c r="V179" s="17" t="str">
        <f aca="false">IF((E179="t"),H179," ")</f>
        <v> </v>
      </c>
      <c r="W179" s="17" t="str">
        <f aca="false">IF((E179="q"),H179," ")</f>
        <v> </v>
      </c>
      <c r="X179" s="17" t="str">
        <f aca="false">IF((E179="m"),H179," ")</f>
        <v> </v>
      </c>
      <c r="Y179" s="17" t="str">
        <f aca="false">IF((E179="u"),H179," ")</f>
        <v> </v>
      </c>
      <c r="Z179" s="17" t="str">
        <f aca="false">IF((E179="a"),H179," ")</f>
        <v> </v>
      </c>
      <c r="AA179" s="17" t="str">
        <f aca="false">IF((E179="g"),H179," ")</f>
        <v> </v>
      </c>
      <c r="AB179" s="17" t="str">
        <f aca="false">IF((E179="h"),H179," ")</f>
        <v> </v>
      </c>
      <c r="AC179" s="30" t="str">
        <f aca="false">IF((E179="v"),H179," ")</f>
        <v> </v>
      </c>
      <c r="AD179" s="30" t="str">
        <f aca="false">IF((E179="n"),H179," ")</f>
        <v> </v>
      </c>
      <c r="AE179" s="17" t="str">
        <f aca="false">IF((E179="f"),H179," ")</f>
        <v> </v>
      </c>
      <c r="AF179" s="17" t="str">
        <f aca="false">IF((E179="l"),H179," ")</f>
        <v> </v>
      </c>
      <c r="AG179" s="17" t="str">
        <f aca="false">IF((E179="y"),H179," ")</f>
        <v> </v>
      </c>
      <c r="AH179" s="17" t="str">
        <f aca="false">IF((E179="z"),H179," ")</f>
        <v> </v>
      </c>
      <c r="AI179" s="17" t="str">
        <f aca="false">IF((E179="fa"),H179," ")</f>
        <v> </v>
      </c>
      <c r="AJ179" s="17" t="str">
        <f aca="false">IF((E179="e"),H179," ")</f>
        <v> </v>
      </c>
    </row>
    <row r="180" customFormat="false" ht="12" hidden="false" customHeight="false" outlineLevel="0" collapsed="false">
      <c r="A180" s="28"/>
      <c r="E180" s="2" t="str">
        <f aca="false">IF((F180&lt;&gt;0),"Enter Letter"," ")</f>
        <v> </v>
      </c>
      <c r="F180" s="30"/>
      <c r="G180" s="6" t="str">
        <f aca="false">IF(F180&lt;&gt;0,F180*G$2/(100+G$2)," ")</f>
        <v> </v>
      </c>
      <c r="H180" s="6" t="str">
        <f aca="false">IF((F180&lt;&gt;0),F180-G180," ")</f>
        <v> </v>
      </c>
      <c r="I180" s="5"/>
      <c r="L180" s="7" t="str">
        <f aca="false">IF(F180&lt;&gt;0,F180-K180," ")</f>
        <v> </v>
      </c>
      <c r="M180" s="8" t="str">
        <f aca="false">IF((F180-K180)&lt;&gt;0,M$1-A180," ")</f>
        <v> </v>
      </c>
      <c r="N180" s="5"/>
      <c r="O180" s="17" t="str">
        <f aca="false">IF((E180="s"),H180," ")</f>
        <v> </v>
      </c>
      <c r="P180" s="17" t="str">
        <f aca="false">IF((E180="c"),H180," ")</f>
        <v> </v>
      </c>
      <c r="Q180" s="17" t="str">
        <f aca="false">IF((E180="o"),H180," ")</f>
        <v> </v>
      </c>
      <c r="R180" s="17" t="str">
        <f aca="false">IF((E180="d"),H180," ")</f>
        <v> </v>
      </c>
      <c r="S180" s="17" t="str">
        <f aca="false">IF((E180="w"),H180," ")</f>
        <v> </v>
      </c>
      <c r="T180" s="17" t="str">
        <f aca="false">IF((E180="r"),H180," ")</f>
        <v> </v>
      </c>
      <c r="U180" s="17" t="str">
        <f aca="false">IF((E180="p"),H180," ")</f>
        <v> </v>
      </c>
      <c r="V180" s="17" t="str">
        <f aca="false">IF((E180="t"),H180," ")</f>
        <v> </v>
      </c>
      <c r="W180" s="17" t="str">
        <f aca="false">IF((E180="q"),H180," ")</f>
        <v> </v>
      </c>
      <c r="X180" s="17" t="str">
        <f aca="false">IF((E180="m"),H180," ")</f>
        <v> </v>
      </c>
      <c r="Y180" s="17" t="str">
        <f aca="false">IF((E180="u"),H180," ")</f>
        <v> </v>
      </c>
      <c r="Z180" s="17" t="str">
        <f aca="false">IF((E180="a"),H180," ")</f>
        <v> </v>
      </c>
      <c r="AA180" s="17" t="str">
        <f aca="false">IF((E180="g"),H180," ")</f>
        <v> </v>
      </c>
      <c r="AB180" s="17" t="str">
        <f aca="false">IF((E180="h"),H180," ")</f>
        <v> </v>
      </c>
      <c r="AC180" s="30" t="str">
        <f aca="false">IF((E180="v"),H180," ")</f>
        <v> </v>
      </c>
      <c r="AD180" s="30" t="str">
        <f aca="false">IF((E180="n"),H180," ")</f>
        <v> </v>
      </c>
      <c r="AE180" s="17" t="str">
        <f aca="false">IF((E180="f"),H180," ")</f>
        <v> </v>
      </c>
      <c r="AF180" s="17" t="str">
        <f aca="false">IF((E180="l"),H180," ")</f>
        <v> </v>
      </c>
      <c r="AG180" s="17" t="str">
        <f aca="false">IF((E180="y"),H180," ")</f>
        <v> </v>
      </c>
      <c r="AH180" s="17" t="str">
        <f aca="false">IF((E180="z"),H180," ")</f>
        <v> </v>
      </c>
      <c r="AI180" s="17" t="str">
        <f aca="false">IF((E180="fa"),H180," ")</f>
        <v> </v>
      </c>
      <c r="AJ180" s="17" t="str">
        <f aca="false">IF((E180="e"),H180," ")</f>
        <v> </v>
      </c>
    </row>
    <row r="181" customFormat="false" ht="12" hidden="false" customHeight="false" outlineLevel="0" collapsed="false">
      <c r="A181" s="28"/>
      <c r="E181" s="2" t="str">
        <f aca="false">IF((F181&lt;&gt;0),"Enter Letter"," ")</f>
        <v> </v>
      </c>
      <c r="F181" s="30"/>
      <c r="G181" s="6" t="str">
        <f aca="false">IF(F181&lt;&gt;0,F181*G$2/(100+G$2)," ")</f>
        <v> </v>
      </c>
      <c r="H181" s="6" t="str">
        <f aca="false">IF((F181&lt;&gt;0),F181-G181," ")</f>
        <v> </v>
      </c>
      <c r="I181" s="5"/>
      <c r="L181" s="7" t="str">
        <f aca="false">IF(F181&lt;&gt;0,F181-K181," ")</f>
        <v> </v>
      </c>
      <c r="M181" s="8" t="str">
        <f aca="false">IF((F181-K181)&lt;&gt;0,M$1-A181," ")</f>
        <v> </v>
      </c>
      <c r="N181" s="5"/>
      <c r="O181" s="17" t="str">
        <f aca="false">IF((E181="s"),H181," ")</f>
        <v> </v>
      </c>
      <c r="P181" s="17" t="str">
        <f aca="false">IF((E181="c"),H181," ")</f>
        <v> </v>
      </c>
      <c r="Q181" s="17" t="str">
        <f aca="false">IF((E181="o"),H181," ")</f>
        <v> </v>
      </c>
      <c r="R181" s="17" t="str">
        <f aca="false">IF((E181="d"),H181," ")</f>
        <v> </v>
      </c>
      <c r="S181" s="17" t="str">
        <f aca="false">IF((E181="w"),H181," ")</f>
        <v> </v>
      </c>
      <c r="T181" s="17" t="str">
        <f aca="false">IF((E181="r"),H181," ")</f>
        <v> </v>
      </c>
      <c r="U181" s="17" t="str">
        <f aca="false">IF((E181="p"),H181," ")</f>
        <v> </v>
      </c>
      <c r="V181" s="17" t="str">
        <f aca="false">IF((E181="t"),H181," ")</f>
        <v> </v>
      </c>
      <c r="W181" s="17" t="str">
        <f aca="false">IF((E181="q"),H181," ")</f>
        <v> </v>
      </c>
      <c r="X181" s="17" t="str">
        <f aca="false">IF((E181="m"),H181," ")</f>
        <v> </v>
      </c>
      <c r="Y181" s="17" t="str">
        <f aca="false">IF((E181="u"),H181," ")</f>
        <v> </v>
      </c>
      <c r="Z181" s="17" t="str">
        <f aca="false">IF((E181="a"),H181," ")</f>
        <v> </v>
      </c>
      <c r="AA181" s="17" t="str">
        <f aca="false">IF((E181="g"),H181," ")</f>
        <v> </v>
      </c>
      <c r="AB181" s="17" t="str">
        <f aca="false">IF((E181="h"),H181," ")</f>
        <v> </v>
      </c>
      <c r="AC181" s="30" t="str">
        <f aca="false">IF((E181="v"),H181," ")</f>
        <v> </v>
      </c>
      <c r="AD181" s="30" t="str">
        <f aca="false">IF((E181="n"),H181," ")</f>
        <v> </v>
      </c>
      <c r="AE181" s="17" t="str">
        <f aca="false">IF((E181="f"),H181," ")</f>
        <v> </v>
      </c>
      <c r="AF181" s="17" t="str">
        <f aca="false">IF((E181="l"),H181," ")</f>
        <v> </v>
      </c>
      <c r="AG181" s="17" t="str">
        <f aca="false">IF((E181="y"),H181," ")</f>
        <v> </v>
      </c>
      <c r="AH181" s="17" t="str">
        <f aca="false">IF((E181="z"),H181," ")</f>
        <v> </v>
      </c>
      <c r="AI181" s="17" t="str">
        <f aca="false">IF((E181="fa"),H181," ")</f>
        <v> </v>
      </c>
      <c r="AJ181" s="17" t="str">
        <f aca="false">IF((E181="e"),H181," ")</f>
        <v> </v>
      </c>
    </row>
    <row r="182" customFormat="false" ht="12" hidden="false" customHeight="false" outlineLevel="0" collapsed="false">
      <c r="A182" s="28"/>
      <c r="E182" s="2" t="str">
        <f aca="false">IF((F182&lt;&gt;0),"Enter Letter"," ")</f>
        <v> </v>
      </c>
      <c r="F182" s="30"/>
      <c r="G182" s="6" t="str">
        <f aca="false">IF(F182&lt;&gt;0,F182*G$2/(100+G$2)," ")</f>
        <v> </v>
      </c>
      <c r="H182" s="6" t="str">
        <f aca="false">IF((F182&lt;&gt;0),F182-G182," ")</f>
        <v> </v>
      </c>
      <c r="I182" s="5"/>
      <c r="L182" s="7" t="str">
        <f aca="false">IF(F182&lt;&gt;0,F182-K182," ")</f>
        <v> </v>
      </c>
      <c r="M182" s="8" t="str">
        <f aca="false">IF((F182-K182)&lt;&gt;0,M$1-A182," ")</f>
        <v> </v>
      </c>
      <c r="N182" s="5"/>
      <c r="O182" s="17" t="str">
        <f aca="false">IF((E182="s"),H182," ")</f>
        <v> </v>
      </c>
      <c r="P182" s="17" t="str">
        <f aca="false">IF((E182="c"),H182," ")</f>
        <v> </v>
      </c>
      <c r="Q182" s="17" t="str">
        <f aca="false">IF((E182="o"),H182," ")</f>
        <v> </v>
      </c>
      <c r="R182" s="17" t="str">
        <f aca="false">IF((E182="d"),H182," ")</f>
        <v> </v>
      </c>
      <c r="S182" s="17" t="str">
        <f aca="false">IF((E182="w"),H182," ")</f>
        <v> </v>
      </c>
      <c r="T182" s="17" t="str">
        <f aca="false">IF((E182="r"),H182," ")</f>
        <v> </v>
      </c>
      <c r="U182" s="17" t="str">
        <f aca="false">IF((E182="p"),H182," ")</f>
        <v> </v>
      </c>
      <c r="V182" s="17" t="str">
        <f aca="false">IF((E182="t"),H182," ")</f>
        <v> </v>
      </c>
      <c r="W182" s="17" t="str">
        <f aca="false">IF((E182="q"),H182," ")</f>
        <v> </v>
      </c>
      <c r="X182" s="17" t="str">
        <f aca="false">IF((E182="m"),H182," ")</f>
        <v> </v>
      </c>
      <c r="Y182" s="17" t="str">
        <f aca="false">IF((E182="u"),H182," ")</f>
        <v> </v>
      </c>
      <c r="Z182" s="17" t="str">
        <f aca="false">IF((E182="a"),H182," ")</f>
        <v> </v>
      </c>
      <c r="AA182" s="17" t="str">
        <f aca="false">IF((E182="g"),H182," ")</f>
        <v> </v>
      </c>
      <c r="AB182" s="17" t="str">
        <f aca="false">IF((E182="h"),H182," ")</f>
        <v> </v>
      </c>
      <c r="AC182" s="30" t="str">
        <f aca="false">IF((E182="v"),H182," ")</f>
        <v> </v>
      </c>
      <c r="AD182" s="30" t="str">
        <f aca="false">IF((E182="n"),H182," ")</f>
        <v> </v>
      </c>
      <c r="AE182" s="17" t="str">
        <f aca="false">IF((E182="f"),H182," ")</f>
        <v> </v>
      </c>
      <c r="AF182" s="17" t="str">
        <f aca="false">IF((E182="l"),H182," ")</f>
        <v> </v>
      </c>
      <c r="AG182" s="17" t="str">
        <f aca="false">IF((E182="y"),H182," ")</f>
        <v> </v>
      </c>
      <c r="AH182" s="17" t="str">
        <f aca="false">IF((E182="z"),H182," ")</f>
        <v> </v>
      </c>
      <c r="AI182" s="17" t="str">
        <f aca="false">IF((E182="fa"),H182," ")</f>
        <v> </v>
      </c>
      <c r="AJ182" s="17" t="str">
        <f aca="false">IF((E182="e"),H182," ")</f>
        <v> </v>
      </c>
    </row>
    <row r="183" customFormat="false" ht="12" hidden="false" customHeight="false" outlineLevel="0" collapsed="false">
      <c r="A183" s="28"/>
      <c r="E183" s="2" t="str">
        <f aca="false">IF((F183&lt;&gt;0),"Enter Letter"," ")</f>
        <v> </v>
      </c>
      <c r="F183" s="30"/>
      <c r="G183" s="6" t="str">
        <f aca="false">IF(F183&lt;&gt;0,F183*G$2/(100+G$2)," ")</f>
        <v> </v>
      </c>
      <c r="H183" s="6" t="str">
        <f aca="false">IF((F183&lt;&gt;0),F183-G183," ")</f>
        <v> </v>
      </c>
      <c r="I183" s="5"/>
      <c r="L183" s="7" t="str">
        <f aca="false">IF(F183&lt;&gt;0,F183-K183," ")</f>
        <v> </v>
      </c>
      <c r="M183" s="8" t="str">
        <f aca="false">IF((F183-K183)&lt;&gt;0,M$1-A183," ")</f>
        <v> </v>
      </c>
      <c r="N183" s="5"/>
      <c r="O183" s="17" t="str">
        <f aca="false">IF((E183="s"),H183," ")</f>
        <v> </v>
      </c>
      <c r="P183" s="17" t="str">
        <f aca="false">IF((E183="c"),H183," ")</f>
        <v> </v>
      </c>
      <c r="Q183" s="17" t="str">
        <f aca="false">IF((E183="o"),H183," ")</f>
        <v> </v>
      </c>
      <c r="R183" s="17" t="str">
        <f aca="false">IF((E183="d"),H183," ")</f>
        <v> </v>
      </c>
      <c r="S183" s="17" t="str">
        <f aca="false">IF((E183="w"),H183," ")</f>
        <v> </v>
      </c>
      <c r="T183" s="17" t="str">
        <f aca="false">IF((E183="r"),H183," ")</f>
        <v> </v>
      </c>
      <c r="U183" s="17" t="str">
        <f aca="false">IF((E183="p"),H183," ")</f>
        <v> </v>
      </c>
      <c r="V183" s="17" t="str">
        <f aca="false">IF((E183="t"),H183," ")</f>
        <v> </v>
      </c>
      <c r="W183" s="17" t="str">
        <f aca="false">IF((E183="q"),H183," ")</f>
        <v> </v>
      </c>
      <c r="X183" s="17" t="str">
        <f aca="false">IF((E183="m"),H183," ")</f>
        <v> </v>
      </c>
      <c r="Y183" s="17" t="str">
        <f aca="false">IF((E183="u"),H183," ")</f>
        <v> </v>
      </c>
      <c r="Z183" s="17" t="str">
        <f aca="false">IF((E183="a"),H183," ")</f>
        <v> </v>
      </c>
      <c r="AA183" s="17" t="str">
        <f aca="false">IF((E183="g"),H183," ")</f>
        <v> </v>
      </c>
      <c r="AB183" s="17" t="str">
        <f aca="false">IF((E183="h"),H183," ")</f>
        <v> </v>
      </c>
      <c r="AC183" s="30" t="str">
        <f aca="false">IF((E183="v"),H183," ")</f>
        <v> </v>
      </c>
      <c r="AD183" s="30" t="str">
        <f aca="false">IF((E183="n"),H183," ")</f>
        <v> </v>
      </c>
      <c r="AE183" s="17" t="str">
        <f aca="false">IF((E183="f"),H183," ")</f>
        <v> </v>
      </c>
      <c r="AF183" s="17" t="str">
        <f aca="false">IF((E183="l"),H183," ")</f>
        <v> </v>
      </c>
      <c r="AG183" s="17" t="str">
        <f aca="false">IF((E183="y"),H183," ")</f>
        <v> </v>
      </c>
      <c r="AH183" s="17" t="str">
        <f aca="false">IF((E183="z"),H183," ")</f>
        <v> </v>
      </c>
      <c r="AI183" s="17" t="str">
        <f aca="false">IF((E183="fa"),H183," ")</f>
        <v> </v>
      </c>
      <c r="AJ183" s="17" t="str">
        <f aca="false">IF((E183="e"),H183," ")</f>
        <v> </v>
      </c>
    </row>
    <row r="184" customFormat="false" ht="12" hidden="false" customHeight="false" outlineLevel="0" collapsed="false">
      <c r="A184" s="28"/>
      <c r="E184" s="2" t="str">
        <f aca="false">IF((F184&lt;&gt;0),"Enter Letter"," ")</f>
        <v> </v>
      </c>
      <c r="F184" s="30"/>
      <c r="G184" s="6" t="str">
        <f aca="false">IF(F184&lt;&gt;0,F184*G$2/(100+G$2)," ")</f>
        <v> </v>
      </c>
      <c r="H184" s="6" t="str">
        <f aca="false">IF((F184&lt;&gt;0),F184-G184," ")</f>
        <v> </v>
      </c>
      <c r="I184" s="5"/>
      <c r="L184" s="7" t="str">
        <f aca="false">IF(F184&lt;&gt;0,F184-K184," ")</f>
        <v> </v>
      </c>
      <c r="M184" s="8" t="str">
        <f aca="false">IF((F184-K184)&lt;&gt;0,M$1-A184," ")</f>
        <v> </v>
      </c>
      <c r="N184" s="5"/>
      <c r="O184" s="17" t="str">
        <f aca="false">IF((E184="s"),H184," ")</f>
        <v> </v>
      </c>
      <c r="P184" s="17" t="str">
        <f aca="false">IF((E184="c"),H184," ")</f>
        <v> </v>
      </c>
      <c r="Q184" s="17" t="str">
        <f aca="false">IF((E184="o"),H184," ")</f>
        <v> </v>
      </c>
      <c r="R184" s="17" t="str">
        <f aca="false">IF((E184="d"),H184," ")</f>
        <v> </v>
      </c>
      <c r="S184" s="17" t="str">
        <f aca="false">IF((E184="w"),H184," ")</f>
        <v> </v>
      </c>
      <c r="T184" s="17" t="str">
        <f aca="false">IF((E184="r"),H184," ")</f>
        <v> </v>
      </c>
      <c r="U184" s="17" t="str">
        <f aca="false">IF((E184="p"),H184," ")</f>
        <v> </v>
      </c>
      <c r="V184" s="17" t="str">
        <f aca="false">IF((E184="t"),H184," ")</f>
        <v> </v>
      </c>
      <c r="W184" s="17" t="str">
        <f aca="false">IF((E184="q"),H184," ")</f>
        <v> </v>
      </c>
      <c r="X184" s="17" t="str">
        <f aca="false">IF((E184="m"),H184," ")</f>
        <v> </v>
      </c>
      <c r="Y184" s="17" t="str">
        <f aca="false">IF((E184="u"),H184," ")</f>
        <v> </v>
      </c>
      <c r="Z184" s="17" t="str">
        <f aca="false">IF((E184="a"),H184," ")</f>
        <v> </v>
      </c>
      <c r="AA184" s="17" t="str">
        <f aca="false">IF((E184="g"),H184," ")</f>
        <v> </v>
      </c>
      <c r="AB184" s="17" t="str">
        <f aca="false">IF((E184="h"),H184," ")</f>
        <v> </v>
      </c>
      <c r="AC184" s="30" t="str">
        <f aca="false">IF((E184="v"),H184," ")</f>
        <v> </v>
      </c>
      <c r="AD184" s="30" t="str">
        <f aca="false">IF((E184="n"),H184," ")</f>
        <v> </v>
      </c>
      <c r="AE184" s="17" t="str">
        <f aca="false">IF((E184="f"),H184," ")</f>
        <v> </v>
      </c>
      <c r="AF184" s="17" t="str">
        <f aca="false">IF((E184="l"),H184," ")</f>
        <v> </v>
      </c>
      <c r="AG184" s="17" t="str">
        <f aca="false">IF((E184="y"),H184," ")</f>
        <v> </v>
      </c>
      <c r="AH184" s="17" t="str">
        <f aca="false">IF((E184="z"),H184," ")</f>
        <v> </v>
      </c>
      <c r="AI184" s="17" t="str">
        <f aca="false">IF((E184="fa"),H184," ")</f>
        <v> </v>
      </c>
      <c r="AJ184" s="17" t="str">
        <f aca="false">IF((E184="e"),H184," ")</f>
        <v> </v>
      </c>
    </row>
    <row r="185" customFormat="false" ht="12" hidden="false" customHeight="false" outlineLevel="0" collapsed="false">
      <c r="A185" s="28"/>
      <c r="E185" s="2" t="str">
        <f aca="false">IF((F185&lt;&gt;0),"Enter Letter"," ")</f>
        <v> </v>
      </c>
      <c r="F185" s="30"/>
      <c r="G185" s="6" t="str">
        <f aca="false">IF(F185&lt;&gt;0,F185*G$2/(100+G$2)," ")</f>
        <v> </v>
      </c>
      <c r="H185" s="6" t="str">
        <f aca="false">IF((F185&lt;&gt;0),F185-G185," ")</f>
        <v> </v>
      </c>
      <c r="I185" s="5"/>
      <c r="L185" s="7" t="str">
        <f aca="false">IF(F185&lt;&gt;0,F185-K185," ")</f>
        <v> </v>
      </c>
      <c r="M185" s="8" t="str">
        <f aca="false">IF((F185-K185)&lt;&gt;0,M$1-A185," ")</f>
        <v> </v>
      </c>
      <c r="N185" s="5"/>
      <c r="O185" s="17" t="str">
        <f aca="false">IF((E185="s"),H185," ")</f>
        <v> </v>
      </c>
      <c r="P185" s="17" t="str">
        <f aca="false">IF((E185="c"),H185," ")</f>
        <v> </v>
      </c>
      <c r="Q185" s="17" t="str">
        <f aca="false">IF((E185="o"),H185," ")</f>
        <v> </v>
      </c>
      <c r="R185" s="17" t="str">
        <f aca="false">IF((E185="d"),H185," ")</f>
        <v> </v>
      </c>
      <c r="S185" s="17" t="str">
        <f aca="false">IF((E185="w"),H185," ")</f>
        <v> </v>
      </c>
      <c r="T185" s="17" t="str">
        <f aca="false">IF((E185="r"),H185," ")</f>
        <v> </v>
      </c>
      <c r="U185" s="17" t="str">
        <f aca="false">IF((E185="p"),H185," ")</f>
        <v> </v>
      </c>
      <c r="V185" s="17" t="str">
        <f aca="false">IF((E185="t"),H185," ")</f>
        <v> </v>
      </c>
      <c r="W185" s="17" t="str">
        <f aca="false">IF((E185="q"),H185," ")</f>
        <v> </v>
      </c>
      <c r="X185" s="17" t="str">
        <f aca="false">IF((E185="m"),H185," ")</f>
        <v> </v>
      </c>
      <c r="Y185" s="17" t="str">
        <f aca="false">IF((E185="u"),H185," ")</f>
        <v> </v>
      </c>
      <c r="Z185" s="17" t="str">
        <f aca="false">IF((E185="a"),H185," ")</f>
        <v> </v>
      </c>
      <c r="AA185" s="17" t="str">
        <f aca="false">IF((E185="g"),H185," ")</f>
        <v> </v>
      </c>
      <c r="AB185" s="17" t="str">
        <f aca="false">IF((E185="h"),H185," ")</f>
        <v> </v>
      </c>
      <c r="AC185" s="30" t="str">
        <f aca="false">IF((E185="v"),H185," ")</f>
        <v> </v>
      </c>
      <c r="AD185" s="30" t="str">
        <f aca="false">IF((E185="n"),H185," ")</f>
        <v> </v>
      </c>
      <c r="AE185" s="17" t="str">
        <f aca="false">IF((E185="f"),H185," ")</f>
        <v> </v>
      </c>
      <c r="AF185" s="17" t="str">
        <f aca="false">IF((E185="l"),H185," ")</f>
        <v> </v>
      </c>
      <c r="AG185" s="17" t="str">
        <f aca="false">IF((E185="y"),H185," ")</f>
        <v> </v>
      </c>
      <c r="AH185" s="17" t="str">
        <f aca="false">IF((E185="z"),H185," ")</f>
        <v> </v>
      </c>
      <c r="AI185" s="17" t="str">
        <f aca="false">IF((E185="fa"),H185," ")</f>
        <v> </v>
      </c>
      <c r="AJ185" s="17" t="str">
        <f aca="false">IF((E185="e"),H185," ")</f>
        <v> </v>
      </c>
    </row>
    <row r="186" customFormat="false" ht="12" hidden="false" customHeight="false" outlineLevel="0" collapsed="false">
      <c r="A186" s="28"/>
      <c r="E186" s="2" t="str">
        <f aca="false">IF((F186&lt;&gt;0),"Enter Letter"," ")</f>
        <v> </v>
      </c>
      <c r="F186" s="30"/>
      <c r="G186" s="6" t="str">
        <f aca="false">IF(F186&lt;&gt;0,F186*G$2/(100+G$2)," ")</f>
        <v> </v>
      </c>
      <c r="H186" s="6" t="str">
        <f aca="false">IF((F186&lt;&gt;0),F186-G186," ")</f>
        <v> </v>
      </c>
      <c r="I186" s="5"/>
      <c r="L186" s="7" t="str">
        <f aca="false">IF(F186&lt;&gt;0,F186-K186," ")</f>
        <v> </v>
      </c>
      <c r="M186" s="8" t="str">
        <f aca="false">IF((F186-K186)&lt;&gt;0,M$1-A186," ")</f>
        <v> </v>
      </c>
      <c r="N186" s="5"/>
      <c r="O186" s="17" t="str">
        <f aca="false">IF((E186="s"),H186," ")</f>
        <v> </v>
      </c>
      <c r="P186" s="17" t="str">
        <f aca="false">IF((E186="c"),H186," ")</f>
        <v> </v>
      </c>
      <c r="Q186" s="17" t="str">
        <f aca="false">IF((E186="o"),H186," ")</f>
        <v> </v>
      </c>
      <c r="R186" s="17" t="str">
        <f aca="false">IF((E186="d"),H186," ")</f>
        <v> </v>
      </c>
      <c r="S186" s="17" t="str">
        <f aca="false">IF((E186="w"),H186," ")</f>
        <v> </v>
      </c>
      <c r="T186" s="17" t="str">
        <f aca="false">IF((E186="r"),H186," ")</f>
        <v> </v>
      </c>
      <c r="U186" s="17" t="str">
        <f aca="false">IF((E186="p"),H186," ")</f>
        <v> </v>
      </c>
      <c r="V186" s="17" t="str">
        <f aca="false">IF((E186="t"),H186," ")</f>
        <v> </v>
      </c>
      <c r="W186" s="17" t="str">
        <f aca="false">IF((E186="q"),H186," ")</f>
        <v> </v>
      </c>
      <c r="X186" s="17" t="str">
        <f aca="false">IF((E186="m"),H186," ")</f>
        <v> </v>
      </c>
      <c r="Y186" s="17" t="str">
        <f aca="false">IF((E186="u"),H186," ")</f>
        <v> </v>
      </c>
      <c r="Z186" s="17" t="str">
        <f aca="false">IF((E186="a"),H186," ")</f>
        <v> </v>
      </c>
      <c r="AA186" s="17" t="str">
        <f aca="false">IF((E186="g"),H186," ")</f>
        <v> </v>
      </c>
      <c r="AB186" s="17" t="str">
        <f aca="false">IF((E186="h"),H186," ")</f>
        <v> </v>
      </c>
      <c r="AC186" s="30" t="str">
        <f aca="false">IF((E186="v"),H186," ")</f>
        <v> </v>
      </c>
      <c r="AD186" s="30" t="str">
        <f aca="false">IF((E186="n"),H186," ")</f>
        <v> </v>
      </c>
      <c r="AE186" s="17" t="str">
        <f aca="false">IF((E186="f"),H186," ")</f>
        <v> </v>
      </c>
      <c r="AF186" s="17" t="str">
        <f aca="false">IF((E186="l"),H186," ")</f>
        <v> </v>
      </c>
      <c r="AG186" s="17" t="str">
        <f aca="false">IF((E186="y"),H186," ")</f>
        <v> </v>
      </c>
      <c r="AH186" s="17" t="str">
        <f aca="false">IF((E186="z"),H186," ")</f>
        <v> </v>
      </c>
      <c r="AI186" s="17" t="str">
        <f aca="false">IF((E186="fa"),H186," ")</f>
        <v> </v>
      </c>
      <c r="AJ186" s="17" t="str">
        <f aca="false">IF((E186="e"),H186," ")</f>
        <v> </v>
      </c>
    </row>
    <row r="187" customFormat="false" ht="12" hidden="false" customHeight="false" outlineLevel="0" collapsed="false">
      <c r="A187" s="28"/>
      <c r="E187" s="2" t="str">
        <f aca="false">IF((F187&lt;&gt;0),"Enter Letter"," ")</f>
        <v> </v>
      </c>
      <c r="F187" s="30"/>
      <c r="G187" s="6" t="str">
        <f aca="false">IF(F187&lt;&gt;0,F187*G$2/(100+G$2)," ")</f>
        <v> </v>
      </c>
      <c r="H187" s="6" t="str">
        <f aca="false">IF((F187&lt;&gt;0),F187-G187," ")</f>
        <v> </v>
      </c>
      <c r="I187" s="5"/>
      <c r="L187" s="7" t="str">
        <f aca="false">IF(F187&lt;&gt;0,F187-K187," ")</f>
        <v> </v>
      </c>
      <c r="M187" s="8" t="str">
        <f aca="false">IF((F187-K187)&lt;&gt;0,M$1-A187," ")</f>
        <v> </v>
      </c>
      <c r="N187" s="5"/>
      <c r="O187" s="17" t="str">
        <f aca="false">IF((E187="s"),H187," ")</f>
        <v> </v>
      </c>
      <c r="P187" s="17" t="str">
        <f aca="false">IF((E187="c"),H187," ")</f>
        <v> </v>
      </c>
      <c r="Q187" s="17" t="str">
        <f aca="false">IF((E187="o"),H187," ")</f>
        <v> </v>
      </c>
      <c r="R187" s="17" t="str">
        <f aca="false">IF((E187="d"),H187," ")</f>
        <v> </v>
      </c>
      <c r="S187" s="17" t="str">
        <f aca="false">IF((E187="w"),H187," ")</f>
        <v> </v>
      </c>
      <c r="T187" s="17" t="str">
        <f aca="false">IF((E187="r"),H187," ")</f>
        <v> </v>
      </c>
      <c r="U187" s="17" t="str">
        <f aca="false">IF((E187="p"),H187," ")</f>
        <v> </v>
      </c>
      <c r="V187" s="17" t="str">
        <f aca="false">IF((E187="t"),H187," ")</f>
        <v> </v>
      </c>
      <c r="W187" s="17" t="str">
        <f aca="false">IF((E187="q"),H187," ")</f>
        <v> </v>
      </c>
      <c r="X187" s="17" t="str">
        <f aca="false">IF((E187="m"),H187," ")</f>
        <v> </v>
      </c>
      <c r="Y187" s="17" t="str">
        <f aca="false">IF((E187="u"),H187," ")</f>
        <v> </v>
      </c>
      <c r="Z187" s="17" t="str">
        <f aca="false">IF((E187="a"),H187," ")</f>
        <v> </v>
      </c>
      <c r="AA187" s="17" t="str">
        <f aca="false">IF((E187="g"),H187," ")</f>
        <v> </v>
      </c>
      <c r="AB187" s="17" t="str">
        <f aca="false">IF((E187="h"),H187," ")</f>
        <v> </v>
      </c>
      <c r="AC187" s="30" t="str">
        <f aca="false">IF((E187="v"),H187," ")</f>
        <v> </v>
      </c>
      <c r="AD187" s="30" t="str">
        <f aca="false">IF((E187="n"),H187," ")</f>
        <v> </v>
      </c>
      <c r="AE187" s="17" t="str">
        <f aca="false">IF((E187="f"),H187," ")</f>
        <v> </v>
      </c>
      <c r="AF187" s="17" t="str">
        <f aca="false">IF((E187="l"),H187," ")</f>
        <v> </v>
      </c>
      <c r="AG187" s="17" t="str">
        <f aca="false">IF((E187="y"),H187," ")</f>
        <v> </v>
      </c>
      <c r="AH187" s="17" t="str">
        <f aca="false">IF((E187="z"),H187," ")</f>
        <v> </v>
      </c>
      <c r="AI187" s="17" t="str">
        <f aca="false">IF((E187="fa"),H187," ")</f>
        <v> </v>
      </c>
      <c r="AJ187" s="17" t="str">
        <f aca="false">IF((E187="e"),H187," ")</f>
        <v> </v>
      </c>
    </row>
    <row r="188" customFormat="false" ht="12" hidden="false" customHeight="false" outlineLevel="0" collapsed="false">
      <c r="A188" s="28"/>
      <c r="E188" s="2" t="str">
        <f aca="false">IF((F188&lt;&gt;0),"Enter Letter"," ")</f>
        <v> </v>
      </c>
      <c r="F188" s="30"/>
      <c r="G188" s="6" t="str">
        <f aca="false">IF(F188&lt;&gt;0,F188*G$2/(100+G$2)," ")</f>
        <v> </v>
      </c>
      <c r="H188" s="6" t="str">
        <f aca="false">IF((F188&lt;&gt;0),F188-G188," ")</f>
        <v> </v>
      </c>
      <c r="I188" s="5"/>
      <c r="L188" s="7" t="str">
        <f aca="false">IF(F188&lt;&gt;0,F188-K188," ")</f>
        <v> </v>
      </c>
      <c r="M188" s="8" t="str">
        <f aca="false">IF((F188-K188)&lt;&gt;0,M$1-A188," ")</f>
        <v> </v>
      </c>
      <c r="N188" s="5"/>
      <c r="O188" s="17" t="str">
        <f aca="false">IF((E188="s"),H188," ")</f>
        <v> </v>
      </c>
      <c r="P188" s="17" t="str">
        <f aca="false">IF((E188="c"),H188," ")</f>
        <v> </v>
      </c>
      <c r="Q188" s="17" t="str">
        <f aca="false">IF((E188="o"),H188," ")</f>
        <v> </v>
      </c>
      <c r="R188" s="17" t="str">
        <f aca="false">IF((E188="d"),H188," ")</f>
        <v> </v>
      </c>
      <c r="S188" s="17" t="str">
        <f aca="false">IF((E188="w"),H188," ")</f>
        <v> </v>
      </c>
      <c r="T188" s="17" t="str">
        <f aca="false">IF((E188="r"),H188," ")</f>
        <v> </v>
      </c>
      <c r="U188" s="17" t="str">
        <f aca="false">IF((E188="p"),H188," ")</f>
        <v> </v>
      </c>
      <c r="V188" s="17" t="str">
        <f aca="false">IF((E188="t"),H188," ")</f>
        <v> </v>
      </c>
      <c r="W188" s="17" t="str">
        <f aca="false">IF((E188="q"),H188," ")</f>
        <v> </v>
      </c>
      <c r="X188" s="17" t="str">
        <f aca="false">IF((E188="m"),H188," ")</f>
        <v> </v>
      </c>
      <c r="Y188" s="17" t="str">
        <f aca="false">IF((E188="u"),H188," ")</f>
        <v> </v>
      </c>
      <c r="Z188" s="17" t="str">
        <f aca="false">IF((E188="a"),H188," ")</f>
        <v> </v>
      </c>
      <c r="AA188" s="17" t="str">
        <f aca="false">IF((E188="g"),H188," ")</f>
        <v> </v>
      </c>
      <c r="AB188" s="17" t="str">
        <f aca="false">IF((E188="h"),H188," ")</f>
        <v> </v>
      </c>
      <c r="AC188" s="30" t="str">
        <f aca="false">IF((E188="v"),H188," ")</f>
        <v> </v>
      </c>
      <c r="AD188" s="30" t="str">
        <f aca="false">IF((E188="n"),H188," ")</f>
        <v> </v>
      </c>
      <c r="AE188" s="17" t="str">
        <f aca="false">IF((E188="f"),H188," ")</f>
        <v> </v>
      </c>
      <c r="AF188" s="17" t="str">
        <f aca="false">IF((E188="l"),H188," ")</f>
        <v> </v>
      </c>
      <c r="AG188" s="17" t="str">
        <f aca="false">IF((E188="y"),H188," ")</f>
        <v> </v>
      </c>
      <c r="AH188" s="17" t="str">
        <f aca="false">IF((E188="z"),H188," ")</f>
        <v> </v>
      </c>
      <c r="AI188" s="17" t="str">
        <f aca="false">IF((E188="fa"),H188," ")</f>
        <v> </v>
      </c>
      <c r="AJ188" s="17" t="str">
        <f aca="false">IF((E188="e"),H188," ")</f>
        <v> </v>
      </c>
    </row>
    <row r="189" customFormat="false" ht="12" hidden="false" customHeight="false" outlineLevel="0" collapsed="false">
      <c r="A189" s="28"/>
      <c r="E189" s="2" t="str">
        <f aca="false">IF((F189&lt;&gt;0),"Enter Letter"," ")</f>
        <v> </v>
      </c>
      <c r="F189" s="30"/>
      <c r="G189" s="6" t="str">
        <f aca="false">IF(F189&lt;&gt;0,F189*G$2/(100+G$2)," ")</f>
        <v> </v>
      </c>
      <c r="H189" s="6" t="str">
        <f aca="false">IF((F189&lt;&gt;0),F189-G189," ")</f>
        <v> </v>
      </c>
      <c r="I189" s="5"/>
      <c r="L189" s="7" t="str">
        <f aca="false">IF(F189&lt;&gt;0,F189-K189," ")</f>
        <v> </v>
      </c>
      <c r="M189" s="8" t="str">
        <f aca="false">IF((F189-K189)&lt;&gt;0,M$1-A189," ")</f>
        <v> </v>
      </c>
      <c r="N189" s="5"/>
      <c r="O189" s="17" t="str">
        <f aca="false">IF((E189="s"),H189," ")</f>
        <v> </v>
      </c>
      <c r="P189" s="17" t="str">
        <f aca="false">IF((E189="c"),H189," ")</f>
        <v> </v>
      </c>
      <c r="Q189" s="17" t="str">
        <f aca="false">IF((E189="o"),H189," ")</f>
        <v> </v>
      </c>
      <c r="R189" s="17" t="str">
        <f aca="false">IF((E189="d"),H189," ")</f>
        <v> </v>
      </c>
      <c r="S189" s="17" t="str">
        <f aca="false">IF((E189="w"),H189," ")</f>
        <v> </v>
      </c>
      <c r="T189" s="17" t="str">
        <f aca="false">IF((E189="r"),H189," ")</f>
        <v> </v>
      </c>
      <c r="U189" s="17" t="str">
        <f aca="false">IF((E189="p"),H189," ")</f>
        <v> </v>
      </c>
      <c r="V189" s="17" t="str">
        <f aca="false">IF((E189="t"),H189," ")</f>
        <v> </v>
      </c>
      <c r="W189" s="17" t="str">
        <f aca="false">IF((E189="q"),H189," ")</f>
        <v> </v>
      </c>
      <c r="X189" s="17" t="str">
        <f aca="false">IF((E189="m"),H189," ")</f>
        <v> </v>
      </c>
      <c r="Y189" s="17" t="str">
        <f aca="false">IF((E189="u"),H189," ")</f>
        <v> </v>
      </c>
      <c r="Z189" s="17" t="str">
        <f aca="false">IF((E189="a"),H189," ")</f>
        <v> </v>
      </c>
      <c r="AA189" s="17" t="str">
        <f aca="false">IF((E189="g"),H189," ")</f>
        <v> </v>
      </c>
      <c r="AB189" s="17" t="str">
        <f aca="false">IF((E189="h"),H189," ")</f>
        <v> </v>
      </c>
      <c r="AC189" s="30" t="str">
        <f aca="false">IF((E189="v"),H189," ")</f>
        <v> </v>
      </c>
      <c r="AD189" s="30" t="str">
        <f aca="false">IF((E189="n"),H189," ")</f>
        <v> </v>
      </c>
      <c r="AE189" s="17" t="str">
        <f aca="false">IF((E189="f"),H189," ")</f>
        <v> </v>
      </c>
      <c r="AF189" s="17" t="str">
        <f aca="false">IF((E189="l"),H189," ")</f>
        <v> </v>
      </c>
      <c r="AG189" s="17" t="str">
        <f aca="false">IF((E189="y"),H189," ")</f>
        <v> </v>
      </c>
      <c r="AH189" s="17" t="str">
        <f aca="false">IF((E189="z"),H189," ")</f>
        <v> </v>
      </c>
      <c r="AI189" s="17" t="str">
        <f aca="false">IF((E189="fa"),H189," ")</f>
        <v> </v>
      </c>
      <c r="AJ189" s="17" t="str">
        <f aca="false">IF((E189="e"),H189," ")</f>
        <v> </v>
      </c>
    </row>
    <row r="190" customFormat="false" ht="12" hidden="false" customHeight="false" outlineLevel="0" collapsed="false">
      <c r="A190" s="28"/>
      <c r="E190" s="2" t="str">
        <f aca="false">IF((F190&lt;&gt;0),"Enter Letter"," ")</f>
        <v> </v>
      </c>
      <c r="F190" s="30"/>
      <c r="G190" s="6" t="str">
        <f aca="false">IF(F190&lt;&gt;0,F190*G$2/(100+G$2)," ")</f>
        <v> </v>
      </c>
      <c r="H190" s="6" t="str">
        <f aca="false">IF((F190&lt;&gt;0),F190-G190," ")</f>
        <v> </v>
      </c>
      <c r="I190" s="5"/>
      <c r="L190" s="7" t="str">
        <f aca="false">IF(F190&lt;&gt;0,F190-K190," ")</f>
        <v> </v>
      </c>
      <c r="M190" s="8" t="str">
        <f aca="false">IF((F190-K190)&lt;&gt;0,M$1-A190," ")</f>
        <v> </v>
      </c>
      <c r="N190" s="5"/>
      <c r="O190" s="17" t="str">
        <f aca="false">IF((E190="s"),H190," ")</f>
        <v> </v>
      </c>
      <c r="P190" s="17" t="str">
        <f aca="false">IF((E190="c"),H190," ")</f>
        <v> </v>
      </c>
      <c r="Q190" s="17" t="str">
        <f aca="false">IF((E190="o"),H190," ")</f>
        <v> </v>
      </c>
      <c r="R190" s="17" t="str">
        <f aca="false">IF((E190="d"),H190," ")</f>
        <v> </v>
      </c>
      <c r="S190" s="17" t="str">
        <f aca="false">IF((E190="w"),H190," ")</f>
        <v> </v>
      </c>
      <c r="T190" s="17" t="str">
        <f aca="false">IF((E190="r"),H190," ")</f>
        <v> </v>
      </c>
      <c r="U190" s="17" t="str">
        <f aca="false">IF((E190="p"),H190," ")</f>
        <v> </v>
      </c>
      <c r="V190" s="17" t="str">
        <f aca="false">IF((E190="t"),H190," ")</f>
        <v> </v>
      </c>
      <c r="W190" s="17" t="str">
        <f aca="false">IF((E190="q"),H190," ")</f>
        <v> </v>
      </c>
      <c r="X190" s="17" t="str">
        <f aca="false">IF((E190="m"),H190," ")</f>
        <v> </v>
      </c>
      <c r="Y190" s="17" t="str">
        <f aca="false">IF((E190="u"),H190," ")</f>
        <v> </v>
      </c>
      <c r="Z190" s="17" t="str">
        <f aca="false">IF((E190="a"),H190," ")</f>
        <v> </v>
      </c>
      <c r="AA190" s="17" t="str">
        <f aca="false">IF((E190="g"),H190," ")</f>
        <v> </v>
      </c>
      <c r="AB190" s="17" t="str">
        <f aca="false">IF((E190="h"),H190," ")</f>
        <v> </v>
      </c>
      <c r="AC190" s="30" t="str">
        <f aca="false">IF((E190="v"),H190," ")</f>
        <v> </v>
      </c>
      <c r="AD190" s="30" t="str">
        <f aca="false">IF((E190="n"),H190," ")</f>
        <v> </v>
      </c>
      <c r="AE190" s="17" t="str">
        <f aca="false">IF((E190="f"),H190," ")</f>
        <v> </v>
      </c>
      <c r="AF190" s="17" t="str">
        <f aca="false">IF((E190="l"),H190," ")</f>
        <v> </v>
      </c>
      <c r="AG190" s="17" t="str">
        <f aca="false">IF((E190="y"),H190," ")</f>
        <v> </v>
      </c>
      <c r="AH190" s="17" t="str">
        <f aca="false">IF((E190="z"),H190," ")</f>
        <v> </v>
      </c>
      <c r="AI190" s="17" t="str">
        <f aca="false">IF((E190="fa"),H190," ")</f>
        <v> </v>
      </c>
      <c r="AJ190" s="17" t="str">
        <f aca="false">IF((E190="e"),H190," ")</f>
        <v> </v>
      </c>
    </row>
    <row r="191" customFormat="false" ht="12" hidden="false" customHeight="false" outlineLevel="0" collapsed="false">
      <c r="A191" s="28"/>
      <c r="E191" s="2" t="str">
        <f aca="false">IF((F191&lt;&gt;0),"Enter Letter"," ")</f>
        <v> </v>
      </c>
      <c r="F191" s="30"/>
      <c r="G191" s="6" t="str">
        <f aca="false">IF(F191&lt;&gt;0,F191*G$2/(100+G$2)," ")</f>
        <v> </v>
      </c>
      <c r="H191" s="6" t="str">
        <f aca="false">IF((F191&lt;&gt;0),F191-G191," ")</f>
        <v> </v>
      </c>
      <c r="I191" s="5"/>
      <c r="L191" s="7" t="str">
        <f aca="false">IF(F191&lt;&gt;0,F191-K191," ")</f>
        <v> </v>
      </c>
      <c r="M191" s="8" t="str">
        <f aca="false">IF((F191-K191)&lt;&gt;0,M$1-A191," ")</f>
        <v> </v>
      </c>
      <c r="N191" s="5"/>
      <c r="O191" s="17" t="str">
        <f aca="false">IF((E191="s"),H191," ")</f>
        <v> </v>
      </c>
      <c r="P191" s="17" t="str">
        <f aca="false">IF((E191="c"),H191," ")</f>
        <v> </v>
      </c>
      <c r="Q191" s="17" t="str">
        <f aca="false">IF((E191="o"),H191," ")</f>
        <v> </v>
      </c>
      <c r="R191" s="17" t="str">
        <f aca="false">IF((E191="d"),H191," ")</f>
        <v> </v>
      </c>
      <c r="S191" s="17" t="str">
        <f aca="false">IF((E191="w"),H191," ")</f>
        <v> </v>
      </c>
      <c r="T191" s="17" t="str">
        <f aca="false">IF((E191="r"),H191," ")</f>
        <v> </v>
      </c>
      <c r="U191" s="17" t="str">
        <f aca="false">IF((E191="p"),H191," ")</f>
        <v> </v>
      </c>
      <c r="V191" s="17" t="str">
        <f aca="false">IF((E191="t"),H191," ")</f>
        <v> </v>
      </c>
      <c r="W191" s="17" t="str">
        <f aca="false">IF((E191="q"),H191," ")</f>
        <v> </v>
      </c>
      <c r="X191" s="17" t="str">
        <f aca="false">IF((E191="m"),H191," ")</f>
        <v> </v>
      </c>
      <c r="Y191" s="17" t="str">
        <f aca="false">IF((E191="u"),H191," ")</f>
        <v> </v>
      </c>
      <c r="Z191" s="17" t="str">
        <f aca="false">IF((E191="a"),H191," ")</f>
        <v> </v>
      </c>
      <c r="AA191" s="17" t="str">
        <f aca="false">IF((E191="g"),H191," ")</f>
        <v> </v>
      </c>
      <c r="AB191" s="17" t="str">
        <f aca="false">IF((E191="h"),H191," ")</f>
        <v> </v>
      </c>
      <c r="AC191" s="30" t="str">
        <f aca="false">IF((E191="v"),H191," ")</f>
        <v> </v>
      </c>
      <c r="AD191" s="30" t="str">
        <f aca="false">IF((E191="n"),H191," ")</f>
        <v> </v>
      </c>
      <c r="AE191" s="17" t="str">
        <f aca="false">IF((E191="f"),H191," ")</f>
        <v> </v>
      </c>
      <c r="AF191" s="17" t="str">
        <f aca="false">IF((E191="l"),H191," ")</f>
        <v> </v>
      </c>
      <c r="AG191" s="17" t="str">
        <f aca="false">IF((E191="y"),H191," ")</f>
        <v> </v>
      </c>
      <c r="AH191" s="17" t="str">
        <f aca="false">IF((E191="z"),H191," ")</f>
        <v> </v>
      </c>
      <c r="AI191" s="17" t="str">
        <f aca="false">IF((E191="fa"),H191," ")</f>
        <v> </v>
      </c>
      <c r="AJ191" s="17" t="str">
        <f aca="false">IF((E191="e"),H191," ")</f>
        <v> </v>
      </c>
    </row>
    <row r="192" customFormat="false" ht="12" hidden="false" customHeight="false" outlineLevel="0" collapsed="false">
      <c r="A192" s="28"/>
      <c r="E192" s="2" t="str">
        <f aca="false">IF((F192&lt;&gt;0),"Enter Letter"," ")</f>
        <v> </v>
      </c>
      <c r="F192" s="30"/>
      <c r="G192" s="6" t="str">
        <f aca="false">IF(F192&lt;&gt;0,F192*G$2/(100+G$2)," ")</f>
        <v> </v>
      </c>
      <c r="H192" s="6" t="str">
        <f aca="false">IF((F192&lt;&gt;0),F192-G192," ")</f>
        <v> </v>
      </c>
      <c r="I192" s="5"/>
      <c r="L192" s="7" t="str">
        <f aca="false">IF(F192&lt;&gt;0,F192-K192," ")</f>
        <v> </v>
      </c>
      <c r="M192" s="8" t="str">
        <f aca="false">IF((F192-K192)&lt;&gt;0,M$1-A192," ")</f>
        <v> </v>
      </c>
      <c r="N192" s="5"/>
      <c r="O192" s="17" t="str">
        <f aca="false">IF((E192="s"),H192," ")</f>
        <v> </v>
      </c>
      <c r="P192" s="17" t="str">
        <f aca="false">IF((E192="c"),H192," ")</f>
        <v> </v>
      </c>
      <c r="Q192" s="17" t="str">
        <f aca="false">IF((E192="o"),H192," ")</f>
        <v> </v>
      </c>
      <c r="R192" s="17" t="str">
        <f aca="false">IF((E192="d"),H192," ")</f>
        <v> </v>
      </c>
      <c r="S192" s="17" t="str">
        <f aca="false">IF((E192="w"),H192," ")</f>
        <v> </v>
      </c>
      <c r="T192" s="17" t="str">
        <f aca="false">IF((E192="r"),H192," ")</f>
        <v> </v>
      </c>
      <c r="U192" s="17" t="str">
        <f aca="false">IF((E192="p"),H192," ")</f>
        <v> </v>
      </c>
      <c r="V192" s="17" t="str">
        <f aca="false">IF((E192="t"),H192," ")</f>
        <v> </v>
      </c>
      <c r="W192" s="17" t="str">
        <f aca="false">IF((E192="q"),H192," ")</f>
        <v> </v>
      </c>
      <c r="X192" s="17" t="str">
        <f aca="false">IF((E192="m"),H192," ")</f>
        <v> </v>
      </c>
      <c r="Y192" s="17" t="str">
        <f aca="false">IF((E192="u"),H192," ")</f>
        <v> </v>
      </c>
      <c r="Z192" s="17" t="str">
        <f aca="false">IF((E192="a"),H192," ")</f>
        <v> </v>
      </c>
      <c r="AA192" s="17" t="str">
        <f aca="false">IF((E192="g"),H192," ")</f>
        <v> </v>
      </c>
      <c r="AB192" s="17" t="str">
        <f aca="false">IF((E192="h"),H192," ")</f>
        <v> </v>
      </c>
      <c r="AC192" s="30" t="str">
        <f aca="false">IF((E192="v"),H192," ")</f>
        <v> </v>
      </c>
      <c r="AD192" s="30" t="str">
        <f aca="false">IF((E192="n"),H192," ")</f>
        <v> </v>
      </c>
      <c r="AE192" s="17" t="str">
        <f aca="false">IF((E192="f"),H192," ")</f>
        <v> </v>
      </c>
      <c r="AF192" s="17" t="str">
        <f aca="false">IF((E192="l"),H192," ")</f>
        <v> </v>
      </c>
      <c r="AG192" s="17" t="str">
        <f aca="false">IF((E192="y"),H192," ")</f>
        <v> </v>
      </c>
      <c r="AH192" s="17" t="str">
        <f aca="false">IF((E192="z"),H192," ")</f>
        <v> </v>
      </c>
      <c r="AI192" s="17" t="str">
        <f aca="false">IF((E192="fa"),H192," ")</f>
        <v> </v>
      </c>
      <c r="AJ192" s="17" t="str">
        <f aca="false">IF((E192="e"),H192," ")</f>
        <v> </v>
      </c>
    </row>
    <row r="193" customFormat="false" ht="12" hidden="false" customHeight="false" outlineLevel="0" collapsed="false">
      <c r="A193" s="28"/>
      <c r="E193" s="2" t="str">
        <f aca="false">IF((F193&lt;&gt;0),"Enter Letter"," ")</f>
        <v> </v>
      </c>
      <c r="F193" s="30"/>
      <c r="G193" s="6" t="str">
        <f aca="false">IF(F193&lt;&gt;0,F193*G$2/(100+G$2)," ")</f>
        <v> </v>
      </c>
      <c r="H193" s="6" t="str">
        <f aca="false">IF((F193&lt;&gt;0),F193-G193," ")</f>
        <v> </v>
      </c>
      <c r="I193" s="5"/>
      <c r="L193" s="7" t="str">
        <f aca="false">IF(F193&lt;&gt;0,F193-K193," ")</f>
        <v> </v>
      </c>
      <c r="M193" s="8" t="str">
        <f aca="false">IF((F193-K193)&lt;&gt;0,M$1-A193," ")</f>
        <v> </v>
      </c>
      <c r="N193" s="5"/>
      <c r="O193" s="17" t="str">
        <f aca="false">IF((E193="s"),H193," ")</f>
        <v> </v>
      </c>
      <c r="P193" s="17" t="str">
        <f aca="false">IF((E193="c"),H193," ")</f>
        <v> </v>
      </c>
      <c r="Q193" s="17" t="str">
        <f aca="false">IF((E193="o"),H193," ")</f>
        <v> </v>
      </c>
      <c r="R193" s="17" t="str">
        <f aca="false">IF((E193="d"),H193," ")</f>
        <v> </v>
      </c>
      <c r="S193" s="17" t="str">
        <f aca="false">IF((E193="w"),H193," ")</f>
        <v> </v>
      </c>
      <c r="T193" s="17" t="str">
        <f aca="false">IF((E193="r"),H193," ")</f>
        <v> </v>
      </c>
      <c r="U193" s="17" t="str">
        <f aca="false">IF((E193="p"),H193," ")</f>
        <v> </v>
      </c>
      <c r="V193" s="17" t="str">
        <f aca="false">IF((E193="t"),H193," ")</f>
        <v> </v>
      </c>
      <c r="W193" s="17" t="str">
        <f aca="false">IF((E193="q"),H193," ")</f>
        <v> </v>
      </c>
      <c r="X193" s="17" t="str">
        <f aca="false">IF((E193="m"),H193," ")</f>
        <v> </v>
      </c>
      <c r="Y193" s="17" t="str">
        <f aca="false">IF((E193="u"),H193," ")</f>
        <v> </v>
      </c>
      <c r="Z193" s="17" t="str">
        <f aca="false">IF((E193="a"),H193," ")</f>
        <v> </v>
      </c>
      <c r="AA193" s="17" t="str">
        <f aca="false">IF((E193="g"),H193," ")</f>
        <v> </v>
      </c>
      <c r="AB193" s="17" t="str">
        <f aca="false">IF((E193="h"),H193," ")</f>
        <v> </v>
      </c>
      <c r="AC193" s="30" t="str">
        <f aca="false">IF((E193="v"),H193," ")</f>
        <v> </v>
      </c>
      <c r="AD193" s="30" t="str">
        <f aca="false">IF((E193="n"),H193," ")</f>
        <v> </v>
      </c>
      <c r="AE193" s="17" t="str">
        <f aca="false">IF((E193="f"),H193," ")</f>
        <v> </v>
      </c>
      <c r="AF193" s="17" t="str">
        <f aca="false">IF((E193="l"),H193," ")</f>
        <v> </v>
      </c>
      <c r="AG193" s="17" t="str">
        <f aca="false">IF((E193="y"),H193," ")</f>
        <v> </v>
      </c>
      <c r="AH193" s="17" t="str">
        <f aca="false">IF((E193="z"),H193," ")</f>
        <v> </v>
      </c>
      <c r="AI193" s="17" t="str">
        <f aca="false">IF((E193="fa"),H193," ")</f>
        <v> </v>
      </c>
      <c r="AJ193" s="17" t="str">
        <f aca="false">IF((E193="e"),H193," ")</f>
        <v> </v>
      </c>
    </row>
    <row r="194" customFormat="false" ht="12" hidden="false" customHeight="false" outlineLevel="0" collapsed="false">
      <c r="A194" s="28"/>
      <c r="E194" s="2" t="str">
        <f aca="false">IF((F194&lt;&gt;0),"Enter Letter"," ")</f>
        <v> </v>
      </c>
      <c r="F194" s="30"/>
      <c r="G194" s="6" t="str">
        <f aca="false">IF(F194&lt;&gt;0,F194*G$2/(100+G$2)," ")</f>
        <v> </v>
      </c>
      <c r="H194" s="6" t="str">
        <f aca="false">IF((F194&lt;&gt;0),F194-G194," ")</f>
        <v> </v>
      </c>
      <c r="I194" s="5"/>
      <c r="L194" s="7" t="str">
        <f aca="false">IF(F194&lt;&gt;0,F194-K194," ")</f>
        <v> </v>
      </c>
      <c r="M194" s="8" t="str">
        <f aca="false">IF((F194-K194)&lt;&gt;0,M$1-A194," ")</f>
        <v> </v>
      </c>
      <c r="N194" s="5"/>
      <c r="O194" s="17" t="str">
        <f aca="false">IF((E194="s"),H194," ")</f>
        <v> </v>
      </c>
      <c r="P194" s="17" t="str">
        <f aca="false">IF((E194="c"),H194," ")</f>
        <v> </v>
      </c>
      <c r="Q194" s="17" t="str">
        <f aca="false">IF((E194="o"),H194," ")</f>
        <v> </v>
      </c>
      <c r="R194" s="17" t="str">
        <f aca="false">IF((E194="d"),H194," ")</f>
        <v> </v>
      </c>
      <c r="S194" s="17" t="str">
        <f aca="false">IF((E194="w"),H194," ")</f>
        <v> </v>
      </c>
      <c r="T194" s="17" t="str">
        <f aca="false">IF((E194="r"),H194," ")</f>
        <v> </v>
      </c>
      <c r="U194" s="17" t="str">
        <f aca="false">IF((E194="p"),H194," ")</f>
        <v> </v>
      </c>
      <c r="V194" s="17" t="str">
        <f aca="false">IF((E194="t"),H194," ")</f>
        <v> </v>
      </c>
      <c r="W194" s="17" t="str">
        <f aca="false">IF((E194="q"),H194," ")</f>
        <v> </v>
      </c>
      <c r="X194" s="17" t="str">
        <f aca="false">IF((E194="m"),H194," ")</f>
        <v> </v>
      </c>
      <c r="Y194" s="17" t="str">
        <f aca="false">IF((E194="u"),H194," ")</f>
        <v> </v>
      </c>
      <c r="Z194" s="17" t="str">
        <f aca="false">IF((E194="a"),H194," ")</f>
        <v> </v>
      </c>
      <c r="AA194" s="17" t="str">
        <f aca="false">IF((E194="g"),H194," ")</f>
        <v> </v>
      </c>
      <c r="AB194" s="17" t="str">
        <f aca="false">IF((E194="h"),H194," ")</f>
        <v> </v>
      </c>
      <c r="AC194" s="30" t="str">
        <f aca="false">IF((E194="v"),H194," ")</f>
        <v> </v>
      </c>
      <c r="AD194" s="30" t="str">
        <f aca="false">IF((E194="n"),H194," ")</f>
        <v> </v>
      </c>
      <c r="AE194" s="17" t="str">
        <f aca="false">IF((E194="f"),H194," ")</f>
        <v> </v>
      </c>
      <c r="AF194" s="17" t="str">
        <f aca="false">IF((E194="l"),H194," ")</f>
        <v> </v>
      </c>
      <c r="AG194" s="17" t="str">
        <f aca="false">IF((E194="y"),H194," ")</f>
        <v> </v>
      </c>
      <c r="AH194" s="17" t="str">
        <f aca="false">IF((E194="z"),H194," ")</f>
        <v> </v>
      </c>
      <c r="AI194" s="17" t="str">
        <f aca="false">IF((E194="fa"),H194," ")</f>
        <v> </v>
      </c>
      <c r="AJ194" s="17" t="str">
        <f aca="false">IF((E194="e"),H194," ")</f>
        <v> </v>
      </c>
    </row>
    <row r="195" customFormat="false" ht="12" hidden="false" customHeight="false" outlineLevel="0" collapsed="false">
      <c r="A195" s="28"/>
      <c r="E195" s="2" t="str">
        <f aca="false">IF((F195&lt;&gt;0),"Enter Letter"," ")</f>
        <v> </v>
      </c>
      <c r="F195" s="30"/>
      <c r="G195" s="6" t="str">
        <f aca="false">IF(F195&lt;&gt;0,F195*G$2/(100+G$2)," ")</f>
        <v> </v>
      </c>
      <c r="H195" s="6" t="str">
        <f aca="false">IF((F195&lt;&gt;0),F195-G195," ")</f>
        <v> </v>
      </c>
      <c r="I195" s="5"/>
      <c r="L195" s="7" t="str">
        <f aca="false">IF(F195&lt;&gt;0,F195-K195," ")</f>
        <v> </v>
      </c>
      <c r="M195" s="8" t="str">
        <f aca="false">IF((F195-K195)&lt;&gt;0,M$1-A195," ")</f>
        <v> </v>
      </c>
      <c r="N195" s="5"/>
      <c r="O195" s="17" t="str">
        <f aca="false">IF((E195="s"),H195," ")</f>
        <v> </v>
      </c>
      <c r="P195" s="17" t="str">
        <f aca="false">IF((E195="c"),H195," ")</f>
        <v> </v>
      </c>
      <c r="Q195" s="17" t="str">
        <f aca="false">IF((E195="o"),H195," ")</f>
        <v> </v>
      </c>
      <c r="R195" s="17" t="str">
        <f aca="false">IF((E195="d"),H195," ")</f>
        <v> </v>
      </c>
      <c r="S195" s="17" t="str">
        <f aca="false">IF((E195="w"),H195," ")</f>
        <v> </v>
      </c>
      <c r="T195" s="17" t="str">
        <f aca="false">IF((E195="r"),H195," ")</f>
        <v> </v>
      </c>
      <c r="U195" s="17" t="str">
        <f aca="false">IF((E195="p"),H195," ")</f>
        <v> </v>
      </c>
      <c r="V195" s="17" t="str">
        <f aca="false">IF((E195="t"),H195," ")</f>
        <v> </v>
      </c>
      <c r="W195" s="17" t="str">
        <f aca="false">IF((E195="q"),H195," ")</f>
        <v> </v>
      </c>
      <c r="X195" s="17" t="str">
        <f aca="false">IF((E195="m"),H195," ")</f>
        <v> </v>
      </c>
      <c r="Y195" s="17" t="str">
        <f aca="false">IF((E195="u"),H195," ")</f>
        <v> </v>
      </c>
      <c r="Z195" s="17" t="str">
        <f aca="false">IF((E195="a"),H195," ")</f>
        <v> </v>
      </c>
      <c r="AA195" s="17" t="str">
        <f aca="false">IF((E195="g"),H195," ")</f>
        <v> </v>
      </c>
      <c r="AB195" s="17" t="str">
        <f aca="false">IF((E195="h"),H195," ")</f>
        <v> </v>
      </c>
      <c r="AC195" s="30" t="str">
        <f aca="false">IF((E195="v"),H195," ")</f>
        <v> </v>
      </c>
      <c r="AD195" s="30" t="str">
        <f aca="false">IF((E195="n"),H195," ")</f>
        <v> </v>
      </c>
      <c r="AE195" s="17" t="str">
        <f aca="false">IF((E195="f"),H195," ")</f>
        <v> </v>
      </c>
      <c r="AF195" s="17" t="str">
        <f aca="false">IF((E195="l"),H195," ")</f>
        <v> </v>
      </c>
      <c r="AG195" s="17" t="str">
        <f aca="false">IF((E195="y"),H195," ")</f>
        <v> </v>
      </c>
      <c r="AH195" s="17" t="str">
        <f aca="false">IF((E195="z"),H195," ")</f>
        <v> </v>
      </c>
      <c r="AI195" s="17" t="str">
        <f aca="false">IF((E195="fa"),H195," ")</f>
        <v> </v>
      </c>
      <c r="AJ195" s="17" t="str">
        <f aca="false">IF((E195="e"),H195," ")</f>
        <v> </v>
      </c>
    </row>
    <row r="196" customFormat="false" ht="12" hidden="false" customHeight="false" outlineLevel="0" collapsed="false">
      <c r="A196" s="28"/>
      <c r="E196" s="2" t="str">
        <f aca="false">IF((F196&lt;&gt;0),"Enter Letter"," ")</f>
        <v> </v>
      </c>
      <c r="F196" s="30"/>
      <c r="G196" s="6" t="str">
        <f aca="false">IF(F196&lt;&gt;0,F196*G$2/(100+G$2)," ")</f>
        <v> </v>
      </c>
      <c r="H196" s="6" t="str">
        <f aca="false">IF((F196&lt;&gt;0),F196-G196," ")</f>
        <v> </v>
      </c>
      <c r="I196" s="5"/>
      <c r="L196" s="7" t="str">
        <f aca="false">IF(F196&lt;&gt;0,F196-K196," ")</f>
        <v> </v>
      </c>
      <c r="M196" s="8" t="str">
        <f aca="false">IF((F196-K196)&lt;&gt;0,M$1-A196," ")</f>
        <v> </v>
      </c>
      <c r="N196" s="5"/>
      <c r="O196" s="17" t="str">
        <f aca="false">IF((E196="s"),H196," ")</f>
        <v> </v>
      </c>
      <c r="P196" s="17" t="str">
        <f aca="false">IF((E196="c"),H196," ")</f>
        <v> </v>
      </c>
      <c r="Q196" s="17" t="str">
        <f aca="false">IF((E196="o"),H196," ")</f>
        <v> </v>
      </c>
      <c r="R196" s="17" t="str">
        <f aca="false">IF((E196="d"),H196," ")</f>
        <v> </v>
      </c>
      <c r="S196" s="17" t="str">
        <f aca="false">IF((E196="w"),H196," ")</f>
        <v> </v>
      </c>
      <c r="T196" s="17" t="str">
        <f aca="false">IF((E196="r"),H196," ")</f>
        <v> </v>
      </c>
      <c r="U196" s="17" t="str">
        <f aca="false">IF((E196="p"),H196," ")</f>
        <v> </v>
      </c>
      <c r="V196" s="17" t="str">
        <f aca="false">IF((E196="t"),H196," ")</f>
        <v> </v>
      </c>
      <c r="W196" s="17" t="str">
        <f aca="false">IF((E196="q"),H196," ")</f>
        <v> </v>
      </c>
      <c r="X196" s="17" t="str">
        <f aca="false">IF((E196="m"),H196," ")</f>
        <v> </v>
      </c>
      <c r="Y196" s="17" t="str">
        <f aca="false">IF((E196="u"),H196," ")</f>
        <v> </v>
      </c>
      <c r="Z196" s="17" t="str">
        <f aca="false">IF((E196="a"),H196," ")</f>
        <v> </v>
      </c>
      <c r="AA196" s="17" t="str">
        <f aca="false">IF((E196="g"),H196," ")</f>
        <v> </v>
      </c>
      <c r="AB196" s="17" t="str">
        <f aca="false">IF((E196="h"),H196," ")</f>
        <v> </v>
      </c>
      <c r="AC196" s="30" t="str">
        <f aca="false">IF((E196="v"),H196," ")</f>
        <v> </v>
      </c>
      <c r="AD196" s="30" t="str">
        <f aca="false">IF((E196="n"),H196," ")</f>
        <v> </v>
      </c>
      <c r="AE196" s="17" t="str">
        <f aca="false">IF((E196="f"),H196," ")</f>
        <v> </v>
      </c>
      <c r="AF196" s="17" t="str">
        <f aca="false">IF((E196="l"),H196," ")</f>
        <v> </v>
      </c>
      <c r="AG196" s="17" t="str">
        <f aca="false">IF((E196="y"),H196," ")</f>
        <v> </v>
      </c>
      <c r="AH196" s="17" t="str">
        <f aca="false">IF((E196="z"),H196," ")</f>
        <v> </v>
      </c>
      <c r="AI196" s="17" t="str">
        <f aca="false">IF((E196="fa"),H196," ")</f>
        <v> </v>
      </c>
      <c r="AJ196" s="17" t="str">
        <f aca="false">IF((E196="e"),H196," ")</f>
        <v> </v>
      </c>
    </row>
    <row r="197" customFormat="false" ht="12" hidden="false" customHeight="false" outlineLevel="0" collapsed="false">
      <c r="A197" s="28"/>
      <c r="E197" s="2" t="str">
        <f aca="false">IF((F197&lt;&gt;0),"Enter Letter"," ")</f>
        <v> </v>
      </c>
      <c r="F197" s="30"/>
      <c r="G197" s="6" t="str">
        <f aca="false">IF(F197&lt;&gt;0,F197*G$2/(100+G$2)," ")</f>
        <v> </v>
      </c>
      <c r="H197" s="6" t="str">
        <f aca="false">IF((F197&lt;&gt;0),F197-G197," ")</f>
        <v> </v>
      </c>
      <c r="I197" s="5"/>
      <c r="L197" s="7" t="str">
        <f aca="false">IF(F197&lt;&gt;0,F197-K197," ")</f>
        <v> </v>
      </c>
      <c r="M197" s="8" t="str">
        <f aca="false">IF((F197-K197)&lt;&gt;0,M$1-A197," ")</f>
        <v> </v>
      </c>
      <c r="N197" s="5"/>
      <c r="O197" s="17" t="str">
        <f aca="false">IF((E197="s"),H197," ")</f>
        <v> </v>
      </c>
      <c r="P197" s="17" t="str">
        <f aca="false">IF((E197="c"),H197," ")</f>
        <v> </v>
      </c>
      <c r="Q197" s="17" t="str">
        <f aca="false">IF((E197="o"),H197," ")</f>
        <v> </v>
      </c>
      <c r="R197" s="17" t="str">
        <f aca="false">IF((E197="d"),H197," ")</f>
        <v> </v>
      </c>
      <c r="S197" s="17" t="str">
        <f aca="false">IF((E197="w"),H197," ")</f>
        <v> </v>
      </c>
      <c r="T197" s="17" t="str">
        <f aca="false">IF((E197="r"),H197," ")</f>
        <v> </v>
      </c>
      <c r="U197" s="17" t="str">
        <f aca="false">IF((E197="p"),H197," ")</f>
        <v> </v>
      </c>
      <c r="V197" s="17" t="str">
        <f aca="false">IF((E197="t"),H197," ")</f>
        <v> </v>
      </c>
      <c r="W197" s="17" t="str">
        <f aca="false">IF((E197="q"),H197," ")</f>
        <v> </v>
      </c>
      <c r="X197" s="17" t="str">
        <f aca="false">IF((E197="m"),H197," ")</f>
        <v> </v>
      </c>
      <c r="Y197" s="17" t="str">
        <f aca="false">IF((E197="u"),H197," ")</f>
        <v> </v>
      </c>
      <c r="Z197" s="17" t="str">
        <f aca="false">IF((E197="a"),H197," ")</f>
        <v> </v>
      </c>
      <c r="AA197" s="17" t="str">
        <f aca="false">IF((E197="g"),H197," ")</f>
        <v> </v>
      </c>
      <c r="AB197" s="17" t="str">
        <f aca="false">IF((E197="h"),H197," ")</f>
        <v> </v>
      </c>
      <c r="AC197" s="30" t="str">
        <f aca="false">IF((E197="v"),H197," ")</f>
        <v> </v>
      </c>
      <c r="AD197" s="30" t="str">
        <f aca="false">IF((E197="n"),H197," ")</f>
        <v> </v>
      </c>
      <c r="AE197" s="17" t="str">
        <f aca="false">IF((E197="f"),H197," ")</f>
        <v> </v>
      </c>
      <c r="AF197" s="17" t="str">
        <f aca="false">IF((E197="l"),H197," ")</f>
        <v> </v>
      </c>
      <c r="AG197" s="17" t="str">
        <f aca="false">IF((E197="y"),H197," ")</f>
        <v> </v>
      </c>
      <c r="AH197" s="17" t="str">
        <f aca="false">IF((E197="z"),H197," ")</f>
        <v> </v>
      </c>
      <c r="AI197" s="17" t="str">
        <f aca="false">IF((E197="fa"),H197," ")</f>
        <v> </v>
      </c>
      <c r="AJ197" s="17" t="str">
        <f aca="false">IF((E197="e"),H197," ")</f>
        <v> </v>
      </c>
    </row>
    <row r="198" customFormat="false" ht="12" hidden="false" customHeight="false" outlineLevel="0" collapsed="false">
      <c r="A198" s="28"/>
      <c r="E198" s="2" t="str">
        <f aca="false">IF((F198&lt;&gt;0),"Enter Letter"," ")</f>
        <v> </v>
      </c>
      <c r="F198" s="30"/>
      <c r="G198" s="6" t="str">
        <f aca="false">IF(F198&lt;&gt;0,F198*G$2/(100+G$2)," ")</f>
        <v> </v>
      </c>
      <c r="H198" s="6" t="str">
        <f aca="false">IF((F198&lt;&gt;0),F198-G198," ")</f>
        <v> </v>
      </c>
      <c r="I198" s="5"/>
      <c r="L198" s="7" t="str">
        <f aca="false">IF(F198&lt;&gt;0,F198-K198," ")</f>
        <v> </v>
      </c>
      <c r="M198" s="8" t="str">
        <f aca="false">IF((F198-K198)&lt;&gt;0,M$1-A198," ")</f>
        <v> </v>
      </c>
      <c r="N198" s="5"/>
      <c r="O198" s="17" t="str">
        <f aca="false">IF((E198="s"),H198," ")</f>
        <v> </v>
      </c>
      <c r="P198" s="17" t="str">
        <f aca="false">IF((E198="c"),H198," ")</f>
        <v> </v>
      </c>
      <c r="Q198" s="17" t="str">
        <f aca="false">IF((E198="o"),H198," ")</f>
        <v> </v>
      </c>
      <c r="R198" s="17" t="str">
        <f aca="false">IF((E198="d"),H198," ")</f>
        <v> </v>
      </c>
      <c r="S198" s="17" t="str">
        <f aca="false">IF((E198="w"),H198," ")</f>
        <v> </v>
      </c>
      <c r="T198" s="17" t="str">
        <f aca="false">IF((E198="r"),H198," ")</f>
        <v> </v>
      </c>
      <c r="U198" s="17" t="str">
        <f aca="false">IF((E198="p"),H198," ")</f>
        <v> </v>
      </c>
      <c r="V198" s="17" t="str">
        <f aca="false">IF((E198="t"),H198," ")</f>
        <v> </v>
      </c>
      <c r="W198" s="17" t="str">
        <f aca="false">IF((E198="q"),H198," ")</f>
        <v> </v>
      </c>
      <c r="X198" s="17" t="str">
        <f aca="false">IF((E198="m"),H198," ")</f>
        <v> </v>
      </c>
      <c r="Y198" s="17" t="str">
        <f aca="false">IF((E198="u"),H198," ")</f>
        <v> </v>
      </c>
      <c r="Z198" s="17" t="str">
        <f aca="false">IF((E198="a"),H198," ")</f>
        <v> </v>
      </c>
      <c r="AA198" s="17" t="str">
        <f aca="false">IF((E198="g"),H198," ")</f>
        <v> </v>
      </c>
      <c r="AB198" s="17" t="str">
        <f aca="false">IF((E198="h"),H198," ")</f>
        <v> </v>
      </c>
      <c r="AC198" s="30" t="str">
        <f aca="false">IF((E198="v"),H198," ")</f>
        <v> </v>
      </c>
      <c r="AD198" s="30" t="str">
        <f aca="false">IF((E198="n"),H198," ")</f>
        <v> </v>
      </c>
      <c r="AE198" s="17" t="str">
        <f aca="false">IF((E198="f"),H198," ")</f>
        <v> </v>
      </c>
      <c r="AF198" s="17" t="str">
        <f aca="false">IF((E198="l"),H198," ")</f>
        <v> </v>
      </c>
      <c r="AG198" s="17" t="str">
        <f aca="false">IF((E198="y"),H198," ")</f>
        <v> </v>
      </c>
      <c r="AH198" s="17" t="str">
        <f aca="false">IF((E198="z"),H198," ")</f>
        <v> </v>
      </c>
      <c r="AI198" s="17" t="str">
        <f aca="false">IF((E198="fa"),H198," ")</f>
        <v> </v>
      </c>
      <c r="AJ198" s="17" t="str">
        <f aca="false">IF((E198="e"),H198," ")</f>
        <v> </v>
      </c>
    </row>
    <row r="199" customFormat="false" ht="12" hidden="false" customHeight="false" outlineLevel="0" collapsed="false">
      <c r="A199" s="28"/>
      <c r="E199" s="2" t="str">
        <f aca="false">IF((F199&lt;&gt;0),"Enter Letter"," ")</f>
        <v> </v>
      </c>
      <c r="F199" s="30"/>
      <c r="G199" s="6" t="str">
        <f aca="false">IF(F199&lt;&gt;0,F199*G$2/(100+G$2)," ")</f>
        <v> </v>
      </c>
      <c r="H199" s="6" t="str">
        <f aca="false">IF((F199&lt;&gt;0),F199-G199," ")</f>
        <v> </v>
      </c>
      <c r="I199" s="5"/>
      <c r="L199" s="7" t="str">
        <f aca="false">IF(F199&lt;&gt;0,F199-K199," ")</f>
        <v> </v>
      </c>
      <c r="M199" s="8" t="str">
        <f aca="false">IF((F199-K199)&lt;&gt;0,M$1-A199," ")</f>
        <v> </v>
      </c>
      <c r="N199" s="5"/>
      <c r="O199" s="17" t="str">
        <f aca="false">IF((E199="s"),H199," ")</f>
        <v> </v>
      </c>
      <c r="P199" s="17" t="str">
        <f aca="false">IF((E199="c"),H199," ")</f>
        <v> </v>
      </c>
      <c r="Q199" s="17" t="str">
        <f aca="false">IF((E199="o"),H199," ")</f>
        <v> </v>
      </c>
      <c r="R199" s="17" t="str">
        <f aca="false">IF((E199="d"),H199," ")</f>
        <v> </v>
      </c>
      <c r="S199" s="17" t="str">
        <f aca="false">IF((E199="w"),H199," ")</f>
        <v> </v>
      </c>
      <c r="T199" s="17" t="str">
        <f aca="false">IF((E199="r"),H199," ")</f>
        <v> </v>
      </c>
      <c r="U199" s="17" t="str">
        <f aca="false">IF((E199="p"),H199," ")</f>
        <v> </v>
      </c>
      <c r="V199" s="17" t="str">
        <f aca="false">IF((E199="t"),H199," ")</f>
        <v> </v>
      </c>
      <c r="W199" s="17" t="str">
        <f aca="false">IF((E199="q"),H199," ")</f>
        <v> </v>
      </c>
      <c r="X199" s="17" t="str">
        <f aca="false">IF((E199="m"),H199," ")</f>
        <v> </v>
      </c>
      <c r="Y199" s="17" t="str">
        <f aca="false">IF((E199="u"),H199," ")</f>
        <v> </v>
      </c>
      <c r="Z199" s="17" t="str">
        <f aca="false">IF((E199="a"),H199," ")</f>
        <v> </v>
      </c>
      <c r="AA199" s="17" t="str">
        <f aca="false">IF((E199="g"),H199," ")</f>
        <v> </v>
      </c>
      <c r="AB199" s="17" t="str">
        <f aca="false">IF((E199="h"),H199," ")</f>
        <v> </v>
      </c>
      <c r="AC199" s="30" t="str">
        <f aca="false">IF((E199="v"),H199," ")</f>
        <v> </v>
      </c>
      <c r="AD199" s="30" t="str">
        <f aca="false">IF((E199="n"),H199," ")</f>
        <v> </v>
      </c>
      <c r="AE199" s="17" t="str">
        <f aca="false">IF((E199="f"),H199," ")</f>
        <v> </v>
      </c>
      <c r="AF199" s="17" t="str">
        <f aca="false">IF((E199="l"),H199," ")</f>
        <v> </v>
      </c>
      <c r="AG199" s="17" t="str">
        <f aca="false">IF((E199="y"),H199," ")</f>
        <v> </v>
      </c>
      <c r="AH199" s="17" t="str">
        <f aca="false">IF((E199="z"),H199," ")</f>
        <v> </v>
      </c>
      <c r="AI199" s="17" t="str">
        <f aca="false">IF((E199="fa"),H199," ")</f>
        <v> </v>
      </c>
      <c r="AJ199" s="17" t="str">
        <f aca="false">IF((E199="e"),H199," ")</f>
        <v> </v>
      </c>
    </row>
    <row r="200" customFormat="false" ht="12" hidden="false" customHeight="false" outlineLevel="0" collapsed="false">
      <c r="A200" s="28"/>
      <c r="E200" s="2" t="str">
        <f aca="false">IF((F200&lt;&gt;0),"Enter Letter"," ")</f>
        <v> </v>
      </c>
      <c r="F200" s="30"/>
      <c r="G200" s="6" t="str">
        <f aca="false">IF(F200&lt;&gt;0,F200*G$2/(100+G$2)," ")</f>
        <v> </v>
      </c>
      <c r="H200" s="6" t="str">
        <f aca="false">IF((F200&lt;&gt;0),F200-G200," ")</f>
        <v> </v>
      </c>
      <c r="I200" s="5"/>
      <c r="L200" s="7" t="str">
        <f aca="false">IF(F200&lt;&gt;0,F200-K200," ")</f>
        <v> </v>
      </c>
      <c r="M200" s="8" t="str">
        <f aca="false">IF((F200-K200)&lt;&gt;0,M$1-A200," ")</f>
        <v> </v>
      </c>
      <c r="N200" s="5"/>
      <c r="O200" s="17" t="str">
        <f aca="false">IF((E200="s"),H200," ")</f>
        <v> </v>
      </c>
      <c r="P200" s="17" t="str">
        <f aca="false">IF((E200="c"),H200," ")</f>
        <v> </v>
      </c>
      <c r="Q200" s="17" t="str">
        <f aca="false">IF((E200="o"),H200," ")</f>
        <v> </v>
      </c>
      <c r="R200" s="17" t="str">
        <f aca="false">IF((E200="d"),H200," ")</f>
        <v> </v>
      </c>
      <c r="S200" s="17" t="str">
        <f aca="false">IF((E200="w"),H200," ")</f>
        <v> </v>
      </c>
      <c r="T200" s="17" t="str">
        <f aca="false">IF((E200="r"),H200," ")</f>
        <v> </v>
      </c>
      <c r="U200" s="17" t="str">
        <f aca="false">IF((E200="p"),H200," ")</f>
        <v> </v>
      </c>
      <c r="V200" s="17" t="str">
        <f aca="false">IF((E200="t"),H200," ")</f>
        <v> </v>
      </c>
      <c r="W200" s="17" t="str">
        <f aca="false">IF((E200="q"),H200," ")</f>
        <v> </v>
      </c>
      <c r="X200" s="17" t="str">
        <f aca="false">IF((E200="m"),H200," ")</f>
        <v> </v>
      </c>
      <c r="Y200" s="17" t="str">
        <f aca="false">IF((E200="u"),H200," ")</f>
        <v> </v>
      </c>
      <c r="Z200" s="17" t="str">
        <f aca="false">IF((E200="a"),H200," ")</f>
        <v> </v>
      </c>
      <c r="AA200" s="17" t="str">
        <f aca="false">IF((E200="g"),H200," ")</f>
        <v> </v>
      </c>
      <c r="AB200" s="17" t="str">
        <f aca="false">IF((E200="h"),H200," ")</f>
        <v> </v>
      </c>
      <c r="AC200" s="30" t="str">
        <f aca="false">IF((E200="v"),H200," ")</f>
        <v> </v>
      </c>
      <c r="AD200" s="30" t="str">
        <f aca="false">IF((E200="n"),H200," ")</f>
        <v> </v>
      </c>
      <c r="AE200" s="17" t="str">
        <f aca="false">IF((E200="f"),H200," ")</f>
        <v> </v>
      </c>
      <c r="AF200" s="17" t="str">
        <f aca="false">IF((E200="l"),H200," ")</f>
        <v> </v>
      </c>
      <c r="AG200" s="17" t="str">
        <f aca="false">IF((E200="y"),H200," ")</f>
        <v> </v>
      </c>
      <c r="AH200" s="17" t="str">
        <f aca="false">IF((E200="z"),H200," ")</f>
        <v> </v>
      </c>
      <c r="AI200" s="17" t="str">
        <f aca="false">IF((E200="fa"),H200," ")</f>
        <v> </v>
      </c>
      <c r="AJ200" s="17" t="str">
        <f aca="false">IF((E200="e"),H200," ")</f>
        <v> </v>
      </c>
    </row>
    <row r="201" customFormat="false" ht="12" hidden="false" customHeight="false" outlineLevel="0" collapsed="false">
      <c r="A201" s="28"/>
      <c r="E201" s="2" t="str">
        <f aca="false">IF((F201&lt;&gt;0),"Enter Letter"," ")</f>
        <v> </v>
      </c>
      <c r="F201" s="30"/>
      <c r="G201" s="6" t="str">
        <f aca="false">IF(F201&lt;&gt;0,F201*G$2/(100+G$2)," ")</f>
        <v> </v>
      </c>
      <c r="H201" s="6" t="str">
        <f aca="false">IF((F201&lt;&gt;0),F201-G201," ")</f>
        <v> </v>
      </c>
      <c r="I201" s="5"/>
      <c r="L201" s="7" t="str">
        <f aca="false">IF(F201&lt;&gt;0,F201-K201," ")</f>
        <v> </v>
      </c>
      <c r="M201" s="8" t="str">
        <f aca="false">IF((F201-K201)&lt;&gt;0,M$1-A201," ")</f>
        <v> </v>
      </c>
      <c r="N201" s="5"/>
      <c r="O201" s="17" t="str">
        <f aca="false">IF((E201="s"),H201," ")</f>
        <v> </v>
      </c>
      <c r="P201" s="17" t="str">
        <f aca="false">IF((E201="c"),H201," ")</f>
        <v> </v>
      </c>
      <c r="Q201" s="17" t="str">
        <f aca="false">IF((E201="o"),H201," ")</f>
        <v> </v>
      </c>
      <c r="R201" s="17" t="str">
        <f aca="false">IF((E201="d"),H201," ")</f>
        <v> </v>
      </c>
      <c r="S201" s="17" t="str">
        <f aca="false">IF((E201="w"),H201," ")</f>
        <v> </v>
      </c>
      <c r="T201" s="17" t="str">
        <f aca="false">IF((E201="r"),H201," ")</f>
        <v> </v>
      </c>
      <c r="U201" s="17" t="str">
        <f aca="false">IF((E201="p"),H201," ")</f>
        <v> </v>
      </c>
      <c r="V201" s="17" t="str">
        <f aca="false">IF((E201="t"),H201," ")</f>
        <v> </v>
      </c>
      <c r="W201" s="17" t="str">
        <f aca="false">IF((E201="q"),H201," ")</f>
        <v> </v>
      </c>
      <c r="X201" s="17" t="str">
        <f aca="false">IF((E201="m"),H201," ")</f>
        <v> </v>
      </c>
      <c r="Y201" s="17" t="str">
        <f aca="false">IF((E201="u"),H201," ")</f>
        <v> </v>
      </c>
      <c r="Z201" s="17" t="str">
        <f aca="false">IF((E201="a"),H201," ")</f>
        <v> </v>
      </c>
      <c r="AA201" s="17" t="str">
        <f aca="false">IF((E201="g"),H201," ")</f>
        <v> </v>
      </c>
      <c r="AB201" s="17" t="str">
        <f aca="false">IF((E201="h"),H201," ")</f>
        <v> </v>
      </c>
      <c r="AC201" s="30" t="str">
        <f aca="false">IF((E201="v"),H201," ")</f>
        <v> </v>
      </c>
      <c r="AD201" s="30" t="str">
        <f aca="false">IF((E201="n"),H201," ")</f>
        <v> </v>
      </c>
      <c r="AE201" s="17" t="str">
        <f aca="false">IF((E201="f"),H201," ")</f>
        <v> </v>
      </c>
      <c r="AF201" s="17" t="str">
        <f aca="false">IF((E201="l"),H201," ")</f>
        <v> </v>
      </c>
      <c r="AG201" s="17" t="str">
        <f aca="false">IF((E201="y"),H201," ")</f>
        <v> </v>
      </c>
      <c r="AH201" s="17" t="str">
        <f aca="false">IF((E201="z"),H201," ")</f>
        <v> </v>
      </c>
      <c r="AI201" s="17" t="str">
        <f aca="false">IF((E201="fa"),H201," ")</f>
        <v> </v>
      </c>
      <c r="AJ201" s="17" t="str">
        <f aca="false">IF((E201="e"),H201," ")</f>
        <v> </v>
      </c>
    </row>
    <row r="202" customFormat="false" ht="12" hidden="false" customHeight="false" outlineLevel="0" collapsed="false">
      <c r="A202" s="28"/>
      <c r="E202" s="2" t="str">
        <f aca="false">IF((F202&lt;&gt;0),"Enter Letter"," ")</f>
        <v> </v>
      </c>
      <c r="F202" s="30"/>
      <c r="G202" s="6" t="str">
        <f aca="false">IF(F202&lt;&gt;0,F202*G$2/(100+G$2)," ")</f>
        <v> </v>
      </c>
      <c r="H202" s="6" t="str">
        <f aca="false">IF((F202&lt;&gt;0),F202-G202," ")</f>
        <v> </v>
      </c>
      <c r="I202" s="5"/>
      <c r="L202" s="7" t="str">
        <f aca="false">IF(F202&lt;&gt;0,F202-K202," ")</f>
        <v> </v>
      </c>
      <c r="M202" s="8" t="str">
        <f aca="false">IF((F202-K202)&lt;&gt;0,M$1-A202," ")</f>
        <v> </v>
      </c>
      <c r="N202" s="5"/>
      <c r="O202" s="17" t="str">
        <f aca="false">IF((E202="s"),H202," ")</f>
        <v> </v>
      </c>
      <c r="P202" s="17" t="str">
        <f aca="false">IF((E202="c"),H202," ")</f>
        <v> </v>
      </c>
      <c r="Q202" s="17" t="str">
        <f aca="false">IF((E202="o"),H202," ")</f>
        <v> </v>
      </c>
      <c r="R202" s="17" t="str">
        <f aca="false">IF((E202="d"),H202," ")</f>
        <v> </v>
      </c>
      <c r="S202" s="17" t="str">
        <f aca="false">IF((E202="w"),H202," ")</f>
        <v> </v>
      </c>
      <c r="T202" s="17" t="str">
        <f aca="false">IF((E202="r"),H202," ")</f>
        <v> </v>
      </c>
      <c r="U202" s="17" t="str">
        <f aca="false">IF((E202="p"),H202," ")</f>
        <v> </v>
      </c>
      <c r="V202" s="17" t="str">
        <f aca="false">IF((E202="t"),H202," ")</f>
        <v> </v>
      </c>
      <c r="W202" s="17" t="str">
        <f aca="false">IF((E202="q"),H202," ")</f>
        <v> </v>
      </c>
      <c r="X202" s="17" t="str">
        <f aca="false">IF((E202="m"),H202," ")</f>
        <v> </v>
      </c>
      <c r="Y202" s="17" t="str">
        <f aca="false">IF((E202="u"),H202," ")</f>
        <v> </v>
      </c>
      <c r="Z202" s="17" t="str">
        <f aca="false">IF((E202="a"),H202," ")</f>
        <v> </v>
      </c>
      <c r="AA202" s="17" t="str">
        <f aca="false">IF((E202="g"),H202," ")</f>
        <v> </v>
      </c>
      <c r="AB202" s="17" t="str">
        <f aca="false">IF((E202="h"),H202," ")</f>
        <v> </v>
      </c>
      <c r="AC202" s="30" t="str">
        <f aca="false">IF((E202="v"),H202," ")</f>
        <v> </v>
      </c>
      <c r="AD202" s="30" t="str">
        <f aca="false">IF((E202="n"),H202," ")</f>
        <v> </v>
      </c>
      <c r="AE202" s="17" t="str">
        <f aca="false">IF((E202="f"),H202," ")</f>
        <v> </v>
      </c>
      <c r="AF202" s="17" t="str">
        <f aca="false">IF((E202="l"),H202," ")</f>
        <v> </v>
      </c>
      <c r="AG202" s="17" t="str">
        <f aca="false">IF((E202="y"),H202," ")</f>
        <v> </v>
      </c>
      <c r="AH202" s="17" t="str">
        <f aca="false">IF((E202="z"),H202," ")</f>
        <v> </v>
      </c>
      <c r="AI202" s="17" t="str">
        <f aca="false">IF((E202="fa"),H202," ")</f>
        <v> </v>
      </c>
      <c r="AJ202" s="17" t="str">
        <f aca="false">IF((E202="e"),H202," ")</f>
        <v> </v>
      </c>
    </row>
    <row r="203" customFormat="false" ht="12" hidden="false" customHeight="false" outlineLevel="0" collapsed="false">
      <c r="A203" s="28"/>
      <c r="E203" s="2" t="str">
        <f aca="false">IF((F203&lt;&gt;0),"Enter Letter"," ")</f>
        <v> </v>
      </c>
      <c r="F203" s="30"/>
      <c r="G203" s="6" t="str">
        <f aca="false">IF(F203&lt;&gt;0,F203*G$2/(100+G$2)," ")</f>
        <v> </v>
      </c>
      <c r="H203" s="6" t="str">
        <f aca="false">IF((F203&lt;&gt;0),F203-G203," ")</f>
        <v> </v>
      </c>
      <c r="I203" s="5"/>
      <c r="L203" s="7" t="str">
        <f aca="false">IF(F203&lt;&gt;0,F203-K203," ")</f>
        <v> </v>
      </c>
      <c r="M203" s="8" t="str">
        <f aca="false">IF((F203-K203)&lt;&gt;0,M$1-A203," ")</f>
        <v> </v>
      </c>
      <c r="N203" s="5"/>
      <c r="O203" s="17" t="str">
        <f aca="false">IF((E203="s"),H203," ")</f>
        <v> </v>
      </c>
      <c r="P203" s="17" t="str">
        <f aca="false">IF((E203="c"),H203," ")</f>
        <v> </v>
      </c>
      <c r="Q203" s="17" t="str">
        <f aca="false">IF((E203="o"),H203," ")</f>
        <v> </v>
      </c>
      <c r="R203" s="17" t="str">
        <f aca="false">IF((E203="d"),H203," ")</f>
        <v> </v>
      </c>
      <c r="S203" s="17" t="str">
        <f aca="false">IF((E203="w"),H203," ")</f>
        <v> </v>
      </c>
      <c r="T203" s="17" t="str">
        <f aca="false">IF((E203="r"),H203," ")</f>
        <v> </v>
      </c>
      <c r="U203" s="17" t="str">
        <f aca="false">IF((E203="p"),H203," ")</f>
        <v> </v>
      </c>
      <c r="V203" s="17" t="str">
        <f aca="false">IF((E203="t"),H203," ")</f>
        <v> </v>
      </c>
      <c r="W203" s="17" t="str">
        <f aca="false">IF((E203="q"),H203," ")</f>
        <v> </v>
      </c>
      <c r="X203" s="17" t="str">
        <f aca="false">IF((E203="m"),H203," ")</f>
        <v> </v>
      </c>
      <c r="Y203" s="17" t="str">
        <f aca="false">IF((E203="u"),H203," ")</f>
        <v> </v>
      </c>
      <c r="Z203" s="17" t="str">
        <f aca="false">IF((E203="a"),H203," ")</f>
        <v> </v>
      </c>
      <c r="AA203" s="17" t="str">
        <f aca="false">IF((E203="g"),H203," ")</f>
        <v> </v>
      </c>
      <c r="AB203" s="17" t="str">
        <f aca="false">IF((E203="h"),H203," ")</f>
        <v> </v>
      </c>
      <c r="AC203" s="30" t="str">
        <f aca="false">IF((E203="v"),H203," ")</f>
        <v> </v>
      </c>
      <c r="AD203" s="30" t="str">
        <f aca="false">IF((E203="n"),H203," ")</f>
        <v> </v>
      </c>
      <c r="AE203" s="17" t="str">
        <f aca="false">IF((E203="f"),H203," ")</f>
        <v> </v>
      </c>
      <c r="AF203" s="17" t="str">
        <f aca="false">IF((E203="l"),H203," ")</f>
        <v> </v>
      </c>
      <c r="AG203" s="17" t="str">
        <f aca="false">IF((E203="y"),H203," ")</f>
        <v> </v>
      </c>
      <c r="AH203" s="17" t="str">
        <f aca="false">IF((E203="z"),H203," ")</f>
        <v> </v>
      </c>
      <c r="AI203" s="17" t="str">
        <f aca="false">IF((E203="fa"),H203," ")</f>
        <v> </v>
      </c>
      <c r="AJ203" s="17" t="str">
        <f aca="false">IF((E203="e"),H203," ")</f>
        <v> </v>
      </c>
    </row>
    <row r="204" customFormat="false" ht="12" hidden="false" customHeight="false" outlineLevel="0" collapsed="false">
      <c r="A204" s="28"/>
      <c r="E204" s="2" t="str">
        <f aca="false">IF((F204&lt;&gt;0),"Enter Letter"," ")</f>
        <v> </v>
      </c>
      <c r="F204" s="30"/>
      <c r="G204" s="6" t="str">
        <f aca="false">IF(F204&lt;&gt;0,F204*G$2/(100+G$2)," ")</f>
        <v> </v>
      </c>
      <c r="H204" s="6" t="str">
        <f aca="false">IF((F204&lt;&gt;0),F204-G204," ")</f>
        <v> </v>
      </c>
      <c r="I204" s="5"/>
      <c r="L204" s="7" t="str">
        <f aca="false">IF(F204&lt;&gt;0,F204-K204," ")</f>
        <v> </v>
      </c>
      <c r="M204" s="8" t="str">
        <f aca="false">IF((F204-K204)&lt;&gt;0,M$1-A204," ")</f>
        <v> </v>
      </c>
      <c r="N204" s="5"/>
      <c r="O204" s="17" t="str">
        <f aca="false">IF((E204="s"),H204," ")</f>
        <v> </v>
      </c>
      <c r="P204" s="17" t="str">
        <f aca="false">IF((E204="c"),H204," ")</f>
        <v> </v>
      </c>
      <c r="Q204" s="17" t="str">
        <f aca="false">IF((E204="o"),H204," ")</f>
        <v> </v>
      </c>
      <c r="R204" s="17" t="str">
        <f aca="false">IF((E204="d"),H204," ")</f>
        <v> </v>
      </c>
      <c r="S204" s="17" t="str">
        <f aca="false">IF((E204="w"),H204," ")</f>
        <v> </v>
      </c>
      <c r="T204" s="17" t="str">
        <f aca="false">IF((E204="r"),H204," ")</f>
        <v> </v>
      </c>
      <c r="U204" s="17" t="str">
        <f aca="false">IF((E204="p"),H204," ")</f>
        <v> </v>
      </c>
      <c r="V204" s="17" t="str">
        <f aca="false">IF((E204="t"),H204," ")</f>
        <v> </v>
      </c>
      <c r="W204" s="17" t="str">
        <f aca="false">IF((E204="q"),H204," ")</f>
        <v> </v>
      </c>
      <c r="X204" s="17" t="str">
        <f aca="false">IF((E204="m"),H204," ")</f>
        <v> </v>
      </c>
      <c r="Y204" s="17" t="str">
        <f aca="false">IF((E204="u"),H204," ")</f>
        <v> </v>
      </c>
      <c r="Z204" s="17" t="str">
        <f aca="false">IF((E204="a"),H204," ")</f>
        <v> </v>
      </c>
      <c r="AA204" s="17" t="str">
        <f aca="false">IF((E204="g"),H204," ")</f>
        <v> </v>
      </c>
      <c r="AB204" s="17" t="str">
        <f aca="false">IF((E204="h"),H204," ")</f>
        <v> </v>
      </c>
      <c r="AC204" s="30" t="str">
        <f aca="false">IF((E204="v"),H204," ")</f>
        <v> </v>
      </c>
      <c r="AD204" s="30" t="str">
        <f aca="false">IF((E204="n"),H204," ")</f>
        <v> </v>
      </c>
      <c r="AE204" s="17" t="str">
        <f aca="false">IF((E204="f"),H204," ")</f>
        <v> </v>
      </c>
      <c r="AF204" s="17" t="str">
        <f aca="false">IF((E204="l"),H204," ")</f>
        <v> </v>
      </c>
      <c r="AG204" s="17" t="str">
        <f aca="false">IF((E204="y"),H204," ")</f>
        <v> </v>
      </c>
      <c r="AH204" s="17" t="str">
        <f aca="false">IF((E204="z"),H204," ")</f>
        <v> </v>
      </c>
      <c r="AI204" s="17" t="str">
        <f aca="false">IF((E204="fa"),H204," ")</f>
        <v> </v>
      </c>
      <c r="AJ204" s="17" t="str">
        <f aca="false">IF((E204="e"),H204," ")</f>
        <v> </v>
      </c>
    </row>
    <row r="205" customFormat="false" ht="12" hidden="false" customHeight="false" outlineLevel="0" collapsed="false">
      <c r="A205" s="28"/>
      <c r="E205" s="2" t="str">
        <f aca="false">IF((F205&lt;&gt;0),"Enter Letter"," ")</f>
        <v> </v>
      </c>
      <c r="F205" s="30"/>
      <c r="G205" s="6" t="str">
        <f aca="false">IF(F205&lt;&gt;0,F205*G$2/(100+G$2)," ")</f>
        <v> </v>
      </c>
      <c r="H205" s="6" t="str">
        <f aca="false">IF((F205&lt;&gt;0),F205-G205," ")</f>
        <v> </v>
      </c>
      <c r="I205" s="5"/>
      <c r="L205" s="7" t="str">
        <f aca="false">IF(F205&lt;&gt;0,F205-K205," ")</f>
        <v> </v>
      </c>
      <c r="M205" s="8" t="str">
        <f aca="false">IF((F205-K205)&lt;&gt;0,M$1-A205," ")</f>
        <v> </v>
      </c>
      <c r="N205" s="5"/>
      <c r="O205" s="17" t="str">
        <f aca="false">IF((E205="s"),H205," ")</f>
        <v> </v>
      </c>
      <c r="P205" s="17" t="str">
        <f aca="false">IF((E205="c"),H205," ")</f>
        <v> </v>
      </c>
      <c r="Q205" s="17" t="str">
        <f aca="false">IF((E205="o"),H205," ")</f>
        <v> </v>
      </c>
      <c r="R205" s="17" t="str">
        <f aca="false">IF((E205="d"),H205," ")</f>
        <v> </v>
      </c>
      <c r="S205" s="17" t="str">
        <f aca="false">IF((E205="w"),H205," ")</f>
        <v> </v>
      </c>
      <c r="T205" s="17" t="str">
        <f aca="false">IF((E205="r"),H205," ")</f>
        <v> </v>
      </c>
      <c r="U205" s="17" t="str">
        <f aca="false">IF((E205="p"),H205," ")</f>
        <v> </v>
      </c>
      <c r="V205" s="17" t="str">
        <f aca="false">IF((E205="t"),H205," ")</f>
        <v> </v>
      </c>
      <c r="W205" s="17" t="str">
        <f aca="false">IF((E205="q"),H205," ")</f>
        <v> </v>
      </c>
      <c r="X205" s="17" t="str">
        <f aca="false">IF((E205="m"),H205," ")</f>
        <v> </v>
      </c>
      <c r="Y205" s="17" t="str">
        <f aca="false">IF((E205="u"),H205," ")</f>
        <v> </v>
      </c>
      <c r="Z205" s="17" t="str">
        <f aca="false">IF((E205="a"),H205," ")</f>
        <v> </v>
      </c>
      <c r="AA205" s="17" t="str">
        <f aca="false">IF((E205="g"),H205," ")</f>
        <v> </v>
      </c>
      <c r="AB205" s="17" t="str">
        <f aca="false">IF((E205="h"),H205," ")</f>
        <v> </v>
      </c>
      <c r="AC205" s="30" t="str">
        <f aca="false">IF((E205="v"),H205," ")</f>
        <v> </v>
      </c>
      <c r="AD205" s="30" t="str">
        <f aca="false">IF((E205="n"),H205," ")</f>
        <v> </v>
      </c>
      <c r="AE205" s="17" t="str">
        <f aca="false">IF((E205="f"),H205," ")</f>
        <v> </v>
      </c>
      <c r="AF205" s="17" t="str">
        <f aca="false">IF((E205="l"),H205," ")</f>
        <v> </v>
      </c>
      <c r="AG205" s="17" t="str">
        <f aca="false">IF((E205="y"),H205," ")</f>
        <v> </v>
      </c>
      <c r="AH205" s="17" t="str">
        <f aca="false">IF((E205="z"),H205," ")</f>
        <v> </v>
      </c>
      <c r="AI205" s="17" t="str">
        <f aca="false">IF((E205="fa"),H205," ")</f>
        <v> </v>
      </c>
      <c r="AJ205" s="17" t="str">
        <f aca="false">IF((E205="e"),H205," ")</f>
        <v> </v>
      </c>
    </row>
    <row r="206" customFormat="false" ht="12" hidden="false" customHeight="false" outlineLevel="0" collapsed="false">
      <c r="A206" s="28"/>
      <c r="E206" s="2" t="str">
        <f aca="false">IF((F206&lt;&gt;0),"Enter Letter"," ")</f>
        <v> </v>
      </c>
      <c r="F206" s="30"/>
      <c r="G206" s="6" t="str">
        <f aca="false">IF(F206&lt;&gt;0,F206*G$2/(100+G$2)," ")</f>
        <v> </v>
      </c>
      <c r="H206" s="6" t="str">
        <f aca="false">IF((F206&lt;&gt;0),F206-G206," ")</f>
        <v> </v>
      </c>
      <c r="I206" s="5"/>
      <c r="L206" s="7" t="str">
        <f aca="false">IF(F206&lt;&gt;0,F206-K206," ")</f>
        <v> </v>
      </c>
      <c r="M206" s="8" t="str">
        <f aca="false">IF((F206-K206)&lt;&gt;0,M$1-A206," ")</f>
        <v> </v>
      </c>
      <c r="N206" s="5"/>
      <c r="O206" s="17" t="str">
        <f aca="false">IF((E206="s"),H206," ")</f>
        <v> </v>
      </c>
      <c r="P206" s="17" t="str">
        <f aca="false">IF((E206="c"),H206," ")</f>
        <v> </v>
      </c>
      <c r="Q206" s="17" t="str">
        <f aca="false">IF((E206="o"),H206," ")</f>
        <v> </v>
      </c>
      <c r="R206" s="17" t="str">
        <f aca="false">IF((E206="d"),H206," ")</f>
        <v> </v>
      </c>
      <c r="S206" s="17" t="str">
        <f aca="false">IF((E206="w"),H206," ")</f>
        <v> </v>
      </c>
      <c r="T206" s="17" t="str">
        <f aca="false">IF((E206="r"),H206," ")</f>
        <v> </v>
      </c>
      <c r="U206" s="17" t="str">
        <f aca="false">IF((E206="p"),H206," ")</f>
        <v> </v>
      </c>
      <c r="V206" s="17" t="str">
        <f aca="false">IF((E206="t"),H206," ")</f>
        <v> </v>
      </c>
      <c r="W206" s="17" t="str">
        <f aca="false">IF((E206="q"),H206," ")</f>
        <v> </v>
      </c>
      <c r="X206" s="17" t="str">
        <f aca="false">IF((E206="m"),H206," ")</f>
        <v> </v>
      </c>
      <c r="Y206" s="17" t="str">
        <f aca="false">IF((E206="u"),H206," ")</f>
        <v> </v>
      </c>
      <c r="Z206" s="17" t="str">
        <f aca="false">IF((E206="a"),H206," ")</f>
        <v> </v>
      </c>
      <c r="AA206" s="17" t="str">
        <f aca="false">IF((E206="g"),H206," ")</f>
        <v> </v>
      </c>
      <c r="AB206" s="17" t="str">
        <f aca="false">IF((E206="h"),H206," ")</f>
        <v> </v>
      </c>
      <c r="AC206" s="30" t="str">
        <f aca="false">IF((E206="v"),H206," ")</f>
        <v> </v>
      </c>
      <c r="AD206" s="30" t="str">
        <f aca="false">IF((E206="n"),H206," ")</f>
        <v> </v>
      </c>
      <c r="AE206" s="17" t="str">
        <f aca="false">IF((E206="f"),H206," ")</f>
        <v> </v>
      </c>
      <c r="AF206" s="17" t="str">
        <f aca="false">IF((E206="l"),H206," ")</f>
        <v> </v>
      </c>
      <c r="AG206" s="17" t="str">
        <f aca="false">IF((E206="y"),H206," ")</f>
        <v> </v>
      </c>
      <c r="AH206" s="17" t="str">
        <f aca="false">IF((E206="z"),H206," ")</f>
        <v> </v>
      </c>
      <c r="AI206" s="17" t="str">
        <f aca="false">IF((E206="fa"),H206," ")</f>
        <v> </v>
      </c>
      <c r="AJ206" s="17" t="str">
        <f aca="false">IF((E206="e"),H206," ")</f>
        <v> </v>
      </c>
    </row>
    <row r="207" customFormat="false" ht="12" hidden="false" customHeight="false" outlineLevel="0" collapsed="false">
      <c r="A207" s="28"/>
      <c r="E207" s="2" t="str">
        <f aca="false">IF((F207&lt;&gt;0),"Enter Letter"," ")</f>
        <v> </v>
      </c>
      <c r="F207" s="30"/>
      <c r="G207" s="6" t="str">
        <f aca="false">IF(F207&lt;&gt;0,F207*G$2/(100+G$2)," ")</f>
        <v> </v>
      </c>
      <c r="H207" s="6" t="str">
        <f aca="false">IF((F207&lt;&gt;0),F207-G207," ")</f>
        <v> </v>
      </c>
      <c r="I207" s="5"/>
      <c r="L207" s="7" t="str">
        <f aca="false">IF(F207&lt;&gt;0,F207-K207," ")</f>
        <v> </v>
      </c>
      <c r="M207" s="8" t="str">
        <f aca="false">IF((F207-K207)&lt;&gt;0,M$1-A207," ")</f>
        <v> </v>
      </c>
      <c r="N207" s="5"/>
      <c r="O207" s="17" t="str">
        <f aca="false">IF((E207="s"),H207," ")</f>
        <v> </v>
      </c>
      <c r="P207" s="17" t="str">
        <f aca="false">IF((E207="c"),H207," ")</f>
        <v> </v>
      </c>
      <c r="Q207" s="17" t="str">
        <f aca="false">IF((E207="o"),H207," ")</f>
        <v> </v>
      </c>
      <c r="R207" s="17" t="str">
        <f aca="false">IF((E207="d"),H207," ")</f>
        <v> </v>
      </c>
      <c r="S207" s="17" t="str">
        <f aca="false">IF((E207="w"),H207," ")</f>
        <v> </v>
      </c>
      <c r="T207" s="17" t="str">
        <f aca="false">IF((E207="r"),H207," ")</f>
        <v> </v>
      </c>
      <c r="U207" s="17" t="str">
        <f aca="false">IF((E207="p"),H207," ")</f>
        <v> </v>
      </c>
      <c r="V207" s="17" t="str">
        <f aca="false">IF((E207="t"),H207," ")</f>
        <v> </v>
      </c>
      <c r="W207" s="17" t="str">
        <f aca="false">IF((E207="q"),H207," ")</f>
        <v> </v>
      </c>
      <c r="X207" s="17" t="str">
        <f aca="false">IF((E207="m"),H207," ")</f>
        <v> </v>
      </c>
      <c r="Y207" s="17" t="str">
        <f aca="false">IF((E207="u"),H207," ")</f>
        <v> </v>
      </c>
      <c r="Z207" s="17" t="str">
        <f aca="false">IF((E207="a"),H207," ")</f>
        <v> </v>
      </c>
      <c r="AA207" s="17" t="str">
        <f aca="false">IF((E207="g"),H207," ")</f>
        <v> </v>
      </c>
      <c r="AB207" s="17" t="str">
        <f aca="false">IF((E207="h"),H207," ")</f>
        <v> </v>
      </c>
      <c r="AC207" s="30" t="str">
        <f aca="false">IF((E207="v"),H207," ")</f>
        <v> </v>
      </c>
      <c r="AD207" s="30" t="str">
        <f aca="false">IF((E207="n"),H207," ")</f>
        <v> </v>
      </c>
      <c r="AE207" s="17" t="str">
        <f aca="false">IF((E207="f"),H207," ")</f>
        <v> </v>
      </c>
      <c r="AF207" s="17" t="str">
        <f aca="false">IF((E207="l"),H207," ")</f>
        <v> </v>
      </c>
      <c r="AG207" s="17" t="str">
        <f aca="false">IF((E207="y"),H207," ")</f>
        <v> </v>
      </c>
      <c r="AH207" s="17" t="str">
        <f aca="false">IF((E207="z"),H207," ")</f>
        <v> </v>
      </c>
      <c r="AI207" s="17" t="str">
        <f aca="false">IF((E207="fa"),H207," ")</f>
        <v> </v>
      </c>
      <c r="AJ207" s="17" t="str">
        <f aca="false">IF((E207="e"),H207," ")</f>
        <v> </v>
      </c>
    </row>
    <row r="208" customFormat="false" ht="12" hidden="false" customHeight="false" outlineLevel="0" collapsed="false">
      <c r="A208" s="28"/>
      <c r="E208" s="2" t="str">
        <f aca="false">IF((F208&lt;&gt;0),"Enter Letter"," ")</f>
        <v> </v>
      </c>
      <c r="F208" s="30"/>
      <c r="G208" s="6" t="str">
        <f aca="false">IF(F208&lt;&gt;0,F208*G$2/(100+G$2)," ")</f>
        <v> </v>
      </c>
      <c r="H208" s="6" t="str">
        <f aca="false">IF((F208&lt;&gt;0),F208-G208," ")</f>
        <v> </v>
      </c>
      <c r="I208" s="5"/>
      <c r="L208" s="7" t="str">
        <f aca="false">IF(F208&lt;&gt;0,F208-K208," ")</f>
        <v> </v>
      </c>
      <c r="M208" s="8" t="str">
        <f aca="false">IF((F208-K208)&lt;&gt;0,M$1-A208," ")</f>
        <v> </v>
      </c>
      <c r="N208" s="5"/>
      <c r="O208" s="17" t="str">
        <f aca="false">IF((E208="s"),H208," ")</f>
        <v> </v>
      </c>
      <c r="P208" s="17" t="str">
        <f aca="false">IF((E208="c"),H208," ")</f>
        <v> </v>
      </c>
      <c r="Q208" s="17" t="str">
        <f aca="false">IF((E208="o"),H208," ")</f>
        <v> </v>
      </c>
      <c r="R208" s="17" t="str">
        <f aca="false">IF((E208="d"),H208," ")</f>
        <v> </v>
      </c>
      <c r="S208" s="17" t="str">
        <f aca="false">IF((E208="w"),H208," ")</f>
        <v> </v>
      </c>
      <c r="T208" s="17" t="str">
        <f aca="false">IF((E208="r"),H208," ")</f>
        <v> </v>
      </c>
      <c r="U208" s="17" t="str">
        <f aca="false">IF((E208="p"),H208," ")</f>
        <v> </v>
      </c>
      <c r="V208" s="17" t="str">
        <f aca="false">IF((E208="t"),H208," ")</f>
        <v> </v>
      </c>
      <c r="W208" s="17" t="str">
        <f aca="false">IF((E208="q"),H208," ")</f>
        <v> </v>
      </c>
      <c r="X208" s="17" t="str">
        <f aca="false">IF((E208="m"),H208," ")</f>
        <v> </v>
      </c>
      <c r="Y208" s="17" t="str">
        <f aca="false">IF((E208="u"),H208," ")</f>
        <v> </v>
      </c>
      <c r="Z208" s="17" t="str">
        <f aca="false">IF((E208="a"),H208," ")</f>
        <v> </v>
      </c>
      <c r="AA208" s="17" t="str">
        <f aca="false">IF((E208="g"),H208," ")</f>
        <v> </v>
      </c>
      <c r="AB208" s="17" t="str">
        <f aca="false">IF((E208="h"),H208," ")</f>
        <v> </v>
      </c>
      <c r="AC208" s="30" t="str">
        <f aca="false">IF((E208="v"),H208," ")</f>
        <v> </v>
      </c>
      <c r="AD208" s="30" t="str">
        <f aca="false">IF((E208="n"),H208," ")</f>
        <v> </v>
      </c>
      <c r="AE208" s="17" t="str">
        <f aca="false">IF((E208="f"),H208," ")</f>
        <v> </v>
      </c>
      <c r="AF208" s="17" t="str">
        <f aca="false">IF((E208="l"),H208," ")</f>
        <v> </v>
      </c>
      <c r="AG208" s="17" t="str">
        <f aca="false">IF((E208="y"),H208," ")</f>
        <v> </v>
      </c>
      <c r="AH208" s="17" t="str">
        <f aca="false">IF((E208="z"),H208," ")</f>
        <v> </v>
      </c>
      <c r="AI208" s="17" t="str">
        <f aca="false">IF((E208="fa"),H208," ")</f>
        <v> </v>
      </c>
      <c r="AJ208" s="17" t="str">
        <f aca="false">IF((E208="e"),H208," ")</f>
        <v> </v>
      </c>
    </row>
    <row r="209" customFormat="false" ht="12" hidden="false" customHeight="false" outlineLevel="0" collapsed="false">
      <c r="A209" s="28"/>
      <c r="E209" s="2" t="str">
        <f aca="false">IF((F209&lt;&gt;0),"Enter Letter"," ")</f>
        <v> </v>
      </c>
      <c r="F209" s="30"/>
      <c r="G209" s="6" t="str">
        <f aca="false">IF(F209&lt;&gt;0,F209*G$2/(100+G$2)," ")</f>
        <v> </v>
      </c>
      <c r="H209" s="6" t="str">
        <f aca="false">IF((F209&lt;&gt;0),F209-G209," ")</f>
        <v> </v>
      </c>
      <c r="I209" s="5"/>
      <c r="L209" s="7" t="str">
        <f aca="false">IF(F209&lt;&gt;0,F209-K209," ")</f>
        <v> </v>
      </c>
      <c r="M209" s="8" t="str">
        <f aca="false">IF((F209-K209)&lt;&gt;0,M$1-A209," ")</f>
        <v> </v>
      </c>
      <c r="N209" s="5"/>
      <c r="O209" s="17" t="str">
        <f aca="false">IF((E209="s"),H209," ")</f>
        <v> </v>
      </c>
      <c r="P209" s="17" t="str">
        <f aca="false">IF((E209="c"),H209," ")</f>
        <v> </v>
      </c>
      <c r="Q209" s="17" t="str">
        <f aca="false">IF((E209="o"),H209," ")</f>
        <v> </v>
      </c>
      <c r="R209" s="17" t="str">
        <f aca="false">IF((E209="d"),H209," ")</f>
        <v> </v>
      </c>
      <c r="S209" s="17" t="str">
        <f aca="false">IF((E209="w"),H209," ")</f>
        <v> </v>
      </c>
      <c r="T209" s="17" t="str">
        <f aca="false">IF((E209="r"),H209," ")</f>
        <v> </v>
      </c>
      <c r="U209" s="17" t="str">
        <f aca="false">IF((E209="p"),H209," ")</f>
        <v> </v>
      </c>
      <c r="V209" s="17" t="str">
        <f aca="false">IF((E209="t"),H209," ")</f>
        <v> </v>
      </c>
      <c r="W209" s="17" t="str">
        <f aca="false">IF((E209="q"),H209," ")</f>
        <v> </v>
      </c>
      <c r="X209" s="17" t="str">
        <f aca="false">IF((E209="m"),H209," ")</f>
        <v> </v>
      </c>
      <c r="Y209" s="17" t="str">
        <f aca="false">IF((E209="u"),H209," ")</f>
        <v> </v>
      </c>
      <c r="Z209" s="17" t="str">
        <f aca="false">IF((E209="a"),H209," ")</f>
        <v> </v>
      </c>
      <c r="AA209" s="17" t="str">
        <f aca="false">IF((E209="g"),H209," ")</f>
        <v> </v>
      </c>
      <c r="AB209" s="17" t="str">
        <f aca="false">IF((E209="h"),H209," ")</f>
        <v> </v>
      </c>
      <c r="AC209" s="30" t="str">
        <f aca="false">IF((E209="v"),H209," ")</f>
        <v> </v>
      </c>
      <c r="AD209" s="30" t="str">
        <f aca="false">IF((E209="n"),H209," ")</f>
        <v> </v>
      </c>
      <c r="AE209" s="17" t="str">
        <f aca="false">IF((E209="f"),H209," ")</f>
        <v> </v>
      </c>
      <c r="AF209" s="17" t="str">
        <f aca="false">IF((E209="l"),H209," ")</f>
        <v> </v>
      </c>
      <c r="AG209" s="17" t="str">
        <f aca="false">IF((E209="y"),H209," ")</f>
        <v> </v>
      </c>
      <c r="AH209" s="17" t="str">
        <f aca="false">IF((E209="z"),H209," ")</f>
        <v> </v>
      </c>
      <c r="AI209" s="17" t="str">
        <f aca="false">IF((E209="fa"),H209," ")</f>
        <v> </v>
      </c>
      <c r="AJ209" s="17" t="str">
        <f aca="false">IF((E209="e"),H209," ")</f>
        <v> </v>
      </c>
    </row>
    <row r="210" customFormat="false" ht="12" hidden="false" customHeight="false" outlineLevel="0" collapsed="false">
      <c r="A210" s="28"/>
      <c r="E210" s="2" t="str">
        <f aca="false">IF((F210&lt;&gt;0),"Enter Letter"," ")</f>
        <v> </v>
      </c>
      <c r="F210" s="30"/>
      <c r="G210" s="6" t="str">
        <f aca="false">IF(F210&lt;&gt;0,F210*G$2/(100+G$2)," ")</f>
        <v> </v>
      </c>
      <c r="H210" s="6" t="str">
        <f aca="false">IF((F210&lt;&gt;0),F210-G210," ")</f>
        <v> </v>
      </c>
      <c r="I210" s="5"/>
      <c r="L210" s="7" t="str">
        <f aca="false">IF(F210&lt;&gt;0,F210-K210," ")</f>
        <v> </v>
      </c>
      <c r="M210" s="8" t="str">
        <f aca="false">IF((F210-K210)&lt;&gt;0,M$1-A210," ")</f>
        <v> </v>
      </c>
      <c r="N210" s="5"/>
      <c r="O210" s="17" t="str">
        <f aca="false">IF((E210="s"),H210," ")</f>
        <v> </v>
      </c>
      <c r="P210" s="17" t="str">
        <f aca="false">IF((E210="c"),H210," ")</f>
        <v> </v>
      </c>
      <c r="Q210" s="17" t="str">
        <f aca="false">IF((E210="o"),H210," ")</f>
        <v> </v>
      </c>
      <c r="R210" s="17" t="str">
        <f aca="false">IF((E210="d"),H210," ")</f>
        <v> </v>
      </c>
      <c r="S210" s="17" t="str">
        <f aca="false">IF((E210="w"),H210," ")</f>
        <v> </v>
      </c>
      <c r="T210" s="17" t="str">
        <f aca="false">IF((E210="r"),H210," ")</f>
        <v> </v>
      </c>
      <c r="U210" s="17" t="str">
        <f aca="false">IF((E210="p"),H210," ")</f>
        <v> </v>
      </c>
      <c r="V210" s="17" t="str">
        <f aca="false">IF((E210="t"),H210," ")</f>
        <v> </v>
      </c>
      <c r="W210" s="17" t="str">
        <f aca="false">IF((E210="q"),H210," ")</f>
        <v> </v>
      </c>
      <c r="X210" s="17" t="str">
        <f aca="false">IF((E210="m"),H210," ")</f>
        <v> </v>
      </c>
      <c r="Y210" s="17" t="str">
        <f aca="false">IF((E210="u"),H210," ")</f>
        <v> </v>
      </c>
      <c r="Z210" s="17" t="str">
        <f aca="false">IF((E210="a"),H210," ")</f>
        <v> </v>
      </c>
      <c r="AA210" s="17" t="str">
        <f aca="false">IF((E210="g"),H210," ")</f>
        <v> </v>
      </c>
      <c r="AB210" s="17" t="str">
        <f aca="false">IF((E210="h"),H210," ")</f>
        <v> </v>
      </c>
      <c r="AC210" s="30" t="str">
        <f aca="false">IF((E210="v"),H210," ")</f>
        <v> </v>
      </c>
      <c r="AD210" s="30" t="str">
        <f aca="false">IF((E210="n"),H210," ")</f>
        <v> </v>
      </c>
      <c r="AE210" s="17" t="str">
        <f aca="false">IF((E210="f"),H210," ")</f>
        <v> </v>
      </c>
      <c r="AF210" s="17" t="str">
        <f aca="false">IF((E210="l"),H210," ")</f>
        <v> </v>
      </c>
      <c r="AG210" s="17" t="str">
        <f aca="false">IF((E210="y"),H210," ")</f>
        <v> </v>
      </c>
      <c r="AH210" s="17" t="str">
        <f aca="false">IF((E210="z"),H210," ")</f>
        <v> </v>
      </c>
      <c r="AI210" s="17" t="str">
        <f aca="false">IF((E210="fa"),H210," ")</f>
        <v> </v>
      </c>
      <c r="AJ210" s="17" t="str">
        <f aca="false">IF((E210="e"),H210," ")</f>
        <v> </v>
      </c>
    </row>
    <row r="211" customFormat="false" ht="12" hidden="false" customHeight="false" outlineLevel="0" collapsed="false">
      <c r="A211" s="28"/>
      <c r="E211" s="2" t="str">
        <f aca="false">IF((F211&lt;&gt;0),"Enter Letter"," ")</f>
        <v> </v>
      </c>
      <c r="F211" s="30"/>
      <c r="G211" s="6" t="str">
        <f aca="false">IF(F211&lt;&gt;0,F211*G$2/(100+G$2)," ")</f>
        <v> </v>
      </c>
      <c r="H211" s="6" t="str">
        <f aca="false">IF((F211&lt;&gt;0),F211-G211," ")</f>
        <v> </v>
      </c>
      <c r="I211" s="5"/>
      <c r="L211" s="7" t="str">
        <f aca="false">IF(F211&lt;&gt;0,F211-K211," ")</f>
        <v> </v>
      </c>
      <c r="M211" s="8" t="str">
        <f aca="false">IF((F211-K211)&lt;&gt;0,M$1-A211," ")</f>
        <v> </v>
      </c>
      <c r="N211" s="5"/>
      <c r="O211" s="17" t="str">
        <f aca="false">IF((E211="s"),H211," ")</f>
        <v> </v>
      </c>
      <c r="P211" s="17" t="str">
        <f aca="false">IF((E211="c"),H211," ")</f>
        <v> </v>
      </c>
      <c r="Q211" s="17" t="str">
        <f aca="false">IF((E211="o"),H211," ")</f>
        <v> </v>
      </c>
      <c r="R211" s="17" t="str">
        <f aca="false">IF((E211="d"),H211," ")</f>
        <v> </v>
      </c>
      <c r="S211" s="17" t="str">
        <f aca="false">IF((E211="w"),H211," ")</f>
        <v> </v>
      </c>
      <c r="T211" s="17" t="str">
        <f aca="false">IF((E211="r"),H211," ")</f>
        <v> </v>
      </c>
      <c r="U211" s="17" t="str">
        <f aca="false">IF((E211="p"),H211," ")</f>
        <v> </v>
      </c>
      <c r="V211" s="17" t="str">
        <f aca="false">IF((E211="t"),H211," ")</f>
        <v> </v>
      </c>
      <c r="W211" s="17" t="str">
        <f aca="false">IF((E211="q"),H211," ")</f>
        <v> </v>
      </c>
      <c r="X211" s="17" t="str">
        <f aca="false">IF((E211="m"),H211," ")</f>
        <v> </v>
      </c>
      <c r="Y211" s="17" t="str">
        <f aca="false">IF((E211="u"),H211," ")</f>
        <v> </v>
      </c>
      <c r="Z211" s="17" t="str">
        <f aca="false">IF((E211="a"),H211," ")</f>
        <v> </v>
      </c>
      <c r="AA211" s="17" t="str">
        <f aca="false">IF((E211="g"),H211," ")</f>
        <v> </v>
      </c>
      <c r="AB211" s="17" t="str">
        <f aca="false">IF((E211="h"),H211," ")</f>
        <v> </v>
      </c>
      <c r="AC211" s="30" t="str">
        <f aca="false">IF((E211="v"),H211," ")</f>
        <v> </v>
      </c>
      <c r="AD211" s="30" t="str">
        <f aca="false">IF((E211="n"),H211," ")</f>
        <v> </v>
      </c>
      <c r="AE211" s="17" t="str">
        <f aca="false">IF((E211="f"),H211," ")</f>
        <v> </v>
      </c>
      <c r="AF211" s="17" t="str">
        <f aca="false">IF((E211="l"),H211," ")</f>
        <v> </v>
      </c>
      <c r="AG211" s="17" t="str">
        <f aca="false">IF((E211="y"),H211," ")</f>
        <v> </v>
      </c>
      <c r="AH211" s="17" t="str">
        <f aca="false">IF((E211="z"),H211," ")</f>
        <v> </v>
      </c>
      <c r="AI211" s="17" t="str">
        <f aca="false">IF((E211="fa"),H211," ")</f>
        <v> </v>
      </c>
      <c r="AJ211" s="17" t="str">
        <f aca="false">IF((E211="e"),H211," ")</f>
        <v> </v>
      </c>
    </row>
    <row r="212" customFormat="false" ht="12" hidden="false" customHeight="false" outlineLevel="0" collapsed="false">
      <c r="A212" s="28"/>
      <c r="E212" s="2" t="str">
        <f aca="false">IF((F212&lt;&gt;0),"Enter Letter"," ")</f>
        <v> </v>
      </c>
      <c r="F212" s="30"/>
      <c r="G212" s="6" t="str">
        <f aca="false">IF(F212&lt;&gt;0,F212*G$2/(100+G$2)," ")</f>
        <v> </v>
      </c>
      <c r="H212" s="6" t="str">
        <f aca="false">IF((F212&lt;&gt;0),F212-G212," ")</f>
        <v> </v>
      </c>
      <c r="I212" s="5"/>
      <c r="L212" s="7" t="str">
        <f aca="false">IF(F212&lt;&gt;0,F212-K212," ")</f>
        <v> </v>
      </c>
      <c r="M212" s="8" t="str">
        <f aca="false">IF((F212-K212)&lt;&gt;0,M$1-A212," ")</f>
        <v> </v>
      </c>
      <c r="N212" s="5"/>
      <c r="O212" s="17" t="str">
        <f aca="false">IF((E212="s"),H212," ")</f>
        <v> </v>
      </c>
      <c r="P212" s="17" t="str">
        <f aca="false">IF((E212="c"),H212," ")</f>
        <v> </v>
      </c>
      <c r="Q212" s="17" t="str">
        <f aca="false">IF((E212="o"),H212," ")</f>
        <v> </v>
      </c>
      <c r="R212" s="17" t="str">
        <f aca="false">IF((E212="d"),H212," ")</f>
        <v> </v>
      </c>
      <c r="S212" s="17" t="str">
        <f aca="false">IF((E212="w"),H212," ")</f>
        <v> </v>
      </c>
      <c r="T212" s="17" t="str">
        <f aca="false">IF((E212="r"),H212," ")</f>
        <v> </v>
      </c>
      <c r="U212" s="17" t="str">
        <f aca="false">IF((E212="p"),H212," ")</f>
        <v> </v>
      </c>
      <c r="V212" s="17" t="str">
        <f aca="false">IF((E212="t"),H212," ")</f>
        <v> </v>
      </c>
      <c r="W212" s="17" t="str">
        <f aca="false">IF((E212="q"),H212," ")</f>
        <v> </v>
      </c>
      <c r="X212" s="17" t="str">
        <f aca="false">IF((E212="m"),H212," ")</f>
        <v> </v>
      </c>
      <c r="Y212" s="17" t="str">
        <f aca="false">IF((E212="u"),H212," ")</f>
        <v> </v>
      </c>
      <c r="Z212" s="17" t="str">
        <f aca="false">IF((E212="a"),H212," ")</f>
        <v> </v>
      </c>
      <c r="AA212" s="17" t="str">
        <f aca="false">IF((E212="g"),H212," ")</f>
        <v> </v>
      </c>
      <c r="AB212" s="17" t="str">
        <f aca="false">IF((E212="h"),H212," ")</f>
        <v> </v>
      </c>
      <c r="AC212" s="30" t="str">
        <f aca="false">IF((E212="v"),H212," ")</f>
        <v> </v>
      </c>
      <c r="AD212" s="30" t="str">
        <f aca="false">IF((E212="n"),H212," ")</f>
        <v> </v>
      </c>
      <c r="AE212" s="17" t="str">
        <f aca="false">IF((E212="f"),H212," ")</f>
        <v> </v>
      </c>
      <c r="AF212" s="17" t="str">
        <f aca="false">IF((E212="l"),H212," ")</f>
        <v> </v>
      </c>
      <c r="AG212" s="17" t="str">
        <f aca="false">IF((E212="y"),H212," ")</f>
        <v> </v>
      </c>
      <c r="AH212" s="17" t="str">
        <f aca="false">IF((E212="z"),H212," ")</f>
        <v> </v>
      </c>
      <c r="AI212" s="17" t="str">
        <f aca="false">IF((E212="fa"),H212," ")</f>
        <v> </v>
      </c>
      <c r="AJ212" s="17" t="str">
        <f aca="false">IF((E212="e"),H212," ")</f>
        <v> </v>
      </c>
    </row>
    <row r="213" customFormat="false" ht="12" hidden="false" customHeight="false" outlineLevel="0" collapsed="false">
      <c r="A213" s="28"/>
      <c r="E213" s="2" t="str">
        <f aca="false">IF((F213&lt;&gt;0),"Enter Letter"," ")</f>
        <v> </v>
      </c>
      <c r="F213" s="30"/>
      <c r="G213" s="6" t="str">
        <f aca="false">IF(F213&lt;&gt;0,F213*G$2/(100+G$2)," ")</f>
        <v> </v>
      </c>
      <c r="H213" s="6" t="str">
        <f aca="false">IF((F213&lt;&gt;0),F213-G213," ")</f>
        <v> </v>
      </c>
      <c r="I213" s="5"/>
      <c r="L213" s="7" t="str">
        <f aca="false">IF(F213&lt;&gt;0,F213-K213," ")</f>
        <v> </v>
      </c>
      <c r="M213" s="8" t="str">
        <f aca="false">IF((F213-K213)&lt;&gt;0,M$1-A213," ")</f>
        <v> </v>
      </c>
      <c r="N213" s="5"/>
      <c r="O213" s="17" t="str">
        <f aca="false">IF((E213="s"),H213," ")</f>
        <v> </v>
      </c>
      <c r="P213" s="17" t="str">
        <f aca="false">IF((E213="c"),H213," ")</f>
        <v> </v>
      </c>
      <c r="Q213" s="17" t="str">
        <f aca="false">IF((E213="o"),H213," ")</f>
        <v> </v>
      </c>
      <c r="R213" s="17" t="str">
        <f aca="false">IF((E213="d"),H213," ")</f>
        <v> </v>
      </c>
      <c r="S213" s="17" t="str">
        <f aca="false">IF((E213="w"),H213," ")</f>
        <v> </v>
      </c>
      <c r="T213" s="17" t="str">
        <f aca="false">IF((E213="r"),H213," ")</f>
        <v> </v>
      </c>
      <c r="U213" s="17" t="str">
        <f aca="false">IF((E213="p"),H213," ")</f>
        <v> </v>
      </c>
      <c r="V213" s="17" t="str">
        <f aca="false">IF((E213="t"),H213," ")</f>
        <v> </v>
      </c>
      <c r="W213" s="17" t="str">
        <f aca="false">IF((E213="q"),H213," ")</f>
        <v> </v>
      </c>
      <c r="X213" s="17" t="str">
        <f aca="false">IF((E213="m"),H213," ")</f>
        <v> </v>
      </c>
      <c r="Y213" s="17" t="str">
        <f aca="false">IF((E213="u"),H213," ")</f>
        <v> </v>
      </c>
      <c r="Z213" s="17" t="str">
        <f aca="false">IF((E213="a"),H213," ")</f>
        <v> </v>
      </c>
      <c r="AA213" s="17" t="str">
        <f aca="false">IF((E213="g"),H213," ")</f>
        <v> </v>
      </c>
      <c r="AB213" s="17" t="str">
        <f aca="false">IF((E213="h"),H213," ")</f>
        <v> </v>
      </c>
      <c r="AC213" s="30" t="str">
        <f aca="false">IF((E213="v"),H213," ")</f>
        <v> </v>
      </c>
      <c r="AD213" s="30" t="str">
        <f aca="false">IF((E213="n"),H213," ")</f>
        <v> </v>
      </c>
      <c r="AE213" s="17" t="str">
        <f aca="false">IF((E213="f"),H213," ")</f>
        <v> </v>
      </c>
      <c r="AF213" s="17" t="str">
        <f aca="false">IF((E213="l"),H213," ")</f>
        <v> </v>
      </c>
      <c r="AG213" s="17" t="str">
        <f aca="false">IF((E213="y"),H213," ")</f>
        <v> </v>
      </c>
      <c r="AH213" s="17" t="str">
        <f aca="false">IF((E213="z"),H213," ")</f>
        <v> </v>
      </c>
      <c r="AI213" s="17" t="str">
        <f aca="false">IF((E213="fa"),H213," ")</f>
        <v> </v>
      </c>
      <c r="AJ213" s="17" t="str">
        <f aca="false">IF((E213="e"),H213," ")</f>
        <v> </v>
      </c>
    </row>
    <row r="214" customFormat="false" ht="12" hidden="false" customHeight="false" outlineLevel="0" collapsed="false">
      <c r="A214" s="28"/>
      <c r="E214" s="2" t="str">
        <f aca="false">IF((F214&lt;&gt;0),"Enter Letter"," ")</f>
        <v> </v>
      </c>
      <c r="F214" s="30"/>
      <c r="G214" s="6" t="str">
        <f aca="false">IF(F214&lt;&gt;0,F214*G$2/(100+G$2)," ")</f>
        <v> </v>
      </c>
      <c r="H214" s="6" t="str">
        <f aca="false">IF((F214&lt;&gt;0),F214-G214," ")</f>
        <v> </v>
      </c>
      <c r="I214" s="5"/>
      <c r="L214" s="7" t="str">
        <f aca="false">IF(F214&lt;&gt;0,F214-K214," ")</f>
        <v> </v>
      </c>
      <c r="M214" s="8" t="str">
        <f aca="false">IF((F214-K214)&lt;&gt;0,M$1-A214," ")</f>
        <v> </v>
      </c>
      <c r="N214" s="5"/>
      <c r="O214" s="17" t="str">
        <f aca="false">IF((E214="s"),H214," ")</f>
        <v> </v>
      </c>
      <c r="P214" s="17" t="str">
        <f aca="false">IF((E214="c"),H214," ")</f>
        <v> </v>
      </c>
      <c r="Q214" s="17" t="str">
        <f aca="false">IF((E214="o"),H214," ")</f>
        <v> </v>
      </c>
      <c r="R214" s="17" t="str">
        <f aca="false">IF((E214="d"),H214," ")</f>
        <v> </v>
      </c>
      <c r="S214" s="17" t="str">
        <f aca="false">IF((E214="w"),H214," ")</f>
        <v> </v>
      </c>
      <c r="T214" s="17" t="str">
        <f aca="false">IF((E214="r"),H214," ")</f>
        <v> </v>
      </c>
      <c r="U214" s="17" t="str">
        <f aca="false">IF((E214="p"),H214," ")</f>
        <v> </v>
      </c>
      <c r="V214" s="17" t="str">
        <f aca="false">IF((E214="t"),H214," ")</f>
        <v> </v>
      </c>
      <c r="W214" s="17" t="str">
        <f aca="false">IF((E214="q"),H214," ")</f>
        <v> </v>
      </c>
      <c r="X214" s="17" t="str">
        <f aca="false">IF((E214="m"),H214," ")</f>
        <v> </v>
      </c>
      <c r="Y214" s="17" t="str">
        <f aca="false">IF((E214="u"),H214," ")</f>
        <v> </v>
      </c>
      <c r="Z214" s="17" t="str">
        <f aca="false">IF((E214="a"),H214," ")</f>
        <v> </v>
      </c>
      <c r="AA214" s="17" t="str">
        <f aca="false">IF((E214="g"),H214," ")</f>
        <v> </v>
      </c>
      <c r="AB214" s="17" t="str">
        <f aca="false">IF((E214="h"),H214," ")</f>
        <v> </v>
      </c>
      <c r="AC214" s="30" t="str">
        <f aca="false">IF((E214="v"),H214," ")</f>
        <v> </v>
      </c>
      <c r="AD214" s="30" t="str">
        <f aca="false">IF((E214="n"),H214," ")</f>
        <v> </v>
      </c>
      <c r="AE214" s="17" t="str">
        <f aca="false">IF((E214="f"),H214," ")</f>
        <v> </v>
      </c>
      <c r="AF214" s="17" t="str">
        <f aca="false">IF((E214="l"),H214," ")</f>
        <v> </v>
      </c>
      <c r="AG214" s="17" t="str">
        <f aca="false">IF((E214="y"),H214," ")</f>
        <v> </v>
      </c>
      <c r="AH214" s="17" t="str">
        <f aca="false">IF((E214="z"),H214," ")</f>
        <v> </v>
      </c>
      <c r="AI214" s="17" t="str">
        <f aca="false">IF((E214="fa"),H214," ")</f>
        <v> </v>
      </c>
      <c r="AJ214" s="17" t="str">
        <f aca="false">IF((E214="e"),H214," ")</f>
        <v> </v>
      </c>
    </row>
    <row r="215" customFormat="false" ht="12" hidden="false" customHeight="false" outlineLevel="0" collapsed="false">
      <c r="A215" s="28"/>
      <c r="E215" s="2" t="str">
        <f aca="false">IF((F215&lt;&gt;0),"Enter Letter"," ")</f>
        <v> </v>
      </c>
      <c r="F215" s="30"/>
      <c r="G215" s="6" t="str">
        <f aca="false">IF(F215&lt;&gt;0,F215*G$2/(100+G$2)," ")</f>
        <v> </v>
      </c>
      <c r="H215" s="6" t="str">
        <f aca="false">IF((F215&lt;&gt;0),F215-G215," ")</f>
        <v> </v>
      </c>
      <c r="I215" s="5"/>
      <c r="L215" s="7" t="str">
        <f aca="false">IF(F215&lt;&gt;0,F215-K215," ")</f>
        <v> </v>
      </c>
      <c r="M215" s="8" t="str">
        <f aca="false">IF((F215-K215)&lt;&gt;0,M$1-A215," ")</f>
        <v> </v>
      </c>
      <c r="N215" s="5"/>
      <c r="O215" s="17" t="str">
        <f aca="false">IF((E215="s"),H215," ")</f>
        <v> </v>
      </c>
      <c r="P215" s="17" t="str">
        <f aca="false">IF((E215="c"),H215," ")</f>
        <v> </v>
      </c>
      <c r="Q215" s="17" t="str">
        <f aca="false">IF((E215="o"),H215," ")</f>
        <v> </v>
      </c>
      <c r="R215" s="17" t="str">
        <f aca="false">IF((E215="d"),H215," ")</f>
        <v> </v>
      </c>
      <c r="S215" s="17" t="str">
        <f aca="false">IF((E215="w"),H215," ")</f>
        <v> </v>
      </c>
      <c r="T215" s="17" t="str">
        <f aca="false">IF((E215="r"),H215," ")</f>
        <v> </v>
      </c>
      <c r="U215" s="17" t="str">
        <f aca="false">IF((E215="p"),H215," ")</f>
        <v> </v>
      </c>
      <c r="V215" s="17" t="str">
        <f aca="false">IF((E215="t"),H215," ")</f>
        <v> </v>
      </c>
      <c r="W215" s="17" t="str">
        <f aca="false">IF((E215="q"),H215," ")</f>
        <v> </v>
      </c>
      <c r="X215" s="17" t="str">
        <f aca="false">IF((E215="m"),H215," ")</f>
        <v> </v>
      </c>
      <c r="Y215" s="17" t="str">
        <f aca="false">IF((E215="u"),H215," ")</f>
        <v> </v>
      </c>
      <c r="Z215" s="17" t="str">
        <f aca="false">IF((E215="a"),H215," ")</f>
        <v> </v>
      </c>
      <c r="AA215" s="17" t="str">
        <f aca="false">IF((E215="g"),H215," ")</f>
        <v> </v>
      </c>
      <c r="AB215" s="17" t="str">
        <f aca="false">IF((E215="h"),H215," ")</f>
        <v> </v>
      </c>
      <c r="AC215" s="30" t="str">
        <f aca="false">IF((E215="v"),H215," ")</f>
        <v> </v>
      </c>
      <c r="AD215" s="30" t="str">
        <f aca="false">IF((E215="n"),H215," ")</f>
        <v> </v>
      </c>
      <c r="AE215" s="17" t="str">
        <f aca="false">IF((E215="f"),H215," ")</f>
        <v> </v>
      </c>
      <c r="AF215" s="17" t="str">
        <f aca="false">IF((E215="l"),H215," ")</f>
        <v> </v>
      </c>
      <c r="AG215" s="17" t="str">
        <f aca="false">IF((E215="y"),H215," ")</f>
        <v> </v>
      </c>
      <c r="AH215" s="17" t="str">
        <f aca="false">IF((E215="z"),H215," ")</f>
        <v> </v>
      </c>
      <c r="AI215" s="17" t="str">
        <f aca="false">IF((E215="fa"),H215," ")</f>
        <v> </v>
      </c>
      <c r="AJ215" s="17" t="str">
        <f aca="false">IF((E215="e"),H215," ")</f>
        <v> </v>
      </c>
    </row>
    <row r="216" customFormat="false" ht="12" hidden="false" customHeight="false" outlineLevel="0" collapsed="false">
      <c r="A216" s="28"/>
      <c r="E216" s="2" t="str">
        <f aca="false">IF((F216&lt;&gt;0),"Enter Letter"," ")</f>
        <v> </v>
      </c>
      <c r="F216" s="30"/>
      <c r="G216" s="6" t="str">
        <f aca="false">IF(F216&lt;&gt;0,F216*G$2/(100+G$2)," ")</f>
        <v> </v>
      </c>
      <c r="H216" s="6" t="str">
        <f aca="false">IF((F216&lt;&gt;0),F216-G216," ")</f>
        <v> </v>
      </c>
      <c r="I216" s="5"/>
      <c r="L216" s="7" t="str">
        <f aca="false">IF(F216&lt;&gt;0,F216-K216," ")</f>
        <v> </v>
      </c>
      <c r="M216" s="8" t="str">
        <f aca="false">IF((F216-K216)&lt;&gt;0,M$1-A216," ")</f>
        <v> </v>
      </c>
      <c r="N216" s="5"/>
      <c r="O216" s="17" t="str">
        <f aca="false">IF((E216="s"),H216," ")</f>
        <v> </v>
      </c>
      <c r="P216" s="17" t="str">
        <f aca="false">IF((E216="c"),H216," ")</f>
        <v> </v>
      </c>
      <c r="Q216" s="17" t="str">
        <f aca="false">IF((E216="o"),H216," ")</f>
        <v> </v>
      </c>
      <c r="R216" s="17" t="str">
        <f aca="false">IF((E216="d"),H216," ")</f>
        <v> </v>
      </c>
      <c r="S216" s="17" t="str">
        <f aca="false">IF((E216="w"),H216," ")</f>
        <v> </v>
      </c>
      <c r="T216" s="17" t="str">
        <f aca="false">IF((E216="r"),H216," ")</f>
        <v> </v>
      </c>
      <c r="U216" s="17" t="str">
        <f aca="false">IF((E216="p"),H216," ")</f>
        <v> </v>
      </c>
      <c r="V216" s="17" t="str">
        <f aca="false">IF((E216="t"),H216," ")</f>
        <v> </v>
      </c>
      <c r="W216" s="17" t="str">
        <f aca="false">IF((E216="q"),H216," ")</f>
        <v> </v>
      </c>
      <c r="X216" s="17" t="str">
        <f aca="false">IF((E216="m"),H216," ")</f>
        <v> </v>
      </c>
      <c r="Y216" s="17" t="str">
        <f aca="false">IF((E216="u"),H216," ")</f>
        <v> </v>
      </c>
      <c r="Z216" s="17" t="str">
        <f aca="false">IF((E216="a"),H216," ")</f>
        <v> </v>
      </c>
      <c r="AA216" s="17" t="str">
        <f aca="false">IF((E216="g"),H216," ")</f>
        <v> </v>
      </c>
      <c r="AB216" s="17" t="str">
        <f aca="false">IF((E216="h"),H216," ")</f>
        <v> </v>
      </c>
      <c r="AC216" s="30" t="str">
        <f aca="false">IF((E216="v"),H216," ")</f>
        <v> </v>
      </c>
      <c r="AD216" s="30" t="str">
        <f aca="false">IF((E216="n"),H216," ")</f>
        <v> </v>
      </c>
      <c r="AE216" s="17" t="str">
        <f aca="false">IF((E216="f"),H216," ")</f>
        <v> </v>
      </c>
      <c r="AF216" s="17" t="str">
        <f aca="false">IF((E216="l"),H216," ")</f>
        <v> </v>
      </c>
      <c r="AG216" s="17" t="str">
        <f aca="false">IF((E216="y"),H216," ")</f>
        <v> </v>
      </c>
      <c r="AH216" s="17" t="str">
        <f aca="false">IF((E216="z"),H216," ")</f>
        <v> </v>
      </c>
      <c r="AI216" s="17" t="str">
        <f aca="false">IF((E216="fa"),H216," ")</f>
        <v> </v>
      </c>
      <c r="AJ216" s="17" t="str">
        <f aca="false">IF((E216="e"),H216," ")</f>
        <v> </v>
      </c>
    </row>
    <row r="217" customFormat="false" ht="12" hidden="false" customHeight="false" outlineLevel="0" collapsed="false">
      <c r="A217" s="28"/>
      <c r="E217" s="2" t="str">
        <f aca="false">IF((F217&lt;&gt;0),"Enter Letter"," ")</f>
        <v> </v>
      </c>
      <c r="F217" s="30"/>
      <c r="G217" s="6" t="str">
        <f aca="false">IF(F217&lt;&gt;0,F217*G$2/(100+G$2)," ")</f>
        <v> </v>
      </c>
      <c r="H217" s="6" t="str">
        <f aca="false">IF((F217&lt;&gt;0),F217-G217," ")</f>
        <v> </v>
      </c>
      <c r="I217" s="5"/>
      <c r="L217" s="7" t="str">
        <f aca="false">IF(F217&lt;&gt;0,F217-K217," ")</f>
        <v> </v>
      </c>
      <c r="M217" s="8" t="str">
        <f aca="false">IF((F217-K217)&lt;&gt;0,M$1-A217," ")</f>
        <v> </v>
      </c>
      <c r="N217" s="5"/>
      <c r="O217" s="17" t="str">
        <f aca="false">IF((E217="s"),H217," ")</f>
        <v> </v>
      </c>
      <c r="P217" s="17" t="str">
        <f aca="false">IF((E217="c"),H217," ")</f>
        <v> </v>
      </c>
      <c r="Q217" s="17" t="str">
        <f aca="false">IF((E217="o"),H217," ")</f>
        <v> </v>
      </c>
      <c r="R217" s="17" t="str">
        <f aca="false">IF((E217="d"),H217," ")</f>
        <v> </v>
      </c>
      <c r="S217" s="17" t="str">
        <f aca="false">IF((E217="w"),H217," ")</f>
        <v> </v>
      </c>
      <c r="T217" s="17" t="str">
        <f aca="false">IF((E217="r"),H217," ")</f>
        <v> </v>
      </c>
      <c r="U217" s="17" t="str">
        <f aca="false">IF((E217="p"),H217," ")</f>
        <v> </v>
      </c>
      <c r="V217" s="17" t="str">
        <f aca="false">IF((E217="t"),H217," ")</f>
        <v> </v>
      </c>
      <c r="W217" s="17" t="str">
        <f aca="false">IF((E217="q"),H217," ")</f>
        <v> </v>
      </c>
      <c r="X217" s="17" t="str">
        <f aca="false">IF((E217="m"),H217," ")</f>
        <v> </v>
      </c>
      <c r="Y217" s="17" t="str">
        <f aca="false">IF((E217="u"),H217," ")</f>
        <v> </v>
      </c>
      <c r="Z217" s="17" t="str">
        <f aca="false">IF((E217="a"),H217," ")</f>
        <v> </v>
      </c>
      <c r="AA217" s="17" t="str">
        <f aca="false">IF((E217="g"),H217," ")</f>
        <v> </v>
      </c>
      <c r="AB217" s="17" t="str">
        <f aca="false">IF((E217="h"),H217," ")</f>
        <v> </v>
      </c>
      <c r="AC217" s="30" t="str">
        <f aca="false">IF((E217="v"),H217," ")</f>
        <v> </v>
      </c>
      <c r="AD217" s="30" t="str">
        <f aca="false">IF((E217="n"),H217," ")</f>
        <v> </v>
      </c>
      <c r="AE217" s="17" t="str">
        <f aca="false">IF((E217="f"),H217," ")</f>
        <v> </v>
      </c>
      <c r="AF217" s="17" t="str">
        <f aca="false">IF((E217="l"),H217," ")</f>
        <v> </v>
      </c>
      <c r="AG217" s="17" t="str">
        <f aca="false">IF((E217="y"),H217," ")</f>
        <v> </v>
      </c>
      <c r="AH217" s="17" t="str">
        <f aca="false">IF((E217="z"),H217," ")</f>
        <v> </v>
      </c>
      <c r="AI217" s="17" t="str">
        <f aca="false">IF((E217="fa"),H217," ")</f>
        <v> </v>
      </c>
      <c r="AJ217" s="17" t="str">
        <f aca="false">IF((E217="e"),H217," ")</f>
        <v> </v>
      </c>
    </row>
    <row r="218" customFormat="false" ht="12" hidden="false" customHeight="false" outlineLevel="0" collapsed="false">
      <c r="A218" s="28"/>
      <c r="E218" s="2" t="str">
        <f aca="false">IF((F218&lt;&gt;0),"Enter Letter"," ")</f>
        <v> </v>
      </c>
      <c r="F218" s="30"/>
      <c r="G218" s="6" t="str">
        <f aca="false">IF(F218&lt;&gt;0,F218*G$2/(100+G$2)," ")</f>
        <v> </v>
      </c>
      <c r="H218" s="6" t="str">
        <f aca="false">IF((F218&lt;&gt;0),F218-G218," ")</f>
        <v> </v>
      </c>
      <c r="I218" s="5"/>
      <c r="L218" s="7" t="str">
        <f aca="false">IF(F218&lt;&gt;0,F218-K218," ")</f>
        <v> </v>
      </c>
      <c r="M218" s="8" t="str">
        <f aca="false">IF((F218-K218)&lt;&gt;0,M$1-A218," ")</f>
        <v> </v>
      </c>
      <c r="N218" s="5"/>
      <c r="O218" s="17" t="str">
        <f aca="false">IF((E218="s"),H218," ")</f>
        <v> </v>
      </c>
      <c r="P218" s="17" t="str">
        <f aca="false">IF((E218="c"),H218," ")</f>
        <v> </v>
      </c>
      <c r="Q218" s="17" t="str">
        <f aca="false">IF((E218="o"),H218," ")</f>
        <v> </v>
      </c>
      <c r="R218" s="17" t="str">
        <f aca="false">IF((E218="d"),H218," ")</f>
        <v> </v>
      </c>
      <c r="S218" s="17" t="str">
        <f aca="false">IF((E218="w"),H218," ")</f>
        <v> </v>
      </c>
      <c r="T218" s="17" t="str">
        <f aca="false">IF((E218="r"),H218," ")</f>
        <v> </v>
      </c>
      <c r="U218" s="17" t="str">
        <f aca="false">IF((E218="p"),H218," ")</f>
        <v> </v>
      </c>
      <c r="V218" s="17" t="str">
        <f aca="false">IF((E218="t"),H218," ")</f>
        <v> </v>
      </c>
      <c r="W218" s="17" t="str">
        <f aca="false">IF((E218="q"),H218," ")</f>
        <v> </v>
      </c>
      <c r="X218" s="17" t="str">
        <f aca="false">IF((E218="m"),H218," ")</f>
        <v> </v>
      </c>
      <c r="Y218" s="17" t="str">
        <f aca="false">IF((E218="u"),H218," ")</f>
        <v> </v>
      </c>
      <c r="Z218" s="17" t="str">
        <f aca="false">IF((E218="a"),H218," ")</f>
        <v> </v>
      </c>
      <c r="AA218" s="17" t="str">
        <f aca="false">IF((E218="g"),H218," ")</f>
        <v> </v>
      </c>
      <c r="AB218" s="17" t="str">
        <f aca="false">IF((E218="h"),H218," ")</f>
        <v> </v>
      </c>
      <c r="AC218" s="30" t="str">
        <f aca="false">IF((E218="v"),H218," ")</f>
        <v> </v>
      </c>
      <c r="AD218" s="30" t="str">
        <f aca="false">IF((E218="n"),H218," ")</f>
        <v> </v>
      </c>
      <c r="AE218" s="17" t="str">
        <f aca="false">IF((E218="f"),H218," ")</f>
        <v> </v>
      </c>
      <c r="AF218" s="17" t="str">
        <f aca="false">IF((E218="l"),H218," ")</f>
        <v> </v>
      </c>
      <c r="AG218" s="17" t="str">
        <f aca="false">IF((E218="y"),H218," ")</f>
        <v> </v>
      </c>
      <c r="AH218" s="17" t="str">
        <f aca="false">IF((E218="z"),H218," ")</f>
        <v> </v>
      </c>
      <c r="AI218" s="17" t="str">
        <f aca="false">IF((E218="fa"),H218," ")</f>
        <v> </v>
      </c>
      <c r="AJ218" s="17" t="str">
        <f aca="false">IF((E218="e"),H218," ")</f>
        <v> </v>
      </c>
    </row>
    <row r="219" customFormat="false" ht="12" hidden="false" customHeight="false" outlineLevel="0" collapsed="false">
      <c r="A219" s="28"/>
      <c r="E219" s="2" t="str">
        <f aca="false">IF((F219&lt;&gt;0),"Enter Letter"," ")</f>
        <v> </v>
      </c>
      <c r="F219" s="30"/>
      <c r="G219" s="6" t="str">
        <f aca="false">IF(F219&lt;&gt;0,F219*G$2/(100+G$2)," ")</f>
        <v> </v>
      </c>
      <c r="H219" s="6" t="str">
        <f aca="false">IF((F219&lt;&gt;0),F219-G219," ")</f>
        <v> </v>
      </c>
      <c r="I219" s="5"/>
      <c r="L219" s="7" t="str">
        <f aca="false">IF(F219&lt;&gt;0,F219-K219," ")</f>
        <v> </v>
      </c>
      <c r="M219" s="8" t="str">
        <f aca="false">IF((F219-K219)&lt;&gt;0,M$1-A219," ")</f>
        <v> </v>
      </c>
      <c r="N219" s="5"/>
      <c r="O219" s="17" t="str">
        <f aca="false">IF((E219="s"),H219," ")</f>
        <v> </v>
      </c>
      <c r="P219" s="17" t="str">
        <f aca="false">IF((E219="c"),H219," ")</f>
        <v> </v>
      </c>
      <c r="Q219" s="17" t="str">
        <f aca="false">IF((E219="o"),H219," ")</f>
        <v> </v>
      </c>
      <c r="R219" s="17" t="str">
        <f aca="false">IF((E219="d"),H219," ")</f>
        <v> </v>
      </c>
      <c r="S219" s="17" t="str">
        <f aca="false">IF((E219="w"),H219," ")</f>
        <v> </v>
      </c>
      <c r="T219" s="17" t="str">
        <f aca="false">IF((E219="r"),H219," ")</f>
        <v> </v>
      </c>
      <c r="U219" s="17" t="str">
        <f aca="false">IF((E219="p"),H219," ")</f>
        <v> </v>
      </c>
      <c r="V219" s="17" t="str">
        <f aca="false">IF((E219="t"),H219," ")</f>
        <v> </v>
      </c>
      <c r="W219" s="17" t="str">
        <f aca="false">IF((E219="q"),H219," ")</f>
        <v> </v>
      </c>
      <c r="X219" s="17" t="str">
        <f aca="false">IF((E219="m"),H219," ")</f>
        <v> </v>
      </c>
      <c r="Y219" s="17" t="str">
        <f aca="false">IF((E219="u"),H219," ")</f>
        <v> </v>
      </c>
      <c r="Z219" s="17" t="str">
        <f aca="false">IF((E219="a"),H219," ")</f>
        <v> </v>
      </c>
      <c r="AA219" s="17" t="str">
        <f aca="false">IF((E219="g"),H219," ")</f>
        <v> </v>
      </c>
      <c r="AB219" s="17" t="str">
        <f aca="false">IF((E219="h"),H219," ")</f>
        <v> </v>
      </c>
      <c r="AC219" s="30" t="str">
        <f aca="false">IF((E219="v"),H219," ")</f>
        <v> </v>
      </c>
      <c r="AD219" s="30" t="str">
        <f aca="false">IF((E219="n"),H219," ")</f>
        <v> </v>
      </c>
      <c r="AE219" s="17" t="str">
        <f aca="false">IF((E219="f"),H219," ")</f>
        <v> </v>
      </c>
      <c r="AF219" s="17" t="str">
        <f aca="false">IF((E219="l"),H219," ")</f>
        <v> </v>
      </c>
      <c r="AG219" s="17" t="str">
        <f aca="false">IF((E219="y"),H219," ")</f>
        <v> </v>
      </c>
      <c r="AH219" s="17" t="str">
        <f aca="false">IF((E219="z"),H219," ")</f>
        <v> </v>
      </c>
      <c r="AI219" s="17" t="str">
        <f aca="false">IF((E219="fa"),H219," ")</f>
        <v> </v>
      </c>
      <c r="AJ219" s="17" t="str">
        <f aca="false">IF((E219="e"),H219," ")</f>
        <v> </v>
      </c>
    </row>
    <row r="220" customFormat="false" ht="12" hidden="false" customHeight="false" outlineLevel="0" collapsed="false">
      <c r="A220" s="28"/>
      <c r="E220" s="2" t="str">
        <f aca="false">IF((F220&lt;&gt;0),"Enter Letter"," ")</f>
        <v> </v>
      </c>
      <c r="F220" s="30"/>
      <c r="G220" s="6" t="str">
        <f aca="false">IF(F220&lt;&gt;0,F220*G$2/(100+G$2)," ")</f>
        <v> </v>
      </c>
      <c r="H220" s="6" t="str">
        <f aca="false">IF((F220&lt;&gt;0),F220-G220," ")</f>
        <v> </v>
      </c>
      <c r="I220" s="5"/>
      <c r="L220" s="7" t="str">
        <f aca="false">IF(F220&lt;&gt;0,F220-K220," ")</f>
        <v> </v>
      </c>
      <c r="M220" s="8" t="str">
        <f aca="false">IF((F220-K220)&lt;&gt;0,M$1-A220," ")</f>
        <v> </v>
      </c>
      <c r="N220" s="5"/>
      <c r="O220" s="17" t="str">
        <f aca="false">IF((E220="s"),H220," ")</f>
        <v> </v>
      </c>
      <c r="P220" s="17" t="str">
        <f aca="false">IF((E220="c"),H220," ")</f>
        <v> </v>
      </c>
      <c r="Q220" s="17" t="str">
        <f aca="false">IF((E220="o"),H220," ")</f>
        <v> </v>
      </c>
      <c r="R220" s="17" t="str">
        <f aca="false">IF((E220="d"),H220," ")</f>
        <v> </v>
      </c>
      <c r="S220" s="17" t="str">
        <f aca="false">IF((E220="w"),H220," ")</f>
        <v> </v>
      </c>
      <c r="T220" s="17" t="str">
        <f aca="false">IF((E220="r"),H220," ")</f>
        <v> </v>
      </c>
      <c r="U220" s="17" t="str">
        <f aca="false">IF((E220="p"),H220," ")</f>
        <v> </v>
      </c>
      <c r="V220" s="17" t="str">
        <f aca="false">IF((E220="t"),H220," ")</f>
        <v> </v>
      </c>
      <c r="W220" s="17" t="str">
        <f aca="false">IF((E220="q"),H220," ")</f>
        <v> </v>
      </c>
      <c r="X220" s="17" t="str">
        <f aca="false">IF((E220="m"),H220," ")</f>
        <v> </v>
      </c>
      <c r="Y220" s="17" t="str">
        <f aca="false">IF((E220="u"),H220," ")</f>
        <v> </v>
      </c>
      <c r="Z220" s="17" t="str">
        <f aca="false">IF((E220="a"),H220," ")</f>
        <v> </v>
      </c>
      <c r="AA220" s="17" t="str">
        <f aca="false">IF((E220="g"),H220," ")</f>
        <v> </v>
      </c>
      <c r="AB220" s="17" t="str">
        <f aca="false">IF((E220="h"),H220," ")</f>
        <v> </v>
      </c>
      <c r="AC220" s="30" t="str">
        <f aca="false">IF((E220="v"),H220," ")</f>
        <v> </v>
      </c>
      <c r="AD220" s="30" t="str">
        <f aca="false">IF((E220="n"),H220," ")</f>
        <v> </v>
      </c>
      <c r="AE220" s="17" t="str">
        <f aca="false">IF((E220="f"),H220," ")</f>
        <v> </v>
      </c>
      <c r="AF220" s="17" t="str">
        <f aca="false">IF((E220="l"),H220," ")</f>
        <v> </v>
      </c>
      <c r="AG220" s="17" t="str">
        <f aca="false">IF((E220="y"),H220," ")</f>
        <v> </v>
      </c>
      <c r="AH220" s="17" t="str">
        <f aca="false">IF((E220="z"),H220," ")</f>
        <v> </v>
      </c>
      <c r="AI220" s="17" t="str">
        <f aca="false">IF((E220="fa"),H220," ")</f>
        <v> </v>
      </c>
      <c r="AJ220" s="17" t="str">
        <f aca="false">IF((E220="e"),H220," ")</f>
        <v> </v>
      </c>
    </row>
    <row r="221" customFormat="false" ht="12" hidden="false" customHeight="false" outlineLevel="0" collapsed="false">
      <c r="A221" s="28"/>
      <c r="E221" s="2" t="str">
        <f aca="false">IF((F221&lt;&gt;0),"Enter Letter"," ")</f>
        <v> </v>
      </c>
      <c r="F221" s="30"/>
      <c r="G221" s="6" t="str">
        <f aca="false">IF(F221&lt;&gt;0,F221*G$2/(100+G$2)," ")</f>
        <v> </v>
      </c>
      <c r="H221" s="6" t="str">
        <f aca="false">IF((F221&lt;&gt;0),F221-G221," ")</f>
        <v> </v>
      </c>
      <c r="I221" s="5"/>
      <c r="L221" s="7" t="str">
        <f aca="false">IF(F221&lt;&gt;0,F221-K221," ")</f>
        <v> </v>
      </c>
      <c r="M221" s="8" t="str">
        <f aca="false">IF((F221-K221)&lt;&gt;0,M$1-A221," ")</f>
        <v> </v>
      </c>
      <c r="N221" s="5"/>
      <c r="O221" s="17" t="str">
        <f aca="false">IF((E221="s"),H221," ")</f>
        <v> </v>
      </c>
      <c r="P221" s="17" t="str">
        <f aca="false">IF((E221="c"),H221," ")</f>
        <v> </v>
      </c>
      <c r="Q221" s="17" t="str">
        <f aca="false">IF((E221="o"),H221," ")</f>
        <v> </v>
      </c>
      <c r="R221" s="17" t="str">
        <f aca="false">IF((E221="d"),H221," ")</f>
        <v> </v>
      </c>
      <c r="S221" s="17" t="str">
        <f aca="false">IF((E221="w"),H221," ")</f>
        <v> </v>
      </c>
      <c r="T221" s="17" t="str">
        <f aca="false">IF((E221="r"),H221," ")</f>
        <v> </v>
      </c>
      <c r="U221" s="17" t="str">
        <f aca="false">IF((E221="p"),H221," ")</f>
        <v> </v>
      </c>
      <c r="V221" s="17" t="str">
        <f aca="false">IF((E221="t"),H221," ")</f>
        <v> </v>
      </c>
      <c r="W221" s="17" t="str">
        <f aca="false">IF((E221="q"),H221," ")</f>
        <v> </v>
      </c>
      <c r="X221" s="17" t="str">
        <f aca="false">IF((E221="m"),H221," ")</f>
        <v> </v>
      </c>
      <c r="Y221" s="17" t="str">
        <f aca="false">IF((E221="u"),H221," ")</f>
        <v> </v>
      </c>
      <c r="Z221" s="17" t="str">
        <f aca="false">IF((E221="a"),H221," ")</f>
        <v> </v>
      </c>
      <c r="AA221" s="17" t="str">
        <f aca="false">IF((E221="g"),H221," ")</f>
        <v> </v>
      </c>
      <c r="AB221" s="17" t="str">
        <f aca="false">IF((E221="h"),H221," ")</f>
        <v> </v>
      </c>
      <c r="AC221" s="30" t="str">
        <f aca="false">IF((E221="v"),H221," ")</f>
        <v> </v>
      </c>
      <c r="AD221" s="30" t="str">
        <f aca="false">IF((E221="n"),H221," ")</f>
        <v> </v>
      </c>
      <c r="AE221" s="17" t="str">
        <f aca="false">IF((E221="f"),H221," ")</f>
        <v> </v>
      </c>
      <c r="AF221" s="17" t="str">
        <f aca="false">IF((E221="l"),H221," ")</f>
        <v> </v>
      </c>
      <c r="AG221" s="17" t="str">
        <f aca="false">IF((E221="y"),H221," ")</f>
        <v> </v>
      </c>
      <c r="AH221" s="17" t="str">
        <f aca="false">IF((E221="z"),H221," ")</f>
        <v> </v>
      </c>
      <c r="AI221" s="17" t="str">
        <f aca="false">IF((E221="fa"),H221," ")</f>
        <v> </v>
      </c>
      <c r="AJ221" s="17" t="str">
        <f aca="false">IF((E221="e"),H221," ")</f>
        <v> </v>
      </c>
    </row>
    <row r="222" customFormat="false" ht="12" hidden="false" customHeight="false" outlineLevel="0" collapsed="false">
      <c r="A222" s="28"/>
      <c r="E222" s="2" t="str">
        <f aca="false">IF((F222&lt;&gt;0),"Enter Letter"," ")</f>
        <v> </v>
      </c>
      <c r="F222" s="30"/>
      <c r="G222" s="6" t="str">
        <f aca="false">IF(F222&lt;&gt;0,F222*G$2/(100+G$2)," ")</f>
        <v> </v>
      </c>
      <c r="H222" s="6" t="str">
        <f aca="false">IF((F222&lt;&gt;0),F222-G222," ")</f>
        <v> </v>
      </c>
      <c r="I222" s="5"/>
      <c r="L222" s="7" t="str">
        <f aca="false">IF(F222&lt;&gt;0,F222-K222," ")</f>
        <v> </v>
      </c>
      <c r="M222" s="8" t="str">
        <f aca="false">IF((F222-K222)&lt;&gt;0,M$1-A222," ")</f>
        <v> </v>
      </c>
      <c r="N222" s="5"/>
      <c r="O222" s="17" t="str">
        <f aca="false">IF((E222="s"),H222," ")</f>
        <v> </v>
      </c>
      <c r="P222" s="17" t="str">
        <f aca="false">IF((E222="c"),H222," ")</f>
        <v> </v>
      </c>
      <c r="Q222" s="17" t="str">
        <f aca="false">IF((E222="o"),H222," ")</f>
        <v> </v>
      </c>
      <c r="R222" s="17" t="str">
        <f aca="false">IF((E222="d"),H222," ")</f>
        <v> </v>
      </c>
      <c r="S222" s="17" t="str">
        <f aca="false">IF((E222="w"),H222," ")</f>
        <v> </v>
      </c>
      <c r="T222" s="17" t="str">
        <f aca="false">IF((E222="r"),H222," ")</f>
        <v> </v>
      </c>
      <c r="U222" s="17" t="str">
        <f aca="false">IF((E222="p"),H222," ")</f>
        <v> </v>
      </c>
      <c r="V222" s="17" t="str">
        <f aca="false">IF((E222="t"),H222," ")</f>
        <v> </v>
      </c>
      <c r="W222" s="17" t="str">
        <f aca="false">IF((E222="q"),H222," ")</f>
        <v> </v>
      </c>
      <c r="X222" s="17" t="str">
        <f aca="false">IF((E222="m"),H222," ")</f>
        <v> </v>
      </c>
      <c r="Y222" s="17" t="str">
        <f aca="false">IF((E222="u"),H222," ")</f>
        <v> </v>
      </c>
      <c r="Z222" s="17" t="str">
        <f aca="false">IF((E222="a"),H222," ")</f>
        <v> </v>
      </c>
      <c r="AA222" s="17" t="str">
        <f aca="false">IF((E222="g"),H222," ")</f>
        <v> </v>
      </c>
      <c r="AB222" s="17" t="str">
        <f aca="false">IF((E222="h"),H222," ")</f>
        <v> </v>
      </c>
      <c r="AC222" s="30" t="str">
        <f aca="false">IF((E222="v"),H222," ")</f>
        <v> </v>
      </c>
      <c r="AD222" s="30" t="str">
        <f aca="false">IF((E222="n"),H222," ")</f>
        <v> </v>
      </c>
      <c r="AE222" s="17" t="str">
        <f aca="false">IF((E222="f"),H222," ")</f>
        <v> </v>
      </c>
      <c r="AF222" s="17" t="str">
        <f aca="false">IF((E222="l"),H222," ")</f>
        <v> </v>
      </c>
      <c r="AG222" s="17" t="str">
        <f aca="false">IF((E222="y"),H222," ")</f>
        <v> </v>
      </c>
      <c r="AH222" s="17" t="str">
        <f aca="false">IF((E222="z"),H222," ")</f>
        <v> </v>
      </c>
      <c r="AI222" s="17" t="str">
        <f aca="false">IF((E222="fa"),H222," ")</f>
        <v> </v>
      </c>
      <c r="AJ222" s="17" t="str">
        <f aca="false">IF((E222="e"),H222," ")</f>
        <v> </v>
      </c>
    </row>
    <row r="223" customFormat="false" ht="12" hidden="false" customHeight="false" outlineLevel="0" collapsed="false">
      <c r="A223" s="28"/>
      <c r="E223" s="2" t="str">
        <f aca="false">IF((F223&lt;&gt;0),"Enter Letter"," ")</f>
        <v> </v>
      </c>
      <c r="F223" s="30"/>
      <c r="G223" s="6" t="str">
        <f aca="false">IF(F223&lt;&gt;0,F223*G$2/(100+G$2)," ")</f>
        <v> </v>
      </c>
      <c r="H223" s="6" t="str">
        <f aca="false">IF((F223&lt;&gt;0),F223-G223," ")</f>
        <v> </v>
      </c>
      <c r="I223" s="5"/>
      <c r="L223" s="7" t="str">
        <f aca="false">IF(F223&lt;&gt;0,F223-K223," ")</f>
        <v> </v>
      </c>
      <c r="M223" s="8" t="str">
        <f aca="false">IF((F223-K223)&lt;&gt;0,M$1-A223," ")</f>
        <v> </v>
      </c>
      <c r="N223" s="5"/>
      <c r="O223" s="17" t="str">
        <f aca="false">IF((E223="s"),H223," ")</f>
        <v> </v>
      </c>
      <c r="P223" s="17" t="str">
        <f aca="false">IF((E223="c"),H223," ")</f>
        <v> </v>
      </c>
      <c r="Q223" s="17" t="str">
        <f aca="false">IF((E223="o"),H223," ")</f>
        <v> </v>
      </c>
      <c r="R223" s="17" t="str">
        <f aca="false">IF((E223="d"),H223," ")</f>
        <v> </v>
      </c>
      <c r="S223" s="17" t="str">
        <f aca="false">IF((E223="w"),H223," ")</f>
        <v> </v>
      </c>
      <c r="T223" s="17" t="str">
        <f aca="false">IF((E223="r"),H223," ")</f>
        <v> </v>
      </c>
      <c r="U223" s="17" t="str">
        <f aca="false">IF((E223="p"),H223," ")</f>
        <v> </v>
      </c>
      <c r="V223" s="17" t="str">
        <f aca="false">IF((E223="t"),H223," ")</f>
        <v> </v>
      </c>
      <c r="W223" s="17" t="str">
        <f aca="false">IF((E223="q"),H223," ")</f>
        <v> </v>
      </c>
      <c r="X223" s="17" t="str">
        <f aca="false">IF((E223="m"),H223," ")</f>
        <v> </v>
      </c>
      <c r="Y223" s="17" t="str">
        <f aca="false">IF((E223="u"),H223," ")</f>
        <v> </v>
      </c>
      <c r="Z223" s="17" t="str">
        <f aca="false">IF((E223="a"),H223," ")</f>
        <v> </v>
      </c>
      <c r="AA223" s="17" t="str">
        <f aca="false">IF((E223="g"),H223," ")</f>
        <v> </v>
      </c>
      <c r="AB223" s="17" t="str">
        <f aca="false">IF((E223="h"),H223," ")</f>
        <v> </v>
      </c>
      <c r="AC223" s="30" t="str">
        <f aca="false">IF((E223="v"),H223," ")</f>
        <v> </v>
      </c>
      <c r="AD223" s="30" t="str">
        <f aca="false">IF((E223="n"),H223," ")</f>
        <v> </v>
      </c>
      <c r="AE223" s="17" t="str">
        <f aca="false">IF((E223="f"),H223," ")</f>
        <v> </v>
      </c>
      <c r="AF223" s="17" t="str">
        <f aca="false">IF((E223="l"),H223," ")</f>
        <v> </v>
      </c>
      <c r="AG223" s="17" t="str">
        <f aca="false">IF((E223="y"),H223," ")</f>
        <v> </v>
      </c>
      <c r="AH223" s="17" t="str">
        <f aca="false">IF((E223="z"),H223," ")</f>
        <v> </v>
      </c>
      <c r="AI223" s="17" t="str">
        <f aca="false">IF((E223="fa"),H223," ")</f>
        <v> </v>
      </c>
      <c r="AJ223" s="17" t="str">
        <f aca="false">IF((E223="e"),H223," ")</f>
        <v> </v>
      </c>
    </row>
    <row r="224" customFormat="false" ht="12" hidden="false" customHeight="false" outlineLevel="0" collapsed="false">
      <c r="A224" s="28"/>
      <c r="E224" s="2" t="str">
        <f aca="false">IF((F224&lt;&gt;0),"Enter Letter"," ")</f>
        <v> </v>
      </c>
      <c r="F224" s="30"/>
      <c r="G224" s="6" t="str">
        <f aca="false">IF(F224&lt;&gt;0,F224*G$2/(100+G$2)," ")</f>
        <v> </v>
      </c>
      <c r="H224" s="6" t="str">
        <f aca="false">IF((F224&lt;&gt;0),F224-G224," ")</f>
        <v> </v>
      </c>
      <c r="I224" s="5"/>
      <c r="L224" s="7" t="str">
        <f aca="false">IF(F224&lt;&gt;0,F224-K224," ")</f>
        <v> </v>
      </c>
      <c r="M224" s="8" t="str">
        <f aca="false">IF((F224-K224)&lt;&gt;0,M$1-A224," ")</f>
        <v> </v>
      </c>
      <c r="N224" s="5"/>
      <c r="O224" s="17" t="str">
        <f aca="false">IF((E224="s"),H224," ")</f>
        <v> </v>
      </c>
      <c r="P224" s="17" t="str">
        <f aca="false">IF((E224="c"),H224," ")</f>
        <v> </v>
      </c>
      <c r="Q224" s="17" t="str">
        <f aca="false">IF((E224="o"),H224," ")</f>
        <v> </v>
      </c>
      <c r="R224" s="17" t="str">
        <f aca="false">IF((E224="d"),H224," ")</f>
        <v> </v>
      </c>
      <c r="S224" s="17" t="str">
        <f aca="false">IF((E224="w"),H224," ")</f>
        <v> </v>
      </c>
      <c r="T224" s="17" t="str">
        <f aca="false">IF((E224="r"),H224," ")</f>
        <v> </v>
      </c>
      <c r="U224" s="17" t="str">
        <f aca="false">IF((E224="p"),H224," ")</f>
        <v> </v>
      </c>
      <c r="V224" s="17" t="str">
        <f aca="false">IF((E224="t"),H224," ")</f>
        <v> </v>
      </c>
      <c r="W224" s="17" t="str">
        <f aca="false">IF((E224="q"),H224," ")</f>
        <v> </v>
      </c>
      <c r="X224" s="17" t="str">
        <f aca="false">IF((E224="m"),H224," ")</f>
        <v> </v>
      </c>
      <c r="Y224" s="17" t="str">
        <f aca="false">IF((E224="u"),H224," ")</f>
        <v> </v>
      </c>
      <c r="Z224" s="17" t="str">
        <f aca="false">IF((E224="a"),H224," ")</f>
        <v> </v>
      </c>
      <c r="AA224" s="17" t="str">
        <f aca="false">IF((E224="g"),H224," ")</f>
        <v> </v>
      </c>
      <c r="AB224" s="17" t="str">
        <f aca="false">IF((E224="h"),H224," ")</f>
        <v> </v>
      </c>
      <c r="AC224" s="30" t="str">
        <f aca="false">IF((E224="v"),H224," ")</f>
        <v> </v>
      </c>
      <c r="AD224" s="30" t="str">
        <f aca="false">IF((E224="n"),H224," ")</f>
        <v> </v>
      </c>
      <c r="AE224" s="17" t="str">
        <f aca="false">IF((E224="f"),H224," ")</f>
        <v> </v>
      </c>
      <c r="AF224" s="17" t="str">
        <f aca="false">IF((E224="l"),H224," ")</f>
        <v> </v>
      </c>
      <c r="AG224" s="17" t="str">
        <f aca="false">IF((E224="y"),H224," ")</f>
        <v> </v>
      </c>
      <c r="AH224" s="17" t="str">
        <f aca="false">IF((E224="z"),H224," ")</f>
        <v> </v>
      </c>
      <c r="AI224" s="17" t="str">
        <f aca="false">IF((E224="fa"),H224," ")</f>
        <v> </v>
      </c>
      <c r="AJ224" s="17" t="str">
        <f aca="false">IF((E224="e"),H224," ")</f>
        <v> </v>
      </c>
    </row>
    <row r="225" customFormat="false" ht="12" hidden="false" customHeight="false" outlineLevel="0" collapsed="false">
      <c r="A225" s="28"/>
      <c r="E225" s="2" t="str">
        <f aca="false">IF((F225&lt;&gt;0),"Enter Letter"," ")</f>
        <v> </v>
      </c>
      <c r="F225" s="30"/>
      <c r="G225" s="6" t="str">
        <f aca="false">IF(F225&lt;&gt;0,F225*G$2/(100+G$2)," ")</f>
        <v> </v>
      </c>
      <c r="H225" s="6" t="str">
        <f aca="false">IF((F225&lt;&gt;0),F225-G225," ")</f>
        <v> </v>
      </c>
      <c r="I225" s="5"/>
      <c r="L225" s="7" t="str">
        <f aca="false">IF(F225&lt;&gt;0,F225-K225," ")</f>
        <v> </v>
      </c>
      <c r="M225" s="8" t="str">
        <f aca="false">IF((F225-K225)&lt;&gt;0,M$1-A225," ")</f>
        <v> </v>
      </c>
      <c r="N225" s="5"/>
      <c r="O225" s="17" t="str">
        <f aca="false">IF((E225="s"),H225," ")</f>
        <v> </v>
      </c>
      <c r="P225" s="17" t="str">
        <f aca="false">IF((E225="c"),H225," ")</f>
        <v> </v>
      </c>
      <c r="Q225" s="17" t="str">
        <f aca="false">IF((E225="o"),H225," ")</f>
        <v> </v>
      </c>
      <c r="R225" s="17" t="str">
        <f aca="false">IF((E225="d"),H225," ")</f>
        <v> </v>
      </c>
      <c r="S225" s="17" t="str">
        <f aca="false">IF((E225="w"),H225," ")</f>
        <v> </v>
      </c>
      <c r="T225" s="17" t="str">
        <f aca="false">IF((E225="r"),H225," ")</f>
        <v> </v>
      </c>
      <c r="U225" s="17" t="str">
        <f aca="false">IF((E225="p"),H225," ")</f>
        <v> </v>
      </c>
      <c r="V225" s="17" t="str">
        <f aca="false">IF((E225="t"),H225," ")</f>
        <v> </v>
      </c>
      <c r="W225" s="17" t="str">
        <f aca="false">IF((E225="q"),H225," ")</f>
        <v> </v>
      </c>
      <c r="X225" s="17" t="str">
        <f aca="false">IF((E225="m"),H225," ")</f>
        <v> </v>
      </c>
      <c r="Y225" s="17" t="str">
        <f aca="false">IF((E225="u"),H225," ")</f>
        <v> </v>
      </c>
      <c r="Z225" s="17" t="str">
        <f aca="false">IF((E225="a"),H225," ")</f>
        <v> </v>
      </c>
      <c r="AA225" s="17" t="str">
        <f aca="false">IF((E225="g"),H225," ")</f>
        <v> </v>
      </c>
      <c r="AB225" s="17" t="str">
        <f aca="false">IF((E225="h"),H225," ")</f>
        <v> </v>
      </c>
      <c r="AC225" s="30" t="str">
        <f aca="false">IF((E225="v"),H225," ")</f>
        <v> </v>
      </c>
      <c r="AD225" s="30" t="str">
        <f aca="false">IF((E225="n"),H225," ")</f>
        <v> </v>
      </c>
      <c r="AE225" s="17" t="str">
        <f aca="false">IF((E225="f"),H225," ")</f>
        <v> </v>
      </c>
      <c r="AF225" s="17" t="str">
        <f aca="false">IF((E225="l"),H225," ")</f>
        <v> </v>
      </c>
      <c r="AG225" s="17" t="str">
        <f aca="false">IF((E225="y"),H225," ")</f>
        <v> </v>
      </c>
      <c r="AH225" s="17" t="str">
        <f aca="false">IF((E225="z"),H225," ")</f>
        <v> </v>
      </c>
      <c r="AI225" s="17" t="str">
        <f aca="false">IF((E225="fa"),H225," ")</f>
        <v> </v>
      </c>
      <c r="AJ225" s="17" t="str">
        <f aca="false">IF((E225="e"),H225," ")</f>
        <v> </v>
      </c>
    </row>
    <row r="226" customFormat="false" ht="12" hidden="false" customHeight="false" outlineLevel="0" collapsed="false">
      <c r="A226" s="28"/>
      <c r="E226" s="2" t="str">
        <f aca="false">IF((F226&lt;&gt;0),"Enter Letter"," ")</f>
        <v> </v>
      </c>
      <c r="F226" s="30"/>
      <c r="G226" s="6" t="str">
        <f aca="false">IF(F226&lt;&gt;0,F226*G$2/(100+G$2)," ")</f>
        <v> </v>
      </c>
      <c r="H226" s="6" t="str">
        <f aca="false">IF((F226&lt;&gt;0),F226-G226," ")</f>
        <v> </v>
      </c>
      <c r="I226" s="5"/>
      <c r="L226" s="7" t="str">
        <f aca="false">IF(F226&lt;&gt;0,F226-K226," ")</f>
        <v> </v>
      </c>
      <c r="M226" s="8" t="str">
        <f aca="false">IF((F226-K226)&lt;&gt;0,M$1-A226," ")</f>
        <v> </v>
      </c>
      <c r="N226" s="5"/>
      <c r="O226" s="17" t="str">
        <f aca="false">IF((E226="s"),H226," ")</f>
        <v> </v>
      </c>
      <c r="P226" s="17" t="str">
        <f aca="false">IF((E226="c"),H226," ")</f>
        <v> </v>
      </c>
      <c r="Q226" s="17" t="str">
        <f aca="false">IF((E226="o"),H226," ")</f>
        <v> </v>
      </c>
      <c r="R226" s="17" t="str">
        <f aca="false">IF((E226="d"),H226," ")</f>
        <v> </v>
      </c>
      <c r="S226" s="17" t="str">
        <f aca="false">IF((E226="w"),H226," ")</f>
        <v> </v>
      </c>
      <c r="T226" s="17" t="str">
        <f aca="false">IF((E226="r"),H226," ")</f>
        <v> </v>
      </c>
      <c r="U226" s="17" t="str">
        <f aca="false">IF((E226="p"),H226," ")</f>
        <v> </v>
      </c>
      <c r="V226" s="17" t="str">
        <f aca="false">IF((E226="t"),H226," ")</f>
        <v> </v>
      </c>
      <c r="W226" s="17" t="str">
        <f aca="false">IF((E226="q"),H226," ")</f>
        <v> </v>
      </c>
      <c r="X226" s="17" t="str">
        <f aca="false">IF((E226="m"),H226," ")</f>
        <v> </v>
      </c>
      <c r="Y226" s="17" t="str">
        <f aca="false">IF((E226="u"),H226," ")</f>
        <v> </v>
      </c>
      <c r="Z226" s="17" t="str">
        <f aca="false">IF((E226="a"),H226," ")</f>
        <v> </v>
      </c>
      <c r="AA226" s="17" t="str">
        <f aca="false">IF((E226="g"),H226," ")</f>
        <v> </v>
      </c>
      <c r="AB226" s="17" t="str">
        <f aca="false">IF((E226="h"),H226," ")</f>
        <v> </v>
      </c>
      <c r="AC226" s="30" t="str">
        <f aca="false">IF((E226="v"),H226," ")</f>
        <v> </v>
      </c>
      <c r="AD226" s="30" t="str">
        <f aca="false">IF((E226="n"),H226," ")</f>
        <v> </v>
      </c>
      <c r="AE226" s="17" t="str">
        <f aca="false">IF((E226="f"),H226," ")</f>
        <v> </v>
      </c>
      <c r="AF226" s="17" t="str">
        <f aca="false">IF((E226="l"),H226," ")</f>
        <v> </v>
      </c>
      <c r="AG226" s="17" t="str">
        <f aca="false">IF((E226="y"),H226," ")</f>
        <v> </v>
      </c>
      <c r="AH226" s="17" t="str">
        <f aca="false">IF((E226="z"),H226," ")</f>
        <v> </v>
      </c>
      <c r="AI226" s="17" t="str">
        <f aca="false">IF((E226="fa"),H226," ")</f>
        <v> </v>
      </c>
      <c r="AJ226" s="17" t="str">
        <f aca="false">IF((E226="e"),H226," ")</f>
        <v> </v>
      </c>
    </row>
    <row r="227" customFormat="false" ht="12" hidden="false" customHeight="false" outlineLevel="0" collapsed="false">
      <c r="A227" s="28"/>
      <c r="E227" s="2" t="str">
        <f aca="false">IF((F227&lt;&gt;0),"Enter Letter"," ")</f>
        <v> </v>
      </c>
      <c r="F227" s="30"/>
      <c r="G227" s="6" t="str">
        <f aca="false">IF(F227&lt;&gt;0,F227*G$2/(100+G$2)," ")</f>
        <v> </v>
      </c>
      <c r="H227" s="6" t="str">
        <f aca="false">IF((F227&lt;&gt;0),F227-G227," ")</f>
        <v> </v>
      </c>
      <c r="I227" s="5"/>
      <c r="L227" s="7" t="str">
        <f aca="false">IF(F227&lt;&gt;0,F227-K227," ")</f>
        <v> </v>
      </c>
      <c r="M227" s="8" t="str">
        <f aca="false">IF((F227-K227)&lt;&gt;0,M$1-A227," ")</f>
        <v> </v>
      </c>
      <c r="N227" s="5"/>
      <c r="O227" s="17" t="str">
        <f aca="false">IF((E227="s"),H227," ")</f>
        <v> </v>
      </c>
      <c r="P227" s="17" t="str">
        <f aca="false">IF((E227="c"),H227," ")</f>
        <v> </v>
      </c>
      <c r="Q227" s="17" t="str">
        <f aca="false">IF((E227="o"),H227," ")</f>
        <v> </v>
      </c>
      <c r="R227" s="17" t="str">
        <f aca="false">IF((E227="d"),H227," ")</f>
        <v> </v>
      </c>
      <c r="S227" s="17" t="str">
        <f aca="false">IF((E227="w"),H227," ")</f>
        <v> </v>
      </c>
      <c r="T227" s="17" t="str">
        <f aca="false">IF((E227="r"),H227," ")</f>
        <v> </v>
      </c>
      <c r="U227" s="17" t="str">
        <f aca="false">IF((E227="p"),H227," ")</f>
        <v> </v>
      </c>
      <c r="V227" s="17" t="str">
        <f aca="false">IF((E227="t"),H227," ")</f>
        <v> </v>
      </c>
      <c r="W227" s="17" t="str">
        <f aca="false">IF((E227="q"),H227," ")</f>
        <v> </v>
      </c>
      <c r="X227" s="17" t="str">
        <f aca="false">IF((E227="m"),H227," ")</f>
        <v> </v>
      </c>
      <c r="Y227" s="17" t="str">
        <f aca="false">IF((E227="u"),H227," ")</f>
        <v> </v>
      </c>
      <c r="Z227" s="17" t="str">
        <f aca="false">IF((E227="a"),H227," ")</f>
        <v> </v>
      </c>
      <c r="AA227" s="17" t="str">
        <f aca="false">IF((E227="g"),H227," ")</f>
        <v> </v>
      </c>
      <c r="AB227" s="17" t="str">
        <f aca="false">IF((E227="h"),H227," ")</f>
        <v> </v>
      </c>
      <c r="AC227" s="30" t="str">
        <f aca="false">IF((E227="v"),H227," ")</f>
        <v> </v>
      </c>
      <c r="AD227" s="30" t="str">
        <f aca="false">IF((E227="n"),H227," ")</f>
        <v> </v>
      </c>
      <c r="AE227" s="17" t="str">
        <f aca="false">IF((E227="f"),H227," ")</f>
        <v> </v>
      </c>
      <c r="AF227" s="17" t="str">
        <f aca="false">IF((E227="l"),H227," ")</f>
        <v> </v>
      </c>
      <c r="AG227" s="17" t="str">
        <f aca="false">IF((E227="y"),H227," ")</f>
        <v> </v>
      </c>
      <c r="AH227" s="17" t="str">
        <f aca="false">IF((E227="z"),H227," ")</f>
        <v> </v>
      </c>
      <c r="AI227" s="17" t="str">
        <f aca="false">IF((E227="fa"),H227," ")</f>
        <v> </v>
      </c>
      <c r="AJ227" s="17" t="str">
        <f aca="false">IF((E227="e"),H227," ")</f>
        <v> </v>
      </c>
    </row>
    <row r="228" customFormat="false" ht="12" hidden="false" customHeight="false" outlineLevel="0" collapsed="false">
      <c r="A228" s="28"/>
      <c r="E228" s="2" t="str">
        <f aca="false">IF((F228&lt;&gt;0),"Enter Letter"," ")</f>
        <v> </v>
      </c>
      <c r="F228" s="30"/>
      <c r="G228" s="6" t="str">
        <f aca="false">IF(F228&lt;&gt;0,F228*G$2/(100+G$2)," ")</f>
        <v> </v>
      </c>
      <c r="H228" s="6" t="str">
        <f aca="false">IF((F228&lt;&gt;0),F228-G228," ")</f>
        <v> </v>
      </c>
      <c r="I228" s="5"/>
      <c r="L228" s="7" t="str">
        <f aca="false">IF(F228&lt;&gt;0,F228-K228," ")</f>
        <v> </v>
      </c>
      <c r="M228" s="8" t="str">
        <f aca="false">IF((F228-K228)&lt;&gt;0,M$1-A228," ")</f>
        <v> </v>
      </c>
      <c r="N228" s="5"/>
      <c r="O228" s="17" t="str">
        <f aca="false">IF((E228="s"),H228," ")</f>
        <v> </v>
      </c>
      <c r="P228" s="17" t="str">
        <f aca="false">IF((E228="c"),H228," ")</f>
        <v> </v>
      </c>
      <c r="Q228" s="17" t="str">
        <f aca="false">IF((E228="o"),H228," ")</f>
        <v> </v>
      </c>
      <c r="R228" s="17" t="str">
        <f aca="false">IF((E228="d"),H228," ")</f>
        <v> </v>
      </c>
      <c r="S228" s="17" t="str">
        <f aca="false">IF((E228="w"),H228," ")</f>
        <v> </v>
      </c>
      <c r="T228" s="17" t="str">
        <f aca="false">IF((E228="r"),H228," ")</f>
        <v> </v>
      </c>
      <c r="U228" s="17" t="str">
        <f aca="false">IF((E228="p"),H228," ")</f>
        <v> </v>
      </c>
      <c r="V228" s="17" t="str">
        <f aca="false">IF((E228="t"),H228," ")</f>
        <v> </v>
      </c>
      <c r="W228" s="17" t="str">
        <f aca="false">IF((E228="q"),H228," ")</f>
        <v> </v>
      </c>
      <c r="X228" s="17" t="str">
        <f aca="false">IF((E228="m"),H228," ")</f>
        <v> </v>
      </c>
      <c r="Y228" s="17" t="str">
        <f aca="false">IF((E228="u"),H228," ")</f>
        <v> </v>
      </c>
      <c r="Z228" s="17" t="str">
        <f aca="false">IF((E228="a"),H228," ")</f>
        <v> </v>
      </c>
      <c r="AA228" s="17" t="str">
        <f aca="false">IF((E228="g"),H228," ")</f>
        <v> </v>
      </c>
      <c r="AB228" s="17" t="str">
        <f aca="false">IF((E228="h"),H228," ")</f>
        <v> </v>
      </c>
      <c r="AC228" s="30" t="str">
        <f aca="false">IF((E228="v"),H228," ")</f>
        <v> </v>
      </c>
      <c r="AD228" s="30" t="str">
        <f aca="false">IF((E228="n"),H228," ")</f>
        <v> </v>
      </c>
      <c r="AE228" s="17" t="str">
        <f aca="false">IF((E228="f"),H228," ")</f>
        <v> </v>
      </c>
      <c r="AF228" s="17" t="str">
        <f aca="false">IF((E228="l"),H228," ")</f>
        <v> </v>
      </c>
      <c r="AG228" s="17" t="str">
        <f aca="false">IF((E228="y"),H228," ")</f>
        <v> </v>
      </c>
      <c r="AH228" s="17" t="str">
        <f aca="false">IF((E228="z"),H228," ")</f>
        <v> </v>
      </c>
      <c r="AI228" s="17" t="str">
        <f aca="false">IF((E228="fa"),H228," ")</f>
        <v> </v>
      </c>
      <c r="AJ228" s="17" t="str">
        <f aca="false">IF((E228="e"),H228," ")</f>
        <v> </v>
      </c>
    </row>
    <row r="229" customFormat="false" ht="12" hidden="false" customHeight="false" outlineLevel="0" collapsed="false">
      <c r="A229" s="28"/>
      <c r="E229" s="2" t="str">
        <f aca="false">IF((F229&lt;&gt;0),"Enter Letter"," ")</f>
        <v> </v>
      </c>
      <c r="F229" s="30"/>
      <c r="G229" s="6" t="str">
        <f aca="false">IF(F229&lt;&gt;0,F229*G$2/(100+G$2)," ")</f>
        <v> </v>
      </c>
      <c r="H229" s="6" t="str">
        <f aca="false">IF((F229&lt;&gt;0),F229-G229," ")</f>
        <v> </v>
      </c>
      <c r="I229" s="5"/>
      <c r="L229" s="7" t="str">
        <f aca="false">IF(F229&lt;&gt;0,F229-K229," ")</f>
        <v> </v>
      </c>
      <c r="M229" s="8" t="str">
        <f aca="false">IF((F229-K229)&lt;&gt;0,M$1-A229," ")</f>
        <v> </v>
      </c>
      <c r="N229" s="5"/>
      <c r="O229" s="17" t="str">
        <f aca="false">IF((E229="s"),H229," ")</f>
        <v> </v>
      </c>
      <c r="P229" s="17" t="str">
        <f aca="false">IF((E229="c"),H229," ")</f>
        <v> </v>
      </c>
      <c r="Q229" s="17" t="str">
        <f aca="false">IF((E229="o"),H229," ")</f>
        <v> </v>
      </c>
      <c r="R229" s="17" t="str">
        <f aca="false">IF((E229="d"),H229," ")</f>
        <v> </v>
      </c>
      <c r="S229" s="17" t="str">
        <f aca="false">IF((E229="w"),H229," ")</f>
        <v> </v>
      </c>
      <c r="T229" s="17" t="str">
        <f aca="false">IF((E229="r"),H229," ")</f>
        <v> </v>
      </c>
      <c r="U229" s="17" t="str">
        <f aca="false">IF((E229="p"),H229," ")</f>
        <v> </v>
      </c>
      <c r="V229" s="17" t="str">
        <f aca="false">IF((E229="t"),H229," ")</f>
        <v> </v>
      </c>
      <c r="W229" s="17" t="str">
        <f aca="false">IF((E229="q"),H229," ")</f>
        <v> </v>
      </c>
      <c r="X229" s="17" t="str">
        <f aca="false">IF((E229="m"),H229," ")</f>
        <v> </v>
      </c>
      <c r="Y229" s="17" t="str">
        <f aca="false">IF((E229="u"),H229," ")</f>
        <v> </v>
      </c>
      <c r="Z229" s="17" t="str">
        <f aca="false">IF((E229="a"),H229," ")</f>
        <v> </v>
      </c>
      <c r="AA229" s="17" t="str">
        <f aca="false">IF((E229="g"),H229," ")</f>
        <v> </v>
      </c>
      <c r="AB229" s="17" t="str">
        <f aca="false">IF((E229="h"),H229," ")</f>
        <v> </v>
      </c>
      <c r="AC229" s="30" t="str">
        <f aca="false">IF((E229="v"),H229," ")</f>
        <v> </v>
      </c>
      <c r="AD229" s="30" t="str">
        <f aca="false">IF((E229="n"),H229," ")</f>
        <v> </v>
      </c>
      <c r="AE229" s="17" t="str">
        <f aca="false">IF((E229="f"),H229," ")</f>
        <v> </v>
      </c>
      <c r="AF229" s="17" t="str">
        <f aca="false">IF((E229="l"),H229," ")</f>
        <v> </v>
      </c>
      <c r="AG229" s="17" t="str">
        <f aca="false">IF((E229="y"),H229," ")</f>
        <v> </v>
      </c>
      <c r="AH229" s="17" t="str">
        <f aca="false">IF((E229="z"),H229," ")</f>
        <v> </v>
      </c>
      <c r="AI229" s="17" t="str">
        <f aca="false">IF((E229="fa"),H229," ")</f>
        <v> </v>
      </c>
      <c r="AJ229" s="17" t="str">
        <f aca="false">IF((E229="e"),H229," ")</f>
        <v> </v>
      </c>
    </row>
    <row r="230" customFormat="false" ht="12" hidden="false" customHeight="false" outlineLevel="0" collapsed="false">
      <c r="A230" s="28"/>
      <c r="E230" s="2" t="str">
        <f aca="false">IF((F230&lt;&gt;0),"Enter Letter"," ")</f>
        <v> </v>
      </c>
      <c r="F230" s="30"/>
      <c r="G230" s="6" t="str">
        <f aca="false">IF(F230&lt;&gt;0,F230*G$2/(100+G$2)," ")</f>
        <v> </v>
      </c>
      <c r="H230" s="6" t="str">
        <f aca="false">IF((F230&lt;&gt;0),F230-G230," ")</f>
        <v> </v>
      </c>
      <c r="I230" s="5"/>
      <c r="L230" s="7" t="str">
        <f aca="false">IF(F230&lt;&gt;0,F230-K230," ")</f>
        <v> </v>
      </c>
      <c r="M230" s="8" t="str">
        <f aca="false">IF((F230-K230)&lt;&gt;0,M$1-A230," ")</f>
        <v> </v>
      </c>
      <c r="N230" s="5"/>
      <c r="O230" s="17" t="str">
        <f aca="false">IF((E230="s"),H230," ")</f>
        <v> </v>
      </c>
      <c r="P230" s="17" t="str">
        <f aca="false">IF((E230="c"),H230," ")</f>
        <v> </v>
      </c>
      <c r="Q230" s="17" t="str">
        <f aca="false">IF((E230="o"),H230," ")</f>
        <v> </v>
      </c>
      <c r="R230" s="17" t="str">
        <f aca="false">IF((E230="d"),H230," ")</f>
        <v> </v>
      </c>
      <c r="S230" s="17" t="str">
        <f aca="false">IF((E230="w"),H230," ")</f>
        <v> </v>
      </c>
      <c r="T230" s="17" t="str">
        <f aca="false">IF((E230="r"),H230," ")</f>
        <v> </v>
      </c>
      <c r="U230" s="17" t="str">
        <f aca="false">IF((E230="p"),H230," ")</f>
        <v> </v>
      </c>
      <c r="V230" s="17" t="str">
        <f aca="false">IF((E230="t"),H230," ")</f>
        <v> </v>
      </c>
      <c r="W230" s="17" t="str">
        <f aca="false">IF((E230="q"),H230," ")</f>
        <v> </v>
      </c>
      <c r="X230" s="17" t="str">
        <f aca="false">IF((E230="m"),H230," ")</f>
        <v> </v>
      </c>
      <c r="Y230" s="17" t="str">
        <f aca="false">IF((E230="u"),H230," ")</f>
        <v> </v>
      </c>
      <c r="Z230" s="17" t="str">
        <f aca="false">IF((E230="a"),H230," ")</f>
        <v> </v>
      </c>
      <c r="AA230" s="17" t="str">
        <f aca="false">IF((E230="g"),H230," ")</f>
        <v> </v>
      </c>
      <c r="AB230" s="17" t="str">
        <f aca="false">IF((E230="h"),H230," ")</f>
        <v> </v>
      </c>
      <c r="AC230" s="30" t="str">
        <f aca="false">IF((E230="v"),H230," ")</f>
        <v> </v>
      </c>
      <c r="AD230" s="30" t="str">
        <f aca="false">IF((E230="n"),H230," ")</f>
        <v> </v>
      </c>
      <c r="AE230" s="17" t="str">
        <f aca="false">IF((E230="f"),H230," ")</f>
        <v> </v>
      </c>
      <c r="AF230" s="17" t="str">
        <f aca="false">IF((E230="l"),H230," ")</f>
        <v> </v>
      </c>
      <c r="AG230" s="17" t="str">
        <f aca="false">IF((E230="y"),H230," ")</f>
        <v> </v>
      </c>
      <c r="AH230" s="17" t="str">
        <f aca="false">IF((E230="z"),H230," ")</f>
        <v> </v>
      </c>
      <c r="AI230" s="17" t="str">
        <f aca="false">IF((E230="fa"),H230," ")</f>
        <v> </v>
      </c>
      <c r="AJ230" s="17" t="str">
        <f aca="false">IF((E230="e"),H230," ")</f>
        <v> </v>
      </c>
    </row>
    <row r="231" customFormat="false" ht="12" hidden="false" customHeight="false" outlineLevel="0" collapsed="false">
      <c r="A231" s="28"/>
      <c r="E231" s="2" t="str">
        <f aca="false">IF((F231&lt;&gt;0),"Enter Letter"," ")</f>
        <v> </v>
      </c>
      <c r="F231" s="30"/>
      <c r="G231" s="6" t="str">
        <f aca="false">IF(F231&lt;&gt;0,F231*G$2/(100+G$2)," ")</f>
        <v> </v>
      </c>
      <c r="H231" s="6" t="str">
        <f aca="false">IF((F231&lt;&gt;0),F231-G231," ")</f>
        <v> </v>
      </c>
      <c r="I231" s="5"/>
      <c r="L231" s="7" t="str">
        <f aca="false">IF(F231&lt;&gt;0,F231-K231," ")</f>
        <v> </v>
      </c>
      <c r="M231" s="8" t="str">
        <f aca="false">IF((F231-K231)&lt;&gt;0,M$1-A231," ")</f>
        <v> </v>
      </c>
      <c r="N231" s="5"/>
      <c r="O231" s="17" t="str">
        <f aca="false">IF((E231="s"),H231," ")</f>
        <v> </v>
      </c>
      <c r="P231" s="17" t="str">
        <f aca="false">IF((E231="c"),H231," ")</f>
        <v> </v>
      </c>
      <c r="Q231" s="17" t="str">
        <f aca="false">IF((E231="o"),H231," ")</f>
        <v> </v>
      </c>
      <c r="R231" s="17" t="str">
        <f aca="false">IF((E231="d"),H231," ")</f>
        <v> </v>
      </c>
      <c r="S231" s="17" t="str">
        <f aca="false">IF((E231="w"),H231," ")</f>
        <v> </v>
      </c>
      <c r="T231" s="17" t="str">
        <f aca="false">IF((E231="r"),H231," ")</f>
        <v> </v>
      </c>
      <c r="U231" s="17" t="str">
        <f aca="false">IF((E231="p"),H231," ")</f>
        <v> </v>
      </c>
      <c r="V231" s="17" t="str">
        <f aca="false">IF((E231="t"),H231," ")</f>
        <v> </v>
      </c>
      <c r="W231" s="17" t="str">
        <f aca="false">IF((E231="q"),H231," ")</f>
        <v> </v>
      </c>
      <c r="X231" s="17" t="str">
        <f aca="false">IF((E231="m"),H231," ")</f>
        <v> </v>
      </c>
      <c r="Y231" s="17" t="str">
        <f aca="false">IF((E231="u"),H231," ")</f>
        <v> </v>
      </c>
      <c r="Z231" s="17" t="str">
        <f aca="false">IF((E231="a"),H231," ")</f>
        <v> </v>
      </c>
      <c r="AA231" s="17" t="str">
        <f aca="false">IF((E231="g"),H231," ")</f>
        <v> </v>
      </c>
      <c r="AB231" s="17" t="str">
        <f aca="false">IF((E231="h"),H231," ")</f>
        <v> </v>
      </c>
      <c r="AC231" s="30" t="str">
        <f aca="false">IF((E231="v"),H231," ")</f>
        <v> </v>
      </c>
      <c r="AD231" s="30" t="str">
        <f aca="false">IF((E231="n"),H231," ")</f>
        <v> </v>
      </c>
      <c r="AE231" s="17" t="str">
        <f aca="false">IF((E231="f"),H231," ")</f>
        <v> </v>
      </c>
      <c r="AF231" s="17" t="str">
        <f aca="false">IF((E231="l"),H231," ")</f>
        <v> </v>
      </c>
      <c r="AG231" s="17" t="str">
        <f aca="false">IF((E231="y"),H231," ")</f>
        <v> </v>
      </c>
      <c r="AH231" s="17" t="str">
        <f aca="false">IF((E231="z"),H231," ")</f>
        <v> </v>
      </c>
      <c r="AI231" s="17" t="str">
        <f aca="false">IF((E231="fa"),H231," ")</f>
        <v> </v>
      </c>
      <c r="AJ231" s="17" t="str">
        <f aca="false">IF((E231="e"),H231," ")</f>
        <v> </v>
      </c>
    </row>
    <row r="232" customFormat="false" ht="12" hidden="false" customHeight="false" outlineLevel="0" collapsed="false">
      <c r="A232" s="28"/>
      <c r="E232" s="2" t="str">
        <f aca="false">IF((F232&lt;&gt;0),"Enter Letter"," ")</f>
        <v> </v>
      </c>
      <c r="F232" s="30"/>
      <c r="G232" s="6" t="str">
        <f aca="false">IF(F232&lt;&gt;0,F232*G$2/(100+G$2)," ")</f>
        <v> </v>
      </c>
      <c r="H232" s="6" t="str">
        <f aca="false">IF((F232&lt;&gt;0),F232-G232," ")</f>
        <v> </v>
      </c>
      <c r="I232" s="5"/>
      <c r="L232" s="7" t="str">
        <f aca="false">IF(F232&lt;&gt;0,F232-K232," ")</f>
        <v> </v>
      </c>
      <c r="M232" s="8" t="str">
        <f aca="false">IF((F232-K232)&lt;&gt;0,M$1-A232," ")</f>
        <v> </v>
      </c>
      <c r="N232" s="5"/>
      <c r="O232" s="17" t="str">
        <f aca="false">IF((E232="s"),H232," ")</f>
        <v> </v>
      </c>
      <c r="P232" s="17" t="str">
        <f aca="false">IF((E232="c"),H232," ")</f>
        <v> </v>
      </c>
      <c r="Q232" s="17" t="str">
        <f aca="false">IF((E232="o"),H232," ")</f>
        <v> </v>
      </c>
      <c r="R232" s="17" t="str">
        <f aca="false">IF((E232="d"),H232," ")</f>
        <v> </v>
      </c>
      <c r="S232" s="17" t="str">
        <f aca="false">IF((E232="w"),H232," ")</f>
        <v> </v>
      </c>
      <c r="T232" s="17" t="str">
        <f aca="false">IF((E232="r"),H232," ")</f>
        <v> </v>
      </c>
      <c r="U232" s="17" t="str">
        <f aca="false">IF((E232="p"),H232," ")</f>
        <v> </v>
      </c>
      <c r="V232" s="17" t="str">
        <f aca="false">IF((E232="t"),H232," ")</f>
        <v> </v>
      </c>
      <c r="W232" s="17" t="str">
        <f aca="false">IF((E232="q"),H232," ")</f>
        <v> </v>
      </c>
      <c r="X232" s="17" t="str">
        <f aca="false">IF((E232="m"),H232," ")</f>
        <v> </v>
      </c>
      <c r="Y232" s="17" t="str">
        <f aca="false">IF((E232="u"),H232," ")</f>
        <v> </v>
      </c>
      <c r="Z232" s="17" t="str">
        <f aca="false">IF((E232="a"),H232," ")</f>
        <v> </v>
      </c>
      <c r="AA232" s="17" t="str">
        <f aca="false">IF((E232="g"),H232," ")</f>
        <v> </v>
      </c>
      <c r="AB232" s="17" t="str">
        <f aca="false">IF((E232="h"),H232," ")</f>
        <v> </v>
      </c>
      <c r="AC232" s="30" t="str">
        <f aca="false">IF((E232="v"),H232," ")</f>
        <v> </v>
      </c>
      <c r="AD232" s="30" t="str">
        <f aca="false">IF((E232="n"),H232," ")</f>
        <v> </v>
      </c>
      <c r="AE232" s="17" t="str">
        <f aca="false">IF((E232="f"),H232," ")</f>
        <v> </v>
      </c>
      <c r="AF232" s="17" t="str">
        <f aca="false">IF((E232="l"),H232," ")</f>
        <v> </v>
      </c>
      <c r="AG232" s="17" t="str">
        <f aca="false">IF((E232="y"),H232," ")</f>
        <v> </v>
      </c>
      <c r="AH232" s="17" t="str">
        <f aca="false">IF((E232="z"),H232," ")</f>
        <v> </v>
      </c>
      <c r="AI232" s="17" t="str">
        <f aca="false">IF((E232="fa"),H232," ")</f>
        <v> </v>
      </c>
      <c r="AJ232" s="17" t="str">
        <f aca="false">IF((E232="e"),H232," ")</f>
        <v> </v>
      </c>
    </row>
    <row r="233" customFormat="false" ht="12" hidden="false" customHeight="false" outlineLevel="0" collapsed="false">
      <c r="A233" s="28"/>
      <c r="E233" s="2" t="str">
        <f aca="false">IF((F233&lt;&gt;0),"Enter Letter"," ")</f>
        <v> </v>
      </c>
      <c r="F233" s="30"/>
      <c r="G233" s="6" t="str">
        <f aca="false">IF(F233&lt;&gt;0,F233*G$2/(100+G$2)," ")</f>
        <v> </v>
      </c>
      <c r="H233" s="6" t="str">
        <f aca="false">IF((F233&lt;&gt;0),F233-G233," ")</f>
        <v> </v>
      </c>
      <c r="I233" s="5"/>
      <c r="L233" s="7" t="str">
        <f aca="false">IF(F233&lt;&gt;0,F233-K233," ")</f>
        <v> </v>
      </c>
      <c r="M233" s="8" t="str">
        <f aca="false">IF((F233-K233)&lt;&gt;0,M$1-A233," ")</f>
        <v> </v>
      </c>
      <c r="N233" s="5"/>
      <c r="O233" s="17" t="str">
        <f aca="false">IF((E233="s"),H233," ")</f>
        <v> </v>
      </c>
      <c r="P233" s="17" t="str">
        <f aca="false">IF((E233="c"),H233," ")</f>
        <v> </v>
      </c>
      <c r="Q233" s="17" t="str">
        <f aca="false">IF((E233="o"),H233," ")</f>
        <v> </v>
      </c>
      <c r="R233" s="17" t="str">
        <f aca="false">IF((E233="d"),H233," ")</f>
        <v> </v>
      </c>
      <c r="S233" s="17" t="str">
        <f aca="false">IF((E233="w"),H233," ")</f>
        <v> </v>
      </c>
      <c r="T233" s="17" t="str">
        <f aca="false">IF((E233="r"),H233," ")</f>
        <v> </v>
      </c>
      <c r="U233" s="17" t="str">
        <f aca="false">IF((E233="p"),H233," ")</f>
        <v> </v>
      </c>
      <c r="V233" s="17" t="str">
        <f aca="false">IF((E233="t"),H233," ")</f>
        <v> </v>
      </c>
      <c r="W233" s="17" t="str">
        <f aca="false">IF((E233="q"),H233," ")</f>
        <v> </v>
      </c>
      <c r="X233" s="17" t="str">
        <f aca="false">IF((E233="m"),H233," ")</f>
        <v> </v>
      </c>
      <c r="Y233" s="17" t="str">
        <f aca="false">IF((E233="u"),H233," ")</f>
        <v> </v>
      </c>
      <c r="Z233" s="17" t="str">
        <f aca="false">IF((E233="a"),H233," ")</f>
        <v> </v>
      </c>
      <c r="AA233" s="17" t="str">
        <f aca="false">IF((E233="g"),H233," ")</f>
        <v> </v>
      </c>
      <c r="AB233" s="17" t="str">
        <f aca="false">IF((E233="h"),H233," ")</f>
        <v> </v>
      </c>
      <c r="AC233" s="30" t="str">
        <f aca="false">IF((E233="v"),H233," ")</f>
        <v> </v>
      </c>
      <c r="AD233" s="30" t="str">
        <f aca="false">IF((E233="n"),H233," ")</f>
        <v> </v>
      </c>
      <c r="AE233" s="17" t="str">
        <f aca="false">IF((E233="f"),H233," ")</f>
        <v> </v>
      </c>
      <c r="AF233" s="17" t="str">
        <f aca="false">IF((E233="l"),H233," ")</f>
        <v> </v>
      </c>
      <c r="AG233" s="17" t="str">
        <f aca="false">IF((E233="y"),H233," ")</f>
        <v> </v>
      </c>
      <c r="AH233" s="17" t="str">
        <f aca="false">IF((E233="z"),H233," ")</f>
        <v> </v>
      </c>
      <c r="AI233" s="17" t="str">
        <f aca="false">IF((E233="fa"),H233," ")</f>
        <v> </v>
      </c>
      <c r="AJ233" s="17" t="str">
        <f aca="false">IF((E233="e"),H233," ")</f>
        <v> </v>
      </c>
    </row>
    <row r="234" customFormat="false" ht="12" hidden="false" customHeight="false" outlineLevel="0" collapsed="false">
      <c r="A234" s="28"/>
      <c r="E234" s="2" t="str">
        <f aca="false">IF((F234&lt;&gt;0),"Enter Letter"," ")</f>
        <v> </v>
      </c>
      <c r="F234" s="30"/>
      <c r="G234" s="6" t="str">
        <f aca="false">IF(F234&lt;&gt;0,F234*G$2/(100+G$2)," ")</f>
        <v> </v>
      </c>
      <c r="H234" s="6" t="str">
        <f aca="false">IF((F234&lt;&gt;0),F234-G234," ")</f>
        <v> </v>
      </c>
      <c r="I234" s="5"/>
      <c r="L234" s="7" t="str">
        <f aca="false">IF(F234&lt;&gt;0,F234-K234," ")</f>
        <v> </v>
      </c>
      <c r="M234" s="8" t="str">
        <f aca="false">IF((F234-K234)&lt;&gt;0,M$1-A234," ")</f>
        <v> </v>
      </c>
      <c r="N234" s="5"/>
      <c r="O234" s="17" t="str">
        <f aca="false">IF((E234="s"),H234," ")</f>
        <v> </v>
      </c>
      <c r="P234" s="17" t="str">
        <f aca="false">IF((E234="c"),H234," ")</f>
        <v> </v>
      </c>
      <c r="Q234" s="17" t="str">
        <f aca="false">IF((E234="o"),H234," ")</f>
        <v> </v>
      </c>
      <c r="R234" s="17" t="str">
        <f aca="false">IF((E234="d"),H234," ")</f>
        <v> </v>
      </c>
      <c r="S234" s="17" t="str">
        <f aca="false">IF((E234="w"),H234," ")</f>
        <v> </v>
      </c>
      <c r="T234" s="17" t="str">
        <f aca="false">IF((E234="r"),H234," ")</f>
        <v> </v>
      </c>
      <c r="U234" s="17" t="str">
        <f aca="false">IF((E234="p"),H234," ")</f>
        <v> </v>
      </c>
      <c r="V234" s="17" t="str">
        <f aca="false">IF((E234="t"),H234," ")</f>
        <v> </v>
      </c>
      <c r="W234" s="17" t="str">
        <f aca="false">IF((E234="q"),H234," ")</f>
        <v> </v>
      </c>
      <c r="X234" s="17" t="str">
        <f aca="false">IF((E234="m"),H234," ")</f>
        <v> </v>
      </c>
      <c r="Y234" s="17" t="str">
        <f aca="false">IF((E234="u"),H234," ")</f>
        <v> </v>
      </c>
      <c r="Z234" s="17" t="str">
        <f aca="false">IF((E234="a"),H234," ")</f>
        <v> </v>
      </c>
      <c r="AA234" s="17" t="str">
        <f aca="false">IF((E234="g"),H234," ")</f>
        <v> </v>
      </c>
      <c r="AB234" s="17" t="str">
        <f aca="false">IF((E234="h"),H234," ")</f>
        <v> </v>
      </c>
      <c r="AC234" s="30" t="str">
        <f aca="false">IF((E234="v"),H234," ")</f>
        <v> </v>
      </c>
      <c r="AD234" s="30" t="str">
        <f aca="false">IF((E234="n"),H234," ")</f>
        <v> </v>
      </c>
      <c r="AE234" s="17" t="str">
        <f aca="false">IF((E234="f"),H234," ")</f>
        <v> </v>
      </c>
      <c r="AF234" s="17" t="str">
        <f aca="false">IF((E234="l"),H234," ")</f>
        <v> </v>
      </c>
      <c r="AG234" s="17" t="str">
        <f aca="false">IF((E234="y"),H234," ")</f>
        <v> </v>
      </c>
      <c r="AH234" s="17" t="str">
        <f aca="false">IF((E234="z"),H234," ")</f>
        <v> </v>
      </c>
      <c r="AI234" s="17" t="str">
        <f aca="false">IF((E234="fa"),H234," ")</f>
        <v> </v>
      </c>
      <c r="AJ234" s="17" t="str">
        <f aca="false">IF((E234="e"),H234," ")</f>
        <v> </v>
      </c>
    </row>
    <row r="235" customFormat="false" ht="12" hidden="false" customHeight="false" outlineLevel="0" collapsed="false">
      <c r="A235" s="28"/>
      <c r="E235" s="2" t="str">
        <f aca="false">IF((F235&lt;&gt;0),"Enter Letter"," ")</f>
        <v> </v>
      </c>
      <c r="F235" s="30"/>
      <c r="G235" s="6" t="str">
        <f aca="false">IF(F235&lt;&gt;0,F235*G$2/(100+G$2)," ")</f>
        <v> </v>
      </c>
      <c r="H235" s="6" t="str">
        <f aca="false">IF((F235&lt;&gt;0),F235-G235," ")</f>
        <v> </v>
      </c>
      <c r="I235" s="5"/>
      <c r="L235" s="7" t="str">
        <f aca="false">IF(F235&lt;&gt;0,F235-K235," ")</f>
        <v> </v>
      </c>
      <c r="M235" s="8" t="str">
        <f aca="false">IF((F235-K235)&lt;&gt;0,M$1-A235," ")</f>
        <v> </v>
      </c>
      <c r="N235" s="5"/>
      <c r="O235" s="17" t="str">
        <f aca="false">IF((E235="s"),H235," ")</f>
        <v> </v>
      </c>
      <c r="P235" s="17" t="str">
        <f aca="false">IF((E235="c"),H235," ")</f>
        <v> </v>
      </c>
      <c r="Q235" s="17" t="str">
        <f aca="false">IF((E235="o"),H235," ")</f>
        <v> </v>
      </c>
      <c r="R235" s="17" t="str">
        <f aca="false">IF((E235="d"),H235," ")</f>
        <v> </v>
      </c>
      <c r="S235" s="17" t="str">
        <f aca="false">IF((E235="w"),H235," ")</f>
        <v> </v>
      </c>
      <c r="T235" s="17" t="str">
        <f aca="false">IF((E235="r"),H235," ")</f>
        <v> </v>
      </c>
      <c r="U235" s="17" t="str">
        <f aca="false">IF((E235="p"),H235," ")</f>
        <v> </v>
      </c>
      <c r="V235" s="17" t="str">
        <f aca="false">IF((E235="t"),H235," ")</f>
        <v> </v>
      </c>
      <c r="W235" s="17" t="str">
        <f aca="false">IF((E235="q"),H235," ")</f>
        <v> </v>
      </c>
      <c r="X235" s="17" t="str">
        <f aca="false">IF((E235="m"),H235," ")</f>
        <v> </v>
      </c>
      <c r="Y235" s="17" t="str">
        <f aca="false">IF((E235="u"),H235," ")</f>
        <v> </v>
      </c>
      <c r="Z235" s="17" t="str">
        <f aca="false">IF((E235="a"),H235," ")</f>
        <v> </v>
      </c>
      <c r="AA235" s="17" t="str">
        <f aca="false">IF((E235="g"),H235," ")</f>
        <v> </v>
      </c>
      <c r="AB235" s="17" t="str">
        <f aca="false">IF((E235="h"),H235," ")</f>
        <v> </v>
      </c>
      <c r="AC235" s="30" t="str">
        <f aca="false">IF((E235="v"),H235," ")</f>
        <v> </v>
      </c>
      <c r="AD235" s="30" t="str">
        <f aca="false">IF((E235="n"),H235," ")</f>
        <v> </v>
      </c>
      <c r="AE235" s="17" t="str">
        <f aca="false">IF((E235="f"),H235," ")</f>
        <v> </v>
      </c>
      <c r="AF235" s="17" t="str">
        <f aca="false">IF((E235="l"),H235," ")</f>
        <v> </v>
      </c>
      <c r="AG235" s="17" t="str">
        <f aca="false">IF((E235="y"),H235," ")</f>
        <v> </v>
      </c>
      <c r="AH235" s="17" t="str">
        <f aca="false">IF((E235="z"),H235," ")</f>
        <v> </v>
      </c>
      <c r="AI235" s="17" t="str">
        <f aca="false">IF((E235="fa"),H235," ")</f>
        <v> </v>
      </c>
      <c r="AJ235" s="17" t="str">
        <f aca="false">IF((E235="e"),H235," ")</f>
        <v> </v>
      </c>
    </row>
    <row r="236" customFormat="false" ht="12" hidden="false" customHeight="false" outlineLevel="0" collapsed="false">
      <c r="A236" s="28"/>
      <c r="E236" s="2" t="str">
        <f aca="false">IF((F236&lt;&gt;0),"Enter Letter"," ")</f>
        <v> </v>
      </c>
      <c r="F236" s="30"/>
      <c r="G236" s="6" t="str">
        <f aca="false">IF(F236&lt;&gt;0,F236*G$2/(100+G$2)," ")</f>
        <v> </v>
      </c>
      <c r="H236" s="6" t="str">
        <f aca="false">IF((F236&lt;&gt;0),F236-G236," ")</f>
        <v> </v>
      </c>
      <c r="I236" s="5"/>
      <c r="L236" s="7" t="str">
        <f aca="false">IF(F236&lt;&gt;0,F236-K236," ")</f>
        <v> </v>
      </c>
      <c r="M236" s="8" t="str">
        <f aca="false">IF((F236-K236)&lt;&gt;0,M$1-A236," ")</f>
        <v> </v>
      </c>
      <c r="N236" s="5"/>
      <c r="O236" s="17" t="str">
        <f aca="false">IF((E236="s"),H236," ")</f>
        <v> </v>
      </c>
      <c r="P236" s="17" t="str">
        <f aca="false">IF((E236="c"),H236," ")</f>
        <v> </v>
      </c>
      <c r="Q236" s="17" t="str">
        <f aca="false">IF((E236="o"),H236," ")</f>
        <v> </v>
      </c>
      <c r="R236" s="17" t="str">
        <f aca="false">IF((E236="d"),H236," ")</f>
        <v> </v>
      </c>
      <c r="S236" s="17" t="str">
        <f aca="false">IF((E236="w"),H236," ")</f>
        <v> </v>
      </c>
      <c r="T236" s="17" t="str">
        <f aca="false">IF((E236="r"),H236," ")</f>
        <v> </v>
      </c>
      <c r="U236" s="17" t="str">
        <f aca="false">IF((E236="p"),H236," ")</f>
        <v> </v>
      </c>
      <c r="V236" s="17" t="str">
        <f aca="false">IF((E236="t"),H236," ")</f>
        <v> </v>
      </c>
      <c r="W236" s="17" t="str">
        <f aca="false">IF((E236="q"),H236," ")</f>
        <v> </v>
      </c>
      <c r="X236" s="17" t="str">
        <f aca="false">IF((E236="m"),H236," ")</f>
        <v> </v>
      </c>
      <c r="Y236" s="17" t="str">
        <f aca="false">IF((E236="u"),H236," ")</f>
        <v> </v>
      </c>
      <c r="Z236" s="17" t="str">
        <f aca="false">IF((E236="a"),H236," ")</f>
        <v> </v>
      </c>
      <c r="AA236" s="17" t="str">
        <f aca="false">IF((E236="g"),H236," ")</f>
        <v> </v>
      </c>
      <c r="AB236" s="17" t="str">
        <f aca="false">IF((E236="h"),H236," ")</f>
        <v> </v>
      </c>
      <c r="AC236" s="30" t="str">
        <f aca="false">IF((E236="v"),H236," ")</f>
        <v> </v>
      </c>
      <c r="AD236" s="30" t="str">
        <f aca="false">IF((E236="n"),H236," ")</f>
        <v> </v>
      </c>
      <c r="AE236" s="17" t="str">
        <f aca="false">IF((E236="f"),H236," ")</f>
        <v> </v>
      </c>
      <c r="AF236" s="17" t="str">
        <f aca="false">IF((E236="l"),H236," ")</f>
        <v> </v>
      </c>
      <c r="AG236" s="17" t="str">
        <f aca="false">IF((E236="y"),H236," ")</f>
        <v> </v>
      </c>
      <c r="AH236" s="17" t="str">
        <f aca="false">IF((E236="z"),H236," ")</f>
        <v> </v>
      </c>
      <c r="AI236" s="17" t="str">
        <f aca="false">IF((E236="fa"),H236," ")</f>
        <v> </v>
      </c>
      <c r="AJ236" s="17" t="str">
        <f aca="false">IF((E236="e"),H236," ")</f>
        <v> </v>
      </c>
    </row>
    <row r="237" customFormat="false" ht="12" hidden="false" customHeight="false" outlineLevel="0" collapsed="false">
      <c r="A237" s="28"/>
      <c r="E237" s="2" t="str">
        <f aca="false">IF((F237&lt;&gt;0),"Enter Letter"," ")</f>
        <v> </v>
      </c>
      <c r="F237" s="30"/>
      <c r="G237" s="6" t="str">
        <f aca="false">IF(F237&lt;&gt;0,F237*G$2/(100+G$2)," ")</f>
        <v> </v>
      </c>
      <c r="H237" s="6" t="str">
        <f aca="false">IF((F237&lt;&gt;0),F237-G237," ")</f>
        <v> </v>
      </c>
      <c r="I237" s="5"/>
      <c r="L237" s="7" t="str">
        <f aca="false">IF(F237&lt;&gt;0,F237-K237," ")</f>
        <v> </v>
      </c>
      <c r="M237" s="8" t="str">
        <f aca="false">IF((F237-K237)&lt;&gt;0,M$1-A237," ")</f>
        <v> </v>
      </c>
      <c r="N237" s="5"/>
      <c r="O237" s="17" t="str">
        <f aca="false">IF((E237="s"),H237," ")</f>
        <v> </v>
      </c>
      <c r="P237" s="17" t="str">
        <f aca="false">IF((E237="c"),H237," ")</f>
        <v> </v>
      </c>
      <c r="Q237" s="17" t="str">
        <f aca="false">IF((E237="o"),H237," ")</f>
        <v> </v>
      </c>
      <c r="R237" s="17" t="str">
        <f aca="false">IF((E237="d"),H237," ")</f>
        <v> </v>
      </c>
      <c r="S237" s="17" t="str">
        <f aca="false">IF((E237="w"),H237," ")</f>
        <v> </v>
      </c>
      <c r="T237" s="17" t="str">
        <f aca="false">IF((E237="r"),H237," ")</f>
        <v> </v>
      </c>
      <c r="U237" s="17" t="str">
        <f aca="false">IF((E237="p"),H237," ")</f>
        <v> </v>
      </c>
      <c r="V237" s="17" t="str">
        <f aca="false">IF((E237="t"),H237," ")</f>
        <v> </v>
      </c>
      <c r="W237" s="17" t="str">
        <f aca="false">IF((E237="q"),H237," ")</f>
        <v> </v>
      </c>
      <c r="X237" s="17" t="str">
        <f aca="false">IF((E237="m"),H237," ")</f>
        <v> </v>
      </c>
      <c r="Y237" s="17" t="str">
        <f aca="false">IF((E237="u"),H237," ")</f>
        <v> </v>
      </c>
      <c r="Z237" s="17" t="str">
        <f aca="false">IF((E237="a"),H237," ")</f>
        <v> </v>
      </c>
      <c r="AA237" s="17" t="str">
        <f aca="false">IF((E237="g"),H237," ")</f>
        <v> </v>
      </c>
      <c r="AB237" s="17" t="str">
        <f aca="false">IF((E237="h"),H237," ")</f>
        <v> </v>
      </c>
      <c r="AC237" s="30" t="str">
        <f aca="false">IF((E237="v"),H237," ")</f>
        <v> </v>
      </c>
      <c r="AD237" s="30" t="str">
        <f aca="false">IF((E237="n"),H237," ")</f>
        <v> </v>
      </c>
      <c r="AE237" s="17" t="str">
        <f aca="false">IF((E237="f"),H237," ")</f>
        <v> </v>
      </c>
      <c r="AF237" s="17" t="str">
        <f aca="false">IF((E237="l"),H237," ")</f>
        <v> </v>
      </c>
      <c r="AG237" s="17" t="str">
        <f aca="false">IF((E237="y"),H237," ")</f>
        <v> </v>
      </c>
      <c r="AH237" s="17" t="str">
        <f aca="false">IF((E237="z"),H237," ")</f>
        <v> </v>
      </c>
      <c r="AI237" s="17" t="str">
        <f aca="false">IF((E237="fa"),H237," ")</f>
        <v> </v>
      </c>
      <c r="AJ237" s="17" t="str">
        <f aca="false">IF((E237="e"),H237," ")</f>
        <v> </v>
      </c>
    </row>
    <row r="238" customFormat="false" ht="12" hidden="false" customHeight="false" outlineLevel="0" collapsed="false">
      <c r="A238" s="28"/>
      <c r="E238" s="2" t="str">
        <f aca="false">IF((F238&lt;&gt;0),"Enter Letter"," ")</f>
        <v> </v>
      </c>
      <c r="F238" s="30"/>
      <c r="G238" s="6" t="str">
        <f aca="false">IF(F238&lt;&gt;0,F238*G$2/(100+G$2)," ")</f>
        <v> </v>
      </c>
      <c r="H238" s="6" t="str">
        <f aca="false">IF((F238&lt;&gt;0),F238-G238," ")</f>
        <v> </v>
      </c>
      <c r="I238" s="5"/>
      <c r="L238" s="7" t="str">
        <f aca="false">IF(F238&lt;&gt;0,F238-K238," ")</f>
        <v> </v>
      </c>
      <c r="M238" s="8" t="str">
        <f aca="false">IF((F238-K238)&lt;&gt;0,M$1-A238," ")</f>
        <v> </v>
      </c>
      <c r="N238" s="5"/>
      <c r="O238" s="17" t="str">
        <f aca="false">IF((E238="s"),H238," ")</f>
        <v> </v>
      </c>
      <c r="P238" s="17" t="str">
        <f aca="false">IF((E238="c"),H238," ")</f>
        <v> </v>
      </c>
      <c r="Q238" s="17" t="str">
        <f aca="false">IF((E238="o"),H238," ")</f>
        <v> </v>
      </c>
      <c r="R238" s="17" t="str">
        <f aca="false">IF((E238="d"),H238," ")</f>
        <v> </v>
      </c>
      <c r="S238" s="17" t="str">
        <f aca="false">IF((E238="w"),H238," ")</f>
        <v> </v>
      </c>
      <c r="T238" s="17" t="str">
        <f aca="false">IF((E238="r"),H238," ")</f>
        <v> </v>
      </c>
      <c r="U238" s="17" t="str">
        <f aca="false">IF((E238="p"),H238," ")</f>
        <v> </v>
      </c>
      <c r="V238" s="17" t="str">
        <f aca="false">IF((E238="t"),H238," ")</f>
        <v> </v>
      </c>
      <c r="W238" s="17" t="str">
        <f aca="false">IF((E238="q"),H238," ")</f>
        <v> </v>
      </c>
      <c r="X238" s="17" t="str">
        <f aca="false">IF((E238="m"),H238," ")</f>
        <v> </v>
      </c>
      <c r="Y238" s="17" t="str">
        <f aca="false">IF((E238="u"),H238," ")</f>
        <v> </v>
      </c>
      <c r="Z238" s="17" t="str">
        <f aca="false">IF((E238="a"),H238," ")</f>
        <v> </v>
      </c>
      <c r="AA238" s="17" t="str">
        <f aca="false">IF((E238="g"),H238," ")</f>
        <v> </v>
      </c>
      <c r="AB238" s="17" t="str">
        <f aca="false">IF((E238="h"),H238," ")</f>
        <v> </v>
      </c>
      <c r="AC238" s="30" t="str">
        <f aca="false">IF((E238="v"),H238," ")</f>
        <v> </v>
      </c>
      <c r="AD238" s="30" t="str">
        <f aca="false">IF((E238="n"),H238," ")</f>
        <v> </v>
      </c>
      <c r="AE238" s="17" t="str">
        <f aca="false">IF((E238="f"),H238," ")</f>
        <v> </v>
      </c>
      <c r="AF238" s="17" t="str">
        <f aca="false">IF((E238="l"),H238," ")</f>
        <v> </v>
      </c>
      <c r="AG238" s="17" t="str">
        <f aca="false">IF((E238="y"),H238," ")</f>
        <v> </v>
      </c>
      <c r="AH238" s="17" t="str">
        <f aca="false">IF((E238="z"),H238," ")</f>
        <v> </v>
      </c>
      <c r="AI238" s="17" t="str">
        <f aca="false">IF((E238="fa"),H238," ")</f>
        <v> </v>
      </c>
      <c r="AJ238" s="17" t="str">
        <f aca="false">IF((E238="e"),H238," ")</f>
        <v> </v>
      </c>
    </row>
    <row r="239" customFormat="false" ht="12" hidden="false" customHeight="false" outlineLevel="0" collapsed="false">
      <c r="A239" s="28"/>
      <c r="E239" s="2" t="str">
        <f aca="false">IF((F239&lt;&gt;0),"Enter Letter"," ")</f>
        <v> </v>
      </c>
      <c r="F239" s="30"/>
      <c r="G239" s="6" t="str">
        <f aca="false">IF(F239&lt;&gt;0,F239*G$2/(100+G$2)," ")</f>
        <v> </v>
      </c>
      <c r="H239" s="6" t="str">
        <f aca="false">IF((F239&lt;&gt;0),F239-G239," ")</f>
        <v> </v>
      </c>
      <c r="I239" s="5"/>
      <c r="L239" s="7" t="str">
        <f aca="false">IF(F239&lt;&gt;0,F239-K239," ")</f>
        <v> </v>
      </c>
      <c r="M239" s="8" t="str">
        <f aca="false">IF((F239-K239)&lt;&gt;0,M$1-A239," ")</f>
        <v> </v>
      </c>
      <c r="N239" s="5"/>
      <c r="O239" s="17" t="str">
        <f aca="false">IF((E239="s"),H239," ")</f>
        <v> </v>
      </c>
      <c r="P239" s="17" t="str">
        <f aca="false">IF((E239="c"),H239," ")</f>
        <v> </v>
      </c>
      <c r="Q239" s="17" t="str">
        <f aca="false">IF((E239="o"),H239," ")</f>
        <v> </v>
      </c>
      <c r="R239" s="17" t="str">
        <f aca="false">IF((E239="d"),H239," ")</f>
        <v> </v>
      </c>
      <c r="S239" s="17" t="str">
        <f aca="false">IF((E239="w"),H239," ")</f>
        <v> </v>
      </c>
      <c r="T239" s="17" t="str">
        <f aca="false">IF((E239="r"),H239," ")</f>
        <v> </v>
      </c>
      <c r="U239" s="17" t="str">
        <f aca="false">IF((E239="p"),H239," ")</f>
        <v> </v>
      </c>
      <c r="V239" s="17" t="str">
        <f aca="false">IF((E239="t"),H239," ")</f>
        <v> </v>
      </c>
      <c r="W239" s="17" t="str">
        <f aca="false">IF((E239="q"),H239," ")</f>
        <v> </v>
      </c>
      <c r="X239" s="17" t="str">
        <f aca="false">IF((E239="m"),H239," ")</f>
        <v> </v>
      </c>
      <c r="Y239" s="17" t="str">
        <f aca="false">IF((E239="u"),H239," ")</f>
        <v> </v>
      </c>
      <c r="Z239" s="17" t="str">
        <f aca="false">IF((E239="a"),H239," ")</f>
        <v> </v>
      </c>
      <c r="AA239" s="17" t="str">
        <f aca="false">IF((E239="g"),H239," ")</f>
        <v> </v>
      </c>
      <c r="AB239" s="17" t="str">
        <f aca="false">IF((E239="h"),H239," ")</f>
        <v> </v>
      </c>
      <c r="AC239" s="30" t="str">
        <f aca="false">IF((E239="v"),H239," ")</f>
        <v> </v>
      </c>
      <c r="AD239" s="30" t="str">
        <f aca="false">IF((E239="n"),H239," ")</f>
        <v> </v>
      </c>
      <c r="AE239" s="17" t="str">
        <f aca="false">IF((E239="f"),H239," ")</f>
        <v> </v>
      </c>
      <c r="AF239" s="17" t="str">
        <f aca="false">IF((E239="l"),H239," ")</f>
        <v> </v>
      </c>
      <c r="AG239" s="17" t="str">
        <f aca="false">IF((E239="y"),H239," ")</f>
        <v> </v>
      </c>
      <c r="AH239" s="17" t="str">
        <f aca="false">IF((E239="z"),H239," ")</f>
        <v> </v>
      </c>
      <c r="AI239" s="17" t="str">
        <f aca="false">IF((E239="fa"),H239," ")</f>
        <v> </v>
      </c>
      <c r="AJ239" s="17" t="str">
        <f aca="false">IF((E239="e"),H239," ")</f>
        <v> </v>
      </c>
    </row>
    <row r="240" customFormat="false" ht="12" hidden="false" customHeight="false" outlineLevel="0" collapsed="false">
      <c r="A240" s="28"/>
      <c r="E240" s="2" t="str">
        <f aca="false">IF((F240&lt;&gt;0),"Enter Letter"," ")</f>
        <v> </v>
      </c>
      <c r="F240" s="30"/>
      <c r="G240" s="6" t="str">
        <f aca="false">IF(F240&lt;&gt;0,F240*G$2/(100+G$2)," ")</f>
        <v> </v>
      </c>
      <c r="H240" s="6" t="str">
        <f aca="false">IF((F240&lt;&gt;0),F240-G240," ")</f>
        <v> </v>
      </c>
      <c r="I240" s="5"/>
      <c r="L240" s="7" t="str">
        <f aca="false">IF(F240&lt;&gt;0,F240-K240," ")</f>
        <v> </v>
      </c>
      <c r="M240" s="8" t="str">
        <f aca="false">IF((F240-K240)&lt;&gt;0,M$1-A240," ")</f>
        <v> </v>
      </c>
      <c r="N240" s="5"/>
      <c r="O240" s="17" t="str">
        <f aca="false">IF((E240="s"),H240," ")</f>
        <v> </v>
      </c>
      <c r="P240" s="17" t="str">
        <f aca="false">IF((E240="c"),H240," ")</f>
        <v> </v>
      </c>
      <c r="Q240" s="17" t="str">
        <f aca="false">IF((E240="o"),H240," ")</f>
        <v> </v>
      </c>
      <c r="R240" s="17" t="str">
        <f aca="false">IF((E240="d"),H240," ")</f>
        <v> </v>
      </c>
      <c r="S240" s="17" t="str">
        <f aca="false">IF((E240="w"),H240," ")</f>
        <v> </v>
      </c>
      <c r="T240" s="17" t="str">
        <f aca="false">IF((E240="r"),H240," ")</f>
        <v> </v>
      </c>
      <c r="U240" s="17" t="str">
        <f aca="false">IF((E240="p"),H240," ")</f>
        <v> </v>
      </c>
      <c r="V240" s="17" t="str">
        <f aca="false">IF((E240="t"),H240," ")</f>
        <v> </v>
      </c>
      <c r="W240" s="17" t="str">
        <f aca="false">IF((E240="q"),H240," ")</f>
        <v> </v>
      </c>
      <c r="X240" s="17" t="str">
        <f aca="false">IF((E240="m"),H240," ")</f>
        <v> </v>
      </c>
      <c r="Y240" s="17" t="str">
        <f aca="false">IF((E240="u"),H240," ")</f>
        <v> </v>
      </c>
      <c r="Z240" s="17" t="str">
        <f aca="false">IF((E240="a"),H240," ")</f>
        <v> </v>
      </c>
      <c r="AA240" s="17" t="str">
        <f aca="false">IF((E240="g"),H240," ")</f>
        <v> </v>
      </c>
      <c r="AB240" s="17" t="str">
        <f aca="false">IF((E240="h"),H240," ")</f>
        <v> </v>
      </c>
      <c r="AC240" s="30" t="str">
        <f aca="false">IF((E240="v"),H240," ")</f>
        <v> </v>
      </c>
      <c r="AD240" s="30" t="str">
        <f aca="false">IF((E240="n"),H240," ")</f>
        <v> </v>
      </c>
      <c r="AE240" s="17" t="str">
        <f aca="false">IF((E240="f"),H240," ")</f>
        <v> </v>
      </c>
      <c r="AF240" s="17" t="str">
        <f aca="false">IF((E240="l"),H240," ")</f>
        <v> </v>
      </c>
      <c r="AG240" s="17" t="str">
        <f aca="false">IF((E240="y"),H240," ")</f>
        <v> </v>
      </c>
      <c r="AH240" s="17" t="str">
        <f aca="false">IF((E240="z"),H240," ")</f>
        <v> </v>
      </c>
      <c r="AI240" s="17" t="str">
        <f aca="false">IF((E240="fa"),H240," ")</f>
        <v> </v>
      </c>
      <c r="AJ240" s="17" t="str">
        <f aca="false">IF((E240="e"),H240," ")</f>
        <v> </v>
      </c>
    </row>
    <row r="241" customFormat="false" ht="12" hidden="false" customHeight="false" outlineLevel="0" collapsed="false">
      <c r="A241" s="28"/>
      <c r="E241" s="2" t="str">
        <f aca="false">IF((F241&lt;&gt;0),"Enter Letter"," ")</f>
        <v> </v>
      </c>
      <c r="F241" s="30"/>
      <c r="G241" s="6" t="str">
        <f aca="false">IF(F241&lt;&gt;0,F241*G$2/(100+G$2)," ")</f>
        <v> </v>
      </c>
      <c r="H241" s="6" t="str">
        <f aca="false">IF((F241&lt;&gt;0),F241-G241," ")</f>
        <v> </v>
      </c>
      <c r="I241" s="5"/>
      <c r="L241" s="7" t="str">
        <f aca="false">IF(F241&lt;&gt;0,F241-K241," ")</f>
        <v> </v>
      </c>
      <c r="M241" s="8" t="str">
        <f aca="false">IF((F241-K241)&lt;&gt;0,M$1-A241," ")</f>
        <v> </v>
      </c>
      <c r="N241" s="5"/>
      <c r="O241" s="17" t="str">
        <f aca="false">IF((E241="s"),H241," ")</f>
        <v> </v>
      </c>
      <c r="P241" s="17" t="str">
        <f aca="false">IF((E241="c"),H241," ")</f>
        <v> </v>
      </c>
      <c r="Q241" s="17" t="str">
        <f aca="false">IF((E241="o"),H241," ")</f>
        <v> </v>
      </c>
      <c r="R241" s="17" t="str">
        <f aca="false">IF((E241="d"),H241," ")</f>
        <v> </v>
      </c>
      <c r="S241" s="17" t="str">
        <f aca="false">IF((E241="w"),H241," ")</f>
        <v> </v>
      </c>
      <c r="T241" s="17" t="str">
        <f aca="false">IF((E241="r"),H241," ")</f>
        <v> </v>
      </c>
      <c r="U241" s="17" t="str">
        <f aca="false">IF((E241="p"),H241," ")</f>
        <v> </v>
      </c>
      <c r="V241" s="17" t="str">
        <f aca="false">IF((E241="t"),H241," ")</f>
        <v> </v>
      </c>
      <c r="W241" s="17" t="str">
        <f aca="false">IF((E241="q"),H241," ")</f>
        <v> </v>
      </c>
      <c r="X241" s="17" t="str">
        <f aca="false">IF((E241="m"),H241," ")</f>
        <v> </v>
      </c>
      <c r="Y241" s="17" t="str">
        <f aca="false">IF((E241="u"),H241," ")</f>
        <v> </v>
      </c>
      <c r="Z241" s="17" t="str">
        <f aca="false">IF((E241="a"),H241," ")</f>
        <v> </v>
      </c>
      <c r="AA241" s="17" t="str">
        <f aca="false">IF((E241="g"),H241," ")</f>
        <v> </v>
      </c>
      <c r="AB241" s="17" t="str">
        <f aca="false">IF((E241="h"),H241," ")</f>
        <v> </v>
      </c>
      <c r="AC241" s="30" t="str">
        <f aca="false">IF((E241="v"),H241," ")</f>
        <v> </v>
      </c>
      <c r="AD241" s="30" t="str">
        <f aca="false">IF((E241="n"),H241," ")</f>
        <v> </v>
      </c>
      <c r="AE241" s="17" t="str">
        <f aca="false">IF((E241="f"),H241," ")</f>
        <v> </v>
      </c>
      <c r="AF241" s="17" t="str">
        <f aca="false">IF((E241="l"),H241," ")</f>
        <v> </v>
      </c>
      <c r="AG241" s="17" t="str">
        <f aca="false">IF((E241="y"),H241," ")</f>
        <v> </v>
      </c>
      <c r="AH241" s="17" t="str">
        <f aca="false">IF((E241="z"),H241," ")</f>
        <v> </v>
      </c>
      <c r="AI241" s="17" t="str">
        <f aca="false">IF((E241="fa"),H241," ")</f>
        <v> </v>
      </c>
      <c r="AJ241" s="17" t="str">
        <f aca="false">IF((E241="e"),H241," ")</f>
        <v> </v>
      </c>
    </row>
    <row r="242" customFormat="false" ht="12" hidden="false" customHeight="false" outlineLevel="0" collapsed="false">
      <c r="A242" s="28"/>
      <c r="E242" s="2" t="str">
        <f aca="false">IF((F242&lt;&gt;0),"Enter Letter"," ")</f>
        <v> </v>
      </c>
      <c r="F242" s="30"/>
      <c r="G242" s="6" t="str">
        <f aca="false">IF(F242&lt;&gt;0,F242*G$2/(100+G$2)," ")</f>
        <v> </v>
      </c>
      <c r="H242" s="6" t="str">
        <f aca="false">IF((F242&lt;&gt;0),F242-G242," ")</f>
        <v> </v>
      </c>
      <c r="I242" s="5"/>
      <c r="L242" s="7" t="str">
        <f aca="false">IF(F242&lt;&gt;0,F242-K242," ")</f>
        <v> </v>
      </c>
      <c r="M242" s="8" t="str">
        <f aca="false">IF((F242-K242)&lt;&gt;0,M$1-A242," ")</f>
        <v> </v>
      </c>
      <c r="N242" s="5"/>
      <c r="O242" s="17" t="str">
        <f aca="false">IF((E242="s"),H242," ")</f>
        <v> </v>
      </c>
      <c r="P242" s="17" t="str">
        <f aca="false">IF((E242="c"),H242," ")</f>
        <v> </v>
      </c>
      <c r="Q242" s="17" t="str">
        <f aca="false">IF((E242="o"),H242," ")</f>
        <v> </v>
      </c>
      <c r="R242" s="17" t="str">
        <f aca="false">IF((E242="d"),H242," ")</f>
        <v> </v>
      </c>
      <c r="S242" s="17" t="str">
        <f aca="false">IF((E242="w"),H242," ")</f>
        <v> </v>
      </c>
      <c r="T242" s="17" t="str">
        <f aca="false">IF((E242="r"),H242," ")</f>
        <v> </v>
      </c>
      <c r="U242" s="17" t="str">
        <f aca="false">IF((E242="p"),H242," ")</f>
        <v> </v>
      </c>
      <c r="V242" s="17" t="str">
        <f aca="false">IF((E242="t"),H242," ")</f>
        <v> </v>
      </c>
      <c r="W242" s="17" t="str">
        <f aca="false">IF((E242="q"),H242," ")</f>
        <v> </v>
      </c>
      <c r="X242" s="17" t="str">
        <f aca="false">IF((E242="m"),H242," ")</f>
        <v> </v>
      </c>
      <c r="Y242" s="17" t="str">
        <f aca="false">IF((E242="u"),H242," ")</f>
        <v> </v>
      </c>
      <c r="Z242" s="17" t="str">
        <f aca="false">IF((E242="a"),H242," ")</f>
        <v> </v>
      </c>
      <c r="AA242" s="17" t="str">
        <f aca="false">IF((E242="g"),H242," ")</f>
        <v> </v>
      </c>
      <c r="AB242" s="17" t="str">
        <f aca="false">IF((E242="h"),H242," ")</f>
        <v> </v>
      </c>
      <c r="AC242" s="30" t="str">
        <f aca="false">IF((E242="v"),H242," ")</f>
        <v> </v>
      </c>
      <c r="AD242" s="30" t="str">
        <f aca="false">IF((E242="n"),H242," ")</f>
        <v> </v>
      </c>
      <c r="AE242" s="17" t="str">
        <f aca="false">IF((E242="f"),H242," ")</f>
        <v> </v>
      </c>
      <c r="AF242" s="17" t="str">
        <f aca="false">IF((E242="l"),H242," ")</f>
        <v> </v>
      </c>
      <c r="AG242" s="17" t="str">
        <f aca="false">IF((E242="y"),H242," ")</f>
        <v> </v>
      </c>
      <c r="AH242" s="17" t="str">
        <f aca="false">IF((E242="z"),H242," ")</f>
        <v> </v>
      </c>
      <c r="AI242" s="17" t="str">
        <f aca="false">IF((E242="fa"),H242," ")</f>
        <v> </v>
      </c>
      <c r="AJ242" s="17" t="str">
        <f aca="false">IF((E242="e"),H242," ")</f>
        <v> </v>
      </c>
    </row>
    <row r="243" customFormat="false" ht="12" hidden="false" customHeight="false" outlineLevel="0" collapsed="false">
      <c r="A243" s="28"/>
      <c r="E243" s="2" t="str">
        <f aca="false">IF((F243&lt;&gt;0),"Enter Letter"," ")</f>
        <v> </v>
      </c>
      <c r="F243" s="30"/>
      <c r="G243" s="6" t="str">
        <f aca="false">IF(F243&lt;&gt;0,F243*G$2/(100+G$2)," ")</f>
        <v> </v>
      </c>
      <c r="H243" s="6" t="str">
        <f aca="false">IF((F243&lt;&gt;0),F243-G243," ")</f>
        <v> </v>
      </c>
      <c r="I243" s="5"/>
      <c r="L243" s="7" t="str">
        <f aca="false">IF(F243&lt;&gt;0,F243-K243," ")</f>
        <v> </v>
      </c>
      <c r="M243" s="8" t="str">
        <f aca="false">IF((F243-K243)&lt;&gt;0,M$1-A243," ")</f>
        <v> </v>
      </c>
      <c r="N243" s="5"/>
      <c r="O243" s="17" t="str">
        <f aca="false">IF((E243="s"),H243," ")</f>
        <v> </v>
      </c>
      <c r="P243" s="17" t="str">
        <f aca="false">IF((E243="c"),H243," ")</f>
        <v> </v>
      </c>
      <c r="Q243" s="17" t="str">
        <f aca="false">IF((E243="o"),H243," ")</f>
        <v> </v>
      </c>
      <c r="R243" s="17" t="str">
        <f aca="false">IF((E243="d"),H243," ")</f>
        <v> </v>
      </c>
      <c r="S243" s="17" t="str">
        <f aca="false">IF((E243="w"),H243," ")</f>
        <v> </v>
      </c>
      <c r="T243" s="17" t="str">
        <f aca="false">IF((E243="r"),H243," ")</f>
        <v> </v>
      </c>
      <c r="U243" s="17" t="str">
        <f aca="false">IF((E243="p"),H243," ")</f>
        <v> </v>
      </c>
      <c r="V243" s="17" t="str">
        <f aca="false">IF((E243="t"),H243," ")</f>
        <v> </v>
      </c>
      <c r="W243" s="17" t="str">
        <f aca="false">IF((E243="q"),H243," ")</f>
        <v> </v>
      </c>
      <c r="X243" s="17" t="str">
        <f aca="false">IF((E243="m"),H243," ")</f>
        <v> </v>
      </c>
      <c r="Y243" s="17" t="str">
        <f aca="false">IF((E243="u"),H243," ")</f>
        <v> </v>
      </c>
      <c r="Z243" s="17" t="str">
        <f aca="false">IF((E243="a"),H243," ")</f>
        <v> </v>
      </c>
      <c r="AA243" s="17" t="str">
        <f aca="false">IF((E243="g"),H243," ")</f>
        <v> </v>
      </c>
      <c r="AB243" s="17" t="str">
        <f aca="false">IF((E243="h"),H243," ")</f>
        <v> </v>
      </c>
      <c r="AC243" s="30" t="str">
        <f aca="false">IF((E243="v"),H243," ")</f>
        <v> </v>
      </c>
      <c r="AD243" s="30" t="str">
        <f aca="false">IF((E243="n"),H243," ")</f>
        <v> </v>
      </c>
      <c r="AE243" s="17" t="str">
        <f aca="false">IF((E243="f"),H243," ")</f>
        <v> </v>
      </c>
      <c r="AF243" s="17" t="str">
        <f aca="false">IF((E243="l"),H243," ")</f>
        <v> </v>
      </c>
      <c r="AG243" s="17" t="str">
        <f aca="false">IF((E243="y"),H243," ")</f>
        <v> </v>
      </c>
      <c r="AH243" s="17" t="str">
        <f aca="false">IF((E243="z"),H243," ")</f>
        <v> </v>
      </c>
      <c r="AI243" s="17" t="str">
        <f aca="false">IF((E243="fa"),H243," ")</f>
        <v> </v>
      </c>
      <c r="AJ243" s="17" t="str">
        <f aca="false">IF((E243="e"),H243," ")</f>
        <v> </v>
      </c>
    </row>
    <row r="244" customFormat="false" ht="12" hidden="false" customHeight="false" outlineLevel="0" collapsed="false">
      <c r="A244" s="28"/>
      <c r="E244" s="2" t="str">
        <f aca="false">IF((F244&lt;&gt;0),"Enter Letter"," ")</f>
        <v> </v>
      </c>
      <c r="F244" s="30"/>
      <c r="G244" s="6" t="str">
        <f aca="false">IF(F244&lt;&gt;0,F244*G$2/(100+G$2)," ")</f>
        <v> </v>
      </c>
      <c r="H244" s="6" t="str">
        <f aca="false">IF((F244&lt;&gt;0),F244-G244," ")</f>
        <v> </v>
      </c>
      <c r="I244" s="5"/>
      <c r="L244" s="7" t="str">
        <f aca="false">IF(F244&lt;&gt;0,F244-K244," ")</f>
        <v> </v>
      </c>
      <c r="M244" s="8" t="str">
        <f aca="false">IF((F244-K244)&lt;&gt;0,M$1-A244," ")</f>
        <v> </v>
      </c>
      <c r="N244" s="5"/>
      <c r="O244" s="17" t="str">
        <f aca="false">IF((E244="s"),H244," ")</f>
        <v> </v>
      </c>
      <c r="P244" s="17" t="str">
        <f aca="false">IF((E244="c"),H244," ")</f>
        <v> </v>
      </c>
      <c r="Q244" s="17" t="str">
        <f aca="false">IF((E244="o"),H244," ")</f>
        <v> </v>
      </c>
      <c r="R244" s="17" t="str">
        <f aca="false">IF((E244="d"),H244," ")</f>
        <v> </v>
      </c>
      <c r="S244" s="17" t="str">
        <f aca="false">IF((E244="w"),H244," ")</f>
        <v> </v>
      </c>
      <c r="T244" s="17" t="str">
        <f aca="false">IF((E244="r"),H244," ")</f>
        <v> </v>
      </c>
      <c r="U244" s="17" t="str">
        <f aca="false">IF((E244="p"),H244," ")</f>
        <v> </v>
      </c>
      <c r="V244" s="17" t="str">
        <f aca="false">IF((E244="t"),H244," ")</f>
        <v> </v>
      </c>
      <c r="W244" s="17" t="str">
        <f aca="false">IF((E244="q"),H244," ")</f>
        <v> </v>
      </c>
      <c r="X244" s="17" t="str">
        <f aca="false">IF((E244="m"),H244," ")</f>
        <v> </v>
      </c>
      <c r="Y244" s="17" t="str">
        <f aca="false">IF((E244="u"),H244," ")</f>
        <v> </v>
      </c>
      <c r="Z244" s="17" t="str">
        <f aca="false">IF((E244="a"),H244," ")</f>
        <v> </v>
      </c>
      <c r="AA244" s="17" t="str">
        <f aca="false">IF((E244="g"),H244," ")</f>
        <v> </v>
      </c>
      <c r="AB244" s="17" t="str">
        <f aca="false">IF((E244="h"),H244," ")</f>
        <v> </v>
      </c>
      <c r="AC244" s="30" t="str">
        <f aca="false">IF((E244="v"),H244," ")</f>
        <v> </v>
      </c>
      <c r="AD244" s="30" t="str">
        <f aca="false">IF((E244="n"),H244," ")</f>
        <v> </v>
      </c>
      <c r="AE244" s="17" t="str">
        <f aca="false">IF((E244="f"),H244," ")</f>
        <v> </v>
      </c>
      <c r="AF244" s="17" t="str">
        <f aca="false">IF((E244="l"),H244," ")</f>
        <v> </v>
      </c>
      <c r="AG244" s="17" t="str">
        <f aca="false">IF((E244="y"),H244," ")</f>
        <v> </v>
      </c>
      <c r="AH244" s="17" t="str">
        <f aca="false">IF((E244="z"),H244," ")</f>
        <v> </v>
      </c>
      <c r="AI244" s="17" t="str">
        <f aca="false">IF((E244="fa"),H244," ")</f>
        <v> </v>
      </c>
      <c r="AJ244" s="17" t="str">
        <f aca="false">IF((E244="e"),H244," ")</f>
        <v> </v>
      </c>
    </row>
    <row r="245" customFormat="false" ht="12" hidden="false" customHeight="false" outlineLevel="0" collapsed="false">
      <c r="A245" s="28"/>
      <c r="E245" s="2" t="str">
        <f aca="false">IF((F245&lt;&gt;0),"Enter Letter"," ")</f>
        <v> </v>
      </c>
      <c r="F245" s="30"/>
      <c r="G245" s="6" t="str">
        <f aca="false">IF(F245&lt;&gt;0,F245*G$2/(100+G$2)," ")</f>
        <v> </v>
      </c>
      <c r="H245" s="6" t="str">
        <f aca="false">IF((F245&lt;&gt;0),F245-G245," ")</f>
        <v> </v>
      </c>
      <c r="I245" s="5"/>
      <c r="L245" s="7" t="str">
        <f aca="false">IF(F245&lt;&gt;0,F245-K245," ")</f>
        <v> </v>
      </c>
      <c r="M245" s="8" t="str">
        <f aca="false">IF((F245-K245)&lt;&gt;0,M$1-A245," ")</f>
        <v> </v>
      </c>
      <c r="N245" s="5"/>
      <c r="O245" s="17" t="str">
        <f aca="false">IF((E245="s"),H245," ")</f>
        <v> </v>
      </c>
      <c r="P245" s="17" t="str">
        <f aca="false">IF((E245="c"),H245," ")</f>
        <v> </v>
      </c>
      <c r="Q245" s="17" t="str">
        <f aca="false">IF((E245="o"),H245," ")</f>
        <v> </v>
      </c>
      <c r="R245" s="17" t="str">
        <f aca="false">IF((E245="d"),H245," ")</f>
        <v> </v>
      </c>
      <c r="S245" s="17" t="str">
        <f aca="false">IF((E245="w"),H245," ")</f>
        <v> </v>
      </c>
      <c r="T245" s="17" t="str">
        <f aca="false">IF((E245="r"),H245," ")</f>
        <v> </v>
      </c>
      <c r="U245" s="17" t="str">
        <f aca="false">IF((E245="p"),H245," ")</f>
        <v> </v>
      </c>
      <c r="V245" s="17" t="str">
        <f aca="false">IF((E245="t"),H245," ")</f>
        <v> </v>
      </c>
      <c r="W245" s="17" t="str">
        <f aca="false">IF((E245="q"),H245," ")</f>
        <v> </v>
      </c>
      <c r="X245" s="17" t="str">
        <f aca="false">IF((E245="m"),H245," ")</f>
        <v> </v>
      </c>
      <c r="Y245" s="17" t="str">
        <f aca="false">IF((E245="u"),H245," ")</f>
        <v> </v>
      </c>
      <c r="Z245" s="17" t="str">
        <f aca="false">IF((E245="a"),H245," ")</f>
        <v> </v>
      </c>
      <c r="AA245" s="17" t="str">
        <f aca="false">IF((E245="g"),H245," ")</f>
        <v> </v>
      </c>
      <c r="AB245" s="17" t="str">
        <f aca="false">IF((E245="h"),H245," ")</f>
        <v> </v>
      </c>
      <c r="AC245" s="30" t="str">
        <f aca="false">IF((E245="v"),H245," ")</f>
        <v> </v>
      </c>
      <c r="AD245" s="30" t="str">
        <f aca="false">IF((E245="n"),H245," ")</f>
        <v> </v>
      </c>
      <c r="AE245" s="17" t="str">
        <f aca="false">IF((E245="f"),H245," ")</f>
        <v> </v>
      </c>
      <c r="AF245" s="17" t="str">
        <f aca="false">IF((E245="l"),H245," ")</f>
        <v> </v>
      </c>
      <c r="AG245" s="17" t="str">
        <f aca="false">IF((E245="y"),H245," ")</f>
        <v> </v>
      </c>
      <c r="AH245" s="17" t="str">
        <f aca="false">IF((E245="z"),H245," ")</f>
        <v> </v>
      </c>
      <c r="AI245" s="17" t="str">
        <f aca="false">IF((E245="fa"),H245," ")</f>
        <v> </v>
      </c>
      <c r="AJ245" s="17" t="str">
        <f aca="false">IF((E245="e"),H245," ")</f>
        <v> </v>
      </c>
    </row>
    <row r="246" customFormat="false" ht="12" hidden="false" customHeight="false" outlineLevel="0" collapsed="false">
      <c r="A246" s="28"/>
      <c r="E246" s="2" t="str">
        <f aca="false">IF((F246&lt;&gt;0),"Enter Letter"," ")</f>
        <v> </v>
      </c>
      <c r="F246" s="30"/>
      <c r="G246" s="6" t="str">
        <f aca="false">IF(F246&lt;&gt;0,F246*G$2/(100+G$2)," ")</f>
        <v> </v>
      </c>
      <c r="H246" s="6" t="str">
        <f aca="false">IF((F246&lt;&gt;0),F246-G246," ")</f>
        <v> </v>
      </c>
      <c r="I246" s="5"/>
      <c r="L246" s="7" t="str">
        <f aca="false">IF(F246&lt;&gt;0,F246-K246," ")</f>
        <v> </v>
      </c>
      <c r="M246" s="8" t="str">
        <f aca="false">IF((F246-K246)&lt;&gt;0,M$1-A246," ")</f>
        <v> </v>
      </c>
      <c r="N246" s="5"/>
      <c r="O246" s="17" t="str">
        <f aca="false">IF((E246="s"),H246," ")</f>
        <v> </v>
      </c>
      <c r="P246" s="17" t="str">
        <f aca="false">IF((E246="c"),H246," ")</f>
        <v> </v>
      </c>
      <c r="Q246" s="17" t="str">
        <f aca="false">IF((E246="o"),H246," ")</f>
        <v> </v>
      </c>
      <c r="R246" s="17" t="str">
        <f aca="false">IF((E246="d"),H246," ")</f>
        <v> </v>
      </c>
      <c r="S246" s="17" t="str">
        <f aca="false">IF((E246="w"),H246," ")</f>
        <v> </v>
      </c>
      <c r="T246" s="17" t="str">
        <f aca="false">IF((E246="r"),H246," ")</f>
        <v> </v>
      </c>
      <c r="U246" s="17" t="str">
        <f aca="false">IF((E246="p"),H246," ")</f>
        <v> </v>
      </c>
      <c r="V246" s="17" t="str">
        <f aca="false">IF((E246="t"),H246," ")</f>
        <v> </v>
      </c>
      <c r="W246" s="17" t="str">
        <f aca="false">IF((E246="q"),H246," ")</f>
        <v> </v>
      </c>
      <c r="X246" s="17" t="str">
        <f aca="false">IF((E246="m"),H246," ")</f>
        <v> </v>
      </c>
      <c r="Y246" s="17" t="str">
        <f aca="false">IF((E246="u"),H246," ")</f>
        <v> </v>
      </c>
      <c r="Z246" s="17" t="str">
        <f aca="false">IF((E246="a"),H246," ")</f>
        <v> </v>
      </c>
      <c r="AA246" s="17" t="str">
        <f aca="false">IF((E246="g"),H246," ")</f>
        <v> </v>
      </c>
      <c r="AB246" s="17" t="str">
        <f aca="false">IF((E246="h"),H246," ")</f>
        <v> </v>
      </c>
      <c r="AC246" s="30" t="str">
        <f aca="false">IF((E246="v"),H246," ")</f>
        <v> </v>
      </c>
      <c r="AD246" s="30" t="str">
        <f aca="false">IF((E246="n"),H246," ")</f>
        <v> </v>
      </c>
      <c r="AE246" s="17" t="str">
        <f aca="false">IF((E246="f"),H246," ")</f>
        <v> </v>
      </c>
      <c r="AF246" s="17" t="str">
        <f aca="false">IF((E246="l"),H246," ")</f>
        <v> </v>
      </c>
      <c r="AG246" s="17" t="str">
        <f aca="false">IF((E246="y"),H246," ")</f>
        <v> </v>
      </c>
      <c r="AH246" s="17" t="str">
        <f aca="false">IF((E246="z"),H246," ")</f>
        <v> </v>
      </c>
      <c r="AI246" s="17" t="str">
        <f aca="false">IF((E246="fa"),H246," ")</f>
        <v> </v>
      </c>
      <c r="AJ246" s="17" t="str">
        <f aca="false">IF((E246="e"),H246," ")</f>
        <v> </v>
      </c>
    </row>
    <row r="247" customFormat="false" ht="12" hidden="false" customHeight="false" outlineLevel="0" collapsed="false">
      <c r="A247" s="28"/>
      <c r="E247" s="2" t="str">
        <f aca="false">IF((F247&lt;&gt;0),"Enter Letter"," ")</f>
        <v> </v>
      </c>
      <c r="F247" s="30"/>
      <c r="G247" s="6" t="str">
        <f aca="false">IF(F247&lt;&gt;0,F247*G$2/(100+G$2)," ")</f>
        <v> </v>
      </c>
      <c r="H247" s="6" t="str">
        <f aca="false">IF((F247&lt;&gt;0),F247-G247," ")</f>
        <v> </v>
      </c>
      <c r="I247" s="5"/>
      <c r="L247" s="7" t="str">
        <f aca="false">IF(F247&lt;&gt;0,F247-K247," ")</f>
        <v> </v>
      </c>
      <c r="M247" s="8" t="str">
        <f aca="false">IF((F247-K247)&lt;&gt;0,M$1-A247," ")</f>
        <v> </v>
      </c>
      <c r="N247" s="5"/>
      <c r="O247" s="17" t="str">
        <f aca="false">IF((E247="s"),H247," ")</f>
        <v> </v>
      </c>
      <c r="P247" s="17" t="str">
        <f aca="false">IF((E247="c"),H247," ")</f>
        <v> </v>
      </c>
      <c r="Q247" s="17" t="str">
        <f aca="false">IF((E247="o"),H247," ")</f>
        <v> </v>
      </c>
      <c r="R247" s="17" t="str">
        <f aca="false">IF((E247="d"),H247," ")</f>
        <v> </v>
      </c>
      <c r="S247" s="17" t="str">
        <f aca="false">IF((E247="w"),H247," ")</f>
        <v> </v>
      </c>
      <c r="T247" s="17" t="str">
        <f aca="false">IF((E247="r"),H247," ")</f>
        <v> </v>
      </c>
      <c r="U247" s="17" t="str">
        <f aca="false">IF((E247="p"),H247," ")</f>
        <v> </v>
      </c>
      <c r="V247" s="17" t="str">
        <f aca="false">IF((E247="t"),H247," ")</f>
        <v> </v>
      </c>
      <c r="W247" s="17" t="str">
        <f aca="false">IF((E247="q"),H247," ")</f>
        <v> </v>
      </c>
      <c r="X247" s="17" t="str">
        <f aca="false">IF((E247="m"),H247," ")</f>
        <v> </v>
      </c>
      <c r="Y247" s="17" t="str">
        <f aca="false">IF((E247="u"),H247," ")</f>
        <v> </v>
      </c>
      <c r="Z247" s="17" t="str">
        <f aca="false">IF((E247="a"),H247," ")</f>
        <v> </v>
      </c>
      <c r="AA247" s="17" t="str">
        <f aca="false">IF((E247="g"),H247," ")</f>
        <v> </v>
      </c>
      <c r="AB247" s="17" t="str">
        <f aca="false">IF((E247="h"),H247," ")</f>
        <v> </v>
      </c>
      <c r="AC247" s="30" t="str">
        <f aca="false">IF((E247="v"),H247," ")</f>
        <v> </v>
      </c>
      <c r="AD247" s="30" t="str">
        <f aca="false">IF((E247="n"),H247," ")</f>
        <v> </v>
      </c>
      <c r="AE247" s="17" t="str">
        <f aca="false">IF((E247="f"),H247," ")</f>
        <v> </v>
      </c>
      <c r="AF247" s="17" t="str">
        <f aca="false">IF((E247="l"),H247," ")</f>
        <v> </v>
      </c>
      <c r="AG247" s="17" t="str">
        <f aca="false">IF((E247="y"),H247," ")</f>
        <v> </v>
      </c>
      <c r="AH247" s="17" t="str">
        <f aca="false">IF((E247="z"),H247," ")</f>
        <v> </v>
      </c>
      <c r="AI247" s="17" t="str">
        <f aca="false">IF((E247="fa"),H247," ")</f>
        <v> </v>
      </c>
      <c r="AJ247" s="17" t="str">
        <f aca="false">IF((E247="e"),H247," ")</f>
        <v> </v>
      </c>
    </row>
    <row r="248" customFormat="false" ht="12" hidden="false" customHeight="false" outlineLevel="0" collapsed="false">
      <c r="A248" s="28"/>
      <c r="E248" s="2" t="str">
        <f aca="false">IF((F248&lt;&gt;0),"Enter Letter"," ")</f>
        <v> </v>
      </c>
      <c r="F248" s="30"/>
      <c r="G248" s="6" t="str">
        <f aca="false">IF(F248&lt;&gt;0,F248*G$2/(100+G$2)," ")</f>
        <v> </v>
      </c>
      <c r="H248" s="6" t="str">
        <f aca="false">IF((F248&lt;&gt;0),F248-G248," ")</f>
        <v> </v>
      </c>
      <c r="I248" s="5"/>
      <c r="L248" s="7" t="str">
        <f aca="false">IF(F248&lt;&gt;0,F248-K248," ")</f>
        <v> </v>
      </c>
      <c r="M248" s="8" t="str">
        <f aca="false">IF((F248-K248)&lt;&gt;0,M$1-A248," ")</f>
        <v> </v>
      </c>
      <c r="N248" s="5"/>
      <c r="O248" s="17" t="str">
        <f aca="false">IF((E248="s"),H248," ")</f>
        <v> </v>
      </c>
      <c r="P248" s="17" t="str">
        <f aca="false">IF((E248="c"),H248," ")</f>
        <v> </v>
      </c>
      <c r="Q248" s="17" t="str">
        <f aca="false">IF((E248="o"),H248," ")</f>
        <v> </v>
      </c>
      <c r="R248" s="17" t="str">
        <f aca="false">IF((E248="d"),H248," ")</f>
        <v> </v>
      </c>
      <c r="S248" s="17" t="str">
        <f aca="false">IF((E248="w"),H248," ")</f>
        <v> </v>
      </c>
      <c r="T248" s="17" t="str">
        <f aca="false">IF((E248="r"),H248," ")</f>
        <v> </v>
      </c>
      <c r="U248" s="17" t="str">
        <f aca="false">IF((E248="p"),H248," ")</f>
        <v> </v>
      </c>
      <c r="V248" s="17" t="str">
        <f aca="false">IF((E248="t"),H248," ")</f>
        <v> </v>
      </c>
      <c r="W248" s="17" t="str">
        <f aca="false">IF((E248="q"),H248," ")</f>
        <v> </v>
      </c>
      <c r="X248" s="17" t="str">
        <f aca="false">IF((E248="m"),H248," ")</f>
        <v> </v>
      </c>
      <c r="Y248" s="17" t="str">
        <f aca="false">IF((E248="u"),H248," ")</f>
        <v> </v>
      </c>
      <c r="Z248" s="17" t="str">
        <f aca="false">IF((E248="a"),H248," ")</f>
        <v> </v>
      </c>
      <c r="AA248" s="17" t="str">
        <f aca="false">IF((E248="g"),H248," ")</f>
        <v> </v>
      </c>
      <c r="AB248" s="17" t="str">
        <f aca="false">IF((E248="h"),H248," ")</f>
        <v> </v>
      </c>
      <c r="AC248" s="30" t="str">
        <f aca="false">IF((E248="v"),H248," ")</f>
        <v> </v>
      </c>
      <c r="AD248" s="30" t="str">
        <f aca="false">IF((E248="n"),H248," ")</f>
        <v> </v>
      </c>
      <c r="AE248" s="17" t="str">
        <f aca="false">IF((E248="f"),H248," ")</f>
        <v> </v>
      </c>
      <c r="AF248" s="17" t="str">
        <f aca="false">IF((E248="l"),H248," ")</f>
        <v> </v>
      </c>
      <c r="AG248" s="17" t="str">
        <f aca="false">IF((E248="y"),H248," ")</f>
        <v> </v>
      </c>
      <c r="AH248" s="17" t="str">
        <f aca="false">IF((E248="z"),H248," ")</f>
        <v> </v>
      </c>
      <c r="AI248" s="17" t="str">
        <f aca="false">IF((E248="fa"),H248," ")</f>
        <v> </v>
      </c>
      <c r="AJ248" s="17" t="str">
        <f aca="false">IF((E248="e"),H248," ")</f>
        <v> </v>
      </c>
    </row>
    <row r="249" customFormat="false" ht="12" hidden="false" customHeight="false" outlineLevel="0" collapsed="false">
      <c r="A249" s="28"/>
      <c r="E249" s="2" t="str">
        <f aca="false">IF((F249&lt;&gt;0),"Enter Letter"," ")</f>
        <v> </v>
      </c>
      <c r="F249" s="30"/>
      <c r="G249" s="6" t="str">
        <f aca="false">IF(F249&lt;&gt;0,F249*G$2/(100+G$2)," ")</f>
        <v> </v>
      </c>
      <c r="H249" s="6" t="str">
        <f aca="false">IF((F249&lt;&gt;0),F249-G249," ")</f>
        <v> </v>
      </c>
      <c r="I249" s="5"/>
      <c r="L249" s="7" t="str">
        <f aca="false">IF(F249&lt;&gt;0,F249-K249," ")</f>
        <v> </v>
      </c>
      <c r="M249" s="8" t="str">
        <f aca="false">IF((F249-K249)&lt;&gt;0,M$1-A249," ")</f>
        <v> </v>
      </c>
      <c r="N249" s="5"/>
      <c r="O249" s="17" t="str">
        <f aca="false">IF((E249="s"),H249," ")</f>
        <v> </v>
      </c>
      <c r="P249" s="17" t="str">
        <f aca="false">IF((E249="c"),H249," ")</f>
        <v> </v>
      </c>
      <c r="Q249" s="17" t="str">
        <f aca="false">IF((E249="o"),H249," ")</f>
        <v> </v>
      </c>
      <c r="R249" s="17" t="str">
        <f aca="false">IF((E249="d"),H249," ")</f>
        <v> </v>
      </c>
      <c r="S249" s="17" t="str">
        <f aca="false">IF((E249="w"),H249," ")</f>
        <v> </v>
      </c>
      <c r="T249" s="17" t="str">
        <f aca="false">IF((E249="r"),H249," ")</f>
        <v> </v>
      </c>
      <c r="U249" s="17" t="str">
        <f aca="false">IF((E249="p"),H249," ")</f>
        <v> </v>
      </c>
      <c r="V249" s="17" t="str">
        <f aca="false">IF((E249="t"),H249," ")</f>
        <v> </v>
      </c>
      <c r="W249" s="17" t="str">
        <f aca="false">IF((E249="q"),H249," ")</f>
        <v> </v>
      </c>
      <c r="X249" s="17" t="str">
        <f aca="false">IF((E249="m"),H249," ")</f>
        <v> </v>
      </c>
      <c r="Y249" s="17" t="str">
        <f aca="false">IF((E249="u"),H249," ")</f>
        <v> </v>
      </c>
      <c r="Z249" s="17" t="str">
        <f aca="false">IF((E249="a"),H249," ")</f>
        <v> </v>
      </c>
      <c r="AA249" s="17" t="str">
        <f aca="false">IF((E249="g"),H249," ")</f>
        <v> </v>
      </c>
      <c r="AB249" s="17" t="str">
        <f aca="false">IF((E249="h"),H249," ")</f>
        <v> </v>
      </c>
      <c r="AC249" s="30" t="str">
        <f aca="false">IF((E249="v"),H249," ")</f>
        <v> </v>
      </c>
      <c r="AD249" s="30" t="str">
        <f aca="false">IF((E249="n"),H249," ")</f>
        <v> </v>
      </c>
      <c r="AE249" s="17" t="str">
        <f aca="false">IF((E249="f"),H249," ")</f>
        <v> </v>
      </c>
      <c r="AF249" s="17" t="str">
        <f aca="false">IF((E249="l"),H249," ")</f>
        <v> </v>
      </c>
      <c r="AG249" s="17" t="str">
        <f aca="false">IF((E249="y"),H249," ")</f>
        <v> </v>
      </c>
      <c r="AH249" s="17" t="str">
        <f aca="false">IF((E249="z"),H249," ")</f>
        <v> </v>
      </c>
      <c r="AI249" s="17" t="str">
        <f aca="false">IF((E249="fa"),H249," ")</f>
        <v> </v>
      </c>
      <c r="AJ249" s="17" t="str">
        <f aca="false">IF((E249="e"),H249," ")</f>
        <v> </v>
      </c>
    </row>
    <row r="250" customFormat="false" ht="12" hidden="false" customHeight="false" outlineLevel="0" collapsed="false">
      <c r="A250" s="28"/>
      <c r="E250" s="2" t="str">
        <f aca="false">IF((F250&lt;&gt;0),"Enter Letter"," ")</f>
        <v> </v>
      </c>
      <c r="F250" s="30"/>
      <c r="G250" s="6" t="str">
        <f aca="false">IF(F250&lt;&gt;0,F250*G$2/(100+G$2)," ")</f>
        <v> </v>
      </c>
      <c r="H250" s="6" t="str">
        <f aca="false">IF((F250&lt;&gt;0),F250-G250," ")</f>
        <v> </v>
      </c>
      <c r="I250" s="5"/>
      <c r="L250" s="7" t="str">
        <f aca="false">IF(F250&lt;&gt;0,F250-K250," ")</f>
        <v> </v>
      </c>
      <c r="M250" s="8" t="str">
        <f aca="false">IF((F250-K250)&lt;&gt;0,M$1-A250," ")</f>
        <v> </v>
      </c>
      <c r="N250" s="5"/>
      <c r="O250" s="17" t="str">
        <f aca="false">IF((E250="s"),H250," ")</f>
        <v> </v>
      </c>
      <c r="P250" s="17" t="str">
        <f aca="false">IF((E250="c"),H250," ")</f>
        <v> </v>
      </c>
      <c r="Q250" s="17" t="str">
        <f aca="false">IF((E250="o"),H250," ")</f>
        <v> </v>
      </c>
      <c r="R250" s="17" t="str">
        <f aca="false">IF((E250="d"),H250," ")</f>
        <v> </v>
      </c>
      <c r="S250" s="17" t="str">
        <f aca="false">IF((E250="w"),H250," ")</f>
        <v> </v>
      </c>
      <c r="T250" s="17" t="str">
        <f aca="false">IF((E250="r"),H250," ")</f>
        <v> </v>
      </c>
      <c r="U250" s="17" t="str">
        <f aca="false">IF((E250="p"),H250," ")</f>
        <v> </v>
      </c>
      <c r="V250" s="17" t="str">
        <f aca="false">IF((E250="t"),H250," ")</f>
        <v> </v>
      </c>
      <c r="W250" s="17" t="str">
        <f aca="false">IF((E250="q"),H250," ")</f>
        <v> </v>
      </c>
      <c r="X250" s="17" t="str">
        <f aca="false">IF((E250="m"),H250," ")</f>
        <v> </v>
      </c>
      <c r="Y250" s="17" t="str">
        <f aca="false">IF((E250="u"),H250," ")</f>
        <v> </v>
      </c>
      <c r="Z250" s="17" t="str">
        <f aca="false">IF((E250="a"),H250," ")</f>
        <v> </v>
      </c>
      <c r="AA250" s="17" t="str">
        <f aca="false">IF((E250="g"),H250," ")</f>
        <v> </v>
      </c>
      <c r="AB250" s="17" t="str">
        <f aca="false">IF((E250="h"),H250," ")</f>
        <v> </v>
      </c>
      <c r="AC250" s="30" t="str">
        <f aca="false">IF((E250="v"),H250," ")</f>
        <v> </v>
      </c>
      <c r="AD250" s="30" t="str">
        <f aca="false">IF((E250="n"),H250," ")</f>
        <v> </v>
      </c>
      <c r="AE250" s="17" t="str">
        <f aca="false">IF((E250="f"),H250," ")</f>
        <v> </v>
      </c>
      <c r="AF250" s="17" t="str">
        <f aca="false">IF((E250="l"),H250," ")</f>
        <v> </v>
      </c>
      <c r="AG250" s="17" t="str">
        <f aca="false">IF((E250="y"),H250," ")</f>
        <v> </v>
      </c>
      <c r="AH250" s="17" t="str">
        <f aca="false">IF((E250="z"),H250," ")</f>
        <v> </v>
      </c>
      <c r="AI250" s="17" t="str">
        <f aca="false">IF((E250="fa"),H250," ")</f>
        <v> </v>
      </c>
      <c r="AJ250" s="17" t="str">
        <f aca="false">IF((E250="e"),H250," ")</f>
        <v> </v>
      </c>
    </row>
    <row r="251" customFormat="false" ht="12" hidden="false" customHeight="false" outlineLevel="0" collapsed="false">
      <c r="A251" s="28"/>
      <c r="E251" s="2" t="str">
        <f aca="false">IF((F251&lt;&gt;0),"Enter Letter"," ")</f>
        <v> </v>
      </c>
      <c r="F251" s="30"/>
      <c r="G251" s="6" t="str">
        <f aca="false">IF(F251&lt;&gt;0,F251*G$2/(100+G$2)," ")</f>
        <v> </v>
      </c>
      <c r="H251" s="6" t="str">
        <f aca="false">IF((F251&lt;&gt;0),F251-G251," ")</f>
        <v> </v>
      </c>
      <c r="I251" s="5"/>
      <c r="L251" s="7" t="str">
        <f aca="false">IF(F251&lt;&gt;0,F251-K251," ")</f>
        <v> </v>
      </c>
      <c r="M251" s="8" t="str">
        <f aca="false">IF((F251-K251)&lt;&gt;0,M$1-A251," ")</f>
        <v> </v>
      </c>
      <c r="N251" s="5"/>
      <c r="O251" s="17" t="str">
        <f aca="false">IF((E251="s"),H251," ")</f>
        <v> </v>
      </c>
      <c r="P251" s="17" t="str">
        <f aca="false">IF((E251="c"),H251," ")</f>
        <v> </v>
      </c>
      <c r="Q251" s="17" t="str">
        <f aca="false">IF((E251="o"),H251," ")</f>
        <v> </v>
      </c>
      <c r="R251" s="17" t="str">
        <f aca="false">IF((E251="d"),H251," ")</f>
        <v> </v>
      </c>
      <c r="S251" s="17" t="str">
        <f aca="false">IF((E251="w"),H251," ")</f>
        <v> </v>
      </c>
      <c r="T251" s="17" t="str">
        <f aca="false">IF((E251="r"),H251," ")</f>
        <v> </v>
      </c>
      <c r="U251" s="17" t="str">
        <f aca="false">IF((E251="p"),H251," ")</f>
        <v> </v>
      </c>
      <c r="V251" s="17" t="str">
        <f aca="false">IF((E251="t"),H251," ")</f>
        <v> </v>
      </c>
      <c r="W251" s="17" t="str">
        <f aca="false">IF((E251="q"),H251," ")</f>
        <v> </v>
      </c>
      <c r="X251" s="17" t="str">
        <f aca="false">IF((E251="m"),H251," ")</f>
        <v> </v>
      </c>
      <c r="Y251" s="17" t="str">
        <f aca="false">IF((E251="u"),H251," ")</f>
        <v> </v>
      </c>
      <c r="Z251" s="17" t="str">
        <f aca="false">IF((E251="a"),H251," ")</f>
        <v> </v>
      </c>
      <c r="AA251" s="17" t="str">
        <f aca="false">IF((E251="g"),H251," ")</f>
        <v> </v>
      </c>
      <c r="AB251" s="17" t="str">
        <f aca="false">IF((E251="h"),H251," ")</f>
        <v> </v>
      </c>
      <c r="AC251" s="30" t="str">
        <f aca="false">IF((E251="v"),H251," ")</f>
        <v> </v>
      </c>
      <c r="AD251" s="30" t="str">
        <f aca="false">IF((E251="n"),H251," ")</f>
        <v> </v>
      </c>
      <c r="AE251" s="17" t="str">
        <f aca="false">IF((E251="f"),H251," ")</f>
        <v> </v>
      </c>
      <c r="AF251" s="17" t="str">
        <f aca="false">IF((E251="l"),H251," ")</f>
        <v> </v>
      </c>
      <c r="AG251" s="17" t="str">
        <f aca="false">IF((E251="y"),H251," ")</f>
        <v> </v>
      </c>
      <c r="AH251" s="17" t="str">
        <f aca="false">IF((E251="z"),H251," ")</f>
        <v> </v>
      </c>
      <c r="AI251" s="17" t="str">
        <f aca="false">IF((E251="fa"),H251," ")</f>
        <v> </v>
      </c>
      <c r="AJ251" s="17" t="str">
        <f aca="false">IF((E251="e"),H251," ")</f>
        <v> </v>
      </c>
    </row>
    <row r="252" customFormat="false" ht="12" hidden="false" customHeight="false" outlineLevel="0" collapsed="false">
      <c r="A252" s="28"/>
      <c r="E252" s="2" t="str">
        <f aca="false">IF((F252&lt;&gt;0),"Enter Letter"," ")</f>
        <v> </v>
      </c>
      <c r="F252" s="30"/>
      <c r="G252" s="6" t="str">
        <f aca="false">IF(F252&lt;&gt;0,F252*G$2/(100+G$2)," ")</f>
        <v> </v>
      </c>
      <c r="H252" s="6" t="str">
        <f aca="false">IF((F252&lt;&gt;0),F252-G252," ")</f>
        <v> </v>
      </c>
      <c r="I252" s="5"/>
      <c r="L252" s="7" t="str">
        <f aca="false">IF(F252&lt;&gt;0,F252-K252," ")</f>
        <v> </v>
      </c>
      <c r="M252" s="8" t="str">
        <f aca="false">IF((F252-K252)&lt;&gt;0,M$1-A252," ")</f>
        <v> </v>
      </c>
      <c r="N252" s="5"/>
      <c r="O252" s="17" t="str">
        <f aca="false">IF((E252="s"),H252," ")</f>
        <v> </v>
      </c>
      <c r="P252" s="17" t="str">
        <f aca="false">IF((E252="c"),H252," ")</f>
        <v> </v>
      </c>
      <c r="Q252" s="17" t="str">
        <f aca="false">IF((E252="o"),H252," ")</f>
        <v> </v>
      </c>
      <c r="R252" s="17" t="str">
        <f aca="false">IF((E252="d"),H252," ")</f>
        <v> </v>
      </c>
      <c r="S252" s="17" t="str">
        <f aca="false">IF((E252="w"),H252," ")</f>
        <v> </v>
      </c>
      <c r="T252" s="17" t="str">
        <f aca="false">IF((E252="r"),H252," ")</f>
        <v> </v>
      </c>
      <c r="U252" s="17" t="str">
        <f aca="false">IF((E252="p"),H252," ")</f>
        <v> </v>
      </c>
      <c r="V252" s="17" t="str">
        <f aca="false">IF((E252="t"),H252," ")</f>
        <v> </v>
      </c>
      <c r="W252" s="17" t="str">
        <f aca="false">IF((E252="q"),H252," ")</f>
        <v> </v>
      </c>
      <c r="X252" s="17" t="str">
        <f aca="false">IF((E252="m"),H252," ")</f>
        <v> </v>
      </c>
      <c r="Y252" s="17" t="str">
        <f aca="false">IF((E252="u"),H252," ")</f>
        <v> </v>
      </c>
      <c r="Z252" s="17" t="str">
        <f aca="false">IF((E252="a"),H252," ")</f>
        <v> </v>
      </c>
      <c r="AA252" s="17" t="str">
        <f aca="false">IF((E252="g"),H252," ")</f>
        <v> </v>
      </c>
      <c r="AB252" s="17" t="str">
        <f aca="false">IF((E252="h"),H252," ")</f>
        <v> </v>
      </c>
      <c r="AC252" s="30" t="str">
        <f aca="false">IF((E252="v"),H252," ")</f>
        <v> </v>
      </c>
      <c r="AD252" s="30" t="str">
        <f aca="false">IF((E252="n"),H252," ")</f>
        <v> </v>
      </c>
      <c r="AE252" s="17" t="str">
        <f aca="false">IF((E252="f"),H252," ")</f>
        <v> </v>
      </c>
      <c r="AF252" s="17" t="str">
        <f aca="false">IF((E252="l"),H252," ")</f>
        <v> </v>
      </c>
      <c r="AG252" s="17" t="str">
        <f aca="false">IF((E252="y"),H252," ")</f>
        <v> </v>
      </c>
      <c r="AH252" s="17" t="str">
        <f aca="false">IF((E252="z"),H252," ")</f>
        <v> </v>
      </c>
      <c r="AI252" s="17" t="str">
        <f aca="false">IF((E252="fa"),H252," ")</f>
        <v> </v>
      </c>
      <c r="AJ252" s="17" t="str">
        <f aca="false">IF((E252="e"),H252," ")</f>
        <v> </v>
      </c>
    </row>
    <row r="253" customFormat="false" ht="12" hidden="false" customHeight="false" outlineLevel="0" collapsed="false">
      <c r="A253" s="28"/>
      <c r="E253" s="2" t="str">
        <f aca="false">IF((F253&lt;&gt;0),"Enter Letter"," ")</f>
        <v> </v>
      </c>
      <c r="F253" s="30"/>
      <c r="G253" s="6" t="str">
        <f aca="false">IF(F253&lt;&gt;0,F253*G$2/(100+G$2)," ")</f>
        <v> </v>
      </c>
      <c r="H253" s="6" t="str">
        <f aca="false">IF((F253&lt;&gt;0),F253-G253," ")</f>
        <v> </v>
      </c>
      <c r="I253" s="5"/>
      <c r="L253" s="7" t="str">
        <f aca="false">IF(F253&lt;&gt;0,F253-K253," ")</f>
        <v> </v>
      </c>
      <c r="M253" s="8" t="str">
        <f aca="false">IF((F253-K253)&lt;&gt;0,M$1-A253," ")</f>
        <v> </v>
      </c>
      <c r="N253" s="5"/>
      <c r="O253" s="17" t="str">
        <f aca="false">IF((E253="s"),H253," ")</f>
        <v> </v>
      </c>
      <c r="P253" s="17" t="str">
        <f aca="false">IF((E253="c"),H253," ")</f>
        <v> </v>
      </c>
      <c r="Q253" s="17" t="str">
        <f aca="false">IF((E253="o"),H253," ")</f>
        <v> </v>
      </c>
      <c r="R253" s="17" t="str">
        <f aca="false">IF((E253="d"),H253," ")</f>
        <v> </v>
      </c>
      <c r="S253" s="17" t="str">
        <f aca="false">IF((E253="w"),H253," ")</f>
        <v> </v>
      </c>
      <c r="T253" s="17" t="str">
        <f aca="false">IF((E253="r"),H253," ")</f>
        <v> </v>
      </c>
      <c r="U253" s="17" t="str">
        <f aca="false">IF((E253="p"),H253," ")</f>
        <v> </v>
      </c>
      <c r="V253" s="17" t="str">
        <f aca="false">IF((E253="t"),H253," ")</f>
        <v> </v>
      </c>
      <c r="W253" s="17" t="str">
        <f aca="false">IF((E253="q"),H253," ")</f>
        <v> </v>
      </c>
      <c r="X253" s="17" t="str">
        <f aca="false">IF((E253="m"),H253," ")</f>
        <v> </v>
      </c>
      <c r="Y253" s="17" t="str">
        <f aca="false">IF((E253="u"),H253," ")</f>
        <v> </v>
      </c>
      <c r="Z253" s="17" t="str">
        <f aca="false">IF((E253="a"),H253," ")</f>
        <v> </v>
      </c>
      <c r="AA253" s="17" t="str">
        <f aca="false">IF((E253="g"),H253," ")</f>
        <v> </v>
      </c>
      <c r="AB253" s="17" t="str">
        <f aca="false">IF((E253="h"),H253," ")</f>
        <v> </v>
      </c>
      <c r="AC253" s="30" t="str">
        <f aca="false">IF((E253="v"),H253," ")</f>
        <v> </v>
      </c>
      <c r="AD253" s="30" t="str">
        <f aca="false">IF((E253="n"),H253," ")</f>
        <v> </v>
      </c>
      <c r="AE253" s="17" t="str">
        <f aca="false">IF((E253="f"),H253," ")</f>
        <v> </v>
      </c>
      <c r="AF253" s="17" t="str">
        <f aca="false">IF((E253="l"),H253," ")</f>
        <v> </v>
      </c>
      <c r="AG253" s="17" t="str">
        <f aca="false">IF((E253="y"),H253," ")</f>
        <v> </v>
      </c>
      <c r="AH253" s="17" t="str">
        <f aca="false">IF((E253="z"),H253," ")</f>
        <v> </v>
      </c>
      <c r="AI253" s="17" t="str">
        <f aca="false">IF((E253="fa"),H253," ")</f>
        <v> </v>
      </c>
      <c r="AJ253" s="17" t="str">
        <f aca="false">IF((E253="e"),H253," ")</f>
        <v> </v>
      </c>
    </row>
    <row r="254" customFormat="false" ht="12" hidden="false" customHeight="false" outlineLevel="0" collapsed="false">
      <c r="A254" s="28"/>
      <c r="E254" s="2" t="str">
        <f aca="false">IF((F254&lt;&gt;0),"Enter Letter"," ")</f>
        <v> </v>
      </c>
      <c r="F254" s="30"/>
      <c r="G254" s="6" t="str">
        <f aca="false">IF(F254&lt;&gt;0,F254*G$2/(100+G$2)," ")</f>
        <v> </v>
      </c>
      <c r="H254" s="6" t="str">
        <f aca="false">IF((F254&lt;&gt;0),F254-G254," ")</f>
        <v> </v>
      </c>
      <c r="I254" s="5"/>
      <c r="L254" s="7" t="str">
        <f aca="false">IF(F254&lt;&gt;0,F254-K254," ")</f>
        <v> </v>
      </c>
      <c r="M254" s="8" t="str">
        <f aca="false">IF((F254-K254)&lt;&gt;0,M$1-A254," ")</f>
        <v> </v>
      </c>
      <c r="N254" s="5"/>
      <c r="O254" s="17" t="str">
        <f aca="false">IF((E254="s"),H254," ")</f>
        <v> </v>
      </c>
      <c r="P254" s="17" t="str">
        <f aca="false">IF((E254="c"),H254," ")</f>
        <v> </v>
      </c>
      <c r="Q254" s="17" t="str">
        <f aca="false">IF((E254="o"),H254," ")</f>
        <v> </v>
      </c>
      <c r="R254" s="17" t="str">
        <f aca="false">IF((E254="d"),H254," ")</f>
        <v> </v>
      </c>
      <c r="S254" s="17" t="str">
        <f aca="false">IF((E254="w"),H254," ")</f>
        <v> </v>
      </c>
      <c r="T254" s="17" t="str">
        <f aca="false">IF((E254="r"),H254," ")</f>
        <v> </v>
      </c>
      <c r="U254" s="17" t="str">
        <f aca="false">IF((E254="p"),H254," ")</f>
        <v> </v>
      </c>
      <c r="V254" s="17" t="str">
        <f aca="false">IF((E254="t"),H254," ")</f>
        <v> </v>
      </c>
      <c r="W254" s="17" t="str">
        <f aca="false">IF((E254="q"),H254," ")</f>
        <v> </v>
      </c>
      <c r="X254" s="17" t="str">
        <f aca="false">IF((E254="m"),H254," ")</f>
        <v> </v>
      </c>
      <c r="Y254" s="17" t="str">
        <f aca="false">IF((E254="u"),H254," ")</f>
        <v> </v>
      </c>
      <c r="Z254" s="17" t="str">
        <f aca="false">IF((E254="a"),H254," ")</f>
        <v> </v>
      </c>
      <c r="AA254" s="17" t="str">
        <f aca="false">IF((E254="g"),H254," ")</f>
        <v> </v>
      </c>
      <c r="AB254" s="17" t="str">
        <f aca="false">IF((E254="h"),H254," ")</f>
        <v> </v>
      </c>
      <c r="AC254" s="30" t="str">
        <f aca="false">IF((E254="v"),H254," ")</f>
        <v> </v>
      </c>
      <c r="AD254" s="30" t="str">
        <f aca="false">IF((E254="n"),H254," ")</f>
        <v> </v>
      </c>
      <c r="AE254" s="17" t="str">
        <f aca="false">IF((E254="f"),H254," ")</f>
        <v> </v>
      </c>
      <c r="AF254" s="17" t="str">
        <f aca="false">IF((E254="l"),H254," ")</f>
        <v> </v>
      </c>
      <c r="AG254" s="17" t="str">
        <f aca="false">IF((E254="y"),H254," ")</f>
        <v> </v>
      </c>
      <c r="AH254" s="17" t="str">
        <f aca="false">IF((E254="z"),H254," ")</f>
        <v> </v>
      </c>
      <c r="AI254" s="17" t="str">
        <f aca="false">IF((E254="fa"),H254," ")</f>
        <v> </v>
      </c>
      <c r="AJ254" s="17" t="str">
        <f aca="false">IF((E254="e"),H254," ")</f>
        <v> </v>
      </c>
    </row>
    <row r="255" customFormat="false" ht="12" hidden="false" customHeight="false" outlineLevel="0" collapsed="false">
      <c r="A255" s="28"/>
      <c r="E255" s="2" t="str">
        <f aca="false">IF((F255&lt;&gt;0),"Enter Letter"," ")</f>
        <v> </v>
      </c>
      <c r="F255" s="30"/>
      <c r="G255" s="6" t="str">
        <f aca="false">IF(F255&lt;&gt;0,F255*G$2/(100+G$2)," ")</f>
        <v> </v>
      </c>
      <c r="H255" s="6" t="str">
        <f aca="false">IF((F255&lt;&gt;0),F255-G255," ")</f>
        <v> </v>
      </c>
      <c r="I255" s="5"/>
      <c r="L255" s="7" t="str">
        <f aca="false">IF(F255&lt;&gt;0,F255-K255," ")</f>
        <v> </v>
      </c>
      <c r="M255" s="8" t="str">
        <f aca="false">IF((F255-K255)&lt;&gt;0,M$1-A255," ")</f>
        <v> </v>
      </c>
      <c r="N255" s="5"/>
      <c r="O255" s="17" t="str">
        <f aca="false">IF((E255="s"),H255," ")</f>
        <v> </v>
      </c>
      <c r="P255" s="17" t="str">
        <f aca="false">IF((E255="c"),H255," ")</f>
        <v> </v>
      </c>
      <c r="Q255" s="17" t="str">
        <f aca="false">IF((E255="o"),H255," ")</f>
        <v> </v>
      </c>
      <c r="R255" s="17" t="str">
        <f aca="false">IF((E255="d"),H255," ")</f>
        <v> </v>
      </c>
      <c r="S255" s="17" t="str">
        <f aca="false">IF((E255="w"),H255," ")</f>
        <v> </v>
      </c>
      <c r="T255" s="17" t="str">
        <f aca="false">IF((E255="r"),H255," ")</f>
        <v> </v>
      </c>
      <c r="U255" s="17" t="str">
        <f aca="false">IF((E255="p"),H255," ")</f>
        <v> </v>
      </c>
      <c r="V255" s="17" t="str">
        <f aca="false">IF((E255="t"),H255," ")</f>
        <v> </v>
      </c>
      <c r="W255" s="17" t="str">
        <f aca="false">IF((E255="q"),H255," ")</f>
        <v> </v>
      </c>
      <c r="X255" s="17" t="str">
        <f aca="false">IF((E255="m"),H255," ")</f>
        <v> </v>
      </c>
      <c r="Y255" s="17" t="str">
        <f aca="false">IF((E255="u"),H255," ")</f>
        <v> </v>
      </c>
      <c r="Z255" s="17" t="str">
        <f aca="false">IF((E255="a"),H255," ")</f>
        <v> </v>
      </c>
      <c r="AA255" s="17" t="str">
        <f aca="false">IF((E255="g"),H255," ")</f>
        <v> </v>
      </c>
      <c r="AB255" s="17" t="str">
        <f aca="false">IF((E255="h"),H255," ")</f>
        <v> </v>
      </c>
      <c r="AC255" s="30" t="str">
        <f aca="false">IF((E255="v"),H255," ")</f>
        <v> </v>
      </c>
      <c r="AD255" s="30" t="str">
        <f aca="false">IF((E255="n"),H255," ")</f>
        <v> </v>
      </c>
      <c r="AE255" s="17" t="str">
        <f aca="false">IF((E255="f"),H255," ")</f>
        <v> </v>
      </c>
      <c r="AF255" s="17" t="str">
        <f aca="false">IF((E255="l"),H255," ")</f>
        <v> </v>
      </c>
      <c r="AG255" s="17" t="str">
        <f aca="false">IF((E255="y"),H255," ")</f>
        <v> </v>
      </c>
      <c r="AH255" s="17" t="str">
        <f aca="false">IF((E255="z"),H255," ")</f>
        <v> </v>
      </c>
      <c r="AI255" s="17" t="str">
        <f aca="false">IF((E255="fa"),H255," ")</f>
        <v> </v>
      </c>
      <c r="AJ255" s="17" t="str">
        <f aca="false">IF((E255="e"),H255," ")</f>
        <v> </v>
      </c>
    </row>
    <row r="256" customFormat="false" ht="12" hidden="false" customHeight="false" outlineLevel="0" collapsed="false">
      <c r="A256" s="28"/>
      <c r="E256" s="2" t="str">
        <f aca="false">IF((F256&lt;&gt;0),"Enter Letter"," ")</f>
        <v> </v>
      </c>
      <c r="F256" s="30"/>
      <c r="G256" s="6" t="str">
        <f aca="false">IF(F256&lt;&gt;0,F256*G$2/(100+G$2)," ")</f>
        <v> </v>
      </c>
      <c r="H256" s="6" t="str">
        <f aca="false">IF((F256&lt;&gt;0),F256-G256," ")</f>
        <v> </v>
      </c>
      <c r="I256" s="5"/>
      <c r="L256" s="7" t="str">
        <f aca="false">IF(F256&lt;&gt;0,F256-K256," ")</f>
        <v> </v>
      </c>
      <c r="M256" s="8" t="str">
        <f aca="false">IF((F256-K256)&lt;&gt;0,M$1-A256," ")</f>
        <v> </v>
      </c>
      <c r="N256" s="5"/>
      <c r="O256" s="17" t="str">
        <f aca="false">IF((E256="s"),H256," ")</f>
        <v> </v>
      </c>
      <c r="P256" s="17" t="str">
        <f aca="false">IF((E256="c"),H256," ")</f>
        <v> </v>
      </c>
      <c r="Q256" s="17" t="str">
        <f aca="false">IF((E256="o"),H256," ")</f>
        <v> </v>
      </c>
      <c r="R256" s="17" t="str">
        <f aca="false">IF((E256="d"),H256," ")</f>
        <v> </v>
      </c>
      <c r="S256" s="17" t="str">
        <f aca="false">IF((E256="w"),H256," ")</f>
        <v> </v>
      </c>
      <c r="T256" s="17" t="str">
        <f aca="false">IF((E256="r"),H256," ")</f>
        <v> </v>
      </c>
      <c r="U256" s="17" t="str">
        <f aca="false">IF((E256="p"),H256," ")</f>
        <v> </v>
      </c>
      <c r="V256" s="17" t="str">
        <f aca="false">IF((E256="t"),H256," ")</f>
        <v> </v>
      </c>
      <c r="W256" s="17" t="str">
        <f aca="false">IF((E256="q"),H256," ")</f>
        <v> </v>
      </c>
      <c r="X256" s="17" t="str">
        <f aca="false">IF((E256="m"),H256," ")</f>
        <v> </v>
      </c>
      <c r="Y256" s="17" t="str">
        <f aca="false">IF((E256="u"),H256," ")</f>
        <v> </v>
      </c>
      <c r="Z256" s="17" t="str">
        <f aca="false">IF((E256="a"),H256," ")</f>
        <v> </v>
      </c>
      <c r="AA256" s="17" t="str">
        <f aca="false">IF((E256="g"),H256," ")</f>
        <v> </v>
      </c>
      <c r="AB256" s="17" t="str">
        <f aca="false">IF((E256="h"),H256," ")</f>
        <v> </v>
      </c>
      <c r="AC256" s="30" t="str">
        <f aca="false">IF((E256="v"),H256," ")</f>
        <v> </v>
      </c>
      <c r="AD256" s="30" t="str">
        <f aca="false">IF((E256="n"),H256," ")</f>
        <v> </v>
      </c>
      <c r="AE256" s="17" t="str">
        <f aca="false">IF((E256="f"),H256," ")</f>
        <v> </v>
      </c>
      <c r="AF256" s="17" t="str">
        <f aca="false">IF((E256="l"),H256," ")</f>
        <v> </v>
      </c>
      <c r="AG256" s="17" t="str">
        <f aca="false">IF((E256="y"),H256," ")</f>
        <v> </v>
      </c>
      <c r="AH256" s="17" t="str">
        <f aca="false">IF((E256="z"),H256," ")</f>
        <v> </v>
      </c>
      <c r="AI256" s="17" t="str">
        <f aca="false">IF((E256="fa"),H256," ")</f>
        <v> </v>
      </c>
      <c r="AJ256" s="17" t="str">
        <f aca="false">IF((E256="e"),H256," ")</f>
        <v> </v>
      </c>
    </row>
    <row r="257" customFormat="false" ht="12" hidden="false" customHeight="false" outlineLevel="0" collapsed="false">
      <c r="A257" s="28"/>
      <c r="E257" s="2" t="str">
        <f aca="false">IF((F257&lt;&gt;0),"Enter Letter"," ")</f>
        <v> </v>
      </c>
      <c r="F257" s="30"/>
      <c r="G257" s="6" t="str">
        <f aca="false">IF(F257&lt;&gt;0,F257*G$2/(100+G$2)," ")</f>
        <v> </v>
      </c>
      <c r="H257" s="6" t="str">
        <f aca="false">IF((F257&lt;&gt;0),F257-G257," ")</f>
        <v> </v>
      </c>
      <c r="I257" s="5"/>
      <c r="L257" s="7" t="str">
        <f aca="false">IF(F257&lt;&gt;0,F257-K257," ")</f>
        <v> </v>
      </c>
      <c r="M257" s="8" t="str">
        <f aca="false">IF((F257-K257)&lt;&gt;0,M$1-A257," ")</f>
        <v> </v>
      </c>
      <c r="N257" s="5"/>
      <c r="O257" s="17" t="str">
        <f aca="false">IF((E257="s"),H257," ")</f>
        <v> </v>
      </c>
      <c r="P257" s="17" t="str">
        <f aca="false">IF((E257="c"),H257," ")</f>
        <v> </v>
      </c>
      <c r="Q257" s="17" t="str">
        <f aca="false">IF((E257="o"),H257," ")</f>
        <v> </v>
      </c>
      <c r="R257" s="17" t="str">
        <f aca="false">IF((E257="d"),H257," ")</f>
        <v> </v>
      </c>
      <c r="S257" s="17" t="str">
        <f aca="false">IF((E257="w"),H257," ")</f>
        <v> </v>
      </c>
      <c r="T257" s="17" t="str">
        <f aca="false">IF((E257="r"),H257," ")</f>
        <v> </v>
      </c>
      <c r="U257" s="17" t="str">
        <f aca="false">IF((E257="p"),H257," ")</f>
        <v> </v>
      </c>
      <c r="V257" s="17" t="str">
        <f aca="false">IF((E257="t"),H257," ")</f>
        <v> </v>
      </c>
      <c r="W257" s="17" t="str">
        <f aca="false">IF((E257="q"),H257," ")</f>
        <v> </v>
      </c>
      <c r="X257" s="17" t="str">
        <f aca="false">IF((E257="m"),H257," ")</f>
        <v> </v>
      </c>
      <c r="Y257" s="17" t="str">
        <f aca="false">IF((E257="u"),H257," ")</f>
        <v> </v>
      </c>
      <c r="Z257" s="17" t="str">
        <f aca="false">IF((E257="a"),H257," ")</f>
        <v> </v>
      </c>
      <c r="AA257" s="17" t="str">
        <f aca="false">IF((E257="g"),H257," ")</f>
        <v> </v>
      </c>
      <c r="AB257" s="17" t="str">
        <f aca="false">IF((E257="h"),H257," ")</f>
        <v> </v>
      </c>
      <c r="AC257" s="30" t="str">
        <f aca="false">IF((E257="v"),H257," ")</f>
        <v> </v>
      </c>
      <c r="AD257" s="30" t="str">
        <f aca="false">IF((E257="n"),H257," ")</f>
        <v> </v>
      </c>
      <c r="AE257" s="17" t="str">
        <f aca="false">IF((E257="f"),H257," ")</f>
        <v> </v>
      </c>
      <c r="AF257" s="17" t="str">
        <f aca="false">IF((E257="l"),H257," ")</f>
        <v> </v>
      </c>
      <c r="AG257" s="17" t="str">
        <f aca="false">IF((E257="y"),H257," ")</f>
        <v> </v>
      </c>
      <c r="AH257" s="17" t="str">
        <f aca="false">IF((E257="z"),H257," ")</f>
        <v> </v>
      </c>
      <c r="AI257" s="17" t="str">
        <f aca="false">IF((E257="fa"),H257," ")</f>
        <v> </v>
      </c>
      <c r="AJ257" s="17" t="str">
        <f aca="false">IF((E257="e"),H257," ")</f>
        <v> </v>
      </c>
    </row>
    <row r="258" customFormat="false" ht="12" hidden="false" customHeight="false" outlineLevel="0" collapsed="false">
      <c r="A258" s="28"/>
      <c r="E258" s="2" t="str">
        <f aca="false">IF((F258&lt;&gt;0),"Enter Letter"," ")</f>
        <v> </v>
      </c>
      <c r="F258" s="30"/>
      <c r="G258" s="6" t="str">
        <f aca="false">IF(F258&lt;&gt;0,F258*G$2/(100+G$2)," ")</f>
        <v> </v>
      </c>
      <c r="H258" s="6" t="str">
        <f aca="false">IF((F258&lt;&gt;0),F258-G258," ")</f>
        <v> </v>
      </c>
      <c r="I258" s="5"/>
      <c r="L258" s="7" t="str">
        <f aca="false">IF(F258&lt;&gt;0,F258-K258," ")</f>
        <v> </v>
      </c>
      <c r="M258" s="8" t="str">
        <f aca="false">IF((F258-K258)&lt;&gt;0,M$1-A258," ")</f>
        <v> </v>
      </c>
      <c r="N258" s="5"/>
      <c r="O258" s="17" t="str">
        <f aca="false">IF((E258="s"),H258," ")</f>
        <v> </v>
      </c>
      <c r="P258" s="17" t="str">
        <f aca="false">IF((E258="c"),H258," ")</f>
        <v> </v>
      </c>
      <c r="Q258" s="17" t="str">
        <f aca="false">IF((E258="o"),H258," ")</f>
        <v> </v>
      </c>
      <c r="R258" s="17" t="str">
        <f aca="false">IF((E258="d"),H258," ")</f>
        <v> </v>
      </c>
      <c r="S258" s="17" t="str">
        <f aca="false">IF((E258="w"),H258," ")</f>
        <v> </v>
      </c>
      <c r="T258" s="17" t="str">
        <f aca="false">IF((E258="r"),H258," ")</f>
        <v> </v>
      </c>
      <c r="U258" s="17" t="str">
        <f aca="false">IF((E258="p"),H258," ")</f>
        <v> </v>
      </c>
      <c r="V258" s="17" t="str">
        <f aca="false">IF((E258="t"),H258," ")</f>
        <v> </v>
      </c>
      <c r="W258" s="17" t="str">
        <f aca="false">IF((E258="q"),H258," ")</f>
        <v> </v>
      </c>
      <c r="X258" s="17" t="str">
        <f aca="false">IF((E258="m"),H258," ")</f>
        <v> </v>
      </c>
      <c r="Y258" s="17" t="str">
        <f aca="false">IF((E258="u"),H258," ")</f>
        <v> </v>
      </c>
      <c r="Z258" s="17" t="str">
        <f aca="false">IF((E258="a"),H258," ")</f>
        <v> </v>
      </c>
      <c r="AA258" s="17" t="str">
        <f aca="false">IF((E258="g"),H258," ")</f>
        <v> </v>
      </c>
      <c r="AB258" s="17" t="str">
        <f aca="false">IF((E258="h"),H258," ")</f>
        <v> </v>
      </c>
      <c r="AC258" s="30" t="str">
        <f aca="false">IF((E258="v"),H258," ")</f>
        <v> </v>
      </c>
      <c r="AD258" s="30" t="str">
        <f aca="false">IF((E258="n"),H258," ")</f>
        <v> </v>
      </c>
      <c r="AE258" s="17" t="str">
        <f aca="false">IF((E258="f"),H258," ")</f>
        <v> </v>
      </c>
      <c r="AF258" s="17" t="str">
        <f aca="false">IF((E258="l"),H258," ")</f>
        <v> </v>
      </c>
      <c r="AG258" s="17" t="str">
        <f aca="false">IF((E258="y"),H258," ")</f>
        <v> </v>
      </c>
      <c r="AH258" s="17" t="str">
        <f aca="false">IF((E258="z"),H258," ")</f>
        <v> </v>
      </c>
      <c r="AI258" s="17" t="str">
        <f aca="false">IF((E258="fa"),H258," ")</f>
        <v> </v>
      </c>
      <c r="AJ258" s="17" t="str">
        <f aca="false">IF((E258="e"),H258," ")</f>
        <v> </v>
      </c>
    </row>
    <row r="259" customFormat="false" ht="12" hidden="false" customHeight="false" outlineLevel="0" collapsed="false">
      <c r="A259" s="28"/>
      <c r="E259" s="2" t="str">
        <f aca="false">IF((F259&lt;&gt;0),"Enter Letter"," ")</f>
        <v> </v>
      </c>
      <c r="F259" s="30"/>
      <c r="G259" s="6" t="str">
        <f aca="false">IF(F259&lt;&gt;0,F259*G$2/(100+G$2)," ")</f>
        <v> </v>
      </c>
      <c r="H259" s="6" t="str">
        <f aca="false">IF((F259&lt;&gt;0),F259-G259," ")</f>
        <v> </v>
      </c>
      <c r="I259" s="5"/>
      <c r="L259" s="7" t="str">
        <f aca="false">IF(F259&lt;&gt;0,F259-K259," ")</f>
        <v> </v>
      </c>
      <c r="M259" s="8" t="str">
        <f aca="false">IF((F259-K259)&lt;&gt;0,M$1-A259," ")</f>
        <v> </v>
      </c>
      <c r="N259" s="5"/>
      <c r="O259" s="17" t="str">
        <f aca="false">IF((E259="s"),H259," ")</f>
        <v> </v>
      </c>
      <c r="P259" s="17" t="str">
        <f aca="false">IF((E259="c"),H259," ")</f>
        <v> </v>
      </c>
      <c r="Q259" s="17" t="str">
        <f aca="false">IF((E259="o"),H259," ")</f>
        <v> </v>
      </c>
      <c r="R259" s="17" t="str">
        <f aca="false">IF((E259="d"),H259," ")</f>
        <v> </v>
      </c>
      <c r="S259" s="17" t="str">
        <f aca="false">IF((E259="w"),H259," ")</f>
        <v> </v>
      </c>
      <c r="T259" s="17" t="str">
        <f aca="false">IF((E259="r"),H259," ")</f>
        <v> </v>
      </c>
      <c r="U259" s="17" t="str">
        <f aca="false">IF((E259="p"),H259," ")</f>
        <v> </v>
      </c>
      <c r="V259" s="17" t="str">
        <f aca="false">IF((E259="t"),H259," ")</f>
        <v> </v>
      </c>
      <c r="W259" s="17" t="str">
        <f aca="false">IF((E259="q"),H259," ")</f>
        <v> </v>
      </c>
      <c r="X259" s="17" t="str">
        <f aca="false">IF((E259="m"),H259," ")</f>
        <v> </v>
      </c>
      <c r="Y259" s="17" t="str">
        <f aca="false">IF((E259="u"),H259," ")</f>
        <v> </v>
      </c>
      <c r="Z259" s="17" t="str">
        <f aca="false">IF((E259="a"),H259," ")</f>
        <v> </v>
      </c>
      <c r="AA259" s="17" t="str">
        <f aca="false">IF((E259="g"),H259," ")</f>
        <v> </v>
      </c>
      <c r="AB259" s="17" t="str">
        <f aca="false">IF((E259="h"),H259," ")</f>
        <v> </v>
      </c>
      <c r="AC259" s="30" t="str">
        <f aca="false">IF((E259="v"),H259," ")</f>
        <v> </v>
      </c>
      <c r="AD259" s="30" t="str">
        <f aca="false">IF((E259="n"),H259," ")</f>
        <v> </v>
      </c>
      <c r="AE259" s="17" t="str">
        <f aca="false">IF((E259="f"),H259," ")</f>
        <v> </v>
      </c>
      <c r="AF259" s="17" t="str">
        <f aca="false">IF((E259="l"),H259," ")</f>
        <v> </v>
      </c>
      <c r="AG259" s="17" t="str">
        <f aca="false">IF((E259="y"),H259," ")</f>
        <v> </v>
      </c>
      <c r="AH259" s="17" t="str">
        <f aca="false">IF((E259="z"),H259," ")</f>
        <v> </v>
      </c>
      <c r="AI259" s="17" t="str">
        <f aca="false">IF((E259="fa"),H259," ")</f>
        <v> </v>
      </c>
      <c r="AJ259" s="17" t="str">
        <f aca="false">IF((E259="e"),H259," ")</f>
        <v> </v>
      </c>
    </row>
    <row r="260" customFormat="false" ht="12" hidden="false" customHeight="false" outlineLevel="0" collapsed="false">
      <c r="A260" s="28"/>
      <c r="E260" s="2" t="str">
        <f aca="false">IF((F260&lt;&gt;0),"Enter Letter"," ")</f>
        <v> </v>
      </c>
      <c r="F260" s="30"/>
      <c r="G260" s="6" t="str">
        <f aca="false">IF(F260&lt;&gt;0,F260*G$2/(100+G$2)," ")</f>
        <v> </v>
      </c>
      <c r="H260" s="6" t="str">
        <f aca="false">IF((F260&lt;&gt;0),F260-G260," ")</f>
        <v> </v>
      </c>
      <c r="I260" s="5"/>
      <c r="L260" s="7" t="str">
        <f aca="false">IF(F260&lt;&gt;0,F260-K260," ")</f>
        <v> </v>
      </c>
      <c r="M260" s="8" t="str">
        <f aca="false">IF((F260-K260)&lt;&gt;0,M$1-A260," ")</f>
        <v> </v>
      </c>
      <c r="N260" s="5"/>
      <c r="O260" s="17" t="str">
        <f aca="false">IF((E260="s"),H260," ")</f>
        <v> </v>
      </c>
      <c r="P260" s="17" t="str">
        <f aca="false">IF((E260="c"),H260," ")</f>
        <v> </v>
      </c>
      <c r="Q260" s="17" t="str">
        <f aca="false">IF((E260="o"),H260," ")</f>
        <v> </v>
      </c>
      <c r="R260" s="17" t="str">
        <f aca="false">IF((E260="d"),H260," ")</f>
        <v> </v>
      </c>
      <c r="S260" s="17" t="str">
        <f aca="false">IF((E260="w"),H260," ")</f>
        <v> </v>
      </c>
      <c r="T260" s="17" t="str">
        <f aca="false">IF((E260="r"),H260," ")</f>
        <v> </v>
      </c>
      <c r="U260" s="17" t="str">
        <f aca="false">IF((E260="p"),H260," ")</f>
        <v> </v>
      </c>
      <c r="V260" s="17" t="str">
        <f aca="false">IF((E260="t"),H260," ")</f>
        <v> </v>
      </c>
      <c r="W260" s="17" t="str">
        <f aca="false">IF((E260="q"),H260," ")</f>
        <v> </v>
      </c>
      <c r="X260" s="17" t="str">
        <f aca="false">IF((E260="m"),H260," ")</f>
        <v> </v>
      </c>
      <c r="Y260" s="17" t="str">
        <f aca="false">IF((E260="u"),H260," ")</f>
        <v> </v>
      </c>
      <c r="Z260" s="17" t="str">
        <f aca="false">IF((E260="a"),H260," ")</f>
        <v> </v>
      </c>
      <c r="AA260" s="17" t="str">
        <f aca="false">IF((E260="g"),H260," ")</f>
        <v> </v>
      </c>
      <c r="AB260" s="17" t="str">
        <f aca="false">IF((E260="h"),H260," ")</f>
        <v> </v>
      </c>
      <c r="AC260" s="30" t="str">
        <f aca="false">IF((E260="v"),H260," ")</f>
        <v> </v>
      </c>
      <c r="AD260" s="30" t="str">
        <f aca="false">IF((E260="n"),H260," ")</f>
        <v> </v>
      </c>
      <c r="AE260" s="17" t="str">
        <f aca="false">IF((E260="f"),H260," ")</f>
        <v> </v>
      </c>
      <c r="AF260" s="17" t="str">
        <f aca="false">IF((E260="l"),H260," ")</f>
        <v> </v>
      </c>
      <c r="AG260" s="17" t="str">
        <f aca="false">IF((E260="y"),H260," ")</f>
        <v> </v>
      </c>
      <c r="AH260" s="17" t="str">
        <f aca="false">IF((E260="z"),H260," ")</f>
        <v> </v>
      </c>
      <c r="AI260" s="17" t="str">
        <f aca="false">IF((E260="fa"),H260," ")</f>
        <v> </v>
      </c>
      <c r="AJ260" s="17" t="str">
        <f aca="false">IF((E260="e"),H260," ")</f>
        <v> </v>
      </c>
    </row>
    <row r="261" customFormat="false" ht="12" hidden="false" customHeight="false" outlineLevel="0" collapsed="false">
      <c r="A261" s="28"/>
      <c r="E261" s="2" t="str">
        <f aca="false">IF((F261&lt;&gt;0),"Enter Letter"," ")</f>
        <v> </v>
      </c>
      <c r="F261" s="30"/>
      <c r="G261" s="6" t="str">
        <f aca="false">IF(F261&lt;&gt;0,F261*G$2/(100+G$2)," ")</f>
        <v> </v>
      </c>
      <c r="H261" s="6" t="str">
        <f aca="false">IF((F261&lt;&gt;0),F261-G261," ")</f>
        <v> </v>
      </c>
      <c r="I261" s="5"/>
      <c r="L261" s="7" t="str">
        <f aca="false">IF(F261&lt;&gt;0,F261-K261," ")</f>
        <v> </v>
      </c>
      <c r="M261" s="8" t="str">
        <f aca="false">IF((F261-K261)&lt;&gt;0,M$1-A261," ")</f>
        <v> </v>
      </c>
      <c r="N261" s="5"/>
      <c r="O261" s="17" t="str">
        <f aca="false">IF((E261="s"),H261," ")</f>
        <v> </v>
      </c>
      <c r="P261" s="17" t="str">
        <f aca="false">IF((E261="c"),H261," ")</f>
        <v> </v>
      </c>
      <c r="Q261" s="17" t="str">
        <f aca="false">IF((E261="o"),H261," ")</f>
        <v> </v>
      </c>
      <c r="R261" s="17" t="str">
        <f aca="false">IF((E261="d"),H261," ")</f>
        <v> </v>
      </c>
      <c r="S261" s="17" t="str">
        <f aca="false">IF((E261="w"),H261," ")</f>
        <v> </v>
      </c>
      <c r="T261" s="17" t="str">
        <f aca="false">IF((E261="r"),H261," ")</f>
        <v> </v>
      </c>
      <c r="U261" s="17" t="str">
        <f aca="false">IF((E261="p"),H261," ")</f>
        <v> </v>
      </c>
      <c r="V261" s="17" t="str">
        <f aca="false">IF((E261="t"),H261," ")</f>
        <v> </v>
      </c>
      <c r="W261" s="17" t="str">
        <f aca="false">IF((E261="q"),H261," ")</f>
        <v> </v>
      </c>
      <c r="X261" s="17" t="str">
        <f aca="false">IF((E261="m"),H261," ")</f>
        <v> </v>
      </c>
      <c r="Y261" s="17" t="str">
        <f aca="false">IF((E261="u"),H261," ")</f>
        <v> </v>
      </c>
      <c r="Z261" s="17" t="str">
        <f aca="false">IF((E261="a"),H261," ")</f>
        <v> </v>
      </c>
      <c r="AA261" s="17" t="str">
        <f aca="false">IF((E261="g"),H261," ")</f>
        <v> </v>
      </c>
      <c r="AB261" s="17" t="str">
        <f aca="false">IF((E261="h"),H261," ")</f>
        <v> </v>
      </c>
      <c r="AC261" s="30" t="str">
        <f aca="false">IF((E261="v"),H261," ")</f>
        <v> </v>
      </c>
      <c r="AD261" s="30" t="str">
        <f aca="false">IF((E261="n"),H261," ")</f>
        <v> </v>
      </c>
      <c r="AE261" s="17" t="str">
        <f aca="false">IF((E261="f"),H261," ")</f>
        <v> </v>
      </c>
      <c r="AF261" s="17" t="str">
        <f aca="false">IF((E261="l"),H261," ")</f>
        <v> </v>
      </c>
      <c r="AG261" s="17" t="str">
        <f aca="false">IF((E261="y"),H261," ")</f>
        <v> </v>
      </c>
      <c r="AH261" s="17" t="str">
        <f aca="false">IF((E261="z"),H261," ")</f>
        <v> </v>
      </c>
      <c r="AI261" s="17" t="str">
        <f aca="false">IF((E261="fa"),H261," ")</f>
        <v> </v>
      </c>
      <c r="AJ261" s="17" t="str">
        <f aca="false">IF((E261="e"),H261," ")</f>
        <v> </v>
      </c>
    </row>
    <row r="262" customFormat="false" ht="12" hidden="false" customHeight="false" outlineLevel="0" collapsed="false">
      <c r="A262" s="28"/>
      <c r="E262" s="2" t="str">
        <f aca="false">IF((F262&lt;&gt;0),"Enter Letter"," ")</f>
        <v> </v>
      </c>
      <c r="F262" s="30"/>
      <c r="G262" s="6" t="str">
        <f aca="false">IF(F262&lt;&gt;0,F262*G$2/(100+G$2)," ")</f>
        <v> </v>
      </c>
      <c r="H262" s="6" t="str">
        <f aca="false">IF((F262&lt;&gt;0),F262-G262," ")</f>
        <v> </v>
      </c>
      <c r="I262" s="5"/>
      <c r="L262" s="7" t="str">
        <f aca="false">IF(F262&lt;&gt;0,F262-K262," ")</f>
        <v> </v>
      </c>
      <c r="M262" s="8" t="str">
        <f aca="false">IF((F262-K262)&lt;&gt;0,M$1-A262," ")</f>
        <v> </v>
      </c>
      <c r="N262" s="5"/>
      <c r="O262" s="17" t="str">
        <f aca="false">IF((E262="s"),H262," ")</f>
        <v> </v>
      </c>
      <c r="P262" s="17" t="str">
        <f aca="false">IF((E262="c"),H262," ")</f>
        <v> </v>
      </c>
      <c r="Q262" s="17" t="str">
        <f aca="false">IF((E262="o"),H262," ")</f>
        <v> </v>
      </c>
      <c r="R262" s="17" t="str">
        <f aca="false">IF((E262="d"),H262," ")</f>
        <v> </v>
      </c>
      <c r="S262" s="17" t="str">
        <f aca="false">IF((E262="w"),H262," ")</f>
        <v> </v>
      </c>
      <c r="T262" s="17" t="str">
        <f aca="false">IF((E262="r"),H262," ")</f>
        <v> </v>
      </c>
      <c r="U262" s="17" t="str">
        <f aca="false">IF((E262="p"),H262," ")</f>
        <v> </v>
      </c>
      <c r="V262" s="17" t="str">
        <f aca="false">IF((E262="t"),H262," ")</f>
        <v> </v>
      </c>
      <c r="W262" s="17" t="str">
        <f aca="false">IF((E262="q"),H262," ")</f>
        <v> </v>
      </c>
      <c r="X262" s="17" t="str">
        <f aca="false">IF((E262="m"),H262," ")</f>
        <v> </v>
      </c>
      <c r="Y262" s="17" t="str">
        <f aca="false">IF((E262="u"),H262," ")</f>
        <v> </v>
      </c>
      <c r="Z262" s="17" t="str">
        <f aca="false">IF((E262="a"),H262," ")</f>
        <v> </v>
      </c>
      <c r="AA262" s="17" t="str">
        <f aca="false">IF((E262="g"),H262," ")</f>
        <v> </v>
      </c>
      <c r="AB262" s="17" t="str">
        <f aca="false">IF((E262="h"),H262," ")</f>
        <v> </v>
      </c>
      <c r="AC262" s="30" t="str">
        <f aca="false">IF((E262="v"),H262," ")</f>
        <v> </v>
      </c>
      <c r="AD262" s="30" t="str">
        <f aca="false">IF((E262="n"),H262," ")</f>
        <v> </v>
      </c>
      <c r="AE262" s="17" t="str">
        <f aca="false">IF((E262="f"),H262," ")</f>
        <v> </v>
      </c>
      <c r="AF262" s="17" t="str">
        <f aca="false">IF((E262="l"),H262," ")</f>
        <v> </v>
      </c>
      <c r="AG262" s="17" t="str">
        <f aca="false">IF((E262="y"),H262," ")</f>
        <v> </v>
      </c>
      <c r="AH262" s="17" t="str">
        <f aca="false">IF((E262="z"),H262," ")</f>
        <v> </v>
      </c>
      <c r="AI262" s="17" t="str">
        <f aca="false">IF((E262="fa"),H262," ")</f>
        <v> </v>
      </c>
      <c r="AJ262" s="17" t="str">
        <f aca="false">IF((E262="e"),H262," ")</f>
        <v> </v>
      </c>
    </row>
    <row r="263" customFormat="false" ht="12" hidden="false" customHeight="false" outlineLevel="0" collapsed="false">
      <c r="A263" s="28"/>
      <c r="E263" s="2" t="str">
        <f aca="false">IF((F263&lt;&gt;0),"Enter Letter"," ")</f>
        <v> </v>
      </c>
      <c r="F263" s="30"/>
      <c r="G263" s="6" t="str">
        <f aca="false">IF(F263&lt;&gt;0,F263*G$2/(100+G$2)," ")</f>
        <v> </v>
      </c>
      <c r="H263" s="6" t="str">
        <f aca="false">IF((F263&lt;&gt;0),F263-G263," ")</f>
        <v> </v>
      </c>
      <c r="I263" s="5"/>
      <c r="L263" s="7" t="str">
        <f aca="false">IF(F263&lt;&gt;0,F263-K263," ")</f>
        <v> </v>
      </c>
      <c r="M263" s="8" t="str">
        <f aca="false">IF((F263-K263)&lt;&gt;0,M$1-A263," ")</f>
        <v> </v>
      </c>
      <c r="N263" s="5"/>
      <c r="O263" s="17" t="str">
        <f aca="false">IF((E263="s"),H263," ")</f>
        <v> </v>
      </c>
      <c r="P263" s="17" t="str">
        <f aca="false">IF((E263="c"),H263," ")</f>
        <v> </v>
      </c>
      <c r="Q263" s="17" t="str">
        <f aca="false">IF((E263="o"),H263," ")</f>
        <v> </v>
      </c>
      <c r="R263" s="17" t="str">
        <f aca="false">IF((E263="d"),H263," ")</f>
        <v> </v>
      </c>
      <c r="S263" s="17" t="str">
        <f aca="false">IF((E263="w"),H263," ")</f>
        <v> </v>
      </c>
      <c r="T263" s="17" t="str">
        <f aca="false">IF((E263="r"),H263," ")</f>
        <v> </v>
      </c>
      <c r="U263" s="17" t="str">
        <f aca="false">IF((E263="p"),H263," ")</f>
        <v> </v>
      </c>
      <c r="V263" s="17" t="str">
        <f aca="false">IF((E263="t"),H263," ")</f>
        <v> </v>
      </c>
      <c r="W263" s="17" t="str">
        <f aca="false">IF((E263="q"),H263," ")</f>
        <v> </v>
      </c>
      <c r="X263" s="17" t="str">
        <f aca="false">IF((E263="m"),H263," ")</f>
        <v> </v>
      </c>
      <c r="Y263" s="17" t="str">
        <f aca="false">IF((E263="u"),H263," ")</f>
        <v> </v>
      </c>
      <c r="Z263" s="17" t="str">
        <f aca="false">IF((E263="a"),H263," ")</f>
        <v> </v>
      </c>
      <c r="AA263" s="17" t="str">
        <f aca="false">IF((E263="g"),H263," ")</f>
        <v> </v>
      </c>
      <c r="AB263" s="17" t="str">
        <f aca="false">IF((E263="h"),H263," ")</f>
        <v> </v>
      </c>
      <c r="AC263" s="30" t="str">
        <f aca="false">IF((E263="v"),H263," ")</f>
        <v> </v>
      </c>
      <c r="AD263" s="30" t="str">
        <f aca="false">IF((E263="n"),H263," ")</f>
        <v> </v>
      </c>
      <c r="AE263" s="17" t="str">
        <f aca="false">IF((E263="f"),H263," ")</f>
        <v> </v>
      </c>
      <c r="AF263" s="17" t="str">
        <f aca="false">IF((E263="l"),H263," ")</f>
        <v> </v>
      </c>
      <c r="AG263" s="17" t="str">
        <f aca="false">IF((E263="y"),H263," ")</f>
        <v> </v>
      </c>
      <c r="AH263" s="17" t="str">
        <f aca="false">IF((E263="z"),H263," ")</f>
        <v> </v>
      </c>
      <c r="AI263" s="17" t="str">
        <f aca="false">IF((E263="fa"),H263," ")</f>
        <v> </v>
      </c>
      <c r="AJ263" s="17" t="str">
        <f aca="false">IF((E263="e"),H263," ")</f>
        <v> </v>
      </c>
    </row>
    <row r="264" customFormat="false" ht="12" hidden="false" customHeight="false" outlineLevel="0" collapsed="false">
      <c r="A264" s="28"/>
      <c r="E264" s="2" t="str">
        <f aca="false">IF((F264&lt;&gt;0),"Enter Letter"," ")</f>
        <v> </v>
      </c>
      <c r="F264" s="30"/>
      <c r="G264" s="6" t="str">
        <f aca="false">IF(F264&lt;&gt;0,F264*G$2/(100+G$2)," ")</f>
        <v> </v>
      </c>
      <c r="H264" s="6" t="str">
        <f aca="false">IF((F264&lt;&gt;0),F264-G264," ")</f>
        <v> </v>
      </c>
      <c r="I264" s="5"/>
      <c r="L264" s="7" t="str">
        <f aca="false">IF(F264&lt;&gt;0,F264-K264," ")</f>
        <v> </v>
      </c>
      <c r="M264" s="8" t="str">
        <f aca="false">IF((F264-K264)&lt;&gt;0,M$1-A264," ")</f>
        <v> </v>
      </c>
      <c r="N264" s="5"/>
      <c r="O264" s="17" t="str">
        <f aca="false">IF((E264="s"),H264," ")</f>
        <v> </v>
      </c>
      <c r="P264" s="17" t="str">
        <f aca="false">IF((E264="c"),H264," ")</f>
        <v> </v>
      </c>
      <c r="Q264" s="17" t="str">
        <f aca="false">IF((E264="o"),H264," ")</f>
        <v> </v>
      </c>
      <c r="R264" s="17" t="str">
        <f aca="false">IF((E264="d"),H264," ")</f>
        <v> </v>
      </c>
      <c r="S264" s="17" t="str">
        <f aca="false">IF((E264="w"),H264," ")</f>
        <v> </v>
      </c>
      <c r="T264" s="17" t="str">
        <f aca="false">IF((E264="r"),H264," ")</f>
        <v> </v>
      </c>
      <c r="U264" s="17" t="str">
        <f aca="false">IF((E264="p"),H264," ")</f>
        <v> </v>
      </c>
      <c r="V264" s="17" t="str">
        <f aca="false">IF((E264="t"),H264," ")</f>
        <v> </v>
      </c>
      <c r="W264" s="17" t="str">
        <f aca="false">IF((E264="q"),H264," ")</f>
        <v> </v>
      </c>
      <c r="X264" s="17" t="str">
        <f aca="false">IF((E264="m"),H264," ")</f>
        <v> </v>
      </c>
      <c r="Y264" s="17" t="str">
        <f aca="false">IF((E264="u"),H264," ")</f>
        <v> </v>
      </c>
      <c r="Z264" s="17" t="str">
        <f aca="false">IF((E264="a"),H264," ")</f>
        <v> </v>
      </c>
      <c r="AA264" s="17" t="str">
        <f aca="false">IF((E264="g"),H264," ")</f>
        <v> </v>
      </c>
      <c r="AB264" s="17" t="str">
        <f aca="false">IF((E264="h"),H264," ")</f>
        <v> </v>
      </c>
      <c r="AC264" s="30" t="str">
        <f aca="false">IF((E264="v"),H264," ")</f>
        <v> </v>
      </c>
      <c r="AD264" s="30" t="str">
        <f aca="false">IF((E264="n"),H264," ")</f>
        <v> </v>
      </c>
      <c r="AE264" s="17" t="str">
        <f aca="false">IF((E264="f"),H264," ")</f>
        <v> </v>
      </c>
      <c r="AF264" s="17" t="str">
        <f aca="false">IF((E264="l"),H264," ")</f>
        <v> </v>
      </c>
      <c r="AG264" s="17" t="str">
        <f aca="false">IF((E264="y"),H264," ")</f>
        <v> </v>
      </c>
      <c r="AH264" s="17" t="str">
        <f aca="false">IF((E264="z"),H264," ")</f>
        <v> </v>
      </c>
      <c r="AI264" s="17" t="str">
        <f aca="false">IF((E264="fa"),H264," ")</f>
        <v> </v>
      </c>
      <c r="AJ264" s="17" t="str">
        <f aca="false">IF((E264="e"),H264," ")</f>
        <v> </v>
      </c>
    </row>
    <row r="265" customFormat="false" ht="12" hidden="false" customHeight="false" outlineLevel="0" collapsed="false">
      <c r="A265" s="28"/>
      <c r="E265" s="2" t="str">
        <f aca="false">IF((F265&lt;&gt;0),"Enter Letter"," ")</f>
        <v> </v>
      </c>
      <c r="F265" s="30"/>
      <c r="G265" s="6" t="str">
        <f aca="false">IF(F265&lt;&gt;0,F265*G$2/(100+G$2)," ")</f>
        <v> </v>
      </c>
      <c r="H265" s="6" t="str">
        <f aca="false">IF((F265&lt;&gt;0),F265-G265," ")</f>
        <v> </v>
      </c>
      <c r="I265" s="5"/>
      <c r="L265" s="7" t="str">
        <f aca="false">IF(F265&lt;&gt;0,F265-K265," ")</f>
        <v> </v>
      </c>
      <c r="M265" s="8" t="str">
        <f aca="false">IF((F265-K265)&lt;&gt;0,M$1-A265," ")</f>
        <v> </v>
      </c>
      <c r="N265" s="5"/>
      <c r="O265" s="17" t="str">
        <f aca="false">IF((E265="s"),H265," ")</f>
        <v> </v>
      </c>
      <c r="P265" s="17" t="str">
        <f aca="false">IF((E265="c"),H265," ")</f>
        <v> </v>
      </c>
      <c r="Q265" s="17" t="str">
        <f aca="false">IF((E265="o"),H265," ")</f>
        <v> </v>
      </c>
      <c r="R265" s="17" t="str">
        <f aca="false">IF((E265="d"),H265," ")</f>
        <v> </v>
      </c>
      <c r="S265" s="17" t="str">
        <f aca="false">IF((E265="w"),H265," ")</f>
        <v> </v>
      </c>
      <c r="T265" s="17" t="str">
        <f aca="false">IF((E265="r"),H265," ")</f>
        <v> </v>
      </c>
      <c r="U265" s="17" t="str">
        <f aca="false">IF((E265="p"),H265," ")</f>
        <v> </v>
      </c>
      <c r="V265" s="17" t="str">
        <f aca="false">IF((E265="t"),H265," ")</f>
        <v> </v>
      </c>
      <c r="W265" s="17" t="str">
        <f aca="false">IF((E265="q"),H265," ")</f>
        <v> </v>
      </c>
      <c r="X265" s="17" t="str">
        <f aca="false">IF((E265="m"),H265," ")</f>
        <v> </v>
      </c>
      <c r="Y265" s="17" t="str">
        <f aca="false">IF((E265="u"),H265," ")</f>
        <v> </v>
      </c>
      <c r="Z265" s="17" t="str">
        <f aca="false">IF((E265="a"),H265," ")</f>
        <v> </v>
      </c>
      <c r="AA265" s="17" t="str">
        <f aca="false">IF((E265="g"),H265," ")</f>
        <v> </v>
      </c>
      <c r="AB265" s="17" t="str">
        <f aca="false">IF((E265="h"),H265," ")</f>
        <v> </v>
      </c>
      <c r="AC265" s="30" t="str">
        <f aca="false">IF((E265="v"),H265," ")</f>
        <v> </v>
      </c>
      <c r="AD265" s="30" t="str">
        <f aca="false">IF((E265="n"),H265," ")</f>
        <v> </v>
      </c>
      <c r="AE265" s="17" t="str">
        <f aca="false">IF((E265="f"),H265," ")</f>
        <v> </v>
      </c>
      <c r="AF265" s="17" t="str">
        <f aca="false">IF((E265="l"),H265," ")</f>
        <v> </v>
      </c>
      <c r="AG265" s="17" t="str">
        <f aca="false">IF((E265="y"),H265," ")</f>
        <v> </v>
      </c>
      <c r="AH265" s="17" t="str">
        <f aca="false">IF((E265="z"),H265," ")</f>
        <v> </v>
      </c>
      <c r="AI265" s="17" t="str">
        <f aca="false">IF((E265="fa"),H265," ")</f>
        <v> </v>
      </c>
      <c r="AJ265" s="17" t="str">
        <f aca="false">IF((E265="e"),H265," ")</f>
        <v> </v>
      </c>
    </row>
    <row r="266" customFormat="false" ht="12" hidden="false" customHeight="false" outlineLevel="0" collapsed="false">
      <c r="A266" s="28"/>
      <c r="E266" s="2" t="str">
        <f aca="false">IF((F266&lt;&gt;0),"Enter Letter"," ")</f>
        <v> </v>
      </c>
      <c r="F266" s="30"/>
      <c r="G266" s="6" t="str">
        <f aca="false">IF(F266&lt;&gt;0,F266*G$2/(100+G$2)," ")</f>
        <v> </v>
      </c>
      <c r="H266" s="6" t="str">
        <f aca="false">IF((F266&lt;&gt;0),F266-G266," ")</f>
        <v> </v>
      </c>
      <c r="I266" s="5"/>
      <c r="L266" s="7" t="str">
        <f aca="false">IF(F266&lt;&gt;0,F266-K266," ")</f>
        <v> </v>
      </c>
      <c r="M266" s="8" t="str">
        <f aca="false">IF((F266-K266)&lt;&gt;0,M$1-A266," ")</f>
        <v> </v>
      </c>
      <c r="N266" s="5"/>
      <c r="O266" s="17" t="str">
        <f aca="false">IF((E266="s"),H266," ")</f>
        <v> </v>
      </c>
      <c r="P266" s="17" t="str">
        <f aca="false">IF((E266="c"),H266," ")</f>
        <v> </v>
      </c>
      <c r="Q266" s="17" t="str">
        <f aca="false">IF((E266="o"),H266," ")</f>
        <v> </v>
      </c>
      <c r="R266" s="17" t="str">
        <f aca="false">IF((E266="d"),H266," ")</f>
        <v> </v>
      </c>
      <c r="S266" s="17" t="str">
        <f aca="false">IF((E266="w"),H266," ")</f>
        <v> </v>
      </c>
      <c r="T266" s="17" t="str">
        <f aca="false">IF((E266="r"),H266," ")</f>
        <v> </v>
      </c>
      <c r="U266" s="17" t="str">
        <f aca="false">IF((E266="p"),H266," ")</f>
        <v> </v>
      </c>
      <c r="V266" s="17" t="str">
        <f aca="false">IF((E266="t"),H266," ")</f>
        <v> </v>
      </c>
      <c r="W266" s="17" t="str">
        <f aca="false">IF((E266="q"),H266," ")</f>
        <v> </v>
      </c>
      <c r="X266" s="17" t="str">
        <f aca="false">IF((E266="m"),H266," ")</f>
        <v> </v>
      </c>
      <c r="Y266" s="17" t="str">
        <f aca="false">IF((E266="u"),H266," ")</f>
        <v> </v>
      </c>
      <c r="Z266" s="17" t="str">
        <f aca="false">IF((E266="a"),H266," ")</f>
        <v> </v>
      </c>
      <c r="AA266" s="17" t="str">
        <f aca="false">IF((E266="g"),H266," ")</f>
        <v> </v>
      </c>
      <c r="AB266" s="17" t="str">
        <f aca="false">IF((E266="h"),H266," ")</f>
        <v> </v>
      </c>
      <c r="AC266" s="30" t="str">
        <f aca="false">IF((E266="v"),H266," ")</f>
        <v> </v>
      </c>
      <c r="AD266" s="30" t="str">
        <f aca="false">IF((E266="n"),H266," ")</f>
        <v> </v>
      </c>
      <c r="AE266" s="17" t="str">
        <f aca="false">IF((E266="f"),H266," ")</f>
        <v> </v>
      </c>
      <c r="AF266" s="17" t="str">
        <f aca="false">IF((E266="l"),H266," ")</f>
        <v> </v>
      </c>
      <c r="AG266" s="17" t="str">
        <f aca="false">IF((E266="y"),H266," ")</f>
        <v> </v>
      </c>
      <c r="AH266" s="17" t="str">
        <f aca="false">IF((E266="z"),H266," ")</f>
        <v> </v>
      </c>
      <c r="AI266" s="17" t="str">
        <f aca="false">IF((E266="fa"),H266," ")</f>
        <v> </v>
      </c>
      <c r="AJ266" s="17" t="str">
        <f aca="false">IF((E266="e"),H266," ")</f>
        <v> </v>
      </c>
    </row>
    <row r="267" customFormat="false" ht="12" hidden="false" customHeight="false" outlineLevel="0" collapsed="false">
      <c r="A267" s="28"/>
      <c r="E267" s="2" t="str">
        <f aca="false">IF((F267&lt;&gt;0),"Enter Letter"," ")</f>
        <v> </v>
      </c>
      <c r="F267" s="30"/>
      <c r="G267" s="6" t="str">
        <f aca="false">IF(F267&lt;&gt;0,F267*G$2/(100+G$2)," ")</f>
        <v> </v>
      </c>
      <c r="H267" s="6" t="str">
        <f aca="false">IF((F267&lt;&gt;0),F267-G267," ")</f>
        <v> </v>
      </c>
      <c r="I267" s="5"/>
      <c r="L267" s="7" t="str">
        <f aca="false">IF(F267&lt;&gt;0,F267-K267," ")</f>
        <v> </v>
      </c>
      <c r="M267" s="8" t="str">
        <f aca="false">IF((F267-K267)&lt;&gt;0,M$1-A267," ")</f>
        <v> </v>
      </c>
      <c r="N267" s="5"/>
      <c r="O267" s="17" t="str">
        <f aca="false">IF((E267="s"),H267," ")</f>
        <v> </v>
      </c>
      <c r="P267" s="17" t="str">
        <f aca="false">IF((E267="c"),H267," ")</f>
        <v> </v>
      </c>
      <c r="Q267" s="17" t="str">
        <f aca="false">IF((E267="o"),H267," ")</f>
        <v> </v>
      </c>
      <c r="R267" s="17" t="str">
        <f aca="false">IF((E267="d"),H267," ")</f>
        <v> </v>
      </c>
      <c r="S267" s="17" t="str">
        <f aca="false">IF((E267="w"),H267," ")</f>
        <v> </v>
      </c>
      <c r="T267" s="17" t="str">
        <f aca="false">IF((E267="r"),H267," ")</f>
        <v> </v>
      </c>
      <c r="U267" s="17" t="str">
        <f aca="false">IF((E267="p"),H267," ")</f>
        <v> </v>
      </c>
      <c r="V267" s="17" t="str">
        <f aca="false">IF((E267="t"),H267," ")</f>
        <v> </v>
      </c>
      <c r="W267" s="17" t="str">
        <f aca="false">IF((E267="q"),H267," ")</f>
        <v> </v>
      </c>
      <c r="X267" s="17" t="str">
        <f aca="false">IF((E267="m"),H267," ")</f>
        <v> </v>
      </c>
      <c r="Y267" s="17" t="str">
        <f aca="false">IF((E267="u"),H267," ")</f>
        <v> </v>
      </c>
      <c r="Z267" s="17" t="str">
        <f aca="false">IF((E267="a"),H267," ")</f>
        <v> </v>
      </c>
      <c r="AA267" s="17" t="str">
        <f aca="false">IF((E267="g"),H267," ")</f>
        <v> </v>
      </c>
      <c r="AB267" s="17" t="str">
        <f aca="false">IF((E267="h"),H267," ")</f>
        <v> </v>
      </c>
      <c r="AC267" s="30" t="str">
        <f aca="false">IF((E267="v"),H267," ")</f>
        <v> </v>
      </c>
      <c r="AD267" s="30" t="str">
        <f aca="false">IF((E267="n"),H267," ")</f>
        <v> </v>
      </c>
      <c r="AE267" s="17" t="str">
        <f aca="false">IF((E267="f"),H267," ")</f>
        <v> </v>
      </c>
      <c r="AF267" s="17" t="str">
        <f aca="false">IF((E267="l"),H267," ")</f>
        <v> </v>
      </c>
      <c r="AG267" s="17" t="str">
        <f aca="false">IF((E267="y"),H267," ")</f>
        <v> </v>
      </c>
      <c r="AH267" s="17" t="str">
        <f aca="false">IF((E267="z"),H267," ")</f>
        <v> </v>
      </c>
      <c r="AI267" s="17" t="str">
        <f aca="false">IF((E267="fa"),H267," ")</f>
        <v> </v>
      </c>
      <c r="AJ267" s="17" t="str">
        <f aca="false">IF((E267="e"),H267," ")</f>
        <v> </v>
      </c>
    </row>
    <row r="268" customFormat="false" ht="12" hidden="false" customHeight="false" outlineLevel="0" collapsed="false">
      <c r="A268" s="28"/>
      <c r="E268" s="2" t="str">
        <f aca="false">IF((F268&lt;&gt;0),"Enter Letter"," ")</f>
        <v> </v>
      </c>
      <c r="F268" s="30"/>
      <c r="G268" s="6" t="str">
        <f aca="false">IF(F268&lt;&gt;0,F268*G$2/(100+G$2)," ")</f>
        <v> </v>
      </c>
      <c r="H268" s="6" t="str">
        <f aca="false">IF((F268&lt;&gt;0),F268-G268," ")</f>
        <v> </v>
      </c>
      <c r="I268" s="5"/>
      <c r="L268" s="7" t="str">
        <f aca="false">IF(F268&lt;&gt;0,F268-K268," ")</f>
        <v> </v>
      </c>
      <c r="M268" s="8" t="str">
        <f aca="false">IF((F268-K268)&lt;&gt;0,M$1-A268," ")</f>
        <v> </v>
      </c>
      <c r="N268" s="5"/>
      <c r="O268" s="17" t="str">
        <f aca="false">IF((E268="s"),H268," ")</f>
        <v> </v>
      </c>
      <c r="P268" s="17" t="str">
        <f aca="false">IF((E268="c"),H268," ")</f>
        <v> </v>
      </c>
      <c r="Q268" s="17" t="str">
        <f aca="false">IF((E268="o"),H268," ")</f>
        <v> </v>
      </c>
      <c r="R268" s="17" t="str">
        <f aca="false">IF((E268="d"),H268," ")</f>
        <v> </v>
      </c>
      <c r="S268" s="17" t="str">
        <f aca="false">IF((E268="w"),H268," ")</f>
        <v> </v>
      </c>
      <c r="T268" s="17" t="str">
        <f aca="false">IF((E268="r"),H268," ")</f>
        <v> </v>
      </c>
      <c r="U268" s="17" t="str">
        <f aca="false">IF((E268="p"),H268," ")</f>
        <v> </v>
      </c>
      <c r="V268" s="17" t="str">
        <f aca="false">IF((E268="t"),H268," ")</f>
        <v> </v>
      </c>
      <c r="W268" s="17" t="str">
        <f aca="false">IF((E268="q"),H268," ")</f>
        <v> </v>
      </c>
      <c r="X268" s="17" t="str">
        <f aca="false">IF((E268="m"),H268," ")</f>
        <v> </v>
      </c>
      <c r="Y268" s="17" t="str">
        <f aca="false">IF((E268="u"),H268," ")</f>
        <v> </v>
      </c>
      <c r="Z268" s="17" t="str">
        <f aca="false">IF((E268="a"),H268," ")</f>
        <v> </v>
      </c>
      <c r="AA268" s="17" t="str">
        <f aca="false">IF((E268="g"),H268," ")</f>
        <v> </v>
      </c>
      <c r="AB268" s="17" t="str">
        <f aca="false">IF((E268="h"),H268," ")</f>
        <v> </v>
      </c>
      <c r="AC268" s="30" t="str">
        <f aca="false">IF((E268="v"),H268," ")</f>
        <v> </v>
      </c>
      <c r="AD268" s="30" t="str">
        <f aca="false">IF((E268="n"),H268," ")</f>
        <v> </v>
      </c>
      <c r="AE268" s="17" t="str">
        <f aca="false">IF((E268="f"),H268," ")</f>
        <v> </v>
      </c>
      <c r="AF268" s="17" t="str">
        <f aca="false">IF((E268="l"),H268," ")</f>
        <v> </v>
      </c>
      <c r="AG268" s="17" t="str">
        <f aca="false">IF((E268="y"),H268," ")</f>
        <v> </v>
      </c>
      <c r="AH268" s="17" t="str">
        <f aca="false">IF((E268="z"),H268," ")</f>
        <v> </v>
      </c>
      <c r="AI268" s="17" t="str">
        <f aca="false">IF((E268="fa"),H268," ")</f>
        <v> </v>
      </c>
      <c r="AJ268" s="17" t="str">
        <f aca="false">IF((E268="e"),H268," ")</f>
        <v> </v>
      </c>
    </row>
    <row r="269" customFormat="false" ht="12" hidden="false" customHeight="false" outlineLevel="0" collapsed="false">
      <c r="A269" s="28"/>
      <c r="E269" s="2" t="str">
        <f aca="false">IF((F269&lt;&gt;0),"Enter Letter"," ")</f>
        <v> </v>
      </c>
      <c r="F269" s="30"/>
      <c r="G269" s="6" t="str">
        <f aca="false">IF(F269&lt;&gt;0,F269*G$2/(100+G$2)," ")</f>
        <v> </v>
      </c>
      <c r="H269" s="6" t="str">
        <f aca="false">IF((F269&lt;&gt;0),F269-G269," ")</f>
        <v> </v>
      </c>
      <c r="I269" s="5"/>
      <c r="L269" s="7" t="str">
        <f aca="false">IF(F269&lt;&gt;0,F269-K269," ")</f>
        <v> </v>
      </c>
      <c r="M269" s="8" t="str">
        <f aca="false">IF((F269-K269)&lt;&gt;0,M$1-A269," ")</f>
        <v> </v>
      </c>
      <c r="N269" s="5"/>
      <c r="O269" s="17" t="str">
        <f aca="false">IF((E269="s"),H269," ")</f>
        <v> </v>
      </c>
      <c r="P269" s="17" t="str">
        <f aca="false">IF((E269="c"),H269," ")</f>
        <v> </v>
      </c>
      <c r="Q269" s="17" t="str">
        <f aca="false">IF((E269="o"),H269," ")</f>
        <v> </v>
      </c>
      <c r="R269" s="17" t="str">
        <f aca="false">IF((E269="d"),H269," ")</f>
        <v> </v>
      </c>
      <c r="S269" s="17" t="str">
        <f aca="false">IF((E269="w"),H269," ")</f>
        <v> </v>
      </c>
      <c r="T269" s="17" t="str">
        <f aca="false">IF((E269="r"),H269," ")</f>
        <v> </v>
      </c>
      <c r="U269" s="17" t="str">
        <f aca="false">IF((E269="p"),H269," ")</f>
        <v> </v>
      </c>
      <c r="V269" s="17" t="str">
        <f aca="false">IF((E269="t"),H269," ")</f>
        <v> </v>
      </c>
      <c r="W269" s="17" t="str">
        <f aca="false">IF((E269="q"),H269," ")</f>
        <v> </v>
      </c>
      <c r="X269" s="17" t="str">
        <f aca="false">IF((E269="m"),H269," ")</f>
        <v> </v>
      </c>
      <c r="Y269" s="17" t="str">
        <f aca="false">IF((E269="u"),H269," ")</f>
        <v> </v>
      </c>
      <c r="Z269" s="17" t="str">
        <f aca="false">IF((E269="a"),H269," ")</f>
        <v> </v>
      </c>
      <c r="AA269" s="17" t="str">
        <f aca="false">IF((E269="g"),H269," ")</f>
        <v> </v>
      </c>
      <c r="AB269" s="17" t="str">
        <f aca="false">IF((E269="h"),H269," ")</f>
        <v> </v>
      </c>
      <c r="AC269" s="30" t="str">
        <f aca="false">IF((E269="v"),H269," ")</f>
        <v> </v>
      </c>
      <c r="AD269" s="30" t="str">
        <f aca="false">IF((E269="n"),H269," ")</f>
        <v> </v>
      </c>
      <c r="AE269" s="17" t="str">
        <f aca="false">IF((E269="f"),H269," ")</f>
        <v> </v>
      </c>
      <c r="AF269" s="17" t="str">
        <f aca="false">IF((E269="l"),H269," ")</f>
        <v> </v>
      </c>
      <c r="AG269" s="17" t="str">
        <f aca="false">IF((E269="y"),H269," ")</f>
        <v> </v>
      </c>
      <c r="AH269" s="17" t="str">
        <f aca="false">IF((E269="z"),H269," ")</f>
        <v> </v>
      </c>
      <c r="AI269" s="17" t="str">
        <f aca="false">IF((E269="fa"),H269," ")</f>
        <v> </v>
      </c>
      <c r="AJ269" s="17" t="str">
        <f aca="false">IF((E269="e"),H269," ")</f>
        <v> </v>
      </c>
    </row>
    <row r="270" customFormat="false" ht="12" hidden="false" customHeight="false" outlineLevel="0" collapsed="false">
      <c r="A270" s="28"/>
      <c r="E270" s="2" t="str">
        <f aca="false">IF((F270&lt;&gt;0),"Enter Letter"," ")</f>
        <v> </v>
      </c>
      <c r="F270" s="30"/>
      <c r="G270" s="6" t="str">
        <f aca="false">IF(F270&lt;&gt;0,F270*G$2/(100+G$2)," ")</f>
        <v> </v>
      </c>
      <c r="H270" s="6" t="str">
        <f aca="false">IF((F270&lt;&gt;0),F270-G270," ")</f>
        <v> </v>
      </c>
      <c r="I270" s="5"/>
      <c r="L270" s="7" t="str">
        <f aca="false">IF(F270&lt;&gt;0,F270-K270," ")</f>
        <v> </v>
      </c>
      <c r="M270" s="8" t="str">
        <f aca="false">IF((F270-K270)&lt;&gt;0,M$1-A270," ")</f>
        <v> </v>
      </c>
      <c r="N270" s="5"/>
      <c r="O270" s="17" t="str">
        <f aca="false">IF((E270="s"),H270," ")</f>
        <v> </v>
      </c>
      <c r="P270" s="17" t="str">
        <f aca="false">IF((E270="c"),H270," ")</f>
        <v> </v>
      </c>
      <c r="Q270" s="17" t="str">
        <f aca="false">IF((E270="o"),H270," ")</f>
        <v> </v>
      </c>
      <c r="R270" s="17" t="str">
        <f aca="false">IF((E270="d"),H270," ")</f>
        <v> </v>
      </c>
      <c r="S270" s="17" t="str">
        <f aca="false">IF((E270="w"),H270," ")</f>
        <v> </v>
      </c>
      <c r="T270" s="17" t="str">
        <f aca="false">IF((E270="r"),H270," ")</f>
        <v> </v>
      </c>
      <c r="U270" s="17" t="str">
        <f aca="false">IF((E270="p"),H270," ")</f>
        <v> </v>
      </c>
      <c r="V270" s="17" t="str">
        <f aca="false">IF((E270="t"),H270," ")</f>
        <v> </v>
      </c>
      <c r="W270" s="17" t="str">
        <f aca="false">IF((E270="q"),H270," ")</f>
        <v> </v>
      </c>
      <c r="X270" s="17" t="str">
        <f aca="false">IF((E270="m"),H270," ")</f>
        <v> </v>
      </c>
      <c r="Y270" s="17" t="str">
        <f aca="false">IF((E270="u"),H270," ")</f>
        <v> </v>
      </c>
      <c r="Z270" s="17" t="str">
        <f aca="false">IF((E270="a"),H270," ")</f>
        <v> </v>
      </c>
      <c r="AA270" s="17" t="str">
        <f aca="false">IF((E270="g"),H270," ")</f>
        <v> </v>
      </c>
      <c r="AB270" s="17" t="str">
        <f aca="false">IF((E270="h"),H270," ")</f>
        <v> </v>
      </c>
      <c r="AC270" s="30" t="str">
        <f aca="false">IF((E270="v"),H270," ")</f>
        <v> </v>
      </c>
      <c r="AD270" s="30" t="str">
        <f aca="false">IF((E270="n"),H270," ")</f>
        <v> </v>
      </c>
      <c r="AE270" s="17" t="str">
        <f aca="false">IF((E270="f"),H270," ")</f>
        <v> </v>
      </c>
      <c r="AF270" s="17" t="str">
        <f aca="false">IF((E270="l"),H270," ")</f>
        <v> </v>
      </c>
      <c r="AG270" s="17" t="str">
        <f aca="false">IF((E270="y"),H270," ")</f>
        <v> </v>
      </c>
      <c r="AH270" s="17" t="str">
        <f aca="false">IF((E270="z"),H270," ")</f>
        <v> </v>
      </c>
      <c r="AI270" s="17" t="str">
        <f aca="false">IF((E270="fa"),H270," ")</f>
        <v> </v>
      </c>
      <c r="AJ270" s="17" t="str">
        <f aca="false">IF((E270="e"),H270," ")</f>
        <v> </v>
      </c>
    </row>
    <row r="271" customFormat="false" ht="12" hidden="false" customHeight="false" outlineLevel="0" collapsed="false">
      <c r="A271" s="28"/>
      <c r="E271" s="2" t="str">
        <f aca="false">IF((F271&lt;&gt;0),"Enter Letter"," ")</f>
        <v> </v>
      </c>
      <c r="F271" s="30"/>
      <c r="G271" s="6" t="str">
        <f aca="false">IF(F271&lt;&gt;0,F271*G$2/(100+G$2)," ")</f>
        <v> </v>
      </c>
      <c r="H271" s="6" t="str">
        <f aca="false">IF((F271&lt;&gt;0),F271-G271," ")</f>
        <v> </v>
      </c>
      <c r="I271" s="5"/>
      <c r="L271" s="7" t="str">
        <f aca="false">IF(F271&lt;&gt;0,F271-K271," ")</f>
        <v> </v>
      </c>
      <c r="M271" s="8" t="str">
        <f aca="false">IF((F271-K271)&lt;&gt;0,M$1-A271," ")</f>
        <v> </v>
      </c>
      <c r="N271" s="5"/>
      <c r="O271" s="17" t="str">
        <f aca="false">IF((E271="s"),H271," ")</f>
        <v> </v>
      </c>
      <c r="P271" s="17" t="str">
        <f aca="false">IF((E271="c"),H271," ")</f>
        <v> </v>
      </c>
      <c r="Q271" s="17" t="str">
        <f aca="false">IF((E271="o"),H271," ")</f>
        <v> </v>
      </c>
      <c r="R271" s="17" t="str">
        <f aca="false">IF((E271="d"),H271," ")</f>
        <v> </v>
      </c>
      <c r="S271" s="17" t="str">
        <f aca="false">IF((E271="w"),H271," ")</f>
        <v> </v>
      </c>
      <c r="T271" s="17" t="str">
        <f aca="false">IF((E271="r"),H271," ")</f>
        <v> </v>
      </c>
      <c r="U271" s="17" t="str">
        <f aca="false">IF((E271="p"),H271," ")</f>
        <v> </v>
      </c>
      <c r="V271" s="17" t="str">
        <f aca="false">IF((E271="t"),H271," ")</f>
        <v> </v>
      </c>
      <c r="W271" s="17" t="str">
        <f aca="false">IF((E271="q"),H271," ")</f>
        <v> </v>
      </c>
      <c r="X271" s="17" t="str">
        <f aca="false">IF((E271="m"),H271," ")</f>
        <v> </v>
      </c>
      <c r="Y271" s="17" t="str">
        <f aca="false">IF((E271="u"),H271," ")</f>
        <v> </v>
      </c>
      <c r="Z271" s="17" t="str">
        <f aca="false">IF((E271="a"),H271," ")</f>
        <v> </v>
      </c>
      <c r="AA271" s="17" t="str">
        <f aca="false">IF((E271="g"),H271," ")</f>
        <v> </v>
      </c>
      <c r="AB271" s="17" t="str">
        <f aca="false">IF((E271="h"),H271," ")</f>
        <v> </v>
      </c>
      <c r="AC271" s="30" t="str">
        <f aca="false">IF((E271="v"),H271," ")</f>
        <v> </v>
      </c>
      <c r="AD271" s="30" t="str">
        <f aca="false">IF((E271="n"),H271," ")</f>
        <v> </v>
      </c>
      <c r="AE271" s="17" t="str">
        <f aca="false">IF((E271="f"),H271," ")</f>
        <v> </v>
      </c>
      <c r="AF271" s="17" t="str">
        <f aca="false">IF((E271="l"),H271," ")</f>
        <v> </v>
      </c>
      <c r="AG271" s="17" t="str">
        <f aca="false">IF((E271="y"),H271," ")</f>
        <v> </v>
      </c>
      <c r="AH271" s="17" t="str">
        <f aca="false">IF((E271="z"),H271," ")</f>
        <v> </v>
      </c>
      <c r="AI271" s="17" t="str">
        <f aca="false">IF((E271="fa"),H271," ")</f>
        <v> </v>
      </c>
      <c r="AJ271" s="17" t="str">
        <f aca="false">IF((E271="e"),H271," ")</f>
        <v> </v>
      </c>
    </row>
    <row r="272" customFormat="false" ht="12" hidden="false" customHeight="false" outlineLevel="0" collapsed="false">
      <c r="A272" s="28"/>
      <c r="E272" s="2" t="str">
        <f aca="false">IF((F272&lt;&gt;0),"Enter Letter"," ")</f>
        <v> </v>
      </c>
      <c r="F272" s="30"/>
      <c r="G272" s="6" t="str">
        <f aca="false">IF(F272&lt;&gt;0,F272*G$2/(100+G$2)," ")</f>
        <v> </v>
      </c>
      <c r="H272" s="6" t="str">
        <f aca="false">IF((F272&lt;&gt;0),F272-G272," ")</f>
        <v> </v>
      </c>
      <c r="I272" s="5"/>
      <c r="L272" s="7" t="str">
        <f aca="false">IF(F272&lt;&gt;0,F272-K272," ")</f>
        <v> </v>
      </c>
      <c r="M272" s="8" t="str">
        <f aca="false">IF((F272-K272)&lt;&gt;0,M$1-A272," ")</f>
        <v> </v>
      </c>
      <c r="N272" s="5"/>
      <c r="O272" s="17" t="str">
        <f aca="false">IF((E272="s"),H272," ")</f>
        <v> </v>
      </c>
      <c r="P272" s="17" t="str">
        <f aca="false">IF((E272="c"),H272," ")</f>
        <v> </v>
      </c>
      <c r="Q272" s="17" t="str">
        <f aca="false">IF((E272="o"),H272," ")</f>
        <v> </v>
      </c>
      <c r="R272" s="17" t="str">
        <f aca="false">IF((E272="d"),H272," ")</f>
        <v> </v>
      </c>
      <c r="S272" s="17" t="str">
        <f aca="false">IF((E272="w"),H272," ")</f>
        <v> </v>
      </c>
      <c r="T272" s="17" t="str">
        <f aca="false">IF((E272="r"),H272," ")</f>
        <v> </v>
      </c>
      <c r="U272" s="17" t="str">
        <f aca="false">IF((E272="p"),H272," ")</f>
        <v> </v>
      </c>
      <c r="V272" s="17" t="str">
        <f aca="false">IF((E272="t"),H272," ")</f>
        <v> </v>
      </c>
      <c r="W272" s="17" t="str">
        <f aca="false">IF((E272="q"),H272," ")</f>
        <v> </v>
      </c>
      <c r="X272" s="17" t="str">
        <f aca="false">IF((E272="m"),H272," ")</f>
        <v> </v>
      </c>
      <c r="Y272" s="17" t="str">
        <f aca="false">IF((E272="u"),H272," ")</f>
        <v> </v>
      </c>
      <c r="Z272" s="17" t="str">
        <f aca="false">IF((E272="a"),H272," ")</f>
        <v> </v>
      </c>
      <c r="AA272" s="17" t="str">
        <f aca="false">IF((E272="g"),H272," ")</f>
        <v> </v>
      </c>
      <c r="AB272" s="17" t="str">
        <f aca="false">IF((E272="h"),H272," ")</f>
        <v> </v>
      </c>
      <c r="AC272" s="30" t="str">
        <f aca="false">IF((E272="v"),H272," ")</f>
        <v> </v>
      </c>
      <c r="AD272" s="30" t="str">
        <f aca="false">IF((E272="n"),H272," ")</f>
        <v> </v>
      </c>
      <c r="AE272" s="17" t="str">
        <f aca="false">IF((E272="f"),H272," ")</f>
        <v> </v>
      </c>
      <c r="AF272" s="17" t="str">
        <f aca="false">IF((E272="l"),H272," ")</f>
        <v> </v>
      </c>
      <c r="AG272" s="17" t="str">
        <f aca="false">IF((E272="y"),H272," ")</f>
        <v> </v>
      </c>
      <c r="AH272" s="17" t="str">
        <f aca="false">IF((E272="z"),H272," ")</f>
        <v> </v>
      </c>
      <c r="AI272" s="17" t="str">
        <f aca="false">IF((E272="fa"),H272," ")</f>
        <v> </v>
      </c>
      <c r="AJ272" s="17" t="str">
        <f aca="false">IF((E272="e"),H272," ")</f>
        <v> </v>
      </c>
    </row>
    <row r="273" customFormat="false" ht="12" hidden="false" customHeight="false" outlineLevel="0" collapsed="false">
      <c r="A273" s="28"/>
      <c r="E273" s="2" t="str">
        <f aca="false">IF((F273&lt;&gt;0),"Enter Letter"," ")</f>
        <v> </v>
      </c>
      <c r="F273" s="30"/>
      <c r="G273" s="6" t="str">
        <f aca="false">IF(F273&lt;&gt;0,F273*G$2/(100+G$2)," ")</f>
        <v> </v>
      </c>
      <c r="H273" s="6" t="str">
        <f aca="false">IF((F273&lt;&gt;0),F273-G273," ")</f>
        <v> </v>
      </c>
      <c r="I273" s="5"/>
      <c r="L273" s="7" t="str">
        <f aca="false">IF(F273&lt;&gt;0,F273-K273," ")</f>
        <v> </v>
      </c>
      <c r="M273" s="8" t="str">
        <f aca="false">IF((F273-K273)&lt;&gt;0,M$1-A273," ")</f>
        <v> </v>
      </c>
      <c r="N273" s="5"/>
      <c r="O273" s="17" t="str">
        <f aca="false">IF((E273="s"),H273," ")</f>
        <v> </v>
      </c>
      <c r="P273" s="17" t="str">
        <f aca="false">IF((E273="c"),H273," ")</f>
        <v> </v>
      </c>
      <c r="Q273" s="17" t="str">
        <f aca="false">IF((E273="o"),H273," ")</f>
        <v> </v>
      </c>
      <c r="R273" s="17" t="str">
        <f aca="false">IF((E273="d"),H273," ")</f>
        <v> </v>
      </c>
      <c r="S273" s="17" t="str">
        <f aca="false">IF((E273="w"),H273," ")</f>
        <v> </v>
      </c>
      <c r="T273" s="17" t="str">
        <f aca="false">IF((E273="r"),H273," ")</f>
        <v> </v>
      </c>
      <c r="U273" s="17" t="str">
        <f aca="false">IF((E273="p"),H273," ")</f>
        <v> </v>
      </c>
      <c r="V273" s="17" t="str">
        <f aca="false">IF((E273="t"),H273," ")</f>
        <v> </v>
      </c>
      <c r="W273" s="17" t="str">
        <f aca="false">IF((E273="q"),H273," ")</f>
        <v> </v>
      </c>
      <c r="X273" s="17" t="str">
        <f aca="false">IF((E273="m"),H273," ")</f>
        <v> </v>
      </c>
      <c r="Y273" s="17" t="str">
        <f aca="false">IF((E273="u"),H273," ")</f>
        <v> </v>
      </c>
      <c r="Z273" s="17" t="str">
        <f aca="false">IF((E273="a"),H273," ")</f>
        <v> </v>
      </c>
      <c r="AA273" s="17" t="str">
        <f aca="false">IF((E273="g"),H273," ")</f>
        <v> </v>
      </c>
      <c r="AB273" s="17" t="str">
        <f aca="false">IF((E273="h"),H273," ")</f>
        <v> </v>
      </c>
      <c r="AC273" s="30" t="str">
        <f aca="false">IF((E273="v"),H273," ")</f>
        <v> </v>
      </c>
      <c r="AD273" s="30" t="str">
        <f aca="false">IF((E273="n"),H273," ")</f>
        <v> </v>
      </c>
      <c r="AE273" s="17" t="str">
        <f aca="false">IF((E273="f"),H273," ")</f>
        <v> </v>
      </c>
      <c r="AF273" s="17" t="str">
        <f aca="false">IF((E273="l"),H273," ")</f>
        <v> </v>
      </c>
      <c r="AG273" s="17" t="str">
        <f aca="false">IF((E273="y"),H273," ")</f>
        <v> </v>
      </c>
      <c r="AH273" s="17" t="str">
        <f aca="false">IF((E273="z"),H273," ")</f>
        <v> </v>
      </c>
      <c r="AI273" s="17" t="str">
        <f aca="false">IF((E273="fa"),H273," ")</f>
        <v> </v>
      </c>
      <c r="AJ273" s="17" t="str">
        <f aca="false">IF((E273="e"),H273," ")</f>
        <v> </v>
      </c>
    </row>
    <row r="274" customFormat="false" ht="12" hidden="false" customHeight="false" outlineLevel="0" collapsed="false">
      <c r="A274" s="28"/>
      <c r="E274" s="2" t="str">
        <f aca="false">IF((F274&lt;&gt;0),"Enter Letter"," ")</f>
        <v> </v>
      </c>
      <c r="F274" s="30"/>
      <c r="G274" s="6" t="str">
        <f aca="false">IF(F274&lt;&gt;0,F274*G$2/(100+G$2)," ")</f>
        <v> </v>
      </c>
      <c r="H274" s="6" t="str">
        <f aca="false">IF((F274&lt;&gt;0),F274-G274," ")</f>
        <v> </v>
      </c>
      <c r="I274" s="5"/>
      <c r="L274" s="7" t="str">
        <f aca="false">IF(F274&lt;&gt;0,F274-K274," ")</f>
        <v> </v>
      </c>
      <c r="M274" s="8" t="str">
        <f aca="false">IF((F274-K274)&lt;&gt;0,M$1-A274," ")</f>
        <v> </v>
      </c>
      <c r="N274" s="5"/>
      <c r="O274" s="17" t="str">
        <f aca="false">IF((E274="s"),H274," ")</f>
        <v> </v>
      </c>
      <c r="P274" s="17" t="str">
        <f aca="false">IF((E274="c"),H274," ")</f>
        <v> </v>
      </c>
      <c r="Q274" s="17" t="str">
        <f aca="false">IF((E274="o"),H274," ")</f>
        <v> </v>
      </c>
      <c r="R274" s="17" t="str">
        <f aca="false">IF((E274="d"),H274," ")</f>
        <v> </v>
      </c>
      <c r="S274" s="17" t="str">
        <f aca="false">IF((E274="w"),H274," ")</f>
        <v> </v>
      </c>
      <c r="T274" s="17" t="str">
        <f aca="false">IF((E274="r"),H274," ")</f>
        <v> </v>
      </c>
      <c r="U274" s="17" t="str">
        <f aca="false">IF((E274="p"),H274," ")</f>
        <v> </v>
      </c>
      <c r="V274" s="17" t="str">
        <f aca="false">IF((E274="t"),H274," ")</f>
        <v> </v>
      </c>
      <c r="W274" s="17" t="str">
        <f aca="false">IF((E274="q"),H274," ")</f>
        <v> </v>
      </c>
      <c r="X274" s="17" t="str">
        <f aca="false">IF((E274="m"),H274," ")</f>
        <v> </v>
      </c>
      <c r="Y274" s="17" t="str">
        <f aca="false">IF((E274="u"),H274," ")</f>
        <v> </v>
      </c>
      <c r="Z274" s="17" t="str">
        <f aca="false">IF((E274="a"),H274," ")</f>
        <v> </v>
      </c>
      <c r="AA274" s="17" t="str">
        <f aca="false">IF((E274="g"),H274," ")</f>
        <v> </v>
      </c>
      <c r="AB274" s="17" t="str">
        <f aca="false">IF((E274="h"),H274," ")</f>
        <v> </v>
      </c>
      <c r="AC274" s="30" t="str">
        <f aca="false">IF((E274="v"),H274," ")</f>
        <v> </v>
      </c>
      <c r="AD274" s="30" t="str">
        <f aca="false">IF((E274="n"),H274," ")</f>
        <v> </v>
      </c>
      <c r="AE274" s="17" t="str">
        <f aca="false">IF((E274="f"),H274," ")</f>
        <v> </v>
      </c>
      <c r="AF274" s="17" t="str">
        <f aca="false">IF((E274="l"),H274," ")</f>
        <v> </v>
      </c>
      <c r="AG274" s="17" t="str">
        <f aca="false">IF((E274="y"),H274," ")</f>
        <v> </v>
      </c>
      <c r="AH274" s="17" t="str">
        <f aca="false">IF((E274="z"),H274," ")</f>
        <v> </v>
      </c>
      <c r="AI274" s="17" t="str">
        <f aca="false">IF((E274="fa"),H274," ")</f>
        <v> </v>
      </c>
      <c r="AJ274" s="17" t="str">
        <f aca="false">IF((E274="e"),H274," ")</f>
        <v> </v>
      </c>
    </row>
    <row r="275" customFormat="false" ht="12" hidden="false" customHeight="false" outlineLevel="0" collapsed="false">
      <c r="A275" s="28"/>
      <c r="E275" s="2" t="str">
        <f aca="false">IF((F275&lt;&gt;0),"Enter Letter"," ")</f>
        <v> </v>
      </c>
      <c r="F275" s="30"/>
      <c r="G275" s="6" t="str">
        <f aca="false">IF(F275&lt;&gt;0,F275*G$2/(100+G$2)," ")</f>
        <v> </v>
      </c>
      <c r="H275" s="6" t="str">
        <f aca="false">IF((F275&lt;&gt;0),F275-G275," ")</f>
        <v> </v>
      </c>
      <c r="I275" s="5"/>
      <c r="L275" s="7" t="str">
        <f aca="false">IF(F275&lt;&gt;0,F275-K275," ")</f>
        <v> </v>
      </c>
      <c r="M275" s="8" t="str">
        <f aca="false">IF((F275-K275)&lt;&gt;0,M$1-A275," ")</f>
        <v> </v>
      </c>
      <c r="N275" s="5"/>
      <c r="O275" s="17" t="str">
        <f aca="false">IF((E275="s"),H275," ")</f>
        <v> </v>
      </c>
      <c r="P275" s="17" t="str">
        <f aca="false">IF((E275="c"),H275," ")</f>
        <v> </v>
      </c>
      <c r="Q275" s="17" t="str">
        <f aca="false">IF((E275="o"),H275," ")</f>
        <v> </v>
      </c>
      <c r="R275" s="17" t="str">
        <f aca="false">IF((E275="d"),H275," ")</f>
        <v> </v>
      </c>
      <c r="S275" s="17" t="str">
        <f aca="false">IF((E275="w"),H275," ")</f>
        <v> </v>
      </c>
      <c r="T275" s="17" t="str">
        <f aca="false">IF((E275="r"),H275," ")</f>
        <v> </v>
      </c>
      <c r="U275" s="17" t="str">
        <f aca="false">IF((E275="p"),H275," ")</f>
        <v> </v>
      </c>
      <c r="V275" s="17" t="str">
        <f aca="false">IF((E275="t"),H275," ")</f>
        <v> </v>
      </c>
      <c r="W275" s="17" t="str">
        <f aca="false">IF((E275="q"),H275," ")</f>
        <v> </v>
      </c>
      <c r="X275" s="17" t="str">
        <f aca="false">IF((E275="m"),H275," ")</f>
        <v> </v>
      </c>
      <c r="Y275" s="17" t="str">
        <f aca="false">IF((E275="u"),H275," ")</f>
        <v> </v>
      </c>
      <c r="Z275" s="17" t="str">
        <f aca="false">IF((E275="a"),H275," ")</f>
        <v> </v>
      </c>
      <c r="AA275" s="17" t="str">
        <f aca="false">IF((E275="g"),H275," ")</f>
        <v> </v>
      </c>
      <c r="AB275" s="17" t="str">
        <f aca="false">IF((E275="h"),H275," ")</f>
        <v> </v>
      </c>
      <c r="AC275" s="30" t="str">
        <f aca="false">IF((E275="v"),H275," ")</f>
        <v> </v>
      </c>
      <c r="AD275" s="30" t="str">
        <f aca="false">IF((E275="n"),H275," ")</f>
        <v> </v>
      </c>
      <c r="AE275" s="17" t="str">
        <f aca="false">IF((E275="f"),H275," ")</f>
        <v> </v>
      </c>
      <c r="AF275" s="17" t="str">
        <f aca="false">IF((E275="l"),H275," ")</f>
        <v> </v>
      </c>
      <c r="AG275" s="17" t="str">
        <f aca="false">IF((E275="y"),H275," ")</f>
        <v> </v>
      </c>
      <c r="AH275" s="17" t="str">
        <f aca="false">IF((E275="z"),H275," ")</f>
        <v> </v>
      </c>
      <c r="AI275" s="17" t="str">
        <f aca="false">IF((E275="fa"),H275," ")</f>
        <v> </v>
      </c>
      <c r="AJ275" s="17" t="str">
        <f aca="false">IF((E275="e"),H275," ")</f>
        <v> </v>
      </c>
    </row>
    <row r="276" customFormat="false" ht="12" hidden="false" customHeight="false" outlineLevel="0" collapsed="false">
      <c r="A276" s="28"/>
      <c r="E276" s="2" t="str">
        <f aca="false">IF((F276&lt;&gt;0),"Enter Letter"," ")</f>
        <v> </v>
      </c>
      <c r="F276" s="30"/>
      <c r="G276" s="6" t="str">
        <f aca="false">IF(F276&lt;&gt;0,F276*G$2/(100+G$2)," ")</f>
        <v> </v>
      </c>
      <c r="H276" s="6" t="str">
        <f aca="false">IF((F276&lt;&gt;0),F276-G276," ")</f>
        <v> </v>
      </c>
      <c r="I276" s="5"/>
      <c r="L276" s="7" t="str">
        <f aca="false">IF(F276&lt;&gt;0,F276-K276," ")</f>
        <v> </v>
      </c>
      <c r="M276" s="8" t="str">
        <f aca="false">IF((F276-K276)&lt;&gt;0,M$1-A276," ")</f>
        <v> </v>
      </c>
      <c r="N276" s="5"/>
      <c r="O276" s="17" t="str">
        <f aca="false">IF((E276="s"),H276," ")</f>
        <v> </v>
      </c>
      <c r="P276" s="17" t="str">
        <f aca="false">IF((E276="c"),H276," ")</f>
        <v> </v>
      </c>
      <c r="Q276" s="17" t="str">
        <f aca="false">IF((E276="o"),H276," ")</f>
        <v> </v>
      </c>
      <c r="R276" s="17" t="str">
        <f aca="false">IF((E276="d"),H276," ")</f>
        <v> </v>
      </c>
      <c r="S276" s="17" t="str">
        <f aca="false">IF((E276="w"),H276," ")</f>
        <v> </v>
      </c>
      <c r="T276" s="17" t="str">
        <f aca="false">IF((E276="r"),H276," ")</f>
        <v> </v>
      </c>
      <c r="U276" s="17" t="str">
        <f aca="false">IF((E276="p"),H276," ")</f>
        <v> </v>
      </c>
      <c r="V276" s="17" t="str">
        <f aca="false">IF((E276="t"),H276," ")</f>
        <v> </v>
      </c>
      <c r="W276" s="17" t="str">
        <f aca="false">IF((E276="q"),H276," ")</f>
        <v> </v>
      </c>
      <c r="X276" s="17" t="str">
        <f aca="false">IF((E276="m"),H276," ")</f>
        <v> </v>
      </c>
      <c r="Y276" s="17" t="str">
        <f aca="false">IF((E276="u"),H276," ")</f>
        <v> </v>
      </c>
      <c r="Z276" s="17" t="str">
        <f aca="false">IF((E276="a"),H276," ")</f>
        <v> </v>
      </c>
      <c r="AA276" s="17" t="str">
        <f aca="false">IF((E276="g"),H276," ")</f>
        <v> </v>
      </c>
      <c r="AB276" s="17" t="str">
        <f aca="false">IF((E276="h"),H276," ")</f>
        <v> </v>
      </c>
      <c r="AC276" s="30" t="str">
        <f aca="false">IF((E276="v"),H276," ")</f>
        <v> </v>
      </c>
      <c r="AD276" s="30" t="str">
        <f aca="false">IF((E276="n"),H276," ")</f>
        <v> </v>
      </c>
      <c r="AE276" s="17" t="str">
        <f aca="false">IF((E276="f"),H276," ")</f>
        <v> </v>
      </c>
      <c r="AF276" s="17" t="str">
        <f aca="false">IF((E276="l"),H276," ")</f>
        <v> </v>
      </c>
      <c r="AG276" s="17" t="str">
        <f aca="false">IF((E276="y"),H276," ")</f>
        <v> </v>
      </c>
      <c r="AH276" s="17" t="str">
        <f aca="false">IF((E276="z"),H276," ")</f>
        <v> </v>
      </c>
      <c r="AI276" s="17" t="str">
        <f aca="false">IF((E276="fa"),H276," ")</f>
        <v> </v>
      </c>
      <c r="AJ276" s="17" t="str">
        <f aca="false">IF((E276="e"),H276," ")</f>
        <v> </v>
      </c>
    </row>
    <row r="277" customFormat="false" ht="12" hidden="false" customHeight="false" outlineLevel="0" collapsed="false">
      <c r="A277" s="28"/>
      <c r="E277" s="2" t="str">
        <f aca="false">IF((F277&lt;&gt;0),"Enter Letter"," ")</f>
        <v> </v>
      </c>
      <c r="F277" s="30"/>
      <c r="G277" s="6" t="str">
        <f aca="false">IF(F277&lt;&gt;0,F277*G$2/(100+G$2)," ")</f>
        <v> </v>
      </c>
      <c r="H277" s="6" t="str">
        <f aca="false">IF((F277&lt;&gt;0),F277-G277," ")</f>
        <v> </v>
      </c>
      <c r="I277" s="5"/>
      <c r="L277" s="7" t="str">
        <f aca="false">IF(F277&lt;&gt;0,F277-K277," ")</f>
        <v> </v>
      </c>
      <c r="M277" s="8" t="str">
        <f aca="false">IF((F277-K277)&lt;&gt;0,M$1-A277," ")</f>
        <v> </v>
      </c>
      <c r="N277" s="5"/>
      <c r="O277" s="17" t="str">
        <f aca="false">IF((E277="s"),H277," ")</f>
        <v> </v>
      </c>
      <c r="P277" s="17" t="str">
        <f aca="false">IF((E277="c"),H277," ")</f>
        <v> </v>
      </c>
      <c r="Q277" s="17" t="str">
        <f aca="false">IF((E277="o"),H277," ")</f>
        <v> </v>
      </c>
      <c r="R277" s="17" t="str">
        <f aca="false">IF((E277="d"),H277," ")</f>
        <v> </v>
      </c>
      <c r="S277" s="17" t="str">
        <f aca="false">IF((E277="w"),H277," ")</f>
        <v> </v>
      </c>
      <c r="T277" s="17" t="str">
        <f aca="false">IF((E277="r"),H277," ")</f>
        <v> </v>
      </c>
      <c r="U277" s="17" t="str">
        <f aca="false">IF((E277="p"),H277," ")</f>
        <v> </v>
      </c>
      <c r="V277" s="17" t="str">
        <f aca="false">IF((E277="t"),H277," ")</f>
        <v> </v>
      </c>
      <c r="W277" s="17" t="str">
        <f aca="false">IF((E277="q"),H277," ")</f>
        <v> </v>
      </c>
      <c r="X277" s="17" t="str">
        <f aca="false">IF((E277="m"),H277," ")</f>
        <v> </v>
      </c>
      <c r="Y277" s="17" t="str">
        <f aca="false">IF((E277="u"),H277," ")</f>
        <v> </v>
      </c>
      <c r="Z277" s="17" t="str">
        <f aca="false">IF((E277="a"),H277," ")</f>
        <v> </v>
      </c>
      <c r="AA277" s="17" t="str">
        <f aca="false">IF((E277="g"),H277," ")</f>
        <v> </v>
      </c>
      <c r="AB277" s="17" t="str">
        <f aca="false">IF((E277="h"),H277," ")</f>
        <v> </v>
      </c>
      <c r="AC277" s="30" t="str">
        <f aca="false">IF((E277="v"),H277," ")</f>
        <v> </v>
      </c>
      <c r="AD277" s="30" t="str">
        <f aca="false">IF((E277="n"),H277," ")</f>
        <v> </v>
      </c>
      <c r="AE277" s="17" t="str">
        <f aca="false">IF((E277="f"),H277," ")</f>
        <v> </v>
      </c>
      <c r="AF277" s="17" t="str">
        <f aca="false">IF((E277="l"),H277," ")</f>
        <v> </v>
      </c>
      <c r="AG277" s="17" t="str">
        <f aca="false">IF((E277="y"),H277," ")</f>
        <v> </v>
      </c>
      <c r="AH277" s="17" t="str">
        <f aca="false">IF((E277="z"),H277," ")</f>
        <v> </v>
      </c>
      <c r="AI277" s="17" t="str">
        <f aca="false">IF((E277="fa"),H277," ")</f>
        <v> </v>
      </c>
      <c r="AJ277" s="17" t="str">
        <f aca="false">IF((E277="e"),H277," ")</f>
        <v> </v>
      </c>
    </row>
    <row r="278" customFormat="false" ht="12" hidden="false" customHeight="false" outlineLevel="0" collapsed="false">
      <c r="A278" s="28"/>
      <c r="E278" s="2" t="str">
        <f aca="false">IF((F278&lt;&gt;0),"Enter Letter"," ")</f>
        <v> </v>
      </c>
      <c r="F278" s="30"/>
      <c r="G278" s="6" t="str">
        <f aca="false">IF(F278&lt;&gt;0,F278*G$2/(100+G$2)," ")</f>
        <v> </v>
      </c>
      <c r="H278" s="6" t="str">
        <f aca="false">IF((F278&lt;&gt;0),F278-G278," ")</f>
        <v> </v>
      </c>
      <c r="I278" s="5"/>
      <c r="L278" s="7" t="str">
        <f aca="false">IF(F278&lt;&gt;0,F278-K278," ")</f>
        <v> </v>
      </c>
      <c r="M278" s="8" t="str">
        <f aca="false">IF((F278-K278)&lt;&gt;0,M$1-A278," ")</f>
        <v> </v>
      </c>
      <c r="N278" s="5"/>
      <c r="O278" s="17" t="str">
        <f aca="false">IF((E278="s"),H278," ")</f>
        <v> </v>
      </c>
      <c r="P278" s="17" t="str">
        <f aca="false">IF((E278="c"),H278," ")</f>
        <v> </v>
      </c>
      <c r="Q278" s="17" t="str">
        <f aca="false">IF((E278="o"),H278," ")</f>
        <v> </v>
      </c>
      <c r="R278" s="17" t="str">
        <f aca="false">IF((E278="d"),H278," ")</f>
        <v> </v>
      </c>
      <c r="S278" s="17" t="str">
        <f aca="false">IF((E278="w"),H278," ")</f>
        <v> </v>
      </c>
      <c r="T278" s="17" t="str">
        <f aca="false">IF((E278="r"),H278," ")</f>
        <v> </v>
      </c>
      <c r="U278" s="17" t="str">
        <f aca="false">IF((E278="p"),H278," ")</f>
        <v> </v>
      </c>
      <c r="V278" s="17" t="str">
        <f aca="false">IF((E278="t"),H278," ")</f>
        <v> </v>
      </c>
      <c r="W278" s="17" t="str">
        <f aca="false">IF((E278="q"),H278," ")</f>
        <v> </v>
      </c>
      <c r="X278" s="17" t="str">
        <f aca="false">IF((E278="m"),H278," ")</f>
        <v> </v>
      </c>
      <c r="Y278" s="17" t="str">
        <f aca="false">IF((E278="u"),H278," ")</f>
        <v> </v>
      </c>
      <c r="Z278" s="17" t="str">
        <f aca="false">IF((E278="a"),H278," ")</f>
        <v> </v>
      </c>
      <c r="AA278" s="17" t="str">
        <f aca="false">IF((E278="g"),H278," ")</f>
        <v> </v>
      </c>
      <c r="AB278" s="17" t="str">
        <f aca="false">IF((E278="h"),H278," ")</f>
        <v> </v>
      </c>
      <c r="AC278" s="30" t="str">
        <f aca="false">IF((E278="v"),H278," ")</f>
        <v> </v>
      </c>
      <c r="AD278" s="30" t="str">
        <f aca="false">IF((E278="n"),H278," ")</f>
        <v> </v>
      </c>
      <c r="AE278" s="17" t="str">
        <f aca="false">IF((E278="f"),H278," ")</f>
        <v> </v>
      </c>
      <c r="AF278" s="17" t="str">
        <f aca="false">IF((E278="l"),H278," ")</f>
        <v> </v>
      </c>
      <c r="AG278" s="17" t="str">
        <f aca="false">IF((E278="y"),H278," ")</f>
        <v> </v>
      </c>
      <c r="AH278" s="17" t="str">
        <f aca="false">IF((E278="z"),H278," ")</f>
        <v> </v>
      </c>
      <c r="AI278" s="17" t="str">
        <f aca="false">IF((E278="fa"),H278," ")</f>
        <v> </v>
      </c>
      <c r="AJ278" s="17" t="str">
        <f aca="false">IF((E278="e"),H278," ")</f>
        <v> </v>
      </c>
    </row>
    <row r="279" customFormat="false" ht="12" hidden="false" customHeight="false" outlineLevel="0" collapsed="false">
      <c r="A279" s="28"/>
      <c r="E279" s="2" t="str">
        <f aca="false">IF((F279&lt;&gt;0),"Enter Letter"," ")</f>
        <v> </v>
      </c>
      <c r="F279" s="30"/>
      <c r="G279" s="6" t="str">
        <f aca="false">IF(F279&lt;&gt;0,F279*G$2/(100+G$2)," ")</f>
        <v> </v>
      </c>
      <c r="H279" s="6" t="str">
        <f aca="false">IF((F279&lt;&gt;0),F279-G279," ")</f>
        <v> </v>
      </c>
      <c r="I279" s="5"/>
      <c r="L279" s="7" t="str">
        <f aca="false">IF(F279&lt;&gt;0,F279-K279," ")</f>
        <v> </v>
      </c>
      <c r="M279" s="8" t="str">
        <f aca="false">IF((F279-K279)&lt;&gt;0,M$1-A279," ")</f>
        <v> </v>
      </c>
      <c r="N279" s="5"/>
      <c r="O279" s="17" t="str">
        <f aca="false">IF((E279="s"),H279," ")</f>
        <v> </v>
      </c>
      <c r="P279" s="17" t="str">
        <f aca="false">IF((E279="c"),H279," ")</f>
        <v> </v>
      </c>
      <c r="Q279" s="17" t="str">
        <f aca="false">IF((E279="o"),H279," ")</f>
        <v> </v>
      </c>
      <c r="R279" s="17" t="str">
        <f aca="false">IF((E279="d"),H279," ")</f>
        <v> </v>
      </c>
      <c r="S279" s="17" t="str">
        <f aca="false">IF((E279="w"),H279," ")</f>
        <v> </v>
      </c>
      <c r="T279" s="17" t="str">
        <f aca="false">IF((E279="r"),H279," ")</f>
        <v> </v>
      </c>
      <c r="U279" s="17" t="str">
        <f aca="false">IF((E279="p"),H279," ")</f>
        <v> </v>
      </c>
      <c r="V279" s="17" t="str">
        <f aca="false">IF((E279="t"),H279," ")</f>
        <v> </v>
      </c>
      <c r="W279" s="17" t="str">
        <f aca="false">IF((E279="q"),H279," ")</f>
        <v> </v>
      </c>
      <c r="X279" s="17" t="str">
        <f aca="false">IF((E279="m"),H279," ")</f>
        <v> </v>
      </c>
      <c r="Y279" s="17" t="str">
        <f aca="false">IF((E279="u"),H279," ")</f>
        <v> </v>
      </c>
      <c r="Z279" s="17" t="str">
        <f aca="false">IF((E279="a"),H279," ")</f>
        <v> </v>
      </c>
      <c r="AA279" s="17" t="str">
        <f aca="false">IF((E279="g"),H279," ")</f>
        <v> </v>
      </c>
      <c r="AB279" s="17" t="str">
        <f aca="false">IF((E279="h"),H279," ")</f>
        <v> </v>
      </c>
      <c r="AC279" s="30" t="str">
        <f aca="false">IF((E279="v"),H279," ")</f>
        <v> </v>
      </c>
      <c r="AD279" s="30" t="str">
        <f aca="false">IF((E279="n"),H279," ")</f>
        <v> </v>
      </c>
      <c r="AE279" s="17" t="str">
        <f aca="false">IF((E279="f"),H279," ")</f>
        <v> </v>
      </c>
      <c r="AF279" s="17" t="str">
        <f aca="false">IF((E279="l"),H279," ")</f>
        <v> </v>
      </c>
      <c r="AG279" s="17" t="str">
        <f aca="false">IF((E279="y"),H279," ")</f>
        <v> </v>
      </c>
      <c r="AH279" s="17" t="str">
        <f aca="false">IF((E279="z"),H279," ")</f>
        <v> </v>
      </c>
      <c r="AI279" s="17" t="str">
        <f aca="false">IF((E279="fa"),H279," ")</f>
        <v> </v>
      </c>
      <c r="AJ279" s="17" t="str">
        <f aca="false">IF((E279="e"),H279," ")</f>
        <v> </v>
      </c>
    </row>
    <row r="280" customFormat="false" ht="12" hidden="false" customHeight="false" outlineLevel="0" collapsed="false">
      <c r="A280" s="28"/>
      <c r="E280" s="2" t="str">
        <f aca="false">IF((F280&lt;&gt;0),"Enter Letter"," ")</f>
        <v> </v>
      </c>
      <c r="F280" s="30"/>
      <c r="G280" s="6" t="str">
        <f aca="false">IF(F280&lt;&gt;0,F280*G$2/(100+G$2)," ")</f>
        <v> </v>
      </c>
      <c r="H280" s="6" t="str">
        <f aca="false">IF((F280&lt;&gt;0),F280-G280," ")</f>
        <v> </v>
      </c>
      <c r="I280" s="5"/>
      <c r="L280" s="7" t="str">
        <f aca="false">IF(F280&lt;&gt;0,F280-K280," ")</f>
        <v> </v>
      </c>
      <c r="M280" s="8" t="str">
        <f aca="false">IF((F280-K280)&lt;&gt;0,M$1-A280," ")</f>
        <v> </v>
      </c>
      <c r="N280" s="5"/>
      <c r="O280" s="17" t="str">
        <f aca="false">IF((E280="s"),H280," ")</f>
        <v> </v>
      </c>
      <c r="P280" s="17" t="str">
        <f aca="false">IF((E280="c"),H280," ")</f>
        <v> </v>
      </c>
      <c r="Q280" s="17" t="str">
        <f aca="false">IF((E280="o"),H280," ")</f>
        <v> </v>
      </c>
      <c r="R280" s="17" t="str">
        <f aca="false">IF((E280="d"),H280," ")</f>
        <v> </v>
      </c>
      <c r="S280" s="17" t="str">
        <f aca="false">IF((E280="w"),H280," ")</f>
        <v> </v>
      </c>
      <c r="T280" s="17" t="str">
        <f aca="false">IF((E280="r"),H280," ")</f>
        <v> </v>
      </c>
      <c r="U280" s="17" t="str">
        <f aca="false">IF((E280="p"),H280," ")</f>
        <v> </v>
      </c>
      <c r="V280" s="17" t="str">
        <f aca="false">IF((E280="t"),H280," ")</f>
        <v> </v>
      </c>
      <c r="W280" s="17" t="str">
        <f aca="false">IF((E280="q"),H280," ")</f>
        <v> </v>
      </c>
      <c r="X280" s="17" t="str">
        <f aca="false">IF((E280="m"),H280," ")</f>
        <v> </v>
      </c>
      <c r="Y280" s="17" t="str">
        <f aca="false">IF((E280="u"),H280," ")</f>
        <v> </v>
      </c>
      <c r="Z280" s="17" t="str">
        <f aca="false">IF((E280="a"),H280," ")</f>
        <v> </v>
      </c>
      <c r="AA280" s="17" t="str">
        <f aca="false">IF((E280="g"),H280," ")</f>
        <v> </v>
      </c>
      <c r="AB280" s="17" t="str">
        <f aca="false">IF((E280="h"),H280," ")</f>
        <v> </v>
      </c>
      <c r="AC280" s="30" t="str">
        <f aca="false">IF((E280="v"),H280," ")</f>
        <v> </v>
      </c>
      <c r="AD280" s="30" t="str">
        <f aca="false">IF((E280="n"),H280," ")</f>
        <v> </v>
      </c>
      <c r="AE280" s="17" t="str">
        <f aca="false">IF((E280="f"),H280," ")</f>
        <v> </v>
      </c>
      <c r="AF280" s="17" t="str">
        <f aca="false">IF((E280="l"),H280," ")</f>
        <v> </v>
      </c>
      <c r="AG280" s="17" t="str">
        <f aca="false">IF((E280="y"),H280," ")</f>
        <v> </v>
      </c>
      <c r="AH280" s="17" t="str">
        <f aca="false">IF((E280="z"),H280," ")</f>
        <v> </v>
      </c>
      <c r="AI280" s="17" t="str">
        <f aca="false">IF((E280="fa"),H280," ")</f>
        <v> </v>
      </c>
      <c r="AJ280" s="17" t="str">
        <f aca="false">IF((E280="e"),H280," ")</f>
        <v> </v>
      </c>
    </row>
    <row r="281" customFormat="false" ht="12" hidden="false" customHeight="false" outlineLevel="0" collapsed="false">
      <c r="A281" s="28"/>
      <c r="E281" s="2" t="str">
        <f aca="false">IF((F281&lt;&gt;0),"Enter Letter"," ")</f>
        <v> </v>
      </c>
      <c r="F281" s="30"/>
      <c r="G281" s="6" t="str">
        <f aca="false">IF(F281&lt;&gt;0,F281*G$2/(100+G$2)," ")</f>
        <v> </v>
      </c>
      <c r="H281" s="6" t="str">
        <f aca="false">IF((F281&lt;&gt;0),F281-G281," ")</f>
        <v> </v>
      </c>
      <c r="I281" s="5"/>
      <c r="L281" s="7" t="str">
        <f aca="false">IF(F281&lt;&gt;0,F281-K281," ")</f>
        <v> </v>
      </c>
      <c r="M281" s="8" t="str">
        <f aca="false">IF((F281-K281)&lt;&gt;0,M$1-A281," ")</f>
        <v> </v>
      </c>
      <c r="N281" s="5"/>
      <c r="O281" s="17" t="str">
        <f aca="false">IF((E281="s"),H281," ")</f>
        <v> </v>
      </c>
      <c r="P281" s="17" t="str">
        <f aca="false">IF((E281="c"),H281," ")</f>
        <v> </v>
      </c>
      <c r="Q281" s="17" t="str">
        <f aca="false">IF((E281="o"),H281," ")</f>
        <v> </v>
      </c>
      <c r="R281" s="17" t="str">
        <f aca="false">IF((E281="d"),H281," ")</f>
        <v> </v>
      </c>
      <c r="S281" s="17" t="str">
        <f aca="false">IF((E281="w"),H281," ")</f>
        <v> </v>
      </c>
      <c r="T281" s="17" t="str">
        <f aca="false">IF((E281="r"),H281," ")</f>
        <v> </v>
      </c>
      <c r="U281" s="17" t="str">
        <f aca="false">IF((E281="p"),H281," ")</f>
        <v> </v>
      </c>
      <c r="V281" s="17" t="str">
        <f aca="false">IF((E281="t"),H281," ")</f>
        <v> </v>
      </c>
      <c r="W281" s="17" t="str">
        <f aca="false">IF((E281="q"),H281," ")</f>
        <v> </v>
      </c>
      <c r="X281" s="17" t="str">
        <f aca="false">IF((E281="m"),H281," ")</f>
        <v> </v>
      </c>
      <c r="Y281" s="17" t="str">
        <f aca="false">IF((E281="u"),H281," ")</f>
        <v> </v>
      </c>
      <c r="Z281" s="17" t="str">
        <f aca="false">IF((E281="a"),H281," ")</f>
        <v> </v>
      </c>
      <c r="AA281" s="17" t="str">
        <f aca="false">IF((E281="g"),H281," ")</f>
        <v> </v>
      </c>
      <c r="AB281" s="17" t="str">
        <f aca="false">IF((E281="h"),H281," ")</f>
        <v> </v>
      </c>
      <c r="AC281" s="30" t="str">
        <f aca="false">IF((E281="v"),H281," ")</f>
        <v> </v>
      </c>
      <c r="AD281" s="30" t="str">
        <f aca="false">IF((E281="n"),H281," ")</f>
        <v> </v>
      </c>
      <c r="AE281" s="17" t="str">
        <f aca="false">IF((E281="f"),H281," ")</f>
        <v> </v>
      </c>
      <c r="AF281" s="17" t="str">
        <f aca="false">IF((E281="l"),H281," ")</f>
        <v> </v>
      </c>
      <c r="AG281" s="17" t="str">
        <f aca="false">IF((E281="y"),H281," ")</f>
        <v> </v>
      </c>
      <c r="AH281" s="17" t="str">
        <f aca="false">IF((E281="z"),H281," ")</f>
        <v> </v>
      </c>
      <c r="AI281" s="17" t="str">
        <f aca="false">IF((E281="fa"),H281," ")</f>
        <v> </v>
      </c>
      <c r="AJ281" s="17" t="str">
        <f aca="false">IF((E281="e"),H281," ")</f>
        <v> </v>
      </c>
    </row>
    <row r="282" customFormat="false" ht="12" hidden="false" customHeight="false" outlineLevel="0" collapsed="false">
      <c r="A282" s="28"/>
      <c r="E282" s="2" t="str">
        <f aca="false">IF((F282&lt;&gt;0),"Enter Letter"," ")</f>
        <v> </v>
      </c>
      <c r="F282" s="30"/>
      <c r="G282" s="6" t="str">
        <f aca="false">IF(F282&lt;&gt;0,F282*G$2/(100+G$2)," ")</f>
        <v> </v>
      </c>
      <c r="H282" s="6" t="str">
        <f aca="false">IF((F282&lt;&gt;0),F282-G282," ")</f>
        <v> </v>
      </c>
      <c r="I282" s="5"/>
      <c r="L282" s="7" t="str">
        <f aca="false">IF(F282&lt;&gt;0,F282-K282," ")</f>
        <v> </v>
      </c>
      <c r="M282" s="8" t="str">
        <f aca="false">IF((F282-K282)&lt;&gt;0,M$1-A282," ")</f>
        <v> </v>
      </c>
      <c r="N282" s="5"/>
      <c r="O282" s="17" t="str">
        <f aca="false">IF((E282="s"),H282," ")</f>
        <v> </v>
      </c>
      <c r="P282" s="17" t="str">
        <f aca="false">IF((E282="c"),H282," ")</f>
        <v> </v>
      </c>
      <c r="Q282" s="17" t="str">
        <f aca="false">IF((E282="o"),H282," ")</f>
        <v> </v>
      </c>
      <c r="R282" s="17" t="str">
        <f aca="false">IF((E282="d"),H282," ")</f>
        <v> </v>
      </c>
      <c r="S282" s="17" t="str">
        <f aca="false">IF((E282="w"),H282," ")</f>
        <v> </v>
      </c>
      <c r="T282" s="17" t="str">
        <f aca="false">IF((E282="r"),H282," ")</f>
        <v> </v>
      </c>
      <c r="U282" s="17" t="str">
        <f aca="false">IF((E282="p"),H282," ")</f>
        <v> </v>
      </c>
      <c r="V282" s="17" t="str">
        <f aca="false">IF((E282="t"),H282," ")</f>
        <v> </v>
      </c>
      <c r="W282" s="17" t="str">
        <f aca="false">IF((E282="q"),H282," ")</f>
        <v> </v>
      </c>
      <c r="X282" s="17" t="str">
        <f aca="false">IF((E282="m"),H282," ")</f>
        <v> </v>
      </c>
      <c r="Y282" s="17" t="str">
        <f aca="false">IF((E282="u"),H282," ")</f>
        <v> </v>
      </c>
      <c r="Z282" s="17" t="str">
        <f aca="false">IF((E282="a"),H282," ")</f>
        <v> </v>
      </c>
      <c r="AA282" s="17" t="str">
        <f aca="false">IF((E282="g"),H282," ")</f>
        <v> </v>
      </c>
      <c r="AB282" s="17" t="str">
        <f aca="false">IF((E282="h"),H282," ")</f>
        <v> </v>
      </c>
      <c r="AC282" s="30" t="str">
        <f aca="false">IF((E282="v"),H282," ")</f>
        <v> </v>
      </c>
      <c r="AD282" s="30" t="str">
        <f aca="false">IF((E282="n"),H282," ")</f>
        <v> </v>
      </c>
      <c r="AE282" s="17" t="str">
        <f aca="false">IF((E282="f"),H282," ")</f>
        <v> </v>
      </c>
      <c r="AF282" s="17" t="str">
        <f aca="false">IF((E282="l"),H282," ")</f>
        <v> </v>
      </c>
      <c r="AG282" s="17" t="str">
        <f aca="false">IF((E282="y"),H282," ")</f>
        <v> </v>
      </c>
      <c r="AH282" s="17" t="str">
        <f aca="false">IF((E282="z"),H282," ")</f>
        <v> </v>
      </c>
      <c r="AI282" s="17" t="str">
        <f aca="false">IF((E282="fa"),H282," ")</f>
        <v> </v>
      </c>
      <c r="AJ282" s="17" t="str">
        <f aca="false">IF((E282="e"),H282," ")</f>
        <v> </v>
      </c>
    </row>
    <row r="283" customFormat="false" ht="12" hidden="false" customHeight="false" outlineLevel="0" collapsed="false">
      <c r="A283" s="28"/>
      <c r="E283" s="2" t="str">
        <f aca="false">IF((F283&lt;&gt;0),"Enter Letter"," ")</f>
        <v> </v>
      </c>
      <c r="F283" s="30"/>
      <c r="G283" s="6" t="str">
        <f aca="false">IF(F283&lt;&gt;0,F283*G$2/(100+G$2)," ")</f>
        <v> </v>
      </c>
      <c r="H283" s="6" t="str">
        <f aca="false">IF((F283&lt;&gt;0),F283-G283," ")</f>
        <v> </v>
      </c>
      <c r="I283" s="5"/>
      <c r="L283" s="7" t="str">
        <f aca="false">IF(F283&lt;&gt;0,F283-K283," ")</f>
        <v> </v>
      </c>
      <c r="M283" s="8" t="str">
        <f aca="false">IF((F283-K283)&lt;&gt;0,M$1-A283," ")</f>
        <v> </v>
      </c>
      <c r="N283" s="5"/>
      <c r="O283" s="17" t="str">
        <f aca="false">IF((E283="s"),H283," ")</f>
        <v> </v>
      </c>
      <c r="P283" s="17" t="str">
        <f aca="false">IF((E283="c"),H283," ")</f>
        <v> </v>
      </c>
      <c r="Q283" s="17" t="str">
        <f aca="false">IF((E283="o"),H283," ")</f>
        <v> </v>
      </c>
      <c r="R283" s="17" t="str">
        <f aca="false">IF((E283="d"),H283," ")</f>
        <v> </v>
      </c>
      <c r="S283" s="17" t="str">
        <f aca="false">IF((E283="w"),H283," ")</f>
        <v> </v>
      </c>
      <c r="T283" s="17" t="str">
        <f aca="false">IF((E283="r"),H283," ")</f>
        <v> </v>
      </c>
      <c r="U283" s="17" t="str">
        <f aca="false">IF((E283="p"),H283," ")</f>
        <v> </v>
      </c>
      <c r="V283" s="17" t="str">
        <f aca="false">IF((E283="t"),H283," ")</f>
        <v> </v>
      </c>
      <c r="W283" s="17" t="str">
        <f aca="false">IF((E283="q"),H283," ")</f>
        <v> </v>
      </c>
      <c r="X283" s="17" t="str">
        <f aca="false">IF((E283="m"),H283," ")</f>
        <v> </v>
      </c>
      <c r="Y283" s="17" t="str">
        <f aca="false">IF((E283="u"),H283," ")</f>
        <v> </v>
      </c>
      <c r="Z283" s="17" t="str">
        <f aca="false">IF((E283="a"),H283," ")</f>
        <v> </v>
      </c>
      <c r="AA283" s="17" t="str">
        <f aca="false">IF((E283="g"),H283," ")</f>
        <v> </v>
      </c>
      <c r="AB283" s="17" t="str">
        <f aca="false">IF((E283="h"),H283," ")</f>
        <v> </v>
      </c>
      <c r="AC283" s="30" t="str">
        <f aca="false">IF((E283="v"),H283," ")</f>
        <v> </v>
      </c>
      <c r="AD283" s="30" t="str">
        <f aca="false">IF((E283="n"),H283," ")</f>
        <v> </v>
      </c>
      <c r="AE283" s="17" t="str">
        <f aca="false">IF((E283="f"),H283," ")</f>
        <v> </v>
      </c>
      <c r="AF283" s="17" t="str">
        <f aca="false">IF((E283="l"),H283," ")</f>
        <v> </v>
      </c>
      <c r="AG283" s="17" t="str">
        <f aca="false">IF((E283="y"),H283," ")</f>
        <v> </v>
      </c>
      <c r="AH283" s="17" t="str">
        <f aca="false">IF((E283="z"),H283," ")</f>
        <v> </v>
      </c>
      <c r="AI283" s="17" t="str">
        <f aca="false">IF((E283="fa"),H283," ")</f>
        <v> </v>
      </c>
      <c r="AJ283" s="17" t="str">
        <f aca="false">IF((E283="e"),H283," ")</f>
        <v> </v>
      </c>
    </row>
    <row r="284" customFormat="false" ht="12" hidden="false" customHeight="false" outlineLevel="0" collapsed="false">
      <c r="A284" s="28"/>
      <c r="E284" s="2" t="str">
        <f aca="false">IF((F284&lt;&gt;0),"Enter Letter"," ")</f>
        <v> </v>
      </c>
      <c r="F284" s="30"/>
      <c r="G284" s="6" t="str">
        <f aca="false">IF(F284&lt;&gt;0,F284*G$2/(100+G$2)," ")</f>
        <v> </v>
      </c>
      <c r="H284" s="6" t="str">
        <f aca="false">IF((F284&lt;&gt;0),F284-G284," ")</f>
        <v> </v>
      </c>
      <c r="I284" s="5"/>
      <c r="L284" s="7" t="str">
        <f aca="false">IF(F284&lt;&gt;0,F284-K284," ")</f>
        <v> </v>
      </c>
      <c r="M284" s="8" t="str">
        <f aca="false">IF((F284-K284)&lt;&gt;0,M$1-A284," ")</f>
        <v> </v>
      </c>
      <c r="N284" s="5"/>
      <c r="O284" s="17" t="str">
        <f aca="false">IF((E284="s"),H284," ")</f>
        <v> </v>
      </c>
      <c r="P284" s="17" t="str">
        <f aca="false">IF((E284="c"),H284," ")</f>
        <v> </v>
      </c>
      <c r="Q284" s="17" t="str">
        <f aca="false">IF((E284="o"),H284," ")</f>
        <v> </v>
      </c>
      <c r="R284" s="17" t="str">
        <f aca="false">IF((E284="d"),H284," ")</f>
        <v> </v>
      </c>
      <c r="S284" s="17" t="str">
        <f aca="false">IF((E284="w"),H284," ")</f>
        <v> </v>
      </c>
      <c r="T284" s="17" t="str">
        <f aca="false">IF((E284="r"),H284," ")</f>
        <v> </v>
      </c>
      <c r="U284" s="17" t="str">
        <f aca="false">IF((E284="p"),H284," ")</f>
        <v> </v>
      </c>
      <c r="V284" s="17" t="str">
        <f aca="false">IF((E284="t"),H284," ")</f>
        <v> </v>
      </c>
      <c r="W284" s="17" t="str">
        <f aca="false">IF((E284="q"),H284," ")</f>
        <v> </v>
      </c>
      <c r="X284" s="17" t="str">
        <f aca="false">IF((E284="m"),H284," ")</f>
        <v> </v>
      </c>
      <c r="Y284" s="17" t="str">
        <f aca="false">IF((E284="u"),H284," ")</f>
        <v> </v>
      </c>
      <c r="Z284" s="17" t="str">
        <f aca="false">IF((E284="a"),H284," ")</f>
        <v> </v>
      </c>
      <c r="AA284" s="17" t="str">
        <f aca="false">IF((E284="g"),H284," ")</f>
        <v> </v>
      </c>
      <c r="AB284" s="17" t="str">
        <f aca="false">IF((E284="h"),H284," ")</f>
        <v> </v>
      </c>
      <c r="AC284" s="30" t="str">
        <f aca="false">IF((E284="v"),H284," ")</f>
        <v> </v>
      </c>
      <c r="AD284" s="30" t="str">
        <f aca="false">IF((E284="n"),H284," ")</f>
        <v> </v>
      </c>
      <c r="AE284" s="17" t="str">
        <f aca="false">IF((E284="f"),H284," ")</f>
        <v> </v>
      </c>
      <c r="AF284" s="17" t="str">
        <f aca="false">IF((E284="l"),H284," ")</f>
        <v> </v>
      </c>
      <c r="AG284" s="17" t="str">
        <f aca="false">IF((E284="y"),H284," ")</f>
        <v> </v>
      </c>
      <c r="AH284" s="17" t="str">
        <f aca="false">IF((E284="z"),H284," ")</f>
        <v> </v>
      </c>
      <c r="AI284" s="17" t="str">
        <f aca="false">IF((E284="fa"),H284," ")</f>
        <v> </v>
      </c>
      <c r="AJ284" s="17" t="str">
        <f aca="false">IF((E284="e"),H284," ")</f>
        <v> </v>
      </c>
    </row>
    <row r="285" customFormat="false" ht="12" hidden="false" customHeight="false" outlineLevel="0" collapsed="false">
      <c r="A285" s="28"/>
      <c r="E285" s="2" t="str">
        <f aca="false">IF((F285&lt;&gt;0),"Enter Letter"," ")</f>
        <v> </v>
      </c>
      <c r="F285" s="30"/>
      <c r="G285" s="6" t="str">
        <f aca="false">IF(F285&lt;&gt;0,F285*G$2/(100+G$2)," ")</f>
        <v> </v>
      </c>
      <c r="H285" s="6" t="str">
        <f aca="false">IF((F285&lt;&gt;0),F285-G285," ")</f>
        <v> </v>
      </c>
      <c r="I285" s="5"/>
      <c r="L285" s="7" t="str">
        <f aca="false">IF(F285&lt;&gt;0,F285-K285," ")</f>
        <v> </v>
      </c>
      <c r="M285" s="8" t="str">
        <f aca="false">IF((F285-K285)&lt;&gt;0,M$1-A285," ")</f>
        <v> </v>
      </c>
      <c r="N285" s="5"/>
      <c r="O285" s="17" t="str">
        <f aca="false">IF((E285="s"),H285," ")</f>
        <v> </v>
      </c>
      <c r="P285" s="17" t="str">
        <f aca="false">IF((E285="c"),H285," ")</f>
        <v> </v>
      </c>
      <c r="Q285" s="17" t="str">
        <f aca="false">IF((E285="o"),H285," ")</f>
        <v> </v>
      </c>
      <c r="R285" s="17" t="str">
        <f aca="false">IF((E285="d"),H285," ")</f>
        <v> </v>
      </c>
      <c r="S285" s="17" t="str">
        <f aca="false">IF((E285="w"),H285," ")</f>
        <v> </v>
      </c>
      <c r="T285" s="17" t="str">
        <f aca="false">IF((E285="r"),H285," ")</f>
        <v> </v>
      </c>
      <c r="U285" s="17" t="str">
        <f aca="false">IF((E285="p"),H285," ")</f>
        <v> </v>
      </c>
      <c r="V285" s="17" t="str">
        <f aca="false">IF((E285="t"),H285," ")</f>
        <v> </v>
      </c>
      <c r="W285" s="17" t="str">
        <f aca="false">IF((E285="q"),H285," ")</f>
        <v> </v>
      </c>
      <c r="X285" s="17" t="str">
        <f aca="false">IF((E285="m"),H285," ")</f>
        <v> </v>
      </c>
      <c r="Y285" s="17" t="str">
        <f aca="false">IF((E285="u"),H285," ")</f>
        <v> </v>
      </c>
      <c r="Z285" s="17" t="str">
        <f aca="false">IF((E285="a"),H285," ")</f>
        <v> </v>
      </c>
      <c r="AA285" s="17" t="str">
        <f aca="false">IF((E285="g"),H285," ")</f>
        <v> </v>
      </c>
      <c r="AB285" s="17" t="str">
        <f aca="false">IF((E285="h"),H285," ")</f>
        <v> </v>
      </c>
      <c r="AC285" s="30" t="str">
        <f aca="false">IF((E285="v"),H285," ")</f>
        <v> </v>
      </c>
      <c r="AD285" s="30" t="str">
        <f aca="false">IF((E285="n"),H285," ")</f>
        <v> </v>
      </c>
      <c r="AE285" s="17" t="str">
        <f aca="false">IF((E285="f"),H285," ")</f>
        <v> </v>
      </c>
      <c r="AF285" s="17" t="str">
        <f aca="false">IF((E285="l"),H285," ")</f>
        <v> </v>
      </c>
      <c r="AG285" s="17" t="str">
        <f aca="false">IF((E285="y"),H285," ")</f>
        <v> </v>
      </c>
      <c r="AH285" s="17" t="str">
        <f aca="false">IF((E285="z"),H285," ")</f>
        <v> </v>
      </c>
      <c r="AI285" s="17" t="str">
        <f aca="false">IF((E285="fa"),H285," ")</f>
        <v> </v>
      </c>
      <c r="AJ285" s="17" t="str">
        <f aca="false">IF((E285="e"),H285," ")</f>
        <v> </v>
      </c>
    </row>
    <row r="286" customFormat="false" ht="12" hidden="false" customHeight="false" outlineLevel="0" collapsed="false">
      <c r="A286" s="28"/>
      <c r="E286" s="2" t="str">
        <f aca="false">IF((F286&lt;&gt;0),"Enter Letter"," ")</f>
        <v> </v>
      </c>
      <c r="F286" s="30"/>
      <c r="G286" s="6" t="str">
        <f aca="false">IF(F286&lt;&gt;0,F286*G$2/(100+G$2)," ")</f>
        <v> </v>
      </c>
      <c r="H286" s="6" t="str">
        <f aca="false">IF((F286&lt;&gt;0),F286-G286," ")</f>
        <v> </v>
      </c>
      <c r="I286" s="5"/>
      <c r="L286" s="7" t="str">
        <f aca="false">IF(F286&lt;&gt;0,F286-K286," ")</f>
        <v> </v>
      </c>
      <c r="M286" s="8" t="str">
        <f aca="false">IF((F286-K286)&lt;&gt;0,M$1-A286," ")</f>
        <v> </v>
      </c>
      <c r="N286" s="5"/>
      <c r="O286" s="17" t="str">
        <f aca="false">IF((E286="s"),H286," ")</f>
        <v> </v>
      </c>
      <c r="P286" s="17" t="str">
        <f aca="false">IF((E286="c"),H286," ")</f>
        <v> </v>
      </c>
      <c r="Q286" s="17" t="str">
        <f aca="false">IF((E286="o"),H286," ")</f>
        <v> </v>
      </c>
      <c r="R286" s="17" t="str">
        <f aca="false">IF((E286="d"),H286," ")</f>
        <v> </v>
      </c>
      <c r="S286" s="17" t="str">
        <f aca="false">IF((E286="w"),H286," ")</f>
        <v> </v>
      </c>
      <c r="T286" s="17" t="str">
        <f aca="false">IF((E286="r"),H286," ")</f>
        <v> </v>
      </c>
      <c r="U286" s="17" t="str">
        <f aca="false">IF((E286="p"),H286," ")</f>
        <v> </v>
      </c>
      <c r="V286" s="17" t="str">
        <f aca="false">IF((E286="t"),H286," ")</f>
        <v> </v>
      </c>
      <c r="W286" s="17" t="str">
        <f aca="false">IF((E286="q"),H286," ")</f>
        <v> </v>
      </c>
      <c r="X286" s="17" t="str">
        <f aca="false">IF((E286="m"),H286," ")</f>
        <v> </v>
      </c>
      <c r="Y286" s="17" t="str">
        <f aca="false">IF((E286="u"),H286," ")</f>
        <v> </v>
      </c>
      <c r="Z286" s="17" t="str">
        <f aca="false">IF((E286="a"),H286," ")</f>
        <v> </v>
      </c>
      <c r="AA286" s="17" t="str">
        <f aca="false">IF((E286="g"),H286," ")</f>
        <v> </v>
      </c>
      <c r="AB286" s="17" t="str">
        <f aca="false">IF((E286="h"),H286," ")</f>
        <v> </v>
      </c>
      <c r="AC286" s="30" t="str">
        <f aca="false">IF((E286="v"),H286," ")</f>
        <v> </v>
      </c>
      <c r="AD286" s="30" t="str">
        <f aca="false">IF((E286="n"),H286," ")</f>
        <v> </v>
      </c>
      <c r="AE286" s="17" t="str">
        <f aca="false">IF((E286="f"),H286," ")</f>
        <v> </v>
      </c>
      <c r="AF286" s="17" t="str">
        <f aca="false">IF((E286="l"),H286," ")</f>
        <v> </v>
      </c>
      <c r="AG286" s="17" t="str">
        <f aca="false">IF((E286="y"),H286," ")</f>
        <v> </v>
      </c>
      <c r="AH286" s="17" t="str">
        <f aca="false">IF((E286="z"),H286," ")</f>
        <v> </v>
      </c>
      <c r="AI286" s="17" t="str">
        <f aca="false">IF((E286="fa"),H286," ")</f>
        <v> </v>
      </c>
      <c r="AJ286" s="17" t="str">
        <f aca="false">IF((E286="e"),H286," ")</f>
        <v> </v>
      </c>
    </row>
    <row r="287" customFormat="false" ht="12" hidden="false" customHeight="false" outlineLevel="0" collapsed="false">
      <c r="A287" s="28"/>
      <c r="E287" s="2" t="str">
        <f aca="false">IF((F287&lt;&gt;0),"Enter Letter"," ")</f>
        <v> </v>
      </c>
      <c r="F287" s="30"/>
      <c r="G287" s="6" t="str">
        <f aca="false">IF(F287&lt;&gt;0,F287*G$2/(100+G$2)," ")</f>
        <v> </v>
      </c>
      <c r="H287" s="6" t="str">
        <f aca="false">IF((F287&lt;&gt;0),F287-G287," ")</f>
        <v> </v>
      </c>
      <c r="I287" s="5"/>
      <c r="L287" s="7" t="str">
        <f aca="false">IF(F287&lt;&gt;0,F287-K287," ")</f>
        <v> </v>
      </c>
      <c r="M287" s="8" t="str">
        <f aca="false">IF((F287-K287)&lt;&gt;0,M$1-A287," ")</f>
        <v> </v>
      </c>
      <c r="N287" s="5"/>
      <c r="O287" s="17" t="str">
        <f aca="false">IF((E287="s"),H287," ")</f>
        <v> </v>
      </c>
      <c r="P287" s="17" t="str">
        <f aca="false">IF((E287="c"),H287," ")</f>
        <v> </v>
      </c>
      <c r="Q287" s="17" t="str">
        <f aca="false">IF((E287="o"),H287," ")</f>
        <v> </v>
      </c>
      <c r="R287" s="17" t="str">
        <f aca="false">IF((E287="d"),H287," ")</f>
        <v> </v>
      </c>
      <c r="S287" s="17" t="str">
        <f aca="false">IF((E287="w"),H287," ")</f>
        <v> </v>
      </c>
      <c r="T287" s="17" t="str">
        <f aca="false">IF((E287="r"),H287," ")</f>
        <v> </v>
      </c>
      <c r="U287" s="17" t="str">
        <f aca="false">IF((E287="p"),H287," ")</f>
        <v> </v>
      </c>
      <c r="V287" s="17" t="str">
        <f aca="false">IF((E287="t"),H287," ")</f>
        <v> </v>
      </c>
      <c r="W287" s="17" t="str">
        <f aca="false">IF((E287="q"),H287," ")</f>
        <v> </v>
      </c>
      <c r="X287" s="17" t="str">
        <f aca="false">IF((E287="m"),H287," ")</f>
        <v> </v>
      </c>
      <c r="Y287" s="17" t="str">
        <f aca="false">IF((E287="u"),H287," ")</f>
        <v> </v>
      </c>
      <c r="Z287" s="17" t="str">
        <f aca="false">IF((E287="a"),H287," ")</f>
        <v> </v>
      </c>
      <c r="AA287" s="17" t="str">
        <f aca="false">IF((E287="g"),H287," ")</f>
        <v> </v>
      </c>
      <c r="AB287" s="17" t="str">
        <f aca="false">IF((E287="h"),H287," ")</f>
        <v> </v>
      </c>
      <c r="AC287" s="30" t="str">
        <f aca="false">IF((E287="v"),H287," ")</f>
        <v> </v>
      </c>
      <c r="AD287" s="30" t="str">
        <f aca="false">IF((E287="n"),H287," ")</f>
        <v> </v>
      </c>
      <c r="AE287" s="17" t="str">
        <f aca="false">IF((E287="f"),H287," ")</f>
        <v> </v>
      </c>
      <c r="AF287" s="17" t="str">
        <f aca="false">IF((E287="l"),H287," ")</f>
        <v> </v>
      </c>
      <c r="AG287" s="17" t="str">
        <f aca="false">IF((E287="y"),H287," ")</f>
        <v> </v>
      </c>
      <c r="AH287" s="17" t="str">
        <f aca="false">IF((E287="z"),H287," ")</f>
        <v> </v>
      </c>
      <c r="AI287" s="17" t="str">
        <f aca="false">IF((E287="fa"),H287," ")</f>
        <v> </v>
      </c>
      <c r="AJ287" s="17" t="str">
        <f aca="false">IF((E287="e"),H287," ")</f>
        <v> </v>
      </c>
    </row>
    <row r="288" customFormat="false" ht="12" hidden="false" customHeight="false" outlineLevel="0" collapsed="false">
      <c r="A288" s="28"/>
      <c r="E288" s="2" t="str">
        <f aca="false">IF((F288&lt;&gt;0),"Enter Letter"," ")</f>
        <v> </v>
      </c>
      <c r="F288" s="30"/>
      <c r="G288" s="6" t="str">
        <f aca="false">IF(F288&lt;&gt;0,F288*G$2/(100+G$2)," ")</f>
        <v> </v>
      </c>
      <c r="H288" s="6" t="str">
        <f aca="false">IF((F288&lt;&gt;0),F288-G288," ")</f>
        <v> </v>
      </c>
      <c r="I288" s="5"/>
      <c r="L288" s="7" t="str">
        <f aca="false">IF(F288&lt;&gt;0,F288-K288," ")</f>
        <v> </v>
      </c>
      <c r="M288" s="8" t="str">
        <f aca="false">IF((F288-K288)&lt;&gt;0,M$1-A288," ")</f>
        <v> </v>
      </c>
      <c r="N288" s="5"/>
      <c r="O288" s="17" t="str">
        <f aca="false">IF((E288="s"),H288," ")</f>
        <v> </v>
      </c>
      <c r="P288" s="17" t="str">
        <f aca="false">IF((E288="c"),H288," ")</f>
        <v> </v>
      </c>
      <c r="Q288" s="17" t="str">
        <f aca="false">IF((E288="o"),H288," ")</f>
        <v> </v>
      </c>
      <c r="R288" s="17" t="str">
        <f aca="false">IF((E288="d"),H288," ")</f>
        <v> </v>
      </c>
      <c r="S288" s="17" t="str">
        <f aca="false">IF((E288="w"),H288," ")</f>
        <v> </v>
      </c>
      <c r="T288" s="17" t="str">
        <f aca="false">IF((E288="r"),H288," ")</f>
        <v> </v>
      </c>
      <c r="U288" s="17" t="str">
        <f aca="false">IF((E288="p"),H288," ")</f>
        <v> </v>
      </c>
      <c r="V288" s="17" t="str">
        <f aca="false">IF((E288="t"),H288," ")</f>
        <v> </v>
      </c>
      <c r="W288" s="17" t="str">
        <f aca="false">IF((E288="q"),H288," ")</f>
        <v> </v>
      </c>
      <c r="X288" s="17" t="str">
        <f aca="false">IF((E288="m"),H288," ")</f>
        <v> </v>
      </c>
      <c r="Y288" s="17" t="str">
        <f aca="false">IF((E288="u"),H288," ")</f>
        <v> </v>
      </c>
      <c r="Z288" s="17" t="str">
        <f aca="false">IF((E288="a"),H288," ")</f>
        <v> </v>
      </c>
      <c r="AA288" s="17" t="str">
        <f aca="false">IF((E288="g"),H288," ")</f>
        <v> </v>
      </c>
      <c r="AB288" s="17" t="str">
        <f aca="false">IF((E288="h"),H288," ")</f>
        <v> </v>
      </c>
      <c r="AC288" s="30" t="str">
        <f aca="false">IF((E288="v"),H288," ")</f>
        <v> </v>
      </c>
      <c r="AD288" s="30" t="str">
        <f aca="false">IF((E288="n"),H288," ")</f>
        <v> </v>
      </c>
      <c r="AE288" s="17" t="str">
        <f aca="false">IF((E288="f"),H288," ")</f>
        <v> </v>
      </c>
      <c r="AF288" s="17" t="str">
        <f aca="false">IF((E288="l"),H288," ")</f>
        <v> </v>
      </c>
      <c r="AG288" s="17" t="str">
        <f aca="false">IF((E288="y"),H288," ")</f>
        <v> </v>
      </c>
      <c r="AH288" s="17" t="str">
        <f aca="false">IF((E288="z"),H288," ")</f>
        <v> </v>
      </c>
      <c r="AI288" s="17" t="str">
        <f aca="false">IF((E288="fa"),H288," ")</f>
        <v> </v>
      </c>
      <c r="AJ288" s="17" t="str">
        <f aca="false">IF((E288="e"),H288," ")</f>
        <v> </v>
      </c>
    </row>
    <row r="289" customFormat="false" ht="12" hidden="false" customHeight="false" outlineLevel="0" collapsed="false">
      <c r="A289" s="28"/>
      <c r="E289" s="2" t="str">
        <f aca="false">IF((F289&lt;&gt;0),"Enter Letter"," ")</f>
        <v> </v>
      </c>
      <c r="F289" s="30"/>
      <c r="G289" s="6" t="str">
        <f aca="false">IF(F289&lt;&gt;0,F289*G$2/(100+G$2)," ")</f>
        <v> </v>
      </c>
      <c r="H289" s="6" t="str">
        <f aca="false">IF((F289&lt;&gt;0),F289-G289," ")</f>
        <v> </v>
      </c>
      <c r="I289" s="5"/>
      <c r="L289" s="7" t="str">
        <f aca="false">IF(F289&lt;&gt;0,F289-K289," ")</f>
        <v> </v>
      </c>
      <c r="M289" s="8" t="str">
        <f aca="false">IF((F289-K289)&lt;&gt;0,M$1-A289," ")</f>
        <v> </v>
      </c>
      <c r="N289" s="5"/>
      <c r="O289" s="17" t="str">
        <f aca="false">IF((E289="s"),H289," ")</f>
        <v> </v>
      </c>
      <c r="P289" s="17" t="str">
        <f aca="false">IF((E289="c"),H289," ")</f>
        <v> </v>
      </c>
      <c r="Q289" s="17" t="str">
        <f aca="false">IF((E289="o"),H289," ")</f>
        <v> </v>
      </c>
      <c r="R289" s="17" t="str">
        <f aca="false">IF((E289="d"),H289," ")</f>
        <v> </v>
      </c>
      <c r="S289" s="17" t="str">
        <f aca="false">IF((E289="w"),H289," ")</f>
        <v> </v>
      </c>
      <c r="T289" s="17" t="str">
        <f aca="false">IF((E289="r"),H289," ")</f>
        <v> </v>
      </c>
      <c r="U289" s="17" t="str">
        <f aca="false">IF((E289="p"),H289," ")</f>
        <v> </v>
      </c>
      <c r="V289" s="17" t="str">
        <f aca="false">IF((E289="t"),H289," ")</f>
        <v> </v>
      </c>
      <c r="W289" s="17" t="str">
        <f aca="false">IF((E289="q"),H289," ")</f>
        <v> </v>
      </c>
      <c r="X289" s="17" t="str">
        <f aca="false">IF((E289="m"),H289," ")</f>
        <v> </v>
      </c>
      <c r="Y289" s="17" t="str">
        <f aca="false">IF((E289="u"),H289," ")</f>
        <v> </v>
      </c>
      <c r="Z289" s="17" t="str">
        <f aca="false">IF((E289="a"),H289," ")</f>
        <v> </v>
      </c>
      <c r="AA289" s="17" t="str">
        <f aca="false">IF((E289="g"),H289," ")</f>
        <v> </v>
      </c>
      <c r="AB289" s="17" t="str">
        <f aca="false">IF((E289="h"),H289," ")</f>
        <v> </v>
      </c>
      <c r="AC289" s="30" t="str">
        <f aca="false">IF((E289="v"),H289," ")</f>
        <v> </v>
      </c>
      <c r="AD289" s="30" t="str">
        <f aca="false">IF((E289="n"),H289," ")</f>
        <v> </v>
      </c>
      <c r="AE289" s="17" t="str">
        <f aca="false">IF((E289="f"),H289," ")</f>
        <v> </v>
      </c>
      <c r="AF289" s="17" t="str">
        <f aca="false">IF((E289="l"),H289," ")</f>
        <v> </v>
      </c>
      <c r="AG289" s="17" t="str">
        <f aca="false">IF((E289="y"),H289," ")</f>
        <v> </v>
      </c>
      <c r="AH289" s="17" t="str">
        <f aca="false">IF((E289="z"),H289," ")</f>
        <v> </v>
      </c>
      <c r="AI289" s="17" t="str">
        <f aca="false">IF((E289="fa"),H289," ")</f>
        <v> </v>
      </c>
      <c r="AJ289" s="17" t="str">
        <f aca="false">IF((E289="e"),H289," ")</f>
        <v> </v>
      </c>
    </row>
    <row r="290" customFormat="false" ht="12" hidden="false" customHeight="false" outlineLevel="0" collapsed="false">
      <c r="A290" s="28"/>
      <c r="E290" s="2" t="str">
        <f aca="false">IF((F290&lt;&gt;0),"Enter Letter"," ")</f>
        <v> </v>
      </c>
      <c r="F290" s="30"/>
      <c r="G290" s="6" t="str">
        <f aca="false">IF(F290&lt;&gt;0,F290*G$2/(100+G$2)," ")</f>
        <v> </v>
      </c>
      <c r="H290" s="6" t="str">
        <f aca="false">IF((F290&lt;&gt;0),F290-G290," ")</f>
        <v> </v>
      </c>
      <c r="I290" s="5"/>
      <c r="L290" s="7" t="str">
        <f aca="false">IF(F290&lt;&gt;0,F290-K290," ")</f>
        <v> </v>
      </c>
      <c r="M290" s="8" t="str">
        <f aca="false">IF((F290-K290)&lt;&gt;0,M$1-A290," ")</f>
        <v> </v>
      </c>
      <c r="N290" s="5"/>
      <c r="O290" s="17" t="str">
        <f aca="false">IF((E290="s"),H290," ")</f>
        <v> </v>
      </c>
      <c r="P290" s="17" t="str">
        <f aca="false">IF((E290="c"),H290," ")</f>
        <v> </v>
      </c>
      <c r="Q290" s="17" t="str">
        <f aca="false">IF((E290="o"),H290," ")</f>
        <v> </v>
      </c>
      <c r="R290" s="17" t="str">
        <f aca="false">IF((E290="d"),H290," ")</f>
        <v> </v>
      </c>
      <c r="S290" s="17" t="str">
        <f aca="false">IF((E290="w"),H290," ")</f>
        <v> </v>
      </c>
      <c r="T290" s="17" t="str">
        <f aca="false">IF((E290="r"),H290," ")</f>
        <v> </v>
      </c>
      <c r="U290" s="17" t="str">
        <f aca="false">IF((E290="p"),H290," ")</f>
        <v> </v>
      </c>
      <c r="V290" s="17" t="str">
        <f aca="false">IF((E290="t"),H290," ")</f>
        <v> </v>
      </c>
      <c r="W290" s="17" t="str">
        <f aca="false">IF((E290="q"),H290," ")</f>
        <v> </v>
      </c>
      <c r="X290" s="17" t="str">
        <f aca="false">IF((E290="m"),H290," ")</f>
        <v> </v>
      </c>
      <c r="Y290" s="17" t="str">
        <f aca="false">IF((E290="u"),H290," ")</f>
        <v> </v>
      </c>
      <c r="Z290" s="17" t="str">
        <f aca="false">IF((E290="a"),H290," ")</f>
        <v> </v>
      </c>
      <c r="AA290" s="17" t="str">
        <f aca="false">IF((E290="g"),H290," ")</f>
        <v> </v>
      </c>
      <c r="AB290" s="17" t="str">
        <f aca="false">IF((E290="h"),H290," ")</f>
        <v> </v>
      </c>
      <c r="AC290" s="30" t="str">
        <f aca="false">IF((E290="v"),H290," ")</f>
        <v> </v>
      </c>
      <c r="AD290" s="30" t="str">
        <f aca="false">IF((E290="n"),H290," ")</f>
        <v> </v>
      </c>
      <c r="AE290" s="17" t="str">
        <f aca="false">IF((E290="f"),H290," ")</f>
        <v> </v>
      </c>
      <c r="AF290" s="17" t="str">
        <f aca="false">IF((E290="l"),H290," ")</f>
        <v> </v>
      </c>
      <c r="AG290" s="17" t="str">
        <f aca="false">IF((E290="y"),H290," ")</f>
        <v> </v>
      </c>
      <c r="AH290" s="17" t="str">
        <f aca="false">IF((E290="z"),H290," ")</f>
        <v> </v>
      </c>
      <c r="AI290" s="17" t="str">
        <f aca="false">IF((E290="fa"),H290," ")</f>
        <v> </v>
      </c>
      <c r="AJ290" s="17" t="str">
        <f aca="false">IF((E290="e"),H290," ")</f>
        <v> </v>
      </c>
    </row>
    <row r="291" customFormat="false" ht="12" hidden="false" customHeight="false" outlineLevel="0" collapsed="false">
      <c r="A291" s="28"/>
      <c r="E291" s="2" t="str">
        <f aca="false">IF((F291&lt;&gt;0),"Enter Letter"," ")</f>
        <v> </v>
      </c>
      <c r="F291" s="30"/>
      <c r="G291" s="6" t="str">
        <f aca="false">IF(F291&lt;&gt;0,F291*G$2/(100+G$2)," ")</f>
        <v> </v>
      </c>
      <c r="H291" s="6" t="str">
        <f aca="false">IF((F291&lt;&gt;0),F291-G291," ")</f>
        <v> </v>
      </c>
      <c r="I291" s="5"/>
      <c r="L291" s="7" t="str">
        <f aca="false">IF(F291&lt;&gt;0,F291-K291," ")</f>
        <v> </v>
      </c>
      <c r="M291" s="8" t="str">
        <f aca="false">IF((F291-K291)&lt;&gt;0,M$1-A291," ")</f>
        <v> </v>
      </c>
      <c r="N291" s="5"/>
      <c r="O291" s="17" t="str">
        <f aca="false">IF((E291="s"),H291," ")</f>
        <v> </v>
      </c>
      <c r="P291" s="17" t="str">
        <f aca="false">IF((E291="c"),H291," ")</f>
        <v> </v>
      </c>
      <c r="Q291" s="17" t="str">
        <f aca="false">IF((E291="o"),H291," ")</f>
        <v> </v>
      </c>
      <c r="R291" s="17" t="str">
        <f aca="false">IF((E291="d"),H291," ")</f>
        <v> </v>
      </c>
      <c r="S291" s="17" t="str">
        <f aca="false">IF((E291="w"),H291," ")</f>
        <v> </v>
      </c>
      <c r="T291" s="17" t="str">
        <f aca="false">IF((E291="r"),H291," ")</f>
        <v> </v>
      </c>
      <c r="U291" s="17" t="str">
        <f aca="false">IF((E291="p"),H291," ")</f>
        <v> </v>
      </c>
      <c r="V291" s="17" t="str">
        <f aca="false">IF((E291="t"),H291," ")</f>
        <v> </v>
      </c>
      <c r="W291" s="17" t="str">
        <f aca="false">IF((E291="q"),H291," ")</f>
        <v> </v>
      </c>
      <c r="X291" s="17" t="str">
        <f aca="false">IF((E291="m"),H291," ")</f>
        <v> </v>
      </c>
      <c r="Y291" s="17" t="str">
        <f aca="false">IF((E291="u"),H291," ")</f>
        <v> </v>
      </c>
      <c r="Z291" s="17" t="str">
        <f aca="false">IF((E291="a"),H291," ")</f>
        <v> </v>
      </c>
      <c r="AA291" s="17" t="str">
        <f aca="false">IF((E291="g"),H291," ")</f>
        <v> </v>
      </c>
      <c r="AB291" s="17" t="str">
        <f aca="false">IF((E291="h"),H291," ")</f>
        <v> </v>
      </c>
      <c r="AC291" s="30" t="str">
        <f aca="false">IF((E291="v"),H291," ")</f>
        <v> </v>
      </c>
      <c r="AD291" s="30" t="str">
        <f aca="false">IF((E291="n"),H291," ")</f>
        <v> </v>
      </c>
      <c r="AE291" s="17" t="str">
        <f aca="false">IF((E291="f"),H291," ")</f>
        <v> </v>
      </c>
      <c r="AF291" s="17" t="str">
        <f aca="false">IF((E291="l"),H291," ")</f>
        <v> </v>
      </c>
      <c r="AG291" s="17" t="str">
        <f aca="false">IF((E291="y"),H291," ")</f>
        <v> </v>
      </c>
      <c r="AH291" s="17" t="str">
        <f aca="false">IF((E291="z"),H291," ")</f>
        <v> </v>
      </c>
      <c r="AI291" s="17" t="str">
        <f aca="false">IF((E291="fa"),H291," ")</f>
        <v> </v>
      </c>
      <c r="AJ291" s="17" t="str">
        <f aca="false">IF((E291="e"),H291," ")</f>
        <v> </v>
      </c>
    </row>
    <row r="292" customFormat="false" ht="12" hidden="false" customHeight="false" outlineLevel="0" collapsed="false">
      <c r="A292" s="28"/>
      <c r="E292" s="2" t="str">
        <f aca="false">IF((F292&lt;&gt;0),"Enter Letter"," ")</f>
        <v> </v>
      </c>
      <c r="F292" s="30"/>
      <c r="G292" s="6" t="str">
        <f aca="false">IF(F292&lt;&gt;0,F292*G$2/(100+G$2)," ")</f>
        <v> </v>
      </c>
      <c r="H292" s="6" t="str">
        <f aca="false">IF((F292&lt;&gt;0),F292-G292," ")</f>
        <v> </v>
      </c>
      <c r="I292" s="5"/>
      <c r="L292" s="7" t="str">
        <f aca="false">IF(F292&lt;&gt;0,F292-K292," ")</f>
        <v> </v>
      </c>
      <c r="M292" s="8" t="str">
        <f aca="false">IF((F292-K292)&lt;&gt;0,M$1-A292," ")</f>
        <v> </v>
      </c>
      <c r="N292" s="5"/>
      <c r="O292" s="17" t="str">
        <f aca="false">IF((E292="s"),H292," ")</f>
        <v> </v>
      </c>
      <c r="P292" s="17" t="str">
        <f aca="false">IF((E292="c"),H292," ")</f>
        <v> </v>
      </c>
      <c r="Q292" s="17" t="str">
        <f aca="false">IF((E292="o"),H292," ")</f>
        <v> </v>
      </c>
      <c r="R292" s="17" t="str">
        <f aca="false">IF((E292="d"),H292," ")</f>
        <v> </v>
      </c>
      <c r="S292" s="17" t="str">
        <f aca="false">IF((E292="w"),H292," ")</f>
        <v> </v>
      </c>
      <c r="T292" s="17" t="str">
        <f aca="false">IF((E292="r"),H292," ")</f>
        <v> </v>
      </c>
      <c r="U292" s="17" t="str">
        <f aca="false">IF((E292="p"),H292," ")</f>
        <v> </v>
      </c>
      <c r="V292" s="17" t="str">
        <f aca="false">IF((E292="t"),H292," ")</f>
        <v> </v>
      </c>
      <c r="W292" s="17" t="str">
        <f aca="false">IF((E292="q"),H292," ")</f>
        <v> </v>
      </c>
      <c r="X292" s="17" t="str">
        <f aca="false">IF((E292="m"),H292," ")</f>
        <v> </v>
      </c>
      <c r="Y292" s="17" t="str">
        <f aca="false">IF((E292="u"),H292," ")</f>
        <v> </v>
      </c>
      <c r="Z292" s="17" t="str">
        <f aca="false">IF((E292="a"),H292," ")</f>
        <v> </v>
      </c>
      <c r="AA292" s="17" t="str">
        <f aca="false">IF((E292="g"),H292," ")</f>
        <v> </v>
      </c>
      <c r="AB292" s="17" t="str">
        <f aca="false">IF((E292="h"),H292," ")</f>
        <v> </v>
      </c>
      <c r="AC292" s="30" t="str">
        <f aca="false">IF((E292="v"),H292," ")</f>
        <v> </v>
      </c>
      <c r="AD292" s="30" t="str">
        <f aca="false">IF((E292="n"),H292," ")</f>
        <v> </v>
      </c>
      <c r="AE292" s="17" t="str">
        <f aca="false">IF((E292="f"),H292," ")</f>
        <v> </v>
      </c>
      <c r="AF292" s="17" t="str">
        <f aca="false">IF((E292="l"),H292," ")</f>
        <v> </v>
      </c>
      <c r="AG292" s="17" t="str">
        <f aca="false">IF((E292="y"),H292," ")</f>
        <v> </v>
      </c>
      <c r="AH292" s="17" t="str">
        <f aca="false">IF((E292="z"),H292," ")</f>
        <v> </v>
      </c>
      <c r="AI292" s="17" t="str">
        <f aca="false">IF((E292="fa"),H292," ")</f>
        <v> </v>
      </c>
      <c r="AJ292" s="17" t="str">
        <f aca="false">IF((E292="e"),H292," ")</f>
        <v> </v>
      </c>
    </row>
    <row r="293" customFormat="false" ht="12" hidden="false" customHeight="false" outlineLevel="0" collapsed="false">
      <c r="A293" s="28"/>
      <c r="E293" s="2" t="str">
        <f aca="false">IF((F293&lt;&gt;0),"Enter Letter"," ")</f>
        <v> </v>
      </c>
      <c r="F293" s="30"/>
      <c r="G293" s="6" t="str">
        <f aca="false">IF(F293&lt;&gt;0,F293*G$2/(100+G$2)," ")</f>
        <v> </v>
      </c>
      <c r="H293" s="6" t="str">
        <f aca="false">IF((F293&lt;&gt;0),F293-G293," ")</f>
        <v> </v>
      </c>
      <c r="I293" s="5"/>
      <c r="L293" s="7" t="str">
        <f aca="false">IF(F293&lt;&gt;0,F293-K293," ")</f>
        <v> </v>
      </c>
      <c r="M293" s="8" t="str">
        <f aca="false">IF((F293-K293)&lt;&gt;0,M$1-A293," ")</f>
        <v> </v>
      </c>
      <c r="N293" s="5"/>
      <c r="O293" s="17" t="str">
        <f aca="false">IF((E293="s"),H293," ")</f>
        <v> </v>
      </c>
      <c r="P293" s="17" t="str">
        <f aca="false">IF((E293="c"),H293," ")</f>
        <v> </v>
      </c>
      <c r="Q293" s="17" t="str">
        <f aca="false">IF((E293="o"),H293," ")</f>
        <v> </v>
      </c>
      <c r="R293" s="17" t="str">
        <f aca="false">IF((E293="d"),H293," ")</f>
        <v> </v>
      </c>
      <c r="S293" s="17" t="str">
        <f aca="false">IF((E293="w"),H293," ")</f>
        <v> </v>
      </c>
      <c r="T293" s="17" t="str">
        <f aca="false">IF((E293="r"),H293," ")</f>
        <v> </v>
      </c>
      <c r="U293" s="17" t="str">
        <f aca="false">IF((E293="p"),H293," ")</f>
        <v> </v>
      </c>
      <c r="V293" s="17" t="str">
        <f aca="false">IF((E293="t"),H293," ")</f>
        <v> </v>
      </c>
      <c r="W293" s="17" t="str">
        <f aca="false">IF((E293="q"),H293," ")</f>
        <v> </v>
      </c>
      <c r="X293" s="17" t="str">
        <f aca="false">IF((E293="m"),H293," ")</f>
        <v> </v>
      </c>
      <c r="Y293" s="17" t="str">
        <f aca="false">IF((E293="u"),H293," ")</f>
        <v> </v>
      </c>
      <c r="Z293" s="17" t="str">
        <f aca="false">IF((E293="a"),H293," ")</f>
        <v> </v>
      </c>
      <c r="AA293" s="17" t="str">
        <f aca="false">IF((E293="g"),H293," ")</f>
        <v> </v>
      </c>
      <c r="AB293" s="17" t="str">
        <f aca="false">IF((E293="h"),H293," ")</f>
        <v> </v>
      </c>
      <c r="AC293" s="30" t="str">
        <f aca="false">IF((E293="v"),H293," ")</f>
        <v> </v>
      </c>
      <c r="AD293" s="30" t="str">
        <f aca="false">IF((E293="n"),H293," ")</f>
        <v> </v>
      </c>
      <c r="AE293" s="17" t="str">
        <f aca="false">IF((E293="f"),H293," ")</f>
        <v> </v>
      </c>
      <c r="AF293" s="17" t="str">
        <f aca="false">IF((E293="l"),H293," ")</f>
        <v> </v>
      </c>
      <c r="AG293" s="17" t="str">
        <f aca="false">IF((E293="y"),H293," ")</f>
        <v> </v>
      </c>
      <c r="AH293" s="17" t="str">
        <f aca="false">IF((E293="z"),H293," ")</f>
        <v> </v>
      </c>
      <c r="AI293" s="17" t="str">
        <f aca="false">IF((E293="fa"),H293," ")</f>
        <v> </v>
      </c>
      <c r="AJ293" s="17" t="str">
        <f aca="false">IF((E293="e"),H293," ")</f>
        <v> </v>
      </c>
    </row>
    <row r="294" customFormat="false" ht="12" hidden="false" customHeight="false" outlineLevel="0" collapsed="false">
      <c r="A294" s="28"/>
      <c r="E294" s="2" t="str">
        <f aca="false">IF((F294&lt;&gt;0),"Enter Letter"," ")</f>
        <v> </v>
      </c>
      <c r="F294" s="30"/>
      <c r="G294" s="6" t="str">
        <f aca="false">IF(F294&lt;&gt;0,F294*G$2/(100+G$2)," ")</f>
        <v> </v>
      </c>
      <c r="H294" s="6" t="str">
        <f aca="false">IF((F294&lt;&gt;0),F294-G294," ")</f>
        <v> </v>
      </c>
      <c r="I294" s="5"/>
      <c r="L294" s="7" t="str">
        <f aca="false">IF(F294&lt;&gt;0,F294-K294," ")</f>
        <v> </v>
      </c>
      <c r="M294" s="8" t="str">
        <f aca="false">IF((F294-K294)&lt;&gt;0,M$1-A294," ")</f>
        <v> </v>
      </c>
      <c r="N294" s="5"/>
      <c r="O294" s="17" t="str">
        <f aca="false">IF((E294="s"),H294," ")</f>
        <v> </v>
      </c>
      <c r="P294" s="17" t="str">
        <f aca="false">IF((E294="c"),H294," ")</f>
        <v> </v>
      </c>
      <c r="Q294" s="17" t="str">
        <f aca="false">IF((E294="o"),H294," ")</f>
        <v> </v>
      </c>
      <c r="R294" s="17" t="str">
        <f aca="false">IF((E294="d"),H294," ")</f>
        <v> </v>
      </c>
      <c r="S294" s="17" t="str">
        <f aca="false">IF((E294="w"),H294," ")</f>
        <v> </v>
      </c>
      <c r="T294" s="17" t="str">
        <f aca="false">IF((E294="r"),H294," ")</f>
        <v> </v>
      </c>
      <c r="U294" s="17" t="str">
        <f aca="false">IF((E294="p"),H294," ")</f>
        <v> </v>
      </c>
      <c r="V294" s="17" t="str">
        <f aca="false">IF((E294="t"),H294," ")</f>
        <v> </v>
      </c>
      <c r="W294" s="17" t="str">
        <f aca="false">IF((E294="q"),H294," ")</f>
        <v> </v>
      </c>
      <c r="X294" s="17" t="str">
        <f aca="false">IF((E294="m"),H294," ")</f>
        <v> </v>
      </c>
      <c r="Y294" s="17" t="str">
        <f aca="false">IF((E294="u"),H294," ")</f>
        <v> </v>
      </c>
      <c r="Z294" s="17" t="str">
        <f aca="false">IF((E294="a"),H294," ")</f>
        <v> </v>
      </c>
      <c r="AA294" s="17" t="str">
        <f aca="false">IF((E294="g"),H294," ")</f>
        <v> </v>
      </c>
      <c r="AB294" s="17" t="str">
        <f aca="false">IF((E294="h"),H294," ")</f>
        <v> </v>
      </c>
      <c r="AC294" s="30" t="str">
        <f aca="false">IF((E294="v"),H294," ")</f>
        <v> </v>
      </c>
      <c r="AD294" s="30" t="str">
        <f aca="false">IF((E294="n"),H294," ")</f>
        <v> </v>
      </c>
      <c r="AE294" s="17" t="str">
        <f aca="false">IF((E294="f"),H294," ")</f>
        <v> </v>
      </c>
      <c r="AF294" s="17" t="str">
        <f aca="false">IF((E294="l"),H294," ")</f>
        <v> </v>
      </c>
      <c r="AG294" s="17" t="str">
        <f aca="false">IF((E294="y"),H294," ")</f>
        <v> </v>
      </c>
      <c r="AH294" s="17" t="str">
        <f aca="false">IF((E294="z"),H294," ")</f>
        <v> </v>
      </c>
      <c r="AI294" s="17" t="str">
        <f aca="false">IF((E294="fa"),H294," ")</f>
        <v> </v>
      </c>
      <c r="AJ294" s="17" t="str">
        <f aca="false">IF((E294="e"),H294," ")</f>
        <v> </v>
      </c>
    </row>
    <row r="295" customFormat="false" ht="12" hidden="false" customHeight="false" outlineLevel="0" collapsed="false">
      <c r="A295" s="28"/>
      <c r="E295" s="2" t="str">
        <f aca="false">IF((F295&lt;&gt;0),"Enter Letter"," ")</f>
        <v> </v>
      </c>
      <c r="F295" s="30"/>
      <c r="G295" s="6" t="str">
        <f aca="false">IF(F295&lt;&gt;0,F295*G$2/(100+G$2)," ")</f>
        <v> </v>
      </c>
      <c r="H295" s="6" t="str">
        <f aca="false">IF((F295&lt;&gt;0),F295-G295," ")</f>
        <v> </v>
      </c>
      <c r="I295" s="5"/>
      <c r="L295" s="7" t="str">
        <f aca="false">IF(F295&lt;&gt;0,F295-K295," ")</f>
        <v> </v>
      </c>
      <c r="M295" s="8" t="str">
        <f aca="false">IF((F295-K295)&lt;&gt;0,M$1-A295," ")</f>
        <v> </v>
      </c>
      <c r="N295" s="5"/>
      <c r="O295" s="17" t="str">
        <f aca="false">IF((E295="s"),H295," ")</f>
        <v> </v>
      </c>
      <c r="P295" s="17" t="str">
        <f aca="false">IF((E295="c"),H295," ")</f>
        <v> </v>
      </c>
      <c r="Q295" s="17" t="str">
        <f aca="false">IF((E295="o"),H295," ")</f>
        <v> </v>
      </c>
      <c r="R295" s="17" t="str">
        <f aca="false">IF((E295="d"),H295," ")</f>
        <v> </v>
      </c>
      <c r="S295" s="17" t="str">
        <f aca="false">IF((E295="w"),H295," ")</f>
        <v> </v>
      </c>
      <c r="T295" s="17" t="str">
        <f aca="false">IF((E295="r"),H295," ")</f>
        <v> </v>
      </c>
      <c r="U295" s="17" t="str">
        <f aca="false">IF((E295="p"),H295," ")</f>
        <v> </v>
      </c>
      <c r="V295" s="17" t="str">
        <f aca="false">IF((E295="t"),H295," ")</f>
        <v> </v>
      </c>
      <c r="W295" s="17" t="str">
        <f aca="false">IF((E295="q"),H295," ")</f>
        <v> </v>
      </c>
      <c r="X295" s="17" t="str">
        <f aca="false">IF((E295="m"),H295," ")</f>
        <v> </v>
      </c>
      <c r="Y295" s="17" t="str">
        <f aca="false">IF((E295="u"),H295," ")</f>
        <v> </v>
      </c>
      <c r="Z295" s="17" t="str">
        <f aca="false">IF((E295="a"),H295," ")</f>
        <v> </v>
      </c>
      <c r="AA295" s="17" t="str">
        <f aca="false">IF((E295="g"),H295," ")</f>
        <v> </v>
      </c>
      <c r="AB295" s="17" t="str">
        <f aca="false">IF((E295="h"),H295," ")</f>
        <v> </v>
      </c>
      <c r="AC295" s="30" t="str">
        <f aca="false">IF((E295="v"),H295," ")</f>
        <v> </v>
      </c>
      <c r="AD295" s="30" t="str">
        <f aca="false">IF((E295="n"),H295," ")</f>
        <v> </v>
      </c>
      <c r="AE295" s="17" t="str">
        <f aca="false">IF((E295="f"),H295," ")</f>
        <v> </v>
      </c>
      <c r="AF295" s="17" t="str">
        <f aca="false">IF((E295="l"),H295," ")</f>
        <v> </v>
      </c>
      <c r="AG295" s="17" t="str">
        <f aca="false">IF((E295="y"),H295," ")</f>
        <v> </v>
      </c>
      <c r="AH295" s="17" t="str">
        <f aca="false">IF((E295="z"),H295," ")</f>
        <v> </v>
      </c>
      <c r="AI295" s="17" t="str">
        <f aca="false">IF((E295="fa"),H295," ")</f>
        <v> </v>
      </c>
      <c r="AJ295" s="17" t="str">
        <f aca="false">IF((E295="e"),H295," ")</f>
        <v> </v>
      </c>
    </row>
    <row r="296" customFormat="false" ht="12" hidden="false" customHeight="false" outlineLevel="0" collapsed="false">
      <c r="A296" s="28"/>
      <c r="E296" s="2" t="str">
        <f aca="false">IF((F296&lt;&gt;0),"Enter Letter"," ")</f>
        <v> </v>
      </c>
      <c r="F296" s="30"/>
      <c r="G296" s="6" t="str">
        <f aca="false">IF(F296&lt;&gt;0,F296*G$2/(100+G$2)," ")</f>
        <v> </v>
      </c>
      <c r="H296" s="6" t="str">
        <f aca="false">IF((F296&lt;&gt;0),F296-G296," ")</f>
        <v> </v>
      </c>
      <c r="I296" s="5"/>
      <c r="L296" s="7" t="str">
        <f aca="false">IF(F296&lt;&gt;0,F296-K296," ")</f>
        <v> </v>
      </c>
      <c r="M296" s="8" t="str">
        <f aca="false">IF((F296-K296)&lt;&gt;0,M$1-A296," ")</f>
        <v> </v>
      </c>
      <c r="N296" s="5"/>
      <c r="O296" s="17" t="str">
        <f aca="false">IF((E296="s"),H296," ")</f>
        <v> </v>
      </c>
      <c r="P296" s="17" t="str">
        <f aca="false">IF((E296="c"),H296," ")</f>
        <v> </v>
      </c>
      <c r="Q296" s="17" t="str">
        <f aca="false">IF((E296="o"),H296," ")</f>
        <v> </v>
      </c>
      <c r="R296" s="17" t="str">
        <f aca="false">IF((E296="d"),H296," ")</f>
        <v> </v>
      </c>
      <c r="S296" s="17" t="str">
        <f aca="false">IF((E296="w"),H296," ")</f>
        <v> </v>
      </c>
      <c r="T296" s="17" t="str">
        <f aca="false">IF((E296="r"),H296," ")</f>
        <v> </v>
      </c>
      <c r="U296" s="17" t="str">
        <f aca="false">IF((E296="p"),H296," ")</f>
        <v> </v>
      </c>
      <c r="V296" s="17" t="str">
        <f aca="false">IF((E296="t"),H296," ")</f>
        <v> </v>
      </c>
      <c r="W296" s="17" t="str">
        <f aca="false">IF((E296="q"),H296," ")</f>
        <v> </v>
      </c>
      <c r="X296" s="17" t="str">
        <f aca="false">IF((E296="m"),H296," ")</f>
        <v> </v>
      </c>
      <c r="Y296" s="17" t="str">
        <f aca="false">IF((E296="u"),H296," ")</f>
        <v> </v>
      </c>
      <c r="Z296" s="17" t="str">
        <f aca="false">IF((E296="a"),H296," ")</f>
        <v> </v>
      </c>
      <c r="AA296" s="17" t="str">
        <f aca="false">IF((E296="g"),H296," ")</f>
        <v> </v>
      </c>
      <c r="AB296" s="17" t="str">
        <f aca="false">IF((E296="h"),H296," ")</f>
        <v> </v>
      </c>
      <c r="AC296" s="30" t="str">
        <f aca="false">IF((E296="v"),H296," ")</f>
        <v> </v>
      </c>
      <c r="AD296" s="30" t="str">
        <f aca="false">IF((E296="n"),H296," ")</f>
        <v> </v>
      </c>
      <c r="AE296" s="17" t="str">
        <f aca="false">IF((E296="f"),H296," ")</f>
        <v> </v>
      </c>
      <c r="AF296" s="17" t="str">
        <f aca="false">IF((E296="l"),H296," ")</f>
        <v> </v>
      </c>
      <c r="AG296" s="17" t="str">
        <f aca="false">IF((E296="y"),H296," ")</f>
        <v> </v>
      </c>
      <c r="AH296" s="17" t="str">
        <f aca="false">IF((E296="z"),H296," ")</f>
        <v> </v>
      </c>
      <c r="AI296" s="17" t="str">
        <f aca="false">IF((E296="fa"),H296," ")</f>
        <v> </v>
      </c>
      <c r="AJ296" s="17" t="str">
        <f aca="false">IF((E296="e"),H296," ")</f>
        <v> </v>
      </c>
    </row>
    <row r="297" customFormat="false" ht="12" hidden="false" customHeight="false" outlineLevel="0" collapsed="false">
      <c r="A297" s="28"/>
      <c r="E297" s="2" t="str">
        <f aca="false">IF((F297&lt;&gt;0),"Enter Letter"," ")</f>
        <v> </v>
      </c>
      <c r="F297" s="30"/>
      <c r="G297" s="6" t="str">
        <f aca="false">IF(F297&lt;&gt;0,F297*G$2/(100+G$2)," ")</f>
        <v> </v>
      </c>
      <c r="H297" s="6" t="str">
        <f aca="false">IF((F297&lt;&gt;0),F297-G297," ")</f>
        <v> </v>
      </c>
      <c r="I297" s="5"/>
      <c r="L297" s="7" t="str">
        <f aca="false">IF(F297&lt;&gt;0,F297-K297," ")</f>
        <v> </v>
      </c>
      <c r="M297" s="8" t="str">
        <f aca="false">IF((F297-K297)&lt;&gt;0,M$1-A297," ")</f>
        <v> </v>
      </c>
      <c r="N297" s="5"/>
      <c r="O297" s="17" t="str">
        <f aca="false">IF((E297="s"),H297," ")</f>
        <v> </v>
      </c>
      <c r="P297" s="17" t="str">
        <f aca="false">IF((E297="c"),H297," ")</f>
        <v> </v>
      </c>
      <c r="Q297" s="17" t="str">
        <f aca="false">IF((E297="o"),H297," ")</f>
        <v> </v>
      </c>
      <c r="R297" s="17" t="str">
        <f aca="false">IF((E297="d"),H297," ")</f>
        <v> </v>
      </c>
      <c r="S297" s="17" t="str">
        <f aca="false">IF((E297="w"),H297," ")</f>
        <v> </v>
      </c>
      <c r="T297" s="17" t="str">
        <f aca="false">IF((E297="r"),H297," ")</f>
        <v> </v>
      </c>
      <c r="U297" s="17" t="str">
        <f aca="false">IF((E297="p"),H297," ")</f>
        <v> </v>
      </c>
      <c r="V297" s="17" t="str">
        <f aca="false">IF((E297="t"),H297," ")</f>
        <v> </v>
      </c>
      <c r="W297" s="17" t="str">
        <f aca="false">IF((E297="q"),H297," ")</f>
        <v> </v>
      </c>
      <c r="X297" s="17" t="str">
        <f aca="false">IF((E297="m"),H297," ")</f>
        <v> </v>
      </c>
      <c r="Y297" s="17" t="str">
        <f aca="false">IF((E297="u"),H297," ")</f>
        <v> </v>
      </c>
      <c r="Z297" s="17" t="str">
        <f aca="false">IF((E297="a"),H297," ")</f>
        <v> </v>
      </c>
      <c r="AA297" s="17" t="str">
        <f aca="false">IF((E297="g"),H297," ")</f>
        <v> </v>
      </c>
      <c r="AB297" s="17" t="str">
        <f aca="false">IF((E297="h"),H297," ")</f>
        <v> </v>
      </c>
      <c r="AC297" s="30" t="str">
        <f aca="false">IF((E297="v"),H297," ")</f>
        <v> </v>
      </c>
      <c r="AD297" s="30" t="str">
        <f aca="false">IF((E297="n"),H297," ")</f>
        <v> </v>
      </c>
      <c r="AE297" s="17" t="str">
        <f aca="false">IF((E297="f"),H297," ")</f>
        <v> </v>
      </c>
      <c r="AF297" s="17" t="str">
        <f aca="false">IF((E297="l"),H297," ")</f>
        <v> </v>
      </c>
      <c r="AG297" s="17" t="str">
        <f aca="false">IF((E297="y"),H297," ")</f>
        <v> </v>
      </c>
      <c r="AH297" s="17" t="str">
        <f aca="false">IF((E297="z"),H297," ")</f>
        <v> </v>
      </c>
      <c r="AI297" s="17" t="str">
        <f aca="false">IF((E297="fa"),H297," ")</f>
        <v> </v>
      </c>
      <c r="AJ297" s="17" t="str">
        <f aca="false">IF((E297="e"),H297," ")</f>
        <v> </v>
      </c>
    </row>
    <row r="298" customFormat="false" ht="12" hidden="false" customHeight="false" outlineLevel="0" collapsed="false">
      <c r="A298" s="28"/>
      <c r="E298" s="2" t="str">
        <f aca="false">IF((F298&lt;&gt;0),"Enter Letter"," ")</f>
        <v> </v>
      </c>
      <c r="F298" s="30"/>
      <c r="G298" s="6" t="str">
        <f aca="false">IF(F298&lt;&gt;0,F298*G$2/(100+G$2)," ")</f>
        <v> </v>
      </c>
      <c r="H298" s="6" t="str">
        <f aca="false">IF((F298&lt;&gt;0),F298-G298," ")</f>
        <v> </v>
      </c>
      <c r="I298" s="5"/>
      <c r="L298" s="7" t="str">
        <f aca="false">IF(F298&lt;&gt;0,F298-K298," ")</f>
        <v> </v>
      </c>
      <c r="M298" s="8" t="str">
        <f aca="false">IF((F298-K298)&lt;&gt;0,M$1-A298," ")</f>
        <v> </v>
      </c>
      <c r="N298" s="5"/>
      <c r="O298" s="17" t="str">
        <f aca="false">IF((E298="s"),H298," ")</f>
        <v> </v>
      </c>
      <c r="P298" s="17" t="str">
        <f aca="false">IF((E298="c"),H298," ")</f>
        <v> </v>
      </c>
      <c r="Q298" s="17" t="str">
        <f aca="false">IF((E298="o"),H298," ")</f>
        <v> </v>
      </c>
      <c r="R298" s="17" t="str">
        <f aca="false">IF((E298="d"),H298," ")</f>
        <v> </v>
      </c>
      <c r="S298" s="17" t="str">
        <f aca="false">IF((E298="w"),H298," ")</f>
        <v> </v>
      </c>
      <c r="T298" s="17" t="str">
        <f aca="false">IF((E298="r"),H298," ")</f>
        <v> </v>
      </c>
      <c r="U298" s="17" t="str">
        <f aca="false">IF((E298="p"),H298," ")</f>
        <v> </v>
      </c>
      <c r="V298" s="17" t="str">
        <f aca="false">IF((E298="t"),H298," ")</f>
        <v> </v>
      </c>
      <c r="W298" s="17" t="str">
        <f aca="false">IF((E298="q"),H298," ")</f>
        <v> </v>
      </c>
      <c r="X298" s="17" t="str">
        <f aca="false">IF((E298="m"),H298," ")</f>
        <v> </v>
      </c>
      <c r="Y298" s="17" t="str">
        <f aca="false">IF((E298="u"),H298," ")</f>
        <v> </v>
      </c>
      <c r="Z298" s="17" t="str">
        <f aca="false">IF((E298="a"),H298," ")</f>
        <v> </v>
      </c>
      <c r="AA298" s="17" t="str">
        <f aca="false">IF((E298="g"),H298," ")</f>
        <v> </v>
      </c>
      <c r="AB298" s="17" t="str">
        <f aca="false">IF((E298="h"),H298," ")</f>
        <v> </v>
      </c>
      <c r="AC298" s="30" t="str">
        <f aca="false">IF((E298="v"),H298," ")</f>
        <v> </v>
      </c>
      <c r="AD298" s="30" t="str">
        <f aca="false">IF((E298="n"),H298," ")</f>
        <v> </v>
      </c>
      <c r="AE298" s="17" t="str">
        <f aca="false">IF((E298="f"),H298," ")</f>
        <v> </v>
      </c>
      <c r="AF298" s="17" t="str">
        <f aca="false">IF((E298="l"),H298," ")</f>
        <v> </v>
      </c>
      <c r="AG298" s="17" t="str">
        <f aca="false">IF((E298="y"),H298," ")</f>
        <v> </v>
      </c>
      <c r="AH298" s="17" t="str">
        <f aca="false">IF((E298="z"),H298," ")</f>
        <v> </v>
      </c>
      <c r="AI298" s="17" t="str">
        <f aca="false">IF((E298="fa"),H298," ")</f>
        <v> </v>
      </c>
      <c r="AJ298" s="17" t="str">
        <f aca="false">IF((E298="e"),H298," ")</f>
        <v> </v>
      </c>
    </row>
    <row r="299" customFormat="false" ht="12" hidden="false" customHeight="false" outlineLevel="0" collapsed="false">
      <c r="A299" s="28"/>
      <c r="E299" s="2" t="str">
        <f aca="false">IF((F299&lt;&gt;0),"Enter Letter"," ")</f>
        <v> </v>
      </c>
      <c r="F299" s="30"/>
      <c r="G299" s="6" t="str">
        <f aca="false">IF(F299&lt;&gt;0,F299*G$2/(100+G$2)," ")</f>
        <v> </v>
      </c>
      <c r="H299" s="6" t="str">
        <f aca="false">IF((F299&lt;&gt;0),F299-G299," ")</f>
        <v> </v>
      </c>
      <c r="I299" s="5"/>
      <c r="L299" s="7" t="str">
        <f aca="false">IF(F299&lt;&gt;0,F299-K299," ")</f>
        <v> </v>
      </c>
      <c r="M299" s="8" t="str">
        <f aca="false">IF((F299-K299)&lt;&gt;0,M$1-A299," ")</f>
        <v> </v>
      </c>
      <c r="N299" s="5"/>
      <c r="O299" s="17" t="str">
        <f aca="false">IF((E299="s"),H299," ")</f>
        <v> </v>
      </c>
      <c r="P299" s="17" t="str">
        <f aca="false">IF((E299="c"),H299," ")</f>
        <v> </v>
      </c>
      <c r="Q299" s="17" t="str">
        <f aca="false">IF((E299="o"),H299," ")</f>
        <v> </v>
      </c>
      <c r="R299" s="17" t="str">
        <f aca="false">IF((E299="d"),H299," ")</f>
        <v> </v>
      </c>
      <c r="S299" s="17" t="str">
        <f aca="false">IF((E299="w"),H299," ")</f>
        <v> </v>
      </c>
      <c r="T299" s="17" t="str">
        <f aca="false">IF((E299="r"),H299," ")</f>
        <v> </v>
      </c>
      <c r="U299" s="17" t="str">
        <f aca="false">IF((E299="p"),H299," ")</f>
        <v> </v>
      </c>
      <c r="V299" s="17" t="str">
        <f aca="false">IF((E299="t"),H299," ")</f>
        <v> </v>
      </c>
      <c r="W299" s="17" t="str">
        <f aca="false">IF((E299="q"),H299," ")</f>
        <v> </v>
      </c>
      <c r="X299" s="17" t="str">
        <f aca="false">IF((E299="m"),H299," ")</f>
        <v> </v>
      </c>
      <c r="Y299" s="17" t="str">
        <f aca="false">IF((E299="u"),H299," ")</f>
        <v> </v>
      </c>
      <c r="Z299" s="17" t="str">
        <f aca="false">IF((E299="a"),H299," ")</f>
        <v> </v>
      </c>
      <c r="AA299" s="17" t="str">
        <f aca="false">IF((E299="g"),H299," ")</f>
        <v> </v>
      </c>
      <c r="AB299" s="17" t="str">
        <f aca="false">IF((E299="h"),H299," ")</f>
        <v> </v>
      </c>
      <c r="AC299" s="30" t="str">
        <f aca="false">IF((E299="v"),H299," ")</f>
        <v> </v>
      </c>
      <c r="AD299" s="30" t="str">
        <f aca="false">IF((E299="n"),H299," ")</f>
        <v> </v>
      </c>
      <c r="AE299" s="17" t="str">
        <f aca="false">IF((E299="f"),H299," ")</f>
        <v> </v>
      </c>
      <c r="AF299" s="17" t="str">
        <f aca="false">IF((E299="l"),H299," ")</f>
        <v> </v>
      </c>
      <c r="AG299" s="17" t="str">
        <f aca="false">IF((E299="y"),H299," ")</f>
        <v> </v>
      </c>
      <c r="AH299" s="17" t="str">
        <f aca="false">IF((E299="z"),H299," ")</f>
        <v> </v>
      </c>
      <c r="AI299" s="17" t="str">
        <f aca="false">IF((E299="fa"),H299," ")</f>
        <v> </v>
      </c>
      <c r="AJ299" s="17" t="str">
        <f aca="false">IF((E299="e"),H299," ")</f>
        <v> </v>
      </c>
    </row>
    <row r="300" customFormat="false" ht="12" hidden="false" customHeight="false" outlineLevel="0" collapsed="false">
      <c r="A300" s="32"/>
      <c r="B300" s="33"/>
      <c r="C300" s="34"/>
      <c r="D300" s="33"/>
      <c r="E300" s="46" t="str">
        <f aca="false">IF((F300&lt;&gt;0),"Enter Letter"," ")</f>
        <v> </v>
      </c>
      <c r="F300" s="47"/>
      <c r="G300" s="36" t="str">
        <f aca="false">IF(F300&lt;&gt;0,F300*G$2/(100+G$2)," ")</f>
        <v> </v>
      </c>
      <c r="H300" s="36" t="str">
        <f aca="false">IF((F300&lt;&gt;0),F300-G300," ")</f>
        <v> </v>
      </c>
      <c r="I300" s="48"/>
      <c r="J300" s="36"/>
      <c r="K300" s="36"/>
      <c r="L300" s="37" t="str">
        <f aca="false">IF(F300&lt;&gt;0,F300-K300," ")</f>
        <v> </v>
      </c>
      <c r="M300" s="38" t="str">
        <f aca="false">IF((F300-K300)&lt;&gt;0,M$1-A300," ")</f>
        <v> </v>
      </c>
      <c r="N300" s="48"/>
      <c r="O300" s="49" t="str">
        <f aca="false">IF((E300="s"),H300," ")</f>
        <v> </v>
      </c>
      <c r="P300" s="49" t="str">
        <f aca="false">IF((E300="c"),H300," ")</f>
        <v> </v>
      </c>
      <c r="Q300" s="49" t="str">
        <f aca="false">IF((E300="o"),H300," ")</f>
        <v> </v>
      </c>
      <c r="R300" s="49" t="str">
        <f aca="false">IF((E300="d"),H300," ")</f>
        <v> </v>
      </c>
      <c r="S300" s="49" t="str">
        <f aca="false">IF((E300="w"),H300," ")</f>
        <v> </v>
      </c>
      <c r="T300" s="49" t="str">
        <f aca="false">IF((E300="r"),H300," ")</f>
        <v> </v>
      </c>
      <c r="U300" s="49" t="str">
        <f aca="false">IF((E300="p"),H300," ")</f>
        <v> </v>
      </c>
      <c r="V300" s="49" t="str">
        <f aca="false">IF((E300="t"),H300," ")</f>
        <v> </v>
      </c>
      <c r="W300" s="49" t="str">
        <f aca="false">IF((E300="q"),H300," ")</f>
        <v> </v>
      </c>
      <c r="X300" s="49" t="str">
        <f aca="false">IF((E300="m"),H300," ")</f>
        <v> </v>
      </c>
      <c r="Y300" s="49" t="str">
        <f aca="false">IF((E300="u"),H300," ")</f>
        <v> </v>
      </c>
      <c r="Z300" s="49" t="str">
        <f aca="false">IF((E300="a"),H300," ")</f>
        <v> </v>
      </c>
      <c r="AA300" s="49" t="str">
        <f aca="false">IF((E300="g"),H300," ")</f>
        <v> </v>
      </c>
      <c r="AB300" s="49" t="str">
        <f aca="false">IF((E300="h"),H300," ")</f>
        <v> </v>
      </c>
      <c r="AC300" s="47" t="str">
        <f aca="false">IF((E300="v"),H300," ")</f>
        <v> </v>
      </c>
      <c r="AD300" s="47" t="str">
        <f aca="false">IF((E300="n"),H300," ")</f>
        <v> </v>
      </c>
      <c r="AE300" s="49" t="str">
        <f aca="false">IF((E300="f"),H300," ")</f>
        <v> </v>
      </c>
      <c r="AF300" s="49" t="str">
        <f aca="false">IF((E300="l"),H300," ")</f>
        <v> </v>
      </c>
      <c r="AG300" s="49" t="str">
        <f aca="false">IF((E300="y"),H300," ")</f>
        <v> </v>
      </c>
      <c r="AH300" s="49" t="str">
        <f aca="false">IF((E300="z"),H300," ")</f>
        <v> </v>
      </c>
      <c r="AI300" s="49" t="str">
        <f aca="false">IF((E300="fa"),H300," ")</f>
        <v> </v>
      </c>
      <c r="AJ300" s="49" t="str">
        <f aca="false">IF((E300="e"),H300," ")</f>
        <v> </v>
      </c>
      <c r="AK300" s="49"/>
      <c r="AL300" s="49"/>
    </row>
    <row r="301" customFormat="false" ht="12" hidden="false" customHeight="false" outlineLevel="0" collapsed="false">
      <c r="A301" s="28"/>
    </row>
  </sheetData>
  <mergeCells count="37">
    <mergeCell ref="C1:C4"/>
    <mergeCell ref="D1:E1"/>
    <mergeCell ref="I1:I4"/>
    <mergeCell ref="J1:J4"/>
    <mergeCell ref="N1:N4"/>
    <mergeCell ref="AJ1:AJ4"/>
    <mergeCell ref="A2:A4"/>
    <mergeCell ref="B2:B4"/>
    <mergeCell ref="D2:D4"/>
    <mergeCell ref="E2:E4"/>
    <mergeCell ref="F2:F4"/>
    <mergeCell ref="H2:H4"/>
    <mergeCell ref="K2:M2"/>
    <mergeCell ref="O2:Q2"/>
    <mergeCell ref="R2:R3"/>
    <mergeCell ref="S2:S3"/>
    <mergeCell ref="T2:U2"/>
    <mergeCell ref="V2:V3"/>
    <mergeCell ref="W2:W3"/>
    <mergeCell ref="X2:X3"/>
    <mergeCell ref="Y2:Y3"/>
    <mergeCell ref="Z2:Z3"/>
    <mergeCell ref="AA2:AA3"/>
    <mergeCell ref="AB2:AB3"/>
    <mergeCell ref="AC2:AC3"/>
    <mergeCell ref="AD2:AD3"/>
    <mergeCell ref="AE2:AE3"/>
    <mergeCell ref="AF2:AF3"/>
    <mergeCell ref="AG2:AG3"/>
    <mergeCell ref="AH2:AH3"/>
    <mergeCell ref="AI2:AI3"/>
    <mergeCell ref="AK2:AL2"/>
    <mergeCell ref="G3:G4"/>
    <mergeCell ref="K3:K4"/>
    <mergeCell ref="L3:L4"/>
    <mergeCell ref="M3:M4"/>
    <mergeCell ref="AK3:AL3"/>
  </mergeCells>
  <dataValidations count="4">
    <dataValidation allowBlank="true" error="While dates outside the financial year can be accepted for valid transactions the date may not have been entered in the correct format.&#10;&#10;CORRECT DATE FORMAT IS DD/MM/YY&#10;&#10;Example 25/12/08 then appears as 25-Dec-08&#10;" errorStyle="stop" errorTitle="DATE ERROR" operator="between" showDropDown="false" showErrorMessage="true" showInputMessage="false" sqref="A5:A300" type="date">
      <formula1>38353</formula1>
      <formula2>53327</formula2>
    </dataValidation>
    <dataValidation allowBlank="true" errorStyle="stop" operator="between" prompt="Entries below the line are not included in column totals or analysed.&#10;&#10;To accomodate additional entries the formulae in column totals need changing and sales analysis columns formulae added " promptTitle="PLEASE NOTE" showDropDown="false" showErrorMessage="true" showInputMessage="true" sqref="A301" type="none">
      <formula1>0</formula1>
      <formula2>0</formula2>
    </dataValidation>
    <dataValidation allowBlank="true" errorStyle="stop" operator="between" prompt="An amount in this cell is an indication column H does not equal column F minus G or the analysis in columns O to AI does not add up to total in column H&#10;&#10;CHECK ENTRY CODE LETTERS or ANY MANUAL ENTRIES IN COL G to H and COL O to AI&#10;" promptTitle="ERROR ALERT" showDropDown="false" showErrorMessage="true" showInputMessage="true" sqref="A1" type="none">
      <formula1>0</formula1>
      <formula2>0</formula2>
    </dataValidation>
    <dataValidation allowBlank="true" errorStyle="stop" operator="between" showDropDown="false" showErrorMessage="true" showInputMessage="false" sqref="E5:E300" type="list">
      <formula1>$O$4:$AI$4</formula1>
      <formula2>0</formula2>
    </dataValidation>
  </dataValidations>
  <printOptions headings="false" gridLines="true" gridLinesSet="true" horizontalCentered="false" verticalCentered="false"/>
  <pageMargins left="0.118055555555556" right="0.0784722222222222" top="0.590277777777778" bottom="0.590277777777778" header="0.196527777777778" footer="0.196527777777778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&amp;C&amp;"Arial,Bold"&amp;11Costs and Expenses</oddHeader>
    <oddFooter>&amp;L&amp;D  &amp;T&amp;C&amp;P  of  &amp;N&amp;R&amp;F  &amp;A</oddFooter>
  </headerFooter>
  <colBreaks count="1" manualBreakCount="1">
    <brk id="24" man="true" max="65535" min="0"/>
  </colBreaks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Z3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625" defaultRowHeight="12" zeroHeight="false" outlineLevelRow="0" outlineLevelCol="0"/>
  <cols>
    <col collapsed="false" customWidth="true" hidden="false" outlineLevel="0" max="1" min="1" style="1" width="8.82"/>
    <col collapsed="false" customWidth="true" hidden="false" outlineLevel="0" max="2" min="2" style="2" width="18.66"/>
    <col collapsed="false" customWidth="true" hidden="false" outlineLevel="0" max="3" min="3" style="3" width="12.66"/>
    <col collapsed="false" customWidth="true" hidden="false" outlineLevel="0" max="4" min="4" style="2" width="14.66"/>
    <col collapsed="false" customWidth="true" hidden="false" outlineLevel="0" max="5" min="5" style="5" width="9.66"/>
    <col collapsed="false" customWidth="true" hidden="false" outlineLevel="0" max="6" min="6" style="6" width="10.5"/>
    <col collapsed="false" customWidth="true" hidden="false" outlineLevel="0" max="7" min="7" style="6" width="9.66"/>
    <col collapsed="false" customWidth="true" hidden="false" outlineLevel="0" max="8" min="8" style="6" width="10.66"/>
    <col collapsed="false" customWidth="true" hidden="false" outlineLevel="0" max="9" min="9" style="6" width="0.82"/>
    <col collapsed="false" customWidth="true" hidden="false" outlineLevel="0" max="10" min="10" style="6" width="9.99"/>
    <col collapsed="false" customWidth="true" hidden="false" outlineLevel="0" max="11" min="11" style="6" width="9.66"/>
    <col collapsed="false" customWidth="true" hidden="false" outlineLevel="0" max="12" min="12" style="7" width="9.66"/>
    <col collapsed="false" customWidth="true" hidden="false" outlineLevel="0" max="13" min="13" style="8" width="9.49"/>
    <col collapsed="false" customWidth="true" hidden="false" outlineLevel="0" max="14" min="14" style="6" width="0.82"/>
    <col collapsed="false" customWidth="true" hidden="false" outlineLevel="0" max="23" min="15" style="17" width="9.66"/>
    <col collapsed="false" customWidth="true" hidden="false" outlineLevel="0" max="28" min="24" style="17" width="10.5"/>
    <col collapsed="false" customWidth="true" hidden="false" outlineLevel="0" max="30" min="29" style="39" width="10.5"/>
    <col collapsed="false" customWidth="true" hidden="false" outlineLevel="0" max="36" min="31" style="17" width="10.5"/>
    <col collapsed="false" customWidth="false" hidden="false" outlineLevel="0" max="37" min="37" style="17" width="9.15"/>
    <col collapsed="false" customWidth="true" hidden="false" outlineLevel="0" max="38" min="38" style="17" width="12.66"/>
    <col collapsed="false" customWidth="false" hidden="false" outlineLevel="0" max="257" min="39" style="2" width="9.15"/>
  </cols>
  <sheetData>
    <row r="1" s="17" customFormat="true" ht="12.75" hidden="false" customHeight="true" outlineLevel="0" collapsed="false">
      <c r="A1" s="40" t="n">
        <f aca="false">F1-G1-SUM(O1:AJ1)</f>
        <v>0</v>
      </c>
      <c r="B1" s="41" t="s">
        <v>22</v>
      </c>
      <c r="C1" s="20" t="s">
        <v>5</v>
      </c>
      <c r="D1" s="42" t="s">
        <v>23</v>
      </c>
      <c r="E1" s="42"/>
      <c r="F1" s="12" t="n">
        <f aca="false">SUM(F5:F300)</f>
        <v>3726.5</v>
      </c>
      <c r="G1" s="12" t="n">
        <f aca="false">SUM(G5:G300)</f>
        <v>621.083333333333</v>
      </c>
      <c r="H1" s="12" t="n">
        <f aca="false">SUM(H5:H300)</f>
        <v>3105.41666666667</v>
      </c>
      <c r="I1" s="13"/>
      <c r="J1" s="14" t="s">
        <v>2</v>
      </c>
      <c r="K1" s="15" t="n">
        <f aca="false">SUM(K5:K300)</f>
        <v>0</v>
      </c>
      <c r="L1" s="15" t="n">
        <f aca="false">SUM(L5:L300)</f>
        <v>3726.5</v>
      </c>
      <c r="M1" s="16" t="n">
        <f aca="true">TODAY()</f>
        <v>46278</v>
      </c>
      <c r="N1" s="13"/>
      <c r="O1" s="12" t="n">
        <f aca="false">SUM(O5:O300)</f>
        <v>250</v>
      </c>
      <c r="P1" s="12" t="n">
        <f aca="false">SUM(P5:P300)</f>
        <v>0</v>
      </c>
      <c r="Q1" s="12" t="n">
        <f aca="false">SUM(Q5:Q300)</f>
        <v>207.5</v>
      </c>
      <c r="R1" s="12" t="n">
        <f aca="false">SUM(R5:R300)</f>
        <v>0</v>
      </c>
      <c r="S1" s="12" t="n">
        <f aca="false">SUM(S5:S300)</f>
        <v>0</v>
      </c>
      <c r="T1" s="12" t="n">
        <f aca="false">SUM(T5:T300)</f>
        <v>1000</v>
      </c>
      <c r="U1" s="12" t="n">
        <f aca="false">SUM(U5:U300)</f>
        <v>300</v>
      </c>
      <c r="V1" s="12" t="n">
        <f aca="false">SUM(V5:V300)</f>
        <v>120</v>
      </c>
      <c r="W1" s="12" t="n">
        <f aca="false">SUM(W5:W300)</f>
        <v>0</v>
      </c>
      <c r="X1" s="12" t="n">
        <f aca="false">SUM(X5:X300)</f>
        <v>0</v>
      </c>
      <c r="Y1" s="12" t="n">
        <f aca="false">SUM(Y5:Y300)</f>
        <v>95.8333333333333</v>
      </c>
      <c r="Z1" s="12" t="n">
        <f aca="false">SUM(Z5:Z300)</f>
        <v>0</v>
      </c>
      <c r="AA1" s="12" t="n">
        <f aca="false">SUM(AA5:AA300)</f>
        <v>132.5</v>
      </c>
      <c r="AB1" s="12" t="n">
        <f aca="false">SUM(AB5:AB300)</f>
        <v>76.6666666666667</v>
      </c>
      <c r="AC1" s="12" t="n">
        <f aca="false">SUM(AC5:AC300)</f>
        <v>568.75</v>
      </c>
      <c r="AD1" s="12" t="n">
        <f aca="false">SUM(AD5:AD300)</f>
        <v>0</v>
      </c>
      <c r="AE1" s="12" t="n">
        <f aca="false">SUM(AE5:AE300)</f>
        <v>0</v>
      </c>
      <c r="AF1" s="12" t="n">
        <f aca="false">SUM(AF5:AF300)</f>
        <v>354.166666666667</v>
      </c>
      <c r="AG1" s="12" t="n">
        <f aca="false">SUM(AG5:AG300)</f>
        <v>0</v>
      </c>
      <c r="AH1" s="12" t="n">
        <f aca="false">SUM(AH5:AH300)</f>
        <v>0</v>
      </c>
      <c r="AI1" s="12" t="n">
        <f aca="false">SUM(AI5:AI300)</f>
        <v>0</v>
      </c>
      <c r="AJ1" s="12" t="n">
        <f aca="false">SUM(AJ5:AJ300)</f>
        <v>0</v>
      </c>
      <c r="AK1" s="12" t="n">
        <f aca="false">SUM(AK5:AK300)</f>
        <v>0</v>
      </c>
      <c r="AL1" s="43"/>
    </row>
    <row r="2" s="17" customFormat="true" ht="13.5" hidden="false" customHeight="true" outlineLevel="0" collapsed="false">
      <c r="A2" s="18" t="s">
        <v>3</v>
      </c>
      <c r="B2" s="19" t="s">
        <v>4</v>
      </c>
      <c r="C2" s="20"/>
      <c r="D2" s="21" t="s">
        <v>6</v>
      </c>
      <c r="E2" s="21" t="s">
        <v>24</v>
      </c>
      <c r="F2" s="19" t="s">
        <v>7</v>
      </c>
      <c r="G2" s="22" t="n">
        <f aca="false">IF([2]Oct!$G$4&gt;0,0,[2]Oct!$G$2)</f>
        <v>20</v>
      </c>
      <c r="H2" s="19" t="s">
        <v>8</v>
      </c>
      <c r="I2" s="13"/>
      <c r="J2" s="14"/>
      <c r="K2" s="23" t="s">
        <v>9</v>
      </c>
      <c r="L2" s="23"/>
      <c r="M2" s="23"/>
      <c r="N2" s="13"/>
      <c r="O2" s="19" t="s">
        <v>25</v>
      </c>
      <c r="P2" s="19"/>
      <c r="Q2" s="19"/>
      <c r="R2" s="19" t="s">
        <v>26</v>
      </c>
      <c r="S2" s="19" t="s">
        <v>27</v>
      </c>
      <c r="T2" s="19" t="s">
        <v>28</v>
      </c>
      <c r="U2" s="19"/>
      <c r="V2" s="19" t="s">
        <v>29</v>
      </c>
      <c r="W2" s="19" t="s">
        <v>30</v>
      </c>
      <c r="X2" s="19" t="s">
        <v>31</v>
      </c>
      <c r="Y2" s="19" t="s">
        <v>32</v>
      </c>
      <c r="Z2" s="19" t="s">
        <v>33</v>
      </c>
      <c r="AA2" s="19" t="s">
        <v>34</v>
      </c>
      <c r="AB2" s="19" t="s">
        <v>35</v>
      </c>
      <c r="AC2" s="19" t="s">
        <v>36</v>
      </c>
      <c r="AD2" s="19" t="s">
        <v>37</v>
      </c>
      <c r="AE2" s="19" t="s">
        <v>38</v>
      </c>
      <c r="AF2" s="19" t="s">
        <v>39</v>
      </c>
      <c r="AG2" s="19" t="s">
        <v>40</v>
      </c>
      <c r="AH2" s="19" t="s">
        <v>41</v>
      </c>
      <c r="AI2" s="50" t="n">
        <f aca="false">Nov!AI1+Dec!AI1+Jan!AI1+Feb!AI1+Mar!AI1+Apr!AI1+May!AI1+Jun!AI1+Jul!AI1+Aug!AI1+Sep!AI1+Oct!AI1</f>
        <v>52500</v>
      </c>
      <c r="AJ2" s="12" t="s">
        <v>43</v>
      </c>
      <c r="AK2" s="19" t="s">
        <v>44</v>
      </c>
      <c r="AL2" s="19"/>
    </row>
    <row r="3" s="26" customFormat="true" ht="34.5" hidden="false" customHeight="true" outlineLevel="0" collapsed="false">
      <c r="A3" s="18"/>
      <c r="B3" s="19"/>
      <c r="C3" s="20"/>
      <c r="D3" s="21"/>
      <c r="E3" s="21"/>
      <c r="F3" s="19"/>
      <c r="G3" s="19" t="s">
        <v>10</v>
      </c>
      <c r="H3" s="19"/>
      <c r="I3" s="13"/>
      <c r="J3" s="14"/>
      <c r="K3" s="24" t="s">
        <v>11</v>
      </c>
      <c r="L3" s="24" t="s">
        <v>12</v>
      </c>
      <c r="M3" s="25" t="s">
        <v>13</v>
      </c>
      <c r="N3" s="13"/>
      <c r="O3" s="21" t="s">
        <v>45</v>
      </c>
      <c r="P3" s="21" t="s">
        <v>46</v>
      </c>
      <c r="Q3" s="21" t="s">
        <v>47</v>
      </c>
      <c r="R3" s="19"/>
      <c r="S3" s="19"/>
      <c r="T3" s="21" t="s">
        <v>48</v>
      </c>
      <c r="U3" s="21" t="s">
        <v>49</v>
      </c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50" t="s">
        <v>42</v>
      </c>
      <c r="AJ3" s="12"/>
      <c r="AK3" s="19" t="s">
        <v>50</v>
      </c>
      <c r="AL3" s="19"/>
    </row>
    <row r="4" s="27" customFormat="true" ht="12.75" hidden="false" customHeight="true" outlineLevel="0" collapsed="false">
      <c r="A4" s="18"/>
      <c r="B4" s="19"/>
      <c r="C4" s="20"/>
      <c r="D4" s="21"/>
      <c r="E4" s="21"/>
      <c r="F4" s="19"/>
      <c r="G4" s="19"/>
      <c r="H4" s="19"/>
      <c r="I4" s="13"/>
      <c r="J4" s="14"/>
      <c r="K4" s="24"/>
      <c r="L4" s="24"/>
      <c r="M4" s="24"/>
      <c r="N4" s="13"/>
      <c r="O4" s="44" t="s">
        <v>51</v>
      </c>
      <c r="P4" s="44" t="s">
        <v>52</v>
      </c>
      <c r="Q4" s="44" t="s">
        <v>53</v>
      </c>
      <c r="R4" s="44" t="s">
        <v>54</v>
      </c>
      <c r="S4" s="44" t="s">
        <v>55</v>
      </c>
      <c r="T4" s="44" t="s">
        <v>56</v>
      </c>
      <c r="U4" s="44" t="s">
        <v>57</v>
      </c>
      <c r="V4" s="44" t="s">
        <v>58</v>
      </c>
      <c r="W4" s="44" t="s">
        <v>59</v>
      </c>
      <c r="X4" s="44" t="s">
        <v>60</v>
      </c>
      <c r="Y4" s="44" t="s">
        <v>61</v>
      </c>
      <c r="Z4" s="44" t="s">
        <v>62</v>
      </c>
      <c r="AA4" s="44" t="s">
        <v>63</v>
      </c>
      <c r="AB4" s="44" t="s">
        <v>64</v>
      </c>
      <c r="AC4" s="45" t="s">
        <v>65</v>
      </c>
      <c r="AD4" s="45" t="s">
        <v>66</v>
      </c>
      <c r="AE4" s="44" t="s">
        <v>67</v>
      </c>
      <c r="AF4" s="44" t="s">
        <v>68</v>
      </c>
      <c r="AG4" s="44" t="s">
        <v>69</v>
      </c>
      <c r="AH4" s="44" t="s">
        <v>70</v>
      </c>
      <c r="AI4" s="44" t="s">
        <v>71</v>
      </c>
      <c r="AJ4" s="12" t="s">
        <v>72</v>
      </c>
      <c r="AK4" s="19" t="s">
        <v>73</v>
      </c>
      <c r="AL4" s="19" t="s">
        <v>74</v>
      </c>
    </row>
    <row r="5" s="5" customFormat="true" ht="12" hidden="false" customHeight="false" outlineLevel="0" collapsed="false">
      <c r="A5" s="28" t="n">
        <v>46661</v>
      </c>
      <c r="B5" s="2" t="s">
        <v>14</v>
      </c>
      <c r="C5" s="3"/>
      <c r="D5" s="2" t="s">
        <v>75</v>
      </c>
      <c r="E5" s="2" t="s">
        <v>76</v>
      </c>
      <c r="F5" s="30" t="n">
        <v>1200</v>
      </c>
      <c r="G5" s="6" t="n">
        <f aca="false">IF(F5&lt;&gt;0,F5*G$2/(100+G$2)," ")</f>
        <v>200</v>
      </c>
      <c r="H5" s="6" t="n">
        <f aca="false">IF((F5&lt;&gt;0),F5-G5," ")</f>
        <v>1000</v>
      </c>
      <c r="J5" s="6"/>
      <c r="K5" s="6"/>
      <c r="L5" s="7" t="n">
        <f aca="false">IF(F5&lt;&gt;0,F5-K5," ")</f>
        <v>1200</v>
      </c>
      <c r="M5" s="8" t="n">
        <f aca="false">IF((F5-K5)&lt;&gt;0,M$1-A5," ")</f>
        <v>-383</v>
      </c>
      <c r="O5" s="17" t="str">
        <f aca="false">IF((E5="s"),H5," ")</f>
        <v> </v>
      </c>
      <c r="P5" s="17" t="str">
        <f aca="false">IF((E5="c"),H5," ")</f>
        <v> </v>
      </c>
      <c r="Q5" s="17" t="str">
        <f aca="false">IF((E5="o"),H5," ")</f>
        <v> </v>
      </c>
      <c r="R5" s="17" t="str">
        <f aca="false">IF((E5="d"),H5," ")</f>
        <v> </v>
      </c>
      <c r="S5" s="17" t="str">
        <f aca="false">IF((E5="w"),H5," ")</f>
        <v> </v>
      </c>
      <c r="T5" s="17" t="n">
        <f aca="false">IF((E5="r"),H5," ")</f>
        <v>1000</v>
      </c>
      <c r="U5" s="17" t="str">
        <f aca="false">IF((E5="p"),H5," ")</f>
        <v> </v>
      </c>
      <c r="V5" s="17" t="str">
        <f aca="false">IF((E5="t"),H5," ")</f>
        <v> </v>
      </c>
      <c r="W5" s="17" t="str">
        <f aca="false">IF((E5="q"),H5," ")</f>
        <v> </v>
      </c>
      <c r="X5" s="17" t="str">
        <f aca="false">IF((E5="m"),H5," ")</f>
        <v> </v>
      </c>
      <c r="Y5" s="17" t="str">
        <f aca="false">IF((E5="u"),H5," ")</f>
        <v> </v>
      </c>
      <c r="Z5" s="17" t="str">
        <f aca="false">IF((E5="a"),H5," ")</f>
        <v> </v>
      </c>
      <c r="AA5" s="17" t="str">
        <f aca="false">IF((E5="g"),H5," ")</f>
        <v> </v>
      </c>
      <c r="AB5" s="17" t="str">
        <f aca="false">IF((E5="h"),H5," ")</f>
        <v> </v>
      </c>
      <c r="AC5" s="30" t="str">
        <f aca="false">IF((E5="v"),H5," ")</f>
        <v> </v>
      </c>
      <c r="AD5" s="30" t="str">
        <f aca="false">IF((E5="n"),H5," ")</f>
        <v> </v>
      </c>
      <c r="AE5" s="17" t="str">
        <f aca="false">IF((E5="f"),H5," ")</f>
        <v> </v>
      </c>
      <c r="AF5" s="17" t="str">
        <f aca="false">IF((E5="l"),H5," ")</f>
        <v> </v>
      </c>
      <c r="AG5" s="17" t="str">
        <f aca="false">IF((E5="y"),H5," ")</f>
        <v> </v>
      </c>
      <c r="AH5" s="17" t="str">
        <f aca="false">IF((E5="z"),H5," ")</f>
        <v> </v>
      </c>
      <c r="AI5" s="17" t="str">
        <f aca="false">IF((E5="fa"),H5," ")</f>
        <v> </v>
      </c>
      <c r="AJ5" s="17" t="str">
        <f aca="false">IF((E5="e"),H5," ")</f>
        <v> </v>
      </c>
      <c r="AK5" s="17"/>
      <c r="AL5" s="17"/>
      <c r="BZ5" s="5" t="s">
        <v>77</v>
      </c>
    </row>
    <row r="6" customFormat="false" ht="12" hidden="false" customHeight="false" outlineLevel="0" collapsed="false">
      <c r="A6" s="28" t="n">
        <v>46661</v>
      </c>
      <c r="B6" s="2" t="s">
        <v>78</v>
      </c>
      <c r="D6" s="2" t="s">
        <v>79</v>
      </c>
      <c r="E6" s="2" t="s">
        <v>80</v>
      </c>
      <c r="F6" s="30" t="n">
        <v>30</v>
      </c>
      <c r="G6" s="6" t="n">
        <f aca="false">IF(F6&lt;&gt;0,F6*G$2/(100+G$2)," ")</f>
        <v>5</v>
      </c>
      <c r="H6" s="6" t="n">
        <f aca="false">IF((F6&lt;&gt;0),F6-G6," ")</f>
        <v>25</v>
      </c>
      <c r="I6" s="5"/>
      <c r="L6" s="7" t="n">
        <f aca="false">IF(F6&lt;&gt;0,F6-K6," ")</f>
        <v>30</v>
      </c>
      <c r="M6" s="8" t="n">
        <f aca="false">IF((F6-K6)&lt;&gt;0,M$1-A6," ")</f>
        <v>-383</v>
      </c>
      <c r="N6" s="5"/>
      <c r="O6" s="17" t="str">
        <f aca="false">IF((E6="s"),H6," ")</f>
        <v> </v>
      </c>
      <c r="P6" s="17" t="str">
        <f aca="false">IF((E6="c"),H6," ")</f>
        <v> </v>
      </c>
      <c r="Q6" s="17" t="str">
        <f aca="false">IF((E6="o"),H6," ")</f>
        <v> </v>
      </c>
      <c r="R6" s="17" t="str">
        <f aca="false">IF((E6="d"),H6," ")</f>
        <v> </v>
      </c>
      <c r="S6" s="17" t="str">
        <f aca="false">IF((E6="w"),H6," ")</f>
        <v> </v>
      </c>
      <c r="T6" s="17" t="str">
        <f aca="false">IF((E6="r"),H6," ")</f>
        <v> </v>
      </c>
      <c r="U6" s="17" t="str">
        <f aca="false">IF((E6="p"),H6," ")</f>
        <v> </v>
      </c>
      <c r="V6" s="17" t="str">
        <f aca="false">IF((E6="t"),H6," ")</f>
        <v> </v>
      </c>
      <c r="W6" s="17" t="str">
        <f aca="false">IF((E6="q"),H6," ")</f>
        <v> </v>
      </c>
      <c r="X6" s="17" t="str">
        <f aca="false">IF((E6="m"),H6," ")</f>
        <v> </v>
      </c>
      <c r="Y6" s="17" t="str">
        <f aca="false">IF((E6="u"),H6," ")</f>
        <v> </v>
      </c>
      <c r="Z6" s="17" t="str">
        <f aca="false">IF((E6="a"),H6," ")</f>
        <v> </v>
      </c>
      <c r="AA6" s="17" t="n">
        <f aca="false">IF((E6="g"),H6," ")</f>
        <v>25</v>
      </c>
      <c r="AB6" s="17" t="str">
        <f aca="false">IF((E6="h"),H6," ")</f>
        <v> </v>
      </c>
      <c r="AC6" s="30" t="str">
        <f aca="false">IF((E6="v"),H6," ")</f>
        <v> </v>
      </c>
      <c r="AD6" s="30" t="str">
        <f aca="false">IF((E6="n"),H6," ")</f>
        <v> </v>
      </c>
      <c r="AE6" s="17" t="str">
        <f aca="false">IF((E6="f"),H6," ")</f>
        <v> </v>
      </c>
      <c r="AF6" s="17" t="str">
        <f aca="false">IF((E6="l"),H6," ")</f>
        <v> </v>
      </c>
      <c r="AG6" s="17" t="str">
        <f aca="false">IF((E6="y"),H6," ")</f>
        <v> </v>
      </c>
      <c r="AH6" s="17" t="str">
        <f aca="false">IF((E6="z"),H6," ")</f>
        <v> </v>
      </c>
      <c r="AI6" s="17" t="str">
        <f aca="false">IF((E6="fa"),H6," ")</f>
        <v> </v>
      </c>
      <c r="AJ6" s="17" t="str">
        <f aca="false">IF((E6="e"),H6," ")</f>
        <v> </v>
      </c>
      <c r="BZ6" s="2" t="s">
        <v>81</v>
      </c>
    </row>
    <row r="7" customFormat="false" ht="12" hidden="false" customHeight="false" outlineLevel="0" collapsed="false">
      <c r="A7" s="28" t="n">
        <v>46661</v>
      </c>
      <c r="B7" s="2" t="s">
        <v>82</v>
      </c>
      <c r="D7" s="2" t="s">
        <v>83</v>
      </c>
      <c r="E7" s="2" t="s">
        <v>80</v>
      </c>
      <c r="F7" s="30" t="n">
        <v>15</v>
      </c>
      <c r="G7" s="6" t="n">
        <f aca="false">IF(F7&lt;&gt;0,F7*G$2/(100+G$2)," ")</f>
        <v>2.5</v>
      </c>
      <c r="H7" s="6" t="n">
        <f aca="false">IF((F7&lt;&gt;0),F7-G7," ")</f>
        <v>12.5</v>
      </c>
      <c r="I7" s="5"/>
      <c r="L7" s="7" t="n">
        <f aca="false">IF(F7&lt;&gt;0,F7-K7," ")</f>
        <v>15</v>
      </c>
      <c r="M7" s="8" t="n">
        <f aca="false">IF((F7-K7)&lt;&gt;0,M$1-A7," ")</f>
        <v>-383</v>
      </c>
      <c r="N7" s="5"/>
      <c r="O7" s="17" t="str">
        <f aca="false">IF((E7="s"),H7," ")</f>
        <v> </v>
      </c>
      <c r="P7" s="17" t="str">
        <f aca="false">IF((E7="c"),H7," ")</f>
        <v> </v>
      </c>
      <c r="Q7" s="17" t="str">
        <f aca="false">IF((E7="o"),H7," ")</f>
        <v> </v>
      </c>
      <c r="R7" s="17" t="str">
        <f aca="false">IF((E7="d"),H7," ")</f>
        <v> </v>
      </c>
      <c r="S7" s="17" t="str">
        <f aca="false">IF((E7="w"),H7," ")</f>
        <v> </v>
      </c>
      <c r="T7" s="17" t="str">
        <f aca="false">IF((E7="r"),H7," ")</f>
        <v> </v>
      </c>
      <c r="U7" s="17" t="str">
        <f aca="false">IF((E7="p"),H7," ")</f>
        <v> </v>
      </c>
      <c r="V7" s="17" t="str">
        <f aca="false">IF((E7="t"),H7," ")</f>
        <v> </v>
      </c>
      <c r="W7" s="17" t="str">
        <f aca="false">IF((E7="q"),H7," ")</f>
        <v> </v>
      </c>
      <c r="X7" s="17" t="str">
        <f aca="false">IF((E7="m"),H7," ")</f>
        <v> </v>
      </c>
      <c r="Y7" s="17" t="str">
        <f aca="false">IF((E7="u"),H7," ")</f>
        <v> </v>
      </c>
      <c r="Z7" s="17" t="str">
        <f aca="false">IF((E7="a"),H7," ")</f>
        <v> </v>
      </c>
      <c r="AA7" s="17" t="n">
        <f aca="false">IF((E7="g"),H7," ")</f>
        <v>12.5</v>
      </c>
      <c r="AB7" s="17" t="str">
        <f aca="false">IF((E7="h"),H7," ")</f>
        <v> </v>
      </c>
      <c r="AC7" s="30" t="str">
        <f aca="false">IF((E7="v"),H7," ")</f>
        <v> </v>
      </c>
      <c r="AD7" s="30" t="str">
        <f aca="false">IF((E7="n"),H7," ")</f>
        <v> </v>
      </c>
      <c r="AE7" s="17" t="str">
        <f aca="false">IF((E7="f"),H7," ")</f>
        <v> </v>
      </c>
      <c r="AF7" s="17" t="str">
        <f aca="false">IF((E7="l"),H7," ")</f>
        <v> </v>
      </c>
      <c r="AG7" s="17" t="str">
        <f aca="false">IF((E7="y"),H7," ")</f>
        <v> </v>
      </c>
      <c r="AH7" s="17" t="str">
        <f aca="false">IF((E7="z"),H7," ")</f>
        <v> </v>
      </c>
      <c r="AI7" s="17" t="str">
        <f aca="false">IF((E7="fa"),H7," ")</f>
        <v> </v>
      </c>
      <c r="AJ7" s="17" t="str">
        <f aca="false">IF((E7="e"),H7," ")</f>
        <v> </v>
      </c>
      <c r="BZ7" s="2" t="s">
        <v>81</v>
      </c>
    </row>
    <row r="8" customFormat="false" ht="12" hidden="false" customHeight="false" outlineLevel="0" collapsed="false">
      <c r="A8" s="28" t="n">
        <v>46661</v>
      </c>
      <c r="B8" s="2" t="s">
        <v>84</v>
      </c>
      <c r="D8" s="2" t="s">
        <v>85</v>
      </c>
      <c r="E8" s="2" t="s">
        <v>86</v>
      </c>
      <c r="F8" s="30" t="n">
        <v>45</v>
      </c>
      <c r="G8" s="6" t="n">
        <f aca="false">IF(F8&lt;&gt;0,F8*G$2/(100+G$2)," ")</f>
        <v>7.5</v>
      </c>
      <c r="H8" s="6" t="n">
        <f aca="false">IF((F8&lt;&gt;0),F8-G8," ")</f>
        <v>37.5</v>
      </c>
      <c r="I8" s="5"/>
      <c r="L8" s="7" t="n">
        <f aca="false">IF(F8&lt;&gt;0,F8-K8," ")</f>
        <v>45</v>
      </c>
      <c r="M8" s="8" t="n">
        <f aca="false">IF((F8-K8)&lt;&gt;0,M$1-A8," ")</f>
        <v>-383</v>
      </c>
      <c r="N8" s="5"/>
      <c r="O8" s="17" t="str">
        <f aca="false">IF((E8="s"),H8," ")</f>
        <v> </v>
      </c>
      <c r="P8" s="17" t="str">
        <f aca="false">IF((E8="c"),H8," ")</f>
        <v> </v>
      </c>
      <c r="Q8" s="17" t="n">
        <f aca="false">IF((E8="o"),H8," ")</f>
        <v>37.5</v>
      </c>
      <c r="R8" s="17" t="str">
        <f aca="false">IF((E8="d"),H8," ")</f>
        <v> </v>
      </c>
      <c r="S8" s="17" t="str">
        <f aca="false">IF((E8="w"),H8," ")</f>
        <v> </v>
      </c>
      <c r="T8" s="17" t="str">
        <f aca="false">IF((E8="r"),H8," ")</f>
        <v> </v>
      </c>
      <c r="U8" s="17" t="str">
        <f aca="false">IF((E8="p"),H8," ")</f>
        <v> </v>
      </c>
      <c r="V8" s="17" t="str">
        <f aca="false">IF((E8="t"),H8," ")</f>
        <v> </v>
      </c>
      <c r="W8" s="17" t="str">
        <f aca="false">IF((E8="q"),H8," ")</f>
        <v> </v>
      </c>
      <c r="X8" s="17" t="str">
        <f aca="false">IF((E8="m"),H8," ")</f>
        <v> </v>
      </c>
      <c r="Y8" s="17" t="str">
        <f aca="false">IF((E8="u"),H8," ")</f>
        <v> </v>
      </c>
      <c r="Z8" s="17" t="str">
        <f aca="false">IF((E8="a"),H8," ")</f>
        <v> </v>
      </c>
      <c r="AA8" s="17" t="str">
        <f aca="false">IF((E8="g"),H8," ")</f>
        <v> </v>
      </c>
      <c r="AB8" s="17" t="str">
        <f aca="false">IF((E8="h"),H8," ")</f>
        <v> </v>
      </c>
      <c r="AC8" s="30" t="str">
        <f aca="false">IF((E8="v"),H8," ")</f>
        <v> </v>
      </c>
      <c r="AD8" s="30" t="str">
        <f aca="false">IF((E8="n"),H8," ")</f>
        <v> </v>
      </c>
      <c r="AE8" s="17" t="str">
        <f aca="false">IF((E8="f"),H8," ")</f>
        <v> </v>
      </c>
      <c r="AF8" s="17" t="str">
        <f aca="false">IF((E8="l"),H8," ")</f>
        <v> </v>
      </c>
      <c r="AG8" s="17" t="str">
        <f aca="false">IF((E8="y"),H8," ")</f>
        <v> </v>
      </c>
      <c r="AH8" s="17" t="str">
        <f aca="false">IF((E8="z"),H8," ")</f>
        <v> </v>
      </c>
      <c r="AI8" s="17" t="str">
        <f aca="false">IF((E8="fa"),H8," ")</f>
        <v> </v>
      </c>
      <c r="AJ8" s="17" t="str">
        <f aca="false">IF((E8="e"),H8," ")</f>
        <v> </v>
      </c>
      <c r="BZ8" s="2" t="s">
        <v>87</v>
      </c>
    </row>
    <row r="9" customFormat="false" ht="12" hidden="false" customHeight="false" outlineLevel="0" collapsed="false">
      <c r="A9" s="28" t="n">
        <v>46661</v>
      </c>
      <c r="B9" s="2" t="s">
        <v>92</v>
      </c>
      <c r="D9" s="2" t="s">
        <v>93</v>
      </c>
      <c r="E9" s="2" t="s">
        <v>86</v>
      </c>
      <c r="F9" s="30" t="n">
        <v>24</v>
      </c>
      <c r="G9" s="6" t="n">
        <f aca="false">IF(F9&lt;&gt;0,F9*G$2/(100+G$2)," ")</f>
        <v>4</v>
      </c>
      <c r="H9" s="6" t="n">
        <f aca="false">IF((F9&lt;&gt;0),F9-G9," ")</f>
        <v>20</v>
      </c>
      <c r="I9" s="5"/>
      <c r="L9" s="7" t="n">
        <f aca="false">IF(F9&lt;&gt;0,F9-K9," ")</f>
        <v>24</v>
      </c>
      <c r="M9" s="8" t="n">
        <f aca="false">IF((F9-K9)&lt;&gt;0,M$1-A9," ")</f>
        <v>-383</v>
      </c>
      <c r="N9" s="5"/>
      <c r="O9" s="17" t="str">
        <f aca="false">IF((E9="s"),H9," ")</f>
        <v> </v>
      </c>
      <c r="P9" s="17" t="str">
        <f aca="false">IF((E9="c"),H9," ")</f>
        <v> </v>
      </c>
      <c r="Q9" s="17" t="n">
        <f aca="false">IF((E9="o"),H9," ")</f>
        <v>20</v>
      </c>
      <c r="R9" s="17" t="str">
        <f aca="false">IF((E9="d"),H9," ")</f>
        <v> </v>
      </c>
      <c r="S9" s="17" t="str">
        <f aca="false">IF((E9="w"),H9," ")</f>
        <v> </v>
      </c>
      <c r="T9" s="17" t="str">
        <f aca="false">IF((E9="r"),H9," ")</f>
        <v> </v>
      </c>
      <c r="U9" s="17" t="str">
        <f aca="false">IF((E9="p"),H9," ")</f>
        <v> </v>
      </c>
      <c r="V9" s="17" t="str">
        <f aca="false">IF((E9="t"),H9," ")</f>
        <v> </v>
      </c>
      <c r="W9" s="17" t="str">
        <f aca="false">IF((E9="q"),H9," ")</f>
        <v> </v>
      </c>
      <c r="X9" s="17" t="str">
        <f aca="false">IF((E9="m"),H9," ")</f>
        <v> </v>
      </c>
      <c r="Y9" s="17" t="str">
        <f aca="false">IF((E9="u"),H9," ")</f>
        <v> </v>
      </c>
      <c r="Z9" s="17" t="str">
        <f aca="false">IF((E9="a"),H9," ")</f>
        <v> </v>
      </c>
      <c r="AA9" s="17" t="str">
        <f aca="false">IF((E9="g"),H9," ")</f>
        <v> </v>
      </c>
      <c r="AB9" s="17" t="str">
        <f aca="false">IF((E9="h"),H9," ")</f>
        <v> </v>
      </c>
      <c r="AC9" s="30" t="str">
        <f aca="false">IF((E9="v"),H9," ")</f>
        <v> </v>
      </c>
      <c r="AD9" s="30" t="str">
        <f aca="false">IF((E9="n"),H9," ")</f>
        <v> </v>
      </c>
      <c r="AE9" s="17" t="str">
        <f aca="false">IF((E9="f"),H9," ")</f>
        <v> </v>
      </c>
      <c r="AF9" s="17" t="str">
        <f aca="false">IF((E9="l"),H9," ")</f>
        <v> </v>
      </c>
      <c r="AG9" s="17" t="str">
        <f aca="false">IF((E9="y"),H9," ")</f>
        <v> </v>
      </c>
      <c r="AH9" s="17" t="str">
        <f aca="false">IF((E9="z"),H9," ")</f>
        <v> </v>
      </c>
      <c r="AI9" s="17" t="str">
        <f aca="false">IF((E9="fa"),H9," ")</f>
        <v> </v>
      </c>
      <c r="AJ9" s="17" t="str">
        <f aca="false">IF((E9="e"),H9," ")</f>
        <v> </v>
      </c>
      <c r="BZ9" s="2" t="s">
        <v>87</v>
      </c>
    </row>
    <row r="10" customFormat="false" ht="12" hidden="false" customHeight="false" outlineLevel="0" collapsed="false">
      <c r="A10" s="28" t="n">
        <v>46661</v>
      </c>
      <c r="B10" s="2" t="s">
        <v>94</v>
      </c>
      <c r="D10" s="2" t="s">
        <v>95</v>
      </c>
      <c r="E10" s="2" t="s">
        <v>80</v>
      </c>
      <c r="F10" s="30" t="n">
        <v>18</v>
      </c>
      <c r="G10" s="6" t="n">
        <f aca="false">IF(F10&lt;&gt;0,F10*G$2/(100+G$2)," ")</f>
        <v>3</v>
      </c>
      <c r="H10" s="6" t="n">
        <f aca="false">IF((F10&lt;&gt;0),F10-G10," ")</f>
        <v>15</v>
      </c>
      <c r="I10" s="5"/>
      <c r="L10" s="7" t="n">
        <f aca="false">IF(F10&lt;&gt;0,F10-K10," ")</f>
        <v>18</v>
      </c>
      <c r="M10" s="8" t="n">
        <f aca="false">IF((F10-K10)&lt;&gt;0,M$1-A10," ")</f>
        <v>-383</v>
      </c>
      <c r="N10" s="5"/>
      <c r="O10" s="17" t="str">
        <f aca="false">IF((E10="s"),H10," ")</f>
        <v> </v>
      </c>
      <c r="P10" s="17" t="str">
        <f aca="false">IF((E10="c"),H10," ")</f>
        <v> </v>
      </c>
      <c r="Q10" s="17" t="str">
        <f aca="false">IF((E10="o"),H10," ")</f>
        <v> </v>
      </c>
      <c r="R10" s="17" t="str">
        <f aca="false">IF((E10="d"),H10," ")</f>
        <v> </v>
      </c>
      <c r="S10" s="17" t="str">
        <f aca="false">IF((E10="w"),H10," ")</f>
        <v> </v>
      </c>
      <c r="T10" s="17" t="str">
        <f aca="false">IF((E10="r"),H10," ")</f>
        <v> </v>
      </c>
      <c r="U10" s="17" t="str">
        <f aca="false">IF((E10="p"),H10," ")</f>
        <v> </v>
      </c>
      <c r="V10" s="17" t="str">
        <f aca="false">IF((E10="t"),H10," ")</f>
        <v> </v>
      </c>
      <c r="W10" s="17" t="str">
        <f aca="false">IF((E10="q"),H10," ")</f>
        <v> </v>
      </c>
      <c r="X10" s="17" t="str">
        <f aca="false">IF((E10="m"),H10," ")</f>
        <v> </v>
      </c>
      <c r="Y10" s="17" t="str">
        <f aca="false">IF((E10="u"),H10," ")</f>
        <v> </v>
      </c>
      <c r="Z10" s="17" t="str">
        <f aca="false">IF((E10="a"),H10," ")</f>
        <v> </v>
      </c>
      <c r="AA10" s="17" t="n">
        <f aca="false">IF((E10="g"),H10," ")</f>
        <v>15</v>
      </c>
      <c r="AB10" s="17" t="str">
        <f aca="false">IF((E10="h"),H10," ")</f>
        <v> </v>
      </c>
      <c r="AC10" s="30" t="str">
        <f aca="false">IF((E10="v"),H10," ")</f>
        <v> </v>
      </c>
      <c r="AD10" s="30" t="str">
        <f aca="false">IF((E10="n"),H10," ")</f>
        <v> </v>
      </c>
      <c r="AE10" s="17" t="str">
        <f aca="false">IF((E10="f"),H10," ")</f>
        <v> </v>
      </c>
      <c r="AF10" s="17" t="str">
        <f aca="false">IF((E10="l"),H10," ")</f>
        <v> </v>
      </c>
      <c r="AG10" s="17" t="str">
        <f aca="false">IF((E10="y"),H10," ")</f>
        <v> </v>
      </c>
      <c r="AH10" s="17" t="str">
        <f aca="false">IF((E10="z"),H10," ")</f>
        <v> </v>
      </c>
      <c r="AI10" s="17" t="str">
        <f aca="false">IF((E10="fa"),H10," ")</f>
        <v> </v>
      </c>
      <c r="AJ10" s="17" t="str">
        <f aca="false">IF((E10="e"),H10," ")</f>
        <v> </v>
      </c>
      <c r="BZ10" s="2" t="s">
        <v>81</v>
      </c>
    </row>
    <row r="11" customFormat="false" ht="12" hidden="false" customHeight="false" outlineLevel="0" collapsed="false">
      <c r="A11" s="28" t="n">
        <v>46663</v>
      </c>
      <c r="B11" s="2" t="s">
        <v>96</v>
      </c>
      <c r="D11" s="2" t="s">
        <v>97</v>
      </c>
      <c r="E11" s="2" t="s">
        <v>86</v>
      </c>
      <c r="F11" s="30" t="n">
        <v>180</v>
      </c>
      <c r="G11" s="6" t="n">
        <f aca="false">IF(F11&lt;&gt;0,F11*G$2/(100+G$2)," ")</f>
        <v>30</v>
      </c>
      <c r="H11" s="6" t="n">
        <f aca="false">IF((F11&lt;&gt;0),F11-G11," ")</f>
        <v>150</v>
      </c>
      <c r="I11" s="5"/>
      <c r="L11" s="7" t="n">
        <f aca="false">IF(F11&lt;&gt;0,F11-K11," ")</f>
        <v>180</v>
      </c>
      <c r="M11" s="8" t="n">
        <f aca="false">IF((F11-K11)&lt;&gt;0,M$1-A11," ")</f>
        <v>-385</v>
      </c>
      <c r="N11" s="5"/>
      <c r="O11" s="17" t="str">
        <f aca="false">IF((E11="s"),H11," ")</f>
        <v> </v>
      </c>
      <c r="P11" s="17" t="str">
        <f aca="false">IF((E11="c"),H11," ")</f>
        <v> </v>
      </c>
      <c r="Q11" s="17" t="n">
        <f aca="false">IF((E11="o"),H11," ")</f>
        <v>150</v>
      </c>
      <c r="R11" s="17" t="str">
        <f aca="false">IF((E11="d"),H11," ")</f>
        <v> </v>
      </c>
      <c r="S11" s="17" t="str">
        <f aca="false">IF((E11="w"),H11," ")</f>
        <v> </v>
      </c>
      <c r="T11" s="17" t="str">
        <f aca="false">IF((E11="r"),H11," ")</f>
        <v> </v>
      </c>
      <c r="U11" s="17" t="str">
        <f aca="false">IF((E11="p"),H11," ")</f>
        <v> </v>
      </c>
      <c r="V11" s="17" t="str">
        <f aca="false">IF((E11="t"),H11," ")</f>
        <v> </v>
      </c>
      <c r="W11" s="17" t="str">
        <f aca="false">IF((E11="q"),H11," ")</f>
        <v> </v>
      </c>
      <c r="X11" s="17" t="str">
        <f aca="false">IF((E11="m"),H11," ")</f>
        <v> </v>
      </c>
      <c r="Y11" s="17" t="str">
        <f aca="false">IF((E11="u"),H11," ")</f>
        <v> </v>
      </c>
      <c r="Z11" s="17" t="str">
        <f aca="false">IF((E11="a"),H11," ")</f>
        <v> </v>
      </c>
      <c r="AA11" s="17" t="str">
        <f aca="false">IF((E11="g"),H11," ")</f>
        <v> </v>
      </c>
      <c r="AB11" s="17" t="str">
        <f aca="false">IF((E11="h"),H11," ")</f>
        <v> </v>
      </c>
      <c r="AC11" s="30" t="str">
        <f aca="false">IF((E11="v"),H11," ")</f>
        <v> </v>
      </c>
      <c r="AD11" s="30" t="str">
        <f aca="false">IF((E11="n"),H11," ")</f>
        <v> </v>
      </c>
      <c r="AE11" s="17" t="str">
        <f aca="false">IF((E11="f"),H11," ")</f>
        <v> </v>
      </c>
      <c r="AF11" s="17" t="str">
        <f aca="false">IF((E11="l"),H11," ")</f>
        <v> </v>
      </c>
      <c r="AG11" s="17" t="str">
        <f aca="false">IF((E11="y"),H11," ")</f>
        <v> </v>
      </c>
      <c r="AH11" s="17" t="str">
        <f aca="false">IF((E11="z"),H11," ")</f>
        <v> </v>
      </c>
      <c r="AI11" s="17" t="str">
        <f aca="false">IF((E11="fa"),H11," ")</f>
        <v> </v>
      </c>
      <c r="AJ11" s="17" t="str">
        <f aca="false">IF((E11="e"),H11," ")</f>
        <v> </v>
      </c>
      <c r="BZ11" s="2" t="s">
        <v>87</v>
      </c>
    </row>
    <row r="12" customFormat="false" ht="12" hidden="false" customHeight="false" outlineLevel="0" collapsed="false">
      <c r="A12" s="28" t="n">
        <v>46663</v>
      </c>
      <c r="B12" s="2" t="s">
        <v>98</v>
      </c>
      <c r="D12" s="2" t="s">
        <v>99</v>
      </c>
      <c r="E12" s="2" t="s">
        <v>100</v>
      </c>
      <c r="F12" s="30" t="n">
        <v>22</v>
      </c>
      <c r="G12" s="6" t="n">
        <f aca="false">IF(F12&lt;&gt;0,F12*G$2/(100+G$2)," ")</f>
        <v>3.66666666666667</v>
      </c>
      <c r="H12" s="6" t="n">
        <f aca="false">IF((F12&lt;&gt;0),F12-G12," ")</f>
        <v>18.3333333333333</v>
      </c>
      <c r="I12" s="5"/>
      <c r="L12" s="7" t="n">
        <f aca="false">IF(F12&lt;&gt;0,F12-K12," ")</f>
        <v>22</v>
      </c>
      <c r="M12" s="8" t="n">
        <f aca="false">IF((F12-K12)&lt;&gt;0,M$1-A12," ")</f>
        <v>-385</v>
      </c>
      <c r="N12" s="5"/>
      <c r="O12" s="17" t="str">
        <f aca="false">IF((E12="s"),H12," ")</f>
        <v> </v>
      </c>
      <c r="P12" s="17" t="str">
        <f aca="false">IF((E12="c"),H12," ")</f>
        <v> </v>
      </c>
      <c r="Q12" s="17" t="str">
        <f aca="false">IF((E12="o"),H12," ")</f>
        <v> </v>
      </c>
      <c r="R12" s="17" t="str">
        <f aca="false">IF((E12="d"),H12," ")</f>
        <v> </v>
      </c>
      <c r="S12" s="17" t="str">
        <f aca="false">IF((E12="w"),H12," ")</f>
        <v> </v>
      </c>
      <c r="T12" s="17" t="str">
        <f aca="false">IF((E12="r"),H12," ")</f>
        <v> </v>
      </c>
      <c r="U12" s="17" t="str">
        <f aca="false">IF((E12="p"),H12," ")</f>
        <v> </v>
      </c>
      <c r="V12" s="17" t="str">
        <f aca="false">IF((E12="t"),H12," ")</f>
        <v> </v>
      </c>
      <c r="W12" s="17" t="str">
        <f aca="false">IF((E12="q"),H12," ")</f>
        <v> </v>
      </c>
      <c r="X12" s="17" t="str">
        <f aca="false">IF((E12="m"),H12," ")</f>
        <v> </v>
      </c>
      <c r="Y12" s="17" t="n">
        <f aca="false">IF((E12="u"),H12," ")</f>
        <v>18.3333333333333</v>
      </c>
      <c r="Z12" s="17" t="str">
        <f aca="false">IF((E12="a"),H12," ")</f>
        <v> </v>
      </c>
      <c r="AA12" s="17" t="str">
        <f aca="false">IF((E12="g"),H12," ")</f>
        <v> </v>
      </c>
      <c r="AB12" s="17" t="str">
        <f aca="false">IF((E12="h"),H12," ")</f>
        <v> </v>
      </c>
      <c r="AC12" s="30" t="str">
        <f aca="false">IF((E12="v"),H12," ")</f>
        <v> </v>
      </c>
      <c r="AD12" s="30" t="str">
        <f aca="false">IF((E12="n"),H12," ")</f>
        <v> </v>
      </c>
      <c r="AE12" s="17" t="str">
        <f aca="false">IF((E12="f"),H12," ")</f>
        <v> </v>
      </c>
      <c r="AF12" s="17" t="str">
        <f aca="false">IF((E12="l"),H12," ")</f>
        <v> </v>
      </c>
      <c r="AG12" s="17" t="str">
        <f aca="false">IF((E12="y"),H12," ")</f>
        <v> </v>
      </c>
      <c r="AH12" s="17" t="str">
        <f aca="false">IF((E12="z"),H12," ")</f>
        <v> </v>
      </c>
      <c r="AI12" s="17" t="str">
        <f aca="false">IF((E12="fa"),H12," ")</f>
        <v> </v>
      </c>
      <c r="AJ12" s="17" t="str">
        <f aca="false">IF((E12="e"),H12," ")</f>
        <v> </v>
      </c>
      <c r="BZ12" s="2" t="s">
        <v>101</v>
      </c>
    </row>
    <row r="13" customFormat="false" ht="12" hidden="false" customHeight="false" outlineLevel="0" collapsed="false">
      <c r="A13" s="28" t="n">
        <v>46665</v>
      </c>
      <c r="B13" s="2" t="s">
        <v>102</v>
      </c>
      <c r="D13" s="2" t="s">
        <v>103</v>
      </c>
      <c r="E13" s="2" t="s">
        <v>100</v>
      </c>
      <c r="F13" s="30" t="n">
        <v>24</v>
      </c>
      <c r="G13" s="6" t="n">
        <f aca="false">IF(F13&lt;&gt;0,F13*G$2/(100+G$2)," ")</f>
        <v>4</v>
      </c>
      <c r="H13" s="6" t="n">
        <f aca="false">IF((F13&lt;&gt;0),F13-G13," ")</f>
        <v>20</v>
      </c>
      <c r="I13" s="5"/>
      <c r="L13" s="7" t="n">
        <f aca="false">IF(F13&lt;&gt;0,F13-K13," ")</f>
        <v>24</v>
      </c>
      <c r="M13" s="8" t="n">
        <f aca="false">IF((F13-K13)&lt;&gt;0,M$1-A13," ")</f>
        <v>-387</v>
      </c>
      <c r="N13" s="5"/>
      <c r="O13" s="17" t="str">
        <f aca="false">IF((E13="s"),H13," ")</f>
        <v> </v>
      </c>
      <c r="P13" s="17" t="str">
        <f aca="false">IF((E13="c"),H13," ")</f>
        <v> </v>
      </c>
      <c r="Q13" s="17" t="str">
        <f aca="false">IF((E13="o"),H13," ")</f>
        <v> </v>
      </c>
      <c r="R13" s="17" t="str">
        <f aca="false">IF((E13="d"),H13," ")</f>
        <v> </v>
      </c>
      <c r="S13" s="17" t="str">
        <f aca="false">IF((E13="w"),H13," ")</f>
        <v> </v>
      </c>
      <c r="T13" s="17" t="str">
        <f aca="false">IF((E13="r"),H13," ")</f>
        <v> </v>
      </c>
      <c r="U13" s="17" t="str">
        <f aca="false">IF((E13="p"),H13," ")</f>
        <v> </v>
      </c>
      <c r="V13" s="17" t="str">
        <f aca="false">IF((E13="t"),H13," ")</f>
        <v> </v>
      </c>
      <c r="W13" s="17" t="str">
        <f aca="false">IF((E13="q"),H13," ")</f>
        <v> </v>
      </c>
      <c r="X13" s="17" t="str">
        <f aca="false">IF((E13="m"),H13," ")</f>
        <v> </v>
      </c>
      <c r="Y13" s="17" t="n">
        <f aca="false">IF((E13="u"),H13," ")</f>
        <v>20</v>
      </c>
      <c r="Z13" s="17" t="str">
        <f aca="false">IF((E13="a"),H13," ")</f>
        <v> </v>
      </c>
      <c r="AA13" s="17" t="str">
        <f aca="false">IF((E13="g"),H13," ")</f>
        <v> </v>
      </c>
      <c r="AB13" s="17" t="str">
        <f aca="false">IF((E13="h"),H13," ")</f>
        <v> </v>
      </c>
      <c r="AC13" s="30" t="str">
        <f aca="false">IF((E13="v"),H13," ")</f>
        <v> </v>
      </c>
      <c r="AD13" s="30" t="str">
        <f aca="false">IF((E13="n"),H13," ")</f>
        <v> </v>
      </c>
      <c r="AE13" s="17" t="str">
        <f aca="false">IF((E13="f"),H13," ")</f>
        <v> </v>
      </c>
      <c r="AF13" s="17" t="str">
        <f aca="false">IF((E13="l"),H13," ")</f>
        <v> </v>
      </c>
      <c r="AG13" s="17" t="str">
        <f aca="false">IF((E13="y"),H13," ")</f>
        <v> </v>
      </c>
      <c r="AH13" s="17" t="str">
        <f aca="false">IF((E13="z"),H13," ")</f>
        <v> </v>
      </c>
      <c r="AI13" s="17" t="str">
        <f aca="false">IF((E13="fa"),H13," ")</f>
        <v> </v>
      </c>
      <c r="AJ13" s="17" t="str">
        <f aca="false">IF((E13="e"),H13," ")</f>
        <v> </v>
      </c>
      <c r="BZ13" s="2" t="s">
        <v>101</v>
      </c>
    </row>
    <row r="14" customFormat="false" ht="12" hidden="false" customHeight="false" outlineLevel="0" collapsed="false">
      <c r="A14" s="28" t="n">
        <v>46665</v>
      </c>
      <c r="B14" s="2" t="s">
        <v>104</v>
      </c>
      <c r="D14" s="2" t="s">
        <v>105</v>
      </c>
      <c r="E14" s="2" t="s">
        <v>106</v>
      </c>
      <c r="F14" s="30" t="n">
        <v>180</v>
      </c>
      <c r="G14" s="6" t="n">
        <f aca="false">IF(F14&lt;&gt;0,F14*G$2/(100+G$2)," ")</f>
        <v>30</v>
      </c>
      <c r="H14" s="6" t="n">
        <f aca="false">IF((F14&lt;&gt;0),F14-G14," ")</f>
        <v>150</v>
      </c>
      <c r="I14" s="5"/>
      <c r="L14" s="7" t="n">
        <f aca="false">IF(F14&lt;&gt;0,F14-K14," ")</f>
        <v>180</v>
      </c>
      <c r="M14" s="8" t="n">
        <f aca="false">IF((F14-K14)&lt;&gt;0,M$1-A14," ")</f>
        <v>-387</v>
      </c>
      <c r="N14" s="5"/>
      <c r="O14" s="17" t="str">
        <f aca="false">IF((E14="s"),H14," ")</f>
        <v> </v>
      </c>
      <c r="P14" s="17" t="str">
        <f aca="false">IF((E14="c"),H14," ")</f>
        <v> </v>
      </c>
      <c r="Q14" s="17" t="str">
        <f aca="false">IF((E14="o"),H14," ")</f>
        <v> </v>
      </c>
      <c r="R14" s="17" t="str">
        <f aca="false">IF((E14="d"),H14," ")</f>
        <v> </v>
      </c>
      <c r="S14" s="17" t="str">
        <f aca="false">IF((E14="w"),H14," ")</f>
        <v> </v>
      </c>
      <c r="T14" s="17" t="str">
        <f aca="false">IF((E14="r"),H14," ")</f>
        <v> </v>
      </c>
      <c r="U14" s="17" t="str">
        <f aca="false">IF((E14="p"),H14," ")</f>
        <v> </v>
      </c>
      <c r="V14" s="17" t="str">
        <f aca="false">IF((E14="t"),H14," ")</f>
        <v> </v>
      </c>
      <c r="W14" s="17" t="str">
        <f aca="false">IF((E14="q"),H14," ")</f>
        <v> </v>
      </c>
      <c r="X14" s="17" t="str">
        <f aca="false">IF((E14="m"),H14," ")</f>
        <v> </v>
      </c>
      <c r="Y14" s="17" t="str">
        <f aca="false">IF((E14="u"),H14," ")</f>
        <v> </v>
      </c>
      <c r="Z14" s="17" t="str">
        <f aca="false">IF((E14="a"),H14," ")</f>
        <v> </v>
      </c>
      <c r="AA14" s="17" t="str">
        <f aca="false">IF((E14="g"),H14," ")</f>
        <v> </v>
      </c>
      <c r="AB14" s="17" t="str">
        <f aca="false">IF((E14="h"),H14," ")</f>
        <v> </v>
      </c>
      <c r="AC14" s="30" t="n">
        <f aca="false">IF((E14="v"),H14," ")</f>
        <v>150</v>
      </c>
      <c r="AD14" s="30" t="str">
        <f aca="false">IF((E14="n"),H14," ")</f>
        <v> </v>
      </c>
      <c r="AE14" s="17" t="str">
        <f aca="false">IF((E14="f"),H14," ")</f>
        <v> </v>
      </c>
      <c r="AF14" s="17" t="str">
        <f aca="false">IF((E14="l"),H14," ")</f>
        <v> </v>
      </c>
      <c r="AG14" s="17" t="str">
        <f aca="false">IF((E14="y"),H14," ")</f>
        <v> </v>
      </c>
      <c r="AH14" s="17" t="str">
        <f aca="false">IF((E14="z"),H14," ")</f>
        <v> </v>
      </c>
      <c r="AI14" s="17" t="str">
        <f aca="false">IF((E14="fa"),H14," ")</f>
        <v> </v>
      </c>
      <c r="AJ14" s="17" t="str">
        <f aca="false">IF((E14="e"),H14," ")</f>
        <v> </v>
      </c>
      <c r="BZ14" s="2" t="s">
        <v>107</v>
      </c>
    </row>
    <row r="15" customFormat="false" ht="12" hidden="false" customHeight="false" outlineLevel="0" collapsed="false">
      <c r="A15" s="28" t="n">
        <v>46668</v>
      </c>
      <c r="B15" s="2" t="s">
        <v>110</v>
      </c>
      <c r="D15" s="2" t="s">
        <v>111</v>
      </c>
      <c r="E15" s="2" t="s">
        <v>112</v>
      </c>
      <c r="F15" s="30" t="n">
        <v>48</v>
      </c>
      <c r="G15" s="6" t="n">
        <f aca="false">IF(F15&lt;&gt;0,F15*G$2/(100+G$2)," ")</f>
        <v>8</v>
      </c>
      <c r="H15" s="6" t="n">
        <f aca="false">IF((F15&lt;&gt;0),F15-G15," ")</f>
        <v>40</v>
      </c>
      <c r="I15" s="5"/>
      <c r="L15" s="7" t="n">
        <f aca="false">IF(F15&lt;&gt;0,F15-K15," ")</f>
        <v>48</v>
      </c>
      <c r="M15" s="8" t="n">
        <f aca="false">IF((F15-K15)&lt;&gt;0,M$1-A15," ")</f>
        <v>-390</v>
      </c>
      <c r="N15" s="5"/>
      <c r="O15" s="17" t="str">
        <f aca="false">IF((E15="s"),H15," ")</f>
        <v> </v>
      </c>
      <c r="P15" s="17" t="str">
        <f aca="false">IF((E15="c"),H15," ")</f>
        <v> </v>
      </c>
      <c r="Q15" s="17" t="str">
        <f aca="false">IF((E15="o"),H15," ")</f>
        <v> </v>
      </c>
      <c r="R15" s="17" t="str">
        <f aca="false">IF((E15="d"),H15," ")</f>
        <v> </v>
      </c>
      <c r="S15" s="17" t="str">
        <f aca="false">IF((E15="w"),H15," ")</f>
        <v> </v>
      </c>
      <c r="T15" s="17" t="str">
        <f aca="false">IF((E15="r"),H15," ")</f>
        <v> </v>
      </c>
      <c r="U15" s="17" t="str">
        <f aca="false">IF((E15="p"),H15," ")</f>
        <v> </v>
      </c>
      <c r="V15" s="17" t="str">
        <f aca="false">IF((E15="t"),H15," ")</f>
        <v> </v>
      </c>
      <c r="W15" s="17" t="str">
        <f aca="false">IF((E15="q"),H15," ")</f>
        <v> </v>
      </c>
      <c r="X15" s="17" t="str">
        <f aca="false">IF((E15="m"),H15," ")</f>
        <v> </v>
      </c>
      <c r="Y15" s="17" t="str">
        <f aca="false">IF((E15="u"),H15," ")</f>
        <v> </v>
      </c>
      <c r="Z15" s="17" t="str">
        <f aca="false">IF((E15="a"),H15," ")</f>
        <v> </v>
      </c>
      <c r="AA15" s="17" t="str">
        <f aca="false">IF((E15="g"),H15," ")</f>
        <v> </v>
      </c>
      <c r="AB15" s="17" t="n">
        <f aca="false">IF((E15="h"),H15," ")</f>
        <v>40</v>
      </c>
      <c r="AC15" s="30" t="str">
        <f aca="false">IF((E15="v"),H15," ")</f>
        <v> </v>
      </c>
      <c r="AD15" s="30" t="str">
        <f aca="false">IF((E15="n"),H15," ")</f>
        <v> </v>
      </c>
      <c r="AE15" s="17" t="str">
        <f aca="false">IF((E15="f"),H15," ")</f>
        <v> </v>
      </c>
      <c r="AF15" s="17" t="str">
        <f aca="false">IF((E15="l"),H15," ")</f>
        <v> </v>
      </c>
      <c r="AG15" s="17" t="str">
        <f aca="false">IF((E15="y"),H15," ")</f>
        <v> </v>
      </c>
      <c r="AH15" s="17" t="str">
        <f aca="false">IF((E15="z"),H15," ")</f>
        <v> </v>
      </c>
      <c r="AI15" s="17" t="str">
        <f aca="false">IF((E15="fa"),H15," ")</f>
        <v> </v>
      </c>
      <c r="AJ15" s="17" t="str">
        <f aca="false">IF((E15="e"),H15," ")</f>
        <v> </v>
      </c>
      <c r="BZ15" s="2" t="s">
        <v>113</v>
      </c>
    </row>
    <row r="16" customFormat="false" ht="12" hidden="false" customHeight="false" outlineLevel="0" collapsed="false">
      <c r="A16" s="28" t="n">
        <v>46670</v>
      </c>
      <c r="B16" s="2" t="s">
        <v>114</v>
      </c>
      <c r="D16" s="2" t="s">
        <v>115</v>
      </c>
      <c r="E16" s="2" t="s">
        <v>100</v>
      </c>
      <c r="F16" s="30" t="n">
        <v>36</v>
      </c>
      <c r="G16" s="6" t="n">
        <f aca="false">IF(F16&lt;&gt;0,F16*G$2/(100+G$2)," ")</f>
        <v>6</v>
      </c>
      <c r="H16" s="6" t="n">
        <f aca="false">IF((F16&lt;&gt;0),F16-G16," ")</f>
        <v>30</v>
      </c>
      <c r="I16" s="5"/>
      <c r="L16" s="7" t="n">
        <f aca="false">IF(F16&lt;&gt;0,F16-K16," ")</f>
        <v>36</v>
      </c>
      <c r="M16" s="8" t="n">
        <f aca="false">IF((F16-K16)&lt;&gt;0,M$1-A16," ")</f>
        <v>-392</v>
      </c>
      <c r="N16" s="5"/>
      <c r="O16" s="17" t="str">
        <f aca="false">IF((E16="s"),H16," ")</f>
        <v> </v>
      </c>
      <c r="P16" s="17" t="str">
        <f aca="false">IF((E16="c"),H16," ")</f>
        <v> </v>
      </c>
      <c r="Q16" s="17" t="str">
        <f aca="false">IF((E16="o"),H16," ")</f>
        <v> </v>
      </c>
      <c r="R16" s="17" t="str">
        <f aca="false">IF((E16="d"),H16," ")</f>
        <v> </v>
      </c>
      <c r="S16" s="17" t="str">
        <f aca="false">IF((E16="w"),H16," ")</f>
        <v> </v>
      </c>
      <c r="T16" s="17" t="str">
        <f aca="false">IF((E16="r"),H16," ")</f>
        <v> </v>
      </c>
      <c r="U16" s="17" t="str">
        <f aca="false">IF((E16="p"),H16," ")</f>
        <v> </v>
      </c>
      <c r="V16" s="17" t="str">
        <f aca="false">IF((E16="t"),H16," ")</f>
        <v> </v>
      </c>
      <c r="W16" s="17" t="str">
        <f aca="false">IF((E16="q"),H16," ")</f>
        <v> </v>
      </c>
      <c r="X16" s="17" t="str">
        <f aca="false">IF((E16="m"),H16," ")</f>
        <v> </v>
      </c>
      <c r="Y16" s="17" t="n">
        <f aca="false">IF((E16="u"),H16," ")</f>
        <v>30</v>
      </c>
      <c r="Z16" s="17" t="str">
        <f aca="false">IF((E16="a"),H16," ")</f>
        <v> </v>
      </c>
      <c r="AA16" s="17" t="str">
        <f aca="false">IF((E16="g"),H16," ")</f>
        <v> </v>
      </c>
      <c r="AB16" s="17" t="str">
        <f aca="false">IF((E16="h"),H16," ")</f>
        <v> </v>
      </c>
      <c r="AC16" s="30" t="str">
        <f aca="false">IF((E16="v"),H16," ")</f>
        <v> </v>
      </c>
      <c r="AD16" s="30" t="str">
        <f aca="false">IF((E16="n"),H16," ")</f>
        <v> </v>
      </c>
      <c r="AE16" s="17" t="str">
        <f aca="false">IF((E16="f"),H16," ")</f>
        <v> </v>
      </c>
      <c r="AF16" s="17" t="str">
        <f aca="false">IF((E16="l"),H16," ")</f>
        <v> </v>
      </c>
      <c r="AG16" s="17" t="str">
        <f aca="false">IF((E16="y"),H16," ")</f>
        <v> </v>
      </c>
      <c r="AH16" s="17" t="str">
        <f aca="false">IF((E16="z"),H16," ")</f>
        <v> </v>
      </c>
      <c r="AI16" s="17" t="str">
        <f aca="false">IF((E16="fa"),H16," ")</f>
        <v> </v>
      </c>
      <c r="AJ16" s="17" t="str">
        <f aca="false">IF((E16="e"),H16," ")</f>
        <v> </v>
      </c>
      <c r="BZ16" s="2" t="s">
        <v>101</v>
      </c>
    </row>
    <row r="17" customFormat="false" ht="12" hidden="false" customHeight="false" outlineLevel="0" collapsed="false">
      <c r="A17" s="28" t="n">
        <v>46670</v>
      </c>
      <c r="B17" s="2" t="s">
        <v>132</v>
      </c>
      <c r="D17" s="2" t="s">
        <v>228</v>
      </c>
      <c r="E17" s="2" t="s">
        <v>174</v>
      </c>
      <c r="F17" s="30" t="n">
        <v>144</v>
      </c>
      <c r="G17" s="6" t="n">
        <f aca="false">IF(F17&lt;&gt;0,F17*G$2/(100+G$2)," ")</f>
        <v>24</v>
      </c>
      <c r="H17" s="6" t="n">
        <f aca="false">IF((F17&lt;&gt;0),F17-G17," ")</f>
        <v>120</v>
      </c>
      <c r="I17" s="5"/>
      <c r="L17" s="7" t="n">
        <f aca="false">IF(F17&lt;&gt;0,F17-K17," ")</f>
        <v>144</v>
      </c>
      <c r="M17" s="8" t="n">
        <f aca="false">IF((F17-K17)&lt;&gt;0,M$1-A17," ")</f>
        <v>-392</v>
      </c>
      <c r="N17" s="5"/>
      <c r="O17" s="17" t="str">
        <f aca="false">IF((E17="s"),H17," ")</f>
        <v> </v>
      </c>
      <c r="P17" s="17" t="str">
        <f aca="false">IF((E17="c"),H17," ")</f>
        <v> </v>
      </c>
      <c r="Q17" s="17" t="str">
        <f aca="false">IF((E17="o"),H17," ")</f>
        <v> </v>
      </c>
      <c r="R17" s="17" t="str">
        <f aca="false">IF((E17="d"),H17," ")</f>
        <v> </v>
      </c>
      <c r="S17" s="17" t="str">
        <f aca="false">IF((E17="w"),H17," ")</f>
        <v> </v>
      </c>
      <c r="T17" s="17" t="str">
        <f aca="false">IF((E17="r"),H17," ")</f>
        <v> </v>
      </c>
      <c r="U17" s="17" t="str">
        <f aca="false">IF((E17="p"),H17," ")</f>
        <v> </v>
      </c>
      <c r="V17" s="17" t="n">
        <f aca="false">IF((E17="t"),H17," ")</f>
        <v>120</v>
      </c>
      <c r="W17" s="17" t="str">
        <f aca="false">IF((E17="q"),H17," ")</f>
        <v> </v>
      </c>
      <c r="X17" s="17" t="str">
        <f aca="false">IF((E17="m"),H17," ")</f>
        <v> </v>
      </c>
      <c r="Y17" s="17" t="str">
        <f aca="false">IF((E17="u"),H17," ")</f>
        <v> </v>
      </c>
      <c r="Z17" s="17" t="str">
        <f aca="false">IF((E17="a"),H17," ")</f>
        <v> </v>
      </c>
      <c r="AA17" s="17" t="str">
        <f aca="false">IF((E17="g"),H17," ")</f>
        <v> </v>
      </c>
      <c r="AB17" s="17" t="str">
        <f aca="false">IF((E17="h"),H17," ")</f>
        <v> </v>
      </c>
      <c r="AC17" s="30" t="str">
        <f aca="false">IF((E17="v"),H17," ")</f>
        <v> </v>
      </c>
      <c r="AD17" s="30" t="str">
        <f aca="false">IF((E17="n"),H17," ")</f>
        <v> </v>
      </c>
      <c r="AE17" s="17" t="str">
        <f aca="false">IF((E17="f"),H17," ")</f>
        <v> </v>
      </c>
      <c r="AF17" s="17" t="str">
        <f aca="false">IF((E17="l"),H17," ")</f>
        <v> </v>
      </c>
      <c r="AG17" s="17" t="str">
        <f aca="false">IF((E17="y"),H17," ")</f>
        <v> </v>
      </c>
      <c r="AH17" s="17" t="str">
        <f aca="false">IF((E17="z"),H17," ")</f>
        <v> </v>
      </c>
      <c r="AI17" s="17" t="str">
        <f aca="false">IF((E17="fa"),H17," ")</f>
        <v> </v>
      </c>
      <c r="AJ17" s="17" t="str">
        <f aca="false">IF((E17="e"),H17," ")</f>
        <v> </v>
      </c>
      <c r="BZ17" s="2" t="s">
        <v>175</v>
      </c>
    </row>
    <row r="18" customFormat="false" ht="12" hidden="false" customHeight="false" outlineLevel="0" collapsed="false">
      <c r="A18" s="28" t="n">
        <v>46672</v>
      </c>
      <c r="B18" s="2" t="s">
        <v>124</v>
      </c>
      <c r="D18" s="2" t="s">
        <v>125</v>
      </c>
      <c r="E18" s="2" t="s">
        <v>106</v>
      </c>
      <c r="F18" s="30" t="n">
        <v>18</v>
      </c>
      <c r="G18" s="6" t="n">
        <f aca="false">IF(F18&lt;&gt;0,F18*G$2/(100+G$2)," ")</f>
        <v>3</v>
      </c>
      <c r="H18" s="6" t="n">
        <f aca="false">IF((F18&lt;&gt;0),F18-G18," ")</f>
        <v>15</v>
      </c>
      <c r="I18" s="5"/>
      <c r="L18" s="7" t="n">
        <f aca="false">IF(F18&lt;&gt;0,F18-K18," ")</f>
        <v>18</v>
      </c>
      <c r="M18" s="8" t="n">
        <f aca="false">IF((F18-K18)&lt;&gt;0,M$1-A18," ")</f>
        <v>-394</v>
      </c>
      <c r="N18" s="5"/>
      <c r="O18" s="17" t="str">
        <f aca="false">IF((E18="s"),H18," ")</f>
        <v> </v>
      </c>
      <c r="P18" s="17" t="str">
        <f aca="false">IF((E18="c"),H18," ")</f>
        <v> </v>
      </c>
      <c r="Q18" s="17" t="str">
        <f aca="false">IF((E18="o"),H18," ")</f>
        <v> </v>
      </c>
      <c r="R18" s="17" t="str">
        <f aca="false">IF((E18="d"),H18," ")</f>
        <v> </v>
      </c>
      <c r="S18" s="17" t="str">
        <f aca="false">IF((E18="w"),H18," ")</f>
        <v> </v>
      </c>
      <c r="T18" s="17" t="str">
        <f aca="false">IF((E18="r"),H18," ")</f>
        <v> </v>
      </c>
      <c r="U18" s="17" t="str">
        <f aca="false">IF((E18="p"),H18," ")</f>
        <v> </v>
      </c>
      <c r="V18" s="17" t="str">
        <f aca="false">IF((E18="t"),H18," ")</f>
        <v> </v>
      </c>
      <c r="W18" s="17" t="str">
        <f aca="false">IF((E18="q"),H18," ")</f>
        <v> </v>
      </c>
      <c r="X18" s="17" t="str">
        <f aca="false">IF((E18="m"),H18," ")</f>
        <v> </v>
      </c>
      <c r="Y18" s="17" t="str">
        <f aca="false">IF((E18="u"),H18," ")</f>
        <v> </v>
      </c>
      <c r="Z18" s="17" t="str">
        <f aca="false">IF((E18="a"),H18," ")</f>
        <v> </v>
      </c>
      <c r="AA18" s="17" t="str">
        <f aca="false">IF((E18="g"),H18," ")</f>
        <v> </v>
      </c>
      <c r="AB18" s="17" t="str">
        <f aca="false">IF((E18="h"),H18," ")</f>
        <v> </v>
      </c>
      <c r="AC18" s="30" t="n">
        <f aca="false">IF((E18="v"),H18," ")</f>
        <v>15</v>
      </c>
      <c r="AD18" s="30" t="str">
        <f aca="false">IF((E18="n"),H18," ")</f>
        <v> </v>
      </c>
      <c r="AE18" s="17" t="str">
        <f aca="false">IF((E18="f"),H18," ")</f>
        <v> </v>
      </c>
      <c r="AF18" s="17" t="str">
        <f aca="false">IF((E18="l"),H18," ")</f>
        <v> </v>
      </c>
      <c r="AG18" s="17" t="str">
        <f aca="false">IF((E18="y"),H18," ")</f>
        <v> </v>
      </c>
      <c r="AH18" s="17" t="str">
        <f aca="false">IF((E18="z"),H18," ")</f>
        <v> </v>
      </c>
      <c r="AI18" s="17" t="str">
        <f aca="false">IF((E18="fa"),H18," ")</f>
        <v> </v>
      </c>
      <c r="AJ18" s="17" t="str">
        <f aca="false">IF((E18="e"),H18," ")</f>
        <v> </v>
      </c>
      <c r="BZ18" s="2" t="s">
        <v>107</v>
      </c>
    </row>
    <row r="19" customFormat="false" ht="12" hidden="false" customHeight="false" outlineLevel="0" collapsed="false">
      <c r="A19" s="28" t="n">
        <v>46674</v>
      </c>
      <c r="B19" s="2" t="s">
        <v>128</v>
      </c>
      <c r="D19" s="2" t="s">
        <v>129</v>
      </c>
      <c r="E19" s="2" t="s">
        <v>112</v>
      </c>
      <c r="F19" s="30" t="n">
        <v>24</v>
      </c>
      <c r="G19" s="6" t="n">
        <f aca="false">IF(F19&lt;&gt;0,F19*G$2/(100+G$2)," ")</f>
        <v>4</v>
      </c>
      <c r="H19" s="6" t="n">
        <f aca="false">IF((F19&lt;&gt;0),F19-G19," ")</f>
        <v>20</v>
      </c>
      <c r="I19" s="5"/>
      <c r="L19" s="7" t="n">
        <f aca="false">IF(F19&lt;&gt;0,F19-K19," ")</f>
        <v>24</v>
      </c>
      <c r="M19" s="8" t="n">
        <f aca="false">IF((F19-K19)&lt;&gt;0,M$1-A19," ")</f>
        <v>-396</v>
      </c>
      <c r="N19" s="5"/>
      <c r="O19" s="17" t="str">
        <f aca="false">IF((E19="s"),H19," ")</f>
        <v> </v>
      </c>
      <c r="P19" s="17" t="str">
        <f aca="false">IF((E19="c"),H19," ")</f>
        <v> </v>
      </c>
      <c r="Q19" s="17" t="str">
        <f aca="false">IF((E19="o"),H19," ")</f>
        <v> </v>
      </c>
      <c r="R19" s="17" t="str">
        <f aca="false">IF((E19="d"),H19," ")</f>
        <v> </v>
      </c>
      <c r="S19" s="17" t="str">
        <f aca="false">IF((E19="w"),H19," ")</f>
        <v> </v>
      </c>
      <c r="T19" s="17" t="str">
        <f aca="false">IF((E19="r"),H19," ")</f>
        <v> </v>
      </c>
      <c r="U19" s="17" t="str">
        <f aca="false">IF((E19="p"),H19," ")</f>
        <v> </v>
      </c>
      <c r="V19" s="17" t="str">
        <f aca="false">IF((E19="t"),H19," ")</f>
        <v> </v>
      </c>
      <c r="W19" s="17" t="str">
        <f aca="false">IF((E19="q"),H19," ")</f>
        <v> </v>
      </c>
      <c r="X19" s="17" t="str">
        <f aca="false">IF((E19="m"),H19," ")</f>
        <v> </v>
      </c>
      <c r="Y19" s="17" t="str">
        <f aca="false">IF((E19="u"),H19," ")</f>
        <v> </v>
      </c>
      <c r="Z19" s="17" t="str">
        <f aca="false">IF((E19="a"),H19," ")</f>
        <v> </v>
      </c>
      <c r="AA19" s="17" t="str">
        <f aca="false">IF((E19="g"),H19," ")</f>
        <v> </v>
      </c>
      <c r="AB19" s="17" t="n">
        <f aca="false">IF((E19="h"),H19," ")</f>
        <v>20</v>
      </c>
      <c r="AC19" s="30" t="str">
        <f aca="false">IF((E19="v"),H19," ")</f>
        <v> </v>
      </c>
      <c r="AD19" s="30" t="str">
        <f aca="false">IF((E19="n"),H19," ")</f>
        <v> </v>
      </c>
      <c r="AE19" s="17" t="str">
        <f aca="false">IF((E19="f"),H19," ")</f>
        <v> </v>
      </c>
      <c r="AF19" s="17" t="str">
        <f aca="false">IF((E19="l"),H19," ")</f>
        <v> </v>
      </c>
      <c r="AG19" s="17" t="str">
        <f aca="false">IF((E19="y"),H19," ")</f>
        <v> </v>
      </c>
      <c r="AH19" s="17" t="str">
        <f aca="false">IF((E19="z"),H19," ")</f>
        <v> </v>
      </c>
      <c r="AI19" s="17" t="str">
        <f aca="false">IF((E19="fa"),H19," ")</f>
        <v> </v>
      </c>
      <c r="AJ19" s="17" t="str">
        <f aca="false">IF((E19="e"),H19," ")</f>
        <v> </v>
      </c>
      <c r="BZ19" s="2" t="s">
        <v>113</v>
      </c>
    </row>
    <row r="20" customFormat="false" ht="12" hidden="false" customHeight="false" outlineLevel="0" collapsed="false">
      <c r="A20" s="28" t="n">
        <v>46674</v>
      </c>
      <c r="B20" s="2" t="s">
        <v>130</v>
      </c>
      <c r="D20" s="2" t="s">
        <v>131</v>
      </c>
      <c r="E20" s="2" t="s">
        <v>112</v>
      </c>
      <c r="F20" s="30" t="n">
        <v>12</v>
      </c>
      <c r="G20" s="6" t="n">
        <f aca="false">IF(F20&lt;&gt;0,F20*G$2/(100+G$2)," ")</f>
        <v>2</v>
      </c>
      <c r="H20" s="6" t="n">
        <f aca="false">IF((F20&lt;&gt;0),F20-G20," ")</f>
        <v>10</v>
      </c>
      <c r="I20" s="5"/>
      <c r="L20" s="7" t="n">
        <f aca="false">IF(F20&lt;&gt;0,F20-K20," ")</f>
        <v>12</v>
      </c>
      <c r="M20" s="8" t="n">
        <f aca="false">IF((F20-K20)&lt;&gt;0,M$1-A20," ")</f>
        <v>-396</v>
      </c>
      <c r="N20" s="5"/>
      <c r="O20" s="17" t="str">
        <f aca="false">IF((E20="s"),H20," ")</f>
        <v> </v>
      </c>
      <c r="P20" s="17" t="str">
        <f aca="false">IF((E20="c"),H20," ")</f>
        <v> </v>
      </c>
      <c r="Q20" s="17" t="str">
        <f aca="false">IF((E20="o"),H20," ")</f>
        <v> </v>
      </c>
      <c r="R20" s="17" t="str">
        <f aca="false">IF((E20="d"),H20," ")</f>
        <v> </v>
      </c>
      <c r="S20" s="17" t="str">
        <f aca="false">IF((E20="w"),H20," ")</f>
        <v> </v>
      </c>
      <c r="T20" s="17" t="str">
        <f aca="false">IF((E20="r"),H20," ")</f>
        <v> </v>
      </c>
      <c r="U20" s="17" t="str">
        <f aca="false">IF((E20="p"),H20," ")</f>
        <v> </v>
      </c>
      <c r="V20" s="17" t="str">
        <f aca="false">IF((E20="t"),H20," ")</f>
        <v> </v>
      </c>
      <c r="W20" s="17" t="str">
        <f aca="false">IF((E20="q"),H20," ")</f>
        <v> </v>
      </c>
      <c r="X20" s="17" t="str">
        <f aca="false">IF((E20="m"),H20," ")</f>
        <v> </v>
      </c>
      <c r="Y20" s="17" t="str">
        <f aca="false">IF((E20="u"),H20," ")</f>
        <v> </v>
      </c>
      <c r="Z20" s="17" t="str">
        <f aca="false">IF((E20="a"),H20," ")</f>
        <v> </v>
      </c>
      <c r="AA20" s="17" t="str">
        <f aca="false">IF((E20="g"),H20," ")</f>
        <v> </v>
      </c>
      <c r="AB20" s="17" t="n">
        <f aca="false">IF((E20="h"),H20," ")</f>
        <v>10</v>
      </c>
      <c r="AC20" s="30" t="str">
        <f aca="false">IF((E20="v"),H20," ")</f>
        <v> </v>
      </c>
      <c r="AD20" s="30" t="str">
        <f aca="false">IF((E20="n"),H20," ")</f>
        <v> </v>
      </c>
      <c r="AE20" s="17" t="str">
        <f aca="false">IF((E20="f"),H20," ")</f>
        <v> </v>
      </c>
      <c r="AF20" s="17" t="str">
        <f aca="false">IF((E20="l"),H20," ")</f>
        <v> </v>
      </c>
      <c r="AG20" s="17" t="str">
        <f aca="false">IF((E20="y"),H20," ")</f>
        <v> </v>
      </c>
      <c r="AH20" s="17" t="str">
        <f aca="false">IF((E20="z"),H20," ")</f>
        <v> </v>
      </c>
      <c r="AI20" s="17" t="str">
        <f aca="false">IF((E20="fa"),H20," ")</f>
        <v> </v>
      </c>
      <c r="AJ20" s="17" t="str">
        <f aca="false">IF((E20="e"),H20," ")</f>
        <v> </v>
      </c>
      <c r="BZ20" s="2" t="s">
        <v>113</v>
      </c>
    </row>
    <row r="21" customFormat="false" ht="12" hidden="false" customHeight="false" outlineLevel="0" collapsed="false">
      <c r="A21" s="28" t="n">
        <v>46675</v>
      </c>
      <c r="B21" s="2" t="s">
        <v>20</v>
      </c>
      <c r="D21" s="2" t="s">
        <v>105</v>
      </c>
      <c r="E21" s="2" t="s">
        <v>106</v>
      </c>
      <c r="F21" s="30" t="n">
        <v>150</v>
      </c>
      <c r="G21" s="6" t="n">
        <f aca="false">IF(F21&lt;&gt;0,F21*G$2/(100+G$2)," ")</f>
        <v>25</v>
      </c>
      <c r="H21" s="6" t="n">
        <f aca="false">IF((F21&lt;&gt;0),F21-G21," ")</f>
        <v>125</v>
      </c>
      <c r="I21" s="5"/>
      <c r="L21" s="7" t="n">
        <f aca="false">IF(F21&lt;&gt;0,F21-K21," ")</f>
        <v>150</v>
      </c>
      <c r="M21" s="8" t="n">
        <f aca="false">IF((F21-K21)&lt;&gt;0,M$1-A21," ")</f>
        <v>-397</v>
      </c>
      <c r="N21" s="5"/>
      <c r="O21" s="17" t="str">
        <f aca="false">IF((E21="s"),H21," ")</f>
        <v> </v>
      </c>
      <c r="P21" s="17" t="str">
        <f aca="false">IF((E21="c"),H21," ")</f>
        <v> </v>
      </c>
      <c r="Q21" s="17" t="str">
        <f aca="false">IF((E21="o"),H21," ")</f>
        <v> </v>
      </c>
      <c r="R21" s="17" t="str">
        <f aca="false">IF((E21="d"),H21," ")</f>
        <v> </v>
      </c>
      <c r="S21" s="17" t="str">
        <f aca="false">IF((E21="w"),H21," ")</f>
        <v> </v>
      </c>
      <c r="T21" s="17" t="str">
        <f aca="false">IF((E21="r"),H21," ")</f>
        <v> </v>
      </c>
      <c r="U21" s="17" t="str">
        <f aca="false">IF((E21="p"),H21," ")</f>
        <v> </v>
      </c>
      <c r="V21" s="17" t="str">
        <f aca="false">IF((E21="t"),H21," ")</f>
        <v> </v>
      </c>
      <c r="W21" s="17" t="str">
        <f aca="false">IF((E21="q"),H21," ")</f>
        <v> </v>
      </c>
      <c r="X21" s="17" t="str">
        <f aca="false">IF((E21="m"),H21," ")</f>
        <v> </v>
      </c>
      <c r="Y21" s="17" t="str">
        <f aca="false">IF((E21="u"),H21," ")</f>
        <v> </v>
      </c>
      <c r="Z21" s="17" t="str">
        <f aca="false">IF((E21="a"),H21," ")</f>
        <v> </v>
      </c>
      <c r="AA21" s="17" t="str">
        <f aca="false">IF((E21="g"),H21," ")</f>
        <v> </v>
      </c>
      <c r="AB21" s="17" t="str">
        <f aca="false">IF((E21="h"),H21," ")</f>
        <v> </v>
      </c>
      <c r="AC21" s="30" t="n">
        <f aca="false">IF((E21="v"),H21," ")</f>
        <v>125</v>
      </c>
      <c r="AD21" s="30" t="str">
        <f aca="false">IF((E21="n"),H21," ")</f>
        <v> </v>
      </c>
      <c r="AE21" s="17" t="str">
        <f aca="false">IF((E21="f"),H21," ")</f>
        <v> </v>
      </c>
      <c r="AF21" s="17" t="str">
        <f aca="false">IF((E21="l"),H21," ")</f>
        <v> </v>
      </c>
      <c r="AG21" s="17" t="str">
        <f aca="false">IF((E21="y"),H21," ")</f>
        <v> </v>
      </c>
      <c r="AH21" s="17" t="str">
        <f aca="false">IF((E21="z"),H21," ")</f>
        <v> </v>
      </c>
      <c r="AI21" s="17" t="str">
        <f aca="false">IF((E21="fa"),H21," ")</f>
        <v> </v>
      </c>
      <c r="AJ21" s="17" t="str">
        <f aca="false">IF((E21="e"),H21," ")</f>
        <v> </v>
      </c>
      <c r="BZ21" s="2" t="s">
        <v>107</v>
      </c>
    </row>
    <row r="22" customFormat="false" ht="12" hidden="false" customHeight="false" outlineLevel="0" collapsed="false">
      <c r="A22" s="28" t="n">
        <v>46675</v>
      </c>
      <c r="B22" s="2" t="s">
        <v>132</v>
      </c>
      <c r="D22" s="2" t="s">
        <v>133</v>
      </c>
      <c r="E22" s="2" t="s">
        <v>80</v>
      </c>
      <c r="F22" s="30" t="n">
        <v>12</v>
      </c>
      <c r="G22" s="6" t="n">
        <f aca="false">IF(F22&lt;&gt;0,F22*G$2/(100+G$2)," ")</f>
        <v>2</v>
      </c>
      <c r="H22" s="6" t="n">
        <f aca="false">IF((F22&lt;&gt;0),F22-G22," ")</f>
        <v>10</v>
      </c>
      <c r="I22" s="5"/>
      <c r="L22" s="7" t="n">
        <f aca="false">IF(F22&lt;&gt;0,F22-K22," ")</f>
        <v>12</v>
      </c>
      <c r="M22" s="8" t="n">
        <f aca="false">IF((F22-K22)&lt;&gt;0,M$1-A22," ")</f>
        <v>-397</v>
      </c>
      <c r="N22" s="5"/>
      <c r="O22" s="17" t="str">
        <f aca="false">IF((E22="s"),H22," ")</f>
        <v> </v>
      </c>
      <c r="P22" s="17" t="str">
        <f aca="false">IF((E22="c"),H22," ")</f>
        <v> </v>
      </c>
      <c r="Q22" s="17" t="str">
        <f aca="false">IF((E22="o"),H22," ")</f>
        <v> </v>
      </c>
      <c r="R22" s="17" t="str">
        <f aca="false">IF((E22="d"),H22," ")</f>
        <v> </v>
      </c>
      <c r="S22" s="17" t="str">
        <f aca="false">IF((E22="w"),H22," ")</f>
        <v> </v>
      </c>
      <c r="T22" s="17" t="str">
        <f aca="false">IF((E22="r"),H22," ")</f>
        <v> </v>
      </c>
      <c r="U22" s="17" t="str">
        <f aca="false">IF((E22="p"),H22," ")</f>
        <v> </v>
      </c>
      <c r="V22" s="17" t="str">
        <f aca="false">IF((E22="t"),H22," ")</f>
        <v> </v>
      </c>
      <c r="W22" s="17" t="str">
        <f aca="false">IF((E22="q"),H22," ")</f>
        <v> </v>
      </c>
      <c r="X22" s="17" t="str">
        <f aca="false">IF((E22="m"),H22," ")</f>
        <v> </v>
      </c>
      <c r="Y22" s="17" t="str">
        <f aca="false">IF((E22="u"),H22," ")</f>
        <v> </v>
      </c>
      <c r="Z22" s="17" t="str">
        <f aca="false">IF((E22="a"),H22," ")</f>
        <v> </v>
      </c>
      <c r="AA22" s="17" t="n">
        <f aca="false">IF((E22="g"),H22," ")</f>
        <v>10</v>
      </c>
      <c r="AB22" s="17" t="str">
        <f aca="false">IF((E22="h"),H22," ")</f>
        <v> </v>
      </c>
      <c r="AC22" s="30" t="str">
        <f aca="false">IF((E22="v"),H22," ")</f>
        <v> </v>
      </c>
      <c r="AD22" s="30" t="str">
        <f aca="false">IF((E22="n"),H22," ")</f>
        <v> </v>
      </c>
      <c r="AE22" s="17" t="str">
        <f aca="false">IF((E22="f"),H22," ")</f>
        <v> </v>
      </c>
      <c r="AF22" s="17" t="str">
        <f aca="false">IF((E22="l"),H22," ")</f>
        <v> </v>
      </c>
      <c r="AG22" s="17" t="str">
        <f aca="false">IF((E22="y"),H22," ")</f>
        <v> </v>
      </c>
      <c r="AH22" s="17" t="str">
        <f aca="false">IF((E22="z"),H22," ")</f>
        <v> </v>
      </c>
      <c r="AI22" s="17" t="str">
        <f aca="false">IF((E22="fa"),H22," ")</f>
        <v> </v>
      </c>
      <c r="AJ22" s="17" t="str">
        <f aca="false">IF((E22="e"),H22," ")</f>
        <v> </v>
      </c>
      <c r="BZ22" s="2" t="s">
        <v>81</v>
      </c>
    </row>
    <row r="23" customFormat="false" ht="12" hidden="false" customHeight="false" outlineLevel="0" collapsed="false">
      <c r="A23" s="28" t="n">
        <v>46676</v>
      </c>
      <c r="B23" s="2" t="s">
        <v>170</v>
      </c>
      <c r="D23" s="2" t="s">
        <v>171</v>
      </c>
      <c r="E23" s="2" t="s">
        <v>80</v>
      </c>
      <c r="F23" s="30" t="n">
        <v>24</v>
      </c>
      <c r="G23" s="6" t="n">
        <f aca="false">IF(F23&lt;&gt;0,F23*G$2/(100+G$2)," ")</f>
        <v>4</v>
      </c>
      <c r="H23" s="6" t="n">
        <f aca="false">IF((F23&lt;&gt;0),F23-G23," ")</f>
        <v>20</v>
      </c>
      <c r="I23" s="5"/>
      <c r="L23" s="7" t="n">
        <f aca="false">IF(F23&lt;&gt;0,F23-K23," ")</f>
        <v>24</v>
      </c>
      <c r="M23" s="8" t="n">
        <f aca="false">IF((F23-K23)&lt;&gt;0,M$1-A23," ")</f>
        <v>-398</v>
      </c>
      <c r="N23" s="5"/>
      <c r="O23" s="17" t="str">
        <f aca="false">IF((E23="s"),H23," ")</f>
        <v> </v>
      </c>
      <c r="P23" s="17" t="str">
        <f aca="false">IF((E23="c"),H23," ")</f>
        <v> </v>
      </c>
      <c r="Q23" s="17" t="str">
        <f aca="false">IF((E23="o"),H23," ")</f>
        <v> </v>
      </c>
      <c r="R23" s="17" t="str">
        <f aca="false">IF((E23="d"),H23," ")</f>
        <v> </v>
      </c>
      <c r="S23" s="17" t="str">
        <f aca="false">IF((E23="w"),H23," ")</f>
        <v> </v>
      </c>
      <c r="T23" s="17" t="str">
        <f aca="false">IF((E23="r"),H23," ")</f>
        <v> </v>
      </c>
      <c r="U23" s="17" t="str">
        <f aca="false">IF((E23="p"),H23," ")</f>
        <v> </v>
      </c>
      <c r="V23" s="17" t="str">
        <f aca="false">IF((E23="t"),H23," ")</f>
        <v> </v>
      </c>
      <c r="W23" s="17" t="str">
        <f aca="false">IF((E23="q"),H23," ")</f>
        <v> </v>
      </c>
      <c r="X23" s="17" t="str">
        <f aca="false">IF((E23="m"),H23," ")</f>
        <v> </v>
      </c>
      <c r="Y23" s="17" t="str">
        <f aca="false">IF((E23="u"),H23," ")</f>
        <v> </v>
      </c>
      <c r="Z23" s="17" t="str">
        <f aca="false">IF((E23="a"),H23," ")</f>
        <v> </v>
      </c>
      <c r="AA23" s="17" t="n">
        <f aca="false">IF((E23="g"),H23," ")</f>
        <v>20</v>
      </c>
      <c r="AB23" s="17" t="str">
        <f aca="false">IF((E23="h"),H23," ")</f>
        <v> </v>
      </c>
      <c r="AC23" s="30" t="str">
        <f aca="false">IF((E23="v"),H23," ")</f>
        <v> </v>
      </c>
      <c r="AD23" s="30" t="str">
        <f aca="false">IF((E23="n"),H23," ")</f>
        <v> </v>
      </c>
      <c r="AE23" s="17" t="str">
        <f aca="false">IF((E23="f"),H23," ")</f>
        <v> </v>
      </c>
      <c r="AF23" s="17" t="str">
        <f aca="false">IF((E23="l"),H23," ")</f>
        <v> </v>
      </c>
      <c r="AG23" s="17" t="str">
        <f aca="false">IF((E23="y"),H23," ")</f>
        <v> </v>
      </c>
      <c r="AH23" s="17" t="str">
        <f aca="false">IF((E23="z"),H23," ")</f>
        <v> </v>
      </c>
      <c r="AI23" s="17" t="str">
        <f aca="false">IF((E23="fa"),H23," ")</f>
        <v> </v>
      </c>
      <c r="AJ23" s="17" t="str">
        <f aca="false">IF((E23="e"),H23," ")</f>
        <v> </v>
      </c>
      <c r="BZ23" s="2" t="s">
        <v>81</v>
      </c>
    </row>
    <row r="24" customFormat="false" ht="12" hidden="false" customHeight="false" outlineLevel="0" collapsed="false">
      <c r="A24" s="28" t="n">
        <v>46678</v>
      </c>
      <c r="B24" s="2" t="s">
        <v>190</v>
      </c>
      <c r="D24" s="2" t="s">
        <v>191</v>
      </c>
      <c r="E24" s="2" t="s">
        <v>122</v>
      </c>
      <c r="F24" s="30" t="n">
        <v>300</v>
      </c>
      <c r="G24" s="6" t="n">
        <f aca="false">IF(F24&lt;&gt;0,F24*G$2/(100+G$2)," ")</f>
        <v>50</v>
      </c>
      <c r="H24" s="6" t="n">
        <f aca="false">IF((F24&lt;&gt;0),F24-G24," ")</f>
        <v>250</v>
      </c>
      <c r="I24" s="5"/>
      <c r="L24" s="7" t="n">
        <f aca="false">IF(F24&lt;&gt;0,F24-K24," ")</f>
        <v>300</v>
      </c>
      <c r="M24" s="8" t="n">
        <f aca="false">IF((F24-K24)&lt;&gt;0,M$1-A24," ")</f>
        <v>-400</v>
      </c>
      <c r="N24" s="5"/>
      <c r="O24" s="17" t="n">
        <f aca="false">IF((E24="s"),H24," ")</f>
        <v>250</v>
      </c>
      <c r="P24" s="17" t="str">
        <f aca="false">IF((E24="c"),H24," ")</f>
        <v> </v>
      </c>
      <c r="Q24" s="17" t="str">
        <f aca="false">IF((E24="o"),H24," ")</f>
        <v> </v>
      </c>
      <c r="R24" s="17" t="str">
        <f aca="false">IF((E24="d"),H24," ")</f>
        <v> </v>
      </c>
      <c r="S24" s="17" t="str">
        <f aca="false">IF((E24="w"),H24," ")</f>
        <v> </v>
      </c>
      <c r="T24" s="17" t="str">
        <f aca="false">IF((E24="r"),H24," ")</f>
        <v> </v>
      </c>
      <c r="U24" s="17" t="str">
        <f aca="false">IF((E24="p"),H24," ")</f>
        <v> </v>
      </c>
      <c r="V24" s="17" t="str">
        <f aca="false">IF((E24="t"),H24," ")</f>
        <v> </v>
      </c>
      <c r="W24" s="17" t="str">
        <f aca="false">IF((E24="q"),H24," ")</f>
        <v> </v>
      </c>
      <c r="X24" s="17" t="str">
        <f aca="false">IF((E24="m"),H24," ")</f>
        <v> </v>
      </c>
      <c r="Y24" s="17" t="str">
        <f aca="false">IF((E24="u"),H24," ")</f>
        <v> </v>
      </c>
      <c r="Z24" s="17" t="str">
        <f aca="false">IF((E24="a"),H24," ")</f>
        <v> </v>
      </c>
      <c r="AA24" s="17" t="str">
        <f aca="false">IF((E24="g"),H24," ")</f>
        <v> </v>
      </c>
      <c r="AB24" s="17" t="str">
        <f aca="false">IF((E24="h"),H24," ")</f>
        <v> </v>
      </c>
      <c r="AC24" s="30" t="str">
        <f aca="false">IF((E24="v"),H24," ")</f>
        <v> </v>
      </c>
      <c r="AD24" s="30" t="str">
        <f aca="false">IF((E24="n"),H24," ")</f>
        <v> </v>
      </c>
      <c r="AE24" s="17" t="str">
        <f aca="false">IF((E24="f"),H24," ")</f>
        <v> </v>
      </c>
      <c r="AF24" s="17" t="str">
        <f aca="false">IF((E24="l"),H24," ")</f>
        <v> </v>
      </c>
      <c r="AG24" s="17" t="str">
        <f aca="false">IF((E24="y"),H24," ")</f>
        <v> </v>
      </c>
      <c r="AH24" s="17" t="str">
        <f aca="false">IF((E24="z"),H24," ")</f>
        <v> </v>
      </c>
      <c r="AI24" s="17" t="str">
        <f aca="false">IF((E24="fa"),H24," ")</f>
        <v> </v>
      </c>
      <c r="AJ24" s="17" t="str">
        <f aca="false">IF((E24="e"),H24," ")</f>
        <v> </v>
      </c>
      <c r="BZ24" s="2" t="s">
        <v>123</v>
      </c>
    </row>
    <row r="25" customFormat="false" ht="12" hidden="false" customHeight="false" outlineLevel="0" collapsed="false">
      <c r="A25" s="28" t="n">
        <v>46678</v>
      </c>
      <c r="B25" s="2" t="s">
        <v>134</v>
      </c>
      <c r="D25" s="2" t="s">
        <v>105</v>
      </c>
      <c r="E25" s="2" t="s">
        <v>106</v>
      </c>
      <c r="F25" s="30" t="n">
        <v>96</v>
      </c>
      <c r="G25" s="6" t="n">
        <f aca="false">IF(F25&lt;&gt;0,F25*G$2/(100+G$2)," ")</f>
        <v>16</v>
      </c>
      <c r="H25" s="6" t="n">
        <f aca="false">IF((F25&lt;&gt;0),F25-G25," ")</f>
        <v>80</v>
      </c>
      <c r="I25" s="5"/>
      <c r="L25" s="7" t="n">
        <f aca="false">IF(F25&lt;&gt;0,F25-K25," ")</f>
        <v>96</v>
      </c>
      <c r="M25" s="8" t="n">
        <f aca="false">IF((F25-K25)&lt;&gt;0,M$1-A25," ")</f>
        <v>-400</v>
      </c>
      <c r="N25" s="5"/>
      <c r="O25" s="17" t="str">
        <f aca="false">IF((E25="s"),H25," ")</f>
        <v> </v>
      </c>
      <c r="P25" s="17" t="str">
        <f aca="false">IF((E25="c"),H25," ")</f>
        <v> </v>
      </c>
      <c r="Q25" s="17" t="str">
        <f aca="false">IF((E25="o"),H25," ")</f>
        <v> </v>
      </c>
      <c r="R25" s="17" t="str">
        <f aca="false">IF((E25="d"),H25," ")</f>
        <v> </v>
      </c>
      <c r="S25" s="17" t="str">
        <f aca="false">IF((E25="w"),H25," ")</f>
        <v> </v>
      </c>
      <c r="T25" s="17" t="str">
        <f aca="false">IF((E25="r"),H25," ")</f>
        <v> </v>
      </c>
      <c r="U25" s="17" t="str">
        <f aca="false">IF((E25="p"),H25," ")</f>
        <v> </v>
      </c>
      <c r="V25" s="17" t="str">
        <f aca="false">IF((E25="t"),H25," ")</f>
        <v> </v>
      </c>
      <c r="W25" s="17" t="str">
        <f aca="false">IF((E25="q"),H25," ")</f>
        <v> </v>
      </c>
      <c r="X25" s="17" t="str">
        <f aca="false">IF((E25="m"),H25," ")</f>
        <v> </v>
      </c>
      <c r="Y25" s="17" t="str">
        <f aca="false">IF((E25="u"),H25," ")</f>
        <v> </v>
      </c>
      <c r="Z25" s="17" t="str">
        <f aca="false">IF((E25="a"),H25," ")</f>
        <v> </v>
      </c>
      <c r="AA25" s="17" t="str">
        <f aca="false">IF((E25="g"),H25," ")</f>
        <v> </v>
      </c>
      <c r="AB25" s="17" t="str">
        <f aca="false">IF((E25="h"),H25," ")</f>
        <v> </v>
      </c>
      <c r="AC25" s="30" t="n">
        <f aca="false">IF((E25="v"),H25," ")</f>
        <v>80</v>
      </c>
      <c r="AD25" s="30" t="str">
        <f aca="false">IF((E25="n"),H25," ")</f>
        <v> </v>
      </c>
      <c r="AE25" s="17" t="str">
        <f aca="false">IF((E25="f"),H25," ")</f>
        <v> </v>
      </c>
      <c r="AF25" s="17" t="str">
        <f aca="false">IF((E25="l"),H25," ")</f>
        <v> </v>
      </c>
      <c r="AG25" s="17" t="str">
        <f aca="false">IF((E25="y"),H25," ")</f>
        <v> </v>
      </c>
      <c r="AH25" s="17" t="str">
        <f aca="false">IF((E25="z"),H25," ")</f>
        <v> </v>
      </c>
      <c r="AI25" s="17" t="str">
        <f aca="false">IF((E25="fa"),H25," ")</f>
        <v> </v>
      </c>
      <c r="AJ25" s="17" t="str">
        <f aca="false">IF((E25="e"),H25," ")</f>
        <v> </v>
      </c>
      <c r="BZ25" s="2" t="s">
        <v>107</v>
      </c>
    </row>
    <row r="26" customFormat="false" ht="12" hidden="false" customHeight="false" outlineLevel="0" collapsed="false">
      <c r="A26" s="28" t="n">
        <v>46680</v>
      </c>
      <c r="B26" s="2" t="s">
        <v>135</v>
      </c>
      <c r="D26" s="2" t="s">
        <v>136</v>
      </c>
      <c r="E26" s="2" t="s">
        <v>80</v>
      </c>
      <c r="F26" s="30" t="n">
        <v>60</v>
      </c>
      <c r="G26" s="6" t="n">
        <f aca="false">IF(F26&lt;&gt;0,F26*G$2/(100+G$2)," ")</f>
        <v>10</v>
      </c>
      <c r="H26" s="6" t="n">
        <f aca="false">IF((F26&lt;&gt;0),F26-G26," ")</f>
        <v>50</v>
      </c>
      <c r="I26" s="5"/>
      <c r="L26" s="7" t="n">
        <f aca="false">IF(F26&lt;&gt;0,F26-K26," ")</f>
        <v>60</v>
      </c>
      <c r="M26" s="8" t="n">
        <f aca="false">IF((F26-K26)&lt;&gt;0,M$1-A26," ")</f>
        <v>-402</v>
      </c>
      <c r="N26" s="5"/>
      <c r="O26" s="17" t="str">
        <f aca="false">IF((E26="s"),H26," ")</f>
        <v> </v>
      </c>
      <c r="P26" s="17" t="str">
        <f aca="false">IF((E26="c"),H26," ")</f>
        <v> </v>
      </c>
      <c r="Q26" s="17" t="str">
        <f aca="false">IF((E26="o"),H26," ")</f>
        <v> </v>
      </c>
      <c r="R26" s="17" t="str">
        <f aca="false">IF((E26="d"),H26," ")</f>
        <v> </v>
      </c>
      <c r="S26" s="17" t="str">
        <f aca="false">IF((E26="w"),H26," ")</f>
        <v> </v>
      </c>
      <c r="T26" s="17" t="str">
        <f aca="false">IF((E26="r"),H26," ")</f>
        <v> </v>
      </c>
      <c r="U26" s="17" t="str">
        <f aca="false">IF((E26="p"),H26," ")</f>
        <v> </v>
      </c>
      <c r="V26" s="17" t="str">
        <f aca="false">IF((E26="t"),H26," ")</f>
        <v> </v>
      </c>
      <c r="W26" s="17" t="str">
        <f aca="false">IF((E26="q"),H26," ")</f>
        <v> </v>
      </c>
      <c r="X26" s="17" t="str">
        <f aca="false">IF((E26="m"),H26," ")</f>
        <v> </v>
      </c>
      <c r="Y26" s="17" t="str">
        <f aca="false">IF((E26="u"),H26," ")</f>
        <v> </v>
      </c>
      <c r="Z26" s="17" t="str">
        <f aca="false">IF((E26="a"),H26," ")</f>
        <v> </v>
      </c>
      <c r="AA26" s="17" t="n">
        <f aca="false">IF((E26="g"),H26," ")</f>
        <v>50</v>
      </c>
      <c r="AB26" s="17" t="str">
        <f aca="false">IF((E26="h"),H26," ")</f>
        <v> </v>
      </c>
      <c r="AC26" s="30" t="str">
        <f aca="false">IF((E26="v"),H26," ")</f>
        <v> </v>
      </c>
      <c r="AD26" s="30" t="str">
        <f aca="false">IF((E26="n"),H26," ")</f>
        <v> </v>
      </c>
      <c r="AE26" s="17" t="str">
        <f aca="false">IF((E26="f"),H26," ")</f>
        <v> </v>
      </c>
      <c r="AF26" s="17" t="str">
        <f aca="false">IF((E26="l"),H26," ")</f>
        <v> </v>
      </c>
      <c r="AG26" s="17" t="str">
        <f aca="false">IF((E26="y"),H26," ")</f>
        <v> </v>
      </c>
      <c r="AH26" s="17" t="str">
        <f aca="false">IF((E26="z"),H26," ")</f>
        <v> </v>
      </c>
      <c r="AI26" s="17" t="str">
        <f aca="false">IF((E26="fa"),H26," ")</f>
        <v> </v>
      </c>
      <c r="AJ26" s="17" t="str">
        <f aca="false">IF((E26="e"),H26," ")</f>
        <v> </v>
      </c>
      <c r="BZ26" s="2" t="s">
        <v>81</v>
      </c>
    </row>
    <row r="27" customFormat="false" ht="12" hidden="false" customHeight="false" outlineLevel="0" collapsed="false">
      <c r="A27" s="28" t="n">
        <v>46681</v>
      </c>
      <c r="B27" s="2" t="s">
        <v>141</v>
      </c>
      <c r="D27" s="2" t="s">
        <v>142</v>
      </c>
      <c r="E27" s="2" t="s">
        <v>112</v>
      </c>
      <c r="F27" s="30" t="n">
        <v>8</v>
      </c>
      <c r="G27" s="6" t="n">
        <f aca="false">IF(F27&lt;&gt;0,F27*G$2/(100+G$2)," ")</f>
        <v>1.33333333333333</v>
      </c>
      <c r="H27" s="6" t="n">
        <f aca="false">IF((F27&lt;&gt;0),F27-G27," ")</f>
        <v>6.66666666666667</v>
      </c>
      <c r="I27" s="5"/>
      <c r="L27" s="7" t="n">
        <f aca="false">IF(F27&lt;&gt;0,F27-K27," ")</f>
        <v>8</v>
      </c>
      <c r="M27" s="8" t="n">
        <f aca="false">IF((F27-K27)&lt;&gt;0,M$1-A27," ")</f>
        <v>-403</v>
      </c>
      <c r="N27" s="5"/>
      <c r="O27" s="17" t="str">
        <f aca="false">IF((E27="s"),H27," ")</f>
        <v> </v>
      </c>
      <c r="P27" s="17" t="str">
        <f aca="false">IF((E27="c"),H27," ")</f>
        <v> </v>
      </c>
      <c r="Q27" s="17" t="str">
        <f aca="false">IF((E27="o"),H27," ")</f>
        <v> </v>
      </c>
      <c r="R27" s="17" t="str">
        <f aca="false">IF((E27="d"),H27," ")</f>
        <v> </v>
      </c>
      <c r="S27" s="17" t="str">
        <f aca="false">IF((E27="w"),H27," ")</f>
        <v> </v>
      </c>
      <c r="T27" s="17" t="str">
        <f aca="false">IF((E27="r"),H27," ")</f>
        <v> </v>
      </c>
      <c r="U27" s="17" t="str">
        <f aca="false">IF((E27="p"),H27," ")</f>
        <v> </v>
      </c>
      <c r="V27" s="17" t="str">
        <f aca="false">IF((E27="t"),H27," ")</f>
        <v> </v>
      </c>
      <c r="W27" s="17" t="str">
        <f aca="false">IF((E27="q"),H27," ")</f>
        <v> </v>
      </c>
      <c r="X27" s="17" t="str">
        <f aca="false">IF((E27="m"),H27," ")</f>
        <v> </v>
      </c>
      <c r="Y27" s="17" t="str">
        <f aca="false">IF((E27="u"),H27," ")</f>
        <v> </v>
      </c>
      <c r="Z27" s="17" t="str">
        <f aca="false">IF((E27="a"),H27," ")</f>
        <v> </v>
      </c>
      <c r="AA27" s="17" t="str">
        <f aca="false">IF((E27="g"),H27," ")</f>
        <v> </v>
      </c>
      <c r="AB27" s="17" t="n">
        <f aca="false">IF((E27="h"),H27," ")</f>
        <v>6.66666666666667</v>
      </c>
      <c r="AC27" s="30" t="str">
        <f aca="false">IF((E27="v"),H27," ")</f>
        <v> </v>
      </c>
      <c r="AD27" s="30" t="str">
        <f aca="false">IF((E27="n"),H27," ")</f>
        <v> </v>
      </c>
      <c r="AE27" s="17" t="str">
        <f aca="false">IF((E27="f"),H27," ")</f>
        <v> </v>
      </c>
      <c r="AF27" s="17" t="str">
        <f aca="false">IF((E27="l"),H27," ")</f>
        <v> </v>
      </c>
      <c r="AG27" s="17" t="str">
        <f aca="false">IF((E27="y"),H27," ")</f>
        <v> </v>
      </c>
      <c r="AH27" s="17" t="str">
        <f aca="false">IF((E27="z"),H27," ")</f>
        <v> </v>
      </c>
      <c r="AI27" s="17" t="str">
        <f aca="false">IF((E27="fa"),H27," ")</f>
        <v> </v>
      </c>
      <c r="AJ27" s="17" t="str">
        <f aca="false">IF((E27="e"),H27," ")</f>
        <v> </v>
      </c>
      <c r="BZ27" s="2" t="s">
        <v>113</v>
      </c>
    </row>
    <row r="28" customFormat="false" ht="12" hidden="false" customHeight="false" outlineLevel="0" collapsed="false">
      <c r="A28" s="28" t="n">
        <v>46682</v>
      </c>
      <c r="B28" s="2" t="s">
        <v>143</v>
      </c>
      <c r="D28" s="2" t="s">
        <v>144</v>
      </c>
      <c r="E28" s="2" t="s">
        <v>100</v>
      </c>
      <c r="F28" s="30" t="n">
        <v>18</v>
      </c>
      <c r="G28" s="6" t="n">
        <f aca="false">IF(F28&lt;&gt;0,F28*G$2/(100+G$2)," ")</f>
        <v>3</v>
      </c>
      <c r="H28" s="6" t="n">
        <f aca="false">IF((F28&lt;&gt;0),F28-G28," ")</f>
        <v>15</v>
      </c>
      <c r="I28" s="5"/>
      <c r="L28" s="7" t="n">
        <f aca="false">IF(F28&lt;&gt;0,F28-K28," ")</f>
        <v>18</v>
      </c>
      <c r="M28" s="8" t="n">
        <f aca="false">IF((F28-K28)&lt;&gt;0,M$1-A28," ")</f>
        <v>-404</v>
      </c>
      <c r="N28" s="5"/>
      <c r="O28" s="17" t="str">
        <f aca="false">IF((E28="s"),H28," ")</f>
        <v> </v>
      </c>
      <c r="P28" s="17" t="str">
        <f aca="false">IF((E28="c"),H28," ")</f>
        <v> </v>
      </c>
      <c r="Q28" s="17" t="str">
        <f aca="false">IF((E28="o"),H28," ")</f>
        <v> </v>
      </c>
      <c r="R28" s="17" t="str">
        <f aca="false">IF((E28="d"),H28," ")</f>
        <v> </v>
      </c>
      <c r="S28" s="17" t="str">
        <f aca="false">IF((E28="w"),H28," ")</f>
        <v> </v>
      </c>
      <c r="T28" s="17" t="str">
        <f aca="false">IF((E28="r"),H28," ")</f>
        <v> </v>
      </c>
      <c r="U28" s="17" t="str">
        <f aca="false">IF((E28="p"),H28," ")</f>
        <v> </v>
      </c>
      <c r="V28" s="17" t="str">
        <f aca="false">IF((E28="t"),H28," ")</f>
        <v> </v>
      </c>
      <c r="W28" s="17" t="str">
        <f aca="false">IF((E28="q"),H28," ")</f>
        <v> </v>
      </c>
      <c r="X28" s="17" t="str">
        <f aca="false">IF((E28="m"),H28," ")</f>
        <v> </v>
      </c>
      <c r="Y28" s="17" t="n">
        <f aca="false">IF((E28="u"),H28," ")</f>
        <v>15</v>
      </c>
      <c r="Z28" s="17" t="str">
        <f aca="false">IF((E28="a"),H28," ")</f>
        <v> </v>
      </c>
      <c r="AA28" s="17" t="str">
        <f aca="false">IF((E28="g"),H28," ")</f>
        <v> </v>
      </c>
      <c r="AB28" s="17" t="str">
        <f aca="false">IF((E28="h"),H28," ")</f>
        <v> </v>
      </c>
      <c r="AC28" s="30" t="str">
        <f aca="false">IF((E28="v"),H28," ")</f>
        <v> </v>
      </c>
      <c r="AD28" s="30" t="str">
        <f aca="false">IF((E28="n"),H28," ")</f>
        <v> </v>
      </c>
      <c r="AE28" s="17" t="str">
        <f aca="false">IF((E28="f"),H28," ")</f>
        <v> </v>
      </c>
      <c r="AF28" s="17" t="str">
        <f aca="false">IF((E28="l"),H28," ")</f>
        <v> </v>
      </c>
      <c r="AG28" s="17" t="str">
        <f aca="false">IF((E28="y"),H28," ")</f>
        <v> </v>
      </c>
      <c r="AH28" s="17" t="str">
        <f aca="false">IF((E28="z"),H28," ")</f>
        <v> </v>
      </c>
      <c r="AI28" s="17" t="str">
        <f aca="false">IF((E28="fa"),H28," ")</f>
        <v> </v>
      </c>
      <c r="AJ28" s="17" t="str">
        <f aca="false">IF((E28="e"),H28," ")</f>
        <v> </v>
      </c>
      <c r="BZ28" s="2" t="s">
        <v>101</v>
      </c>
    </row>
    <row r="29" customFormat="false" ht="12" hidden="false" customHeight="false" outlineLevel="0" collapsed="false">
      <c r="A29" s="28" t="n">
        <v>46682</v>
      </c>
      <c r="B29" s="2" t="s">
        <v>178</v>
      </c>
      <c r="D29" s="2" t="s">
        <v>179</v>
      </c>
      <c r="E29" s="2" t="s">
        <v>106</v>
      </c>
      <c r="F29" s="30" t="n">
        <v>60</v>
      </c>
      <c r="G29" s="6" t="n">
        <f aca="false">IF(F29&lt;&gt;0,F29*G$2/(100+G$2)," ")</f>
        <v>10</v>
      </c>
      <c r="H29" s="6" t="n">
        <f aca="false">IF((F29&lt;&gt;0),F29-G29," ")</f>
        <v>50</v>
      </c>
      <c r="I29" s="5"/>
      <c r="L29" s="7" t="n">
        <f aca="false">IF(F29&lt;&gt;0,F29-K29," ")</f>
        <v>60</v>
      </c>
      <c r="M29" s="8" t="n">
        <f aca="false">IF((F29-K29)&lt;&gt;0,M$1-A29," ")</f>
        <v>-404</v>
      </c>
      <c r="N29" s="5"/>
      <c r="O29" s="17" t="str">
        <f aca="false">IF((E29="s"),H29," ")</f>
        <v> </v>
      </c>
      <c r="P29" s="17" t="str">
        <f aca="false">IF((E29="c"),H29," ")</f>
        <v> </v>
      </c>
      <c r="Q29" s="17" t="str">
        <f aca="false">IF((E29="o"),H29," ")</f>
        <v> </v>
      </c>
      <c r="R29" s="17" t="str">
        <f aca="false">IF((E29="d"),H29," ")</f>
        <v> </v>
      </c>
      <c r="S29" s="17" t="str">
        <f aca="false">IF((E29="w"),H29," ")</f>
        <v> </v>
      </c>
      <c r="T29" s="17" t="str">
        <f aca="false">IF((E29="r"),H29," ")</f>
        <v> </v>
      </c>
      <c r="U29" s="17" t="str">
        <f aca="false">IF((E29="p"),H29," ")</f>
        <v> </v>
      </c>
      <c r="V29" s="17" t="str">
        <f aca="false">IF((E29="t"),H29," ")</f>
        <v> </v>
      </c>
      <c r="W29" s="17" t="str">
        <f aca="false">IF((E29="q"),H29," ")</f>
        <v> </v>
      </c>
      <c r="X29" s="17" t="str">
        <f aca="false">IF((E29="m"),H29," ")</f>
        <v> </v>
      </c>
      <c r="Y29" s="17" t="str">
        <f aca="false">IF((E29="u"),H29," ")</f>
        <v> </v>
      </c>
      <c r="Z29" s="17" t="str">
        <f aca="false">IF((E29="a"),H29," ")</f>
        <v> </v>
      </c>
      <c r="AA29" s="17" t="str">
        <f aca="false">IF((E29="g"),H29," ")</f>
        <v> </v>
      </c>
      <c r="AB29" s="17" t="str">
        <f aca="false">IF((E29="h"),H29," ")</f>
        <v> </v>
      </c>
      <c r="AC29" s="30" t="n">
        <f aca="false">IF((E29="v"),H29," ")</f>
        <v>50</v>
      </c>
      <c r="AD29" s="30" t="str">
        <f aca="false">IF((E29="n"),H29," ")</f>
        <v> </v>
      </c>
      <c r="AE29" s="17" t="str">
        <f aca="false">IF((E29="f"),H29," ")</f>
        <v> </v>
      </c>
      <c r="AF29" s="17" t="str">
        <f aca="false">IF((E29="l"),H29," ")</f>
        <v> </v>
      </c>
      <c r="AG29" s="17" t="str">
        <f aca="false">IF((E29="y"),H29," ")</f>
        <v> </v>
      </c>
      <c r="AH29" s="17" t="str">
        <f aca="false">IF((E29="z"),H29," ")</f>
        <v> </v>
      </c>
      <c r="AI29" s="17" t="str">
        <f aca="false">IF((E29="fa"),H29," ")</f>
        <v> </v>
      </c>
      <c r="AJ29" s="17" t="str">
        <f aca="false">IF((E29="e"),H29," ")</f>
        <v> </v>
      </c>
      <c r="BZ29" s="2" t="s">
        <v>107</v>
      </c>
    </row>
    <row r="30" customFormat="false" ht="12" hidden="false" customHeight="false" outlineLevel="0" collapsed="false">
      <c r="A30" s="28" t="n">
        <v>46685</v>
      </c>
      <c r="B30" s="2" t="s">
        <v>192</v>
      </c>
      <c r="D30" s="2" t="s">
        <v>193</v>
      </c>
      <c r="E30" s="2" t="s">
        <v>194</v>
      </c>
      <c r="F30" s="30" t="n">
        <v>360</v>
      </c>
      <c r="G30" s="6" t="n">
        <f aca="false">IF(F30&lt;&gt;0,F30*G$2/(100+G$2)," ")</f>
        <v>60</v>
      </c>
      <c r="H30" s="6" t="n">
        <f aca="false">IF((F30&lt;&gt;0),F30-G30," ")</f>
        <v>300</v>
      </c>
      <c r="I30" s="5"/>
      <c r="L30" s="7" t="n">
        <f aca="false">IF(F30&lt;&gt;0,F30-K30," ")</f>
        <v>360</v>
      </c>
      <c r="M30" s="8" t="n">
        <f aca="false">IF((F30-K30)&lt;&gt;0,M$1-A30," ")</f>
        <v>-407</v>
      </c>
      <c r="N30" s="5"/>
      <c r="O30" s="17" t="str">
        <f aca="false">IF((E30="s"),H30," ")</f>
        <v> </v>
      </c>
      <c r="P30" s="17" t="str">
        <f aca="false">IF((E30="c"),H30," ")</f>
        <v> </v>
      </c>
      <c r="Q30" s="17" t="str">
        <f aca="false">IF((E30="o"),H30," ")</f>
        <v> </v>
      </c>
      <c r="R30" s="17" t="str">
        <f aca="false">IF((E30="d"),H30," ")</f>
        <v> </v>
      </c>
      <c r="S30" s="17" t="str">
        <f aca="false">IF((E30="w"),H30," ")</f>
        <v> </v>
      </c>
      <c r="T30" s="17" t="str">
        <f aca="false">IF((E30="r"),H30," ")</f>
        <v> </v>
      </c>
      <c r="U30" s="17" t="n">
        <f aca="false">IF((E30="p"),H30," ")</f>
        <v>300</v>
      </c>
      <c r="V30" s="17" t="str">
        <f aca="false">IF((E30="t"),H30," ")</f>
        <v> </v>
      </c>
      <c r="W30" s="17" t="str">
        <f aca="false">IF((E30="q"),H30," ")</f>
        <v> </v>
      </c>
      <c r="X30" s="17" t="str">
        <f aca="false">IF((E30="m"),H30," ")</f>
        <v> </v>
      </c>
      <c r="Y30" s="17" t="str">
        <f aca="false">IF((E30="u"),H30," ")</f>
        <v> </v>
      </c>
      <c r="Z30" s="17" t="str">
        <f aca="false">IF((E30="a"),H30," ")</f>
        <v> </v>
      </c>
      <c r="AA30" s="17" t="str">
        <f aca="false">IF((E30="g"),H30," ")</f>
        <v> </v>
      </c>
      <c r="AB30" s="17" t="str">
        <f aca="false">IF((E30="h"),H30," ")</f>
        <v> </v>
      </c>
      <c r="AC30" s="30" t="str">
        <f aca="false">IF((E30="v"),H30," ")</f>
        <v> </v>
      </c>
      <c r="AD30" s="30" t="str">
        <f aca="false">IF((E30="n"),H30," ")</f>
        <v> </v>
      </c>
      <c r="AE30" s="17" t="str">
        <f aca="false">IF((E30="f"),H30," ")</f>
        <v> </v>
      </c>
      <c r="AF30" s="17" t="str">
        <f aca="false">IF((E30="l"),H30," ")</f>
        <v> </v>
      </c>
      <c r="AG30" s="17" t="str">
        <f aca="false">IF((E30="y"),H30," ")</f>
        <v> </v>
      </c>
      <c r="AH30" s="17" t="str">
        <f aca="false">IF((E30="z"),H30," ")</f>
        <v> </v>
      </c>
      <c r="AI30" s="17" t="str">
        <f aca="false">IF((E30="fa"),H30," ")</f>
        <v> </v>
      </c>
      <c r="AJ30" s="17" t="str">
        <f aca="false">IF((E30="e"),H30," ")</f>
        <v> </v>
      </c>
      <c r="BZ30" s="2" t="s">
        <v>195</v>
      </c>
    </row>
    <row r="31" customFormat="false" ht="12" hidden="false" customHeight="false" outlineLevel="0" collapsed="false">
      <c r="A31" s="28" t="n">
        <v>46685</v>
      </c>
      <c r="B31" s="2" t="s">
        <v>145</v>
      </c>
      <c r="D31" s="2" t="s">
        <v>146</v>
      </c>
      <c r="E31" s="2" t="s">
        <v>100</v>
      </c>
      <c r="F31" s="30" t="n">
        <v>15</v>
      </c>
      <c r="G31" s="6" t="n">
        <f aca="false">IF(F31&lt;&gt;0,F31*G$2/(100+G$2)," ")</f>
        <v>2.5</v>
      </c>
      <c r="H31" s="6" t="n">
        <f aca="false">IF((F31&lt;&gt;0),F31-G31," ")</f>
        <v>12.5</v>
      </c>
      <c r="I31" s="5"/>
      <c r="L31" s="7" t="n">
        <f aca="false">IF(F31&lt;&gt;0,F31-K31," ")</f>
        <v>15</v>
      </c>
      <c r="M31" s="8" t="n">
        <f aca="false">IF((F31-K31)&lt;&gt;0,M$1-A31," ")</f>
        <v>-407</v>
      </c>
      <c r="N31" s="5"/>
      <c r="O31" s="17" t="str">
        <f aca="false">IF((E31="s"),H31," ")</f>
        <v> </v>
      </c>
      <c r="P31" s="17" t="str">
        <f aca="false">IF((E31="c"),H31," ")</f>
        <v> </v>
      </c>
      <c r="Q31" s="17" t="str">
        <f aca="false">IF((E31="o"),H31," ")</f>
        <v> </v>
      </c>
      <c r="R31" s="17" t="str">
        <f aca="false">IF((E31="d"),H31," ")</f>
        <v> </v>
      </c>
      <c r="S31" s="17" t="str">
        <f aca="false">IF((E31="w"),H31," ")</f>
        <v> </v>
      </c>
      <c r="T31" s="17" t="str">
        <f aca="false">IF((E31="r"),H31," ")</f>
        <v> </v>
      </c>
      <c r="U31" s="17" t="str">
        <f aca="false">IF((E31="p"),H31," ")</f>
        <v> </v>
      </c>
      <c r="V31" s="17" t="str">
        <f aca="false">IF((E31="t"),H31," ")</f>
        <v> </v>
      </c>
      <c r="W31" s="17" t="str">
        <f aca="false">IF((E31="q"),H31," ")</f>
        <v> </v>
      </c>
      <c r="X31" s="17" t="str">
        <f aca="false">IF((E31="m"),H31," ")</f>
        <v> </v>
      </c>
      <c r="Y31" s="17" t="n">
        <f aca="false">IF((E31="u"),H31," ")</f>
        <v>12.5</v>
      </c>
      <c r="Z31" s="17" t="str">
        <f aca="false">IF((E31="a"),H31," ")</f>
        <v> </v>
      </c>
      <c r="AA31" s="17" t="str">
        <f aca="false">IF((E31="g"),H31," ")</f>
        <v> </v>
      </c>
      <c r="AB31" s="17" t="str">
        <f aca="false">IF((E31="h"),H31," ")</f>
        <v> </v>
      </c>
      <c r="AC31" s="30" t="str">
        <f aca="false">IF((E31="v"),H31," ")</f>
        <v> </v>
      </c>
      <c r="AD31" s="30" t="str">
        <f aca="false">IF((E31="n"),H31," ")</f>
        <v> </v>
      </c>
      <c r="AE31" s="17" t="str">
        <f aca="false">IF((E31="f"),H31," ")</f>
        <v> </v>
      </c>
      <c r="AF31" s="17" t="str">
        <f aca="false">IF((E31="l"),H31," ")</f>
        <v> </v>
      </c>
      <c r="AG31" s="17" t="str">
        <f aca="false">IF((E31="y"),H31," ")</f>
        <v> </v>
      </c>
      <c r="AH31" s="17" t="str">
        <f aca="false">IF((E31="z"),H31," ")</f>
        <v> </v>
      </c>
      <c r="AI31" s="17" t="str">
        <f aca="false">IF((E31="fa"),H31," ")</f>
        <v> </v>
      </c>
      <c r="AJ31" s="17" t="str">
        <f aca="false">IF((E31="e"),H31," ")</f>
        <v> </v>
      </c>
      <c r="BZ31" s="2" t="s">
        <v>101</v>
      </c>
    </row>
    <row r="32" customFormat="false" ht="12" hidden="false" customHeight="false" outlineLevel="0" collapsed="false">
      <c r="A32" s="28" t="n">
        <v>46685</v>
      </c>
      <c r="B32" s="2" t="s">
        <v>147</v>
      </c>
      <c r="D32" s="2" t="s">
        <v>251</v>
      </c>
      <c r="E32" s="2" t="s">
        <v>106</v>
      </c>
      <c r="F32" s="30" t="n">
        <v>58.5</v>
      </c>
      <c r="G32" s="6" t="n">
        <f aca="false">IF(F32&lt;&gt;0,F32*G$2/(100+G$2)," ")</f>
        <v>9.75</v>
      </c>
      <c r="H32" s="6" t="n">
        <f aca="false">IF((F32&lt;&gt;0),F32-G32," ")</f>
        <v>48.75</v>
      </c>
      <c r="I32" s="5"/>
      <c r="L32" s="7" t="n">
        <f aca="false">IF(F32&lt;&gt;0,F32-K32," ")</f>
        <v>58.5</v>
      </c>
      <c r="M32" s="8" t="n">
        <f aca="false">IF((F32-K32)&lt;&gt;0,M$1-A32," ")</f>
        <v>-407</v>
      </c>
      <c r="N32" s="5"/>
      <c r="O32" s="17" t="str">
        <f aca="false">IF((E32="s"),H32," ")</f>
        <v> </v>
      </c>
      <c r="P32" s="17" t="str">
        <f aca="false">IF((E32="c"),H32," ")</f>
        <v> </v>
      </c>
      <c r="Q32" s="17" t="str">
        <f aca="false">IF((E32="o"),H32," ")</f>
        <v> </v>
      </c>
      <c r="R32" s="17" t="str">
        <f aca="false">IF((E32="d"),H32," ")</f>
        <v> </v>
      </c>
      <c r="S32" s="17" t="str">
        <f aca="false">IF((E32="w"),H32," ")</f>
        <v> </v>
      </c>
      <c r="T32" s="17" t="str">
        <f aca="false">IF((E32="r"),H32," ")</f>
        <v> </v>
      </c>
      <c r="U32" s="17" t="str">
        <f aca="false">IF((E32="p"),H32," ")</f>
        <v> </v>
      </c>
      <c r="V32" s="17" t="str">
        <f aca="false">IF((E32="t"),H32," ")</f>
        <v> </v>
      </c>
      <c r="W32" s="17" t="str">
        <f aca="false">IF((E32="q"),H32," ")</f>
        <v> </v>
      </c>
      <c r="X32" s="17" t="str">
        <f aca="false">IF((E32="m"),H32," ")</f>
        <v> </v>
      </c>
      <c r="Y32" s="17" t="str">
        <f aca="false">IF((E32="u"),H32," ")</f>
        <v> </v>
      </c>
      <c r="Z32" s="17" t="str">
        <f aca="false">IF((E32="a"),H32," ")</f>
        <v> </v>
      </c>
      <c r="AA32" s="17" t="str">
        <f aca="false">IF((E32="g"),H32," ")</f>
        <v> </v>
      </c>
      <c r="AB32" s="17" t="str">
        <f aca="false">IF((E32="h"),H32," ")</f>
        <v> </v>
      </c>
      <c r="AC32" s="30" t="n">
        <f aca="false">IF((E32="v"),H32," ")</f>
        <v>48.75</v>
      </c>
      <c r="AD32" s="30" t="str">
        <f aca="false">IF((E32="n"),H32," ")</f>
        <v> </v>
      </c>
      <c r="AE32" s="17" t="str">
        <f aca="false">IF((E32="f"),H32," ")</f>
        <v> </v>
      </c>
      <c r="AF32" s="17" t="str">
        <f aca="false">IF((E32="l"),H32," ")</f>
        <v> </v>
      </c>
      <c r="AG32" s="17" t="str">
        <f aca="false">IF((E32="y"),H32," ")</f>
        <v> </v>
      </c>
      <c r="AH32" s="17" t="str">
        <f aca="false">IF((E32="z"),H32," ")</f>
        <v> </v>
      </c>
      <c r="AI32" s="17" t="str">
        <f aca="false">IF((E32="fa"),H32," ")</f>
        <v> </v>
      </c>
      <c r="AJ32" s="17" t="str">
        <f aca="false">IF((E32="e"),H32," ")</f>
        <v> </v>
      </c>
      <c r="BZ32" s="2" t="s">
        <v>107</v>
      </c>
    </row>
    <row r="33" customFormat="false" ht="12" hidden="false" customHeight="false" outlineLevel="0" collapsed="false">
      <c r="A33" s="28" t="n">
        <v>46688</v>
      </c>
      <c r="B33" s="2" t="s">
        <v>20</v>
      </c>
      <c r="D33" s="2" t="s">
        <v>149</v>
      </c>
      <c r="E33" s="2" t="s">
        <v>106</v>
      </c>
      <c r="F33" s="30" t="n">
        <v>120</v>
      </c>
      <c r="G33" s="6" t="n">
        <f aca="false">IF(F33&lt;&gt;0,F33*G$2/(100+G$2)," ")</f>
        <v>20</v>
      </c>
      <c r="H33" s="6" t="n">
        <f aca="false">IF((F33&lt;&gt;0),F33-G33," ")</f>
        <v>100</v>
      </c>
      <c r="I33" s="5"/>
      <c r="L33" s="7" t="n">
        <f aca="false">IF(F33&lt;&gt;0,F33-K33," ")</f>
        <v>120</v>
      </c>
      <c r="M33" s="8" t="n">
        <f aca="false">IF((F33-K33)&lt;&gt;0,M$1-A33," ")</f>
        <v>-410</v>
      </c>
      <c r="N33" s="5"/>
      <c r="O33" s="17" t="str">
        <f aca="false">IF((E33="s"),H33," ")</f>
        <v> </v>
      </c>
      <c r="P33" s="17" t="str">
        <f aca="false">IF((E33="c"),H33," ")</f>
        <v> </v>
      </c>
      <c r="Q33" s="17" t="str">
        <f aca="false">IF((E33="o"),H33," ")</f>
        <v> </v>
      </c>
      <c r="R33" s="17" t="str">
        <f aca="false">IF((E33="d"),H33," ")</f>
        <v> </v>
      </c>
      <c r="S33" s="17" t="str">
        <f aca="false">IF((E33="w"),H33," ")</f>
        <v> </v>
      </c>
      <c r="T33" s="17" t="str">
        <f aca="false">IF((E33="r"),H33," ")</f>
        <v> </v>
      </c>
      <c r="U33" s="17" t="str">
        <f aca="false">IF((E33="p"),H33," ")</f>
        <v> </v>
      </c>
      <c r="V33" s="17" t="str">
        <f aca="false">IF((E33="t"),H33," ")</f>
        <v> </v>
      </c>
      <c r="W33" s="17" t="str">
        <f aca="false">IF((E33="q"),H33," ")</f>
        <v> </v>
      </c>
      <c r="X33" s="17" t="str">
        <f aca="false">IF((E33="m"),H33," ")</f>
        <v> </v>
      </c>
      <c r="Y33" s="17" t="str">
        <f aca="false">IF((E33="u"),H33," ")</f>
        <v> </v>
      </c>
      <c r="Z33" s="17" t="str">
        <f aca="false">IF((E33="a"),H33," ")</f>
        <v> </v>
      </c>
      <c r="AA33" s="17" t="str">
        <f aca="false">IF((E33="g"),H33," ")</f>
        <v> </v>
      </c>
      <c r="AB33" s="17" t="str">
        <f aca="false">IF((E33="h"),H33," ")</f>
        <v> </v>
      </c>
      <c r="AC33" s="30" t="n">
        <f aca="false">IF((E33="v"),H33," ")</f>
        <v>100</v>
      </c>
      <c r="AD33" s="30" t="str">
        <f aca="false">IF((E33="n"),H33," ")</f>
        <v> </v>
      </c>
      <c r="AE33" s="17" t="str">
        <f aca="false">IF((E33="f"),H33," ")</f>
        <v> </v>
      </c>
      <c r="AF33" s="17" t="str">
        <f aca="false">IF((E33="l"),H33," ")</f>
        <v> </v>
      </c>
      <c r="AG33" s="17" t="str">
        <f aca="false">IF((E33="y"),H33," ")</f>
        <v> </v>
      </c>
      <c r="AH33" s="17" t="str">
        <f aca="false">IF((E33="z"),H33," ")</f>
        <v> </v>
      </c>
      <c r="AI33" s="17" t="str">
        <f aca="false">IF((E33="fa"),H33," ")</f>
        <v> </v>
      </c>
      <c r="AJ33" s="17" t="str">
        <f aca="false">IF((E33="e"),H33," ")</f>
        <v> </v>
      </c>
      <c r="BZ33" s="2" t="s">
        <v>107</v>
      </c>
    </row>
    <row r="34" customFormat="false" ht="12" hidden="false" customHeight="false" outlineLevel="0" collapsed="false">
      <c r="A34" s="28" t="n">
        <v>46691</v>
      </c>
      <c r="B34" s="2" t="s">
        <v>16</v>
      </c>
      <c r="D34" s="2" t="s">
        <v>150</v>
      </c>
      <c r="E34" s="2" t="s">
        <v>151</v>
      </c>
      <c r="F34" s="30" t="n">
        <v>300</v>
      </c>
      <c r="G34" s="6" t="n">
        <f aca="false">IF(F34&lt;&gt;0,F34*G$2/(100+G$2)," ")</f>
        <v>50</v>
      </c>
      <c r="H34" s="6" t="n">
        <f aca="false">IF((F34&lt;&gt;0),F34-G34," ")</f>
        <v>250</v>
      </c>
      <c r="I34" s="5"/>
      <c r="L34" s="7" t="n">
        <f aca="false">IF(F34&lt;&gt;0,F34-K34," ")</f>
        <v>300</v>
      </c>
      <c r="M34" s="8" t="n">
        <f aca="false">IF((F34-K34)&lt;&gt;0,M$1-A34," ")</f>
        <v>-413</v>
      </c>
      <c r="N34" s="5"/>
      <c r="O34" s="17" t="str">
        <f aca="false">IF((E34="s"),H34," ")</f>
        <v> </v>
      </c>
      <c r="P34" s="17" t="str">
        <f aca="false">IF((E34="c"),H34," ")</f>
        <v> </v>
      </c>
      <c r="Q34" s="17" t="str">
        <f aca="false">IF((E34="o"),H34," ")</f>
        <v> </v>
      </c>
      <c r="R34" s="17" t="str">
        <f aca="false">IF((E34="d"),H34," ")</f>
        <v> </v>
      </c>
      <c r="S34" s="17" t="str">
        <f aca="false">IF((E34="w"),H34," ")</f>
        <v> </v>
      </c>
      <c r="T34" s="17" t="str">
        <f aca="false">IF((E34="r"),H34," ")</f>
        <v> </v>
      </c>
      <c r="U34" s="17" t="str">
        <f aca="false">IF((E34="p"),H34," ")</f>
        <v> </v>
      </c>
      <c r="V34" s="17" t="str">
        <f aca="false">IF((E34="t"),H34," ")</f>
        <v> </v>
      </c>
      <c r="W34" s="17" t="str">
        <f aca="false">IF((E34="q"),H34," ")</f>
        <v> </v>
      </c>
      <c r="X34" s="17" t="str">
        <f aca="false">IF((E34="m"),H34," ")</f>
        <v> </v>
      </c>
      <c r="Y34" s="17" t="str">
        <f aca="false">IF((E34="u"),H34," ")</f>
        <v> </v>
      </c>
      <c r="Z34" s="17" t="str">
        <f aca="false">IF((E34="a"),H34," ")</f>
        <v> </v>
      </c>
      <c r="AA34" s="17" t="str">
        <f aca="false">IF((E34="g"),H34," ")</f>
        <v> </v>
      </c>
      <c r="AB34" s="17" t="str">
        <f aca="false">IF((E34="h"),H34," ")</f>
        <v> </v>
      </c>
      <c r="AC34" s="30" t="str">
        <f aca="false">IF((E34="v"),H34," ")</f>
        <v> </v>
      </c>
      <c r="AD34" s="30" t="str">
        <f aca="false">IF((E34="n"),H34," ")</f>
        <v> </v>
      </c>
      <c r="AE34" s="17" t="str">
        <f aca="false">IF((E34="f"),H34," ")</f>
        <v> </v>
      </c>
      <c r="AF34" s="17" t="n">
        <f aca="false">IF((E34="l"),H34," ")</f>
        <v>250</v>
      </c>
      <c r="AG34" s="17" t="str">
        <f aca="false">IF((E34="y"),H34," ")</f>
        <v> </v>
      </c>
      <c r="AH34" s="17" t="str">
        <f aca="false">IF((E34="z"),H34," ")</f>
        <v> </v>
      </c>
      <c r="AI34" s="17" t="str">
        <f aca="false">IF((E34="fa"),H34," ")</f>
        <v> </v>
      </c>
      <c r="AJ34" s="17" t="str">
        <f aca="false">IF((E34="e"),H34," ")</f>
        <v> </v>
      </c>
      <c r="BZ34" s="2" t="s">
        <v>152</v>
      </c>
    </row>
    <row r="35" customFormat="false" ht="12" hidden="false" customHeight="false" outlineLevel="0" collapsed="false">
      <c r="A35" s="28" t="n">
        <v>46691</v>
      </c>
      <c r="B35" s="2" t="s">
        <v>197</v>
      </c>
      <c r="C35" s="3" t="s">
        <v>260</v>
      </c>
      <c r="D35" s="2" t="s">
        <v>199</v>
      </c>
      <c r="E35" s="2" t="s">
        <v>151</v>
      </c>
      <c r="F35" s="30" t="n">
        <v>125</v>
      </c>
      <c r="G35" s="6" t="n">
        <f aca="false">IF(F35&lt;&gt;0,F35*G$2/(100+G$2)," ")</f>
        <v>20.8333333333333</v>
      </c>
      <c r="H35" s="6" t="n">
        <f aca="false">IF((F35&lt;&gt;0),F35-G35," ")</f>
        <v>104.166666666667</v>
      </c>
      <c r="I35" s="5"/>
      <c r="L35" s="7" t="n">
        <f aca="false">IF(F35&lt;&gt;0,F35-K35," ")</f>
        <v>125</v>
      </c>
      <c r="M35" s="8" t="n">
        <f aca="false">IF((F35-K35)&lt;&gt;0,M$1-A35," ")</f>
        <v>-413</v>
      </c>
      <c r="N35" s="5"/>
      <c r="O35" s="17" t="str">
        <f aca="false">IF((E35="s"),H35," ")</f>
        <v> </v>
      </c>
      <c r="P35" s="17" t="str">
        <f aca="false">IF((E35="c"),H35," ")</f>
        <v> </v>
      </c>
      <c r="Q35" s="17" t="str">
        <f aca="false">IF((E35="o"),H35," ")</f>
        <v> </v>
      </c>
      <c r="R35" s="17" t="str">
        <f aca="false">IF((E35="d"),H35," ")</f>
        <v> </v>
      </c>
      <c r="S35" s="17" t="str">
        <f aca="false">IF((E35="w"),H35," ")</f>
        <v> </v>
      </c>
      <c r="T35" s="17" t="str">
        <f aca="false">IF((E35="r"),H35," ")</f>
        <v> </v>
      </c>
      <c r="U35" s="17" t="str">
        <f aca="false">IF((E35="p"),H35," ")</f>
        <v> </v>
      </c>
      <c r="V35" s="17" t="str">
        <f aca="false">IF((E35="t"),H35," ")</f>
        <v> </v>
      </c>
      <c r="W35" s="17" t="str">
        <f aca="false">IF((E35="q"),H35," ")</f>
        <v> </v>
      </c>
      <c r="X35" s="17" t="str">
        <f aca="false">IF((E35="m"),H35," ")</f>
        <v> </v>
      </c>
      <c r="Y35" s="17" t="str">
        <f aca="false">IF((E35="u"),H35," ")</f>
        <v> </v>
      </c>
      <c r="Z35" s="17" t="str">
        <f aca="false">IF((E35="a"),H35," ")</f>
        <v> </v>
      </c>
      <c r="AA35" s="17" t="str">
        <f aca="false">IF((E35="g"),H35," ")</f>
        <v> </v>
      </c>
      <c r="AB35" s="17" t="str">
        <f aca="false">IF((E35="h"),H35," ")</f>
        <v> </v>
      </c>
      <c r="AC35" s="30" t="str">
        <f aca="false">IF((E35="v"),H35," ")</f>
        <v> </v>
      </c>
      <c r="AD35" s="30" t="str">
        <f aca="false">IF((E35="n"),H35," ")</f>
        <v> </v>
      </c>
      <c r="AE35" s="17" t="str">
        <f aca="false">IF((E35="f"),H35," ")</f>
        <v> </v>
      </c>
      <c r="AF35" s="17" t="n">
        <f aca="false">IF((E35="l"),H35," ")</f>
        <v>104.166666666667</v>
      </c>
      <c r="AG35" s="17" t="str">
        <f aca="false">IF((E35="y"),H35," ")</f>
        <v> </v>
      </c>
      <c r="AH35" s="17" t="str">
        <f aca="false">IF((E35="z"),H35," ")</f>
        <v> </v>
      </c>
      <c r="AI35" s="17" t="str">
        <f aca="false">IF((E35="fa"),H35," ")</f>
        <v> </v>
      </c>
      <c r="AJ35" s="17" t="str">
        <f aca="false">IF((E35="e"),H35," ")</f>
        <v> </v>
      </c>
      <c r="BZ35" s="2" t="s">
        <v>200</v>
      </c>
    </row>
    <row r="36" customFormat="false" ht="12" hidden="false" customHeight="false" outlineLevel="0" collapsed="false">
      <c r="A36" s="28"/>
      <c r="E36" s="2"/>
      <c r="F36" s="30"/>
      <c r="G36" s="6" t="str">
        <f aca="false">IF(F36&lt;&gt;0,F36*G$2/(100+G$2)," ")</f>
        <v> </v>
      </c>
      <c r="H36" s="6" t="str">
        <f aca="false">IF((F36&lt;&gt;0),F36-G36," ")</f>
        <v> </v>
      </c>
      <c r="I36" s="5"/>
      <c r="L36" s="7" t="str">
        <f aca="false">IF(F36&lt;&gt;0,F36-K36," ")</f>
        <v> </v>
      </c>
      <c r="M36" s="8" t="str">
        <f aca="false">IF((F36-K36)&lt;&gt;0,M$1-A36," ")</f>
        <v> </v>
      </c>
      <c r="N36" s="5"/>
      <c r="O36" s="17" t="str">
        <f aca="false">IF((E36="s"),H36," ")</f>
        <v> </v>
      </c>
      <c r="P36" s="17" t="str">
        <f aca="false">IF((E36="c"),H36," ")</f>
        <v> </v>
      </c>
      <c r="Q36" s="17" t="str">
        <f aca="false">IF((E36="o"),H36," ")</f>
        <v> </v>
      </c>
      <c r="R36" s="17" t="str">
        <f aca="false">IF((E36="d"),H36," ")</f>
        <v> </v>
      </c>
      <c r="S36" s="17" t="str">
        <f aca="false">IF((E36="w"),H36," ")</f>
        <v> </v>
      </c>
      <c r="T36" s="17" t="str">
        <f aca="false">IF((E36="r"),H36," ")</f>
        <v> </v>
      </c>
      <c r="U36" s="17" t="str">
        <f aca="false">IF((E36="p"),H36," ")</f>
        <v> </v>
      </c>
      <c r="V36" s="17" t="str">
        <f aca="false">IF((E36="t"),H36," ")</f>
        <v> </v>
      </c>
      <c r="W36" s="17" t="str">
        <f aca="false">IF((E36="q"),H36," ")</f>
        <v> </v>
      </c>
      <c r="X36" s="17" t="str">
        <f aca="false">IF((E36="m"),H36," ")</f>
        <v> </v>
      </c>
      <c r="Y36" s="17" t="str">
        <f aca="false">IF((E36="u"),H36," ")</f>
        <v> </v>
      </c>
      <c r="Z36" s="17" t="str">
        <f aca="false">IF((E36="a"),H36," ")</f>
        <v> </v>
      </c>
      <c r="AA36" s="17" t="str">
        <f aca="false">IF((E36="g"),H36," ")</f>
        <v> </v>
      </c>
      <c r="AB36" s="17" t="str">
        <f aca="false">IF((E36="h"),H36," ")</f>
        <v> </v>
      </c>
      <c r="AC36" s="30" t="str">
        <f aca="false">IF((E36="v"),H36," ")</f>
        <v> </v>
      </c>
      <c r="AD36" s="30" t="str">
        <f aca="false">IF((E36="n"),H36," ")</f>
        <v> </v>
      </c>
      <c r="AE36" s="17" t="str">
        <f aca="false">IF((E36="f"),H36," ")</f>
        <v> </v>
      </c>
      <c r="AF36" s="17" t="str">
        <f aca="false">IF((E36="l"),H36," ")</f>
        <v> </v>
      </c>
      <c r="AG36" s="17" t="str">
        <f aca="false">IF((E36="y"),H36," ")</f>
        <v> </v>
      </c>
      <c r="AH36" s="17" t="str">
        <f aca="false">IF((E36="z"),H36," ")</f>
        <v> </v>
      </c>
      <c r="AI36" s="17" t="str">
        <f aca="false">IF((E36="fa"),H36," ")</f>
        <v> </v>
      </c>
      <c r="AJ36" s="17" t="str">
        <f aca="false">IF((E36="e"),H36," ")</f>
        <v> </v>
      </c>
    </row>
    <row r="37" customFormat="false" ht="12" hidden="false" customHeight="false" outlineLevel="0" collapsed="false">
      <c r="A37" s="28"/>
      <c r="E37" s="2"/>
      <c r="F37" s="30"/>
      <c r="G37" s="6" t="str">
        <f aca="false">IF(F37&lt;&gt;0,F37*G$2/(100+G$2)," ")</f>
        <v> </v>
      </c>
      <c r="H37" s="6" t="str">
        <f aca="false">IF((F37&lt;&gt;0),F37-G37," ")</f>
        <v> </v>
      </c>
      <c r="I37" s="5"/>
      <c r="L37" s="7" t="str">
        <f aca="false">IF(F37&lt;&gt;0,F37-K37," ")</f>
        <v> </v>
      </c>
      <c r="M37" s="8" t="str">
        <f aca="false">IF((F37-K37)&lt;&gt;0,M$1-A37," ")</f>
        <v> </v>
      </c>
      <c r="N37" s="5"/>
      <c r="O37" s="17" t="str">
        <f aca="false">IF((E37="s"),H37," ")</f>
        <v> </v>
      </c>
      <c r="P37" s="17" t="str">
        <f aca="false">IF((E37="c"),H37," ")</f>
        <v> </v>
      </c>
      <c r="Q37" s="17" t="str">
        <f aca="false">IF((E37="o"),H37," ")</f>
        <v> </v>
      </c>
      <c r="R37" s="17" t="str">
        <f aca="false">IF((E37="d"),H37," ")</f>
        <v> </v>
      </c>
      <c r="S37" s="17" t="str">
        <f aca="false">IF((E37="w"),H37," ")</f>
        <v> </v>
      </c>
      <c r="T37" s="17" t="str">
        <f aca="false">IF((E37="r"),H37," ")</f>
        <v> </v>
      </c>
      <c r="U37" s="17" t="str">
        <f aca="false">IF((E37="p"),H37," ")</f>
        <v> </v>
      </c>
      <c r="V37" s="17" t="str">
        <f aca="false">IF((E37="t"),H37," ")</f>
        <v> </v>
      </c>
      <c r="W37" s="17" t="str">
        <f aca="false">IF((E37="q"),H37," ")</f>
        <v> </v>
      </c>
      <c r="X37" s="17" t="str">
        <f aca="false">IF((E37="m"),H37," ")</f>
        <v> </v>
      </c>
      <c r="Y37" s="17" t="str">
        <f aca="false">IF((E37="u"),H37," ")</f>
        <v> </v>
      </c>
      <c r="Z37" s="17" t="str">
        <f aca="false">IF((E37="a"),H37," ")</f>
        <v> </v>
      </c>
      <c r="AA37" s="17" t="str">
        <f aca="false">IF((E37="g"),H37," ")</f>
        <v> </v>
      </c>
      <c r="AB37" s="17" t="str">
        <f aca="false">IF((E37="h"),H37," ")</f>
        <v> </v>
      </c>
      <c r="AC37" s="30" t="str">
        <f aca="false">IF((E37="v"),H37," ")</f>
        <v> </v>
      </c>
      <c r="AD37" s="30" t="str">
        <f aca="false">IF((E37="n"),H37," ")</f>
        <v> </v>
      </c>
      <c r="AE37" s="17" t="str">
        <f aca="false">IF((E37="f"),H37," ")</f>
        <v> </v>
      </c>
      <c r="AF37" s="17" t="str">
        <f aca="false">IF((E37="l"),H37," ")</f>
        <v> </v>
      </c>
      <c r="AG37" s="17" t="str">
        <f aca="false">IF((E37="y"),H37," ")</f>
        <v> </v>
      </c>
      <c r="AH37" s="17" t="str">
        <f aca="false">IF((E37="z"),H37," ")</f>
        <v> </v>
      </c>
      <c r="AI37" s="17" t="str">
        <f aca="false">IF((E37="fa"),H37," ")</f>
        <v> </v>
      </c>
      <c r="AJ37" s="17" t="str">
        <f aca="false">IF((E37="e"),H37," ")</f>
        <v> </v>
      </c>
    </row>
    <row r="38" customFormat="false" ht="12" hidden="false" customHeight="false" outlineLevel="0" collapsed="false">
      <c r="A38" s="28"/>
      <c r="E38" s="2"/>
      <c r="F38" s="30"/>
      <c r="G38" s="6" t="str">
        <f aca="false">IF(F38&lt;&gt;0,F38*G$2/(100+G$2)," ")</f>
        <v> </v>
      </c>
      <c r="H38" s="6" t="str">
        <f aca="false">IF((F38&lt;&gt;0),F38-G38," ")</f>
        <v> </v>
      </c>
      <c r="I38" s="5"/>
      <c r="L38" s="7" t="str">
        <f aca="false">IF(F38&lt;&gt;0,F38-K38," ")</f>
        <v> </v>
      </c>
      <c r="M38" s="8" t="str">
        <f aca="false">IF((F38-K38)&lt;&gt;0,M$1-A38," ")</f>
        <v> </v>
      </c>
      <c r="N38" s="5"/>
      <c r="O38" s="17" t="str">
        <f aca="false">IF((E38="s"),H38," ")</f>
        <v> </v>
      </c>
      <c r="P38" s="17" t="str">
        <f aca="false">IF((E38="c"),H38," ")</f>
        <v> </v>
      </c>
      <c r="Q38" s="17" t="str">
        <f aca="false">IF((E38="o"),H38," ")</f>
        <v> </v>
      </c>
      <c r="R38" s="17" t="str">
        <f aca="false">IF((E38="d"),H38," ")</f>
        <v> </v>
      </c>
      <c r="S38" s="17" t="str">
        <f aca="false">IF((E38="w"),H38," ")</f>
        <v> </v>
      </c>
      <c r="T38" s="17" t="str">
        <f aca="false">IF((E38="r"),H38," ")</f>
        <v> </v>
      </c>
      <c r="U38" s="17" t="str">
        <f aca="false">IF((E38="p"),H38," ")</f>
        <v> </v>
      </c>
      <c r="V38" s="17" t="str">
        <f aca="false">IF((E38="t"),H38," ")</f>
        <v> </v>
      </c>
      <c r="W38" s="17" t="str">
        <f aca="false">IF((E38="q"),H38," ")</f>
        <v> </v>
      </c>
      <c r="X38" s="17" t="str">
        <f aca="false">IF((E38="m"),H38," ")</f>
        <v> </v>
      </c>
      <c r="Y38" s="17" t="str">
        <f aca="false">IF((E38="u"),H38," ")</f>
        <v> </v>
      </c>
      <c r="Z38" s="17" t="str">
        <f aca="false">IF((E38="a"),H38," ")</f>
        <v> </v>
      </c>
      <c r="AA38" s="17" t="str">
        <f aca="false">IF((E38="g"),H38," ")</f>
        <v> </v>
      </c>
      <c r="AB38" s="17" t="str">
        <f aca="false">IF((E38="h"),H38," ")</f>
        <v> </v>
      </c>
      <c r="AC38" s="30" t="str">
        <f aca="false">IF((E38="v"),H38," ")</f>
        <v> </v>
      </c>
      <c r="AD38" s="30" t="str">
        <f aca="false">IF((E38="n"),H38," ")</f>
        <v> </v>
      </c>
      <c r="AE38" s="17" t="str">
        <f aca="false">IF((E38="f"),H38," ")</f>
        <v> </v>
      </c>
      <c r="AF38" s="17" t="str">
        <f aca="false">IF((E38="l"),H38," ")</f>
        <v> </v>
      </c>
      <c r="AG38" s="17" t="str">
        <f aca="false">IF((E38="y"),H38," ")</f>
        <v> </v>
      </c>
      <c r="AH38" s="17" t="str">
        <f aca="false">IF((E38="z"),H38," ")</f>
        <v> </v>
      </c>
      <c r="AI38" s="17" t="str">
        <f aca="false">IF((E38="fa"),H38," ")</f>
        <v> </v>
      </c>
      <c r="AJ38" s="17" t="str">
        <f aca="false">IF((E38="e"),H38," ")</f>
        <v> </v>
      </c>
    </row>
    <row r="39" customFormat="false" ht="12" hidden="false" customHeight="false" outlineLevel="0" collapsed="false">
      <c r="A39" s="28"/>
      <c r="E39" s="2"/>
      <c r="F39" s="30"/>
      <c r="G39" s="6" t="str">
        <f aca="false">IF(F39&lt;&gt;0,F39*G$2/(100+G$2)," ")</f>
        <v> </v>
      </c>
      <c r="H39" s="6" t="str">
        <f aca="false">IF((F39&lt;&gt;0),F39-G39," ")</f>
        <v> </v>
      </c>
      <c r="I39" s="5"/>
      <c r="L39" s="7" t="str">
        <f aca="false">IF(F39&lt;&gt;0,F39-K39," ")</f>
        <v> </v>
      </c>
      <c r="M39" s="8" t="str">
        <f aca="false">IF((F39-K39)&lt;&gt;0,M$1-A39," ")</f>
        <v> </v>
      </c>
      <c r="N39" s="5"/>
      <c r="O39" s="17" t="str">
        <f aca="false">IF((E39="s"),H39," ")</f>
        <v> </v>
      </c>
      <c r="P39" s="17" t="str">
        <f aca="false">IF((E39="c"),H39," ")</f>
        <v> </v>
      </c>
      <c r="Q39" s="17" t="str">
        <f aca="false">IF((E39="o"),H39," ")</f>
        <v> </v>
      </c>
      <c r="R39" s="17" t="str">
        <f aca="false">IF((E39="d"),H39," ")</f>
        <v> </v>
      </c>
      <c r="S39" s="17" t="str">
        <f aca="false">IF((E39="w"),H39," ")</f>
        <v> </v>
      </c>
      <c r="T39" s="17" t="str">
        <f aca="false">IF((E39="r"),H39," ")</f>
        <v> </v>
      </c>
      <c r="U39" s="17" t="str">
        <f aca="false">IF((E39="p"),H39," ")</f>
        <v> </v>
      </c>
      <c r="V39" s="17" t="str">
        <f aca="false">IF((E39="t"),H39," ")</f>
        <v> </v>
      </c>
      <c r="W39" s="17" t="str">
        <f aca="false">IF((E39="q"),H39," ")</f>
        <v> </v>
      </c>
      <c r="X39" s="17" t="str">
        <f aca="false">IF((E39="m"),H39," ")</f>
        <v> </v>
      </c>
      <c r="Y39" s="17" t="str">
        <f aca="false">IF((E39="u"),H39," ")</f>
        <v> </v>
      </c>
      <c r="Z39" s="17" t="str">
        <f aca="false">IF((E39="a"),H39," ")</f>
        <v> </v>
      </c>
      <c r="AA39" s="17" t="str">
        <f aca="false">IF((E39="g"),H39," ")</f>
        <v> </v>
      </c>
      <c r="AB39" s="17" t="str">
        <f aca="false">IF((E39="h"),H39," ")</f>
        <v> </v>
      </c>
      <c r="AC39" s="30" t="str">
        <f aca="false">IF((E39="v"),H39," ")</f>
        <v> </v>
      </c>
      <c r="AD39" s="30" t="str">
        <f aca="false">IF((E39="n"),H39," ")</f>
        <v> </v>
      </c>
      <c r="AE39" s="17" t="str">
        <f aca="false">IF((E39="f"),H39," ")</f>
        <v> </v>
      </c>
      <c r="AF39" s="17" t="str">
        <f aca="false">IF((E39="l"),H39," ")</f>
        <v> </v>
      </c>
      <c r="AG39" s="17" t="str">
        <f aca="false">IF((E39="y"),H39," ")</f>
        <v> </v>
      </c>
      <c r="AH39" s="17" t="str">
        <f aca="false">IF((E39="z"),H39," ")</f>
        <v> </v>
      </c>
      <c r="AI39" s="17" t="str">
        <f aca="false">IF((E39="fa"),H39," ")</f>
        <v> </v>
      </c>
      <c r="AJ39" s="17" t="str">
        <f aca="false">IF((E39="e"),H39," ")</f>
        <v> </v>
      </c>
    </row>
    <row r="40" customFormat="false" ht="12" hidden="false" customHeight="false" outlineLevel="0" collapsed="false">
      <c r="A40" s="28"/>
      <c r="E40" s="2"/>
      <c r="F40" s="30"/>
      <c r="G40" s="6" t="str">
        <f aca="false">IF(F40&lt;&gt;0,F40*G$2/(100+G$2)," ")</f>
        <v> </v>
      </c>
      <c r="H40" s="6" t="str">
        <f aca="false">IF((F40&lt;&gt;0),F40-G40," ")</f>
        <v> </v>
      </c>
      <c r="I40" s="5"/>
      <c r="L40" s="7" t="str">
        <f aca="false">IF(F40&lt;&gt;0,F40-K40," ")</f>
        <v> </v>
      </c>
      <c r="M40" s="8" t="str">
        <f aca="false">IF((F40-K40)&lt;&gt;0,M$1-A40," ")</f>
        <v> </v>
      </c>
      <c r="N40" s="5"/>
      <c r="O40" s="17" t="str">
        <f aca="false">IF((E40="s"),H40," ")</f>
        <v> </v>
      </c>
      <c r="P40" s="17" t="str">
        <f aca="false">IF((E40="c"),H40," ")</f>
        <v> </v>
      </c>
      <c r="Q40" s="17" t="str">
        <f aca="false">IF((E40="o"),H40," ")</f>
        <v> </v>
      </c>
      <c r="R40" s="17" t="str">
        <f aca="false">IF((E40="d"),H40," ")</f>
        <v> </v>
      </c>
      <c r="S40" s="17" t="str">
        <f aca="false">IF((E40="w"),H40," ")</f>
        <v> </v>
      </c>
      <c r="T40" s="17" t="str">
        <f aca="false">IF((E40="r"),H40," ")</f>
        <v> </v>
      </c>
      <c r="U40" s="17" t="str">
        <f aca="false">IF((E40="p"),H40," ")</f>
        <v> </v>
      </c>
      <c r="V40" s="17" t="str">
        <f aca="false">IF((E40="t"),H40," ")</f>
        <v> </v>
      </c>
      <c r="W40" s="17" t="str">
        <f aca="false">IF((E40="q"),H40," ")</f>
        <v> </v>
      </c>
      <c r="X40" s="17" t="str">
        <f aca="false">IF((E40="m"),H40," ")</f>
        <v> </v>
      </c>
      <c r="Y40" s="17" t="str">
        <f aca="false">IF((E40="u"),H40," ")</f>
        <v> </v>
      </c>
      <c r="Z40" s="17" t="str">
        <f aca="false">IF((E40="a"),H40," ")</f>
        <v> </v>
      </c>
      <c r="AA40" s="17" t="str">
        <f aca="false">IF((E40="g"),H40," ")</f>
        <v> </v>
      </c>
      <c r="AB40" s="17" t="str">
        <f aca="false">IF((E40="h"),H40," ")</f>
        <v> </v>
      </c>
      <c r="AC40" s="30" t="str">
        <f aca="false">IF((E40="v"),H40," ")</f>
        <v> </v>
      </c>
      <c r="AD40" s="30" t="str">
        <f aca="false">IF((E40="n"),H40," ")</f>
        <v> </v>
      </c>
      <c r="AE40" s="17" t="str">
        <f aca="false">IF((E40="f"),H40," ")</f>
        <v> </v>
      </c>
      <c r="AF40" s="17" t="str">
        <f aca="false">IF((E40="l"),H40," ")</f>
        <v> </v>
      </c>
      <c r="AG40" s="17" t="str">
        <f aca="false">IF((E40="y"),H40," ")</f>
        <v> </v>
      </c>
      <c r="AH40" s="17" t="str">
        <f aca="false">IF((E40="z"),H40," ")</f>
        <v> </v>
      </c>
      <c r="AI40" s="17" t="str">
        <f aca="false">IF((E40="fa"),H40," ")</f>
        <v> </v>
      </c>
      <c r="AJ40" s="17" t="str">
        <f aca="false">IF((E40="e"),H40," ")</f>
        <v> </v>
      </c>
    </row>
    <row r="41" customFormat="false" ht="12" hidden="false" customHeight="false" outlineLevel="0" collapsed="false">
      <c r="A41" s="28"/>
      <c r="E41" s="2"/>
      <c r="F41" s="30"/>
      <c r="G41" s="6" t="str">
        <f aca="false">IF(F41&lt;&gt;0,F41*G$2/(100+G$2)," ")</f>
        <v> </v>
      </c>
      <c r="H41" s="6" t="str">
        <f aca="false">IF((F41&lt;&gt;0),F41-G41," ")</f>
        <v> </v>
      </c>
      <c r="I41" s="5"/>
      <c r="L41" s="7" t="str">
        <f aca="false">IF(F41&lt;&gt;0,F41-K41," ")</f>
        <v> </v>
      </c>
      <c r="M41" s="8" t="str">
        <f aca="false">IF((F41-K41)&lt;&gt;0,M$1-A41," ")</f>
        <v> </v>
      </c>
      <c r="N41" s="5"/>
      <c r="O41" s="17" t="str">
        <f aca="false">IF((E41="s"),H41," ")</f>
        <v> </v>
      </c>
      <c r="P41" s="17" t="str">
        <f aca="false">IF((E41="c"),H41," ")</f>
        <v> </v>
      </c>
      <c r="Q41" s="17" t="str">
        <f aca="false">IF((E41="o"),H41," ")</f>
        <v> </v>
      </c>
      <c r="R41" s="17" t="str">
        <f aca="false">IF((E41="d"),H41," ")</f>
        <v> </v>
      </c>
      <c r="S41" s="17" t="str">
        <f aca="false">IF((E41="w"),H41," ")</f>
        <v> </v>
      </c>
      <c r="T41" s="17" t="str">
        <f aca="false">IF((E41="r"),H41," ")</f>
        <v> </v>
      </c>
      <c r="U41" s="17" t="str">
        <f aca="false">IF((E41="p"),H41," ")</f>
        <v> </v>
      </c>
      <c r="V41" s="17" t="str">
        <f aca="false">IF((E41="t"),H41," ")</f>
        <v> </v>
      </c>
      <c r="W41" s="17" t="str">
        <f aca="false">IF((E41="q"),H41," ")</f>
        <v> </v>
      </c>
      <c r="X41" s="17" t="str">
        <f aca="false">IF((E41="m"),H41," ")</f>
        <v> </v>
      </c>
      <c r="Y41" s="17" t="str">
        <f aca="false">IF((E41="u"),H41," ")</f>
        <v> </v>
      </c>
      <c r="Z41" s="17" t="str">
        <f aca="false">IF((E41="a"),H41," ")</f>
        <v> </v>
      </c>
      <c r="AA41" s="17" t="str">
        <f aca="false">IF((E41="g"),H41," ")</f>
        <v> </v>
      </c>
      <c r="AB41" s="17" t="str">
        <f aca="false">IF((E41="h"),H41," ")</f>
        <v> </v>
      </c>
      <c r="AC41" s="30" t="str">
        <f aca="false">IF((E41="v"),H41," ")</f>
        <v> </v>
      </c>
      <c r="AD41" s="30" t="str">
        <f aca="false">IF((E41="n"),H41," ")</f>
        <v> </v>
      </c>
      <c r="AE41" s="17" t="str">
        <f aca="false">IF((E41="f"),H41," ")</f>
        <v> </v>
      </c>
      <c r="AF41" s="17" t="str">
        <f aca="false">IF((E41="l"),H41," ")</f>
        <v> </v>
      </c>
      <c r="AG41" s="17" t="str">
        <f aca="false">IF((E41="y"),H41," ")</f>
        <v> </v>
      </c>
      <c r="AH41" s="17" t="str">
        <f aca="false">IF((E41="z"),H41," ")</f>
        <v> </v>
      </c>
      <c r="AI41" s="17" t="str">
        <f aca="false">IF((E41="fa"),H41," ")</f>
        <v> </v>
      </c>
      <c r="AJ41" s="17" t="str">
        <f aca="false">IF((E41="e"),H41," ")</f>
        <v> </v>
      </c>
    </row>
    <row r="42" customFormat="false" ht="12" hidden="false" customHeight="false" outlineLevel="0" collapsed="false">
      <c r="A42" s="28"/>
      <c r="E42" s="2"/>
      <c r="F42" s="30"/>
      <c r="G42" s="6" t="str">
        <f aca="false">IF(F42&lt;&gt;0,F42*G$2/(100+G$2)," ")</f>
        <v> </v>
      </c>
      <c r="H42" s="6" t="str">
        <f aca="false">IF((F42&lt;&gt;0),F42-G42," ")</f>
        <v> </v>
      </c>
      <c r="I42" s="5"/>
      <c r="L42" s="7" t="str">
        <f aca="false">IF(F42&lt;&gt;0,F42-K42," ")</f>
        <v> </v>
      </c>
      <c r="M42" s="8" t="str">
        <f aca="false">IF((F42-K42)&lt;&gt;0,M$1-A42," ")</f>
        <v> </v>
      </c>
      <c r="N42" s="5"/>
      <c r="O42" s="17" t="str">
        <f aca="false">IF((E42="s"),H42," ")</f>
        <v> </v>
      </c>
      <c r="P42" s="17" t="str">
        <f aca="false">IF((E42="c"),H42," ")</f>
        <v> </v>
      </c>
      <c r="Q42" s="17" t="str">
        <f aca="false">IF((E42="o"),H42," ")</f>
        <v> </v>
      </c>
      <c r="R42" s="17" t="str">
        <f aca="false">IF((E42="d"),H42," ")</f>
        <v> </v>
      </c>
      <c r="S42" s="17" t="str">
        <f aca="false">IF((E42="w"),H42," ")</f>
        <v> </v>
      </c>
      <c r="T42" s="17" t="str">
        <f aca="false">IF((E42="r"),H42," ")</f>
        <v> </v>
      </c>
      <c r="U42" s="17" t="str">
        <f aca="false">IF((E42="p"),H42," ")</f>
        <v> </v>
      </c>
      <c r="V42" s="17" t="str">
        <f aca="false">IF((E42="t"),H42," ")</f>
        <v> </v>
      </c>
      <c r="W42" s="17" t="str">
        <f aca="false">IF((E42="q"),H42," ")</f>
        <v> </v>
      </c>
      <c r="X42" s="17" t="str">
        <f aca="false">IF((E42="m"),H42," ")</f>
        <v> </v>
      </c>
      <c r="Y42" s="17" t="str">
        <f aca="false">IF((E42="u"),H42," ")</f>
        <v> </v>
      </c>
      <c r="Z42" s="17" t="str">
        <f aca="false">IF((E42="a"),H42," ")</f>
        <v> </v>
      </c>
      <c r="AA42" s="17" t="str">
        <f aca="false">IF((E42="g"),H42," ")</f>
        <v> </v>
      </c>
      <c r="AB42" s="17" t="str">
        <f aca="false">IF((E42="h"),H42," ")</f>
        <v> </v>
      </c>
      <c r="AC42" s="30" t="str">
        <f aca="false">IF((E42="v"),H42," ")</f>
        <v> </v>
      </c>
      <c r="AD42" s="30" t="str">
        <f aca="false">IF((E42="n"),H42," ")</f>
        <v> </v>
      </c>
      <c r="AE42" s="17" t="str">
        <f aca="false">IF((E42="f"),H42," ")</f>
        <v> </v>
      </c>
      <c r="AF42" s="17" t="str">
        <f aca="false">IF((E42="l"),H42," ")</f>
        <v> </v>
      </c>
      <c r="AG42" s="17" t="str">
        <f aca="false">IF((E42="y"),H42," ")</f>
        <v> </v>
      </c>
      <c r="AH42" s="17" t="str">
        <f aca="false">IF((E42="z"),H42," ")</f>
        <v> </v>
      </c>
      <c r="AI42" s="17" t="str">
        <f aca="false">IF((E42="fa"),H42," ")</f>
        <v> </v>
      </c>
      <c r="AJ42" s="17" t="str">
        <f aca="false">IF((E42="e"),H42," ")</f>
        <v> </v>
      </c>
    </row>
    <row r="43" customFormat="false" ht="12" hidden="false" customHeight="false" outlineLevel="0" collapsed="false">
      <c r="A43" s="28"/>
      <c r="E43" s="2"/>
      <c r="F43" s="30"/>
      <c r="G43" s="6" t="str">
        <f aca="false">IF(F43&lt;&gt;0,F43*G$2/(100+G$2)," ")</f>
        <v> </v>
      </c>
      <c r="H43" s="6" t="str">
        <f aca="false">IF((F43&lt;&gt;0),F43-G43," ")</f>
        <v> </v>
      </c>
      <c r="I43" s="5"/>
      <c r="L43" s="7" t="str">
        <f aca="false">IF(F43&lt;&gt;0,F43-K43," ")</f>
        <v> </v>
      </c>
      <c r="M43" s="8" t="str">
        <f aca="false">IF((F43-K43)&lt;&gt;0,M$1-A43," ")</f>
        <v> </v>
      </c>
      <c r="N43" s="5"/>
      <c r="O43" s="17" t="str">
        <f aca="false">IF((E43="s"),H43," ")</f>
        <v> </v>
      </c>
      <c r="P43" s="17" t="str">
        <f aca="false">IF((E43="c"),H43," ")</f>
        <v> </v>
      </c>
      <c r="Q43" s="17" t="str">
        <f aca="false">IF((E43="o"),H43," ")</f>
        <v> </v>
      </c>
      <c r="R43" s="17" t="str">
        <f aca="false">IF((E43="d"),H43," ")</f>
        <v> </v>
      </c>
      <c r="S43" s="17" t="str">
        <f aca="false">IF((E43="w"),H43," ")</f>
        <v> </v>
      </c>
      <c r="T43" s="17" t="str">
        <f aca="false">IF((E43="r"),H43," ")</f>
        <v> </v>
      </c>
      <c r="U43" s="17" t="str">
        <f aca="false">IF((E43="p"),H43," ")</f>
        <v> </v>
      </c>
      <c r="V43" s="17" t="str">
        <f aca="false">IF((E43="t"),H43," ")</f>
        <v> </v>
      </c>
      <c r="W43" s="17" t="str">
        <f aca="false">IF((E43="q"),H43," ")</f>
        <v> </v>
      </c>
      <c r="X43" s="17" t="str">
        <f aca="false">IF((E43="m"),H43," ")</f>
        <v> </v>
      </c>
      <c r="Y43" s="17" t="str">
        <f aca="false">IF((E43="u"),H43," ")</f>
        <v> </v>
      </c>
      <c r="Z43" s="17" t="str">
        <f aca="false">IF((E43="a"),H43," ")</f>
        <v> </v>
      </c>
      <c r="AA43" s="17" t="str">
        <f aca="false">IF((E43="g"),H43," ")</f>
        <v> </v>
      </c>
      <c r="AB43" s="17" t="str">
        <f aca="false">IF((E43="h"),H43," ")</f>
        <v> </v>
      </c>
      <c r="AC43" s="30" t="str">
        <f aca="false">IF((E43="v"),H43," ")</f>
        <v> </v>
      </c>
      <c r="AD43" s="30" t="str">
        <f aca="false">IF((E43="n"),H43," ")</f>
        <v> </v>
      </c>
      <c r="AE43" s="17" t="str">
        <f aca="false">IF((E43="f"),H43," ")</f>
        <v> </v>
      </c>
      <c r="AF43" s="17" t="str">
        <f aca="false">IF((E43="l"),H43," ")</f>
        <v> </v>
      </c>
      <c r="AG43" s="17" t="str">
        <f aca="false">IF((E43="y"),H43," ")</f>
        <v> </v>
      </c>
      <c r="AH43" s="17" t="str">
        <f aca="false">IF((E43="z"),H43," ")</f>
        <v> </v>
      </c>
      <c r="AI43" s="17" t="str">
        <f aca="false">IF((E43="fa"),H43," ")</f>
        <v> </v>
      </c>
      <c r="AJ43" s="17" t="str">
        <f aca="false">IF((E43="e"),H43," ")</f>
        <v> </v>
      </c>
    </row>
    <row r="44" customFormat="false" ht="12" hidden="false" customHeight="false" outlineLevel="0" collapsed="false">
      <c r="A44" s="28"/>
      <c r="E44" s="2"/>
      <c r="F44" s="30"/>
      <c r="G44" s="6" t="str">
        <f aca="false">IF(F44&lt;&gt;0,F44*G$2/(100+G$2)," ")</f>
        <v> </v>
      </c>
      <c r="H44" s="6" t="str">
        <f aca="false">IF((F44&lt;&gt;0),F44-G44," ")</f>
        <v> </v>
      </c>
      <c r="I44" s="5"/>
      <c r="L44" s="7" t="str">
        <f aca="false">IF(F44&lt;&gt;0,F44-K44," ")</f>
        <v> </v>
      </c>
      <c r="M44" s="8" t="str">
        <f aca="false">IF((F44-K44)&lt;&gt;0,M$1-A44," ")</f>
        <v> </v>
      </c>
      <c r="N44" s="5"/>
      <c r="O44" s="17" t="str">
        <f aca="false">IF((E44="s"),H44," ")</f>
        <v> </v>
      </c>
      <c r="P44" s="17" t="str">
        <f aca="false">IF((E44="c"),H44," ")</f>
        <v> </v>
      </c>
      <c r="Q44" s="17" t="str">
        <f aca="false">IF((E44="o"),H44," ")</f>
        <v> </v>
      </c>
      <c r="R44" s="17" t="str">
        <f aca="false">IF((E44="d"),H44," ")</f>
        <v> </v>
      </c>
      <c r="S44" s="17" t="str">
        <f aca="false">IF((E44="w"),H44," ")</f>
        <v> </v>
      </c>
      <c r="T44" s="17" t="str">
        <f aca="false">IF((E44="r"),H44," ")</f>
        <v> </v>
      </c>
      <c r="U44" s="17" t="str">
        <f aca="false">IF((E44="p"),H44," ")</f>
        <v> </v>
      </c>
      <c r="V44" s="17" t="str">
        <f aca="false">IF((E44="t"),H44," ")</f>
        <v> </v>
      </c>
      <c r="W44" s="17" t="str">
        <f aca="false">IF((E44="q"),H44," ")</f>
        <v> </v>
      </c>
      <c r="X44" s="17" t="str">
        <f aca="false">IF((E44="m"),H44," ")</f>
        <v> </v>
      </c>
      <c r="Y44" s="17" t="str">
        <f aca="false">IF((E44="u"),H44," ")</f>
        <v> </v>
      </c>
      <c r="Z44" s="17" t="str">
        <f aca="false">IF((E44="a"),H44," ")</f>
        <v> </v>
      </c>
      <c r="AA44" s="17" t="str">
        <f aca="false">IF((E44="g"),H44," ")</f>
        <v> </v>
      </c>
      <c r="AB44" s="17" t="str">
        <f aca="false">IF((E44="h"),H44," ")</f>
        <v> </v>
      </c>
      <c r="AC44" s="30" t="str">
        <f aca="false">IF((E44="v"),H44," ")</f>
        <v> </v>
      </c>
      <c r="AD44" s="30" t="str">
        <f aca="false">IF((E44="n"),H44," ")</f>
        <v> </v>
      </c>
      <c r="AE44" s="17" t="str">
        <f aca="false">IF((E44="f"),H44," ")</f>
        <v> </v>
      </c>
      <c r="AF44" s="17" t="str">
        <f aca="false">IF((E44="l"),H44," ")</f>
        <v> </v>
      </c>
      <c r="AG44" s="17" t="str">
        <f aca="false">IF((E44="y"),H44," ")</f>
        <v> </v>
      </c>
      <c r="AH44" s="17" t="str">
        <f aca="false">IF((E44="z"),H44," ")</f>
        <v> </v>
      </c>
      <c r="AI44" s="17" t="str">
        <f aca="false">IF((E44="fa"),H44," ")</f>
        <v> </v>
      </c>
      <c r="AJ44" s="17" t="str">
        <f aca="false">IF((E44="e"),H44," ")</f>
        <v> </v>
      </c>
    </row>
    <row r="45" customFormat="false" ht="12" hidden="false" customHeight="false" outlineLevel="0" collapsed="false">
      <c r="A45" s="28"/>
      <c r="E45" s="2"/>
      <c r="F45" s="30"/>
      <c r="G45" s="6" t="str">
        <f aca="false">IF(F45&lt;&gt;0,F45*G$2/(100+G$2)," ")</f>
        <v> </v>
      </c>
      <c r="H45" s="6" t="str">
        <f aca="false">IF((F45&lt;&gt;0),F45-G45," ")</f>
        <v> </v>
      </c>
      <c r="I45" s="5"/>
      <c r="L45" s="7" t="str">
        <f aca="false">IF(F45&lt;&gt;0,F45-K45," ")</f>
        <v> </v>
      </c>
      <c r="M45" s="8" t="str">
        <f aca="false">IF((F45-K45)&lt;&gt;0,M$1-A45," ")</f>
        <v> </v>
      </c>
      <c r="N45" s="5"/>
      <c r="O45" s="17" t="str">
        <f aca="false">IF((E45="s"),H45," ")</f>
        <v> </v>
      </c>
      <c r="P45" s="17" t="str">
        <f aca="false">IF((E45="c"),H45," ")</f>
        <v> </v>
      </c>
      <c r="Q45" s="17" t="str">
        <f aca="false">IF((E45="o"),H45," ")</f>
        <v> </v>
      </c>
      <c r="R45" s="17" t="str">
        <f aca="false">IF((E45="d"),H45," ")</f>
        <v> </v>
      </c>
      <c r="S45" s="17" t="str">
        <f aca="false">IF((E45="w"),H45," ")</f>
        <v> </v>
      </c>
      <c r="T45" s="17" t="str">
        <f aca="false">IF((E45="r"),H45," ")</f>
        <v> </v>
      </c>
      <c r="U45" s="17" t="str">
        <f aca="false">IF((E45="p"),H45," ")</f>
        <v> </v>
      </c>
      <c r="V45" s="17" t="str">
        <f aca="false">IF((E45="t"),H45," ")</f>
        <v> </v>
      </c>
      <c r="W45" s="17" t="str">
        <f aca="false">IF((E45="q"),H45," ")</f>
        <v> </v>
      </c>
      <c r="X45" s="17" t="str">
        <f aca="false">IF((E45="m"),H45," ")</f>
        <v> </v>
      </c>
      <c r="Y45" s="17" t="str">
        <f aca="false">IF((E45="u"),H45," ")</f>
        <v> </v>
      </c>
      <c r="Z45" s="17" t="str">
        <f aca="false">IF((E45="a"),H45," ")</f>
        <v> </v>
      </c>
      <c r="AA45" s="17" t="str">
        <f aca="false">IF((E45="g"),H45," ")</f>
        <v> </v>
      </c>
      <c r="AB45" s="17" t="str">
        <f aca="false">IF((E45="h"),H45," ")</f>
        <v> </v>
      </c>
      <c r="AC45" s="30" t="str">
        <f aca="false">IF((E45="v"),H45," ")</f>
        <v> </v>
      </c>
      <c r="AD45" s="30" t="str">
        <f aca="false">IF((E45="n"),H45," ")</f>
        <v> </v>
      </c>
      <c r="AE45" s="17" t="str">
        <f aca="false">IF((E45="f"),H45," ")</f>
        <v> </v>
      </c>
      <c r="AF45" s="17" t="str">
        <f aca="false">IF((E45="l"),H45," ")</f>
        <v> </v>
      </c>
      <c r="AG45" s="17" t="str">
        <f aca="false">IF((E45="y"),H45," ")</f>
        <v> </v>
      </c>
      <c r="AH45" s="17" t="str">
        <f aca="false">IF((E45="z"),H45," ")</f>
        <v> </v>
      </c>
      <c r="AI45" s="17" t="str">
        <f aca="false">IF((E45="fa"),H45," ")</f>
        <v> </v>
      </c>
      <c r="AJ45" s="17" t="str">
        <f aca="false">IF((E45="e"),H45," ")</f>
        <v> </v>
      </c>
    </row>
    <row r="46" customFormat="false" ht="12" hidden="false" customHeight="false" outlineLevel="0" collapsed="false">
      <c r="A46" s="28"/>
      <c r="E46" s="2"/>
      <c r="F46" s="30"/>
      <c r="G46" s="6" t="str">
        <f aca="false">IF(F46&lt;&gt;0,F46*G$2/(100+G$2)," ")</f>
        <v> </v>
      </c>
      <c r="H46" s="6" t="str">
        <f aca="false">IF((F46&lt;&gt;0),F46-G46," ")</f>
        <v> </v>
      </c>
      <c r="I46" s="5"/>
      <c r="L46" s="7" t="str">
        <f aca="false">IF(F46&lt;&gt;0,F46-K46," ")</f>
        <v> </v>
      </c>
      <c r="M46" s="8" t="str">
        <f aca="false">IF((F46-K46)&lt;&gt;0,M$1-A46," ")</f>
        <v> </v>
      </c>
      <c r="N46" s="5"/>
      <c r="O46" s="17" t="str">
        <f aca="false">IF((E46="s"),H46," ")</f>
        <v> </v>
      </c>
      <c r="P46" s="17" t="str">
        <f aca="false">IF((E46="c"),H46," ")</f>
        <v> </v>
      </c>
      <c r="Q46" s="17" t="str">
        <f aca="false">IF((E46="o"),H46," ")</f>
        <v> </v>
      </c>
      <c r="R46" s="17" t="str">
        <f aca="false">IF((E46="d"),H46," ")</f>
        <v> </v>
      </c>
      <c r="S46" s="17" t="str">
        <f aca="false">IF((E46="w"),H46," ")</f>
        <v> </v>
      </c>
      <c r="T46" s="17" t="str">
        <f aca="false">IF((E46="r"),H46," ")</f>
        <v> </v>
      </c>
      <c r="U46" s="17" t="str">
        <f aca="false">IF((E46="p"),H46," ")</f>
        <v> </v>
      </c>
      <c r="V46" s="17" t="str">
        <f aca="false">IF((E46="t"),H46," ")</f>
        <v> </v>
      </c>
      <c r="W46" s="17" t="str">
        <f aca="false">IF((E46="q"),H46," ")</f>
        <v> </v>
      </c>
      <c r="X46" s="17" t="str">
        <f aca="false">IF((E46="m"),H46," ")</f>
        <v> </v>
      </c>
      <c r="Y46" s="17" t="str">
        <f aca="false">IF((E46="u"),H46," ")</f>
        <v> </v>
      </c>
      <c r="Z46" s="17" t="str">
        <f aca="false">IF((E46="a"),H46," ")</f>
        <v> </v>
      </c>
      <c r="AA46" s="17" t="str">
        <f aca="false">IF((E46="g"),H46," ")</f>
        <v> </v>
      </c>
      <c r="AB46" s="17" t="str">
        <f aca="false">IF((E46="h"),H46," ")</f>
        <v> </v>
      </c>
      <c r="AC46" s="30" t="str">
        <f aca="false">IF((E46="v"),H46," ")</f>
        <v> </v>
      </c>
      <c r="AD46" s="30" t="str">
        <f aca="false">IF((E46="n"),H46," ")</f>
        <v> </v>
      </c>
      <c r="AE46" s="17" t="str">
        <f aca="false">IF((E46="f"),H46," ")</f>
        <v> </v>
      </c>
      <c r="AF46" s="17" t="str">
        <f aca="false">IF((E46="l"),H46," ")</f>
        <v> </v>
      </c>
      <c r="AG46" s="17" t="str">
        <f aca="false">IF((E46="y"),H46," ")</f>
        <v> </v>
      </c>
      <c r="AH46" s="17" t="str">
        <f aca="false">IF((E46="z"),H46," ")</f>
        <v> </v>
      </c>
      <c r="AI46" s="17" t="str">
        <f aca="false">IF((E46="fa"),H46," ")</f>
        <v> </v>
      </c>
      <c r="AJ46" s="17" t="str">
        <f aca="false">IF((E46="e"),H46," ")</f>
        <v> </v>
      </c>
    </row>
    <row r="47" customFormat="false" ht="12" hidden="false" customHeight="false" outlineLevel="0" collapsed="false">
      <c r="A47" s="28"/>
      <c r="E47" s="2"/>
      <c r="F47" s="30"/>
      <c r="G47" s="6" t="str">
        <f aca="false">IF(F47&lt;&gt;0,F47*G$2/(100+G$2)," ")</f>
        <v> </v>
      </c>
      <c r="H47" s="6" t="str">
        <f aca="false">IF((F47&lt;&gt;0),F47-G47," ")</f>
        <v> </v>
      </c>
      <c r="I47" s="5"/>
      <c r="L47" s="7" t="str">
        <f aca="false">IF(F47&lt;&gt;0,F47-K47," ")</f>
        <v> </v>
      </c>
      <c r="M47" s="8" t="str">
        <f aca="false">IF((F47-K47)&lt;&gt;0,M$1-A47," ")</f>
        <v> </v>
      </c>
      <c r="N47" s="5"/>
      <c r="O47" s="17" t="str">
        <f aca="false">IF((E47="s"),H47," ")</f>
        <v> </v>
      </c>
      <c r="P47" s="17" t="str">
        <f aca="false">IF((E47="c"),H47," ")</f>
        <v> </v>
      </c>
      <c r="Q47" s="17" t="str">
        <f aca="false">IF((E47="o"),H47," ")</f>
        <v> </v>
      </c>
      <c r="R47" s="17" t="str">
        <f aca="false">IF((E47="d"),H47," ")</f>
        <v> </v>
      </c>
      <c r="S47" s="17" t="str">
        <f aca="false">IF((E47="w"),H47," ")</f>
        <v> </v>
      </c>
      <c r="T47" s="17" t="str">
        <f aca="false">IF((E47="r"),H47," ")</f>
        <v> </v>
      </c>
      <c r="U47" s="17" t="str">
        <f aca="false">IF((E47="p"),H47," ")</f>
        <v> </v>
      </c>
      <c r="V47" s="17" t="str">
        <f aca="false">IF((E47="t"),H47," ")</f>
        <v> </v>
      </c>
      <c r="W47" s="17" t="str">
        <f aca="false">IF((E47="q"),H47," ")</f>
        <v> </v>
      </c>
      <c r="X47" s="17" t="str">
        <f aca="false">IF((E47="m"),H47," ")</f>
        <v> </v>
      </c>
      <c r="Y47" s="17" t="str">
        <f aca="false">IF((E47="u"),H47," ")</f>
        <v> </v>
      </c>
      <c r="Z47" s="17" t="str">
        <f aca="false">IF((E47="a"),H47," ")</f>
        <v> </v>
      </c>
      <c r="AA47" s="17" t="str">
        <f aca="false">IF((E47="g"),H47," ")</f>
        <v> </v>
      </c>
      <c r="AB47" s="17" t="str">
        <f aca="false">IF((E47="h"),H47," ")</f>
        <v> </v>
      </c>
      <c r="AC47" s="30" t="str">
        <f aca="false">IF((E47="v"),H47," ")</f>
        <v> </v>
      </c>
      <c r="AD47" s="30" t="str">
        <f aca="false">IF((E47="n"),H47," ")</f>
        <v> </v>
      </c>
      <c r="AE47" s="17" t="str">
        <f aca="false">IF((E47="f"),H47," ")</f>
        <v> </v>
      </c>
      <c r="AF47" s="17" t="str">
        <f aca="false">IF((E47="l"),H47," ")</f>
        <v> </v>
      </c>
      <c r="AG47" s="17" t="str">
        <f aca="false">IF((E47="y"),H47," ")</f>
        <v> </v>
      </c>
      <c r="AH47" s="17" t="str">
        <f aca="false">IF((E47="z"),H47," ")</f>
        <v> </v>
      </c>
      <c r="AI47" s="17" t="str">
        <f aca="false">IF((E47="fa"),H47," ")</f>
        <v> </v>
      </c>
      <c r="AJ47" s="17" t="str">
        <f aca="false">IF((E47="e"),H47," ")</f>
        <v> </v>
      </c>
    </row>
    <row r="48" customFormat="false" ht="12" hidden="false" customHeight="false" outlineLevel="0" collapsed="false">
      <c r="A48" s="28"/>
      <c r="E48" s="2"/>
      <c r="F48" s="30"/>
      <c r="G48" s="6" t="str">
        <f aca="false">IF(F48&lt;&gt;0,F48*G$2/(100+G$2)," ")</f>
        <v> </v>
      </c>
      <c r="H48" s="6" t="str">
        <f aca="false">IF((F48&lt;&gt;0),F48-G48," ")</f>
        <v> </v>
      </c>
      <c r="I48" s="5"/>
      <c r="L48" s="7" t="str">
        <f aca="false">IF(F48&lt;&gt;0,F48-K48," ")</f>
        <v> </v>
      </c>
      <c r="M48" s="8" t="str">
        <f aca="false">IF((F48-K48)&lt;&gt;0,M$1-A48," ")</f>
        <v> </v>
      </c>
      <c r="N48" s="5"/>
      <c r="O48" s="17" t="str">
        <f aca="false">IF((E48="s"),H48," ")</f>
        <v> </v>
      </c>
      <c r="P48" s="17" t="str">
        <f aca="false">IF((E48="c"),H48," ")</f>
        <v> </v>
      </c>
      <c r="Q48" s="17" t="str">
        <f aca="false">IF((E48="o"),H48," ")</f>
        <v> </v>
      </c>
      <c r="R48" s="17" t="str">
        <f aca="false">IF((E48="d"),H48," ")</f>
        <v> </v>
      </c>
      <c r="S48" s="17" t="str">
        <f aca="false">IF((E48="w"),H48," ")</f>
        <v> </v>
      </c>
      <c r="T48" s="17" t="str">
        <f aca="false">IF((E48="r"),H48," ")</f>
        <v> </v>
      </c>
      <c r="U48" s="17" t="str">
        <f aca="false">IF((E48="p"),H48," ")</f>
        <v> </v>
      </c>
      <c r="V48" s="17" t="str">
        <f aca="false">IF((E48="t"),H48," ")</f>
        <v> </v>
      </c>
      <c r="W48" s="17" t="str">
        <f aca="false">IF((E48="q"),H48," ")</f>
        <v> </v>
      </c>
      <c r="X48" s="17" t="str">
        <f aca="false">IF((E48="m"),H48," ")</f>
        <v> </v>
      </c>
      <c r="Y48" s="17" t="str">
        <f aca="false">IF((E48="u"),H48," ")</f>
        <v> </v>
      </c>
      <c r="Z48" s="17" t="str">
        <f aca="false">IF((E48="a"),H48," ")</f>
        <v> </v>
      </c>
      <c r="AA48" s="17" t="str">
        <f aca="false">IF((E48="g"),H48," ")</f>
        <v> </v>
      </c>
      <c r="AB48" s="17" t="str">
        <f aca="false">IF((E48="h"),H48," ")</f>
        <v> </v>
      </c>
      <c r="AC48" s="30" t="str">
        <f aca="false">IF((E48="v"),H48," ")</f>
        <v> </v>
      </c>
      <c r="AD48" s="30" t="str">
        <f aca="false">IF((E48="n"),H48," ")</f>
        <v> </v>
      </c>
      <c r="AE48" s="17" t="str">
        <f aca="false">IF((E48="f"),H48," ")</f>
        <v> </v>
      </c>
      <c r="AF48" s="17" t="str">
        <f aca="false">IF((E48="l"),H48," ")</f>
        <v> </v>
      </c>
      <c r="AG48" s="17" t="str">
        <f aca="false">IF((E48="y"),H48," ")</f>
        <v> </v>
      </c>
      <c r="AH48" s="17" t="str">
        <f aca="false">IF((E48="z"),H48," ")</f>
        <v> </v>
      </c>
      <c r="AI48" s="17" t="str">
        <f aca="false">IF((E48="fa"),H48," ")</f>
        <v> </v>
      </c>
      <c r="AJ48" s="17" t="str">
        <f aca="false">IF((E48="e"),H48," ")</f>
        <v> </v>
      </c>
    </row>
    <row r="49" customFormat="false" ht="12" hidden="false" customHeight="false" outlineLevel="0" collapsed="false">
      <c r="A49" s="28"/>
      <c r="E49" s="2"/>
      <c r="F49" s="30"/>
      <c r="G49" s="6" t="str">
        <f aca="false">IF(F49&lt;&gt;0,F49*G$2/(100+G$2)," ")</f>
        <v> </v>
      </c>
      <c r="H49" s="6" t="str">
        <f aca="false">IF((F49&lt;&gt;0),F49-G49," ")</f>
        <v> </v>
      </c>
      <c r="I49" s="5"/>
      <c r="L49" s="7" t="str">
        <f aca="false">IF(F49&lt;&gt;0,F49-K49," ")</f>
        <v> </v>
      </c>
      <c r="M49" s="8" t="str">
        <f aca="false">IF((F49-K49)&lt;&gt;0,M$1-A49," ")</f>
        <v> </v>
      </c>
      <c r="N49" s="5"/>
      <c r="O49" s="17" t="str">
        <f aca="false">IF((E49="s"),H49," ")</f>
        <v> </v>
      </c>
      <c r="P49" s="17" t="str">
        <f aca="false">IF((E49="c"),H49," ")</f>
        <v> </v>
      </c>
      <c r="Q49" s="17" t="str">
        <f aca="false">IF((E49="o"),H49," ")</f>
        <v> </v>
      </c>
      <c r="R49" s="17" t="str">
        <f aca="false">IF((E49="d"),H49," ")</f>
        <v> </v>
      </c>
      <c r="S49" s="17" t="str">
        <f aca="false">IF((E49="w"),H49," ")</f>
        <v> </v>
      </c>
      <c r="T49" s="17" t="str">
        <f aca="false">IF((E49="r"),H49," ")</f>
        <v> </v>
      </c>
      <c r="U49" s="17" t="str">
        <f aca="false">IF((E49="p"),H49," ")</f>
        <v> </v>
      </c>
      <c r="V49" s="17" t="str">
        <f aca="false">IF((E49="t"),H49," ")</f>
        <v> </v>
      </c>
      <c r="W49" s="17" t="str">
        <f aca="false">IF((E49="q"),H49," ")</f>
        <v> </v>
      </c>
      <c r="X49" s="17" t="str">
        <f aca="false">IF((E49="m"),H49," ")</f>
        <v> </v>
      </c>
      <c r="Y49" s="17" t="str">
        <f aca="false">IF((E49="u"),H49," ")</f>
        <v> </v>
      </c>
      <c r="Z49" s="17" t="str">
        <f aca="false">IF((E49="a"),H49," ")</f>
        <v> </v>
      </c>
      <c r="AA49" s="17" t="str">
        <f aca="false">IF((E49="g"),H49," ")</f>
        <v> </v>
      </c>
      <c r="AB49" s="17" t="str">
        <f aca="false">IF((E49="h"),H49," ")</f>
        <v> </v>
      </c>
      <c r="AC49" s="30" t="str">
        <f aca="false">IF((E49="v"),H49," ")</f>
        <v> </v>
      </c>
      <c r="AD49" s="30" t="str">
        <f aca="false">IF((E49="n"),H49," ")</f>
        <v> </v>
      </c>
      <c r="AE49" s="17" t="str">
        <f aca="false">IF((E49="f"),H49," ")</f>
        <v> </v>
      </c>
      <c r="AF49" s="17" t="str">
        <f aca="false">IF((E49="l"),H49," ")</f>
        <v> </v>
      </c>
      <c r="AG49" s="17" t="str">
        <f aca="false">IF((E49="y"),H49," ")</f>
        <v> </v>
      </c>
      <c r="AH49" s="17" t="str">
        <f aca="false">IF((E49="z"),H49," ")</f>
        <v> </v>
      </c>
      <c r="AI49" s="17" t="str">
        <f aca="false">IF((E49="fa"),H49," ")</f>
        <v> </v>
      </c>
      <c r="AJ49" s="17" t="str">
        <f aca="false">IF((E49="e"),H49," ")</f>
        <v> </v>
      </c>
    </row>
    <row r="50" customFormat="false" ht="12" hidden="false" customHeight="false" outlineLevel="0" collapsed="false">
      <c r="A50" s="28"/>
      <c r="E50" s="2"/>
      <c r="F50" s="30"/>
      <c r="G50" s="6" t="str">
        <f aca="false">IF(F50&lt;&gt;0,F50*G$2/(100+G$2)," ")</f>
        <v> </v>
      </c>
      <c r="H50" s="6" t="str">
        <f aca="false">IF((F50&lt;&gt;0),F50-G50," ")</f>
        <v> </v>
      </c>
      <c r="I50" s="5"/>
      <c r="L50" s="7" t="str">
        <f aca="false">IF(F50&lt;&gt;0,F50-K50," ")</f>
        <v> </v>
      </c>
      <c r="M50" s="8" t="str">
        <f aca="false">IF((F50-K50)&lt;&gt;0,M$1-A50," ")</f>
        <v> </v>
      </c>
      <c r="N50" s="5"/>
      <c r="O50" s="17" t="str">
        <f aca="false">IF((E50="s"),H50," ")</f>
        <v> </v>
      </c>
      <c r="P50" s="17" t="str">
        <f aca="false">IF((E50="c"),H50," ")</f>
        <v> </v>
      </c>
      <c r="Q50" s="17" t="str">
        <f aca="false">IF((E50="o"),H50," ")</f>
        <v> </v>
      </c>
      <c r="R50" s="17" t="str">
        <f aca="false">IF((E50="d"),H50," ")</f>
        <v> </v>
      </c>
      <c r="S50" s="17" t="str">
        <f aca="false">IF((E50="w"),H50," ")</f>
        <v> </v>
      </c>
      <c r="T50" s="17" t="str">
        <f aca="false">IF((E50="r"),H50," ")</f>
        <v> </v>
      </c>
      <c r="U50" s="17" t="str">
        <f aca="false">IF((E50="p"),H50," ")</f>
        <v> </v>
      </c>
      <c r="V50" s="17" t="str">
        <f aca="false">IF((E50="t"),H50," ")</f>
        <v> </v>
      </c>
      <c r="W50" s="17" t="str">
        <f aca="false">IF((E50="q"),H50," ")</f>
        <v> </v>
      </c>
      <c r="X50" s="17" t="str">
        <f aca="false">IF((E50="m"),H50," ")</f>
        <v> </v>
      </c>
      <c r="Y50" s="17" t="str">
        <f aca="false">IF((E50="u"),H50," ")</f>
        <v> </v>
      </c>
      <c r="Z50" s="17" t="str">
        <f aca="false">IF((E50="a"),H50," ")</f>
        <v> </v>
      </c>
      <c r="AA50" s="17" t="str">
        <f aca="false">IF((E50="g"),H50," ")</f>
        <v> </v>
      </c>
      <c r="AB50" s="17" t="str">
        <f aca="false">IF((E50="h"),H50," ")</f>
        <v> </v>
      </c>
      <c r="AC50" s="30" t="str">
        <f aca="false">IF((E50="v"),H50," ")</f>
        <v> </v>
      </c>
      <c r="AD50" s="30" t="str">
        <f aca="false">IF((E50="n"),H50," ")</f>
        <v> </v>
      </c>
      <c r="AE50" s="17" t="str">
        <f aca="false">IF((E50="f"),H50," ")</f>
        <v> </v>
      </c>
      <c r="AF50" s="17" t="str">
        <f aca="false">IF((E50="l"),H50," ")</f>
        <v> </v>
      </c>
      <c r="AG50" s="17" t="str">
        <f aca="false">IF((E50="y"),H50," ")</f>
        <v> </v>
      </c>
      <c r="AH50" s="17" t="str">
        <f aca="false">IF((E50="z"),H50," ")</f>
        <v> </v>
      </c>
      <c r="AI50" s="17" t="str">
        <f aca="false">IF((E50="fa"),H50," ")</f>
        <v> </v>
      </c>
      <c r="AJ50" s="17" t="str">
        <f aca="false">IF((E50="e"),H50," ")</f>
        <v> </v>
      </c>
    </row>
    <row r="51" customFormat="false" ht="12" hidden="false" customHeight="false" outlineLevel="0" collapsed="false">
      <c r="A51" s="28"/>
      <c r="E51" s="2"/>
      <c r="F51" s="30"/>
      <c r="G51" s="6" t="str">
        <f aca="false">IF(F51&lt;&gt;0,F51*G$2/(100+G$2)," ")</f>
        <v> </v>
      </c>
      <c r="H51" s="6" t="str">
        <f aca="false">IF((F51&lt;&gt;0),F51-G51," ")</f>
        <v> </v>
      </c>
      <c r="I51" s="5"/>
      <c r="L51" s="7" t="str">
        <f aca="false">IF(F51&lt;&gt;0,F51-K51," ")</f>
        <v> </v>
      </c>
      <c r="M51" s="8" t="str">
        <f aca="false">IF((F51-K51)&lt;&gt;0,M$1-A51," ")</f>
        <v> </v>
      </c>
      <c r="N51" s="5"/>
      <c r="O51" s="17" t="str">
        <f aca="false">IF((E51="s"),H51," ")</f>
        <v> </v>
      </c>
      <c r="P51" s="17" t="str">
        <f aca="false">IF((E51="c"),H51," ")</f>
        <v> </v>
      </c>
      <c r="Q51" s="17" t="str">
        <f aca="false">IF((E51="o"),H51," ")</f>
        <v> </v>
      </c>
      <c r="R51" s="17" t="str">
        <f aca="false">IF((E51="d"),H51," ")</f>
        <v> </v>
      </c>
      <c r="S51" s="17" t="str">
        <f aca="false">IF((E51="w"),H51," ")</f>
        <v> </v>
      </c>
      <c r="T51" s="17" t="str">
        <f aca="false">IF((E51="r"),H51," ")</f>
        <v> </v>
      </c>
      <c r="U51" s="17" t="str">
        <f aca="false">IF((E51="p"),H51," ")</f>
        <v> </v>
      </c>
      <c r="V51" s="17" t="str">
        <f aca="false">IF((E51="t"),H51," ")</f>
        <v> </v>
      </c>
      <c r="W51" s="17" t="str">
        <f aca="false">IF((E51="q"),H51," ")</f>
        <v> </v>
      </c>
      <c r="X51" s="17" t="str">
        <f aca="false">IF((E51="m"),H51," ")</f>
        <v> </v>
      </c>
      <c r="Y51" s="17" t="str">
        <f aca="false">IF((E51="u"),H51," ")</f>
        <v> </v>
      </c>
      <c r="Z51" s="17" t="str">
        <f aca="false">IF((E51="a"),H51," ")</f>
        <v> </v>
      </c>
      <c r="AA51" s="17" t="str">
        <f aca="false">IF((E51="g"),H51," ")</f>
        <v> </v>
      </c>
      <c r="AB51" s="17" t="str">
        <f aca="false">IF((E51="h"),H51," ")</f>
        <v> </v>
      </c>
      <c r="AC51" s="30" t="str">
        <f aca="false">IF((E51="v"),H51," ")</f>
        <v> </v>
      </c>
      <c r="AD51" s="30" t="str">
        <f aca="false">IF((E51="n"),H51," ")</f>
        <v> </v>
      </c>
      <c r="AE51" s="17" t="str">
        <f aca="false">IF((E51="f"),H51," ")</f>
        <v> </v>
      </c>
      <c r="AF51" s="17" t="str">
        <f aca="false">IF((E51="l"),H51," ")</f>
        <v> </v>
      </c>
      <c r="AG51" s="17" t="str">
        <f aca="false">IF((E51="y"),H51," ")</f>
        <v> </v>
      </c>
      <c r="AH51" s="17" t="str">
        <f aca="false">IF((E51="z"),H51," ")</f>
        <v> </v>
      </c>
      <c r="AI51" s="17" t="str">
        <f aca="false">IF((E51="fa"),H51," ")</f>
        <v> </v>
      </c>
      <c r="AJ51" s="17" t="str">
        <f aca="false">IF((E51="e"),H51," ")</f>
        <v> </v>
      </c>
    </row>
    <row r="52" customFormat="false" ht="12" hidden="false" customHeight="false" outlineLevel="0" collapsed="false">
      <c r="A52" s="28"/>
      <c r="E52" s="2"/>
      <c r="F52" s="30"/>
      <c r="G52" s="6" t="str">
        <f aca="false">IF(F52&lt;&gt;0,F52*G$2/(100+G$2)," ")</f>
        <v> </v>
      </c>
      <c r="H52" s="6" t="str">
        <f aca="false">IF((F52&lt;&gt;0),F52-G52," ")</f>
        <v> </v>
      </c>
      <c r="I52" s="5"/>
      <c r="L52" s="7" t="str">
        <f aca="false">IF(F52&lt;&gt;0,F52-K52," ")</f>
        <v> </v>
      </c>
      <c r="M52" s="8" t="str">
        <f aca="false">IF((F52-K52)&lt;&gt;0,M$1-A52," ")</f>
        <v> </v>
      </c>
      <c r="N52" s="5"/>
      <c r="O52" s="17" t="str">
        <f aca="false">IF((E52="s"),H52," ")</f>
        <v> </v>
      </c>
      <c r="P52" s="17" t="str">
        <f aca="false">IF((E52="c"),H52," ")</f>
        <v> </v>
      </c>
      <c r="Q52" s="17" t="str">
        <f aca="false">IF((E52="o"),H52," ")</f>
        <v> </v>
      </c>
      <c r="R52" s="17" t="str">
        <f aca="false">IF((E52="d"),H52," ")</f>
        <v> </v>
      </c>
      <c r="S52" s="17" t="str">
        <f aca="false">IF((E52="w"),H52," ")</f>
        <v> </v>
      </c>
      <c r="T52" s="17" t="str">
        <f aca="false">IF((E52="r"),H52," ")</f>
        <v> </v>
      </c>
      <c r="U52" s="17" t="str">
        <f aca="false">IF((E52="p"),H52," ")</f>
        <v> </v>
      </c>
      <c r="V52" s="17" t="str">
        <f aca="false">IF((E52="t"),H52," ")</f>
        <v> </v>
      </c>
      <c r="W52" s="17" t="str">
        <f aca="false">IF((E52="q"),H52," ")</f>
        <v> </v>
      </c>
      <c r="X52" s="17" t="str">
        <f aca="false">IF((E52="m"),H52," ")</f>
        <v> </v>
      </c>
      <c r="Y52" s="17" t="str">
        <f aca="false">IF((E52="u"),H52," ")</f>
        <v> </v>
      </c>
      <c r="Z52" s="17" t="str">
        <f aca="false">IF((E52="a"),H52," ")</f>
        <v> </v>
      </c>
      <c r="AA52" s="17" t="str">
        <f aca="false">IF((E52="g"),H52," ")</f>
        <v> </v>
      </c>
      <c r="AB52" s="17" t="str">
        <f aca="false">IF((E52="h"),H52," ")</f>
        <v> </v>
      </c>
      <c r="AC52" s="30" t="str">
        <f aca="false">IF((E52="v"),H52," ")</f>
        <v> </v>
      </c>
      <c r="AD52" s="30" t="str">
        <f aca="false">IF((E52="n"),H52," ")</f>
        <v> </v>
      </c>
      <c r="AE52" s="17" t="str">
        <f aca="false">IF((E52="f"),H52," ")</f>
        <v> </v>
      </c>
      <c r="AF52" s="17" t="str">
        <f aca="false">IF((E52="l"),H52," ")</f>
        <v> </v>
      </c>
      <c r="AG52" s="17" t="str">
        <f aca="false">IF((E52="y"),H52," ")</f>
        <v> </v>
      </c>
      <c r="AH52" s="17" t="str">
        <f aca="false">IF((E52="z"),H52," ")</f>
        <v> </v>
      </c>
      <c r="AI52" s="17" t="str">
        <f aca="false">IF((E52="fa"),H52," ")</f>
        <v> </v>
      </c>
      <c r="AJ52" s="17" t="str">
        <f aca="false">IF((E52="e"),H52," ")</f>
        <v> </v>
      </c>
    </row>
    <row r="53" customFormat="false" ht="12" hidden="false" customHeight="false" outlineLevel="0" collapsed="false">
      <c r="A53" s="28"/>
      <c r="E53" s="2"/>
      <c r="F53" s="30"/>
      <c r="G53" s="6" t="str">
        <f aca="false">IF(F53&lt;&gt;0,F53*G$2/(100+G$2)," ")</f>
        <v> </v>
      </c>
      <c r="H53" s="6" t="str">
        <f aca="false">IF((F53&lt;&gt;0),F53-G53," ")</f>
        <v> </v>
      </c>
      <c r="I53" s="5"/>
      <c r="L53" s="7" t="str">
        <f aca="false">IF(F53&lt;&gt;0,F53-K53," ")</f>
        <v> </v>
      </c>
      <c r="M53" s="8" t="str">
        <f aca="false">IF((F53-K53)&lt;&gt;0,M$1-A53," ")</f>
        <v> </v>
      </c>
      <c r="N53" s="5"/>
      <c r="O53" s="17" t="str">
        <f aca="false">IF((E53="s"),H53," ")</f>
        <v> </v>
      </c>
      <c r="P53" s="17" t="str">
        <f aca="false">IF((E53="c"),H53," ")</f>
        <v> </v>
      </c>
      <c r="Q53" s="17" t="str">
        <f aca="false">IF((E53="o"),H53," ")</f>
        <v> </v>
      </c>
      <c r="R53" s="17" t="str">
        <f aca="false">IF((E53="d"),H53," ")</f>
        <v> </v>
      </c>
      <c r="S53" s="17" t="str">
        <f aca="false">IF((E53="w"),H53," ")</f>
        <v> </v>
      </c>
      <c r="T53" s="17" t="str">
        <f aca="false">IF((E53="r"),H53," ")</f>
        <v> </v>
      </c>
      <c r="U53" s="17" t="str">
        <f aca="false">IF((E53="p"),H53," ")</f>
        <v> </v>
      </c>
      <c r="V53" s="17" t="str">
        <f aca="false">IF((E53="t"),H53," ")</f>
        <v> </v>
      </c>
      <c r="W53" s="17" t="str">
        <f aca="false">IF((E53="q"),H53," ")</f>
        <v> </v>
      </c>
      <c r="X53" s="17" t="str">
        <f aca="false">IF((E53="m"),H53," ")</f>
        <v> </v>
      </c>
      <c r="Y53" s="17" t="str">
        <f aca="false">IF((E53="u"),H53," ")</f>
        <v> </v>
      </c>
      <c r="Z53" s="17" t="str">
        <f aca="false">IF((E53="a"),H53," ")</f>
        <v> </v>
      </c>
      <c r="AA53" s="17" t="str">
        <f aca="false">IF((E53="g"),H53," ")</f>
        <v> </v>
      </c>
      <c r="AB53" s="17" t="str">
        <f aca="false">IF((E53="h"),H53," ")</f>
        <v> </v>
      </c>
      <c r="AC53" s="30" t="str">
        <f aca="false">IF((E53="v"),H53," ")</f>
        <v> </v>
      </c>
      <c r="AD53" s="30" t="str">
        <f aca="false">IF((E53="n"),H53," ")</f>
        <v> </v>
      </c>
      <c r="AE53" s="17" t="str">
        <f aca="false">IF((E53="f"),H53," ")</f>
        <v> </v>
      </c>
      <c r="AF53" s="17" t="str">
        <f aca="false">IF((E53="l"),H53," ")</f>
        <v> </v>
      </c>
      <c r="AG53" s="17" t="str">
        <f aca="false">IF((E53="y"),H53," ")</f>
        <v> </v>
      </c>
      <c r="AH53" s="17" t="str">
        <f aca="false">IF((E53="z"),H53," ")</f>
        <v> </v>
      </c>
      <c r="AI53" s="17" t="str">
        <f aca="false">IF((E53="fa"),H53," ")</f>
        <v> </v>
      </c>
      <c r="AJ53" s="17" t="str">
        <f aca="false">IF((E53="e"),H53," ")</f>
        <v> </v>
      </c>
    </row>
    <row r="54" customFormat="false" ht="12" hidden="false" customHeight="false" outlineLevel="0" collapsed="false">
      <c r="A54" s="28"/>
      <c r="E54" s="2"/>
      <c r="F54" s="30"/>
      <c r="G54" s="6" t="str">
        <f aca="false">IF(F54&lt;&gt;0,F54*G$2/(100+G$2)," ")</f>
        <v> </v>
      </c>
      <c r="H54" s="6" t="str">
        <f aca="false">IF((F54&lt;&gt;0),F54-G54," ")</f>
        <v> </v>
      </c>
      <c r="I54" s="5"/>
      <c r="L54" s="7" t="str">
        <f aca="false">IF(F54&lt;&gt;0,F54-K54," ")</f>
        <v> </v>
      </c>
      <c r="M54" s="8" t="str">
        <f aca="false">IF((F54-K54)&lt;&gt;0,M$1-A54," ")</f>
        <v> </v>
      </c>
      <c r="N54" s="5"/>
      <c r="O54" s="17" t="str">
        <f aca="false">IF((E54="s"),H54," ")</f>
        <v> </v>
      </c>
      <c r="P54" s="17" t="str">
        <f aca="false">IF((E54="c"),H54," ")</f>
        <v> </v>
      </c>
      <c r="Q54" s="17" t="str">
        <f aca="false">IF((E54="o"),H54," ")</f>
        <v> </v>
      </c>
      <c r="R54" s="17" t="str">
        <f aca="false">IF((E54="d"),H54," ")</f>
        <v> </v>
      </c>
      <c r="S54" s="17" t="str">
        <f aca="false">IF((E54="w"),H54," ")</f>
        <v> </v>
      </c>
      <c r="T54" s="17" t="str">
        <f aca="false">IF((E54="r"),H54," ")</f>
        <v> </v>
      </c>
      <c r="U54" s="17" t="str">
        <f aca="false">IF((E54="p"),H54," ")</f>
        <v> </v>
      </c>
      <c r="V54" s="17" t="str">
        <f aca="false">IF((E54="t"),H54," ")</f>
        <v> </v>
      </c>
      <c r="W54" s="17" t="str">
        <f aca="false">IF((E54="q"),H54," ")</f>
        <v> </v>
      </c>
      <c r="X54" s="17" t="str">
        <f aca="false">IF((E54="m"),H54," ")</f>
        <v> </v>
      </c>
      <c r="Y54" s="17" t="str">
        <f aca="false">IF((E54="u"),H54," ")</f>
        <v> </v>
      </c>
      <c r="Z54" s="17" t="str">
        <f aca="false">IF((E54="a"),H54," ")</f>
        <v> </v>
      </c>
      <c r="AA54" s="17" t="str">
        <f aca="false">IF((E54="g"),H54," ")</f>
        <v> </v>
      </c>
      <c r="AB54" s="17" t="str">
        <f aca="false">IF((E54="h"),H54," ")</f>
        <v> </v>
      </c>
      <c r="AC54" s="30" t="str">
        <f aca="false">IF((E54="v"),H54," ")</f>
        <v> </v>
      </c>
      <c r="AD54" s="30" t="str">
        <f aca="false">IF((E54="n"),H54," ")</f>
        <v> </v>
      </c>
      <c r="AE54" s="17" t="str">
        <f aca="false">IF((E54="f"),H54," ")</f>
        <v> </v>
      </c>
      <c r="AF54" s="17" t="str">
        <f aca="false">IF((E54="l"),H54," ")</f>
        <v> </v>
      </c>
      <c r="AG54" s="17" t="str">
        <f aca="false">IF((E54="y"),H54," ")</f>
        <v> </v>
      </c>
      <c r="AH54" s="17" t="str">
        <f aca="false">IF((E54="z"),H54," ")</f>
        <v> </v>
      </c>
      <c r="AI54" s="17" t="str">
        <f aca="false">IF((E54="fa"),H54," ")</f>
        <v> </v>
      </c>
      <c r="AJ54" s="17" t="str">
        <f aca="false">IF((E54="e"),H54," ")</f>
        <v> </v>
      </c>
    </row>
    <row r="55" customFormat="false" ht="12" hidden="false" customHeight="false" outlineLevel="0" collapsed="false">
      <c r="A55" s="28"/>
      <c r="E55" s="2"/>
      <c r="F55" s="30"/>
      <c r="G55" s="6" t="str">
        <f aca="false">IF(F55&lt;&gt;0,F55*G$2/(100+G$2)," ")</f>
        <v> </v>
      </c>
      <c r="H55" s="6" t="str">
        <f aca="false">IF((F55&lt;&gt;0),F55-G55," ")</f>
        <v> </v>
      </c>
      <c r="I55" s="5"/>
      <c r="L55" s="7" t="str">
        <f aca="false">IF(F55&lt;&gt;0,F55-K55," ")</f>
        <v> </v>
      </c>
      <c r="M55" s="8" t="str">
        <f aca="false">IF((F55-K55)&lt;&gt;0,M$1-A55," ")</f>
        <v> </v>
      </c>
      <c r="N55" s="5"/>
      <c r="O55" s="17" t="str">
        <f aca="false">IF((E55="s"),H55," ")</f>
        <v> </v>
      </c>
      <c r="P55" s="17" t="str">
        <f aca="false">IF((E55="c"),H55," ")</f>
        <v> </v>
      </c>
      <c r="Q55" s="17" t="str">
        <f aca="false">IF((E55="o"),H55," ")</f>
        <v> </v>
      </c>
      <c r="R55" s="17" t="str">
        <f aca="false">IF((E55="d"),H55," ")</f>
        <v> </v>
      </c>
      <c r="S55" s="17" t="str">
        <f aca="false">IF((E55="w"),H55," ")</f>
        <v> </v>
      </c>
      <c r="T55" s="17" t="str">
        <f aca="false">IF((E55="r"),H55," ")</f>
        <v> </v>
      </c>
      <c r="U55" s="17" t="str">
        <f aca="false">IF((E55="p"),H55," ")</f>
        <v> </v>
      </c>
      <c r="V55" s="17" t="str">
        <f aca="false">IF((E55="t"),H55," ")</f>
        <v> </v>
      </c>
      <c r="W55" s="17" t="str">
        <f aca="false">IF((E55="q"),H55," ")</f>
        <v> </v>
      </c>
      <c r="X55" s="17" t="str">
        <f aca="false">IF((E55="m"),H55," ")</f>
        <v> </v>
      </c>
      <c r="Y55" s="17" t="str">
        <f aca="false">IF((E55="u"),H55," ")</f>
        <v> </v>
      </c>
      <c r="Z55" s="17" t="str">
        <f aca="false">IF((E55="a"),H55," ")</f>
        <v> </v>
      </c>
      <c r="AA55" s="17" t="str">
        <f aca="false">IF((E55="g"),H55," ")</f>
        <v> </v>
      </c>
      <c r="AB55" s="17" t="str">
        <f aca="false">IF((E55="h"),H55," ")</f>
        <v> </v>
      </c>
      <c r="AC55" s="30" t="str">
        <f aca="false">IF((E55="v"),H55," ")</f>
        <v> </v>
      </c>
      <c r="AD55" s="30" t="str">
        <f aca="false">IF((E55="n"),H55," ")</f>
        <v> </v>
      </c>
      <c r="AE55" s="17" t="str">
        <f aca="false">IF((E55="f"),H55," ")</f>
        <v> </v>
      </c>
      <c r="AF55" s="17" t="str">
        <f aca="false">IF((E55="l"),H55," ")</f>
        <v> </v>
      </c>
      <c r="AG55" s="17" t="str">
        <f aca="false">IF((E55="y"),H55," ")</f>
        <v> </v>
      </c>
      <c r="AH55" s="17" t="str">
        <f aca="false">IF((E55="z"),H55," ")</f>
        <v> </v>
      </c>
      <c r="AI55" s="17" t="str">
        <f aca="false">IF((E55="fa"),H55," ")</f>
        <v> </v>
      </c>
      <c r="AJ55" s="17" t="str">
        <f aca="false">IF((E55="e"),H55," ")</f>
        <v> </v>
      </c>
    </row>
    <row r="56" customFormat="false" ht="12" hidden="false" customHeight="false" outlineLevel="0" collapsed="false">
      <c r="A56" s="28"/>
      <c r="E56" s="2"/>
      <c r="F56" s="30"/>
      <c r="G56" s="6" t="str">
        <f aca="false">IF(F56&lt;&gt;0,F56*G$2/(100+G$2)," ")</f>
        <v> </v>
      </c>
      <c r="H56" s="6" t="str">
        <f aca="false">IF((F56&lt;&gt;0),F56-G56," ")</f>
        <v> </v>
      </c>
      <c r="I56" s="5"/>
      <c r="L56" s="7" t="str">
        <f aca="false">IF(F56&lt;&gt;0,F56-K56," ")</f>
        <v> </v>
      </c>
      <c r="M56" s="8" t="str">
        <f aca="false">IF((F56-K56)&lt;&gt;0,M$1-A56," ")</f>
        <v> </v>
      </c>
      <c r="N56" s="5"/>
      <c r="O56" s="17" t="str">
        <f aca="false">IF((E56="s"),H56," ")</f>
        <v> </v>
      </c>
      <c r="P56" s="17" t="str">
        <f aca="false">IF((E56="c"),H56," ")</f>
        <v> </v>
      </c>
      <c r="Q56" s="17" t="str">
        <f aca="false">IF((E56="o"),H56," ")</f>
        <v> </v>
      </c>
      <c r="R56" s="17" t="str">
        <f aca="false">IF((E56="d"),H56," ")</f>
        <v> </v>
      </c>
      <c r="S56" s="17" t="str">
        <f aca="false">IF((E56="w"),H56," ")</f>
        <v> </v>
      </c>
      <c r="T56" s="17" t="str">
        <f aca="false">IF((E56="r"),H56," ")</f>
        <v> </v>
      </c>
      <c r="U56" s="17" t="str">
        <f aca="false">IF((E56="p"),H56," ")</f>
        <v> </v>
      </c>
      <c r="V56" s="17" t="str">
        <f aca="false">IF((E56="t"),H56," ")</f>
        <v> </v>
      </c>
      <c r="W56" s="17" t="str">
        <f aca="false">IF((E56="q"),H56," ")</f>
        <v> </v>
      </c>
      <c r="X56" s="17" t="str">
        <f aca="false">IF((E56="m"),H56," ")</f>
        <v> </v>
      </c>
      <c r="Y56" s="17" t="str">
        <f aca="false">IF((E56="u"),H56," ")</f>
        <v> </v>
      </c>
      <c r="Z56" s="17" t="str">
        <f aca="false">IF((E56="a"),H56," ")</f>
        <v> </v>
      </c>
      <c r="AA56" s="17" t="str">
        <f aca="false">IF((E56="g"),H56," ")</f>
        <v> </v>
      </c>
      <c r="AB56" s="17" t="str">
        <f aca="false">IF((E56="h"),H56," ")</f>
        <v> </v>
      </c>
      <c r="AC56" s="30" t="str">
        <f aca="false">IF((E56="v"),H56," ")</f>
        <v> </v>
      </c>
      <c r="AD56" s="30" t="str">
        <f aca="false">IF((E56="n"),H56," ")</f>
        <v> </v>
      </c>
      <c r="AE56" s="17" t="str">
        <f aca="false">IF((E56="f"),H56," ")</f>
        <v> </v>
      </c>
      <c r="AF56" s="17" t="str">
        <f aca="false">IF((E56="l"),H56," ")</f>
        <v> </v>
      </c>
      <c r="AG56" s="17" t="str">
        <f aca="false">IF((E56="y"),H56," ")</f>
        <v> </v>
      </c>
      <c r="AH56" s="17" t="str">
        <f aca="false">IF((E56="z"),H56," ")</f>
        <v> </v>
      </c>
      <c r="AI56" s="17" t="str">
        <f aca="false">IF((E56="fa"),H56," ")</f>
        <v> </v>
      </c>
      <c r="AJ56" s="17" t="str">
        <f aca="false">IF((E56="e"),H56," ")</f>
        <v> </v>
      </c>
    </row>
    <row r="57" customFormat="false" ht="12" hidden="false" customHeight="false" outlineLevel="0" collapsed="false">
      <c r="A57" s="28"/>
      <c r="E57" s="2"/>
      <c r="F57" s="30"/>
      <c r="G57" s="6" t="str">
        <f aca="false">IF(F57&lt;&gt;0,F57*G$2/(100+G$2)," ")</f>
        <v> </v>
      </c>
      <c r="H57" s="6" t="str">
        <f aca="false">IF((F57&lt;&gt;0),F57-G57," ")</f>
        <v> </v>
      </c>
      <c r="I57" s="5"/>
      <c r="L57" s="7" t="str">
        <f aca="false">IF(F57&lt;&gt;0,F57-K57," ")</f>
        <v> </v>
      </c>
      <c r="M57" s="8" t="str">
        <f aca="false">IF((F57-K57)&lt;&gt;0,M$1-A57," ")</f>
        <v> </v>
      </c>
      <c r="N57" s="5"/>
      <c r="O57" s="17" t="str">
        <f aca="false">IF((E57="s"),H57," ")</f>
        <v> </v>
      </c>
      <c r="P57" s="17" t="str">
        <f aca="false">IF((E57="c"),H57," ")</f>
        <v> </v>
      </c>
      <c r="Q57" s="17" t="str">
        <f aca="false">IF((E57="o"),H57," ")</f>
        <v> </v>
      </c>
      <c r="R57" s="17" t="str">
        <f aca="false">IF((E57="d"),H57," ")</f>
        <v> </v>
      </c>
      <c r="S57" s="17" t="str">
        <f aca="false">IF((E57="w"),H57," ")</f>
        <v> </v>
      </c>
      <c r="T57" s="17" t="str">
        <f aca="false">IF((E57="r"),H57," ")</f>
        <v> </v>
      </c>
      <c r="U57" s="17" t="str">
        <f aca="false">IF((E57="p"),H57," ")</f>
        <v> </v>
      </c>
      <c r="V57" s="17" t="str">
        <f aca="false">IF((E57="t"),H57," ")</f>
        <v> </v>
      </c>
      <c r="W57" s="17" t="str">
        <f aca="false">IF((E57="q"),H57," ")</f>
        <v> </v>
      </c>
      <c r="X57" s="17" t="str">
        <f aca="false">IF((E57="m"),H57," ")</f>
        <v> </v>
      </c>
      <c r="Y57" s="17" t="str">
        <f aca="false">IF((E57="u"),H57," ")</f>
        <v> </v>
      </c>
      <c r="Z57" s="17" t="str">
        <f aca="false">IF((E57="a"),H57," ")</f>
        <v> </v>
      </c>
      <c r="AA57" s="17" t="str">
        <f aca="false">IF((E57="g"),H57," ")</f>
        <v> </v>
      </c>
      <c r="AB57" s="17" t="str">
        <f aca="false">IF((E57="h"),H57," ")</f>
        <v> </v>
      </c>
      <c r="AC57" s="30" t="str">
        <f aca="false">IF((E57="v"),H57," ")</f>
        <v> </v>
      </c>
      <c r="AD57" s="30" t="str">
        <f aca="false">IF((E57="n"),H57," ")</f>
        <v> </v>
      </c>
      <c r="AE57" s="17" t="str">
        <f aca="false">IF((E57="f"),H57," ")</f>
        <v> </v>
      </c>
      <c r="AF57" s="17" t="str">
        <f aca="false">IF((E57="l"),H57," ")</f>
        <v> </v>
      </c>
      <c r="AG57" s="17" t="str">
        <f aca="false">IF((E57="y"),H57," ")</f>
        <v> </v>
      </c>
      <c r="AH57" s="17" t="str">
        <f aca="false">IF((E57="z"),H57," ")</f>
        <v> </v>
      </c>
      <c r="AI57" s="17" t="str">
        <f aca="false">IF((E57="fa"),H57," ")</f>
        <v> </v>
      </c>
      <c r="AJ57" s="17" t="str">
        <f aca="false">IF((E57="e"),H57," ")</f>
        <v> </v>
      </c>
    </row>
    <row r="58" customFormat="false" ht="12" hidden="false" customHeight="false" outlineLevel="0" collapsed="false">
      <c r="A58" s="28"/>
      <c r="E58" s="2"/>
      <c r="F58" s="30"/>
      <c r="G58" s="6" t="str">
        <f aca="false">IF(F58&lt;&gt;0,F58*G$2/(100+G$2)," ")</f>
        <v> </v>
      </c>
      <c r="H58" s="6" t="str">
        <f aca="false">IF((F58&lt;&gt;0),F58-G58," ")</f>
        <v> </v>
      </c>
      <c r="I58" s="5"/>
      <c r="L58" s="7" t="str">
        <f aca="false">IF(F58&lt;&gt;0,F58-K58," ")</f>
        <v> </v>
      </c>
      <c r="M58" s="8" t="str">
        <f aca="false">IF((F58-K58)&lt;&gt;0,M$1-A58," ")</f>
        <v> </v>
      </c>
      <c r="N58" s="5"/>
      <c r="O58" s="17" t="str">
        <f aca="false">IF((E58="s"),H58," ")</f>
        <v> </v>
      </c>
      <c r="P58" s="17" t="str">
        <f aca="false">IF((E58="c"),H58," ")</f>
        <v> </v>
      </c>
      <c r="Q58" s="17" t="str">
        <f aca="false">IF((E58="o"),H58," ")</f>
        <v> </v>
      </c>
      <c r="R58" s="17" t="str">
        <f aca="false">IF((E58="d"),H58," ")</f>
        <v> </v>
      </c>
      <c r="S58" s="17" t="str">
        <f aca="false">IF((E58="w"),H58," ")</f>
        <v> </v>
      </c>
      <c r="T58" s="17" t="str">
        <f aca="false">IF((E58="r"),H58," ")</f>
        <v> </v>
      </c>
      <c r="U58" s="17" t="str">
        <f aca="false">IF((E58="p"),H58," ")</f>
        <v> </v>
      </c>
      <c r="V58" s="17" t="str">
        <f aca="false">IF((E58="t"),H58," ")</f>
        <v> </v>
      </c>
      <c r="W58" s="17" t="str">
        <f aca="false">IF((E58="q"),H58," ")</f>
        <v> </v>
      </c>
      <c r="X58" s="17" t="str">
        <f aca="false">IF((E58="m"),H58," ")</f>
        <v> </v>
      </c>
      <c r="Y58" s="17" t="str">
        <f aca="false">IF((E58="u"),H58," ")</f>
        <v> </v>
      </c>
      <c r="Z58" s="17" t="str">
        <f aca="false">IF((E58="a"),H58," ")</f>
        <v> </v>
      </c>
      <c r="AA58" s="17" t="str">
        <f aca="false">IF((E58="g"),H58," ")</f>
        <v> </v>
      </c>
      <c r="AB58" s="17" t="str">
        <f aca="false">IF((E58="h"),H58," ")</f>
        <v> </v>
      </c>
      <c r="AC58" s="30" t="str">
        <f aca="false">IF((E58="v"),H58," ")</f>
        <v> </v>
      </c>
      <c r="AD58" s="30" t="str">
        <f aca="false">IF((E58="n"),H58," ")</f>
        <v> </v>
      </c>
      <c r="AE58" s="17" t="str">
        <f aca="false">IF((E58="f"),H58," ")</f>
        <v> </v>
      </c>
      <c r="AF58" s="17" t="str">
        <f aca="false">IF((E58="l"),H58," ")</f>
        <v> </v>
      </c>
      <c r="AG58" s="17" t="str">
        <f aca="false">IF((E58="y"),H58," ")</f>
        <v> </v>
      </c>
      <c r="AH58" s="17" t="str">
        <f aca="false">IF((E58="z"),H58," ")</f>
        <v> </v>
      </c>
      <c r="AI58" s="17" t="str">
        <f aca="false">IF((E58="fa"),H58," ")</f>
        <v> </v>
      </c>
      <c r="AJ58" s="17" t="str">
        <f aca="false">IF((E58="e"),H58," ")</f>
        <v> </v>
      </c>
    </row>
    <row r="59" customFormat="false" ht="12" hidden="false" customHeight="false" outlineLevel="0" collapsed="false">
      <c r="A59" s="28"/>
      <c r="E59" s="2"/>
      <c r="F59" s="30"/>
      <c r="G59" s="6" t="str">
        <f aca="false">IF(F59&lt;&gt;0,F59*G$2/(100+G$2)," ")</f>
        <v> </v>
      </c>
      <c r="H59" s="6" t="str">
        <f aca="false">IF((F59&lt;&gt;0),F59-G59," ")</f>
        <v> </v>
      </c>
      <c r="I59" s="5"/>
      <c r="L59" s="7" t="str">
        <f aca="false">IF(F59&lt;&gt;0,F59-K59," ")</f>
        <v> </v>
      </c>
      <c r="M59" s="8" t="str">
        <f aca="false">IF((F59-K59)&lt;&gt;0,M$1-A59," ")</f>
        <v> </v>
      </c>
      <c r="N59" s="5"/>
      <c r="O59" s="17" t="str">
        <f aca="false">IF((E59="s"),H59," ")</f>
        <v> </v>
      </c>
      <c r="P59" s="17" t="str">
        <f aca="false">IF((E59="c"),H59," ")</f>
        <v> </v>
      </c>
      <c r="Q59" s="17" t="str">
        <f aca="false">IF((E59="o"),H59," ")</f>
        <v> </v>
      </c>
      <c r="R59" s="17" t="str">
        <f aca="false">IF((E59="d"),H59," ")</f>
        <v> </v>
      </c>
      <c r="S59" s="17" t="str">
        <f aca="false">IF((E59="w"),H59," ")</f>
        <v> </v>
      </c>
      <c r="T59" s="17" t="str">
        <f aca="false">IF((E59="r"),H59," ")</f>
        <v> </v>
      </c>
      <c r="U59" s="17" t="str">
        <f aca="false">IF((E59="p"),H59," ")</f>
        <v> </v>
      </c>
      <c r="V59" s="17" t="str">
        <f aca="false">IF((E59="t"),H59," ")</f>
        <v> </v>
      </c>
      <c r="W59" s="17" t="str">
        <f aca="false">IF((E59="q"),H59," ")</f>
        <v> </v>
      </c>
      <c r="X59" s="17" t="str">
        <f aca="false">IF((E59="m"),H59," ")</f>
        <v> </v>
      </c>
      <c r="Y59" s="17" t="str">
        <f aca="false">IF((E59="u"),H59," ")</f>
        <v> </v>
      </c>
      <c r="Z59" s="17" t="str">
        <f aca="false">IF((E59="a"),H59," ")</f>
        <v> </v>
      </c>
      <c r="AA59" s="17" t="str">
        <f aca="false">IF((E59="g"),H59," ")</f>
        <v> </v>
      </c>
      <c r="AB59" s="17" t="str">
        <f aca="false">IF((E59="h"),H59," ")</f>
        <v> </v>
      </c>
      <c r="AC59" s="30" t="str">
        <f aca="false">IF((E59="v"),H59," ")</f>
        <v> </v>
      </c>
      <c r="AD59" s="30" t="str">
        <f aca="false">IF((E59="n"),H59," ")</f>
        <v> </v>
      </c>
      <c r="AE59" s="17" t="str">
        <f aca="false">IF((E59="f"),H59," ")</f>
        <v> </v>
      </c>
      <c r="AF59" s="17" t="str">
        <f aca="false">IF((E59="l"),H59," ")</f>
        <v> </v>
      </c>
      <c r="AG59" s="17" t="str">
        <f aca="false">IF((E59="y"),H59," ")</f>
        <v> </v>
      </c>
      <c r="AH59" s="17" t="str">
        <f aca="false">IF((E59="z"),H59," ")</f>
        <v> </v>
      </c>
      <c r="AI59" s="17" t="str">
        <f aca="false">IF((E59="fa"),H59," ")</f>
        <v> </v>
      </c>
      <c r="AJ59" s="17" t="str">
        <f aca="false">IF((E59="e"),H59," ")</f>
        <v> </v>
      </c>
    </row>
    <row r="60" customFormat="false" ht="12" hidden="false" customHeight="false" outlineLevel="0" collapsed="false">
      <c r="A60" s="28"/>
      <c r="E60" s="2"/>
      <c r="F60" s="30"/>
      <c r="G60" s="6" t="str">
        <f aca="false">IF(F60&lt;&gt;0,F60*G$2/(100+G$2)," ")</f>
        <v> </v>
      </c>
      <c r="H60" s="6" t="str">
        <f aca="false">IF((F60&lt;&gt;0),F60-G60," ")</f>
        <v> </v>
      </c>
      <c r="I60" s="5"/>
      <c r="L60" s="7" t="str">
        <f aca="false">IF(F60&lt;&gt;0,F60-K60," ")</f>
        <v> </v>
      </c>
      <c r="M60" s="8" t="str">
        <f aca="false">IF((F60-K60)&lt;&gt;0,M$1-A60," ")</f>
        <v> </v>
      </c>
      <c r="N60" s="5"/>
      <c r="O60" s="17" t="str">
        <f aca="false">IF((E60="s"),H60," ")</f>
        <v> </v>
      </c>
      <c r="P60" s="17" t="str">
        <f aca="false">IF((E60="c"),H60," ")</f>
        <v> </v>
      </c>
      <c r="Q60" s="17" t="str">
        <f aca="false">IF((E60="o"),H60," ")</f>
        <v> </v>
      </c>
      <c r="R60" s="17" t="str">
        <f aca="false">IF((E60="d"),H60," ")</f>
        <v> </v>
      </c>
      <c r="S60" s="17" t="str">
        <f aca="false">IF((E60="w"),H60," ")</f>
        <v> </v>
      </c>
      <c r="T60" s="17" t="str">
        <f aca="false">IF((E60="r"),H60," ")</f>
        <v> </v>
      </c>
      <c r="U60" s="17" t="str">
        <f aca="false">IF((E60="p"),H60," ")</f>
        <v> </v>
      </c>
      <c r="V60" s="17" t="str">
        <f aca="false">IF((E60="t"),H60," ")</f>
        <v> </v>
      </c>
      <c r="W60" s="17" t="str">
        <f aca="false">IF((E60="q"),H60," ")</f>
        <v> </v>
      </c>
      <c r="X60" s="17" t="str">
        <f aca="false">IF((E60="m"),H60," ")</f>
        <v> </v>
      </c>
      <c r="Y60" s="17" t="str">
        <f aca="false">IF((E60="u"),H60," ")</f>
        <v> </v>
      </c>
      <c r="Z60" s="17" t="str">
        <f aca="false">IF((E60="a"),H60," ")</f>
        <v> </v>
      </c>
      <c r="AA60" s="17" t="str">
        <f aca="false">IF((E60="g"),H60," ")</f>
        <v> </v>
      </c>
      <c r="AB60" s="17" t="str">
        <f aca="false">IF((E60="h"),H60," ")</f>
        <v> </v>
      </c>
      <c r="AC60" s="30" t="str">
        <f aca="false">IF((E60="v"),H60," ")</f>
        <v> </v>
      </c>
      <c r="AD60" s="30" t="str">
        <f aca="false">IF((E60="n"),H60," ")</f>
        <v> </v>
      </c>
      <c r="AE60" s="17" t="str">
        <f aca="false">IF((E60="f"),H60," ")</f>
        <v> </v>
      </c>
      <c r="AF60" s="17" t="str">
        <f aca="false">IF((E60="l"),H60," ")</f>
        <v> </v>
      </c>
      <c r="AG60" s="17" t="str">
        <f aca="false">IF((E60="y"),H60," ")</f>
        <v> </v>
      </c>
      <c r="AH60" s="17" t="str">
        <f aca="false">IF((E60="z"),H60," ")</f>
        <v> </v>
      </c>
      <c r="AI60" s="17" t="str">
        <f aca="false">IF((E60="fa"),H60," ")</f>
        <v> </v>
      </c>
      <c r="AJ60" s="17" t="str">
        <f aca="false">IF((E60="e"),H60," ")</f>
        <v> </v>
      </c>
    </row>
    <row r="61" customFormat="false" ht="12" hidden="false" customHeight="false" outlineLevel="0" collapsed="false">
      <c r="A61" s="28"/>
      <c r="E61" s="2"/>
      <c r="F61" s="30"/>
      <c r="G61" s="6" t="str">
        <f aca="false">IF(F61&lt;&gt;0,F61*G$2/(100+G$2)," ")</f>
        <v> </v>
      </c>
      <c r="H61" s="6" t="str">
        <f aca="false">IF((F61&lt;&gt;0),F61-G61," ")</f>
        <v> </v>
      </c>
      <c r="I61" s="5"/>
      <c r="L61" s="7" t="str">
        <f aca="false">IF(F61&lt;&gt;0,F61-K61," ")</f>
        <v> </v>
      </c>
      <c r="M61" s="8" t="str">
        <f aca="false">IF((F61-K61)&lt;&gt;0,M$1-A61," ")</f>
        <v> </v>
      </c>
      <c r="N61" s="5"/>
      <c r="O61" s="17" t="str">
        <f aca="false">IF((E61="s"),H61," ")</f>
        <v> </v>
      </c>
      <c r="P61" s="17" t="str">
        <f aca="false">IF((E61="c"),H61," ")</f>
        <v> </v>
      </c>
      <c r="Q61" s="17" t="str">
        <f aca="false">IF((E61="o"),H61," ")</f>
        <v> </v>
      </c>
      <c r="R61" s="17" t="str">
        <f aca="false">IF((E61="d"),H61," ")</f>
        <v> </v>
      </c>
      <c r="S61" s="17" t="str">
        <f aca="false">IF((E61="w"),H61," ")</f>
        <v> </v>
      </c>
      <c r="T61" s="17" t="str">
        <f aca="false">IF((E61="r"),H61," ")</f>
        <v> </v>
      </c>
      <c r="U61" s="17" t="str">
        <f aca="false">IF((E61="p"),H61," ")</f>
        <v> </v>
      </c>
      <c r="V61" s="17" t="str">
        <f aca="false">IF((E61="t"),H61," ")</f>
        <v> </v>
      </c>
      <c r="W61" s="17" t="str">
        <f aca="false">IF((E61="q"),H61," ")</f>
        <v> </v>
      </c>
      <c r="X61" s="17" t="str">
        <f aca="false">IF((E61="m"),H61," ")</f>
        <v> </v>
      </c>
      <c r="Y61" s="17" t="str">
        <f aca="false">IF((E61="u"),H61," ")</f>
        <v> </v>
      </c>
      <c r="Z61" s="17" t="str">
        <f aca="false">IF((E61="a"),H61," ")</f>
        <v> </v>
      </c>
      <c r="AA61" s="17" t="str">
        <f aca="false">IF((E61="g"),H61," ")</f>
        <v> </v>
      </c>
      <c r="AB61" s="17" t="str">
        <f aca="false">IF((E61="h"),H61," ")</f>
        <v> </v>
      </c>
      <c r="AC61" s="30" t="str">
        <f aca="false">IF((E61="v"),H61," ")</f>
        <v> </v>
      </c>
      <c r="AD61" s="30" t="str">
        <f aca="false">IF((E61="n"),H61," ")</f>
        <v> </v>
      </c>
      <c r="AE61" s="17" t="str">
        <f aca="false">IF((E61="f"),H61," ")</f>
        <v> </v>
      </c>
      <c r="AF61" s="17" t="str">
        <f aca="false">IF((E61="l"),H61," ")</f>
        <v> </v>
      </c>
      <c r="AG61" s="17" t="str">
        <f aca="false">IF((E61="y"),H61," ")</f>
        <v> </v>
      </c>
      <c r="AH61" s="17" t="str">
        <f aca="false">IF((E61="z"),H61," ")</f>
        <v> </v>
      </c>
      <c r="AI61" s="17" t="str">
        <f aca="false">IF((E61="fa"),H61," ")</f>
        <v> </v>
      </c>
      <c r="AJ61" s="17" t="str">
        <f aca="false">IF((E61="e"),H61," ")</f>
        <v> </v>
      </c>
    </row>
    <row r="62" customFormat="false" ht="12" hidden="false" customHeight="false" outlineLevel="0" collapsed="false">
      <c r="A62" s="28"/>
      <c r="E62" s="2"/>
      <c r="F62" s="30"/>
      <c r="G62" s="6" t="str">
        <f aca="false">IF(F62&lt;&gt;0,F62*G$2/(100+G$2)," ")</f>
        <v> </v>
      </c>
      <c r="H62" s="6" t="str">
        <f aca="false">IF((F62&lt;&gt;0),F62-G62," ")</f>
        <v> </v>
      </c>
      <c r="I62" s="5"/>
      <c r="L62" s="7" t="str">
        <f aca="false">IF(F62&lt;&gt;0,F62-K62," ")</f>
        <v> </v>
      </c>
      <c r="M62" s="8" t="str">
        <f aca="false">IF((F62-K62)&lt;&gt;0,M$1-A62," ")</f>
        <v> </v>
      </c>
      <c r="N62" s="5"/>
      <c r="O62" s="17" t="str">
        <f aca="false">IF((E62="s"),H62," ")</f>
        <v> </v>
      </c>
      <c r="P62" s="17" t="str">
        <f aca="false">IF((E62="c"),H62," ")</f>
        <v> </v>
      </c>
      <c r="Q62" s="17" t="str">
        <f aca="false">IF((E62="o"),H62," ")</f>
        <v> </v>
      </c>
      <c r="R62" s="17" t="str">
        <f aca="false">IF((E62="d"),H62," ")</f>
        <v> </v>
      </c>
      <c r="S62" s="17" t="str">
        <f aca="false">IF((E62="w"),H62," ")</f>
        <v> </v>
      </c>
      <c r="T62" s="17" t="str">
        <f aca="false">IF((E62="r"),H62," ")</f>
        <v> </v>
      </c>
      <c r="U62" s="17" t="str">
        <f aca="false">IF((E62="p"),H62," ")</f>
        <v> </v>
      </c>
      <c r="V62" s="17" t="str">
        <f aca="false">IF((E62="t"),H62," ")</f>
        <v> </v>
      </c>
      <c r="W62" s="17" t="str">
        <f aca="false">IF((E62="q"),H62," ")</f>
        <v> </v>
      </c>
      <c r="X62" s="17" t="str">
        <f aca="false">IF((E62="m"),H62," ")</f>
        <v> </v>
      </c>
      <c r="Y62" s="17" t="str">
        <f aca="false">IF((E62="u"),H62," ")</f>
        <v> </v>
      </c>
      <c r="Z62" s="17" t="str">
        <f aca="false">IF((E62="a"),H62," ")</f>
        <v> </v>
      </c>
      <c r="AA62" s="17" t="str">
        <f aca="false">IF((E62="g"),H62," ")</f>
        <v> </v>
      </c>
      <c r="AB62" s="17" t="str">
        <f aca="false">IF((E62="h"),H62," ")</f>
        <v> </v>
      </c>
      <c r="AC62" s="30" t="str">
        <f aca="false">IF((E62="v"),H62," ")</f>
        <v> </v>
      </c>
      <c r="AD62" s="30" t="str">
        <f aca="false">IF((E62="n"),H62," ")</f>
        <v> </v>
      </c>
      <c r="AE62" s="17" t="str">
        <f aca="false">IF((E62="f"),H62," ")</f>
        <v> </v>
      </c>
      <c r="AF62" s="17" t="str">
        <f aca="false">IF((E62="l"),H62," ")</f>
        <v> </v>
      </c>
      <c r="AG62" s="17" t="str">
        <f aca="false">IF((E62="y"),H62," ")</f>
        <v> </v>
      </c>
      <c r="AH62" s="17" t="str">
        <f aca="false">IF((E62="z"),H62," ")</f>
        <v> </v>
      </c>
      <c r="AI62" s="17" t="str">
        <f aca="false">IF((E62="fa"),H62," ")</f>
        <v> </v>
      </c>
      <c r="AJ62" s="17" t="str">
        <f aca="false">IF((E62="e"),H62," ")</f>
        <v> </v>
      </c>
    </row>
    <row r="63" customFormat="false" ht="12" hidden="false" customHeight="false" outlineLevel="0" collapsed="false">
      <c r="A63" s="28"/>
      <c r="E63" s="2"/>
      <c r="F63" s="30"/>
      <c r="G63" s="6" t="str">
        <f aca="false">IF(F63&lt;&gt;0,F63*G$2/(100+G$2)," ")</f>
        <v> </v>
      </c>
      <c r="H63" s="6" t="str">
        <f aca="false">IF((F63&lt;&gt;0),F63-G63," ")</f>
        <v> </v>
      </c>
      <c r="I63" s="5"/>
      <c r="L63" s="7" t="str">
        <f aca="false">IF(F63&lt;&gt;0,F63-K63," ")</f>
        <v> </v>
      </c>
      <c r="M63" s="8" t="str">
        <f aca="false">IF((F63-K63)&lt;&gt;0,M$1-A63," ")</f>
        <v> </v>
      </c>
      <c r="N63" s="5"/>
      <c r="O63" s="17" t="str">
        <f aca="false">IF((E63="s"),H63," ")</f>
        <v> </v>
      </c>
      <c r="P63" s="17" t="str">
        <f aca="false">IF((E63="c"),H63," ")</f>
        <v> </v>
      </c>
      <c r="Q63" s="17" t="str">
        <f aca="false">IF((E63="o"),H63," ")</f>
        <v> </v>
      </c>
      <c r="R63" s="17" t="str">
        <f aca="false">IF((E63="d"),H63," ")</f>
        <v> </v>
      </c>
      <c r="S63" s="17" t="str">
        <f aca="false">IF((E63="w"),H63," ")</f>
        <v> </v>
      </c>
      <c r="T63" s="17" t="str">
        <f aca="false">IF((E63="r"),H63," ")</f>
        <v> </v>
      </c>
      <c r="U63" s="17" t="str">
        <f aca="false">IF((E63="p"),H63," ")</f>
        <v> </v>
      </c>
      <c r="V63" s="17" t="str">
        <f aca="false">IF((E63="t"),H63," ")</f>
        <v> </v>
      </c>
      <c r="W63" s="17" t="str">
        <f aca="false">IF((E63="q"),H63," ")</f>
        <v> </v>
      </c>
      <c r="X63" s="17" t="str">
        <f aca="false">IF((E63="m"),H63," ")</f>
        <v> </v>
      </c>
      <c r="Y63" s="17" t="str">
        <f aca="false">IF((E63="u"),H63," ")</f>
        <v> </v>
      </c>
      <c r="Z63" s="17" t="str">
        <f aca="false">IF((E63="a"),H63," ")</f>
        <v> </v>
      </c>
      <c r="AA63" s="17" t="str">
        <f aca="false">IF((E63="g"),H63," ")</f>
        <v> </v>
      </c>
      <c r="AB63" s="17" t="str">
        <f aca="false">IF((E63="h"),H63," ")</f>
        <v> </v>
      </c>
      <c r="AC63" s="30" t="str">
        <f aca="false">IF((E63="v"),H63," ")</f>
        <v> </v>
      </c>
      <c r="AD63" s="30" t="str">
        <f aca="false">IF((E63="n"),H63," ")</f>
        <v> </v>
      </c>
      <c r="AE63" s="17" t="str">
        <f aca="false">IF((E63="f"),H63," ")</f>
        <v> </v>
      </c>
      <c r="AF63" s="17" t="str">
        <f aca="false">IF((E63="l"),H63," ")</f>
        <v> </v>
      </c>
      <c r="AG63" s="17" t="str">
        <f aca="false">IF((E63="y"),H63," ")</f>
        <v> </v>
      </c>
      <c r="AH63" s="17" t="str">
        <f aca="false">IF((E63="z"),H63," ")</f>
        <v> </v>
      </c>
      <c r="AI63" s="17" t="str">
        <f aca="false">IF((E63="fa"),H63," ")</f>
        <v> </v>
      </c>
      <c r="AJ63" s="17" t="str">
        <f aca="false">IF((E63="e"),H63," ")</f>
        <v> </v>
      </c>
    </row>
    <row r="64" customFormat="false" ht="12" hidden="false" customHeight="false" outlineLevel="0" collapsed="false">
      <c r="A64" s="28"/>
      <c r="E64" s="2"/>
      <c r="F64" s="30"/>
      <c r="G64" s="6" t="str">
        <f aca="false">IF(F64&lt;&gt;0,F64*G$2/(100+G$2)," ")</f>
        <v> </v>
      </c>
      <c r="H64" s="6" t="str">
        <f aca="false">IF((F64&lt;&gt;0),F64-G64," ")</f>
        <v> </v>
      </c>
      <c r="I64" s="5"/>
      <c r="L64" s="7" t="str">
        <f aca="false">IF(F64&lt;&gt;0,F64-K64," ")</f>
        <v> </v>
      </c>
      <c r="M64" s="8" t="str">
        <f aca="false">IF((F64-K64)&lt;&gt;0,M$1-A64," ")</f>
        <v> </v>
      </c>
      <c r="N64" s="5"/>
      <c r="O64" s="17" t="str">
        <f aca="false">IF((E64="s"),H64," ")</f>
        <v> </v>
      </c>
      <c r="P64" s="17" t="str">
        <f aca="false">IF((E64="c"),H64," ")</f>
        <v> </v>
      </c>
      <c r="Q64" s="17" t="str">
        <f aca="false">IF((E64="o"),H64," ")</f>
        <v> </v>
      </c>
      <c r="R64" s="17" t="str">
        <f aca="false">IF((E64="d"),H64," ")</f>
        <v> </v>
      </c>
      <c r="S64" s="17" t="str">
        <f aca="false">IF((E64="w"),H64," ")</f>
        <v> </v>
      </c>
      <c r="T64" s="17" t="str">
        <f aca="false">IF((E64="r"),H64," ")</f>
        <v> </v>
      </c>
      <c r="U64" s="17" t="str">
        <f aca="false">IF((E64="p"),H64," ")</f>
        <v> </v>
      </c>
      <c r="V64" s="17" t="str">
        <f aca="false">IF((E64="t"),H64," ")</f>
        <v> </v>
      </c>
      <c r="W64" s="17" t="str">
        <f aca="false">IF((E64="q"),H64," ")</f>
        <v> </v>
      </c>
      <c r="X64" s="17" t="str">
        <f aca="false">IF((E64="m"),H64," ")</f>
        <v> </v>
      </c>
      <c r="Y64" s="17" t="str">
        <f aca="false">IF((E64="u"),H64," ")</f>
        <v> </v>
      </c>
      <c r="Z64" s="17" t="str">
        <f aca="false">IF((E64="a"),H64," ")</f>
        <v> </v>
      </c>
      <c r="AA64" s="17" t="str">
        <f aca="false">IF((E64="g"),H64," ")</f>
        <v> </v>
      </c>
      <c r="AB64" s="17" t="str">
        <f aca="false">IF((E64="h"),H64," ")</f>
        <v> </v>
      </c>
      <c r="AC64" s="30" t="str">
        <f aca="false">IF((E64="v"),H64," ")</f>
        <v> </v>
      </c>
      <c r="AD64" s="30" t="str">
        <f aca="false">IF((E64="n"),H64," ")</f>
        <v> </v>
      </c>
      <c r="AE64" s="17" t="str">
        <f aca="false">IF((E64="f"),H64," ")</f>
        <v> </v>
      </c>
      <c r="AF64" s="17" t="str">
        <f aca="false">IF((E64="l"),H64," ")</f>
        <v> </v>
      </c>
      <c r="AG64" s="17" t="str">
        <f aca="false">IF((E64="y"),H64," ")</f>
        <v> </v>
      </c>
      <c r="AH64" s="17" t="str">
        <f aca="false">IF((E64="z"),H64," ")</f>
        <v> </v>
      </c>
      <c r="AI64" s="17" t="str">
        <f aca="false">IF((E64="fa"),H64," ")</f>
        <v> </v>
      </c>
      <c r="AJ64" s="17" t="str">
        <f aca="false">IF((E64="e"),H64," ")</f>
        <v> </v>
      </c>
    </row>
    <row r="65" customFormat="false" ht="12" hidden="false" customHeight="false" outlineLevel="0" collapsed="false">
      <c r="A65" s="28"/>
      <c r="E65" s="2"/>
      <c r="F65" s="30"/>
      <c r="G65" s="6" t="str">
        <f aca="false">IF(F65&lt;&gt;0,F65*G$2/(100+G$2)," ")</f>
        <v> </v>
      </c>
      <c r="H65" s="6" t="str">
        <f aca="false">IF((F65&lt;&gt;0),F65-G65," ")</f>
        <v> </v>
      </c>
      <c r="I65" s="5"/>
      <c r="L65" s="7" t="str">
        <f aca="false">IF(F65&lt;&gt;0,F65-K65," ")</f>
        <v> </v>
      </c>
      <c r="M65" s="8" t="str">
        <f aca="false">IF((F65-K65)&lt;&gt;0,M$1-A65," ")</f>
        <v> </v>
      </c>
      <c r="N65" s="5"/>
      <c r="O65" s="17" t="str">
        <f aca="false">IF((E65="s"),H65," ")</f>
        <v> </v>
      </c>
      <c r="P65" s="17" t="str">
        <f aca="false">IF((E65="c"),H65," ")</f>
        <v> </v>
      </c>
      <c r="Q65" s="17" t="str">
        <f aca="false">IF((E65="o"),H65," ")</f>
        <v> </v>
      </c>
      <c r="R65" s="17" t="str">
        <f aca="false">IF((E65="d"),H65," ")</f>
        <v> </v>
      </c>
      <c r="S65" s="17" t="str">
        <f aca="false">IF((E65="w"),H65," ")</f>
        <v> </v>
      </c>
      <c r="T65" s="17" t="str">
        <f aca="false">IF((E65="r"),H65," ")</f>
        <v> </v>
      </c>
      <c r="U65" s="17" t="str">
        <f aca="false">IF((E65="p"),H65," ")</f>
        <v> </v>
      </c>
      <c r="V65" s="17" t="str">
        <f aca="false">IF((E65="t"),H65," ")</f>
        <v> </v>
      </c>
      <c r="W65" s="17" t="str">
        <f aca="false">IF((E65="q"),H65," ")</f>
        <v> </v>
      </c>
      <c r="X65" s="17" t="str">
        <f aca="false">IF((E65="m"),H65," ")</f>
        <v> </v>
      </c>
      <c r="Y65" s="17" t="str">
        <f aca="false">IF((E65="u"),H65," ")</f>
        <v> </v>
      </c>
      <c r="Z65" s="17" t="str">
        <f aca="false">IF((E65="a"),H65," ")</f>
        <v> </v>
      </c>
      <c r="AA65" s="17" t="str">
        <f aca="false">IF((E65="g"),H65," ")</f>
        <v> </v>
      </c>
      <c r="AB65" s="17" t="str">
        <f aca="false">IF((E65="h"),H65," ")</f>
        <v> </v>
      </c>
      <c r="AC65" s="30" t="str">
        <f aca="false">IF((E65="v"),H65," ")</f>
        <v> </v>
      </c>
      <c r="AD65" s="30" t="str">
        <f aca="false">IF((E65="n"),H65," ")</f>
        <v> </v>
      </c>
      <c r="AE65" s="17" t="str">
        <f aca="false">IF((E65="f"),H65," ")</f>
        <v> </v>
      </c>
      <c r="AF65" s="17" t="str">
        <f aca="false">IF((E65="l"),H65," ")</f>
        <v> </v>
      </c>
      <c r="AG65" s="17" t="str">
        <f aca="false">IF((E65="y"),H65," ")</f>
        <v> </v>
      </c>
      <c r="AH65" s="17" t="str">
        <f aca="false">IF((E65="z"),H65," ")</f>
        <v> </v>
      </c>
      <c r="AI65" s="17" t="str">
        <f aca="false">IF((E65="fa"),H65," ")</f>
        <v> </v>
      </c>
      <c r="AJ65" s="17" t="str">
        <f aca="false">IF((E65="e"),H65," ")</f>
        <v> </v>
      </c>
    </row>
    <row r="66" customFormat="false" ht="12" hidden="false" customHeight="false" outlineLevel="0" collapsed="false">
      <c r="A66" s="28"/>
      <c r="E66" s="2"/>
      <c r="F66" s="30"/>
      <c r="G66" s="6" t="str">
        <f aca="false">IF(F66&lt;&gt;0,F66*G$2/(100+G$2)," ")</f>
        <v> </v>
      </c>
      <c r="H66" s="6" t="str">
        <f aca="false">IF((F66&lt;&gt;0),F66-G66," ")</f>
        <v> </v>
      </c>
      <c r="I66" s="5"/>
      <c r="L66" s="7" t="str">
        <f aca="false">IF(F66&lt;&gt;0,F66-K66," ")</f>
        <v> </v>
      </c>
      <c r="M66" s="8" t="str">
        <f aca="false">IF((F66-K66)&lt;&gt;0,M$1-A66," ")</f>
        <v> </v>
      </c>
      <c r="N66" s="5"/>
      <c r="O66" s="17" t="str">
        <f aca="false">IF((E66="s"),H66," ")</f>
        <v> </v>
      </c>
      <c r="P66" s="17" t="str">
        <f aca="false">IF((E66="c"),H66," ")</f>
        <v> </v>
      </c>
      <c r="Q66" s="17" t="str">
        <f aca="false">IF((E66="o"),H66," ")</f>
        <v> </v>
      </c>
      <c r="R66" s="17" t="str">
        <f aca="false">IF((E66="d"),H66," ")</f>
        <v> </v>
      </c>
      <c r="S66" s="17" t="str">
        <f aca="false">IF((E66="w"),H66," ")</f>
        <v> </v>
      </c>
      <c r="T66" s="17" t="str">
        <f aca="false">IF((E66="r"),H66," ")</f>
        <v> </v>
      </c>
      <c r="U66" s="17" t="str">
        <f aca="false">IF((E66="p"),H66," ")</f>
        <v> </v>
      </c>
      <c r="V66" s="17" t="str">
        <f aca="false">IF((E66="t"),H66," ")</f>
        <v> </v>
      </c>
      <c r="W66" s="17" t="str">
        <f aca="false">IF((E66="q"),H66," ")</f>
        <v> </v>
      </c>
      <c r="X66" s="17" t="str">
        <f aca="false">IF((E66="m"),H66," ")</f>
        <v> </v>
      </c>
      <c r="Y66" s="17" t="str">
        <f aca="false">IF((E66="u"),H66," ")</f>
        <v> </v>
      </c>
      <c r="Z66" s="17" t="str">
        <f aca="false">IF((E66="a"),H66," ")</f>
        <v> </v>
      </c>
      <c r="AA66" s="17" t="str">
        <f aca="false">IF((E66="g"),H66," ")</f>
        <v> </v>
      </c>
      <c r="AB66" s="17" t="str">
        <f aca="false">IF((E66="h"),H66," ")</f>
        <v> </v>
      </c>
      <c r="AC66" s="30" t="str">
        <f aca="false">IF((E66="v"),H66," ")</f>
        <v> </v>
      </c>
      <c r="AD66" s="30" t="str">
        <f aca="false">IF((E66="n"),H66," ")</f>
        <v> </v>
      </c>
      <c r="AE66" s="17" t="str">
        <f aca="false">IF((E66="f"),H66," ")</f>
        <v> </v>
      </c>
      <c r="AF66" s="17" t="str">
        <f aca="false">IF((E66="l"),H66," ")</f>
        <v> </v>
      </c>
      <c r="AG66" s="17" t="str">
        <f aca="false">IF((E66="y"),H66," ")</f>
        <v> </v>
      </c>
      <c r="AH66" s="17" t="str">
        <f aca="false">IF((E66="z"),H66," ")</f>
        <v> </v>
      </c>
      <c r="AI66" s="17" t="str">
        <f aca="false">IF((E66="fa"),H66," ")</f>
        <v> </v>
      </c>
      <c r="AJ66" s="17" t="str">
        <f aca="false">IF((E66="e"),H66," ")</f>
        <v> </v>
      </c>
    </row>
    <row r="67" customFormat="false" ht="12" hidden="false" customHeight="false" outlineLevel="0" collapsed="false">
      <c r="A67" s="28"/>
      <c r="E67" s="2"/>
      <c r="F67" s="30"/>
      <c r="G67" s="6" t="str">
        <f aca="false">IF(F67&lt;&gt;0,F67*G$2/(100+G$2)," ")</f>
        <v> </v>
      </c>
      <c r="H67" s="6" t="str">
        <f aca="false">IF((F67&lt;&gt;0),F67-G67," ")</f>
        <v> </v>
      </c>
      <c r="I67" s="5"/>
      <c r="L67" s="7" t="str">
        <f aca="false">IF(F67&lt;&gt;0,F67-K67," ")</f>
        <v> </v>
      </c>
      <c r="M67" s="8" t="str">
        <f aca="false">IF((F67-K67)&lt;&gt;0,M$1-A67," ")</f>
        <v> </v>
      </c>
      <c r="N67" s="5"/>
      <c r="O67" s="17" t="str">
        <f aca="false">IF((E67="s"),H67," ")</f>
        <v> </v>
      </c>
      <c r="P67" s="17" t="str">
        <f aca="false">IF((E67="c"),H67," ")</f>
        <v> </v>
      </c>
      <c r="Q67" s="17" t="str">
        <f aca="false">IF((E67="o"),H67," ")</f>
        <v> </v>
      </c>
      <c r="R67" s="17" t="str">
        <f aca="false">IF((E67="d"),H67," ")</f>
        <v> </v>
      </c>
      <c r="S67" s="17" t="str">
        <f aca="false">IF((E67="w"),H67," ")</f>
        <v> </v>
      </c>
      <c r="T67" s="17" t="str">
        <f aca="false">IF((E67="r"),H67," ")</f>
        <v> </v>
      </c>
      <c r="U67" s="17" t="str">
        <f aca="false">IF((E67="p"),H67," ")</f>
        <v> </v>
      </c>
      <c r="V67" s="17" t="str">
        <f aca="false">IF((E67="t"),H67," ")</f>
        <v> </v>
      </c>
      <c r="W67" s="17" t="str">
        <f aca="false">IF((E67="q"),H67," ")</f>
        <v> </v>
      </c>
      <c r="X67" s="17" t="str">
        <f aca="false">IF((E67="m"),H67," ")</f>
        <v> </v>
      </c>
      <c r="Y67" s="17" t="str">
        <f aca="false">IF((E67="u"),H67," ")</f>
        <v> </v>
      </c>
      <c r="Z67" s="17" t="str">
        <f aca="false">IF((E67="a"),H67," ")</f>
        <v> </v>
      </c>
      <c r="AA67" s="17" t="str">
        <f aca="false">IF((E67="g"),H67," ")</f>
        <v> </v>
      </c>
      <c r="AB67" s="17" t="str">
        <f aca="false">IF((E67="h"),H67," ")</f>
        <v> </v>
      </c>
      <c r="AC67" s="30" t="str">
        <f aca="false">IF((E67="v"),H67," ")</f>
        <v> </v>
      </c>
      <c r="AD67" s="30" t="str">
        <f aca="false">IF((E67="n"),H67," ")</f>
        <v> </v>
      </c>
      <c r="AE67" s="17" t="str">
        <f aca="false">IF((E67="f"),H67," ")</f>
        <v> </v>
      </c>
      <c r="AF67" s="17" t="str">
        <f aca="false">IF((E67="l"),H67," ")</f>
        <v> </v>
      </c>
      <c r="AG67" s="17" t="str">
        <f aca="false">IF((E67="y"),H67," ")</f>
        <v> </v>
      </c>
      <c r="AH67" s="17" t="str">
        <f aca="false">IF((E67="z"),H67," ")</f>
        <v> </v>
      </c>
      <c r="AI67" s="17" t="str">
        <f aca="false">IF((E67="fa"),H67," ")</f>
        <v> </v>
      </c>
      <c r="AJ67" s="17" t="str">
        <f aca="false">IF((E67="e"),H67," ")</f>
        <v> </v>
      </c>
    </row>
    <row r="68" customFormat="false" ht="12" hidden="false" customHeight="false" outlineLevel="0" collapsed="false">
      <c r="A68" s="28"/>
      <c r="E68" s="2"/>
      <c r="F68" s="30"/>
      <c r="G68" s="6" t="str">
        <f aca="false">IF(F68&lt;&gt;0,F68*G$2/(100+G$2)," ")</f>
        <v> </v>
      </c>
      <c r="H68" s="6" t="str">
        <f aca="false">IF((F68&lt;&gt;0),F68-G68," ")</f>
        <v> </v>
      </c>
      <c r="I68" s="5"/>
      <c r="L68" s="7" t="str">
        <f aca="false">IF(F68&lt;&gt;0,F68-K68," ")</f>
        <v> </v>
      </c>
      <c r="M68" s="8" t="str">
        <f aca="false">IF((F68-K68)&lt;&gt;0,M$1-A68," ")</f>
        <v> </v>
      </c>
      <c r="N68" s="5"/>
      <c r="O68" s="17" t="str">
        <f aca="false">IF((E68="s"),H68," ")</f>
        <v> </v>
      </c>
      <c r="P68" s="17" t="str">
        <f aca="false">IF((E68="c"),H68," ")</f>
        <v> </v>
      </c>
      <c r="Q68" s="17" t="str">
        <f aca="false">IF((E68="o"),H68," ")</f>
        <v> </v>
      </c>
      <c r="R68" s="17" t="str">
        <f aca="false">IF((E68="d"),H68," ")</f>
        <v> </v>
      </c>
      <c r="S68" s="17" t="str">
        <f aca="false">IF((E68="w"),H68," ")</f>
        <v> </v>
      </c>
      <c r="T68" s="17" t="str">
        <f aca="false">IF((E68="r"),H68," ")</f>
        <v> </v>
      </c>
      <c r="U68" s="17" t="str">
        <f aca="false">IF((E68="p"),H68," ")</f>
        <v> </v>
      </c>
      <c r="V68" s="17" t="str">
        <f aca="false">IF((E68="t"),H68," ")</f>
        <v> </v>
      </c>
      <c r="W68" s="17" t="str">
        <f aca="false">IF((E68="q"),H68," ")</f>
        <v> </v>
      </c>
      <c r="X68" s="17" t="str">
        <f aca="false">IF((E68="m"),H68," ")</f>
        <v> </v>
      </c>
      <c r="Y68" s="17" t="str">
        <f aca="false">IF((E68="u"),H68," ")</f>
        <v> </v>
      </c>
      <c r="Z68" s="17" t="str">
        <f aca="false">IF((E68="a"),H68," ")</f>
        <v> </v>
      </c>
      <c r="AA68" s="17" t="str">
        <f aca="false">IF((E68="g"),H68," ")</f>
        <v> </v>
      </c>
      <c r="AB68" s="17" t="str">
        <f aca="false">IF((E68="h"),H68," ")</f>
        <v> </v>
      </c>
      <c r="AC68" s="30" t="str">
        <f aca="false">IF((E68="v"),H68," ")</f>
        <v> </v>
      </c>
      <c r="AD68" s="30" t="str">
        <f aca="false">IF((E68="n"),H68," ")</f>
        <v> </v>
      </c>
      <c r="AE68" s="17" t="str">
        <f aca="false">IF((E68="f"),H68," ")</f>
        <v> </v>
      </c>
      <c r="AF68" s="17" t="str">
        <f aca="false">IF((E68="l"),H68," ")</f>
        <v> </v>
      </c>
      <c r="AG68" s="17" t="str">
        <f aca="false">IF((E68="y"),H68," ")</f>
        <v> </v>
      </c>
      <c r="AH68" s="17" t="str">
        <f aca="false">IF((E68="z"),H68," ")</f>
        <v> </v>
      </c>
      <c r="AI68" s="17" t="str">
        <f aca="false">IF((E68="fa"),H68," ")</f>
        <v> </v>
      </c>
      <c r="AJ68" s="17" t="str">
        <f aca="false">IF((E68="e"),H68," ")</f>
        <v> </v>
      </c>
    </row>
    <row r="69" customFormat="false" ht="12" hidden="false" customHeight="false" outlineLevel="0" collapsed="false">
      <c r="A69" s="28"/>
      <c r="E69" s="2"/>
      <c r="F69" s="30"/>
      <c r="G69" s="6" t="str">
        <f aca="false">IF(F69&lt;&gt;0,F69*G$2/(100+G$2)," ")</f>
        <v> </v>
      </c>
      <c r="H69" s="6" t="str">
        <f aca="false">IF((F69&lt;&gt;0),F69-G69," ")</f>
        <v> </v>
      </c>
      <c r="I69" s="5"/>
      <c r="L69" s="7" t="str">
        <f aca="false">IF(F69&lt;&gt;0,F69-K69," ")</f>
        <v> </v>
      </c>
      <c r="M69" s="8" t="str">
        <f aca="false">IF((F69-K69)&lt;&gt;0,M$1-A69," ")</f>
        <v> </v>
      </c>
      <c r="N69" s="5"/>
      <c r="O69" s="17" t="str">
        <f aca="false">IF((E69="s"),H69," ")</f>
        <v> </v>
      </c>
      <c r="P69" s="17" t="str">
        <f aca="false">IF((E69="c"),H69," ")</f>
        <v> </v>
      </c>
      <c r="Q69" s="17" t="str">
        <f aca="false">IF((E69="o"),H69," ")</f>
        <v> </v>
      </c>
      <c r="R69" s="17" t="str">
        <f aca="false">IF((E69="d"),H69," ")</f>
        <v> </v>
      </c>
      <c r="S69" s="17" t="str">
        <f aca="false">IF((E69="w"),H69," ")</f>
        <v> </v>
      </c>
      <c r="T69" s="17" t="str">
        <f aca="false">IF((E69="r"),H69," ")</f>
        <v> </v>
      </c>
      <c r="U69" s="17" t="str">
        <f aca="false">IF((E69="p"),H69," ")</f>
        <v> </v>
      </c>
      <c r="V69" s="17" t="str">
        <f aca="false">IF((E69="t"),H69," ")</f>
        <v> </v>
      </c>
      <c r="W69" s="17" t="str">
        <f aca="false">IF((E69="q"),H69," ")</f>
        <v> </v>
      </c>
      <c r="X69" s="17" t="str">
        <f aca="false">IF((E69="m"),H69," ")</f>
        <v> </v>
      </c>
      <c r="Y69" s="17" t="str">
        <f aca="false">IF((E69="u"),H69," ")</f>
        <v> </v>
      </c>
      <c r="Z69" s="17" t="str">
        <f aca="false">IF((E69="a"),H69," ")</f>
        <v> </v>
      </c>
      <c r="AA69" s="17" t="str">
        <f aca="false">IF((E69="g"),H69," ")</f>
        <v> </v>
      </c>
      <c r="AB69" s="17" t="str">
        <f aca="false">IF((E69="h"),H69," ")</f>
        <v> </v>
      </c>
      <c r="AC69" s="30" t="str">
        <f aca="false">IF((E69="v"),H69," ")</f>
        <v> </v>
      </c>
      <c r="AD69" s="30" t="str">
        <f aca="false">IF((E69="n"),H69," ")</f>
        <v> </v>
      </c>
      <c r="AE69" s="17" t="str">
        <f aca="false">IF((E69="f"),H69," ")</f>
        <v> </v>
      </c>
      <c r="AF69" s="17" t="str">
        <f aca="false">IF((E69="l"),H69," ")</f>
        <v> </v>
      </c>
      <c r="AG69" s="17" t="str">
        <f aca="false">IF((E69="y"),H69," ")</f>
        <v> </v>
      </c>
      <c r="AH69" s="17" t="str">
        <f aca="false">IF((E69="z"),H69," ")</f>
        <v> </v>
      </c>
      <c r="AI69" s="17" t="str">
        <f aca="false">IF((E69="fa"),H69," ")</f>
        <v> </v>
      </c>
      <c r="AJ69" s="17" t="str">
        <f aca="false">IF((E69="e"),H69," ")</f>
        <v> </v>
      </c>
    </row>
    <row r="70" customFormat="false" ht="12" hidden="false" customHeight="false" outlineLevel="0" collapsed="false">
      <c r="A70" s="28"/>
      <c r="E70" s="2" t="str">
        <f aca="false">IF((F70&lt;&gt;0),"Enter Letter"," ")</f>
        <v> </v>
      </c>
      <c r="F70" s="30"/>
      <c r="G70" s="6" t="str">
        <f aca="false">IF(F70&lt;&gt;0,F70*G$2/(100+G$2)," ")</f>
        <v> </v>
      </c>
      <c r="H70" s="6" t="str">
        <f aca="false">IF((F70&lt;&gt;0),F70-G70," ")</f>
        <v> </v>
      </c>
      <c r="I70" s="5"/>
      <c r="L70" s="7" t="str">
        <f aca="false">IF(F70&lt;&gt;0,F70-K70," ")</f>
        <v> </v>
      </c>
      <c r="M70" s="8" t="str">
        <f aca="false">IF((F70-K70)&lt;&gt;0,M$1-A70," ")</f>
        <v> </v>
      </c>
      <c r="N70" s="5"/>
      <c r="O70" s="17" t="str">
        <f aca="false">IF((E70="s"),H70," ")</f>
        <v> </v>
      </c>
      <c r="P70" s="17" t="str">
        <f aca="false">IF((E70="c"),H70," ")</f>
        <v> </v>
      </c>
      <c r="Q70" s="17" t="str">
        <f aca="false">IF((E70="o"),H70," ")</f>
        <v> </v>
      </c>
      <c r="R70" s="17" t="str">
        <f aca="false">IF((E70="d"),H70," ")</f>
        <v> </v>
      </c>
      <c r="S70" s="17" t="str">
        <f aca="false">IF((E70="w"),H70," ")</f>
        <v> </v>
      </c>
      <c r="T70" s="17" t="str">
        <f aca="false">IF((E70="r"),H70," ")</f>
        <v> </v>
      </c>
      <c r="U70" s="17" t="str">
        <f aca="false">IF((E70="p"),H70," ")</f>
        <v> </v>
      </c>
      <c r="V70" s="17" t="str">
        <f aca="false">IF((E70="t"),H70," ")</f>
        <v> </v>
      </c>
      <c r="W70" s="17" t="str">
        <f aca="false">IF((E70="q"),H70," ")</f>
        <v> </v>
      </c>
      <c r="X70" s="17" t="str">
        <f aca="false">IF((E70="m"),H70," ")</f>
        <v> </v>
      </c>
      <c r="Y70" s="17" t="str">
        <f aca="false">IF((E70="u"),H70," ")</f>
        <v> </v>
      </c>
      <c r="Z70" s="17" t="str">
        <f aca="false">IF((E70="a"),H70," ")</f>
        <v> </v>
      </c>
      <c r="AA70" s="17" t="str">
        <f aca="false">IF((E70="g"),H70," ")</f>
        <v> </v>
      </c>
      <c r="AB70" s="17" t="str">
        <f aca="false">IF((E70="h"),H70," ")</f>
        <v> </v>
      </c>
      <c r="AC70" s="30" t="str">
        <f aca="false">IF((E70="v"),H70," ")</f>
        <v> </v>
      </c>
      <c r="AD70" s="30" t="str">
        <f aca="false">IF((E70="n"),H70," ")</f>
        <v> </v>
      </c>
      <c r="AE70" s="17" t="str">
        <f aca="false">IF((E70="f"),H70," ")</f>
        <v> </v>
      </c>
      <c r="AF70" s="17" t="str">
        <f aca="false">IF((E70="l"),H70," ")</f>
        <v> </v>
      </c>
      <c r="AG70" s="17" t="str">
        <f aca="false">IF((E70="y"),H70," ")</f>
        <v> </v>
      </c>
      <c r="AH70" s="17" t="str">
        <f aca="false">IF((E70="z"),H70," ")</f>
        <v> </v>
      </c>
      <c r="AI70" s="17" t="str">
        <f aca="false">IF((E70="fa"),H70," ")</f>
        <v> </v>
      </c>
      <c r="AJ70" s="17" t="str">
        <f aca="false">IF((E70="e"),H70," ")</f>
        <v> </v>
      </c>
    </row>
    <row r="71" customFormat="false" ht="12" hidden="false" customHeight="false" outlineLevel="0" collapsed="false">
      <c r="A71" s="28"/>
      <c r="E71" s="2" t="str">
        <f aca="false">IF((F71&lt;&gt;0),"Enter Letter"," ")</f>
        <v> </v>
      </c>
      <c r="F71" s="30"/>
      <c r="G71" s="6" t="str">
        <f aca="false">IF(F71&lt;&gt;0,F71*G$2/(100+G$2)," ")</f>
        <v> </v>
      </c>
      <c r="H71" s="6" t="str">
        <f aca="false">IF((F71&lt;&gt;0),F71-G71," ")</f>
        <v> </v>
      </c>
      <c r="I71" s="5"/>
      <c r="L71" s="7" t="str">
        <f aca="false">IF(F71&lt;&gt;0,F71-K71," ")</f>
        <v> </v>
      </c>
      <c r="M71" s="8" t="str">
        <f aca="false">IF((F71-K71)&lt;&gt;0,M$1-A71," ")</f>
        <v> </v>
      </c>
      <c r="N71" s="5"/>
      <c r="O71" s="17" t="str">
        <f aca="false">IF((E71="s"),H71," ")</f>
        <v> </v>
      </c>
      <c r="P71" s="17" t="str">
        <f aca="false">IF((E71="c"),H71," ")</f>
        <v> </v>
      </c>
      <c r="Q71" s="17" t="str">
        <f aca="false">IF((E71="o"),H71," ")</f>
        <v> </v>
      </c>
      <c r="R71" s="17" t="str">
        <f aca="false">IF((E71="d"),H71," ")</f>
        <v> </v>
      </c>
      <c r="S71" s="17" t="str">
        <f aca="false">IF((E71="w"),H71," ")</f>
        <v> </v>
      </c>
      <c r="T71" s="17" t="str">
        <f aca="false">IF((E71="r"),H71," ")</f>
        <v> </v>
      </c>
      <c r="U71" s="17" t="str">
        <f aca="false">IF((E71="p"),H71," ")</f>
        <v> </v>
      </c>
      <c r="V71" s="17" t="str">
        <f aca="false">IF((E71="t"),H71," ")</f>
        <v> </v>
      </c>
      <c r="W71" s="17" t="str">
        <f aca="false">IF((E71="q"),H71," ")</f>
        <v> </v>
      </c>
      <c r="X71" s="17" t="str">
        <f aca="false">IF((E71="m"),H71," ")</f>
        <v> </v>
      </c>
      <c r="Y71" s="17" t="str">
        <f aca="false">IF((E71="u"),H71," ")</f>
        <v> </v>
      </c>
      <c r="Z71" s="17" t="str">
        <f aca="false">IF((E71="a"),H71," ")</f>
        <v> </v>
      </c>
      <c r="AA71" s="17" t="str">
        <f aca="false">IF((E71="g"),H71," ")</f>
        <v> </v>
      </c>
      <c r="AB71" s="17" t="str">
        <f aca="false">IF((E71="h"),H71," ")</f>
        <v> </v>
      </c>
      <c r="AC71" s="30" t="str">
        <f aca="false">IF((E71="v"),H71," ")</f>
        <v> </v>
      </c>
      <c r="AD71" s="30" t="str">
        <f aca="false">IF((E71="n"),H71," ")</f>
        <v> </v>
      </c>
      <c r="AE71" s="17" t="str">
        <f aca="false">IF((E71="f"),H71," ")</f>
        <v> </v>
      </c>
      <c r="AF71" s="17" t="str">
        <f aca="false">IF((E71="l"),H71," ")</f>
        <v> </v>
      </c>
      <c r="AG71" s="17" t="str">
        <f aca="false">IF((E71="y"),H71," ")</f>
        <v> </v>
      </c>
      <c r="AH71" s="17" t="str">
        <f aca="false">IF((E71="z"),H71," ")</f>
        <v> </v>
      </c>
      <c r="AI71" s="17" t="str">
        <f aca="false">IF((E71="fa"),H71," ")</f>
        <v> </v>
      </c>
      <c r="AJ71" s="17" t="str">
        <f aca="false">IF((E71="e"),H71," ")</f>
        <v> </v>
      </c>
    </row>
    <row r="72" customFormat="false" ht="12" hidden="false" customHeight="false" outlineLevel="0" collapsed="false">
      <c r="A72" s="28"/>
      <c r="E72" s="2" t="str">
        <f aca="false">IF((F72&lt;&gt;0),"Enter Letter"," ")</f>
        <v> </v>
      </c>
      <c r="F72" s="30"/>
      <c r="G72" s="6" t="str">
        <f aca="false">IF(F72&lt;&gt;0,F72*G$2/(100+G$2)," ")</f>
        <v> </v>
      </c>
      <c r="H72" s="6" t="str">
        <f aca="false">IF((F72&lt;&gt;0),F72-G72," ")</f>
        <v> </v>
      </c>
      <c r="I72" s="5"/>
      <c r="L72" s="7" t="str">
        <f aca="false">IF(F72&lt;&gt;0,F72-K72," ")</f>
        <v> </v>
      </c>
      <c r="M72" s="8" t="str">
        <f aca="false">IF((F72-K72)&lt;&gt;0,M$1-A72," ")</f>
        <v> </v>
      </c>
      <c r="N72" s="5"/>
      <c r="O72" s="17" t="str">
        <f aca="false">IF((E72="s"),H72," ")</f>
        <v> </v>
      </c>
      <c r="P72" s="17" t="str">
        <f aca="false">IF((E72="c"),H72," ")</f>
        <v> </v>
      </c>
      <c r="Q72" s="17" t="str">
        <f aca="false">IF((E72="o"),H72," ")</f>
        <v> </v>
      </c>
      <c r="R72" s="17" t="str">
        <f aca="false">IF((E72="d"),H72," ")</f>
        <v> </v>
      </c>
      <c r="S72" s="17" t="str">
        <f aca="false">IF((E72="w"),H72," ")</f>
        <v> </v>
      </c>
      <c r="T72" s="17" t="str">
        <f aca="false">IF((E72="r"),H72," ")</f>
        <v> </v>
      </c>
      <c r="U72" s="17" t="str">
        <f aca="false">IF((E72="p"),H72," ")</f>
        <v> </v>
      </c>
      <c r="V72" s="17" t="str">
        <f aca="false">IF((E72="t"),H72," ")</f>
        <v> </v>
      </c>
      <c r="W72" s="17" t="str">
        <f aca="false">IF((E72="q"),H72," ")</f>
        <v> </v>
      </c>
      <c r="X72" s="17" t="str">
        <f aca="false">IF((E72="m"),H72," ")</f>
        <v> </v>
      </c>
      <c r="Y72" s="17" t="str">
        <f aca="false">IF((E72="u"),H72," ")</f>
        <v> </v>
      </c>
      <c r="Z72" s="17" t="str">
        <f aca="false">IF((E72="a"),H72," ")</f>
        <v> </v>
      </c>
      <c r="AA72" s="17" t="str">
        <f aca="false">IF((E72="g"),H72," ")</f>
        <v> </v>
      </c>
      <c r="AB72" s="17" t="str">
        <f aca="false">IF((E72="h"),H72," ")</f>
        <v> </v>
      </c>
      <c r="AC72" s="30" t="str">
        <f aca="false">IF((E72="v"),H72," ")</f>
        <v> </v>
      </c>
      <c r="AD72" s="30" t="str">
        <f aca="false">IF((E72="n"),H72," ")</f>
        <v> </v>
      </c>
      <c r="AE72" s="17" t="str">
        <f aca="false">IF((E72="f"),H72," ")</f>
        <v> </v>
      </c>
      <c r="AF72" s="17" t="str">
        <f aca="false">IF((E72="l"),H72," ")</f>
        <v> </v>
      </c>
      <c r="AG72" s="17" t="str">
        <f aca="false">IF((E72="y"),H72," ")</f>
        <v> </v>
      </c>
      <c r="AH72" s="17" t="str">
        <f aca="false">IF((E72="z"),H72," ")</f>
        <v> </v>
      </c>
      <c r="AI72" s="17" t="str">
        <f aca="false">IF((E72="fa"),H72," ")</f>
        <v> </v>
      </c>
      <c r="AJ72" s="17" t="str">
        <f aca="false">IF((E72="e"),H72," ")</f>
        <v> </v>
      </c>
    </row>
    <row r="73" customFormat="false" ht="12" hidden="false" customHeight="false" outlineLevel="0" collapsed="false">
      <c r="A73" s="28"/>
      <c r="E73" s="2" t="str">
        <f aca="false">IF((F73&lt;&gt;0),"Enter Letter"," ")</f>
        <v> </v>
      </c>
      <c r="F73" s="30"/>
      <c r="G73" s="6" t="str">
        <f aca="false">IF(F73&lt;&gt;0,F73*G$2/(100+G$2)," ")</f>
        <v> </v>
      </c>
      <c r="H73" s="6" t="str">
        <f aca="false">IF((F73&lt;&gt;0),F73-G73," ")</f>
        <v> </v>
      </c>
      <c r="I73" s="5"/>
      <c r="L73" s="7" t="str">
        <f aca="false">IF(F73&lt;&gt;0,F73-K73," ")</f>
        <v> </v>
      </c>
      <c r="M73" s="8" t="str">
        <f aca="false">IF((F73-K73)&lt;&gt;0,M$1-A73," ")</f>
        <v> </v>
      </c>
      <c r="N73" s="5"/>
      <c r="O73" s="17" t="str">
        <f aca="false">IF((E73="s"),H73," ")</f>
        <v> </v>
      </c>
      <c r="P73" s="17" t="str">
        <f aca="false">IF((E73="c"),H73," ")</f>
        <v> </v>
      </c>
      <c r="Q73" s="17" t="str">
        <f aca="false">IF((E73="o"),H73," ")</f>
        <v> </v>
      </c>
      <c r="R73" s="17" t="str">
        <f aca="false">IF((E73="d"),H73," ")</f>
        <v> </v>
      </c>
      <c r="S73" s="17" t="str">
        <f aca="false">IF((E73="w"),H73," ")</f>
        <v> </v>
      </c>
      <c r="T73" s="17" t="str">
        <f aca="false">IF((E73="r"),H73," ")</f>
        <v> </v>
      </c>
      <c r="U73" s="17" t="str">
        <f aca="false">IF((E73="p"),H73," ")</f>
        <v> </v>
      </c>
      <c r="V73" s="17" t="str">
        <f aca="false">IF((E73="t"),H73," ")</f>
        <v> </v>
      </c>
      <c r="W73" s="17" t="str">
        <f aca="false">IF((E73="q"),H73," ")</f>
        <v> </v>
      </c>
      <c r="X73" s="17" t="str">
        <f aca="false">IF((E73="m"),H73," ")</f>
        <v> </v>
      </c>
      <c r="Y73" s="17" t="str">
        <f aca="false">IF((E73="u"),H73," ")</f>
        <v> </v>
      </c>
      <c r="Z73" s="17" t="str">
        <f aca="false">IF((E73="a"),H73," ")</f>
        <v> </v>
      </c>
      <c r="AA73" s="17" t="str">
        <f aca="false">IF((E73="g"),H73," ")</f>
        <v> </v>
      </c>
      <c r="AB73" s="17" t="str">
        <f aca="false">IF((E73="h"),H73," ")</f>
        <v> </v>
      </c>
      <c r="AC73" s="30" t="str">
        <f aca="false">IF((E73="v"),H73," ")</f>
        <v> </v>
      </c>
      <c r="AD73" s="30" t="str">
        <f aca="false">IF((E73="n"),H73," ")</f>
        <v> </v>
      </c>
      <c r="AE73" s="17" t="str">
        <f aca="false">IF((E73="f"),H73," ")</f>
        <v> </v>
      </c>
      <c r="AF73" s="17" t="str">
        <f aca="false">IF((E73="l"),H73," ")</f>
        <v> </v>
      </c>
      <c r="AG73" s="17" t="str">
        <f aca="false">IF((E73="y"),H73," ")</f>
        <v> </v>
      </c>
      <c r="AH73" s="17" t="str">
        <f aca="false">IF((E73="z"),H73," ")</f>
        <v> </v>
      </c>
      <c r="AI73" s="17" t="str">
        <f aca="false">IF((E73="fa"),H73," ")</f>
        <v> </v>
      </c>
      <c r="AJ73" s="17" t="str">
        <f aca="false">IF((E73="e"),H73," ")</f>
        <v> </v>
      </c>
    </row>
    <row r="74" customFormat="false" ht="12" hidden="false" customHeight="false" outlineLevel="0" collapsed="false">
      <c r="A74" s="28"/>
      <c r="E74" s="2" t="str">
        <f aca="false">IF((F74&lt;&gt;0),"Enter Letter"," ")</f>
        <v> </v>
      </c>
      <c r="F74" s="30"/>
      <c r="G74" s="6" t="str">
        <f aca="false">IF(F74&lt;&gt;0,F74*G$2/(100+G$2)," ")</f>
        <v> </v>
      </c>
      <c r="H74" s="6" t="str">
        <f aca="false">IF((F74&lt;&gt;0),F74-G74," ")</f>
        <v> </v>
      </c>
      <c r="I74" s="5"/>
      <c r="L74" s="7" t="str">
        <f aca="false">IF(F74&lt;&gt;0,F74-K74," ")</f>
        <v> </v>
      </c>
      <c r="M74" s="8" t="str">
        <f aca="false">IF((F74-K74)&lt;&gt;0,M$1-A74," ")</f>
        <v> </v>
      </c>
      <c r="N74" s="5"/>
      <c r="O74" s="17" t="str">
        <f aca="false">IF((E74="s"),H74," ")</f>
        <v> </v>
      </c>
      <c r="P74" s="17" t="str">
        <f aca="false">IF((E74="c"),H74," ")</f>
        <v> </v>
      </c>
      <c r="Q74" s="17" t="str">
        <f aca="false">IF((E74="o"),H74," ")</f>
        <v> </v>
      </c>
      <c r="R74" s="17" t="str">
        <f aca="false">IF((E74="d"),H74," ")</f>
        <v> </v>
      </c>
      <c r="S74" s="17" t="str">
        <f aca="false">IF((E74="w"),H74," ")</f>
        <v> </v>
      </c>
      <c r="T74" s="17" t="str">
        <f aca="false">IF((E74="r"),H74," ")</f>
        <v> </v>
      </c>
      <c r="U74" s="17" t="str">
        <f aca="false">IF((E74="p"),H74," ")</f>
        <v> </v>
      </c>
      <c r="V74" s="17" t="str">
        <f aca="false">IF((E74="t"),H74," ")</f>
        <v> </v>
      </c>
      <c r="W74" s="17" t="str">
        <f aca="false">IF((E74="q"),H74," ")</f>
        <v> </v>
      </c>
      <c r="X74" s="17" t="str">
        <f aca="false">IF((E74="m"),H74," ")</f>
        <v> </v>
      </c>
      <c r="Y74" s="17" t="str">
        <f aca="false">IF((E74="u"),H74," ")</f>
        <v> </v>
      </c>
      <c r="Z74" s="17" t="str">
        <f aca="false">IF((E74="a"),H74," ")</f>
        <v> </v>
      </c>
      <c r="AA74" s="17" t="str">
        <f aca="false">IF((E74="g"),H74," ")</f>
        <v> </v>
      </c>
      <c r="AB74" s="17" t="str">
        <f aca="false">IF((E74="h"),H74," ")</f>
        <v> </v>
      </c>
      <c r="AC74" s="30" t="str">
        <f aca="false">IF((E74="v"),H74," ")</f>
        <v> </v>
      </c>
      <c r="AD74" s="30" t="str">
        <f aca="false">IF((E74="n"),H74," ")</f>
        <v> </v>
      </c>
      <c r="AE74" s="17" t="str">
        <f aca="false">IF((E74="f"),H74," ")</f>
        <v> </v>
      </c>
      <c r="AF74" s="17" t="str">
        <f aca="false">IF((E74="l"),H74," ")</f>
        <v> </v>
      </c>
      <c r="AG74" s="17" t="str">
        <f aca="false">IF((E74="y"),H74," ")</f>
        <v> </v>
      </c>
      <c r="AH74" s="17" t="str">
        <f aca="false">IF((E74="z"),H74," ")</f>
        <v> </v>
      </c>
      <c r="AI74" s="17" t="str">
        <f aca="false">IF((E74="fa"),H74," ")</f>
        <v> </v>
      </c>
      <c r="AJ74" s="17" t="str">
        <f aca="false">IF((E74="e"),H74," ")</f>
        <v> </v>
      </c>
    </row>
    <row r="75" customFormat="false" ht="12" hidden="false" customHeight="false" outlineLevel="0" collapsed="false">
      <c r="A75" s="28"/>
      <c r="E75" s="2" t="str">
        <f aca="false">IF((F75&lt;&gt;0),"Enter Letter"," ")</f>
        <v> </v>
      </c>
      <c r="F75" s="30"/>
      <c r="G75" s="6" t="str">
        <f aca="false">IF(F75&lt;&gt;0,F75*G$2/(100+G$2)," ")</f>
        <v> </v>
      </c>
      <c r="H75" s="6" t="str">
        <f aca="false">IF((F75&lt;&gt;0),F75-G75," ")</f>
        <v> </v>
      </c>
      <c r="I75" s="5"/>
      <c r="L75" s="7" t="str">
        <f aca="false">IF(F75&lt;&gt;0,F75-K75," ")</f>
        <v> </v>
      </c>
      <c r="M75" s="8" t="str">
        <f aca="false">IF((F75-K75)&lt;&gt;0,M$1-A75," ")</f>
        <v> </v>
      </c>
      <c r="N75" s="5"/>
      <c r="O75" s="17" t="str">
        <f aca="false">IF((E75="s"),H75," ")</f>
        <v> </v>
      </c>
      <c r="P75" s="17" t="str">
        <f aca="false">IF((E75="c"),H75," ")</f>
        <v> </v>
      </c>
      <c r="Q75" s="17" t="str">
        <f aca="false">IF((E75="o"),H75," ")</f>
        <v> </v>
      </c>
      <c r="R75" s="17" t="str">
        <f aca="false">IF((E75="d"),H75," ")</f>
        <v> </v>
      </c>
      <c r="S75" s="17" t="str">
        <f aca="false">IF((E75="w"),H75," ")</f>
        <v> </v>
      </c>
      <c r="T75" s="17" t="str">
        <f aca="false">IF((E75="r"),H75," ")</f>
        <v> </v>
      </c>
      <c r="U75" s="17" t="str">
        <f aca="false">IF((E75="p"),H75," ")</f>
        <v> </v>
      </c>
      <c r="V75" s="17" t="str">
        <f aca="false">IF((E75="t"),H75," ")</f>
        <v> </v>
      </c>
      <c r="W75" s="17" t="str">
        <f aca="false">IF((E75="q"),H75," ")</f>
        <v> </v>
      </c>
      <c r="X75" s="17" t="str">
        <f aca="false">IF((E75="m"),H75," ")</f>
        <v> </v>
      </c>
      <c r="Y75" s="17" t="str">
        <f aca="false">IF((E75="u"),H75," ")</f>
        <v> </v>
      </c>
      <c r="Z75" s="17" t="str">
        <f aca="false">IF((E75="a"),H75," ")</f>
        <v> </v>
      </c>
      <c r="AA75" s="17" t="str">
        <f aca="false">IF((E75="g"),H75," ")</f>
        <v> </v>
      </c>
      <c r="AB75" s="17" t="str">
        <f aca="false">IF((E75="h"),H75," ")</f>
        <v> </v>
      </c>
      <c r="AC75" s="30" t="str">
        <f aca="false">IF((E75="v"),H75," ")</f>
        <v> </v>
      </c>
      <c r="AD75" s="30" t="str">
        <f aca="false">IF((E75="n"),H75," ")</f>
        <v> </v>
      </c>
      <c r="AE75" s="17" t="str">
        <f aca="false">IF((E75="f"),H75," ")</f>
        <v> </v>
      </c>
      <c r="AF75" s="17" t="str">
        <f aca="false">IF((E75="l"),H75," ")</f>
        <v> </v>
      </c>
      <c r="AG75" s="17" t="str">
        <f aca="false">IF((E75="y"),H75," ")</f>
        <v> </v>
      </c>
      <c r="AH75" s="17" t="str">
        <f aca="false">IF((E75="z"),H75," ")</f>
        <v> </v>
      </c>
      <c r="AI75" s="17" t="str">
        <f aca="false">IF((E75="fa"),H75," ")</f>
        <v> </v>
      </c>
      <c r="AJ75" s="17" t="str">
        <f aca="false">IF((E75="e"),H75," ")</f>
        <v> </v>
      </c>
    </row>
    <row r="76" customFormat="false" ht="12" hidden="false" customHeight="false" outlineLevel="0" collapsed="false">
      <c r="A76" s="28"/>
      <c r="E76" s="2" t="str">
        <f aca="false">IF((F76&lt;&gt;0),"Enter Letter"," ")</f>
        <v> </v>
      </c>
      <c r="F76" s="30"/>
      <c r="G76" s="6" t="str">
        <f aca="false">IF(F76&lt;&gt;0,F76*G$2/(100+G$2)," ")</f>
        <v> </v>
      </c>
      <c r="H76" s="6" t="str">
        <f aca="false">IF((F76&lt;&gt;0),F76-G76," ")</f>
        <v> </v>
      </c>
      <c r="I76" s="5"/>
      <c r="L76" s="7" t="str">
        <f aca="false">IF(F76&lt;&gt;0,F76-K76," ")</f>
        <v> </v>
      </c>
      <c r="M76" s="8" t="str">
        <f aca="false">IF((F76-K76)&lt;&gt;0,M$1-A76," ")</f>
        <v> </v>
      </c>
      <c r="N76" s="5"/>
      <c r="O76" s="17" t="str">
        <f aca="false">IF((E76="s"),H76," ")</f>
        <v> </v>
      </c>
      <c r="P76" s="17" t="str">
        <f aca="false">IF((E76="c"),H76," ")</f>
        <v> </v>
      </c>
      <c r="Q76" s="17" t="str">
        <f aca="false">IF((E76="o"),H76," ")</f>
        <v> </v>
      </c>
      <c r="R76" s="17" t="str">
        <f aca="false">IF((E76="d"),H76," ")</f>
        <v> </v>
      </c>
      <c r="S76" s="17" t="str">
        <f aca="false">IF((E76="w"),H76," ")</f>
        <v> </v>
      </c>
      <c r="T76" s="17" t="str">
        <f aca="false">IF((E76="r"),H76," ")</f>
        <v> </v>
      </c>
      <c r="U76" s="17" t="str">
        <f aca="false">IF((E76="p"),H76," ")</f>
        <v> </v>
      </c>
      <c r="V76" s="17" t="str">
        <f aca="false">IF((E76="t"),H76," ")</f>
        <v> </v>
      </c>
      <c r="W76" s="17" t="str">
        <f aca="false">IF((E76="q"),H76," ")</f>
        <v> </v>
      </c>
      <c r="X76" s="17" t="str">
        <f aca="false">IF((E76="m"),H76," ")</f>
        <v> </v>
      </c>
      <c r="Y76" s="17" t="str">
        <f aca="false">IF((E76="u"),H76," ")</f>
        <v> </v>
      </c>
      <c r="Z76" s="17" t="str">
        <f aca="false">IF((E76="a"),H76," ")</f>
        <v> </v>
      </c>
      <c r="AA76" s="17" t="str">
        <f aca="false">IF((E76="g"),H76," ")</f>
        <v> </v>
      </c>
      <c r="AB76" s="17" t="str">
        <f aca="false">IF((E76="h"),H76," ")</f>
        <v> </v>
      </c>
      <c r="AC76" s="30" t="str">
        <f aca="false">IF((E76="v"),H76," ")</f>
        <v> </v>
      </c>
      <c r="AD76" s="30" t="str">
        <f aca="false">IF((E76="n"),H76," ")</f>
        <v> </v>
      </c>
      <c r="AE76" s="17" t="str">
        <f aca="false">IF((E76="f"),H76," ")</f>
        <v> </v>
      </c>
      <c r="AF76" s="17" t="str">
        <f aca="false">IF((E76="l"),H76," ")</f>
        <v> </v>
      </c>
      <c r="AG76" s="17" t="str">
        <f aca="false">IF((E76="y"),H76," ")</f>
        <v> </v>
      </c>
      <c r="AH76" s="17" t="str">
        <f aca="false">IF((E76="z"),H76," ")</f>
        <v> </v>
      </c>
      <c r="AI76" s="17" t="str">
        <f aca="false">IF((E76="fa"),H76," ")</f>
        <v> </v>
      </c>
      <c r="AJ76" s="17" t="str">
        <f aca="false">IF((E76="e"),H76," ")</f>
        <v> </v>
      </c>
    </row>
    <row r="77" customFormat="false" ht="12" hidden="false" customHeight="false" outlineLevel="0" collapsed="false">
      <c r="A77" s="28"/>
      <c r="E77" s="2" t="str">
        <f aca="false">IF((F77&lt;&gt;0),"Enter Letter"," ")</f>
        <v> </v>
      </c>
      <c r="F77" s="30"/>
      <c r="G77" s="6" t="str">
        <f aca="false">IF(F77&lt;&gt;0,F77*G$2/(100+G$2)," ")</f>
        <v> </v>
      </c>
      <c r="H77" s="6" t="str">
        <f aca="false">IF((F77&lt;&gt;0),F77-G77," ")</f>
        <v> </v>
      </c>
      <c r="I77" s="5"/>
      <c r="L77" s="7" t="str">
        <f aca="false">IF(F77&lt;&gt;0,F77-K77," ")</f>
        <v> </v>
      </c>
      <c r="M77" s="8" t="str">
        <f aca="false">IF((F77-K77)&lt;&gt;0,M$1-A77," ")</f>
        <v> </v>
      </c>
      <c r="N77" s="5"/>
      <c r="O77" s="17" t="str">
        <f aca="false">IF((E77="s"),H77," ")</f>
        <v> </v>
      </c>
      <c r="P77" s="17" t="str">
        <f aca="false">IF((E77="c"),H77," ")</f>
        <v> </v>
      </c>
      <c r="Q77" s="17" t="str">
        <f aca="false">IF((E77="o"),H77," ")</f>
        <v> </v>
      </c>
      <c r="R77" s="17" t="str">
        <f aca="false">IF((E77="d"),H77," ")</f>
        <v> </v>
      </c>
      <c r="S77" s="17" t="str">
        <f aca="false">IF((E77="w"),H77," ")</f>
        <v> </v>
      </c>
      <c r="T77" s="17" t="str">
        <f aca="false">IF((E77="r"),H77," ")</f>
        <v> </v>
      </c>
      <c r="U77" s="17" t="str">
        <f aca="false">IF((E77="p"),H77," ")</f>
        <v> </v>
      </c>
      <c r="V77" s="17" t="str">
        <f aca="false">IF((E77="t"),H77," ")</f>
        <v> </v>
      </c>
      <c r="W77" s="17" t="str">
        <f aca="false">IF((E77="q"),H77," ")</f>
        <v> </v>
      </c>
      <c r="X77" s="17" t="str">
        <f aca="false">IF((E77="m"),H77," ")</f>
        <v> </v>
      </c>
      <c r="Y77" s="17" t="str">
        <f aca="false">IF((E77="u"),H77," ")</f>
        <v> </v>
      </c>
      <c r="Z77" s="17" t="str">
        <f aca="false">IF((E77="a"),H77," ")</f>
        <v> </v>
      </c>
      <c r="AA77" s="17" t="str">
        <f aca="false">IF((E77="g"),H77," ")</f>
        <v> </v>
      </c>
      <c r="AB77" s="17" t="str">
        <f aca="false">IF((E77="h"),H77," ")</f>
        <v> </v>
      </c>
      <c r="AC77" s="30" t="str">
        <f aca="false">IF((E77="v"),H77," ")</f>
        <v> </v>
      </c>
      <c r="AD77" s="30" t="str">
        <f aca="false">IF((E77="n"),H77," ")</f>
        <v> </v>
      </c>
      <c r="AE77" s="17" t="str">
        <f aca="false">IF((E77="f"),H77," ")</f>
        <v> </v>
      </c>
      <c r="AF77" s="17" t="str">
        <f aca="false">IF((E77="l"),H77," ")</f>
        <v> </v>
      </c>
      <c r="AG77" s="17" t="str">
        <f aca="false">IF((E77="y"),H77," ")</f>
        <v> </v>
      </c>
      <c r="AH77" s="17" t="str">
        <f aca="false">IF((E77="z"),H77," ")</f>
        <v> </v>
      </c>
      <c r="AI77" s="17" t="str">
        <f aca="false">IF((E77="fa"),H77," ")</f>
        <v> </v>
      </c>
      <c r="AJ77" s="17" t="str">
        <f aca="false">IF((E77="e"),H77," ")</f>
        <v> </v>
      </c>
    </row>
    <row r="78" customFormat="false" ht="12" hidden="false" customHeight="false" outlineLevel="0" collapsed="false">
      <c r="A78" s="28"/>
      <c r="E78" s="2" t="str">
        <f aca="false">IF((F78&lt;&gt;0),"Enter Letter"," ")</f>
        <v> </v>
      </c>
      <c r="F78" s="30"/>
      <c r="G78" s="6" t="str">
        <f aca="false">IF(F78&lt;&gt;0,F78*G$2/(100+G$2)," ")</f>
        <v> </v>
      </c>
      <c r="H78" s="6" t="str">
        <f aca="false">IF((F78&lt;&gt;0),F78-G78," ")</f>
        <v> </v>
      </c>
      <c r="I78" s="5"/>
      <c r="L78" s="7" t="str">
        <f aca="false">IF(F78&lt;&gt;0,F78-K78," ")</f>
        <v> </v>
      </c>
      <c r="M78" s="8" t="str">
        <f aca="false">IF((F78-K78)&lt;&gt;0,M$1-A78," ")</f>
        <v> </v>
      </c>
      <c r="N78" s="5"/>
      <c r="O78" s="17" t="str">
        <f aca="false">IF((E78="s"),H78," ")</f>
        <v> </v>
      </c>
      <c r="P78" s="17" t="str">
        <f aca="false">IF((E78="c"),H78," ")</f>
        <v> </v>
      </c>
      <c r="Q78" s="17" t="str">
        <f aca="false">IF((E78="o"),H78," ")</f>
        <v> </v>
      </c>
      <c r="R78" s="17" t="str">
        <f aca="false">IF((E78="d"),H78," ")</f>
        <v> </v>
      </c>
      <c r="S78" s="17" t="str">
        <f aca="false">IF((E78="w"),H78," ")</f>
        <v> </v>
      </c>
      <c r="T78" s="17" t="str">
        <f aca="false">IF((E78="r"),H78," ")</f>
        <v> </v>
      </c>
      <c r="U78" s="17" t="str">
        <f aca="false">IF((E78="p"),H78," ")</f>
        <v> </v>
      </c>
      <c r="V78" s="17" t="str">
        <f aca="false">IF((E78="t"),H78," ")</f>
        <v> </v>
      </c>
      <c r="W78" s="17" t="str">
        <f aca="false">IF((E78="q"),H78," ")</f>
        <v> </v>
      </c>
      <c r="X78" s="17" t="str">
        <f aca="false">IF((E78="m"),H78," ")</f>
        <v> </v>
      </c>
      <c r="Y78" s="17" t="str">
        <f aca="false">IF((E78="u"),H78," ")</f>
        <v> </v>
      </c>
      <c r="Z78" s="17" t="str">
        <f aca="false">IF((E78="a"),H78," ")</f>
        <v> </v>
      </c>
      <c r="AA78" s="17" t="str">
        <f aca="false">IF((E78="g"),H78," ")</f>
        <v> </v>
      </c>
      <c r="AB78" s="17" t="str">
        <f aca="false">IF((E78="h"),H78," ")</f>
        <v> </v>
      </c>
      <c r="AC78" s="30" t="str">
        <f aca="false">IF((E78="v"),H78," ")</f>
        <v> </v>
      </c>
      <c r="AD78" s="30" t="str">
        <f aca="false">IF((E78="n"),H78," ")</f>
        <v> </v>
      </c>
      <c r="AE78" s="17" t="str">
        <f aca="false">IF((E78="f"),H78," ")</f>
        <v> </v>
      </c>
      <c r="AF78" s="17" t="str">
        <f aca="false">IF((E78="l"),H78," ")</f>
        <v> </v>
      </c>
      <c r="AG78" s="17" t="str">
        <f aca="false">IF((E78="y"),H78," ")</f>
        <v> </v>
      </c>
      <c r="AH78" s="17" t="str">
        <f aca="false">IF((E78="z"),H78," ")</f>
        <v> </v>
      </c>
      <c r="AI78" s="17" t="str">
        <f aca="false">IF((E78="fa"),H78," ")</f>
        <v> </v>
      </c>
      <c r="AJ78" s="17" t="str">
        <f aca="false">IF((E78="e"),H78," ")</f>
        <v> </v>
      </c>
    </row>
    <row r="79" customFormat="false" ht="12" hidden="false" customHeight="false" outlineLevel="0" collapsed="false">
      <c r="A79" s="28"/>
      <c r="E79" s="2" t="str">
        <f aca="false">IF((F79&lt;&gt;0),"Enter Letter"," ")</f>
        <v> </v>
      </c>
      <c r="F79" s="30"/>
      <c r="G79" s="6" t="str">
        <f aca="false">IF(F79&lt;&gt;0,F79*G$2/(100+G$2)," ")</f>
        <v> </v>
      </c>
      <c r="H79" s="6" t="str">
        <f aca="false">IF((F79&lt;&gt;0),F79-G79," ")</f>
        <v> </v>
      </c>
      <c r="I79" s="5"/>
      <c r="L79" s="7" t="str">
        <f aca="false">IF(F79&lt;&gt;0,F79-K79," ")</f>
        <v> </v>
      </c>
      <c r="M79" s="8" t="str">
        <f aca="false">IF((F79-K79)&lt;&gt;0,M$1-A79," ")</f>
        <v> </v>
      </c>
      <c r="N79" s="5"/>
      <c r="O79" s="17" t="str">
        <f aca="false">IF((E79="s"),H79," ")</f>
        <v> </v>
      </c>
      <c r="P79" s="17" t="str">
        <f aca="false">IF((E79="c"),H79," ")</f>
        <v> </v>
      </c>
      <c r="Q79" s="17" t="str">
        <f aca="false">IF((E79="o"),H79," ")</f>
        <v> </v>
      </c>
      <c r="R79" s="17" t="str">
        <f aca="false">IF((E79="d"),H79," ")</f>
        <v> </v>
      </c>
      <c r="S79" s="17" t="str">
        <f aca="false">IF((E79="w"),H79," ")</f>
        <v> </v>
      </c>
      <c r="T79" s="17" t="str">
        <f aca="false">IF((E79="r"),H79," ")</f>
        <v> </v>
      </c>
      <c r="U79" s="17" t="str">
        <f aca="false">IF((E79="p"),H79," ")</f>
        <v> </v>
      </c>
      <c r="V79" s="17" t="str">
        <f aca="false">IF((E79="t"),H79," ")</f>
        <v> </v>
      </c>
      <c r="W79" s="17" t="str">
        <f aca="false">IF((E79="q"),H79," ")</f>
        <v> </v>
      </c>
      <c r="X79" s="17" t="str">
        <f aca="false">IF((E79="m"),H79," ")</f>
        <v> </v>
      </c>
      <c r="Y79" s="17" t="str">
        <f aca="false">IF((E79="u"),H79," ")</f>
        <v> </v>
      </c>
      <c r="Z79" s="17" t="str">
        <f aca="false">IF((E79="a"),H79," ")</f>
        <v> </v>
      </c>
      <c r="AA79" s="17" t="str">
        <f aca="false">IF((E79="g"),H79," ")</f>
        <v> </v>
      </c>
      <c r="AB79" s="17" t="str">
        <f aca="false">IF((E79="h"),H79," ")</f>
        <v> </v>
      </c>
      <c r="AC79" s="30" t="str">
        <f aca="false">IF((E79="v"),H79," ")</f>
        <v> </v>
      </c>
      <c r="AD79" s="30" t="str">
        <f aca="false">IF((E79="n"),H79," ")</f>
        <v> </v>
      </c>
      <c r="AE79" s="17" t="str">
        <f aca="false">IF((E79="f"),H79," ")</f>
        <v> </v>
      </c>
      <c r="AF79" s="17" t="str">
        <f aca="false">IF((E79="l"),H79," ")</f>
        <v> </v>
      </c>
      <c r="AG79" s="17" t="str">
        <f aca="false">IF((E79="y"),H79," ")</f>
        <v> </v>
      </c>
      <c r="AH79" s="17" t="str">
        <f aca="false">IF((E79="z"),H79," ")</f>
        <v> </v>
      </c>
      <c r="AI79" s="17" t="str">
        <f aca="false">IF((E79="fa"),H79," ")</f>
        <v> </v>
      </c>
      <c r="AJ79" s="17" t="str">
        <f aca="false">IF((E79="e"),H79," ")</f>
        <v> </v>
      </c>
    </row>
    <row r="80" customFormat="false" ht="12" hidden="false" customHeight="false" outlineLevel="0" collapsed="false">
      <c r="A80" s="28"/>
      <c r="E80" s="2" t="str">
        <f aca="false">IF((F80&lt;&gt;0),"Enter Letter"," ")</f>
        <v> </v>
      </c>
      <c r="F80" s="30"/>
      <c r="G80" s="6" t="str">
        <f aca="false">IF(F80&lt;&gt;0,F80*G$2/(100+G$2)," ")</f>
        <v> </v>
      </c>
      <c r="H80" s="6" t="str">
        <f aca="false">IF((F80&lt;&gt;0),F80-G80," ")</f>
        <v> </v>
      </c>
      <c r="I80" s="5"/>
      <c r="L80" s="7" t="str">
        <f aca="false">IF(F80&lt;&gt;0,F80-K80," ")</f>
        <v> </v>
      </c>
      <c r="M80" s="8" t="str">
        <f aca="false">IF((F80-K80)&lt;&gt;0,M$1-A80," ")</f>
        <v> </v>
      </c>
      <c r="N80" s="5"/>
      <c r="O80" s="17" t="str">
        <f aca="false">IF((E80="s"),H80," ")</f>
        <v> </v>
      </c>
      <c r="P80" s="17" t="str">
        <f aca="false">IF((E80="c"),H80," ")</f>
        <v> </v>
      </c>
      <c r="Q80" s="17" t="str">
        <f aca="false">IF((E80="o"),H80," ")</f>
        <v> </v>
      </c>
      <c r="R80" s="17" t="str">
        <f aca="false">IF((E80="d"),H80," ")</f>
        <v> </v>
      </c>
      <c r="S80" s="17" t="str">
        <f aca="false">IF((E80="w"),H80," ")</f>
        <v> </v>
      </c>
      <c r="T80" s="17" t="str">
        <f aca="false">IF((E80="r"),H80," ")</f>
        <v> </v>
      </c>
      <c r="U80" s="17" t="str">
        <f aca="false">IF((E80="p"),H80," ")</f>
        <v> </v>
      </c>
      <c r="V80" s="17" t="str">
        <f aca="false">IF((E80="t"),H80," ")</f>
        <v> </v>
      </c>
      <c r="W80" s="17" t="str">
        <f aca="false">IF((E80="q"),H80," ")</f>
        <v> </v>
      </c>
      <c r="X80" s="17" t="str">
        <f aca="false">IF((E80="m"),H80," ")</f>
        <v> </v>
      </c>
      <c r="Y80" s="17" t="str">
        <f aca="false">IF((E80="u"),H80," ")</f>
        <v> </v>
      </c>
      <c r="Z80" s="17" t="str">
        <f aca="false">IF((E80="a"),H80," ")</f>
        <v> </v>
      </c>
      <c r="AA80" s="17" t="str">
        <f aca="false">IF((E80="g"),H80," ")</f>
        <v> </v>
      </c>
      <c r="AB80" s="17" t="str">
        <f aca="false">IF((E80="h"),H80," ")</f>
        <v> </v>
      </c>
      <c r="AC80" s="30" t="str">
        <f aca="false">IF((E80="v"),H80," ")</f>
        <v> </v>
      </c>
      <c r="AD80" s="30" t="str">
        <f aca="false">IF((E80="n"),H80," ")</f>
        <v> </v>
      </c>
      <c r="AE80" s="17" t="str">
        <f aca="false">IF((E80="f"),H80," ")</f>
        <v> </v>
      </c>
      <c r="AF80" s="17" t="str">
        <f aca="false">IF((E80="l"),H80," ")</f>
        <v> </v>
      </c>
      <c r="AG80" s="17" t="str">
        <f aca="false">IF((E80="y"),H80," ")</f>
        <v> </v>
      </c>
      <c r="AH80" s="17" t="str">
        <f aca="false">IF((E80="z"),H80," ")</f>
        <v> </v>
      </c>
      <c r="AI80" s="17" t="str">
        <f aca="false">IF((E80="fa"),H80," ")</f>
        <v> </v>
      </c>
      <c r="AJ80" s="17" t="str">
        <f aca="false">IF((E80="e"),H80," ")</f>
        <v> </v>
      </c>
    </row>
    <row r="81" customFormat="false" ht="12" hidden="false" customHeight="false" outlineLevel="0" collapsed="false">
      <c r="A81" s="28"/>
      <c r="E81" s="2" t="str">
        <f aca="false">IF((F81&lt;&gt;0),"Enter Letter"," ")</f>
        <v> </v>
      </c>
      <c r="F81" s="30"/>
      <c r="G81" s="6" t="str">
        <f aca="false">IF(F81&lt;&gt;0,F81*G$2/(100+G$2)," ")</f>
        <v> </v>
      </c>
      <c r="H81" s="6" t="str">
        <f aca="false">IF((F81&lt;&gt;0),F81-G81," ")</f>
        <v> </v>
      </c>
      <c r="I81" s="5"/>
      <c r="L81" s="7" t="str">
        <f aca="false">IF(F81&lt;&gt;0,F81-K81," ")</f>
        <v> </v>
      </c>
      <c r="M81" s="8" t="str">
        <f aca="false">IF((F81-K81)&lt;&gt;0,M$1-A81," ")</f>
        <v> </v>
      </c>
      <c r="N81" s="5"/>
      <c r="O81" s="17" t="str">
        <f aca="false">IF((E81="s"),H81," ")</f>
        <v> </v>
      </c>
      <c r="P81" s="17" t="str">
        <f aca="false">IF((E81="c"),H81," ")</f>
        <v> </v>
      </c>
      <c r="Q81" s="17" t="str">
        <f aca="false">IF((E81="o"),H81," ")</f>
        <v> </v>
      </c>
      <c r="R81" s="17" t="str">
        <f aca="false">IF((E81="d"),H81," ")</f>
        <v> </v>
      </c>
      <c r="S81" s="17" t="str">
        <f aca="false">IF((E81="w"),H81," ")</f>
        <v> </v>
      </c>
      <c r="T81" s="17" t="str">
        <f aca="false">IF((E81="r"),H81," ")</f>
        <v> </v>
      </c>
      <c r="U81" s="17" t="str">
        <f aca="false">IF((E81="p"),H81," ")</f>
        <v> </v>
      </c>
      <c r="V81" s="17" t="str">
        <f aca="false">IF((E81="t"),H81," ")</f>
        <v> </v>
      </c>
      <c r="W81" s="17" t="str">
        <f aca="false">IF((E81="q"),H81," ")</f>
        <v> </v>
      </c>
      <c r="X81" s="17" t="str">
        <f aca="false">IF((E81="m"),H81," ")</f>
        <v> </v>
      </c>
      <c r="Y81" s="17" t="str">
        <f aca="false">IF((E81="u"),H81," ")</f>
        <v> </v>
      </c>
      <c r="Z81" s="17" t="str">
        <f aca="false">IF((E81="a"),H81," ")</f>
        <v> </v>
      </c>
      <c r="AA81" s="17" t="str">
        <f aca="false">IF((E81="g"),H81," ")</f>
        <v> </v>
      </c>
      <c r="AB81" s="17" t="str">
        <f aca="false">IF((E81="h"),H81," ")</f>
        <v> </v>
      </c>
      <c r="AC81" s="30" t="str">
        <f aca="false">IF((E81="v"),H81," ")</f>
        <v> </v>
      </c>
      <c r="AD81" s="30" t="str">
        <f aca="false">IF((E81="n"),H81," ")</f>
        <v> </v>
      </c>
      <c r="AE81" s="17" t="str">
        <f aca="false">IF((E81="f"),H81," ")</f>
        <v> </v>
      </c>
      <c r="AF81" s="17" t="str">
        <f aca="false">IF((E81="l"),H81," ")</f>
        <v> </v>
      </c>
      <c r="AG81" s="17" t="str">
        <f aca="false">IF((E81="y"),H81," ")</f>
        <v> </v>
      </c>
      <c r="AH81" s="17" t="str">
        <f aca="false">IF((E81="z"),H81," ")</f>
        <v> </v>
      </c>
      <c r="AI81" s="17" t="str">
        <f aca="false">IF((E81="fa"),H81," ")</f>
        <v> </v>
      </c>
      <c r="AJ81" s="17" t="str">
        <f aca="false">IF((E81="e"),H81," ")</f>
        <v> </v>
      </c>
    </row>
    <row r="82" customFormat="false" ht="12" hidden="false" customHeight="false" outlineLevel="0" collapsed="false">
      <c r="A82" s="28"/>
      <c r="E82" s="2" t="str">
        <f aca="false">IF((F82&lt;&gt;0),"Enter Letter"," ")</f>
        <v> </v>
      </c>
      <c r="F82" s="30"/>
      <c r="G82" s="6" t="str">
        <f aca="false">IF(F82&lt;&gt;0,F82*G$2/(100+G$2)," ")</f>
        <v> </v>
      </c>
      <c r="H82" s="6" t="str">
        <f aca="false">IF((F82&lt;&gt;0),F82-G82," ")</f>
        <v> </v>
      </c>
      <c r="I82" s="5"/>
      <c r="L82" s="7" t="str">
        <f aca="false">IF(F82&lt;&gt;0,F82-K82," ")</f>
        <v> </v>
      </c>
      <c r="M82" s="8" t="str">
        <f aca="false">IF((F82-K82)&lt;&gt;0,M$1-A82," ")</f>
        <v> </v>
      </c>
      <c r="N82" s="5"/>
      <c r="O82" s="17" t="str">
        <f aca="false">IF((E82="s"),H82," ")</f>
        <v> </v>
      </c>
      <c r="P82" s="17" t="str">
        <f aca="false">IF((E82="c"),H82," ")</f>
        <v> </v>
      </c>
      <c r="Q82" s="17" t="str">
        <f aca="false">IF((E82="o"),H82," ")</f>
        <v> </v>
      </c>
      <c r="R82" s="17" t="str">
        <f aca="false">IF((E82="d"),H82," ")</f>
        <v> </v>
      </c>
      <c r="S82" s="17" t="str">
        <f aca="false">IF((E82="w"),H82," ")</f>
        <v> </v>
      </c>
      <c r="T82" s="17" t="str">
        <f aca="false">IF((E82="r"),H82," ")</f>
        <v> </v>
      </c>
      <c r="U82" s="17" t="str">
        <f aca="false">IF((E82="p"),H82," ")</f>
        <v> </v>
      </c>
      <c r="V82" s="17" t="str">
        <f aca="false">IF((E82="t"),H82," ")</f>
        <v> </v>
      </c>
      <c r="W82" s="17" t="str">
        <f aca="false">IF((E82="q"),H82," ")</f>
        <v> </v>
      </c>
      <c r="X82" s="17" t="str">
        <f aca="false">IF((E82="m"),H82," ")</f>
        <v> </v>
      </c>
      <c r="Y82" s="17" t="str">
        <f aca="false">IF((E82="u"),H82," ")</f>
        <v> </v>
      </c>
      <c r="Z82" s="17" t="str">
        <f aca="false">IF((E82="a"),H82," ")</f>
        <v> </v>
      </c>
      <c r="AA82" s="17" t="str">
        <f aca="false">IF((E82="g"),H82," ")</f>
        <v> </v>
      </c>
      <c r="AB82" s="17" t="str">
        <f aca="false">IF((E82="h"),H82," ")</f>
        <v> </v>
      </c>
      <c r="AC82" s="30" t="str">
        <f aca="false">IF((E82="v"),H82," ")</f>
        <v> </v>
      </c>
      <c r="AD82" s="30" t="str">
        <f aca="false">IF((E82="n"),H82," ")</f>
        <v> </v>
      </c>
      <c r="AE82" s="17" t="str">
        <f aca="false">IF((E82="f"),H82," ")</f>
        <v> </v>
      </c>
      <c r="AF82" s="17" t="str">
        <f aca="false">IF((E82="l"),H82," ")</f>
        <v> </v>
      </c>
      <c r="AG82" s="17" t="str">
        <f aca="false">IF((E82="y"),H82," ")</f>
        <v> </v>
      </c>
      <c r="AH82" s="17" t="str">
        <f aca="false">IF((E82="z"),H82," ")</f>
        <v> </v>
      </c>
      <c r="AI82" s="17" t="str">
        <f aca="false">IF((E82="fa"),H82," ")</f>
        <v> </v>
      </c>
      <c r="AJ82" s="17" t="str">
        <f aca="false">IF((E82="e"),H82," ")</f>
        <v> </v>
      </c>
    </row>
    <row r="83" customFormat="false" ht="12" hidden="false" customHeight="false" outlineLevel="0" collapsed="false">
      <c r="A83" s="28"/>
      <c r="E83" s="2" t="str">
        <f aca="false">IF((F83&lt;&gt;0),"Enter Letter"," ")</f>
        <v> </v>
      </c>
      <c r="F83" s="30"/>
      <c r="G83" s="6" t="str">
        <f aca="false">IF(F83&lt;&gt;0,F83*G$2/(100+G$2)," ")</f>
        <v> </v>
      </c>
      <c r="H83" s="6" t="str">
        <f aca="false">IF((F83&lt;&gt;0),F83-G83," ")</f>
        <v> </v>
      </c>
      <c r="I83" s="5"/>
      <c r="L83" s="7" t="str">
        <f aca="false">IF(F83&lt;&gt;0,F83-K83," ")</f>
        <v> </v>
      </c>
      <c r="M83" s="8" t="str">
        <f aca="false">IF((F83-K83)&lt;&gt;0,M$1-A83," ")</f>
        <v> </v>
      </c>
      <c r="N83" s="5"/>
      <c r="O83" s="17" t="str">
        <f aca="false">IF((E83="s"),H83," ")</f>
        <v> </v>
      </c>
      <c r="P83" s="17" t="str">
        <f aca="false">IF((E83="c"),H83," ")</f>
        <v> </v>
      </c>
      <c r="Q83" s="17" t="str">
        <f aca="false">IF((E83="o"),H83," ")</f>
        <v> </v>
      </c>
      <c r="R83" s="17" t="str">
        <f aca="false">IF((E83="d"),H83," ")</f>
        <v> </v>
      </c>
      <c r="S83" s="17" t="str">
        <f aca="false">IF((E83="w"),H83," ")</f>
        <v> </v>
      </c>
      <c r="T83" s="17" t="str">
        <f aca="false">IF((E83="r"),H83," ")</f>
        <v> </v>
      </c>
      <c r="U83" s="17" t="str">
        <f aca="false">IF((E83="p"),H83," ")</f>
        <v> </v>
      </c>
      <c r="V83" s="17" t="str">
        <f aca="false">IF((E83="t"),H83," ")</f>
        <v> </v>
      </c>
      <c r="W83" s="17" t="str">
        <f aca="false">IF((E83="q"),H83," ")</f>
        <v> </v>
      </c>
      <c r="X83" s="17" t="str">
        <f aca="false">IF((E83="m"),H83," ")</f>
        <v> </v>
      </c>
      <c r="Y83" s="17" t="str">
        <f aca="false">IF((E83="u"),H83," ")</f>
        <v> </v>
      </c>
      <c r="Z83" s="17" t="str">
        <f aca="false">IF((E83="a"),H83," ")</f>
        <v> </v>
      </c>
      <c r="AA83" s="17" t="str">
        <f aca="false">IF((E83="g"),H83," ")</f>
        <v> </v>
      </c>
      <c r="AB83" s="17" t="str">
        <f aca="false">IF((E83="h"),H83," ")</f>
        <v> </v>
      </c>
      <c r="AC83" s="30" t="str">
        <f aca="false">IF((E83="v"),H83," ")</f>
        <v> </v>
      </c>
      <c r="AD83" s="30" t="str">
        <f aca="false">IF((E83="n"),H83," ")</f>
        <v> </v>
      </c>
      <c r="AE83" s="17" t="str">
        <f aca="false">IF((E83="f"),H83," ")</f>
        <v> </v>
      </c>
      <c r="AF83" s="17" t="str">
        <f aca="false">IF((E83="l"),H83," ")</f>
        <v> </v>
      </c>
      <c r="AG83" s="17" t="str">
        <f aca="false">IF((E83="y"),H83," ")</f>
        <v> </v>
      </c>
      <c r="AH83" s="17" t="str">
        <f aca="false">IF((E83="z"),H83," ")</f>
        <v> </v>
      </c>
      <c r="AI83" s="17" t="str">
        <f aca="false">IF((E83="fa"),H83," ")</f>
        <v> </v>
      </c>
      <c r="AJ83" s="17" t="str">
        <f aca="false">IF((E83="e"),H83," ")</f>
        <v> </v>
      </c>
    </row>
    <row r="84" customFormat="false" ht="12" hidden="false" customHeight="false" outlineLevel="0" collapsed="false">
      <c r="A84" s="28"/>
      <c r="E84" s="2" t="str">
        <f aca="false">IF((F84&lt;&gt;0),"Enter Letter"," ")</f>
        <v> </v>
      </c>
      <c r="F84" s="30"/>
      <c r="G84" s="6" t="str">
        <f aca="false">IF(F84&lt;&gt;0,F84*G$2/(100+G$2)," ")</f>
        <v> </v>
      </c>
      <c r="H84" s="6" t="str">
        <f aca="false">IF((F84&lt;&gt;0),F84-G84," ")</f>
        <v> </v>
      </c>
      <c r="I84" s="5"/>
      <c r="L84" s="7" t="str">
        <f aca="false">IF(F84&lt;&gt;0,F84-K84," ")</f>
        <v> </v>
      </c>
      <c r="M84" s="8" t="str">
        <f aca="false">IF((F84-K84)&lt;&gt;0,M$1-A84," ")</f>
        <v> </v>
      </c>
      <c r="N84" s="5"/>
      <c r="O84" s="17" t="str">
        <f aca="false">IF((E84="s"),H84," ")</f>
        <v> </v>
      </c>
      <c r="P84" s="17" t="str">
        <f aca="false">IF((E84="c"),H84," ")</f>
        <v> </v>
      </c>
      <c r="Q84" s="17" t="str">
        <f aca="false">IF((E84="o"),H84," ")</f>
        <v> </v>
      </c>
      <c r="R84" s="17" t="str">
        <f aca="false">IF((E84="d"),H84," ")</f>
        <v> </v>
      </c>
      <c r="S84" s="17" t="str">
        <f aca="false">IF((E84="w"),H84," ")</f>
        <v> </v>
      </c>
      <c r="T84" s="17" t="str">
        <f aca="false">IF((E84="r"),H84," ")</f>
        <v> </v>
      </c>
      <c r="U84" s="17" t="str">
        <f aca="false">IF((E84="p"),H84," ")</f>
        <v> </v>
      </c>
      <c r="V84" s="17" t="str">
        <f aca="false">IF((E84="t"),H84," ")</f>
        <v> </v>
      </c>
      <c r="W84" s="17" t="str">
        <f aca="false">IF((E84="q"),H84," ")</f>
        <v> </v>
      </c>
      <c r="X84" s="17" t="str">
        <f aca="false">IF((E84="m"),H84," ")</f>
        <v> </v>
      </c>
      <c r="Y84" s="17" t="str">
        <f aca="false">IF((E84="u"),H84," ")</f>
        <v> </v>
      </c>
      <c r="Z84" s="17" t="str">
        <f aca="false">IF((E84="a"),H84," ")</f>
        <v> </v>
      </c>
      <c r="AA84" s="17" t="str">
        <f aca="false">IF((E84="g"),H84," ")</f>
        <v> </v>
      </c>
      <c r="AB84" s="17" t="str">
        <f aca="false">IF((E84="h"),H84," ")</f>
        <v> </v>
      </c>
      <c r="AC84" s="30" t="str">
        <f aca="false">IF((E84="v"),H84," ")</f>
        <v> </v>
      </c>
      <c r="AD84" s="30" t="str">
        <f aca="false">IF((E84="n"),H84," ")</f>
        <v> </v>
      </c>
      <c r="AE84" s="17" t="str">
        <f aca="false">IF((E84="f"),H84," ")</f>
        <v> </v>
      </c>
      <c r="AF84" s="17" t="str">
        <f aca="false">IF((E84="l"),H84," ")</f>
        <v> </v>
      </c>
      <c r="AG84" s="17" t="str">
        <f aca="false">IF((E84="y"),H84," ")</f>
        <v> </v>
      </c>
      <c r="AH84" s="17" t="str">
        <f aca="false">IF((E84="z"),H84," ")</f>
        <v> </v>
      </c>
      <c r="AI84" s="17" t="str">
        <f aca="false">IF((E84="fa"),H84," ")</f>
        <v> </v>
      </c>
      <c r="AJ84" s="17" t="str">
        <f aca="false">IF((E84="e"),H84," ")</f>
        <v> </v>
      </c>
    </row>
    <row r="85" customFormat="false" ht="12" hidden="false" customHeight="false" outlineLevel="0" collapsed="false">
      <c r="A85" s="28"/>
      <c r="E85" s="2" t="str">
        <f aca="false">IF((F85&lt;&gt;0),"Enter Letter"," ")</f>
        <v> </v>
      </c>
      <c r="F85" s="30"/>
      <c r="G85" s="6" t="str">
        <f aca="false">IF(F85&lt;&gt;0,F85*G$2/(100+G$2)," ")</f>
        <v> </v>
      </c>
      <c r="H85" s="6" t="str">
        <f aca="false">IF((F85&lt;&gt;0),F85-G85," ")</f>
        <v> </v>
      </c>
      <c r="I85" s="5"/>
      <c r="L85" s="7" t="str">
        <f aca="false">IF(F85&lt;&gt;0,F85-K85," ")</f>
        <v> </v>
      </c>
      <c r="M85" s="8" t="str">
        <f aca="false">IF((F85-K85)&lt;&gt;0,M$1-A85," ")</f>
        <v> </v>
      </c>
      <c r="N85" s="5"/>
      <c r="O85" s="17" t="str">
        <f aca="false">IF((E85="s"),H85," ")</f>
        <v> </v>
      </c>
      <c r="P85" s="17" t="str">
        <f aca="false">IF((E85="c"),H85," ")</f>
        <v> </v>
      </c>
      <c r="Q85" s="17" t="str">
        <f aca="false">IF((E85="o"),H85," ")</f>
        <v> </v>
      </c>
      <c r="R85" s="17" t="str">
        <f aca="false">IF((E85="d"),H85," ")</f>
        <v> </v>
      </c>
      <c r="S85" s="17" t="str">
        <f aca="false">IF((E85="w"),H85," ")</f>
        <v> </v>
      </c>
      <c r="T85" s="17" t="str">
        <f aca="false">IF((E85="r"),H85," ")</f>
        <v> </v>
      </c>
      <c r="U85" s="17" t="str">
        <f aca="false">IF((E85="p"),H85," ")</f>
        <v> </v>
      </c>
      <c r="V85" s="17" t="str">
        <f aca="false">IF((E85="t"),H85," ")</f>
        <v> </v>
      </c>
      <c r="W85" s="17" t="str">
        <f aca="false">IF((E85="q"),H85," ")</f>
        <v> </v>
      </c>
      <c r="X85" s="17" t="str">
        <f aca="false">IF((E85="m"),H85," ")</f>
        <v> </v>
      </c>
      <c r="Y85" s="17" t="str">
        <f aca="false">IF((E85="u"),H85," ")</f>
        <v> </v>
      </c>
      <c r="Z85" s="17" t="str">
        <f aca="false">IF((E85="a"),H85," ")</f>
        <v> </v>
      </c>
      <c r="AA85" s="17" t="str">
        <f aca="false">IF((E85="g"),H85," ")</f>
        <v> </v>
      </c>
      <c r="AB85" s="17" t="str">
        <f aca="false">IF((E85="h"),H85," ")</f>
        <v> </v>
      </c>
      <c r="AC85" s="30" t="str">
        <f aca="false">IF((E85="v"),H85," ")</f>
        <v> </v>
      </c>
      <c r="AD85" s="30" t="str">
        <f aca="false">IF((E85="n"),H85," ")</f>
        <v> </v>
      </c>
      <c r="AE85" s="17" t="str">
        <f aca="false">IF((E85="f"),H85," ")</f>
        <v> </v>
      </c>
      <c r="AF85" s="17" t="str">
        <f aca="false">IF((E85="l"),H85," ")</f>
        <v> </v>
      </c>
      <c r="AG85" s="17" t="str">
        <f aca="false">IF((E85="y"),H85," ")</f>
        <v> </v>
      </c>
      <c r="AH85" s="17" t="str">
        <f aca="false">IF((E85="z"),H85," ")</f>
        <v> </v>
      </c>
      <c r="AI85" s="17" t="str">
        <f aca="false">IF((E85="fa"),H85," ")</f>
        <v> </v>
      </c>
      <c r="AJ85" s="17" t="str">
        <f aca="false">IF((E85="e"),H85," ")</f>
        <v> </v>
      </c>
    </row>
    <row r="86" customFormat="false" ht="12" hidden="false" customHeight="false" outlineLevel="0" collapsed="false">
      <c r="A86" s="28"/>
      <c r="E86" s="2" t="str">
        <f aca="false">IF((F86&lt;&gt;0),"Enter Letter"," ")</f>
        <v> </v>
      </c>
      <c r="F86" s="30"/>
      <c r="G86" s="6" t="str">
        <f aca="false">IF(F86&lt;&gt;0,F86*G$2/(100+G$2)," ")</f>
        <v> </v>
      </c>
      <c r="H86" s="6" t="str">
        <f aca="false">IF((F86&lt;&gt;0),F86-G86," ")</f>
        <v> </v>
      </c>
      <c r="I86" s="5"/>
      <c r="L86" s="7" t="str">
        <f aca="false">IF(F86&lt;&gt;0,F86-K86," ")</f>
        <v> </v>
      </c>
      <c r="M86" s="8" t="str">
        <f aca="false">IF((F86-K86)&lt;&gt;0,M$1-A86," ")</f>
        <v> </v>
      </c>
      <c r="N86" s="5"/>
      <c r="O86" s="17" t="str">
        <f aca="false">IF((E86="s"),H86," ")</f>
        <v> </v>
      </c>
      <c r="P86" s="17" t="str">
        <f aca="false">IF((E86="c"),H86," ")</f>
        <v> </v>
      </c>
      <c r="Q86" s="17" t="str">
        <f aca="false">IF((E86="o"),H86," ")</f>
        <v> </v>
      </c>
      <c r="R86" s="17" t="str">
        <f aca="false">IF((E86="d"),H86," ")</f>
        <v> </v>
      </c>
      <c r="S86" s="17" t="str">
        <f aca="false">IF((E86="w"),H86," ")</f>
        <v> </v>
      </c>
      <c r="T86" s="17" t="str">
        <f aca="false">IF((E86="r"),H86," ")</f>
        <v> </v>
      </c>
      <c r="U86" s="17" t="str">
        <f aca="false">IF((E86="p"),H86," ")</f>
        <v> </v>
      </c>
      <c r="V86" s="17" t="str">
        <f aca="false">IF((E86="t"),H86," ")</f>
        <v> </v>
      </c>
      <c r="W86" s="17" t="str">
        <f aca="false">IF((E86="q"),H86," ")</f>
        <v> </v>
      </c>
      <c r="X86" s="17" t="str">
        <f aca="false">IF((E86="m"),H86," ")</f>
        <v> </v>
      </c>
      <c r="Y86" s="17" t="str">
        <f aca="false">IF((E86="u"),H86," ")</f>
        <v> </v>
      </c>
      <c r="Z86" s="17" t="str">
        <f aca="false">IF((E86="a"),H86," ")</f>
        <v> </v>
      </c>
      <c r="AA86" s="17" t="str">
        <f aca="false">IF((E86="g"),H86," ")</f>
        <v> </v>
      </c>
      <c r="AB86" s="17" t="str">
        <f aca="false">IF((E86="h"),H86," ")</f>
        <v> </v>
      </c>
      <c r="AC86" s="30" t="str">
        <f aca="false">IF((E86="v"),H86," ")</f>
        <v> </v>
      </c>
      <c r="AD86" s="30" t="str">
        <f aca="false">IF((E86="n"),H86," ")</f>
        <v> </v>
      </c>
      <c r="AE86" s="17" t="str">
        <f aca="false">IF((E86="f"),H86," ")</f>
        <v> </v>
      </c>
      <c r="AF86" s="17" t="str">
        <f aca="false">IF((E86="l"),H86," ")</f>
        <v> </v>
      </c>
      <c r="AG86" s="17" t="str">
        <f aca="false">IF((E86="y"),H86," ")</f>
        <v> </v>
      </c>
      <c r="AH86" s="17" t="str">
        <f aca="false">IF((E86="z"),H86," ")</f>
        <v> </v>
      </c>
      <c r="AI86" s="17" t="str">
        <f aca="false">IF((E86="fa"),H86," ")</f>
        <v> </v>
      </c>
      <c r="AJ86" s="17" t="str">
        <f aca="false">IF((E86="e"),H86," ")</f>
        <v> </v>
      </c>
    </row>
    <row r="87" customFormat="false" ht="12" hidden="false" customHeight="false" outlineLevel="0" collapsed="false">
      <c r="A87" s="28"/>
      <c r="E87" s="2" t="str">
        <f aca="false">IF((F87&lt;&gt;0),"Enter Letter"," ")</f>
        <v> </v>
      </c>
      <c r="F87" s="30"/>
      <c r="G87" s="6" t="str">
        <f aca="false">IF(F87&lt;&gt;0,F87*G$2/(100+G$2)," ")</f>
        <v> </v>
      </c>
      <c r="H87" s="6" t="str">
        <f aca="false">IF((F87&lt;&gt;0),F87-G87," ")</f>
        <v> </v>
      </c>
      <c r="I87" s="5"/>
      <c r="L87" s="7" t="str">
        <f aca="false">IF(F87&lt;&gt;0,F87-K87," ")</f>
        <v> </v>
      </c>
      <c r="M87" s="8" t="str">
        <f aca="false">IF((F87-K87)&lt;&gt;0,M$1-A87," ")</f>
        <v> </v>
      </c>
      <c r="N87" s="5"/>
      <c r="O87" s="17" t="str">
        <f aca="false">IF((E87="s"),H87," ")</f>
        <v> </v>
      </c>
      <c r="P87" s="17" t="str">
        <f aca="false">IF((E87="c"),H87," ")</f>
        <v> </v>
      </c>
      <c r="Q87" s="17" t="str">
        <f aca="false">IF((E87="o"),H87," ")</f>
        <v> </v>
      </c>
      <c r="R87" s="17" t="str">
        <f aca="false">IF((E87="d"),H87," ")</f>
        <v> </v>
      </c>
      <c r="S87" s="17" t="str">
        <f aca="false">IF((E87="w"),H87," ")</f>
        <v> </v>
      </c>
      <c r="T87" s="17" t="str">
        <f aca="false">IF((E87="r"),H87," ")</f>
        <v> </v>
      </c>
      <c r="U87" s="17" t="str">
        <f aca="false">IF((E87="p"),H87," ")</f>
        <v> </v>
      </c>
      <c r="V87" s="17" t="str">
        <f aca="false">IF((E87="t"),H87," ")</f>
        <v> </v>
      </c>
      <c r="W87" s="17" t="str">
        <f aca="false">IF((E87="q"),H87," ")</f>
        <v> </v>
      </c>
      <c r="X87" s="17" t="str">
        <f aca="false">IF((E87="m"),H87," ")</f>
        <v> </v>
      </c>
      <c r="Y87" s="17" t="str">
        <f aca="false">IF((E87="u"),H87," ")</f>
        <v> </v>
      </c>
      <c r="Z87" s="17" t="str">
        <f aca="false">IF((E87="a"),H87," ")</f>
        <v> </v>
      </c>
      <c r="AA87" s="17" t="str">
        <f aca="false">IF((E87="g"),H87," ")</f>
        <v> </v>
      </c>
      <c r="AB87" s="17" t="str">
        <f aca="false">IF((E87="h"),H87," ")</f>
        <v> </v>
      </c>
      <c r="AC87" s="30" t="str">
        <f aca="false">IF((E87="v"),H87," ")</f>
        <v> </v>
      </c>
      <c r="AD87" s="30" t="str">
        <f aca="false">IF((E87="n"),H87," ")</f>
        <v> </v>
      </c>
      <c r="AE87" s="17" t="str">
        <f aca="false">IF((E87="f"),H87," ")</f>
        <v> </v>
      </c>
      <c r="AF87" s="17" t="str">
        <f aca="false">IF((E87="l"),H87," ")</f>
        <v> </v>
      </c>
      <c r="AG87" s="17" t="str">
        <f aca="false">IF((E87="y"),H87," ")</f>
        <v> </v>
      </c>
      <c r="AH87" s="17" t="str">
        <f aca="false">IF((E87="z"),H87," ")</f>
        <v> </v>
      </c>
      <c r="AI87" s="17" t="str">
        <f aca="false">IF((E87="fa"),H87," ")</f>
        <v> </v>
      </c>
      <c r="AJ87" s="17" t="str">
        <f aca="false">IF((E87="e"),H87," ")</f>
        <v> </v>
      </c>
    </row>
    <row r="88" customFormat="false" ht="12" hidden="false" customHeight="false" outlineLevel="0" collapsed="false">
      <c r="A88" s="28"/>
      <c r="E88" s="2" t="str">
        <f aca="false">IF((F88&lt;&gt;0),"Enter Letter"," ")</f>
        <v> </v>
      </c>
      <c r="F88" s="30"/>
      <c r="G88" s="6" t="str">
        <f aca="false">IF(F88&lt;&gt;0,F88*G$2/(100+G$2)," ")</f>
        <v> </v>
      </c>
      <c r="H88" s="6" t="str">
        <f aca="false">IF((F88&lt;&gt;0),F88-G88," ")</f>
        <v> </v>
      </c>
      <c r="I88" s="5"/>
      <c r="L88" s="7" t="str">
        <f aca="false">IF(F88&lt;&gt;0,F88-K88," ")</f>
        <v> </v>
      </c>
      <c r="M88" s="8" t="str">
        <f aca="false">IF((F88-K88)&lt;&gt;0,M$1-A88," ")</f>
        <v> </v>
      </c>
      <c r="N88" s="5"/>
      <c r="O88" s="17" t="str">
        <f aca="false">IF((E88="s"),H88," ")</f>
        <v> </v>
      </c>
      <c r="P88" s="17" t="str">
        <f aca="false">IF((E88="c"),H88," ")</f>
        <v> </v>
      </c>
      <c r="Q88" s="17" t="str">
        <f aca="false">IF((E88="o"),H88," ")</f>
        <v> </v>
      </c>
      <c r="R88" s="17" t="str">
        <f aca="false">IF((E88="d"),H88," ")</f>
        <v> </v>
      </c>
      <c r="S88" s="17" t="str">
        <f aca="false">IF((E88="w"),H88," ")</f>
        <v> </v>
      </c>
      <c r="T88" s="17" t="str">
        <f aca="false">IF((E88="r"),H88," ")</f>
        <v> </v>
      </c>
      <c r="U88" s="17" t="str">
        <f aca="false">IF((E88="p"),H88," ")</f>
        <v> </v>
      </c>
      <c r="V88" s="17" t="str">
        <f aca="false">IF((E88="t"),H88," ")</f>
        <v> </v>
      </c>
      <c r="W88" s="17" t="str">
        <f aca="false">IF((E88="q"),H88," ")</f>
        <v> </v>
      </c>
      <c r="X88" s="17" t="str">
        <f aca="false">IF((E88="m"),H88," ")</f>
        <v> </v>
      </c>
      <c r="Y88" s="17" t="str">
        <f aca="false">IF((E88="u"),H88," ")</f>
        <v> </v>
      </c>
      <c r="Z88" s="17" t="str">
        <f aca="false">IF((E88="a"),H88," ")</f>
        <v> </v>
      </c>
      <c r="AA88" s="17" t="str">
        <f aca="false">IF((E88="g"),H88," ")</f>
        <v> </v>
      </c>
      <c r="AB88" s="17" t="str">
        <f aca="false">IF((E88="h"),H88," ")</f>
        <v> </v>
      </c>
      <c r="AC88" s="30" t="str">
        <f aca="false">IF((E88="v"),H88," ")</f>
        <v> </v>
      </c>
      <c r="AD88" s="30" t="str">
        <f aca="false">IF((E88="n"),H88," ")</f>
        <v> </v>
      </c>
      <c r="AE88" s="17" t="str">
        <f aca="false">IF((E88="f"),H88," ")</f>
        <v> </v>
      </c>
      <c r="AF88" s="17" t="str">
        <f aca="false">IF((E88="l"),H88," ")</f>
        <v> </v>
      </c>
      <c r="AG88" s="17" t="str">
        <f aca="false">IF((E88="y"),H88," ")</f>
        <v> </v>
      </c>
      <c r="AH88" s="17" t="str">
        <f aca="false">IF((E88="z"),H88," ")</f>
        <v> </v>
      </c>
      <c r="AI88" s="17" t="str">
        <f aca="false">IF((E88="fa"),H88," ")</f>
        <v> </v>
      </c>
      <c r="AJ88" s="17" t="str">
        <f aca="false">IF((E88="e"),H88," ")</f>
        <v> </v>
      </c>
    </row>
    <row r="89" customFormat="false" ht="12" hidden="false" customHeight="false" outlineLevel="0" collapsed="false">
      <c r="A89" s="28"/>
      <c r="E89" s="2" t="str">
        <f aca="false">IF((F89&lt;&gt;0),"Enter Letter"," ")</f>
        <v> </v>
      </c>
      <c r="F89" s="30"/>
      <c r="G89" s="6" t="str">
        <f aca="false">IF(F89&lt;&gt;0,F89*G$2/(100+G$2)," ")</f>
        <v> </v>
      </c>
      <c r="H89" s="6" t="str">
        <f aca="false">IF((F89&lt;&gt;0),F89-G89," ")</f>
        <v> </v>
      </c>
      <c r="I89" s="5"/>
      <c r="L89" s="7" t="str">
        <f aca="false">IF(F89&lt;&gt;0,F89-K89," ")</f>
        <v> </v>
      </c>
      <c r="M89" s="8" t="str">
        <f aca="false">IF((F89-K89)&lt;&gt;0,M$1-A89," ")</f>
        <v> </v>
      </c>
      <c r="N89" s="5"/>
      <c r="O89" s="17" t="str">
        <f aca="false">IF((E89="s"),H89," ")</f>
        <v> </v>
      </c>
      <c r="P89" s="17" t="str">
        <f aca="false">IF((E89="c"),H89," ")</f>
        <v> </v>
      </c>
      <c r="Q89" s="17" t="str">
        <f aca="false">IF((E89="o"),H89," ")</f>
        <v> </v>
      </c>
      <c r="R89" s="17" t="str">
        <f aca="false">IF((E89="d"),H89," ")</f>
        <v> </v>
      </c>
      <c r="S89" s="17" t="str">
        <f aca="false">IF((E89="w"),H89," ")</f>
        <v> </v>
      </c>
      <c r="T89" s="17" t="str">
        <f aca="false">IF((E89="r"),H89," ")</f>
        <v> </v>
      </c>
      <c r="U89" s="17" t="str">
        <f aca="false">IF((E89="p"),H89," ")</f>
        <v> </v>
      </c>
      <c r="V89" s="17" t="str">
        <f aca="false">IF((E89="t"),H89," ")</f>
        <v> </v>
      </c>
      <c r="W89" s="17" t="str">
        <f aca="false">IF((E89="q"),H89," ")</f>
        <v> </v>
      </c>
      <c r="X89" s="17" t="str">
        <f aca="false">IF((E89="m"),H89," ")</f>
        <v> </v>
      </c>
      <c r="Y89" s="17" t="str">
        <f aca="false">IF((E89="u"),H89," ")</f>
        <v> </v>
      </c>
      <c r="Z89" s="17" t="str">
        <f aca="false">IF((E89="a"),H89," ")</f>
        <v> </v>
      </c>
      <c r="AA89" s="17" t="str">
        <f aca="false">IF((E89="g"),H89," ")</f>
        <v> </v>
      </c>
      <c r="AB89" s="17" t="str">
        <f aca="false">IF((E89="h"),H89," ")</f>
        <v> </v>
      </c>
      <c r="AC89" s="30" t="str">
        <f aca="false">IF((E89="v"),H89," ")</f>
        <v> </v>
      </c>
      <c r="AD89" s="30" t="str">
        <f aca="false">IF((E89="n"),H89," ")</f>
        <v> </v>
      </c>
      <c r="AE89" s="17" t="str">
        <f aca="false">IF((E89="f"),H89," ")</f>
        <v> </v>
      </c>
      <c r="AF89" s="17" t="str">
        <f aca="false">IF((E89="l"),H89," ")</f>
        <v> </v>
      </c>
      <c r="AG89" s="17" t="str">
        <f aca="false">IF((E89="y"),H89," ")</f>
        <v> </v>
      </c>
      <c r="AH89" s="17" t="str">
        <f aca="false">IF((E89="z"),H89," ")</f>
        <v> </v>
      </c>
      <c r="AI89" s="17" t="str">
        <f aca="false">IF((E89="fa"),H89," ")</f>
        <v> </v>
      </c>
      <c r="AJ89" s="17" t="str">
        <f aca="false">IF((E89="e"),H89," ")</f>
        <v> </v>
      </c>
    </row>
    <row r="90" customFormat="false" ht="12" hidden="false" customHeight="false" outlineLevel="0" collapsed="false">
      <c r="A90" s="28"/>
      <c r="E90" s="2" t="str">
        <f aca="false">IF((F90&lt;&gt;0),"Enter Letter"," ")</f>
        <v> </v>
      </c>
      <c r="F90" s="30"/>
      <c r="G90" s="6" t="str">
        <f aca="false">IF(F90&lt;&gt;0,F90*G$2/(100+G$2)," ")</f>
        <v> </v>
      </c>
      <c r="H90" s="6" t="str">
        <f aca="false">IF((F90&lt;&gt;0),F90-G90," ")</f>
        <v> </v>
      </c>
      <c r="I90" s="5"/>
      <c r="L90" s="7" t="str">
        <f aca="false">IF(F90&lt;&gt;0,F90-K90," ")</f>
        <v> </v>
      </c>
      <c r="M90" s="8" t="str">
        <f aca="false">IF((F90-K90)&lt;&gt;0,M$1-A90," ")</f>
        <v> </v>
      </c>
      <c r="N90" s="5"/>
      <c r="O90" s="17" t="str">
        <f aca="false">IF((E90="s"),H90," ")</f>
        <v> </v>
      </c>
      <c r="P90" s="17" t="str">
        <f aca="false">IF((E90="c"),H90," ")</f>
        <v> </v>
      </c>
      <c r="Q90" s="17" t="str">
        <f aca="false">IF((E90="o"),H90," ")</f>
        <v> </v>
      </c>
      <c r="R90" s="17" t="str">
        <f aca="false">IF((E90="d"),H90," ")</f>
        <v> </v>
      </c>
      <c r="S90" s="17" t="str">
        <f aca="false">IF((E90="w"),H90," ")</f>
        <v> </v>
      </c>
      <c r="T90" s="17" t="str">
        <f aca="false">IF((E90="r"),H90," ")</f>
        <v> </v>
      </c>
      <c r="U90" s="17" t="str">
        <f aca="false">IF((E90="p"),H90," ")</f>
        <v> </v>
      </c>
      <c r="V90" s="17" t="str">
        <f aca="false">IF((E90="t"),H90," ")</f>
        <v> </v>
      </c>
      <c r="W90" s="17" t="str">
        <f aca="false">IF((E90="q"),H90," ")</f>
        <v> </v>
      </c>
      <c r="X90" s="17" t="str">
        <f aca="false">IF((E90="m"),H90," ")</f>
        <v> </v>
      </c>
      <c r="Y90" s="17" t="str">
        <f aca="false">IF((E90="u"),H90," ")</f>
        <v> </v>
      </c>
      <c r="Z90" s="17" t="str">
        <f aca="false">IF((E90="a"),H90," ")</f>
        <v> </v>
      </c>
      <c r="AA90" s="17" t="str">
        <f aca="false">IF((E90="g"),H90," ")</f>
        <v> </v>
      </c>
      <c r="AB90" s="17" t="str">
        <f aca="false">IF((E90="h"),H90," ")</f>
        <v> </v>
      </c>
      <c r="AC90" s="30" t="str">
        <f aca="false">IF((E90="v"),H90," ")</f>
        <v> </v>
      </c>
      <c r="AD90" s="30" t="str">
        <f aca="false">IF((E90="n"),H90," ")</f>
        <v> </v>
      </c>
      <c r="AE90" s="17" t="str">
        <f aca="false">IF((E90="f"),H90," ")</f>
        <v> </v>
      </c>
      <c r="AF90" s="17" t="str">
        <f aca="false">IF((E90="l"),H90," ")</f>
        <v> </v>
      </c>
      <c r="AG90" s="17" t="str">
        <f aca="false">IF((E90="y"),H90," ")</f>
        <v> </v>
      </c>
      <c r="AH90" s="17" t="str">
        <f aca="false">IF((E90="z"),H90," ")</f>
        <v> </v>
      </c>
      <c r="AI90" s="17" t="str">
        <f aca="false">IF((E90="fa"),H90," ")</f>
        <v> </v>
      </c>
      <c r="AJ90" s="17" t="str">
        <f aca="false">IF((E90="e"),H90," ")</f>
        <v> </v>
      </c>
    </row>
    <row r="91" customFormat="false" ht="12" hidden="false" customHeight="false" outlineLevel="0" collapsed="false">
      <c r="A91" s="28"/>
      <c r="E91" s="2" t="str">
        <f aca="false">IF((F91&lt;&gt;0),"Enter Letter"," ")</f>
        <v> </v>
      </c>
      <c r="F91" s="30"/>
      <c r="G91" s="6" t="str">
        <f aca="false">IF(F91&lt;&gt;0,F91*G$2/(100+G$2)," ")</f>
        <v> </v>
      </c>
      <c r="H91" s="6" t="str">
        <f aca="false">IF((F91&lt;&gt;0),F91-G91," ")</f>
        <v> </v>
      </c>
      <c r="I91" s="5"/>
      <c r="L91" s="7" t="str">
        <f aca="false">IF(F91&lt;&gt;0,F91-K91," ")</f>
        <v> </v>
      </c>
      <c r="M91" s="8" t="str">
        <f aca="false">IF((F91-K91)&lt;&gt;0,M$1-A91," ")</f>
        <v> </v>
      </c>
      <c r="N91" s="5"/>
      <c r="O91" s="17" t="str">
        <f aca="false">IF((E91="s"),H91," ")</f>
        <v> </v>
      </c>
      <c r="P91" s="17" t="str">
        <f aca="false">IF((E91="c"),H91," ")</f>
        <v> </v>
      </c>
      <c r="Q91" s="17" t="str">
        <f aca="false">IF((E91="o"),H91," ")</f>
        <v> </v>
      </c>
      <c r="R91" s="17" t="str">
        <f aca="false">IF((E91="d"),H91," ")</f>
        <v> </v>
      </c>
      <c r="S91" s="17" t="str">
        <f aca="false">IF((E91="w"),H91," ")</f>
        <v> </v>
      </c>
      <c r="T91" s="17" t="str">
        <f aca="false">IF((E91="r"),H91," ")</f>
        <v> </v>
      </c>
      <c r="U91" s="17" t="str">
        <f aca="false">IF((E91="p"),H91," ")</f>
        <v> </v>
      </c>
      <c r="V91" s="17" t="str">
        <f aca="false">IF((E91="t"),H91," ")</f>
        <v> </v>
      </c>
      <c r="W91" s="17" t="str">
        <f aca="false">IF((E91="q"),H91," ")</f>
        <v> </v>
      </c>
      <c r="X91" s="17" t="str">
        <f aca="false">IF((E91="m"),H91," ")</f>
        <v> </v>
      </c>
      <c r="Y91" s="17" t="str">
        <f aca="false">IF((E91="u"),H91," ")</f>
        <v> </v>
      </c>
      <c r="Z91" s="17" t="str">
        <f aca="false">IF((E91="a"),H91," ")</f>
        <v> </v>
      </c>
      <c r="AA91" s="17" t="str">
        <f aca="false">IF((E91="g"),H91," ")</f>
        <v> </v>
      </c>
      <c r="AB91" s="17" t="str">
        <f aca="false">IF((E91="h"),H91," ")</f>
        <v> </v>
      </c>
      <c r="AC91" s="30" t="str">
        <f aca="false">IF((E91="v"),H91," ")</f>
        <v> </v>
      </c>
      <c r="AD91" s="30" t="str">
        <f aca="false">IF((E91="n"),H91," ")</f>
        <v> </v>
      </c>
      <c r="AE91" s="17" t="str">
        <f aca="false">IF((E91="f"),H91," ")</f>
        <v> </v>
      </c>
      <c r="AF91" s="17" t="str">
        <f aca="false">IF((E91="l"),H91," ")</f>
        <v> </v>
      </c>
      <c r="AG91" s="17" t="str">
        <f aca="false">IF((E91="y"),H91," ")</f>
        <v> </v>
      </c>
      <c r="AH91" s="17" t="str">
        <f aca="false">IF((E91="z"),H91," ")</f>
        <v> </v>
      </c>
      <c r="AI91" s="17" t="str">
        <f aca="false">IF((E91="fa"),H91," ")</f>
        <v> </v>
      </c>
      <c r="AJ91" s="17" t="str">
        <f aca="false">IF((E91="e"),H91," ")</f>
        <v> </v>
      </c>
    </row>
    <row r="92" customFormat="false" ht="12" hidden="false" customHeight="false" outlineLevel="0" collapsed="false">
      <c r="A92" s="28"/>
      <c r="E92" s="2" t="str">
        <f aca="false">IF((F92&lt;&gt;0),"Enter Letter"," ")</f>
        <v> </v>
      </c>
      <c r="F92" s="30"/>
      <c r="G92" s="6" t="str">
        <f aca="false">IF(F92&lt;&gt;0,F92*G$2/(100+G$2)," ")</f>
        <v> </v>
      </c>
      <c r="H92" s="6" t="str">
        <f aca="false">IF((F92&lt;&gt;0),F92-G92," ")</f>
        <v> </v>
      </c>
      <c r="I92" s="5"/>
      <c r="L92" s="7" t="str">
        <f aca="false">IF(F92&lt;&gt;0,F92-K92," ")</f>
        <v> </v>
      </c>
      <c r="M92" s="8" t="str">
        <f aca="false">IF((F92-K92)&lt;&gt;0,M$1-A92," ")</f>
        <v> </v>
      </c>
      <c r="N92" s="5"/>
      <c r="O92" s="17" t="str">
        <f aca="false">IF((E92="s"),H92," ")</f>
        <v> </v>
      </c>
      <c r="P92" s="17" t="str">
        <f aca="false">IF((E92="c"),H92," ")</f>
        <v> </v>
      </c>
      <c r="Q92" s="17" t="str">
        <f aca="false">IF((E92="o"),H92," ")</f>
        <v> </v>
      </c>
      <c r="R92" s="17" t="str">
        <f aca="false">IF((E92="d"),H92," ")</f>
        <v> </v>
      </c>
      <c r="S92" s="17" t="str">
        <f aca="false">IF((E92="w"),H92," ")</f>
        <v> </v>
      </c>
      <c r="T92" s="17" t="str">
        <f aca="false">IF((E92="r"),H92," ")</f>
        <v> </v>
      </c>
      <c r="U92" s="17" t="str">
        <f aca="false">IF((E92="p"),H92," ")</f>
        <v> </v>
      </c>
      <c r="V92" s="17" t="str">
        <f aca="false">IF((E92="t"),H92," ")</f>
        <v> </v>
      </c>
      <c r="W92" s="17" t="str">
        <f aca="false">IF((E92="q"),H92," ")</f>
        <v> </v>
      </c>
      <c r="X92" s="17" t="str">
        <f aca="false">IF((E92="m"),H92," ")</f>
        <v> </v>
      </c>
      <c r="Y92" s="17" t="str">
        <f aca="false">IF((E92="u"),H92," ")</f>
        <v> </v>
      </c>
      <c r="Z92" s="17" t="str">
        <f aca="false">IF((E92="a"),H92," ")</f>
        <v> </v>
      </c>
      <c r="AA92" s="17" t="str">
        <f aca="false">IF((E92="g"),H92," ")</f>
        <v> </v>
      </c>
      <c r="AB92" s="17" t="str">
        <f aca="false">IF((E92="h"),H92," ")</f>
        <v> </v>
      </c>
      <c r="AC92" s="30" t="str">
        <f aca="false">IF((E92="v"),H92," ")</f>
        <v> </v>
      </c>
      <c r="AD92" s="30" t="str">
        <f aca="false">IF((E92="n"),H92," ")</f>
        <v> </v>
      </c>
      <c r="AE92" s="17" t="str">
        <f aca="false">IF((E92="f"),H92," ")</f>
        <v> </v>
      </c>
      <c r="AF92" s="17" t="str">
        <f aca="false">IF((E92="l"),H92," ")</f>
        <v> </v>
      </c>
      <c r="AG92" s="17" t="str">
        <f aca="false">IF((E92="y"),H92," ")</f>
        <v> </v>
      </c>
      <c r="AH92" s="17" t="str">
        <f aca="false">IF((E92="z"),H92," ")</f>
        <v> </v>
      </c>
      <c r="AI92" s="17" t="str">
        <f aca="false">IF((E92="fa"),H92," ")</f>
        <v> </v>
      </c>
      <c r="AJ92" s="17" t="str">
        <f aca="false">IF((E92="e"),H92," ")</f>
        <v> </v>
      </c>
    </row>
    <row r="93" customFormat="false" ht="12" hidden="false" customHeight="false" outlineLevel="0" collapsed="false">
      <c r="A93" s="28"/>
      <c r="E93" s="2" t="str">
        <f aca="false">IF((F93&lt;&gt;0),"Enter Letter"," ")</f>
        <v> </v>
      </c>
      <c r="F93" s="30"/>
      <c r="G93" s="6" t="str">
        <f aca="false">IF(F93&lt;&gt;0,F93*G$2/(100+G$2)," ")</f>
        <v> </v>
      </c>
      <c r="H93" s="6" t="str">
        <f aca="false">IF((F93&lt;&gt;0),F93-G93," ")</f>
        <v> </v>
      </c>
      <c r="I93" s="5"/>
      <c r="L93" s="7" t="str">
        <f aca="false">IF(F93&lt;&gt;0,F93-K93," ")</f>
        <v> </v>
      </c>
      <c r="M93" s="8" t="str">
        <f aca="false">IF((F93-K93)&lt;&gt;0,M$1-A93," ")</f>
        <v> </v>
      </c>
      <c r="N93" s="5"/>
      <c r="O93" s="17" t="str">
        <f aca="false">IF((E93="s"),H93," ")</f>
        <v> </v>
      </c>
      <c r="P93" s="17" t="str">
        <f aca="false">IF((E93="c"),H93," ")</f>
        <v> </v>
      </c>
      <c r="Q93" s="17" t="str">
        <f aca="false">IF((E93="o"),H93," ")</f>
        <v> </v>
      </c>
      <c r="R93" s="17" t="str">
        <f aca="false">IF((E93="d"),H93," ")</f>
        <v> </v>
      </c>
      <c r="S93" s="17" t="str">
        <f aca="false">IF((E93="w"),H93," ")</f>
        <v> </v>
      </c>
      <c r="T93" s="17" t="str">
        <f aca="false">IF((E93="r"),H93," ")</f>
        <v> </v>
      </c>
      <c r="U93" s="17" t="str">
        <f aca="false">IF((E93="p"),H93," ")</f>
        <v> </v>
      </c>
      <c r="V93" s="17" t="str">
        <f aca="false">IF((E93="t"),H93," ")</f>
        <v> </v>
      </c>
      <c r="W93" s="17" t="str">
        <f aca="false">IF((E93="q"),H93," ")</f>
        <v> </v>
      </c>
      <c r="X93" s="17" t="str">
        <f aca="false">IF((E93="m"),H93," ")</f>
        <v> </v>
      </c>
      <c r="Y93" s="17" t="str">
        <f aca="false">IF((E93="u"),H93," ")</f>
        <v> </v>
      </c>
      <c r="Z93" s="17" t="str">
        <f aca="false">IF((E93="a"),H93," ")</f>
        <v> </v>
      </c>
      <c r="AA93" s="17" t="str">
        <f aca="false">IF((E93="g"),H93," ")</f>
        <v> </v>
      </c>
      <c r="AB93" s="17" t="str">
        <f aca="false">IF((E93="h"),H93," ")</f>
        <v> </v>
      </c>
      <c r="AC93" s="30" t="str">
        <f aca="false">IF((E93="v"),H93," ")</f>
        <v> </v>
      </c>
      <c r="AD93" s="30" t="str">
        <f aca="false">IF((E93="n"),H93," ")</f>
        <v> </v>
      </c>
      <c r="AE93" s="17" t="str">
        <f aca="false">IF((E93="f"),H93," ")</f>
        <v> </v>
      </c>
      <c r="AF93" s="17" t="str">
        <f aca="false">IF((E93="l"),H93," ")</f>
        <v> </v>
      </c>
      <c r="AG93" s="17" t="str">
        <f aca="false">IF((E93="y"),H93," ")</f>
        <v> </v>
      </c>
      <c r="AH93" s="17" t="str">
        <f aca="false">IF((E93="z"),H93," ")</f>
        <v> </v>
      </c>
      <c r="AI93" s="17" t="str">
        <f aca="false">IF((E93="fa"),H93," ")</f>
        <v> </v>
      </c>
      <c r="AJ93" s="17" t="str">
        <f aca="false">IF((E93="e"),H93," ")</f>
        <v> </v>
      </c>
    </row>
    <row r="94" customFormat="false" ht="12" hidden="false" customHeight="false" outlineLevel="0" collapsed="false">
      <c r="A94" s="28"/>
      <c r="E94" s="2" t="str">
        <f aca="false">IF((F94&lt;&gt;0),"Enter Letter"," ")</f>
        <v> </v>
      </c>
      <c r="F94" s="30"/>
      <c r="G94" s="6" t="str">
        <f aca="false">IF(F94&lt;&gt;0,F94*G$2/(100+G$2)," ")</f>
        <v> </v>
      </c>
      <c r="H94" s="6" t="str">
        <f aca="false">IF((F94&lt;&gt;0),F94-G94," ")</f>
        <v> </v>
      </c>
      <c r="I94" s="5"/>
      <c r="L94" s="7" t="str">
        <f aca="false">IF(F94&lt;&gt;0,F94-K94," ")</f>
        <v> </v>
      </c>
      <c r="M94" s="8" t="str">
        <f aca="false">IF((F94-K94)&lt;&gt;0,M$1-A94," ")</f>
        <v> </v>
      </c>
      <c r="N94" s="5"/>
      <c r="O94" s="17" t="str">
        <f aca="false">IF((E94="s"),H94," ")</f>
        <v> </v>
      </c>
      <c r="P94" s="17" t="str">
        <f aca="false">IF((E94="c"),H94," ")</f>
        <v> </v>
      </c>
      <c r="Q94" s="17" t="str">
        <f aca="false">IF((E94="o"),H94," ")</f>
        <v> </v>
      </c>
      <c r="R94" s="17" t="str">
        <f aca="false">IF((E94="d"),H94," ")</f>
        <v> </v>
      </c>
      <c r="S94" s="17" t="str">
        <f aca="false">IF((E94="w"),H94," ")</f>
        <v> </v>
      </c>
      <c r="T94" s="17" t="str">
        <f aca="false">IF((E94="r"),H94," ")</f>
        <v> </v>
      </c>
      <c r="U94" s="17" t="str">
        <f aca="false">IF((E94="p"),H94," ")</f>
        <v> </v>
      </c>
      <c r="V94" s="17" t="str">
        <f aca="false">IF((E94="t"),H94," ")</f>
        <v> </v>
      </c>
      <c r="W94" s="17" t="str">
        <f aca="false">IF((E94="q"),H94," ")</f>
        <v> </v>
      </c>
      <c r="X94" s="17" t="str">
        <f aca="false">IF((E94="m"),H94," ")</f>
        <v> </v>
      </c>
      <c r="Y94" s="17" t="str">
        <f aca="false">IF((E94="u"),H94," ")</f>
        <v> </v>
      </c>
      <c r="Z94" s="17" t="str">
        <f aca="false">IF((E94="a"),H94," ")</f>
        <v> </v>
      </c>
      <c r="AA94" s="17" t="str">
        <f aca="false">IF((E94="g"),H94," ")</f>
        <v> </v>
      </c>
      <c r="AB94" s="17" t="str">
        <f aca="false">IF((E94="h"),H94," ")</f>
        <v> </v>
      </c>
      <c r="AC94" s="30" t="str">
        <f aca="false">IF((E94="v"),H94," ")</f>
        <v> </v>
      </c>
      <c r="AD94" s="30" t="str">
        <f aca="false">IF((E94="n"),H94," ")</f>
        <v> </v>
      </c>
      <c r="AE94" s="17" t="str">
        <f aca="false">IF((E94="f"),H94," ")</f>
        <v> </v>
      </c>
      <c r="AF94" s="17" t="str">
        <f aca="false">IF((E94="l"),H94," ")</f>
        <v> </v>
      </c>
      <c r="AG94" s="17" t="str">
        <f aca="false">IF((E94="y"),H94," ")</f>
        <v> </v>
      </c>
      <c r="AH94" s="17" t="str">
        <f aca="false">IF((E94="z"),H94," ")</f>
        <v> </v>
      </c>
      <c r="AI94" s="17" t="str">
        <f aca="false">IF((E94="fa"),H94," ")</f>
        <v> </v>
      </c>
      <c r="AJ94" s="17" t="str">
        <f aca="false">IF((E94="e"),H94," ")</f>
        <v> </v>
      </c>
    </row>
    <row r="95" customFormat="false" ht="12" hidden="false" customHeight="false" outlineLevel="0" collapsed="false">
      <c r="A95" s="28"/>
      <c r="E95" s="2" t="str">
        <f aca="false">IF((F95&lt;&gt;0),"Enter Letter"," ")</f>
        <v> </v>
      </c>
      <c r="F95" s="30"/>
      <c r="G95" s="6" t="str">
        <f aca="false">IF(F95&lt;&gt;0,F95*G$2/(100+G$2)," ")</f>
        <v> </v>
      </c>
      <c r="H95" s="6" t="str">
        <f aca="false">IF((F95&lt;&gt;0),F95-G95," ")</f>
        <v> </v>
      </c>
      <c r="I95" s="5"/>
      <c r="L95" s="7" t="str">
        <f aca="false">IF(F95&lt;&gt;0,F95-K95," ")</f>
        <v> </v>
      </c>
      <c r="M95" s="8" t="str">
        <f aca="false">IF((F95-K95)&lt;&gt;0,M$1-A95," ")</f>
        <v> </v>
      </c>
      <c r="N95" s="5"/>
      <c r="O95" s="17" t="str">
        <f aca="false">IF((E95="s"),H95," ")</f>
        <v> </v>
      </c>
      <c r="P95" s="17" t="str">
        <f aca="false">IF((E95="c"),H95," ")</f>
        <v> </v>
      </c>
      <c r="Q95" s="17" t="str">
        <f aca="false">IF((E95="o"),H95," ")</f>
        <v> </v>
      </c>
      <c r="R95" s="17" t="str">
        <f aca="false">IF((E95="d"),H95," ")</f>
        <v> </v>
      </c>
      <c r="S95" s="17" t="str">
        <f aca="false">IF((E95="w"),H95," ")</f>
        <v> </v>
      </c>
      <c r="T95" s="17" t="str">
        <f aca="false">IF((E95="r"),H95," ")</f>
        <v> </v>
      </c>
      <c r="U95" s="17" t="str">
        <f aca="false">IF((E95="p"),H95," ")</f>
        <v> </v>
      </c>
      <c r="V95" s="17" t="str">
        <f aca="false">IF((E95="t"),H95," ")</f>
        <v> </v>
      </c>
      <c r="W95" s="17" t="str">
        <f aca="false">IF((E95="q"),H95," ")</f>
        <v> </v>
      </c>
      <c r="X95" s="17" t="str">
        <f aca="false">IF((E95="m"),H95," ")</f>
        <v> </v>
      </c>
      <c r="Y95" s="17" t="str">
        <f aca="false">IF((E95="u"),H95," ")</f>
        <v> </v>
      </c>
      <c r="Z95" s="17" t="str">
        <f aca="false">IF((E95="a"),H95," ")</f>
        <v> </v>
      </c>
      <c r="AA95" s="17" t="str">
        <f aca="false">IF((E95="g"),H95," ")</f>
        <v> </v>
      </c>
      <c r="AB95" s="17" t="str">
        <f aca="false">IF((E95="h"),H95," ")</f>
        <v> </v>
      </c>
      <c r="AC95" s="30" t="str">
        <f aca="false">IF((E95="v"),H95," ")</f>
        <v> </v>
      </c>
      <c r="AD95" s="30" t="str">
        <f aca="false">IF((E95="n"),H95," ")</f>
        <v> </v>
      </c>
      <c r="AE95" s="17" t="str">
        <f aca="false">IF((E95="f"),H95," ")</f>
        <v> </v>
      </c>
      <c r="AF95" s="17" t="str">
        <f aca="false">IF((E95="l"),H95," ")</f>
        <v> </v>
      </c>
      <c r="AG95" s="17" t="str">
        <f aca="false">IF((E95="y"),H95," ")</f>
        <v> </v>
      </c>
      <c r="AH95" s="17" t="str">
        <f aca="false">IF((E95="z"),H95," ")</f>
        <v> </v>
      </c>
      <c r="AI95" s="17" t="str">
        <f aca="false">IF((E95="fa"),H95," ")</f>
        <v> </v>
      </c>
      <c r="AJ95" s="17" t="str">
        <f aca="false">IF((E95="e"),H95," ")</f>
        <v> </v>
      </c>
    </row>
    <row r="96" customFormat="false" ht="12" hidden="false" customHeight="false" outlineLevel="0" collapsed="false">
      <c r="A96" s="28"/>
      <c r="E96" s="2" t="str">
        <f aca="false">IF((F96&lt;&gt;0),"Enter Letter"," ")</f>
        <v> </v>
      </c>
      <c r="F96" s="30"/>
      <c r="G96" s="6" t="str">
        <f aca="false">IF(F96&lt;&gt;0,F96*G$2/(100+G$2)," ")</f>
        <v> </v>
      </c>
      <c r="H96" s="6" t="str">
        <f aca="false">IF((F96&lt;&gt;0),F96-G96," ")</f>
        <v> </v>
      </c>
      <c r="I96" s="5"/>
      <c r="L96" s="7" t="str">
        <f aca="false">IF(F96&lt;&gt;0,F96-K96," ")</f>
        <v> </v>
      </c>
      <c r="M96" s="8" t="str">
        <f aca="false">IF((F96-K96)&lt;&gt;0,M$1-A96," ")</f>
        <v> </v>
      </c>
      <c r="N96" s="5"/>
      <c r="O96" s="17" t="str">
        <f aca="false">IF((E96="s"),H96," ")</f>
        <v> </v>
      </c>
      <c r="P96" s="17" t="str">
        <f aca="false">IF((E96="c"),H96," ")</f>
        <v> </v>
      </c>
      <c r="Q96" s="17" t="str">
        <f aca="false">IF((E96="o"),H96," ")</f>
        <v> </v>
      </c>
      <c r="R96" s="17" t="str">
        <f aca="false">IF((E96="d"),H96," ")</f>
        <v> </v>
      </c>
      <c r="S96" s="17" t="str">
        <f aca="false">IF((E96="w"),H96," ")</f>
        <v> </v>
      </c>
      <c r="T96" s="17" t="str">
        <f aca="false">IF((E96="r"),H96," ")</f>
        <v> </v>
      </c>
      <c r="U96" s="17" t="str">
        <f aca="false">IF((E96="p"),H96," ")</f>
        <v> </v>
      </c>
      <c r="V96" s="17" t="str">
        <f aca="false">IF((E96="t"),H96," ")</f>
        <v> </v>
      </c>
      <c r="W96" s="17" t="str">
        <f aca="false">IF((E96="q"),H96," ")</f>
        <v> </v>
      </c>
      <c r="X96" s="17" t="str">
        <f aca="false">IF((E96="m"),H96," ")</f>
        <v> </v>
      </c>
      <c r="Y96" s="17" t="str">
        <f aca="false">IF((E96="u"),H96," ")</f>
        <v> </v>
      </c>
      <c r="Z96" s="17" t="str">
        <f aca="false">IF((E96="a"),H96," ")</f>
        <v> </v>
      </c>
      <c r="AA96" s="17" t="str">
        <f aca="false">IF((E96="g"),H96," ")</f>
        <v> </v>
      </c>
      <c r="AB96" s="17" t="str">
        <f aca="false">IF((E96="h"),H96," ")</f>
        <v> </v>
      </c>
      <c r="AC96" s="30" t="str">
        <f aca="false">IF((E96="v"),H96," ")</f>
        <v> </v>
      </c>
      <c r="AD96" s="30" t="str">
        <f aca="false">IF((E96="n"),H96," ")</f>
        <v> </v>
      </c>
      <c r="AE96" s="17" t="str">
        <f aca="false">IF((E96="f"),H96," ")</f>
        <v> </v>
      </c>
      <c r="AF96" s="17" t="str">
        <f aca="false">IF((E96="l"),H96," ")</f>
        <v> </v>
      </c>
      <c r="AG96" s="17" t="str">
        <f aca="false">IF((E96="y"),H96," ")</f>
        <v> </v>
      </c>
      <c r="AH96" s="17" t="str">
        <f aca="false">IF((E96="z"),H96," ")</f>
        <v> </v>
      </c>
      <c r="AI96" s="17" t="str">
        <f aca="false">IF((E96="fa"),H96," ")</f>
        <v> </v>
      </c>
      <c r="AJ96" s="17" t="str">
        <f aca="false">IF((E96="e"),H96," ")</f>
        <v> </v>
      </c>
    </row>
    <row r="97" customFormat="false" ht="12" hidden="false" customHeight="false" outlineLevel="0" collapsed="false">
      <c r="A97" s="28"/>
      <c r="E97" s="2" t="str">
        <f aca="false">IF((F97&lt;&gt;0),"Enter Letter"," ")</f>
        <v> </v>
      </c>
      <c r="F97" s="30"/>
      <c r="G97" s="6" t="str">
        <f aca="false">IF(F97&lt;&gt;0,F97*G$2/(100+G$2)," ")</f>
        <v> </v>
      </c>
      <c r="H97" s="6" t="str">
        <f aca="false">IF((F97&lt;&gt;0),F97-G97," ")</f>
        <v> </v>
      </c>
      <c r="I97" s="5"/>
      <c r="L97" s="7" t="str">
        <f aca="false">IF(F97&lt;&gt;0,F97-K97," ")</f>
        <v> </v>
      </c>
      <c r="M97" s="8" t="str">
        <f aca="false">IF((F97-K97)&lt;&gt;0,M$1-A97," ")</f>
        <v> </v>
      </c>
      <c r="N97" s="5"/>
      <c r="O97" s="17" t="str">
        <f aca="false">IF((E97="s"),H97," ")</f>
        <v> </v>
      </c>
      <c r="P97" s="17" t="str">
        <f aca="false">IF((E97="c"),H97," ")</f>
        <v> </v>
      </c>
      <c r="Q97" s="17" t="str">
        <f aca="false">IF((E97="o"),H97," ")</f>
        <v> </v>
      </c>
      <c r="R97" s="17" t="str">
        <f aca="false">IF((E97="d"),H97," ")</f>
        <v> </v>
      </c>
      <c r="S97" s="17" t="str">
        <f aca="false">IF((E97="w"),H97," ")</f>
        <v> </v>
      </c>
      <c r="T97" s="17" t="str">
        <f aca="false">IF((E97="r"),H97," ")</f>
        <v> </v>
      </c>
      <c r="U97" s="17" t="str">
        <f aca="false">IF((E97="p"),H97," ")</f>
        <v> </v>
      </c>
      <c r="V97" s="17" t="str">
        <f aca="false">IF((E97="t"),H97," ")</f>
        <v> </v>
      </c>
      <c r="W97" s="17" t="str">
        <f aca="false">IF((E97="q"),H97," ")</f>
        <v> </v>
      </c>
      <c r="X97" s="17" t="str">
        <f aca="false">IF((E97="m"),H97," ")</f>
        <v> </v>
      </c>
      <c r="Y97" s="17" t="str">
        <f aca="false">IF((E97="u"),H97," ")</f>
        <v> </v>
      </c>
      <c r="Z97" s="17" t="str">
        <f aca="false">IF((E97="a"),H97," ")</f>
        <v> </v>
      </c>
      <c r="AA97" s="17" t="str">
        <f aca="false">IF((E97="g"),H97," ")</f>
        <v> </v>
      </c>
      <c r="AB97" s="17" t="str">
        <f aca="false">IF((E97="h"),H97," ")</f>
        <v> </v>
      </c>
      <c r="AC97" s="30" t="str">
        <f aca="false">IF((E97="v"),H97," ")</f>
        <v> </v>
      </c>
      <c r="AD97" s="30" t="str">
        <f aca="false">IF((E97="n"),H97," ")</f>
        <v> </v>
      </c>
      <c r="AE97" s="17" t="str">
        <f aca="false">IF((E97="f"),H97," ")</f>
        <v> </v>
      </c>
      <c r="AF97" s="17" t="str">
        <f aca="false">IF((E97="l"),H97," ")</f>
        <v> </v>
      </c>
      <c r="AG97" s="17" t="str">
        <f aca="false">IF((E97="y"),H97," ")</f>
        <v> </v>
      </c>
      <c r="AH97" s="17" t="str">
        <f aca="false">IF((E97="z"),H97," ")</f>
        <v> </v>
      </c>
      <c r="AI97" s="17" t="str">
        <f aca="false">IF((E97="fa"),H97," ")</f>
        <v> </v>
      </c>
      <c r="AJ97" s="17" t="str">
        <f aca="false">IF((E97="e"),H97," ")</f>
        <v> </v>
      </c>
    </row>
    <row r="98" customFormat="false" ht="12" hidden="false" customHeight="false" outlineLevel="0" collapsed="false">
      <c r="A98" s="28"/>
      <c r="E98" s="2" t="str">
        <f aca="false">IF((F98&lt;&gt;0),"Enter Letter"," ")</f>
        <v> </v>
      </c>
      <c r="F98" s="30"/>
      <c r="G98" s="6" t="str">
        <f aca="false">IF(F98&lt;&gt;0,F98*G$2/(100+G$2)," ")</f>
        <v> </v>
      </c>
      <c r="H98" s="6" t="str">
        <f aca="false">IF((F98&lt;&gt;0),F98-G98," ")</f>
        <v> </v>
      </c>
      <c r="I98" s="5"/>
      <c r="L98" s="7" t="str">
        <f aca="false">IF(F98&lt;&gt;0,F98-K98," ")</f>
        <v> </v>
      </c>
      <c r="M98" s="8" t="str">
        <f aca="false">IF((F98-K98)&lt;&gt;0,M$1-A98," ")</f>
        <v> </v>
      </c>
      <c r="N98" s="5"/>
      <c r="O98" s="17" t="str">
        <f aca="false">IF((E98="s"),H98," ")</f>
        <v> </v>
      </c>
      <c r="P98" s="17" t="str">
        <f aca="false">IF((E98="c"),H98," ")</f>
        <v> </v>
      </c>
      <c r="Q98" s="17" t="str">
        <f aca="false">IF((E98="o"),H98," ")</f>
        <v> </v>
      </c>
      <c r="R98" s="17" t="str">
        <f aca="false">IF((E98="d"),H98," ")</f>
        <v> </v>
      </c>
      <c r="S98" s="17" t="str">
        <f aca="false">IF((E98="w"),H98," ")</f>
        <v> </v>
      </c>
      <c r="T98" s="17" t="str">
        <f aca="false">IF((E98="r"),H98," ")</f>
        <v> </v>
      </c>
      <c r="U98" s="17" t="str">
        <f aca="false">IF((E98="p"),H98," ")</f>
        <v> </v>
      </c>
      <c r="V98" s="17" t="str">
        <f aca="false">IF((E98="t"),H98," ")</f>
        <v> </v>
      </c>
      <c r="W98" s="17" t="str">
        <f aca="false">IF((E98="q"),H98," ")</f>
        <v> </v>
      </c>
      <c r="X98" s="17" t="str">
        <f aca="false">IF((E98="m"),H98," ")</f>
        <v> </v>
      </c>
      <c r="Y98" s="17" t="str">
        <f aca="false">IF((E98="u"),H98," ")</f>
        <v> </v>
      </c>
      <c r="Z98" s="17" t="str">
        <f aca="false">IF((E98="a"),H98," ")</f>
        <v> </v>
      </c>
      <c r="AA98" s="17" t="str">
        <f aca="false">IF((E98="g"),H98," ")</f>
        <v> </v>
      </c>
      <c r="AB98" s="17" t="str">
        <f aca="false">IF((E98="h"),H98," ")</f>
        <v> </v>
      </c>
      <c r="AC98" s="30" t="str">
        <f aca="false">IF((E98="v"),H98," ")</f>
        <v> </v>
      </c>
      <c r="AD98" s="30" t="str">
        <f aca="false">IF((E98="n"),H98," ")</f>
        <v> </v>
      </c>
      <c r="AE98" s="17" t="str">
        <f aca="false">IF((E98="f"),H98," ")</f>
        <v> </v>
      </c>
      <c r="AF98" s="17" t="str">
        <f aca="false">IF((E98="l"),H98," ")</f>
        <v> </v>
      </c>
      <c r="AG98" s="17" t="str">
        <f aca="false">IF((E98="y"),H98," ")</f>
        <v> </v>
      </c>
      <c r="AH98" s="17" t="str">
        <f aca="false">IF((E98="z"),H98," ")</f>
        <v> </v>
      </c>
      <c r="AI98" s="17" t="str">
        <f aca="false">IF((E98="fa"),H98," ")</f>
        <v> </v>
      </c>
      <c r="AJ98" s="17" t="str">
        <f aca="false">IF((E98="e"),H98," ")</f>
        <v> </v>
      </c>
    </row>
    <row r="99" customFormat="false" ht="12" hidden="false" customHeight="false" outlineLevel="0" collapsed="false">
      <c r="A99" s="28"/>
      <c r="E99" s="2" t="str">
        <f aca="false">IF((F99&lt;&gt;0),"Enter Letter"," ")</f>
        <v> </v>
      </c>
      <c r="F99" s="30"/>
      <c r="G99" s="6" t="str">
        <f aca="false">IF(F99&lt;&gt;0,F99*G$2/(100+G$2)," ")</f>
        <v> </v>
      </c>
      <c r="H99" s="6" t="str">
        <f aca="false">IF((F99&lt;&gt;0),F99-G99," ")</f>
        <v> </v>
      </c>
      <c r="I99" s="5"/>
      <c r="L99" s="7" t="str">
        <f aca="false">IF(F99&lt;&gt;0,F99-K99," ")</f>
        <v> </v>
      </c>
      <c r="M99" s="8" t="str">
        <f aca="false">IF((F99-K99)&lt;&gt;0,M$1-A99," ")</f>
        <v> </v>
      </c>
      <c r="N99" s="5"/>
      <c r="O99" s="17" t="str">
        <f aca="false">IF((E99="s"),H99," ")</f>
        <v> </v>
      </c>
      <c r="P99" s="17" t="str">
        <f aca="false">IF((E99="c"),H99," ")</f>
        <v> </v>
      </c>
      <c r="Q99" s="17" t="str">
        <f aca="false">IF((E99="o"),H99," ")</f>
        <v> </v>
      </c>
      <c r="R99" s="17" t="str">
        <f aca="false">IF((E99="d"),H99," ")</f>
        <v> </v>
      </c>
      <c r="S99" s="17" t="str">
        <f aca="false">IF((E99="w"),H99," ")</f>
        <v> </v>
      </c>
      <c r="T99" s="17" t="str">
        <f aca="false">IF((E99="r"),H99," ")</f>
        <v> </v>
      </c>
      <c r="U99" s="17" t="str">
        <f aca="false">IF((E99="p"),H99," ")</f>
        <v> </v>
      </c>
      <c r="V99" s="17" t="str">
        <f aca="false">IF((E99="t"),H99," ")</f>
        <v> </v>
      </c>
      <c r="W99" s="17" t="str">
        <f aca="false">IF((E99="q"),H99," ")</f>
        <v> </v>
      </c>
      <c r="X99" s="17" t="str">
        <f aca="false">IF((E99="m"),H99," ")</f>
        <v> </v>
      </c>
      <c r="Y99" s="17" t="str">
        <f aca="false">IF((E99="u"),H99," ")</f>
        <v> </v>
      </c>
      <c r="Z99" s="17" t="str">
        <f aca="false">IF((E99="a"),H99," ")</f>
        <v> </v>
      </c>
      <c r="AA99" s="17" t="str">
        <f aca="false">IF((E99="g"),H99," ")</f>
        <v> </v>
      </c>
      <c r="AB99" s="17" t="str">
        <f aca="false">IF((E99="h"),H99," ")</f>
        <v> </v>
      </c>
      <c r="AC99" s="30" t="str">
        <f aca="false">IF((E99="v"),H99," ")</f>
        <v> </v>
      </c>
      <c r="AD99" s="30" t="str">
        <f aca="false">IF((E99="n"),H99," ")</f>
        <v> </v>
      </c>
      <c r="AE99" s="17" t="str">
        <f aca="false">IF((E99="f"),H99," ")</f>
        <v> </v>
      </c>
      <c r="AF99" s="17" t="str">
        <f aca="false">IF((E99="l"),H99," ")</f>
        <v> </v>
      </c>
      <c r="AG99" s="17" t="str">
        <f aca="false">IF((E99="y"),H99," ")</f>
        <v> </v>
      </c>
      <c r="AH99" s="17" t="str">
        <f aca="false">IF((E99="z"),H99," ")</f>
        <v> </v>
      </c>
      <c r="AI99" s="17" t="str">
        <f aca="false">IF((E99="fa"),H99," ")</f>
        <v> </v>
      </c>
      <c r="AJ99" s="17" t="str">
        <f aca="false">IF((E99="e"),H99," ")</f>
        <v> </v>
      </c>
    </row>
    <row r="100" customFormat="false" ht="12" hidden="false" customHeight="false" outlineLevel="0" collapsed="false">
      <c r="A100" s="28"/>
      <c r="E100" s="2" t="str">
        <f aca="false">IF((F100&lt;&gt;0),"Enter Letter"," ")</f>
        <v> </v>
      </c>
      <c r="F100" s="30"/>
      <c r="G100" s="6" t="str">
        <f aca="false">IF(F100&lt;&gt;0,F100*G$2/(100+G$2)," ")</f>
        <v> </v>
      </c>
      <c r="H100" s="6" t="str">
        <f aca="false">IF((F100&lt;&gt;0),F100-G100," ")</f>
        <v> </v>
      </c>
      <c r="I100" s="5"/>
      <c r="L100" s="7" t="str">
        <f aca="false">IF(F100&lt;&gt;0,F100-K100," ")</f>
        <v> </v>
      </c>
      <c r="M100" s="8" t="str">
        <f aca="false">IF((F100-K100)&lt;&gt;0,M$1-A100," ")</f>
        <v> </v>
      </c>
      <c r="N100" s="5"/>
      <c r="O100" s="17" t="str">
        <f aca="false">IF((E100="s"),H100," ")</f>
        <v> </v>
      </c>
      <c r="P100" s="17" t="str">
        <f aca="false">IF((E100="c"),H100," ")</f>
        <v> </v>
      </c>
      <c r="Q100" s="17" t="str">
        <f aca="false">IF((E100="o"),H100," ")</f>
        <v> </v>
      </c>
      <c r="R100" s="17" t="str">
        <f aca="false">IF((E100="d"),H100," ")</f>
        <v> </v>
      </c>
      <c r="S100" s="17" t="str">
        <f aca="false">IF((E100="w"),H100," ")</f>
        <v> </v>
      </c>
      <c r="T100" s="17" t="str">
        <f aca="false">IF((E100="r"),H100," ")</f>
        <v> </v>
      </c>
      <c r="U100" s="17" t="str">
        <f aca="false">IF((E100="p"),H100," ")</f>
        <v> </v>
      </c>
      <c r="V100" s="17" t="str">
        <f aca="false">IF((E100="t"),H100," ")</f>
        <v> </v>
      </c>
      <c r="W100" s="17" t="str">
        <f aca="false">IF((E100="q"),H100," ")</f>
        <v> </v>
      </c>
      <c r="X100" s="17" t="str">
        <f aca="false">IF((E100="m"),H100," ")</f>
        <v> </v>
      </c>
      <c r="Y100" s="17" t="str">
        <f aca="false">IF((E100="u"),H100," ")</f>
        <v> </v>
      </c>
      <c r="Z100" s="17" t="str">
        <f aca="false">IF((E100="a"),H100," ")</f>
        <v> </v>
      </c>
      <c r="AA100" s="17" t="str">
        <f aca="false">IF((E100="g"),H100," ")</f>
        <v> </v>
      </c>
      <c r="AB100" s="17" t="str">
        <f aca="false">IF((E100="h"),H100," ")</f>
        <v> </v>
      </c>
      <c r="AC100" s="30" t="str">
        <f aca="false">IF((E100="v"),H100," ")</f>
        <v> </v>
      </c>
      <c r="AD100" s="30" t="str">
        <f aca="false">IF((E100="n"),H100," ")</f>
        <v> </v>
      </c>
      <c r="AE100" s="17" t="str">
        <f aca="false">IF((E100="f"),H100," ")</f>
        <v> </v>
      </c>
      <c r="AF100" s="17" t="str">
        <f aca="false">IF((E100="l"),H100," ")</f>
        <v> </v>
      </c>
      <c r="AG100" s="17" t="str">
        <f aca="false">IF((E100="y"),H100," ")</f>
        <v> </v>
      </c>
      <c r="AH100" s="17" t="str">
        <f aca="false">IF((E100="z"),H100," ")</f>
        <v> </v>
      </c>
      <c r="AI100" s="17" t="str">
        <f aca="false">IF((E100="fa"),H100," ")</f>
        <v> </v>
      </c>
      <c r="AJ100" s="17" t="str">
        <f aca="false">IF((E100="e"),H100," ")</f>
        <v> </v>
      </c>
    </row>
    <row r="101" customFormat="false" ht="12" hidden="false" customHeight="false" outlineLevel="0" collapsed="false">
      <c r="A101" s="28"/>
      <c r="E101" s="2" t="str">
        <f aca="false">IF((F101&lt;&gt;0),"Enter Letter"," ")</f>
        <v> </v>
      </c>
      <c r="F101" s="30"/>
      <c r="G101" s="6" t="str">
        <f aca="false">IF(F101&lt;&gt;0,F101*G$2/(100+G$2)," ")</f>
        <v> </v>
      </c>
      <c r="H101" s="6" t="str">
        <f aca="false">IF((F101&lt;&gt;0),F101-G101," ")</f>
        <v> </v>
      </c>
      <c r="I101" s="5"/>
      <c r="L101" s="7" t="str">
        <f aca="false">IF(F101&lt;&gt;0,F101-K101," ")</f>
        <v> </v>
      </c>
      <c r="M101" s="8" t="str">
        <f aca="false">IF((F101-K101)&lt;&gt;0,M$1-A101," ")</f>
        <v> </v>
      </c>
      <c r="N101" s="5"/>
      <c r="O101" s="17" t="str">
        <f aca="false">IF((E101="s"),H101," ")</f>
        <v> </v>
      </c>
      <c r="P101" s="17" t="str">
        <f aca="false">IF((E101="c"),H101," ")</f>
        <v> </v>
      </c>
      <c r="Q101" s="17" t="str">
        <f aca="false">IF((E101="o"),H101," ")</f>
        <v> </v>
      </c>
      <c r="R101" s="17" t="str">
        <f aca="false">IF((E101="d"),H101," ")</f>
        <v> </v>
      </c>
      <c r="S101" s="17" t="str">
        <f aca="false">IF((E101="w"),H101," ")</f>
        <v> </v>
      </c>
      <c r="T101" s="17" t="str">
        <f aca="false">IF((E101="r"),H101," ")</f>
        <v> </v>
      </c>
      <c r="U101" s="17" t="str">
        <f aca="false">IF((E101="p"),H101," ")</f>
        <v> </v>
      </c>
      <c r="V101" s="17" t="str">
        <f aca="false">IF((E101="t"),H101," ")</f>
        <v> </v>
      </c>
      <c r="W101" s="17" t="str">
        <f aca="false">IF((E101="q"),H101," ")</f>
        <v> </v>
      </c>
      <c r="X101" s="17" t="str">
        <f aca="false">IF((E101="m"),H101," ")</f>
        <v> </v>
      </c>
      <c r="Y101" s="17" t="str">
        <f aca="false">IF((E101="u"),H101," ")</f>
        <v> </v>
      </c>
      <c r="Z101" s="17" t="str">
        <f aca="false">IF((E101="a"),H101," ")</f>
        <v> </v>
      </c>
      <c r="AA101" s="17" t="str">
        <f aca="false">IF((E101="g"),H101," ")</f>
        <v> </v>
      </c>
      <c r="AB101" s="17" t="str">
        <f aca="false">IF((E101="h"),H101," ")</f>
        <v> </v>
      </c>
      <c r="AC101" s="30" t="str">
        <f aca="false">IF((E101="v"),H101," ")</f>
        <v> </v>
      </c>
      <c r="AD101" s="30" t="str">
        <f aca="false">IF((E101="n"),H101," ")</f>
        <v> </v>
      </c>
      <c r="AE101" s="17" t="str">
        <f aca="false">IF((E101="f"),H101," ")</f>
        <v> </v>
      </c>
      <c r="AF101" s="17" t="str">
        <f aca="false">IF((E101="l"),H101," ")</f>
        <v> </v>
      </c>
      <c r="AG101" s="17" t="str">
        <f aca="false">IF((E101="y"),H101," ")</f>
        <v> </v>
      </c>
      <c r="AH101" s="17" t="str">
        <f aca="false">IF((E101="z"),H101," ")</f>
        <v> </v>
      </c>
      <c r="AI101" s="17" t="str">
        <f aca="false">IF((E101="fa"),H101," ")</f>
        <v> </v>
      </c>
      <c r="AJ101" s="17" t="str">
        <f aca="false">IF((E101="e"),H101," ")</f>
        <v> </v>
      </c>
    </row>
    <row r="102" customFormat="false" ht="12" hidden="false" customHeight="false" outlineLevel="0" collapsed="false">
      <c r="A102" s="28"/>
      <c r="E102" s="2" t="str">
        <f aca="false">IF((F102&lt;&gt;0),"Enter Letter"," ")</f>
        <v> </v>
      </c>
      <c r="F102" s="30"/>
      <c r="G102" s="6" t="str">
        <f aca="false">IF(F102&lt;&gt;0,F102*G$2/(100+G$2)," ")</f>
        <v> </v>
      </c>
      <c r="H102" s="6" t="str">
        <f aca="false">IF((F102&lt;&gt;0),F102-G102," ")</f>
        <v> </v>
      </c>
      <c r="I102" s="5"/>
      <c r="L102" s="7" t="str">
        <f aca="false">IF(F102&lt;&gt;0,F102-K102," ")</f>
        <v> </v>
      </c>
      <c r="M102" s="8" t="str">
        <f aca="false">IF((F102-K102)&lt;&gt;0,M$1-A102," ")</f>
        <v> </v>
      </c>
      <c r="N102" s="5"/>
      <c r="O102" s="17" t="str">
        <f aca="false">IF((E102="s"),H102," ")</f>
        <v> </v>
      </c>
      <c r="P102" s="17" t="str">
        <f aca="false">IF((E102="c"),H102," ")</f>
        <v> </v>
      </c>
      <c r="Q102" s="17" t="str">
        <f aca="false">IF((E102="o"),H102," ")</f>
        <v> </v>
      </c>
      <c r="R102" s="17" t="str">
        <f aca="false">IF((E102="d"),H102," ")</f>
        <v> </v>
      </c>
      <c r="S102" s="17" t="str">
        <f aca="false">IF((E102="w"),H102," ")</f>
        <v> </v>
      </c>
      <c r="T102" s="17" t="str">
        <f aca="false">IF((E102="r"),H102," ")</f>
        <v> </v>
      </c>
      <c r="U102" s="17" t="str">
        <f aca="false">IF((E102="p"),H102," ")</f>
        <v> </v>
      </c>
      <c r="V102" s="17" t="str">
        <f aca="false">IF((E102="t"),H102," ")</f>
        <v> </v>
      </c>
      <c r="W102" s="17" t="str">
        <f aca="false">IF((E102="q"),H102," ")</f>
        <v> </v>
      </c>
      <c r="X102" s="17" t="str">
        <f aca="false">IF((E102="m"),H102," ")</f>
        <v> </v>
      </c>
      <c r="Y102" s="17" t="str">
        <f aca="false">IF((E102="u"),H102," ")</f>
        <v> </v>
      </c>
      <c r="Z102" s="17" t="str">
        <f aca="false">IF((E102="a"),H102," ")</f>
        <v> </v>
      </c>
      <c r="AA102" s="17" t="str">
        <f aca="false">IF((E102="g"),H102," ")</f>
        <v> </v>
      </c>
      <c r="AB102" s="17" t="str">
        <f aca="false">IF((E102="h"),H102," ")</f>
        <v> </v>
      </c>
      <c r="AC102" s="30" t="str">
        <f aca="false">IF((E102="v"),H102," ")</f>
        <v> </v>
      </c>
      <c r="AD102" s="30" t="str">
        <f aca="false">IF((E102="n"),H102," ")</f>
        <v> </v>
      </c>
      <c r="AE102" s="17" t="str">
        <f aca="false">IF((E102="f"),H102," ")</f>
        <v> </v>
      </c>
      <c r="AF102" s="17" t="str">
        <f aca="false">IF((E102="l"),H102," ")</f>
        <v> </v>
      </c>
      <c r="AG102" s="17" t="str">
        <f aca="false">IF((E102="y"),H102," ")</f>
        <v> </v>
      </c>
      <c r="AH102" s="17" t="str">
        <f aca="false">IF((E102="z"),H102," ")</f>
        <v> </v>
      </c>
      <c r="AI102" s="17" t="str">
        <f aca="false">IF((E102="fa"),H102," ")</f>
        <v> </v>
      </c>
      <c r="AJ102" s="17" t="str">
        <f aca="false">IF((E102="e"),H102," ")</f>
        <v> </v>
      </c>
    </row>
    <row r="103" customFormat="false" ht="12" hidden="false" customHeight="false" outlineLevel="0" collapsed="false">
      <c r="A103" s="28"/>
      <c r="E103" s="2" t="str">
        <f aca="false">IF((F103&lt;&gt;0),"Enter Letter"," ")</f>
        <v> </v>
      </c>
      <c r="F103" s="30"/>
      <c r="G103" s="6" t="str">
        <f aca="false">IF(F103&lt;&gt;0,F103*G$2/(100+G$2)," ")</f>
        <v> </v>
      </c>
      <c r="H103" s="6" t="str">
        <f aca="false">IF((F103&lt;&gt;0),F103-G103," ")</f>
        <v> </v>
      </c>
      <c r="I103" s="5"/>
      <c r="L103" s="7" t="str">
        <f aca="false">IF(F103&lt;&gt;0,F103-K103," ")</f>
        <v> </v>
      </c>
      <c r="M103" s="8" t="str">
        <f aca="false">IF((F103-K103)&lt;&gt;0,M$1-A103," ")</f>
        <v> </v>
      </c>
      <c r="N103" s="5"/>
      <c r="O103" s="17" t="str">
        <f aca="false">IF((E103="s"),H103," ")</f>
        <v> </v>
      </c>
      <c r="P103" s="17" t="str">
        <f aca="false">IF((E103="c"),H103," ")</f>
        <v> </v>
      </c>
      <c r="Q103" s="17" t="str">
        <f aca="false">IF((E103="o"),H103," ")</f>
        <v> </v>
      </c>
      <c r="R103" s="17" t="str">
        <f aca="false">IF((E103="d"),H103," ")</f>
        <v> </v>
      </c>
      <c r="S103" s="17" t="str">
        <f aca="false">IF((E103="w"),H103," ")</f>
        <v> </v>
      </c>
      <c r="T103" s="17" t="str">
        <f aca="false">IF((E103="r"),H103," ")</f>
        <v> </v>
      </c>
      <c r="U103" s="17" t="str">
        <f aca="false">IF((E103="p"),H103," ")</f>
        <v> </v>
      </c>
      <c r="V103" s="17" t="str">
        <f aca="false">IF((E103="t"),H103," ")</f>
        <v> </v>
      </c>
      <c r="W103" s="17" t="str">
        <f aca="false">IF((E103="q"),H103," ")</f>
        <v> </v>
      </c>
      <c r="X103" s="17" t="str">
        <f aca="false">IF((E103="m"),H103," ")</f>
        <v> </v>
      </c>
      <c r="Y103" s="17" t="str">
        <f aca="false">IF((E103="u"),H103," ")</f>
        <v> </v>
      </c>
      <c r="Z103" s="17" t="str">
        <f aca="false">IF((E103="a"),H103," ")</f>
        <v> </v>
      </c>
      <c r="AA103" s="17" t="str">
        <f aca="false">IF((E103="g"),H103," ")</f>
        <v> </v>
      </c>
      <c r="AB103" s="17" t="str">
        <f aca="false">IF((E103="h"),H103," ")</f>
        <v> </v>
      </c>
      <c r="AC103" s="30" t="str">
        <f aca="false">IF((E103="v"),H103," ")</f>
        <v> </v>
      </c>
      <c r="AD103" s="30" t="str">
        <f aca="false">IF((E103="n"),H103," ")</f>
        <v> </v>
      </c>
      <c r="AE103" s="17" t="str">
        <f aca="false">IF((E103="f"),H103," ")</f>
        <v> </v>
      </c>
      <c r="AF103" s="17" t="str">
        <f aca="false">IF((E103="l"),H103," ")</f>
        <v> </v>
      </c>
      <c r="AG103" s="17" t="str">
        <f aca="false">IF((E103="y"),H103," ")</f>
        <v> </v>
      </c>
      <c r="AH103" s="17" t="str">
        <f aca="false">IF((E103="z"),H103," ")</f>
        <v> </v>
      </c>
      <c r="AI103" s="17" t="str">
        <f aca="false">IF((E103="fa"),H103," ")</f>
        <v> </v>
      </c>
      <c r="AJ103" s="17" t="str">
        <f aca="false">IF((E103="e"),H103," ")</f>
        <v> </v>
      </c>
    </row>
    <row r="104" customFormat="false" ht="12" hidden="false" customHeight="false" outlineLevel="0" collapsed="false">
      <c r="A104" s="28"/>
      <c r="E104" s="2" t="str">
        <f aca="false">IF((F104&lt;&gt;0),"Enter Letter"," ")</f>
        <v> </v>
      </c>
      <c r="F104" s="30"/>
      <c r="G104" s="6" t="str">
        <f aca="false">IF(F104&lt;&gt;0,F104*G$2/(100+G$2)," ")</f>
        <v> </v>
      </c>
      <c r="H104" s="6" t="str">
        <f aca="false">IF((F104&lt;&gt;0),F104-G104," ")</f>
        <v> </v>
      </c>
      <c r="I104" s="5"/>
      <c r="L104" s="7" t="str">
        <f aca="false">IF(F104&lt;&gt;0,F104-K104," ")</f>
        <v> </v>
      </c>
      <c r="M104" s="8" t="str">
        <f aca="false">IF((F104-K104)&lt;&gt;0,M$1-A104," ")</f>
        <v> </v>
      </c>
      <c r="N104" s="5"/>
      <c r="O104" s="17" t="str">
        <f aca="false">IF((E104="s"),H104," ")</f>
        <v> </v>
      </c>
      <c r="P104" s="17" t="str">
        <f aca="false">IF((E104="c"),H104," ")</f>
        <v> </v>
      </c>
      <c r="Q104" s="17" t="str">
        <f aca="false">IF((E104="o"),H104," ")</f>
        <v> </v>
      </c>
      <c r="R104" s="17" t="str">
        <f aca="false">IF((E104="d"),H104," ")</f>
        <v> </v>
      </c>
      <c r="S104" s="17" t="str">
        <f aca="false">IF((E104="w"),H104," ")</f>
        <v> </v>
      </c>
      <c r="T104" s="17" t="str">
        <f aca="false">IF((E104="r"),H104," ")</f>
        <v> </v>
      </c>
      <c r="U104" s="17" t="str">
        <f aca="false">IF((E104="p"),H104," ")</f>
        <v> </v>
      </c>
      <c r="V104" s="17" t="str">
        <f aca="false">IF((E104="t"),H104," ")</f>
        <v> </v>
      </c>
      <c r="W104" s="17" t="str">
        <f aca="false">IF((E104="q"),H104," ")</f>
        <v> </v>
      </c>
      <c r="X104" s="17" t="str">
        <f aca="false">IF((E104="m"),H104," ")</f>
        <v> </v>
      </c>
      <c r="Y104" s="17" t="str">
        <f aca="false">IF((E104="u"),H104," ")</f>
        <v> </v>
      </c>
      <c r="Z104" s="17" t="str">
        <f aca="false">IF((E104="a"),H104," ")</f>
        <v> </v>
      </c>
      <c r="AA104" s="17" t="str">
        <f aca="false">IF((E104="g"),H104," ")</f>
        <v> </v>
      </c>
      <c r="AB104" s="17" t="str">
        <f aca="false">IF((E104="h"),H104," ")</f>
        <v> </v>
      </c>
      <c r="AC104" s="30" t="str">
        <f aca="false">IF((E104="v"),H104," ")</f>
        <v> </v>
      </c>
      <c r="AD104" s="30" t="str">
        <f aca="false">IF((E104="n"),H104," ")</f>
        <v> </v>
      </c>
      <c r="AE104" s="17" t="str">
        <f aca="false">IF((E104="f"),H104," ")</f>
        <v> </v>
      </c>
      <c r="AF104" s="17" t="str">
        <f aca="false">IF((E104="l"),H104," ")</f>
        <v> </v>
      </c>
      <c r="AG104" s="17" t="str">
        <f aca="false">IF((E104="y"),H104," ")</f>
        <v> </v>
      </c>
      <c r="AH104" s="17" t="str">
        <f aca="false">IF((E104="z"),H104," ")</f>
        <v> </v>
      </c>
      <c r="AI104" s="17" t="str">
        <f aca="false">IF((E104="fa"),H104," ")</f>
        <v> </v>
      </c>
      <c r="AJ104" s="17" t="str">
        <f aca="false">IF((E104="e"),H104," ")</f>
        <v> </v>
      </c>
    </row>
    <row r="105" customFormat="false" ht="12" hidden="false" customHeight="false" outlineLevel="0" collapsed="false">
      <c r="A105" s="28"/>
      <c r="E105" s="2" t="str">
        <f aca="false">IF((F105&lt;&gt;0),"Enter Letter"," ")</f>
        <v> </v>
      </c>
      <c r="F105" s="30"/>
      <c r="G105" s="6" t="str">
        <f aca="false">IF(F105&lt;&gt;0,F105*G$2/(100+G$2)," ")</f>
        <v> </v>
      </c>
      <c r="H105" s="6" t="str">
        <f aca="false">IF((F105&lt;&gt;0),F105-G105," ")</f>
        <v> </v>
      </c>
      <c r="I105" s="5"/>
      <c r="L105" s="7" t="str">
        <f aca="false">IF(F105&lt;&gt;0,F105-K105," ")</f>
        <v> </v>
      </c>
      <c r="M105" s="8" t="str">
        <f aca="false">IF((F105-K105)&lt;&gt;0,M$1-A105," ")</f>
        <v> </v>
      </c>
      <c r="N105" s="5"/>
      <c r="O105" s="17" t="str">
        <f aca="false">IF((E105="s"),H105," ")</f>
        <v> </v>
      </c>
      <c r="P105" s="17" t="str">
        <f aca="false">IF((E105="c"),H105," ")</f>
        <v> </v>
      </c>
      <c r="Q105" s="17" t="str">
        <f aca="false">IF((E105="o"),H105," ")</f>
        <v> </v>
      </c>
      <c r="R105" s="17" t="str">
        <f aca="false">IF((E105="d"),H105," ")</f>
        <v> </v>
      </c>
      <c r="S105" s="17" t="str">
        <f aca="false">IF((E105="w"),H105," ")</f>
        <v> </v>
      </c>
      <c r="T105" s="17" t="str">
        <f aca="false">IF((E105="r"),H105," ")</f>
        <v> </v>
      </c>
      <c r="U105" s="17" t="str">
        <f aca="false">IF((E105="p"),H105," ")</f>
        <v> </v>
      </c>
      <c r="V105" s="17" t="str">
        <f aca="false">IF((E105="t"),H105," ")</f>
        <v> </v>
      </c>
      <c r="W105" s="17" t="str">
        <f aca="false">IF((E105="q"),H105," ")</f>
        <v> </v>
      </c>
      <c r="X105" s="17" t="str">
        <f aca="false">IF((E105="m"),H105," ")</f>
        <v> </v>
      </c>
      <c r="Y105" s="17" t="str">
        <f aca="false">IF((E105="u"),H105," ")</f>
        <v> </v>
      </c>
      <c r="Z105" s="17" t="str">
        <f aca="false">IF((E105="a"),H105," ")</f>
        <v> </v>
      </c>
      <c r="AA105" s="17" t="str">
        <f aca="false">IF((E105="g"),H105," ")</f>
        <v> </v>
      </c>
      <c r="AB105" s="17" t="str">
        <f aca="false">IF((E105="h"),H105," ")</f>
        <v> </v>
      </c>
      <c r="AC105" s="30" t="str">
        <f aca="false">IF((E105="v"),H105," ")</f>
        <v> </v>
      </c>
      <c r="AD105" s="30" t="str">
        <f aca="false">IF((E105="n"),H105," ")</f>
        <v> </v>
      </c>
      <c r="AE105" s="17" t="str">
        <f aca="false">IF((E105="f"),H105," ")</f>
        <v> </v>
      </c>
      <c r="AF105" s="17" t="str">
        <f aca="false">IF((E105="l"),H105," ")</f>
        <v> </v>
      </c>
      <c r="AG105" s="17" t="str">
        <f aca="false">IF((E105="y"),H105," ")</f>
        <v> </v>
      </c>
      <c r="AH105" s="17" t="str">
        <f aca="false">IF((E105="z"),H105," ")</f>
        <v> </v>
      </c>
      <c r="AI105" s="17" t="str">
        <f aca="false">IF((E105="fa"),H105," ")</f>
        <v> </v>
      </c>
      <c r="AJ105" s="17" t="str">
        <f aca="false">IF((E105="e"),H105," ")</f>
        <v> </v>
      </c>
    </row>
    <row r="106" customFormat="false" ht="12" hidden="false" customHeight="false" outlineLevel="0" collapsed="false">
      <c r="A106" s="28"/>
      <c r="E106" s="2" t="str">
        <f aca="false">IF((F106&lt;&gt;0),"Enter Letter"," ")</f>
        <v> </v>
      </c>
      <c r="F106" s="30"/>
      <c r="G106" s="6" t="str">
        <f aca="false">IF(F106&lt;&gt;0,F106*G$2/(100+G$2)," ")</f>
        <v> </v>
      </c>
      <c r="H106" s="6" t="str">
        <f aca="false">IF((F106&lt;&gt;0),F106-G106," ")</f>
        <v> </v>
      </c>
      <c r="I106" s="5"/>
      <c r="L106" s="7" t="str">
        <f aca="false">IF(F106&lt;&gt;0,F106-K106," ")</f>
        <v> </v>
      </c>
      <c r="M106" s="8" t="str">
        <f aca="false">IF((F106-K106)&lt;&gt;0,M$1-A106," ")</f>
        <v> </v>
      </c>
      <c r="N106" s="5"/>
      <c r="O106" s="17" t="str">
        <f aca="false">IF((E106="s"),H106," ")</f>
        <v> </v>
      </c>
      <c r="P106" s="17" t="str">
        <f aca="false">IF((E106="c"),H106," ")</f>
        <v> </v>
      </c>
      <c r="Q106" s="17" t="str">
        <f aca="false">IF((E106="o"),H106," ")</f>
        <v> </v>
      </c>
      <c r="R106" s="17" t="str">
        <f aca="false">IF((E106="d"),H106," ")</f>
        <v> </v>
      </c>
      <c r="S106" s="17" t="str">
        <f aca="false">IF((E106="w"),H106," ")</f>
        <v> </v>
      </c>
      <c r="T106" s="17" t="str">
        <f aca="false">IF((E106="r"),H106," ")</f>
        <v> </v>
      </c>
      <c r="U106" s="17" t="str">
        <f aca="false">IF((E106="p"),H106," ")</f>
        <v> </v>
      </c>
      <c r="V106" s="17" t="str">
        <f aca="false">IF((E106="t"),H106," ")</f>
        <v> </v>
      </c>
      <c r="W106" s="17" t="str">
        <f aca="false">IF((E106="q"),H106," ")</f>
        <v> </v>
      </c>
      <c r="X106" s="17" t="str">
        <f aca="false">IF((E106="m"),H106," ")</f>
        <v> </v>
      </c>
      <c r="Y106" s="17" t="str">
        <f aca="false">IF((E106="u"),H106," ")</f>
        <v> </v>
      </c>
      <c r="Z106" s="17" t="str">
        <f aca="false">IF((E106="a"),H106," ")</f>
        <v> </v>
      </c>
      <c r="AA106" s="17" t="str">
        <f aca="false">IF((E106="g"),H106," ")</f>
        <v> </v>
      </c>
      <c r="AB106" s="17" t="str">
        <f aca="false">IF((E106="h"),H106," ")</f>
        <v> </v>
      </c>
      <c r="AC106" s="30" t="str">
        <f aca="false">IF((E106="v"),H106," ")</f>
        <v> </v>
      </c>
      <c r="AD106" s="30" t="str">
        <f aca="false">IF((E106="n"),H106," ")</f>
        <v> </v>
      </c>
      <c r="AE106" s="17" t="str">
        <f aca="false">IF((E106="f"),H106," ")</f>
        <v> </v>
      </c>
      <c r="AF106" s="17" t="str">
        <f aca="false">IF((E106="l"),H106," ")</f>
        <v> </v>
      </c>
      <c r="AG106" s="17" t="str">
        <f aca="false">IF((E106="y"),H106," ")</f>
        <v> </v>
      </c>
      <c r="AH106" s="17" t="str">
        <f aca="false">IF((E106="z"),H106," ")</f>
        <v> </v>
      </c>
      <c r="AI106" s="17" t="str">
        <f aca="false">IF((E106="fa"),H106," ")</f>
        <v> </v>
      </c>
      <c r="AJ106" s="17" t="str">
        <f aca="false">IF((E106="e"),H106," ")</f>
        <v> </v>
      </c>
    </row>
    <row r="107" customFormat="false" ht="12" hidden="false" customHeight="false" outlineLevel="0" collapsed="false">
      <c r="A107" s="28"/>
      <c r="E107" s="2" t="str">
        <f aca="false">IF((F107&lt;&gt;0),"Enter Letter"," ")</f>
        <v> </v>
      </c>
      <c r="F107" s="30"/>
      <c r="G107" s="6" t="str">
        <f aca="false">IF(F107&lt;&gt;0,F107*G$2/(100+G$2)," ")</f>
        <v> </v>
      </c>
      <c r="H107" s="6" t="str">
        <f aca="false">IF((F107&lt;&gt;0),F107-G107," ")</f>
        <v> </v>
      </c>
      <c r="I107" s="5"/>
      <c r="L107" s="7" t="str">
        <f aca="false">IF(F107&lt;&gt;0,F107-K107," ")</f>
        <v> </v>
      </c>
      <c r="M107" s="8" t="str">
        <f aca="false">IF((F107-K107)&lt;&gt;0,M$1-A107," ")</f>
        <v> </v>
      </c>
      <c r="N107" s="5"/>
      <c r="O107" s="17" t="str">
        <f aca="false">IF((E107="s"),H107," ")</f>
        <v> </v>
      </c>
      <c r="P107" s="17" t="str">
        <f aca="false">IF((E107="c"),H107," ")</f>
        <v> </v>
      </c>
      <c r="Q107" s="17" t="str">
        <f aca="false">IF((E107="o"),H107," ")</f>
        <v> </v>
      </c>
      <c r="R107" s="17" t="str">
        <f aca="false">IF((E107="d"),H107," ")</f>
        <v> </v>
      </c>
      <c r="S107" s="17" t="str">
        <f aca="false">IF((E107="w"),H107," ")</f>
        <v> </v>
      </c>
      <c r="T107" s="17" t="str">
        <f aca="false">IF((E107="r"),H107," ")</f>
        <v> </v>
      </c>
      <c r="U107" s="17" t="str">
        <f aca="false">IF((E107="p"),H107," ")</f>
        <v> </v>
      </c>
      <c r="V107" s="17" t="str">
        <f aca="false">IF((E107="t"),H107," ")</f>
        <v> </v>
      </c>
      <c r="W107" s="17" t="str">
        <f aca="false">IF((E107="q"),H107," ")</f>
        <v> </v>
      </c>
      <c r="X107" s="17" t="str">
        <f aca="false">IF((E107="m"),H107," ")</f>
        <v> </v>
      </c>
      <c r="Y107" s="17" t="str">
        <f aca="false">IF((E107="u"),H107," ")</f>
        <v> </v>
      </c>
      <c r="Z107" s="17" t="str">
        <f aca="false">IF((E107="a"),H107," ")</f>
        <v> </v>
      </c>
      <c r="AA107" s="17" t="str">
        <f aca="false">IF((E107="g"),H107," ")</f>
        <v> </v>
      </c>
      <c r="AB107" s="17" t="str">
        <f aca="false">IF((E107="h"),H107," ")</f>
        <v> </v>
      </c>
      <c r="AC107" s="30" t="str">
        <f aca="false">IF((E107="v"),H107," ")</f>
        <v> </v>
      </c>
      <c r="AD107" s="30" t="str">
        <f aca="false">IF((E107="n"),H107," ")</f>
        <v> </v>
      </c>
      <c r="AE107" s="17" t="str">
        <f aca="false">IF((E107="f"),H107," ")</f>
        <v> </v>
      </c>
      <c r="AF107" s="17" t="str">
        <f aca="false">IF((E107="l"),H107," ")</f>
        <v> </v>
      </c>
      <c r="AG107" s="17" t="str">
        <f aca="false">IF((E107="y"),H107," ")</f>
        <v> </v>
      </c>
      <c r="AH107" s="17" t="str">
        <f aca="false">IF((E107="z"),H107," ")</f>
        <v> </v>
      </c>
      <c r="AI107" s="17" t="str">
        <f aca="false">IF((E107="fa"),H107," ")</f>
        <v> </v>
      </c>
      <c r="AJ107" s="17" t="str">
        <f aca="false">IF((E107="e"),H107," ")</f>
        <v> </v>
      </c>
    </row>
    <row r="108" customFormat="false" ht="12" hidden="false" customHeight="false" outlineLevel="0" collapsed="false">
      <c r="A108" s="28"/>
      <c r="E108" s="2" t="str">
        <f aca="false">IF((F108&lt;&gt;0),"Enter Letter"," ")</f>
        <v> </v>
      </c>
      <c r="F108" s="30"/>
      <c r="G108" s="6" t="str">
        <f aca="false">IF(F108&lt;&gt;0,F108*G$2/(100+G$2)," ")</f>
        <v> </v>
      </c>
      <c r="H108" s="6" t="str">
        <f aca="false">IF((F108&lt;&gt;0),F108-G108," ")</f>
        <v> </v>
      </c>
      <c r="I108" s="5"/>
      <c r="L108" s="7" t="str">
        <f aca="false">IF(F108&lt;&gt;0,F108-K108," ")</f>
        <v> </v>
      </c>
      <c r="M108" s="8" t="str">
        <f aca="false">IF((F108-K108)&lt;&gt;0,M$1-A108," ")</f>
        <v> </v>
      </c>
      <c r="N108" s="5"/>
      <c r="O108" s="17" t="str">
        <f aca="false">IF((E108="s"),H108," ")</f>
        <v> </v>
      </c>
      <c r="P108" s="17" t="str">
        <f aca="false">IF((E108="c"),H108," ")</f>
        <v> </v>
      </c>
      <c r="Q108" s="17" t="str">
        <f aca="false">IF((E108="o"),H108," ")</f>
        <v> </v>
      </c>
      <c r="R108" s="17" t="str">
        <f aca="false">IF((E108="d"),H108," ")</f>
        <v> </v>
      </c>
      <c r="S108" s="17" t="str">
        <f aca="false">IF((E108="w"),H108," ")</f>
        <v> </v>
      </c>
      <c r="T108" s="17" t="str">
        <f aca="false">IF((E108="r"),H108," ")</f>
        <v> </v>
      </c>
      <c r="U108" s="17" t="str">
        <f aca="false">IF((E108="p"),H108," ")</f>
        <v> </v>
      </c>
      <c r="V108" s="17" t="str">
        <f aca="false">IF((E108="t"),H108," ")</f>
        <v> </v>
      </c>
      <c r="W108" s="17" t="str">
        <f aca="false">IF((E108="q"),H108," ")</f>
        <v> </v>
      </c>
      <c r="X108" s="17" t="str">
        <f aca="false">IF((E108="m"),H108," ")</f>
        <v> </v>
      </c>
      <c r="Y108" s="17" t="str">
        <f aca="false">IF((E108="u"),H108," ")</f>
        <v> </v>
      </c>
      <c r="Z108" s="17" t="str">
        <f aca="false">IF((E108="a"),H108," ")</f>
        <v> </v>
      </c>
      <c r="AA108" s="17" t="str">
        <f aca="false">IF((E108="g"),H108," ")</f>
        <v> </v>
      </c>
      <c r="AB108" s="17" t="str">
        <f aca="false">IF((E108="h"),H108," ")</f>
        <v> </v>
      </c>
      <c r="AC108" s="30" t="str">
        <f aca="false">IF((E108="v"),H108," ")</f>
        <v> </v>
      </c>
      <c r="AD108" s="30" t="str">
        <f aca="false">IF((E108="n"),H108," ")</f>
        <v> </v>
      </c>
      <c r="AE108" s="17" t="str">
        <f aca="false">IF((E108="f"),H108," ")</f>
        <v> </v>
      </c>
      <c r="AF108" s="17" t="str">
        <f aca="false">IF((E108="l"),H108," ")</f>
        <v> </v>
      </c>
      <c r="AG108" s="17" t="str">
        <f aca="false">IF((E108="y"),H108," ")</f>
        <v> </v>
      </c>
      <c r="AH108" s="17" t="str">
        <f aca="false">IF((E108="z"),H108," ")</f>
        <v> </v>
      </c>
      <c r="AI108" s="17" t="str">
        <f aca="false">IF((E108="fa"),H108," ")</f>
        <v> </v>
      </c>
      <c r="AJ108" s="17" t="str">
        <f aca="false">IF((E108="e"),H108," ")</f>
        <v> </v>
      </c>
    </row>
    <row r="109" customFormat="false" ht="12" hidden="false" customHeight="false" outlineLevel="0" collapsed="false">
      <c r="A109" s="28"/>
      <c r="E109" s="2" t="str">
        <f aca="false">IF((F109&lt;&gt;0),"Enter Letter"," ")</f>
        <v> </v>
      </c>
      <c r="F109" s="30"/>
      <c r="G109" s="6" t="str">
        <f aca="false">IF(F109&lt;&gt;0,F109*G$2/(100+G$2)," ")</f>
        <v> </v>
      </c>
      <c r="H109" s="6" t="str">
        <f aca="false">IF((F109&lt;&gt;0),F109-G109," ")</f>
        <v> </v>
      </c>
      <c r="I109" s="5"/>
      <c r="L109" s="7" t="str">
        <f aca="false">IF(F109&lt;&gt;0,F109-K109," ")</f>
        <v> </v>
      </c>
      <c r="M109" s="8" t="str">
        <f aca="false">IF((F109-K109)&lt;&gt;0,M$1-A109," ")</f>
        <v> </v>
      </c>
      <c r="N109" s="5"/>
      <c r="O109" s="17" t="str">
        <f aca="false">IF((E109="s"),H109," ")</f>
        <v> </v>
      </c>
      <c r="P109" s="17" t="str">
        <f aca="false">IF((E109="c"),H109," ")</f>
        <v> </v>
      </c>
      <c r="Q109" s="17" t="str">
        <f aca="false">IF((E109="o"),H109," ")</f>
        <v> </v>
      </c>
      <c r="R109" s="17" t="str">
        <f aca="false">IF((E109="d"),H109," ")</f>
        <v> </v>
      </c>
      <c r="S109" s="17" t="str">
        <f aca="false">IF((E109="w"),H109," ")</f>
        <v> </v>
      </c>
      <c r="T109" s="17" t="str">
        <f aca="false">IF((E109="r"),H109," ")</f>
        <v> </v>
      </c>
      <c r="U109" s="17" t="str">
        <f aca="false">IF((E109="p"),H109," ")</f>
        <v> </v>
      </c>
      <c r="V109" s="17" t="str">
        <f aca="false">IF((E109="t"),H109," ")</f>
        <v> </v>
      </c>
      <c r="W109" s="17" t="str">
        <f aca="false">IF((E109="q"),H109," ")</f>
        <v> </v>
      </c>
      <c r="X109" s="17" t="str">
        <f aca="false">IF((E109="m"),H109," ")</f>
        <v> </v>
      </c>
      <c r="Y109" s="17" t="str">
        <f aca="false">IF((E109="u"),H109," ")</f>
        <v> </v>
      </c>
      <c r="Z109" s="17" t="str">
        <f aca="false">IF((E109="a"),H109," ")</f>
        <v> </v>
      </c>
      <c r="AA109" s="17" t="str">
        <f aca="false">IF((E109="g"),H109," ")</f>
        <v> </v>
      </c>
      <c r="AB109" s="17" t="str">
        <f aca="false">IF((E109="h"),H109," ")</f>
        <v> </v>
      </c>
      <c r="AC109" s="30" t="str">
        <f aca="false">IF((E109="v"),H109," ")</f>
        <v> </v>
      </c>
      <c r="AD109" s="30" t="str">
        <f aca="false">IF((E109="n"),H109," ")</f>
        <v> </v>
      </c>
      <c r="AE109" s="17" t="str">
        <f aca="false">IF((E109="f"),H109," ")</f>
        <v> </v>
      </c>
      <c r="AF109" s="17" t="str">
        <f aca="false">IF((E109="l"),H109," ")</f>
        <v> </v>
      </c>
      <c r="AG109" s="17" t="str">
        <f aca="false">IF((E109="y"),H109," ")</f>
        <v> </v>
      </c>
      <c r="AH109" s="17" t="str">
        <f aca="false">IF((E109="z"),H109," ")</f>
        <v> </v>
      </c>
      <c r="AI109" s="17" t="str">
        <f aca="false">IF((E109="fa"),H109," ")</f>
        <v> </v>
      </c>
      <c r="AJ109" s="17" t="str">
        <f aca="false">IF((E109="e"),H109," ")</f>
        <v> </v>
      </c>
    </row>
    <row r="110" customFormat="false" ht="12" hidden="false" customHeight="false" outlineLevel="0" collapsed="false">
      <c r="A110" s="28"/>
      <c r="E110" s="2" t="str">
        <f aca="false">IF((F110&lt;&gt;0),"Enter Letter"," ")</f>
        <v> </v>
      </c>
      <c r="F110" s="30"/>
      <c r="G110" s="6" t="str">
        <f aca="false">IF(F110&lt;&gt;0,F110*G$2/(100+G$2)," ")</f>
        <v> </v>
      </c>
      <c r="H110" s="6" t="str">
        <f aca="false">IF((F110&lt;&gt;0),F110-G110," ")</f>
        <v> </v>
      </c>
      <c r="I110" s="5"/>
      <c r="L110" s="7" t="str">
        <f aca="false">IF(F110&lt;&gt;0,F110-K110," ")</f>
        <v> </v>
      </c>
      <c r="M110" s="8" t="str">
        <f aca="false">IF((F110-K110)&lt;&gt;0,M$1-A110," ")</f>
        <v> </v>
      </c>
      <c r="N110" s="5"/>
      <c r="O110" s="17" t="str">
        <f aca="false">IF((E110="s"),H110," ")</f>
        <v> </v>
      </c>
      <c r="P110" s="17" t="str">
        <f aca="false">IF((E110="c"),H110," ")</f>
        <v> </v>
      </c>
      <c r="Q110" s="17" t="str">
        <f aca="false">IF((E110="o"),H110," ")</f>
        <v> </v>
      </c>
      <c r="R110" s="17" t="str">
        <f aca="false">IF((E110="d"),H110," ")</f>
        <v> </v>
      </c>
      <c r="S110" s="17" t="str">
        <f aca="false">IF((E110="w"),H110," ")</f>
        <v> </v>
      </c>
      <c r="T110" s="17" t="str">
        <f aca="false">IF((E110="r"),H110," ")</f>
        <v> </v>
      </c>
      <c r="U110" s="17" t="str">
        <f aca="false">IF((E110="p"),H110," ")</f>
        <v> </v>
      </c>
      <c r="V110" s="17" t="str">
        <f aca="false">IF((E110="t"),H110," ")</f>
        <v> </v>
      </c>
      <c r="W110" s="17" t="str">
        <f aca="false">IF((E110="q"),H110," ")</f>
        <v> </v>
      </c>
      <c r="X110" s="17" t="str">
        <f aca="false">IF((E110="m"),H110," ")</f>
        <v> </v>
      </c>
      <c r="Y110" s="17" t="str">
        <f aca="false">IF((E110="u"),H110," ")</f>
        <v> </v>
      </c>
      <c r="Z110" s="17" t="str">
        <f aca="false">IF((E110="a"),H110," ")</f>
        <v> </v>
      </c>
      <c r="AA110" s="17" t="str">
        <f aca="false">IF((E110="g"),H110," ")</f>
        <v> </v>
      </c>
      <c r="AB110" s="17" t="str">
        <f aca="false">IF((E110="h"),H110," ")</f>
        <v> </v>
      </c>
      <c r="AC110" s="30" t="str">
        <f aca="false">IF((E110="v"),H110," ")</f>
        <v> </v>
      </c>
      <c r="AD110" s="30" t="str">
        <f aca="false">IF((E110="n"),H110," ")</f>
        <v> </v>
      </c>
      <c r="AE110" s="17" t="str">
        <f aca="false">IF((E110="f"),H110," ")</f>
        <v> </v>
      </c>
      <c r="AF110" s="17" t="str">
        <f aca="false">IF((E110="l"),H110," ")</f>
        <v> </v>
      </c>
      <c r="AG110" s="17" t="str">
        <f aca="false">IF((E110="y"),H110," ")</f>
        <v> </v>
      </c>
      <c r="AH110" s="17" t="str">
        <f aca="false">IF((E110="z"),H110," ")</f>
        <v> </v>
      </c>
      <c r="AI110" s="17" t="str">
        <f aca="false">IF((E110="fa"),H110," ")</f>
        <v> </v>
      </c>
      <c r="AJ110" s="17" t="str">
        <f aca="false">IF((E110="e"),H110," ")</f>
        <v> </v>
      </c>
    </row>
    <row r="111" customFormat="false" ht="12" hidden="false" customHeight="false" outlineLevel="0" collapsed="false">
      <c r="A111" s="28"/>
      <c r="E111" s="2" t="str">
        <f aca="false">IF((F111&lt;&gt;0),"Enter Letter"," ")</f>
        <v> </v>
      </c>
      <c r="F111" s="30"/>
      <c r="G111" s="6" t="str">
        <f aca="false">IF(F111&lt;&gt;0,F111*G$2/(100+G$2)," ")</f>
        <v> </v>
      </c>
      <c r="H111" s="6" t="str">
        <f aca="false">IF((F111&lt;&gt;0),F111-G111," ")</f>
        <v> </v>
      </c>
      <c r="I111" s="5"/>
      <c r="L111" s="7" t="str">
        <f aca="false">IF(F111&lt;&gt;0,F111-K111," ")</f>
        <v> </v>
      </c>
      <c r="M111" s="8" t="str">
        <f aca="false">IF((F111-K111)&lt;&gt;0,M$1-A111," ")</f>
        <v> </v>
      </c>
      <c r="N111" s="5"/>
      <c r="O111" s="17" t="str">
        <f aca="false">IF((E111="s"),H111," ")</f>
        <v> </v>
      </c>
      <c r="P111" s="17" t="str">
        <f aca="false">IF((E111="c"),H111," ")</f>
        <v> </v>
      </c>
      <c r="Q111" s="17" t="str">
        <f aca="false">IF((E111="o"),H111," ")</f>
        <v> </v>
      </c>
      <c r="R111" s="17" t="str">
        <f aca="false">IF((E111="d"),H111," ")</f>
        <v> </v>
      </c>
      <c r="S111" s="17" t="str">
        <f aca="false">IF((E111="w"),H111," ")</f>
        <v> </v>
      </c>
      <c r="T111" s="17" t="str">
        <f aca="false">IF((E111="r"),H111," ")</f>
        <v> </v>
      </c>
      <c r="U111" s="17" t="str">
        <f aca="false">IF((E111="p"),H111," ")</f>
        <v> </v>
      </c>
      <c r="V111" s="17" t="str">
        <f aca="false">IF((E111="t"),H111," ")</f>
        <v> </v>
      </c>
      <c r="W111" s="17" t="str">
        <f aca="false">IF((E111="q"),H111," ")</f>
        <v> </v>
      </c>
      <c r="X111" s="17" t="str">
        <f aca="false">IF((E111="m"),H111," ")</f>
        <v> </v>
      </c>
      <c r="Y111" s="17" t="str">
        <f aca="false">IF((E111="u"),H111," ")</f>
        <v> </v>
      </c>
      <c r="Z111" s="17" t="str">
        <f aca="false">IF((E111="a"),H111," ")</f>
        <v> </v>
      </c>
      <c r="AA111" s="17" t="str">
        <f aca="false">IF((E111="g"),H111," ")</f>
        <v> </v>
      </c>
      <c r="AB111" s="17" t="str">
        <f aca="false">IF((E111="h"),H111," ")</f>
        <v> </v>
      </c>
      <c r="AC111" s="30" t="str">
        <f aca="false">IF((E111="v"),H111," ")</f>
        <v> </v>
      </c>
      <c r="AD111" s="30" t="str">
        <f aca="false">IF((E111="n"),H111," ")</f>
        <v> </v>
      </c>
      <c r="AE111" s="17" t="str">
        <f aca="false">IF((E111="f"),H111," ")</f>
        <v> </v>
      </c>
      <c r="AF111" s="17" t="str">
        <f aca="false">IF((E111="l"),H111," ")</f>
        <v> </v>
      </c>
      <c r="AG111" s="17" t="str">
        <f aca="false">IF((E111="y"),H111," ")</f>
        <v> </v>
      </c>
      <c r="AH111" s="17" t="str">
        <f aca="false">IF((E111="z"),H111," ")</f>
        <v> </v>
      </c>
      <c r="AI111" s="17" t="str">
        <f aca="false">IF((E111="fa"),H111," ")</f>
        <v> </v>
      </c>
      <c r="AJ111" s="17" t="str">
        <f aca="false">IF((E111="e"),H111," ")</f>
        <v> </v>
      </c>
    </row>
    <row r="112" customFormat="false" ht="12" hidden="false" customHeight="false" outlineLevel="0" collapsed="false">
      <c r="A112" s="28"/>
      <c r="E112" s="2" t="str">
        <f aca="false">IF((F112&lt;&gt;0),"Enter Letter"," ")</f>
        <v> </v>
      </c>
      <c r="F112" s="30"/>
      <c r="G112" s="6" t="str">
        <f aca="false">IF(F112&lt;&gt;0,F112*G$2/(100+G$2)," ")</f>
        <v> </v>
      </c>
      <c r="H112" s="6" t="str">
        <f aca="false">IF((F112&lt;&gt;0),F112-G112," ")</f>
        <v> </v>
      </c>
      <c r="I112" s="5"/>
      <c r="L112" s="7" t="str">
        <f aca="false">IF(F112&lt;&gt;0,F112-K112," ")</f>
        <v> </v>
      </c>
      <c r="M112" s="8" t="str">
        <f aca="false">IF((F112-K112)&lt;&gt;0,M$1-A112," ")</f>
        <v> </v>
      </c>
      <c r="N112" s="5"/>
      <c r="O112" s="17" t="str">
        <f aca="false">IF((E112="s"),H112," ")</f>
        <v> </v>
      </c>
      <c r="P112" s="17" t="str">
        <f aca="false">IF((E112="c"),H112," ")</f>
        <v> </v>
      </c>
      <c r="Q112" s="17" t="str">
        <f aca="false">IF((E112="o"),H112," ")</f>
        <v> </v>
      </c>
      <c r="R112" s="17" t="str">
        <f aca="false">IF((E112="d"),H112," ")</f>
        <v> </v>
      </c>
      <c r="S112" s="17" t="str">
        <f aca="false">IF((E112="w"),H112," ")</f>
        <v> </v>
      </c>
      <c r="T112" s="17" t="str">
        <f aca="false">IF((E112="r"),H112," ")</f>
        <v> </v>
      </c>
      <c r="U112" s="17" t="str">
        <f aca="false">IF((E112="p"),H112," ")</f>
        <v> </v>
      </c>
      <c r="V112" s="17" t="str">
        <f aca="false">IF((E112="t"),H112," ")</f>
        <v> </v>
      </c>
      <c r="W112" s="17" t="str">
        <f aca="false">IF((E112="q"),H112," ")</f>
        <v> </v>
      </c>
      <c r="X112" s="17" t="str">
        <f aca="false">IF((E112="m"),H112," ")</f>
        <v> </v>
      </c>
      <c r="Y112" s="17" t="str">
        <f aca="false">IF((E112="u"),H112," ")</f>
        <v> </v>
      </c>
      <c r="Z112" s="17" t="str">
        <f aca="false">IF((E112="a"),H112," ")</f>
        <v> </v>
      </c>
      <c r="AA112" s="17" t="str">
        <f aca="false">IF((E112="g"),H112," ")</f>
        <v> </v>
      </c>
      <c r="AB112" s="17" t="str">
        <f aca="false">IF((E112="h"),H112," ")</f>
        <v> </v>
      </c>
      <c r="AC112" s="30" t="str">
        <f aca="false">IF((E112="v"),H112," ")</f>
        <v> </v>
      </c>
      <c r="AD112" s="30" t="str">
        <f aca="false">IF((E112="n"),H112," ")</f>
        <v> </v>
      </c>
      <c r="AE112" s="17" t="str">
        <f aca="false">IF((E112="f"),H112," ")</f>
        <v> </v>
      </c>
      <c r="AF112" s="17" t="str">
        <f aca="false">IF((E112="l"),H112," ")</f>
        <v> </v>
      </c>
      <c r="AG112" s="17" t="str">
        <f aca="false">IF((E112="y"),H112," ")</f>
        <v> </v>
      </c>
      <c r="AH112" s="17" t="str">
        <f aca="false">IF((E112="z"),H112," ")</f>
        <v> </v>
      </c>
      <c r="AI112" s="17" t="str">
        <f aca="false">IF((E112="fa"),H112," ")</f>
        <v> </v>
      </c>
      <c r="AJ112" s="17" t="str">
        <f aca="false">IF((E112="e"),H112," ")</f>
        <v> </v>
      </c>
    </row>
    <row r="113" customFormat="false" ht="12" hidden="false" customHeight="false" outlineLevel="0" collapsed="false">
      <c r="A113" s="28"/>
      <c r="E113" s="2" t="str">
        <f aca="false">IF((F113&lt;&gt;0),"Enter Letter"," ")</f>
        <v> </v>
      </c>
      <c r="F113" s="30"/>
      <c r="G113" s="6" t="str">
        <f aca="false">IF(F113&lt;&gt;0,F113*G$2/(100+G$2)," ")</f>
        <v> </v>
      </c>
      <c r="H113" s="6" t="str">
        <f aca="false">IF((F113&lt;&gt;0),F113-G113," ")</f>
        <v> </v>
      </c>
      <c r="I113" s="5"/>
      <c r="L113" s="7" t="str">
        <f aca="false">IF(F113&lt;&gt;0,F113-K113," ")</f>
        <v> </v>
      </c>
      <c r="M113" s="8" t="str">
        <f aca="false">IF((F113-K113)&lt;&gt;0,M$1-A113," ")</f>
        <v> </v>
      </c>
      <c r="N113" s="5"/>
      <c r="O113" s="17" t="str">
        <f aca="false">IF((E113="s"),H113," ")</f>
        <v> </v>
      </c>
      <c r="P113" s="17" t="str">
        <f aca="false">IF((E113="c"),H113," ")</f>
        <v> </v>
      </c>
      <c r="Q113" s="17" t="str">
        <f aca="false">IF((E113="o"),H113," ")</f>
        <v> </v>
      </c>
      <c r="R113" s="17" t="str">
        <f aca="false">IF((E113="d"),H113," ")</f>
        <v> </v>
      </c>
      <c r="S113" s="17" t="str">
        <f aca="false">IF((E113="w"),H113," ")</f>
        <v> </v>
      </c>
      <c r="T113" s="17" t="str">
        <f aca="false">IF((E113="r"),H113," ")</f>
        <v> </v>
      </c>
      <c r="U113" s="17" t="str">
        <f aca="false">IF((E113="p"),H113," ")</f>
        <v> </v>
      </c>
      <c r="V113" s="17" t="str">
        <f aca="false">IF((E113="t"),H113," ")</f>
        <v> </v>
      </c>
      <c r="W113" s="17" t="str">
        <f aca="false">IF((E113="q"),H113," ")</f>
        <v> </v>
      </c>
      <c r="X113" s="17" t="str">
        <f aca="false">IF((E113="m"),H113," ")</f>
        <v> </v>
      </c>
      <c r="Y113" s="17" t="str">
        <f aca="false">IF((E113="u"),H113," ")</f>
        <v> </v>
      </c>
      <c r="Z113" s="17" t="str">
        <f aca="false">IF((E113="a"),H113," ")</f>
        <v> </v>
      </c>
      <c r="AA113" s="17" t="str">
        <f aca="false">IF((E113="g"),H113," ")</f>
        <v> </v>
      </c>
      <c r="AB113" s="17" t="str">
        <f aca="false">IF((E113="h"),H113," ")</f>
        <v> </v>
      </c>
      <c r="AC113" s="30" t="str">
        <f aca="false">IF((E113="v"),H113," ")</f>
        <v> </v>
      </c>
      <c r="AD113" s="30" t="str">
        <f aca="false">IF((E113="n"),H113," ")</f>
        <v> </v>
      </c>
      <c r="AE113" s="17" t="str">
        <f aca="false">IF((E113="f"),H113," ")</f>
        <v> </v>
      </c>
      <c r="AF113" s="17" t="str">
        <f aca="false">IF((E113="l"),H113," ")</f>
        <v> </v>
      </c>
      <c r="AG113" s="17" t="str">
        <f aca="false">IF((E113="y"),H113," ")</f>
        <v> </v>
      </c>
      <c r="AH113" s="17" t="str">
        <f aca="false">IF((E113="z"),H113," ")</f>
        <v> </v>
      </c>
      <c r="AI113" s="17" t="str">
        <f aca="false">IF((E113="fa"),H113," ")</f>
        <v> </v>
      </c>
      <c r="AJ113" s="17" t="str">
        <f aca="false">IF((E113="e"),H113," ")</f>
        <v> </v>
      </c>
    </row>
    <row r="114" customFormat="false" ht="12" hidden="false" customHeight="false" outlineLevel="0" collapsed="false">
      <c r="A114" s="28"/>
      <c r="E114" s="2" t="str">
        <f aca="false">IF((F114&lt;&gt;0),"Enter Letter"," ")</f>
        <v> </v>
      </c>
      <c r="F114" s="30"/>
      <c r="G114" s="6" t="str">
        <f aca="false">IF(F114&lt;&gt;0,F114*G$2/(100+G$2)," ")</f>
        <v> </v>
      </c>
      <c r="H114" s="6" t="str">
        <f aca="false">IF((F114&lt;&gt;0),F114-G114," ")</f>
        <v> </v>
      </c>
      <c r="I114" s="5"/>
      <c r="L114" s="7" t="str">
        <f aca="false">IF(F114&lt;&gt;0,F114-K114," ")</f>
        <v> </v>
      </c>
      <c r="M114" s="8" t="str">
        <f aca="false">IF((F114-K114)&lt;&gt;0,M$1-A114," ")</f>
        <v> </v>
      </c>
      <c r="N114" s="5"/>
      <c r="O114" s="17" t="str">
        <f aca="false">IF((E114="s"),H114," ")</f>
        <v> </v>
      </c>
      <c r="P114" s="17" t="str">
        <f aca="false">IF((E114="c"),H114," ")</f>
        <v> </v>
      </c>
      <c r="Q114" s="17" t="str">
        <f aca="false">IF((E114="o"),H114," ")</f>
        <v> </v>
      </c>
      <c r="R114" s="17" t="str">
        <f aca="false">IF((E114="d"),H114," ")</f>
        <v> </v>
      </c>
      <c r="S114" s="17" t="str">
        <f aca="false">IF((E114="w"),H114," ")</f>
        <v> </v>
      </c>
      <c r="T114" s="17" t="str">
        <f aca="false">IF((E114="r"),H114," ")</f>
        <v> </v>
      </c>
      <c r="U114" s="17" t="str">
        <f aca="false">IF((E114="p"),H114," ")</f>
        <v> </v>
      </c>
      <c r="V114" s="17" t="str">
        <f aca="false">IF((E114="t"),H114," ")</f>
        <v> </v>
      </c>
      <c r="W114" s="17" t="str">
        <f aca="false">IF((E114="q"),H114," ")</f>
        <v> </v>
      </c>
      <c r="X114" s="17" t="str">
        <f aca="false">IF((E114="m"),H114," ")</f>
        <v> </v>
      </c>
      <c r="Y114" s="17" t="str">
        <f aca="false">IF((E114="u"),H114," ")</f>
        <v> </v>
      </c>
      <c r="Z114" s="17" t="str">
        <f aca="false">IF((E114="a"),H114," ")</f>
        <v> </v>
      </c>
      <c r="AA114" s="17" t="str">
        <f aca="false">IF((E114="g"),H114," ")</f>
        <v> </v>
      </c>
      <c r="AB114" s="17" t="str">
        <f aca="false">IF((E114="h"),H114," ")</f>
        <v> </v>
      </c>
      <c r="AC114" s="30" t="str">
        <f aca="false">IF((E114="v"),H114," ")</f>
        <v> </v>
      </c>
      <c r="AD114" s="30" t="str">
        <f aca="false">IF((E114="n"),H114," ")</f>
        <v> </v>
      </c>
      <c r="AE114" s="17" t="str">
        <f aca="false">IF((E114="f"),H114," ")</f>
        <v> </v>
      </c>
      <c r="AF114" s="17" t="str">
        <f aca="false">IF((E114="l"),H114," ")</f>
        <v> </v>
      </c>
      <c r="AG114" s="17" t="str">
        <f aca="false">IF((E114="y"),H114," ")</f>
        <v> </v>
      </c>
      <c r="AH114" s="17" t="str">
        <f aca="false">IF((E114="z"),H114," ")</f>
        <v> </v>
      </c>
      <c r="AI114" s="17" t="str">
        <f aca="false">IF((E114="fa"),H114," ")</f>
        <v> </v>
      </c>
      <c r="AJ114" s="17" t="str">
        <f aca="false">IF((E114="e"),H114," ")</f>
        <v> </v>
      </c>
    </row>
    <row r="115" customFormat="false" ht="12" hidden="false" customHeight="false" outlineLevel="0" collapsed="false">
      <c r="A115" s="28"/>
      <c r="E115" s="2" t="str">
        <f aca="false">IF((F115&lt;&gt;0),"Enter Letter"," ")</f>
        <v> </v>
      </c>
      <c r="F115" s="30"/>
      <c r="G115" s="6" t="str">
        <f aca="false">IF(F115&lt;&gt;0,F115*G$2/(100+G$2)," ")</f>
        <v> </v>
      </c>
      <c r="H115" s="6" t="str">
        <f aca="false">IF((F115&lt;&gt;0),F115-G115," ")</f>
        <v> </v>
      </c>
      <c r="I115" s="5"/>
      <c r="L115" s="7" t="str">
        <f aca="false">IF(F115&lt;&gt;0,F115-K115," ")</f>
        <v> </v>
      </c>
      <c r="M115" s="8" t="str">
        <f aca="false">IF((F115-K115)&lt;&gt;0,M$1-A115," ")</f>
        <v> </v>
      </c>
      <c r="N115" s="5"/>
      <c r="O115" s="17" t="str">
        <f aca="false">IF((E115="s"),H115," ")</f>
        <v> </v>
      </c>
      <c r="P115" s="17" t="str">
        <f aca="false">IF((E115="c"),H115," ")</f>
        <v> </v>
      </c>
      <c r="Q115" s="17" t="str">
        <f aca="false">IF((E115="o"),H115," ")</f>
        <v> </v>
      </c>
      <c r="R115" s="17" t="str">
        <f aca="false">IF((E115="d"),H115," ")</f>
        <v> </v>
      </c>
      <c r="S115" s="17" t="str">
        <f aca="false">IF((E115="w"),H115," ")</f>
        <v> </v>
      </c>
      <c r="T115" s="17" t="str">
        <f aca="false">IF((E115="r"),H115," ")</f>
        <v> </v>
      </c>
      <c r="U115" s="17" t="str">
        <f aca="false">IF((E115="p"),H115," ")</f>
        <v> </v>
      </c>
      <c r="V115" s="17" t="str">
        <f aca="false">IF((E115="t"),H115," ")</f>
        <v> </v>
      </c>
      <c r="W115" s="17" t="str">
        <f aca="false">IF((E115="q"),H115," ")</f>
        <v> </v>
      </c>
      <c r="X115" s="17" t="str">
        <f aca="false">IF((E115="m"),H115," ")</f>
        <v> </v>
      </c>
      <c r="Y115" s="17" t="str">
        <f aca="false">IF((E115="u"),H115," ")</f>
        <v> </v>
      </c>
      <c r="Z115" s="17" t="str">
        <f aca="false">IF((E115="a"),H115," ")</f>
        <v> </v>
      </c>
      <c r="AA115" s="17" t="str">
        <f aca="false">IF((E115="g"),H115," ")</f>
        <v> </v>
      </c>
      <c r="AB115" s="17" t="str">
        <f aca="false">IF((E115="h"),H115," ")</f>
        <v> </v>
      </c>
      <c r="AC115" s="30" t="str">
        <f aca="false">IF((E115="v"),H115," ")</f>
        <v> </v>
      </c>
      <c r="AD115" s="30" t="str">
        <f aca="false">IF((E115="n"),H115," ")</f>
        <v> </v>
      </c>
      <c r="AE115" s="17" t="str">
        <f aca="false">IF((E115="f"),H115," ")</f>
        <v> </v>
      </c>
      <c r="AF115" s="17" t="str">
        <f aca="false">IF((E115="l"),H115," ")</f>
        <v> </v>
      </c>
      <c r="AG115" s="17" t="str">
        <f aca="false">IF((E115="y"),H115," ")</f>
        <v> </v>
      </c>
      <c r="AH115" s="17" t="str">
        <f aca="false">IF((E115="z"),H115," ")</f>
        <v> </v>
      </c>
      <c r="AI115" s="17" t="str">
        <f aca="false">IF((E115="fa"),H115," ")</f>
        <v> </v>
      </c>
      <c r="AJ115" s="17" t="str">
        <f aca="false">IF((E115="e"),H115," ")</f>
        <v> </v>
      </c>
    </row>
    <row r="116" customFormat="false" ht="12" hidden="false" customHeight="false" outlineLevel="0" collapsed="false">
      <c r="A116" s="28"/>
      <c r="E116" s="2" t="str">
        <f aca="false">IF((F116&lt;&gt;0),"Enter Letter"," ")</f>
        <v> </v>
      </c>
      <c r="F116" s="30"/>
      <c r="G116" s="6" t="str">
        <f aca="false">IF(F116&lt;&gt;0,F116*G$2/(100+G$2)," ")</f>
        <v> </v>
      </c>
      <c r="H116" s="6" t="str">
        <f aca="false">IF((F116&lt;&gt;0),F116-G116," ")</f>
        <v> </v>
      </c>
      <c r="I116" s="5"/>
      <c r="L116" s="7" t="str">
        <f aca="false">IF(F116&lt;&gt;0,F116-K116," ")</f>
        <v> </v>
      </c>
      <c r="M116" s="8" t="str">
        <f aca="false">IF((F116-K116)&lt;&gt;0,M$1-A116," ")</f>
        <v> </v>
      </c>
      <c r="N116" s="5"/>
      <c r="O116" s="17" t="str">
        <f aca="false">IF((E116="s"),H116," ")</f>
        <v> </v>
      </c>
      <c r="P116" s="17" t="str">
        <f aca="false">IF((E116="c"),H116," ")</f>
        <v> </v>
      </c>
      <c r="Q116" s="17" t="str">
        <f aca="false">IF((E116="o"),H116," ")</f>
        <v> </v>
      </c>
      <c r="R116" s="17" t="str">
        <f aca="false">IF((E116="d"),H116," ")</f>
        <v> </v>
      </c>
      <c r="S116" s="17" t="str">
        <f aca="false">IF((E116="w"),H116," ")</f>
        <v> </v>
      </c>
      <c r="T116" s="17" t="str">
        <f aca="false">IF((E116="r"),H116," ")</f>
        <v> </v>
      </c>
      <c r="U116" s="17" t="str">
        <f aca="false">IF((E116="p"),H116," ")</f>
        <v> </v>
      </c>
      <c r="V116" s="17" t="str">
        <f aca="false">IF((E116="t"),H116," ")</f>
        <v> </v>
      </c>
      <c r="W116" s="17" t="str">
        <f aca="false">IF((E116="q"),H116," ")</f>
        <v> </v>
      </c>
      <c r="X116" s="17" t="str">
        <f aca="false">IF((E116="m"),H116," ")</f>
        <v> </v>
      </c>
      <c r="Y116" s="17" t="str">
        <f aca="false">IF((E116="u"),H116," ")</f>
        <v> </v>
      </c>
      <c r="Z116" s="17" t="str">
        <f aca="false">IF((E116="a"),H116," ")</f>
        <v> </v>
      </c>
      <c r="AA116" s="17" t="str">
        <f aca="false">IF((E116="g"),H116," ")</f>
        <v> </v>
      </c>
      <c r="AB116" s="17" t="str">
        <f aca="false">IF((E116="h"),H116," ")</f>
        <v> </v>
      </c>
      <c r="AC116" s="30" t="str">
        <f aca="false">IF((E116="v"),H116," ")</f>
        <v> </v>
      </c>
      <c r="AD116" s="30" t="str">
        <f aca="false">IF((E116="n"),H116," ")</f>
        <v> </v>
      </c>
      <c r="AE116" s="17" t="str">
        <f aca="false">IF((E116="f"),H116," ")</f>
        <v> </v>
      </c>
      <c r="AF116" s="17" t="str">
        <f aca="false">IF((E116="l"),H116," ")</f>
        <v> </v>
      </c>
      <c r="AG116" s="17" t="str">
        <f aca="false">IF((E116="y"),H116," ")</f>
        <v> </v>
      </c>
      <c r="AH116" s="17" t="str">
        <f aca="false">IF((E116="z"),H116," ")</f>
        <v> </v>
      </c>
      <c r="AI116" s="17" t="str">
        <f aca="false">IF((E116="fa"),H116," ")</f>
        <v> </v>
      </c>
      <c r="AJ116" s="17" t="str">
        <f aca="false">IF((E116="e"),H116," ")</f>
        <v> </v>
      </c>
    </row>
    <row r="117" customFormat="false" ht="12" hidden="false" customHeight="false" outlineLevel="0" collapsed="false">
      <c r="A117" s="28"/>
      <c r="E117" s="2" t="str">
        <f aca="false">IF((F117&lt;&gt;0),"Enter Letter"," ")</f>
        <v> </v>
      </c>
      <c r="F117" s="30"/>
      <c r="G117" s="6" t="str">
        <f aca="false">IF(F117&lt;&gt;0,F117*G$2/(100+G$2)," ")</f>
        <v> </v>
      </c>
      <c r="H117" s="6" t="str">
        <f aca="false">IF((F117&lt;&gt;0),F117-G117," ")</f>
        <v> </v>
      </c>
      <c r="I117" s="5"/>
      <c r="L117" s="7" t="str">
        <f aca="false">IF(F117&lt;&gt;0,F117-K117," ")</f>
        <v> </v>
      </c>
      <c r="M117" s="8" t="str">
        <f aca="false">IF((F117-K117)&lt;&gt;0,M$1-A117," ")</f>
        <v> </v>
      </c>
      <c r="N117" s="5"/>
      <c r="O117" s="17" t="str">
        <f aca="false">IF((E117="s"),H117," ")</f>
        <v> </v>
      </c>
      <c r="P117" s="17" t="str">
        <f aca="false">IF((E117="c"),H117," ")</f>
        <v> </v>
      </c>
      <c r="Q117" s="17" t="str">
        <f aca="false">IF((E117="o"),H117," ")</f>
        <v> </v>
      </c>
      <c r="R117" s="17" t="str">
        <f aca="false">IF((E117="d"),H117," ")</f>
        <v> </v>
      </c>
      <c r="S117" s="17" t="str">
        <f aca="false">IF((E117="w"),H117," ")</f>
        <v> </v>
      </c>
      <c r="T117" s="17" t="str">
        <f aca="false">IF((E117="r"),H117," ")</f>
        <v> </v>
      </c>
      <c r="U117" s="17" t="str">
        <f aca="false">IF((E117="p"),H117," ")</f>
        <v> </v>
      </c>
      <c r="V117" s="17" t="str">
        <f aca="false">IF((E117="t"),H117," ")</f>
        <v> </v>
      </c>
      <c r="W117" s="17" t="str">
        <f aca="false">IF((E117="q"),H117," ")</f>
        <v> </v>
      </c>
      <c r="X117" s="17" t="str">
        <f aca="false">IF((E117="m"),H117," ")</f>
        <v> </v>
      </c>
      <c r="Y117" s="17" t="str">
        <f aca="false">IF((E117="u"),H117," ")</f>
        <v> </v>
      </c>
      <c r="Z117" s="17" t="str">
        <f aca="false">IF((E117="a"),H117," ")</f>
        <v> </v>
      </c>
      <c r="AA117" s="17" t="str">
        <f aca="false">IF((E117="g"),H117," ")</f>
        <v> </v>
      </c>
      <c r="AB117" s="17" t="str">
        <f aca="false">IF((E117="h"),H117," ")</f>
        <v> </v>
      </c>
      <c r="AC117" s="30" t="str">
        <f aca="false">IF((E117="v"),H117," ")</f>
        <v> </v>
      </c>
      <c r="AD117" s="30" t="str">
        <f aca="false">IF((E117="n"),H117," ")</f>
        <v> </v>
      </c>
      <c r="AE117" s="17" t="str">
        <f aca="false">IF((E117="f"),H117," ")</f>
        <v> </v>
      </c>
      <c r="AF117" s="17" t="str">
        <f aca="false">IF((E117="l"),H117," ")</f>
        <v> </v>
      </c>
      <c r="AG117" s="17" t="str">
        <f aca="false">IF((E117="y"),H117," ")</f>
        <v> </v>
      </c>
      <c r="AH117" s="17" t="str">
        <f aca="false">IF((E117="z"),H117," ")</f>
        <v> </v>
      </c>
      <c r="AI117" s="17" t="str">
        <f aca="false">IF((E117="fa"),H117," ")</f>
        <v> </v>
      </c>
      <c r="AJ117" s="17" t="str">
        <f aca="false">IF((E117="e"),H117," ")</f>
        <v> </v>
      </c>
    </row>
    <row r="118" customFormat="false" ht="12" hidden="false" customHeight="false" outlineLevel="0" collapsed="false">
      <c r="A118" s="28"/>
      <c r="E118" s="2" t="str">
        <f aca="false">IF((F118&lt;&gt;0),"Enter Letter"," ")</f>
        <v> </v>
      </c>
      <c r="F118" s="30"/>
      <c r="G118" s="6" t="str">
        <f aca="false">IF(F118&lt;&gt;0,F118*G$2/(100+G$2)," ")</f>
        <v> </v>
      </c>
      <c r="H118" s="6" t="str">
        <f aca="false">IF((F118&lt;&gt;0),F118-G118," ")</f>
        <v> </v>
      </c>
      <c r="I118" s="5"/>
      <c r="L118" s="7" t="str">
        <f aca="false">IF(F118&lt;&gt;0,F118-K118," ")</f>
        <v> </v>
      </c>
      <c r="M118" s="8" t="str">
        <f aca="false">IF((F118-K118)&lt;&gt;0,M$1-A118," ")</f>
        <v> </v>
      </c>
      <c r="N118" s="5"/>
      <c r="O118" s="17" t="str">
        <f aca="false">IF((E118="s"),H118," ")</f>
        <v> </v>
      </c>
      <c r="P118" s="17" t="str">
        <f aca="false">IF((E118="c"),H118," ")</f>
        <v> </v>
      </c>
      <c r="Q118" s="17" t="str">
        <f aca="false">IF((E118="o"),H118," ")</f>
        <v> </v>
      </c>
      <c r="R118" s="17" t="str">
        <f aca="false">IF((E118="d"),H118," ")</f>
        <v> </v>
      </c>
      <c r="S118" s="17" t="str">
        <f aca="false">IF((E118="w"),H118," ")</f>
        <v> </v>
      </c>
      <c r="T118" s="17" t="str">
        <f aca="false">IF((E118="r"),H118," ")</f>
        <v> </v>
      </c>
      <c r="U118" s="17" t="str">
        <f aca="false">IF((E118="p"),H118," ")</f>
        <v> </v>
      </c>
      <c r="V118" s="17" t="str">
        <f aca="false">IF((E118="t"),H118," ")</f>
        <v> </v>
      </c>
      <c r="W118" s="17" t="str">
        <f aca="false">IF((E118="q"),H118," ")</f>
        <v> </v>
      </c>
      <c r="X118" s="17" t="str">
        <f aca="false">IF((E118="m"),H118," ")</f>
        <v> </v>
      </c>
      <c r="Y118" s="17" t="str">
        <f aca="false">IF((E118="u"),H118," ")</f>
        <v> </v>
      </c>
      <c r="Z118" s="17" t="str">
        <f aca="false">IF((E118="a"),H118," ")</f>
        <v> </v>
      </c>
      <c r="AA118" s="17" t="str">
        <f aca="false">IF((E118="g"),H118," ")</f>
        <v> </v>
      </c>
      <c r="AB118" s="17" t="str">
        <f aca="false">IF((E118="h"),H118," ")</f>
        <v> </v>
      </c>
      <c r="AC118" s="30" t="str">
        <f aca="false">IF((E118="v"),H118," ")</f>
        <v> </v>
      </c>
      <c r="AD118" s="30" t="str">
        <f aca="false">IF((E118="n"),H118," ")</f>
        <v> </v>
      </c>
      <c r="AE118" s="17" t="str">
        <f aca="false">IF((E118="f"),H118," ")</f>
        <v> </v>
      </c>
      <c r="AF118" s="17" t="str">
        <f aca="false">IF((E118="l"),H118," ")</f>
        <v> </v>
      </c>
      <c r="AG118" s="17" t="str">
        <f aca="false">IF((E118="y"),H118," ")</f>
        <v> </v>
      </c>
      <c r="AH118" s="17" t="str">
        <f aca="false">IF((E118="z"),H118," ")</f>
        <v> </v>
      </c>
      <c r="AI118" s="17" t="str">
        <f aca="false">IF((E118="fa"),H118," ")</f>
        <v> </v>
      </c>
      <c r="AJ118" s="17" t="str">
        <f aca="false">IF((E118="e"),H118," ")</f>
        <v> </v>
      </c>
    </row>
    <row r="119" customFormat="false" ht="12" hidden="false" customHeight="false" outlineLevel="0" collapsed="false">
      <c r="A119" s="28"/>
      <c r="E119" s="2" t="str">
        <f aca="false">IF((F119&lt;&gt;0),"Enter Letter"," ")</f>
        <v> </v>
      </c>
      <c r="F119" s="30"/>
      <c r="G119" s="6" t="str">
        <f aca="false">IF(F119&lt;&gt;0,F119*G$2/(100+G$2)," ")</f>
        <v> </v>
      </c>
      <c r="H119" s="6" t="str">
        <f aca="false">IF((F119&lt;&gt;0),F119-G119," ")</f>
        <v> </v>
      </c>
      <c r="I119" s="5"/>
      <c r="L119" s="7" t="str">
        <f aca="false">IF(F119&lt;&gt;0,F119-K119," ")</f>
        <v> </v>
      </c>
      <c r="M119" s="8" t="str">
        <f aca="false">IF((F119-K119)&lt;&gt;0,M$1-A119," ")</f>
        <v> </v>
      </c>
      <c r="N119" s="5"/>
      <c r="O119" s="17" t="str">
        <f aca="false">IF((E119="s"),H119," ")</f>
        <v> </v>
      </c>
      <c r="P119" s="17" t="str">
        <f aca="false">IF((E119="c"),H119," ")</f>
        <v> </v>
      </c>
      <c r="Q119" s="17" t="str">
        <f aca="false">IF((E119="o"),H119," ")</f>
        <v> </v>
      </c>
      <c r="R119" s="17" t="str">
        <f aca="false">IF((E119="d"),H119," ")</f>
        <v> </v>
      </c>
      <c r="S119" s="17" t="str">
        <f aca="false">IF((E119="w"),H119," ")</f>
        <v> </v>
      </c>
      <c r="T119" s="17" t="str">
        <f aca="false">IF((E119="r"),H119," ")</f>
        <v> </v>
      </c>
      <c r="U119" s="17" t="str">
        <f aca="false">IF((E119="p"),H119," ")</f>
        <v> </v>
      </c>
      <c r="V119" s="17" t="str">
        <f aca="false">IF((E119="t"),H119," ")</f>
        <v> </v>
      </c>
      <c r="W119" s="17" t="str">
        <f aca="false">IF((E119="q"),H119," ")</f>
        <v> </v>
      </c>
      <c r="X119" s="17" t="str">
        <f aca="false">IF((E119="m"),H119," ")</f>
        <v> </v>
      </c>
      <c r="Y119" s="17" t="str">
        <f aca="false">IF((E119="u"),H119," ")</f>
        <v> </v>
      </c>
      <c r="Z119" s="17" t="str">
        <f aca="false">IF((E119="a"),H119," ")</f>
        <v> </v>
      </c>
      <c r="AA119" s="17" t="str">
        <f aca="false">IF((E119="g"),H119," ")</f>
        <v> </v>
      </c>
      <c r="AB119" s="17" t="str">
        <f aca="false">IF((E119="h"),H119," ")</f>
        <v> </v>
      </c>
      <c r="AC119" s="30" t="str">
        <f aca="false">IF((E119="v"),H119," ")</f>
        <v> </v>
      </c>
      <c r="AD119" s="30" t="str">
        <f aca="false">IF((E119="n"),H119," ")</f>
        <v> </v>
      </c>
      <c r="AE119" s="17" t="str">
        <f aca="false">IF((E119="f"),H119," ")</f>
        <v> </v>
      </c>
      <c r="AF119" s="17" t="str">
        <f aca="false">IF((E119="l"),H119," ")</f>
        <v> </v>
      </c>
      <c r="AG119" s="17" t="str">
        <f aca="false">IF((E119="y"),H119," ")</f>
        <v> </v>
      </c>
      <c r="AH119" s="17" t="str">
        <f aca="false">IF((E119="z"),H119," ")</f>
        <v> </v>
      </c>
      <c r="AI119" s="17" t="str">
        <f aca="false">IF((E119="fa"),H119," ")</f>
        <v> </v>
      </c>
      <c r="AJ119" s="17" t="str">
        <f aca="false">IF((E119="e"),H119," ")</f>
        <v> </v>
      </c>
    </row>
    <row r="120" customFormat="false" ht="12" hidden="false" customHeight="false" outlineLevel="0" collapsed="false">
      <c r="A120" s="28"/>
      <c r="E120" s="2" t="str">
        <f aca="false">IF((F120&lt;&gt;0),"Enter Letter"," ")</f>
        <v> </v>
      </c>
      <c r="F120" s="30"/>
      <c r="G120" s="6" t="str">
        <f aca="false">IF(F120&lt;&gt;0,F120*G$2/(100+G$2)," ")</f>
        <v> </v>
      </c>
      <c r="H120" s="6" t="str">
        <f aca="false">IF((F120&lt;&gt;0),F120-G120," ")</f>
        <v> </v>
      </c>
      <c r="I120" s="5"/>
      <c r="L120" s="7" t="str">
        <f aca="false">IF(F120&lt;&gt;0,F120-K120," ")</f>
        <v> </v>
      </c>
      <c r="M120" s="8" t="str">
        <f aca="false">IF((F120-K120)&lt;&gt;0,M$1-A120," ")</f>
        <v> </v>
      </c>
      <c r="N120" s="5"/>
      <c r="O120" s="17" t="str">
        <f aca="false">IF((E120="s"),H120," ")</f>
        <v> </v>
      </c>
      <c r="P120" s="17" t="str">
        <f aca="false">IF((E120="c"),H120," ")</f>
        <v> </v>
      </c>
      <c r="Q120" s="17" t="str">
        <f aca="false">IF((E120="o"),H120," ")</f>
        <v> </v>
      </c>
      <c r="R120" s="17" t="str">
        <f aca="false">IF((E120="d"),H120," ")</f>
        <v> </v>
      </c>
      <c r="S120" s="17" t="str">
        <f aca="false">IF((E120="w"),H120," ")</f>
        <v> </v>
      </c>
      <c r="T120" s="17" t="str">
        <f aca="false">IF((E120="r"),H120," ")</f>
        <v> </v>
      </c>
      <c r="U120" s="17" t="str">
        <f aca="false">IF((E120="p"),H120," ")</f>
        <v> </v>
      </c>
      <c r="V120" s="17" t="str">
        <f aca="false">IF((E120="t"),H120," ")</f>
        <v> </v>
      </c>
      <c r="W120" s="17" t="str">
        <f aca="false">IF((E120="q"),H120," ")</f>
        <v> </v>
      </c>
      <c r="X120" s="17" t="str">
        <f aca="false">IF((E120="m"),H120," ")</f>
        <v> </v>
      </c>
      <c r="Y120" s="17" t="str">
        <f aca="false">IF((E120="u"),H120," ")</f>
        <v> </v>
      </c>
      <c r="Z120" s="17" t="str">
        <f aca="false">IF((E120="a"),H120," ")</f>
        <v> </v>
      </c>
      <c r="AA120" s="17" t="str">
        <f aca="false">IF((E120="g"),H120," ")</f>
        <v> </v>
      </c>
      <c r="AB120" s="17" t="str">
        <f aca="false">IF((E120="h"),H120," ")</f>
        <v> </v>
      </c>
      <c r="AC120" s="30" t="str">
        <f aca="false">IF((E120="v"),H120," ")</f>
        <v> </v>
      </c>
      <c r="AD120" s="30" t="str">
        <f aca="false">IF((E120="n"),H120," ")</f>
        <v> </v>
      </c>
      <c r="AE120" s="17" t="str">
        <f aca="false">IF((E120="f"),H120," ")</f>
        <v> </v>
      </c>
      <c r="AF120" s="17" t="str">
        <f aca="false">IF((E120="l"),H120," ")</f>
        <v> </v>
      </c>
      <c r="AG120" s="17" t="str">
        <f aca="false">IF((E120="y"),H120," ")</f>
        <v> </v>
      </c>
      <c r="AH120" s="17" t="str">
        <f aca="false">IF((E120="z"),H120," ")</f>
        <v> </v>
      </c>
      <c r="AI120" s="17" t="str">
        <f aca="false">IF((E120="fa"),H120," ")</f>
        <v> </v>
      </c>
      <c r="AJ120" s="17" t="str">
        <f aca="false">IF((E120="e"),H120," ")</f>
        <v> </v>
      </c>
    </row>
    <row r="121" customFormat="false" ht="12" hidden="false" customHeight="false" outlineLevel="0" collapsed="false">
      <c r="A121" s="28"/>
      <c r="E121" s="2" t="str">
        <f aca="false">IF((F121&lt;&gt;0),"Enter Letter"," ")</f>
        <v> </v>
      </c>
      <c r="F121" s="30"/>
      <c r="G121" s="6" t="str">
        <f aca="false">IF(F121&lt;&gt;0,F121*G$2/(100+G$2)," ")</f>
        <v> </v>
      </c>
      <c r="H121" s="6" t="str">
        <f aca="false">IF((F121&lt;&gt;0),F121-G121," ")</f>
        <v> </v>
      </c>
      <c r="I121" s="5"/>
      <c r="L121" s="7" t="str">
        <f aca="false">IF(F121&lt;&gt;0,F121-K121," ")</f>
        <v> </v>
      </c>
      <c r="M121" s="8" t="str">
        <f aca="false">IF((F121-K121)&lt;&gt;0,M$1-A121," ")</f>
        <v> </v>
      </c>
      <c r="N121" s="5"/>
      <c r="O121" s="17" t="str">
        <f aca="false">IF((E121="s"),H121," ")</f>
        <v> </v>
      </c>
      <c r="P121" s="17" t="str">
        <f aca="false">IF((E121="c"),H121," ")</f>
        <v> </v>
      </c>
      <c r="Q121" s="17" t="str">
        <f aca="false">IF((E121="o"),H121," ")</f>
        <v> </v>
      </c>
      <c r="R121" s="17" t="str">
        <f aca="false">IF((E121="d"),H121," ")</f>
        <v> </v>
      </c>
      <c r="S121" s="17" t="str">
        <f aca="false">IF((E121="w"),H121," ")</f>
        <v> </v>
      </c>
      <c r="T121" s="17" t="str">
        <f aca="false">IF((E121="r"),H121," ")</f>
        <v> </v>
      </c>
      <c r="U121" s="17" t="str">
        <f aca="false">IF((E121="p"),H121," ")</f>
        <v> </v>
      </c>
      <c r="V121" s="17" t="str">
        <f aca="false">IF((E121="t"),H121," ")</f>
        <v> </v>
      </c>
      <c r="W121" s="17" t="str">
        <f aca="false">IF((E121="q"),H121," ")</f>
        <v> </v>
      </c>
      <c r="X121" s="17" t="str">
        <f aca="false">IF((E121="m"),H121," ")</f>
        <v> </v>
      </c>
      <c r="Y121" s="17" t="str">
        <f aca="false">IF((E121="u"),H121," ")</f>
        <v> </v>
      </c>
      <c r="Z121" s="17" t="str">
        <f aca="false">IF((E121="a"),H121," ")</f>
        <v> </v>
      </c>
      <c r="AA121" s="17" t="str">
        <f aca="false">IF((E121="g"),H121," ")</f>
        <v> </v>
      </c>
      <c r="AB121" s="17" t="str">
        <f aca="false">IF((E121="h"),H121," ")</f>
        <v> </v>
      </c>
      <c r="AC121" s="30" t="str">
        <f aca="false">IF((E121="v"),H121," ")</f>
        <v> </v>
      </c>
      <c r="AD121" s="30" t="str">
        <f aca="false">IF((E121="n"),H121," ")</f>
        <v> </v>
      </c>
      <c r="AE121" s="17" t="str">
        <f aca="false">IF((E121="f"),H121," ")</f>
        <v> </v>
      </c>
      <c r="AF121" s="17" t="str">
        <f aca="false">IF((E121="l"),H121," ")</f>
        <v> </v>
      </c>
      <c r="AG121" s="17" t="str">
        <f aca="false">IF((E121="y"),H121," ")</f>
        <v> </v>
      </c>
      <c r="AH121" s="17" t="str">
        <f aca="false">IF((E121="z"),H121," ")</f>
        <v> </v>
      </c>
      <c r="AI121" s="17" t="str">
        <f aca="false">IF((E121="fa"),H121," ")</f>
        <v> </v>
      </c>
      <c r="AJ121" s="17" t="str">
        <f aca="false">IF((E121="e"),H121," ")</f>
        <v> </v>
      </c>
    </row>
    <row r="122" customFormat="false" ht="12" hidden="false" customHeight="false" outlineLevel="0" collapsed="false">
      <c r="A122" s="28"/>
      <c r="E122" s="2" t="str">
        <f aca="false">IF((F122&lt;&gt;0),"Enter Letter"," ")</f>
        <v> </v>
      </c>
      <c r="F122" s="30"/>
      <c r="G122" s="6" t="str">
        <f aca="false">IF(F122&lt;&gt;0,F122*G$2/(100+G$2)," ")</f>
        <v> </v>
      </c>
      <c r="H122" s="6" t="str">
        <f aca="false">IF((F122&lt;&gt;0),F122-G122," ")</f>
        <v> </v>
      </c>
      <c r="I122" s="5"/>
      <c r="L122" s="7" t="str">
        <f aca="false">IF(F122&lt;&gt;0,F122-K122," ")</f>
        <v> </v>
      </c>
      <c r="M122" s="8" t="str">
        <f aca="false">IF((F122-K122)&lt;&gt;0,M$1-A122," ")</f>
        <v> </v>
      </c>
      <c r="N122" s="5"/>
      <c r="O122" s="17" t="str">
        <f aca="false">IF((E122="s"),H122," ")</f>
        <v> </v>
      </c>
      <c r="P122" s="17" t="str">
        <f aca="false">IF((E122="c"),H122," ")</f>
        <v> </v>
      </c>
      <c r="Q122" s="17" t="str">
        <f aca="false">IF((E122="o"),H122," ")</f>
        <v> </v>
      </c>
      <c r="R122" s="17" t="str">
        <f aca="false">IF((E122="d"),H122," ")</f>
        <v> </v>
      </c>
      <c r="S122" s="17" t="str">
        <f aca="false">IF((E122="w"),H122," ")</f>
        <v> </v>
      </c>
      <c r="T122" s="17" t="str">
        <f aca="false">IF((E122="r"),H122," ")</f>
        <v> </v>
      </c>
      <c r="U122" s="17" t="str">
        <f aca="false">IF((E122="p"),H122," ")</f>
        <v> </v>
      </c>
      <c r="V122" s="17" t="str">
        <f aca="false">IF((E122="t"),H122," ")</f>
        <v> </v>
      </c>
      <c r="W122" s="17" t="str">
        <f aca="false">IF((E122="q"),H122," ")</f>
        <v> </v>
      </c>
      <c r="X122" s="17" t="str">
        <f aca="false">IF((E122="m"),H122," ")</f>
        <v> </v>
      </c>
      <c r="Y122" s="17" t="str">
        <f aca="false">IF((E122="u"),H122," ")</f>
        <v> </v>
      </c>
      <c r="Z122" s="17" t="str">
        <f aca="false">IF((E122="a"),H122," ")</f>
        <v> </v>
      </c>
      <c r="AA122" s="17" t="str">
        <f aca="false">IF((E122="g"),H122," ")</f>
        <v> </v>
      </c>
      <c r="AB122" s="17" t="str">
        <f aca="false">IF((E122="h"),H122," ")</f>
        <v> </v>
      </c>
      <c r="AC122" s="30" t="str">
        <f aca="false">IF((E122="v"),H122," ")</f>
        <v> </v>
      </c>
      <c r="AD122" s="30" t="str">
        <f aca="false">IF((E122="n"),H122," ")</f>
        <v> </v>
      </c>
      <c r="AE122" s="17" t="str">
        <f aca="false">IF((E122="f"),H122," ")</f>
        <v> </v>
      </c>
      <c r="AF122" s="17" t="str">
        <f aca="false">IF((E122="l"),H122," ")</f>
        <v> </v>
      </c>
      <c r="AG122" s="17" t="str">
        <f aca="false">IF((E122="y"),H122," ")</f>
        <v> </v>
      </c>
      <c r="AH122" s="17" t="str">
        <f aca="false">IF((E122="z"),H122," ")</f>
        <v> </v>
      </c>
      <c r="AI122" s="17" t="str">
        <f aca="false">IF((E122="fa"),H122," ")</f>
        <v> </v>
      </c>
      <c r="AJ122" s="17" t="str">
        <f aca="false">IF((E122="e"),H122," ")</f>
        <v> </v>
      </c>
    </row>
    <row r="123" customFormat="false" ht="12" hidden="false" customHeight="false" outlineLevel="0" collapsed="false">
      <c r="A123" s="28"/>
      <c r="E123" s="2" t="str">
        <f aca="false">IF((F123&lt;&gt;0),"Enter Letter"," ")</f>
        <v> </v>
      </c>
      <c r="F123" s="30"/>
      <c r="G123" s="6" t="str">
        <f aca="false">IF(F123&lt;&gt;0,F123*G$2/(100+G$2)," ")</f>
        <v> </v>
      </c>
      <c r="H123" s="6" t="str">
        <f aca="false">IF((F123&lt;&gt;0),F123-G123," ")</f>
        <v> </v>
      </c>
      <c r="I123" s="5"/>
      <c r="L123" s="7" t="str">
        <f aca="false">IF(F123&lt;&gt;0,F123-K123," ")</f>
        <v> </v>
      </c>
      <c r="M123" s="8" t="str">
        <f aca="false">IF((F123-K123)&lt;&gt;0,M$1-A123," ")</f>
        <v> </v>
      </c>
      <c r="N123" s="5"/>
      <c r="O123" s="17" t="str">
        <f aca="false">IF((E123="s"),H123," ")</f>
        <v> </v>
      </c>
      <c r="P123" s="17" t="str">
        <f aca="false">IF((E123="c"),H123," ")</f>
        <v> </v>
      </c>
      <c r="Q123" s="17" t="str">
        <f aca="false">IF((E123="o"),H123," ")</f>
        <v> </v>
      </c>
      <c r="R123" s="17" t="str">
        <f aca="false">IF((E123="d"),H123," ")</f>
        <v> </v>
      </c>
      <c r="S123" s="17" t="str">
        <f aca="false">IF((E123="w"),H123," ")</f>
        <v> </v>
      </c>
      <c r="T123" s="17" t="str">
        <f aca="false">IF((E123="r"),H123," ")</f>
        <v> </v>
      </c>
      <c r="U123" s="17" t="str">
        <f aca="false">IF((E123="p"),H123," ")</f>
        <v> </v>
      </c>
      <c r="V123" s="17" t="str">
        <f aca="false">IF((E123="t"),H123," ")</f>
        <v> </v>
      </c>
      <c r="W123" s="17" t="str">
        <f aca="false">IF((E123="q"),H123," ")</f>
        <v> </v>
      </c>
      <c r="X123" s="17" t="str">
        <f aca="false">IF((E123="m"),H123," ")</f>
        <v> </v>
      </c>
      <c r="Y123" s="17" t="str">
        <f aca="false">IF((E123="u"),H123," ")</f>
        <v> </v>
      </c>
      <c r="Z123" s="17" t="str">
        <f aca="false">IF((E123="a"),H123," ")</f>
        <v> </v>
      </c>
      <c r="AA123" s="17" t="str">
        <f aca="false">IF((E123="g"),H123," ")</f>
        <v> </v>
      </c>
      <c r="AB123" s="17" t="str">
        <f aca="false">IF((E123="h"),H123," ")</f>
        <v> </v>
      </c>
      <c r="AC123" s="30" t="str">
        <f aca="false">IF((E123="v"),H123," ")</f>
        <v> </v>
      </c>
      <c r="AD123" s="30" t="str">
        <f aca="false">IF((E123="n"),H123," ")</f>
        <v> </v>
      </c>
      <c r="AE123" s="17" t="str">
        <f aca="false">IF((E123="f"),H123," ")</f>
        <v> </v>
      </c>
      <c r="AF123" s="17" t="str">
        <f aca="false">IF((E123="l"),H123," ")</f>
        <v> </v>
      </c>
      <c r="AG123" s="17" t="str">
        <f aca="false">IF((E123="y"),H123," ")</f>
        <v> </v>
      </c>
      <c r="AH123" s="17" t="str">
        <f aca="false">IF((E123="z"),H123," ")</f>
        <v> </v>
      </c>
      <c r="AI123" s="17" t="str">
        <f aca="false">IF((E123="fa"),H123," ")</f>
        <v> </v>
      </c>
      <c r="AJ123" s="17" t="str">
        <f aca="false">IF((E123="e"),H123," ")</f>
        <v> </v>
      </c>
    </row>
    <row r="124" customFormat="false" ht="12" hidden="false" customHeight="false" outlineLevel="0" collapsed="false">
      <c r="A124" s="28"/>
      <c r="E124" s="2" t="str">
        <f aca="false">IF((F124&lt;&gt;0),"Enter Letter"," ")</f>
        <v> </v>
      </c>
      <c r="F124" s="30"/>
      <c r="G124" s="6" t="str">
        <f aca="false">IF(F124&lt;&gt;0,F124*G$2/(100+G$2)," ")</f>
        <v> </v>
      </c>
      <c r="H124" s="6" t="str">
        <f aca="false">IF((F124&lt;&gt;0),F124-G124," ")</f>
        <v> </v>
      </c>
      <c r="I124" s="5"/>
      <c r="L124" s="7" t="str">
        <f aca="false">IF(F124&lt;&gt;0,F124-K124," ")</f>
        <v> </v>
      </c>
      <c r="M124" s="8" t="str">
        <f aca="false">IF((F124-K124)&lt;&gt;0,M$1-A124," ")</f>
        <v> </v>
      </c>
      <c r="N124" s="5"/>
      <c r="O124" s="17" t="str">
        <f aca="false">IF((E124="s"),H124," ")</f>
        <v> </v>
      </c>
      <c r="P124" s="17" t="str">
        <f aca="false">IF((E124="c"),H124," ")</f>
        <v> </v>
      </c>
      <c r="Q124" s="17" t="str">
        <f aca="false">IF((E124="o"),H124," ")</f>
        <v> </v>
      </c>
      <c r="R124" s="17" t="str">
        <f aca="false">IF((E124="d"),H124," ")</f>
        <v> </v>
      </c>
      <c r="S124" s="17" t="str">
        <f aca="false">IF((E124="w"),H124," ")</f>
        <v> </v>
      </c>
      <c r="T124" s="17" t="str">
        <f aca="false">IF((E124="r"),H124," ")</f>
        <v> </v>
      </c>
      <c r="U124" s="17" t="str">
        <f aca="false">IF((E124="p"),H124," ")</f>
        <v> </v>
      </c>
      <c r="V124" s="17" t="str">
        <f aca="false">IF((E124="t"),H124," ")</f>
        <v> </v>
      </c>
      <c r="W124" s="17" t="str">
        <f aca="false">IF((E124="q"),H124," ")</f>
        <v> </v>
      </c>
      <c r="X124" s="17" t="str">
        <f aca="false">IF((E124="m"),H124," ")</f>
        <v> </v>
      </c>
      <c r="Y124" s="17" t="str">
        <f aca="false">IF((E124="u"),H124," ")</f>
        <v> </v>
      </c>
      <c r="Z124" s="17" t="str">
        <f aca="false">IF((E124="a"),H124," ")</f>
        <v> </v>
      </c>
      <c r="AA124" s="17" t="str">
        <f aca="false">IF((E124="g"),H124," ")</f>
        <v> </v>
      </c>
      <c r="AB124" s="17" t="str">
        <f aca="false">IF((E124="h"),H124," ")</f>
        <v> </v>
      </c>
      <c r="AC124" s="30" t="str">
        <f aca="false">IF((E124="v"),H124," ")</f>
        <v> </v>
      </c>
      <c r="AD124" s="30" t="str">
        <f aca="false">IF((E124="n"),H124," ")</f>
        <v> </v>
      </c>
      <c r="AE124" s="17" t="str">
        <f aca="false">IF((E124="f"),H124," ")</f>
        <v> </v>
      </c>
      <c r="AF124" s="17" t="str">
        <f aca="false">IF((E124="l"),H124," ")</f>
        <v> </v>
      </c>
      <c r="AG124" s="17" t="str">
        <f aca="false">IF((E124="y"),H124," ")</f>
        <v> </v>
      </c>
      <c r="AH124" s="17" t="str">
        <f aca="false">IF((E124="z"),H124," ")</f>
        <v> </v>
      </c>
      <c r="AI124" s="17" t="str">
        <f aca="false">IF((E124="fa"),H124," ")</f>
        <v> </v>
      </c>
      <c r="AJ124" s="17" t="str">
        <f aca="false">IF((E124="e"),H124," ")</f>
        <v> </v>
      </c>
    </row>
    <row r="125" customFormat="false" ht="12" hidden="false" customHeight="false" outlineLevel="0" collapsed="false">
      <c r="A125" s="28"/>
      <c r="E125" s="2" t="str">
        <f aca="false">IF((F125&lt;&gt;0),"Enter Letter"," ")</f>
        <v> </v>
      </c>
      <c r="F125" s="30"/>
      <c r="G125" s="6" t="str">
        <f aca="false">IF(F125&lt;&gt;0,F125*G$2/(100+G$2)," ")</f>
        <v> </v>
      </c>
      <c r="H125" s="6" t="str">
        <f aca="false">IF((F125&lt;&gt;0),F125-G125," ")</f>
        <v> </v>
      </c>
      <c r="I125" s="5"/>
      <c r="L125" s="7" t="str">
        <f aca="false">IF(F125&lt;&gt;0,F125-K125," ")</f>
        <v> </v>
      </c>
      <c r="M125" s="8" t="str">
        <f aca="false">IF((F125-K125)&lt;&gt;0,M$1-A125," ")</f>
        <v> </v>
      </c>
      <c r="N125" s="5"/>
      <c r="O125" s="17" t="str">
        <f aca="false">IF((E125="s"),H125," ")</f>
        <v> </v>
      </c>
      <c r="P125" s="17" t="str">
        <f aca="false">IF((E125="c"),H125," ")</f>
        <v> </v>
      </c>
      <c r="Q125" s="17" t="str">
        <f aca="false">IF((E125="o"),H125," ")</f>
        <v> </v>
      </c>
      <c r="R125" s="17" t="str">
        <f aca="false">IF((E125="d"),H125," ")</f>
        <v> </v>
      </c>
      <c r="S125" s="17" t="str">
        <f aca="false">IF((E125="w"),H125," ")</f>
        <v> </v>
      </c>
      <c r="T125" s="17" t="str">
        <f aca="false">IF((E125="r"),H125," ")</f>
        <v> </v>
      </c>
      <c r="U125" s="17" t="str">
        <f aca="false">IF((E125="p"),H125," ")</f>
        <v> </v>
      </c>
      <c r="V125" s="17" t="str">
        <f aca="false">IF((E125="t"),H125," ")</f>
        <v> </v>
      </c>
      <c r="W125" s="17" t="str">
        <f aca="false">IF((E125="q"),H125," ")</f>
        <v> </v>
      </c>
      <c r="X125" s="17" t="str">
        <f aca="false">IF((E125="m"),H125," ")</f>
        <v> </v>
      </c>
      <c r="Y125" s="17" t="str">
        <f aca="false">IF((E125="u"),H125," ")</f>
        <v> </v>
      </c>
      <c r="Z125" s="17" t="str">
        <f aca="false">IF((E125="a"),H125," ")</f>
        <v> </v>
      </c>
      <c r="AA125" s="17" t="str">
        <f aca="false">IF((E125="g"),H125," ")</f>
        <v> </v>
      </c>
      <c r="AB125" s="17" t="str">
        <f aca="false">IF((E125="h"),H125," ")</f>
        <v> </v>
      </c>
      <c r="AC125" s="30" t="str">
        <f aca="false">IF((E125="v"),H125," ")</f>
        <v> </v>
      </c>
      <c r="AD125" s="30" t="str">
        <f aca="false">IF((E125="n"),H125," ")</f>
        <v> </v>
      </c>
      <c r="AE125" s="17" t="str">
        <f aca="false">IF((E125="f"),H125," ")</f>
        <v> </v>
      </c>
      <c r="AF125" s="17" t="str">
        <f aca="false">IF((E125="l"),H125," ")</f>
        <v> </v>
      </c>
      <c r="AG125" s="17" t="str">
        <f aca="false">IF((E125="y"),H125," ")</f>
        <v> </v>
      </c>
      <c r="AH125" s="17" t="str">
        <f aca="false">IF((E125="z"),H125," ")</f>
        <v> </v>
      </c>
      <c r="AI125" s="17" t="str">
        <f aca="false">IF((E125="fa"),H125," ")</f>
        <v> </v>
      </c>
      <c r="AJ125" s="17" t="str">
        <f aca="false">IF((E125="e"),H125," ")</f>
        <v> </v>
      </c>
    </row>
    <row r="126" customFormat="false" ht="12" hidden="false" customHeight="false" outlineLevel="0" collapsed="false">
      <c r="A126" s="28"/>
      <c r="E126" s="2" t="str">
        <f aca="false">IF((F126&lt;&gt;0),"Enter Letter"," ")</f>
        <v> </v>
      </c>
      <c r="F126" s="30"/>
      <c r="G126" s="6" t="str">
        <f aca="false">IF(F126&lt;&gt;0,F126*G$2/(100+G$2)," ")</f>
        <v> </v>
      </c>
      <c r="H126" s="6" t="str">
        <f aca="false">IF((F126&lt;&gt;0),F126-G126," ")</f>
        <v> </v>
      </c>
      <c r="I126" s="5"/>
      <c r="L126" s="7" t="str">
        <f aca="false">IF(F126&lt;&gt;0,F126-K126," ")</f>
        <v> </v>
      </c>
      <c r="M126" s="8" t="str">
        <f aca="false">IF((F126-K126)&lt;&gt;0,M$1-A126," ")</f>
        <v> </v>
      </c>
      <c r="N126" s="5"/>
      <c r="O126" s="17" t="str">
        <f aca="false">IF((E126="s"),H126," ")</f>
        <v> </v>
      </c>
      <c r="P126" s="17" t="str">
        <f aca="false">IF((E126="c"),H126," ")</f>
        <v> </v>
      </c>
      <c r="Q126" s="17" t="str">
        <f aca="false">IF((E126="o"),H126," ")</f>
        <v> </v>
      </c>
      <c r="R126" s="17" t="str">
        <f aca="false">IF((E126="d"),H126," ")</f>
        <v> </v>
      </c>
      <c r="S126" s="17" t="str">
        <f aca="false">IF((E126="w"),H126," ")</f>
        <v> </v>
      </c>
      <c r="T126" s="17" t="str">
        <f aca="false">IF((E126="r"),H126," ")</f>
        <v> </v>
      </c>
      <c r="U126" s="17" t="str">
        <f aca="false">IF((E126="p"),H126," ")</f>
        <v> </v>
      </c>
      <c r="V126" s="17" t="str">
        <f aca="false">IF((E126="t"),H126," ")</f>
        <v> </v>
      </c>
      <c r="W126" s="17" t="str">
        <f aca="false">IF((E126="q"),H126," ")</f>
        <v> </v>
      </c>
      <c r="X126" s="17" t="str">
        <f aca="false">IF((E126="m"),H126," ")</f>
        <v> </v>
      </c>
      <c r="Y126" s="17" t="str">
        <f aca="false">IF((E126="u"),H126," ")</f>
        <v> </v>
      </c>
      <c r="Z126" s="17" t="str">
        <f aca="false">IF((E126="a"),H126," ")</f>
        <v> </v>
      </c>
      <c r="AA126" s="17" t="str">
        <f aca="false">IF((E126="g"),H126," ")</f>
        <v> </v>
      </c>
      <c r="AB126" s="17" t="str">
        <f aca="false">IF((E126="h"),H126," ")</f>
        <v> </v>
      </c>
      <c r="AC126" s="30" t="str">
        <f aca="false">IF((E126="v"),H126," ")</f>
        <v> </v>
      </c>
      <c r="AD126" s="30" t="str">
        <f aca="false">IF((E126="n"),H126," ")</f>
        <v> </v>
      </c>
      <c r="AE126" s="17" t="str">
        <f aca="false">IF((E126="f"),H126," ")</f>
        <v> </v>
      </c>
      <c r="AF126" s="17" t="str">
        <f aca="false">IF((E126="l"),H126," ")</f>
        <v> </v>
      </c>
      <c r="AG126" s="17" t="str">
        <f aca="false">IF((E126="y"),H126," ")</f>
        <v> </v>
      </c>
      <c r="AH126" s="17" t="str">
        <f aca="false">IF((E126="z"),H126," ")</f>
        <v> </v>
      </c>
      <c r="AI126" s="17" t="str">
        <f aca="false">IF((E126="fa"),H126," ")</f>
        <v> </v>
      </c>
      <c r="AJ126" s="17" t="str">
        <f aca="false">IF((E126="e"),H126," ")</f>
        <v> </v>
      </c>
    </row>
    <row r="127" customFormat="false" ht="12" hidden="false" customHeight="false" outlineLevel="0" collapsed="false">
      <c r="A127" s="28"/>
      <c r="E127" s="2" t="str">
        <f aca="false">IF((F127&lt;&gt;0),"Enter Letter"," ")</f>
        <v> </v>
      </c>
      <c r="F127" s="30"/>
      <c r="G127" s="6" t="str">
        <f aca="false">IF(F127&lt;&gt;0,F127*G$2/(100+G$2)," ")</f>
        <v> </v>
      </c>
      <c r="H127" s="6" t="str">
        <f aca="false">IF((F127&lt;&gt;0),F127-G127," ")</f>
        <v> </v>
      </c>
      <c r="I127" s="5"/>
      <c r="L127" s="7" t="str">
        <f aca="false">IF(F127&lt;&gt;0,F127-K127," ")</f>
        <v> </v>
      </c>
      <c r="M127" s="8" t="str">
        <f aca="false">IF((F127-K127)&lt;&gt;0,M$1-A127," ")</f>
        <v> </v>
      </c>
      <c r="N127" s="5"/>
      <c r="O127" s="17" t="str">
        <f aca="false">IF((E127="s"),H127," ")</f>
        <v> </v>
      </c>
      <c r="P127" s="17" t="str">
        <f aca="false">IF((E127="c"),H127," ")</f>
        <v> </v>
      </c>
      <c r="Q127" s="17" t="str">
        <f aca="false">IF((E127="o"),H127," ")</f>
        <v> </v>
      </c>
      <c r="R127" s="17" t="str">
        <f aca="false">IF((E127="d"),H127," ")</f>
        <v> </v>
      </c>
      <c r="S127" s="17" t="str">
        <f aca="false">IF((E127="w"),H127," ")</f>
        <v> </v>
      </c>
      <c r="T127" s="17" t="str">
        <f aca="false">IF((E127="r"),H127," ")</f>
        <v> </v>
      </c>
      <c r="U127" s="17" t="str">
        <f aca="false">IF((E127="p"),H127," ")</f>
        <v> </v>
      </c>
      <c r="V127" s="17" t="str">
        <f aca="false">IF((E127="t"),H127," ")</f>
        <v> </v>
      </c>
      <c r="W127" s="17" t="str">
        <f aca="false">IF((E127="q"),H127," ")</f>
        <v> </v>
      </c>
      <c r="X127" s="17" t="str">
        <f aca="false">IF((E127="m"),H127," ")</f>
        <v> </v>
      </c>
      <c r="Y127" s="17" t="str">
        <f aca="false">IF((E127="u"),H127," ")</f>
        <v> </v>
      </c>
      <c r="Z127" s="17" t="str">
        <f aca="false">IF((E127="a"),H127," ")</f>
        <v> </v>
      </c>
      <c r="AA127" s="17" t="str">
        <f aca="false">IF((E127="g"),H127," ")</f>
        <v> </v>
      </c>
      <c r="AB127" s="17" t="str">
        <f aca="false">IF((E127="h"),H127," ")</f>
        <v> </v>
      </c>
      <c r="AC127" s="30" t="str">
        <f aca="false">IF((E127="v"),H127," ")</f>
        <v> </v>
      </c>
      <c r="AD127" s="30" t="str">
        <f aca="false">IF((E127="n"),H127," ")</f>
        <v> </v>
      </c>
      <c r="AE127" s="17" t="str">
        <f aca="false">IF((E127="f"),H127," ")</f>
        <v> </v>
      </c>
      <c r="AF127" s="17" t="str">
        <f aca="false">IF((E127="l"),H127," ")</f>
        <v> </v>
      </c>
      <c r="AG127" s="17" t="str">
        <f aca="false">IF((E127="y"),H127," ")</f>
        <v> </v>
      </c>
      <c r="AH127" s="17" t="str">
        <f aca="false">IF((E127="z"),H127," ")</f>
        <v> </v>
      </c>
      <c r="AI127" s="17" t="str">
        <f aca="false">IF((E127="fa"),H127," ")</f>
        <v> </v>
      </c>
      <c r="AJ127" s="17" t="str">
        <f aca="false">IF((E127="e"),H127," ")</f>
        <v> </v>
      </c>
    </row>
    <row r="128" customFormat="false" ht="12" hidden="false" customHeight="false" outlineLevel="0" collapsed="false">
      <c r="A128" s="28"/>
      <c r="E128" s="2" t="str">
        <f aca="false">IF((F128&lt;&gt;0),"Enter Letter"," ")</f>
        <v> </v>
      </c>
      <c r="F128" s="30"/>
      <c r="G128" s="6" t="str">
        <f aca="false">IF(F128&lt;&gt;0,F128*G$2/(100+G$2)," ")</f>
        <v> </v>
      </c>
      <c r="H128" s="6" t="str">
        <f aca="false">IF((F128&lt;&gt;0),F128-G128," ")</f>
        <v> </v>
      </c>
      <c r="I128" s="5"/>
      <c r="L128" s="7" t="str">
        <f aca="false">IF(F128&lt;&gt;0,F128-K128," ")</f>
        <v> </v>
      </c>
      <c r="M128" s="8" t="str">
        <f aca="false">IF((F128-K128)&lt;&gt;0,M$1-A128," ")</f>
        <v> </v>
      </c>
      <c r="N128" s="5"/>
      <c r="O128" s="17" t="str">
        <f aca="false">IF((E128="s"),H128," ")</f>
        <v> </v>
      </c>
      <c r="P128" s="17" t="str">
        <f aca="false">IF((E128="c"),H128," ")</f>
        <v> </v>
      </c>
      <c r="Q128" s="17" t="str">
        <f aca="false">IF((E128="o"),H128," ")</f>
        <v> </v>
      </c>
      <c r="R128" s="17" t="str">
        <f aca="false">IF((E128="d"),H128," ")</f>
        <v> </v>
      </c>
      <c r="S128" s="17" t="str">
        <f aca="false">IF((E128="w"),H128," ")</f>
        <v> </v>
      </c>
      <c r="T128" s="17" t="str">
        <f aca="false">IF((E128="r"),H128," ")</f>
        <v> </v>
      </c>
      <c r="U128" s="17" t="str">
        <f aca="false">IF((E128="p"),H128," ")</f>
        <v> </v>
      </c>
      <c r="V128" s="17" t="str">
        <f aca="false">IF((E128="t"),H128," ")</f>
        <v> </v>
      </c>
      <c r="W128" s="17" t="str">
        <f aca="false">IF((E128="q"),H128," ")</f>
        <v> </v>
      </c>
      <c r="X128" s="17" t="str">
        <f aca="false">IF((E128="m"),H128," ")</f>
        <v> </v>
      </c>
      <c r="Y128" s="17" t="str">
        <f aca="false">IF((E128="u"),H128," ")</f>
        <v> </v>
      </c>
      <c r="Z128" s="17" t="str">
        <f aca="false">IF((E128="a"),H128," ")</f>
        <v> </v>
      </c>
      <c r="AA128" s="17" t="str">
        <f aca="false">IF((E128="g"),H128," ")</f>
        <v> </v>
      </c>
      <c r="AB128" s="17" t="str">
        <f aca="false">IF((E128="h"),H128," ")</f>
        <v> </v>
      </c>
      <c r="AC128" s="30" t="str">
        <f aca="false">IF((E128="v"),H128," ")</f>
        <v> </v>
      </c>
      <c r="AD128" s="30" t="str">
        <f aca="false">IF((E128="n"),H128," ")</f>
        <v> </v>
      </c>
      <c r="AE128" s="17" t="str">
        <f aca="false">IF((E128="f"),H128," ")</f>
        <v> </v>
      </c>
      <c r="AF128" s="17" t="str">
        <f aca="false">IF((E128="l"),H128," ")</f>
        <v> </v>
      </c>
      <c r="AG128" s="17" t="str">
        <f aca="false">IF((E128="y"),H128," ")</f>
        <v> </v>
      </c>
      <c r="AH128" s="17" t="str">
        <f aca="false">IF((E128="z"),H128," ")</f>
        <v> </v>
      </c>
      <c r="AI128" s="17" t="str">
        <f aca="false">IF((E128="fa"),H128," ")</f>
        <v> </v>
      </c>
      <c r="AJ128" s="17" t="str">
        <f aca="false">IF((E128="e"),H128," ")</f>
        <v> </v>
      </c>
    </row>
    <row r="129" customFormat="false" ht="12" hidden="false" customHeight="false" outlineLevel="0" collapsed="false">
      <c r="A129" s="28"/>
      <c r="E129" s="2" t="str">
        <f aca="false">IF((F129&lt;&gt;0),"Enter Letter"," ")</f>
        <v> </v>
      </c>
      <c r="F129" s="30"/>
      <c r="G129" s="6" t="str">
        <f aca="false">IF(F129&lt;&gt;0,F129*G$2/(100+G$2)," ")</f>
        <v> </v>
      </c>
      <c r="H129" s="6" t="str">
        <f aca="false">IF((F129&lt;&gt;0),F129-G129," ")</f>
        <v> </v>
      </c>
      <c r="I129" s="5"/>
      <c r="L129" s="7" t="str">
        <f aca="false">IF(F129&lt;&gt;0,F129-K129," ")</f>
        <v> </v>
      </c>
      <c r="M129" s="8" t="str">
        <f aca="false">IF((F129-K129)&lt;&gt;0,M$1-A129," ")</f>
        <v> </v>
      </c>
      <c r="N129" s="5"/>
      <c r="O129" s="17" t="str">
        <f aca="false">IF((E129="s"),H129," ")</f>
        <v> </v>
      </c>
      <c r="P129" s="17" t="str">
        <f aca="false">IF((E129="c"),H129," ")</f>
        <v> </v>
      </c>
      <c r="Q129" s="17" t="str">
        <f aca="false">IF((E129="o"),H129," ")</f>
        <v> </v>
      </c>
      <c r="R129" s="17" t="str">
        <f aca="false">IF((E129="d"),H129," ")</f>
        <v> </v>
      </c>
      <c r="S129" s="17" t="str">
        <f aca="false">IF((E129="w"),H129," ")</f>
        <v> </v>
      </c>
      <c r="T129" s="17" t="str">
        <f aca="false">IF((E129="r"),H129," ")</f>
        <v> </v>
      </c>
      <c r="U129" s="17" t="str">
        <f aca="false">IF((E129="p"),H129," ")</f>
        <v> </v>
      </c>
      <c r="V129" s="17" t="str">
        <f aca="false">IF((E129="t"),H129," ")</f>
        <v> </v>
      </c>
      <c r="W129" s="17" t="str">
        <f aca="false">IF((E129="q"),H129," ")</f>
        <v> </v>
      </c>
      <c r="X129" s="17" t="str">
        <f aca="false">IF((E129="m"),H129," ")</f>
        <v> </v>
      </c>
      <c r="Y129" s="17" t="str">
        <f aca="false">IF((E129="u"),H129," ")</f>
        <v> </v>
      </c>
      <c r="Z129" s="17" t="str">
        <f aca="false">IF((E129="a"),H129," ")</f>
        <v> </v>
      </c>
      <c r="AA129" s="17" t="str">
        <f aca="false">IF((E129="g"),H129," ")</f>
        <v> </v>
      </c>
      <c r="AB129" s="17" t="str">
        <f aca="false">IF((E129="h"),H129," ")</f>
        <v> </v>
      </c>
      <c r="AC129" s="30" t="str">
        <f aca="false">IF((E129="v"),H129," ")</f>
        <v> </v>
      </c>
      <c r="AD129" s="30" t="str">
        <f aca="false">IF((E129="n"),H129," ")</f>
        <v> </v>
      </c>
      <c r="AE129" s="17" t="str">
        <f aca="false">IF((E129="f"),H129," ")</f>
        <v> </v>
      </c>
      <c r="AF129" s="17" t="str">
        <f aca="false">IF((E129="l"),H129," ")</f>
        <v> </v>
      </c>
      <c r="AG129" s="17" t="str">
        <f aca="false">IF((E129="y"),H129," ")</f>
        <v> </v>
      </c>
      <c r="AH129" s="17" t="str">
        <f aca="false">IF((E129="z"),H129," ")</f>
        <v> </v>
      </c>
      <c r="AI129" s="17" t="str">
        <f aca="false">IF((E129="fa"),H129," ")</f>
        <v> </v>
      </c>
      <c r="AJ129" s="17" t="str">
        <f aca="false">IF((E129="e"),H129," ")</f>
        <v> </v>
      </c>
    </row>
    <row r="130" customFormat="false" ht="12" hidden="false" customHeight="false" outlineLevel="0" collapsed="false">
      <c r="A130" s="28"/>
      <c r="E130" s="2" t="str">
        <f aca="false">IF((F130&lt;&gt;0),"Enter Letter"," ")</f>
        <v> </v>
      </c>
      <c r="F130" s="30"/>
      <c r="G130" s="6" t="str">
        <f aca="false">IF(F130&lt;&gt;0,F130*G$2/(100+G$2)," ")</f>
        <v> </v>
      </c>
      <c r="H130" s="6" t="str">
        <f aca="false">IF((F130&lt;&gt;0),F130-G130," ")</f>
        <v> </v>
      </c>
      <c r="I130" s="5"/>
      <c r="L130" s="7" t="str">
        <f aca="false">IF(F130&lt;&gt;0,F130-K130," ")</f>
        <v> </v>
      </c>
      <c r="M130" s="8" t="str">
        <f aca="false">IF((F130-K130)&lt;&gt;0,M$1-A130," ")</f>
        <v> </v>
      </c>
      <c r="N130" s="5"/>
      <c r="O130" s="17" t="str">
        <f aca="false">IF((E130="s"),H130," ")</f>
        <v> </v>
      </c>
      <c r="P130" s="17" t="str">
        <f aca="false">IF((E130="c"),H130," ")</f>
        <v> </v>
      </c>
      <c r="Q130" s="17" t="str">
        <f aca="false">IF((E130="o"),H130," ")</f>
        <v> </v>
      </c>
      <c r="R130" s="17" t="str">
        <f aca="false">IF((E130="d"),H130," ")</f>
        <v> </v>
      </c>
      <c r="S130" s="17" t="str">
        <f aca="false">IF((E130="w"),H130," ")</f>
        <v> </v>
      </c>
      <c r="T130" s="17" t="str">
        <f aca="false">IF((E130="r"),H130," ")</f>
        <v> </v>
      </c>
      <c r="U130" s="17" t="str">
        <f aca="false">IF((E130="p"),H130," ")</f>
        <v> </v>
      </c>
      <c r="V130" s="17" t="str">
        <f aca="false">IF((E130="t"),H130," ")</f>
        <v> </v>
      </c>
      <c r="W130" s="17" t="str">
        <f aca="false">IF((E130="q"),H130," ")</f>
        <v> </v>
      </c>
      <c r="X130" s="17" t="str">
        <f aca="false">IF((E130="m"),H130," ")</f>
        <v> </v>
      </c>
      <c r="Y130" s="17" t="str">
        <f aca="false">IF((E130="u"),H130," ")</f>
        <v> </v>
      </c>
      <c r="Z130" s="17" t="str">
        <f aca="false">IF((E130="a"),H130," ")</f>
        <v> </v>
      </c>
      <c r="AA130" s="17" t="str">
        <f aca="false">IF((E130="g"),H130," ")</f>
        <v> </v>
      </c>
      <c r="AB130" s="17" t="str">
        <f aca="false">IF((E130="h"),H130," ")</f>
        <v> </v>
      </c>
      <c r="AC130" s="30" t="str">
        <f aca="false">IF((E130="v"),H130," ")</f>
        <v> </v>
      </c>
      <c r="AD130" s="30" t="str">
        <f aca="false">IF((E130="n"),H130," ")</f>
        <v> </v>
      </c>
      <c r="AE130" s="17" t="str">
        <f aca="false">IF((E130="f"),H130," ")</f>
        <v> </v>
      </c>
      <c r="AF130" s="17" t="str">
        <f aca="false">IF((E130="l"),H130," ")</f>
        <v> </v>
      </c>
      <c r="AG130" s="17" t="str">
        <f aca="false">IF((E130="y"),H130," ")</f>
        <v> </v>
      </c>
      <c r="AH130" s="17" t="str">
        <f aca="false">IF((E130="z"),H130," ")</f>
        <v> </v>
      </c>
      <c r="AI130" s="17" t="str">
        <f aca="false">IF((E130="fa"),H130," ")</f>
        <v> </v>
      </c>
      <c r="AJ130" s="17" t="str">
        <f aca="false">IF((E130="e"),H130," ")</f>
        <v> </v>
      </c>
    </row>
    <row r="131" customFormat="false" ht="12" hidden="false" customHeight="false" outlineLevel="0" collapsed="false">
      <c r="A131" s="28"/>
      <c r="E131" s="2" t="str">
        <f aca="false">IF((F131&lt;&gt;0),"Enter Letter"," ")</f>
        <v> </v>
      </c>
      <c r="F131" s="30"/>
      <c r="G131" s="6" t="str">
        <f aca="false">IF(F131&lt;&gt;0,F131*G$2/(100+G$2)," ")</f>
        <v> </v>
      </c>
      <c r="H131" s="6" t="str">
        <f aca="false">IF((F131&lt;&gt;0),F131-G131," ")</f>
        <v> </v>
      </c>
      <c r="I131" s="5"/>
      <c r="L131" s="7" t="str">
        <f aca="false">IF(F131&lt;&gt;0,F131-K131," ")</f>
        <v> </v>
      </c>
      <c r="M131" s="8" t="str">
        <f aca="false">IF((F131-K131)&lt;&gt;0,M$1-A131," ")</f>
        <v> </v>
      </c>
      <c r="N131" s="5"/>
      <c r="O131" s="17" t="str">
        <f aca="false">IF((E131="s"),H131," ")</f>
        <v> </v>
      </c>
      <c r="P131" s="17" t="str">
        <f aca="false">IF((E131="c"),H131," ")</f>
        <v> </v>
      </c>
      <c r="Q131" s="17" t="str">
        <f aca="false">IF((E131="o"),H131," ")</f>
        <v> </v>
      </c>
      <c r="R131" s="17" t="str">
        <f aca="false">IF((E131="d"),H131," ")</f>
        <v> </v>
      </c>
      <c r="S131" s="17" t="str">
        <f aca="false">IF((E131="w"),H131," ")</f>
        <v> </v>
      </c>
      <c r="T131" s="17" t="str">
        <f aca="false">IF((E131="r"),H131," ")</f>
        <v> </v>
      </c>
      <c r="U131" s="17" t="str">
        <f aca="false">IF((E131="p"),H131," ")</f>
        <v> </v>
      </c>
      <c r="V131" s="17" t="str">
        <f aca="false">IF((E131="t"),H131," ")</f>
        <v> </v>
      </c>
      <c r="W131" s="17" t="str">
        <f aca="false">IF((E131="q"),H131," ")</f>
        <v> </v>
      </c>
      <c r="X131" s="17" t="str">
        <f aca="false">IF((E131="m"),H131," ")</f>
        <v> </v>
      </c>
      <c r="Y131" s="17" t="str">
        <f aca="false">IF((E131="u"),H131," ")</f>
        <v> </v>
      </c>
      <c r="Z131" s="17" t="str">
        <f aca="false">IF((E131="a"),H131," ")</f>
        <v> </v>
      </c>
      <c r="AA131" s="17" t="str">
        <f aca="false">IF((E131="g"),H131," ")</f>
        <v> </v>
      </c>
      <c r="AB131" s="17" t="str">
        <f aca="false">IF((E131="h"),H131," ")</f>
        <v> </v>
      </c>
      <c r="AC131" s="30" t="str">
        <f aca="false">IF((E131="v"),H131," ")</f>
        <v> </v>
      </c>
      <c r="AD131" s="30" t="str">
        <f aca="false">IF((E131="n"),H131," ")</f>
        <v> </v>
      </c>
      <c r="AE131" s="17" t="str">
        <f aca="false">IF((E131="f"),H131," ")</f>
        <v> </v>
      </c>
      <c r="AF131" s="17" t="str">
        <f aca="false">IF((E131="l"),H131," ")</f>
        <v> </v>
      </c>
      <c r="AG131" s="17" t="str">
        <f aca="false">IF((E131="y"),H131," ")</f>
        <v> </v>
      </c>
      <c r="AH131" s="17" t="str">
        <f aca="false">IF((E131="z"),H131," ")</f>
        <v> </v>
      </c>
      <c r="AI131" s="17" t="str">
        <f aca="false">IF((E131="fa"),H131," ")</f>
        <v> </v>
      </c>
      <c r="AJ131" s="17" t="str">
        <f aca="false">IF((E131="e"),H131," ")</f>
        <v> </v>
      </c>
    </row>
    <row r="132" customFormat="false" ht="12" hidden="false" customHeight="false" outlineLevel="0" collapsed="false">
      <c r="A132" s="28"/>
      <c r="E132" s="2" t="str">
        <f aca="false">IF((F132&lt;&gt;0),"Enter Letter"," ")</f>
        <v> </v>
      </c>
      <c r="F132" s="30"/>
      <c r="G132" s="6" t="str">
        <f aca="false">IF(F132&lt;&gt;0,F132*G$2/(100+G$2)," ")</f>
        <v> </v>
      </c>
      <c r="H132" s="6" t="str">
        <f aca="false">IF((F132&lt;&gt;0),F132-G132," ")</f>
        <v> </v>
      </c>
      <c r="I132" s="5"/>
      <c r="L132" s="7" t="str">
        <f aca="false">IF(F132&lt;&gt;0,F132-K132," ")</f>
        <v> </v>
      </c>
      <c r="M132" s="8" t="str">
        <f aca="false">IF((F132-K132)&lt;&gt;0,M$1-A132," ")</f>
        <v> </v>
      </c>
      <c r="N132" s="5"/>
      <c r="O132" s="17" t="str">
        <f aca="false">IF((E132="s"),H132," ")</f>
        <v> </v>
      </c>
      <c r="P132" s="17" t="str">
        <f aca="false">IF((E132="c"),H132," ")</f>
        <v> </v>
      </c>
      <c r="Q132" s="17" t="str">
        <f aca="false">IF((E132="o"),H132," ")</f>
        <v> </v>
      </c>
      <c r="R132" s="17" t="str">
        <f aca="false">IF((E132="d"),H132," ")</f>
        <v> </v>
      </c>
      <c r="S132" s="17" t="str">
        <f aca="false">IF((E132="w"),H132," ")</f>
        <v> </v>
      </c>
      <c r="T132" s="17" t="str">
        <f aca="false">IF((E132="r"),H132," ")</f>
        <v> </v>
      </c>
      <c r="U132" s="17" t="str">
        <f aca="false">IF((E132="p"),H132," ")</f>
        <v> </v>
      </c>
      <c r="V132" s="17" t="str">
        <f aca="false">IF((E132="t"),H132," ")</f>
        <v> </v>
      </c>
      <c r="W132" s="17" t="str">
        <f aca="false">IF((E132="q"),H132," ")</f>
        <v> </v>
      </c>
      <c r="X132" s="17" t="str">
        <f aca="false">IF((E132="m"),H132," ")</f>
        <v> </v>
      </c>
      <c r="Y132" s="17" t="str">
        <f aca="false">IF((E132="u"),H132," ")</f>
        <v> </v>
      </c>
      <c r="Z132" s="17" t="str">
        <f aca="false">IF((E132="a"),H132," ")</f>
        <v> </v>
      </c>
      <c r="AA132" s="17" t="str">
        <f aca="false">IF((E132="g"),H132," ")</f>
        <v> </v>
      </c>
      <c r="AB132" s="17" t="str">
        <f aca="false">IF((E132="h"),H132," ")</f>
        <v> </v>
      </c>
      <c r="AC132" s="30" t="str">
        <f aca="false">IF((E132="v"),H132," ")</f>
        <v> </v>
      </c>
      <c r="AD132" s="30" t="str">
        <f aca="false">IF((E132="n"),H132," ")</f>
        <v> </v>
      </c>
      <c r="AE132" s="17" t="str">
        <f aca="false">IF((E132="f"),H132," ")</f>
        <v> </v>
      </c>
      <c r="AF132" s="17" t="str">
        <f aca="false">IF((E132="l"),H132," ")</f>
        <v> </v>
      </c>
      <c r="AG132" s="17" t="str">
        <f aca="false">IF((E132="y"),H132," ")</f>
        <v> </v>
      </c>
      <c r="AH132" s="17" t="str">
        <f aca="false">IF((E132="z"),H132," ")</f>
        <v> </v>
      </c>
      <c r="AI132" s="17" t="str">
        <f aca="false">IF((E132="fa"),H132," ")</f>
        <v> </v>
      </c>
      <c r="AJ132" s="17" t="str">
        <f aca="false">IF((E132="e"),H132," ")</f>
        <v> </v>
      </c>
    </row>
    <row r="133" customFormat="false" ht="12" hidden="false" customHeight="false" outlineLevel="0" collapsed="false">
      <c r="A133" s="28"/>
      <c r="E133" s="2" t="str">
        <f aca="false">IF((F133&lt;&gt;0),"Enter Letter"," ")</f>
        <v> </v>
      </c>
      <c r="F133" s="30"/>
      <c r="G133" s="6" t="str">
        <f aca="false">IF(F133&lt;&gt;0,F133*G$2/(100+G$2)," ")</f>
        <v> </v>
      </c>
      <c r="H133" s="6" t="str">
        <f aca="false">IF((F133&lt;&gt;0),F133-G133," ")</f>
        <v> </v>
      </c>
      <c r="I133" s="5"/>
      <c r="L133" s="7" t="str">
        <f aca="false">IF(F133&lt;&gt;0,F133-K133," ")</f>
        <v> </v>
      </c>
      <c r="M133" s="8" t="str">
        <f aca="false">IF((F133-K133)&lt;&gt;0,M$1-A133," ")</f>
        <v> </v>
      </c>
      <c r="N133" s="5"/>
      <c r="O133" s="17" t="str">
        <f aca="false">IF((E133="s"),H133," ")</f>
        <v> </v>
      </c>
      <c r="P133" s="17" t="str">
        <f aca="false">IF((E133="c"),H133," ")</f>
        <v> </v>
      </c>
      <c r="Q133" s="17" t="str">
        <f aca="false">IF((E133="o"),H133," ")</f>
        <v> </v>
      </c>
      <c r="R133" s="17" t="str">
        <f aca="false">IF((E133="d"),H133," ")</f>
        <v> </v>
      </c>
      <c r="S133" s="17" t="str">
        <f aca="false">IF((E133="w"),H133," ")</f>
        <v> </v>
      </c>
      <c r="T133" s="17" t="str">
        <f aca="false">IF((E133="r"),H133," ")</f>
        <v> </v>
      </c>
      <c r="U133" s="17" t="str">
        <f aca="false">IF((E133="p"),H133," ")</f>
        <v> </v>
      </c>
      <c r="V133" s="17" t="str">
        <f aca="false">IF((E133="t"),H133," ")</f>
        <v> </v>
      </c>
      <c r="W133" s="17" t="str">
        <f aca="false">IF((E133="q"),H133," ")</f>
        <v> </v>
      </c>
      <c r="X133" s="17" t="str">
        <f aca="false">IF((E133="m"),H133," ")</f>
        <v> </v>
      </c>
      <c r="Y133" s="17" t="str">
        <f aca="false">IF((E133="u"),H133," ")</f>
        <v> </v>
      </c>
      <c r="Z133" s="17" t="str">
        <f aca="false">IF((E133="a"),H133," ")</f>
        <v> </v>
      </c>
      <c r="AA133" s="17" t="str">
        <f aca="false">IF((E133="g"),H133," ")</f>
        <v> </v>
      </c>
      <c r="AB133" s="17" t="str">
        <f aca="false">IF((E133="h"),H133," ")</f>
        <v> </v>
      </c>
      <c r="AC133" s="30" t="str">
        <f aca="false">IF((E133="v"),H133," ")</f>
        <v> </v>
      </c>
      <c r="AD133" s="30" t="str">
        <f aca="false">IF((E133="n"),H133," ")</f>
        <v> </v>
      </c>
      <c r="AE133" s="17" t="str">
        <f aca="false">IF((E133="f"),H133," ")</f>
        <v> </v>
      </c>
      <c r="AF133" s="17" t="str">
        <f aca="false">IF((E133="l"),H133," ")</f>
        <v> </v>
      </c>
      <c r="AG133" s="17" t="str">
        <f aca="false">IF((E133="y"),H133," ")</f>
        <v> </v>
      </c>
      <c r="AH133" s="17" t="str">
        <f aca="false">IF((E133="z"),H133," ")</f>
        <v> </v>
      </c>
      <c r="AI133" s="17" t="str">
        <f aca="false">IF((E133="fa"),H133," ")</f>
        <v> </v>
      </c>
      <c r="AJ133" s="17" t="str">
        <f aca="false">IF((E133="e"),H133," ")</f>
        <v> </v>
      </c>
    </row>
    <row r="134" customFormat="false" ht="12" hidden="false" customHeight="false" outlineLevel="0" collapsed="false">
      <c r="A134" s="28"/>
      <c r="E134" s="2" t="str">
        <f aca="false">IF((F134&lt;&gt;0),"Enter Letter"," ")</f>
        <v> </v>
      </c>
      <c r="F134" s="30"/>
      <c r="G134" s="6" t="str">
        <f aca="false">IF(F134&lt;&gt;0,F134*G$2/(100+G$2)," ")</f>
        <v> </v>
      </c>
      <c r="H134" s="6" t="str">
        <f aca="false">IF((F134&lt;&gt;0),F134-G134," ")</f>
        <v> </v>
      </c>
      <c r="I134" s="5"/>
      <c r="L134" s="7" t="str">
        <f aca="false">IF(F134&lt;&gt;0,F134-K134," ")</f>
        <v> </v>
      </c>
      <c r="M134" s="8" t="str">
        <f aca="false">IF((F134-K134)&lt;&gt;0,M$1-A134," ")</f>
        <v> </v>
      </c>
      <c r="N134" s="5"/>
      <c r="O134" s="17" t="str">
        <f aca="false">IF((E134="s"),H134," ")</f>
        <v> </v>
      </c>
      <c r="P134" s="17" t="str">
        <f aca="false">IF((E134="c"),H134," ")</f>
        <v> </v>
      </c>
      <c r="Q134" s="17" t="str">
        <f aca="false">IF((E134="o"),H134," ")</f>
        <v> </v>
      </c>
      <c r="R134" s="17" t="str">
        <f aca="false">IF((E134="d"),H134," ")</f>
        <v> </v>
      </c>
      <c r="S134" s="17" t="str">
        <f aca="false">IF((E134="w"),H134," ")</f>
        <v> </v>
      </c>
      <c r="T134" s="17" t="str">
        <f aca="false">IF((E134="r"),H134," ")</f>
        <v> </v>
      </c>
      <c r="U134" s="17" t="str">
        <f aca="false">IF((E134="p"),H134," ")</f>
        <v> </v>
      </c>
      <c r="V134" s="17" t="str">
        <f aca="false">IF((E134="t"),H134," ")</f>
        <v> </v>
      </c>
      <c r="W134" s="17" t="str">
        <f aca="false">IF((E134="q"),H134," ")</f>
        <v> </v>
      </c>
      <c r="X134" s="17" t="str">
        <f aca="false">IF((E134="m"),H134," ")</f>
        <v> </v>
      </c>
      <c r="Y134" s="17" t="str">
        <f aca="false">IF((E134="u"),H134," ")</f>
        <v> </v>
      </c>
      <c r="Z134" s="17" t="str">
        <f aca="false">IF((E134="a"),H134," ")</f>
        <v> </v>
      </c>
      <c r="AA134" s="17" t="str">
        <f aca="false">IF((E134="g"),H134," ")</f>
        <v> </v>
      </c>
      <c r="AB134" s="17" t="str">
        <f aca="false">IF((E134="h"),H134," ")</f>
        <v> </v>
      </c>
      <c r="AC134" s="30" t="str">
        <f aca="false">IF((E134="v"),H134," ")</f>
        <v> </v>
      </c>
      <c r="AD134" s="30" t="str">
        <f aca="false">IF((E134="n"),H134," ")</f>
        <v> </v>
      </c>
      <c r="AE134" s="17" t="str">
        <f aca="false">IF((E134="f"),H134," ")</f>
        <v> </v>
      </c>
      <c r="AF134" s="17" t="str">
        <f aca="false">IF((E134="l"),H134," ")</f>
        <v> </v>
      </c>
      <c r="AG134" s="17" t="str">
        <f aca="false">IF((E134="y"),H134," ")</f>
        <v> </v>
      </c>
      <c r="AH134" s="17" t="str">
        <f aca="false">IF((E134="z"),H134," ")</f>
        <v> </v>
      </c>
      <c r="AI134" s="17" t="str">
        <f aca="false">IF((E134="fa"),H134," ")</f>
        <v> </v>
      </c>
      <c r="AJ134" s="17" t="str">
        <f aca="false">IF((E134="e"),H134," ")</f>
        <v> </v>
      </c>
    </row>
    <row r="135" customFormat="false" ht="12" hidden="false" customHeight="false" outlineLevel="0" collapsed="false">
      <c r="A135" s="28"/>
      <c r="E135" s="2" t="str">
        <f aca="false">IF((F135&lt;&gt;0),"Enter Letter"," ")</f>
        <v> </v>
      </c>
      <c r="F135" s="30"/>
      <c r="G135" s="6" t="str">
        <f aca="false">IF(F135&lt;&gt;0,F135*G$2/(100+G$2)," ")</f>
        <v> </v>
      </c>
      <c r="H135" s="6" t="str">
        <f aca="false">IF((F135&lt;&gt;0),F135-G135," ")</f>
        <v> </v>
      </c>
      <c r="I135" s="5"/>
      <c r="L135" s="7" t="str">
        <f aca="false">IF(F135&lt;&gt;0,F135-K135," ")</f>
        <v> </v>
      </c>
      <c r="M135" s="8" t="str">
        <f aca="false">IF((F135-K135)&lt;&gt;0,M$1-A135," ")</f>
        <v> </v>
      </c>
      <c r="N135" s="5"/>
      <c r="O135" s="17" t="str">
        <f aca="false">IF((E135="s"),H135," ")</f>
        <v> </v>
      </c>
      <c r="P135" s="17" t="str">
        <f aca="false">IF((E135="c"),H135," ")</f>
        <v> </v>
      </c>
      <c r="Q135" s="17" t="str">
        <f aca="false">IF((E135="o"),H135," ")</f>
        <v> </v>
      </c>
      <c r="R135" s="17" t="str">
        <f aca="false">IF((E135="d"),H135," ")</f>
        <v> </v>
      </c>
      <c r="S135" s="17" t="str">
        <f aca="false">IF((E135="w"),H135," ")</f>
        <v> </v>
      </c>
      <c r="T135" s="17" t="str">
        <f aca="false">IF((E135="r"),H135," ")</f>
        <v> </v>
      </c>
      <c r="U135" s="17" t="str">
        <f aca="false">IF((E135="p"),H135," ")</f>
        <v> </v>
      </c>
      <c r="V135" s="17" t="str">
        <f aca="false">IF((E135="t"),H135," ")</f>
        <v> </v>
      </c>
      <c r="W135" s="17" t="str">
        <f aca="false">IF((E135="q"),H135," ")</f>
        <v> </v>
      </c>
      <c r="X135" s="17" t="str">
        <f aca="false">IF((E135="m"),H135," ")</f>
        <v> </v>
      </c>
      <c r="Y135" s="17" t="str">
        <f aca="false">IF((E135="u"),H135," ")</f>
        <v> </v>
      </c>
      <c r="Z135" s="17" t="str">
        <f aca="false">IF((E135="a"),H135," ")</f>
        <v> </v>
      </c>
      <c r="AA135" s="17" t="str">
        <f aca="false">IF((E135="g"),H135," ")</f>
        <v> </v>
      </c>
      <c r="AB135" s="17" t="str">
        <f aca="false">IF((E135="h"),H135," ")</f>
        <v> </v>
      </c>
      <c r="AC135" s="30" t="str">
        <f aca="false">IF((E135="v"),H135," ")</f>
        <v> </v>
      </c>
      <c r="AD135" s="30" t="str">
        <f aca="false">IF((E135="n"),H135," ")</f>
        <v> </v>
      </c>
      <c r="AE135" s="17" t="str">
        <f aca="false">IF((E135="f"),H135," ")</f>
        <v> </v>
      </c>
      <c r="AF135" s="17" t="str">
        <f aca="false">IF((E135="l"),H135," ")</f>
        <v> </v>
      </c>
      <c r="AG135" s="17" t="str">
        <f aca="false">IF((E135="y"),H135," ")</f>
        <v> </v>
      </c>
      <c r="AH135" s="17" t="str">
        <f aca="false">IF((E135="z"),H135," ")</f>
        <v> </v>
      </c>
      <c r="AI135" s="17" t="str">
        <f aca="false">IF((E135="fa"),H135," ")</f>
        <v> </v>
      </c>
      <c r="AJ135" s="17" t="str">
        <f aca="false">IF((E135="e"),H135," ")</f>
        <v> </v>
      </c>
    </row>
    <row r="136" customFormat="false" ht="12" hidden="false" customHeight="false" outlineLevel="0" collapsed="false">
      <c r="A136" s="28"/>
      <c r="E136" s="2" t="str">
        <f aca="false">IF((F136&lt;&gt;0),"Enter Letter"," ")</f>
        <v> </v>
      </c>
      <c r="F136" s="30"/>
      <c r="G136" s="6" t="str">
        <f aca="false">IF(F136&lt;&gt;0,F136*G$2/(100+G$2)," ")</f>
        <v> </v>
      </c>
      <c r="H136" s="6" t="str">
        <f aca="false">IF((F136&lt;&gt;0),F136-G136," ")</f>
        <v> </v>
      </c>
      <c r="I136" s="5"/>
      <c r="L136" s="7" t="str">
        <f aca="false">IF(F136&lt;&gt;0,F136-K136," ")</f>
        <v> </v>
      </c>
      <c r="M136" s="8" t="str">
        <f aca="false">IF((F136-K136)&lt;&gt;0,M$1-A136," ")</f>
        <v> </v>
      </c>
      <c r="N136" s="5"/>
      <c r="O136" s="17" t="str">
        <f aca="false">IF((E136="s"),H136," ")</f>
        <v> </v>
      </c>
      <c r="P136" s="17" t="str">
        <f aca="false">IF((E136="c"),H136," ")</f>
        <v> </v>
      </c>
      <c r="Q136" s="17" t="str">
        <f aca="false">IF((E136="o"),H136," ")</f>
        <v> </v>
      </c>
      <c r="R136" s="17" t="str">
        <f aca="false">IF((E136="d"),H136," ")</f>
        <v> </v>
      </c>
      <c r="S136" s="17" t="str">
        <f aca="false">IF((E136="w"),H136," ")</f>
        <v> </v>
      </c>
      <c r="T136" s="17" t="str">
        <f aca="false">IF((E136="r"),H136," ")</f>
        <v> </v>
      </c>
      <c r="U136" s="17" t="str">
        <f aca="false">IF((E136="p"),H136," ")</f>
        <v> </v>
      </c>
      <c r="V136" s="17" t="str">
        <f aca="false">IF((E136="t"),H136," ")</f>
        <v> </v>
      </c>
      <c r="W136" s="17" t="str">
        <f aca="false">IF((E136="q"),H136," ")</f>
        <v> </v>
      </c>
      <c r="X136" s="17" t="str">
        <f aca="false">IF((E136="m"),H136," ")</f>
        <v> </v>
      </c>
      <c r="Y136" s="17" t="str">
        <f aca="false">IF((E136="u"),H136," ")</f>
        <v> </v>
      </c>
      <c r="Z136" s="17" t="str">
        <f aca="false">IF((E136="a"),H136," ")</f>
        <v> </v>
      </c>
      <c r="AA136" s="17" t="str">
        <f aca="false">IF((E136="g"),H136," ")</f>
        <v> </v>
      </c>
      <c r="AB136" s="17" t="str">
        <f aca="false">IF((E136="h"),H136," ")</f>
        <v> </v>
      </c>
      <c r="AC136" s="30" t="str">
        <f aca="false">IF((E136="v"),H136," ")</f>
        <v> </v>
      </c>
      <c r="AD136" s="30" t="str">
        <f aca="false">IF((E136="n"),H136," ")</f>
        <v> </v>
      </c>
      <c r="AE136" s="17" t="str">
        <f aca="false">IF((E136="f"),H136," ")</f>
        <v> </v>
      </c>
      <c r="AF136" s="17" t="str">
        <f aca="false">IF((E136="l"),H136," ")</f>
        <v> </v>
      </c>
      <c r="AG136" s="17" t="str">
        <f aca="false">IF((E136="y"),H136," ")</f>
        <v> </v>
      </c>
      <c r="AH136" s="17" t="str">
        <f aca="false">IF((E136="z"),H136," ")</f>
        <v> </v>
      </c>
      <c r="AI136" s="17" t="str">
        <f aca="false">IF((E136="fa"),H136," ")</f>
        <v> </v>
      </c>
      <c r="AJ136" s="17" t="str">
        <f aca="false">IF((E136="e"),H136," ")</f>
        <v> </v>
      </c>
    </row>
    <row r="137" customFormat="false" ht="12" hidden="false" customHeight="false" outlineLevel="0" collapsed="false">
      <c r="A137" s="28"/>
      <c r="E137" s="2" t="str">
        <f aca="false">IF((F137&lt;&gt;0),"Enter Letter"," ")</f>
        <v> </v>
      </c>
      <c r="F137" s="30"/>
      <c r="G137" s="6" t="str">
        <f aca="false">IF(F137&lt;&gt;0,F137*G$2/(100+G$2)," ")</f>
        <v> </v>
      </c>
      <c r="H137" s="6" t="str">
        <f aca="false">IF((F137&lt;&gt;0),F137-G137," ")</f>
        <v> </v>
      </c>
      <c r="I137" s="5"/>
      <c r="L137" s="7" t="str">
        <f aca="false">IF(F137&lt;&gt;0,F137-K137," ")</f>
        <v> </v>
      </c>
      <c r="M137" s="8" t="str">
        <f aca="false">IF((F137-K137)&lt;&gt;0,M$1-A137," ")</f>
        <v> </v>
      </c>
      <c r="N137" s="5"/>
      <c r="O137" s="17" t="str">
        <f aca="false">IF((E137="s"),H137," ")</f>
        <v> </v>
      </c>
      <c r="P137" s="17" t="str">
        <f aca="false">IF((E137="c"),H137," ")</f>
        <v> </v>
      </c>
      <c r="Q137" s="17" t="str">
        <f aca="false">IF((E137="o"),H137," ")</f>
        <v> </v>
      </c>
      <c r="R137" s="17" t="str">
        <f aca="false">IF((E137="d"),H137," ")</f>
        <v> </v>
      </c>
      <c r="S137" s="17" t="str">
        <f aca="false">IF((E137="w"),H137," ")</f>
        <v> </v>
      </c>
      <c r="T137" s="17" t="str">
        <f aca="false">IF((E137="r"),H137," ")</f>
        <v> </v>
      </c>
      <c r="U137" s="17" t="str">
        <f aca="false">IF((E137="p"),H137," ")</f>
        <v> </v>
      </c>
      <c r="V137" s="17" t="str">
        <f aca="false">IF((E137="t"),H137," ")</f>
        <v> </v>
      </c>
      <c r="W137" s="17" t="str">
        <f aca="false">IF((E137="q"),H137," ")</f>
        <v> </v>
      </c>
      <c r="X137" s="17" t="str">
        <f aca="false">IF((E137="m"),H137," ")</f>
        <v> </v>
      </c>
      <c r="Y137" s="17" t="str">
        <f aca="false">IF((E137="u"),H137," ")</f>
        <v> </v>
      </c>
      <c r="Z137" s="17" t="str">
        <f aca="false">IF((E137="a"),H137," ")</f>
        <v> </v>
      </c>
      <c r="AA137" s="17" t="str">
        <f aca="false">IF((E137="g"),H137," ")</f>
        <v> </v>
      </c>
      <c r="AB137" s="17" t="str">
        <f aca="false">IF((E137="h"),H137," ")</f>
        <v> </v>
      </c>
      <c r="AC137" s="30" t="str">
        <f aca="false">IF((E137="v"),H137," ")</f>
        <v> </v>
      </c>
      <c r="AD137" s="30" t="str">
        <f aca="false">IF((E137="n"),H137," ")</f>
        <v> </v>
      </c>
      <c r="AE137" s="17" t="str">
        <f aca="false">IF((E137="f"),H137," ")</f>
        <v> </v>
      </c>
      <c r="AF137" s="17" t="str">
        <f aca="false">IF((E137="l"),H137," ")</f>
        <v> </v>
      </c>
      <c r="AG137" s="17" t="str">
        <f aca="false">IF((E137="y"),H137," ")</f>
        <v> </v>
      </c>
      <c r="AH137" s="17" t="str">
        <f aca="false">IF((E137="z"),H137," ")</f>
        <v> </v>
      </c>
      <c r="AI137" s="17" t="str">
        <f aca="false">IF((E137="fa"),H137," ")</f>
        <v> </v>
      </c>
      <c r="AJ137" s="17" t="str">
        <f aca="false">IF((E137="e"),H137," ")</f>
        <v> </v>
      </c>
    </row>
    <row r="138" customFormat="false" ht="12" hidden="false" customHeight="false" outlineLevel="0" collapsed="false">
      <c r="A138" s="28"/>
      <c r="E138" s="2" t="str">
        <f aca="false">IF((F138&lt;&gt;0),"Enter Letter"," ")</f>
        <v> </v>
      </c>
      <c r="F138" s="30"/>
      <c r="G138" s="6" t="str">
        <f aca="false">IF(F138&lt;&gt;0,F138*G$2/(100+G$2)," ")</f>
        <v> </v>
      </c>
      <c r="H138" s="6" t="str">
        <f aca="false">IF((F138&lt;&gt;0),F138-G138," ")</f>
        <v> </v>
      </c>
      <c r="I138" s="5"/>
      <c r="L138" s="7" t="str">
        <f aca="false">IF(F138&lt;&gt;0,F138-K138," ")</f>
        <v> </v>
      </c>
      <c r="M138" s="8" t="str">
        <f aca="false">IF((F138-K138)&lt;&gt;0,M$1-A138," ")</f>
        <v> </v>
      </c>
      <c r="N138" s="5"/>
      <c r="O138" s="17" t="str">
        <f aca="false">IF((E138="s"),H138," ")</f>
        <v> </v>
      </c>
      <c r="P138" s="17" t="str">
        <f aca="false">IF((E138="c"),H138," ")</f>
        <v> </v>
      </c>
      <c r="Q138" s="17" t="str">
        <f aca="false">IF((E138="o"),H138," ")</f>
        <v> </v>
      </c>
      <c r="R138" s="17" t="str">
        <f aca="false">IF((E138="d"),H138," ")</f>
        <v> </v>
      </c>
      <c r="S138" s="17" t="str">
        <f aca="false">IF((E138="w"),H138," ")</f>
        <v> </v>
      </c>
      <c r="T138" s="17" t="str">
        <f aca="false">IF((E138="r"),H138," ")</f>
        <v> </v>
      </c>
      <c r="U138" s="17" t="str">
        <f aca="false">IF((E138="p"),H138," ")</f>
        <v> </v>
      </c>
      <c r="V138" s="17" t="str">
        <f aca="false">IF((E138="t"),H138," ")</f>
        <v> </v>
      </c>
      <c r="W138" s="17" t="str">
        <f aca="false">IF((E138="q"),H138," ")</f>
        <v> </v>
      </c>
      <c r="X138" s="17" t="str">
        <f aca="false">IF((E138="m"),H138," ")</f>
        <v> </v>
      </c>
      <c r="Y138" s="17" t="str">
        <f aca="false">IF((E138="u"),H138," ")</f>
        <v> </v>
      </c>
      <c r="Z138" s="17" t="str">
        <f aca="false">IF((E138="a"),H138," ")</f>
        <v> </v>
      </c>
      <c r="AA138" s="17" t="str">
        <f aca="false">IF((E138="g"),H138," ")</f>
        <v> </v>
      </c>
      <c r="AB138" s="17" t="str">
        <f aca="false">IF((E138="h"),H138," ")</f>
        <v> </v>
      </c>
      <c r="AC138" s="30" t="str">
        <f aca="false">IF((E138="v"),H138," ")</f>
        <v> </v>
      </c>
      <c r="AD138" s="30" t="str">
        <f aca="false">IF((E138="n"),H138," ")</f>
        <v> </v>
      </c>
      <c r="AE138" s="17" t="str">
        <f aca="false">IF((E138="f"),H138," ")</f>
        <v> </v>
      </c>
      <c r="AF138" s="17" t="str">
        <f aca="false">IF((E138="l"),H138," ")</f>
        <v> </v>
      </c>
      <c r="AG138" s="17" t="str">
        <f aca="false">IF((E138="y"),H138," ")</f>
        <v> </v>
      </c>
      <c r="AH138" s="17" t="str">
        <f aca="false">IF((E138="z"),H138," ")</f>
        <v> </v>
      </c>
      <c r="AI138" s="17" t="str">
        <f aca="false">IF((E138="fa"),H138," ")</f>
        <v> </v>
      </c>
      <c r="AJ138" s="17" t="str">
        <f aca="false">IF((E138="e"),H138," ")</f>
        <v> </v>
      </c>
    </row>
    <row r="139" customFormat="false" ht="12" hidden="false" customHeight="false" outlineLevel="0" collapsed="false">
      <c r="A139" s="28"/>
      <c r="E139" s="2" t="str">
        <f aca="false">IF((F139&lt;&gt;0),"Enter Letter"," ")</f>
        <v> </v>
      </c>
      <c r="F139" s="30"/>
      <c r="G139" s="6" t="str">
        <f aca="false">IF(F139&lt;&gt;0,F139*G$2/(100+G$2)," ")</f>
        <v> </v>
      </c>
      <c r="H139" s="6" t="str">
        <f aca="false">IF((F139&lt;&gt;0),F139-G139," ")</f>
        <v> </v>
      </c>
      <c r="I139" s="5"/>
      <c r="L139" s="7" t="str">
        <f aca="false">IF(F139&lt;&gt;0,F139-K139," ")</f>
        <v> </v>
      </c>
      <c r="M139" s="8" t="str">
        <f aca="false">IF((F139-K139)&lt;&gt;0,M$1-A139," ")</f>
        <v> </v>
      </c>
      <c r="N139" s="5"/>
      <c r="O139" s="17" t="str">
        <f aca="false">IF((E139="s"),H139," ")</f>
        <v> </v>
      </c>
      <c r="P139" s="17" t="str">
        <f aca="false">IF((E139="c"),H139," ")</f>
        <v> </v>
      </c>
      <c r="Q139" s="17" t="str">
        <f aca="false">IF((E139="o"),H139," ")</f>
        <v> </v>
      </c>
      <c r="R139" s="17" t="str">
        <f aca="false">IF((E139="d"),H139," ")</f>
        <v> </v>
      </c>
      <c r="S139" s="17" t="str">
        <f aca="false">IF((E139="w"),H139," ")</f>
        <v> </v>
      </c>
      <c r="T139" s="17" t="str">
        <f aca="false">IF((E139="r"),H139," ")</f>
        <v> </v>
      </c>
      <c r="U139" s="17" t="str">
        <f aca="false">IF((E139="p"),H139," ")</f>
        <v> </v>
      </c>
      <c r="V139" s="17" t="str">
        <f aca="false">IF((E139="t"),H139," ")</f>
        <v> </v>
      </c>
      <c r="W139" s="17" t="str">
        <f aca="false">IF((E139="q"),H139," ")</f>
        <v> </v>
      </c>
      <c r="X139" s="17" t="str">
        <f aca="false">IF((E139="m"),H139," ")</f>
        <v> </v>
      </c>
      <c r="Y139" s="17" t="str">
        <f aca="false">IF((E139="u"),H139," ")</f>
        <v> </v>
      </c>
      <c r="Z139" s="17" t="str">
        <f aca="false">IF((E139="a"),H139," ")</f>
        <v> </v>
      </c>
      <c r="AA139" s="17" t="str">
        <f aca="false">IF((E139="g"),H139," ")</f>
        <v> </v>
      </c>
      <c r="AB139" s="17" t="str">
        <f aca="false">IF((E139="h"),H139," ")</f>
        <v> </v>
      </c>
      <c r="AC139" s="30" t="str">
        <f aca="false">IF((E139="v"),H139," ")</f>
        <v> </v>
      </c>
      <c r="AD139" s="30" t="str">
        <f aca="false">IF((E139="n"),H139," ")</f>
        <v> </v>
      </c>
      <c r="AE139" s="17" t="str">
        <f aca="false">IF((E139="f"),H139," ")</f>
        <v> </v>
      </c>
      <c r="AF139" s="17" t="str">
        <f aca="false">IF((E139="l"),H139," ")</f>
        <v> </v>
      </c>
      <c r="AG139" s="17" t="str">
        <f aca="false">IF((E139="y"),H139," ")</f>
        <v> </v>
      </c>
      <c r="AH139" s="17" t="str">
        <f aca="false">IF((E139="z"),H139," ")</f>
        <v> </v>
      </c>
      <c r="AI139" s="17" t="str">
        <f aca="false">IF((E139="fa"),H139," ")</f>
        <v> </v>
      </c>
      <c r="AJ139" s="17" t="str">
        <f aca="false">IF((E139="e"),H139," ")</f>
        <v> </v>
      </c>
    </row>
    <row r="140" customFormat="false" ht="12" hidden="false" customHeight="false" outlineLevel="0" collapsed="false">
      <c r="A140" s="28"/>
      <c r="E140" s="2" t="str">
        <f aca="false">IF((F140&lt;&gt;0),"Enter Letter"," ")</f>
        <v> </v>
      </c>
      <c r="F140" s="30"/>
      <c r="G140" s="6" t="str">
        <f aca="false">IF(F140&lt;&gt;0,F140*G$2/(100+G$2)," ")</f>
        <v> </v>
      </c>
      <c r="H140" s="6" t="str">
        <f aca="false">IF((F140&lt;&gt;0),F140-G140," ")</f>
        <v> </v>
      </c>
      <c r="I140" s="5"/>
      <c r="L140" s="7" t="str">
        <f aca="false">IF(F140&lt;&gt;0,F140-K140," ")</f>
        <v> </v>
      </c>
      <c r="M140" s="8" t="str">
        <f aca="false">IF((F140-K140)&lt;&gt;0,M$1-A140," ")</f>
        <v> </v>
      </c>
      <c r="N140" s="5"/>
      <c r="O140" s="17" t="str">
        <f aca="false">IF((E140="s"),H140," ")</f>
        <v> </v>
      </c>
      <c r="P140" s="17" t="str">
        <f aca="false">IF((E140="c"),H140," ")</f>
        <v> </v>
      </c>
      <c r="Q140" s="17" t="str">
        <f aca="false">IF((E140="o"),H140," ")</f>
        <v> </v>
      </c>
      <c r="R140" s="17" t="str">
        <f aca="false">IF((E140="d"),H140," ")</f>
        <v> </v>
      </c>
      <c r="S140" s="17" t="str">
        <f aca="false">IF((E140="w"),H140," ")</f>
        <v> </v>
      </c>
      <c r="T140" s="17" t="str">
        <f aca="false">IF((E140="r"),H140," ")</f>
        <v> </v>
      </c>
      <c r="U140" s="17" t="str">
        <f aca="false">IF((E140="p"),H140," ")</f>
        <v> </v>
      </c>
      <c r="V140" s="17" t="str">
        <f aca="false">IF((E140="t"),H140," ")</f>
        <v> </v>
      </c>
      <c r="W140" s="17" t="str">
        <f aca="false">IF((E140="q"),H140," ")</f>
        <v> </v>
      </c>
      <c r="X140" s="17" t="str">
        <f aca="false">IF((E140="m"),H140," ")</f>
        <v> </v>
      </c>
      <c r="Y140" s="17" t="str">
        <f aca="false">IF((E140="u"),H140," ")</f>
        <v> </v>
      </c>
      <c r="Z140" s="17" t="str">
        <f aca="false">IF((E140="a"),H140," ")</f>
        <v> </v>
      </c>
      <c r="AA140" s="17" t="str">
        <f aca="false">IF((E140="g"),H140," ")</f>
        <v> </v>
      </c>
      <c r="AB140" s="17" t="str">
        <f aca="false">IF((E140="h"),H140," ")</f>
        <v> </v>
      </c>
      <c r="AC140" s="30" t="str">
        <f aca="false">IF((E140="v"),H140," ")</f>
        <v> </v>
      </c>
      <c r="AD140" s="30" t="str">
        <f aca="false">IF((E140="n"),H140," ")</f>
        <v> </v>
      </c>
      <c r="AE140" s="17" t="str">
        <f aca="false">IF((E140="f"),H140," ")</f>
        <v> </v>
      </c>
      <c r="AF140" s="17" t="str">
        <f aca="false">IF((E140="l"),H140," ")</f>
        <v> </v>
      </c>
      <c r="AG140" s="17" t="str">
        <f aca="false">IF((E140="y"),H140," ")</f>
        <v> </v>
      </c>
      <c r="AH140" s="17" t="str">
        <f aca="false">IF((E140="z"),H140," ")</f>
        <v> </v>
      </c>
      <c r="AI140" s="17" t="str">
        <f aca="false">IF((E140="fa"),H140," ")</f>
        <v> </v>
      </c>
      <c r="AJ140" s="17" t="str">
        <f aca="false">IF((E140="e"),H140," ")</f>
        <v> </v>
      </c>
    </row>
    <row r="141" customFormat="false" ht="12" hidden="false" customHeight="false" outlineLevel="0" collapsed="false">
      <c r="A141" s="28"/>
      <c r="E141" s="2" t="str">
        <f aca="false">IF((F141&lt;&gt;0),"Enter Letter"," ")</f>
        <v> </v>
      </c>
      <c r="F141" s="30"/>
      <c r="G141" s="6" t="str">
        <f aca="false">IF(F141&lt;&gt;0,F141*G$2/(100+G$2)," ")</f>
        <v> </v>
      </c>
      <c r="H141" s="6" t="str">
        <f aca="false">IF((F141&lt;&gt;0),F141-G141," ")</f>
        <v> </v>
      </c>
      <c r="I141" s="5"/>
      <c r="L141" s="7" t="str">
        <f aca="false">IF(F141&lt;&gt;0,F141-K141," ")</f>
        <v> </v>
      </c>
      <c r="M141" s="8" t="str">
        <f aca="false">IF((F141-K141)&lt;&gt;0,M$1-A141," ")</f>
        <v> </v>
      </c>
      <c r="N141" s="5"/>
      <c r="O141" s="17" t="str">
        <f aca="false">IF((E141="s"),H141," ")</f>
        <v> </v>
      </c>
      <c r="P141" s="17" t="str">
        <f aca="false">IF((E141="c"),H141," ")</f>
        <v> </v>
      </c>
      <c r="Q141" s="17" t="str">
        <f aca="false">IF((E141="o"),H141," ")</f>
        <v> </v>
      </c>
      <c r="R141" s="17" t="str">
        <f aca="false">IF((E141="d"),H141," ")</f>
        <v> </v>
      </c>
      <c r="S141" s="17" t="str">
        <f aca="false">IF((E141="w"),H141," ")</f>
        <v> </v>
      </c>
      <c r="T141" s="17" t="str">
        <f aca="false">IF((E141="r"),H141," ")</f>
        <v> </v>
      </c>
      <c r="U141" s="17" t="str">
        <f aca="false">IF((E141="p"),H141," ")</f>
        <v> </v>
      </c>
      <c r="V141" s="17" t="str">
        <f aca="false">IF((E141="t"),H141," ")</f>
        <v> </v>
      </c>
      <c r="W141" s="17" t="str">
        <f aca="false">IF((E141="q"),H141," ")</f>
        <v> </v>
      </c>
      <c r="X141" s="17" t="str">
        <f aca="false">IF((E141="m"),H141," ")</f>
        <v> </v>
      </c>
      <c r="Y141" s="17" t="str">
        <f aca="false">IF((E141="u"),H141," ")</f>
        <v> </v>
      </c>
      <c r="Z141" s="17" t="str">
        <f aca="false">IF((E141="a"),H141," ")</f>
        <v> </v>
      </c>
      <c r="AA141" s="17" t="str">
        <f aca="false">IF((E141="g"),H141," ")</f>
        <v> </v>
      </c>
      <c r="AB141" s="17" t="str">
        <f aca="false">IF((E141="h"),H141," ")</f>
        <v> </v>
      </c>
      <c r="AC141" s="30" t="str">
        <f aca="false">IF((E141="v"),H141," ")</f>
        <v> </v>
      </c>
      <c r="AD141" s="30" t="str">
        <f aca="false">IF((E141="n"),H141," ")</f>
        <v> </v>
      </c>
      <c r="AE141" s="17" t="str">
        <f aca="false">IF((E141="f"),H141," ")</f>
        <v> </v>
      </c>
      <c r="AF141" s="17" t="str">
        <f aca="false">IF((E141="l"),H141," ")</f>
        <v> </v>
      </c>
      <c r="AG141" s="17" t="str">
        <f aca="false">IF((E141="y"),H141," ")</f>
        <v> </v>
      </c>
      <c r="AH141" s="17" t="str">
        <f aca="false">IF((E141="z"),H141," ")</f>
        <v> </v>
      </c>
      <c r="AI141" s="17" t="str">
        <f aca="false">IF((E141="fa"),H141," ")</f>
        <v> </v>
      </c>
      <c r="AJ141" s="17" t="str">
        <f aca="false">IF((E141="e"),H141," ")</f>
        <v> </v>
      </c>
    </row>
    <row r="142" customFormat="false" ht="12" hidden="false" customHeight="false" outlineLevel="0" collapsed="false">
      <c r="A142" s="28"/>
      <c r="E142" s="2" t="str">
        <f aca="false">IF((F142&lt;&gt;0),"Enter Letter"," ")</f>
        <v> </v>
      </c>
      <c r="F142" s="30"/>
      <c r="G142" s="6" t="str">
        <f aca="false">IF(F142&lt;&gt;0,F142*G$2/(100+G$2)," ")</f>
        <v> </v>
      </c>
      <c r="H142" s="6" t="str">
        <f aca="false">IF((F142&lt;&gt;0),F142-G142," ")</f>
        <v> </v>
      </c>
      <c r="I142" s="5"/>
      <c r="L142" s="7" t="str">
        <f aca="false">IF(F142&lt;&gt;0,F142-K142," ")</f>
        <v> </v>
      </c>
      <c r="M142" s="8" t="str">
        <f aca="false">IF((F142-K142)&lt;&gt;0,M$1-A142," ")</f>
        <v> </v>
      </c>
      <c r="N142" s="5"/>
      <c r="O142" s="17" t="str">
        <f aca="false">IF((E142="s"),H142," ")</f>
        <v> </v>
      </c>
      <c r="P142" s="17" t="str">
        <f aca="false">IF((E142="c"),H142," ")</f>
        <v> </v>
      </c>
      <c r="Q142" s="17" t="str">
        <f aca="false">IF((E142="o"),H142," ")</f>
        <v> </v>
      </c>
      <c r="R142" s="17" t="str">
        <f aca="false">IF((E142="d"),H142," ")</f>
        <v> </v>
      </c>
      <c r="S142" s="17" t="str">
        <f aca="false">IF((E142="w"),H142," ")</f>
        <v> </v>
      </c>
      <c r="T142" s="17" t="str">
        <f aca="false">IF((E142="r"),H142," ")</f>
        <v> </v>
      </c>
      <c r="U142" s="17" t="str">
        <f aca="false">IF((E142="p"),H142," ")</f>
        <v> </v>
      </c>
      <c r="V142" s="17" t="str">
        <f aca="false">IF((E142="t"),H142," ")</f>
        <v> </v>
      </c>
      <c r="W142" s="17" t="str">
        <f aca="false">IF((E142="q"),H142," ")</f>
        <v> </v>
      </c>
      <c r="X142" s="17" t="str">
        <f aca="false">IF((E142="m"),H142," ")</f>
        <v> </v>
      </c>
      <c r="Y142" s="17" t="str">
        <f aca="false">IF((E142="u"),H142," ")</f>
        <v> </v>
      </c>
      <c r="Z142" s="17" t="str">
        <f aca="false">IF((E142="a"),H142," ")</f>
        <v> </v>
      </c>
      <c r="AA142" s="17" t="str">
        <f aca="false">IF((E142="g"),H142," ")</f>
        <v> </v>
      </c>
      <c r="AB142" s="17" t="str">
        <f aca="false">IF((E142="h"),H142," ")</f>
        <v> </v>
      </c>
      <c r="AC142" s="30" t="str">
        <f aca="false">IF((E142="v"),H142," ")</f>
        <v> </v>
      </c>
      <c r="AD142" s="30" t="str">
        <f aca="false">IF((E142="n"),H142," ")</f>
        <v> </v>
      </c>
      <c r="AE142" s="17" t="str">
        <f aca="false">IF((E142="f"),H142," ")</f>
        <v> </v>
      </c>
      <c r="AF142" s="17" t="str">
        <f aca="false">IF((E142="l"),H142," ")</f>
        <v> </v>
      </c>
      <c r="AG142" s="17" t="str">
        <f aca="false">IF((E142="y"),H142," ")</f>
        <v> </v>
      </c>
      <c r="AH142" s="17" t="str">
        <f aca="false">IF((E142="z"),H142," ")</f>
        <v> </v>
      </c>
      <c r="AI142" s="17" t="str">
        <f aca="false">IF((E142="fa"),H142," ")</f>
        <v> </v>
      </c>
      <c r="AJ142" s="17" t="str">
        <f aca="false">IF((E142="e"),H142," ")</f>
        <v> </v>
      </c>
    </row>
    <row r="143" customFormat="false" ht="12" hidden="false" customHeight="false" outlineLevel="0" collapsed="false">
      <c r="A143" s="28"/>
      <c r="E143" s="2" t="str">
        <f aca="false">IF((F143&lt;&gt;0),"Enter Letter"," ")</f>
        <v> </v>
      </c>
      <c r="F143" s="30"/>
      <c r="G143" s="6" t="str">
        <f aca="false">IF(F143&lt;&gt;0,F143*G$2/(100+G$2)," ")</f>
        <v> </v>
      </c>
      <c r="H143" s="6" t="str">
        <f aca="false">IF((F143&lt;&gt;0),F143-G143," ")</f>
        <v> </v>
      </c>
      <c r="I143" s="5"/>
      <c r="L143" s="7" t="str">
        <f aca="false">IF(F143&lt;&gt;0,F143-K143," ")</f>
        <v> </v>
      </c>
      <c r="M143" s="8" t="str">
        <f aca="false">IF((F143-K143)&lt;&gt;0,M$1-A143," ")</f>
        <v> </v>
      </c>
      <c r="N143" s="5"/>
      <c r="O143" s="17" t="str">
        <f aca="false">IF((E143="s"),H143," ")</f>
        <v> </v>
      </c>
      <c r="P143" s="17" t="str">
        <f aca="false">IF((E143="c"),H143," ")</f>
        <v> </v>
      </c>
      <c r="Q143" s="17" t="str">
        <f aca="false">IF((E143="o"),H143," ")</f>
        <v> </v>
      </c>
      <c r="R143" s="17" t="str">
        <f aca="false">IF((E143="d"),H143," ")</f>
        <v> </v>
      </c>
      <c r="S143" s="17" t="str">
        <f aca="false">IF((E143="w"),H143," ")</f>
        <v> </v>
      </c>
      <c r="T143" s="17" t="str">
        <f aca="false">IF((E143="r"),H143," ")</f>
        <v> </v>
      </c>
      <c r="U143" s="17" t="str">
        <f aca="false">IF((E143="p"),H143," ")</f>
        <v> </v>
      </c>
      <c r="V143" s="17" t="str">
        <f aca="false">IF((E143="t"),H143," ")</f>
        <v> </v>
      </c>
      <c r="W143" s="17" t="str">
        <f aca="false">IF((E143="q"),H143," ")</f>
        <v> </v>
      </c>
      <c r="X143" s="17" t="str">
        <f aca="false">IF((E143="m"),H143," ")</f>
        <v> </v>
      </c>
      <c r="Y143" s="17" t="str">
        <f aca="false">IF((E143="u"),H143," ")</f>
        <v> </v>
      </c>
      <c r="Z143" s="17" t="str">
        <f aca="false">IF((E143="a"),H143," ")</f>
        <v> </v>
      </c>
      <c r="AA143" s="17" t="str">
        <f aca="false">IF((E143="g"),H143," ")</f>
        <v> </v>
      </c>
      <c r="AB143" s="17" t="str">
        <f aca="false">IF((E143="h"),H143," ")</f>
        <v> </v>
      </c>
      <c r="AC143" s="30" t="str">
        <f aca="false">IF((E143="v"),H143," ")</f>
        <v> </v>
      </c>
      <c r="AD143" s="30" t="str">
        <f aca="false">IF((E143="n"),H143," ")</f>
        <v> </v>
      </c>
      <c r="AE143" s="17" t="str">
        <f aca="false">IF((E143="f"),H143," ")</f>
        <v> </v>
      </c>
      <c r="AF143" s="17" t="str">
        <f aca="false">IF((E143="l"),H143," ")</f>
        <v> </v>
      </c>
      <c r="AG143" s="17" t="str">
        <f aca="false">IF((E143="y"),H143," ")</f>
        <v> </v>
      </c>
      <c r="AH143" s="17" t="str">
        <f aca="false">IF((E143="z"),H143," ")</f>
        <v> </v>
      </c>
      <c r="AI143" s="17" t="str">
        <f aca="false">IF((E143="fa"),H143," ")</f>
        <v> </v>
      </c>
      <c r="AJ143" s="17" t="str">
        <f aca="false">IF((E143="e"),H143," ")</f>
        <v> </v>
      </c>
    </row>
    <row r="144" customFormat="false" ht="12" hidden="false" customHeight="false" outlineLevel="0" collapsed="false">
      <c r="A144" s="28"/>
      <c r="E144" s="2" t="str">
        <f aca="false">IF((F144&lt;&gt;0),"Enter Letter"," ")</f>
        <v> </v>
      </c>
      <c r="F144" s="30"/>
      <c r="G144" s="6" t="str">
        <f aca="false">IF(F144&lt;&gt;0,F144*G$2/(100+G$2)," ")</f>
        <v> </v>
      </c>
      <c r="H144" s="6" t="str">
        <f aca="false">IF((F144&lt;&gt;0),F144-G144," ")</f>
        <v> </v>
      </c>
      <c r="I144" s="5"/>
      <c r="L144" s="7" t="str">
        <f aca="false">IF(F144&lt;&gt;0,F144-K144," ")</f>
        <v> </v>
      </c>
      <c r="M144" s="8" t="str">
        <f aca="false">IF((F144-K144)&lt;&gt;0,M$1-A144," ")</f>
        <v> </v>
      </c>
      <c r="N144" s="5"/>
      <c r="O144" s="17" t="str">
        <f aca="false">IF((E144="s"),H144," ")</f>
        <v> </v>
      </c>
      <c r="P144" s="17" t="str">
        <f aca="false">IF((E144="c"),H144," ")</f>
        <v> </v>
      </c>
      <c r="Q144" s="17" t="str">
        <f aca="false">IF((E144="o"),H144," ")</f>
        <v> </v>
      </c>
      <c r="R144" s="17" t="str">
        <f aca="false">IF((E144="d"),H144," ")</f>
        <v> </v>
      </c>
      <c r="S144" s="17" t="str">
        <f aca="false">IF((E144="w"),H144," ")</f>
        <v> </v>
      </c>
      <c r="T144" s="17" t="str">
        <f aca="false">IF((E144="r"),H144," ")</f>
        <v> </v>
      </c>
      <c r="U144" s="17" t="str">
        <f aca="false">IF((E144="p"),H144," ")</f>
        <v> </v>
      </c>
      <c r="V144" s="17" t="str">
        <f aca="false">IF((E144="t"),H144," ")</f>
        <v> </v>
      </c>
      <c r="W144" s="17" t="str">
        <f aca="false">IF((E144="q"),H144," ")</f>
        <v> </v>
      </c>
      <c r="X144" s="17" t="str">
        <f aca="false">IF((E144="m"),H144," ")</f>
        <v> </v>
      </c>
      <c r="Y144" s="17" t="str">
        <f aca="false">IF((E144="u"),H144," ")</f>
        <v> </v>
      </c>
      <c r="Z144" s="17" t="str">
        <f aca="false">IF((E144="a"),H144," ")</f>
        <v> </v>
      </c>
      <c r="AA144" s="17" t="str">
        <f aca="false">IF((E144="g"),H144," ")</f>
        <v> </v>
      </c>
      <c r="AB144" s="17" t="str">
        <f aca="false">IF((E144="h"),H144," ")</f>
        <v> </v>
      </c>
      <c r="AC144" s="30" t="str">
        <f aca="false">IF((E144="v"),H144," ")</f>
        <v> </v>
      </c>
      <c r="AD144" s="30" t="str">
        <f aca="false">IF((E144="n"),H144," ")</f>
        <v> </v>
      </c>
      <c r="AE144" s="17" t="str">
        <f aca="false">IF((E144="f"),H144," ")</f>
        <v> </v>
      </c>
      <c r="AF144" s="17" t="str">
        <f aca="false">IF((E144="l"),H144," ")</f>
        <v> </v>
      </c>
      <c r="AG144" s="17" t="str">
        <f aca="false">IF((E144="y"),H144," ")</f>
        <v> </v>
      </c>
      <c r="AH144" s="17" t="str">
        <f aca="false">IF((E144="z"),H144," ")</f>
        <v> </v>
      </c>
      <c r="AI144" s="17" t="str">
        <f aca="false">IF((E144="fa"),H144," ")</f>
        <v> </v>
      </c>
      <c r="AJ144" s="17" t="str">
        <f aca="false">IF((E144="e"),H144," ")</f>
        <v> </v>
      </c>
    </row>
    <row r="145" customFormat="false" ht="12" hidden="false" customHeight="false" outlineLevel="0" collapsed="false">
      <c r="A145" s="28"/>
      <c r="E145" s="2" t="str">
        <f aca="false">IF((F145&lt;&gt;0),"Enter Letter"," ")</f>
        <v> </v>
      </c>
      <c r="F145" s="30"/>
      <c r="G145" s="6" t="str">
        <f aca="false">IF(F145&lt;&gt;0,F145*G$2/(100+G$2)," ")</f>
        <v> </v>
      </c>
      <c r="H145" s="6" t="str">
        <f aca="false">IF((F145&lt;&gt;0),F145-G145," ")</f>
        <v> </v>
      </c>
      <c r="I145" s="5"/>
      <c r="L145" s="7" t="str">
        <f aca="false">IF(F145&lt;&gt;0,F145-K145," ")</f>
        <v> </v>
      </c>
      <c r="M145" s="8" t="str">
        <f aca="false">IF((F145-K145)&lt;&gt;0,M$1-A145," ")</f>
        <v> </v>
      </c>
      <c r="N145" s="5"/>
      <c r="O145" s="17" t="str">
        <f aca="false">IF((E145="s"),H145," ")</f>
        <v> </v>
      </c>
      <c r="P145" s="17" t="str">
        <f aca="false">IF((E145="c"),H145," ")</f>
        <v> </v>
      </c>
      <c r="Q145" s="17" t="str">
        <f aca="false">IF((E145="o"),H145," ")</f>
        <v> </v>
      </c>
      <c r="R145" s="17" t="str">
        <f aca="false">IF((E145="d"),H145," ")</f>
        <v> </v>
      </c>
      <c r="S145" s="17" t="str">
        <f aca="false">IF((E145="w"),H145," ")</f>
        <v> </v>
      </c>
      <c r="T145" s="17" t="str">
        <f aca="false">IF((E145="r"),H145," ")</f>
        <v> </v>
      </c>
      <c r="U145" s="17" t="str">
        <f aca="false">IF((E145="p"),H145," ")</f>
        <v> </v>
      </c>
      <c r="V145" s="17" t="str">
        <f aca="false">IF((E145="t"),H145," ")</f>
        <v> </v>
      </c>
      <c r="W145" s="17" t="str">
        <f aca="false">IF((E145="q"),H145," ")</f>
        <v> </v>
      </c>
      <c r="X145" s="17" t="str">
        <f aca="false">IF((E145="m"),H145," ")</f>
        <v> </v>
      </c>
      <c r="Y145" s="17" t="str">
        <f aca="false">IF((E145="u"),H145," ")</f>
        <v> </v>
      </c>
      <c r="Z145" s="17" t="str">
        <f aca="false">IF((E145="a"),H145," ")</f>
        <v> </v>
      </c>
      <c r="AA145" s="17" t="str">
        <f aca="false">IF((E145="g"),H145," ")</f>
        <v> </v>
      </c>
      <c r="AB145" s="17" t="str">
        <f aca="false">IF((E145="h"),H145," ")</f>
        <v> </v>
      </c>
      <c r="AC145" s="30" t="str">
        <f aca="false">IF((E145="v"),H145," ")</f>
        <v> </v>
      </c>
      <c r="AD145" s="30" t="str">
        <f aca="false">IF((E145="n"),H145," ")</f>
        <v> </v>
      </c>
      <c r="AE145" s="17" t="str">
        <f aca="false">IF((E145="f"),H145," ")</f>
        <v> </v>
      </c>
      <c r="AF145" s="17" t="str">
        <f aca="false">IF((E145="l"),H145," ")</f>
        <v> </v>
      </c>
      <c r="AG145" s="17" t="str">
        <f aca="false">IF((E145="y"),H145," ")</f>
        <v> </v>
      </c>
      <c r="AH145" s="17" t="str">
        <f aca="false">IF((E145="z"),H145," ")</f>
        <v> </v>
      </c>
      <c r="AI145" s="17" t="str">
        <f aca="false">IF((E145="fa"),H145," ")</f>
        <v> </v>
      </c>
      <c r="AJ145" s="17" t="str">
        <f aca="false">IF((E145="e"),H145," ")</f>
        <v> </v>
      </c>
    </row>
    <row r="146" customFormat="false" ht="12" hidden="false" customHeight="false" outlineLevel="0" collapsed="false">
      <c r="A146" s="28"/>
      <c r="E146" s="2" t="str">
        <f aca="false">IF((F146&lt;&gt;0),"Enter Letter"," ")</f>
        <v> </v>
      </c>
      <c r="F146" s="30"/>
      <c r="G146" s="6" t="str">
        <f aca="false">IF(F146&lt;&gt;0,F146*G$2/(100+G$2)," ")</f>
        <v> </v>
      </c>
      <c r="H146" s="6" t="str">
        <f aca="false">IF((F146&lt;&gt;0),F146-G146," ")</f>
        <v> </v>
      </c>
      <c r="I146" s="5"/>
      <c r="L146" s="7" t="str">
        <f aca="false">IF(F146&lt;&gt;0,F146-K146," ")</f>
        <v> </v>
      </c>
      <c r="M146" s="8" t="str">
        <f aca="false">IF((F146-K146)&lt;&gt;0,M$1-A146," ")</f>
        <v> </v>
      </c>
      <c r="N146" s="5"/>
      <c r="O146" s="17" t="str">
        <f aca="false">IF((E146="s"),H146," ")</f>
        <v> </v>
      </c>
      <c r="P146" s="17" t="str">
        <f aca="false">IF((E146="c"),H146," ")</f>
        <v> </v>
      </c>
      <c r="Q146" s="17" t="str">
        <f aca="false">IF((E146="o"),H146," ")</f>
        <v> </v>
      </c>
      <c r="R146" s="17" t="str">
        <f aca="false">IF((E146="d"),H146," ")</f>
        <v> </v>
      </c>
      <c r="S146" s="17" t="str">
        <f aca="false">IF((E146="w"),H146," ")</f>
        <v> </v>
      </c>
      <c r="T146" s="17" t="str">
        <f aca="false">IF((E146="r"),H146," ")</f>
        <v> </v>
      </c>
      <c r="U146" s="17" t="str">
        <f aca="false">IF((E146="p"),H146," ")</f>
        <v> </v>
      </c>
      <c r="V146" s="17" t="str">
        <f aca="false">IF((E146="t"),H146," ")</f>
        <v> </v>
      </c>
      <c r="W146" s="17" t="str">
        <f aca="false">IF((E146="q"),H146," ")</f>
        <v> </v>
      </c>
      <c r="X146" s="17" t="str">
        <f aca="false">IF((E146="m"),H146," ")</f>
        <v> </v>
      </c>
      <c r="Y146" s="17" t="str">
        <f aca="false">IF((E146="u"),H146," ")</f>
        <v> </v>
      </c>
      <c r="Z146" s="17" t="str">
        <f aca="false">IF((E146="a"),H146," ")</f>
        <v> </v>
      </c>
      <c r="AA146" s="17" t="str">
        <f aca="false">IF((E146="g"),H146," ")</f>
        <v> </v>
      </c>
      <c r="AB146" s="17" t="str">
        <f aca="false">IF((E146="h"),H146," ")</f>
        <v> </v>
      </c>
      <c r="AC146" s="30" t="str">
        <f aca="false">IF((E146="v"),H146," ")</f>
        <v> </v>
      </c>
      <c r="AD146" s="30" t="str">
        <f aca="false">IF((E146="n"),H146," ")</f>
        <v> </v>
      </c>
      <c r="AE146" s="17" t="str">
        <f aca="false">IF((E146="f"),H146," ")</f>
        <v> </v>
      </c>
      <c r="AF146" s="17" t="str">
        <f aca="false">IF((E146="l"),H146," ")</f>
        <v> </v>
      </c>
      <c r="AG146" s="17" t="str">
        <f aca="false">IF((E146="y"),H146," ")</f>
        <v> </v>
      </c>
      <c r="AH146" s="17" t="str">
        <f aca="false">IF((E146="z"),H146," ")</f>
        <v> </v>
      </c>
      <c r="AI146" s="17" t="str">
        <f aca="false">IF((E146="fa"),H146," ")</f>
        <v> </v>
      </c>
      <c r="AJ146" s="17" t="str">
        <f aca="false">IF((E146="e"),H146," ")</f>
        <v> </v>
      </c>
    </row>
    <row r="147" customFormat="false" ht="12" hidden="false" customHeight="false" outlineLevel="0" collapsed="false">
      <c r="A147" s="28"/>
      <c r="E147" s="2" t="str">
        <f aca="false">IF((F147&lt;&gt;0),"Enter Letter"," ")</f>
        <v> </v>
      </c>
      <c r="F147" s="30"/>
      <c r="G147" s="6" t="str">
        <f aca="false">IF(F147&lt;&gt;0,F147*G$2/(100+G$2)," ")</f>
        <v> </v>
      </c>
      <c r="H147" s="6" t="str">
        <f aca="false">IF((F147&lt;&gt;0),F147-G147," ")</f>
        <v> </v>
      </c>
      <c r="I147" s="5"/>
      <c r="L147" s="7" t="str">
        <f aca="false">IF(F147&lt;&gt;0,F147-K147," ")</f>
        <v> </v>
      </c>
      <c r="M147" s="8" t="str">
        <f aca="false">IF((F147-K147)&lt;&gt;0,M$1-A147," ")</f>
        <v> </v>
      </c>
      <c r="N147" s="5"/>
      <c r="O147" s="17" t="str">
        <f aca="false">IF((E147="s"),H147," ")</f>
        <v> </v>
      </c>
      <c r="P147" s="17" t="str">
        <f aca="false">IF((E147="c"),H147," ")</f>
        <v> </v>
      </c>
      <c r="Q147" s="17" t="str">
        <f aca="false">IF((E147="o"),H147," ")</f>
        <v> </v>
      </c>
      <c r="R147" s="17" t="str">
        <f aca="false">IF((E147="d"),H147," ")</f>
        <v> </v>
      </c>
      <c r="S147" s="17" t="str">
        <f aca="false">IF((E147="w"),H147," ")</f>
        <v> </v>
      </c>
      <c r="T147" s="17" t="str">
        <f aca="false">IF((E147="r"),H147," ")</f>
        <v> </v>
      </c>
      <c r="U147" s="17" t="str">
        <f aca="false">IF((E147="p"),H147," ")</f>
        <v> </v>
      </c>
      <c r="V147" s="17" t="str">
        <f aca="false">IF((E147="t"),H147," ")</f>
        <v> </v>
      </c>
      <c r="W147" s="17" t="str">
        <f aca="false">IF((E147="q"),H147," ")</f>
        <v> </v>
      </c>
      <c r="X147" s="17" t="str">
        <f aca="false">IF((E147="m"),H147," ")</f>
        <v> </v>
      </c>
      <c r="Y147" s="17" t="str">
        <f aca="false">IF((E147="u"),H147," ")</f>
        <v> </v>
      </c>
      <c r="Z147" s="17" t="str">
        <f aca="false">IF((E147="a"),H147," ")</f>
        <v> </v>
      </c>
      <c r="AA147" s="17" t="str">
        <f aca="false">IF((E147="g"),H147," ")</f>
        <v> </v>
      </c>
      <c r="AB147" s="17" t="str">
        <f aca="false">IF((E147="h"),H147," ")</f>
        <v> </v>
      </c>
      <c r="AC147" s="30" t="str">
        <f aca="false">IF((E147="v"),H147," ")</f>
        <v> </v>
      </c>
      <c r="AD147" s="30" t="str">
        <f aca="false">IF((E147="n"),H147," ")</f>
        <v> </v>
      </c>
      <c r="AE147" s="17" t="str">
        <f aca="false">IF((E147="f"),H147," ")</f>
        <v> </v>
      </c>
      <c r="AF147" s="17" t="str">
        <f aca="false">IF((E147="l"),H147," ")</f>
        <v> </v>
      </c>
      <c r="AG147" s="17" t="str">
        <f aca="false">IF((E147="y"),H147," ")</f>
        <v> </v>
      </c>
      <c r="AH147" s="17" t="str">
        <f aca="false">IF((E147="z"),H147," ")</f>
        <v> </v>
      </c>
      <c r="AI147" s="17" t="str">
        <f aca="false">IF((E147="fa"),H147," ")</f>
        <v> </v>
      </c>
      <c r="AJ147" s="17" t="str">
        <f aca="false">IF((E147="e"),H147," ")</f>
        <v> </v>
      </c>
    </row>
    <row r="148" customFormat="false" ht="12" hidden="false" customHeight="false" outlineLevel="0" collapsed="false">
      <c r="A148" s="28"/>
      <c r="E148" s="2" t="str">
        <f aca="false">IF((F148&lt;&gt;0),"Enter Letter"," ")</f>
        <v> </v>
      </c>
      <c r="F148" s="30"/>
      <c r="G148" s="6" t="str">
        <f aca="false">IF(F148&lt;&gt;0,F148*G$2/(100+G$2)," ")</f>
        <v> </v>
      </c>
      <c r="H148" s="6" t="str">
        <f aca="false">IF((F148&lt;&gt;0),F148-G148," ")</f>
        <v> </v>
      </c>
      <c r="I148" s="5"/>
      <c r="L148" s="7" t="str">
        <f aca="false">IF(F148&lt;&gt;0,F148-K148," ")</f>
        <v> </v>
      </c>
      <c r="M148" s="8" t="str">
        <f aca="false">IF((F148-K148)&lt;&gt;0,M$1-A148," ")</f>
        <v> </v>
      </c>
      <c r="N148" s="5"/>
      <c r="O148" s="17" t="str">
        <f aca="false">IF((E148="s"),H148," ")</f>
        <v> </v>
      </c>
      <c r="P148" s="17" t="str">
        <f aca="false">IF((E148="c"),H148," ")</f>
        <v> </v>
      </c>
      <c r="Q148" s="17" t="str">
        <f aca="false">IF((E148="o"),H148," ")</f>
        <v> </v>
      </c>
      <c r="R148" s="17" t="str">
        <f aca="false">IF((E148="d"),H148," ")</f>
        <v> </v>
      </c>
      <c r="S148" s="17" t="str">
        <f aca="false">IF((E148="w"),H148," ")</f>
        <v> </v>
      </c>
      <c r="T148" s="17" t="str">
        <f aca="false">IF((E148="r"),H148," ")</f>
        <v> </v>
      </c>
      <c r="U148" s="17" t="str">
        <f aca="false">IF((E148="p"),H148," ")</f>
        <v> </v>
      </c>
      <c r="V148" s="17" t="str">
        <f aca="false">IF((E148="t"),H148," ")</f>
        <v> </v>
      </c>
      <c r="W148" s="17" t="str">
        <f aca="false">IF((E148="q"),H148," ")</f>
        <v> </v>
      </c>
      <c r="X148" s="17" t="str">
        <f aca="false">IF((E148="m"),H148," ")</f>
        <v> </v>
      </c>
      <c r="Y148" s="17" t="str">
        <f aca="false">IF((E148="u"),H148," ")</f>
        <v> </v>
      </c>
      <c r="Z148" s="17" t="str">
        <f aca="false">IF((E148="a"),H148," ")</f>
        <v> </v>
      </c>
      <c r="AA148" s="17" t="str">
        <f aca="false">IF((E148="g"),H148," ")</f>
        <v> </v>
      </c>
      <c r="AB148" s="17" t="str">
        <f aca="false">IF((E148="h"),H148," ")</f>
        <v> </v>
      </c>
      <c r="AC148" s="30" t="str">
        <f aca="false">IF((E148="v"),H148," ")</f>
        <v> </v>
      </c>
      <c r="AD148" s="30" t="str">
        <f aca="false">IF((E148="n"),H148," ")</f>
        <v> </v>
      </c>
      <c r="AE148" s="17" t="str">
        <f aca="false">IF((E148="f"),H148," ")</f>
        <v> </v>
      </c>
      <c r="AF148" s="17" t="str">
        <f aca="false">IF((E148="l"),H148," ")</f>
        <v> </v>
      </c>
      <c r="AG148" s="17" t="str">
        <f aca="false">IF((E148="y"),H148," ")</f>
        <v> </v>
      </c>
      <c r="AH148" s="17" t="str">
        <f aca="false">IF((E148="z"),H148," ")</f>
        <v> </v>
      </c>
      <c r="AI148" s="17" t="str">
        <f aca="false">IF((E148="fa"),H148," ")</f>
        <v> </v>
      </c>
      <c r="AJ148" s="17" t="str">
        <f aca="false">IF((E148="e"),H148," ")</f>
        <v> </v>
      </c>
    </row>
    <row r="149" customFormat="false" ht="12" hidden="false" customHeight="false" outlineLevel="0" collapsed="false">
      <c r="A149" s="28"/>
      <c r="E149" s="2" t="str">
        <f aca="false">IF((F149&lt;&gt;0),"Enter Letter"," ")</f>
        <v> </v>
      </c>
      <c r="F149" s="30"/>
      <c r="G149" s="6" t="str">
        <f aca="false">IF(F149&lt;&gt;0,F149*G$2/(100+G$2)," ")</f>
        <v> </v>
      </c>
      <c r="H149" s="6" t="str">
        <f aca="false">IF((F149&lt;&gt;0),F149-G149," ")</f>
        <v> </v>
      </c>
      <c r="I149" s="5"/>
      <c r="L149" s="7" t="str">
        <f aca="false">IF(F149&lt;&gt;0,F149-K149," ")</f>
        <v> </v>
      </c>
      <c r="M149" s="8" t="str">
        <f aca="false">IF((F149-K149)&lt;&gt;0,M$1-A149," ")</f>
        <v> </v>
      </c>
      <c r="N149" s="5"/>
      <c r="O149" s="17" t="str">
        <f aca="false">IF((E149="s"),H149," ")</f>
        <v> </v>
      </c>
      <c r="P149" s="17" t="str">
        <f aca="false">IF((E149="c"),H149," ")</f>
        <v> </v>
      </c>
      <c r="Q149" s="17" t="str">
        <f aca="false">IF((E149="o"),H149," ")</f>
        <v> </v>
      </c>
      <c r="R149" s="17" t="str">
        <f aca="false">IF((E149="d"),H149," ")</f>
        <v> </v>
      </c>
      <c r="S149" s="17" t="str">
        <f aca="false">IF((E149="w"),H149," ")</f>
        <v> </v>
      </c>
      <c r="T149" s="17" t="str">
        <f aca="false">IF((E149="r"),H149," ")</f>
        <v> </v>
      </c>
      <c r="U149" s="17" t="str">
        <f aca="false">IF((E149="p"),H149," ")</f>
        <v> </v>
      </c>
      <c r="V149" s="17" t="str">
        <f aca="false">IF((E149="t"),H149," ")</f>
        <v> </v>
      </c>
      <c r="W149" s="17" t="str">
        <f aca="false">IF((E149="q"),H149," ")</f>
        <v> </v>
      </c>
      <c r="X149" s="17" t="str">
        <f aca="false">IF((E149="m"),H149," ")</f>
        <v> </v>
      </c>
      <c r="Y149" s="17" t="str">
        <f aca="false">IF((E149="u"),H149," ")</f>
        <v> </v>
      </c>
      <c r="Z149" s="17" t="str">
        <f aca="false">IF((E149="a"),H149," ")</f>
        <v> </v>
      </c>
      <c r="AA149" s="17" t="str">
        <f aca="false">IF((E149="g"),H149," ")</f>
        <v> </v>
      </c>
      <c r="AB149" s="17" t="str">
        <f aca="false">IF((E149="h"),H149," ")</f>
        <v> </v>
      </c>
      <c r="AC149" s="30" t="str">
        <f aca="false">IF((E149="v"),H149," ")</f>
        <v> </v>
      </c>
      <c r="AD149" s="30" t="str">
        <f aca="false">IF((E149="n"),H149," ")</f>
        <v> </v>
      </c>
      <c r="AE149" s="17" t="str">
        <f aca="false">IF((E149="f"),H149," ")</f>
        <v> </v>
      </c>
      <c r="AF149" s="17" t="str">
        <f aca="false">IF((E149="l"),H149," ")</f>
        <v> </v>
      </c>
      <c r="AG149" s="17" t="str">
        <f aca="false">IF((E149="y"),H149," ")</f>
        <v> </v>
      </c>
      <c r="AH149" s="17" t="str">
        <f aca="false">IF((E149="z"),H149," ")</f>
        <v> </v>
      </c>
      <c r="AI149" s="17" t="str">
        <f aca="false">IF((E149="fa"),H149," ")</f>
        <v> </v>
      </c>
      <c r="AJ149" s="17" t="str">
        <f aca="false">IF((E149="e"),H149," ")</f>
        <v> </v>
      </c>
    </row>
    <row r="150" customFormat="false" ht="12" hidden="false" customHeight="false" outlineLevel="0" collapsed="false">
      <c r="A150" s="28"/>
      <c r="E150" s="2" t="str">
        <f aca="false">IF((F150&lt;&gt;0),"Enter Letter"," ")</f>
        <v> </v>
      </c>
      <c r="F150" s="30"/>
      <c r="G150" s="6" t="str">
        <f aca="false">IF(F150&lt;&gt;0,F150*G$2/(100+G$2)," ")</f>
        <v> </v>
      </c>
      <c r="H150" s="6" t="str">
        <f aca="false">IF((F150&lt;&gt;0),F150-G150," ")</f>
        <v> </v>
      </c>
      <c r="I150" s="5"/>
      <c r="L150" s="7" t="str">
        <f aca="false">IF(F150&lt;&gt;0,F150-K150," ")</f>
        <v> </v>
      </c>
      <c r="M150" s="8" t="str">
        <f aca="false">IF((F150-K150)&lt;&gt;0,M$1-A150," ")</f>
        <v> </v>
      </c>
      <c r="N150" s="5"/>
      <c r="O150" s="17" t="str">
        <f aca="false">IF((E150="s"),H150," ")</f>
        <v> </v>
      </c>
      <c r="P150" s="17" t="str">
        <f aca="false">IF((E150="c"),H150," ")</f>
        <v> </v>
      </c>
      <c r="Q150" s="17" t="str">
        <f aca="false">IF((E150="o"),H150," ")</f>
        <v> </v>
      </c>
      <c r="R150" s="17" t="str">
        <f aca="false">IF((E150="d"),H150," ")</f>
        <v> </v>
      </c>
      <c r="S150" s="17" t="str">
        <f aca="false">IF((E150="w"),H150," ")</f>
        <v> </v>
      </c>
      <c r="T150" s="17" t="str">
        <f aca="false">IF((E150="r"),H150," ")</f>
        <v> </v>
      </c>
      <c r="U150" s="17" t="str">
        <f aca="false">IF((E150="p"),H150," ")</f>
        <v> </v>
      </c>
      <c r="V150" s="17" t="str">
        <f aca="false">IF((E150="t"),H150," ")</f>
        <v> </v>
      </c>
      <c r="W150" s="17" t="str">
        <f aca="false">IF((E150="q"),H150," ")</f>
        <v> </v>
      </c>
      <c r="X150" s="17" t="str">
        <f aca="false">IF((E150="m"),H150," ")</f>
        <v> </v>
      </c>
      <c r="Y150" s="17" t="str">
        <f aca="false">IF((E150="u"),H150," ")</f>
        <v> </v>
      </c>
      <c r="Z150" s="17" t="str">
        <f aca="false">IF((E150="a"),H150," ")</f>
        <v> </v>
      </c>
      <c r="AA150" s="17" t="str">
        <f aca="false">IF((E150="g"),H150," ")</f>
        <v> </v>
      </c>
      <c r="AB150" s="17" t="str">
        <f aca="false">IF((E150="h"),H150," ")</f>
        <v> </v>
      </c>
      <c r="AC150" s="30" t="str">
        <f aca="false">IF((E150="v"),H150," ")</f>
        <v> </v>
      </c>
      <c r="AD150" s="30" t="str">
        <f aca="false">IF((E150="n"),H150," ")</f>
        <v> </v>
      </c>
      <c r="AE150" s="17" t="str">
        <f aca="false">IF((E150="f"),H150," ")</f>
        <v> </v>
      </c>
      <c r="AF150" s="17" t="str">
        <f aca="false">IF((E150="l"),H150," ")</f>
        <v> </v>
      </c>
      <c r="AG150" s="17" t="str">
        <f aca="false">IF((E150="y"),H150," ")</f>
        <v> </v>
      </c>
      <c r="AH150" s="17" t="str">
        <f aca="false">IF((E150="z"),H150," ")</f>
        <v> </v>
      </c>
      <c r="AI150" s="17" t="str">
        <f aca="false">IF((E150="fa"),H150," ")</f>
        <v> </v>
      </c>
      <c r="AJ150" s="17" t="str">
        <f aca="false">IF((E150="e"),H150," ")</f>
        <v> </v>
      </c>
    </row>
    <row r="151" customFormat="false" ht="12" hidden="false" customHeight="false" outlineLevel="0" collapsed="false">
      <c r="A151" s="28"/>
      <c r="E151" s="2" t="str">
        <f aca="false">IF((F151&lt;&gt;0),"Enter Letter"," ")</f>
        <v> </v>
      </c>
      <c r="F151" s="30"/>
      <c r="G151" s="6" t="str">
        <f aca="false">IF(F151&lt;&gt;0,F151*G$2/(100+G$2)," ")</f>
        <v> </v>
      </c>
      <c r="H151" s="6" t="str">
        <f aca="false">IF((F151&lt;&gt;0),F151-G151," ")</f>
        <v> </v>
      </c>
      <c r="I151" s="5"/>
      <c r="L151" s="7" t="str">
        <f aca="false">IF(F151&lt;&gt;0,F151-K151," ")</f>
        <v> </v>
      </c>
      <c r="M151" s="8" t="str">
        <f aca="false">IF((F151-K151)&lt;&gt;0,M$1-A151," ")</f>
        <v> </v>
      </c>
      <c r="N151" s="5"/>
      <c r="O151" s="17" t="str">
        <f aca="false">IF((E151="s"),H151," ")</f>
        <v> </v>
      </c>
      <c r="P151" s="17" t="str">
        <f aca="false">IF((E151="c"),H151," ")</f>
        <v> </v>
      </c>
      <c r="Q151" s="17" t="str">
        <f aca="false">IF((E151="o"),H151," ")</f>
        <v> </v>
      </c>
      <c r="R151" s="17" t="str">
        <f aca="false">IF((E151="d"),H151," ")</f>
        <v> </v>
      </c>
      <c r="S151" s="17" t="str">
        <f aca="false">IF((E151="w"),H151," ")</f>
        <v> </v>
      </c>
      <c r="T151" s="17" t="str">
        <f aca="false">IF((E151="r"),H151," ")</f>
        <v> </v>
      </c>
      <c r="U151" s="17" t="str">
        <f aca="false">IF((E151="p"),H151," ")</f>
        <v> </v>
      </c>
      <c r="V151" s="17" t="str">
        <f aca="false">IF((E151="t"),H151," ")</f>
        <v> </v>
      </c>
      <c r="W151" s="17" t="str">
        <f aca="false">IF((E151="q"),H151," ")</f>
        <v> </v>
      </c>
      <c r="X151" s="17" t="str">
        <f aca="false">IF((E151="m"),H151," ")</f>
        <v> </v>
      </c>
      <c r="Y151" s="17" t="str">
        <f aca="false">IF((E151="u"),H151," ")</f>
        <v> </v>
      </c>
      <c r="Z151" s="17" t="str">
        <f aca="false">IF((E151="a"),H151," ")</f>
        <v> </v>
      </c>
      <c r="AA151" s="17" t="str">
        <f aca="false">IF((E151="g"),H151," ")</f>
        <v> </v>
      </c>
      <c r="AB151" s="17" t="str">
        <f aca="false">IF((E151="h"),H151," ")</f>
        <v> </v>
      </c>
      <c r="AC151" s="30" t="str">
        <f aca="false">IF((E151="v"),H151," ")</f>
        <v> </v>
      </c>
      <c r="AD151" s="30" t="str">
        <f aca="false">IF((E151="n"),H151," ")</f>
        <v> </v>
      </c>
      <c r="AE151" s="17" t="str">
        <f aca="false">IF((E151="f"),H151," ")</f>
        <v> </v>
      </c>
      <c r="AF151" s="17" t="str">
        <f aca="false">IF((E151="l"),H151," ")</f>
        <v> </v>
      </c>
      <c r="AG151" s="17" t="str">
        <f aca="false">IF((E151="y"),H151," ")</f>
        <v> </v>
      </c>
      <c r="AH151" s="17" t="str">
        <f aca="false">IF((E151="z"),H151," ")</f>
        <v> </v>
      </c>
      <c r="AI151" s="17" t="str">
        <f aca="false">IF((E151="fa"),H151," ")</f>
        <v> </v>
      </c>
      <c r="AJ151" s="17" t="str">
        <f aca="false">IF((E151="e"),H151," ")</f>
        <v> </v>
      </c>
    </row>
    <row r="152" customFormat="false" ht="12" hidden="false" customHeight="false" outlineLevel="0" collapsed="false">
      <c r="A152" s="28"/>
      <c r="E152" s="2" t="str">
        <f aca="false">IF((F152&lt;&gt;0),"Enter Letter"," ")</f>
        <v> </v>
      </c>
      <c r="F152" s="30"/>
      <c r="G152" s="6" t="str">
        <f aca="false">IF(F152&lt;&gt;0,F152*G$2/(100+G$2)," ")</f>
        <v> </v>
      </c>
      <c r="H152" s="6" t="str">
        <f aca="false">IF((F152&lt;&gt;0),F152-G152," ")</f>
        <v> </v>
      </c>
      <c r="I152" s="5"/>
      <c r="L152" s="7" t="str">
        <f aca="false">IF(F152&lt;&gt;0,F152-K152," ")</f>
        <v> </v>
      </c>
      <c r="M152" s="8" t="str">
        <f aca="false">IF((F152-K152)&lt;&gt;0,M$1-A152," ")</f>
        <v> </v>
      </c>
      <c r="N152" s="5"/>
      <c r="O152" s="17" t="str">
        <f aca="false">IF((E152="s"),H152," ")</f>
        <v> </v>
      </c>
      <c r="P152" s="17" t="str">
        <f aca="false">IF((E152="c"),H152," ")</f>
        <v> </v>
      </c>
      <c r="Q152" s="17" t="str">
        <f aca="false">IF((E152="o"),H152," ")</f>
        <v> </v>
      </c>
      <c r="R152" s="17" t="str">
        <f aca="false">IF((E152="d"),H152," ")</f>
        <v> </v>
      </c>
      <c r="S152" s="17" t="str">
        <f aca="false">IF((E152="w"),H152," ")</f>
        <v> </v>
      </c>
      <c r="T152" s="17" t="str">
        <f aca="false">IF((E152="r"),H152," ")</f>
        <v> </v>
      </c>
      <c r="U152" s="17" t="str">
        <f aca="false">IF((E152="p"),H152," ")</f>
        <v> </v>
      </c>
      <c r="V152" s="17" t="str">
        <f aca="false">IF((E152="t"),H152," ")</f>
        <v> </v>
      </c>
      <c r="W152" s="17" t="str">
        <f aca="false">IF((E152="q"),H152," ")</f>
        <v> </v>
      </c>
      <c r="X152" s="17" t="str">
        <f aca="false">IF((E152="m"),H152," ")</f>
        <v> </v>
      </c>
      <c r="Y152" s="17" t="str">
        <f aca="false">IF((E152="u"),H152," ")</f>
        <v> </v>
      </c>
      <c r="Z152" s="17" t="str">
        <f aca="false">IF((E152="a"),H152," ")</f>
        <v> </v>
      </c>
      <c r="AA152" s="17" t="str">
        <f aca="false">IF((E152="g"),H152," ")</f>
        <v> </v>
      </c>
      <c r="AB152" s="17" t="str">
        <f aca="false">IF((E152="h"),H152," ")</f>
        <v> </v>
      </c>
      <c r="AC152" s="30" t="str">
        <f aca="false">IF((E152="v"),H152," ")</f>
        <v> </v>
      </c>
      <c r="AD152" s="30" t="str">
        <f aca="false">IF((E152="n"),H152," ")</f>
        <v> </v>
      </c>
      <c r="AE152" s="17" t="str">
        <f aca="false">IF((E152="f"),H152," ")</f>
        <v> </v>
      </c>
      <c r="AF152" s="17" t="str">
        <f aca="false">IF((E152="l"),H152," ")</f>
        <v> </v>
      </c>
      <c r="AG152" s="17" t="str">
        <f aca="false">IF((E152="y"),H152," ")</f>
        <v> </v>
      </c>
      <c r="AH152" s="17" t="str">
        <f aca="false">IF((E152="z"),H152," ")</f>
        <v> </v>
      </c>
      <c r="AI152" s="17" t="str">
        <f aca="false">IF((E152="fa"),H152," ")</f>
        <v> </v>
      </c>
      <c r="AJ152" s="17" t="str">
        <f aca="false">IF((E152="e"),H152," ")</f>
        <v> </v>
      </c>
    </row>
    <row r="153" customFormat="false" ht="12" hidden="false" customHeight="false" outlineLevel="0" collapsed="false">
      <c r="A153" s="28"/>
      <c r="E153" s="2" t="str">
        <f aca="false">IF((F153&lt;&gt;0),"Enter Letter"," ")</f>
        <v> </v>
      </c>
      <c r="F153" s="30"/>
      <c r="G153" s="6" t="str">
        <f aca="false">IF(F153&lt;&gt;0,F153*G$2/(100+G$2)," ")</f>
        <v> </v>
      </c>
      <c r="H153" s="6" t="str">
        <f aca="false">IF((F153&lt;&gt;0),F153-G153," ")</f>
        <v> </v>
      </c>
      <c r="I153" s="5"/>
      <c r="L153" s="7" t="str">
        <f aca="false">IF(F153&lt;&gt;0,F153-K153," ")</f>
        <v> </v>
      </c>
      <c r="M153" s="8" t="str">
        <f aca="false">IF((F153-K153)&lt;&gt;0,M$1-A153," ")</f>
        <v> </v>
      </c>
      <c r="N153" s="5"/>
      <c r="O153" s="17" t="str">
        <f aca="false">IF((E153="s"),H153," ")</f>
        <v> </v>
      </c>
      <c r="P153" s="17" t="str">
        <f aca="false">IF((E153="c"),H153," ")</f>
        <v> </v>
      </c>
      <c r="Q153" s="17" t="str">
        <f aca="false">IF((E153="o"),H153," ")</f>
        <v> </v>
      </c>
      <c r="R153" s="17" t="str">
        <f aca="false">IF((E153="d"),H153," ")</f>
        <v> </v>
      </c>
      <c r="S153" s="17" t="str">
        <f aca="false">IF((E153="w"),H153," ")</f>
        <v> </v>
      </c>
      <c r="T153" s="17" t="str">
        <f aca="false">IF((E153="r"),H153," ")</f>
        <v> </v>
      </c>
      <c r="U153" s="17" t="str">
        <f aca="false">IF((E153="p"),H153," ")</f>
        <v> </v>
      </c>
      <c r="V153" s="17" t="str">
        <f aca="false">IF((E153="t"),H153," ")</f>
        <v> </v>
      </c>
      <c r="W153" s="17" t="str">
        <f aca="false">IF((E153="q"),H153," ")</f>
        <v> </v>
      </c>
      <c r="X153" s="17" t="str">
        <f aca="false">IF((E153="m"),H153," ")</f>
        <v> </v>
      </c>
      <c r="Y153" s="17" t="str">
        <f aca="false">IF((E153="u"),H153," ")</f>
        <v> </v>
      </c>
      <c r="Z153" s="17" t="str">
        <f aca="false">IF((E153="a"),H153," ")</f>
        <v> </v>
      </c>
      <c r="AA153" s="17" t="str">
        <f aca="false">IF((E153="g"),H153," ")</f>
        <v> </v>
      </c>
      <c r="AB153" s="17" t="str">
        <f aca="false">IF((E153="h"),H153," ")</f>
        <v> </v>
      </c>
      <c r="AC153" s="30" t="str">
        <f aca="false">IF((E153="v"),H153," ")</f>
        <v> </v>
      </c>
      <c r="AD153" s="30" t="str">
        <f aca="false">IF((E153="n"),H153," ")</f>
        <v> </v>
      </c>
      <c r="AE153" s="17" t="str">
        <f aca="false">IF((E153="f"),H153," ")</f>
        <v> </v>
      </c>
      <c r="AF153" s="17" t="str">
        <f aca="false">IF((E153="l"),H153," ")</f>
        <v> </v>
      </c>
      <c r="AG153" s="17" t="str">
        <f aca="false">IF((E153="y"),H153," ")</f>
        <v> </v>
      </c>
      <c r="AH153" s="17" t="str">
        <f aca="false">IF((E153="z"),H153," ")</f>
        <v> </v>
      </c>
      <c r="AI153" s="17" t="str">
        <f aca="false">IF((E153="fa"),H153," ")</f>
        <v> </v>
      </c>
      <c r="AJ153" s="17" t="str">
        <f aca="false">IF((E153="e"),H153," ")</f>
        <v> </v>
      </c>
    </row>
    <row r="154" customFormat="false" ht="12" hidden="false" customHeight="false" outlineLevel="0" collapsed="false">
      <c r="A154" s="28"/>
      <c r="E154" s="2" t="str">
        <f aca="false">IF((F154&lt;&gt;0),"Enter Letter"," ")</f>
        <v> </v>
      </c>
      <c r="F154" s="30"/>
      <c r="G154" s="6" t="str">
        <f aca="false">IF(F154&lt;&gt;0,F154*G$2/(100+G$2)," ")</f>
        <v> </v>
      </c>
      <c r="H154" s="6" t="str">
        <f aca="false">IF((F154&lt;&gt;0),F154-G154," ")</f>
        <v> </v>
      </c>
      <c r="I154" s="5"/>
      <c r="L154" s="7" t="str">
        <f aca="false">IF(F154&lt;&gt;0,F154-K154," ")</f>
        <v> </v>
      </c>
      <c r="M154" s="8" t="str">
        <f aca="false">IF((F154-K154)&lt;&gt;0,M$1-A154," ")</f>
        <v> </v>
      </c>
      <c r="N154" s="5"/>
      <c r="O154" s="17" t="str">
        <f aca="false">IF((E154="s"),H154," ")</f>
        <v> </v>
      </c>
      <c r="P154" s="17" t="str">
        <f aca="false">IF((E154="c"),H154," ")</f>
        <v> </v>
      </c>
      <c r="Q154" s="17" t="str">
        <f aca="false">IF((E154="o"),H154," ")</f>
        <v> </v>
      </c>
      <c r="R154" s="17" t="str">
        <f aca="false">IF((E154="d"),H154," ")</f>
        <v> </v>
      </c>
      <c r="S154" s="17" t="str">
        <f aca="false">IF((E154="w"),H154," ")</f>
        <v> </v>
      </c>
      <c r="T154" s="17" t="str">
        <f aca="false">IF((E154="r"),H154," ")</f>
        <v> </v>
      </c>
      <c r="U154" s="17" t="str">
        <f aca="false">IF((E154="p"),H154," ")</f>
        <v> </v>
      </c>
      <c r="V154" s="17" t="str">
        <f aca="false">IF((E154="t"),H154," ")</f>
        <v> </v>
      </c>
      <c r="W154" s="17" t="str">
        <f aca="false">IF((E154="q"),H154," ")</f>
        <v> </v>
      </c>
      <c r="X154" s="17" t="str">
        <f aca="false">IF((E154="m"),H154," ")</f>
        <v> </v>
      </c>
      <c r="Y154" s="17" t="str">
        <f aca="false">IF((E154="u"),H154," ")</f>
        <v> </v>
      </c>
      <c r="Z154" s="17" t="str">
        <f aca="false">IF((E154="a"),H154," ")</f>
        <v> </v>
      </c>
      <c r="AA154" s="17" t="str">
        <f aca="false">IF((E154="g"),H154," ")</f>
        <v> </v>
      </c>
      <c r="AB154" s="17" t="str">
        <f aca="false">IF((E154="h"),H154," ")</f>
        <v> </v>
      </c>
      <c r="AC154" s="30" t="str">
        <f aca="false">IF((E154="v"),H154," ")</f>
        <v> </v>
      </c>
      <c r="AD154" s="30" t="str">
        <f aca="false">IF((E154="n"),H154," ")</f>
        <v> </v>
      </c>
      <c r="AE154" s="17" t="str">
        <f aca="false">IF((E154="f"),H154," ")</f>
        <v> </v>
      </c>
      <c r="AF154" s="17" t="str">
        <f aca="false">IF((E154="l"),H154," ")</f>
        <v> </v>
      </c>
      <c r="AG154" s="17" t="str">
        <f aca="false">IF((E154="y"),H154," ")</f>
        <v> </v>
      </c>
      <c r="AH154" s="17" t="str">
        <f aca="false">IF((E154="z"),H154," ")</f>
        <v> </v>
      </c>
      <c r="AI154" s="17" t="str">
        <f aca="false">IF((E154="fa"),H154," ")</f>
        <v> </v>
      </c>
      <c r="AJ154" s="17" t="str">
        <f aca="false">IF((E154="e"),H154," ")</f>
        <v> </v>
      </c>
    </row>
    <row r="155" customFormat="false" ht="12" hidden="false" customHeight="false" outlineLevel="0" collapsed="false">
      <c r="A155" s="28"/>
      <c r="E155" s="2" t="str">
        <f aca="false">IF((F155&lt;&gt;0),"Enter Letter"," ")</f>
        <v> </v>
      </c>
      <c r="F155" s="30"/>
      <c r="G155" s="6" t="str">
        <f aca="false">IF(F155&lt;&gt;0,F155*G$2/(100+G$2)," ")</f>
        <v> </v>
      </c>
      <c r="H155" s="6" t="str">
        <f aca="false">IF((F155&lt;&gt;0),F155-G155," ")</f>
        <v> </v>
      </c>
      <c r="I155" s="5"/>
      <c r="L155" s="7" t="str">
        <f aca="false">IF(F155&lt;&gt;0,F155-K155," ")</f>
        <v> </v>
      </c>
      <c r="M155" s="8" t="str">
        <f aca="false">IF((F155-K155)&lt;&gt;0,M$1-A155," ")</f>
        <v> </v>
      </c>
      <c r="N155" s="5"/>
      <c r="O155" s="17" t="str">
        <f aca="false">IF((E155="s"),H155," ")</f>
        <v> </v>
      </c>
      <c r="P155" s="17" t="str">
        <f aca="false">IF((E155="c"),H155," ")</f>
        <v> </v>
      </c>
      <c r="Q155" s="17" t="str">
        <f aca="false">IF((E155="o"),H155," ")</f>
        <v> </v>
      </c>
      <c r="R155" s="17" t="str">
        <f aca="false">IF((E155="d"),H155," ")</f>
        <v> </v>
      </c>
      <c r="S155" s="17" t="str">
        <f aca="false">IF((E155="w"),H155," ")</f>
        <v> </v>
      </c>
      <c r="T155" s="17" t="str">
        <f aca="false">IF((E155="r"),H155," ")</f>
        <v> </v>
      </c>
      <c r="U155" s="17" t="str">
        <f aca="false">IF((E155="p"),H155," ")</f>
        <v> </v>
      </c>
      <c r="V155" s="17" t="str">
        <f aca="false">IF((E155="t"),H155," ")</f>
        <v> </v>
      </c>
      <c r="W155" s="17" t="str">
        <f aca="false">IF((E155="q"),H155," ")</f>
        <v> </v>
      </c>
      <c r="X155" s="17" t="str">
        <f aca="false">IF((E155="m"),H155," ")</f>
        <v> </v>
      </c>
      <c r="Y155" s="17" t="str">
        <f aca="false">IF((E155="u"),H155," ")</f>
        <v> </v>
      </c>
      <c r="Z155" s="17" t="str">
        <f aca="false">IF((E155="a"),H155," ")</f>
        <v> </v>
      </c>
      <c r="AA155" s="17" t="str">
        <f aca="false">IF((E155="g"),H155," ")</f>
        <v> </v>
      </c>
      <c r="AB155" s="17" t="str">
        <f aca="false">IF((E155="h"),H155," ")</f>
        <v> </v>
      </c>
      <c r="AC155" s="30" t="str">
        <f aca="false">IF((E155="v"),H155," ")</f>
        <v> </v>
      </c>
      <c r="AD155" s="30" t="str">
        <f aca="false">IF((E155="n"),H155," ")</f>
        <v> </v>
      </c>
      <c r="AE155" s="17" t="str">
        <f aca="false">IF((E155="f"),H155," ")</f>
        <v> </v>
      </c>
      <c r="AF155" s="17" t="str">
        <f aca="false">IF((E155="l"),H155," ")</f>
        <v> </v>
      </c>
      <c r="AG155" s="17" t="str">
        <f aca="false">IF((E155="y"),H155," ")</f>
        <v> </v>
      </c>
      <c r="AH155" s="17" t="str">
        <f aca="false">IF((E155="z"),H155," ")</f>
        <v> </v>
      </c>
      <c r="AI155" s="17" t="str">
        <f aca="false">IF((E155="fa"),H155," ")</f>
        <v> </v>
      </c>
      <c r="AJ155" s="17" t="str">
        <f aca="false">IF((E155="e"),H155," ")</f>
        <v> </v>
      </c>
    </row>
    <row r="156" customFormat="false" ht="12" hidden="false" customHeight="false" outlineLevel="0" collapsed="false">
      <c r="A156" s="28"/>
      <c r="E156" s="2" t="str">
        <f aca="false">IF((F156&lt;&gt;0),"Enter Letter"," ")</f>
        <v> </v>
      </c>
      <c r="F156" s="30"/>
      <c r="G156" s="6" t="str">
        <f aca="false">IF(F156&lt;&gt;0,F156*G$2/(100+G$2)," ")</f>
        <v> </v>
      </c>
      <c r="H156" s="6" t="str">
        <f aca="false">IF((F156&lt;&gt;0),F156-G156," ")</f>
        <v> </v>
      </c>
      <c r="I156" s="5"/>
      <c r="L156" s="7" t="str">
        <f aca="false">IF(F156&lt;&gt;0,F156-K156," ")</f>
        <v> </v>
      </c>
      <c r="M156" s="8" t="str">
        <f aca="false">IF((F156-K156)&lt;&gt;0,M$1-A156," ")</f>
        <v> </v>
      </c>
      <c r="N156" s="5"/>
      <c r="O156" s="17" t="str">
        <f aca="false">IF((E156="s"),H156," ")</f>
        <v> </v>
      </c>
      <c r="P156" s="17" t="str">
        <f aca="false">IF((E156="c"),H156," ")</f>
        <v> </v>
      </c>
      <c r="Q156" s="17" t="str">
        <f aca="false">IF((E156="o"),H156," ")</f>
        <v> </v>
      </c>
      <c r="R156" s="17" t="str">
        <f aca="false">IF((E156="d"),H156," ")</f>
        <v> </v>
      </c>
      <c r="S156" s="17" t="str">
        <f aca="false">IF((E156="w"),H156," ")</f>
        <v> </v>
      </c>
      <c r="T156" s="17" t="str">
        <f aca="false">IF((E156="r"),H156," ")</f>
        <v> </v>
      </c>
      <c r="U156" s="17" t="str">
        <f aca="false">IF((E156="p"),H156," ")</f>
        <v> </v>
      </c>
      <c r="V156" s="17" t="str">
        <f aca="false">IF((E156="t"),H156," ")</f>
        <v> </v>
      </c>
      <c r="W156" s="17" t="str">
        <f aca="false">IF((E156="q"),H156," ")</f>
        <v> </v>
      </c>
      <c r="X156" s="17" t="str">
        <f aca="false">IF((E156="m"),H156," ")</f>
        <v> </v>
      </c>
      <c r="Y156" s="17" t="str">
        <f aca="false">IF((E156="u"),H156," ")</f>
        <v> </v>
      </c>
      <c r="Z156" s="17" t="str">
        <f aca="false">IF((E156="a"),H156," ")</f>
        <v> </v>
      </c>
      <c r="AA156" s="17" t="str">
        <f aca="false">IF((E156="g"),H156," ")</f>
        <v> </v>
      </c>
      <c r="AB156" s="17" t="str">
        <f aca="false">IF((E156="h"),H156," ")</f>
        <v> </v>
      </c>
      <c r="AC156" s="30" t="str">
        <f aca="false">IF((E156="v"),H156," ")</f>
        <v> </v>
      </c>
      <c r="AD156" s="30" t="str">
        <f aca="false">IF((E156="n"),H156," ")</f>
        <v> </v>
      </c>
      <c r="AE156" s="17" t="str">
        <f aca="false">IF((E156="f"),H156," ")</f>
        <v> </v>
      </c>
      <c r="AF156" s="17" t="str">
        <f aca="false">IF((E156="l"),H156," ")</f>
        <v> </v>
      </c>
      <c r="AG156" s="17" t="str">
        <f aca="false">IF((E156="y"),H156," ")</f>
        <v> </v>
      </c>
      <c r="AH156" s="17" t="str">
        <f aca="false">IF((E156="z"),H156," ")</f>
        <v> </v>
      </c>
      <c r="AI156" s="17" t="str">
        <f aca="false">IF((E156="fa"),H156," ")</f>
        <v> </v>
      </c>
      <c r="AJ156" s="17" t="str">
        <f aca="false">IF((E156="e"),H156," ")</f>
        <v> </v>
      </c>
    </row>
    <row r="157" customFormat="false" ht="12" hidden="false" customHeight="false" outlineLevel="0" collapsed="false">
      <c r="A157" s="28"/>
      <c r="E157" s="2" t="str">
        <f aca="false">IF((F157&lt;&gt;0),"Enter Letter"," ")</f>
        <v> </v>
      </c>
      <c r="F157" s="30"/>
      <c r="G157" s="6" t="str">
        <f aca="false">IF(F157&lt;&gt;0,F157*G$2/(100+G$2)," ")</f>
        <v> </v>
      </c>
      <c r="H157" s="6" t="str">
        <f aca="false">IF((F157&lt;&gt;0),F157-G157," ")</f>
        <v> </v>
      </c>
      <c r="I157" s="5"/>
      <c r="L157" s="7" t="str">
        <f aca="false">IF(F157&lt;&gt;0,F157-K157," ")</f>
        <v> </v>
      </c>
      <c r="M157" s="8" t="str">
        <f aca="false">IF((F157-K157)&lt;&gt;0,M$1-A157," ")</f>
        <v> </v>
      </c>
      <c r="N157" s="5"/>
      <c r="O157" s="17" t="str">
        <f aca="false">IF((E157="s"),H157," ")</f>
        <v> </v>
      </c>
      <c r="P157" s="17" t="str">
        <f aca="false">IF((E157="c"),H157," ")</f>
        <v> </v>
      </c>
      <c r="Q157" s="17" t="str">
        <f aca="false">IF((E157="o"),H157," ")</f>
        <v> </v>
      </c>
      <c r="R157" s="17" t="str">
        <f aca="false">IF((E157="d"),H157," ")</f>
        <v> </v>
      </c>
      <c r="S157" s="17" t="str">
        <f aca="false">IF((E157="w"),H157," ")</f>
        <v> </v>
      </c>
      <c r="T157" s="17" t="str">
        <f aca="false">IF((E157="r"),H157," ")</f>
        <v> </v>
      </c>
      <c r="U157" s="17" t="str">
        <f aca="false">IF((E157="p"),H157," ")</f>
        <v> </v>
      </c>
      <c r="V157" s="17" t="str">
        <f aca="false">IF((E157="t"),H157," ")</f>
        <v> </v>
      </c>
      <c r="W157" s="17" t="str">
        <f aca="false">IF((E157="q"),H157," ")</f>
        <v> </v>
      </c>
      <c r="X157" s="17" t="str">
        <f aca="false">IF((E157="m"),H157," ")</f>
        <v> </v>
      </c>
      <c r="Y157" s="17" t="str">
        <f aca="false">IF((E157="u"),H157," ")</f>
        <v> </v>
      </c>
      <c r="Z157" s="17" t="str">
        <f aca="false">IF((E157="a"),H157," ")</f>
        <v> </v>
      </c>
      <c r="AA157" s="17" t="str">
        <f aca="false">IF((E157="g"),H157," ")</f>
        <v> </v>
      </c>
      <c r="AB157" s="17" t="str">
        <f aca="false">IF((E157="h"),H157," ")</f>
        <v> </v>
      </c>
      <c r="AC157" s="30" t="str">
        <f aca="false">IF((E157="v"),H157," ")</f>
        <v> </v>
      </c>
      <c r="AD157" s="30" t="str">
        <f aca="false">IF((E157="n"),H157," ")</f>
        <v> </v>
      </c>
      <c r="AE157" s="17" t="str">
        <f aca="false">IF((E157="f"),H157," ")</f>
        <v> </v>
      </c>
      <c r="AF157" s="17" t="str">
        <f aca="false">IF((E157="l"),H157," ")</f>
        <v> </v>
      </c>
      <c r="AG157" s="17" t="str">
        <f aca="false">IF((E157="y"),H157," ")</f>
        <v> </v>
      </c>
      <c r="AH157" s="17" t="str">
        <f aca="false">IF((E157="z"),H157," ")</f>
        <v> </v>
      </c>
      <c r="AI157" s="17" t="str">
        <f aca="false">IF((E157="fa"),H157," ")</f>
        <v> </v>
      </c>
      <c r="AJ157" s="17" t="str">
        <f aca="false">IF((E157="e"),H157," ")</f>
        <v> </v>
      </c>
    </row>
    <row r="158" customFormat="false" ht="12" hidden="false" customHeight="false" outlineLevel="0" collapsed="false">
      <c r="A158" s="28"/>
      <c r="E158" s="2" t="str">
        <f aca="false">IF((F158&lt;&gt;0),"Enter Letter"," ")</f>
        <v> </v>
      </c>
      <c r="F158" s="30"/>
      <c r="G158" s="6" t="str">
        <f aca="false">IF(F158&lt;&gt;0,F158*G$2/(100+G$2)," ")</f>
        <v> </v>
      </c>
      <c r="H158" s="6" t="str">
        <f aca="false">IF((F158&lt;&gt;0),F158-G158," ")</f>
        <v> </v>
      </c>
      <c r="I158" s="5"/>
      <c r="L158" s="7" t="str">
        <f aca="false">IF(F158&lt;&gt;0,F158-K158," ")</f>
        <v> </v>
      </c>
      <c r="M158" s="8" t="str">
        <f aca="false">IF((F158-K158)&lt;&gt;0,M$1-A158," ")</f>
        <v> </v>
      </c>
      <c r="N158" s="5"/>
      <c r="O158" s="17" t="str">
        <f aca="false">IF((E158="s"),H158," ")</f>
        <v> </v>
      </c>
      <c r="P158" s="17" t="str">
        <f aca="false">IF((E158="c"),H158," ")</f>
        <v> </v>
      </c>
      <c r="Q158" s="17" t="str">
        <f aca="false">IF((E158="o"),H158," ")</f>
        <v> </v>
      </c>
      <c r="R158" s="17" t="str">
        <f aca="false">IF((E158="d"),H158," ")</f>
        <v> </v>
      </c>
      <c r="S158" s="17" t="str">
        <f aca="false">IF((E158="w"),H158," ")</f>
        <v> </v>
      </c>
      <c r="T158" s="17" t="str">
        <f aca="false">IF((E158="r"),H158," ")</f>
        <v> </v>
      </c>
      <c r="U158" s="17" t="str">
        <f aca="false">IF((E158="p"),H158," ")</f>
        <v> </v>
      </c>
      <c r="V158" s="17" t="str">
        <f aca="false">IF((E158="t"),H158," ")</f>
        <v> </v>
      </c>
      <c r="W158" s="17" t="str">
        <f aca="false">IF((E158="q"),H158," ")</f>
        <v> </v>
      </c>
      <c r="X158" s="17" t="str">
        <f aca="false">IF((E158="m"),H158," ")</f>
        <v> </v>
      </c>
      <c r="Y158" s="17" t="str">
        <f aca="false">IF((E158="u"),H158," ")</f>
        <v> </v>
      </c>
      <c r="Z158" s="17" t="str">
        <f aca="false">IF((E158="a"),H158," ")</f>
        <v> </v>
      </c>
      <c r="AA158" s="17" t="str">
        <f aca="false">IF((E158="g"),H158," ")</f>
        <v> </v>
      </c>
      <c r="AB158" s="17" t="str">
        <f aca="false">IF((E158="h"),H158," ")</f>
        <v> </v>
      </c>
      <c r="AC158" s="30" t="str">
        <f aca="false">IF((E158="v"),H158," ")</f>
        <v> </v>
      </c>
      <c r="AD158" s="30" t="str">
        <f aca="false">IF((E158="n"),H158," ")</f>
        <v> </v>
      </c>
      <c r="AE158" s="17" t="str">
        <f aca="false">IF((E158="f"),H158," ")</f>
        <v> </v>
      </c>
      <c r="AF158" s="17" t="str">
        <f aca="false">IF((E158="l"),H158," ")</f>
        <v> </v>
      </c>
      <c r="AG158" s="17" t="str">
        <f aca="false">IF((E158="y"),H158," ")</f>
        <v> </v>
      </c>
      <c r="AH158" s="17" t="str">
        <f aca="false">IF((E158="z"),H158," ")</f>
        <v> </v>
      </c>
      <c r="AI158" s="17" t="str">
        <f aca="false">IF((E158="fa"),H158," ")</f>
        <v> </v>
      </c>
      <c r="AJ158" s="17" t="str">
        <f aca="false">IF((E158="e"),H158," ")</f>
        <v> </v>
      </c>
    </row>
    <row r="159" customFormat="false" ht="12" hidden="false" customHeight="false" outlineLevel="0" collapsed="false">
      <c r="A159" s="28"/>
      <c r="E159" s="2" t="str">
        <f aca="false">IF((F159&lt;&gt;0),"Enter Letter"," ")</f>
        <v> </v>
      </c>
      <c r="F159" s="30"/>
      <c r="G159" s="6" t="str">
        <f aca="false">IF(F159&lt;&gt;0,F159*G$2/(100+G$2)," ")</f>
        <v> </v>
      </c>
      <c r="H159" s="6" t="str">
        <f aca="false">IF((F159&lt;&gt;0),F159-G159," ")</f>
        <v> </v>
      </c>
      <c r="I159" s="5"/>
      <c r="L159" s="7" t="str">
        <f aca="false">IF(F159&lt;&gt;0,F159-K159," ")</f>
        <v> </v>
      </c>
      <c r="M159" s="8" t="str">
        <f aca="false">IF((F159-K159)&lt;&gt;0,M$1-A159," ")</f>
        <v> </v>
      </c>
      <c r="N159" s="5"/>
      <c r="O159" s="17" t="str">
        <f aca="false">IF((E159="s"),H159," ")</f>
        <v> </v>
      </c>
      <c r="P159" s="17" t="str">
        <f aca="false">IF((E159="c"),H159," ")</f>
        <v> </v>
      </c>
      <c r="Q159" s="17" t="str">
        <f aca="false">IF((E159="o"),H159," ")</f>
        <v> </v>
      </c>
      <c r="R159" s="17" t="str">
        <f aca="false">IF((E159="d"),H159," ")</f>
        <v> </v>
      </c>
      <c r="S159" s="17" t="str">
        <f aca="false">IF((E159="w"),H159," ")</f>
        <v> </v>
      </c>
      <c r="T159" s="17" t="str">
        <f aca="false">IF((E159="r"),H159," ")</f>
        <v> </v>
      </c>
      <c r="U159" s="17" t="str">
        <f aca="false">IF((E159="p"),H159," ")</f>
        <v> </v>
      </c>
      <c r="V159" s="17" t="str">
        <f aca="false">IF((E159="t"),H159," ")</f>
        <v> </v>
      </c>
      <c r="W159" s="17" t="str">
        <f aca="false">IF((E159="q"),H159," ")</f>
        <v> </v>
      </c>
      <c r="X159" s="17" t="str">
        <f aca="false">IF((E159="m"),H159," ")</f>
        <v> </v>
      </c>
      <c r="Y159" s="17" t="str">
        <f aca="false">IF((E159="u"),H159," ")</f>
        <v> </v>
      </c>
      <c r="Z159" s="17" t="str">
        <f aca="false">IF((E159="a"),H159," ")</f>
        <v> </v>
      </c>
      <c r="AA159" s="17" t="str">
        <f aca="false">IF((E159="g"),H159," ")</f>
        <v> </v>
      </c>
      <c r="AB159" s="17" t="str">
        <f aca="false">IF((E159="h"),H159," ")</f>
        <v> </v>
      </c>
      <c r="AC159" s="30" t="str">
        <f aca="false">IF((E159="v"),H159," ")</f>
        <v> </v>
      </c>
      <c r="AD159" s="30" t="str">
        <f aca="false">IF((E159="n"),H159," ")</f>
        <v> </v>
      </c>
      <c r="AE159" s="17" t="str">
        <f aca="false">IF((E159="f"),H159," ")</f>
        <v> </v>
      </c>
      <c r="AF159" s="17" t="str">
        <f aca="false">IF((E159="l"),H159," ")</f>
        <v> </v>
      </c>
      <c r="AG159" s="17" t="str">
        <f aca="false">IF((E159="y"),H159," ")</f>
        <v> </v>
      </c>
      <c r="AH159" s="17" t="str">
        <f aca="false">IF((E159="z"),H159," ")</f>
        <v> </v>
      </c>
      <c r="AI159" s="17" t="str">
        <f aca="false">IF((E159="fa"),H159," ")</f>
        <v> </v>
      </c>
      <c r="AJ159" s="17" t="str">
        <f aca="false">IF((E159="e"),H159," ")</f>
        <v> </v>
      </c>
    </row>
    <row r="160" customFormat="false" ht="12" hidden="false" customHeight="false" outlineLevel="0" collapsed="false">
      <c r="A160" s="28"/>
      <c r="E160" s="2" t="str">
        <f aca="false">IF((F160&lt;&gt;0),"Enter Letter"," ")</f>
        <v> </v>
      </c>
      <c r="F160" s="30"/>
      <c r="G160" s="6" t="str">
        <f aca="false">IF(F160&lt;&gt;0,F160*G$2/(100+G$2)," ")</f>
        <v> </v>
      </c>
      <c r="H160" s="6" t="str">
        <f aca="false">IF((F160&lt;&gt;0),F160-G160," ")</f>
        <v> </v>
      </c>
      <c r="I160" s="5"/>
      <c r="L160" s="7" t="str">
        <f aca="false">IF(F160&lt;&gt;0,F160-K160," ")</f>
        <v> </v>
      </c>
      <c r="M160" s="8" t="str">
        <f aca="false">IF((F160-K160)&lt;&gt;0,M$1-A160," ")</f>
        <v> </v>
      </c>
      <c r="N160" s="5"/>
      <c r="O160" s="17" t="str">
        <f aca="false">IF((E160="s"),H160," ")</f>
        <v> </v>
      </c>
      <c r="P160" s="17" t="str">
        <f aca="false">IF((E160="c"),H160," ")</f>
        <v> </v>
      </c>
      <c r="Q160" s="17" t="str">
        <f aca="false">IF((E160="o"),H160," ")</f>
        <v> </v>
      </c>
      <c r="R160" s="17" t="str">
        <f aca="false">IF((E160="d"),H160," ")</f>
        <v> </v>
      </c>
      <c r="S160" s="17" t="str">
        <f aca="false">IF((E160="w"),H160," ")</f>
        <v> </v>
      </c>
      <c r="T160" s="17" t="str">
        <f aca="false">IF((E160="r"),H160," ")</f>
        <v> </v>
      </c>
      <c r="U160" s="17" t="str">
        <f aca="false">IF((E160="p"),H160," ")</f>
        <v> </v>
      </c>
      <c r="V160" s="17" t="str">
        <f aca="false">IF((E160="t"),H160," ")</f>
        <v> </v>
      </c>
      <c r="W160" s="17" t="str">
        <f aca="false">IF((E160="q"),H160," ")</f>
        <v> </v>
      </c>
      <c r="X160" s="17" t="str">
        <f aca="false">IF((E160="m"),H160," ")</f>
        <v> </v>
      </c>
      <c r="Y160" s="17" t="str">
        <f aca="false">IF((E160="u"),H160," ")</f>
        <v> </v>
      </c>
      <c r="Z160" s="17" t="str">
        <f aca="false">IF((E160="a"),H160," ")</f>
        <v> </v>
      </c>
      <c r="AA160" s="17" t="str">
        <f aca="false">IF((E160="g"),H160," ")</f>
        <v> </v>
      </c>
      <c r="AB160" s="17" t="str">
        <f aca="false">IF((E160="h"),H160," ")</f>
        <v> </v>
      </c>
      <c r="AC160" s="30" t="str">
        <f aca="false">IF((E160="v"),H160," ")</f>
        <v> </v>
      </c>
      <c r="AD160" s="30" t="str">
        <f aca="false">IF((E160="n"),H160," ")</f>
        <v> </v>
      </c>
      <c r="AE160" s="17" t="str">
        <f aca="false">IF((E160="f"),H160," ")</f>
        <v> </v>
      </c>
      <c r="AF160" s="17" t="str">
        <f aca="false">IF((E160="l"),H160," ")</f>
        <v> </v>
      </c>
      <c r="AG160" s="17" t="str">
        <f aca="false">IF((E160="y"),H160," ")</f>
        <v> </v>
      </c>
      <c r="AH160" s="17" t="str">
        <f aca="false">IF((E160="z"),H160," ")</f>
        <v> </v>
      </c>
      <c r="AI160" s="17" t="str">
        <f aca="false">IF((E160="fa"),H160," ")</f>
        <v> </v>
      </c>
      <c r="AJ160" s="17" t="str">
        <f aca="false">IF((E160="e"),H160," ")</f>
        <v> </v>
      </c>
    </row>
    <row r="161" customFormat="false" ht="12" hidden="false" customHeight="false" outlineLevel="0" collapsed="false">
      <c r="A161" s="28"/>
      <c r="E161" s="2" t="str">
        <f aca="false">IF((F161&lt;&gt;0),"Enter Letter"," ")</f>
        <v> </v>
      </c>
      <c r="F161" s="30"/>
      <c r="G161" s="6" t="str">
        <f aca="false">IF(F161&lt;&gt;0,F161*G$2/(100+G$2)," ")</f>
        <v> </v>
      </c>
      <c r="H161" s="6" t="str">
        <f aca="false">IF((F161&lt;&gt;0),F161-G161," ")</f>
        <v> </v>
      </c>
      <c r="I161" s="5"/>
      <c r="L161" s="7" t="str">
        <f aca="false">IF(F161&lt;&gt;0,F161-K161," ")</f>
        <v> </v>
      </c>
      <c r="M161" s="8" t="str">
        <f aca="false">IF((F161-K161)&lt;&gt;0,M$1-A161," ")</f>
        <v> </v>
      </c>
      <c r="N161" s="5"/>
      <c r="O161" s="17" t="str">
        <f aca="false">IF((E161="s"),H161," ")</f>
        <v> </v>
      </c>
      <c r="P161" s="17" t="str">
        <f aca="false">IF((E161="c"),H161," ")</f>
        <v> </v>
      </c>
      <c r="Q161" s="17" t="str">
        <f aca="false">IF((E161="o"),H161," ")</f>
        <v> </v>
      </c>
      <c r="R161" s="17" t="str">
        <f aca="false">IF((E161="d"),H161," ")</f>
        <v> </v>
      </c>
      <c r="S161" s="17" t="str">
        <f aca="false">IF((E161="w"),H161," ")</f>
        <v> </v>
      </c>
      <c r="T161" s="17" t="str">
        <f aca="false">IF((E161="r"),H161," ")</f>
        <v> </v>
      </c>
      <c r="U161" s="17" t="str">
        <f aca="false">IF((E161="p"),H161," ")</f>
        <v> </v>
      </c>
      <c r="V161" s="17" t="str">
        <f aca="false">IF((E161="t"),H161," ")</f>
        <v> </v>
      </c>
      <c r="W161" s="17" t="str">
        <f aca="false">IF((E161="q"),H161," ")</f>
        <v> </v>
      </c>
      <c r="X161" s="17" t="str">
        <f aca="false">IF((E161="m"),H161," ")</f>
        <v> </v>
      </c>
      <c r="Y161" s="17" t="str">
        <f aca="false">IF((E161="u"),H161," ")</f>
        <v> </v>
      </c>
      <c r="Z161" s="17" t="str">
        <f aca="false">IF((E161="a"),H161," ")</f>
        <v> </v>
      </c>
      <c r="AA161" s="17" t="str">
        <f aca="false">IF((E161="g"),H161," ")</f>
        <v> </v>
      </c>
      <c r="AB161" s="17" t="str">
        <f aca="false">IF((E161="h"),H161," ")</f>
        <v> </v>
      </c>
      <c r="AC161" s="30" t="str">
        <f aca="false">IF((E161="v"),H161," ")</f>
        <v> </v>
      </c>
      <c r="AD161" s="30" t="str">
        <f aca="false">IF((E161="n"),H161," ")</f>
        <v> </v>
      </c>
      <c r="AE161" s="17" t="str">
        <f aca="false">IF((E161="f"),H161," ")</f>
        <v> </v>
      </c>
      <c r="AF161" s="17" t="str">
        <f aca="false">IF((E161="l"),H161," ")</f>
        <v> </v>
      </c>
      <c r="AG161" s="17" t="str">
        <f aca="false">IF((E161="y"),H161," ")</f>
        <v> </v>
      </c>
      <c r="AH161" s="17" t="str">
        <f aca="false">IF((E161="z"),H161," ")</f>
        <v> </v>
      </c>
      <c r="AI161" s="17" t="str">
        <f aca="false">IF((E161="fa"),H161," ")</f>
        <v> </v>
      </c>
      <c r="AJ161" s="17" t="str">
        <f aca="false">IF((E161="e"),H161," ")</f>
        <v> </v>
      </c>
    </row>
    <row r="162" customFormat="false" ht="12" hidden="false" customHeight="false" outlineLevel="0" collapsed="false">
      <c r="A162" s="28"/>
      <c r="E162" s="2" t="str">
        <f aca="false">IF((F162&lt;&gt;0),"Enter Letter"," ")</f>
        <v> </v>
      </c>
      <c r="F162" s="30"/>
      <c r="G162" s="6" t="str">
        <f aca="false">IF(F162&lt;&gt;0,F162*G$2/(100+G$2)," ")</f>
        <v> </v>
      </c>
      <c r="H162" s="6" t="str">
        <f aca="false">IF((F162&lt;&gt;0),F162-G162," ")</f>
        <v> </v>
      </c>
      <c r="I162" s="5"/>
      <c r="L162" s="7" t="str">
        <f aca="false">IF(F162&lt;&gt;0,F162-K162," ")</f>
        <v> </v>
      </c>
      <c r="M162" s="8" t="str">
        <f aca="false">IF((F162-K162)&lt;&gt;0,M$1-A162," ")</f>
        <v> </v>
      </c>
      <c r="N162" s="5"/>
      <c r="O162" s="17" t="str">
        <f aca="false">IF((E162="s"),H162," ")</f>
        <v> </v>
      </c>
      <c r="P162" s="17" t="str">
        <f aca="false">IF((E162="c"),H162," ")</f>
        <v> </v>
      </c>
      <c r="Q162" s="17" t="str">
        <f aca="false">IF((E162="o"),H162," ")</f>
        <v> </v>
      </c>
      <c r="R162" s="17" t="str">
        <f aca="false">IF((E162="d"),H162," ")</f>
        <v> </v>
      </c>
      <c r="S162" s="17" t="str">
        <f aca="false">IF((E162="w"),H162," ")</f>
        <v> </v>
      </c>
      <c r="T162" s="17" t="str">
        <f aca="false">IF((E162="r"),H162," ")</f>
        <v> </v>
      </c>
      <c r="U162" s="17" t="str">
        <f aca="false">IF((E162="p"),H162," ")</f>
        <v> </v>
      </c>
      <c r="V162" s="17" t="str">
        <f aca="false">IF((E162="t"),H162," ")</f>
        <v> </v>
      </c>
      <c r="W162" s="17" t="str">
        <f aca="false">IF((E162="q"),H162," ")</f>
        <v> </v>
      </c>
      <c r="X162" s="17" t="str">
        <f aca="false">IF((E162="m"),H162," ")</f>
        <v> </v>
      </c>
      <c r="Y162" s="17" t="str">
        <f aca="false">IF((E162="u"),H162," ")</f>
        <v> </v>
      </c>
      <c r="Z162" s="17" t="str">
        <f aca="false">IF((E162="a"),H162," ")</f>
        <v> </v>
      </c>
      <c r="AA162" s="17" t="str">
        <f aca="false">IF((E162="g"),H162," ")</f>
        <v> </v>
      </c>
      <c r="AB162" s="17" t="str">
        <f aca="false">IF((E162="h"),H162," ")</f>
        <v> </v>
      </c>
      <c r="AC162" s="30" t="str">
        <f aca="false">IF((E162="v"),H162," ")</f>
        <v> </v>
      </c>
      <c r="AD162" s="30" t="str">
        <f aca="false">IF((E162="n"),H162," ")</f>
        <v> </v>
      </c>
      <c r="AE162" s="17" t="str">
        <f aca="false">IF((E162="f"),H162," ")</f>
        <v> </v>
      </c>
      <c r="AF162" s="17" t="str">
        <f aca="false">IF((E162="l"),H162," ")</f>
        <v> </v>
      </c>
      <c r="AG162" s="17" t="str">
        <f aca="false">IF((E162="y"),H162," ")</f>
        <v> </v>
      </c>
      <c r="AH162" s="17" t="str">
        <f aca="false">IF((E162="z"),H162," ")</f>
        <v> </v>
      </c>
      <c r="AI162" s="17" t="str">
        <f aca="false">IF((E162="fa"),H162," ")</f>
        <v> </v>
      </c>
      <c r="AJ162" s="17" t="str">
        <f aca="false">IF((E162="e"),H162," ")</f>
        <v> </v>
      </c>
    </row>
    <row r="163" customFormat="false" ht="12" hidden="false" customHeight="false" outlineLevel="0" collapsed="false">
      <c r="A163" s="28"/>
      <c r="E163" s="2" t="str">
        <f aca="false">IF((F163&lt;&gt;0),"Enter Letter"," ")</f>
        <v> </v>
      </c>
      <c r="F163" s="30"/>
      <c r="G163" s="6" t="str">
        <f aca="false">IF(F163&lt;&gt;0,F163*G$2/(100+G$2)," ")</f>
        <v> </v>
      </c>
      <c r="H163" s="6" t="str">
        <f aca="false">IF((F163&lt;&gt;0),F163-G163," ")</f>
        <v> </v>
      </c>
      <c r="I163" s="5"/>
      <c r="L163" s="7" t="str">
        <f aca="false">IF(F163&lt;&gt;0,F163-K163," ")</f>
        <v> </v>
      </c>
      <c r="M163" s="8" t="str">
        <f aca="false">IF((F163-K163)&lt;&gt;0,M$1-A163," ")</f>
        <v> </v>
      </c>
      <c r="N163" s="5"/>
      <c r="O163" s="17" t="str">
        <f aca="false">IF((E163="s"),H163," ")</f>
        <v> </v>
      </c>
      <c r="P163" s="17" t="str">
        <f aca="false">IF((E163="c"),H163," ")</f>
        <v> </v>
      </c>
      <c r="Q163" s="17" t="str">
        <f aca="false">IF((E163="o"),H163," ")</f>
        <v> </v>
      </c>
      <c r="R163" s="17" t="str">
        <f aca="false">IF((E163="d"),H163," ")</f>
        <v> </v>
      </c>
      <c r="S163" s="17" t="str">
        <f aca="false">IF((E163="w"),H163," ")</f>
        <v> </v>
      </c>
      <c r="T163" s="17" t="str">
        <f aca="false">IF((E163="r"),H163," ")</f>
        <v> </v>
      </c>
      <c r="U163" s="17" t="str">
        <f aca="false">IF((E163="p"),H163," ")</f>
        <v> </v>
      </c>
      <c r="V163" s="17" t="str">
        <f aca="false">IF((E163="t"),H163," ")</f>
        <v> </v>
      </c>
      <c r="W163" s="17" t="str">
        <f aca="false">IF((E163="q"),H163," ")</f>
        <v> </v>
      </c>
      <c r="X163" s="17" t="str">
        <f aca="false">IF((E163="m"),H163," ")</f>
        <v> </v>
      </c>
      <c r="Y163" s="17" t="str">
        <f aca="false">IF((E163="u"),H163," ")</f>
        <v> </v>
      </c>
      <c r="Z163" s="17" t="str">
        <f aca="false">IF((E163="a"),H163," ")</f>
        <v> </v>
      </c>
      <c r="AA163" s="17" t="str">
        <f aca="false">IF((E163="g"),H163," ")</f>
        <v> </v>
      </c>
      <c r="AB163" s="17" t="str">
        <f aca="false">IF((E163="h"),H163," ")</f>
        <v> </v>
      </c>
      <c r="AC163" s="30" t="str">
        <f aca="false">IF((E163="v"),H163," ")</f>
        <v> </v>
      </c>
      <c r="AD163" s="30" t="str">
        <f aca="false">IF((E163="n"),H163," ")</f>
        <v> </v>
      </c>
      <c r="AE163" s="17" t="str">
        <f aca="false">IF((E163="f"),H163," ")</f>
        <v> </v>
      </c>
      <c r="AF163" s="17" t="str">
        <f aca="false">IF((E163="l"),H163," ")</f>
        <v> </v>
      </c>
      <c r="AG163" s="17" t="str">
        <f aca="false">IF((E163="y"),H163," ")</f>
        <v> </v>
      </c>
      <c r="AH163" s="17" t="str">
        <f aca="false">IF((E163="z"),H163," ")</f>
        <v> </v>
      </c>
      <c r="AI163" s="17" t="str">
        <f aca="false">IF((E163="fa"),H163," ")</f>
        <v> </v>
      </c>
      <c r="AJ163" s="17" t="str">
        <f aca="false">IF((E163="e"),H163," ")</f>
        <v> </v>
      </c>
    </row>
    <row r="164" customFormat="false" ht="12" hidden="false" customHeight="false" outlineLevel="0" collapsed="false">
      <c r="A164" s="28"/>
      <c r="E164" s="2" t="str">
        <f aca="false">IF((F164&lt;&gt;0),"Enter Letter"," ")</f>
        <v> </v>
      </c>
      <c r="F164" s="30"/>
      <c r="G164" s="6" t="str">
        <f aca="false">IF(F164&lt;&gt;0,F164*G$2/(100+G$2)," ")</f>
        <v> </v>
      </c>
      <c r="H164" s="6" t="str">
        <f aca="false">IF((F164&lt;&gt;0),F164-G164," ")</f>
        <v> </v>
      </c>
      <c r="I164" s="5"/>
      <c r="L164" s="7" t="str">
        <f aca="false">IF(F164&lt;&gt;0,F164-K164," ")</f>
        <v> </v>
      </c>
      <c r="M164" s="8" t="str">
        <f aca="false">IF((F164-K164)&lt;&gt;0,M$1-A164," ")</f>
        <v> </v>
      </c>
      <c r="N164" s="5"/>
      <c r="O164" s="17" t="str">
        <f aca="false">IF((E164="s"),H164," ")</f>
        <v> </v>
      </c>
      <c r="P164" s="17" t="str">
        <f aca="false">IF((E164="c"),H164," ")</f>
        <v> </v>
      </c>
      <c r="Q164" s="17" t="str">
        <f aca="false">IF((E164="o"),H164," ")</f>
        <v> </v>
      </c>
      <c r="R164" s="17" t="str">
        <f aca="false">IF((E164="d"),H164," ")</f>
        <v> </v>
      </c>
      <c r="S164" s="17" t="str">
        <f aca="false">IF((E164="w"),H164," ")</f>
        <v> </v>
      </c>
      <c r="T164" s="17" t="str">
        <f aca="false">IF((E164="r"),H164," ")</f>
        <v> </v>
      </c>
      <c r="U164" s="17" t="str">
        <f aca="false">IF((E164="p"),H164," ")</f>
        <v> </v>
      </c>
      <c r="V164" s="17" t="str">
        <f aca="false">IF((E164="t"),H164," ")</f>
        <v> </v>
      </c>
      <c r="W164" s="17" t="str">
        <f aca="false">IF((E164="q"),H164," ")</f>
        <v> </v>
      </c>
      <c r="X164" s="17" t="str">
        <f aca="false">IF((E164="m"),H164," ")</f>
        <v> </v>
      </c>
      <c r="Y164" s="17" t="str">
        <f aca="false">IF((E164="u"),H164," ")</f>
        <v> </v>
      </c>
      <c r="Z164" s="17" t="str">
        <f aca="false">IF((E164="a"),H164," ")</f>
        <v> </v>
      </c>
      <c r="AA164" s="17" t="str">
        <f aca="false">IF((E164="g"),H164," ")</f>
        <v> </v>
      </c>
      <c r="AB164" s="17" t="str">
        <f aca="false">IF((E164="h"),H164," ")</f>
        <v> </v>
      </c>
      <c r="AC164" s="30" t="str">
        <f aca="false">IF((E164="v"),H164," ")</f>
        <v> </v>
      </c>
      <c r="AD164" s="30" t="str">
        <f aca="false">IF((E164="n"),H164," ")</f>
        <v> </v>
      </c>
      <c r="AE164" s="17" t="str">
        <f aca="false">IF((E164="f"),H164," ")</f>
        <v> </v>
      </c>
      <c r="AF164" s="17" t="str">
        <f aca="false">IF((E164="l"),H164," ")</f>
        <v> </v>
      </c>
      <c r="AG164" s="17" t="str">
        <f aca="false">IF((E164="y"),H164," ")</f>
        <v> </v>
      </c>
      <c r="AH164" s="17" t="str">
        <f aca="false">IF((E164="z"),H164," ")</f>
        <v> </v>
      </c>
      <c r="AI164" s="17" t="str">
        <f aca="false">IF((E164="fa"),H164," ")</f>
        <v> </v>
      </c>
      <c r="AJ164" s="17" t="str">
        <f aca="false">IF((E164="e"),H164," ")</f>
        <v> </v>
      </c>
    </row>
    <row r="165" customFormat="false" ht="12" hidden="false" customHeight="false" outlineLevel="0" collapsed="false">
      <c r="A165" s="28"/>
      <c r="E165" s="2" t="str">
        <f aca="false">IF((F165&lt;&gt;0),"Enter Letter"," ")</f>
        <v> </v>
      </c>
      <c r="F165" s="30"/>
      <c r="G165" s="6" t="str">
        <f aca="false">IF(F165&lt;&gt;0,F165*G$2/(100+G$2)," ")</f>
        <v> </v>
      </c>
      <c r="H165" s="6" t="str">
        <f aca="false">IF((F165&lt;&gt;0),F165-G165," ")</f>
        <v> </v>
      </c>
      <c r="I165" s="5"/>
      <c r="L165" s="7" t="str">
        <f aca="false">IF(F165&lt;&gt;0,F165-K165," ")</f>
        <v> </v>
      </c>
      <c r="M165" s="8" t="str">
        <f aca="false">IF((F165-K165)&lt;&gt;0,M$1-A165," ")</f>
        <v> </v>
      </c>
      <c r="N165" s="5"/>
      <c r="O165" s="17" t="str">
        <f aca="false">IF((E165="s"),H165," ")</f>
        <v> </v>
      </c>
      <c r="P165" s="17" t="str">
        <f aca="false">IF((E165="c"),H165," ")</f>
        <v> </v>
      </c>
      <c r="Q165" s="17" t="str">
        <f aca="false">IF((E165="o"),H165," ")</f>
        <v> </v>
      </c>
      <c r="R165" s="17" t="str">
        <f aca="false">IF((E165="d"),H165," ")</f>
        <v> </v>
      </c>
      <c r="S165" s="17" t="str">
        <f aca="false">IF((E165="w"),H165," ")</f>
        <v> </v>
      </c>
      <c r="T165" s="17" t="str">
        <f aca="false">IF((E165="r"),H165," ")</f>
        <v> </v>
      </c>
      <c r="U165" s="17" t="str">
        <f aca="false">IF((E165="p"),H165," ")</f>
        <v> </v>
      </c>
      <c r="V165" s="17" t="str">
        <f aca="false">IF((E165="t"),H165," ")</f>
        <v> </v>
      </c>
      <c r="W165" s="17" t="str">
        <f aca="false">IF((E165="q"),H165," ")</f>
        <v> </v>
      </c>
      <c r="X165" s="17" t="str">
        <f aca="false">IF((E165="m"),H165," ")</f>
        <v> </v>
      </c>
      <c r="Y165" s="17" t="str">
        <f aca="false">IF((E165="u"),H165," ")</f>
        <v> </v>
      </c>
      <c r="Z165" s="17" t="str">
        <f aca="false">IF((E165="a"),H165," ")</f>
        <v> </v>
      </c>
      <c r="AA165" s="17" t="str">
        <f aca="false">IF((E165="g"),H165," ")</f>
        <v> </v>
      </c>
      <c r="AB165" s="17" t="str">
        <f aca="false">IF((E165="h"),H165," ")</f>
        <v> </v>
      </c>
      <c r="AC165" s="30" t="str">
        <f aca="false">IF((E165="v"),H165," ")</f>
        <v> </v>
      </c>
      <c r="AD165" s="30" t="str">
        <f aca="false">IF((E165="n"),H165," ")</f>
        <v> </v>
      </c>
      <c r="AE165" s="17" t="str">
        <f aca="false">IF((E165="f"),H165," ")</f>
        <v> </v>
      </c>
      <c r="AF165" s="17" t="str">
        <f aca="false">IF((E165="l"),H165," ")</f>
        <v> </v>
      </c>
      <c r="AG165" s="17" t="str">
        <f aca="false">IF((E165="y"),H165," ")</f>
        <v> </v>
      </c>
      <c r="AH165" s="17" t="str">
        <f aca="false">IF((E165="z"),H165," ")</f>
        <v> </v>
      </c>
      <c r="AI165" s="17" t="str">
        <f aca="false">IF((E165="fa"),H165," ")</f>
        <v> </v>
      </c>
      <c r="AJ165" s="17" t="str">
        <f aca="false">IF((E165="e"),H165," ")</f>
        <v> </v>
      </c>
    </row>
    <row r="166" customFormat="false" ht="12" hidden="false" customHeight="false" outlineLevel="0" collapsed="false">
      <c r="A166" s="28"/>
      <c r="E166" s="2" t="str">
        <f aca="false">IF((F166&lt;&gt;0),"Enter Letter"," ")</f>
        <v> </v>
      </c>
      <c r="F166" s="30"/>
      <c r="G166" s="6" t="str">
        <f aca="false">IF(F166&lt;&gt;0,F166*G$2/(100+G$2)," ")</f>
        <v> </v>
      </c>
      <c r="H166" s="6" t="str">
        <f aca="false">IF((F166&lt;&gt;0),F166-G166," ")</f>
        <v> </v>
      </c>
      <c r="I166" s="5"/>
      <c r="L166" s="7" t="str">
        <f aca="false">IF(F166&lt;&gt;0,F166-K166," ")</f>
        <v> </v>
      </c>
      <c r="M166" s="8" t="str">
        <f aca="false">IF((F166-K166)&lt;&gt;0,M$1-A166," ")</f>
        <v> </v>
      </c>
      <c r="N166" s="5"/>
      <c r="O166" s="17" t="str">
        <f aca="false">IF((E166="s"),H166," ")</f>
        <v> </v>
      </c>
      <c r="P166" s="17" t="str">
        <f aca="false">IF((E166="c"),H166," ")</f>
        <v> </v>
      </c>
      <c r="Q166" s="17" t="str">
        <f aca="false">IF((E166="o"),H166," ")</f>
        <v> </v>
      </c>
      <c r="R166" s="17" t="str">
        <f aca="false">IF((E166="d"),H166," ")</f>
        <v> </v>
      </c>
      <c r="S166" s="17" t="str">
        <f aca="false">IF((E166="w"),H166," ")</f>
        <v> </v>
      </c>
      <c r="T166" s="17" t="str">
        <f aca="false">IF((E166="r"),H166," ")</f>
        <v> </v>
      </c>
      <c r="U166" s="17" t="str">
        <f aca="false">IF((E166="p"),H166," ")</f>
        <v> </v>
      </c>
      <c r="V166" s="17" t="str">
        <f aca="false">IF((E166="t"),H166," ")</f>
        <v> </v>
      </c>
      <c r="W166" s="17" t="str">
        <f aca="false">IF((E166="q"),H166," ")</f>
        <v> </v>
      </c>
      <c r="X166" s="17" t="str">
        <f aca="false">IF((E166="m"),H166," ")</f>
        <v> </v>
      </c>
      <c r="Y166" s="17" t="str">
        <f aca="false">IF((E166="u"),H166," ")</f>
        <v> </v>
      </c>
      <c r="Z166" s="17" t="str">
        <f aca="false">IF((E166="a"),H166," ")</f>
        <v> </v>
      </c>
      <c r="AA166" s="17" t="str">
        <f aca="false">IF((E166="g"),H166," ")</f>
        <v> </v>
      </c>
      <c r="AB166" s="17" t="str">
        <f aca="false">IF((E166="h"),H166," ")</f>
        <v> </v>
      </c>
      <c r="AC166" s="30" t="str">
        <f aca="false">IF((E166="v"),H166," ")</f>
        <v> </v>
      </c>
      <c r="AD166" s="30" t="str">
        <f aca="false">IF((E166="n"),H166," ")</f>
        <v> </v>
      </c>
      <c r="AE166" s="17" t="str">
        <f aca="false">IF((E166="f"),H166," ")</f>
        <v> </v>
      </c>
      <c r="AF166" s="17" t="str">
        <f aca="false">IF((E166="l"),H166," ")</f>
        <v> </v>
      </c>
      <c r="AG166" s="17" t="str">
        <f aca="false">IF((E166="y"),H166," ")</f>
        <v> </v>
      </c>
      <c r="AH166" s="17" t="str">
        <f aca="false">IF((E166="z"),H166," ")</f>
        <v> </v>
      </c>
      <c r="AI166" s="17" t="str">
        <f aca="false">IF((E166="fa"),H166," ")</f>
        <v> </v>
      </c>
      <c r="AJ166" s="17" t="str">
        <f aca="false">IF((E166="e"),H166," ")</f>
        <v> </v>
      </c>
    </row>
    <row r="167" customFormat="false" ht="12" hidden="false" customHeight="false" outlineLevel="0" collapsed="false">
      <c r="A167" s="28"/>
      <c r="E167" s="2" t="str">
        <f aca="false">IF((F167&lt;&gt;0),"Enter Letter"," ")</f>
        <v> </v>
      </c>
      <c r="F167" s="30"/>
      <c r="G167" s="6" t="str">
        <f aca="false">IF(F167&lt;&gt;0,F167*G$2/(100+G$2)," ")</f>
        <v> </v>
      </c>
      <c r="H167" s="6" t="str">
        <f aca="false">IF((F167&lt;&gt;0),F167-G167," ")</f>
        <v> </v>
      </c>
      <c r="I167" s="5"/>
      <c r="L167" s="7" t="str">
        <f aca="false">IF(F167&lt;&gt;0,F167-K167," ")</f>
        <v> </v>
      </c>
      <c r="M167" s="8" t="str">
        <f aca="false">IF((F167-K167)&lt;&gt;0,M$1-A167," ")</f>
        <v> </v>
      </c>
      <c r="N167" s="5"/>
      <c r="O167" s="17" t="str">
        <f aca="false">IF((E167="s"),H167," ")</f>
        <v> </v>
      </c>
      <c r="P167" s="17" t="str">
        <f aca="false">IF((E167="c"),H167," ")</f>
        <v> </v>
      </c>
      <c r="Q167" s="17" t="str">
        <f aca="false">IF((E167="o"),H167," ")</f>
        <v> </v>
      </c>
      <c r="R167" s="17" t="str">
        <f aca="false">IF((E167="d"),H167," ")</f>
        <v> </v>
      </c>
      <c r="S167" s="17" t="str">
        <f aca="false">IF((E167="w"),H167," ")</f>
        <v> </v>
      </c>
      <c r="T167" s="17" t="str">
        <f aca="false">IF((E167="r"),H167," ")</f>
        <v> </v>
      </c>
      <c r="U167" s="17" t="str">
        <f aca="false">IF((E167="p"),H167," ")</f>
        <v> </v>
      </c>
      <c r="V167" s="17" t="str">
        <f aca="false">IF((E167="t"),H167," ")</f>
        <v> </v>
      </c>
      <c r="W167" s="17" t="str">
        <f aca="false">IF((E167="q"),H167," ")</f>
        <v> </v>
      </c>
      <c r="X167" s="17" t="str">
        <f aca="false">IF((E167="m"),H167," ")</f>
        <v> </v>
      </c>
      <c r="Y167" s="17" t="str">
        <f aca="false">IF((E167="u"),H167," ")</f>
        <v> </v>
      </c>
      <c r="Z167" s="17" t="str">
        <f aca="false">IF((E167="a"),H167," ")</f>
        <v> </v>
      </c>
      <c r="AA167" s="17" t="str">
        <f aca="false">IF((E167="g"),H167," ")</f>
        <v> </v>
      </c>
      <c r="AB167" s="17" t="str">
        <f aca="false">IF((E167="h"),H167," ")</f>
        <v> </v>
      </c>
      <c r="AC167" s="30" t="str">
        <f aca="false">IF((E167="v"),H167," ")</f>
        <v> </v>
      </c>
      <c r="AD167" s="30" t="str">
        <f aca="false">IF((E167="n"),H167," ")</f>
        <v> </v>
      </c>
      <c r="AE167" s="17" t="str">
        <f aca="false">IF((E167="f"),H167," ")</f>
        <v> </v>
      </c>
      <c r="AF167" s="17" t="str">
        <f aca="false">IF((E167="l"),H167," ")</f>
        <v> </v>
      </c>
      <c r="AG167" s="17" t="str">
        <f aca="false">IF((E167="y"),H167," ")</f>
        <v> </v>
      </c>
      <c r="AH167" s="17" t="str">
        <f aca="false">IF((E167="z"),H167," ")</f>
        <v> </v>
      </c>
      <c r="AI167" s="17" t="str">
        <f aca="false">IF((E167="fa"),H167," ")</f>
        <v> </v>
      </c>
      <c r="AJ167" s="17" t="str">
        <f aca="false">IF((E167="e"),H167," ")</f>
        <v> </v>
      </c>
    </row>
    <row r="168" customFormat="false" ht="12" hidden="false" customHeight="false" outlineLevel="0" collapsed="false">
      <c r="A168" s="28"/>
      <c r="E168" s="2" t="str">
        <f aca="false">IF((F168&lt;&gt;0),"Enter Letter"," ")</f>
        <v> </v>
      </c>
      <c r="F168" s="30"/>
      <c r="G168" s="6" t="str">
        <f aca="false">IF(F168&lt;&gt;0,F168*G$2/(100+G$2)," ")</f>
        <v> </v>
      </c>
      <c r="H168" s="6" t="str">
        <f aca="false">IF((F168&lt;&gt;0),F168-G168," ")</f>
        <v> </v>
      </c>
      <c r="I168" s="5"/>
      <c r="L168" s="7" t="str">
        <f aca="false">IF(F168&lt;&gt;0,F168-K168," ")</f>
        <v> </v>
      </c>
      <c r="M168" s="8" t="str">
        <f aca="false">IF((F168-K168)&lt;&gt;0,M$1-A168," ")</f>
        <v> </v>
      </c>
      <c r="N168" s="5"/>
      <c r="O168" s="17" t="str">
        <f aca="false">IF((E168="s"),H168," ")</f>
        <v> </v>
      </c>
      <c r="P168" s="17" t="str">
        <f aca="false">IF((E168="c"),H168," ")</f>
        <v> </v>
      </c>
      <c r="Q168" s="17" t="str">
        <f aca="false">IF((E168="o"),H168," ")</f>
        <v> </v>
      </c>
      <c r="R168" s="17" t="str">
        <f aca="false">IF((E168="d"),H168," ")</f>
        <v> </v>
      </c>
      <c r="S168" s="17" t="str">
        <f aca="false">IF((E168="w"),H168," ")</f>
        <v> </v>
      </c>
      <c r="T168" s="17" t="str">
        <f aca="false">IF((E168="r"),H168," ")</f>
        <v> </v>
      </c>
      <c r="U168" s="17" t="str">
        <f aca="false">IF((E168="p"),H168," ")</f>
        <v> </v>
      </c>
      <c r="V168" s="17" t="str">
        <f aca="false">IF((E168="t"),H168," ")</f>
        <v> </v>
      </c>
      <c r="W168" s="17" t="str">
        <f aca="false">IF((E168="q"),H168," ")</f>
        <v> </v>
      </c>
      <c r="X168" s="17" t="str">
        <f aca="false">IF((E168="m"),H168," ")</f>
        <v> </v>
      </c>
      <c r="Y168" s="17" t="str">
        <f aca="false">IF((E168="u"),H168," ")</f>
        <v> </v>
      </c>
      <c r="Z168" s="17" t="str">
        <f aca="false">IF((E168="a"),H168," ")</f>
        <v> </v>
      </c>
      <c r="AA168" s="17" t="str">
        <f aca="false">IF((E168="g"),H168," ")</f>
        <v> </v>
      </c>
      <c r="AB168" s="17" t="str">
        <f aca="false">IF((E168="h"),H168," ")</f>
        <v> </v>
      </c>
      <c r="AC168" s="30" t="str">
        <f aca="false">IF((E168="v"),H168," ")</f>
        <v> </v>
      </c>
      <c r="AD168" s="30" t="str">
        <f aca="false">IF((E168="n"),H168," ")</f>
        <v> </v>
      </c>
      <c r="AE168" s="17" t="str">
        <f aca="false">IF((E168="f"),H168," ")</f>
        <v> </v>
      </c>
      <c r="AF168" s="17" t="str">
        <f aca="false">IF((E168="l"),H168," ")</f>
        <v> </v>
      </c>
      <c r="AG168" s="17" t="str">
        <f aca="false">IF((E168="y"),H168," ")</f>
        <v> </v>
      </c>
      <c r="AH168" s="17" t="str">
        <f aca="false">IF((E168="z"),H168," ")</f>
        <v> </v>
      </c>
      <c r="AI168" s="17" t="str">
        <f aca="false">IF((E168="fa"),H168," ")</f>
        <v> </v>
      </c>
      <c r="AJ168" s="17" t="str">
        <f aca="false">IF((E168="e"),H168," ")</f>
        <v> </v>
      </c>
    </row>
    <row r="169" customFormat="false" ht="12" hidden="false" customHeight="false" outlineLevel="0" collapsed="false">
      <c r="A169" s="28"/>
      <c r="E169" s="2" t="str">
        <f aca="false">IF((F169&lt;&gt;0),"Enter Letter"," ")</f>
        <v> </v>
      </c>
      <c r="F169" s="30"/>
      <c r="G169" s="6" t="str">
        <f aca="false">IF(F169&lt;&gt;0,F169*G$2/(100+G$2)," ")</f>
        <v> </v>
      </c>
      <c r="H169" s="6" t="str">
        <f aca="false">IF((F169&lt;&gt;0),F169-G169," ")</f>
        <v> </v>
      </c>
      <c r="I169" s="5"/>
      <c r="L169" s="7" t="str">
        <f aca="false">IF(F169&lt;&gt;0,F169-K169," ")</f>
        <v> </v>
      </c>
      <c r="M169" s="8" t="str">
        <f aca="false">IF((F169-K169)&lt;&gt;0,M$1-A169," ")</f>
        <v> </v>
      </c>
      <c r="N169" s="5"/>
      <c r="O169" s="17" t="str">
        <f aca="false">IF((E169="s"),H169," ")</f>
        <v> </v>
      </c>
      <c r="P169" s="17" t="str">
        <f aca="false">IF((E169="c"),H169," ")</f>
        <v> </v>
      </c>
      <c r="Q169" s="17" t="str">
        <f aca="false">IF((E169="o"),H169," ")</f>
        <v> </v>
      </c>
      <c r="R169" s="17" t="str">
        <f aca="false">IF((E169="d"),H169," ")</f>
        <v> </v>
      </c>
      <c r="S169" s="17" t="str">
        <f aca="false">IF((E169="w"),H169," ")</f>
        <v> </v>
      </c>
      <c r="T169" s="17" t="str">
        <f aca="false">IF((E169="r"),H169," ")</f>
        <v> </v>
      </c>
      <c r="U169" s="17" t="str">
        <f aca="false">IF((E169="p"),H169," ")</f>
        <v> </v>
      </c>
      <c r="V169" s="17" t="str">
        <f aca="false">IF((E169="t"),H169," ")</f>
        <v> </v>
      </c>
      <c r="W169" s="17" t="str">
        <f aca="false">IF((E169="q"),H169," ")</f>
        <v> </v>
      </c>
      <c r="X169" s="17" t="str">
        <f aca="false">IF((E169="m"),H169," ")</f>
        <v> </v>
      </c>
      <c r="Y169" s="17" t="str">
        <f aca="false">IF((E169="u"),H169," ")</f>
        <v> </v>
      </c>
      <c r="Z169" s="17" t="str">
        <f aca="false">IF((E169="a"),H169," ")</f>
        <v> </v>
      </c>
      <c r="AA169" s="17" t="str">
        <f aca="false">IF((E169="g"),H169," ")</f>
        <v> </v>
      </c>
      <c r="AB169" s="17" t="str">
        <f aca="false">IF((E169="h"),H169," ")</f>
        <v> </v>
      </c>
      <c r="AC169" s="30" t="str">
        <f aca="false">IF((E169="v"),H169," ")</f>
        <v> </v>
      </c>
      <c r="AD169" s="30" t="str">
        <f aca="false">IF((E169="n"),H169," ")</f>
        <v> </v>
      </c>
      <c r="AE169" s="17" t="str">
        <f aca="false">IF((E169="f"),H169," ")</f>
        <v> </v>
      </c>
      <c r="AF169" s="17" t="str">
        <f aca="false">IF((E169="l"),H169," ")</f>
        <v> </v>
      </c>
      <c r="AG169" s="17" t="str">
        <f aca="false">IF((E169="y"),H169," ")</f>
        <v> </v>
      </c>
      <c r="AH169" s="17" t="str">
        <f aca="false">IF((E169="z"),H169," ")</f>
        <v> </v>
      </c>
      <c r="AI169" s="17" t="str">
        <f aca="false">IF((E169="fa"),H169," ")</f>
        <v> </v>
      </c>
      <c r="AJ169" s="17" t="str">
        <f aca="false">IF((E169="e"),H169," ")</f>
        <v> </v>
      </c>
    </row>
    <row r="170" customFormat="false" ht="12" hidden="false" customHeight="false" outlineLevel="0" collapsed="false">
      <c r="A170" s="28"/>
      <c r="E170" s="2" t="str">
        <f aca="false">IF((F170&lt;&gt;0),"Enter Letter"," ")</f>
        <v> </v>
      </c>
      <c r="F170" s="30"/>
      <c r="G170" s="6" t="str">
        <f aca="false">IF(F170&lt;&gt;0,F170*G$2/(100+G$2)," ")</f>
        <v> </v>
      </c>
      <c r="H170" s="6" t="str">
        <f aca="false">IF((F170&lt;&gt;0),F170-G170," ")</f>
        <v> </v>
      </c>
      <c r="I170" s="5"/>
      <c r="L170" s="7" t="str">
        <f aca="false">IF(F170&lt;&gt;0,F170-K170," ")</f>
        <v> </v>
      </c>
      <c r="M170" s="8" t="str">
        <f aca="false">IF((F170-K170)&lt;&gt;0,M$1-A170," ")</f>
        <v> </v>
      </c>
      <c r="N170" s="5"/>
      <c r="O170" s="17" t="str">
        <f aca="false">IF((E170="s"),H170," ")</f>
        <v> </v>
      </c>
      <c r="P170" s="17" t="str">
        <f aca="false">IF((E170="c"),H170," ")</f>
        <v> </v>
      </c>
      <c r="Q170" s="17" t="str">
        <f aca="false">IF((E170="o"),H170," ")</f>
        <v> </v>
      </c>
      <c r="R170" s="17" t="str">
        <f aca="false">IF((E170="d"),H170," ")</f>
        <v> </v>
      </c>
      <c r="S170" s="17" t="str">
        <f aca="false">IF((E170="w"),H170," ")</f>
        <v> </v>
      </c>
      <c r="T170" s="17" t="str">
        <f aca="false">IF((E170="r"),H170," ")</f>
        <v> </v>
      </c>
      <c r="U170" s="17" t="str">
        <f aca="false">IF((E170="p"),H170," ")</f>
        <v> </v>
      </c>
      <c r="V170" s="17" t="str">
        <f aca="false">IF((E170="t"),H170," ")</f>
        <v> </v>
      </c>
      <c r="W170" s="17" t="str">
        <f aca="false">IF((E170="q"),H170," ")</f>
        <v> </v>
      </c>
      <c r="X170" s="17" t="str">
        <f aca="false">IF((E170="m"),H170," ")</f>
        <v> </v>
      </c>
      <c r="Y170" s="17" t="str">
        <f aca="false">IF((E170="u"),H170," ")</f>
        <v> </v>
      </c>
      <c r="Z170" s="17" t="str">
        <f aca="false">IF((E170="a"),H170," ")</f>
        <v> </v>
      </c>
      <c r="AA170" s="17" t="str">
        <f aca="false">IF((E170="g"),H170," ")</f>
        <v> </v>
      </c>
      <c r="AB170" s="17" t="str">
        <f aca="false">IF((E170="h"),H170," ")</f>
        <v> </v>
      </c>
      <c r="AC170" s="30" t="str">
        <f aca="false">IF((E170="v"),H170," ")</f>
        <v> </v>
      </c>
      <c r="AD170" s="30" t="str">
        <f aca="false">IF((E170="n"),H170," ")</f>
        <v> </v>
      </c>
      <c r="AE170" s="17" t="str">
        <f aca="false">IF((E170="f"),H170," ")</f>
        <v> </v>
      </c>
      <c r="AF170" s="17" t="str">
        <f aca="false">IF((E170="l"),H170," ")</f>
        <v> </v>
      </c>
      <c r="AG170" s="17" t="str">
        <f aca="false">IF((E170="y"),H170," ")</f>
        <v> </v>
      </c>
      <c r="AH170" s="17" t="str">
        <f aca="false">IF((E170="z"),H170," ")</f>
        <v> </v>
      </c>
      <c r="AI170" s="17" t="str">
        <f aca="false">IF((E170="fa"),H170," ")</f>
        <v> </v>
      </c>
      <c r="AJ170" s="17" t="str">
        <f aca="false">IF((E170="e"),H170," ")</f>
        <v> </v>
      </c>
    </row>
    <row r="171" customFormat="false" ht="12" hidden="false" customHeight="false" outlineLevel="0" collapsed="false">
      <c r="A171" s="28"/>
      <c r="E171" s="2" t="str">
        <f aca="false">IF((F171&lt;&gt;0),"Enter Letter"," ")</f>
        <v> </v>
      </c>
      <c r="F171" s="30"/>
      <c r="G171" s="6" t="str">
        <f aca="false">IF(F171&lt;&gt;0,F171*G$2/(100+G$2)," ")</f>
        <v> </v>
      </c>
      <c r="H171" s="6" t="str">
        <f aca="false">IF((F171&lt;&gt;0),F171-G171," ")</f>
        <v> </v>
      </c>
      <c r="I171" s="5"/>
      <c r="L171" s="7" t="str">
        <f aca="false">IF(F171&lt;&gt;0,F171-K171," ")</f>
        <v> </v>
      </c>
      <c r="M171" s="8" t="str">
        <f aca="false">IF((F171-K171)&lt;&gt;0,M$1-A171," ")</f>
        <v> </v>
      </c>
      <c r="N171" s="5"/>
      <c r="O171" s="17" t="str">
        <f aca="false">IF((E171="s"),H171," ")</f>
        <v> </v>
      </c>
      <c r="P171" s="17" t="str">
        <f aca="false">IF((E171="c"),H171," ")</f>
        <v> </v>
      </c>
      <c r="Q171" s="17" t="str">
        <f aca="false">IF((E171="o"),H171," ")</f>
        <v> </v>
      </c>
      <c r="R171" s="17" t="str">
        <f aca="false">IF((E171="d"),H171," ")</f>
        <v> </v>
      </c>
      <c r="S171" s="17" t="str">
        <f aca="false">IF((E171="w"),H171," ")</f>
        <v> </v>
      </c>
      <c r="T171" s="17" t="str">
        <f aca="false">IF((E171="r"),H171," ")</f>
        <v> </v>
      </c>
      <c r="U171" s="17" t="str">
        <f aca="false">IF((E171="p"),H171," ")</f>
        <v> </v>
      </c>
      <c r="V171" s="17" t="str">
        <f aca="false">IF((E171="t"),H171," ")</f>
        <v> </v>
      </c>
      <c r="W171" s="17" t="str">
        <f aca="false">IF((E171="q"),H171," ")</f>
        <v> </v>
      </c>
      <c r="X171" s="17" t="str">
        <f aca="false">IF((E171="m"),H171," ")</f>
        <v> </v>
      </c>
      <c r="Y171" s="17" t="str">
        <f aca="false">IF((E171="u"),H171," ")</f>
        <v> </v>
      </c>
      <c r="Z171" s="17" t="str">
        <f aca="false">IF((E171="a"),H171," ")</f>
        <v> </v>
      </c>
      <c r="AA171" s="17" t="str">
        <f aca="false">IF((E171="g"),H171," ")</f>
        <v> </v>
      </c>
      <c r="AB171" s="17" t="str">
        <f aca="false">IF((E171="h"),H171," ")</f>
        <v> </v>
      </c>
      <c r="AC171" s="30" t="str">
        <f aca="false">IF((E171="v"),H171," ")</f>
        <v> </v>
      </c>
      <c r="AD171" s="30" t="str">
        <f aca="false">IF((E171="n"),H171," ")</f>
        <v> </v>
      </c>
      <c r="AE171" s="17" t="str">
        <f aca="false">IF((E171="f"),H171," ")</f>
        <v> </v>
      </c>
      <c r="AF171" s="17" t="str">
        <f aca="false">IF((E171="l"),H171," ")</f>
        <v> </v>
      </c>
      <c r="AG171" s="17" t="str">
        <f aca="false">IF((E171="y"),H171," ")</f>
        <v> </v>
      </c>
      <c r="AH171" s="17" t="str">
        <f aca="false">IF((E171="z"),H171," ")</f>
        <v> </v>
      </c>
      <c r="AI171" s="17" t="str">
        <f aca="false">IF((E171="fa"),H171," ")</f>
        <v> </v>
      </c>
      <c r="AJ171" s="17" t="str">
        <f aca="false">IF((E171="e"),H171," ")</f>
        <v> </v>
      </c>
    </row>
    <row r="172" customFormat="false" ht="12" hidden="false" customHeight="false" outlineLevel="0" collapsed="false">
      <c r="A172" s="28"/>
      <c r="E172" s="2" t="str">
        <f aca="false">IF((F172&lt;&gt;0),"Enter Letter"," ")</f>
        <v> </v>
      </c>
      <c r="F172" s="30"/>
      <c r="G172" s="6" t="str">
        <f aca="false">IF(F172&lt;&gt;0,F172*G$2/(100+G$2)," ")</f>
        <v> </v>
      </c>
      <c r="H172" s="6" t="str">
        <f aca="false">IF((F172&lt;&gt;0),F172-G172," ")</f>
        <v> </v>
      </c>
      <c r="I172" s="5"/>
      <c r="L172" s="7" t="str">
        <f aca="false">IF(F172&lt;&gt;0,F172-K172," ")</f>
        <v> </v>
      </c>
      <c r="M172" s="8" t="str">
        <f aca="false">IF((F172-K172)&lt;&gt;0,M$1-A172," ")</f>
        <v> </v>
      </c>
      <c r="N172" s="5"/>
      <c r="O172" s="17" t="str">
        <f aca="false">IF((E172="s"),H172," ")</f>
        <v> </v>
      </c>
      <c r="P172" s="17" t="str">
        <f aca="false">IF((E172="c"),H172," ")</f>
        <v> </v>
      </c>
      <c r="Q172" s="17" t="str">
        <f aca="false">IF((E172="o"),H172," ")</f>
        <v> </v>
      </c>
      <c r="R172" s="17" t="str">
        <f aca="false">IF((E172="d"),H172," ")</f>
        <v> </v>
      </c>
      <c r="S172" s="17" t="str">
        <f aca="false">IF((E172="w"),H172," ")</f>
        <v> </v>
      </c>
      <c r="T172" s="17" t="str">
        <f aca="false">IF((E172="r"),H172," ")</f>
        <v> </v>
      </c>
      <c r="U172" s="17" t="str">
        <f aca="false">IF((E172="p"),H172," ")</f>
        <v> </v>
      </c>
      <c r="V172" s="17" t="str">
        <f aca="false">IF((E172="t"),H172," ")</f>
        <v> </v>
      </c>
      <c r="W172" s="17" t="str">
        <f aca="false">IF((E172="q"),H172," ")</f>
        <v> </v>
      </c>
      <c r="X172" s="17" t="str">
        <f aca="false">IF((E172="m"),H172," ")</f>
        <v> </v>
      </c>
      <c r="Y172" s="17" t="str">
        <f aca="false">IF((E172="u"),H172," ")</f>
        <v> </v>
      </c>
      <c r="Z172" s="17" t="str">
        <f aca="false">IF((E172="a"),H172," ")</f>
        <v> </v>
      </c>
      <c r="AA172" s="17" t="str">
        <f aca="false">IF((E172="g"),H172," ")</f>
        <v> </v>
      </c>
      <c r="AB172" s="17" t="str">
        <f aca="false">IF((E172="h"),H172," ")</f>
        <v> </v>
      </c>
      <c r="AC172" s="30" t="str">
        <f aca="false">IF((E172="v"),H172," ")</f>
        <v> </v>
      </c>
      <c r="AD172" s="30" t="str">
        <f aca="false">IF((E172="n"),H172," ")</f>
        <v> </v>
      </c>
      <c r="AE172" s="17" t="str">
        <f aca="false">IF((E172="f"),H172," ")</f>
        <v> </v>
      </c>
      <c r="AF172" s="17" t="str">
        <f aca="false">IF((E172="l"),H172," ")</f>
        <v> </v>
      </c>
      <c r="AG172" s="17" t="str">
        <f aca="false">IF((E172="y"),H172," ")</f>
        <v> </v>
      </c>
      <c r="AH172" s="17" t="str">
        <f aca="false">IF((E172="z"),H172," ")</f>
        <v> </v>
      </c>
      <c r="AI172" s="17" t="str">
        <f aca="false">IF((E172="fa"),H172," ")</f>
        <v> </v>
      </c>
      <c r="AJ172" s="17" t="str">
        <f aca="false">IF((E172="e"),H172," ")</f>
        <v> </v>
      </c>
    </row>
    <row r="173" customFormat="false" ht="12" hidden="false" customHeight="false" outlineLevel="0" collapsed="false">
      <c r="A173" s="28"/>
      <c r="E173" s="2" t="str">
        <f aca="false">IF((F173&lt;&gt;0),"Enter Letter"," ")</f>
        <v> </v>
      </c>
      <c r="F173" s="30"/>
      <c r="G173" s="6" t="str">
        <f aca="false">IF(F173&lt;&gt;0,F173*G$2/(100+G$2)," ")</f>
        <v> </v>
      </c>
      <c r="H173" s="6" t="str">
        <f aca="false">IF((F173&lt;&gt;0),F173-G173," ")</f>
        <v> </v>
      </c>
      <c r="I173" s="5"/>
      <c r="L173" s="7" t="str">
        <f aca="false">IF(F173&lt;&gt;0,F173-K173," ")</f>
        <v> </v>
      </c>
      <c r="M173" s="8" t="str">
        <f aca="false">IF((F173-K173)&lt;&gt;0,M$1-A173," ")</f>
        <v> </v>
      </c>
      <c r="N173" s="5"/>
      <c r="O173" s="17" t="str">
        <f aca="false">IF((E173="s"),H173," ")</f>
        <v> </v>
      </c>
      <c r="P173" s="17" t="str">
        <f aca="false">IF((E173="c"),H173," ")</f>
        <v> </v>
      </c>
      <c r="Q173" s="17" t="str">
        <f aca="false">IF((E173="o"),H173," ")</f>
        <v> </v>
      </c>
      <c r="R173" s="17" t="str">
        <f aca="false">IF((E173="d"),H173," ")</f>
        <v> </v>
      </c>
      <c r="S173" s="17" t="str">
        <f aca="false">IF((E173="w"),H173," ")</f>
        <v> </v>
      </c>
      <c r="T173" s="17" t="str">
        <f aca="false">IF((E173="r"),H173," ")</f>
        <v> </v>
      </c>
      <c r="U173" s="17" t="str">
        <f aca="false">IF((E173="p"),H173," ")</f>
        <v> </v>
      </c>
      <c r="V173" s="17" t="str">
        <f aca="false">IF((E173="t"),H173," ")</f>
        <v> </v>
      </c>
      <c r="W173" s="17" t="str">
        <f aca="false">IF((E173="q"),H173," ")</f>
        <v> </v>
      </c>
      <c r="X173" s="17" t="str">
        <f aca="false">IF((E173="m"),H173," ")</f>
        <v> </v>
      </c>
      <c r="Y173" s="17" t="str">
        <f aca="false">IF((E173="u"),H173," ")</f>
        <v> </v>
      </c>
      <c r="Z173" s="17" t="str">
        <f aca="false">IF((E173="a"),H173," ")</f>
        <v> </v>
      </c>
      <c r="AA173" s="17" t="str">
        <f aca="false">IF((E173="g"),H173," ")</f>
        <v> </v>
      </c>
      <c r="AB173" s="17" t="str">
        <f aca="false">IF((E173="h"),H173," ")</f>
        <v> </v>
      </c>
      <c r="AC173" s="30" t="str">
        <f aca="false">IF((E173="v"),H173," ")</f>
        <v> </v>
      </c>
      <c r="AD173" s="30" t="str">
        <f aca="false">IF((E173="n"),H173," ")</f>
        <v> </v>
      </c>
      <c r="AE173" s="17" t="str">
        <f aca="false">IF((E173="f"),H173," ")</f>
        <v> </v>
      </c>
      <c r="AF173" s="17" t="str">
        <f aca="false">IF((E173="l"),H173," ")</f>
        <v> </v>
      </c>
      <c r="AG173" s="17" t="str">
        <f aca="false">IF((E173="y"),H173," ")</f>
        <v> </v>
      </c>
      <c r="AH173" s="17" t="str">
        <f aca="false">IF((E173="z"),H173," ")</f>
        <v> </v>
      </c>
      <c r="AI173" s="17" t="str">
        <f aca="false">IF((E173="fa"),H173," ")</f>
        <v> </v>
      </c>
      <c r="AJ173" s="17" t="str">
        <f aca="false">IF((E173="e"),H173," ")</f>
        <v> </v>
      </c>
    </row>
    <row r="174" customFormat="false" ht="12" hidden="false" customHeight="false" outlineLevel="0" collapsed="false">
      <c r="A174" s="28"/>
      <c r="E174" s="2" t="str">
        <f aca="false">IF((F174&lt;&gt;0),"Enter Letter"," ")</f>
        <v> </v>
      </c>
      <c r="F174" s="30"/>
      <c r="G174" s="6" t="str">
        <f aca="false">IF(F174&lt;&gt;0,F174*G$2/(100+G$2)," ")</f>
        <v> </v>
      </c>
      <c r="H174" s="6" t="str">
        <f aca="false">IF((F174&lt;&gt;0),F174-G174," ")</f>
        <v> </v>
      </c>
      <c r="I174" s="5"/>
      <c r="L174" s="7" t="str">
        <f aca="false">IF(F174&lt;&gt;0,F174-K174," ")</f>
        <v> </v>
      </c>
      <c r="M174" s="8" t="str">
        <f aca="false">IF((F174-K174)&lt;&gt;0,M$1-A174," ")</f>
        <v> </v>
      </c>
      <c r="N174" s="5"/>
      <c r="O174" s="17" t="str">
        <f aca="false">IF((E174="s"),H174," ")</f>
        <v> </v>
      </c>
      <c r="P174" s="17" t="str">
        <f aca="false">IF((E174="c"),H174," ")</f>
        <v> </v>
      </c>
      <c r="Q174" s="17" t="str">
        <f aca="false">IF((E174="o"),H174," ")</f>
        <v> </v>
      </c>
      <c r="R174" s="17" t="str">
        <f aca="false">IF((E174="d"),H174," ")</f>
        <v> </v>
      </c>
      <c r="S174" s="17" t="str">
        <f aca="false">IF((E174="w"),H174," ")</f>
        <v> </v>
      </c>
      <c r="T174" s="17" t="str">
        <f aca="false">IF((E174="r"),H174," ")</f>
        <v> </v>
      </c>
      <c r="U174" s="17" t="str">
        <f aca="false">IF((E174="p"),H174," ")</f>
        <v> </v>
      </c>
      <c r="V174" s="17" t="str">
        <f aca="false">IF((E174="t"),H174," ")</f>
        <v> </v>
      </c>
      <c r="W174" s="17" t="str">
        <f aca="false">IF((E174="q"),H174," ")</f>
        <v> </v>
      </c>
      <c r="X174" s="17" t="str">
        <f aca="false">IF((E174="m"),H174," ")</f>
        <v> </v>
      </c>
      <c r="Y174" s="17" t="str">
        <f aca="false">IF((E174="u"),H174," ")</f>
        <v> </v>
      </c>
      <c r="Z174" s="17" t="str">
        <f aca="false">IF((E174="a"),H174," ")</f>
        <v> </v>
      </c>
      <c r="AA174" s="17" t="str">
        <f aca="false">IF((E174="g"),H174," ")</f>
        <v> </v>
      </c>
      <c r="AB174" s="17" t="str">
        <f aca="false">IF((E174="h"),H174," ")</f>
        <v> </v>
      </c>
      <c r="AC174" s="30" t="str">
        <f aca="false">IF((E174="v"),H174," ")</f>
        <v> </v>
      </c>
      <c r="AD174" s="30" t="str">
        <f aca="false">IF((E174="n"),H174," ")</f>
        <v> </v>
      </c>
      <c r="AE174" s="17" t="str">
        <f aca="false">IF((E174="f"),H174," ")</f>
        <v> </v>
      </c>
      <c r="AF174" s="17" t="str">
        <f aca="false">IF((E174="l"),H174," ")</f>
        <v> </v>
      </c>
      <c r="AG174" s="17" t="str">
        <f aca="false">IF((E174="y"),H174," ")</f>
        <v> </v>
      </c>
      <c r="AH174" s="17" t="str">
        <f aca="false">IF((E174="z"),H174," ")</f>
        <v> </v>
      </c>
      <c r="AI174" s="17" t="str">
        <f aca="false">IF((E174="fa"),H174," ")</f>
        <v> </v>
      </c>
      <c r="AJ174" s="17" t="str">
        <f aca="false">IF((E174="e"),H174," ")</f>
        <v> </v>
      </c>
    </row>
    <row r="175" customFormat="false" ht="12" hidden="false" customHeight="false" outlineLevel="0" collapsed="false">
      <c r="A175" s="28"/>
      <c r="E175" s="2" t="str">
        <f aca="false">IF((F175&lt;&gt;0),"Enter Letter"," ")</f>
        <v> </v>
      </c>
      <c r="F175" s="30"/>
      <c r="G175" s="6" t="str">
        <f aca="false">IF(F175&lt;&gt;0,F175*G$2/(100+G$2)," ")</f>
        <v> </v>
      </c>
      <c r="H175" s="6" t="str">
        <f aca="false">IF((F175&lt;&gt;0),F175-G175," ")</f>
        <v> </v>
      </c>
      <c r="I175" s="5"/>
      <c r="L175" s="7" t="str">
        <f aca="false">IF(F175&lt;&gt;0,F175-K175," ")</f>
        <v> </v>
      </c>
      <c r="M175" s="8" t="str">
        <f aca="false">IF((F175-K175)&lt;&gt;0,M$1-A175," ")</f>
        <v> </v>
      </c>
      <c r="N175" s="5"/>
      <c r="O175" s="17" t="str">
        <f aca="false">IF((E175="s"),H175," ")</f>
        <v> </v>
      </c>
      <c r="P175" s="17" t="str">
        <f aca="false">IF((E175="c"),H175," ")</f>
        <v> </v>
      </c>
      <c r="Q175" s="17" t="str">
        <f aca="false">IF((E175="o"),H175," ")</f>
        <v> </v>
      </c>
      <c r="R175" s="17" t="str">
        <f aca="false">IF((E175="d"),H175," ")</f>
        <v> </v>
      </c>
      <c r="S175" s="17" t="str">
        <f aca="false">IF((E175="w"),H175," ")</f>
        <v> </v>
      </c>
      <c r="T175" s="17" t="str">
        <f aca="false">IF((E175="r"),H175," ")</f>
        <v> </v>
      </c>
      <c r="U175" s="17" t="str">
        <f aca="false">IF((E175="p"),H175," ")</f>
        <v> </v>
      </c>
      <c r="V175" s="17" t="str">
        <f aca="false">IF((E175="t"),H175," ")</f>
        <v> </v>
      </c>
      <c r="W175" s="17" t="str">
        <f aca="false">IF((E175="q"),H175," ")</f>
        <v> </v>
      </c>
      <c r="X175" s="17" t="str">
        <f aca="false">IF((E175="m"),H175," ")</f>
        <v> </v>
      </c>
      <c r="Y175" s="17" t="str">
        <f aca="false">IF((E175="u"),H175," ")</f>
        <v> </v>
      </c>
      <c r="Z175" s="17" t="str">
        <f aca="false">IF((E175="a"),H175," ")</f>
        <v> </v>
      </c>
      <c r="AA175" s="17" t="str">
        <f aca="false">IF((E175="g"),H175," ")</f>
        <v> </v>
      </c>
      <c r="AB175" s="17" t="str">
        <f aca="false">IF((E175="h"),H175," ")</f>
        <v> </v>
      </c>
      <c r="AC175" s="30" t="str">
        <f aca="false">IF((E175="v"),H175," ")</f>
        <v> </v>
      </c>
      <c r="AD175" s="30" t="str">
        <f aca="false">IF((E175="n"),H175," ")</f>
        <v> </v>
      </c>
      <c r="AE175" s="17" t="str">
        <f aca="false">IF((E175="f"),H175," ")</f>
        <v> </v>
      </c>
      <c r="AF175" s="17" t="str">
        <f aca="false">IF((E175="l"),H175," ")</f>
        <v> </v>
      </c>
      <c r="AG175" s="17" t="str">
        <f aca="false">IF((E175="y"),H175," ")</f>
        <v> </v>
      </c>
      <c r="AH175" s="17" t="str">
        <f aca="false">IF((E175="z"),H175," ")</f>
        <v> </v>
      </c>
      <c r="AI175" s="17" t="str">
        <f aca="false">IF((E175="fa"),H175," ")</f>
        <v> </v>
      </c>
      <c r="AJ175" s="17" t="str">
        <f aca="false">IF((E175="e"),H175," ")</f>
        <v> </v>
      </c>
    </row>
    <row r="176" customFormat="false" ht="12" hidden="false" customHeight="false" outlineLevel="0" collapsed="false">
      <c r="A176" s="28"/>
      <c r="E176" s="2" t="str">
        <f aca="false">IF((F176&lt;&gt;0),"Enter Letter"," ")</f>
        <v> </v>
      </c>
      <c r="F176" s="30"/>
      <c r="G176" s="6" t="str">
        <f aca="false">IF(F176&lt;&gt;0,F176*G$2/(100+G$2)," ")</f>
        <v> </v>
      </c>
      <c r="H176" s="6" t="str">
        <f aca="false">IF((F176&lt;&gt;0),F176-G176," ")</f>
        <v> </v>
      </c>
      <c r="I176" s="5"/>
      <c r="L176" s="7" t="str">
        <f aca="false">IF(F176&lt;&gt;0,F176-K176," ")</f>
        <v> </v>
      </c>
      <c r="M176" s="8" t="str">
        <f aca="false">IF((F176-K176)&lt;&gt;0,M$1-A176," ")</f>
        <v> </v>
      </c>
      <c r="N176" s="5"/>
      <c r="O176" s="17" t="str">
        <f aca="false">IF((E176="s"),H176," ")</f>
        <v> </v>
      </c>
      <c r="P176" s="17" t="str">
        <f aca="false">IF((E176="c"),H176," ")</f>
        <v> </v>
      </c>
      <c r="Q176" s="17" t="str">
        <f aca="false">IF((E176="o"),H176," ")</f>
        <v> </v>
      </c>
      <c r="R176" s="17" t="str">
        <f aca="false">IF((E176="d"),H176," ")</f>
        <v> </v>
      </c>
      <c r="S176" s="17" t="str">
        <f aca="false">IF((E176="w"),H176," ")</f>
        <v> </v>
      </c>
      <c r="T176" s="17" t="str">
        <f aca="false">IF((E176="r"),H176," ")</f>
        <v> </v>
      </c>
      <c r="U176" s="17" t="str">
        <f aca="false">IF((E176="p"),H176," ")</f>
        <v> </v>
      </c>
      <c r="V176" s="17" t="str">
        <f aca="false">IF((E176="t"),H176," ")</f>
        <v> </v>
      </c>
      <c r="W176" s="17" t="str">
        <f aca="false">IF((E176="q"),H176," ")</f>
        <v> </v>
      </c>
      <c r="X176" s="17" t="str">
        <f aca="false">IF((E176="m"),H176," ")</f>
        <v> </v>
      </c>
      <c r="Y176" s="17" t="str">
        <f aca="false">IF((E176="u"),H176," ")</f>
        <v> </v>
      </c>
      <c r="Z176" s="17" t="str">
        <f aca="false">IF((E176="a"),H176," ")</f>
        <v> </v>
      </c>
      <c r="AA176" s="17" t="str">
        <f aca="false">IF((E176="g"),H176," ")</f>
        <v> </v>
      </c>
      <c r="AB176" s="17" t="str">
        <f aca="false">IF((E176="h"),H176," ")</f>
        <v> </v>
      </c>
      <c r="AC176" s="30" t="str">
        <f aca="false">IF((E176="v"),H176," ")</f>
        <v> </v>
      </c>
      <c r="AD176" s="30" t="str">
        <f aca="false">IF((E176="n"),H176," ")</f>
        <v> </v>
      </c>
      <c r="AE176" s="17" t="str">
        <f aca="false">IF((E176="f"),H176," ")</f>
        <v> </v>
      </c>
      <c r="AF176" s="17" t="str">
        <f aca="false">IF((E176="l"),H176," ")</f>
        <v> </v>
      </c>
      <c r="AG176" s="17" t="str">
        <f aca="false">IF((E176="y"),H176," ")</f>
        <v> </v>
      </c>
      <c r="AH176" s="17" t="str">
        <f aca="false">IF((E176="z"),H176," ")</f>
        <v> </v>
      </c>
      <c r="AI176" s="17" t="str">
        <f aca="false">IF((E176="fa"),H176," ")</f>
        <v> </v>
      </c>
      <c r="AJ176" s="17" t="str">
        <f aca="false">IF((E176="e"),H176," ")</f>
        <v> </v>
      </c>
    </row>
    <row r="177" customFormat="false" ht="12" hidden="false" customHeight="false" outlineLevel="0" collapsed="false">
      <c r="A177" s="28"/>
      <c r="E177" s="2" t="str">
        <f aca="false">IF((F177&lt;&gt;0),"Enter Letter"," ")</f>
        <v> </v>
      </c>
      <c r="F177" s="30"/>
      <c r="G177" s="6" t="str">
        <f aca="false">IF(F177&lt;&gt;0,F177*G$2/(100+G$2)," ")</f>
        <v> </v>
      </c>
      <c r="H177" s="6" t="str">
        <f aca="false">IF((F177&lt;&gt;0),F177-G177," ")</f>
        <v> </v>
      </c>
      <c r="I177" s="5"/>
      <c r="L177" s="7" t="str">
        <f aca="false">IF(F177&lt;&gt;0,F177-K177," ")</f>
        <v> </v>
      </c>
      <c r="M177" s="8" t="str">
        <f aca="false">IF((F177-K177)&lt;&gt;0,M$1-A177," ")</f>
        <v> </v>
      </c>
      <c r="N177" s="5"/>
      <c r="O177" s="17" t="str">
        <f aca="false">IF((E177="s"),H177," ")</f>
        <v> </v>
      </c>
      <c r="P177" s="17" t="str">
        <f aca="false">IF((E177="c"),H177," ")</f>
        <v> </v>
      </c>
      <c r="Q177" s="17" t="str">
        <f aca="false">IF((E177="o"),H177," ")</f>
        <v> </v>
      </c>
      <c r="R177" s="17" t="str">
        <f aca="false">IF((E177="d"),H177," ")</f>
        <v> </v>
      </c>
      <c r="S177" s="17" t="str">
        <f aca="false">IF((E177="w"),H177," ")</f>
        <v> </v>
      </c>
      <c r="T177" s="17" t="str">
        <f aca="false">IF((E177="r"),H177," ")</f>
        <v> </v>
      </c>
      <c r="U177" s="17" t="str">
        <f aca="false">IF((E177="p"),H177," ")</f>
        <v> </v>
      </c>
      <c r="V177" s="17" t="str">
        <f aca="false">IF((E177="t"),H177," ")</f>
        <v> </v>
      </c>
      <c r="W177" s="17" t="str">
        <f aca="false">IF((E177="q"),H177," ")</f>
        <v> </v>
      </c>
      <c r="X177" s="17" t="str">
        <f aca="false">IF((E177="m"),H177," ")</f>
        <v> </v>
      </c>
      <c r="Y177" s="17" t="str">
        <f aca="false">IF((E177="u"),H177," ")</f>
        <v> </v>
      </c>
      <c r="Z177" s="17" t="str">
        <f aca="false">IF((E177="a"),H177," ")</f>
        <v> </v>
      </c>
      <c r="AA177" s="17" t="str">
        <f aca="false">IF((E177="g"),H177," ")</f>
        <v> </v>
      </c>
      <c r="AB177" s="17" t="str">
        <f aca="false">IF((E177="h"),H177," ")</f>
        <v> </v>
      </c>
      <c r="AC177" s="30" t="str">
        <f aca="false">IF((E177="v"),H177," ")</f>
        <v> </v>
      </c>
      <c r="AD177" s="30" t="str">
        <f aca="false">IF((E177="n"),H177," ")</f>
        <v> </v>
      </c>
      <c r="AE177" s="17" t="str">
        <f aca="false">IF((E177="f"),H177," ")</f>
        <v> </v>
      </c>
      <c r="AF177" s="17" t="str">
        <f aca="false">IF((E177="l"),H177," ")</f>
        <v> </v>
      </c>
      <c r="AG177" s="17" t="str">
        <f aca="false">IF((E177="y"),H177," ")</f>
        <v> </v>
      </c>
      <c r="AH177" s="17" t="str">
        <f aca="false">IF((E177="z"),H177," ")</f>
        <v> </v>
      </c>
      <c r="AI177" s="17" t="str">
        <f aca="false">IF((E177="fa"),H177," ")</f>
        <v> </v>
      </c>
      <c r="AJ177" s="17" t="str">
        <f aca="false">IF((E177="e"),H177," ")</f>
        <v> </v>
      </c>
    </row>
    <row r="178" customFormat="false" ht="12" hidden="false" customHeight="false" outlineLevel="0" collapsed="false">
      <c r="A178" s="28"/>
      <c r="E178" s="2" t="str">
        <f aca="false">IF((F178&lt;&gt;0),"Enter Letter"," ")</f>
        <v> </v>
      </c>
      <c r="F178" s="30"/>
      <c r="G178" s="6" t="str">
        <f aca="false">IF(F178&lt;&gt;0,F178*G$2/(100+G$2)," ")</f>
        <v> </v>
      </c>
      <c r="H178" s="6" t="str">
        <f aca="false">IF((F178&lt;&gt;0),F178-G178," ")</f>
        <v> </v>
      </c>
      <c r="I178" s="5"/>
      <c r="L178" s="7" t="str">
        <f aca="false">IF(F178&lt;&gt;0,F178-K178," ")</f>
        <v> </v>
      </c>
      <c r="M178" s="8" t="str">
        <f aca="false">IF((F178-K178)&lt;&gt;0,M$1-A178," ")</f>
        <v> </v>
      </c>
      <c r="N178" s="5"/>
      <c r="O178" s="17" t="str">
        <f aca="false">IF((E178="s"),H178," ")</f>
        <v> </v>
      </c>
      <c r="P178" s="17" t="str">
        <f aca="false">IF((E178="c"),H178," ")</f>
        <v> </v>
      </c>
      <c r="Q178" s="17" t="str">
        <f aca="false">IF((E178="o"),H178," ")</f>
        <v> </v>
      </c>
      <c r="R178" s="17" t="str">
        <f aca="false">IF((E178="d"),H178," ")</f>
        <v> </v>
      </c>
      <c r="S178" s="17" t="str">
        <f aca="false">IF((E178="w"),H178," ")</f>
        <v> </v>
      </c>
      <c r="T178" s="17" t="str">
        <f aca="false">IF((E178="r"),H178," ")</f>
        <v> </v>
      </c>
      <c r="U178" s="17" t="str">
        <f aca="false">IF((E178="p"),H178," ")</f>
        <v> </v>
      </c>
      <c r="V178" s="17" t="str">
        <f aca="false">IF((E178="t"),H178," ")</f>
        <v> </v>
      </c>
      <c r="W178" s="17" t="str">
        <f aca="false">IF((E178="q"),H178," ")</f>
        <v> </v>
      </c>
      <c r="X178" s="17" t="str">
        <f aca="false">IF((E178="m"),H178," ")</f>
        <v> </v>
      </c>
      <c r="Y178" s="17" t="str">
        <f aca="false">IF((E178="u"),H178," ")</f>
        <v> </v>
      </c>
      <c r="Z178" s="17" t="str">
        <f aca="false">IF((E178="a"),H178," ")</f>
        <v> </v>
      </c>
      <c r="AA178" s="17" t="str">
        <f aca="false">IF((E178="g"),H178," ")</f>
        <v> </v>
      </c>
      <c r="AB178" s="17" t="str">
        <f aca="false">IF((E178="h"),H178," ")</f>
        <v> </v>
      </c>
      <c r="AC178" s="30" t="str">
        <f aca="false">IF((E178="v"),H178," ")</f>
        <v> </v>
      </c>
      <c r="AD178" s="30" t="str">
        <f aca="false">IF((E178="n"),H178," ")</f>
        <v> </v>
      </c>
      <c r="AE178" s="17" t="str">
        <f aca="false">IF((E178="f"),H178," ")</f>
        <v> </v>
      </c>
      <c r="AF178" s="17" t="str">
        <f aca="false">IF((E178="l"),H178," ")</f>
        <v> </v>
      </c>
      <c r="AG178" s="17" t="str">
        <f aca="false">IF((E178="y"),H178," ")</f>
        <v> </v>
      </c>
      <c r="AH178" s="17" t="str">
        <f aca="false">IF((E178="z"),H178," ")</f>
        <v> </v>
      </c>
      <c r="AI178" s="17" t="str">
        <f aca="false">IF((E178="fa"),H178," ")</f>
        <v> </v>
      </c>
      <c r="AJ178" s="17" t="str">
        <f aca="false">IF((E178="e"),H178," ")</f>
        <v> </v>
      </c>
    </row>
    <row r="179" customFormat="false" ht="12" hidden="false" customHeight="false" outlineLevel="0" collapsed="false">
      <c r="A179" s="28"/>
      <c r="E179" s="2" t="str">
        <f aca="false">IF((F179&lt;&gt;0),"Enter Letter"," ")</f>
        <v> </v>
      </c>
      <c r="F179" s="30"/>
      <c r="G179" s="6" t="str">
        <f aca="false">IF(F179&lt;&gt;0,F179*G$2/(100+G$2)," ")</f>
        <v> </v>
      </c>
      <c r="H179" s="6" t="str">
        <f aca="false">IF((F179&lt;&gt;0),F179-G179," ")</f>
        <v> </v>
      </c>
      <c r="I179" s="5"/>
      <c r="L179" s="7" t="str">
        <f aca="false">IF(F179&lt;&gt;0,F179-K179," ")</f>
        <v> </v>
      </c>
      <c r="M179" s="8" t="str">
        <f aca="false">IF((F179-K179)&lt;&gt;0,M$1-A179," ")</f>
        <v> </v>
      </c>
      <c r="N179" s="5"/>
      <c r="O179" s="17" t="str">
        <f aca="false">IF((E179="s"),H179," ")</f>
        <v> </v>
      </c>
      <c r="P179" s="17" t="str">
        <f aca="false">IF((E179="c"),H179," ")</f>
        <v> </v>
      </c>
      <c r="Q179" s="17" t="str">
        <f aca="false">IF((E179="o"),H179," ")</f>
        <v> </v>
      </c>
      <c r="R179" s="17" t="str">
        <f aca="false">IF((E179="d"),H179," ")</f>
        <v> </v>
      </c>
      <c r="S179" s="17" t="str">
        <f aca="false">IF((E179="w"),H179," ")</f>
        <v> </v>
      </c>
      <c r="T179" s="17" t="str">
        <f aca="false">IF((E179="r"),H179," ")</f>
        <v> </v>
      </c>
      <c r="U179" s="17" t="str">
        <f aca="false">IF((E179="p"),H179," ")</f>
        <v> </v>
      </c>
      <c r="V179" s="17" t="str">
        <f aca="false">IF((E179="t"),H179," ")</f>
        <v> </v>
      </c>
      <c r="W179" s="17" t="str">
        <f aca="false">IF((E179="q"),H179," ")</f>
        <v> </v>
      </c>
      <c r="X179" s="17" t="str">
        <f aca="false">IF((E179="m"),H179," ")</f>
        <v> </v>
      </c>
      <c r="Y179" s="17" t="str">
        <f aca="false">IF((E179="u"),H179," ")</f>
        <v> </v>
      </c>
      <c r="Z179" s="17" t="str">
        <f aca="false">IF((E179="a"),H179," ")</f>
        <v> </v>
      </c>
      <c r="AA179" s="17" t="str">
        <f aca="false">IF((E179="g"),H179," ")</f>
        <v> </v>
      </c>
      <c r="AB179" s="17" t="str">
        <f aca="false">IF((E179="h"),H179," ")</f>
        <v> </v>
      </c>
      <c r="AC179" s="30" t="str">
        <f aca="false">IF((E179="v"),H179," ")</f>
        <v> </v>
      </c>
      <c r="AD179" s="30" t="str">
        <f aca="false">IF((E179="n"),H179," ")</f>
        <v> </v>
      </c>
      <c r="AE179" s="17" t="str">
        <f aca="false">IF((E179="f"),H179," ")</f>
        <v> </v>
      </c>
      <c r="AF179" s="17" t="str">
        <f aca="false">IF((E179="l"),H179," ")</f>
        <v> </v>
      </c>
      <c r="AG179" s="17" t="str">
        <f aca="false">IF((E179="y"),H179," ")</f>
        <v> </v>
      </c>
      <c r="AH179" s="17" t="str">
        <f aca="false">IF((E179="z"),H179," ")</f>
        <v> </v>
      </c>
      <c r="AI179" s="17" t="str">
        <f aca="false">IF((E179="fa"),H179," ")</f>
        <v> </v>
      </c>
      <c r="AJ179" s="17" t="str">
        <f aca="false">IF((E179="e"),H179," ")</f>
        <v> </v>
      </c>
    </row>
    <row r="180" customFormat="false" ht="12" hidden="false" customHeight="false" outlineLevel="0" collapsed="false">
      <c r="A180" s="28"/>
      <c r="E180" s="2" t="str">
        <f aca="false">IF((F180&lt;&gt;0),"Enter Letter"," ")</f>
        <v> </v>
      </c>
      <c r="F180" s="30"/>
      <c r="G180" s="6" t="str">
        <f aca="false">IF(F180&lt;&gt;0,F180*G$2/(100+G$2)," ")</f>
        <v> </v>
      </c>
      <c r="H180" s="6" t="str">
        <f aca="false">IF((F180&lt;&gt;0),F180-G180," ")</f>
        <v> </v>
      </c>
      <c r="I180" s="5"/>
      <c r="L180" s="7" t="str">
        <f aca="false">IF(F180&lt;&gt;0,F180-K180," ")</f>
        <v> </v>
      </c>
      <c r="M180" s="8" t="str">
        <f aca="false">IF((F180-K180)&lt;&gt;0,M$1-A180," ")</f>
        <v> </v>
      </c>
      <c r="N180" s="5"/>
      <c r="O180" s="17" t="str">
        <f aca="false">IF((E180="s"),H180," ")</f>
        <v> </v>
      </c>
      <c r="P180" s="17" t="str">
        <f aca="false">IF((E180="c"),H180," ")</f>
        <v> </v>
      </c>
      <c r="Q180" s="17" t="str">
        <f aca="false">IF((E180="o"),H180," ")</f>
        <v> </v>
      </c>
      <c r="R180" s="17" t="str">
        <f aca="false">IF((E180="d"),H180," ")</f>
        <v> </v>
      </c>
      <c r="S180" s="17" t="str">
        <f aca="false">IF((E180="w"),H180," ")</f>
        <v> </v>
      </c>
      <c r="T180" s="17" t="str">
        <f aca="false">IF((E180="r"),H180," ")</f>
        <v> </v>
      </c>
      <c r="U180" s="17" t="str">
        <f aca="false">IF((E180="p"),H180," ")</f>
        <v> </v>
      </c>
      <c r="V180" s="17" t="str">
        <f aca="false">IF((E180="t"),H180," ")</f>
        <v> </v>
      </c>
      <c r="W180" s="17" t="str">
        <f aca="false">IF((E180="q"),H180," ")</f>
        <v> </v>
      </c>
      <c r="X180" s="17" t="str">
        <f aca="false">IF((E180="m"),H180," ")</f>
        <v> </v>
      </c>
      <c r="Y180" s="17" t="str">
        <f aca="false">IF((E180="u"),H180," ")</f>
        <v> </v>
      </c>
      <c r="Z180" s="17" t="str">
        <f aca="false">IF((E180="a"),H180," ")</f>
        <v> </v>
      </c>
      <c r="AA180" s="17" t="str">
        <f aca="false">IF((E180="g"),H180," ")</f>
        <v> </v>
      </c>
      <c r="AB180" s="17" t="str">
        <f aca="false">IF((E180="h"),H180," ")</f>
        <v> </v>
      </c>
      <c r="AC180" s="30" t="str">
        <f aca="false">IF((E180="v"),H180," ")</f>
        <v> </v>
      </c>
      <c r="AD180" s="30" t="str">
        <f aca="false">IF((E180="n"),H180," ")</f>
        <v> </v>
      </c>
      <c r="AE180" s="17" t="str">
        <f aca="false">IF((E180="f"),H180," ")</f>
        <v> </v>
      </c>
      <c r="AF180" s="17" t="str">
        <f aca="false">IF((E180="l"),H180," ")</f>
        <v> </v>
      </c>
      <c r="AG180" s="17" t="str">
        <f aca="false">IF((E180="y"),H180," ")</f>
        <v> </v>
      </c>
      <c r="AH180" s="17" t="str">
        <f aca="false">IF((E180="z"),H180," ")</f>
        <v> </v>
      </c>
      <c r="AI180" s="17" t="str">
        <f aca="false">IF((E180="fa"),H180," ")</f>
        <v> </v>
      </c>
      <c r="AJ180" s="17" t="str">
        <f aca="false">IF((E180="e"),H180," ")</f>
        <v> </v>
      </c>
    </row>
    <row r="181" customFormat="false" ht="12" hidden="false" customHeight="false" outlineLevel="0" collapsed="false">
      <c r="A181" s="28"/>
      <c r="E181" s="2" t="str">
        <f aca="false">IF((F181&lt;&gt;0),"Enter Letter"," ")</f>
        <v> </v>
      </c>
      <c r="F181" s="30"/>
      <c r="G181" s="6" t="str">
        <f aca="false">IF(F181&lt;&gt;0,F181*G$2/(100+G$2)," ")</f>
        <v> </v>
      </c>
      <c r="H181" s="6" t="str">
        <f aca="false">IF((F181&lt;&gt;0),F181-G181," ")</f>
        <v> </v>
      </c>
      <c r="I181" s="5"/>
      <c r="L181" s="7" t="str">
        <f aca="false">IF(F181&lt;&gt;0,F181-K181," ")</f>
        <v> </v>
      </c>
      <c r="M181" s="8" t="str">
        <f aca="false">IF((F181-K181)&lt;&gt;0,M$1-A181," ")</f>
        <v> </v>
      </c>
      <c r="N181" s="5"/>
      <c r="O181" s="17" t="str">
        <f aca="false">IF((E181="s"),H181," ")</f>
        <v> </v>
      </c>
      <c r="P181" s="17" t="str">
        <f aca="false">IF((E181="c"),H181," ")</f>
        <v> </v>
      </c>
      <c r="Q181" s="17" t="str">
        <f aca="false">IF((E181="o"),H181," ")</f>
        <v> </v>
      </c>
      <c r="R181" s="17" t="str">
        <f aca="false">IF((E181="d"),H181," ")</f>
        <v> </v>
      </c>
      <c r="S181" s="17" t="str">
        <f aca="false">IF((E181="w"),H181," ")</f>
        <v> </v>
      </c>
      <c r="T181" s="17" t="str">
        <f aca="false">IF((E181="r"),H181," ")</f>
        <v> </v>
      </c>
      <c r="U181" s="17" t="str">
        <f aca="false">IF((E181="p"),H181," ")</f>
        <v> </v>
      </c>
      <c r="V181" s="17" t="str">
        <f aca="false">IF((E181="t"),H181," ")</f>
        <v> </v>
      </c>
      <c r="W181" s="17" t="str">
        <f aca="false">IF((E181="q"),H181," ")</f>
        <v> </v>
      </c>
      <c r="X181" s="17" t="str">
        <f aca="false">IF((E181="m"),H181," ")</f>
        <v> </v>
      </c>
      <c r="Y181" s="17" t="str">
        <f aca="false">IF((E181="u"),H181," ")</f>
        <v> </v>
      </c>
      <c r="Z181" s="17" t="str">
        <f aca="false">IF((E181="a"),H181," ")</f>
        <v> </v>
      </c>
      <c r="AA181" s="17" t="str">
        <f aca="false">IF((E181="g"),H181," ")</f>
        <v> </v>
      </c>
      <c r="AB181" s="17" t="str">
        <f aca="false">IF((E181="h"),H181," ")</f>
        <v> </v>
      </c>
      <c r="AC181" s="30" t="str">
        <f aca="false">IF((E181="v"),H181," ")</f>
        <v> </v>
      </c>
      <c r="AD181" s="30" t="str">
        <f aca="false">IF((E181="n"),H181," ")</f>
        <v> </v>
      </c>
      <c r="AE181" s="17" t="str">
        <f aca="false">IF((E181="f"),H181," ")</f>
        <v> </v>
      </c>
      <c r="AF181" s="17" t="str">
        <f aca="false">IF((E181="l"),H181," ")</f>
        <v> </v>
      </c>
      <c r="AG181" s="17" t="str">
        <f aca="false">IF((E181="y"),H181," ")</f>
        <v> </v>
      </c>
      <c r="AH181" s="17" t="str">
        <f aca="false">IF((E181="z"),H181," ")</f>
        <v> </v>
      </c>
      <c r="AI181" s="17" t="str">
        <f aca="false">IF((E181="fa"),H181," ")</f>
        <v> </v>
      </c>
      <c r="AJ181" s="17" t="str">
        <f aca="false">IF((E181="e"),H181," ")</f>
        <v> </v>
      </c>
    </row>
    <row r="182" customFormat="false" ht="12" hidden="false" customHeight="false" outlineLevel="0" collapsed="false">
      <c r="A182" s="28"/>
      <c r="E182" s="2" t="str">
        <f aca="false">IF((F182&lt;&gt;0),"Enter Letter"," ")</f>
        <v> </v>
      </c>
      <c r="F182" s="30"/>
      <c r="G182" s="6" t="str">
        <f aca="false">IF(F182&lt;&gt;0,F182*G$2/(100+G$2)," ")</f>
        <v> </v>
      </c>
      <c r="H182" s="6" t="str">
        <f aca="false">IF((F182&lt;&gt;0),F182-G182," ")</f>
        <v> </v>
      </c>
      <c r="I182" s="5"/>
      <c r="L182" s="7" t="str">
        <f aca="false">IF(F182&lt;&gt;0,F182-K182," ")</f>
        <v> </v>
      </c>
      <c r="M182" s="8" t="str">
        <f aca="false">IF((F182-K182)&lt;&gt;0,M$1-A182," ")</f>
        <v> </v>
      </c>
      <c r="N182" s="5"/>
      <c r="O182" s="17" t="str">
        <f aca="false">IF((E182="s"),H182," ")</f>
        <v> </v>
      </c>
      <c r="P182" s="17" t="str">
        <f aca="false">IF((E182="c"),H182," ")</f>
        <v> </v>
      </c>
      <c r="Q182" s="17" t="str">
        <f aca="false">IF((E182="o"),H182," ")</f>
        <v> </v>
      </c>
      <c r="R182" s="17" t="str">
        <f aca="false">IF((E182="d"),H182," ")</f>
        <v> </v>
      </c>
      <c r="S182" s="17" t="str">
        <f aca="false">IF((E182="w"),H182," ")</f>
        <v> </v>
      </c>
      <c r="T182" s="17" t="str">
        <f aca="false">IF((E182="r"),H182," ")</f>
        <v> </v>
      </c>
      <c r="U182" s="17" t="str">
        <f aca="false">IF((E182="p"),H182," ")</f>
        <v> </v>
      </c>
      <c r="V182" s="17" t="str">
        <f aca="false">IF((E182="t"),H182," ")</f>
        <v> </v>
      </c>
      <c r="W182" s="17" t="str">
        <f aca="false">IF((E182="q"),H182," ")</f>
        <v> </v>
      </c>
      <c r="X182" s="17" t="str">
        <f aca="false">IF((E182="m"),H182," ")</f>
        <v> </v>
      </c>
      <c r="Y182" s="17" t="str">
        <f aca="false">IF((E182="u"),H182," ")</f>
        <v> </v>
      </c>
      <c r="Z182" s="17" t="str">
        <f aca="false">IF((E182="a"),H182," ")</f>
        <v> </v>
      </c>
      <c r="AA182" s="17" t="str">
        <f aca="false">IF((E182="g"),H182," ")</f>
        <v> </v>
      </c>
      <c r="AB182" s="17" t="str">
        <f aca="false">IF((E182="h"),H182," ")</f>
        <v> </v>
      </c>
      <c r="AC182" s="30" t="str">
        <f aca="false">IF((E182="v"),H182," ")</f>
        <v> </v>
      </c>
      <c r="AD182" s="30" t="str">
        <f aca="false">IF((E182="n"),H182," ")</f>
        <v> </v>
      </c>
      <c r="AE182" s="17" t="str">
        <f aca="false">IF((E182="f"),H182," ")</f>
        <v> </v>
      </c>
      <c r="AF182" s="17" t="str">
        <f aca="false">IF((E182="l"),H182," ")</f>
        <v> </v>
      </c>
      <c r="AG182" s="17" t="str">
        <f aca="false">IF((E182="y"),H182," ")</f>
        <v> </v>
      </c>
      <c r="AH182" s="17" t="str">
        <f aca="false">IF((E182="z"),H182," ")</f>
        <v> </v>
      </c>
      <c r="AI182" s="17" t="str">
        <f aca="false">IF((E182="fa"),H182," ")</f>
        <v> </v>
      </c>
      <c r="AJ182" s="17" t="str">
        <f aca="false">IF((E182="e"),H182," ")</f>
        <v> </v>
      </c>
    </row>
    <row r="183" customFormat="false" ht="12" hidden="false" customHeight="false" outlineLevel="0" collapsed="false">
      <c r="A183" s="28"/>
      <c r="E183" s="2" t="str">
        <f aca="false">IF((F183&lt;&gt;0),"Enter Letter"," ")</f>
        <v> </v>
      </c>
      <c r="F183" s="30"/>
      <c r="G183" s="6" t="str">
        <f aca="false">IF(F183&lt;&gt;0,F183*G$2/(100+G$2)," ")</f>
        <v> </v>
      </c>
      <c r="H183" s="6" t="str">
        <f aca="false">IF((F183&lt;&gt;0),F183-G183," ")</f>
        <v> </v>
      </c>
      <c r="I183" s="5"/>
      <c r="L183" s="7" t="str">
        <f aca="false">IF(F183&lt;&gt;0,F183-K183," ")</f>
        <v> </v>
      </c>
      <c r="M183" s="8" t="str">
        <f aca="false">IF((F183-K183)&lt;&gt;0,M$1-A183," ")</f>
        <v> </v>
      </c>
      <c r="N183" s="5"/>
      <c r="O183" s="17" t="str">
        <f aca="false">IF((E183="s"),H183," ")</f>
        <v> </v>
      </c>
      <c r="P183" s="17" t="str">
        <f aca="false">IF((E183="c"),H183," ")</f>
        <v> </v>
      </c>
      <c r="Q183" s="17" t="str">
        <f aca="false">IF((E183="o"),H183," ")</f>
        <v> </v>
      </c>
      <c r="R183" s="17" t="str">
        <f aca="false">IF((E183="d"),H183," ")</f>
        <v> </v>
      </c>
      <c r="S183" s="17" t="str">
        <f aca="false">IF((E183="w"),H183," ")</f>
        <v> </v>
      </c>
      <c r="T183" s="17" t="str">
        <f aca="false">IF((E183="r"),H183," ")</f>
        <v> </v>
      </c>
      <c r="U183" s="17" t="str">
        <f aca="false">IF((E183="p"),H183," ")</f>
        <v> </v>
      </c>
      <c r="V183" s="17" t="str">
        <f aca="false">IF((E183="t"),H183," ")</f>
        <v> </v>
      </c>
      <c r="W183" s="17" t="str">
        <f aca="false">IF((E183="q"),H183," ")</f>
        <v> </v>
      </c>
      <c r="X183" s="17" t="str">
        <f aca="false">IF((E183="m"),H183," ")</f>
        <v> </v>
      </c>
      <c r="Y183" s="17" t="str">
        <f aca="false">IF((E183="u"),H183," ")</f>
        <v> </v>
      </c>
      <c r="Z183" s="17" t="str">
        <f aca="false">IF((E183="a"),H183," ")</f>
        <v> </v>
      </c>
      <c r="AA183" s="17" t="str">
        <f aca="false">IF((E183="g"),H183," ")</f>
        <v> </v>
      </c>
      <c r="AB183" s="17" t="str">
        <f aca="false">IF((E183="h"),H183," ")</f>
        <v> </v>
      </c>
      <c r="AC183" s="30" t="str">
        <f aca="false">IF((E183="v"),H183," ")</f>
        <v> </v>
      </c>
      <c r="AD183" s="30" t="str">
        <f aca="false">IF((E183="n"),H183," ")</f>
        <v> </v>
      </c>
      <c r="AE183" s="17" t="str">
        <f aca="false">IF((E183="f"),H183," ")</f>
        <v> </v>
      </c>
      <c r="AF183" s="17" t="str">
        <f aca="false">IF((E183="l"),H183," ")</f>
        <v> </v>
      </c>
      <c r="AG183" s="17" t="str">
        <f aca="false">IF((E183="y"),H183," ")</f>
        <v> </v>
      </c>
      <c r="AH183" s="17" t="str">
        <f aca="false">IF((E183="z"),H183," ")</f>
        <v> </v>
      </c>
      <c r="AI183" s="17" t="str">
        <f aca="false">IF((E183="fa"),H183," ")</f>
        <v> </v>
      </c>
      <c r="AJ183" s="17" t="str">
        <f aca="false">IF((E183="e"),H183," ")</f>
        <v> </v>
      </c>
    </row>
    <row r="184" customFormat="false" ht="12" hidden="false" customHeight="false" outlineLevel="0" collapsed="false">
      <c r="A184" s="28"/>
      <c r="E184" s="2" t="str">
        <f aca="false">IF((F184&lt;&gt;0),"Enter Letter"," ")</f>
        <v> </v>
      </c>
      <c r="F184" s="30"/>
      <c r="G184" s="6" t="str">
        <f aca="false">IF(F184&lt;&gt;0,F184*G$2/(100+G$2)," ")</f>
        <v> </v>
      </c>
      <c r="H184" s="6" t="str">
        <f aca="false">IF((F184&lt;&gt;0),F184-G184," ")</f>
        <v> </v>
      </c>
      <c r="I184" s="5"/>
      <c r="L184" s="7" t="str">
        <f aca="false">IF(F184&lt;&gt;0,F184-K184," ")</f>
        <v> </v>
      </c>
      <c r="M184" s="8" t="str">
        <f aca="false">IF((F184-K184)&lt;&gt;0,M$1-A184," ")</f>
        <v> </v>
      </c>
      <c r="N184" s="5"/>
      <c r="O184" s="17" t="str">
        <f aca="false">IF((E184="s"),H184," ")</f>
        <v> </v>
      </c>
      <c r="P184" s="17" t="str">
        <f aca="false">IF((E184="c"),H184," ")</f>
        <v> </v>
      </c>
      <c r="Q184" s="17" t="str">
        <f aca="false">IF((E184="o"),H184," ")</f>
        <v> </v>
      </c>
      <c r="R184" s="17" t="str">
        <f aca="false">IF((E184="d"),H184," ")</f>
        <v> </v>
      </c>
      <c r="S184" s="17" t="str">
        <f aca="false">IF((E184="w"),H184," ")</f>
        <v> </v>
      </c>
      <c r="T184" s="17" t="str">
        <f aca="false">IF((E184="r"),H184," ")</f>
        <v> </v>
      </c>
      <c r="U184" s="17" t="str">
        <f aca="false">IF((E184="p"),H184," ")</f>
        <v> </v>
      </c>
      <c r="V184" s="17" t="str">
        <f aca="false">IF((E184="t"),H184," ")</f>
        <v> </v>
      </c>
      <c r="W184" s="17" t="str">
        <f aca="false">IF((E184="q"),H184," ")</f>
        <v> </v>
      </c>
      <c r="X184" s="17" t="str">
        <f aca="false">IF((E184="m"),H184," ")</f>
        <v> </v>
      </c>
      <c r="Y184" s="17" t="str">
        <f aca="false">IF((E184="u"),H184," ")</f>
        <v> </v>
      </c>
      <c r="Z184" s="17" t="str">
        <f aca="false">IF((E184="a"),H184," ")</f>
        <v> </v>
      </c>
      <c r="AA184" s="17" t="str">
        <f aca="false">IF((E184="g"),H184," ")</f>
        <v> </v>
      </c>
      <c r="AB184" s="17" t="str">
        <f aca="false">IF((E184="h"),H184," ")</f>
        <v> </v>
      </c>
      <c r="AC184" s="30" t="str">
        <f aca="false">IF((E184="v"),H184," ")</f>
        <v> </v>
      </c>
      <c r="AD184" s="30" t="str">
        <f aca="false">IF((E184="n"),H184," ")</f>
        <v> </v>
      </c>
      <c r="AE184" s="17" t="str">
        <f aca="false">IF((E184="f"),H184," ")</f>
        <v> </v>
      </c>
      <c r="AF184" s="17" t="str">
        <f aca="false">IF((E184="l"),H184," ")</f>
        <v> </v>
      </c>
      <c r="AG184" s="17" t="str">
        <f aca="false">IF((E184="y"),H184," ")</f>
        <v> </v>
      </c>
      <c r="AH184" s="17" t="str">
        <f aca="false">IF((E184="z"),H184," ")</f>
        <v> </v>
      </c>
      <c r="AI184" s="17" t="str">
        <f aca="false">IF((E184="fa"),H184," ")</f>
        <v> </v>
      </c>
      <c r="AJ184" s="17" t="str">
        <f aca="false">IF((E184="e"),H184," ")</f>
        <v> </v>
      </c>
    </row>
    <row r="185" customFormat="false" ht="12" hidden="false" customHeight="false" outlineLevel="0" collapsed="false">
      <c r="A185" s="28"/>
      <c r="E185" s="2" t="str">
        <f aca="false">IF((F185&lt;&gt;0),"Enter Letter"," ")</f>
        <v> </v>
      </c>
      <c r="F185" s="30"/>
      <c r="G185" s="6" t="str">
        <f aca="false">IF(F185&lt;&gt;0,F185*G$2/(100+G$2)," ")</f>
        <v> </v>
      </c>
      <c r="H185" s="6" t="str">
        <f aca="false">IF((F185&lt;&gt;0),F185-G185," ")</f>
        <v> </v>
      </c>
      <c r="I185" s="5"/>
      <c r="L185" s="7" t="str">
        <f aca="false">IF(F185&lt;&gt;0,F185-K185," ")</f>
        <v> </v>
      </c>
      <c r="M185" s="8" t="str">
        <f aca="false">IF((F185-K185)&lt;&gt;0,M$1-A185," ")</f>
        <v> </v>
      </c>
      <c r="N185" s="5"/>
      <c r="O185" s="17" t="str">
        <f aca="false">IF((E185="s"),H185," ")</f>
        <v> </v>
      </c>
      <c r="P185" s="17" t="str">
        <f aca="false">IF((E185="c"),H185," ")</f>
        <v> </v>
      </c>
      <c r="Q185" s="17" t="str">
        <f aca="false">IF((E185="o"),H185," ")</f>
        <v> </v>
      </c>
      <c r="R185" s="17" t="str">
        <f aca="false">IF((E185="d"),H185," ")</f>
        <v> </v>
      </c>
      <c r="S185" s="17" t="str">
        <f aca="false">IF((E185="w"),H185," ")</f>
        <v> </v>
      </c>
      <c r="T185" s="17" t="str">
        <f aca="false">IF((E185="r"),H185," ")</f>
        <v> </v>
      </c>
      <c r="U185" s="17" t="str">
        <f aca="false">IF((E185="p"),H185," ")</f>
        <v> </v>
      </c>
      <c r="V185" s="17" t="str">
        <f aca="false">IF((E185="t"),H185," ")</f>
        <v> </v>
      </c>
      <c r="W185" s="17" t="str">
        <f aca="false">IF((E185="q"),H185," ")</f>
        <v> </v>
      </c>
      <c r="X185" s="17" t="str">
        <f aca="false">IF((E185="m"),H185," ")</f>
        <v> </v>
      </c>
      <c r="Y185" s="17" t="str">
        <f aca="false">IF((E185="u"),H185," ")</f>
        <v> </v>
      </c>
      <c r="Z185" s="17" t="str">
        <f aca="false">IF((E185="a"),H185," ")</f>
        <v> </v>
      </c>
      <c r="AA185" s="17" t="str">
        <f aca="false">IF((E185="g"),H185," ")</f>
        <v> </v>
      </c>
      <c r="AB185" s="17" t="str">
        <f aca="false">IF((E185="h"),H185," ")</f>
        <v> </v>
      </c>
      <c r="AC185" s="30" t="str">
        <f aca="false">IF((E185="v"),H185," ")</f>
        <v> </v>
      </c>
      <c r="AD185" s="30" t="str">
        <f aca="false">IF((E185="n"),H185," ")</f>
        <v> </v>
      </c>
      <c r="AE185" s="17" t="str">
        <f aca="false">IF((E185="f"),H185," ")</f>
        <v> </v>
      </c>
      <c r="AF185" s="17" t="str">
        <f aca="false">IF((E185="l"),H185," ")</f>
        <v> </v>
      </c>
      <c r="AG185" s="17" t="str">
        <f aca="false">IF((E185="y"),H185," ")</f>
        <v> </v>
      </c>
      <c r="AH185" s="17" t="str">
        <f aca="false">IF((E185="z"),H185," ")</f>
        <v> </v>
      </c>
      <c r="AI185" s="17" t="str">
        <f aca="false">IF((E185="fa"),H185," ")</f>
        <v> </v>
      </c>
      <c r="AJ185" s="17" t="str">
        <f aca="false">IF((E185="e"),H185," ")</f>
        <v> </v>
      </c>
    </row>
    <row r="186" customFormat="false" ht="12" hidden="false" customHeight="false" outlineLevel="0" collapsed="false">
      <c r="A186" s="28"/>
      <c r="E186" s="2" t="str">
        <f aca="false">IF((F186&lt;&gt;0),"Enter Letter"," ")</f>
        <v> </v>
      </c>
      <c r="F186" s="30"/>
      <c r="G186" s="6" t="str">
        <f aca="false">IF(F186&lt;&gt;0,F186*G$2/(100+G$2)," ")</f>
        <v> </v>
      </c>
      <c r="H186" s="6" t="str">
        <f aca="false">IF((F186&lt;&gt;0),F186-G186," ")</f>
        <v> </v>
      </c>
      <c r="I186" s="5"/>
      <c r="L186" s="7" t="str">
        <f aca="false">IF(F186&lt;&gt;0,F186-K186," ")</f>
        <v> </v>
      </c>
      <c r="M186" s="8" t="str">
        <f aca="false">IF((F186-K186)&lt;&gt;0,M$1-A186," ")</f>
        <v> </v>
      </c>
      <c r="N186" s="5"/>
      <c r="O186" s="17" t="str">
        <f aca="false">IF((E186="s"),H186," ")</f>
        <v> </v>
      </c>
      <c r="P186" s="17" t="str">
        <f aca="false">IF((E186="c"),H186," ")</f>
        <v> </v>
      </c>
      <c r="Q186" s="17" t="str">
        <f aca="false">IF((E186="o"),H186," ")</f>
        <v> </v>
      </c>
      <c r="R186" s="17" t="str">
        <f aca="false">IF((E186="d"),H186," ")</f>
        <v> </v>
      </c>
      <c r="S186" s="17" t="str">
        <f aca="false">IF((E186="w"),H186," ")</f>
        <v> </v>
      </c>
      <c r="T186" s="17" t="str">
        <f aca="false">IF((E186="r"),H186," ")</f>
        <v> </v>
      </c>
      <c r="U186" s="17" t="str">
        <f aca="false">IF((E186="p"),H186," ")</f>
        <v> </v>
      </c>
      <c r="V186" s="17" t="str">
        <f aca="false">IF((E186="t"),H186," ")</f>
        <v> </v>
      </c>
      <c r="W186" s="17" t="str">
        <f aca="false">IF((E186="q"),H186," ")</f>
        <v> </v>
      </c>
      <c r="X186" s="17" t="str">
        <f aca="false">IF((E186="m"),H186," ")</f>
        <v> </v>
      </c>
      <c r="Y186" s="17" t="str">
        <f aca="false">IF((E186="u"),H186," ")</f>
        <v> </v>
      </c>
      <c r="Z186" s="17" t="str">
        <f aca="false">IF((E186="a"),H186," ")</f>
        <v> </v>
      </c>
      <c r="AA186" s="17" t="str">
        <f aca="false">IF((E186="g"),H186," ")</f>
        <v> </v>
      </c>
      <c r="AB186" s="17" t="str">
        <f aca="false">IF((E186="h"),H186," ")</f>
        <v> </v>
      </c>
      <c r="AC186" s="30" t="str">
        <f aca="false">IF((E186="v"),H186," ")</f>
        <v> </v>
      </c>
      <c r="AD186" s="30" t="str">
        <f aca="false">IF((E186="n"),H186," ")</f>
        <v> </v>
      </c>
      <c r="AE186" s="17" t="str">
        <f aca="false">IF((E186="f"),H186," ")</f>
        <v> </v>
      </c>
      <c r="AF186" s="17" t="str">
        <f aca="false">IF((E186="l"),H186," ")</f>
        <v> </v>
      </c>
      <c r="AG186" s="17" t="str">
        <f aca="false">IF((E186="y"),H186," ")</f>
        <v> </v>
      </c>
      <c r="AH186" s="17" t="str">
        <f aca="false">IF((E186="z"),H186," ")</f>
        <v> </v>
      </c>
      <c r="AI186" s="17" t="str">
        <f aca="false">IF((E186="fa"),H186," ")</f>
        <v> </v>
      </c>
      <c r="AJ186" s="17" t="str">
        <f aca="false">IF((E186="e"),H186," ")</f>
        <v> </v>
      </c>
    </row>
    <row r="187" customFormat="false" ht="12" hidden="false" customHeight="false" outlineLevel="0" collapsed="false">
      <c r="A187" s="28"/>
      <c r="E187" s="2" t="str">
        <f aca="false">IF((F187&lt;&gt;0),"Enter Letter"," ")</f>
        <v> </v>
      </c>
      <c r="F187" s="30"/>
      <c r="G187" s="6" t="str">
        <f aca="false">IF(F187&lt;&gt;0,F187*G$2/(100+G$2)," ")</f>
        <v> </v>
      </c>
      <c r="H187" s="6" t="str">
        <f aca="false">IF((F187&lt;&gt;0),F187-G187," ")</f>
        <v> </v>
      </c>
      <c r="I187" s="5"/>
      <c r="L187" s="7" t="str">
        <f aca="false">IF(F187&lt;&gt;0,F187-K187," ")</f>
        <v> </v>
      </c>
      <c r="M187" s="8" t="str">
        <f aca="false">IF((F187-K187)&lt;&gt;0,M$1-A187," ")</f>
        <v> </v>
      </c>
      <c r="N187" s="5"/>
      <c r="O187" s="17" t="str">
        <f aca="false">IF((E187="s"),H187," ")</f>
        <v> </v>
      </c>
      <c r="P187" s="17" t="str">
        <f aca="false">IF((E187="c"),H187," ")</f>
        <v> </v>
      </c>
      <c r="Q187" s="17" t="str">
        <f aca="false">IF((E187="o"),H187," ")</f>
        <v> </v>
      </c>
      <c r="R187" s="17" t="str">
        <f aca="false">IF((E187="d"),H187," ")</f>
        <v> </v>
      </c>
      <c r="S187" s="17" t="str">
        <f aca="false">IF((E187="w"),H187," ")</f>
        <v> </v>
      </c>
      <c r="T187" s="17" t="str">
        <f aca="false">IF((E187="r"),H187," ")</f>
        <v> </v>
      </c>
      <c r="U187" s="17" t="str">
        <f aca="false">IF((E187="p"),H187," ")</f>
        <v> </v>
      </c>
      <c r="V187" s="17" t="str">
        <f aca="false">IF((E187="t"),H187," ")</f>
        <v> </v>
      </c>
      <c r="W187" s="17" t="str">
        <f aca="false">IF((E187="q"),H187," ")</f>
        <v> </v>
      </c>
      <c r="X187" s="17" t="str">
        <f aca="false">IF((E187="m"),H187," ")</f>
        <v> </v>
      </c>
      <c r="Y187" s="17" t="str">
        <f aca="false">IF((E187="u"),H187," ")</f>
        <v> </v>
      </c>
      <c r="Z187" s="17" t="str">
        <f aca="false">IF((E187="a"),H187," ")</f>
        <v> </v>
      </c>
      <c r="AA187" s="17" t="str">
        <f aca="false">IF((E187="g"),H187," ")</f>
        <v> </v>
      </c>
      <c r="AB187" s="17" t="str">
        <f aca="false">IF((E187="h"),H187," ")</f>
        <v> </v>
      </c>
      <c r="AC187" s="30" t="str">
        <f aca="false">IF((E187="v"),H187," ")</f>
        <v> </v>
      </c>
      <c r="AD187" s="30" t="str">
        <f aca="false">IF((E187="n"),H187," ")</f>
        <v> </v>
      </c>
      <c r="AE187" s="17" t="str">
        <f aca="false">IF((E187="f"),H187," ")</f>
        <v> </v>
      </c>
      <c r="AF187" s="17" t="str">
        <f aca="false">IF((E187="l"),H187," ")</f>
        <v> </v>
      </c>
      <c r="AG187" s="17" t="str">
        <f aca="false">IF((E187="y"),H187," ")</f>
        <v> </v>
      </c>
      <c r="AH187" s="17" t="str">
        <f aca="false">IF((E187="z"),H187," ")</f>
        <v> </v>
      </c>
      <c r="AI187" s="17" t="str">
        <f aca="false">IF((E187="fa"),H187," ")</f>
        <v> </v>
      </c>
      <c r="AJ187" s="17" t="str">
        <f aca="false">IF((E187="e"),H187," ")</f>
        <v> </v>
      </c>
    </row>
    <row r="188" customFormat="false" ht="12" hidden="false" customHeight="false" outlineLevel="0" collapsed="false">
      <c r="A188" s="28"/>
      <c r="E188" s="2" t="str">
        <f aca="false">IF((F188&lt;&gt;0),"Enter Letter"," ")</f>
        <v> </v>
      </c>
      <c r="F188" s="30"/>
      <c r="G188" s="6" t="str">
        <f aca="false">IF(F188&lt;&gt;0,F188*G$2/(100+G$2)," ")</f>
        <v> </v>
      </c>
      <c r="H188" s="6" t="str">
        <f aca="false">IF((F188&lt;&gt;0),F188-G188," ")</f>
        <v> </v>
      </c>
      <c r="I188" s="5"/>
      <c r="L188" s="7" t="str">
        <f aca="false">IF(F188&lt;&gt;0,F188-K188," ")</f>
        <v> </v>
      </c>
      <c r="M188" s="8" t="str">
        <f aca="false">IF((F188-K188)&lt;&gt;0,M$1-A188," ")</f>
        <v> </v>
      </c>
      <c r="N188" s="5"/>
      <c r="O188" s="17" t="str">
        <f aca="false">IF((E188="s"),H188," ")</f>
        <v> </v>
      </c>
      <c r="P188" s="17" t="str">
        <f aca="false">IF((E188="c"),H188," ")</f>
        <v> </v>
      </c>
      <c r="Q188" s="17" t="str">
        <f aca="false">IF((E188="o"),H188," ")</f>
        <v> </v>
      </c>
      <c r="R188" s="17" t="str">
        <f aca="false">IF((E188="d"),H188," ")</f>
        <v> </v>
      </c>
      <c r="S188" s="17" t="str">
        <f aca="false">IF((E188="w"),H188," ")</f>
        <v> </v>
      </c>
      <c r="T188" s="17" t="str">
        <f aca="false">IF((E188="r"),H188," ")</f>
        <v> </v>
      </c>
      <c r="U188" s="17" t="str">
        <f aca="false">IF((E188="p"),H188," ")</f>
        <v> </v>
      </c>
      <c r="V188" s="17" t="str">
        <f aca="false">IF((E188="t"),H188," ")</f>
        <v> </v>
      </c>
      <c r="W188" s="17" t="str">
        <f aca="false">IF((E188="q"),H188," ")</f>
        <v> </v>
      </c>
      <c r="X188" s="17" t="str">
        <f aca="false">IF((E188="m"),H188," ")</f>
        <v> </v>
      </c>
      <c r="Y188" s="17" t="str">
        <f aca="false">IF((E188="u"),H188," ")</f>
        <v> </v>
      </c>
      <c r="Z188" s="17" t="str">
        <f aca="false">IF((E188="a"),H188," ")</f>
        <v> </v>
      </c>
      <c r="AA188" s="17" t="str">
        <f aca="false">IF((E188="g"),H188," ")</f>
        <v> </v>
      </c>
      <c r="AB188" s="17" t="str">
        <f aca="false">IF((E188="h"),H188," ")</f>
        <v> </v>
      </c>
      <c r="AC188" s="30" t="str">
        <f aca="false">IF((E188="v"),H188," ")</f>
        <v> </v>
      </c>
      <c r="AD188" s="30" t="str">
        <f aca="false">IF((E188="n"),H188," ")</f>
        <v> </v>
      </c>
      <c r="AE188" s="17" t="str">
        <f aca="false">IF((E188="f"),H188," ")</f>
        <v> </v>
      </c>
      <c r="AF188" s="17" t="str">
        <f aca="false">IF((E188="l"),H188," ")</f>
        <v> </v>
      </c>
      <c r="AG188" s="17" t="str">
        <f aca="false">IF((E188="y"),H188," ")</f>
        <v> </v>
      </c>
      <c r="AH188" s="17" t="str">
        <f aca="false">IF((E188="z"),H188," ")</f>
        <v> </v>
      </c>
      <c r="AI188" s="17" t="str">
        <f aca="false">IF((E188="fa"),H188," ")</f>
        <v> </v>
      </c>
      <c r="AJ188" s="17" t="str">
        <f aca="false">IF((E188="e"),H188," ")</f>
        <v> </v>
      </c>
    </row>
    <row r="189" customFormat="false" ht="12" hidden="false" customHeight="false" outlineLevel="0" collapsed="false">
      <c r="A189" s="28"/>
      <c r="E189" s="2" t="str">
        <f aca="false">IF((F189&lt;&gt;0),"Enter Letter"," ")</f>
        <v> </v>
      </c>
      <c r="F189" s="30"/>
      <c r="G189" s="6" t="str">
        <f aca="false">IF(F189&lt;&gt;0,F189*G$2/(100+G$2)," ")</f>
        <v> </v>
      </c>
      <c r="H189" s="6" t="str">
        <f aca="false">IF((F189&lt;&gt;0),F189-G189," ")</f>
        <v> </v>
      </c>
      <c r="I189" s="5"/>
      <c r="L189" s="7" t="str">
        <f aca="false">IF(F189&lt;&gt;0,F189-K189," ")</f>
        <v> </v>
      </c>
      <c r="M189" s="8" t="str">
        <f aca="false">IF((F189-K189)&lt;&gt;0,M$1-A189," ")</f>
        <v> </v>
      </c>
      <c r="N189" s="5"/>
      <c r="O189" s="17" t="str">
        <f aca="false">IF((E189="s"),H189," ")</f>
        <v> </v>
      </c>
      <c r="P189" s="17" t="str">
        <f aca="false">IF((E189="c"),H189," ")</f>
        <v> </v>
      </c>
      <c r="Q189" s="17" t="str">
        <f aca="false">IF((E189="o"),H189," ")</f>
        <v> </v>
      </c>
      <c r="R189" s="17" t="str">
        <f aca="false">IF((E189="d"),H189," ")</f>
        <v> </v>
      </c>
      <c r="S189" s="17" t="str">
        <f aca="false">IF((E189="w"),H189," ")</f>
        <v> </v>
      </c>
      <c r="T189" s="17" t="str">
        <f aca="false">IF((E189="r"),H189," ")</f>
        <v> </v>
      </c>
      <c r="U189" s="17" t="str">
        <f aca="false">IF((E189="p"),H189," ")</f>
        <v> </v>
      </c>
      <c r="V189" s="17" t="str">
        <f aca="false">IF((E189="t"),H189," ")</f>
        <v> </v>
      </c>
      <c r="W189" s="17" t="str">
        <f aca="false">IF((E189="q"),H189," ")</f>
        <v> </v>
      </c>
      <c r="X189" s="17" t="str">
        <f aca="false">IF((E189="m"),H189," ")</f>
        <v> </v>
      </c>
      <c r="Y189" s="17" t="str">
        <f aca="false">IF((E189="u"),H189," ")</f>
        <v> </v>
      </c>
      <c r="Z189" s="17" t="str">
        <f aca="false">IF((E189="a"),H189," ")</f>
        <v> </v>
      </c>
      <c r="AA189" s="17" t="str">
        <f aca="false">IF((E189="g"),H189," ")</f>
        <v> </v>
      </c>
      <c r="AB189" s="17" t="str">
        <f aca="false">IF((E189="h"),H189," ")</f>
        <v> </v>
      </c>
      <c r="AC189" s="30" t="str">
        <f aca="false">IF((E189="v"),H189," ")</f>
        <v> </v>
      </c>
      <c r="AD189" s="30" t="str">
        <f aca="false">IF((E189="n"),H189," ")</f>
        <v> </v>
      </c>
      <c r="AE189" s="17" t="str">
        <f aca="false">IF((E189="f"),H189," ")</f>
        <v> </v>
      </c>
      <c r="AF189" s="17" t="str">
        <f aca="false">IF((E189="l"),H189," ")</f>
        <v> </v>
      </c>
      <c r="AG189" s="17" t="str">
        <f aca="false">IF((E189="y"),H189," ")</f>
        <v> </v>
      </c>
      <c r="AH189" s="17" t="str">
        <f aca="false">IF((E189="z"),H189," ")</f>
        <v> </v>
      </c>
      <c r="AI189" s="17" t="str">
        <f aca="false">IF((E189="fa"),H189," ")</f>
        <v> </v>
      </c>
      <c r="AJ189" s="17" t="str">
        <f aca="false">IF((E189="e"),H189," ")</f>
        <v> </v>
      </c>
    </row>
    <row r="190" customFormat="false" ht="12" hidden="false" customHeight="false" outlineLevel="0" collapsed="false">
      <c r="A190" s="28"/>
      <c r="E190" s="2" t="str">
        <f aca="false">IF((F190&lt;&gt;0),"Enter Letter"," ")</f>
        <v> </v>
      </c>
      <c r="F190" s="30"/>
      <c r="G190" s="6" t="str">
        <f aca="false">IF(F190&lt;&gt;0,F190*G$2/(100+G$2)," ")</f>
        <v> </v>
      </c>
      <c r="H190" s="6" t="str">
        <f aca="false">IF((F190&lt;&gt;0),F190-G190," ")</f>
        <v> </v>
      </c>
      <c r="I190" s="5"/>
      <c r="L190" s="7" t="str">
        <f aca="false">IF(F190&lt;&gt;0,F190-K190," ")</f>
        <v> </v>
      </c>
      <c r="M190" s="8" t="str">
        <f aca="false">IF((F190-K190)&lt;&gt;0,M$1-A190," ")</f>
        <v> </v>
      </c>
      <c r="N190" s="5"/>
      <c r="O190" s="17" t="str">
        <f aca="false">IF((E190="s"),H190," ")</f>
        <v> </v>
      </c>
      <c r="P190" s="17" t="str">
        <f aca="false">IF((E190="c"),H190," ")</f>
        <v> </v>
      </c>
      <c r="Q190" s="17" t="str">
        <f aca="false">IF((E190="o"),H190," ")</f>
        <v> </v>
      </c>
      <c r="R190" s="17" t="str">
        <f aca="false">IF((E190="d"),H190," ")</f>
        <v> </v>
      </c>
      <c r="S190" s="17" t="str">
        <f aca="false">IF((E190="w"),H190," ")</f>
        <v> </v>
      </c>
      <c r="T190" s="17" t="str">
        <f aca="false">IF((E190="r"),H190," ")</f>
        <v> </v>
      </c>
      <c r="U190" s="17" t="str">
        <f aca="false">IF((E190="p"),H190," ")</f>
        <v> </v>
      </c>
      <c r="V190" s="17" t="str">
        <f aca="false">IF((E190="t"),H190," ")</f>
        <v> </v>
      </c>
      <c r="W190" s="17" t="str">
        <f aca="false">IF((E190="q"),H190," ")</f>
        <v> </v>
      </c>
      <c r="X190" s="17" t="str">
        <f aca="false">IF((E190="m"),H190," ")</f>
        <v> </v>
      </c>
      <c r="Y190" s="17" t="str">
        <f aca="false">IF((E190="u"),H190," ")</f>
        <v> </v>
      </c>
      <c r="Z190" s="17" t="str">
        <f aca="false">IF((E190="a"),H190," ")</f>
        <v> </v>
      </c>
      <c r="AA190" s="17" t="str">
        <f aca="false">IF((E190="g"),H190," ")</f>
        <v> </v>
      </c>
      <c r="AB190" s="17" t="str">
        <f aca="false">IF((E190="h"),H190," ")</f>
        <v> </v>
      </c>
      <c r="AC190" s="30" t="str">
        <f aca="false">IF((E190="v"),H190," ")</f>
        <v> </v>
      </c>
      <c r="AD190" s="30" t="str">
        <f aca="false">IF((E190="n"),H190," ")</f>
        <v> </v>
      </c>
      <c r="AE190" s="17" t="str">
        <f aca="false">IF((E190="f"),H190," ")</f>
        <v> </v>
      </c>
      <c r="AF190" s="17" t="str">
        <f aca="false">IF((E190="l"),H190," ")</f>
        <v> </v>
      </c>
      <c r="AG190" s="17" t="str">
        <f aca="false">IF((E190="y"),H190," ")</f>
        <v> </v>
      </c>
      <c r="AH190" s="17" t="str">
        <f aca="false">IF((E190="z"),H190," ")</f>
        <v> </v>
      </c>
      <c r="AI190" s="17" t="str">
        <f aca="false">IF((E190="fa"),H190," ")</f>
        <v> </v>
      </c>
      <c r="AJ190" s="17" t="str">
        <f aca="false">IF((E190="e"),H190," ")</f>
        <v> </v>
      </c>
    </row>
    <row r="191" customFormat="false" ht="12" hidden="false" customHeight="false" outlineLevel="0" collapsed="false">
      <c r="A191" s="28"/>
      <c r="E191" s="2" t="str">
        <f aca="false">IF((F191&lt;&gt;0),"Enter Letter"," ")</f>
        <v> </v>
      </c>
      <c r="F191" s="30"/>
      <c r="G191" s="6" t="str">
        <f aca="false">IF(F191&lt;&gt;0,F191*G$2/(100+G$2)," ")</f>
        <v> </v>
      </c>
      <c r="H191" s="6" t="str">
        <f aca="false">IF((F191&lt;&gt;0),F191-G191," ")</f>
        <v> </v>
      </c>
      <c r="I191" s="5"/>
      <c r="L191" s="7" t="str">
        <f aca="false">IF(F191&lt;&gt;0,F191-K191," ")</f>
        <v> </v>
      </c>
      <c r="M191" s="8" t="str">
        <f aca="false">IF((F191-K191)&lt;&gt;0,M$1-A191," ")</f>
        <v> </v>
      </c>
      <c r="N191" s="5"/>
      <c r="O191" s="17" t="str">
        <f aca="false">IF((E191="s"),H191," ")</f>
        <v> </v>
      </c>
      <c r="P191" s="17" t="str">
        <f aca="false">IF((E191="c"),H191," ")</f>
        <v> </v>
      </c>
      <c r="Q191" s="17" t="str">
        <f aca="false">IF((E191="o"),H191," ")</f>
        <v> </v>
      </c>
      <c r="R191" s="17" t="str">
        <f aca="false">IF((E191="d"),H191," ")</f>
        <v> </v>
      </c>
      <c r="S191" s="17" t="str">
        <f aca="false">IF((E191="w"),H191," ")</f>
        <v> </v>
      </c>
      <c r="T191" s="17" t="str">
        <f aca="false">IF((E191="r"),H191," ")</f>
        <v> </v>
      </c>
      <c r="U191" s="17" t="str">
        <f aca="false">IF((E191="p"),H191," ")</f>
        <v> </v>
      </c>
      <c r="V191" s="17" t="str">
        <f aca="false">IF((E191="t"),H191," ")</f>
        <v> </v>
      </c>
      <c r="W191" s="17" t="str">
        <f aca="false">IF((E191="q"),H191," ")</f>
        <v> </v>
      </c>
      <c r="X191" s="17" t="str">
        <f aca="false">IF((E191="m"),H191," ")</f>
        <v> </v>
      </c>
      <c r="Y191" s="17" t="str">
        <f aca="false">IF((E191="u"),H191," ")</f>
        <v> </v>
      </c>
      <c r="Z191" s="17" t="str">
        <f aca="false">IF((E191="a"),H191," ")</f>
        <v> </v>
      </c>
      <c r="AA191" s="17" t="str">
        <f aca="false">IF((E191="g"),H191," ")</f>
        <v> </v>
      </c>
      <c r="AB191" s="17" t="str">
        <f aca="false">IF((E191="h"),H191," ")</f>
        <v> </v>
      </c>
      <c r="AC191" s="30" t="str">
        <f aca="false">IF((E191="v"),H191," ")</f>
        <v> </v>
      </c>
      <c r="AD191" s="30" t="str">
        <f aca="false">IF((E191="n"),H191," ")</f>
        <v> </v>
      </c>
      <c r="AE191" s="17" t="str">
        <f aca="false">IF((E191="f"),H191," ")</f>
        <v> </v>
      </c>
      <c r="AF191" s="17" t="str">
        <f aca="false">IF((E191="l"),H191," ")</f>
        <v> </v>
      </c>
      <c r="AG191" s="17" t="str">
        <f aca="false">IF((E191="y"),H191," ")</f>
        <v> </v>
      </c>
      <c r="AH191" s="17" t="str">
        <f aca="false">IF((E191="z"),H191," ")</f>
        <v> </v>
      </c>
      <c r="AI191" s="17" t="str">
        <f aca="false">IF((E191="fa"),H191," ")</f>
        <v> </v>
      </c>
      <c r="AJ191" s="17" t="str">
        <f aca="false">IF((E191="e"),H191," ")</f>
        <v> </v>
      </c>
    </row>
    <row r="192" customFormat="false" ht="12" hidden="false" customHeight="false" outlineLevel="0" collapsed="false">
      <c r="A192" s="28"/>
      <c r="E192" s="2" t="str">
        <f aca="false">IF((F192&lt;&gt;0),"Enter Letter"," ")</f>
        <v> </v>
      </c>
      <c r="F192" s="30"/>
      <c r="G192" s="6" t="str">
        <f aca="false">IF(F192&lt;&gt;0,F192*G$2/(100+G$2)," ")</f>
        <v> </v>
      </c>
      <c r="H192" s="6" t="str">
        <f aca="false">IF((F192&lt;&gt;0),F192-G192," ")</f>
        <v> </v>
      </c>
      <c r="I192" s="5"/>
      <c r="L192" s="7" t="str">
        <f aca="false">IF(F192&lt;&gt;0,F192-K192," ")</f>
        <v> </v>
      </c>
      <c r="M192" s="8" t="str">
        <f aca="false">IF((F192-K192)&lt;&gt;0,M$1-A192," ")</f>
        <v> </v>
      </c>
      <c r="N192" s="5"/>
      <c r="O192" s="17" t="str">
        <f aca="false">IF((E192="s"),H192," ")</f>
        <v> </v>
      </c>
      <c r="P192" s="17" t="str">
        <f aca="false">IF((E192="c"),H192," ")</f>
        <v> </v>
      </c>
      <c r="Q192" s="17" t="str">
        <f aca="false">IF((E192="o"),H192," ")</f>
        <v> </v>
      </c>
      <c r="R192" s="17" t="str">
        <f aca="false">IF((E192="d"),H192," ")</f>
        <v> </v>
      </c>
      <c r="S192" s="17" t="str">
        <f aca="false">IF((E192="w"),H192," ")</f>
        <v> </v>
      </c>
      <c r="T192" s="17" t="str">
        <f aca="false">IF((E192="r"),H192," ")</f>
        <v> </v>
      </c>
      <c r="U192" s="17" t="str">
        <f aca="false">IF((E192="p"),H192," ")</f>
        <v> </v>
      </c>
      <c r="V192" s="17" t="str">
        <f aca="false">IF((E192="t"),H192," ")</f>
        <v> </v>
      </c>
      <c r="W192" s="17" t="str">
        <f aca="false">IF((E192="q"),H192," ")</f>
        <v> </v>
      </c>
      <c r="X192" s="17" t="str">
        <f aca="false">IF((E192="m"),H192," ")</f>
        <v> </v>
      </c>
      <c r="Y192" s="17" t="str">
        <f aca="false">IF((E192="u"),H192," ")</f>
        <v> </v>
      </c>
      <c r="Z192" s="17" t="str">
        <f aca="false">IF((E192="a"),H192," ")</f>
        <v> </v>
      </c>
      <c r="AA192" s="17" t="str">
        <f aca="false">IF((E192="g"),H192," ")</f>
        <v> </v>
      </c>
      <c r="AB192" s="17" t="str">
        <f aca="false">IF((E192="h"),H192," ")</f>
        <v> </v>
      </c>
      <c r="AC192" s="30" t="str">
        <f aca="false">IF((E192="v"),H192," ")</f>
        <v> </v>
      </c>
      <c r="AD192" s="30" t="str">
        <f aca="false">IF((E192="n"),H192," ")</f>
        <v> </v>
      </c>
      <c r="AE192" s="17" t="str">
        <f aca="false">IF((E192="f"),H192," ")</f>
        <v> </v>
      </c>
      <c r="AF192" s="17" t="str">
        <f aca="false">IF((E192="l"),H192," ")</f>
        <v> </v>
      </c>
      <c r="AG192" s="17" t="str">
        <f aca="false">IF((E192="y"),H192," ")</f>
        <v> </v>
      </c>
      <c r="AH192" s="17" t="str">
        <f aca="false">IF((E192="z"),H192," ")</f>
        <v> </v>
      </c>
      <c r="AI192" s="17" t="str">
        <f aca="false">IF((E192="fa"),H192," ")</f>
        <v> </v>
      </c>
      <c r="AJ192" s="17" t="str">
        <f aca="false">IF((E192="e"),H192," ")</f>
        <v> </v>
      </c>
    </row>
    <row r="193" customFormat="false" ht="12" hidden="false" customHeight="false" outlineLevel="0" collapsed="false">
      <c r="A193" s="28"/>
      <c r="E193" s="2" t="str">
        <f aca="false">IF((F193&lt;&gt;0),"Enter Letter"," ")</f>
        <v> </v>
      </c>
      <c r="F193" s="30"/>
      <c r="G193" s="6" t="str">
        <f aca="false">IF(F193&lt;&gt;0,F193*G$2/(100+G$2)," ")</f>
        <v> </v>
      </c>
      <c r="H193" s="6" t="str">
        <f aca="false">IF((F193&lt;&gt;0),F193-G193," ")</f>
        <v> </v>
      </c>
      <c r="I193" s="5"/>
      <c r="L193" s="7" t="str">
        <f aca="false">IF(F193&lt;&gt;0,F193-K193," ")</f>
        <v> </v>
      </c>
      <c r="M193" s="8" t="str">
        <f aca="false">IF((F193-K193)&lt;&gt;0,M$1-A193," ")</f>
        <v> </v>
      </c>
      <c r="N193" s="5"/>
      <c r="O193" s="17" t="str">
        <f aca="false">IF((E193="s"),H193," ")</f>
        <v> </v>
      </c>
      <c r="P193" s="17" t="str">
        <f aca="false">IF((E193="c"),H193," ")</f>
        <v> </v>
      </c>
      <c r="Q193" s="17" t="str">
        <f aca="false">IF((E193="o"),H193," ")</f>
        <v> </v>
      </c>
      <c r="R193" s="17" t="str">
        <f aca="false">IF((E193="d"),H193," ")</f>
        <v> </v>
      </c>
      <c r="S193" s="17" t="str">
        <f aca="false">IF((E193="w"),H193," ")</f>
        <v> </v>
      </c>
      <c r="T193" s="17" t="str">
        <f aca="false">IF((E193="r"),H193," ")</f>
        <v> </v>
      </c>
      <c r="U193" s="17" t="str">
        <f aca="false">IF((E193="p"),H193," ")</f>
        <v> </v>
      </c>
      <c r="V193" s="17" t="str">
        <f aca="false">IF((E193="t"),H193," ")</f>
        <v> </v>
      </c>
      <c r="W193" s="17" t="str">
        <f aca="false">IF((E193="q"),H193," ")</f>
        <v> </v>
      </c>
      <c r="X193" s="17" t="str">
        <f aca="false">IF((E193="m"),H193," ")</f>
        <v> </v>
      </c>
      <c r="Y193" s="17" t="str">
        <f aca="false">IF((E193="u"),H193," ")</f>
        <v> </v>
      </c>
      <c r="Z193" s="17" t="str">
        <f aca="false">IF((E193="a"),H193," ")</f>
        <v> </v>
      </c>
      <c r="AA193" s="17" t="str">
        <f aca="false">IF((E193="g"),H193," ")</f>
        <v> </v>
      </c>
      <c r="AB193" s="17" t="str">
        <f aca="false">IF((E193="h"),H193," ")</f>
        <v> </v>
      </c>
      <c r="AC193" s="30" t="str">
        <f aca="false">IF((E193="v"),H193," ")</f>
        <v> </v>
      </c>
      <c r="AD193" s="30" t="str">
        <f aca="false">IF((E193="n"),H193," ")</f>
        <v> </v>
      </c>
      <c r="AE193" s="17" t="str">
        <f aca="false">IF((E193="f"),H193," ")</f>
        <v> </v>
      </c>
      <c r="AF193" s="17" t="str">
        <f aca="false">IF((E193="l"),H193," ")</f>
        <v> </v>
      </c>
      <c r="AG193" s="17" t="str">
        <f aca="false">IF((E193="y"),H193," ")</f>
        <v> </v>
      </c>
      <c r="AH193" s="17" t="str">
        <f aca="false">IF((E193="z"),H193," ")</f>
        <v> </v>
      </c>
      <c r="AI193" s="17" t="str">
        <f aca="false">IF((E193="fa"),H193," ")</f>
        <v> </v>
      </c>
      <c r="AJ193" s="17" t="str">
        <f aca="false">IF((E193="e"),H193," ")</f>
        <v> </v>
      </c>
    </row>
    <row r="194" customFormat="false" ht="12" hidden="false" customHeight="false" outlineLevel="0" collapsed="false">
      <c r="A194" s="28"/>
      <c r="E194" s="2" t="str">
        <f aca="false">IF((F194&lt;&gt;0),"Enter Letter"," ")</f>
        <v> </v>
      </c>
      <c r="F194" s="30"/>
      <c r="G194" s="6" t="str">
        <f aca="false">IF(F194&lt;&gt;0,F194*G$2/(100+G$2)," ")</f>
        <v> </v>
      </c>
      <c r="H194" s="6" t="str">
        <f aca="false">IF((F194&lt;&gt;0),F194-G194," ")</f>
        <v> </v>
      </c>
      <c r="I194" s="5"/>
      <c r="L194" s="7" t="str">
        <f aca="false">IF(F194&lt;&gt;0,F194-K194," ")</f>
        <v> </v>
      </c>
      <c r="M194" s="8" t="str">
        <f aca="false">IF((F194-K194)&lt;&gt;0,M$1-A194," ")</f>
        <v> </v>
      </c>
      <c r="N194" s="5"/>
      <c r="O194" s="17" t="str">
        <f aca="false">IF((E194="s"),H194," ")</f>
        <v> </v>
      </c>
      <c r="P194" s="17" t="str">
        <f aca="false">IF((E194="c"),H194," ")</f>
        <v> </v>
      </c>
      <c r="Q194" s="17" t="str">
        <f aca="false">IF((E194="o"),H194," ")</f>
        <v> </v>
      </c>
      <c r="R194" s="17" t="str">
        <f aca="false">IF((E194="d"),H194," ")</f>
        <v> </v>
      </c>
      <c r="S194" s="17" t="str">
        <f aca="false">IF((E194="w"),H194," ")</f>
        <v> </v>
      </c>
      <c r="T194" s="17" t="str">
        <f aca="false">IF((E194="r"),H194," ")</f>
        <v> </v>
      </c>
      <c r="U194" s="17" t="str">
        <f aca="false">IF((E194="p"),H194," ")</f>
        <v> </v>
      </c>
      <c r="V194" s="17" t="str">
        <f aca="false">IF((E194="t"),H194," ")</f>
        <v> </v>
      </c>
      <c r="W194" s="17" t="str">
        <f aca="false">IF((E194="q"),H194," ")</f>
        <v> </v>
      </c>
      <c r="X194" s="17" t="str">
        <f aca="false">IF((E194="m"),H194," ")</f>
        <v> </v>
      </c>
      <c r="Y194" s="17" t="str">
        <f aca="false">IF((E194="u"),H194," ")</f>
        <v> </v>
      </c>
      <c r="Z194" s="17" t="str">
        <f aca="false">IF((E194="a"),H194," ")</f>
        <v> </v>
      </c>
      <c r="AA194" s="17" t="str">
        <f aca="false">IF((E194="g"),H194," ")</f>
        <v> </v>
      </c>
      <c r="AB194" s="17" t="str">
        <f aca="false">IF((E194="h"),H194," ")</f>
        <v> </v>
      </c>
      <c r="AC194" s="30" t="str">
        <f aca="false">IF((E194="v"),H194," ")</f>
        <v> </v>
      </c>
      <c r="AD194" s="30" t="str">
        <f aca="false">IF((E194="n"),H194," ")</f>
        <v> </v>
      </c>
      <c r="AE194" s="17" t="str">
        <f aca="false">IF((E194="f"),H194," ")</f>
        <v> </v>
      </c>
      <c r="AF194" s="17" t="str">
        <f aca="false">IF((E194="l"),H194," ")</f>
        <v> </v>
      </c>
      <c r="AG194" s="17" t="str">
        <f aca="false">IF((E194="y"),H194," ")</f>
        <v> </v>
      </c>
      <c r="AH194" s="17" t="str">
        <f aca="false">IF((E194="z"),H194," ")</f>
        <v> </v>
      </c>
      <c r="AI194" s="17" t="str">
        <f aca="false">IF((E194="fa"),H194," ")</f>
        <v> </v>
      </c>
      <c r="AJ194" s="17" t="str">
        <f aca="false">IF((E194="e"),H194," ")</f>
        <v> </v>
      </c>
    </row>
    <row r="195" customFormat="false" ht="12" hidden="false" customHeight="false" outlineLevel="0" collapsed="false">
      <c r="A195" s="28"/>
      <c r="E195" s="2" t="str">
        <f aca="false">IF((F195&lt;&gt;0),"Enter Letter"," ")</f>
        <v> </v>
      </c>
      <c r="F195" s="30"/>
      <c r="G195" s="6" t="str">
        <f aca="false">IF(F195&lt;&gt;0,F195*G$2/(100+G$2)," ")</f>
        <v> </v>
      </c>
      <c r="H195" s="6" t="str">
        <f aca="false">IF((F195&lt;&gt;0),F195-G195," ")</f>
        <v> </v>
      </c>
      <c r="I195" s="5"/>
      <c r="L195" s="7" t="str">
        <f aca="false">IF(F195&lt;&gt;0,F195-K195," ")</f>
        <v> </v>
      </c>
      <c r="M195" s="8" t="str">
        <f aca="false">IF((F195-K195)&lt;&gt;0,M$1-A195," ")</f>
        <v> </v>
      </c>
      <c r="N195" s="5"/>
      <c r="O195" s="17" t="str">
        <f aca="false">IF((E195="s"),H195," ")</f>
        <v> </v>
      </c>
      <c r="P195" s="17" t="str">
        <f aca="false">IF((E195="c"),H195," ")</f>
        <v> </v>
      </c>
      <c r="Q195" s="17" t="str">
        <f aca="false">IF((E195="o"),H195," ")</f>
        <v> </v>
      </c>
      <c r="R195" s="17" t="str">
        <f aca="false">IF((E195="d"),H195," ")</f>
        <v> </v>
      </c>
      <c r="S195" s="17" t="str">
        <f aca="false">IF((E195="w"),H195," ")</f>
        <v> </v>
      </c>
      <c r="T195" s="17" t="str">
        <f aca="false">IF((E195="r"),H195," ")</f>
        <v> </v>
      </c>
      <c r="U195" s="17" t="str">
        <f aca="false">IF((E195="p"),H195," ")</f>
        <v> </v>
      </c>
      <c r="V195" s="17" t="str">
        <f aca="false">IF((E195="t"),H195," ")</f>
        <v> </v>
      </c>
      <c r="W195" s="17" t="str">
        <f aca="false">IF((E195="q"),H195," ")</f>
        <v> </v>
      </c>
      <c r="X195" s="17" t="str">
        <f aca="false">IF((E195="m"),H195," ")</f>
        <v> </v>
      </c>
      <c r="Y195" s="17" t="str">
        <f aca="false">IF((E195="u"),H195," ")</f>
        <v> </v>
      </c>
      <c r="Z195" s="17" t="str">
        <f aca="false">IF((E195="a"),H195," ")</f>
        <v> </v>
      </c>
      <c r="AA195" s="17" t="str">
        <f aca="false">IF((E195="g"),H195," ")</f>
        <v> </v>
      </c>
      <c r="AB195" s="17" t="str">
        <f aca="false">IF((E195="h"),H195," ")</f>
        <v> </v>
      </c>
      <c r="AC195" s="30" t="str">
        <f aca="false">IF((E195="v"),H195," ")</f>
        <v> </v>
      </c>
      <c r="AD195" s="30" t="str">
        <f aca="false">IF((E195="n"),H195," ")</f>
        <v> </v>
      </c>
      <c r="AE195" s="17" t="str">
        <f aca="false">IF((E195="f"),H195," ")</f>
        <v> </v>
      </c>
      <c r="AF195" s="17" t="str">
        <f aca="false">IF((E195="l"),H195," ")</f>
        <v> </v>
      </c>
      <c r="AG195" s="17" t="str">
        <f aca="false">IF((E195="y"),H195," ")</f>
        <v> </v>
      </c>
      <c r="AH195" s="17" t="str">
        <f aca="false">IF((E195="z"),H195," ")</f>
        <v> </v>
      </c>
      <c r="AI195" s="17" t="str">
        <f aca="false">IF((E195="fa"),H195," ")</f>
        <v> </v>
      </c>
      <c r="AJ195" s="17" t="str">
        <f aca="false">IF((E195="e"),H195," ")</f>
        <v> </v>
      </c>
    </row>
    <row r="196" customFormat="false" ht="12" hidden="false" customHeight="false" outlineLevel="0" collapsed="false">
      <c r="A196" s="28"/>
      <c r="E196" s="2" t="str">
        <f aca="false">IF((F196&lt;&gt;0),"Enter Letter"," ")</f>
        <v> </v>
      </c>
      <c r="F196" s="30"/>
      <c r="G196" s="6" t="str">
        <f aca="false">IF(F196&lt;&gt;0,F196*G$2/(100+G$2)," ")</f>
        <v> </v>
      </c>
      <c r="H196" s="6" t="str">
        <f aca="false">IF((F196&lt;&gt;0),F196-G196," ")</f>
        <v> </v>
      </c>
      <c r="I196" s="5"/>
      <c r="L196" s="7" t="str">
        <f aca="false">IF(F196&lt;&gt;0,F196-K196," ")</f>
        <v> </v>
      </c>
      <c r="M196" s="8" t="str">
        <f aca="false">IF((F196-K196)&lt;&gt;0,M$1-A196," ")</f>
        <v> </v>
      </c>
      <c r="N196" s="5"/>
      <c r="O196" s="17" t="str">
        <f aca="false">IF((E196="s"),H196," ")</f>
        <v> </v>
      </c>
      <c r="P196" s="17" t="str">
        <f aca="false">IF((E196="c"),H196," ")</f>
        <v> </v>
      </c>
      <c r="Q196" s="17" t="str">
        <f aca="false">IF((E196="o"),H196," ")</f>
        <v> </v>
      </c>
      <c r="R196" s="17" t="str">
        <f aca="false">IF((E196="d"),H196," ")</f>
        <v> </v>
      </c>
      <c r="S196" s="17" t="str">
        <f aca="false">IF((E196="w"),H196," ")</f>
        <v> </v>
      </c>
      <c r="T196" s="17" t="str">
        <f aca="false">IF((E196="r"),H196," ")</f>
        <v> </v>
      </c>
      <c r="U196" s="17" t="str">
        <f aca="false">IF((E196="p"),H196," ")</f>
        <v> </v>
      </c>
      <c r="V196" s="17" t="str">
        <f aca="false">IF((E196="t"),H196," ")</f>
        <v> </v>
      </c>
      <c r="W196" s="17" t="str">
        <f aca="false">IF((E196="q"),H196," ")</f>
        <v> </v>
      </c>
      <c r="X196" s="17" t="str">
        <f aca="false">IF((E196="m"),H196," ")</f>
        <v> </v>
      </c>
      <c r="Y196" s="17" t="str">
        <f aca="false">IF((E196="u"),H196," ")</f>
        <v> </v>
      </c>
      <c r="Z196" s="17" t="str">
        <f aca="false">IF((E196="a"),H196," ")</f>
        <v> </v>
      </c>
      <c r="AA196" s="17" t="str">
        <f aca="false">IF((E196="g"),H196," ")</f>
        <v> </v>
      </c>
      <c r="AB196" s="17" t="str">
        <f aca="false">IF((E196="h"),H196," ")</f>
        <v> </v>
      </c>
      <c r="AC196" s="30" t="str">
        <f aca="false">IF((E196="v"),H196," ")</f>
        <v> </v>
      </c>
      <c r="AD196" s="30" t="str">
        <f aca="false">IF((E196="n"),H196," ")</f>
        <v> </v>
      </c>
      <c r="AE196" s="17" t="str">
        <f aca="false">IF((E196="f"),H196," ")</f>
        <v> </v>
      </c>
      <c r="AF196" s="17" t="str">
        <f aca="false">IF((E196="l"),H196," ")</f>
        <v> </v>
      </c>
      <c r="AG196" s="17" t="str">
        <f aca="false">IF((E196="y"),H196," ")</f>
        <v> </v>
      </c>
      <c r="AH196" s="17" t="str">
        <f aca="false">IF((E196="z"),H196," ")</f>
        <v> </v>
      </c>
      <c r="AI196" s="17" t="str">
        <f aca="false">IF((E196="fa"),H196," ")</f>
        <v> </v>
      </c>
      <c r="AJ196" s="17" t="str">
        <f aca="false">IF((E196="e"),H196," ")</f>
        <v> </v>
      </c>
    </row>
    <row r="197" customFormat="false" ht="12" hidden="false" customHeight="false" outlineLevel="0" collapsed="false">
      <c r="A197" s="28"/>
      <c r="E197" s="2" t="str">
        <f aca="false">IF((F197&lt;&gt;0),"Enter Letter"," ")</f>
        <v> </v>
      </c>
      <c r="F197" s="30"/>
      <c r="G197" s="6" t="str">
        <f aca="false">IF(F197&lt;&gt;0,F197*G$2/(100+G$2)," ")</f>
        <v> </v>
      </c>
      <c r="H197" s="6" t="str">
        <f aca="false">IF((F197&lt;&gt;0),F197-G197," ")</f>
        <v> </v>
      </c>
      <c r="I197" s="5"/>
      <c r="L197" s="7" t="str">
        <f aca="false">IF(F197&lt;&gt;0,F197-K197," ")</f>
        <v> </v>
      </c>
      <c r="M197" s="8" t="str">
        <f aca="false">IF((F197-K197)&lt;&gt;0,M$1-A197," ")</f>
        <v> </v>
      </c>
      <c r="N197" s="5"/>
      <c r="O197" s="17" t="str">
        <f aca="false">IF((E197="s"),H197," ")</f>
        <v> </v>
      </c>
      <c r="P197" s="17" t="str">
        <f aca="false">IF((E197="c"),H197," ")</f>
        <v> </v>
      </c>
      <c r="Q197" s="17" t="str">
        <f aca="false">IF((E197="o"),H197," ")</f>
        <v> </v>
      </c>
      <c r="R197" s="17" t="str">
        <f aca="false">IF((E197="d"),H197," ")</f>
        <v> </v>
      </c>
      <c r="S197" s="17" t="str">
        <f aca="false">IF((E197="w"),H197," ")</f>
        <v> </v>
      </c>
      <c r="T197" s="17" t="str">
        <f aca="false">IF((E197="r"),H197," ")</f>
        <v> </v>
      </c>
      <c r="U197" s="17" t="str">
        <f aca="false">IF((E197="p"),H197," ")</f>
        <v> </v>
      </c>
      <c r="V197" s="17" t="str">
        <f aca="false">IF((E197="t"),H197," ")</f>
        <v> </v>
      </c>
      <c r="W197" s="17" t="str">
        <f aca="false">IF((E197="q"),H197," ")</f>
        <v> </v>
      </c>
      <c r="X197" s="17" t="str">
        <f aca="false">IF((E197="m"),H197," ")</f>
        <v> </v>
      </c>
      <c r="Y197" s="17" t="str">
        <f aca="false">IF((E197="u"),H197," ")</f>
        <v> </v>
      </c>
      <c r="Z197" s="17" t="str">
        <f aca="false">IF((E197="a"),H197," ")</f>
        <v> </v>
      </c>
      <c r="AA197" s="17" t="str">
        <f aca="false">IF((E197="g"),H197," ")</f>
        <v> </v>
      </c>
      <c r="AB197" s="17" t="str">
        <f aca="false">IF((E197="h"),H197," ")</f>
        <v> </v>
      </c>
      <c r="AC197" s="30" t="str">
        <f aca="false">IF((E197="v"),H197," ")</f>
        <v> </v>
      </c>
      <c r="AD197" s="30" t="str">
        <f aca="false">IF((E197="n"),H197," ")</f>
        <v> </v>
      </c>
      <c r="AE197" s="17" t="str">
        <f aca="false">IF((E197="f"),H197," ")</f>
        <v> </v>
      </c>
      <c r="AF197" s="17" t="str">
        <f aca="false">IF((E197="l"),H197," ")</f>
        <v> </v>
      </c>
      <c r="AG197" s="17" t="str">
        <f aca="false">IF((E197="y"),H197," ")</f>
        <v> </v>
      </c>
      <c r="AH197" s="17" t="str">
        <f aca="false">IF((E197="z"),H197," ")</f>
        <v> </v>
      </c>
      <c r="AI197" s="17" t="str">
        <f aca="false">IF((E197="fa"),H197," ")</f>
        <v> </v>
      </c>
      <c r="AJ197" s="17" t="str">
        <f aca="false">IF((E197="e"),H197," ")</f>
        <v> </v>
      </c>
    </row>
    <row r="198" customFormat="false" ht="12" hidden="false" customHeight="false" outlineLevel="0" collapsed="false">
      <c r="A198" s="28"/>
      <c r="E198" s="2" t="str">
        <f aca="false">IF((F198&lt;&gt;0),"Enter Letter"," ")</f>
        <v> </v>
      </c>
      <c r="F198" s="30"/>
      <c r="G198" s="6" t="str">
        <f aca="false">IF(F198&lt;&gt;0,F198*G$2/(100+G$2)," ")</f>
        <v> </v>
      </c>
      <c r="H198" s="6" t="str">
        <f aca="false">IF((F198&lt;&gt;0),F198-G198," ")</f>
        <v> </v>
      </c>
      <c r="I198" s="5"/>
      <c r="L198" s="7" t="str">
        <f aca="false">IF(F198&lt;&gt;0,F198-K198," ")</f>
        <v> </v>
      </c>
      <c r="M198" s="8" t="str">
        <f aca="false">IF((F198-K198)&lt;&gt;0,M$1-A198," ")</f>
        <v> </v>
      </c>
      <c r="N198" s="5"/>
      <c r="O198" s="17" t="str">
        <f aca="false">IF((E198="s"),H198," ")</f>
        <v> </v>
      </c>
      <c r="P198" s="17" t="str">
        <f aca="false">IF((E198="c"),H198," ")</f>
        <v> </v>
      </c>
      <c r="Q198" s="17" t="str">
        <f aca="false">IF((E198="o"),H198," ")</f>
        <v> </v>
      </c>
      <c r="R198" s="17" t="str">
        <f aca="false">IF((E198="d"),H198," ")</f>
        <v> </v>
      </c>
      <c r="S198" s="17" t="str">
        <f aca="false">IF((E198="w"),H198," ")</f>
        <v> </v>
      </c>
      <c r="T198" s="17" t="str">
        <f aca="false">IF((E198="r"),H198," ")</f>
        <v> </v>
      </c>
      <c r="U198" s="17" t="str">
        <f aca="false">IF((E198="p"),H198," ")</f>
        <v> </v>
      </c>
      <c r="V198" s="17" t="str">
        <f aca="false">IF((E198="t"),H198," ")</f>
        <v> </v>
      </c>
      <c r="W198" s="17" t="str">
        <f aca="false">IF((E198="q"),H198," ")</f>
        <v> </v>
      </c>
      <c r="X198" s="17" t="str">
        <f aca="false">IF((E198="m"),H198," ")</f>
        <v> </v>
      </c>
      <c r="Y198" s="17" t="str">
        <f aca="false">IF((E198="u"),H198," ")</f>
        <v> </v>
      </c>
      <c r="Z198" s="17" t="str">
        <f aca="false">IF((E198="a"),H198," ")</f>
        <v> </v>
      </c>
      <c r="AA198" s="17" t="str">
        <f aca="false">IF((E198="g"),H198," ")</f>
        <v> </v>
      </c>
      <c r="AB198" s="17" t="str">
        <f aca="false">IF((E198="h"),H198," ")</f>
        <v> </v>
      </c>
      <c r="AC198" s="30" t="str">
        <f aca="false">IF((E198="v"),H198," ")</f>
        <v> </v>
      </c>
      <c r="AD198" s="30" t="str">
        <f aca="false">IF((E198="n"),H198," ")</f>
        <v> </v>
      </c>
      <c r="AE198" s="17" t="str">
        <f aca="false">IF((E198="f"),H198," ")</f>
        <v> </v>
      </c>
      <c r="AF198" s="17" t="str">
        <f aca="false">IF((E198="l"),H198," ")</f>
        <v> </v>
      </c>
      <c r="AG198" s="17" t="str">
        <f aca="false">IF((E198="y"),H198," ")</f>
        <v> </v>
      </c>
      <c r="AH198" s="17" t="str">
        <f aca="false">IF((E198="z"),H198," ")</f>
        <v> </v>
      </c>
      <c r="AI198" s="17" t="str">
        <f aca="false">IF((E198="fa"),H198," ")</f>
        <v> </v>
      </c>
      <c r="AJ198" s="17" t="str">
        <f aca="false">IF((E198="e"),H198," ")</f>
        <v> </v>
      </c>
    </row>
    <row r="199" customFormat="false" ht="12" hidden="false" customHeight="false" outlineLevel="0" collapsed="false">
      <c r="A199" s="28"/>
      <c r="E199" s="2" t="str">
        <f aca="false">IF((F199&lt;&gt;0),"Enter Letter"," ")</f>
        <v> </v>
      </c>
      <c r="F199" s="30"/>
      <c r="G199" s="6" t="str">
        <f aca="false">IF(F199&lt;&gt;0,F199*G$2/(100+G$2)," ")</f>
        <v> </v>
      </c>
      <c r="H199" s="6" t="str">
        <f aca="false">IF((F199&lt;&gt;0),F199-G199," ")</f>
        <v> </v>
      </c>
      <c r="I199" s="5"/>
      <c r="L199" s="7" t="str">
        <f aca="false">IF(F199&lt;&gt;0,F199-K199," ")</f>
        <v> </v>
      </c>
      <c r="M199" s="8" t="str">
        <f aca="false">IF((F199-K199)&lt;&gt;0,M$1-A199," ")</f>
        <v> </v>
      </c>
      <c r="N199" s="5"/>
      <c r="O199" s="17" t="str">
        <f aca="false">IF((E199="s"),H199," ")</f>
        <v> </v>
      </c>
      <c r="P199" s="17" t="str">
        <f aca="false">IF((E199="c"),H199," ")</f>
        <v> </v>
      </c>
      <c r="Q199" s="17" t="str">
        <f aca="false">IF((E199="o"),H199," ")</f>
        <v> </v>
      </c>
      <c r="R199" s="17" t="str">
        <f aca="false">IF((E199="d"),H199," ")</f>
        <v> </v>
      </c>
      <c r="S199" s="17" t="str">
        <f aca="false">IF((E199="w"),H199," ")</f>
        <v> </v>
      </c>
      <c r="T199" s="17" t="str">
        <f aca="false">IF((E199="r"),H199," ")</f>
        <v> </v>
      </c>
      <c r="U199" s="17" t="str">
        <f aca="false">IF((E199="p"),H199," ")</f>
        <v> </v>
      </c>
      <c r="V199" s="17" t="str">
        <f aca="false">IF((E199="t"),H199," ")</f>
        <v> </v>
      </c>
      <c r="W199" s="17" t="str">
        <f aca="false">IF((E199="q"),H199," ")</f>
        <v> </v>
      </c>
      <c r="X199" s="17" t="str">
        <f aca="false">IF((E199="m"),H199," ")</f>
        <v> </v>
      </c>
      <c r="Y199" s="17" t="str">
        <f aca="false">IF((E199="u"),H199," ")</f>
        <v> </v>
      </c>
      <c r="Z199" s="17" t="str">
        <f aca="false">IF((E199="a"),H199," ")</f>
        <v> </v>
      </c>
      <c r="AA199" s="17" t="str">
        <f aca="false">IF((E199="g"),H199," ")</f>
        <v> </v>
      </c>
      <c r="AB199" s="17" t="str">
        <f aca="false">IF((E199="h"),H199," ")</f>
        <v> </v>
      </c>
      <c r="AC199" s="30" t="str">
        <f aca="false">IF((E199="v"),H199," ")</f>
        <v> </v>
      </c>
      <c r="AD199" s="30" t="str">
        <f aca="false">IF((E199="n"),H199," ")</f>
        <v> </v>
      </c>
      <c r="AE199" s="17" t="str">
        <f aca="false">IF((E199="f"),H199," ")</f>
        <v> </v>
      </c>
      <c r="AF199" s="17" t="str">
        <f aca="false">IF((E199="l"),H199," ")</f>
        <v> </v>
      </c>
      <c r="AG199" s="17" t="str">
        <f aca="false">IF((E199="y"),H199," ")</f>
        <v> </v>
      </c>
      <c r="AH199" s="17" t="str">
        <f aca="false">IF((E199="z"),H199," ")</f>
        <v> </v>
      </c>
      <c r="AI199" s="17" t="str">
        <f aca="false">IF((E199="fa"),H199," ")</f>
        <v> </v>
      </c>
      <c r="AJ199" s="17" t="str">
        <f aca="false">IF((E199="e"),H199," ")</f>
        <v> </v>
      </c>
    </row>
    <row r="200" customFormat="false" ht="12" hidden="false" customHeight="false" outlineLevel="0" collapsed="false">
      <c r="A200" s="28"/>
      <c r="E200" s="2" t="str">
        <f aca="false">IF((F200&lt;&gt;0),"Enter Letter"," ")</f>
        <v> </v>
      </c>
      <c r="F200" s="30"/>
      <c r="G200" s="6" t="str">
        <f aca="false">IF(F200&lt;&gt;0,F200*G$2/(100+G$2)," ")</f>
        <v> </v>
      </c>
      <c r="H200" s="6" t="str">
        <f aca="false">IF((F200&lt;&gt;0),F200-G200," ")</f>
        <v> </v>
      </c>
      <c r="I200" s="5"/>
      <c r="L200" s="7" t="str">
        <f aca="false">IF(F200&lt;&gt;0,F200-K200," ")</f>
        <v> </v>
      </c>
      <c r="M200" s="8" t="str">
        <f aca="false">IF((F200-K200)&lt;&gt;0,M$1-A200," ")</f>
        <v> </v>
      </c>
      <c r="N200" s="5"/>
      <c r="O200" s="17" t="str">
        <f aca="false">IF((E200="s"),H200," ")</f>
        <v> </v>
      </c>
      <c r="P200" s="17" t="str">
        <f aca="false">IF((E200="c"),H200," ")</f>
        <v> </v>
      </c>
      <c r="Q200" s="17" t="str">
        <f aca="false">IF((E200="o"),H200," ")</f>
        <v> </v>
      </c>
      <c r="R200" s="17" t="str">
        <f aca="false">IF((E200="d"),H200," ")</f>
        <v> </v>
      </c>
      <c r="S200" s="17" t="str">
        <f aca="false">IF((E200="w"),H200," ")</f>
        <v> </v>
      </c>
      <c r="T200" s="17" t="str">
        <f aca="false">IF((E200="r"),H200," ")</f>
        <v> </v>
      </c>
      <c r="U200" s="17" t="str">
        <f aca="false">IF((E200="p"),H200," ")</f>
        <v> </v>
      </c>
      <c r="V200" s="17" t="str">
        <f aca="false">IF((E200="t"),H200," ")</f>
        <v> </v>
      </c>
      <c r="W200" s="17" t="str">
        <f aca="false">IF((E200="q"),H200," ")</f>
        <v> </v>
      </c>
      <c r="X200" s="17" t="str">
        <f aca="false">IF((E200="m"),H200," ")</f>
        <v> </v>
      </c>
      <c r="Y200" s="17" t="str">
        <f aca="false">IF((E200="u"),H200," ")</f>
        <v> </v>
      </c>
      <c r="Z200" s="17" t="str">
        <f aca="false">IF((E200="a"),H200," ")</f>
        <v> </v>
      </c>
      <c r="AA200" s="17" t="str">
        <f aca="false">IF((E200="g"),H200," ")</f>
        <v> </v>
      </c>
      <c r="AB200" s="17" t="str">
        <f aca="false">IF((E200="h"),H200," ")</f>
        <v> </v>
      </c>
      <c r="AC200" s="30" t="str">
        <f aca="false">IF((E200="v"),H200," ")</f>
        <v> </v>
      </c>
      <c r="AD200" s="30" t="str">
        <f aca="false">IF((E200="n"),H200," ")</f>
        <v> </v>
      </c>
      <c r="AE200" s="17" t="str">
        <f aca="false">IF((E200="f"),H200," ")</f>
        <v> </v>
      </c>
      <c r="AF200" s="17" t="str">
        <f aca="false">IF((E200="l"),H200," ")</f>
        <v> </v>
      </c>
      <c r="AG200" s="17" t="str">
        <f aca="false">IF((E200="y"),H200," ")</f>
        <v> </v>
      </c>
      <c r="AH200" s="17" t="str">
        <f aca="false">IF((E200="z"),H200," ")</f>
        <v> </v>
      </c>
      <c r="AI200" s="17" t="str">
        <f aca="false">IF((E200="fa"),H200," ")</f>
        <v> </v>
      </c>
      <c r="AJ200" s="17" t="str">
        <f aca="false">IF((E200="e"),H200," ")</f>
        <v> </v>
      </c>
    </row>
    <row r="201" customFormat="false" ht="12" hidden="false" customHeight="false" outlineLevel="0" collapsed="false">
      <c r="A201" s="28"/>
      <c r="E201" s="2" t="str">
        <f aca="false">IF((F201&lt;&gt;0),"Enter Letter"," ")</f>
        <v> </v>
      </c>
      <c r="F201" s="30"/>
      <c r="G201" s="6" t="str">
        <f aca="false">IF(F201&lt;&gt;0,F201*G$2/(100+G$2)," ")</f>
        <v> </v>
      </c>
      <c r="H201" s="6" t="str">
        <f aca="false">IF((F201&lt;&gt;0),F201-G201," ")</f>
        <v> </v>
      </c>
      <c r="I201" s="5"/>
      <c r="L201" s="7" t="str">
        <f aca="false">IF(F201&lt;&gt;0,F201-K201," ")</f>
        <v> </v>
      </c>
      <c r="M201" s="8" t="str">
        <f aca="false">IF((F201-K201)&lt;&gt;0,M$1-A201," ")</f>
        <v> </v>
      </c>
      <c r="N201" s="5"/>
      <c r="O201" s="17" t="str">
        <f aca="false">IF((E201="s"),H201," ")</f>
        <v> </v>
      </c>
      <c r="P201" s="17" t="str">
        <f aca="false">IF((E201="c"),H201," ")</f>
        <v> </v>
      </c>
      <c r="Q201" s="17" t="str">
        <f aca="false">IF((E201="o"),H201," ")</f>
        <v> </v>
      </c>
      <c r="R201" s="17" t="str">
        <f aca="false">IF((E201="d"),H201," ")</f>
        <v> </v>
      </c>
      <c r="S201" s="17" t="str">
        <f aca="false">IF((E201="w"),H201," ")</f>
        <v> </v>
      </c>
      <c r="T201" s="17" t="str">
        <f aca="false">IF((E201="r"),H201," ")</f>
        <v> </v>
      </c>
      <c r="U201" s="17" t="str">
        <f aca="false">IF((E201="p"),H201," ")</f>
        <v> </v>
      </c>
      <c r="V201" s="17" t="str">
        <f aca="false">IF((E201="t"),H201," ")</f>
        <v> </v>
      </c>
      <c r="W201" s="17" t="str">
        <f aca="false">IF((E201="q"),H201," ")</f>
        <v> </v>
      </c>
      <c r="X201" s="17" t="str">
        <f aca="false">IF((E201="m"),H201," ")</f>
        <v> </v>
      </c>
      <c r="Y201" s="17" t="str">
        <f aca="false">IF((E201="u"),H201," ")</f>
        <v> </v>
      </c>
      <c r="Z201" s="17" t="str">
        <f aca="false">IF((E201="a"),H201," ")</f>
        <v> </v>
      </c>
      <c r="AA201" s="17" t="str">
        <f aca="false">IF((E201="g"),H201," ")</f>
        <v> </v>
      </c>
      <c r="AB201" s="17" t="str">
        <f aca="false">IF((E201="h"),H201," ")</f>
        <v> </v>
      </c>
      <c r="AC201" s="30" t="str">
        <f aca="false">IF((E201="v"),H201," ")</f>
        <v> </v>
      </c>
      <c r="AD201" s="30" t="str">
        <f aca="false">IF((E201="n"),H201," ")</f>
        <v> </v>
      </c>
      <c r="AE201" s="17" t="str">
        <f aca="false">IF((E201="f"),H201," ")</f>
        <v> </v>
      </c>
      <c r="AF201" s="17" t="str">
        <f aca="false">IF((E201="l"),H201," ")</f>
        <v> </v>
      </c>
      <c r="AG201" s="17" t="str">
        <f aca="false">IF((E201="y"),H201," ")</f>
        <v> </v>
      </c>
      <c r="AH201" s="17" t="str">
        <f aca="false">IF((E201="z"),H201," ")</f>
        <v> </v>
      </c>
      <c r="AI201" s="17" t="str">
        <f aca="false">IF((E201="fa"),H201," ")</f>
        <v> </v>
      </c>
      <c r="AJ201" s="17" t="str">
        <f aca="false">IF((E201="e"),H201," ")</f>
        <v> </v>
      </c>
    </row>
    <row r="202" customFormat="false" ht="12" hidden="false" customHeight="false" outlineLevel="0" collapsed="false">
      <c r="A202" s="28"/>
      <c r="E202" s="2" t="str">
        <f aca="false">IF((F202&lt;&gt;0),"Enter Letter"," ")</f>
        <v> </v>
      </c>
      <c r="F202" s="30"/>
      <c r="G202" s="6" t="str">
        <f aca="false">IF(F202&lt;&gt;0,F202*G$2/(100+G$2)," ")</f>
        <v> </v>
      </c>
      <c r="H202" s="6" t="str">
        <f aca="false">IF((F202&lt;&gt;0),F202-G202," ")</f>
        <v> </v>
      </c>
      <c r="I202" s="5"/>
      <c r="L202" s="7" t="str">
        <f aca="false">IF(F202&lt;&gt;0,F202-K202," ")</f>
        <v> </v>
      </c>
      <c r="M202" s="8" t="str">
        <f aca="false">IF((F202-K202)&lt;&gt;0,M$1-A202," ")</f>
        <v> </v>
      </c>
      <c r="N202" s="5"/>
      <c r="O202" s="17" t="str">
        <f aca="false">IF((E202="s"),H202," ")</f>
        <v> </v>
      </c>
      <c r="P202" s="17" t="str">
        <f aca="false">IF((E202="c"),H202," ")</f>
        <v> </v>
      </c>
      <c r="Q202" s="17" t="str">
        <f aca="false">IF((E202="o"),H202," ")</f>
        <v> </v>
      </c>
      <c r="R202" s="17" t="str">
        <f aca="false">IF((E202="d"),H202," ")</f>
        <v> </v>
      </c>
      <c r="S202" s="17" t="str">
        <f aca="false">IF((E202="w"),H202," ")</f>
        <v> </v>
      </c>
      <c r="T202" s="17" t="str">
        <f aca="false">IF((E202="r"),H202," ")</f>
        <v> </v>
      </c>
      <c r="U202" s="17" t="str">
        <f aca="false">IF((E202="p"),H202," ")</f>
        <v> </v>
      </c>
      <c r="V202" s="17" t="str">
        <f aca="false">IF((E202="t"),H202," ")</f>
        <v> </v>
      </c>
      <c r="W202" s="17" t="str">
        <f aca="false">IF((E202="q"),H202," ")</f>
        <v> </v>
      </c>
      <c r="X202" s="17" t="str">
        <f aca="false">IF((E202="m"),H202," ")</f>
        <v> </v>
      </c>
      <c r="Y202" s="17" t="str">
        <f aca="false">IF((E202="u"),H202," ")</f>
        <v> </v>
      </c>
      <c r="Z202" s="17" t="str">
        <f aca="false">IF((E202="a"),H202," ")</f>
        <v> </v>
      </c>
      <c r="AA202" s="17" t="str">
        <f aca="false">IF((E202="g"),H202," ")</f>
        <v> </v>
      </c>
      <c r="AB202" s="17" t="str">
        <f aca="false">IF((E202="h"),H202," ")</f>
        <v> </v>
      </c>
      <c r="AC202" s="30" t="str">
        <f aca="false">IF((E202="v"),H202," ")</f>
        <v> </v>
      </c>
      <c r="AD202" s="30" t="str">
        <f aca="false">IF((E202="n"),H202," ")</f>
        <v> </v>
      </c>
      <c r="AE202" s="17" t="str">
        <f aca="false">IF((E202="f"),H202," ")</f>
        <v> </v>
      </c>
      <c r="AF202" s="17" t="str">
        <f aca="false">IF((E202="l"),H202," ")</f>
        <v> </v>
      </c>
      <c r="AG202" s="17" t="str">
        <f aca="false">IF((E202="y"),H202," ")</f>
        <v> </v>
      </c>
      <c r="AH202" s="17" t="str">
        <f aca="false">IF((E202="z"),H202," ")</f>
        <v> </v>
      </c>
      <c r="AI202" s="17" t="str">
        <f aca="false">IF((E202="fa"),H202," ")</f>
        <v> </v>
      </c>
      <c r="AJ202" s="17" t="str">
        <f aca="false">IF((E202="e"),H202," ")</f>
        <v> </v>
      </c>
    </row>
    <row r="203" customFormat="false" ht="12" hidden="false" customHeight="false" outlineLevel="0" collapsed="false">
      <c r="A203" s="28"/>
      <c r="E203" s="2" t="str">
        <f aca="false">IF((F203&lt;&gt;0),"Enter Letter"," ")</f>
        <v> </v>
      </c>
      <c r="F203" s="30"/>
      <c r="G203" s="6" t="str">
        <f aca="false">IF(F203&lt;&gt;0,F203*G$2/(100+G$2)," ")</f>
        <v> </v>
      </c>
      <c r="H203" s="6" t="str">
        <f aca="false">IF((F203&lt;&gt;0),F203-G203," ")</f>
        <v> </v>
      </c>
      <c r="I203" s="5"/>
      <c r="L203" s="7" t="str">
        <f aca="false">IF(F203&lt;&gt;0,F203-K203," ")</f>
        <v> </v>
      </c>
      <c r="M203" s="8" t="str">
        <f aca="false">IF((F203-K203)&lt;&gt;0,M$1-A203," ")</f>
        <v> </v>
      </c>
      <c r="N203" s="5"/>
      <c r="O203" s="17" t="str">
        <f aca="false">IF((E203="s"),H203," ")</f>
        <v> </v>
      </c>
      <c r="P203" s="17" t="str">
        <f aca="false">IF((E203="c"),H203," ")</f>
        <v> </v>
      </c>
      <c r="Q203" s="17" t="str">
        <f aca="false">IF((E203="o"),H203," ")</f>
        <v> </v>
      </c>
      <c r="R203" s="17" t="str">
        <f aca="false">IF((E203="d"),H203," ")</f>
        <v> </v>
      </c>
      <c r="S203" s="17" t="str">
        <f aca="false">IF((E203="w"),H203," ")</f>
        <v> </v>
      </c>
      <c r="T203" s="17" t="str">
        <f aca="false">IF((E203="r"),H203," ")</f>
        <v> </v>
      </c>
      <c r="U203" s="17" t="str">
        <f aca="false">IF((E203="p"),H203," ")</f>
        <v> </v>
      </c>
      <c r="V203" s="17" t="str">
        <f aca="false">IF((E203="t"),H203," ")</f>
        <v> </v>
      </c>
      <c r="W203" s="17" t="str">
        <f aca="false">IF((E203="q"),H203," ")</f>
        <v> </v>
      </c>
      <c r="X203" s="17" t="str">
        <f aca="false">IF((E203="m"),H203," ")</f>
        <v> </v>
      </c>
      <c r="Y203" s="17" t="str">
        <f aca="false">IF((E203="u"),H203," ")</f>
        <v> </v>
      </c>
      <c r="Z203" s="17" t="str">
        <f aca="false">IF((E203="a"),H203," ")</f>
        <v> </v>
      </c>
      <c r="AA203" s="17" t="str">
        <f aca="false">IF((E203="g"),H203," ")</f>
        <v> </v>
      </c>
      <c r="AB203" s="17" t="str">
        <f aca="false">IF((E203="h"),H203," ")</f>
        <v> </v>
      </c>
      <c r="AC203" s="30" t="str">
        <f aca="false">IF((E203="v"),H203," ")</f>
        <v> </v>
      </c>
      <c r="AD203" s="30" t="str">
        <f aca="false">IF((E203="n"),H203," ")</f>
        <v> </v>
      </c>
      <c r="AE203" s="17" t="str">
        <f aca="false">IF((E203="f"),H203," ")</f>
        <v> </v>
      </c>
      <c r="AF203" s="17" t="str">
        <f aca="false">IF((E203="l"),H203," ")</f>
        <v> </v>
      </c>
      <c r="AG203" s="17" t="str">
        <f aca="false">IF((E203="y"),H203," ")</f>
        <v> </v>
      </c>
      <c r="AH203" s="17" t="str">
        <f aca="false">IF((E203="z"),H203," ")</f>
        <v> </v>
      </c>
      <c r="AI203" s="17" t="str">
        <f aca="false">IF((E203="fa"),H203," ")</f>
        <v> </v>
      </c>
      <c r="AJ203" s="17" t="str">
        <f aca="false">IF((E203="e"),H203," ")</f>
        <v> </v>
      </c>
    </row>
    <row r="204" customFormat="false" ht="12" hidden="false" customHeight="false" outlineLevel="0" collapsed="false">
      <c r="A204" s="28"/>
      <c r="E204" s="2" t="str">
        <f aca="false">IF((F204&lt;&gt;0),"Enter Letter"," ")</f>
        <v> </v>
      </c>
      <c r="F204" s="30"/>
      <c r="G204" s="6" t="str">
        <f aca="false">IF(F204&lt;&gt;0,F204*G$2/(100+G$2)," ")</f>
        <v> </v>
      </c>
      <c r="H204" s="6" t="str">
        <f aca="false">IF((F204&lt;&gt;0),F204-G204," ")</f>
        <v> </v>
      </c>
      <c r="I204" s="5"/>
      <c r="L204" s="7" t="str">
        <f aca="false">IF(F204&lt;&gt;0,F204-K204," ")</f>
        <v> </v>
      </c>
      <c r="M204" s="8" t="str">
        <f aca="false">IF((F204-K204)&lt;&gt;0,M$1-A204," ")</f>
        <v> </v>
      </c>
      <c r="N204" s="5"/>
      <c r="O204" s="17" t="str">
        <f aca="false">IF((E204="s"),H204," ")</f>
        <v> </v>
      </c>
      <c r="P204" s="17" t="str">
        <f aca="false">IF((E204="c"),H204," ")</f>
        <v> </v>
      </c>
      <c r="Q204" s="17" t="str">
        <f aca="false">IF((E204="o"),H204," ")</f>
        <v> </v>
      </c>
      <c r="R204" s="17" t="str">
        <f aca="false">IF((E204="d"),H204," ")</f>
        <v> </v>
      </c>
      <c r="S204" s="17" t="str">
        <f aca="false">IF((E204="w"),H204," ")</f>
        <v> </v>
      </c>
      <c r="T204" s="17" t="str">
        <f aca="false">IF((E204="r"),H204," ")</f>
        <v> </v>
      </c>
      <c r="U204" s="17" t="str">
        <f aca="false">IF((E204="p"),H204," ")</f>
        <v> </v>
      </c>
      <c r="V204" s="17" t="str">
        <f aca="false">IF((E204="t"),H204," ")</f>
        <v> </v>
      </c>
      <c r="W204" s="17" t="str">
        <f aca="false">IF((E204="q"),H204," ")</f>
        <v> </v>
      </c>
      <c r="X204" s="17" t="str">
        <f aca="false">IF((E204="m"),H204," ")</f>
        <v> </v>
      </c>
      <c r="Y204" s="17" t="str">
        <f aca="false">IF((E204="u"),H204," ")</f>
        <v> </v>
      </c>
      <c r="Z204" s="17" t="str">
        <f aca="false">IF((E204="a"),H204," ")</f>
        <v> </v>
      </c>
      <c r="AA204" s="17" t="str">
        <f aca="false">IF((E204="g"),H204," ")</f>
        <v> </v>
      </c>
      <c r="AB204" s="17" t="str">
        <f aca="false">IF((E204="h"),H204," ")</f>
        <v> </v>
      </c>
      <c r="AC204" s="30" t="str">
        <f aca="false">IF((E204="v"),H204," ")</f>
        <v> </v>
      </c>
      <c r="AD204" s="30" t="str">
        <f aca="false">IF((E204="n"),H204," ")</f>
        <v> </v>
      </c>
      <c r="AE204" s="17" t="str">
        <f aca="false">IF((E204="f"),H204," ")</f>
        <v> </v>
      </c>
      <c r="AF204" s="17" t="str">
        <f aca="false">IF((E204="l"),H204," ")</f>
        <v> </v>
      </c>
      <c r="AG204" s="17" t="str">
        <f aca="false">IF((E204="y"),H204," ")</f>
        <v> </v>
      </c>
      <c r="AH204" s="17" t="str">
        <f aca="false">IF((E204="z"),H204," ")</f>
        <v> </v>
      </c>
      <c r="AI204" s="17" t="str">
        <f aca="false">IF((E204="fa"),H204," ")</f>
        <v> </v>
      </c>
      <c r="AJ204" s="17" t="str">
        <f aca="false">IF((E204="e"),H204," ")</f>
        <v> </v>
      </c>
    </row>
    <row r="205" customFormat="false" ht="12" hidden="false" customHeight="false" outlineLevel="0" collapsed="false">
      <c r="A205" s="28"/>
      <c r="E205" s="2" t="str">
        <f aca="false">IF((F205&lt;&gt;0),"Enter Letter"," ")</f>
        <v> </v>
      </c>
      <c r="F205" s="30"/>
      <c r="G205" s="6" t="str">
        <f aca="false">IF(F205&lt;&gt;0,F205*G$2/(100+G$2)," ")</f>
        <v> </v>
      </c>
      <c r="H205" s="6" t="str">
        <f aca="false">IF((F205&lt;&gt;0),F205-G205," ")</f>
        <v> </v>
      </c>
      <c r="I205" s="5"/>
      <c r="L205" s="7" t="str">
        <f aca="false">IF(F205&lt;&gt;0,F205-K205," ")</f>
        <v> </v>
      </c>
      <c r="M205" s="8" t="str">
        <f aca="false">IF((F205-K205)&lt;&gt;0,M$1-A205," ")</f>
        <v> </v>
      </c>
      <c r="N205" s="5"/>
      <c r="O205" s="17" t="str">
        <f aca="false">IF((E205="s"),H205," ")</f>
        <v> </v>
      </c>
      <c r="P205" s="17" t="str">
        <f aca="false">IF((E205="c"),H205," ")</f>
        <v> </v>
      </c>
      <c r="Q205" s="17" t="str">
        <f aca="false">IF((E205="o"),H205," ")</f>
        <v> </v>
      </c>
      <c r="R205" s="17" t="str">
        <f aca="false">IF((E205="d"),H205," ")</f>
        <v> </v>
      </c>
      <c r="S205" s="17" t="str">
        <f aca="false">IF((E205="w"),H205," ")</f>
        <v> </v>
      </c>
      <c r="T205" s="17" t="str">
        <f aca="false">IF((E205="r"),H205," ")</f>
        <v> </v>
      </c>
      <c r="U205" s="17" t="str">
        <f aca="false">IF((E205="p"),H205," ")</f>
        <v> </v>
      </c>
      <c r="V205" s="17" t="str">
        <f aca="false">IF((E205="t"),H205," ")</f>
        <v> </v>
      </c>
      <c r="W205" s="17" t="str">
        <f aca="false">IF((E205="q"),H205," ")</f>
        <v> </v>
      </c>
      <c r="X205" s="17" t="str">
        <f aca="false">IF((E205="m"),H205," ")</f>
        <v> </v>
      </c>
      <c r="Y205" s="17" t="str">
        <f aca="false">IF((E205="u"),H205," ")</f>
        <v> </v>
      </c>
      <c r="Z205" s="17" t="str">
        <f aca="false">IF((E205="a"),H205," ")</f>
        <v> </v>
      </c>
      <c r="AA205" s="17" t="str">
        <f aca="false">IF((E205="g"),H205," ")</f>
        <v> </v>
      </c>
      <c r="AB205" s="17" t="str">
        <f aca="false">IF((E205="h"),H205," ")</f>
        <v> </v>
      </c>
      <c r="AC205" s="30" t="str">
        <f aca="false">IF((E205="v"),H205," ")</f>
        <v> </v>
      </c>
      <c r="AD205" s="30" t="str">
        <f aca="false">IF((E205="n"),H205," ")</f>
        <v> </v>
      </c>
      <c r="AE205" s="17" t="str">
        <f aca="false">IF((E205="f"),H205," ")</f>
        <v> </v>
      </c>
      <c r="AF205" s="17" t="str">
        <f aca="false">IF((E205="l"),H205," ")</f>
        <v> </v>
      </c>
      <c r="AG205" s="17" t="str">
        <f aca="false">IF((E205="y"),H205," ")</f>
        <v> </v>
      </c>
      <c r="AH205" s="17" t="str">
        <f aca="false">IF((E205="z"),H205," ")</f>
        <v> </v>
      </c>
      <c r="AI205" s="17" t="str">
        <f aca="false">IF((E205="fa"),H205," ")</f>
        <v> </v>
      </c>
      <c r="AJ205" s="17" t="str">
        <f aca="false">IF((E205="e"),H205," ")</f>
        <v> </v>
      </c>
    </row>
    <row r="206" customFormat="false" ht="12" hidden="false" customHeight="false" outlineLevel="0" collapsed="false">
      <c r="A206" s="28"/>
      <c r="E206" s="2" t="str">
        <f aca="false">IF((F206&lt;&gt;0),"Enter Letter"," ")</f>
        <v> </v>
      </c>
      <c r="F206" s="30"/>
      <c r="G206" s="6" t="str">
        <f aca="false">IF(F206&lt;&gt;0,F206*G$2/(100+G$2)," ")</f>
        <v> </v>
      </c>
      <c r="H206" s="6" t="str">
        <f aca="false">IF((F206&lt;&gt;0),F206-G206," ")</f>
        <v> </v>
      </c>
      <c r="I206" s="5"/>
      <c r="L206" s="7" t="str">
        <f aca="false">IF(F206&lt;&gt;0,F206-K206," ")</f>
        <v> </v>
      </c>
      <c r="M206" s="8" t="str">
        <f aca="false">IF((F206-K206)&lt;&gt;0,M$1-A206," ")</f>
        <v> </v>
      </c>
      <c r="N206" s="5"/>
      <c r="O206" s="17" t="str">
        <f aca="false">IF((E206="s"),H206," ")</f>
        <v> </v>
      </c>
      <c r="P206" s="17" t="str">
        <f aca="false">IF((E206="c"),H206," ")</f>
        <v> </v>
      </c>
      <c r="Q206" s="17" t="str">
        <f aca="false">IF((E206="o"),H206," ")</f>
        <v> </v>
      </c>
      <c r="R206" s="17" t="str">
        <f aca="false">IF((E206="d"),H206," ")</f>
        <v> </v>
      </c>
      <c r="S206" s="17" t="str">
        <f aca="false">IF((E206="w"),H206," ")</f>
        <v> </v>
      </c>
      <c r="T206" s="17" t="str">
        <f aca="false">IF((E206="r"),H206," ")</f>
        <v> </v>
      </c>
      <c r="U206" s="17" t="str">
        <f aca="false">IF((E206="p"),H206," ")</f>
        <v> </v>
      </c>
      <c r="V206" s="17" t="str">
        <f aca="false">IF((E206="t"),H206," ")</f>
        <v> </v>
      </c>
      <c r="W206" s="17" t="str">
        <f aca="false">IF((E206="q"),H206," ")</f>
        <v> </v>
      </c>
      <c r="X206" s="17" t="str">
        <f aca="false">IF((E206="m"),H206," ")</f>
        <v> </v>
      </c>
      <c r="Y206" s="17" t="str">
        <f aca="false">IF((E206="u"),H206," ")</f>
        <v> </v>
      </c>
      <c r="Z206" s="17" t="str">
        <f aca="false">IF((E206="a"),H206," ")</f>
        <v> </v>
      </c>
      <c r="AA206" s="17" t="str">
        <f aca="false">IF((E206="g"),H206," ")</f>
        <v> </v>
      </c>
      <c r="AB206" s="17" t="str">
        <f aca="false">IF((E206="h"),H206," ")</f>
        <v> </v>
      </c>
      <c r="AC206" s="30" t="str">
        <f aca="false">IF((E206="v"),H206," ")</f>
        <v> </v>
      </c>
      <c r="AD206" s="30" t="str">
        <f aca="false">IF((E206="n"),H206," ")</f>
        <v> </v>
      </c>
      <c r="AE206" s="17" t="str">
        <f aca="false">IF((E206="f"),H206," ")</f>
        <v> </v>
      </c>
      <c r="AF206" s="17" t="str">
        <f aca="false">IF((E206="l"),H206," ")</f>
        <v> </v>
      </c>
      <c r="AG206" s="17" t="str">
        <f aca="false">IF((E206="y"),H206," ")</f>
        <v> </v>
      </c>
      <c r="AH206" s="17" t="str">
        <f aca="false">IF((E206="z"),H206," ")</f>
        <v> </v>
      </c>
      <c r="AI206" s="17" t="str">
        <f aca="false">IF((E206="fa"),H206," ")</f>
        <v> </v>
      </c>
      <c r="AJ206" s="17" t="str">
        <f aca="false">IF((E206="e"),H206," ")</f>
        <v> </v>
      </c>
    </row>
    <row r="207" customFormat="false" ht="12" hidden="false" customHeight="false" outlineLevel="0" collapsed="false">
      <c r="A207" s="28"/>
      <c r="E207" s="2" t="str">
        <f aca="false">IF((F207&lt;&gt;0),"Enter Letter"," ")</f>
        <v> </v>
      </c>
      <c r="F207" s="30"/>
      <c r="G207" s="6" t="str">
        <f aca="false">IF(F207&lt;&gt;0,F207*G$2/(100+G$2)," ")</f>
        <v> </v>
      </c>
      <c r="H207" s="6" t="str">
        <f aca="false">IF((F207&lt;&gt;0),F207-G207," ")</f>
        <v> </v>
      </c>
      <c r="I207" s="5"/>
      <c r="L207" s="7" t="str">
        <f aca="false">IF(F207&lt;&gt;0,F207-K207," ")</f>
        <v> </v>
      </c>
      <c r="M207" s="8" t="str">
        <f aca="false">IF((F207-K207)&lt;&gt;0,M$1-A207," ")</f>
        <v> </v>
      </c>
      <c r="N207" s="5"/>
      <c r="O207" s="17" t="str">
        <f aca="false">IF((E207="s"),H207," ")</f>
        <v> </v>
      </c>
      <c r="P207" s="17" t="str">
        <f aca="false">IF((E207="c"),H207," ")</f>
        <v> </v>
      </c>
      <c r="Q207" s="17" t="str">
        <f aca="false">IF((E207="o"),H207," ")</f>
        <v> </v>
      </c>
      <c r="R207" s="17" t="str">
        <f aca="false">IF((E207="d"),H207," ")</f>
        <v> </v>
      </c>
      <c r="S207" s="17" t="str">
        <f aca="false">IF((E207="w"),H207," ")</f>
        <v> </v>
      </c>
      <c r="T207" s="17" t="str">
        <f aca="false">IF((E207="r"),H207," ")</f>
        <v> </v>
      </c>
      <c r="U207" s="17" t="str">
        <f aca="false">IF((E207="p"),H207," ")</f>
        <v> </v>
      </c>
      <c r="V207" s="17" t="str">
        <f aca="false">IF((E207="t"),H207," ")</f>
        <v> </v>
      </c>
      <c r="W207" s="17" t="str">
        <f aca="false">IF((E207="q"),H207," ")</f>
        <v> </v>
      </c>
      <c r="X207" s="17" t="str">
        <f aca="false">IF((E207="m"),H207," ")</f>
        <v> </v>
      </c>
      <c r="Y207" s="17" t="str">
        <f aca="false">IF((E207="u"),H207," ")</f>
        <v> </v>
      </c>
      <c r="Z207" s="17" t="str">
        <f aca="false">IF((E207="a"),H207," ")</f>
        <v> </v>
      </c>
      <c r="AA207" s="17" t="str">
        <f aca="false">IF((E207="g"),H207," ")</f>
        <v> </v>
      </c>
      <c r="AB207" s="17" t="str">
        <f aca="false">IF((E207="h"),H207," ")</f>
        <v> </v>
      </c>
      <c r="AC207" s="30" t="str">
        <f aca="false">IF((E207="v"),H207," ")</f>
        <v> </v>
      </c>
      <c r="AD207" s="30" t="str">
        <f aca="false">IF((E207="n"),H207," ")</f>
        <v> </v>
      </c>
      <c r="AE207" s="17" t="str">
        <f aca="false">IF((E207="f"),H207," ")</f>
        <v> </v>
      </c>
      <c r="AF207" s="17" t="str">
        <f aca="false">IF((E207="l"),H207," ")</f>
        <v> </v>
      </c>
      <c r="AG207" s="17" t="str">
        <f aca="false">IF((E207="y"),H207," ")</f>
        <v> </v>
      </c>
      <c r="AH207" s="17" t="str">
        <f aca="false">IF((E207="z"),H207," ")</f>
        <v> </v>
      </c>
      <c r="AI207" s="17" t="str">
        <f aca="false">IF((E207="fa"),H207," ")</f>
        <v> </v>
      </c>
      <c r="AJ207" s="17" t="str">
        <f aca="false">IF((E207="e"),H207," ")</f>
        <v> </v>
      </c>
    </row>
    <row r="208" customFormat="false" ht="12" hidden="false" customHeight="false" outlineLevel="0" collapsed="false">
      <c r="A208" s="28"/>
      <c r="E208" s="2" t="str">
        <f aca="false">IF((F208&lt;&gt;0),"Enter Letter"," ")</f>
        <v> </v>
      </c>
      <c r="F208" s="30"/>
      <c r="G208" s="6" t="str">
        <f aca="false">IF(F208&lt;&gt;0,F208*G$2/(100+G$2)," ")</f>
        <v> </v>
      </c>
      <c r="H208" s="6" t="str">
        <f aca="false">IF((F208&lt;&gt;0),F208-G208," ")</f>
        <v> </v>
      </c>
      <c r="I208" s="5"/>
      <c r="L208" s="7" t="str">
        <f aca="false">IF(F208&lt;&gt;0,F208-K208," ")</f>
        <v> </v>
      </c>
      <c r="M208" s="8" t="str">
        <f aca="false">IF((F208-K208)&lt;&gt;0,M$1-A208," ")</f>
        <v> </v>
      </c>
      <c r="N208" s="5"/>
      <c r="O208" s="17" t="str">
        <f aca="false">IF((E208="s"),H208," ")</f>
        <v> </v>
      </c>
      <c r="P208" s="17" t="str">
        <f aca="false">IF((E208="c"),H208," ")</f>
        <v> </v>
      </c>
      <c r="Q208" s="17" t="str">
        <f aca="false">IF((E208="o"),H208," ")</f>
        <v> </v>
      </c>
      <c r="R208" s="17" t="str">
        <f aca="false">IF((E208="d"),H208," ")</f>
        <v> </v>
      </c>
      <c r="S208" s="17" t="str">
        <f aca="false">IF((E208="w"),H208," ")</f>
        <v> </v>
      </c>
      <c r="T208" s="17" t="str">
        <f aca="false">IF((E208="r"),H208," ")</f>
        <v> </v>
      </c>
      <c r="U208" s="17" t="str">
        <f aca="false">IF((E208="p"),H208," ")</f>
        <v> </v>
      </c>
      <c r="V208" s="17" t="str">
        <f aca="false">IF((E208="t"),H208," ")</f>
        <v> </v>
      </c>
      <c r="W208" s="17" t="str">
        <f aca="false">IF((E208="q"),H208," ")</f>
        <v> </v>
      </c>
      <c r="X208" s="17" t="str">
        <f aca="false">IF((E208="m"),H208," ")</f>
        <v> </v>
      </c>
      <c r="Y208" s="17" t="str">
        <f aca="false">IF((E208="u"),H208," ")</f>
        <v> </v>
      </c>
      <c r="Z208" s="17" t="str">
        <f aca="false">IF((E208="a"),H208," ")</f>
        <v> </v>
      </c>
      <c r="AA208" s="17" t="str">
        <f aca="false">IF((E208="g"),H208," ")</f>
        <v> </v>
      </c>
      <c r="AB208" s="17" t="str">
        <f aca="false">IF((E208="h"),H208," ")</f>
        <v> </v>
      </c>
      <c r="AC208" s="30" t="str">
        <f aca="false">IF((E208="v"),H208," ")</f>
        <v> </v>
      </c>
      <c r="AD208" s="30" t="str">
        <f aca="false">IF((E208="n"),H208," ")</f>
        <v> </v>
      </c>
      <c r="AE208" s="17" t="str">
        <f aca="false">IF((E208="f"),H208," ")</f>
        <v> </v>
      </c>
      <c r="AF208" s="17" t="str">
        <f aca="false">IF((E208="l"),H208," ")</f>
        <v> </v>
      </c>
      <c r="AG208" s="17" t="str">
        <f aca="false">IF((E208="y"),H208," ")</f>
        <v> </v>
      </c>
      <c r="AH208" s="17" t="str">
        <f aca="false">IF((E208="z"),H208," ")</f>
        <v> </v>
      </c>
      <c r="AI208" s="17" t="str">
        <f aca="false">IF((E208="fa"),H208," ")</f>
        <v> </v>
      </c>
      <c r="AJ208" s="17" t="str">
        <f aca="false">IF((E208="e"),H208," ")</f>
        <v> </v>
      </c>
    </row>
    <row r="209" customFormat="false" ht="12" hidden="false" customHeight="false" outlineLevel="0" collapsed="false">
      <c r="A209" s="28"/>
      <c r="E209" s="2" t="str">
        <f aca="false">IF((F209&lt;&gt;0),"Enter Letter"," ")</f>
        <v> </v>
      </c>
      <c r="F209" s="30"/>
      <c r="G209" s="6" t="str">
        <f aca="false">IF(F209&lt;&gt;0,F209*G$2/(100+G$2)," ")</f>
        <v> </v>
      </c>
      <c r="H209" s="6" t="str">
        <f aca="false">IF((F209&lt;&gt;0),F209-G209," ")</f>
        <v> </v>
      </c>
      <c r="I209" s="5"/>
      <c r="L209" s="7" t="str">
        <f aca="false">IF(F209&lt;&gt;0,F209-K209," ")</f>
        <v> </v>
      </c>
      <c r="M209" s="8" t="str">
        <f aca="false">IF((F209-K209)&lt;&gt;0,M$1-A209," ")</f>
        <v> </v>
      </c>
      <c r="N209" s="5"/>
      <c r="O209" s="17" t="str">
        <f aca="false">IF((E209="s"),H209," ")</f>
        <v> </v>
      </c>
      <c r="P209" s="17" t="str">
        <f aca="false">IF((E209="c"),H209," ")</f>
        <v> </v>
      </c>
      <c r="Q209" s="17" t="str">
        <f aca="false">IF((E209="o"),H209," ")</f>
        <v> </v>
      </c>
      <c r="R209" s="17" t="str">
        <f aca="false">IF((E209="d"),H209," ")</f>
        <v> </v>
      </c>
      <c r="S209" s="17" t="str">
        <f aca="false">IF((E209="w"),H209," ")</f>
        <v> </v>
      </c>
      <c r="T209" s="17" t="str">
        <f aca="false">IF((E209="r"),H209," ")</f>
        <v> </v>
      </c>
      <c r="U209" s="17" t="str">
        <f aca="false">IF((E209="p"),H209," ")</f>
        <v> </v>
      </c>
      <c r="V209" s="17" t="str">
        <f aca="false">IF((E209="t"),H209," ")</f>
        <v> </v>
      </c>
      <c r="W209" s="17" t="str">
        <f aca="false">IF((E209="q"),H209," ")</f>
        <v> </v>
      </c>
      <c r="X209" s="17" t="str">
        <f aca="false">IF((E209="m"),H209," ")</f>
        <v> </v>
      </c>
      <c r="Y209" s="17" t="str">
        <f aca="false">IF((E209="u"),H209," ")</f>
        <v> </v>
      </c>
      <c r="Z209" s="17" t="str">
        <f aca="false">IF((E209="a"),H209," ")</f>
        <v> </v>
      </c>
      <c r="AA209" s="17" t="str">
        <f aca="false">IF((E209="g"),H209," ")</f>
        <v> </v>
      </c>
      <c r="AB209" s="17" t="str">
        <f aca="false">IF((E209="h"),H209," ")</f>
        <v> </v>
      </c>
      <c r="AC209" s="30" t="str">
        <f aca="false">IF((E209="v"),H209," ")</f>
        <v> </v>
      </c>
      <c r="AD209" s="30" t="str">
        <f aca="false">IF((E209="n"),H209," ")</f>
        <v> </v>
      </c>
      <c r="AE209" s="17" t="str">
        <f aca="false">IF((E209="f"),H209," ")</f>
        <v> </v>
      </c>
      <c r="AF209" s="17" t="str">
        <f aca="false">IF((E209="l"),H209," ")</f>
        <v> </v>
      </c>
      <c r="AG209" s="17" t="str">
        <f aca="false">IF((E209="y"),H209," ")</f>
        <v> </v>
      </c>
      <c r="AH209" s="17" t="str">
        <f aca="false">IF((E209="z"),H209," ")</f>
        <v> </v>
      </c>
      <c r="AI209" s="17" t="str">
        <f aca="false">IF((E209="fa"),H209," ")</f>
        <v> </v>
      </c>
      <c r="AJ209" s="17" t="str">
        <f aca="false">IF((E209="e"),H209," ")</f>
        <v> </v>
      </c>
    </row>
    <row r="210" customFormat="false" ht="12" hidden="false" customHeight="false" outlineLevel="0" collapsed="false">
      <c r="A210" s="28"/>
      <c r="E210" s="2" t="str">
        <f aca="false">IF((F210&lt;&gt;0),"Enter Letter"," ")</f>
        <v> </v>
      </c>
      <c r="F210" s="30"/>
      <c r="G210" s="6" t="str">
        <f aca="false">IF(F210&lt;&gt;0,F210*G$2/(100+G$2)," ")</f>
        <v> </v>
      </c>
      <c r="H210" s="6" t="str">
        <f aca="false">IF((F210&lt;&gt;0),F210-G210," ")</f>
        <v> </v>
      </c>
      <c r="I210" s="5"/>
      <c r="L210" s="7" t="str">
        <f aca="false">IF(F210&lt;&gt;0,F210-K210," ")</f>
        <v> </v>
      </c>
      <c r="M210" s="8" t="str">
        <f aca="false">IF((F210-K210)&lt;&gt;0,M$1-A210," ")</f>
        <v> </v>
      </c>
      <c r="N210" s="5"/>
      <c r="O210" s="17" t="str">
        <f aca="false">IF((E210="s"),H210," ")</f>
        <v> </v>
      </c>
      <c r="P210" s="17" t="str">
        <f aca="false">IF((E210="c"),H210," ")</f>
        <v> </v>
      </c>
      <c r="Q210" s="17" t="str">
        <f aca="false">IF((E210="o"),H210," ")</f>
        <v> </v>
      </c>
      <c r="R210" s="17" t="str">
        <f aca="false">IF((E210="d"),H210," ")</f>
        <v> </v>
      </c>
      <c r="S210" s="17" t="str">
        <f aca="false">IF((E210="w"),H210," ")</f>
        <v> </v>
      </c>
      <c r="T210" s="17" t="str">
        <f aca="false">IF((E210="r"),H210," ")</f>
        <v> </v>
      </c>
      <c r="U210" s="17" t="str">
        <f aca="false">IF((E210="p"),H210," ")</f>
        <v> </v>
      </c>
      <c r="V210" s="17" t="str">
        <f aca="false">IF((E210="t"),H210," ")</f>
        <v> </v>
      </c>
      <c r="W210" s="17" t="str">
        <f aca="false">IF((E210="q"),H210," ")</f>
        <v> </v>
      </c>
      <c r="X210" s="17" t="str">
        <f aca="false">IF((E210="m"),H210," ")</f>
        <v> </v>
      </c>
      <c r="Y210" s="17" t="str">
        <f aca="false">IF((E210="u"),H210," ")</f>
        <v> </v>
      </c>
      <c r="Z210" s="17" t="str">
        <f aca="false">IF((E210="a"),H210," ")</f>
        <v> </v>
      </c>
      <c r="AA210" s="17" t="str">
        <f aca="false">IF((E210="g"),H210," ")</f>
        <v> </v>
      </c>
      <c r="AB210" s="17" t="str">
        <f aca="false">IF((E210="h"),H210," ")</f>
        <v> </v>
      </c>
      <c r="AC210" s="30" t="str">
        <f aca="false">IF((E210="v"),H210," ")</f>
        <v> </v>
      </c>
      <c r="AD210" s="30" t="str">
        <f aca="false">IF((E210="n"),H210," ")</f>
        <v> </v>
      </c>
      <c r="AE210" s="17" t="str">
        <f aca="false">IF((E210="f"),H210," ")</f>
        <v> </v>
      </c>
      <c r="AF210" s="17" t="str">
        <f aca="false">IF((E210="l"),H210," ")</f>
        <v> </v>
      </c>
      <c r="AG210" s="17" t="str">
        <f aca="false">IF((E210="y"),H210," ")</f>
        <v> </v>
      </c>
      <c r="AH210" s="17" t="str">
        <f aca="false">IF((E210="z"),H210," ")</f>
        <v> </v>
      </c>
      <c r="AI210" s="17" t="str">
        <f aca="false">IF((E210="fa"),H210," ")</f>
        <v> </v>
      </c>
      <c r="AJ210" s="17" t="str">
        <f aca="false">IF((E210="e"),H210," ")</f>
        <v> </v>
      </c>
    </row>
    <row r="211" customFormat="false" ht="12" hidden="false" customHeight="false" outlineLevel="0" collapsed="false">
      <c r="A211" s="28"/>
      <c r="E211" s="2" t="str">
        <f aca="false">IF((F211&lt;&gt;0),"Enter Letter"," ")</f>
        <v> </v>
      </c>
      <c r="F211" s="30"/>
      <c r="G211" s="6" t="str">
        <f aca="false">IF(F211&lt;&gt;0,F211*G$2/(100+G$2)," ")</f>
        <v> </v>
      </c>
      <c r="H211" s="6" t="str">
        <f aca="false">IF((F211&lt;&gt;0),F211-G211," ")</f>
        <v> </v>
      </c>
      <c r="I211" s="5"/>
      <c r="L211" s="7" t="str">
        <f aca="false">IF(F211&lt;&gt;0,F211-K211," ")</f>
        <v> </v>
      </c>
      <c r="M211" s="8" t="str">
        <f aca="false">IF((F211-K211)&lt;&gt;0,M$1-A211," ")</f>
        <v> </v>
      </c>
      <c r="N211" s="5"/>
      <c r="O211" s="17" t="str">
        <f aca="false">IF((E211="s"),H211," ")</f>
        <v> </v>
      </c>
      <c r="P211" s="17" t="str">
        <f aca="false">IF((E211="c"),H211," ")</f>
        <v> </v>
      </c>
      <c r="Q211" s="17" t="str">
        <f aca="false">IF((E211="o"),H211," ")</f>
        <v> </v>
      </c>
      <c r="R211" s="17" t="str">
        <f aca="false">IF((E211="d"),H211," ")</f>
        <v> </v>
      </c>
      <c r="S211" s="17" t="str">
        <f aca="false">IF((E211="w"),H211," ")</f>
        <v> </v>
      </c>
      <c r="T211" s="17" t="str">
        <f aca="false">IF((E211="r"),H211," ")</f>
        <v> </v>
      </c>
      <c r="U211" s="17" t="str">
        <f aca="false">IF((E211="p"),H211," ")</f>
        <v> </v>
      </c>
      <c r="V211" s="17" t="str">
        <f aca="false">IF((E211="t"),H211," ")</f>
        <v> </v>
      </c>
      <c r="W211" s="17" t="str">
        <f aca="false">IF((E211="q"),H211," ")</f>
        <v> </v>
      </c>
      <c r="X211" s="17" t="str">
        <f aca="false">IF((E211="m"),H211," ")</f>
        <v> </v>
      </c>
      <c r="Y211" s="17" t="str">
        <f aca="false">IF((E211="u"),H211," ")</f>
        <v> </v>
      </c>
      <c r="Z211" s="17" t="str">
        <f aca="false">IF((E211="a"),H211," ")</f>
        <v> </v>
      </c>
      <c r="AA211" s="17" t="str">
        <f aca="false">IF((E211="g"),H211," ")</f>
        <v> </v>
      </c>
      <c r="AB211" s="17" t="str">
        <f aca="false">IF((E211="h"),H211," ")</f>
        <v> </v>
      </c>
      <c r="AC211" s="30" t="str">
        <f aca="false">IF((E211="v"),H211," ")</f>
        <v> </v>
      </c>
      <c r="AD211" s="30" t="str">
        <f aca="false">IF((E211="n"),H211," ")</f>
        <v> </v>
      </c>
      <c r="AE211" s="17" t="str">
        <f aca="false">IF((E211="f"),H211," ")</f>
        <v> </v>
      </c>
      <c r="AF211" s="17" t="str">
        <f aca="false">IF((E211="l"),H211," ")</f>
        <v> </v>
      </c>
      <c r="AG211" s="17" t="str">
        <f aca="false">IF((E211="y"),H211," ")</f>
        <v> </v>
      </c>
      <c r="AH211" s="17" t="str">
        <f aca="false">IF((E211="z"),H211," ")</f>
        <v> </v>
      </c>
      <c r="AI211" s="17" t="str">
        <f aca="false">IF((E211="fa"),H211," ")</f>
        <v> </v>
      </c>
      <c r="AJ211" s="17" t="str">
        <f aca="false">IF((E211="e"),H211," ")</f>
        <v> </v>
      </c>
    </row>
    <row r="212" customFormat="false" ht="12" hidden="false" customHeight="false" outlineLevel="0" collapsed="false">
      <c r="A212" s="28"/>
      <c r="E212" s="2" t="str">
        <f aca="false">IF((F212&lt;&gt;0),"Enter Letter"," ")</f>
        <v> </v>
      </c>
      <c r="F212" s="30"/>
      <c r="G212" s="6" t="str">
        <f aca="false">IF(F212&lt;&gt;0,F212*G$2/(100+G$2)," ")</f>
        <v> </v>
      </c>
      <c r="H212" s="6" t="str">
        <f aca="false">IF((F212&lt;&gt;0),F212-G212," ")</f>
        <v> </v>
      </c>
      <c r="I212" s="5"/>
      <c r="L212" s="7" t="str">
        <f aca="false">IF(F212&lt;&gt;0,F212-K212," ")</f>
        <v> </v>
      </c>
      <c r="M212" s="8" t="str">
        <f aca="false">IF((F212-K212)&lt;&gt;0,M$1-A212," ")</f>
        <v> </v>
      </c>
      <c r="N212" s="5"/>
      <c r="O212" s="17" t="str">
        <f aca="false">IF((E212="s"),H212," ")</f>
        <v> </v>
      </c>
      <c r="P212" s="17" t="str">
        <f aca="false">IF((E212="c"),H212," ")</f>
        <v> </v>
      </c>
      <c r="Q212" s="17" t="str">
        <f aca="false">IF((E212="o"),H212," ")</f>
        <v> </v>
      </c>
      <c r="R212" s="17" t="str">
        <f aca="false">IF((E212="d"),H212," ")</f>
        <v> </v>
      </c>
      <c r="S212" s="17" t="str">
        <f aca="false">IF((E212="w"),H212," ")</f>
        <v> </v>
      </c>
      <c r="T212" s="17" t="str">
        <f aca="false">IF((E212="r"),H212," ")</f>
        <v> </v>
      </c>
      <c r="U212" s="17" t="str">
        <f aca="false">IF((E212="p"),H212," ")</f>
        <v> </v>
      </c>
      <c r="V212" s="17" t="str">
        <f aca="false">IF((E212="t"),H212," ")</f>
        <v> </v>
      </c>
      <c r="W212" s="17" t="str">
        <f aca="false">IF((E212="q"),H212," ")</f>
        <v> </v>
      </c>
      <c r="X212" s="17" t="str">
        <f aca="false">IF((E212="m"),H212," ")</f>
        <v> </v>
      </c>
      <c r="Y212" s="17" t="str">
        <f aca="false">IF((E212="u"),H212," ")</f>
        <v> </v>
      </c>
      <c r="Z212" s="17" t="str">
        <f aca="false">IF((E212="a"),H212," ")</f>
        <v> </v>
      </c>
      <c r="AA212" s="17" t="str">
        <f aca="false">IF((E212="g"),H212," ")</f>
        <v> </v>
      </c>
      <c r="AB212" s="17" t="str">
        <f aca="false">IF((E212="h"),H212," ")</f>
        <v> </v>
      </c>
      <c r="AC212" s="30" t="str">
        <f aca="false">IF((E212="v"),H212," ")</f>
        <v> </v>
      </c>
      <c r="AD212" s="30" t="str">
        <f aca="false">IF((E212="n"),H212," ")</f>
        <v> </v>
      </c>
      <c r="AE212" s="17" t="str">
        <f aca="false">IF((E212="f"),H212," ")</f>
        <v> </v>
      </c>
      <c r="AF212" s="17" t="str">
        <f aca="false">IF((E212="l"),H212," ")</f>
        <v> </v>
      </c>
      <c r="AG212" s="17" t="str">
        <f aca="false">IF((E212="y"),H212," ")</f>
        <v> </v>
      </c>
      <c r="AH212" s="17" t="str">
        <f aca="false">IF((E212="z"),H212," ")</f>
        <v> </v>
      </c>
      <c r="AI212" s="17" t="str">
        <f aca="false">IF((E212="fa"),H212," ")</f>
        <v> </v>
      </c>
      <c r="AJ212" s="17" t="str">
        <f aca="false">IF((E212="e"),H212," ")</f>
        <v> </v>
      </c>
    </row>
    <row r="213" customFormat="false" ht="12" hidden="false" customHeight="false" outlineLevel="0" collapsed="false">
      <c r="A213" s="28"/>
      <c r="E213" s="2" t="str">
        <f aca="false">IF((F213&lt;&gt;0),"Enter Letter"," ")</f>
        <v> </v>
      </c>
      <c r="F213" s="30"/>
      <c r="G213" s="6" t="str">
        <f aca="false">IF(F213&lt;&gt;0,F213*G$2/(100+G$2)," ")</f>
        <v> </v>
      </c>
      <c r="H213" s="6" t="str">
        <f aca="false">IF((F213&lt;&gt;0),F213-G213," ")</f>
        <v> </v>
      </c>
      <c r="I213" s="5"/>
      <c r="L213" s="7" t="str">
        <f aca="false">IF(F213&lt;&gt;0,F213-K213," ")</f>
        <v> </v>
      </c>
      <c r="M213" s="8" t="str">
        <f aca="false">IF((F213-K213)&lt;&gt;0,M$1-A213," ")</f>
        <v> </v>
      </c>
      <c r="N213" s="5"/>
      <c r="O213" s="17" t="str">
        <f aca="false">IF((E213="s"),H213," ")</f>
        <v> </v>
      </c>
      <c r="P213" s="17" t="str">
        <f aca="false">IF((E213="c"),H213," ")</f>
        <v> </v>
      </c>
      <c r="Q213" s="17" t="str">
        <f aca="false">IF((E213="o"),H213," ")</f>
        <v> </v>
      </c>
      <c r="R213" s="17" t="str">
        <f aca="false">IF((E213="d"),H213," ")</f>
        <v> </v>
      </c>
      <c r="S213" s="17" t="str">
        <f aca="false">IF((E213="w"),H213," ")</f>
        <v> </v>
      </c>
      <c r="T213" s="17" t="str">
        <f aca="false">IF((E213="r"),H213," ")</f>
        <v> </v>
      </c>
      <c r="U213" s="17" t="str">
        <f aca="false">IF((E213="p"),H213," ")</f>
        <v> </v>
      </c>
      <c r="V213" s="17" t="str">
        <f aca="false">IF((E213="t"),H213," ")</f>
        <v> </v>
      </c>
      <c r="W213" s="17" t="str">
        <f aca="false">IF((E213="q"),H213," ")</f>
        <v> </v>
      </c>
      <c r="X213" s="17" t="str">
        <f aca="false">IF((E213="m"),H213," ")</f>
        <v> </v>
      </c>
      <c r="Y213" s="17" t="str">
        <f aca="false">IF((E213="u"),H213," ")</f>
        <v> </v>
      </c>
      <c r="Z213" s="17" t="str">
        <f aca="false">IF((E213="a"),H213," ")</f>
        <v> </v>
      </c>
      <c r="AA213" s="17" t="str">
        <f aca="false">IF((E213="g"),H213," ")</f>
        <v> </v>
      </c>
      <c r="AB213" s="17" t="str">
        <f aca="false">IF((E213="h"),H213," ")</f>
        <v> </v>
      </c>
      <c r="AC213" s="30" t="str">
        <f aca="false">IF((E213="v"),H213," ")</f>
        <v> </v>
      </c>
      <c r="AD213" s="30" t="str">
        <f aca="false">IF((E213="n"),H213," ")</f>
        <v> </v>
      </c>
      <c r="AE213" s="17" t="str">
        <f aca="false">IF((E213="f"),H213," ")</f>
        <v> </v>
      </c>
      <c r="AF213" s="17" t="str">
        <f aca="false">IF((E213="l"),H213," ")</f>
        <v> </v>
      </c>
      <c r="AG213" s="17" t="str">
        <f aca="false">IF((E213="y"),H213," ")</f>
        <v> </v>
      </c>
      <c r="AH213" s="17" t="str">
        <f aca="false">IF((E213="z"),H213," ")</f>
        <v> </v>
      </c>
      <c r="AI213" s="17" t="str">
        <f aca="false">IF((E213="fa"),H213," ")</f>
        <v> </v>
      </c>
      <c r="AJ213" s="17" t="str">
        <f aca="false">IF((E213="e"),H213," ")</f>
        <v> </v>
      </c>
    </row>
    <row r="214" customFormat="false" ht="12" hidden="false" customHeight="false" outlineLevel="0" collapsed="false">
      <c r="A214" s="28"/>
      <c r="E214" s="2" t="str">
        <f aca="false">IF((F214&lt;&gt;0),"Enter Letter"," ")</f>
        <v> </v>
      </c>
      <c r="F214" s="30"/>
      <c r="G214" s="6" t="str">
        <f aca="false">IF(F214&lt;&gt;0,F214*G$2/(100+G$2)," ")</f>
        <v> </v>
      </c>
      <c r="H214" s="6" t="str">
        <f aca="false">IF((F214&lt;&gt;0),F214-G214," ")</f>
        <v> </v>
      </c>
      <c r="I214" s="5"/>
      <c r="L214" s="7" t="str">
        <f aca="false">IF(F214&lt;&gt;0,F214-K214," ")</f>
        <v> </v>
      </c>
      <c r="M214" s="8" t="str">
        <f aca="false">IF((F214-K214)&lt;&gt;0,M$1-A214," ")</f>
        <v> </v>
      </c>
      <c r="N214" s="5"/>
      <c r="O214" s="17" t="str">
        <f aca="false">IF((E214="s"),H214," ")</f>
        <v> </v>
      </c>
      <c r="P214" s="17" t="str">
        <f aca="false">IF((E214="c"),H214," ")</f>
        <v> </v>
      </c>
      <c r="Q214" s="17" t="str">
        <f aca="false">IF((E214="o"),H214," ")</f>
        <v> </v>
      </c>
      <c r="R214" s="17" t="str">
        <f aca="false">IF((E214="d"),H214," ")</f>
        <v> </v>
      </c>
      <c r="S214" s="17" t="str">
        <f aca="false">IF((E214="w"),H214," ")</f>
        <v> </v>
      </c>
      <c r="T214" s="17" t="str">
        <f aca="false">IF((E214="r"),H214," ")</f>
        <v> </v>
      </c>
      <c r="U214" s="17" t="str">
        <f aca="false">IF((E214="p"),H214," ")</f>
        <v> </v>
      </c>
      <c r="V214" s="17" t="str">
        <f aca="false">IF((E214="t"),H214," ")</f>
        <v> </v>
      </c>
      <c r="W214" s="17" t="str">
        <f aca="false">IF((E214="q"),H214," ")</f>
        <v> </v>
      </c>
      <c r="X214" s="17" t="str">
        <f aca="false">IF((E214="m"),H214," ")</f>
        <v> </v>
      </c>
      <c r="Y214" s="17" t="str">
        <f aca="false">IF((E214="u"),H214," ")</f>
        <v> </v>
      </c>
      <c r="Z214" s="17" t="str">
        <f aca="false">IF((E214="a"),H214," ")</f>
        <v> </v>
      </c>
      <c r="AA214" s="17" t="str">
        <f aca="false">IF((E214="g"),H214," ")</f>
        <v> </v>
      </c>
      <c r="AB214" s="17" t="str">
        <f aca="false">IF((E214="h"),H214," ")</f>
        <v> </v>
      </c>
      <c r="AC214" s="30" t="str">
        <f aca="false">IF((E214="v"),H214," ")</f>
        <v> </v>
      </c>
      <c r="AD214" s="30" t="str">
        <f aca="false">IF((E214="n"),H214," ")</f>
        <v> </v>
      </c>
      <c r="AE214" s="17" t="str">
        <f aca="false">IF((E214="f"),H214," ")</f>
        <v> </v>
      </c>
      <c r="AF214" s="17" t="str">
        <f aca="false">IF((E214="l"),H214," ")</f>
        <v> </v>
      </c>
      <c r="AG214" s="17" t="str">
        <f aca="false">IF((E214="y"),H214," ")</f>
        <v> </v>
      </c>
      <c r="AH214" s="17" t="str">
        <f aca="false">IF((E214="z"),H214," ")</f>
        <v> </v>
      </c>
      <c r="AI214" s="17" t="str">
        <f aca="false">IF((E214="fa"),H214," ")</f>
        <v> </v>
      </c>
      <c r="AJ214" s="17" t="str">
        <f aca="false">IF((E214="e"),H214," ")</f>
        <v> </v>
      </c>
    </row>
    <row r="215" customFormat="false" ht="12" hidden="false" customHeight="false" outlineLevel="0" collapsed="false">
      <c r="A215" s="28"/>
      <c r="E215" s="2" t="str">
        <f aca="false">IF((F215&lt;&gt;0),"Enter Letter"," ")</f>
        <v> </v>
      </c>
      <c r="F215" s="30"/>
      <c r="G215" s="6" t="str">
        <f aca="false">IF(F215&lt;&gt;0,F215*G$2/(100+G$2)," ")</f>
        <v> </v>
      </c>
      <c r="H215" s="6" t="str">
        <f aca="false">IF((F215&lt;&gt;0),F215-G215," ")</f>
        <v> </v>
      </c>
      <c r="I215" s="5"/>
      <c r="L215" s="7" t="str">
        <f aca="false">IF(F215&lt;&gt;0,F215-K215," ")</f>
        <v> </v>
      </c>
      <c r="M215" s="8" t="str">
        <f aca="false">IF((F215-K215)&lt;&gt;0,M$1-A215," ")</f>
        <v> </v>
      </c>
      <c r="N215" s="5"/>
      <c r="O215" s="17" t="str">
        <f aca="false">IF((E215="s"),H215," ")</f>
        <v> </v>
      </c>
      <c r="P215" s="17" t="str">
        <f aca="false">IF((E215="c"),H215," ")</f>
        <v> </v>
      </c>
      <c r="Q215" s="17" t="str">
        <f aca="false">IF((E215="o"),H215," ")</f>
        <v> </v>
      </c>
      <c r="R215" s="17" t="str">
        <f aca="false">IF((E215="d"),H215," ")</f>
        <v> </v>
      </c>
      <c r="S215" s="17" t="str">
        <f aca="false">IF((E215="w"),H215," ")</f>
        <v> </v>
      </c>
      <c r="T215" s="17" t="str">
        <f aca="false">IF((E215="r"),H215," ")</f>
        <v> </v>
      </c>
      <c r="U215" s="17" t="str">
        <f aca="false">IF((E215="p"),H215," ")</f>
        <v> </v>
      </c>
      <c r="V215" s="17" t="str">
        <f aca="false">IF((E215="t"),H215," ")</f>
        <v> </v>
      </c>
      <c r="W215" s="17" t="str">
        <f aca="false">IF((E215="q"),H215," ")</f>
        <v> </v>
      </c>
      <c r="X215" s="17" t="str">
        <f aca="false">IF((E215="m"),H215," ")</f>
        <v> </v>
      </c>
      <c r="Y215" s="17" t="str">
        <f aca="false">IF((E215="u"),H215," ")</f>
        <v> </v>
      </c>
      <c r="Z215" s="17" t="str">
        <f aca="false">IF((E215="a"),H215," ")</f>
        <v> </v>
      </c>
      <c r="AA215" s="17" t="str">
        <f aca="false">IF((E215="g"),H215," ")</f>
        <v> </v>
      </c>
      <c r="AB215" s="17" t="str">
        <f aca="false">IF((E215="h"),H215," ")</f>
        <v> </v>
      </c>
      <c r="AC215" s="30" t="str">
        <f aca="false">IF((E215="v"),H215," ")</f>
        <v> </v>
      </c>
      <c r="AD215" s="30" t="str">
        <f aca="false">IF((E215="n"),H215," ")</f>
        <v> </v>
      </c>
      <c r="AE215" s="17" t="str">
        <f aca="false">IF((E215="f"),H215," ")</f>
        <v> </v>
      </c>
      <c r="AF215" s="17" t="str">
        <f aca="false">IF((E215="l"),H215," ")</f>
        <v> </v>
      </c>
      <c r="AG215" s="17" t="str">
        <f aca="false">IF((E215="y"),H215," ")</f>
        <v> </v>
      </c>
      <c r="AH215" s="17" t="str">
        <f aca="false">IF((E215="z"),H215," ")</f>
        <v> </v>
      </c>
      <c r="AI215" s="17" t="str">
        <f aca="false">IF((E215="fa"),H215," ")</f>
        <v> </v>
      </c>
      <c r="AJ215" s="17" t="str">
        <f aca="false">IF((E215="e"),H215," ")</f>
        <v> </v>
      </c>
    </row>
    <row r="216" customFormat="false" ht="12" hidden="false" customHeight="false" outlineLevel="0" collapsed="false">
      <c r="A216" s="28"/>
      <c r="E216" s="2" t="str">
        <f aca="false">IF((F216&lt;&gt;0),"Enter Letter"," ")</f>
        <v> </v>
      </c>
      <c r="F216" s="30"/>
      <c r="G216" s="6" t="str">
        <f aca="false">IF(F216&lt;&gt;0,F216*G$2/(100+G$2)," ")</f>
        <v> </v>
      </c>
      <c r="H216" s="6" t="str">
        <f aca="false">IF((F216&lt;&gt;0),F216-G216," ")</f>
        <v> </v>
      </c>
      <c r="I216" s="5"/>
      <c r="L216" s="7" t="str">
        <f aca="false">IF(F216&lt;&gt;0,F216-K216," ")</f>
        <v> </v>
      </c>
      <c r="M216" s="8" t="str">
        <f aca="false">IF((F216-K216)&lt;&gt;0,M$1-A216," ")</f>
        <v> </v>
      </c>
      <c r="N216" s="5"/>
      <c r="O216" s="17" t="str">
        <f aca="false">IF((E216="s"),H216," ")</f>
        <v> </v>
      </c>
      <c r="P216" s="17" t="str">
        <f aca="false">IF((E216="c"),H216," ")</f>
        <v> </v>
      </c>
      <c r="Q216" s="17" t="str">
        <f aca="false">IF((E216="o"),H216," ")</f>
        <v> </v>
      </c>
      <c r="R216" s="17" t="str">
        <f aca="false">IF((E216="d"),H216," ")</f>
        <v> </v>
      </c>
      <c r="S216" s="17" t="str">
        <f aca="false">IF((E216="w"),H216," ")</f>
        <v> </v>
      </c>
      <c r="T216" s="17" t="str">
        <f aca="false">IF((E216="r"),H216," ")</f>
        <v> </v>
      </c>
      <c r="U216" s="17" t="str">
        <f aca="false">IF((E216="p"),H216," ")</f>
        <v> </v>
      </c>
      <c r="V216" s="17" t="str">
        <f aca="false">IF((E216="t"),H216," ")</f>
        <v> </v>
      </c>
      <c r="W216" s="17" t="str">
        <f aca="false">IF((E216="q"),H216," ")</f>
        <v> </v>
      </c>
      <c r="X216" s="17" t="str">
        <f aca="false">IF((E216="m"),H216," ")</f>
        <v> </v>
      </c>
      <c r="Y216" s="17" t="str">
        <f aca="false">IF((E216="u"),H216," ")</f>
        <v> </v>
      </c>
      <c r="Z216" s="17" t="str">
        <f aca="false">IF((E216="a"),H216," ")</f>
        <v> </v>
      </c>
      <c r="AA216" s="17" t="str">
        <f aca="false">IF((E216="g"),H216," ")</f>
        <v> </v>
      </c>
      <c r="AB216" s="17" t="str">
        <f aca="false">IF((E216="h"),H216," ")</f>
        <v> </v>
      </c>
      <c r="AC216" s="30" t="str">
        <f aca="false">IF((E216="v"),H216," ")</f>
        <v> </v>
      </c>
      <c r="AD216" s="30" t="str">
        <f aca="false">IF((E216="n"),H216," ")</f>
        <v> </v>
      </c>
      <c r="AE216" s="17" t="str">
        <f aca="false">IF((E216="f"),H216," ")</f>
        <v> </v>
      </c>
      <c r="AF216" s="17" t="str">
        <f aca="false">IF((E216="l"),H216," ")</f>
        <v> </v>
      </c>
      <c r="AG216" s="17" t="str">
        <f aca="false">IF((E216="y"),H216," ")</f>
        <v> </v>
      </c>
      <c r="AH216" s="17" t="str">
        <f aca="false">IF((E216="z"),H216," ")</f>
        <v> </v>
      </c>
      <c r="AI216" s="17" t="str">
        <f aca="false">IF((E216="fa"),H216," ")</f>
        <v> </v>
      </c>
      <c r="AJ216" s="17" t="str">
        <f aca="false">IF((E216="e"),H216," ")</f>
        <v> </v>
      </c>
    </row>
    <row r="217" customFormat="false" ht="12" hidden="false" customHeight="false" outlineLevel="0" collapsed="false">
      <c r="A217" s="28"/>
      <c r="E217" s="2" t="str">
        <f aca="false">IF((F217&lt;&gt;0),"Enter Letter"," ")</f>
        <v> </v>
      </c>
      <c r="F217" s="30"/>
      <c r="G217" s="6" t="str">
        <f aca="false">IF(F217&lt;&gt;0,F217*G$2/(100+G$2)," ")</f>
        <v> </v>
      </c>
      <c r="H217" s="6" t="str">
        <f aca="false">IF((F217&lt;&gt;0),F217-G217," ")</f>
        <v> </v>
      </c>
      <c r="I217" s="5"/>
      <c r="L217" s="7" t="str">
        <f aca="false">IF(F217&lt;&gt;0,F217-K217," ")</f>
        <v> </v>
      </c>
      <c r="M217" s="8" t="str">
        <f aca="false">IF((F217-K217)&lt;&gt;0,M$1-A217," ")</f>
        <v> </v>
      </c>
      <c r="N217" s="5"/>
      <c r="O217" s="17" t="str">
        <f aca="false">IF((E217="s"),H217," ")</f>
        <v> </v>
      </c>
      <c r="P217" s="17" t="str">
        <f aca="false">IF((E217="c"),H217," ")</f>
        <v> </v>
      </c>
      <c r="Q217" s="17" t="str">
        <f aca="false">IF((E217="o"),H217," ")</f>
        <v> </v>
      </c>
      <c r="R217" s="17" t="str">
        <f aca="false">IF((E217="d"),H217," ")</f>
        <v> </v>
      </c>
      <c r="S217" s="17" t="str">
        <f aca="false">IF((E217="w"),H217," ")</f>
        <v> </v>
      </c>
      <c r="T217" s="17" t="str">
        <f aca="false">IF((E217="r"),H217," ")</f>
        <v> </v>
      </c>
      <c r="U217" s="17" t="str">
        <f aca="false">IF((E217="p"),H217," ")</f>
        <v> </v>
      </c>
      <c r="V217" s="17" t="str">
        <f aca="false">IF((E217="t"),H217," ")</f>
        <v> </v>
      </c>
      <c r="W217" s="17" t="str">
        <f aca="false">IF((E217="q"),H217," ")</f>
        <v> </v>
      </c>
      <c r="X217" s="17" t="str">
        <f aca="false">IF((E217="m"),H217," ")</f>
        <v> </v>
      </c>
      <c r="Y217" s="17" t="str">
        <f aca="false">IF((E217="u"),H217," ")</f>
        <v> </v>
      </c>
      <c r="Z217" s="17" t="str">
        <f aca="false">IF((E217="a"),H217," ")</f>
        <v> </v>
      </c>
      <c r="AA217" s="17" t="str">
        <f aca="false">IF((E217="g"),H217," ")</f>
        <v> </v>
      </c>
      <c r="AB217" s="17" t="str">
        <f aca="false">IF((E217="h"),H217," ")</f>
        <v> </v>
      </c>
      <c r="AC217" s="30" t="str">
        <f aca="false">IF((E217="v"),H217," ")</f>
        <v> </v>
      </c>
      <c r="AD217" s="30" t="str">
        <f aca="false">IF((E217="n"),H217," ")</f>
        <v> </v>
      </c>
      <c r="AE217" s="17" t="str">
        <f aca="false">IF((E217="f"),H217," ")</f>
        <v> </v>
      </c>
      <c r="AF217" s="17" t="str">
        <f aca="false">IF((E217="l"),H217," ")</f>
        <v> </v>
      </c>
      <c r="AG217" s="17" t="str">
        <f aca="false">IF((E217="y"),H217," ")</f>
        <v> </v>
      </c>
      <c r="AH217" s="17" t="str">
        <f aca="false">IF((E217="z"),H217," ")</f>
        <v> </v>
      </c>
      <c r="AI217" s="17" t="str">
        <f aca="false">IF((E217="fa"),H217," ")</f>
        <v> </v>
      </c>
      <c r="AJ217" s="17" t="str">
        <f aca="false">IF((E217="e"),H217," ")</f>
        <v> </v>
      </c>
    </row>
    <row r="218" customFormat="false" ht="12" hidden="false" customHeight="false" outlineLevel="0" collapsed="false">
      <c r="A218" s="28"/>
      <c r="E218" s="2" t="str">
        <f aca="false">IF((F218&lt;&gt;0),"Enter Letter"," ")</f>
        <v> </v>
      </c>
      <c r="F218" s="30"/>
      <c r="G218" s="6" t="str">
        <f aca="false">IF(F218&lt;&gt;0,F218*G$2/(100+G$2)," ")</f>
        <v> </v>
      </c>
      <c r="H218" s="6" t="str">
        <f aca="false">IF((F218&lt;&gt;0),F218-G218," ")</f>
        <v> </v>
      </c>
      <c r="I218" s="5"/>
      <c r="L218" s="7" t="str">
        <f aca="false">IF(F218&lt;&gt;0,F218-K218," ")</f>
        <v> </v>
      </c>
      <c r="M218" s="8" t="str">
        <f aca="false">IF((F218-K218)&lt;&gt;0,M$1-A218," ")</f>
        <v> </v>
      </c>
      <c r="N218" s="5"/>
      <c r="O218" s="17" t="str">
        <f aca="false">IF((E218="s"),H218," ")</f>
        <v> </v>
      </c>
      <c r="P218" s="17" t="str">
        <f aca="false">IF((E218="c"),H218," ")</f>
        <v> </v>
      </c>
      <c r="Q218" s="17" t="str">
        <f aca="false">IF((E218="o"),H218," ")</f>
        <v> </v>
      </c>
      <c r="R218" s="17" t="str">
        <f aca="false">IF((E218="d"),H218," ")</f>
        <v> </v>
      </c>
      <c r="S218" s="17" t="str">
        <f aca="false">IF((E218="w"),H218," ")</f>
        <v> </v>
      </c>
      <c r="T218" s="17" t="str">
        <f aca="false">IF((E218="r"),H218," ")</f>
        <v> </v>
      </c>
      <c r="U218" s="17" t="str">
        <f aca="false">IF((E218="p"),H218," ")</f>
        <v> </v>
      </c>
      <c r="V218" s="17" t="str">
        <f aca="false">IF((E218="t"),H218," ")</f>
        <v> </v>
      </c>
      <c r="W218" s="17" t="str">
        <f aca="false">IF((E218="q"),H218," ")</f>
        <v> </v>
      </c>
      <c r="X218" s="17" t="str">
        <f aca="false">IF((E218="m"),H218," ")</f>
        <v> </v>
      </c>
      <c r="Y218" s="17" t="str">
        <f aca="false">IF((E218="u"),H218," ")</f>
        <v> </v>
      </c>
      <c r="Z218" s="17" t="str">
        <f aca="false">IF((E218="a"),H218," ")</f>
        <v> </v>
      </c>
      <c r="AA218" s="17" t="str">
        <f aca="false">IF((E218="g"),H218," ")</f>
        <v> </v>
      </c>
      <c r="AB218" s="17" t="str">
        <f aca="false">IF((E218="h"),H218," ")</f>
        <v> </v>
      </c>
      <c r="AC218" s="30" t="str">
        <f aca="false">IF((E218="v"),H218," ")</f>
        <v> </v>
      </c>
      <c r="AD218" s="30" t="str">
        <f aca="false">IF((E218="n"),H218," ")</f>
        <v> </v>
      </c>
      <c r="AE218" s="17" t="str">
        <f aca="false">IF((E218="f"),H218," ")</f>
        <v> </v>
      </c>
      <c r="AF218" s="17" t="str">
        <f aca="false">IF((E218="l"),H218," ")</f>
        <v> </v>
      </c>
      <c r="AG218" s="17" t="str">
        <f aca="false">IF((E218="y"),H218," ")</f>
        <v> </v>
      </c>
      <c r="AH218" s="17" t="str">
        <f aca="false">IF((E218="z"),H218," ")</f>
        <v> </v>
      </c>
      <c r="AI218" s="17" t="str">
        <f aca="false">IF((E218="fa"),H218," ")</f>
        <v> </v>
      </c>
      <c r="AJ218" s="17" t="str">
        <f aca="false">IF((E218="e"),H218," ")</f>
        <v> </v>
      </c>
    </row>
    <row r="219" customFormat="false" ht="12" hidden="false" customHeight="false" outlineLevel="0" collapsed="false">
      <c r="A219" s="28"/>
      <c r="E219" s="2" t="str">
        <f aca="false">IF((F219&lt;&gt;0),"Enter Letter"," ")</f>
        <v> </v>
      </c>
      <c r="F219" s="30"/>
      <c r="G219" s="6" t="str">
        <f aca="false">IF(F219&lt;&gt;0,F219*G$2/(100+G$2)," ")</f>
        <v> </v>
      </c>
      <c r="H219" s="6" t="str">
        <f aca="false">IF((F219&lt;&gt;0),F219-G219," ")</f>
        <v> </v>
      </c>
      <c r="I219" s="5"/>
      <c r="L219" s="7" t="str">
        <f aca="false">IF(F219&lt;&gt;0,F219-K219," ")</f>
        <v> </v>
      </c>
      <c r="M219" s="8" t="str">
        <f aca="false">IF((F219-K219)&lt;&gt;0,M$1-A219," ")</f>
        <v> </v>
      </c>
      <c r="N219" s="5"/>
      <c r="O219" s="17" t="str">
        <f aca="false">IF((E219="s"),H219," ")</f>
        <v> </v>
      </c>
      <c r="P219" s="17" t="str">
        <f aca="false">IF((E219="c"),H219," ")</f>
        <v> </v>
      </c>
      <c r="Q219" s="17" t="str">
        <f aca="false">IF((E219="o"),H219," ")</f>
        <v> </v>
      </c>
      <c r="R219" s="17" t="str">
        <f aca="false">IF((E219="d"),H219," ")</f>
        <v> </v>
      </c>
      <c r="S219" s="17" t="str">
        <f aca="false">IF((E219="w"),H219," ")</f>
        <v> </v>
      </c>
      <c r="T219" s="17" t="str">
        <f aca="false">IF((E219="r"),H219," ")</f>
        <v> </v>
      </c>
      <c r="U219" s="17" t="str">
        <f aca="false">IF((E219="p"),H219," ")</f>
        <v> </v>
      </c>
      <c r="V219" s="17" t="str">
        <f aca="false">IF((E219="t"),H219," ")</f>
        <v> </v>
      </c>
      <c r="W219" s="17" t="str">
        <f aca="false">IF((E219="q"),H219," ")</f>
        <v> </v>
      </c>
      <c r="X219" s="17" t="str">
        <f aca="false">IF((E219="m"),H219," ")</f>
        <v> </v>
      </c>
      <c r="Y219" s="17" t="str">
        <f aca="false">IF((E219="u"),H219," ")</f>
        <v> </v>
      </c>
      <c r="Z219" s="17" t="str">
        <f aca="false">IF((E219="a"),H219," ")</f>
        <v> </v>
      </c>
      <c r="AA219" s="17" t="str">
        <f aca="false">IF((E219="g"),H219," ")</f>
        <v> </v>
      </c>
      <c r="AB219" s="17" t="str">
        <f aca="false">IF((E219="h"),H219," ")</f>
        <v> </v>
      </c>
      <c r="AC219" s="30" t="str">
        <f aca="false">IF((E219="v"),H219," ")</f>
        <v> </v>
      </c>
      <c r="AD219" s="30" t="str">
        <f aca="false">IF((E219="n"),H219," ")</f>
        <v> </v>
      </c>
      <c r="AE219" s="17" t="str">
        <f aca="false">IF((E219="f"),H219," ")</f>
        <v> </v>
      </c>
      <c r="AF219" s="17" t="str">
        <f aca="false">IF((E219="l"),H219," ")</f>
        <v> </v>
      </c>
      <c r="AG219" s="17" t="str">
        <f aca="false">IF((E219="y"),H219," ")</f>
        <v> </v>
      </c>
      <c r="AH219" s="17" t="str">
        <f aca="false">IF((E219="z"),H219," ")</f>
        <v> </v>
      </c>
      <c r="AI219" s="17" t="str">
        <f aca="false">IF((E219="fa"),H219," ")</f>
        <v> </v>
      </c>
      <c r="AJ219" s="17" t="str">
        <f aca="false">IF((E219="e"),H219," ")</f>
        <v> </v>
      </c>
    </row>
    <row r="220" customFormat="false" ht="12" hidden="false" customHeight="false" outlineLevel="0" collapsed="false">
      <c r="A220" s="28"/>
      <c r="E220" s="2" t="str">
        <f aca="false">IF((F220&lt;&gt;0),"Enter Letter"," ")</f>
        <v> </v>
      </c>
      <c r="F220" s="30"/>
      <c r="G220" s="6" t="str">
        <f aca="false">IF(F220&lt;&gt;0,F220*G$2/(100+G$2)," ")</f>
        <v> </v>
      </c>
      <c r="H220" s="6" t="str">
        <f aca="false">IF((F220&lt;&gt;0),F220-G220," ")</f>
        <v> </v>
      </c>
      <c r="I220" s="5"/>
      <c r="L220" s="7" t="str">
        <f aca="false">IF(F220&lt;&gt;0,F220-K220," ")</f>
        <v> </v>
      </c>
      <c r="M220" s="8" t="str">
        <f aca="false">IF((F220-K220)&lt;&gt;0,M$1-A220," ")</f>
        <v> </v>
      </c>
      <c r="N220" s="5"/>
      <c r="O220" s="17" t="str">
        <f aca="false">IF((E220="s"),H220," ")</f>
        <v> </v>
      </c>
      <c r="P220" s="17" t="str">
        <f aca="false">IF((E220="c"),H220," ")</f>
        <v> </v>
      </c>
      <c r="Q220" s="17" t="str">
        <f aca="false">IF((E220="o"),H220," ")</f>
        <v> </v>
      </c>
      <c r="R220" s="17" t="str">
        <f aca="false">IF((E220="d"),H220," ")</f>
        <v> </v>
      </c>
      <c r="S220" s="17" t="str">
        <f aca="false">IF((E220="w"),H220," ")</f>
        <v> </v>
      </c>
      <c r="T220" s="17" t="str">
        <f aca="false">IF((E220="r"),H220," ")</f>
        <v> </v>
      </c>
      <c r="U220" s="17" t="str">
        <f aca="false">IF((E220="p"),H220," ")</f>
        <v> </v>
      </c>
      <c r="V220" s="17" t="str">
        <f aca="false">IF((E220="t"),H220," ")</f>
        <v> </v>
      </c>
      <c r="W220" s="17" t="str">
        <f aca="false">IF((E220="q"),H220," ")</f>
        <v> </v>
      </c>
      <c r="X220" s="17" t="str">
        <f aca="false">IF((E220="m"),H220," ")</f>
        <v> </v>
      </c>
      <c r="Y220" s="17" t="str">
        <f aca="false">IF((E220="u"),H220," ")</f>
        <v> </v>
      </c>
      <c r="Z220" s="17" t="str">
        <f aca="false">IF((E220="a"),H220," ")</f>
        <v> </v>
      </c>
      <c r="AA220" s="17" t="str">
        <f aca="false">IF((E220="g"),H220," ")</f>
        <v> </v>
      </c>
      <c r="AB220" s="17" t="str">
        <f aca="false">IF((E220="h"),H220," ")</f>
        <v> </v>
      </c>
      <c r="AC220" s="30" t="str">
        <f aca="false">IF((E220="v"),H220," ")</f>
        <v> </v>
      </c>
      <c r="AD220" s="30" t="str">
        <f aca="false">IF((E220="n"),H220," ")</f>
        <v> </v>
      </c>
      <c r="AE220" s="17" t="str">
        <f aca="false">IF((E220="f"),H220," ")</f>
        <v> </v>
      </c>
      <c r="AF220" s="17" t="str">
        <f aca="false">IF((E220="l"),H220," ")</f>
        <v> </v>
      </c>
      <c r="AG220" s="17" t="str">
        <f aca="false">IF((E220="y"),H220," ")</f>
        <v> </v>
      </c>
      <c r="AH220" s="17" t="str">
        <f aca="false">IF((E220="z"),H220," ")</f>
        <v> </v>
      </c>
      <c r="AI220" s="17" t="str">
        <f aca="false">IF((E220="fa"),H220," ")</f>
        <v> </v>
      </c>
      <c r="AJ220" s="17" t="str">
        <f aca="false">IF((E220="e"),H220," ")</f>
        <v> </v>
      </c>
    </row>
    <row r="221" customFormat="false" ht="12" hidden="false" customHeight="false" outlineLevel="0" collapsed="false">
      <c r="A221" s="28"/>
      <c r="E221" s="2" t="str">
        <f aca="false">IF((F221&lt;&gt;0),"Enter Letter"," ")</f>
        <v> </v>
      </c>
      <c r="F221" s="30"/>
      <c r="G221" s="6" t="str">
        <f aca="false">IF(F221&lt;&gt;0,F221*G$2/(100+G$2)," ")</f>
        <v> </v>
      </c>
      <c r="H221" s="6" t="str">
        <f aca="false">IF((F221&lt;&gt;0),F221-G221," ")</f>
        <v> </v>
      </c>
      <c r="I221" s="5"/>
      <c r="L221" s="7" t="str">
        <f aca="false">IF(F221&lt;&gt;0,F221-K221," ")</f>
        <v> </v>
      </c>
      <c r="M221" s="8" t="str">
        <f aca="false">IF((F221-K221)&lt;&gt;0,M$1-A221," ")</f>
        <v> </v>
      </c>
      <c r="N221" s="5"/>
      <c r="O221" s="17" t="str">
        <f aca="false">IF((E221="s"),H221," ")</f>
        <v> </v>
      </c>
      <c r="P221" s="17" t="str">
        <f aca="false">IF((E221="c"),H221," ")</f>
        <v> </v>
      </c>
      <c r="Q221" s="17" t="str">
        <f aca="false">IF((E221="o"),H221," ")</f>
        <v> </v>
      </c>
      <c r="R221" s="17" t="str">
        <f aca="false">IF((E221="d"),H221," ")</f>
        <v> </v>
      </c>
      <c r="S221" s="17" t="str">
        <f aca="false">IF((E221="w"),H221," ")</f>
        <v> </v>
      </c>
      <c r="T221" s="17" t="str">
        <f aca="false">IF((E221="r"),H221," ")</f>
        <v> </v>
      </c>
      <c r="U221" s="17" t="str">
        <f aca="false">IF((E221="p"),H221," ")</f>
        <v> </v>
      </c>
      <c r="V221" s="17" t="str">
        <f aca="false">IF((E221="t"),H221," ")</f>
        <v> </v>
      </c>
      <c r="W221" s="17" t="str">
        <f aca="false">IF((E221="q"),H221," ")</f>
        <v> </v>
      </c>
      <c r="X221" s="17" t="str">
        <f aca="false">IF((E221="m"),H221," ")</f>
        <v> </v>
      </c>
      <c r="Y221" s="17" t="str">
        <f aca="false">IF((E221="u"),H221," ")</f>
        <v> </v>
      </c>
      <c r="Z221" s="17" t="str">
        <f aca="false">IF((E221="a"),H221," ")</f>
        <v> </v>
      </c>
      <c r="AA221" s="17" t="str">
        <f aca="false">IF((E221="g"),H221," ")</f>
        <v> </v>
      </c>
      <c r="AB221" s="17" t="str">
        <f aca="false">IF((E221="h"),H221," ")</f>
        <v> </v>
      </c>
      <c r="AC221" s="30" t="str">
        <f aca="false">IF((E221="v"),H221," ")</f>
        <v> </v>
      </c>
      <c r="AD221" s="30" t="str">
        <f aca="false">IF((E221="n"),H221," ")</f>
        <v> </v>
      </c>
      <c r="AE221" s="17" t="str">
        <f aca="false">IF((E221="f"),H221," ")</f>
        <v> </v>
      </c>
      <c r="AF221" s="17" t="str">
        <f aca="false">IF((E221="l"),H221," ")</f>
        <v> </v>
      </c>
      <c r="AG221" s="17" t="str">
        <f aca="false">IF((E221="y"),H221," ")</f>
        <v> </v>
      </c>
      <c r="AH221" s="17" t="str">
        <f aca="false">IF((E221="z"),H221," ")</f>
        <v> </v>
      </c>
      <c r="AI221" s="17" t="str">
        <f aca="false">IF((E221="fa"),H221," ")</f>
        <v> </v>
      </c>
      <c r="AJ221" s="17" t="str">
        <f aca="false">IF((E221="e"),H221," ")</f>
        <v> </v>
      </c>
    </row>
    <row r="222" customFormat="false" ht="12" hidden="false" customHeight="false" outlineLevel="0" collapsed="false">
      <c r="A222" s="28"/>
      <c r="E222" s="2" t="str">
        <f aca="false">IF((F222&lt;&gt;0),"Enter Letter"," ")</f>
        <v> </v>
      </c>
      <c r="F222" s="30"/>
      <c r="G222" s="6" t="str">
        <f aca="false">IF(F222&lt;&gt;0,F222*G$2/(100+G$2)," ")</f>
        <v> </v>
      </c>
      <c r="H222" s="6" t="str">
        <f aca="false">IF((F222&lt;&gt;0),F222-G222," ")</f>
        <v> </v>
      </c>
      <c r="I222" s="5"/>
      <c r="L222" s="7" t="str">
        <f aca="false">IF(F222&lt;&gt;0,F222-K222," ")</f>
        <v> </v>
      </c>
      <c r="M222" s="8" t="str">
        <f aca="false">IF((F222-K222)&lt;&gt;0,M$1-A222," ")</f>
        <v> </v>
      </c>
      <c r="N222" s="5"/>
      <c r="O222" s="17" t="str">
        <f aca="false">IF((E222="s"),H222," ")</f>
        <v> </v>
      </c>
      <c r="P222" s="17" t="str">
        <f aca="false">IF((E222="c"),H222," ")</f>
        <v> </v>
      </c>
      <c r="Q222" s="17" t="str">
        <f aca="false">IF((E222="o"),H222," ")</f>
        <v> </v>
      </c>
      <c r="R222" s="17" t="str">
        <f aca="false">IF((E222="d"),H222," ")</f>
        <v> </v>
      </c>
      <c r="S222" s="17" t="str">
        <f aca="false">IF((E222="w"),H222," ")</f>
        <v> </v>
      </c>
      <c r="T222" s="17" t="str">
        <f aca="false">IF((E222="r"),H222," ")</f>
        <v> </v>
      </c>
      <c r="U222" s="17" t="str">
        <f aca="false">IF((E222="p"),H222," ")</f>
        <v> </v>
      </c>
      <c r="V222" s="17" t="str">
        <f aca="false">IF((E222="t"),H222," ")</f>
        <v> </v>
      </c>
      <c r="W222" s="17" t="str">
        <f aca="false">IF((E222="q"),H222," ")</f>
        <v> </v>
      </c>
      <c r="X222" s="17" t="str">
        <f aca="false">IF((E222="m"),H222," ")</f>
        <v> </v>
      </c>
      <c r="Y222" s="17" t="str">
        <f aca="false">IF((E222="u"),H222," ")</f>
        <v> </v>
      </c>
      <c r="Z222" s="17" t="str">
        <f aca="false">IF((E222="a"),H222," ")</f>
        <v> </v>
      </c>
      <c r="AA222" s="17" t="str">
        <f aca="false">IF((E222="g"),H222," ")</f>
        <v> </v>
      </c>
      <c r="AB222" s="17" t="str">
        <f aca="false">IF((E222="h"),H222," ")</f>
        <v> </v>
      </c>
      <c r="AC222" s="30" t="str">
        <f aca="false">IF((E222="v"),H222," ")</f>
        <v> </v>
      </c>
      <c r="AD222" s="30" t="str">
        <f aca="false">IF((E222="n"),H222," ")</f>
        <v> </v>
      </c>
      <c r="AE222" s="17" t="str">
        <f aca="false">IF((E222="f"),H222," ")</f>
        <v> </v>
      </c>
      <c r="AF222" s="17" t="str">
        <f aca="false">IF((E222="l"),H222," ")</f>
        <v> </v>
      </c>
      <c r="AG222" s="17" t="str">
        <f aca="false">IF((E222="y"),H222," ")</f>
        <v> </v>
      </c>
      <c r="AH222" s="17" t="str">
        <f aca="false">IF((E222="z"),H222," ")</f>
        <v> </v>
      </c>
      <c r="AI222" s="17" t="str">
        <f aca="false">IF((E222="fa"),H222," ")</f>
        <v> </v>
      </c>
      <c r="AJ222" s="17" t="str">
        <f aca="false">IF((E222="e"),H222," ")</f>
        <v> </v>
      </c>
    </row>
    <row r="223" customFormat="false" ht="12" hidden="false" customHeight="false" outlineLevel="0" collapsed="false">
      <c r="A223" s="28"/>
      <c r="E223" s="2" t="str">
        <f aca="false">IF((F223&lt;&gt;0),"Enter Letter"," ")</f>
        <v> </v>
      </c>
      <c r="F223" s="30"/>
      <c r="G223" s="6" t="str">
        <f aca="false">IF(F223&lt;&gt;0,F223*G$2/(100+G$2)," ")</f>
        <v> </v>
      </c>
      <c r="H223" s="6" t="str">
        <f aca="false">IF((F223&lt;&gt;0),F223-G223," ")</f>
        <v> </v>
      </c>
      <c r="I223" s="5"/>
      <c r="L223" s="7" t="str">
        <f aca="false">IF(F223&lt;&gt;0,F223-K223," ")</f>
        <v> </v>
      </c>
      <c r="M223" s="8" t="str">
        <f aca="false">IF((F223-K223)&lt;&gt;0,M$1-A223," ")</f>
        <v> </v>
      </c>
      <c r="N223" s="5"/>
      <c r="O223" s="17" t="str">
        <f aca="false">IF((E223="s"),H223," ")</f>
        <v> </v>
      </c>
      <c r="P223" s="17" t="str">
        <f aca="false">IF((E223="c"),H223," ")</f>
        <v> </v>
      </c>
      <c r="Q223" s="17" t="str">
        <f aca="false">IF((E223="o"),H223," ")</f>
        <v> </v>
      </c>
      <c r="R223" s="17" t="str">
        <f aca="false">IF((E223="d"),H223," ")</f>
        <v> </v>
      </c>
      <c r="S223" s="17" t="str">
        <f aca="false">IF((E223="w"),H223," ")</f>
        <v> </v>
      </c>
      <c r="T223" s="17" t="str">
        <f aca="false">IF((E223="r"),H223," ")</f>
        <v> </v>
      </c>
      <c r="U223" s="17" t="str">
        <f aca="false">IF((E223="p"),H223," ")</f>
        <v> </v>
      </c>
      <c r="V223" s="17" t="str">
        <f aca="false">IF((E223="t"),H223," ")</f>
        <v> </v>
      </c>
      <c r="W223" s="17" t="str">
        <f aca="false">IF((E223="q"),H223," ")</f>
        <v> </v>
      </c>
      <c r="X223" s="17" t="str">
        <f aca="false">IF((E223="m"),H223," ")</f>
        <v> </v>
      </c>
      <c r="Y223" s="17" t="str">
        <f aca="false">IF((E223="u"),H223," ")</f>
        <v> </v>
      </c>
      <c r="Z223" s="17" t="str">
        <f aca="false">IF((E223="a"),H223," ")</f>
        <v> </v>
      </c>
      <c r="AA223" s="17" t="str">
        <f aca="false">IF((E223="g"),H223," ")</f>
        <v> </v>
      </c>
      <c r="AB223" s="17" t="str">
        <f aca="false">IF((E223="h"),H223," ")</f>
        <v> </v>
      </c>
      <c r="AC223" s="30" t="str">
        <f aca="false">IF((E223="v"),H223," ")</f>
        <v> </v>
      </c>
      <c r="AD223" s="30" t="str">
        <f aca="false">IF((E223="n"),H223," ")</f>
        <v> </v>
      </c>
      <c r="AE223" s="17" t="str">
        <f aca="false">IF((E223="f"),H223," ")</f>
        <v> </v>
      </c>
      <c r="AF223" s="17" t="str">
        <f aca="false">IF((E223="l"),H223," ")</f>
        <v> </v>
      </c>
      <c r="AG223" s="17" t="str">
        <f aca="false">IF((E223="y"),H223," ")</f>
        <v> </v>
      </c>
      <c r="AH223" s="17" t="str">
        <f aca="false">IF((E223="z"),H223," ")</f>
        <v> </v>
      </c>
      <c r="AI223" s="17" t="str">
        <f aca="false">IF((E223="fa"),H223," ")</f>
        <v> </v>
      </c>
      <c r="AJ223" s="17" t="str">
        <f aca="false">IF((E223="e"),H223," ")</f>
        <v> </v>
      </c>
    </row>
    <row r="224" customFormat="false" ht="12" hidden="false" customHeight="false" outlineLevel="0" collapsed="false">
      <c r="A224" s="28"/>
      <c r="E224" s="2" t="str">
        <f aca="false">IF((F224&lt;&gt;0),"Enter Letter"," ")</f>
        <v> </v>
      </c>
      <c r="F224" s="30"/>
      <c r="G224" s="6" t="str">
        <f aca="false">IF(F224&lt;&gt;0,F224*G$2/(100+G$2)," ")</f>
        <v> </v>
      </c>
      <c r="H224" s="6" t="str">
        <f aca="false">IF((F224&lt;&gt;0),F224-G224," ")</f>
        <v> </v>
      </c>
      <c r="I224" s="5"/>
      <c r="L224" s="7" t="str">
        <f aca="false">IF(F224&lt;&gt;0,F224-K224," ")</f>
        <v> </v>
      </c>
      <c r="M224" s="8" t="str">
        <f aca="false">IF((F224-K224)&lt;&gt;0,M$1-A224," ")</f>
        <v> </v>
      </c>
      <c r="N224" s="5"/>
      <c r="O224" s="17" t="str">
        <f aca="false">IF((E224="s"),H224," ")</f>
        <v> </v>
      </c>
      <c r="P224" s="17" t="str">
        <f aca="false">IF((E224="c"),H224," ")</f>
        <v> </v>
      </c>
      <c r="Q224" s="17" t="str">
        <f aca="false">IF((E224="o"),H224," ")</f>
        <v> </v>
      </c>
      <c r="R224" s="17" t="str">
        <f aca="false">IF((E224="d"),H224," ")</f>
        <v> </v>
      </c>
      <c r="S224" s="17" t="str">
        <f aca="false">IF((E224="w"),H224," ")</f>
        <v> </v>
      </c>
      <c r="T224" s="17" t="str">
        <f aca="false">IF((E224="r"),H224," ")</f>
        <v> </v>
      </c>
      <c r="U224" s="17" t="str">
        <f aca="false">IF((E224="p"),H224," ")</f>
        <v> </v>
      </c>
      <c r="V224" s="17" t="str">
        <f aca="false">IF((E224="t"),H224," ")</f>
        <v> </v>
      </c>
      <c r="W224" s="17" t="str">
        <f aca="false">IF((E224="q"),H224," ")</f>
        <v> </v>
      </c>
      <c r="X224" s="17" t="str">
        <f aca="false">IF((E224="m"),H224," ")</f>
        <v> </v>
      </c>
      <c r="Y224" s="17" t="str">
        <f aca="false">IF((E224="u"),H224," ")</f>
        <v> </v>
      </c>
      <c r="Z224" s="17" t="str">
        <f aca="false">IF((E224="a"),H224," ")</f>
        <v> </v>
      </c>
      <c r="AA224" s="17" t="str">
        <f aca="false">IF((E224="g"),H224," ")</f>
        <v> </v>
      </c>
      <c r="AB224" s="17" t="str">
        <f aca="false">IF((E224="h"),H224," ")</f>
        <v> </v>
      </c>
      <c r="AC224" s="30" t="str">
        <f aca="false">IF((E224="v"),H224," ")</f>
        <v> </v>
      </c>
      <c r="AD224" s="30" t="str">
        <f aca="false">IF((E224="n"),H224," ")</f>
        <v> </v>
      </c>
      <c r="AE224" s="17" t="str">
        <f aca="false">IF((E224="f"),H224," ")</f>
        <v> </v>
      </c>
      <c r="AF224" s="17" t="str">
        <f aca="false">IF((E224="l"),H224," ")</f>
        <v> </v>
      </c>
      <c r="AG224" s="17" t="str">
        <f aca="false">IF((E224="y"),H224," ")</f>
        <v> </v>
      </c>
      <c r="AH224" s="17" t="str">
        <f aca="false">IF((E224="z"),H224," ")</f>
        <v> </v>
      </c>
      <c r="AI224" s="17" t="str">
        <f aca="false">IF((E224="fa"),H224," ")</f>
        <v> </v>
      </c>
      <c r="AJ224" s="17" t="str">
        <f aca="false">IF((E224="e"),H224," ")</f>
        <v> </v>
      </c>
    </row>
    <row r="225" customFormat="false" ht="12" hidden="false" customHeight="false" outlineLevel="0" collapsed="false">
      <c r="A225" s="28"/>
      <c r="E225" s="2" t="str">
        <f aca="false">IF((F225&lt;&gt;0),"Enter Letter"," ")</f>
        <v> </v>
      </c>
      <c r="F225" s="30"/>
      <c r="G225" s="6" t="str">
        <f aca="false">IF(F225&lt;&gt;0,F225*G$2/(100+G$2)," ")</f>
        <v> </v>
      </c>
      <c r="H225" s="6" t="str">
        <f aca="false">IF((F225&lt;&gt;0),F225-G225," ")</f>
        <v> </v>
      </c>
      <c r="I225" s="5"/>
      <c r="L225" s="7" t="str">
        <f aca="false">IF(F225&lt;&gt;0,F225-K225," ")</f>
        <v> </v>
      </c>
      <c r="M225" s="8" t="str">
        <f aca="false">IF((F225-K225)&lt;&gt;0,M$1-A225," ")</f>
        <v> </v>
      </c>
      <c r="N225" s="5"/>
      <c r="O225" s="17" t="str">
        <f aca="false">IF((E225="s"),H225," ")</f>
        <v> </v>
      </c>
      <c r="P225" s="17" t="str">
        <f aca="false">IF((E225="c"),H225," ")</f>
        <v> </v>
      </c>
      <c r="Q225" s="17" t="str">
        <f aca="false">IF((E225="o"),H225," ")</f>
        <v> </v>
      </c>
      <c r="R225" s="17" t="str">
        <f aca="false">IF((E225="d"),H225," ")</f>
        <v> </v>
      </c>
      <c r="S225" s="17" t="str">
        <f aca="false">IF((E225="w"),H225," ")</f>
        <v> </v>
      </c>
      <c r="T225" s="17" t="str">
        <f aca="false">IF((E225="r"),H225," ")</f>
        <v> </v>
      </c>
      <c r="U225" s="17" t="str">
        <f aca="false">IF((E225="p"),H225," ")</f>
        <v> </v>
      </c>
      <c r="V225" s="17" t="str">
        <f aca="false">IF((E225="t"),H225," ")</f>
        <v> </v>
      </c>
      <c r="W225" s="17" t="str">
        <f aca="false">IF((E225="q"),H225," ")</f>
        <v> </v>
      </c>
      <c r="X225" s="17" t="str">
        <f aca="false">IF((E225="m"),H225," ")</f>
        <v> </v>
      </c>
      <c r="Y225" s="17" t="str">
        <f aca="false">IF((E225="u"),H225," ")</f>
        <v> </v>
      </c>
      <c r="Z225" s="17" t="str">
        <f aca="false">IF((E225="a"),H225," ")</f>
        <v> </v>
      </c>
      <c r="AA225" s="17" t="str">
        <f aca="false">IF((E225="g"),H225," ")</f>
        <v> </v>
      </c>
      <c r="AB225" s="17" t="str">
        <f aca="false">IF((E225="h"),H225," ")</f>
        <v> </v>
      </c>
      <c r="AC225" s="30" t="str">
        <f aca="false">IF((E225="v"),H225," ")</f>
        <v> </v>
      </c>
      <c r="AD225" s="30" t="str">
        <f aca="false">IF((E225="n"),H225," ")</f>
        <v> </v>
      </c>
      <c r="AE225" s="17" t="str">
        <f aca="false">IF((E225="f"),H225," ")</f>
        <v> </v>
      </c>
      <c r="AF225" s="17" t="str">
        <f aca="false">IF((E225="l"),H225," ")</f>
        <v> </v>
      </c>
      <c r="AG225" s="17" t="str">
        <f aca="false">IF((E225="y"),H225," ")</f>
        <v> </v>
      </c>
      <c r="AH225" s="17" t="str">
        <f aca="false">IF((E225="z"),H225," ")</f>
        <v> </v>
      </c>
      <c r="AI225" s="17" t="str">
        <f aca="false">IF((E225="fa"),H225," ")</f>
        <v> </v>
      </c>
      <c r="AJ225" s="17" t="str">
        <f aca="false">IF((E225="e"),H225," ")</f>
        <v> </v>
      </c>
    </row>
    <row r="226" customFormat="false" ht="12" hidden="false" customHeight="false" outlineLevel="0" collapsed="false">
      <c r="A226" s="28"/>
      <c r="E226" s="2" t="str">
        <f aca="false">IF((F226&lt;&gt;0),"Enter Letter"," ")</f>
        <v> </v>
      </c>
      <c r="F226" s="30"/>
      <c r="G226" s="6" t="str">
        <f aca="false">IF(F226&lt;&gt;0,F226*G$2/(100+G$2)," ")</f>
        <v> </v>
      </c>
      <c r="H226" s="6" t="str">
        <f aca="false">IF((F226&lt;&gt;0),F226-G226," ")</f>
        <v> </v>
      </c>
      <c r="I226" s="5"/>
      <c r="L226" s="7" t="str">
        <f aca="false">IF(F226&lt;&gt;0,F226-K226," ")</f>
        <v> </v>
      </c>
      <c r="M226" s="8" t="str">
        <f aca="false">IF((F226-K226)&lt;&gt;0,M$1-A226," ")</f>
        <v> </v>
      </c>
      <c r="N226" s="5"/>
      <c r="O226" s="17" t="str">
        <f aca="false">IF((E226="s"),H226," ")</f>
        <v> </v>
      </c>
      <c r="P226" s="17" t="str">
        <f aca="false">IF((E226="c"),H226," ")</f>
        <v> </v>
      </c>
      <c r="Q226" s="17" t="str">
        <f aca="false">IF((E226="o"),H226," ")</f>
        <v> </v>
      </c>
      <c r="R226" s="17" t="str">
        <f aca="false">IF((E226="d"),H226," ")</f>
        <v> </v>
      </c>
      <c r="S226" s="17" t="str">
        <f aca="false">IF((E226="w"),H226," ")</f>
        <v> </v>
      </c>
      <c r="T226" s="17" t="str">
        <f aca="false">IF((E226="r"),H226," ")</f>
        <v> </v>
      </c>
      <c r="U226" s="17" t="str">
        <f aca="false">IF((E226="p"),H226," ")</f>
        <v> </v>
      </c>
      <c r="V226" s="17" t="str">
        <f aca="false">IF((E226="t"),H226," ")</f>
        <v> </v>
      </c>
      <c r="W226" s="17" t="str">
        <f aca="false">IF((E226="q"),H226," ")</f>
        <v> </v>
      </c>
      <c r="X226" s="17" t="str">
        <f aca="false">IF((E226="m"),H226," ")</f>
        <v> </v>
      </c>
      <c r="Y226" s="17" t="str">
        <f aca="false">IF((E226="u"),H226," ")</f>
        <v> </v>
      </c>
      <c r="Z226" s="17" t="str">
        <f aca="false">IF((E226="a"),H226," ")</f>
        <v> </v>
      </c>
      <c r="AA226" s="17" t="str">
        <f aca="false">IF((E226="g"),H226," ")</f>
        <v> </v>
      </c>
      <c r="AB226" s="17" t="str">
        <f aca="false">IF((E226="h"),H226," ")</f>
        <v> </v>
      </c>
      <c r="AC226" s="30" t="str">
        <f aca="false">IF((E226="v"),H226," ")</f>
        <v> </v>
      </c>
      <c r="AD226" s="30" t="str">
        <f aca="false">IF((E226="n"),H226," ")</f>
        <v> </v>
      </c>
      <c r="AE226" s="17" t="str">
        <f aca="false">IF((E226="f"),H226," ")</f>
        <v> </v>
      </c>
      <c r="AF226" s="17" t="str">
        <f aca="false">IF((E226="l"),H226," ")</f>
        <v> </v>
      </c>
      <c r="AG226" s="17" t="str">
        <f aca="false">IF((E226="y"),H226," ")</f>
        <v> </v>
      </c>
      <c r="AH226" s="17" t="str">
        <f aca="false">IF((E226="z"),H226," ")</f>
        <v> </v>
      </c>
      <c r="AI226" s="17" t="str">
        <f aca="false">IF((E226="fa"),H226," ")</f>
        <v> </v>
      </c>
      <c r="AJ226" s="17" t="str">
        <f aca="false">IF((E226="e"),H226," ")</f>
        <v> </v>
      </c>
    </row>
    <row r="227" customFormat="false" ht="12" hidden="false" customHeight="false" outlineLevel="0" collapsed="false">
      <c r="A227" s="28"/>
      <c r="E227" s="2" t="str">
        <f aca="false">IF((F227&lt;&gt;0),"Enter Letter"," ")</f>
        <v> </v>
      </c>
      <c r="F227" s="30"/>
      <c r="G227" s="6" t="str">
        <f aca="false">IF(F227&lt;&gt;0,F227*G$2/(100+G$2)," ")</f>
        <v> </v>
      </c>
      <c r="H227" s="6" t="str">
        <f aca="false">IF((F227&lt;&gt;0),F227-G227," ")</f>
        <v> </v>
      </c>
      <c r="I227" s="5"/>
      <c r="L227" s="7" t="str">
        <f aca="false">IF(F227&lt;&gt;0,F227-K227," ")</f>
        <v> </v>
      </c>
      <c r="M227" s="8" t="str">
        <f aca="false">IF((F227-K227)&lt;&gt;0,M$1-A227," ")</f>
        <v> </v>
      </c>
      <c r="N227" s="5"/>
      <c r="O227" s="17" t="str">
        <f aca="false">IF((E227="s"),H227," ")</f>
        <v> </v>
      </c>
      <c r="P227" s="17" t="str">
        <f aca="false">IF((E227="c"),H227," ")</f>
        <v> </v>
      </c>
      <c r="Q227" s="17" t="str">
        <f aca="false">IF((E227="o"),H227," ")</f>
        <v> </v>
      </c>
      <c r="R227" s="17" t="str">
        <f aca="false">IF((E227="d"),H227," ")</f>
        <v> </v>
      </c>
      <c r="S227" s="17" t="str">
        <f aca="false">IF((E227="w"),H227," ")</f>
        <v> </v>
      </c>
      <c r="T227" s="17" t="str">
        <f aca="false">IF((E227="r"),H227," ")</f>
        <v> </v>
      </c>
      <c r="U227" s="17" t="str">
        <f aca="false">IF((E227="p"),H227," ")</f>
        <v> </v>
      </c>
      <c r="V227" s="17" t="str">
        <f aca="false">IF((E227="t"),H227," ")</f>
        <v> </v>
      </c>
      <c r="W227" s="17" t="str">
        <f aca="false">IF((E227="q"),H227," ")</f>
        <v> </v>
      </c>
      <c r="X227" s="17" t="str">
        <f aca="false">IF((E227="m"),H227," ")</f>
        <v> </v>
      </c>
      <c r="Y227" s="17" t="str">
        <f aca="false">IF((E227="u"),H227," ")</f>
        <v> </v>
      </c>
      <c r="Z227" s="17" t="str">
        <f aca="false">IF((E227="a"),H227," ")</f>
        <v> </v>
      </c>
      <c r="AA227" s="17" t="str">
        <f aca="false">IF((E227="g"),H227," ")</f>
        <v> </v>
      </c>
      <c r="AB227" s="17" t="str">
        <f aca="false">IF((E227="h"),H227," ")</f>
        <v> </v>
      </c>
      <c r="AC227" s="30" t="str">
        <f aca="false">IF((E227="v"),H227," ")</f>
        <v> </v>
      </c>
      <c r="AD227" s="30" t="str">
        <f aca="false">IF((E227="n"),H227," ")</f>
        <v> </v>
      </c>
      <c r="AE227" s="17" t="str">
        <f aca="false">IF((E227="f"),H227," ")</f>
        <v> </v>
      </c>
      <c r="AF227" s="17" t="str">
        <f aca="false">IF((E227="l"),H227," ")</f>
        <v> </v>
      </c>
      <c r="AG227" s="17" t="str">
        <f aca="false">IF((E227="y"),H227," ")</f>
        <v> </v>
      </c>
      <c r="AH227" s="17" t="str">
        <f aca="false">IF((E227="z"),H227," ")</f>
        <v> </v>
      </c>
      <c r="AI227" s="17" t="str">
        <f aca="false">IF((E227="fa"),H227," ")</f>
        <v> </v>
      </c>
      <c r="AJ227" s="17" t="str">
        <f aca="false">IF((E227="e"),H227," ")</f>
        <v> </v>
      </c>
    </row>
    <row r="228" customFormat="false" ht="12" hidden="false" customHeight="false" outlineLevel="0" collapsed="false">
      <c r="A228" s="28"/>
      <c r="E228" s="2" t="str">
        <f aca="false">IF((F228&lt;&gt;0),"Enter Letter"," ")</f>
        <v> </v>
      </c>
      <c r="F228" s="30"/>
      <c r="G228" s="6" t="str">
        <f aca="false">IF(F228&lt;&gt;0,F228*G$2/(100+G$2)," ")</f>
        <v> </v>
      </c>
      <c r="H228" s="6" t="str">
        <f aca="false">IF((F228&lt;&gt;0),F228-G228," ")</f>
        <v> </v>
      </c>
      <c r="I228" s="5"/>
      <c r="L228" s="7" t="str">
        <f aca="false">IF(F228&lt;&gt;0,F228-K228," ")</f>
        <v> </v>
      </c>
      <c r="M228" s="8" t="str">
        <f aca="false">IF((F228-K228)&lt;&gt;0,M$1-A228," ")</f>
        <v> </v>
      </c>
      <c r="N228" s="5"/>
      <c r="O228" s="17" t="str">
        <f aca="false">IF((E228="s"),H228," ")</f>
        <v> </v>
      </c>
      <c r="P228" s="17" t="str">
        <f aca="false">IF((E228="c"),H228," ")</f>
        <v> </v>
      </c>
      <c r="Q228" s="17" t="str">
        <f aca="false">IF((E228="o"),H228," ")</f>
        <v> </v>
      </c>
      <c r="R228" s="17" t="str">
        <f aca="false">IF((E228="d"),H228," ")</f>
        <v> </v>
      </c>
      <c r="S228" s="17" t="str">
        <f aca="false">IF((E228="w"),H228," ")</f>
        <v> </v>
      </c>
      <c r="T228" s="17" t="str">
        <f aca="false">IF((E228="r"),H228," ")</f>
        <v> </v>
      </c>
      <c r="U228" s="17" t="str">
        <f aca="false">IF((E228="p"),H228," ")</f>
        <v> </v>
      </c>
      <c r="V228" s="17" t="str">
        <f aca="false">IF((E228="t"),H228," ")</f>
        <v> </v>
      </c>
      <c r="W228" s="17" t="str">
        <f aca="false">IF((E228="q"),H228," ")</f>
        <v> </v>
      </c>
      <c r="X228" s="17" t="str">
        <f aca="false">IF((E228="m"),H228," ")</f>
        <v> </v>
      </c>
      <c r="Y228" s="17" t="str">
        <f aca="false">IF((E228="u"),H228," ")</f>
        <v> </v>
      </c>
      <c r="Z228" s="17" t="str">
        <f aca="false">IF((E228="a"),H228," ")</f>
        <v> </v>
      </c>
      <c r="AA228" s="17" t="str">
        <f aca="false">IF((E228="g"),H228," ")</f>
        <v> </v>
      </c>
      <c r="AB228" s="17" t="str">
        <f aca="false">IF((E228="h"),H228," ")</f>
        <v> </v>
      </c>
      <c r="AC228" s="30" t="str">
        <f aca="false">IF((E228="v"),H228," ")</f>
        <v> </v>
      </c>
      <c r="AD228" s="30" t="str">
        <f aca="false">IF((E228="n"),H228," ")</f>
        <v> </v>
      </c>
      <c r="AE228" s="17" t="str">
        <f aca="false">IF((E228="f"),H228," ")</f>
        <v> </v>
      </c>
      <c r="AF228" s="17" t="str">
        <f aca="false">IF((E228="l"),H228," ")</f>
        <v> </v>
      </c>
      <c r="AG228" s="17" t="str">
        <f aca="false">IF((E228="y"),H228," ")</f>
        <v> </v>
      </c>
      <c r="AH228" s="17" t="str">
        <f aca="false">IF((E228="z"),H228," ")</f>
        <v> </v>
      </c>
      <c r="AI228" s="17" t="str">
        <f aca="false">IF((E228="fa"),H228," ")</f>
        <v> </v>
      </c>
      <c r="AJ228" s="17" t="str">
        <f aca="false">IF((E228="e"),H228," ")</f>
        <v> </v>
      </c>
    </row>
    <row r="229" customFormat="false" ht="12" hidden="false" customHeight="false" outlineLevel="0" collapsed="false">
      <c r="A229" s="28"/>
      <c r="E229" s="2" t="str">
        <f aca="false">IF((F229&lt;&gt;0),"Enter Letter"," ")</f>
        <v> </v>
      </c>
      <c r="F229" s="30"/>
      <c r="G229" s="6" t="str">
        <f aca="false">IF(F229&lt;&gt;0,F229*G$2/(100+G$2)," ")</f>
        <v> </v>
      </c>
      <c r="H229" s="6" t="str">
        <f aca="false">IF((F229&lt;&gt;0),F229-G229," ")</f>
        <v> </v>
      </c>
      <c r="I229" s="5"/>
      <c r="L229" s="7" t="str">
        <f aca="false">IF(F229&lt;&gt;0,F229-K229," ")</f>
        <v> </v>
      </c>
      <c r="M229" s="8" t="str">
        <f aca="false">IF((F229-K229)&lt;&gt;0,M$1-A229," ")</f>
        <v> </v>
      </c>
      <c r="N229" s="5"/>
      <c r="O229" s="17" t="str">
        <f aca="false">IF((E229="s"),H229," ")</f>
        <v> </v>
      </c>
      <c r="P229" s="17" t="str">
        <f aca="false">IF((E229="c"),H229," ")</f>
        <v> </v>
      </c>
      <c r="Q229" s="17" t="str">
        <f aca="false">IF((E229="o"),H229," ")</f>
        <v> </v>
      </c>
      <c r="R229" s="17" t="str">
        <f aca="false">IF((E229="d"),H229," ")</f>
        <v> </v>
      </c>
      <c r="S229" s="17" t="str">
        <f aca="false">IF((E229="w"),H229," ")</f>
        <v> </v>
      </c>
      <c r="T229" s="17" t="str">
        <f aca="false">IF((E229="r"),H229," ")</f>
        <v> </v>
      </c>
      <c r="U229" s="17" t="str">
        <f aca="false">IF((E229="p"),H229," ")</f>
        <v> </v>
      </c>
      <c r="V229" s="17" t="str">
        <f aca="false">IF((E229="t"),H229," ")</f>
        <v> </v>
      </c>
      <c r="W229" s="17" t="str">
        <f aca="false">IF((E229="q"),H229," ")</f>
        <v> </v>
      </c>
      <c r="X229" s="17" t="str">
        <f aca="false">IF((E229="m"),H229," ")</f>
        <v> </v>
      </c>
      <c r="Y229" s="17" t="str">
        <f aca="false">IF((E229="u"),H229," ")</f>
        <v> </v>
      </c>
      <c r="Z229" s="17" t="str">
        <f aca="false">IF((E229="a"),H229," ")</f>
        <v> </v>
      </c>
      <c r="AA229" s="17" t="str">
        <f aca="false">IF((E229="g"),H229," ")</f>
        <v> </v>
      </c>
      <c r="AB229" s="17" t="str">
        <f aca="false">IF((E229="h"),H229," ")</f>
        <v> </v>
      </c>
      <c r="AC229" s="30" t="str">
        <f aca="false">IF((E229="v"),H229," ")</f>
        <v> </v>
      </c>
      <c r="AD229" s="30" t="str">
        <f aca="false">IF((E229="n"),H229," ")</f>
        <v> </v>
      </c>
      <c r="AE229" s="17" t="str">
        <f aca="false">IF((E229="f"),H229," ")</f>
        <v> </v>
      </c>
      <c r="AF229" s="17" t="str">
        <f aca="false">IF((E229="l"),H229," ")</f>
        <v> </v>
      </c>
      <c r="AG229" s="17" t="str">
        <f aca="false">IF((E229="y"),H229," ")</f>
        <v> </v>
      </c>
      <c r="AH229" s="17" t="str">
        <f aca="false">IF((E229="z"),H229," ")</f>
        <v> </v>
      </c>
      <c r="AI229" s="17" t="str">
        <f aca="false">IF((E229="fa"),H229," ")</f>
        <v> </v>
      </c>
      <c r="AJ229" s="17" t="str">
        <f aca="false">IF((E229="e"),H229," ")</f>
        <v> </v>
      </c>
    </row>
    <row r="230" customFormat="false" ht="12" hidden="false" customHeight="false" outlineLevel="0" collapsed="false">
      <c r="A230" s="28"/>
      <c r="E230" s="2" t="str">
        <f aca="false">IF((F230&lt;&gt;0),"Enter Letter"," ")</f>
        <v> </v>
      </c>
      <c r="F230" s="30"/>
      <c r="G230" s="6" t="str">
        <f aca="false">IF(F230&lt;&gt;0,F230*G$2/(100+G$2)," ")</f>
        <v> </v>
      </c>
      <c r="H230" s="6" t="str">
        <f aca="false">IF((F230&lt;&gt;0),F230-G230," ")</f>
        <v> </v>
      </c>
      <c r="I230" s="5"/>
      <c r="L230" s="7" t="str">
        <f aca="false">IF(F230&lt;&gt;0,F230-K230," ")</f>
        <v> </v>
      </c>
      <c r="M230" s="8" t="str">
        <f aca="false">IF((F230-K230)&lt;&gt;0,M$1-A230," ")</f>
        <v> </v>
      </c>
      <c r="N230" s="5"/>
      <c r="O230" s="17" t="str">
        <f aca="false">IF((E230="s"),H230," ")</f>
        <v> </v>
      </c>
      <c r="P230" s="17" t="str">
        <f aca="false">IF((E230="c"),H230," ")</f>
        <v> </v>
      </c>
      <c r="Q230" s="17" t="str">
        <f aca="false">IF((E230="o"),H230," ")</f>
        <v> </v>
      </c>
      <c r="R230" s="17" t="str">
        <f aca="false">IF((E230="d"),H230," ")</f>
        <v> </v>
      </c>
      <c r="S230" s="17" t="str">
        <f aca="false">IF((E230="w"),H230," ")</f>
        <v> </v>
      </c>
      <c r="T230" s="17" t="str">
        <f aca="false">IF((E230="r"),H230," ")</f>
        <v> </v>
      </c>
      <c r="U230" s="17" t="str">
        <f aca="false">IF((E230="p"),H230," ")</f>
        <v> </v>
      </c>
      <c r="V230" s="17" t="str">
        <f aca="false">IF((E230="t"),H230," ")</f>
        <v> </v>
      </c>
      <c r="W230" s="17" t="str">
        <f aca="false">IF((E230="q"),H230," ")</f>
        <v> </v>
      </c>
      <c r="X230" s="17" t="str">
        <f aca="false">IF((E230="m"),H230," ")</f>
        <v> </v>
      </c>
      <c r="Y230" s="17" t="str">
        <f aca="false">IF((E230="u"),H230," ")</f>
        <v> </v>
      </c>
      <c r="Z230" s="17" t="str">
        <f aca="false">IF((E230="a"),H230," ")</f>
        <v> </v>
      </c>
      <c r="AA230" s="17" t="str">
        <f aca="false">IF((E230="g"),H230," ")</f>
        <v> </v>
      </c>
      <c r="AB230" s="17" t="str">
        <f aca="false">IF((E230="h"),H230," ")</f>
        <v> </v>
      </c>
      <c r="AC230" s="30" t="str">
        <f aca="false">IF((E230="v"),H230," ")</f>
        <v> </v>
      </c>
      <c r="AD230" s="30" t="str">
        <f aca="false">IF((E230="n"),H230," ")</f>
        <v> </v>
      </c>
      <c r="AE230" s="17" t="str">
        <f aca="false">IF((E230="f"),H230," ")</f>
        <v> </v>
      </c>
      <c r="AF230" s="17" t="str">
        <f aca="false">IF((E230="l"),H230," ")</f>
        <v> </v>
      </c>
      <c r="AG230" s="17" t="str">
        <f aca="false">IF((E230="y"),H230," ")</f>
        <v> </v>
      </c>
      <c r="AH230" s="17" t="str">
        <f aca="false">IF((E230="z"),H230," ")</f>
        <v> </v>
      </c>
      <c r="AI230" s="17" t="str">
        <f aca="false">IF((E230="fa"),H230," ")</f>
        <v> </v>
      </c>
      <c r="AJ230" s="17" t="str">
        <f aca="false">IF((E230="e"),H230," ")</f>
        <v> </v>
      </c>
    </row>
    <row r="231" customFormat="false" ht="12" hidden="false" customHeight="false" outlineLevel="0" collapsed="false">
      <c r="A231" s="28"/>
      <c r="E231" s="2" t="str">
        <f aca="false">IF((F231&lt;&gt;0),"Enter Letter"," ")</f>
        <v> </v>
      </c>
      <c r="F231" s="30"/>
      <c r="G231" s="6" t="str">
        <f aca="false">IF(F231&lt;&gt;0,F231*G$2/(100+G$2)," ")</f>
        <v> </v>
      </c>
      <c r="H231" s="6" t="str">
        <f aca="false">IF((F231&lt;&gt;0),F231-G231," ")</f>
        <v> </v>
      </c>
      <c r="I231" s="5"/>
      <c r="L231" s="7" t="str">
        <f aca="false">IF(F231&lt;&gt;0,F231-K231," ")</f>
        <v> </v>
      </c>
      <c r="M231" s="8" t="str">
        <f aca="false">IF((F231-K231)&lt;&gt;0,M$1-A231," ")</f>
        <v> </v>
      </c>
      <c r="N231" s="5"/>
      <c r="O231" s="17" t="str">
        <f aca="false">IF((E231="s"),H231," ")</f>
        <v> </v>
      </c>
      <c r="P231" s="17" t="str">
        <f aca="false">IF((E231="c"),H231," ")</f>
        <v> </v>
      </c>
      <c r="Q231" s="17" t="str">
        <f aca="false">IF((E231="o"),H231," ")</f>
        <v> </v>
      </c>
      <c r="R231" s="17" t="str">
        <f aca="false">IF((E231="d"),H231," ")</f>
        <v> </v>
      </c>
      <c r="S231" s="17" t="str">
        <f aca="false">IF((E231="w"),H231," ")</f>
        <v> </v>
      </c>
      <c r="T231" s="17" t="str">
        <f aca="false">IF((E231="r"),H231," ")</f>
        <v> </v>
      </c>
      <c r="U231" s="17" t="str">
        <f aca="false">IF((E231="p"),H231," ")</f>
        <v> </v>
      </c>
      <c r="V231" s="17" t="str">
        <f aca="false">IF((E231="t"),H231," ")</f>
        <v> </v>
      </c>
      <c r="W231" s="17" t="str">
        <f aca="false">IF((E231="q"),H231," ")</f>
        <v> </v>
      </c>
      <c r="X231" s="17" t="str">
        <f aca="false">IF((E231="m"),H231," ")</f>
        <v> </v>
      </c>
      <c r="Y231" s="17" t="str">
        <f aca="false">IF((E231="u"),H231," ")</f>
        <v> </v>
      </c>
      <c r="Z231" s="17" t="str">
        <f aca="false">IF((E231="a"),H231," ")</f>
        <v> </v>
      </c>
      <c r="AA231" s="17" t="str">
        <f aca="false">IF((E231="g"),H231," ")</f>
        <v> </v>
      </c>
      <c r="AB231" s="17" t="str">
        <f aca="false">IF((E231="h"),H231," ")</f>
        <v> </v>
      </c>
      <c r="AC231" s="30" t="str">
        <f aca="false">IF((E231="v"),H231," ")</f>
        <v> </v>
      </c>
      <c r="AD231" s="30" t="str">
        <f aca="false">IF((E231="n"),H231," ")</f>
        <v> </v>
      </c>
      <c r="AE231" s="17" t="str">
        <f aca="false">IF((E231="f"),H231," ")</f>
        <v> </v>
      </c>
      <c r="AF231" s="17" t="str">
        <f aca="false">IF((E231="l"),H231," ")</f>
        <v> </v>
      </c>
      <c r="AG231" s="17" t="str">
        <f aca="false">IF((E231="y"),H231," ")</f>
        <v> </v>
      </c>
      <c r="AH231" s="17" t="str">
        <f aca="false">IF((E231="z"),H231," ")</f>
        <v> </v>
      </c>
      <c r="AI231" s="17" t="str">
        <f aca="false">IF((E231="fa"),H231," ")</f>
        <v> </v>
      </c>
      <c r="AJ231" s="17" t="str">
        <f aca="false">IF((E231="e"),H231," ")</f>
        <v> </v>
      </c>
    </row>
    <row r="232" customFormat="false" ht="12" hidden="false" customHeight="false" outlineLevel="0" collapsed="false">
      <c r="A232" s="28"/>
      <c r="E232" s="2" t="str">
        <f aca="false">IF((F232&lt;&gt;0),"Enter Letter"," ")</f>
        <v> </v>
      </c>
      <c r="F232" s="30"/>
      <c r="G232" s="6" t="str">
        <f aca="false">IF(F232&lt;&gt;0,F232*G$2/(100+G$2)," ")</f>
        <v> </v>
      </c>
      <c r="H232" s="6" t="str">
        <f aca="false">IF((F232&lt;&gt;0),F232-G232," ")</f>
        <v> </v>
      </c>
      <c r="I232" s="5"/>
      <c r="L232" s="7" t="str">
        <f aca="false">IF(F232&lt;&gt;0,F232-K232," ")</f>
        <v> </v>
      </c>
      <c r="M232" s="8" t="str">
        <f aca="false">IF((F232-K232)&lt;&gt;0,M$1-A232," ")</f>
        <v> </v>
      </c>
      <c r="N232" s="5"/>
      <c r="O232" s="17" t="str">
        <f aca="false">IF((E232="s"),H232," ")</f>
        <v> </v>
      </c>
      <c r="P232" s="17" t="str">
        <f aca="false">IF((E232="c"),H232," ")</f>
        <v> </v>
      </c>
      <c r="Q232" s="17" t="str">
        <f aca="false">IF((E232="o"),H232," ")</f>
        <v> </v>
      </c>
      <c r="R232" s="17" t="str">
        <f aca="false">IF((E232="d"),H232," ")</f>
        <v> </v>
      </c>
      <c r="S232" s="17" t="str">
        <f aca="false">IF((E232="w"),H232," ")</f>
        <v> </v>
      </c>
      <c r="T232" s="17" t="str">
        <f aca="false">IF((E232="r"),H232," ")</f>
        <v> </v>
      </c>
      <c r="U232" s="17" t="str">
        <f aca="false">IF((E232="p"),H232," ")</f>
        <v> </v>
      </c>
      <c r="V232" s="17" t="str">
        <f aca="false">IF((E232="t"),H232," ")</f>
        <v> </v>
      </c>
      <c r="W232" s="17" t="str">
        <f aca="false">IF((E232="q"),H232," ")</f>
        <v> </v>
      </c>
      <c r="X232" s="17" t="str">
        <f aca="false">IF((E232="m"),H232," ")</f>
        <v> </v>
      </c>
      <c r="Y232" s="17" t="str">
        <f aca="false">IF((E232="u"),H232," ")</f>
        <v> </v>
      </c>
      <c r="Z232" s="17" t="str">
        <f aca="false">IF((E232="a"),H232," ")</f>
        <v> </v>
      </c>
      <c r="AA232" s="17" t="str">
        <f aca="false">IF((E232="g"),H232," ")</f>
        <v> </v>
      </c>
      <c r="AB232" s="17" t="str">
        <f aca="false">IF((E232="h"),H232," ")</f>
        <v> </v>
      </c>
      <c r="AC232" s="30" t="str">
        <f aca="false">IF((E232="v"),H232," ")</f>
        <v> </v>
      </c>
      <c r="AD232" s="30" t="str">
        <f aca="false">IF((E232="n"),H232," ")</f>
        <v> </v>
      </c>
      <c r="AE232" s="17" t="str">
        <f aca="false">IF((E232="f"),H232," ")</f>
        <v> </v>
      </c>
      <c r="AF232" s="17" t="str">
        <f aca="false">IF((E232="l"),H232," ")</f>
        <v> </v>
      </c>
      <c r="AG232" s="17" t="str">
        <f aca="false">IF((E232="y"),H232," ")</f>
        <v> </v>
      </c>
      <c r="AH232" s="17" t="str">
        <f aca="false">IF((E232="z"),H232," ")</f>
        <v> </v>
      </c>
      <c r="AI232" s="17" t="str">
        <f aca="false">IF((E232="fa"),H232," ")</f>
        <v> </v>
      </c>
      <c r="AJ232" s="17" t="str">
        <f aca="false">IF((E232="e"),H232," ")</f>
        <v> </v>
      </c>
    </row>
    <row r="233" customFormat="false" ht="12" hidden="false" customHeight="false" outlineLevel="0" collapsed="false">
      <c r="A233" s="28"/>
      <c r="E233" s="2" t="str">
        <f aca="false">IF((F233&lt;&gt;0),"Enter Letter"," ")</f>
        <v> </v>
      </c>
      <c r="F233" s="30"/>
      <c r="G233" s="6" t="str">
        <f aca="false">IF(F233&lt;&gt;0,F233*G$2/(100+G$2)," ")</f>
        <v> </v>
      </c>
      <c r="H233" s="6" t="str">
        <f aca="false">IF((F233&lt;&gt;0),F233-G233," ")</f>
        <v> </v>
      </c>
      <c r="I233" s="5"/>
      <c r="L233" s="7" t="str">
        <f aca="false">IF(F233&lt;&gt;0,F233-K233," ")</f>
        <v> </v>
      </c>
      <c r="M233" s="8" t="str">
        <f aca="false">IF((F233-K233)&lt;&gt;0,M$1-A233," ")</f>
        <v> </v>
      </c>
      <c r="N233" s="5"/>
      <c r="O233" s="17" t="str">
        <f aca="false">IF((E233="s"),H233," ")</f>
        <v> </v>
      </c>
      <c r="P233" s="17" t="str">
        <f aca="false">IF((E233="c"),H233," ")</f>
        <v> </v>
      </c>
      <c r="Q233" s="17" t="str">
        <f aca="false">IF((E233="o"),H233," ")</f>
        <v> </v>
      </c>
      <c r="R233" s="17" t="str">
        <f aca="false">IF((E233="d"),H233," ")</f>
        <v> </v>
      </c>
      <c r="S233" s="17" t="str">
        <f aca="false">IF((E233="w"),H233," ")</f>
        <v> </v>
      </c>
      <c r="T233" s="17" t="str">
        <f aca="false">IF((E233="r"),H233," ")</f>
        <v> </v>
      </c>
      <c r="U233" s="17" t="str">
        <f aca="false">IF((E233="p"),H233," ")</f>
        <v> </v>
      </c>
      <c r="V233" s="17" t="str">
        <f aca="false">IF((E233="t"),H233," ")</f>
        <v> </v>
      </c>
      <c r="W233" s="17" t="str">
        <f aca="false">IF((E233="q"),H233," ")</f>
        <v> </v>
      </c>
      <c r="X233" s="17" t="str">
        <f aca="false">IF((E233="m"),H233," ")</f>
        <v> </v>
      </c>
      <c r="Y233" s="17" t="str">
        <f aca="false">IF((E233="u"),H233," ")</f>
        <v> </v>
      </c>
      <c r="Z233" s="17" t="str">
        <f aca="false">IF((E233="a"),H233," ")</f>
        <v> </v>
      </c>
      <c r="AA233" s="17" t="str">
        <f aca="false">IF((E233="g"),H233," ")</f>
        <v> </v>
      </c>
      <c r="AB233" s="17" t="str">
        <f aca="false">IF((E233="h"),H233," ")</f>
        <v> </v>
      </c>
      <c r="AC233" s="30" t="str">
        <f aca="false">IF((E233="v"),H233," ")</f>
        <v> </v>
      </c>
      <c r="AD233" s="30" t="str">
        <f aca="false">IF((E233="n"),H233," ")</f>
        <v> </v>
      </c>
      <c r="AE233" s="17" t="str">
        <f aca="false">IF((E233="f"),H233," ")</f>
        <v> </v>
      </c>
      <c r="AF233" s="17" t="str">
        <f aca="false">IF((E233="l"),H233," ")</f>
        <v> </v>
      </c>
      <c r="AG233" s="17" t="str">
        <f aca="false">IF((E233="y"),H233," ")</f>
        <v> </v>
      </c>
      <c r="AH233" s="17" t="str">
        <f aca="false">IF((E233="z"),H233," ")</f>
        <v> </v>
      </c>
      <c r="AI233" s="17" t="str">
        <f aca="false">IF((E233="fa"),H233," ")</f>
        <v> </v>
      </c>
      <c r="AJ233" s="17" t="str">
        <f aca="false">IF((E233="e"),H233," ")</f>
        <v> </v>
      </c>
    </row>
    <row r="234" customFormat="false" ht="12" hidden="false" customHeight="false" outlineLevel="0" collapsed="false">
      <c r="A234" s="28"/>
      <c r="E234" s="2" t="str">
        <f aca="false">IF((F234&lt;&gt;0),"Enter Letter"," ")</f>
        <v> </v>
      </c>
      <c r="F234" s="30"/>
      <c r="G234" s="6" t="str">
        <f aca="false">IF(F234&lt;&gt;0,F234*G$2/(100+G$2)," ")</f>
        <v> </v>
      </c>
      <c r="H234" s="6" t="str">
        <f aca="false">IF((F234&lt;&gt;0),F234-G234," ")</f>
        <v> </v>
      </c>
      <c r="I234" s="5"/>
      <c r="L234" s="7" t="str">
        <f aca="false">IF(F234&lt;&gt;0,F234-K234," ")</f>
        <v> </v>
      </c>
      <c r="M234" s="8" t="str">
        <f aca="false">IF((F234-K234)&lt;&gt;0,M$1-A234," ")</f>
        <v> </v>
      </c>
      <c r="N234" s="5"/>
      <c r="O234" s="17" t="str">
        <f aca="false">IF((E234="s"),H234," ")</f>
        <v> </v>
      </c>
      <c r="P234" s="17" t="str">
        <f aca="false">IF((E234="c"),H234," ")</f>
        <v> </v>
      </c>
      <c r="Q234" s="17" t="str">
        <f aca="false">IF((E234="o"),H234," ")</f>
        <v> </v>
      </c>
      <c r="R234" s="17" t="str">
        <f aca="false">IF((E234="d"),H234," ")</f>
        <v> </v>
      </c>
      <c r="S234" s="17" t="str">
        <f aca="false">IF((E234="w"),H234," ")</f>
        <v> </v>
      </c>
      <c r="T234" s="17" t="str">
        <f aca="false">IF((E234="r"),H234," ")</f>
        <v> </v>
      </c>
      <c r="U234" s="17" t="str">
        <f aca="false">IF((E234="p"),H234," ")</f>
        <v> </v>
      </c>
      <c r="V234" s="17" t="str">
        <f aca="false">IF((E234="t"),H234," ")</f>
        <v> </v>
      </c>
      <c r="W234" s="17" t="str">
        <f aca="false">IF((E234="q"),H234," ")</f>
        <v> </v>
      </c>
      <c r="X234" s="17" t="str">
        <f aca="false">IF((E234="m"),H234," ")</f>
        <v> </v>
      </c>
      <c r="Y234" s="17" t="str">
        <f aca="false">IF((E234="u"),H234," ")</f>
        <v> </v>
      </c>
      <c r="Z234" s="17" t="str">
        <f aca="false">IF((E234="a"),H234," ")</f>
        <v> </v>
      </c>
      <c r="AA234" s="17" t="str">
        <f aca="false">IF((E234="g"),H234," ")</f>
        <v> </v>
      </c>
      <c r="AB234" s="17" t="str">
        <f aca="false">IF((E234="h"),H234," ")</f>
        <v> </v>
      </c>
      <c r="AC234" s="30" t="str">
        <f aca="false">IF((E234="v"),H234," ")</f>
        <v> </v>
      </c>
      <c r="AD234" s="30" t="str">
        <f aca="false">IF((E234="n"),H234," ")</f>
        <v> </v>
      </c>
      <c r="AE234" s="17" t="str">
        <f aca="false">IF((E234="f"),H234," ")</f>
        <v> </v>
      </c>
      <c r="AF234" s="17" t="str">
        <f aca="false">IF((E234="l"),H234," ")</f>
        <v> </v>
      </c>
      <c r="AG234" s="17" t="str">
        <f aca="false">IF((E234="y"),H234," ")</f>
        <v> </v>
      </c>
      <c r="AH234" s="17" t="str">
        <f aca="false">IF((E234="z"),H234," ")</f>
        <v> </v>
      </c>
      <c r="AI234" s="17" t="str">
        <f aca="false">IF((E234="fa"),H234," ")</f>
        <v> </v>
      </c>
      <c r="AJ234" s="17" t="str">
        <f aca="false">IF((E234="e"),H234," ")</f>
        <v> </v>
      </c>
    </row>
    <row r="235" customFormat="false" ht="12" hidden="false" customHeight="false" outlineLevel="0" collapsed="false">
      <c r="A235" s="28"/>
      <c r="E235" s="2" t="str">
        <f aca="false">IF((F235&lt;&gt;0),"Enter Letter"," ")</f>
        <v> </v>
      </c>
      <c r="F235" s="30"/>
      <c r="G235" s="6" t="str">
        <f aca="false">IF(F235&lt;&gt;0,F235*G$2/(100+G$2)," ")</f>
        <v> </v>
      </c>
      <c r="H235" s="6" t="str">
        <f aca="false">IF((F235&lt;&gt;0),F235-G235," ")</f>
        <v> </v>
      </c>
      <c r="I235" s="5"/>
      <c r="L235" s="7" t="str">
        <f aca="false">IF(F235&lt;&gt;0,F235-K235," ")</f>
        <v> </v>
      </c>
      <c r="M235" s="8" t="str">
        <f aca="false">IF((F235-K235)&lt;&gt;0,M$1-A235," ")</f>
        <v> </v>
      </c>
      <c r="N235" s="5"/>
      <c r="O235" s="17" t="str">
        <f aca="false">IF((E235="s"),H235," ")</f>
        <v> </v>
      </c>
      <c r="P235" s="17" t="str">
        <f aca="false">IF((E235="c"),H235," ")</f>
        <v> </v>
      </c>
      <c r="Q235" s="17" t="str">
        <f aca="false">IF((E235="o"),H235," ")</f>
        <v> </v>
      </c>
      <c r="R235" s="17" t="str">
        <f aca="false">IF((E235="d"),H235," ")</f>
        <v> </v>
      </c>
      <c r="S235" s="17" t="str">
        <f aca="false">IF((E235="w"),H235," ")</f>
        <v> </v>
      </c>
      <c r="T235" s="17" t="str">
        <f aca="false">IF((E235="r"),H235," ")</f>
        <v> </v>
      </c>
      <c r="U235" s="17" t="str">
        <f aca="false">IF((E235="p"),H235," ")</f>
        <v> </v>
      </c>
      <c r="V235" s="17" t="str">
        <f aca="false">IF((E235="t"),H235," ")</f>
        <v> </v>
      </c>
      <c r="W235" s="17" t="str">
        <f aca="false">IF((E235="q"),H235," ")</f>
        <v> </v>
      </c>
      <c r="X235" s="17" t="str">
        <f aca="false">IF((E235="m"),H235," ")</f>
        <v> </v>
      </c>
      <c r="Y235" s="17" t="str">
        <f aca="false">IF((E235="u"),H235," ")</f>
        <v> </v>
      </c>
      <c r="Z235" s="17" t="str">
        <f aca="false">IF((E235="a"),H235," ")</f>
        <v> </v>
      </c>
      <c r="AA235" s="17" t="str">
        <f aca="false">IF((E235="g"),H235," ")</f>
        <v> </v>
      </c>
      <c r="AB235" s="17" t="str">
        <f aca="false">IF((E235="h"),H235," ")</f>
        <v> </v>
      </c>
      <c r="AC235" s="30" t="str">
        <f aca="false">IF((E235="v"),H235," ")</f>
        <v> </v>
      </c>
      <c r="AD235" s="30" t="str">
        <f aca="false">IF((E235="n"),H235," ")</f>
        <v> </v>
      </c>
      <c r="AE235" s="17" t="str">
        <f aca="false">IF((E235="f"),H235," ")</f>
        <v> </v>
      </c>
      <c r="AF235" s="17" t="str">
        <f aca="false">IF((E235="l"),H235," ")</f>
        <v> </v>
      </c>
      <c r="AG235" s="17" t="str">
        <f aca="false">IF((E235="y"),H235," ")</f>
        <v> </v>
      </c>
      <c r="AH235" s="17" t="str">
        <f aca="false">IF((E235="z"),H235," ")</f>
        <v> </v>
      </c>
      <c r="AI235" s="17" t="str">
        <f aca="false">IF((E235="fa"),H235," ")</f>
        <v> </v>
      </c>
      <c r="AJ235" s="17" t="str">
        <f aca="false">IF((E235="e"),H235," ")</f>
        <v> </v>
      </c>
    </row>
    <row r="236" customFormat="false" ht="12" hidden="false" customHeight="false" outlineLevel="0" collapsed="false">
      <c r="A236" s="28"/>
      <c r="E236" s="2" t="str">
        <f aca="false">IF((F236&lt;&gt;0),"Enter Letter"," ")</f>
        <v> </v>
      </c>
      <c r="F236" s="30"/>
      <c r="G236" s="6" t="str">
        <f aca="false">IF(F236&lt;&gt;0,F236*G$2/(100+G$2)," ")</f>
        <v> </v>
      </c>
      <c r="H236" s="6" t="str">
        <f aca="false">IF((F236&lt;&gt;0),F236-G236," ")</f>
        <v> </v>
      </c>
      <c r="I236" s="5"/>
      <c r="L236" s="7" t="str">
        <f aca="false">IF(F236&lt;&gt;0,F236-K236," ")</f>
        <v> </v>
      </c>
      <c r="M236" s="8" t="str">
        <f aca="false">IF((F236-K236)&lt;&gt;0,M$1-A236," ")</f>
        <v> </v>
      </c>
      <c r="N236" s="5"/>
      <c r="O236" s="17" t="str">
        <f aca="false">IF((E236="s"),H236," ")</f>
        <v> </v>
      </c>
      <c r="P236" s="17" t="str">
        <f aca="false">IF((E236="c"),H236," ")</f>
        <v> </v>
      </c>
      <c r="Q236" s="17" t="str">
        <f aca="false">IF((E236="o"),H236," ")</f>
        <v> </v>
      </c>
      <c r="R236" s="17" t="str">
        <f aca="false">IF((E236="d"),H236," ")</f>
        <v> </v>
      </c>
      <c r="S236" s="17" t="str">
        <f aca="false">IF((E236="w"),H236," ")</f>
        <v> </v>
      </c>
      <c r="T236" s="17" t="str">
        <f aca="false">IF((E236="r"),H236," ")</f>
        <v> </v>
      </c>
      <c r="U236" s="17" t="str">
        <f aca="false">IF((E236="p"),H236," ")</f>
        <v> </v>
      </c>
      <c r="V236" s="17" t="str">
        <f aca="false">IF((E236="t"),H236," ")</f>
        <v> </v>
      </c>
      <c r="W236" s="17" t="str">
        <f aca="false">IF((E236="q"),H236," ")</f>
        <v> </v>
      </c>
      <c r="X236" s="17" t="str">
        <f aca="false">IF((E236="m"),H236," ")</f>
        <v> </v>
      </c>
      <c r="Y236" s="17" t="str">
        <f aca="false">IF((E236="u"),H236," ")</f>
        <v> </v>
      </c>
      <c r="Z236" s="17" t="str">
        <f aca="false">IF((E236="a"),H236," ")</f>
        <v> </v>
      </c>
      <c r="AA236" s="17" t="str">
        <f aca="false">IF((E236="g"),H236," ")</f>
        <v> </v>
      </c>
      <c r="AB236" s="17" t="str">
        <f aca="false">IF((E236="h"),H236," ")</f>
        <v> </v>
      </c>
      <c r="AC236" s="30" t="str">
        <f aca="false">IF((E236="v"),H236," ")</f>
        <v> </v>
      </c>
      <c r="AD236" s="30" t="str">
        <f aca="false">IF((E236="n"),H236," ")</f>
        <v> </v>
      </c>
      <c r="AE236" s="17" t="str">
        <f aca="false">IF((E236="f"),H236," ")</f>
        <v> </v>
      </c>
      <c r="AF236" s="17" t="str">
        <f aca="false">IF((E236="l"),H236," ")</f>
        <v> </v>
      </c>
      <c r="AG236" s="17" t="str">
        <f aca="false">IF((E236="y"),H236," ")</f>
        <v> </v>
      </c>
      <c r="AH236" s="17" t="str">
        <f aca="false">IF((E236="z"),H236," ")</f>
        <v> </v>
      </c>
      <c r="AI236" s="17" t="str">
        <f aca="false">IF((E236="fa"),H236," ")</f>
        <v> </v>
      </c>
      <c r="AJ236" s="17" t="str">
        <f aca="false">IF((E236="e"),H236," ")</f>
        <v> </v>
      </c>
    </row>
    <row r="237" customFormat="false" ht="12" hidden="false" customHeight="false" outlineLevel="0" collapsed="false">
      <c r="A237" s="28"/>
      <c r="E237" s="2" t="str">
        <f aca="false">IF((F237&lt;&gt;0),"Enter Letter"," ")</f>
        <v> </v>
      </c>
      <c r="F237" s="30"/>
      <c r="G237" s="6" t="str">
        <f aca="false">IF(F237&lt;&gt;0,F237*G$2/(100+G$2)," ")</f>
        <v> </v>
      </c>
      <c r="H237" s="6" t="str">
        <f aca="false">IF((F237&lt;&gt;0),F237-G237," ")</f>
        <v> </v>
      </c>
      <c r="I237" s="5"/>
      <c r="L237" s="7" t="str">
        <f aca="false">IF(F237&lt;&gt;0,F237-K237," ")</f>
        <v> </v>
      </c>
      <c r="M237" s="8" t="str">
        <f aca="false">IF((F237-K237)&lt;&gt;0,M$1-A237," ")</f>
        <v> </v>
      </c>
      <c r="N237" s="5"/>
      <c r="O237" s="17" t="str">
        <f aca="false">IF((E237="s"),H237," ")</f>
        <v> </v>
      </c>
      <c r="P237" s="17" t="str">
        <f aca="false">IF((E237="c"),H237," ")</f>
        <v> </v>
      </c>
      <c r="Q237" s="17" t="str">
        <f aca="false">IF((E237="o"),H237," ")</f>
        <v> </v>
      </c>
      <c r="R237" s="17" t="str">
        <f aca="false">IF((E237="d"),H237," ")</f>
        <v> </v>
      </c>
      <c r="S237" s="17" t="str">
        <f aca="false">IF((E237="w"),H237," ")</f>
        <v> </v>
      </c>
      <c r="T237" s="17" t="str">
        <f aca="false">IF((E237="r"),H237," ")</f>
        <v> </v>
      </c>
      <c r="U237" s="17" t="str">
        <f aca="false">IF((E237="p"),H237," ")</f>
        <v> </v>
      </c>
      <c r="V237" s="17" t="str">
        <f aca="false">IF((E237="t"),H237," ")</f>
        <v> </v>
      </c>
      <c r="W237" s="17" t="str">
        <f aca="false">IF((E237="q"),H237," ")</f>
        <v> </v>
      </c>
      <c r="X237" s="17" t="str">
        <f aca="false">IF((E237="m"),H237," ")</f>
        <v> </v>
      </c>
      <c r="Y237" s="17" t="str">
        <f aca="false">IF((E237="u"),H237," ")</f>
        <v> </v>
      </c>
      <c r="Z237" s="17" t="str">
        <f aca="false">IF((E237="a"),H237," ")</f>
        <v> </v>
      </c>
      <c r="AA237" s="17" t="str">
        <f aca="false">IF((E237="g"),H237," ")</f>
        <v> </v>
      </c>
      <c r="AB237" s="17" t="str">
        <f aca="false">IF((E237="h"),H237," ")</f>
        <v> </v>
      </c>
      <c r="AC237" s="30" t="str">
        <f aca="false">IF((E237="v"),H237," ")</f>
        <v> </v>
      </c>
      <c r="AD237" s="30" t="str">
        <f aca="false">IF((E237="n"),H237," ")</f>
        <v> </v>
      </c>
      <c r="AE237" s="17" t="str">
        <f aca="false">IF((E237="f"),H237," ")</f>
        <v> </v>
      </c>
      <c r="AF237" s="17" t="str">
        <f aca="false">IF((E237="l"),H237," ")</f>
        <v> </v>
      </c>
      <c r="AG237" s="17" t="str">
        <f aca="false">IF((E237="y"),H237," ")</f>
        <v> </v>
      </c>
      <c r="AH237" s="17" t="str">
        <f aca="false">IF((E237="z"),H237," ")</f>
        <v> </v>
      </c>
      <c r="AI237" s="17" t="str">
        <f aca="false">IF((E237="fa"),H237," ")</f>
        <v> </v>
      </c>
      <c r="AJ237" s="17" t="str">
        <f aca="false">IF((E237="e"),H237," ")</f>
        <v> </v>
      </c>
    </row>
    <row r="238" customFormat="false" ht="12" hidden="false" customHeight="false" outlineLevel="0" collapsed="false">
      <c r="A238" s="28"/>
      <c r="E238" s="2" t="str">
        <f aca="false">IF((F238&lt;&gt;0),"Enter Letter"," ")</f>
        <v> </v>
      </c>
      <c r="F238" s="30"/>
      <c r="G238" s="6" t="str">
        <f aca="false">IF(F238&lt;&gt;0,F238*G$2/(100+G$2)," ")</f>
        <v> </v>
      </c>
      <c r="H238" s="6" t="str">
        <f aca="false">IF((F238&lt;&gt;0),F238-G238," ")</f>
        <v> </v>
      </c>
      <c r="I238" s="5"/>
      <c r="L238" s="7" t="str">
        <f aca="false">IF(F238&lt;&gt;0,F238-K238," ")</f>
        <v> </v>
      </c>
      <c r="M238" s="8" t="str">
        <f aca="false">IF((F238-K238)&lt;&gt;0,M$1-A238," ")</f>
        <v> </v>
      </c>
      <c r="N238" s="5"/>
      <c r="O238" s="17" t="str">
        <f aca="false">IF((E238="s"),H238," ")</f>
        <v> </v>
      </c>
      <c r="P238" s="17" t="str">
        <f aca="false">IF((E238="c"),H238," ")</f>
        <v> </v>
      </c>
      <c r="Q238" s="17" t="str">
        <f aca="false">IF((E238="o"),H238," ")</f>
        <v> </v>
      </c>
      <c r="R238" s="17" t="str">
        <f aca="false">IF((E238="d"),H238," ")</f>
        <v> </v>
      </c>
      <c r="S238" s="17" t="str">
        <f aca="false">IF((E238="w"),H238," ")</f>
        <v> </v>
      </c>
      <c r="T238" s="17" t="str">
        <f aca="false">IF((E238="r"),H238," ")</f>
        <v> </v>
      </c>
      <c r="U238" s="17" t="str">
        <f aca="false">IF((E238="p"),H238," ")</f>
        <v> </v>
      </c>
      <c r="V238" s="17" t="str">
        <f aca="false">IF((E238="t"),H238," ")</f>
        <v> </v>
      </c>
      <c r="W238" s="17" t="str">
        <f aca="false">IF((E238="q"),H238," ")</f>
        <v> </v>
      </c>
      <c r="X238" s="17" t="str">
        <f aca="false">IF((E238="m"),H238," ")</f>
        <v> </v>
      </c>
      <c r="Y238" s="17" t="str">
        <f aca="false">IF((E238="u"),H238," ")</f>
        <v> </v>
      </c>
      <c r="Z238" s="17" t="str">
        <f aca="false">IF((E238="a"),H238," ")</f>
        <v> </v>
      </c>
      <c r="AA238" s="17" t="str">
        <f aca="false">IF((E238="g"),H238," ")</f>
        <v> </v>
      </c>
      <c r="AB238" s="17" t="str">
        <f aca="false">IF((E238="h"),H238," ")</f>
        <v> </v>
      </c>
      <c r="AC238" s="30" t="str">
        <f aca="false">IF((E238="v"),H238," ")</f>
        <v> </v>
      </c>
      <c r="AD238" s="30" t="str">
        <f aca="false">IF((E238="n"),H238," ")</f>
        <v> </v>
      </c>
      <c r="AE238" s="17" t="str">
        <f aca="false">IF((E238="f"),H238," ")</f>
        <v> </v>
      </c>
      <c r="AF238" s="17" t="str">
        <f aca="false">IF((E238="l"),H238," ")</f>
        <v> </v>
      </c>
      <c r="AG238" s="17" t="str">
        <f aca="false">IF((E238="y"),H238," ")</f>
        <v> </v>
      </c>
      <c r="AH238" s="17" t="str">
        <f aca="false">IF((E238="z"),H238," ")</f>
        <v> </v>
      </c>
      <c r="AI238" s="17" t="str">
        <f aca="false">IF((E238="fa"),H238," ")</f>
        <v> </v>
      </c>
      <c r="AJ238" s="17" t="str">
        <f aca="false">IF((E238="e"),H238," ")</f>
        <v> </v>
      </c>
    </row>
    <row r="239" customFormat="false" ht="12" hidden="false" customHeight="false" outlineLevel="0" collapsed="false">
      <c r="A239" s="28"/>
      <c r="E239" s="2" t="str">
        <f aca="false">IF((F239&lt;&gt;0),"Enter Letter"," ")</f>
        <v> </v>
      </c>
      <c r="F239" s="30"/>
      <c r="G239" s="6" t="str">
        <f aca="false">IF(F239&lt;&gt;0,F239*G$2/(100+G$2)," ")</f>
        <v> </v>
      </c>
      <c r="H239" s="6" t="str">
        <f aca="false">IF((F239&lt;&gt;0),F239-G239," ")</f>
        <v> </v>
      </c>
      <c r="I239" s="5"/>
      <c r="L239" s="7" t="str">
        <f aca="false">IF(F239&lt;&gt;0,F239-K239," ")</f>
        <v> </v>
      </c>
      <c r="M239" s="8" t="str">
        <f aca="false">IF((F239-K239)&lt;&gt;0,M$1-A239," ")</f>
        <v> </v>
      </c>
      <c r="N239" s="5"/>
      <c r="O239" s="17" t="str">
        <f aca="false">IF((E239="s"),H239," ")</f>
        <v> </v>
      </c>
      <c r="P239" s="17" t="str">
        <f aca="false">IF((E239="c"),H239," ")</f>
        <v> </v>
      </c>
      <c r="Q239" s="17" t="str">
        <f aca="false">IF((E239="o"),H239," ")</f>
        <v> </v>
      </c>
      <c r="R239" s="17" t="str">
        <f aca="false">IF((E239="d"),H239," ")</f>
        <v> </v>
      </c>
      <c r="S239" s="17" t="str">
        <f aca="false">IF((E239="w"),H239," ")</f>
        <v> </v>
      </c>
      <c r="T239" s="17" t="str">
        <f aca="false">IF((E239="r"),H239," ")</f>
        <v> </v>
      </c>
      <c r="U239" s="17" t="str">
        <f aca="false">IF((E239="p"),H239," ")</f>
        <v> </v>
      </c>
      <c r="V239" s="17" t="str">
        <f aca="false">IF((E239="t"),H239," ")</f>
        <v> </v>
      </c>
      <c r="W239" s="17" t="str">
        <f aca="false">IF((E239="q"),H239," ")</f>
        <v> </v>
      </c>
      <c r="X239" s="17" t="str">
        <f aca="false">IF((E239="m"),H239," ")</f>
        <v> </v>
      </c>
      <c r="Y239" s="17" t="str">
        <f aca="false">IF((E239="u"),H239," ")</f>
        <v> </v>
      </c>
      <c r="Z239" s="17" t="str">
        <f aca="false">IF((E239="a"),H239," ")</f>
        <v> </v>
      </c>
      <c r="AA239" s="17" t="str">
        <f aca="false">IF((E239="g"),H239," ")</f>
        <v> </v>
      </c>
      <c r="AB239" s="17" t="str">
        <f aca="false">IF((E239="h"),H239," ")</f>
        <v> </v>
      </c>
      <c r="AC239" s="30" t="str">
        <f aca="false">IF((E239="v"),H239," ")</f>
        <v> </v>
      </c>
      <c r="AD239" s="30" t="str">
        <f aca="false">IF((E239="n"),H239," ")</f>
        <v> </v>
      </c>
      <c r="AE239" s="17" t="str">
        <f aca="false">IF((E239="f"),H239," ")</f>
        <v> </v>
      </c>
      <c r="AF239" s="17" t="str">
        <f aca="false">IF((E239="l"),H239," ")</f>
        <v> </v>
      </c>
      <c r="AG239" s="17" t="str">
        <f aca="false">IF((E239="y"),H239," ")</f>
        <v> </v>
      </c>
      <c r="AH239" s="17" t="str">
        <f aca="false">IF((E239="z"),H239," ")</f>
        <v> </v>
      </c>
      <c r="AI239" s="17" t="str">
        <f aca="false">IF((E239="fa"),H239," ")</f>
        <v> </v>
      </c>
      <c r="AJ239" s="17" t="str">
        <f aca="false">IF((E239="e"),H239," ")</f>
        <v> </v>
      </c>
    </row>
    <row r="240" customFormat="false" ht="12" hidden="false" customHeight="false" outlineLevel="0" collapsed="false">
      <c r="A240" s="28"/>
      <c r="E240" s="2" t="str">
        <f aca="false">IF((F240&lt;&gt;0),"Enter Letter"," ")</f>
        <v> </v>
      </c>
      <c r="F240" s="30"/>
      <c r="G240" s="6" t="str">
        <f aca="false">IF(F240&lt;&gt;0,F240*G$2/(100+G$2)," ")</f>
        <v> </v>
      </c>
      <c r="H240" s="6" t="str">
        <f aca="false">IF((F240&lt;&gt;0),F240-G240," ")</f>
        <v> </v>
      </c>
      <c r="I240" s="5"/>
      <c r="L240" s="7" t="str">
        <f aca="false">IF(F240&lt;&gt;0,F240-K240," ")</f>
        <v> </v>
      </c>
      <c r="M240" s="8" t="str">
        <f aca="false">IF((F240-K240)&lt;&gt;0,M$1-A240," ")</f>
        <v> </v>
      </c>
      <c r="N240" s="5"/>
      <c r="O240" s="17" t="str">
        <f aca="false">IF((E240="s"),H240," ")</f>
        <v> </v>
      </c>
      <c r="P240" s="17" t="str">
        <f aca="false">IF((E240="c"),H240," ")</f>
        <v> </v>
      </c>
      <c r="Q240" s="17" t="str">
        <f aca="false">IF((E240="o"),H240," ")</f>
        <v> </v>
      </c>
      <c r="R240" s="17" t="str">
        <f aca="false">IF((E240="d"),H240," ")</f>
        <v> </v>
      </c>
      <c r="S240" s="17" t="str">
        <f aca="false">IF((E240="w"),H240," ")</f>
        <v> </v>
      </c>
      <c r="T240" s="17" t="str">
        <f aca="false">IF((E240="r"),H240," ")</f>
        <v> </v>
      </c>
      <c r="U240" s="17" t="str">
        <f aca="false">IF((E240="p"),H240," ")</f>
        <v> </v>
      </c>
      <c r="V240" s="17" t="str">
        <f aca="false">IF((E240="t"),H240," ")</f>
        <v> </v>
      </c>
      <c r="W240" s="17" t="str">
        <f aca="false">IF((E240="q"),H240," ")</f>
        <v> </v>
      </c>
      <c r="X240" s="17" t="str">
        <f aca="false">IF((E240="m"),H240," ")</f>
        <v> </v>
      </c>
      <c r="Y240" s="17" t="str">
        <f aca="false">IF((E240="u"),H240," ")</f>
        <v> </v>
      </c>
      <c r="Z240" s="17" t="str">
        <f aca="false">IF((E240="a"),H240," ")</f>
        <v> </v>
      </c>
      <c r="AA240" s="17" t="str">
        <f aca="false">IF((E240="g"),H240," ")</f>
        <v> </v>
      </c>
      <c r="AB240" s="17" t="str">
        <f aca="false">IF((E240="h"),H240," ")</f>
        <v> </v>
      </c>
      <c r="AC240" s="30" t="str">
        <f aca="false">IF((E240="v"),H240," ")</f>
        <v> </v>
      </c>
      <c r="AD240" s="30" t="str">
        <f aca="false">IF((E240="n"),H240," ")</f>
        <v> </v>
      </c>
      <c r="AE240" s="17" t="str">
        <f aca="false">IF((E240="f"),H240," ")</f>
        <v> </v>
      </c>
      <c r="AF240" s="17" t="str">
        <f aca="false">IF((E240="l"),H240," ")</f>
        <v> </v>
      </c>
      <c r="AG240" s="17" t="str">
        <f aca="false">IF((E240="y"),H240," ")</f>
        <v> </v>
      </c>
      <c r="AH240" s="17" t="str">
        <f aca="false">IF((E240="z"),H240," ")</f>
        <v> </v>
      </c>
      <c r="AI240" s="17" t="str">
        <f aca="false">IF((E240="fa"),H240," ")</f>
        <v> </v>
      </c>
      <c r="AJ240" s="17" t="str">
        <f aca="false">IF((E240="e"),H240," ")</f>
        <v> </v>
      </c>
    </row>
    <row r="241" customFormat="false" ht="12" hidden="false" customHeight="false" outlineLevel="0" collapsed="false">
      <c r="A241" s="28"/>
      <c r="E241" s="2" t="str">
        <f aca="false">IF((F241&lt;&gt;0),"Enter Letter"," ")</f>
        <v> </v>
      </c>
      <c r="F241" s="30"/>
      <c r="G241" s="6" t="str">
        <f aca="false">IF(F241&lt;&gt;0,F241*G$2/(100+G$2)," ")</f>
        <v> </v>
      </c>
      <c r="H241" s="6" t="str">
        <f aca="false">IF((F241&lt;&gt;0),F241-G241," ")</f>
        <v> </v>
      </c>
      <c r="I241" s="5"/>
      <c r="L241" s="7" t="str">
        <f aca="false">IF(F241&lt;&gt;0,F241-K241," ")</f>
        <v> </v>
      </c>
      <c r="M241" s="8" t="str">
        <f aca="false">IF((F241-K241)&lt;&gt;0,M$1-A241," ")</f>
        <v> </v>
      </c>
      <c r="N241" s="5"/>
      <c r="O241" s="17" t="str">
        <f aca="false">IF((E241="s"),H241," ")</f>
        <v> </v>
      </c>
      <c r="P241" s="17" t="str">
        <f aca="false">IF((E241="c"),H241," ")</f>
        <v> </v>
      </c>
      <c r="Q241" s="17" t="str">
        <f aca="false">IF((E241="o"),H241," ")</f>
        <v> </v>
      </c>
      <c r="R241" s="17" t="str">
        <f aca="false">IF((E241="d"),H241," ")</f>
        <v> </v>
      </c>
      <c r="S241" s="17" t="str">
        <f aca="false">IF((E241="w"),H241," ")</f>
        <v> </v>
      </c>
      <c r="T241" s="17" t="str">
        <f aca="false">IF((E241="r"),H241," ")</f>
        <v> </v>
      </c>
      <c r="U241" s="17" t="str">
        <f aca="false">IF((E241="p"),H241," ")</f>
        <v> </v>
      </c>
      <c r="V241" s="17" t="str">
        <f aca="false">IF((E241="t"),H241," ")</f>
        <v> </v>
      </c>
      <c r="W241" s="17" t="str">
        <f aca="false">IF((E241="q"),H241," ")</f>
        <v> </v>
      </c>
      <c r="X241" s="17" t="str">
        <f aca="false">IF((E241="m"),H241," ")</f>
        <v> </v>
      </c>
      <c r="Y241" s="17" t="str">
        <f aca="false">IF((E241="u"),H241," ")</f>
        <v> </v>
      </c>
      <c r="Z241" s="17" t="str">
        <f aca="false">IF((E241="a"),H241," ")</f>
        <v> </v>
      </c>
      <c r="AA241" s="17" t="str">
        <f aca="false">IF((E241="g"),H241," ")</f>
        <v> </v>
      </c>
      <c r="AB241" s="17" t="str">
        <f aca="false">IF((E241="h"),H241," ")</f>
        <v> </v>
      </c>
      <c r="AC241" s="30" t="str">
        <f aca="false">IF((E241="v"),H241," ")</f>
        <v> </v>
      </c>
      <c r="AD241" s="30" t="str">
        <f aca="false">IF((E241="n"),H241," ")</f>
        <v> </v>
      </c>
      <c r="AE241" s="17" t="str">
        <f aca="false">IF((E241="f"),H241," ")</f>
        <v> </v>
      </c>
      <c r="AF241" s="17" t="str">
        <f aca="false">IF((E241="l"),H241," ")</f>
        <v> </v>
      </c>
      <c r="AG241" s="17" t="str">
        <f aca="false">IF((E241="y"),H241," ")</f>
        <v> </v>
      </c>
      <c r="AH241" s="17" t="str">
        <f aca="false">IF((E241="z"),H241," ")</f>
        <v> </v>
      </c>
      <c r="AI241" s="17" t="str">
        <f aca="false">IF((E241="fa"),H241," ")</f>
        <v> </v>
      </c>
      <c r="AJ241" s="17" t="str">
        <f aca="false">IF((E241="e"),H241," ")</f>
        <v> </v>
      </c>
    </row>
    <row r="242" customFormat="false" ht="12" hidden="false" customHeight="false" outlineLevel="0" collapsed="false">
      <c r="A242" s="28"/>
      <c r="E242" s="2" t="str">
        <f aca="false">IF((F242&lt;&gt;0),"Enter Letter"," ")</f>
        <v> </v>
      </c>
      <c r="F242" s="30"/>
      <c r="G242" s="6" t="str">
        <f aca="false">IF(F242&lt;&gt;0,F242*G$2/(100+G$2)," ")</f>
        <v> </v>
      </c>
      <c r="H242" s="6" t="str">
        <f aca="false">IF((F242&lt;&gt;0),F242-G242," ")</f>
        <v> </v>
      </c>
      <c r="I242" s="5"/>
      <c r="L242" s="7" t="str">
        <f aca="false">IF(F242&lt;&gt;0,F242-K242," ")</f>
        <v> </v>
      </c>
      <c r="M242" s="8" t="str">
        <f aca="false">IF((F242-K242)&lt;&gt;0,M$1-A242," ")</f>
        <v> </v>
      </c>
      <c r="N242" s="5"/>
      <c r="O242" s="17" t="str">
        <f aca="false">IF((E242="s"),H242," ")</f>
        <v> </v>
      </c>
      <c r="P242" s="17" t="str">
        <f aca="false">IF((E242="c"),H242," ")</f>
        <v> </v>
      </c>
      <c r="Q242" s="17" t="str">
        <f aca="false">IF((E242="o"),H242," ")</f>
        <v> </v>
      </c>
      <c r="R242" s="17" t="str">
        <f aca="false">IF((E242="d"),H242," ")</f>
        <v> </v>
      </c>
      <c r="S242" s="17" t="str">
        <f aca="false">IF((E242="w"),H242," ")</f>
        <v> </v>
      </c>
      <c r="T242" s="17" t="str">
        <f aca="false">IF((E242="r"),H242," ")</f>
        <v> </v>
      </c>
      <c r="U242" s="17" t="str">
        <f aca="false">IF((E242="p"),H242," ")</f>
        <v> </v>
      </c>
      <c r="V242" s="17" t="str">
        <f aca="false">IF((E242="t"),H242," ")</f>
        <v> </v>
      </c>
      <c r="W242" s="17" t="str">
        <f aca="false">IF((E242="q"),H242," ")</f>
        <v> </v>
      </c>
      <c r="X242" s="17" t="str">
        <f aca="false">IF((E242="m"),H242," ")</f>
        <v> </v>
      </c>
      <c r="Y242" s="17" t="str">
        <f aca="false">IF((E242="u"),H242," ")</f>
        <v> </v>
      </c>
      <c r="Z242" s="17" t="str">
        <f aca="false">IF((E242="a"),H242," ")</f>
        <v> </v>
      </c>
      <c r="AA242" s="17" t="str">
        <f aca="false">IF((E242="g"),H242," ")</f>
        <v> </v>
      </c>
      <c r="AB242" s="17" t="str">
        <f aca="false">IF((E242="h"),H242," ")</f>
        <v> </v>
      </c>
      <c r="AC242" s="30" t="str">
        <f aca="false">IF((E242="v"),H242," ")</f>
        <v> </v>
      </c>
      <c r="AD242" s="30" t="str">
        <f aca="false">IF((E242="n"),H242," ")</f>
        <v> </v>
      </c>
      <c r="AE242" s="17" t="str">
        <f aca="false">IF((E242="f"),H242," ")</f>
        <v> </v>
      </c>
      <c r="AF242" s="17" t="str">
        <f aca="false">IF((E242="l"),H242," ")</f>
        <v> </v>
      </c>
      <c r="AG242" s="17" t="str">
        <f aca="false">IF((E242="y"),H242," ")</f>
        <v> </v>
      </c>
      <c r="AH242" s="17" t="str">
        <f aca="false">IF((E242="z"),H242," ")</f>
        <v> </v>
      </c>
      <c r="AI242" s="17" t="str">
        <f aca="false">IF((E242="fa"),H242," ")</f>
        <v> </v>
      </c>
      <c r="AJ242" s="17" t="str">
        <f aca="false">IF((E242="e"),H242," ")</f>
        <v> </v>
      </c>
    </row>
    <row r="243" customFormat="false" ht="12" hidden="false" customHeight="false" outlineLevel="0" collapsed="false">
      <c r="A243" s="28"/>
      <c r="E243" s="2" t="str">
        <f aca="false">IF((F243&lt;&gt;0),"Enter Letter"," ")</f>
        <v> </v>
      </c>
      <c r="F243" s="30"/>
      <c r="G243" s="6" t="str">
        <f aca="false">IF(F243&lt;&gt;0,F243*G$2/(100+G$2)," ")</f>
        <v> </v>
      </c>
      <c r="H243" s="6" t="str">
        <f aca="false">IF((F243&lt;&gt;0),F243-G243," ")</f>
        <v> </v>
      </c>
      <c r="I243" s="5"/>
      <c r="L243" s="7" t="str">
        <f aca="false">IF(F243&lt;&gt;0,F243-K243," ")</f>
        <v> </v>
      </c>
      <c r="M243" s="8" t="str">
        <f aca="false">IF((F243-K243)&lt;&gt;0,M$1-A243," ")</f>
        <v> </v>
      </c>
      <c r="N243" s="5"/>
      <c r="O243" s="17" t="str">
        <f aca="false">IF((E243="s"),H243," ")</f>
        <v> </v>
      </c>
      <c r="P243" s="17" t="str">
        <f aca="false">IF((E243="c"),H243," ")</f>
        <v> </v>
      </c>
      <c r="Q243" s="17" t="str">
        <f aca="false">IF((E243="o"),H243," ")</f>
        <v> </v>
      </c>
      <c r="R243" s="17" t="str">
        <f aca="false">IF((E243="d"),H243," ")</f>
        <v> </v>
      </c>
      <c r="S243" s="17" t="str">
        <f aca="false">IF((E243="w"),H243," ")</f>
        <v> </v>
      </c>
      <c r="T243" s="17" t="str">
        <f aca="false">IF((E243="r"),H243," ")</f>
        <v> </v>
      </c>
      <c r="U243" s="17" t="str">
        <f aca="false">IF((E243="p"),H243," ")</f>
        <v> </v>
      </c>
      <c r="V243" s="17" t="str">
        <f aca="false">IF((E243="t"),H243," ")</f>
        <v> </v>
      </c>
      <c r="W243" s="17" t="str">
        <f aca="false">IF((E243="q"),H243," ")</f>
        <v> </v>
      </c>
      <c r="X243" s="17" t="str">
        <f aca="false">IF((E243="m"),H243," ")</f>
        <v> </v>
      </c>
      <c r="Y243" s="17" t="str">
        <f aca="false">IF((E243="u"),H243," ")</f>
        <v> </v>
      </c>
      <c r="Z243" s="17" t="str">
        <f aca="false">IF((E243="a"),H243," ")</f>
        <v> </v>
      </c>
      <c r="AA243" s="17" t="str">
        <f aca="false">IF((E243="g"),H243," ")</f>
        <v> </v>
      </c>
      <c r="AB243" s="17" t="str">
        <f aca="false">IF((E243="h"),H243," ")</f>
        <v> </v>
      </c>
      <c r="AC243" s="30" t="str">
        <f aca="false">IF((E243="v"),H243," ")</f>
        <v> </v>
      </c>
      <c r="AD243" s="30" t="str">
        <f aca="false">IF((E243="n"),H243," ")</f>
        <v> </v>
      </c>
      <c r="AE243" s="17" t="str">
        <f aca="false">IF((E243="f"),H243," ")</f>
        <v> </v>
      </c>
      <c r="AF243" s="17" t="str">
        <f aca="false">IF((E243="l"),H243," ")</f>
        <v> </v>
      </c>
      <c r="AG243" s="17" t="str">
        <f aca="false">IF((E243="y"),H243," ")</f>
        <v> </v>
      </c>
      <c r="AH243" s="17" t="str">
        <f aca="false">IF((E243="z"),H243," ")</f>
        <v> </v>
      </c>
      <c r="AI243" s="17" t="str">
        <f aca="false">IF((E243="fa"),H243," ")</f>
        <v> </v>
      </c>
      <c r="AJ243" s="17" t="str">
        <f aca="false">IF((E243="e"),H243," ")</f>
        <v> </v>
      </c>
    </row>
    <row r="244" customFormat="false" ht="12" hidden="false" customHeight="false" outlineLevel="0" collapsed="false">
      <c r="A244" s="28"/>
      <c r="E244" s="2" t="str">
        <f aca="false">IF((F244&lt;&gt;0),"Enter Letter"," ")</f>
        <v> </v>
      </c>
      <c r="F244" s="30"/>
      <c r="G244" s="6" t="str">
        <f aca="false">IF(F244&lt;&gt;0,F244*G$2/(100+G$2)," ")</f>
        <v> </v>
      </c>
      <c r="H244" s="6" t="str">
        <f aca="false">IF((F244&lt;&gt;0),F244-G244," ")</f>
        <v> </v>
      </c>
      <c r="I244" s="5"/>
      <c r="L244" s="7" t="str">
        <f aca="false">IF(F244&lt;&gt;0,F244-K244," ")</f>
        <v> </v>
      </c>
      <c r="M244" s="8" t="str">
        <f aca="false">IF((F244-K244)&lt;&gt;0,M$1-A244," ")</f>
        <v> </v>
      </c>
      <c r="N244" s="5"/>
      <c r="O244" s="17" t="str">
        <f aca="false">IF((E244="s"),H244," ")</f>
        <v> </v>
      </c>
      <c r="P244" s="17" t="str">
        <f aca="false">IF((E244="c"),H244," ")</f>
        <v> </v>
      </c>
      <c r="Q244" s="17" t="str">
        <f aca="false">IF((E244="o"),H244," ")</f>
        <v> </v>
      </c>
      <c r="R244" s="17" t="str">
        <f aca="false">IF((E244="d"),H244," ")</f>
        <v> </v>
      </c>
      <c r="S244" s="17" t="str">
        <f aca="false">IF((E244="w"),H244," ")</f>
        <v> </v>
      </c>
      <c r="T244" s="17" t="str">
        <f aca="false">IF((E244="r"),H244," ")</f>
        <v> </v>
      </c>
      <c r="U244" s="17" t="str">
        <f aca="false">IF((E244="p"),H244," ")</f>
        <v> </v>
      </c>
      <c r="V244" s="17" t="str">
        <f aca="false">IF((E244="t"),H244," ")</f>
        <v> </v>
      </c>
      <c r="W244" s="17" t="str">
        <f aca="false">IF((E244="q"),H244," ")</f>
        <v> </v>
      </c>
      <c r="X244" s="17" t="str">
        <f aca="false">IF((E244="m"),H244," ")</f>
        <v> </v>
      </c>
      <c r="Y244" s="17" t="str">
        <f aca="false">IF((E244="u"),H244," ")</f>
        <v> </v>
      </c>
      <c r="Z244" s="17" t="str">
        <f aca="false">IF((E244="a"),H244," ")</f>
        <v> </v>
      </c>
      <c r="AA244" s="17" t="str">
        <f aca="false">IF((E244="g"),H244," ")</f>
        <v> </v>
      </c>
      <c r="AB244" s="17" t="str">
        <f aca="false">IF((E244="h"),H244," ")</f>
        <v> </v>
      </c>
      <c r="AC244" s="30" t="str">
        <f aca="false">IF((E244="v"),H244," ")</f>
        <v> </v>
      </c>
      <c r="AD244" s="30" t="str">
        <f aca="false">IF((E244="n"),H244," ")</f>
        <v> </v>
      </c>
      <c r="AE244" s="17" t="str">
        <f aca="false">IF((E244="f"),H244," ")</f>
        <v> </v>
      </c>
      <c r="AF244" s="17" t="str">
        <f aca="false">IF((E244="l"),H244," ")</f>
        <v> </v>
      </c>
      <c r="AG244" s="17" t="str">
        <f aca="false">IF((E244="y"),H244," ")</f>
        <v> </v>
      </c>
      <c r="AH244" s="17" t="str">
        <f aca="false">IF((E244="z"),H244," ")</f>
        <v> </v>
      </c>
      <c r="AI244" s="17" t="str">
        <f aca="false">IF((E244="fa"),H244," ")</f>
        <v> </v>
      </c>
      <c r="AJ244" s="17" t="str">
        <f aca="false">IF((E244="e"),H244," ")</f>
        <v> </v>
      </c>
    </row>
    <row r="245" customFormat="false" ht="12" hidden="false" customHeight="false" outlineLevel="0" collapsed="false">
      <c r="A245" s="28"/>
      <c r="E245" s="2" t="str">
        <f aca="false">IF((F245&lt;&gt;0),"Enter Letter"," ")</f>
        <v> </v>
      </c>
      <c r="F245" s="30"/>
      <c r="G245" s="6" t="str">
        <f aca="false">IF(F245&lt;&gt;0,F245*G$2/(100+G$2)," ")</f>
        <v> </v>
      </c>
      <c r="H245" s="6" t="str">
        <f aca="false">IF((F245&lt;&gt;0),F245-G245," ")</f>
        <v> </v>
      </c>
      <c r="I245" s="5"/>
      <c r="L245" s="7" t="str">
        <f aca="false">IF(F245&lt;&gt;0,F245-K245," ")</f>
        <v> </v>
      </c>
      <c r="M245" s="8" t="str">
        <f aca="false">IF((F245-K245)&lt;&gt;0,M$1-A245," ")</f>
        <v> </v>
      </c>
      <c r="N245" s="5"/>
      <c r="O245" s="17" t="str">
        <f aca="false">IF((E245="s"),H245," ")</f>
        <v> </v>
      </c>
      <c r="P245" s="17" t="str">
        <f aca="false">IF((E245="c"),H245," ")</f>
        <v> </v>
      </c>
      <c r="Q245" s="17" t="str">
        <f aca="false">IF((E245="o"),H245," ")</f>
        <v> </v>
      </c>
      <c r="R245" s="17" t="str">
        <f aca="false">IF((E245="d"),H245," ")</f>
        <v> </v>
      </c>
      <c r="S245" s="17" t="str">
        <f aca="false">IF((E245="w"),H245," ")</f>
        <v> </v>
      </c>
      <c r="T245" s="17" t="str">
        <f aca="false">IF((E245="r"),H245," ")</f>
        <v> </v>
      </c>
      <c r="U245" s="17" t="str">
        <f aca="false">IF((E245="p"),H245," ")</f>
        <v> </v>
      </c>
      <c r="V245" s="17" t="str">
        <f aca="false">IF((E245="t"),H245," ")</f>
        <v> </v>
      </c>
      <c r="W245" s="17" t="str">
        <f aca="false">IF((E245="q"),H245," ")</f>
        <v> </v>
      </c>
      <c r="X245" s="17" t="str">
        <f aca="false">IF((E245="m"),H245," ")</f>
        <v> </v>
      </c>
      <c r="Y245" s="17" t="str">
        <f aca="false">IF((E245="u"),H245," ")</f>
        <v> </v>
      </c>
      <c r="Z245" s="17" t="str">
        <f aca="false">IF((E245="a"),H245," ")</f>
        <v> </v>
      </c>
      <c r="AA245" s="17" t="str">
        <f aca="false">IF((E245="g"),H245," ")</f>
        <v> </v>
      </c>
      <c r="AB245" s="17" t="str">
        <f aca="false">IF((E245="h"),H245," ")</f>
        <v> </v>
      </c>
      <c r="AC245" s="30" t="str">
        <f aca="false">IF((E245="v"),H245," ")</f>
        <v> </v>
      </c>
      <c r="AD245" s="30" t="str">
        <f aca="false">IF((E245="n"),H245," ")</f>
        <v> </v>
      </c>
      <c r="AE245" s="17" t="str">
        <f aca="false">IF((E245="f"),H245," ")</f>
        <v> </v>
      </c>
      <c r="AF245" s="17" t="str">
        <f aca="false">IF((E245="l"),H245," ")</f>
        <v> </v>
      </c>
      <c r="AG245" s="17" t="str">
        <f aca="false">IF((E245="y"),H245," ")</f>
        <v> </v>
      </c>
      <c r="AH245" s="17" t="str">
        <f aca="false">IF((E245="z"),H245," ")</f>
        <v> </v>
      </c>
      <c r="AI245" s="17" t="str">
        <f aca="false">IF((E245="fa"),H245," ")</f>
        <v> </v>
      </c>
      <c r="AJ245" s="17" t="str">
        <f aca="false">IF((E245="e"),H245," ")</f>
        <v> </v>
      </c>
    </row>
    <row r="246" customFormat="false" ht="12" hidden="false" customHeight="false" outlineLevel="0" collapsed="false">
      <c r="A246" s="28"/>
      <c r="E246" s="2" t="str">
        <f aca="false">IF((F246&lt;&gt;0),"Enter Letter"," ")</f>
        <v> </v>
      </c>
      <c r="F246" s="30"/>
      <c r="G246" s="6" t="str">
        <f aca="false">IF(F246&lt;&gt;0,F246*G$2/(100+G$2)," ")</f>
        <v> </v>
      </c>
      <c r="H246" s="6" t="str">
        <f aca="false">IF((F246&lt;&gt;0),F246-G246," ")</f>
        <v> </v>
      </c>
      <c r="I246" s="5"/>
      <c r="L246" s="7" t="str">
        <f aca="false">IF(F246&lt;&gt;0,F246-K246," ")</f>
        <v> </v>
      </c>
      <c r="M246" s="8" t="str">
        <f aca="false">IF((F246-K246)&lt;&gt;0,M$1-A246," ")</f>
        <v> </v>
      </c>
      <c r="N246" s="5"/>
      <c r="O246" s="17" t="str">
        <f aca="false">IF((E246="s"),H246," ")</f>
        <v> </v>
      </c>
      <c r="P246" s="17" t="str">
        <f aca="false">IF((E246="c"),H246," ")</f>
        <v> </v>
      </c>
      <c r="Q246" s="17" t="str">
        <f aca="false">IF((E246="o"),H246," ")</f>
        <v> </v>
      </c>
      <c r="R246" s="17" t="str">
        <f aca="false">IF((E246="d"),H246," ")</f>
        <v> </v>
      </c>
      <c r="S246" s="17" t="str">
        <f aca="false">IF((E246="w"),H246," ")</f>
        <v> </v>
      </c>
      <c r="T246" s="17" t="str">
        <f aca="false">IF((E246="r"),H246," ")</f>
        <v> </v>
      </c>
      <c r="U246" s="17" t="str">
        <f aca="false">IF((E246="p"),H246," ")</f>
        <v> </v>
      </c>
      <c r="V246" s="17" t="str">
        <f aca="false">IF((E246="t"),H246," ")</f>
        <v> </v>
      </c>
      <c r="W246" s="17" t="str">
        <f aca="false">IF((E246="q"),H246," ")</f>
        <v> </v>
      </c>
      <c r="X246" s="17" t="str">
        <f aca="false">IF((E246="m"),H246," ")</f>
        <v> </v>
      </c>
      <c r="Y246" s="17" t="str">
        <f aca="false">IF((E246="u"),H246," ")</f>
        <v> </v>
      </c>
      <c r="Z246" s="17" t="str">
        <f aca="false">IF((E246="a"),H246," ")</f>
        <v> </v>
      </c>
      <c r="AA246" s="17" t="str">
        <f aca="false">IF((E246="g"),H246," ")</f>
        <v> </v>
      </c>
      <c r="AB246" s="17" t="str">
        <f aca="false">IF((E246="h"),H246," ")</f>
        <v> </v>
      </c>
      <c r="AC246" s="30" t="str">
        <f aca="false">IF((E246="v"),H246," ")</f>
        <v> </v>
      </c>
      <c r="AD246" s="30" t="str">
        <f aca="false">IF((E246="n"),H246," ")</f>
        <v> </v>
      </c>
      <c r="AE246" s="17" t="str">
        <f aca="false">IF((E246="f"),H246," ")</f>
        <v> </v>
      </c>
      <c r="AF246" s="17" t="str">
        <f aca="false">IF((E246="l"),H246," ")</f>
        <v> </v>
      </c>
      <c r="AG246" s="17" t="str">
        <f aca="false">IF((E246="y"),H246," ")</f>
        <v> </v>
      </c>
      <c r="AH246" s="17" t="str">
        <f aca="false">IF((E246="z"),H246," ")</f>
        <v> </v>
      </c>
      <c r="AI246" s="17" t="str">
        <f aca="false">IF((E246="fa"),H246," ")</f>
        <v> </v>
      </c>
      <c r="AJ246" s="17" t="str">
        <f aca="false">IF((E246="e"),H246," ")</f>
        <v> </v>
      </c>
    </row>
    <row r="247" customFormat="false" ht="12" hidden="false" customHeight="false" outlineLevel="0" collapsed="false">
      <c r="A247" s="28"/>
      <c r="E247" s="2" t="str">
        <f aca="false">IF((F247&lt;&gt;0),"Enter Letter"," ")</f>
        <v> </v>
      </c>
      <c r="F247" s="30"/>
      <c r="G247" s="6" t="str">
        <f aca="false">IF(F247&lt;&gt;0,F247*G$2/(100+G$2)," ")</f>
        <v> </v>
      </c>
      <c r="H247" s="6" t="str">
        <f aca="false">IF((F247&lt;&gt;0),F247-G247," ")</f>
        <v> </v>
      </c>
      <c r="I247" s="5"/>
      <c r="L247" s="7" t="str">
        <f aca="false">IF(F247&lt;&gt;0,F247-K247," ")</f>
        <v> </v>
      </c>
      <c r="M247" s="8" t="str">
        <f aca="false">IF((F247-K247)&lt;&gt;0,M$1-A247," ")</f>
        <v> </v>
      </c>
      <c r="N247" s="5"/>
      <c r="O247" s="17" t="str">
        <f aca="false">IF((E247="s"),H247," ")</f>
        <v> </v>
      </c>
      <c r="P247" s="17" t="str">
        <f aca="false">IF((E247="c"),H247," ")</f>
        <v> </v>
      </c>
      <c r="Q247" s="17" t="str">
        <f aca="false">IF((E247="o"),H247," ")</f>
        <v> </v>
      </c>
      <c r="R247" s="17" t="str">
        <f aca="false">IF((E247="d"),H247," ")</f>
        <v> </v>
      </c>
      <c r="S247" s="17" t="str">
        <f aca="false">IF((E247="w"),H247," ")</f>
        <v> </v>
      </c>
      <c r="T247" s="17" t="str">
        <f aca="false">IF((E247="r"),H247," ")</f>
        <v> </v>
      </c>
      <c r="U247" s="17" t="str">
        <f aca="false">IF((E247="p"),H247," ")</f>
        <v> </v>
      </c>
      <c r="V247" s="17" t="str">
        <f aca="false">IF((E247="t"),H247," ")</f>
        <v> </v>
      </c>
      <c r="W247" s="17" t="str">
        <f aca="false">IF((E247="q"),H247," ")</f>
        <v> </v>
      </c>
      <c r="X247" s="17" t="str">
        <f aca="false">IF((E247="m"),H247," ")</f>
        <v> </v>
      </c>
      <c r="Y247" s="17" t="str">
        <f aca="false">IF((E247="u"),H247," ")</f>
        <v> </v>
      </c>
      <c r="Z247" s="17" t="str">
        <f aca="false">IF((E247="a"),H247," ")</f>
        <v> </v>
      </c>
      <c r="AA247" s="17" t="str">
        <f aca="false">IF((E247="g"),H247," ")</f>
        <v> </v>
      </c>
      <c r="AB247" s="17" t="str">
        <f aca="false">IF((E247="h"),H247," ")</f>
        <v> </v>
      </c>
      <c r="AC247" s="30" t="str">
        <f aca="false">IF((E247="v"),H247," ")</f>
        <v> </v>
      </c>
      <c r="AD247" s="30" t="str">
        <f aca="false">IF((E247="n"),H247," ")</f>
        <v> </v>
      </c>
      <c r="AE247" s="17" t="str">
        <f aca="false">IF((E247="f"),H247," ")</f>
        <v> </v>
      </c>
      <c r="AF247" s="17" t="str">
        <f aca="false">IF((E247="l"),H247," ")</f>
        <v> </v>
      </c>
      <c r="AG247" s="17" t="str">
        <f aca="false">IF((E247="y"),H247," ")</f>
        <v> </v>
      </c>
      <c r="AH247" s="17" t="str">
        <f aca="false">IF((E247="z"),H247," ")</f>
        <v> </v>
      </c>
      <c r="AI247" s="17" t="str">
        <f aca="false">IF((E247="fa"),H247," ")</f>
        <v> </v>
      </c>
      <c r="AJ247" s="17" t="str">
        <f aca="false">IF((E247="e"),H247," ")</f>
        <v> </v>
      </c>
    </row>
    <row r="248" customFormat="false" ht="12" hidden="false" customHeight="false" outlineLevel="0" collapsed="false">
      <c r="A248" s="28"/>
      <c r="E248" s="2" t="str">
        <f aca="false">IF((F248&lt;&gt;0),"Enter Letter"," ")</f>
        <v> </v>
      </c>
      <c r="F248" s="30"/>
      <c r="G248" s="6" t="str">
        <f aca="false">IF(F248&lt;&gt;0,F248*G$2/(100+G$2)," ")</f>
        <v> </v>
      </c>
      <c r="H248" s="6" t="str">
        <f aca="false">IF((F248&lt;&gt;0),F248-G248," ")</f>
        <v> </v>
      </c>
      <c r="I248" s="5"/>
      <c r="L248" s="7" t="str">
        <f aca="false">IF(F248&lt;&gt;0,F248-K248," ")</f>
        <v> </v>
      </c>
      <c r="M248" s="8" t="str">
        <f aca="false">IF((F248-K248)&lt;&gt;0,M$1-A248," ")</f>
        <v> </v>
      </c>
      <c r="N248" s="5"/>
      <c r="O248" s="17" t="str">
        <f aca="false">IF((E248="s"),H248," ")</f>
        <v> </v>
      </c>
      <c r="P248" s="17" t="str">
        <f aca="false">IF((E248="c"),H248," ")</f>
        <v> </v>
      </c>
      <c r="Q248" s="17" t="str">
        <f aca="false">IF((E248="o"),H248," ")</f>
        <v> </v>
      </c>
      <c r="R248" s="17" t="str">
        <f aca="false">IF((E248="d"),H248," ")</f>
        <v> </v>
      </c>
      <c r="S248" s="17" t="str">
        <f aca="false">IF((E248="w"),H248," ")</f>
        <v> </v>
      </c>
      <c r="T248" s="17" t="str">
        <f aca="false">IF((E248="r"),H248," ")</f>
        <v> </v>
      </c>
      <c r="U248" s="17" t="str">
        <f aca="false">IF((E248="p"),H248," ")</f>
        <v> </v>
      </c>
      <c r="V248" s="17" t="str">
        <f aca="false">IF((E248="t"),H248," ")</f>
        <v> </v>
      </c>
      <c r="W248" s="17" t="str">
        <f aca="false">IF((E248="q"),H248," ")</f>
        <v> </v>
      </c>
      <c r="X248" s="17" t="str">
        <f aca="false">IF((E248="m"),H248," ")</f>
        <v> </v>
      </c>
      <c r="Y248" s="17" t="str">
        <f aca="false">IF((E248="u"),H248," ")</f>
        <v> </v>
      </c>
      <c r="Z248" s="17" t="str">
        <f aca="false">IF((E248="a"),H248," ")</f>
        <v> </v>
      </c>
      <c r="AA248" s="17" t="str">
        <f aca="false">IF((E248="g"),H248," ")</f>
        <v> </v>
      </c>
      <c r="AB248" s="17" t="str">
        <f aca="false">IF((E248="h"),H248," ")</f>
        <v> </v>
      </c>
      <c r="AC248" s="30" t="str">
        <f aca="false">IF((E248="v"),H248," ")</f>
        <v> </v>
      </c>
      <c r="AD248" s="30" t="str">
        <f aca="false">IF((E248="n"),H248," ")</f>
        <v> </v>
      </c>
      <c r="AE248" s="17" t="str">
        <f aca="false">IF((E248="f"),H248," ")</f>
        <v> </v>
      </c>
      <c r="AF248" s="17" t="str">
        <f aca="false">IF((E248="l"),H248," ")</f>
        <v> </v>
      </c>
      <c r="AG248" s="17" t="str">
        <f aca="false">IF((E248="y"),H248," ")</f>
        <v> </v>
      </c>
      <c r="AH248" s="17" t="str">
        <f aca="false">IF((E248="z"),H248," ")</f>
        <v> </v>
      </c>
      <c r="AI248" s="17" t="str">
        <f aca="false">IF((E248="fa"),H248," ")</f>
        <v> </v>
      </c>
      <c r="AJ248" s="17" t="str">
        <f aca="false">IF((E248="e"),H248," ")</f>
        <v> </v>
      </c>
    </row>
    <row r="249" customFormat="false" ht="12" hidden="false" customHeight="false" outlineLevel="0" collapsed="false">
      <c r="A249" s="28"/>
      <c r="E249" s="2" t="str">
        <f aca="false">IF((F249&lt;&gt;0),"Enter Letter"," ")</f>
        <v> </v>
      </c>
      <c r="F249" s="30"/>
      <c r="G249" s="6" t="str">
        <f aca="false">IF(F249&lt;&gt;0,F249*G$2/(100+G$2)," ")</f>
        <v> </v>
      </c>
      <c r="H249" s="6" t="str">
        <f aca="false">IF((F249&lt;&gt;0),F249-G249," ")</f>
        <v> </v>
      </c>
      <c r="I249" s="5"/>
      <c r="L249" s="7" t="str">
        <f aca="false">IF(F249&lt;&gt;0,F249-K249," ")</f>
        <v> </v>
      </c>
      <c r="M249" s="8" t="str">
        <f aca="false">IF((F249-K249)&lt;&gt;0,M$1-A249," ")</f>
        <v> </v>
      </c>
      <c r="N249" s="5"/>
      <c r="O249" s="17" t="str">
        <f aca="false">IF((E249="s"),H249," ")</f>
        <v> </v>
      </c>
      <c r="P249" s="17" t="str">
        <f aca="false">IF((E249="c"),H249," ")</f>
        <v> </v>
      </c>
      <c r="Q249" s="17" t="str">
        <f aca="false">IF((E249="o"),H249," ")</f>
        <v> </v>
      </c>
      <c r="R249" s="17" t="str">
        <f aca="false">IF((E249="d"),H249," ")</f>
        <v> </v>
      </c>
      <c r="S249" s="17" t="str">
        <f aca="false">IF((E249="w"),H249," ")</f>
        <v> </v>
      </c>
      <c r="T249" s="17" t="str">
        <f aca="false">IF((E249="r"),H249," ")</f>
        <v> </v>
      </c>
      <c r="U249" s="17" t="str">
        <f aca="false">IF((E249="p"),H249," ")</f>
        <v> </v>
      </c>
      <c r="V249" s="17" t="str">
        <f aca="false">IF((E249="t"),H249," ")</f>
        <v> </v>
      </c>
      <c r="W249" s="17" t="str">
        <f aca="false">IF((E249="q"),H249," ")</f>
        <v> </v>
      </c>
      <c r="X249" s="17" t="str">
        <f aca="false">IF((E249="m"),H249," ")</f>
        <v> </v>
      </c>
      <c r="Y249" s="17" t="str">
        <f aca="false">IF((E249="u"),H249," ")</f>
        <v> </v>
      </c>
      <c r="Z249" s="17" t="str">
        <f aca="false">IF((E249="a"),H249," ")</f>
        <v> </v>
      </c>
      <c r="AA249" s="17" t="str">
        <f aca="false">IF((E249="g"),H249," ")</f>
        <v> </v>
      </c>
      <c r="AB249" s="17" t="str">
        <f aca="false">IF((E249="h"),H249," ")</f>
        <v> </v>
      </c>
      <c r="AC249" s="30" t="str">
        <f aca="false">IF((E249="v"),H249," ")</f>
        <v> </v>
      </c>
      <c r="AD249" s="30" t="str">
        <f aca="false">IF((E249="n"),H249," ")</f>
        <v> </v>
      </c>
      <c r="AE249" s="17" t="str">
        <f aca="false">IF((E249="f"),H249," ")</f>
        <v> </v>
      </c>
      <c r="AF249" s="17" t="str">
        <f aca="false">IF((E249="l"),H249," ")</f>
        <v> </v>
      </c>
      <c r="AG249" s="17" t="str">
        <f aca="false">IF((E249="y"),H249," ")</f>
        <v> </v>
      </c>
      <c r="AH249" s="17" t="str">
        <f aca="false">IF((E249="z"),H249," ")</f>
        <v> </v>
      </c>
      <c r="AI249" s="17" t="str">
        <f aca="false">IF((E249="fa"),H249," ")</f>
        <v> </v>
      </c>
      <c r="AJ249" s="17" t="str">
        <f aca="false">IF((E249="e"),H249," ")</f>
        <v> </v>
      </c>
    </row>
    <row r="250" customFormat="false" ht="12" hidden="false" customHeight="false" outlineLevel="0" collapsed="false">
      <c r="A250" s="28"/>
      <c r="E250" s="2" t="str">
        <f aca="false">IF((F250&lt;&gt;0),"Enter Letter"," ")</f>
        <v> </v>
      </c>
      <c r="F250" s="30"/>
      <c r="G250" s="6" t="str">
        <f aca="false">IF(F250&lt;&gt;0,F250*G$2/(100+G$2)," ")</f>
        <v> </v>
      </c>
      <c r="H250" s="6" t="str">
        <f aca="false">IF((F250&lt;&gt;0),F250-G250," ")</f>
        <v> </v>
      </c>
      <c r="I250" s="5"/>
      <c r="L250" s="7" t="str">
        <f aca="false">IF(F250&lt;&gt;0,F250-K250," ")</f>
        <v> </v>
      </c>
      <c r="M250" s="8" t="str">
        <f aca="false">IF((F250-K250)&lt;&gt;0,M$1-A250," ")</f>
        <v> </v>
      </c>
      <c r="N250" s="5"/>
      <c r="O250" s="17" t="str">
        <f aca="false">IF((E250="s"),H250," ")</f>
        <v> </v>
      </c>
      <c r="P250" s="17" t="str">
        <f aca="false">IF((E250="c"),H250," ")</f>
        <v> </v>
      </c>
      <c r="Q250" s="17" t="str">
        <f aca="false">IF((E250="o"),H250," ")</f>
        <v> </v>
      </c>
      <c r="R250" s="17" t="str">
        <f aca="false">IF((E250="d"),H250," ")</f>
        <v> </v>
      </c>
      <c r="S250" s="17" t="str">
        <f aca="false">IF((E250="w"),H250," ")</f>
        <v> </v>
      </c>
      <c r="T250" s="17" t="str">
        <f aca="false">IF((E250="r"),H250," ")</f>
        <v> </v>
      </c>
      <c r="U250" s="17" t="str">
        <f aca="false">IF((E250="p"),H250," ")</f>
        <v> </v>
      </c>
      <c r="V250" s="17" t="str">
        <f aca="false">IF((E250="t"),H250," ")</f>
        <v> </v>
      </c>
      <c r="W250" s="17" t="str">
        <f aca="false">IF((E250="q"),H250," ")</f>
        <v> </v>
      </c>
      <c r="X250" s="17" t="str">
        <f aca="false">IF((E250="m"),H250," ")</f>
        <v> </v>
      </c>
      <c r="Y250" s="17" t="str">
        <f aca="false">IF((E250="u"),H250," ")</f>
        <v> </v>
      </c>
      <c r="Z250" s="17" t="str">
        <f aca="false">IF((E250="a"),H250," ")</f>
        <v> </v>
      </c>
      <c r="AA250" s="17" t="str">
        <f aca="false">IF((E250="g"),H250," ")</f>
        <v> </v>
      </c>
      <c r="AB250" s="17" t="str">
        <f aca="false">IF((E250="h"),H250," ")</f>
        <v> </v>
      </c>
      <c r="AC250" s="30" t="str">
        <f aca="false">IF((E250="v"),H250," ")</f>
        <v> </v>
      </c>
      <c r="AD250" s="30" t="str">
        <f aca="false">IF((E250="n"),H250," ")</f>
        <v> </v>
      </c>
      <c r="AE250" s="17" t="str">
        <f aca="false">IF((E250="f"),H250," ")</f>
        <v> </v>
      </c>
      <c r="AF250" s="17" t="str">
        <f aca="false">IF((E250="l"),H250," ")</f>
        <v> </v>
      </c>
      <c r="AG250" s="17" t="str">
        <f aca="false">IF((E250="y"),H250," ")</f>
        <v> </v>
      </c>
      <c r="AH250" s="17" t="str">
        <f aca="false">IF((E250="z"),H250," ")</f>
        <v> </v>
      </c>
      <c r="AI250" s="17" t="str">
        <f aca="false">IF((E250="fa"),H250," ")</f>
        <v> </v>
      </c>
      <c r="AJ250" s="17" t="str">
        <f aca="false">IF((E250="e"),H250," ")</f>
        <v> </v>
      </c>
    </row>
    <row r="251" customFormat="false" ht="12" hidden="false" customHeight="false" outlineLevel="0" collapsed="false">
      <c r="A251" s="28"/>
      <c r="E251" s="2" t="str">
        <f aca="false">IF((F251&lt;&gt;0),"Enter Letter"," ")</f>
        <v> </v>
      </c>
      <c r="F251" s="30"/>
      <c r="G251" s="6" t="str">
        <f aca="false">IF(F251&lt;&gt;0,F251*G$2/(100+G$2)," ")</f>
        <v> </v>
      </c>
      <c r="H251" s="6" t="str">
        <f aca="false">IF((F251&lt;&gt;0),F251-G251," ")</f>
        <v> </v>
      </c>
      <c r="I251" s="5"/>
      <c r="L251" s="7" t="str">
        <f aca="false">IF(F251&lt;&gt;0,F251-K251," ")</f>
        <v> </v>
      </c>
      <c r="M251" s="8" t="str">
        <f aca="false">IF((F251-K251)&lt;&gt;0,M$1-A251," ")</f>
        <v> </v>
      </c>
      <c r="N251" s="5"/>
      <c r="O251" s="17" t="str">
        <f aca="false">IF((E251="s"),H251," ")</f>
        <v> </v>
      </c>
      <c r="P251" s="17" t="str">
        <f aca="false">IF((E251="c"),H251," ")</f>
        <v> </v>
      </c>
      <c r="Q251" s="17" t="str">
        <f aca="false">IF((E251="o"),H251," ")</f>
        <v> </v>
      </c>
      <c r="R251" s="17" t="str">
        <f aca="false">IF((E251="d"),H251," ")</f>
        <v> </v>
      </c>
      <c r="S251" s="17" t="str">
        <f aca="false">IF((E251="w"),H251," ")</f>
        <v> </v>
      </c>
      <c r="T251" s="17" t="str">
        <f aca="false">IF((E251="r"),H251," ")</f>
        <v> </v>
      </c>
      <c r="U251" s="17" t="str">
        <f aca="false">IF((E251="p"),H251," ")</f>
        <v> </v>
      </c>
      <c r="V251" s="17" t="str">
        <f aca="false">IF((E251="t"),H251," ")</f>
        <v> </v>
      </c>
      <c r="W251" s="17" t="str">
        <f aca="false">IF((E251="q"),H251," ")</f>
        <v> </v>
      </c>
      <c r="X251" s="17" t="str">
        <f aca="false">IF((E251="m"),H251," ")</f>
        <v> </v>
      </c>
      <c r="Y251" s="17" t="str">
        <f aca="false">IF((E251="u"),H251," ")</f>
        <v> </v>
      </c>
      <c r="Z251" s="17" t="str">
        <f aca="false">IF((E251="a"),H251," ")</f>
        <v> </v>
      </c>
      <c r="AA251" s="17" t="str">
        <f aca="false">IF((E251="g"),H251," ")</f>
        <v> </v>
      </c>
      <c r="AB251" s="17" t="str">
        <f aca="false">IF((E251="h"),H251," ")</f>
        <v> </v>
      </c>
      <c r="AC251" s="30" t="str">
        <f aca="false">IF((E251="v"),H251," ")</f>
        <v> </v>
      </c>
      <c r="AD251" s="30" t="str">
        <f aca="false">IF((E251="n"),H251," ")</f>
        <v> </v>
      </c>
      <c r="AE251" s="17" t="str">
        <f aca="false">IF((E251="f"),H251," ")</f>
        <v> </v>
      </c>
      <c r="AF251" s="17" t="str">
        <f aca="false">IF((E251="l"),H251," ")</f>
        <v> </v>
      </c>
      <c r="AG251" s="17" t="str">
        <f aca="false">IF((E251="y"),H251," ")</f>
        <v> </v>
      </c>
      <c r="AH251" s="17" t="str">
        <f aca="false">IF((E251="z"),H251," ")</f>
        <v> </v>
      </c>
      <c r="AI251" s="17" t="str">
        <f aca="false">IF((E251="fa"),H251," ")</f>
        <v> </v>
      </c>
      <c r="AJ251" s="17" t="str">
        <f aca="false">IF((E251="e"),H251," ")</f>
        <v> </v>
      </c>
    </row>
    <row r="252" customFormat="false" ht="12" hidden="false" customHeight="false" outlineLevel="0" collapsed="false">
      <c r="A252" s="28"/>
      <c r="E252" s="2" t="str">
        <f aca="false">IF((F252&lt;&gt;0),"Enter Letter"," ")</f>
        <v> </v>
      </c>
      <c r="F252" s="30"/>
      <c r="G252" s="6" t="str">
        <f aca="false">IF(F252&lt;&gt;0,F252*G$2/(100+G$2)," ")</f>
        <v> </v>
      </c>
      <c r="H252" s="6" t="str">
        <f aca="false">IF((F252&lt;&gt;0),F252-G252," ")</f>
        <v> </v>
      </c>
      <c r="I252" s="5"/>
      <c r="L252" s="7" t="str">
        <f aca="false">IF(F252&lt;&gt;0,F252-K252," ")</f>
        <v> </v>
      </c>
      <c r="M252" s="8" t="str">
        <f aca="false">IF((F252-K252)&lt;&gt;0,M$1-A252," ")</f>
        <v> </v>
      </c>
      <c r="N252" s="5"/>
      <c r="O252" s="17" t="str">
        <f aca="false">IF((E252="s"),H252," ")</f>
        <v> </v>
      </c>
      <c r="P252" s="17" t="str">
        <f aca="false">IF((E252="c"),H252," ")</f>
        <v> </v>
      </c>
      <c r="Q252" s="17" t="str">
        <f aca="false">IF((E252="o"),H252," ")</f>
        <v> </v>
      </c>
      <c r="R252" s="17" t="str">
        <f aca="false">IF((E252="d"),H252," ")</f>
        <v> </v>
      </c>
      <c r="S252" s="17" t="str">
        <f aca="false">IF((E252="w"),H252," ")</f>
        <v> </v>
      </c>
      <c r="T252" s="17" t="str">
        <f aca="false">IF((E252="r"),H252," ")</f>
        <v> </v>
      </c>
      <c r="U252" s="17" t="str">
        <f aca="false">IF((E252="p"),H252," ")</f>
        <v> </v>
      </c>
      <c r="V252" s="17" t="str">
        <f aca="false">IF((E252="t"),H252," ")</f>
        <v> </v>
      </c>
      <c r="W252" s="17" t="str">
        <f aca="false">IF((E252="q"),H252," ")</f>
        <v> </v>
      </c>
      <c r="X252" s="17" t="str">
        <f aca="false">IF((E252="m"),H252," ")</f>
        <v> </v>
      </c>
      <c r="Y252" s="17" t="str">
        <f aca="false">IF((E252="u"),H252," ")</f>
        <v> </v>
      </c>
      <c r="Z252" s="17" t="str">
        <f aca="false">IF((E252="a"),H252," ")</f>
        <v> </v>
      </c>
      <c r="AA252" s="17" t="str">
        <f aca="false">IF((E252="g"),H252," ")</f>
        <v> </v>
      </c>
      <c r="AB252" s="17" t="str">
        <f aca="false">IF((E252="h"),H252," ")</f>
        <v> </v>
      </c>
      <c r="AC252" s="30" t="str">
        <f aca="false">IF((E252="v"),H252," ")</f>
        <v> </v>
      </c>
      <c r="AD252" s="30" t="str">
        <f aca="false">IF((E252="n"),H252," ")</f>
        <v> </v>
      </c>
      <c r="AE252" s="17" t="str">
        <f aca="false">IF((E252="f"),H252," ")</f>
        <v> </v>
      </c>
      <c r="AF252" s="17" t="str">
        <f aca="false">IF((E252="l"),H252," ")</f>
        <v> </v>
      </c>
      <c r="AG252" s="17" t="str">
        <f aca="false">IF((E252="y"),H252," ")</f>
        <v> </v>
      </c>
      <c r="AH252" s="17" t="str">
        <f aca="false">IF((E252="z"),H252," ")</f>
        <v> </v>
      </c>
      <c r="AI252" s="17" t="str">
        <f aca="false">IF((E252="fa"),H252," ")</f>
        <v> </v>
      </c>
      <c r="AJ252" s="17" t="str">
        <f aca="false">IF((E252="e"),H252," ")</f>
        <v> </v>
      </c>
    </row>
    <row r="253" customFormat="false" ht="12" hidden="false" customHeight="false" outlineLevel="0" collapsed="false">
      <c r="A253" s="28"/>
      <c r="E253" s="2" t="str">
        <f aca="false">IF((F253&lt;&gt;0),"Enter Letter"," ")</f>
        <v> </v>
      </c>
      <c r="F253" s="30"/>
      <c r="G253" s="6" t="str">
        <f aca="false">IF(F253&lt;&gt;0,F253*G$2/(100+G$2)," ")</f>
        <v> </v>
      </c>
      <c r="H253" s="6" t="str">
        <f aca="false">IF((F253&lt;&gt;0),F253-G253," ")</f>
        <v> </v>
      </c>
      <c r="I253" s="5"/>
      <c r="L253" s="7" t="str">
        <f aca="false">IF(F253&lt;&gt;0,F253-K253," ")</f>
        <v> </v>
      </c>
      <c r="M253" s="8" t="str">
        <f aca="false">IF((F253-K253)&lt;&gt;0,M$1-A253," ")</f>
        <v> </v>
      </c>
      <c r="N253" s="5"/>
      <c r="O253" s="17" t="str">
        <f aca="false">IF((E253="s"),H253," ")</f>
        <v> </v>
      </c>
      <c r="P253" s="17" t="str">
        <f aca="false">IF((E253="c"),H253," ")</f>
        <v> </v>
      </c>
      <c r="Q253" s="17" t="str">
        <f aca="false">IF((E253="o"),H253," ")</f>
        <v> </v>
      </c>
      <c r="R253" s="17" t="str">
        <f aca="false">IF((E253="d"),H253," ")</f>
        <v> </v>
      </c>
      <c r="S253" s="17" t="str">
        <f aca="false">IF((E253="w"),H253," ")</f>
        <v> </v>
      </c>
      <c r="T253" s="17" t="str">
        <f aca="false">IF((E253="r"),H253," ")</f>
        <v> </v>
      </c>
      <c r="U253" s="17" t="str">
        <f aca="false">IF((E253="p"),H253," ")</f>
        <v> </v>
      </c>
      <c r="V253" s="17" t="str">
        <f aca="false">IF((E253="t"),H253," ")</f>
        <v> </v>
      </c>
      <c r="W253" s="17" t="str">
        <f aca="false">IF((E253="q"),H253," ")</f>
        <v> </v>
      </c>
      <c r="X253" s="17" t="str">
        <f aca="false">IF((E253="m"),H253," ")</f>
        <v> </v>
      </c>
      <c r="Y253" s="17" t="str">
        <f aca="false">IF((E253="u"),H253," ")</f>
        <v> </v>
      </c>
      <c r="Z253" s="17" t="str">
        <f aca="false">IF((E253="a"),H253," ")</f>
        <v> </v>
      </c>
      <c r="AA253" s="17" t="str">
        <f aca="false">IF((E253="g"),H253," ")</f>
        <v> </v>
      </c>
      <c r="AB253" s="17" t="str">
        <f aca="false">IF((E253="h"),H253," ")</f>
        <v> </v>
      </c>
      <c r="AC253" s="30" t="str">
        <f aca="false">IF((E253="v"),H253," ")</f>
        <v> </v>
      </c>
      <c r="AD253" s="30" t="str">
        <f aca="false">IF((E253="n"),H253," ")</f>
        <v> </v>
      </c>
      <c r="AE253" s="17" t="str">
        <f aca="false">IF((E253="f"),H253," ")</f>
        <v> </v>
      </c>
      <c r="AF253" s="17" t="str">
        <f aca="false">IF((E253="l"),H253," ")</f>
        <v> </v>
      </c>
      <c r="AG253" s="17" t="str">
        <f aca="false">IF((E253="y"),H253," ")</f>
        <v> </v>
      </c>
      <c r="AH253" s="17" t="str">
        <f aca="false">IF((E253="z"),H253," ")</f>
        <v> </v>
      </c>
      <c r="AI253" s="17" t="str">
        <f aca="false">IF((E253="fa"),H253," ")</f>
        <v> </v>
      </c>
      <c r="AJ253" s="17" t="str">
        <f aca="false">IF((E253="e"),H253," ")</f>
        <v> </v>
      </c>
    </row>
    <row r="254" customFormat="false" ht="12" hidden="false" customHeight="false" outlineLevel="0" collapsed="false">
      <c r="A254" s="28"/>
      <c r="E254" s="2" t="str">
        <f aca="false">IF((F254&lt;&gt;0),"Enter Letter"," ")</f>
        <v> </v>
      </c>
      <c r="F254" s="30"/>
      <c r="G254" s="6" t="str">
        <f aca="false">IF(F254&lt;&gt;0,F254*G$2/(100+G$2)," ")</f>
        <v> </v>
      </c>
      <c r="H254" s="6" t="str">
        <f aca="false">IF((F254&lt;&gt;0),F254-G254," ")</f>
        <v> </v>
      </c>
      <c r="I254" s="5"/>
      <c r="L254" s="7" t="str">
        <f aca="false">IF(F254&lt;&gt;0,F254-K254," ")</f>
        <v> </v>
      </c>
      <c r="M254" s="8" t="str">
        <f aca="false">IF((F254-K254)&lt;&gt;0,M$1-A254," ")</f>
        <v> </v>
      </c>
      <c r="N254" s="5"/>
      <c r="O254" s="17" t="str">
        <f aca="false">IF((E254="s"),H254," ")</f>
        <v> </v>
      </c>
      <c r="P254" s="17" t="str">
        <f aca="false">IF((E254="c"),H254," ")</f>
        <v> </v>
      </c>
      <c r="Q254" s="17" t="str">
        <f aca="false">IF((E254="o"),H254," ")</f>
        <v> </v>
      </c>
      <c r="R254" s="17" t="str">
        <f aca="false">IF((E254="d"),H254," ")</f>
        <v> </v>
      </c>
      <c r="S254" s="17" t="str">
        <f aca="false">IF((E254="w"),H254," ")</f>
        <v> </v>
      </c>
      <c r="T254" s="17" t="str">
        <f aca="false">IF((E254="r"),H254," ")</f>
        <v> </v>
      </c>
      <c r="U254" s="17" t="str">
        <f aca="false">IF((E254="p"),H254," ")</f>
        <v> </v>
      </c>
      <c r="V254" s="17" t="str">
        <f aca="false">IF((E254="t"),H254," ")</f>
        <v> </v>
      </c>
      <c r="W254" s="17" t="str">
        <f aca="false">IF((E254="q"),H254," ")</f>
        <v> </v>
      </c>
      <c r="X254" s="17" t="str">
        <f aca="false">IF((E254="m"),H254," ")</f>
        <v> </v>
      </c>
      <c r="Y254" s="17" t="str">
        <f aca="false">IF((E254="u"),H254," ")</f>
        <v> </v>
      </c>
      <c r="Z254" s="17" t="str">
        <f aca="false">IF((E254="a"),H254," ")</f>
        <v> </v>
      </c>
      <c r="AA254" s="17" t="str">
        <f aca="false">IF((E254="g"),H254," ")</f>
        <v> </v>
      </c>
      <c r="AB254" s="17" t="str">
        <f aca="false">IF((E254="h"),H254," ")</f>
        <v> </v>
      </c>
      <c r="AC254" s="30" t="str">
        <f aca="false">IF((E254="v"),H254," ")</f>
        <v> </v>
      </c>
      <c r="AD254" s="30" t="str">
        <f aca="false">IF((E254="n"),H254," ")</f>
        <v> </v>
      </c>
      <c r="AE254" s="17" t="str">
        <f aca="false">IF((E254="f"),H254," ")</f>
        <v> </v>
      </c>
      <c r="AF254" s="17" t="str">
        <f aca="false">IF((E254="l"),H254," ")</f>
        <v> </v>
      </c>
      <c r="AG254" s="17" t="str">
        <f aca="false">IF((E254="y"),H254," ")</f>
        <v> </v>
      </c>
      <c r="AH254" s="17" t="str">
        <f aca="false">IF((E254="z"),H254," ")</f>
        <v> </v>
      </c>
      <c r="AI254" s="17" t="str">
        <f aca="false">IF((E254="fa"),H254," ")</f>
        <v> </v>
      </c>
      <c r="AJ254" s="17" t="str">
        <f aca="false">IF((E254="e"),H254," ")</f>
        <v> </v>
      </c>
    </row>
    <row r="255" customFormat="false" ht="12" hidden="false" customHeight="false" outlineLevel="0" collapsed="false">
      <c r="A255" s="28"/>
      <c r="E255" s="2" t="str">
        <f aca="false">IF((F255&lt;&gt;0),"Enter Letter"," ")</f>
        <v> </v>
      </c>
      <c r="F255" s="30"/>
      <c r="G255" s="6" t="str">
        <f aca="false">IF(F255&lt;&gt;0,F255*G$2/(100+G$2)," ")</f>
        <v> </v>
      </c>
      <c r="H255" s="6" t="str">
        <f aca="false">IF((F255&lt;&gt;0),F255-G255," ")</f>
        <v> </v>
      </c>
      <c r="I255" s="5"/>
      <c r="L255" s="7" t="str">
        <f aca="false">IF(F255&lt;&gt;0,F255-K255," ")</f>
        <v> </v>
      </c>
      <c r="M255" s="8" t="str">
        <f aca="false">IF((F255-K255)&lt;&gt;0,M$1-A255," ")</f>
        <v> </v>
      </c>
      <c r="N255" s="5"/>
      <c r="O255" s="17" t="str">
        <f aca="false">IF((E255="s"),H255," ")</f>
        <v> </v>
      </c>
      <c r="P255" s="17" t="str">
        <f aca="false">IF((E255="c"),H255," ")</f>
        <v> </v>
      </c>
      <c r="Q255" s="17" t="str">
        <f aca="false">IF((E255="o"),H255," ")</f>
        <v> </v>
      </c>
      <c r="R255" s="17" t="str">
        <f aca="false">IF((E255="d"),H255," ")</f>
        <v> </v>
      </c>
      <c r="S255" s="17" t="str">
        <f aca="false">IF((E255="w"),H255," ")</f>
        <v> </v>
      </c>
      <c r="T255" s="17" t="str">
        <f aca="false">IF((E255="r"),H255," ")</f>
        <v> </v>
      </c>
      <c r="U255" s="17" t="str">
        <f aca="false">IF((E255="p"),H255," ")</f>
        <v> </v>
      </c>
      <c r="V255" s="17" t="str">
        <f aca="false">IF((E255="t"),H255," ")</f>
        <v> </v>
      </c>
      <c r="W255" s="17" t="str">
        <f aca="false">IF((E255="q"),H255," ")</f>
        <v> </v>
      </c>
      <c r="X255" s="17" t="str">
        <f aca="false">IF((E255="m"),H255," ")</f>
        <v> </v>
      </c>
      <c r="Y255" s="17" t="str">
        <f aca="false">IF((E255="u"),H255," ")</f>
        <v> </v>
      </c>
      <c r="Z255" s="17" t="str">
        <f aca="false">IF((E255="a"),H255," ")</f>
        <v> </v>
      </c>
      <c r="AA255" s="17" t="str">
        <f aca="false">IF((E255="g"),H255," ")</f>
        <v> </v>
      </c>
      <c r="AB255" s="17" t="str">
        <f aca="false">IF((E255="h"),H255," ")</f>
        <v> </v>
      </c>
      <c r="AC255" s="30" t="str">
        <f aca="false">IF((E255="v"),H255," ")</f>
        <v> </v>
      </c>
      <c r="AD255" s="30" t="str">
        <f aca="false">IF((E255="n"),H255," ")</f>
        <v> </v>
      </c>
      <c r="AE255" s="17" t="str">
        <f aca="false">IF((E255="f"),H255," ")</f>
        <v> </v>
      </c>
      <c r="AF255" s="17" t="str">
        <f aca="false">IF((E255="l"),H255," ")</f>
        <v> </v>
      </c>
      <c r="AG255" s="17" t="str">
        <f aca="false">IF((E255="y"),H255," ")</f>
        <v> </v>
      </c>
      <c r="AH255" s="17" t="str">
        <f aca="false">IF((E255="z"),H255," ")</f>
        <v> </v>
      </c>
      <c r="AI255" s="17" t="str">
        <f aca="false">IF((E255="fa"),H255," ")</f>
        <v> </v>
      </c>
      <c r="AJ255" s="17" t="str">
        <f aca="false">IF((E255="e"),H255," ")</f>
        <v> </v>
      </c>
    </row>
    <row r="256" customFormat="false" ht="12" hidden="false" customHeight="false" outlineLevel="0" collapsed="false">
      <c r="A256" s="28"/>
      <c r="E256" s="2" t="str">
        <f aca="false">IF((F256&lt;&gt;0),"Enter Letter"," ")</f>
        <v> </v>
      </c>
      <c r="F256" s="30"/>
      <c r="G256" s="6" t="str">
        <f aca="false">IF(F256&lt;&gt;0,F256*G$2/(100+G$2)," ")</f>
        <v> </v>
      </c>
      <c r="H256" s="6" t="str">
        <f aca="false">IF((F256&lt;&gt;0),F256-G256," ")</f>
        <v> </v>
      </c>
      <c r="I256" s="5"/>
      <c r="L256" s="7" t="str">
        <f aca="false">IF(F256&lt;&gt;0,F256-K256," ")</f>
        <v> </v>
      </c>
      <c r="M256" s="8" t="str">
        <f aca="false">IF((F256-K256)&lt;&gt;0,M$1-A256," ")</f>
        <v> </v>
      </c>
      <c r="N256" s="5"/>
      <c r="O256" s="17" t="str">
        <f aca="false">IF((E256="s"),H256," ")</f>
        <v> </v>
      </c>
      <c r="P256" s="17" t="str">
        <f aca="false">IF((E256="c"),H256," ")</f>
        <v> </v>
      </c>
      <c r="Q256" s="17" t="str">
        <f aca="false">IF((E256="o"),H256," ")</f>
        <v> </v>
      </c>
      <c r="R256" s="17" t="str">
        <f aca="false">IF((E256="d"),H256," ")</f>
        <v> </v>
      </c>
      <c r="S256" s="17" t="str">
        <f aca="false">IF((E256="w"),H256," ")</f>
        <v> </v>
      </c>
      <c r="T256" s="17" t="str">
        <f aca="false">IF((E256="r"),H256," ")</f>
        <v> </v>
      </c>
      <c r="U256" s="17" t="str">
        <f aca="false">IF((E256="p"),H256," ")</f>
        <v> </v>
      </c>
      <c r="V256" s="17" t="str">
        <f aca="false">IF((E256="t"),H256," ")</f>
        <v> </v>
      </c>
      <c r="W256" s="17" t="str">
        <f aca="false">IF((E256="q"),H256," ")</f>
        <v> </v>
      </c>
      <c r="X256" s="17" t="str">
        <f aca="false">IF((E256="m"),H256," ")</f>
        <v> </v>
      </c>
      <c r="Y256" s="17" t="str">
        <f aca="false">IF((E256="u"),H256," ")</f>
        <v> </v>
      </c>
      <c r="Z256" s="17" t="str">
        <f aca="false">IF((E256="a"),H256," ")</f>
        <v> </v>
      </c>
      <c r="AA256" s="17" t="str">
        <f aca="false">IF((E256="g"),H256," ")</f>
        <v> </v>
      </c>
      <c r="AB256" s="17" t="str">
        <f aca="false">IF((E256="h"),H256," ")</f>
        <v> </v>
      </c>
      <c r="AC256" s="30" t="str">
        <f aca="false">IF((E256="v"),H256," ")</f>
        <v> </v>
      </c>
      <c r="AD256" s="30" t="str">
        <f aca="false">IF((E256="n"),H256," ")</f>
        <v> </v>
      </c>
      <c r="AE256" s="17" t="str">
        <f aca="false">IF((E256="f"),H256," ")</f>
        <v> </v>
      </c>
      <c r="AF256" s="17" t="str">
        <f aca="false">IF((E256="l"),H256," ")</f>
        <v> </v>
      </c>
      <c r="AG256" s="17" t="str">
        <f aca="false">IF((E256="y"),H256," ")</f>
        <v> </v>
      </c>
      <c r="AH256" s="17" t="str">
        <f aca="false">IF((E256="z"),H256," ")</f>
        <v> </v>
      </c>
      <c r="AI256" s="17" t="str">
        <f aca="false">IF((E256="fa"),H256," ")</f>
        <v> </v>
      </c>
      <c r="AJ256" s="17" t="str">
        <f aca="false">IF((E256="e"),H256," ")</f>
        <v> </v>
      </c>
    </row>
    <row r="257" customFormat="false" ht="12" hidden="false" customHeight="false" outlineLevel="0" collapsed="false">
      <c r="A257" s="28"/>
      <c r="E257" s="2" t="str">
        <f aca="false">IF((F257&lt;&gt;0),"Enter Letter"," ")</f>
        <v> </v>
      </c>
      <c r="F257" s="30"/>
      <c r="G257" s="6" t="str">
        <f aca="false">IF(F257&lt;&gt;0,F257*G$2/(100+G$2)," ")</f>
        <v> </v>
      </c>
      <c r="H257" s="6" t="str">
        <f aca="false">IF((F257&lt;&gt;0),F257-G257," ")</f>
        <v> </v>
      </c>
      <c r="I257" s="5"/>
      <c r="L257" s="7" t="str">
        <f aca="false">IF(F257&lt;&gt;0,F257-K257," ")</f>
        <v> </v>
      </c>
      <c r="M257" s="8" t="str">
        <f aca="false">IF((F257-K257)&lt;&gt;0,M$1-A257," ")</f>
        <v> </v>
      </c>
      <c r="N257" s="5"/>
      <c r="O257" s="17" t="str">
        <f aca="false">IF((E257="s"),H257," ")</f>
        <v> </v>
      </c>
      <c r="P257" s="17" t="str">
        <f aca="false">IF((E257="c"),H257," ")</f>
        <v> </v>
      </c>
      <c r="Q257" s="17" t="str">
        <f aca="false">IF((E257="o"),H257," ")</f>
        <v> </v>
      </c>
      <c r="R257" s="17" t="str">
        <f aca="false">IF((E257="d"),H257," ")</f>
        <v> </v>
      </c>
      <c r="S257" s="17" t="str">
        <f aca="false">IF((E257="w"),H257," ")</f>
        <v> </v>
      </c>
      <c r="T257" s="17" t="str">
        <f aca="false">IF((E257="r"),H257," ")</f>
        <v> </v>
      </c>
      <c r="U257" s="17" t="str">
        <f aca="false">IF((E257="p"),H257," ")</f>
        <v> </v>
      </c>
      <c r="V257" s="17" t="str">
        <f aca="false">IF((E257="t"),H257," ")</f>
        <v> </v>
      </c>
      <c r="W257" s="17" t="str">
        <f aca="false">IF((E257="q"),H257," ")</f>
        <v> </v>
      </c>
      <c r="X257" s="17" t="str">
        <f aca="false">IF((E257="m"),H257," ")</f>
        <v> </v>
      </c>
      <c r="Y257" s="17" t="str">
        <f aca="false">IF((E257="u"),H257," ")</f>
        <v> </v>
      </c>
      <c r="Z257" s="17" t="str">
        <f aca="false">IF((E257="a"),H257," ")</f>
        <v> </v>
      </c>
      <c r="AA257" s="17" t="str">
        <f aca="false">IF((E257="g"),H257," ")</f>
        <v> </v>
      </c>
      <c r="AB257" s="17" t="str">
        <f aca="false">IF((E257="h"),H257," ")</f>
        <v> </v>
      </c>
      <c r="AC257" s="30" t="str">
        <f aca="false">IF((E257="v"),H257," ")</f>
        <v> </v>
      </c>
      <c r="AD257" s="30" t="str">
        <f aca="false">IF((E257="n"),H257," ")</f>
        <v> </v>
      </c>
      <c r="AE257" s="17" t="str">
        <f aca="false">IF((E257="f"),H257," ")</f>
        <v> </v>
      </c>
      <c r="AF257" s="17" t="str">
        <f aca="false">IF((E257="l"),H257," ")</f>
        <v> </v>
      </c>
      <c r="AG257" s="17" t="str">
        <f aca="false">IF((E257="y"),H257," ")</f>
        <v> </v>
      </c>
      <c r="AH257" s="17" t="str">
        <f aca="false">IF((E257="z"),H257," ")</f>
        <v> </v>
      </c>
      <c r="AI257" s="17" t="str">
        <f aca="false">IF((E257="fa"),H257," ")</f>
        <v> </v>
      </c>
      <c r="AJ257" s="17" t="str">
        <f aca="false">IF((E257="e"),H257," ")</f>
        <v> </v>
      </c>
    </row>
    <row r="258" customFormat="false" ht="12" hidden="false" customHeight="false" outlineLevel="0" collapsed="false">
      <c r="A258" s="28"/>
      <c r="E258" s="2" t="str">
        <f aca="false">IF((F258&lt;&gt;0),"Enter Letter"," ")</f>
        <v> </v>
      </c>
      <c r="F258" s="30"/>
      <c r="G258" s="6" t="str">
        <f aca="false">IF(F258&lt;&gt;0,F258*G$2/(100+G$2)," ")</f>
        <v> </v>
      </c>
      <c r="H258" s="6" t="str">
        <f aca="false">IF((F258&lt;&gt;0),F258-G258," ")</f>
        <v> </v>
      </c>
      <c r="I258" s="5"/>
      <c r="L258" s="7" t="str">
        <f aca="false">IF(F258&lt;&gt;0,F258-K258," ")</f>
        <v> </v>
      </c>
      <c r="M258" s="8" t="str">
        <f aca="false">IF((F258-K258)&lt;&gt;0,M$1-A258," ")</f>
        <v> </v>
      </c>
      <c r="N258" s="5"/>
      <c r="O258" s="17" t="str">
        <f aca="false">IF((E258="s"),H258," ")</f>
        <v> </v>
      </c>
      <c r="P258" s="17" t="str">
        <f aca="false">IF((E258="c"),H258," ")</f>
        <v> </v>
      </c>
      <c r="Q258" s="17" t="str">
        <f aca="false">IF((E258="o"),H258," ")</f>
        <v> </v>
      </c>
      <c r="R258" s="17" t="str">
        <f aca="false">IF((E258="d"),H258," ")</f>
        <v> </v>
      </c>
      <c r="S258" s="17" t="str">
        <f aca="false">IF((E258="w"),H258," ")</f>
        <v> </v>
      </c>
      <c r="T258" s="17" t="str">
        <f aca="false">IF((E258="r"),H258," ")</f>
        <v> </v>
      </c>
      <c r="U258" s="17" t="str">
        <f aca="false">IF((E258="p"),H258," ")</f>
        <v> </v>
      </c>
      <c r="V258" s="17" t="str">
        <f aca="false">IF((E258="t"),H258," ")</f>
        <v> </v>
      </c>
      <c r="W258" s="17" t="str">
        <f aca="false">IF((E258="q"),H258," ")</f>
        <v> </v>
      </c>
      <c r="X258" s="17" t="str">
        <f aca="false">IF((E258="m"),H258," ")</f>
        <v> </v>
      </c>
      <c r="Y258" s="17" t="str">
        <f aca="false">IF((E258="u"),H258," ")</f>
        <v> </v>
      </c>
      <c r="Z258" s="17" t="str">
        <f aca="false">IF((E258="a"),H258," ")</f>
        <v> </v>
      </c>
      <c r="AA258" s="17" t="str">
        <f aca="false">IF((E258="g"),H258," ")</f>
        <v> </v>
      </c>
      <c r="AB258" s="17" t="str">
        <f aca="false">IF((E258="h"),H258," ")</f>
        <v> </v>
      </c>
      <c r="AC258" s="30" t="str">
        <f aca="false">IF((E258="v"),H258," ")</f>
        <v> </v>
      </c>
      <c r="AD258" s="30" t="str">
        <f aca="false">IF((E258="n"),H258," ")</f>
        <v> </v>
      </c>
      <c r="AE258" s="17" t="str">
        <f aca="false">IF((E258="f"),H258," ")</f>
        <v> </v>
      </c>
      <c r="AF258" s="17" t="str">
        <f aca="false">IF((E258="l"),H258," ")</f>
        <v> </v>
      </c>
      <c r="AG258" s="17" t="str">
        <f aca="false">IF((E258="y"),H258," ")</f>
        <v> </v>
      </c>
      <c r="AH258" s="17" t="str">
        <f aca="false">IF((E258="z"),H258," ")</f>
        <v> </v>
      </c>
      <c r="AI258" s="17" t="str">
        <f aca="false">IF((E258="fa"),H258," ")</f>
        <v> </v>
      </c>
      <c r="AJ258" s="17" t="str">
        <f aca="false">IF((E258="e"),H258," ")</f>
        <v> </v>
      </c>
    </row>
    <row r="259" customFormat="false" ht="12" hidden="false" customHeight="false" outlineLevel="0" collapsed="false">
      <c r="A259" s="28"/>
      <c r="E259" s="2" t="str">
        <f aca="false">IF((F259&lt;&gt;0),"Enter Letter"," ")</f>
        <v> </v>
      </c>
      <c r="F259" s="30"/>
      <c r="G259" s="6" t="str">
        <f aca="false">IF(F259&lt;&gt;0,F259*G$2/(100+G$2)," ")</f>
        <v> </v>
      </c>
      <c r="H259" s="6" t="str">
        <f aca="false">IF((F259&lt;&gt;0),F259-G259," ")</f>
        <v> </v>
      </c>
      <c r="I259" s="5"/>
      <c r="L259" s="7" t="str">
        <f aca="false">IF(F259&lt;&gt;0,F259-K259," ")</f>
        <v> </v>
      </c>
      <c r="M259" s="8" t="str">
        <f aca="false">IF((F259-K259)&lt;&gt;0,M$1-A259," ")</f>
        <v> </v>
      </c>
      <c r="N259" s="5"/>
      <c r="O259" s="17" t="str">
        <f aca="false">IF((E259="s"),H259," ")</f>
        <v> </v>
      </c>
      <c r="P259" s="17" t="str">
        <f aca="false">IF((E259="c"),H259," ")</f>
        <v> </v>
      </c>
      <c r="Q259" s="17" t="str">
        <f aca="false">IF((E259="o"),H259," ")</f>
        <v> </v>
      </c>
      <c r="R259" s="17" t="str">
        <f aca="false">IF((E259="d"),H259," ")</f>
        <v> </v>
      </c>
      <c r="S259" s="17" t="str">
        <f aca="false">IF((E259="w"),H259," ")</f>
        <v> </v>
      </c>
      <c r="T259" s="17" t="str">
        <f aca="false">IF((E259="r"),H259," ")</f>
        <v> </v>
      </c>
      <c r="U259" s="17" t="str">
        <f aca="false">IF((E259="p"),H259," ")</f>
        <v> </v>
      </c>
      <c r="V259" s="17" t="str">
        <f aca="false">IF((E259="t"),H259," ")</f>
        <v> </v>
      </c>
      <c r="W259" s="17" t="str">
        <f aca="false">IF((E259="q"),H259," ")</f>
        <v> </v>
      </c>
      <c r="X259" s="17" t="str">
        <f aca="false">IF((E259="m"),H259," ")</f>
        <v> </v>
      </c>
      <c r="Y259" s="17" t="str">
        <f aca="false">IF((E259="u"),H259," ")</f>
        <v> </v>
      </c>
      <c r="Z259" s="17" t="str">
        <f aca="false">IF((E259="a"),H259," ")</f>
        <v> </v>
      </c>
      <c r="AA259" s="17" t="str">
        <f aca="false">IF((E259="g"),H259," ")</f>
        <v> </v>
      </c>
      <c r="AB259" s="17" t="str">
        <f aca="false">IF((E259="h"),H259," ")</f>
        <v> </v>
      </c>
      <c r="AC259" s="30" t="str">
        <f aca="false">IF((E259="v"),H259," ")</f>
        <v> </v>
      </c>
      <c r="AD259" s="30" t="str">
        <f aca="false">IF((E259="n"),H259," ")</f>
        <v> </v>
      </c>
      <c r="AE259" s="17" t="str">
        <f aca="false">IF((E259="f"),H259," ")</f>
        <v> </v>
      </c>
      <c r="AF259" s="17" t="str">
        <f aca="false">IF((E259="l"),H259," ")</f>
        <v> </v>
      </c>
      <c r="AG259" s="17" t="str">
        <f aca="false">IF((E259="y"),H259," ")</f>
        <v> </v>
      </c>
      <c r="AH259" s="17" t="str">
        <f aca="false">IF((E259="z"),H259," ")</f>
        <v> </v>
      </c>
      <c r="AI259" s="17" t="str">
        <f aca="false">IF((E259="fa"),H259," ")</f>
        <v> </v>
      </c>
      <c r="AJ259" s="17" t="str">
        <f aca="false">IF((E259="e"),H259," ")</f>
        <v> </v>
      </c>
    </row>
    <row r="260" customFormat="false" ht="12" hidden="false" customHeight="false" outlineLevel="0" collapsed="false">
      <c r="A260" s="28"/>
      <c r="E260" s="2" t="str">
        <f aca="false">IF((F260&lt;&gt;0),"Enter Letter"," ")</f>
        <v> </v>
      </c>
      <c r="F260" s="30"/>
      <c r="G260" s="6" t="str">
        <f aca="false">IF(F260&lt;&gt;0,F260*G$2/(100+G$2)," ")</f>
        <v> </v>
      </c>
      <c r="H260" s="6" t="str">
        <f aca="false">IF((F260&lt;&gt;0),F260-G260," ")</f>
        <v> </v>
      </c>
      <c r="I260" s="5"/>
      <c r="L260" s="7" t="str">
        <f aca="false">IF(F260&lt;&gt;0,F260-K260," ")</f>
        <v> </v>
      </c>
      <c r="M260" s="8" t="str">
        <f aca="false">IF((F260-K260)&lt;&gt;0,M$1-A260," ")</f>
        <v> </v>
      </c>
      <c r="N260" s="5"/>
      <c r="O260" s="17" t="str">
        <f aca="false">IF((E260="s"),H260," ")</f>
        <v> </v>
      </c>
      <c r="P260" s="17" t="str">
        <f aca="false">IF((E260="c"),H260," ")</f>
        <v> </v>
      </c>
      <c r="Q260" s="17" t="str">
        <f aca="false">IF((E260="o"),H260," ")</f>
        <v> </v>
      </c>
      <c r="R260" s="17" t="str">
        <f aca="false">IF((E260="d"),H260," ")</f>
        <v> </v>
      </c>
      <c r="S260" s="17" t="str">
        <f aca="false">IF((E260="w"),H260," ")</f>
        <v> </v>
      </c>
      <c r="T260" s="17" t="str">
        <f aca="false">IF((E260="r"),H260," ")</f>
        <v> </v>
      </c>
      <c r="U260" s="17" t="str">
        <f aca="false">IF((E260="p"),H260," ")</f>
        <v> </v>
      </c>
      <c r="V260" s="17" t="str">
        <f aca="false">IF((E260="t"),H260," ")</f>
        <v> </v>
      </c>
      <c r="W260" s="17" t="str">
        <f aca="false">IF((E260="q"),H260," ")</f>
        <v> </v>
      </c>
      <c r="X260" s="17" t="str">
        <f aca="false">IF((E260="m"),H260," ")</f>
        <v> </v>
      </c>
      <c r="Y260" s="17" t="str">
        <f aca="false">IF((E260="u"),H260," ")</f>
        <v> </v>
      </c>
      <c r="Z260" s="17" t="str">
        <f aca="false">IF((E260="a"),H260," ")</f>
        <v> </v>
      </c>
      <c r="AA260" s="17" t="str">
        <f aca="false">IF((E260="g"),H260," ")</f>
        <v> </v>
      </c>
      <c r="AB260" s="17" t="str">
        <f aca="false">IF((E260="h"),H260," ")</f>
        <v> </v>
      </c>
      <c r="AC260" s="30" t="str">
        <f aca="false">IF((E260="v"),H260," ")</f>
        <v> </v>
      </c>
      <c r="AD260" s="30" t="str">
        <f aca="false">IF((E260="n"),H260," ")</f>
        <v> </v>
      </c>
      <c r="AE260" s="17" t="str">
        <f aca="false">IF((E260="f"),H260," ")</f>
        <v> </v>
      </c>
      <c r="AF260" s="17" t="str">
        <f aca="false">IF((E260="l"),H260," ")</f>
        <v> </v>
      </c>
      <c r="AG260" s="17" t="str">
        <f aca="false">IF((E260="y"),H260," ")</f>
        <v> </v>
      </c>
      <c r="AH260" s="17" t="str">
        <f aca="false">IF((E260="z"),H260," ")</f>
        <v> </v>
      </c>
      <c r="AI260" s="17" t="str">
        <f aca="false">IF((E260="fa"),H260," ")</f>
        <v> </v>
      </c>
      <c r="AJ260" s="17" t="str">
        <f aca="false">IF((E260="e"),H260," ")</f>
        <v> </v>
      </c>
    </row>
    <row r="261" customFormat="false" ht="12" hidden="false" customHeight="false" outlineLevel="0" collapsed="false">
      <c r="A261" s="28"/>
      <c r="E261" s="2" t="str">
        <f aca="false">IF((F261&lt;&gt;0),"Enter Letter"," ")</f>
        <v> </v>
      </c>
      <c r="F261" s="30"/>
      <c r="G261" s="6" t="str">
        <f aca="false">IF(F261&lt;&gt;0,F261*G$2/(100+G$2)," ")</f>
        <v> </v>
      </c>
      <c r="H261" s="6" t="str">
        <f aca="false">IF((F261&lt;&gt;0),F261-G261," ")</f>
        <v> </v>
      </c>
      <c r="I261" s="5"/>
      <c r="L261" s="7" t="str">
        <f aca="false">IF(F261&lt;&gt;0,F261-K261," ")</f>
        <v> </v>
      </c>
      <c r="M261" s="8" t="str">
        <f aca="false">IF((F261-K261)&lt;&gt;0,M$1-A261," ")</f>
        <v> </v>
      </c>
      <c r="N261" s="5"/>
      <c r="O261" s="17" t="str">
        <f aca="false">IF((E261="s"),H261," ")</f>
        <v> </v>
      </c>
      <c r="P261" s="17" t="str">
        <f aca="false">IF((E261="c"),H261," ")</f>
        <v> </v>
      </c>
      <c r="Q261" s="17" t="str">
        <f aca="false">IF((E261="o"),H261," ")</f>
        <v> </v>
      </c>
      <c r="R261" s="17" t="str">
        <f aca="false">IF((E261="d"),H261," ")</f>
        <v> </v>
      </c>
      <c r="S261" s="17" t="str">
        <f aca="false">IF((E261="w"),H261," ")</f>
        <v> </v>
      </c>
      <c r="T261" s="17" t="str">
        <f aca="false">IF((E261="r"),H261," ")</f>
        <v> </v>
      </c>
      <c r="U261" s="17" t="str">
        <f aca="false">IF((E261="p"),H261," ")</f>
        <v> </v>
      </c>
      <c r="V261" s="17" t="str">
        <f aca="false">IF((E261="t"),H261," ")</f>
        <v> </v>
      </c>
      <c r="W261" s="17" t="str">
        <f aca="false">IF((E261="q"),H261," ")</f>
        <v> </v>
      </c>
      <c r="X261" s="17" t="str">
        <f aca="false">IF((E261="m"),H261," ")</f>
        <v> </v>
      </c>
      <c r="Y261" s="17" t="str">
        <f aca="false">IF((E261="u"),H261," ")</f>
        <v> </v>
      </c>
      <c r="Z261" s="17" t="str">
        <f aca="false">IF((E261="a"),H261," ")</f>
        <v> </v>
      </c>
      <c r="AA261" s="17" t="str">
        <f aca="false">IF((E261="g"),H261," ")</f>
        <v> </v>
      </c>
      <c r="AB261" s="17" t="str">
        <f aca="false">IF((E261="h"),H261," ")</f>
        <v> </v>
      </c>
      <c r="AC261" s="30" t="str">
        <f aca="false">IF((E261="v"),H261," ")</f>
        <v> </v>
      </c>
      <c r="AD261" s="30" t="str">
        <f aca="false">IF((E261="n"),H261," ")</f>
        <v> </v>
      </c>
      <c r="AE261" s="17" t="str">
        <f aca="false">IF((E261="f"),H261," ")</f>
        <v> </v>
      </c>
      <c r="AF261" s="17" t="str">
        <f aca="false">IF((E261="l"),H261," ")</f>
        <v> </v>
      </c>
      <c r="AG261" s="17" t="str">
        <f aca="false">IF((E261="y"),H261," ")</f>
        <v> </v>
      </c>
      <c r="AH261" s="17" t="str">
        <f aca="false">IF((E261="z"),H261," ")</f>
        <v> </v>
      </c>
      <c r="AI261" s="17" t="str">
        <f aca="false">IF((E261="fa"),H261," ")</f>
        <v> </v>
      </c>
      <c r="AJ261" s="17" t="str">
        <f aca="false">IF((E261="e"),H261," ")</f>
        <v> </v>
      </c>
    </row>
    <row r="262" customFormat="false" ht="12" hidden="false" customHeight="false" outlineLevel="0" collapsed="false">
      <c r="A262" s="28"/>
      <c r="E262" s="2" t="str">
        <f aca="false">IF((F262&lt;&gt;0),"Enter Letter"," ")</f>
        <v> </v>
      </c>
      <c r="F262" s="30"/>
      <c r="G262" s="6" t="str">
        <f aca="false">IF(F262&lt;&gt;0,F262*G$2/(100+G$2)," ")</f>
        <v> </v>
      </c>
      <c r="H262" s="6" t="str">
        <f aca="false">IF((F262&lt;&gt;0),F262-G262," ")</f>
        <v> </v>
      </c>
      <c r="I262" s="5"/>
      <c r="L262" s="7" t="str">
        <f aca="false">IF(F262&lt;&gt;0,F262-K262," ")</f>
        <v> </v>
      </c>
      <c r="M262" s="8" t="str">
        <f aca="false">IF((F262-K262)&lt;&gt;0,M$1-A262," ")</f>
        <v> </v>
      </c>
      <c r="N262" s="5"/>
      <c r="O262" s="17" t="str">
        <f aca="false">IF((E262="s"),H262," ")</f>
        <v> </v>
      </c>
      <c r="P262" s="17" t="str">
        <f aca="false">IF((E262="c"),H262," ")</f>
        <v> </v>
      </c>
      <c r="Q262" s="17" t="str">
        <f aca="false">IF((E262="o"),H262," ")</f>
        <v> </v>
      </c>
      <c r="R262" s="17" t="str">
        <f aca="false">IF((E262="d"),H262," ")</f>
        <v> </v>
      </c>
      <c r="S262" s="17" t="str">
        <f aca="false">IF((E262="w"),H262," ")</f>
        <v> </v>
      </c>
      <c r="T262" s="17" t="str">
        <f aca="false">IF((E262="r"),H262," ")</f>
        <v> </v>
      </c>
      <c r="U262" s="17" t="str">
        <f aca="false">IF((E262="p"),H262," ")</f>
        <v> </v>
      </c>
      <c r="V262" s="17" t="str">
        <f aca="false">IF((E262="t"),H262," ")</f>
        <v> </v>
      </c>
      <c r="W262" s="17" t="str">
        <f aca="false">IF((E262="q"),H262," ")</f>
        <v> </v>
      </c>
      <c r="X262" s="17" t="str">
        <f aca="false">IF((E262="m"),H262," ")</f>
        <v> </v>
      </c>
      <c r="Y262" s="17" t="str">
        <f aca="false">IF((E262="u"),H262," ")</f>
        <v> </v>
      </c>
      <c r="Z262" s="17" t="str">
        <f aca="false">IF((E262="a"),H262," ")</f>
        <v> </v>
      </c>
      <c r="AA262" s="17" t="str">
        <f aca="false">IF((E262="g"),H262," ")</f>
        <v> </v>
      </c>
      <c r="AB262" s="17" t="str">
        <f aca="false">IF((E262="h"),H262," ")</f>
        <v> </v>
      </c>
      <c r="AC262" s="30" t="str">
        <f aca="false">IF((E262="v"),H262," ")</f>
        <v> </v>
      </c>
      <c r="AD262" s="30" t="str">
        <f aca="false">IF((E262="n"),H262," ")</f>
        <v> </v>
      </c>
      <c r="AE262" s="17" t="str">
        <f aca="false">IF((E262="f"),H262," ")</f>
        <v> </v>
      </c>
      <c r="AF262" s="17" t="str">
        <f aca="false">IF((E262="l"),H262," ")</f>
        <v> </v>
      </c>
      <c r="AG262" s="17" t="str">
        <f aca="false">IF((E262="y"),H262," ")</f>
        <v> </v>
      </c>
      <c r="AH262" s="17" t="str">
        <f aca="false">IF((E262="z"),H262," ")</f>
        <v> </v>
      </c>
      <c r="AI262" s="17" t="str">
        <f aca="false">IF((E262="fa"),H262," ")</f>
        <v> </v>
      </c>
      <c r="AJ262" s="17" t="str">
        <f aca="false">IF((E262="e"),H262," ")</f>
        <v> </v>
      </c>
    </row>
    <row r="263" customFormat="false" ht="12" hidden="false" customHeight="false" outlineLevel="0" collapsed="false">
      <c r="A263" s="28"/>
      <c r="E263" s="2" t="str">
        <f aca="false">IF((F263&lt;&gt;0),"Enter Letter"," ")</f>
        <v> </v>
      </c>
      <c r="F263" s="30"/>
      <c r="G263" s="6" t="str">
        <f aca="false">IF(F263&lt;&gt;0,F263*G$2/(100+G$2)," ")</f>
        <v> </v>
      </c>
      <c r="H263" s="6" t="str">
        <f aca="false">IF((F263&lt;&gt;0),F263-G263," ")</f>
        <v> </v>
      </c>
      <c r="I263" s="5"/>
      <c r="L263" s="7" t="str">
        <f aca="false">IF(F263&lt;&gt;0,F263-K263," ")</f>
        <v> </v>
      </c>
      <c r="M263" s="8" t="str">
        <f aca="false">IF((F263-K263)&lt;&gt;0,M$1-A263," ")</f>
        <v> </v>
      </c>
      <c r="N263" s="5"/>
      <c r="O263" s="17" t="str">
        <f aca="false">IF((E263="s"),H263," ")</f>
        <v> </v>
      </c>
      <c r="P263" s="17" t="str">
        <f aca="false">IF((E263="c"),H263," ")</f>
        <v> </v>
      </c>
      <c r="Q263" s="17" t="str">
        <f aca="false">IF((E263="o"),H263," ")</f>
        <v> </v>
      </c>
      <c r="R263" s="17" t="str">
        <f aca="false">IF((E263="d"),H263," ")</f>
        <v> </v>
      </c>
      <c r="S263" s="17" t="str">
        <f aca="false">IF((E263="w"),H263," ")</f>
        <v> </v>
      </c>
      <c r="T263" s="17" t="str">
        <f aca="false">IF((E263="r"),H263," ")</f>
        <v> </v>
      </c>
      <c r="U263" s="17" t="str">
        <f aca="false">IF((E263="p"),H263," ")</f>
        <v> </v>
      </c>
      <c r="V263" s="17" t="str">
        <f aca="false">IF((E263="t"),H263," ")</f>
        <v> </v>
      </c>
      <c r="W263" s="17" t="str">
        <f aca="false">IF((E263="q"),H263," ")</f>
        <v> </v>
      </c>
      <c r="X263" s="17" t="str">
        <f aca="false">IF((E263="m"),H263," ")</f>
        <v> </v>
      </c>
      <c r="Y263" s="17" t="str">
        <f aca="false">IF((E263="u"),H263," ")</f>
        <v> </v>
      </c>
      <c r="Z263" s="17" t="str">
        <f aca="false">IF((E263="a"),H263," ")</f>
        <v> </v>
      </c>
      <c r="AA263" s="17" t="str">
        <f aca="false">IF((E263="g"),H263," ")</f>
        <v> </v>
      </c>
      <c r="AB263" s="17" t="str">
        <f aca="false">IF((E263="h"),H263," ")</f>
        <v> </v>
      </c>
      <c r="AC263" s="30" t="str">
        <f aca="false">IF((E263="v"),H263," ")</f>
        <v> </v>
      </c>
      <c r="AD263" s="30" t="str">
        <f aca="false">IF((E263="n"),H263," ")</f>
        <v> </v>
      </c>
      <c r="AE263" s="17" t="str">
        <f aca="false">IF((E263="f"),H263," ")</f>
        <v> </v>
      </c>
      <c r="AF263" s="17" t="str">
        <f aca="false">IF((E263="l"),H263," ")</f>
        <v> </v>
      </c>
      <c r="AG263" s="17" t="str">
        <f aca="false">IF((E263="y"),H263," ")</f>
        <v> </v>
      </c>
      <c r="AH263" s="17" t="str">
        <f aca="false">IF((E263="z"),H263," ")</f>
        <v> </v>
      </c>
      <c r="AI263" s="17" t="str">
        <f aca="false">IF((E263="fa"),H263," ")</f>
        <v> </v>
      </c>
      <c r="AJ263" s="17" t="str">
        <f aca="false">IF((E263="e"),H263," ")</f>
        <v> </v>
      </c>
    </row>
    <row r="264" customFormat="false" ht="12" hidden="false" customHeight="false" outlineLevel="0" collapsed="false">
      <c r="A264" s="28"/>
      <c r="E264" s="2" t="str">
        <f aca="false">IF((F264&lt;&gt;0),"Enter Letter"," ")</f>
        <v> </v>
      </c>
      <c r="F264" s="30"/>
      <c r="G264" s="6" t="str">
        <f aca="false">IF(F264&lt;&gt;0,F264*G$2/(100+G$2)," ")</f>
        <v> </v>
      </c>
      <c r="H264" s="6" t="str">
        <f aca="false">IF((F264&lt;&gt;0),F264-G264," ")</f>
        <v> </v>
      </c>
      <c r="I264" s="5"/>
      <c r="L264" s="7" t="str">
        <f aca="false">IF(F264&lt;&gt;0,F264-K264," ")</f>
        <v> </v>
      </c>
      <c r="M264" s="8" t="str">
        <f aca="false">IF((F264-K264)&lt;&gt;0,M$1-A264," ")</f>
        <v> </v>
      </c>
      <c r="N264" s="5"/>
      <c r="O264" s="17" t="str">
        <f aca="false">IF((E264="s"),H264," ")</f>
        <v> </v>
      </c>
      <c r="P264" s="17" t="str">
        <f aca="false">IF((E264="c"),H264," ")</f>
        <v> </v>
      </c>
      <c r="Q264" s="17" t="str">
        <f aca="false">IF((E264="o"),H264," ")</f>
        <v> </v>
      </c>
      <c r="R264" s="17" t="str">
        <f aca="false">IF((E264="d"),H264," ")</f>
        <v> </v>
      </c>
      <c r="S264" s="17" t="str">
        <f aca="false">IF((E264="w"),H264," ")</f>
        <v> </v>
      </c>
      <c r="T264" s="17" t="str">
        <f aca="false">IF((E264="r"),H264," ")</f>
        <v> </v>
      </c>
      <c r="U264" s="17" t="str">
        <f aca="false">IF((E264="p"),H264," ")</f>
        <v> </v>
      </c>
      <c r="V264" s="17" t="str">
        <f aca="false">IF((E264="t"),H264," ")</f>
        <v> </v>
      </c>
      <c r="W264" s="17" t="str">
        <f aca="false">IF((E264="q"),H264," ")</f>
        <v> </v>
      </c>
      <c r="X264" s="17" t="str">
        <f aca="false">IF((E264="m"),H264," ")</f>
        <v> </v>
      </c>
      <c r="Y264" s="17" t="str">
        <f aca="false">IF((E264="u"),H264," ")</f>
        <v> </v>
      </c>
      <c r="Z264" s="17" t="str">
        <f aca="false">IF((E264="a"),H264," ")</f>
        <v> </v>
      </c>
      <c r="AA264" s="17" t="str">
        <f aca="false">IF((E264="g"),H264," ")</f>
        <v> </v>
      </c>
      <c r="AB264" s="17" t="str">
        <f aca="false">IF((E264="h"),H264," ")</f>
        <v> </v>
      </c>
      <c r="AC264" s="30" t="str">
        <f aca="false">IF((E264="v"),H264," ")</f>
        <v> </v>
      </c>
      <c r="AD264" s="30" t="str">
        <f aca="false">IF((E264="n"),H264," ")</f>
        <v> </v>
      </c>
      <c r="AE264" s="17" t="str">
        <f aca="false">IF((E264="f"),H264," ")</f>
        <v> </v>
      </c>
      <c r="AF264" s="17" t="str">
        <f aca="false">IF((E264="l"),H264," ")</f>
        <v> </v>
      </c>
      <c r="AG264" s="17" t="str">
        <f aca="false">IF((E264="y"),H264," ")</f>
        <v> </v>
      </c>
      <c r="AH264" s="17" t="str">
        <f aca="false">IF((E264="z"),H264," ")</f>
        <v> </v>
      </c>
      <c r="AI264" s="17" t="str">
        <f aca="false">IF((E264="fa"),H264," ")</f>
        <v> </v>
      </c>
      <c r="AJ264" s="17" t="str">
        <f aca="false">IF((E264="e"),H264," ")</f>
        <v> </v>
      </c>
    </row>
    <row r="265" customFormat="false" ht="12" hidden="false" customHeight="false" outlineLevel="0" collapsed="false">
      <c r="A265" s="28"/>
      <c r="E265" s="2" t="str">
        <f aca="false">IF((F265&lt;&gt;0),"Enter Letter"," ")</f>
        <v> </v>
      </c>
      <c r="F265" s="30"/>
      <c r="G265" s="6" t="str">
        <f aca="false">IF(F265&lt;&gt;0,F265*G$2/(100+G$2)," ")</f>
        <v> </v>
      </c>
      <c r="H265" s="6" t="str">
        <f aca="false">IF((F265&lt;&gt;0),F265-G265," ")</f>
        <v> </v>
      </c>
      <c r="I265" s="5"/>
      <c r="L265" s="7" t="str">
        <f aca="false">IF(F265&lt;&gt;0,F265-K265," ")</f>
        <v> </v>
      </c>
      <c r="M265" s="8" t="str">
        <f aca="false">IF((F265-K265)&lt;&gt;0,M$1-A265," ")</f>
        <v> </v>
      </c>
      <c r="N265" s="5"/>
      <c r="O265" s="17" t="str">
        <f aca="false">IF((E265="s"),H265," ")</f>
        <v> </v>
      </c>
      <c r="P265" s="17" t="str">
        <f aca="false">IF((E265="c"),H265," ")</f>
        <v> </v>
      </c>
      <c r="Q265" s="17" t="str">
        <f aca="false">IF((E265="o"),H265," ")</f>
        <v> </v>
      </c>
      <c r="R265" s="17" t="str">
        <f aca="false">IF((E265="d"),H265," ")</f>
        <v> </v>
      </c>
      <c r="S265" s="17" t="str">
        <f aca="false">IF((E265="w"),H265," ")</f>
        <v> </v>
      </c>
      <c r="T265" s="17" t="str">
        <f aca="false">IF((E265="r"),H265," ")</f>
        <v> </v>
      </c>
      <c r="U265" s="17" t="str">
        <f aca="false">IF((E265="p"),H265," ")</f>
        <v> </v>
      </c>
      <c r="V265" s="17" t="str">
        <f aca="false">IF((E265="t"),H265," ")</f>
        <v> </v>
      </c>
      <c r="W265" s="17" t="str">
        <f aca="false">IF((E265="q"),H265," ")</f>
        <v> </v>
      </c>
      <c r="X265" s="17" t="str">
        <f aca="false">IF((E265="m"),H265," ")</f>
        <v> </v>
      </c>
      <c r="Y265" s="17" t="str">
        <f aca="false">IF((E265="u"),H265," ")</f>
        <v> </v>
      </c>
      <c r="Z265" s="17" t="str">
        <f aca="false">IF((E265="a"),H265," ")</f>
        <v> </v>
      </c>
      <c r="AA265" s="17" t="str">
        <f aca="false">IF((E265="g"),H265," ")</f>
        <v> </v>
      </c>
      <c r="AB265" s="17" t="str">
        <f aca="false">IF((E265="h"),H265," ")</f>
        <v> </v>
      </c>
      <c r="AC265" s="30" t="str">
        <f aca="false">IF((E265="v"),H265," ")</f>
        <v> </v>
      </c>
      <c r="AD265" s="30" t="str">
        <f aca="false">IF((E265="n"),H265," ")</f>
        <v> </v>
      </c>
      <c r="AE265" s="17" t="str">
        <f aca="false">IF((E265="f"),H265," ")</f>
        <v> </v>
      </c>
      <c r="AF265" s="17" t="str">
        <f aca="false">IF((E265="l"),H265," ")</f>
        <v> </v>
      </c>
      <c r="AG265" s="17" t="str">
        <f aca="false">IF((E265="y"),H265," ")</f>
        <v> </v>
      </c>
      <c r="AH265" s="17" t="str">
        <f aca="false">IF((E265="z"),H265," ")</f>
        <v> </v>
      </c>
      <c r="AI265" s="17" t="str">
        <f aca="false">IF((E265="fa"),H265," ")</f>
        <v> </v>
      </c>
      <c r="AJ265" s="17" t="str">
        <f aca="false">IF((E265="e"),H265," ")</f>
        <v> </v>
      </c>
    </row>
    <row r="266" customFormat="false" ht="12" hidden="false" customHeight="false" outlineLevel="0" collapsed="false">
      <c r="A266" s="28"/>
      <c r="E266" s="2" t="str">
        <f aca="false">IF((F266&lt;&gt;0),"Enter Letter"," ")</f>
        <v> </v>
      </c>
      <c r="F266" s="30"/>
      <c r="G266" s="6" t="str">
        <f aca="false">IF(F266&lt;&gt;0,F266*G$2/(100+G$2)," ")</f>
        <v> </v>
      </c>
      <c r="H266" s="6" t="str">
        <f aca="false">IF((F266&lt;&gt;0),F266-G266," ")</f>
        <v> </v>
      </c>
      <c r="I266" s="5"/>
      <c r="L266" s="7" t="str">
        <f aca="false">IF(F266&lt;&gt;0,F266-K266," ")</f>
        <v> </v>
      </c>
      <c r="M266" s="8" t="str">
        <f aca="false">IF((F266-K266)&lt;&gt;0,M$1-A266," ")</f>
        <v> </v>
      </c>
      <c r="N266" s="5"/>
      <c r="O266" s="17" t="str">
        <f aca="false">IF((E266="s"),H266," ")</f>
        <v> </v>
      </c>
      <c r="P266" s="17" t="str">
        <f aca="false">IF((E266="c"),H266," ")</f>
        <v> </v>
      </c>
      <c r="Q266" s="17" t="str">
        <f aca="false">IF((E266="o"),H266," ")</f>
        <v> </v>
      </c>
      <c r="R266" s="17" t="str">
        <f aca="false">IF((E266="d"),H266," ")</f>
        <v> </v>
      </c>
      <c r="S266" s="17" t="str">
        <f aca="false">IF((E266="w"),H266," ")</f>
        <v> </v>
      </c>
      <c r="T266" s="17" t="str">
        <f aca="false">IF((E266="r"),H266," ")</f>
        <v> </v>
      </c>
      <c r="U266" s="17" t="str">
        <f aca="false">IF((E266="p"),H266," ")</f>
        <v> </v>
      </c>
      <c r="V266" s="17" t="str">
        <f aca="false">IF((E266="t"),H266," ")</f>
        <v> </v>
      </c>
      <c r="W266" s="17" t="str">
        <f aca="false">IF((E266="q"),H266," ")</f>
        <v> </v>
      </c>
      <c r="X266" s="17" t="str">
        <f aca="false">IF((E266="m"),H266," ")</f>
        <v> </v>
      </c>
      <c r="Y266" s="17" t="str">
        <f aca="false">IF((E266="u"),H266," ")</f>
        <v> </v>
      </c>
      <c r="Z266" s="17" t="str">
        <f aca="false">IF((E266="a"),H266," ")</f>
        <v> </v>
      </c>
      <c r="AA266" s="17" t="str">
        <f aca="false">IF((E266="g"),H266," ")</f>
        <v> </v>
      </c>
      <c r="AB266" s="17" t="str">
        <f aca="false">IF((E266="h"),H266," ")</f>
        <v> </v>
      </c>
      <c r="AC266" s="30" t="str">
        <f aca="false">IF((E266="v"),H266," ")</f>
        <v> </v>
      </c>
      <c r="AD266" s="30" t="str">
        <f aca="false">IF((E266="n"),H266," ")</f>
        <v> </v>
      </c>
      <c r="AE266" s="17" t="str">
        <f aca="false">IF((E266="f"),H266," ")</f>
        <v> </v>
      </c>
      <c r="AF266" s="17" t="str">
        <f aca="false">IF((E266="l"),H266," ")</f>
        <v> </v>
      </c>
      <c r="AG266" s="17" t="str">
        <f aca="false">IF((E266="y"),H266," ")</f>
        <v> </v>
      </c>
      <c r="AH266" s="17" t="str">
        <f aca="false">IF((E266="z"),H266," ")</f>
        <v> </v>
      </c>
      <c r="AI266" s="17" t="str">
        <f aca="false">IF((E266="fa"),H266," ")</f>
        <v> </v>
      </c>
      <c r="AJ266" s="17" t="str">
        <f aca="false">IF((E266="e"),H266," ")</f>
        <v> </v>
      </c>
    </row>
    <row r="267" customFormat="false" ht="12" hidden="false" customHeight="false" outlineLevel="0" collapsed="false">
      <c r="A267" s="28"/>
      <c r="E267" s="2" t="str">
        <f aca="false">IF((F267&lt;&gt;0),"Enter Letter"," ")</f>
        <v> </v>
      </c>
      <c r="F267" s="30"/>
      <c r="G267" s="6" t="str">
        <f aca="false">IF(F267&lt;&gt;0,F267*G$2/(100+G$2)," ")</f>
        <v> </v>
      </c>
      <c r="H267" s="6" t="str">
        <f aca="false">IF((F267&lt;&gt;0),F267-G267," ")</f>
        <v> </v>
      </c>
      <c r="I267" s="5"/>
      <c r="L267" s="7" t="str">
        <f aca="false">IF(F267&lt;&gt;0,F267-K267," ")</f>
        <v> </v>
      </c>
      <c r="M267" s="8" t="str">
        <f aca="false">IF((F267-K267)&lt;&gt;0,M$1-A267," ")</f>
        <v> </v>
      </c>
      <c r="N267" s="5"/>
      <c r="O267" s="17" t="str">
        <f aca="false">IF((E267="s"),H267," ")</f>
        <v> </v>
      </c>
      <c r="P267" s="17" t="str">
        <f aca="false">IF((E267="c"),H267," ")</f>
        <v> </v>
      </c>
      <c r="Q267" s="17" t="str">
        <f aca="false">IF((E267="o"),H267," ")</f>
        <v> </v>
      </c>
      <c r="R267" s="17" t="str">
        <f aca="false">IF((E267="d"),H267," ")</f>
        <v> </v>
      </c>
      <c r="S267" s="17" t="str">
        <f aca="false">IF((E267="w"),H267," ")</f>
        <v> </v>
      </c>
      <c r="T267" s="17" t="str">
        <f aca="false">IF((E267="r"),H267," ")</f>
        <v> </v>
      </c>
      <c r="U267" s="17" t="str">
        <f aca="false">IF((E267="p"),H267," ")</f>
        <v> </v>
      </c>
      <c r="V267" s="17" t="str">
        <f aca="false">IF((E267="t"),H267," ")</f>
        <v> </v>
      </c>
      <c r="W267" s="17" t="str">
        <f aca="false">IF((E267="q"),H267," ")</f>
        <v> </v>
      </c>
      <c r="X267" s="17" t="str">
        <f aca="false">IF((E267="m"),H267," ")</f>
        <v> </v>
      </c>
      <c r="Y267" s="17" t="str">
        <f aca="false">IF((E267="u"),H267," ")</f>
        <v> </v>
      </c>
      <c r="Z267" s="17" t="str">
        <f aca="false">IF((E267="a"),H267," ")</f>
        <v> </v>
      </c>
      <c r="AA267" s="17" t="str">
        <f aca="false">IF((E267="g"),H267," ")</f>
        <v> </v>
      </c>
      <c r="AB267" s="17" t="str">
        <f aca="false">IF((E267="h"),H267," ")</f>
        <v> </v>
      </c>
      <c r="AC267" s="30" t="str">
        <f aca="false">IF((E267="v"),H267," ")</f>
        <v> </v>
      </c>
      <c r="AD267" s="30" t="str">
        <f aca="false">IF((E267="n"),H267," ")</f>
        <v> </v>
      </c>
      <c r="AE267" s="17" t="str">
        <f aca="false">IF((E267="f"),H267," ")</f>
        <v> </v>
      </c>
      <c r="AF267" s="17" t="str">
        <f aca="false">IF((E267="l"),H267," ")</f>
        <v> </v>
      </c>
      <c r="AG267" s="17" t="str">
        <f aca="false">IF((E267="y"),H267," ")</f>
        <v> </v>
      </c>
      <c r="AH267" s="17" t="str">
        <f aca="false">IF((E267="z"),H267," ")</f>
        <v> </v>
      </c>
      <c r="AI267" s="17" t="str">
        <f aca="false">IF((E267="fa"),H267," ")</f>
        <v> </v>
      </c>
      <c r="AJ267" s="17" t="str">
        <f aca="false">IF((E267="e"),H267," ")</f>
        <v> </v>
      </c>
    </row>
    <row r="268" customFormat="false" ht="12" hidden="false" customHeight="false" outlineLevel="0" collapsed="false">
      <c r="A268" s="28"/>
      <c r="E268" s="2" t="str">
        <f aca="false">IF((F268&lt;&gt;0),"Enter Letter"," ")</f>
        <v> </v>
      </c>
      <c r="F268" s="30"/>
      <c r="G268" s="6" t="str">
        <f aca="false">IF(F268&lt;&gt;0,F268*G$2/(100+G$2)," ")</f>
        <v> </v>
      </c>
      <c r="H268" s="6" t="str">
        <f aca="false">IF((F268&lt;&gt;0),F268-G268," ")</f>
        <v> </v>
      </c>
      <c r="I268" s="5"/>
      <c r="L268" s="7" t="str">
        <f aca="false">IF(F268&lt;&gt;0,F268-K268," ")</f>
        <v> </v>
      </c>
      <c r="M268" s="8" t="str">
        <f aca="false">IF((F268-K268)&lt;&gt;0,M$1-A268," ")</f>
        <v> </v>
      </c>
      <c r="N268" s="5"/>
      <c r="O268" s="17" t="str">
        <f aca="false">IF((E268="s"),H268," ")</f>
        <v> </v>
      </c>
      <c r="P268" s="17" t="str">
        <f aca="false">IF((E268="c"),H268," ")</f>
        <v> </v>
      </c>
      <c r="Q268" s="17" t="str">
        <f aca="false">IF((E268="o"),H268," ")</f>
        <v> </v>
      </c>
      <c r="R268" s="17" t="str">
        <f aca="false">IF((E268="d"),H268," ")</f>
        <v> </v>
      </c>
      <c r="S268" s="17" t="str">
        <f aca="false">IF((E268="w"),H268," ")</f>
        <v> </v>
      </c>
      <c r="T268" s="17" t="str">
        <f aca="false">IF((E268="r"),H268," ")</f>
        <v> </v>
      </c>
      <c r="U268" s="17" t="str">
        <f aca="false">IF((E268="p"),H268," ")</f>
        <v> </v>
      </c>
      <c r="V268" s="17" t="str">
        <f aca="false">IF((E268="t"),H268," ")</f>
        <v> </v>
      </c>
      <c r="W268" s="17" t="str">
        <f aca="false">IF((E268="q"),H268," ")</f>
        <v> </v>
      </c>
      <c r="X268" s="17" t="str">
        <f aca="false">IF((E268="m"),H268," ")</f>
        <v> </v>
      </c>
      <c r="Y268" s="17" t="str">
        <f aca="false">IF((E268="u"),H268," ")</f>
        <v> </v>
      </c>
      <c r="Z268" s="17" t="str">
        <f aca="false">IF((E268="a"),H268," ")</f>
        <v> </v>
      </c>
      <c r="AA268" s="17" t="str">
        <f aca="false">IF((E268="g"),H268," ")</f>
        <v> </v>
      </c>
      <c r="AB268" s="17" t="str">
        <f aca="false">IF((E268="h"),H268," ")</f>
        <v> </v>
      </c>
      <c r="AC268" s="30" t="str">
        <f aca="false">IF((E268="v"),H268," ")</f>
        <v> </v>
      </c>
      <c r="AD268" s="30" t="str">
        <f aca="false">IF((E268="n"),H268," ")</f>
        <v> </v>
      </c>
      <c r="AE268" s="17" t="str">
        <f aca="false">IF((E268="f"),H268," ")</f>
        <v> </v>
      </c>
      <c r="AF268" s="17" t="str">
        <f aca="false">IF((E268="l"),H268," ")</f>
        <v> </v>
      </c>
      <c r="AG268" s="17" t="str">
        <f aca="false">IF((E268="y"),H268," ")</f>
        <v> </v>
      </c>
      <c r="AH268" s="17" t="str">
        <f aca="false">IF((E268="z"),H268," ")</f>
        <v> </v>
      </c>
      <c r="AI268" s="17" t="str">
        <f aca="false">IF((E268="fa"),H268," ")</f>
        <v> </v>
      </c>
      <c r="AJ268" s="17" t="str">
        <f aca="false">IF((E268="e"),H268," ")</f>
        <v> </v>
      </c>
    </row>
    <row r="269" customFormat="false" ht="12" hidden="false" customHeight="false" outlineLevel="0" collapsed="false">
      <c r="A269" s="28"/>
      <c r="E269" s="2" t="str">
        <f aca="false">IF((F269&lt;&gt;0),"Enter Letter"," ")</f>
        <v> </v>
      </c>
      <c r="F269" s="30"/>
      <c r="G269" s="6" t="str">
        <f aca="false">IF(F269&lt;&gt;0,F269*G$2/(100+G$2)," ")</f>
        <v> </v>
      </c>
      <c r="H269" s="6" t="str">
        <f aca="false">IF((F269&lt;&gt;0),F269-G269," ")</f>
        <v> </v>
      </c>
      <c r="I269" s="5"/>
      <c r="L269" s="7" t="str">
        <f aca="false">IF(F269&lt;&gt;0,F269-K269," ")</f>
        <v> </v>
      </c>
      <c r="M269" s="8" t="str">
        <f aca="false">IF((F269-K269)&lt;&gt;0,M$1-A269," ")</f>
        <v> </v>
      </c>
      <c r="N269" s="5"/>
      <c r="O269" s="17" t="str">
        <f aca="false">IF((E269="s"),H269," ")</f>
        <v> </v>
      </c>
      <c r="P269" s="17" t="str">
        <f aca="false">IF((E269="c"),H269," ")</f>
        <v> </v>
      </c>
      <c r="Q269" s="17" t="str">
        <f aca="false">IF((E269="o"),H269," ")</f>
        <v> </v>
      </c>
      <c r="R269" s="17" t="str">
        <f aca="false">IF((E269="d"),H269," ")</f>
        <v> </v>
      </c>
      <c r="S269" s="17" t="str">
        <f aca="false">IF((E269="w"),H269," ")</f>
        <v> </v>
      </c>
      <c r="T269" s="17" t="str">
        <f aca="false">IF((E269="r"),H269," ")</f>
        <v> </v>
      </c>
      <c r="U269" s="17" t="str">
        <f aca="false">IF((E269="p"),H269," ")</f>
        <v> </v>
      </c>
      <c r="V269" s="17" t="str">
        <f aca="false">IF((E269="t"),H269," ")</f>
        <v> </v>
      </c>
      <c r="W269" s="17" t="str">
        <f aca="false">IF((E269="q"),H269," ")</f>
        <v> </v>
      </c>
      <c r="X269" s="17" t="str">
        <f aca="false">IF((E269="m"),H269," ")</f>
        <v> </v>
      </c>
      <c r="Y269" s="17" t="str">
        <f aca="false">IF((E269="u"),H269," ")</f>
        <v> </v>
      </c>
      <c r="Z269" s="17" t="str">
        <f aca="false">IF((E269="a"),H269," ")</f>
        <v> </v>
      </c>
      <c r="AA269" s="17" t="str">
        <f aca="false">IF((E269="g"),H269," ")</f>
        <v> </v>
      </c>
      <c r="AB269" s="17" t="str">
        <f aca="false">IF((E269="h"),H269," ")</f>
        <v> </v>
      </c>
      <c r="AC269" s="30" t="str">
        <f aca="false">IF((E269="v"),H269," ")</f>
        <v> </v>
      </c>
      <c r="AD269" s="30" t="str">
        <f aca="false">IF((E269="n"),H269," ")</f>
        <v> </v>
      </c>
      <c r="AE269" s="17" t="str">
        <f aca="false">IF((E269="f"),H269," ")</f>
        <v> </v>
      </c>
      <c r="AF269" s="17" t="str">
        <f aca="false">IF((E269="l"),H269," ")</f>
        <v> </v>
      </c>
      <c r="AG269" s="17" t="str">
        <f aca="false">IF((E269="y"),H269," ")</f>
        <v> </v>
      </c>
      <c r="AH269" s="17" t="str">
        <f aca="false">IF((E269="z"),H269," ")</f>
        <v> </v>
      </c>
      <c r="AI269" s="17" t="str">
        <f aca="false">IF((E269="fa"),H269," ")</f>
        <v> </v>
      </c>
      <c r="AJ269" s="17" t="str">
        <f aca="false">IF((E269="e"),H269," ")</f>
        <v> </v>
      </c>
    </row>
    <row r="270" customFormat="false" ht="12" hidden="false" customHeight="false" outlineLevel="0" collapsed="false">
      <c r="A270" s="28"/>
      <c r="E270" s="2" t="str">
        <f aca="false">IF((F270&lt;&gt;0),"Enter Letter"," ")</f>
        <v> </v>
      </c>
      <c r="F270" s="30"/>
      <c r="G270" s="6" t="str">
        <f aca="false">IF(F270&lt;&gt;0,F270*G$2/(100+G$2)," ")</f>
        <v> </v>
      </c>
      <c r="H270" s="6" t="str">
        <f aca="false">IF((F270&lt;&gt;0),F270-G270," ")</f>
        <v> </v>
      </c>
      <c r="I270" s="5"/>
      <c r="L270" s="7" t="str">
        <f aca="false">IF(F270&lt;&gt;0,F270-K270," ")</f>
        <v> </v>
      </c>
      <c r="M270" s="8" t="str">
        <f aca="false">IF((F270-K270)&lt;&gt;0,M$1-A270," ")</f>
        <v> </v>
      </c>
      <c r="N270" s="5"/>
      <c r="O270" s="17" t="str">
        <f aca="false">IF((E270="s"),H270," ")</f>
        <v> </v>
      </c>
      <c r="P270" s="17" t="str">
        <f aca="false">IF((E270="c"),H270," ")</f>
        <v> </v>
      </c>
      <c r="Q270" s="17" t="str">
        <f aca="false">IF((E270="o"),H270," ")</f>
        <v> </v>
      </c>
      <c r="R270" s="17" t="str">
        <f aca="false">IF((E270="d"),H270," ")</f>
        <v> </v>
      </c>
      <c r="S270" s="17" t="str">
        <f aca="false">IF((E270="w"),H270," ")</f>
        <v> </v>
      </c>
      <c r="T270" s="17" t="str">
        <f aca="false">IF((E270="r"),H270," ")</f>
        <v> </v>
      </c>
      <c r="U270" s="17" t="str">
        <f aca="false">IF((E270="p"),H270," ")</f>
        <v> </v>
      </c>
      <c r="V270" s="17" t="str">
        <f aca="false">IF((E270="t"),H270," ")</f>
        <v> </v>
      </c>
      <c r="W270" s="17" t="str">
        <f aca="false">IF((E270="q"),H270," ")</f>
        <v> </v>
      </c>
      <c r="X270" s="17" t="str">
        <f aca="false">IF((E270="m"),H270," ")</f>
        <v> </v>
      </c>
      <c r="Y270" s="17" t="str">
        <f aca="false">IF((E270="u"),H270," ")</f>
        <v> </v>
      </c>
      <c r="Z270" s="17" t="str">
        <f aca="false">IF((E270="a"),H270," ")</f>
        <v> </v>
      </c>
      <c r="AA270" s="17" t="str">
        <f aca="false">IF((E270="g"),H270," ")</f>
        <v> </v>
      </c>
      <c r="AB270" s="17" t="str">
        <f aca="false">IF((E270="h"),H270," ")</f>
        <v> </v>
      </c>
      <c r="AC270" s="30" t="str">
        <f aca="false">IF((E270="v"),H270," ")</f>
        <v> </v>
      </c>
      <c r="AD270" s="30" t="str">
        <f aca="false">IF((E270="n"),H270," ")</f>
        <v> </v>
      </c>
      <c r="AE270" s="17" t="str">
        <f aca="false">IF((E270="f"),H270," ")</f>
        <v> </v>
      </c>
      <c r="AF270" s="17" t="str">
        <f aca="false">IF((E270="l"),H270," ")</f>
        <v> </v>
      </c>
      <c r="AG270" s="17" t="str">
        <f aca="false">IF((E270="y"),H270," ")</f>
        <v> </v>
      </c>
      <c r="AH270" s="17" t="str">
        <f aca="false">IF((E270="z"),H270," ")</f>
        <v> </v>
      </c>
      <c r="AI270" s="17" t="str">
        <f aca="false">IF((E270="fa"),H270," ")</f>
        <v> </v>
      </c>
      <c r="AJ270" s="17" t="str">
        <f aca="false">IF((E270="e"),H270," ")</f>
        <v> </v>
      </c>
    </row>
    <row r="271" customFormat="false" ht="12" hidden="false" customHeight="false" outlineLevel="0" collapsed="false">
      <c r="A271" s="28"/>
      <c r="E271" s="2" t="str">
        <f aca="false">IF((F271&lt;&gt;0),"Enter Letter"," ")</f>
        <v> </v>
      </c>
      <c r="F271" s="30"/>
      <c r="G271" s="6" t="str">
        <f aca="false">IF(F271&lt;&gt;0,F271*G$2/(100+G$2)," ")</f>
        <v> </v>
      </c>
      <c r="H271" s="6" t="str">
        <f aca="false">IF((F271&lt;&gt;0),F271-G271," ")</f>
        <v> </v>
      </c>
      <c r="I271" s="5"/>
      <c r="L271" s="7" t="str">
        <f aca="false">IF(F271&lt;&gt;0,F271-K271," ")</f>
        <v> </v>
      </c>
      <c r="M271" s="8" t="str">
        <f aca="false">IF((F271-K271)&lt;&gt;0,M$1-A271," ")</f>
        <v> </v>
      </c>
      <c r="N271" s="5"/>
      <c r="O271" s="17" t="str">
        <f aca="false">IF((E271="s"),H271," ")</f>
        <v> </v>
      </c>
      <c r="P271" s="17" t="str">
        <f aca="false">IF((E271="c"),H271," ")</f>
        <v> </v>
      </c>
      <c r="Q271" s="17" t="str">
        <f aca="false">IF((E271="o"),H271," ")</f>
        <v> </v>
      </c>
      <c r="R271" s="17" t="str">
        <f aca="false">IF((E271="d"),H271," ")</f>
        <v> </v>
      </c>
      <c r="S271" s="17" t="str">
        <f aca="false">IF((E271="w"),H271," ")</f>
        <v> </v>
      </c>
      <c r="T271" s="17" t="str">
        <f aca="false">IF((E271="r"),H271," ")</f>
        <v> </v>
      </c>
      <c r="U271" s="17" t="str">
        <f aca="false">IF((E271="p"),H271," ")</f>
        <v> </v>
      </c>
      <c r="V271" s="17" t="str">
        <f aca="false">IF((E271="t"),H271," ")</f>
        <v> </v>
      </c>
      <c r="W271" s="17" t="str">
        <f aca="false">IF((E271="q"),H271," ")</f>
        <v> </v>
      </c>
      <c r="X271" s="17" t="str">
        <f aca="false">IF((E271="m"),H271," ")</f>
        <v> </v>
      </c>
      <c r="Y271" s="17" t="str">
        <f aca="false">IF((E271="u"),H271," ")</f>
        <v> </v>
      </c>
      <c r="Z271" s="17" t="str">
        <f aca="false">IF((E271="a"),H271," ")</f>
        <v> </v>
      </c>
      <c r="AA271" s="17" t="str">
        <f aca="false">IF((E271="g"),H271," ")</f>
        <v> </v>
      </c>
      <c r="AB271" s="17" t="str">
        <f aca="false">IF((E271="h"),H271," ")</f>
        <v> </v>
      </c>
      <c r="AC271" s="30" t="str">
        <f aca="false">IF((E271="v"),H271," ")</f>
        <v> </v>
      </c>
      <c r="AD271" s="30" t="str">
        <f aca="false">IF((E271="n"),H271," ")</f>
        <v> </v>
      </c>
      <c r="AE271" s="17" t="str">
        <f aca="false">IF((E271="f"),H271," ")</f>
        <v> </v>
      </c>
      <c r="AF271" s="17" t="str">
        <f aca="false">IF((E271="l"),H271," ")</f>
        <v> </v>
      </c>
      <c r="AG271" s="17" t="str">
        <f aca="false">IF((E271="y"),H271," ")</f>
        <v> </v>
      </c>
      <c r="AH271" s="17" t="str">
        <f aca="false">IF((E271="z"),H271," ")</f>
        <v> </v>
      </c>
      <c r="AI271" s="17" t="str">
        <f aca="false">IF((E271="fa"),H271," ")</f>
        <v> </v>
      </c>
      <c r="AJ271" s="17" t="str">
        <f aca="false">IF((E271="e"),H271," ")</f>
        <v> </v>
      </c>
    </row>
    <row r="272" customFormat="false" ht="12" hidden="false" customHeight="false" outlineLevel="0" collapsed="false">
      <c r="A272" s="28"/>
      <c r="E272" s="2" t="str">
        <f aca="false">IF((F272&lt;&gt;0),"Enter Letter"," ")</f>
        <v> </v>
      </c>
      <c r="F272" s="30"/>
      <c r="G272" s="6" t="str">
        <f aca="false">IF(F272&lt;&gt;0,F272*G$2/(100+G$2)," ")</f>
        <v> </v>
      </c>
      <c r="H272" s="6" t="str">
        <f aca="false">IF((F272&lt;&gt;0),F272-G272," ")</f>
        <v> </v>
      </c>
      <c r="I272" s="5"/>
      <c r="L272" s="7" t="str">
        <f aca="false">IF(F272&lt;&gt;0,F272-K272," ")</f>
        <v> </v>
      </c>
      <c r="M272" s="8" t="str">
        <f aca="false">IF((F272-K272)&lt;&gt;0,M$1-A272," ")</f>
        <v> </v>
      </c>
      <c r="N272" s="5"/>
      <c r="O272" s="17" t="str">
        <f aca="false">IF((E272="s"),H272," ")</f>
        <v> </v>
      </c>
      <c r="P272" s="17" t="str">
        <f aca="false">IF((E272="c"),H272," ")</f>
        <v> </v>
      </c>
      <c r="Q272" s="17" t="str">
        <f aca="false">IF((E272="o"),H272," ")</f>
        <v> </v>
      </c>
      <c r="R272" s="17" t="str">
        <f aca="false">IF((E272="d"),H272," ")</f>
        <v> </v>
      </c>
      <c r="S272" s="17" t="str">
        <f aca="false">IF((E272="w"),H272," ")</f>
        <v> </v>
      </c>
      <c r="T272" s="17" t="str">
        <f aca="false">IF((E272="r"),H272," ")</f>
        <v> </v>
      </c>
      <c r="U272" s="17" t="str">
        <f aca="false">IF((E272="p"),H272," ")</f>
        <v> </v>
      </c>
      <c r="V272" s="17" t="str">
        <f aca="false">IF((E272="t"),H272," ")</f>
        <v> </v>
      </c>
      <c r="W272" s="17" t="str">
        <f aca="false">IF((E272="q"),H272," ")</f>
        <v> </v>
      </c>
      <c r="X272" s="17" t="str">
        <f aca="false">IF((E272="m"),H272," ")</f>
        <v> </v>
      </c>
      <c r="Y272" s="17" t="str">
        <f aca="false">IF((E272="u"),H272," ")</f>
        <v> </v>
      </c>
      <c r="Z272" s="17" t="str">
        <f aca="false">IF((E272="a"),H272," ")</f>
        <v> </v>
      </c>
      <c r="AA272" s="17" t="str">
        <f aca="false">IF((E272="g"),H272," ")</f>
        <v> </v>
      </c>
      <c r="AB272" s="17" t="str">
        <f aca="false">IF((E272="h"),H272," ")</f>
        <v> </v>
      </c>
      <c r="AC272" s="30" t="str">
        <f aca="false">IF((E272="v"),H272," ")</f>
        <v> </v>
      </c>
      <c r="AD272" s="30" t="str">
        <f aca="false">IF((E272="n"),H272," ")</f>
        <v> </v>
      </c>
      <c r="AE272" s="17" t="str">
        <f aca="false">IF((E272="f"),H272," ")</f>
        <v> </v>
      </c>
      <c r="AF272" s="17" t="str">
        <f aca="false">IF((E272="l"),H272," ")</f>
        <v> </v>
      </c>
      <c r="AG272" s="17" t="str">
        <f aca="false">IF((E272="y"),H272," ")</f>
        <v> </v>
      </c>
      <c r="AH272" s="17" t="str">
        <f aca="false">IF((E272="z"),H272," ")</f>
        <v> </v>
      </c>
      <c r="AI272" s="17" t="str">
        <f aca="false">IF((E272="fa"),H272," ")</f>
        <v> </v>
      </c>
      <c r="AJ272" s="17" t="str">
        <f aca="false">IF((E272="e"),H272," ")</f>
        <v> </v>
      </c>
    </row>
    <row r="273" customFormat="false" ht="12" hidden="false" customHeight="false" outlineLevel="0" collapsed="false">
      <c r="A273" s="28"/>
      <c r="E273" s="2" t="str">
        <f aca="false">IF((F273&lt;&gt;0),"Enter Letter"," ")</f>
        <v> </v>
      </c>
      <c r="F273" s="30"/>
      <c r="G273" s="6" t="str">
        <f aca="false">IF(F273&lt;&gt;0,F273*G$2/(100+G$2)," ")</f>
        <v> </v>
      </c>
      <c r="H273" s="6" t="str">
        <f aca="false">IF((F273&lt;&gt;0),F273-G273," ")</f>
        <v> </v>
      </c>
      <c r="I273" s="5"/>
      <c r="L273" s="7" t="str">
        <f aca="false">IF(F273&lt;&gt;0,F273-K273," ")</f>
        <v> </v>
      </c>
      <c r="M273" s="8" t="str">
        <f aca="false">IF((F273-K273)&lt;&gt;0,M$1-A273," ")</f>
        <v> </v>
      </c>
      <c r="N273" s="5"/>
      <c r="O273" s="17" t="str">
        <f aca="false">IF((E273="s"),H273," ")</f>
        <v> </v>
      </c>
      <c r="P273" s="17" t="str">
        <f aca="false">IF((E273="c"),H273," ")</f>
        <v> </v>
      </c>
      <c r="Q273" s="17" t="str">
        <f aca="false">IF((E273="o"),H273," ")</f>
        <v> </v>
      </c>
      <c r="R273" s="17" t="str">
        <f aca="false">IF((E273="d"),H273," ")</f>
        <v> </v>
      </c>
      <c r="S273" s="17" t="str">
        <f aca="false">IF((E273="w"),H273," ")</f>
        <v> </v>
      </c>
      <c r="T273" s="17" t="str">
        <f aca="false">IF((E273="r"),H273," ")</f>
        <v> </v>
      </c>
      <c r="U273" s="17" t="str">
        <f aca="false">IF((E273="p"),H273," ")</f>
        <v> </v>
      </c>
      <c r="V273" s="17" t="str">
        <f aca="false">IF((E273="t"),H273," ")</f>
        <v> </v>
      </c>
      <c r="W273" s="17" t="str">
        <f aca="false">IF((E273="q"),H273," ")</f>
        <v> </v>
      </c>
      <c r="X273" s="17" t="str">
        <f aca="false">IF((E273="m"),H273," ")</f>
        <v> </v>
      </c>
      <c r="Y273" s="17" t="str">
        <f aca="false">IF((E273="u"),H273," ")</f>
        <v> </v>
      </c>
      <c r="Z273" s="17" t="str">
        <f aca="false">IF((E273="a"),H273," ")</f>
        <v> </v>
      </c>
      <c r="AA273" s="17" t="str">
        <f aca="false">IF((E273="g"),H273," ")</f>
        <v> </v>
      </c>
      <c r="AB273" s="17" t="str">
        <f aca="false">IF((E273="h"),H273," ")</f>
        <v> </v>
      </c>
      <c r="AC273" s="30" t="str">
        <f aca="false">IF((E273="v"),H273," ")</f>
        <v> </v>
      </c>
      <c r="AD273" s="30" t="str">
        <f aca="false">IF((E273="n"),H273," ")</f>
        <v> </v>
      </c>
      <c r="AE273" s="17" t="str">
        <f aca="false">IF((E273="f"),H273," ")</f>
        <v> </v>
      </c>
      <c r="AF273" s="17" t="str">
        <f aca="false">IF((E273="l"),H273," ")</f>
        <v> </v>
      </c>
      <c r="AG273" s="17" t="str">
        <f aca="false">IF((E273="y"),H273," ")</f>
        <v> </v>
      </c>
      <c r="AH273" s="17" t="str">
        <f aca="false">IF((E273="z"),H273," ")</f>
        <v> </v>
      </c>
      <c r="AI273" s="17" t="str">
        <f aca="false">IF((E273="fa"),H273," ")</f>
        <v> </v>
      </c>
      <c r="AJ273" s="17" t="str">
        <f aca="false">IF((E273="e"),H273," ")</f>
        <v> </v>
      </c>
    </row>
    <row r="274" customFormat="false" ht="12" hidden="false" customHeight="false" outlineLevel="0" collapsed="false">
      <c r="A274" s="28"/>
      <c r="E274" s="2" t="str">
        <f aca="false">IF((F274&lt;&gt;0),"Enter Letter"," ")</f>
        <v> </v>
      </c>
      <c r="F274" s="30"/>
      <c r="G274" s="6" t="str">
        <f aca="false">IF(F274&lt;&gt;0,F274*G$2/(100+G$2)," ")</f>
        <v> </v>
      </c>
      <c r="H274" s="6" t="str">
        <f aca="false">IF((F274&lt;&gt;0),F274-G274," ")</f>
        <v> </v>
      </c>
      <c r="I274" s="5"/>
      <c r="L274" s="7" t="str">
        <f aca="false">IF(F274&lt;&gt;0,F274-K274," ")</f>
        <v> </v>
      </c>
      <c r="M274" s="8" t="str">
        <f aca="false">IF((F274-K274)&lt;&gt;0,M$1-A274," ")</f>
        <v> </v>
      </c>
      <c r="N274" s="5"/>
      <c r="O274" s="17" t="str">
        <f aca="false">IF((E274="s"),H274," ")</f>
        <v> </v>
      </c>
      <c r="P274" s="17" t="str">
        <f aca="false">IF((E274="c"),H274," ")</f>
        <v> </v>
      </c>
      <c r="Q274" s="17" t="str">
        <f aca="false">IF((E274="o"),H274," ")</f>
        <v> </v>
      </c>
      <c r="R274" s="17" t="str">
        <f aca="false">IF((E274="d"),H274," ")</f>
        <v> </v>
      </c>
      <c r="S274" s="17" t="str">
        <f aca="false">IF((E274="w"),H274," ")</f>
        <v> </v>
      </c>
      <c r="T274" s="17" t="str">
        <f aca="false">IF((E274="r"),H274," ")</f>
        <v> </v>
      </c>
      <c r="U274" s="17" t="str">
        <f aca="false">IF((E274="p"),H274," ")</f>
        <v> </v>
      </c>
      <c r="V274" s="17" t="str">
        <f aca="false">IF((E274="t"),H274," ")</f>
        <v> </v>
      </c>
      <c r="W274" s="17" t="str">
        <f aca="false">IF((E274="q"),H274," ")</f>
        <v> </v>
      </c>
      <c r="X274" s="17" t="str">
        <f aca="false">IF((E274="m"),H274," ")</f>
        <v> </v>
      </c>
      <c r="Y274" s="17" t="str">
        <f aca="false">IF((E274="u"),H274," ")</f>
        <v> </v>
      </c>
      <c r="Z274" s="17" t="str">
        <f aca="false">IF((E274="a"),H274," ")</f>
        <v> </v>
      </c>
      <c r="AA274" s="17" t="str">
        <f aca="false">IF((E274="g"),H274," ")</f>
        <v> </v>
      </c>
      <c r="AB274" s="17" t="str">
        <f aca="false">IF((E274="h"),H274," ")</f>
        <v> </v>
      </c>
      <c r="AC274" s="30" t="str">
        <f aca="false">IF((E274="v"),H274," ")</f>
        <v> </v>
      </c>
      <c r="AD274" s="30" t="str">
        <f aca="false">IF((E274="n"),H274," ")</f>
        <v> </v>
      </c>
      <c r="AE274" s="17" t="str">
        <f aca="false">IF((E274="f"),H274," ")</f>
        <v> </v>
      </c>
      <c r="AF274" s="17" t="str">
        <f aca="false">IF((E274="l"),H274," ")</f>
        <v> </v>
      </c>
      <c r="AG274" s="17" t="str">
        <f aca="false">IF((E274="y"),H274," ")</f>
        <v> </v>
      </c>
      <c r="AH274" s="17" t="str">
        <f aca="false">IF((E274="z"),H274," ")</f>
        <v> </v>
      </c>
      <c r="AI274" s="17" t="str">
        <f aca="false">IF((E274="fa"),H274," ")</f>
        <v> </v>
      </c>
      <c r="AJ274" s="17" t="str">
        <f aca="false">IF((E274="e"),H274," ")</f>
        <v> </v>
      </c>
    </row>
    <row r="275" customFormat="false" ht="12" hidden="false" customHeight="false" outlineLevel="0" collapsed="false">
      <c r="A275" s="28"/>
      <c r="E275" s="2" t="str">
        <f aca="false">IF((F275&lt;&gt;0),"Enter Letter"," ")</f>
        <v> </v>
      </c>
      <c r="F275" s="30"/>
      <c r="G275" s="6" t="str">
        <f aca="false">IF(F275&lt;&gt;0,F275*G$2/(100+G$2)," ")</f>
        <v> </v>
      </c>
      <c r="H275" s="6" t="str">
        <f aca="false">IF((F275&lt;&gt;0),F275-G275," ")</f>
        <v> </v>
      </c>
      <c r="I275" s="5"/>
      <c r="L275" s="7" t="str">
        <f aca="false">IF(F275&lt;&gt;0,F275-K275," ")</f>
        <v> </v>
      </c>
      <c r="M275" s="8" t="str">
        <f aca="false">IF((F275-K275)&lt;&gt;0,M$1-A275," ")</f>
        <v> </v>
      </c>
      <c r="N275" s="5"/>
      <c r="O275" s="17" t="str">
        <f aca="false">IF((E275="s"),H275," ")</f>
        <v> </v>
      </c>
      <c r="P275" s="17" t="str">
        <f aca="false">IF((E275="c"),H275," ")</f>
        <v> </v>
      </c>
      <c r="Q275" s="17" t="str">
        <f aca="false">IF((E275="o"),H275," ")</f>
        <v> </v>
      </c>
      <c r="R275" s="17" t="str">
        <f aca="false">IF((E275="d"),H275," ")</f>
        <v> </v>
      </c>
      <c r="S275" s="17" t="str">
        <f aca="false">IF((E275="w"),H275," ")</f>
        <v> </v>
      </c>
      <c r="T275" s="17" t="str">
        <f aca="false">IF((E275="r"),H275," ")</f>
        <v> </v>
      </c>
      <c r="U275" s="17" t="str">
        <f aca="false">IF((E275="p"),H275," ")</f>
        <v> </v>
      </c>
      <c r="V275" s="17" t="str">
        <f aca="false">IF((E275="t"),H275," ")</f>
        <v> </v>
      </c>
      <c r="W275" s="17" t="str">
        <f aca="false">IF((E275="q"),H275," ")</f>
        <v> </v>
      </c>
      <c r="X275" s="17" t="str">
        <f aca="false">IF((E275="m"),H275," ")</f>
        <v> </v>
      </c>
      <c r="Y275" s="17" t="str">
        <f aca="false">IF((E275="u"),H275," ")</f>
        <v> </v>
      </c>
      <c r="Z275" s="17" t="str">
        <f aca="false">IF((E275="a"),H275," ")</f>
        <v> </v>
      </c>
      <c r="AA275" s="17" t="str">
        <f aca="false">IF((E275="g"),H275," ")</f>
        <v> </v>
      </c>
      <c r="AB275" s="17" t="str">
        <f aca="false">IF((E275="h"),H275," ")</f>
        <v> </v>
      </c>
      <c r="AC275" s="30" t="str">
        <f aca="false">IF((E275="v"),H275," ")</f>
        <v> </v>
      </c>
      <c r="AD275" s="30" t="str">
        <f aca="false">IF((E275="n"),H275," ")</f>
        <v> </v>
      </c>
      <c r="AE275" s="17" t="str">
        <f aca="false">IF((E275="f"),H275," ")</f>
        <v> </v>
      </c>
      <c r="AF275" s="17" t="str">
        <f aca="false">IF((E275="l"),H275," ")</f>
        <v> </v>
      </c>
      <c r="AG275" s="17" t="str">
        <f aca="false">IF((E275="y"),H275," ")</f>
        <v> </v>
      </c>
      <c r="AH275" s="17" t="str">
        <f aca="false">IF((E275="z"),H275," ")</f>
        <v> </v>
      </c>
      <c r="AI275" s="17" t="str">
        <f aca="false">IF((E275="fa"),H275," ")</f>
        <v> </v>
      </c>
      <c r="AJ275" s="17" t="str">
        <f aca="false">IF((E275="e"),H275," ")</f>
        <v> </v>
      </c>
    </row>
    <row r="276" customFormat="false" ht="12" hidden="false" customHeight="false" outlineLevel="0" collapsed="false">
      <c r="A276" s="28"/>
      <c r="E276" s="2" t="str">
        <f aca="false">IF((F276&lt;&gt;0),"Enter Letter"," ")</f>
        <v> </v>
      </c>
      <c r="F276" s="30"/>
      <c r="G276" s="6" t="str">
        <f aca="false">IF(F276&lt;&gt;0,F276*G$2/(100+G$2)," ")</f>
        <v> </v>
      </c>
      <c r="H276" s="6" t="str">
        <f aca="false">IF((F276&lt;&gt;0),F276-G276," ")</f>
        <v> </v>
      </c>
      <c r="I276" s="5"/>
      <c r="L276" s="7" t="str">
        <f aca="false">IF(F276&lt;&gt;0,F276-K276," ")</f>
        <v> </v>
      </c>
      <c r="M276" s="8" t="str">
        <f aca="false">IF((F276-K276)&lt;&gt;0,M$1-A276," ")</f>
        <v> </v>
      </c>
      <c r="N276" s="5"/>
      <c r="O276" s="17" t="str">
        <f aca="false">IF((E276="s"),H276," ")</f>
        <v> </v>
      </c>
      <c r="P276" s="17" t="str">
        <f aca="false">IF((E276="c"),H276," ")</f>
        <v> </v>
      </c>
      <c r="Q276" s="17" t="str">
        <f aca="false">IF((E276="o"),H276," ")</f>
        <v> </v>
      </c>
      <c r="R276" s="17" t="str">
        <f aca="false">IF((E276="d"),H276," ")</f>
        <v> </v>
      </c>
      <c r="S276" s="17" t="str">
        <f aca="false">IF((E276="w"),H276," ")</f>
        <v> </v>
      </c>
      <c r="T276" s="17" t="str">
        <f aca="false">IF((E276="r"),H276," ")</f>
        <v> </v>
      </c>
      <c r="U276" s="17" t="str">
        <f aca="false">IF((E276="p"),H276," ")</f>
        <v> </v>
      </c>
      <c r="V276" s="17" t="str">
        <f aca="false">IF((E276="t"),H276," ")</f>
        <v> </v>
      </c>
      <c r="W276" s="17" t="str">
        <f aca="false">IF((E276="q"),H276," ")</f>
        <v> </v>
      </c>
      <c r="X276" s="17" t="str">
        <f aca="false">IF((E276="m"),H276," ")</f>
        <v> </v>
      </c>
      <c r="Y276" s="17" t="str">
        <f aca="false">IF((E276="u"),H276," ")</f>
        <v> </v>
      </c>
      <c r="Z276" s="17" t="str">
        <f aca="false">IF((E276="a"),H276," ")</f>
        <v> </v>
      </c>
      <c r="AA276" s="17" t="str">
        <f aca="false">IF((E276="g"),H276," ")</f>
        <v> </v>
      </c>
      <c r="AB276" s="17" t="str">
        <f aca="false">IF((E276="h"),H276," ")</f>
        <v> </v>
      </c>
      <c r="AC276" s="30" t="str">
        <f aca="false">IF((E276="v"),H276," ")</f>
        <v> </v>
      </c>
      <c r="AD276" s="30" t="str">
        <f aca="false">IF((E276="n"),H276," ")</f>
        <v> </v>
      </c>
      <c r="AE276" s="17" t="str">
        <f aca="false">IF((E276="f"),H276," ")</f>
        <v> </v>
      </c>
      <c r="AF276" s="17" t="str">
        <f aca="false">IF((E276="l"),H276," ")</f>
        <v> </v>
      </c>
      <c r="AG276" s="17" t="str">
        <f aca="false">IF((E276="y"),H276," ")</f>
        <v> </v>
      </c>
      <c r="AH276" s="17" t="str">
        <f aca="false">IF((E276="z"),H276," ")</f>
        <v> </v>
      </c>
      <c r="AI276" s="17" t="str">
        <f aca="false">IF((E276="fa"),H276," ")</f>
        <v> </v>
      </c>
      <c r="AJ276" s="17" t="str">
        <f aca="false">IF((E276="e"),H276," ")</f>
        <v> </v>
      </c>
    </row>
    <row r="277" customFormat="false" ht="12" hidden="false" customHeight="false" outlineLevel="0" collapsed="false">
      <c r="A277" s="28"/>
      <c r="E277" s="2" t="str">
        <f aca="false">IF((F277&lt;&gt;0),"Enter Letter"," ")</f>
        <v> </v>
      </c>
      <c r="F277" s="30"/>
      <c r="G277" s="6" t="str">
        <f aca="false">IF(F277&lt;&gt;0,F277*G$2/(100+G$2)," ")</f>
        <v> </v>
      </c>
      <c r="H277" s="6" t="str">
        <f aca="false">IF((F277&lt;&gt;0),F277-G277," ")</f>
        <v> </v>
      </c>
      <c r="I277" s="5"/>
      <c r="L277" s="7" t="str">
        <f aca="false">IF(F277&lt;&gt;0,F277-K277," ")</f>
        <v> </v>
      </c>
      <c r="M277" s="8" t="str">
        <f aca="false">IF((F277-K277)&lt;&gt;0,M$1-A277," ")</f>
        <v> </v>
      </c>
      <c r="N277" s="5"/>
      <c r="O277" s="17" t="str">
        <f aca="false">IF((E277="s"),H277," ")</f>
        <v> </v>
      </c>
      <c r="P277" s="17" t="str">
        <f aca="false">IF((E277="c"),H277," ")</f>
        <v> </v>
      </c>
      <c r="Q277" s="17" t="str">
        <f aca="false">IF((E277="o"),H277," ")</f>
        <v> </v>
      </c>
      <c r="R277" s="17" t="str">
        <f aca="false">IF((E277="d"),H277," ")</f>
        <v> </v>
      </c>
      <c r="S277" s="17" t="str">
        <f aca="false">IF((E277="w"),H277," ")</f>
        <v> </v>
      </c>
      <c r="T277" s="17" t="str">
        <f aca="false">IF((E277="r"),H277," ")</f>
        <v> </v>
      </c>
      <c r="U277" s="17" t="str">
        <f aca="false">IF((E277="p"),H277," ")</f>
        <v> </v>
      </c>
      <c r="V277" s="17" t="str">
        <f aca="false">IF((E277="t"),H277," ")</f>
        <v> </v>
      </c>
      <c r="W277" s="17" t="str">
        <f aca="false">IF((E277="q"),H277," ")</f>
        <v> </v>
      </c>
      <c r="X277" s="17" t="str">
        <f aca="false">IF((E277="m"),H277," ")</f>
        <v> </v>
      </c>
      <c r="Y277" s="17" t="str">
        <f aca="false">IF((E277="u"),H277," ")</f>
        <v> </v>
      </c>
      <c r="Z277" s="17" t="str">
        <f aca="false">IF((E277="a"),H277," ")</f>
        <v> </v>
      </c>
      <c r="AA277" s="17" t="str">
        <f aca="false">IF((E277="g"),H277," ")</f>
        <v> </v>
      </c>
      <c r="AB277" s="17" t="str">
        <f aca="false">IF((E277="h"),H277," ")</f>
        <v> </v>
      </c>
      <c r="AC277" s="30" t="str">
        <f aca="false">IF((E277="v"),H277," ")</f>
        <v> </v>
      </c>
      <c r="AD277" s="30" t="str">
        <f aca="false">IF((E277="n"),H277," ")</f>
        <v> </v>
      </c>
      <c r="AE277" s="17" t="str">
        <f aca="false">IF((E277="f"),H277," ")</f>
        <v> </v>
      </c>
      <c r="AF277" s="17" t="str">
        <f aca="false">IF((E277="l"),H277," ")</f>
        <v> </v>
      </c>
      <c r="AG277" s="17" t="str">
        <f aca="false">IF((E277="y"),H277," ")</f>
        <v> </v>
      </c>
      <c r="AH277" s="17" t="str">
        <f aca="false">IF((E277="z"),H277," ")</f>
        <v> </v>
      </c>
      <c r="AI277" s="17" t="str">
        <f aca="false">IF((E277="fa"),H277," ")</f>
        <v> </v>
      </c>
      <c r="AJ277" s="17" t="str">
        <f aca="false">IF((E277="e"),H277," ")</f>
        <v> </v>
      </c>
    </row>
    <row r="278" customFormat="false" ht="12" hidden="false" customHeight="false" outlineLevel="0" collapsed="false">
      <c r="A278" s="28"/>
      <c r="E278" s="2" t="str">
        <f aca="false">IF((F278&lt;&gt;0),"Enter Letter"," ")</f>
        <v> </v>
      </c>
      <c r="F278" s="30"/>
      <c r="G278" s="6" t="str">
        <f aca="false">IF(F278&lt;&gt;0,F278*G$2/(100+G$2)," ")</f>
        <v> </v>
      </c>
      <c r="H278" s="6" t="str">
        <f aca="false">IF((F278&lt;&gt;0),F278-G278," ")</f>
        <v> </v>
      </c>
      <c r="I278" s="5"/>
      <c r="L278" s="7" t="str">
        <f aca="false">IF(F278&lt;&gt;0,F278-K278," ")</f>
        <v> </v>
      </c>
      <c r="M278" s="8" t="str">
        <f aca="false">IF((F278-K278)&lt;&gt;0,M$1-A278," ")</f>
        <v> </v>
      </c>
      <c r="N278" s="5"/>
      <c r="O278" s="17" t="str">
        <f aca="false">IF((E278="s"),H278," ")</f>
        <v> </v>
      </c>
      <c r="P278" s="17" t="str">
        <f aca="false">IF((E278="c"),H278," ")</f>
        <v> </v>
      </c>
      <c r="Q278" s="17" t="str">
        <f aca="false">IF((E278="o"),H278," ")</f>
        <v> </v>
      </c>
      <c r="R278" s="17" t="str">
        <f aca="false">IF((E278="d"),H278," ")</f>
        <v> </v>
      </c>
      <c r="S278" s="17" t="str">
        <f aca="false">IF((E278="w"),H278," ")</f>
        <v> </v>
      </c>
      <c r="T278" s="17" t="str">
        <f aca="false">IF((E278="r"),H278," ")</f>
        <v> </v>
      </c>
      <c r="U278" s="17" t="str">
        <f aca="false">IF((E278="p"),H278," ")</f>
        <v> </v>
      </c>
      <c r="V278" s="17" t="str">
        <f aca="false">IF((E278="t"),H278," ")</f>
        <v> </v>
      </c>
      <c r="W278" s="17" t="str">
        <f aca="false">IF((E278="q"),H278," ")</f>
        <v> </v>
      </c>
      <c r="X278" s="17" t="str">
        <f aca="false">IF((E278="m"),H278," ")</f>
        <v> </v>
      </c>
      <c r="Y278" s="17" t="str">
        <f aca="false">IF((E278="u"),H278," ")</f>
        <v> </v>
      </c>
      <c r="Z278" s="17" t="str">
        <f aca="false">IF((E278="a"),H278," ")</f>
        <v> </v>
      </c>
      <c r="AA278" s="17" t="str">
        <f aca="false">IF((E278="g"),H278," ")</f>
        <v> </v>
      </c>
      <c r="AB278" s="17" t="str">
        <f aca="false">IF((E278="h"),H278," ")</f>
        <v> </v>
      </c>
      <c r="AC278" s="30" t="str">
        <f aca="false">IF((E278="v"),H278," ")</f>
        <v> </v>
      </c>
      <c r="AD278" s="30" t="str">
        <f aca="false">IF((E278="n"),H278," ")</f>
        <v> </v>
      </c>
      <c r="AE278" s="17" t="str">
        <f aca="false">IF((E278="f"),H278," ")</f>
        <v> </v>
      </c>
      <c r="AF278" s="17" t="str">
        <f aca="false">IF((E278="l"),H278," ")</f>
        <v> </v>
      </c>
      <c r="AG278" s="17" t="str">
        <f aca="false">IF((E278="y"),H278," ")</f>
        <v> </v>
      </c>
      <c r="AH278" s="17" t="str">
        <f aca="false">IF((E278="z"),H278," ")</f>
        <v> </v>
      </c>
      <c r="AI278" s="17" t="str">
        <f aca="false">IF((E278="fa"),H278," ")</f>
        <v> </v>
      </c>
      <c r="AJ278" s="17" t="str">
        <f aca="false">IF((E278="e"),H278," ")</f>
        <v> </v>
      </c>
    </row>
    <row r="279" customFormat="false" ht="12" hidden="false" customHeight="false" outlineLevel="0" collapsed="false">
      <c r="A279" s="28"/>
      <c r="E279" s="2" t="str">
        <f aca="false">IF((F279&lt;&gt;0),"Enter Letter"," ")</f>
        <v> </v>
      </c>
      <c r="F279" s="30"/>
      <c r="G279" s="6" t="str">
        <f aca="false">IF(F279&lt;&gt;0,F279*G$2/(100+G$2)," ")</f>
        <v> </v>
      </c>
      <c r="H279" s="6" t="str">
        <f aca="false">IF((F279&lt;&gt;0),F279-G279," ")</f>
        <v> </v>
      </c>
      <c r="I279" s="5"/>
      <c r="L279" s="7" t="str">
        <f aca="false">IF(F279&lt;&gt;0,F279-K279," ")</f>
        <v> </v>
      </c>
      <c r="M279" s="8" t="str">
        <f aca="false">IF((F279-K279)&lt;&gt;0,M$1-A279," ")</f>
        <v> </v>
      </c>
      <c r="N279" s="5"/>
      <c r="O279" s="17" t="str">
        <f aca="false">IF((E279="s"),H279," ")</f>
        <v> </v>
      </c>
      <c r="P279" s="17" t="str">
        <f aca="false">IF((E279="c"),H279," ")</f>
        <v> </v>
      </c>
      <c r="Q279" s="17" t="str">
        <f aca="false">IF((E279="o"),H279," ")</f>
        <v> </v>
      </c>
      <c r="R279" s="17" t="str">
        <f aca="false">IF((E279="d"),H279," ")</f>
        <v> </v>
      </c>
      <c r="S279" s="17" t="str">
        <f aca="false">IF((E279="w"),H279," ")</f>
        <v> </v>
      </c>
      <c r="T279" s="17" t="str">
        <f aca="false">IF((E279="r"),H279," ")</f>
        <v> </v>
      </c>
      <c r="U279" s="17" t="str">
        <f aca="false">IF((E279="p"),H279," ")</f>
        <v> </v>
      </c>
      <c r="V279" s="17" t="str">
        <f aca="false">IF((E279="t"),H279," ")</f>
        <v> </v>
      </c>
      <c r="W279" s="17" t="str">
        <f aca="false">IF((E279="q"),H279," ")</f>
        <v> </v>
      </c>
      <c r="X279" s="17" t="str">
        <f aca="false">IF((E279="m"),H279," ")</f>
        <v> </v>
      </c>
      <c r="Y279" s="17" t="str">
        <f aca="false">IF((E279="u"),H279," ")</f>
        <v> </v>
      </c>
      <c r="Z279" s="17" t="str">
        <f aca="false">IF((E279="a"),H279," ")</f>
        <v> </v>
      </c>
      <c r="AA279" s="17" t="str">
        <f aca="false">IF((E279="g"),H279," ")</f>
        <v> </v>
      </c>
      <c r="AB279" s="17" t="str">
        <f aca="false">IF((E279="h"),H279," ")</f>
        <v> </v>
      </c>
      <c r="AC279" s="30" t="str">
        <f aca="false">IF((E279="v"),H279," ")</f>
        <v> </v>
      </c>
      <c r="AD279" s="30" t="str">
        <f aca="false">IF((E279="n"),H279," ")</f>
        <v> </v>
      </c>
      <c r="AE279" s="17" t="str">
        <f aca="false">IF((E279="f"),H279," ")</f>
        <v> </v>
      </c>
      <c r="AF279" s="17" t="str">
        <f aca="false">IF((E279="l"),H279," ")</f>
        <v> </v>
      </c>
      <c r="AG279" s="17" t="str">
        <f aca="false">IF((E279="y"),H279," ")</f>
        <v> </v>
      </c>
      <c r="AH279" s="17" t="str">
        <f aca="false">IF((E279="z"),H279," ")</f>
        <v> </v>
      </c>
      <c r="AI279" s="17" t="str">
        <f aca="false">IF((E279="fa"),H279," ")</f>
        <v> </v>
      </c>
      <c r="AJ279" s="17" t="str">
        <f aca="false">IF((E279="e"),H279," ")</f>
        <v> </v>
      </c>
    </row>
    <row r="280" customFormat="false" ht="12" hidden="false" customHeight="false" outlineLevel="0" collapsed="false">
      <c r="A280" s="28"/>
      <c r="E280" s="2" t="str">
        <f aca="false">IF((F280&lt;&gt;0),"Enter Letter"," ")</f>
        <v> </v>
      </c>
      <c r="F280" s="30"/>
      <c r="G280" s="6" t="str">
        <f aca="false">IF(F280&lt;&gt;0,F280*G$2/(100+G$2)," ")</f>
        <v> </v>
      </c>
      <c r="H280" s="6" t="str">
        <f aca="false">IF((F280&lt;&gt;0),F280-G280," ")</f>
        <v> </v>
      </c>
      <c r="I280" s="5"/>
      <c r="L280" s="7" t="str">
        <f aca="false">IF(F280&lt;&gt;0,F280-K280," ")</f>
        <v> </v>
      </c>
      <c r="M280" s="8" t="str">
        <f aca="false">IF((F280-K280)&lt;&gt;0,M$1-A280," ")</f>
        <v> </v>
      </c>
      <c r="N280" s="5"/>
      <c r="O280" s="17" t="str">
        <f aca="false">IF((E280="s"),H280," ")</f>
        <v> </v>
      </c>
      <c r="P280" s="17" t="str">
        <f aca="false">IF((E280="c"),H280," ")</f>
        <v> </v>
      </c>
      <c r="Q280" s="17" t="str">
        <f aca="false">IF((E280="o"),H280," ")</f>
        <v> </v>
      </c>
      <c r="R280" s="17" t="str">
        <f aca="false">IF((E280="d"),H280," ")</f>
        <v> </v>
      </c>
      <c r="S280" s="17" t="str">
        <f aca="false">IF((E280="w"),H280," ")</f>
        <v> </v>
      </c>
      <c r="T280" s="17" t="str">
        <f aca="false">IF((E280="r"),H280," ")</f>
        <v> </v>
      </c>
      <c r="U280" s="17" t="str">
        <f aca="false">IF((E280="p"),H280," ")</f>
        <v> </v>
      </c>
      <c r="V280" s="17" t="str">
        <f aca="false">IF((E280="t"),H280," ")</f>
        <v> </v>
      </c>
      <c r="W280" s="17" t="str">
        <f aca="false">IF((E280="q"),H280," ")</f>
        <v> </v>
      </c>
      <c r="X280" s="17" t="str">
        <f aca="false">IF((E280="m"),H280," ")</f>
        <v> </v>
      </c>
      <c r="Y280" s="17" t="str">
        <f aca="false">IF((E280="u"),H280," ")</f>
        <v> </v>
      </c>
      <c r="Z280" s="17" t="str">
        <f aca="false">IF((E280="a"),H280," ")</f>
        <v> </v>
      </c>
      <c r="AA280" s="17" t="str">
        <f aca="false">IF((E280="g"),H280," ")</f>
        <v> </v>
      </c>
      <c r="AB280" s="17" t="str">
        <f aca="false">IF((E280="h"),H280," ")</f>
        <v> </v>
      </c>
      <c r="AC280" s="30" t="str">
        <f aca="false">IF((E280="v"),H280," ")</f>
        <v> </v>
      </c>
      <c r="AD280" s="30" t="str">
        <f aca="false">IF((E280="n"),H280," ")</f>
        <v> </v>
      </c>
      <c r="AE280" s="17" t="str">
        <f aca="false">IF((E280="f"),H280," ")</f>
        <v> </v>
      </c>
      <c r="AF280" s="17" t="str">
        <f aca="false">IF((E280="l"),H280," ")</f>
        <v> </v>
      </c>
      <c r="AG280" s="17" t="str">
        <f aca="false">IF((E280="y"),H280," ")</f>
        <v> </v>
      </c>
      <c r="AH280" s="17" t="str">
        <f aca="false">IF((E280="z"),H280," ")</f>
        <v> </v>
      </c>
      <c r="AI280" s="17" t="str">
        <f aca="false">IF((E280="fa"),H280," ")</f>
        <v> </v>
      </c>
      <c r="AJ280" s="17" t="str">
        <f aca="false">IF((E280="e"),H280," ")</f>
        <v> </v>
      </c>
    </row>
    <row r="281" customFormat="false" ht="12" hidden="false" customHeight="false" outlineLevel="0" collapsed="false">
      <c r="A281" s="28"/>
      <c r="E281" s="2" t="str">
        <f aca="false">IF((F281&lt;&gt;0),"Enter Letter"," ")</f>
        <v> </v>
      </c>
      <c r="F281" s="30"/>
      <c r="G281" s="6" t="str">
        <f aca="false">IF(F281&lt;&gt;0,F281*G$2/(100+G$2)," ")</f>
        <v> </v>
      </c>
      <c r="H281" s="6" t="str">
        <f aca="false">IF((F281&lt;&gt;0),F281-G281," ")</f>
        <v> </v>
      </c>
      <c r="I281" s="5"/>
      <c r="L281" s="7" t="str">
        <f aca="false">IF(F281&lt;&gt;0,F281-K281," ")</f>
        <v> </v>
      </c>
      <c r="M281" s="8" t="str">
        <f aca="false">IF((F281-K281)&lt;&gt;0,M$1-A281," ")</f>
        <v> </v>
      </c>
      <c r="N281" s="5"/>
      <c r="O281" s="17" t="str">
        <f aca="false">IF((E281="s"),H281," ")</f>
        <v> </v>
      </c>
      <c r="P281" s="17" t="str">
        <f aca="false">IF((E281="c"),H281," ")</f>
        <v> </v>
      </c>
      <c r="Q281" s="17" t="str">
        <f aca="false">IF((E281="o"),H281," ")</f>
        <v> </v>
      </c>
      <c r="R281" s="17" t="str">
        <f aca="false">IF((E281="d"),H281," ")</f>
        <v> </v>
      </c>
      <c r="S281" s="17" t="str">
        <f aca="false">IF((E281="w"),H281," ")</f>
        <v> </v>
      </c>
      <c r="T281" s="17" t="str">
        <f aca="false">IF((E281="r"),H281," ")</f>
        <v> </v>
      </c>
      <c r="U281" s="17" t="str">
        <f aca="false">IF((E281="p"),H281," ")</f>
        <v> </v>
      </c>
      <c r="V281" s="17" t="str">
        <f aca="false">IF((E281="t"),H281," ")</f>
        <v> </v>
      </c>
      <c r="W281" s="17" t="str">
        <f aca="false">IF((E281="q"),H281," ")</f>
        <v> </v>
      </c>
      <c r="X281" s="17" t="str">
        <f aca="false">IF((E281="m"),H281," ")</f>
        <v> </v>
      </c>
      <c r="Y281" s="17" t="str">
        <f aca="false">IF((E281="u"),H281," ")</f>
        <v> </v>
      </c>
      <c r="Z281" s="17" t="str">
        <f aca="false">IF((E281="a"),H281," ")</f>
        <v> </v>
      </c>
      <c r="AA281" s="17" t="str">
        <f aca="false">IF((E281="g"),H281," ")</f>
        <v> </v>
      </c>
      <c r="AB281" s="17" t="str">
        <f aca="false">IF((E281="h"),H281," ")</f>
        <v> </v>
      </c>
      <c r="AC281" s="30" t="str">
        <f aca="false">IF((E281="v"),H281," ")</f>
        <v> </v>
      </c>
      <c r="AD281" s="30" t="str">
        <f aca="false">IF((E281="n"),H281," ")</f>
        <v> </v>
      </c>
      <c r="AE281" s="17" t="str">
        <f aca="false">IF((E281="f"),H281," ")</f>
        <v> </v>
      </c>
      <c r="AF281" s="17" t="str">
        <f aca="false">IF((E281="l"),H281," ")</f>
        <v> </v>
      </c>
      <c r="AG281" s="17" t="str">
        <f aca="false">IF((E281="y"),H281," ")</f>
        <v> </v>
      </c>
      <c r="AH281" s="17" t="str">
        <f aca="false">IF((E281="z"),H281," ")</f>
        <v> </v>
      </c>
      <c r="AI281" s="17" t="str">
        <f aca="false">IF((E281="fa"),H281," ")</f>
        <v> </v>
      </c>
      <c r="AJ281" s="17" t="str">
        <f aca="false">IF((E281="e"),H281," ")</f>
        <v> </v>
      </c>
    </row>
    <row r="282" customFormat="false" ht="12" hidden="false" customHeight="false" outlineLevel="0" collapsed="false">
      <c r="A282" s="28"/>
      <c r="E282" s="2" t="str">
        <f aca="false">IF((F282&lt;&gt;0),"Enter Letter"," ")</f>
        <v> </v>
      </c>
      <c r="F282" s="30"/>
      <c r="G282" s="6" t="str">
        <f aca="false">IF(F282&lt;&gt;0,F282*G$2/(100+G$2)," ")</f>
        <v> </v>
      </c>
      <c r="H282" s="6" t="str">
        <f aca="false">IF((F282&lt;&gt;0),F282-G282," ")</f>
        <v> </v>
      </c>
      <c r="I282" s="5"/>
      <c r="L282" s="7" t="str">
        <f aca="false">IF(F282&lt;&gt;0,F282-K282," ")</f>
        <v> </v>
      </c>
      <c r="M282" s="8" t="str">
        <f aca="false">IF((F282-K282)&lt;&gt;0,M$1-A282," ")</f>
        <v> </v>
      </c>
      <c r="N282" s="5"/>
      <c r="O282" s="17" t="str">
        <f aca="false">IF((E282="s"),H282," ")</f>
        <v> </v>
      </c>
      <c r="P282" s="17" t="str">
        <f aca="false">IF((E282="c"),H282," ")</f>
        <v> </v>
      </c>
      <c r="Q282" s="17" t="str">
        <f aca="false">IF((E282="o"),H282," ")</f>
        <v> </v>
      </c>
      <c r="R282" s="17" t="str">
        <f aca="false">IF((E282="d"),H282," ")</f>
        <v> </v>
      </c>
      <c r="S282" s="17" t="str">
        <f aca="false">IF((E282="w"),H282," ")</f>
        <v> </v>
      </c>
      <c r="T282" s="17" t="str">
        <f aca="false">IF((E282="r"),H282," ")</f>
        <v> </v>
      </c>
      <c r="U282" s="17" t="str">
        <f aca="false">IF((E282="p"),H282," ")</f>
        <v> </v>
      </c>
      <c r="V282" s="17" t="str">
        <f aca="false">IF((E282="t"),H282," ")</f>
        <v> </v>
      </c>
      <c r="W282" s="17" t="str">
        <f aca="false">IF((E282="q"),H282," ")</f>
        <v> </v>
      </c>
      <c r="X282" s="17" t="str">
        <f aca="false">IF((E282="m"),H282," ")</f>
        <v> </v>
      </c>
      <c r="Y282" s="17" t="str">
        <f aca="false">IF((E282="u"),H282," ")</f>
        <v> </v>
      </c>
      <c r="Z282" s="17" t="str">
        <f aca="false">IF((E282="a"),H282," ")</f>
        <v> </v>
      </c>
      <c r="AA282" s="17" t="str">
        <f aca="false">IF((E282="g"),H282," ")</f>
        <v> </v>
      </c>
      <c r="AB282" s="17" t="str">
        <f aca="false">IF((E282="h"),H282," ")</f>
        <v> </v>
      </c>
      <c r="AC282" s="30" t="str">
        <f aca="false">IF((E282="v"),H282," ")</f>
        <v> </v>
      </c>
      <c r="AD282" s="30" t="str">
        <f aca="false">IF((E282="n"),H282," ")</f>
        <v> </v>
      </c>
      <c r="AE282" s="17" t="str">
        <f aca="false">IF((E282="f"),H282," ")</f>
        <v> </v>
      </c>
      <c r="AF282" s="17" t="str">
        <f aca="false">IF((E282="l"),H282," ")</f>
        <v> </v>
      </c>
      <c r="AG282" s="17" t="str">
        <f aca="false">IF((E282="y"),H282," ")</f>
        <v> </v>
      </c>
      <c r="AH282" s="17" t="str">
        <f aca="false">IF((E282="z"),H282," ")</f>
        <v> </v>
      </c>
      <c r="AI282" s="17" t="str">
        <f aca="false">IF((E282="fa"),H282," ")</f>
        <v> </v>
      </c>
      <c r="AJ282" s="17" t="str">
        <f aca="false">IF((E282="e"),H282," ")</f>
        <v> </v>
      </c>
    </row>
    <row r="283" customFormat="false" ht="12" hidden="false" customHeight="false" outlineLevel="0" collapsed="false">
      <c r="A283" s="28"/>
      <c r="E283" s="2" t="str">
        <f aca="false">IF((F283&lt;&gt;0),"Enter Letter"," ")</f>
        <v> </v>
      </c>
      <c r="F283" s="30"/>
      <c r="G283" s="6" t="str">
        <f aca="false">IF(F283&lt;&gt;0,F283*G$2/(100+G$2)," ")</f>
        <v> </v>
      </c>
      <c r="H283" s="6" t="str">
        <f aca="false">IF((F283&lt;&gt;0),F283-G283," ")</f>
        <v> </v>
      </c>
      <c r="I283" s="5"/>
      <c r="L283" s="7" t="str">
        <f aca="false">IF(F283&lt;&gt;0,F283-K283," ")</f>
        <v> </v>
      </c>
      <c r="M283" s="8" t="str">
        <f aca="false">IF((F283-K283)&lt;&gt;0,M$1-A283," ")</f>
        <v> </v>
      </c>
      <c r="N283" s="5"/>
      <c r="O283" s="17" t="str">
        <f aca="false">IF((E283="s"),H283," ")</f>
        <v> </v>
      </c>
      <c r="P283" s="17" t="str">
        <f aca="false">IF((E283="c"),H283," ")</f>
        <v> </v>
      </c>
      <c r="Q283" s="17" t="str">
        <f aca="false">IF((E283="o"),H283," ")</f>
        <v> </v>
      </c>
      <c r="R283" s="17" t="str">
        <f aca="false">IF((E283="d"),H283," ")</f>
        <v> </v>
      </c>
      <c r="S283" s="17" t="str">
        <f aca="false">IF((E283="w"),H283," ")</f>
        <v> </v>
      </c>
      <c r="T283" s="17" t="str">
        <f aca="false">IF((E283="r"),H283," ")</f>
        <v> </v>
      </c>
      <c r="U283" s="17" t="str">
        <f aca="false">IF((E283="p"),H283," ")</f>
        <v> </v>
      </c>
      <c r="V283" s="17" t="str">
        <f aca="false">IF((E283="t"),H283," ")</f>
        <v> </v>
      </c>
      <c r="W283" s="17" t="str">
        <f aca="false">IF((E283="q"),H283," ")</f>
        <v> </v>
      </c>
      <c r="X283" s="17" t="str">
        <f aca="false">IF((E283="m"),H283," ")</f>
        <v> </v>
      </c>
      <c r="Y283" s="17" t="str">
        <f aca="false">IF((E283="u"),H283," ")</f>
        <v> </v>
      </c>
      <c r="Z283" s="17" t="str">
        <f aca="false">IF((E283="a"),H283," ")</f>
        <v> </v>
      </c>
      <c r="AA283" s="17" t="str">
        <f aca="false">IF((E283="g"),H283," ")</f>
        <v> </v>
      </c>
      <c r="AB283" s="17" t="str">
        <f aca="false">IF((E283="h"),H283," ")</f>
        <v> </v>
      </c>
      <c r="AC283" s="30" t="str">
        <f aca="false">IF((E283="v"),H283," ")</f>
        <v> </v>
      </c>
      <c r="AD283" s="30" t="str">
        <f aca="false">IF((E283="n"),H283," ")</f>
        <v> </v>
      </c>
      <c r="AE283" s="17" t="str">
        <f aca="false">IF((E283="f"),H283," ")</f>
        <v> </v>
      </c>
      <c r="AF283" s="17" t="str">
        <f aca="false">IF((E283="l"),H283," ")</f>
        <v> </v>
      </c>
      <c r="AG283" s="17" t="str">
        <f aca="false">IF((E283="y"),H283," ")</f>
        <v> </v>
      </c>
      <c r="AH283" s="17" t="str">
        <f aca="false">IF((E283="z"),H283," ")</f>
        <v> </v>
      </c>
      <c r="AI283" s="17" t="str">
        <f aca="false">IF((E283="fa"),H283," ")</f>
        <v> </v>
      </c>
      <c r="AJ283" s="17" t="str">
        <f aca="false">IF((E283="e"),H283," ")</f>
        <v> </v>
      </c>
    </row>
    <row r="284" customFormat="false" ht="12" hidden="false" customHeight="false" outlineLevel="0" collapsed="false">
      <c r="A284" s="28"/>
      <c r="E284" s="2" t="str">
        <f aca="false">IF((F284&lt;&gt;0),"Enter Letter"," ")</f>
        <v> </v>
      </c>
      <c r="F284" s="30"/>
      <c r="G284" s="6" t="str">
        <f aca="false">IF(F284&lt;&gt;0,F284*G$2/(100+G$2)," ")</f>
        <v> </v>
      </c>
      <c r="H284" s="6" t="str">
        <f aca="false">IF((F284&lt;&gt;0),F284-G284," ")</f>
        <v> </v>
      </c>
      <c r="I284" s="5"/>
      <c r="L284" s="7" t="str">
        <f aca="false">IF(F284&lt;&gt;0,F284-K284," ")</f>
        <v> </v>
      </c>
      <c r="M284" s="8" t="str">
        <f aca="false">IF((F284-K284)&lt;&gt;0,M$1-A284," ")</f>
        <v> </v>
      </c>
      <c r="N284" s="5"/>
      <c r="O284" s="17" t="str">
        <f aca="false">IF((E284="s"),H284," ")</f>
        <v> </v>
      </c>
      <c r="P284" s="17" t="str">
        <f aca="false">IF((E284="c"),H284," ")</f>
        <v> </v>
      </c>
      <c r="Q284" s="17" t="str">
        <f aca="false">IF((E284="o"),H284," ")</f>
        <v> </v>
      </c>
      <c r="R284" s="17" t="str">
        <f aca="false">IF((E284="d"),H284," ")</f>
        <v> </v>
      </c>
      <c r="S284" s="17" t="str">
        <f aca="false">IF((E284="w"),H284," ")</f>
        <v> </v>
      </c>
      <c r="T284" s="17" t="str">
        <f aca="false">IF((E284="r"),H284," ")</f>
        <v> </v>
      </c>
      <c r="U284" s="17" t="str">
        <f aca="false">IF((E284="p"),H284," ")</f>
        <v> </v>
      </c>
      <c r="V284" s="17" t="str">
        <f aca="false">IF((E284="t"),H284," ")</f>
        <v> </v>
      </c>
      <c r="W284" s="17" t="str">
        <f aca="false">IF((E284="q"),H284," ")</f>
        <v> </v>
      </c>
      <c r="X284" s="17" t="str">
        <f aca="false">IF((E284="m"),H284," ")</f>
        <v> </v>
      </c>
      <c r="Y284" s="17" t="str">
        <f aca="false">IF((E284="u"),H284," ")</f>
        <v> </v>
      </c>
      <c r="Z284" s="17" t="str">
        <f aca="false">IF((E284="a"),H284," ")</f>
        <v> </v>
      </c>
      <c r="AA284" s="17" t="str">
        <f aca="false">IF((E284="g"),H284," ")</f>
        <v> </v>
      </c>
      <c r="AB284" s="17" t="str">
        <f aca="false">IF((E284="h"),H284," ")</f>
        <v> </v>
      </c>
      <c r="AC284" s="30" t="str">
        <f aca="false">IF((E284="v"),H284," ")</f>
        <v> </v>
      </c>
      <c r="AD284" s="30" t="str">
        <f aca="false">IF((E284="n"),H284," ")</f>
        <v> </v>
      </c>
      <c r="AE284" s="17" t="str">
        <f aca="false">IF((E284="f"),H284," ")</f>
        <v> </v>
      </c>
      <c r="AF284" s="17" t="str">
        <f aca="false">IF((E284="l"),H284," ")</f>
        <v> </v>
      </c>
      <c r="AG284" s="17" t="str">
        <f aca="false">IF((E284="y"),H284," ")</f>
        <v> </v>
      </c>
      <c r="AH284" s="17" t="str">
        <f aca="false">IF((E284="z"),H284," ")</f>
        <v> </v>
      </c>
      <c r="AI284" s="17" t="str">
        <f aca="false">IF((E284="fa"),H284," ")</f>
        <v> </v>
      </c>
      <c r="AJ284" s="17" t="str">
        <f aca="false">IF((E284="e"),H284," ")</f>
        <v> </v>
      </c>
    </row>
    <row r="285" customFormat="false" ht="12" hidden="false" customHeight="false" outlineLevel="0" collapsed="false">
      <c r="A285" s="28"/>
      <c r="E285" s="2" t="str">
        <f aca="false">IF((F285&lt;&gt;0),"Enter Letter"," ")</f>
        <v> </v>
      </c>
      <c r="F285" s="30"/>
      <c r="G285" s="6" t="str">
        <f aca="false">IF(F285&lt;&gt;0,F285*G$2/(100+G$2)," ")</f>
        <v> </v>
      </c>
      <c r="H285" s="6" t="str">
        <f aca="false">IF((F285&lt;&gt;0),F285-G285," ")</f>
        <v> </v>
      </c>
      <c r="I285" s="5"/>
      <c r="L285" s="7" t="str">
        <f aca="false">IF(F285&lt;&gt;0,F285-K285," ")</f>
        <v> </v>
      </c>
      <c r="M285" s="8" t="str">
        <f aca="false">IF((F285-K285)&lt;&gt;0,M$1-A285," ")</f>
        <v> </v>
      </c>
      <c r="N285" s="5"/>
      <c r="O285" s="17" t="str">
        <f aca="false">IF((E285="s"),H285," ")</f>
        <v> </v>
      </c>
      <c r="P285" s="17" t="str">
        <f aca="false">IF((E285="c"),H285," ")</f>
        <v> </v>
      </c>
      <c r="Q285" s="17" t="str">
        <f aca="false">IF((E285="o"),H285," ")</f>
        <v> </v>
      </c>
      <c r="R285" s="17" t="str">
        <f aca="false">IF((E285="d"),H285," ")</f>
        <v> </v>
      </c>
      <c r="S285" s="17" t="str">
        <f aca="false">IF((E285="w"),H285," ")</f>
        <v> </v>
      </c>
      <c r="T285" s="17" t="str">
        <f aca="false">IF((E285="r"),H285," ")</f>
        <v> </v>
      </c>
      <c r="U285" s="17" t="str">
        <f aca="false">IF((E285="p"),H285," ")</f>
        <v> </v>
      </c>
      <c r="V285" s="17" t="str">
        <f aca="false">IF((E285="t"),H285," ")</f>
        <v> </v>
      </c>
      <c r="W285" s="17" t="str">
        <f aca="false">IF((E285="q"),H285," ")</f>
        <v> </v>
      </c>
      <c r="X285" s="17" t="str">
        <f aca="false">IF((E285="m"),H285," ")</f>
        <v> </v>
      </c>
      <c r="Y285" s="17" t="str">
        <f aca="false">IF((E285="u"),H285," ")</f>
        <v> </v>
      </c>
      <c r="Z285" s="17" t="str">
        <f aca="false">IF((E285="a"),H285," ")</f>
        <v> </v>
      </c>
      <c r="AA285" s="17" t="str">
        <f aca="false">IF((E285="g"),H285," ")</f>
        <v> </v>
      </c>
      <c r="AB285" s="17" t="str">
        <f aca="false">IF((E285="h"),H285," ")</f>
        <v> </v>
      </c>
      <c r="AC285" s="30" t="str">
        <f aca="false">IF((E285="v"),H285," ")</f>
        <v> </v>
      </c>
      <c r="AD285" s="30" t="str">
        <f aca="false">IF((E285="n"),H285," ")</f>
        <v> </v>
      </c>
      <c r="AE285" s="17" t="str">
        <f aca="false">IF((E285="f"),H285," ")</f>
        <v> </v>
      </c>
      <c r="AF285" s="17" t="str">
        <f aca="false">IF((E285="l"),H285," ")</f>
        <v> </v>
      </c>
      <c r="AG285" s="17" t="str">
        <f aca="false">IF((E285="y"),H285," ")</f>
        <v> </v>
      </c>
      <c r="AH285" s="17" t="str">
        <f aca="false">IF((E285="z"),H285," ")</f>
        <v> </v>
      </c>
      <c r="AI285" s="17" t="str">
        <f aca="false">IF((E285="fa"),H285," ")</f>
        <v> </v>
      </c>
      <c r="AJ285" s="17" t="str">
        <f aca="false">IF((E285="e"),H285," ")</f>
        <v> </v>
      </c>
    </row>
    <row r="286" customFormat="false" ht="12" hidden="false" customHeight="false" outlineLevel="0" collapsed="false">
      <c r="A286" s="28"/>
      <c r="E286" s="2" t="str">
        <f aca="false">IF((F286&lt;&gt;0),"Enter Letter"," ")</f>
        <v> </v>
      </c>
      <c r="F286" s="30"/>
      <c r="G286" s="6" t="str">
        <f aca="false">IF(F286&lt;&gt;0,F286*G$2/(100+G$2)," ")</f>
        <v> </v>
      </c>
      <c r="H286" s="6" t="str">
        <f aca="false">IF((F286&lt;&gt;0),F286-G286," ")</f>
        <v> </v>
      </c>
      <c r="I286" s="5"/>
      <c r="L286" s="7" t="str">
        <f aca="false">IF(F286&lt;&gt;0,F286-K286," ")</f>
        <v> </v>
      </c>
      <c r="M286" s="8" t="str">
        <f aca="false">IF((F286-K286)&lt;&gt;0,M$1-A286," ")</f>
        <v> </v>
      </c>
      <c r="N286" s="5"/>
      <c r="O286" s="17" t="str">
        <f aca="false">IF((E286="s"),H286," ")</f>
        <v> </v>
      </c>
      <c r="P286" s="17" t="str">
        <f aca="false">IF((E286="c"),H286," ")</f>
        <v> </v>
      </c>
      <c r="Q286" s="17" t="str">
        <f aca="false">IF((E286="o"),H286," ")</f>
        <v> </v>
      </c>
      <c r="R286" s="17" t="str">
        <f aca="false">IF((E286="d"),H286," ")</f>
        <v> </v>
      </c>
      <c r="S286" s="17" t="str">
        <f aca="false">IF((E286="w"),H286," ")</f>
        <v> </v>
      </c>
      <c r="T286" s="17" t="str">
        <f aca="false">IF((E286="r"),H286," ")</f>
        <v> </v>
      </c>
      <c r="U286" s="17" t="str">
        <f aca="false">IF((E286="p"),H286," ")</f>
        <v> </v>
      </c>
      <c r="V286" s="17" t="str">
        <f aca="false">IF((E286="t"),H286," ")</f>
        <v> </v>
      </c>
      <c r="W286" s="17" t="str">
        <f aca="false">IF((E286="q"),H286," ")</f>
        <v> </v>
      </c>
      <c r="X286" s="17" t="str">
        <f aca="false">IF((E286="m"),H286," ")</f>
        <v> </v>
      </c>
      <c r="Y286" s="17" t="str">
        <f aca="false">IF((E286="u"),H286," ")</f>
        <v> </v>
      </c>
      <c r="Z286" s="17" t="str">
        <f aca="false">IF((E286="a"),H286," ")</f>
        <v> </v>
      </c>
      <c r="AA286" s="17" t="str">
        <f aca="false">IF((E286="g"),H286," ")</f>
        <v> </v>
      </c>
      <c r="AB286" s="17" t="str">
        <f aca="false">IF((E286="h"),H286," ")</f>
        <v> </v>
      </c>
      <c r="AC286" s="30" t="str">
        <f aca="false">IF((E286="v"),H286," ")</f>
        <v> </v>
      </c>
      <c r="AD286" s="30" t="str">
        <f aca="false">IF((E286="n"),H286," ")</f>
        <v> </v>
      </c>
      <c r="AE286" s="17" t="str">
        <f aca="false">IF((E286="f"),H286," ")</f>
        <v> </v>
      </c>
      <c r="AF286" s="17" t="str">
        <f aca="false">IF((E286="l"),H286," ")</f>
        <v> </v>
      </c>
      <c r="AG286" s="17" t="str">
        <f aca="false">IF((E286="y"),H286," ")</f>
        <v> </v>
      </c>
      <c r="AH286" s="17" t="str">
        <f aca="false">IF((E286="z"),H286," ")</f>
        <v> </v>
      </c>
      <c r="AI286" s="17" t="str">
        <f aca="false">IF((E286="fa"),H286," ")</f>
        <v> </v>
      </c>
      <c r="AJ286" s="17" t="str">
        <f aca="false">IF((E286="e"),H286," ")</f>
        <v> </v>
      </c>
    </row>
    <row r="287" customFormat="false" ht="12" hidden="false" customHeight="false" outlineLevel="0" collapsed="false">
      <c r="A287" s="28"/>
      <c r="E287" s="2" t="str">
        <f aca="false">IF((F287&lt;&gt;0),"Enter Letter"," ")</f>
        <v> </v>
      </c>
      <c r="F287" s="30"/>
      <c r="G287" s="6" t="str">
        <f aca="false">IF(F287&lt;&gt;0,F287*G$2/(100+G$2)," ")</f>
        <v> </v>
      </c>
      <c r="H287" s="6" t="str">
        <f aca="false">IF((F287&lt;&gt;0),F287-G287," ")</f>
        <v> </v>
      </c>
      <c r="I287" s="5"/>
      <c r="L287" s="7" t="str">
        <f aca="false">IF(F287&lt;&gt;0,F287-K287," ")</f>
        <v> </v>
      </c>
      <c r="M287" s="8" t="str">
        <f aca="false">IF((F287-K287)&lt;&gt;0,M$1-A287," ")</f>
        <v> </v>
      </c>
      <c r="N287" s="5"/>
      <c r="O287" s="17" t="str">
        <f aca="false">IF((E287="s"),H287," ")</f>
        <v> </v>
      </c>
      <c r="P287" s="17" t="str">
        <f aca="false">IF((E287="c"),H287," ")</f>
        <v> </v>
      </c>
      <c r="Q287" s="17" t="str">
        <f aca="false">IF((E287="o"),H287," ")</f>
        <v> </v>
      </c>
      <c r="R287" s="17" t="str">
        <f aca="false">IF((E287="d"),H287," ")</f>
        <v> </v>
      </c>
      <c r="S287" s="17" t="str">
        <f aca="false">IF((E287="w"),H287," ")</f>
        <v> </v>
      </c>
      <c r="T287" s="17" t="str">
        <f aca="false">IF((E287="r"),H287," ")</f>
        <v> </v>
      </c>
      <c r="U287" s="17" t="str">
        <f aca="false">IF((E287="p"),H287," ")</f>
        <v> </v>
      </c>
      <c r="V287" s="17" t="str">
        <f aca="false">IF((E287="t"),H287," ")</f>
        <v> </v>
      </c>
      <c r="W287" s="17" t="str">
        <f aca="false">IF((E287="q"),H287," ")</f>
        <v> </v>
      </c>
      <c r="X287" s="17" t="str">
        <f aca="false">IF((E287="m"),H287," ")</f>
        <v> </v>
      </c>
      <c r="Y287" s="17" t="str">
        <f aca="false">IF((E287="u"),H287," ")</f>
        <v> </v>
      </c>
      <c r="Z287" s="17" t="str">
        <f aca="false">IF((E287="a"),H287," ")</f>
        <v> </v>
      </c>
      <c r="AA287" s="17" t="str">
        <f aca="false">IF((E287="g"),H287," ")</f>
        <v> </v>
      </c>
      <c r="AB287" s="17" t="str">
        <f aca="false">IF((E287="h"),H287," ")</f>
        <v> </v>
      </c>
      <c r="AC287" s="30" t="str">
        <f aca="false">IF((E287="v"),H287," ")</f>
        <v> </v>
      </c>
      <c r="AD287" s="30" t="str">
        <f aca="false">IF((E287="n"),H287," ")</f>
        <v> </v>
      </c>
      <c r="AE287" s="17" t="str">
        <f aca="false">IF((E287="f"),H287," ")</f>
        <v> </v>
      </c>
      <c r="AF287" s="17" t="str">
        <f aca="false">IF((E287="l"),H287," ")</f>
        <v> </v>
      </c>
      <c r="AG287" s="17" t="str">
        <f aca="false">IF((E287="y"),H287," ")</f>
        <v> </v>
      </c>
      <c r="AH287" s="17" t="str">
        <f aca="false">IF((E287="z"),H287," ")</f>
        <v> </v>
      </c>
      <c r="AI287" s="17" t="str">
        <f aca="false">IF((E287="fa"),H287," ")</f>
        <v> </v>
      </c>
      <c r="AJ287" s="17" t="str">
        <f aca="false">IF((E287="e"),H287," ")</f>
        <v> </v>
      </c>
    </row>
    <row r="288" customFormat="false" ht="12" hidden="false" customHeight="false" outlineLevel="0" collapsed="false">
      <c r="A288" s="28"/>
      <c r="E288" s="2" t="str">
        <f aca="false">IF((F288&lt;&gt;0),"Enter Letter"," ")</f>
        <v> </v>
      </c>
      <c r="F288" s="30"/>
      <c r="G288" s="6" t="str">
        <f aca="false">IF(F288&lt;&gt;0,F288*G$2/(100+G$2)," ")</f>
        <v> </v>
      </c>
      <c r="H288" s="6" t="str">
        <f aca="false">IF((F288&lt;&gt;0),F288-G288," ")</f>
        <v> </v>
      </c>
      <c r="I288" s="5"/>
      <c r="L288" s="7" t="str">
        <f aca="false">IF(F288&lt;&gt;0,F288-K288," ")</f>
        <v> </v>
      </c>
      <c r="M288" s="8" t="str">
        <f aca="false">IF((F288-K288)&lt;&gt;0,M$1-A288," ")</f>
        <v> </v>
      </c>
      <c r="N288" s="5"/>
      <c r="O288" s="17" t="str">
        <f aca="false">IF((E288="s"),H288," ")</f>
        <v> </v>
      </c>
      <c r="P288" s="17" t="str">
        <f aca="false">IF((E288="c"),H288," ")</f>
        <v> </v>
      </c>
      <c r="Q288" s="17" t="str">
        <f aca="false">IF((E288="o"),H288," ")</f>
        <v> </v>
      </c>
      <c r="R288" s="17" t="str">
        <f aca="false">IF((E288="d"),H288," ")</f>
        <v> </v>
      </c>
      <c r="S288" s="17" t="str">
        <f aca="false">IF((E288="w"),H288," ")</f>
        <v> </v>
      </c>
      <c r="T288" s="17" t="str">
        <f aca="false">IF((E288="r"),H288," ")</f>
        <v> </v>
      </c>
      <c r="U288" s="17" t="str">
        <f aca="false">IF((E288="p"),H288," ")</f>
        <v> </v>
      </c>
      <c r="V288" s="17" t="str">
        <f aca="false">IF((E288="t"),H288," ")</f>
        <v> </v>
      </c>
      <c r="W288" s="17" t="str">
        <f aca="false">IF((E288="q"),H288," ")</f>
        <v> </v>
      </c>
      <c r="X288" s="17" t="str">
        <f aca="false">IF((E288="m"),H288," ")</f>
        <v> </v>
      </c>
      <c r="Y288" s="17" t="str">
        <f aca="false">IF((E288="u"),H288," ")</f>
        <v> </v>
      </c>
      <c r="Z288" s="17" t="str">
        <f aca="false">IF((E288="a"),H288," ")</f>
        <v> </v>
      </c>
      <c r="AA288" s="17" t="str">
        <f aca="false">IF((E288="g"),H288," ")</f>
        <v> </v>
      </c>
      <c r="AB288" s="17" t="str">
        <f aca="false">IF((E288="h"),H288," ")</f>
        <v> </v>
      </c>
      <c r="AC288" s="30" t="str">
        <f aca="false">IF((E288="v"),H288," ")</f>
        <v> </v>
      </c>
      <c r="AD288" s="30" t="str">
        <f aca="false">IF((E288="n"),H288," ")</f>
        <v> </v>
      </c>
      <c r="AE288" s="17" t="str">
        <f aca="false">IF((E288="f"),H288," ")</f>
        <v> </v>
      </c>
      <c r="AF288" s="17" t="str">
        <f aca="false">IF((E288="l"),H288," ")</f>
        <v> </v>
      </c>
      <c r="AG288" s="17" t="str">
        <f aca="false">IF((E288="y"),H288," ")</f>
        <v> </v>
      </c>
      <c r="AH288" s="17" t="str">
        <f aca="false">IF((E288="z"),H288," ")</f>
        <v> </v>
      </c>
      <c r="AI288" s="17" t="str">
        <f aca="false">IF((E288="fa"),H288," ")</f>
        <v> </v>
      </c>
      <c r="AJ288" s="17" t="str">
        <f aca="false">IF((E288="e"),H288," ")</f>
        <v> </v>
      </c>
    </row>
    <row r="289" customFormat="false" ht="12" hidden="false" customHeight="false" outlineLevel="0" collapsed="false">
      <c r="A289" s="28"/>
      <c r="E289" s="2" t="str">
        <f aca="false">IF((F289&lt;&gt;0),"Enter Letter"," ")</f>
        <v> </v>
      </c>
      <c r="F289" s="30"/>
      <c r="G289" s="6" t="str">
        <f aca="false">IF(F289&lt;&gt;0,F289*G$2/(100+G$2)," ")</f>
        <v> </v>
      </c>
      <c r="H289" s="6" t="str">
        <f aca="false">IF((F289&lt;&gt;0),F289-G289," ")</f>
        <v> </v>
      </c>
      <c r="I289" s="5"/>
      <c r="L289" s="7" t="str">
        <f aca="false">IF(F289&lt;&gt;0,F289-K289," ")</f>
        <v> </v>
      </c>
      <c r="M289" s="8" t="str">
        <f aca="false">IF((F289-K289)&lt;&gt;0,M$1-A289," ")</f>
        <v> </v>
      </c>
      <c r="N289" s="5"/>
      <c r="O289" s="17" t="str">
        <f aca="false">IF((E289="s"),H289," ")</f>
        <v> </v>
      </c>
      <c r="P289" s="17" t="str">
        <f aca="false">IF((E289="c"),H289," ")</f>
        <v> </v>
      </c>
      <c r="Q289" s="17" t="str">
        <f aca="false">IF((E289="o"),H289," ")</f>
        <v> </v>
      </c>
      <c r="R289" s="17" t="str">
        <f aca="false">IF((E289="d"),H289," ")</f>
        <v> </v>
      </c>
      <c r="S289" s="17" t="str">
        <f aca="false">IF((E289="w"),H289," ")</f>
        <v> </v>
      </c>
      <c r="T289" s="17" t="str">
        <f aca="false">IF((E289="r"),H289," ")</f>
        <v> </v>
      </c>
      <c r="U289" s="17" t="str">
        <f aca="false">IF((E289="p"),H289," ")</f>
        <v> </v>
      </c>
      <c r="V289" s="17" t="str">
        <f aca="false">IF((E289="t"),H289," ")</f>
        <v> </v>
      </c>
      <c r="W289" s="17" t="str">
        <f aca="false">IF((E289="q"),H289," ")</f>
        <v> </v>
      </c>
      <c r="X289" s="17" t="str">
        <f aca="false">IF((E289="m"),H289," ")</f>
        <v> </v>
      </c>
      <c r="Y289" s="17" t="str">
        <f aca="false">IF((E289="u"),H289," ")</f>
        <v> </v>
      </c>
      <c r="Z289" s="17" t="str">
        <f aca="false">IF((E289="a"),H289," ")</f>
        <v> </v>
      </c>
      <c r="AA289" s="17" t="str">
        <f aca="false">IF((E289="g"),H289," ")</f>
        <v> </v>
      </c>
      <c r="AB289" s="17" t="str">
        <f aca="false">IF((E289="h"),H289," ")</f>
        <v> </v>
      </c>
      <c r="AC289" s="30" t="str">
        <f aca="false">IF((E289="v"),H289," ")</f>
        <v> </v>
      </c>
      <c r="AD289" s="30" t="str">
        <f aca="false">IF((E289="n"),H289," ")</f>
        <v> </v>
      </c>
      <c r="AE289" s="17" t="str">
        <f aca="false">IF((E289="f"),H289," ")</f>
        <v> </v>
      </c>
      <c r="AF289" s="17" t="str">
        <f aca="false">IF((E289="l"),H289," ")</f>
        <v> </v>
      </c>
      <c r="AG289" s="17" t="str">
        <f aca="false">IF((E289="y"),H289," ")</f>
        <v> </v>
      </c>
      <c r="AH289" s="17" t="str">
        <f aca="false">IF((E289="z"),H289," ")</f>
        <v> </v>
      </c>
      <c r="AI289" s="17" t="str">
        <f aca="false">IF((E289="fa"),H289," ")</f>
        <v> </v>
      </c>
      <c r="AJ289" s="17" t="str">
        <f aca="false">IF((E289="e"),H289," ")</f>
        <v> </v>
      </c>
    </row>
    <row r="290" customFormat="false" ht="12" hidden="false" customHeight="false" outlineLevel="0" collapsed="false">
      <c r="A290" s="28"/>
      <c r="E290" s="2" t="str">
        <f aca="false">IF((F290&lt;&gt;0),"Enter Letter"," ")</f>
        <v> </v>
      </c>
      <c r="F290" s="30"/>
      <c r="G290" s="6" t="str">
        <f aca="false">IF(F290&lt;&gt;0,F290*G$2/(100+G$2)," ")</f>
        <v> </v>
      </c>
      <c r="H290" s="6" t="str">
        <f aca="false">IF((F290&lt;&gt;0),F290-G290," ")</f>
        <v> </v>
      </c>
      <c r="I290" s="5"/>
      <c r="L290" s="7" t="str">
        <f aca="false">IF(F290&lt;&gt;0,F290-K290," ")</f>
        <v> </v>
      </c>
      <c r="M290" s="8" t="str">
        <f aca="false">IF((F290-K290)&lt;&gt;0,M$1-A290," ")</f>
        <v> </v>
      </c>
      <c r="N290" s="5"/>
      <c r="O290" s="17" t="str">
        <f aca="false">IF((E290="s"),H290," ")</f>
        <v> </v>
      </c>
      <c r="P290" s="17" t="str">
        <f aca="false">IF((E290="c"),H290," ")</f>
        <v> </v>
      </c>
      <c r="Q290" s="17" t="str">
        <f aca="false">IF((E290="o"),H290," ")</f>
        <v> </v>
      </c>
      <c r="R290" s="17" t="str">
        <f aca="false">IF((E290="d"),H290," ")</f>
        <v> </v>
      </c>
      <c r="S290" s="17" t="str">
        <f aca="false">IF((E290="w"),H290," ")</f>
        <v> </v>
      </c>
      <c r="T290" s="17" t="str">
        <f aca="false">IF((E290="r"),H290," ")</f>
        <v> </v>
      </c>
      <c r="U290" s="17" t="str">
        <f aca="false">IF((E290="p"),H290," ")</f>
        <v> </v>
      </c>
      <c r="V290" s="17" t="str">
        <f aca="false">IF((E290="t"),H290," ")</f>
        <v> </v>
      </c>
      <c r="W290" s="17" t="str">
        <f aca="false">IF((E290="q"),H290," ")</f>
        <v> </v>
      </c>
      <c r="X290" s="17" t="str">
        <f aca="false">IF((E290="m"),H290," ")</f>
        <v> </v>
      </c>
      <c r="Y290" s="17" t="str">
        <f aca="false">IF((E290="u"),H290," ")</f>
        <v> </v>
      </c>
      <c r="Z290" s="17" t="str">
        <f aca="false">IF((E290="a"),H290," ")</f>
        <v> </v>
      </c>
      <c r="AA290" s="17" t="str">
        <f aca="false">IF((E290="g"),H290," ")</f>
        <v> </v>
      </c>
      <c r="AB290" s="17" t="str">
        <f aca="false">IF((E290="h"),H290," ")</f>
        <v> </v>
      </c>
      <c r="AC290" s="30" t="str">
        <f aca="false">IF((E290="v"),H290," ")</f>
        <v> </v>
      </c>
      <c r="AD290" s="30" t="str">
        <f aca="false">IF((E290="n"),H290," ")</f>
        <v> </v>
      </c>
      <c r="AE290" s="17" t="str">
        <f aca="false">IF((E290="f"),H290," ")</f>
        <v> </v>
      </c>
      <c r="AF290" s="17" t="str">
        <f aca="false">IF((E290="l"),H290," ")</f>
        <v> </v>
      </c>
      <c r="AG290" s="17" t="str">
        <f aca="false">IF((E290="y"),H290," ")</f>
        <v> </v>
      </c>
      <c r="AH290" s="17" t="str">
        <f aca="false">IF((E290="z"),H290," ")</f>
        <v> </v>
      </c>
      <c r="AI290" s="17" t="str">
        <f aca="false">IF((E290="fa"),H290," ")</f>
        <v> </v>
      </c>
      <c r="AJ290" s="17" t="str">
        <f aca="false">IF((E290="e"),H290," ")</f>
        <v> </v>
      </c>
    </row>
    <row r="291" customFormat="false" ht="12" hidden="false" customHeight="false" outlineLevel="0" collapsed="false">
      <c r="A291" s="28"/>
      <c r="E291" s="2" t="str">
        <f aca="false">IF((F291&lt;&gt;0),"Enter Letter"," ")</f>
        <v> </v>
      </c>
      <c r="F291" s="30"/>
      <c r="G291" s="6" t="str">
        <f aca="false">IF(F291&lt;&gt;0,F291*G$2/(100+G$2)," ")</f>
        <v> </v>
      </c>
      <c r="H291" s="6" t="str">
        <f aca="false">IF((F291&lt;&gt;0),F291-G291," ")</f>
        <v> </v>
      </c>
      <c r="I291" s="5"/>
      <c r="L291" s="7" t="str">
        <f aca="false">IF(F291&lt;&gt;0,F291-K291," ")</f>
        <v> </v>
      </c>
      <c r="M291" s="8" t="str">
        <f aca="false">IF((F291-K291)&lt;&gt;0,M$1-A291," ")</f>
        <v> </v>
      </c>
      <c r="N291" s="5"/>
      <c r="O291" s="17" t="str">
        <f aca="false">IF((E291="s"),H291," ")</f>
        <v> </v>
      </c>
      <c r="P291" s="17" t="str">
        <f aca="false">IF((E291="c"),H291," ")</f>
        <v> </v>
      </c>
      <c r="Q291" s="17" t="str">
        <f aca="false">IF((E291="o"),H291," ")</f>
        <v> </v>
      </c>
      <c r="R291" s="17" t="str">
        <f aca="false">IF((E291="d"),H291," ")</f>
        <v> </v>
      </c>
      <c r="S291" s="17" t="str">
        <f aca="false">IF((E291="w"),H291," ")</f>
        <v> </v>
      </c>
      <c r="T291" s="17" t="str">
        <f aca="false">IF((E291="r"),H291," ")</f>
        <v> </v>
      </c>
      <c r="U291" s="17" t="str">
        <f aca="false">IF((E291="p"),H291," ")</f>
        <v> </v>
      </c>
      <c r="V291" s="17" t="str">
        <f aca="false">IF((E291="t"),H291," ")</f>
        <v> </v>
      </c>
      <c r="W291" s="17" t="str">
        <f aca="false">IF((E291="q"),H291," ")</f>
        <v> </v>
      </c>
      <c r="X291" s="17" t="str">
        <f aca="false">IF((E291="m"),H291," ")</f>
        <v> </v>
      </c>
      <c r="Y291" s="17" t="str">
        <f aca="false">IF((E291="u"),H291," ")</f>
        <v> </v>
      </c>
      <c r="Z291" s="17" t="str">
        <f aca="false">IF((E291="a"),H291," ")</f>
        <v> </v>
      </c>
      <c r="AA291" s="17" t="str">
        <f aca="false">IF((E291="g"),H291," ")</f>
        <v> </v>
      </c>
      <c r="AB291" s="17" t="str">
        <f aca="false">IF((E291="h"),H291," ")</f>
        <v> </v>
      </c>
      <c r="AC291" s="30" t="str">
        <f aca="false">IF((E291="v"),H291," ")</f>
        <v> </v>
      </c>
      <c r="AD291" s="30" t="str">
        <f aca="false">IF((E291="n"),H291," ")</f>
        <v> </v>
      </c>
      <c r="AE291" s="17" t="str">
        <f aca="false">IF((E291="f"),H291," ")</f>
        <v> </v>
      </c>
      <c r="AF291" s="17" t="str">
        <f aca="false">IF((E291="l"),H291," ")</f>
        <v> </v>
      </c>
      <c r="AG291" s="17" t="str">
        <f aca="false">IF((E291="y"),H291," ")</f>
        <v> </v>
      </c>
      <c r="AH291" s="17" t="str">
        <f aca="false">IF((E291="z"),H291," ")</f>
        <v> </v>
      </c>
      <c r="AI291" s="17" t="str">
        <f aca="false">IF((E291="fa"),H291," ")</f>
        <v> </v>
      </c>
      <c r="AJ291" s="17" t="str">
        <f aca="false">IF((E291="e"),H291," ")</f>
        <v> </v>
      </c>
    </row>
    <row r="292" customFormat="false" ht="12" hidden="false" customHeight="false" outlineLevel="0" collapsed="false">
      <c r="A292" s="28"/>
      <c r="E292" s="2" t="str">
        <f aca="false">IF((F292&lt;&gt;0),"Enter Letter"," ")</f>
        <v> </v>
      </c>
      <c r="F292" s="30"/>
      <c r="G292" s="6" t="str">
        <f aca="false">IF(F292&lt;&gt;0,F292*G$2/(100+G$2)," ")</f>
        <v> </v>
      </c>
      <c r="H292" s="6" t="str">
        <f aca="false">IF((F292&lt;&gt;0),F292-G292," ")</f>
        <v> </v>
      </c>
      <c r="I292" s="5"/>
      <c r="L292" s="7" t="str">
        <f aca="false">IF(F292&lt;&gt;0,F292-K292," ")</f>
        <v> </v>
      </c>
      <c r="M292" s="8" t="str">
        <f aca="false">IF((F292-K292)&lt;&gt;0,M$1-A292," ")</f>
        <v> </v>
      </c>
      <c r="N292" s="5"/>
      <c r="O292" s="17" t="str">
        <f aca="false">IF((E292="s"),H292," ")</f>
        <v> </v>
      </c>
      <c r="P292" s="17" t="str">
        <f aca="false">IF((E292="c"),H292," ")</f>
        <v> </v>
      </c>
      <c r="Q292" s="17" t="str">
        <f aca="false">IF((E292="o"),H292," ")</f>
        <v> </v>
      </c>
      <c r="R292" s="17" t="str">
        <f aca="false">IF((E292="d"),H292," ")</f>
        <v> </v>
      </c>
      <c r="S292" s="17" t="str">
        <f aca="false">IF((E292="w"),H292," ")</f>
        <v> </v>
      </c>
      <c r="T292" s="17" t="str">
        <f aca="false">IF((E292="r"),H292," ")</f>
        <v> </v>
      </c>
      <c r="U292" s="17" t="str">
        <f aca="false">IF((E292="p"),H292," ")</f>
        <v> </v>
      </c>
      <c r="V292" s="17" t="str">
        <f aca="false">IF((E292="t"),H292," ")</f>
        <v> </v>
      </c>
      <c r="W292" s="17" t="str">
        <f aca="false">IF((E292="q"),H292," ")</f>
        <v> </v>
      </c>
      <c r="X292" s="17" t="str">
        <f aca="false">IF((E292="m"),H292," ")</f>
        <v> </v>
      </c>
      <c r="Y292" s="17" t="str">
        <f aca="false">IF((E292="u"),H292," ")</f>
        <v> </v>
      </c>
      <c r="Z292" s="17" t="str">
        <f aca="false">IF((E292="a"),H292," ")</f>
        <v> </v>
      </c>
      <c r="AA292" s="17" t="str">
        <f aca="false">IF((E292="g"),H292," ")</f>
        <v> </v>
      </c>
      <c r="AB292" s="17" t="str">
        <f aca="false">IF((E292="h"),H292," ")</f>
        <v> </v>
      </c>
      <c r="AC292" s="30" t="str">
        <f aca="false">IF((E292="v"),H292," ")</f>
        <v> </v>
      </c>
      <c r="AD292" s="30" t="str">
        <f aca="false">IF((E292="n"),H292," ")</f>
        <v> </v>
      </c>
      <c r="AE292" s="17" t="str">
        <f aca="false">IF((E292="f"),H292," ")</f>
        <v> </v>
      </c>
      <c r="AF292" s="17" t="str">
        <f aca="false">IF((E292="l"),H292," ")</f>
        <v> </v>
      </c>
      <c r="AG292" s="17" t="str">
        <f aca="false">IF((E292="y"),H292," ")</f>
        <v> </v>
      </c>
      <c r="AH292" s="17" t="str">
        <f aca="false">IF((E292="z"),H292," ")</f>
        <v> </v>
      </c>
      <c r="AI292" s="17" t="str">
        <f aca="false">IF((E292="fa"),H292," ")</f>
        <v> </v>
      </c>
      <c r="AJ292" s="17" t="str">
        <f aca="false">IF((E292="e"),H292," ")</f>
        <v> </v>
      </c>
    </row>
    <row r="293" customFormat="false" ht="12" hidden="false" customHeight="false" outlineLevel="0" collapsed="false">
      <c r="A293" s="28"/>
      <c r="E293" s="2" t="str">
        <f aca="false">IF((F293&lt;&gt;0),"Enter Letter"," ")</f>
        <v> </v>
      </c>
      <c r="F293" s="30"/>
      <c r="G293" s="6" t="str">
        <f aca="false">IF(F293&lt;&gt;0,F293*G$2/(100+G$2)," ")</f>
        <v> </v>
      </c>
      <c r="H293" s="6" t="str">
        <f aca="false">IF((F293&lt;&gt;0),F293-G293," ")</f>
        <v> </v>
      </c>
      <c r="I293" s="5"/>
      <c r="L293" s="7" t="str">
        <f aca="false">IF(F293&lt;&gt;0,F293-K293," ")</f>
        <v> </v>
      </c>
      <c r="M293" s="8" t="str">
        <f aca="false">IF((F293-K293)&lt;&gt;0,M$1-A293," ")</f>
        <v> </v>
      </c>
      <c r="N293" s="5"/>
      <c r="O293" s="17" t="str">
        <f aca="false">IF((E293="s"),H293," ")</f>
        <v> </v>
      </c>
      <c r="P293" s="17" t="str">
        <f aca="false">IF((E293="c"),H293," ")</f>
        <v> </v>
      </c>
      <c r="Q293" s="17" t="str">
        <f aca="false">IF((E293="o"),H293," ")</f>
        <v> </v>
      </c>
      <c r="R293" s="17" t="str">
        <f aca="false">IF((E293="d"),H293," ")</f>
        <v> </v>
      </c>
      <c r="S293" s="17" t="str">
        <f aca="false">IF((E293="w"),H293," ")</f>
        <v> </v>
      </c>
      <c r="T293" s="17" t="str">
        <f aca="false">IF((E293="r"),H293," ")</f>
        <v> </v>
      </c>
      <c r="U293" s="17" t="str">
        <f aca="false">IF((E293="p"),H293," ")</f>
        <v> </v>
      </c>
      <c r="V293" s="17" t="str">
        <f aca="false">IF((E293="t"),H293," ")</f>
        <v> </v>
      </c>
      <c r="W293" s="17" t="str">
        <f aca="false">IF((E293="q"),H293," ")</f>
        <v> </v>
      </c>
      <c r="X293" s="17" t="str">
        <f aca="false">IF((E293="m"),H293," ")</f>
        <v> </v>
      </c>
      <c r="Y293" s="17" t="str">
        <f aca="false">IF((E293="u"),H293," ")</f>
        <v> </v>
      </c>
      <c r="Z293" s="17" t="str">
        <f aca="false">IF((E293="a"),H293," ")</f>
        <v> </v>
      </c>
      <c r="AA293" s="17" t="str">
        <f aca="false">IF((E293="g"),H293," ")</f>
        <v> </v>
      </c>
      <c r="AB293" s="17" t="str">
        <f aca="false">IF((E293="h"),H293," ")</f>
        <v> </v>
      </c>
      <c r="AC293" s="30" t="str">
        <f aca="false">IF((E293="v"),H293," ")</f>
        <v> </v>
      </c>
      <c r="AD293" s="30" t="str">
        <f aca="false">IF((E293="n"),H293," ")</f>
        <v> </v>
      </c>
      <c r="AE293" s="17" t="str">
        <f aca="false">IF((E293="f"),H293," ")</f>
        <v> </v>
      </c>
      <c r="AF293" s="17" t="str">
        <f aca="false">IF((E293="l"),H293," ")</f>
        <v> </v>
      </c>
      <c r="AG293" s="17" t="str">
        <f aca="false">IF((E293="y"),H293," ")</f>
        <v> </v>
      </c>
      <c r="AH293" s="17" t="str">
        <f aca="false">IF((E293="z"),H293," ")</f>
        <v> </v>
      </c>
      <c r="AI293" s="17" t="str">
        <f aca="false">IF((E293="fa"),H293," ")</f>
        <v> </v>
      </c>
      <c r="AJ293" s="17" t="str">
        <f aca="false">IF((E293="e"),H293," ")</f>
        <v> </v>
      </c>
    </row>
    <row r="294" customFormat="false" ht="12" hidden="false" customHeight="false" outlineLevel="0" collapsed="false">
      <c r="A294" s="28"/>
      <c r="E294" s="2" t="str">
        <f aca="false">IF((F294&lt;&gt;0),"Enter Letter"," ")</f>
        <v> </v>
      </c>
      <c r="F294" s="30"/>
      <c r="G294" s="6" t="str">
        <f aca="false">IF(F294&lt;&gt;0,F294*G$2/(100+G$2)," ")</f>
        <v> </v>
      </c>
      <c r="H294" s="6" t="str">
        <f aca="false">IF((F294&lt;&gt;0),F294-G294," ")</f>
        <v> </v>
      </c>
      <c r="I294" s="5"/>
      <c r="L294" s="7" t="str">
        <f aca="false">IF(F294&lt;&gt;0,F294-K294," ")</f>
        <v> </v>
      </c>
      <c r="M294" s="8" t="str">
        <f aca="false">IF((F294-K294)&lt;&gt;0,M$1-A294," ")</f>
        <v> </v>
      </c>
      <c r="N294" s="5"/>
      <c r="O294" s="17" t="str">
        <f aca="false">IF((E294="s"),H294," ")</f>
        <v> </v>
      </c>
      <c r="P294" s="17" t="str">
        <f aca="false">IF((E294="c"),H294," ")</f>
        <v> </v>
      </c>
      <c r="Q294" s="17" t="str">
        <f aca="false">IF((E294="o"),H294," ")</f>
        <v> </v>
      </c>
      <c r="R294" s="17" t="str">
        <f aca="false">IF((E294="d"),H294," ")</f>
        <v> </v>
      </c>
      <c r="S294" s="17" t="str">
        <f aca="false">IF((E294="w"),H294," ")</f>
        <v> </v>
      </c>
      <c r="T294" s="17" t="str">
        <f aca="false">IF((E294="r"),H294," ")</f>
        <v> </v>
      </c>
      <c r="U294" s="17" t="str">
        <f aca="false">IF((E294="p"),H294," ")</f>
        <v> </v>
      </c>
      <c r="V294" s="17" t="str">
        <f aca="false">IF((E294="t"),H294," ")</f>
        <v> </v>
      </c>
      <c r="W294" s="17" t="str">
        <f aca="false">IF((E294="q"),H294," ")</f>
        <v> </v>
      </c>
      <c r="X294" s="17" t="str">
        <f aca="false">IF((E294="m"),H294," ")</f>
        <v> </v>
      </c>
      <c r="Y294" s="17" t="str">
        <f aca="false">IF((E294="u"),H294," ")</f>
        <v> </v>
      </c>
      <c r="Z294" s="17" t="str">
        <f aca="false">IF((E294="a"),H294," ")</f>
        <v> </v>
      </c>
      <c r="AA294" s="17" t="str">
        <f aca="false">IF((E294="g"),H294," ")</f>
        <v> </v>
      </c>
      <c r="AB294" s="17" t="str">
        <f aca="false">IF((E294="h"),H294," ")</f>
        <v> </v>
      </c>
      <c r="AC294" s="30" t="str">
        <f aca="false">IF((E294="v"),H294," ")</f>
        <v> </v>
      </c>
      <c r="AD294" s="30" t="str">
        <f aca="false">IF((E294="n"),H294," ")</f>
        <v> </v>
      </c>
      <c r="AE294" s="17" t="str">
        <f aca="false">IF((E294="f"),H294," ")</f>
        <v> </v>
      </c>
      <c r="AF294" s="17" t="str">
        <f aca="false">IF((E294="l"),H294," ")</f>
        <v> </v>
      </c>
      <c r="AG294" s="17" t="str">
        <f aca="false">IF((E294="y"),H294," ")</f>
        <v> </v>
      </c>
      <c r="AH294" s="17" t="str">
        <f aca="false">IF((E294="z"),H294," ")</f>
        <v> </v>
      </c>
      <c r="AI294" s="17" t="str">
        <f aca="false">IF((E294="fa"),H294," ")</f>
        <v> </v>
      </c>
      <c r="AJ294" s="17" t="str">
        <f aca="false">IF((E294="e"),H294," ")</f>
        <v> </v>
      </c>
    </row>
    <row r="295" customFormat="false" ht="12" hidden="false" customHeight="false" outlineLevel="0" collapsed="false">
      <c r="A295" s="28"/>
      <c r="E295" s="2" t="str">
        <f aca="false">IF((F295&lt;&gt;0),"Enter Letter"," ")</f>
        <v> </v>
      </c>
      <c r="F295" s="30"/>
      <c r="G295" s="6" t="str">
        <f aca="false">IF(F295&lt;&gt;0,F295*G$2/(100+G$2)," ")</f>
        <v> </v>
      </c>
      <c r="H295" s="6" t="str">
        <f aca="false">IF((F295&lt;&gt;0),F295-G295," ")</f>
        <v> </v>
      </c>
      <c r="I295" s="5"/>
      <c r="L295" s="7" t="str">
        <f aca="false">IF(F295&lt;&gt;0,F295-K295," ")</f>
        <v> </v>
      </c>
      <c r="M295" s="8" t="str">
        <f aca="false">IF((F295-K295)&lt;&gt;0,M$1-A295," ")</f>
        <v> </v>
      </c>
      <c r="N295" s="5"/>
      <c r="O295" s="17" t="str">
        <f aca="false">IF((E295="s"),H295," ")</f>
        <v> </v>
      </c>
      <c r="P295" s="17" t="str">
        <f aca="false">IF((E295="c"),H295," ")</f>
        <v> </v>
      </c>
      <c r="Q295" s="17" t="str">
        <f aca="false">IF((E295="o"),H295," ")</f>
        <v> </v>
      </c>
      <c r="R295" s="17" t="str">
        <f aca="false">IF((E295="d"),H295," ")</f>
        <v> </v>
      </c>
      <c r="S295" s="17" t="str">
        <f aca="false">IF((E295="w"),H295," ")</f>
        <v> </v>
      </c>
      <c r="T295" s="17" t="str">
        <f aca="false">IF((E295="r"),H295," ")</f>
        <v> </v>
      </c>
      <c r="U295" s="17" t="str">
        <f aca="false">IF((E295="p"),H295," ")</f>
        <v> </v>
      </c>
      <c r="V295" s="17" t="str">
        <f aca="false">IF((E295="t"),H295," ")</f>
        <v> </v>
      </c>
      <c r="W295" s="17" t="str">
        <f aca="false">IF((E295="q"),H295," ")</f>
        <v> </v>
      </c>
      <c r="X295" s="17" t="str">
        <f aca="false">IF((E295="m"),H295," ")</f>
        <v> </v>
      </c>
      <c r="Y295" s="17" t="str">
        <f aca="false">IF((E295="u"),H295," ")</f>
        <v> </v>
      </c>
      <c r="Z295" s="17" t="str">
        <f aca="false">IF((E295="a"),H295," ")</f>
        <v> </v>
      </c>
      <c r="AA295" s="17" t="str">
        <f aca="false">IF((E295="g"),H295," ")</f>
        <v> </v>
      </c>
      <c r="AB295" s="17" t="str">
        <f aca="false">IF((E295="h"),H295," ")</f>
        <v> </v>
      </c>
      <c r="AC295" s="30" t="str">
        <f aca="false">IF((E295="v"),H295," ")</f>
        <v> </v>
      </c>
      <c r="AD295" s="30" t="str">
        <f aca="false">IF((E295="n"),H295," ")</f>
        <v> </v>
      </c>
      <c r="AE295" s="17" t="str">
        <f aca="false">IF((E295="f"),H295," ")</f>
        <v> </v>
      </c>
      <c r="AF295" s="17" t="str">
        <f aca="false">IF((E295="l"),H295," ")</f>
        <v> </v>
      </c>
      <c r="AG295" s="17" t="str">
        <f aca="false">IF((E295="y"),H295," ")</f>
        <v> </v>
      </c>
      <c r="AH295" s="17" t="str">
        <f aca="false">IF((E295="z"),H295," ")</f>
        <v> </v>
      </c>
      <c r="AI295" s="17" t="str">
        <f aca="false">IF((E295="fa"),H295," ")</f>
        <v> </v>
      </c>
      <c r="AJ295" s="17" t="str">
        <f aca="false">IF((E295="e"),H295," ")</f>
        <v> </v>
      </c>
    </row>
    <row r="296" customFormat="false" ht="12" hidden="false" customHeight="false" outlineLevel="0" collapsed="false">
      <c r="A296" s="28"/>
      <c r="E296" s="2" t="str">
        <f aca="false">IF((F296&lt;&gt;0),"Enter Letter"," ")</f>
        <v> </v>
      </c>
      <c r="F296" s="30"/>
      <c r="G296" s="6" t="str">
        <f aca="false">IF(F296&lt;&gt;0,F296*G$2/(100+G$2)," ")</f>
        <v> </v>
      </c>
      <c r="H296" s="6" t="str">
        <f aca="false">IF((F296&lt;&gt;0),F296-G296," ")</f>
        <v> </v>
      </c>
      <c r="I296" s="5"/>
      <c r="L296" s="7" t="str">
        <f aca="false">IF(F296&lt;&gt;0,F296-K296," ")</f>
        <v> </v>
      </c>
      <c r="M296" s="8" t="str">
        <f aca="false">IF((F296-K296)&lt;&gt;0,M$1-A296," ")</f>
        <v> </v>
      </c>
      <c r="N296" s="5"/>
      <c r="O296" s="17" t="str">
        <f aca="false">IF((E296="s"),H296," ")</f>
        <v> </v>
      </c>
      <c r="P296" s="17" t="str">
        <f aca="false">IF((E296="c"),H296," ")</f>
        <v> </v>
      </c>
      <c r="Q296" s="17" t="str">
        <f aca="false">IF((E296="o"),H296," ")</f>
        <v> </v>
      </c>
      <c r="R296" s="17" t="str">
        <f aca="false">IF((E296="d"),H296," ")</f>
        <v> </v>
      </c>
      <c r="S296" s="17" t="str">
        <f aca="false">IF((E296="w"),H296," ")</f>
        <v> </v>
      </c>
      <c r="T296" s="17" t="str">
        <f aca="false">IF((E296="r"),H296," ")</f>
        <v> </v>
      </c>
      <c r="U296" s="17" t="str">
        <f aca="false">IF((E296="p"),H296," ")</f>
        <v> </v>
      </c>
      <c r="V296" s="17" t="str">
        <f aca="false">IF((E296="t"),H296," ")</f>
        <v> </v>
      </c>
      <c r="W296" s="17" t="str">
        <f aca="false">IF((E296="q"),H296," ")</f>
        <v> </v>
      </c>
      <c r="X296" s="17" t="str">
        <f aca="false">IF((E296="m"),H296," ")</f>
        <v> </v>
      </c>
      <c r="Y296" s="17" t="str">
        <f aca="false">IF((E296="u"),H296," ")</f>
        <v> </v>
      </c>
      <c r="Z296" s="17" t="str">
        <f aca="false">IF((E296="a"),H296," ")</f>
        <v> </v>
      </c>
      <c r="AA296" s="17" t="str">
        <f aca="false">IF((E296="g"),H296," ")</f>
        <v> </v>
      </c>
      <c r="AB296" s="17" t="str">
        <f aca="false">IF((E296="h"),H296," ")</f>
        <v> </v>
      </c>
      <c r="AC296" s="30" t="str">
        <f aca="false">IF((E296="v"),H296," ")</f>
        <v> </v>
      </c>
      <c r="AD296" s="30" t="str">
        <f aca="false">IF((E296="n"),H296," ")</f>
        <v> </v>
      </c>
      <c r="AE296" s="17" t="str">
        <f aca="false">IF((E296="f"),H296," ")</f>
        <v> </v>
      </c>
      <c r="AF296" s="17" t="str">
        <f aca="false">IF((E296="l"),H296," ")</f>
        <v> </v>
      </c>
      <c r="AG296" s="17" t="str">
        <f aca="false">IF((E296="y"),H296," ")</f>
        <v> </v>
      </c>
      <c r="AH296" s="17" t="str">
        <f aca="false">IF((E296="z"),H296," ")</f>
        <v> </v>
      </c>
      <c r="AI296" s="17" t="str">
        <f aca="false">IF((E296="fa"),H296," ")</f>
        <v> </v>
      </c>
      <c r="AJ296" s="17" t="str">
        <f aca="false">IF((E296="e"),H296," ")</f>
        <v> </v>
      </c>
    </row>
    <row r="297" customFormat="false" ht="12" hidden="false" customHeight="false" outlineLevel="0" collapsed="false">
      <c r="A297" s="28"/>
      <c r="E297" s="2" t="str">
        <f aca="false">IF((F297&lt;&gt;0),"Enter Letter"," ")</f>
        <v> </v>
      </c>
      <c r="F297" s="30"/>
      <c r="G297" s="6" t="str">
        <f aca="false">IF(F297&lt;&gt;0,F297*G$2/(100+G$2)," ")</f>
        <v> </v>
      </c>
      <c r="H297" s="6" t="str">
        <f aca="false">IF((F297&lt;&gt;0),F297-G297," ")</f>
        <v> </v>
      </c>
      <c r="I297" s="5"/>
      <c r="L297" s="7" t="str">
        <f aca="false">IF(F297&lt;&gt;0,F297-K297," ")</f>
        <v> </v>
      </c>
      <c r="M297" s="8" t="str">
        <f aca="false">IF((F297-K297)&lt;&gt;0,M$1-A297," ")</f>
        <v> </v>
      </c>
      <c r="N297" s="5"/>
      <c r="O297" s="17" t="str">
        <f aca="false">IF((E297="s"),H297," ")</f>
        <v> </v>
      </c>
      <c r="P297" s="17" t="str">
        <f aca="false">IF((E297="c"),H297," ")</f>
        <v> </v>
      </c>
      <c r="Q297" s="17" t="str">
        <f aca="false">IF((E297="o"),H297," ")</f>
        <v> </v>
      </c>
      <c r="R297" s="17" t="str">
        <f aca="false">IF((E297="d"),H297," ")</f>
        <v> </v>
      </c>
      <c r="S297" s="17" t="str">
        <f aca="false">IF((E297="w"),H297," ")</f>
        <v> </v>
      </c>
      <c r="T297" s="17" t="str">
        <f aca="false">IF((E297="r"),H297," ")</f>
        <v> </v>
      </c>
      <c r="U297" s="17" t="str">
        <f aca="false">IF((E297="p"),H297," ")</f>
        <v> </v>
      </c>
      <c r="V297" s="17" t="str">
        <f aca="false">IF((E297="t"),H297," ")</f>
        <v> </v>
      </c>
      <c r="W297" s="17" t="str">
        <f aca="false">IF((E297="q"),H297," ")</f>
        <v> </v>
      </c>
      <c r="X297" s="17" t="str">
        <f aca="false">IF((E297="m"),H297," ")</f>
        <v> </v>
      </c>
      <c r="Y297" s="17" t="str">
        <f aca="false">IF((E297="u"),H297," ")</f>
        <v> </v>
      </c>
      <c r="Z297" s="17" t="str">
        <f aca="false">IF((E297="a"),H297," ")</f>
        <v> </v>
      </c>
      <c r="AA297" s="17" t="str">
        <f aca="false">IF((E297="g"),H297," ")</f>
        <v> </v>
      </c>
      <c r="AB297" s="17" t="str">
        <f aca="false">IF((E297="h"),H297," ")</f>
        <v> </v>
      </c>
      <c r="AC297" s="30" t="str">
        <f aca="false">IF((E297="v"),H297," ")</f>
        <v> </v>
      </c>
      <c r="AD297" s="30" t="str">
        <f aca="false">IF((E297="n"),H297," ")</f>
        <v> </v>
      </c>
      <c r="AE297" s="17" t="str">
        <f aca="false">IF((E297="f"),H297," ")</f>
        <v> </v>
      </c>
      <c r="AF297" s="17" t="str">
        <f aca="false">IF((E297="l"),H297," ")</f>
        <v> </v>
      </c>
      <c r="AG297" s="17" t="str">
        <f aca="false">IF((E297="y"),H297," ")</f>
        <v> </v>
      </c>
      <c r="AH297" s="17" t="str">
        <f aca="false">IF((E297="z"),H297," ")</f>
        <v> </v>
      </c>
      <c r="AI297" s="17" t="str">
        <f aca="false">IF((E297="fa"),H297," ")</f>
        <v> </v>
      </c>
      <c r="AJ297" s="17" t="str">
        <f aca="false">IF((E297="e"),H297," ")</f>
        <v> </v>
      </c>
    </row>
    <row r="298" customFormat="false" ht="12" hidden="false" customHeight="false" outlineLevel="0" collapsed="false">
      <c r="A298" s="28"/>
      <c r="E298" s="2" t="str">
        <f aca="false">IF((F298&lt;&gt;0),"Enter Letter"," ")</f>
        <v> </v>
      </c>
      <c r="F298" s="30"/>
      <c r="G298" s="6" t="str">
        <f aca="false">IF(F298&lt;&gt;0,F298*G$2/(100+G$2)," ")</f>
        <v> </v>
      </c>
      <c r="H298" s="6" t="str">
        <f aca="false">IF((F298&lt;&gt;0),F298-G298," ")</f>
        <v> </v>
      </c>
      <c r="I298" s="5"/>
      <c r="L298" s="7" t="str">
        <f aca="false">IF(F298&lt;&gt;0,F298-K298," ")</f>
        <v> </v>
      </c>
      <c r="M298" s="8" t="str">
        <f aca="false">IF((F298-K298)&lt;&gt;0,M$1-A298," ")</f>
        <v> </v>
      </c>
      <c r="N298" s="5"/>
      <c r="O298" s="17" t="str">
        <f aca="false">IF((E298="s"),H298," ")</f>
        <v> </v>
      </c>
      <c r="P298" s="17" t="str">
        <f aca="false">IF((E298="c"),H298," ")</f>
        <v> </v>
      </c>
      <c r="Q298" s="17" t="str">
        <f aca="false">IF((E298="o"),H298," ")</f>
        <v> </v>
      </c>
      <c r="R298" s="17" t="str">
        <f aca="false">IF((E298="d"),H298," ")</f>
        <v> </v>
      </c>
      <c r="S298" s="17" t="str">
        <f aca="false">IF((E298="w"),H298," ")</f>
        <v> </v>
      </c>
      <c r="T298" s="17" t="str">
        <f aca="false">IF((E298="r"),H298," ")</f>
        <v> </v>
      </c>
      <c r="U298" s="17" t="str">
        <f aca="false">IF((E298="p"),H298," ")</f>
        <v> </v>
      </c>
      <c r="V298" s="17" t="str">
        <f aca="false">IF((E298="t"),H298," ")</f>
        <v> </v>
      </c>
      <c r="W298" s="17" t="str">
        <f aca="false">IF((E298="q"),H298," ")</f>
        <v> </v>
      </c>
      <c r="X298" s="17" t="str">
        <f aca="false">IF((E298="m"),H298," ")</f>
        <v> </v>
      </c>
      <c r="Y298" s="17" t="str">
        <f aca="false">IF((E298="u"),H298," ")</f>
        <v> </v>
      </c>
      <c r="Z298" s="17" t="str">
        <f aca="false">IF((E298="a"),H298," ")</f>
        <v> </v>
      </c>
      <c r="AA298" s="17" t="str">
        <f aca="false">IF((E298="g"),H298," ")</f>
        <v> </v>
      </c>
      <c r="AB298" s="17" t="str">
        <f aca="false">IF((E298="h"),H298," ")</f>
        <v> </v>
      </c>
      <c r="AC298" s="30" t="str">
        <f aca="false">IF((E298="v"),H298," ")</f>
        <v> </v>
      </c>
      <c r="AD298" s="30" t="str">
        <f aca="false">IF((E298="n"),H298," ")</f>
        <v> </v>
      </c>
      <c r="AE298" s="17" t="str">
        <f aca="false">IF((E298="f"),H298," ")</f>
        <v> </v>
      </c>
      <c r="AF298" s="17" t="str">
        <f aca="false">IF((E298="l"),H298," ")</f>
        <v> </v>
      </c>
      <c r="AG298" s="17" t="str">
        <f aca="false">IF((E298="y"),H298," ")</f>
        <v> </v>
      </c>
      <c r="AH298" s="17" t="str">
        <f aca="false">IF((E298="z"),H298," ")</f>
        <v> </v>
      </c>
      <c r="AI298" s="17" t="str">
        <f aca="false">IF((E298="fa"),H298," ")</f>
        <v> </v>
      </c>
      <c r="AJ298" s="17" t="str">
        <f aca="false">IF((E298="e"),H298," ")</f>
        <v> </v>
      </c>
    </row>
    <row r="299" customFormat="false" ht="12" hidden="false" customHeight="false" outlineLevel="0" collapsed="false">
      <c r="A299" s="28"/>
      <c r="E299" s="2" t="str">
        <f aca="false">IF((F299&lt;&gt;0),"Enter Letter"," ")</f>
        <v> </v>
      </c>
      <c r="F299" s="30"/>
      <c r="G299" s="6" t="str">
        <f aca="false">IF(F299&lt;&gt;0,F299*G$2/(100+G$2)," ")</f>
        <v> </v>
      </c>
      <c r="H299" s="6" t="str">
        <f aca="false">IF((F299&lt;&gt;0),F299-G299," ")</f>
        <v> </v>
      </c>
      <c r="I299" s="5"/>
      <c r="L299" s="7" t="str">
        <f aca="false">IF(F299&lt;&gt;0,F299-K299," ")</f>
        <v> </v>
      </c>
      <c r="M299" s="8" t="str">
        <f aca="false">IF((F299-K299)&lt;&gt;0,M$1-A299," ")</f>
        <v> </v>
      </c>
      <c r="N299" s="5"/>
      <c r="O299" s="17" t="str">
        <f aca="false">IF((E299="s"),H299," ")</f>
        <v> </v>
      </c>
      <c r="P299" s="17" t="str">
        <f aca="false">IF((E299="c"),H299," ")</f>
        <v> </v>
      </c>
      <c r="Q299" s="17" t="str">
        <f aca="false">IF((E299="o"),H299," ")</f>
        <v> </v>
      </c>
      <c r="R299" s="17" t="str">
        <f aca="false">IF((E299="d"),H299," ")</f>
        <v> </v>
      </c>
      <c r="S299" s="17" t="str">
        <f aca="false">IF((E299="w"),H299," ")</f>
        <v> </v>
      </c>
      <c r="T299" s="17" t="str">
        <f aca="false">IF((E299="r"),H299," ")</f>
        <v> </v>
      </c>
      <c r="U299" s="17" t="str">
        <f aca="false">IF((E299="p"),H299," ")</f>
        <v> </v>
      </c>
      <c r="V299" s="17" t="str">
        <f aca="false">IF((E299="t"),H299," ")</f>
        <v> </v>
      </c>
      <c r="W299" s="17" t="str">
        <f aca="false">IF((E299="q"),H299," ")</f>
        <v> </v>
      </c>
      <c r="X299" s="17" t="str">
        <f aca="false">IF((E299="m"),H299," ")</f>
        <v> </v>
      </c>
      <c r="Y299" s="17" t="str">
        <f aca="false">IF((E299="u"),H299," ")</f>
        <v> </v>
      </c>
      <c r="Z299" s="17" t="str">
        <f aca="false">IF((E299="a"),H299," ")</f>
        <v> </v>
      </c>
      <c r="AA299" s="17" t="str">
        <f aca="false">IF((E299="g"),H299," ")</f>
        <v> </v>
      </c>
      <c r="AB299" s="17" t="str">
        <f aca="false">IF((E299="h"),H299," ")</f>
        <v> </v>
      </c>
      <c r="AC299" s="30" t="str">
        <f aca="false">IF((E299="v"),H299," ")</f>
        <v> </v>
      </c>
      <c r="AD299" s="30" t="str">
        <f aca="false">IF((E299="n"),H299," ")</f>
        <v> </v>
      </c>
      <c r="AE299" s="17" t="str">
        <f aca="false">IF((E299="f"),H299," ")</f>
        <v> </v>
      </c>
      <c r="AF299" s="17" t="str">
        <f aca="false">IF((E299="l"),H299," ")</f>
        <v> </v>
      </c>
      <c r="AG299" s="17" t="str">
        <f aca="false">IF((E299="y"),H299," ")</f>
        <v> </v>
      </c>
      <c r="AH299" s="17" t="str">
        <f aca="false">IF((E299="z"),H299," ")</f>
        <v> </v>
      </c>
      <c r="AI299" s="17" t="str">
        <f aca="false">IF((E299="fa"),H299," ")</f>
        <v> </v>
      </c>
      <c r="AJ299" s="17" t="str">
        <f aca="false">IF((E299="e"),H299," ")</f>
        <v> </v>
      </c>
    </row>
    <row r="300" customFormat="false" ht="12" hidden="false" customHeight="false" outlineLevel="0" collapsed="false">
      <c r="A300" s="32"/>
      <c r="B300" s="33"/>
      <c r="C300" s="34"/>
      <c r="D300" s="33"/>
      <c r="E300" s="46" t="str">
        <f aca="false">IF((F300&lt;&gt;0),"Enter Letter"," ")</f>
        <v> </v>
      </c>
      <c r="F300" s="47"/>
      <c r="G300" s="36" t="str">
        <f aca="false">IF(F300&lt;&gt;0,F300*G$2/(100+G$2)," ")</f>
        <v> </v>
      </c>
      <c r="H300" s="36" t="str">
        <f aca="false">IF((F300&lt;&gt;0),F300-G300," ")</f>
        <v> </v>
      </c>
      <c r="I300" s="48"/>
      <c r="J300" s="36"/>
      <c r="K300" s="36"/>
      <c r="L300" s="37" t="str">
        <f aca="false">IF(F300&lt;&gt;0,F300-K300," ")</f>
        <v> </v>
      </c>
      <c r="M300" s="38" t="str">
        <f aca="false">IF((F300-K300)&lt;&gt;0,M$1-A300," ")</f>
        <v> </v>
      </c>
      <c r="N300" s="48"/>
      <c r="O300" s="49" t="str">
        <f aca="false">IF((E300="s"),H300," ")</f>
        <v> </v>
      </c>
      <c r="P300" s="49" t="str">
        <f aca="false">IF((E300="c"),H300," ")</f>
        <v> </v>
      </c>
      <c r="Q300" s="49" t="str">
        <f aca="false">IF((E300="o"),H300," ")</f>
        <v> </v>
      </c>
      <c r="R300" s="49" t="str">
        <f aca="false">IF((E300="d"),H300," ")</f>
        <v> </v>
      </c>
      <c r="S300" s="49" t="str">
        <f aca="false">IF((E300="w"),H300," ")</f>
        <v> </v>
      </c>
      <c r="T300" s="49" t="str">
        <f aca="false">IF((E300="r"),H300," ")</f>
        <v> </v>
      </c>
      <c r="U300" s="49" t="str">
        <f aca="false">IF((E300="p"),H300," ")</f>
        <v> </v>
      </c>
      <c r="V300" s="49" t="str">
        <f aca="false">IF((E300="t"),H300," ")</f>
        <v> </v>
      </c>
      <c r="W300" s="49" t="str">
        <f aca="false">IF((E300="q"),H300," ")</f>
        <v> </v>
      </c>
      <c r="X300" s="49" t="str">
        <f aca="false">IF((E300="m"),H300," ")</f>
        <v> </v>
      </c>
      <c r="Y300" s="49" t="str">
        <f aca="false">IF((E300="u"),H300," ")</f>
        <v> </v>
      </c>
      <c r="Z300" s="49" t="str">
        <f aca="false">IF((E300="a"),H300," ")</f>
        <v> </v>
      </c>
      <c r="AA300" s="49" t="str">
        <f aca="false">IF((E300="g"),H300," ")</f>
        <v> </v>
      </c>
      <c r="AB300" s="49" t="str">
        <f aca="false">IF((E300="h"),H300," ")</f>
        <v> </v>
      </c>
      <c r="AC300" s="47" t="str">
        <f aca="false">IF((E300="v"),H300," ")</f>
        <v> </v>
      </c>
      <c r="AD300" s="47" t="str">
        <f aca="false">IF((E300="n"),H300," ")</f>
        <v> </v>
      </c>
      <c r="AE300" s="49" t="str">
        <f aca="false">IF((E300="f"),H300," ")</f>
        <v> </v>
      </c>
      <c r="AF300" s="49" t="str">
        <f aca="false">IF((E300="l"),H300," ")</f>
        <v> </v>
      </c>
      <c r="AG300" s="49" t="str">
        <f aca="false">IF((E300="y"),H300," ")</f>
        <v> </v>
      </c>
      <c r="AH300" s="49" t="str">
        <f aca="false">IF((E300="z"),H300," ")</f>
        <v> </v>
      </c>
      <c r="AI300" s="49" t="str">
        <f aca="false">IF((E300="fa"),H300," ")</f>
        <v> </v>
      </c>
      <c r="AJ300" s="49" t="str">
        <f aca="false">IF((E300="e"),H300," ")</f>
        <v> </v>
      </c>
      <c r="AK300" s="49"/>
      <c r="AL300" s="49"/>
    </row>
    <row r="301" customFormat="false" ht="12" hidden="false" customHeight="false" outlineLevel="0" collapsed="false">
      <c r="A301" s="28"/>
    </row>
  </sheetData>
  <mergeCells count="36">
    <mergeCell ref="C1:C4"/>
    <mergeCell ref="D1:E1"/>
    <mergeCell ref="I1:I4"/>
    <mergeCell ref="J1:J4"/>
    <mergeCell ref="N1:N4"/>
    <mergeCell ref="AJ1:AJ4"/>
    <mergeCell ref="A2:A4"/>
    <mergeCell ref="B2:B4"/>
    <mergeCell ref="D2:D4"/>
    <mergeCell ref="E2:E4"/>
    <mergeCell ref="F2:F4"/>
    <mergeCell ref="H2:H4"/>
    <mergeCell ref="K2:M2"/>
    <mergeCell ref="O2:Q2"/>
    <mergeCell ref="R2:R3"/>
    <mergeCell ref="S2:S3"/>
    <mergeCell ref="T2:U2"/>
    <mergeCell ref="V2:V3"/>
    <mergeCell ref="W2:W3"/>
    <mergeCell ref="X2:X3"/>
    <mergeCell ref="Y2:Y3"/>
    <mergeCell ref="Z2:Z3"/>
    <mergeCell ref="AA2:AA3"/>
    <mergeCell ref="AB2:AB3"/>
    <mergeCell ref="AC2:AC3"/>
    <mergeCell ref="AD2:AD3"/>
    <mergeCell ref="AE2:AE3"/>
    <mergeCell ref="AF2:AF3"/>
    <mergeCell ref="AG2:AG3"/>
    <mergeCell ref="AH2:AH3"/>
    <mergeCell ref="AK2:AL2"/>
    <mergeCell ref="G3:G4"/>
    <mergeCell ref="K3:K4"/>
    <mergeCell ref="L3:L4"/>
    <mergeCell ref="M3:M4"/>
    <mergeCell ref="AK3:AL3"/>
  </mergeCells>
  <dataValidations count="4">
    <dataValidation allowBlank="true" error="While dates outside the financial year can be accepted for valid transactions the date may not have been entered in the correct format.&#10;&#10;CORRECT DATE FORMAT IS DD/MM/YY&#10;&#10;Example 25/12/08 then appears as 25-Dec-08&#10;" errorStyle="stop" errorTitle="DATE ERROR" operator="between" showDropDown="false" showErrorMessage="true" showInputMessage="false" sqref="A5:A300" type="date">
      <formula1>38353</formula1>
      <formula2>53327</formula2>
    </dataValidation>
    <dataValidation allowBlank="true" errorStyle="stop" operator="between" prompt="Entries below the line are not included in column totals or analysed.&#10;&#10;To accomodate additional entries the formulae in column totals need changing and sales analysis columns formulae added " promptTitle="PLEASE NOTE" showDropDown="false" showErrorMessage="true" showInputMessage="true" sqref="A301" type="none">
      <formula1>0</formula1>
      <formula2>0</formula2>
    </dataValidation>
    <dataValidation allowBlank="true" errorStyle="stop" operator="between" prompt="An amount in this cell is an indication column H does not equal column F minus G or the analysis in columns O to AI does not add up to total in column H&#10;&#10;CHECK ENTRY CODE LETTERS or ANY MANUAL ENTRIES IN COL G to H and COL O to AI&#10;" promptTitle="ERROR ALERT" showDropDown="false" showErrorMessage="true" showInputMessage="true" sqref="A1" type="none">
      <formula1>0</formula1>
      <formula2>0</formula2>
    </dataValidation>
    <dataValidation allowBlank="true" errorStyle="stop" operator="between" showDropDown="false" showErrorMessage="true" showInputMessage="false" sqref="E5:E300" type="list">
      <formula1>$O$4:$AI$4</formula1>
      <formula2>0</formula2>
    </dataValidation>
  </dataValidations>
  <printOptions headings="false" gridLines="true" gridLinesSet="true" horizontalCentered="false" verticalCentered="false"/>
  <pageMargins left="0.118055555555556" right="0.0784722222222222" top="0.590277777777778" bottom="0.590277777777778" header="0.196527777777778" footer="0.196527777777778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&amp;C&amp;"Arial,Bold"&amp;11Costs and Expenses</oddHeader>
    <oddFooter>&amp;L&amp;D  &amp;T&amp;C&amp;P  of  &amp;N&amp;R&amp;F  &amp;A</oddFooter>
  </headerFooter>
  <colBreaks count="1" manualBreakCount="1">
    <brk id="24" man="true" max="65535" min="0"/>
  </colBreaks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625" defaultRowHeight="12" zeroHeight="false" outlineLevelRow="0" outlineLevelCol="0"/>
  <cols>
    <col collapsed="false" customWidth="true" hidden="false" outlineLevel="0" max="1" min="1" style="1" width="8.82"/>
    <col collapsed="false" customWidth="true" hidden="false" outlineLevel="0" max="2" min="2" style="2" width="19.66"/>
    <col collapsed="false" customWidth="true" hidden="false" outlineLevel="0" max="3" min="3" style="3" width="11.66"/>
    <col collapsed="false" customWidth="true" hidden="false" outlineLevel="0" max="4" min="4" style="4" width="14.66"/>
    <col collapsed="false" customWidth="true" hidden="false" outlineLevel="0" max="5" min="5" style="5" width="9.66"/>
    <col collapsed="false" customWidth="true" hidden="false" outlineLevel="0" max="6" min="6" style="6" width="10.5"/>
    <col collapsed="false" customWidth="true" hidden="false" outlineLevel="0" max="7" min="7" style="6" width="9.66"/>
    <col collapsed="false" customWidth="true" hidden="false" outlineLevel="0" max="8" min="8" style="6" width="10.66"/>
    <col collapsed="false" customWidth="true" hidden="false" outlineLevel="0" max="9" min="9" style="6" width="0.82"/>
    <col collapsed="false" customWidth="true" hidden="false" outlineLevel="0" max="10" min="10" style="6" width="9.99"/>
    <col collapsed="false" customWidth="true" hidden="false" outlineLevel="0" max="11" min="11" style="6" width="9.66"/>
    <col collapsed="false" customWidth="true" hidden="false" outlineLevel="0" max="12" min="12" style="7" width="9.66"/>
    <col collapsed="false" customWidth="true" hidden="false" outlineLevel="0" max="13" min="13" style="8" width="9.49"/>
    <col collapsed="false" customWidth="false" hidden="false" outlineLevel="0" max="257" min="14" style="2" width="9.15"/>
  </cols>
  <sheetData>
    <row r="1" s="17" customFormat="true" ht="12.75" hidden="false" customHeight="true" outlineLevel="0" collapsed="false">
      <c r="A1" s="9" t="s">
        <v>261</v>
      </c>
      <c r="B1" s="9"/>
      <c r="C1" s="10" t="n">
        <f aca="false">-SUM([1]TrialBalance!$EJ$28:$EJ$31)</f>
        <v>11182.25</v>
      </c>
      <c r="D1" s="11" t="s">
        <v>1</v>
      </c>
      <c r="E1" s="11"/>
      <c r="F1" s="12" t="n">
        <f aca="false">SUM(F2:F200)</f>
        <v>0</v>
      </c>
      <c r="G1" s="12" t="n">
        <f aca="false">SUM(G5:G300)</f>
        <v>0</v>
      </c>
      <c r="H1" s="12" t="n">
        <f aca="false">SUM(H2:H200)</f>
        <v>1710</v>
      </c>
      <c r="I1" s="13"/>
      <c r="J1" s="14" t="s">
        <v>2</v>
      </c>
      <c r="K1" s="15" t="n">
        <f aca="false">SUM(K5:K200)</f>
        <v>0</v>
      </c>
      <c r="L1" s="15" t="n">
        <f aca="false">SUM(L5:L200)</f>
        <v>0</v>
      </c>
      <c r="M1" s="16" t="n">
        <f aca="true">TODAY()</f>
        <v>46278</v>
      </c>
    </row>
    <row r="2" s="17" customFormat="true" ht="13.5" hidden="false" customHeight="true" outlineLevel="0" collapsed="false">
      <c r="A2" s="18" t="s">
        <v>3</v>
      </c>
      <c r="B2" s="19" t="s">
        <v>4</v>
      </c>
      <c r="C2" s="20" t="s">
        <v>5</v>
      </c>
      <c r="D2" s="21" t="s">
        <v>6</v>
      </c>
      <c r="E2" s="21"/>
      <c r="F2" s="19" t="s">
        <v>7</v>
      </c>
      <c r="G2" s="22" t="n">
        <f aca="false">IF([2]Sep!$G$4&gt;0,0,[2]Sep!$G$2)</f>
        <v>20</v>
      </c>
      <c r="H2" s="19" t="s">
        <v>8</v>
      </c>
      <c r="I2" s="13"/>
      <c r="J2" s="14"/>
      <c r="K2" s="23" t="s">
        <v>9</v>
      </c>
      <c r="L2" s="23"/>
      <c r="M2" s="23"/>
    </row>
    <row r="3" s="26" customFormat="true" ht="34.5" hidden="false" customHeight="true" outlineLevel="0" collapsed="false">
      <c r="A3" s="18"/>
      <c r="B3" s="18"/>
      <c r="C3" s="18"/>
      <c r="D3" s="18"/>
      <c r="E3" s="18"/>
      <c r="F3" s="19"/>
      <c r="G3" s="19" t="s">
        <v>10</v>
      </c>
      <c r="H3" s="19"/>
      <c r="I3" s="13"/>
      <c r="J3" s="14"/>
      <c r="K3" s="24" t="s">
        <v>11</v>
      </c>
      <c r="L3" s="24" t="s">
        <v>12</v>
      </c>
      <c r="M3" s="25" t="s">
        <v>13</v>
      </c>
    </row>
    <row r="4" s="27" customFormat="true" ht="12.75" hidden="false" customHeight="true" outlineLevel="0" collapsed="false">
      <c r="A4" s="18"/>
      <c r="B4" s="18"/>
      <c r="C4" s="18"/>
      <c r="D4" s="18"/>
      <c r="E4" s="18"/>
      <c r="F4" s="19"/>
      <c r="G4" s="19"/>
      <c r="H4" s="19"/>
      <c r="I4" s="13"/>
      <c r="J4" s="14"/>
      <c r="K4" s="24"/>
      <c r="L4" s="24"/>
      <c r="M4" s="24"/>
    </row>
    <row r="5" s="5" customFormat="true" ht="12" hidden="false" customHeight="false" outlineLevel="0" collapsed="false">
      <c r="A5" s="28"/>
      <c r="B5" s="5" t="s">
        <v>14</v>
      </c>
      <c r="C5" s="29" t="s">
        <v>262</v>
      </c>
      <c r="E5" s="2"/>
      <c r="F5" s="30"/>
      <c r="G5" s="6" t="str">
        <f aca="false">IF(F5&lt;&gt;0,F5*G$2/(100+G$2)," ")</f>
        <v> </v>
      </c>
      <c r="H5" s="6" t="n">
        <v>1200</v>
      </c>
      <c r="J5" s="6"/>
      <c r="K5" s="6"/>
      <c r="L5" s="7" t="str">
        <f aca="false">IF(F5&lt;&gt;0,F5-K5," ")</f>
        <v> </v>
      </c>
      <c r="M5" s="8" t="str">
        <f aca="false">IF((F5-K5)&lt;&gt;0,M$1-A5," ")</f>
        <v> </v>
      </c>
    </row>
    <row r="6" customFormat="false" ht="12" hidden="false" customHeight="false" outlineLevel="0" collapsed="false">
      <c r="A6" s="28"/>
      <c r="B6" s="2" t="s">
        <v>16</v>
      </c>
      <c r="C6" s="3" t="s">
        <v>263</v>
      </c>
      <c r="E6" s="2"/>
      <c r="G6" s="6" t="str">
        <f aca="false">IF(F6&lt;&gt;0,F6*G$2/(100+G$2)," ")</f>
        <v> </v>
      </c>
      <c r="H6" s="6" t="n">
        <v>300</v>
      </c>
      <c r="L6" s="7" t="str">
        <f aca="false">IF(F6&lt;&gt;0,F6-K6," ")</f>
        <v> </v>
      </c>
      <c r="M6" s="8" t="str">
        <f aca="false">IF((F6-K6)&lt;&gt;0,M$1-A6," ")</f>
        <v> </v>
      </c>
    </row>
    <row r="7" customFormat="false" ht="12" hidden="false" customHeight="false" outlineLevel="0" collapsed="false">
      <c r="A7" s="28"/>
      <c r="B7" s="2" t="s">
        <v>135</v>
      </c>
      <c r="C7" s="3" t="s">
        <v>264</v>
      </c>
      <c r="E7" s="2"/>
      <c r="G7" s="6" t="str">
        <f aca="false">IF(F7&lt;&gt;0,F7*G$2/(100+G$2)," ")</f>
        <v> </v>
      </c>
      <c r="H7" s="6" t="n">
        <v>60</v>
      </c>
      <c r="L7" s="7" t="str">
        <f aca="false">IF(F7&lt;&gt;0,F7-K7," ")</f>
        <v> </v>
      </c>
      <c r="M7" s="8" t="str">
        <f aca="false">IF((F7-K7)&lt;&gt;0,M$1-A7," ")</f>
        <v> </v>
      </c>
    </row>
    <row r="8" customFormat="false" ht="12" hidden="false" customHeight="false" outlineLevel="0" collapsed="false">
      <c r="A8" s="28"/>
      <c r="B8" s="2" t="s">
        <v>20</v>
      </c>
      <c r="C8" s="3" t="s">
        <v>265</v>
      </c>
      <c r="E8" s="2"/>
      <c r="G8" s="6" t="str">
        <f aca="false">IF(F8&lt;&gt;0,F8*G$2/(100+G$2)," ")</f>
        <v> </v>
      </c>
      <c r="H8" s="6" t="n">
        <v>150</v>
      </c>
      <c r="L8" s="7" t="str">
        <f aca="false">IF(F8&lt;&gt;0,F8-K8," ")</f>
        <v> </v>
      </c>
      <c r="M8" s="8" t="str">
        <f aca="false">IF((F8-K8)&lt;&gt;0,M$1-A8," ")</f>
        <v> </v>
      </c>
    </row>
    <row r="9" customFormat="false" ht="12" hidden="false" customHeight="false" outlineLevel="0" collapsed="false">
      <c r="A9" s="28"/>
      <c r="E9" s="2"/>
      <c r="G9" s="6" t="str">
        <f aca="false">IF(F9&lt;&gt;0,F9*G$2/(100+G$2)," ")</f>
        <v> </v>
      </c>
      <c r="L9" s="7" t="str">
        <f aca="false">IF(F9&lt;&gt;0,F9-K9," ")</f>
        <v> </v>
      </c>
      <c r="M9" s="8" t="str">
        <f aca="false">IF((F9-K9)&lt;&gt;0,M$1-A9," ")</f>
        <v> </v>
      </c>
    </row>
    <row r="10" customFormat="false" ht="12" hidden="false" customHeight="false" outlineLevel="0" collapsed="false">
      <c r="A10" s="28"/>
      <c r="E10" s="2"/>
      <c r="G10" s="6" t="str">
        <f aca="false">IF(F10&lt;&gt;0,F10*G$2/(100+G$2)," ")</f>
        <v> </v>
      </c>
      <c r="L10" s="7" t="str">
        <f aca="false">IF(F10&lt;&gt;0,F10-K10," ")</f>
        <v> </v>
      </c>
      <c r="M10" s="8" t="str">
        <f aca="false">IF((F10-K10)&lt;&gt;0,M$1-A10," ")</f>
        <v> </v>
      </c>
    </row>
    <row r="11" customFormat="false" ht="12" hidden="false" customHeight="false" outlineLevel="0" collapsed="false">
      <c r="A11" s="28"/>
      <c r="E11" s="2"/>
      <c r="G11" s="6" t="str">
        <f aca="false">IF(F11&lt;&gt;0,F11*G$2/(100+G$2)," ")</f>
        <v> </v>
      </c>
      <c r="L11" s="7" t="str">
        <f aca="false">IF(F11&lt;&gt;0,F11-K11," ")</f>
        <v> </v>
      </c>
      <c r="M11" s="8" t="str">
        <f aca="false">IF((F11-K11)&lt;&gt;0,M$1-A11," ")</f>
        <v> </v>
      </c>
    </row>
    <row r="12" customFormat="false" ht="12" hidden="false" customHeight="false" outlineLevel="0" collapsed="false">
      <c r="A12" s="28"/>
      <c r="E12" s="2"/>
      <c r="G12" s="6" t="str">
        <f aca="false">IF(F12&lt;&gt;0,F12*G$2/(100+G$2)," ")</f>
        <v> </v>
      </c>
      <c r="L12" s="7" t="str">
        <f aca="false">IF(F12&lt;&gt;0,F12-K12," ")</f>
        <v> </v>
      </c>
      <c r="M12" s="8" t="str">
        <f aca="false">IF((F12-K12)&lt;&gt;0,M$1-A12," ")</f>
        <v> </v>
      </c>
    </row>
    <row r="13" customFormat="false" ht="12" hidden="false" customHeight="false" outlineLevel="0" collapsed="false">
      <c r="A13" s="28"/>
      <c r="E13" s="2"/>
      <c r="G13" s="6" t="str">
        <f aca="false">IF(F13&lt;&gt;0,F13*G$2/(100+G$2)," ")</f>
        <v> </v>
      </c>
      <c r="L13" s="7" t="str">
        <f aca="false">IF(F13&lt;&gt;0,F13-K13," ")</f>
        <v> </v>
      </c>
      <c r="M13" s="8" t="str">
        <f aca="false">IF((F13-K13)&lt;&gt;0,M$1-A13," ")</f>
        <v> </v>
      </c>
    </row>
    <row r="14" customFormat="false" ht="12" hidden="false" customHeight="false" outlineLevel="0" collapsed="false">
      <c r="A14" s="28"/>
      <c r="E14" s="2"/>
      <c r="G14" s="6" t="str">
        <f aca="false">IF(F14&lt;&gt;0,F14*G$2/(100+G$2)," ")</f>
        <v> </v>
      </c>
      <c r="L14" s="7" t="str">
        <f aca="false">IF(F14&lt;&gt;0,F14-K14," ")</f>
        <v> </v>
      </c>
      <c r="M14" s="8" t="str">
        <f aca="false">IF((F14-K14)&lt;&gt;0,M$1-A14," ")</f>
        <v> </v>
      </c>
    </row>
    <row r="15" customFormat="false" ht="12" hidden="false" customHeight="false" outlineLevel="0" collapsed="false">
      <c r="A15" s="28"/>
      <c r="E15" s="2"/>
      <c r="G15" s="6" t="str">
        <f aca="false">IF(F15&lt;&gt;0,F15*G$2/(100+G$2)," ")</f>
        <v> </v>
      </c>
      <c r="L15" s="7" t="str">
        <f aca="false">IF(F15&lt;&gt;0,F15-K15," ")</f>
        <v> </v>
      </c>
      <c r="M15" s="8" t="str">
        <f aca="false">IF((F15-K15)&lt;&gt;0,M$1-A15," ")</f>
        <v> </v>
      </c>
    </row>
    <row r="16" customFormat="false" ht="12" hidden="false" customHeight="false" outlineLevel="0" collapsed="false">
      <c r="A16" s="28"/>
      <c r="E16" s="2"/>
      <c r="G16" s="6" t="str">
        <f aca="false">IF(F16&lt;&gt;0,F16*G$2/(100+G$2)," ")</f>
        <v> </v>
      </c>
      <c r="L16" s="7" t="str">
        <f aca="false">IF(F16&lt;&gt;0,F16-K16," ")</f>
        <v> </v>
      </c>
      <c r="M16" s="8" t="str">
        <f aca="false">IF((F16-K16)&lt;&gt;0,M$1-A16," ")</f>
        <v> </v>
      </c>
    </row>
    <row r="17" customFormat="false" ht="12" hidden="false" customHeight="false" outlineLevel="0" collapsed="false">
      <c r="A17" s="28"/>
      <c r="E17" s="2"/>
      <c r="G17" s="6" t="str">
        <f aca="false">IF(F17&lt;&gt;0,F17*G$2/(100+G$2)," ")</f>
        <v> </v>
      </c>
      <c r="L17" s="7" t="str">
        <f aca="false">IF(F17&lt;&gt;0,F17-K17," ")</f>
        <v> </v>
      </c>
      <c r="M17" s="8" t="str">
        <f aca="false">IF((F17-K17)&lt;&gt;0,M$1-A17," ")</f>
        <v> </v>
      </c>
    </row>
    <row r="18" customFormat="false" ht="12" hidden="false" customHeight="false" outlineLevel="0" collapsed="false">
      <c r="A18" s="28"/>
      <c r="E18" s="2"/>
      <c r="G18" s="6" t="str">
        <f aca="false">IF(F18&lt;&gt;0,F18*G$2/(100+G$2)," ")</f>
        <v> </v>
      </c>
      <c r="L18" s="7" t="str">
        <f aca="false">IF(F18&lt;&gt;0,F18-K18," ")</f>
        <v> </v>
      </c>
      <c r="M18" s="8" t="str">
        <f aca="false">IF((F18-K18)&lt;&gt;0,M$1-A18," ")</f>
        <v> </v>
      </c>
    </row>
    <row r="19" customFormat="false" ht="12" hidden="false" customHeight="false" outlineLevel="0" collapsed="false">
      <c r="A19" s="28"/>
      <c r="E19" s="2"/>
      <c r="G19" s="6" t="str">
        <f aca="false">IF(F19&lt;&gt;0,F19*G$2/(100+G$2)," ")</f>
        <v> </v>
      </c>
      <c r="L19" s="7" t="str">
        <f aca="false">IF(F19&lt;&gt;0,F19-K19," ")</f>
        <v> </v>
      </c>
      <c r="M19" s="8" t="str">
        <f aca="false">IF((F19-K19)&lt;&gt;0,M$1-A19," ")</f>
        <v> </v>
      </c>
    </row>
    <row r="20" customFormat="false" ht="12" hidden="false" customHeight="false" outlineLevel="0" collapsed="false">
      <c r="A20" s="28"/>
      <c r="E20" s="2"/>
      <c r="G20" s="6" t="str">
        <f aca="false">IF(F20&lt;&gt;0,F20*G$2/(100+G$2)," ")</f>
        <v> </v>
      </c>
      <c r="L20" s="7" t="str">
        <f aca="false">IF(F20&lt;&gt;0,F20-K20," ")</f>
        <v> </v>
      </c>
      <c r="M20" s="8" t="str">
        <f aca="false">IF((F20-K20)&lt;&gt;0,M$1-A20," ")</f>
        <v> </v>
      </c>
    </row>
    <row r="21" customFormat="false" ht="12" hidden="false" customHeight="false" outlineLevel="0" collapsed="false">
      <c r="A21" s="28"/>
      <c r="E21" s="2"/>
      <c r="G21" s="6" t="str">
        <f aca="false">IF(F21&lt;&gt;0,F21*G$2/(100+G$2)," ")</f>
        <v> </v>
      </c>
      <c r="L21" s="7" t="str">
        <f aca="false">IF(F21&lt;&gt;0,F21-K21," ")</f>
        <v> </v>
      </c>
      <c r="M21" s="8" t="str">
        <f aca="false">IF((F21-K21)&lt;&gt;0,M$1-A21," ")</f>
        <v> </v>
      </c>
    </row>
    <row r="22" customFormat="false" ht="12" hidden="false" customHeight="false" outlineLevel="0" collapsed="false">
      <c r="A22" s="28"/>
      <c r="D22" s="2"/>
      <c r="E22" s="2"/>
      <c r="G22" s="6" t="str">
        <f aca="false">IF(F22&lt;&gt;0,F22*G$2/(100+G$2)," ")</f>
        <v> </v>
      </c>
      <c r="L22" s="7" t="str">
        <f aca="false">IF(F22&lt;&gt;0,F22-K22," ")</f>
        <v> </v>
      </c>
      <c r="M22" s="8" t="str">
        <f aca="false">IF((F22-K22)&lt;&gt;0,M$1-A22," ")</f>
        <v> </v>
      </c>
    </row>
    <row r="23" customFormat="false" ht="12" hidden="false" customHeight="false" outlineLevel="0" collapsed="false">
      <c r="A23" s="28"/>
      <c r="D23" s="31"/>
      <c r="E23" s="2"/>
      <c r="G23" s="6" t="str">
        <f aca="false">IF(F23&lt;&gt;0,F23*G$2/(100+G$2)," ")</f>
        <v> </v>
      </c>
      <c r="L23" s="7" t="str">
        <f aca="false">IF(F23&lt;&gt;0,F23-K23," ")</f>
        <v> </v>
      </c>
      <c r="M23" s="8" t="str">
        <f aca="false">IF((F23-K23)&lt;&gt;0,M$1-A23," ")</f>
        <v> </v>
      </c>
    </row>
    <row r="24" customFormat="false" ht="12" hidden="false" customHeight="false" outlineLevel="0" collapsed="false">
      <c r="A24" s="28"/>
      <c r="E24" s="2"/>
      <c r="G24" s="6" t="str">
        <f aca="false">IF(F24&lt;&gt;0,F24*G$2/(100+G$2)," ")</f>
        <v> </v>
      </c>
      <c r="L24" s="7" t="str">
        <f aca="false">IF(F24&lt;&gt;0,F24-K24," ")</f>
        <v> </v>
      </c>
      <c r="M24" s="8" t="str">
        <f aca="false">IF((F24-K24)&lt;&gt;0,M$1-A24," ")</f>
        <v> </v>
      </c>
    </row>
    <row r="25" customFormat="false" ht="12" hidden="false" customHeight="false" outlineLevel="0" collapsed="false">
      <c r="A25" s="28"/>
      <c r="E25" s="2"/>
      <c r="G25" s="6" t="str">
        <f aca="false">IF(F25&lt;&gt;0,F25*G$2/(100+G$2)," ")</f>
        <v> </v>
      </c>
      <c r="L25" s="7" t="str">
        <f aca="false">IF(F25&lt;&gt;0,F25-K25," ")</f>
        <v> </v>
      </c>
      <c r="M25" s="8" t="str">
        <f aca="false">IF((F25-K25)&lt;&gt;0,M$1-A25," ")</f>
        <v> </v>
      </c>
    </row>
    <row r="26" customFormat="false" ht="12" hidden="false" customHeight="false" outlineLevel="0" collapsed="false">
      <c r="A26" s="28"/>
      <c r="E26" s="2"/>
      <c r="G26" s="6" t="str">
        <f aca="false">IF(F26&lt;&gt;0,F26*G$2/(100+G$2)," ")</f>
        <v> </v>
      </c>
      <c r="L26" s="7" t="str">
        <f aca="false">IF(F26&lt;&gt;0,F26-K26," ")</f>
        <v> </v>
      </c>
      <c r="M26" s="8" t="str">
        <f aca="false">IF((F26-K26)&lt;&gt;0,M$1-A26," ")</f>
        <v> </v>
      </c>
    </row>
    <row r="27" customFormat="false" ht="12" hidden="false" customHeight="false" outlineLevel="0" collapsed="false">
      <c r="A27" s="28"/>
      <c r="E27" s="2"/>
      <c r="G27" s="6" t="str">
        <f aca="false">IF(F27&lt;&gt;0,F27*G$2/(100+G$2)," ")</f>
        <v> </v>
      </c>
      <c r="L27" s="7" t="str">
        <f aca="false">IF(F27&lt;&gt;0,F27-K27," ")</f>
        <v> </v>
      </c>
      <c r="M27" s="8" t="str">
        <f aca="false">IF((F27-K27)&lt;&gt;0,M$1-A27," ")</f>
        <v> </v>
      </c>
    </row>
    <row r="28" customFormat="false" ht="12" hidden="false" customHeight="false" outlineLevel="0" collapsed="false">
      <c r="A28" s="28"/>
      <c r="E28" s="2"/>
      <c r="G28" s="6" t="str">
        <f aca="false">IF(F28&lt;&gt;0,F28*G$2/(100+G$2)," ")</f>
        <v> </v>
      </c>
      <c r="L28" s="7" t="str">
        <f aca="false">IF(F28&lt;&gt;0,F28-K28," ")</f>
        <v> </v>
      </c>
      <c r="M28" s="8" t="str">
        <f aca="false">IF((F28-K28)&lt;&gt;0,M$1-A28," ")</f>
        <v> </v>
      </c>
    </row>
    <row r="29" customFormat="false" ht="12" hidden="false" customHeight="false" outlineLevel="0" collapsed="false">
      <c r="A29" s="28"/>
      <c r="E29" s="2"/>
      <c r="G29" s="6" t="str">
        <f aca="false">IF(F29&lt;&gt;0,F29*G$2/(100+G$2)," ")</f>
        <v> </v>
      </c>
      <c r="L29" s="7" t="str">
        <f aca="false">IF(F29&lt;&gt;0,F29-K29," ")</f>
        <v> </v>
      </c>
      <c r="M29" s="8" t="str">
        <f aca="false">IF((F29-K29)&lt;&gt;0,M$1-A29," ")</f>
        <v> </v>
      </c>
    </row>
    <row r="30" customFormat="false" ht="12" hidden="false" customHeight="false" outlineLevel="0" collapsed="false">
      <c r="A30" s="28"/>
      <c r="E30" s="2"/>
      <c r="G30" s="6" t="str">
        <f aca="false">IF(F30&lt;&gt;0,F30*G$2/(100+G$2)," ")</f>
        <v> </v>
      </c>
      <c r="L30" s="7" t="str">
        <f aca="false">IF(F30&lt;&gt;0,F30-K30," ")</f>
        <v> </v>
      </c>
      <c r="M30" s="8" t="str">
        <f aca="false">IF((F30-K30)&lt;&gt;0,M$1-A30," ")</f>
        <v> </v>
      </c>
    </row>
    <row r="31" customFormat="false" ht="12" hidden="false" customHeight="false" outlineLevel="0" collapsed="false">
      <c r="A31" s="28"/>
      <c r="E31" s="2"/>
      <c r="G31" s="6" t="str">
        <f aca="false">IF(F31&lt;&gt;0,F31*G$2/(100+G$2)," ")</f>
        <v> </v>
      </c>
      <c r="L31" s="7" t="str">
        <f aca="false">IF(F31&lt;&gt;0,F31-K31," ")</f>
        <v> </v>
      </c>
      <c r="M31" s="8" t="str">
        <f aca="false">IF((F31-K31)&lt;&gt;0,M$1-A31," ")</f>
        <v> </v>
      </c>
    </row>
    <row r="32" customFormat="false" ht="12" hidden="false" customHeight="false" outlineLevel="0" collapsed="false">
      <c r="A32" s="28"/>
      <c r="E32" s="2"/>
      <c r="G32" s="6" t="str">
        <f aca="false">IF(F32&lt;&gt;0,F32*G$2/(100+G$2)," ")</f>
        <v> </v>
      </c>
      <c r="L32" s="7" t="str">
        <f aca="false">IF(F32&lt;&gt;0,F32-K32," ")</f>
        <v> </v>
      </c>
      <c r="M32" s="8" t="str">
        <f aca="false">IF((F32-K32)&lt;&gt;0,M$1-A32," ")</f>
        <v> </v>
      </c>
    </row>
    <row r="33" customFormat="false" ht="12" hidden="false" customHeight="false" outlineLevel="0" collapsed="false">
      <c r="A33" s="28"/>
      <c r="E33" s="2"/>
      <c r="G33" s="6" t="str">
        <f aca="false">IF(F33&lt;&gt;0,F33*G$2/(100+G$2)," ")</f>
        <v> </v>
      </c>
      <c r="L33" s="7" t="str">
        <f aca="false">IF(F33&lt;&gt;0,F33-K33," ")</f>
        <v> </v>
      </c>
      <c r="M33" s="8" t="str">
        <f aca="false">IF((F33-K33)&lt;&gt;0,M$1-A33," ")</f>
        <v> </v>
      </c>
    </row>
    <row r="34" customFormat="false" ht="12" hidden="false" customHeight="false" outlineLevel="0" collapsed="false">
      <c r="A34" s="28"/>
      <c r="E34" s="2"/>
      <c r="G34" s="6" t="str">
        <f aca="false">IF(F34&lt;&gt;0,F34*G$2/(100+G$2)," ")</f>
        <v> </v>
      </c>
      <c r="L34" s="7" t="str">
        <f aca="false">IF(F34&lt;&gt;0,F34-K34," ")</f>
        <v> </v>
      </c>
      <c r="M34" s="8" t="str">
        <f aca="false">IF((F34-K34)&lt;&gt;0,M$1-A34," ")</f>
        <v> </v>
      </c>
    </row>
    <row r="35" customFormat="false" ht="12" hidden="false" customHeight="false" outlineLevel="0" collapsed="false">
      <c r="A35" s="28"/>
      <c r="E35" s="2"/>
      <c r="G35" s="6" t="str">
        <f aca="false">IF(F35&lt;&gt;0,F35*G$2/(100+G$2)," ")</f>
        <v> </v>
      </c>
      <c r="L35" s="7" t="str">
        <f aca="false">IF(F35&lt;&gt;0,F35-K35," ")</f>
        <v> </v>
      </c>
      <c r="M35" s="8" t="str">
        <f aca="false">IF((F35-K35)&lt;&gt;0,M$1-A35," ")</f>
        <v> </v>
      </c>
    </row>
    <row r="36" customFormat="false" ht="12" hidden="false" customHeight="false" outlineLevel="0" collapsed="false">
      <c r="A36" s="28"/>
      <c r="E36" s="2"/>
      <c r="G36" s="6" t="str">
        <f aca="false">IF(F36&lt;&gt;0,F36*G$2/(100+G$2)," ")</f>
        <v> </v>
      </c>
      <c r="L36" s="7" t="str">
        <f aca="false">IF(F36&lt;&gt;0,F36-K36," ")</f>
        <v> </v>
      </c>
      <c r="M36" s="8" t="str">
        <f aca="false">IF((F36-K36)&lt;&gt;0,M$1-A36," ")</f>
        <v> </v>
      </c>
    </row>
    <row r="37" customFormat="false" ht="12" hidden="false" customHeight="false" outlineLevel="0" collapsed="false">
      <c r="A37" s="28"/>
      <c r="E37" s="2"/>
      <c r="G37" s="6" t="str">
        <f aca="false">IF(F37&lt;&gt;0,F37*G$2/(100+G$2)," ")</f>
        <v> </v>
      </c>
      <c r="L37" s="7" t="str">
        <f aca="false">IF(F37&lt;&gt;0,F37-K37," ")</f>
        <v> </v>
      </c>
      <c r="M37" s="8" t="str">
        <f aca="false">IF((F37-K37)&lt;&gt;0,M$1-A37," ")</f>
        <v> </v>
      </c>
    </row>
    <row r="38" customFormat="false" ht="12" hidden="false" customHeight="false" outlineLevel="0" collapsed="false">
      <c r="A38" s="28"/>
      <c r="E38" s="2"/>
      <c r="G38" s="6" t="str">
        <f aca="false">IF(F38&lt;&gt;0,F38*G$2/(100+G$2)," ")</f>
        <v> </v>
      </c>
      <c r="L38" s="7" t="str">
        <f aca="false">IF(F38&lt;&gt;0,F38-K38," ")</f>
        <v> </v>
      </c>
      <c r="M38" s="8" t="str">
        <f aca="false">IF((F38-K38)&lt;&gt;0,M$1-A38," ")</f>
        <v> </v>
      </c>
    </row>
    <row r="39" customFormat="false" ht="12" hidden="false" customHeight="false" outlineLevel="0" collapsed="false">
      <c r="A39" s="28"/>
      <c r="E39" s="2"/>
      <c r="G39" s="6" t="str">
        <f aca="false">IF(F39&lt;&gt;0,F39*G$2/(100+G$2)," ")</f>
        <v> </v>
      </c>
      <c r="L39" s="7" t="str">
        <f aca="false">IF(F39&lt;&gt;0,F39-K39," ")</f>
        <v> </v>
      </c>
      <c r="M39" s="8" t="str">
        <f aca="false">IF((F39-K39)&lt;&gt;0,M$1-A39," ")</f>
        <v> </v>
      </c>
    </row>
    <row r="40" customFormat="false" ht="12" hidden="false" customHeight="false" outlineLevel="0" collapsed="false">
      <c r="A40" s="28"/>
      <c r="E40" s="2"/>
      <c r="G40" s="6" t="str">
        <f aca="false">IF(F40&lt;&gt;0,F40*G$2/(100+G$2)," ")</f>
        <v> </v>
      </c>
      <c r="L40" s="7" t="str">
        <f aca="false">IF(F40&lt;&gt;0,F40-K40," ")</f>
        <v> </v>
      </c>
      <c r="M40" s="8" t="str">
        <f aca="false">IF((F40-K40)&lt;&gt;0,M$1-A40," ")</f>
        <v> </v>
      </c>
    </row>
    <row r="41" customFormat="false" ht="12" hidden="false" customHeight="false" outlineLevel="0" collapsed="false">
      <c r="A41" s="28"/>
      <c r="E41" s="2"/>
      <c r="G41" s="6" t="str">
        <f aca="false">IF(F41&lt;&gt;0,F41*G$2/(100+G$2)," ")</f>
        <v> </v>
      </c>
      <c r="L41" s="7" t="str">
        <f aca="false">IF(F41&lt;&gt;0,F41-K41," ")</f>
        <v> </v>
      </c>
      <c r="M41" s="8" t="str">
        <f aca="false">IF((F41-K41)&lt;&gt;0,M$1-A41," ")</f>
        <v> </v>
      </c>
    </row>
    <row r="42" customFormat="false" ht="12" hidden="false" customHeight="false" outlineLevel="0" collapsed="false">
      <c r="A42" s="28"/>
      <c r="E42" s="2"/>
      <c r="G42" s="6" t="str">
        <f aca="false">IF(F42&lt;&gt;0,F42*G$2/(100+G$2)," ")</f>
        <v> </v>
      </c>
      <c r="L42" s="7" t="str">
        <f aca="false">IF(F42&lt;&gt;0,F42-K42," ")</f>
        <v> </v>
      </c>
      <c r="M42" s="8" t="str">
        <f aca="false">IF((F42-K42)&lt;&gt;0,M$1-A42," ")</f>
        <v> </v>
      </c>
    </row>
    <row r="43" customFormat="false" ht="12" hidden="false" customHeight="false" outlineLevel="0" collapsed="false">
      <c r="A43" s="28"/>
      <c r="E43" s="2"/>
      <c r="G43" s="6" t="str">
        <f aca="false">IF(F43&lt;&gt;0,F43*G$2/(100+G$2)," ")</f>
        <v> </v>
      </c>
      <c r="L43" s="7" t="str">
        <f aca="false">IF(F43&lt;&gt;0,F43-K43," ")</f>
        <v> </v>
      </c>
      <c r="M43" s="8" t="str">
        <f aca="false">IF((F43-K43)&lt;&gt;0,M$1-A43," ")</f>
        <v> </v>
      </c>
    </row>
    <row r="44" customFormat="false" ht="12" hidden="false" customHeight="false" outlineLevel="0" collapsed="false">
      <c r="A44" s="28"/>
      <c r="E44" s="2"/>
      <c r="G44" s="6" t="str">
        <f aca="false">IF(F44&lt;&gt;0,F44*G$2/(100+G$2)," ")</f>
        <v> </v>
      </c>
      <c r="L44" s="7" t="str">
        <f aca="false">IF(F44&lt;&gt;0,F44-K44," ")</f>
        <v> </v>
      </c>
      <c r="M44" s="8" t="str">
        <f aca="false">IF((F44-K44)&lt;&gt;0,M$1-A44," ")</f>
        <v> </v>
      </c>
    </row>
    <row r="45" customFormat="false" ht="12" hidden="false" customHeight="false" outlineLevel="0" collapsed="false">
      <c r="A45" s="28"/>
      <c r="E45" s="2"/>
      <c r="G45" s="6" t="str">
        <f aca="false">IF(F45&lt;&gt;0,F45*G$2/(100+G$2)," ")</f>
        <v> </v>
      </c>
      <c r="L45" s="7" t="str">
        <f aca="false">IF(F45&lt;&gt;0,F45-K45," ")</f>
        <v> </v>
      </c>
      <c r="M45" s="8" t="str">
        <f aca="false">IF((F45-K45)&lt;&gt;0,M$1-A45," ")</f>
        <v> </v>
      </c>
    </row>
    <row r="46" customFormat="false" ht="12" hidden="false" customHeight="false" outlineLevel="0" collapsed="false">
      <c r="A46" s="28"/>
      <c r="E46" s="2"/>
      <c r="G46" s="6" t="str">
        <f aca="false">IF(F46&lt;&gt;0,F46*G$2/(100+G$2)," ")</f>
        <v> </v>
      </c>
      <c r="L46" s="7" t="str">
        <f aca="false">IF(F46&lt;&gt;0,F46-K46," ")</f>
        <v> </v>
      </c>
      <c r="M46" s="8" t="str">
        <f aca="false">IF((F46-K46)&lt;&gt;0,M$1-A46," ")</f>
        <v> </v>
      </c>
    </row>
    <row r="47" customFormat="false" ht="12" hidden="false" customHeight="false" outlineLevel="0" collapsed="false">
      <c r="A47" s="28"/>
      <c r="E47" s="2"/>
      <c r="G47" s="6" t="str">
        <f aca="false">IF(F47&lt;&gt;0,F47*G$2/(100+G$2)," ")</f>
        <v> </v>
      </c>
      <c r="L47" s="7" t="str">
        <f aca="false">IF(F47&lt;&gt;0,F47-K47," ")</f>
        <v> </v>
      </c>
      <c r="M47" s="8" t="str">
        <f aca="false">IF((F47-K47)&lt;&gt;0,M$1-A47," ")</f>
        <v> </v>
      </c>
    </row>
    <row r="48" customFormat="false" ht="12" hidden="false" customHeight="false" outlineLevel="0" collapsed="false">
      <c r="A48" s="28"/>
      <c r="E48" s="2"/>
      <c r="G48" s="6" t="str">
        <f aca="false">IF(F48&lt;&gt;0,F48*G$2/(100+G$2)," ")</f>
        <v> </v>
      </c>
      <c r="L48" s="7" t="str">
        <f aca="false">IF(F48&lt;&gt;0,F48-K48," ")</f>
        <v> </v>
      </c>
      <c r="M48" s="8" t="str">
        <f aca="false">IF((F48-K48)&lt;&gt;0,M$1-A48," ")</f>
        <v> </v>
      </c>
    </row>
    <row r="49" customFormat="false" ht="12" hidden="false" customHeight="false" outlineLevel="0" collapsed="false">
      <c r="A49" s="28"/>
      <c r="E49" s="2"/>
      <c r="G49" s="6" t="str">
        <f aca="false">IF(F49&lt;&gt;0,F49*G$2/(100+G$2)," ")</f>
        <v> </v>
      </c>
      <c r="L49" s="7" t="str">
        <f aca="false">IF(F49&lt;&gt;0,F49-K49," ")</f>
        <v> </v>
      </c>
      <c r="M49" s="8" t="str">
        <f aca="false">IF((F49-K49)&lt;&gt;0,M$1-A49," ")</f>
        <v> </v>
      </c>
    </row>
    <row r="50" customFormat="false" ht="12" hidden="false" customHeight="false" outlineLevel="0" collapsed="false">
      <c r="A50" s="28"/>
      <c r="E50" s="2"/>
      <c r="G50" s="6" t="str">
        <f aca="false">IF(F50&lt;&gt;0,F50*G$2/(100+G$2)," ")</f>
        <v> </v>
      </c>
      <c r="L50" s="7" t="str">
        <f aca="false">IF(F50&lt;&gt;0,F50-K50," ")</f>
        <v> </v>
      </c>
      <c r="M50" s="8" t="str">
        <f aca="false">IF((F50-K50)&lt;&gt;0,M$1-A50," ")</f>
        <v> </v>
      </c>
    </row>
    <row r="51" customFormat="false" ht="12" hidden="false" customHeight="false" outlineLevel="0" collapsed="false">
      <c r="A51" s="28"/>
      <c r="E51" s="2"/>
      <c r="G51" s="6" t="str">
        <f aca="false">IF(F51&lt;&gt;0,F51*G$2/(100+G$2)," ")</f>
        <v> </v>
      </c>
      <c r="L51" s="7" t="str">
        <f aca="false">IF(F51&lt;&gt;0,F51-K51," ")</f>
        <v> </v>
      </c>
      <c r="M51" s="8" t="str">
        <f aca="false">IF((F51-K51)&lt;&gt;0,M$1-A51," ")</f>
        <v> </v>
      </c>
    </row>
    <row r="52" customFormat="false" ht="12" hidden="false" customHeight="false" outlineLevel="0" collapsed="false">
      <c r="A52" s="28"/>
      <c r="E52" s="2"/>
      <c r="G52" s="6" t="str">
        <f aca="false">IF(F52&lt;&gt;0,F52*G$2/(100+G$2)," ")</f>
        <v> </v>
      </c>
      <c r="L52" s="7" t="str">
        <f aca="false">IF(F52&lt;&gt;0,F52-K52," ")</f>
        <v> </v>
      </c>
      <c r="M52" s="8" t="str">
        <f aca="false">IF((F52-K52)&lt;&gt;0,M$1-A52," ")</f>
        <v> </v>
      </c>
    </row>
    <row r="53" customFormat="false" ht="12" hidden="false" customHeight="false" outlineLevel="0" collapsed="false">
      <c r="A53" s="28"/>
      <c r="E53" s="2"/>
      <c r="G53" s="6" t="str">
        <f aca="false">IF(F53&lt;&gt;0,F53*G$2/(100+G$2)," ")</f>
        <v> </v>
      </c>
      <c r="L53" s="7" t="str">
        <f aca="false">IF(F53&lt;&gt;0,F53-K53," ")</f>
        <v> </v>
      </c>
      <c r="M53" s="8" t="str">
        <f aca="false">IF((F53-K53)&lt;&gt;0,M$1-A53," ")</f>
        <v> </v>
      </c>
    </row>
    <row r="54" customFormat="false" ht="12" hidden="false" customHeight="false" outlineLevel="0" collapsed="false">
      <c r="A54" s="28"/>
      <c r="E54" s="2"/>
      <c r="G54" s="6" t="str">
        <f aca="false">IF(F54&lt;&gt;0,F54*G$2/(100+G$2)," ")</f>
        <v> </v>
      </c>
      <c r="L54" s="7" t="str">
        <f aca="false">IF(F54&lt;&gt;0,F54-K54," ")</f>
        <v> </v>
      </c>
      <c r="M54" s="8" t="str">
        <f aca="false">IF((F54-K54)&lt;&gt;0,M$1-A54," ")</f>
        <v> </v>
      </c>
    </row>
    <row r="55" customFormat="false" ht="12" hidden="false" customHeight="false" outlineLevel="0" collapsed="false">
      <c r="A55" s="28"/>
      <c r="E55" s="2"/>
      <c r="G55" s="6" t="str">
        <f aca="false">IF(F55&lt;&gt;0,F55*G$2/(100+G$2)," ")</f>
        <v> </v>
      </c>
      <c r="L55" s="7" t="str">
        <f aca="false">IF(F55&lt;&gt;0,F55-K55," ")</f>
        <v> </v>
      </c>
      <c r="M55" s="8" t="str">
        <f aca="false">IF((F55-K55)&lt;&gt;0,M$1-A55," ")</f>
        <v> </v>
      </c>
    </row>
    <row r="56" customFormat="false" ht="12" hidden="false" customHeight="false" outlineLevel="0" collapsed="false">
      <c r="A56" s="28"/>
      <c r="E56" s="2"/>
      <c r="G56" s="6" t="str">
        <f aca="false">IF(F56&lt;&gt;0,F56*G$2/(100+G$2)," ")</f>
        <v> </v>
      </c>
      <c r="L56" s="7" t="str">
        <f aca="false">IF(F56&lt;&gt;0,F56-K56," ")</f>
        <v> </v>
      </c>
      <c r="M56" s="8" t="str">
        <f aca="false">IF((F56-K56)&lt;&gt;0,M$1-A56," ")</f>
        <v> </v>
      </c>
    </row>
    <row r="57" customFormat="false" ht="12" hidden="false" customHeight="false" outlineLevel="0" collapsed="false">
      <c r="A57" s="28"/>
      <c r="E57" s="2"/>
      <c r="G57" s="6" t="str">
        <f aca="false">IF(F57&lt;&gt;0,F57*G$2/(100+G$2)," ")</f>
        <v> </v>
      </c>
      <c r="L57" s="7" t="str">
        <f aca="false">IF(F57&lt;&gt;0,F57-K57," ")</f>
        <v> </v>
      </c>
      <c r="M57" s="8" t="str">
        <f aca="false">IF((F57-K57)&lt;&gt;0,M$1-A57," ")</f>
        <v> </v>
      </c>
    </row>
    <row r="58" customFormat="false" ht="12" hidden="false" customHeight="false" outlineLevel="0" collapsed="false">
      <c r="A58" s="28"/>
      <c r="E58" s="2"/>
      <c r="G58" s="6" t="str">
        <f aca="false">IF(F58&lt;&gt;0,F58*G$2/(100+G$2)," ")</f>
        <v> </v>
      </c>
      <c r="L58" s="7" t="str">
        <f aca="false">IF(F58&lt;&gt;0,F58-K58," ")</f>
        <v> </v>
      </c>
      <c r="M58" s="8" t="str">
        <f aca="false">IF((F58-K58)&lt;&gt;0,M$1-A58," ")</f>
        <v> </v>
      </c>
    </row>
    <row r="59" customFormat="false" ht="12" hidden="false" customHeight="false" outlineLevel="0" collapsed="false">
      <c r="A59" s="28"/>
      <c r="E59" s="2"/>
      <c r="G59" s="6" t="str">
        <f aca="false">IF(F59&lt;&gt;0,F59*G$2/(100+G$2)," ")</f>
        <v> </v>
      </c>
      <c r="L59" s="7" t="str">
        <f aca="false">IF(F59&lt;&gt;0,F59-K59," ")</f>
        <v> </v>
      </c>
      <c r="M59" s="8" t="str">
        <f aca="false">IF((F59-K59)&lt;&gt;0,M$1-A59," ")</f>
        <v> </v>
      </c>
    </row>
    <row r="60" customFormat="false" ht="12" hidden="false" customHeight="false" outlineLevel="0" collapsed="false">
      <c r="A60" s="28"/>
      <c r="E60" s="2"/>
      <c r="G60" s="6" t="str">
        <f aca="false">IF(F60&lt;&gt;0,F60*G$2/(100+G$2)," ")</f>
        <v> </v>
      </c>
      <c r="L60" s="7" t="str">
        <f aca="false">IF(F60&lt;&gt;0,F60-K60," ")</f>
        <v> </v>
      </c>
      <c r="M60" s="8" t="str">
        <f aca="false">IF((F60-K60)&lt;&gt;0,M$1-A60," ")</f>
        <v> </v>
      </c>
    </row>
    <row r="61" customFormat="false" ht="12" hidden="false" customHeight="false" outlineLevel="0" collapsed="false">
      <c r="A61" s="28"/>
      <c r="E61" s="2"/>
      <c r="G61" s="6" t="str">
        <f aca="false">IF(F61&lt;&gt;0,F61*G$2/(100+G$2)," ")</f>
        <v> </v>
      </c>
      <c r="L61" s="7" t="str">
        <f aca="false">IF(F61&lt;&gt;0,F61-K61," ")</f>
        <v> </v>
      </c>
      <c r="M61" s="8" t="str">
        <f aca="false">IF((F61-K61)&lt;&gt;0,M$1-A61," ")</f>
        <v> </v>
      </c>
    </row>
    <row r="62" customFormat="false" ht="12" hidden="false" customHeight="false" outlineLevel="0" collapsed="false">
      <c r="A62" s="28"/>
      <c r="E62" s="2"/>
      <c r="G62" s="6" t="str">
        <f aca="false">IF(F62&lt;&gt;0,F62*G$2/(100+G$2)," ")</f>
        <v> </v>
      </c>
      <c r="L62" s="7" t="str">
        <f aca="false">IF(F62&lt;&gt;0,F62-K62," ")</f>
        <v> </v>
      </c>
      <c r="M62" s="8" t="str">
        <f aca="false">IF((F62-K62)&lt;&gt;0,M$1-A62," ")</f>
        <v> </v>
      </c>
    </row>
    <row r="63" customFormat="false" ht="12" hidden="false" customHeight="false" outlineLevel="0" collapsed="false">
      <c r="A63" s="28"/>
      <c r="E63" s="2"/>
      <c r="G63" s="6" t="str">
        <f aca="false">IF(F63&lt;&gt;0,F63*G$2/(100+G$2)," ")</f>
        <v> </v>
      </c>
      <c r="L63" s="7" t="str">
        <f aca="false">IF(F63&lt;&gt;0,F63-K63," ")</f>
        <v> </v>
      </c>
      <c r="M63" s="8" t="str">
        <f aca="false">IF((F63-K63)&lt;&gt;0,M$1-A63," ")</f>
        <v> </v>
      </c>
    </row>
    <row r="64" customFormat="false" ht="12" hidden="false" customHeight="false" outlineLevel="0" collapsed="false">
      <c r="A64" s="28"/>
      <c r="E64" s="2"/>
      <c r="G64" s="6" t="str">
        <f aca="false">IF(F64&lt;&gt;0,F64*G$2/(100+G$2)," ")</f>
        <v> </v>
      </c>
      <c r="L64" s="7" t="str">
        <f aca="false">IF(F64&lt;&gt;0,F64-K64," ")</f>
        <v> </v>
      </c>
      <c r="M64" s="8" t="str">
        <f aca="false">IF((F64-K64)&lt;&gt;0,M$1-A64," ")</f>
        <v> </v>
      </c>
    </row>
    <row r="65" customFormat="false" ht="12" hidden="false" customHeight="false" outlineLevel="0" collapsed="false">
      <c r="A65" s="28"/>
      <c r="E65" s="2"/>
      <c r="G65" s="6" t="str">
        <f aca="false">IF(F65&lt;&gt;0,F65*G$2/(100+G$2)," ")</f>
        <v> </v>
      </c>
      <c r="L65" s="7" t="str">
        <f aca="false">IF(F65&lt;&gt;0,F65-K65," ")</f>
        <v> </v>
      </c>
      <c r="M65" s="8" t="str">
        <f aca="false">IF((F65-K65)&lt;&gt;0,M$1-A65," ")</f>
        <v> </v>
      </c>
    </row>
    <row r="66" customFormat="false" ht="12" hidden="false" customHeight="false" outlineLevel="0" collapsed="false">
      <c r="A66" s="28"/>
      <c r="E66" s="2"/>
      <c r="G66" s="6" t="str">
        <f aca="false">IF(F66&lt;&gt;0,F66*G$2/(100+G$2)," ")</f>
        <v> </v>
      </c>
      <c r="L66" s="7" t="str">
        <f aca="false">IF(F66&lt;&gt;0,F66-K66," ")</f>
        <v> </v>
      </c>
      <c r="M66" s="8" t="str">
        <f aca="false">IF((F66-K66)&lt;&gt;0,M$1-A66," ")</f>
        <v> </v>
      </c>
    </row>
    <row r="67" customFormat="false" ht="12" hidden="false" customHeight="false" outlineLevel="0" collapsed="false">
      <c r="A67" s="28"/>
      <c r="E67" s="2"/>
      <c r="G67" s="6" t="str">
        <f aca="false">IF(F67&lt;&gt;0,F67*G$2/(100+G$2)," ")</f>
        <v> </v>
      </c>
      <c r="L67" s="7" t="str">
        <f aca="false">IF(F67&lt;&gt;0,F67-K67," ")</f>
        <v> </v>
      </c>
      <c r="M67" s="8" t="str">
        <f aca="false">IF((F67-K67)&lt;&gt;0,M$1-A67," ")</f>
        <v> </v>
      </c>
    </row>
    <row r="68" customFormat="false" ht="12" hidden="false" customHeight="false" outlineLevel="0" collapsed="false">
      <c r="A68" s="28"/>
      <c r="E68" s="2"/>
      <c r="G68" s="6" t="str">
        <f aca="false">IF(F68&lt;&gt;0,F68*G$2/(100+G$2)," ")</f>
        <v> </v>
      </c>
      <c r="L68" s="7" t="str">
        <f aca="false">IF(F68&lt;&gt;0,F68-K68," ")</f>
        <v> </v>
      </c>
      <c r="M68" s="8" t="str">
        <f aca="false">IF((F68-K68)&lt;&gt;0,M$1-A68," ")</f>
        <v> </v>
      </c>
    </row>
    <row r="69" customFormat="false" ht="12" hidden="false" customHeight="false" outlineLevel="0" collapsed="false">
      <c r="A69" s="28"/>
      <c r="E69" s="2"/>
      <c r="G69" s="6" t="str">
        <f aca="false">IF(F69&lt;&gt;0,F69*G$2/(100+G$2)," ")</f>
        <v> </v>
      </c>
      <c r="L69" s="7" t="str">
        <f aca="false">IF(F69&lt;&gt;0,F69-K69," ")</f>
        <v> </v>
      </c>
      <c r="M69" s="8" t="str">
        <f aca="false">IF((F69-K69)&lt;&gt;0,M$1-A69," ")</f>
        <v> </v>
      </c>
    </row>
    <row r="70" customFormat="false" ht="12" hidden="false" customHeight="false" outlineLevel="0" collapsed="false">
      <c r="A70" s="28"/>
      <c r="E70" s="2"/>
      <c r="G70" s="6" t="str">
        <f aca="false">IF(F70&lt;&gt;0,F70*G$2/(100+G$2)," ")</f>
        <v> </v>
      </c>
      <c r="L70" s="7" t="str">
        <f aca="false">IF(F70&lt;&gt;0,F70-K70," ")</f>
        <v> </v>
      </c>
      <c r="M70" s="8" t="str">
        <f aca="false">IF((F70-K70)&lt;&gt;0,M$1-A70," ")</f>
        <v> </v>
      </c>
    </row>
    <row r="71" customFormat="false" ht="12" hidden="false" customHeight="false" outlineLevel="0" collapsed="false">
      <c r="A71" s="28"/>
      <c r="E71" s="2"/>
      <c r="G71" s="6" t="str">
        <f aca="false">IF(F71&lt;&gt;0,F71*G$2/(100+G$2)," ")</f>
        <v> </v>
      </c>
      <c r="H71" s="6" t="str">
        <f aca="false">IF((F71&lt;&gt;0),F71-G71," ")</f>
        <v> </v>
      </c>
      <c r="L71" s="7" t="str">
        <f aca="false">IF(F71&lt;&gt;0,F71-K71," ")</f>
        <v> </v>
      </c>
      <c r="M71" s="8" t="str">
        <f aca="false">IF((F71-K71)&lt;&gt;0,M$1-A71," ")</f>
        <v> </v>
      </c>
    </row>
    <row r="72" customFormat="false" ht="12" hidden="false" customHeight="false" outlineLevel="0" collapsed="false">
      <c r="A72" s="28"/>
      <c r="E72" s="2"/>
      <c r="G72" s="6" t="str">
        <f aca="false">IF(F72&lt;&gt;0,F72*G$2/(100+G$2)," ")</f>
        <v> </v>
      </c>
      <c r="H72" s="6" t="str">
        <f aca="false">IF((F72&lt;&gt;0),F72-G72," ")</f>
        <v> </v>
      </c>
      <c r="L72" s="7" t="str">
        <f aca="false">IF(F72&lt;&gt;0,F72-K72," ")</f>
        <v> </v>
      </c>
      <c r="M72" s="8" t="str">
        <f aca="false">IF((F72-K72)&lt;&gt;0,M$1-A72," ")</f>
        <v> </v>
      </c>
    </row>
    <row r="73" customFormat="false" ht="12" hidden="false" customHeight="false" outlineLevel="0" collapsed="false">
      <c r="A73" s="28"/>
      <c r="E73" s="2"/>
      <c r="G73" s="6" t="str">
        <f aca="false">IF(F73&lt;&gt;0,F73*G$2/(100+G$2)," ")</f>
        <v> </v>
      </c>
      <c r="H73" s="6" t="str">
        <f aca="false">IF((F73&lt;&gt;0),F73-G73," ")</f>
        <v> </v>
      </c>
      <c r="L73" s="7" t="str">
        <f aca="false">IF(F73&lt;&gt;0,F73-K73," ")</f>
        <v> </v>
      </c>
      <c r="M73" s="8" t="str">
        <f aca="false">IF((F73-K73)&lt;&gt;0,M$1-A73," ")</f>
        <v> </v>
      </c>
    </row>
    <row r="74" customFormat="false" ht="12" hidden="false" customHeight="false" outlineLevel="0" collapsed="false">
      <c r="A74" s="28"/>
      <c r="E74" s="2"/>
      <c r="G74" s="6" t="str">
        <f aca="false">IF(F74&lt;&gt;0,F74*G$2/(100+G$2)," ")</f>
        <v> </v>
      </c>
      <c r="H74" s="6" t="str">
        <f aca="false">IF((F74&lt;&gt;0),F74-G74," ")</f>
        <v> </v>
      </c>
      <c r="L74" s="7" t="str">
        <f aca="false">IF(F74&lt;&gt;0,F74-K74," ")</f>
        <v> </v>
      </c>
      <c r="M74" s="8" t="str">
        <f aca="false">IF((F74-K74)&lt;&gt;0,M$1-A74," ")</f>
        <v> </v>
      </c>
    </row>
    <row r="75" customFormat="false" ht="12" hidden="false" customHeight="false" outlineLevel="0" collapsed="false">
      <c r="A75" s="28"/>
      <c r="E75" s="2"/>
      <c r="G75" s="6" t="str">
        <f aca="false">IF(F75&lt;&gt;0,F75*G$2/(100+G$2)," ")</f>
        <v> </v>
      </c>
      <c r="H75" s="6" t="str">
        <f aca="false">IF((F75&lt;&gt;0),F75-G75," ")</f>
        <v> </v>
      </c>
      <c r="L75" s="7" t="str">
        <f aca="false">IF(F75&lt;&gt;0,F75-K75," ")</f>
        <v> </v>
      </c>
      <c r="M75" s="8" t="str">
        <f aca="false">IF((F75-K75)&lt;&gt;0,M$1-A75," ")</f>
        <v> </v>
      </c>
    </row>
    <row r="76" customFormat="false" ht="12" hidden="false" customHeight="false" outlineLevel="0" collapsed="false">
      <c r="A76" s="28"/>
      <c r="E76" s="2"/>
      <c r="G76" s="6" t="str">
        <f aca="false">IF(F76&lt;&gt;0,F76*G$2/(100+G$2)," ")</f>
        <v> </v>
      </c>
      <c r="H76" s="6" t="str">
        <f aca="false">IF((F76&lt;&gt;0),F76-G76," ")</f>
        <v> </v>
      </c>
      <c r="L76" s="7" t="str">
        <f aca="false">IF(F76&lt;&gt;0,F76-K76," ")</f>
        <v> </v>
      </c>
      <c r="M76" s="8" t="str">
        <f aca="false">IF((F76-K76)&lt;&gt;0,M$1-A76," ")</f>
        <v> </v>
      </c>
    </row>
    <row r="77" customFormat="false" ht="12" hidden="false" customHeight="false" outlineLevel="0" collapsed="false">
      <c r="A77" s="28"/>
      <c r="E77" s="2"/>
      <c r="G77" s="6" t="str">
        <f aca="false">IF(F77&lt;&gt;0,F77*G$2/(100+G$2)," ")</f>
        <v> </v>
      </c>
      <c r="H77" s="6" t="str">
        <f aca="false">IF((F77&lt;&gt;0),F77-G77," ")</f>
        <v> </v>
      </c>
      <c r="L77" s="7" t="str">
        <f aca="false">IF(F77&lt;&gt;0,F77-K77," ")</f>
        <v> </v>
      </c>
      <c r="M77" s="8" t="str">
        <f aca="false">IF((F77-K77)&lt;&gt;0,M$1-A77," ")</f>
        <v> </v>
      </c>
    </row>
    <row r="78" customFormat="false" ht="12" hidden="false" customHeight="false" outlineLevel="0" collapsed="false">
      <c r="A78" s="28"/>
      <c r="E78" s="2"/>
      <c r="G78" s="6" t="str">
        <f aca="false">IF(F78&lt;&gt;0,F78*G$2/(100+G$2)," ")</f>
        <v> </v>
      </c>
      <c r="H78" s="6" t="str">
        <f aca="false">IF((F78&lt;&gt;0),F78-G78," ")</f>
        <v> </v>
      </c>
      <c r="L78" s="7" t="str">
        <f aca="false">IF(F78&lt;&gt;0,F78-K78," ")</f>
        <v> </v>
      </c>
      <c r="M78" s="8" t="str">
        <f aca="false">IF((F78-K78)&lt;&gt;0,M$1-A78," ")</f>
        <v> </v>
      </c>
    </row>
    <row r="79" customFormat="false" ht="12" hidden="false" customHeight="false" outlineLevel="0" collapsed="false">
      <c r="A79" s="28"/>
      <c r="E79" s="2"/>
      <c r="G79" s="6" t="str">
        <f aca="false">IF(F79&lt;&gt;0,F79*G$2/(100+G$2)," ")</f>
        <v> </v>
      </c>
      <c r="H79" s="6" t="str">
        <f aca="false">IF((F79&lt;&gt;0),F79-G79," ")</f>
        <v> </v>
      </c>
      <c r="L79" s="7" t="str">
        <f aca="false">IF(F79&lt;&gt;0,F79-K79," ")</f>
        <v> </v>
      </c>
      <c r="M79" s="8" t="str">
        <f aca="false">IF((F79-K79)&lt;&gt;0,M$1-A79," ")</f>
        <v> </v>
      </c>
    </row>
    <row r="80" customFormat="false" ht="12" hidden="false" customHeight="false" outlineLevel="0" collapsed="false">
      <c r="A80" s="28"/>
      <c r="E80" s="2"/>
      <c r="G80" s="6" t="str">
        <f aca="false">IF(F80&lt;&gt;0,F80*G$2/(100+G$2)," ")</f>
        <v> </v>
      </c>
      <c r="H80" s="6" t="str">
        <f aca="false">IF((F80&lt;&gt;0),F80-G80," ")</f>
        <v> </v>
      </c>
      <c r="L80" s="7" t="str">
        <f aca="false">IF(F80&lt;&gt;0,F80-K80," ")</f>
        <v> </v>
      </c>
      <c r="M80" s="8" t="str">
        <f aca="false">IF((F80-K80)&lt;&gt;0,M$1-A80," ")</f>
        <v> </v>
      </c>
    </row>
    <row r="81" customFormat="false" ht="12" hidden="false" customHeight="false" outlineLevel="0" collapsed="false">
      <c r="A81" s="28"/>
      <c r="E81" s="2"/>
      <c r="G81" s="6" t="str">
        <f aca="false">IF(F81&lt;&gt;0,F81*G$2/(100+G$2)," ")</f>
        <v> </v>
      </c>
      <c r="H81" s="6" t="str">
        <f aca="false">IF((F81&lt;&gt;0),F81-G81," ")</f>
        <v> </v>
      </c>
      <c r="L81" s="7" t="str">
        <f aca="false">IF(F81&lt;&gt;0,F81-K81," ")</f>
        <v> </v>
      </c>
      <c r="M81" s="8" t="str">
        <f aca="false">IF((F81-K81)&lt;&gt;0,M$1-A81," ")</f>
        <v> </v>
      </c>
    </row>
    <row r="82" customFormat="false" ht="12" hidden="false" customHeight="false" outlineLevel="0" collapsed="false">
      <c r="A82" s="28"/>
      <c r="E82" s="2"/>
      <c r="G82" s="6" t="str">
        <f aca="false">IF(F82&lt;&gt;0,F82*G$2/(100+G$2)," ")</f>
        <v> </v>
      </c>
      <c r="H82" s="6" t="str">
        <f aca="false">IF((F82&lt;&gt;0),F82-G82," ")</f>
        <v> </v>
      </c>
      <c r="L82" s="7" t="str">
        <f aca="false">IF(F82&lt;&gt;0,F82-K82," ")</f>
        <v> </v>
      </c>
      <c r="M82" s="8" t="str">
        <f aca="false">IF((F82-K82)&lt;&gt;0,M$1-A82," ")</f>
        <v> </v>
      </c>
    </row>
    <row r="83" customFormat="false" ht="12" hidden="false" customHeight="false" outlineLevel="0" collapsed="false">
      <c r="A83" s="28"/>
      <c r="E83" s="2"/>
      <c r="G83" s="6" t="str">
        <f aca="false">IF(F83&lt;&gt;0,F83*G$2/(100+G$2)," ")</f>
        <v> </v>
      </c>
      <c r="H83" s="6" t="str">
        <f aca="false">IF((F83&lt;&gt;0),F83-G83," ")</f>
        <v> </v>
      </c>
      <c r="L83" s="7" t="str">
        <f aca="false">IF(F83&lt;&gt;0,F83-K83," ")</f>
        <v> </v>
      </c>
      <c r="M83" s="8" t="str">
        <f aca="false">IF((F83-K83)&lt;&gt;0,M$1-A83," ")</f>
        <v> </v>
      </c>
    </row>
    <row r="84" customFormat="false" ht="12" hidden="false" customHeight="false" outlineLevel="0" collapsed="false">
      <c r="A84" s="28"/>
      <c r="E84" s="2"/>
      <c r="G84" s="6" t="str">
        <f aca="false">IF(F84&lt;&gt;0,F84*G$2/(100+G$2)," ")</f>
        <v> </v>
      </c>
      <c r="H84" s="6" t="str">
        <f aca="false">IF((F84&lt;&gt;0),F84-G84," ")</f>
        <v> </v>
      </c>
      <c r="L84" s="7" t="str">
        <f aca="false">IF(F84&lt;&gt;0,F84-K84," ")</f>
        <v> </v>
      </c>
      <c r="M84" s="8" t="str">
        <f aca="false">IF((F84-K84)&lt;&gt;0,M$1-A84," ")</f>
        <v> </v>
      </c>
    </row>
    <row r="85" customFormat="false" ht="12" hidden="false" customHeight="false" outlineLevel="0" collapsed="false">
      <c r="A85" s="28"/>
      <c r="E85" s="2"/>
      <c r="G85" s="6" t="str">
        <f aca="false">IF(F85&lt;&gt;0,F85*G$2/(100+G$2)," ")</f>
        <v> </v>
      </c>
      <c r="H85" s="6" t="str">
        <f aca="false">IF((F85&lt;&gt;0),F85-G85," ")</f>
        <v> </v>
      </c>
      <c r="L85" s="7" t="str">
        <f aca="false">IF(F85&lt;&gt;0,F85-K85," ")</f>
        <v> </v>
      </c>
      <c r="M85" s="8" t="str">
        <f aca="false">IF((F85-K85)&lt;&gt;0,M$1-A85," ")</f>
        <v> </v>
      </c>
    </row>
    <row r="86" customFormat="false" ht="12" hidden="false" customHeight="false" outlineLevel="0" collapsed="false">
      <c r="A86" s="28"/>
      <c r="E86" s="2"/>
      <c r="G86" s="6" t="str">
        <f aca="false">IF(F86&lt;&gt;0,F86*G$2/(100+G$2)," ")</f>
        <v> </v>
      </c>
      <c r="H86" s="6" t="str">
        <f aca="false">IF((F86&lt;&gt;0),F86-G86," ")</f>
        <v> </v>
      </c>
      <c r="L86" s="7" t="str">
        <f aca="false">IF(F86&lt;&gt;0,F86-K86," ")</f>
        <v> </v>
      </c>
      <c r="M86" s="8" t="str">
        <f aca="false">IF((F86-K86)&lt;&gt;0,M$1-A86," ")</f>
        <v> </v>
      </c>
    </row>
    <row r="87" customFormat="false" ht="12" hidden="false" customHeight="false" outlineLevel="0" collapsed="false">
      <c r="A87" s="28"/>
      <c r="E87" s="2"/>
      <c r="G87" s="6" t="str">
        <f aca="false">IF(F87&lt;&gt;0,F87*G$2/(100+G$2)," ")</f>
        <v> </v>
      </c>
      <c r="H87" s="6" t="str">
        <f aca="false">IF((F87&lt;&gt;0),F87-G87," ")</f>
        <v> </v>
      </c>
      <c r="L87" s="7" t="str">
        <f aca="false">IF(F87&lt;&gt;0,F87-K87," ")</f>
        <v> </v>
      </c>
      <c r="M87" s="8" t="str">
        <f aca="false">IF((F87-K87)&lt;&gt;0,M$1-A87," ")</f>
        <v> </v>
      </c>
    </row>
    <row r="88" customFormat="false" ht="12" hidden="false" customHeight="false" outlineLevel="0" collapsed="false">
      <c r="A88" s="28"/>
      <c r="E88" s="2"/>
      <c r="G88" s="6" t="str">
        <f aca="false">IF(F88&lt;&gt;0,F88*G$2/(100+G$2)," ")</f>
        <v> </v>
      </c>
      <c r="H88" s="6" t="str">
        <f aca="false">IF((F88&lt;&gt;0),F88-G88," ")</f>
        <v> </v>
      </c>
      <c r="L88" s="7" t="str">
        <f aca="false">IF(F88&lt;&gt;0,F88-K88," ")</f>
        <v> </v>
      </c>
      <c r="M88" s="8" t="str">
        <f aca="false">IF((F88-K88)&lt;&gt;0,M$1-A88," ")</f>
        <v> </v>
      </c>
    </row>
    <row r="89" customFormat="false" ht="12" hidden="false" customHeight="false" outlineLevel="0" collapsed="false">
      <c r="A89" s="28"/>
      <c r="E89" s="2"/>
      <c r="G89" s="6" t="str">
        <f aca="false">IF(F89&lt;&gt;0,F89*G$2/(100+G$2)," ")</f>
        <v> </v>
      </c>
      <c r="H89" s="6" t="str">
        <f aca="false">IF((F89&lt;&gt;0),F89-G89," ")</f>
        <v> </v>
      </c>
      <c r="L89" s="7" t="str">
        <f aca="false">IF(F89&lt;&gt;0,F89-K89," ")</f>
        <v> </v>
      </c>
      <c r="M89" s="8" t="str">
        <f aca="false">IF((F89-K89)&lt;&gt;0,M$1-A89," ")</f>
        <v> </v>
      </c>
    </row>
    <row r="90" customFormat="false" ht="12" hidden="false" customHeight="false" outlineLevel="0" collapsed="false">
      <c r="A90" s="28"/>
      <c r="E90" s="2"/>
      <c r="G90" s="6" t="str">
        <f aca="false">IF(F90&lt;&gt;0,F90*G$2/(100+G$2)," ")</f>
        <v> </v>
      </c>
      <c r="H90" s="6" t="str">
        <f aca="false">IF((F90&lt;&gt;0),F90-G90," ")</f>
        <v> </v>
      </c>
      <c r="L90" s="7" t="str">
        <f aca="false">IF(F90&lt;&gt;0,F90-K90," ")</f>
        <v> </v>
      </c>
      <c r="M90" s="8" t="str">
        <f aca="false">IF((F90-K90)&lt;&gt;0,M$1-A90," ")</f>
        <v> </v>
      </c>
    </row>
    <row r="91" customFormat="false" ht="12" hidden="false" customHeight="false" outlineLevel="0" collapsed="false">
      <c r="A91" s="28"/>
      <c r="E91" s="2"/>
      <c r="G91" s="6" t="str">
        <f aca="false">IF(F91&lt;&gt;0,F91*G$2/(100+G$2)," ")</f>
        <v> </v>
      </c>
      <c r="H91" s="6" t="str">
        <f aca="false">IF((F91&lt;&gt;0),F91-G91," ")</f>
        <v> </v>
      </c>
      <c r="L91" s="7" t="str">
        <f aca="false">IF(F91&lt;&gt;0,F91-K91," ")</f>
        <v> </v>
      </c>
      <c r="M91" s="8" t="str">
        <f aca="false">IF((F91-K91)&lt;&gt;0,M$1-A91," ")</f>
        <v> </v>
      </c>
    </row>
    <row r="92" customFormat="false" ht="12" hidden="false" customHeight="false" outlineLevel="0" collapsed="false">
      <c r="A92" s="28"/>
      <c r="E92" s="2"/>
      <c r="G92" s="6" t="str">
        <f aca="false">IF(F92&lt;&gt;0,F92*G$2/(100+G$2)," ")</f>
        <v> </v>
      </c>
      <c r="H92" s="6" t="str">
        <f aca="false">IF((F92&lt;&gt;0),F92-G92," ")</f>
        <v> </v>
      </c>
      <c r="L92" s="7" t="str">
        <f aca="false">IF(F92&lt;&gt;0,F92-K92," ")</f>
        <v> </v>
      </c>
      <c r="M92" s="8" t="str">
        <f aca="false">IF((F92-K92)&lt;&gt;0,M$1-A92," ")</f>
        <v> </v>
      </c>
    </row>
    <row r="93" customFormat="false" ht="12" hidden="false" customHeight="false" outlineLevel="0" collapsed="false">
      <c r="A93" s="28"/>
      <c r="E93" s="2"/>
      <c r="G93" s="6" t="str">
        <f aca="false">IF(F93&lt;&gt;0,F93*G$2/(100+G$2)," ")</f>
        <v> </v>
      </c>
      <c r="H93" s="6" t="str">
        <f aca="false">IF((F93&lt;&gt;0),F93-G93," ")</f>
        <v> </v>
      </c>
      <c r="L93" s="7" t="str">
        <f aca="false">IF(F93&lt;&gt;0,F93-K93," ")</f>
        <v> </v>
      </c>
      <c r="M93" s="8" t="str">
        <f aca="false">IF((F93-K93)&lt;&gt;0,M$1-A93," ")</f>
        <v> </v>
      </c>
    </row>
    <row r="94" customFormat="false" ht="12" hidden="false" customHeight="false" outlineLevel="0" collapsed="false">
      <c r="A94" s="28"/>
      <c r="E94" s="2"/>
      <c r="G94" s="6" t="str">
        <f aca="false">IF(F94&lt;&gt;0,F94*G$2/(100+G$2)," ")</f>
        <v> </v>
      </c>
      <c r="H94" s="6" t="str">
        <f aca="false">IF((F94&lt;&gt;0),F94-G94," ")</f>
        <v> </v>
      </c>
      <c r="L94" s="7" t="str">
        <f aca="false">IF(F94&lt;&gt;0,F94-K94," ")</f>
        <v> </v>
      </c>
      <c r="M94" s="8" t="str">
        <f aca="false">IF((F94-K94)&lt;&gt;0,M$1-A94," ")</f>
        <v> </v>
      </c>
    </row>
    <row r="95" customFormat="false" ht="12" hidden="false" customHeight="false" outlineLevel="0" collapsed="false">
      <c r="A95" s="28"/>
      <c r="E95" s="2"/>
      <c r="G95" s="6" t="str">
        <f aca="false">IF(F95&lt;&gt;0,F95*G$2/(100+G$2)," ")</f>
        <v> </v>
      </c>
      <c r="H95" s="6" t="str">
        <f aca="false">IF((F95&lt;&gt;0),F95-G95," ")</f>
        <v> </v>
      </c>
      <c r="L95" s="7" t="str">
        <f aca="false">IF(F95&lt;&gt;0,F95-K95," ")</f>
        <v> </v>
      </c>
      <c r="M95" s="8" t="str">
        <f aca="false">IF((F95-K95)&lt;&gt;0,M$1-A95," ")</f>
        <v> </v>
      </c>
    </row>
    <row r="96" customFormat="false" ht="12" hidden="false" customHeight="false" outlineLevel="0" collapsed="false">
      <c r="A96" s="28"/>
      <c r="E96" s="2"/>
      <c r="G96" s="6" t="str">
        <f aca="false">IF(F96&lt;&gt;0,F96*G$2/(100+G$2)," ")</f>
        <v> </v>
      </c>
      <c r="H96" s="6" t="str">
        <f aca="false">IF((F96&lt;&gt;0),F96-G96," ")</f>
        <v> </v>
      </c>
      <c r="L96" s="7" t="str">
        <f aca="false">IF(F96&lt;&gt;0,F96-K96," ")</f>
        <v> </v>
      </c>
      <c r="M96" s="8" t="str">
        <f aca="false">IF((F96-K96)&lt;&gt;0,M$1-A96," ")</f>
        <v> </v>
      </c>
    </row>
    <row r="97" customFormat="false" ht="12" hidden="false" customHeight="false" outlineLevel="0" collapsed="false">
      <c r="A97" s="28"/>
      <c r="E97" s="2"/>
      <c r="G97" s="6" t="str">
        <f aca="false">IF(F97&lt;&gt;0,F97*G$2/(100+G$2)," ")</f>
        <v> </v>
      </c>
      <c r="H97" s="6" t="str">
        <f aca="false">IF((F97&lt;&gt;0),F97-G97," ")</f>
        <v> </v>
      </c>
      <c r="L97" s="7" t="str">
        <f aca="false">IF(F97&lt;&gt;0,F97-K97," ")</f>
        <v> </v>
      </c>
      <c r="M97" s="8" t="str">
        <f aca="false">IF((F97-K97)&lt;&gt;0,M$1-A97," ")</f>
        <v> </v>
      </c>
    </row>
    <row r="98" customFormat="false" ht="12" hidden="false" customHeight="false" outlineLevel="0" collapsed="false">
      <c r="A98" s="28"/>
      <c r="E98" s="2"/>
      <c r="G98" s="6" t="str">
        <f aca="false">IF(F98&lt;&gt;0,F98*G$2/(100+G$2)," ")</f>
        <v> </v>
      </c>
      <c r="H98" s="6" t="str">
        <f aca="false">IF((F98&lt;&gt;0),F98-G98," ")</f>
        <v> </v>
      </c>
      <c r="L98" s="7" t="str">
        <f aca="false">IF(F98&lt;&gt;0,F98-K98," ")</f>
        <v> </v>
      </c>
      <c r="M98" s="8" t="str">
        <f aca="false">IF((F98-K98)&lt;&gt;0,M$1-A98," ")</f>
        <v> </v>
      </c>
    </row>
    <row r="99" customFormat="false" ht="12" hidden="false" customHeight="false" outlineLevel="0" collapsed="false">
      <c r="A99" s="28"/>
      <c r="E99" s="2"/>
      <c r="G99" s="6" t="str">
        <f aca="false">IF(F99&lt;&gt;0,F99*G$2/(100+G$2)," ")</f>
        <v> </v>
      </c>
      <c r="H99" s="6" t="str">
        <f aca="false">IF((F99&lt;&gt;0),F99-G99," ")</f>
        <v> </v>
      </c>
      <c r="L99" s="7" t="str">
        <f aca="false">IF(F99&lt;&gt;0,F99-K99," ")</f>
        <v> </v>
      </c>
      <c r="M99" s="8" t="str">
        <f aca="false">IF((F99-K99)&lt;&gt;0,M$1-A99," ")</f>
        <v> </v>
      </c>
    </row>
    <row r="100" customFormat="false" ht="12" hidden="false" customHeight="false" outlineLevel="0" collapsed="false">
      <c r="A100" s="28"/>
      <c r="E100" s="2"/>
      <c r="G100" s="6" t="str">
        <f aca="false">IF(F100&lt;&gt;0,F100*G$2/(100+G$2)," ")</f>
        <v> </v>
      </c>
      <c r="H100" s="6" t="str">
        <f aca="false">IF((F100&lt;&gt;0),F100-G100," ")</f>
        <v> </v>
      </c>
      <c r="L100" s="7" t="str">
        <f aca="false">IF(F100&lt;&gt;0,F100-K100," ")</f>
        <v> </v>
      </c>
      <c r="M100" s="8" t="str">
        <f aca="false">IF((F100-K100)&lt;&gt;0,M$1-A100," ")</f>
        <v> </v>
      </c>
    </row>
    <row r="101" customFormat="false" ht="12" hidden="false" customHeight="false" outlineLevel="0" collapsed="false">
      <c r="A101" s="28"/>
      <c r="E101" s="2"/>
      <c r="G101" s="6" t="str">
        <f aca="false">IF(F101&lt;&gt;0,F101*G$2/(100+G$2)," ")</f>
        <v> </v>
      </c>
      <c r="H101" s="6" t="str">
        <f aca="false">IF((F101&lt;&gt;0),F101-G101," ")</f>
        <v> </v>
      </c>
      <c r="L101" s="7" t="str">
        <f aca="false">IF(F101&lt;&gt;0,F101-K101," ")</f>
        <v> </v>
      </c>
      <c r="M101" s="8" t="str">
        <f aca="false">IF((F101-K101)&lt;&gt;0,M$1-A101," ")</f>
        <v> </v>
      </c>
    </row>
    <row r="102" customFormat="false" ht="12" hidden="false" customHeight="false" outlineLevel="0" collapsed="false">
      <c r="A102" s="28"/>
      <c r="E102" s="2"/>
      <c r="G102" s="6" t="str">
        <f aca="false">IF(F102&lt;&gt;0,F102*G$2/(100+G$2)," ")</f>
        <v> </v>
      </c>
      <c r="H102" s="6" t="str">
        <f aca="false">IF((F102&lt;&gt;0),F102-G102," ")</f>
        <v> </v>
      </c>
      <c r="L102" s="7" t="str">
        <f aca="false">IF(F102&lt;&gt;0,F102-K102," ")</f>
        <v> </v>
      </c>
      <c r="M102" s="8" t="str">
        <f aca="false">IF((F102-K102)&lt;&gt;0,M$1-A102," ")</f>
        <v> </v>
      </c>
    </row>
    <row r="103" customFormat="false" ht="12" hidden="false" customHeight="false" outlineLevel="0" collapsed="false">
      <c r="A103" s="28"/>
      <c r="E103" s="2"/>
      <c r="G103" s="6" t="str">
        <f aca="false">IF(F103&lt;&gt;0,F103*G$2/(100+G$2)," ")</f>
        <v> </v>
      </c>
      <c r="H103" s="6" t="str">
        <f aca="false">IF((F103&lt;&gt;0),F103-G103," ")</f>
        <v> </v>
      </c>
      <c r="L103" s="7" t="str">
        <f aca="false">IF(F103&lt;&gt;0,F103-K103," ")</f>
        <v> </v>
      </c>
      <c r="M103" s="8" t="str">
        <f aca="false">IF((F103-K103)&lt;&gt;0,M$1-A103," ")</f>
        <v> </v>
      </c>
    </row>
    <row r="104" customFormat="false" ht="12" hidden="false" customHeight="false" outlineLevel="0" collapsed="false">
      <c r="A104" s="28"/>
      <c r="E104" s="2"/>
      <c r="G104" s="6" t="str">
        <f aca="false">IF(F104&lt;&gt;0,F104*G$2/(100+G$2)," ")</f>
        <v> </v>
      </c>
      <c r="H104" s="6" t="str">
        <f aca="false">IF((F104&lt;&gt;0),F104-G104," ")</f>
        <v> </v>
      </c>
      <c r="L104" s="7" t="str">
        <f aca="false">IF(F104&lt;&gt;0,F104-K104," ")</f>
        <v> </v>
      </c>
      <c r="M104" s="8" t="str">
        <f aca="false">IF((F104-K104)&lt;&gt;0,M$1-A104," ")</f>
        <v> </v>
      </c>
    </row>
    <row r="105" customFormat="false" ht="12" hidden="false" customHeight="false" outlineLevel="0" collapsed="false">
      <c r="A105" s="28"/>
      <c r="E105" s="2"/>
      <c r="G105" s="6" t="str">
        <f aca="false">IF(F105&lt;&gt;0,F105*G$2/(100+G$2)," ")</f>
        <v> </v>
      </c>
      <c r="H105" s="6" t="str">
        <f aca="false">IF((F105&lt;&gt;0),F105-G105," ")</f>
        <v> </v>
      </c>
      <c r="L105" s="7" t="str">
        <f aca="false">IF(F105&lt;&gt;0,F105-K105," ")</f>
        <v> </v>
      </c>
      <c r="M105" s="8" t="str">
        <f aca="false">IF((F105-K105)&lt;&gt;0,M$1-A105," ")</f>
        <v> </v>
      </c>
    </row>
    <row r="106" customFormat="false" ht="12" hidden="false" customHeight="false" outlineLevel="0" collapsed="false">
      <c r="A106" s="28"/>
      <c r="E106" s="2"/>
      <c r="G106" s="6" t="str">
        <f aca="false">IF(F106&lt;&gt;0,F106*G$2/(100+G$2)," ")</f>
        <v> </v>
      </c>
      <c r="H106" s="6" t="str">
        <f aca="false">IF((F106&lt;&gt;0),F106-G106," ")</f>
        <v> </v>
      </c>
      <c r="L106" s="7" t="str">
        <f aca="false">IF(F106&lt;&gt;0,F106-K106," ")</f>
        <v> </v>
      </c>
      <c r="M106" s="8" t="str">
        <f aca="false">IF((F106-K106)&lt;&gt;0,M$1-A106," ")</f>
        <v> </v>
      </c>
    </row>
    <row r="107" customFormat="false" ht="12" hidden="false" customHeight="false" outlineLevel="0" collapsed="false">
      <c r="A107" s="28"/>
      <c r="E107" s="2"/>
      <c r="G107" s="6" t="str">
        <f aca="false">IF(F107&lt;&gt;0,F107*G$2/(100+G$2)," ")</f>
        <v> </v>
      </c>
      <c r="H107" s="6" t="str">
        <f aca="false">IF((F107&lt;&gt;0),F107-G107," ")</f>
        <v> </v>
      </c>
      <c r="L107" s="7" t="str">
        <f aca="false">IF(F107&lt;&gt;0,F107-K107," ")</f>
        <v> </v>
      </c>
      <c r="M107" s="8" t="str">
        <f aca="false">IF((F107-K107)&lt;&gt;0,M$1-A107," ")</f>
        <v> </v>
      </c>
    </row>
    <row r="108" customFormat="false" ht="12" hidden="false" customHeight="false" outlineLevel="0" collapsed="false">
      <c r="A108" s="28"/>
      <c r="E108" s="2"/>
      <c r="G108" s="6" t="str">
        <f aca="false">IF(F108&lt;&gt;0,F108*G$2/(100+G$2)," ")</f>
        <v> </v>
      </c>
      <c r="H108" s="6" t="str">
        <f aca="false">IF((F108&lt;&gt;0),F108-G108," ")</f>
        <v> </v>
      </c>
      <c r="L108" s="7" t="str">
        <f aca="false">IF(F108&lt;&gt;0,F108-K108," ")</f>
        <v> </v>
      </c>
      <c r="M108" s="8" t="str">
        <f aca="false">IF((F108-K108)&lt;&gt;0,M$1-A108," ")</f>
        <v> </v>
      </c>
    </row>
    <row r="109" customFormat="false" ht="12" hidden="false" customHeight="false" outlineLevel="0" collapsed="false">
      <c r="A109" s="28"/>
      <c r="E109" s="2"/>
      <c r="G109" s="6" t="str">
        <f aca="false">IF(F109&lt;&gt;0,F109*G$2/(100+G$2)," ")</f>
        <v> </v>
      </c>
      <c r="H109" s="6" t="str">
        <f aca="false">IF((F109&lt;&gt;0),F109-G109," ")</f>
        <v> </v>
      </c>
      <c r="L109" s="7" t="str">
        <f aca="false">IF(F109&lt;&gt;0,F109-K109," ")</f>
        <v> </v>
      </c>
      <c r="M109" s="8" t="str">
        <f aca="false">IF((F109-K109)&lt;&gt;0,M$1-A109," ")</f>
        <v> </v>
      </c>
    </row>
    <row r="110" customFormat="false" ht="12" hidden="false" customHeight="false" outlineLevel="0" collapsed="false">
      <c r="A110" s="28"/>
      <c r="E110" s="2"/>
      <c r="G110" s="6" t="str">
        <f aca="false">IF(F110&lt;&gt;0,F110*G$2/(100+G$2)," ")</f>
        <v> </v>
      </c>
      <c r="H110" s="6" t="str">
        <f aca="false">IF((F110&lt;&gt;0),F110-G110," ")</f>
        <v> </v>
      </c>
      <c r="L110" s="7" t="str">
        <f aca="false">IF(F110&lt;&gt;0,F110-K110," ")</f>
        <v> </v>
      </c>
      <c r="M110" s="8" t="str">
        <f aca="false">IF((F110-K110)&lt;&gt;0,M$1-A110," ")</f>
        <v> </v>
      </c>
    </row>
    <row r="111" customFormat="false" ht="12" hidden="false" customHeight="false" outlineLevel="0" collapsed="false">
      <c r="A111" s="28"/>
      <c r="E111" s="2"/>
      <c r="G111" s="6" t="str">
        <f aca="false">IF(F111&lt;&gt;0,F111*G$2/(100+G$2)," ")</f>
        <v> </v>
      </c>
      <c r="H111" s="6" t="str">
        <f aca="false">IF((F111&lt;&gt;0),F111-G111," ")</f>
        <v> </v>
      </c>
      <c r="L111" s="7" t="str">
        <f aca="false">IF(F111&lt;&gt;0,F111-K111," ")</f>
        <v> </v>
      </c>
      <c r="M111" s="8" t="str">
        <f aca="false">IF((F111-K111)&lt;&gt;0,M$1-A111," ")</f>
        <v> </v>
      </c>
    </row>
    <row r="112" customFormat="false" ht="12" hidden="false" customHeight="false" outlineLevel="0" collapsed="false">
      <c r="A112" s="28"/>
      <c r="E112" s="2"/>
      <c r="G112" s="6" t="str">
        <f aca="false">IF(F112&lt;&gt;0,F112*G$2/(100+G$2)," ")</f>
        <v> </v>
      </c>
      <c r="H112" s="6" t="str">
        <f aca="false">IF((F112&lt;&gt;0),F112-G112," ")</f>
        <v> </v>
      </c>
      <c r="L112" s="7" t="str">
        <f aca="false">IF(F112&lt;&gt;0,F112-K112," ")</f>
        <v> </v>
      </c>
      <c r="M112" s="8" t="str">
        <f aca="false">IF((F112-K112)&lt;&gt;0,M$1-A112," ")</f>
        <v> </v>
      </c>
    </row>
    <row r="113" customFormat="false" ht="12" hidden="false" customHeight="false" outlineLevel="0" collapsed="false">
      <c r="A113" s="28"/>
      <c r="E113" s="2"/>
      <c r="G113" s="6" t="str">
        <f aca="false">IF(F113&lt;&gt;0,F113*G$2/(100+G$2)," ")</f>
        <v> </v>
      </c>
      <c r="H113" s="6" t="str">
        <f aca="false">IF((F113&lt;&gt;0),F113-G113," ")</f>
        <v> </v>
      </c>
      <c r="L113" s="7" t="str">
        <f aca="false">IF(F113&lt;&gt;0,F113-K113," ")</f>
        <v> </v>
      </c>
      <c r="M113" s="8" t="str">
        <f aca="false">IF((F113-K113)&lt;&gt;0,M$1-A113," ")</f>
        <v> </v>
      </c>
    </row>
    <row r="114" customFormat="false" ht="12" hidden="false" customHeight="false" outlineLevel="0" collapsed="false">
      <c r="A114" s="28"/>
      <c r="E114" s="2"/>
      <c r="G114" s="6" t="str">
        <f aca="false">IF(F114&lt;&gt;0,F114*G$2/(100+G$2)," ")</f>
        <v> </v>
      </c>
      <c r="H114" s="6" t="str">
        <f aca="false">IF((F114&lt;&gt;0),F114-G114," ")</f>
        <v> </v>
      </c>
      <c r="L114" s="7" t="str">
        <f aca="false">IF(F114&lt;&gt;0,F114-K114," ")</f>
        <v> </v>
      </c>
      <c r="M114" s="8" t="str">
        <f aca="false">IF((F114-K114)&lt;&gt;0,M$1-A114," ")</f>
        <v> </v>
      </c>
    </row>
    <row r="115" customFormat="false" ht="12" hidden="false" customHeight="false" outlineLevel="0" collapsed="false">
      <c r="A115" s="28"/>
      <c r="E115" s="2"/>
      <c r="G115" s="6" t="str">
        <f aca="false">IF(F115&lt;&gt;0,F115*G$2/(100+G$2)," ")</f>
        <v> </v>
      </c>
      <c r="H115" s="6" t="str">
        <f aca="false">IF((F115&lt;&gt;0),F115-G115," ")</f>
        <v> </v>
      </c>
      <c r="L115" s="7" t="str">
        <f aca="false">IF(F115&lt;&gt;0,F115-K115," ")</f>
        <v> </v>
      </c>
      <c r="M115" s="8" t="str">
        <f aca="false">IF((F115-K115)&lt;&gt;0,M$1-A115," ")</f>
        <v> </v>
      </c>
    </row>
    <row r="116" customFormat="false" ht="12" hidden="false" customHeight="false" outlineLevel="0" collapsed="false">
      <c r="A116" s="28"/>
      <c r="E116" s="2"/>
      <c r="G116" s="6" t="str">
        <f aca="false">IF(F116&lt;&gt;0,F116*G$2/(100+G$2)," ")</f>
        <v> </v>
      </c>
      <c r="H116" s="6" t="str">
        <f aca="false">IF((F116&lt;&gt;0),F116-G116," ")</f>
        <v> </v>
      </c>
      <c r="L116" s="7" t="str">
        <f aca="false">IF(F116&lt;&gt;0,F116-K116," ")</f>
        <v> </v>
      </c>
      <c r="M116" s="8" t="str">
        <f aca="false">IF((F116-K116)&lt;&gt;0,M$1-A116," ")</f>
        <v> </v>
      </c>
    </row>
    <row r="117" customFormat="false" ht="12" hidden="false" customHeight="false" outlineLevel="0" collapsed="false">
      <c r="A117" s="28"/>
      <c r="E117" s="2"/>
      <c r="G117" s="6" t="str">
        <f aca="false">IF(F117&lt;&gt;0,F117*G$2/(100+G$2)," ")</f>
        <v> </v>
      </c>
      <c r="H117" s="6" t="str">
        <f aca="false">IF((F117&lt;&gt;0),F117-G117," ")</f>
        <v> </v>
      </c>
      <c r="L117" s="7" t="str">
        <f aca="false">IF(F117&lt;&gt;0,F117-K117," ")</f>
        <v> </v>
      </c>
      <c r="M117" s="8" t="str">
        <f aca="false">IF((F117-K117)&lt;&gt;0,M$1-A117," ")</f>
        <v> </v>
      </c>
    </row>
    <row r="118" customFormat="false" ht="12" hidden="false" customHeight="false" outlineLevel="0" collapsed="false">
      <c r="A118" s="28"/>
      <c r="E118" s="2"/>
      <c r="G118" s="6" t="str">
        <f aca="false">IF(F118&lt;&gt;0,F118*G$2/(100+G$2)," ")</f>
        <v> </v>
      </c>
      <c r="H118" s="6" t="str">
        <f aca="false">IF((F118&lt;&gt;0),F118-G118," ")</f>
        <v> </v>
      </c>
      <c r="L118" s="7" t="str">
        <f aca="false">IF(F118&lt;&gt;0,F118-K118," ")</f>
        <v> </v>
      </c>
      <c r="M118" s="8" t="str">
        <f aca="false">IF((F118-K118)&lt;&gt;0,M$1-A118," ")</f>
        <v> </v>
      </c>
    </row>
    <row r="119" customFormat="false" ht="12" hidden="false" customHeight="false" outlineLevel="0" collapsed="false">
      <c r="A119" s="28"/>
      <c r="E119" s="2"/>
      <c r="G119" s="6" t="str">
        <f aca="false">IF(F119&lt;&gt;0,F119*G$2/(100+G$2)," ")</f>
        <v> </v>
      </c>
      <c r="H119" s="6" t="str">
        <f aca="false">IF((F119&lt;&gt;0),F119-G119," ")</f>
        <v> </v>
      </c>
      <c r="L119" s="7" t="str">
        <f aca="false">IF(F119&lt;&gt;0,F119-K119," ")</f>
        <v> </v>
      </c>
      <c r="M119" s="8" t="str">
        <f aca="false">IF((F119-K119)&lt;&gt;0,M$1-A119," ")</f>
        <v> </v>
      </c>
    </row>
    <row r="120" customFormat="false" ht="12" hidden="false" customHeight="false" outlineLevel="0" collapsed="false">
      <c r="A120" s="28"/>
      <c r="E120" s="2"/>
      <c r="G120" s="6" t="str">
        <f aca="false">IF(F120&lt;&gt;0,F120*G$2/(100+G$2)," ")</f>
        <v> </v>
      </c>
      <c r="H120" s="6" t="str">
        <f aca="false">IF((F120&lt;&gt;0),F120-G120," ")</f>
        <v> </v>
      </c>
      <c r="L120" s="7" t="str">
        <f aca="false">IF(F120&lt;&gt;0,F120-K120," ")</f>
        <v> </v>
      </c>
      <c r="M120" s="8" t="str">
        <f aca="false">IF((F120-K120)&lt;&gt;0,M$1-A120," ")</f>
        <v> </v>
      </c>
    </row>
    <row r="121" customFormat="false" ht="12" hidden="false" customHeight="false" outlineLevel="0" collapsed="false">
      <c r="A121" s="28"/>
      <c r="E121" s="2"/>
      <c r="G121" s="6" t="str">
        <f aca="false">IF(F121&lt;&gt;0,F121*G$2/(100+G$2)," ")</f>
        <v> </v>
      </c>
      <c r="H121" s="6" t="str">
        <f aca="false">IF((F121&lt;&gt;0),F121-G121," ")</f>
        <v> </v>
      </c>
      <c r="L121" s="7" t="str">
        <f aca="false">IF(F121&lt;&gt;0,F121-K121," ")</f>
        <v> </v>
      </c>
      <c r="M121" s="8" t="str">
        <f aca="false">IF((F121-K121)&lt;&gt;0,M$1-A121," ")</f>
        <v> </v>
      </c>
    </row>
    <row r="122" customFormat="false" ht="12" hidden="false" customHeight="false" outlineLevel="0" collapsed="false">
      <c r="A122" s="28"/>
      <c r="E122" s="2"/>
      <c r="G122" s="6" t="str">
        <f aca="false">IF(F122&lt;&gt;0,F122*G$2/(100+G$2)," ")</f>
        <v> </v>
      </c>
      <c r="H122" s="6" t="str">
        <f aca="false">IF((F122&lt;&gt;0),F122-G122," ")</f>
        <v> </v>
      </c>
      <c r="L122" s="7" t="str">
        <f aca="false">IF(F122&lt;&gt;0,F122-K122," ")</f>
        <v> </v>
      </c>
      <c r="M122" s="8" t="str">
        <f aca="false">IF((F122-K122)&lt;&gt;0,M$1-A122," ")</f>
        <v> </v>
      </c>
    </row>
    <row r="123" customFormat="false" ht="12" hidden="false" customHeight="false" outlineLevel="0" collapsed="false">
      <c r="A123" s="28"/>
      <c r="E123" s="2"/>
      <c r="G123" s="6" t="str">
        <f aca="false">IF(F123&lt;&gt;0,F123*G$2/(100+G$2)," ")</f>
        <v> </v>
      </c>
      <c r="H123" s="6" t="str">
        <f aca="false">IF((F123&lt;&gt;0),F123-G123," ")</f>
        <v> </v>
      </c>
      <c r="L123" s="7" t="str">
        <f aca="false">IF(F123&lt;&gt;0,F123-K123," ")</f>
        <v> </v>
      </c>
      <c r="M123" s="8" t="str">
        <f aca="false">IF((F123-K123)&lt;&gt;0,M$1-A123," ")</f>
        <v> </v>
      </c>
    </row>
    <row r="124" customFormat="false" ht="12" hidden="false" customHeight="false" outlineLevel="0" collapsed="false">
      <c r="A124" s="28"/>
      <c r="E124" s="2"/>
      <c r="G124" s="6" t="str">
        <f aca="false">IF(F124&lt;&gt;0,F124*G$2/(100+G$2)," ")</f>
        <v> </v>
      </c>
      <c r="H124" s="6" t="str">
        <f aca="false">IF((F124&lt;&gt;0),F124-G124," ")</f>
        <v> </v>
      </c>
      <c r="L124" s="7" t="str">
        <f aca="false">IF(F124&lt;&gt;0,F124-K124," ")</f>
        <v> </v>
      </c>
      <c r="M124" s="8" t="str">
        <f aca="false">IF((F124-K124)&lt;&gt;0,M$1-A124," ")</f>
        <v> </v>
      </c>
    </row>
    <row r="125" customFormat="false" ht="12" hidden="false" customHeight="false" outlineLevel="0" collapsed="false">
      <c r="A125" s="28"/>
      <c r="E125" s="2"/>
      <c r="G125" s="6" t="str">
        <f aca="false">IF(F125&lt;&gt;0,F125*G$2/(100+G$2)," ")</f>
        <v> </v>
      </c>
      <c r="H125" s="6" t="str">
        <f aca="false">IF((F125&lt;&gt;0),F125-G125," ")</f>
        <v> </v>
      </c>
      <c r="L125" s="7" t="str">
        <f aca="false">IF(F125&lt;&gt;0,F125-K125," ")</f>
        <v> </v>
      </c>
      <c r="M125" s="8" t="str">
        <f aca="false">IF((F125-K125)&lt;&gt;0,M$1-A125," ")</f>
        <v> </v>
      </c>
    </row>
    <row r="126" customFormat="false" ht="12" hidden="false" customHeight="false" outlineLevel="0" collapsed="false">
      <c r="A126" s="28"/>
      <c r="E126" s="2"/>
      <c r="G126" s="6" t="str">
        <f aca="false">IF(F126&lt;&gt;0,F126*G$2/(100+G$2)," ")</f>
        <v> </v>
      </c>
      <c r="H126" s="6" t="str">
        <f aca="false">IF((F126&lt;&gt;0),F126-G126," ")</f>
        <v> </v>
      </c>
      <c r="L126" s="7" t="str">
        <f aca="false">IF(F126&lt;&gt;0,F126-K126," ")</f>
        <v> </v>
      </c>
      <c r="M126" s="8" t="str">
        <f aca="false">IF((F126-K126)&lt;&gt;0,M$1-A126," ")</f>
        <v> </v>
      </c>
    </row>
    <row r="127" customFormat="false" ht="12" hidden="false" customHeight="false" outlineLevel="0" collapsed="false">
      <c r="A127" s="28"/>
      <c r="E127" s="2"/>
      <c r="G127" s="6" t="str">
        <f aca="false">IF(F127&lt;&gt;0,F127*G$2/(100+G$2)," ")</f>
        <v> </v>
      </c>
      <c r="H127" s="6" t="str">
        <f aca="false">IF((F127&lt;&gt;0),F127-G127," ")</f>
        <v> </v>
      </c>
      <c r="L127" s="7" t="str">
        <f aca="false">IF(F127&lt;&gt;0,F127-K127," ")</f>
        <v> </v>
      </c>
      <c r="M127" s="8" t="str">
        <f aca="false">IF((F127-K127)&lt;&gt;0,M$1-A127," ")</f>
        <v> </v>
      </c>
    </row>
    <row r="128" customFormat="false" ht="12" hidden="false" customHeight="false" outlineLevel="0" collapsed="false">
      <c r="A128" s="28"/>
      <c r="E128" s="2"/>
      <c r="G128" s="6" t="str">
        <f aca="false">IF(F128&lt;&gt;0,F128*G$2/(100+G$2)," ")</f>
        <v> </v>
      </c>
      <c r="H128" s="6" t="str">
        <f aca="false">IF((F128&lt;&gt;0),F128-G128," ")</f>
        <v> </v>
      </c>
      <c r="L128" s="7" t="str">
        <f aca="false">IF(F128&lt;&gt;0,F128-K128," ")</f>
        <v> </v>
      </c>
      <c r="M128" s="8" t="str">
        <f aca="false">IF((F128-K128)&lt;&gt;0,M$1-A128," ")</f>
        <v> </v>
      </c>
    </row>
    <row r="129" customFormat="false" ht="12" hidden="false" customHeight="false" outlineLevel="0" collapsed="false">
      <c r="A129" s="28"/>
      <c r="E129" s="2"/>
      <c r="G129" s="6" t="str">
        <f aca="false">IF(F129&lt;&gt;0,F129*G$2/(100+G$2)," ")</f>
        <v> </v>
      </c>
      <c r="H129" s="6" t="str">
        <f aca="false">IF((F129&lt;&gt;0),F129-G129," ")</f>
        <v> </v>
      </c>
      <c r="L129" s="7" t="str">
        <f aca="false">IF(F129&lt;&gt;0,F129-K129," ")</f>
        <v> </v>
      </c>
      <c r="M129" s="8" t="str">
        <f aca="false">IF((F129-K129)&lt;&gt;0,M$1-A129," ")</f>
        <v> </v>
      </c>
    </row>
    <row r="130" customFormat="false" ht="12" hidden="false" customHeight="false" outlineLevel="0" collapsed="false">
      <c r="A130" s="28"/>
      <c r="E130" s="2"/>
      <c r="G130" s="6" t="str">
        <f aca="false">IF(F130&lt;&gt;0,F130*G$2/(100+G$2)," ")</f>
        <v> </v>
      </c>
      <c r="H130" s="6" t="str">
        <f aca="false">IF((F130&lt;&gt;0),F130-G130," ")</f>
        <v> </v>
      </c>
      <c r="L130" s="7" t="str">
        <f aca="false">IF(F130&lt;&gt;0,F130-K130," ")</f>
        <v> </v>
      </c>
      <c r="M130" s="8" t="str">
        <f aca="false">IF((F130-K130)&lt;&gt;0,M$1-A130," ")</f>
        <v> </v>
      </c>
    </row>
    <row r="131" customFormat="false" ht="12" hidden="false" customHeight="false" outlineLevel="0" collapsed="false">
      <c r="A131" s="28"/>
      <c r="E131" s="2"/>
      <c r="G131" s="6" t="str">
        <f aca="false">IF(F131&lt;&gt;0,F131*G$2/(100+G$2)," ")</f>
        <v> </v>
      </c>
      <c r="H131" s="6" t="str">
        <f aca="false">IF((F131&lt;&gt;0),F131-G131," ")</f>
        <v> </v>
      </c>
      <c r="L131" s="7" t="str">
        <f aca="false">IF(F131&lt;&gt;0,F131-K131," ")</f>
        <v> </v>
      </c>
      <c r="M131" s="8" t="str">
        <f aca="false">IF((F131-K131)&lt;&gt;0,M$1-A131," ")</f>
        <v> </v>
      </c>
    </row>
    <row r="132" customFormat="false" ht="12" hidden="false" customHeight="false" outlineLevel="0" collapsed="false">
      <c r="A132" s="28"/>
      <c r="E132" s="2"/>
      <c r="G132" s="6" t="str">
        <f aca="false">IF(F132&lt;&gt;0,F132*G$2/(100+G$2)," ")</f>
        <v> </v>
      </c>
      <c r="H132" s="6" t="str">
        <f aca="false">IF((F132&lt;&gt;0),F132-G132," ")</f>
        <v> </v>
      </c>
      <c r="L132" s="7" t="str">
        <f aca="false">IF(F132&lt;&gt;0,F132-K132," ")</f>
        <v> </v>
      </c>
      <c r="M132" s="8" t="str">
        <f aca="false">IF((F132-K132)&lt;&gt;0,M$1-A132," ")</f>
        <v> </v>
      </c>
    </row>
    <row r="133" customFormat="false" ht="12" hidden="false" customHeight="false" outlineLevel="0" collapsed="false">
      <c r="A133" s="28"/>
      <c r="E133" s="2"/>
      <c r="G133" s="6" t="str">
        <f aca="false">IF(F133&lt;&gt;0,F133*G$2/(100+G$2)," ")</f>
        <v> </v>
      </c>
      <c r="H133" s="6" t="str">
        <f aca="false">IF((F133&lt;&gt;0),F133-G133," ")</f>
        <v> </v>
      </c>
      <c r="L133" s="7" t="str">
        <f aca="false">IF(F133&lt;&gt;0,F133-K133," ")</f>
        <v> </v>
      </c>
      <c r="M133" s="8" t="str">
        <f aca="false">IF((F133-K133)&lt;&gt;0,M$1-A133," ")</f>
        <v> </v>
      </c>
    </row>
    <row r="134" customFormat="false" ht="12" hidden="false" customHeight="false" outlineLevel="0" collapsed="false">
      <c r="A134" s="28"/>
      <c r="E134" s="2"/>
      <c r="G134" s="6" t="str">
        <f aca="false">IF(F134&lt;&gt;0,F134*G$2/(100+G$2)," ")</f>
        <v> </v>
      </c>
      <c r="H134" s="6" t="str">
        <f aca="false">IF((F134&lt;&gt;0),F134-G134," ")</f>
        <v> </v>
      </c>
      <c r="L134" s="7" t="str">
        <f aca="false">IF(F134&lt;&gt;0,F134-K134," ")</f>
        <v> </v>
      </c>
      <c r="M134" s="8" t="str">
        <f aca="false">IF((F134-K134)&lt;&gt;0,M$1-A134," ")</f>
        <v> </v>
      </c>
    </row>
    <row r="135" customFormat="false" ht="12" hidden="false" customHeight="false" outlineLevel="0" collapsed="false">
      <c r="A135" s="28"/>
      <c r="E135" s="2"/>
      <c r="G135" s="6" t="str">
        <f aca="false">IF(F135&lt;&gt;0,F135*G$2/(100+G$2)," ")</f>
        <v> </v>
      </c>
      <c r="H135" s="6" t="str">
        <f aca="false">IF((F135&lt;&gt;0),F135-G135," ")</f>
        <v> </v>
      </c>
      <c r="L135" s="7" t="str">
        <f aca="false">IF(F135&lt;&gt;0,F135-K135," ")</f>
        <v> </v>
      </c>
      <c r="M135" s="8" t="str">
        <f aca="false">IF((F135-K135)&lt;&gt;0,M$1-A135," ")</f>
        <v> </v>
      </c>
    </row>
    <row r="136" customFormat="false" ht="12" hidden="false" customHeight="false" outlineLevel="0" collapsed="false">
      <c r="A136" s="28"/>
      <c r="E136" s="2"/>
      <c r="G136" s="6" t="str">
        <f aca="false">IF(F136&lt;&gt;0,F136*G$2/(100+G$2)," ")</f>
        <v> </v>
      </c>
      <c r="H136" s="6" t="str">
        <f aca="false">IF((F136&lt;&gt;0),F136-G136," ")</f>
        <v> </v>
      </c>
      <c r="L136" s="7" t="str">
        <f aca="false">IF(F136&lt;&gt;0,F136-K136," ")</f>
        <v> </v>
      </c>
      <c r="M136" s="8" t="str">
        <f aca="false">IF((F136-K136)&lt;&gt;0,M$1-A136," ")</f>
        <v> </v>
      </c>
    </row>
    <row r="137" customFormat="false" ht="12" hidden="false" customHeight="false" outlineLevel="0" collapsed="false">
      <c r="A137" s="28"/>
      <c r="E137" s="2"/>
      <c r="G137" s="6" t="str">
        <f aca="false">IF(F137&lt;&gt;0,F137*G$2/(100+G$2)," ")</f>
        <v> </v>
      </c>
      <c r="H137" s="6" t="str">
        <f aca="false">IF((F137&lt;&gt;0),F137-G137," ")</f>
        <v> </v>
      </c>
      <c r="L137" s="7" t="str">
        <f aca="false">IF(F137&lt;&gt;0,F137-K137," ")</f>
        <v> </v>
      </c>
      <c r="M137" s="8" t="str">
        <f aca="false">IF((F137-K137)&lt;&gt;0,M$1-A137," ")</f>
        <v> </v>
      </c>
    </row>
    <row r="138" customFormat="false" ht="12" hidden="false" customHeight="false" outlineLevel="0" collapsed="false">
      <c r="A138" s="28"/>
      <c r="E138" s="2"/>
      <c r="G138" s="6" t="str">
        <f aca="false">IF(F138&lt;&gt;0,F138*G$2/(100+G$2)," ")</f>
        <v> </v>
      </c>
      <c r="H138" s="6" t="str">
        <f aca="false">IF((F138&lt;&gt;0),F138-G138," ")</f>
        <v> </v>
      </c>
      <c r="L138" s="7" t="str">
        <f aca="false">IF(F138&lt;&gt;0,F138-K138," ")</f>
        <v> </v>
      </c>
      <c r="M138" s="8" t="str">
        <f aca="false">IF((F138-K138)&lt;&gt;0,M$1-A138," ")</f>
        <v> </v>
      </c>
    </row>
    <row r="139" customFormat="false" ht="12" hidden="false" customHeight="false" outlineLevel="0" collapsed="false">
      <c r="A139" s="28"/>
      <c r="E139" s="2"/>
      <c r="G139" s="6" t="str">
        <f aca="false">IF(F139&lt;&gt;0,F139*G$2/(100+G$2)," ")</f>
        <v> </v>
      </c>
      <c r="H139" s="6" t="str">
        <f aca="false">IF((F139&lt;&gt;0),F139-G139," ")</f>
        <v> </v>
      </c>
      <c r="L139" s="7" t="str">
        <f aca="false">IF(F139&lt;&gt;0,F139-K139," ")</f>
        <v> </v>
      </c>
      <c r="M139" s="8" t="str">
        <f aca="false">IF((F139-K139)&lt;&gt;0,M$1-A139," ")</f>
        <v> </v>
      </c>
    </row>
    <row r="140" customFormat="false" ht="12" hidden="false" customHeight="false" outlineLevel="0" collapsed="false">
      <c r="A140" s="28"/>
      <c r="E140" s="2"/>
      <c r="G140" s="6" t="str">
        <f aca="false">IF(F140&lt;&gt;0,F140*G$2/(100+G$2)," ")</f>
        <v> </v>
      </c>
      <c r="H140" s="6" t="str">
        <f aca="false">IF((F140&lt;&gt;0),F140-G140," ")</f>
        <v> </v>
      </c>
      <c r="L140" s="7" t="str">
        <f aca="false">IF(F140&lt;&gt;0,F140-K140," ")</f>
        <v> </v>
      </c>
      <c r="M140" s="8" t="str">
        <f aca="false">IF((F140-K140)&lt;&gt;0,M$1-A140," ")</f>
        <v> </v>
      </c>
    </row>
    <row r="141" customFormat="false" ht="12" hidden="false" customHeight="false" outlineLevel="0" collapsed="false">
      <c r="A141" s="28"/>
      <c r="E141" s="2"/>
      <c r="G141" s="6" t="str">
        <f aca="false">IF(F141&lt;&gt;0,F141*G$2/(100+G$2)," ")</f>
        <v> </v>
      </c>
      <c r="H141" s="6" t="str">
        <f aca="false">IF((F141&lt;&gt;0),F141-G141," ")</f>
        <v> </v>
      </c>
      <c r="L141" s="7" t="str">
        <f aca="false">IF(F141&lt;&gt;0,F141-K141," ")</f>
        <v> </v>
      </c>
      <c r="M141" s="8" t="str">
        <f aca="false">IF((F141-K141)&lt;&gt;0,M$1-A141," ")</f>
        <v> </v>
      </c>
    </row>
    <row r="142" customFormat="false" ht="12" hidden="false" customHeight="false" outlineLevel="0" collapsed="false">
      <c r="A142" s="28"/>
      <c r="E142" s="2"/>
      <c r="G142" s="6" t="str">
        <f aca="false">IF(F142&lt;&gt;0,F142*G$2/(100+G$2)," ")</f>
        <v> </v>
      </c>
      <c r="H142" s="6" t="str">
        <f aca="false">IF((F142&lt;&gt;0),F142-G142," ")</f>
        <v> </v>
      </c>
      <c r="L142" s="7" t="str">
        <f aca="false">IF(F142&lt;&gt;0,F142-K142," ")</f>
        <v> </v>
      </c>
      <c r="M142" s="8" t="str">
        <f aca="false">IF((F142-K142)&lt;&gt;0,M$1-A142," ")</f>
        <v> </v>
      </c>
    </row>
    <row r="143" customFormat="false" ht="12" hidden="false" customHeight="false" outlineLevel="0" collapsed="false">
      <c r="A143" s="28"/>
      <c r="E143" s="2"/>
      <c r="G143" s="6" t="str">
        <f aca="false">IF(F143&lt;&gt;0,F143*G$2/(100+G$2)," ")</f>
        <v> </v>
      </c>
      <c r="H143" s="6" t="str">
        <f aca="false">IF((F143&lt;&gt;0),F143-G143," ")</f>
        <v> </v>
      </c>
      <c r="L143" s="7" t="str">
        <f aca="false">IF(F143&lt;&gt;0,F143-K143," ")</f>
        <v> </v>
      </c>
      <c r="M143" s="8" t="str">
        <f aca="false">IF((F143-K143)&lt;&gt;0,M$1-A143," ")</f>
        <v> </v>
      </c>
    </row>
    <row r="144" customFormat="false" ht="12" hidden="false" customHeight="false" outlineLevel="0" collapsed="false">
      <c r="A144" s="28"/>
      <c r="E144" s="2"/>
      <c r="G144" s="6" t="str">
        <f aca="false">IF(F144&lt;&gt;0,F144*G$2/(100+G$2)," ")</f>
        <v> </v>
      </c>
      <c r="H144" s="6" t="str">
        <f aca="false">IF((F144&lt;&gt;0),F144-G144," ")</f>
        <v> </v>
      </c>
      <c r="L144" s="7" t="str">
        <f aca="false">IF(F144&lt;&gt;0,F144-K144," ")</f>
        <v> </v>
      </c>
      <c r="M144" s="8" t="str">
        <f aca="false">IF((F144-K144)&lt;&gt;0,M$1-A144," ")</f>
        <v> </v>
      </c>
    </row>
    <row r="145" customFormat="false" ht="12" hidden="false" customHeight="false" outlineLevel="0" collapsed="false">
      <c r="A145" s="28"/>
      <c r="E145" s="2"/>
      <c r="G145" s="6" t="str">
        <f aca="false">IF(F145&lt;&gt;0,F145*G$2/(100+G$2)," ")</f>
        <v> </v>
      </c>
      <c r="H145" s="6" t="str">
        <f aca="false">IF((F145&lt;&gt;0),F145-G145," ")</f>
        <v> </v>
      </c>
      <c r="L145" s="7" t="str">
        <f aca="false">IF(F145&lt;&gt;0,F145-K145," ")</f>
        <v> </v>
      </c>
      <c r="M145" s="8" t="str">
        <f aca="false">IF((F145-K145)&lt;&gt;0,M$1-A145," ")</f>
        <v> </v>
      </c>
    </row>
    <row r="146" customFormat="false" ht="12" hidden="false" customHeight="false" outlineLevel="0" collapsed="false">
      <c r="A146" s="28"/>
      <c r="E146" s="2"/>
      <c r="G146" s="6" t="str">
        <f aca="false">IF(F146&lt;&gt;0,F146*G$2/(100+G$2)," ")</f>
        <v> </v>
      </c>
      <c r="H146" s="6" t="str">
        <f aca="false">IF((F146&lt;&gt;0),F146-G146," ")</f>
        <v> </v>
      </c>
      <c r="L146" s="7" t="str">
        <f aca="false">IF(F146&lt;&gt;0,F146-K146," ")</f>
        <v> </v>
      </c>
      <c r="M146" s="8" t="str">
        <f aca="false">IF((F146-K146)&lt;&gt;0,M$1-A146," ")</f>
        <v> </v>
      </c>
    </row>
    <row r="147" customFormat="false" ht="12" hidden="false" customHeight="false" outlineLevel="0" collapsed="false">
      <c r="A147" s="28"/>
      <c r="E147" s="2"/>
      <c r="G147" s="6" t="str">
        <f aca="false">IF(F147&lt;&gt;0,F147*G$2/(100+G$2)," ")</f>
        <v> </v>
      </c>
      <c r="H147" s="6" t="str">
        <f aca="false">IF((F147&lt;&gt;0),F147-G147," ")</f>
        <v> </v>
      </c>
      <c r="L147" s="7" t="str">
        <f aca="false">IF(F147&lt;&gt;0,F147-K147," ")</f>
        <v> </v>
      </c>
      <c r="M147" s="8" t="str">
        <f aca="false">IF((F147-K147)&lt;&gt;0,M$1-A147," ")</f>
        <v> </v>
      </c>
    </row>
    <row r="148" customFormat="false" ht="12" hidden="false" customHeight="false" outlineLevel="0" collapsed="false">
      <c r="A148" s="28"/>
      <c r="E148" s="2"/>
      <c r="G148" s="6" t="str">
        <f aca="false">IF(F148&lt;&gt;0,F148*G$2/(100+G$2)," ")</f>
        <v> </v>
      </c>
      <c r="H148" s="6" t="str">
        <f aca="false">IF((F148&lt;&gt;0),F148-G148," ")</f>
        <v> </v>
      </c>
      <c r="L148" s="7" t="str">
        <f aca="false">IF(F148&lt;&gt;0,F148-K148," ")</f>
        <v> </v>
      </c>
      <c r="M148" s="8" t="str">
        <f aca="false">IF((F148-K148)&lt;&gt;0,M$1-A148," ")</f>
        <v> </v>
      </c>
    </row>
    <row r="149" customFormat="false" ht="12" hidden="false" customHeight="false" outlineLevel="0" collapsed="false">
      <c r="A149" s="28"/>
      <c r="E149" s="2"/>
      <c r="G149" s="6" t="str">
        <f aca="false">IF(F149&lt;&gt;0,F149*G$2/(100+G$2)," ")</f>
        <v> </v>
      </c>
      <c r="H149" s="6" t="str">
        <f aca="false">IF((F149&lt;&gt;0),F149-G149," ")</f>
        <v> </v>
      </c>
      <c r="L149" s="7" t="str">
        <f aca="false">IF(F149&lt;&gt;0,F149-K149," ")</f>
        <v> </v>
      </c>
      <c r="M149" s="8" t="str">
        <f aca="false">IF((F149-K149)&lt;&gt;0,M$1-A149," ")</f>
        <v> </v>
      </c>
    </row>
    <row r="150" customFormat="false" ht="12" hidden="false" customHeight="false" outlineLevel="0" collapsed="false">
      <c r="A150" s="28"/>
      <c r="E150" s="2"/>
      <c r="G150" s="6" t="str">
        <f aca="false">IF(F150&lt;&gt;0,F150*G$2/(100+G$2)," ")</f>
        <v> </v>
      </c>
      <c r="H150" s="6" t="str">
        <f aca="false">IF((F150&lt;&gt;0),F150-G150," ")</f>
        <v> </v>
      </c>
      <c r="L150" s="7" t="str">
        <f aca="false">IF(F150&lt;&gt;0,F150-K150," ")</f>
        <v> </v>
      </c>
      <c r="M150" s="8" t="str">
        <f aca="false">IF((F150-K150)&lt;&gt;0,M$1-A150," ")</f>
        <v> </v>
      </c>
    </row>
    <row r="151" customFormat="false" ht="12" hidden="false" customHeight="false" outlineLevel="0" collapsed="false">
      <c r="A151" s="28"/>
      <c r="E151" s="2"/>
      <c r="G151" s="6" t="str">
        <f aca="false">IF(F151&lt;&gt;0,F151*G$2/(100+G$2)," ")</f>
        <v> </v>
      </c>
      <c r="H151" s="6" t="str">
        <f aca="false">IF((F151&lt;&gt;0),F151-G151," ")</f>
        <v> </v>
      </c>
      <c r="L151" s="7" t="str">
        <f aca="false">IF(F151&lt;&gt;0,F151-K151," ")</f>
        <v> </v>
      </c>
      <c r="M151" s="8" t="str">
        <f aca="false">IF((F151-K151)&lt;&gt;0,M$1-A151," ")</f>
        <v> </v>
      </c>
    </row>
    <row r="152" customFormat="false" ht="12" hidden="false" customHeight="false" outlineLevel="0" collapsed="false">
      <c r="A152" s="28"/>
      <c r="E152" s="2"/>
      <c r="G152" s="6" t="str">
        <f aca="false">IF(F152&lt;&gt;0,F152*G$2/(100+G$2)," ")</f>
        <v> </v>
      </c>
      <c r="H152" s="6" t="str">
        <f aca="false">IF((F152&lt;&gt;0),F152-G152," ")</f>
        <v> </v>
      </c>
      <c r="L152" s="7" t="str">
        <f aca="false">IF(F152&lt;&gt;0,F152-K152," ")</f>
        <v> </v>
      </c>
      <c r="M152" s="8" t="str">
        <f aca="false">IF((F152-K152)&lt;&gt;0,M$1-A152," ")</f>
        <v> </v>
      </c>
    </row>
    <row r="153" customFormat="false" ht="12" hidden="false" customHeight="false" outlineLevel="0" collapsed="false">
      <c r="A153" s="28"/>
      <c r="E153" s="2"/>
      <c r="G153" s="6" t="str">
        <f aca="false">IF(F153&lt;&gt;0,F153*G$2/(100+G$2)," ")</f>
        <v> </v>
      </c>
      <c r="H153" s="6" t="str">
        <f aca="false">IF((F153&lt;&gt;0),F153-G153," ")</f>
        <v> </v>
      </c>
      <c r="L153" s="7" t="str">
        <f aca="false">IF(F153&lt;&gt;0,F153-K153," ")</f>
        <v> </v>
      </c>
      <c r="M153" s="8" t="str">
        <f aca="false">IF((F153-K153)&lt;&gt;0,M$1-A153," ")</f>
        <v> </v>
      </c>
    </row>
    <row r="154" customFormat="false" ht="12" hidden="false" customHeight="false" outlineLevel="0" collapsed="false">
      <c r="A154" s="28"/>
      <c r="E154" s="2"/>
      <c r="G154" s="6" t="str">
        <f aca="false">IF(F154&lt;&gt;0,F154*G$2/(100+G$2)," ")</f>
        <v> </v>
      </c>
      <c r="H154" s="6" t="str">
        <f aca="false">IF((F154&lt;&gt;0),F154-G154," ")</f>
        <v> </v>
      </c>
      <c r="L154" s="7" t="str">
        <f aca="false">IF(F154&lt;&gt;0,F154-K154," ")</f>
        <v> </v>
      </c>
      <c r="M154" s="8" t="str">
        <f aca="false">IF((F154-K154)&lt;&gt;0,M$1-A154," ")</f>
        <v> </v>
      </c>
    </row>
    <row r="155" customFormat="false" ht="12" hidden="false" customHeight="false" outlineLevel="0" collapsed="false">
      <c r="A155" s="28"/>
      <c r="E155" s="2"/>
      <c r="G155" s="6" t="str">
        <f aca="false">IF(F155&lt;&gt;0,F155*G$2/(100+G$2)," ")</f>
        <v> </v>
      </c>
      <c r="H155" s="6" t="str">
        <f aca="false">IF((F155&lt;&gt;0),F155-G155," ")</f>
        <v> </v>
      </c>
      <c r="L155" s="7" t="str">
        <f aca="false">IF(F155&lt;&gt;0,F155-K155," ")</f>
        <v> </v>
      </c>
      <c r="M155" s="8" t="str">
        <f aca="false">IF((F155-K155)&lt;&gt;0,M$1-A155," ")</f>
        <v> </v>
      </c>
    </row>
    <row r="156" customFormat="false" ht="12" hidden="false" customHeight="false" outlineLevel="0" collapsed="false">
      <c r="A156" s="28"/>
      <c r="E156" s="2"/>
      <c r="G156" s="6" t="str">
        <f aca="false">IF(F156&lt;&gt;0,F156*G$2/(100+G$2)," ")</f>
        <v> </v>
      </c>
      <c r="H156" s="6" t="str">
        <f aca="false">IF((F156&lt;&gt;0),F156-G156," ")</f>
        <v> </v>
      </c>
      <c r="L156" s="7" t="str">
        <f aca="false">IF(F156&lt;&gt;0,F156-K156," ")</f>
        <v> </v>
      </c>
      <c r="M156" s="8" t="str">
        <f aca="false">IF((F156-K156)&lt;&gt;0,M$1-A156," ")</f>
        <v> </v>
      </c>
    </row>
    <row r="157" customFormat="false" ht="12" hidden="false" customHeight="false" outlineLevel="0" collapsed="false">
      <c r="A157" s="28"/>
      <c r="E157" s="2"/>
      <c r="G157" s="6" t="str">
        <f aca="false">IF(F157&lt;&gt;0,F157*G$2/(100+G$2)," ")</f>
        <v> </v>
      </c>
      <c r="H157" s="6" t="str">
        <f aca="false">IF((F157&lt;&gt;0),F157-G157," ")</f>
        <v> </v>
      </c>
      <c r="L157" s="7" t="str">
        <f aca="false">IF(F157&lt;&gt;0,F157-K157," ")</f>
        <v> </v>
      </c>
      <c r="M157" s="8" t="str">
        <f aca="false">IF((F157-K157)&lt;&gt;0,M$1-A157," ")</f>
        <v> </v>
      </c>
    </row>
    <row r="158" customFormat="false" ht="12" hidden="false" customHeight="false" outlineLevel="0" collapsed="false">
      <c r="A158" s="28"/>
      <c r="E158" s="2"/>
      <c r="G158" s="6" t="str">
        <f aca="false">IF(F158&lt;&gt;0,F158*G$2/(100+G$2)," ")</f>
        <v> </v>
      </c>
      <c r="H158" s="6" t="str">
        <f aca="false">IF((F158&lt;&gt;0),F158-G158," ")</f>
        <v> </v>
      </c>
      <c r="L158" s="7" t="str">
        <f aca="false">IF(F158&lt;&gt;0,F158-K158," ")</f>
        <v> </v>
      </c>
      <c r="M158" s="8" t="str">
        <f aca="false">IF((F158-K158)&lt;&gt;0,M$1-A158," ")</f>
        <v> </v>
      </c>
    </row>
    <row r="159" customFormat="false" ht="12" hidden="false" customHeight="false" outlineLevel="0" collapsed="false">
      <c r="A159" s="28"/>
      <c r="E159" s="2"/>
      <c r="G159" s="6" t="str">
        <f aca="false">IF(F159&lt;&gt;0,F159*G$2/(100+G$2)," ")</f>
        <v> </v>
      </c>
      <c r="H159" s="6" t="str">
        <f aca="false">IF((F159&lt;&gt;0),F159-G159," ")</f>
        <v> </v>
      </c>
      <c r="L159" s="7" t="str">
        <f aca="false">IF(F159&lt;&gt;0,F159-K159," ")</f>
        <v> </v>
      </c>
      <c r="M159" s="8" t="str">
        <f aca="false">IF((F159-K159)&lt;&gt;0,M$1-A159," ")</f>
        <v> </v>
      </c>
    </row>
    <row r="160" customFormat="false" ht="12" hidden="false" customHeight="false" outlineLevel="0" collapsed="false">
      <c r="A160" s="28"/>
      <c r="E160" s="2"/>
      <c r="G160" s="6" t="str">
        <f aca="false">IF(F160&lt;&gt;0,F160*G$2/(100+G$2)," ")</f>
        <v> </v>
      </c>
      <c r="H160" s="6" t="str">
        <f aca="false">IF((F160&lt;&gt;0),F160-G160," ")</f>
        <v> </v>
      </c>
      <c r="L160" s="7" t="str">
        <f aca="false">IF(F160&lt;&gt;0,F160-K160," ")</f>
        <v> </v>
      </c>
      <c r="M160" s="8" t="str">
        <f aca="false">IF((F160-K160)&lt;&gt;0,M$1-A160," ")</f>
        <v> </v>
      </c>
    </row>
    <row r="161" customFormat="false" ht="12" hidden="false" customHeight="false" outlineLevel="0" collapsed="false">
      <c r="A161" s="28"/>
      <c r="E161" s="2"/>
      <c r="G161" s="6" t="str">
        <f aca="false">IF(F161&lt;&gt;0,F161*G$2/(100+G$2)," ")</f>
        <v> </v>
      </c>
      <c r="H161" s="6" t="str">
        <f aca="false">IF((F161&lt;&gt;0),F161-G161," ")</f>
        <v> </v>
      </c>
      <c r="L161" s="7" t="str">
        <f aca="false">IF(F161&lt;&gt;0,F161-K161," ")</f>
        <v> </v>
      </c>
      <c r="M161" s="8" t="str">
        <f aca="false">IF((F161-K161)&lt;&gt;0,M$1-A161," ")</f>
        <v> </v>
      </c>
    </row>
    <row r="162" customFormat="false" ht="12" hidden="false" customHeight="false" outlineLevel="0" collapsed="false">
      <c r="A162" s="28"/>
      <c r="E162" s="2"/>
      <c r="G162" s="6" t="str">
        <f aca="false">IF(F162&lt;&gt;0,F162*G$2/(100+G$2)," ")</f>
        <v> </v>
      </c>
      <c r="H162" s="6" t="str">
        <f aca="false">IF((F162&lt;&gt;0),F162-G162," ")</f>
        <v> </v>
      </c>
      <c r="L162" s="7" t="str">
        <f aca="false">IF(F162&lt;&gt;0,F162-K162," ")</f>
        <v> </v>
      </c>
      <c r="M162" s="8" t="str">
        <f aca="false">IF((F162-K162)&lt;&gt;0,M$1-A162," ")</f>
        <v> </v>
      </c>
    </row>
    <row r="163" customFormat="false" ht="12" hidden="false" customHeight="false" outlineLevel="0" collapsed="false">
      <c r="A163" s="28"/>
      <c r="E163" s="2"/>
      <c r="G163" s="6" t="str">
        <f aca="false">IF(F163&lt;&gt;0,F163*G$2/(100+G$2)," ")</f>
        <v> </v>
      </c>
      <c r="H163" s="6" t="str">
        <f aca="false">IF((F163&lt;&gt;0),F163-G163," ")</f>
        <v> </v>
      </c>
      <c r="L163" s="7" t="str">
        <f aca="false">IF(F163&lt;&gt;0,F163-K163," ")</f>
        <v> </v>
      </c>
      <c r="M163" s="8" t="str">
        <f aca="false">IF((F163-K163)&lt;&gt;0,M$1-A163," ")</f>
        <v> </v>
      </c>
    </row>
    <row r="164" customFormat="false" ht="12" hidden="false" customHeight="false" outlineLevel="0" collapsed="false">
      <c r="A164" s="28"/>
      <c r="E164" s="2"/>
      <c r="G164" s="6" t="str">
        <f aca="false">IF(F164&lt;&gt;0,F164*G$2/(100+G$2)," ")</f>
        <v> </v>
      </c>
      <c r="H164" s="6" t="str">
        <f aca="false">IF((F164&lt;&gt;0),F164-G164," ")</f>
        <v> </v>
      </c>
      <c r="L164" s="7" t="str">
        <f aca="false">IF(F164&lt;&gt;0,F164-K164," ")</f>
        <v> </v>
      </c>
      <c r="M164" s="8" t="str">
        <f aca="false">IF((F164-K164)&lt;&gt;0,M$1-A164," ")</f>
        <v> </v>
      </c>
    </row>
    <row r="165" customFormat="false" ht="12" hidden="false" customHeight="false" outlineLevel="0" collapsed="false">
      <c r="A165" s="28"/>
      <c r="E165" s="2"/>
      <c r="G165" s="6" t="str">
        <f aca="false">IF(F165&lt;&gt;0,F165*G$2/(100+G$2)," ")</f>
        <v> </v>
      </c>
      <c r="H165" s="6" t="str">
        <f aca="false">IF((F165&lt;&gt;0),F165-G165," ")</f>
        <v> </v>
      </c>
      <c r="L165" s="7" t="str">
        <f aca="false">IF(F165&lt;&gt;0,F165-K165," ")</f>
        <v> </v>
      </c>
      <c r="M165" s="8" t="str">
        <f aca="false">IF((F165-K165)&lt;&gt;0,M$1-A165," ")</f>
        <v> </v>
      </c>
    </row>
    <row r="166" customFormat="false" ht="12" hidden="false" customHeight="false" outlineLevel="0" collapsed="false">
      <c r="A166" s="28"/>
      <c r="E166" s="2"/>
      <c r="G166" s="6" t="str">
        <f aca="false">IF(F166&lt;&gt;0,F166*G$2/(100+G$2)," ")</f>
        <v> </v>
      </c>
      <c r="H166" s="6" t="str">
        <f aca="false">IF((F166&lt;&gt;0),F166-G166," ")</f>
        <v> </v>
      </c>
      <c r="L166" s="7" t="str">
        <f aca="false">IF(F166&lt;&gt;0,F166-K166," ")</f>
        <v> </v>
      </c>
      <c r="M166" s="8" t="str">
        <f aca="false">IF((F166-K166)&lt;&gt;0,M$1-A166," ")</f>
        <v> </v>
      </c>
    </row>
    <row r="167" customFormat="false" ht="12" hidden="false" customHeight="false" outlineLevel="0" collapsed="false">
      <c r="A167" s="28"/>
      <c r="E167" s="2"/>
      <c r="G167" s="6" t="str">
        <f aca="false">IF(F167&lt;&gt;0,F167*G$2/(100+G$2)," ")</f>
        <v> </v>
      </c>
      <c r="H167" s="6" t="str">
        <f aca="false">IF((F167&lt;&gt;0),F167-G167," ")</f>
        <v> </v>
      </c>
      <c r="L167" s="7" t="str">
        <f aca="false">IF(F167&lt;&gt;0,F167-K167," ")</f>
        <v> </v>
      </c>
      <c r="M167" s="8" t="str">
        <f aca="false">IF((F167-K167)&lt;&gt;0,M$1-A167," ")</f>
        <v> </v>
      </c>
    </row>
    <row r="168" customFormat="false" ht="12" hidden="false" customHeight="false" outlineLevel="0" collapsed="false">
      <c r="A168" s="28"/>
      <c r="E168" s="2"/>
      <c r="G168" s="6" t="str">
        <f aca="false">IF(F168&lt;&gt;0,F168*G$2/(100+G$2)," ")</f>
        <v> </v>
      </c>
      <c r="H168" s="6" t="str">
        <f aca="false">IF((F168&lt;&gt;0),F168-G168," ")</f>
        <v> </v>
      </c>
      <c r="L168" s="7" t="str">
        <f aca="false">IF(F168&lt;&gt;0,F168-K168," ")</f>
        <v> </v>
      </c>
      <c r="M168" s="8" t="str">
        <f aca="false">IF((F168-K168)&lt;&gt;0,M$1-A168," ")</f>
        <v> </v>
      </c>
    </row>
    <row r="169" customFormat="false" ht="12" hidden="false" customHeight="false" outlineLevel="0" collapsed="false">
      <c r="A169" s="28"/>
      <c r="E169" s="2"/>
      <c r="G169" s="6" t="str">
        <f aca="false">IF(F169&lt;&gt;0,F169*G$2/(100+G$2)," ")</f>
        <v> </v>
      </c>
      <c r="H169" s="6" t="str">
        <f aca="false">IF((F169&lt;&gt;0),F169-G169," ")</f>
        <v> </v>
      </c>
      <c r="L169" s="7" t="str">
        <f aca="false">IF(F169&lt;&gt;0,F169-K169," ")</f>
        <v> </v>
      </c>
      <c r="M169" s="8" t="str">
        <f aca="false">IF((F169-K169)&lt;&gt;0,M$1-A169," ")</f>
        <v> </v>
      </c>
    </row>
    <row r="170" customFormat="false" ht="12" hidden="false" customHeight="false" outlineLevel="0" collapsed="false">
      <c r="A170" s="28"/>
      <c r="E170" s="2"/>
      <c r="G170" s="6" t="str">
        <f aca="false">IF(F170&lt;&gt;0,F170*G$2/(100+G$2)," ")</f>
        <v> </v>
      </c>
      <c r="H170" s="6" t="str">
        <f aca="false">IF((F170&lt;&gt;0),F170-G170," ")</f>
        <v> </v>
      </c>
      <c r="L170" s="7" t="str">
        <f aca="false">IF(F170&lt;&gt;0,F170-K170," ")</f>
        <v> </v>
      </c>
      <c r="M170" s="8" t="str">
        <f aca="false">IF((F170-K170)&lt;&gt;0,M$1-A170," ")</f>
        <v> </v>
      </c>
    </row>
    <row r="171" customFormat="false" ht="12" hidden="false" customHeight="false" outlineLevel="0" collapsed="false">
      <c r="A171" s="28"/>
      <c r="E171" s="2"/>
      <c r="G171" s="6" t="str">
        <f aca="false">IF(F171&lt;&gt;0,F171*G$2/(100+G$2)," ")</f>
        <v> </v>
      </c>
      <c r="H171" s="6" t="str">
        <f aca="false">IF((F171&lt;&gt;0),F171-G171," ")</f>
        <v> </v>
      </c>
      <c r="L171" s="7" t="str">
        <f aca="false">IF(F171&lt;&gt;0,F171-K171," ")</f>
        <v> </v>
      </c>
      <c r="M171" s="8" t="str">
        <f aca="false">IF((F171-K171)&lt;&gt;0,M$1-A171," ")</f>
        <v> </v>
      </c>
    </row>
    <row r="172" customFormat="false" ht="12" hidden="false" customHeight="false" outlineLevel="0" collapsed="false">
      <c r="A172" s="28"/>
      <c r="E172" s="2"/>
      <c r="G172" s="6" t="str">
        <f aca="false">IF(F172&lt;&gt;0,F172*G$2/(100+G$2)," ")</f>
        <v> </v>
      </c>
      <c r="H172" s="6" t="str">
        <f aca="false">IF((F172&lt;&gt;0),F172-G172," ")</f>
        <v> </v>
      </c>
      <c r="L172" s="7" t="str">
        <f aca="false">IF(F172&lt;&gt;0,F172-K172," ")</f>
        <v> </v>
      </c>
      <c r="M172" s="8" t="str">
        <f aca="false">IF((F172-K172)&lt;&gt;0,M$1-A172," ")</f>
        <v> </v>
      </c>
    </row>
    <row r="173" customFormat="false" ht="12" hidden="false" customHeight="false" outlineLevel="0" collapsed="false">
      <c r="A173" s="28"/>
      <c r="E173" s="2"/>
      <c r="G173" s="6" t="str">
        <f aca="false">IF(F173&lt;&gt;0,F173*G$2/(100+G$2)," ")</f>
        <v> </v>
      </c>
      <c r="H173" s="6" t="str">
        <f aca="false">IF((F173&lt;&gt;0),F173-G173," ")</f>
        <v> </v>
      </c>
      <c r="L173" s="7" t="str">
        <f aca="false">IF(F173&lt;&gt;0,F173-K173," ")</f>
        <v> </v>
      </c>
      <c r="M173" s="8" t="str">
        <f aca="false">IF((F173-K173)&lt;&gt;0,M$1-A173," ")</f>
        <v> </v>
      </c>
    </row>
    <row r="174" customFormat="false" ht="12" hidden="false" customHeight="false" outlineLevel="0" collapsed="false">
      <c r="A174" s="28"/>
      <c r="E174" s="2"/>
      <c r="G174" s="6" t="str">
        <f aca="false">IF(F174&lt;&gt;0,F174*G$2/(100+G$2)," ")</f>
        <v> </v>
      </c>
      <c r="H174" s="6" t="str">
        <f aca="false">IF((F174&lt;&gt;0),F174-G174," ")</f>
        <v> </v>
      </c>
      <c r="L174" s="7" t="str">
        <f aca="false">IF(F174&lt;&gt;0,F174-K174," ")</f>
        <v> </v>
      </c>
      <c r="M174" s="8" t="str">
        <f aca="false">IF((F174-K174)&lt;&gt;0,M$1-A174," ")</f>
        <v> </v>
      </c>
    </row>
    <row r="175" customFormat="false" ht="12" hidden="false" customHeight="false" outlineLevel="0" collapsed="false">
      <c r="A175" s="28"/>
      <c r="E175" s="2"/>
      <c r="G175" s="6" t="str">
        <f aca="false">IF(F175&lt;&gt;0,F175*G$2/(100+G$2)," ")</f>
        <v> </v>
      </c>
      <c r="H175" s="6" t="str">
        <f aca="false">IF((F175&lt;&gt;0),F175-G175," ")</f>
        <v> </v>
      </c>
      <c r="L175" s="7" t="str">
        <f aca="false">IF(F175&lt;&gt;0,F175-K175," ")</f>
        <v> </v>
      </c>
      <c r="M175" s="8" t="str">
        <f aca="false">IF((F175-K175)&lt;&gt;0,M$1-A175," ")</f>
        <v> </v>
      </c>
    </row>
    <row r="176" customFormat="false" ht="12" hidden="false" customHeight="false" outlineLevel="0" collapsed="false">
      <c r="A176" s="28"/>
      <c r="E176" s="2"/>
      <c r="G176" s="6" t="str">
        <f aca="false">IF(F176&lt;&gt;0,F176*G$2/(100+G$2)," ")</f>
        <v> </v>
      </c>
      <c r="H176" s="6" t="str">
        <f aca="false">IF((F176&lt;&gt;0),F176-G176," ")</f>
        <v> </v>
      </c>
      <c r="L176" s="7" t="str">
        <f aca="false">IF(F176&lt;&gt;0,F176-K176," ")</f>
        <v> </v>
      </c>
      <c r="M176" s="8" t="str">
        <f aca="false">IF((F176-K176)&lt;&gt;0,M$1-A176," ")</f>
        <v> </v>
      </c>
    </row>
    <row r="177" customFormat="false" ht="12" hidden="false" customHeight="false" outlineLevel="0" collapsed="false">
      <c r="A177" s="28"/>
      <c r="E177" s="2"/>
      <c r="G177" s="6" t="str">
        <f aca="false">IF(F177&lt;&gt;0,F177*G$2/(100+G$2)," ")</f>
        <v> </v>
      </c>
      <c r="H177" s="6" t="str">
        <f aca="false">IF((F177&lt;&gt;0),F177-G177," ")</f>
        <v> </v>
      </c>
      <c r="L177" s="7" t="str">
        <f aca="false">IF(F177&lt;&gt;0,F177-K177," ")</f>
        <v> </v>
      </c>
      <c r="M177" s="8" t="str">
        <f aca="false">IF((F177-K177)&lt;&gt;0,M$1-A177," ")</f>
        <v> </v>
      </c>
    </row>
    <row r="178" customFormat="false" ht="12" hidden="false" customHeight="false" outlineLevel="0" collapsed="false">
      <c r="A178" s="28"/>
      <c r="E178" s="2"/>
      <c r="G178" s="6" t="str">
        <f aca="false">IF(F178&lt;&gt;0,F178*G$2/(100+G$2)," ")</f>
        <v> </v>
      </c>
      <c r="H178" s="6" t="str">
        <f aca="false">IF((F178&lt;&gt;0),F178-G178," ")</f>
        <v> </v>
      </c>
      <c r="L178" s="7" t="str">
        <f aca="false">IF(F178&lt;&gt;0,F178-K178," ")</f>
        <v> </v>
      </c>
      <c r="M178" s="8" t="str">
        <f aca="false">IF((F178-K178)&lt;&gt;0,M$1-A178," ")</f>
        <v> </v>
      </c>
    </row>
    <row r="179" customFormat="false" ht="12" hidden="false" customHeight="false" outlineLevel="0" collapsed="false">
      <c r="A179" s="28"/>
      <c r="E179" s="2"/>
      <c r="G179" s="6" t="str">
        <f aca="false">IF(F179&lt;&gt;0,F179*G$2/(100+G$2)," ")</f>
        <v> </v>
      </c>
      <c r="H179" s="6" t="str">
        <f aca="false">IF((F179&lt;&gt;0),F179-G179," ")</f>
        <v> </v>
      </c>
      <c r="L179" s="7" t="str">
        <f aca="false">IF(F179&lt;&gt;0,F179-K179," ")</f>
        <v> </v>
      </c>
      <c r="M179" s="8" t="str">
        <f aca="false">IF((F179-K179)&lt;&gt;0,M$1-A179," ")</f>
        <v> </v>
      </c>
    </row>
    <row r="180" customFormat="false" ht="12" hidden="false" customHeight="false" outlineLevel="0" collapsed="false">
      <c r="A180" s="28"/>
      <c r="E180" s="2"/>
      <c r="G180" s="6" t="str">
        <f aca="false">IF(F180&lt;&gt;0,F180*G$2/(100+G$2)," ")</f>
        <v> </v>
      </c>
      <c r="H180" s="6" t="str">
        <f aca="false">IF((F180&lt;&gt;0),F180-G180," ")</f>
        <v> </v>
      </c>
      <c r="L180" s="7" t="str">
        <f aca="false">IF(F180&lt;&gt;0,F180-K180," ")</f>
        <v> </v>
      </c>
      <c r="M180" s="8" t="str">
        <f aca="false">IF((F180-K180)&lt;&gt;0,M$1-A180," ")</f>
        <v> </v>
      </c>
    </row>
    <row r="181" customFormat="false" ht="12" hidden="false" customHeight="false" outlineLevel="0" collapsed="false">
      <c r="A181" s="28"/>
      <c r="E181" s="2"/>
      <c r="G181" s="6" t="str">
        <f aca="false">IF(F181&lt;&gt;0,F181*G$2/(100+G$2)," ")</f>
        <v> </v>
      </c>
      <c r="H181" s="6" t="str">
        <f aca="false">IF((F181&lt;&gt;0),F181-G181," ")</f>
        <v> </v>
      </c>
      <c r="L181" s="7" t="str">
        <f aca="false">IF(F181&lt;&gt;0,F181-K181," ")</f>
        <v> </v>
      </c>
      <c r="M181" s="8" t="str">
        <f aca="false">IF((F181-K181)&lt;&gt;0,M$1-A181," ")</f>
        <v> </v>
      </c>
    </row>
    <row r="182" customFormat="false" ht="12" hidden="false" customHeight="false" outlineLevel="0" collapsed="false">
      <c r="A182" s="28"/>
      <c r="E182" s="2"/>
      <c r="G182" s="6" t="str">
        <f aca="false">IF(F182&lt;&gt;0,F182*G$2/(100+G$2)," ")</f>
        <v> </v>
      </c>
      <c r="H182" s="6" t="str">
        <f aca="false">IF((F182&lt;&gt;0),F182-G182," ")</f>
        <v> </v>
      </c>
      <c r="L182" s="7" t="str">
        <f aca="false">IF(F182&lt;&gt;0,F182-K182," ")</f>
        <v> </v>
      </c>
      <c r="M182" s="8" t="str">
        <f aca="false">IF((F182-K182)&lt;&gt;0,M$1-A182," ")</f>
        <v> </v>
      </c>
    </row>
    <row r="183" customFormat="false" ht="12" hidden="false" customHeight="false" outlineLevel="0" collapsed="false">
      <c r="A183" s="28"/>
      <c r="E183" s="2"/>
      <c r="G183" s="6" t="str">
        <f aca="false">IF(F183&lt;&gt;0,F183*G$2/(100+G$2)," ")</f>
        <v> </v>
      </c>
      <c r="H183" s="6" t="str">
        <f aca="false">IF((F183&lt;&gt;0),F183-G183," ")</f>
        <v> </v>
      </c>
      <c r="L183" s="7" t="str">
        <f aca="false">IF(F183&lt;&gt;0,F183-K183," ")</f>
        <v> </v>
      </c>
      <c r="M183" s="8" t="str">
        <f aca="false">IF((F183-K183)&lt;&gt;0,M$1-A183," ")</f>
        <v> </v>
      </c>
    </row>
    <row r="184" customFormat="false" ht="12" hidden="false" customHeight="false" outlineLevel="0" collapsed="false">
      <c r="A184" s="28"/>
      <c r="E184" s="2"/>
      <c r="G184" s="6" t="str">
        <f aca="false">IF(F184&lt;&gt;0,F184*G$2/(100+G$2)," ")</f>
        <v> </v>
      </c>
      <c r="H184" s="6" t="str">
        <f aca="false">IF((F184&lt;&gt;0),F184-G184," ")</f>
        <v> </v>
      </c>
      <c r="L184" s="7" t="str">
        <f aca="false">IF(F184&lt;&gt;0,F184-K184," ")</f>
        <v> </v>
      </c>
      <c r="M184" s="8" t="str">
        <f aca="false">IF((F184-K184)&lt;&gt;0,M$1-A184," ")</f>
        <v> </v>
      </c>
    </row>
    <row r="185" customFormat="false" ht="12" hidden="false" customHeight="false" outlineLevel="0" collapsed="false">
      <c r="A185" s="28"/>
      <c r="E185" s="2"/>
      <c r="G185" s="6" t="str">
        <f aca="false">IF(F185&lt;&gt;0,F185*G$2/(100+G$2)," ")</f>
        <v> </v>
      </c>
      <c r="H185" s="6" t="str">
        <f aca="false">IF((F185&lt;&gt;0),F185-G185," ")</f>
        <v> </v>
      </c>
      <c r="L185" s="7" t="str">
        <f aca="false">IF(F185&lt;&gt;0,F185-K185," ")</f>
        <v> </v>
      </c>
      <c r="M185" s="8" t="str">
        <f aca="false">IF((F185-K185)&lt;&gt;0,M$1-A185," ")</f>
        <v> </v>
      </c>
    </row>
    <row r="186" customFormat="false" ht="12" hidden="false" customHeight="false" outlineLevel="0" collapsed="false">
      <c r="A186" s="28"/>
      <c r="E186" s="2"/>
      <c r="G186" s="6" t="str">
        <f aca="false">IF(F186&lt;&gt;0,F186*G$2/(100+G$2)," ")</f>
        <v> </v>
      </c>
      <c r="H186" s="6" t="str">
        <f aca="false">IF((F186&lt;&gt;0),F186-G186," ")</f>
        <v> </v>
      </c>
      <c r="L186" s="7" t="str">
        <f aca="false">IF(F186&lt;&gt;0,F186-K186," ")</f>
        <v> </v>
      </c>
      <c r="M186" s="8" t="str">
        <f aca="false">IF((F186-K186)&lt;&gt;0,M$1-A186," ")</f>
        <v> </v>
      </c>
    </row>
    <row r="187" customFormat="false" ht="12" hidden="false" customHeight="false" outlineLevel="0" collapsed="false">
      <c r="A187" s="28"/>
      <c r="E187" s="2"/>
      <c r="G187" s="6" t="str">
        <f aca="false">IF(F187&lt;&gt;0,F187*G$2/(100+G$2)," ")</f>
        <v> </v>
      </c>
      <c r="H187" s="6" t="str">
        <f aca="false">IF((F187&lt;&gt;0),F187-G187," ")</f>
        <v> </v>
      </c>
      <c r="L187" s="7" t="str">
        <f aca="false">IF(F187&lt;&gt;0,F187-K187," ")</f>
        <v> </v>
      </c>
      <c r="M187" s="8" t="str">
        <f aca="false">IF((F187-K187)&lt;&gt;0,M$1-A187," ")</f>
        <v> </v>
      </c>
    </row>
    <row r="188" customFormat="false" ht="12" hidden="false" customHeight="false" outlineLevel="0" collapsed="false">
      <c r="A188" s="28"/>
      <c r="E188" s="2"/>
      <c r="G188" s="6" t="str">
        <f aca="false">IF(F188&lt;&gt;0,F188*G$2/(100+G$2)," ")</f>
        <v> </v>
      </c>
      <c r="H188" s="6" t="str">
        <f aca="false">IF((F188&lt;&gt;0),F188-G188," ")</f>
        <v> </v>
      </c>
      <c r="L188" s="7" t="str">
        <f aca="false">IF(F188&lt;&gt;0,F188-K188," ")</f>
        <v> </v>
      </c>
      <c r="M188" s="8" t="str">
        <f aca="false">IF((F188-K188)&lt;&gt;0,M$1-A188," ")</f>
        <v> </v>
      </c>
    </row>
    <row r="189" customFormat="false" ht="12" hidden="false" customHeight="false" outlineLevel="0" collapsed="false">
      <c r="A189" s="28"/>
      <c r="E189" s="2"/>
      <c r="G189" s="6" t="str">
        <f aca="false">IF(F189&lt;&gt;0,F189*G$2/(100+G$2)," ")</f>
        <v> </v>
      </c>
      <c r="H189" s="6" t="str">
        <f aca="false">IF((F189&lt;&gt;0),F189-G189," ")</f>
        <v> </v>
      </c>
      <c r="L189" s="7" t="str">
        <f aca="false">IF(F189&lt;&gt;0,F189-K189," ")</f>
        <v> </v>
      </c>
      <c r="M189" s="8" t="str">
        <f aca="false">IF((F189-K189)&lt;&gt;0,M$1-A189," ")</f>
        <v> </v>
      </c>
    </row>
    <row r="190" customFormat="false" ht="12" hidden="false" customHeight="false" outlineLevel="0" collapsed="false">
      <c r="A190" s="28"/>
      <c r="E190" s="2"/>
      <c r="G190" s="6" t="str">
        <f aca="false">IF(F190&lt;&gt;0,F190*G$2/(100+G$2)," ")</f>
        <v> </v>
      </c>
      <c r="H190" s="6" t="str">
        <f aca="false">IF((F190&lt;&gt;0),F190-G190," ")</f>
        <v> </v>
      </c>
      <c r="L190" s="7" t="str">
        <f aca="false">IF(F190&lt;&gt;0,F190-K190," ")</f>
        <v> </v>
      </c>
      <c r="M190" s="8" t="str">
        <f aca="false">IF((F190-K190)&lt;&gt;0,M$1-A190," ")</f>
        <v> </v>
      </c>
    </row>
    <row r="191" customFormat="false" ht="12" hidden="false" customHeight="false" outlineLevel="0" collapsed="false">
      <c r="A191" s="28"/>
      <c r="E191" s="2"/>
      <c r="G191" s="6" t="str">
        <f aca="false">IF(F191&lt;&gt;0,F191*G$2/(100+G$2)," ")</f>
        <v> </v>
      </c>
      <c r="H191" s="6" t="str">
        <f aca="false">IF((F191&lt;&gt;0),F191-G191," ")</f>
        <v> </v>
      </c>
      <c r="L191" s="7" t="str">
        <f aca="false">IF(F191&lt;&gt;0,F191-K191," ")</f>
        <v> </v>
      </c>
      <c r="M191" s="8" t="str">
        <f aca="false">IF((F191-K191)&lt;&gt;0,M$1-A191," ")</f>
        <v> </v>
      </c>
    </row>
    <row r="192" customFormat="false" ht="12" hidden="false" customHeight="false" outlineLevel="0" collapsed="false">
      <c r="A192" s="28"/>
      <c r="E192" s="2"/>
      <c r="G192" s="6" t="str">
        <f aca="false">IF(F192&lt;&gt;0,F192*G$2/(100+G$2)," ")</f>
        <v> </v>
      </c>
      <c r="H192" s="6" t="str">
        <f aca="false">IF((F192&lt;&gt;0),F192-G192," ")</f>
        <v> </v>
      </c>
      <c r="L192" s="7" t="str">
        <f aca="false">IF(F192&lt;&gt;0,F192-K192," ")</f>
        <v> </v>
      </c>
      <c r="M192" s="8" t="str">
        <f aca="false">IF((F192-K192)&lt;&gt;0,M$1-A192," ")</f>
        <v> </v>
      </c>
    </row>
    <row r="193" customFormat="false" ht="12" hidden="false" customHeight="false" outlineLevel="0" collapsed="false">
      <c r="A193" s="28"/>
      <c r="E193" s="2"/>
      <c r="G193" s="6" t="str">
        <f aca="false">IF(F193&lt;&gt;0,F193*G$2/(100+G$2)," ")</f>
        <v> </v>
      </c>
      <c r="H193" s="6" t="str">
        <f aca="false">IF((F193&lt;&gt;0),F193-G193," ")</f>
        <v> </v>
      </c>
      <c r="L193" s="7" t="str">
        <f aca="false">IF(F193&lt;&gt;0,F193-K193," ")</f>
        <v> </v>
      </c>
      <c r="M193" s="8" t="str">
        <f aca="false">IF((F193-K193)&lt;&gt;0,M$1-A193," ")</f>
        <v> </v>
      </c>
    </row>
    <row r="194" customFormat="false" ht="12" hidden="false" customHeight="false" outlineLevel="0" collapsed="false">
      <c r="A194" s="28"/>
      <c r="E194" s="2"/>
      <c r="G194" s="6" t="str">
        <f aca="false">IF(F194&lt;&gt;0,F194*G$2/(100+G$2)," ")</f>
        <v> </v>
      </c>
      <c r="H194" s="6" t="str">
        <f aca="false">IF((F194&lt;&gt;0),F194-G194," ")</f>
        <v> </v>
      </c>
      <c r="L194" s="7" t="str">
        <f aca="false">IF(F194&lt;&gt;0,F194-K194," ")</f>
        <v> </v>
      </c>
      <c r="M194" s="8" t="str">
        <f aca="false">IF((F194-K194)&lt;&gt;0,M$1-A194," ")</f>
        <v> </v>
      </c>
    </row>
    <row r="195" customFormat="false" ht="12" hidden="false" customHeight="false" outlineLevel="0" collapsed="false">
      <c r="A195" s="28"/>
      <c r="E195" s="2"/>
      <c r="G195" s="6" t="str">
        <f aca="false">IF(F195&lt;&gt;0,F195*G$2/(100+G$2)," ")</f>
        <v> </v>
      </c>
      <c r="H195" s="6" t="str">
        <f aca="false">IF((F195&lt;&gt;0),F195-G195," ")</f>
        <v> </v>
      </c>
      <c r="L195" s="7" t="str">
        <f aca="false">IF(F195&lt;&gt;0,F195-K195," ")</f>
        <v> </v>
      </c>
      <c r="M195" s="8" t="str">
        <f aca="false">IF((F195-K195)&lt;&gt;0,M$1-A195," ")</f>
        <v> </v>
      </c>
    </row>
    <row r="196" customFormat="false" ht="12" hidden="false" customHeight="false" outlineLevel="0" collapsed="false">
      <c r="A196" s="28"/>
      <c r="E196" s="2"/>
      <c r="G196" s="6" t="str">
        <f aca="false">IF(F196&lt;&gt;0,F196*G$2/(100+G$2)," ")</f>
        <v> </v>
      </c>
      <c r="H196" s="6" t="str">
        <f aca="false">IF((F196&lt;&gt;0),F196-G196," ")</f>
        <v> </v>
      </c>
      <c r="L196" s="7" t="str">
        <f aca="false">IF(F196&lt;&gt;0,F196-K196," ")</f>
        <v> </v>
      </c>
      <c r="M196" s="8" t="str">
        <f aca="false">IF((F196-K196)&lt;&gt;0,M$1-A196," ")</f>
        <v> </v>
      </c>
    </row>
    <row r="197" customFormat="false" ht="12" hidden="false" customHeight="false" outlineLevel="0" collapsed="false">
      <c r="A197" s="28"/>
      <c r="E197" s="2"/>
      <c r="G197" s="6" t="str">
        <f aca="false">IF(F197&lt;&gt;0,F197*G$2/(100+G$2)," ")</f>
        <v> </v>
      </c>
      <c r="H197" s="6" t="str">
        <f aca="false">IF((F197&lt;&gt;0),F197-G197," ")</f>
        <v> </v>
      </c>
      <c r="L197" s="7" t="str">
        <f aca="false">IF(F197&lt;&gt;0,F197-K197," ")</f>
        <v> </v>
      </c>
      <c r="M197" s="8" t="str">
        <f aca="false">IF((F197-K197)&lt;&gt;0,M$1-A197," ")</f>
        <v> </v>
      </c>
    </row>
    <row r="198" customFormat="false" ht="12" hidden="false" customHeight="false" outlineLevel="0" collapsed="false">
      <c r="A198" s="28"/>
      <c r="E198" s="2"/>
      <c r="G198" s="6" t="str">
        <f aca="false">IF(F198&lt;&gt;0,F198*G$2/(100+G$2)," ")</f>
        <v> </v>
      </c>
      <c r="H198" s="6" t="str">
        <f aca="false">IF((F198&lt;&gt;0),F198-G198," ")</f>
        <v> </v>
      </c>
      <c r="L198" s="7" t="str">
        <f aca="false">IF(F198&lt;&gt;0,F198-K198," ")</f>
        <v> </v>
      </c>
      <c r="M198" s="8" t="str">
        <f aca="false">IF((F198-K198)&lt;&gt;0,M$1-A198," ")</f>
        <v> </v>
      </c>
    </row>
    <row r="199" customFormat="false" ht="12" hidden="false" customHeight="false" outlineLevel="0" collapsed="false">
      <c r="A199" s="28"/>
      <c r="E199" s="2"/>
      <c r="G199" s="6" t="str">
        <f aca="false">IF(F199&lt;&gt;0,F199*G$2/(100+G$2)," ")</f>
        <v> </v>
      </c>
      <c r="H199" s="6" t="str">
        <f aca="false">IF((F199&lt;&gt;0),F199-G199," ")</f>
        <v> </v>
      </c>
      <c r="L199" s="7" t="str">
        <f aca="false">IF(F199&lt;&gt;0,F199-K199," ")</f>
        <v> </v>
      </c>
      <c r="M199" s="8" t="str">
        <f aca="false">IF((F199-K199)&lt;&gt;0,M$1-A199," ")</f>
        <v> </v>
      </c>
    </row>
    <row r="200" customFormat="false" ht="12" hidden="false" customHeight="false" outlineLevel="0" collapsed="false">
      <c r="A200" s="32"/>
      <c r="B200" s="33"/>
      <c r="C200" s="34"/>
      <c r="D200" s="35"/>
      <c r="E200" s="33"/>
      <c r="F200" s="36"/>
      <c r="G200" s="36" t="str">
        <f aca="false">IF(F200&lt;&gt;0,F200*G$2/(100+G$2)," ")</f>
        <v> </v>
      </c>
      <c r="H200" s="36" t="str">
        <f aca="false">IF((F200&lt;&gt;0),F200-G200," ")</f>
        <v> </v>
      </c>
      <c r="J200" s="36"/>
      <c r="K200" s="36"/>
      <c r="L200" s="37" t="str">
        <f aca="false">IF(F200&lt;&gt;0,F200-K200," ")</f>
        <v> </v>
      </c>
      <c r="M200" s="38" t="str">
        <f aca="false">IF((F200-K200)&lt;&gt;0,M$1-A200," ")</f>
        <v> </v>
      </c>
    </row>
  </sheetData>
  <mergeCells count="16">
    <mergeCell ref="A1:B1"/>
    <mergeCell ref="D1:E1"/>
    <mergeCell ref="I1:I4"/>
    <mergeCell ref="J1:J4"/>
    <mergeCell ref="A2:A4"/>
    <mergeCell ref="B2:B4"/>
    <mergeCell ref="C2:C4"/>
    <mergeCell ref="D2:D4"/>
    <mergeCell ref="E2:E4"/>
    <mergeCell ref="F2:F4"/>
    <mergeCell ref="H2:H4"/>
    <mergeCell ref="K2:M2"/>
    <mergeCell ref="G3:G4"/>
    <mergeCell ref="K3:K4"/>
    <mergeCell ref="L3:L4"/>
    <mergeCell ref="M3:M4"/>
  </mergeCells>
  <dataValidations count="1">
    <dataValidation allowBlank="true" error="While dates outside the financial year can be accepted for valid transactions the date may not have been entered in the correct format.&#10;&#10;CORRECT DATE FORMAT IS DD/MM/YY&#10;&#10;Example 25/12/08 then appears as 25-Dec-08&#10;" errorStyle="stop" errorTitle="DATE ERROR" operator="between" showDropDown="false" showErrorMessage="true" showInputMessage="false" sqref="A5:A200" type="date">
      <formula1>38353</formula1>
      <formula2>53327</formula2>
    </dataValidation>
  </dataValidations>
  <printOptions headings="false" gridLines="false" gridLinesSet="true" horizontalCentered="true" verticalCentered="true"/>
  <pageMargins left="0.157638888888889" right="0.0784722222222222" top="0.590972222222222" bottom="0.590972222222222" header="0.315277777777778" footer="0.315277777777778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&amp;C&amp;"Arial,Bold"&amp;11CLOSING CREDITORS</oddHeader>
    <oddFooter>&amp;L&amp;D  &amp;T&amp;C&amp;P  of  &amp;N&amp;R&amp;F  &amp;A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2005-11-20T10:44:15Z</dcterms:created>
  <dc:creator>DIY Accounting Limited</dc:creator>
  <dc:description>Copyright (C) 2006-2026 DIY Accounting Limited. Licensed under the PolyForm Internal Use License 1.0.0 with an additional grant for accountants.</dc:description>
  <dc:language>en-US</dc:language>
  <cp:lastModifiedBy>DIY Accounting Limited</cp:lastModifiedBy>
  <cp:lastPrinted>2007-03-02T12:17:48Z</cp:lastPrinted>
  <dcterms:modified xsi:type="dcterms:W3CDTF">2025-04-03T23:05:38Z</dcterms:modified>
  <cp:revision>0</cp:revision>
  <dc:subject/>
  <dc:title>0607 Purchases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